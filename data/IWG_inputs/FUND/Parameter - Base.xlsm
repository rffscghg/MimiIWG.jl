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omments6.xml" ContentType="application/vnd.openxmlformats-officedocument.spreadsheetml.comments+xml"/>
  <Override PartName="/xl/vbaProject.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8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Default Extension="bin" ContentType="application/vnd.openxmlformats-officedocument.spreadsheetml.printerSettings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DieseArbeitsmappe" defaultThemeVersion="124226"/>
  <bookViews>
    <workbookView xWindow="120" yWindow="330" windowWidth="15195" windowHeight="8580" tabRatio="846" firstSheet="23" activeTab="24"/>
  </bookViews>
  <sheets>
    <sheet name="Impact Sea Level Rise" sheetId="28" r:id="rId1"/>
    <sheet name="Scenario Uncertainty" sheetId="24" r:id="rId2"/>
    <sheet name="Climate Regional" sheetId="23" r:id="rId3"/>
    <sheet name="Impact Diarrhoea" sheetId="22" r:id="rId4"/>
    <sheet name="Impact WaterResources" sheetId="21" r:id="rId5"/>
    <sheet name="Impact BioDiversity" sheetId="20" r:id="rId6"/>
    <sheet name="BioDiversity" sheetId="19" r:id="rId7"/>
    <sheet name="Impact Agriculture" sheetId="18" r:id="rId8"/>
    <sheet name="Impact Cooling" sheetId="17" r:id="rId9"/>
    <sheet name="Impact Heating" sheetId="16" r:id="rId10"/>
    <sheet name="Impact Tropical Storms" sheetId="15" r:id="rId11"/>
    <sheet name="Impact Extratropical Storms" sheetId="25" r:id="rId12"/>
    <sheet name="ypcgrowth" sheetId="4" r:id="rId13"/>
    <sheet name="pgrowth" sheetId="6" r:id="rId14"/>
    <sheet name="ForestEmm" sheetId="7" r:id="rId15"/>
    <sheet name="AEEI" sheetId="8" r:id="rId16"/>
    <sheet name="ACEI" sheetId="9" r:id="rId17"/>
    <sheet name="scentemp" sheetId="13" r:id="rId18"/>
    <sheet name="ch4em" sheetId="11" r:id="rId19"/>
    <sheet name="n2oem" sheetId="12" r:id="rId20"/>
    <sheet name="Migrate" sheetId="14" r:id="rId21"/>
    <sheet name="Geography" sheetId="27" r:id="rId22"/>
    <sheet name="Emissions" sheetId="29" r:id="rId23"/>
    <sheet name="Terrestrial Biosphere" sheetId="30" r:id="rId24"/>
    <sheet name="Climate" sheetId="31" r:id="rId25"/>
    <sheet name="Ocean" sheetId="32" r:id="rId26"/>
    <sheet name="Impact Forests" sheetId="33" r:id="rId27"/>
    <sheet name="Impact Vector Borne Diseases" sheetId="34" r:id="rId28"/>
    <sheet name="Socio Economic" sheetId="35" r:id="rId29"/>
    <sheet name="Global" sheetId="1" r:id="rId30"/>
    <sheet name="Impact Cardio &amp; Respiratory" sheetId="36" r:id="rId31"/>
    <sheet name="Regional" sheetId="2" r:id="rId32"/>
    <sheet name="Vsl &amp; Vmorb" sheetId="26" r:id="rId33"/>
    <sheet name="RoeBaker" sheetId="42" r:id="rId34"/>
    <sheet name="currtax" sheetId="38" r:id="rId35"/>
    <sheet name="currtaxch4" sheetId="39" r:id="rId36"/>
    <sheet name="currtaxn2o" sheetId="40" r:id="rId37"/>
    <sheet name="Dimension" sheetId="41" r:id="rId38"/>
  </sheets>
  <functionGroups/>
  <definedNames>
    <definedName name="Fund.aceiadd">'Scenario Uncertainty'!$M$7:$M$22</definedName>
    <definedName name="Fund.aeeiadd">'Scenario Uncertainty'!$J$7:$J$22</definedName>
    <definedName name="Fund.agcbm">'Impact Agriculture'!$B$108:$B$123</definedName>
    <definedName name="Fund.agel">'Impact Agriculture'!$B$8</definedName>
    <definedName name="Fund.aglparl">'Impact Agriculture'!$B$70:$B$85</definedName>
    <definedName name="Fund.aglparq">'Impact Agriculture'!$B$89:$B$104</definedName>
    <definedName name="Fund.agnl">'Impact Agriculture'!$B$7</definedName>
    <definedName name="Fund.agrbm">'Impact Agriculture'!$B$32:$B$47</definedName>
    <definedName name="Fund.agrish0">'Impact Agriculture'!$B$13:$B$28</definedName>
    <definedName name="Fund.agtime">'Impact Agriculture'!$B$51:$B$66</definedName>
    <definedName name="Fund.area0">Geography!$B$8:$B$23</definedName>
    <definedName name="Fund.bioloss">BioDiversity!$B$7</definedName>
    <definedName name="Fund.biosens">BioDiversity!$B$8</definedName>
    <definedName name="Fund.bioshare">'Impact BioDiversity'!$B$7</definedName>
    <definedName name="Fund.bregstmp">'Climate Regional'!$C$8:$C$23</definedName>
    <definedName name="Fund.bregtmp">'Climate Regional'!$B$8:$B$23</definedName>
    <definedName name="Fund.cardvasc90">'Impact Cardio &amp; Respiratory'!$B$17:$B$32</definedName>
    <definedName name="Fund.ccmlbm">'Impact Cardio &amp; Respiratory'!$B$112:$B$127</definedName>
    <definedName name="Fund.ccmqbm">'Impact Cardio &amp; Respiratory'!$B$131:$B$146</definedName>
    <definedName name="Fund.ccplbm">'Impact Cardio &amp; Respiratory'!$B$150:$B$165</definedName>
    <definedName name="Fund.ccpqbm">'Impact Cardio &amp; Respiratory'!$B$169:$B$184</definedName>
    <definedName name="Fund.cebm">'Impact Cooling'!$B$12:$B$27</definedName>
    <definedName name="Fund.ceel">'Impact Cooling'!$B$7</definedName>
    <definedName name="Fund.cenl">'Impact Cooling'!$B$8</definedName>
    <definedName name="Fund.ch4add">Global!$B$3</definedName>
    <definedName name="Fund.ch4em">ch4em!$B$2:$Q$1052</definedName>
    <definedName name="Fund.ch4ind">Climate!$B$21</definedName>
    <definedName name="Fund.ch4par1">Regional!$C$17:$R$17</definedName>
    <definedName name="Fund.ch4par2">Regional!$C$20:$R$20</definedName>
    <definedName name="Fund.ch4pre">Climate!$B$20</definedName>
    <definedName name="Fund.chmlbm">'Impact Cardio &amp; Respiratory'!$B$36:$B$51</definedName>
    <definedName name="Fund.chmqbm">'Impact Cardio &amp; Respiratory'!$B$55:$B$70</definedName>
    <definedName name="Fund.chplbm">'Impact Cardio &amp; Respiratory'!$B$74:$B$89</definedName>
    <definedName name="Fund.chpqbm">'Impact Cardio &amp; Respiratory'!$B$93:$B$108</definedName>
    <definedName name="Fund.co2frac1">Climate!$B$15</definedName>
    <definedName name="Fund.co2frac2">Climate!$B$16</definedName>
    <definedName name="Fund.co2frac3">Climate!$B$17</definedName>
    <definedName name="Fund.co2frac4">Climate!$B$18</definedName>
    <definedName name="Fund.co2frac5">Climate!$B$19</definedName>
    <definedName name="Fund.co2pre">Global!$B$14</definedName>
    <definedName name="Fund.coastpd">'Impact Sea Level Rise'!$B$70:$B$85</definedName>
    <definedName name="Fund.consleak">Global!$B$15</definedName>
    <definedName name="Fund.currtax">currtax!$B$2:$Q$1052</definedName>
    <definedName name="Fund.currtaxch4">currtaxch4!$B$2:$Q$1052</definedName>
    <definedName name="Fund.currtaxn2o">currtaxn2o!$B$2:$Q$1052</definedName>
    <definedName name="Fund.cvlin">'Impact Cardio &amp; Respiratory'!$B$6</definedName>
    <definedName name="Fund.d2dc">'Vsl &amp; Vmorb'!$E$19:$E$34</definedName>
    <definedName name="Fund.d2dd">'Vsl &amp; Vmorb'!$D$19:$D$34</definedName>
    <definedName name="Fund.d2dm">'Vsl &amp; Vmorb'!$B$19:$B$34</definedName>
    <definedName name="Fund.d2dr">'Vsl &amp; Vmorb'!$F$19:$F$34</definedName>
    <definedName name="Fund.d2ds">'Vsl &amp; Vmorb'!$C$19:$C$34</definedName>
    <definedName name="Fund.d2lc">'Vsl &amp; Vmorb'!$J$19:$J$34</definedName>
    <definedName name="Fund.d2ld">'Vsl &amp; Vmorb'!$I$19:$I$34</definedName>
    <definedName name="Fund.d2lm">'Vsl &amp; Vmorb'!$G$19:$G$34</definedName>
    <definedName name="Fund.d2lr">'Vsl &amp; Vmorb'!$K$19:$K$34</definedName>
    <definedName name="Fund.d2ls">'Vsl &amp; Vmorb'!$H$19:$H$34</definedName>
    <definedName name="Fund.DBsTa">BioDiversity!$B$9</definedName>
    <definedName name="Fund.dfbs">'Impact Vector Borne Diseases'!$B$19:$B$34</definedName>
    <definedName name="Fund.dfch">'Impact Vector Borne Diseases'!$C$19:$C$34</definedName>
    <definedName name="Fund.dfnl">'Impact Vector Borne Diseases'!$B$8</definedName>
    <definedName name="Fund.diamort">'Impact Diarrhoea'!$B$18:$B$33</definedName>
    <definedName name="Fund.diamortel">'Impact Diarrhoea'!$B$9</definedName>
    <definedName name="Fund.diamortnl">'Impact Diarrhoea'!$B$10</definedName>
    <definedName name="Fund.diayld">'Impact Diarrhoea'!$E$18:$E$33</definedName>
    <definedName name="Fund.diayldel">'Impact Diarrhoea'!$B$11</definedName>
    <definedName name="Fund.diayldnl">'Impact Diarrhoea'!$B$12</definedName>
    <definedName name="Fund.dlbm">'Impact Sea Level Rise'!$B$27:$B$42</definedName>
    <definedName name="Fund.drylandlossparam">'Impact Sea Level Rise'!$B$89:$B$104</definedName>
    <definedName name="Fund.dvbm">'Impact Sea Level Rise'!$B$11</definedName>
    <definedName name="Fund.dvydl">'Impact Sea Level Rise'!$B$12</definedName>
    <definedName name="Fund.ecgradd">'Scenario Uncertainty'!$B$7:$B$22</definedName>
    <definedName name="Fund.emcst">'Impact Sea Level Rise'!$B$8</definedName>
    <definedName name="Fund.emissint0">Regional!$C$27:$R$27</definedName>
    <definedName name="Fund.extratropicalstormsbasedam">'Impact Extratropical Storms'!$B$12:$B$27</definedName>
    <definedName name="Fund.extratropicalstormsbasedead">'Impact Extratropical Storms'!$C$12:$C$27</definedName>
    <definedName name="Fund.extratropicalstormsdamel">'Impact Extratropical Storms'!$B$7</definedName>
    <definedName name="Fund.extratropicalstormsdeadel">'Impact Extratropical Storms'!$B$8</definedName>
    <definedName name="Fund.extratropicalstormsnl">'Impact Extratropical Storms'!$B$9</definedName>
    <definedName name="Fund.extratropicalstormspar">'Impact Extratropical Storms'!$D$12:$D$27</definedName>
    <definedName name="Fund.forbm">'Impact Forests'!$B$19:$B$34</definedName>
    <definedName name="Fund.forco2">'Impact Forests'!$B$10</definedName>
    <definedName name="Fund.forel">'Impact Forests'!$B$8</definedName>
    <definedName name="Fund.foremadd">'Scenario Uncertainty'!$P$7:$P$22</definedName>
    <definedName name="Fund.fornl">'Impact Forests'!$B$9</definedName>
    <definedName name="Fund.gdp0">'Socio Economic'!$E$16:$E$31</definedName>
    <definedName name="Fund.gdp90">'Socio Economic'!$C$16:$C$31</definedName>
    <definedName name="Fund.gwpch4">Emissions!$B$10</definedName>
    <definedName name="Fund.gwpn2o">Emissions!$B$11</definedName>
    <definedName name="Fund.hebm">'Impact Heating'!$B$12:$B$27</definedName>
    <definedName name="Fund.heel">'Impact Heating'!$B$7</definedName>
    <definedName name="Fund.henl">'Impact Heating'!$B$8</definedName>
    <definedName name="Fund.hurrbasedam">'Impact Tropical Storms'!$B$13:$B$28</definedName>
    <definedName name="Fund.hurrbasedead">'Impact Tropical Storms'!$C$13:$C$28</definedName>
    <definedName name="Fund.hurrdamel">'Impact Tropical Storms'!$B$7</definedName>
    <definedName name="Fund.hurrdeadel">'Impact Tropical Storms'!$B$8</definedName>
    <definedName name="Fund.hurrnl">'Impact Tropical Storms'!$B$10</definedName>
    <definedName name="Fund.hurrpar">'Impact Tropical Storms'!$B$9</definedName>
    <definedName name="Fund.immcst">'Impact Sea Level Rise'!$B$9</definedName>
    <definedName name="Fund.incdens">'Impact Sea Level Rise'!$B$13</definedName>
    <definedName name="Fund.knowgpar">Emissions!$B$9</definedName>
    <definedName name="Fund.knowpar">Emissions!$B$8</definedName>
    <definedName name="Fund.lifech4">Global!$B$5</definedName>
    <definedName name="Fund.lifeco1">Global!$B$8</definedName>
    <definedName name="Fund.lifeco2">Global!$B$9</definedName>
    <definedName name="Fund.lifeco3">Global!$B$10</definedName>
    <definedName name="Fund.lifeco4">Global!$B$11</definedName>
    <definedName name="Fund.lifeco5">Global!$B$12</definedName>
    <definedName name="Fund.lifen2o">Global!$B$6</definedName>
    <definedName name="Fund.lifesea">Ocean!$B$8</definedName>
    <definedName name="Fund.lifesf6">Global!$B$7</definedName>
    <definedName name="Fund.LifeTempConst">Climate!$B$7</definedName>
    <definedName name="Fund.LifeTempLin">Climate!$B$8</definedName>
    <definedName name="Fund.LifeTempQd">Climate!$B$9</definedName>
    <definedName name="Fund.malbs">'Impact Vector Borne Diseases'!$B$62:$B$77</definedName>
    <definedName name="Fund.malch">'Impact Vector Borne Diseases'!$C$62:$C$77</definedName>
    <definedName name="Fund.malnl">'Impact Vector Borne Diseases'!$B$7</definedName>
    <definedName name="Fund.maxcardvasc">'Impact Cardio &amp; Respiratory'!$B$8</definedName>
    <definedName name="Fund.MaxCostFall">Emissions!$B$16</definedName>
    <definedName name="Fund.maxlandloss">'Impact Sea Level Rise'!$C$27:$C$42</definedName>
    <definedName name="Fund.Migrate">Migrate!$B$2:$Q$17</definedName>
    <definedName name="Fund.n2oadd">Global!$B$2</definedName>
    <definedName name="Fund.n2oem">n2oem!$B$2:$Q$1052</definedName>
    <definedName name="Fund.n2opar1">Regional!$C$23:$R$23</definedName>
    <definedName name="Fund.n2opar2">Regional!$C$26:$R$26</definedName>
    <definedName name="Fund.n2opre">Climate!$B$14</definedName>
    <definedName name="Fund.nospecbase">BioDiversity!$B$10</definedName>
    <definedName name="Fund.pc">'Impact Sea Level Rise'!$C$70:$C$85</definedName>
    <definedName name="Fund.pgadd">'Scenario Uncertainty'!$G$7:$G$22</definedName>
    <definedName name="Fund.plus90">'Socio Economic'!$B$16:$B$31</definedName>
    <definedName name="Fund.plusel">'Socio Economic'!$B$8</definedName>
    <definedName name="Fund.pop0">'Socio Economic'!$F$16:$F$31</definedName>
    <definedName name="Fund.pop90">'Socio Economic'!$D$16:$D$31</definedName>
    <definedName name="Fund.Region.s">Dimension!$A$2:$A$17</definedName>
    <definedName name="Fund.resp90">'Impact Cardio &amp; Respiratory'!$C$17:$C$32</definedName>
    <definedName name="Fund.rlbm">'Impact Cardio &amp; Respiratory'!$B$188:$B$203</definedName>
    <definedName name="Fund.rlin">'Impact Cardio &amp; Respiratory'!$B$7</definedName>
    <definedName name="Fund.roebakercsparameter">RoeBaker!$B$7</definedName>
    <definedName name="Fund.rqbm">'Impact Cardio &amp; Respiratory'!$B$207:$B$222</definedName>
    <definedName name="Fund.scenacei">ACEI!$B$2:$Q$1052</definedName>
    <definedName name="Fund.scenaeei">AEEI!$B$2:$Q$1052</definedName>
    <definedName name="Fund.scenforestemm">ForestEmm!$B$2:$Q$1052</definedName>
    <definedName name="Fund.scenpgrowth">pgrowth!$B$2:$Q$1052</definedName>
    <definedName name="Fund.scentemp">scentemp!$B$2:$Q$1052</definedName>
    <definedName name="Fund.scenypcgrowth">ypcgrowth!$B$2:$Q$1052</definedName>
    <definedName name="Fund.seas">Ocean!$B$9</definedName>
    <definedName name="Fund.sf60">Regional!$C$9:$R$9</definedName>
    <definedName name="Fund.sf6add">Global!$B$4</definedName>
    <definedName name="Fund.sf6gdp">Emissions!$B$17</definedName>
    <definedName name="Fund.sf6pre">Climate!$B$13</definedName>
    <definedName name="Fund.sf6ypc">Emissions!$B$18</definedName>
    <definedName name="Fund.slrprtp">'Impact Sea Level Rise'!$E$27:$E$42</definedName>
    <definedName name="Fund.slrwvpopdens0">'Impact Sea Level Rise'!$B$20</definedName>
    <definedName name="Fund.slrwvypc0">'Impact Sea Level Rise'!$B$18</definedName>
    <definedName name="Fund.smbs">'Impact Vector Borne Diseases'!$B$40:$B$55</definedName>
    <definedName name="Fund.smch">'Impact Vector Borne Diseases'!$C$40:$C$55</definedName>
    <definedName name="Fund.smnl">'Impact Vector Borne Diseases'!$B$9</definedName>
    <definedName name="Fund.so20">Regional!$C$10:$R$10</definedName>
    <definedName name="Fund.so2carb">Emissions!$B$7</definedName>
    <definedName name="Fund.so2dir">Climate!$B$12</definedName>
    <definedName name="Fund.so2inc">Emissions!$B$6</definedName>
    <definedName name="Fund.so2ind">Climate!$B$11</definedName>
    <definedName name="Fund.so2pop">Emissions!$B$5</definedName>
    <definedName name="Fund.spbm">'Impact BioDiversity'!$B$8</definedName>
    <definedName name="Fund.TaxConstant">Emissions!$B$12</definedName>
    <definedName name="Fund.TaxDepreciation">Emissions!$B$15</definedName>
    <definedName name="Fund.TaxEmInt">Emissions!$B$13</definedName>
    <definedName name="Fund.taxmp">Regional!$C$5:$R$5</definedName>
    <definedName name="Fund.TaxThreshold">Emissions!$B$14</definedName>
    <definedName name="Fund.temp90">Regional!$C$11:$R$11</definedName>
    <definedName name="Fund.TerrCO2Sens">'Terrestrial Biosphere'!$B$7</definedName>
    <definedName name="Fund.TerrCO2Stock0">'Terrestrial Biosphere'!$B$8</definedName>
    <definedName name="Fund.timeofuncertaintystart">'Scenario Uncertainty'!$B$3</definedName>
    <definedName name="Fund.urbcorr">'Socio Economic'!$G$16:$G$31</definedName>
    <definedName name="Fund.valbase">'Impact BioDiversity'!$B$9</definedName>
    <definedName name="Fund.valinc">'Impact BioDiversity'!$B$17:$B$32</definedName>
    <definedName name="Fund.vbel">'Impact Vector Borne Diseases'!$B$10</definedName>
    <definedName name="Fund.vmorbbm">'Vsl &amp; Vmorb'!$B$9</definedName>
    <definedName name="Fund.vmorbel">'Vsl &amp; Vmorb'!$B$13</definedName>
    <definedName name="Fund.vmorbypc0">'Vsl &amp; Vmorb'!$B$12</definedName>
    <definedName name="Fund.vslbm">'Vsl &amp; Vmorb'!$B$8</definedName>
    <definedName name="Fund.vslel">'Vsl &amp; Vmorb'!$B$11</definedName>
    <definedName name="Fund.vslypc0">'Vsl &amp; Vmorb'!$B$10</definedName>
    <definedName name="Fund.watechrate">'Impact WaterResources'!$B$9</definedName>
    <definedName name="Fund.wetland90">'Impact Sea Level Rise'!$E$48:$E$63</definedName>
    <definedName name="Fund.wetmax">'Impact Sea Level Rise'!$D$48:$D$63</definedName>
    <definedName name="Fund.wlbm">'Impact Sea Level Rise'!$B$48:$B$63</definedName>
    <definedName name="Fund.wmbm">'Impact Sea Level Rise'!$C$48:$C$63</definedName>
    <definedName name="Fund.wrbm">'Impact WaterResources'!$B$19:$B$34</definedName>
    <definedName name="Fund.wrel">'Impact WaterResources'!$B$10</definedName>
    <definedName name="Fund.wrnl">'Impact WaterResources'!$B$11</definedName>
    <definedName name="Fund.wrpl">'Impact WaterResources'!$B$12</definedName>
    <definedName name="Fund.wvbm">'Impact Sea Level Rise'!$B$15</definedName>
    <definedName name="Fund.wvel">'Impact Sea Level Rise'!$B$17</definedName>
    <definedName name="Fund.wvpdl">'Impact Sea Level Rise'!$B$21</definedName>
    <definedName name="Fund.wvsl">'Impact Sea Level Rise'!$B$23</definedName>
    <definedName name="solver_adj" localSheetId="1" hidden="1">'Scenario Uncertainty'!$B$1</definedName>
    <definedName name="solver_cvg" localSheetId="1" hidden="1">0.0001</definedName>
    <definedName name="solver_drv" localSheetId="1" hidden="1">1</definedName>
    <definedName name="solver_est" localSheetId="1" hidden="1">1</definedName>
    <definedName name="solver_itr" localSheetId="1" hidden="1">100</definedName>
    <definedName name="solver_lin" localSheetId="1" hidden="1">2</definedName>
    <definedName name="solver_neg" localSheetId="1" hidden="1">2</definedName>
    <definedName name="solver_num" localSheetId="1" hidden="1">0</definedName>
    <definedName name="solver_nwt" localSheetId="1" hidden="1">1</definedName>
    <definedName name="solver_opt" localSheetId="1" hidden="1">'Scenario Uncertainty'!$D$81</definedName>
    <definedName name="solver_pre" localSheetId="1" hidden="1">0.000001</definedName>
    <definedName name="solver_scl" localSheetId="1" hidden="1">2</definedName>
    <definedName name="solver_sho" localSheetId="1" hidden="1">2</definedName>
    <definedName name="solver_tim" localSheetId="1" hidden="1">100</definedName>
    <definedName name="solver_tol" localSheetId="1" hidden="1">0.05</definedName>
    <definedName name="solver_typ" localSheetId="1" hidden="1">2</definedName>
    <definedName name="solver_val" localSheetId="1" hidden="1">0</definedName>
  </definedNames>
  <calcPr calcId="125725"/>
</workbook>
</file>

<file path=xl/calcChain.xml><?xml version="1.0" encoding="utf-8"?>
<calcChain xmlns="http://schemas.openxmlformats.org/spreadsheetml/2006/main">
  <c r="B7" i="42"/>
  <c r="D9" i="26" l="1"/>
  <c r="C9"/>
  <c r="D8"/>
  <c r="C8"/>
  <c r="J9" i="32"/>
  <c r="B101" i="28"/>
  <c r="B65" i="36"/>
  <c r="B163"/>
  <c r="B121"/>
  <c r="B127"/>
  <c r="B74" i="18"/>
  <c r="B131" i="36"/>
  <c r="B37" i="28"/>
  <c r="B43" i="36"/>
  <c r="B102"/>
  <c r="C62" i="28"/>
  <c r="B89"/>
  <c r="C51"/>
  <c r="B73" i="18"/>
  <c r="C56" i="28"/>
  <c r="B132" i="36"/>
  <c r="B75" i="18"/>
  <c r="B172" i="36"/>
  <c r="B170"/>
  <c r="B89"/>
  <c r="B97" i="28"/>
  <c r="B133" i="36"/>
  <c r="C79" i="28"/>
  <c r="B42"/>
  <c r="B80" i="18"/>
  <c r="B80" i="36"/>
  <c r="B153"/>
  <c r="B77" i="18"/>
  <c r="B156" i="36"/>
  <c r="B142"/>
  <c r="B103"/>
  <c r="B81" i="18"/>
  <c r="B157" i="36"/>
  <c r="B94"/>
  <c r="B97"/>
  <c r="B38"/>
  <c r="B10" i="21"/>
  <c r="B57" i="36"/>
  <c r="B21" i="28"/>
  <c r="B36" i="36"/>
  <c r="B60" i="28"/>
  <c r="B81" i="36"/>
  <c r="B93" i="28"/>
  <c r="B117" i="36"/>
  <c r="B37"/>
  <c r="C50" i="28"/>
  <c r="B150" i="36"/>
  <c r="B182"/>
  <c r="B50"/>
  <c r="B135"/>
  <c r="B61" i="28"/>
  <c r="B155" i="36"/>
  <c r="B119"/>
  <c r="B100"/>
  <c r="B63"/>
  <c r="C78" i="28"/>
  <c r="B28"/>
  <c r="B104"/>
  <c r="B40" i="36"/>
  <c r="B87"/>
  <c r="B48" i="28"/>
  <c r="B96" i="18"/>
  <c r="B85" i="36"/>
  <c r="B60"/>
  <c r="B99" i="28"/>
  <c r="C61"/>
  <c r="C53"/>
  <c r="C81"/>
  <c r="C72"/>
  <c r="B62" i="36"/>
  <c r="B78"/>
  <c r="B41" i="28"/>
  <c r="B99" i="36"/>
  <c r="B46"/>
  <c r="B12" i="28"/>
  <c r="B93" i="18"/>
  <c r="C84" i="28"/>
  <c r="C59"/>
  <c r="B120" i="36"/>
  <c r="B56"/>
  <c r="C71" i="28"/>
  <c r="B124" i="36"/>
  <c r="B72" i="18"/>
  <c r="B8"/>
  <c r="B66" i="36"/>
  <c r="B32" i="28"/>
  <c r="B8" i="33"/>
  <c r="B183" i="36"/>
  <c r="B83"/>
  <c r="B42"/>
  <c r="B101" i="18"/>
  <c r="C60" i="28"/>
  <c r="B94" i="18"/>
  <c r="B95" i="36"/>
  <c r="B7" i="17"/>
  <c r="B176" i="36"/>
  <c r="C77" i="28"/>
  <c r="B77" i="36"/>
  <c r="B90" i="18"/>
  <c r="C83" i="28"/>
  <c r="B138" i="36"/>
  <c r="B11" i="26"/>
  <c r="B76" i="36"/>
  <c r="B76" i="18"/>
  <c r="B180" i="36"/>
  <c r="B96"/>
  <c r="B173"/>
  <c r="C76" i="28"/>
  <c r="B33"/>
  <c r="B91" i="18"/>
  <c r="B85"/>
  <c r="B39" i="36"/>
  <c r="B75"/>
  <c r="B181"/>
  <c r="B27" i="28"/>
  <c r="B175" i="36"/>
  <c r="B64"/>
  <c r="B70" i="18"/>
  <c r="B59" i="28"/>
  <c r="B50"/>
  <c r="B123" i="36"/>
  <c r="B13" i="26"/>
  <c r="B115" i="36"/>
  <c r="C52" i="28"/>
  <c r="B95" i="18"/>
  <c r="B57" i="28"/>
  <c r="B71" i="18"/>
  <c r="B158" i="36"/>
  <c r="B39" i="28"/>
  <c r="B178" i="36"/>
  <c r="B82" i="18"/>
  <c r="B7" i="15"/>
  <c r="B58" i="36"/>
  <c r="B52" i="28"/>
  <c r="B86" i="36"/>
  <c r="B56" i="28"/>
  <c r="B113" i="36"/>
  <c r="B36" i="28"/>
  <c r="B100" i="18"/>
  <c r="B63" i="28"/>
  <c r="B94"/>
  <c r="B105" i="36"/>
  <c r="B92" i="18"/>
  <c r="B38" i="28"/>
  <c r="B89" i="18"/>
  <c r="B161" i="36"/>
  <c r="B137"/>
  <c r="B61"/>
  <c r="B67"/>
  <c r="B104"/>
  <c r="B160"/>
  <c r="B122"/>
  <c r="B48"/>
  <c r="B112"/>
  <c r="B165"/>
  <c r="B106"/>
  <c r="B51" i="28"/>
  <c r="C74"/>
  <c r="B17"/>
  <c r="B125" i="36"/>
  <c r="B35" i="28"/>
  <c r="B93" i="36"/>
  <c r="B144"/>
  <c r="C80" i="28"/>
  <c r="B84" i="18"/>
  <c r="B104"/>
  <c r="B95" i="28"/>
  <c r="B79" i="36"/>
  <c r="B164"/>
  <c r="C58" i="28"/>
  <c r="B136" i="36"/>
  <c r="B45"/>
  <c r="B126"/>
  <c r="B102" i="18"/>
  <c r="B91" i="28"/>
  <c r="B62"/>
  <c r="B92"/>
  <c r="B83" i="18"/>
  <c r="B116" i="36"/>
  <c r="B152"/>
  <c r="B108"/>
  <c r="B169"/>
  <c r="C70" i="28"/>
  <c r="B143" i="36"/>
  <c r="B82"/>
  <c r="B84"/>
  <c r="B29" i="28"/>
  <c r="C48"/>
  <c r="B30"/>
  <c r="B96"/>
  <c r="B8" i="15"/>
  <c r="B100" i="28"/>
  <c r="B174" i="36"/>
  <c r="B7" i="16"/>
  <c r="B74" i="36"/>
  <c r="B171"/>
  <c r="B184"/>
  <c r="B97" i="18"/>
  <c r="B79"/>
  <c r="B118" i="36"/>
  <c r="B51"/>
  <c r="B98" i="18"/>
  <c r="B59" i="36"/>
  <c r="C85" i="28"/>
  <c r="B11" i="22"/>
  <c r="C63" i="28"/>
  <c r="B103"/>
  <c r="C73"/>
  <c r="B11"/>
  <c r="B98"/>
  <c r="B70" i="36"/>
  <c r="B88"/>
  <c r="B53" i="28"/>
  <c r="B34"/>
  <c r="B107" i="36"/>
  <c r="C82" i="28"/>
  <c r="B58"/>
  <c r="B23"/>
  <c r="B139" i="36"/>
  <c r="B99" i="18"/>
  <c r="B69" i="36"/>
  <c r="B78" i="18"/>
  <c r="B40" i="28"/>
  <c r="B145" i="36"/>
  <c r="B179"/>
  <c r="B55"/>
  <c r="B134"/>
  <c r="B41"/>
  <c r="B98"/>
  <c r="B154"/>
  <c r="B140"/>
  <c r="C57" i="28"/>
  <c r="B141" i="36"/>
  <c r="B159"/>
  <c r="B90" i="28"/>
  <c r="B162" i="36"/>
  <c r="B44"/>
  <c r="B68"/>
  <c r="B47"/>
  <c r="B31" i="28"/>
  <c r="B102"/>
  <c r="B103" i="18"/>
  <c r="B146" i="36"/>
  <c r="B114"/>
  <c r="B177"/>
  <c r="B49"/>
  <c r="C75" i="28"/>
  <c r="B151" i="36"/>
  <c r="B101"/>
  <c r="B9" i="31"/>
  <c r="R22" i="24" l="1"/>
  <c r="R21"/>
  <c r="R20"/>
  <c r="R19"/>
  <c r="R18"/>
  <c r="R17"/>
  <c r="R16"/>
  <c r="R15"/>
  <c r="R14"/>
  <c r="R13"/>
  <c r="R12"/>
  <c r="R11"/>
  <c r="R10"/>
  <c r="R9"/>
  <c r="R8"/>
  <c r="R7"/>
  <c r="O22"/>
  <c r="O21"/>
  <c r="O20"/>
  <c r="O19"/>
  <c r="O18"/>
  <c r="O17"/>
  <c r="O16"/>
  <c r="O15"/>
  <c r="O14"/>
  <c r="O13"/>
  <c r="O12"/>
  <c r="O11"/>
  <c r="O10"/>
  <c r="O9"/>
  <c r="O8"/>
  <c r="O7"/>
  <c r="L22"/>
  <c r="L21"/>
  <c r="L20"/>
  <c r="L19"/>
  <c r="L18"/>
  <c r="L17"/>
  <c r="L16"/>
  <c r="L15"/>
  <c r="L14"/>
  <c r="L13"/>
  <c r="L12"/>
  <c r="L11"/>
  <c r="L10"/>
  <c r="L9"/>
  <c r="L8"/>
  <c r="L7"/>
  <c r="I22"/>
  <c r="I21"/>
  <c r="I20"/>
  <c r="I19"/>
  <c r="I18"/>
  <c r="I17"/>
  <c r="I16"/>
  <c r="I15"/>
  <c r="I14"/>
  <c r="I13"/>
  <c r="I12"/>
  <c r="I11"/>
  <c r="I10"/>
  <c r="I9"/>
  <c r="I8"/>
  <c r="I7"/>
  <c r="D8"/>
  <c r="D9"/>
  <c r="D10"/>
  <c r="D11"/>
  <c r="D12"/>
  <c r="D13"/>
  <c r="D14"/>
  <c r="D15"/>
  <c r="D16"/>
  <c r="D17"/>
  <c r="D18"/>
  <c r="D19"/>
  <c r="D20"/>
  <c r="D21"/>
  <c r="D22"/>
  <c r="D7"/>
  <c r="J7" i="30"/>
  <c r="B17" i="29"/>
  <c r="B18"/>
  <c r="B11"/>
  <c r="B10"/>
  <c r="B13" i="25"/>
  <c r="B14"/>
  <c r="B15"/>
  <c r="B16"/>
  <c r="B17"/>
  <c r="B18"/>
  <c r="B19"/>
  <c r="B20"/>
  <c r="B21"/>
  <c r="B22"/>
  <c r="B23"/>
  <c r="B24"/>
  <c r="B25"/>
  <c r="B26"/>
  <c r="B27"/>
  <c r="B12"/>
  <c r="O27" i="2"/>
  <c r="R27"/>
  <c r="Q27"/>
  <c r="P27"/>
  <c r="N27"/>
  <c r="M27"/>
  <c r="L27"/>
  <c r="K27"/>
  <c r="J27"/>
  <c r="I27"/>
  <c r="H27"/>
  <c r="G27"/>
  <c r="F27"/>
  <c r="E27"/>
  <c r="D27"/>
  <c r="C27"/>
  <c r="AX16" i="14"/>
  <c r="AG16" s="1"/>
  <c r="AW15"/>
  <c r="AF15" s="1"/>
  <c r="AV14"/>
  <c r="AE14" s="1"/>
  <c r="AU13"/>
  <c r="AD13" s="1"/>
  <c r="AT12"/>
  <c r="AC12" s="1"/>
  <c r="AS11"/>
  <c r="AB11" s="1"/>
  <c r="AR10"/>
  <c r="AA10"/>
  <c r="BI10" s="1"/>
  <c r="AQ9"/>
  <c r="Z9" s="1"/>
  <c r="AP8"/>
  <c r="Y8" s="1"/>
  <c r="AO7"/>
  <c r="X7" s="1"/>
  <c r="AN6"/>
  <c r="W6" s="1"/>
  <c r="AM5"/>
  <c r="V5"/>
  <c r="BD5" s="1"/>
  <c r="AL4"/>
  <c r="U4" s="1"/>
  <c r="AK3"/>
  <c r="T3" s="1"/>
  <c r="AJ2"/>
  <c r="S2" s="1"/>
  <c r="CI2" s="1"/>
  <c r="CX17"/>
  <c r="CW17"/>
  <c r="CV17"/>
  <c r="CU17"/>
  <c r="CT17"/>
  <c r="CS17"/>
  <c r="CR17"/>
  <c r="CQ17"/>
  <c r="CP17"/>
  <c r="CO17"/>
  <c r="CN17"/>
  <c r="CM17"/>
  <c r="CL17"/>
  <c r="CK17"/>
  <c r="CJ17"/>
  <c r="CI17"/>
  <c r="CX16"/>
  <c r="CV16"/>
  <c r="CU16"/>
  <c r="CT16"/>
  <c r="CS16"/>
  <c r="CR16"/>
  <c r="CQ16"/>
  <c r="CP16"/>
  <c r="CO16"/>
  <c r="CN16"/>
  <c r="CM16"/>
  <c r="CL16"/>
  <c r="CK16"/>
  <c r="CJ16"/>
  <c r="CI16"/>
  <c r="CX15"/>
  <c r="CW15"/>
  <c r="CU15"/>
  <c r="CT15"/>
  <c r="CS15"/>
  <c r="CR15"/>
  <c r="CQ15"/>
  <c r="CP15"/>
  <c r="CO15"/>
  <c r="CN15"/>
  <c r="CM15"/>
  <c r="CL15"/>
  <c r="CK15"/>
  <c r="CJ15"/>
  <c r="CI15"/>
  <c r="CX14"/>
  <c r="CW14"/>
  <c r="CV14"/>
  <c r="CT14"/>
  <c r="CS14"/>
  <c r="CR14"/>
  <c r="CQ14"/>
  <c r="CP14"/>
  <c r="CO14"/>
  <c r="CN14"/>
  <c r="CM14"/>
  <c r="CL14"/>
  <c r="CK14"/>
  <c r="CJ14"/>
  <c r="CI14"/>
  <c r="CX13"/>
  <c r="CW13"/>
  <c r="CV13"/>
  <c r="CU13"/>
  <c r="CS13"/>
  <c r="CR13"/>
  <c r="CQ13"/>
  <c r="CP13"/>
  <c r="CO13"/>
  <c r="CN13"/>
  <c r="CM13"/>
  <c r="CL13"/>
  <c r="CK13"/>
  <c r="CJ13"/>
  <c r="CI13"/>
  <c r="CX12"/>
  <c r="CW12"/>
  <c r="CV12"/>
  <c r="CU12"/>
  <c r="CT12"/>
  <c r="CR12"/>
  <c r="CQ12"/>
  <c r="CP12"/>
  <c r="CO12"/>
  <c r="CN12"/>
  <c r="CM12"/>
  <c r="CL12"/>
  <c r="CK12"/>
  <c r="CJ12"/>
  <c r="CI12"/>
  <c r="CX11"/>
  <c r="CW11"/>
  <c r="CV11"/>
  <c r="CU11"/>
  <c r="CT11"/>
  <c r="CS11"/>
  <c r="CQ11"/>
  <c r="CP11"/>
  <c r="CO11"/>
  <c r="CN11"/>
  <c r="CM11"/>
  <c r="CL11"/>
  <c r="CK11"/>
  <c r="CJ11"/>
  <c r="CI11"/>
  <c r="CX10"/>
  <c r="CW10"/>
  <c r="CV10"/>
  <c r="CU10"/>
  <c r="CT10"/>
  <c r="CS10"/>
  <c r="CR10"/>
  <c r="CP10"/>
  <c r="CO10"/>
  <c r="CN10"/>
  <c r="CM10"/>
  <c r="CL10"/>
  <c r="CK10"/>
  <c r="CJ10"/>
  <c r="CI10"/>
  <c r="CX9"/>
  <c r="CW9"/>
  <c r="CV9"/>
  <c r="CU9"/>
  <c r="CT9"/>
  <c r="CS9"/>
  <c r="CR9"/>
  <c r="CQ9"/>
  <c r="CO9"/>
  <c r="CN9"/>
  <c r="CM9"/>
  <c r="CL9"/>
  <c r="CK9"/>
  <c r="CJ9"/>
  <c r="CI9"/>
  <c r="CX8"/>
  <c r="CW8"/>
  <c r="CV8"/>
  <c r="CU8"/>
  <c r="CT8"/>
  <c r="CS8"/>
  <c r="CR8"/>
  <c r="CQ8"/>
  <c r="CP8"/>
  <c r="CN8"/>
  <c r="CM8"/>
  <c r="CL8"/>
  <c r="CK8"/>
  <c r="CJ8"/>
  <c r="CI8"/>
  <c r="CX7"/>
  <c r="CW7"/>
  <c r="CV7"/>
  <c r="CU7"/>
  <c r="CT7"/>
  <c r="CS7"/>
  <c r="CR7"/>
  <c r="CQ7"/>
  <c r="CP7"/>
  <c r="CO7"/>
  <c r="CM7"/>
  <c r="CL7"/>
  <c r="CK7"/>
  <c r="CJ7"/>
  <c r="CI7"/>
  <c r="CX6"/>
  <c r="CW6"/>
  <c r="CV6"/>
  <c r="CU6"/>
  <c r="CT6"/>
  <c r="CS6"/>
  <c r="CR6"/>
  <c r="CQ6"/>
  <c r="CP6"/>
  <c r="CO6"/>
  <c r="CN6"/>
  <c r="CL6"/>
  <c r="CK6"/>
  <c r="CJ6"/>
  <c r="CI6"/>
  <c r="CX5"/>
  <c r="CW5"/>
  <c r="CV5"/>
  <c r="CU5"/>
  <c r="CT5"/>
  <c r="CS5"/>
  <c r="CR5"/>
  <c r="CQ5"/>
  <c r="CP5"/>
  <c r="CO5"/>
  <c r="CN5"/>
  <c r="CM5"/>
  <c r="CK5"/>
  <c r="CJ5"/>
  <c r="CI5"/>
  <c r="CX4"/>
  <c r="CW4"/>
  <c r="CV4"/>
  <c r="CU4"/>
  <c r="CT4"/>
  <c r="CS4"/>
  <c r="CR4"/>
  <c r="CQ4"/>
  <c r="CP4"/>
  <c r="CO4"/>
  <c r="CN4"/>
  <c r="CM4"/>
  <c r="CL4"/>
  <c r="CJ4"/>
  <c r="CI4"/>
  <c r="CX3"/>
  <c r="CW3"/>
  <c r="CV3"/>
  <c r="CU3"/>
  <c r="CT3"/>
  <c r="CS3"/>
  <c r="CR3"/>
  <c r="CQ3"/>
  <c r="CP3"/>
  <c r="CO3"/>
  <c r="CN3"/>
  <c r="CM3"/>
  <c r="CL3"/>
  <c r="CK3"/>
  <c r="CI3"/>
  <c r="CX2"/>
  <c r="CW2"/>
  <c r="CV2"/>
  <c r="CU2"/>
  <c r="CT2"/>
  <c r="CS2"/>
  <c r="CR2"/>
  <c r="CQ2"/>
  <c r="CP2"/>
  <c r="CO2"/>
  <c r="CN2"/>
  <c r="CM2"/>
  <c r="CL2"/>
  <c r="CK2"/>
  <c r="CJ2"/>
  <c r="CG17"/>
  <c r="CF17"/>
  <c r="CE17"/>
  <c r="CD17"/>
  <c r="CC17"/>
  <c r="CB17"/>
  <c r="CA17"/>
  <c r="BZ17"/>
  <c r="BY17"/>
  <c r="BX17"/>
  <c r="BW17"/>
  <c r="BV17"/>
  <c r="BU17"/>
  <c r="BT17"/>
  <c r="BS17"/>
  <c r="BR17"/>
  <c r="CG16"/>
  <c r="CE16"/>
  <c r="CD16"/>
  <c r="CC16"/>
  <c r="CB16"/>
  <c r="CA16"/>
  <c r="BZ16"/>
  <c r="BY16"/>
  <c r="BX16"/>
  <c r="BW16"/>
  <c r="BV16"/>
  <c r="BU16"/>
  <c r="BT16"/>
  <c r="BS16"/>
  <c r="BR16"/>
  <c r="CG15"/>
  <c r="CF15"/>
  <c r="CD15"/>
  <c r="CC15"/>
  <c r="CB15"/>
  <c r="CA15"/>
  <c r="BZ15"/>
  <c r="BY15"/>
  <c r="BX15"/>
  <c r="BW15"/>
  <c r="BV15"/>
  <c r="BU15"/>
  <c r="BT15"/>
  <c r="BS15"/>
  <c r="BR15"/>
  <c r="CG14"/>
  <c r="CF14"/>
  <c r="CE14"/>
  <c r="CC14"/>
  <c r="CB14"/>
  <c r="CA14"/>
  <c r="BZ14"/>
  <c r="BY14"/>
  <c r="BX14"/>
  <c r="BW14"/>
  <c r="BV14"/>
  <c r="BU14"/>
  <c r="BT14"/>
  <c r="BS14"/>
  <c r="BR14"/>
  <c r="CG13"/>
  <c r="CF13"/>
  <c r="CE13"/>
  <c r="CD13"/>
  <c r="CB13"/>
  <c r="CA13"/>
  <c r="BZ13"/>
  <c r="BY13"/>
  <c r="BX13"/>
  <c r="BW13"/>
  <c r="BV13"/>
  <c r="BU13"/>
  <c r="BT13"/>
  <c r="BS13"/>
  <c r="BR13"/>
  <c r="CG12"/>
  <c r="CF12"/>
  <c r="CE12"/>
  <c r="CD12"/>
  <c r="CC12"/>
  <c r="CA12"/>
  <c r="BZ12"/>
  <c r="BY12"/>
  <c r="BX12"/>
  <c r="BW12"/>
  <c r="BV12"/>
  <c r="BU12"/>
  <c r="BT12"/>
  <c r="BS12"/>
  <c r="BR12"/>
  <c r="CG11"/>
  <c r="CF11"/>
  <c r="CE11"/>
  <c r="CD11"/>
  <c r="CC11"/>
  <c r="CB11"/>
  <c r="BZ11"/>
  <c r="BY11"/>
  <c r="BX11"/>
  <c r="BW11"/>
  <c r="BV11"/>
  <c r="BU11"/>
  <c r="BT11"/>
  <c r="BS11"/>
  <c r="BR11"/>
  <c r="CG10"/>
  <c r="CF10"/>
  <c r="CE10"/>
  <c r="CD10"/>
  <c r="CC10"/>
  <c r="CB10"/>
  <c r="CA10"/>
  <c r="BY10"/>
  <c r="BX10"/>
  <c r="BW10"/>
  <c r="BV10"/>
  <c r="BU10"/>
  <c r="BT10"/>
  <c r="BS10"/>
  <c r="BR10"/>
  <c r="CG9"/>
  <c r="CF9"/>
  <c r="CE9"/>
  <c r="CD9"/>
  <c r="CC9"/>
  <c r="CB9"/>
  <c r="CA9"/>
  <c r="BZ9"/>
  <c r="BX9"/>
  <c r="BW9"/>
  <c r="BV9"/>
  <c r="BU9"/>
  <c r="BT9"/>
  <c r="BS9"/>
  <c r="BR9"/>
  <c r="CG8"/>
  <c r="CF8"/>
  <c r="CE8"/>
  <c r="CD8"/>
  <c r="CC8"/>
  <c r="CB8"/>
  <c r="CA8"/>
  <c r="BZ8"/>
  <c r="BY8"/>
  <c r="BW8"/>
  <c r="BV8"/>
  <c r="BU8"/>
  <c r="BT8"/>
  <c r="BS8"/>
  <c r="BR8"/>
  <c r="CG7"/>
  <c r="CF7"/>
  <c r="CE7"/>
  <c r="CD7"/>
  <c r="CC7"/>
  <c r="CB7"/>
  <c r="CA7"/>
  <c r="BZ7"/>
  <c r="BY7"/>
  <c r="BX7"/>
  <c r="BV7"/>
  <c r="BU7"/>
  <c r="BT7"/>
  <c r="BS7"/>
  <c r="BR7"/>
  <c r="CG6"/>
  <c r="CF6"/>
  <c r="CE6"/>
  <c r="CD6"/>
  <c r="CC6"/>
  <c r="CB6"/>
  <c r="CA6"/>
  <c r="BZ6"/>
  <c r="BY6"/>
  <c r="BX6"/>
  <c r="BW6"/>
  <c r="BU6"/>
  <c r="BT6"/>
  <c r="BS6"/>
  <c r="BR6"/>
  <c r="CG5"/>
  <c r="CF5"/>
  <c r="CE5"/>
  <c r="CD5"/>
  <c r="CC5"/>
  <c r="CB5"/>
  <c r="CA5"/>
  <c r="BZ5"/>
  <c r="BY5"/>
  <c r="BX5"/>
  <c r="BW5"/>
  <c r="BV5"/>
  <c r="BT5"/>
  <c r="BS5"/>
  <c r="BR5"/>
  <c r="CG4"/>
  <c r="CF4"/>
  <c r="CE4"/>
  <c r="CD4"/>
  <c r="CC4"/>
  <c r="CB4"/>
  <c r="CA4"/>
  <c r="BZ4"/>
  <c r="BY4"/>
  <c r="BX4"/>
  <c r="BW4"/>
  <c r="BV4"/>
  <c r="BU4"/>
  <c r="BS4"/>
  <c r="BR4"/>
  <c r="CG3"/>
  <c r="CF3"/>
  <c r="CE3"/>
  <c r="CD3"/>
  <c r="CC3"/>
  <c r="CB3"/>
  <c r="CA3"/>
  <c r="BZ3"/>
  <c r="BY3"/>
  <c r="BX3"/>
  <c r="BW3"/>
  <c r="BV3"/>
  <c r="BU3"/>
  <c r="BT3"/>
  <c r="BR3"/>
  <c r="CG2"/>
  <c r="CF2"/>
  <c r="CE2"/>
  <c r="CD2"/>
  <c r="CC2"/>
  <c r="CB2"/>
  <c r="CA2"/>
  <c r="BZ2"/>
  <c r="BY2"/>
  <c r="BX2"/>
  <c r="BW2"/>
  <c r="BV2"/>
  <c r="BU2"/>
  <c r="BT2"/>
  <c r="BS2"/>
  <c r="BP17"/>
  <c r="BP16"/>
  <c r="BP15"/>
  <c r="BP14"/>
  <c r="BP13"/>
  <c r="BP12"/>
  <c r="BP11"/>
  <c r="BP10"/>
  <c r="BP9"/>
  <c r="BP8"/>
  <c r="BP7"/>
  <c r="BP6"/>
  <c r="BP5"/>
  <c r="BP4"/>
  <c r="BP3"/>
  <c r="BP2"/>
  <c r="BO17"/>
  <c r="BO15"/>
  <c r="BO14"/>
  <c r="BO13"/>
  <c r="BO12"/>
  <c r="BO11"/>
  <c r="BO10"/>
  <c r="BO9"/>
  <c r="BO8"/>
  <c r="BO7"/>
  <c r="BO6"/>
  <c r="BO5"/>
  <c r="BO4"/>
  <c r="BO3"/>
  <c r="BO2"/>
  <c r="BN17"/>
  <c r="BN16"/>
  <c r="BN14"/>
  <c r="BN13"/>
  <c r="BN12"/>
  <c r="BN11"/>
  <c r="BN10"/>
  <c r="BN9"/>
  <c r="BN8"/>
  <c r="BN7"/>
  <c r="BN6"/>
  <c r="BN5"/>
  <c r="BN4"/>
  <c r="BN3"/>
  <c r="BN2"/>
  <c r="BM17"/>
  <c r="BM16"/>
  <c r="BM15"/>
  <c r="BM13"/>
  <c r="BM12"/>
  <c r="BM11"/>
  <c r="BM10"/>
  <c r="BM9"/>
  <c r="BM8"/>
  <c r="BM7"/>
  <c r="BM6"/>
  <c r="BM5"/>
  <c r="BM4"/>
  <c r="BM3"/>
  <c r="BM2"/>
  <c r="BL17"/>
  <c r="BK17"/>
  <c r="BJ17"/>
  <c r="BI17"/>
  <c r="BH17"/>
  <c r="BG17"/>
  <c r="BF17"/>
  <c r="BE17"/>
  <c r="BD17"/>
  <c r="BC17"/>
  <c r="BB17"/>
  <c r="BA17"/>
  <c r="BL16"/>
  <c r="BK16"/>
  <c r="BJ16"/>
  <c r="BI16"/>
  <c r="BH16"/>
  <c r="BG16"/>
  <c r="BF16"/>
  <c r="BE16"/>
  <c r="BD16"/>
  <c r="BC16"/>
  <c r="BB16"/>
  <c r="BA16"/>
  <c r="BL15"/>
  <c r="BK15"/>
  <c r="BJ15"/>
  <c r="BI15"/>
  <c r="BH15"/>
  <c r="BG15"/>
  <c r="BF15"/>
  <c r="BE15"/>
  <c r="BD15"/>
  <c r="BC15"/>
  <c r="BB15"/>
  <c r="BA15"/>
  <c r="BL14"/>
  <c r="BK14"/>
  <c r="BJ14"/>
  <c r="BI14"/>
  <c r="BH14"/>
  <c r="BG14"/>
  <c r="BF14"/>
  <c r="BE14"/>
  <c r="BD14"/>
  <c r="BC14"/>
  <c r="BB14"/>
  <c r="BA14"/>
  <c r="BK13"/>
  <c r="BJ13"/>
  <c r="BI13"/>
  <c r="BH13"/>
  <c r="BG13"/>
  <c r="BF13"/>
  <c r="BE13"/>
  <c r="BD13"/>
  <c r="BC13"/>
  <c r="BB13"/>
  <c r="BA13"/>
  <c r="BL12"/>
  <c r="BJ12"/>
  <c r="BI12"/>
  <c r="BH12"/>
  <c r="BG12"/>
  <c r="BF12"/>
  <c r="BE12"/>
  <c r="BD12"/>
  <c r="BC12"/>
  <c r="BB12"/>
  <c r="BA12"/>
  <c r="BL11"/>
  <c r="BK11"/>
  <c r="BI11"/>
  <c r="BH11"/>
  <c r="BG11"/>
  <c r="BF11"/>
  <c r="BE11"/>
  <c r="BD11"/>
  <c r="BC11"/>
  <c r="BB11"/>
  <c r="BA11"/>
  <c r="BL10"/>
  <c r="BK10"/>
  <c r="BJ10"/>
  <c r="BH10"/>
  <c r="BG10"/>
  <c r="BF10"/>
  <c r="BE10"/>
  <c r="BD10"/>
  <c r="BC10"/>
  <c r="BB10"/>
  <c r="BA10"/>
  <c r="BL9"/>
  <c r="BK9"/>
  <c r="BJ9"/>
  <c r="BI9"/>
  <c r="BG9"/>
  <c r="BF9"/>
  <c r="BE9"/>
  <c r="BD9"/>
  <c r="BC9"/>
  <c r="BB9"/>
  <c r="BA9"/>
  <c r="BL8"/>
  <c r="BK8"/>
  <c r="BJ8"/>
  <c r="BI8"/>
  <c r="BH8"/>
  <c r="BF8"/>
  <c r="BE8"/>
  <c r="BD8"/>
  <c r="BC8"/>
  <c r="BB8"/>
  <c r="BA8"/>
  <c r="BL7"/>
  <c r="BK7"/>
  <c r="BJ7"/>
  <c r="BI7"/>
  <c r="BH7"/>
  <c r="BG7"/>
  <c r="BE7"/>
  <c r="BD7"/>
  <c r="BC7"/>
  <c r="BB7"/>
  <c r="BA7"/>
  <c r="BL6"/>
  <c r="BK6"/>
  <c r="BJ6"/>
  <c r="BI6"/>
  <c r="BH6"/>
  <c r="BG6"/>
  <c r="BF6"/>
  <c r="BD6"/>
  <c r="BC6"/>
  <c r="BB6"/>
  <c r="BA6"/>
  <c r="BL5"/>
  <c r="BK5"/>
  <c r="BJ5"/>
  <c r="BI5"/>
  <c r="BH5"/>
  <c r="BG5"/>
  <c r="BF5"/>
  <c r="BE5"/>
  <c r="BC5"/>
  <c r="BB5"/>
  <c r="BA5"/>
  <c r="BL4"/>
  <c r="BK4"/>
  <c r="BJ4"/>
  <c r="BI4"/>
  <c r="BH4"/>
  <c r="BG4"/>
  <c r="BF4"/>
  <c r="BE4"/>
  <c r="BD4"/>
  <c r="BB4"/>
  <c r="BA4"/>
  <c r="BL3"/>
  <c r="BK3"/>
  <c r="BJ3"/>
  <c r="BI3"/>
  <c r="BH3"/>
  <c r="BG3"/>
  <c r="BF3"/>
  <c r="BE3"/>
  <c r="BD3"/>
  <c r="BC3"/>
  <c r="BA3"/>
  <c r="BL2"/>
  <c r="BK2"/>
  <c r="BJ2"/>
  <c r="BI2"/>
  <c r="BH2"/>
  <c r="BG2"/>
  <c r="BF2"/>
  <c r="BE2"/>
  <c r="BD2"/>
  <c r="BC2"/>
  <c r="BB2"/>
  <c r="D4" i="2"/>
  <c r="E4"/>
  <c r="F4"/>
  <c r="G4"/>
  <c r="H4"/>
  <c r="I4"/>
  <c r="J4"/>
  <c r="K4"/>
  <c r="L4"/>
  <c r="M4"/>
  <c r="N4"/>
  <c r="O4"/>
  <c r="P4"/>
  <c r="Q4"/>
  <c r="R4"/>
  <c r="C4"/>
  <c r="D26"/>
  <c r="E26"/>
  <c r="F26"/>
  <c r="G26"/>
  <c r="H26"/>
  <c r="I26"/>
  <c r="J26"/>
  <c r="K26"/>
  <c r="L26"/>
  <c r="M26"/>
  <c r="N26"/>
  <c r="O26"/>
  <c r="P26"/>
  <c r="Q26"/>
  <c r="R26"/>
  <c r="C26"/>
  <c r="D23"/>
  <c r="E23"/>
  <c r="F23"/>
  <c r="G23"/>
  <c r="H23"/>
  <c r="I23"/>
  <c r="J23"/>
  <c r="K23"/>
  <c r="L23"/>
  <c r="M23"/>
  <c r="N23"/>
  <c r="O23"/>
  <c r="P23"/>
  <c r="Q23"/>
  <c r="R23"/>
  <c r="C23"/>
  <c r="D17"/>
  <c r="E17"/>
  <c r="F17"/>
  <c r="G17"/>
  <c r="H17"/>
  <c r="I17"/>
  <c r="J17"/>
  <c r="K17"/>
  <c r="L17"/>
  <c r="M17"/>
  <c r="N17"/>
  <c r="O17"/>
  <c r="P17"/>
  <c r="Q17"/>
  <c r="R17"/>
  <c r="C17"/>
  <c r="D20"/>
  <c r="E20"/>
  <c r="F20"/>
  <c r="G20"/>
  <c r="H20"/>
  <c r="I20"/>
  <c r="J20"/>
  <c r="K20"/>
  <c r="L20"/>
  <c r="M20"/>
  <c r="N20"/>
  <c r="O20"/>
  <c r="P20"/>
  <c r="Q20"/>
  <c r="R20"/>
  <c r="C20"/>
  <c r="CQ10" i="14"/>
  <c r="B9" i="24"/>
  <c r="B8"/>
  <c r="B18"/>
  <c r="B20"/>
  <c r="B22"/>
  <c r="B11"/>
  <c r="B10"/>
  <c r="B15" i="28"/>
  <c r="B16" i="24"/>
  <c r="B12"/>
  <c r="B14"/>
  <c r="B7"/>
  <c r="B13"/>
  <c r="B21"/>
  <c r="B17"/>
  <c r="B15"/>
  <c r="B19"/>
  <c r="BL13" i="14" l="1"/>
  <c r="CT13"/>
  <c r="CM6"/>
  <c r="BE6"/>
  <c r="BV6"/>
  <c r="CL5"/>
  <c r="BU5"/>
  <c r="BY9"/>
  <c r="BH9"/>
  <c r="CP9"/>
  <c r="CC13"/>
  <c r="BZ10"/>
  <c r="BA2"/>
  <c r="BJ11"/>
  <c r="CA11"/>
  <c r="CR11"/>
  <c r="CF16"/>
  <c r="CW16"/>
  <c r="BO16"/>
  <c r="BR2"/>
  <c r="CD14"/>
  <c r="CU14"/>
  <c r="BM14"/>
  <c r="CB12"/>
  <c r="CS12"/>
  <c r="BK12"/>
  <c r="BN15"/>
  <c r="CV15"/>
  <c r="CE15"/>
  <c r="BX8"/>
  <c r="CO8"/>
  <c r="BG8"/>
  <c r="BC4"/>
  <c r="CK4"/>
  <c r="BT4"/>
  <c r="CN7"/>
  <c r="BW7"/>
  <c r="BF7"/>
  <c r="CJ3"/>
  <c r="BS3"/>
  <c r="BB3"/>
  <c r="G11" i="24" l="1"/>
  <c r="B11" i="14"/>
  <c r="E6"/>
  <c r="G22" i="24"/>
  <c r="B213" i="36"/>
  <c r="B29" i="20"/>
  <c r="B58" i="18"/>
  <c r="B123"/>
  <c r="P6" i="14"/>
  <c r="B118" i="18"/>
  <c r="C69" i="34"/>
  <c r="B7" i="30"/>
  <c r="B14" i="14"/>
  <c r="C47" i="34"/>
  <c r="G20" i="24"/>
  <c r="B209" i="36"/>
  <c r="J6" i="14"/>
  <c r="F17"/>
  <c r="Q12"/>
  <c r="H12"/>
  <c r="B119" i="18"/>
  <c r="B28" i="21"/>
  <c r="P19" i="24"/>
  <c r="J14" i="14"/>
  <c r="B122" i="18"/>
  <c r="I4" i="14"/>
  <c r="B32" i="33"/>
  <c r="Q16" i="14"/>
  <c r="F5" i="2"/>
  <c r="G5"/>
  <c r="F10" i="14"/>
  <c r="B47" i="18"/>
  <c r="M8" i="14"/>
  <c r="E16"/>
  <c r="K3"/>
  <c r="E5" i="2"/>
  <c r="K5"/>
  <c r="B19" i="21"/>
  <c r="C16" i="14"/>
  <c r="M12" i="24"/>
  <c r="B32" i="21"/>
  <c r="B116" i="18"/>
  <c r="G7" i="14"/>
  <c r="C54" i="34"/>
  <c r="B29" i="33"/>
  <c r="B23"/>
  <c r="J12" i="14"/>
  <c r="B8" i="35"/>
  <c r="P13" i="14"/>
  <c r="N14"/>
  <c r="B45" i="18"/>
  <c r="L17" i="14"/>
  <c r="O17"/>
  <c r="L7"/>
  <c r="B8" i="28"/>
  <c r="E14" i="14"/>
  <c r="G8" i="24"/>
  <c r="J4" i="14"/>
  <c r="J9" i="24"/>
  <c r="B17" i="20"/>
  <c r="B8" i="19"/>
  <c r="L8" i="14"/>
  <c r="B23" i="17"/>
  <c r="B12" i="22"/>
  <c r="L4" i="14"/>
  <c r="P16" i="24"/>
  <c r="I8" i="14"/>
  <c r="J13" i="24"/>
  <c r="B7" i="20"/>
  <c r="N15" i="14"/>
  <c r="M14" i="24"/>
  <c r="C49" i="34"/>
  <c r="M14" i="14"/>
  <c r="G16" i="24"/>
  <c r="L5" i="14"/>
  <c r="M12"/>
  <c r="B25" i="17"/>
  <c r="B12" i="16"/>
  <c r="B24"/>
  <c r="P9" i="14"/>
  <c r="B216" i="36"/>
  <c r="M15" i="14"/>
  <c r="B218" i="36"/>
  <c r="B59" i="18"/>
  <c r="B22" i="17"/>
  <c r="B9" i="1"/>
  <c r="B8" i="36"/>
  <c r="K17" i="14"/>
  <c r="B13" i="16"/>
  <c r="O6" i="14"/>
  <c r="J11"/>
  <c r="C77" i="34"/>
  <c r="B35" i="18"/>
  <c r="B207" i="36"/>
  <c r="M18" i="24"/>
  <c r="O15" i="14"/>
  <c r="J9"/>
  <c r="M3"/>
  <c r="B46" i="18"/>
  <c r="Q8" i="14"/>
  <c r="L2"/>
  <c r="H3"/>
  <c r="P4"/>
  <c r="F4"/>
  <c r="M21" i="24"/>
  <c r="P15"/>
  <c r="C24" i="34"/>
  <c r="H5" i="14"/>
  <c r="G9" i="24"/>
  <c r="C10" i="14"/>
  <c r="E11"/>
  <c r="B25" i="20"/>
  <c r="B112" i="18"/>
  <c r="G19" i="24"/>
  <c r="I14" i="14"/>
  <c r="J8" i="24"/>
  <c r="H10" i="14"/>
  <c r="B54" i="18"/>
  <c r="E8" i="14"/>
  <c r="N17"/>
  <c r="P10"/>
  <c r="B22" i="16"/>
  <c r="G4" i="14"/>
  <c r="N9"/>
  <c r="B34" i="33"/>
  <c r="M5" i="2"/>
  <c r="B195" i="36"/>
  <c r="B12" i="1"/>
  <c r="B34" i="18"/>
  <c r="D4" i="14"/>
  <c r="C51" i="34"/>
  <c r="B27" i="21"/>
  <c r="F2" i="14"/>
  <c r="C66" i="34"/>
  <c r="B36" i="18"/>
  <c r="O16" i="14"/>
  <c r="F15"/>
  <c r="G15" i="24"/>
  <c r="J7" i="14"/>
  <c r="B108" i="18"/>
  <c r="C15" i="14"/>
  <c r="P8" i="24"/>
  <c r="H13" i="14"/>
  <c r="C9"/>
  <c r="J3"/>
  <c r="B33" i="21"/>
  <c r="P7" i="14"/>
  <c r="O13"/>
  <c r="M11" i="24"/>
  <c r="B24" i="20"/>
  <c r="B23" i="21"/>
  <c r="G17" i="14"/>
  <c r="B222" i="36"/>
  <c r="D8" i="14"/>
  <c r="B9" i="22"/>
  <c r="P14" i="14"/>
  <c r="B8"/>
  <c r="B27" i="33"/>
  <c r="E2" i="14"/>
  <c r="I5"/>
  <c r="P18" i="24"/>
  <c r="B2" i="1"/>
  <c r="J15" i="14"/>
  <c r="B6"/>
  <c r="I13"/>
  <c r="L9"/>
  <c r="J17" i="24"/>
  <c r="B26" i="16"/>
  <c r="Q9" i="14"/>
  <c r="F5"/>
  <c r="L6"/>
  <c r="B33" i="18"/>
  <c r="G7" i="24"/>
  <c r="C17" i="14"/>
  <c r="B26" i="21"/>
  <c r="B202" i="36"/>
  <c r="B22" i="21"/>
  <c r="L15" i="14"/>
  <c r="B15" i="17"/>
  <c r="B55" i="18"/>
  <c r="B17" i="17"/>
  <c r="B18"/>
  <c r="B16" i="14"/>
  <c r="P5" i="2"/>
  <c r="Q4" i="14"/>
  <c r="B42" i="18"/>
  <c r="P17" i="24"/>
  <c r="I11" i="14"/>
  <c r="O2"/>
  <c r="C50" i="34"/>
  <c r="I7" i="14"/>
  <c r="N13"/>
  <c r="N2"/>
  <c r="N10"/>
  <c r="Q5"/>
  <c r="B24" i="33"/>
  <c r="B21" i="17"/>
  <c r="B40" i="18"/>
  <c r="D10" i="14"/>
  <c r="J10"/>
  <c r="Q10"/>
  <c r="G10"/>
  <c r="O11"/>
  <c r="B30" i="20"/>
  <c r="B212" i="36"/>
  <c r="B25" i="16"/>
  <c r="P11" i="14"/>
  <c r="H7"/>
  <c r="C23" i="34"/>
  <c r="D13" i="14"/>
  <c r="B51" i="18"/>
  <c r="B17" i="16"/>
  <c r="B7" i="1"/>
  <c r="B111" i="18"/>
  <c r="F7" i="14"/>
  <c r="M22" i="24"/>
  <c r="B198" i="36"/>
  <c r="F8" i="14"/>
  <c r="O5" i="2"/>
  <c r="Q3" i="14"/>
  <c r="B189" i="36"/>
  <c r="M19" i="24"/>
  <c r="H2" i="14"/>
  <c r="B11" i="21"/>
  <c r="B41" i="18"/>
  <c r="B26" i="33"/>
  <c r="P15" i="14"/>
  <c r="G11"/>
  <c r="B53" i="18"/>
  <c r="B4" i="1"/>
  <c r="C67" i="34"/>
  <c r="J15" i="24"/>
  <c r="B8" i="34"/>
  <c r="B193" i="36"/>
  <c r="M2" i="14"/>
  <c r="M13" i="24"/>
  <c r="B214" i="36"/>
  <c r="M15" i="24"/>
  <c r="B16" i="16"/>
  <c r="M8" i="24"/>
  <c r="F16" i="14"/>
  <c r="B113" i="18"/>
  <c r="M17" i="14"/>
  <c r="J2"/>
  <c r="B110" i="18"/>
  <c r="B31" i="33"/>
  <c r="H8" i="14"/>
  <c r="B8" i="20"/>
  <c r="M7" i="14"/>
  <c r="C34" i="34"/>
  <c r="K8" i="14"/>
  <c r="B19" i="17"/>
  <c r="B13" i="1"/>
  <c r="B9" i="32"/>
  <c r="C13" i="14"/>
  <c r="N8"/>
  <c r="E15"/>
  <c r="B9" i="34"/>
  <c r="B24" i="21"/>
  <c r="B23" i="16"/>
  <c r="C6" i="14"/>
  <c r="B109" i="18"/>
  <c r="B10" i="22"/>
  <c r="O12" i="14"/>
  <c r="D6"/>
  <c r="K14"/>
  <c r="B24" i="17"/>
  <c r="P5" i="14"/>
  <c r="G18" i="24"/>
  <c r="M11" i="14"/>
  <c r="H9"/>
  <c r="B32" i="20"/>
  <c r="M16" i="14"/>
  <c r="I9"/>
  <c r="B30" i="21"/>
  <c r="Q15" i="14"/>
  <c r="H11"/>
  <c r="F14"/>
  <c r="B217" i="36"/>
  <c r="H15" i="14"/>
  <c r="Q5" i="2"/>
  <c r="B211" i="36"/>
  <c r="N5" i="14"/>
  <c r="D7"/>
  <c r="I17"/>
  <c r="B31" i="21"/>
  <c r="B8" i="16"/>
  <c r="M20" i="24"/>
  <c r="B219" i="36"/>
  <c r="O3" i="14"/>
  <c r="D11"/>
  <c r="B10"/>
  <c r="C45" i="34"/>
  <c r="K5" i="14"/>
  <c r="F6"/>
  <c r="N4"/>
  <c r="C20" i="34"/>
  <c r="B15" i="16"/>
  <c r="B33" i="33"/>
  <c r="B13" i="17"/>
  <c r="F13" i="14"/>
  <c r="B31" i="20"/>
  <c r="D12" i="14"/>
  <c r="K4"/>
  <c r="C65" i="34"/>
  <c r="B22" i="20"/>
  <c r="C64" i="34"/>
  <c r="B21" i="20"/>
  <c r="B14" i="17"/>
  <c r="R5" i="2"/>
  <c r="J19" i="24"/>
  <c r="C33" i="34"/>
  <c r="C11" i="14"/>
  <c r="J12" i="24"/>
  <c r="B27" i="17"/>
  <c r="B210" i="36"/>
  <c r="C48" i="34"/>
  <c r="C68"/>
  <c r="C29"/>
  <c r="K2" i="14"/>
  <c r="B64" i="18"/>
  <c r="G6" i="14"/>
  <c r="B8" i="32"/>
  <c r="O7" i="14"/>
  <c r="G12" i="24"/>
  <c r="B6" i="36"/>
  <c r="B43" i="18"/>
  <c r="C26" i="34"/>
  <c r="L10" i="14"/>
  <c r="B15"/>
  <c r="C22" i="34"/>
  <c r="C8" i="14"/>
  <c r="B60" i="18"/>
  <c r="C70" i="34"/>
  <c r="C4" i="14"/>
  <c r="C25" i="34"/>
  <c r="J17" i="14"/>
  <c r="J7" i="24"/>
  <c r="G13"/>
  <c r="B28" i="33"/>
  <c r="K9" i="14"/>
  <c r="K6"/>
  <c r="K11"/>
  <c r="B20" i="20"/>
  <c r="O9" i="14"/>
  <c r="L5" i="2"/>
  <c r="B8" i="17"/>
  <c r="K15" i="14"/>
  <c r="Q2"/>
  <c r="I5" i="2"/>
  <c r="C63" i="34"/>
  <c r="B62" i="18"/>
  <c r="B188" i="36"/>
  <c r="B197"/>
  <c r="E17" i="14"/>
  <c r="G2"/>
  <c r="B7" i="18"/>
  <c r="F11" i="14"/>
  <c r="B28" i="20"/>
  <c r="B6" i="1"/>
  <c r="P12" i="14"/>
  <c r="C55" i="34"/>
  <c r="B19" i="33"/>
  <c r="H16" i="14"/>
  <c r="D9"/>
  <c r="B16" i="17"/>
  <c r="B192" i="36"/>
  <c r="B9" i="15"/>
  <c r="B23" i="20"/>
  <c r="Q13" i="14"/>
  <c r="C73" i="34"/>
  <c r="B27" i="16"/>
  <c r="D5" i="2"/>
  <c r="G17" i="24"/>
  <c r="B17" i="14"/>
  <c r="J20" i="24"/>
  <c r="B32" i="18"/>
  <c r="M16" i="24"/>
  <c r="B7" i="34"/>
  <c r="B63" i="18"/>
  <c r="P17" i="14"/>
  <c r="H6"/>
  <c r="P2"/>
  <c r="J10" i="24"/>
  <c r="F12" i="14"/>
  <c r="C71" i="34"/>
  <c r="D2" i="14"/>
  <c r="C27" i="34"/>
  <c r="C52"/>
  <c r="Q6" i="14"/>
  <c r="P21" i="24"/>
  <c r="B37" i="18"/>
  <c r="N16" i="14"/>
  <c r="E4"/>
  <c r="B9" i="28"/>
  <c r="B22" i="33"/>
  <c r="M4" i="14"/>
  <c r="B7" i="36"/>
  <c r="B19" i="20"/>
  <c r="G14" i="24"/>
  <c r="G12" i="14"/>
  <c r="B19" i="16"/>
  <c r="C46" i="34"/>
  <c r="N5" i="2"/>
  <c r="H4" i="14"/>
  <c r="J21" i="24"/>
  <c r="B26" i="20"/>
  <c r="I15" i="14"/>
  <c r="N6"/>
  <c r="L16"/>
  <c r="C12"/>
  <c r="B12"/>
  <c r="K16"/>
  <c r="P8"/>
  <c r="G10" i="24"/>
  <c r="M9" i="14"/>
  <c r="N7"/>
  <c r="I12"/>
  <c r="B203" i="36"/>
  <c r="E10" i="14"/>
  <c r="B208" i="36"/>
  <c r="B3" i="14"/>
  <c r="I10"/>
  <c r="B121" i="18"/>
  <c r="C62" i="34"/>
  <c r="C5" i="2"/>
  <c r="C31" i="34"/>
  <c r="B117" i="18"/>
  <c r="I2" i="14"/>
  <c r="C5"/>
  <c r="B115" i="18"/>
  <c r="C76" i="34"/>
  <c r="B39" i="18"/>
  <c r="B13" i="14"/>
  <c r="G13"/>
  <c r="C19" i="34"/>
  <c r="L3" i="14"/>
  <c r="J22" i="24"/>
  <c r="B14" i="16"/>
  <c r="B12" i="17"/>
  <c r="B20" i="33"/>
  <c r="B4" i="14"/>
  <c r="L11"/>
  <c r="O10"/>
  <c r="G9"/>
  <c r="L12"/>
  <c r="B10" i="34"/>
  <c r="M7" i="24"/>
  <c r="B196" i="36"/>
  <c r="K10" i="14"/>
  <c r="P3"/>
  <c r="L13"/>
  <c r="P7" i="24"/>
  <c r="B5" i="1"/>
  <c r="M17" i="24"/>
  <c r="O4" i="14"/>
  <c r="B215" i="36"/>
  <c r="B18" i="16"/>
  <c r="C28" i="34"/>
  <c r="J11" i="24"/>
  <c r="C14" i="14"/>
  <c r="N12"/>
  <c r="B10" i="1"/>
  <c r="B21" i="16"/>
  <c r="G16" i="14"/>
  <c r="G15"/>
  <c r="C72" i="34"/>
  <c r="B220" i="36"/>
  <c r="O5" i="14"/>
  <c r="C40" i="34"/>
  <c r="B34" i="21"/>
  <c r="C3" i="14"/>
  <c r="B25" i="33"/>
  <c r="F9" i="14"/>
  <c r="B56" i="18"/>
  <c r="I3" i="14"/>
  <c r="B194" i="36"/>
  <c r="G14" i="14"/>
  <c r="Q7"/>
  <c r="B38" i="18"/>
  <c r="B30" i="33"/>
  <c r="M13" i="14"/>
  <c r="B3" i="1"/>
  <c r="B200" i="36"/>
  <c r="C44" i="34"/>
  <c r="C30"/>
  <c r="K12" i="14"/>
  <c r="E12"/>
  <c r="P16"/>
  <c r="D16"/>
  <c r="B21" i="21"/>
  <c r="B20"/>
  <c r="B11" i="1"/>
  <c r="D17" i="14"/>
  <c r="B21" i="33"/>
  <c r="B199" i="36"/>
  <c r="B20" i="17"/>
  <c r="Q11" i="14"/>
  <c r="C53" i="34"/>
  <c r="C43"/>
  <c r="M9" i="24"/>
  <c r="M5" i="14"/>
  <c r="M10"/>
  <c r="O14"/>
  <c r="B9"/>
  <c r="Q17"/>
  <c r="C74" i="34"/>
  <c r="B221" i="36"/>
  <c r="B5" i="14"/>
  <c r="M6"/>
  <c r="B18" i="20"/>
  <c r="O8" i="14"/>
  <c r="E5"/>
  <c r="C21" i="34"/>
  <c r="B61" i="18"/>
  <c r="Q14" i="14"/>
  <c r="B120" i="18"/>
  <c r="J16" i="24"/>
  <c r="L14" i="14"/>
  <c r="B2"/>
  <c r="B9" i="33"/>
  <c r="N3" i="14"/>
  <c r="B10" i="33"/>
  <c r="C41" i="34"/>
  <c r="J14" i="24"/>
  <c r="E13" i="14"/>
  <c r="D5"/>
  <c r="I16"/>
  <c r="B12" i="21"/>
  <c r="B190" i="36"/>
  <c r="C2" i="14"/>
  <c r="B29" i="21"/>
  <c r="J13" i="14"/>
  <c r="B9" i="21"/>
  <c r="J5" i="14"/>
  <c r="B26" i="17"/>
  <c r="E3" i="14"/>
  <c r="B25" i="21"/>
  <c r="B7" i="14"/>
  <c r="G21" i="24"/>
  <c r="B66" i="18"/>
  <c r="B201" i="36"/>
  <c r="D14" i="14"/>
  <c r="C75" i="34"/>
  <c r="M10" i="24"/>
  <c r="E9" i="14"/>
  <c r="B52" i="18"/>
  <c r="G3" i="14"/>
  <c r="J5" i="2"/>
  <c r="B27" i="20"/>
  <c r="K13" i="14"/>
  <c r="B57" i="18"/>
  <c r="B44"/>
  <c r="B65"/>
  <c r="G5" i="14"/>
  <c r="J8"/>
  <c r="N11"/>
  <c r="D3"/>
  <c r="G8"/>
  <c r="C32" i="34"/>
  <c r="C7" i="14"/>
  <c r="J16"/>
  <c r="C42" i="34"/>
  <c r="B20" i="16"/>
  <c r="I6" i="14"/>
  <c r="B114" i="18"/>
  <c r="F3" i="14"/>
  <c r="D15"/>
  <c r="H5" i="2"/>
  <c r="B7" i="19"/>
  <c r="H14" i="14"/>
  <c r="E7"/>
  <c r="K7"/>
  <c r="B191" i="36"/>
  <c r="H17" i="14"/>
  <c r="J18" i="24"/>
  <c r="B9" i="26"/>
  <c r="B8"/>
  <c r="B8" i="31"/>
  <c r="B7"/>
</calcChain>
</file>

<file path=xl/comments1.xml><?xml version="1.0" encoding="utf-8"?>
<comments xmlns="http://schemas.openxmlformats.org/spreadsheetml/2006/main">
  <authors>
    <author>David Anthoff</author>
  </authors>
  <commentList>
    <comment ref="B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When ppp is true, this is used NormalDistribution(0.223045, 0.15, 0)</t>
        </r>
      </text>
    </comment>
  </commentList>
</comments>
</file>

<file path=xl/comments2.xml><?xml version="1.0" encoding="utf-8"?>
<comments xmlns="http://schemas.openxmlformats.org/spreadsheetml/2006/main">
  <authors>
    <author>David Anthoff</author>
  </authors>
  <commentList>
    <comment ref="B12" authorId="0">
      <text>
        <r>
          <rPr>
            <b/>
            <sz val="9"/>
            <color indexed="81"/>
            <rFont val="Tahoma"/>
            <family val="2"/>
          </rPr>
          <t>David Anthoff:</t>
        </r>
        <r>
          <rPr>
            <sz val="9"/>
            <color indexed="81"/>
            <rFont val="Tahoma"/>
            <family val="2"/>
          </rPr>
          <t xml:space="preserve">
hurricane damage, 1990</t>
        </r>
      </text>
    </comment>
    <comment ref="C12" authorId="0">
      <text>
        <r>
          <rPr>
            <b/>
            <sz val="9"/>
            <color indexed="81"/>
            <rFont val="Tahoma"/>
            <family val="2"/>
          </rPr>
          <t>David Anthoff:</t>
        </r>
        <r>
          <rPr>
            <sz val="9"/>
            <color indexed="81"/>
            <rFont val="Tahoma"/>
            <family val="2"/>
          </rPr>
          <t xml:space="preserve">
hurricane deaths, 1990</t>
        </r>
      </text>
    </comment>
  </commentList>
</comments>
</file>

<file path=xl/comments3.xml><?xml version="1.0" encoding="utf-8"?>
<comments xmlns="http://schemas.openxmlformats.org/spreadsheetml/2006/main">
  <authors>
    <author>David Anthoff</author>
  </authors>
  <commentList>
    <comment ref="B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When ppp is true, this is used NormalDistribution(0.179875, 0.08, 0)</t>
        </r>
      </text>
    </comment>
  </commentList>
</comments>
</file>

<file path=xl/comments4.xml><?xml version="1.0" encoding="utf-8"?>
<comments xmlns="http://schemas.openxmlformats.org/spreadsheetml/2006/main">
  <authors>
    <author>David Anthoff</author>
  </authors>
  <commentList>
    <comment ref="B187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linear respiratory disorders</t>
        </r>
      </text>
    </comment>
    <comment ref="B206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quadratic respiratory disorders</t>
        </r>
      </text>
    </comment>
  </commentList>
</comments>
</file>

<file path=xl/comments5.xml><?xml version="1.0" encoding="utf-8"?>
<comments xmlns="http://schemas.openxmlformats.org/spreadsheetml/2006/main">
  <authors>
    <author>David Anthoff</author>
  </authors>
  <commentList>
    <comment ref="A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coast length</t>
        </r>
      </text>
    </comment>
    <comment ref="A11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temperature 1961-1990</t>
        </r>
      </text>
    </comment>
    <comment ref="A12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note: these numbers are fake</t>
        </r>
      </text>
    </comment>
    <comment ref="A13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note: these numbers are fake</t>
        </r>
      </text>
    </comment>
    <comment ref="A14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note: these numbers are fake</t>
        </r>
      </text>
    </comment>
    <comment ref="A17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methane emission reduction cost curve</t>
        </r>
      </text>
    </comment>
    <comment ref="A20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methane emission reduction cost curve</t>
        </r>
      </text>
    </comment>
  </commentList>
</comments>
</file>

<file path=xl/comments6.xml><?xml version="1.0" encoding="utf-8"?>
<comments xmlns="http://schemas.openxmlformats.org/spreadsheetml/2006/main">
  <authors>
    <author>David Anthoff</author>
  </authors>
  <commentList>
    <comment ref="B1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years of life diseased to mortality, malaria, schisto, dengue, cardio, respiratory</t>
        </r>
      </text>
    </comment>
    <comment ref="C1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years of life diseased to mortality, malaria, schisto, dengue, cardio, respiratory</t>
        </r>
      </text>
    </comment>
    <comment ref="D1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years of life diseased to mortality, malaria, schisto, dengue, cardio, respiratory</t>
        </r>
      </text>
    </comment>
    <comment ref="E1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years of life diseased to mortality, malaria, schisto, dengue, cardio, respiratory</t>
        </r>
      </text>
    </comment>
    <comment ref="F1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years of life diseased to mortality, malaria, schisto, dengue, cardio, respiratory</t>
        </r>
      </text>
    </comment>
    <comment ref="G1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ratio of years of life lost to mortality cases, malaria, schisto, dengue, cardio and respiratory</t>
        </r>
      </text>
    </comment>
    <comment ref="H1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ratio of years of life lost to mortality cases, malaria, schisto, dengue, cardio and respiratory</t>
        </r>
      </text>
    </comment>
    <comment ref="I1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ratio of years of life lost to mortality cases, malaria, schisto, dengue, cardio and respiratory</t>
        </r>
      </text>
    </comment>
    <comment ref="J1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ratio of years of life lost to mortality cases, malaria, schisto, dengue, cardio and respiratory</t>
        </r>
      </text>
    </comment>
    <comment ref="K1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ratio of years of life lost to mortality cases, malaria, schisto, dengue, cardio and respiratory</t>
        </r>
      </text>
    </comment>
  </commentList>
</comments>
</file>

<file path=xl/sharedStrings.xml><?xml version="1.0" encoding="utf-8"?>
<sst xmlns="http://schemas.openxmlformats.org/spreadsheetml/2006/main" count="1379" uniqueCount="245">
  <si>
    <t>Name</t>
  </si>
  <si>
    <t>Value</t>
  </si>
  <si>
    <t>USA</t>
  </si>
  <si>
    <t>CAN</t>
  </si>
  <si>
    <t>Year</t>
  </si>
  <si>
    <t>n2oadd</t>
  </si>
  <si>
    <t>WEU</t>
  </si>
  <si>
    <t>JPK</t>
  </si>
  <si>
    <t>ANZ</t>
  </si>
  <si>
    <t>EEU</t>
  </si>
  <si>
    <t>FSU</t>
  </si>
  <si>
    <t>MDE</t>
  </si>
  <si>
    <t>CAM</t>
  </si>
  <si>
    <t>LAM</t>
  </si>
  <si>
    <t>SAS</t>
  </si>
  <si>
    <t>SEA</t>
  </si>
  <si>
    <t>CHI</t>
  </si>
  <si>
    <t>MAF</t>
  </si>
  <si>
    <t>SSA</t>
  </si>
  <si>
    <t>SIS</t>
  </si>
  <si>
    <t>ch4add</t>
  </si>
  <si>
    <t>lifesea</t>
  </si>
  <si>
    <t>lifeco2</t>
  </si>
  <si>
    <t>lifeco3</t>
  </si>
  <si>
    <t>lifeco4</t>
  </si>
  <si>
    <t>lifeco5</t>
  </si>
  <si>
    <t>bioloss</t>
  </si>
  <si>
    <t>biosens</t>
  </si>
  <si>
    <t>bioshare</t>
  </si>
  <si>
    <t>watechrate</t>
  </si>
  <si>
    <t>forel</t>
  </si>
  <si>
    <t>fornl</t>
  </si>
  <si>
    <t>wrel</t>
  </si>
  <si>
    <t>wrnl</t>
  </si>
  <si>
    <t>heel</t>
  </si>
  <si>
    <t>henl</t>
  </si>
  <si>
    <t>ceel</t>
  </si>
  <si>
    <t>cenl</t>
  </si>
  <si>
    <t>agnl</t>
  </si>
  <si>
    <t>vbel</t>
  </si>
  <si>
    <t>agel</t>
  </si>
  <si>
    <t>malnl</t>
  </si>
  <si>
    <t>dfnl</t>
  </si>
  <si>
    <t>smnl</t>
  </si>
  <si>
    <t>forco2</t>
  </si>
  <si>
    <t>plusel</t>
  </si>
  <si>
    <t>spbm</t>
  </si>
  <si>
    <t>vyll</t>
  </si>
  <si>
    <t>diamortel</t>
  </si>
  <si>
    <t>diamortnl</t>
  </si>
  <si>
    <t>diayldel</t>
  </si>
  <si>
    <t>diayldnl</t>
  </si>
  <si>
    <t>emcst</t>
  </si>
  <si>
    <t>immcst</t>
  </si>
  <si>
    <t>cvlin</t>
  </si>
  <si>
    <t>rlin</t>
  </si>
  <si>
    <t>maxcardvasc</t>
  </si>
  <si>
    <t>wvbm</t>
  </si>
  <si>
    <t>dvbm</t>
  </si>
  <si>
    <t>taxmp</t>
  </si>
  <si>
    <t>wrbm</t>
  </si>
  <si>
    <t>hebm</t>
  </si>
  <si>
    <t>cebm</t>
  </si>
  <si>
    <t>forbm</t>
  </si>
  <si>
    <t>dfbs</t>
  </si>
  <si>
    <t>dfch</t>
  </si>
  <si>
    <t>smbs</t>
  </si>
  <si>
    <t>smch</t>
  </si>
  <si>
    <t>malbs</t>
  </si>
  <si>
    <t>malch</t>
  </si>
  <si>
    <t>chmlbm</t>
  </si>
  <si>
    <t>chmqbm</t>
  </si>
  <si>
    <t>chplbm</t>
  </si>
  <si>
    <t>chpqbm</t>
  </si>
  <si>
    <t>ccmlbm</t>
  </si>
  <si>
    <t>ccmqbm</t>
  </si>
  <si>
    <t>ccplbm</t>
  </si>
  <si>
    <t>ccpqbm</t>
  </si>
  <si>
    <t>rlbm</t>
  </si>
  <si>
    <t>rqbm</t>
  </si>
  <si>
    <t>wlbm</t>
  </si>
  <si>
    <t>wmbm</t>
  </si>
  <si>
    <t>wetmax</t>
  </si>
  <si>
    <t>dlbm</t>
  </si>
  <si>
    <t>coast</t>
  </si>
  <si>
    <t>pc</t>
  </si>
  <si>
    <t>agrbm</t>
  </si>
  <si>
    <t>agtime</t>
  </si>
  <si>
    <t>agcbm</t>
  </si>
  <si>
    <t>pgadd</t>
  </si>
  <si>
    <t>ecgradd</t>
  </si>
  <si>
    <t>aeeiadd</t>
  </si>
  <si>
    <t>aceiadd</t>
  </si>
  <si>
    <t>foremadd</t>
  </si>
  <si>
    <t>lifech4</t>
  </si>
  <si>
    <t>lifen2o</t>
  </si>
  <si>
    <t>agrish0</t>
  </si>
  <si>
    <t>bregtmp</t>
  </si>
  <si>
    <t>temp90</t>
  </si>
  <si>
    <t>diamort</t>
  </si>
  <si>
    <t>diayld</t>
  </si>
  <si>
    <t>forconst</t>
  </si>
  <si>
    <t>forlinear</t>
  </si>
  <si>
    <t>forsquare</t>
  </si>
  <si>
    <t>ch4par1</t>
  </si>
  <si>
    <t>ch4par2</t>
  </si>
  <si>
    <t>ch4par1 mode</t>
  </si>
  <si>
    <t>ch4par1 std err</t>
  </si>
  <si>
    <t>ch4par2 mode</t>
  </si>
  <si>
    <t>ch4par2 std err</t>
  </si>
  <si>
    <t>n2opar1</t>
  </si>
  <si>
    <t>n2opar2</t>
  </si>
  <si>
    <t>n2opar1 mode</t>
  </si>
  <si>
    <t>n2opar1 std err</t>
  </si>
  <si>
    <t>n2opar2 mode</t>
  </si>
  <si>
    <t>n2opar2 std err</t>
  </si>
  <si>
    <t>pop0</t>
  </si>
  <si>
    <t>d2dm</t>
  </si>
  <si>
    <t>d2ds</t>
  </si>
  <si>
    <t>d2dd</t>
  </si>
  <si>
    <t>d2dc</t>
  </si>
  <si>
    <t>d2dr</t>
  </si>
  <si>
    <t>d2lm</t>
  </si>
  <si>
    <t>d2ls</t>
  </si>
  <si>
    <t>d2ld</t>
  </si>
  <si>
    <t>d2lc</t>
  </si>
  <si>
    <t>d2lr</t>
  </si>
  <si>
    <t>lifeco1</t>
  </si>
  <si>
    <t>valbase</t>
  </si>
  <si>
    <t>Mode</t>
  </si>
  <si>
    <t>Min</t>
  </si>
  <si>
    <t>Max</t>
  </si>
  <si>
    <t>Alpha</t>
  </si>
  <si>
    <t>Beta</t>
  </si>
  <si>
    <t>Lambda</t>
  </si>
  <si>
    <t>Mean</t>
  </si>
  <si>
    <t>Standard deviation</t>
  </si>
  <si>
    <t>sf60</t>
  </si>
  <si>
    <t>sf6gdp</t>
  </si>
  <si>
    <t>sf6ypc</t>
  </si>
  <si>
    <t>lifesf6</t>
  </si>
  <si>
    <t>sf6add</t>
  </si>
  <si>
    <t>so20</t>
  </si>
  <si>
    <t>Region</t>
  </si>
  <si>
    <t>mean</t>
  </si>
  <si>
    <t>mode</t>
  </si>
  <si>
    <t>st.dev.</t>
  </si>
  <si>
    <t>alpha</t>
  </si>
  <si>
    <t>beta</t>
  </si>
  <si>
    <t>gdp90</t>
  </si>
  <si>
    <t>pop90</t>
  </si>
  <si>
    <t>co2pre</t>
  </si>
  <si>
    <t>emissint0</t>
  </si>
  <si>
    <t>DBsTa</t>
  </si>
  <si>
    <t>nospecbase</t>
  </si>
  <si>
    <t>hurrdamel</t>
  </si>
  <si>
    <t>hurrdeadel</t>
  </si>
  <si>
    <t>hurrpar</t>
  </si>
  <si>
    <t>hurrnl</t>
  </si>
  <si>
    <t>hurrbasedam</t>
  </si>
  <si>
    <t>hurrbasedead</t>
  </si>
  <si>
    <t>urbcorr</t>
  </si>
  <si>
    <t>coastpd</t>
  </si>
  <si>
    <t>plus90</t>
  </si>
  <si>
    <t>cardvasc90</t>
  </si>
  <si>
    <t>resp90</t>
  </si>
  <si>
    <t>incdens</t>
  </si>
  <si>
    <t>valinc</t>
  </si>
  <si>
    <t>impact of a 1 degree warming on water resources, expressed as fraction of GDP</t>
  </si>
  <si>
    <t>Diarrhea mortality and morbidity, expressed as (additional) deaths per million people,</t>
  </si>
  <si>
    <t>years of life lost per million people</t>
  </si>
  <si>
    <t>ratio of regional to global mean temperature, average of 14 GCMs</t>
  </si>
  <si>
    <t>bregstmp</t>
  </si>
  <si>
    <t>extratropicalstormsdamel</t>
  </si>
  <si>
    <t>extratropicalstormsdeadel</t>
  </si>
  <si>
    <t>extratropicalstormspar</t>
  </si>
  <si>
    <t>extratropicalstormsbasedam</t>
  </si>
  <si>
    <t>extratropicalstormsbasedead</t>
  </si>
  <si>
    <t>extratropicalstormsnl</t>
  </si>
  <si>
    <t>extratropicalstormsbasedam in per 1000 $ GDP</t>
  </si>
  <si>
    <t>vslel</t>
  </si>
  <si>
    <t>vmorbel</t>
  </si>
  <si>
    <t>wrpl</t>
  </si>
  <si>
    <t>consleak</t>
  </si>
  <si>
    <t>area0</t>
  </si>
  <si>
    <t>so2pop</t>
  </si>
  <si>
    <t>so2inc</t>
  </si>
  <si>
    <t>so2carb</t>
  </si>
  <si>
    <t>knowpar</t>
  </si>
  <si>
    <t>knowgpar</t>
  </si>
  <si>
    <t>gwpch4</t>
  </si>
  <si>
    <t>gwpn2o</t>
  </si>
  <si>
    <t>TaxConstant</t>
  </si>
  <si>
    <t>TaxEmInt</t>
  </si>
  <si>
    <t>TaxThreshold</t>
  </si>
  <si>
    <t>TaxDepreciation</t>
  </si>
  <si>
    <t>MaxCostFall</t>
  </si>
  <si>
    <t>TerrCO2Sens</t>
  </si>
  <si>
    <t>TerrCO2Stock0</t>
  </si>
  <si>
    <t>LifeTempConst</t>
  </si>
  <si>
    <t>LifeTempLin</t>
  </si>
  <si>
    <t>seas</t>
  </si>
  <si>
    <t>impact of 1 degree warming on forestry,expressed as fraction of GDP</t>
  </si>
  <si>
    <t>dfbs:</t>
  </si>
  <si>
    <t>dengue fever mortality, baseline mortality, expressed as (additional) deaths per million people.</t>
  </si>
  <si>
    <t>change in baseline mortality due to a one degree warming, as fraction of baseline mortality</t>
  </si>
  <si>
    <t>schistosomiasis mortality, baseline mortality, expressed as (additional) deaths per million people</t>
  </si>
  <si>
    <t>change in baseline mortality due to a one degree warming, expressed as fractions of baseline mortality</t>
  </si>
  <si>
    <t>baseline mortality,  deaths per million people</t>
  </si>
  <si>
    <t>impact of a one degree warming onmalaria mortality</t>
  </si>
  <si>
    <t>gdp0</t>
  </si>
  <si>
    <t>The standard deviations are calculated by taking 1/4 of the absolute deterministic growth rate of the variable in question in the year 2075</t>
  </si>
  <si>
    <t>slrprtp</t>
  </si>
  <si>
    <t>dvydl</t>
  </si>
  <si>
    <t>wvel</t>
  </si>
  <si>
    <t>wvpdl</t>
  </si>
  <si>
    <t>wvsl</t>
  </si>
  <si>
    <t>wetland90</t>
  </si>
  <si>
    <t>slrwvypc0</t>
  </si>
  <si>
    <t>slrwvpopdens0</t>
  </si>
  <si>
    <t>NormalDistribution(-0.514; 0.027;-1; 0)</t>
  </si>
  <si>
    <t>NormalDistribution(-0.501; 0.051;-1; 0)</t>
  </si>
  <si>
    <t>vslbm</t>
  </si>
  <si>
    <t>vmorbbm</t>
  </si>
  <si>
    <t>vslypc0</t>
  </si>
  <si>
    <t>vmorbypc0</t>
  </si>
  <si>
    <t>timeofuncertaintystart</t>
  </si>
  <si>
    <t>drylandlossparam</t>
  </si>
  <si>
    <t>aglparl</t>
  </si>
  <si>
    <t>aglparq</t>
  </si>
  <si>
    <t>2000y</t>
  </si>
  <si>
    <t>LifeTempQd</t>
  </si>
  <si>
    <t>maxlandloss</t>
  </si>
  <si>
    <t>so2ind</t>
  </si>
  <si>
    <t>so2dir</t>
  </si>
  <si>
    <t>sf6pre</t>
  </si>
  <si>
    <t>n2opre</t>
  </si>
  <si>
    <t>co2frac1</t>
  </si>
  <si>
    <t>co2frac2</t>
  </si>
  <si>
    <t>co2frac3</t>
  </si>
  <si>
    <t>co2frac4</t>
  </si>
  <si>
    <t>co2frac5</t>
  </si>
  <si>
    <t>ch4pre</t>
  </si>
  <si>
    <t>ch4ind</t>
  </si>
  <si>
    <t>roebakercsparameter</t>
  </si>
</sst>
</file>

<file path=xl/styles.xml><?xml version="1.0" encoding="utf-8"?>
<styleSheet xmlns="http://schemas.openxmlformats.org/spreadsheetml/2006/main">
  <numFmts count="5">
    <numFmt numFmtId="164" formatCode="_-* #,##0.00\ _€_-;\-* #,##0.00\ _€_-;_-* &quot;-&quot;??\ _€_-;_-@_-"/>
    <numFmt numFmtId="165" formatCode="0.0000000"/>
    <numFmt numFmtId="166" formatCode="_-* #,##0.000\ _€_-;\-* #,##0.000\ _€_-;_-* &quot;-&quot;??\ _€_-;_-@_-"/>
    <numFmt numFmtId="167" formatCode="_-* #,##0.00000\ _€_-;\-* #,##0.00000\ _€_-;_-* &quot;-&quot;??\ _€_-;_-@_-"/>
    <numFmt numFmtId="168" formatCode="_-* #,##0.000000\ _€_-;\-* #,##0.000000\ _€_-;_-* &quot;-&quot;??\ _€_-;_-@_-"/>
  </numFmts>
  <fonts count="1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1" fillId="2" borderId="0" applyNumberFormat="0" applyFont="0" applyBorder="0" applyAlignment="0" applyProtection="0"/>
    <xf numFmtId="0" fontId="1" fillId="0" borderId="0"/>
    <xf numFmtId="0" fontId="1" fillId="0" borderId="0"/>
    <xf numFmtId="164" fontId="10" fillId="0" borderId="0" applyFont="0" applyFill="0" applyBorder="0" applyAlignment="0" applyProtection="0"/>
  </cellStyleXfs>
  <cellXfs count="35">
    <xf numFmtId="0" fontId="0" fillId="0" borderId="0" xfId="0"/>
    <xf numFmtId="0" fontId="3" fillId="0" borderId="0" xfId="0" applyNumberFormat="1" applyFont="1"/>
    <xf numFmtId="0" fontId="0" fillId="0" borderId="0" xfId="0" applyNumberFormat="1"/>
    <xf numFmtId="0" fontId="6" fillId="0" borderId="0" xfId="0" applyNumberFormat="1" applyFont="1"/>
    <xf numFmtId="0" fontId="3" fillId="0" borderId="0" xfId="0" applyNumberFormat="1" applyFont="1" applyFill="1"/>
    <xf numFmtId="0" fontId="0" fillId="0" borderId="0" xfId="0" applyNumberFormat="1" applyFill="1"/>
    <xf numFmtId="0" fontId="0" fillId="2" borderId="0" xfId="1" applyNumberFormat="1" applyFont="1"/>
    <xf numFmtId="0" fontId="0" fillId="2" borderId="0" xfId="1" applyFont="1"/>
    <xf numFmtId="0" fontId="3" fillId="0" borderId="0" xfId="0" applyFont="1"/>
    <xf numFmtId="0" fontId="0" fillId="2" borderId="0" xfId="0" applyNumberFormat="1" applyFill="1"/>
    <xf numFmtId="0" fontId="3" fillId="0" borderId="1" xfId="0" applyNumberFormat="1" applyFont="1" applyFill="1" applyBorder="1"/>
    <xf numFmtId="0" fontId="3" fillId="0" borderId="1" xfId="0" applyNumberFormat="1" applyFont="1" applyBorder="1"/>
    <xf numFmtId="0" fontId="3" fillId="0" borderId="1" xfId="0" applyFont="1" applyBorder="1"/>
    <xf numFmtId="0" fontId="1" fillId="0" borderId="0" xfId="0" applyFont="1"/>
    <xf numFmtId="165" fontId="0" fillId="0" borderId="0" xfId="0" applyNumberFormat="1"/>
    <xf numFmtId="0" fontId="0" fillId="0" borderId="0" xfId="1" applyNumberFormat="1" applyFont="1" applyFill="1"/>
    <xf numFmtId="0" fontId="3" fillId="0" borderId="0" xfId="0" applyNumberFormat="1" applyFont="1" applyFill="1" applyBorder="1"/>
    <xf numFmtId="0" fontId="0" fillId="0" borderId="0" xfId="0" applyNumberFormat="1" applyFont="1" applyFill="1"/>
    <xf numFmtId="0" fontId="1" fillId="0" borderId="0" xfId="0" applyNumberFormat="1" applyFont="1"/>
    <xf numFmtId="0" fontId="1" fillId="0" borderId="0" xfId="1" applyNumberFormat="1" applyFont="1" applyFill="1"/>
    <xf numFmtId="0" fontId="1" fillId="0" borderId="0" xfId="2"/>
    <xf numFmtId="0" fontId="1" fillId="0" borderId="0" xfId="1" applyNumberFormat="1" applyFont="1" applyFill="1"/>
    <xf numFmtId="0" fontId="1" fillId="0" borderId="0" xfId="1" applyNumberFormat="1" applyFont="1" applyFill="1"/>
    <xf numFmtId="0" fontId="1" fillId="0" borderId="0" xfId="3"/>
    <xf numFmtId="166" fontId="0" fillId="0" borderId="0" xfId="4" applyNumberFormat="1" applyFont="1"/>
    <xf numFmtId="167" fontId="0" fillId="0" borderId="0" xfId="4" applyNumberFormat="1" applyFont="1"/>
    <xf numFmtId="168" fontId="0" fillId="0" borderId="0" xfId="4" applyNumberFormat="1" applyFont="1"/>
    <xf numFmtId="0" fontId="1" fillId="2" borderId="0" xfId="1" applyNumberFormat="1" applyFont="1"/>
    <xf numFmtId="0" fontId="1" fillId="0" borderId="0" xfId="0" applyNumberFormat="1" applyFont="1" applyFill="1"/>
    <xf numFmtId="2" fontId="0" fillId="2" borderId="0" xfId="1" applyNumberFormat="1" applyFont="1"/>
    <xf numFmtId="0" fontId="3" fillId="0" borderId="0" xfId="2" applyNumberFormat="1" applyFont="1" applyFill="1"/>
    <xf numFmtId="0" fontId="3" fillId="0" borderId="0" xfId="2" applyNumberFormat="1" applyFont="1"/>
    <xf numFmtId="0" fontId="3" fillId="0" borderId="0" xfId="2" applyFont="1"/>
    <xf numFmtId="0" fontId="1" fillId="0" borderId="0" xfId="2" applyNumberFormat="1" applyFont="1" applyFill="1"/>
    <xf numFmtId="0" fontId="1" fillId="0" borderId="0" xfId="2" applyNumberFormat="1"/>
  </cellXfs>
  <cellStyles count="5">
    <cellStyle name="Comma" xfId="4" builtinId="3"/>
    <cellStyle name="Normal" xfId="0" builtinId="0"/>
    <cellStyle name="Parameter" xfId="1"/>
    <cellStyle name="Standard 3" xfId="2"/>
    <cellStyle name="Standard 6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9"/>
  <dimension ref="A8:I104"/>
  <sheetViews>
    <sheetView topLeftCell="A16" workbookViewId="0">
      <selection activeCell="C27" sqref="C27:C42"/>
    </sheetView>
  </sheetViews>
  <sheetFormatPr defaultColWidth="11.5703125" defaultRowHeight="12.75"/>
  <cols>
    <col min="1" max="1" width="13" bestFit="1" customWidth="1"/>
    <col min="2" max="2" width="60" bestFit="1" customWidth="1"/>
    <col min="3" max="3" width="26.85546875" bestFit="1" customWidth="1"/>
    <col min="4" max="4" width="27.85546875" bestFit="1" customWidth="1"/>
    <col min="5" max="5" width="33.140625" bestFit="1" customWidth="1"/>
    <col min="6" max="6" width="28.85546875" bestFit="1" customWidth="1"/>
    <col min="7" max="8" width="26.85546875" bestFit="1" customWidth="1"/>
    <col min="9" max="9" width="7.5703125" bestFit="1" customWidth="1"/>
    <col min="10" max="10" width="7.42578125" bestFit="1" customWidth="1"/>
    <col min="11" max="11" width="20.5703125" bestFit="1" customWidth="1"/>
  </cols>
  <sheetData>
    <row r="8" spans="1:9" s="2" customFormat="1">
      <c r="A8" s="5" t="s">
        <v>52</v>
      </c>
      <c r="B8" s="6" t="str">
        <f>NormalDistribution(C8,D8,H8)</f>
        <v>NormalDistribution(3; 1.5; 0)</v>
      </c>
      <c r="C8" s="2">
        <v>3</v>
      </c>
      <c r="D8" s="2">
        <v>1.5</v>
      </c>
      <c r="H8" s="2">
        <v>0</v>
      </c>
    </row>
    <row r="9" spans="1:9" s="2" customFormat="1">
      <c r="A9" s="5" t="s">
        <v>53</v>
      </c>
      <c r="B9" s="6" t="str">
        <f>NormalDistribution(C9,D9,H9)</f>
        <v>NormalDistribution(0.4; 0.2; 0)</v>
      </c>
      <c r="C9" s="2">
        <v>0.4</v>
      </c>
      <c r="D9" s="2">
        <v>0.2</v>
      </c>
      <c r="H9" s="2">
        <v>0</v>
      </c>
    </row>
    <row r="11" spans="1:9">
      <c r="A11" s="13" t="s">
        <v>58</v>
      </c>
      <c r="B11" s="6" t="str">
        <f>NormalDistribution(C11,D11,0)</f>
        <v>NormalDistribution(0.004; 0.002; 0)</v>
      </c>
      <c r="C11">
        <v>4.0000000000000001E-3</v>
      </c>
      <c r="D11">
        <v>2E-3</v>
      </c>
      <c r="E11" s="24"/>
      <c r="F11" s="24"/>
    </row>
    <row r="12" spans="1:9">
      <c r="A12" s="13" t="s">
        <v>213</v>
      </c>
      <c r="B12" s="6" t="str">
        <f>NormalDistribution(C12,D12,0)</f>
        <v>NormalDistribution(1; 0.25; 0)</v>
      </c>
      <c r="C12">
        <v>1</v>
      </c>
      <c r="D12">
        <v>0.25</v>
      </c>
    </row>
    <row r="13" spans="1:9" s="2" customFormat="1">
      <c r="A13" s="5" t="s">
        <v>166</v>
      </c>
      <c r="B13" s="9">
        <v>6.3500000000000004E-4</v>
      </c>
      <c r="C13" s="26"/>
      <c r="D13"/>
      <c r="E13"/>
      <c r="F13"/>
      <c r="G13"/>
      <c r="H13"/>
      <c r="I13"/>
    </row>
    <row r="14" spans="1:9">
      <c r="A14" s="13"/>
      <c r="B14" s="6"/>
    </row>
    <row r="15" spans="1:9">
      <c r="A15" s="13" t="s">
        <v>57</v>
      </c>
      <c r="B15" s="6" t="str">
        <f>NormalDistribution(C15,D15,0)</f>
        <v>NormalDistribution(0.00588; 0.003927; 0)</v>
      </c>
      <c r="C15" s="25">
        <v>5.8800000000000007E-3</v>
      </c>
      <c r="D15">
        <v>3.9269999999999999E-3</v>
      </c>
    </row>
    <row r="16" spans="1:9">
      <c r="A16" s="13"/>
      <c r="B16" s="6"/>
    </row>
    <row r="17" spans="1:5">
      <c r="A17" s="13" t="s">
        <v>214</v>
      </c>
      <c r="B17" s="6" t="str">
        <f>NormalDistribution(C17,D17,0)</f>
        <v>NormalDistribution(1.16; 0.46; 0)</v>
      </c>
      <c r="C17">
        <v>1.1599999999999999</v>
      </c>
      <c r="D17">
        <v>0.46</v>
      </c>
    </row>
    <row r="18" spans="1:5">
      <c r="A18" s="13" t="s">
        <v>218</v>
      </c>
      <c r="B18" s="6">
        <v>25000</v>
      </c>
    </row>
    <row r="19" spans="1:5">
      <c r="A19" s="13"/>
      <c r="B19" s="6"/>
    </row>
    <row r="20" spans="1:5">
      <c r="A20" s="13" t="s">
        <v>219</v>
      </c>
      <c r="B20" s="6">
        <v>27.5937717888728</v>
      </c>
    </row>
    <row r="21" spans="1:5">
      <c r="A21" s="13" t="s">
        <v>215</v>
      </c>
      <c r="B21" s="6" t="str">
        <f>NormalDistribution(C21,D21,0,1)</f>
        <v>NormalDistribution(0.47; 0.12; 0; 1)</v>
      </c>
      <c r="C21">
        <v>0.47</v>
      </c>
      <c r="D21">
        <v>0.12</v>
      </c>
    </row>
    <row r="22" spans="1:5">
      <c r="A22" s="13"/>
      <c r="B22" s="6"/>
    </row>
    <row r="23" spans="1:5">
      <c r="A23" s="13" t="s">
        <v>216</v>
      </c>
      <c r="B23" s="6" t="str">
        <f>NormalDistribution(C23,D23,-1,0)</f>
        <v>NormalDistribution(-0.11; 0.05; -1; 0)</v>
      </c>
      <c r="C23">
        <v>-0.11</v>
      </c>
      <c r="D23">
        <v>0.05</v>
      </c>
    </row>
    <row r="26" spans="1:5">
      <c r="A26" s="12" t="s">
        <v>143</v>
      </c>
      <c r="B26" s="12" t="s">
        <v>83</v>
      </c>
      <c r="C26" s="12" t="s">
        <v>232</v>
      </c>
      <c r="E26" s="12" t="s">
        <v>212</v>
      </c>
    </row>
    <row r="27" spans="1:5">
      <c r="A27" s="1" t="s">
        <v>2</v>
      </c>
      <c r="B27" s="6" t="str">
        <f>NormalDistribution(20000, 10000, 0)</f>
        <v>NormalDistribution(20000; 10000; 0)</v>
      </c>
      <c r="C27" s="6">
        <v>1373498</v>
      </c>
      <c r="E27" s="6">
        <v>0.03</v>
      </c>
    </row>
    <row r="28" spans="1:5">
      <c r="A28" s="1" t="s">
        <v>3</v>
      </c>
      <c r="B28" s="6" t="str">
        <f>NormalDistribution(970, 970, 0)</f>
        <v>NormalDistribution(970; 970; 0)</v>
      </c>
      <c r="C28" s="6">
        <v>1170585</v>
      </c>
      <c r="E28" s="6">
        <v>0.03</v>
      </c>
    </row>
    <row r="29" spans="1:5">
      <c r="A29" s="1" t="s">
        <v>6</v>
      </c>
      <c r="B29" s="6" t="str">
        <f>NormalDistribution(4212, 1273, 0)</f>
        <v>NormalDistribution(4212; 1273; 0)</v>
      </c>
      <c r="C29" s="6">
        <v>1004586</v>
      </c>
      <c r="E29" s="6">
        <v>0.03</v>
      </c>
    </row>
    <row r="30" spans="1:5">
      <c r="A30" s="1" t="s">
        <v>7</v>
      </c>
      <c r="B30" s="6" t="str">
        <f>NormalDistribution(2687, 1213, 0)</f>
        <v>NormalDistribution(2687; 1213; 0)</v>
      </c>
      <c r="C30" s="6">
        <v>171553</v>
      </c>
      <c r="E30" s="6">
        <v>0.03</v>
      </c>
    </row>
    <row r="31" spans="1:5">
      <c r="A31" s="1" t="s">
        <v>8</v>
      </c>
      <c r="B31" s="6" t="str">
        <f>NormalDistribution(3135, 2920, 0)</f>
        <v>NormalDistribution(3135; 2920; 0)</v>
      </c>
      <c r="C31" s="6">
        <v>1514759</v>
      </c>
      <c r="E31" s="6">
        <v>0.03</v>
      </c>
    </row>
    <row r="32" spans="1:5">
      <c r="A32" s="1" t="s">
        <v>9</v>
      </c>
      <c r="B32" s="6" t="str">
        <f>NormalDistribution(1889, 860, 0)</f>
        <v>NormalDistribution(1889; 860; 0)</v>
      </c>
      <c r="C32" s="6">
        <v>220274</v>
      </c>
      <c r="E32" s="6">
        <v>0.03</v>
      </c>
    </row>
    <row r="33" spans="1:5">
      <c r="A33" s="1" t="s">
        <v>10</v>
      </c>
      <c r="B33" s="6" t="str">
        <f>NormalDistribution(15138, 15138, 0)</f>
        <v>NormalDistribution(15138; 15138; 0)</v>
      </c>
      <c r="C33" s="6">
        <v>5527204</v>
      </c>
      <c r="E33" s="6">
        <v>0.03</v>
      </c>
    </row>
    <row r="34" spans="1:5">
      <c r="A34" s="1" t="s">
        <v>11</v>
      </c>
      <c r="B34" s="6" t="str">
        <f>NormalDistribution(1621, 1025, 0)</f>
        <v>NormalDistribution(1621; 1025; 0)</v>
      </c>
      <c r="C34" s="6">
        <v>601498</v>
      </c>
      <c r="E34" s="6">
        <v>0.03</v>
      </c>
    </row>
    <row r="35" spans="1:5">
      <c r="A35" s="1" t="s">
        <v>12</v>
      </c>
      <c r="B35" s="6" t="str">
        <f>NormalDistribution(12004, 8033, 0)</f>
        <v>NormalDistribution(12004; 8033; 0)</v>
      </c>
      <c r="C35" s="6">
        <v>509083</v>
      </c>
      <c r="E35" s="6">
        <v>0.03</v>
      </c>
    </row>
    <row r="36" spans="1:5">
      <c r="A36" s="1" t="s">
        <v>13</v>
      </c>
      <c r="B36" s="6" t="str">
        <f>NormalDistribution(29407, 11847, 0)</f>
        <v>NormalDistribution(29407; 11847; 0)</v>
      </c>
      <c r="C36" s="6">
        <v>3131627</v>
      </c>
      <c r="E36" s="6">
        <v>0.03</v>
      </c>
    </row>
    <row r="37" spans="1:5">
      <c r="A37" s="1" t="s">
        <v>14</v>
      </c>
      <c r="B37" s="6" t="str">
        <f>NormalDistribution(81275, 49361, 0)</f>
        <v>NormalDistribution(81275; 49361; 0)</v>
      </c>
      <c r="C37" s="6">
        <v>1241785</v>
      </c>
      <c r="E37" s="6">
        <v>0.03</v>
      </c>
    </row>
    <row r="38" spans="1:5">
      <c r="A38" s="1" t="s">
        <v>15</v>
      </c>
      <c r="B38" s="6" t="str">
        <f>NormalDistribution(157286, 90170, 0)</f>
        <v>NormalDistribution(157286; 90170; 0)</v>
      </c>
      <c r="C38" s="6">
        <v>1908853</v>
      </c>
      <c r="E38" s="6">
        <v>0.03</v>
      </c>
    </row>
    <row r="39" spans="1:5">
      <c r="A39" s="1" t="s">
        <v>16</v>
      </c>
      <c r="B39" s="6" t="str">
        <f>NormalDistribution(35000, 17500, 0)</f>
        <v>NormalDistribution(35000; 17500; 0)</v>
      </c>
      <c r="C39" s="6">
        <v>973897</v>
      </c>
      <c r="E39" s="6">
        <v>0.03</v>
      </c>
    </row>
    <row r="40" spans="1:5">
      <c r="A40" s="1" t="s">
        <v>17</v>
      </c>
      <c r="B40" s="6" t="str">
        <f>NormalDistribution(8354, 3478, 0)</f>
        <v>NormalDistribution(8354; 3478; 0)</v>
      </c>
      <c r="C40" s="6">
        <v>445413</v>
      </c>
      <c r="E40" s="6">
        <v>0.03</v>
      </c>
    </row>
    <row r="41" spans="1:5">
      <c r="A41" s="1" t="s">
        <v>18</v>
      </c>
      <c r="B41" s="6" t="str">
        <f>NormalDistribution(126602, 63820, 0)</f>
        <v>NormalDistribution(126602; 63820; 0)</v>
      </c>
      <c r="C41" s="6">
        <v>1395419</v>
      </c>
      <c r="E41" s="6">
        <v>0.03</v>
      </c>
    </row>
    <row r="42" spans="1:5">
      <c r="A42" s="1" t="s">
        <v>19</v>
      </c>
      <c r="B42" s="6" t="str">
        <f>NormalDistribution(1505, 628, 0)</f>
        <v>NormalDistribution(1505; 628; 0)</v>
      </c>
      <c r="C42" s="6">
        <v>206778</v>
      </c>
      <c r="E42" s="6">
        <v>0.03</v>
      </c>
    </row>
    <row r="47" spans="1:5">
      <c r="A47" s="12" t="s">
        <v>143</v>
      </c>
      <c r="B47" s="12" t="s">
        <v>80</v>
      </c>
      <c r="C47" s="12" t="s">
        <v>81</v>
      </c>
      <c r="D47" s="12" t="s">
        <v>82</v>
      </c>
      <c r="E47" s="12" t="s">
        <v>217</v>
      </c>
    </row>
    <row r="48" spans="1:5">
      <c r="A48" s="1" t="s">
        <v>2</v>
      </c>
      <c r="B48" s="6" t="str">
        <f>NormalDistribution(11400, 5700,0)</f>
        <v>NormalDistribution(11400; 5700; 0)</v>
      </c>
      <c r="C48" s="6" t="str">
        <f>NormalDistribution(789, 8344,0)</f>
        <v>NormalDistribution(789; 8344; 0)</v>
      </c>
      <c r="D48" s="6">
        <v>31049</v>
      </c>
      <c r="E48" s="6">
        <v>42828.800000000003</v>
      </c>
    </row>
    <row r="49" spans="1:5">
      <c r="A49" s="1" t="s">
        <v>3</v>
      </c>
      <c r="B49" s="6">
        <v>0</v>
      </c>
      <c r="C49" s="6">
        <v>0</v>
      </c>
      <c r="D49" s="6">
        <v>0</v>
      </c>
      <c r="E49" s="6">
        <v>130509.75</v>
      </c>
    </row>
    <row r="50" spans="1:5">
      <c r="A50" s="1" t="s">
        <v>6</v>
      </c>
      <c r="B50" s="6" t="str">
        <f>NormalDistribution(3210, 1335,0)</f>
        <v>NormalDistribution(3210; 1335; 0)</v>
      </c>
      <c r="C50" s="6" t="str">
        <f>NormalDistribution(903, 2188,0)</f>
        <v>NormalDistribution(903; 2188; 0)</v>
      </c>
      <c r="D50" s="6">
        <v>37202</v>
      </c>
      <c r="E50" s="6">
        <v>95000.790000000008</v>
      </c>
    </row>
    <row r="51" spans="1:5">
      <c r="A51" s="1" t="s">
        <v>7</v>
      </c>
      <c r="B51" s="6" t="str">
        <f>NormalDistribution(573, 573,0)</f>
        <v>NormalDistribution(573; 573; 0)</v>
      </c>
      <c r="C51" s="6" t="str">
        <f>NormalDistribution(7, 815,0)</f>
        <v>NormalDistribution(7; 815; 0)</v>
      </c>
      <c r="D51" s="6">
        <v>3763</v>
      </c>
      <c r="E51" s="6">
        <v>4609.8500000000004</v>
      </c>
    </row>
    <row r="52" spans="1:5">
      <c r="A52" s="1" t="s">
        <v>8</v>
      </c>
      <c r="B52" s="6" t="str">
        <f>NormalDistribution(256, 256,0)</f>
        <v>NormalDistribution(256; 256; 0)</v>
      </c>
      <c r="C52" s="6" t="str">
        <f>NormalDistribution(183, 508,0)</f>
        <v>NormalDistribution(183; 508; 0)</v>
      </c>
      <c r="D52" s="6">
        <v>2511</v>
      </c>
      <c r="E52" s="6">
        <v>55385.64</v>
      </c>
    </row>
    <row r="53" spans="1:5">
      <c r="A53" s="1" t="s">
        <v>9</v>
      </c>
      <c r="B53" s="6" t="str">
        <f>NormalDistribution(38, 18,0)</f>
        <v>NormalDistribution(38; 18; 0)</v>
      </c>
      <c r="C53" s="6" t="str">
        <f>NormalDistribution(0, 26,0)</f>
        <v>NormalDistribution(0; 26; 0)</v>
      </c>
      <c r="D53" s="6">
        <v>5</v>
      </c>
      <c r="E53" s="6">
        <v>11297.61</v>
      </c>
    </row>
    <row r="54" spans="1:5">
      <c r="A54" s="1" t="s">
        <v>10</v>
      </c>
      <c r="B54" s="6">
        <v>0</v>
      </c>
      <c r="C54" s="6">
        <v>0</v>
      </c>
      <c r="D54" s="6">
        <v>0</v>
      </c>
      <c r="E54" s="6">
        <v>118955.64</v>
      </c>
    </row>
    <row r="55" spans="1:5">
      <c r="A55" s="1" t="s">
        <v>11</v>
      </c>
      <c r="B55" s="6">
        <v>0</v>
      </c>
      <c r="C55" s="6">
        <v>0</v>
      </c>
      <c r="D55" s="6">
        <v>140</v>
      </c>
      <c r="E55" s="6">
        <v>16247.05</v>
      </c>
    </row>
    <row r="56" spans="1:5">
      <c r="A56" s="1" t="s">
        <v>12</v>
      </c>
      <c r="B56" s="6" t="str">
        <f>NormalDistribution(14775, 11171,0)</f>
        <v>NormalDistribution(14775; 11171; 0)</v>
      </c>
      <c r="C56" s="6" t="str">
        <f>NormalDistribution(238, 15832,0)</f>
        <v>NormalDistribution(238; 15832; 0)</v>
      </c>
      <c r="D56" s="6">
        <v>54279</v>
      </c>
      <c r="E56" s="6">
        <v>76001.27</v>
      </c>
    </row>
    <row r="57" spans="1:5">
      <c r="A57" s="1" t="s">
        <v>13</v>
      </c>
      <c r="B57" s="6" t="str">
        <f>NormalDistribution(27234, 19016,0)</f>
        <v>NormalDistribution(27234; 19016; 0)</v>
      </c>
      <c r="C57" s="6" t="str">
        <f>NormalDistribution(4748, 28997,0)</f>
        <v>NormalDistribution(4748; 28997; 0)</v>
      </c>
      <c r="D57" s="6">
        <v>278791</v>
      </c>
      <c r="E57" s="6">
        <v>394296.21</v>
      </c>
    </row>
    <row r="58" spans="1:5">
      <c r="A58" s="1" t="s">
        <v>14</v>
      </c>
      <c r="B58" s="6" t="str">
        <f>NormalDistribution(14303, 6005,0)</f>
        <v>NormalDistribution(14303; 6005; 0)</v>
      </c>
      <c r="C58" s="6" t="str">
        <f>NormalDistribution(0, 8492,0)</f>
        <v>NormalDistribution(0; 8492; 0)</v>
      </c>
      <c r="D58" s="6">
        <v>65483</v>
      </c>
      <c r="E58" s="6">
        <v>74226.89</v>
      </c>
    </row>
    <row r="59" spans="1:5">
      <c r="A59" s="1" t="s">
        <v>15</v>
      </c>
      <c r="B59" s="6" t="str">
        <f>NormalDistribution(50885, 29599,0)</f>
        <v>NormalDistribution(50885; 29599; 0)</v>
      </c>
      <c r="C59" s="6" t="str">
        <f>NormalDistribution(4, 41860,0)</f>
        <v>NormalDistribution(4; 41860; 0)</v>
      </c>
      <c r="D59" s="6">
        <v>289431</v>
      </c>
      <c r="E59" s="6">
        <v>299546.88</v>
      </c>
    </row>
    <row r="60" spans="1:5">
      <c r="A60" s="1" t="s">
        <v>16</v>
      </c>
      <c r="B60" s="6" t="str">
        <f>NormalDistribution(5879, 5879,0)</f>
        <v>NormalDistribution(5879; 5879; 0)</v>
      </c>
      <c r="C60" s="6" t="str">
        <f>NormalDistribution(1779, 9654,0)</f>
        <v>NormalDistribution(1779; 9654; 0)</v>
      </c>
      <c r="D60" s="6">
        <v>19132</v>
      </c>
      <c r="E60" s="6">
        <v>31321.599999999999</v>
      </c>
    </row>
    <row r="61" spans="1:5">
      <c r="A61" s="1" t="s">
        <v>17</v>
      </c>
      <c r="B61" s="6" t="str">
        <f>NormalDistribution(2649, 1989,0)</f>
        <v>NormalDistribution(2649; 1989; 0)</v>
      </c>
      <c r="C61" s="6" t="str">
        <f>NormalDistribution(0, 2814,0)</f>
        <v>NormalDistribution(0; 2814; 0)</v>
      </c>
      <c r="D61" s="6">
        <v>7928</v>
      </c>
      <c r="E61" s="6">
        <v>9304.2000000000007</v>
      </c>
    </row>
    <row r="62" spans="1:5">
      <c r="A62" s="1" t="s">
        <v>18</v>
      </c>
      <c r="B62" s="6" t="str">
        <f>NormalDistribution(27847, 9024,0)</f>
        <v>NormalDistribution(27847; 9024; 0)</v>
      </c>
      <c r="C62" s="6" t="str">
        <f>NormalDistribution(345, 12768,0)</f>
        <v>NormalDistribution(345; 12768; 0)</v>
      </c>
      <c r="D62" s="6">
        <v>92617</v>
      </c>
      <c r="E62" s="6">
        <v>236097.24</v>
      </c>
    </row>
    <row r="63" spans="1:5">
      <c r="A63" s="1" t="s">
        <v>19</v>
      </c>
      <c r="B63" s="6" t="str">
        <f>NormalDistribution(1528, 1067,0)</f>
        <v>NormalDistribution(1528; 1067; 0)</v>
      </c>
      <c r="C63" s="6" t="str">
        <f>NormalDistribution(169, 1516,0)</f>
        <v>NormalDistribution(169; 1516; 0)</v>
      </c>
      <c r="D63" s="6">
        <v>5606</v>
      </c>
      <c r="E63" s="6">
        <v>6271.74</v>
      </c>
    </row>
    <row r="69" spans="1:3">
      <c r="A69" s="12" t="s">
        <v>143</v>
      </c>
      <c r="B69" s="12" t="s">
        <v>162</v>
      </c>
      <c r="C69" s="12" t="s">
        <v>85</v>
      </c>
    </row>
    <row r="70" spans="1:3">
      <c r="A70" s="1" t="s">
        <v>2</v>
      </c>
      <c r="B70" s="6">
        <v>1.04</v>
      </c>
      <c r="C70" s="6" t="str">
        <f>NormalDistribution(95.3, 95.3,0)</f>
        <v>NormalDistribution(95.3; 95.3; 0)</v>
      </c>
    </row>
    <row r="71" spans="1:3">
      <c r="A71" s="1" t="s">
        <v>3</v>
      </c>
      <c r="B71" s="6">
        <v>1.07</v>
      </c>
      <c r="C71" s="6" t="str">
        <f>NormalDistribution(13, 13,0)</f>
        <v>NormalDistribution(13; 13; 0)</v>
      </c>
    </row>
    <row r="72" spans="1:3">
      <c r="A72" s="1" t="s">
        <v>6</v>
      </c>
      <c r="B72" s="6">
        <v>4.4800000000000004</v>
      </c>
      <c r="C72" s="6" t="str">
        <f>NormalDistribution(153.9, 52.6,0)</f>
        <v>NormalDistribution(153.9; 52.6; 0)</v>
      </c>
    </row>
    <row r="73" spans="1:3">
      <c r="A73" s="1" t="s">
        <v>7</v>
      </c>
      <c r="B73" s="6">
        <v>1.04</v>
      </c>
      <c r="C73" s="6" t="str">
        <f>NormalDistribution(75.5, 54.7,0)</f>
        <v>NormalDistribution(75.5; 54.7; 0)</v>
      </c>
    </row>
    <row r="74" spans="1:3">
      <c r="A74" s="1" t="s">
        <v>8</v>
      </c>
      <c r="B74" s="6">
        <v>1.27</v>
      </c>
      <c r="C74" s="6" t="str">
        <f>NormalDistribution(36.6, 26.8,0)</f>
        <v>NormalDistribution(36.6; 26.8; 0)</v>
      </c>
    </row>
    <row r="75" spans="1:3">
      <c r="A75" s="1" t="s">
        <v>9</v>
      </c>
      <c r="B75" s="6">
        <v>3.01</v>
      </c>
      <c r="C75" s="6" t="str">
        <f>NormalDistribution(3.1, 1.7,0)</f>
        <v>NormalDistribution(3.1; 1.7; 0)</v>
      </c>
    </row>
    <row r="76" spans="1:3">
      <c r="A76" s="1" t="s">
        <v>10</v>
      </c>
      <c r="B76" s="6">
        <v>0.75</v>
      </c>
      <c r="C76" s="6" t="str">
        <f>NormalDistribution(54, 54,0)</f>
        <v>NormalDistribution(54; 54; 0)</v>
      </c>
    </row>
    <row r="77" spans="1:3">
      <c r="A77" s="1" t="s">
        <v>11</v>
      </c>
      <c r="B77" s="6">
        <v>3.42</v>
      </c>
      <c r="C77" s="6" t="str">
        <f>NormalDistribution(18.9, 9.6,0)</f>
        <v>NormalDistribution(18.9; 9.6; 0)</v>
      </c>
    </row>
    <row r="78" spans="1:3">
      <c r="A78" s="1" t="s">
        <v>12</v>
      </c>
      <c r="B78" s="6">
        <v>0.69</v>
      </c>
      <c r="C78" s="6" t="str">
        <f>NormalDistribution(42.3, 33.8,0)</f>
        <v>NormalDistribution(42.3; 33.8; 0)</v>
      </c>
    </row>
    <row r="79" spans="1:3">
      <c r="A79" s="1" t="s">
        <v>13</v>
      </c>
      <c r="B79" s="6">
        <v>1.97</v>
      </c>
      <c r="C79" s="6" t="str">
        <f>NormalDistribution(117.6, 79,0)</f>
        <v>NormalDistribution(117.6; 79; 0)</v>
      </c>
    </row>
    <row r="80" spans="1:3">
      <c r="A80" s="1" t="s">
        <v>14</v>
      </c>
      <c r="B80" s="6">
        <v>2.31</v>
      </c>
      <c r="C80" s="6" t="str">
        <f>NormalDistribution(172, 153.6,0)</f>
        <v>NormalDistribution(172; 153.6; 0)</v>
      </c>
    </row>
    <row r="81" spans="1:4">
      <c r="A81" s="1" t="s">
        <v>15</v>
      </c>
      <c r="B81" s="6">
        <v>1.8</v>
      </c>
      <c r="C81" s="6" t="str">
        <f>NormalDistribution(169.7, 84.4,0)</f>
        <v>NormalDistribution(169.7; 84.4; 0)</v>
      </c>
    </row>
    <row r="82" spans="1:4">
      <c r="A82" s="1" t="s">
        <v>16</v>
      </c>
      <c r="B82" s="6">
        <v>4.46</v>
      </c>
      <c r="C82" s="6" t="str">
        <f>NormalDistribution(118.4, 118.4,0)</f>
        <v>NormalDistribution(118.4; 118.4; 0)</v>
      </c>
    </row>
    <row r="83" spans="1:4">
      <c r="A83" s="1" t="s">
        <v>17</v>
      </c>
      <c r="B83" s="6">
        <v>17.61</v>
      </c>
      <c r="C83" s="6" t="str">
        <f>NormalDistribution(19, 10.2,0)</f>
        <v>NormalDistribution(19; 10.2; 0)</v>
      </c>
    </row>
    <row r="84" spans="1:4">
      <c r="A84" s="1" t="s">
        <v>18</v>
      </c>
      <c r="B84" s="6">
        <v>9.69</v>
      </c>
      <c r="C84" s="6" t="str">
        <f>NormalDistribution(84.3, 38.3,0)</f>
        <v>NormalDistribution(84.3; 38.3; 0)</v>
      </c>
    </row>
    <row r="85" spans="1:4">
      <c r="A85" s="1" t="s">
        <v>19</v>
      </c>
      <c r="B85" s="6">
        <v>2.5099999999999998</v>
      </c>
      <c r="C85" s="6" t="str">
        <f>NormalDistribution(16, 5.7,0)</f>
        <v>NormalDistribution(16; 5.7; 0)</v>
      </c>
    </row>
    <row r="88" spans="1:4">
      <c r="A88" s="12" t="s">
        <v>143</v>
      </c>
      <c r="B88" s="12" t="s">
        <v>227</v>
      </c>
      <c r="C88" s="12"/>
      <c r="D88" s="12"/>
    </row>
    <row r="89" spans="1:4">
      <c r="A89" s="1" t="s">
        <v>2</v>
      </c>
      <c r="B89" s="6" t="str">
        <f>NormalDistribution(C89,D89,0,1)</f>
        <v>NormalDistribution(0.583433160330257; 3.10749451958314E-02; 0; 1)</v>
      </c>
      <c r="C89" s="2">
        <v>0.58343316033025694</v>
      </c>
      <c r="D89">
        <v>3.1074945195831392E-2</v>
      </c>
    </row>
    <row r="90" spans="1:4">
      <c r="A90" s="1" t="s">
        <v>3</v>
      </c>
      <c r="B90" s="6" t="str">
        <f t="shared" ref="B90:B104" si="0">NormalDistribution(C90,D90,0,1)</f>
        <v>NormalDistribution(0.260515053189669; 1.37582984542109E-02; 0; 1)</v>
      </c>
      <c r="C90" s="2">
        <v>0.26051505318966872</v>
      </c>
      <c r="D90">
        <v>1.3758298454210885E-2</v>
      </c>
    </row>
    <row r="91" spans="1:4">
      <c r="A91" s="1" t="s">
        <v>6</v>
      </c>
      <c r="B91" s="6" t="str">
        <f t="shared" si="0"/>
        <v>NormalDistribution(0.273314149409615; 1.46688810943221E-02; 0; 1)</v>
      </c>
      <c r="C91" s="2">
        <v>0.2733141494096154</v>
      </c>
      <c r="D91">
        <v>1.4668881094322107E-2</v>
      </c>
    </row>
    <row r="92" spans="1:4">
      <c r="A92" s="1" t="s">
        <v>7</v>
      </c>
      <c r="B92" s="6" t="str">
        <f t="shared" si="0"/>
        <v>NormalDistribution(0.412066944374299; 2.68279386449215E-02; 0; 1)</v>
      </c>
      <c r="C92" s="2">
        <v>0.41206694437429869</v>
      </c>
      <c r="D92">
        <v>2.6827938644921456E-2</v>
      </c>
    </row>
    <row r="93" spans="1:4">
      <c r="A93" s="1" t="s">
        <v>8</v>
      </c>
      <c r="B93" s="6" t="str">
        <f t="shared" si="0"/>
        <v>NormalDistribution(0.548496484507909; 3.53090095289534E-02; 0; 1)</v>
      </c>
      <c r="C93" s="2">
        <v>0.54849648450790855</v>
      </c>
      <c r="D93">
        <v>3.5309009528953425E-2</v>
      </c>
    </row>
    <row r="94" spans="1:4">
      <c r="A94" s="1" t="s">
        <v>9</v>
      </c>
      <c r="B94" s="6" t="str">
        <f t="shared" si="0"/>
        <v>NormalDistribution(0.193491238230705; 1.20297038764903E-02; 0; 1)</v>
      </c>
      <c r="C94" s="2">
        <v>0.19349123823070494</v>
      </c>
      <c r="D94">
        <v>1.2029703876490251E-2</v>
      </c>
    </row>
    <row r="95" spans="1:4">
      <c r="A95" s="1" t="s">
        <v>10</v>
      </c>
      <c r="B95" s="6" t="str">
        <f t="shared" si="0"/>
        <v>NormalDistribution(0.555487676094765; 3.44126167165359E-02; 0; 1)</v>
      </c>
      <c r="C95" s="2">
        <v>0.55548767609476468</v>
      </c>
      <c r="D95">
        <v>3.4412616716535893E-2</v>
      </c>
    </row>
    <row r="96" spans="1:4">
      <c r="A96" s="1" t="s">
        <v>11</v>
      </c>
      <c r="B96" s="6" t="str">
        <f t="shared" si="0"/>
        <v>NormalDistribution(0.628422279667412; 9.14652560895185E-03; 0; 1)</v>
      </c>
      <c r="C96" s="2">
        <v>0.62842227966741204</v>
      </c>
      <c r="D96">
        <v>9.1465256089518464E-3</v>
      </c>
    </row>
    <row r="97" spans="1:4">
      <c r="A97" s="1" t="s">
        <v>12</v>
      </c>
      <c r="B97" s="6" t="str">
        <f t="shared" si="0"/>
        <v>NormalDistribution(0.678302864355753; 2.64748504908147E-02; 0; 1)</v>
      </c>
      <c r="C97" s="2">
        <v>0.6783028643557526</v>
      </c>
      <c r="D97">
        <v>2.6474850490814682E-2</v>
      </c>
    </row>
    <row r="98" spans="1:4">
      <c r="A98" s="1" t="s">
        <v>13</v>
      </c>
      <c r="B98" s="6" t="str">
        <f t="shared" si="0"/>
        <v>NormalDistribution(0.756134247750368; 2.00692929944761E-02; 0; 1)</v>
      </c>
      <c r="C98" s="2">
        <v>0.7561342477503683</v>
      </c>
      <c r="D98">
        <v>2.0069292994476087E-2</v>
      </c>
    </row>
    <row r="99" spans="1:4">
      <c r="A99" s="1" t="s">
        <v>14</v>
      </c>
      <c r="B99" s="6" t="str">
        <f t="shared" si="0"/>
        <v>NormalDistribution(0.929957316565567; 2.41559579142168E-02; 0; 1)</v>
      </c>
      <c r="C99" s="2">
        <v>0.92995731656556702</v>
      </c>
      <c r="D99">
        <v>2.4155957914216757E-2</v>
      </c>
    </row>
    <row r="100" spans="1:4">
      <c r="A100" s="1" t="s">
        <v>15</v>
      </c>
      <c r="B100" s="6" t="str">
        <f t="shared" si="0"/>
        <v>NormalDistribution(0.81223935947527; 4.29547897395688E-02; 0; 1)</v>
      </c>
      <c r="C100" s="2">
        <v>0.81223935947526971</v>
      </c>
      <c r="D100">
        <v>4.2954789739568802E-2</v>
      </c>
    </row>
    <row r="101" spans="1:4">
      <c r="A101" s="1" t="s">
        <v>16</v>
      </c>
      <c r="B101" s="6" t="str">
        <f t="shared" si="0"/>
        <v>NormalDistribution(0.707719142022655; 2.43920096916722E-02; 0; 1)</v>
      </c>
      <c r="C101" s="2">
        <v>0.70771914202265518</v>
      </c>
      <c r="D101">
        <v>2.4392009691672177E-2</v>
      </c>
    </row>
    <row r="102" spans="1:4">
      <c r="A102" s="1" t="s">
        <v>17</v>
      </c>
      <c r="B102" s="6" t="str">
        <f t="shared" si="0"/>
        <v>NormalDistribution(0.336949623686827; 1.95350728174195E-02; 0; 1)</v>
      </c>
      <c r="C102" s="2">
        <v>0.33694962368682746</v>
      </c>
      <c r="D102">
        <v>1.9535072817419511E-2</v>
      </c>
    </row>
    <row r="103" spans="1:4">
      <c r="A103" s="1" t="s">
        <v>18</v>
      </c>
      <c r="B103" s="6" t="str">
        <f t="shared" si="0"/>
        <v>NormalDistribution(0.798533208857799; 4.42837491243777E-02; 0; 1)</v>
      </c>
      <c r="C103" s="2">
        <v>0.79853320885779866</v>
      </c>
      <c r="D103">
        <v>4.4283749124377741E-2</v>
      </c>
    </row>
    <row r="104" spans="1:4">
      <c r="A104" s="1" t="s">
        <v>19</v>
      </c>
      <c r="B104" s="6" t="str">
        <f t="shared" si="0"/>
        <v>NormalDistribution(0.667255915065629; 4.08474363982656E-02; 0; 1)</v>
      </c>
      <c r="C104" s="2">
        <v>0.66725591506562854</v>
      </c>
      <c r="D104">
        <v>4.0847436398265623E-2</v>
      </c>
    </row>
  </sheetData>
  <phoneticPr fontId="0" type="noConversion"/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14"/>
  <dimension ref="A1:R60"/>
  <sheetViews>
    <sheetView zoomScaleNormal="100" workbookViewId="0">
      <selection activeCell="B3" sqref="B3"/>
    </sheetView>
  </sheetViews>
  <sheetFormatPr defaultColWidth="11.42578125" defaultRowHeight="12.75"/>
  <cols>
    <col min="1" max="1" width="11.5703125" customWidth="1"/>
    <col min="2" max="2" width="61.28515625" bestFit="1" customWidth="1"/>
    <col min="3" max="6" width="11.5703125" customWidth="1"/>
    <col min="7" max="7" width="25.28515625" bestFit="1" customWidth="1"/>
    <col min="8" max="9" width="11.5703125" customWidth="1"/>
    <col min="10" max="10" width="25.28515625" bestFit="1" customWidth="1"/>
    <col min="11" max="12" width="11.5703125" customWidth="1"/>
    <col min="13" max="13" width="25.28515625" bestFit="1" customWidth="1"/>
    <col min="14" max="15" width="11.5703125" customWidth="1"/>
    <col min="16" max="16" width="23.28515625" bestFit="1" customWidth="1"/>
  </cols>
  <sheetData>
    <row r="1" spans="1:18">
      <c r="B1">
        <v>0.25</v>
      </c>
    </row>
    <row r="3" spans="1:18">
      <c r="A3" t="s">
        <v>226</v>
      </c>
      <c r="B3" s="27" t="s">
        <v>230</v>
      </c>
    </row>
    <row r="6" spans="1:18">
      <c r="A6" s="12" t="s">
        <v>143</v>
      </c>
      <c r="B6" s="12" t="s">
        <v>90</v>
      </c>
      <c r="C6" s="12"/>
      <c r="D6" s="12"/>
      <c r="E6" s="12"/>
      <c r="F6" s="12"/>
      <c r="G6" s="12" t="s">
        <v>89</v>
      </c>
      <c r="H6" s="12"/>
      <c r="I6" s="12"/>
      <c r="J6" s="12" t="s">
        <v>91</v>
      </c>
      <c r="K6" s="12"/>
      <c r="L6" s="12"/>
      <c r="M6" s="12" t="s">
        <v>92</v>
      </c>
      <c r="N6" s="12"/>
      <c r="O6" s="12"/>
      <c r="P6" s="12" t="s">
        <v>93</v>
      </c>
      <c r="Q6" s="12"/>
      <c r="R6" s="12"/>
    </row>
    <row r="7" spans="1:18">
      <c r="A7" s="1" t="s">
        <v>2</v>
      </c>
      <c r="B7" s="6" t="str">
        <f>NormalDistribution(C7,D7,E7,F7)</f>
        <v>NormalDistribution(0; 0.28; -0.645266515499562; 1.35473348450044)</v>
      </c>
      <c r="C7" s="15">
        <v>0</v>
      </c>
      <c r="D7" s="15">
        <f>ABS(D27)*$B$1</f>
        <v>0.28000000000000003</v>
      </c>
      <c r="E7">
        <v>-0.64526651549956193</v>
      </c>
      <c r="F7">
        <v>1.354733484500438</v>
      </c>
      <c r="G7" s="6" t="str">
        <f>NormalDistribution(H7,I7)</f>
        <v>NormalDistribution(0; 0.00625)</v>
      </c>
      <c r="H7" s="15">
        <v>0</v>
      </c>
      <c r="I7" s="15">
        <f>ABS(I27)*$B$1</f>
        <v>6.2500000000000003E-3</v>
      </c>
      <c r="J7" s="6" t="str">
        <f>NormalDistribution(K7,L7)</f>
        <v>NormalDistribution(0; 0.0625)</v>
      </c>
      <c r="K7" s="15">
        <v>0</v>
      </c>
      <c r="L7" s="15">
        <f>ABS(L27)*$B$1</f>
        <v>6.25E-2</v>
      </c>
      <c r="M7" s="6" t="str">
        <f>NormalDistribution(N7,O7)</f>
        <v>NormalDistribution(0; 0.025)</v>
      </c>
      <c r="N7" s="15">
        <v>0</v>
      </c>
      <c r="O7" s="15">
        <f>ABS(O27)*$B$1</f>
        <v>2.5000000000000001E-2</v>
      </c>
      <c r="P7" s="6" t="str">
        <f>NormalDistribution(Q7,R7)</f>
        <v>NormalDistribution(0; 0.2025)</v>
      </c>
      <c r="Q7" s="15">
        <v>0</v>
      </c>
      <c r="R7" s="15">
        <f>ABS(R27)*$B$1</f>
        <v>0.20250000000000001</v>
      </c>
    </row>
    <row r="8" spans="1:18">
      <c r="A8" s="1" t="s">
        <v>3</v>
      </c>
      <c r="B8" s="6" t="str">
        <f t="shared" ref="B8:B22" si="0">NormalDistribution(C8,D8,E8,F8)</f>
        <v>NormalDistribution(0; 0.28; -0.645266515499562; 1.35473348450044)</v>
      </c>
      <c r="C8" s="15">
        <v>0</v>
      </c>
      <c r="D8" s="15">
        <f t="shared" ref="D8:D22" si="1">ABS(D28)*$B$1</f>
        <v>0.28000000000000003</v>
      </c>
      <c r="E8">
        <v>-0.64526651549956193</v>
      </c>
      <c r="F8">
        <v>1.354733484500438</v>
      </c>
      <c r="G8" s="6" t="str">
        <f t="shared" ref="G8:G22" si="2">NormalDistribution(H8,I8)</f>
        <v>NormalDistribution(0; 0.00625)</v>
      </c>
      <c r="H8" s="15">
        <v>0</v>
      </c>
      <c r="I8" s="15">
        <f t="shared" ref="I8:I22" si="3">ABS(I28)*$B$1</f>
        <v>6.2500000000000003E-3</v>
      </c>
      <c r="J8" s="6" t="str">
        <f t="shared" ref="J8:J22" si="4">NormalDistribution(K8,L8)</f>
        <v>NormalDistribution(0; 0.0625)</v>
      </c>
      <c r="K8" s="15">
        <v>0</v>
      </c>
      <c r="L8" s="15">
        <f t="shared" ref="L8:L22" si="5">ABS(L28)*$B$1</f>
        <v>6.25E-2</v>
      </c>
      <c r="M8" s="6" t="str">
        <f t="shared" ref="M8:M22" si="6">NormalDistribution(N8,O8)</f>
        <v>NormalDistribution(0; 0.025)</v>
      </c>
      <c r="N8" s="15">
        <v>0</v>
      </c>
      <c r="O8" s="15">
        <f t="shared" ref="O8:O22" si="7">ABS(O28)*$B$1</f>
        <v>2.5000000000000001E-2</v>
      </c>
      <c r="P8" s="6" t="str">
        <f t="shared" ref="P8:P21" si="8">NormalDistribution(Q8,R8)</f>
        <v>NormalDistribution(0; 0.2025)</v>
      </c>
      <c r="Q8" s="15">
        <v>0</v>
      </c>
      <c r="R8" s="15">
        <f t="shared" ref="R8:R22" si="9">ABS(R28)*$B$1</f>
        <v>0.20250000000000001</v>
      </c>
    </row>
    <row r="9" spans="1:18">
      <c r="A9" s="1" t="s">
        <v>6</v>
      </c>
      <c r="B9" s="6" t="str">
        <f t="shared" si="0"/>
        <v>NormalDistribution(0; 0.2775; -0.645129685612399; 1.3548703143876)</v>
      </c>
      <c r="C9" s="15">
        <v>0</v>
      </c>
      <c r="D9" s="15">
        <f t="shared" si="1"/>
        <v>0.27750000000000002</v>
      </c>
      <c r="E9">
        <v>-0.64512968561239925</v>
      </c>
      <c r="F9">
        <v>1.3548703143876009</v>
      </c>
      <c r="G9" s="6" t="str">
        <f t="shared" si="2"/>
        <v>NormalDistribution(0; 0.00625)</v>
      </c>
      <c r="H9" s="15">
        <v>0</v>
      </c>
      <c r="I9" s="15">
        <f t="shared" si="3"/>
        <v>6.2500000000000003E-3</v>
      </c>
      <c r="J9" s="6" t="str">
        <f t="shared" si="4"/>
        <v>NormalDistribution(0; 0.0625)</v>
      </c>
      <c r="K9" s="15">
        <v>0</v>
      </c>
      <c r="L9" s="15">
        <f t="shared" si="5"/>
        <v>6.25E-2</v>
      </c>
      <c r="M9" s="6" t="str">
        <f t="shared" si="6"/>
        <v>NormalDistribution(0; 0.025)</v>
      </c>
      <c r="N9" s="15">
        <v>0</v>
      </c>
      <c r="O9" s="15">
        <f t="shared" si="7"/>
        <v>2.5000000000000001E-2</v>
      </c>
      <c r="P9" s="6">
        <v>0</v>
      </c>
      <c r="Q9" s="15">
        <v>0</v>
      </c>
      <c r="R9" s="15">
        <f t="shared" si="9"/>
        <v>0</v>
      </c>
    </row>
    <row r="10" spans="1:18">
      <c r="A10" s="1" t="s">
        <v>7</v>
      </c>
      <c r="B10" s="6" t="str">
        <f t="shared" si="0"/>
        <v>NormalDistribution(0; 0.2825; -0.645237785006474; 1.35476221499353)</v>
      </c>
      <c r="C10" s="15">
        <v>0</v>
      </c>
      <c r="D10" s="15">
        <f t="shared" si="1"/>
        <v>0.28249999999999997</v>
      </c>
      <c r="E10">
        <v>-0.64523778500647389</v>
      </c>
      <c r="F10">
        <v>1.3547622149935261</v>
      </c>
      <c r="G10" s="6" t="str">
        <f t="shared" si="2"/>
        <v>NormalDistribution(0; 0.01875)</v>
      </c>
      <c r="H10" s="15">
        <v>0</v>
      </c>
      <c r="I10" s="15">
        <f t="shared" si="3"/>
        <v>1.8749999999999999E-2</v>
      </c>
      <c r="J10" s="6" t="str">
        <f t="shared" si="4"/>
        <v>NormalDistribution(0; 0.0625)</v>
      </c>
      <c r="K10" s="15">
        <v>0</v>
      </c>
      <c r="L10" s="15">
        <f t="shared" si="5"/>
        <v>6.25E-2</v>
      </c>
      <c r="M10" s="6" t="str">
        <f t="shared" si="6"/>
        <v>NormalDistribution(0; 0.0375)</v>
      </c>
      <c r="N10" s="15">
        <v>0</v>
      </c>
      <c r="O10" s="15">
        <f t="shared" si="7"/>
        <v>3.7499999999999999E-2</v>
      </c>
      <c r="P10" s="6">
        <v>0</v>
      </c>
      <c r="Q10" s="15">
        <v>0</v>
      </c>
      <c r="R10" s="15">
        <f t="shared" si="9"/>
        <v>0</v>
      </c>
    </row>
    <row r="11" spans="1:18">
      <c r="A11" s="1" t="s">
        <v>8</v>
      </c>
      <c r="B11" s="6" t="str">
        <f t="shared" si="0"/>
        <v>NormalDistribution(0; 0.2825; -0.645237785006474; 1.35476221499353)</v>
      </c>
      <c r="C11" s="15">
        <v>0</v>
      </c>
      <c r="D11" s="15">
        <f t="shared" si="1"/>
        <v>0.28249999999999997</v>
      </c>
      <c r="E11">
        <v>-0.64523778500647389</v>
      </c>
      <c r="F11">
        <v>1.3547622149935261</v>
      </c>
      <c r="G11" s="6" t="str">
        <f t="shared" si="2"/>
        <v>NormalDistribution(0; 0.01875)</v>
      </c>
      <c r="H11" s="15">
        <v>0</v>
      </c>
      <c r="I11" s="15">
        <f t="shared" si="3"/>
        <v>1.8749999999999999E-2</v>
      </c>
      <c r="J11" s="6" t="str">
        <f t="shared" si="4"/>
        <v>NormalDistribution(0; 0.0625)</v>
      </c>
      <c r="K11" s="15">
        <v>0</v>
      </c>
      <c r="L11" s="15">
        <f t="shared" si="5"/>
        <v>6.25E-2</v>
      </c>
      <c r="M11" s="6" t="str">
        <f t="shared" si="6"/>
        <v>NormalDistribution(0; 0.0375)</v>
      </c>
      <c r="N11" s="15">
        <v>0</v>
      </c>
      <c r="O11" s="15">
        <f t="shared" si="7"/>
        <v>3.7499999999999999E-2</v>
      </c>
      <c r="P11" s="6">
        <v>0</v>
      </c>
      <c r="Q11" s="15">
        <v>0</v>
      </c>
      <c r="R11" s="15">
        <f t="shared" si="9"/>
        <v>0</v>
      </c>
    </row>
    <row r="12" spans="1:18">
      <c r="A12" s="1" t="s">
        <v>9</v>
      </c>
      <c r="B12" s="6" t="str">
        <f t="shared" si="0"/>
        <v>NormalDistribution(0; 0.4825; -0.702791192885658; 1.29720880711434)</v>
      </c>
      <c r="C12" s="15">
        <v>0</v>
      </c>
      <c r="D12" s="15">
        <f t="shared" si="1"/>
        <v>0.48249999999999998</v>
      </c>
      <c r="E12">
        <v>-0.70279119288565806</v>
      </c>
      <c r="F12">
        <v>1.2972088071143419</v>
      </c>
      <c r="G12" s="6" t="str">
        <f t="shared" si="2"/>
        <v>NormalDistribution(0; 0.00625)</v>
      </c>
      <c r="H12" s="15">
        <v>0</v>
      </c>
      <c r="I12" s="15">
        <f t="shared" si="3"/>
        <v>6.2500000000000003E-3</v>
      </c>
      <c r="J12" s="6" t="str">
        <f t="shared" si="4"/>
        <v>NormalDistribution(0; 0.1)</v>
      </c>
      <c r="K12" s="15">
        <v>0</v>
      </c>
      <c r="L12" s="15">
        <f t="shared" si="5"/>
        <v>0.1</v>
      </c>
      <c r="M12" s="6" t="str">
        <f t="shared" si="6"/>
        <v>NormalDistribution(0; 0.025)</v>
      </c>
      <c r="N12" s="15">
        <v>0</v>
      </c>
      <c r="O12" s="15">
        <f t="shared" si="7"/>
        <v>2.5000000000000001E-2</v>
      </c>
      <c r="P12" s="6">
        <v>0</v>
      </c>
      <c r="Q12" s="15">
        <v>0</v>
      </c>
      <c r="R12" s="15">
        <f t="shared" si="9"/>
        <v>0</v>
      </c>
    </row>
    <row r="13" spans="1:18">
      <c r="A13" s="1" t="s">
        <v>10</v>
      </c>
      <c r="B13" s="6" t="str">
        <f t="shared" si="0"/>
        <v>NormalDistribution(0; 0.4825; -0.702791192885658; 1.29720880711434)</v>
      </c>
      <c r="C13" s="15">
        <v>0</v>
      </c>
      <c r="D13" s="15">
        <f t="shared" si="1"/>
        <v>0.48249999999999998</v>
      </c>
      <c r="E13">
        <v>-0.70279119288565806</v>
      </c>
      <c r="F13">
        <v>1.2972088071143419</v>
      </c>
      <c r="G13" s="6" t="str">
        <f t="shared" si="2"/>
        <v>NormalDistribution(0; 0.00625)</v>
      </c>
      <c r="H13" s="15">
        <v>0</v>
      </c>
      <c r="I13" s="15">
        <f t="shared" si="3"/>
        <v>6.2500000000000003E-3</v>
      </c>
      <c r="J13" s="6" t="str">
        <f t="shared" si="4"/>
        <v>NormalDistribution(0; 0.1)</v>
      </c>
      <c r="K13" s="15">
        <v>0</v>
      </c>
      <c r="L13" s="15">
        <f t="shared" si="5"/>
        <v>0.1</v>
      </c>
      <c r="M13" s="6" t="str">
        <f t="shared" si="6"/>
        <v>NormalDistribution(0; 0.025)</v>
      </c>
      <c r="N13" s="15">
        <v>0</v>
      </c>
      <c r="O13" s="15">
        <f t="shared" si="7"/>
        <v>2.5000000000000001E-2</v>
      </c>
      <c r="P13" s="6">
        <v>0</v>
      </c>
      <c r="Q13" s="15">
        <v>0</v>
      </c>
      <c r="R13" s="15">
        <f t="shared" si="9"/>
        <v>0</v>
      </c>
    </row>
    <row r="14" spans="1:18">
      <c r="A14" s="1" t="s">
        <v>11</v>
      </c>
      <c r="B14" s="6" t="str">
        <f t="shared" si="0"/>
        <v>NormalDistribution(0; 0.65; -0.751960508718775; 1.24803949128122)</v>
      </c>
      <c r="C14" s="15">
        <v>0</v>
      </c>
      <c r="D14" s="15">
        <f t="shared" si="1"/>
        <v>0.65</v>
      </c>
      <c r="E14">
        <v>-0.7519605087187754</v>
      </c>
      <c r="F14">
        <v>1.2480394912812245</v>
      </c>
      <c r="G14" s="6" t="str">
        <f t="shared" si="2"/>
        <v>NormalDistribution(0; 0.09375)</v>
      </c>
      <c r="H14" s="15">
        <v>0</v>
      </c>
      <c r="I14" s="15">
        <f t="shared" si="3"/>
        <v>9.375E-2</v>
      </c>
      <c r="J14" s="6" t="str">
        <f t="shared" si="4"/>
        <v>NormalDistribution(0; 0.15)</v>
      </c>
      <c r="K14" s="15">
        <v>0</v>
      </c>
      <c r="L14" s="15">
        <f t="shared" si="5"/>
        <v>0.15</v>
      </c>
      <c r="M14" s="6" t="str">
        <f t="shared" si="6"/>
        <v>NormalDistribution(0; 0.0875)</v>
      </c>
      <c r="N14" s="15">
        <v>0</v>
      </c>
      <c r="O14" s="15">
        <f t="shared" si="7"/>
        <v>8.7499999999999994E-2</v>
      </c>
      <c r="P14" s="6">
        <v>0</v>
      </c>
      <c r="Q14" s="15">
        <v>0</v>
      </c>
      <c r="R14" s="15">
        <f t="shared" si="9"/>
        <v>0</v>
      </c>
    </row>
    <row r="15" spans="1:18">
      <c r="A15" s="1" t="s">
        <v>12</v>
      </c>
      <c r="B15" s="6" t="str">
        <f t="shared" si="0"/>
        <v>NormalDistribution(0; 0.65; -0.751960508718775; 1.24803949128122)</v>
      </c>
      <c r="C15" s="15">
        <v>0</v>
      </c>
      <c r="D15" s="15">
        <f t="shared" si="1"/>
        <v>0.65</v>
      </c>
      <c r="E15">
        <v>-0.7519605087187754</v>
      </c>
      <c r="F15">
        <v>1.2480394912812245</v>
      </c>
      <c r="G15" s="6" t="str">
        <f t="shared" si="2"/>
        <v>NormalDistribution(0; 0.0375)</v>
      </c>
      <c r="H15" s="15">
        <v>0</v>
      </c>
      <c r="I15" s="15">
        <f t="shared" si="3"/>
        <v>3.7499999999999999E-2</v>
      </c>
      <c r="J15" s="6" t="str">
        <f t="shared" si="4"/>
        <v>NormalDistribution(0; 0.15)</v>
      </c>
      <c r="K15" s="15">
        <v>0</v>
      </c>
      <c r="L15" s="15">
        <f t="shared" si="5"/>
        <v>0.15</v>
      </c>
      <c r="M15" s="6" t="str">
        <f t="shared" si="6"/>
        <v>NormalDistribution(0; 0.05625)</v>
      </c>
      <c r="N15" s="15">
        <v>0</v>
      </c>
      <c r="O15" s="15">
        <f t="shared" si="7"/>
        <v>5.6250000000000001E-2</v>
      </c>
      <c r="P15" s="6" t="str">
        <f t="shared" si="8"/>
        <v>NormalDistribution(0; 3.185)</v>
      </c>
      <c r="Q15" s="15">
        <v>0</v>
      </c>
      <c r="R15" s="15">
        <f t="shared" si="9"/>
        <v>3.1850000000000001</v>
      </c>
    </row>
    <row r="16" spans="1:18">
      <c r="A16" s="1" t="s">
        <v>13</v>
      </c>
      <c r="B16" s="6" t="str">
        <f t="shared" si="0"/>
        <v>NormalDistribution(0; 0.65; -0.751960508718775; 1.24803949128122)</v>
      </c>
      <c r="C16" s="15">
        <v>0</v>
      </c>
      <c r="D16" s="15">
        <f t="shared" si="1"/>
        <v>0.65</v>
      </c>
      <c r="E16">
        <v>-0.7519605087187754</v>
      </c>
      <c r="F16">
        <v>1.2480394912812245</v>
      </c>
      <c r="G16" s="6" t="str">
        <f t="shared" si="2"/>
        <v>NormalDistribution(0; 0.0375)</v>
      </c>
      <c r="H16" s="15">
        <v>0</v>
      </c>
      <c r="I16" s="15">
        <f t="shared" si="3"/>
        <v>3.7499999999999999E-2</v>
      </c>
      <c r="J16" s="6" t="str">
        <f t="shared" si="4"/>
        <v>NormalDistribution(0; 0.15)</v>
      </c>
      <c r="K16" s="15">
        <v>0</v>
      </c>
      <c r="L16" s="15">
        <f t="shared" si="5"/>
        <v>0.15</v>
      </c>
      <c r="M16" s="6" t="str">
        <f t="shared" si="6"/>
        <v>NormalDistribution(0; 0.05625)</v>
      </c>
      <c r="N16" s="15">
        <v>0</v>
      </c>
      <c r="O16" s="15">
        <f t="shared" si="7"/>
        <v>5.6250000000000001E-2</v>
      </c>
      <c r="P16" s="6" t="str">
        <f t="shared" si="8"/>
        <v>NormalDistribution(0; 28.66)</v>
      </c>
      <c r="Q16" s="15">
        <v>0</v>
      </c>
      <c r="R16" s="15">
        <f t="shared" si="9"/>
        <v>28.66</v>
      </c>
    </row>
    <row r="17" spans="1:18">
      <c r="A17" s="1" t="s">
        <v>14</v>
      </c>
      <c r="B17" s="6" t="str">
        <f t="shared" si="0"/>
        <v>NormalDistribution(0; 0.65; -0.751960508718775; 1.24803949128122)</v>
      </c>
      <c r="C17" s="15">
        <v>0</v>
      </c>
      <c r="D17" s="15">
        <f t="shared" si="1"/>
        <v>0.65</v>
      </c>
      <c r="E17">
        <v>-0.7519605087187754</v>
      </c>
      <c r="F17">
        <v>1.2480394912812245</v>
      </c>
      <c r="G17" s="6" t="str">
        <f t="shared" si="2"/>
        <v>NormalDistribution(0; 0.09375)</v>
      </c>
      <c r="H17" s="15">
        <v>0</v>
      </c>
      <c r="I17" s="15">
        <f t="shared" si="3"/>
        <v>9.375E-2</v>
      </c>
      <c r="J17" s="6" t="str">
        <f t="shared" si="4"/>
        <v>NormalDistribution(0; 0.15)</v>
      </c>
      <c r="K17" s="15">
        <v>0</v>
      </c>
      <c r="L17" s="15">
        <f t="shared" si="5"/>
        <v>0.15</v>
      </c>
      <c r="M17" s="6" t="str">
        <f t="shared" si="6"/>
        <v>NormalDistribution(0; 0.0875)</v>
      </c>
      <c r="N17" s="15">
        <v>0</v>
      </c>
      <c r="O17" s="15">
        <f t="shared" si="7"/>
        <v>8.7499999999999994E-2</v>
      </c>
      <c r="P17" s="6" t="str">
        <f t="shared" si="8"/>
        <v>NormalDistribution(0; 4.0375)</v>
      </c>
      <c r="Q17" s="15">
        <v>0</v>
      </c>
      <c r="R17" s="15">
        <f t="shared" si="9"/>
        <v>4.0374999999999996</v>
      </c>
    </row>
    <row r="18" spans="1:18">
      <c r="A18" s="1" t="s">
        <v>15</v>
      </c>
      <c r="B18" s="6" t="str">
        <f t="shared" si="0"/>
        <v>NormalDistribution(0; 0.65; -0.751960508718775; 1.24803949128122)</v>
      </c>
      <c r="C18" s="15">
        <v>0</v>
      </c>
      <c r="D18" s="15">
        <f t="shared" si="1"/>
        <v>0.65</v>
      </c>
      <c r="E18">
        <v>-0.7519605087187754</v>
      </c>
      <c r="F18">
        <v>1.2480394912812245</v>
      </c>
      <c r="G18" s="6" t="str">
        <f t="shared" si="2"/>
        <v>NormalDistribution(0; 0.09375)</v>
      </c>
      <c r="H18" s="15">
        <v>0</v>
      </c>
      <c r="I18" s="15">
        <f t="shared" si="3"/>
        <v>9.375E-2</v>
      </c>
      <c r="J18" s="6" t="str">
        <f t="shared" si="4"/>
        <v>NormalDistribution(0; 0.15)</v>
      </c>
      <c r="K18" s="15">
        <v>0</v>
      </c>
      <c r="L18" s="15">
        <f t="shared" si="5"/>
        <v>0.15</v>
      </c>
      <c r="M18" s="6" t="str">
        <f t="shared" si="6"/>
        <v>NormalDistribution(0; 0.0875)</v>
      </c>
      <c r="N18" s="15">
        <v>0</v>
      </c>
      <c r="O18" s="15">
        <f t="shared" si="7"/>
        <v>8.7499999999999994E-2</v>
      </c>
      <c r="P18" s="6" t="str">
        <f t="shared" si="8"/>
        <v>NormalDistribution(0; 12.1125)</v>
      </c>
      <c r="Q18" s="15">
        <v>0</v>
      </c>
      <c r="R18" s="15">
        <f t="shared" si="9"/>
        <v>12.112500000000001</v>
      </c>
    </row>
    <row r="19" spans="1:18">
      <c r="A19" s="1" t="s">
        <v>16</v>
      </c>
      <c r="B19" s="6" t="str">
        <f t="shared" si="0"/>
        <v>NormalDistribution(0; 0.7125; -0.761043730670382; 1.23895626932962)</v>
      </c>
      <c r="C19" s="15">
        <v>0</v>
      </c>
      <c r="D19" s="15">
        <f t="shared" si="1"/>
        <v>0.71250000000000002</v>
      </c>
      <c r="E19">
        <v>-0.76104373067038189</v>
      </c>
      <c r="F19">
        <v>1.2389562693296181</v>
      </c>
      <c r="G19" s="6" t="str">
        <f t="shared" si="2"/>
        <v>NormalDistribution(0; 0.01875)</v>
      </c>
      <c r="H19" s="15">
        <v>0</v>
      </c>
      <c r="I19" s="15">
        <f t="shared" si="3"/>
        <v>1.8749999999999999E-2</v>
      </c>
      <c r="J19" s="6" t="str">
        <f t="shared" si="4"/>
        <v>NormalDistribution(0; 0.175)</v>
      </c>
      <c r="K19" s="15">
        <v>0</v>
      </c>
      <c r="L19" s="15">
        <f t="shared" si="5"/>
        <v>0.17499999999999999</v>
      </c>
      <c r="M19" s="6" t="str">
        <f t="shared" si="6"/>
        <v>NormalDistribution(0; 0.0375)</v>
      </c>
      <c r="N19" s="15">
        <v>0</v>
      </c>
      <c r="O19" s="15">
        <f t="shared" si="7"/>
        <v>3.7499999999999999E-2</v>
      </c>
      <c r="P19" s="6" t="str">
        <f t="shared" si="8"/>
        <v>NormalDistribution(0; 1.2675)</v>
      </c>
      <c r="Q19" s="15">
        <v>0</v>
      </c>
      <c r="R19" s="15">
        <f t="shared" si="9"/>
        <v>1.2675000000000001</v>
      </c>
    </row>
    <row r="20" spans="1:18">
      <c r="A20" s="1" t="s">
        <v>17</v>
      </c>
      <c r="B20" s="6" t="str">
        <f t="shared" si="0"/>
        <v>NormalDistribution(0; 0.65; -0.751960508718775; 1.24803949128122)</v>
      </c>
      <c r="C20" s="15">
        <v>0</v>
      </c>
      <c r="D20" s="15">
        <f t="shared" si="1"/>
        <v>0.65</v>
      </c>
      <c r="E20">
        <v>-0.7519605087187754</v>
      </c>
      <c r="F20">
        <v>1.2480394912812245</v>
      </c>
      <c r="G20" s="6" t="str">
        <f t="shared" si="2"/>
        <v>NormalDistribution(0; 0.15625)</v>
      </c>
      <c r="H20" s="15">
        <v>0</v>
      </c>
      <c r="I20" s="15">
        <f t="shared" si="3"/>
        <v>0.15625</v>
      </c>
      <c r="J20" s="6" t="str">
        <f t="shared" si="4"/>
        <v>NormalDistribution(0; 0.15)</v>
      </c>
      <c r="K20" s="15">
        <v>0</v>
      </c>
      <c r="L20" s="15">
        <f t="shared" si="5"/>
        <v>0.15</v>
      </c>
      <c r="M20" s="6" t="str">
        <f t="shared" si="6"/>
        <v>NormalDistribution(0; 0.11875)</v>
      </c>
      <c r="N20" s="15">
        <v>0</v>
      </c>
      <c r="O20" s="15">
        <f t="shared" si="7"/>
        <v>0.11874999999999999</v>
      </c>
      <c r="P20" s="6">
        <v>0</v>
      </c>
      <c r="Q20" s="15">
        <v>0</v>
      </c>
      <c r="R20" s="15">
        <f t="shared" si="9"/>
        <v>0</v>
      </c>
    </row>
    <row r="21" spans="1:18">
      <c r="A21" s="1" t="s">
        <v>18</v>
      </c>
      <c r="B21" s="6" t="str">
        <f t="shared" si="0"/>
        <v>NormalDistribution(0; 0.65; -0.751960508718775; 1.24803949128122)</v>
      </c>
      <c r="C21" s="15">
        <v>0</v>
      </c>
      <c r="D21" s="15">
        <f t="shared" si="1"/>
        <v>0.65</v>
      </c>
      <c r="E21">
        <v>-0.7519605087187754</v>
      </c>
      <c r="F21">
        <v>1.2480394912812245</v>
      </c>
      <c r="G21" s="6" t="str">
        <f t="shared" si="2"/>
        <v>NormalDistribution(0; 0.15625)</v>
      </c>
      <c r="H21" s="15">
        <v>0</v>
      </c>
      <c r="I21" s="15">
        <f t="shared" si="3"/>
        <v>0.15625</v>
      </c>
      <c r="J21" s="6" t="str">
        <f t="shared" si="4"/>
        <v>NormalDistribution(0; 0.15)</v>
      </c>
      <c r="K21" s="15">
        <v>0</v>
      </c>
      <c r="L21" s="15">
        <f t="shared" si="5"/>
        <v>0.15</v>
      </c>
      <c r="M21" s="6" t="str">
        <f t="shared" si="6"/>
        <v>NormalDistribution(0; 0.11875)</v>
      </c>
      <c r="N21" s="15">
        <v>0</v>
      </c>
      <c r="O21" s="15">
        <f t="shared" si="7"/>
        <v>0.11874999999999999</v>
      </c>
      <c r="P21" s="6" t="str">
        <f t="shared" si="8"/>
        <v>NormalDistribution(0; 11.76)</v>
      </c>
      <c r="Q21" s="15">
        <v>0</v>
      </c>
      <c r="R21" s="15">
        <f t="shared" si="9"/>
        <v>11.76</v>
      </c>
    </row>
    <row r="22" spans="1:18">
      <c r="A22" s="1" t="s">
        <v>19</v>
      </c>
      <c r="B22" s="6" t="str">
        <f t="shared" si="0"/>
        <v>NormalDistribution(0; 0.65; -0.751960508718775; 1.24803949128122)</v>
      </c>
      <c r="C22" s="15">
        <v>0</v>
      </c>
      <c r="D22" s="15">
        <f t="shared" si="1"/>
        <v>0.65</v>
      </c>
      <c r="E22">
        <v>-0.7519605087187754</v>
      </c>
      <c r="F22">
        <v>1.2480394912812245</v>
      </c>
      <c r="G22" s="6" t="str">
        <f t="shared" si="2"/>
        <v>NormalDistribution(0; 0.0375)</v>
      </c>
      <c r="H22" s="15">
        <v>0</v>
      </c>
      <c r="I22" s="15">
        <f t="shared" si="3"/>
        <v>3.7499999999999999E-2</v>
      </c>
      <c r="J22" s="6" t="str">
        <f t="shared" si="4"/>
        <v>NormalDistribution(0; 0.15)</v>
      </c>
      <c r="K22" s="15">
        <v>0</v>
      </c>
      <c r="L22" s="15">
        <f t="shared" si="5"/>
        <v>0.15</v>
      </c>
      <c r="M22" s="6" t="str">
        <f t="shared" si="6"/>
        <v>NormalDistribution(0; 0.05625)</v>
      </c>
      <c r="N22" s="15">
        <v>0</v>
      </c>
      <c r="O22" s="15">
        <f t="shared" si="7"/>
        <v>5.6250000000000001E-2</v>
      </c>
      <c r="P22" s="6">
        <v>0</v>
      </c>
      <c r="Q22" s="15">
        <v>0</v>
      </c>
      <c r="R22" s="15">
        <f t="shared" si="9"/>
        <v>0</v>
      </c>
    </row>
    <row r="26" spans="1:18">
      <c r="A26" s="13" t="s">
        <v>211</v>
      </c>
    </row>
    <row r="27" spans="1:18">
      <c r="D27">
        <v>1.1200000000000001</v>
      </c>
      <c r="I27">
        <v>-2.5000000000000001E-2</v>
      </c>
      <c r="L27">
        <v>0.25</v>
      </c>
      <c r="O27">
        <v>0.1</v>
      </c>
      <c r="R27">
        <v>0.81</v>
      </c>
    </row>
    <row r="28" spans="1:18">
      <c r="D28">
        <v>1.1200000000000001</v>
      </c>
      <c r="I28">
        <v>-2.5000000000000001E-2</v>
      </c>
      <c r="L28">
        <v>0.25</v>
      </c>
      <c r="O28">
        <v>0.1</v>
      </c>
      <c r="R28">
        <v>0.81</v>
      </c>
    </row>
    <row r="29" spans="1:18">
      <c r="D29">
        <v>1.1100000000000001</v>
      </c>
      <c r="I29">
        <v>-2.5000000000000001E-2</v>
      </c>
      <c r="L29">
        <v>0.25</v>
      </c>
      <c r="O29">
        <v>0.1</v>
      </c>
      <c r="R29">
        <v>0</v>
      </c>
    </row>
    <row r="30" spans="1:18">
      <c r="D30">
        <v>1.1299999999999999</v>
      </c>
      <c r="I30">
        <v>7.4999999999999997E-2</v>
      </c>
      <c r="L30">
        <v>0.25</v>
      </c>
      <c r="O30">
        <v>0.15</v>
      </c>
      <c r="R30">
        <v>0</v>
      </c>
    </row>
    <row r="31" spans="1:18">
      <c r="D31">
        <v>1.1299999999999999</v>
      </c>
      <c r="I31">
        <v>7.4999999999999997E-2</v>
      </c>
      <c r="L31">
        <v>0.25</v>
      </c>
      <c r="O31">
        <v>0.15</v>
      </c>
      <c r="R31">
        <v>0</v>
      </c>
    </row>
    <row r="32" spans="1:18">
      <c r="D32">
        <v>1.93</v>
      </c>
      <c r="I32">
        <v>-2.5000000000000001E-2</v>
      </c>
      <c r="L32">
        <v>0.4</v>
      </c>
      <c r="O32">
        <v>0.1</v>
      </c>
      <c r="R32">
        <v>0</v>
      </c>
    </row>
    <row r="33" spans="4:18">
      <c r="D33">
        <v>1.93</v>
      </c>
      <c r="I33">
        <v>-2.5000000000000001E-2</v>
      </c>
      <c r="L33">
        <v>0.4</v>
      </c>
      <c r="O33">
        <v>0.1</v>
      </c>
      <c r="R33">
        <v>0</v>
      </c>
    </row>
    <row r="34" spans="4:18">
      <c r="D34">
        <v>2.6</v>
      </c>
      <c r="I34">
        <v>0.375</v>
      </c>
      <c r="L34">
        <v>0.6</v>
      </c>
      <c r="O34">
        <v>0.35</v>
      </c>
      <c r="R34">
        <v>0</v>
      </c>
    </row>
    <row r="35" spans="4:18">
      <c r="D35">
        <v>2.6</v>
      </c>
      <c r="I35">
        <v>0.15</v>
      </c>
      <c r="L35">
        <v>0.6</v>
      </c>
      <c r="O35">
        <v>0.22500000000000001</v>
      </c>
      <c r="R35">
        <v>12.74</v>
      </c>
    </row>
    <row r="36" spans="4:18">
      <c r="D36">
        <v>2.6</v>
      </c>
      <c r="I36">
        <v>0.15</v>
      </c>
      <c r="L36">
        <v>0.6</v>
      </c>
      <c r="O36">
        <v>0.22500000000000001</v>
      </c>
      <c r="R36">
        <v>114.64</v>
      </c>
    </row>
    <row r="37" spans="4:18">
      <c r="D37">
        <v>2.6</v>
      </c>
      <c r="I37">
        <v>0.375</v>
      </c>
      <c r="L37">
        <v>0.6</v>
      </c>
      <c r="O37">
        <v>0.35</v>
      </c>
      <c r="R37">
        <v>16.149999999999999</v>
      </c>
    </row>
    <row r="38" spans="4:18">
      <c r="D38">
        <v>2.6</v>
      </c>
      <c r="I38">
        <v>0.375</v>
      </c>
      <c r="L38">
        <v>0.6</v>
      </c>
      <c r="O38">
        <v>0.35</v>
      </c>
      <c r="R38">
        <v>48.45</v>
      </c>
    </row>
    <row r="39" spans="4:18">
      <c r="D39">
        <v>2.85</v>
      </c>
      <c r="I39">
        <v>7.4999999999999997E-2</v>
      </c>
      <c r="L39">
        <v>0.7</v>
      </c>
      <c r="O39">
        <v>0.15</v>
      </c>
      <c r="R39">
        <v>5.07</v>
      </c>
    </row>
    <row r="40" spans="4:18">
      <c r="D40">
        <v>2.6</v>
      </c>
      <c r="I40">
        <v>0.625</v>
      </c>
      <c r="L40">
        <v>0.6</v>
      </c>
      <c r="O40">
        <v>0.47499999999999998</v>
      </c>
      <c r="R40">
        <v>0</v>
      </c>
    </row>
    <row r="41" spans="4:18">
      <c r="D41">
        <v>2.6</v>
      </c>
      <c r="I41">
        <v>0.625</v>
      </c>
      <c r="L41">
        <v>0.6</v>
      </c>
      <c r="O41">
        <v>0.47499999999999998</v>
      </c>
      <c r="R41">
        <v>47.04</v>
      </c>
    </row>
    <row r="42" spans="4:18">
      <c r="D42">
        <v>2.6</v>
      </c>
      <c r="I42">
        <v>0.15</v>
      </c>
      <c r="L42">
        <v>0.6</v>
      </c>
      <c r="O42">
        <v>0.22500000000000001</v>
      </c>
      <c r="R42">
        <v>0</v>
      </c>
    </row>
    <row r="45" spans="4:18">
      <c r="D45" s="19"/>
      <c r="E45" s="22"/>
      <c r="F45" s="22"/>
      <c r="I45" s="20"/>
      <c r="L45" s="21"/>
      <c r="O45" s="22"/>
      <c r="R45" s="23"/>
    </row>
    <row r="46" spans="4:18">
      <c r="D46" s="19"/>
      <c r="E46" s="22"/>
      <c r="F46" s="22"/>
      <c r="I46" s="20"/>
      <c r="L46" s="21"/>
      <c r="O46" s="22"/>
      <c r="R46" s="23"/>
    </row>
    <row r="47" spans="4:18">
      <c r="D47" s="19"/>
      <c r="E47" s="22"/>
      <c r="F47" s="22"/>
      <c r="I47" s="20"/>
      <c r="L47" s="21"/>
      <c r="O47" s="22"/>
      <c r="R47" s="23"/>
    </row>
    <row r="48" spans="4:18">
      <c r="D48" s="19"/>
      <c r="E48" s="22"/>
      <c r="F48" s="22"/>
      <c r="I48" s="20"/>
      <c r="L48" s="21"/>
      <c r="O48" s="22"/>
      <c r="R48" s="23"/>
    </row>
    <row r="49" spans="4:18">
      <c r="D49" s="19"/>
      <c r="E49" s="22"/>
      <c r="F49" s="22"/>
      <c r="I49" s="20"/>
      <c r="L49" s="21"/>
      <c r="O49" s="22"/>
      <c r="R49" s="23"/>
    </row>
    <row r="50" spans="4:18">
      <c r="D50" s="19"/>
      <c r="E50" s="22"/>
      <c r="F50" s="22"/>
      <c r="I50" s="20"/>
      <c r="L50" s="21"/>
      <c r="O50" s="22"/>
      <c r="R50" s="23"/>
    </row>
    <row r="51" spans="4:18">
      <c r="D51" s="19"/>
      <c r="E51" s="22"/>
      <c r="F51" s="22"/>
      <c r="I51" s="20"/>
      <c r="L51" s="21"/>
      <c r="O51" s="22"/>
      <c r="R51" s="23"/>
    </row>
    <row r="52" spans="4:18">
      <c r="D52" s="19"/>
      <c r="E52" s="22"/>
      <c r="F52" s="22"/>
      <c r="I52" s="20"/>
      <c r="L52" s="21"/>
      <c r="O52" s="22"/>
      <c r="R52" s="23"/>
    </row>
    <row r="53" spans="4:18">
      <c r="D53" s="19"/>
      <c r="E53" s="22"/>
      <c r="F53" s="22"/>
      <c r="I53" s="20"/>
      <c r="L53" s="21"/>
      <c r="O53" s="22"/>
      <c r="R53" s="23"/>
    </row>
    <row r="54" spans="4:18">
      <c r="D54" s="19"/>
      <c r="E54" s="22"/>
      <c r="F54" s="22"/>
      <c r="I54" s="20"/>
      <c r="L54" s="21"/>
      <c r="O54" s="22"/>
      <c r="R54" s="23"/>
    </row>
    <row r="55" spans="4:18">
      <c r="D55" s="19"/>
      <c r="E55" s="22"/>
      <c r="F55" s="22"/>
      <c r="I55" s="20"/>
      <c r="L55" s="21"/>
      <c r="O55" s="22"/>
      <c r="R55" s="23"/>
    </row>
    <row r="56" spans="4:18">
      <c r="D56" s="19"/>
      <c r="E56" s="22"/>
      <c r="F56" s="22"/>
      <c r="I56" s="20"/>
      <c r="L56" s="21"/>
      <c r="O56" s="22"/>
      <c r="R56" s="23"/>
    </row>
    <row r="57" spans="4:18">
      <c r="D57" s="19"/>
      <c r="E57" s="22"/>
      <c r="F57" s="22"/>
      <c r="I57" s="20"/>
      <c r="L57" s="21"/>
      <c r="O57" s="22"/>
      <c r="R57" s="23"/>
    </row>
    <row r="58" spans="4:18">
      <c r="D58" s="19"/>
      <c r="E58" s="22"/>
      <c r="F58" s="22"/>
      <c r="I58" s="20"/>
      <c r="L58" s="21"/>
      <c r="O58" s="22"/>
      <c r="R58" s="23"/>
    </row>
    <row r="59" spans="4:18">
      <c r="D59" s="19"/>
      <c r="E59" s="22"/>
      <c r="F59" s="22"/>
      <c r="I59" s="20"/>
      <c r="L59" s="21"/>
      <c r="O59" s="22"/>
      <c r="R59" s="23"/>
    </row>
    <row r="60" spans="4:18">
      <c r="D60" s="19"/>
      <c r="E60" s="22"/>
      <c r="F60" s="22"/>
      <c r="I60" s="20"/>
      <c r="L60" s="21"/>
      <c r="O60" s="22"/>
      <c r="R60" s="23"/>
    </row>
  </sheetData>
  <phoneticPr fontId="0" type="noConversion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15"/>
  <dimension ref="A5:C23"/>
  <sheetViews>
    <sheetView workbookViewId="0">
      <selection activeCell="A7" sqref="A7:A23"/>
    </sheetView>
  </sheetViews>
  <sheetFormatPr defaultColWidth="11.42578125" defaultRowHeight="12.75"/>
  <sheetData>
    <row r="5" spans="1:3">
      <c r="A5" t="s">
        <v>171</v>
      </c>
    </row>
    <row r="7" spans="1:3">
      <c r="A7" s="12" t="s">
        <v>143</v>
      </c>
      <c r="B7" s="12" t="s">
        <v>97</v>
      </c>
      <c r="C7" s="12" t="s">
        <v>172</v>
      </c>
    </row>
    <row r="8" spans="1:3">
      <c r="A8" s="1" t="s">
        <v>2</v>
      </c>
      <c r="B8" s="6">
        <v>1.1940999999999999</v>
      </c>
      <c r="C8" s="6">
        <v>0.806731417004106</v>
      </c>
    </row>
    <row r="9" spans="1:3">
      <c r="A9" s="1" t="s">
        <v>3</v>
      </c>
      <c r="B9" s="6">
        <v>1.4712000000000001</v>
      </c>
      <c r="C9" s="6">
        <v>0.806731417004106</v>
      </c>
    </row>
    <row r="10" spans="1:3">
      <c r="A10" s="1" t="s">
        <v>6</v>
      </c>
      <c r="B10" s="6">
        <v>1.1248</v>
      </c>
      <c r="C10" s="6">
        <v>0.82493168808335959</v>
      </c>
    </row>
    <row r="11" spans="1:3">
      <c r="A11" s="1" t="s">
        <v>7</v>
      </c>
      <c r="B11" s="6">
        <v>1.0555000000000001</v>
      </c>
      <c r="C11" s="6">
        <v>0.79237138153072151</v>
      </c>
    </row>
    <row r="12" spans="1:3">
      <c r="A12" s="1" t="s">
        <v>8</v>
      </c>
      <c r="B12" s="6">
        <v>0.96760000000000002</v>
      </c>
      <c r="C12" s="6">
        <v>0.83334628229355057</v>
      </c>
    </row>
    <row r="13" spans="1:3">
      <c r="A13" s="1" t="s">
        <v>9</v>
      </c>
      <c r="B13" s="6">
        <v>1.1676</v>
      </c>
      <c r="C13" s="6">
        <v>1</v>
      </c>
    </row>
    <row r="14" spans="1:3">
      <c r="A14" s="1" t="s">
        <v>10</v>
      </c>
      <c r="B14" s="6">
        <v>1.2866</v>
      </c>
      <c r="C14" s="6">
        <v>0.89835229248730453</v>
      </c>
    </row>
    <row r="15" spans="1:3">
      <c r="A15" s="1" t="s">
        <v>11</v>
      </c>
      <c r="B15" s="6">
        <v>1.1546000000000001</v>
      </c>
      <c r="C15" s="6">
        <v>1.0396601737627491</v>
      </c>
    </row>
    <row r="16" spans="1:3">
      <c r="A16" s="1" t="s">
        <v>12</v>
      </c>
      <c r="B16" s="6">
        <v>0.88039999999999996</v>
      </c>
      <c r="C16" s="6">
        <v>0.806731417004106</v>
      </c>
    </row>
    <row r="17" spans="1:3">
      <c r="A17" s="1" t="s">
        <v>13</v>
      </c>
      <c r="B17" s="6">
        <v>0.85040000000000004</v>
      </c>
      <c r="C17" s="6">
        <v>0.74252266888090201</v>
      </c>
    </row>
    <row r="18" spans="1:3">
      <c r="A18" s="1" t="s">
        <v>14</v>
      </c>
      <c r="B18" s="6">
        <v>0.90739999999999998</v>
      </c>
      <c r="C18" s="6">
        <v>1.0396601737627491</v>
      </c>
    </row>
    <row r="19" spans="1:3">
      <c r="A19" s="1" t="s">
        <v>15</v>
      </c>
      <c r="B19" s="6">
        <v>0.70979999999999999</v>
      </c>
      <c r="C19" s="6">
        <v>0.86584928739042744</v>
      </c>
    </row>
    <row r="20" spans="1:3">
      <c r="A20" s="1" t="s">
        <v>16</v>
      </c>
      <c r="B20" s="6">
        <v>1.1847000000000001</v>
      </c>
      <c r="C20" s="6">
        <v>0.79237138153072151</v>
      </c>
    </row>
    <row r="21" spans="1:3">
      <c r="A21" s="1" t="s">
        <v>17</v>
      </c>
      <c r="B21" s="6">
        <v>1.143</v>
      </c>
      <c r="C21" s="6">
        <v>1</v>
      </c>
    </row>
    <row r="22" spans="1:3">
      <c r="A22" s="1" t="s">
        <v>18</v>
      </c>
      <c r="B22" s="6">
        <v>0.878</v>
      </c>
      <c r="C22" s="6">
        <v>0.90513421043623354</v>
      </c>
    </row>
    <row r="23" spans="1:3">
      <c r="A23" s="1" t="s">
        <v>19</v>
      </c>
      <c r="B23" s="6">
        <v>0.75170000000000003</v>
      </c>
      <c r="C23" s="6">
        <v>0.81496443125255535</v>
      </c>
    </row>
  </sheetData>
  <phoneticPr fontId="0" type="noConversion"/>
  <pageMargins left="0.7" right="0.7" top="0.78740157499999996" bottom="0.78740157499999996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16"/>
  <dimension ref="A8:J33"/>
  <sheetViews>
    <sheetView topLeftCell="A7" workbookViewId="0">
      <selection activeCell="B11" sqref="B11"/>
    </sheetView>
  </sheetViews>
  <sheetFormatPr defaultColWidth="11.42578125" defaultRowHeight="12.75"/>
  <cols>
    <col min="2" max="2" width="39.7109375" bestFit="1" customWidth="1"/>
  </cols>
  <sheetData>
    <row r="8" spans="1:10">
      <c r="A8" s="12" t="s">
        <v>0</v>
      </c>
      <c r="B8" s="12" t="s">
        <v>1</v>
      </c>
      <c r="C8" s="12" t="s">
        <v>135</v>
      </c>
      <c r="D8" s="12" t="s">
        <v>136</v>
      </c>
      <c r="E8" s="12" t="s">
        <v>132</v>
      </c>
      <c r="F8" s="12" t="s">
        <v>133</v>
      </c>
      <c r="G8" s="12" t="s">
        <v>134</v>
      </c>
      <c r="H8" s="12" t="s">
        <v>130</v>
      </c>
      <c r="I8" s="12" t="s">
        <v>131</v>
      </c>
      <c r="J8" s="12" t="s">
        <v>129</v>
      </c>
    </row>
    <row r="9" spans="1:10" s="2" customFormat="1">
      <c r="A9" s="5" t="s">
        <v>48</v>
      </c>
      <c r="B9" s="6" t="str">
        <f>NormalDistribution(C9,D9,,I9)</f>
        <v>NormalDistribution(-1.578625; 0.232507;; 0)</v>
      </c>
      <c r="C9" s="2">
        <v>-1.5786249999999999</v>
      </c>
      <c r="D9" s="2">
        <v>0.23250699999999999</v>
      </c>
      <c r="I9" s="2">
        <v>0</v>
      </c>
    </row>
    <row r="10" spans="1:10" s="2" customFormat="1">
      <c r="A10" s="5" t="s">
        <v>49</v>
      </c>
      <c r="B10" s="6" t="str">
        <f>NormalDistribution(C10,D10,H10)</f>
        <v>NormalDistribution(1.141714; 0.508302; 0)</v>
      </c>
      <c r="C10" s="2">
        <v>1.1417139999999999</v>
      </c>
      <c r="D10" s="2">
        <v>0.50830200000000003</v>
      </c>
      <c r="H10" s="2">
        <v>0</v>
      </c>
    </row>
    <row r="11" spans="1:10" s="2" customFormat="1">
      <c r="A11" s="5" t="s">
        <v>50</v>
      </c>
      <c r="B11" s="6" t="str">
        <f>NormalDistribution(C11,D11,H11,I11)</f>
        <v>NormalDistribution(-0.418406; 0.119223; -1; 0)</v>
      </c>
      <c r="C11" s="2">
        <v>-0.418406</v>
      </c>
      <c r="D11" s="2">
        <v>0.119223</v>
      </c>
      <c r="H11" s="2">
        <v>-1</v>
      </c>
      <c r="I11" s="2">
        <v>0</v>
      </c>
    </row>
    <row r="12" spans="1:10" s="2" customFormat="1">
      <c r="A12" s="5" t="s">
        <v>51</v>
      </c>
      <c r="B12" s="6" t="str">
        <f>NormalDistribution(C12,D12,H12)</f>
        <v>NormalDistribution(0.699241; 0.260643; 0)</v>
      </c>
      <c r="C12" s="2">
        <v>0.699241</v>
      </c>
      <c r="D12" s="2">
        <v>0.26064300000000001</v>
      </c>
      <c r="H12" s="2">
        <v>0</v>
      </c>
    </row>
    <row r="15" spans="1:10">
      <c r="A15" s="13" t="s">
        <v>169</v>
      </c>
    </row>
    <row r="16" spans="1:10">
      <c r="A16" s="13" t="s">
        <v>170</v>
      </c>
    </row>
    <row r="17" spans="1:5">
      <c r="A17" s="12" t="s">
        <v>143</v>
      </c>
      <c r="B17" s="12" t="s">
        <v>99</v>
      </c>
      <c r="D17" s="12" t="s">
        <v>143</v>
      </c>
      <c r="E17" s="12" t="s">
        <v>100</v>
      </c>
    </row>
    <row r="18" spans="1:5">
      <c r="A18" s="1" t="s">
        <v>2</v>
      </c>
      <c r="B18" s="6">
        <v>41.154000000000003</v>
      </c>
      <c r="D18" s="1" t="s">
        <v>2</v>
      </c>
      <c r="E18" s="6">
        <v>1704.1559999999999</v>
      </c>
    </row>
    <row r="19" spans="1:5">
      <c r="A19" s="1" t="s">
        <v>3</v>
      </c>
      <c r="B19" s="6">
        <v>41.154000000000003</v>
      </c>
      <c r="D19" s="1" t="s">
        <v>3</v>
      </c>
      <c r="E19" s="6">
        <v>1704.1559999999999</v>
      </c>
    </row>
    <row r="20" spans="1:5">
      <c r="A20" s="1" t="s">
        <v>6</v>
      </c>
      <c r="B20" s="6">
        <v>14.551</v>
      </c>
      <c r="D20" s="1" t="s">
        <v>6</v>
      </c>
      <c r="E20" s="6">
        <v>631.87800000000004</v>
      </c>
    </row>
    <row r="21" spans="1:5">
      <c r="A21" s="1" t="s">
        <v>7</v>
      </c>
      <c r="B21" s="6">
        <v>8.895999999999999</v>
      </c>
      <c r="D21" s="1" t="s">
        <v>7</v>
      </c>
      <c r="E21" s="6">
        <v>166.292</v>
      </c>
    </row>
    <row r="22" spans="1:5">
      <c r="A22" s="1" t="s">
        <v>8</v>
      </c>
      <c r="B22" s="6">
        <v>1.3460000000000001</v>
      </c>
      <c r="D22" s="1" t="s">
        <v>8</v>
      </c>
      <c r="E22" s="6">
        <v>82.960000000000008</v>
      </c>
    </row>
    <row r="23" spans="1:5">
      <c r="A23" s="1" t="s">
        <v>9</v>
      </c>
      <c r="B23" s="6">
        <v>18.085000000000001</v>
      </c>
      <c r="D23" s="1" t="s">
        <v>9</v>
      </c>
      <c r="E23" s="6">
        <v>846.77500000000009</v>
      </c>
    </row>
    <row r="24" spans="1:5">
      <c r="A24" s="1" t="s">
        <v>10</v>
      </c>
      <c r="B24" s="6">
        <v>121.694</v>
      </c>
      <c r="D24" s="1" t="s">
        <v>10</v>
      </c>
      <c r="E24" s="6">
        <v>6734.6310000000003</v>
      </c>
    </row>
    <row r="25" spans="1:5">
      <c r="A25" s="1" t="s">
        <v>11</v>
      </c>
      <c r="B25" s="6">
        <v>29.798999999999999</v>
      </c>
      <c r="D25" s="1" t="s">
        <v>11</v>
      </c>
      <c r="E25" s="6">
        <v>166.214</v>
      </c>
    </row>
    <row r="26" spans="1:5">
      <c r="A26" s="1" t="s">
        <v>12</v>
      </c>
      <c r="B26" s="6">
        <v>161.71700000000001</v>
      </c>
      <c r="D26" s="1" t="s">
        <v>12</v>
      </c>
      <c r="E26" s="6">
        <v>643.00100000000009</v>
      </c>
    </row>
    <row r="27" spans="1:5">
      <c r="A27" s="1" t="s">
        <v>13</v>
      </c>
      <c r="B27" s="6">
        <v>168.06799999999998</v>
      </c>
      <c r="D27" s="1" t="s">
        <v>13</v>
      </c>
      <c r="E27" s="6">
        <v>649.87700000000007</v>
      </c>
    </row>
    <row r="28" spans="1:5">
      <c r="A28" s="1" t="s">
        <v>14</v>
      </c>
      <c r="B28" s="6">
        <v>229.167</v>
      </c>
      <c r="D28" s="1" t="s">
        <v>14</v>
      </c>
      <c r="E28" s="6">
        <v>896.13699999999994</v>
      </c>
    </row>
    <row r="29" spans="1:5">
      <c r="A29" s="1" t="s">
        <v>15</v>
      </c>
      <c r="B29" s="6">
        <v>135.411</v>
      </c>
      <c r="D29" s="1" t="s">
        <v>15</v>
      </c>
      <c r="E29" s="6">
        <v>630.92999999999995</v>
      </c>
    </row>
    <row r="30" spans="1:5">
      <c r="A30" s="1" t="s">
        <v>16</v>
      </c>
      <c r="B30" s="6">
        <v>33.091000000000001</v>
      </c>
      <c r="D30" s="1" t="s">
        <v>16</v>
      </c>
      <c r="E30" s="6">
        <v>400.60400000000004</v>
      </c>
    </row>
    <row r="31" spans="1:5">
      <c r="A31" s="1" t="s">
        <v>17</v>
      </c>
      <c r="B31" s="6">
        <v>414.92899999999997</v>
      </c>
      <c r="D31" s="1" t="s">
        <v>17</v>
      </c>
      <c r="E31" s="6">
        <v>989.75100000000009</v>
      </c>
    </row>
    <row r="32" spans="1:5">
      <c r="A32" s="1" t="s">
        <v>18</v>
      </c>
      <c r="B32" s="6">
        <v>3167.3009999999999</v>
      </c>
      <c r="D32" s="1" t="s">
        <v>18</v>
      </c>
      <c r="E32" s="6">
        <v>5706.6309999999994</v>
      </c>
    </row>
    <row r="33" spans="1:5">
      <c r="A33" s="1" t="s">
        <v>19</v>
      </c>
      <c r="B33" s="6">
        <v>252.44299999999998</v>
      </c>
      <c r="D33" s="1" t="s">
        <v>19</v>
      </c>
      <c r="E33" s="6">
        <v>1092.3140000000001</v>
      </c>
    </row>
  </sheetData>
  <phoneticPr fontId="0" type="noConversion"/>
  <pageMargins left="0.7" right="0.7" top="0.78740157499999996" bottom="0.78740157499999996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17"/>
  <dimension ref="A8:J34"/>
  <sheetViews>
    <sheetView workbookViewId="0">
      <selection activeCell="B11" sqref="B11"/>
    </sheetView>
  </sheetViews>
  <sheetFormatPr defaultColWidth="11.42578125" defaultRowHeight="12.75"/>
  <cols>
    <col min="1" max="1" width="10" bestFit="1" customWidth="1"/>
    <col min="2" max="2" width="32.7109375" bestFit="1" customWidth="1"/>
    <col min="3" max="3" width="11.5703125" customWidth="1"/>
  </cols>
  <sheetData>
    <row r="8" spans="1:10">
      <c r="A8" s="4" t="s">
        <v>0</v>
      </c>
      <c r="B8" s="1" t="s">
        <v>1</v>
      </c>
      <c r="C8" s="8" t="s">
        <v>135</v>
      </c>
      <c r="D8" s="8" t="s">
        <v>136</v>
      </c>
      <c r="E8" s="8" t="s">
        <v>132</v>
      </c>
      <c r="F8" s="8" t="s">
        <v>133</v>
      </c>
      <c r="G8" s="8" t="s">
        <v>134</v>
      </c>
      <c r="H8" s="8" t="s">
        <v>130</v>
      </c>
      <c r="I8" s="8" t="s">
        <v>131</v>
      </c>
      <c r="J8" s="1" t="s">
        <v>129</v>
      </c>
    </row>
    <row r="9" spans="1:10">
      <c r="A9" s="5" t="s">
        <v>29</v>
      </c>
      <c r="B9" s="6" t="str">
        <f>NormalDistribution(C9,D9,H9)</f>
        <v>NormalDistribution(0.005; 0.005; 0)</v>
      </c>
      <c r="C9" s="2">
        <v>5.0000000000000001E-3</v>
      </c>
      <c r="D9" s="2">
        <v>5.0000000000000001E-3</v>
      </c>
      <c r="E9" s="2"/>
      <c r="F9" s="2"/>
      <c r="G9" s="2"/>
      <c r="H9" s="2">
        <v>0</v>
      </c>
      <c r="I9" s="2"/>
      <c r="J9" s="2"/>
    </row>
    <row r="10" spans="1:10">
      <c r="A10" s="5" t="s">
        <v>32</v>
      </c>
      <c r="B10" s="6" t="str">
        <f>NormalDistribution(C10,D10,H10,I10)</f>
        <v>NormalDistribution(0.85; 0.15; 0; 1)</v>
      </c>
      <c r="C10" s="2">
        <v>0.85</v>
      </c>
      <c r="D10" s="2">
        <v>0.15</v>
      </c>
      <c r="E10" s="2"/>
      <c r="F10" s="2"/>
      <c r="G10" s="2"/>
      <c r="H10" s="2">
        <v>0</v>
      </c>
      <c r="I10" s="2">
        <v>1</v>
      </c>
    </row>
    <row r="11" spans="1:10">
      <c r="A11" s="5" t="s">
        <v>33</v>
      </c>
      <c r="B11" s="6" t="str">
        <f>NormalDistribution(C11,D11,H11)</f>
        <v>NormalDistribution(1; 0.5; 0)</v>
      </c>
      <c r="C11" s="2">
        <v>1</v>
      </c>
      <c r="D11" s="2">
        <v>0.5</v>
      </c>
      <c r="E11" s="2"/>
      <c r="F11" s="2"/>
      <c r="G11" s="2"/>
      <c r="H11" s="2">
        <v>0</v>
      </c>
      <c r="I11" s="2"/>
    </row>
    <row r="12" spans="1:10">
      <c r="A12" s="5" t="s">
        <v>182</v>
      </c>
      <c r="B12" s="6" t="str">
        <f>NormalDistribution(C12,D12,H12)</f>
        <v>NormalDistribution(0.85; 0.15; 0)</v>
      </c>
      <c r="C12" s="2">
        <v>0.85</v>
      </c>
      <c r="D12" s="2">
        <v>0.15</v>
      </c>
      <c r="E12" s="2"/>
      <c r="F12" s="2"/>
      <c r="G12" s="2"/>
      <c r="H12" s="2">
        <v>0</v>
      </c>
    </row>
    <row r="16" spans="1:10">
      <c r="A16" t="s">
        <v>168</v>
      </c>
    </row>
    <row r="18" spans="1:4">
      <c r="A18" s="12" t="s">
        <v>143</v>
      </c>
      <c r="B18" s="12" t="s">
        <v>60</v>
      </c>
      <c r="C18" s="12" t="s">
        <v>135</v>
      </c>
      <c r="D18" s="12" t="s">
        <v>136</v>
      </c>
    </row>
    <row r="19" spans="1:4">
      <c r="A19" s="1" t="s">
        <v>2</v>
      </c>
      <c r="B19" s="6" t="str">
        <f>NormalDistribution(C19,D19)</f>
        <v>NormalDistribution(-0.00065; 0.00065)</v>
      </c>
      <c r="C19" s="14">
        <v>-6.4999999999999997E-4</v>
      </c>
      <c r="D19" s="14">
        <v>6.4999999999999997E-4</v>
      </c>
    </row>
    <row r="20" spans="1:4">
      <c r="A20" s="1" t="s">
        <v>3</v>
      </c>
      <c r="B20" s="6" t="str">
        <f t="shared" ref="B20:B34" si="0">NormalDistribution(C20,D20)</f>
        <v>NormalDistribution(-0.00057; 0.00057)</v>
      </c>
      <c r="C20" s="14">
        <v>-5.6999999999999998E-4</v>
      </c>
      <c r="D20" s="14">
        <v>5.6999999999999998E-4</v>
      </c>
    </row>
    <row r="21" spans="1:4">
      <c r="A21" s="1" t="s">
        <v>6</v>
      </c>
      <c r="B21" s="6" t="str">
        <f t="shared" si="0"/>
        <v>NormalDistribution(-0.00027; 0.00027)</v>
      </c>
      <c r="C21" s="14">
        <v>-2.7E-4</v>
      </c>
      <c r="D21" s="14">
        <v>2.7E-4</v>
      </c>
    </row>
    <row r="22" spans="1:4">
      <c r="A22" s="1" t="s">
        <v>7</v>
      </c>
      <c r="B22" s="6" t="str">
        <f t="shared" si="0"/>
        <v>NormalDistribution(0.000003; 0.000003)</v>
      </c>
      <c r="C22" s="14">
        <v>3.0000000000000001E-6</v>
      </c>
      <c r="D22" s="14">
        <v>3.0000000000000001E-6</v>
      </c>
    </row>
    <row r="23" spans="1:4">
      <c r="A23" s="1" t="s">
        <v>8</v>
      </c>
      <c r="B23" s="6" t="str">
        <f t="shared" si="0"/>
        <v>NormalDistribution(0.000003; 0.000003)</v>
      </c>
      <c r="C23" s="14">
        <v>3.0000000000000001E-6</v>
      </c>
      <c r="D23" s="14">
        <v>3.0000000000000001E-6</v>
      </c>
    </row>
    <row r="24" spans="1:4">
      <c r="A24" s="1" t="s">
        <v>9</v>
      </c>
      <c r="B24" s="6" t="str">
        <f t="shared" si="0"/>
        <v>NormalDistribution(-0.00697; 0.00697)</v>
      </c>
      <c r="C24" s="14">
        <v>-6.9699999999999996E-3</v>
      </c>
      <c r="D24" s="14">
        <v>6.9699999999999996E-3</v>
      </c>
    </row>
    <row r="25" spans="1:4">
      <c r="A25" s="1" t="s">
        <v>10</v>
      </c>
      <c r="B25" s="6" t="str">
        <f t="shared" si="0"/>
        <v>NormalDistribution(-0.02754; 0.02754)</v>
      </c>
      <c r="C25" s="14">
        <v>-2.7539999999999999E-2</v>
      </c>
      <c r="D25" s="14">
        <v>2.7539999999999999E-2</v>
      </c>
    </row>
    <row r="26" spans="1:4">
      <c r="A26" s="1" t="s">
        <v>11</v>
      </c>
      <c r="B26" s="6" t="str">
        <f t="shared" si="0"/>
        <v>NormalDistribution(-0.00133; 0.00133)</v>
      </c>
      <c r="C26" s="14">
        <v>-1.33E-3</v>
      </c>
      <c r="D26" s="14">
        <v>1.33E-3</v>
      </c>
    </row>
    <row r="27" spans="1:4">
      <c r="A27" s="1" t="s">
        <v>12</v>
      </c>
      <c r="B27" s="6" t="str">
        <f t="shared" si="0"/>
        <v>NormalDistribution(-0.0013; 0.0013)</v>
      </c>
      <c r="C27" s="14">
        <v>-1.2999999999999999E-3</v>
      </c>
      <c r="D27" s="14">
        <v>1.2999999999999999E-3</v>
      </c>
    </row>
    <row r="28" spans="1:4">
      <c r="A28" s="1" t="s">
        <v>13</v>
      </c>
      <c r="B28" s="6" t="str">
        <f t="shared" si="0"/>
        <v>NormalDistribution(-0.0014; 0.0014)</v>
      </c>
      <c r="C28" s="14">
        <v>-1.4E-3</v>
      </c>
      <c r="D28" s="14">
        <v>1.4E-3</v>
      </c>
    </row>
    <row r="29" spans="1:4">
      <c r="A29" s="1" t="s">
        <v>14</v>
      </c>
      <c r="B29" s="6" t="str">
        <f t="shared" si="0"/>
        <v>NormalDistribution(-0.00156; 0.00156)</v>
      </c>
      <c r="C29" s="14">
        <v>-1.56E-3</v>
      </c>
      <c r="D29" s="14">
        <v>1.56E-3</v>
      </c>
    </row>
    <row r="30" spans="1:4">
      <c r="A30" s="1" t="s">
        <v>15</v>
      </c>
      <c r="B30" s="6" t="str">
        <f t="shared" si="0"/>
        <v>NormalDistribution(-0.00314; 0.00314)</v>
      </c>
      <c r="C30" s="14">
        <v>-3.14E-3</v>
      </c>
      <c r="D30" s="14">
        <v>3.14E-3</v>
      </c>
    </row>
    <row r="31" spans="1:4">
      <c r="A31" s="1" t="s">
        <v>16</v>
      </c>
      <c r="B31" s="6" t="str">
        <f t="shared" si="0"/>
        <v>NormalDistribution(0.00569; 0.00569)</v>
      </c>
      <c r="C31" s="14">
        <v>5.6899999999999997E-3</v>
      </c>
      <c r="D31" s="14">
        <v>5.6899999999999997E-3</v>
      </c>
    </row>
    <row r="32" spans="1:4">
      <c r="A32" s="1" t="s">
        <v>17</v>
      </c>
      <c r="B32" s="6" t="str">
        <f t="shared" si="0"/>
        <v>NormalDistribution(-0.00902; 0.00902)</v>
      </c>
      <c r="C32" s="14">
        <v>-9.0200000000000002E-3</v>
      </c>
      <c r="D32" s="14">
        <v>9.0200000000000002E-3</v>
      </c>
    </row>
    <row r="33" spans="1:4">
      <c r="A33" s="1" t="s">
        <v>18</v>
      </c>
      <c r="B33" s="6" t="str">
        <f t="shared" si="0"/>
        <v>NormalDistribution(-0.0036; 0.0036)</v>
      </c>
      <c r="C33" s="14">
        <v>-3.5999999999999999E-3</v>
      </c>
      <c r="D33" s="14">
        <v>3.5999999999999999E-3</v>
      </c>
    </row>
    <row r="34" spans="1:4">
      <c r="A34" s="1" t="s">
        <v>19</v>
      </c>
      <c r="B34" s="6" t="str">
        <f t="shared" si="0"/>
        <v>NormalDistribution(-0.0013; 0.0013)</v>
      </c>
      <c r="C34" s="14">
        <v>-1.2999999999999999E-3</v>
      </c>
      <c r="D34" s="14">
        <v>1.2999999999999999E-3</v>
      </c>
    </row>
  </sheetData>
  <phoneticPr fontId="0" type="noConversion"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Tabelle18"/>
  <dimension ref="A6:J32"/>
  <sheetViews>
    <sheetView topLeftCell="A7" workbookViewId="0">
      <selection activeCell="B7" sqref="B7"/>
    </sheetView>
  </sheetViews>
  <sheetFormatPr defaultColWidth="11.42578125" defaultRowHeight="12.75"/>
  <cols>
    <col min="2" max="2" width="31" bestFit="1" customWidth="1"/>
  </cols>
  <sheetData>
    <row r="6" spans="1:10">
      <c r="A6" s="10" t="s">
        <v>0</v>
      </c>
      <c r="B6" s="11" t="s">
        <v>1</v>
      </c>
      <c r="C6" s="12" t="s">
        <v>135</v>
      </c>
      <c r="D6" s="12" t="s">
        <v>136</v>
      </c>
      <c r="E6" s="12" t="s">
        <v>132</v>
      </c>
      <c r="F6" s="12" t="s">
        <v>133</v>
      </c>
      <c r="G6" s="12" t="s">
        <v>134</v>
      </c>
      <c r="H6" s="12" t="s">
        <v>130</v>
      </c>
      <c r="I6" s="12" t="s">
        <v>131</v>
      </c>
      <c r="J6" s="11" t="s">
        <v>129</v>
      </c>
    </row>
    <row r="7" spans="1:10" s="2" customFormat="1">
      <c r="A7" s="5" t="s">
        <v>28</v>
      </c>
      <c r="B7" s="6" t="str">
        <f>TriangularDistribution(H7,C7,I7)</f>
        <v>TriangularDistribution(0; 0.05; 1)</v>
      </c>
      <c r="C7" s="2">
        <v>0.05</v>
      </c>
      <c r="H7" s="2">
        <v>0</v>
      </c>
      <c r="I7" s="2">
        <v>1</v>
      </c>
    </row>
    <row r="8" spans="1:10" s="2" customFormat="1">
      <c r="A8" s="5" t="s">
        <v>46</v>
      </c>
      <c r="B8" s="6" t="str">
        <f>NormalDistribution(C8,D8,H8)</f>
        <v>NormalDistribution(50; 50; 0)</v>
      </c>
      <c r="C8" s="2">
        <v>50</v>
      </c>
      <c r="D8" s="2">
        <v>50</v>
      </c>
      <c r="H8" s="2">
        <v>0</v>
      </c>
    </row>
    <row r="9" spans="1:10" s="2" customFormat="1">
      <c r="A9" s="5" t="s">
        <v>128</v>
      </c>
      <c r="B9" s="6">
        <v>24401</v>
      </c>
    </row>
    <row r="16" spans="1:10">
      <c r="A16" s="12" t="s">
        <v>143</v>
      </c>
      <c r="B16" s="12" t="s">
        <v>167</v>
      </c>
      <c r="C16" s="12" t="s">
        <v>135</v>
      </c>
      <c r="D16" s="12" t="s">
        <v>136</v>
      </c>
      <c r="E16" s="12" t="s">
        <v>130</v>
      </c>
    </row>
    <row r="17" spans="1:5">
      <c r="A17" s="1" t="s">
        <v>2</v>
      </c>
      <c r="B17" s="6" t="str">
        <f>NormalDistribution(C17,D17,E17)</f>
        <v>NormalDistribution(30000; 10000; 0)</v>
      </c>
      <c r="C17">
        <v>30000</v>
      </c>
      <c r="D17">
        <v>10000</v>
      </c>
      <c r="E17">
        <v>0</v>
      </c>
    </row>
    <row r="18" spans="1:5">
      <c r="A18" s="1" t="s">
        <v>3</v>
      </c>
      <c r="B18" s="6" t="str">
        <f t="shared" ref="B18:B32" si="0">NormalDistribution(C18,D18,E18)</f>
        <v>NormalDistribution(30000; 10000; 0)</v>
      </c>
      <c r="C18">
        <v>30000</v>
      </c>
      <c r="D18">
        <v>10000</v>
      </c>
      <c r="E18">
        <v>0</v>
      </c>
    </row>
    <row r="19" spans="1:5">
      <c r="A19" s="1" t="s">
        <v>6</v>
      </c>
      <c r="B19" s="6" t="str">
        <f t="shared" si="0"/>
        <v>NormalDistribution(30000; 10000; 0)</v>
      </c>
      <c r="C19">
        <v>30000</v>
      </c>
      <c r="D19">
        <v>10000</v>
      </c>
      <c r="E19">
        <v>0</v>
      </c>
    </row>
    <row r="20" spans="1:5">
      <c r="A20" s="1" t="s">
        <v>7</v>
      </c>
      <c r="B20" s="6" t="str">
        <f t="shared" si="0"/>
        <v>NormalDistribution(30000; 10000; 0)</v>
      </c>
      <c r="C20">
        <v>30000</v>
      </c>
      <c r="D20">
        <v>10000</v>
      </c>
      <c r="E20">
        <v>0</v>
      </c>
    </row>
    <row r="21" spans="1:5">
      <c r="A21" s="1" t="s">
        <v>8</v>
      </c>
      <c r="B21" s="6" t="str">
        <f t="shared" si="0"/>
        <v>NormalDistribution(30000; 10000; 0)</v>
      </c>
      <c r="C21">
        <v>30000</v>
      </c>
      <c r="D21">
        <v>10000</v>
      </c>
      <c r="E21">
        <v>0</v>
      </c>
    </row>
    <row r="22" spans="1:5">
      <c r="A22" s="1" t="s">
        <v>9</v>
      </c>
      <c r="B22" s="6" t="str">
        <f t="shared" si="0"/>
        <v>NormalDistribution(30000; 10000; 0)</v>
      </c>
      <c r="C22">
        <v>30000</v>
      </c>
      <c r="D22">
        <v>10000</v>
      </c>
      <c r="E22">
        <v>0</v>
      </c>
    </row>
    <row r="23" spans="1:5">
      <c r="A23" s="1" t="s">
        <v>10</v>
      </c>
      <c r="B23" s="6" t="str">
        <f t="shared" si="0"/>
        <v>NormalDistribution(30000; 10000; 0)</v>
      </c>
      <c r="C23">
        <v>30000</v>
      </c>
      <c r="D23">
        <v>10000</v>
      </c>
      <c r="E23">
        <v>0</v>
      </c>
    </row>
    <row r="24" spans="1:5">
      <c r="A24" s="1" t="s">
        <v>11</v>
      </c>
      <c r="B24" s="6" t="str">
        <f t="shared" si="0"/>
        <v>NormalDistribution(30000; 10000; 0)</v>
      </c>
      <c r="C24">
        <v>30000</v>
      </c>
      <c r="D24">
        <v>10000</v>
      </c>
      <c r="E24">
        <v>0</v>
      </c>
    </row>
    <row r="25" spans="1:5">
      <c r="A25" s="1" t="s">
        <v>12</v>
      </c>
      <c r="B25" s="6" t="str">
        <f t="shared" si="0"/>
        <v>NormalDistribution(30000; 10000; 0)</v>
      </c>
      <c r="C25">
        <v>30000</v>
      </c>
      <c r="D25">
        <v>10000</v>
      </c>
      <c r="E25">
        <v>0</v>
      </c>
    </row>
    <row r="26" spans="1:5">
      <c r="A26" s="1" t="s">
        <v>13</v>
      </c>
      <c r="B26" s="6" t="str">
        <f t="shared" si="0"/>
        <v>NormalDistribution(30000; 10000; 0)</v>
      </c>
      <c r="C26">
        <v>30000</v>
      </c>
      <c r="D26">
        <v>10000</v>
      </c>
      <c r="E26">
        <v>0</v>
      </c>
    </row>
    <row r="27" spans="1:5">
      <c r="A27" s="1" t="s">
        <v>14</v>
      </c>
      <c r="B27" s="6" t="str">
        <f t="shared" si="0"/>
        <v>NormalDistribution(30000; 10000; 0)</v>
      </c>
      <c r="C27">
        <v>30000</v>
      </c>
      <c r="D27">
        <v>10000</v>
      </c>
      <c r="E27">
        <v>0</v>
      </c>
    </row>
    <row r="28" spans="1:5">
      <c r="A28" s="1" t="s">
        <v>15</v>
      </c>
      <c r="B28" s="6" t="str">
        <f t="shared" si="0"/>
        <v>NormalDistribution(30000; 10000; 0)</v>
      </c>
      <c r="C28">
        <v>30000</v>
      </c>
      <c r="D28">
        <v>10000</v>
      </c>
      <c r="E28">
        <v>0</v>
      </c>
    </row>
    <row r="29" spans="1:5">
      <c r="A29" s="1" t="s">
        <v>16</v>
      </c>
      <c r="B29" s="6" t="str">
        <f t="shared" si="0"/>
        <v>NormalDistribution(30000; 10000; 0)</v>
      </c>
      <c r="C29">
        <v>30000</v>
      </c>
      <c r="D29">
        <v>10000</v>
      </c>
      <c r="E29">
        <v>0</v>
      </c>
    </row>
    <row r="30" spans="1:5">
      <c r="A30" s="1" t="s">
        <v>17</v>
      </c>
      <c r="B30" s="6" t="str">
        <f t="shared" si="0"/>
        <v>NormalDistribution(30000; 10000; 0)</v>
      </c>
      <c r="C30">
        <v>30000</v>
      </c>
      <c r="D30">
        <v>10000</v>
      </c>
      <c r="E30">
        <v>0</v>
      </c>
    </row>
    <row r="31" spans="1:5">
      <c r="A31" s="1" t="s">
        <v>18</v>
      </c>
      <c r="B31" s="6" t="str">
        <f t="shared" si="0"/>
        <v>NormalDistribution(30000; 10000; 0)</v>
      </c>
      <c r="C31">
        <v>30000</v>
      </c>
      <c r="D31">
        <v>10000</v>
      </c>
      <c r="E31">
        <v>0</v>
      </c>
    </row>
    <row r="32" spans="1:5">
      <c r="A32" s="1" t="s">
        <v>19</v>
      </c>
      <c r="B32" s="6" t="str">
        <f t="shared" si="0"/>
        <v>NormalDistribution(30000; 10000; 0)</v>
      </c>
      <c r="C32">
        <v>30000</v>
      </c>
      <c r="D32">
        <v>10000</v>
      </c>
      <c r="E32">
        <v>0</v>
      </c>
    </row>
  </sheetData>
  <phoneticPr fontId="9" type="noConversion"/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Tabelle19"/>
  <dimension ref="A1:J10"/>
  <sheetViews>
    <sheetView workbookViewId="0">
      <selection activeCell="A6" sqref="A6:IV6"/>
    </sheetView>
  </sheetViews>
  <sheetFormatPr defaultColWidth="11.42578125" defaultRowHeight="12.75"/>
  <cols>
    <col min="2" max="2" width="30.140625" bestFit="1" customWidth="1"/>
  </cols>
  <sheetData>
    <row r="1" spans="1:10">
      <c r="A1" s="13"/>
    </row>
    <row r="6" spans="1:10">
      <c r="A6" s="10" t="s">
        <v>0</v>
      </c>
      <c r="B6" s="11" t="s">
        <v>1</v>
      </c>
      <c r="C6" s="12" t="s">
        <v>135</v>
      </c>
      <c r="D6" s="12" t="s">
        <v>136</v>
      </c>
      <c r="E6" s="12" t="s">
        <v>132</v>
      </c>
      <c r="F6" s="12" t="s">
        <v>133</v>
      </c>
      <c r="G6" s="12" t="s">
        <v>134</v>
      </c>
      <c r="H6" s="12" t="s">
        <v>130</v>
      </c>
      <c r="I6" s="12" t="s">
        <v>131</v>
      </c>
      <c r="J6" s="11" t="s">
        <v>129</v>
      </c>
    </row>
    <row r="7" spans="1:10">
      <c r="A7" s="5" t="s">
        <v>26</v>
      </c>
      <c r="B7" s="6" t="str">
        <f>NormalDistribution(C7,D7,H7)</f>
        <v>NormalDistribution(0.003; 0.002; 0)</v>
      </c>
      <c r="C7" s="2">
        <v>3.0000000000000001E-3</v>
      </c>
      <c r="D7" s="2">
        <v>2E-3</v>
      </c>
      <c r="E7" s="2"/>
      <c r="F7" s="2"/>
      <c r="G7" s="2"/>
      <c r="H7" s="2">
        <v>0</v>
      </c>
      <c r="I7" s="2"/>
      <c r="J7" s="2"/>
    </row>
    <row r="8" spans="1:10">
      <c r="A8" s="5" t="s">
        <v>27</v>
      </c>
      <c r="B8" s="6" t="str">
        <f>NormalDistribution(C8,D8,H8)</f>
        <v>NormalDistribution(0.001; 0.001; 0)</v>
      </c>
      <c r="C8" s="2">
        <v>1E-3</v>
      </c>
      <c r="D8" s="2">
        <v>1E-3</v>
      </c>
      <c r="E8" s="2"/>
      <c r="F8" s="2"/>
      <c r="G8" s="2"/>
      <c r="H8" s="2">
        <v>0</v>
      </c>
      <c r="I8" s="2"/>
      <c r="J8" s="2"/>
    </row>
    <row r="9" spans="1:10">
      <c r="A9" s="5" t="s">
        <v>153</v>
      </c>
      <c r="B9" s="9">
        <v>2.5000000000000001E-2</v>
      </c>
    </row>
    <row r="10" spans="1:10">
      <c r="A10" s="5" t="s">
        <v>154</v>
      </c>
      <c r="B10" s="9">
        <v>14000000</v>
      </c>
    </row>
  </sheetData>
  <phoneticPr fontId="9" type="noConversion"/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Tabelle20"/>
  <dimension ref="A6:J123"/>
  <sheetViews>
    <sheetView topLeftCell="A67" workbookViewId="0">
      <selection activeCell="G83" sqref="G83"/>
    </sheetView>
  </sheetViews>
  <sheetFormatPr defaultColWidth="11.42578125" defaultRowHeight="12.75"/>
  <cols>
    <col min="2" max="2" width="61.85546875" bestFit="1" customWidth="1"/>
    <col min="4" max="4" width="25.7109375" customWidth="1"/>
  </cols>
  <sheetData>
    <row r="6" spans="1:10">
      <c r="A6" s="10" t="s">
        <v>0</v>
      </c>
      <c r="B6" s="11" t="s">
        <v>1</v>
      </c>
      <c r="C6" s="12" t="s">
        <v>135</v>
      </c>
      <c r="D6" s="12" t="s">
        <v>136</v>
      </c>
      <c r="E6" s="12" t="s">
        <v>132</v>
      </c>
      <c r="F6" s="12" t="s">
        <v>133</v>
      </c>
      <c r="G6" s="12" t="s">
        <v>134</v>
      </c>
      <c r="H6" s="12" t="s">
        <v>130</v>
      </c>
      <c r="I6" s="12" t="s">
        <v>131</v>
      </c>
      <c r="J6" s="11" t="s">
        <v>129</v>
      </c>
    </row>
    <row r="7" spans="1:10" s="2" customFormat="1">
      <c r="A7" s="5" t="s">
        <v>38</v>
      </c>
      <c r="B7" s="6" t="str">
        <f>NormalDistribution(C7,D7,H7)</f>
        <v>NormalDistribution(2; 0.5; 0)</v>
      </c>
      <c r="C7" s="2">
        <v>2</v>
      </c>
      <c r="D7" s="2">
        <v>0.5</v>
      </c>
      <c r="H7" s="2">
        <v>0</v>
      </c>
    </row>
    <row r="8" spans="1:10" s="2" customFormat="1">
      <c r="A8" s="5" t="s">
        <v>40</v>
      </c>
      <c r="B8" s="6" t="str">
        <f>NormalDistribution(C8,D8,H8,I8)</f>
        <v>NormalDistribution(0.31; 0.15; 0; 1)</v>
      </c>
      <c r="C8" s="2">
        <v>0.31</v>
      </c>
      <c r="D8" s="2">
        <v>0.15</v>
      </c>
      <c r="H8" s="2">
        <v>0</v>
      </c>
      <c r="I8" s="2">
        <v>1</v>
      </c>
    </row>
    <row r="12" spans="1:10">
      <c r="A12" s="12" t="s">
        <v>143</v>
      </c>
      <c r="B12" s="12" t="s">
        <v>96</v>
      </c>
    </row>
    <row r="13" spans="1:10">
      <c r="A13" s="1" t="s">
        <v>2</v>
      </c>
      <c r="B13" s="6">
        <v>2.4799999999999999E-2</v>
      </c>
    </row>
    <row r="14" spans="1:10">
      <c r="A14" s="1" t="s">
        <v>3</v>
      </c>
      <c r="B14" s="6">
        <v>3.78E-2</v>
      </c>
    </row>
    <row r="15" spans="1:10">
      <c r="A15" s="1" t="s">
        <v>6</v>
      </c>
      <c r="B15" s="6">
        <v>5.6300000000000003E-2</v>
      </c>
    </row>
    <row r="16" spans="1:10">
      <c r="A16" s="1" t="s">
        <v>7</v>
      </c>
      <c r="B16" s="6">
        <v>4.3700000000000003E-2</v>
      </c>
    </row>
    <row r="17" spans="1:5">
      <c r="A17" s="1" t="s">
        <v>8</v>
      </c>
      <c r="B17" s="6">
        <v>7.8100000000000003E-2</v>
      </c>
    </row>
    <row r="18" spans="1:5">
      <c r="A18" s="1" t="s">
        <v>9</v>
      </c>
      <c r="B18" s="6">
        <v>0.1469</v>
      </c>
    </row>
    <row r="19" spans="1:5">
      <c r="A19" s="1" t="s">
        <v>10</v>
      </c>
      <c r="B19" s="6">
        <v>0.26329999999999998</v>
      </c>
    </row>
    <row r="20" spans="1:5">
      <c r="A20" s="1" t="s">
        <v>11</v>
      </c>
      <c r="B20" s="6">
        <v>0.1618</v>
      </c>
    </row>
    <row r="21" spans="1:5">
      <c r="A21" s="1" t="s">
        <v>12</v>
      </c>
      <c r="B21" s="6">
        <v>0.1153</v>
      </c>
    </row>
    <row r="22" spans="1:5">
      <c r="A22" s="1" t="s">
        <v>13</v>
      </c>
      <c r="B22" s="6">
        <v>0.1145</v>
      </c>
    </row>
    <row r="23" spans="1:5">
      <c r="A23" s="1" t="s">
        <v>14</v>
      </c>
      <c r="B23" s="6">
        <v>0.35649999999999998</v>
      </c>
    </row>
    <row r="24" spans="1:5">
      <c r="A24" s="1" t="s">
        <v>15</v>
      </c>
      <c r="B24" s="6">
        <v>0.27289999999999998</v>
      </c>
    </row>
    <row r="25" spans="1:5">
      <c r="A25" s="1" t="s">
        <v>16</v>
      </c>
      <c r="B25" s="6">
        <v>0.38240000000000002</v>
      </c>
    </row>
    <row r="26" spans="1:5">
      <c r="A26" s="1" t="s">
        <v>17</v>
      </c>
      <c r="B26" s="6">
        <v>0.24560000000000001</v>
      </c>
    </row>
    <row r="27" spans="1:5">
      <c r="A27" s="1" t="s">
        <v>18</v>
      </c>
      <c r="B27" s="6">
        <v>0.1799</v>
      </c>
    </row>
    <row r="28" spans="1:5">
      <c r="A28" s="1" t="s">
        <v>19</v>
      </c>
      <c r="B28" s="6">
        <v>0.11509999999999999</v>
      </c>
    </row>
    <row r="31" spans="1:5">
      <c r="A31" s="12" t="s">
        <v>143</v>
      </c>
      <c r="B31" s="12" t="s">
        <v>86</v>
      </c>
      <c r="C31" s="12" t="s">
        <v>135</v>
      </c>
      <c r="D31" s="12" t="s">
        <v>136</v>
      </c>
      <c r="E31" s="12" t="s">
        <v>131</v>
      </c>
    </row>
    <row r="32" spans="1:5">
      <c r="A32" s="1" t="s">
        <v>2</v>
      </c>
      <c r="B32" s="6" t="str">
        <f>NormalDistribution(C32,D32,,E32)</f>
        <v>NormalDistribution(-0.00021; 0.00176;; 0)</v>
      </c>
      <c r="C32" s="2">
        <v>-2.1000000000000001E-4</v>
      </c>
      <c r="D32" s="2">
        <v>1.7600000000000001E-3</v>
      </c>
      <c r="E32">
        <v>0</v>
      </c>
    </row>
    <row r="33" spans="1:5">
      <c r="A33" s="1" t="s">
        <v>3</v>
      </c>
      <c r="B33" s="6" t="str">
        <f t="shared" ref="B33:B47" si="0">NormalDistribution(C33,D33,,E33)</f>
        <v>NormalDistribution(-0.00029; 0.00073;; 0)</v>
      </c>
      <c r="C33" s="2">
        <v>-2.9E-4</v>
      </c>
      <c r="D33" s="2">
        <v>7.2999999999999996E-4</v>
      </c>
      <c r="E33">
        <v>0</v>
      </c>
    </row>
    <row r="34" spans="1:5">
      <c r="A34" s="1" t="s">
        <v>6</v>
      </c>
      <c r="B34" s="6" t="str">
        <f t="shared" si="0"/>
        <v>NormalDistribution(-0.00039; 0.00138;; 0)</v>
      </c>
      <c r="C34" s="2">
        <v>-3.8999999999999999E-4</v>
      </c>
      <c r="D34" s="2">
        <v>1.3799999999999999E-3</v>
      </c>
      <c r="E34">
        <v>0</v>
      </c>
    </row>
    <row r="35" spans="1:5">
      <c r="A35" s="1" t="s">
        <v>7</v>
      </c>
      <c r="B35" s="6" t="str">
        <f t="shared" si="0"/>
        <v>NormalDistribution(-0.00033; 0.00432;; 0)</v>
      </c>
      <c r="C35" s="2">
        <v>-3.3E-4</v>
      </c>
      <c r="D35" s="2">
        <v>4.3200000000000001E-3</v>
      </c>
      <c r="E35">
        <v>0</v>
      </c>
    </row>
    <row r="36" spans="1:5">
      <c r="A36" s="1" t="s">
        <v>8</v>
      </c>
      <c r="B36" s="6" t="str">
        <f t="shared" si="0"/>
        <v>NormalDistribution(-0.00015; 0.00142;; 0)</v>
      </c>
      <c r="C36" s="2">
        <v>-1.4999999999999999E-4</v>
      </c>
      <c r="D36" s="2">
        <v>1.42E-3</v>
      </c>
      <c r="E36">
        <v>0</v>
      </c>
    </row>
    <row r="37" spans="1:5">
      <c r="A37" s="1" t="s">
        <v>9</v>
      </c>
      <c r="B37" s="6" t="str">
        <f t="shared" si="0"/>
        <v>NormalDistribution(-0.00027; 0.00062;; 0)</v>
      </c>
      <c r="C37" s="2">
        <v>-2.7E-4</v>
      </c>
      <c r="D37" s="2">
        <v>6.2E-4</v>
      </c>
      <c r="E37">
        <v>0</v>
      </c>
    </row>
    <row r="38" spans="1:5">
      <c r="A38" s="1" t="s">
        <v>10</v>
      </c>
      <c r="B38" s="6" t="str">
        <f t="shared" si="0"/>
        <v>NormalDistribution(-0.00018; 0.00066;; 0)</v>
      </c>
      <c r="C38" s="2">
        <v>-1.8000000000000001E-4</v>
      </c>
      <c r="D38" s="2">
        <v>6.6E-4</v>
      </c>
      <c r="E38">
        <v>0</v>
      </c>
    </row>
    <row r="39" spans="1:5">
      <c r="A39" s="1" t="s">
        <v>11</v>
      </c>
      <c r="B39" s="6" t="str">
        <f t="shared" si="0"/>
        <v>NormalDistribution(-0.00022; 0.00032;; 0)</v>
      </c>
      <c r="C39" s="2">
        <v>-2.2000000000000001E-4</v>
      </c>
      <c r="D39" s="2">
        <v>3.2000000000000003E-4</v>
      </c>
      <c r="E39">
        <v>0</v>
      </c>
    </row>
    <row r="40" spans="1:5">
      <c r="A40" s="1" t="s">
        <v>12</v>
      </c>
      <c r="B40" s="6" t="str">
        <f t="shared" si="0"/>
        <v>NormalDistribution(-0.00034; 0.00061;; 0)</v>
      </c>
      <c r="C40" s="2">
        <v>-3.4000000000000002E-4</v>
      </c>
      <c r="D40" s="2">
        <v>6.0999999999999997E-4</v>
      </c>
      <c r="E40">
        <v>0</v>
      </c>
    </row>
    <row r="41" spans="1:5">
      <c r="A41" s="1" t="s">
        <v>13</v>
      </c>
      <c r="B41" s="6" t="str">
        <f t="shared" si="0"/>
        <v>NormalDistribution(-0.00009; 0.0006;; 0)</v>
      </c>
      <c r="C41" s="2">
        <v>-9.0000000000000006E-5</v>
      </c>
      <c r="D41" s="2">
        <v>5.9999999999999995E-4</v>
      </c>
      <c r="E41">
        <v>0</v>
      </c>
    </row>
    <row r="42" spans="1:5">
      <c r="A42" s="1" t="s">
        <v>14</v>
      </c>
      <c r="B42" s="6" t="str">
        <f t="shared" si="0"/>
        <v>NormalDistribution(-0.00014; 0.00021;; 0)</v>
      </c>
      <c r="C42" s="2">
        <v>-1.3999999999999999E-4</v>
      </c>
      <c r="D42" s="2">
        <v>2.1000000000000001E-4</v>
      </c>
      <c r="E42">
        <v>0</v>
      </c>
    </row>
    <row r="43" spans="1:5">
      <c r="A43" s="1" t="s">
        <v>15</v>
      </c>
      <c r="B43" s="6" t="str">
        <f t="shared" si="0"/>
        <v>NormalDistribution(-0.00009; 0.00482;; 0)</v>
      </c>
      <c r="C43" s="2">
        <v>-9.0000000000000006E-5</v>
      </c>
      <c r="D43" s="2">
        <v>4.8199999999999996E-3</v>
      </c>
      <c r="E43">
        <v>0</v>
      </c>
    </row>
    <row r="44" spans="1:5">
      <c r="A44" s="1" t="s">
        <v>16</v>
      </c>
      <c r="B44" s="6" t="str">
        <f t="shared" si="0"/>
        <v>NormalDistribution(-0.00013; 0.00075;; 0)</v>
      </c>
      <c r="C44" s="2">
        <v>-1.2999999999999999E-4</v>
      </c>
      <c r="D44" s="2">
        <v>7.5000000000000002E-4</v>
      </c>
      <c r="E44">
        <v>0</v>
      </c>
    </row>
    <row r="45" spans="1:5">
      <c r="A45" s="1" t="s">
        <v>17</v>
      </c>
      <c r="B45" s="6" t="str">
        <f t="shared" si="0"/>
        <v>NormalDistribution(-0.00016; 0.00023;; 0)</v>
      </c>
      <c r="C45" s="2">
        <v>-1.6000000000000001E-4</v>
      </c>
      <c r="D45" s="2">
        <v>2.3000000000000001E-4</v>
      </c>
      <c r="E45">
        <v>0</v>
      </c>
    </row>
    <row r="46" spans="1:5">
      <c r="A46" s="1" t="s">
        <v>18</v>
      </c>
      <c r="B46" s="6" t="str">
        <f t="shared" si="0"/>
        <v>NormalDistribution(-0.00011; 0.00026;; 0)</v>
      </c>
      <c r="C46" s="2">
        <v>-1.1E-4</v>
      </c>
      <c r="D46" s="2">
        <v>2.5999999999999998E-4</v>
      </c>
      <c r="E46">
        <v>0</v>
      </c>
    </row>
    <row r="47" spans="1:5">
      <c r="A47" s="1" t="s">
        <v>19</v>
      </c>
      <c r="B47" s="6" t="str">
        <f t="shared" si="0"/>
        <v>NormalDistribution(-0.0005; 0.00103;; 0)</v>
      </c>
      <c r="C47" s="2">
        <v>-5.0000000000000001E-4</v>
      </c>
      <c r="D47" s="2">
        <v>1.0300000000000001E-3</v>
      </c>
      <c r="E47">
        <v>0</v>
      </c>
    </row>
    <row r="50" spans="1:5">
      <c r="A50" s="12" t="s">
        <v>143</v>
      </c>
      <c r="B50" s="12" t="s">
        <v>87</v>
      </c>
      <c r="C50" s="12" t="s">
        <v>135</v>
      </c>
      <c r="D50" s="12" t="s">
        <v>136</v>
      </c>
      <c r="E50" s="12" t="s">
        <v>130</v>
      </c>
    </row>
    <row r="51" spans="1:5">
      <c r="A51" s="1" t="s">
        <v>2</v>
      </c>
      <c r="B51" s="6" t="str">
        <f>NormalDistribution(C51,D51,E51)</f>
        <v>NormalDistribution(10; 5; 1)</v>
      </c>
      <c r="C51" s="2">
        <v>10</v>
      </c>
      <c r="D51" s="2">
        <v>5</v>
      </c>
      <c r="E51">
        <v>1</v>
      </c>
    </row>
    <row r="52" spans="1:5">
      <c r="A52" s="1" t="s">
        <v>3</v>
      </c>
      <c r="B52" s="6" t="str">
        <f t="shared" ref="B52:B66" si="1">NormalDistribution(C52,D52,E52)</f>
        <v>NormalDistribution(10; 5; 1)</v>
      </c>
      <c r="C52" s="2">
        <v>10</v>
      </c>
      <c r="D52" s="2">
        <v>5</v>
      </c>
      <c r="E52">
        <v>1</v>
      </c>
    </row>
    <row r="53" spans="1:5">
      <c r="A53" s="1" t="s">
        <v>6</v>
      </c>
      <c r="B53" s="6" t="str">
        <f t="shared" si="1"/>
        <v>NormalDistribution(10; 5; 1)</v>
      </c>
      <c r="C53" s="2">
        <v>10</v>
      </c>
      <c r="D53" s="2">
        <v>5</v>
      </c>
      <c r="E53">
        <v>1</v>
      </c>
    </row>
    <row r="54" spans="1:5">
      <c r="A54" s="1" t="s">
        <v>7</v>
      </c>
      <c r="B54" s="6" t="str">
        <f t="shared" si="1"/>
        <v>NormalDistribution(10; 5; 1)</v>
      </c>
      <c r="C54" s="2">
        <v>10</v>
      </c>
      <c r="D54" s="2">
        <v>5</v>
      </c>
      <c r="E54">
        <v>1</v>
      </c>
    </row>
    <row r="55" spans="1:5">
      <c r="A55" s="1" t="s">
        <v>8</v>
      </c>
      <c r="B55" s="6" t="str">
        <f t="shared" si="1"/>
        <v>NormalDistribution(10; 5; 1)</v>
      </c>
      <c r="C55" s="2">
        <v>10</v>
      </c>
      <c r="D55" s="2">
        <v>5</v>
      </c>
      <c r="E55">
        <v>1</v>
      </c>
    </row>
    <row r="56" spans="1:5">
      <c r="A56" s="1" t="s">
        <v>9</v>
      </c>
      <c r="B56" s="6" t="str">
        <f t="shared" si="1"/>
        <v>NormalDistribution(10; 5; 1)</v>
      </c>
      <c r="C56" s="2">
        <v>10</v>
      </c>
      <c r="D56" s="2">
        <v>5</v>
      </c>
      <c r="E56">
        <v>1</v>
      </c>
    </row>
    <row r="57" spans="1:5">
      <c r="A57" s="1" t="s">
        <v>10</v>
      </c>
      <c r="B57" s="6" t="str">
        <f t="shared" si="1"/>
        <v>NormalDistribution(10; 5; 1)</v>
      </c>
      <c r="C57" s="2">
        <v>10</v>
      </c>
      <c r="D57" s="2">
        <v>5</v>
      </c>
      <c r="E57">
        <v>1</v>
      </c>
    </row>
    <row r="58" spans="1:5">
      <c r="A58" s="1" t="s">
        <v>11</v>
      </c>
      <c r="B58" s="6" t="str">
        <f t="shared" si="1"/>
        <v>NormalDistribution(10; 5; 1)</v>
      </c>
      <c r="C58" s="2">
        <v>10</v>
      </c>
      <c r="D58" s="2">
        <v>5</v>
      </c>
      <c r="E58">
        <v>1</v>
      </c>
    </row>
    <row r="59" spans="1:5">
      <c r="A59" s="1" t="s">
        <v>12</v>
      </c>
      <c r="B59" s="6" t="str">
        <f t="shared" si="1"/>
        <v>NormalDistribution(10; 5; 1)</v>
      </c>
      <c r="C59" s="2">
        <v>10</v>
      </c>
      <c r="D59" s="2">
        <v>5</v>
      </c>
      <c r="E59">
        <v>1</v>
      </c>
    </row>
    <row r="60" spans="1:5">
      <c r="A60" s="1" t="s">
        <v>13</v>
      </c>
      <c r="B60" s="6" t="str">
        <f t="shared" si="1"/>
        <v>NormalDistribution(10; 5; 1)</v>
      </c>
      <c r="C60" s="2">
        <v>10</v>
      </c>
      <c r="D60" s="2">
        <v>5</v>
      </c>
      <c r="E60">
        <v>1</v>
      </c>
    </row>
    <row r="61" spans="1:5">
      <c r="A61" s="1" t="s">
        <v>14</v>
      </c>
      <c r="B61" s="6" t="str">
        <f t="shared" si="1"/>
        <v>NormalDistribution(10; 5; 1)</v>
      </c>
      <c r="C61" s="2">
        <v>10</v>
      </c>
      <c r="D61" s="2">
        <v>5</v>
      </c>
      <c r="E61">
        <v>1</v>
      </c>
    </row>
    <row r="62" spans="1:5">
      <c r="A62" s="1" t="s">
        <v>15</v>
      </c>
      <c r="B62" s="6" t="str">
        <f t="shared" si="1"/>
        <v>NormalDistribution(10; 5; 1)</v>
      </c>
      <c r="C62" s="2">
        <v>10</v>
      </c>
      <c r="D62" s="2">
        <v>5</v>
      </c>
      <c r="E62">
        <v>1</v>
      </c>
    </row>
    <row r="63" spans="1:5">
      <c r="A63" s="1" t="s">
        <v>16</v>
      </c>
      <c r="B63" s="6" t="str">
        <f t="shared" si="1"/>
        <v>NormalDistribution(10; 5; 1)</v>
      </c>
      <c r="C63" s="2">
        <v>10</v>
      </c>
      <c r="D63" s="2">
        <v>5</v>
      </c>
      <c r="E63">
        <v>1</v>
      </c>
    </row>
    <row r="64" spans="1:5">
      <c r="A64" s="1" t="s">
        <v>17</v>
      </c>
      <c r="B64" s="6" t="str">
        <f t="shared" si="1"/>
        <v>NormalDistribution(10; 5; 1)</v>
      </c>
      <c r="C64" s="2">
        <v>10</v>
      </c>
      <c r="D64" s="2">
        <v>5</v>
      </c>
      <c r="E64">
        <v>1</v>
      </c>
    </row>
    <row r="65" spans="1:5">
      <c r="A65" s="1" t="s">
        <v>18</v>
      </c>
      <c r="B65" s="6" t="str">
        <f t="shared" si="1"/>
        <v>NormalDistribution(10; 5; 1)</v>
      </c>
      <c r="C65" s="2">
        <v>10</v>
      </c>
      <c r="D65" s="2">
        <v>5</v>
      </c>
      <c r="E65">
        <v>1</v>
      </c>
    </row>
    <row r="66" spans="1:5">
      <c r="A66" s="1" t="s">
        <v>19</v>
      </c>
      <c r="B66" s="6" t="str">
        <f t="shared" si="1"/>
        <v>NormalDistribution(10; 5; 1)</v>
      </c>
      <c r="C66" s="2">
        <v>10</v>
      </c>
      <c r="D66" s="2">
        <v>5</v>
      </c>
      <c r="E66">
        <v>1</v>
      </c>
    </row>
    <row r="69" spans="1:5">
      <c r="A69" s="12" t="s">
        <v>143</v>
      </c>
      <c r="B69" s="12" t="s">
        <v>228</v>
      </c>
      <c r="C69" s="12" t="s">
        <v>135</v>
      </c>
      <c r="D69" s="12" t="s">
        <v>136</v>
      </c>
      <c r="E69" s="12" t="s">
        <v>130</v>
      </c>
    </row>
    <row r="70" spans="1:5">
      <c r="A70" s="1" t="s">
        <v>2</v>
      </c>
      <c r="B70" s="6" t="str">
        <f>NormalDistribution(C70,D70,E70)</f>
        <v>NormalDistribution(2.59810049019608E-02; 2.13267435505035E-02; 0)</v>
      </c>
      <c r="C70" s="2">
        <v>2.5981004901960789E-2</v>
      </c>
      <c r="D70" s="2">
        <v>2.1326743550503482E-2</v>
      </c>
      <c r="E70">
        <v>0</v>
      </c>
    </row>
    <row r="71" spans="1:5">
      <c r="A71" s="1" t="s">
        <v>3</v>
      </c>
      <c r="B71" s="6" t="str">
        <f t="shared" ref="B71:B85" si="2">NormalDistribution(C71,D71,E71)</f>
        <v>NormalDistribution(9.23560606060606E-02; 8.00938684660319E-02; 0)</v>
      </c>
      <c r="C71" s="2">
        <v>9.2356060606060608E-2</v>
      </c>
      <c r="D71" s="2">
        <v>8.0093868466031878E-2</v>
      </c>
      <c r="E71">
        <v>0</v>
      </c>
    </row>
    <row r="72" spans="1:5">
      <c r="A72" s="1" t="s">
        <v>6</v>
      </c>
      <c r="B72" s="6" t="str">
        <f t="shared" si="2"/>
        <v>NormalDistribution(0.021883487654321; 1.55285586012424E-03; 0)</v>
      </c>
      <c r="C72" s="2">
        <v>2.188348765432099E-2</v>
      </c>
      <c r="D72" s="2">
        <v>1.552855860124238E-3</v>
      </c>
      <c r="E72">
        <v>0</v>
      </c>
    </row>
    <row r="73" spans="1:5">
      <c r="A73" s="1" t="s">
        <v>7</v>
      </c>
      <c r="B73" s="6" t="str">
        <f t="shared" si="2"/>
        <v>NormalDistribution(4.62338709677419E-02; 2.16697050990404E-02; 0)</v>
      </c>
      <c r="C73" s="2">
        <v>4.6233870967741938E-2</v>
      </c>
      <c r="D73" s="2">
        <v>2.1669705099040423E-2</v>
      </c>
      <c r="E73">
        <v>0</v>
      </c>
    </row>
    <row r="74" spans="1:5">
      <c r="A74" s="1" t="s">
        <v>8</v>
      </c>
      <c r="B74" s="6" t="str">
        <f t="shared" si="2"/>
        <v>NormalDistribution(3.96465746205965E-02; 7.07787669743405E-02; 0)</v>
      </c>
      <c r="C74" s="2">
        <v>3.9646574620596481E-2</v>
      </c>
      <c r="D74" s="2">
        <v>7.0778766974340462E-2</v>
      </c>
      <c r="E74">
        <v>0</v>
      </c>
    </row>
    <row r="75" spans="1:5">
      <c r="A75" s="1" t="s">
        <v>9</v>
      </c>
      <c r="B75" s="6" t="str">
        <f t="shared" si="2"/>
        <v>NormalDistribution(4.75721982758621E-02; 9.73749246061888E-02; 0)</v>
      </c>
      <c r="C75" s="2">
        <v>4.7572198275862079E-2</v>
      </c>
      <c r="D75" s="2">
        <v>9.7374924606188754E-2</v>
      </c>
      <c r="E75">
        <v>0</v>
      </c>
    </row>
    <row r="76" spans="1:5">
      <c r="A76" s="1" t="s">
        <v>10</v>
      </c>
      <c r="B76" s="6" t="str">
        <f t="shared" si="2"/>
        <v>NormalDistribution(4.18566470712197E-02; 7.51278509694302E-02; 0)</v>
      </c>
      <c r="C76" s="2">
        <v>4.1856647071219749E-2</v>
      </c>
      <c r="D76" s="2">
        <v>7.512785096943024E-2</v>
      </c>
      <c r="E76">
        <v>0</v>
      </c>
    </row>
    <row r="77" spans="1:5">
      <c r="A77" s="1" t="s">
        <v>11</v>
      </c>
      <c r="B77" s="6" t="str">
        <f t="shared" si="2"/>
        <v>NormalDistribution(4.21993430741693E-02; 7.05702013176662E-02; 0)</v>
      </c>
      <c r="C77" s="2">
        <v>4.2199343074169268E-2</v>
      </c>
      <c r="D77" s="2">
        <v>7.0570201317666198E-2</v>
      </c>
      <c r="E77">
        <v>0</v>
      </c>
    </row>
    <row r="78" spans="1:5">
      <c r="A78" s="1" t="s">
        <v>12</v>
      </c>
      <c r="B78" s="6" t="str">
        <f t="shared" si="2"/>
        <v>NormalDistribution(6.38352272727273E-02; 4.28390811061973E-02; 0)</v>
      </c>
      <c r="C78" s="2">
        <v>6.383522727272728E-2</v>
      </c>
      <c r="D78" s="2">
        <v>4.2839081106197316E-2</v>
      </c>
      <c r="E78">
        <v>0</v>
      </c>
    </row>
    <row r="79" spans="1:5">
      <c r="A79" s="1" t="s">
        <v>13</v>
      </c>
      <c r="B79" s="6" t="str">
        <f t="shared" si="2"/>
        <v>NormalDistribution(0.003045; 4.95797624773007E-03; 0)</v>
      </c>
      <c r="C79" s="2">
        <v>3.0449999999999995E-3</v>
      </c>
      <c r="D79" s="2">
        <v>4.9579762477300685E-3</v>
      </c>
      <c r="E79">
        <v>0</v>
      </c>
    </row>
    <row r="80" spans="1:5">
      <c r="A80" s="1" t="s">
        <v>14</v>
      </c>
      <c r="B80" s="6" t="str">
        <f t="shared" si="2"/>
        <v>NormalDistribution(0.025470079787234; 2.40282059284576E-02; 0)</v>
      </c>
      <c r="C80" s="2">
        <v>2.5470079787234031E-2</v>
      </c>
      <c r="D80" s="2">
        <v>2.4028205928457641E-2</v>
      </c>
      <c r="E80">
        <v>0</v>
      </c>
    </row>
    <row r="81" spans="1:5">
      <c r="A81" s="1" t="s">
        <v>15</v>
      </c>
      <c r="B81" s="6" t="str">
        <f t="shared" si="2"/>
        <v>NormalDistribution(1.35138888888889E-02; 3.55503300856311E-03; 0)</v>
      </c>
      <c r="C81" s="2">
        <v>1.3513888888888886E-2</v>
      </c>
      <c r="D81" s="2">
        <v>3.5550330085631068E-3</v>
      </c>
      <c r="E81">
        <v>0</v>
      </c>
    </row>
    <row r="82" spans="1:5">
      <c r="A82" s="1" t="s">
        <v>16</v>
      </c>
      <c r="B82" s="6" t="str">
        <f t="shared" si="2"/>
        <v>NormalDistribution(4.30619429569277E-02; 7.62567733933823E-02; 0)</v>
      </c>
      <c r="C82" s="2">
        <v>4.3061942956927717E-2</v>
      </c>
      <c r="D82" s="2">
        <v>7.6256773393382257E-2</v>
      </c>
      <c r="E82">
        <v>0</v>
      </c>
    </row>
    <row r="83" spans="1:5">
      <c r="A83" s="1" t="s">
        <v>17</v>
      </c>
      <c r="B83" s="6" t="str">
        <f t="shared" si="2"/>
        <v>NormalDistribution(0.03346875; 4.26305042811185E-02; 0)</v>
      </c>
      <c r="C83" s="2">
        <v>3.3468749999999999E-2</v>
      </c>
      <c r="D83" s="2">
        <v>4.2630504281118482E-2</v>
      </c>
      <c r="E83">
        <v>0</v>
      </c>
    </row>
    <row r="84" spans="1:5">
      <c r="A84" s="1" t="s">
        <v>18</v>
      </c>
      <c r="B84" s="6" t="str">
        <f t="shared" si="2"/>
        <v>NormalDistribution(2.44802631578947E-02; 3.40552582289858E-02; 0)</v>
      </c>
      <c r="C84" s="2">
        <v>2.4480263157894734E-2</v>
      </c>
      <c r="D84" s="2">
        <v>3.4055258228985842E-2</v>
      </c>
      <c r="E84">
        <v>0</v>
      </c>
    </row>
    <row r="85" spans="1:5">
      <c r="A85" s="1" t="s">
        <v>19</v>
      </c>
      <c r="B85" s="6" t="str">
        <f t="shared" si="2"/>
        <v>NormalDistribution(4.25735877466748E-02; 7.69042893611385E-02; 0)</v>
      </c>
      <c r="C85" s="2">
        <v>4.2573587746674815E-2</v>
      </c>
      <c r="D85" s="2">
        <v>7.6904289361138495E-2</v>
      </c>
      <c r="E85">
        <v>0</v>
      </c>
    </row>
    <row r="88" spans="1:5">
      <c r="A88" s="12" t="s">
        <v>143</v>
      </c>
      <c r="B88" s="12" t="s">
        <v>229</v>
      </c>
      <c r="C88" s="12" t="s">
        <v>135</v>
      </c>
      <c r="D88" s="12" t="s">
        <v>136</v>
      </c>
      <c r="E88" s="12" t="s">
        <v>131</v>
      </c>
    </row>
    <row r="89" spans="1:5">
      <c r="A89" s="1" t="s">
        <v>2</v>
      </c>
      <c r="B89" s="6" t="str">
        <f>NormalDistribution(C89,D89,,E89)</f>
        <v>NormalDistribution(-1.19178921568627E-02; 1.82356597477236E-02;; 0)</v>
      </c>
      <c r="C89" s="2">
        <v>-1.1917892156862746E-2</v>
      </c>
      <c r="D89" s="2">
        <v>1.8235659747723645E-2</v>
      </c>
      <c r="E89">
        <v>0</v>
      </c>
    </row>
    <row r="90" spans="1:5">
      <c r="A90" s="1" t="s">
        <v>3</v>
      </c>
      <c r="B90" s="6" t="str">
        <f t="shared" ref="B90:B104" si="3">NormalDistribution(C90,D90,,E90)</f>
        <v>NormalDistribution(-1.58143939393939E-02; 9.45384554959497E-03;; 0)</v>
      </c>
      <c r="C90" s="2">
        <v>-1.5814393939393941E-2</v>
      </c>
      <c r="D90" s="2">
        <v>9.4538455495949743E-3</v>
      </c>
      <c r="E90">
        <v>0</v>
      </c>
    </row>
    <row r="91" spans="1:5">
      <c r="A91" s="1" t="s">
        <v>6</v>
      </c>
      <c r="B91" s="6" t="str">
        <f t="shared" si="3"/>
        <v>NormalDistribution(-1.38503086419753E-02; 0.013197508099606;; 0)</v>
      </c>
      <c r="C91" s="2">
        <v>-1.3850308641975312E-2</v>
      </c>
      <c r="D91" s="2">
        <v>1.3197508099605975E-2</v>
      </c>
      <c r="E91">
        <v>0</v>
      </c>
    </row>
    <row r="92" spans="1:5">
      <c r="A92" s="1" t="s">
        <v>7</v>
      </c>
      <c r="B92" s="6" t="str">
        <f t="shared" si="3"/>
        <v>NormalDistribution(-2.35887096774194E-02; 0.029940084414887;; 0)</v>
      </c>
      <c r="C92" s="2">
        <v>-2.3588709677419356E-2</v>
      </c>
      <c r="D92" s="2">
        <v>2.9940084414887033E-2</v>
      </c>
      <c r="E92">
        <v>0</v>
      </c>
    </row>
    <row r="93" spans="1:5">
      <c r="A93" s="1" t="s">
        <v>8</v>
      </c>
      <c r="B93" s="6" t="str">
        <f t="shared" si="3"/>
        <v>NormalDistribution(-1.55903909385135E-02; 3.74712492013158E-02;; 0)</v>
      </c>
      <c r="C93" s="2">
        <v>-1.5590390938513528E-2</v>
      </c>
      <c r="D93" s="2">
        <v>3.7471249201315789E-2</v>
      </c>
      <c r="E93">
        <v>0</v>
      </c>
    </row>
    <row r="94" spans="1:5">
      <c r="A94" s="1" t="s">
        <v>9</v>
      </c>
      <c r="B94" s="6" t="str">
        <f t="shared" si="3"/>
        <v>NormalDistribution(-1.81573275862069E-02; 4.76884205159737E-02;; 0)</v>
      </c>
      <c r="C94" s="2">
        <v>-1.81573275862069E-2</v>
      </c>
      <c r="D94" s="2">
        <v>4.7688420515973703E-2</v>
      </c>
      <c r="E94">
        <v>0</v>
      </c>
    </row>
    <row r="95" spans="1:5">
      <c r="A95" s="1" t="s">
        <v>10</v>
      </c>
      <c r="B95" s="6" t="str">
        <f t="shared" si="3"/>
        <v>NormalDistribution(-1.63118735427424E-02; 3.88313181355771E-02;; 0)</v>
      </c>
      <c r="C95" s="2">
        <v>-1.6311873542742376E-2</v>
      </c>
      <c r="D95" s="2">
        <v>3.8831318135577143E-2</v>
      </c>
      <c r="E95">
        <v>0</v>
      </c>
    </row>
    <row r="96" spans="1:5">
      <c r="A96" s="1" t="s">
        <v>11</v>
      </c>
      <c r="B96" s="6" t="str">
        <f t="shared" si="3"/>
        <v>NormalDistribution(-1.65914930103618E-02; 3.73495478918258E-02;; 0)</v>
      </c>
      <c r="C96" s="2">
        <v>-1.6591493010361832E-2</v>
      </c>
      <c r="D96" s="2">
        <v>3.7349547891825777E-2</v>
      </c>
      <c r="E96">
        <v>0</v>
      </c>
    </row>
    <row r="97" spans="1:5">
      <c r="A97" s="1" t="s">
        <v>12</v>
      </c>
      <c r="B97" s="6" t="str">
        <f t="shared" si="3"/>
        <v>NormalDistribution(-3.03977272727273E-02; 4.27671908556002E-02;; 0)</v>
      </c>
      <c r="C97" s="2">
        <v>-3.0397727272727274E-2</v>
      </c>
      <c r="D97" s="2">
        <v>4.276719085560024E-2</v>
      </c>
      <c r="E97">
        <v>0</v>
      </c>
    </row>
    <row r="98" spans="1:5">
      <c r="A98" s="1" t="s">
        <v>13</v>
      </c>
      <c r="B98" s="6" t="str">
        <f t="shared" si="3"/>
        <v>NormalDistribution(-0.00435; 2.80772150262969E-03;; 0)</v>
      </c>
      <c r="C98" s="2">
        <v>-4.3499999999999997E-3</v>
      </c>
      <c r="D98" s="2">
        <v>2.8077215026296887E-3</v>
      </c>
      <c r="E98">
        <v>0</v>
      </c>
    </row>
    <row r="99" spans="1:5">
      <c r="A99" s="1" t="s">
        <v>14</v>
      </c>
      <c r="B99" s="6" t="str">
        <f t="shared" si="3"/>
        <v>NormalDistribution(-1.12699468085106E-02; 0.018095882190896;; 0)</v>
      </c>
      <c r="C99" s="2">
        <v>-1.1269946808510635E-2</v>
      </c>
      <c r="D99" s="2">
        <v>1.8095882190895963E-2</v>
      </c>
      <c r="E99">
        <v>0</v>
      </c>
    </row>
    <row r="100" spans="1:5">
      <c r="A100" s="1" t="s">
        <v>15</v>
      </c>
      <c r="B100" s="6" t="str">
        <f t="shared" si="3"/>
        <v>NormalDistribution(-9.65277777777778E-03; 8.43513605824223E-03;; 0)</v>
      </c>
      <c r="C100" s="2">
        <v>-9.6527777777777758E-3</v>
      </c>
      <c r="D100" s="2">
        <v>8.4351360582422298E-3</v>
      </c>
      <c r="E100">
        <v>0</v>
      </c>
    </row>
    <row r="101" spans="1:5">
      <c r="A101" s="1" t="s">
        <v>16</v>
      </c>
      <c r="B101" s="6" t="str">
        <f t="shared" si="3"/>
        <v>NormalDistribution(-1.68265560310128E-02; 3.96988494314158E-02;; 0)</v>
      </c>
      <c r="C101" s="2">
        <v>-1.6826556031012786E-2</v>
      </c>
      <c r="D101" s="2">
        <v>3.9698849431415814E-2</v>
      </c>
      <c r="E101">
        <v>0</v>
      </c>
    </row>
    <row r="102" spans="1:5">
      <c r="A102" s="1" t="s">
        <v>17</v>
      </c>
      <c r="B102" s="6" t="str">
        <f t="shared" si="3"/>
        <v>NormalDistribution(-0.0139453125; 2.65770062631446E-02;; 0)</v>
      </c>
      <c r="C102" s="2">
        <v>-1.3945312499999998E-2</v>
      </c>
      <c r="D102" s="2">
        <v>2.6577006263144562E-2</v>
      </c>
      <c r="E102">
        <v>0</v>
      </c>
    </row>
    <row r="103" spans="1:5">
      <c r="A103" s="1" t="s">
        <v>18</v>
      </c>
      <c r="B103" s="6" t="str">
        <f t="shared" si="3"/>
        <v>NormalDistribution(-1.00328947368421E-02; 2.01799487191507E-02;; 0)</v>
      </c>
      <c r="C103" s="2">
        <v>-1.0032894736842103E-2</v>
      </c>
      <c r="D103" s="2">
        <v>2.0179948719150659E-2</v>
      </c>
      <c r="E103">
        <v>0</v>
      </c>
    </row>
    <row r="104" spans="1:5">
      <c r="A104" s="1" t="s">
        <v>19</v>
      </c>
      <c r="B104" s="6" t="str">
        <f t="shared" si="3"/>
        <v>NormalDistribution(-1.66147684550101E-02; 3.99015737834891E-02;; 0)</v>
      </c>
      <c r="C104" s="2">
        <v>-1.6614768455010052E-2</v>
      </c>
      <c r="D104" s="2">
        <v>3.9901573783489054E-2</v>
      </c>
      <c r="E104">
        <v>0</v>
      </c>
    </row>
    <row r="107" spans="1:5">
      <c r="A107" s="12" t="s">
        <v>143</v>
      </c>
      <c r="B107" s="12" t="s">
        <v>88</v>
      </c>
      <c r="C107" s="12" t="s">
        <v>135</v>
      </c>
      <c r="D107" s="12" t="s">
        <v>136</v>
      </c>
      <c r="E107" s="12" t="s">
        <v>130</v>
      </c>
    </row>
    <row r="108" spans="1:5">
      <c r="A108" s="1" t="s">
        <v>2</v>
      </c>
      <c r="B108" s="6" t="str">
        <f>NormalDistribution(C108,D108,E108)</f>
        <v>NormalDistribution(0.089; 0.1484; 0)</v>
      </c>
      <c r="C108" s="2">
        <v>8.8999999999999996E-2</v>
      </c>
      <c r="D108" s="2">
        <v>0.1484</v>
      </c>
      <c r="E108">
        <v>0</v>
      </c>
    </row>
    <row r="109" spans="1:5">
      <c r="A109" s="1" t="s">
        <v>3</v>
      </c>
      <c r="B109" s="6" t="str">
        <f t="shared" ref="B109:B123" si="4">NormalDistribution(C109,D109,E109)</f>
        <v>NormalDistribution(0.0402; 0.065; 0)</v>
      </c>
      <c r="C109" s="2">
        <v>4.02E-2</v>
      </c>
      <c r="D109" s="2">
        <v>6.5000000000000002E-2</v>
      </c>
      <c r="E109">
        <v>0</v>
      </c>
    </row>
    <row r="110" spans="1:5">
      <c r="A110" s="1" t="s">
        <v>6</v>
      </c>
      <c r="B110" s="6" t="str">
        <f t="shared" si="4"/>
        <v>NormalDistribution(0.1541; 0.1183; 0)</v>
      </c>
      <c r="C110" s="2">
        <v>0.15409999999999999</v>
      </c>
      <c r="D110" s="2">
        <v>0.1183</v>
      </c>
      <c r="E110">
        <v>0</v>
      </c>
    </row>
    <row r="111" spans="1:5">
      <c r="A111" s="1" t="s">
        <v>7</v>
      </c>
      <c r="B111" s="6" t="str">
        <f t="shared" si="4"/>
        <v>NormalDistribution(0.2319; 0.366; 0)</v>
      </c>
      <c r="C111" s="2">
        <v>0.2319</v>
      </c>
      <c r="D111" s="2">
        <v>0.36599999999999999</v>
      </c>
      <c r="E111">
        <v>0</v>
      </c>
    </row>
    <row r="112" spans="1:5">
      <c r="A112" s="1" t="s">
        <v>8</v>
      </c>
      <c r="B112" s="6" t="str">
        <f t="shared" si="4"/>
        <v>NormalDistribution(0.1048; 0.085; 0)</v>
      </c>
      <c r="C112" s="2">
        <v>0.1048</v>
      </c>
      <c r="D112" s="2">
        <v>8.5000000000000006E-2</v>
      </c>
      <c r="E112">
        <v>0</v>
      </c>
    </row>
    <row r="113" spans="1:5">
      <c r="A113" s="1" t="s">
        <v>9</v>
      </c>
      <c r="B113" s="6" t="str">
        <f t="shared" si="4"/>
        <v>NormalDistribution(0.0952; 0.0514; 0)</v>
      </c>
      <c r="C113" s="2">
        <v>9.5200000000000007E-2</v>
      </c>
      <c r="D113" s="2">
        <v>5.1400000000000001E-2</v>
      </c>
      <c r="E113">
        <v>0</v>
      </c>
    </row>
    <row r="114" spans="1:5">
      <c r="A114" s="1" t="s">
        <v>10</v>
      </c>
      <c r="B114" s="6" t="str">
        <f t="shared" si="4"/>
        <v>NormalDistribution(0.0671; 0.0548; 0)</v>
      </c>
      <c r="C114" s="2">
        <v>6.7100000000000007E-2</v>
      </c>
      <c r="D114" s="2">
        <v>5.4800000000000001E-2</v>
      </c>
      <c r="E114">
        <v>0</v>
      </c>
    </row>
    <row r="115" spans="1:5">
      <c r="A115" s="1" t="s">
        <v>11</v>
      </c>
      <c r="B115" s="6" t="str">
        <f t="shared" si="4"/>
        <v>NormalDistribution(0.0943; 0.0266; 0)</v>
      </c>
      <c r="C115" s="2">
        <v>9.4299999999999995E-2</v>
      </c>
      <c r="D115" s="2">
        <v>2.6599999999999999E-2</v>
      </c>
      <c r="E115">
        <v>0</v>
      </c>
    </row>
    <row r="116" spans="1:5">
      <c r="A116" s="1" t="s">
        <v>12</v>
      </c>
      <c r="B116" s="6" t="str">
        <f t="shared" si="4"/>
        <v>NormalDistribution(0.1641; 0.0538; 0)</v>
      </c>
      <c r="C116" s="2">
        <v>0.1641</v>
      </c>
      <c r="D116" s="2">
        <v>5.3800000000000001E-2</v>
      </c>
      <c r="E116">
        <v>0</v>
      </c>
    </row>
    <row r="117" spans="1:5">
      <c r="A117" s="1" t="s">
        <v>13</v>
      </c>
      <c r="B117" s="6" t="str">
        <f t="shared" si="4"/>
        <v>NormalDistribution(0.0596; 0.0504; 0)</v>
      </c>
      <c r="C117" s="2">
        <v>5.96E-2</v>
      </c>
      <c r="D117" s="2">
        <v>5.04E-2</v>
      </c>
      <c r="E117">
        <v>0</v>
      </c>
    </row>
    <row r="118" spans="1:5">
      <c r="A118" s="1" t="s">
        <v>14</v>
      </c>
      <c r="B118" s="6" t="str">
        <f t="shared" si="4"/>
        <v>NormalDistribution(0.058; 0.0164; 0)</v>
      </c>
      <c r="C118" s="2">
        <v>5.8000000000000003E-2</v>
      </c>
      <c r="D118" s="2">
        <v>1.6400000000000001E-2</v>
      </c>
      <c r="E118">
        <v>0</v>
      </c>
    </row>
    <row r="119" spans="1:5">
      <c r="A119" s="1" t="s">
        <v>15</v>
      </c>
      <c r="B119" s="6" t="str">
        <f t="shared" si="4"/>
        <v>NormalDistribution(0.0845; 0.4181; 0)</v>
      </c>
      <c r="C119" s="2">
        <v>8.4500000000000006E-2</v>
      </c>
      <c r="D119" s="2">
        <v>0.41810000000000003</v>
      </c>
      <c r="E119">
        <v>0</v>
      </c>
    </row>
    <row r="120" spans="1:5">
      <c r="A120" s="1" t="s">
        <v>16</v>
      </c>
      <c r="B120" s="6" t="str">
        <f t="shared" si="4"/>
        <v>NormalDistribution(0.1921; 0.0613; 0)</v>
      </c>
      <c r="C120" s="2">
        <v>0.19209999999999999</v>
      </c>
      <c r="D120" s="2">
        <v>6.13E-2</v>
      </c>
      <c r="E120">
        <v>0</v>
      </c>
    </row>
    <row r="121" spans="1:5">
      <c r="A121" s="1" t="s">
        <v>17</v>
      </c>
      <c r="B121" s="6" t="str">
        <f t="shared" si="4"/>
        <v>NormalDistribution(0.0727; 0.019; 0)</v>
      </c>
      <c r="C121" s="2">
        <v>7.2700000000000001E-2</v>
      </c>
      <c r="D121" s="2">
        <v>1.9E-2</v>
      </c>
      <c r="E121">
        <v>0</v>
      </c>
    </row>
    <row r="122" spans="1:5">
      <c r="A122" s="1" t="s">
        <v>18</v>
      </c>
      <c r="B122" s="6" t="str">
        <f t="shared" si="4"/>
        <v>NormalDistribution(0.0505; 0.022; 0)</v>
      </c>
      <c r="C122" s="2">
        <v>5.0500000000000003E-2</v>
      </c>
      <c r="D122" s="2">
        <v>2.1999999999999999E-2</v>
      </c>
      <c r="E122">
        <v>0</v>
      </c>
    </row>
    <row r="123" spans="1:5">
      <c r="A123" s="1" t="s">
        <v>19</v>
      </c>
      <c r="B123" s="6" t="str">
        <f t="shared" si="4"/>
        <v>NormalDistribution(0.2377; 0.0864; 0)</v>
      </c>
      <c r="C123" s="2">
        <v>0.23769999999999999</v>
      </c>
      <c r="D123" s="2">
        <v>8.6400000000000005E-2</v>
      </c>
      <c r="E123">
        <v>0</v>
      </c>
    </row>
  </sheetData>
  <phoneticPr fontId="9" type="noConversion"/>
  <pageMargins left="0.7" right="0.7" top="0.78740157499999996" bottom="0.78740157499999996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Tabelle21"/>
  <dimension ref="A6:J27"/>
  <sheetViews>
    <sheetView workbookViewId="0">
      <selection activeCell="B8" sqref="B8"/>
    </sheetView>
  </sheetViews>
  <sheetFormatPr defaultColWidth="11.42578125" defaultRowHeight="12.75"/>
  <cols>
    <col min="2" max="2" width="35.42578125" bestFit="1" customWidth="1"/>
  </cols>
  <sheetData>
    <row r="6" spans="1:10">
      <c r="A6" s="10" t="s">
        <v>0</v>
      </c>
      <c r="B6" s="11" t="s">
        <v>1</v>
      </c>
      <c r="C6" s="12" t="s">
        <v>135</v>
      </c>
      <c r="D6" s="12" t="s">
        <v>136</v>
      </c>
      <c r="E6" s="12" t="s">
        <v>132</v>
      </c>
      <c r="F6" s="12" t="s">
        <v>133</v>
      </c>
      <c r="G6" s="12" t="s">
        <v>134</v>
      </c>
      <c r="H6" s="12" t="s">
        <v>130</v>
      </c>
      <c r="I6" s="12" t="s">
        <v>131</v>
      </c>
      <c r="J6" s="11" t="s">
        <v>129</v>
      </c>
    </row>
    <row r="7" spans="1:10" s="2" customFormat="1">
      <c r="A7" s="5" t="s">
        <v>36</v>
      </c>
      <c r="B7" s="6" t="str">
        <f>NormalDistribution(C7,D7,H7,I7)</f>
        <v>NormalDistribution(0.8; 0.2; 0; 1)</v>
      </c>
      <c r="C7" s="2">
        <v>0.8</v>
      </c>
      <c r="D7" s="2">
        <v>0.2</v>
      </c>
      <c r="H7" s="2">
        <v>0</v>
      </c>
      <c r="I7" s="2">
        <v>1</v>
      </c>
    </row>
    <row r="8" spans="1:10" s="2" customFormat="1">
      <c r="A8" s="5" t="s">
        <v>37</v>
      </c>
      <c r="B8" s="6" t="str">
        <f>NormalDistribution(C8,D8,H8)</f>
        <v>NormalDistribution(1.5; 0.5; 0)</v>
      </c>
      <c r="C8" s="2">
        <v>1.5</v>
      </c>
      <c r="D8" s="2">
        <v>0.5</v>
      </c>
      <c r="H8" s="2">
        <v>0</v>
      </c>
    </row>
    <row r="11" spans="1:10">
      <c r="A11" s="12" t="s">
        <v>143</v>
      </c>
      <c r="B11" s="12" t="s">
        <v>62</v>
      </c>
      <c r="C11" s="12" t="s">
        <v>135</v>
      </c>
      <c r="D11" s="12" t="s">
        <v>136</v>
      </c>
      <c r="E11" s="12" t="s">
        <v>131</v>
      </c>
    </row>
    <row r="12" spans="1:10">
      <c r="A12" s="1" t="s">
        <v>2</v>
      </c>
      <c r="B12" s="6" t="str">
        <f>NormalDistribution(C12,D12,,E12)</f>
        <v>NormalDistribution(-0.00212; 0.00212;; 0)</v>
      </c>
      <c r="C12" s="2">
        <v>-2.1199999999999999E-3</v>
      </c>
      <c r="D12" s="2">
        <v>2.1199999999999999E-3</v>
      </c>
      <c r="E12">
        <v>0</v>
      </c>
    </row>
    <row r="13" spans="1:10">
      <c r="A13" s="1" t="s">
        <v>3</v>
      </c>
      <c r="B13" s="6" t="str">
        <f t="shared" ref="B13:B27" si="0">NormalDistribution(C13,D13,,E13)</f>
        <v>NormalDistribution(-0.00186; 0.00186;; 0)</v>
      </c>
      <c r="C13" s="2">
        <v>-1.8600000000000001E-3</v>
      </c>
      <c r="D13" s="2">
        <v>1.8600000000000001E-3</v>
      </c>
      <c r="E13">
        <v>0</v>
      </c>
    </row>
    <row r="14" spans="1:10">
      <c r="A14" s="1" t="s">
        <v>6</v>
      </c>
      <c r="B14" s="6" t="str">
        <f t="shared" si="0"/>
        <v>NormalDistribution(-0.00372; 0.00372;; 0)</v>
      </c>
      <c r="C14" s="2">
        <v>-3.7200000000000002E-3</v>
      </c>
      <c r="D14" s="2">
        <v>3.7200000000000002E-3</v>
      </c>
      <c r="E14">
        <v>0</v>
      </c>
    </row>
    <row r="15" spans="1:10">
      <c r="A15" s="1" t="s">
        <v>7</v>
      </c>
      <c r="B15" s="6" t="str">
        <f t="shared" si="0"/>
        <v>NormalDistribution(-0.00029; 0.00029;; 0)</v>
      </c>
      <c r="C15" s="2">
        <v>-2.9E-4</v>
      </c>
      <c r="D15" s="2">
        <v>2.9E-4</v>
      </c>
      <c r="E15">
        <v>0</v>
      </c>
    </row>
    <row r="16" spans="1:10">
      <c r="A16" s="1" t="s">
        <v>8</v>
      </c>
      <c r="B16" s="6" t="str">
        <f t="shared" si="0"/>
        <v>NormalDistribution(-0.00021; 0.00021;; 0)</v>
      </c>
      <c r="C16" s="2">
        <v>-2.1000000000000001E-4</v>
      </c>
      <c r="D16" s="2">
        <v>2.1000000000000001E-4</v>
      </c>
      <c r="E16">
        <v>0</v>
      </c>
    </row>
    <row r="17" spans="1:5">
      <c r="A17" s="1" t="s">
        <v>9</v>
      </c>
      <c r="B17" s="6" t="str">
        <f t="shared" si="0"/>
        <v>NormalDistribution(-0.00185; 0.00185;; 0)</v>
      </c>
      <c r="C17" s="2">
        <v>-1.8500000000000001E-3</v>
      </c>
      <c r="D17" s="2">
        <v>1.8500000000000001E-3</v>
      </c>
      <c r="E17">
        <v>0</v>
      </c>
    </row>
    <row r="18" spans="1:5">
      <c r="A18" s="1" t="s">
        <v>10</v>
      </c>
      <c r="B18" s="6" t="str">
        <f t="shared" si="0"/>
        <v>NormalDistribution(-0.00674; 0.00674;; 0)</v>
      </c>
      <c r="C18" s="2">
        <v>-6.7400000000000003E-3</v>
      </c>
      <c r="D18" s="2">
        <v>6.7400000000000003E-3</v>
      </c>
      <c r="E18">
        <v>0</v>
      </c>
    </row>
    <row r="19" spans="1:5">
      <c r="A19" s="1" t="s">
        <v>11</v>
      </c>
      <c r="B19" s="6" t="str">
        <f t="shared" si="0"/>
        <v>NormalDistribution(-0.00233; 0.00233;; 0)</v>
      </c>
      <c r="C19" s="2">
        <v>-2.33E-3</v>
      </c>
      <c r="D19" s="2">
        <v>2.33E-3</v>
      </c>
      <c r="E19">
        <v>0</v>
      </c>
    </row>
    <row r="20" spans="1:5">
      <c r="A20" s="1" t="s">
        <v>12</v>
      </c>
      <c r="B20" s="6" t="str">
        <f t="shared" si="0"/>
        <v>NormalDistribution(-0.00239; 0.00239;; 0)</v>
      </c>
      <c r="C20" s="2">
        <v>-2.3900000000000002E-3</v>
      </c>
      <c r="D20" s="2">
        <v>2.3900000000000002E-3</v>
      </c>
      <c r="E20">
        <v>0</v>
      </c>
    </row>
    <row r="21" spans="1:5">
      <c r="A21" s="1" t="s">
        <v>13</v>
      </c>
      <c r="B21" s="6" t="str">
        <f t="shared" si="0"/>
        <v>NormalDistribution(-0.00259; 0.00259;; 0)</v>
      </c>
      <c r="C21" s="2">
        <v>-2.5899999999999999E-3</v>
      </c>
      <c r="D21" s="2">
        <v>2.5899999999999999E-3</v>
      </c>
      <c r="E21">
        <v>0</v>
      </c>
    </row>
    <row r="22" spans="1:5">
      <c r="A22" s="1" t="s">
        <v>14</v>
      </c>
      <c r="B22" s="6" t="str">
        <f t="shared" si="0"/>
        <v>NormalDistribution(-0.00384; 0.00384;; 0)</v>
      </c>
      <c r="C22" s="2">
        <v>-3.8400000000000001E-3</v>
      </c>
      <c r="D22" s="2">
        <v>3.8400000000000001E-3</v>
      </c>
      <c r="E22">
        <v>0</v>
      </c>
    </row>
    <row r="23" spans="1:5">
      <c r="A23" s="1" t="s">
        <v>15</v>
      </c>
      <c r="B23" s="6" t="str">
        <f t="shared" si="0"/>
        <v>NormalDistribution(-0.0074; 0.0074;; 0)</v>
      </c>
      <c r="C23" s="2">
        <v>-7.4000000000000003E-3</v>
      </c>
      <c r="D23" s="2">
        <v>7.4000000000000003E-3</v>
      </c>
      <c r="E23">
        <v>0</v>
      </c>
    </row>
    <row r="24" spans="1:5">
      <c r="A24" s="1" t="s">
        <v>16</v>
      </c>
      <c r="B24" s="6" t="str">
        <f t="shared" si="0"/>
        <v>NormalDistribution(-0.02891; 0.02891;; 0)</v>
      </c>
      <c r="C24" s="2">
        <v>-2.8910000000000002E-2</v>
      </c>
      <c r="D24" s="2">
        <v>2.8910000000000002E-2</v>
      </c>
      <c r="E24">
        <v>0</v>
      </c>
    </row>
    <row r="25" spans="1:5">
      <c r="A25" s="1" t="s">
        <v>17</v>
      </c>
      <c r="B25" s="6" t="str">
        <f t="shared" si="0"/>
        <v>NormalDistribution(-0.01892; 0.01892;; 0)</v>
      </c>
      <c r="C25" s="2">
        <v>-1.8919999999999999E-2</v>
      </c>
      <c r="D25" s="2">
        <v>1.8919999999999999E-2</v>
      </c>
      <c r="E25">
        <v>0</v>
      </c>
    </row>
    <row r="26" spans="1:5">
      <c r="A26" s="1" t="s">
        <v>18</v>
      </c>
      <c r="B26" s="6" t="str">
        <f t="shared" si="0"/>
        <v>NormalDistribution(-0.00797; 0.00797;; 0)</v>
      </c>
      <c r="C26" s="2">
        <v>-7.9699999999999997E-3</v>
      </c>
      <c r="D26" s="2">
        <v>7.9699999999999997E-3</v>
      </c>
      <c r="E26">
        <v>0</v>
      </c>
    </row>
    <row r="27" spans="1:5">
      <c r="A27" s="1" t="s">
        <v>19</v>
      </c>
      <c r="B27" s="6" t="str">
        <f t="shared" si="0"/>
        <v>NormalDistribution(-0.00239; 0.00239;; 0)</v>
      </c>
      <c r="C27" s="2">
        <v>-2.3900000000000002E-3</v>
      </c>
      <c r="D27" s="2">
        <v>2.3900000000000002E-3</v>
      </c>
      <c r="E27">
        <v>0</v>
      </c>
    </row>
  </sheetData>
  <phoneticPr fontId="9" type="noConversion"/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Tabelle22"/>
  <dimension ref="A1:J27"/>
  <sheetViews>
    <sheetView workbookViewId="0">
      <selection activeCell="B8" sqref="B8"/>
    </sheetView>
  </sheetViews>
  <sheetFormatPr defaultColWidth="11.42578125" defaultRowHeight="12.75"/>
  <cols>
    <col min="1" max="1" width="14.85546875" customWidth="1"/>
    <col min="2" max="2" width="34.28515625" bestFit="1" customWidth="1"/>
    <col min="4" max="4" width="18.42578125" bestFit="1" customWidth="1"/>
  </cols>
  <sheetData>
    <row r="1" spans="1:10">
      <c r="A1" s="13"/>
    </row>
    <row r="6" spans="1:10">
      <c r="A6" s="10" t="s">
        <v>0</v>
      </c>
      <c r="B6" s="11" t="s">
        <v>1</v>
      </c>
      <c r="C6" s="12" t="s">
        <v>135</v>
      </c>
      <c r="D6" s="12" t="s">
        <v>136</v>
      </c>
      <c r="E6" s="12" t="s">
        <v>132</v>
      </c>
      <c r="F6" s="12" t="s">
        <v>133</v>
      </c>
      <c r="G6" s="12" t="s">
        <v>134</v>
      </c>
      <c r="H6" s="12" t="s">
        <v>130</v>
      </c>
      <c r="I6" s="12" t="s">
        <v>131</v>
      </c>
      <c r="J6" s="11" t="s">
        <v>129</v>
      </c>
    </row>
    <row r="7" spans="1:10" s="2" customFormat="1">
      <c r="A7" s="5" t="s">
        <v>34</v>
      </c>
      <c r="B7" s="6" t="str">
        <f>NormalDistribution(C7,D7,H7,I7)</f>
        <v>NormalDistribution(0.8; 0.1; 0; 1)</v>
      </c>
      <c r="C7" s="2">
        <v>0.8</v>
      </c>
      <c r="D7" s="2">
        <v>0.1</v>
      </c>
      <c r="H7" s="2">
        <v>0</v>
      </c>
      <c r="I7" s="2">
        <v>1</v>
      </c>
    </row>
    <row r="8" spans="1:10" s="2" customFormat="1">
      <c r="A8" s="5" t="s">
        <v>35</v>
      </c>
      <c r="B8" s="6" t="str">
        <f>NormalDistribution(C8,D8,H8)</f>
        <v>NormalDistribution(0.5; 0.5; 0)</v>
      </c>
      <c r="C8" s="2">
        <v>0.5</v>
      </c>
      <c r="D8" s="2">
        <v>0.5</v>
      </c>
      <c r="H8" s="2">
        <v>0</v>
      </c>
    </row>
    <row r="11" spans="1:10">
      <c r="A11" s="12" t="s">
        <v>143</v>
      </c>
      <c r="B11" s="12" t="s">
        <v>61</v>
      </c>
      <c r="C11" s="12" t="s">
        <v>135</v>
      </c>
      <c r="D11" s="12" t="s">
        <v>136</v>
      </c>
      <c r="E11" s="12" t="s">
        <v>130</v>
      </c>
    </row>
    <row r="12" spans="1:10">
      <c r="A12" s="1" t="s">
        <v>2</v>
      </c>
      <c r="B12" s="6" t="str">
        <f>NormalDistribution(C12,D12,E12)</f>
        <v>NormalDistribution(0.00429; 0.00429; 0)</v>
      </c>
      <c r="C12" s="2">
        <v>4.2900000000000004E-3</v>
      </c>
      <c r="D12" s="2">
        <v>4.2900000000000004E-3</v>
      </c>
      <c r="E12">
        <v>0</v>
      </c>
    </row>
    <row r="13" spans="1:10">
      <c r="A13" s="1" t="s">
        <v>3</v>
      </c>
      <c r="B13" s="6" t="str">
        <f t="shared" ref="B13:B27" si="0">NormalDistribution(C13,D13,E13)</f>
        <v>NormalDistribution(0.00378; 0.00378; 0)</v>
      </c>
      <c r="C13" s="2">
        <v>3.7799999999999999E-3</v>
      </c>
      <c r="D13" s="2">
        <v>3.7799999999999999E-3</v>
      </c>
      <c r="E13">
        <v>0</v>
      </c>
    </row>
    <row r="14" spans="1:10">
      <c r="A14" s="1" t="s">
        <v>6</v>
      </c>
      <c r="B14" s="6" t="str">
        <f t="shared" si="0"/>
        <v>NormalDistribution(0.00241; 0.00241; 0)</v>
      </c>
      <c r="C14" s="2">
        <v>2.4099999999999998E-3</v>
      </c>
      <c r="D14" s="2">
        <v>2.4099999999999998E-3</v>
      </c>
      <c r="E14">
        <v>0</v>
      </c>
    </row>
    <row r="15" spans="1:10">
      <c r="A15" s="1" t="s">
        <v>7</v>
      </c>
      <c r="B15" s="6" t="str">
        <f t="shared" si="0"/>
        <v>NormalDistribution(0.00207; 0.00207; 0)</v>
      </c>
      <c r="C15" s="2">
        <v>2.0699999999999998E-3</v>
      </c>
      <c r="D15" s="2">
        <v>2.0699999999999998E-3</v>
      </c>
      <c r="E15">
        <v>0</v>
      </c>
    </row>
    <row r="16" spans="1:10">
      <c r="A16" s="1" t="s">
        <v>8</v>
      </c>
      <c r="B16" s="6" t="str">
        <f t="shared" si="0"/>
        <v>NormalDistribution(0.00151; 0.00151; 0)</v>
      </c>
      <c r="C16" s="2">
        <v>1.5100000000000001E-3</v>
      </c>
      <c r="D16" s="2">
        <v>1.5100000000000001E-3</v>
      </c>
      <c r="E16">
        <v>0</v>
      </c>
    </row>
    <row r="17" spans="1:5">
      <c r="A17" s="1" t="s">
        <v>9</v>
      </c>
      <c r="B17" s="6" t="str">
        <f t="shared" si="0"/>
        <v>NormalDistribution(0.00456; 0.00456; 0)</v>
      </c>
      <c r="C17" s="2">
        <v>4.5599999999999998E-3</v>
      </c>
      <c r="D17" s="2">
        <v>4.5599999999999998E-3</v>
      </c>
      <c r="E17">
        <v>0</v>
      </c>
    </row>
    <row r="18" spans="1:5">
      <c r="A18" s="1" t="s">
        <v>10</v>
      </c>
      <c r="B18" s="6" t="str">
        <f t="shared" si="0"/>
        <v>NormalDistribution(0.01663; 0.01663; 0)</v>
      </c>
      <c r="C18" s="2">
        <v>1.6629999999999999E-2</v>
      </c>
      <c r="D18" s="2">
        <v>1.6629999999999999E-2</v>
      </c>
      <c r="E18">
        <v>0</v>
      </c>
    </row>
    <row r="19" spans="1:5">
      <c r="A19" s="1" t="s">
        <v>11</v>
      </c>
      <c r="B19" s="6" t="str">
        <f t="shared" si="0"/>
        <v>NormalDistribution(0.02074; 0.02074; 0)</v>
      </c>
      <c r="C19" s="2">
        <v>2.0740000000000001E-2</v>
      </c>
      <c r="D19" s="2">
        <v>2.0740000000000001E-2</v>
      </c>
      <c r="E19">
        <v>0</v>
      </c>
    </row>
    <row r="20" spans="1:5">
      <c r="A20" s="1" t="s">
        <v>12</v>
      </c>
      <c r="B20" s="6" t="str">
        <f t="shared" si="0"/>
        <v>NormalDistribution(0.00366; 0.00366; 0)</v>
      </c>
      <c r="C20" s="2">
        <v>3.6600000000000001E-3</v>
      </c>
      <c r="D20" s="2">
        <v>3.6600000000000001E-3</v>
      </c>
      <c r="E20">
        <v>0</v>
      </c>
    </row>
    <row r="21" spans="1:5">
      <c r="A21" s="1" t="s">
        <v>13</v>
      </c>
      <c r="B21" s="6" t="str">
        <f t="shared" si="0"/>
        <v>NormalDistribution(0.00395; 0.00395; 0)</v>
      </c>
      <c r="C21" s="2">
        <v>3.9500000000000004E-3</v>
      </c>
      <c r="D21" s="2">
        <v>3.9500000000000004E-3</v>
      </c>
      <c r="E21">
        <v>0</v>
      </c>
    </row>
    <row r="22" spans="1:5">
      <c r="A22" s="1" t="s">
        <v>14</v>
      </c>
      <c r="B22" s="6" t="str">
        <f t="shared" si="0"/>
        <v>NormalDistribution(0.00361; 0.00361; 0)</v>
      </c>
      <c r="C22" s="2">
        <v>3.6099999999999999E-3</v>
      </c>
      <c r="D22" s="2">
        <v>3.6099999999999999E-3</v>
      </c>
      <c r="E22">
        <v>0</v>
      </c>
    </row>
    <row r="23" spans="1:5">
      <c r="A23" s="1" t="s">
        <v>15</v>
      </c>
      <c r="B23" s="6" t="str">
        <f t="shared" si="0"/>
        <v>NormalDistribution(0.00695; 0.00695; 0)</v>
      </c>
      <c r="C23" s="2">
        <v>6.9499999999999996E-3</v>
      </c>
      <c r="D23" s="2">
        <v>6.9499999999999996E-3</v>
      </c>
      <c r="E23">
        <v>0</v>
      </c>
    </row>
    <row r="24" spans="1:5">
      <c r="A24" s="1" t="s">
        <v>16</v>
      </c>
      <c r="B24" s="6" t="str">
        <f t="shared" si="0"/>
        <v>NormalDistribution(0.03971; 0.03971; 0)</v>
      </c>
      <c r="C24" s="2">
        <v>3.9710000000000002E-2</v>
      </c>
      <c r="D24" s="2">
        <v>3.9710000000000002E-2</v>
      </c>
      <c r="E24">
        <v>0</v>
      </c>
    </row>
    <row r="25" spans="1:5">
      <c r="A25" s="1" t="s">
        <v>17</v>
      </c>
      <c r="B25" s="6" t="str">
        <f t="shared" si="0"/>
        <v>NormalDistribution(0.00015; 0.00015; 0)</v>
      </c>
      <c r="C25" s="2">
        <v>1.4999999999999999E-4</v>
      </c>
      <c r="D25" s="2">
        <v>1.4999999999999999E-4</v>
      </c>
      <c r="E25">
        <v>0</v>
      </c>
    </row>
    <row r="26" spans="1:5">
      <c r="A26" s="1" t="s">
        <v>18</v>
      </c>
      <c r="B26" s="6" t="str">
        <f t="shared" si="0"/>
        <v>NormalDistribution(0.00006; 0.00006; 0)</v>
      </c>
      <c r="C26" s="2">
        <v>6.0000000000000002E-5</v>
      </c>
      <c r="D26" s="2">
        <v>6.0000000000000002E-5</v>
      </c>
      <c r="E26">
        <v>0</v>
      </c>
    </row>
    <row r="27" spans="1:5">
      <c r="A27" s="1" t="s">
        <v>19</v>
      </c>
      <c r="B27" s="6" t="str">
        <f t="shared" si="0"/>
        <v>NormalDistribution(0.00366; 0.00366; 0)</v>
      </c>
      <c r="C27" s="2">
        <v>3.6600000000000001E-3</v>
      </c>
      <c r="D27" s="2">
        <v>3.6600000000000001E-3</v>
      </c>
      <c r="E27">
        <v>0</v>
      </c>
    </row>
  </sheetData>
  <phoneticPr fontId="9" type="noConversion"/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Tabelle23"/>
  <dimension ref="A6:J28"/>
  <sheetViews>
    <sheetView workbookViewId="0">
      <selection activeCell="B9" sqref="B9"/>
    </sheetView>
  </sheetViews>
  <sheetFormatPr defaultColWidth="11.42578125" defaultRowHeight="12.75"/>
  <cols>
    <col min="2" max="2" width="33.5703125" bestFit="1" customWidth="1"/>
  </cols>
  <sheetData>
    <row r="6" spans="1:10">
      <c r="A6" s="10" t="s">
        <v>0</v>
      </c>
      <c r="B6" s="11" t="s">
        <v>1</v>
      </c>
      <c r="C6" s="12" t="s">
        <v>135</v>
      </c>
      <c r="D6" s="12" t="s">
        <v>136</v>
      </c>
      <c r="E6" s="12" t="s">
        <v>132</v>
      </c>
      <c r="F6" s="12" t="s">
        <v>133</v>
      </c>
      <c r="G6" s="12" t="s">
        <v>134</v>
      </c>
      <c r="H6" s="12" t="s">
        <v>130</v>
      </c>
      <c r="I6" s="12" t="s">
        <v>131</v>
      </c>
      <c r="J6" s="11" t="s">
        <v>129</v>
      </c>
    </row>
    <row r="7" spans="1:10">
      <c r="A7" s="5" t="s">
        <v>155</v>
      </c>
      <c r="B7" s="6" t="str">
        <f>NormalDistribution(C7,D7,H7,I7)</f>
        <v>NormalDistribution(-0.514; 0.027; -1; 0)</v>
      </c>
      <c r="C7" s="2">
        <v>-0.51400000000000001</v>
      </c>
      <c r="D7" s="2">
        <v>2.7E-2</v>
      </c>
      <c r="E7" s="2"/>
      <c r="F7" s="2"/>
      <c r="G7" s="2"/>
      <c r="H7" s="2">
        <v>-1</v>
      </c>
      <c r="I7" s="2">
        <v>0</v>
      </c>
    </row>
    <row r="8" spans="1:10">
      <c r="A8" s="5" t="s">
        <v>156</v>
      </c>
      <c r="B8" s="6" t="str">
        <f>NormalDistribution(C8,D8,H8,I8)</f>
        <v>NormalDistribution(-0.501; 0.051; -1; 0)</v>
      </c>
      <c r="C8" s="2">
        <v>-0.501</v>
      </c>
      <c r="D8" s="2">
        <v>5.0999999999999997E-2</v>
      </c>
      <c r="E8" s="2"/>
      <c r="F8" s="2"/>
      <c r="G8" s="2"/>
      <c r="H8" s="2">
        <v>-1</v>
      </c>
      <c r="I8" s="2">
        <v>0</v>
      </c>
    </row>
    <row r="9" spans="1:10">
      <c r="A9" s="5" t="s">
        <v>157</v>
      </c>
      <c r="B9" s="6" t="str">
        <f>NormalDistribution(C9, D9)</f>
        <v>NormalDistribution(0.04; 0.005)</v>
      </c>
      <c r="C9" s="2">
        <v>0.04</v>
      </c>
      <c r="D9" s="2">
        <v>5.0000000000000001E-3</v>
      </c>
      <c r="E9" s="2"/>
      <c r="F9" s="2"/>
      <c r="G9" s="2"/>
      <c r="H9" s="2"/>
      <c r="I9" s="2"/>
    </row>
    <row r="10" spans="1:10">
      <c r="A10" s="5" t="s">
        <v>158</v>
      </c>
      <c r="B10" s="6">
        <v>3</v>
      </c>
      <c r="C10" s="2"/>
      <c r="D10" s="2"/>
      <c r="E10" s="2"/>
      <c r="F10" s="2"/>
      <c r="G10" s="2"/>
      <c r="H10" s="2"/>
      <c r="I10" s="2"/>
    </row>
    <row r="12" spans="1:10">
      <c r="B12" s="2" t="s">
        <v>159</v>
      </c>
      <c r="C12" s="2" t="s">
        <v>160</v>
      </c>
    </row>
    <row r="13" spans="1:10">
      <c r="A13" s="1" t="s">
        <v>2</v>
      </c>
      <c r="B13" s="6">
        <v>1.469567239055485</v>
      </c>
      <c r="C13" s="6">
        <v>3.9060157079667498E-4</v>
      </c>
    </row>
    <row r="14" spans="1:10">
      <c r="A14" s="1" t="s">
        <v>3</v>
      </c>
      <c r="B14" s="6">
        <v>7.3550933539639042E-3</v>
      </c>
      <c r="C14" s="6">
        <v>4.8607999597985874E-6</v>
      </c>
    </row>
    <row r="15" spans="1:10">
      <c r="A15" s="1" t="s">
        <v>6</v>
      </c>
      <c r="B15" s="6">
        <v>1.729412257728359E-5</v>
      </c>
      <c r="C15" s="6">
        <v>2.126235478360666E-6</v>
      </c>
    </row>
    <row r="16" spans="1:10">
      <c r="A16" s="1" t="s">
        <v>7</v>
      </c>
      <c r="B16" s="6">
        <v>0.32867600755067294</v>
      </c>
      <c r="C16" s="6">
        <v>5.4339759458888978E-4</v>
      </c>
    </row>
    <row r="17" spans="1:3">
      <c r="A17" s="1" t="s">
        <v>8</v>
      </c>
      <c r="B17" s="6">
        <v>0.10028159361157267</v>
      </c>
      <c r="C17" s="6">
        <v>6.6840673414939538E-5</v>
      </c>
    </row>
    <row r="18" spans="1:3">
      <c r="A18" s="1" t="s">
        <v>9</v>
      </c>
      <c r="B18" s="6">
        <v>0</v>
      </c>
      <c r="C18" s="6">
        <v>0</v>
      </c>
    </row>
    <row r="19" spans="1:3">
      <c r="A19" s="1" t="s">
        <v>10</v>
      </c>
      <c r="B19" s="6">
        <v>1.7163938344905802E-2</v>
      </c>
      <c r="C19" s="6">
        <v>7.0918256697965704E-6</v>
      </c>
    </row>
    <row r="20" spans="1:3">
      <c r="A20" s="1" t="s">
        <v>11</v>
      </c>
      <c r="B20" s="6">
        <v>0</v>
      </c>
      <c r="C20" s="6">
        <v>1.3931235421957219E-6</v>
      </c>
    </row>
    <row r="21" spans="1:3">
      <c r="A21" s="1" t="s">
        <v>12</v>
      </c>
      <c r="B21" s="6">
        <v>1.7725998154853742</v>
      </c>
      <c r="C21" s="6">
        <v>8.2196741985580517E-3</v>
      </c>
    </row>
    <row r="22" spans="1:3">
      <c r="A22" s="1" t="s">
        <v>13</v>
      </c>
      <c r="B22" s="6">
        <v>1.30629900020999E-2</v>
      </c>
      <c r="C22" s="6">
        <v>2.3670272344474232E-5</v>
      </c>
    </row>
    <row r="23" spans="1:3">
      <c r="A23" s="1" t="s">
        <v>14</v>
      </c>
      <c r="B23" s="6">
        <v>0.9364540115245783</v>
      </c>
      <c r="C23" s="6">
        <v>6.9167805315729497E-3</v>
      </c>
    </row>
    <row r="24" spans="1:3">
      <c r="A24" s="1" t="s">
        <v>15</v>
      </c>
      <c r="B24" s="6">
        <v>0.41431887543760554</v>
      </c>
      <c r="C24" s="6">
        <v>2.3981492889933796E-3</v>
      </c>
    </row>
    <row r="25" spans="1:3">
      <c r="A25" s="1" t="s">
        <v>16</v>
      </c>
      <c r="B25" s="6">
        <v>1.972917174044218</v>
      </c>
      <c r="C25" s="6">
        <v>2.8676736318480759E-4</v>
      </c>
    </row>
    <row r="26" spans="1:3">
      <c r="A26" s="1" t="s">
        <v>17</v>
      </c>
      <c r="B26" s="6">
        <v>0</v>
      </c>
      <c r="C26" s="6">
        <v>0</v>
      </c>
    </row>
    <row r="27" spans="1:3">
      <c r="A27" s="1" t="s">
        <v>18</v>
      </c>
      <c r="B27" s="6">
        <v>5.9105668614401849E-2</v>
      </c>
      <c r="C27" s="6">
        <v>1.4392051653568802E-4</v>
      </c>
    </row>
    <row r="28" spans="1:3">
      <c r="A28" s="1" t="s">
        <v>19</v>
      </c>
      <c r="B28" s="6">
        <v>5.7313500740806393</v>
      </c>
      <c r="C28" s="6">
        <v>4.9145445588249549E-3</v>
      </c>
    </row>
  </sheetData>
  <phoneticPr fontId="0" type="noConversion"/>
  <pageMargins left="0.7" right="0.7" top="0.78740157499999996" bottom="0.78740157499999996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Tabelle24"/>
  <dimension ref="A6:J27"/>
  <sheetViews>
    <sheetView workbookViewId="0">
      <selection activeCell="B9" sqref="B9"/>
    </sheetView>
  </sheetViews>
  <sheetFormatPr defaultColWidth="11.5703125" defaultRowHeight="12.75"/>
  <cols>
    <col min="1" max="1" width="22.5703125" bestFit="1" customWidth="1"/>
    <col min="2" max="2" width="33" bestFit="1" customWidth="1"/>
    <col min="3" max="3" width="27.7109375" bestFit="1" customWidth="1"/>
  </cols>
  <sheetData>
    <row r="6" spans="1:10">
      <c r="A6" s="10" t="s">
        <v>0</v>
      </c>
      <c r="B6" s="10" t="s">
        <v>1</v>
      </c>
      <c r="C6" s="10" t="s">
        <v>135</v>
      </c>
      <c r="D6" s="10" t="s">
        <v>136</v>
      </c>
      <c r="E6" s="10" t="s">
        <v>132</v>
      </c>
      <c r="F6" s="10" t="s">
        <v>133</v>
      </c>
      <c r="G6" s="10" t="s">
        <v>134</v>
      </c>
      <c r="H6" s="10" t="s">
        <v>130</v>
      </c>
      <c r="I6" s="10" t="s">
        <v>131</v>
      </c>
      <c r="J6" s="10" t="s">
        <v>129</v>
      </c>
    </row>
    <row r="7" spans="1:10">
      <c r="A7" t="s">
        <v>173</v>
      </c>
      <c r="B7" s="27" t="s">
        <v>220</v>
      </c>
      <c r="C7">
        <v>-0.51400000000000001</v>
      </c>
      <c r="D7">
        <v>2.7E-2</v>
      </c>
      <c r="H7">
        <v>-1</v>
      </c>
      <c r="I7">
        <v>0</v>
      </c>
    </row>
    <row r="8" spans="1:10">
      <c r="A8" t="s">
        <v>174</v>
      </c>
      <c r="B8" s="27" t="s">
        <v>221</v>
      </c>
      <c r="C8">
        <v>-0.501</v>
      </c>
      <c r="D8">
        <v>5.0999999999999997E-2</v>
      </c>
      <c r="H8">
        <v>-1</v>
      </c>
      <c r="I8">
        <v>0</v>
      </c>
    </row>
    <row r="9" spans="1:10">
      <c r="A9" t="s">
        <v>178</v>
      </c>
      <c r="B9" s="6">
        <v>1</v>
      </c>
    </row>
    <row r="11" spans="1:10">
      <c r="A11" s="10"/>
      <c r="B11" s="10" t="s">
        <v>176</v>
      </c>
      <c r="C11" s="10" t="s">
        <v>177</v>
      </c>
      <c r="D11" s="10" t="s">
        <v>175</v>
      </c>
      <c r="G11" s="16" t="s">
        <v>179</v>
      </c>
    </row>
    <row r="12" spans="1:10">
      <c r="A12" t="s">
        <v>2</v>
      </c>
      <c r="B12" s="6">
        <f>G12/1000</f>
        <v>1.2068608855870491E-4</v>
      </c>
      <c r="C12" s="6">
        <v>2.9121440040660141E-4</v>
      </c>
      <c r="D12" s="6">
        <v>0.04</v>
      </c>
      <c r="G12">
        <v>0.12068608855870491</v>
      </c>
    </row>
    <row r="13" spans="1:10">
      <c r="A13" t="s">
        <v>3</v>
      </c>
      <c r="B13" s="6">
        <f t="shared" ref="B13:B27" si="0">G13/1000</f>
        <v>1.6972547342497096E-4</v>
      </c>
      <c r="C13" s="6">
        <v>6.3117456215612257E-5</v>
      </c>
      <c r="D13" s="6">
        <v>0.04</v>
      </c>
      <c r="G13">
        <v>0.16972547342497096</v>
      </c>
    </row>
    <row r="14" spans="1:10">
      <c r="A14" t="s">
        <v>6</v>
      </c>
      <c r="B14" s="6">
        <f t="shared" si="0"/>
        <v>2.0918497609825643E-4</v>
      </c>
      <c r="C14" s="6">
        <v>1.2120946245334528E-4</v>
      </c>
      <c r="D14" s="6">
        <v>0.04</v>
      </c>
      <c r="G14">
        <v>0.20918497609825643</v>
      </c>
    </row>
    <row r="15" spans="1:10">
      <c r="A15" t="s">
        <v>7</v>
      </c>
      <c r="B15" s="6">
        <f t="shared" si="0"/>
        <v>1.0409558591188131E-5</v>
      </c>
      <c r="C15" s="6">
        <v>1.1493983066989578E-4</v>
      </c>
      <c r="D15" s="6">
        <v>0.04</v>
      </c>
      <c r="G15">
        <v>1.0409558591188131E-2</v>
      </c>
    </row>
    <row r="16" spans="1:10">
      <c r="A16" t="s">
        <v>8</v>
      </c>
      <c r="B16" s="6">
        <f t="shared" si="0"/>
        <v>2.7626376914395405E-4</v>
      </c>
      <c r="C16" s="6">
        <v>1.1631793184284364E-4</v>
      </c>
      <c r="D16" s="6">
        <v>0.21</v>
      </c>
      <c r="G16">
        <v>0.27626376914395406</v>
      </c>
    </row>
    <row r="17" spans="1:7">
      <c r="A17" t="s">
        <v>9</v>
      </c>
      <c r="B17" s="6">
        <f t="shared" si="0"/>
        <v>4.5867547347020341E-5</v>
      </c>
      <c r="C17" s="6">
        <v>5.008139345697674E-5</v>
      </c>
      <c r="D17" s="6">
        <v>0.04</v>
      </c>
      <c r="G17">
        <v>4.5867547347020345E-2</v>
      </c>
    </row>
    <row r="18" spans="1:7">
      <c r="A18" t="s">
        <v>10</v>
      </c>
      <c r="B18" s="6">
        <f t="shared" si="0"/>
        <v>4.4055974828957727E-5</v>
      </c>
      <c r="C18" s="6">
        <v>1.2684267981611432E-4</v>
      </c>
      <c r="D18" s="6">
        <v>0.04</v>
      </c>
      <c r="G18">
        <v>4.4055974828957727E-2</v>
      </c>
    </row>
    <row r="19" spans="1:7">
      <c r="A19" t="s">
        <v>11</v>
      </c>
      <c r="B19" s="6">
        <f t="shared" si="0"/>
        <v>1.5624689728065414E-5</v>
      </c>
      <c r="C19" s="6">
        <v>5.2986905056374623E-5</v>
      </c>
      <c r="D19" s="6">
        <v>0.04</v>
      </c>
      <c r="G19">
        <v>1.5624689728065414E-2</v>
      </c>
    </row>
    <row r="20" spans="1:7">
      <c r="A20" t="s">
        <v>12</v>
      </c>
      <c r="B20" s="6">
        <f t="shared" si="0"/>
        <v>4.4055974828957727E-5</v>
      </c>
      <c r="C20" s="6">
        <v>1.2684267981611432E-4</v>
      </c>
      <c r="D20" s="6">
        <v>0.04</v>
      </c>
      <c r="G20">
        <v>4.4055974828957727E-2</v>
      </c>
    </row>
    <row r="21" spans="1:7">
      <c r="A21" t="s">
        <v>13</v>
      </c>
      <c r="B21" s="6">
        <f t="shared" si="0"/>
        <v>3.5767602312883512E-6</v>
      </c>
      <c r="C21" s="6">
        <v>4.6527793864601386E-5</v>
      </c>
      <c r="D21" s="6">
        <v>0.21</v>
      </c>
      <c r="G21">
        <v>3.5767602312883513E-3</v>
      </c>
    </row>
    <row r="22" spans="1:7">
      <c r="A22" t="s">
        <v>14</v>
      </c>
      <c r="B22" s="6">
        <f t="shared" si="0"/>
        <v>5.5063133468718714E-4</v>
      </c>
      <c r="C22" s="6">
        <v>2.0486480125690216E-4</v>
      </c>
      <c r="D22" s="6">
        <v>0.21</v>
      </c>
      <c r="G22">
        <v>0.55063133468718717</v>
      </c>
    </row>
    <row r="23" spans="1:7">
      <c r="A23" t="s">
        <v>15</v>
      </c>
      <c r="B23" s="6">
        <f t="shared" si="0"/>
        <v>6.2706359487753116E-5</v>
      </c>
      <c r="C23" s="6">
        <v>8.572203952041132E-5</v>
      </c>
      <c r="D23" s="6">
        <v>0.04</v>
      </c>
      <c r="G23">
        <v>6.2706359487753119E-2</v>
      </c>
    </row>
    <row r="24" spans="1:7">
      <c r="A24" t="s">
        <v>16</v>
      </c>
      <c r="B24" s="6">
        <f t="shared" si="0"/>
        <v>1.6773414932805624E-4</v>
      </c>
      <c r="C24" s="6">
        <v>1.1420345719666295E-4</v>
      </c>
      <c r="D24" s="6">
        <v>0.04</v>
      </c>
      <c r="G24">
        <v>0.16773414932805625</v>
      </c>
    </row>
    <row r="25" spans="1:7">
      <c r="A25" t="s">
        <v>17</v>
      </c>
      <c r="B25" s="6">
        <f t="shared" si="0"/>
        <v>2.8127807101601171E-7</v>
      </c>
      <c r="C25" s="6">
        <v>3.8346515651204423E-5</v>
      </c>
      <c r="D25" s="6">
        <v>0.04</v>
      </c>
      <c r="G25">
        <v>2.8127807101601169E-4</v>
      </c>
    </row>
    <row r="26" spans="1:7">
      <c r="A26" t="s">
        <v>18</v>
      </c>
      <c r="B26" s="6">
        <f t="shared" si="0"/>
        <v>5.5063133468718714E-4</v>
      </c>
      <c r="C26" s="6">
        <v>2.0486480125690216E-4</v>
      </c>
      <c r="D26" s="6">
        <v>0.04</v>
      </c>
      <c r="G26">
        <v>0.55063133468718717</v>
      </c>
    </row>
    <row r="27" spans="1:7">
      <c r="A27" t="s">
        <v>19</v>
      </c>
      <c r="B27" s="6">
        <f t="shared" si="0"/>
        <v>4.2688685396461985E-4</v>
      </c>
      <c r="C27" s="6">
        <v>1.5779274955726886E-3</v>
      </c>
      <c r="D27" s="6">
        <v>0.13</v>
      </c>
      <c r="G27">
        <v>0.42688685396461984</v>
      </c>
    </row>
  </sheetData>
  <phoneticPr fontId="0" type="noConversion"/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Tabelle4"/>
  <dimension ref="A1:Q105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1.42578125" defaultRowHeight="12.75"/>
  <cols>
    <col min="1" max="1" width="5.140625" style="2" customWidth="1"/>
    <col min="2" max="4" width="6" style="2" bestFit="1" customWidth="1"/>
    <col min="5" max="5" width="6.5703125" style="2" bestFit="1" customWidth="1"/>
    <col min="6" max="6" width="6" style="2" bestFit="1" customWidth="1"/>
    <col min="7" max="7" width="6.5703125" style="2" bestFit="1" customWidth="1"/>
    <col min="8" max="8" width="7.5703125" style="2" bestFit="1" customWidth="1"/>
    <col min="9" max="11" width="6.5703125" style="2" bestFit="1" customWidth="1"/>
    <col min="12" max="12" width="6" style="2" bestFit="1" customWidth="1"/>
    <col min="13" max="13" width="6.5703125" style="2" bestFit="1" customWidth="1"/>
    <col min="14" max="14" width="6" style="2" bestFit="1" customWidth="1"/>
    <col min="15" max="16" width="6.5703125" style="2" bestFit="1" customWidth="1"/>
    <col min="17" max="17" width="6" style="2" bestFit="1" customWidth="1"/>
    <col min="18" max="16384" width="11.42578125" style="2"/>
  </cols>
  <sheetData>
    <row r="1" spans="1:17" s="1" customFormat="1">
      <c r="A1" s="1" t="s">
        <v>4</v>
      </c>
      <c r="B1" s="1" t="s">
        <v>2</v>
      </c>
      <c r="C1" s="1" t="s">
        <v>3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</row>
    <row r="2" spans="1:17">
      <c r="A2" s="3">
        <v>1950</v>
      </c>
      <c r="B2" s="7">
        <v>1.8680000000000001</v>
      </c>
      <c r="C2" s="7">
        <v>2.7850000000000001</v>
      </c>
      <c r="D2" s="7">
        <v>2.7309999999999999</v>
      </c>
      <c r="E2" s="7">
        <v>3.234</v>
      </c>
      <c r="F2" s="7">
        <v>1.143</v>
      </c>
      <c r="G2" s="7">
        <v>2.9089999999999998</v>
      </c>
      <c r="H2" s="7">
        <v>2.7869999999999999</v>
      </c>
      <c r="I2" s="7">
        <v>2.3530000000000002</v>
      </c>
      <c r="J2" s="7">
        <v>3.5630000000000002</v>
      </c>
      <c r="K2" s="7">
        <v>3.2730000000000001</v>
      </c>
      <c r="L2" s="7">
        <v>0.77400000000000002</v>
      </c>
      <c r="M2" s="7">
        <v>4.4710000000000001</v>
      </c>
      <c r="N2" s="7">
        <v>4.242</v>
      </c>
      <c r="O2" s="7">
        <v>3.629</v>
      </c>
      <c r="P2" s="7">
        <v>0.77</v>
      </c>
      <c r="Q2" s="7">
        <v>2.93</v>
      </c>
    </row>
    <row r="3" spans="1:17">
      <c r="A3" s="2">
        <v>1951</v>
      </c>
      <c r="B3" s="7">
        <v>1.8680000000000001</v>
      </c>
      <c r="C3" s="7">
        <v>2.7850000000000001</v>
      </c>
      <c r="D3" s="7">
        <v>2.7309999999999999</v>
      </c>
      <c r="E3" s="7">
        <v>3.234</v>
      </c>
      <c r="F3" s="7">
        <v>1.143</v>
      </c>
      <c r="G3" s="7">
        <v>2.9089999999999998</v>
      </c>
      <c r="H3" s="7">
        <v>2.7869999999999999</v>
      </c>
      <c r="I3" s="7">
        <v>2.3530000000000002</v>
      </c>
      <c r="J3" s="7">
        <v>3.5630000000000002</v>
      </c>
      <c r="K3" s="7">
        <v>3.2730000000000001</v>
      </c>
      <c r="L3" s="7">
        <v>0.77400000000000002</v>
      </c>
      <c r="M3" s="7">
        <v>4.4710000000000001</v>
      </c>
      <c r="N3" s="7">
        <v>4.242</v>
      </c>
      <c r="O3" s="7">
        <v>3.629</v>
      </c>
      <c r="P3" s="7">
        <v>0.77</v>
      </c>
      <c r="Q3" s="7">
        <v>2.93</v>
      </c>
    </row>
    <row r="4" spans="1:17">
      <c r="A4" s="2">
        <v>1952</v>
      </c>
      <c r="B4" s="7">
        <v>1.8680000000000001</v>
      </c>
      <c r="C4" s="7">
        <v>2.7850000000000001</v>
      </c>
      <c r="D4" s="7">
        <v>2.7309999999999999</v>
      </c>
      <c r="E4" s="7">
        <v>3.234</v>
      </c>
      <c r="F4" s="7">
        <v>1.143</v>
      </c>
      <c r="G4" s="7">
        <v>2.9089999999999998</v>
      </c>
      <c r="H4" s="7">
        <v>2.7869999999999999</v>
      </c>
      <c r="I4" s="7">
        <v>2.3530000000000002</v>
      </c>
      <c r="J4" s="7">
        <v>3.5630000000000002</v>
      </c>
      <c r="K4" s="7">
        <v>3.2730000000000001</v>
      </c>
      <c r="L4" s="7">
        <v>0.77400000000000002</v>
      </c>
      <c r="M4" s="7">
        <v>4.4710000000000001</v>
      </c>
      <c r="N4" s="7">
        <v>4.242</v>
      </c>
      <c r="O4" s="7">
        <v>3.629</v>
      </c>
      <c r="P4" s="7">
        <v>0.77</v>
      </c>
      <c r="Q4" s="7">
        <v>2.93</v>
      </c>
    </row>
    <row r="5" spans="1:17">
      <c r="A5" s="2">
        <v>1953</v>
      </c>
      <c r="B5" s="7">
        <v>1.8680000000000001</v>
      </c>
      <c r="C5" s="7">
        <v>2.7850000000000001</v>
      </c>
      <c r="D5" s="7">
        <v>2.7309999999999999</v>
      </c>
      <c r="E5" s="7">
        <v>3.234</v>
      </c>
      <c r="F5" s="7">
        <v>1.143</v>
      </c>
      <c r="G5" s="7">
        <v>2.9089999999999998</v>
      </c>
      <c r="H5" s="7">
        <v>2.7869999999999999</v>
      </c>
      <c r="I5" s="7">
        <v>2.3530000000000002</v>
      </c>
      <c r="J5" s="7">
        <v>3.5630000000000002</v>
      </c>
      <c r="K5" s="7">
        <v>3.2730000000000001</v>
      </c>
      <c r="L5" s="7">
        <v>0.77400000000000002</v>
      </c>
      <c r="M5" s="7">
        <v>4.4710000000000001</v>
      </c>
      <c r="N5" s="7">
        <v>4.242</v>
      </c>
      <c r="O5" s="7">
        <v>3.629</v>
      </c>
      <c r="P5" s="7">
        <v>0.77</v>
      </c>
      <c r="Q5" s="7">
        <v>2.93</v>
      </c>
    </row>
    <row r="6" spans="1:17">
      <c r="A6" s="2">
        <v>1954</v>
      </c>
      <c r="B6" s="7">
        <v>1.8680000000000001</v>
      </c>
      <c r="C6" s="7">
        <v>2.7850000000000001</v>
      </c>
      <c r="D6" s="7">
        <v>2.7309999999999999</v>
      </c>
      <c r="E6" s="7">
        <v>3.234</v>
      </c>
      <c r="F6" s="7">
        <v>1.143</v>
      </c>
      <c r="G6" s="7">
        <v>2.9089999999999998</v>
      </c>
      <c r="H6" s="7">
        <v>2.7869999999999999</v>
      </c>
      <c r="I6" s="7">
        <v>2.3530000000000002</v>
      </c>
      <c r="J6" s="7">
        <v>3.5630000000000002</v>
      </c>
      <c r="K6" s="7">
        <v>3.2730000000000001</v>
      </c>
      <c r="L6" s="7">
        <v>0.77400000000000002</v>
      </c>
      <c r="M6" s="7">
        <v>4.4710000000000001</v>
      </c>
      <c r="N6" s="7">
        <v>4.242</v>
      </c>
      <c r="O6" s="7">
        <v>3.629</v>
      </c>
      <c r="P6" s="7">
        <v>0.77</v>
      </c>
      <c r="Q6" s="7">
        <v>2.93</v>
      </c>
    </row>
    <row r="7" spans="1:17">
      <c r="A7" s="2">
        <v>1955</v>
      </c>
      <c r="B7" s="7">
        <v>1.8680000000000001</v>
      </c>
      <c r="C7" s="7">
        <v>2.7850000000000001</v>
      </c>
      <c r="D7" s="7">
        <v>2.7309999999999999</v>
      </c>
      <c r="E7" s="7">
        <v>3.234</v>
      </c>
      <c r="F7" s="7">
        <v>1.143</v>
      </c>
      <c r="G7" s="7">
        <v>2.9089999999999998</v>
      </c>
      <c r="H7" s="7">
        <v>2.7869999999999999</v>
      </c>
      <c r="I7" s="7">
        <v>2.3530000000000002</v>
      </c>
      <c r="J7" s="7">
        <v>3.5630000000000002</v>
      </c>
      <c r="K7" s="7">
        <v>3.2730000000000001</v>
      </c>
      <c r="L7" s="7">
        <v>0.77400000000000002</v>
      </c>
      <c r="M7" s="7">
        <v>4.4710000000000001</v>
      </c>
      <c r="N7" s="7">
        <v>4.242</v>
      </c>
      <c r="O7" s="7">
        <v>3.629</v>
      </c>
      <c r="P7" s="7">
        <v>0.77</v>
      </c>
      <c r="Q7" s="7">
        <v>2.93</v>
      </c>
    </row>
    <row r="8" spans="1:17">
      <c r="A8" s="2">
        <v>1956</v>
      </c>
      <c r="B8" s="7">
        <v>1.8680000000000001</v>
      </c>
      <c r="C8" s="7">
        <v>2.7850000000000001</v>
      </c>
      <c r="D8" s="7">
        <v>2.7309999999999999</v>
      </c>
      <c r="E8" s="7">
        <v>3.234</v>
      </c>
      <c r="F8" s="7">
        <v>1.143</v>
      </c>
      <c r="G8" s="7">
        <v>2.9089999999999998</v>
      </c>
      <c r="H8" s="7">
        <v>2.7869999999999999</v>
      </c>
      <c r="I8" s="7">
        <v>2.3530000000000002</v>
      </c>
      <c r="J8" s="7">
        <v>3.5630000000000002</v>
      </c>
      <c r="K8" s="7">
        <v>3.2730000000000001</v>
      </c>
      <c r="L8" s="7">
        <v>0.77400000000000002</v>
      </c>
      <c r="M8" s="7">
        <v>4.4710000000000001</v>
      </c>
      <c r="N8" s="7">
        <v>4.242</v>
      </c>
      <c r="O8" s="7">
        <v>3.629</v>
      </c>
      <c r="P8" s="7">
        <v>0.77</v>
      </c>
      <c r="Q8" s="7">
        <v>2.93</v>
      </c>
    </row>
    <row r="9" spans="1:17">
      <c r="A9" s="2">
        <v>1957</v>
      </c>
      <c r="B9" s="7">
        <v>1.8680000000000001</v>
      </c>
      <c r="C9" s="7">
        <v>2.7850000000000001</v>
      </c>
      <c r="D9" s="7">
        <v>2.7309999999999999</v>
      </c>
      <c r="E9" s="7">
        <v>3.234</v>
      </c>
      <c r="F9" s="7">
        <v>1.143</v>
      </c>
      <c r="G9" s="7">
        <v>2.9089999999999998</v>
      </c>
      <c r="H9" s="7">
        <v>2.7869999999999999</v>
      </c>
      <c r="I9" s="7">
        <v>2.3530000000000002</v>
      </c>
      <c r="J9" s="7">
        <v>3.5630000000000002</v>
      </c>
      <c r="K9" s="7">
        <v>3.2730000000000001</v>
      </c>
      <c r="L9" s="7">
        <v>0.77400000000000002</v>
      </c>
      <c r="M9" s="7">
        <v>4.4710000000000001</v>
      </c>
      <c r="N9" s="7">
        <v>4.242</v>
      </c>
      <c r="O9" s="7">
        <v>3.629</v>
      </c>
      <c r="P9" s="7">
        <v>0.77</v>
      </c>
      <c r="Q9" s="7">
        <v>2.93</v>
      </c>
    </row>
    <row r="10" spans="1:17">
      <c r="A10" s="2">
        <v>1958</v>
      </c>
      <c r="B10" s="7">
        <v>1.8680000000000001</v>
      </c>
      <c r="C10" s="7">
        <v>2.7850000000000001</v>
      </c>
      <c r="D10" s="7">
        <v>2.7309999999999999</v>
      </c>
      <c r="E10" s="7">
        <v>3.234</v>
      </c>
      <c r="F10" s="7">
        <v>1.143</v>
      </c>
      <c r="G10" s="7">
        <v>2.9089999999999998</v>
      </c>
      <c r="H10" s="7">
        <v>2.7869999999999999</v>
      </c>
      <c r="I10" s="7">
        <v>2.3530000000000002</v>
      </c>
      <c r="J10" s="7">
        <v>3.5630000000000002</v>
      </c>
      <c r="K10" s="7">
        <v>3.2730000000000001</v>
      </c>
      <c r="L10" s="7">
        <v>0.77400000000000002</v>
      </c>
      <c r="M10" s="7">
        <v>4.4710000000000001</v>
      </c>
      <c r="N10" s="7">
        <v>4.242</v>
      </c>
      <c r="O10" s="7">
        <v>3.629</v>
      </c>
      <c r="P10" s="7">
        <v>0.77</v>
      </c>
      <c r="Q10" s="7">
        <v>2.93</v>
      </c>
    </row>
    <row r="11" spans="1:17">
      <c r="A11" s="2">
        <v>1959</v>
      </c>
      <c r="B11" s="7">
        <v>1.8680000000000001</v>
      </c>
      <c r="C11" s="7">
        <v>2.7850000000000001</v>
      </c>
      <c r="D11" s="7">
        <v>2.7309999999999999</v>
      </c>
      <c r="E11" s="7">
        <v>3.234</v>
      </c>
      <c r="F11" s="7">
        <v>1.143</v>
      </c>
      <c r="G11" s="7">
        <v>2.9089999999999998</v>
      </c>
      <c r="H11" s="7">
        <v>2.7869999999999999</v>
      </c>
      <c r="I11" s="7">
        <v>2.3530000000000002</v>
      </c>
      <c r="J11" s="7">
        <v>3.5630000000000002</v>
      </c>
      <c r="K11" s="7">
        <v>3.2730000000000001</v>
      </c>
      <c r="L11" s="7">
        <v>0.77400000000000002</v>
      </c>
      <c r="M11" s="7">
        <v>4.4710000000000001</v>
      </c>
      <c r="N11" s="7">
        <v>4.242</v>
      </c>
      <c r="O11" s="7">
        <v>3.629</v>
      </c>
      <c r="P11" s="7">
        <v>0.77</v>
      </c>
      <c r="Q11" s="7">
        <v>2.93</v>
      </c>
    </row>
    <row r="12" spans="1:17">
      <c r="A12" s="2">
        <v>1960</v>
      </c>
      <c r="B12" s="7">
        <v>1.8680000000000001</v>
      </c>
      <c r="C12" s="7">
        <v>2.7850000000000001</v>
      </c>
      <c r="D12" s="7">
        <v>2.7309999999999999</v>
      </c>
      <c r="E12" s="7">
        <v>3.234</v>
      </c>
      <c r="F12" s="7">
        <v>1.143</v>
      </c>
      <c r="G12" s="7">
        <v>2.9089999999999998</v>
      </c>
      <c r="H12" s="7">
        <v>2.7869999999999999</v>
      </c>
      <c r="I12" s="7">
        <v>2.3530000000000002</v>
      </c>
      <c r="J12" s="7">
        <v>3.5630000000000002</v>
      </c>
      <c r="K12" s="7">
        <v>3.2730000000000001</v>
      </c>
      <c r="L12" s="7">
        <v>0.77400000000000002</v>
      </c>
      <c r="M12" s="7">
        <v>4.4710000000000001</v>
      </c>
      <c r="N12" s="7">
        <v>4.242</v>
      </c>
      <c r="O12" s="7">
        <v>3.629</v>
      </c>
      <c r="P12" s="7">
        <v>0.77</v>
      </c>
      <c r="Q12" s="7">
        <v>2.93</v>
      </c>
    </row>
    <row r="13" spans="1:17">
      <c r="A13" s="2">
        <v>1961</v>
      </c>
      <c r="B13" s="7">
        <v>1.8680000000000001</v>
      </c>
      <c r="C13" s="7">
        <v>2.7850000000000001</v>
      </c>
      <c r="D13" s="7">
        <v>2.7309999999999999</v>
      </c>
      <c r="E13" s="7">
        <v>3.234</v>
      </c>
      <c r="F13" s="7">
        <v>1.143</v>
      </c>
      <c r="G13" s="7">
        <v>2.9089999999999998</v>
      </c>
      <c r="H13" s="7">
        <v>2.7869999999999999</v>
      </c>
      <c r="I13" s="7">
        <v>2.3530000000000002</v>
      </c>
      <c r="J13" s="7">
        <v>3.5630000000000002</v>
      </c>
      <c r="K13" s="7">
        <v>3.2730000000000001</v>
      </c>
      <c r="L13" s="7">
        <v>0.77400000000000002</v>
      </c>
      <c r="M13" s="7">
        <v>4.4710000000000001</v>
      </c>
      <c r="N13" s="7">
        <v>4.242</v>
      </c>
      <c r="O13" s="7">
        <v>3.629</v>
      </c>
      <c r="P13" s="7">
        <v>0.77</v>
      </c>
      <c r="Q13" s="7">
        <v>2.93</v>
      </c>
    </row>
    <row r="14" spans="1:17">
      <c r="A14" s="2">
        <v>1962</v>
      </c>
      <c r="B14" s="7">
        <v>1.8680000000000001</v>
      </c>
      <c r="C14" s="7">
        <v>2.7850000000000001</v>
      </c>
      <c r="D14" s="7">
        <v>2.7309999999999999</v>
      </c>
      <c r="E14" s="7">
        <v>3.234</v>
      </c>
      <c r="F14" s="7">
        <v>1.143</v>
      </c>
      <c r="G14" s="7">
        <v>2.9089999999999998</v>
      </c>
      <c r="H14" s="7">
        <v>2.7869999999999999</v>
      </c>
      <c r="I14" s="7">
        <v>2.3530000000000002</v>
      </c>
      <c r="J14" s="7">
        <v>3.5630000000000002</v>
      </c>
      <c r="K14" s="7">
        <v>3.2730000000000001</v>
      </c>
      <c r="L14" s="7">
        <v>0.77400000000000002</v>
      </c>
      <c r="M14" s="7">
        <v>4.4710000000000001</v>
      </c>
      <c r="N14" s="7">
        <v>4.242</v>
      </c>
      <c r="O14" s="7">
        <v>3.629</v>
      </c>
      <c r="P14" s="7">
        <v>0.77</v>
      </c>
      <c r="Q14" s="7">
        <v>2.93</v>
      </c>
    </row>
    <row r="15" spans="1:17">
      <c r="A15" s="2">
        <v>1963</v>
      </c>
      <c r="B15" s="7">
        <v>1.8680000000000001</v>
      </c>
      <c r="C15" s="7">
        <v>2.7850000000000001</v>
      </c>
      <c r="D15" s="7">
        <v>2.7309999999999999</v>
      </c>
      <c r="E15" s="7">
        <v>3.234</v>
      </c>
      <c r="F15" s="7">
        <v>1.143</v>
      </c>
      <c r="G15" s="7">
        <v>2.9089999999999998</v>
      </c>
      <c r="H15" s="7">
        <v>2.7869999999999999</v>
      </c>
      <c r="I15" s="7">
        <v>2.3530000000000002</v>
      </c>
      <c r="J15" s="7">
        <v>3.5630000000000002</v>
      </c>
      <c r="K15" s="7">
        <v>3.2730000000000001</v>
      </c>
      <c r="L15" s="7">
        <v>0.77400000000000002</v>
      </c>
      <c r="M15" s="7">
        <v>4.4710000000000001</v>
      </c>
      <c r="N15" s="7">
        <v>4.242</v>
      </c>
      <c r="O15" s="7">
        <v>3.629</v>
      </c>
      <c r="P15" s="7">
        <v>0.77</v>
      </c>
      <c r="Q15" s="7">
        <v>2.93</v>
      </c>
    </row>
    <row r="16" spans="1:17">
      <c r="A16" s="2">
        <v>1964</v>
      </c>
      <c r="B16" s="7">
        <v>1.8680000000000001</v>
      </c>
      <c r="C16" s="7">
        <v>2.7850000000000001</v>
      </c>
      <c r="D16" s="7">
        <v>2.7309999999999999</v>
      </c>
      <c r="E16" s="7">
        <v>3.234</v>
      </c>
      <c r="F16" s="7">
        <v>1.143</v>
      </c>
      <c r="G16" s="7">
        <v>2.9089999999999998</v>
      </c>
      <c r="H16" s="7">
        <v>2.7869999999999999</v>
      </c>
      <c r="I16" s="7">
        <v>2.3530000000000002</v>
      </c>
      <c r="J16" s="7">
        <v>3.5630000000000002</v>
      </c>
      <c r="K16" s="7">
        <v>3.2730000000000001</v>
      </c>
      <c r="L16" s="7">
        <v>0.77400000000000002</v>
      </c>
      <c r="M16" s="7">
        <v>4.4710000000000001</v>
      </c>
      <c r="N16" s="7">
        <v>4.242</v>
      </c>
      <c r="O16" s="7">
        <v>3.629</v>
      </c>
      <c r="P16" s="7">
        <v>0.77</v>
      </c>
      <c r="Q16" s="7">
        <v>2.93</v>
      </c>
    </row>
    <row r="17" spans="1:17">
      <c r="A17" s="2">
        <v>1965</v>
      </c>
      <c r="B17" s="7">
        <v>1.8680000000000001</v>
      </c>
      <c r="C17" s="7">
        <v>2.7850000000000001</v>
      </c>
      <c r="D17" s="7">
        <v>2.7309999999999999</v>
      </c>
      <c r="E17" s="7">
        <v>3.234</v>
      </c>
      <c r="F17" s="7">
        <v>1.143</v>
      </c>
      <c r="G17" s="7">
        <v>2.9089999999999998</v>
      </c>
      <c r="H17" s="7">
        <v>2.7869999999999999</v>
      </c>
      <c r="I17" s="7">
        <v>2.3530000000000002</v>
      </c>
      <c r="J17" s="7">
        <v>3.5630000000000002</v>
      </c>
      <c r="K17" s="7">
        <v>3.2730000000000001</v>
      </c>
      <c r="L17" s="7">
        <v>0.77400000000000002</v>
      </c>
      <c r="M17" s="7">
        <v>4.4710000000000001</v>
      </c>
      <c r="N17" s="7">
        <v>4.242</v>
      </c>
      <c r="O17" s="7">
        <v>3.629</v>
      </c>
      <c r="P17" s="7">
        <v>0.77</v>
      </c>
      <c r="Q17" s="7">
        <v>2.93</v>
      </c>
    </row>
    <row r="18" spans="1:17">
      <c r="A18" s="2">
        <v>1966</v>
      </c>
      <c r="B18" s="7">
        <v>1.8680000000000001</v>
      </c>
      <c r="C18" s="7">
        <v>2.7850000000000001</v>
      </c>
      <c r="D18" s="7">
        <v>2.7309999999999999</v>
      </c>
      <c r="E18" s="7">
        <v>3.234</v>
      </c>
      <c r="F18" s="7">
        <v>1.143</v>
      </c>
      <c r="G18" s="7">
        <v>2.9089999999999998</v>
      </c>
      <c r="H18" s="7">
        <v>2.7869999999999999</v>
      </c>
      <c r="I18" s="7">
        <v>2.3530000000000002</v>
      </c>
      <c r="J18" s="7">
        <v>3.5630000000000002</v>
      </c>
      <c r="K18" s="7">
        <v>3.2730000000000001</v>
      </c>
      <c r="L18" s="7">
        <v>0.77400000000000002</v>
      </c>
      <c r="M18" s="7">
        <v>4.4710000000000001</v>
      </c>
      <c r="N18" s="7">
        <v>4.242</v>
      </c>
      <c r="O18" s="7">
        <v>3.629</v>
      </c>
      <c r="P18" s="7">
        <v>0.77</v>
      </c>
      <c r="Q18" s="7">
        <v>2.93</v>
      </c>
    </row>
    <row r="19" spans="1:17">
      <c r="A19" s="2">
        <v>1967</v>
      </c>
      <c r="B19" s="7">
        <v>1.8680000000000001</v>
      </c>
      <c r="C19" s="7">
        <v>2.7850000000000001</v>
      </c>
      <c r="D19" s="7">
        <v>2.7309999999999999</v>
      </c>
      <c r="E19" s="7">
        <v>3.234</v>
      </c>
      <c r="F19" s="7">
        <v>1.143</v>
      </c>
      <c r="G19" s="7">
        <v>2.9089999999999998</v>
      </c>
      <c r="H19" s="7">
        <v>2.7869999999999999</v>
      </c>
      <c r="I19" s="7">
        <v>2.3530000000000002</v>
      </c>
      <c r="J19" s="7">
        <v>3.5630000000000002</v>
      </c>
      <c r="K19" s="7">
        <v>3.2730000000000001</v>
      </c>
      <c r="L19" s="7">
        <v>0.77400000000000002</v>
      </c>
      <c r="M19" s="7">
        <v>4.4710000000000001</v>
      </c>
      <c r="N19" s="7">
        <v>4.242</v>
      </c>
      <c r="O19" s="7">
        <v>3.629</v>
      </c>
      <c r="P19" s="7">
        <v>0.77</v>
      </c>
      <c r="Q19" s="7">
        <v>2.93</v>
      </c>
    </row>
    <row r="20" spans="1:17">
      <c r="A20" s="2">
        <v>1968</v>
      </c>
      <c r="B20" s="7">
        <v>1.8680000000000001</v>
      </c>
      <c r="C20" s="7">
        <v>2.7850000000000001</v>
      </c>
      <c r="D20" s="7">
        <v>2.7309999999999999</v>
      </c>
      <c r="E20" s="7">
        <v>3.234</v>
      </c>
      <c r="F20" s="7">
        <v>1.143</v>
      </c>
      <c r="G20" s="7">
        <v>2.9089999999999998</v>
      </c>
      <c r="H20" s="7">
        <v>2.7869999999999999</v>
      </c>
      <c r="I20" s="7">
        <v>2.3530000000000002</v>
      </c>
      <c r="J20" s="7">
        <v>3.5630000000000002</v>
      </c>
      <c r="K20" s="7">
        <v>3.2730000000000001</v>
      </c>
      <c r="L20" s="7">
        <v>0.77400000000000002</v>
      </c>
      <c r="M20" s="7">
        <v>4.4710000000000001</v>
      </c>
      <c r="N20" s="7">
        <v>4.242</v>
      </c>
      <c r="O20" s="7">
        <v>3.629</v>
      </c>
      <c r="P20" s="7">
        <v>0.77</v>
      </c>
      <c r="Q20" s="7">
        <v>2.93</v>
      </c>
    </row>
    <row r="21" spans="1:17">
      <c r="A21" s="2">
        <v>1969</v>
      </c>
      <c r="B21" s="7">
        <v>1.8680000000000001</v>
      </c>
      <c r="C21" s="7">
        <v>2.7850000000000001</v>
      </c>
      <c r="D21" s="7">
        <v>2.7309999999999999</v>
      </c>
      <c r="E21" s="7">
        <v>3.234</v>
      </c>
      <c r="F21" s="7">
        <v>1.143</v>
      </c>
      <c r="G21" s="7">
        <v>2.9089999999999998</v>
      </c>
      <c r="H21" s="7">
        <v>2.7869999999999999</v>
      </c>
      <c r="I21" s="7">
        <v>2.3530000000000002</v>
      </c>
      <c r="J21" s="7">
        <v>3.5630000000000002</v>
      </c>
      <c r="K21" s="7">
        <v>3.2730000000000001</v>
      </c>
      <c r="L21" s="7">
        <v>0.77400000000000002</v>
      </c>
      <c r="M21" s="7">
        <v>4.4710000000000001</v>
      </c>
      <c r="N21" s="7">
        <v>4.242</v>
      </c>
      <c r="O21" s="7">
        <v>3.629</v>
      </c>
      <c r="P21" s="7">
        <v>0.77</v>
      </c>
      <c r="Q21" s="7">
        <v>2.93</v>
      </c>
    </row>
    <row r="22" spans="1:17">
      <c r="A22" s="2">
        <v>1970</v>
      </c>
      <c r="B22" s="7">
        <v>1.8680000000000001</v>
      </c>
      <c r="C22" s="7">
        <v>2.7850000000000001</v>
      </c>
      <c r="D22" s="7">
        <v>2.7309999999999999</v>
      </c>
      <c r="E22" s="7">
        <v>3.234</v>
      </c>
      <c r="F22" s="7">
        <v>1.143</v>
      </c>
      <c r="G22" s="7">
        <v>2.9089999999999998</v>
      </c>
      <c r="H22" s="7">
        <v>2.7869999999999999</v>
      </c>
      <c r="I22" s="7">
        <v>2.3530000000000002</v>
      </c>
      <c r="J22" s="7">
        <v>3.5630000000000002</v>
      </c>
      <c r="K22" s="7">
        <v>3.2730000000000001</v>
      </c>
      <c r="L22" s="7">
        <v>0.77400000000000002</v>
      </c>
      <c r="M22" s="7">
        <v>4.4710000000000001</v>
      </c>
      <c r="N22" s="7">
        <v>4.242</v>
      </c>
      <c r="O22" s="7">
        <v>3.629</v>
      </c>
      <c r="P22" s="7">
        <v>0.77</v>
      </c>
      <c r="Q22" s="7">
        <v>2.93</v>
      </c>
    </row>
    <row r="23" spans="1:17">
      <c r="A23" s="2">
        <v>1971</v>
      </c>
      <c r="B23" s="7">
        <v>1.8680000000000001</v>
      </c>
      <c r="C23" s="7">
        <v>2.7850000000000001</v>
      </c>
      <c r="D23" s="7">
        <v>2.7309999999999999</v>
      </c>
      <c r="E23" s="7">
        <v>3.234</v>
      </c>
      <c r="F23" s="7">
        <v>1.143</v>
      </c>
      <c r="G23" s="7">
        <v>2.9089999999999998</v>
      </c>
      <c r="H23" s="7">
        <v>2.7869999999999999</v>
      </c>
      <c r="I23" s="7">
        <v>2.3530000000000002</v>
      </c>
      <c r="J23" s="7">
        <v>3.5630000000000002</v>
      </c>
      <c r="K23" s="7">
        <v>3.2730000000000001</v>
      </c>
      <c r="L23" s="7">
        <v>0.77400000000000002</v>
      </c>
      <c r="M23" s="7">
        <v>4.4710000000000001</v>
      </c>
      <c r="N23" s="7">
        <v>4.242</v>
      </c>
      <c r="O23" s="7">
        <v>3.629</v>
      </c>
      <c r="P23" s="7">
        <v>0.77</v>
      </c>
      <c r="Q23" s="7">
        <v>2.93</v>
      </c>
    </row>
    <row r="24" spans="1:17">
      <c r="A24" s="2">
        <v>1972</v>
      </c>
      <c r="B24" s="7">
        <v>1.8680000000000001</v>
      </c>
      <c r="C24" s="7">
        <v>2.7850000000000001</v>
      </c>
      <c r="D24" s="7">
        <v>2.7309999999999999</v>
      </c>
      <c r="E24" s="7">
        <v>3.234</v>
      </c>
      <c r="F24" s="7">
        <v>1.143</v>
      </c>
      <c r="G24" s="7">
        <v>2.9089999999999998</v>
      </c>
      <c r="H24" s="7">
        <v>2.7869999999999999</v>
      </c>
      <c r="I24" s="7">
        <v>2.3530000000000002</v>
      </c>
      <c r="J24" s="7">
        <v>3.5630000000000002</v>
      </c>
      <c r="K24" s="7">
        <v>3.2730000000000001</v>
      </c>
      <c r="L24" s="7">
        <v>0.77400000000000002</v>
      </c>
      <c r="M24" s="7">
        <v>4.4710000000000001</v>
      </c>
      <c r="N24" s="7">
        <v>4.242</v>
      </c>
      <c r="O24" s="7">
        <v>3.629</v>
      </c>
      <c r="P24" s="7">
        <v>0.77</v>
      </c>
      <c r="Q24" s="7">
        <v>2.93</v>
      </c>
    </row>
    <row r="25" spans="1:17">
      <c r="A25" s="2">
        <v>1973</v>
      </c>
      <c r="B25" s="7">
        <v>1.8680000000000001</v>
      </c>
      <c r="C25" s="7">
        <v>2.7850000000000001</v>
      </c>
      <c r="D25" s="7">
        <v>2.7309999999999999</v>
      </c>
      <c r="E25" s="7">
        <v>3.234</v>
      </c>
      <c r="F25" s="7">
        <v>1.143</v>
      </c>
      <c r="G25" s="7">
        <v>2.9089999999999998</v>
      </c>
      <c r="H25" s="7">
        <v>2.7869999999999999</v>
      </c>
      <c r="I25" s="7">
        <v>2.3530000000000002</v>
      </c>
      <c r="J25" s="7">
        <v>3.5630000000000002</v>
      </c>
      <c r="K25" s="7">
        <v>3.2730000000000001</v>
      </c>
      <c r="L25" s="7">
        <v>0.77400000000000002</v>
      </c>
      <c r="M25" s="7">
        <v>4.4710000000000001</v>
      </c>
      <c r="N25" s="7">
        <v>4.242</v>
      </c>
      <c r="O25" s="7">
        <v>3.629</v>
      </c>
      <c r="P25" s="7">
        <v>0.77</v>
      </c>
      <c r="Q25" s="7">
        <v>2.93</v>
      </c>
    </row>
    <row r="26" spans="1:17">
      <c r="A26" s="2">
        <v>1974</v>
      </c>
      <c r="B26" s="7">
        <v>1.8680000000000001</v>
      </c>
      <c r="C26" s="7">
        <v>2.7850000000000001</v>
      </c>
      <c r="D26" s="7">
        <v>2.7309999999999999</v>
      </c>
      <c r="E26" s="7">
        <v>3.234</v>
      </c>
      <c r="F26" s="7">
        <v>1.143</v>
      </c>
      <c r="G26" s="7">
        <v>2.9089999999999998</v>
      </c>
      <c r="H26" s="7">
        <v>2.7869999999999999</v>
      </c>
      <c r="I26" s="7">
        <v>2.3530000000000002</v>
      </c>
      <c r="J26" s="7">
        <v>3.5630000000000002</v>
      </c>
      <c r="K26" s="7">
        <v>3.2730000000000001</v>
      </c>
      <c r="L26" s="7">
        <v>0.77400000000000002</v>
      </c>
      <c r="M26" s="7">
        <v>4.4710000000000001</v>
      </c>
      <c r="N26" s="7">
        <v>4.242</v>
      </c>
      <c r="O26" s="7">
        <v>3.629</v>
      </c>
      <c r="P26" s="7">
        <v>0.77</v>
      </c>
      <c r="Q26" s="7">
        <v>2.93</v>
      </c>
    </row>
    <row r="27" spans="1:17">
      <c r="A27" s="2">
        <v>1975</v>
      </c>
      <c r="B27" s="7">
        <v>1.8680000000000001</v>
      </c>
      <c r="C27" s="7">
        <v>2.7850000000000001</v>
      </c>
      <c r="D27" s="7">
        <v>2.7309999999999999</v>
      </c>
      <c r="E27" s="7">
        <v>3.234</v>
      </c>
      <c r="F27" s="7">
        <v>1.143</v>
      </c>
      <c r="G27" s="7">
        <v>2.9089999999999998</v>
      </c>
      <c r="H27" s="7">
        <v>2.7869999999999999</v>
      </c>
      <c r="I27" s="7">
        <v>2.3530000000000002</v>
      </c>
      <c r="J27" s="7">
        <v>3.5630000000000002</v>
      </c>
      <c r="K27" s="7">
        <v>3.2730000000000001</v>
      </c>
      <c r="L27" s="7">
        <v>0.77400000000000002</v>
      </c>
      <c r="M27" s="7">
        <v>4.4710000000000001</v>
      </c>
      <c r="N27" s="7">
        <v>4.242</v>
      </c>
      <c r="O27" s="7">
        <v>3.629</v>
      </c>
      <c r="P27" s="7">
        <v>0.77</v>
      </c>
      <c r="Q27" s="7">
        <v>2.93</v>
      </c>
    </row>
    <row r="28" spans="1:17">
      <c r="A28" s="2">
        <v>1976</v>
      </c>
      <c r="B28" s="7">
        <v>1.8680000000000001</v>
      </c>
      <c r="C28" s="7">
        <v>2.7850000000000001</v>
      </c>
      <c r="D28" s="7">
        <v>2.7309999999999999</v>
      </c>
      <c r="E28" s="7">
        <v>3.234</v>
      </c>
      <c r="F28" s="7">
        <v>1.143</v>
      </c>
      <c r="G28" s="7">
        <v>2.9089999999999998</v>
      </c>
      <c r="H28" s="7">
        <v>2.7869999999999999</v>
      </c>
      <c r="I28" s="7">
        <v>2.3530000000000002</v>
      </c>
      <c r="J28" s="7">
        <v>3.5630000000000002</v>
      </c>
      <c r="K28" s="7">
        <v>3.2730000000000001</v>
      </c>
      <c r="L28" s="7">
        <v>0.77400000000000002</v>
      </c>
      <c r="M28" s="7">
        <v>4.4710000000000001</v>
      </c>
      <c r="N28" s="7">
        <v>4.242</v>
      </c>
      <c r="O28" s="7">
        <v>3.629</v>
      </c>
      <c r="P28" s="7">
        <v>0.77</v>
      </c>
      <c r="Q28" s="7">
        <v>2.93</v>
      </c>
    </row>
    <row r="29" spans="1:17">
      <c r="A29" s="2">
        <v>1977</v>
      </c>
      <c r="B29" s="7">
        <v>1.8680000000000001</v>
      </c>
      <c r="C29" s="7">
        <v>2.7850000000000001</v>
      </c>
      <c r="D29" s="7">
        <v>2.7309999999999999</v>
      </c>
      <c r="E29" s="7">
        <v>3.234</v>
      </c>
      <c r="F29" s="7">
        <v>1.143</v>
      </c>
      <c r="G29" s="7">
        <v>2.9089999999999998</v>
      </c>
      <c r="H29" s="7">
        <v>2.7869999999999999</v>
      </c>
      <c r="I29" s="7">
        <v>2.3530000000000002</v>
      </c>
      <c r="J29" s="7">
        <v>3.5630000000000002</v>
      </c>
      <c r="K29" s="7">
        <v>3.2730000000000001</v>
      </c>
      <c r="L29" s="7">
        <v>0.77400000000000002</v>
      </c>
      <c r="M29" s="7">
        <v>4.4710000000000001</v>
      </c>
      <c r="N29" s="7">
        <v>4.242</v>
      </c>
      <c r="O29" s="7">
        <v>3.629</v>
      </c>
      <c r="P29" s="7">
        <v>0.77</v>
      </c>
      <c r="Q29" s="7">
        <v>2.93</v>
      </c>
    </row>
    <row r="30" spans="1:17">
      <c r="A30" s="2">
        <v>1978</v>
      </c>
      <c r="B30" s="7">
        <v>1.8680000000000001</v>
      </c>
      <c r="C30" s="7">
        <v>2.7850000000000001</v>
      </c>
      <c r="D30" s="7">
        <v>2.7309999999999999</v>
      </c>
      <c r="E30" s="7">
        <v>3.234</v>
      </c>
      <c r="F30" s="7">
        <v>1.143</v>
      </c>
      <c r="G30" s="7">
        <v>2.9089999999999998</v>
      </c>
      <c r="H30" s="7">
        <v>2.7869999999999999</v>
      </c>
      <c r="I30" s="7">
        <v>2.3530000000000002</v>
      </c>
      <c r="J30" s="7">
        <v>3.5630000000000002</v>
      </c>
      <c r="K30" s="7">
        <v>3.2730000000000001</v>
      </c>
      <c r="L30" s="7">
        <v>0.77400000000000002</v>
      </c>
      <c r="M30" s="7">
        <v>4.4710000000000001</v>
      </c>
      <c r="N30" s="7">
        <v>4.242</v>
      </c>
      <c r="O30" s="7">
        <v>3.629</v>
      </c>
      <c r="P30" s="7">
        <v>0.77</v>
      </c>
      <c r="Q30" s="7">
        <v>2.93</v>
      </c>
    </row>
    <row r="31" spans="1:17">
      <c r="A31" s="2">
        <v>1979</v>
      </c>
      <c r="B31" s="7">
        <v>1.8680000000000001</v>
      </c>
      <c r="C31" s="7">
        <v>2.7850000000000001</v>
      </c>
      <c r="D31" s="7">
        <v>2.7309999999999999</v>
      </c>
      <c r="E31" s="7">
        <v>3.234</v>
      </c>
      <c r="F31" s="7">
        <v>1.143</v>
      </c>
      <c r="G31" s="7">
        <v>2.9089999999999998</v>
      </c>
      <c r="H31" s="7">
        <v>2.7869999999999999</v>
      </c>
      <c r="I31" s="7">
        <v>2.3530000000000002</v>
      </c>
      <c r="J31" s="7">
        <v>3.5630000000000002</v>
      </c>
      <c r="K31" s="7">
        <v>3.2730000000000001</v>
      </c>
      <c r="L31" s="7">
        <v>0.77400000000000002</v>
      </c>
      <c r="M31" s="7">
        <v>4.4710000000000001</v>
      </c>
      <c r="N31" s="7">
        <v>4.242</v>
      </c>
      <c r="O31" s="7">
        <v>3.629</v>
      </c>
      <c r="P31" s="7">
        <v>0.77</v>
      </c>
      <c r="Q31" s="7">
        <v>2.93</v>
      </c>
    </row>
    <row r="32" spans="1:17">
      <c r="A32" s="2">
        <v>1980</v>
      </c>
      <c r="B32" s="7">
        <v>3.2389999999999999</v>
      </c>
      <c r="C32" s="7">
        <v>3.1309999999999998</v>
      </c>
      <c r="D32" s="7">
        <v>4.5419999999999998</v>
      </c>
      <c r="E32" s="7">
        <v>7.13</v>
      </c>
      <c r="F32" s="7">
        <v>2</v>
      </c>
      <c r="G32" s="7">
        <v>1.39</v>
      </c>
      <c r="H32" s="7">
        <v>4.0750000000000002</v>
      </c>
      <c r="I32" s="7">
        <v>-0.96699999999999997</v>
      </c>
      <c r="J32" s="7">
        <v>-1.7090000000000001</v>
      </c>
      <c r="K32" s="7">
        <v>-2.0459999999999998</v>
      </c>
      <c r="L32" s="7">
        <v>7.0330000000000004</v>
      </c>
      <c r="M32" s="7">
        <v>7.0270000000000001</v>
      </c>
      <c r="N32" s="7">
        <v>14.12</v>
      </c>
      <c r="O32" s="7">
        <v>2.7530000000000001</v>
      </c>
      <c r="P32" s="7">
        <v>-1.96</v>
      </c>
      <c r="Q32" s="7">
        <v>1.29</v>
      </c>
    </row>
    <row r="33" spans="1:17">
      <c r="A33" s="2">
        <v>1981</v>
      </c>
      <c r="B33" s="7">
        <v>3.2389999999999999</v>
      </c>
      <c r="C33" s="7">
        <v>3.1309999999999998</v>
      </c>
      <c r="D33" s="7">
        <v>4.5419999999999998</v>
      </c>
      <c r="E33" s="7">
        <v>7.13</v>
      </c>
      <c r="F33" s="7">
        <v>2</v>
      </c>
      <c r="G33" s="7">
        <v>1.39</v>
      </c>
      <c r="H33" s="7">
        <v>4.0750000000000002</v>
      </c>
      <c r="I33" s="7">
        <v>-0.96699999999999997</v>
      </c>
      <c r="J33" s="7">
        <v>-1.7090000000000001</v>
      </c>
      <c r="K33" s="7">
        <v>-2.0459999999999998</v>
      </c>
      <c r="L33" s="7">
        <v>7.0330000000000004</v>
      </c>
      <c r="M33" s="7">
        <v>7.0270000000000001</v>
      </c>
      <c r="N33" s="7">
        <v>14.12</v>
      </c>
      <c r="O33" s="7">
        <v>2.7530000000000001</v>
      </c>
      <c r="P33" s="7">
        <v>-1.96</v>
      </c>
      <c r="Q33" s="7">
        <v>1.29</v>
      </c>
    </row>
    <row r="34" spans="1:17">
      <c r="A34" s="2">
        <v>1982</v>
      </c>
      <c r="B34" s="7">
        <v>3.2389999999999999</v>
      </c>
      <c r="C34" s="7">
        <v>3.1309999999999998</v>
      </c>
      <c r="D34" s="7">
        <v>4.5419999999999998</v>
      </c>
      <c r="E34" s="7">
        <v>7.13</v>
      </c>
      <c r="F34" s="7">
        <v>2</v>
      </c>
      <c r="G34" s="7">
        <v>1.39</v>
      </c>
      <c r="H34" s="7">
        <v>4.0750000000000002</v>
      </c>
      <c r="I34" s="7">
        <v>-0.96699999999999997</v>
      </c>
      <c r="J34" s="7">
        <v>-1.7090000000000001</v>
      </c>
      <c r="K34" s="7">
        <v>-2.0459999999999998</v>
      </c>
      <c r="L34" s="7">
        <v>7.0330000000000004</v>
      </c>
      <c r="M34" s="7">
        <v>7.0270000000000001</v>
      </c>
      <c r="N34" s="7">
        <v>14.12</v>
      </c>
      <c r="O34" s="7">
        <v>2.7530000000000001</v>
      </c>
      <c r="P34" s="7">
        <v>-1.96</v>
      </c>
      <c r="Q34" s="7">
        <v>1.29</v>
      </c>
    </row>
    <row r="35" spans="1:17">
      <c r="A35" s="2">
        <v>1983</v>
      </c>
      <c r="B35" s="7">
        <v>3.2389999999999999</v>
      </c>
      <c r="C35" s="7">
        <v>3.1309999999999998</v>
      </c>
      <c r="D35" s="7">
        <v>4.5419999999999998</v>
      </c>
      <c r="E35" s="7">
        <v>7.13</v>
      </c>
      <c r="F35" s="7">
        <v>2</v>
      </c>
      <c r="G35" s="7">
        <v>1.39</v>
      </c>
      <c r="H35" s="7">
        <v>4.0750000000000002</v>
      </c>
      <c r="I35" s="7">
        <v>-0.96699999999999997</v>
      </c>
      <c r="J35" s="7">
        <v>-1.7090000000000001</v>
      </c>
      <c r="K35" s="7">
        <v>-2.0459999999999998</v>
      </c>
      <c r="L35" s="7">
        <v>7.0330000000000004</v>
      </c>
      <c r="M35" s="7">
        <v>7.0270000000000001</v>
      </c>
      <c r="N35" s="7">
        <v>14.12</v>
      </c>
      <c r="O35" s="7">
        <v>2.7530000000000001</v>
      </c>
      <c r="P35" s="7">
        <v>-1.96</v>
      </c>
      <c r="Q35" s="7">
        <v>1.29</v>
      </c>
    </row>
    <row r="36" spans="1:17">
      <c r="A36" s="2">
        <v>1984</v>
      </c>
      <c r="B36" s="7">
        <v>3.2389999999999999</v>
      </c>
      <c r="C36" s="7">
        <v>3.1309999999999998</v>
      </c>
      <c r="D36" s="7">
        <v>4.5419999999999998</v>
      </c>
      <c r="E36" s="7">
        <v>7.13</v>
      </c>
      <c r="F36" s="7">
        <v>2</v>
      </c>
      <c r="G36" s="7">
        <v>1.39</v>
      </c>
      <c r="H36" s="7">
        <v>4.0750000000000002</v>
      </c>
      <c r="I36" s="7">
        <v>-0.96699999999999997</v>
      </c>
      <c r="J36" s="7">
        <v>-1.7090000000000001</v>
      </c>
      <c r="K36" s="7">
        <v>-2.0459999999999998</v>
      </c>
      <c r="L36" s="7">
        <v>7.0330000000000004</v>
      </c>
      <c r="M36" s="7">
        <v>7.0270000000000001</v>
      </c>
      <c r="N36" s="7">
        <v>14.12</v>
      </c>
      <c r="O36" s="7">
        <v>2.7530000000000001</v>
      </c>
      <c r="P36" s="7">
        <v>-1.96</v>
      </c>
      <c r="Q36" s="7">
        <v>1.29</v>
      </c>
    </row>
    <row r="37" spans="1:17">
      <c r="A37" s="2">
        <v>1985</v>
      </c>
      <c r="B37" s="7">
        <v>3.2389999999999999</v>
      </c>
      <c r="C37" s="7">
        <v>3.1309999999999998</v>
      </c>
      <c r="D37" s="7">
        <v>4.5419999999999998</v>
      </c>
      <c r="E37" s="7">
        <v>7.13</v>
      </c>
      <c r="F37" s="7">
        <v>2</v>
      </c>
      <c r="G37" s="7">
        <v>1.39</v>
      </c>
      <c r="H37" s="7">
        <v>4.0750000000000002</v>
      </c>
      <c r="I37" s="7">
        <v>-0.96699999999999997</v>
      </c>
      <c r="J37" s="7">
        <v>-1.7090000000000001</v>
      </c>
      <c r="K37" s="7">
        <v>-2.0459999999999998</v>
      </c>
      <c r="L37" s="7">
        <v>7.0330000000000004</v>
      </c>
      <c r="M37" s="7">
        <v>7.0270000000000001</v>
      </c>
      <c r="N37" s="7">
        <v>14.12</v>
      </c>
      <c r="O37" s="7">
        <v>2.7530000000000001</v>
      </c>
      <c r="P37" s="7">
        <v>-1.96</v>
      </c>
      <c r="Q37" s="7">
        <v>1.29</v>
      </c>
    </row>
    <row r="38" spans="1:17">
      <c r="A38" s="2">
        <v>1986</v>
      </c>
      <c r="B38" s="7">
        <v>3.2389999999999999</v>
      </c>
      <c r="C38" s="7">
        <v>3.1309999999999998</v>
      </c>
      <c r="D38" s="7">
        <v>4.5419999999999998</v>
      </c>
      <c r="E38" s="7">
        <v>7.13</v>
      </c>
      <c r="F38" s="7">
        <v>2</v>
      </c>
      <c r="G38" s="7">
        <v>1.39</v>
      </c>
      <c r="H38" s="7">
        <v>4.0750000000000002</v>
      </c>
      <c r="I38" s="7">
        <v>-0.96699999999999997</v>
      </c>
      <c r="J38" s="7">
        <v>-1.7090000000000001</v>
      </c>
      <c r="K38" s="7">
        <v>-2.0459999999999998</v>
      </c>
      <c r="L38" s="7">
        <v>7.0330000000000004</v>
      </c>
      <c r="M38" s="7">
        <v>7.0270000000000001</v>
      </c>
      <c r="N38" s="7">
        <v>14.12</v>
      </c>
      <c r="O38" s="7">
        <v>2.7530000000000001</v>
      </c>
      <c r="P38" s="7">
        <v>-1.96</v>
      </c>
      <c r="Q38" s="7">
        <v>1.29</v>
      </c>
    </row>
    <row r="39" spans="1:17">
      <c r="A39" s="2">
        <v>1987</v>
      </c>
      <c r="B39" s="7">
        <v>3.2389999999999999</v>
      </c>
      <c r="C39" s="7">
        <v>3.1309999999999998</v>
      </c>
      <c r="D39" s="7">
        <v>4.5419999999999998</v>
      </c>
      <c r="E39" s="7">
        <v>7.13</v>
      </c>
      <c r="F39" s="7">
        <v>2</v>
      </c>
      <c r="G39" s="7">
        <v>1.39</v>
      </c>
      <c r="H39" s="7">
        <v>4.0750000000000002</v>
      </c>
      <c r="I39" s="7">
        <v>-0.96699999999999997</v>
      </c>
      <c r="J39" s="7">
        <v>-1.7090000000000001</v>
      </c>
      <c r="K39" s="7">
        <v>-2.0459999999999998</v>
      </c>
      <c r="L39" s="7">
        <v>7.0330000000000004</v>
      </c>
      <c r="M39" s="7">
        <v>7.0270000000000001</v>
      </c>
      <c r="N39" s="7">
        <v>14.12</v>
      </c>
      <c r="O39" s="7">
        <v>2.7530000000000001</v>
      </c>
      <c r="P39" s="7">
        <v>-1.96</v>
      </c>
      <c r="Q39" s="7">
        <v>1.29</v>
      </c>
    </row>
    <row r="40" spans="1:17">
      <c r="A40" s="2">
        <v>1988</v>
      </c>
      <c r="B40" s="7">
        <v>3.2389999999999999</v>
      </c>
      <c r="C40" s="7">
        <v>3.1309999999999998</v>
      </c>
      <c r="D40" s="7">
        <v>4.5419999999999998</v>
      </c>
      <c r="E40" s="7">
        <v>7.13</v>
      </c>
      <c r="F40" s="7">
        <v>2</v>
      </c>
      <c r="G40" s="7">
        <v>1.39</v>
      </c>
      <c r="H40" s="7">
        <v>4.0750000000000002</v>
      </c>
      <c r="I40" s="7">
        <v>-0.96699999999999997</v>
      </c>
      <c r="J40" s="7">
        <v>-1.7090000000000001</v>
      </c>
      <c r="K40" s="7">
        <v>-2.0459999999999998</v>
      </c>
      <c r="L40" s="7">
        <v>7.0330000000000004</v>
      </c>
      <c r="M40" s="7">
        <v>7.0270000000000001</v>
      </c>
      <c r="N40" s="7">
        <v>14.12</v>
      </c>
      <c r="O40" s="7">
        <v>2.7530000000000001</v>
      </c>
      <c r="P40" s="7">
        <v>-1.96</v>
      </c>
      <c r="Q40" s="7">
        <v>1.29</v>
      </c>
    </row>
    <row r="41" spans="1:17">
      <c r="A41" s="2">
        <v>1989</v>
      </c>
      <c r="B41" s="7">
        <v>3.2389999999999999</v>
      </c>
      <c r="C41" s="7">
        <v>3.1309999999999998</v>
      </c>
      <c r="D41" s="7">
        <v>4.5419999999999998</v>
      </c>
      <c r="E41" s="7">
        <v>7.13</v>
      </c>
      <c r="F41" s="7">
        <v>2</v>
      </c>
      <c r="G41" s="7">
        <v>1.39</v>
      </c>
      <c r="H41" s="7">
        <v>4.0750000000000002</v>
      </c>
      <c r="I41" s="7">
        <v>-0.96699999999999997</v>
      </c>
      <c r="J41" s="7">
        <v>-1.7090000000000001</v>
      </c>
      <c r="K41" s="7">
        <v>-2.0459999999999998</v>
      </c>
      <c r="L41" s="7">
        <v>7.0330000000000004</v>
      </c>
      <c r="M41" s="7">
        <v>7.0270000000000001</v>
      </c>
      <c r="N41" s="7">
        <v>14.12</v>
      </c>
      <c r="O41" s="7">
        <v>2.7530000000000001</v>
      </c>
      <c r="P41" s="7">
        <v>-1.96</v>
      </c>
      <c r="Q41" s="7">
        <v>1.29</v>
      </c>
    </row>
    <row r="42" spans="1:17">
      <c r="A42" s="2">
        <v>1990</v>
      </c>
      <c r="B42" s="7">
        <v>1.079</v>
      </c>
      <c r="C42" s="7">
        <v>0.20899999999999999</v>
      </c>
      <c r="D42" s="7">
        <v>1.0760000000000001</v>
      </c>
      <c r="E42" s="7">
        <v>1.3779999999999999</v>
      </c>
      <c r="F42" s="7">
        <v>1.212</v>
      </c>
      <c r="G42" s="7">
        <v>-0.90200000000000002</v>
      </c>
      <c r="H42" s="7">
        <v>-10.349</v>
      </c>
      <c r="I42" s="7">
        <v>1.534</v>
      </c>
      <c r="J42" s="7">
        <v>-0.19500000000000001</v>
      </c>
      <c r="K42" s="7">
        <v>2.464</v>
      </c>
      <c r="L42" s="7">
        <v>3.052</v>
      </c>
      <c r="M42" s="7">
        <v>5.5670000000000002</v>
      </c>
      <c r="N42" s="7">
        <v>9.4060000000000006</v>
      </c>
      <c r="O42" s="7">
        <v>-6.9000000000000006E-2</v>
      </c>
      <c r="P42" s="7">
        <v>-1.44</v>
      </c>
      <c r="Q42" s="7">
        <v>0.87</v>
      </c>
    </row>
    <row r="43" spans="1:17">
      <c r="A43" s="2">
        <v>1991</v>
      </c>
      <c r="B43" s="7">
        <v>1.079</v>
      </c>
      <c r="C43" s="7">
        <v>0.20899999999999999</v>
      </c>
      <c r="D43" s="7">
        <v>1.0760000000000001</v>
      </c>
      <c r="E43" s="7">
        <v>1.3779999999999999</v>
      </c>
      <c r="F43" s="7">
        <v>1.212</v>
      </c>
      <c r="G43" s="7">
        <v>-0.90200000000000002</v>
      </c>
      <c r="H43" s="7">
        <v>-10.349</v>
      </c>
      <c r="I43" s="7">
        <v>1.534</v>
      </c>
      <c r="J43" s="7">
        <v>-0.19500000000000001</v>
      </c>
      <c r="K43" s="7">
        <v>2.464</v>
      </c>
      <c r="L43" s="7">
        <v>3.052</v>
      </c>
      <c r="M43" s="7">
        <v>5.5670000000000002</v>
      </c>
      <c r="N43" s="7">
        <v>9.4060000000000006</v>
      </c>
      <c r="O43" s="7">
        <v>-6.9000000000000006E-2</v>
      </c>
      <c r="P43" s="7">
        <v>-1.44</v>
      </c>
      <c r="Q43" s="7">
        <v>0.87</v>
      </c>
    </row>
    <row r="44" spans="1:17">
      <c r="A44" s="2">
        <v>1992</v>
      </c>
      <c r="B44" s="7">
        <v>1.079</v>
      </c>
      <c r="C44" s="7">
        <v>0.20899999999999999</v>
      </c>
      <c r="D44" s="7">
        <v>1.0760000000000001</v>
      </c>
      <c r="E44" s="7">
        <v>1.3779999999999999</v>
      </c>
      <c r="F44" s="7">
        <v>1.212</v>
      </c>
      <c r="G44" s="7">
        <v>-0.90200000000000002</v>
      </c>
      <c r="H44" s="7">
        <v>-10.349</v>
      </c>
      <c r="I44" s="7">
        <v>1.534</v>
      </c>
      <c r="J44" s="7">
        <v>-0.19500000000000001</v>
      </c>
      <c r="K44" s="7">
        <v>2.464</v>
      </c>
      <c r="L44" s="7">
        <v>3.052</v>
      </c>
      <c r="M44" s="7">
        <v>5.5670000000000002</v>
      </c>
      <c r="N44" s="7">
        <v>9.4060000000000006</v>
      </c>
      <c r="O44" s="7">
        <v>-6.9000000000000006E-2</v>
      </c>
      <c r="P44" s="7">
        <v>-1.44</v>
      </c>
      <c r="Q44" s="7">
        <v>0.87</v>
      </c>
    </row>
    <row r="45" spans="1:17">
      <c r="A45" s="2">
        <v>1993</v>
      </c>
      <c r="B45" s="7">
        <v>1.079</v>
      </c>
      <c r="C45" s="7">
        <v>0.20899999999999999</v>
      </c>
      <c r="D45" s="7">
        <v>1.0760000000000001</v>
      </c>
      <c r="E45" s="7">
        <v>1.3779999999999999</v>
      </c>
      <c r="F45" s="7">
        <v>1.212</v>
      </c>
      <c r="G45" s="7">
        <v>-0.90200000000000002</v>
      </c>
      <c r="H45" s="7">
        <v>-10.349</v>
      </c>
      <c r="I45" s="7">
        <v>1.534</v>
      </c>
      <c r="J45" s="7">
        <v>-0.19500000000000001</v>
      </c>
      <c r="K45" s="7">
        <v>2.464</v>
      </c>
      <c r="L45" s="7">
        <v>3.052</v>
      </c>
      <c r="M45" s="7">
        <v>5.5670000000000002</v>
      </c>
      <c r="N45" s="7">
        <v>9.4060000000000006</v>
      </c>
      <c r="O45" s="7">
        <v>-6.9000000000000006E-2</v>
      </c>
      <c r="P45" s="7">
        <v>-1.44</v>
      </c>
      <c r="Q45" s="7">
        <v>0.87</v>
      </c>
    </row>
    <row r="46" spans="1:17">
      <c r="A46" s="2">
        <v>1994</v>
      </c>
      <c r="B46" s="7">
        <v>1.079</v>
      </c>
      <c r="C46" s="7">
        <v>0.20899999999999999</v>
      </c>
      <c r="D46" s="7">
        <v>1.0760000000000001</v>
      </c>
      <c r="E46" s="7">
        <v>1.3779999999999999</v>
      </c>
      <c r="F46" s="7">
        <v>1.212</v>
      </c>
      <c r="G46" s="7">
        <v>-0.90200000000000002</v>
      </c>
      <c r="H46" s="7">
        <v>-10.349</v>
      </c>
      <c r="I46" s="7">
        <v>1.534</v>
      </c>
      <c r="J46" s="7">
        <v>-0.19500000000000001</v>
      </c>
      <c r="K46" s="7">
        <v>2.464</v>
      </c>
      <c r="L46" s="7">
        <v>3.052</v>
      </c>
      <c r="M46" s="7">
        <v>5.5670000000000002</v>
      </c>
      <c r="N46" s="7">
        <v>9.4060000000000006</v>
      </c>
      <c r="O46" s="7">
        <v>-6.9000000000000006E-2</v>
      </c>
      <c r="P46" s="7">
        <v>-1.44</v>
      </c>
      <c r="Q46" s="7">
        <v>0.87</v>
      </c>
    </row>
    <row r="47" spans="1:17">
      <c r="A47" s="2">
        <v>1995</v>
      </c>
      <c r="B47" s="7">
        <v>2.734</v>
      </c>
      <c r="C47" s="7">
        <v>0.218</v>
      </c>
      <c r="D47" s="7">
        <v>1.5589999999999999</v>
      </c>
      <c r="E47" s="7">
        <v>3.8140000000000001</v>
      </c>
      <c r="F47" s="7">
        <v>1.6479999999999999</v>
      </c>
      <c r="G47" s="7">
        <v>3.88</v>
      </c>
      <c r="H47" s="7">
        <v>-3.47</v>
      </c>
      <c r="I47" s="7">
        <v>1.839</v>
      </c>
      <c r="J47" s="7">
        <v>3.0760000000000001</v>
      </c>
      <c r="K47" s="7">
        <v>1.651</v>
      </c>
      <c r="L47" s="7">
        <v>4.8540000000000001</v>
      </c>
      <c r="M47" s="7">
        <v>5.4080000000000004</v>
      </c>
      <c r="N47" s="7">
        <v>7.798</v>
      </c>
      <c r="O47" s="7">
        <v>4.516</v>
      </c>
      <c r="P47" s="7">
        <v>1.917</v>
      </c>
      <c r="Q47" s="7">
        <v>3.4729999999999999</v>
      </c>
    </row>
    <row r="48" spans="1:17">
      <c r="A48" s="2">
        <v>1996</v>
      </c>
      <c r="B48" s="7">
        <v>6.0549999999999997</v>
      </c>
      <c r="C48" s="7">
        <v>4.42</v>
      </c>
      <c r="D48" s="7">
        <v>2.351</v>
      </c>
      <c r="E48" s="7">
        <v>0.873</v>
      </c>
      <c r="F48" s="7">
        <v>1.427</v>
      </c>
      <c r="G48" s="7">
        <v>3.2349999999999999</v>
      </c>
      <c r="H48" s="7">
        <v>1.246</v>
      </c>
      <c r="I48" s="7">
        <v>2.1389999999999998</v>
      </c>
      <c r="J48" s="7">
        <v>4.7670000000000003</v>
      </c>
      <c r="K48" s="7">
        <v>3.327</v>
      </c>
      <c r="L48" s="7">
        <v>2.7440000000000002</v>
      </c>
      <c r="M48" s="7">
        <v>2.8250000000000002</v>
      </c>
      <c r="N48" s="7">
        <v>7.2160000000000002</v>
      </c>
      <c r="O48" s="7">
        <v>0.68100000000000005</v>
      </c>
      <c r="P48" s="7">
        <v>0.52</v>
      </c>
      <c r="Q48" s="7">
        <v>2.69</v>
      </c>
    </row>
    <row r="49" spans="1:17">
      <c r="A49" s="2">
        <v>1997</v>
      </c>
      <c r="B49" s="7">
        <v>3.5950000000000002</v>
      </c>
      <c r="C49" s="7">
        <v>3.3580000000000001</v>
      </c>
      <c r="D49" s="7">
        <v>2.4660000000000002</v>
      </c>
      <c r="E49" s="7">
        <v>1.823</v>
      </c>
      <c r="F49" s="7">
        <v>2.871</v>
      </c>
      <c r="G49" s="7">
        <v>3.2410000000000001</v>
      </c>
      <c r="H49" s="7">
        <v>0.432</v>
      </c>
      <c r="I49" s="7">
        <v>3.5430000000000001</v>
      </c>
      <c r="J49" s="7">
        <v>4.9210000000000003</v>
      </c>
      <c r="K49" s="7">
        <v>3.6110000000000002</v>
      </c>
      <c r="L49" s="7">
        <v>2.7490000000000001</v>
      </c>
      <c r="M49" s="7">
        <v>3.7429999999999999</v>
      </c>
      <c r="N49" s="7">
        <v>7.2530000000000001</v>
      </c>
      <c r="O49" s="7">
        <v>1.9950000000000001</v>
      </c>
      <c r="P49" s="7">
        <v>0.25600000000000001</v>
      </c>
      <c r="Q49" s="7">
        <v>5.4020000000000001</v>
      </c>
    </row>
    <row r="50" spans="1:17">
      <c r="A50" s="2">
        <v>1998</v>
      </c>
      <c r="B50" s="7">
        <v>3.5350000000000001</v>
      </c>
      <c r="C50" s="7">
        <v>2.298</v>
      </c>
      <c r="D50" s="7">
        <v>2.641</v>
      </c>
      <c r="E50" s="7">
        <v>-1.915</v>
      </c>
      <c r="F50" s="7">
        <v>3.617</v>
      </c>
      <c r="G50" s="7">
        <v>2.5150000000000001</v>
      </c>
      <c r="H50" s="7">
        <v>-4.2679999999999998</v>
      </c>
      <c r="I50" s="7">
        <v>1.298</v>
      </c>
      <c r="J50" s="7">
        <v>3.0510000000000002</v>
      </c>
      <c r="K50" s="7">
        <v>-0.56799999999999995</v>
      </c>
      <c r="L50" s="7">
        <v>3.6269999999999998</v>
      </c>
      <c r="M50" s="7">
        <v>-4.1660000000000004</v>
      </c>
      <c r="N50" s="7">
        <v>4.7830000000000004</v>
      </c>
      <c r="O50" s="7">
        <v>3.4529999999999998</v>
      </c>
      <c r="P50" s="7">
        <v>-1.552</v>
      </c>
      <c r="Q50" s="7">
        <v>3.532</v>
      </c>
    </row>
    <row r="51" spans="1:17">
      <c r="A51" s="2">
        <v>1999</v>
      </c>
      <c r="B51" s="7">
        <v>3.395</v>
      </c>
      <c r="C51" s="7">
        <v>3.528</v>
      </c>
      <c r="D51" s="7">
        <v>2.3479999999999999</v>
      </c>
      <c r="E51" s="7">
        <v>1.3029999999999999</v>
      </c>
      <c r="F51" s="7">
        <v>3.5249999999999999</v>
      </c>
      <c r="G51" s="7">
        <v>2.508</v>
      </c>
      <c r="H51" s="7">
        <v>2.6829999999999998</v>
      </c>
      <c r="I51" s="7">
        <v>-2.6840000000000002</v>
      </c>
      <c r="J51" s="7">
        <v>1.9810000000000001</v>
      </c>
      <c r="K51" s="7">
        <v>-3.0419999999999998</v>
      </c>
      <c r="L51" s="7">
        <v>4.7439999999999998</v>
      </c>
      <c r="M51" s="7">
        <v>2.6989999999999998</v>
      </c>
      <c r="N51" s="7">
        <v>5.6840000000000002</v>
      </c>
      <c r="O51" s="7">
        <v>3.11</v>
      </c>
      <c r="P51" s="7">
        <v>-0.42499999999999999</v>
      </c>
      <c r="Q51" s="7">
        <v>2.4620000000000002</v>
      </c>
    </row>
    <row r="52" spans="1:17">
      <c r="A52" s="2">
        <v>2000</v>
      </c>
      <c r="B52" s="7">
        <v>4.1550000000000002</v>
      </c>
      <c r="C52" s="7">
        <v>3.6680000000000001</v>
      </c>
      <c r="D52" s="7">
        <v>3.1760000000000002</v>
      </c>
      <c r="E52" s="7">
        <v>1.944</v>
      </c>
      <c r="F52" s="7">
        <v>2.6779999999999999</v>
      </c>
      <c r="G52" s="7">
        <v>3.7090000000000001</v>
      </c>
      <c r="H52" s="7">
        <v>7.6</v>
      </c>
      <c r="I52" s="7">
        <v>3.3490000000000002</v>
      </c>
      <c r="J52" s="7">
        <v>0.79900000000000004</v>
      </c>
      <c r="K52" s="7">
        <v>1.544</v>
      </c>
      <c r="L52" s="7">
        <v>4.0549999999999997</v>
      </c>
      <c r="M52" s="7">
        <v>4.4989999999999997</v>
      </c>
      <c r="N52" s="7">
        <v>7.4909999999999997</v>
      </c>
      <c r="O52" s="7">
        <v>2.0110000000000001</v>
      </c>
      <c r="P52" s="7">
        <v>0.505</v>
      </c>
      <c r="Q52" s="7">
        <v>5.5419999999999998</v>
      </c>
    </row>
    <row r="53" spans="1:17">
      <c r="A53" s="2">
        <v>2001</v>
      </c>
      <c r="B53" s="7">
        <v>1.6819999999999999</v>
      </c>
      <c r="C53" s="7">
        <v>1.8520000000000001</v>
      </c>
      <c r="D53" s="7">
        <v>1.8520000000000001</v>
      </c>
      <c r="E53" s="7">
        <v>1.998</v>
      </c>
      <c r="F53" s="7">
        <v>2.081</v>
      </c>
      <c r="G53" s="7">
        <v>2.0649999999999999</v>
      </c>
      <c r="H53" s="7">
        <v>2.0649999999999999</v>
      </c>
      <c r="I53" s="7">
        <v>2.4E-2</v>
      </c>
      <c r="J53" s="7">
        <v>0.96899999999999997</v>
      </c>
      <c r="K53" s="7">
        <v>0.96899999999999997</v>
      </c>
      <c r="L53" s="7">
        <v>3.0840000000000001</v>
      </c>
      <c r="M53" s="7">
        <v>3.8170000000000002</v>
      </c>
      <c r="N53" s="7">
        <v>3.8170000000000002</v>
      </c>
      <c r="O53" s="7">
        <v>0.96899999999999997</v>
      </c>
      <c r="P53" s="7">
        <v>0.96899999999999997</v>
      </c>
      <c r="Q53" s="7">
        <v>0.96899999999999997</v>
      </c>
    </row>
    <row r="54" spans="1:17">
      <c r="A54" s="2">
        <v>2002</v>
      </c>
      <c r="B54" s="7">
        <v>1.698</v>
      </c>
      <c r="C54" s="7">
        <v>1.8560000000000001</v>
      </c>
      <c r="D54" s="7">
        <v>1.8560000000000001</v>
      </c>
      <c r="E54" s="7">
        <v>2.0529999999999999</v>
      </c>
      <c r="F54" s="7">
        <v>2.0609999999999999</v>
      </c>
      <c r="G54" s="7">
        <v>2.2429999999999999</v>
      </c>
      <c r="H54" s="7">
        <v>2.2429999999999999</v>
      </c>
      <c r="I54" s="7">
        <v>0.29899999999999999</v>
      </c>
      <c r="J54" s="7">
        <v>1.139</v>
      </c>
      <c r="K54" s="7">
        <v>1.139</v>
      </c>
      <c r="L54" s="7">
        <v>3.0190000000000001</v>
      </c>
      <c r="M54" s="7">
        <v>3.7010000000000001</v>
      </c>
      <c r="N54" s="7">
        <v>3.7010000000000001</v>
      </c>
      <c r="O54" s="7">
        <v>1.139</v>
      </c>
      <c r="P54" s="7">
        <v>1.139</v>
      </c>
      <c r="Q54" s="7">
        <v>1.139</v>
      </c>
    </row>
    <row r="55" spans="1:17">
      <c r="A55" s="2">
        <v>2003</v>
      </c>
      <c r="B55" s="7">
        <v>1.7150000000000001</v>
      </c>
      <c r="C55" s="7">
        <v>1.861</v>
      </c>
      <c r="D55" s="7">
        <v>1.861</v>
      </c>
      <c r="E55" s="7">
        <v>2.0409999999999999</v>
      </c>
      <c r="F55" s="7">
        <v>2.0409999999999999</v>
      </c>
      <c r="G55" s="7">
        <v>2.4220000000000002</v>
      </c>
      <c r="H55" s="7">
        <v>2.4220000000000002</v>
      </c>
      <c r="I55" s="7">
        <v>0.57399999999999995</v>
      </c>
      <c r="J55" s="7">
        <v>1.3089999999999999</v>
      </c>
      <c r="K55" s="7">
        <v>1.3089999999999999</v>
      </c>
      <c r="L55" s="7">
        <v>2.9540000000000002</v>
      </c>
      <c r="M55" s="7">
        <v>3.5840000000000001</v>
      </c>
      <c r="N55" s="7">
        <v>3.5840000000000001</v>
      </c>
      <c r="O55" s="7">
        <v>1.3089999999999999</v>
      </c>
      <c r="P55" s="7">
        <v>1.3089999999999999</v>
      </c>
      <c r="Q55" s="7">
        <v>1.3089999999999999</v>
      </c>
    </row>
    <row r="56" spans="1:17">
      <c r="A56" s="2">
        <v>2004</v>
      </c>
      <c r="B56" s="7">
        <v>1.7310000000000001</v>
      </c>
      <c r="C56" s="7">
        <v>1.8660000000000001</v>
      </c>
      <c r="D56" s="7">
        <v>1.8660000000000001</v>
      </c>
      <c r="E56" s="7">
        <v>2.0209999999999999</v>
      </c>
      <c r="F56" s="7">
        <v>2.0209999999999999</v>
      </c>
      <c r="G56" s="7">
        <v>2.6</v>
      </c>
      <c r="H56" s="7">
        <v>2.6</v>
      </c>
      <c r="I56" s="7">
        <v>0.84899999999999998</v>
      </c>
      <c r="J56" s="7">
        <v>1.4790000000000001</v>
      </c>
      <c r="K56" s="7">
        <v>1.4790000000000001</v>
      </c>
      <c r="L56" s="7">
        <v>2.8889999999999998</v>
      </c>
      <c r="M56" s="7">
        <v>3.468</v>
      </c>
      <c r="N56" s="7">
        <v>3.468</v>
      </c>
      <c r="O56" s="7">
        <v>1.4790000000000001</v>
      </c>
      <c r="P56" s="7">
        <v>1.4790000000000001</v>
      </c>
      <c r="Q56" s="7">
        <v>1.4790000000000001</v>
      </c>
    </row>
    <row r="57" spans="1:17">
      <c r="A57" s="2">
        <v>2005</v>
      </c>
      <c r="B57" s="7">
        <v>1.748</v>
      </c>
      <c r="C57" s="7">
        <v>1.871</v>
      </c>
      <c r="D57" s="7">
        <v>1.871</v>
      </c>
      <c r="E57" s="7">
        <v>2.0019999999999998</v>
      </c>
      <c r="F57" s="7">
        <v>2.0019999999999998</v>
      </c>
      <c r="G57" s="7">
        <v>2.7789999999999999</v>
      </c>
      <c r="H57" s="7">
        <v>2.7789999999999999</v>
      </c>
      <c r="I57" s="7">
        <v>1.1240000000000001</v>
      </c>
      <c r="J57" s="7">
        <v>1.649</v>
      </c>
      <c r="K57" s="7">
        <v>1.649</v>
      </c>
      <c r="L57" s="7">
        <v>2.8239999999999998</v>
      </c>
      <c r="M57" s="7">
        <v>3.351</v>
      </c>
      <c r="N57" s="7">
        <v>3.351</v>
      </c>
      <c r="O57" s="7">
        <v>1.649</v>
      </c>
      <c r="P57" s="7">
        <v>1.649</v>
      </c>
      <c r="Q57" s="7">
        <v>1.649</v>
      </c>
    </row>
    <row r="58" spans="1:17">
      <c r="A58" s="2">
        <v>2006</v>
      </c>
      <c r="B58" s="7">
        <v>1.764</v>
      </c>
      <c r="C58" s="7">
        <v>1.875</v>
      </c>
      <c r="D58" s="7">
        <v>1.875</v>
      </c>
      <c r="E58" s="7">
        <v>1.982</v>
      </c>
      <c r="F58" s="7">
        <v>1.982</v>
      </c>
      <c r="G58" s="7">
        <v>2.9580000000000002</v>
      </c>
      <c r="H58" s="7">
        <v>2.9580000000000002</v>
      </c>
      <c r="I58" s="7">
        <v>1.3979999999999999</v>
      </c>
      <c r="J58" s="7">
        <v>1.8180000000000001</v>
      </c>
      <c r="K58" s="7">
        <v>1.8180000000000001</v>
      </c>
      <c r="L58" s="7">
        <v>2.758</v>
      </c>
      <c r="M58" s="7">
        <v>3.234</v>
      </c>
      <c r="N58" s="7">
        <v>3.234</v>
      </c>
      <c r="O58" s="7">
        <v>1.8180000000000001</v>
      </c>
      <c r="P58" s="7">
        <v>1.8180000000000001</v>
      </c>
      <c r="Q58" s="7">
        <v>1.8180000000000001</v>
      </c>
    </row>
    <row r="59" spans="1:17">
      <c r="A59" s="2">
        <v>2007</v>
      </c>
      <c r="B59" s="7">
        <v>1.7809999999999999</v>
      </c>
      <c r="C59" s="7">
        <v>1.88</v>
      </c>
      <c r="D59" s="7">
        <v>1.88</v>
      </c>
      <c r="E59" s="7">
        <v>1.962</v>
      </c>
      <c r="F59" s="7">
        <v>1.962</v>
      </c>
      <c r="G59" s="7">
        <v>3.1360000000000001</v>
      </c>
      <c r="H59" s="7">
        <v>3.1360000000000001</v>
      </c>
      <c r="I59" s="7">
        <v>1.673</v>
      </c>
      <c r="J59" s="7">
        <v>1.988</v>
      </c>
      <c r="K59" s="7">
        <v>1.988</v>
      </c>
      <c r="L59" s="7">
        <v>2.6930000000000001</v>
      </c>
      <c r="M59" s="7">
        <v>3.1179999999999999</v>
      </c>
      <c r="N59" s="7">
        <v>3.1179999999999999</v>
      </c>
      <c r="O59" s="7">
        <v>1.988</v>
      </c>
      <c r="P59" s="7">
        <v>1.988</v>
      </c>
      <c r="Q59" s="7">
        <v>1.988</v>
      </c>
    </row>
    <row r="60" spans="1:17">
      <c r="A60" s="2">
        <v>2008</v>
      </c>
      <c r="B60" s="7">
        <v>1.7969999999999999</v>
      </c>
      <c r="C60" s="7">
        <v>1.885</v>
      </c>
      <c r="D60" s="7">
        <v>1.885</v>
      </c>
      <c r="E60" s="7">
        <v>1.9419999999999999</v>
      </c>
      <c r="F60" s="7">
        <v>1.9419999999999999</v>
      </c>
      <c r="G60" s="7">
        <v>3.3149999999999999</v>
      </c>
      <c r="H60" s="7">
        <v>3.3149999999999999</v>
      </c>
      <c r="I60" s="7">
        <v>1.948</v>
      </c>
      <c r="J60" s="7">
        <v>2.1579999999999999</v>
      </c>
      <c r="K60" s="7">
        <v>2.1579999999999999</v>
      </c>
      <c r="L60" s="7">
        <v>2.6280000000000001</v>
      </c>
      <c r="M60" s="7">
        <v>3.0009999999999999</v>
      </c>
      <c r="N60" s="7">
        <v>3.0009999999999999</v>
      </c>
      <c r="O60" s="7">
        <v>2.1579999999999999</v>
      </c>
      <c r="P60" s="7">
        <v>2.1579999999999999</v>
      </c>
      <c r="Q60" s="7">
        <v>2.1579999999999999</v>
      </c>
    </row>
    <row r="61" spans="1:17">
      <c r="A61" s="2">
        <v>2009</v>
      </c>
      <c r="B61" s="7">
        <v>1.8140000000000001</v>
      </c>
      <c r="C61" s="7">
        <v>1.889</v>
      </c>
      <c r="D61" s="7">
        <v>1.889</v>
      </c>
      <c r="E61" s="7">
        <v>1.9219999999999999</v>
      </c>
      <c r="F61" s="7">
        <v>1.9219999999999999</v>
      </c>
      <c r="G61" s="7">
        <v>3.4929999999999999</v>
      </c>
      <c r="H61" s="7">
        <v>3.4929999999999999</v>
      </c>
      <c r="I61" s="7">
        <v>2.2229999999999999</v>
      </c>
      <c r="J61" s="7">
        <v>2.3279999999999998</v>
      </c>
      <c r="K61" s="7">
        <v>2.3279999999999998</v>
      </c>
      <c r="L61" s="7">
        <v>2.5630000000000002</v>
      </c>
      <c r="M61" s="7">
        <v>2.8849999999999998</v>
      </c>
      <c r="N61" s="7">
        <v>2.8849999999999998</v>
      </c>
      <c r="O61" s="7">
        <v>2.3279999999999998</v>
      </c>
      <c r="P61" s="7">
        <v>2.3279999999999998</v>
      </c>
      <c r="Q61" s="7">
        <v>2.3279999999999998</v>
      </c>
    </row>
    <row r="62" spans="1:17">
      <c r="A62" s="2">
        <v>2010</v>
      </c>
      <c r="B62" s="7">
        <v>1.83</v>
      </c>
      <c r="C62" s="7">
        <v>1.83</v>
      </c>
      <c r="D62" s="7">
        <v>1.8939999999999999</v>
      </c>
      <c r="E62" s="7">
        <v>1.9019999999999999</v>
      </c>
      <c r="F62" s="7">
        <v>1.9019999999999999</v>
      </c>
      <c r="G62" s="7">
        <v>3.6720000000000002</v>
      </c>
      <c r="H62" s="7">
        <v>3.6720000000000002</v>
      </c>
      <c r="I62" s="7">
        <v>2.4980000000000002</v>
      </c>
      <c r="J62" s="7">
        <v>2.4980000000000002</v>
      </c>
      <c r="K62" s="7">
        <v>2.4980000000000002</v>
      </c>
      <c r="L62" s="7">
        <v>2.4980000000000002</v>
      </c>
      <c r="M62" s="7">
        <v>2.4980000000000002</v>
      </c>
      <c r="N62" s="7">
        <v>2.7679999999999998</v>
      </c>
      <c r="O62" s="7">
        <v>2.4980000000000002</v>
      </c>
      <c r="P62" s="7">
        <v>2.4980000000000002</v>
      </c>
      <c r="Q62" s="7">
        <v>2.4980000000000002</v>
      </c>
    </row>
    <row r="63" spans="1:17">
      <c r="A63" s="2">
        <v>2011</v>
      </c>
      <c r="B63" s="7">
        <v>1.8160000000000001</v>
      </c>
      <c r="C63" s="7">
        <v>1.8160000000000001</v>
      </c>
      <c r="D63" s="7">
        <v>1.8740000000000001</v>
      </c>
      <c r="E63" s="7">
        <v>1.881</v>
      </c>
      <c r="F63" s="7">
        <v>1.881</v>
      </c>
      <c r="G63" s="7">
        <v>3.649</v>
      </c>
      <c r="H63" s="7">
        <v>3.649</v>
      </c>
      <c r="I63" s="7">
        <v>2.4929999999999999</v>
      </c>
      <c r="J63" s="7">
        <v>2.4929999999999999</v>
      </c>
      <c r="K63" s="7">
        <v>2.4929999999999999</v>
      </c>
      <c r="L63" s="7">
        <v>2.4929999999999999</v>
      </c>
      <c r="M63" s="7">
        <v>2.4929999999999999</v>
      </c>
      <c r="N63" s="7">
        <v>2.7789999999999999</v>
      </c>
      <c r="O63" s="7">
        <v>2.4929999999999999</v>
      </c>
      <c r="P63" s="7">
        <v>2.4929999999999999</v>
      </c>
      <c r="Q63" s="7">
        <v>2.4929999999999999</v>
      </c>
    </row>
    <row r="64" spans="1:17">
      <c r="A64" s="2">
        <v>2012</v>
      </c>
      <c r="B64" s="7">
        <v>1.802</v>
      </c>
      <c r="C64" s="7">
        <v>1.802</v>
      </c>
      <c r="D64" s="7">
        <v>1.855</v>
      </c>
      <c r="E64" s="7">
        <v>1.86</v>
      </c>
      <c r="F64" s="7">
        <v>1.86</v>
      </c>
      <c r="G64" s="7">
        <v>3.6259999999999999</v>
      </c>
      <c r="H64" s="7">
        <v>3.6259999999999999</v>
      </c>
      <c r="I64" s="7">
        <v>2.488</v>
      </c>
      <c r="J64" s="7">
        <v>2.488</v>
      </c>
      <c r="K64" s="7">
        <v>2.488</v>
      </c>
      <c r="L64" s="7">
        <v>2.488</v>
      </c>
      <c r="M64" s="7">
        <v>2.488</v>
      </c>
      <c r="N64" s="7">
        <v>2.79</v>
      </c>
      <c r="O64" s="7">
        <v>2.488</v>
      </c>
      <c r="P64" s="7">
        <v>2.488</v>
      </c>
      <c r="Q64" s="7">
        <v>2.488</v>
      </c>
    </row>
    <row r="65" spans="1:17">
      <c r="A65" s="2">
        <v>2013</v>
      </c>
      <c r="B65" s="7">
        <v>1.788</v>
      </c>
      <c r="C65" s="7">
        <v>1.788</v>
      </c>
      <c r="D65" s="7">
        <v>1.835</v>
      </c>
      <c r="E65" s="7">
        <v>1.84</v>
      </c>
      <c r="F65" s="7">
        <v>1.84</v>
      </c>
      <c r="G65" s="7">
        <v>3.6040000000000001</v>
      </c>
      <c r="H65" s="7">
        <v>3.6040000000000001</v>
      </c>
      <c r="I65" s="7">
        <v>2.4820000000000002</v>
      </c>
      <c r="J65" s="7">
        <v>2.4820000000000002</v>
      </c>
      <c r="K65" s="7">
        <v>2.4820000000000002</v>
      </c>
      <c r="L65" s="7">
        <v>2.4820000000000002</v>
      </c>
      <c r="M65" s="7">
        <v>2.4820000000000002</v>
      </c>
      <c r="N65" s="7">
        <v>2.8</v>
      </c>
      <c r="O65" s="7">
        <v>2.4820000000000002</v>
      </c>
      <c r="P65" s="7">
        <v>2.4820000000000002</v>
      </c>
      <c r="Q65" s="7">
        <v>2.4820000000000002</v>
      </c>
    </row>
    <row r="66" spans="1:17">
      <c r="A66" s="2">
        <v>2014</v>
      </c>
      <c r="B66" s="7">
        <v>1.774</v>
      </c>
      <c r="C66" s="7">
        <v>1.774</v>
      </c>
      <c r="D66" s="7">
        <v>1.8160000000000001</v>
      </c>
      <c r="E66" s="7">
        <v>1.819</v>
      </c>
      <c r="F66" s="7">
        <v>1.819</v>
      </c>
      <c r="G66" s="7">
        <v>3.581</v>
      </c>
      <c r="H66" s="7">
        <v>3.581</v>
      </c>
      <c r="I66" s="7">
        <v>2.4769999999999999</v>
      </c>
      <c r="J66" s="7">
        <v>2.4769999999999999</v>
      </c>
      <c r="K66" s="7">
        <v>2.4769999999999999</v>
      </c>
      <c r="L66" s="7">
        <v>2.4769999999999999</v>
      </c>
      <c r="M66" s="7">
        <v>2.4769999999999999</v>
      </c>
      <c r="N66" s="7">
        <v>2.8109999999999999</v>
      </c>
      <c r="O66" s="7">
        <v>2.4769999999999999</v>
      </c>
      <c r="P66" s="7">
        <v>2.4769999999999999</v>
      </c>
      <c r="Q66" s="7">
        <v>2.4769999999999999</v>
      </c>
    </row>
    <row r="67" spans="1:17">
      <c r="A67" s="2">
        <v>2015</v>
      </c>
      <c r="B67" s="7">
        <v>1.76</v>
      </c>
      <c r="C67" s="7">
        <v>1.76</v>
      </c>
      <c r="D67" s="7">
        <v>1.796</v>
      </c>
      <c r="E67" s="7">
        <v>1.798</v>
      </c>
      <c r="F67" s="7">
        <v>1.798</v>
      </c>
      <c r="G67" s="7">
        <v>3.5579999999999998</v>
      </c>
      <c r="H67" s="7">
        <v>3.5579999999999998</v>
      </c>
      <c r="I67" s="7">
        <v>2.472</v>
      </c>
      <c r="J67" s="7">
        <v>2.472</v>
      </c>
      <c r="K67" s="7">
        <v>2.472</v>
      </c>
      <c r="L67" s="7">
        <v>2.472</v>
      </c>
      <c r="M67" s="7">
        <v>2.472</v>
      </c>
      <c r="N67" s="7">
        <v>2.8220000000000001</v>
      </c>
      <c r="O67" s="7">
        <v>2.472</v>
      </c>
      <c r="P67" s="7">
        <v>2.472</v>
      </c>
      <c r="Q67" s="7">
        <v>2.472</v>
      </c>
    </row>
    <row r="68" spans="1:17">
      <c r="A68" s="2">
        <v>2016</v>
      </c>
      <c r="B68" s="7">
        <v>1.746</v>
      </c>
      <c r="C68" s="7">
        <v>1.746</v>
      </c>
      <c r="D68" s="7">
        <v>1.776</v>
      </c>
      <c r="E68" s="7">
        <v>1.7769999999999999</v>
      </c>
      <c r="F68" s="7">
        <v>1.7769999999999999</v>
      </c>
      <c r="G68" s="7">
        <v>3.5350000000000001</v>
      </c>
      <c r="H68" s="7">
        <v>3.5350000000000001</v>
      </c>
      <c r="I68" s="7">
        <v>2.4670000000000001</v>
      </c>
      <c r="J68" s="7">
        <v>2.4670000000000001</v>
      </c>
      <c r="K68" s="7">
        <v>2.4670000000000001</v>
      </c>
      <c r="L68" s="7">
        <v>2.4670000000000001</v>
      </c>
      <c r="M68" s="7">
        <v>2.4670000000000001</v>
      </c>
      <c r="N68" s="7">
        <v>2.8330000000000002</v>
      </c>
      <c r="O68" s="7">
        <v>2.4670000000000001</v>
      </c>
      <c r="P68" s="7">
        <v>2.4670000000000001</v>
      </c>
      <c r="Q68" s="7">
        <v>2.4670000000000001</v>
      </c>
    </row>
    <row r="69" spans="1:17">
      <c r="A69" s="2">
        <v>2017</v>
      </c>
      <c r="B69" s="7">
        <v>1.732</v>
      </c>
      <c r="C69" s="7">
        <v>1.732</v>
      </c>
      <c r="D69" s="7">
        <v>1.7569999999999999</v>
      </c>
      <c r="E69" s="7">
        <v>1.756</v>
      </c>
      <c r="F69" s="7">
        <v>1.756</v>
      </c>
      <c r="G69" s="7">
        <v>3.512</v>
      </c>
      <c r="H69" s="7">
        <v>3.512</v>
      </c>
      <c r="I69" s="7">
        <v>2.4620000000000002</v>
      </c>
      <c r="J69" s="7">
        <v>2.4620000000000002</v>
      </c>
      <c r="K69" s="7">
        <v>2.4620000000000002</v>
      </c>
      <c r="L69" s="7">
        <v>2.4620000000000002</v>
      </c>
      <c r="M69" s="7">
        <v>2.4620000000000002</v>
      </c>
      <c r="N69" s="7">
        <v>2.8439999999999999</v>
      </c>
      <c r="O69" s="7">
        <v>2.4620000000000002</v>
      </c>
      <c r="P69" s="7">
        <v>2.4620000000000002</v>
      </c>
      <c r="Q69" s="7">
        <v>2.4620000000000002</v>
      </c>
    </row>
    <row r="70" spans="1:17">
      <c r="A70" s="2">
        <v>2018</v>
      </c>
      <c r="B70" s="7">
        <v>1.718</v>
      </c>
      <c r="C70" s="7">
        <v>1.718</v>
      </c>
      <c r="D70" s="7">
        <v>1.7370000000000001</v>
      </c>
      <c r="E70" s="7">
        <v>1.736</v>
      </c>
      <c r="F70" s="7">
        <v>1.736</v>
      </c>
      <c r="G70" s="7">
        <v>3.49</v>
      </c>
      <c r="H70" s="7">
        <v>3.49</v>
      </c>
      <c r="I70" s="7">
        <v>2.456</v>
      </c>
      <c r="J70" s="7">
        <v>2.456</v>
      </c>
      <c r="K70" s="7">
        <v>2.456</v>
      </c>
      <c r="L70" s="7">
        <v>2.456</v>
      </c>
      <c r="M70" s="7">
        <v>2.456</v>
      </c>
      <c r="N70" s="7">
        <v>2.8540000000000001</v>
      </c>
      <c r="O70" s="7">
        <v>2.456</v>
      </c>
      <c r="P70" s="7">
        <v>2.456</v>
      </c>
      <c r="Q70" s="7">
        <v>2.456</v>
      </c>
    </row>
    <row r="71" spans="1:17">
      <c r="A71" s="2">
        <v>2019</v>
      </c>
      <c r="B71" s="7">
        <v>1.704</v>
      </c>
      <c r="C71" s="7">
        <v>1.704</v>
      </c>
      <c r="D71" s="7">
        <v>1.718</v>
      </c>
      <c r="E71" s="7">
        <v>1.7150000000000001</v>
      </c>
      <c r="F71" s="7">
        <v>1.7150000000000001</v>
      </c>
      <c r="G71" s="7">
        <v>3.4670000000000001</v>
      </c>
      <c r="H71" s="7">
        <v>3.4670000000000001</v>
      </c>
      <c r="I71" s="7">
        <v>2.4510000000000001</v>
      </c>
      <c r="J71" s="7">
        <v>2.4510000000000001</v>
      </c>
      <c r="K71" s="7">
        <v>2.4510000000000001</v>
      </c>
      <c r="L71" s="7">
        <v>2.4510000000000001</v>
      </c>
      <c r="M71" s="7">
        <v>2.4510000000000001</v>
      </c>
      <c r="N71" s="7">
        <v>2.8650000000000002</v>
      </c>
      <c r="O71" s="7">
        <v>2.4510000000000001</v>
      </c>
      <c r="P71" s="7">
        <v>2.4510000000000001</v>
      </c>
      <c r="Q71" s="7">
        <v>2.4510000000000001</v>
      </c>
    </row>
    <row r="72" spans="1:17">
      <c r="A72" s="2">
        <v>2020</v>
      </c>
      <c r="B72" s="7">
        <v>1.69</v>
      </c>
      <c r="C72" s="7">
        <v>1.69</v>
      </c>
      <c r="D72" s="7">
        <v>1.698</v>
      </c>
      <c r="E72" s="7">
        <v>1.694</v>
      </c>
      <c r="F72" s="7">
        <v>1.694</v>
      </c>
      <c r="G72" s="7">
        <v>3.444</v>
      </c>
      <c r="H72" s="7">
        <v>3.444</v>
      </c>
      <c r="I72" s="7">
        <v>2.4460000000000002</v>
      </c>
      <c r="J72" s="7">
        <v>2.4460000000000002</v>
      </c>
      <c r="K72" s="7">
        <v>2.4460000000000002</v>
      </c>
      <c r="L72" s="7">
        <v>2.4460000000000002</v>
      </c>
      <c r="M72" s="7">
        <v>2.4460000000000002</v>
      </c>
      <c r="N72" s="7">
        <v>2.8759999999999999</v>
      </c>
      <c r="O72" s="7">
        <v>2.4460000000000002</v>
      </c>
      <c r="P72" s="7">
        <v>2.4460000000000002</v>
      </c>
      <c r="Q72" s="7">
        <v>2.4460000000000002</v>
      </c>
    </row>
    <row r="73" spans="1:17">
      <c r="A73" s="2">
        <v>2021</v>
      </c>
      <c r="B73" s="7">
        <v>1.6759999999999999</v>
      </c>
      <c r="C73" s="7">
        <v>1.6759999999999999</v>
      </c>
      <c r="D73" s="7">
        <v>1.6779999999999999</v>
      </c>
      <c r="E73" s="7">
        <v>1.673</v>
      </c>
      <c r="F73" s="7">
        <v>1.673</v>
      </c>
      <c r="G73" s="7">
        <v>3.4209999999999998</v>
      </c>
      <c r="H73" s="7">
        <v>3.4209999999999998</v>
      </c>
      <c r="I73" s="7">
        <v>2.4409999999999998</v>
      </c>
      <c r="J73" s="7">
        <v>2.4409999999999998</v>
      </c>
      <c r="K73" s="7">
        <v>2.4409999999999998</v>
      </c>
      <c r="L73" s="7">
        <v>2.4409999999999998</v>
      </c>
      <c r="M73" s="7">
        <v>2.4409999999999998</v>
      </c>
      <c r="N73" s="7">
        <v>2.887</v>
      </c>
      <c r="O73" s="7">
        <v>2.4409999999999998</v>
      </c>
      <c r="P73" s="7">
        <v>2.4409999999999998</v>
      </c>
      <c r="Q73" s="7">
        <v>2.4409999999999998</v>
      </c>
    </row>
    <row r="74" spans="1:17">
      <c r="A74" s="2">
        <v>2022</v>
      </c>
      <c r="B74" s="7">
        <v>1.6619999999999999</v>
      </c>
      <c r="C74" s="7">
        <v>1.6619999999999999</v>
      </c>
      <c r="D74" s="7">
        <v>1.659</v>
      </c>
      <c r="E74" s="7">
        <v>1.6519999999999999</v>
      </c>
      <c r="F74" s="7">
        <v>1.6519999999999999</v>
      </c>
      <c r="G74" s="7">
        <v>3.3980000000000001</v>
      </c>
      <c r="H74" s="7">
        <v>3.3980000000000001</v>
      </c>
      <c r="I74" s="7">
        <v>2.4359999999999999</v>
      </c>
      <c r="J74" s="7">
        <v>2.4359999999999999</v>
      </c>
      <c r="K74" s="7">
        <v>2.4359999999999999</v>
      </c>
      <c r="L74" s="7">
        <v>2.4359999999999999</v>
      </c>
      <c r="M74" s="7">
        <v>2.4359999999999999</v>
      </c>
      <c r="N74" s="7">
        <v>2.8980000000000001</v>
      </c>
      <c r="O74" s="7">
        <v>2.4359999999999999</v>
      </c>
      <c r="P74" s="7">
        <v>2.4359999999999999</v>
      </c>
      <c r="Q74" s="7">
        <v>2.4359999999999999</v>
      </c>
    </row>
    <row r="75" spans="1:17">
      <c r="A75" s="2">
        <v>2023</v>
      </c>
      <c r="B75" s="7">
        <v>1.6479999999999999</v>
      </c>
      <c r="C75" s="7">
        <v>1.6479999999999999</v>
      </c>
      <c r="D75" s="7">
        <v>1.639</v>
      </c>
      <c r="E75" s="7">
        <v>1.6319999999999999</v>
      </c>
      <c r="F75" s="7">
        <v>1.6319999999999999</v>
      </c>
      <c r="G75" s="7">
        <v>3.3759999999999999</v>
      </c>
      <c r="H75" s="7">
        <v>3.3759999999999999</v>
      </c>
      <c r="I75" s="7">
        <v>2.4300000000000002</v>
      </c>
      <c r="J75" s="7">
        <v>2.4300000000000002</v>
      </c>
      <c r="K75" s="7">
        <v>2.4300000000000002</v>
      </c>
      <c r="L75" s="7">
        <v>2.4300000000000002</v>
      </c>
      <c r="M75" s="7">
        <v>2.4300000000000002</v>
      </c>
      <c r="N75" s="7">
        <v>2.9079999999999999</v>
      </c>
      <c r="O75" s="7">
        <v>2.4300000000000002</v>
      </c>
      <c r="P75" s="7">
        <v>2.4300000000000002</v>
      </c>
      <c r="Q75" s="7">
        <v>2.4300000000000002</v>
      </c>
    </row>
    <row r="76" spans="1:17">
      <c r="A76" s="2">
        <v>2024</v>
      </c>
      <c r="B76" s="7">
        <v>1.6339999999999999</v>
      </c>
      <c r="C76" s="7">
        <v>1.6339999999999999</v>
      </c>
      <c r="D76" s="7">
        <v>1.62</v>
      </c>
      <c r="E76" s="7">
        <v>1.611</v>
      </c>
      <c r="F76" s="7">
        <v>1.611</v>
      </c>
      <c r="G76" s="7">
        <v>3.3530000000000002</v>
      </c>
      <c r="H76" s="7">
        <v>3.3530000000000002</v>
      </c>
      <c r="I76" s="7">
        <v>2.4249999999999998</v>
      </c>
      <c r="J76" s="7">
        <v>2.4249999999999998</v>
      </c>
      <c r="K76" s="7">
        <v>2.4249999999999998</v>
      </c>
      <c r="L76" s="7">
        <v>2.4249999999999998</v>
      </c>
      <c r="M76" s="7">
        <v>2.4249999999999998</v>
      </c>
      <c r="N76" s="7">
        <v>2.919</v>
      </c>
      <c r="O76" s="7">
        <v>2.4249999999999998</v>
      </c>
      <c r="P76" s="7">
        <v>2.4249999999999998</v>
      </c>
      <c r="Q76" s="7">
        <v>2.4249999999999998</v>
      </c>
    </row>
    <row r="77" spans="1:17">
      <c r="A77" s="2">
        <v>2025</v>
      </c>
      <c r="B77" s="7">
        <v>1.62</v>
      </c>
      <c r="C77" s="7">
        <v>1.62</v>
      </c>
      <c r="D77" s="7">
        <v>1.6</v>
      </c>
      <c r="E77" s="7">
        <v>1.59</v>
      </c>
      <c r="F77" s="7">
        <v>1.59</v>
      </c>
      <c r="G77" s="7">
        <v>3.33</v>
      </c>
      <c r="H77" s="7">
        <v>3.33</v>
      </c>
      <c r="I77" s="7">
        <v>2.42</v>
      </c>
      <c r="J77" s="7">
        <v>2.42</v>
      </c>
      <c r="K77" s="7">
        <v>2.42</v>
      </c>
      <c r="L77" s="7">
        <v>2.42</v>
      </c>
      <c r="M77" s="7">
        <v>2.42</v>
      </c>
      <c r="N77" s="7">
        <v>2.93</v>
      </c>
      <c r="O77" s="7">
        <v>2.42</v>
      </c>
      <c r="P77" s="7">
        <v>2.42</v>
      </c>
      <c r="Q77" s="7">
        <v>2.42</v>
      </c>
    </row>
    <row r="78" spans="1:17">
      <c r="A78" s="2">
        <v>2026</v>
      </c>
      <c r="B78" s="7">
        <v>1.601</v>
      </c>
      <c r="C78" s="7">
        <v>1.601</v>
      </c>
      <c r="D78" s="7">
        <v>1.5820000000000001</v>
      </c>
      <c r="E78" s="7">
        <v>1.5720000000000001</v>
      </c>
      <c r="F78" s="7">
        <v>1.5720000000000001</v>
      </c>
      <c r="G78" s="7">
        <v>3.2719999999999998</v>
      </c>
      <c r="H78" s="7">
        <v>3.2719999999999998</v>
      </c>
      <c r="I78" s="7">
        <v>2.4180000000000001</v>
      </c>
      <c r="J78" s="7">
        <v>2.4180000000000001</v>
      </c>
      <c r="K78" s="7">
        <v>2.4180000000000001</v>
      </c>
      <c r="L78" s="7">
        <v>2.4180000000000001</v>
      </c>
      <c r="M78" s="7">
        <v>2.4180000000000001</v>
      </c>
      <c r="N78" s="7">
        <v>2.9279999999999999</v>
      </c>
      <c r="O78" s="7">
        <v>2.4180000000000001</v>
      </c>
      <c r="P78" s="7">
        <v>2.4180000000000001</v>
      </c>
      <c r="Q78" s="7">
        <v>2.4180000000000001</v>
      </c>
    </row>
    <row r="79" spans="1:17">
      <c r="A79" s="2">
        <v>2027</v>
      </c>
      <c r="B79" s="7">
        <v>1.5820000000000001</v>
      </c>
      <c r="C79" s="7">
        <v>1.5820000000000001</v>
      </c>
      <c r="D79" s="7">
        <v>1.5629999999999999</v>
      </c>
      <c r="E79" s="7">
        <v>1.5529999999999999</v>
      </c>
      <c r="F79" s="7">
        <v>1.5529999999999999</v>
      </c>
      <c r="G79" s="7">
        <v>3.2149999999999999</v>
      </c>
      <c r="H79" s="7">
        <v>3.2149999999999999</v>
      </c>
      <c r="I79" s="7">
        <v>2.4169999999999998</v>
      </c>
      <c r="J79" s="7">
        <v>2.4169999999999998</v>
      </c>
      <c r="K79" s="7">
        <v>2.4169999999999998</v>
      </c>
      <c r="L79" s="7">
        <v>2.4169999999999998</v>
      </c>
      <c r="M79" s="7">
        <v>2.4169999999999998</v>
      </c>
      <c r="N79" s="7">
        <v>2.927</v>
      </c>
      <c r="O79" s="7">
        <v>2.4169999999999998</v>
      </c>
      <c r="P79" s="7">
        <v>2.4169999999999998</v>
      </c>
      <c r="Q79" s="7">
        <v>2.4169999999999998</v>
      </c>
    </row>
    <row r="80" spans="1:17">
      <c r="A80" s="2">
        <v>2028</v>
      </c>
      <c r="B80" s="7">
        <v>1.5620000000000001</v>
      </c>
      <c r="C80" s="7">
        <v>1.5620000000000001</v>
      </c>
      <c r="D80" s="7">
        <v>1.5449999999999999</v>
      </c>
      <c r="E80" s="7">
        <v>1.5349999999999999</v>
      </c>
      <c r="F80" s="7">
        <v>1.5349999999999999</v>
      </c>
      <c r="G80" s="7">
        <v>3.157</v>
      </c>
      <c r="H80" s="7">
        <v>3.157</v>
      </c>
      <c r="I80" s="7">
        <v>2.415</v>
      </c>
      <c r="J80" s="7">
        <v>2.415</v>
      </c>
      <c r="K80" s="7">
        <v>2.415</v>
      </c>
      <c r="L80" s="7">
        <v>2.415</v>
      </c>
      <c r="M80" s="7">
        <v>2.415</v>
      </c>
      <c r="N80" s="7">
        <v>2.9249999999999998</v>
      </c>
      <c r="O80" s="7">
        <v>2.415</v>
      </c>
      <c r="P80" s="7">
        <v>2.415</v>
      </c>
      <c r="Q80" s="7">
        <v>2.415</v>
      </c>
    </row>
    <row r="81" spans="1:17">
      <c r="A81" s="2">
        <v>2029</v>
      </c>
      <c r="B81" s="7">
        <v>1.5429999999999999</v>
      </c>
      <c r="C81" s="7">
        <v>1.5429999999999999</v>
      </c>
      <c r="D81" s="7">
        <v>1.526</v>
      </c>
      <c r="E81" s="7">
        <v>1.516</v>
      </c>
      <c r="F81" s="7">
        <v>1.516</v>
      </c>
      <c r="G81" s="7">
        <v>3.1</v>
      </c>
      <c r="H81" s="7">
        <v>3.1</v>
      </c>
      <c r="I81" s="7">
        <v>2.4140000000000001</v>
      </c>
      <c r="J81" s="7">
        <v>2.4140000000000001</v>
      </c>
      <c r="K81" s="7">
        <v>2.4140000000000001</v>
      </c>
      <c r="L81" s="7">
        <v>2.4140000000000001</v>
      </c>
      <c r="M81" s="7">
        <v>2.4140000000000001</v>
      </c>
      <c r="N81" s="7">
        <v>2.9239999999999999</v>
      </c>
      <c r="O81" s="7">
        <v>2.4140000000000001</v>
      </c>
      <c r="P81" s="7">
        <v>2.4140000000000001</v>
      </c>
      <c r="Q81" s="7">
        <v>2.4140000000000001</v>
      </c>
    </row>
    <row r="82" spans="1:17">
      <c r="A82" s="2">
        <v>2030</v>
      </c>
      <c r="B82" s="7">
        <v>1.524</v>
      </c>
      <c r="C82" s="7">
        <v>1.524</v>
      </c>
      <c r="D82" s="7">
        <v>1.508</v>
      </c>
      <c r="E82" s="7">
        <v>1.498</v>
      </c>
      <c r="F82" s="7">
        <v>1.498</v>
      </c>
      <c r="G82" s="7">
        <v>3.0419999999999998</v>
      </c>
      <c r="H82" s="7">
        <v>3.0419999999999998</v>
      </c>
      <c r="I82" s="7">
        <v>2.4119999999999999</v>
      </c>
      <c r="J82" s="7">
        <v>2.4119999999999999</v>
      </c>
      <c r="K82" s="7">
        <v>2.4119999999999999</v>
      </c>
      <c r="L82" s="7">
        <v>2.4119999999999999</v>
      </c>
      <c r="M82" s="7">
        <v>2.4119999999999999</v>
      </c>
      <c r="N82" s="7">
        <v>2.9220000000000002</v>
      </c>
      <c r="O82" s="7">
        <v>2.4119999999999999</v>
      </c>
      <c r="P82" s="7">
        <v>2.4119999999999999</v>
      </c>
      <c r="Q82" s="7">
        <v>2.4119999999999999</v>
      </c>
    </row>
    <row r="83" spans="1:17">
      <c r="A83" s="2">
        <v>2031</v>
      </c>
      <c r="B83" s="7">
        <v>1.5049999999999999</v>
      </c>
      <c r="C83" s="7">
        <v>1.5049999999999999</v>
      </c>
      <c r="D83" s="7">
        <v>1.49</v>
      </c>
      <c r="E83" s="7">
        <v>1.48</v>
      </c>
      <c r="F83" s="7">
        <v>1.48</v>
      </c>
      <c r="G83" s="7">
        <v>2.984</v>
      </c>
      <c r="H83" s="7">
        <v>2.984</v>
      </c>
      <c r="I83" s="7">
        <v>2.41</v>
      </c>
      <c r="J83" s="7">
        <v>2.41</v>
      </c>
      <c r="K83" s="7">
        <v>2.41</v>
      </c>
      <c r="L83" s="7">
        <v>2.41</v>
      </c>
      <c r="M83" s="7">
        <v>2.41</v>
      </c>
      <c r="N83" s="7">
        <v>2.92</v>
      </c>
      <c r="O83" s="7">
        <v>2.41</v>
      </c>
      <c r="P83" s="7">
        <v>2.41</v>
      </c>
      <c r="Q83" s="7">
        <v>2.41</v>
      </c>
    </row>
    <row r="84" spans="1:17">
      <c r="A84" s="2">
        <v>2032</v>
      </c>
      <c r="B84" s="7">
        <v>1.486</v>
      </c>
      <c r="C84" s="7">
        <v>1.486</v>
      </c>
      <c r="D84" s="7">
        <v>1.4710000000000001</v>
      </c>
      <c r="E84" s="7">
        <v>1.4610000000000001</v>
      </c>
      <c r="F84" s="7">
        <v>1.4610000000000001</v>
      </c>
      <c r="G84" s="7">
        <v>2.927</v>
      </c>
      <c r="H84" s="7">
        <v>2.927</v>
      </c>
      <c r="I84" s="7">
        <v>2.4089999999999998</v>
      </c>
      <c r="J84" s="7">
        <v>2.4089999999999998</v>
      </c>
      <c r="K84" s="7">
        <v>2.4089999999999998</v>
      </c>
      <c r="L84" s="7">
        <v>2.4089999999999998</v>
      </c>
      <c r="M84" s="7">
        <v>2.4089999999999998</v>
      </c>
      <c r="N84" s="7">
        <v>2.919</v>
      </c>
      <c r="O84" s="7">
        <v>2.4089999999999998</v>
      </c>
      <c r="P84" s="7">
        <v>2.4089999999999998</v>
      </c>
      <c r="Q84" s="7">
        <v>2.4089999999999998</v>
      </c>
    </row>
    <row r="85" spans="1:17">
      <c r="A85" s="2">
        <v>2033</v>
      </c>
      <c r="B85" s="7">
        <v>1.466</v>
      </c>
      <c r="C85" s="7">
        <v>1.466</v>
      </c>
      <c r="D85" s="7">
        <v>1.4530000000000001</v>
      </c>
      <c r="E85" s="7">
        <v>1.4430000000000001</v>
      </c>
      <c r="F85" s="7">
        <v>1.4430000000000001</v>
      </c>
      <c r="G85" s="7">
        <v>2.8690000000000002</v>
      </c>
      <c r="H85" s="7">
        <v>2.8690000000000002</v>
      </c>
      <c r="I85" s="7">
        <v>2.407</v>
      </c>
      <c r="J85" s="7">
        <v>2.407</v>
      </c>
      <c r="K85" s="7">
        <v>2.407</v>
      </c>
      <c r="L85" s="7">
        <v>2.407</v>
      </c>
      <c r="M85" s="7">
        <v>2.407</v>
      </c>
      <c r="N85" s="7">
        <v>2.9169999999999998</v>
      </c>
      <c r="O85" s="7">
        <v>2.407</v>
      </c>
      <c r="P85" s="7">
        <v>2.407</v>
      </c>
      <c r="Q85" s="7">
        <v>2.407</v>
      </c>
    </row>
    <row r="86" spans="1:17">
      <c r="A86" s="2">
        <v>2034</v>
      </c>
      <c r="B86" s="7">
        <v>1.4470000000000001</v>
      </c>
      <c r="C86" s="7">
        <v>1.4470000000000001</v>
      </c>
      <c r="D86" s="7">
        <v>1.4339999999999999</v>
      </c>
      <c r="E86" s="7">
        <v>1.4239999999999999</v>
      </c>
      <c r="F86" s="7">
        <v>1.4239999999999999</v>
      </c>
      <c r="G86" s="7">
        <v>2.8119999999999998</v>
      </c>
      <c r="H86" s="7">
        <v>2.8119999999999998</v>
      </c>
      <c r="I86" s="7">
        <v>2.4060000000000001</v>
      </c>
      <c r="J86" s="7">
        <v>2.4060000000000001</v>
      </c>
      <c r="K86" s="7">
        <v>2.4060000000000001</v>
      </c>
      <c r="L86" s="7">
        <v>2.4060000000000001</v>
      </c>
      <c r="M86" s="7">
        <v>2.4060000000000001</v>
      </c>
      <c r="N86" s="7">
        <v>2.9159999999999999</v>
      </c>
      <c r="O86" s="7">
        <v>2.4060000000000001</v>
      </c>
      <c r="P86" s="7">
        <v>2.4060000000000001</v>
      </c>
      <c r="Q86" s="7">
        <v>2.4060000000000001</v>
      </c>
    </row>
    <row r="87" spans="1:17">
      <c r="A87" s="2">
        <v>2035</v>
      </c>
      <c r="B87" s="7">
        <v>1.4279999999999999</v>
      </c>
      <c r="C87" s="7">
        <v>1.4279999999999999</v>
      </c>
      <c r="D87" s="7">
        <v>1.4159999999999999</v>
      </c>
      <c r="E87" s="7">
        <v>1.4059999999999999</v>
      </c>
      <c r="F87" s="7">
        <v>1.4059999999999999</v>
      </c>
      <c r="G87" s="7">
        <v>2.754</v>
      </c>
      <c r="H87" s="7">
        <v>2.754</v>
      </c>
      <c r="I87" s="7">
        <v>2.4039999999999999</v>
      </c>
      <c r="J87" s="7">
        <v>2.4039999999999999</v>
      </c>
      <c r="K87" s="7">
        <v>2.4039999999999999</v>
      </c>
      <c r="L87" s="7">
        <v>2.4039999999999999</v>
      </c>
      <c r="M87" s="7">
        <v>2.4039999999999999</v>
      </c>
      <c r="N87" s="7">
        <v>2.9140000000000001</v>
      </c>
      <c r="O87" s="7">
        <v>2.4039999999999999</v>
      </c>
      <c r="P87" s="7">
        <v>2.4039999999999999</v>
      </c>
      <c r="Q87" s="7">
        <v>2.4039999999999999</v>
      </c>
    </row>
    <row r="88" spans="1:17">
      <c r="A88" s="2">
        <v>2036</v>
      </c>
      <c r="B88" s="7">
        <v>1.409</v>
      </c>
      <c r="C88" s="7">
        <v>1.409</v>
      </c>
      <c r="D88" s="7">
        <v>1.3979999999999999</v>
      </c>
      <c r="E88" s="7">
        <v>1.3879999999999999</v>
      </c>
      <c r="F88" s="7">
        <v>1.3879999999999999</v>
      </c>
      <c r="G88" s="7">
        <v>2.6960000000000002</v>
      </c>
      <c r="H88" s="7">
        <v>2.6960000000000002</v>
      </c>
      <c r="I88" s="7">
        <v>2.4020000000000001</v>
      </c>
      <c r="J88" s="7">
        <v>2.4020000000000001</v>
      </c>
      <c r="K88" s="7">
        <v>2.4020000000000001</v>
      </c>
      <c r="L88" s="7">
        <v>2.4020000000000001</v>
      </c>
      <c r="M88" s="7">
        <v>2.4020000000000001</v>
      </c>
      <c r="N88" s="7">
        <v>2.9119999999999999</v>
      </c>
      <c r="O88" s="7">
        <v>2.4020000000000001</v>
      </c>
      <c r="P88" s="7">
        <v>2.4020000000000001</v>
      </c>
      <c r="Q88" s="7">
        <v>2.4020000000000001</v>
      </c>
    </row>
    <row r="89" spans="1:17">
      <c r="A89" s="2">
        <v>2037</v>
      </c>
      <c r="B89" s="7">
        <v>1.39</v>
      </c>
      <c r="C89" s="7">
        <v>1.39</v>
      </c>
      <c r="D89" s="7">
        <v>1.379</v>
      </c>
      <c r="E89" s="7">
        <v>1.369</v>
      </c>
      <c r="F89" s="7">
        <v>1.369</v>
      </c>
      <c r="G89" s="7">
        <v>2.6389999999999998</v>
      </c>
      <c r="H89" s="7">
        <v>2.6389999999999998</v>
      </c>
      <c r="I89" s="7">
        <v>2.4009999999999998</v>
      </c>
      <c r="J89" s="7">
        <v>2.4009999999999998</v>
      </c>
      <c r="K89" s="7">
        <v>2.4009999999999998</v>
      </c>
      <c r="L89" s="7">
        <v>2.4009999999999998</v>
      </c>
      <c r="M89" s="7">
        <v>2.4009999999999998</v>
      </c>
      <c r="N89" s="7">
        <v>2.911</v>
      </c>
      <c r="O89" s="7">
        <v>2.4009999999999998</v>
      </c>
      <c r="P89" s="7">
        <v>2.4009999999999998</v>
      </c>
      <c r="Q89" s="7">
        <v>2.4009999999999998</v>
      </c>
    </row>
    <row r="90" spans="1:17">
      <c r="A90" s="2">
        <v>2038</v>
      </c>
      <c r="B90" s="7">
        <v>1.37</v>
      </c>
      <c r="C90" s="7">
        <v>1.37</v>
      </c>
      <c r="D90" s="7">
        <v>1.361</v>
      </c>
      <c r="E90" s="7">
        <v>1.351</v>
      </c>
      <c r="F90" s="7">
        <v>1.351</v>
      </c>
      <c r="G90" s="7">
        <v>2.581</v>
      </c>
      <c r="H90" s="7">
        <v>2.581</v>
      </c>
      <c r="I90" s="7">
        <v>2.399</v>
      </c>
      <c r="J90" s="7">
        <v>2.399</v>
      </c>
      <c r="K90" s="7">
        <v>2.399</v>
      </c>
      <c r="L90" s="7">
        <v>2.399</v>
      </c>
      <c r="M90" s="7">
        <v>2.399</v>
      </c>
      <c r="N90" s="7">
        <v>2.9089999999999998</v>
      </c>
      <c r="O90" s="7">
        <v>2.399</v>
      </c>
      <c r="P90" s="7">
        <v>2.399</v>
      </c>
      <c r="Q90" s="7">
        <v>2.399</v>
      </c>
    </row>
    <row r="91" spans="1:17">
      <c r="A91" s="2">
        <v>2039</v>
      </c>
      <c r="B91" s="7">
        <v>1.351</v>
      </c>
      <c r="C91" s="7">
        <v>1.351</v>
      </c>
      <c r="D91" s="7">
        <v>1.3420000000000001</v>
      </c>
      <c r="E91" s="7">
        <v>1.3320000000000001</v>
      </c>
      <c r="F91" s="7">
        <v>1.3320000000000001</v>
      </c>
      <c r="G91" s="7">
        <v>2.524</v>
      </c>
      <c r="H91" s="7">
        <v>2.524</v>
      </c>
      <c r="I91" s="7">
        <v>2.3980000000000001</v>
      </c>
      <c r="J91" s="7">
        <v>2.3980000000000001</v>
      </c>
      <c r="K91" s="7">
        <v>2.3980000000000001</v>
      </c>
      <c r="L91" s="7">
        <v>2.3980000000000001</v>
      </c>
      <c r="M91" s="7">
        <v>2.3980000000000001</v>
      </c>
      <c r="N91" s="7">
        <v>2.9079999999999999</v>
      </c>
      <c r="O91" s="7">
        <v>2.3980000000000001</v>
      </c>
      <c r="P91" s="7">
        <v>2.3980000000000001</v>
      </c>
      <c r="Q91" s="7">
        <v>2.3980000000000001</v>
      </c>
    </row>
    <row r="92" spans="1:17">
      <c r="A92" s="2">
        <v>2040</v>
      </c>
      <c r="B92" s="7">
        <v>1.3320000000000001</v>
      </c>
      <c r="C92" s="7">
        <v>1.3320000000000001</v>
      </c>
      <c r="D92" s="7">
        <v>1.3240000000000001</v>
      </c>
      <c r="E92" s="7">
        <v>1.3140000000000001</v>
      </c>
      <c r="F92" s="7">
        <v>1.3140000000000001</v>
      </c>
      <c r="G92" s="7">
        <v>2.4660000000000002</v>
      </c>
      <c r="H92" s="7">
        <v>2.4660000000000002</v>
      </c>
      <c r="I92" s="7">
        <v>2.3959999999999999</v>
      </c>
      <c r="J92" s="7">
        <v>2.3959999999999999</v>
      </c>
      <c r="K92" s="7">
        <v>2.3959999999999999</v>
      </c>
      <c r="L92" s="7">
        <v>2.3959999999999999</v>
      </c>
      <c r="M92" s="7">
        <v>2.3959999999999999</v>
      </c>
      <c r="N92" s="7">
        <v>2.9060000000000001</v>
      </c>
      <c r="O92" s="7">
        <v>2.3959999999999999</v>
      </c>
      <c r="P92" s="7">
        <v>2.3959999999999999</v>
      </c>
      <c r="Q92" s="7">
        <v>2.3959999999999999</v>
      </c>
    </row>
    <row r="93" spans="1:17">
      <c r="A93" s="2">
        <v>2041</v>
      </c>
      <c r="B93" s="7">
        <v>1.3129999999999999</v>
      </c>
      <c r="C93" s="7">
        <v>1.3129999999999999</v>
      </c>
      <c r="D93" s="7">
        <v>1.306</v>
      </c>
      <c r="E93" s="7">
        <v>1.296</v>
      </c>
      <c r="F93" s="7">
        <v>1.296</v>
      </c>
      <c r="G93" s="7">
        <v>2.4079999999999999</v>
      </c>
      <c r="H93" s="7">
        <v>2.4079999999999999</v>
      </c>
      <c r="I93" s="7">
        <v>2.3940000000000001</v>
      </c>
      <c r="J93" s="7">
        <v>2.3940000000000001</v>
      </c>
      <c r="K93" s="7">
        <v>2.3940000000000001</v>
      </c>
      <c r="L93" s="7">
        <v>2.3940000000000001</v>
      </c>
      <c r="M93" s="7">
        <v>2.3940000000000001</v>
      </c>
      <c r="N93" s="7">
        <v>2.9039999999999999</v>
      </c>
      <c r="O93" s="7">
        <v>2.3940000000000001</v>
      </c>
      <c r="P93" s="7">
        <v>2.3940000000000001</v>
      </c>
      <c r="Q93" s="7">
        <v>2.3940000000000001</v>
      </c>
    </row>
    <row r="94" spans="1:17">
      <c r="A94" s="2">
        <v>2042</v>
      </c>
      <c r="B94" s="7">
        <v>1.294</v>
      </c>
      <c r="C94" s="7">
        <v>1.294</v>
      </c>
      <c r="D94" s="7">
        <v>1.2869999999999999</v>
      </c>
      <c r="E94" s="7">
        <v>1.2769999999999999</v>
      </c>
      <c r="F94" s="7">
        <v>1.2769999999999999</v>
      </c>
      <c r="G94" s="7">
        <v>2.351</v>
      </c>
      <c r="H94" s="7">
        <v>2.351</v>
      </c>
      <c r="I94" s="7">
        <v>2.3929999999999998</v>
      </c>
      <c r="J94" s="7">
        <v>2.3929999999999998</v>
      </c>
      <c r="K94" s="7">
        <v>2.3929999999999998</v>
      </c>
      <c r="L94" s="7">
        <v>2.3929999999999998</v>
      </c>
      <c r="M94" s="7">
        <v>2.3929999999999998</v>
      </c>
      <c r="N94" s="7">
        <v>2.903</v>
      </c>
      <c r="O94" s="7">
        <v>2.3929999999999998</v>
      </c>
      <c r="P94" s="7">
        <v>2.3929999999999998</v>
      </c>
      <c r="Q94" s="7">
        <v>2.3929999999999998</v>
      </c>
    </row>
    <row r="95" spans="1:17">
      <c r="A95" s="2">
        <v>2043</v>
      </c>
      <c r="B95" s="7">
        <v>1.274</v>
      </c>
      <c r="C95" s="7">
        <v>1.274</v>
      </c>
      <c r="D95" s="7">
        <v>1.2689999999999999</v>
      </c>
      <c r="E95" s="7">
        <v>1.2589999999999999</v>
      </c>
      <c r="F95" s="7">
        <v>1.2589999999999999</v>
      </c>
      <c r="G95" s="7">
        <v>2.2930000000000001</v>
      </c>
      <c r="H95" s="7">
        <v>2.2930000000000001</v>
      </c>
      <c r="I95" s="7">
        <v>2.391</v>
      </c>
      <c r="J95" s="7">
        <v>2.391</v>
      </c>
      <c r="K95" s="7">
        <v>2.391</v>
      </c>
      <c r="L95" s="7">
        <v>2.391</v>
      </c>
      <c r="M95" s="7">
        <v>2.391</v>
      </c>
      <c r="N95" s="7">
        <v>2.9009999999999998</v>
      </c>
      <c r="O95" s="7">
        <v>2.391</v>
      </c>
      <c r="P95" s="7">
        <v>2.391</v>
      </c>
      <c r="Q95" s="7">
        <v>2.391</v>
      </c>
    </row>
    <row r="96" spans="1:17">
      <c r="A96" s="2">
        <v>2044</v>
      </c>
      <c r="B96" s="7">
        <v>1.2549999999999999</v>
      </c>
      <c r="C96" s="7">
        <v>1.2549999999999999</v>
      </c>
      <c r="D96" s="7">
        <v>1.25</v>
      </c>
      <c r="E96" s="7">
        <v>1.24</v>
      </c>
      <c r="F96" s="7">
        <v>1.24</v>
      </c>
      <c r="G96" s="7">
        <v>2.2360000000000002</v>
      </c>
      <c r="H96" s="7">
        <v>2.2360000000000002</v>
      </c>
      <c r="I96" s="7">
        <v>2.39</v>
      </c>
      <c r="J96" s="7">
        <v>2.39</v>
      </c>
      <c r="K96" s="7">
        <v>2.39</v>
      </c>
      <c r="L96" s="7">
        <v>2.39</v>
      </c>
      <c r="M96" s="7">
        <v>2.39</v>
      </c>
      <c r="N96" s="7">
        <v>2.9</v>
      </c>
      <c r="O96" s="7">
        <v>2.39</v>
      </c>
      <c r="P96" s="7">
        <v>2.39</v>
      </c>
      <c r="Q96" s="7">
        <v>2.39</v>
      </c>
    </row>
    <row r="97" spans="1:17">
      <c r="A97" s="2">
        <v>2045</v>
      </c>
      <c r="B97" s="7">
        <v>1.236</v>
      </c>
      <c r="C97" s="7">
        <v>1.236</v>
      </c>
      <c r="D97" s="7">
        <v>1.232</v>
      </c>
      <c r="E97" s="7">
        <v>1.222</v>
      </c>
      <c r="F97" s="7">
        <v>1.222</v>
      </c>
      <c r="G97" s="7">
        <v>2.1779999999999999</v>
      </c>
      <c r="H97" s="7">
        <v>2.1779999999999999</v>
      </c>
      <c r="I97" s="7">
        <v>2.3879999999999999</v>
      </c>
      <c r="J97" s="7">
        <v>2.3879999999999999</v>
      </c>
      <c r="K97" s="7">
        <v>2.3879999999999999</v>
      </c>
      <c r="L97" s="7">
        <v>2.3879999999999999</v>
      </c>
      <c r="M97" s="7">
        <v>2.3879999999999999</v>
      </c>
      <c r="N97" s="7">
        <v>2.8980000000000001</v>
      </c>
      <c r="O97" s="7">
        <v>2.3879999999999999</v>
      </c>
      <c r="P97" s="7">
        <v>2.3879999999999999</v>
      </c>
      <c r="Q97" s="7">
        <v>2.3879999999999999</v>
      </c>
    </row>
    <row r="98" spans="1:17">
      <c r="A98" s="2">
        <v>2046</v>
      </c>
      <c r="B98" s="7">
        <v>1.2170000000000001</v>
      </c>
      <c r="C98" s="7">
        <v>1.2170000000000001</v>
      </c>
      <c r="D98" s="7">
        <v>1.214</v>
      </c>
      <c r="E98" s="7">
        <v>1.204</v>
      </c>
      <c r="F98" s="7">
        <v>1.204</v>
      </c>
      <c r="G98" s="7">
        <v>2.12</v>
      </c>
      <c r="H98" s="7">
        <v>2.12</v>
      </c>
      <c r="I98" s="7">
        <v>2.3860000000000001</v>
      </c>
      <c r="J98" s="7">
        <v>2.3860000000000001</v>
      </c>
      <c r="K98" s="7">
        <v>2.3860000000000001</v>
      </c>
      <c r="L98" s="7">
        <v>2.3860000000000001</v>
      </c>
      <c r="M98" s="7">
        <v>2.3860000000000001</v>
      </c>
      <c r="N98" s="7">
        <v>2.8959999999999999</v>
      </c>
      <c r="O98" s="7">
        <v>2.3860000000000001</v>
      </c>
      <c r="P98" s="7">
        <v>2.3860000000000001</v>
      </c>
      <c r="Q98" s="7">
        <v>2.3860000000000001</v>
      </c>
    </row>
    <row r="99" spans="1:17">
      <c r="A99" s="2">
        <v>2047</v>
      </c>
      <c r="B99" s="7">
        <v>1.198</v>
      </c>
      <c r="C99" s="7">
        <v>1.198</v>
      </c>
      <c r="D99" s="7">
        <v>1.1950000000000001</v>
      </c>
      <c r="E99" s="7">
        <v>1.1850000000000001</v>
      </c>
      <c r="F99" s="7">
        <v>1.1850000000000001</v>
      </c>
      <c r="G99" s="7">
        <v>2.0630000000000002</v>
      </c>
      <c r="H99" s="7">
        <v>2.0630000000000002</v>
      </c>
      <c r="I99" s="7">
        <v>2.3849999999999998</v>
      </c>
      <c r="J99" s="7">
        <v>2.3849999999999998</v>
      </c>
      <c r="K99" s="7">
        <v>2.3849999999999998</v>
      </c>
      <c r="L99" s="7">
        <v>2.3849999999999998</v>
      </c>
      <c r="M99" s="7">
        <v>2.3849999999999998</v>
      </c>
      <c r="N99" s="7">
        <v>2.895</v>
      </c>
      <c r="O99" s="7">
        <v>2.3849999999999998</v>
      </c>
      <c r="P99" s="7">
        <v>2.3849999999999998</v>
      </c>
      <c r="Q99" s="7">
        <v>2.3849999999999998</v>
      </c>
    </row>
    <row r="100" spans="1:17">
      <c r="A100" s="2">
        <v>2048</v>
      </c>
      <c r="B100" s="7">
        <v>1.1779999999999999</v>
      </c>
      <c r="C100" s="7">
        <v>1.1779999999999999</v>
      </c>
      <c r="D100" s="7">
        <v>1.177</v>
      </c>
      <c r="E100" s="7">
        <v>1.167</v>
      </c>
      <c r="F100" s="7">
        <v>1.167</v>
      </c>
      <c r="G100" s="7">
        <v>2.0049999999999999</v>
      </c>
      <c r="H100" s="7">
        <v>2.0049999999999999</v>
      </c>
      <c r="I100" s="7">
        <v>2.383</v>
      </c>
      <c r="J100" s="7">
        <v>2.383</v>
      </c>
      <c r="K100" s="7">
        <v>2.383</v>
      </c>
      <c r="L100" s="7">
        <v>2.383</v>
      </c>
      <c r="M100" s="7">
        <v>2.383</v>
      </c>
      <c r="N100" s="7">
        <v>2.8929999999999998</v>
      </c>
      <c r="O100" s="7">
        <v>2.383</v>
      </c>
      <c r="P100" s="7">
        <v>2.383</v>
      </c>
      <c r="Q100" s="7">
        <v>2.383</v>
      </c>
    </row>
    <row r="101" spans="1:17">
      <c r="A101" s="2">
        <v>2049</v>
      </c>
      <c r="B101" s="7">
        <v>1.159</v>
      </c>
      <c r="C101" s="7">
        <v>1.159</v>
      </c>
      <c r="D101" s="7">
        <v>1.1579999999999999</v>
      </c>
      <c r="E101" s="7">
        <v>1.1479999999999999</v>
      </c>
      <c r="F101" s="7">
        <v>1.1479999999999999</v>
      </c>
      <c r="G101" s="7">
        <v>1.948</v>
      </c>
      <c r="H101" s="7">
        <v>1.948</v>
      </c>
      <c r="I101" s="7">
        <v>2.3820000000000001</v>
      </c>
      <c r="J101" s="7">
        <v>2.3820000000000001</v>
      </c>
      <c r="K101" s="7">
        <v>2.3820000000000001</v>
      </c>
      <c r="L101" s="7">
        <v>2.3820000000000001</v>
      </c>
      <c r="M101" s="7">
        <v>2.3820000000000001</v>
      </c>
      <c r="N101" s="7">
        <v>2.8919999999999999</v>
      </c>
      <c r="O101" s="7">
        <v>2.3820000000000001</v>
      </c>
      <c r="P101" s="7">
        <v>2.3820000000000001</v>
      </c>
      <c r="Q101" s="7">
        <v>2.3820000000000001</v>
      </c>
    </row>
    <row r="102" spans="1:17">
      <c r="A102" s="2">
        <v>2050</v>
      </c>
      <c r="B102" s="7">
        <v>1.1399999999999999</v>
      </c>
      <c r="C102" s="7">
        <v>1.1399999999999999</v>
      </c>
      <c r="D102" s="7">
        <v>1.1399999999999999</v>
      </c>
      <c r="E102" s="7">
        <v>1.1299999999999999</v>
      </c>
      <c r="F102" s="7">
        <v>1.1299999999999999</v>
      </c>
      <c r="G102" s="7">
        <v>1.89</v>
      </c>
      <c r="H102" s="7">
        <v>1.89</v>
      </c>
      <c r="I102" s="7">
        <v>2.38</v>
      </c>
      <c r="J102" s="7">
        <v>2.38</v>
      </c>
      <c r="K102" s="7">
        <v>2.38</v>
      </c>
      <c r="L102" s="7">
        <v>2.38</v>
      </c>
      <c r="M102" s="7">
        <v>2.38</v>
      </c>
      <c r="N102" s="7">
        <v>2.89</v>
      </c>
      <c r="O102" s="7">
        <v>2.38</v>
      </c>
      <c r="P102" s="7">
        <v>2.38</v>
      </c>
      <c r="Q102" s="7">
        <v>2.38</v>
      </c>
    </row>
    <row r="103" spans="1:17">
      <c r="A103" s="2">
        <v>2051</v>
      </c>
      <c r="B103" s="7">
        <v>1.139</v>
      </c>
      <c r="C103" s="7">
        <v>1.139</v>
      </c>
      <c r="D103" s="7">
        <v>1.139</v>
      </c>
      <c r="E103" s="7">
        <v>1.1299999999999999</v>
      </c>
      <c r="F103" s="7">
        <v>1.1299999999999999</v>
      </c>
      <c r="G103" s="7">
        <v>1.8919999999999999</v>
      </c>
      <c r="H103" s="7">
        <v>1.8919999999999999</v>
      </c>
      <c r="I103" s="7">
        <v>2.3889999999999998</v>
      </c>
      <c r="J103" s="7">
        <v>2.3889999999999998</v>
      </c>
      <c r="K103" s="7">
        <v>2.3889999999999998</v>
      </c>
      <c r="L103" s="7">
        <v>2.3889999999999998</v>
      </c>
      <c r="M103" s="7">
        <v>2.3889999999999998</v>
      </c>
      <c r="N103" s="7">
        <v>2.8879999999999999</v>
      </c>
      <c r="O103" s="7">
        <v>2.3889999999999998</v>
      </c>
      <c r="P103" s="7">
        <v>2.3889999999999998</v>
      </c>
      <c r="Q103" s="7">
        <v>2.3889999999999998</v>
      </c>
    </row>
    <row r="104" spans="1:17">
      <c r="A104" s="2">
        <v>2052</v>
      </c>
      <c r="B104" s="7">
        <v>1.1379999999999999</v>
      </c>
      <c r="C104" s="7">
        <v>1.1379999999999999</v>
      </c>
      <c r="D104" s="7">
        <v>1.1379999999999999</v>
      </c>
      <c r="E104" s="7">
        <v>1.1299999999999999</v>
      </c>
      <c r="F104" s="7">
        <v>1.1299999999999999</v>
      </c>
      <c r="G104" s="7">
        <v>1.893</v>
      </c>
      <c r="H104" s="7">
        <v>1.893</v>
      </c>
      <c r="I104" s="7">
        <v>2.3980000000000001</v>
      </c>
      <c r="J104" s="7">
        <v>2.3980000000000001</v>
      </c>
      <c r="K104" s="7">
        <v>2.3980000000000001</v>
      </c>
      <c r="L104" s="7">
        <v>2.3980000000000001</v>
      </c>
      <c r="M104" s="7">
        <v>2.3980000000000001</v>
      </c>
      <c r="N104" s="7">
        <v>2.887</v>
      </c>
      <c r="O104" s="7">
        <v>2.3980000000000001</v>
      </c>
      <c r="P104" s="7">
        <v>2.3980000000000001</v>
      </c>
      <c r="Q104" s="7">
        <v>2.3980000000000001</v>
      </c>
    </row>
    <row r="105" spans="1:17">
      <c r="A105" s="2">
        <v>2053</v>
      </c>
      <c r="B105" s="7">
        <v>1.1379999999999999</v>
      </c>
      <c r="C105" s="7">
        <v>1.1379999999999999</v>
      </c>
      <c r="D105" s="7">
        <v>1.1359999999999999</v>
      </c>
      <c r="E105" s="7">
        <v>1.1299999999999999</v>
      </c>
      <c r="F105" s="7">
        <v>1.1299999999999999</v>
      </c>
      <c r="G105" s="7">
        <v>1.895</v>
      </c>
      <c r="H105" s="7">
        <v>1.895</v>
      </c>
      <c r="I105" s="7">
        <v>2.4060000000000001</v>
      </c>
      <c r="J105" s="7">
        <v>2.4060000000000001</v>
      </c>
      <c r="K105" s="7">
        <v>2.4060000000000001</v>
      </c>
      <c r="L105" s="7">
        <v>2.4060000000000001</v>
      </c>
      <c r="M105" s="7">
        <v>2.4060000000000001</v>
      </c>
      <c r="N105" s="7">
        <v>2.8849999999999998</v>
      </c>
      <c r="O105" s="7">
        <v>2.4060000000000001</v>
      </c>
      <c r="P105" s="7">
        <v>2.4060000000000001</v>
      </c>
      <c r="Q105" s="7">
        <v>2.4060000000000001</v>
      </c>
    </row>
    <row r="106" spans="1:17">
      <c r="A106" s="2">
        <v>2054</v>
      </c>
      <c r="B106" s="7">
        <v>1.137</v>
      </c>
      <c r="C106" s="7">
        <v>1.137</v>
      </c>
      <c r="D106" s="7">
        <v>1.135</v>
      </c>
      <c r="E106" s="7">
        <v>1.1299999999999999</v>
      </c>
      <c r="F106" s="7">
        <v>1.1299999999999999</v>
      </c>
      <c r="G106" s="7">
        <v>1.8959999999999999</v>
      </c>
      <c r="H106" s="7">
        <v>1.8959999999999999</v>
      </c>
      <c r="I106" s="7">
        <v>2.415</v>
      </c>
      <c r="J106" s="7">
        <v>2.415</v>
      </c>
      <c r="K106" s="7">
        <v>2.415</v>
      </c>
      <c r="L106" s="7">
        <v>2.415</v>
      </c>
      <c r="M106" s="7">
        <v>2.415</v>
      </c>
      <c r="N106" s="7">
        <v>2.8839999999999999</v>
      </c>
      <c r="O106" s="7">
        <v>2.415</v>
      </c>
      <c r="P106" s="7">
        <v>2.415</v>
      </c>
      <c r="Q106" s="7">
        <v>2.415</v>
      </c>
    </row>
    <row r="107" spans="1:17">
      <c r="A107" s="2">
        <v>2055</v>
      </c>
      <c r="B107" s="7">
        <v>1.1359999999999999</v>
      </c>
      <c r="C107" s="7">
        <v>1.1359999999999999</v>
      </c>
      <c r="D107" s="7">
        <v>1.1339999999999999</v>
      </c>
      <c r="E107" s="7">
        <v>1.1299999999999999</v>
      </c>
      <c r="F107" s="7">
        <v>1.1299999999999999</v>
      </c>
      <c r="G107" s="7">
        <v>1.8979999999999999</v>
      </c>
      <c r="H107" s="7">
        <v>1.8979999999999999</v>
      </c>
      <c r="I107" s="7">
        <v>2.4239999999999999</v>
      </c>
      <c r="J107" s="7">
        <v>2.4239999999999999</v>
      </c>
      <c r="K107" s="7">
        <v>2.4239999999999999</v>
      </c>
      <c r="L107" s="7">
        <v>2.4239999999999999</v>
      </c>
      <c r="M107" s="7">
        <v>2.4239999999999999</v>
      </c>
      <c r="N107" s="7">
        <v>2.8820000000000001</v>
      </c>
      <c r="O107" s="7">
        <v>2.4239999999999999</v>
      </c>
      <c r="P107" s="7">
        <v>2.4239999999999999</v>
      </c>
      <c r="Q107" s="7">
        <v>2.4239999999999999</v>
      </c>
    </row>
    <row r="108" spans="1:17">
      <c r="A108" s="2">
        <v>2056</v>
      </c>
      <c r="B108" s="7">
        <v>1.135</v>
      </c>
      <c r="C108" s="7">
        <v>1.135</v>
      </c>
      <c r="D108" s="7">
        <v>1.133</v>
      </c>
      <c r="E108" s="7">
        <v>1.1299999999999999</v>
      </c>
      <c r="F108" s="7">
        <v>1.1299999999999999</v>
      </c>
      <c r="G108" s="7">
        <v>1.9</v>
      </c>
      <c r="H108" s="7">
        <v>1.9</v>
      </c>
      <c r="I108" s="7">
        <v>2.4329999999999998</v>
      </c>
      <c r="J108" s="7">
        <v>2.4329999999999998</v>
      </c>
      <c r="K108" s="7">
        <v>2.4329999999999998</v>
      </c>
      <c r="L108" s="7">
        <v>2.4329999999999998</v>
      </c>
      <c r="M108" s="7">
        <v>2.4329999999999998</v>
      </c>
      <c r="N108" s="7">
        <v>2.88</v>
      </c>
      <c r="O108" s="7">
        <v>2.4329999999999998</v>
      </c>
      <c r="P108" s="7">
        <v>2.4329999999999998</v>
      </c>
      <c r="Q108" s="7">
        <v>2.4329999999999998</v>
      </c>
    </row>
    <row r="109" spans="1:17">
      <c r="A109" s="2">
        <v>2057</v>
      </c>
      <c r="B109" s="7">
        <v>1.1339999999999999</v>
      </c>
      <c r="C109" s="7">
        <v>1.1339999999999999</v>
      </c>
      <c r="D109" s="7">
        <v>1.1319999999999999</v>
      </c>
      <c r="E109" s="7">
        <v>1.1299999999999999</v>
      </c>
      <c r="F109" s="7">
        <v>1.1299999999999999</v>
      </c>
      <c r="G109" s="7">
        <v>1.901</v>
      </c>
      <c r="H109" s="7">
        <v>1.901</v>
      </c>
      <c r="I109" s="7">
        <v>2.4420000000000002</v>
      </c>
      <c r="J109" s="7">
        <v>2.4420000000000002</v>
      </c>
      <c r="K109" s="7">
        <v>2.4420000000000002</v>
      </c>
      <c r="L109" s="7">
        <v>2.4420000000000002</v>
      </c>
      <c r="M109" s="7">
        <v>2.4420000000000002</v>
      </c>
      <c r="N109" s="7">
        <v>2.879</v>
      </c>
      <c r="O109" s="7">
        <v>2.4420000000000002</v>
      </c>
      <c r="P109" s="7">
        <v>2.4420000000000002</v>
      </c>
      <c r="Q109" s="7">
        <v>2.4420000000000002</v>
      </c>
    </row>
    <row r="110" spans="1:17">
      <c r="A110" s="2">
        <v>2058</v>
      </c>
      <c r="B110" s="7">
        <v>1.1339999999999999</v>
      </c>
      <c r="C110" s="7">
        <v>1.1339999999999999</v>
      </c>
      <c r="D110" s="7">
        <v>1.1299999999999999</v>
      </c>
      <c r="E110" s="7">
        <v>1.1299999999999999</v>
      </c>
      <c r="F110" s="7">
        <v>1.1299999999999999</v>
      </c>
      <c r="G110" s="7">
        <v>1.903</v>
      </c>
      <c r="H110" s="7">
        <v>1.903</v>
      </c>
      <c r="I110" s="7">
        <v>2.4500000000000002</v>
      </c>
      <c r="J110" s="7">
        <v>2.4500000000000002</v>
      </c>
      <c r="K110" s="7">
        <v>2.4500000000000002</v>
      </c>
      <c r="L110" s="7">
        <v>2.4500000000000002</v>
      </c>
      <c r="M110" s="7">
        <v>2.4500000000000002</v>
      </c>
      <c r="N110" s="7">
        <v>2.8769999999999998</v>
      </c>
      <c r="O110" s="7">
        <v>2.4500000000000002</v>
      </c>
      <c r="P110" s="7">
        <v>2.4500000000000002</v>
      </c>
      <c r="Q110" s="7">
        <v>2.4500000000000002</v>
      </c>
    </row>
    <row r="111" spans="1:17">
      <c r="A111" s="2">
        <v>2059</v>
      </c>
      <c r="B111" s="7">
        <v>1.133</v>
      </c>
      <c r="C111" s="7">
        <v>1.133</v>
      </c>
      <c r="D111" s="7">
        <v>1.129</v>
      </c>
      <c r="E111" s="7">
        <v>1.1299999999999999</v>
      </c>
      <c r="F111" s="7">
        <v>1.1299999999999999</v>
      </c>
      <c r="G111" s="7">
        <v>1.9039999999999999</v>
      </c>
      <c r="H111" s="7">
        <v>1.9039999999999999</v>
      </c>
      <c r="I111" s="7">
        <v>2.4590000000000001</v>
      </c>
      <c r="J111" s="7">
        <v>2.4590000000000001</v>
      </c>
      <c r="K111" s="7">
        <v>2.4590000000000001</v>
      </c>
      <c r="L111" s="7">
        <v>2.4590000000000001</v>
      </c>
      <c r="M111" s="7">
        <v>2.4590000000000001</v>
      </c>
      <c r="N111" s="7">
        <v>2.8759999999999999</v>
      </c>
      <c r="O111" s="7">
        <v>2.4590000000000001</v>
      </c>
      <c r="P111" s="7">
        <v>2.4590000000000001</v>
      </c>
      <c r="Q111" s="7">
        <v>2.4590000000000001</v>
      </c>
    </row>
    <row r="112" spans="1:17">
      <c r="A112" s="2">
        <v>2060</v>
      </c>
      <c r="B112" s="7">
        <v>1.1319999999999999</v>
      </c>
      <c r="C112" s="7">
        <v>1.1319999999999999</v>
      </c>
      <c r="D112" s="7">
        <v>1.1279999999999999</v>
      </c>
      <c r="E112" s="7">
        <v>1.1299999999999999</v>
      </c>
      <c r="F112" s="7">
        <v>1.1299999999999999</v>
      </c>
      <c r="G112" s="7">
        <v>1.9059999999999999</v>
      </c>
      <c r="H112" s="7">
        <v>1.9059999999999999</v>
      </c>
      <c r="I112" s="7">
        <v>2.468</v>
      </c>
      <c r="J112" s="7">
        <v>2.468</v>
      </c>
      <c r="K112" s="7">
        <v>2.468</v>
      </c>
      <c r="L112" s="7">
        <v>2.468</v>
      </c>
      <c r="M112" s="7">
        <v>2.468</v>
      </c>
      <c r="N112" s="7">
        <v>2.8740000000000001</v>
      </c>
      <c r="O112" s="7">
        <v>2.468</v>
      </c>
      <c r="P112" s="7">
        <v>2.468</v>
      </c>
      <c r="Q112" s="7">
        <v>2.468</v>
      </c>
    </row>
    <row r="113" spans="1:17">
      <c r="A113" s="2">
        <v>2061</v>
      </c>
      <c r="B113" s="7">
        <v>1.131</v>
      </c>
      <c r="C113" s="7">
        <v>1.131</v>
      </c>
      <c r="D113" s="7">
        <v>1.127</v>
      </c>
      <c r="E113" s="7">
        <v>1.1299999999999999</v>
      </c>
      <c r="F113" s="7">
        <v>1.1299999999999999</v>
      </c>
      <c r="G113" s="7">
        <v>1.9079999999999999</v>
      </c>
      <c r="H113" s="7">
        <v>1.9079999999999999</v>
      </c>
      <c r="I113" s="7">
        <v>2.4769999999999999</v>
      </c>
      <c r="J113" s="7">
        <v>2.4769999999999999</v>
      </c>
      <c r="K113" s="7">
        <v>2.4769999999999999</v>
      </c>
      <c r="L113" s="7">
        <v>2.4769999999999999</v>
      </c>
      <c r="M113" s="7">
        <v>2.4769999999999999</v>
      </c>
      <c r="N113" s="7">
        <v>2.8719999999999999</v>
      </c>
      <c r="O113" s="7">
        <v>2.4769999999999999</v>
      </c>
      <c r="P113" s="7">
        <v>2.4769999999999999</v>
      </c>
      <c r="Q113" s="7">
        <v>2.4769999999999999</v>
      </c>
    </row>
    <row r="114" spans="1:17">
      <c r="A114" s="2">
        <v>2062</v>
      </c>
      <c r="B114" s="7">
        <v>1.1299999999999999</v>
      </c>
      <c r="C114" s="7">
        <v>1.1299999999999999</v>
      </c>
      <c r="D114" s="7">
        <v>1.1259999999999999</v>
      </c>
      <c r="E114" s="7">
        <v>1.1299999999999999</v>
      </c>
      <c r="F114" s="7">
        <v>1.1299999999999999</v>
      </c>
      <c r="G114" s="7">
        <v>1.909</v>
      </c>
      <c r="H114" s="7">
        <v>1.909</v>
      </c>
      <c r="I114" s="7">
        <v>2.4860000000000002</v>
      </c>
      <c r="J114" s="7">
        <v>2.4860000000000002</v>
      </c>
      <c r="K114" s="7">
        <v>2.4860000000000002</v>
      </c>
      <c r="L114" s="7">
        <v>2.4860000000000002</v>
      </c>
      <c r="M114" s="7">
        <v>2.4860000000000002</v>
      </c>
      <c r="N114" s="7">
        <v>2.871</v>
      </c>
      <c r="O114" s="7">
        <v>2.4860000000000002</v>
      </c>
      <c r="P114" s="7">
        <v>2.4860000000000002</v>
      </c>
      <c r="Q114" s="7">
        <v>2.4860000000000002</v>
      </c>
    </row>
    <row r="115" spans="1:17">
      <c r="A115" s="2">
        <v>2063</v>
      </c>
      <c r="B115" s="7">
        <v>1.1299999999999999</v>
      </c>
      <c r="C115" s="7">
        <v>1.1299999999999999</v>
      </c>
      <c r="D115" s="7">
        <v>1.1240000000000001</v>
      </c>
      <c r="E115" s="7">
        <v>1.1299999999999999</v>
      </c>
      <c r="F115" s="7">
        <v>1.1299999999999999</v>
      </c>
      <c r="G115" s="7">
        <v>1.911</v>
      </c>
      <c r="H115" s="7">
        <v>1.911</v>
      </c>
      <c r="I115" s="7">
        <v>2.4940000000000002</v>
      </c>
      <c r="J115" s="7">
        <v>2.4940000000000002</v>
      </c>
      <c r="K115" s="7">
        <v>2.4940000000000002</v>
      </c>
      <c r="L115" s="7">
        <v>2.4940000000000002</v>
      </c>
      <c r="M115" s="7">
        <v>2.4940000000000002</v>
      </c>
      <c r="N115" s="7">
        <v>2.8690000000000002</v>
      </c>
      <c r="O115" s="7">
        <v>2.4940000000000002</v>
      </c>
      <c r="P115" s="7">
        <v>2.4940000000000002</v>
      </c>
      <c r="Q115" s="7">
        <v>2.4940000000000002</v>
      </c>
    </row>
    <row r="116" spans="1:17">
      <c r="A116" s="2">
        <v>2064</v>
      </c>
      <c r="B116" s="7">
        <v>1.129</v>
      </c>
      <c r="C116" s="7">
        <v>1.129</v>
      </c>
      <c r="D116" s="7">
        <v>1.123</v>
      </c>
      <c r="E116" s="7">
        <v>1.1299999999999999</v>
      </c>
      <c r="F116" s="7">
        <v>1.1299999999999999</v>
      </c>
      <c r="G116" s="7">
        <v>1.9119999999999999</v>
      </c>
      <c r="H116" s="7">
        <v>1.9119999999999999</v>
      </c>
      <c r="I116" s="7">
        <v>2.5030000000000001</v>
      </c>
      <c r="J116" s="7">
        <v>2.5030000000000001</v>
      </c>
      <c r="K116" s="7">
        <v>2.5030000000000001</v>
      </c>
      <c r="L116" s="7">
        <v>2.5030000000000001</v>
      </c>
      <c r="M116" s="7">
        <v>2.5030000000000001</v>
      </c>
      <c r="N116" s="7">
        <v>2.8679999999999999</v>
      </c>
      <c r="O116" s="7">
        <v>2.5030000000000001</v>
      </c>
      <c r="P116" s="7">
        <v>2.5030000000000001</v>
      </c>
      <c r="Q116" s="7">
        <v>2.5030000000000001</v>
      </c>
    </row>
    <row r="117" spans="1:17">
      <c r="A117" s="2">
        <v>2065</v>
      </c>
      <c r="B117" s="7">
        <v>1.1279999999999999</v>
      </c>
      <c r="C117" s="7">
        <v>1.1279999999999999</v>
      </c>
      <c r="D117" s="7">
        <v>1.1220000000000001</v>
      </c>
      <c r="E117" s="7">
        <v>1.1299999999999999</v>
      </c>
      <c r="F117" s="7">
        <v>1.1299999999999999</v>
      </c>
      <c r="G117" s="7">
        <v>1.9139999999999999</v>
      </c>
      <c r="H117" s="7">
        <v>1.9139999999999999</v>
      </c>
      <c r="I117" s="7">
        <v>2.512</v>
      </c>
      <c r="J117" s="7">
        <v>2.512</v>
      </c>
      <c r="K117" s="7">
        <v>2.512</v>
      </c>
      <c r="L117" s="7">
        <v>2.512</v>
      </c>
      <c r="M117" s="7">
        <v>2.512</v>
      </c>
      <c r="N117" s="7">
        <v>2.8660000000000001</v>
      </c>
      <c r="O117" s="7">
        <v>2.512</v>
      </c>
      <c r="P117" s="7">
        <v>2.512</v>
      </c>
      <c r="Q117" s="7">
        <v>2.512</v>
      </c>
    </row>
    <row r="118" spans="1:17">
      <c r="A118" s="2">
        <v>2066</v>
      </c>
      <c r="B118" s="7">
        <v>1.127</v>
      </c>
      <c r="C118" s="7">
        <v>1.127</v>
      </c>
      <c r="D118" s="7">
        <v>1.121</v>
      </c>
      <c r="E118" s="7">
        <v>1.1299999999999999</v>
      </c>
      <c r="F118" s="7">
        <v>1.1299999999999999</v>
      </c>
      <c r="G118" s="7">
        <v>1.9159999999999999</v>
      </c>
      <c r="H118" s="7">
        <v>1.9159999999999999</v>
      </c>
      <c r="I118" s="7">
        <v>2.5209999999999999</v>
      </c>
      <c r="J118" s="7">
        <v>2.5209999999999999</v>
      </c>
      <c r="K118" s="7">
        <v>2.5209999999999999</v>
      </c>
      <c r="L118" s="7">
        <v>2.5209999999999999</v>
      </c>
      <c r="M118" s="7">
        <v>2.5209999999999999</v>
      </c>
      <c r="N118" s="7">
        <v>2.8639999999999999</v>
      </c>
      <c r="O118" s="7">
        <v>2.5209999999999999</v>
      </c>
      <c r="P118" s="7">
        <v>2.5209999999999999</v>
      </c>
      <c r="Q118" s="7">
        <v>2.5209999999999999</v>
      </c>
    </row>
    <row r="119" spans="1:17">
      <c r="A119" s="2">
        <v>2067</v>
      </c>
      <c r="B119" s="7">
        <v>1.1259999999999999</v>
      </c>
      <c r="C119" s="7">
        <v>1.1259999999999999</v>
      </c>
      <c r="D119" s="7">
        <v>1.1200000000000001</v>
      </c>
      <c r="E119" s="7">
        <v>1.1299999999999999</v>
      </c>
      <c r="F119" s="7">
        <v>1.1299999999999999</v>
      </c>
      <c r="G119" s="7">
        <v>1.917</v>
      </c>
      <c r="H119" s="7">
        <v>1.917</v>
      </c>
      <c r="I119" s="7">
        <v>2.5299999999999998</v>
      </c>
      <c r="J119" s="7">
        <v>2.5299999999999998</v>
      </c>
      <c r="K119" s="7">
        <v>2.5299999999999998</v>
      </c>
      <c r="L119" s="7">
        <v>2.5299999999999998</v>
      </c>
      <c r="M119" s="7">
        <v>2.5299999999999998</v>
      </c>
      <c r="N119" s="7">
        <v>2.863</v>
      </c>
      <c r="O119" s="7">
        <v>2.5299999999999998</v>
      </c>
      <c r="P119" s="7">
        <v>2.5299999999999998</v>
      </c>
      <c r="Q119" s="7">
        <v>2.5299999999999998</v>
      </c>
    </row>
    <row r="120" spans="1:17">
      <c r="A120" s="2">
        <v>2068</v>
      </c>
      <c r="B120" s="7">
        <v>1.1259999999999999</v>
      </c>
      <c r="C120" s="7">
        <v>1.1259999999999999</v>
      </c>
      <c r="D120" s="7">
        <v>1.1180000000000001</v>
      </c>
      <c r="E120" s="7">
        <v>1.1299999999999999</v>
      </c>
      <c r="F120" s="7">
        <v>1.1299999999999999</v>
      </c>
      <c r="G120" s="7">
        <v>1.919</v>
      </c>
      <c r="H120" s="7">
        <v>1.919</v>
      </c>
      <c r="I120" s="7">
        <v>2.5379999999999998</v>
      </c>
      <c r="J120" s="7">
        <v>2.5379999999999998</v>
      </c>
      <c r="K120" s="7">
        <v>2.5379999999999998</v>
      </c>
      <c r="L120" s="7">
        <v>2.5379999999999998</v>
      </c>
      <c r="M120" s="7">
        <v>2.5379999999999998</v>
      </c>
      <c r="N120" s="7">
        <v>2.8610000000000002</v>
      </c>
      <c r="O120" s="7">
        <v>2.5379999999999998</v>
      </c>
      <c r="P120" s="7">
        <v>2.5379999999999998</v>
      </c>
      <c r="Q120" s="7">
        <v>2.5379999999999998</v>
      </c>
    </row>
    <row r="121" spans="1:17">
      <c r="A121" s="2">
        <v>2069</v>
      </c>
      <c r="B121" s="7">
        <v>1.125</v>
      </c>
      <c r="C121" s="7">
        <v>1.125</v>
      </c>
      <c r="D121" s="7">
        <v>1.117</v>
      </c>
      <c r="E121" s="7">
        <v>1.1299999999999999</v>
      </c>
      <c r="F121" s="7">
        <v>1.1299999999999999</v>
      </c>
      <c r="G121" s="7">
        <v>1.92</v>
      </c>
      <c r="H121" s="7">
        <v>1.92</v>
      </c>
      <c r="I121" s="7">
        <v>2.5470000000000002</v>
      </c>
      <c r="J121" s="7">
        <v>2.5470000000000002</v>
      </c>
      <c r="K121" s="7">
        <v>2.5470000000000002</v>
      </c>
      <c r="L121" s="7">
        <v>2.5470000000000002</v>
      </c>
      <c r="M121" s="7">
        <v>2.5470000000000002</v>
      </c>
      <c r="N121" s="7">
        <v>2.86</v>
      </c>
      <c r="O121" s="7">
        <v>2.5470000000000002</v>
      </c>
      <c r="P121" s="7">
        <v>2.5470000000000002</v>
      </c>
      <c r="Q121" s="7">
        <v>2.5470000000000002</v>
      </c>
    </row>
    <row r="122" spans="1:17">
      <c r="A122" s="2">
        <v>2070</v>
      </c>
      <c r="B122" s="7">
        <v>1.1240000000000001</v>
      </c>
      <c r="C122" s="7">
        <v>1.1240000000000001</v>
      </c>
      <c r="D122" s="7">
        <v>1.1160000000000001</v>
      </c>
      <c r="E122" s="7">
        <v>1.1299999999999999</v>
      </c>
      <c r="F122" s="7">
        <v>1.1299999999999999</v>
      </c>
      <c r="G122" s="7">
        <v>1.9219999999999999</v>
      </c>
      <c r="H122" s="7">
        <v>1.9219999999999999</v>
      </c>
      <c r="I122" s="7">
        <v>2.556</v>
      </c>
      <c r="J122" s="7">
        <v>2.556</v>
      </c>
      <c r="K122" s="7">
        <v>2.556</v>
      </c>
      <c r="L122" s="7">
        <v>2.556</v>
      </c>
      <c r="M122" s="7">
        <v>2.556</v>
      </c>
      <c r="N122" s="7">
        <v>2.8580000000000001</v>
      </c>
      <c r="O122" s="7">
        <v>2.556</v>
      </c>
      <c r="P122" s="7">
        <v>2.556</v>
      </c>
      <c r="Q122" s="7">
        <v>2.556</v>
      </c>
    </row>
    <row r="123" spans="1:17">
      <c r="A123" s="2">
        <v>2071</v>
      </c>
      <c r="B123" s="7">
        <v>1.123</v>
      </c>
      <c r="C123" s="7">
        <v>1.123</v>
      </c>
      <c r="D123" s="7">
        <v>1.115</v>
      </c>
      <c r="E123" s="7">
        <v>1.1299999999999999</v>
      </c>
      <c r="F123" s="7">
        <v>1.1299999999999999</v>
      </c>
      <c r="G123" s="7">
        <v>1.9239999999999999</v>
      </c>
      <c r="H123" s="7">
        <v>1.9239999999999999</v>
      </c>
      <c r="I123" s="7">
        <v>2.5649999999999999</v>
      </c>
      <c r="J123" s="7">
        <v>2.5649999999999999</v>
      </c>
      <c r="K123" s="7">
        <v>2.5649999999999999</v>
      </c>
      <c r="L123" s="7">
        <v>2.5649999999999999</v>
      </c>
      <c r="M123" s="7">
        <v>2.5649999999999999</v>
      </c>
      <c r="N123" s="7">
        <v>2.8559999999999999</v>
      </c>
      <c r="O123" s="7">
        <v>2.5649999999999999</v>
      </c>
      <c r="P123" s="7">
        <v>2.5649999999999999</v>
      </c>
      <c r="Q123" s="7">
        <v>2.5649999999999999</v>
      </c>
    </row>
    <row r="124" spans="1:17">
      <c r="A124" s="2">
        <v>2072</v>
      </c>
      <c r="B124" s="7">
        <v>1.1220000000000001</v>
      </c>
      <c r="C124" s="7">
        <v>1.1220000000000001</v>
      </c>
      <c r="D124" s="7">
        <v>1.1140000000000001</v>
      </c>
      <c r="E124" s="7">
        <v>1.1299999999999999</v>
      </c>
      <c r="F124" s="7">
        <v>1.1299999999999999</v>
      </c>
      <c r="G124" s="7">
        <v>1.925</v>
      </c>
      <c r="H124" s="7">
        <v>1.925</v>
      </c>
      <c r="I124" s="7">
        <v>2.5739999999999998</v>
      </c>
      <c r="J124" s="7">
        <v>2.5739999999999998</v>
      </c>
      <c r="K124" s="7">
        <v>2.5739999999999998</v>
      </c>
      <c r="L124" s="7">
        <v>2.5739999999999998</v>
      </c>
      <c r="M124" s="7">
        <v>2.5739999999999998</v>
      </c>
      <c r="N124" s="7">
        <v>2.855</v>
      </c>
      <c r="O124" s="7">
        <v>2.5739999999999998</v>
      </c>
      <c r="P124" s="7">
        <v>2.5739999999999998</v>
      </c>
      <c r="Q124" s="7">
        <v>2.5739999999999998</v>
      </c>
    </row>
    <row r="125" spans="1:17">
      <c r="A125" s="2">
        <v>2073</v>
      </c>
      <c r="B125" s="7">
        <v>1.1220000000000001</v>
      </c>
      <c r="C125" s="7">
        <v>1.1220000000000001</v>
      </c>
      <c r="D125" s="7">
        <v>1.1120000000000001</v>
      </c>
      <c r="E125" s="7">
        <v>1.1299999999999999</v>
      </c>
      <c r="F125" s="7">
        <v>1.1299999999999999</v>
      </c>
      <c r="G125" s="7">
        <v>1.927</v>
      </c>
      <c r="H125" s="7">
        <v>1.927</v>
      </c>
      <c r="I125" s="7">
        <v>2.5819999999999999</v>
      </c>
      <c r="J125" s="7">
        <v>2.5819999999999999</v>
      </c>
      <c r="K125" s="7">
        <v>2.5819999999999999</v>
      </c>
      <c r="L125" s="7">
        <v>2.5819999999999999</v>
      </c>
      <c r="M125" s="7">
        <v>2.5819999999999999</v>
      </c>
      <c r="N125" s="7">
        <v>2.8530000000000002</v>
      </c>
      <c r="O125" s="7">
        <v>2.5819999999999999</v>
      </c>
      <c r="P125" s="7">
        <v>2.5819999999999999</v>
      </c>
      <c r="Q125" s="7">
        <v>2.5819999999999999</v>
      </c>
    </row>
    <row r="126" spans="1:17">
      <c r="A126" s="2">
        <v>2074</v>
      </c>
      <c r="B126" s="7">
        <v>1.121</v>
      </c>
      <c r="C126" s="7">
        <v>1.121</v>
      </c>
      <c r="D126" s="7">
        <v>1.111</v>
      </c>
      <c r="E126" s="7">
        <v>1.1299999999999999</v>
      </c>
      <c r="F126" s="7">
        <v>1.1299999999999999</v>
      </c>
      <c r="G126" s="7">
        <v>1.9279999999999999</v>
      </c>
      <c r="H126" s="7">
        <v>1.9279999999999999</v>
      </c>
      <c r="I126" s="7">
        <v>2.5910000000000002</v>
      </c>
      <c r="J126" s="7">
        <v>2.5910000000000002</v>
      </c>
      <c r="K126" s="7">
        <v>2.5910000000000002</v>
      </c>
      <c r="L126" s="7">
        <v>2.5910000000000002</v>
      </c>
      <c r="M126" s="7">
        <v>2.5910000000000002</v>
      </c>
      <c r="N126" s="7">
        <v>2.8519999999999999</v>
      </c>
      <c r="O126" s="7">
        <v>2.5910000000000002</v>
      </c>
      <c r="P126" s="7">
        <v>2.5910000000000002</v>
      </c>
      <c r="Q126" s="7">
        <v>2.5910000000000002</v>
      </c>
    </row>
    <row r="127" spans="1:17">
      <c r="A127" s="2">
        <v>2075</v>
      </c>
      <c r="B127" s="7">
        <v>1.1200000000000001</v>
      </c>
      <c r="C127" s="7">
        <v>1.1200000000000001</v>
      </c>
      <c r="D127" s="7">
        <v>1.1100000000000001</v>
      </c>
      <c r="E127" s="7">
        <v>1.1299999999999999</v>
      </c>
      <c r="F127" s="7">
        <v>1.1299999999999999</v>
      </c>
      <c r="G127" s="7">
        <v>1.93</v>
      </c>
      <c r="H127" s="7">
        <v>1.93</v>
      </c>
      <c r="I127" s="7">
        <v>2.6</v>
      </c>
      <c r="J127" s="7">
        <v>2.6</v>
      </c>
      <c r="K127" s="7">
        <v>2.6</v>
      </c>
      <c r="L127" s="7">
        <v>2.6</v>
      </c>
      <c r="M127" s="7">
        <v>2.6</v>
      </c>
      <c r="N127" s="7">
        <v>2.85</v>
      </c>
      <c r="O127" s="7">
        <v>2.6</v>
      </c>
      <c r="P127" s="7">
        <v>2.6</v>
      </c>
      <c r="Q127" s="7">
        <v>2.6</v>
      </c>
    </row>
    <row r="128" spans="1:17">
      <c r="A128" s="2">
        <v>2076</v>
      </c>
      <c r="B128" s="7">
        <v>1.107</v>
      </c>
      <c r="C128" s="7">
        <v>1.107</v>
      </c>
      <c r="D128" s="7">
        <v>1.0980000000000001</v>
      </c>
      <c r="E128" s="7">
        <v>1.117</v>
      </c>
      <c r="F128" s="7">
        <v>1.117</v>
      </c>
      <c r="G128" s="7">
        <v>1.893</v>
      </c>
      <c r="H128" s="7">
        <v>1.893</v>
      </c>
      <c r="I128" s="7">
        <v>2.5760000000000001</v>
      </c>
      <c r="J128" s="7">
        <v>2.5760000000000001</v>
      </c>
      <c r="K128" s="7">
        <v>2.5760000000000001</v>
      </c>
      <c r="L128" s="7">
        <v>2.5760000000000001</v>
      </c>
      <c r="M128" s="7">
        <v>2.5760000000000001</v>
      </c>
      <c r="N128" s="7">
        <v>2.8159999999999998</v>
      </c>
      <c r="O128" s="7">
        <v>2.5760000000000001</v>
      </c>
      <c r="P128" s="7">
        <v>2.5760000000000001</v>
      </c>
      <c r="Q128" s="7">
        <v>2.5760000000000001</v>
      </c>
    </row>
    <row r="129" spans="1:17">
      <c r="A129" s="2">
        <v>2077</v>
      </c>
      <c r="B129" s="7">
        <v>1.0940000000000001</v>
      </c>
      <c r="C129" s="7">
        <v>1.0940000000000001</v>
      </c>
      <c r="D129" s="7">
        <v>1.085</v>
      </c>
      <c r="E129" s="7">
        <v>1.1040000000000001</v>
      </c>
      <c r="F129" s="7">
        <v>1.1040000000000001</v>
      </c>
      <c r="G129" s="7">
        <v>1.8560000000000001</v>
      </c>
      <c r="H129" s="7">
        <v>1.8560000000000001</v>
      </c>
      <c r="I129" s="7">
        <v>2.552</v>
      </c>
      <c r="J129" s="7">
        <v>2.552</v>
      </c>
      <c r="K129" s="7">
        <v>2.552</v>
      </c>
      <c r="L129" s="7">
        <v>2.552</v>
      </c>
      <c r="M129" s="7">
        <v>2.552</v>
      </c>
      <c r="N129" s="7">
        <v>2.782</v>
      </c>
      <c r="O129" s="7">
        <v>2.552</v>
      </c>
      <c r="P129" s="7">
        <v>2.552</v>
      </c>
      <c r="Q129" s="7">
        <v>2.552</v>
      </c>
    </row>
    <row r="130" spans="1:17">
      <c r="A130" s="2">
        <v>2078</v>
      </c>
      <c r="B130" s="7">
        <v>1.0820000000000001</v>
      </c>
      <c r="C130" s="7">
        <v>1.0820000000000001</v>
      </c>
      <c r="D130" s="7">
        <v>1.073</v>
      </c>
      <c r="E130" s="7">
        <v>1.0900000000000001</v>
      </c>
      <c r="F130" s="7">
        <v>1.0900000000000001</v>
      </c>
      <c r="G130" s="7">
        <v>1.8180000000000001</v>
      </c>
      <c r="H130" s="7">
        <v>1.8180000000000001</v>
      </c>
      <c r="I130" s="7">
        <v>2.528</v>
      </c>
      <c r="J130" s="7">
        <v>2.528</v>
      </c>
      <c r="K130" s="7">
        <v>2.528</v>
      </c>
      <c r="L130" s="7">
        <v>2.528</v>
      </c>
      <c r="M130" s="7">
        <v>2.528</v>
      </c>
      <c r="N130" s="7">
        <v>2.7480000000000002</v>
      </c>
      <c r="O130" s="7">
        <v>2.528</v>
      </c>
      <c r="P130" s="7">
        <v>2.528</v>
      </c>
      <c r="Q130" s="7">
        <v>2.528</v>
      </c>
    </row>
    <row r="131" spans="1:17">
      <c r="A131" s="2">
        <v>2079</v>
      </c>
      <c r="B131" s="7">
        <v>1.069</v>
      </c>
      <c r="C131" s="7">
        <v>1.069</v>
      </c>
      <c r="D131" s="7">
        <v>1.06</v>
      </c>
      <c r="E131" s="7">
        <v>1.077</v>
      </c>
      <c r="F131" s="7">
        <v>1.077</v>
      </c>
      <c r="G131" s="7">
        <v>1.7809999999999999</v>
      </c>
      <c r="H131" s="7">
        <v>1.7809999999999999</v>
      </c>
      <c r="I131" s="7">
        <v>2.504</v>
      </c>
      <c r="J131" s="7">
        <v>2.504</v>
      </c>
      <c r="K131" s="7">
        <v>2.504</v>
      </c>
      <c r="L131" s="7">
        <v>2.504</v>
      </c>
      <c r="M131" s="7">
        <v>2.504</v>
      </c>
      <c r="N131" s="7">
        <v>2.714</v>
      </c>
      <c r="O131" s="7">
        <v>2.504</v>
      </c>
      <c r="P131" s="7">
        <v>2.504</v>
      </c>
      <c r="Q131" s="7">
        <v>2.504</v>
      </c>
    </row>
    <row r="132" spans="1:17">
      <c r="A132" s="2">
        <v>2080</v>
      </c>
      <c r="B132" s="7">
        <v>1.056</v>
      </c>
      <c r="C132" s="7">
        <v>1.056</v>
      </c>
      <c r="D132" s="7">
        <v>1.048</v>
      </c>
      <c r="E132" s="7">
        <v>1.0640000000000001</v>
      </c>
      <c r="F132" s="7">
        <v>1.0640000000000001</v>
      </c>
      <c r="G132" s="7">
        <v>1.744</v>
      </c>
      <c r="H132" s="7">
        <v>1.744</v>
      </c>
      <c r="I132" s="7">
        <v>2.48</v>
      </c>
      <c r="J132" s="7">
        <v>2.48</v>
      </c>
      <c r="K132" s="7">
        <v>2.48</v>
      </c>
      <c r="L132" s="7">
        <v>2.48</v>
      </c>
      <c r="M132" s="7">
        <v>2.48</v>
      </c>
      <c r="N132" s="7">
        <v>2.68</v>
      </c>
      <c r="O132" s="7">
        <v>2.48</v>
      </c>
      <c r="P132" s="7">
        <v>2.48</v>
      </c>
      <c r="Q132" s="7">
        <v>2.48</v>
      </c>
    </row>
    <row r="133" spans="1:17">
      <c r="A133" s="2">
        <v>2081</v>
      </c>
      <c r="B133" s="7">
        <v>1.0429999999999999</v>
      </c>
      <c r="C133" s="7">
        <v>1.0429999999999999</v>
      </c>
      <c r="D133" s="7">
        <v>1.036</v>
      </c>
      <c r="E133" s="7">
        <v>1.0509999999999999</v>
      </c>
      <c r="F133" s="7">
        <v>1.0509999999999999</v>
      </c>
      <c r="G133" s="7">
        <v>1.7070000000000001</v>
      </c>
      <c r="H133" s="7">
        <v>1.7070000000000001</v>
      </c>
      <c r="I133" s="7">
        <v>2.456</v>
      </c>
      <c r="J133" s="7">
        <v>2.456</v>
      </c>
      <c r="K133" s="7">
        <v>2.456</v>
      </c>
      <c r="L133" s="7">
        <v>2.456</v>
      </c>
      <c r="M133" s="7">
        <v>2.456</v>
      </c>
      <c r="N133" s="7">
        <v>2.6459999999999999</v>
      </c>
      <c r="O133" s="7">
        <v>2.456</v>
      </c>
      <c r="P133" s="7">
        <v>2.456</v>
      </c>
      <c r="Q133" s="7">
        <v>2.456</v>
      </c>
    </row>
    <row r="134" spans="1:17">
      <c r="A134" s="2">
        <v>2082</v>
      </c>
      <c r="B134" s="7">
        <v>1.03</v>
      </c>
      <c r="C134" s="7">
        <v>1.03</v>
      </c>
      <c r="D134" s="7">
        <v>1.0229999999999999</v>
      </c>
      <c r="E134" s="7">
        <v>1.038</v>
      </c>
      <c r="F134" s="7">
        <v>1.038</v>
      </c>
      <c r="G134" s="7">
        <v>1.67</v>
      </c>
      <c r="H134" s="7">
        <v>1.67</v>
      </c>
      <c r="I134" s="7">
        <v>2.4319999999999999</v>
      </c>
      <c r="J134" s="7">
        <v>2.4319999999999999</v>
      </c>
      <c r="K134" s="7">
        <v>2.4319999999999999</v>
      </c>
      <c r="L134" s="7">
        <v>2.4319999999999999</v>
      </c>
      <c r="M134" s="7">
        <v>2.4319999999999999</v>
      </c>
      <c r="N134" s="7">
        <v>2.6120000000000001</v>
      </c>
      <c r="O134" s="7">
        <v>2.4319999999999999</v>
      </c>
      <c r="P134" s="7">
        <v>2.4319999999999999</v>
      </c>
      <c r="Q134" s="7">
        <v>2.4319999999999999</v>
      </c>
    </row>
    <row r="135" spans="1:17">
      <c r="A135" s="2">
        <v>2083</v>
      </c>
      <c r="B135" s="7">
        <v>1.018</v>
      </c>
      <c r="C135" s="7">
        <v>1.018</v>
      </c>
      <c r="D135" s="7">
        <v>1.0109999999999999</v>
      </c>
      <c r="E135" s="7">
        <v>1.024</v>
      </c>
      <c r="F135" s="7">
        <v>1.024</v>
      </c>
      <c r="G135" s="7">
        <v>1.6319999999999999</v>
      </c>
      <c r="H135" s="7">
        <v>1.6319999999999999</v>
      </c>
      <c r="I135" s="7">
        <v>2.4079999999999999</v>
      </c>
      <c r="J135" s="7">
        <v>2.4079999999999999</v>
      </c>
      <c r="K135" s="7">
        <v>2.4079999999999999</v>
      </c>
      <c r="L135" s="7">
        <v>2.4079999999999999</v>
      </c>
      <c r="M135" s="7">
        <v>2.4079999999999999</v>
      </c>
      <c r="N135" s="7">
        <v>2.5779999999999998</v>
      </c>
      <c r="O135" s="7">
        <v>2.4079999999999999</v>
      </c>
      <c r="P135" s="7">
        <v>2.4079999999999999</v>
      </c>
      <c r="Q135" s="7">
        <v>2.4079999999999999</v>
      </c>
    </row>
    <row r="136" spans="1:17">
      <c r="A136" s="2">
        <v>2084</v>
      </c>
      <c r="B136" s="7">
        <v>1.0049999999999999</v>
      </c>
      <c r="C136" s="7">
        <v>1.0049999999999999</v>
      </c>
      <c r="D136" s="7">
        <v>0.998</v>
      </c>
      <c r="E136" s="7">
        <v>1.0109999999999999</v>
      </c>
      <c r="F136" s="7">
        <v>1.0109999999999999</v>
      </c>
      <c r="G136" s="7">
        <v>1.595</v>
      </c>
      <c r="H136" s="7">
        <v>1.595</v>
      </c>
      <c r="I136" s="7">
        <v>2.3839999999999999</v>
      </c>
      <c r="J136" s="7">
        <v>2.3839999999999999</v>
      </c>
      <c r="K136" s="7">
        <v>2.3839999999999999</v>
      </c>
      <c r="L136" s="7">
        <v>2.3839999999999999</v>
      </c>
      <c r="M136" s="7">
        <v>2.3839999999999999</v>
      </c>
      <c r="N136" s="7">
        <v>2.544</v>
      </c>
      <c r="O136" s="7">
        <v>2.3839999999999999</v>
      </c>
      <c r="P136" s="7">
        <v>2.3839999999999999</v>
      </c>
      <c r="Q136" s="7">
        <v>2.3839999999999999</v>
      </c>
    </row>
    <row r="137" spans="1:17">
      <c r="A137" s="2">
        <v>2085</v>
      </c>
      <c r="B137" s="7">
        <v>0.99199999999999999</v>
      </c>
      <c r="C137" s="7">
        <v>0.99199999999999999</v>
      </c>
      <c r="D137" s="7">
        <v>0.98599999999999999</v>
      </c>
      <c r="E137" s="7">
        <v>0.998</v>
      </c>
      <c r="F137" s="7">
        <v>0.998</v>
      </c>
      <c r="G137" s="7">
        <v>1.5580000000000001</v>
      </c>
      <c r="H137" s="7">
        <v>1.5580000000000001</v>
      </c>
      <c r="I137" s="7">
        <v>2.36</v>
      </c>
      <c r="J137" s="7">
        <v>2.36</v>
      </c>
      <c r="K137" s="7">
        <v>2.36</v>
      </c>
      <c r="L137" s="7">
        <v>2.36</v>
      </c>
      <c r="M137" s="7">
        <v>2.36</v>
      </c>
      <c r="N137" s="7">
        <v>2.5099999999999998</v>
      </c>
      <c r="O137" s="7">
        <v>2.36</v>
      </c>
      <c r="P137" s="7">
        <v>2.36</v>
      </c>
      <c r="Q137" s="7">
        <v>2.36</v>
      </c>
    </row>
    <row r="138" spans="1:17">
      <c r="A138" s="2">
        <v>2086</v>
      </c>
      <c r="B138" s="7">
        <v>0.97899999999999998</v>
      </c>
      <c r="C138" s="7">
        <v>0.97899999999999998</v>
      </c>
      <c r="D138" s="7">
        <v>0.97399999999999998</v>
      </c>
      <c r="E138" s="7">
        <v>0.98499999999999999</v>
      </c>
      <c r="F138" s="7">
        <v>0.98499999999999999</v>
      </c>
      <c r="G138" s="7">
        <v>1.5209999999999999</v>
      </c>
      <c r="H138" s="7">
        <v>1.5209999999999999</v>
      </c>
      <c r="I138" s="7">
        <v>2.3359999999999999</v>
      </c>
      <c r="J138" s="7">
        <v>2.3359999999999999</v>
      </c>
      <c r="K138" s="7">
        <v>2.3359999999999999</v>
      </c>
      <c r="L138" s="7">
        <v>2.3359999999999999</v>
      </c>
      <c r="M138" s="7">
        <v>2.3359999999999999</v>
      </c>
      <c r="N138" s="7">
        <v>2.476</v>
      </c>
      <c r="O138" s="7">
        <v>2.3359999999999999</v>
      </c>
      <c r="P138" s="7">
        <v>2.3359999999999999</v>
      </c>
      <c r="Q138" s="7">
        <v>2.3359999999999999</v>
      </c>
    </row>
    <row r="139" spans="1:17">
      <c r="A139" s="2">
        <v>2087</v>
      </c>
      <c r="B139" s="7">
        <v>0.96599999999999997</v>
      </c>
      <c r="C139" s="7">
        <v>0.96599999999999997</v>
      </c>
      <c r="D139" s="7">
        <v>0.96099999999999997</v>
      </c>
      <c r="E139" s="7">
        <v>0.97199999999999998</v>
      </c>
      <c r="F139" s="7">
        <v>0.97199999999999998</v>
      </c>
      <c r="G139" s="7">
        <v>1.484</v>
      </c>
      <c r="H139" s="7">
        <v>1.484</v>
      </c>
      <c r="I139" s="7">
        <v>2.3119999999999998</v>
      </c>
      <c r="J139" s="7">
        <v>2.3119999999999998</v>
      </c>
      <c r="K139" s="7">
        <v>2.3119999999999998</v>
      </c>
      <c r="L139" s="7">
        <v>2.3119999999999998</v>
      </c>
      <c r="M139" s="7">
        <v>2.3119999999999998</v>
      </c>
      <c r="N139" s="7">
        <v>2.4420000000000002</v>
      </c>
      <c r="O139" s="7">
        <v>2.3119999999999998</v>
      </c>
      <c r="P139" s="7">
        <v>2.3119999999999998</v>
      </c>
      <c r="Q139" s="7">
        <v>2.3119999999999998</v>
      </c>
    </row>
    <row r="140" spans="1:17">
      <c r="A140" s="2">
        <v>2088</v>
      </c>
      <c r="B140" s="7">
        <v>0.95399999999999996</v>
      </c>
      <c r="C140" s="7">
        <v>0.95399999999999996</v>
      </c>
      <c r="D140" s="7">
        <v>0.94899999999999995</v>
      </c>
      <c r="E140" s="7">
        <v>0.95799999999999996</v>
      </c>
      <c r="F140" s="7">
        <v>0.95799999999999996</v>
      </c>
      <c r="G140" s="7">
        <v>1.446</v>
      </c>
      <c r="H140" s="7">
        <v>1.446</v>
      </c>
      <c r="I140" s="7">
        <v>2.2879999999999998</v>
      </c>
      <c r="J140" s="7">
        <v>2.2879999999999998</v>
      </c>
      <c r="K140" s="7">
        <v>2.2879999999999998</v>
      </c>
      <c r="L140" s="7">
        <v>2.2879999999999998</v>
      </c>
      <c r="M140" s="7">
        <v>2.2879999999999998</v>
      </c>
      <c r="N140" s="7">
        <v>2.4079999999999999</v>
      </c>
      <c r="O140" s="7">
        <v>2.2879999999999998</v>
      </c>
      <c r="P140" s="7">
        <v>2.2879999999999998</v>
      </c>
      <c r="Q140" s="7">
        <v>2.2879999999999998</v>
      </c>
    </row>
    <row r="141" spans="1:17">
      <c r="A141" s="2">
        <v>2089</v>
      </c>
      <c r="B141" s="7">
        <v>0.94099999999999995</v>
      </c>
      <c r="C141" s="7">
        <v>0.94099999999999995</v>
      </c>
      <c r="D141" s="7">
        <v>0.93600000000000005</v>
      </c>
      <c r="E141" s="7">
        <v>0.94499999999999995</v>
      </c>
      <c r="F141" s="7">
        <v>0.94499999999999995</v>
      </c>
      <c r="G141" s="7">
        <v>1.409</v>
      </c>
      <c r="H141" s="7">
        <v>1.409</v>
      </c>
      <c r="I141" s="7">
        <v>2.2639999999999998</v>
      </c>
      <c r="J141" s="7">
        <v>2.2639999999999998</v>
      </c>
      <c r="K141" s="7">
        <v>2.2639999999999998</v>
      </c>
      <c r="L141" s="7">
        <v>2.2639999999999998</v>
      </c>
      <c r="M141" s="7">
        <v>2.2639999999999998</v>
      </c>
      <c r="N141" s="7">
        <v>2.3740000000000001</v>
      </c>
      <c r="O141" s="7">
        <v>2.2639999999999998</v>
      </c>
      <c r="P141" s="7">
        <v>2.2639999999999998</v>
      </c>
      <c r="Q141" s="7">
        <v>2.2639999999999998</v>
      </c>
    </row>
    <row r="142" spans="1:17">
      <c r="A142" s="2">
        <v>2090</v>
      </c>
      <c r="B142" s="7">
        <v>0.92800000000000005</v>
      </c>
      <c r="C142" s="7">
        <v>0.92800000000000005</v>
      </c>
      <c r="D142" s="7">
        <v>0.92400000000000004</v>
      </c>
      <c r="E142" s="7">
        <v>0.93200000000000005</v>
      </c>
      <c r="F142" s="7">
        <v>0.93200000000000005</v>
      </c>
      <c r="G142" s="7">
        <v>1.3720000000000001</v>
      </c>
      <c r="H142" s="7">
        <v>1.3720000000000001</v>
      </c>
      <c r="I142" s="7">
        <v>2.2400000000000002</v>
      </c>
      <c r="J142" s="7">
        <v>2.2400000000000002</v>
      </c>
      <c r="K142" s="7">
        <v>2.2400000000000002</v>
      </c>
      <c r="L142" s="7">
        <v>2.2400000000000002</v>
      </c>
      <c r="M142" s="7">
        <v>2.2400000000000002</v>
      </c>
      <c r="N142" s="7">
        <v>2.34</v>
      </c>
      <c r="O142" s="7">
        <v>2.2400000000000002</v>
      </c>
      <c r="P142" s="7">
        <v>2.2400000000000002</v>
      </c>
      <c r="Q142" s="7">
        <v>2.2400000000000002</v>
      </c>
    </row>
    <row r="143" spans="1:17">
      <c r="A143" s="2">
        <v>2091</v>
      </c>
      <c r="B143" s="7">
        <v>0.91500000000000004</v>
      </c>
      <c r="C143" s="7">
        <v>0.91500000000000004</v>
      </c>
      <c r="D143" s="7">
        <v>0.91200000000000003</v>
      </c>
      <c r="E143" s="7">
        <v>0.91900000000000004</v>
      </c>
      <c r="F143" s="7">
        <v>0.91900000000000004</v>
      </c>
      <c r="G143" s="7">
        <v>1.335</v>
      </c>
      <c r="H143" s="7">
        <v>1.335</v>
      </c>
      <c r="I143" s="7">
        <v>2.2160000000000002</v>
      </c>
      <c r="J143" s="7">
        <v>2.2160000000000002</v>
      </c>
      <c r="K143" s="7">
        <v>2.2160000000000002</v>
      </c>
      <c r="L143" s="7">
        <v>2.2160000000000002</v>
      </c>
      <c r="M143" s="7">
        <v>2.2160000000000002</v>
      </c>
      <c r="N143" s="7">
        <v>2.306</v>
      </c>
      <c r="O143" s="7">
        <v>2.2160000000000002</v>
      </c>
      <c r="P143" s="7">
        <v>2.2160000000000002</v>
      </c>
      <c r="Q143" s="7">
        <v>2.2160000000000002</v>
      </c>
    </row>
    <row r="144" spans="1:17">
      <c r="A144" s="2">
        <v>2092</v>
      </c>
      <c r="B144" s="7">
        <v>0.90200000000000002</v>
      </c>
      <c r="C144" s="7">
        <v>0.90200000000000002</v>
      </c>
      <c r="D144" s="7">
        <v>0.89900000000000002</v>
      </c>
      <c r="E144" s="7">
        <v>0.90600000000000003</v>
      </c>
      <c r="F144" s="7">
        <v>0.90600000000000003</v>
      </c>
      <c r="G144" s="7">
        <v>1.298</v>
      </c>
      <c r="H144" s="7">
        <v>1.298</v>
      </c>
      <c r="I144" s="7">
        <v>2.1920000000000002</v>
      </c>
      <c r="J144" s="7">
        <v>2.1920000000000002</v>
      </c>
      <c r="K144" s="7">
        <v>2.1920000000000002</v>
      </c>
      <c r="L144" s="7">
        <v>2.1920000000000002</v>
      </c>
      <c r="M144" s="7">
        <v>2.1920000000000002</v>
      </c>
      <c r="N144" s="7">
        <v>2.2719999999999998</v>
      </c>
      <c r="O144" s="7">
        <v>2.1920000000000002</v>
      </c>
      <c r="P144" s="7">
        <v>2.1920000000000002</v>
      </c>
      <c r="Q144" s="7">
        <v>2.1920000000000002</v>
      </c>
    </row>
    <row r="145" spans="1:17">
      <c r="A145" s="2">
        <v>2093</v>
      </c>
      <c r="B145" s="7">
        <v>0.89</v>
      </c>
      <c r="C145" s="7">
        <v>0.89</v>
      </c>
      <c r="D145" s="7">
        <v>0.88700000000000001</v>
      </c>
      <c r="E145" s="7">
        <v>0.89200000000000002</v>
      </c>
      <c r="F145" s="7">
        <v>0.89200000000000002</v>
      </c>
      <c r="G145" s="7">
        <v>1.26</v>
      </c>
      <c r="H145" s="7">
        <v>1.26</v>
      </c>
      <c r="I145" s="7">
        <v>2.1680000000000001</v>
      </c>
      <c r="J145" s="7">
        <v>2.1680000000000001</v>
      </c>
      <c r="K145" s="7">
        <v>2.1680000000000001</v>
      </c>
      <c r="L145" s="7">
        <v>2.1680000000000001</v>
      </c>
      <c r="M145" s="7">
        <v>2.1680000000000001</v>
      </c>
      <c r="N145" s="7">
        <v>2.238</v>
      </c>
      <c r="O145" s="7">
        <v>2.1680000000000001</v>
      </c>
      <c r="P145" s="7">
        <v>2.1680000000000001</v>
      </c>
      <c r="Q145" s="7">
        <v>2.1680000000000001</v>
      </c>
    </row>
    <row r="146" spans="1:17">
      <c r="A146" s="2">
        <v>2094</v>
      </c>
      <c r="B146" s="7">
        <v>0.877</v>
      </c>
      <c r="C146" s="7">
        <v>0.877</v>
      </c>
      <c r="D146" s="7">
        <v>0.874</v>
      </c>
      <c r="E146" s="7">
        <v>0.879</v>
      </c>
      <c r="F146" s="7">
        <v>0.879</v>
      </c>
      <c r="G146" s="7">
        <v>1.2230000000000001</v>
      </c>
      <c r="H146" s="7">
        <v>1.2230000000000001</v>
      </c>
      <c r="I146" s="7">
        <v>2.1440000000000001</v>
      </c>
      <c r="J146" s="7">
        <v>2.1440000000000001</v>
      </c>
      <c r="K146" s="7">
        <v>2.1440000000000001</v>
      </c>
      <c r="L146" s="7">
        <v>2.1440000000000001</v>
      </c>
      <c r="M146" s="7">
        <v>2.1440000000000001</v>
      </c>
      <c r="N146" s="7">
        <v>2.2040000000000002</v>
      </c>
      <c r="O146" s="7">
        <v>2.1440000000000001</v>
      </c>
      <c r="P146" s="7">
        <v>2.1440000000000001</v>
      </c>
      <c r="Q146" s="7">
        <v>2.1440000000000001</v>
      </c>
    </row>
    <row r="147" spans="1:17">
      <c r="A147" s="2">
        <v>2095</v>
      </c>
      <c r="B147" s="7">
        <v>0.86399999999999999</v>
      </c>
      <c r="C147" s="7">
        <v>0.86399999999999999</v>
      </c>
      <c r="D147" s="7">
        <v>0.86199999999999999</v>
      </c>
      <c r="E147" s="7">
        <v>0.86599999999999999</v>
      </c>
      <c r="F147" s="7">
        <v>0.86599999999999999</v>
      </c>
      <c r="G147" s="7">
        <v>1.1859999999999999</v>
      </c>
      <c r="H147" s="7">
        <v>1.1859999999999999</v>
      </c>
      <c r="I147" s="7">
        <v>2.12</v>
      </c>
      <c r="J147" s="7">
        <v>2.12</v>
      </c>
      <c r="K147" s="7">
        <v>2.12</v>
      </c>
      <c r="L147" s="7">
        <v>2.12</v>
      </c>
      <c r="M147" s="7">
        <v>2.12</v>
      </c>
      <c r="N147" s="7">
        <v>2.17</v>
      </c>
      <c r="O147" s="7">
        <v>2.12</v>
      </c>
      <c r="P147" s="7">
        <v>2.12</v>
      </c>
      <c r="Q147" s="7">
        <v>2.12</v>
      </c>
    </row>
    <row r="148" spans="1:17">
      <c r="A148" s="2">
        <v>2096</v>
      </c>
      <c r="B148" s="7">
        <v>0.85099999999999998</v>
      </c>
      <c r="C148" s="7">
        <v>0.85099999999999998</v>
      </c>
      <c r="D148" s="7">
        <v>0.85</v>
      </c>
      <c r="E148" s="7">
        <v>0.85299999999999998</v>
      </c>
      <c r="F148" s="7">
        <v>0.85299999999999998</v>
      </c>
      <c r="G148" s="7">
        <v>1.149</v>
      </c>
      <c r="H148" s="7">
        <v>1.149</v>
      </c>
      <c r="I148" s="7">
        <v>2.0960000000000001</v>
      </c>
      <c r="J148" s="7">
        <v>2.0960000000000001</v>
      </c>
      <c r="K148" s="7">
        <v>2.0960000000000001</v>
      </c>
      <c r="L148" s="7">
        <v>2.0960000000000001</v>
      </c>
      <c r="M148" s="7">
        <v>2.0960000000000001</v>
      </c>
      <c r="N148" s="7">
        <v>2.1360000000000001</v>
      </c>
      <c r="O148" s="7">
        <v>2.0960000000000001</v>
      </c>
      <c r="P148" s="7">
        <v>2.0960000000000001</v>
      </c>
      <c r="Q148" s="7">
        <v>2.0960000000000001</v>
      </c>
    </row>
    <row r="149" spans="1:17">
      <c r="A149" s="2">
        <v>2097</v>
      </c>
      <c r="B149" s="7">
        <v>0.83799999999999997</v>
      </c>
      <c r="C149" s="7">
        <v>0.83799999999999997</v>
      </c>
      <c r="D149" s="7">
        <v>0.83699999999999997</v>
      </c>
      <c r="E149" s="7">
        <v>0.84</v>
      </c>
      <c r="F149" s="7">
        <v>0.84</v>
      </c>
      <c r="G149" s="7">
        <v>1.1120000000000001</v>
      </c>
      <c r="H149" s="7">
        <v>1.1120000000000001</v>
      </c>
      <c r="I149" s="7">
        <v>2.0720000000000001</v>
      </c>
      <c r="J149" s="7">
        <v>2.0720000000000001</v>
      </c>
      <c r="K149" s="7">
        <v>2.0720000000000001</v>
      </c>
      <c r="L149" s="7">
        <v>2.0720000000000001</v>
      </c>
      <c r="M149" s="7">
        <v>2.0720000000000001</v>
      </c>
      <c r="N149" s="7">
        <v>2.1019999999999999</v>
      </c>
      <c r="O149" s="7">
        <v>2.0720000000000001</v>
      </c>
      <c r="P149" s="7">
        <v>2.0720000000000001</v>
      </c>
      <c r="Q149" s="7">
        <v>2.0720000000000001</v>
      </c>
    </row>
    <row r="150" spans="1:17">
      <c r="A150" s="2">
        <v>2098</v>
      </c>
      <c r="B150" s="7">
        <v>0.82599999999999996</v>
      </c>
      <c r="C150" s="7">
        <v>0.82599999999999996</v>
      </c>
      <c r="D150" s="7">
        <v>0.82499999999999996</v>
      </c>
      <c r="E150" s="7">
        <v>0.82599999999999996</v>
      </c>
      <c r="F150" s="7">
        <v>0.82599999999999996</v>
      </c>
      <c r="G150" s="7">
        <v>1.0740000000000001</v>
      </c>
      <c r="H150" s="7">
        <v>1.0740000000000001</v>
      </c>
      <c r="I150" s="7">
        <v>2.048</v>
      </c>
      <c r="J150" s="7">
        <v>2.048</v>
      </c>
      <c r="K150" s="7">
        <v>2.048</v>
      </c>
      <c r="L150" s="7">
        <v>2.048</v>
      </c>
      <c r="M150" s="7">
        <v>2.048</v>
      </c>
      <c r="N150" s="7">
        <v>2.0680000000000001</v>
      </c>
      <c r="O150" s="7">
        <v>2.048</v>
      </c>
      <c r="P150" s="7">
        <v>2.048</v>
      </c>
      <c r="Q150" s="7">
        <v>2.048</v>
      </c>
    </row>
    <row r="151" spans="1:17">
      <c r="A151" s="2">
        <v>2099</v>
      </c>
      <c r="B151" s="7">
        <v>0.81299999999999994</v>
      </c>
      <c r="C151" s="7">
        <v>0.81299999999999994</v>
      </c>
      <c r="D151" s="7">
        <v>0.81200000000000006</v>
      </c>
      <c r="E151" s="7">
        <v>0.81299999999999994</v>
      </c>
      <c r="F151" s="7">
        <v>0.81299999999999994</v>
      </c>
      <c r="G151" s="7">
        <v>1.0369999999999999</v>
      </c>
      <c r="H151" s="7">
        <v>1.0369999999999999</v>
      </c>
      <c r="I151" s="7">
        <v>2.024</v>
      </c>
      <c r="J151" s="7">
        <v>2.024</v>
      </c>
      <c r="K151" s="7">
        <v>2.024</v>
      </c>
      <c r="L151" s="7">
        <v>2.024</v>
      </c>
      <c r="M151" s="7">
        <v>2.024</v>
      </c>
      <c r="N151" s="7">
        <v>2.0339999999999998</v>
      </c>
      <c r="O151" s="7">
        <v>2.024</v>
      </c>
      <c r="P151" s="7">
        <v>2.024</v>
      </c>
      <c r="Q151" s="7">
        <v>2.024</v>
      </c>
    </row>
    <row r="152" spans="1:17">
      <c r="A152" s="2">
        <v>2100</v>
      </c>
      <c r="B152" s="7">
        <v>0.8</v>
      </c>
      <c r="C152" s="7">
        <v>0.8</v>
      </c>
      <c r="D152" s="7">
        <v>0.8</v>
      </c>
      <c r="E152" s="7">
        <v>0.8</v>
      </c>
      <c r="F152" s="7">
        <v>0.8</v>
      </c>
      <c r="G152" s="7">
        <v>1</v>
      </c>
      <c r="H152" s="7">
        <v>1</v>
      </c>
      <c r="I152" s="7">
        <v>2</v>
      </c>
      <c r="J152" s="7">
        <v>2</v>
      </c>
      <c r="K152" s="7">
        <v>2</v>
      </c>
      <c r="L152" s="7">
        <v>2</v>
      </c>
      <c r="M152" s="7">
        <v>2</v>
      </c>
      <c r="N152" s="7">
        <v>2</v>
      </c>
      <c r="O152" s="7">
        <v>2</v>
      </c>
      <c r="P152" s="7">
        <v>2</v>
      </c>
      <c r="Q152" s="7">
        <v>2</v>
      </c>
    </row>
    <row r="153" spans="1:17">
      <c r="A153" s="2">
        <v>2101</v>
      </c>
      <c r="B153" s="7">
        <v>0.79600000000000004</v>
      </c>
      <c r="C153" s="7">
        <v>0.79600000000000004</v>
      </c>
      <c r="D153" s="7">
        <v>0.79600000000000004</v>
      </c>
      <c r="E153" s="7">
        <v>0.79600000000000004</v>
      </c>
      <c r="F153" s="7">
        <v>0.79600000000000004</v>
      </c>
      <c r="G153" s="7">
        <v>0.996</v>
      </c>
      <c r="H153" s="7">
        <v>0.996</v>
      </c>
      <c r="I153" s="7">
        <v>1.98</v>
      </c>
      <c r="J153" s="7">
        <v>1.98</v>
      </c>
      <c r="K153" s="7">
        <v>1.98</v>
      </c>
      <c r="L153" s="7">
        <v>1.98</v>
      </c>
      <c r="M153" s="7">
        <v>1.98</v>
      </c>
      <c r="N153" s="7">
        <v>1.98</v>
      </c>
      <c r="O153" s="7">
        <v>1.98</v>
      </c>
      <c r="P153" s="7">
        <v>1.98</v>
      </c>
      <c r="Q153" s="7">
        <v>1.98</v>
      </c>
    </row>
    <row r="154" spans="1:17">
      <c r="A154" s="2">
        <v>2102</v>
      </c>
      <c r="B154" s="7">
        <v>0.79200000000000004</v>
      </c>
      <c r="C154" s="7">
        <v>0.79200000000000004</v>
      </c>
      <c r="D154" s="7">
        <v>0.79200000000000004</v>
      </c>
      <c r="E154" s="7">
        <v>0.79200000000000004</v>
      </c>
      <c r="F154" s="7">
        <v>0.79200000000000004</v>
      </c>
      <c r="G154" s="7">
        <v>0.99199999999999999</v>
      </c>
      <c r="H154" s="7">
        <v>0.99199999999999999</v>
      </c>
      <c r="I154" s="7">
        <v>1.96</v>
      </c>
      <c r="J154" s="7">
        <v>1.96</v>
      </c>
      <c r="K154" s="7">
        <v>1.96</v>
      </c>
      <c r="L154" s="7">
        <v>1.96</v>
      </c>
      <c r="M154" s="7">
        <v>1.96</v>
      </c>
      <c r="N154" s="7">
        <v>1.96</v>
      </c>
      <c r="O154" s="7">
        <v>1.96</v>
      </c>
      <c r="P154" s="7">
        <v>1.96</v>
      </c>
      <c r="Q154" s="7">
        <v>1.96</v>
      </c>
    </row>
    <row r="155" spans="1:17">
      <c r="A155" s="2">
        <v>2103</v>
      </c>
      <c r="B155" s="7">
        <v>0.78800000000000003</v>
      </c>
      <c r="C155" s="7">
        <v>0.78800000000000003</v>
      </c>
      <c r="D155" s="7">
        <v>0.78800000000000003</v>
      </c>
      <c r="E155" s="7">
        <v>0.78800000000000003</v>
      </c>
      <c r="F155" s="7">
        <v>0.78800000000000003</v>
      </c>
      <c r="G155" s="7">
        <v>0.98799999999999999</v>
      </c>
      <c r="H155" s="7">
        <v>0.98799999999999999</v>
      </c>
      <c r="I155" s="7">
        <v>1.94</v>
      </c>
      <c r="J155" s="7">
        <v>1.94</v>
      </c>
      <c r="K155" s="7">
        <v>1.94</v>
      </c>
      <c r="L155" s="7">
        <v>1.94</v>
      </c>
      <c r="M155" s="7">
        <v>1.94</v>
      </c>
      <c r="N155" s="7">
        <v>1.94</v>
      </c>
      <c r="O155" s="7">
        <v>1.94</v>
      </c>
      <c r="P155" s="7">
        <v>1.94</v>
      </c>
      <c r="Q155" s="7">
        <v>1.94</v>
      </c>
    </row>
    <row r="156" spans="1:17">
      <c r="A156" s="2">
        <v>2104</v>
      </c>
      <c r="B156" s="7">
        <v>0.78400000000000003</v>
      </c>
      <c r="C156" s="7">
        <v>0.78400000000000003</v>
      </c>
      <c r="D156" s="7">
        <v>0.78400000000000003</v>
      </c>
      <c r="E156" s="7">
        <v>0.78400000000000003</v>
      </c>
      <c r="F156" s="7">
        <v>0.78400000000000003</v>
      </c>
      <c r="G156" s="7">
        <v>0.98399999999999999</v>
      </c>
      <c r="H156" s="7">
        <v>0.98399999999999999</v>
      </c>
      <c r="I156" s="7">
        <v>1.92</v>
      </c>
      <c r="J156" s="7">
        <v>1.92</v>
      </c>
      <c r="K156" s="7">
        <v>1.92</v>
      </c>
      <c r="L156" s="7">
        <v>1.92</v>
      </c>
      <c r="M156" s="7">
        <v>1.92</v>
      </c>
      <c r="N156" s="7">
        <v>1.92</v>
      </c>
      <c r="O156" s="7">
        <v>1.92</v>
      </c>
      <c r="P156" s="7">
        <v>1.92</v>
      </c>
      <c r="Q156" s="7">
        <v>1.92</v>
      </c>
    </row>
    <row r="157" spans="1:17">
      <c r="A157" s="2">
        <v>2105</v>
      </c>
      <c r="B157" s="7">
        <v>0.78</v>
      </c>
      <c r="C157" s="7">
        <v>0.78</v>
      </c>
      <c r="D157" s="7">
        <v>0.78</v>
      </c>
      <c r="E157" s="7">
        <v>0.78</v>
      </c>
      <c r="F157" s="7">
        <v>0.78</v>
      </c>
      <c r="G157" s="7">
        <v>0.98</v>
      </c>
      <c r="H157" s="7">
        <v>0.98</v>
      </c>
      <c r="I157" s="7">
        <v>1.9</v>
      </c>
      <c r="J157" s="7">
        <v>1.9</v>
      </c>
      <c r="K157" s="7">
        <v>1.9</v>
      </c>
      <c r="L157" s="7">
        <v>1.9</v>
      </c>
      <c r="M157" s="7">
        <v>1.9</v>
      </c>
      <c r="N157" s="7">
        <v>1.9</v>
      </c>
      <c r="O157" s="7">
        <v>1.9</v>
      </c>
      <c r="P157" s="7">
        <v>1.9</v>
      </c>
      <c r="Q157" s="7">
        <v>1.9</v>
      </c>
    </row>
    <row r="158" spans="1:17">
      <c r="A158" s="2">
        <v>2106</v>
      </c>
      <c r="B158" s="7">
        <v>0.77600000000000002</v>
      </c>
      <c r="C158" s="7">
        <v>0.77600000000000002</v>
      </c>
      <c r="D158" s="7">
        <v>0.77600000000000002</v>
      </c>
      <c r="E158" s="7">
        <v>0.77600000000000002</v>
      </c>
      <c r="F158" s="7">
        <v>0.77600000000000002</v>
      </c>
      <c r="G158" s="7">
        <v>0.97599999999999998</v>
      </c>
      <c r="H158" s="7">
        <v>0.97599999999999998</v>
      </c>
      <c r="I158" s="7">
        <v>1.88</v>
      </c>
      <c r="J158" s="7">
        <v>1.88</v>
      </c>
      <c r="K158" s="7">
        <v>1.88</v>
      </c>
      <c r="L158" s="7">
        <v>1.88</v>
      </c>
      <c r="M158" s="7">
        <v>1.88</v>
      </c>
      <c r="N158" s="7">
        <v>1.88</v>
      </c>
      <c r="O158" s="7">
        <v>1.88</v>
      </c>
      <c r="P158" s="7">
        <v>1.88</v>
      </c>
      <c r="Q158" s="7">
        <v>1.88</v>
      </c>
    </row>
    <row r="159" spans="1:17">
      <c r="A159" s="2">
        <v>2107</v>
      </c>
      <c r="B159" s="7">
        <v>0.77200000000000002</v>
      </c>
      <c r="C159" s="7">
        <v>0.77200000000000002</v>
      </c>
      <c r="D159" s="7">
        <v>0.77200000000000002</v>
      </c>
      <c r="E159" s="7">
        <v>0.77200000000000002</v>
      </c>
      <c r="F159" s="7">
        <v>0.77200000000000002</v>
      </c>
      <c r="G159" s="7">
        <v>0.97199999999999998</v>
      </c>
      <c r="H159" s="7">
        <v>0.97199999999999998</v>
      </c>
      <c r="I159" s="7">
        <v>1.86</v>
      </c>
      <c r="J159" s="7">
        <v>1.86</v>
      </c>
      <c r="K159" s="7">
        <v>1.86</v>
      </c>
      <c r="L159" s="7">
        <v>1.86</v>
      </c>
      <c r="M159" s="7">
        <v>1.86</v>
      </c>
      <c r="N159" s="7">
        <v>1.86</v>
      </c>
      <c r="O159" s="7">
        <v>1.86</v>
      </c>
      <c r="P159" s="7">
        <v>1.86</v>
      </c>
      <c r="Q159" s="7">
        <v>1.86</v>
      </c>
    </row>
    <row r="160" spans="1:17">
      <c r="A160" s="2">
        <v>2108</v>
      </c>
      <c r="B160" s="7">
        <v>0.76800000000000002</v>
      </c>
      <c r="C160" s="7">
        <v>0.76800000000000002</v>
      </c>
      <c r="D160" s="7">
        <v>0.76800000000000002</v>
      </c>
      <c r="E160" s="7">
        <v>0.76800000000000002</v>
      </c>
      <c r="F160" s="7">
        <v>0.76800000000000002</v>
      </c>
      <c r="G160" s="7">
        <v>0.96799999999999997</v>
      </c>
      <c r="H160" s="7">
        <v>0.96799999999999997</v>
      </c>
      <c r="I160" s="7">
        <v>1.84</v>
      </c>
      <c r="J160" s="7">
        <v>1.84</v>
      </c>
      <c r="K160" s="7">
        <v>1.84</v>
      </c>
      <c r="L160" s="7">
        <v>1.84</v>
      </c>
      <c r="M160" s="7">
        <v>1.84</v>
      </c>
      <c r="N160" s="7">
        <v>1.84</v>
      </c>
      <c r="O160" s="7">
        <v>1.84</v>
      </c>
      <c r="P160" s="7">
        <v>1.84</v>
      </c>
      <c r="Q160" s="7">
        <v>1.84</v>
      </c>
    </row>
    <row r="161" spans="1:17">
      <c r="A161" s="2">
        <v>2109</v>
      </c>
      <c r="B161" s="7">
        <v>0.76400000000000001</v>
      </c>
      <c r="C161" s="7">
        <v>0.76400000000000001</v>
      </c>
      <c r="D161" s="7">
        <v>0.76400000000000001</v>
      </c>
      <c r="E161" s="7">
        <v>0.76400000000000001</v>
      </c>
      <c r="F161" s="7">
        <v>0.76400000000000001</v>
      </c>
      <c r="G161" s="7">
        <v>0.96399999999999997</v>
      </c>
      <c r="H161" s="7">
        <v>0.96399999999999997</v>
      </c>
      <c r="I161" s="7">
        <v>1.82</v>
      </c>
      <c r="J161" s="7">
        <v>1.82</v>
      </c>
      <c r="K161" s="7">
        <v>1.82</v>
      </c>
      <c r="L161" s="7">
        <v>1.82</v>
      </c>
      <c r="M161" s="7">
        <v>1.82</v>
      </c>
      <c r="N161" s="7">
        <v>1.82</v>
      </c>
      <c r="O161" s="7">
        <v>1.82</v>
      </c>
      <c r="P161" s="7">
        <v>1.82</v>
      </c>
      <c r="Q161" s="7">
        <v>1.82</v>
      </c>
    </row>
    <row r="162" spans="1:17">
      <c r="A162" s="2">
        <v>2110</v>
      </c>
      <c r="B162" s="7">
        <v>0.76</v>
      </c>
      <c r="C162" s="7">
        <v>0.76</v>
      </c>
      <c r="D162" s="7">
        <v>0.76</v>
      </c>
      <c r="E162" s="7">
        <v>0.76</v>
      </c>
      <c r="F162" s="7">
        <v>0.76</v>
      </c>
      <c r="G162" s="7">
        <v>0.96</v>
      </c>
      <c r="H162" s="7">
        <v>0.96</v>
      </c>
      <c r="I162" s="7">
        <v>1.8</v>
      </c>
      <c r="J162" s="7">
        <v>1.8</v>
      </c>
      <c r="K162" s="7">
        <v>1.8</v>
      </c>
      <c r="L162" s="7">
        <v>1.8</v>
      </c>
      <c r="M162" s="7">
        <v>1.8</v>
      </c>
      <c r="N162" s="7">
        <v>1.8</v>
      </c>
      <c r="O162" s="7">
        <v>1.8</v>
      </c>
      <c r="P162" s="7">
        <v>1.8</v>
      </c>
      <c r="Q162" s="7">
        <v>1.8</v>
      </c>
    </row>
    <row r="163" spans="1:17">
      <c r="A163" s="2">
        <v>2111</v>
      </c>
      <c r="B163" s="7">
        <v>0.75600000000000001</v>
      </c>
      <c r="C163" s="7">
        <v>0.75600000000000001</v>
      </c>
      <c r="D163" s="7">
        <v>0.75600000000000001</v>
      </c>
      <c r="E163" s="7">
        <v>0.75600000000000001</v>
      </c>
      <c r="F163" s="7">
        <v>0.75600000000000001</v>
      </c>
      <c r="G163" s="7">
        <v>0.95599999999999996</v>
      </c>
      <c r="H163" s="7">
        <v>0.95599999999999996</v>
      </c>
      <c r="I163" s="7">
        <v>1.78</v>
      </c>
      <c r="J163" s="7">
        <v>1.78</v>
      </c>
      <c r="K163" s="7">
        <v>1.78</v>
      </c>
      <c r="L163" s="7">
        <v>1.78</v>
      </c>
      <c r="M163" s="7">
        <v>1.78</v>
      </c>
      <c r="N163" s="7">
        <v>1.78</v>
      </c>
      <c r="O163" s="7">
        <v>1.78</v>
      </c>
      <c r="P163" s="7">
        <v>1.78</v>
      </c>
      <c r="Q163" s="7">
        <v>1.78</v>
      </c>
    </row>
    <row r="164" spans="1:17">
      <c r="A164" s="2">
        <v>2112</v>
      </c>
      <c r="B164" s="7">
        <v>0.752</v>
      </c>
      <c r="C164" s="7">
        <v>0.752</v>
      </c>
      <c r="D164" s="7">
        <v>0.752</v>
      </c>
      <c r="E164" s="7">
        <v>0.752</v>
      </c>
      <c r="F164" s="7">
        <v>0.752</v>
      </c>
      <c r="G164" s="7">
        <v>0.95199999999999996</v>
      </c>
      <c r="H164" s="7">
        <v>0.95199999999999996</v>
      </c>
      <c r="I164" s="7">
        <v>1.76</v>
      </c>
      <c r="J164" s="7">
        <v>1.76</v>
      </c>
      <c r="K164" s="7">
        <v>1.76</v>
      </c>
      <c r="L164" s="7">
        <v>1.76</v>
      </c>
      <c r="M164" s="7">
        <v>1.76</v>
      </c>
      <c r="N164" s="7">
        <v>1.76</v>
      </c>
      <c r="O164" s="7">
        <v>1.76</v>
      </c>
      <c r="P164" s="7">
        <v>1.76</v>
      </c>
      <c r="Q164" s="7">
        <v>1.76</v>
      </c>
    </row>
    <row r="165" spans="1:17">
      <c r="A165" s="2">
        <v>2113</v>
      </c>
      <c r="B165" s="7">
        <v>0.748</v>
      </c>
      <c r="C165" s="7">
        <v>0.748</v>
      </c>
      <c r="D165" s="7">
        <v>0.748</v>
      </c>
      <c r="E165" s="7">
        <v>0.748</v>
      </c>
      <c r="F165" s="7">
        <v>0.748</v>
      </c>
      <c r="G165" s="7">
        <v>0.94799999999999995</v>
      </c>
      <c r="H165" s="7">
        <v>0.94799999999999995</v>
      </c>
      <c r="I165" s="7">
        <v>1.74</v>
      </c>
      <c r="J165" s="7">
        <v>1.74</v>
      </c>
      <c r="K165" s="7">
        <v>1.74</v>
      </c>
      <c r="L165" s="7">
        <v>1.74</v>
      </c>
      <c r="M165" s="7">
        <v>1.74</v>
      </c>
      <c r="N165" s="7">
        <v>1.74</v>
      </c>
      <c r="O165" s="7">
        <v>1.74</v>
      </c>
      <c r="P165" s="7">
        <v>1.74</v>
      </c>
      <c r="Q165" s="7">
        <v>1.74</v>
      </c>
    </row>
    <row r="166" spans="1:17">
      <c r="A166" s="2">
        <v>2114</v>
      </c>
      <c r="B166" s="7">
        <v>0.74399999999999999</v>
      </c>
      <c r="C166" s="7">
        <v>0.74399999999999999</v>
      </c>
      <c r="D166" s="7">
        <v>0.74399999999999999</v>
      </c>
      <c r="E166" s="7">
        <v>0.74399999999999999</v>
      </c>
      <c r="F166" s="7">
        <v>0.74399999999999999</v>
      </c>
      <c r="G166" s="7">
        <v>0.94399999999999995</v>
      </c>
      <c r="H166" s="7">
        <v>0.94399999999999995</v>
      </c>
      <c r="I166" s="7">
        <v>1.72</v>
      </c>
      <c r="J166" s="7">
        <v>1.72</v>
      </c>
      <c r="K166" s="7">
        <v>1.72</v>
      </c>
      <c r="L166" s="7">
        <v>1.72</v>
      </c>
      <c r="M166" s="7">
        <v>1.72</v>
      </c>
      <c r="N166" s="7">
        <v>1.72</v>
      </c>
      <c r="O166" s="7">
        <v>1.72</v>
      </c>
      <c r="P166" s="7">
        <v>1.72</v>
      </c>
      <c r="Q166" s="7">
        <v>1.72</v>
      </c>
    </row>
    <row r="167" spans="1:17">
      <c r="A167" s="2">
        <v>2115</v>
      </c>
      <c r="B167" s="7">
        <v>0.74</v>
      </c>
      <c r="C167" s="7">
        <v>0.74</v>
      </c>
      <c r="D167" s="7">
        <v>0.74</v>
      </c>
      <c r="E167" s="7">
        <v>0.74</v>
      </c>
      <c r="F167" s="7">
        <v>0.74</v>
      </c>
      <c r="G167" s="7">
        <v>0.94</v>
      </c>
      <c r="H167" s="7">
        <v>0.94</v>
      </c>
      <c r="I167" s="7">
        <v>1.7</v>
      </c>
      <c r="J167" s="7">
        <v>1.7</v>
      </c>
      <c r="K167" s="7">
        <v>1.7</v>
      </c>
      <c r="L167" s="7">
        <v>1.7</v>
      </c>
      <c r="M167" s="7">
        <v>1.7</v>
      </c>
      <c r="N167" s="7">
        <v>1.7</v>
      </c>
      <c r="O167" s="7">
        <v>1.7</v>
      </c>
      <c r="P167" s="7">
        <v>1.7</v>
      </c>
      <c r="Q167" s="7">
        <v>1.7</v>
      </c>
    </row>
    <row r="168" spans="1:17">
      <c r="A168" s="2">
        <v>2116</v>
      </c>
      <c r="B168" s="7">
        <v>0.73599999999999999</v>
      </c>
      <c r="C168" s="7">
        <v>0.73599999999999999</v>
      </c>
      <c r="D168" s="7">
        <v>0.73599999999999999</v>
      </c>
      <c r="E168" s="7">
        <v>0.73599999999999999</v>
      </c>
      <c r="F168" s="7">
        <v>0.73599999999999999</v>
      </c>
      <c r="G168" s="7">
        <v>0.93600000000000005</v>
      </c>
      <c r="H168" s="7">
        <v>0.93600000000000005</v>
      </c>
      <c r="I168" s="7">
        <v>1.68</v>
      </c>
      <c r="J168" s="7">
        <v>1.68</v>
      </c>
      <c r="K168" s="7">
        <v>1.68</v>
      </c>
      <c r="L168" s="7">
        <v>1.68</v>
      </c>
      <c r="M168" s="7">
        <v>1.68</v>
      </c>
      <c r="N168" s="7">
        <v>1.68</v>
      </c>
      <c r="O168" s="7">
        <v>1.68</v>
      </c>
      <c r="P168" s="7">
        <v>1.68</v>
      </c>
      <c r="Q168" s="7">
        <v>1.68</v>
      </c>
    </row>
    <row r="169" spans="1:17">
      <c r="A169" s="2">
        <v>2117</v>
      </c>
      <c r="B169" s="7">
        <v>0.73199999999999998</v>
      </c>
      <c r="C169" s="7">
        <v>0.73199999999999998</v>
      </c>
      <c r="D169" s="7">
        <v>0.73199999999999998</v>
      </c>
      <c r="E169" s="7">
        <v>0.73199999999999998</v>
      </c>
      <c r="F169" s="7">
        <v>0.73199999999999998</v>
      </c>
      <c r="G169" s="7">
        <v>0.93200000000000005</v>
      </c>
      <c r="H169" s="7">
        <v>0.93200000000000005</v>
      </c>
      <c r="I169" s="7">
        <v>1.66</v>
      </c>
      <c r="J169" s="7">
        <v>1.66</v>
      </c>
      <c r="K169" s="7">
        <v>1.66</v>
      </c>
      <c r="L169" s="7">
        <v>1.66</v>
      </c>
      <c r="M169" s="7">
        <v>1.66</v>
      </c>
      <c r="N169" s="7">
        <v>1.66</v>
      </c>
      <c r="O169" s="7">
        <v>1.66</v>
      </c>
      <c r="P169" s="7">
        <v>1.66</v>
      </c>
      <c r="Q169" s="7">
        <v>1.66</v>
      </c>
    </row>
    <row r="170" spans="1:17">
      <c r="A170" s="2">
        <v>2118</v>
      </c>
      <c r="B170" s="7">
        <v>0.72799999999999998</v>
      </c>
      <c r="C170" s="7">
        <v>0.72799999999999998</v>
      </c>
      <c r="D170" s="7">
        <v>0.72799999999999998</v>
      </c>
      <c r="E170" s="7">
        <v>0.72799999999999998</v>
      </c>
      <c r="F170" s="7">
        <v>0.72799999999999998</v>
      </c>
      <c r="G170" s="7">
        <v>0.92800000000000005</v>
      </c>
      <c r="H170" s="7">
        <v>0.92800000000000005</v>
      </c>
      <c r="I170" s="7">
        <v>1.64</v>
      </c>
      <c r="J170" s="7">
        <v>1.64</v>
      </c>
      <c r="K170" s="7">
        <v>1.64</v>
      </c>
      <c r="L170" s="7">
        <v>1.64</v>
      </c>
      <c r="M170" s="7">
        <v>1.64</v>
      </c>
      <c r="N170" s="7">
        <v>1.64</v>
      </c>
      <c r="O170" s="7">
        <v>1.64</v>
      </c>
      <c r="P170" s="7">
        <v>1.64</v>
      </c>
      <c r="Q170" s="7">
        <v>1.64</v>
      </c>
    </row>
    <row r="171" spans="1:17">
      <c r="A171" s="2">
        <v>2119</v>
      </c>
      <c r="B171" s="7">
        <v>0.72399999999999998</v>
      </c>
      <c r="C171" s="7">
        <v>0.72399999999999998</v>
      </c>
      <c r="D171" s="7">
        <v>0.72399999999999998</v>
      </c>
      <c r="E171" s="7">
        <v>0.72399999999999998</v>
      </c>
      <c r="F171" s="7">
        <v>0.72399999999999998</v>
      </c>
      <c r="G171" s="7">
        <v>0.92400000000000004</v>
      </c>
      <c r="H171" s="7">
        <v>0.92400000000000004</v>
      </c>
      <c r="I171" s="7">
        <v>1.62</v>
      </c>
      <c r="J171" s="7">
        <v>1.62</v>
      </c>
      <c r="K171" s="7">
        <v>1.62</v>
      </c>
      <c r="L171" s="7">
        <v>1.62</v>
      </c>
      <c r="M171" s="7">
        <v>1.62</v>
      </c>
      <c r="N171" s="7">
        <v>1.62</v>
      </c>
      <c r="O171" s="7">
        <v>1.62</v>
      </c>
      <c r="P171" s="7">
        <v>1.62</v>
      </c>
      <c r="Q171" s="7">
        <v>1.62</v>
      </c>
    </row>
    <row r="172" spans="1:17">
      <c r="A172" s="2">
        <v>2120</v>
      </c>
      <c r="B172" s="7">
        <v>0.72</v>
      </c>
      <c r="C172" s="7">
        <v>0.72</v>
      </c>
      <c r="D172" s="7">
        <v>0.72</v>
      </c>
      <c r="E172" s="7">
        <v>0.72</v>
      </c>
      <c r="F172" s="7">
        <v>0.72</v>
      </c>
      <c r="G172" s="7">
        <v>0.92</v>
      </c>
      <c r="H172" s="7">
        <v>0.92</v>
      </c>
      <c r="I172" s="7">
        <v>1.6</v>
      </c>
      <c r="J172" s="7">
        <v>1.6</v>
      </c>
      <c r="K172" s="7">
        <v>1.6</v>
      </c>
      <c r="L172" s="7">
        <v>1.6</v>
      </c>
      <c r="M172" s="7">
        <v>1.6</v>
      </c>
      <c r="N172" s="7">
        <v>1.6</v>
      </c>
      <c r="O172" s="7">
        <v>1.6</v>
      </c>
      <c r="P172" s="7">
        <v>1.6</v>
      </c>
      <c r="Q172" s="7">
        <v>1.6</v>
      </c>
    </row>
    <row r="173" spans="1:17">
      <c r="A173" s="2">
        <v>2121</v>
      </c>
      <c r="B173" s="7">
        <v>0.71599999999999997</v>
      </c>
      <c r="C173" s="7">
        <v>0.71599999999999997</v>
      </c>
      <c r="D173" s="7">
        <v>0.71599999999999997</v>
      </c>
      <c r="E173" s="7">
        <v>0.71599999999999997</v>
      </c>
      <c r="F173" s="7">
        <v>0.71599999999999997</v>
      </c>
      <c r="G173" s="7">
        <v>0.91600000000000004</v>
      </c>
      <c r="H173" s="7">
        <v>0.91600000000000004</v>
      </c>
      <c r="I173" s="7">
        <v>1.58</v>
      </c>
      <c r="J173" s="7">
        <v>1.58</v>
      </c>
      <c r="K173" s="7">
        <v>1.58</v>
      </c>
      <c r="L173" s="7">
        <v>1.58</v>
      </c>
      <c r="M173" s="7">
        <v>1.58</v>
      </c>
      <c r="N173" s="7">
        <v>1.58</v>
      </c>
      <c r="O173" s="7">
        <v>1.58</v>
      </c>
      <c r="P173" s="7">
        <v>1.58</v>
      </c>
      <c r="Q173" s="7">
        <v>1.58</v>
      </c>
    </row>
    <row r="174" spans="1:17">
      <c r="A174" s="2">
        <v>2122</v>
      </c>
      <c r="B174" s="7">
        <v>0.71199999999999997</v>
      </c>
      <c r="C174" s="7">
        <v>0.71199999999999997</v>
      </c>
      <c r="D174" s="7">
        <v>0.71199999999999997</v>
      </c>
      <c r="E174" s="7">
        <v>0.71199999999999997</v>
      </c>
      <c r="F174" s="7">
        <v>0.71199999999999997</v>
      </c>
      <c r="G174" s="7">
        <v>0.91200000000000003</v>
      </c>
      <c r="H174" s="7">
        <v>0.91200000000000003</v>
      </c>
      <c r="I174" s="7">
        <v>1.56</v>
      </c>
      <c r="J174" s="7">
        <v>1.56</v>
      </c>
      <c r="K174" s="7">
        <v>1.56</v>
      </c>
      <c r="L174" s="7">
        <v>1.56</v>
      </c>
      <c r="M174" s="7">
        <v>1.56</v>
      </c>
      <c r="N174" s="7">
        <v>1.56</v>
      </c>
      <c r="O174" s="7">
        <v>1.56</v>
      </c>
      <c r="P174" s="7">
        <v>1.56</v>
      </c>
      <c r="Q174" s="7">
        <v>1.56</v>
      </c>
    </row>
    <row r="175" spans="1:17">
      <c r="A175" s="2">
        <v>2123</v>
      </c>
      <c r="B175" s="7">
        <v>0.70799999999999996</v>
      </c>
      <c r="C175" s="7">
        <v>0.70799999999999996</v>
      </c>
      <c r="D175" s="7">
        <v>0.70799999999999996</v>
      </c>
      <c r="E175" s="7">
        <v>0.70799999999999996</v>
      </c>
      <c r="F175" s="7">
        <v>0.70799999999999996</v>
      </c>
      <c r="G175" s="7">
        <v>0.90800000000000003</v>
      </c>
      <c r="H175" s="7">
        <v>0.90800000000000003</v>
      </c>
      <c r="I175" s="7">
        <v>1.54</v>
      </c>
      <c r="J175" s="7">
        <v>1.54</v>
      </c>
      <c r="K175" s="7">
        <v>1.54</v>
      </c>
      <c r="L175" s="7">
        <v>1.54</v>
      </c>
      <c r="M175" s="7">
        <v>1.54</v>
      </c>
      <c r="N175" s="7">
        <v>1.54</v>
      </c>
      <c r="O175" s="7">
        <v>1.54</v>
      </c>
      <c r="P175" s="7">
        <v>1.54</v>
      </c>
      <c r="Q175" s="7">
        <v>1.54</v>
      </c>
    </row>
    <row r="176" spans="1:17">
      <c r="A176" s="2">
        <v>2124</v>
      </c>
      <c r="B176" s="7">
        <v>0.70399999999999996</v>
      </c>
      <c r="C176" s="7">
        <v>0.70399999999999996</v>
      </c>
      <c r="D176" s="7">
        <v>0.70399999999999996</v>
      </c>
      <c r="E176" s="7">
        <v>0.70399999999999996</v>
      </c>
      <c r="F176" s="7">
        <v>0.70399999999999996</v>
      </c>
      <c r="G176" s="7">
        <v>0.90400000000000003</v>
      </c>
      <c r="H176" s="7">
        <v>0.90400000000000003</v>
      </c>
      <c r="I176" s="7">
        <v>1.52</v>
      </c>
      <c r="J176" s="7">
        <v>1.52</v>
      </c>
      <c r="K176" s="7">
        <v>1.52</v>
      </c>
      <c r="L176" s="7">
        <v>1.52</v>
      </c>
      <c r="M176" s="7">
        <v>1.52</v>
      </c>
      <c r="N176" s="7">
        <v>1.52</v>
      </c>
      <c r="O176" s="7">
        <v>1.52</v>
      </c>
      <c r="P176" s="7">
        <v>1.52</v>
      </c>
      <c r="Q176" s="7">
        <v>1.52</v>
      </c>
    </row>
    <row r="177" spans="1:17">
      <c r="A177" s="2">
        <v>2125</v>
      </c>
      <c r="B177" s="7">
        <v>0.7</v>
      </c>
      <c r="C177" s="7">
        <v>0.7</v>
      </c>
      <c r="D177" s="7">
        <v>0.7</v>
      </c>
      <c r="E177" s="7">
        <v>0.7</v>
      </c>
      <c r="F177" s="7">
        <v>0.7</v>
      </c>
      <c r="G177" s="7">
        <v>0.9</v>
      </c>
      <c r="H177" s="7">
        <v>0.9</v>
      </c>
      <c r="I177" s="7">
        <v>1.5</v>
      </c>
      <c r="J177" s="7">
        <v>1.5</v>
      </c>
      <c r="K177" s="7">
        <v>1.5</v>
      </c>
      <c r="L177" s="7">
        <v>1.5</v>
      </c>
      <c r="M177" s="7">
        <v>1.5</v>
      </c>
      <c r="N177" s="7">
        <v>1.5</v>
      </c>
      <c r="O177" s="7">
        <v>1.5</v>
      </c>
      <c r="P177" s="7">
        <v>1.5</v>
      </c>
      <c r="Q177" s="7">
        <v>1.5</v>
      </c>
    </row>
    <row r="178" spans="1:17">
      <c r="A178" s="2">
        <v>2126</v>
      </c>
      <c r="B178" s="7">
        <v>0.69599999999999995</v>
      </c>
      <c r="C178" s="7">
        <v>0.69599999999999995</v>
      </c>
      <c r="D178" s="7">
        <v>0.69599999999999995</v>
      </c>
      <c r="E178" s="7">
        <v>0.69599999999999995</v>
      </c>
      <c r="F178" s="7">
        <v>0.69599999999999995</v>
      </c>
      <c r="G178" s="7">
        <v>0.89600000000000002</v>
      </c>
      <c r="H178" s="7">
        <v>0.89600000000000002</v>
      </c>
      <c r="I178" s="7">
        <v>1.48</v>
      </c>
      <c r="J178" s="7">
        <v>1.48</v>
      </c>
      <c r="K178" s="7">
        <v>1.48</v>
      </c>
      <c r="L178" s="7">
        <v>1.48</v>
      </c>
      <c r="M178" s="7">
        <v>1.48</v>
      </c>
      <c r="N178" s="7">
        <v>1.48</v>
      </c>
      <c r="O178" s="7">
        <v>1.48</v>
      </c>
      <c r="P178" s="7">
        <v>1.48</v>
      </c>
      <c r="Q178" s="7">
        <v>1.48</v>
      </c>
    </row>
    <row r="179" spans="1:17">
      <c r="A179" s="2">
        <v>2127</v>
      </c>
      <c r="B179" s="7">
        <v>0.69199999999999995</v>
      </c>
      <c r="C179" s="7">
        <v>0.69199999999999995</v>
      </c>
      <c r="D179" s="7">
        <v>0.69199999999999995</v>
      </c>
      <c r="E179" s="7">
        <v>0.69199999999999995</v>
      </c>
      <c r="F179" s="7">
        <v>0.69199999999999995</v>
      </c>
      <c r="G179" s="7">
        <v>0.89200000000000002</v>
      </c>
      <c r="H179" s="7">
        <v>0.89200000000000002</v>
      </c>
      <c r="I179" s="7">
        <v>1.46</v>
      </c>
      <c r="J179" s="7">
        <v>1.46</v>
      </c>
      <c r="K179" s="7">
        <v>1.46</v>
      </c>
      <c r="L179" s="7">
        <v>1.46</v>
      </c>
      <c r="M179" s="7">
        <v>1.46</v>
      </c>
      <c r="N179" s="7">
        <v>1.46</v>
      </c>
      <c r="O179" s="7">
        <v>1.46</v>
      </c>
      <c r="P179" s="7">
        <v>1.46</v>
      </c>
      <c r="Q179" s="7">
        <v>1.46</v>
      </c>
    </row>
    <row r="180" spans="1:17">
      <c r="A180" s="2">
        <v>2128</v>
      </c>
      <c r="B180" s="7">
        <v>0.68799999999999994</v>
      </c>
      <c r="C180" s="7">
        <v>0.68799999999999994</v>
      </c>
      <c r="D180" s="7">
        <v>0.68799999999999994</v>
      </c>
      <c r="E180" s="7">
        <v>0.68799999999999994</v>
      </c>
      <c r="F180" s="7">
        <v>0.68799999999999994</v>
      </c>
      <c r="G180" s="7">
        <v>0.88800000000000001</v>
      </c>
      <c r="H180" s="7">
        <v>0.88800000000000001</v>
      </c>
      <c r="I180" s="7">
        <v>1.44</v>
      </c>
      <c r="J180" s="7">
        <v>1.44</v>
      </c>
      <c r="K180" s="7">
        <v>1.44</v>
      </c>
      <c r="L180" s="7">
        <v>1.44</v>
      </c>
      <c r="M180" s="7">
        <v>1.44</v>
      </c>
      <c r="N180" s="7">
        <v>1.44</v>
      </c>
      <c r="O180" s="7">
        <v>1.44</v>
      </c>
      <c r="P180" s="7">
        <v>1.44</v>
      </c>
      <c r="Q180" s="7">
        <v>1.44</v>
      </c>
    </row>
    <row r="181" spans="1:17">
      <c r="A181" s="2">
        <v>2129</v>
      </c>
      <c r="B181" s="7">
        <v>0.68400000000000005</v>
      </c>
      <c r="C181" s="7">
        <v>0.68400000000000005</v>
      </c>
      <c r="D181" s="7">
        <v>0.68400000000000005</v>
      </c>
      <c r="E181" s="7">
        <v>0.68400000000000005</v>
      </c>
      <c r="F181" s="7">
        <v>0.68400000000000005</v>
      </c>
      <c r="G181" s="7">
        <v>0.88400000000000001</v>
      </c>
      <c r="H181" s="7">
        <v>0.88400000000000001</v>
      </c>
      <c r="I181" s="7">
        <v>1.42</v>
      </c>
      <c r="J181" s="7">
        <v>1.42</v>
      </c>
      <c r="K181" s="7">
        <v>1.42</v>
      </c>
      <c r="L181" s="7">
        <v>1.42</v>
      </c>
      <c r="M181" s="7">
        <v>1.42</v>
      </c>
      <c r="N181" s="7">
        <v>1.42</v>
      </c>
      <c r="O181" s="7">
        <v>1.42</v>
      </c>
      <c r="P181" s="7">
        <v>1.42</v>
      </c>
      <c r="Q181" s="7">
        <v>1.42</v>
      </c>
    </row>
    <row r="182" spans="1:17">
      <c r="A182" s="2">
        <v>2130</v>
      </c>
      <c r="B182" s="7">
        <v>0.68</v>
      </c>
      <c r="C182" s="7">
        <v>0.68</v>
      </c>
      <c r="D182" s="7">
        <v>0.68</v>
      </c>
      <c r="E182" s="7">
        <v>0.68</v>
      </c>
      <c r="F182" s="7">
        <v>0.68</v>
      </c>
      <c r="G182" s="7">
        <v>0.88</v>
      </c>
      <c r="H182" s="7">
        <v>0.88</v>
      </c>
      <c r="I182" s="7">
        <v>1.4</v>
      </c>
      <c r="J182" s="7">
        <v>1.4</v>
      </c>
      <c r="K182" s="7">
        <v>1.4</v>
      </c>
      <c r="L182" s="7">
        <v>1.4</v>
      </c>
      <c r="M182" s="7">
        <v>1.4</v>
      </c>
      <c r="N182" s="7">
        <v>1.4</v>
      </c>
      <c r="O182" s="7">
        <v>1.4</v>
      </c>
      <c r="P182" s="7">
        <v>1.4</v>
      </c>
      <c r="Q182" s="7">
        <v>1.4</v>
      </c>
    </row>
    <row r="183" spans="1:17">
      <c r="A183" s="2">
        <v>2131</v>
      </c>
      <c r="B183" s="7">
        <v>0.67600000000000005</v>
      </c>
      <c r="C183" s="7">
        <v>0.67600000000000005</v>
      </c>
      <c r="D183" s="7">
        <v>0.67600000000000005</v>
      </c>
      <c r="E183" s="7">
        <v>0.67600000000000005</v>
      </c>
      <c r="F183" s="7">
        <v>0.67600000000000005</v>
      </c>
      <c r="G183" s="7">
        <v>0.876</v>
      </c>
      <c r="H183" s="7">
        <v>0.876</v>
      </c>
      <c r="I183" s="7">
        <v>1.38</v>
      </c>
      <c r="J183" s="7">
        <v>1.38</v>
      </c>
      <c r="K183" s="7">
        <v>1.38</v>
      </c>
      <c r="L183" s="7">
        <v>1.38</v>
      </c>
      <c r="M183" s="7">
        <v>1.38</v>
      </c>
      <c r="N183" s="7">
        <v>1.38</v>
      </c>
      <c r="O183" s="7">
        <v>1.38</v>
      </c>
      <c r="P183" s="7">
        <v>1.38</v>
      </c>
      <c r="Q183" s="7">
        <v>1.38</v>
      </c>
    </row>
    <row r="184" spans="1:17">
      <c r="A184" s="2">
        <v>2132</v>
      </c>
      <c r="B184" s="7">
        <v>0.67200000000000004</v>
      </c>
      <c r="C184" s="7">
        <v>0.67200000000000004</v>
      </c>
      <c r="D184" s="7">
        <v>0.67200000000000004</v>
      </c>
      <c r="E184" s="7">
        <v>0.67200000000000004</v>
      </c>
      <c r="F184" s="7">
        <v>0.67200000000000004</v>
      </c>
      <c r="G184" s="7">
        <v>0.872</v>
      </c>
      <c r="H184" s="7">
        <v>0.872</v>
      </c>
      <c r="I184" s="7">
        <v>1.36</v>
      </c>
      <c r="J184" s="7">
        <v>1.36</v>
      </c>
      <c r="K184" s="7">
        <v>1.36</v>
      </c>
      <c r="L184" s="7">
        <v>1.36</v>
      </c>
      <c r="M184" s="7">
        <v>1.36</v>
      </c>
      <c r="N184" s="7">
        <v>1.36</v>
      </c>
      <c r="O184" s="7">
        <v>1.36</v>
      </c>
      <c r="P184" s="7">
        <v>1.36</v>
      </c>
      <c r="Q184" s="7">
        <v>1.36</v>
      </c>
    </row>
    <row r="185" spans="1:17">
      <c r="A185" s="2">
        <v>2133</v>
      </c>
      <c r="B185" s="7">
        <v>0.66800000000000004</v>
      </c>
      <c r="C185" s="7">
        <v>0.66800000000000004</v>
      </c>
      <c r="D185" s="7">
        <v>0.66800000000000004</v>
      </c>
      <c r="E185" s="7">
        <v>0.66800000000000004</v>
      </c>
      <c r="F185" s="7">
        <v>0.66800000000000004</v>
      </c>
      <c r="G185" s="7">
        <v>0.86799999999999999</v>
      </c>
      <c r="H185" s="7">
        <v>0.86799999999999999</v>
      </c>
      <c r="I185" s="7">
        <v>1.34</v>
      </c>
      <c r="J185" s="7">
        <v>1.34</v>
      </c>
      <c r="K185" s="7">
        <v>1.34</v>
      </c>
      <c r="L185" s="7">
        <v>1.34</v>
      </c>
      <c r="M185" s="7">
        <v>1.34</v>
      </c>
      <c r="N185" s="7">
        <v>1.34</v>
      </c>
      <c r="O185" s="7">
        <v>1.34</v>
      </c>
      <c r="P185" s="7">
        <v>1.34</v>
      </c>
      <c r="Q185" s="7">
        <v>1.34</v>
      </c>
    </row>
    <row r="186" spans="1:17">
      <c r="A186" s="2">
        <v>2134</v>
      </c>
      <c r="B186" s="7">
        <v>0.66400000000000003</v>
      </c>
      <c r="C186" s="7">
        <v>0.66400000000000003</v>
      </c>
      <c r="D186" s="7">
        <v>0.66400000000000003</v>
      </c>
      <c r="E186" s="7">
        <v>0.66400000000000003</v>
      </c>
      <c r="F186" s="7">
        <v>0.66400000000000003</v>
      </c>
      <c r="G186" s="7">
        <v>0.86399999999999999</v>
      </c>
      <c r="H186" s="7">
        <v>0.86399999999999999</v>
      </c>
      <c r="I186" s="7">
        <v>1.32</v>
      </c>
      <c r="J186" s="7">
        <v>1.32</v>
      </c>
      <c r="K186" s="7">
        <v>1.32</v>
      </c>
      <c r="L186" s="7">
        <v>1.32</v>
      </c>
      <c r="M186" s="7">
        <v>1.32</v>
      </c>
      <c r="N186" s="7">
        <v>1.32</v>
      </c>
      <c r="O186" s="7">
        <v>1.32</v>
      </c>
      <c r="P186" s="7">
        <v>1.32</v>
      </c>
      <c r="Q186" s="7">
        <v>1.32</v>
      </c>
    </row>
    <row r="187" spans="1:17">
      <c r="A187" s="2">
        <v>2135</v>
      </c>
      <c r="B187" s="7">
        <v>0.66</v>
      </c>
      <c r="C187" s="7">
        <v>0.66</v>
      </c>
      <c r="D187" s="7">
        <v>0.66</v>
      </c>
      <c r="E187" s="7">
        <v>0.66</v>
      </c>
      <c r="F187" s="7">
        <v>0.66</v>
      </c>
      <c r="G187" s="7">
        <v>0.86</v>
      </c>
      <c r="H187" s="7">
        <v>0.86</v>
      </c>
      <c r="I187" s="7">
        <v>1.3</v>
      </c>
      <c r="J187" s="7">
        <v>1.3</v>
      </c>
      <c r="K187" s="7">
        <v>1.3</v>
      </c>
      <c r="L187" s="7">
        <v>1.3</v>
      </c>
      <c r="M187" s="7">
        <v>1.3</v>
      </c>
      <c r="N187" s="7">
        <v>1.3</v>
      </c>
      <c r="O187" s="7">
        <v>1.3</v>
      </c>
      <c r="P187" s="7">
        <v>1.3</v>
      </c>
      <c r="Q187" s="7">
        <v>1.3</v>
      </c>
    </row>
    <row r="188" spans="1:17">
      <c r="A188" s="2">
        <v>2136</v>
      </c>
      <c r="B188" s="7">
        <v>0.65600000000000003</v>
      </c>
      <c r="C188" s="7">
        <v>0.65600000000000003</v>
      </c>
      <c r="D188" s="7">
        <v>0.65600000000000003</v>
      </c>
      <c r="E188" s="7">
        <v>0.65600000000000003</v>
      </c>
      <c r="F188" s="7">
        <v>0.65600000000000003</v>
      </c>
      <c r="G188" s="7">
        <v>0.85599999999999998</v>
      </c>
      <c r="H188" s="7">
        <v>0.85599999999999998</v>
      </c>
      <c r="I188" s="7">
        <v>1.28</v>
      </c>
      <c r="J188" s="7">
        <v>1.28</v>
      </c>
      <c r="K188" s="7">
        <v>1.28</v>
      </c>
      <c r="L188" s="7">
        <v>1.28</v>
      </c>
      <c r="M188" s="7">
        <v>1.28</v>
      </c>
      <c r="N188" s="7">
        <v>1.28</v>
      </c>
      <c r="O188" s="7">
        <v>1.28</v>
      </c>
      <c r="P188" s="7">
        <v>1.28</v>
      </c>
      <c r="Q188" s="7">
        <v>1.28</v>
      </c>
    </row>
    <row r="189" spans="1:17">
      <c r="A189" s="2">
        <v>2137</v>
      </c>
      <c r="B189" s="7">
        <v>0.65200000000000002</v>
      </c>
      <c r="C189" s="7">
        <v>0.65200000000000002</v>
      </c>
      <c r="D189" s="7">
        <v>0.65200000000000002</v>
      </c>
      <c r="E189" s="7">
        <v>0.65200000000000002</v>
      </c>
      <c r="F189" s="7">
        <v>0.65200000000000002</v>
      </c>
      <c r="G189" s="7">
        <v>0.85199999999999998</v>
      </c>
      <c r="H189" s="7">
        <v>0.85199999999999998</v>
      </c>
      <c r="I189" s="7">
        <v>1.26</v>
      </c>
      <c r="J189" s="7">
        <v>1.26</v>
      </c>
      <c r="K189" s="7">
        <v>1.26</v>
      </c>
      <c r="L189" s="7">
        <v>1.26</v>
      </c>
      <c r="M189" s="7">
        <v>1.26</v>
      </c>
      <c r="N189" s="7">
        <v>1.26</v>
      </c>
      <c r="O189" s="7">
        <v>1.26</v>
      </c>
      <c r="P189" s="7">
        <v>1.26</v>
      </c>
      <c r="Q189" s="7">
        <v>1.26</v>
      </c>
    </row>
    <row r="190" spans="1:17">
      <c r="A190" s="2">
        <v>2138</v>
      </c>
      <c r="B190" s="7">
        <v>0.64800000000000002</v>
      </c>
      <c r="C190" s="7">
        <v>0.64800000000000002</v>
      </c>
      <c r="D190" s="7">
        <v>0.64800000000000002</v>
      </c>
      <c r="E190" s="7">
        <v>0.64800000000000002</v>
      </c>
      <c r="F190" s="7">
        <v>0.64800000000000002</v>
      </c>
      <c r="G190" s="7">
        <v>0.84799999999999998</v>
      </c>
      <c r="H190" s="7">
        <v>0.84799999999999998</v>
      </c>
      <c r="I190" s="7">
        <v>1.24</v>
      </c>
      <c r="J190" s="7">
        <v>1.24</v>
      </c>
      <c r="K190" s="7">
        <v>1.24</v>
      </c>
      <c r="L190" s="7">
        <v>1.24</v>
      </c>
      <c r="M190" s="7">
        <v>1.24</v>
      </c>
      <c r="N190" s="7">
        <v>1.24</v>
      </c>
      <c r="O190" s="7">
        <v>1.24</v>
      </c>
      <c r="P190" s="7">
        <v>1.24</v>
      </c>
      <c r="Q190" s="7">
        <v>1.24</v>
      </c>
    </row>
    <row r="191" spans="1:17">
      <c r="A191" s="2">
        <v>2139</v>
      </c>
      <c r="B191" s="7">
        <v>0.64400000000000002</v>
      </c>
      <c r="C191" s="7">
        <v>0.64400000000000002</v>
      </c>
      <c r="D191" s="7">
        <v>0.64400000000000002</v>
      </c>
      <c r="E191" s="7">
        <v>0.64400000000000002</v>
      </c>
      <c r="F191" s="7">
        <v>0.64400000000000002</v>
      </c>
      <c r="G191" s="7">
        <v>0.84399999999999997</v>
      </c>
      <c r="H191" s="7">
        <v>0.84399999999999997</v>
      </c>
      <c r="I191" s="7">
        <v>1.22</v>
      </c>
      <c r="J191" s="7">
        <v>1.22</v>
      </c>
      <c r="K191" s="7">
        <v>1.22</v>
      </c>
      <c r="L191" s="7">
        <v>1.22</v>
      </c>
      <c r="M191" s="7">
        <v>1.22</v>
      </c>
      <c r="N191" s="7">
        <v>1.22</v>
      </c>
      <c r="O191" s="7">
        <v>1.22</v>
      </c>
      <c r="P191" s="7">
        <v>1.22</v>
      </c>
      <c r="Q191" s="7">
        <v>1.22</v>
      </c>
    </row>
    <row r="192" spans="1:17">
      <c r="A192" s="2">
        <v>2140</v>
      </c>
      <c r="B192" s="7">
        <v>0.64</v>
      </c>
      <c r="C192" s="7">
        <v>0.64</v>
      </c>
      <c r="D192" s="7">
        <v>0.64</v>
      </c>
      <c r="E192" s="7">
        <v>0.64</v>
      </c>
      <c r="F192" s="7">
        <v>0.64</v>
      </c>
      <c r="G192" s="7">
        <v>0.84</v>
      </c>
      <c r="H192" s="7">
        <v>0.84</v>
      </c>
      <c r="I192" s="7">
        <v>1.2</v>
      </c>
      <c r="J192" s="7">
        <v>1.2</v>
      </c>
      <c r="K192" s="7">
        <v>1.2</v>
      </c>
      <c r="L192" s="7">
        <v>1.2</v>
      </c>
      <c r="M192" s="7">
        <v>1.2</v>
      </c>
      <c r="N192" s="7">
        <v>1.2</v>
      </c>
      <c r="O192" s="7">
        <v>1.2</v>
      </c>
      <c r="P192" s="7">
        <v>1.2</v>
      </c>
      <c r="Q192" s="7">
        <v>1.2</v>
      </c>
    </row>
    <row r="193" spans="1:17">
      <c r="A193" s="2">
        <v>2141</v>
      </c>
      <c r="B193" s="7">
        <v>0.63600000000000001</v>
      </c>
      <c r="C193" s="7">
        <v>0.63600000000000001</v>
      </c>
      <c r="D193" s="7">
        <v>0.63600000000000001</v>
      </c>
      <c r="E193" s="7">
        <v>0.63600000000000001</v>
      </c>
      <c r="F193" s="7">
        <v>0.63600000000000001</v>
      </c>
      <c r="G193" s="7">
        <v>0.83599999999999997</v>
      </c>
      <c r="H193" s="7">
        <v>0.83599999999999997</v>
      </c>
      <c r="I193" s="7">
        <v>1.18</v>
      </c>
      <c r="J193" s="7">
        <v>1.18</v>
      </c>
      <c r="K193" s="7">
        <v>1.18</v>
      </c>
      <c r="L193" s="7">
        <v>1.18</v>
      </c>
      <c r="M193" s="7">
        <v>1.18</v>
      </c>
      <c r="N193" s="7">
        <v>1.18</v>
      </c>
      <c r="O193" s="7">
        <v>1.18</v>
      </c>
      <c r="P193" s="7">
        <v>1.18</v>
      </c>
      <c r="Q193" s="7">
        <v>1.18</v>
      </c>
    </row>
    <row r="194" spans="1:17">
      <c r="A194" s="2">
        <v>2142</v>
      </c>
      <c r="B194" s="7">
        <v>0.63200000000000001</v>
      </c>
      <c r="C194" s="7">
        <v>0.63200000000000001</v>
      </c>
      <c r="D194" s="7">
        <v>0.63200000000000001</v>
      </c>
      <c r="E194" s="7">
        <v>0.63200000000000001</v>
      </c>
      <c r="F194" s="7">
        <v>0.63200000000000001</v>
      </c>
      <c r="G194" s="7">
        <v>0.83199999999999996</v>
      </c>
      <c r="H194" s="7">
        <v>0.83199999999999996</v>
      </c>
      <c r="I194" s="7">
        <v>1.1599999999999999</v>
      </c>
      <c r="J194" s="7">
        <v>1.1599999999999999</v>
      </c>
      <c r="K194" s="7">
        <v>1.1599999999999999</v>
      </c>
      <c r="L194" s="7">
        <v>1.1599999999999999</v>
      </c>
      <c r="M194" s="7">
        <v>1.1599999999999999</v>
      </c>
      <c r="N194" s="7">
        <v>1.1599999999999999</v>
      </c>
      <c r="O194" s="7">
        <v>1.1599999999999999</v>
      </c>
      <c r="P194" s="7">
        <v>1.1599999999999999</v>
      </c>
      <c r="Q194" s="7">
        <v>1.1599999999999999</v>
      </c>
    </row>
    <row r="195" spans="1:17">
      <c r="A195" s="2">
        <v>2143</v>
      </c>
      <c r="B195" s="7">
        <v>0.628</v>
      </c>
      <c r="C195" s="7">
        <v>0.628</v>
      </c>
      <c r="D195" s="7">
        <v>0.628</v>
      </c>
      <c r="E195" s="7">
        <v>0.628</v>
      </c>
      <c r="F195" s="7">
        <v>0.628</v>
      </c>
      <c r="G195" s="7">
        <v>0.82799999999999996</v>
      </c>
      <c r="H195" s="7">
        <v>0.82799999999999996</v>
      </c>
      <c r="I195" s="7">
        <v>1.1399999999999999</v>
      </c>
      <c r="J195" s="7">
        <v>1.1399999999999999</v>
      </c>
      <c r="K195" s="7">
        <v>1.1399999999999999</v>
      </c>
      <c r="L195" s="7">
        <v>1.1399999999999999</v>
      </c>
      <c r="M195" s="7">
        <v>1.1399999999999999</v>
      </c>
      <c r="N195" s="7">
        <v>1.1399999999999999</v>
      </c>
      <c r="O195" s="7">
        <v>1.1399999999999999</v>
      </c>
      <c r="P195" s="7">
        <v>1.1399999999999999</v>
      </c>
      <c r="Q195" s="7">
        <v>1.1399999999999999</v>
      </c>
    </row>
    <row r="196" spans="1:17">
      <c r="A196" s="2">
        <v>2144</v>
      </c>
      <c r="B196" s="7">
        <v>0.624</v>
      </c>
      <c r="C196" s="7">
        <v>0.624</v>
      </c>
      <c r="D196" s="7">
        <v>0.624</v>
      </c>
      <c r="E196" s="7">
        <v>0.624</v>
      </c>
      <c r="F196" s="7">
        <v>0.624</v>
      </c>
      <c r="G196" s="7">
        <v>0.82399999999999995</v>
      </c>
      <c r="H196" s="7">
        <v>0.82399999999999995</v>
      </c>
      <c r="I196" s="7">
        <v>1.1200000000000001</v>
      </c>
      <c r="J196" s="7">
        <v>1.1200000000000001</v>
      </c>
      <c r="K196" s="7">
        <v>1.1200000000000001</v>
      </c>
      <c r="L196" s="7">
        <v>1.1200000000000001</v>
      </c>
      <c r="M196" s="7">
        <v>1.1200000000000001</v>
      </c>
      <c r="N196" s="7">
        <v>1.1200000000000001</v>
      </c>
      <c r="O196" s="7">
        <v>1.1200000000000001</v>
      </c>
      <c r="P196" s="7">
        <v>1.1200000000000001</v>
      </c>
      <c r="Q196" s="7">
        <v>1.1200000000000001</v>
      </c>
    </row>
    <row r="197" spans="1:17">
      <c r="A197" s="2">
        <v>2145</v>
      </c>
      <c r="B197" s="7">
        <v>0.62</v>
      </c>
      <c r="C197" s="7">
        <v>0.62</v>
      </c>
      <c r="D197" s="7">
        <v>0.62</v>
      </c>
      <c r="E197" s="7">
        <v>0.62</v>
      </c>
      <c r="F197" s="7">
        <v>0.62</v>
      </c>
      <c r="G197" s="7">
        <v>0.82</v>
      </c>
      <c r="H197" s="7">
        <v>0.82</v>
      </c>
      <c r="I197" s="7">
        <v>1.1000000000000001</v>
      </c>
      <c r="J197" s="7">
        <v>1.1000000000000001</v>
      </c>
      <c r="K197" s="7">
        <v>1.1000000000000001</v>
      </c>
      <c r="L197" s="7">
        <v>1.1000000000000001</v>
      </c>
      <c r="M197" s="7">
        <v>1.1000000000000001</v>
      </c>
      <c r="N197" s="7">
        <v>1.1000000000000001</v>
      </c>
      <c r="O197" s="7">
        <v>1.1000000000000001</v>
      </c>
      <c r="P197" s="7">
        <v>1.1000000000000001</v>
      </c>
      <c r="Q197" s="7">
        <v>1.1000000000000001</v>
      </c>
    </row>
    <row r="198" spans="1:17">
      <c r="A198" s="2">
        <v>2146</v>
      </c>
      <c r="B198" s="7">
        <v>0.61599999999999999</v>
      </c>
      <c r="C198" s="7">
        <v>0.61599999999999999</v>
      </c>
      <c r="D198" s="7">
        <v>0.61599999999999999</v>
      </c>
      <c r="E198" s="7">
        <v>0.61599999999999999</v>
      </c>
      <c r="F198" s="7">
        <v>0.61599999999999999</v>
      </c>
      <c r="G198" s="7">
        <v>0.81599999999999995</v>
      </c>
      <c r="H198" s="7">
        <v>0.81599999999999995</v>
      </c>
      <c r="I198" s="7">
        <v>1.08</v>
      </c>
      <c r="J198" s="7">
        <v>1.08</v>
      </c>
      <c r="K198" s="7">
        <v>1.08</v>
      </c>
      <c r="L198" s="7">
        <v>1.08</v>
      </c>
      <c r="M198" s="7">
        <v>1.08</v>
      </c>
      <c r="N198" s="7">
        <v>1.08</v>
      </c>
      <c r="O198" s="7">
        <v>1.08</v>
      </c>
      <c r="P198" s="7">
        <v>1.08</v>
      </c>
      <c r="Q198" s="7">
        <v>1.08</v>
      </c>
    </row>
    <row r="199" spans="1:17">
      <c r="A199" s="2">
        <v>2147</v>
      </c>
      <c r="B199" s="7">
        <v>0.61199999999999999</v>
      </c>
      <c r="C199" s="7">
        <v>0.61199999999999999</v>
      </c>
      <c r="D199" s="7">
        <v>0.61199999999999999</v>
      </c>
      <c r="E199" s="7">
        <v>0.61199999999999999</v>
      </c>
      <c r="F199" s="7">
        <v>0.61199999999999999</v>
      </c>
      <c r="G199" s="7">
        <v>0.81200000000000006</v>
      </c>
      <c r="H199" s="7">
        <v>0.81200000000000006</v>
      </c>
      <c r="I199" s="7">
        <v>1.06</v>
      </c>
      <c r="J199" s="7">
        <v>1.06</v>
      </c>
      <c r="K199" s="7">
        <v>1.06</v>
      </c>
      <c r="L199" s="7">
        <v>1.06</v>
      </c>
      <c r="M199" s="7">
        <v>1.06</v>
      </c>
      <c r="N199" s="7">
        <v>1.06</v>
      </c>
      <c r="O199" s="7">
        <v>1.06</v>
      </c>
      <c r="P199" s="7">
        <v>1.06</v>
      </c>
      <c r="Q199" s="7">
        <v>1.06</v>
      </c>
    </row>
    <row r="200" spans="1:17">
      <c r="A200" s="2">
        <v>2148</v>
      </c>
      <c r="B200" s="7">
        <v>0.60799999999999998</v>
      </c>
      <c r="C200" s="7">
        <v>0.60799999999999998</v>
      </c>
      <c r="D200" s="7">
        <v>0.60799999999999998</v>
      </c>
      <c r="E200" s="7">
        <v>0.60799999999999998</v>
      </c>
      <c r="F200" s="7">
        <v>0.60799999999999998</v>
      </c>
      <c r="G200" s="7">
        <v>0.80800000000000005</v>
      </c>
      <c r="H200" s="7">
        <v>0.80800000000000005</v>
      </c>
      <c r="I200" s="7">
        <v>1.04</v>
      </c>
      <c r="J200" s="7">
        <v>1.04</v>
      </c>
      <c r="K200" s="7">
        <v>1.04</v>
      </c>
      <c r="L200" s="7">
        <v>1.04</v>
      </c>
      <c r="M200" s="7">
        <v>1.04</v>
      </c>
      <c r="N200" s="7">
        <v>1.04</v>
      </c>
      <c r="O200" s="7">
        <v>1.04</v>
      </c>
      <c r="P200" s="7">
        <v>1.04</v>
      </c>
      <c r="Q200" s="7">
        <v>1.04</v>
      </c>
    </row>
    <row r="201" spans="1:17">
      <c r="A201" s="2">
        <v>2149</v>
      </c>
      <c r="B201" s="7">
        <v>0.60399999999999998</v>
      </c>
      <c r="C201" s="7">
        <v>0.60399999999999998</v>
      </c>
      <c r="D201" s="7">
        <v>0.60399999999999998</v>
      </c>
      <c r="E201" s="7">
        <v>0.60399999999999998</v>
      </c>
      <c r="F201" s="7">
        <v>0.60399999999999998</v>
      </c>
      <c r="G201" s="7">
        <v>0.80400000000000005</v>
      </c>
      <c r="H201" s="7">
        <v>0.80400000000000005</v>
      </c>
      <c r="I201" s="7">
        <v>1.02</v>
      </c>
      <c r="J201" s="7">
        <v>1.02</v>
      </c>
      <c r="K201" s="7">
        <v>1.02</v>
      </c>
      <c r="L201" s="7">
        <v>1.02</v>
      </c>
      <c r="M201" s="7">
        <v>1.02</v>
      </c>
      <c r="N201" s="7">
        <v>1.02</v>
      </c>
      <c r="O201" s="7">
        <v>1.02</v>
      </c>
      <c r="P201" s="7">
        <v>1.02</v>
      </c>
      <c r="Q201" s="7">
        <v>1.02</v>
      </c>
    </row>
    <row r="202" spans="1:17">
      <c r="A202" s="2">
        <v>2150</v>
      </c>
      <c r="B202" s="7">
        <v>0.6</v>
      </c>
      <c r="C202" s="7">
        <v>0.6</v>
      </c>
      <c r="D202" s="7">
        <v>0.6</v>
      </c>
      <c r="E202" s="7">
        <v>0.6</v>
      </c>
      <c r="F202" s="7">
        <v>0.6</v>
      </c>
      <c r="G202" s="7">
        <v>0.8</v>
      </c>
      <c r="H202" s="7">
        <v>0.8</v>
      </c>
      <c r="I202" s="7">
        <v>1</v>
      </c>
      <c r="J202" s="7">
        <v>1</v>
      </c>
      <c r="K202" s="7">
        <v>1</v>
      </c>
      <c r="L202" s="7">
        <v>1</v>
      </c>
      <c r="M202" s="7">
        <v>1</v>
      </c>
      <c r="N202" s="7">
        <v>1</v>
      </c>
      <c r="O202" s="7">
        <v>1</v>
      </c>
      <c r="P202" s="7">
        <v>1</v>
      </c>
      <c r="Q202" s="7">
        <v>1</v>
      </c>
    </row>
    <row r="203" spans="1:17">
      <c r="A203" s="2">
        <v>2151</v>
      </c>
      <c r="B203" s="7">
        <v>0.6</v>
      </c>
      <c r="C203" s="7">
        <v>0.6</v>
      </c>
      <c r="D203" s="7">
        <v>0.6</v>
      </c>
      <c r="E203" s="7">
        <v>0.6</v>
      </c>
      <c r="F203" s="7">
        <v>0.6</v>
      </c>
      <c r="G203" s="7">
        <v>0.8</v>
      </c>
      <c r="H203" s="7">
        <v>0.8</v>
      </c>
      <c r="I203" s="7">
        <v>1</v>
      </c>
      <c r="J203" s="7">
        <v>1</v>
      </c>
      <c r="K203" s="7">
        <v>1</v>
      </c>
      <c r="L203" s="7">
        <v>1</v>
      </c>
      <c r="M203" s="7">
        <v>1</v>
      </c>
      <c r="N203" s="7">
        <v>1</v>
      </c>
      <c r="O203" s="7">
        <v>1</v>
      </c>
      <c r="P203" s="7">
        <v>1</v>
      </c>
      <c r="Q203" s="7">
        <v>1</v>
      </c>
    </row>
    <row r="204" spans="1:17">
      <c r="A204" s="2">
        <v>2152</v>
      </c>
      <c r="B204" s="7">
        <v>0.6</v>
      </c>
      <c r="C204" s="7">
        <v>0.6</v>
      </c>
      <c r="D204" s="7">
        <v>0.6</v>
      </c>
      <c r="E204" s="7">
        <v>0.6</v>
      </c>
      <c r="F204" s="7">
        <v>0.6</v>
      </c>
      <c r="G204" s="7">
        <v>0.8</v>
      </c>
      <c r="H204" s="7">
        <v>0.8</v>
      </c>
      <c r="I204" s="7">
        <v>1</v>
      </c>
      <c r="J204" s="7">
        <v>1</v>
      </c>
      <c r="K204" s="7">
        <v>1</v>
      </c>
      <c r="L204" s="7">
        <v>1</v>
      </c>
      <c r="M204" s="7">
        <v>1</v>
      </c>
      <c r="N204" s="7">
        <v>1</v>
      </c>
      <c r="O204" s="7">
        <v>1</v>
      </c>
      <c r="P204" s="7">
        <v>1</v>
      </c>
      <c r="Q204" s="7">
        <v>1</v>
      </c>
    </row>
    <row r="205" spans="1:17">
      <c r="A205" s="2">
        <v>2153</v>
      </c>
      <c r="B205" s="7">
        <v>0.6</v>
      </c>
      <c r="C205" s="7">
        <v>0.6</v>
      </c>
      <c r="D205" s="7">
        <v>0.6</v>
      </c>
      <c r="E205" s="7">
        <v>0.6</v>
      </c>
      <c r="F205" s="7">
        <v>0.6</v>
      </c>
      <c r="G205" s="7">
        <v>0.8</v>
      </c>
      <c r="H205" s="7">
        <v>0.8</v>
      </c>
      <c r="I205" s="7">
        <v>1</v>
      </c>
      <c r="J205" s="7">
        <v>1</v>
      </c>
      <c r="K205" s="7">
        <v>1</v>
      </c>
      <c r="L205" s="7">
        <v>1</v>
      </c>
      <c r="M205" s="7">
        <v>1</v>
      </c>
      <c r="N205" s="7">
        <v>1</v>
      </c>
      <c r="O205" s="7">
        <v>1</v>
      </c>
      <c r="P205" s="7">
        <v>1</v>
      </c>
      <c r="Q205" s="7">
        <v>1</v>
      </c>
    </row>
    <row r="206" spans="1:17">
      <c r="A206" s="2">
        <v>2154</v>
      </c>
      <c r="B206" s="7">
        <v>0.6</v>
      </c>
      <c r="C206" s="7">
        <v>0.6</v>
      </c>
      <c r="D206" s="7">
        <v>0.6</v>
      </c>
      <c r="E206" s="7">
        <v>0.6</v>
      </c>
      <c r="F206" s="7">
        <v>0.6</v>
      </c>
      <c r="G206" s="7">
        <v>0.8</v>
      </c>
      <c r="H206" s="7">
        <v>0.8</v>
      </c>
      <c r="I206" s="7">
        <v>1</v>
      </c>
      <c r="J206" s="7">
        <v>1</v>
      </c>
      <c r="K206" s="7">
        <v>1</v>
      </c>
      <c r="L206" s="7">
        <v>1</v>
      </c>
      <c r="M206" s="7">
        <v>1</v>
      </c>
      <c r="N206" s="7">
        <v>1</v>
      </c>
      <c r="O206" s="7">
        <v>1</v>
      </c>
      <c r="P206" s="7">
        <v>1</v>
      </c>
      <c r="Q206" s="7">
        <v>1</v>
      </c>
    </row>
    <row r="207" spans="1:17">
      <c r="A207" s="2">
        <v>2155</v>
      </c>
      <c r="B207" s="7">
        <v>0.6</v>
      </c>
      <c r="C207" s="7">
        <v>0.6</v>
      </c>
      <c r="D207" s="7">
        <v>0.6</v>
      </c>
      <c r="E207" s="7">
        <v>0.6</v>
      </c>
      <c r="F207" s="7">
        <v>0.6</v>
      </c>
      <c r="G207" s="7">
        <v>0.8</v>
      </c>
      <c r="H207" s="7">
        <v>0.8</v>
      </c>
      <c r="I207" s="7">
        <v>1</v>
      </c>
      <c r="J207" s="7">
        <v>1</v>
      </c>
      <c r="K207" s="7">
        <v>1</v>
      </c>
      <c r="L207" s="7">
        <v>1</v>
      </c>
      <c r="M207" s="7">
        <v>1</v>
      </c>
      <c r="N207" s="7">
        <v>1</v>
      </c>
      <c r="O207" s="7">
        <v>1</v>
      </c>
      <c r="P207" s="7">
        <v>1</v>
      </c>
      <c r="Q207" s="7">
        <v>1</v>
      </c>
    </row>
    <row r="208" spans="1:17">
      <c r="A208" s="2">
        <v>2156</v>
      </c>
      <c r="B208" s="7">
        <v>0.6</v>
      </c>
      <c r="C208" s="7">
        <v>0.6</v>
      </c>
      <c r="D208" s="7">
        <v>0.6</v>
      </c>
      <c r="E208" s="7">
        <v>0.6</v>
      </c>
      <c r="F208" s="7">
        <v>0.6</v>
      </c>
      <c r="G208" s="7">
        <v>0.8</v>
      </c>
      <c r="H208" s="7">
        <v>0.8</v>
      </c>
      <c r="I208" s="7">
        <v>1</v>
      </c>
      <c r="J208" s="7">
        <v>1</v>
      </c>
      <c r="K208" s="7">
        <v>1</v>
      </c>
      <c r="L208" s="7">
        <v>1</v>
      </c>
      <c r="M208" s="7">
        <v>1</v>
      </c>
      <c r="N208" s="7">
        <v>1</v>
      </c>
      <c r="O208" s="7">
        <v>1</v>
      </c>
      <c r="P208" s="7">
        <v>1</v>
      </c>
      <c r="Q208" s="7">
        <v>1</v>
      </c>
    </row>
    <row r="209" spans="1:17">
      <c r="A209" s="2">
        <v>2157</v>
      </c>
      <c r="B209" s="7">
        <v>0.6</v>
      </c>
      <c r="C209" s="7">
        <v>0.6</v>
      </c>
      <c r="D209" s="7">
        <v>0.6</v>
      </c>
      <c r="E209" s="7">
        <v>0.6</v>
      </c>
      <c r="F209" s="7">
        <v>0.6</v>
      </c>
      <c r="G209" s="7">
        <v>0.8</v>
      </c>
      <c r="H209" s="7">
        <v>0.8</v>
      </c>
      <c r="I209" s="7">
        <v>1</v>
      </c>
      <c r="J209" s="7">
        <v>1</v>
      </c>
      <c r="K209" s="7">
        <v>1</v>
      </c>
      <c r="L209" s="7">
        <v>1</v>
      </c>
      <c r="M209" s="7">
        <v>1</v>
      </c>
      <c r="N209" s="7">
        <v>1</v>
      </c>
      <c r="O209" s="7">
        <v>1</v>
      </c>
      <c r="P209" s="7">
        <v>1</v>
      </c>
      <c r="Q209" s="7">
        <v>1</v>
      </c>
    </row>
    <row r="210" spans="1:17">
      <c r="A210" s="2">
        <v>2158</v>
      </c>
      <c r="B210" s="7">
        <v>0.6</v>
      </c>
      <c r="C210" s="7">
        <v>0.6</v>
      </c>
      <c r="D210" s="7">
        <v>0.6</v>
      </c>
      <c r="E210" s="7">
        <v>0.6</v>
      </c>
      <c r="F210" s="7">
        <v>0.6</v>
      </c>
      <c r="G210" s="7">
        <v>0.8</v>
      </c>
      <c r="H210" s="7">
        <v>0.8</v>
      </c>
      <c r="I210" s="7">
        <v>1</v>
      </c>
      <c r="J210" s="7">
        <v>1</v>
      </c>
      <c r="K210" s="7">
        <v>1</v>
      </c>
      <c r="L210" s="7">
        <v>1</v>
      </c>
      <c r="M210" s="7">
        <v>1</v>
      </c>
      <c r="N210" s="7">
        <v>1</v>
      </c>
      <c r="O210" s="7">
        <v>1</v>
      </c>
      <c r="P210" s="7">
        <v>1</v>
      </c>
      <c r="Q210" s="7">
        <v>1</v>
      </c>
    </row>
    <row r="211" spans="1:17">
      <c r="A211" s="2">
        <v>2159</v>
      </c>
      <c r="B211" s="7">
        <v>0.6</v>
      </c>
      <c r="C211" s="7">
        <v>0.6</v>
      </c>
      <c r="D211" s="7">
        <v>0.6</v>
      </c>
      <c r="E211" s="7">
        <v>0.6</v>
      </c>
      <c r="F211" s="7">
        <v>0.6</v>
      </c>
      <c r="G211" s="7">
        <v>0.8</v>
      </c>
      <c r="H211" s="7">
        <v>0.8</v>
      </c>
      <c r="I211" s="7">
        <v>1</v>
      </c>
      <c r="J211" s="7">
        <v>1</v>
      </c>
      <c r="K211" s="7">
        <v>1</v>
      </c>
      <c r="L211" s="7">
        <v>1</v>
      </c>
      <c r="M211" s="7">
        <v>1</v>
      </c>
      <c r="N211" s="7">
        <v>1</v>
      </c>
      <c r="O211" s="7">
        <v>1</v>
      </c>
      <c r="P211" s="7">
        <v>1</v>
      </c>
      <c r="Q211" s="7">
        <v>1</v>
      </c>
    </row>
    <row r="212" spans="1:17">
      <c r="A212" s="2">
        <v>2160</v>
      </c>
      <c r="B212" s="7">
        <v>0.6</v>
      </c>
      <c r="C212" s="7">
        <v>0.6</v>
      </c>
      <c r="D212" s="7">
        <v>0.6</v>
      </c>
      <c r="E212" s="7">
        <v>0.6</v>
      </c>
      <c r="F212" s="7">
        <v>0.6</v>
      </c>
      <c r="G212" s="7">
        <v>0.8</v>
      </c>
      <c r="H212" s="7">
        <v>0.8</v>
      </c>
      <c r="I212" s="7">
        <v>1</v>
      </c>
      <c r="J212" s="7">
        <v>1</v>
      </c>
      <c r="K212" s="7">
        <v>1</v>
      </c>
      <c r="L212" s="7">
        <v>1</v>
      </c>
      <c r="M212" s="7">
        <v>1</v>
      </c>
      <c r="N212" s="7">
        <v>1</v>
      </c>
      <c r="O212" s="7">
        <v>1</v>
      </c>
      <c r="P212" s="7">
        <v>1</v>
      </c>
      <c r="Q212" s="7">
        <v>1</v>
      </c>
    </row>
    <row r="213" spans="1:17">
      <c r="A213" s="2">
        <v>2161</v>
      </c>
      <c r="B213" s="7">
        <v>0.6</v>
      </c>
      <c r="C213" s="7">
        <v>0.6</v>
      </c>
      <c r="D213" s="7">
        <v>0.6</v>
      </c>
      <c r="E213" s="7">
        <v>0.6</v>
      </c>
      <c r="F213" s="7">
        <v>0.6</v>
      </c>
      <c r="G213" s="7">
        <v>0.8</v>
      </c>
      <c r="H213" s="7">
        <v>0.8</v>
      </c>
      <c r="I213" s="7">
        <v>1</v>
      </c>
      <c r="J213" s="7">
        <v>1</v>
      </c>
      <c r="K213" s="7">
        <v>1</v>
      </c>
      <c r="L213" s="7">
        <v>1</v>
      </c>
      <c r="M213" s="7">
        <v>1</v>
      </c>
      <c r="N213" s="7">
        <v>1</v>
      </c>
      <c r="O213" s="7">
        <v>1</v>
      </c>
      <c r="P213" s="7">
        <v>1</v>
      </c>
      <c r="Q213" s="7">
        <v>1</v>
      </c>
    </row>
    <row r="214" spans="1:17">
      <c r="A214" s="2">
        <v>2162</v>
      </c>
      <c r="B214" s="7">
        <v>0.6</v>
      </c>
      <c r="C214" s="7">
        <v>0.6</v>
      </c>
      <c r="D214" s="7">
        <v>0.6</v>
      </c>
      <c r="E214" s="7">
        <v>0.6</v>
      </c>
      <c r="F214" s="7">
        <v>0.6</v>
      </c>
      <c r="G214" s="7">
        <v>0.8</v>
      </c>
      <c r="H214" s="7">
        <v>0.8</v>
      </c>
      <c r="I214" s="7">
        <v>1</v>
      </c>
      <c r="J214" s="7">
        <v>1</v>
      </c>
      <c r="K214" s="7">
        <v>1</v>
      </c>
      <c r="L214" s="7">
        <v>1</v>
      </c>
      <c r="M214" s="7">
        <v>1</v>
      </c>
      <c r="N214" s="7">
        <v>1</v>
      </c>
      <c r="O214" s="7">
        <v>1</v>
      </c>
      <c r="P214" s="7">
        <v>1</v>
      </c>
      <c r="Q214" s="7">
        <v>1</v>
      </c>
    </row>
    <row r="215" spans="1:17">
      <c r="A215" s="2">
        <v>2163</v>
      </c>
      <c r="B215" s="7">
        <v>0.6</v>
      </c>
      <c r="C215" s="7">
        <v>0.6</v>
      </c>
      <c r="D215" s="7">
        <v>0.6</v>
      </c>
      <c r="E215" s="7">
        <v>0.6</v>
      </c>
      <c r="F215" s="7">
        <v>0.6</v>
      </c>
      <c r="G215" s="7">
        <v>0.8</v>
      </c>
      <c r="H215" s="7">
        <v>0.8</v>
      </c>
      <c r="I215" s="7">
        <v>1</v>
      </c>
      <c r="J215" s="7">
        <v>1</v>
      </c>
      <c r="K215" s="7">
        <v>1</v>
      </c>
      <c r="L215" s="7">
        <v>1</v>
      </c>
      <c r="M215" s="7">
        <v>1</v>
      </c>
      <c r="N215" s="7">
        <v>1</v>
      </c>
      <c r="O215" s="7">
        <v>1</v>
      </c>
      <c r="P215" s="7">
        <v>1</v>
      </c>
      <c r="Q215" s="7">
        <v>1</v>
      </c>
    </row>
    <row r="216" spans="1:17">
      <c r="A216" s="2">
        <v>2164</v>
      </c>
      <c r="B216" s="7">
        <v>0.6</v>
      </c>
      <c r="C216" s="7">
        <v>0.6</v>
      </c>
      <c r="D216" s="7">
        <v>0.6</v>
      </c>
      <c r="E216" s="7">
        <v>0.6</v>
      </c>
      <c r="F216" s="7">
        <v>0.6</v>
      </c>
      <c r="G216" s="7">
        <v>0.8</v>
      </c>
      <c r="H216" s="7">
        <v>0.8</v>
      </c>
      <c r="I216" s="7">
        <v>1</v>
      </c>
      <c r="J216" s="7">
        <v>1</v>
      </c>
      <c r="K216" s="7">
        <v>1</v>
      </c>
      <c r="L216" s="7">
        <v>1</v>
      </c>
      <c r="M216" s="7">
        <v>1</v>
      </c>
      <c r="N216" s="7">
        <v>1</v>
      </c>
      <c r="O216" s="7">
        <v>1</v>
      </c>
      <c r="P216" s="7">
        <v>1</v>
      </c>
      <c r="Q216" s="7">
        <v>1</v>
      </c>
    </row>
    <row r="217" spans="1:17">
      <c r="A217" s="2">
        <v>2165</v>
      </c>
      <c r="B217" s="7">
        <v>0.6</v>
      </c>
      <c r="C217" s="7">
        <v>0.6</v>
      </c>
      <c r="D217" s="7">
        <v>0.6</v>
      </c>
      <c r="E217" s="7">
        <v>0.6</v>
      </c>
      <c r="F217" s="7">
        <v>0.6</v>
      </c>
      <c r="G217" s="7">
        <v>0.8</v>
      </c>
      <c r="H217" s="7">
        <v>0.8</v>
      </c>
      <c r="I217" s="7">
        <v>1</v>
      </c>
      <c r="J217" s="7">
        <v>1</v>
      </c>
      <c r="K217" s="7">
        <v>1</v>
      </c>
      <c r="L217" s="7">
        <v>1</v>
      </c>
      <c r="M217" s="7">
        <v>1</v>
      </c>
      <c r="N217" s="7">
        <v>1</v>
      </c>
      <c r="O217" s="7">
        <v>1</v>
      </c>
      <c r="P217" s="7">
        <v>1</v>
      </c>
      <c r="Q217" s="7">
        <v>1</v>
      </c>
    </row>
    <row r="218" spans="1:17">
      <c r="A218" s="2">
        <v>2166</v>
      </c>
      <c r="B218" s="7">
        <v>0.6</v>
      </c>
      <c r="C218" s="7">
        <v>0.6</v>
      </c>
      <c r="D218" s="7">
        <v>0.6</v>
      </c>
      <c r="E218" s="7">
        <v>0.6</v>
      </c>
      <c r="F218" s="7">
        <v>0.6</v>
      </c>
      <c r="G218" s="7">
        <v>0.8</v>
      </c>
      <c r="H218" s="7">
        <v>0.8</v>
      </c>
      <c r="I218" s="7">
        <v>1</v>
      </c>
      <c r="J218" s="7">
        <v>1</v>
      </c>
      <c r="K218" s="7">
        <v>1</v>
      </c>
      <c r="L218" s="7">
        <v>1</v>
      </c>
      <c r="M218" s="7">
        <v>1</v>
      </c>
      <c r="N218" s="7">
        <v>1</v>
      </c>
      <c r="O218" s="7">
        <v>1</v>
      </c>
      <c r="P218" s="7">
        <v>1</v>
      </c>
      <c r="Q218" s="7">
        <v>1</v>
      </c>
    </row>
    <row r="219" spans="1:17">
      <c r="A219" s="2">
        <v>2167</v>
      </c>
      <c r="B219" s="7">
        <v>0.6</v>
      </c>
      <c r="C219" s="7">
        <v>0.6</v>
      </c>
      <c r="D219" s="7">
        <v>0.6</v>
      </c>
      <c r="E219" s="7">
        <v>0.6</v>
      </c>
      <c r="F219" s="7">
        <v>0.6</v>
      </c>
      <c r="G219" s="7">
        <v>0.8</v>
      </c>
      <c r="H219" s="7">
        <v>0.8</v>
      </c>
      <c r="I219" s="7">
        <v>1</v>
      </c>
      <c r="J219" s="7">
        <v>1</v>
      </c>
      <c r="K219" s="7">
        <v>1</v>
      </c>
      <c r="L219" s="7">
        <v>1</v>
      </c>
      <c r="M219" s="7">
        <v>1</v>
      </c>
      <c r="N219" s="7">
        <v>1</v>
      </c>
      <c r="O219" s="7">
        <v>1</v>
      </c>
      <c r="P219" s="7">
        <v>1</v>
      </c>
      <c r="Q219" s="7">
        <v>1</v>
      </c>
    </row>
    <row r="220" spans="1:17">
      <c r="A220" s="2">
        <v>2168</v>
      </c>
      <c r="B220" s="7">
        <v>0.6</v>
      </c>
      <c r="C220" s="7">
        <v>0.6</v>
      </c>
      <c r="D220" s="7">
        <v>0.6</v>
      </c>
      <c r="E220" s="7">
        <v>0.6</v>
      </c>
      <c r="F220" s="7">
        <v>0.6</v>
      </c>
      <c r="G220" s="7">
        <v>0.8</v>
      </c>
      <c r="H220" s="7">
        <v>0.8</v>
      </c>
      <c r="I220" s="7">
        <v>1</v>
      </c>
      <c r="J220" s="7">
        <v>1</v>
      </c>
      <c r="K220" s="7">
        <v>1</v>
      </c>
      <c r="L220" s="7">
        <v>1</v>
      </c>
      <c r="M220" s="7">
        <v>1</v>
      </c>
      <c r="N220" s="7">
        <v>1</v>
      </c>
      <c r="O220" s="7">
        <v>1</v>
      </c>
      <c r="P220" s="7">
        <v>1</v>
      </c>
      <c r="Q220" s="7">
        <v>1</v>
      </c>
    </row>
    <row r="221" spans="1:17">
      <c r="A221" s="2">
        <v>2169</v>
      </c>
      <c r="B221" s="7">
        <v>0.6</v>
      </c>
      <c r="C221" s="7">
        <v>0.6</v>
      </c>
      <c r="D221" s="7">
        <v>0.6</v>
      </c>
      <c r="E221" s="7">
        <v>0.6</v>
      </c>
      <c r="F221" s="7">
        <v>0.6</v>
      </c>
      <c r="G221" s="7">
        <v>0.8</v>
      </c>
      <c r="H221" s="7">
        <v>0.8</v>
      </c>
      <c r="I221" s="7">
        <v>1</v>
      </c>
      <c r="J221" s="7">
        <v>1</v>
      </c>
      <c r="K221" s="7">
        <v>1</v>
      </c>
      <c r="L221" s="7">
        <v>1</v>
      </c>
      <c r="M221" s="7">
        <v>1</v>
      </c>
      <c r="N221" s="7">
        <v>1</v>
      </c>
      <c r="O221" s="7">
        <v>1</v>
      </c>
      <c r="P221" s="7">
        <v>1</v>
      </c>
      <c r="Q221" s="7">
        <v>1</v>
      </c>
    </row>
    <row r="222" spans="1:17">
      <c r="A222" s="2">
        <v>2170</v>
      </c>
      <c r="B222" s="7">
        <v>0.6</v>
      </c>
      <c r="C222" s="7">
        <v>0.6</v>
      </c>
      <c r="D222" s="7">
        <v>0.6</v>
      </c>
      <c r="E222" s="7">
        <v>0.6</v>
      </c>
      <c r="F222" s="7">
        <v>0.6</v>
      </c>
      <c r="G222" s="7">
        <v>0.8</v>
      </c>
      <c r="H222" s="7">
        <v>0.8</v>
      </c>
      <c r="I222" s="7">
        <v>1</v>
      </c>
      <c r="J222" s="7">
        <v>1</v>
      </c>
      <c r="K222" s="7">
        <v>1</v>
      </c>
      <c r="L222" s="7">
        <v>1</v>
      </c>
      <c r="M222" s="7">
        <v>1</v>
      </c>
      <c r="N222" s="7">
        <v>1</v>
      </c>
      <c r="O222" s="7">
        <v>1</v>
      </c>
      <c r="P222" s="7">
        <v>1</v>
      </c>
      <c r="Q222" s="7">
        <v>1</v>
      </c>
    </row>
    <row r="223" spans="1:17">
      <c r="A223" s="2">
        <v>2171</v>
      </c>
      <c r="B223" s="7">
        <v>0.6</v>
      </c>
      <c r="C223" s="7">
        <v>0.6</v>
      </c>
      <c r="D223" s="7">
        <v>0.6</v>
      </c>
      <c r="E223" s="7">
        <v>0.6</v>
      </c>
      <c r="F223" s="7">
        <v>0.6</v>
      </c>
      <c r="G223" s="7">
        <v>0.8</v>
      </c>
      <c r="H223" s="7">
        <v>0.8</v>
      </c>
      <c r="I223" s="7">
        <v>1</v>
      </c>
      <c r="J223" s="7">
        <v>1</v>
      </c>
      <c r="K223" s="7">
        <v>1</v>
      </c>
      <c r="L223" s="7">
        <v>1</v>
      </c>
      <c r="M223" s="7">
        <v>1</v>
      </c>
      <c r="N223" s="7">
        <v>1</v>
      </c>
      <c r="O223" s="7">
        <v>1</v>
      </c>
      <c r="P223" s="7">
        <v>1</v>
      </c>
      <c r="Q223" s="7">
        <v>1</v>
      </c>
    </row>
    <row r="224" spans="1:17">
      <c r="A224" s="2">
        <v>2172</v>
      </c>
      <c r="B224" s="7">
        <v>0.6</v>
      </c>
      <c r="C224" s="7">
        <v>0.6</v>
      </c>
      <c r="D224" s="7">
        <v>0.6</v>
      </c>
      <c r="E224" s="7">
        <v>0.6</v>
      </c>
      <c r="F224" s="7">
        <v>0.6</v>
      </c>
      <c r="G224" s="7">
        <v>0.8</v>
      </c>
      <c r="H224" s="7">
        <v>0.8</v>
      </c>
      <c r="I224" s="7">
        <v>1</v>
      </c>
      <c r="J224" s="7">
        <v>1</v>
      </c>
      <c r="K224" s="7">
        <v>1</v>
      </c>
      <c r="L224" s="7">
        <v>1</v>
      </c>
      <c r="M224" s="7">
        <v>1</v>
      </c>
      <c r="N224" s="7">
        <v>1</v>
      </c>
      <c r="O224" s="7">
        <v>1</v>
      </c>
      <c r="P224" s="7">
        <v>1</v>
      </c>
      <c r="Q224" s="7">
        <v>1</v>
      </c>
    </row>
    <row r="225" spans="1:17">
      <c r="A225" s="2">
        <v>2173</v>
      </c>
      <c r="B225" s="7">
        <v>0.6</v>
      </c>
      <c r="C225" s="7">
        <v>0.6</v>
      </c>
      <c r="D225" s="7">
        <v>0.6</v>
      </c>
      <c r="E225" s="7">
        <v>0.6</v>
      </c>
      <c r="F225" s="7">
        <v>0.6</v>
      </c>
      <c r="G225" s="7">
        <v>0.8</v>
      </c>
      <c r="H225" s="7">
        <v>0.8</v>
      </c>
      <c r="I225" s="7">
        <v>1</v>
      </c>
      <c r="J225" s="7">
        <v>1</v>
      </c>
      <c r="K225" s="7">
        <v>1</v>
      </c>
      <c r="L225" s="7">
        <v>1</v>
      </c>
      <c r="M225" s="7">
        <v>1</v>
      </c>
      <c r="N225" s="7">
        <v>1</v>
      </c>
      <c r="O225" s="7">
        <v>1</v>
      </c>
      <c r="P225" s="7">
        <v>1</v>
      </c>
      <c r="Q225" s="7">
        <v>1</v>
      </c>
    </row>
    <row r="226" spans="1:17">
      <c r="A226" s="2">
        <v>2174</v>
      </c>
      <c r="B226" s="7">
        <v>0.6</v>
      </c>
      <c r="C226" s="7">
        <v>0.6</v>
      </c>
      <c r="D226" s="7">
        <v>0.6</v>
      </c>
      <c r="E226" s="7">
        <v>0.6</v>
      </c>
      <c r="F226" s="7">
        <v>0.6</v>
      </c>
      <c r="G226" s="7">
        <v>0.8</v>
      </c>
      <c r="H226" s="7">
        <v>0.8</v>
      </c>
      <c r="I226" s="7">
        <v>1</v>
      </c>
      <c r="J226" s="7">
        <v>1</v>
      </c>
      <c r="K226" s="7">
        <v>1</v>
      </c>
      <c r="L226" s="7">
        <v>1</v>
      </c>
      <c r="M226" s="7">
        <v>1</v>
      </c>
      <c r="N226" s="7">
        <v>1</v>
      </c>
      <c r="O226" s="7">
        <v>1</v>
      </c>
      <c r="P226" s="7">
        <v>1</v>
      </c>
      <c r="Q226" s="7">
        <v>1</v>
      </c>
    </row>
    <row r="227" spans="1:17">
      <c r="A227" s="2">
        <v>2175</v>
      </c>
      <c r="B227" s="7">
        <v>0.6</v>
      </c>
      <c r="C227" s="7">
        <v>0.6</v>
      </c>
      <c r="D227" s="7">
        <v>0.6</v>
      </c>
      <c r="E227" s="7">
        <v>0.6</v>
      </c>
      <c r="F227" s="7">
        <v>0.6</v>
      </c>
      <c r="G227" s="7">
        <v>0.8</v>
      </c>
      <c r="H227" s="7">
        <v>0.8</v>
      </c>
      <c r="I227" s="7">
        <v>1</v>
      </c>
      <c r="J227" s="7">
        <v>1</v>
      </c>
      <c r="K227" s="7">
        <v>1</v>
      </c>
      <c r="L227" s="7">
        <v>1</v>
      </c>
      <c r="M227" s="7">
        <v>1</v>
      </c>
      <c r="N227" s="7">
        <v>1</v>
      </c>
      <c r="O227" s="7">
        <v>1</v>
      </c>
      <c r="P227" s="7">
        <v>1</v>
      </c>
      <c r="Q227" s="7">
        <v>1</v>
      </c>
    </row>
    <row r="228" spans="1:17">
      <c r="A228" s="2">
        <v>2176</v>
      </c>
      <c r="B228" s="7">
        <v>0.6</v>
      </c>
      <c r="C228" s="7">
        <v>0.6</v>
      </c>
      <c r="D228" s="7">
        <v>0.6</v>
      </c>
      <c r="E228" s="7">
        <v>0.6</v>
      </c>
      <c r="F228" s="7">
        <v>0.6</v>
      </c>
      <c r="G228" s="7">
        <v>0.8</v>
      </c>
      <c r="H228" s="7">
        <v>0.8</v>
      </c>
      <c r="I228" s="7">
        <v>1</v>
      </c>
      <c r="J228" s="7">
        <v>1</v>
      </c>
      <c r="K228" s="7">
        <v>1</v>
      </c>
      <c r="L228" s="7">
        <v>1</v>
      </c>
      <c r="M228" s="7">
        <v>1</v>
      </c>
      <c r="N228" s="7">
        <v>1</v>
      </c>
      <c r="O228" s="7">
        <v>1</v>
      </c>
      <c r="P228" s="7">
        <v>1</v>
      </c>
      <c r="Q228" s="7">
        <v>1</v>
      </c>
    </row>
    <row r="229" spans="1:17">
      <c r="A229" s="2">
        <v>2177</v>
      </c>
      <c r="B229" s="7">
        <v>0.6</v>
      </c>
      <c r="C229" s="7">
        <v>0.6</v>
      </c>
      <c r="D229" s="7">
        <v>0.6</v>
      </c>
      <c r="E229" s="7">
        <v>0.6</v>
      </c>
      <c r="F229" s="7">
        <v>0.6</v>
      </c>
      <c r="G229" s="7">
        <v>0.8</v>
      </c>
      <c r="H229" s="7">
        <v>0.8</v>
      </c>
      <c r="I229" s="7">
        <v>1</v>
      </c>
      <c r="J229" s="7">
        <v>1</v>
      </c>
      <c r="K229" s="7">
        <v>1</v>
      </c>
      <c r="L229" s="7">
        <v>1</v>
      </c>
      <c r="M229" s="7">
        <v>1</v>
      </c>
      <c r="N229" s="7">
        <v>1</v>
      </c>
      <c r="O229" s="7">
        <v>1</v>
      </c>
      <c r="P229" s="7">
        <v>1</v>
      </c>
      <c r="Q229" s="7">
        <v>1</v>
      </c>
    </row>
    <row r="230" spans="1:17">
      <c r="A230" s="2">
        <v>2178</v>
      </c>
      <c r="B230" s="7">
        <v>0.6</v>
      </c>
      <c r="C230" s="7">
        <v>0.6</v>
      </c>
      <c r="D230" s="7">
        <v>0.6</v>
      </c>
      <c r="E230" s="7">
        <v>0.6</v>
      </c>
      <c r="F230" s="7">
        <v>0.6</v>
      </c>
      <c r="G230" s="7">
        <v>0.8</v>
      </c>
      <c r="H230" s="7">
        <v>0.8</v>
      </c>
      <c r="I230" s="7">
        <v>1</v>
      </c>
      <c r="J230" s="7">
        <v>1</v>
      </c>
      <c r="K230" s="7">
        <v>1</v>
      </c>
      <c r="L230" s="7">
        <v>1</v>
      </c>
      <c r="M230" s="7">
        <v>1</v>
      </c>
      <c r="N230" s="7">
        <v>1</v>
      </c>
      <c r="O230" s="7">
        <v>1</v>
      </c>
      <c r="P230" s="7">
        <v>1</v>
      </c>
      <c r="Q230" s="7">
        <v>1</v>
      </c>
    </row>
    <row r="231" spans="1:17">
      <c r="A231" s="2">
        <v>2179</v>
      </c>
      <c r="B231" s="7">
        <v>0.6</v>
      </c>
      <c r="C231" s="7">
        <v>0.6</v>
      </c>
      <c r="D231" s="7">
        <v>0.6</v>
      </c>
      <c r="E231" s="7">
        <v>0.6</v>
      </c>
      <c r="F231" s="7">
        <v>0.6</v>
      </c>
      <c r="G231" s="7">
        <v>0.8</v>
      </c>
      <c r="H231" s="7">
        <v>0.8</v>
      </c>
      <c r="I231" s="7">
        <v>1</v>
      </c>
      <c r="J231" s="7">
        <v>1</v>
      </c>
      <c r="K231" s="7">
        <v>1</v>
      </c>
      <c r="L231" s="7">
        <v>1</v>
      </c>
      <c r="M231" s="7">
        <v>1</v>
      </c>
      <c r="N231" s="7">
        <v>1</v>
      </c>
      <c r="O231" s="7">
        <v>1</v>
      </c>
      <c r="P231" s="7">
        <v>1</v>
      </c>
      <c r="Q231" s="7">
        <v>1</v>
      </c>
    </row>
    <row r="232" spans="1:17">
      <c r="A232" s="2">
        <v>2180</v>
      </c>
      <c r="B232" s="7">
        <v>0.6</v>
      </c>
      <c r="C232" s="7">
        <v>0.6</v>
      </c>
      <c r="D232" s="7">
        <v>0.6</v>
      </c>
      <c r="E232" s="7">
        <v>0.6</v>
      </c>
      <c r="F232" s="7">
        <v>0.6</v>
      </c>
      <c r="G232" s="7">
        <v>0.8</v>
      </c>
      <c r="H232" s="7">
        <v>0.8</v>
      </c>
      <c r="I232" s="7">
        <v>1</v>
      </c>
      <c r="J232" s="7">
        <v>1</v>
      </c>
      <c r="K232" s="7">
        <v>1</v>
      </c>
      <c r="L232" s="7">
        <v>1</v>
      </c>
      <c r="M232" s="7">
        <v>1</v>
      </c>
      <c r="N232" s="7">
        <v>1</v>
      </c>
      <c r="O232" s="7">
        <v>1</v>
      </c>
      <c r="P232" s="7">
        <v>1</v>
      </c>
      <c r="Q232" s="7">
        <v>1</v>
      </c>
    </row>
    <row r="233" spans="1:17">
      <c r="A233" s="2">
        <v>2181</v>
      </c>
      <c r="B233" s="7">
        <v>0.6</v>
      </c>
      <c r="C233" s="7">
        <v>0.6</v>
      </c>
      <c r="D233" s="7">
        <v>0.6</v>
      </c>
      <c r="E233" s="7">
        <v>0.6</v>
      </c>
      <c r="F233" s="7">
        <v>0.6</v>
      </c>
      <c r="G233" s="7">
        <v>0.8</v>
      </c>
      <c r="H233" s="7">
        <v>0.8</v>
      </c>
      <c r="I233" s="7">
        <v>1</v>
      </c>
      <c r="J233" s="7">
        <v>1</v>
      </c>
      <c r="K233" s="7">
        <v>1</v>
      </c>
      <c r="L233" s="7">
        <v>1</v>
      </c>
      <c r="M233" s="7">
        <v>1</v>
      </c>
      <c r="N233" s="7">
        <v>1</v>
      </c>
      <c r="O233" s="7">
        <v>1</v>
      </c>
      <c r="P233" s="7">
        <v>1</v>
      </c>
      <c r="Q233" s="7">
        <v>1</v>
      </c>
    </row>
    <row r="234" spans="1:17">
      <c r="A234" s="2">
        <v>2182</v>
      </c>
      <c r="B234" s="7">
        <v>0.6</v>
      </c>
      <c r="C234" s="7">
        <v>0.6</v>
      </c>
      <c r="D234" s="7">
        <v>0.6</v>
      </c>
      <c r="E234" s="7">
        <v>0.6</v>
      </c>
      <c r="F234" s="7">
        <v>0.6</v>
      </c>
      <c r="G234" s="7">
        <v>0.8</v>
      </c>
      <c r="H234" s="7">
        <v>0.8</v>
      </c>
      <c r="I234" s="7">
        <v>1</v>
      </c>
      <c r="J234" s="7">
        <v>1</v>
      </c>
      <c r="K234" s="7">
        <v>1</v>
      </c>
      <c r="L234" s="7">
        <v>1</v>
      </c>
      <c r="M234" s="7">
        <v>1</v>
      </c>
      <c r="N234" s="7">
        <v>1</v>
      </c>
      <c r="O234" s="7">
        <v>1</v>
      </c>
      <c r="P234" s="7">
        <v>1</v>
      </c>
      <c r="Q234" s="7">
        <v>1</v>
      </c>
    </row>
    <row r="235" spans="1:17">
      <c r="A235" s="2">
        <v>2183</v>
      </c>
      <c r="B235" s="7">
        <v>0.6</v>
      </c>
      <c r="C235" s="7">
        <v>0.6</v>
      </c>
      <c r="D235" s="7">
        <v>0.6</v>
      </c>
      <c r="E235" s="7">
        <v>0.6</v>
      </c>
      <c r="F235" s="7">
        <v>0.6</v>
      </c>
      <c r="G235" s="7">
        <v>0.8</v>
      </c>
      <c r="H235" s="7">
        <v>0.8</v>
      </c>
      <c r="I235" s="7">
        <v>1</v>
      </c>
      <c r="J235" s="7">
        <v>1</v>
      </c>
      <c r="K235" s="7">
        <v>1</v>
      </c>
      <c r="L235" s="7">
        <v>1</v>
      </c>
      <c r="M235" s="7">
        <v>1</v>
      </c>
      <c r="N235" s="7">
        <v>1</v>
      </c>
      <c r="O235" s="7">
        <v>1</v>
      </c>
      <c r="P235" s="7">
        <v>1</v>
      </c>
      <c r="Q235" s="7">
        <v>1</v>
      </c>
    </row>
    <row r="236" spans="1:17">
      <c r="A236" s="2">
        <v>2184</v>
      </c>
      <c r="B236" s="7">
        <v>0.6</v>
      </c>
      <c r="C236" s="7">
        <v>0.6</v>
      </c>
      <c r="D236" s="7">
        <v>0.6</v>
      </c>
      <c r="E236" s="7">
        <v>0.6</v>
      </c>
      <c r="F236" s="7">
        <v>0.6</v>
      </c>
      <c r="G236" s="7">
        <v>0.8</v>
      </c>
      <c r="H236" s="7">
        <v>0.8</v>
      </c>
      <c r="I236" s="7">
        <v>1</v>
      </c>
      <c r="J236" s="7">
        <v>1</v>
      </c>
      <c r="K236" s="7">
        <v>1</v>
      </c>
      <c r="L236" s="7">
        <v>1</v>
      </c>
      <c r="M236" s="7">
        <v>1</v>
      </c>
      <c r="N236" s="7">
        <v>1</v>
      </c>
      <c r="O236" s="7">
        <v>1</v>
      </c>
      <c r="P236" s="7">
        <v>1</v>
      </c>
      <c r="Q236" s="7">
        <v>1</v>
      </c>
    </row>
    <row r="237" spans="1:17">
      <c r="A237" s="2">
        <v>2185</v>
      </c>
      <c r="B237" s="7">
        <v>0.6</v>
      </c>
      <c r="C237" s="7">
        <v>0.6</v>
      </c>
      <c r="D237" s="7">
        <v>0.6</v>
      </c>
      <c r="E237" s="7">
        <v>0.6</v>
      </c>
      <c r="F237" s="7">
        <v>0.6</v>
      </c>
      <c r="G237" s="7">
        <v>0.8</v>
      </c>
      <c r="H237" s="7">
        <v>0.8</v>
      </c>
      <c r="I237" s="7">
        <v>1</v>
      </c>
      <c r="J237" s="7">
        <v>1</v>
      </c>
      <c r="K237" s="7">
        <v>1</v>
      </c>
      <c r="L237" s="7">
        <v>1</v>
      </c>
      <c r="M237" s="7">
        <v>1</v>
      </c>
      <c r="N237" s="7">
        <v>1</v>
      </c>
      <c r="O237" s="7">
        <v>1</v>
      </c>
      <c r="P237" s="7">
        <v>1</v>
      </c>
      <c r="Q237" s="7">
        <v>1</v>
      </c>
    </row>
    <row r="238" spans="1:17">
      <c r="A238" s="2">
        <v>2186</v>
      </c>
      <c r="B238" s="7">
        <v>0.6</v>
      </c>
      <c r="C238" s="7">
        <v>0.6</v>
      </c>
      <c r="D238" s="7">
        <v>0.6</v>
      </c>
      <c r="E238" s="7">
        <v>0.6</v>
      </c>
      <c r="F238" s="7">
        <v>0.6</v>
      </c>
      <c r="G238" s="7">
        <v>0.8</v>
      </c>
      <c r="H238" s="7">
        <v>0.8</v>
      </c>
      <c r="I238" s="7">
        <v>1</v>
      </c>
      <c r="J238" s="7">
        <v>1</v>
      </c>
      <c r="K238" s="7">
        <v>1</v>
      </c>
      <c r="L238" s="7">
        <v>1</v>
      </c>
      <c r="M238" s="7">
        <v>1</v>
      </c>
      <c r="N238" s="7">
        <v>1</v>
      </c>
      <c r="O238" s="7">
        <v>1</v>
      </c>
      <c r="P238" s="7">
        <v>1</v>
      </c>
      <c r="Q238" s="7">
        <v>1</v>
      </c>
    </row>
    <row r="239" spans="1:17">
      <c r="A239" s="2">
        <v>2187</v>
      </c>
      <c r="B239" s="7">
        <v>0.6</v>
      </c>
      <c r="C239" s="7">
        <v>0.6</v>
      </c>
      <c r="D239" s="7">
        <v>0.6</v>
      </c>
      <c r="E239" s="7">
        <v>0.6</v>
      </c>
      <c r="F239" s="7">
        <v>0.6</v>
      </c>
      <c r="G239" s="7">
        <v>0.8</v>
      </c>
      <c r="H239" s="7">
        <v>0.8</v>
      </c>
      <c r="I239" s="7">
        <v>1</v>
      </c>
      <c r="J239" s="7">
        <v>1</v>
      </c>
      <c r="K239" s="7">
        <v>1</v>
      </c>
      <c r="L239" s="7">
        <v>1</v>
      </c>
      <c r="M239" s="7">
        <v>1</v>
      </c>
      <c r="N239" s="7">
        <v>1</v>
      </c>
      <c r="O239" s="7">
        <v>1</v>
      </c>
      <c r="P239" s="7">
        <v>1</v>
      </c>
      <c r="Q239" s="7">
        <v>1</v>
      </c>
    </row>
    <row r="240" spans="1:17">
      <c r="A240" s="2">
        <v>2188</v>
      </c>
      <c r="B240" s="7">
        <v>0.6</v>
      </c>
      <c r="C240" s="7">
        <v>0.6</v>
      </c>
      <c r="D240" s="7">
        <v>0.6</v>
      </c>
      <c r="E240" s="7">
        <v>0.6</v>
      </c>
      <c r="F240" s="7">
        <v>0.6</v>
      </c>
      <c r="G240" s="7">
        <v>0.8</v>
      </c>
      <c r="H240" s="7">
        <v>0.8</v>
      </c>
      <c r="I240" s="7">
        <v>1</v>
      </c>
      <c r="J240" s="7">
        <v>1</v>
      </c>
      <c r="K240" s="7">
        <v>1</v>
      </c>
      <c r="L240" s="7">
        <v>1</v>
      </c>
      <c r="M240" s="7">
        <v>1</v>
      </c>
      <c r="N240" s="7">
        <v>1</v>
      </c>
      <c r="O240" s="7">
        <v>1</v>
      </c>
      <c r="P240" s="7">
        <v>1</v>
      </c>
      <c r="Q240" s="7">
        <v>1</v>
      </c>
    </row>
    <row r="241" spans="1:17">
      <c r="A241" s="2">
        <v>2189</v>
      </c>
      <c r="B241" s="7">
        <v>0.6</v>
      </c>
      <c r="C241" s="7">
        <v>0.6</v>
      </c>
      <c r="D241" s="7">
        <v>0.6</v>
      </c>
      <c r="E241" s="7">
        <v>0.6</v>
      </c>
      <c r="F241" s="7">
        <v>0.6</v>
      </c>
      <c r="G241" s="7">
        <v>0.8</v>
      </c>
      <c r="H241" s="7">
        <v>0.8</v>
      </c>
      <c r="I241" s="7">
        <v>1</v>
      </c>
      <c r="J241" s="7">
        <v>1</v>
      </c>
      <c r="K241" s="7">
        <v>1</v>
      </c>
      <c r="L241" s="7">
        <v>1</v>
      </c>
      <c r="M241" s="7">
        <v>1</v>
      </c>
      <c r="N241" s="7">
        <v>1</v>
      </c>
      <c r="O241" s="7">
        <v>1</v>
      </c>
      <c r="P241" s="7">
        <v>1</v>
      </c>
      <c r="Q241" s="7">
        <v>1</v>
      </c>
    </row>
    <row r="242" spans="1:17">
      <c r="A242" s="2">
        <v>2190</v>
      </c>
      <c r="B242" s="7">
        <v>0.6</v>
      </c>
      <c r="C242" s="7">
        <v>0.6</v>
      </c>
      <c r="D242" s="7">
        <v>0.6</v>
      </c>
      <c r="E242" s="7">
        <v>0.6</v>
      </c>
      <c r="F242" s="7">
        <v>0.6</v>
      </c>
      <c r="G242" s="7">
        <v>0.8</v>
      </c>
      <c r="H242" s="7">
        <v>0.8</v>
      </c>
      <c r="I242" s="7">
        <v>1</v>
      </c>
      <c r="J242" s="7">
        <v>1</v>
      </c>
      <c r="K242" s="7">
        <v>1</v>
      </c>
      <c r="L242" s="7">
        <v>1</v>
      </c>
      <c r="M242" s="7">
        <v>1</v>
      </c>
      <c r="N242" s="7">
        <v>1</v>
      </c>
      <c r="O242" s="7">
        <v>1</v>
      </c>
      <c r="P242" s="7">
        <v>1</v>
      </c>
      <c r="Q242" s="7">
        <v>1</v>
      </c>
    </row>
    <row r="243" spans="1:17">
      <c r="A243" s="2">
        <v>2191</v>
      </c>
      <c r="B243" s="7">
        <v>0.6</v>
      </c>
      <c r="C243" s="7">
        <v>0.6</v>
      </c>
      <c r="D243" s="7">
        <v>0.6</v>
      </c>
      <c r="E243" s="7">
        <v>0.6</v>
      </c>
      <c r="F243" s="7">
        <v>0.6</v>
      </c>
      <c r="G243" s="7">
        <v>0.8</v>
      </c>
      <c r="H243" s="7">
        <v>0.8</v>
      </c>
      <c r="I243" s="7">
        <v>1</v>
      </c>
      <c r="J243" s="7">
        <v>1</v>
      </c>
      <c r="K243" s="7">
        <v>1</v>
      </c>
      <c r="L243" s="7">
        <v>1</v>
      </c>
      <c r="M243" s="7">
        <v>1</v>
      </c>
      <c r="N243" s="7">
        <v>1</v>
      </c>
      <c r="O243" s="7">
        <v>1</v>
      </c>
      <c r="P243" s="7">
        <v>1</v>
      </c>
      <c r="Q243" s="7">
        <v>1</v>
      </c>
    </row>
    <row r="244" spans="1:17">
      <c r="A244" s="2">
        <v>2192</v>
      </c>
      <c r="B244" s="7">
        <v>0.6</v>
      </c>
      <c r="C244" s="7">
        <v>0.6</v>
      </c>
      <c r="D244" s="7">
        <v>0.6</v>
      </c>
      <c r="E244" s="7">
        <v>0.6</v>
      </c>
      <c r="F244" s="7">
        <v>0.6</v>
      </c>
      <c r="G244" s="7">
        <v>0.8</v>
      </c>
      <c r="H244" s="7">
        <v>0.8</v>
      </c>
      <c r="I244" s="7">
        <v>1</v>
      </c>
      <c r="J244" s="7">
        <v>1</v>
      </c>
      <c r="K244" s="7">
        <v>1</v>
      </c>
      <c r="L244" s="7">
        <v>1</v>
      </c>
      <c r="M244" s="7">
        <v>1</v>
      </c>
      <c r="N244" s="7">
        <v>1</v>
      </c>
      <c r="O244" s="7">
        <v>1</v>
      </c>
      <c r="P244" s="7">
        <v>1</v>
      </c>
      <c r="Q244" s="7">
        <v>1</v>
      </c>
    </row>
    <row r="245" spans="1:17">
      <c r="A245" s="2">
        <v>2193</v>
      </c>
      <c r="B245" s="7">
        <v>0.6</v>
      </c>
      <c r="C245" s="7">
        <v>0.6</v>
      </c>
      <c r="D245" s="7">
        <v>0.6</v>
      </c>
      <c r="E245" s="7">
        <v>0.6</v>
      </c>
      <c r="F245" s="7">
        <v>0.6</v>
      </c>
      <c r="G245" s="7">
        <v>0.8</v>
      </c>
      <c r="H245" s="7">
        <v>0.8</v>
      </c>
      <c r="I245" s="7">
        <v>1</v>
      </c>
      <c r="J245" s="7">
        <v>1</v>
      </c>
      <c r="K245" s="7">
        <v>1</v>
      </c>
      <c r="L245" s="7">
        <v>1</v>
      </c>
      <c r="M245" s="7">
        <v>1</v>
      </c>
      <c r="N245" s="7">
        <v>1</v>
      </c>
      <c r="O245" s="7">
        <v>1</v>
      </c>
      <c r="P245" s="7">
        <v>1</v>
      </c>
      <c r="Q245" s="7">
        <v>1</v>
      </c>
    </row>
    <row r="246" spans="1:17">
      <c r="A246" s="2">
        <v>2194</v>
      </c>
      <c r="B246" s="7">
        <v>0.6</v>
      </c>
      <c r="C246" s="7">
        <v>0.6</v>
      </c>
      <c r="D246" s="7">
        <v>0.6</v>
      </c>
      <c r="E246" s="7">
        <v>0.6</v>
      </c>
      <c r="F246" s="7">
        <v>0.6</v>
      </c>
      <c r="G246" s="7">
        <v>0.8</v>
      </c>
      <c r="H246" s="7">
        <v>0.8</v>
      </c>
      <c r="I246" s="7">
        <v>1</v>
      </c>
      <c r="J246" s="7">
        <v>1</v>
      </c>
      <c r="K246" s="7">
        <v>1</v>
      </c>
      <c r="L246" s="7">
        <v>1</v>
      </c>
      <c r="M246" s="7">
        <v>1</v>
      </c>
      <c r="N246" s="7">
        <v>1</v>
      </c>
      <c r="O246" s="7">
        <v>1</v>
      </c>
      <c r="P246" s="7">
        <v>1</v>
      </c>
      <c r="Q246" s="7">
        <v>1</v>
      </c>
    </row>
    <row r="247" spans="1:17">
      <c r="A247" s="2">
        <v>2195</v>
      </c>
      <c r="B247" s="7">
        <v>0.6</v>
      </c>
      <c r="C247" s="7">
        <v>0.6</v>
      </c>
      <c r="D247" s="7">
        <v>0.6</v>
      </c>
      <c r="E247" s="7">
        <v>0.6</v>
      </c>
      <c r="F247" s="7">
        <v>0.6</v>
      </c>
      <c r="G247" s="7">
        <v>0.8</v>
      </c>
      <c r="H247" s="7">
        <v>0.8</v>
      </c>
      <c r="I247" s="7">
        <v>1</v>
      </c>
      <c r="J247" s="7">
        <v>1</v>
      </c>
      <c r="K247" s="7">
        <v>1</v>
      </c>
      <c r="L247" s="7">
        <v>1</v>
      </c>
      <c r="M247" s="7">
        <v>1</v>
      </c>
      <c r="N247" s="7">
        <v>1</v>
      </c>
      <c r="O247" s="7">
        <v>1</v>
      </c>
      <c r="P247" s="7">
        <v>1</v>
      </c>
      <c r="Q247" s="7">
        <v>1</v>
      </c>
    </row>
    <row r="248" spans="1:17">
      <c r="A248" s="2">
        <v>2196</v>
      </c>
      <c r="B248" s="7">
        <v>0.6</v>
      </c>
      <c r="C248" s="7">
        <v>0.6</v>
      </c>
      <c r="D248" s="7">
        <v>0.6</v>
      </c>
      <c r="E248" s="7">
        <v>0.6</v>
      </c>
      <c r="F248" s="7">
        <v>0.6</v>
      </c>
      <c r="G248" s="7">
        <v>0.8</v>
      </c>
      <c r="H248" s="7">
        <v>0.8</v>
      </c>
      <c r="I248" s="7">
        <v>1</v>
      </c>
      <c r="J248" s="7">
        <v>1</v>
      </c>
      <c r="K248" s="7">
        <v>1</v>
      </c>
      <c r="L248" s="7">
        <v>1</v>
      </c>
      <c r="M248" s="7">
        <v>1</v>
      </c>
      <c r="N248" s="7">
        <v>1</v>
      </c>
      <c r="O248" s="7">
        <v>1</v>
      </c>
      <c r="P248" s="7">
        <v>1</v>
      </c>
      <c r="Q248" s="7">
        <v>1</v>
      </c>
    </row>
    <row r="249" spans="1:17">
      <c r="A249" s="2">
        <v>2197</v>
      </c>
      <c r="B249" s="7">
        <v>0.6</v>
      </c>
      <c r="C249" s="7">
        <v>0.6</v>
      </c>
      <c r="D249" s="7">
        <v>0.6</v>
      </c>
      <c r="E249" s="7">
        <v>0.6</v>
      </c>
      <c r="F249" s="7">
        <v>0.6</v>
      </c>
      <c r="G249" s="7">
        <v>0.8</v>
      </c>
      <c r="H249" s="7">
        <v>0.8</v>
      </c>
      <c r="I249" s="7">
        <v>1</v>
      </c>
      <c r="J249" s="7">
        <v>1</v>
      </c>
      <c r="K249" s="7">
        <v>1</v>
      </c>
      <c r="L249" s="7">
        <v>1</v>
      </c>
      <c r="M249" s="7">
        <v>1</v>
      </c>
      <c r="N249" s="7">
        <v>1</v>
      </c>
      <c r="O249" s="7">
        <v>1</v>
      </c>
      <c r="P249" s="7">
        <v>1</v>
      </c>
      <c r="Q249" s="7">
        <v>1</v>
      </c>
    </row>
    <row r="250" spans="1:17">
      <c r="A250" s="2">
        <v>2198</v>
      </c>
      <c r="B250" s="7">
        <v>0.6</v>
      </c>
      <c r="C250" s="7">
        <v>0.6</v>
      </c>
      <c r="D250" s="7">
        <v>0.6</v>
      </c>
      <c r="E250" s="7">
        <v>0.6</v>
      </c>
      <c r="F250" s="7">
        <v>0.6</v>
      </c>
      <c r="G250" s="7">
        <v>0.8</v>
      </c>
      <c r="H250" s="7">
        <v>0.8</v>
      </c>
      <c r="I250" s="7">
        <v>1</v>
      </c>
      <c r="J250" s="7">
        <v>1</v>
      </c>
      <c r="K250" s="7">
        <v>1</v>
      </c>
      <c r="L250" s="7">
        <v>1</v>
      </c>
      <c r="M250" s="7">
        <v>1</v>
      </c>
      <c r="N250" s="7">
        <v>1</v>
      </c>
      <c r="O250" s="7">
        <v>1</v>
      </c>
      <c r="P250" s="7">
        <v>1</v>
      </c>
      <c r="Q250" s="7">
        <v>1</v>
      </c>
    </row>
    <row r="251" spans="1:17">
      <c r="A251" s="2">
        <v>2199</v>
      </c>
      <c r="B251" s="7">
        <v>0.6</v>
      </c>
      <c r="C251" s="7">
        <v>0.6</v>
      </c>
      <c r="D251" s="7">
        <v>0.6</v>
      </c>
      <c r="E251" s="7">
        <v>0.6</v>
      </c>
      <c r="F251" s="7">
        <v>0.6</v>
      </c>
      <c r="G251" s="7">
        <v>0.8</v>
      </c>
      <c r="H251" s="7">
        <v>0.8</v>
      </c>
      <c r="I251" s="7">
        <v>1</v>
      </c>
      <c r="J251" s="7">
        <v>1</v>
      </c>
      <c r="K251" s="7">
        <v>1</v>
      </c>
      <c r="L251" s="7">
        <v>1</v>
      </c>
      <c r="M251" s="7">
        <v>1</v>
      </c>
      <c r="N251" s="7">
        <v>1</v>
      </c>
      <c r="O251" s="7">
        <v>1</v>
      </c>
      <c r="P251" s="7">
        <v>1</v>
      </c>
      <c r="Q251" s="7">
        <v>1</v>
      </c>
    </row>
    <row r="252" spans="1:17">
      <c r="A252" s="2">
        <v>2200</v>
      </c>
      <c r="B252" s="7">
        <v>0.6</v>
      </c>
      <c r="C252" s="7">
        <v>0.6</v>
      </c>
      <c r="D252" s="7">
        <v>0.6</v>
      </c>
      <c r="E252" s="7">
        <v>0.6</v>
      </c>
      <c r="F252" s="7">
        <v>0.6</v>
      </c>
      <c r="G252" s="7">
        <v>0.8</v>
      </c>
      <c r="H252" s="7">
        <v>0.8</v>
      </c>
      <c r="I252" s="7">
        <v>1</v>
      </c>
      <c r="J252" s="7">
        <v>1</v>
      </c>
      <c r="K252" s="7">
        <v>1</v>
      </c>
      <c r="L252" s="7">
        <v>1</v>
      </c>
      <c r="M252" s="7">
        <v>1</v>
      </c>
      <c r="N252" s="7">
        <v>1</v>
      </c>
      <c r="O252" s="7">
        <v>1</v>
      </c>
      <c r="P252" s="7">
        <v>1</v>
      </c>
      <c r="Q252" s="7">
        <v>1</v>
      </c>
    </row>
    <row r="253" spans="1:17">
      <c r="A253" s="2">
        <v>2201</v>
      </c>
      <c r="B253" s="7">
        <v>0.6</v>
      </c>
      <c r="C253" s="7">
        <v>0.6</v>
      </c>
      <c r="D253" s="7">
        <v>0.6</v>
      </c>
      <c r="E253" s="7">
        <v>0.6</v>
      </c>
      <c r="F253" s="7">
        <v>0.6</v>
      </c>
      <c r="G253" s="7">
        <v>0.79600000000000004</v>
      </c>
      <c r="H253" s="7">
        <v>0.79600000000000004</v>
      </c>
      <c r="I253" s="7">
        <v>0.996</v>
      </c>
      <c r="J253" s="7">
        <v>0.996</v>
      </c>
      <c r="K253" s="7">
        <v>0.996</v>
      </c>
      <c r="L253" s="7">
        <v>0.996</v>
      </c>
      <c r="M253" s="7">
        <v>0.996</v>
      </c>
      <c r="N253" s="7">
        <v>0.996</v>
      </c>
      <c r="O253" s="7">
        <v>0.996</v>
      </c>
      <c r="P253" s="7">
        <v>0.996</v>
      </c>
      <c r="Q253" s="7">
        <v>0.996</v>
      </c>
    </row>
    <row r="254" spans="1:17">
      <c r="A254" s="2">
        <v>2202</v>
      </c>
      <c r="B254" s="7">
        <v>0.6</v>
      </c>
      <c r="C254" s="7">
        <v>0.6</v>
      </c>
      <c r="D254" s="7">
        <v>0.6</v>
      </c>
      <c r="E254" s="7">
        <v>0.6</v>
      </c>
      <c r="F254" s="7">
        <v>0.6</v>
      </c>
      <c r="G254" s="7">
        <v>0.79200000000000004</v>
      </c>
      <c r="H254" s="7">
        <v>0.79200000000000004</v>
      </c>
      <c r="I254" s="7">
        <v>0.99199999999999999</v>
      </c>
      <c r="J254" s="7">
        <v>0.99199999999999999</v>
      </c>
      <c r="K254" s="7">
        <v>0.99199999999999999</v>
      </c>
      <c r="L254" s="7">
        <v>0.99199999999999999</v>
      </c>
      <c r="M254" s="7">
        <v>0.99199999999999999</v>
      </c>
      <c r="N254" s="7">
        <v>0.99199999999999999</v>
      </c>
      <c r="O254" s="7">
        <v>0.99199999999999999</v>
      </c>
      <c r="P254" s="7">
        <v>0.99199999999999999</v>
      </c>
      <c r="Q254" s="7">
        <v>0.99199999999999999</v>
      </c>
    </row>
    <row r="255" spans="1:17">
      <c r="A255" s="2">
        <v>2203</v>
      </c>
      <c r="B255" s="7">
        <v>0.6</v>
      </c>
      <c r="C255" s="7">
        <v>0.6</v>
      </c>
      <c r="D255" s="7">
        <v>0.6</v>
      </c>
      <c r="E255" s="7">
        <v>0.6</v>
      </c>
      <c r="F255" s="7">
        <v>0.6</v>
      </c>
      <c r="G255" s="7">
        <v>0.78800000000000003</v>
      </c>
      <c r="H255" s="7">
        <v>0.78800000000000003</v>
      </c>
      <c r="I255" s="7">
        <v>0.98799999999999999</v>
      </c>
      <c r="J255" s="7">
        <v>0.98799999999999999</v>
      </c>
      <c r="K255" s="7">
        <v>0.98799999999999999</v>
      </c>
      <c r="L255" s="7">
        <v>0.98799999999999999</v>
      </c>
      <c r="M255" s="7">
        <v>0.98799999999999999</v>
      </c>
      <c r="N255" s="7">
        <v>0.98799999999999999</v>
      </c>
      <c r="O255" s="7">
        <v>0.98799999999999999</v>
      </c>
      <c r="P255" s="7">
        <v>0.98799999999999999</v>
      </c>
      <c r="Q255" s="7">
        <v>0.98799999999999999</v>
      </c>
    </row>
    <row r="256" spans="1:17">
      <c r="A256" s="2">
        <v>2204</v>
      </c>
      <c r="B256" s="7">
        <v>0.6</v>
      </c>
      <c r="C256" s="7">
        <v>0.6</v>
      </c>
      <c r="D256" s="7">
        <v>0.6</v>
      </c>
      <c r="E256" s="7">
        <v>0.6</v>
      </c>
      <c r="F256" s="7">
        <v>0.6</v>
      </c>
      <c r="G256" s="7">
        <v>0.78400000000000003</v>
      </c>
      <c r="H256" s="7">
        <v>0.78400000000000003</v>
      </c>
      <c r="I256" s="7">
        <v>0.98399999999999999</v>
      </c>
      <c r="J256" s="7">
        <v>0.98399999999999999</v>
      </c>
      <c r="K256" s="7">
        <v>0.98399999999999999</v>
      </c>
      <c r="L256" s="7">
        <v>0.98399999999999999</v>
      </c>
      <c r="M256" s="7">
        <v>0.98399999999999999</v>
      </c>
      <c r="N256" s="7">
        <v>0.98399999999999999</v>
      </c>
      <c r="O256" s="7">
        <v>0.98399999999999999</v>
      </c>
      <c r="P256" s="7">
        <v>0.98399999999999999</v>
      </c>
      <c r="Q256" s="7">
        <v>0.98399999999999999</v>
      </c>
    </row>
    <row r="257" spans="1:17">
      <c r="A257" s="2">
        <v>2205</v>
      </c>
      <c r="B257" s="7">
        <v>0.6</v>
      </c>
      <c r="C257" s="7">
        <v>0.6</v>
      </c>
      <c r="D257" s="7">
        <v>0.6</v>
      </c>
      <c r="E257" s="7">
        <v>0.6</v>
      </c>
      <c r="F257" s="7">
        <v>0.6</v>
      </c>
      <c r="G257" s="7">
        <v>0.78</v>
      </c>
      <c r="H257" s="7">
        <v>0.78</v>
      </c>
      <c r="I257" s="7">
        <v>0.98</v>
      </c>
      <c r="J257" s="7">
        <v>0.98</v>
      </c>
      <c r="K257" s="7">
        <v>0.98</v>
      </c>
      <c r="L257" s="7">
        <v>0.98</v>
      </c>
      <c r="M257" s="7">
        <v>0.98</v>
      </c>
      <c r="N257" s="7">
        <v>0.98</v>
      </c>
      <c r="O257" s="7">
        <v>0.98</v>
      </c>
      <c r="P257" s="7">
        <v>0.98</v>
      </c>
      <c r="Q257" s="7">
        <v>0.98</v>
      </c>
    </row>
    <row r="258" spans="1:17">
      <c r="A258" s="2">
        <v>2206</v>
      </c>
      <c r="B258" s="7">
        <v>0.6</v>
      </c>
      <c r="C258" s="7">
        <v>0.6</v>
      </c>
      <c r="D258" s="7">
        <v>0.6</v>
      </c>
      <c r="E258" s="7">
        <v>0.6</v>
      </c>
      <c r="F258" s="7">
        <v>0.6</v>
      </c>
      <c r="G258" s="7">
        <v>0.77600000000000002</v>
      </c>
      <c r="H258" s="7">
        <v>0.77600000000000002</v>
      </c>
      <c r="I258" s="7">
        <v>0.97599999999999998</v>
      </c>
      <c r="J258" s="7">
        <v>0.97599999999999998</v>
      </c>
      <c r="K258" s="7">
        <v>0.97599999999999998</v>
      </c>
      <c r="L258" s="7">
        <v>0.97599999999999998</v>
      </c>
      <c r="M258" s="7">
        <v>0.97599999999999998</v>
      </c>
      <c r="N258" s="7">
        <v>0.97599999999999998</v>
      </c>
      <c r="O258" s="7">
        <v>0.97599999999999998</v>
      </c>
      <c r="P258" s="7">
        <v>0.97599999999999998</v>
      </c>
      <c r="Q258" s="7">
        <v>0.97599999999999998</v>
      </c>
    </row>
    <row r="259" spans="1:17">
      <c r="A259" s="2">
        <v>2207</v>
      </c>
      <c r="B259" s="7">
        <v>0.6</v>
      </c>
      <c r="C259" s="7">
        <v>0.6</v>
      </c>
      <c r="D259" s="7">
        <v>0.6</v>
      </c>
      <c r="E259" s="7">
        <v>0.6</v>
      </c>
      <c r="F259" s="7">
        <v>0.6</v>
      </c>
      <c r="G259" s="7">
        <v>0.77200000000000002</v>
      </c>
      <c r="H259" s="7">
        <v>0.77200000000000002</v>
      </c>
      <c r="I259" s="7">
        <v>0.97199999999999998</v>
      </c>
      <c r="J259" s="7">
        <v>0.97199999999999998</v>
      </c>
      <c r="K259" s="7">
        <v>0.97199999999999998</v>
      </c>
      <c r="L259" s="7">
        <v>0.97199999999999998</v>
      </c>
      <c r="M259" s="7">
        <v>0.97199999999999998</v>
      </c>
      <c r="N259" s="7">
        <v>0.97199999999999998</v>
      </c>
      <c r="O259" s="7">
        <v>0.97199999999999998</v>
      </c>
      <c r="P259" s="7">
        <v>0.97199999999999998</v>
      </c>
      <c r="Q259" s="7">
        <v>0.97199999999999998</v>
      </c>
    </row>
    <row r="260" spans="1:17">
      <c r="A260" s="2">
        <v>2208</v>
      </c>
      <c r="B260" s="7">
        <v>0.6</v>
      </c>
      <c r="C260" s="7">
        <v>0.6</v>
      </c>
      <c r="D260" s="7">
        <v>0.6</v>
      </c>
      <c r="E260" s="7">
        <v>0.6</v>
      </c>
      <c r="F260" s="7">
        <v>0.6</v>
      </c>
      <c r="G260" s="7">
        <v>0.76800000000000002</v>
      </c>
      <c r="H260" s="7">
        <v>0.76800000000000002</v>
      </c>
      <c r="I260" s="7">
        <v>0.96799999999999997</v>
      </c>
      <c r="J260" s="7">
        <v>0.96799999999999997</v>
      </c>
      <c r="K260" s="7">
        <v>0.96799999999999997</v>
      </c>
      <c r="L260" s="7">
        <v>0.96799999999999997</v>
      </c>
      <c r="M260" s="7">
        <v>0.96799999999999997</v>
      </c>
      <c r="N260" s="7">
        <v>0.96799999999999997</v>
      </c>
      <c r="O260" s="7">
        <v>0.96799999999999997</v>
      </c>
      <c r="P260" s="7">
        <v>0.96799999999999997</v>
      </c>
      <c r="Q260" s="7">
        <v>0.96799999999999997</v>
      </c>
    </row>
    <row r="261" spans="1:17">
      <c r="A261" s="2">
        <v>2209</v>
      </c>
      <c r="B261" s="7">
        <v>0.6</v>
      </c>
      <c r="C261" s="7">
        <v>0.6</v>
      </c>
      <c r="D261" s="7">
        <v>0.6</v>
      </c>
      <c r="E261" s="7">
        <v>0.6</v>
      </c>
      <c r="F261" s="7">
        <v>0.6</v>
      </c>
      <c r="G261" s="7">
        <v>0.76400000000000001</v>
      </c>
      <c r="H261" s="7">
        <v>0.76400000000000001</v>
      </c>
      <c r="I261" s="7">
        <v>0.96399999999999997</v>
      </c>
      <c r="J261" s="7">
        <v>0.96399999999999997</v>
      </c>
      <c r="K261" s="7">
        <v>0.96399999999999997</v>
      </c>
      <c r="L261" s="7">
        <v>0.96399999999999997</v>
      </c>
      <c r="M261" s="7">
        <v>0.96399999999999997</v>
      </c>
      <c r="N261" s="7">
        <v>0.96399999999999997</v>
      </c>
      <c r="O261" s="7">
        <v>0.96399999999999997</v>
      </c>
      <c r="P261" s="7">
        <v>0.96399999999999997</v>
      </c>
      <c r="Q261" s="7">
        <v>0.96399999999999997</v>
      </c>
    </row>
    <row r="262" spans="1:17">
      <c r="A262" s="2">
        <v>2210</v>
      </c>
      <c r="B262" s="7">
        <v>0.6</v>
      </c>
      <c r="C262" s="7">
        <v>0.6</v>
      </c>
      <c r="D262" s="7">
        <v>0.6</v>
      </c>
      <c r="E262" s="7">
        <v>0.6</v>
      </c>
      <c r="F262" s="7">
        <v>0.6</v>
      </c>
      <c r="G262" s="7">
        <v>0.76</v>
      </c>
      <c r="H262" s="7">
        <v>0.76</v>
      </c>
      <c r="I262" s="7">
        <v>0.96</v>
      </c>
      <c r="J262" s="7">
        <v>0.96</v>
      </c>
      <c r="K262" s="7">
        <v>0.96</v>
      </c>
      <c r="L262" s="7">
        <v>0.96</v>
      </c>
      <c r="M262" s="7">
        <v>0.96</v>
      </c>
      <c r="N262" s="7">
        <v>0.96</v>
      </c>
      <c r="O262" s="7">
        <v>0.96</v>
      </c>
      <c r="P262" s="7">
        <v>0.96</v>
      </c>
      <c r="Q262" s="7">
        <v>0.96</v>
      </c>
    </row>
    <row r="263" spans="1:17">
      <c r="A263" s="2">
        <v>2211</v>
      </c>
      <c r="B263" s="7">
        <v>0.6</v>
      </c>
      <c r="C263" s="7">
        <v>0.6</v>
      </c>
      <c r="D263" s="7">
        <v>0.6</v>
      </c>
      <c r="E263" s="7">
        <v>0.6</v>
      </c>
      <c r="F263" s="7">
        <v>0.6</v>
      </c>
      <c r="G263" s="7">
        <v>0.75600000000000001</v>
      </c>
      <c r="H263" s="7">
        <v>0.75600000000000001</v>
      </c>
      <c r="I263" s="7">
        <v>0.95599999999999996</v>
      </c>
      <c r="J263" s="7">
        <v>0.95599999999999996</v>
      </c>
      <c r="K263" s="7">
        <v>0.95599999999999996</v>
      </c>
      <c r="L263" s="7">
        <v>0.95599999999999996</v>
      </c>
      <c r="M263" s="7">
        <v>0.95599999999999996</v>
      </c>
      <c r="N263" s="7">
        <v>0.95599999999999996</v>
      </c>
      <c r="O263" s="7">
        <v>0.95599999999999996</v>
      </c>
      <c r="P263" s="7">
        <v>0.95599999999999996</v>
      </c>
      <c r="Q263" s="7">
        <v>0.95599999999999996</v>
      </c>
    </row>
    <row r="264" spans="1:17">
      <c r="A264" s="2">
        <v>2212</v>
      </c>
      <c r="B264" s="7">
        <v>0.6</v>
      </c>
      <c r="C264" s="7">
        <v>0.6</v>
      </c>
      <c r="D264" s="7">
        <v>0.6</v>
      </c>
      <c r="E264" s="7">
        <v>0.6</v>
      </c>
      <c r="F264" s="7">
        <v>0.6</v>
      </c>
      <c r="G264" s="7">
        <v>0.752</v>
      </c>
      <c r="H264" s="7">
        <v>0.752</v>
      </c>
      <c r="I264" s="7">
        <v>0.95199999999999996</v>
      </c>
      <c r="J264" s="7">
        <v>0.95199999999999996</v>
      </c>
      <c r="K264" s="7">
        <v>0.95199999999999996</v>
      </c>
      <c r="L264" s="7">
        <v>0.95199999999999996</v>
      </c>
      <c r="M264" s="7">
        <v>0.95199999999999996</v>
      </c>
      <c r="N264" s="7">
        <v>0.95199999999999996</v>
      </c>
      <c r="O264" s="7">
        <v>0.95199999999999996</v>
      </c>
      <c r="P264" s="7">
        <v>0.95199999999999996</v>
      </c>
      <c r="Q264" s="7">
        <v>0.95199999999999996</v>
      </c>
    </row>
    <row r="265" spans="1:17">
      <c r="A265" s="2">
        <v>2213</v>
      </c>
      <c r="B265" s="7">
        <v>0.6</v>
      </c>
      <c r="C265" s="7">
        <v>0.6</v>
      </c>
      <c r="D265" s="7">
        <v>0.6</v>
      </c>
      <c r="E265" s="7">
        <v>0.6</v>
      </c>
      <c r="F265" s="7">
        <v>0.6</v>
      </c>
      <c r="G265" s="7">
        <v>0.748</v>
      </c>
      <c r="H265" s="7">
        <v>0.748</v>
      </c>
      <c r="I265" s="7">
        <v>0.94799999999999995</v>
      </c>
      <c r="J265" s="7">
        <v>0.94799999999999995</v>
      </c>
      <c r="K265" s="7">
        <v>0.94799999999999995</v>
      </c>
      <c r="L265" s="7">
        <v>0.94799999999999995</v>
      </c>
      <c r="M265" s="7">
        <v>0.94799999999999995</v>
      </c>
      <c r="N265" s="7">
        <v>0.94799999999999995</v>
      </c>
      <c r="O265" s="7">
        <v>0.94799999999999995</v>
      </c>
      <c r="P265" s="7">
        <v>0.94799999999999995</v>
      </c>
      <c r="Q265" s="7">
        <v>0.94799999999999995</v>
      </c>
    </row>
    <row r="266" spans="1:17">
      <c r="A266" s="2">
        <v>2214</v>
      </c>
      <c r="B266" s="7">
        <v>0.6</v>
      </c>
      <c r="C266" s="7">
        <v>0.6</v>
      </c>
      <c r="D266" s="7">
        <v>0.6</v>
      </c>
      <c r="E266" s="7">
        <v>0.6</v>
      </c>
      <c r="F266" s="7">
        <v>0.6</v>
      </c>
      <c r="G266" s="7">
        <v>0.74399999999999999</v>
      </c>
      <c r="H266" s="7">
        <v>0.74399999999999999</v>
      </c>
      <c r="I266" s="7">
        <v>0.94399999999999995</v>
      </c>
      <c r="J266" s="7">
        <v>0.94399999999999995</v>
      </c>
      <c r="K266" s="7">
        <v>0.94399999999999995</v>
      </c>
      <c r="L266" s="7">
        <v>0.94399999999999995</v>
      </c>
      <c r="M266" s="7">
        <v>0.94399999999999995</v>
      </c>
      <c r="N266" s="7">
        <v>0.94399999999999995</v>
      </c>
      <c r="O266" s="7">
        <v>0.94399999999999995</v>
      </c>
      <c r="P266" s="7">
        <v>0.94399999999999995</v>
      </c>
      <c r="Q266" s="7">
        <v>0.94399999999999995</v>
      </c>
    </row>
    <row r="267" spans="1:17">
      <c r="A267" s="2">
        <v>2215</v>
      </c>
      <c r="B267" s="7">
        <v>0.6</v>
      </c>
      <c r="C267" s="7">
        <v>0.6</v>
      </c>
      <c r="D267" s="7">
        <v>0.6</v>
      </c>
      <c r="E267" s="7">
        <v>0.6</v>
      </c>
      <c r="F267" s="7">
        <v>0.6</v>
      </c>
      <c r="G267" s="7">
        <v>0.74</v>
      </c>
      <c r="H267" s="7">
        <v>0.74</v>
      </c>
      <c r="I267" s="7">
        <v>0.94</v>
      </c>
      <c r="J267" s="7">
        <v>0.94</v>
      </c>
      <c r="K267" s="7">
        <v>0.94</v>
      </c>
      <c r="L267" s="7">
        <v>0.94</v>
      </c>
      <c r="M267" s="7">
        <v>0.94</v>
      </c>
      <c r="N267" s="7">
        <v>0.94</v>
      </c>
      <c r="O267" s="7">
        <v>0.94</v>
      </c>
      <c r="P267" s="7">
        <v>0.94</v>
      </c>
      <c r="Q267" s="7">
        <v>0.94</v>
      </c>
    </row>
    <row r="268" spans="1:17">
      <c r="A268" s="2">
        <v>2216</v>
      </c>
      <c r="B268" s="7">
        <v>0.6</v>
      </c>
      <c r="C268" s="7">
        <v>0.6</v>
      </c>
      <c r="D268" s="7">
        <v>0.6</v>
      </c>
      <c r="E268" s="7">
        <v>0.6</v>
      </c>
      <c r="F268" s="7">
        <v>0.6</v>
      </c>
      <c r="G268" s="7">
        <v>0.73599999999999999</v>
      </c>
      <c r="H268" s="7">
        <v>0.73599999999999999</v>
      </c>
      <c r="I268" s="7">
        <v>0.93600000000000005</v>
      </c>
      <c r="J268" s="7">
        <v>0.93600000000000005</v>
      </c>
      <c r="K268" s="7">
        <v>0.93600000000000005</v>
      </c>
      <c r="L268" s="7">
        <v>0.93600000000000005</v>
      </c>
      <c r="M268" s="7">
        <v>0.93600000000000005</v>
      </c>
      <c r="N268" s="7">
        <v>0.93600000000000005</v>
      </c>
      <c r="O268" s="7">
        <v>0.93600000000000005</v>
      </c>
      <c r="P268" s="7">
        <v>0.93600000000000005</v>
      </c>
      <c r="Q268" s="7">
        <v>0.93600000000000005</v>
      </c>
    </row>
    <row r="269" spans="1:17">
      <c r="A269" s="2">
        <v>2217</v>
      </c>
      <c r="B269" s="7">
        <v>0.6</v>
      </c>
      <c r="C269" s="7">
        <v>0.6</v>
      </c>
      <c r="D269" s="7">
        <v>0.6</v>
      </c>
      <c r="E269" s="7">
        <v>0.6</v>
      </c>
      <c r="F269" s="7">
        <v>0.6</v>
      </c>
      <c r="G269" s="7">
        <v>0.73199999999999998</v>
      </c>
      <c r="H269" s="7">
        <v>0.73199999999999998</v>
      </c>
      <c r="I269" s="7">
        <v>0.93200000000000005</v>
      </c>
      <c r="J269" s="7">
        <v>0.93200000000000005</v>
      </c>
      <c r="K269" s="7">
        <v>0.93200000000000005</v>
      </c>
      <c r="L269" s="7">
        <v>0.93200000000000005</v>
      </c>
      <c r="M269" s="7">
        <v>0.93200000000000005</v>
      </c>
      <c r="N269" s="7">
        <v>0.93200000000000005</v>
      </c>
      <c r="O269" s="7">
        <v>0.93200000000000005</v>
      </c>
      <c r="P269" s="7">
        <v>0.93200000000000005</v>
      </c>
      <c r="Q269" s="7">
        <v>0.93200000000000005</v>
      </c>
    </row>
    <row r="270" spans="1:17">
      <c r="A270" s="2">
        <v>2218</v>
      </c>
      <c r="B270" s="7">
        <v>0.6</v>
      </c>
      <c r="C270" s="7">
        <v>0.6</v>
      </c>
      <c r="D270" s="7">
        <v>0.6</v>
      </c>
      <c r="E270" s="7">
        <v>0.6</v>
      </c>
      <c r="F270" s="7">
        <v>0.6</v>
      </c>
      <c r="G270" s="7">
        <v>0.72799999999999998</v>
      </c>
      <c r="H270" s="7">
        <v>0.72799999999999998</v>
      </c>
      <c r="I270" s="7">
        <v>0.92800000000000005</v>
      </c>
      <c r="J270" s="7">
        <v>0.92800000000000005</v>
      </c>
      <c r="K270" s="7">
        <v>0.92800000000000005</v>
      </c>
      <c r="L270" s="7">
        <v>0.92800000000000005</v>
      </c>
      <c r="M270" s="7">
        <v>0.92800000000000005</v>
      </c>
      <c r="N270" s="7">
        <v>0.92800000000000005</v>
      </c>
      <c r="O270" s="7">
        <v>0.92800000000000005</v>
      </c>
      <c r="P270" s="7">
        <v>0.92800000000000005</v>
      </c>
      <c r="Q270" s="7">
        <v>0.92800000000000005</v>
      </c>
    </row>
    <row r="271" spans="1:17">
      <c r="A271" s="2">
        <v>2219</v>
      </c>
      <c r="B271" s="7">
        <v>0.6</v>
      </c>
      <c r="C271" s="7">
        <v>0.6</v>
      </c>
      <c r="D271" s="7">
        <v>0.6</v>
      </c>
      <c r="E271" s="7">
        <v>0.6</v>
      </c>
      <c r="F271" s="7">
        <v>0.6</v>
      </c>
      <c r="G271" s="7">
        <v>0.72399999999999998</v>
      </c>
      <c r="H271" s="7">
        <v>0.72399999999999998</v>
      </c>
      <c r="I271" s="7">
        <v>0.92400000000000004</v>
      </c>
      <c r="J271" s="7">
        <v>0.92400000000000004</v>
      </c>
      <c r="K271" s="7">
        <v>0.92400000000000004</v>
      </c>
      <c r="L271" s="7">
        <v>0.92400000000000004</v>
      </c>
      <c r="M271" s="7">
        <v>0.92400000000000004</v>
      </c>
      <c r="N271" s="7">
        <v>0.92400000000000004</v>
      </c>
      <c r="O271" s="7">
        <v>0.92400000000000004</v>
      </c>
      <c r="P271" s="7">
        <v>0.92400000000000004</v>
      </c>
      <c r="Q271" s="7">
        <v>0.92400000000000004</v>
      </c>
    </row>
    <row r="272" spans="1:17">
      <c r="A272" s="2">
        <v>2220</v>
      </c>
      <c r="B272" s="7">
        <v>0.6</v>
      </c>
      <c r="C272" s="7">
        <v>0.6</v>
      </c>
      <c r="D272" s="7">
        <v>0.6</v>
      </c>
      <c r="E272" s="7">
        <v>0.6</v>
      </c>
      <c r="F272" s="7">
        <v>0.6</v>
      </c>
      <c r="G272" s="7">
        <v>0.72</v>
      </c>
      <c r="H272" s="7">
        <v>0.72</v>
      </c>
      <c r="I272" s="7">
        <v>0.92</v>
      </c>
      <c r="J272" s="7">
        <v>0.92</v>
      </c>
      <c r="K272" s="7">
        <v>0.92</v>
      </c>
      <c r="L272" s="7">
        <v>0.92</v>
      </c>
      <c r="M272" s="7">
        <v>0.92</v>
      </c>
      <c r="N272" s="7">
        <v>0.92</v>
      </c>
      <c r="O272" s="7">
        <v>0.92</v>
      </c>
      <c r="P272" s="7">
        <v>0.92</v>
      </c>
      <c r="Q272" s="7">
        <v>0.92</v>
      </c>
    </row>
    <row r="273" spans="1:17">
      <c r="A273" s="2">
        <v>2221</v>
      </c>
      <c r="B273" s="7">
        <v>0.6</v>
      </c>
      <c r="C273" s="7">
        <v>0.6</v>
      </c>
      <c r="D273" s="7">
        <v>0.6</v>
      </c>
      <c r="E273" s="7">
        <v>0.6</v>
      </c>
      <c r="F273" s="7">
        <v>0.6</v>
      </c>
      <c r="G273" s="7">
        <v>0.71599999999999997</v>
      </c>
      <c r="H273" s="7">
        <v>0.71599999999999997</v>
      </c>
      <c r="I273" s="7">
        <v>0.91600000000000004</v>
      </c>
      <c r="J273" s="7">
        <v>0.91600000000000004</v>
      </c>
      <c r="K273" s="7">
        <v>0.91600000000000004</v>
      </c>
      <c r="L273" s="7">
        <v>0.91600000000000004</v>
      </c>
      <c r="M273" s="7">
        <v>0.91600000000000004</v>
      </c>
      <c r="N273" s="7">
        <v>0.91600000000000004</v>
      </c>
      <c r="O273" s="7">
        <v>0.91600000000000004</v>
      </c>
      <c r="P273" s="7">
        <v>0.91600000000000004</v>
      </c>
      <c r="Q273" s="7">
        <v>0.91600000000000004</v>
      </c>
    </row>
    <row r="274" spans="1:17">
      <c r="A274" s="2">
        <v>2222</v>
      </c>
      <c r="B274" s="7">
        <v>0.6</v>
      </c>
      <c r="C274" s="7">
        <v>0.6</v>
      </c>
      <c r="D274" s="7">
        <v>0.6</v>
      </c>
      <c r="E274" s="7">
        <v>0.6</v>
      </c>
      <c r="F274" s="7">
        <v>0.6</v>
      </c>
      <c r="G274" s="7">
        <v>0.71199999999999997</v>
      </c>
      <c r="H274" s="7">
        <v>0.71199999999999997</v>
      </c>
      <c r="I274" s="7">
        <v>0.91200000000000003</v>
      </c>
      <c r="J274" s="7">
        <v>0.91200000000000003</v>
      </c>
      <c r="K274" s="7">
        <v>0.91200000000000003</v>
      </c>
      <c r="L274" s="7">
        <v>0.91200000000000003</v>
      </c>
      <c r="M274" s="7">
        <v>0.91200000000000003</v>
      </c>
      <c r="N274" s="7">
        <v>0.91200000000000003</v>
      </c>
      <c r="O274" s="7">
        <v>0.91200000000000003</v>
      </c>
      <c r="P274" s="7">
        <v>0.91200000000000003</v>
      </c>
      <c r="Q274" s="7">
        <v>0.91200000000000003</v>
      </c>
    </row>
    <row r="275" spans="1:17">
      <c r="A275" s="2">
        <v>2223</v>
      </c>
      <c r="B275" s="7">
        <v>0.6</v>
      </c>
      <c r="C275" s="7">
        <v>0.6</v>
      </c>
      <c r="D275" s="7">
        <v>0.6</v>
      </c>
      <c r="E275" s="7">
        <v>0.6</v>
      </c>
      <c r="F275" s="7">
        <v>0.6</v>
      </c>
      <c r="G275" s="7">
        <v>0.70799999999999996</v>
      </c>
      <c r="H275" s="7">
        <v>0.70799999999999996</v>
      </c>
      <c r="I275" s="7">
        <v>0.90800000000000003</v>
      </c>
      <c r="J275" s="7">
        <v>0.90800000000000003</v>
      </c>
      <c r="K275" s="7">
        <v>0.90800000000000003</v>
      </c>
      <c r="L275" s="7">
        <v>0.90800000000000003</v>
      </c>
      <c r="M275" s="7">
        <v>0.90800000000000003</v>
      </c>
      <c r="N275" s="7">
        <v>0.90800000000000003</v>
      </c>
      <c r="O275" s="7">
        <v>0.90800000000000003</v>
      </c>
      <c r="P275" s="7">
        <v>0.90800000000000003</v>
      </c>
      <c r="Q275" s="7">
        <v>0.90800000000000003</v>
      </c>
    </row>
    <row r="276" spans="1:17">
      <c r="A276" s="2">
        <v>2224</v>
      </c>
      <c r="B276" s="7">
        <v>0.6</v>
      </c>
      <c r="C276" s="7">
        <v>0.6</v>
      </c>
      <c r="D276" s="7">
        <v>0.6</v>
      </c>
      <c r="E276" s="7">
        <v>0.6</v>
      </c>
      <c r="F276" s="7">
        <v>0.6</v>
      </c>
      <c r="G276" s="7">
        <v>0.70399999999999996</v>
      </c>
      <c r="H276" s="7">
        <v>0.70399999999999996</v>
      </c>
      <c r="I276" s="7">
        <v>0.90400000000000003</v>
      </c>
      <c r="J276" s="7">
        <v>0.90400000000000003</v>
      </c>
      <c r="K276" s="7">
        <v>0.90400000000000003</v>
      </c>
      <c r="L276" s="7">
        <v>0.90400000000000003</v>
      </c>
      <c r="M276" s="7">
        <v>0.90400000000000003</v>
      </c>
      <c r="N276" s="7">
        <v>0.90400000000000003</v>
      </c>
      <c r="O276" s="7">
        <v>0.90400000000000003</v>
      </c>
      <c r="P276" s="7">
        <v>0.90400000000000003</v>
      </c>
      <c r="Q276" s="7">
        <v>0.90400000000000003</v>
      </c>
    </row>
    <row r="277" spans="1:17">
      <c r="A277" s="2">
        <v>2225</v>
      </c>
      <c r="B277" s="7">
        <v>0.6</v>
      </c>
      <c r="C277" s="7">
        <v>0.6</v>
      </c>
      <c r="D277" s="7">
        <v>0.6</v>
      </c>
      <c r="E277" s="7">
        <v>0.6</v>
      </c>
      <c r="F277" s="7">
        <v>0.6</v>
      </c>
      <c r="G277" s="7">
        <v>0.7</v>
      </c>
      <c r="H277" s="7">
        <v>0.7</v>
      </c>
      <c r="I277" s="7">
        <v>0.9</v>
      </c>
      <c r="J277" s="7">
        <v>0.9</v>
      </c>
      <c r="K277" s="7">
        <v>0.9</v>
      </c>
      <c r="L277" s="7">
        <v>0.9</v>
      </c>
      <c r="M277" s="7">
        <v>0.9</v>
      </c>
      <c r="N277" s="7">
        <v>0.9</v>
      </c>
      <c r="O277" s="7">
        <v>0.9</v>
      </c>
      <c r="P277" s="7">
        <v>0.9</v>
      </c>
      <c r="Q277" s="7">
        <v>0.9</v>
      </c>
    </row>
    <row r="278" spans="1:17">
      <c r="A278" s="2">
        <v>2226</v>
      </c>
      <c r="B278" s="7">
        <v>0.6</v>
      </c>
      <c r="C278" s="7">
        <v>0.6</v>
      </c>
      <c r="D278" s="7">
        <v>0.6</v>
      </c>
      <c r="E278" s="7">
        <v>0.6</v>
      </c>
      <c r="F278" s="7">
        <v>0.6</v>
      </c>
      <c r="G278" s="7">
        <v>0.69599999999999995</v>
      </c>
      <c r="H278" s="7">
        <v>0.69599999999999995</v>
      </c>
      <c r="I278" s="7">
        <v>0.89600000000000002</v>
      </c>
      <c r="J278" s="7">
        <v>0.89600000000000002</v>
      </c>
      <c r="K278" s="7">
        <v>0.89600000000000002</v>
      </c>
      <c r="L278" s="7">
        <v>0.89600000000000002</v>
      </c>
      <c r="M278" s="7">
        <v>0.89600000000000002</v>
      </c>
      <c r="N278" s="7">
        <v>0.89600000000000002</v>
      </c>
      <c r="O278" s="7">
        <v>0.89600000000000002</v>
      </c>
      <c r="P278" s="7">
        <v>0.89600000000000002</v>
      </c>
      <c r="Q278" s="7">
        <v>0.89600000000000002</v>
      </c>
    </row>
    <row r="279" spans="1:17">
      <c r="A279" s="2">
        <v>2227</v>
      </c>
      <c r="B279" s="7">
        <v>0.6</v>
      </c>
      <c r="C279" s="7">
        <v>0.6</v>
      </c>
      <c r="D279" s="7">
        <v>0.6</v>
      </c>
      <c r="E279" s="7">
        <v>0.6</v>
      </c>
      <c r="F279" s="7">
        <v>0.6</v>
      </c>
      <c r="G279" s="7">
        <v>0.69199999999999995</v>
      </c>
      <c r="H279" s="7">
        <v>0.69199999999999995</v>
      </c>
      <c r="I279" s="7">
        <v>0.89200000000000002</v>
      </c>
      <c r="J279" s="7">
        <v>0.89200000000000002</v>
      </c>
      <c r="K279" s="7">
        <v>0.89200000000000002</v>
      </c>
      <c r="L279" s="7">
        <v>0.89200000000000002</v>
      </c>
      <c r="M279" s="7">
        <v>0.89200000000000002</v>
      </c>
      <c r="N279" s="7">
        <v>0.89200000000000002</v>
      </c>
      <c r="O279" s="7">
        <v>0.89200000000000002</v>
      </c>
      <c r="P279" s="7">
        <v>0.89200000000000002</v>
      </c>
      <c r="Q279" s="7">
        <v>0.89200000000000002</v>
      </c>
    </row>
    <row r="280" spans="1:17">
      <c r="A280" s="2">
        <v>2228</v>
      </c>
      <c r="B280" s="7">
        <v>0.6</v>
      </c>
      <c r="C280" s="7">
        <v>0.6</v>
      </c>
      <c r="D280" s="7">
        <v>0.6</v>
      </c>
      <c r="E280" s="7">
        <v>0.6</v>
      </c>
      <c r="F280" s="7">
        <v>0.6</v>
      </c>
      <c r="G280" s="7">
        <v>0.68799999999999994</v>
      </c>
      <c r="H280" s="7">
        <v>0.68799999999999994</v>
      </c>
      <c r="I280" s="7">
        <v>0.88800000000000001</v>
      </c>
      <c r="J280" s="7">
        <v>0.88800000000000001</v>
      </c>
      <c r="K280" s="7">
        <v>0.88800000000000001</v>
      </c>
      <c r="L280" s="7">
        <v>0.88800000000000001</v>
      </c>
      <c r="M280" s="7">
        <v>0.88800000000000001</v>
      </c>
      <c r="N280" s="7">
        <v>0.88800000000000001</v>
      </c>
      <c r="O280" s="7">
        <v>0.88800000000000001</v>
      </c>
      <c r="P280" s="7">
        <v>0.88800000000000001</v>
      </c>
      <c r="Q280" s="7">
        <v>0.88800000000000001</v>
      </c>
    </row>
    <row r="281" spans="1:17">
      <c r="A281" s="2">
        <v>2229</v>
      </c>
      <c r="B281" s="7">
        <v>0.6</v>
      </c>
      <c r="C281" s="7">
        <v>0.6</v>
      </c>
      <c r="D281" s="7">
        <v>0.6</v>
      </c>
      <c r="E281" s="7">
        <v>0.6</v>
      </c>
      <c r="F281" s="7">
        <v>0.6</v>
      </c>
      <c r="G281" s="7">
        <v>0.68400000000000005</v>
      </c>
      <c r="H281" s="7">
        <v>0.68400000000000005</v>
      </c>
      <c r="I281" s="7">
        <v>0.88400000000000001</v>
      </c>
      <c r="J281" s="7">
        <v>0.88400000000000001</v>
      </c>
      <c r="K281" s="7">
        <v>0.88400000000000001</v>
      </c>
      <c r="L281" s="7">
        <v>0.88400000000000001</v>
      </c>
      <c r="M281" s="7">
        <v>0.88400000000000001</v>
      </c>
      <c r="N281" s="7">
        <v>0.88400000000000001</v>
      </c>
      <c r="O281" s="7">
        <v>0.88400000000000001</v>
      </c>
      <c r="P281" s="7">
        <v>0.88400000000000001</v>
      </c>
      <c r="Q281" s="7">
        <v>0.88400000000000001</v>
      </c>
    </row>
    <row r="282" spans="1:17">
      <c r="A282" s="2">
        <v>2230</v>
      </c>
      <c r="B282" s="7">
        <v>0.6</v>
      </c>
      <c r="C282" s="7">
        <v>0.6</v>
      </c>
      <c r="D282" s="7">
        <v>0.6</v>
      </c>
      <c r="E282" s="7">
        <v>0.6</v>
      </c>
      <c r="F282" s="7">
        <v>0.6</v>
      </c>
      <c r="G282" s="7">
        <v>0.68</v>
      </c>
      <c r="H282" s="7">
        <v>0.68</v>
      </c>
      <c r="I282" s="7">
        <v>0.88</v>
      </c>
      <c r="J282" s="7">
        <v>0.88</v>
      </c>
      <c r="K282" s="7">
        <v>0.88</v>
      </c>
      <c r="L282" s="7">
        <v>0.88</v>
      </c>
      <c r="M282" s="7">
        <v>0.88</v>
      </c>
      <c r="N282" s="7">
        <v>0.88</v>
      </c>
      <c r="O282" s="7">
        <v>0.88</v>
      </c>
      <c r="P282" s="7">
        <v>0.88</v>
      </c>
      <c r="Q282" s="7">
        <v>0.88</v>
      </c>
    </row>
    <row r="283" spans="1:17">
      <c r="A283" s="2">
        <v>2231</v>
      </c>
      <c r="B283" s="7">
        <v>0.6</v>
      </c>
      <c r="C283" s="7">
        <v>0.6</v>
      </c>
      <c r="D283" s="7">
        <v>0.6</v>
      </c>
      <c r="E283" s="7">
        <v>0.6</v>
      </c>
      <c r="F283" s="7">
        <v>0.6</v>
      </c>
      <c r="G283" s="7">
        <v>0.67600000000000005</v>
      </c>
      <c r="H283" s="7">
        <v>0.67600000000000005</v>
      </c>
      <c r="I283" s="7">
        <v>0.876</v>
      </c>
      <c r="J283" s="7">
        <v>0.876</v>
      </c>
      <c r="K283" s="7">
        <v>0.876</v>
      </c>
      <c r="L283" s="7">
        <v>0.876</v>
      </c>
      <c r="M283" s="7">
        <v>0.876</v>
      </c>
      <c r="N283" s="7">
        <v>0.876</v>
      </c>
      <c r="O283" s="7">
        <v>0.876</v>
      </c>
      <c r="P283" s="7">
        <v>0.876</v>
      </c>
      <c r="Q283" s="7">
        <v>0.876</v>
      </c>
    </row>
    <row r="284" spans="1:17">
      <c r="A284" s="2">
        <v>2232</v>
      </c>
      <c r="B284" s="7">
        <v>0.6</v>
      </c>
      <c r="C284" s="7">
        <v>0.6</v>
      </c>
      <c r="D284" s="7">
        <v>0.6</v>
      </c>
      <c r="E284" s="7">
        <v>0.6</v>
      </c>
      <c r="F284" s="7">
        <v>0.6</v>
      </c>
      <c r="G284" s="7">
        <v>0.67200000000000004</v>
      </c>
      <c r="H284" s="7">
        <v>0.67200000000000004</v>
      </c>
      <c r="I284" s="7">
        <v>0.872</v>
      </c>
      <c r="J284" s="7">
        <v>0.872</v>
      </c>
      <c r="K284" s="7">
        <v>0.872</v>
      </c>
      <c r="L284" s="7">
        <v>0.872</v>
      </c>
      <c r="M284" s="7">
        <v>0.872</v>
      </c>
      <c r="N284" s="7">
        <v>0.872</v>
      </c>
      <c r="O284" s="7">
        <v>0.872</v>
      </c>
      <c r="P284" s="7">
        <v>0.872</v>
      </c>
      <c r="Q284" s="7">
        <v>0.872</v>
      </c>
    </row>
    <row r="285" spans="1:17">
      <c r="A285" s="2">
        <v>2233</v>
      </c>
      <c r="B285" s="7">
        <v>0.6</v>
      </c>
      <c r="C285" s="7">
        <v>0.6</v>
      </c>
      <c r="D285" s="7">
        <v>0.6</v>
      </c>
      <c r="E285" s="7">
        <v>0.6</v>
      </c>
      <c r="F285" s="7">
        <v>0.6</v>
      </c>
      <c r="G285" s="7">
        <v>0.66800000000000004</v>
      </c>
      <c r="H285" s="7">
        <v>0.66800000000000004</v>
      </c>
      <c r="I285" s="7">
        <v>0.86799999999999999</v>
      </c>
      <c r="J285" s="7">
        <v>0.86799999999999999</v>
      </c>
      <c r="K285" s="7">
        <v>0.86799999999999999</v>
      </c>
      <c r="L285" s="7">
        <v>0.86799999999999999</v>
      </c>
      <c r="M285" s="7">
        <v>0.86799999999999999</v>
      </c>
      <c r="N285" s="7">
        <v>0.86799999999999999</v>
      </c>
      <c r="O285" s="7">
        <v>0.86799999999999999</v>
      </c>
      <c r="P285" s="7">
        <v>0.86799999999999999</v>
      </c>
      <c r="Q285" s="7">
        <v>0.86799999999999999</v>
      </c>
    </row>
    <row r="286" spans="1:17">
      <c r="A286" s="2">
        <v>2234</v>
      </c>
      <c r="B286" s="7">
        <v>0.6</v>
      </c>
      <c r="C286" s="7">
        <v>0.6</v>
      </c>
      <c r="D286" s="7">
        <v>0.6</v>
      </c>
      <c r="E286" s="7">
        <v>0.6</v>
      </c>
      <c r="F286" s="7">
        <v>0.6</v>
      </c>
      <c r="G286" s="7">
        <v>0.66400000000000003</v>
      </c>
      <c r="H286" s="7">
        <v>0.66400000000000003</v>
      </c>
      <c r="I286" s="7">
        <v>0.86399999999999999</v>
      </c>
      <c r="J286" s="7">
        <v>0.86399999999999999</v>
      </c>
      <c r="K286" s="7">
        <v>0.86399999999999999</v>
      </c>
      <c r="L286" s="7">
        <v>0.86399999999999999</v>
      </c>
      <c r="M286" s="7">
        <v>0.86399999999999999</v>
      </c>
      <c r="N286" s="7">
        <v>0.86399999999999999</v>
      </c>
      <c r="O286" s="7">
        <v>0.86399999999999999</v>
      </c>
      <c r="P286" s="7">
        <v>0.86399999999999999</v>
      </c>
      <c r="Q286" s="7">
        <v>0.86399999999999999</v>
      </c>
    </row>
    <row r="287" spans="1:17">
      <c r="A287" s="2">
        <v>2235</v>
      </c>
      <c r="B287" s="7">
        <v>0.6</v>
      </c>
      <c r="C287" s="7">
        <v>0.6</v>
      </c>
      <c r="D287" s="7">
        <v>0.6</v>
      </c>
      <c r="E287" s="7">
        <v>0.6</v>
      </c>
      <c r="F287" s="7">
        <v>0.6</v>
      </c>
      <c r="G287" s="7">
        <v>0.66</v>
      </c>
      <c r="H287" s="7">
        <v>0.66</v>
      </c>
      <c r="I287" s="7">
        <v>0.86</v>
      </c>
      <c r="J287" s="7">
        <v>0.86</v>
      </c>
      <c r="K287" s="7">
        <v>0.86</v>
      </c>
      <c r="L287" s="7">
        <v>0.86</v>
      </c>
      <c r="M287" s="7">
        <v>0.86</v>
      </c>
      <c r="N287" s="7">
        <v>0.86</v>
      </c>
      <c r="O287" s="7">
        <v>0.86</v>
      </c>
      <c r="P287" s="7">
        <v>0.86</v>
      </c>
      <c r="Q287" s="7">
        <v>0.86</v>
      </c>
    </row>
    <row r="288" spans="1:17">
      <c r="A288" s="2">
        <v>2236</v>
      </c>
      <c r="B288" s="7">
        <v>0.6</v>
      </c>
      <c r="C288" s="7">
        <v>0.6</v>
      </c>
      <c r="D288" s="7">
        <v>0.6</v>
      </c>
      <c r="E288" s="7">
        <v>0.6</v>
      </c>
      <c r="F288" s="7">
        <v>0.6</v>
      </c>
      <c r="G288" s="7">
        <v>0.65600000000000003</v>
      </c>
      <c r="H288" s="7">
        <v>0.65600000000000003</v>
      </c>
      <c r="I288" s="7">
        <v>0.85599999999999998</v>
      </c>
      <c r="J288" s="7">
        <v>0.85599999999999998</v>
      </c>
      <c r="K288" s="7">
        <v>0.85599999999999998</v>
      </c>
      <c r="L288" s="7">
        <v>0.85599999999999998</v>
      </c>
      <c r="M288" s="7">
        <v>0.85599999999999998</v>
      </c>
      <c r="N288" s="7">
        <v>0.85599999999999998</v>
      </c>
      <c r="O288" s="7">
        <v>0.85599999999999998</v>
      </c>
      <c r="P288" s="7">
        <v>0.85599999999999998</v>
      </c>
      <c r="Q288" s="7">
        <v>0.85599999999999998</v>
      </c>
    </row>
    <row r="289" spans="1:17">
      <c r="A289" s="2">
        <v>2237</v>
      </c>
      <c r="B289" s="7">
        <v>0.6</v>
      </c>
      <c r="C289" s="7">
        <v>0.6</v>
      </c>
      <c r="D289" s="7">
        <v>0.6</v>
      </c>
      <c r="E289" s="7">
        <v>0.6</v>
      </c>
      <c r="F289" s="7">
        <v>0.6</v>
      </c>
      <c r="G289" s="7">
        <v>0.65200000000000002</v>
      </c>
      <c r="H289" s="7">
        <v>0.65200000000000002</v>
      </c>
      <c r="I289" s="7">
        <v>0.85199999999999998</v>
      </c>
      <c r="J289" s="7">
        <v>0.85199999999999998</v>
      </c>
      <c r="K289" s="7">
        <v>0.85199999999999998</v>
      </c>
      <c r="L289" s="7">
        <v>0.85199999999999998</v>
      </c>
      <c r="M289" s="7">
        <v>0.85199999999999998</v>
      </c>
      <c r="N289" s="7">
        <v>0.85199999999999998</v>
      </c>
      <c r="O289" s="7">
        <v>0.85199999999999998</v>
      </c>
      <c r="P289" s="7">
        <v>0.85199999999999998</v>
      </c>
      <c r="Q289" s="7">
        <v>0.85199999999999998</v>
      </c>
    </row>
    <row r="290" spans="1:17">
      <c r="A290" s="2">
        <v>2238</v>
      </c>
      <c r="B290" s="7">
        <v>0.6</v>
      </c>
      <c r="C290" s="7">
        <v>0.6</v>
      </c>
      <c r="D290" s="7">
        <v>0.6</v>
      </c>
      <c r="E290" s="7">
        <v>0.6</v>
      </c>
      <c r="F290" s="7">
        <v>0.6</v>
      </c>
      <c r="G290" s="7">
        <v>0.64800000000000002</v>
      </c>
      <c r="H290" s="7">
        <v>0.64800000000000002</v>
      </c>
      <c r="I290" s="7">
        <v>0.84799999999999998</v>
      </c>
      <c r="J290" s="7">
        <v>0.84799999999999998</v>
      </c>
      <c r="K290" s="7">
        <v>0.84799999999999998</v>
      </c>
      <c r="L290" s="7">
        <v>0.84799999999999998</v>
      </c>
      <c r="M290" s="7">
        <v>0.84799999999999998</v>
      </c>
      <c r="N290" s="7">
        <v>0.84799999999999998</v>
      </c>
      <c r="O290" s="7">
        <v>0.84799999999999998</v>
      </c>
      <c r="P290" s="7">
        <v>0.84799999999999998</v>
      </c>
      <c r="Q290" s="7">
        <v>0.84799999999999998</v>
      </c>
    </row>
    <row r="291" spans="1:17">
      <c r="A291" s="2">
        <v>2239</v>
      </c>
      <c r="B291" s="7">
        <v>0.6</v>
      </c>
      <c r="C291" s="7">
        <v>0.6</v>
      </c>
      <c r="D291" s="7">
        <v>0.6</v>
      </c>
      <c r="E291" s="7">
        <v>0.6</v>
      </c>
      <c r="F291" s="7">
        <v>0.6</v>
      </c>
      <c r="G291" s="7">
        <v>0.64400000000000002</v>
      </c>
      <c r="H291" s="7">
        <v>0.64400000000000002</v>
      </c>
      <c r="I291" s="7">
        <v>0.84399999999999997</v>
      </c>
      <c r="J291" s="7">
        <v>0.84399999999999997</v>
      </c>
      <c r="K291" s="7">
        <v>0.84399999999999997</v>
      </c>
      <c r="L291" s="7">
        <v>0.84399999999999997</v>
      </c>
      <c r="M291" s="7">
        <v>0.84399999999999997</v>
      </c>
      <c r="N291" s="7">
        <v>0.84399999999999997</v>
      </c>
      <c r="O291" s="7">
        <v>0.84399999999999997</v>
      </c>
      <c r="P291" s="7">
        <v>0.84399999999999997</v>
      </c>
      <c r="Q291" s="7">
        <v>0.84399999999999997</v>
      </c>
    </row>
    <row r="292" spans="1:17">
      <c r="A292" s="2">
        <v>2240</v>
      </c>
      <c r="B292" s="7">
        <v>0.6</v>
      </c>
      <c r="C292" s="7">
        <v>0.6</v>
      </c>
      <c r="D292" s="7">
        <v>0.6</v>
      </c>
      <c r="E292" s="7">
        <v>0.6</v>
      </c>
      <c r="F292" s="7">
        <v>0.6</v>
      </c>
      <c r="G292" s="7">
        <v>0.64</v>
      </c>
      <c r="H292" s="7">
        <v>0.64</v>
      </c>
      <c r="I292" s="7">
        <v>0.84</v>
      </c>
      <c r="J292" s="7">
        <v>0.84</v>
      </c>
      <c r="K292" s="7">
        <v>0.84</v>
      </c>
      <c r="L292" s="7">
        <v>0.84</v>
      </c>
      <c r="M292" s="7">
        <v>0.84</v>
      </c>
      <c r="N292" s="7">
        <v>0.84</v>
      </c>
      <c r="O292" s="7">
        <v>0.84</v>
      </c>
      <c r="P292" s="7">
        <v>0.84</v>
      </c>
      <c r="Q292" s="7">
        <v>0.84</v>
      </c>
    </row>
    <row r="293" spans="1:17">
      <c r="A293" s="2">
        <v>2241</v>
      </c>
      <c r="B293" s="7">
        <v>0.6</v>
      </c>
      <c r="C293" s="7">
        <v>0.6</v>
      </c>
      <c r="D293" s="7">
        <v>0.6</v>
      </c>
      <c r="E293" s="7">
        <v>0.6</v>
      </c>
      <c r="F293" s="7">
        <v>0.6</v>
      </c>
      <c r="G293" s="7">
        <v>0.63600000000000001</v>
      </c>
      <c r="H293" s="7">
        <v>0.63600000000000001</v>
      </c>
      <c r="I293" s="7">
        <v>0.83599999999999997</v>
      </c>
      <c r="J293" s="7">
        <v>0.83599999999999997</v>
      </c>
      <c r="K293" s="7">
        <v>0.83599999999999997</v>
      </c>
      <c r="L293" s="7">
        <v>0.83599999999999997</v>
      </c>
      <c r="M293" s="7">
        <v>0.83599999999999997</v>
      </c>
      <c r="N293" s="7">
        <v>0.83599999999999997</v>
      </c>
      <c r="O293" s="7">
        <v>0.83599999999999997</v>
      </c>
      <c r="P293" s="7">
        <v>0.83599999999999997</v>
      </c>
      <c r="Q293" s="7">
        <v>0.83599999999999997</v>
      </c>
    </row>
    <row r="294" spans="1:17">
      <c r="A294" s="2">
        <v>2242</v>
      </c>
      <c r="B294" s="7">
        <v>0.6</v>
      </c>
      <c r="C294" s="7">
        <v>0.6</v>
      </c>
      <c r="D294" s="7">
        <v>0.6</v>
      </c>
      <c r="E294" s="7">
        <v>0.6</v>
      </c>
      <c r="F294" s="7">
        <v>0.6</v>
      </c>
      <c r="G294" s="7">
        <v>0.63200000000000001</v>
      </c>
      <c r="H294" s="7">
        <v>0.63200000000000001</v>
      </c>
      <c r="I294" s="7">
        <v>0.83199999999999996</v>
      </c>
      <c r="J294" s="7">
        <v>0.83199999999999996</v>
      </c>
      <c r="K294" s="7">
        <v>0.83199999999999996</v>
      </c>
      <c r="L294" s="7">
        <v>0.83199999999999996</v>
      </c>
      <c r="M294" s="7">
        <v>0.83199999999999996</v>
      </c>
      <c r="N294" s="7">
        <v>0.83199999999999996</v>
      </c>
      <c r="O294" s="7">
        <v>0.83199999999999996</v>
      </c>
      <c r="P294" s="7">
        <v>0.83199999999999996</v>
      </c>
      <c r="Q294" s="7">
        <v>0.83199999999999996</v>
      </c>
    </row>
    <row r="295" spans="1:17">
      <c r="A295" s="2">
        <v>2243</v>
      </c>
      <c r="B295" s="7">
        <v>0.6</v>
      </c>
      <c r="C295" s="7">
        <v>0.6</v>
      </c>
      <c r="D295" s="7">
        <v>0.6</v>
      </c>
      <c r="E295" s="7">
        <v>0.6</v>
      </c>
      <c r="F295" s="7">
        <v>0.6</v>
      </c>
      <c r="G295" s="7">
        <v>0.628</v>
      </c>
      <c r="H295" s="7">
        <v>0.628</v>
      </c>
      <c r="I295" s="7">
        <v>0.82799999999999996</v>
      </c>
      <c r="J295" s="7">
        <v>0.82799999999999996</v>
      </c>
      <c r="K295" s="7">
        <v>0.82799999999999996</v>
      </c>
      <c r="L295" s="7">
        <v>0.82799999999999996</v>
      </c>
      <c r="M295" s="7">
        <v>0.82799999999999996</v>
      </c>
      <c r="N295" s="7">
        <v>0.82799999999999996</v>
      </c>
      <c r="O295" s="7">
        <v>0.82799999999999996</v>
      </c>
      <c r="P295" s="7">
        <v>0.82799999999999996</v>
      </c>
      <c r="Q295" s="7">
        <v>0.82799999999999996</v>
      </c>
    </row>
    <row r="296" spans="1:17">
      <c r="A296" s="2">
        <v>2244</v>
      </c>
      <c r="B296" s="7">
        <v>0.6</v>
      </c>
      <c r="C296" s="7">
        <v>0.6</v>
      </c>
      <c r="D296" s="7">
        <v>0.6</v>
      </c>
      <c r="E296" s="7">
        <v>0.6</v>
      </c>
      <c r="F296" s="7">
        <v>0.6</v>
      </c>
      <c r="G296" s="7">
        <v>0.624</v>
      </c>
      <c r="H296" s="7">
        <v>0.624</v>
      </c>
      <c r="I296" s="7">
        <v>0.82399999999999995</v>
      </c>
      <c r="J296" s="7">
        <v>0.82399999999999995</v>
      </c>
      <c r="K296" s="7">
        <v>0.82399999999999995</v>
      </c>
      <c r="L296" s="7">
        <v>0.82399999999999995</v>
      </c>
      <c r="M296" s="7">
        <v>0.82399999999999995</v>
      </c>
      <c r="N296" s="7">
        <v>0.82399999999999995</v>
      </c>
      <c r="O296" s="7">
        <v>0.82399999999999995</v>
      </c>
      <c r="P296" s="7">
        <v>0.82399999999999995</v>
      </c>
      <c r="Q296" s="7">
        <v>0.82399999999999995</v>
      </c>
    </row>
    <row r="297" spans="1:17">
      <c r="A297" s="2">
        <v>2245</v>
      </c>
      <c r="B297" s="7">
        <v>0.6</v>
      </c>
      <c r="C297" s="7">
        <v>0.6</v>
      </c>
      <c r="D297" s="7">
        <v>0.6</v>
      </c>
      <c r="E297" s="7">
        <v>0.6</v>
      </c>
      <c r="F297" s="7">
        <v>0.6</v>
      </c>
      <c r="G297" s="7">
        <v>0.62</v>
      </c>
      <c r="H297" s="7">
        <v>0.62</v>
      </c>
      <c r="I297" s="7">
        <v>0.82</v>
      </c>
      <c r="J297" s="7">
        <v>0.82</v>
      </c>
      <c r="K297" s="7">
        <v>0.82</v>
      </c>
      <c r="L297" s="7">
        <v>0.82</v>
      </c>
      <c r="M297" s="7">
        <v>0.82</v>
      </c>
      <c r="N297" s="7">
        <v>0.82</v>
      </c>
      <c r="O297" s="7">
        <v>0.82</v>
      </c>
      <c r="P297" s="7">
        <v>0.82</v>
      </c>
      <c r="Q297" s="7">
        <v>0.82</v>
      </c>
    </row>
    <row r="298" spans="1:17">
      <c r="A298" s="2">
        <v>2246</v>
      </c>
      <c r="B298" s="7">
        <v>0.6</v>
      </c>
      <c r="C298" s="7">
        <v>0.6</v>
      </c>
      <c r="D298" s="7">
        <v>0.6</v>
      </c>
      <c r="E298" s="7">
        <v>0.6</v>
      </c>
      <c r="F298" s="7">
        <v>0.6</v>
      </c>
      <c r="G298" s="7">
        <v>0.61599999999999999</v>
      </c>
      <c r="H298" s="7">
        <v>0.61599999999999999</v>
      </c>
      <c r="I298" s="7">
        <v>0.81599999999999995</v>
      </c>
      <c r="J298" s="7">
        <v>0.81599999999999995</v>
      </c>
      <c r="K298" s="7">
        <v>0.81599999999999995</v>
      </c>
      <c r="L298" s="7">
        <v>0.81599999999999995</v>
      </c>
      <c r="M298" s="7">
        <v>0.81599999999999995</v>
      </c>
      <c r="N298" s="7">
        <v>0.81599999999999995</v>
      </c>
      <c r="O298" s="7">
        <v>0.81599999999999995</v>
      </c>
      <c r="P298" s="7">
        <v>0.81599999999999995</v>
      </c>
      <c r="Q298" s="7">
        <v>0.81599999999999995</v>
      </c>
    </row>
    <row r="299" spans="1:17">
      <c r="A299" s="2">
        <v>2247</v>
      </c>
      <c r="B299" s="7">
        <v>0.6</v>
      </c>
      <c r="C299" s="7">
        <v>0.6</v>
      </c>
      <c r="D299" s="7">
        <v>0.6</v>
      </c>
      <c r="E299" s="7">
        <v>0.6</v>
      </c>
      <c r="F299" s="7">
        <v>0.6</v>
      </c>
      <c r="G299" s="7">
        <v>0.61199999999999999</v>
      </c>
      <c r="H299" s="7">
        <v>0.61199999999999999</v>
      </c>
      <c r="I299" s="7">
        <v>0.81200000000000006</v>
      </c>
      <c r="J299" s="7">
        <v>0.81200000000000006</v>
      </c>
      <c r="K299" s="7">
        <v>0.81200000000000006</v>
      </c>
      <c r="L299" s="7">
        <v>0.81200000000000006</v>
      </c>
      <c r="M299" s="7">
        <v>0.81200000000000006</v>
      </c>
      <c r="N299" s="7">
        <v>0.81200000000000006</v>
      </c>
      <c r="O299" s="7">
        <v>0.81200000000000006</v>
      </c>
      <c r="P299" s="7">
        <v>0.81200000000000006</v>
      </c>
      <c r="Q299" s="7">
        <v>0.81200000000000006</v>
      </c>
    </row>
    <row r="300" spans="1:17">
      <c r="A300" s="2">
        <v>2248</v>
      </c>
      <c r="B300" s="7">
        <v>0.6</v>
      </c>
      <c r="C300" s="7">
        <v>0.6</v>
      </c>
      <c r="D300" s="7">
        <v>0.6</v>
      </c>
      <c r="E300" s="7">
        <v>0.6</v>
      </c>
      <c r="F300" s="7">
        <v>0.6</v>
      </c>
      <c r="G300" s="7">
        <v>0.60799999999999998</v>
      </c>
      <c r="H300" s="7">
        <v>0.60799999999999998</v>
      </c>
      <c r="I300" s="7">
        <v>0.80800000000000005</v>
      </c>
      <c r="J300" s="7">
        <v>0.80800000000000005</v>
      </c>
      <c r="K300" s="7">
        <v>0.80800000000000005</v>
      </c>
      <c r="L300" s="7">
        <v>0.80800000000000005</v>
      </c>
      <c r="M300" s="7">
        <v>0.80800000000000005</v>
      </c>
      <c r="N300" s="7">
        <v>0.80800000000000005</v>
      </c>
      <c r="O300" s="7">
        <v>0.80800000000000005</v>
      </c>
      <c r="P300" s="7">
        <v>0.80800000000000005</v>
      </c>
      <c r="Q300" s="7">
        <v>0.80800000000000005</v>
      </c>
    </row>
    <row r="301" spans="1:17">
      <c r="A301" s="2">
        <v>2249</v>
      </c>
      <c r="B301" s="7">
        <v>0.6</v>
      </c>
      <c r="C301" s="7">
        <v>0.6</v>
      </c>
      <c r="D301" s="7">
        <v>0.6</v>
      </c>
      <c r="E301" s="7">
        <v>0.6</v>
      </c>
      <c r="F301" s="7">
        <v>0.6</v>
      </c>
      <c r="G301" s="7">
        <v>0.60399999999999998</v>
      </c>
      <c r="H301" s="7">
        <v>0.60399999999999998</v>
      </c>
      <c r="I301" s="7">
        <v>0.80400000000000005</v>
      </c>
      <c r="J301" s="7">
        <v>0.80400000000000005</v>
      </c>
      <c r="K301" s="7">
        <v>0.80400000000000005</v>
      </c>
      <c r="L301" s="7">
        <v>0.80400000000000005</v>
      </c>
      <c r="M301" s="7">
        <v>0.80400000000000005</v>
      </c>
      <c r="N301" s="7">
        <v>0.80400000000000005</v>
      </c>
      <c r="O301" s="7">
        <v>0.80400000000000005</v>
      </c>
      <c r="P301" s="7">
        <v>0.80400000000000005</v>
      </c>
      <c r="Q301" s="7">
        <v>0.80400000000000005</v>
      </c>
    </row>
    <row r="302" spans="1:17">
      <c r="A302" s="2">
        <v>2250</v>
      </c>
      <c r="B302" s="7">
        <v>0.6</v>
      </c>
      <c r="C302" s="7">
        <v>0.6</v>
      </c>
      <c r="D302" s="7">
        <v>0.6</v>
      </c>
      <c r="E302" s="7">
        <v>0.6</v>
      </c>
      <c r="F302" s="7">
        <v>0.6</v>
      </c>
      <c r="G302" s="7">
        <v>0.6</v>
      </c>
      <c r="H302" s="7">
        <v>0.6</v>
      </c>
      <c r="I302" s="7">
        <v>0.8</v>
      </c>
      <c r="J302" s="7">
        <v>0.8</v>
      </c>
      <c r="K302" s="7">
        <v>0.8</v>
      </c>
      <c r="L302" s="7">
        <v>0.8</v>
      </c>
      <c r="M302" s="7">
        <v>0.8</v>
      </c>
      <c r="N302" s="7">
        <v>0.8</v>
      </c>
      <c r="O302" s="7">
        <v>0.8</v>
      </c>
      <c r="P302" s="7">
        <v>0.8</v>
      </c>
      <c r="Q302" s="7">
        <v>0.8</v>
      </c>
    </row>
    <row r="303" spans="1:17">
      <c r="A303" s="2">
        <v>2251</v>
      </c>
      <c r="B303" s="7">
        <v>0.6</v>
      </c>
      <c r="C303" s="7">
        <v>0.6</v>
      </c>
      <c r="D303" s="7">
        <v>0.6</v>
      </c>
      <c r="E303" s="7">
        <v>0.6</v>
      </c>
      <c r="F303" s="7">
        <v>0.6</v>
      </c>
      <c r="G303" s="7">
        <v>0.6</v>
      </c>
      <c r="H303" s="7">
        <v>0.6</v>
      </c>
      <c r="I303" s="7">
        <v>0.79600000000000004</v>
      </c>
      <c r="J303" s="7">
        <v>0.79600000000000004</v>
      </c>
      <c r="K303" s="7">
        <v>0.79600000000000004</v>
      </c>
      <c r="L303" s="7">
        <v>0.79600000000000004</v>
      </c>
      <c r="M303" s="7">
        <v>0.79600000000000004</v>
      </c>
      <c r="N303" s="7">
        <v>0.79600000000000004</v>
      </c>
      <c r="O303" s="7">
        <v>0.79600000000000004</v>
      </c>
      <c r="P303" s="7">
        <v>0.79600000000000004</v>
      </c>
      <c r="Q303" s="7">
        <v>0.79600000000000004</v>
      </c>
    </row>
    <row r="304" spans="1:17">
      <c r="A304" s="2">
        <v>2252</v>
      </c>
      <c r="B304" s="7">
        <v>0.6</v>
      </c>
      <c r="C304" s="7">
        <v>0.6</v>
      </c>
      <c r="D304" s="7">
        <v>0.6</v>
      </c>
      <c r="E304" s="7">
        <v>0.6</v>
      </c>
      <c r="F304" s="7">
        <v>0.6</v>
      </c>
      <c r="G304" s="7">
        <v>0.6</v>
      </c>
      <c r="H304" s="7">
        <v>0.6</v>
      </c>
      <c r="I304" s="7">
        <v>0.79200000000000004</v>
      </c>
      <c r="J304" s="7">
        <v>0.79200000000000004</v>
      </c>
      <c r="K304" s="7">
        <v>0.79200000000000004</v>
      </c>
      <c r="L304" s="7">
        <v>0.79200000000000004</v>
      </c>
      <c r="M304" s="7">
        <v>0.79200000000000004</v>
      </c>
      <c r="N304" s="7">
        <v>0.79200000000000004</v>
      </c>
      <c r="O304" s="7">
        <v>0.79200000000000004</v>
      </c>
      <c r="P304" s="7">
        <v>0.79200000000000004</v>
      </c>
      <c r="Q304" s="7">
        <v>0.79200000000000004</v>
      </c>
    </row>
    <row r="305" spans="1:17">
      <c r="A305" s="2">
        <v>2253</v>
      </c>
      <c r="B305" s="7">
        <v>0.6</v>
      </c>
      <c r="C305" s="7">
        <v>0.6</v>
      </c>
      <c r="D305" s="7">
        <v>0.6</v>
      </c>
      <c r="E305" s="7">
        <v>0.6</v>
      </c>
      <c r="F305" s="7">
        <v>0.6</v>
      </c>
      <c r="G305" s="7">
        <v>0.6</v>
      </c>
      <c r="H305" s="7">
        <v>0.6</v>
      </c>
      <c r="I305" s="7">
        <v>0.78800000000000003</v>
      </c>
      <c r="J305" s="7">
        <v>0.78800000000000003</v>
      </c>
      <c r="K305" s="7">
        <v>0.78800000000000003</v>
      </c>
      <c r="L305" s="7">
        <v>0.78800000000000003</v>
      </c>
      <c r="M305" s="7">
        <v>0.78800000000000003</v>
      </c>
      <c r="N305" s="7">
        <v>0.78800000000000003</v>
      </c>
      <c r="O305" s="7">
        <v>0.78800000000000003</v>
      </c>
      <c r="P305" s="7">
        <v>0.78800000000000003</v>
      </c>
      <c r="Q305" s="7">
        <v>0.78800000000000003</v>
      </c>
    </row>
    <row r="306" spans="1:17">
      <c r="A306" s="2">
        <v>2254</v>
      </c>
      <c r="B306" s="7">
        <v>0.6</v>
      </c>
      <c r="C306" s="7">
        <v>0.6</v>
      </c>
      <c r="D306" s="7">
        <v>0.6</v>
      </c>
      <c r="E306" s="7">
        <v>0.6</v>
      </c>
      <c r="F306" s="7">
        <v>0.6</v>
      </c>
      <c r="G306" s="7">
        <v>0.6</v>
      </c>
      <c r="H306" s="7">
        <v>0.6</v>
      </c>
      <c r="I306" s="7">
        <v>0.78400000000000003</v>
      </c>
      <c r="J306" s="7">
        <v>0.78400000000000003</v>
      </c>
      <c r="K306" s="7">
        <v>0.78400000000000003</v>
      </c>
      <c r="L306" s="7">
        <v>0.78400000000000003</v>
      </c>
      <c r="M306" s="7">
        <v>0.78400000000000003</v>
      </c>
      <c r="N306" s="7">
        <v>0.78400000000000003</v>
      </c>
      <c r="O306" s="7">
        <v>0.78400000000000003</v>
      </c>
      <c r="P306" s="7">
        <v>0.78400000000000003</v>
      </c>
      <c r="Q306" s="7">
        <v>0.78400000000000003</v>
      </c>
    </row>
    <row r="307" spans="1:17">
      <c r="A307" s="2">
        <v>2255</v>
      </c>
      <c r="B307" s="7">
        <v>0.6</v>
      </c>
      <c r="C307" s="7">
        <v>0.6</v>
      </c>
      <c r="D307" s="7">
        <v>0.6</v>
      </c>
      <c r="E307" s="7">
        <v>0.6</v>
      </c>
      <c r="F307" s="7">
        <v>0.6</v>
      </c>
      <c r="G307" s="7">
        <v>0.6</v>
      </c>
      <c r="H307" s="7">
        <v>0.6</v>
      </c>
      <c r="I307" s="7">
        <v>0.78</v>
      </c>
      <c r="J307" s="7">
        <v>0.78</v>
      </c>
      <c r="K307" s="7">
        <v>0.78</v>
      </c>
      <c r="L307" s="7">
        <v>0.78</v>
      </c>
      <c r="M307" s="7">
        <v>0.78</v>
      </c>
      <c r="N307" s="7">
        <v>0.78</v>
      </c>
      <c r="O307" s="7">
        <v>0.78</v>
      </c>
      <c r="P307" s="7">
        <v>0.78</v>
      </c>
      <c r="Q307" s="7">
        <v>0.78</v>
      </c>
    </row>
    <row r="308" spans="1:17">
      <c r="A308" s="2">
        <v>2256</v>
      </c>
      <c r="B308" s="7">
        <v>0.6</v>
      </c>
      <c r="C308" s="7">
        <v>0.6</v>
      </c>
      <c r="D308" s="7">
        <v>0.6</v>
      </c>
      <c r="E308" s="7">
        <v>0.6</v>
      </c>
      <c r="F308" s="7">
        <v>0.6</v>
      </c>
      <c r="G308" s="7">
        <v>0.6</v>
      </c>
      <c r="H308" s="7">
        <v>0.6</v>
      </c>
      <c r="I308" s="7">
        <v>0.77600000000000002</v>
      </c>
      <c r="J308" s="7">
        <v>0.77600000000000002</v>
      </c>
      <c r="K308" s="7">
        <v>0.77600000000000002</v>
      </c>
      <c r="L308" s="7">
        <v>0.77600000000000002</v>
      </c>
      <c r="M308" s="7">
        <v>0.77600000000000002</v>
      </c>
      <c r="N308" s="7">
        <v>0.77600000000000002</v>
      </c>
      <c r="O308" s="7">
        <v>0.77600000000000002</v>
      </c>
      <c r="P308" s="7">
        <v>0.77600000000000002</v>
      </c>
      <c r="Q308" s="7">
        <v>0.77600000000000002</v>
      </c>
    </row>
    <row r="309" spans="1:17">
      <c r="A309" s="2">
        <v>2257</v>
      </c>
      <c r="B309" s="7">
        <v>0.6</v>
      </c>
      <c r="C309" s="7">
        <v>0.6</v>
      </c>
      <c r="D309" s="7">
        <v>0.6</v>
      </c>
      <c r="E309" s="7">
        <v>0.6</v>
      </c>
      <c r="F309" s="7">
        <v>0.6</v>
      </c>
      <c r="G309" s="7">
        <v>0.6</v>
      </c>
      <c r="H309" s="7">
        <v>0.6</v>
      </c>
      <c r="I309" s="7">
        <v>0.77200000000000002</v>
      </c>
      <c r="J309" s="7">
        <v>0.77200000000000002</v>
      </c>
      <c r="K309" s="7">
        <v>0.77200000000000002</v>
      </c>
      <c r="L309" s="7">
        <v>0.77200000000000002</v>
      </c>
      <c r="M309" s="7">
        <v>0.77200000000000002</v>
      </c>
      <c r="N309" s="7">
        <v>0.77200000000000002</v>
      </c>
      <c r="O309" s="7">
        <v>0.77200000000000002</v>
      </c>
      <c r="P309" s="7">
        <v>0.77200000000000002</v>
      </c>
      <c r="Q309" s="7">
        <v>0.77200000000000002</v>
      </c>
    </row>
    <row r="310" spans="1:17">
      <c r="A310" s="2">
        <v>2258</v>
      </c>
      <c r="B310" s="7">
        <v>0.6</v>
      </c>
      <c r="C310" s="7">
        <v>0.6</v>
      </c>
      <c r="D310" s="7">
        <v>0.6</v>
      </c>
      <c r="E310" s="7">
        <v>0.6</v>
      </c>
      <c r="F310" s="7">
        <v>0.6</v>
      </c>
      <c r="G310" s="7">
        <v>0.6</v>
      </c>
      <c r="H310" s="7">
        <v>0.6</v>
      </c>
      <c r="I310" s="7">
        <v>0.76800000000000002</v>
      </c>
      <c r="J310" s="7">
        <v>0.76800000000000002</v>
      </c>
      <c r="K310" s="7">
        <v>0.76800000000000002</v>
      </c>
      <c r="L310" s="7">
        <v>0.76800000000000002</v>
      </c>
      <c r="M310" s="7">
        <v>0.76800000000000002</v>
      </c>
      <c r="N310" s="7">
        <v>0.76800000000000002</v>
      </c>
      <c r="O310" s="7">
        <v>0.76800000000000002</v>
      </c>
      <c r="P310" s="7">
        <v>0.76800000000000002</v>
      </c>
      <c r="Q310" s="7">
        <v>0.76800000000000002</v>
      </c>
    </row>
    <row r="311" spans="1:17">
      <c r="A311" s="2">
        <v>2259</v>
      </c>
      <c r="B311" s="7">
        <v>0.6</v>
      </c>
      <c r="C311" s="7">
        <v>0.6</v>
      </c>
      <c r="D311" s="7">
        <v>0.6</v>
      </c>
      <c r="E311" s="7">
        <v>0.6</v>
      </c>
      <c r="F311" s="7">
        <v>0.6</v>
      </c>
      <c r="G311" s="7">
        <v>0.6</v>
      </c>
      <c r="H311" s="7">
        <v>0.6</v>
      </c>
      <c r="I311" s="7">
        <v>0.76400000000000001</v>
      </c>
      <c r="J311" s="7">
        <v>0.76400000000000001</v>
      </c>
      <c r="K311" s="7">
        <v>0.76400000000000001</v>
      </c>
      <c r="L311" s="7">
        <v>0.76400000000000001</v>
      </c>
      <c r="M311" s="7">
        <v>0.76400000000000001</v>
      </c>
      <c r="N311" s="7">
        <v>0.76400000000000001</v>
      </c>
      <c r="O311" s="7">
        <v>0.76400000000000001</v>
      </c>
      <c r="P311" s="7">
        <v>0.76400000000000001</v>
      </c>
      <c r="Q311" s="7">
        <v>0.76400000000000001</v>
      </c>
    </row>
    <row r="312" spans="1:17">
      <c r="A312" s="2">
        <v>2260</v>
      </c>
      <c r="B312" s="7">
        <v>0.6</v>
      </c>
      <c r="C312" s="7">
        <v>0.6</v>
      </c>
      <c r="D312" s="7">
        <v>0.6</v>
      </c>
      <c r="E312" s="7">
        <v>0.6</v>
      </c>
      <c r="F312" s="7">
        <v>0.6</v>
      </c>
      <c r="G312" s="7">
        <v>0.6</v>
      </c>
      <c r="H312" s="7">
        <v>0.6</v>
      </c>
      <c r="I312" s="7">
        <v>0.76</v>
      </c>
      <c r="J312" s="7">
        <v>0.76</v>
      </c>
      <c r="K312" s="7">
        <v>0.76</v>
      </c>
      <c r="L312" s="7">
        <v>0.76</v>
      </c>
      <c r="M312" s="7">
        <v>0.76</v>
      </c>
      <c r="N312" s="7">
        <v>0.76</v>
      </c>
      <c r="O312" s="7">
        <v>0.76</v>
      </c>
      <c r="P312" s="7">
        <v>0.76</v>
      </c>
      <c r="Q312" s="7">
        <v>0.76</v>
      </c>
    </row>
    <row r="313" spans="1:17">
      <c r="A313" s="2">
        <v>2261</v>
      </c>
      <c r="B313" s="7">
        <v>0.6</v>
      </c>
      <c r="C313" s="7">
        <v>0.6</v>
      </c>
      <c r="D313" s="7">
        <v>0.6</v>
      </c>
      <c r="E313" s="7">
        <v>0.6</v>
      </c>
      <c r="F313" s="7">
        <v>0.6</v>
      </c>
      <c r="G313" s="7">
        <v>0.6</v>
      </c>
      <c r="H313" s="7">
        <v>0.6</v>
      </c>
      <c r="I313" s="7">
        <v>0.75600000000000001</v>
      </c>
      <c r="J313" s="7">
        <v>0.75600000000000001</v>
      </c>
      <c r="K313" s="7">
        <v>0.75600000000000001</v>
      </c>
      <c r="L313" s="7">
        <v>0.75600000000000001</v>
      </c>
      <c r="M313" s="7">
        <v>0.75600000000000001</v>
      </c>
      <c r="N313" s="7">
        <v>0.75600000000000001</v>
      </c>
      <c r="O313" s="7">
        <v>0.75600000000000001</v>
      </c>
      <c r="P313" s="7">
        <v>0.75600000000000001</v>
      </c>
      <c r="Q313" s="7">
        <v>0.75600000000000001</v>
      </c>
    </row>
    <row r="314" spans="1:17">
      <c r="A314" s="2">
        <v>2262</v>
      </c>
      <c r="B314" s="7">
        <v>0.6</v>
      </c>
      <c r="C314" s="7">
        <v>0.6</v>
      </c>
      <c r="D314" s="7">
        <v>0.6</v>
      </c>
      <c r="E314" s="7">
        <v>0.6</v>
      </c>
      <c r="F314" s="7">
        <v>0.6</v>
      </c>
      <c r="G314" s="7">
        <v>0.6</v>
      </c>
      <c r="H314" s="7">
        <v>0.6</v>
      </c>
      <c r="I314" s="7">
        <v>0.752</v>
      </c>
      <c r="J314" s="7">
        <v>0.752</v>
      </c>
      <c r="K314" s="7">
        <v>0.752</v>
      </c>
      <c r="L314" s="7">
        <v>0.752</v>
      </c>
      <c r="M314" s="7">
        <v>0.752</v>
      </c>
      <c r="N314" s="7">
        <v>0.752</v>
      </c>
      <c r="O314" s="7">
        <v>0.752</v>
      </c>
      <c r="P314" s="7">
        <v>0.752</v>
      </c>
      <c r="Q314" s="7">
        <v>0.752</v>
      </c>
    </row>
    <row r="315" spans="1:17">
      <c r="A315" s="2">
        <v>2263</v>
      </c>
      <c r="B315" s="7">
        <v>0.6</v>
      </c>
      <c r="C315" s="7">
        <v>0.6</v>
      </c>
      <c r="D315" s="7">
        <v>0.6</v>
      </c>
      <c r="E315" s="7">
        <v>0.6</v>
      </c>
      <c r="F315" s="7">
        <v>0.6</v>
      </c>
      <c r="G315" s="7">
        <v>0.6</v>
      </c>
      <c r="H315" s="7">
        <v>0.6</v>
      </c>
      <c r="I315" s="7">
        <v>0.748</v>
      </c>
      <c r="J315" s="7">
        <v>0.748</v>
      </c>
      <c r="K315" s="7">
        <v>0.748</v>
      </c>
      <c r="L315" s="7">
        <v>0.748</v>
      </c>
      <c r="M315" s="7">
        <v>0.748</v>
      </c>
      <c r="N315" s="7">
        <v>0.748</v>
      </c>
      <c r="O315" s="7">
        <v>0.748</v>
      </c>
      <c r="P315" s="7">
        <v>0.748</v>
      </c>
      <c r="Q315" s="7">
        <v>0.748</v>
      </c>
    </row>
    <row r="316" spans="1:17">
      <c r="A316" s="2">
        <v>2264</v>
      </c>
      <c r="B316" s="7">
        <v>0.6</v>
      </c>
      <c r="C316" s="7">
        <v>0.6</v>
      </c>
      <c r="D316" s="7">
        <v>0.6</v>
      </c>
      <c r="E316" s="7">
        <v>0.6</v>
      </c>
      <c r="F316" s="7">
        <v>0.6</v>
      </c>
      <c r="G316" s="7">
        <v>0.6</v>
      </c>
      <c r="H316" s="7">
        <v>0.6</v>
      </c>
      <c r="I316" s="7">
        <v>0.74399999999999999</v>
      </c>
      <c r="J316" s="7">
        <v>0.74399999999999999</v>
      </c>
      <c r="K316" s="7">
        <v>0.74399999999999999</v>
      </c>
      <c r="L316" s="7">
        <v>0.74399999999999999</v>
      </c>
      <c r="M316" s="7">
        <v>0.74399999999999999</v>
      </c>
      <c r="N316" s="7">
        <v>0.74399999999999999</v>
      </c>
      <c r="O316" s="7">
        <v>0.74399999999999999</v>
      </c>
      <c r="P316" s="7">
        <v>0.74399999999999999</v>
      </c>
      <c r="Q316" s="7">
        <v>0.74399999999999999</v>
      </c>
    </row>
    <row r="317" spans="1:17">
      <c r="A317" s="2">
        <v>2265</v>
      </c>
      <c r="B317" s="7">
        <v>0.6</v>
      </c>
      <c r="C317" s="7">
        <v>0.6</v>
      </c>
      <c r="D317" s="7">
        <v>0.6</v>
      </c>
      <c r="E317" s="7">
        <v>0.6</v>
      </c>
      <c r="F317" s="7">
        <v>0.6</v>
      </c>
      <c r="G317" s="7">
        <v>0.6</v>
      </c>
      <c r="H317" s="7">
        <v>0.6</v>
      </c>
      <c r="I317" s="7">
        <v>0.74</v>
      </c>
      <c r="J317" s="7">
        <v>0.74</v>
      </c>
      <c r="K317" s="7">
        <v>0.74</v>
      </c>
      <c r="L317" s="7">
        <v>0.74</v>
      </c>
      <c r="M317" s="7">
        <v>0.74</v>
      </c>
      <c r="N317" s="7">
        <v>0.74</v>
      </c>
      <c r="O317" s="7">
        <v>0.74</v>
      </c>
      <c r="P317" s="7">
        <v>0.74</v>
      </c>
      <c r="Q317" s="7">
        <v>0.74</v>
      </c>
    </row>
    <row r="318" spans="1:17">
      <c r="A318" s="2">
        <v>2266</v>
      </c>
      <c r="B318" s="7">
        <v>0.6</v>
      </c>
      <c r="C318" s="7">
        <v>0.6</v>
      </c>
      <c r="D318" s="7">
        <v>0.6</v>
      </c>
      <c r="E318" s="7">
        <v>0.6</v>
      </c>
      <c r="F318" s="7">
        <v>0.6</v>
      </c>
      <c r="G318" s="7">
        <v>0.6</v>
      </c>
      <c r="H318" s="7">
        <v>0.6</v>
      </c>
      <c r="I318" s="7">
        <v>0.73599999999999999</v>
      </c>
      <c r="J318" s="7">
        <v>0.73599999999999999</v>
      </c>
      <c r="K318" s="7">
        <v>0.73599999999999999</v>
      </c>
      <c r="L318" s="7">
        <v>0.73599999999999999</v>
      </c>
      <c r="M318" s="7">
        <v>0.73599999999999999</v>
      </c>
      <c r="N318" s="7">
        <v>0.73599999999999999</v>
      </c>
      <c r="O318" s="7">
        <v>0.73599999999999999</v>
      </c>
      <c r="P318" s="7">
        <v>0.73599999999999999</v>
      </c>
      <c r="Q318" s="7">
        <v>0.73599999999999999</v>
      </c>
    </row>
    <row r="319" spans="1:17">
      <c r="A319" s="2">
        <v>2267</v>
      </c>
      <c r="B319" s="7">
        <v>0.6</v>
      </c>
      <c r="C319" s="7">
        <v>0.6</v>
      </c>
      <c r="D319" s="7">
        <v>0.6</v>
      </c>
      <c r="E319" s="7">
        <v>0.6</v>
      </c>
      <c r="F319" s="7">
        <v>0.6</v>
      </c>
      <c r="G319" s="7">
        <v>0.6</v>
      </c>
      <c r="H319" s="7">
        <v>0.6</v>
      </c>
      <c r="I319" s="7">
        <v>0.73199999999999998</v>
      </c>
      <c r="J319" s="7">
        <v>0.73199999999999998</v>
      </c>
      <c r="K319" s="7">
        <v>0.73199999999999998</v>
      </c>
      <c r="L319" s="7">
        <v>0.73199999999999998</v>
      </c>
      <c r="M319" s="7">
        <v>0.73199999999999998</v>
      </c>
      <c r="N319" s="7">
        <v>0.73199999999999998</v>
      </c>
      <c r="O319" s="7">
        <v>0.73199999999999998</v>
      </c>
      <c r="P319" s="7">
        <v>0.73199999999999998</v>
      </c>
      <c r="Q319" s="7">
        <v>0.73199999999999998</v>
      </c>
    </row>
    <row r="320" spans="1:17">
      <c r="A320" s="2">
        <v>2268</v>
      </c>
      <c r="B320" s="7">
        <v>0.6</v>
      </c>
      <c r="C320" s="7">
        <v>0.6</v>
      </c>
      <c r="D320" s="7">
        <v>0.6</v>
      </c>
      <c r="E320" s="7">
        <v>0.6</v>
      </c>
      <c r="F320" s="7">
        <v>0.6</v>
      </c>
      <c r="G320" s="7">
        <v>0.6</v>
      </c>
      <c r="H320" s="7">
        <v>0.6</v>
      </c>
      <c r="I320" s="7">
        <v>0.72799999999999998</v>
      </c>
      <c r="J320" s="7">
        <v>0.72799999999999998</v>
      </c>
      <c r="K320" s="7">
        <v>0.72799999999999998</v>
      </c>
      <c r="L320" s="7">
        <v>0.72799999999999998</v>
      </c>
      <c r="M320" s="7">
        <v>0.72799999999999998</v>
      </c>
      <c r="N320" s="7">
        <v>0.72799999999999998</v>
      </c>
      <c r="O320" s="7">
        <v>0.72799999999999998</v>
      </c>
      <c r="P320" s="7">
        <v>0.72799999999999998</v>
      </c>
      <c r="Q320" s="7">
        <v>0.72799999999999998</v>
      </c>
    </row>
    <row r="321" spans="1:17">
      <c r="A321" s="2">
        <v>2269</v>
      </c>
      <c r="B321" s="7">
        <v>0.6</v>
      </c>
      <c r="C321" s="7">
        <v>0.6</v>
      </c>
      <c r="D321" s="7">
        <v>0.6</v>
      </c>
      <c r="E321" s="7">
        <v>0.6</v>
      </c>
      <c r="F321" s="7">
        <v>0.6</v>
      </c>
      <c r="G321" s="7">
        <v>0.6</v>
      </c>
      <c r="H321" s="7">
        <v>0.6</v>
      </c>
      <c r="I321" s="7">
        <v>0.72399999999999998</v>
      </c>
      <c r="J321" s="7">
        <v>0.72399999999999998</v>
      </c>
      <c r="K321" s="7">
        <v>0.72399999999999998</v>
      </c>
      <c r="L321" s="7">
        <v>0.72399999999999998</v>
      </c>
      <c r="M321" s="7">
        <v>0.72399999999999998</v>
      </c>
      <c r="N321" s="7">
        <v>0.72399999999999998</v>
      </c>
      <c r="O321" s="7">
        <v>0.72399999999999998</v>
      </c>
      <c r="P321" s="7">
        <v>0.72399999999999998</v>
      </c>
      <c r="Q321" s="7">
        <v>0.72399999999999998</v>
      </c>
    </row>
    <row r="322" spans="1:17">
      <c r="A322" s="2">
        <v>2270</v>
      </c>
      <c r="B322" s="7">
        <v>0.6</v>
      </c>
      <c r="C322" s="7">
        <v>0.6</v>
      </c>
      <c r="D322" s="7">
        <v>0.6</v>
      </c>
      <c r="E322" s="7">
        <v>0.6</v>
      </c>
      <c r="F322" s="7">
        <v>0.6</v>
      </c>
      <c r="G322" s="7">
        <v>0.6</v>
      </c>
      <c r="H322" s="7">
        <v>0.6</v>
      </c>
      <c r="I322" s="7">
        <v>0.72</v>
      </c>
      <c r="J322" s="7">
        <v>0.72</v>
      </c>
      <c r="K322" s="7">
        <v>0.72</v>
      </c>
      <c r="L322" s="7">
        <v>0.72</v>
      </c>
      <c r="M322" s="7">
        <v>0.72</v>
      </c>
      <c r="N322" s="7">
        <v>0.72</v>
      </c>
      <c r="O322" s="7">
        <v>0.72</v>
      </c>
      <c r="P322" s="7">
        <v>0.72</v>
      </c>
      <c r="Q322" s="7">
        <v>0.72</v>
      </c>
    </row>
    <row r="323" spans="1:17">
      <c r="A323" s="2">
        <v>2271</v>
      </c>
      <c r="B323" s="7">
        <v>0.6</v>
      </c>
      <c r="C323" s="7">
        <v>0.6</v>
      </c>
      <c r="D323" s="7">
        <v>0.6</v>
      </c>
      <c r="E323" s="7">
        <v>0.6</v>
      </c>
      <c r="F323" s="7">
        <v>0.6</v>
      </c>
      <c r="G323" s="7">
        <v>0.6</v>
      </c>
      <c r="H323" s="7">
        <v>0.6</v>
      </c>
      <c r="I323" s="7">
        <v>0.71599999999999997</v>
      </c>
      <c r="J323" s="7">
        <v>0.71599999999999997</v>
      </c>
      <c r="K323" s="7">
        <v>0.71599999999999997</v>
      </c>
      <c r="L323" s="7">
        <v>0.71599999999999997</v>
      </c>
      <c r="M323" s="7">
        <v>0.71599999999999997</v>
      </c>
      <c r="N323" s="7">
        <v>0.71599999999999997</v>
      </c>
      <c r="O323" s="7">
        <v>0.71599999999999997</v>
      </c>
      <c r="P323" s="7">
        <v>0.71599999999999997</v>
      </c>
      <c r="Q323" s="7">
        <v>0.71599999999999997</v>
      </c>
    </row>
    <row r="324" spans="1:17">
      <c r="A324" s="2">
        <v>2272</v>
      </c>
      <c r="B324" s="7">
        <v>0.6</v>
      </c>
      <c r="C324" s="7">
        <v>0.6</v>
      </c>
      <c r="D324" s="7">
        <v>0.6</v>
      </c>
      <c r="E324" s="7">
        <v>0.6</v>
      </c>
      <c r="F324" s="7">
        <v>0.6</v>
      </c>
      <c r="G324" s="7">
        <v>0.6</v>
      </c>
      <c r="H324" s="7">
        <v>0.6</v>
      </c>
      <c r="I324" s="7">
        <v>0.71199999999999997</v>
      </c>
      <c r="J324" s="7">
        <v>0.71199999999999997</v>
      </c>
      <c r="K324" s="7">
        <v>0.71199999999999997</v>
      </c>
      <c r="L324" s="7">
        <v>0.71199999999999997</v>
      </c>
      <c r="M324" s="7">
        <v>0.71199999999999997</v>
      </c>
      <c r="N324" s="7">
        <v>0.71199999999999997</v>
      </c>
      <c r="O324" s="7">
        <v>0.71199999999999997</v>
      </c>
      <c r="P324" s="7">
        <v>0.71199999999999997</v>
      </c>
      <c r="Q324" s="7">
        <v>0.71199999999999997</v>
      </c>
    </row>
    <row r="325" spans="1:17">
      <c r="A325" s="2">
        <v>2273</v>
      </c>
      <c r="B325" s="7">
        <v>0.6</v>
      </c>
      <c r="C325" s="7">
        <v>0.6</v>
      </c>
      <c r="D325" s="7">
        <v>0.6</v>
      </c>
      <c r="E325" s="7">
        <v>0.6</v>
      </c>
      <c r="F325" s="7">
        <v>0.6</v>
      </c>
      <c r="G325" s="7">
        <v>0.6</v>
      </c>
      <c r="H325" s="7">
        <v>0.6</v>
      </c>
      <c r="I325" s="7">
        <v>0.70799999999999996</v>
      </c>
      <c r="J325" s="7">
        <v>0.70799999999999996</v>
      </c>
      <c r="K325" s="7">
        <v>0.70799999999999996</v>
      </c>
      <c r="L325" s="7">
        <v>0.70799999999999996</v>
      </c>
      <c r="M325" s="7">
        <v>0.70799999999999996</v>
      </c>
      <c r="N325" s="7">
        <v>0.70799999999999996</v>
      </c>
      <c r="O325" s="7">
        <v>0.70799999999999996</v>
      </c>
      <c r="P325" s="7">
        <v>0.70799999999999996</v>
      </c>
      <c r="Q325" s="7">
        <v>0.70799999999999996</v>
      </c>
    </row>
    <row r="326" spans="1:17">
      <c r="A326" s="2">
        <v>2274</v>
      </c>
      <c r="B326" s="7">
        <v>0.6</v>
      </c>
      <c r="C326" s="7">
        <v>0.6</v>
      </c>
      <c r="D326" s="7">
        <v>0.6</v>
      </c>
      <c r="E326" s="7">
        <v>0.6</v>
      </c>
      <c r="F326" s="7">
        <v>0.6</v>
      </c>
      <c r="G326" s="7">
        <v>0.6</v>
      </c>
      <c r="H326" s="7">
        <v>0.6</v>
      </c>
      <c r="I326" s="7">
        <v>0.70399999999999996</v>
      </c>
      <c r="J326" s="7">
        <v>0.70399999999999996</v>
      </c>
      <c r="K326" s="7">
        <v>0.70399999999999996</v>
      </c>
      <c r="L326" s="7">
        <v>0.70399999999999996</v>
      </c>
      <c r="M326" s="7">
        <v>0.70399999999999996</v>
      </c>
      <c r="N326" s="7">
        <v>0.70399999999999996</v>
      </c>
      <c r="O326" s="7">
        <v>0.70399999999999996</v>
      </c>
      <c r="P326" s="7">
        <v>0.70399999999999996</v>
      </c>
      <c r="Q326" s="7">
        <v>0.70399999999999996</v>
      </c>
    </row>
    <row r="327" spans="1:17">
      <c r="A327" s="2">
        <v>2275</v>
      </c>
      <c r="B327" s="7">
        <v>0.6</v>
      </c>
      <c r="C327" s="7">
        <v>0.6</v>
      </c>
      <c r="D327" s="7">
        <v>0.6</v>
      </c>
      <c r="E327" s="7">
        <v>0.6</v>
      </c>
      <c r="F327" s="7">
        <v>0.6</v>
      </c>
      <c r="G327" s="7">
        <v>0.6</v>
      </c>
      <c r="H327" s="7">
        <v>0.6</v>
      </c>
      <c r="I327" s="7">
        <v>0.7</v>
      </c>
      <c r="J327" s="7">
        <v>0.7</v>
      </c>
      <c r="K327" s="7">
        <v>0.7</v>
      </c>
      <c r="L327" s="7">
        <v>0.7</v>
      </c>
      <c r="M327" s="7">
        <v>0.7</v>
      </c>
      <c r="N327" s="7">
        <v>0.7</v>
      </c>
      <c r="O327" s="7">
        <v>0.7</v>
      </c>
      <c r="P327" s="7">
        <v>0.7</v>
      </c>
      <c r="Q327" s="7">
        <v>0.7</v>
      </c>
    </row>
    <row r="328" spans="1:17">
      <c r="A328" s="2">
        <v>2276</v>
      </c>
      <c r="B328" s="7">
        <v>0.6</v>
      </c>
      <c r="C328" s="7">
        <v>0.6</v>
      </c>
      <c r="D328" s="7">
        <v>0.6</v>
      </c>
      <c r="E328" s="7">
        <v>0.6</v>
      </c>
      <c r="F328" s="7">
        <v>0.6</v>
      </c>
      <c r="G328" s="7">
        <v>0.6</v>
      </c>
      <c r="H328" s="7">
        <v>0.6</v>
      </c>
      <c r="I328" s="7">
        <v>0.69599999999999995</v>
      </c>
      <c r="J328" s="7">
        <v>0.69599999999999995</v>
      </c>
      <c r="K328" s="7">
        <v>0.69599999999999995</v>
      </c>
      <c r="L328" s="7">
        <v>0.69599999999999995</v>
      </c>
      <c r="M328" s="7">
        <v>0.69599999999999995</v>
      </c>
      <c r="N328" s="7">
        <v>0.69599999999999995</v>
      </c>
      <c r="O328" s="7">
        <v>0.69599999999999995</v>
      </c>
      <c r="P328" s="7">
        <v>0.69599999999999995</v>
      </c>
      <c r="Q328" s="7">
        <v>0.69599999999999995</v>
      </c>
    </row>
    <row r="329" spans="1:17">
      <c r="A329" s="2">
        <v>2277</v>
      </c>
      <c r="B329" s="7">
        <v>0.6</v>
      </c>
      <c r="C329" s="7">
        <v>0.6</v>
      </c>
      <c r="D329" s="7">
        <v>0.6</v>
      </c>
      <c r="E329" s="7">
        <v>0.6</v>
      </c>
      <c r="F329" s="7">
        <v>0.6</v>
      </c>
      <c r="G329" s="7">
        <v>0.6</v>
      </c>
      <c r="H329" s="7">
        <v>0.6</v>
      </c>
      <c r="I329" s="7">
        <v>0.69199999999999995</v>
      </c>
      <c r="J329" s="7">
        <v>0.69199999999999995</v>
      </c>
      <c r="K329" s="7">
        <v>0.69199999999999995</v>
      </c>
      <c r="L329" s="7">
        <v>0.69199999999999995</v>
      </c>
      <c r="M329" s="7">
        <v>0.69199999999999995</v>
      </c>
      <c r="N329" s="7">
        <v>0.69199999999999995</v>
      </c>
      <c r="O329" s="7">
        <v>0.69199999999999995</v>
      </c>
      <c r="P329" s="7">
        <v>0.69199999999999995</v>
      </c>
      <c r="Q329" s="7">
        <v>0.69199999999999995</v>
      </c>
    </row>
    <row r="330" spans="1:17">
      <c r="A330" s="2">
        <v>2278</v>
      </c>
      <c r="B330" s="7">
        <v>0.6</v>
      </c>
      <c r="C330" s="7">
        <v>0.6</v>
      </c>
      <c r="D330" s="7">
        <v>0.6</v>
      </c>
      <c r="E330" s="7">
        <v>0.6</v>
      </c>
      <c r="F330" s="7">
        <v>0.6</v>
      </c>
      <c r="G330" s="7">
        <v>0.6</v>
      </c>
      <c r="H330" s="7">
        <v>0.6</v>
      </c>
      <c r="I330" s="7">
        <v>0.68799999999999994</v>
      </c>
      <c r="J330" s="7">
        <v>0.68799999999999994</v>
      </c>
      <c r="K330" s="7">
        <v>0.68799999999999994</v>
      </c>
      <c r="L330" s="7">
        <v>0.68799999999999994</v>
      </c>
      <c r="M330" s="7">
        <v>0.68799999999999994</v>
      </c>
      <c r="N330" s="7">
        <v>0.68799999999999994</v>
      </c>
      <c r="O330" s="7">
        <v>0.68799999999999994</v>
      </c>
      <c r="P330" s="7">
        <v>0.68799999999999994</v>
      </c>
      <c r="Q330" s="7">
        <v>0.68799999999999994</v>
      </c>
    </row>
    <row r="331" spans="1:17">
      <c r="A331" s="2">
        <v>2279</v>
      </c>
      <c r="B331" s="7">
        <v>0.6</v>
      </c>
      <c r="C331" s="7">
        <v>0.6</v>
      </c>
      <c r="D331" s="7">
        <v>0.6</v>
      </c>
      <c r="E331" s="7">
        <v>0.6</v>
      </c>
      <c r="F331" s="7">
        <v>0.6</v>
      </c>
      <c r="G331" s="7">
        <v>0.6</v>
      </c>
      <c r="H331" s="7">
        <v>0.6</v>
      </c>
      <c r="I331" s="7">
        <v>0.68400000000000005</v>
      </c>
      <c r="J331" s="7">
        <v>0.68400000000000005</v>
      </c>
      <c r="K331" s="7">
        <v>0.68400000000000005</v>
      </c>
      <c r="L331" s="7">
        <v>0.68400000000000005</v>
      </c>
      <c r="M331" s="7">
        <v>0.68400000000000005</v>
      </c>
      <c r="N331" s="7">
        <v>0.68400000000000005</v>
      </c>
      <c r="O331" s="7">
        <v>0.68400000000000005</v>
      </c>
      <c r="P331" s="7">
        <v>0.68400000000000005</v>
      </c>
      <c r="Q331" s="7">
        <v>0.68400000000000005</v>
      </c>
    </row>
    <row r="332" spans="1:17">
      <c r="A332" s="2">
        <v>2280</v>
      </c>
      <c r="B332" s="7">
        <v>0.6</v>
      </c>
      <c r="C332" s="7">
        <v>0.6</v>
      </c>
      <c r="D332" s="7">
        <v>0.6</v>
      </c>
      <c r="E332" s="7">
        <v>0.6</v>
      </c>
      <c r="F332" s="7">
        <v>0.6</v>
      </c>
      <c r="G332" s="7">
        <v>0.6</v>
      </c>
      <c r="H332" s="7">
        <v>0.6</v>
      </c>
      <c r="I332" s="7">
        <v>0.68</v>
      </c>
      <c r="J332" s="7">
        <v>0.68</v>
      </c>
      <c r="K332" s="7">
        <v>0.68</v>
      </c>
      <c r="L332" s="7">
        <v>0.68</v>
      </c>
      <c r="M332" s="7">
        <v>0.68</v>
      </c>
      <c r="N332" s="7">
        <v>0.68</v>
      </c>
      <c r="O332" s="7">
        <v>0.68</v>
      </c>
      <c r="P332" s="7">
        <v>0.68</v>
      </c>
      <c r="Q332" s="7">
        <v>0.68</v>
      </c>
    </row>
    <row r="333" spans="1:17">
      <c r="A333" s="2">
        <v>2281</v>
      </c>
      <c r="B333" s="7">
        <v>0.6</v>
      </c>
      <c r="C333" s="7">
        <v>0.6</v>
      </c>
      <c r="D333" s="7">
        <v>0.6</v>
      </c>
      <c r="E333" s="7">
        <v>0.6</v>
      </c>
      <c r="F333" s="7">
        <v>0.6</v>
      </c>
      <c r="G333" s="7">
        <v>0.6</v>
      </c>
      <c r="H333" s="7">
        <v>0.6</v>
      </c>
      <c r="I333" s="7">
        <v>0.67600000000000005</v>
      </c>
      <c r="J333" s="7">
        <v>0.67600000000000005</v>
      </c>
      <c r="K333" s="7">
        <v>0.67600000000000005</v>
      </c>
      <c r="L333" s="7">
        <v>0.67600000000000005</v>
      </c>
      <c r="M333" s="7">
        <v>0.67600000000000005</v>
      </c>
      <c r="N333" s="7">
        <v>0.67600000000000005</v>
      </c>
      <c r="O333" s="7">
        <v>0.67600000000000005</v>
      </c>
      <c r="P333" s="7">
        <v>0.67600000000000005</v>
      </c>
      <c r="Q333" s="7">
        <v>0.67600000000000005</v>
      </c>
    </row>
    <row r="334" spans="1:17">
      <c r="A334" s="2">
        <v>2282</v>
      </c>
      <c r="B334" s="7">
        <v>0.6</v>
      </c>
      <c r="C334" s="7">
        <v>0.6</v>
      </c>
      <c r="D334" s="7">
        <v>0.6</v>
      </c>
      <c r="E334" s="7">
        <v>0.6</v>
      </c>
      <c r="F334" s="7">
        <v>0.6</v>
      </c>
      <c r="G334" s="7">
        <v>0.6</v>
      </c>
      <c r="H334" s="7">
        <v>0.6</v>
      </c>
      <c r="I334" s="7">
        <v>0.67200000000000004</v>
      </c>
      <c r="J334" s="7">
        <v>0.67200000000000004</v>
      </c>
      <c r="K334" s="7">
        <v>0.67200000000000004</v>
      </c>
      <c r="L334" s="7">
        <v>0.67200000000000004</v>
      </c>
      <c r="M334" s="7">
        <v>0.67200000000000004</v>
      </c>
      <c r="N334" s="7">
        <v>0.67200000000000004</v>
      </c>
      <c r="O334" s="7">
        <v>0.67200000000000004</v>
      </c>
      <c r="P334" s="7">
        <v>0.67200000000000004</v>
      </c>
      <c r="Q334" s="7">
        <v>0.67200000000000004</v>
      </c>
    </row>
    <row r="335" spans="1:17">
      <c r="A335" s="2">
        <v>2283</v>
      </c>
      <c r="B335" s="7">
        <v>0.6</v>
      </c>
      <c r="C335" s="7">
        <v>0.6</v>
      </c>
      <c r="D335" s="7">
        <v>0.6</v>
      </c>
      <c r="E335" s="7">
        <v>0.6</v>
      </c>
      <c r="F335" s="7">
        <v>0.6</v>
      </c>
      <c r="G335" s="7">
        <v>0.6</v>
      </c>
      <c r="H335" s="7">
        <v>0.6</v>
      </c>
      <c r="I335" s="7">
        <v>0.66800000000000004</v>
      </c>
      <c r="J335" s="7">
        <v>0.66800000000000004</v>
      </c>
      <c r="K335" s="7">
        <v>0.66800000000000004</v>
      </c>
      <c r="L335" s="7">
        <v>0.66800000000000004</v>
      </c>
      <c r="M335" s="7">
        <v>0.66800000000000004</v>
      </c>
      <c r="N335" s="7">
        <v>0.66800000000000004</v>
      </c>
      <c r="O335" s="7">
        <v>0.66800000000000004</v>
      </c>
      <c r="P335" s="7">
        <v>0.66800000000000004</v>
      </c>
      <c r="Q335" s="7">
        <v>0.66800000000000004</v>
      </c>
    </row>
    <row r="336" spans="1:17">
      <c r="A336" s="2">
        <v>2284</v>
      </c>
      <c r="B336" s="7">
        <v>0.6</v>
      </c>
      <c r="C336" s="7">
        <v>0.6</v>
      </c>
      <c r="D336" s="7">
        <v>0.6</v>
      </c>
      <c r="E336" s="7">
        <v>0.6</v>
      </c>
      <c r="F336" s="7">
        <v>0.6</v>
      </c>
      <c r="G336" s="7">
        <v>0.6</v>
      </c>
      <c r="H336" s="7">
        <v>0.6</v>
      </c>
      <c r="I336" s="7">
        <v>0.66400000000000003</v>
      </c>
      <c r="J336" s="7">
        <v>0.66400000000000003</v>
      </c>
      <c r="K336" s="7">
        <v>0.66400000000000003</v>
      </c>
      <c r="L336" s="7">
        <v>0.66400000000000003</v>
      </c>
      <c r="M336" s="7">
        <v>0.66400000000000003</v>
      </c>
      <c r="N336" s="7">
        <v>0.66400000000000003</v>
      </c>
      <c r="O336" s="7">
        <v>0.66400000000000003</v>
      </c>
      <c r="P336" s="7">
        <v>0.66400000000000003</v>
      </c>
      <c r="Q336" s="7">
        <v>0.66400000000000003</v>
      </c>
    </row>
    <row r="337" spans="1:17">
      <c r="A337" s="2">
        <v>2285</v>
      </c>
      <c r="B337" s="7">
        <v>0.6</v>
      </c>
      <c r="C337" s="7">
        <v>0.6</v>
      </c>
      <c r="D337" s="7">
        <v>0.6</v>
      </c>
      <c r="E337" s="7">
        <v>0.6</v>
      </c>
      <c r="F337" s="7">
        <v>0.6</v>
      </c>
      <c r="G337" s="7">
        <v>0.6</v>
      </c>
      <c r="H337" s="7">
        <v>0.6</v>
      </c>
      <c r="I337" s="7">
        <v>0.66</v>
      </c>
      <c r="J337" s="7">
        <v>0.66</v>
      </c>
      <c r="K337" s="7">
        <v>0.66</v>
      </c>
      <c r="L337" s="7">
        <v>0.66</v>
      </c>
      <c r="M337" s="7">
        <v>0.66</v>
      </c>
      <c r="N337" s="7">
        <v>0.66</v>
      </c>
      <c r="O337" s="7">
        <v>0.66</v>
      </c>
      <c r="P337" s="7">
        <v>0.66</v>
      </c>
      <c r="Q337" s="7">
        <v>0.66</v>
      </c>
    </row>
    <row r="338" spans="1:17">
      <c r="A338" s="2">
        <v>2286</v>
      </c>
      <c r="B338" s="7">
        <v>0.6</v>
      </c>
      <c r="C338" s="7">
        <v>0.6</v>
      </c>
      <c r="D338" s="7">
        <v>0.6</v>
      </c>
      <c r="E338" s="7">
        <v>0.6</v>
      </c>
      <c r="F338" s="7">
        <v>0.6</v>
      </c>
      <c r="G338" s="7">
        <v>0.6</v>
      </c>
      <c r="H338" s="7">
        <v>0.6</v>
      </c>
      <c r="I338" s="7">
        <v>0.65600000000000003</v>
      </c>
      <c r="J338" s="7">
        <v>0.65600000000000003</v>
      </c>
      <c r="K338" s="7">
        <v>0.65600000000000003</v>
      </c>
      <c r="L338" s="7">
        <v>0.65600000000000003</v>
      </c>
      <c r="M338" s="7">
        <v>0.65600000000000003</v>
      </c>
      <c r="N338" s="7">
        <v>0.65600000000000003</v>
      </c>
      <c r="O338" s="7">
        <v>0.65600000000000003</v>
      </c>
      <c r="P338" s="7">
        <v>0.65600000000000003</v>
      </c>
      <c r="Q338" s="7">
        <v>0.65600000000000003</v>
      </c>
    </row>
    <row r="339" spans="1:17">
      <c r="A339" s="2">
        <v>2287</v>
      </c>
      <c r="B339" s="7">
        <v>0.6</v>
      </c>
      <c r="C339" s="7">
        <v>0.6</v>
      </c>
      <c r="D339" s="7">
        <v>0.6</v>
      </c>
      <c r="E339" s="7">
        <v>0.6</v>
      </c>
      <c r="F339" s="7">
        <v>0.6</v>
      </c>
      <c r="G339" s="7">
        <v>0.6</v>
      </c>
      <c r="H339" s="7">
        <v>0.6</v>
      </c>
      <c r="I339" s="7">
        <v>0.65200000000000002</v>
      </c>
      <c r="J339" s="7">
        <v>0.65200000000000002</v>
      </c>
      <c r="K339" s="7">
        <v>0.65200000000000002</v>
      </c>
      <c r="L339" s="7">
        <v>0.65200000000000002</v>
      </c>
      <c r="M339" s="7">
        <v>0.65200000000000002</v>
      </c>
      <c r="N339" s="7">
        <v>0.65200000000000002</v>
      </c>
      <c r="O339" s="7">
        <v>0.65200000000000002</v>
      </c>
      <c r="P339" s="7">
        <v>0.65200000000000002</v>
      </c>
      <c r="Q339" s="7">
        <v>0.65200000000000002</v>
      </c>
    </row>
    <row r="340" spans="1:17">
      <c r="A340" s="2">
        <v>2288</v>
      </c>
      <c r="B340" s="7">
        <v>0.6</v>
      </c>
      <c r="C340" s="7">
        <v>0.6</v>
      </c>
      <c r="D340" s="7">
        <v>0.6</v>
      </c>
      <c r="E340" s="7">
        <v>0.6</v>
      </c>
      <c r="F340" s="7">
        <v>0.6</v>
      </c>
      <c r="G340" s="7">
        <v>0.6</v>
      </c>
      <c r="H340" s="7">
        <v>0.6</v>
      </c>
      <c r="I340" s="7">
        <v>0.64800000000000002</v>
      </c>
      <c r="J340" s="7">
        <v>0.64800000000000002</v>
      </c>
      <c r="K340" s="7">
        <v>0.64800000000000002</v>
      </c>
      <c r="L340" s="7">
        <v>0.64800000000000002</v>
      </c>
      <c r="M340" s="7">
        <v>0.64800000000000002</v>
      </c>
      <c r="N340" s="7">
        <v>0.64800000000000002</v>
      </c>
      <c r="O340" s="7">
        <v>0.64800000000000002</v>
      </c>
      <c r="P340" s="7">
        <v>0.64800000000000002</v>
      </c>
      <c r="Q340" s="7">
        <v>0.64800000000000002</v>
      </c>
    </row>
    <row r="341" spans="1:17">
      <c r="A341" s="2">
        <v>2289</v>
      </c>
      <c r="B341" s="7">
        <v>0.6</v>
      </c>
      <c r="C341" s="7">
        <v>0.6</v>
      </c>
      <c r="D341" s="7">
        <v>0.6</v>
      </c>
      <c r="E341" s="7">
        <v>0.6</v>
      </c>
      <c r="F341" s="7">
        <v>0.6</v>
      </c>
      <c r="G341" s="7">
        <v>0.6</v>
      </c>
      <c r="H341" s="7">
        <v>0.6</v>
      </c>
      <c r="I341" s="7">
        <v>0.64400000000000002</v>
      </c>
      <c r="J341" s="7">
        <v>0.64400000000000002</v>
      </c>
      <c r="K341" s="7">
        <v>0.64400000000000002</v>
      </c>
      <c r="L341" s="7">
        <v>0.64400000000000002</v>
      </c>
      <c r="M341" s="7">
        <v>0.64400000000000002</v>
      </c>
      <c r="N341" s="7">
        <v>0.64400000000000002</v>
      </c>
      <c r="O341" s="7">
        <v>0.64400000000000002</v>
      </c>
      <c r="P341" s="7">
        <v>0.64400000000000002</v>
      </c>
      <c r="Q341" s="7">
        <v>0.64400000000000002</v>
      </c>
    </row>
    <row r="342" spans="1:17">
      <c r="A342" s="2">
        <v>2290</v>
      </c>
      <c r="B342" s="7">
        <v>0.6</v>
      </c>
      <c r="C342" s="7">
        <v>0.6</v>
      </c>
      <c r="D342" s="7">
        <v>0.6</v>
      </c>
      <c r="E342" s="7">
        <v>0.6</v>
      </c>
      <c r="F342" s="7">
        <v>0.6</v>
      </c>
      <c r="G342" s="7">
        <v>0.6</v>
      </c>
      <c r="H342" s="7">
        <v>0.6</v>
      </c>
      <c r="I342" s="7">
        <v>0.64</v>
      </c>
      <c r="J342" s="7">
        <v>0.64</v>
      </c>
      <c r="K342" s="7">
        <v>0.64</v>
      </c>
      <c r="L342" s="7">
        <v>0.64</v>
      </c>
      <c r="M342" s="7">
        <v>0.64</v>
      </c>
      <c r="N342" s="7">
        <v>0.64</v>
      </c>
      <c r="O342" s="7">
        <v>0.64</v>
      </c>
      <c r="P342" s="7">
        <v>0.64</v>
      </c>
      <c r="Q342" s="7">
        <v>0.64</v>
      </c>
    </row>
    <row r="343" spans="1:17">
      <c r="A343" s="2">
        <v>2291</v>
      </c>
      <c r="B343" s="7">
        <v>0.6</v>
      </c>
      <c r="C343" s="7">
        <v>0.6</v>
      </c>
      <c r="D343" s="7">
        <v>0.6</v>
      </c>
      <c r="E343" s="7">
        <v>0.6</v>
      </c>
      <c r="F343" s="7">
        <v>0.6</v>
      </c>
      <c r="G343" s="7">
        <v>0.6</v>
      </c>
      <c r="H343" s="7">
        <v>0.6</v>
      </c>
      <c r="I343" s="7">
        <v>0.63600000000000001</v>
      </c>
      <c r="J343" s="7">
        <v>0.63600000000000001</v>
      </c>
      <c r="K343" s="7">
        <v>0.63600000000000001</v>
      </c>
      <c r="L343" s="7">
        <v>0.63600000000000001</v>
      </c>
      <c r="M343" s="7">
        <v>0.63600000000000001</v>
      </c>
      <c r="N343" s="7">
        <v>0.63600000000000001</v>
      </c>
      <c r="O343" s="7">
        <v>0.63600000000000001</v>
      </c>
      <c r="P343" s="7">
        <v>0.63600000000000001</v>
      </c>
      <c r="Q343" s="7">
        <v>0.63600000000000001</v>
      </c>
    </row>
    <row r="344" spans="1:17">
      <c r="A344" s="2">
        <v>2292</v>
      </c>
      <c r="B344" s="7">
        <v>0.6</v>
      </c>
      <c r="C344" s="7">
        <v>0.6</v>
      </c>
      <c r="D344" s="7">
        <v>0.6</v>
      </c>
      <c r="E344" s="7">
        <v>0.6</v>
      </c>
      <c r="F344" s="7">
        <v>0.6</v>
      </c>
      <c r="G344" s="7">
        <v>0.6</v>
      </c>
      <c r="H344" s="7">
        <v>0.6</v>
      </c>
      <c r="I344" s="7">
        <v>0.63200000000000001</v>
      </c>
      <c r="J344" s="7">
        <v>0.63200000000000001</v>
      </c>
      <c r="K344" s="7">
        <v>0.63200000000000001</v>
      </c>
      <c r="L344" s="7">
        <v>0.63200000000000001</v>
      </c>
      <c r="M344" s="7">
        <v>0.63200000000000001</v>
      </c>
      <c r="N344" s="7">
        <v>0.63200000000000001</v>
      </c>
      <c r="O344" s="7">
        <v>0.63200000000000001</v>
      </c>
      <c r="P344" s="7">
        <v>0.63200000000000001</v>
      </c>
      <c r="Q344" s="7">
        <v>0.63200000000000001</v>
      </c>
    </row>
    <row r="345" spans="1:17">
      <c r="A345" s="2">
        <v>2293</v>
      </c>
      <c r="B345" s="7">
        <v>0.6</v>
      </c>
      <c r="C345" s="7">
        <v>0.6</v>
      </c>
      <c r="D345" s="7">
        <v>0.6</v>
      </c>
      <c r="E345" s="7">
        <v>0.6</v>
      </c>
      <c r="F345" s="7">
        <v>0.6</v>
      </c>
      <c r="G345" s="7">
        <v>0.6</v>
      </c>
      <c r="H345" s="7">
        <v>0.6</v>
      </c>
      <c r="I345" s="7">
        <v>0.628</v>
      </c>
      <c r="J345" s="7">
        <v>0.628</v>
      </c>
      <c r="K345" s="7">
        <v>0.628</v>
      </c>
      <c r="L345" s="7">
        <v>0.628</v>
      </c>
      <c r="M345" s="7">
        <v>0.628</v>
      </c>
      <c r="N345" s="7">
        <v>0.628</v>
      </c>
      <c r="O345" s="7">
        <v>0.628</v>
      </c>
      <c r="P345" s="7">
        <v>0.628</v>
      </c>
      <c r="Q345" s="7">
        <v>0.628</v>
      </c>
    </row>
    <row r="346" spans="1:17">
      <c r="A346" s="2">
        <v>2294</v>
      </c>
      <c r="B346" s="7">
        <v>0.6</v>
      </c>
      <c r="C346" s="7">
        <v>0.6</v>
      </c>
      <c r="D346" s="7">
        <v>0.6</v>
      </c>
      <c r="E346" s="7">
        <v>0.6</v>
      </c>
      <c r="F346" s="7">
        <v>0.6</v>
      </c>
      <c r="G346" s="7">
        <v>0.6</v>
      </c>
      <c r="H346" s="7">
        <v>0.6</v>
      </c>
      <c r="I346" s="7">
        <v>0.624</v>
      </c>
      <c r="J346" s="7">
        <v>0.624</v>
      </c>
      <c r="K346" s="7">
        <v>0.624</v>
      </c>
      <c r="L346" s="7">
        <v>0.624</v>
      </c>
      <c r="M346" s="7">
        <v>0.624</v>
      </c>
      <c r="N346" s="7">
        <v>0.624</v>
      </c>
      <c r="O346" s="7">
        <v>0.624</v>
      </c>
      <c r="P346" s="7">
        <v>0.624</v>
      </c>
      <c r="Q346" s="7">
        <v>0.624</v>
      </c>
    </row>
    <row r="347" spans="1:17">
      <c r="A347" s="2">
        <v>2295</v>
      </c>
      <c r="B347" s="7">
        <v>0.6</v>
      </c>
      <c r="C347" s="7">
        <v>0.6</v>
      </c>
      <c r="D347" s="7">
        <v>0.6</v>
      </c>
      <c r="E347" s="7">
        <v>0.6</v>
      </c>
      <c r="F347" s="7">
        <v>0.6</v>
      </c>
      <c r="G347" s="7">
        <v>0.6</v>
      </c>
      <c r="H347" s="7">
        <v>0.6</v>
      </c>
      <c r="I347" s="7">
        <v>0.62</v>
      </c>
      <c r="J347" s="7">
        <v>0.62</v>
      </c>
      <c r="K347" s="7">
        <v>0.62</v>
      </c>
      <c r="L347" s="7">
        <v>0.62</v>
      </c>
      <c r="M347" s="7">
        <v>0.62</v>
      </c>
      <c r="N347" s="7">
        <v>0.62</v>
      </c>
      <c r="O347" s="7">
        <v>0.62</v>
      </c>
      <c r="P347" s="7">
        <v>0.62</v>
      </c>
      <c r="Q347" s="7">
        <v>0.62</v>
      </c>
    </row>
    <row r="348" spans="1:17">
      <c r="A348" s="2">
        <v>2296</v>
      </c>
      <c r="B348" s="7">
        <v>0.6</v>
      </c>
      <c r="C348" s="7">
        <v>0.6</v>
      </c>
      <c r="D348" s="7">
        <v>0.6</v>
      </c>
      <c r="E348" s="7">
        <v>0.6</v>
      </c>
      <c r="F348" s="7">
        <v>0.6</v>
      </c>
      <c r="G348" s="7">
        <v>0.6</v>
      </c>
      <c r="H348" s="7">
        <v>0.6</v>
      </c>
      <c r="I348" s="7">
        <v>0.61599999999999999</v>
      </c>
      <c r="J348" s="7">
        <v>0.61599999999999999</v>
      </c>
      <c r="K348" s="7">
        <v>0.61599999999999999</v>
      </c>
      <c r="L348" s="7">
        <v>0.61599999999999999</v>
      </c>
      <c r="M348" s="7">
        <v>0.61599999999999999</v>
      </c>
      <c r="N348" s="7">
        <v>0.61599999999999999</v>
      </c>
      <c r="O348" s="7">
        <v>0.61599999999999999</v>
      </c>
      <c r="P348" s="7">
        <v>0.61599999999999999</v>
      </c>
      <c r="Q348" s="7">
        <v>0.61599999999999999</v>
      </c>
    </row>
    <row r="349" spans="1:17">
      <c r="A349" s="2">
        <v>2297</v>
      </c>
      <c r="B349" s="7">
        <v>0.6</v>
      </c>
      <c r="C349" s="7">
        <v>0.6</v>
      </c>
      <c r="D349" s="7">
        <v>0.6</v>
      </c>
      <c r="E349" s="7">
        <v>0.6</v>
      </c>
      <c r="F349" s="7">
        <v>0.6</v>
      </c>
      <c r="G349" s="7">
        <v>0.6</v>
      </c>
      <c r="H349" s="7">
        <v>0.6</v>
      </c>
      <c r="I349" s="7">
        <v>0.61199999999999999</v>
      </c>
      <c r="J349" s="7">
        <v>0.61199999999999999</v>
      </c>
      <c r="K349" s="7">
        <v>0.61199999999999999</v>
      </c>
      <c r="L349" s="7">
        <v>0.61199999999999999</v>
      </c>
      <c r="M349" s="7">
        <v>0.61199999999999999</v>
      </c>
      <c r="N349" s="7">
        <v>0.61199999999999999</v>
      </c>
      <c r="O349" s="7">
        <v>0.61199999999999999</v>
      </c>
      <c r="P349" s="7">
        <v>0.61199999999999999</v>
      </c>
      <c r="Q349" s="7">
        <v>0.61199999999999999</v>
      </c>
    </row>
    <row r="350" spans="1:17">
      <c r="A350" s="2">
        <v>2298</v>
      </c>
      <c r="B350" s="7">
        <v>0.6</v>
      </c>
      <c r="C350" s="7">
        <v>0.6</v>
      </c>
      <c r="D350" s="7">
        <v>0.6</v>
      </c>
      <c r="E350" s="7">
        <v>0.6</v>
      </c>
      <c r="F350" s="7">
        <v>0.6</v>
      </c>
      <c r="G350" s="7">
        <v>0.6</v>
      </c>
      <c r="H350" s="7">
        <v>0.6</v>
      </c>
      <c r="I350" s="7">
        <v>0.60799999999999998</v>
      </c>
      <c r="J350" s="7">
        <v>0.60799999999999998</v>
      </c>
      <c r="K350" s="7">
        <v>0.60799999999999998</v>
      </c>
      <c r="L350" s="7">
        <v>0.60799999999999998</v>
      </c>
      <c r="M350" s="7">
        <v>0.60799999999999998</v>
      </c>
      <c r="N350" s="7">
        <v>0.60799999999999998</v>
      </c>
      <c r="O350" s="7">
        <v>0.60799999999999998</v>
      </c>
      <c r="P350" s="7">
        <v>0.60799999999999998</v>
      </c>
      <c r="Q350" s="7">
        <v>0.60799999999999998</v>
      </c>
    </row>
    <row r="351" spans="1:17">
      <c r="A351" s="2">
        <v>2299</v>
      </c>
      <c r="B351" s="7">
        <v>0.6</v>
      </c>
      <c r="C351" s="7">
        <v>0.6</v>
      </c>
      <c r="D351" s="7">
        <v>0.6</v>
      </c>
      <c r="E351" s="7">
        <v>0.6</v>
      </c>
      <c r="F351" s="7">
        <v>0.6</v>
      </c>
      <c r="G351" s="7">
        <v>0.6</v>
      </c>
      <c r="H351" s="7">
        <v>0.6</v>
      </c>
      <c r="I351" s="7">
        <v>0.60399999999999998</v>
      </c>
      <c r="J351" s="7">
        <v>0.60399999999999998</v>
      </c>
      <c r="K351" s="7">
        <v>0.60399999999999998</v>
      </c>
      <c r="L351" s="7">
        <v>0.60399999999999998</v>
      </c>
      <c r="M351" s="7">
        <v>0.60399999999999998</v>
      </c>
      <c r="N351" s="7">
        <v>0.60399999999999998</v>
      </c>
      <c r="O351" s="7">
        <v>0.60399999999999998</v>
      </c>
      <c r="P351" s="7">
        <v>0.60399999999999998</v>
      </c>
      <c r="Q351" s="7">
        <v>0.60399999999999998</v>
      </c>
    </row>
    <row r="352" spans="1:17">
      <c r="A352" s="2">
        <v>2300</v>
      </c>
      <c r="B352" s="7">
        <v>0.6</v>
      </c>
      <c r="C352" s="7">
        <v>0.6</v>
      </c>
      <c r="D352" s="7">
        <v>0.6</v>
      </c>
      <c r="E352" s="7">
        <v>0.6</v>
      </c>
      <c r="F352" s="7">
        <v>0.6</v>
      </c>
      <c r="G352" s="7">
        <v>0.6</v>
      </c>
      <c r="H352" s="7">
        <v>0.6</v>
      </c>
      <c r="I352" s="7">
        <v>0.6</v>
      </c>
      <c r="J352" s="7">
        <v>0.6</v>
      </c>
      <c r="K352" s="7">
        <v>0.6</v>
      </c>
      <c r="L352" s="7">
        <v>0.6</v>
      </c>
      <c r="M352" s="7">
        <v>0.6</v>
      </c>
      <c r="N352" s="7">
        <v>0.6</v>
      </c>
      <c r="O352" s="7">
        <v>0.6</v>
      </c>
      <c r="P352" s="7">
        <v>0.6</v>
      </c>
      <c r="Q352" s="7">
        <v>0.6</v>
      </c>
    </row>
    <row r="353" spans="1:17">
      <c r="A353" s="2">
        <v>2301</v>
      </c>
      <c r="B353" s="7">
        <v>0.6</v>
      </c>
      <c r="C353" s="7">
        <v>0.6</v>
      </c>
      <c r="D353" s="7">
        <v>0.6</v>
      </c>
      <c r="E353" s="7">
        <v>0.6</v>
      </c>
      <c r="F353" s="7">
        <v>0.6</v>
      </c>
      <c r="G353" s="7">
        <v>0.6</v>
      </c>
      <c r="H353" s="7">
        <v>0.6</v>
      </c>
      <c r="I353" s="7">
        <v>0.6</v>
      </c>
      <c r="J353" s="7">
        <v>0.6</v>
      </c>
      <c r="K353" s="7">
        <v>0.6</v>
      </c>
      <c r="L353" s="7">
        <v>0.6</v>
      </c>
      <c r="M353" s="7">
        <v>0.6</v>
      </c>
      <c r="N353" s="7">
        <v>0.6</v>
      </c>
      <c r="O353" s="7">
        <v>0.6</v>
      </c>
      <c r="P353" s="7">
        <v>0.6</v>
      </c>
      <c r="Q353" s="7">
        <v>0.6</v>
      </c>
    </row>
    <row r="354" spans="1:17">
      <c r="A354" s="2">
        <v>2302</v>
      </c>
      <c r="B354" s="7">
        <v>0.6</v>
      </c>
      <c r="C354" s="7">
        <v>0.6</v>
      </c>
      <c r="D354" s="7">
        <v>0.6</v>
      </c>
      <c r="E354" s="7">
        <v>0.6</v>
      </c>
      <c r="F354" s="7">
        <v>0.6</v>
      </c>
      <c r="G354" s="7">
        <v>0.6</v>
      </c>
      <c r="H354" s="7">
        <v>0.6</v>
      </c>
      <c r="I354" s="7">
        <v>0.6</v>
      </c>
      <c r="J354" s="7">
        <v>0.6</v>
      </c>
      <c r="K354" s="7">
        <v>0.6</v>
      </c>
      <c r="L354" s="7">
        <v>0.6</v>
      </c>
      <c r="M354" s="7">
        <v>0.6</v>
      </c>
      <c r="N354" s="7">
        <v>0.6</v>
      </c>
      <c r="O354" s="7">
        <v>0.6</v>
      </c>
      <c r="P354" s="7">
        <v>0.6</v>
      </c>
      <c r="Q354" s="7">
        <v>0.6</v>
      </c>
    </row>
    <row r="355" spans="1:17">
      <c r="A355" s="2">
        <v>2303</v>
      </c>
      <c r="B355" s="7">
        <v>0.6</v>
      </c>
      <c r="C355" s="7">
        <v>0.6</v>
      </c>
      <c r="D355" s="7">
        <v>0.6</v>
      </c>
      <c r="E355" s="7">
        <v>0.6</v>
      </c>
      <c r="F355" s="7">
        <v>0.6</v>
      </c>
      <c r="G355" s="7">
        <v>0.6</v>
      </c>
      <c r="H355" s="7">
        <v>0.6</v>
      </c>
      <c r="I355" s="7">
        <v>0.6</v>
      </c>
      <c r="J355" s="7">
        <v>0.6</v>
      </c>
      <c r="K355" s="7">
        <v>0.6</v>
      </c>
      <c r="L355" s="7">
        <v>0.6</v>
      </c>
      <c r="M355" s="7">
        <v>0.6</v>
      </c>
      <c r="N355" s="7">
        <v>0.6</v>
      </c>
      <c r="O355" s="7">
        <v>0.6</v>
      </c>
      <c r="P355" s="7">
        <v>0.6</v>
      </c>
      <c r="Q355" s="7">
        <v>0.6</v>
      </c>
    </row>
    <row r="356" spans="1:17">
      <c r="A356" s="2">
        <v>2304</v>
      </c>
      <c r="B356" s="7">
        <v>0.6</v>
      </c>
      <c r="C356" s="7">
        <v>0.6</v>
      </c>
      <c r="D356" s="7">
        <v>0.6</v>
      </c>
      <c r="E356" s="7">
        <v>0.6</v>
      </c>
      <c r="F356" s="7">
        <v>0.6</v>
      </c>
      <c r="G356" s="7">
        <v>0.6</v>
      </c>
      <c r="H356" s="7">
        <v>0.6</v>
      </c>
      <c r="I356" s="7">
        <v>0.6</v>
      </c>
      <c r="J356" s="7">
        <v>0.6</v>
      </c>
      <c r="K356" s="7">
        <v>0.6</v>
      </c>
      <c r="L356" s="7">
        <v>0.6</v>
      </c>
      <c r="M356" s="7">
        <v>0.6</v>
      </c>
      <c r="N356" s="7">
        <v>0.6</v>
      </c>
      <c r="O356" s="7">
        <v>0.6</v>
      </c>
      <c r="P356" s="7">
        <v>0.6</v>
      </c>
      <c r="Q356" s="7">
        <v>0.6</v>
      </c>
    </row>
    <row r="357" spans="1:17">
      <c r="A357" s="2">
        <v>2305</v>
      </c>
      <c r="B357" s="7">
        <v>0.6</v>
      </c>
      <c r="C357" s="7">
        <v>0.6</v>
      </c>
      <c r="D357" s="7">
        <v>0.6</v>
      </c>
      <c r="E357" s="7">
        <v>0.6</v>
      </c>
      <c r="F357" s="7">
        <v>0.6</v>
      </c>
      <c r="G357" s="7">
        <v>0.6</v>
      </c>
      <c r="H357" s="7">
        <v>0.6</v>
      </c>
      <c r="I357" s="7">
        <v>0.6</v>
      </c>
      <c r="J357" s="7">
        <v>0.6</v>
      </c>
      <c r="K357" s="7">
        <v>0.6</v>
      </c>
      <c r="L357" s="7">
        <v>0.6</v>
      </c>
      <c r="M357" s="7">
        <v>0.6</v>
      </c>
      <c r="N357" s="7">
        <v>0.6</v>
      </c>
      <c r="O357" s="7">
        <v>0.6</v>
      </c>
      <c r="P357" s="7">
        <v>0.6</v>
      </c>
      <c r="Q357" s="7">
        <v>0.6</v>
      </c>
    </row>
    <row r="358" spans="1:17">
      <c r="A358" s="2">
        <v>2306</v>
      </c>
      <c r="B358" s="7">
        <v>0.6</v>
      </c>
      <c r="C358" s="7">
        <v>0.6</v>
      </c>
      <c r="D358" s="7">
        <v>0.6</v>
      </c>
      <c r="E358" s="7">
        <v>0.6</v>
      </c>
      <c r="F358" s="7">
        <v>0.6</v>
      </c>
      <c r="G358" s="7">
        <v>0.6</v>
      </c>
      <c r="H358" s="7">
        <v>0.6</v>
      </c>
      <c r="I358" s="7">
        <v>0.6</v>
      </c>
      <c r="J358" s="7">
        <v>0.6</v>
      </c>
      <c r="K358" s="7">
        <v>0.6</v>
      </c>
      <c r="L358" s="7">
        <v>0.6</v>
      </c>
      <c r="M358" s="7">
        <v>0.6</v>
      </c>
      <c r="N358" s="7">
        <v>0.6</v>
      </c>
      <c r="O358" s="7">
        <v>0.6</v>
      </c>
      <c r="P358" s="7">
        <v>0.6</v>
      </c>
      <c r="Q358" s="7">
        <v>0.6</v>
      </c>
    </row>
    <row r="359" spans="1:17">
      <c r="A359" s="2">
        <v>2307</v>
      </c>
      <c r="B359" s="7">
        <v>0.6</v>
      </c>
      <c r="C359" s="7">
        <v>0.6</v>
      </c>
      <c r="D359" s="7">
        <v>0.6</v>
      </c>
      <c r="E359" s="7">
        <v>0.6</v>
      </c>
      <c r="F359" s="7">
        <v>0.6</v>
      </c>
      <c r="G359" s="7">
        <v>0.6</v>
      </c>
      <c r="H359" s="7">
        <v>0.6</v>
      </c>
      <c r="I359" s="7">
        <v>0.6</v>
      </c>
      <c r="J359" s="7">
        <v>0.6</v>
      </c>
      <c r="K359" s="7">
        <v>0.6</v>
      </c>
      <c r="L359" s="7">
        <v>0.6</v>
      </c>
      <c r="M359" s="7">
        <v>0.6</v>
      </c>
      <c r="N359" s="7">
        <v>0.6</v>
      </c>
      <c r="O359" s="7">
        <v>0.6</v>
      </c>
      <c r="P359" s="7">
        <v>0.6</v>
      </c>
      <c r="Q359" s="7">
        <v>0.6</v>
      </c>
    </row>
    <row r="360" spans="1:17">
      <c r="A360" s="2">
        <v>2308</v>
      </c>
      <c r="B360" s="7">
        <v>0.6</v>
      </c>
      <c r="C360" s="7">
        <v>0.6</v>
      </c>
      <c r="D360" s="7">
        <v>0.6</v>
      </c>
      <c r="E360" s="7">
        <v>0.6</v>
      </c>
      <c r="F360" s="7">
        <v>0.6</v>
      </c>
      <c r="G360" s="7">
        <v>0.6</v>
      </c>
      <c r="H360" s="7">
        <v>0.6</v>
      </c>
      <c r="I360" s="7">
        <v>0.6</v>
      </c>
      <c r="J360" s="7">
        <v>0.6</v>
      </c>
      <c r="K360" s="7">
        <v>0.6</v>
      </c>
      <c r="L360" s="7">
        <v>0.6</v>
      </c>
      <c r="M360" s="7">
        <v>0.6</v>
      </c>
      <c r="N360" s="7">
        <v>0.6</v>
      </c>
      <c r="O360" s="7">
        <v>0.6</v>
      </c>
      <c r="P360" s="7">
        <v>0.6</v>
      </c>
      <c r="Q360" s="7">
        <v>0.6</v>
      </c>
    </row>
    <row r="361" spans="1:17">
      <c r="A361" s="2">
        <v>2309</v>
      </c>
      <c r="B361" s="7">
        <v>0.6</v>
      </c>
      <c r="C361" s="7">
        <v>0.6</v>
      </c>
      <c r="D361" s="7">
        <v>0.6</v>
      </c>
      <c r="E361" s="7">
        <v>0.6</v>
      </c>
      <c r="F361" s="7">
        <v>0.6</v>
      </c>
      <c r="G361" s="7">
        <v>0.6</v>
      </c>
      <c r="H361" s="7">
        <v>0.6</v>
      </c>
      <c r="I361" s="7">
        <v>0.6</v>
      </c>
      <c r="J361" s="7">
        <v>0.6</v>
      </c>
      <c r="K361" s="7">
        <v>0.6</v>
      </c>
      <c r="L361" s="7">
        <v>0.6</v>
      </c>
      <c r="M361" s="7">
        <v>0.6</v>
      </c>
      <c r="N361" s="7">
        <v>0.6</v>
      </c>
      <c r="O361" s="7">
        <v>0.6</v>
      </c>
      <c r="P361" s="7">
        <v>0.6</v>
      </c>
      <c r="Q361" s="7">
        <v>0.6</v>
      </c>
    </row>
    <row r="362" spans="1:17">
      <c r="A362" s="2">
        <v>2310</v>
      </c>
      <c r="B362" s="7">
        <v>0.6</v>
      </c>
      <c r="C362" s="7">
        <v>0.6</v>
      </c>
      <c r="D362" s="7">
        <v>0.6</v>
      </c>
      <c r="E362" s="7">
        <v>0.6</v>
      </c>
      <c r="F362" s="7">
        <v>0.6</v>
      </c>
      <c r="G362" s="7">
        <v>0.6</v>
      </c>
      <c r="H362" s="7">
        <v>0.6</v>
      </c>
      <c r="I362" s="7">
        <v>0.6</v>
      </c>
      <c r="J362" s="7">
        <v>0.6</v>
      </c>
      <c r="K362" s="7">
        <v>0.6</v>
      </c>
      <c r="L362" s="7">
        <v>0.6</v>
      </c>
      <c r="M362" s="7">
        <v>0.6</v>
      </c>
      <c r="N362" s="7">
        <v>0.6</v>
      </c>
      <c r="O362" s="7">
        <v>0.6</v>
      </c>
      <c r="P362" s="7">
        <v>0.6</v>
      </c>
      <c r="Q362" s="7">
        <v>0.6</v>
      </c>
    </row>
    <row r="363" spans="1:17">
      <c r="A363" s="2">
        <v>2311</v>
      </c>
      <c r="B363" s="7">
        <v>0.6</v>
      </c>
      <c r="C363" s="7">
        <v>0.6</v>
      </c>
      <c r="D363" s="7">
        <v>0.6</v>
      </c>
      <c r="E363" s="7">
        <v>0.6</v>
      </c>
      <c r="F363" s="7">
        <v>0.6</v>
      </c>
      <c r="G363" s="7">
        <v>0.6</v>
      </c>
      <c r="H363" s="7">
        <v>0.6</v>
      </c>
      <c r="I363" s="7">
        <v>0.6</v>
      </c>
      <c r="J363" s="7">
        <v>0.6</v>
      </c>
      <c r="K363" s="7">
        <v>0.6</v>
      </c>
      <c r="L363" s="7">
        <v>0.6</v>
      </c>
      <c r="M363" s="7">
        <v>0.6</v>
      </c>
      <c r="N363" s="7">
        <v>0.6</v>
      </c>
      <c r="O363" s="7">
        <v>0.6</v>
      </c>
      <c r="P363" s="7">
        <v>0.6</v>
      </c>
      <c r="Q363" s="7">
        <v>0.6</v>
      </c>
    </row>
    <row r="364" spans="1:17">
      <c r="A364" s="2">
        <v>2312</v>
      </c>
      <c r="B364" s="7">
        <v>0.6</v>
      </c>
      <c r="C364" s="7">
        <v>0.6</v>
      </c>
      <c r="D364" s="7">
        <v>0.6</v>
      </c>
      <c r="E364" s="7">
        <v>0.6</v>
      </c>
      <c r="F364" s="7">
        <v>0.6</v>
      </c>
      <c r="G364" s="7">
        <v>0.6</v>
      </c>
      <c r="H364" s="7">
        <v>0.6</v>
      </c>
      <c r="I364" s="7">
        <v>0.6</v>
      </c>
      <c r="J364" s="7">
        <v>0.6</v>
      </c>
      <c r="K364" s="7">
        <v>0.6</v>
      </c>
      <c r="L364" s="7">
        <v>0.6</v>
      </c>
      <c r="M364" s="7">
        <v>0.6</v>
      </c>
      <c r="N364" s="7">
        <v>0.6</v>
      </c>
      <c r="O364" s="7">
        <v>0.6</v>
      </c>
      <c r="P364" s="7">
        <v>0.6</v>
      </c>
      <c r="Q364" s="7">
        <v>0.6</v>
      </c>
    </row>
    <row r="365" spans="1:17">
      <c r="A365" s="2">
        <v>2313</v>
      </c>
      <c r="B365" s="7">
        <v>0.6</v>
      </c>
      <c r="C365" s="7">
        <v>0.6</v>
      </c>
      <c r="D365" s="7">
        <v>0.6</v>
      </c>
      <c r="E365" s="7">
        <v>0.6</v>
      </c>
      <c r="F365" s="7">
        <v>0.6</v>
      </c>
      <c r="G365" s="7">
        <v>0.6</v>
      </c>
      <c r="H365" s="7">
        <v>0.6</v>
      </c>
      <c r="I365" s="7">
        <v>0.6</v>
      </c>
      <c r="J365" s="7">
        <v>0.6</v>
      </c>
      <c r="K365" s="7">
        <v>0.6</v>
      </c>
      <c r="L365" s="7">
        <v>0.6</v>
      </c>
      <c r="M365" s="7">
        <v>0.6</v>
      </c>
      <c r="N365" s="7">
        <v>0.6</v>
      </c>
      <c r="O365" s="7">
        <v>0.6</v>
      </c>
      <c r="P365" s="7">
        <v>0.6</v>
      </c>
      <c r="Q365" s="7">
        <v>0.6</v>
      </c>
    </row>
    <row r="366" spans="1:17">
      <c r="A366" s="2">
        <v>2314</v>
      </c>
      <c r="B366" s="7">
        <v>0.6</v>
      </c>
      <c r="C366" s="7">
        <v>0.6</v>
      </c>
      <c r="D366" s="7">
        <v>0.6</v>
      </c>
      <c r="E366" s="7">
        <v>0.6</v>
      </c>
      <c r="F366" s="7">
        <v>0.6</v>
      </c>
      <c r="G366" s="7">
        <v>0.6</v>
      </c>
      <c r="H366" s="7">
        <v>0.6</v>
      </c>
      <c r="I366" s="7">
        <v>0.6</v>
      </c>
      <c r="J366" s="7">
        <v>0.6</v>
      </c>
      <c r="K366" s="7">
        <v>0.6</v>
      </c>
      <c r="L366" s="7">
        <v>0.6</v>
      </c>
      <c r="M366" s="7">
        <v>0.6</v>
      </c>
      <c r="N366" s="7">
        <v>0.6</v>
      </c>
      <c r="O366" s="7">
        <v>0.6</v>
      </c>
      <c r="P366" s="7">
        <v>0.6</v>
      </c>
      <c r="Q366" s="7">
        <v>0.6</v>
      </c>
    </row>
    <row r="367" spans="1:17">
      <c r="A367" s="2">
        <v>2315</v>
      </c>
      <c r="B367" s="7">
        <v>0.6</v>
      </c>
      <c r="C367" s="7">
        <v>0.6</v>
      </c>
      <c r="D367" s="7">
        <v>0.6</v>
      </c>
      <c r="E367" s="7">
        <v>0.6</v>
      </c>
      <c r="F367" s="7">
        <v>0.6</v>
      </c>
      <c r="G367" s="7">
        <v>0.6</v>
      </c>
      <c r="H367" s="7">
        <v>0.6</v>
      </c>
      <c r="I367" s="7">
        <v>0.6</v>
      </c>
      <c r="J367" s="7">
        <v>0.6</v>
      </c>
      <c r="K367" s="7">
        <v>0.6</v>
      </c>
      <c r="L367" s="7">
        <v>0.6</v>
      </c>
      <c r="M367" s="7">
        <v>0.6</v>
      </c>
      <c r="N367" s="7">
        <v>0.6</v>
      </c>
      <c r="O367" s="7">
        <v>0.6</v>
      </c>
      <c r="P367" s="7">
        <v>0.6</v>
      </c>
      <c r="Q367" s="7">
        <v>0.6</v>
      </c>
    </row>
    <row r="368" spans="1:17">
      <c r="A368" s="2">
        <v>2316</v>
      </c>
      <c r="B368" s="7">
        <v>0.6</v>
      </c>
      <c r="C368" s="7">
        <v>0.6</v>
      </c>
      <c r="D368" s="7">
        <v>0.6</v>
      </c>
      <c r="E368" s="7">
        <v>0.6</v>
      </c>
      <c r="F368" s="7">
        <v>0.6</v>
      </c>
      <c r="G368" s="7">
        <v>0.6</v>
      </c>
      <c r="H368" s="7">
        <v>0.6</v>
      </c>
      <c r="I368" s="7">
        <v>0.6</v>
      </c>
      <c r="J368" s="7">
        <v>0.6</v>
      </c>
      <c r="K368" s="7">
        <v>0.6</v>
      </c>
      <c r="L368" s="7">
        <v>0.6</v>
      </c>
      <c r="M368" s="7">
        <v>0.6</v>
      </c>
      <c r="N368" s="7">
        <v>0.6</v>
      </c>
      <c r="O368" s="7">
        <v>0.6</v>
      </c>
      <c r="P368" s="7">
        <v>0.6</v>
      </c>
      <c r="Q368" s="7">
        <v>0.6</v>
      </c>
    </row>
    <row r="369" spans="1:17">
      <c r="A369" s="2">
        <v>2317</v>
      </c>
      <c r="B369" s="7">
        <v>0.6</v>
      </c>
      <c r="C369" s="7">
        <v>0.6</v>
      </c>
      <c r="D369" s="7">
        <v>0.6</v>
      </c>
      <c r="E369" s="7">
        <v>0.6</v>
      </c>
      <c r="F369" s="7">
        <v>0.6</v>
      </c>
      <c r="G369" s="7">
        <v>0.6</v>
      </c>
      <c r="H369" s="7">
        <v>0.6</v>
      </c>
      <c r="I369" s="7">
        <v>0.6</v>
      </c>
      <c r="J369" s="7">
        <v>0.6</v>
      </c>
      <c r="K369" s="7">
        <v>0.6</v>
      </c>
      <c r="L369" s="7">
        <v>0.6</v>
      </c>
      <c r="M369" s="7">
        <v>0.6</v>
      </c>
      <c r="N369" s="7">
        <v>0.6</v>
      </c>
      <c r="O369" s="7">
        <v>0.6</v>
      </c>
      <c r="P369" s="7">
        <v>0.6</v>
      </c>
      <c r="Q369" s="7">
        <v>0.6</v>
      </c>
    </row>
    <row r="370" spans="1:17">
      <c r="A370" s="2">
        <v>2318</v>
      </c>
      <c r="B370" s="7">
        <v>0.6</v>
      </c>
      <c r="C370" s="7">
        <v>0.6</v>
      </c>
      <c r="D370" s="7">
        <v>0.6</v>
      </c>
      <c r="E370" s="7">
        <v>0.6</v>
      </c>
      <c r="F370" s="7">
        <v>0.6</v>
      </c>
      <c r="G370" s="7">
        <v>0.6</v>
      </c>
      <c r="H370" s="7">
        <v>0.6</v>
      </c>
      <c r="I370" s="7">
        <v>0.6</v>
      </c>
      <c r="J370" s="7">
        <v>0.6</v>
      </c>
      <c r="K370" s="7">
        <v>0.6</v>
      </c>
      <c r="L370" s="7">
        <v>0.6</v>
      </c>
      <c r="M370" s="7">
        <v>0.6</v>
      </c>
      <c r="N370" s="7">
        <v>0.6</v>
      </c>
      <c r="O370" s="7">
        <v>0.6</v>
      </c>
      <c r="P370" s="7">
        <v>0.6</v>
      </c>
      <c r="Q370" s="7">
        <v>0.6</v>
      </c>
    </row>
    <row r="371" spans="1:17">
      <c r="A371" s="2">
        <v>2319</v>
      </c>
      <c r="B371" s="7">
        <v>0.6</v>
      </c>
      <c r="C371" s="7">
        <v>0.6</v>
      </c>
      <c r="D371" s="7">
        <v>0.6</v>
      </c>
      <c r="E371" s="7">
        <v>0.6</v>
      </c>
      <c r="F371" s="7">
        <v>0.6</v>
      </c>
      <c r="G371" s="7">
        <v>0.6</v>
      </c>
      <c r="H371" s="7">
        <v>0.6</v>
      </c>
      <c r="I371" s="7">
        <v>0.6</v>
      </c>
      <c r="J371" s="7">
        <v>0.6</v>
      </c>
      <c r="K371" s="7">
        <v>0.6</v>
      </c>
      <c r="L371" s="7">
        <v>0.6</v>
      </c>
      <c r="M371" s="7">
        <v>0.6</v>
      </c>
      <c r="N371" s="7">
        <v>0.6</v>
      </c>
      <c r="O371" s="7">
        <v>0.6</v>
      </c>
      <c r="P371" s="7">
        <v>0.6</v>
      </c>
      <c r="Q371" s="7">
        <v>0.6</v>
      </c>
    </row>
    <row r="372" spans="1:17">
      <c r="A372" s="2">
        <v>2320</v>
      </c>
      <c r="B372" s="7">
        <v>0.6</v>
      </c>
      <c r="C372" s="7">
        <v>0.6</v>
      </c>
      <c r="D372" s="7">
        <v>0.6</v>
      </c>
      <c r="E372" s="7">
        <v>0.6</v>
      </c>
      <c r="F372" s="7">
        <v>0.6</v>
      </c>
      <c r="G372" s="7">
        <v>0.6</v>
      </c>
      <c r="H372" s="7">
        <v>0.6</v>
      </c>
      <c r="I372" s="7">
        <v>0.6</v>
      </c>
      <c r="J372" s="7">
        <v>0.6</v>
      </c>
      <c r="K372" s="7">
        <v>0.6</v>
      </c>
      <c r="L372" s="7">
        <v>0.6</v>
      </c>
      <c r="M372" s="7">
        <v>0.6</v>
      </c>
      <c r="N372" s="7">
        <v>0.6</v>
      </c>
      <c r="O372" s="7">
        <v>0.6</v>
      </c>
      <c r="P372" s="7">
        <v>0.6</v>
      </c>
      <c r="Q372" s="7">
        <v>0.6</v>
      </c>
    </row>
    <row r="373" spans="1:17">
      <c r="A373" s="2">
        <v>2321</v>
      </c>
      <c r="B373" s="7">
        <v>0.6</v>
      </c>
      <c r="C373" s="7">
        <v>0.6</v>
      </c>
      <c r="D373" s="7">
        <v>0.6</v>
      </c>
      <c r="E373" s="7">
        <v>0.6</v>
      </c>
      <c r="F373" s="7">
        <v>0.6</v>
      </c>
      <c r="G373" s="7">
        <v>0.6</v>
      </c>
      <c r="H373" s="7">
        <v>0.6</v>
      </c>
      <c r="I373" s="7">
        <v>0.6</v>
      </c>
      <c r="J373" s="7">
        <v>0.6</v>
      </c>
      <c r="K373" s="7">
        <v>0.6</v>
      </c>
      <c r="L373" s="7">
        <v>0.6</v>
      </c>
      <c r="M373" s="7">
        <v>0.6</v>
      </c>
      <c r="N373" s="7">
        <v>0.6</v>
      </c>
      <c r="O373" s="7">
        <v>0.6</v>
      </c>
      <c r="P373" s="7">
        <v>0.6</v>
      </c>
      <c r="Q373" s="7">
        <v>0.6</v>
      </c>
    </row>
    <row r="374" spans="1:17">
      <c r="A374" s="2">
        <v>2322</v>
      </c>
      <c r="B374" s="7">
        <v>0.6</v>
      </c>
      <c r="C374" s="7">
        <v>0.6</v>
      </c>
      <c r="D374" s="7">
        <v>0.6</v>
      </c>
      <c r="E374" s="7">
        <v>0.6</v>
      </c>
      <c r="F374" s="7">
        <v>0.6</v>
      </c>
      <c r="G374" s="7">
        <v>0.6</v>
      </c>
      <c r="H374" s="7">
        <v>0.6</v>
      </c>
      <c r="I374" s="7">
        <v>0.6</v>
      </c>
      <c r="J374" s="7">
        <v>0.6</v>
      </c>
      <c r="K374" s="7">
        <v>0.6</v>
      </c>
      <c r="L374" s="7">
        <v>0.6</v>
      </c>
      <c r="M374" s="7">
        <v>0.6</v>
      </c>
      <c r="N374" s="7">
        <v>0.6</v>
      </c>
      <c r="O374" s="7">
        <v>0.6</v>
      </c>
      <c r="P374" s="7">
        <v>0.6</v>
      </c>
      <c r="Q374" s="7">
        <v>0.6</v>
      </c>
    </row>
    <row r="375" spans="1:17">
      <c r="A375" s="2">
        <v>2323</v>
      </c>
      <c r="B375" s="7">
        <v>0.6</v>
      </c>
      <c r="C375" s="7">
        <v>0.6</v>
      </c>
      <c r="D375" s="7">
        <v>0.6</v>
      </c>
      <c r="E375" s="7">
        <v>0.6</v>
      </c>
      <c r="F375" s="7">
        <v>0.6</v>
      </c>
      <c r="G375" s="7">
        <v>0.6</v>
      </c>
      <c r="H375" s="7">
        <v>0.6</v>
      </c>
      <c r="I375" s="7">
        <v>0.6</v>
      </c>
      <c r="J375" s="7">
        <v>0.6</v>
      </c>
      <c r="K375" s="7">
        <v>0.6</v>
      </c>
      <c r="L375" s="7">
        <v>0.6</v>
      </c>
      <c r="M375" s="7">
        <v>0.6</v>
      </c>
      <c r="N375" s="7">
        <v>0.6</v>
      </c>
      <c r="O375" s="7">
        <v>0.6</v>
      </c>
      <c r="P375" s="7">
        <v>0.6</v>
      </c>
      <c r="Q375" s="7">
        <v>0.6</v>
      </c>
    </row>
    <row r="376" spans="1:17">
      <c r="A376" s="2">
        <v>2324</v>
      </c>
      <c r="B376" s="7">
        <v>0.6</v>
      </c>
      <c r="C376" s="7">
        <v>0.6</v>
      </c>
      <c r="D376" s="7">
        <v>0.6</v>
      </c>
      <c r="E376" s="7">
        <v>0.6</v>
      </c>
      <c r="F376" s="7">
        <v>0.6</v>
      </c>
      <c r="G376" s="7">
        <v>0.6</v>
      </c>
      <c r="H376" s="7">
        <v>0.6</v>
      </c>
      <c r="I376" s="7">
        <v>0.6</v>
      </c>
      <c r="J376" s="7">
        <v>0.6</v>
      </c>
      <c r="K376" s="7">
        <v>0.6</v>
      </c>
      <c r="L376" s="7">
        <v>0.6</v>
      </c>
      <c r="M376" s="7">
        <v>0.6</v>
      </c>
      <c r="N376" s="7">
        <v>0.6</v>
      </c>
      <c r="O376" s="7">
        <v>0.6</v>
      </c>
      <c r="P376" s="7">
        <v>0.6</v>
      </c>
      <c r="Q376" s="7">
        <v>0.6</v>
      </c>
    </row>
    <row r="377" spans="1:17">
      <c r="A377" s="2">
        <v>2325</v>
      </c>
      <c r="B377" s="7">
        <v>0.6</v>
      </c>
      <c r="C377" s="7">
        <v>0.6</v>
      </c>
      <c r="D377" s="7">
        <v>0.6</v>
      </c>
      <c r="E377" s="7">
        <v>0.6</v>
      </c>
      <c r="F377" s="7">
        <v>0.6</v>
      </c>
      <c r="G377" s="7">
        <v>0.6</v>
      </c>
      <c r="H377" s="7">
        <v>0.6</v>
      </c>
      <c r="I377" s="7">
        <v>0.6</v>
      </c>
      <c r="J377" s="7">
        <v>0.6</v>
      </c>
      <c r="K377" s="7">
        <v>0.6</v>
      </c>
      <c r="L377" s="7">
        <v>0.6</v>
      </c>
      <c r="M377" s="7">
        <v>0.6</v>
      </c>
      <c r="N377" s="7">
        <v>0.6</v>
      </c>
      <c r="O377" s="7">
        <v>0.6</v>
      </c>
      <c r="P377" s="7">
        <v>0.6</v>
      </c>
      <c r="Q377" s="7">
        <v>0.6</v>
      </c>
    </row>
    <row r="378" spans="1:17">
      <c r="A378" s="2">
        <v>2326</v>
      </c>
      <c r="B378" s="7">
        <v>0.6</v>
      </c>
      <c r="C378" s="7">
        <v>0.6</v>
      </c>
      <c r="D378" s="7">
        <v>0.6</v>
      </c>
      <c r="E378" s="7">
        <v>0.6</v>
      </c>
      <c r="F378" s="7">
        <v>0.6</v>
      </c>
      <c r="G378" s="7">
        <v>0.6</v>
      </c>
      <c r="H378" s="7">
        <v>0.6</v>
      </c>
      <c r="I378" s="7">
        <v>0.6</v>
      </c>
      <c r="J378" s="7">
        <v>0.6</v>
      </c>
      <c r="K378" s="7">
        <v>0.6</v>
      </c>
      <c r="L378" s="7">
        <v>0.6</v>
      </c>
      <c r="M378" s="7">
        <v>0.6</v>
      </c>
      <c r="N378" s="7">
        <v>0.6</v>
      </c>
      <c r="O378" s="7">
        <v>0.6</v>
      </c>
      <c r="P378" s="7">
        <v>0.6</v>
      </c>
      <c r="Q378" s="7">
        <v>0.6</v>
      </c>
    </row>
    <row r="379" spans="1:17">
      <c r="A379" s="2">
        <v>2327</v>
      </c>
      <c r="B379" s="7">
        <v>0.6</v>
      </c>
      <c r="C379" s="7">
        <v>0.6</v>
      </c>
      <c r="D379" s="7">
        <v>0.6</v>
      </c>
      <c r="E379" s="7">
        <v>0.6</v>
      </c>
      <c r="F379" s="7">
        <v>0.6</v>
      </c>
      <c r="G379" s="7">
        <v>0.6</v>
      </c>
      <c r="H379" s="7">
        <v>0.6</v>
      </c>
      <c r="I379" s="7">
        <v>0.6</v>
      </c>
      <c r="J379" s="7">
        <v>0.6</v>
      </c>
      <c r="K379" s="7">
        <v>0.6</v>
      </c>
      <c r="L379" s="7">
        <v>0.6</v>
      </c>
      <c r="M379" s="7">
        <v>0.6</v>
      </c>
      <c r="N379" s="7">
        <v>0.6</v>
      </c>
      <c r="O379" s="7">
        <v>0.6</v>
      </c>
      <c r="P379" s="7">
        <v>0.6</v>
      </c>
      <c r="Q379" s="7">
        <v>0.6</v>
      </c>
    </row>
    <row r="380" spans="1:17">
      <c r="A380" s="2">
        <v>2328</v>
      </c>
      <c r="B380" s="7">
        <v>0.6</v>
      </c>
      <c r="C380" s="7">
        <v>0.6</v>
      </c>
      <c r="D380" s="7">
        <v>0.6</v>
      </c>
      <c r="E380" s="7">
        <v>0.6</v>
      </c>
      <c r="F380" s="7">
        <v>0.6</v>
      </c>
      <c r="G380" s="7">
        <v>0.6</v>
      </c>
      <c r="H380" s="7">
        <v>0.6</v>
      </c>
      <c r="I380" s="7">
        <v>0.6</v>
      </c>
      <c r="J380" s="7">
        <v>0.6</v>
      </c>
      <c r="K380" s="7">
        <v>0.6</v>
      </c>
      <c r="L380" s="7">
        <v>0.6</v>
      </c>
      <c r="M380" s="7">
        <v>0.6</v>
      </c>
      <c r="N380" s="7">
        <v>0.6</v>
      </c>
      <c r="O380" s="7">
        <v>0.6</v>
      </c>
      <c r="P380" s="7">
        <v>0.6</v>
      </c>
      <c r="Q380" s="7">
        <v>0.6</v>
      </c>
    </row>
    <row r="381" spans="1:17">
      <c r="A381" s="2">
        <v>2329</v>
      </c>
      <c r="B381" s="7">
        <v>0.6</v>
      </c>
      <c r="C381" s="7">
        <v>0.6</v>
      </c>
      <c r="D381" s="7">
        <v>0.6</v>
      </c>
      <c r="E381" s="7">
        <v>0.6</v>
      </c>
      <c r="F381" s="7">
        <v>0.6</v>
      </c>
      <c r="G381" s="7">
        <v>0.6</v>
      </c>
      <c r="H381" s="7">
        <v>0.6</v>
      </c>
      <c r="I381" s="7">
        <v>0.6</v>
      </c>
      <c r="J381" s="7">
        <v>0.6</v>
      </c>
      <c r="K381" s="7">
        <v>0.6</v>
      </c>
      <c r="L381" s="7">
        <v>0.6</v>
      </c>
      <c r="M381" s="7">
        <v>0.6</v>
      </c>
      <c r="N381" s="7">
        <v>0.6</v>
      </c>
      <c r="O381" s="7">
        <v>0.6</v>
      </c>
      <c r="P381" s="7">
        <v>0.6</v>
      </c>
      <c r="Q381" s="7">
        <v>0.6</v>
      </c>
    </row>
    <row r="382" spans="1:17">
      <c r="A382" s="2">
        <v>2330</v>
      </c>
      <c r="B382" s="7">
        <v>0.6</v>
      </c>
      <c r="C382" s="7">
        <v>0.6</v>
      </c>
      <c r="D382" s="7">
        <v>0.6</v>
      </c>
      <c r="E382" s="7">
        <v>0.6</v>
      </c>
      <c r="F382" s="7">
        <v>0.6</v>
      </c>
      <c r="G382" s="7">
        <v>0.6</v>
      </c>
      <c r="H382" s="7">
        <v>0.6</v>
      </c>
      <c r="I382" s="7">
        <v>0.6</v>
      </c>
      <c r="J382" s="7">
        <v>0.6</v>
      </c>
      <c r="K382" s="7">
        <v>0.6</v>
      </c>
      <c r="L382" s="7">
        <v>0.6</v>
      </c>
      <c r="M382" s="7">
        <v>0.6</v>
      </c>
      <c r="N382" s="7">
        <v>0.6</v>
      </c>
      <c r="O382" s="7">
        <v>0.6</v>
      </c>
      <c r="P382" s="7">
        <v>0.6</v>
      </c>
      <c r="Q382" s="7">
        <v>0.6</v>
      </c>
    </row>
    <row r="383" spans="1:17">
      <c r="A383" s="2">
        <v>2331</v>
      </c>
      <c r="B383" s="7">
        <v>0.6</v>
      </c>
      <c r="C383" s="7">
        <v>0.6</v>
      </c>
      <c r="D383" s="7">
        <v>0.6</v>
      </c>
      <c r="E383" s="7">
        <v>0.6</v>
      </c>
      <c r="F383" s="7">
        <v>0.6</v>
      </c>
      <c r="G383" s="7">
        <v>0.6</v>
      </c>
      <c r="H383" s="7">
        <v>0.6</v>
      </c>
      <c r="I383" s="7">
        <v>0.6</v>
      </c>
      <c r="J383" s="7">
        <v>0.6</v>
      </c>
      <c r="K383" s="7">
        <v>0.6</v>
      </c>
      <c r="L383" s="7">
        <v>0.6</v>
      </c>
      <c r="M383" s="7">
        <v>0.6</v>
      </c>
      <c r="N383" s="7">
        <v>0.6</v>
      </c>
      <c r="O383" s="7">
        <v>0.6</v>
      </c>
      <c r="P383" s="7">
        <v>0.6</v>
      </c>
      <c r="Q383" s="7">
        <v>0.6</v>
      </c>
    </row>
    <row r="384" spans="1:17">
      <c r="A384" s="2">
        <v>2332</v>
      </c>
      <c r="B384" s="7">
        <v>0.6</v>
      </c>
      <c r="C384" s="7">
        <v>0.6</v>
      </c>
      <c r="D384" s="7">
        <v>0.6</v>
      </c>
      <c r="E384" s="7">
        <v>0.6</v>
      </c>
      <c r="F384" s="7">
        <v>0.6</v>
      </c>
      <c r="G384" s="7">
        <v>0.6</v>
      </c>
      <c r="H384" s="7">
        <v>0.6</v>
      </c>
      <c r="I384" s="7">
        <v>0.6</v>
      </c>
      <c r="J384" s="7">
        <v>0.6</v>
      </c>
      <c r="K384" s="7">
        <v>0.6</v>
      </c>
      <c r="L384" s="7">
        <v>0.6</v>
      </c>
      <c r="M384" s="7">
        <v>0.6</v>
      </c>
      <c r="N384" s="7">
        <v>0.6</v>
      </c>
      <c r="O384" s="7">
        <v>0.6</v>
      </c>
      <c r="P384" s="7">
        <v>0.6</v>
      </c>
      <c r="Q384" s="7">
        <v>0.6</v>
      </c>
    </row>
    <row r="385" spans="1:17">
      <c r="A385" s="2">
        <v>2333</v>
      </c>
      <c r="B385" s="7">
        <v>0.6</v>
      </c>
      <c r="C385" s="7">
        <v>0.6</v>
      </c>
      <c r="D385" s="7">
        <v>0.6</v>
      </c>
      <c r="E385" s="7">
        <v>0.6</v>
      </c>
      <c r="F385" s="7">
        <v>0.6</v>
      </c>
      <c r="G385" s="7">
        <v>0.6</v>
      </c>
      <c r="H385" s="7">
        <v>0.6</v>
      </c>
      <c r="I385" s="7">
        <v>0.6</v>
      </c>
      <c r="J385" s="7">
        <v>0.6</v>
      </c>
      <c r="K385" s="7">
        <v>0.6</v>
      </c>
      <c r="L385" s="7">
        <v>0.6</v>
      </c>
      <c r="M385" s="7">
        <v>0.6</v>
      </c>
      <c r="N385" s="7">
        <v>0.6</v>
      </c>
      <c r="O385" s="7">
        <v>0.6</v>
      </c>
      <c r="P385" s="7">
        <v>0.6</v>
      </c>
      <c r="Q385" s="7">
        <v>0.6</v>
      </c>
    </row>
    <row r="386" spans="1:17">
      <c r="A386" s="2">
        <v>2334</v>
      </c>
      <c r="B386" s="7">
        <v>0.6</v>
      </c>
      <c r="C386" s="7">
        <v>0.6</v>
      </c>
      <c r="D386" s="7">
        <v>0.6</v>
      </c>
      <c r="E386" s="7">
        <v>0.6</v>
      </c>
      <c r="F386" s="7">
        <v>0.6</v>
      </c>
      <c r="G386" s="7">
        <v>0.6</v>
      </c>
      <c r="H386" s="7">
        <v>0.6</v>
      </c>
      <c r="I386" s="7">
        <v>0.6</v>
      </c>
      <c r="J386" s="7">
        <v>0.6</v>
      </c>
      <c r="K386" s="7">
        <v>0.6</v>
      </c>
      <c r="L386" s="7">
        <v>0.6</v>
      </c>
      <c r="M386" s="7">
        <v>0.6</v>
      </c>
      <c r="N386" s="7">
        <v>0.6</v>
      </c>
      <c r="O386" s="7">
        <v>0.6</v>
      </c>
      <c r="P386" s="7">
        <v>0.6</v>
      </c>
      <c r="Q386" s="7">
        <v>0.6</v>
      </c>
    </row>
    <row r="387" spans="1:17">
      <c r="A387" s="2">
        <v>2335</v>
      </c>
      <c r="B387" s="7">
        <v>0.6</v>
      </c>
      <c r="C387" s="7">
        <v>0.6</v>
      </c>
      <c r="D387" s="7">
        <v>0.6</v>
      </c>
      <c r="E387" s="7">
        <v>0.6</v>
      </c>
      <c r="F387" s="7">
        <v>0.6</v>
      </c>
      <c r="G387" s="7">
        <v>0.6</v>
      </c>
      <c r="H387" s="7">
        <v>0.6</v>
      </c>
      <c r="I387" s="7">
        <v>0.6</v>
      </c>
      <c r="J387" s="7">
        <v>0.6</v>
      </c>
      <c r="K387" s="7">
        <v>0.6</v>
      </c>
      <c r="L387" s="7">
        <v>0.6</v>
      </c>
      <c r="M387" s="7">
        <v>0.6</v>
      </c>
      <c r="N387" s="7">
        <v>0.6</v>
      </c>
      <c r="O387" s="7">
        <v>0.6</v>
      </c>
      <c r="P387" s="7">
        <v>0.6</v>
      </c>
      <c r="Q387" s="7">
        <v>0.6</v>
      </c>
    </row>
    <row r="388" spans="1:17">
      <c r="A388" s="2">
        <v>2336</v>
      </c>
      <c r="B388" s="7">
        <v>0.6</v>
      </c>
      <c r="C388" s="7">
        <v>0.6</v>
      </c>
      <c r="D388" s="7">
        <v>0.6</v>
      </c>
      <c r="E388" s="7">
        <v>0.6</v>
      </c>
      <c r="F388" s="7">
        <v>0.6</v>
      </c>
      <c r="G388" s="7">
        <v>0.6</v>
      </c>
      <c r="H388" s="7">
        <v>0.6</v>
      </c>
      <c r="I388" s="7">
        <v>0.6</v>
      </c>
      <c r="J388" s="7">
        <v>0.6</v>
      </c>
      <c r="K388" s="7">
        <v>0.6</v>
      </c>
      <c r="L388" s="7">
        <v>0.6</v>
      </c>
      <c r="M388" s="7">
        <v>0.6</v>
      </c>
      <c r="N388" s="7">
        <v>0.6</v>
      </c>
      <c r="O388" s="7">
        <v>0.6</v>
      </c>
      <c r="P388" s="7">
        <v>0.6</v>
      </c>
      <c r="Q388" s="7">
        <v>0.6</v>
      </c>
    </row>
    <row r="389" spans="1:17">
      <c r="A389" s="2">
        <v>2337</v>
      </c>
      <c r="B389" s="7">
        <v>0.6</v>
      </c>
      <c r="C389" s="7">
        <v>0.6</v>
      </c>
      <c r="D389" s="7">
        <v>0.6</v>
      </c>
      <c r="E389" s="7">
        <v>0.6</v>
      </c>
      <c r="F389" s="7">
        <v>0.6</v>
      </c>
      <c r="G389" s="7">
        <v>0.6</v>
      </c>
      <c r="H389" s="7">
        <v>0.6</v>
      </c>
      <c r="I389" s="7">
        <v>0.6</v>
      </c>
      <c r="J389" s="7">
        <v>0.6</v>
      </c>
      <c r="K389" s="7">
        <v>0.6</v>
      </c>
      <c r="L389" s="7">
        <v>0.6</v>
      </c>
      <c r="M389" s="7">
        <v>0.6</v>
      </c>
      <c r="N389" s="7">
        <v>0.6</v>
      </c>
      <c r="O389" s="7">
        <v>0.6</v>
      </c>
      <c r="P389" s="7">
        <v>0.6</v>
      </c>
      <c r="Q389" s="7">
        <v>0.6</v>
      </c>
    </row>
    <row r="390" spans="1:17">
      <c r="A390" s="2">
        <v>2338</v>
      </c>
      <c r="B390" s="7">
        <v>0.6</v>
      </c>
      <c r="C390" s="7">
        <v>0.6</v>
      </c>
      <c r="D390" s="7">
        <v>0.6</v>
      </c>
      <c r="E390" s="7">
        <v>0.6</v>
      </c>
      <c r="F390" s="7">
        <v>0.6</v>
      </c>
      <c r="G390" s="7">
        <v>0.6</v>
      </c>
      <c r="H390" s="7">
        <v>0.6</v>
      </c>
      <c r="I390" s="7">
        <v>0.6</v>
      </c>
      <c r="J390" s="7">
        <v>0.6</v>
      </c>
      <c r="K390" s="7">
        <v>0.6</v>
      </c>
      <c r="L390" s="7">
        <v>0.6</v>
      </c>
      <c r="M390" s="7">
        <v>0.6</v>
      </c>
      <c r="N390" s="7">
        <v>0.6</v>
      </c>
      <c r="O390" s="7">
        <v>0.6</v>
      </c>
      <c r="P390" s="7">
        <v>0.6</v>
      </c>
      <c r="Q390" s="7">
        <v>0.6</v>
      </c>
    </row>
    <row r="391" spans="1:17">
      <c r="A391" s="2">
        <v>2339</v>
      </c>
      <c r="B391" s="7">
        <v>0.6</v>
      </c>
      <c r="C391" s="7">
        <v>0.6</v>
      </c>
      <c r="D391" s="7">
        <v>0.6</v>
      </c>
      <c r="E391" s="7">
        <v>0.6</v>
      </c>
      <c r="F391" s="7">
        <v>0.6</v>
      </c>
      <c r="G391" s="7">
        <v>0.6</v>
      </c>
      <c r="H391" s="7">
        <v>0.6</v>
      </c>
      <c r="I391" s="7">
        <v>0.6</v>
      </c>
      <c r="J391" s="7">
        <v>0.6</v>
      </c>
      <c r="K391" s="7">
        <v>0.6</v>
      </c>
      <c r="L391" s="7">
        <v>0.6</v>
      </c>
      <c r="M391" s="7">
        <v>0.6</v>
      </c>
      <c r="N391" s="7">
        <v>0.6</v>
      </c>
      <c r="O391" s="7">
        <v>0.6</v>
      </c>
      <c r="P391" s="7">
        <v>0.6</v>
      </c>
      <c r="Q391" s="7">
        <v>0.6</v>
      </c>
    </row>
    <row r="392" spans="1:17">
      <c r="A392" s="2">
        <v>2340</v>
      </c>
      <c r="B392" s="7">
        <v>0.6</v>
      </c>
      <c r="C392" s="7">
        <v>0.6</v>
      </c>
      <c r="D392" s="7">
        <v>0.6</v>
      </c>
      <c r="E392" s="7">
        <v>0.6</v>
      </c>
      <c r="F392" s="7">
        <v>0.6</v>
      </c>
      <c r="G392" s="7">
        <v>0.6</v>
      </c>
      <c r="H392" s="7">
        <v>0.6</v>
      </c>
      <c r="I392" s="7">
        <v>0.6</v>
      </c>
      <c r="J392" s="7">
        <v>0.6</v>
      </c>
      <c r="K392" s="7">
        <v>0.6</v>
      </c>
      <c r="L392" s="7">
        <v>0.6</v>
      </c>
      <c r="M392" s="7">
        <v>0.6</v>
      </c>
      <c r="N392" s="7">
        <v>0.6</v>
      </c>
      <c r="O392" s="7">
        <v>0.6</v>
      </c>
      <c r="P392" s="7">
        <v>0.6</v>
      </c>
      <c r="Q392" s="7">
        <v>0.6</v>
      </c>
    </row>
    <row r="393" spans="1:17">
      <c r="A393" s="2">
        <v>2341</v>
      </c>
      <c r="B393" s="7">
        <v>0.6</v>
      </c>
      <c r="C393" s="7">
        <v>0.6</v>
      </c>
      <c r="D393" s="7">
        <v>0.6</v>
      </c>
      <c r="E393" s="7">
        <v>0.6</v>
      </c>
      <c r="F393" s="7">
        <v>0.6</v>
      </c>
      <c r="G393" s="7">
        <v>0.6</v>
      </c>
      <c r="H393" s="7">
        <v>0.6</v>
      </c>
      <c r="I393" s="7">
        <v>0.6</v>
      </c>
      <c r="J393" s="7">
        <v>0.6</v>
      </c>
      <c r="K393" s="7">
        <v>0.6</v>
      </c>
      <c r="L393" s="7">
        <v>0.6</v>
      </c>
      <c r="M393" s="7">
        <v>0.6</v>
      </c>
      <c r="N393" s="7">
        <v>0.6</v>
      </c>
      <c r="O393" s="7">
        <v>0.6</v>
      </c>
      <c r="P393" s="7">
        <v>0.6</v>
      </c>
      <c r="Q393" s="7">
        <v>0.6</v>
      </c>
    </row>
    <row r="394" spans="1:17">
      <c r="A394" s="2">
        <v>2342</v>
      </c>
      <c r="B394" s="7">
        <v>0.6</v>
      </c>
      <c r="C394" s="7">
        <v>0.6</v>
      </c>
      <c r="D394" s="7">
        <v>0.6</v>
      </c>
      <c r="E394" s="7">
        <v>0.6</v>
      </c>
      <c r="F394" s="7">
        <v>0.6</v>
      </c>
      <c r="G394" s="7">
        <v>0.6</v>
      </c>
      <c r="H394" s="7">
        <v>0.6</v>
      </c>
      <c r="I394" s="7">
        <v>0.6</v>
      </c>
      <c r="J394" s="7">
        <v>0.6</v>
      </c>
      <c r="K394" s="7">
        <v>0.6</v>
      </c>
      <c r="L394" s="7">
        <v>0.6</v>
      </c>
      <c r="M394" s="7">
        <v>0.6</v>
      </c>
      <c r="N394" s="7">
        <v>0.6</v>
      </c>
      <c r="O394" s="7">
        <v>0.6</v>
      </c>
      <c r="P394" s="7">
        <v>0.6</v>
      </c>
      <c r="Q394" s="7">
        <v>0.6</v>
      </c>
    </row>
    <row r="395" spans="1:17">
      <c r="A395" s="2">
        <v>2343</v>
      </c>
      <c r="B395" s="7">
        <v>0.6</v>
      </c>
      <c r="C395" s="7">
        <v>0.6</v>
      </c>
      <c r="D395" s="7">
        <v>0.6</v>
      </c>
      <c r="E395" s="7">
        <v>0.6</v>
      </c>
      <c r="F395" s="7">
        <v>0.6</v>
      </c>
      <c r="G395" s="7">
        <v>0.6</v>
      </c>
      <c r="H395" s="7">
        <v>0.6</v>
      </c>
      <c r="I395" s="7">
        <v>0.6</v>
      </c>
      <c r="J395" s="7">
        <v>0.6</v>
      </c>
      <c r="K395" s="7">
        <v>0.6</v>
      </c>
      <c r="L395" s="7">
        <v>0.6</v>
      </c>
      <c r="M395" s="7">
        <v>0.6</v>
      </c>
      <c r="N395" s="7">
        <v>0.6</v>
      </c>
      <c r="O395" s="7">
        <v>0.6</v>
      </c>
      <c r="P395" s="7">
        <v>0.6</v>
      </c>
      <c r="Q395" s="7">
        <v>0.6</v>
      </c>
    </row>
    <row r="396" spans="1:17">
      <c r="A396" s="2">
        <v>2344</v>
      </c>
      <c r="B396" s="7">
        <v>0.6</v>
      </c>
      <c r="C396" s="7">
        <v>0.6</v>
      </c>
      <c r="D396" s="7">
        <v>0.6</v>
      </c>
      <c r="E396" s="7">
        <v>0.6</v>
      </c>
      <c r="F396" s="7">
        <v>0.6</v>
      </c>
      <c r="G396" s="7">
        <v>0.6</v>
      </c>
      <c r="H396" s="7">
        <v>0.6</v>
      </c>
      <c r="I396" s="7">
        <v>0.6</v>
      </c>
      <c r="J396" s="7">
        <v>0.6</v>
      </c>
      <c r="K396" s="7">
        <v>0.6</v>
      </c>
      <c r="L396" s="7">
        <v>0.6</v>
      </c>
      <c r="M396" s="7">
        <v>0.6</v>
      </c>
      <c r="N396" s="7">
        <v>0.6</v>
      </c>
      <c r="O396" s="7">
        <v>0.6</v>
      </c>
      <c r="P396" s="7">
        <v>0.6</v>
      </c>
      <c r="Q396" s="7">
        <v>0.6</v>
      </c>
    </row>
    <row r="397" spans="1:17">
      <c r="A397" s="2">
        <v>2345</v>
      </c>
      <c r="B397" s="7">
        <v>0.6</v>
      </c>
      <c r="C397" s="7">
        <v>0.6</v>
      </c>
      <c r="D397" s="7">
        <v>0.6</v>
      </c>
      <c r="E397" s="7">
        <v>0.6</v>
      </c>
      <c r="F397" s="7">
        <v>0.6</v>
      </c>
      <c r="G397" s="7">
        <v>0.6</v>
      </c>
      <c r="H397" s="7">
        <v>0.6</v>
      </c>
      <c r="I397" s="7">
        <v>0.6</v>
      </c>
      <c r="J397" s="7">
        <v>0.6</v>
      </c>
      <c r="K397" s="7">
        <v>0.6</v>
      </c>
      <c r="L397" s="7">
        <v>0.6</v>
      </c>
      <c r="M397" s="7">
        <v>0.6</v>
      </c>
      <c r="N397" s="7">
        <v>0.6</v>
      </c>
      <c r="O397" s="7">
        <v>0.6</v>
      </c>
      <c r="P397" s="7">
        <v>0.6</v>
      </c>
      <c r="Q397" s="7">
        <v>0.6</v>
      </c>
    </row>
    <row r="398" spans="1:17">
      <c r="A398" s="2">
        <v>2346</v>
      </c>
      <c r="B398" s="7">
        <v>0.6</v>
      </c>
      <c r="C398" s="7">
        <v>0.6</v>
      </c>
      <c r="D398" s="7">
        <v>0.6</v>
      </c>
      <c r="E398" s="7">
        <v>0.6</v>
      </c>
      <c r="F398" s="7">
        <v>0.6</v>
      </c>
      <c r="G398" s="7">
        <v>0.6</v>
      </c>
      <c r="H398" s="7">
        <v>0.6</v>
      </c>
      <c r="I398" s="7">
        <v>0.6</v>
      </c>
      <c r="J398" s="7">
        <v>0.6</v>
      </c>
      <c r="K398" s="7">
        <v>0.6</v>
      </c>
      <c r="L398" s="7">
        <v>0.6</v>
      </c>
      <c r="M398" s="7">
        <v>0.6</v>
      </c>
      <c r="N398" s="7">
        <v>0.6</v>
      </c>
      <c r="O398" s="7">
        <v>0.6</v>
      </c>
      <c r="P398" s="7">
        <v>0.6</v>
      </c>
      <c r="Q398" s="7">
        <v>0.6</v>
      </c>
    </row>
    <row r="399" spans="1:17">
      <c r="A399" s="2">
        <v>2347</v>
      </c>
      <c r="B399" s="7">
        <v>0.6</v>
      </c>
      <c r="C399" s="7">
        <v>0.6</v>
      </c>
      <c r="D399" s="7">
        <v>0.6</v>
      </c>
      <c r="E399" s="7">
        <v>0.6</v>
      </c>
      <c r="F399" s="7">
        <v>0.6</v>
      </c>
      <c r="G399" s="7">
        <v>0.6</v>
      </c>
      <c r="H399" s="7">
        <v>0.6</v>
      </c>
      <c r="I399" s="7">
        <v>0.6</v>
      </c>
      <c r="J399" s="7">
        <v>0.6</v>
      </c>
      <c r="K399" s="7">
        <v>0.6</v>
      </c>
      <c r="L399" s="7">
        <v>0.6</v>
      </c>
      <c r="M399" s="7">
        <v>0.6</v>
      </c>
      <c r="N399" s="7">
        <v>0.6</v>
      </c>
      <c r="O399" s="7">
        <v>0.6</v>
      </c>
      <c r="P399" s="7">
        <v>0.6</v>
      </c>
      <c r="Q399" s="7">
        <v>0.6</v>
      </c>
    </row>
    <row r="400" spans="1:17">
      <c r="A400" s="2">
        <v>2348</v>
      </c>
      <c r="B400" s="7">
        <v>0.6</v>
      </c>
      <c r="C400" s="7">
        <v>0.6</v>
      </c>
      <c r="D400" s="7">
        <v>0.6</v>
      </c>
      <c r="E400" s="7">
        <v>0.6</v>
      </c>
      <c r="F400" s="7">
        <v>0.6</v>
      </c>
      <c r="G400" s="7">
        <v>0.6</v>
      </c>
      <c r="H400" s="7">
        <v>0.6</v>
      </c>
      <c r="I400" s="7">
        <v>0.6</v>
      </c>
      <c r="J400" s="7">
        <v>0.6</v>
      </c>
      <c r="K400" s="7">
        <v>0.6</v>
      </c>
      <c r="L400" s="7">
        <v>0.6</v>
      </c>
      <c r="M400" s="7">
        <v>0.6</v>
      </c>
      <c r="N400" s="7">
        <v>0.6</v>
      </c>
      <c r="O400" s="7">
        <v>0.6</v>
      </c>
      <c r="P400" s="7">
        <v>0.6</v>
      </c>
      <c r="Q400" s="7">
        <v>0.6</v>
      </c>
    </row>
    <row r="401" spans="1:17">
      <c r="A401" s="2">
        <v>2349</v>
      </c>
      <c r="B401" s="7">
        <v>0.6</v>
      </c>
      <c r="C401" s="7">
        <v>0.6</v>
      </c>
      <c r="D401" s="7">
        <v>0.6</v>
      </c>
      <c r="E401" s="7">
        <v>0.6</v>
      </c>
      <c r="F401" s="7">
        <v>0.6</v>
      </c>
      <c r="G401" s="7">
        <v>0.6</v>
      </c>
      <c r="H401" s="7">
        <v>0.6</v>
      </c>
      <c r="I401" s="7">
        <v>0.6</v>
      </c>
      <c r="J401" s="7">
        <v>0.6</v>
      </c>
      <c r="K401" s="7">
        <v>0.6</v>
      </c>
      <c r="L401" s="7">
        <v>0.6</v>
      </c>
      <c r="M401" s="7">
        <v>0.6</v>
      </c>
      <c r="N401" s="7">
        <v>0.6</v>
      </c>
      <c r="O401" s="7">
        <v>0.6</v>
      </c>
      <c r="P401" s="7">
        <v>0.6</v>
      </c>
      <c r="Q401" s="7">
        <v>0.6</v>
      </c>
    </row>
    <row r="402" spans="1:17">
      <c r="A402" s="2">
        <v>2350</v>
      </c>
      <c r="B402" s="7">
        <v>0.6</v>
      </c>
      <c r="C402" s="7">
        <v>0.6</v>
      </c>
      <c r="D402" s="7">
        <v>0.6</v>
      </c>
      <c r="E402" s="7">
        <v>0.6</v>
      </c>
      <c r="F402" s="7">
        <v>0.6</v>
      </c>
      <c r="G402" s="7">
        <v>0.6</v>
      </c>
      <c r="H402" s="7">
        <v>0.6</v>
      </c>
      <c r="I402" s="7">
        <v>0.6</v>
      </c>
      <c r="J402" s="7">
        <v>0.6</v>
      </c>
      <c r="K402" s="7">
        <v>0.6</v>
      </c>
      <c r="L402" s="7">
        <v>0.6</v>
      </c>
      <c r="M402" s="7">
        <v>0.6</v>
      </c>
      <c r="N402" s="7">
        <v>0.6</v>
      </c>
      <c r="O402" s="7">
        <v>0.6</v>
      </c>
      <c r="P402" s="7">
        <v>0.6</v>
      </c>
      <c r="Q402" s="7">
        <v>0.6</v>
      </c>
    </row>
    <row r="403" spans="1:17">
      <c r="A403" s="2">
        <v>2351</v>
      </c>
      <c r="B403" s="7">
        <v>0.6</v>
      </c>
      <c r="C403" s="7">
        <v>0.6</v>
      </c>
      <c r="D403" s="7">
        <v>0.6</v>
      </c>
      <c r="E403" s="7">
        <v>0.6</v>
      </c>
      <c r="F403" s="7">
        <v>0.6</v>
      </c>
      <c r="G403" s="7">
        <v>0.6</v>
      </c>
      <c r="H403" s="7">
        <v>0.6</v>
      </c>
      <c r="I403" s="7">
        <v>0.6</v>
      </c>
      <c r="J403" s="7">
        <v>0.6</v>
      </c>
      <c r="K403" s="7">
        <v>0.6</v>
      </c>
      <c r="L403" s="7">
        <v>0.6</v>
      </c>
      <c r="M403" s="7">
        <v>0.6</v>
      </c>
      <c r="N403" s="7">
        <v>0.6</v>
      </c>
      <c r="O403" s="7">
        <v>0.6</v>
      </c>
      <c r="P403" s="7">
        <v>0.6</v>
      </c>
      <c r="Q403" s="7">
        <v>0.6</v>
      </c>
    </row>
    <row r="404" spans="1:17">
      <c r="A404" s="2">
        <v>2352</v>
      </c>
      <c r="B404" s="7">
        <v>0.6</v>
      </c>
      <c r="C404" s="7">
        <v>0.6</v>
      </c>
      <c r="D404" s="7">
        <v>0.6</v>
      </c>
      <c r="E404" s="7">
        <v>0.6</v>
      </c>
      <c r="F404" s="7">
        <v>0.6</v>
      </c>
      <c r="G404" s="7">
        <v>0.6</v>
      </c>
      <c r="H404" s="7">
        <v>0.6</v>
      </c>
      <c r="I404" s="7">
        <v>0.6</v>
      </c>
      <c r="J404" s="7">
        <v>0.6</v>
      </c>
      <c r="K404" s="7">
        <v>0.6</v>
      </c>
      <c r="L404" s="7">
        <v>0.6</v>
      </c>
      <c r="M404" s="7">
        <v>0.6</v>
      </c>
      <c r="N404" s="7">
        <v>0.6</v>
      </c>
      <c r="O404" s="7">
        <v>0.6</v>
      </c>
      <c r="P404" s="7">
        <v>0.6</v>
      </c>
      <c r="Q404" s="7">
        <v>0.6</v>
      </c>
    </row>
    <row r="405" spans="1:17">
      <c r="A405" s="2">
        <v>2353</v>
      </c>
      <c r="B405" s="7">
        <v>0.6</v>
      </c>
      <c r="C405" s="7">
        <v>0.6</v>
      </c>
      <c r="D405" s="7">
        <v>0.6</v>
      </c>
      <c r="E405" s="7">
        <v>0.6</v>
      </c>
      <c r="F405" s="7">
        <v>0.6</v>
      </c>
      <c r="G405" s="7">
        <v>0.6</v>
      </c>
      <c r="H405" s="7">
        <v>0.6</v>
      </c>
      <c r="I405" s="7">
        <v>0.6</v>
      </c>
      <c r="J405" s="7">
        <v>0.6</v>
      </c>
      <c r="K405" s="7">
        <v>0.6</v>
      </c>
      <c r="L405" s="7">
        <v>0.6</v>
      </c>
      <c r="M405" s="7">
        <v>0.6</v>
      </c>
      <c r="N405" s="7">
        <v>0.6</v>
      </c>
      <c r="O405" s="7">
        <v>0.6</v>
      </c>
      <c r="P405" s="7">
        <v>0.6</v>
      </c>
      <c r="Q405" s="7">
        <v>0.6</v>
      </c>
    </row>
    <row r="406" spans="1:17">
      <c r="A406" s="2">
        <v>2354</v>
      </c>
      <c r="B406" s="7">
        <v>0.6</v>
      </c>
      <c r="C406" s="7">
        <v>0.6</v>
      </c>
      <c r="D406" s="7">
        <v>0.6</v>
      </c>
      <c r="E406" s="7">
        <v>0.6</v>
      </c>
      <c r="F406" s="7">
        <v>0.6</v>
      </c>
      <c r="G406" s="7">
        <v>0.6</v>
      </c>
      <c r="H406" s="7">
        <v>0.6</v>
      </c>
      <c r="I406" s="7">
        <v>0.6</v>
      </c>
      <c r="J406" s="7">
        <v>0.6</v>
      </c>
      <c r="K406" s="7">
        <v>0.6</v>
      </c>
      <c r="L406" s="7">
        <v>0.6</v>
      </c>
      <c r="M406" s="7">
        <v>0.6</v>
      </c>
      <c r="N406" s="7">
        <v>0.6</v>
      </c>
      <c r="O406" s="7">
        <v>0.6</v>
      </c>
      <c r="P406" s="7">
        <v>0.6</v>
      </c>
      <c r="Q406" s="7">
        <v>0.6</v>
      </c>
    </row>
    <row r="407" spans="1:17">
      <c r="A407" s="2">
        <v>2355</v>
      </c>
      <c r="B407" s="7">
        <v>0.6</v>
      </c>
      <c r="C407" s="7">
        <v>0.6</v>
      </c>
      <c r="D407" s="7">
        <v>0.6</v>
      </c>
      <c r="E407" s="7">
        <v>0.6</v>
      </c>
      <c r="F407" s="7">
        <v>0.6</v>
      </c>
      <c r="G407" s="7">
        <v>0.6</v>
      </c>
      <c r="H407" s="7">
        <v>0.6</v>
      </c>
      <c r="I407" s="7">
        <v>0.6</v>
      </c>
      <c r="J407" s="7">
        <v>0.6</v>
      </c>
      <c r="K407" s="7">
        <v>0.6</v>
      </c>
      <c r="L407" s="7">
        <v>0.6</v>
      </c>
      <c r="M407" s="7">
        <v>0.6</v>
      </c>
      <c r="N407" s="7">
        <v>0.6</v>
      </c>
      <c r="O407" s="7">
        <v>0.6</v>
      </c>
      <c r="P407" s="7">
        <v>0.6</v>
      </c>
      <c r="Q407" s="7">
        <v>0.6</v>
      </c>
    </row>
    <row r="408" spans="1:17">
      <c r="A408" s="2">
        <v>2356</v>
      </c>
      <c r="B408" s="7">
        <v>0.6</v>
      </c>
      <c r="C408" s="7">
        <v>0.6</v>
      </c>
      <c r="D408" s="7">
        <v>0.6</v>
      </c>
      <c r="E408" s="7">
        <v>0.6</v>
      </c>
      <c r="F408" s="7">
        <v>0.6</v>
      </c>
      <c r="G408" s="7">
        <v>0.6</v>
      </c>
      <c r="H408" s="7">
        <v>0.6</v>
      </c>
      <c r="I408" s="7">
        <v>0.6</v>
      </c>
      <c r="J408" s="7">
        <v>0.6</v>
      </c>
      <c r="K408" s="7">
        <v>0.6</v>
      </c>
      <c r="L408" s="7">
        <v>0.6</v>
      </c>
      <c r="M408" s="7">
        <v>0.6</v>
      </c>
      <c r="N408" s="7">
        <v>0.6</v>
      </c>
      <c r="O408" s="7">
        <v>0.6</v>
      </c>
      <c r="P408" s="7">
        <v>0.6</v>
      </c>
      <c r="Q408" s="7">
        <v>0.6</v>
      </c>
    </row>
    <row r="409" spans="1:17">
      <c r="A409" s="2">
        <v>2357</v>
      </c>
      <c r="B409" s="7">
        <v>0.6</v>
      </c>
      <c r="C409" s="7">
        <v>0.6</v>
      </c>
      <c r="D409" s="7">
        <v>0.6</v>
      </c>
      <c r="E409" s="7">
        <v>0.6</v>
      </c>
      <c r="F409" s="7">
        <v>0.6</v>
      </c>
      <c r="G409" s="7">
        <v>0.6</v>
      </c>
      <c r="H409" s="7">
        <v>0.6</v>
      </c>
      <c r="I409" s="7">
        <v>0.6</v>
      </c>
      <c r="J409" s="7">
        <v>0.6</v>
      </c>
      <c r="K409" s="7">
        <v>0.6</v>
      </c>
      <c r="L409" s="7">
        <v>0.6</v>
      </c>
      <c r="M409" s="7">
        <v>0.6</v>
      </c>
      <c r="N409" s="7">
        <v>0.6</v>
      </c>
      <c r="O409" s="7">
        <v>0.6</v>
      </c>
      <c r="P409" s="7">
        <v>0.6</v>
      </c>
      <c r="Q409" s="7">
        <v>0.6</v>
      </c>
    </row>
    <row r="410" spans="1:17">
      <c r="A410" s="2">
        <v>2358</v>
      </c>
      <c r="B410" s="7">
        <v>0.6</v>
      </c>
      <c r="C410" s="7">
        <v>0.6</v>
      </c>
      <c r="D410" s="7">
        <v>0.6</v>
      </c>
      <c r="E410" s="7">
        <v>0.6</v>
      </c>
      <c r="F410" s="7">
        <v>0.6</v>
      </c>
      <c r="G410" s="7">
        <v>0.6</v>
      </c>
      <c r="H410" s="7">
        <v>0.6</v>
      </c>
      <c r="I410" s="7">
        <v>0.6</v>
      </c>
      <c r="J410" s="7">
        <v>0.6</v>
      </c>
      <c r="K410" s="7">
        <v>0.6</v>
      </c>
      <c r="L410" s="7">
        <v>0.6</v>
      </c>
      <c r="M410" s="7">
        <v>0.6</v>
      </c>
      <c r="N410" s="7">
        <v>0.6</v>
      </c>
      <c r="O410" s="7">
        <v>0.6</v>
      </c>
      <c r="P410" s="7">
        <v>0.6</v>
      </c>
      <c r="Q410" s="7">
        <v>0.6</v>
      </c>
    </row>
    <row r="411" spans="1:17">
      <c r="A411" s="2">
        <v>2359</v>
      </c>
      <c r="B411" s="7">
        <v>0.6</v>
      </c>
      <c r="C411" s="7">
        <v>0.6</v>
      </c>
      <c r="D411" s="7">
        <v>0.6</v>
      </c>
      <c r="E411" s="7">
        <v>0.6</v>
      </c>
      <c r="F411" s="7">
        <v>0.6</v>
      </c>
      <c r="G411" s="7">
        <v>0.6</v>
      </c>
      <c r="H411" s="7">
        <v>0.6</v>
      </c>
      <c r="I411" s="7">
        <v>0.6</v>
      </c>
      <c r="J411" s="7">
        <v>0.6</v>
      </c>
      <c r="K411" s="7">
        <v>0.6</v>
      </c>
      <c r="L411" s="7">
        <v>0.6</v>
      </c>
      <c r="M411" s="7">
        <v>0.6</v>
      </c>
      <c r="N411" s="7">
        <v>0.6</v>
      </c>
      <c r="O411" s="7">
        <v>0.6</v>
      </c>
      <c r="P411" s="7">
        <v>0.6</v>
      </c>
      <c r="Q411" s="7">
        <v>0.6</v>
      </c>
    </row>
    <row r="412" spans="1:17">
      <c r="A412" s="2">
        <v>2360</v>
      </c>
      <c r="B412" s="7">
        <v>0.6</v>
      </c>
      <c r="C412" s="7">
        <v>0.6</v>
      </c>
      <c r="D412" s="7">
        <v>0.6</v>
      </c>
      <c r="E412" s="7">
        <v>0.6</v>
      </c>
      <c r="F412" s="7">
        <v>0.6</v>
      </c>
      <c r="G412" s="7">
        <v>0.6</v>
      </c>
      <c r="H412" s="7">
        <v>0.6</v>
      </c>
      <c r="I412" s="7">
        <v>0.6</v>
      </c>
      <c r="J412" s="7">
        <v>0.6</v>
      </c>
      <c r="K412" s="7">
        <v>0.6</v>
      </c>
      <c r="L412" s="7">
        <v>0.6</v>
      </c>
      <c r="M412" s="7">
        <v>0.6</v>
      </c>
      <c r="N412" s="7">
        <v>0.6</v>
      </c>
      <c r="O412" s="7">
        <v>0.6</v>
      </c>
      <c r="P412" s="7">
        <v>0.6</v>
      </c>
      <c r="Q412" s="7">
        <v>0.6</v>
      </c>
    </row>
    <row r="413" spans="1:17">
      <c r="A413" s="2">
        <v>2361</v>
      </c>
      <c r="B413" s="7">
        <v>0.6</v>
      </c>
      <c r="C413" s="7">
        <v>0.6</v>
      </c>
      <c r="D413" s="7">
        <v>0.6</v>
      </c>
      <c r="E413" s="7">
        <v>0.6</v>
      </c>
      <c r="F413" s="7">
        <v>0.6</v>
      </c>
      <c r="G413" s="7">
        <v>0.6</v>
      </c>
      <c r="H413" s="7">
        <v>0.6</v>
      </c>
      <c r="I413" s="7">
        <v>0.6</v>
      </c>
      <c r="J413" s="7">
        <v>0.6</v>
      </c>
      <c r="K413" s="7">
        <v>0.6</v>
      </c>
      <c r="L413" s="7">
        <v>0.6</v>
      </c>
      <c r="M413" s="7">
        <v>0.6</v>
      </c>
      <c r="N413" s="7">
        <v>0.6</v>
      </c>
      <c r="O413" s="7">
        <v>0.6</v>
      </c>
      <c r="P413" s="7">
        <v>0.6</v>
      </c>
      <c r="Q413" s="7">
        <v>0.6</v>
      </c>
    </row>
    <row r="414" spans="1:17">
      <c r="A414" s="2">
        <v>2362</v>
      </c>
      <c r="B414" s="7">
        <v>0.6</v>
      </c>
      <c r="C414" s="7">
        <v>0.6</v>
      </c>
      <c r="D414" s="7">
        <v>0.6</v>
      </c>
      <c r="E414" s="7">
        <v>0.6</v>
      </c>
      <c r="F414" s="7">
        <v>0.6</v>
      </c>
      <c r="G414" s="7">
        <v>0.6</v>
      </c>
      <c r="H414" s="7">
        <v>0.6</v>
      </c>
      <c r="I414" s="7">
        <v>0.6</v>
      </c>
      <c r="J414" s="7">
        <v>0.6</v>
      </c>
      <c r="K414" s="7">
        <v>0.6</v>
      </c>
      <c r="L414" s="7">
        <v>0.6</v>
      </c>
      <c r="M414" s="7">
        <v>0.6</v>
      </c>
      <c r="N414" s="7">
        <v>0.6</v>
      </c>
      <c r="O414" s="7">
        <v>0.6</v>
      </c>
      <c r="P414" s="7">
        <v>0.6</v>
      </c>
      <c r="Q414" s="7">
        <v>0.6</v>
      </c>
    </row>
    <row r="415" spans="1:17">
      <c r="A415" s="2">
        <v>2363</v>
      </c>
      <c r="B415" s="7">
        <v>0.6</v>
      </c>
      <c r="C415" s="7">
        <v>0.6</v>
      </c>
      <c r="D415" s="7">
        <v>0.6</v>
      </c>
      <c r="E415" s="7">
        <v>0.6</v>
      </c>
      <c r="F415" s="7">
        <v>0.6</v>
      </c>
      <c r="G415" s="7">
        <v>0.6</v>
      </c>
      <c r="H415" s="7">
        <v>0.6</v>
      </c>
      <c r="I415" s="7">
        <v>0.6</v>
      </c>
      <c r="J415" s="7">
        <v>0.6</v>
      </c>
      <c r="K415" s="7">
        <v>0.6</v>
      </c>
      <c r="L415" s="7">
        <v>0.6</v>
      </c>
      <c r="M415" s="7">
        <v>0.6</v>
      </c>
      <c r="N415" s="7">
        <v>0.6</v>
      </c>
      <c r="O415" s="7">
        <v>0.6</v>
      </c>
      <c r="P415" s="7">
        <v>0.6</v>
      </c>
      <c r="Q415" s="7">
        <v>0.6</v>
      </c>
    </row>
    <row r="416" spans="1:17">
      <c r="A416" s="2">
        <v>2364</v>
      </c>
      <c r="B416" s="7">
        <v>0.6</v>
      </c>
      <c r="C416" s="7">
        <v>0.6</v>
      </c>
      <c r="D416" s="7">
        <v>0.6</v>
      </c>
      <c r="E416" s="7">
        <v>0.6</v>
      </c>
      <c r="F416" s="7">
        <v>0.6</v>
      </c>
      <c r="G416" s="7">
        <v>0.6</v>
      </c>
      <c r="H416" s="7">
        <v>0.6</v>
      </c>
      <c r="I416" s="7">
        <v>0.6</v>
      </c>
      <c r="J416" s="7">
        <v>0.6</v>
      </c>
      <c r="K416" s="7">
        <v>0.6</v>
      </c>
      <c r="L416" s="7">
        <v>0.6</v>
      </c>
      <c r="M416" s="7">
        <v>0.6</v>
      </c>
      <c r="N416" s="7">
        <v>0.6</v>
      </c>
      <c r="O416" s="7">
        <v>0.6</v>
      </c>
      <c r="P416" s="7">
        <v>0.6</v>
      </c>
      <c r="Q416" s="7">
        <v>0.6</v>
      </c>
    </row>
    <row r="417" spans="1:17">
      <c r="A417" s="2">
        <v>2365</v>
      </c>
      <c r="B417" s="7">
        <v>0.6</v>
      </c>
      <c r="C417" s="7">
        <v>0.6</v>
      </c>
      <c r="D417" s="7">
        <v>0.6</v>
      </c>
      <c r="E417" s="7">
        <v>0.6</v>
      </c>
      <c r="F417" s="7">
        <v>0.6</v>
      </c>
      <c r="G417" s="7">
        <v>0.6</v>
      </c>
      <c r="H417" s="7">
        <v>0.6</v>
      </c>
      <c r="I417" s="7">
        <v>0.6</v>
      </c>
      <c r="J417" s="7">
        <v>0.6</v>
      </c>
      <c r="K417" s="7">
        <v>0.6</v>
      </c>
      <c r="L417" s="7">
        <v>0.6</v>
      </c>
      <c r="M417" s="7">
        <v>0.6</v>
      </c>
      <c r="N417" s="7">
        <v>0.6</v>
      </c>
      <c r="O417" s="7">
        <v>0.6</v>
      </c>
      <c r="P417" s="7">
        <v>0.6</v>
      </c>
      <c r="Q417" s="7">
        <v>0.6</v>
      </c>
    </row>
    <row r="418" spans="1:17">
      <c r="A418" s="2">
        <v>2366</v>
      </c>
      <c r="B418" s="7">
        <v>0.6</v>
      </c>
      <c r="C418" s="7">
        <v>0.6</v>
      </c>
      <c r="D418" s="7">
        <v>0.6</v>
      </c>
      <c r="E418" s="7">
        <v>0.6</v>
      </c>
      <c r="F418" s="7">
        <v>0.6</v>
      </c>
      <c r="G418" s="7">
        <v>0.6</v>
      </c>
      <c r="H418" s="7">
        <v>0.6</v>
      </c>
      <c r="I418" s="7">
        <v>0.6</v>
      </c>
      <c r="J418" s="7">
        <v>0.6</v>
      </c>
      <c r="K418" s="7">
        <v>0.6</v>
      </c>
      <c r="L418" s="7">
        <v>0.6</v>
      </c>
      <c r="M418" s="7">
        <v>0.6</v>
      </c>
      <c r="N418" s="7">
        <v>0.6</v>
      </c>
      <c r="O418" s="7">
        <v>0.6</v>
      </c>
      <c r="P418" s="7">
        <v>0.6</v>
      </c>
      <c r="Q418" s="7">
        <v>0.6</v>
      </c>
    </row>
    <row r="419" spans="1:17">
      <c r="A419" s="2">
        <v>2367</v>
      </c>
      <c r="B419" s="7">
        <v>0.6</v>
      </c>
      <c r="C419" s="7">
        <v>0.6</v>
      </c>
      <c r="D419" s="7">
        <v>0.6</v>
      </c>
      <c r="E419" s="7">
        <v>0.6</v>
      </c>
      <c r="F419" s="7">
        <v>0.6</v>
      </c>
      <c r="G419" s="7">
        <v>0.6</v>
      </c>
      <c r="H419" s="7">
        <v>0.6</v>
      </c>
      <c r="I419" s="7">
        <v>0.6</v>
      </c>
      <c r="J419" s="7">
        <v>0.6</v>
      </c>
      <c r="K419" s="7">
        <v>0.6</v>
      </c>
      <c r="L419" s="7">
        <v>0.6</v>
      </c>
      <c r="M419" s="7">
        <v>0.6</v>
      </c>
      <c r="N419" s="7">
        <v>0.6</v>
      </c>
      <c r="O419" s="7">
        <v>0.6</v>
      </c>
      <c r="P419" s="7">
        <v>0.6</v>
      </c>
      <c r="Q419" s="7">
        <v>0.6</v>
      </c>
    </row>
    <row r="420" spans="1:17">
      <c r="A420" s="2">
        <v>2368</v>
      </c>
      <c r="B420" s="7">
        <v>0.6</v>
      </c>
      <c r="C420" s="7">
        <v>0.6</v>
      </c>
      <c r="D420" s="7">
        <v>0.6</v>
      </c>
      <c r="E420" s="7">
        <v>0.6</v>
      </c>
      <c r="F420" s="7">
        <v>0.6</v>
      </c>
      <c r="G420" s="7">
        <v>0.6</v>
      </c>
      <c r="H420" s="7">
        <v>0.6</v>
      </c>
      <c r="I420" s="7">
        <v>0.6</v>
      </c>
      <c r="J420" s="7">
        <v>0.6</v>
      </c>
      <c r="K420" s="7">
        <v>0.6</v>
      </c>
      <c r="L420" s="7">
        <v>0.6</v>
      </c>
      <c r="M420" s="7">
        <v>0.6</v>
      </c>
      <c r="N420" s="7">
        <v>0.6</v>
      </c>
      <c r="O420" s="7">
        <v>0.6</v>
      </c>
      <c r="P420" s="7">
        <v>0.6</v>
      </c>
      <c r="Q420" s="7">
        <v>0.6</v>
      </c>
    </row>
    <row r="421" spans="1:17">
      <c r="A421" s="2">
        <v>2369</v>
      </c>
      <c r="B421" s="7">
        <v>0.6</v>
      </c>
      <c r="C421" s="7">
        <v>0.6</v>
      </c>
      <c r="D421" s="7">
        <v>0.6</v>
      </c>
      <c r="E421" s="7">
        <v>0.6</v>
      </c>
      <c r="F421" s="7">
        <v>0.6</v>
      </c>
      <c r="G421" s="7">
        <v>0.6</v>
      </c>
      <c r="H421" s="7">
        <v>0.6</v>
      </c>
      <c r="I421" s="7">
        <v>0.6</v>
      </c>
      <c r="J421" s="7">
        <v>0.6</v>
      </c>
      <c r="K421" s="7">
        <v>0.6</v>
      </c>
      <c r="L421" s="7">
        <v>0.6</v>
      </c>
      <c r="M421" s="7">
        <v>0.6</v>
      </c>
      <c r="N421" s="7">
        <v>0.6</v>
      </c>
      <c r="O421" s="7">
        <v>0.6</v>
      </c>
      <c r="P421" s="7">
        <v>0.6</v>
      </c>
      <c r="Q421" s="7">
        <v>0.6</v>
      </c>
    </row>
    <row r="422" spans="1:17">
      <c r="A422" s="2">
        <v>2370</v>
      </c>
      <c r="B422" s="7">
        <v>0.6</v>
      </c>
      <c r="C422" s="7">
        <v>0.6</v>
      </c>
      <c r="D422" s="7">
        <v>0.6</v>
      </c>
      <c r="E422" s="7">
        <v>0.6</v>
      </c>
      <c r="F422" s="7">
        <v>0.6</v>
      </c>
      <c r="G422" s="7">
        <v>0.6</v>
      </c>
      <c r="H422" s="7">
        <v>0.6</v>
      </c>
      <c r="I422" s="7">
        <v>0.6</v>
      </c>
      <c r="J422" s="7">
        <v>0.6</v>
      </c>
      <c r="K422" s="7">
        <v>0.6</v>
      </c>
      <c r="L422" s="7">
        <v>0.6</v>
      </c>
      <c r="M422" s="7">
        <v>0.6</v>
      </c>
      <c r="N422" s="7">
        <v>0.6</v>
      </c>
      <c r="O422" s="7">
        <v>0.6</v>
      </c>
      <c r="P422" s="7">
        <v>0.6</v>
      </c>
      <c r="Q422" s="7">
        <v>0.6</v>
      </c>
    </row>
    <row r="423" spans="1:17">
      <c r="A423" s="2">
        <v>2371</v>
      </c>
      <c r="B423" s="7">
        <v>0.6</v>
      </c>
      <c r="C423" s="7">
        <v>0.6</v>
      </c>
      <c r="D423" s="7">
        <v>0.6</v>
      </c>
      <c r="E423" s="7">
        <v>0.6</v>
      </c>
      <c r="F423" s="7">
        <v>0.6</v>
      </c>
      <c r="G423" s="7">
        <v>0.6</v>
      </c>
      <c r="H423" s="7">
        <v>0.6</v>
      </c>
      <c r="I423" s="7">
        <v>0.6</v>
      </c>
      <c r="J423" s="7">
        <v>0.6</v>
      </c>
      <c r="K423" s="7">
        <v>0.6</v>
      </c>
      <c r="L423" s="7">
        <v>0.6</v>
      </c>
      <c r="M423" s="7">
        <v>0.6</v>
      </c>
      <c r="N423" s="7">
        <v>0.6</v>
      </c>
      <c r="O423" s="7">
        <v>0.6</v>
      </c>
      <c r="P423" s="7">
        <v>0.6</v>
      </c>
      <c r="Q423" s="7">
        <v>0.6</v>
      </c>
    </row>
    <row r="424" spans="1:17">
      <c r="A424" s="2">
        <v>2372</v>
      </c>
      <c r="B424" s="7">
        <v>0.6</v>
      </c>
      <c r="C424" s="7">
        <v>0.6</v>
      </c>
      <c r="D424" s="7">
        <v>0.6</v>
      </c>
      <c r="E424" s="7">
        <v>0.6</v>
      </c>
      <c r="F424" s="7">
        <v>0.6</v>
      </c>
      <c r="G424" s="7">
        <v>0.6</v>
      </c>
      <c r="H424" s="7">
        <v>0.6</v>
      </c>
      <c r="I424" s="7">
        <v>0.6</v>
      </c>
      <c r="J424" s="7">
        <v>0.6</v>
      </c>
      <c r="K424" s="7">
        <v>0.6</v>
      </c>
      <c r="L424" s="7">
        <v>0.6</v>
      </c>
      <c r="M424" s="7">
        <v>0.6</v>
      </c>
      <c r="N424" s="7">
        <v>0.6</v>
      </c>
      <c r="O424" s="7">
        <v>0.6</v>
      </c>
      <c r="P424" s="7">
        <v>0.6</v>
      </c>
      <c r="Q424" s="7">
        <v>0.6</v>
      </c>
    </row>
    <row r="425" spans="1:17">
      <c r="A425" s="2">
        <v>2373</v>
      </c>
      <c r="B425" s="7">
        <v>0.6</v>
      </c>
      <c r="C425" s="7">
        <v>0.6</v>
      </c>
      <c r="D425" s="7">
        <v>0.6</v>
      </c>
      <c r="E425" s="7">
        <v>0.6</v>
      </c>
      <c r="F425" s="7">
        <v>0.6</v>
      </c>
      <c r="G425" s="7">
        <v>0.6</v>
      </c>
      <c r="H425" s="7">
        <v>0.6</v>
      </c>
      <c r="I425" s="7">
        <v>0.6</v>
      </c>
      <c r="J425" s="7">
        <v>0.6</v>
      </c>
      <c r="K425" s="7">
        <v>0.6</v>
      </c>
      <c r="L425" s="7">
        <v>0.6</v>
      </c>
      <c r="M425" s="7">
        <v>0.6</v>
      </c>
      <c r="N425" s="7">
        <v>0.6</v>
      </c>
      <c r="O425" s="7">
        <v>0.6</v>
      </c>
      <c r="P425" s="7">
        <v>0.6</v>
      </c>
      <c r="Q425" s="7">
        <v>0.6</v>
      </c>
    </row>
    <row r="426" spans="1:17">
      <c r="A426" s="2">
        <v>2374</v>
      </c>
      <c r="B426" s="7">
        <v>0.6</v>
      </c>
      <c r="C426" s="7">
        <v>0.6</v>
      </c>
      <c r="D426" s="7">
        <v>0.6</v>
      </c>
      <c r="E426" s="7">
        <v>0.6</v>
      </c>
      <c r="F426" s="7">
        <v>0.6</v>
      </c>
      <c r="G426" s="7">
        <v>0.6</v>
      </c>
      <c r="H426" s="7">
        <v>0.6</v>
      </c>
      <c r="I426" s="7">
        <v>0.6</v>
      </c>
      <c r="J426" s="7">
        <v>0.6</v>
      </c>
      <c r="K426" s="7">
        <v>0.6</v>
      </c>
      <c r="L426" s="7">
        <v>0.6</v>
      </c>
      <c r="M426" s="7">
        <v>0.6</v>
      </c>
      <c r="N426" s="7">
        <v>0.6</v>
      </c>
      <c r="O426" s="7">
        <v>0.6</v>
      </c>
      <c r="P426" s="7">
        <v>0.6</v>
      </c>
      <c r="Q426" s="7">
        <v>0.6</v>
      </c>
    </row>
    <row r="427" spans="1:17">
      <c r="A427" s="2">
        <v>2375</v>
      </c>
      <c r="B427" s="7">
        <v>0.6</v>
      </c>
      <c r="C427" s="7">
        <v>0.6</v>
      </c>
      <c r="D427" s="7">
        <v>0.6</v>
      </c>
      <c r="E427" s="7">
        <v>0.6</v>
      </c>
      <c r="F427" s="7">
        <v>0.6</v>
      </c>
      <c r="G427" s="7">
        <v>0.6</v>
      </c>
      <c r="H427" s="7">
        <v>0.6</v>
      </c>
      <c r="I427" s="7">
        <v>0.6</v>
      </c>
      <c r="J427" s="7">
        <v>0.6</v>
      </c>
      <c r="K427" s="7">
        <v>0.6</v>
      </c>
      <c r="L427" s="7">
        <v>0.6</v>
      </c>
      <c r="M427" s="7">
        <v>0.6</v>
      </c>
      <c r="N427" s="7">
        <v>0.6</v>
      </c>
      <c r="O427" s="7">
        <v>0.6</v>
      </c>
      <c r="P427" s="7">
        <v>0.6</v>
      </c>
      <c r="Q427" s="7">
        <v>0.6</v>
      </c>
    </row>
    <row r="428" spans="1:17">
      <c r="A428" s="2">
        <v>2376</v>
      </c>
      <c r="B428" s="7">
        <v>0.6</v>
      </c>
      <c r="C428" s="7">
        <v>0.6</v>
      </c>
      <c r="D428" s="7">
        <v>0.6</v>
      </c>
      <c r="E428" s="7">
        <v>0.6</v>
      </c>
      <c r="F428" s="7">
        <v>0.6</v>
      </c>
      <c r="G428" s="7">
        <v>0.6</v>
      </c>
      <c r="H428" s="7">
        <v>0.6</v>
      </c>
      <c r="I428" s="7">
        <v>0.6</v>
      </c>
      <c r="J428" s="7">
        <v>0.6</v>
      </c>
      <c r="K428" s="7">
        <v>0.6</v>
      </c>
      <c r="L428" s="7">
        <v>0.6</v>
      </c>
      <c r="M428" s="7">
        <v>0.6</v>
      </c>
      <c r="N428" s="7">
        <v>0.6</v>
      </c>
      <c r="O428" s="7">
        <v>0.6</v>
      </c>
      <c r="P428" s="7">
        <v>0.6</v>
      </c>
      <c r="Q428" s="7">
        <v>0.6</v>
      </c>
    </row>
    <row r="429" spans="1:17">
      <c r="A429" s="2">
        <v>2377</v>
      </c>
      <c r="B429" s="7">
        <v>0.6</v>
      </c>
      <c r="C429" s="7">
        <v>0.6</v>
      </c>
      <c r="D429" s="7">
        <v>0.6</v>
      </c>
      <c r="E429" s="7">
        <v>0.6</v>
      </c>
      <c r="F429" s="7">
        <v>0.6</v>
      </c>
      <c r="G429" s="7">
        <v>0.6</v>
      </c>
      <c r="H429" s="7">
        <v>0.6</v>
      </c>
      <c r="I429" s="7">
        <v>0.6</v>
      </c>
      <c r="J429" s="7">
        <v>0.6</v>
      </c>
      <c r="K429" s="7">
        <v>0.6</v>
      </c>
      <c r="L429" s="7">
        <v>0.6</v>
      </c>
      <c r="M429" s="7">
        <v>0.6</v>
      </c>
      <c r="N429" s="7">
        <v>0.6</v>
      </c>
      <c r="O429" s="7">
        <v>0.6</v>
      </c>
      <c r="P429" s="7">
        <v>0.6</v>
      </c>
      <c r="Q429" s="7">
        <v>0.6</v>
      </c>
    </row>
    <row r="430" spans="1:17">
      <c r="A430" s="2">
        <v>2378</v>
      </c>
      <c r="B430" s="7">
        <v>0.6</v>
      </c>
      <c r="C430" s="7">
        <v>0.6</v>
      </c>
      <c r="D430" s="7">
        <v>0.6</v>
      </c>
      <c r="E430" s="7">
        <v>0.6</v>
      </c>
      <c r="F430" s="7">
        <v>0.6</v>
      </c>
      <c r="G430" s="7">
        <v>0.6</v>
      </c>
      <c r="H430" s="7">
        <v>0.6</v>
      </c>
      <c r="I430" s="7">
        <v>0.6</v>
      </c>
      <c r="J430" s="7">
        <v>0.6</v>
      </c>
      <c r="K430" s="7">
        <v>0.6</v>
      </c>
      <c r="L430" s="7">
        <v>0.6</v>
      </c>
      <c r="M430" s="7">
        <v>0.6</v>
      </c>
      <c r="N430" s="7">
        <v>0.6</v>
      </c>
      <c r="O430" s="7">
        <v>0.6</v>
      </c>
      <c r="P430" s="7">
        <v>0.6</v>
      </c>
      <c r="Q430" s="7">
        <v>0.6</v>
      </c>
    </row>
    <row r="431" spans="1:17">
      <c r="A431" s="2">
        <v>2379</v>
      </c>
      <c r="B431" s="7">
        <v>0.6</v>
      </c>
      <c r="C431" s="7">
        <v>0.6</v>
      </c>
      <c r="D431" s="7">
        <v>0.6</v>
      </c>
      <c r="E431" s="7">
        <v>0.6</v>
      </c>
      <c r="F431" s="7">
        <v>0.6</v>
      </c>
      <c r="G431" s="7">
        <v>0.6</v>
      </c>
      <c r="H431" s="7">
        <v>0.6</v>
      </c>
      <c r="I431" s="7">
        <v>0.6</v>
      </c>
      <c r="J431" s="7">
        <v>0.6</v>
      </c>
      <c r="K431" s="7">
        <v>0.6</v>
      </c>
      <c r="L431" s="7">
        <v>0.6</v>
      </c>
      <c r="M431" s="7">
        <v>0.6</v>
      </c>
      <c r="N431" s="7">
        <v>0.6</v>
      </c>
      <c r="O431" s="7">
        <v>0.6</v>
      </c>
      <c r="P431" s="7">
        <v>0.6</v>
      </c>
      <c r="Q431" s="7">
        <v>0.6</v>
      </c>
    </row>
    <row r="432" spans="1:17">
      <c r="A432" s="2">
        <v>2380</v>
      </c>
      <c r="B432" s="7">
        <v>0.6</v>
      </c>
      <c r="C432" s="7">
        <v>0.6</v>
      </c>
      <c r="D432" s="7">
        <v>0.6</v>
      </c>
      <c r="E432" s="7">
        <v>0.6</v>
      </c>
      <c r="F432" s="7">
        <v>0.6</v>
      </c>
      <c r="G432" s="7">
        <v>0.6</v>
      </c>
      <c r="H432" s="7">
        <v>0.6</v>
      </c>
      <c r="I432" s="7">
        <v>0.6</v>
      </c>
      <c r="J432" s="7">
        <v>0.6</v>
      </c>
      <c r="K432" s="7">
        <v>0.6</v>
      </c>
      <c r="L432" s="7">
        <v>0.6</v>
      </c>
      <c r="M432" s="7">
        <v>0.6</v>
      </c>
      <c r="N432" s="7">
        <v>0.6</v>
      </c>
      <c r="O432" s="7">
        <v>0.6</v>
      </c>
      <c r="P432" s="7">
        <v>0.6</v>
      </c>
      <c r="Q432" s="7">
        <v>0.6</v>
      </c>
    </row>
    <row r="433" spans="1:17">
      <c r="A433" s="2">
        <v>2381</v>
      </c>
      <c r="B433" s="7">
        <v>0.6</v>
      </c>
      <c r="C433" s="7">
        <v>0.6</v>
      </c>
      <c r="D433" s="7">
        <v>0.6</v>
      </c>
      <c r="E433" s="7">
        <v>0.6</v>
      </c>
      <c r="F433" s="7">
        <v>0.6</v>
      </c>
      <c r="G433" s="7">
        <v>0.6</v>
      </c>
      <c r="H433" s="7">
        <v>0.6</v>
      </c>
      <c r="I433" s="7">
        <v>0.6</v>
      </c>
      <c r="J433" s="7">
        <v>0.6</v>
      </c>
      <c r="K433" s="7">
        <v>0.6</v>
      </c>
      <c r="L433" s="7">
        <v>0.6</v>
      </c>
      <c r="M433" s="7">
        <v>0.6</v>
      </c>
      <c r="N433" s="7">
        <v>0.6</v>
      </c>
      <c r="O433" s="7">
        <v>0.6</v>
      </c>
      <c r="P433" s="7">
        <v>0.6</v>
      </c>
      <c r="Q433" s="7">
        <v>0.6</v>
      </c>
    </row>
    <row r="434" spans="1:17">
      <c r="A434" s="2">
        <v>2382</v>
      </c>
      <c r="B434" s="7">
        <v>0.6</v>
      </c>
      <c r="C434" s="7">
        <v>0.6</v>
      </c>
      <c r="D434" s="7">
        <v>0.6</v>
      </c>
      <c r="E434" s="7">
        <v>0.6</v>
      </c>
      <c r="F434" s="7">
        <v>0.6</v>
      </c>
      <c r="G434" s="7">
        <v>0.6</v>
      </c>
      <c r="H434" s="7">
        <v>0.6</v>
      </c>
      <c r="I434" s="7">
        <v>0.6</v>
      </c>
      <c r="J434" s="7">
        <v>0.6</v>
      </c>
      <c r="K434" s="7">
        <v>0.6</v>
      </c>
      <c r="L434" s="7">
        <v>0.6</v>
      </c>
      <c r="M434" s="7">
        <v>0.6</v>
      </c>
      <c r="N434" s="7">
        <v>0.6</v>
      </c>
      <c r="O434" s="7">
        <v>0.6</v>
      </c>
      <c r="P434" s="7">
        <v>0.6</v>
      </c>
      <c r="Q434" s="7">
        <v>0.6</v>
      </c>
    </row>
    <row r="435" spans="1:17">
      <c r="A435" s="2">
        <v>2383</v>
      </c>
      <c r="B435" s="7">
        <v>0.6</v>
      </c>
      <c r="C435" s="7">
        <v>0.6</v>
      </c>
      <c r="D435" s="7">
        <v>0.6</v>
      </c>
      <c r="E435" s="7">
        <v>0.6</v>
      </c>
      <c r="F435" s="7">
        <v>0.6</v>
      </c>
      <c r="G435" s="7">
        <v>0.6</v>
      </c>
      <c r="H435" s="7">
        <v>0.6</v>
      </c>
      <c r="I435" s="7">
        <v>0.6</v>
      </c>
      <c r="J435" s="7">
        <v>0.6</v>
      </c>
      <c r="K435" s="7">
        <v>0.6</v>
      </c>
      <c r="L435" s="7">
        <v>0.6</v>
      </c>
      <c r="M435" s="7">
        <v>0.6</v>
      </c>
      <c r="N435" s="7">
        <v>0.6</v>
      </c>
      <c r="O435" s="7">
        <v>0.6</v>
      </c>
      <c r="P435" s="7">
        <v>0.6</v>
      </c>
      <c r="Q435" s="7">
        <v>0.6</v>
      </c>
    </row>
    <row r="436" spans="1:17">
      <c r="A436" s="2">
        <v>2384</v>
      </c>
      <c r="B436" s="7">
        <v>0.6</v>
      </c>
      <c r="C436" s="7">
        <v>0.6</v>
      </c>
      <c r="D436" s="7">
        <v>0.6</v>
      </c>
      <c r="E436" s="7">
        <v>0.6</v>
      </c>
      <c r="F436" s="7">
        <v>0.6</v>
      </c>
      <c r="G436" s="7">
        <v>0.6</v>
      </c>
      <c r="H436" s="7">
        <v>0.6</v>
      </c>
      <c r="I436" s="7">
        <v>0.6</v>
      </c>
      <c r="J436" s="7">
        <v>0.6</v>
      </c>
      <c r="K436" s="7">
        <v>0.6</v>
      </c>
      <c r="L436" s="7">
        <v>0.6</v>
      </c>
      <c r="M436" s="7">
        <v>0.6</v>
      </c>
      <c r="N436" s="7">
        <v>0.6</v>
      </c>
      <c r="O436" s="7">
        <v>0.6</v>
      </c>
      <c r="P436" s="7">
        <v>0.6</v>
      </c>
      <c r="Q436" s="7">
        <v>0.6</v>
      </c>
    </row>
    <row r="437" spans="1:17">
      <c r="A437" s="2">
        <v>2385</v>
      </c>
      <c r="B437" s="7">
        <v>0.6</v>
      </c>
      <c r="C437" s="7">
        <v>0.6</v>
      </c>
      <c r="D437" s="7">
        <v>0.6</v>
      </c>
      <c r="E437" s="7">
        <v>0.6</v>
      </c>
      <c r="F437" s="7">
        <v>0.6</v>
      </c>
      <c r="G437" s="7">
        <v>0.6</v>
      </c>
      <c r="H437" s="7">
        <v>0.6</v>
      </c>
      <c r="I437" s="7">
        <v>0.6</v>
      </c>
      <c r="J437" s="7">
        <v>0.6</v>
      </c>
      <c r="K437" s="7">
        <v>0.6</v>
      </c>
      <c r="L437" s="7">
        <v>0.6</v>
      </c>
      <c r="M437" s="7">
        <v>0.6</v>
      </c>
      <c r="N437" s="7">
        <v>0.6</v>
      </c>
      <c r="O437" s="7">
        <v>0.6</v>
      </c>
      <c r="P437" s="7">
        <v>0.6</v>
      </c>
      <c r="Q437" s="7">
        <v>0.6</v>
      </c>
    </row>
    <row r="438" spans="1:17">
      <c r="A438" s="2">
        <v>2386</v>
      </c>
      <c r="B438" s="7">
        <v>0.6</v>
      </c>
      <c r="C438" s="7">
        <v>0.6</v>
      </c>
      <c r="D438" s="7">
        <v>0.6</v>
      </c>
      <c r="E438" s="7">
        <v>0.6</v>
      </c>
      <c r="F438" s="7">
        <v>0.6</v>
      </c>
      <c r="G438" s="7">
        <v>0.6</v>
      </c>
      <c r="H438" s="7">
        <v>0.6</v>
      </c>
      <c r="I438" s="7">
        <v>0.6</v>
      </c>
      <c r="J438" s="7">
        <v>0.6</v>
      </c>
      <c r="K438" s="7">
        <v>0.6</v>
      </c>
      <c r="L438" s="7">
        <v>0.6</v>
      </c>
      <c r="M438" s="7">
        <v>0.6</v>
      </c>
      <c r="N438" s="7">
        <v>0.6</v>
      </c>
      <c r="O438" s="7">
        <v>0.6</v>
      </c>
      <c r="P438" s="7">
        <v>0.6</v>
      </c>
      <c r="Q438" s="7">
        <v>0.6</v>
      </c>
    </row>
    <row r="439" spans="1:17">
      <c r="A439" s="2">
        <v>2387</v>
      </c>
      <c r="B439" s="7">
        <v>0.6</v>
      </c>
      <c r="C439" s="7">
        <v>0.6</v>
      </c>
      <c r="D439" s="7">
        <v>0.6</v>
      </c>
      <c r="E439" s="7">
        <v>0.6</v>
      </c>
      <c r="F439" s="7">
        <v>0.6</v>
      </c>
      <c r="G439" s="7">
        <v>0.6</v>
      </c>
      <c r="H439" s="7">
        <v>0.6</v>
      </c>
      <c r="I439" s="7">
        <v>0.6</v>
      </c>
      <c r="J439" s="7">
        <v>0.6</v>
      </c>
      <c r="K439" s="7">
        <v>0.6</v>
      </c>
      <c r="L439" s="7">
        <v>0.6</v>
      </c>
      <c r="M439" s="7">
        <v>0.6</v>
      </c>
      <c r="N439" s="7">
        <v>0.6</v>
      </c>
      <c r="O439" s="7">
        <v>0.6</v>
      </c>
      <c r="P439" s="7">
        <v>0.6</v>
      </c>
      <c r="Q439" s="7">
        <v>0.6</v>
      </c>
    </row>
    <row r="440" spans="1:17">
      <c r="A440" s="2">
        <v>2388</v>
      </c>
      <c r="B440" s="7">
        <v>0.6</v>
      </c>
      <c r="C440" s="7">
        <v>0.6</v>
      </c>
      <c r="D440" s="7">
        <v>0.6</v>
      </c>
      <c r="E440" s="7">
        <v>0.6</v>
      </c>
      <c r="F440" s="7">
        <v>0.6</v>
      </c>
      <c r="G440" s="7">
        <v>0.6</v>
      </c>
      <c r="H440" s="7">
        <v>0.6</v>
      </c>
      <c r="I440" s="7">
        <v>0.6</v>
      </c>
      <c r="J440" s="7">
        <v>0.6</v>
      </c>
      <c r="K440" s="7">
        <v>0.6</v>
      </c>
      <c r="L440" s="7">
        <v>0.6</v>
      </c>
      <c r="M440" s="7">
        <v>0.6</v>
      </c>
      <c r="N440" s="7">
        <v>0.6</v>
      </c>
      <c r="O440" s="7">
        <v>0.6</v>
      </c>
      <c r="P440" s="7">
        <v>0.6</v>
      </c>
      <c r="Q440" s="7">
        <v>0.6</v>
      </c>
    </row>
    <row r="441" spans="1:17">
      <c r="A441" s="2">
        <v>2389</v>
      </c>
      <c r="B441" s="7">
        <v>0.6</v>
      </c>
      <c r="C441" s="7">
        <v>0.6</v>
      </c>
      <c r="D441" s="7">
        <v>0.6</v>
      </c>
      <c r="E441" s="7">
        <v>0.6</v>
      </c>
      <c r="F441" s="7">
        <v>0.6</v>
      </c>
      <c r="G441" s="7">
        <v>0.6</v>
      </c>
      <c r="H441" s="7">
        <v>0.6</v>
      </c>
      <c r="I441" s="7">
        <v>0.6</v>
      </c>
      <c r="J441" s="7">
        <v>0.6</v>
      </c>
      <c r="K441" s="7">
        <v>0.6</v>
      </c>
      <c r="L441" s="7">
        <v>0.6</v>
      </c>
      <c r="M441" s="7">
        <v>0.6</v>
      </c>
      <c r="N441" s="7">
        <v>0.6</v>
      </c>
      <c r="O441" s="7">
        <v>0.6</v>
      </c>
      <c r="P441" s="7">
        <v>0.6</v>
      </c>
      <c r="Q441" s="7">
        <v>0.6</v>
      </c>
    </row>
    <row r="442" spans="1:17">
      <c r="A442" s="2">
        <v>2390</v>
      </c>
      <c r="B442" s="7">
        <v>0.6</v>
      </c>
      <c r="C442" s="7">
        <v>0.6</v>
      </c>
      <c r="D442" s="7">
        <v>0.6</v>
      </c>
      <c r="E442" s="7">
        <v>0.6</v>
      </c>
      <c r="F442" s="7">
        <v>0.6</v>
      </c>
      <c r="G442" s="7">
        <v>0.6</v>
      </c>
      <c r="H442" s="7">
        <v>0.6</v>
      </c>
      <c r="I442" s="7">
        <v>0.6</v>
      </c>
      <c r="J442" s="7">
        <v>0.6</v>
      </c>
      <c r="K442" s="7">
        <v>0.6</v>
      </c>
      <c r="L442" s="7">
        <v>0.6</v>
      </c>
      <c r="M442" s="7">
        <v>0.6</v>
      </c>
      <c r="N442" s="7">
        <v>0.6</v>
      </c>
      <c r="O442" s="7">
        <v>0.6</v>
      </c>
      <c r="P442" s="7">
        <v>0.6</v>
      </c>
      <c r="Q442" s="7">
        <v>0.6</v>
      </c>
    </row>
    <row r="443" spans="1:17">
      <c r="A443" s="2">
        <v>2391</v>
      </c>
      <c r="B443" s="7">
        <v>0.6</v>
      </c>
      <c r="C443" s="7">
        <v>0.6</v>
      </c>
      <c r="D443" s="7">
        <v>0.6</v>
      </c>
      <c r="E443" s="7">
        <v>0.6</v>
      </c>
      <c r="F443" s="7">
        <v>0.6</v>
      </c>
      <c r="G443" s="7">
        <v>0.6</v>
      </c>
      <c r="H443" s="7">
        <v>0.6</v>
      </c>
      <c r="I443" s="7">
        <v>0.6</v>
      </c>
      <c r="J443" s="7">
        <v>0.6</v>
      </c>
      <c r="K443" s="7">
        <v>0.6</v>
      </c>
      <c r="L443" s="7">
        <v>0.6</v>
      </c>
      <c r="M443" s="7">
        <v>0.6</v>
      </c>
      <c r="N443" s="7">
        <v>0.6</v>
      </c>
      <c r="O443" s="7">
        <v>0.6</v>
      </c>
      <c r="P443" s="7">
        <v>0.6</v>
      </c>
      <c r="Q443" s="7">
        <v>0.6</v>
      </c>
    </row>
    <row r="444" spans="1:17">
      <c r="A444" s="2">
        <v>2392</v>
      </c>
      <c r="B444" s="7">
        <v>0.6</v>
      </c>
      <c r="C444" s="7">
        <v>0.6</v>
      </c>
      <c r="D444" s="7">
        <v>0.6</v>
      </c>
      <c r="E444" s="7">
        <v>0.6</v>
      </c>
      <c r="F444" s="7">
        <v>0.6</v>
      </c>
      <c r="G444" s="7">
        <v>0.6</v>
      </c>
      <c r="H444" s="7">
        <v>0.6</v>
      </c>
      <c r="I444" s="7">
        <v>0.6</v>
      </c>
      <c r="J444" s="7">
        <v>0.6</v>
      </c>
      <c r="K444" s="7">
        <v>0.6</v>
      </c>
      <c r="L444" s="7">
        <v>0.6</v>
      </c>
      <c r="M444" s="7">
        <v>0.6</v>
      </c>
      <c r="N444" s="7">
        <v>0.6</v>
      </c>
      <c r="O444" s="7">
        <v>0.6</v>
      </c>
      <c r="P444" s="7">
        <v>0.6</v>
      </c>
      <c r="Q444" s="7">
        <v>0.6</v>
      </c>
    </row>
    <row r="445" spans="1:17">
      <c r="A445" s="2">
        <v>2393</v>
      </c>
      <c r="B445" s="7">
        <v>0.6</v>
      </c>
      <c r="C445" s="7">
        <v>0.6</v>
      </c>
      <c r="D445" s="7">
        <v>0.6</v>
      </c>
      <c r="E445" s="7">
        <v>0.6</v>
      </c>
      <c r="F445" s="7">
        <v>0.6</v>
      </c>
      <c r="G445" s="7">
        <v>0.6</v>
      </c>
      <c r="H445" s="7">
        <v>0.6</v>
      </c>
      <c r="I445" s="7">
        <v>0.6</v>
      </c>
      <c r="J445" s="7">
        <v>0.6</v>
      </c>
      <c r="K445" s="7">
        <v>0.6</v>
      </c>
      <c r="L445" s="7">
        <v>0.6</v>
      </c>
      <c r="M445" s="7">
        <v>0.6</v>
      </c>
      <c r="N445" s="7">
        <v>0.6</v>
      </c>
      <c r="O445" s="7">
        <v>0.6</v>
      </c>
      <c r="P445" s="7">
        <v>0.6</v>
      </c>
      <c r="Q445" s="7">
        <v>0.6</v>
      </c>
    </row>
    <row r="446" spans="1:17">
      <c r="A446" s="2">
        <v>2394</v>
      </c>
      <c r="B446" s="7">
        <v>0.6</v>
      </c>
      <c r="C446" s="7">
        <v>0.6</v>
      </c>
      <c r="D446" s="7">
        <v>0.6</v>
      </c>
      <c r="E446" s="7">
        <v>0.6</v>
      </c>
      <c r="F446" s="7">
        <v>0.6</v>
      </c>
      <c r="G446" s="7">
        <v>0.6</v>
      </c>
      <c r="H446" s="7">
        <v>0.6</v>
      </c>
      <c r="I446" s="7">
        <v>0.6</v>
      </c>
      <c r="J446" s="7">
        <v>0.6</v>
      </c>
      <c r="K446" s="7">
        <v>0.6</v>
      </c>
      <c r="L446" s="7">
        <v>0.6</v>
      </c>
      <c r="M446" s="7">
        <v>0.6</v>
      </c>
      <c r="N446" s="7">
        <v>0.6</v>
      </c>
      <c r="O446" s="7">
        <v>0.6</v>
      </c>
      <c r="P446" s="7">
        <v>0.6</v>
      </c>
      <c r="Q446" s="7">
        <v>0.6</v>
      </c>
    </row>
    <row r="447" spans="1:17">
      <c r="A447" s="2">
        <v>2395</v>
      </c>
      <c r="B447" s="7">
        <v>0.6</v>
      </c>
      <c r="C447" s="7">
        <v>0.6</v>
      </c>
      <c r="D447" s="7">
        <v>0.6</v>
      </c>
      <c r="E447" s="7">
        <v>0.6</v>
      </c>
      <c r="F447" s="7">
        <v>0.6</v>
      </c>
      <c r="G447" s="7">
        <v>0.6</v>
      </c>
      <c r="H447" s="7">
        <v>0.6</v>
      </c>
      <c r="I447" s="7">
        <v>0.6</v>
      </c>
      <c r="J447" s="7">
        <v>0.6</v>
      </c>
      <c r="K447" s="7">
        <v>0.6</v>
      </c>
      <c r="L447" s="7">
        <v>0.6</v>
      </c>
      <c r="M447" s="7">
        <v>0.6</v>
      </c>
      <c r="N447" s="7">
        <v>0.6</v>
      </c>
      <c r="O447" s="7">
        <v>0.6</v>
      </c>
      <c r="P447" s="7">
        <v>0.6</v>
      </c>
      <c r="Q447" s="7">
        <v>0.6</v>
      </c>
    </row>
    <row r="448" spans="1:17">
      <c r="A448" s="2">
        <v>2396</v>
      </c>
      <c r="B448" s="7">
        <v>0.6</v>
      </c>
      <c r="C448" s="7">
        <v>0.6</v>
      </c>
      <c r="D448" s="7">
        <v>0.6</v>
      </c>
      <c r="E448" s="7">
        <v>0.6</v>
      </c>
      <c r="F448" s="7">
        <v>0.6</v>
      </c>
      <c r="G448" s="7">
        <v>0.6</v>
      </c>
      <c r="H448" s="7">
        <v>0.6</v>
      </c>
      <c r="I448" s="7">
        <v>0.6</v>
      </c>
      <c r="J448" s="7">
        <v>0.6</v>
      </c>
      <c r="K448" s="7">
        <v>0.6</v>
      </c>
      <c r="L448" s="7">
        <v>0.6</v>
      </c>
      <c r="M448" s="7">
        <v>0.6</v>
      </c>
      <c r="N448" s="7">
        <v>0.6</v>
      </c>
      <c r="O448" s="7">
        <v>0.6</v>
      </c>
      <c r="P448" s="7">
        <v>0.6</v>
      </c>
      <c r="Q448" s="7">
        <v>0.6</v>
      </c>
    </row>
    <row r="449" spans="1:17">
      <c r="A449" s="2">
        <v>2397</v>
      </c>
      <c r="B449" s="7">
        <v>0.6</v>
      </c>
      <c r="C449" s="7">
        <v>0.6</v>
      </c>
      <c r="D449" s="7">
        <v>0.6</v>
      </c>
      <c r="E449" s="7">
        <v>0.6</v>
      </c>
      <c r="F449" s="7">
        <v>0.6</v>
      </c>
      <c r="G449" s="7">
        <v>0.6</v>
      </c>
      <c r="H449" s="7">
        <v>0.6</v>
      </c>
      <c r="I449" s="7">
        <v>0.6</v>
      </c>
      <c r="J449" s="7">
        <v>0.6</v>
      </c>
      <c r="K449" s="7">
        <v>0.6</v>
      </c>
      <c r="L449" s="7">
        <v>0.6</v>
      </c>
      <c r="M449" s="7">
        <v>0.6</v>
      </c>
      <c r="N449" s="7">
        <v>0.6</v>
      </c>
      <c r="O449" s="7">
        <v>0.6</v>
      </c>
      <c r="P449" s="7">
        <v>0.6</v>
      </c>
      <c r="Q449" s="7">
        <v>0.6</v>
      </c>
    </row>
    <row r="450" spans="1:17">
      <c r="A450" s="2">
        <v>2398</v>
      </c>
      <c r="B450" s="7">
        <v>0.6</v>
      </c>
      <c r="C450" s="7">
        <v>0.6</v>
      </c>
      <c r="D450" s="7">
        <v>0.6</v>
      </c>
      <c r="E450" s="7">
        <v>0.6</v>
      </c>
      <c r="F450" s="7">
        <v>0.6</v>
      </c>
      <c r="G450" s="7">
        <v>0.6</v>
      </c>
      <c r="H450" s="7">
        <v>0.6</v>
      </c>
      <c r="I450" s="7">
        <v>0.6</v>
      </c>
      <c r="J450" s="7">
        <v>0.6</v>
      </c>
      <c r="K450" s="7">
        <v>0.6</v>
      </c>
      <c r="L450" s="7">
        <v>0.6</v>
      </c>
      <c r="M450" s="7">
        <v>0.6</v>
      </c>
      <c r="N450" s="7">
        <v>0.6</v>
      </c>
      <c r="O450" s="7">
        <v>0.6</v>
      </c>
      <c r="P450" s="7">
        <v>0.6</v>
      </c>
      <c r="Q450" s="7">
        <v>0.6</v>
      </c>
    </row>
    <row r="451" spans="1:17">
      <c r="A451" s="2">
        <v>2399</v>
      </c>
      <c r="B451" s="7">
        <v>0.6</v>
      </c>
      <c r="C451" s="7">
        <v>0.6</v>
      </c>
      <c r="D451" s="7">
        <v>0.6</v>
      </c>
      <c r="E451" s="7">
        <v>0.6</v>
      </c>
      <c r="F451" s="7">
        <v>0.6</v>
      </c>
      <c r="G451" s="7">
        <v>0.6</v>
      </c>
      <c r="H451" s="7">
        <v>0.6</v>
      </c>
      <c r="I451" s="7">
        <v>0.6</v>
      </c>
      <c r="J451" s="7">
        <v>0.6</v>
      </c>
      <c r="K451" s="7">
        <v>0.6</v>
      </c>
      <c r="L451" s="7">
        <v>0.6</v>
      </c>
      <c r="M451" s="7">
        <v>0.6</v>
      </c>
      <c r="N451" s="7">
        <v>0.6</v>
      </c>
      <c r="O451" s="7">
        <v>0.6</v>
      </c>
      <c r="P451" s="7">
        <v>0.6</v>
      </c>
      <c r="Q451" s="7">
        <v>0.6</v>
      </c>
    </row>
    <row r="452" spans="1:17">
      <c r="A452" s="2">
        <v>2400</v>
      </c>
      <c r="B452" s="7">
        <v>0.6</v>
      </c>
      <c r="C452" s="7">
        <v>0.6</v>
      </c>
      <c r="D452" s="7">
        <v>0.6</v>
      </c>
      <c r="E452" s="7">
        <v>0.6</v>
      </c>
      <c r="F452" s="7">
        <v>0.6</v>
      </c>
      <c r="G452" s="7">
        <v>0.6</v>
      </c>
      <c r="H452" s="7">
        <v>0.6</v>
      </c>
      <c r="I452" s="7">
        <v>0.6</v>
      </c>
      <c r="J452" s="7">
        <v>0.6</v>
      </c>
      <c r="K452" s="7">
        <v>0.6</v>
      </c>
      <c r="L452" s="7">
        <v>0.6</v>
      </c>
      <c r="M452" s="7">
        <v>0.6</v>
      </c>
      <c r="N452" s="7">
        <v>0.6</v>
      </c>
      <c r="O452" s="7">
        <v>0.6</v>
      </c>
      <c r="P452" s="7">
        <v>0.6</v>
      </c>
      <c r="Q452" s="7">
        <v>0.6</v>
      </c>
    </row>
    <row r="453" spans="1:17">
      <c r="A453" s="2">
        <v>2401</v>
      </c>
      <c r="B453" s="7">
        <v>0.6</v>
      </c>
      <c r="C453" s="7">
        <v>0.6</v>
      </c>
      <c r="D453" s="7">
        <v>0.6</v>
      </c>
      <c r="E453" s="7">
        <v>0.6</v>
      </c>
      <c r="F453" s="7">
        <v>0.6</v>
      </c>
      <c r="G453" s="7">
        <v>0.6</v>
      </c>
      <c r="H453" s="7">
        <v>0.6</v>
      </c>
      <c r="I453" s="7">
        <v>0.6</v>
      </c>
      <c r="J453" s="7">
        <v>0.6</v>
      </c>
      <c r="K453" s="7">
        <v>0.6</v>
      </c>
      <c r="L453" s="7">
        <v>0.6</v>
      </c>
      <c r="M453" s="7">
        <v>0.6</v>
      </c>
      <c r="N453" s="7">
        <v>0.6</v>
      </c>
      <c r="O453" s="7">
        <v>0.6</v>
      </c>
      <c r="P453" s="7">
        <v>0.6</v>
      </c>
      <c r="Q453" s="7">
        <v>0.6</v>
      </c>
    </row>
    <row r="454" spans="1:17">
      <c r="A454" s="2">
        <v>2402</v>
      </c>
      <c r="B454" s="7">
        <v>0.6</v>
      </c>
      <c r="C454" s="7">
        <v>0.6</v>
      </c>
      <c r="D454" s="7">
        <v>0.6</v>
      </c>
      <c r="E454" s="7">
        <v>0.6</v>
      </c>
      <c r="F454" s="7">
        <v>0.6</v>
      </c>
      <c r="G454" s="7">
        <v>0.6</v>
      </c>
      <c r="H454" s="7">
        <v>0.6</v>
      </c>
      <c r="I454" s="7">
        <v>0.6</v>
      </c>
      <c r="J454" s="7">
        <v>0.6</v>
      </c>
      <c r="K454" s="7">
        <v>0.6</v>
      </c>
      <c r="L454" s="7">
        <v>0.6</v>
      </c>
      <c r="M454" s="7">
        <v>0.6</v>
      </c>
      <c r="N454" s="7">
        <v>0.6</v>
      </c>
      <c r="O454" s="7">
        <v>0.6</v>
      </c>
      <c r="P454" s="7">
        <v>0.6</v>
      </c>
      <c r="Q454" s="7">
        <v>0.6</v>
      </c>
    </row>
    <row r="455" spans="1:17">
      <c r="A455" s="2">
        <v>2403</v>
      </c>
      <c r="B455" s="7">
        <v>0.6</v>
      </c>
      <c r="C455" s="7">
        <v>0.6</v>
      </c>
      <c r="D455" s="7">
        <v>0.6</v>
      </c>
      <c r="E455" s="7">
        <v>0.6</v>
      </c>
      <c r="F455" s="7">
        <v>0.6</v>
      </c>
      <c r="G455" s="7">
        <v>0.6</v>
      </c>
      <c r="H455" s="7">
        <v>0.6</v>
      </c>
      <c r="I455" s="7">
        <v>0.6</v>
      </c>
      <c r="J455" s="7">
        <v>0.6</v>
      </c>
      <c r="K455" s="7">
        <v>0.6</v>
      </c>
      <c r="L455" s="7">
        <v>0.6</v>
      </c>
      <c r="M455" s="7">
        <v>0.6</v>
      </c>
      <c r="N455" s="7">
        <v>0.6</v>
      </c>
      <c r="O455" s="7">
        <v>0.6</v>
      </c>
      <c r="P455" s="7">
        <v>0.6</v>
      </c>
      <c r="Q455" s="7">
        <v>0.6</v>
      </c>
    </row>
    <row r="456" spans="1:17">
      <c r="A456" s="2">
        <v>2404</v>
      </c>
      <c r="B456" s="7">
        <v>0.6</v>
      </c>
      <c r="C456" s="7">
        <v>0.6</v>
      </c>
      <c r="D456" s="7">
        <v>0.6</v>
      </c>
      <c r="E456" s="7">
        <v>0.6</v>
      </c>
      <c r="F456" s="7">
        <v>0.6</v>
      </c>
      <c r="G456" s="7">
        <v>0.6</v>
      </c>
      <c r="H456" s="7">
        <v>0.6</v>
      </c>
      <c r="I456" s="7">
        <v>0.6</v>
      </c>
      <c r="J456" s="7">
        <v>0.6</v>
      </c>
      <c r="K456" s="7">
        <v>0.6</v>
      </c>
      <c r="L456" s="7">
        <v>0.6</v>
      </c>
      <c r="M456" s="7">
        <v>0.6</v>
      </c>
      <c r="N456" s="7">
        <v>0.6</v>
      </c>
      <c r="O456" s="7">
        <v>0.6</v>
      </c>
      <c r="P456" s="7">
        <v>0.6</v>
      </c>
      <c r="Q456" s="7">
        <v>0.6</v>
      </c>
    </row>
    <row r="457" spans="1:17">
      <c r="A457" s="2">
        <v>2405</v>
      </c>
      <c r="B457" s="7">
        <v>0.6</v>
      </c>
      <c r="C457" s="7">
        <v>0.6</v>
      </c>
      <c r="D457" s="7">
        <v>0.6</v>
      </c>
      <c r="E457" s="7">
        <v>0.6</v>
      </c>
      <c r="F457" s="7">
        <v>0.6</v>
      </c>
      <c r="G457" s="7">
        <v>0.6</v>
      </c>
      <c r="H457" s="7">
        <v>0.6</v>
      </c>
      <c r="I457" s="7">
        <v>0.6</v>
      </c>
      <c r="J457" s="7">
        <v>0.6</v>
      </c>
      <c r="K457" s="7">
        <v>0.6</v>
      </c>
      <c r="L457" s="7">
        <v>0.6</v>
      </c>
      <c r="M457" s="7">
        <v>0.6</v>
      </c>
      <c r="N457" s="7">
        <v>0.6</v>
      </c>
      <c r="O457" s="7">
        <v>0.6</v>
      </c>
      <c r="P457" s="7">
        <v>0.6</v>
      </c>
      <c r="Q457" s="7">
        <v>0.6</v>
      </c>
    </row>
    <row r="458" spans="1:17">
      <c r="A458" s="2">
        <v>2406</v>
      </c>
      <c r="B458" s="7">
        <v>0.6</v>
      </c>
      <c r="C458" s="7">
        <v>0.6</v>
      </c>
      <c r="D458" s="7">
        <v>0.6</v>
      </c>
      <c r="E458" s="7">
        <v>0.6</v>
      </c>
      <c r="F458" s="7">
        <v>0.6</v>
      </c>
      <c r="G458" s="7">
        <v>0.6</v>
      </c>
      <c r="H458" s="7">
        <v>0.6</v>
      </c>
      <c r="I458" s="7">
        <v>0.6</v>
      </c>
      <c r="J458" s="7">
        <v>0.6</v>
      </c>
      <c r="K458" s="7">
        <v>0.6</v>
      </c>
      <c r="L458" s="7">
        <v>0.6</v>
      </c>
      <c r="M458" s="7">
        <v>0.6</v>
      </c>
      <c r="N458" s="7">
        <v>0.6</v>
      </c>
      <c r="O458" s="7">
        <v>0.6</v>
      </c>
      <c r="P458" s="7">
        <v>0.6</v>
      </c>
      <c r="Q458" s="7">
        <v>0.6</v>
      </c>
    </row>
    <row r="459" spans="1:17">
      <c r="A459" s="2">
        <v>2407</v>
      </c>
      <c r="B459" s="7">
        <v>0.6</v>
      </c>
      <c r="C459" s="7">
        <v>0.6</v>
      </c>
      <c r="D459" s="7">
        <v>0.6</v>
      </c>
      <c r="E459" s="7">
        <v>0.6</v>
      </c>
      <c r="F459" s="7">
        <v>0.6</v>
      </c>
      <c r="G459" s="7">
        <v>0.6</v>
      </c>
      <c r="H459" s="7">
        <v>0.6</v>
      </c>
      <c r="I459" s="7">
        <v>0.6</v>
      </c>
      <c r="J459" s="7">
        <v>0.6</v>
      </c>
      <c r="K459" s="7">
        <v>0.6</v>
      </c>
      <c r="L459" s="7">
        <v>0.6</v>
      </c>
      <c r="M459" s="7">
        <v>0.6</v>
      </c>
      <c r="N459" s="7">
        <v>0.6</v>
      </c>
      <c r="O459" s="7">
        <v>0.6</v>
      </c>
      <c r="P459" s="7">
        <v>0.6</v>
      </c>
      <c r="Q459" s="7">
        <v>0.6</v>
      </c>
    </row>
    <row r="460" spans="1:17">
      <c r="A460" s="2">
        <v>2408</v>
      </c>
      <c r="B460" s="7">
        <v>0.6</v>
      </c>
      <c r="C460" s="7">
        <v>0.6</v>
      </c>
      <c r="D460" s="7">
        <v>0.6</v>
      </c>
      <c r="E460" s="7">
        <v>0.6</v>
      </c>
      <c r="F460" s="7">
        <v>0.6</v>
      </c>
      <c r="G460" s="7">
        <v>0.6</v>
      </c>
      <c r="H460" s="7">
        <v>0.6</v>
      </c>
      <c r="I460" s="7">
        <v>0.6</v>
      </c>
      <c r="J460" s="7">
        <v>0.6</v>
      </c>
      <c r="K460" s="7">
        <v>0.6</v>
      </c>
      <c r="L460" s="7">
        <v>0.6</v>
      </c>
      <c r="M460" s="7">
        <v>0.6</v>
      </c>
      <c r="N460" s="7">
        <v>0.6</v>
      </c>
      <c r="O460" s="7">
        <v>0.6</v>
      </c>
      <c r="P460" s="7">
        <v>0.6</v>
      </c>
      <c r="Q460" s="7">
        <v>0.6</v>
      </c>
    </row>
    <row r="461" spans="1:17">
      <c r="A461" s="2">
        <v>2409</v>
      </c>
      <c r="B461" s="7">
        <v>0.6</v>
      </c>
      <c r="C461" s="7">
        <v>0.6</v>
      </c>
      <c r="D461" s="7">
        <v>0.6</v>
      </c>
      <c r="E461" s="7">
        <v>0.6</v>
      </c>
      <c r="F461" s="7">
        <v>0.6</v>
      </c>
      <c r="G461" s="7">
        <v>0.6</v>
      </c>
      <c r="H461" s="7">
        <v>0.6</v>
      </c>
      <c r="I461" s="7">
        <v>0.6</v>
      </c>
      <c r="J461" s="7">
        <v>0.6</v>
      </c>
      <c r="K461" s="7">
        <v>0.6</v>
      </c>
      <c r="L461" s="7">
        <v>0.6</v>
      </c>
      <c r="M461" s="7">
        <v>0.6</v>
      </c>
      <c r="N461" s="7">
        <v>0.6</v>
      </c>
      <c r="O461" s="7">
        <v>0.6</v>
      </c>
      <c r="P461" s="7">
        <v>0.6</v>
      </c>
      <c r="Q461" s="7">
        <v>0.6</v>
      </c>
    </row>
    <row r="462" spans="1:17">
      <c r="A462" s="2">
        <v>2410</v>
      </c>
      <c r="B462" s="7">
        <v>0.6</v>
      </c>
      <c r="C462" s="7">
        <v>0.6</v>
      </c>
      <c r="D462" s="7">
        <v>0.6</v>
      </c>
      <c r="E462" s="7">
        <v>0.6</v>
      </c>
      <c r="F462" s="7">
        <v>0.6</v>
      </c>
      <c r="G462" s="7">
        <v>0.6</v>
      </c>
      <c r="H462" s="7">
        <v>0.6</v>
      </c>
      <c r="I462" s="7">
        <v>0.6</v>
      </c>
      <c r="J462" s="7">
        <v>0.6</v>
      </c>
      <c r="K462" s="7">
        <v>0.6</v>
      </c>
      <c r="L462" s="7">
        <v>0.6</v>
      </c>
      <c r="M462" s="7">
        <v>0.6</v>
      </c>
      <c r="N462" s="7">
        <v>0.6</v>
      </c>
      <c r="O462" s="7">
        <v>0.6</v>
      </c>
      <c r="P462" s="7">
        <v>0.6</v>
      </c>
      <c r="Q462" s="7">
        <v>0.6</v>
      </c>
    </row>
    <row r="463" spans="1:17">
      <c r="A463" s="2">
        <v>2411</v>
      </c>
      <c r="B463" s="7">
        <v>0.6</v>
      </c>
      <c r="C463" s="7">
        <v>0.6</v>
      </c>
      <c r="D463" s="7">
        <v>0.6</v>
      </c>
      <c r="E463" s="7">
        <v>0.6</v>
      </c>
      <c r="F463" s="7">
        <v>0.6</v>
      </c>
      <c r="G463" s="7">
        <v>0.6</v>
      </c>
      <c r="H463" s="7">
        <v>0.6</v>
      </c>
      <c r="I463" s="7">
        <v>0.6</v>
      </c>
      <c r="J463" s="7">
        <v>0.6</v>
      </c>
      <c r="K463" s="7">
        <v>0.6</v>
      </c>
      <c r="L463" s="7">
        <v>0.6</v>
      </c>
      <c r="M463" s="7">
        <v>0.6</v>
      </c>
      <c r="N463" s="7">
        <v>0.6</v>
      </c>
      <c r="O463" s="7">
        <v>0.6</v>
      </c>
      <c r="P463" s="7">
        <v>0.6</v>
      </c>
      <c r="Q463" s="7">
        <v>0.6</v>
      </c>
    </row>
    <row r="464" spans="1:17">
      <c r="A464" s="2">
        <v>2412</v>
      </c>
      <c r="B464" s="7">
        <v>0.6</v>
      </c>
      <c r="C464" s="7">
        <v>0.6</v>
      </c>
      <c r="D464" s="7">
        <v>0.6</v>
      </c>
      <c r="E464" s="7">
        <v>0.6</v>
      </c>
      <c r="F464" s="7">
        <v>0.6</v>
      </c>
      <c r="G464" s="7">
        <v>0.6</v>
      </c>
      <c r="H464" s="7">
        <v>0.6</v>
      </c>
      <c r="I464" s="7">
        <v>0.6</v>
      </c>
      <c r="J464" s="7">
        <v>0.6</v>
      </c>
      <c r="K464" s="7">
        <v>0.6</v>
      </c>
      <c r="L464" s="7">
        <v>0.6</v>
      </c>
      <c r="M464" s="7">
        <v>0.6</v>
      </c>
      <c r="N464" s="7">
        <v>0.6</v>
      </c>
      <c r="O464" s="7">
        <v>0.6</v>
      </c>
      <c r="P464" s="7">
        <v>0.6</v>
      </c>
      <c r="Q464" s="7">
        <v>0.6</v>
      </c>
    </row>
    <row r="465" spans="1:17">
      <c r="A465" s="2">
        <v>2413</v>
      </c>
      <c r="B465" s="7">
        <v>0.6</v>
      </c>
      <c r="C465" s="7">
        <v>0.6</v>
      </c>
      <c r="D465" s="7">
        <v>0.6</v>
      </c>
      <c r="E465" s="7">
        <v>0.6</v>
      </c>
      <c r="F465" s="7">
        <v>0.6</v>
      </c>
      <c r="G465" s="7">
        <v>0.6</v>
      </c>
      <c r="H465" s="7">
        <v>0.6</v>
      </c>
      <c r="I465" s="7">
        <v>0.6</v>
      </c>
      <c r="J465" s="7">
        <v>0.6</v>
      </c>
      <c r="K465" s="7">
        <v>0.6</v>
      </c>
      <c r="L465" s="7">
        <v>0.6</v>
      </c>
      <c r="M465" s="7">
        <v>0.6</v>
      </c>
      <c r="N465" s="7">
        <v>0.6</v>
      </c>
      <c r="O465" s="7">
        <v>0.6</v>
      </c>
      <c r="P465" s="7">
        <v>0.6</v>
      </c>
      <c r="Q465" s="7">
        <v>0.6</v>
      </c>
    </row>
    <row r="466" spans="1:17">
      <c r="A466" s="2">
        <v>2414</v>
      </c>
      <c r="B466" s="7">
        <v>0.6</v>
      </c>
      <c r="C466" s="7">
        <v>0.6</v>
      </c>
      <c r="D466" s="7">
        <v>0.6</v>
      </c>
      <c r="E466" s="7">
        <v>0.6</v>
      </c>
      <c r="F466" s="7">
        <v>0.6</v>
      </c>
      <c r="G466" s="7">
        <v>0.6</v>
      </c>
      <c r="H466" s="7">
        <v>0.6</v>
      </c>
      <c r="I466" s="7">
        <v>0.6</v>
      </c>
      <c r="J466" s="7">
        <v>0.6</v>
      </c>
      <c r="K466" s="7">
        <v>0.6</v>
      </c>
      <c r="L466" s="7">
        <v>0.6</v>
      </c>
      <c r="M466" s="7">
        <v>0.6</v>
      </c>
      <c r="N466" s="7">
        <v>0.6</v>
      </c>
      <c r="O466" s="7">
        <v>0.6</v>
      </c>
      <c r="P466" s="7">
        <v>0.6</v>
      </c>
      <c r="Q466" s="7">
        <v>0.6</v>
      </c>
    </row>
    <row r="467" spans="1:17">
      <c r="A467" s="2">
        <v>2415</v>
      </c>
      <c r="B467" s="7">
        <v>0.6</v>
      </c>
      <c r="C467" s="7">
        <v>0.6</v>
      </c>
      <c r="D467" s="7">
        <v>0.6</v>
      </c>
      <c r="E467" s="7">
        <v>0.6</v>
      </c>
      <c r="F467" s="7">
        <v>0.6</v>
      </c>
      <c r="G467" s="7">
        <v>0.6</v>
      </c>
      <c r="H467" s="7">
        <v>0.6</v>
      </c>
      <c r="I467" s="7">
        <v>0.6</v>
      </c>
      <c r="J467" s="7">
        <v>0.6</v>
      </c>
      <c r="K467" s="7">
        <v>0.6</v>
      </c>
      <c r="L467" s="7">
        <v>0.6</v>
      </c>
      <c r="M467" s="7">
        <v>0.6</v>
      </c>
      <c r="N467" s="7">
        <v>0.6</v>
      </c>
      <c r="O467" s="7">
        <v>0.6</v>
      </c>
      <c r="P467" s="7">
        <v>0.6</v>
      </c>
      <c r="Q467" s="7">
        <v>0.6</v>
      </c>
    </row>
    <row r="468" spans="1:17">
      <c r="A468" s="2">
        <v>2416</v>
      </c>
      <c r="B468" s="7">
        <v>0.6</v>
      </c>
      <c r="C468" s="7">
        <v>0.6</v>
      </c>
      <c r="D468" s="7">
        <v>0.6</v>
      </c>
      <c r="E468" s="7">
        <v>0.6</v>
      </c>
      <c r="F468" s="7">
        <v>0.6</v>
      </c>
      <c r="G468" s="7">
        <v>0.6</v>
      </c>
      <c r="H468" s="7">
        <v>0.6</v>
      </c>
      <c r="I468" s="7">
        <v>0.6</v>
      </c>
      <c r="J468" s="7">
        <v>0.6</v>
      </c>
      <c r="K468" s="7">
        <v>0.6</v>
      </c>
      <c r="L468" s="7">
        <v>0.6</v>
      </c>
      <c r="M468" s="7">
        <v>0.6</v>
      </c>
      <c r="N468" s="7">
        <v>0.6</v>
      </c>
      <c r="O468" s="7">
        <v>0.6</v>
      </c>
      <c r="P468" s="7">
        <v>0.6</v>
      </c>
      <c r="Q468" s="7">
        <v>0.6</v>
      </c>
    </row>
    <row r="469" spans="1:17">
      <c r="A469" s="2">
        <v>2417</v>
      </c>
      <c r="B469" s="7">
        <v>0.6</v>
      </c>
      <c r="C469" s="7">
        <v>0.6</v>
      </c>
      <c r="D469" s="7">
        <v>0.6</v>
      </c>
      <c r="E469" s="7">
        <v>0.6</v>
      </c>
      <c r="F469" s="7">
        <v>0.6</v>
      </c>
      <c r="G469" s="7">
        <v>0.6</v>
      </c>
      <c r="H469" s="7">
        <v>0.6</v>
      </c>
      <c r="I469" s="7">
        <v>0.6</v>
      </c>
      <c r="J469" s="7">
        <v>0.6</v>
      </c>
      <c r="K469" s="7">
        <v>0.6</v>
      </c>
      <c r="L469" s="7">
        <v>0.6</v>
      </c>
      <c r="M469" s="7">
        <v>0.6</v>
      </c>
      <c r="N469" s="7">
        <v>0.6</v>
      </c>
      <c r="O469" s="7">
        <v>0.6</v>
      </c>
      <c r="P469" s="7">
        <v>0.6</v>
      </c>
      <c r="Q469" s="7">
        <v>0.6</v>
      </c>
    </row>
    <row r="470" spans="1:17">
      <c r="A470" s="2">
        <v>2418</v>
      </c>
      <c r="B470" s="7">
        <v>0.6</v>
      </c>
      <c r="C470" s="7">
        <v>0.6</v>
      </c>
      <c r="D470" s="7">
        <v>0.6</v>
      </c>
      <c r="E470" s="7">
        <v>0.6</v>
      </c>
      <c r="F470" s="7">
        <v>0.6</v>
      </c>
      <c r="G470" s="7">
        <v>0.6</v>
      </c>
      <c r="H470" s="7">
        <v>0.6</v>
      </c>
      <c r="I470" s="7">
        <v>0.6</v>
      </c>
      <c r="J470" s="7">
        <v>0.6</v>
      </c>
      <c r="K470" s="7">
        <v>0.6</v>
      </c>
      <c r="L470" s="7">
        <v>0.6</v>
      </c>
      <c r="M470" s="7">
        <v>0.6</v>
      </c>
      <c r="N470" s="7">
        <v>0.6</v>
      </c>
      <c r="O470" s="7">
        <v>0.6</v>
      </c>
      <c r="P470" s="7">
        <v>0.6</v>
      </c>
      <c r="Q470" s="7">
        <v>0.6</v>
      </c>
    </row>
    <row r="471" spans="1:17">
      <c r="A471" s="2">
        <v>2419</v>
      </c>
      <c r="B471" s="7">
        <v>0.6</v>
      </c>
      <c r="C471" s="7">
        <v>0.6</v>
      </c>
      <c r="D471" s="7">
        <v>0.6</v>
      </c>
      <c r="E471" s="7">
        <v>0.6</v>
      </c>
      <c r="F471" s="7">
        <v>0.6</v>
      </c>
      <c r="G471" s="7">
        <v>0.6</v>
      </c>
      <c r="H471" s="7">
        <v>0.6</v>
      </c>
      <c r="I471" s="7">
        <v>0.6</v>
      </c>
      <c r="J471" s="7">
        <v>0.6</v>
      </c>
      <c r="K471" s="7">
        <v>0.6</v>
      </c>
      <c r="L471" s="7">
        <v>0.6</v>
      </c>
      <c r="M471" s="7">
        <v>0.6</v>
      </c>
      <c r="N471" s="7">
        <v>0.6</v>
      </c>
      <c r="O471" s="7">
        <v>0.6</v>
      </c>
      <c r="P471" s="7">
        <v>0.6</v>
      </c>
      <c r="Q471" s="7">
        <v>0.6</v>
      </c>
    </row>
    <row r="472" spans="1:17">
      <c r="A472" s="2">
        <v>2420</v>
      </c>
      <c r="B472" s="7">
        <v>0.6</v>
      </c>
      <c r="C472" s="7">
        <v>0.6</v>
      </c>
      <c r="D472" s="7">
        <v>0.6</v>
      </c>
      <c r="E472" s="7">
        <v>0.6</v>
      </c>
      <c r="F472" s="7">
        <v>0.6</v>
      </c>
      <c r="G472" s="7">
        <v>0.6</v>
      </c>
      <c r="H472" s="7">
        <v>0.6</v>
      </c>
      <c r="I472" s="7">
        <v>0.6</v>
      </c>
      <c r="J472" s="7">
        <v>0.6</v>
      </c>
      <c r="K472" s="7">
        <v>0.6</v>
      </c>
      <c r="L472" s="7">
        <v>0.6</v>
      </c>
      <c r="M472" s="7">
        <v>0.6</v>
      </c>
      <c r="N472" s="7">
        <v>0.6</v>
      </c>
      <c r="O472" s="7">
        <v>0.6</v>
      </c>
      <c r="P472" s="7">
        <v>0.6</v>
      </c>
      <c r="Q472" s="7">
        <v>0.6</v>
      </c>
    </row>
    <row r="473" spans="1:17">
      <c r="A473" s="2">
        <v>2421</v>
      </c>
      <c r="B473" s="7">
        <v>0.6</v>
      </c>
      <c r="C473" s="7">
        <v>0.6</v>
      </c>
      <c r="D473" s="7">
        <v>0.6</v>
      </c>
      <c r="E473" s="7">
        <v>0.6</v>
      </c>
      <c r="F473" s="7">
        <v>0.6</v>
      </c>
      <c r="G473" s="7">
        <v>0.6</v>
      </c>
      <c r="H473" s="7">
        <v>0.6</v>
      </c>
      <c r="I473" s="7">
        <v>0.6</v>
      </c>
      <c r="J473" s="7">
        <v>0.6</v>
      </c>
      <c r="K473" s="7">
        <v>0.6</v>
      </c>
      <c r="L473" s="7">
        <v>0.6</v>
      </c>
      <c r="M473" s="7">
        <v>0.6</v>
      </c>
      <c r="N473" s="7">
        <v>0.6</v>
      </c>
      <c r="O473" s="7">
        <v>0.6</v>
      </c>
      <c r="P473" s="7">
        <v>0.6</v>
      </c>
      <c r="Q473" s="7">
        <v>0.6</v>
      </c>
    </row>
    <row r="474" spans="1:17">
      <c r="A474" s="2">
        <v>2422</v>
      </c>
      <c r="B474" s="7">
        <v>0.6</v>
      </c>
      <c r="C474" s="7">
        <v>0.6</v>
      </c>
      <c r="D474" s="7">
        <v>0.6</v>
      </c>
      <c r="E474" s="7">
        <v>0.6</v>
      </c>
      <c r="F474" s="7">
        <v>0.6</v>
      </c>
      <c r="G474" s="7">
        <v>0.6</v>
      </c>
      <c r="H474" s="7">
        <v>0.6</v>
      </c>
      <c r="I474" s="7">
        <v>0.6</v>
      </c>
      <c r="J474" s="7">
        <v>0.6</v>
      </c>
      <c r="K474" s="7">
        <v>0.6</v>
      </c>
      <c r="L474" s="7">
        <v>0.6</v>
      </c>
      <c r="M474" s="7">
        <v>0.6</v>
      </c>
      <c r="N474" s="7">
        <v>0.6</v>
      </c>
      <c r="O474" s="7">
        <v>0.6</v>
      </c>
      <c r="P474" s="7">
        <v>0.6</v>
      </c>
      <c r="Q474" s="7">
        <v>0.6</v>
      </c>
    </row>
    <row r="475" spans="1:17">
      <c r="A475" s="2">
        <v>2423</v>
      </c>
      <c r="B475" s="7">
        <v>0.6</v>
      </c>
      <c r="C475" s="7">
        <v>0.6</v>
      </c>
      <c r="D475" s="7">
        <v>0.6</v>
      </c>
      <c r="E475" s="7">
        <v>0.6</v>
      </c>
      <c r="F475" s="7">
        <v>0.6</v>
      </c>
      <c r="G475" s="7">
        <v>0.6</v>
      </c>
      <c r="H475" s="7">
        <v>0.6</v>
      </c>
      <c r="I475" s="7">
        <v>0.6</v>
      </c>
      <c r="J475" s="7">
        <v>0.6</v>
      </c>
      <c r="K475" s="7">
        <v>0.6</v>
      </c>
      <c r="L475" s="7">
        <v>0.6</v>
      </c>
      <c r="M475" s="7">
        <v>0.6</v>
      </c>
      <c r="N475" s="7">
        <v>0.6</v>
      </c>
      <c r="O475" s="7">
        <v>0.6</v>
      </c>
      <c r="P475" s="7">
        <v>0.6</v>
      </c>
      <c r="Q475" s="7">
        <v>0.6</v>
      </c>
    </row>
    <row r="476" spans="1:17">
      <c r="A476" s="2">
        <v>2424</v>
      </c>
      <c r="B476" s="7">
        <v>0.6</v>
      </c>
      <c r="C476" s="7">
        <v>0.6</v>
      </c>
      <c r="D476" s="7">
        <v>0.6</v>
      </c>
      <c r="E476" s="7">
        <v>0.6</v>
      </c>
      <c r="F476" s="7">
        <v>0.6</v>
      </c>
      <c r="G476" s="7">
        <v>0.6</v>
      </c>
      <c r="H476" s="7">
        <v>0.6</v>
      </c>
      <c r="I476" s="7">
        <v>0.6</v>
      </c>
      <c r="J476" s="7">
        <v>0.6</v>
      </c>
      <c r="K476" s="7">
        <v>0.6</v>
      </c>
      <c r="L476" s="7">
        <v>0.6</v>
      </c>
      <c r="M476" s="7">
        <v>0.6</v>
      </c>
      <c r="N476" s="7">
        <v>0.6</v>
      </c>
      <c r="O476" s="7">
        <v>0.6</v>
      </c>
      <c r="P476" s="7">
        <v>0.6</v>
      </c>
      <c r="Q476" s="7">
        <v>0.6</v>
      </c>
    </row>
    <row r="477" spans="1:17">
      <c r="A477" s="2">
        <v>2425</v>
      </c>
      <c r="B477" s="7">
        <v>0.6</v>
      </c>
      <c r="C477" s="7">
        <v>0.6</v>
      </c>
      <c r="D477" s="7">
        <v>0.6</v>
      </c>
      <c r="E477" s="7">
        <v>0.6</v>
      </c>
      <c r="F477" s="7">
        <v>0.6</v>
      </c>
      <c r="G477" s="7">
        <v>0.6</v>
      </c>
      <c r="H477" s="7">
        <v>0.6</v>
      </c>
      <c r="I477" s="7">
        <v>0.6</v>
      </c>
      <c r="J477" s="7">
        <v>0.6</v>
      </c>
      <c r="K477" s="7">
        <v>0.6</v>
      </c>
      <c r="L477" s="7">
        <v>0.6</v>
      </c>
      <c r="M477" s="7">
        <v>0.6</v>
      </c>
      <c r="N477" s="7">
        <v>0.6</v>
      </c>
      <c r="O477" s="7">
        <v>0.6</v>
      </c>
      <c r="P477" s="7">
        <v>0.6</v>
      </c>
      <c r="Q477" s="7">
        <v>0.6</v>
      </c>
    </row>
    <row r="478" spans="1:17">
      <c r="A478" s="2">
        <v>2426</v>
      </c>
      <c r="B478" s="7">
        <v>0.6</v>
      </c>
      <c r="C478" s="7">
        <v>0.6</v>
      </c>
      <c r="D478" s="7">
        <v>0.6</v>
      </c>
      <c r="E478" s="7">
        <v>0.6</v>
      </c>
      <c r="F478" s="7">
        <v>0.6</v>
      </c>
      <c r="G478" s="7">
        <v>0.6</v>
      </c>
      <c r="H478" s="7">
        <v>0.6</v>
      </c>
      <c r="I478" s="7">
        <v>0.6</v>
      </c>
      <c r="J478" s="7">
        <v>0.6</v>
      </c>
      <c r="K478" s="7">
        <v>0.6</v>
      </c>
      <c r="L478" s="7">
        <v>0.6</v>
      </c>
      <c r="M478" s="7">
        <v>0.6</v>
      </c>
      <c r="N478" s="7">
        <v>0.6</v>
      </c>
      <c r="O478" s="7">
        <v>0.6</v>
      </c>
      <c r="P478" s="7">
        <v>0.6</v>
      </c>
      <c r="Q478" s="7">
        <v>0.6</v>
      </c>
    </row>
    <row r="479" spans="1:17">
      <c r="A479" s="2">
        <v>2427</v>
      </c>
      <c r="B479" s="7">
        <v>0.6</v>
      </c>
      <c r="C479" s="7">
        <v>0.6</v>
      </c>
      <c r="D479" s="7">
        <v>0.6</v>
      </c>
      <c r="E479" s="7">
        <v>0.6</v>
      </c>
      <c r="F479" s="7">
        <v>0.6</v>
      </c>
      <c r="G479" s="7">
        <v>0.6</v>
      </c>
      <c r="H479" s="7">
        <v>0.6</v>
      </c>
      <c r="I479" s="7">
        <v>0.6</v>
      </c>
      <c r="J479" s="7">
        <v>0.6</v>
      </c>
      <c r="K479" s="7">
        <v>0.6</v>
      </c>
      <c r="L479" s="7">
        <v>0.6</v>
      </c>
      <c r="M479" s="7">
        <v>0.6</v>
      </c>
      <c r="N479" s="7">
        <v>0.6</v>
      </c>
      <c r="O479" s="7">
        <v>0.6</v>
      </c>
      <c r="P479" s="7">
        <v>0.6</v>
      </c>
      <c r="Q479" s="7">
        <v>0.6</v>
      </c>
    </row>
    <row r="480" spans="1:17">
      <c r="A480" s="2">
        <v>2428</v>
      </c>
      <c r="B480" s="7">
        <v>0.6</v>
      </c>
      <c r="C480" s="7">
        <v>0.6</v>
      </c>
      <c r="D480" s="7">
        <v>0.6</v>
      </c>
      <c r="E480" s="7">
        <v>0.6</v>
      </c>
      <c r="F480" s="7">
        <v>0.6</v>
      </c>
      <c r="G480" s="7">
        <v>0.6</v>
      </c>
      <c r="H480" s="7">
        <v>0.6</v>
      </c>
      <c r="I480" s="7">
        <v>0.6</v>
      </c>
      <c r="J480" s="7">
        <v>0.6</v>
      </c>
      <c r="K480" s="7">
        <v>0.6</v>
      </c>
      <c r="L480" s="7">
        <v>0.6</v>
      </c>
      <c r="M480" s="7">
        <v>0.6</v>
      </c>
      <c r="N480" s="7">
        <v>0.6</v>
      </c>
      <c r="O480" s="7">
        <v>0.6</v>
      </c>
      <c r="P480" s="7">
        <v>0.6</v>
      </c>
      <c r="Q480" s="7">
        <v>0.6</v>
      </c>
    </row>
    <row r="481" spans="1:17">
      <c r="A481" s="2">
        <v>2429</v>
      </c>
      <c r="B481" s="7">
        <v>0.6</v>
      </c>
      <c r="C481" s="7">
        <v>0.6</v>
      </c>
      <c r="D481" s="7">
        <v>0.6</v>
      </c>
      <c r="E481" s="7">
        <v>0.6</v>
      </c>
      <c r="F481" s="7">
        <v>0.6</v>
      </c>
      <c r="G481" s="7">
        <v>0.6</v>
      </c>
      <c r="H481" s="7">
        <v>0.6</v>
      </c>
      <c r="I481" s="7">
        <v>0.6</v>
      </c>
      <c r="J481" s="7">
        <v>0.6</v>
      </c>
      <c r="K481" s="7">
        <v>0.6</v>
      </c>
      <c r="L481" s="7">
        <v>0.6</v>
      </c>
      <c r="M481" s="7">
        <v>0.6</v>
      </c>
      <c r="N481" s="7">
        <v>0.6</v>
      </c>
      <c r="O481" s="7">
        <v>0.6</v>
      </c>
      <c r="P481" s="7">
        <v>0.6</v>
      </c>
      <c r="Q481" s="7">
        <v>0.6</v>
      </c>
    </row>
    <row r="482" spans="1:17">
      <c r="A482" s="2">
        <v>2430</v>
      </c>
      <c r="B482" s="7">
        <v>0.6</v>
      </c>
      <c r="C482" s="7">
        <v>0.6</v>
      </c>
      <c r="D482" s="7">
        <v>0.6</v>
      </c>
      <c r="E482" s="7">
        <v>0.6</v>
      </c>
      <c r="F482" s="7">
        <v>0.6</v>
      </c>
      <c r="G482" s="7">
        <v>0.6</v>
      </c>
      <c r="H482" s="7">
        <v>0.6</v>
      </c>
      <c r="I482" s="7">
        <v>0.6</v>
      </c>
      <c r="J482" s="7">
        <v>0.6</v>
      </c>
      <c r="K482" s="7">
        <v>0.6</v>
      </c>
      <c r="L482" s="7">
        <v>0.6</v>
      </c>
      <c r="M482" s="7">
        <v>0.6</v>
      </c>
      <c r="N482" s="7">
        <v>0.6</v>
      </c>
      <c r="O482" s="7">
        <v>0.6</v>
      </c>
      <c r="P482" s="7">
        <v>0.6</v>
      </c>
      <c r="Q482" s="7">
        <v>0.6</v>
      </c>
    </row>
    <row r="483" spans="1:17">
      <c r="A483" s="2">
        <v>2431</v>
      </c>
      <c r="B483" s="7">
        <v>0.6</v>
      </c>
      <c r="C483" s="7">
        <v>0.6</v>
      </c>
      <c r="D483" s="7">
        <v>0.6</v>
      </c>
      <c r="E483" s="7">
        <v>0.6</v>
      </c>
      <c r="F483" s="7">
        <v>0.6</v>
      </c>
      <c r="G483" s="7">
        <v>0.6</v>
      </c>
      <c r="H483" s="7">
        <v>0.6</v>
      </c>
      <c r="I483" s="7">
        <v>0.6</v>
      </c>
      <c r="J483" s="7">
        <v>0.6</v>
      </c>
      <c r="K483" s="7">
        <v>0.6</v>
      </c>
      <c r="L483" s="7">
        <v>0.6</v>
      </c>
      <c r="M483" s="7">
        <v>0.6</v>
      </c>
      <c r="N483" s="7">
        <v>0.6</v>
      </c>
      <c r="O483" s="7">
        <v>0.6</v>
      </c>
      <c r="P483" s="7">
        <v>0.6</v>
      </c>
      <c r="Q483" s="7">
        <v>0.6</v>
      </c>
    </row>
    <row r="484" spans="1:17">
      <c r="A484" s="2">
        <v>2432</v>
      </c>
      <c r="B484" s="7">
        <v>0.6</v>
      </c>
      <c r="C484" s="7">
        <v>0.6</v>
      </c>
      <c r="D484" s="7">
        <v>0.6</v>
      </c>
      <c r="E484" s="7">
        <v>0.6</v>
      </c>
      <c r="F484" s="7">
        <v>0.6</v>
      </c>
      <c r="G484" s="7">
        <v>0.6</v>
      </c>
      <c r="H484" s="7">
        <v>0.6</v>
      </c>
      <c r="I484" s="7">
        <v>0.6</v>
      </c>
      <c r="J484" s="7">
        <v>0.6</v>
      </c>
      <c r="K484" s="7">
        <v>0.6</v>
      </c>
      <c r="L484" s="7">
        <v>0.6</v>
      </c>
      <c r="M484" s="7">
        <v>0.6</v>
      </c>
      <c r="N484" s="7">
        <v>0.6</v>
      </c>
      <c r="O484" s="7">
        <v>0.6</v>
      </c>
      <c r="P484" s="7">
        <v>0.6</v>
      </c>
      <c r="Q484" s="7">
        <v>0.6</v>
      </c>
    </row>
    <row r="485" spans="1:17">
      <c r="A485" s="2">
        <v>2433</v>
      </c>
      <c r="B485" s="7">
        <v>0.6</v>
      </c>
      <c r="C485" s="7">
        <v>0.6</v>
      </c>
      <c r="D485" s="7">
        <v>0.6</v>
      </c>
      <c r="E485" s="7">
        <v>0.6</v>
      </c>
      <c r="F485" s="7">
        <v>0.6</v>
      </c>
      <c r="G485" s="7">
        <v>0.6</v>
      </c>
      <c r="H485" s="7">
        <v>0.6</v>
      </c>
      <c r="I485" s="7">
        <v>0.6</v>
      </c>
      <c r="J485" s="7">
        <v>0.6</v>
      </c>
      <c r="K485" s="7">
        <v>0.6</v>
      </c>
      <c r="L485" s="7">
        <v>0.6</v>
      </c>
      <c r="M485" s="7">
        <v>0.6</v>
      </c>
      <c r="N485" s="7">
        <v>0.6</v>
      </c>
      <c r="O485" s="7">
        <v>0.6</v>
      </c>
      <c r="P485" s="7">
        <v>0.6</v>
      </c>
      <c r="Q485" s="7">
        <v>0.6</v>
      </c>
    </row>
    <row r="486" spans="1:17">
      <c r="A486" s="2">
        <v>2434</v>
      </c>
      <c r="B486" s="7">
        <v>0.6</v>
      </c>
      <c r="C486" s="7">
        <v>0.6</v>
      </c>
      <c r="D486" s="7">
        <v>0.6</v>
      </c>
      <c r="E486" s="7">
        <v>0.6</v>
      </c>
      <c r="F486" s="7">
        <v>0.6</v>
      </c>
      <c r="G486" s="7">
        <v>0.6</v>
      </c>
      <c r="H486" s="7">
        <v>0.6</v>
      </c>
      <c r="I486" s="7">
        <v>0.6</v>
      </c>
      <c r="J486" s="7">
        <v>0.6</v>
      </c>
      <c r="K486" s="7">
        <v>0.6</v>
      </c>
      <c r="L486" s="7">
        <v>0.6</v>
      </c>
      <c r="M486" s="7">
        <v>0.6</v>
      </c>
      <c r="N486" s="7">
        <v>0.6</v>
      </c>
      <c r="O486" s="7">
        <v>0.6</v>
      </c>
      <c r="P486" s="7">
        <v>0.6</v>
      </c>
      <c r="Q486" s="7">
        <v>0.6</v>
      </c>
    </row>
    <row r="487" spans="1:17">
      <c r="A487" s="2">
        <v>2435</v>
      </c>
      <c r="B487" s="7">
        <v>0.6</v>
      </c>
      <c r="C487" s="7">
        <v>0.6</v>
      </c>
      <c r="D487" s="7">
        <v>0.6</v>
      </c>
      <c r="E487" s="7">
        <v>0.6</v>
      </c>
      <c r="F487" s="7">
        <v>0.6</v>
      </c>
      <c r="G487" s="7">
        <v>0.6</v>
      </c>
      <c r="H487" s="7">
        <v>0.6</v>
      </c>
      <c r="I487" s="7">
        <v>0.6</v>
      </c>
      <c r="J487" s="7">
        <v>0.6</v>
      </c>
      <c r="K487" s="7">
        <v>0.6</v>
      </c>
      <c r="L487" s="7">
        <v>0.6</v>
      </c>
      <c r="M487" s="7">
        <v>0.6</v>
      </c>
      <c r="N487" s="7">
        <v>0.6</v>
      </c>
      <c r="O487" s="7">
        <v>0.6</v>
      </c>
      <c r="P487" s="7">
        <v>0.6</v>
      </c>
      <c r="Q487" s="7">
        <v>0.6</v>
      </c>
    </row>
    <row r="488" spans="1:17">
      <c r="A488" s="2">
        <v>2436</v>
      </c>
      <c r="B488" s="7">
        <v>0.6</v>
      </c>
      <c r="C488" s="7">
        <v>0.6</v>
      </c>
      <c r="D488" s="7">
        <v>0.6</v>
      </c>
      <c r="E488" s="7">
        <v>0.6</v>
      </c>
      <c r="F488" s="7">
        <v>0.6</v>
      </c>
      <c r="G488" s="7">
        <v>0.6</v>
      </c>
      <c r="H488" s="7">
        <v>0.6</v>
      </c>
      <c r="I488" s="7">
        <v>0.6</v>
      </c>
      <c r="J488" s="7">
        <v>0.6</v>
      </c>
      <c r="K488" s="7">
        <v>0.6</v>
      </c>
      <c r="L488" s="7">
        <v>0.6</v>
      </c>
      <c r="M488" s="7">
        <v>0.6</v>
      </c>
      <c r="N488" s="7">
        <v>0.6</v>
      </c>
      <c r="O488" s="7">
        <v>0.6</v>
      </c>
      <c r="P488" s="7">
        <v>0.6</v>
      </c>
      <c r="Q488" s="7">
        <v>0.6</v>
      </c>
    </row>
    <row r="489" spans="1:17">
      <c r="A489" s="2">
        <v>2437</v>
      </c>
      <c r="B489" s="7">
        <v>0.6</v>
      </c>
      <c r="C489" s="7">
        <v>0.6</v>
      </c>
      <c r="D489" s="7">
        <v>0.6</v>
      </c>
      <c r="E489" s="7">
        <v>0.6</v>
      </c>
      <c r="F489" s="7">
        <v>0.6</v>
      </c>
      <c r="G489" s="7">
        <v>0.6</v>
      </c>
      <c r="H489" s="7">
        <v>0.6</v>
      </c>
      <c r="I489" s="7">
        <v>0.6</v>
      </c>
      <c r="J489" s="7">
        <v>0.6</v>
      </c>
      <c r="K489" s="7">
        <v>0.6</v>
      </c>
      <c r="L489" s="7">
        <v>0.6</v>
      </c>
      <c r="M489" s="7">
        <v>0.6</v>
      </c>
      <c r="N489" s="7">
        <v>0.6</v>
      </c>
      <c r="O489" s="7">
        <v>0.6</v>
      </c>
      <c r="P489" s="7">
        <v>0.6</v>
      </c>
      <c r="Q489" s="7">
        <v>0.6</v>
      </c>
    </row>
    <row r="490" spans="1:17">
      <c r="A490" s="2">
        <v>2438</v>
      </c>
      <c r="B490" s="7">
        <v>0.6</v>
      </c>
      <c r="C490" s="7">
        <v>0.6</v>
      </c>
      <c r="D490" s="7">
        <v>0.6</v>
      </c>
      <c r="E490" s="7">
        <v>0.6</v>
      </c>
      <c r="F490" s="7">
        <v>0.6</v>
      </c>
      <c r="G490" s="7">
        <v>0.6</v>
      </c>
      <c r="H490" s="7">
        <v>0.6</v>
      </c>
      <c r="I490" s="7">
        <v>0.6</v>
      </c>
      <c r="J490" s="7">
        <v>0.6</v>
      </c>
      <c r="K490" s="7">
        <v>0.6</v>
      </c>
      <c r="L490" s="7">
        <v>0.6</v>
      </c>
      <c r="M490" s="7">
        <v>0.6</v>
      </c>
      <c r="N490" s="7">
        <v>0.6</v>
      </c>
      <c r="O490" s="7">
        <v>0.6</v>
      </c>
      <c r="P490" s="7">
        <v>0.6</v>
      </c>
      <c r="Q490" s="7">
        <v>0.6</v>
      </c>
    </row>
    <row r="491" spans="1:17">
      <c r="A491" s="2">
        <v>2439</v>
      </c>
      <c r="B491" s="7">
        <v>0.6</v>
      </c>
      <c r="C491" s="7">
        <v>0.6</v>
      </c>
      <c r="D491" s="7">
        <v>0.6</v>
      </c>
      <c r="E491" s="7">
        <v>0.6</v>
      </c>
      <c r="F491" s="7">
        <v>0.6</v>
      </c>
      <c r="G491" s="7">
        <v>0.6</v>
      </c>
      <c r="H491" s="7">
        <v>0.6</v>
      </c>
      <c r="I491" s="7">
        <v>0.6</v>
      </c>
      <c r="J491" s="7">
        <v>0.6</v>
      </c>
      <c r="K491" s="7">
        <v>0.6</v>
      </c>
      <c r="L491" s="7">
        <v>0.6</v>
      </c>
      <c r="M491" s="7">
        <v>0.6</v>
      </c>
      <c r="N491" s="7">
        <v>0.6</v>
      </c>
      <c r="O491" s="7">
        <v>0.6</v>
      </c>
      <c r="P491" s="7">
        <v>0.6</v>
      </c>
      <c r="Q491" s="7">
        <v>0.6</v>
      </c>
    </row>
    <row r="492" spans="1:17">
      <c r="A492" s="2">
        <v>2440</v>
      </c>
      <c r="B492" s="7">
        <v>0.6</v>
      </c>
      <c r="C492" s="7">
        <v>0.6</v>
      </c>
      <c r="D492" s="7">
        <v>0.6</v>
      </c>
      <c r="E492" s="7">
        <v>0.6</v>
      </c>
      <c r="F492" s="7">
        <v>0.6</v>
      </c>
      <c r="G492" s="7">
        <v>0.6</v>
      </c>
      <c r="H492" s="7">
        <v>0.6</v>
      </c>
      <c r="I492" s="7">
        <v>0.6</v>
      </c>
      <c r="J492" s="7">
        <v>0.6</v>
      </c>
      <c r="K492" s="7">
        <v>0.6</v>
      </c>
      <c r="L492" s="7">
        <v>0.6</v>
      </c>
      <c r="M492" s="7">
        <v>0.6</v>
      </c>
      <c r="N492" s="7">
        <v>0.6</v>
      </c>
      <c r="O492" s="7">
        <v>0.6</v>
      </c>
      <c r="P492" s="7">
        <v>0.6</v>
      </c>
      <c r="Q492" s="7">
        <v>0.6</v>
      </c>
    </row>
    <row r="493" spans="1:17">
      <c r="A493" s="2">
        <v>2441</v>
      </c>
      <c r="B493" s="7">
        <v>0.6</v>
      </c>
      <c r="C493" s="7">
        <v>0.6</v>
      </c>
      <c r="D493" s="7">
        <v>0.6</v>
      </c>
      <c r="E493" s="7">
        <v>0.6</v>
      </c>
      <c r="F493" s="7">
        <v>0.6</v>
      </c>
      <c r="G493" s="7">
        <v>0.6</v>
      </c>
      <c r="H493" s="7">
        <v>0.6</v>
      </c>
      <c r="I493" s="7">
        <v>0.6</v>
      </c>
      <c r="J493" s="7">
        <v>0.6</v>
      </c>
      <c r="K493" s="7">
        <v>0.6</v>
      </c>
      <c r="L493" s="7">
        <v>0.6</v>
      </c>
      <c r="M493" s="7">
        <v>0.6</v>
      </c>
      <c r="N493" s="7">
        <v>0.6</v>
      </c>
      <c r="O493" s="7">
        <v>0.6</v>
      </c>
      <c r="P493" s="7">
        <v>0.6</v>
      </c>
      <c r="Q493" s="7">
        <v>0.6</v>
      </c>
    </row>
    <row r="494" spans="1:17">
      <c r="A494" s="2">
        <v>2442</v>
      </c>
      <c r="B494" s="7">
        <v>0.6</v>
      </c>
      <c r="C494" s="7">
        <v>0.6</v>
      </c>
      <c r="D494" s="7">
        <v>0.6</v>
      </c>
      <c r="E494" s="7">
        <v>0.6</v>
      </c>
      <c r="F494" s="7">
        <v>0.6</v>
      </c>
      <c r="G494" s="7">
        <v>0.6</v>
      </c>
      <c r="H494" s="7">
        <v>0.6</v>
      </c>
      <c r="I494" s="7">
        <v>0.6</v>
      </c>
      <c r="J494" s="7">
        <v>0.6</v>
      </c>
      <c r="K494" s="7">
        <v>0.6</v>
      </c>
      <c r="L494" s="7">
        <v>0.6</v>
      </c>
      <c r="M494" s="7">
        <v>0.6</v>
      </c>
      <c r="N494" s="7">
        <v>0.6</v>
      </c>
      <c r="O494" s="7">
        <v>0.6</v>
      </c>
      <c r="P494" s="7">
        <v>0.6</v>
      </c>
      <c r="Q494" s="7">
        <v>0.6</v>
      </c>
    </row>
    <row r="495" spans="1:17">
      <c r="A495" s="2">
        <v>2443</v>
      </c>
      <c r="B495" s="7">
        <v>0.6</v>
      </c>
      <c r="C495" s="7">
        <v>0.6</v>
      </c>
      <c r="D495" s="7">
        <v>0.6</v>
      </c>
      <c r="E495" s="7">
        <v>0.6</v>
      </c>
      <c r="F495" s="7">
        <v>0.6</v>
      </c>
      <c r="G495" s="7">
        <v>0.6</v>
      </c>
      <c r="H495" s="7">
        <v>0.6</v>
      </c>
      <c r="I495" s="7">
        <v>0.6</v>
      </c>
      <c r="J495" s="7">
        <v>0.6</v>
      </c>
      <c r="K495" s="7">
        <v>0.6</v>
      </c>
      <c r="L495" s="7">
        <v>0.6</v>
      </c>
      <c r="M495" s="7">
        <v>0.6</v>
      </c>
      <c r="N495" s="7">
        <v>0.6</v>
      </c>
      <c r="O495" s="7">
        <v>0.6</v>
      </c>
      <c r="P495" s="7">
        <v>0.6</v>
      </c>
      <c r="Q495" s="7">
        <v>0.6</v>
      </c>
    </row>
    <row r="496" spans="1:17">
      <c r="A496" s="2">
        <v>2444</v>
      </c>
      <c r="B496" s="7">
        <v>0.6</v>
      </c>
      <c r="C496" s="7">
        <v>0.6</v>
      </c>
      <c r="D496" s="7">
        <v>0.6</v>
      </c>
      <c r="E496" s="7">
        <v>0.6</v>
      </c>
      <c r="F496" s="7">
        <v>0.6</v>
      </c>
      <c r="G496" s="7">
        <v>0.6</v>
      </c>
      <c r="H496" s="7">
        <v>0.6</v>
      </c>
      <c r="I496" s="7">
        <v>0.6</v>
      </c>
      <c r="J496" s="7">
        <v>0.6</v>
      </c>
      <c r="K496" s="7">
        <v>0.6</v>
      </c>
      <c r="L496" s="7">
        <v>0.6</v>
      </c>
      <c r="M496" s="7">
        <v>0.6</v>
      </c>
      <c r="N496" s="7">
        <v>0.6</v>
      </c>
      <c r="O496" s="7">
        <v>0.6</v>
      </c>
      <c r="P496" s="7">
        <v>0.6</v>
      </c>
      <c r="Q496" s="7">
        <v>0.6</v>
      </c>
    </row>
    <row r="497" spans="1:17">
      <c r="A497" s="2">
        <v>2445</v>
      </c>
      <c r="B497" s="7">
        <v>0.6</v>
      </c>
      <c r="C497" s="7">
        <v>0.6</v>
      </c>
      <c r="D497" s="7">
        <v>0.6</v>
      </c>
      <c r="E497" s="7">
        <v>0.6</v>
      </c>
      <c r="F497" s="7">
        <v>0.6</v>
      </c>
      <c r="G497" s="7">
        <v>0.6</v>
      </c>
      <c r="H497" s="7">
        <v>0.6</v>
      </c>
      <c r="I497" s="7">
        <v>0.6</v>
      </c>
      <c r="J497" s="7">
        <v>0.6</v>
      </c>
      <c r="K497" s="7">
        <v>0.6</v>
      </c>
      <c r="L497" s="7">
        <v>0.6</v>
      </c>
      <c r="M497" s="7">
        <v>0.6</v>
      </c>
      <c r="N497" s="7">
        <v>0.6</v>
      </c>
      <c r="O497" s="7">
        <v>0.6</v>
      </c>
      <c r="P497" s="7">
        <v>0.6</v>
      </c>
      <c r="Q497" s="7">
        <v>0.6</v>
      </c>
    </row>
    <row r="498" spans="1:17">
      <c r="A498" s="2">
        <v>2446</v>
      </c>
      <c r="B498" s="7">
        <v>0.6</v>
      </c>
      <c r="C498" s="7">
        <v>0.6</v>
      </c>
      <c r="D498" s="7">
        <v>0.6</v>
      </c>
      <c r="E498" s="7">
        <v>0.6</v>
      </c>
      <c r="F498" s="7">
        <v>0.6</v>
      </c>
      <c r="G498" s="7">
        <v>0.6</v>
      </c>
      <c r="H498" s="7">
        <v>0.6</v>
      </c>
      <c r="I498" s="7">
        <v>0.6</v>
      </c>
      <c r="J498" s="7">
        <v>0.6</v>
      </c>
      <c r="K498" s="7">
        <v>0.6</v>
      </c>
      <c r="L498" s="7">
        <v>0.6</v>
      </c>
      <c r="M498" s="7">
        <v>0.6</v>
      </c>
      <c r="N498" s="7">
        <v>0.6</v>
      </c>
      <c r="O498" s="7">
        <v>0.6</v>
      </c>
      <c r="P498" s="7">
        <v>0.6</v>
      </c>
      <c r="Q498" s="7">
        <v>0.6</v>
      </c>
    </row>
    <row r="499" spans="1:17">
      <c r="A499" s="2">
        <v>2447</v>
      </c>
      <c r="B499" s="7">
        <v>0.6</v>
      </c>
      <c r="C499" s="7">
        <v>0.6</v>
      </c>
      <c r="D499" s="7">
        <v>0.6</v>
      </c>
      <c r="E499" s="7">
        <v>0.6</v>
      </c>
      <c r="F499" s="7">
        <v>0.6</v>
      </c>
      <c r="G499" s="7">
        <v>0.6</v>
      </c>
      <c r="H499" s="7">
        <v>0.6</v>
      </c>
      <c r="I499" s="7">
        <v>0.6</v>
      </c>
      <c r="J499" s="7">
        <v>0.6</v>
      </c>
      <c r="K499" s="7">
        <v>0.6</v>
      </c>
      <c r="L499" s="7">
        <v>0.6</v>
      </c>
      <c r="M499" s="7">
        <v>0.6</v>
      </c>
      <c r="N499" s="7">
        <v>0.6</v>
      </c>
      <c r="O499" s="7">
        <v>0.6</v>
      </c>
      <c r="P499" s="7">
        <v>0.6</v>
      </c>
      <c r="Q499" s="7">
        <v>0.6</v>
      </c>
    </row>
    <row r="500" spans="1:17">
      <c r="A500" s="2">
        <v>2448</v>
      </c>
      <c r="B500" s="7">
        <v>0.6</v>
      </c>
      <c r="C500" s="7">
        <v>0.6</v>
      </c>
      <c r="D500" s="7">
        <v>0.6</v>
      </c>
      <c r="E500" s="7">
        <v>0.6</v>
      </c>
      <c r="F500" s="7">
        <v>0.6</v>
      </c>
      <c r="G500" s="7">
        <v>0.6</v>
      </c>
      <c r="H500" s="7">
        <v>0.6</v>
      </c>
      <c r="I500" s="7">
        <v>0.6</v>
      </c>
      <c r="J500" s="7">
        <v>0.6</v>
      </c>
      <c r="K500" s="7">
        <v>0.6</v>
      </c>
      <c r="L500" s="7">
        <v>0.6</v>
      </c>
      <c r="M500" s="7">
        <v>0.6</v>
      </c>
      <c r="N500" s="7">
        <v>0.6</v>
      </c>
      <c r="O500" s="7">
        <v>0.6</v>
      </c>
      <c r="P500" s="7">
        <v>0.6</v>
      </c>
      <c r="Q500" s="7">
        <v>0.6</v>
      </c>
    </row>
    <row r="501" spans="1:17">
      <c r="A501" s="2">
        <v>2449</v>
      </c>
      <c r="B501" s="7">
        <v>0.6</v>
      </c>
      <c r="C501" s="7">
        <v>0.6</v>
      </c>
      <c r="D501" s="7">
        <v>0.6</v>
      </c>
      <c r="E501" s="7">
        <v>0.6</v>
      </c>
      <c r="F501" s="7">
        <v>0.6</v>
      </c>
      <c r="G501" s="7">
        <v>0.6</v>
      </c>
      <c r="H501" s="7">
        <v>0.6</v>
      </c>
      <c r="I501" s="7">
        <v>0.6</v>
      </c>
      <c r="J501" s="7">
        <v>0.6</v>
      </c>
      <c r="K501" s="7">
        <v>0.6</v>
      </c>
      <c r="L501" s="7">
        <v>0.6</v>
      </c>
      <c r="M501" s="7">
        <v>0.6</v>
      </c>
      <c r="N501" s="7">
        <v>0.6</v>
      </c>
      <c r="O501" s="7">
        <v>0.6</v>
      </c>
      <c r="P501" s="7">
        <v>0.6</v>
      </c>
      <c r="Q501" s="7">
        <v>0.6</v>
      </c>
    </row>
    <row r="502" spans="1:17">
      <c r="A502" s="2">
        <v>2450</v>
      </c>
      <c r="B502" s="7">
        <v>0.6</v>
      </c>
      <c r="C502" s="7">
        <v>0.6</v>
      </c>
      <c r="D502" s="7">
        <v>0.6</v>
      </c>
      <c r="E502" s="7">
        <v>0.6</v>
      </c>
      <c r="F502" s="7">
        <v>0.6</v>
      </c>
      <c r="G502" s="7">
        <v>0.6</v>
      </c>
      <c r="H502" s="7">
        <v>0.6</v>
      </c>
      <c r="I502" s="7">
        <v>0.6</v>
      </c>
      <c r="J502" s="7">
        <v>0.6</v>
      </c>
      <c r="K502" s="7">
        <v>0.6</v>
      </c>
      <c r="L502" s="7">
        <v>0.6</v>
      </c>
      <c r="M502" s="7">
        <v>0.6</v>
      </c>
      <c r="N502" s="7">
        <v>0.6</v>
      </c>
      <c r="O502" s="7">
        <v>0.6</v>
      </c>
      <c r="P502" s="7">
        <v>0.6</v>
      </c>
      <c r="Q502" s="7">
        <v>0.6</v>
      </c>
    </row>
    <row r="503" spans="1:17">
      <c r="A503" s="2">
        <v>2451</v>
      </c>
      <c r="B503" s="7">
        <v>0.6</v>
      </c>
      <c r="C503" s="7">
        <v>0.6</v>
      </c>
      <c r="D503" s="7">
        <v>0.6</v>
      </c>
      <c r="E503" s="7">
        <v>0.6</v>
      </c>
      <c r="F503" s="7">
        <v>0.6</v>
      </c>
      <c r="G503" s="7">
        <v>0.6</v>
      </c>
      <c r="H503" s="7">
        <v>0.6</v>
      </c>
      <c r="I503" s="7">
        <v>0.6</v>
      </c>
      <c r="J503" s="7">
        <v>0.6</v>
      </c>
      <c r="K503" s="7">
        <v>0.6</v>
      </c>
      <c r="L503" s="7">
        <v>0.6</v>
      </c>
      <c r="M503" s="7">
        <v>0.6</v>
      </c>
      <c r="N503" s="7">
        <v>0.6</v>
      </c>
      <c r="O503" s="7">
        <v>0.6</v>
      </c>
      <c r="P503" s="7">
        <v>0.6</v>
      </c>
      <c r="Q503" s="7">
        <v>0.6</v>
      </c>
    </row>
    <row r="504" spans="1:17">
      <c r="A504" s="2">
        <v>2452</v>
      </c>
      <c r="B504" s="7">
        <v>0.6</v>
      </c>
      <c r="C504" s="7">
        <v>0.6</v>
      </c>
      <c r="D504" s="7">
        <v>0.6</v>
      </c>
      <c r="E504" s="7">
        <v>0.6</v>
      </c>
      <c r="F504" s="7">
        <v>0.6</v>
      </c>
      <c r="G504" s="7">
        <v>0.6</v>
      </c>
      <c r="H504" s="7">
        <v>0.6</v>
      </c>
      <c r="I504" s="7">
        <v>0.6</v>
      </c>
      <c r="J504" s="7">
        <v>0.6</v>
      </c>
      <c r="K504" s="7">
        <v>0.6</v>
      </c>
      <c r="L504" s="7">
        <v>0.6</v>
      </c>
      <c r="M504" s="7">
        <v>0.6</v>
      </c>
      <c r="N504" s="7">
        <v>0.6</v>
      </c>
      <c r="O504" s="7">
        <v>0.6</v>
      </c>
      <c r="P504" s="7">
        <v>0.6</v>
      </c>
      <c r="Q504" s="7">
        <v>0.6</v>
      </c>
    </row>
    <row r="505" spans="1:17">
      <c r="A505" s="2">
        <v>2453</v>
      </c>
      <c r="B505" s="7">
        <v>0.6</v>
      </c>
      <c r="C505" s="7">
        <v>0.6</v>
      </c>
      <c r="D505" s="7">
        <v>0.6</v>
      </c>
      <c r="E505" s="7">
        <v>0.6</v>
      </c>
      <c r="F505" s="7">
        <v>0.6</v>
      </c>
      <c r="G505" s="7">
        <v>0.6</v>
      </c>
      <c r="H505" s="7">
        <v>0.6</v>
      </c>
      <c r="I505" s="7">
        <v>0.6</v>
      </c>
      <c r="J505" s="7">
        <v>0.6</v>
      </c>
      <c r="K505" s="7">
        <v>0.6</v>
      </c>
      <c r="L505" s="7">
        <v>0.6</v>
      </c>
      <c r="M505" s="7">
        <v>0.6</v>
      </c>
      <c r="N505" s="7">
        <v>0.6</v>
      </c>
      <c r="O505" s="7">
        <v>0.6</v>
      </c>
      <c r="P505" s="7">
        <v>0.6</v>
      </c>
      <c r="Q505" s="7">
        <v>0.6</v>
      </c>
    </row>
    <row r="506" spans="1:17">
      <c r="A506" s="2">
        <v>2454</v>
      </c>
      <c r="B506" s="7">
        <v>0.6</v>
      </c>
      <c r="C506" s="7">
        <v>0.6</v>
      </c>
      <c r="D506" s="7">
        <v>0.6</v>
      </c>
      <c r="E506" s="7">
        <v>0.6</v>
      </c>
      <c r="F506" s="7">
        <v>0.6</v>
      </c>
      <c r="G506" s="7">
        <v>0.6</v>
      </c>
      <c r="H506" s="7">
        <v>0.6</v>
      </c>
      <c r="I506" s="7">
        <v>0.6</v>
      </c>
      <c r="J506" s="7">
        <v>0.6</v>
      </c>
      <c r="K506" s="7">
        <v>0.6</v>
      </c>
      <c r="L506" s="7">
        <v>0.6</v>
      </c>
      <c r="M506" s="7">
        <v>0.6</v>
      </c>
      <c r="N506" s="7">
        <v>0.6</v>
      </c>
      <c r="O506" s="7">
        <v>0.6</v>
      </c>
      <c r="P506" s="7">
        <v>0.6</v>
      </c>
      <c r="Q506" s="7">
        <v>0.6</v>
      </c>
    </row>
    <row r="507" spans="1:17">
      <c r="A507" s="2">
        <v>2455</v>
      </c>
      <c r="B507" s="7">
        <v>0.6</v>
      </c>
      <c r="C507" s="7">
        <v>0.6</v>
      </c>
      <c r="D507" s="7">
        <v>0.6</v>
      </c>
      <c r="E507" s="7">
        <v>0.6</v>
      </c>
      <c r="F507" s="7">
        <v>0.6</v>
      </c>
      <c r="G507" s="7">
        <v>0.6</v>
      </c>
      <c r="H507" s="7">
        <v>0.6</v>
      </c>
      <c r="I507" s="7">
        <v>0.6</v>
      </c>
      <c r="J507" s="7">
        <v>0.6</v>
      </c>
      <c r="K507" s="7">
        <v>0.6</v>
      </c>
      <c r="L507" s="7">
        <v>0.6</v>
      </c>
      <c r="M507" s="7">
        <v>0.6</v>
      </c>
      <c r="N507" s="7">
        <v>0.6</v>
      </c>
      <c r="O507" s="7">
        <v>0.6</v>
      </c>
      <c r="P507" s="7">
        <v>0.6</v>
      </c>
      <c r="Q507" s="7">
        <v>0.6</v>
      </c>
    </row>
    <row r="508" spans="1:17">
      <c r="A508" s="2">
        <v>2456</v>
      </c>
      <c r="B508" s="7">
        <v>0.6</v>
      </c>
      <c r="C508" s="7">
        <v>0.6</v>
      </c>
      <c r="D508" s="7">
        <v>0.6</v>
      </c>
      <c r="E508" s="7">
        <v>0.6</v>
      </c>
      <c r="F508" s="7">
        <v>0.6</v>
      </c>
      <c r="G508" s="7">
        <v>0.6</v>
      </c>
      <c r="H508" s="7">
        <v>0.6</v>
      </c>
      <c r="I508" s="7">
        <v>0.6</v>
      </c>
      <c r="J508" s="7">
        <v>0.6</v>
      </c>
      <c r="K508" s="7">
        <v>0.6</v>
      </c>
      <c r="L508" s="7">
        <v>0.6</v>
      </c>
      <c r="M508" s="7">
        <v>0.6</v>
      </c>
      <c r="N508" s="7">
        <v>0.6</v>
      </c>
      <c r="O508" s="7">
        <v>0.6</v>
      </c>
      <c r="P508" s="7">
        <v>0.6</v>
      </c>
      <c r="Q508" s="7">
        <v>0.6</v>
      </c>
    </row>
    <row r="509" spans="1:17">
      <c r="A509" s="2">
        <v>2457</v>
      </c>
      <c r="B509" s="7">
        <v>0.6</v>
      </c>
      <c r="C509" s="7">
        <v>0.6</v>
      </c>
      <c r="D509" s="7">
        <v>0.6</v>
      </c>
      <c r="E509" s="7">
        <v>0.6</v>
      </c>
      <c r="F509" s="7">
        <v>0.6</v>
      </c>
      <c r="G509" s="7">
        <v>0.6</v>
      </c>
      <c r="H509" s="7">
        <v>0.6</v>
      </c>
      <c r="I509" s="7">
        <v>0.6</v>
      </c>
      <c r="J509" s="7">
        <v>0.6</v>
      </c>
      <c r="K509" s="7">
        <v>0.6</v>
      </c>
      <c r="L509" s="7">
        <v>0.6</v>
      </c>
      <c r="M509" s="7">
        <v>0.6</v>
      </c>
      <c r="N509" s="7">
        <v>0.6</v>
      </c>
      <c r="O509" s="7">
        <v>0.6</v>
      </c>
      <c r="P509" s="7">
        <v>0.6</v>
      </c>
      <c r="Q509" s="7">
        <v>0.6</v>
      </c>
    </row>
    <row r="510" spans="1:17">
      <c r="A510" s="2">
        <v>2458</v>
      </c>
      <c r="B510" s="7">
        <v>0.6</v>
      </c>
      <c r="C510" s="7">
        <v>0.6</v>
      </c>
      <c r="D510" s="7">
        <v>0.6</v>
      </c>
      <c r="E510" s="7">
        <v>0.6</v>
      </c>
      <c r="F510" s="7">
        <v>0.6</v>
      </c>
      <c r="G510" s="7">
        <v>0.6</v>
      </c>
      <c r="H510" s="7">
        <v>0.6</v>
      </c>
      <c r="I510" s="7">
        <v>0.6</v>
      </c>
      <c r="J510" s="7">
        <v>0.6</v>
      </c>
      <c r="K510" s="7">
        <v>0.6</v>
      </c>
      <c r="L510" s="7">
        <v>0.6</v>
      </c>
      <c r="M510" s="7">
        <v>0.6</v>
      </c>
      <c r="N510" s="7">
        <v>0.6</v>
      </c>
      <c r="O510" s="7">
        <v>0.6</v>
      </c>
      <c r="P510" s="7">
        <v>0.6</v>
      </c>
      <c r="Q510" s="7">
        <v>0.6</v>
      </c>
    </row>
    <row r="511" spans="1:17">
      <c r="A511" s="2">
        <v>2459</v>
      </c>
      <c r="B511" s="7">
        <v>0.6</v>
      </c>
      <c r="C511" s="7">
        <v>0.6</v>
      </c>
      <c r="D511" s="7">
        <v>0.6</v>
      </c>
      <c r="E511" s="7">
        <v>0.6</v>
      </c>
      <c r="F511" s="7">
        <v>0.6</v>
      </c>
      <c r="G511" s="7">
        <v>0.6</v>
      </c>
      <c r="H511" s="7">
        <v>0.6</v>
      </c>
      <c r="I511" s="7">
        <v>0.6</v>
      </c>
      <c r="J511" s="7">
        <v>0.6</v>
      </c>
      <c r="K511" s="7">
        <v>0.6</v>
      </c>
      <c r="L511" s="7">
        <v>0.6</v>
      </c>
      <c r="M511" s="7">
        <v>0.6</v>
      </c>
      <c r="N511" s="7">
        <v>0.6</v>
      </c>
      <c r="O511" s="7">
        <v>0.6</v>
      </c>
      <c r="P511" s="7">
        <v>0.6</v>
      </c>
      <c r="Q511" s="7">
        <v>0.6</v>
      </c>
    </row>
    <row r="512" spans="1:17">
      <c r="A512" s="2">
        <v>2460</v>
      </c>
      <c r="B512" s="7">
        <v>0.6</v>
      </c>
      <c r="C512" s="7">
        <v>0.6</v>
      </c>
      <c r="D512" s="7">
        <v>0.6</v>
      </c>
      <c r="E512" s="7">
        <v>0.6</v>
      </c>
      <c r="F512" s="7">
        <v>0.6</v>
      </c>
      <c r="G512" s="7">
        <v>0.6</v>
      </c>
      <c r="H512" s="7">
        <v>0.6</v>
      </c>
      <c r="I512" s="7">
        <v>0.6</v>
      </c>
      <c r="J512" s="7">
        <v>0.6</v>
      </c>
      <c r="K512" s="7">
        <v>0.6</v>
      </c>
      <c r="L512" s="7">
        <v>0.6</v>
      </c>
      <c r="M512" s="7">
        <v>0.6</v>
      </c>
      <c r="N512" s="7">
        <v>0.6</v>
      </c>
      <c r="O512" s="7">
        <v>0.6</v>
      </c>
      <c r="P512" s="7">
        <v>0.6</v>
      </c>
      <c r="Q512" s="7">
        <v>0.6</v>
      </c>
    </row>
    <row r="513" spans="1:17">
      <c r="A513" s="2">
        <v>2461</v>
      </c>
      <c r="B513" s="7">
        <v>0.6</v>
      </c>
      <c r="C513" s="7">
        <v>0.6</v>
      </c>
      <c r="D513" s="7">
        <v>0.6</v>
      </c>
      <c r="E513" s="7">
        <v>0.6</v>
      </c>
      <c r="F513" s="7">
        <v>0.6</v>
      </c>
      <c r="G513" s="7">
        <v>0.6</v>
      </c>
      <c r="H513" s="7">
        <v>0.6</v>
      </c>
      <c r="I513" s="7">
        <v>0.6</v>
      </c>
      <c r="J513" s="7">
        <v>0.6</v>
      </c>
      <c r="K513" s="7">
        <v>0.6</v>
      </c>
      <c r="L513" s="7">
        <v>0.6</v>
      </c>
      <c r="M513" s="7">
        <v>0.6</v>
      </c>
      <c r="N513" s="7">
        <v>0.6</v>
      </c>
      <c r="O513" s="7">
        <v>0.6</v>
      </c>
      <c r="P513" s="7">
        <v>0.6</v>
      </c>
      <c r="Q513" s="7">
        <v>0.6</v>
      </c>
    </row>
    <row r="514" spans="1:17">
      <c r="A514" s="2">
        <v>2462</v>
      </c>
      <c r="B514" s="7">
        <v>0.6</v>
      </c>
      <c r="C514" s="7">
        <v>0.6</v>
      </c>
      <c r="D514" s="7">
        <v>0.6</v>
      </c>
      <c r="E514" s="7">
        <v>0.6</v>
      </c>
      <c r="F514" s="7">
        <v>0.6</v>
      </c>
      <c r="G514" s="7">
        <v>0.6</v>
      </c>
      <c r="H514" s="7">
        <v>0.6</v>
      </c>
      <c r="I514" s="7">
        <v>0.6</v>
      </c>
      <c r="J514" s="7">
        <v>0.6</v>
      </c>
      <c r="K514" s="7">
        <v>0.6</v>
      </c>
      <c r="L514" s="7">
        <v>0.6</v>
      </c>
      <c r="M514" s="7">
        <v>0.6</v>
      </c>
      <c r="N514" s="7">
        <v>0.6</v>
      </c>
      <c r="O514" s="7">
        <v>0.6</v>
      </c>
      <c r="P514" s="7">
        <v>0.6</v>
      </c>
      <c r="Q514" s="7">
        <v>0.6</v>
      </c>
    </row>
    <row r="515" spans="1:17">
      <c r="A515" s="2">
        <v>2463</v>
      </c>
      <c r="B515" s="7">
        <v>0.6</v>
      </c>
      <c r="C515" s="7">
        <v>0.6</v>
      </c>
      <c r="D515" s="7">
        <v>0.6</v>
      </c>
      <c r="E515" s="7">
        <v>0.6</v>
      </c>
      <c r="F515" s="7">
        <v>0.6</v>
      </c>
      <c r="G515" s="7">
        <v>0.6</v>
      </c>
      <c r="H515" s="7">
        <v>0.6</v>
      </c>
      <c r="I515" s="7">
        <v>0.6</v>
      </c>
      <c r="J515" s="7">
        <v>0.6</v>
      </c>
      <c r="K515" s="7">
        <v>0.6</v>
      </c>
      <c r="L515" s="7">
        <v>0.6</v>
      </c>
      <c r="M515" s="7">
        <v>0.6</v>
      </c>
      <c r="N515" s="7">
        <v>0.6</v>
      </c>
      <c r="O515" s="7">
        <v>0.6</v>
      </c>
      <c r="P515" s="7">
        <v>0.6</v>
      </c>
      <c r="Q515" s="7">
        <v>0.6</v>
      </c>
    </row>
    <row r="516" spans="1:17">
      <c r="A516" s="2">
        <v>2464</v>
      </c>
      <c r="B516" s="7">
        <v>0.6</v>
      </c>
      <c r="C516" s="7">
        <v>0.6</v>
      </c>
      <c r="D516" s="7">
        <v>0.6</v>
      </c>
      <c r="E516" s="7">
        <v>0.6</v>
      </c>
      <c r="F516" s="7">
        <v>0.6</v>
      </c>
      <c r="G516" s="7">
        <v>0.6</v>
      </c>
      <c r="H516" s="7">
        <v>0.6</v>
      </c>
      <c r="I516" s="7">
        <v>0.6</v>
      </c>
      <c r="J516" s="7">
        <v>0.6</v>
      </c>
      <c r="K516" s="7">
        <v>0.6</v>
      </c>
      <c r="L516" s="7">
        <v>0.6</v>
      </c>
      <c r="M516" s="7">
        <v>0.6</v>
      </c>
      <c r="N516" s="7">
        <v>0.6</v>
      </c>
      <c r="O516" s="7">
        <v>0.6</v>
      </c>
      <c r="P516" s="7">
        <v>0.6</v>
      </c>
      <c r="Q516" s="7">
        <v>0.6</v>
      </c>
    </row>
    <row r="517" spans="1:17">
      <c r="A517" s="2">
        <v>2465</v>
      </c>
      <c r="B517" s="7">
        <v>0.6</v>
      </c>
      <c r="C517" s="7">
        <v>0.6</v>
      </c>
      <c r="D517" s="7">
        <v>0.6</v>
      </c>
      <c r="E517" s="7">
        <v>0.6</v>
      </c>
      <c r="F517" s="7">
        <v>0.6</v>
      </c>
      <c r="G517" s="7">
        <v>0.6</v>
      </c>
      <c r="H517" s="7">
        <v>0.6</v>
      </c>
      <c r="I517" s="7">
        <v>0.6</v>
      </c>
      <c r="J517" s="7">
        <v>0.6</v>
      </c>
      <c r="K517" s="7">
        <v>0.6</v>
      </c>
      <c r="L517" s="7">
        <v>0.6</v>
      </c>
      <c r="M517" s="7">
        <v>0.6</v>
      </c>
      <c r="N517" s="7">
        <v>0.6</v>
      </c>
      <c r="O517" s="7">
        <v>0.6</v>
      </c>
      <c r="P517" s="7">
        <v>0.6</v>
      </c>
      <c r="Q517" s="7">
        <v>0.6</v>
      </c>
    </row>
    <row r="518" spans="1:17">
      <c r="A518" s="2">
        <v>2466</v>
      </c>
      <c r="B518" s="7">
        <v>0.6</v>
      </c>
      <c r="C518" s="7">
        <v>0.6</v>
      </c>
      <c r="D518" s="7">
        <v>0.6</v>
      </c>
      <c r="E518" s="7">
        <v>0.6</v>
      </c>
      <c r="F518" s="7">
        <v>0.6</v>
      </c>
      <c r="G518" s="7">
        <v>0.6</v>
      </c>
      <c r="H518" s="7">
        <v>0.6</v>
      </c>
      <c r="I518" s="7">
        <v>0.6</v>
      </c>
      <c r="J518" s="7">
        <v>0.6</v>
      </c>
      <c r="K518" s="7">
        <v>0.6</v>
      </c>
      <c r="L518" s="7">
        <v>0.6</v>
      </c>
      <c r="M518" s="7">
        <v>0.6</v>
      </c>
      <c r="N518" s="7">
        <v>0.6</v>
      </c>
      <c r="O518" s="7">
        <v>0.6</v>
      </c>
      <c r="P518" s="7">
        <v>0.6</v>
      </c>
      <c r="Q518" s="7">
        <v>0.6</v>
      </c>
    </row>
    <row r="519" spans="1:17">
      <c r="A519" s="2">
        <v>2467</v>
      </c>
      <c r="B519" s="7">
        <v>0.6</v>
      </c>
      <c r="C519" s="7">
        <v>0.6</v>
      </c>
      <c r="D519" s="7">
        <v>0.6</v>
      </c>
      <c r="E519" s="7">
        <v>0.6</v>
      </c>
      <c r="F519" s="7">
        <v>0.6</v>
      </c>
      <c r="G519" s="7">
        <v>0.6</v>
      </c>
      <c r="H519" s="7">
        <v>0.6</v>
      </c>
      <c r="I519" s="7">
        <v>0.6</v>
      </c>
      <c r="J519" s="7">
        <v>0.6</v>
      </c>
      <c r="K519" s="7">
        <v>0.6</v>
      </c>
      <c r="L519" s="7">
        <v>0.6</v>
      </c>
      <c r="M519" s="7">
        <v>0.6</v>
      </c>
      <c r="N519" s="7">
        <v>0.6</v>
      </c>
      <c r="O519" s="7">
        <v>0.6</v>
      </c>
      <c r="P519" s="7">
        <v>0.6</v>
      </c>
      <c r="Q519" s="7">
        <v>0.6</v>
      </c>
    </row>
    <row r="520" spans="1:17">
      <c r="A520" s="2">
        <v>2468</v>
      </c>
      <c r="B520" s="7">
        <v>0.6</v>
      </c>
      <c r="C520" s="7">
        <v>0.6</v>
      </c>
      <c r="D520" s="7">
        <v>0.6</v>
      </c>
      <c r="E520" s="7">
        <v>0.6</v>
      </c>
      <c r="F520" s="7">
        <v>0.6</v>
      </c>
      <c r="G520" s="7">
        <v>0.6</v>
      </c>
      <c r="H520" s="7">
        <v>0.6</v>
      </c>
      <c r="I520" s="7">
        <v>0.6</v>
      </c>
      <c r="J520" s="7">
        <v>0.6</v>
      </c>
      <c r="K520" s="7">
        <v>0.6</v>
      </c>
      <c r="L520" s="7">
        <v>0.6</v>
      </c>
      <c r="M520" s="7">
        <v>0.6</v>
      </c>
      <c r="N520" s="7">
        <v>0.6</v>
      </c>
      <c r="O520" s="7">
        <v>0.6</v>
      </c>
      <c r="P520" s="7">
        <v>0.6</v>
      </c>
      <c r="Q520" s="7">
        <v>0.6</v>
      </c>
    </row>
    <row r="521" spans="1:17">
      <c r="A521" s="2">
        <v>2469</v>
      </c>
      <c r="B521" s="7">
        <v>0.6</v>
      </c>
      <c r="C521" s="7">
        <v>0.6</v>
      </c>
      <c r="D521" s="7">
        <v>0.6</v>
      </c>
      <c r="E521" s="7">
        <v>0.6</v>
      </c>
      <c r="F521" s="7">
        <v>0.6</v>
      </c>
      <c r="G521" s="7">
        <v>0.6</v>
      </c>
      <c r="H521" s="7">
        <v>0.6</v>
      </c>
      <c r="I521" s="7">
        <v>0.6</v>
      </c>
      <c r="J521" s="7">
        <v>0.6</v>
      </c>
      <c r="K521" s="7">
        <v>0.6</v>
      </c>
      <c r="L521" s="7">
        <v>0.6</v>
      </c>
      <c r="M521" s="7">
        <v>0.6</v>
      </c>
      <c r="N521" s="7">
        <v>0.6</v>
      </c>
      <c r="O521" s="7">
        <v>0.6</v>
      </c>
      <c r="P521" s="7">
        <v>0.6</v>
      </c>
      <c r="Q521" s="7">
        <v>0.6</v>
      </c>
    </row>
    <row r="522" spans="1:17">
      <c r="A522" s="2">
        <v>2470</v>
      </c>
      <c r="B522" s="7">
        <v>0.6</v>
      </c>
      <c r="C522" s="7">
        <v>0.6</v>
      </c>
      <c r="D522" s="7">
        <v>0.6</v>
      </c>
      <c r="E522" s="7">
        <v>0.6</v>
      </c>
      <c r="F522" s="7">
        <v>0.6</v>
      </c>
      <c r="G522" s="7">
        <v>0.6</v>
      </c>
      <c r="H522" s="7">
        <v>0.6</v>
      </c>
      <c r="I522" s="7">
        <v>0.6</v>
      </c>
      <c r="J522" s="7">
        <v>0.6</v>
      </c>
      <c r="K522" s="7">
        <v>0.6</v>
      </c>
      <c r="L522" s="7">
        <v>0.6</v>
      </c>
      <c r="M522" s="7">
        <v>0.6</v>
      </c>
      <c r="N522" s="7">
        <v>0.6</v>
      </c>
      <c r="O522" s="7">
        <v>0.6</v>
      </c>
      <c r="P522" s="7">
        <v>0.6</v>
      </c>
      <c r="Q522" s="7">
        <v>0.6</v>
      </c>
    </row>
    <row r="523" spans="1:17">
      <c r="A523" s="2">
        <v>2471</v>
      </c>
      <c r="B523" s="7">
        <v>0.6</v>
      </c>
      <c r="C523" s="7">
        <v>0.6</v>
      </c>
      <c r="D523" s="7">
        <v>0.6</v>
      </c>
      <c r="E523" s="7">
        <v>0.6</v>
      </c>
      <c r="F523" s="7">
        <v>0.6</v>
      </c>
      <c r="G523" s="7">
        <v>0.6</v>
      </c>
      <c r="H523" s="7">
        <v>0.6</v>
      </c>
      <c r="I523" s="7">
        <v>0.6</v>
      </c>
      <c r="J523" s="7">
        <v>0.6</v>
      </c>
      <c r="K523" s="7">
        <v>0.6</v>
      </c>
      <c r="L523" s="7">
        <v>0.6</v>
      </c>
      <c r="M523" s="7">
        <v>0.6</v>
      </c>
      <c r="N523" s="7">
        <v>0.6</v>
      </c>
      <c r="O523" s="7">
        <v>0.6</v>
      </c>
      <c r="P523" s="7">
        <v>0.6</v>
      </c>
      <c r="Q523" s="7">
        <v>0.6</v>
      </c>
    </row>
    <row r="524" spans="1:17">
      <c r="A524" s="2">
        <v>2472</v>
      </c>
      <c r="B524" s="7">
        <v>0.6</v>
      </c>
      <c r="C524" s="7">
        <v>0.6</v>
      </c>
      <c r="D524" s="7">
        <v>0.6</v>
      </c>
      <c r="E524" s="7">
        <v>0.6</v>
      </c>
      <c r="F524" s="7">
        <v>0.6</v>
      </c>
      <c r="G524" s="7">
        <v>0.6</v>
      </c>
      <c r="H524" s="7">
        <v>0.6</v>
      </c>
      <c r="I524" s="7">
        <v>0.6</v>
      </c>
      <c r="J524" s="7">
        <v>0.6</v>
      </c>
      <c r="K524" s="7">
        <v>0.6</v>
      </c>
      <c r="L524" s="7">
        <v>0.6</v>
      </c>
      <c r="M524" s="7">
        <v>0.6</v>
      </c>
      <c r="N524" s="7">
        <v>0.6</v>
      </c>
      <c r="O524" s="7">
        <v>0.6</v>
      </c>
      <c r="P524" s="7">
        <v>0.6</v>
      </c>
      <c r="Q524" s="7">
        <v>0.6</v>
      </c>
    </row>
    <row r="525" spans="1:17">
      <c r="A525" s="2">
        <v>2473</v>
      </c>
      <c r="B525" s="7">
        <v>0.6</v>
      </c>
      <c r="C525" s="7">
        <v>0.6</v>
      </c>
      <c r="D525" s="7">
        <v>0.6</v>
      </c>
      <c r="E525" s="7">
        <v>0.6</v>
      </c>
      <c r="F525" s="7">
        <v>0.6</v>
      </c>
      <c r="G525" s="7">
        <v>0.6</v>
      </c>
      <c r="H525" s="7">
        <v>0.6</v>
      </c>
      <c r="I525" s="7">
        <v>0.6</v>
      </c>
      <c r="J525" s="7">
        <v>0.6</v>
      </c>
      <c r="K525" s="7">
        <v>0.6</v>
      </c>
      <c r="L525" s="7">
        <v>0.6</v>
      </c>
      <c r="M525" s="7">
        <v>0.6</v>
      </c>
      <c r="N525" s="7">
        <v>0.6</v>
      </c>
      <c r="O525" s="7">
        <v>0.6</v>
      </c>
      <c r="P525" s="7">
        <v>0.6</v>
      </c>
      <c r="Q525" s="7">
        <v>0.6</v>
      </c>
    </row>
    <row r="526" spans="1:17">
      <c r="A526" s="2">
        <v>2474</v>
      </c>
      <c r="B526" s="7">
        <v>0.6</v>
      </c>
      <c r="C526" s="7">
        <v>0.6</v>
      </c>
      <c r="D526" s="7">
        <v>0.6</v>
      </c>
      <c r="E526" s="7">
        <v>0.6</v>
      </c>
      <c r="F526" s="7">
        <v>0.6</v>
      </c>
      <c r="G526" s="7">
        <v>0.6</v>
      </c>
      <c r="H526" s="7">
        <v>0.6</v>
      </c>
      <c r="I526" s="7">
        <v>0.6</v>
      </c>
      <c r="J526" s="7">
        <v>0.6</v>
      </c>
      <c r="K526" s="7">
        <v>0.6</v>
      </c>
      <c r="L526" s="7">
        <v>0.6</v>
      </c>
      <c r="M526" s="7">
        <v>0.6</v>
      </c>
      <c r="N526" s="7">
        <v>0.6</v>
      </c>
      <c r="O526" s="7">
        <v>0.6</v>
      </c>
      <c r="P526" s="7">
        <v>0.6</v>
      </c>
      <c r="Q526" s="7">
        <v>0.6</v>
      </c>
    </row>
    <row r="527" spans="1:17">
      <c r="A527" s="2">
        <v>2475</v>
      </c>
      <c r="B527" s="7">
        <v>0.6</v>
      </c>
      <c r="C527" s="7">
        <v>0.6</v>
      </c>
      <c r="D527" s="7">
        <v>0.6</v>
      </c>
      <c r="E527" s="7">
        <v>0.6</v>
      </c>
      <c r="F527" s="7">
        <v>0.6</v>
      </c>
      <c r="G527" s="7">
        <v>0.6</v>
      </c>
      <c r="H527" s="7">
        <v>0.6</v>
      </c>
      <c r="I527" s="7">
        <v>0.6</v>
      </c>
      <c r="J527" s="7">
        <v>0.6</v>
      </c>
      <c r="K527" s="7">
        <v>0.6</v>
      </c>
      <c r="L527" s="7">
        <v>0.6</v>
      </c>
      <c r="M527" s="7">
        <v>0.6</v>
      </c>
      <c r="N527" s="7">
        <v>0.6</v>
      </c>
      <c r="O527" s="7">
        <v>0.6</v>
      </c>
      <c r="P527" s="7">
        <v>0.6</v>
      </c>
      <c r="Q527" s="7">
        <v>0.6</v>
      </c>
    </row>
    <row r="528" spans="1:17">
      <c r="A528" s="2">
        <v>2476</v>
      </c>
      <c r="B528" s="7">
        <v>0.6</v>
      </c>
      <c r="C528" s="7">
        <v>0.6</v>
      </c>
      <c r="D528" s="7">
        <v>0.6</v>
      </c>
      <c r="E528" s="7">
        <v>0.6</v>
      </c>
      <c r="F528" s="7">
        <v>0.6</v>
      </c>
      <c r="G528" s="7">
        <v>0.6</v>
      </c>
      <c r="H528" s="7">
        <v>0.6</v>
      </c>
      <c r="I528" s="7">
        <v>0.6</v>
      </c>
      <c r="J528" s="7">
        <v>0.6</v>
      </c>
      <c r="K528" s="7">
        <v>0.6</v>
      </c>
      <c r="L528" s="7">
        <v>0.6</v>
      </c>
      <c r="M528" s="7">
        <v>0.6</v>
      </c>
      <c r="N528" s="7">
        <v>0.6</v>
      </c>
      <c r="O528" s="7">
        <v>0.6</v>
      </c>
      <c r="P528" s="7">
        <v>0.6</v>
      </c>
      <c r="Q528" s="7">
        <v>0.6</v>
      </c>
    </row>
    <row r="529" spans="1:17">
      <c r="A529" s="2">
        <v>2477</v>
      </c>
      <c r="B529" s="7">
        <v>0.6</v>
      </c>
      <c r="C529" s="7">
        <v>0.6</v>
      </c>
      <c r="D529" s="7">
        <v>0.6</v>
      </c>
      <c r="E529" s="7">
        <v>0.6</v>
      </c>
      <c r="F529" s="7">
        <v>0.6</v>
      </c>
      <c r="G529" s="7">
        <v>0.6</v>
      </c>
      <c r="H529" s="7">
        <v>0.6</v>
      </c>
      <c r="I529" s="7">
        <v>0.6</v>
      </c>
      <c r="J529" s="7">
        <v>0.6</v>
      </c>
      <c r="K529" s="7">
        <v>0.6</v>
      </c>
      <c r="L529" s="7">
        <v>0.6</v>
      </c>
      <c r="M529" s="7">
        <v>0.6</v>
      </c>
      <c r="N529" s="7">
        <v>0.6</v>
      </c>
      <c r="O529" s="7">
        <v>0.6</v>
      </c>
      <c r="P529" s="7">
        <v>0.6</v>
      </c>
      <c r="Q529" s="7">
        <v>0.6</v>
      </c>
    </row>
    <row r="530" spans="1:17">
      <c r="A530" s="2">
        <v>2478</v>
      </c>
      <c r="B530" s="7">
        <v>0.6</v>
      </c>
      <c r="C530" s="7">
        <v>0.6</v>
      </c>
      <c r="D530" s="7">
        <v>0.6</v>
      </c>
      <c r="E530" s="7">
        <v>0.6</v>
      </c>
      <c r="F530" s="7">
        <v>0.6</v>
      </c>
      <c r="G530" s="7">
        <v>0.6</v>
      </c>
      <c r="H530" s="7">
        <v>0.6</v>
      </c>
      <c r="I530" s="7">
        <v>0.6</v>
      </c>
      <c r="J530" s="7">
        <v>0.6</v>
      </c>
      <c r="K530" s="7">
        <v>0.6</v>
      </c>
      <c r="L530" s="7">
        <v>0.6</v>
      </c>
      <c r="M530" s="7">
        <v>0.6</v>
      </c>
      <c r="N530" s="7">
        <v>0.6</v>
      </c>
      <c r="O530" s="7">
        <v>0.6</v>
      </c>
      <c r="P530" s="7">
        <v>0.6</v>
      </c>
      <c r="Q530" s="7">
        <v>0.6</v>
      </c>
    </row>
    <row r="531" spans="1:17">
      <c r="A531" s="2">
        <v>2479</v>
      </c>
      <c r="B531" s="7">
        <v>0.6</v>
      </c>
      <c r="C531" s="7">
        <v>0.6</v>
      </c>
      <c r="D531" s="7">
        <v>0.6</v>
      </c>
      <c r="E531" s="7">
        <v>0.6</v>
      </c>
      <c r="F531" s="7">
        <v>0.6</v>
      </c>
      <c r="G531" s="7">
        <v>0.6</v>
      </c>
      <c r="H531" s="7">
        <v>0.6</v>
      </c>
      <c r="I531" s="7">
        <v>0.6</v>
      </c>
      <c r="J531" s="7">
        <v>0.6</v>
      </c>
      <c r="K531" s="7">
        <v>0.6</v>
      </c>
      <c r="L531" s="7">
        <v>0.6</v>
      </c>
      <c r="M531" s="7">
        <v>0.6</v>
      </c>
      <c r="N531" s="7">
        <v>0.6</v>
      </c>
      <c r="O531" s="7">
        <v>0.6</v>
      </c>
      <c r="P531" s="7">
        <v>0.6</v>
      </c>
      <c r="Q531" s="7">
        <v>0.6</v>
      </c>
    </row>
    <row r="532" spans="1:17">
      <c r="A532" s="2">
        <v>2480</v>
      </c>
      <c r="B532" s="7">
        <v>0.6</v>
      </c>
      <c r="C532" s="7">
        <v>0.6</v>
      </c>
      <c r="D532" s="7">
        <v>0.6</v>
      </c>
      <c r="E532" s="7">
        <v>0.6</v>
      </c>
      <c r="F532" s="7">
        <v>0.6</v>
      </c>
      <c r="G532" s="7">
        <v>0.6</v>
      </c>
      <c r="H532" s="7">
        <v>0.6</v>
      </c>
      <c r="I532" s="7">
        <v>0.6</v>
      </c>
      <c r="J532" s="7">
        <v>0.6</v>
      </c>
      <c r="K532" s="7">
        <v>0.6</v>
      </c>
      <c r="L532" s="7">
        <v>0.6</v>
      </c>
      <c r="M532" s="7">
        <v>0.6</v>
      </c>
      <c r="N532" s="7">
        <v>0.6</v>
      </c>
      <c r="O532" s="7">
        <v>0.6</v>
      </c>
      <c r="P532" s="7">
        <v>0.6</v>
      </c>
      <c r="Q532" s="7">
        <v>0.6</v>
      </c>
    </row>
    <row r="533" spans="1:17">
      <c r="A533" s="2">
        <v>2481</v>
      </c>
      <c r="B533" s="7">
        <v>0.6</v>
      </c>
      <c r="C533" s="7">
        <v>0.6</v>
      </c>
      <c r="D533" s="7">
        <v>0.6</v>
      </c>
      <c r="E533" s="7">
        <v>0.6</v>
      </c>
      <c r="F533" s="7">
        <v>0.6</v>
      </c>
      <c r="G533" s="7">
        <v>0.6</v>
      </c>
      <c r="H533" s="7">
        <v>0.6</v>
      </c>
      <c r="I533" s="7">
        <v>0.6</v>
      </c>
      <c r="J533" s="7">
        <v>0.6</v>
      </c>
      <c r="K533" s="7">
        <v>0.6</v>
      </c>
      <c r="L533" s="7">
        <v>0.6</v>
      </c>
      <c r="M533" s="7">
        <v>0.6</v>
      </c>
      <c r="N533" s="7">
        <v>0.6</v>
      </c>
      <c r="O533" s="7">
        <v>0.6</v>
      </c>
      <c r="P533" s="7">
        <v>0.6</v>
      </c>
      <c r="Q533" s="7">
        <v>0.6</v>
      </c>
    </row>
    <row r="534" spans="1:17">
      <c r="A534" s="2">
        <v>2482</v>
      </c>
      <c r="B534" s="7">
        <v>0.6</v>
      </c>
      <c r="C534" s="7">
        <v>0.6</v>
      </c>
      <c r="D534" s="7">
        <v>0.6</v>
      </c>
      <c r="E534" s="7">
        <v>0.6</v>
      </c>
      <c r="F534" s="7">
        <v>0.6</v>
      </c>
      <c r="G534" s="7">
        <v>0.6</v>
      </c>
      <c r="H534" s="7">
        <v>0.6</v>
      </c>
      <c r="I534" s="7">
        <v>0.6</v>
      </c>
      <c r="J534" s="7">
        <v>0.6</v>
      </c>
      <c r="K534" s="7">
        <v>0.6</v>
      </c>
      <c r="L534" s="7">
        <v>0.6</v>
      </c>
      <c r="M534" s="7">
        <v>0.6</v>
      </c>
      <c r="N534" s="7">
        <v>0.6</v>
      </c>
      <c r="O534" s="7">
        <v>0.6</v>
      </c>
      <c r="P534" s="7">
        <v>0.6</v>
      </c>
      <c r="Q534" s="7">
        <v>0.6</v>
      </c>
    </row>
    <row r="535" spans="1:17">
      <c r="A535" s="2">
        <v>2483</v>
      </c>
      <c r="B535" s="7">
        <v>0.6</v>
      </c>
      <c r="C535" s="7">
        <v>0.6</v>
      </c>
      <c r="D535" s="7">
        <v>0.6</v>
      </c>
      <c r="E535" s="7">
        <v>0.6</v>
      </c>
      <c r="F535" s="7">
        <v>0.6</v>
      </c>
      <c r="G535" s="7">
        <v>0.6</v>
      </c>
      <c r="H535" s="7">
        <v>0.6</v>
      </c>
      <c r="I535" s="7">
        <v>0.6</v>
      </c>
      <c r="J535" s="7">
        <v>0.6</v>
      </c>
      <c r="K535" s="7">
        <v>0.6</v>
      </c>
      <c r="L535" s="7">
        <v>0.6</v>
      </c>
      <c r="M535" s="7">
        <v>0.6</v>
      </c>
      <c r="N535" s="7">
        <v>0.6</v>
      </c>
      <c r="O535" s="7">
        <v>0.6</v>
      </c>
      <c r="P535" s="7">
        <v>0.6</v>
      </c>
      <c r="Q535" s="7">
        <v>0.6</v>
      </c>
    </row>
    <row r="536" spans="1:17">
      <c r="A536" s="2">
        <v>2484</v>
      </c>
      <c r="B536" s="7">
        <v>0.6</v>
      </c>
      <c r="C536" s="7">
        <v>0.6</v>
      </c>
      <c r="D536" s="7">
        <v>0.6</v>
      </c>
      <c r="E536" s="7">
        <v>0.6</v>
      </c>
      <c r="F536" s="7">
        <v>0.6</v>
      </c>
      <c r="G536" s="7">
        <v>0.6</v>
      </c>
      <c r="H536" s="7">
        <v>0.6</v>
      </c>
      <c r="I536" s="7">
        <v>0.6</v>
      </c>
      <c r="J536" s="7">
        <v>0.6</v>
      </c>
      <c r="K536" s="7">
        <v>0.6</v>
      </c>
      <c r="L536" s="7">
        <v>0.6</v>
      </c>
      <c r="M536" s="7">
        <v>0.6</v>
      </c>
      <c r="N536" s="7">
        <v>0.6</v>
      </c>
      <c r="O536" s="7">
        <v>0.6</v>
      </c>
      <c r="P536" s="7">
        <v>0.6</v>
      </c>
      <c r="Q536" s="7">
        <v>0.6</v>
      </c>
    </row>
    <row r="537" spans="1:17">
      <c r="A537" s="2">
        <v>2485</v>
      </c>
      <c r="B537" s="7">
        <v>0.6</v>
      </c>
      <c r="C537" s="7">
        <v>0.6</v>
      </c>
      <c r="D537" s="7">
        <v>0.6</v>
      </c>
      <c r="E537" s="7">
        <v>0.6</v>
      </c>
      <c r="F537" s="7">
        <v>0.6</v>
      </c>
      <c r="G537" s="7">
        <v>0.6</v>
      </c>
      <c r="H537" s="7">
        <v>0.6</v>
      </c>
      <c r="I537" s="7">
        <v>0.6</v>
      </c>
      <c r="J537" s="7">
        <v>0.6</v>
      </c>
      <c r="K537" s="7">
        <v>0.6</v>
      </c>
      <c r="L537" s="7">
        <v>0.6</v>
      </c>
      <c r="M537" s="7">
        <v>0.6</v>
      </c>
      <c r="N537" s="7">
        <v>0.6</v>
      </c>
      <c r="O537" s="7">
        <v>0.6</v>
      </c>
      <c r="P537" s="7">
        <v>0.6</v>
      </c>
      <c r="Q537" s="7">
        <v>0.6</v>
      </c>
    </row>
    <row r="538" spans="1:17">
      <c r="A538" s="2">
        <v>2486</v>
      </c>
      <c r="B538" s="7">
        <v>0.6</v>
      </c>
      <c r="C538" s="7">
        <v>0.6</v>
      </c>
      <c r="D538" s="7">
        <v>0.6</v>
      </c>
      <c r="E538" s="7">
        <v>0.6</v>
      </c>
      <c r="F538" s="7">
        <v>0.6</v>
      </c>
      <c r="G538" s="7">
        <v>0.6</v>
      </c>
      <c r="H538" s="7">
        <v>0.6</v>
      </c>
      <c r="I538" s="7">
        <v>0.6</v>
      </c>
      <c r="J538" s="7">
        <v>0.6</v>
      </c>
      <c r="K538" s="7">
        <v>0.6</v>
      </c>
      <c r="L538" s="7">
        <v>0.6</v>
      </c>
      <c r="M538" s="7">
        <v>0.6</v>
      </c>
      <c r="N538" s="7">
        <v>0.6</v>
      </c>
      <c r="O538" s="7">
        <v>0.6</v>
      </c>
      <c r="P538" s="7">
        <v>0.6</v>
      </c>
      <c r="Q538" s="7">
        <v>0.6</v>
      </c>
    </row>
    <row r="539" spans="1:17">
      <c r="A539" s="2">
        <v>2487</v>
      </c>
      <c r="B539" s="7">
        <v>0.6</v>
      </c>
      <c r="C539" s="7">
        <v>0.6</v>
      </c>
      <c r="D539" s="7">
        <v>0.6</v>
      </c>
      <c r="E539" s="7">
        <v>0.6</v>
      </c>
      <c r="F539" s="7">
        <v>0.6</v>
      </c>
      <c r="G539" s="7">
        <v>0.6</v>
      </c>
      <c r="H539" s="7">
        <v>0.6</v>
      </c>
      <c r="I539" s="7">
        <v>0.6</v>
      </c>
      <c r="J539" s="7">
        <v>0.6</v>
      </c>
      <c r="K539" s="7">
        <v>0.6</v>
      </c>
      <c r="L539" s="7">
        <v>0.6</v>
      </c>
      <c r="M539" s="7">
        <v>0.6</v>
      </c>
      <c r="N539" s="7">
        <v>0.6</v>
      </c>
      <c r="O539" s="7">
        <v>0.6</v>
      </c>
      <c r="P539" s="7">
        <v>0.6</v>
      </c>
      <c r="Q539" s="7">
        <v>0.6</v>
      </c>
    </row>
    <row r="540" spans="1:17">
      <c r="A540" s="2">
        <v>2488</v>
      </c>
      <c r="B540" s="7">
        <v>0.6</v>
      </c>
      <c r="C540" s="7">
        <v>0.6</v>
      </c>
      <c r="D540" s="7">
        <v>0.6</v>
      </c>
      <c r="E540" s="7">
        <v>0.6</v>
      </c>
      <c r="F540" s="7">
        <v>0.6</v>
      </c>
      <c r="G540" s="7">
        <v>0.6</v>
      </c>
      <c r="H540" s="7">
        <v>0.6</v>
      </c>
      <c r="I540" s="7">
        <v>0.6</v>
      </c>
      <c r="J540" s="7">
        <v>0.6</v>
      </c>
      <c r="K540" s="7">
        <v>0.6</v>
      </c>
      <c r="L540" s="7">
        <v>0.6</v>
      </c>
      <c r="M540" s="7">
        <v>0.6</v>
      </c>
      <c r="N540" s="7">
        <v>0.6</v>
      </c>
      <c r="O540" s="7">
        <v>0.6</v>
      </c>
      <c r="P540" s="7">
        <v>0.6</v>
      </c>
      <c r="Q540" s="7">
        <v>0.6</v>
      </c>
    </row>
    <row r="541" spans="1:17">
      <c r="A541" s="2">
        <v>2489</v>
      </c>
      <c r="B541" s="7">
        <v>0.6</v>
      </c>
      <c r="C541" s="7">
        <v>0.6</v>
      </c>
      <c r="D541" s="7">
        <v>0.6</v>
      </c>
      <c r="E541" s="7">
        <v>0.6</v>
      </c>
      <c r="F541" s="7">
        <v>0.6</v>
      </c>
      <c r="G541" s="7">
        <v>0.6</v>
      </c>
      <c r="H541" s="7">
        <v>0.6</v>
      </c>
      <c r="I541" s="7">
        <v>0.6</v>
      </c>
      <c r="J541" s="7">
        <v>0.6</v>
      </c>
      <c r="K541" s="7">
        <v>0.6</v>
      </c>
      <c r="L541" s="7">
        <v>0.6</v>
      </c>
      <c r="M541" s="7">
        <v>0.6</v>
      </c>
      <c r="N541" s="7">
        <v>0.6</v>
      </c>
      <c r="O541" s="7">
        <v>0.6</v>
      </c>
      <c r="P541" s="7">
        <v>0.6</v>
      </c>
      <c r="Q541" s="7">
        <v>0.6</v>
      </c>
    </row>
    <row r="542" spans="1:17">
      <c r="A542" s="2">
        <v>2490</v>
      </c>
      <c r="B542" s="7">
        <v>0.6</v>
      </c>
      <c r="C542" s="7">
        <v>0.6</v>
      </c>
      <c r="D542" s="7">
        <v>0.6</v>
      </c>
      <c r="E542" s="7">
        <v>0.6</v>
      </c>
      <c r="F542" s="7">
        <v>0.6</v>
      </c>
      <c r="G542" s="7">
        <v>0.6</v>
      </c>
      <c r="H542" s="7">
        <v>0.6</v>
      </c>
      <c r="I542" s="7">
        <v>0.6</v>
      </c>
      <c r="J542" s="7">
        <v>0.6</v>
      </c>
      <c r="K542" s="7">
        <v>0.6</v>
      </c>
      <c r="L542" s="7">
        <v>0.6</v>
      </c>
      <c r="M542" s="7">
        <v>0.6</v>
      </c>
      <c r="N542" s="7">
        <v>0.6</v>
      </c>
      <c r="O542" s="7">
        <v>0.6</v>
      </c>
      <c r="P542" s="7">
        <v>0.6</v>
      </c>
      <c r="Q542" s="7">
        <v>0.6</v>
      </c>
    </row>
    <row r="543" spans="1:17">
      <c r="A543" s="2">
        <v>2491</v>
      </c>
      <c r="B543" s="7">
        <v>0.6</v>
      </c>
      <c r="C543" s="7">
        <v>0.6</v>
      </c>
      <c r="D543" s="7">
        <v>0.6</v>
      </c>
      <c r="E543" s="7">
        <v>0.6</v>
      </c>
      <c r="F543" s="7">
        <v>0.6</v>
      </c>
      <c r="G543" s="7">
        <v>0.6</v>
      </c>
      <c r="H543" s="7">
        <v>0.6</v>
      </c>
      <c r="I543" s="7">
        <v>0.6</v>
      </c>
      <c r="J543" s="7">
        <v>0.6</v>
      </c>
      <c r="K543" s="7">
        <v>0.6</v>
      </c>
      <c r="L543" s="7">
        <v>0.6</v>
      </c>
      <c r="M543" s="7">
        <v>0.6</v>
      </c>
      <c r="N543" s="7">
        <v>0.6</v>
      </c>
      <c r="O543" s="7">
        <v>0.6</v>
      </c>
      <c r="P543" s="7">
        <v>0.6</v>
      </c>
      <c r="Q543" s="7">
        <v>0.6</v>
      </c>
    </row>
    <row r="544" spans="1:17">
      <c r="A544" s="2">
        <v>2492</v>
      </c>
      <c r="B544" s="7">
        <v>0.6</v>
      </c>
      <c r="C544" s="7">
        <v>0.6</v>
      </c>
      <c r="D544" s="7">
        <v>0.6</v>
      </c>
      <c r="E544" s="7">
        <v>0.6</v>
      </c>
      <c r="F544" s="7">
        <v>0.6</v>
      </c>
      <c r="G544" s="7">
        <v>0.6</v>
      </c>
      <c r="H544" s="7">
        <v>0.6</v>
      </c>
      <c r="I544" s="7">
        <v>0.6</v>
      </c>
      <c r="J544" s="7">
        <v>0.6</v>
      </c>
      <c r="K544" s="7">
        <v>0.6</v>
      </c>
      <c r="L544" s="7">
        <v>0.6</v>
      </c>
      <c r="M544" s="7">
        <v>0.6</v>
      </c>
      <c r="N544" s="7">
        <v>0.6</v>
      </c>
      <c r="O544" s="7">
        <v>0.6</v>
      </c>
      <c r="P544" s="7">
        <v>0.6</v>
      </c>
      <c r="Q544" s="7">
        <v>0.6</v>
      </c>
    </row>
    <row r="545" spans="1:17">
      <c r="A545" s="2">
        <v>2493</v>
      </c>
      <c r="B545" s="7">
        <v>0.6</v>
      </c>
      <c r="C545" s="7">
        <v>0.6</v>
      </c>
      <c r="D545" s="7">
        <v>0.6</v>
      </c>
      <c r="E545" s="7">
        <v>0.6</v>
      </c>
      <c r="F545" s="7">
        <v>0.6</v>
      </c>
      <c r="G545" s="7">
        <v>0.6</v>
      </c>
      <c r="H545" s="7">
        <v>0.6</v>
      </c>
      <c r="I545" s="7">
        <v>0.6</v>
      </c>
      <c r="J545" s="7">
        <v>0.6</v>
      </c>
      <c r="K545" s="7">
        <v>0.6</v>
      </c>
      <c r="L545" s="7">
        <v>0.6</v>
      </c>
      <c r="M545" s="7">
        <v>0.6</v>
      </c>
      <c r="N545" s="7">
        <v>0.6</v>
      </c>
      <c r="O545" s="7">
        <v>0.6</v>
      </c>
      <c r="P545" s="7">
        <v>0.6</v>
      </c>
      <c r="Q545" s="7">
        <v>0.6</v>
      </c>
    </row>
    <row r="546" spans="1:17">
      <c r="A546" s="2">
        <v>2494</v>
      </c>
      <c r="B546" s="7">
        <v>0.6</v>
      </c>
      <c r="C546" s="7">
        <v>0.6</v>
      </c>
      <c r="D546" s="7">
        <v>0.6</v>
      </c>
      <c r="E546" s="7">
        <v>0.6</v>
      </c>
      <c r="F546" s="7">
        <v>0.6</v>
      </c>
      <c r="G546" s="7">
        <v>0.6</v>
      </c>
      <c r="H546" s="7">
        <v>0.6</v>
      </c>
      <c r="I546" s="7">
        <v>0.6</v>
      </c>
      <c r="J546" s="7">
        <v>0.6</v>
      </c>
      <c r="K546" s="7">
        <v>0.6</v>
      </c>
      <c r="L546" s="7">
        <v>0.6</v>
      </c>
      <c r="M546" s="7">
        <v>0.6</v>
      </c>
      <c r="N546" s="7">
        <v>0.6</v>
      </c>
      <c r="O546" s="7">
        <v>0.6</v>
      </c>
      <c r="P546" s="7">
        <v>0.6</v>
      </c>
      <c r="Q546" s="7">
        <v>0.6</v>
      </c>
    </row>
    <row r="547" spans="1:17">
      <c r="A547" s="2">
        <v>2495</v>
      </c>
      <c r="B547" s="7">
        <v>0.6</v>
      </c>
      <c r="C547" s="7">
        <v>0.6</v>
      </c>
      <c r="D547" s="7">
        <v>0.6</v>
      </c>
      <c r="E547" s="7">
        <v>0.6</v>
      </c>
      <c r="F547" s="7">
        <v>0.6</v>
      </c>
      <c r="G547" s="7">
        <v>0.6</v>
      </c>
      <c r="H547" s="7">
        <v>0.6</v>
      </c>
      <c r="I547" s="7">
        <v>0.6</v>
      </c>
      <c r="J547" s="7">
        <v>0.6</v>
      </c>
      <c r="K547" s="7">
        <v>0.6</v>
      </c>
      <c r="L547" s="7">
        <v>0.6</v>
      </c>
      <c r="M547" s="7">
        <v>0.6</v>
      </c>
      <c r="N547" s="7">
        <v>0.6</v>
      </c>
      <c r="O547" s="7">
        <v>0.6</v>
      </c>
      <c r="P547" s="7">
        <v>0.6</v>
      </c>
      <c r="Q547" s="7">
        <v>0.6</v>
      </c>
    </row>
    <row r="548" spans="1:17">
      <c r="A548" s="2">
        <v>2496</v>
      </c>
      <c r="B548" s="7">
        <v>0.6</v>
      </c>
      <c r="C548" s="7">
        <v>0.6</v>
      </c>
      <c r="D548" s="7">
        <v>0.6</v>
      </c>
      <c r="E548" s="7">
        <v>0.6</v>
      </c>
      <c r="F548" s="7">
        <v>0.6</v>
      </c>
      <c r="G548" s="7">
        <v>0.6</v>
      </c>
      <c r="H548" s="7">
        <v>0.6</v>
      </c>
      <c r="I548" s="7">
        <v>0.6</v>
      </c>
      <c r="J548" s="7">
        <v>0.6</v>
      </c>
      <c r="K548" s="7">
        <v>0.6</v>
      </c>
      <c r="L548" s="7">
        <v>0.6</v>
      </c>
      <c r="M548" s="7">
        <v>0.6</v>
      </c>
      <c r="N548" s="7">
        <v>0.6</v>
      </c>
      <c r="O548" s="7">
        <v>0.6</v>
      </c>
      <c r="P548" s="7">
        <v>0.6</v>
      </c>
      <c r="Q548" s="7">
        <v>0.6</v>
      </c>
    </row>
    <row r="549" spans="1:17">
      <c r="A549" s="2">
        <v>2497</v>
      </c>
      <c r="B549" s="7">
        <v>0.6</v>
      </c>
      <c r="C549" s="7">
        <v>0.6</v>
      </c>
      <c r="D549" s="7">
        <v>0.6</v>
      </c>
      <c r="E549" s="7">
        <v>0.6</v>
      </c>
      <c r="F549" s="7">
        <v>0.6</v>
      </c>
      <c r="G549" s="7">
        <v>0.6</v>
      </c>
      <c r="H549" s="7">
        <v>0.6</v>
      </c>
      <c r="I549" s="7">
        <v>0.6</v>
      </c>
      <c r="J549" s="7">
        <v>0.6</v>
      </c>
      <c r="K549" s="7">
        <v>0.6</v>
      </c>
      <c r="L549" s="7">
        <v>0.6</v>
      </c>
      <c r="M549" s="7">
        <v>0.6</v>
      </c>
      <c r="N549" s="7">
        <v>0.6</v>
      </c>
      <c r="O549" s="7">
        <v>0.6</v>
      </c>
      <c r="P549" s="7">
        <v>0.6</v>
      </c>
      <c r="Q549" s="7">
        <v>0.6</v>
      </c>
    </row>
    <row r="550" spans="1:17">
      <c r="A550" s="2">
        <v>2498</v>
      </c>
      <c r="B550" s="7">
        <v>0.6</v>
      </c>
      <c r="C550" s="7">
        <v>0.6</v>
      </c>
      <c r="D550" s="7">
        <v>0.6</v>
      </c>
      <c r="E550" s="7">
        <v>0.6</v>
      </c>
      <c r="F550" s="7">
        <v>0.6</v>
      </c>
      <c r="G550" s="7">
        <v>0.6</v>
      </c>
      <c r="H550" s="7">
        <v>0.6</v>
      </c>
      <c r="I550" s="7">
        <v>0.6</v>
      </c>
      <c r="J550" s="7">
        <v>0.6</v>
      </c>
      <c r="K550" s="7">
        <v>0.6</v>
      </c>
      <c r="L550" s="7">
        <v>0.6</v>
      </c>
      <c r="M550" s="7">
        <v>0.6</v>
      </c>
      <c r="N550" s="7">
        <v>0.6</v>
      </c>
      <c r="O550" s="7">
        <v>0.6</v>
      </c>
      <c r="P550" s="7">
        <v>0.6</v>
      </c>
      <c r="Q550" s="7">
        <v>0.6</v>
      </c>
    </row>
    <row r="551" spans="1:17">
      <c r="A551" s="2">
        <v>2499</v>
      </c>
      <c r="B551" s="7">
        <v>0.6</v>
      </c>
      <c r="C551" s="7">
        <v>0.6</v>
      </c>
      <c r="D551" s="7">
        <v>0.6</v>
      </c>
      <c r="E551" s="7">
        <v>0.6</v>
      </c>
      <c r="F551" s="7">
        <v>0.6</v>
      </c>
      <c r="G551" s="7">
        <v>0.6</v>
      </c>
      <c r="H551" s="7">
        <v>0.6</v>
      </c>
      <c r="I551" s="7">
        <v>0.6</v>
      </c>
      <c r="J551" s="7">
        <v>0.6</v>
      </c>
      <c r="K551" s="7">
        <v>0.6</v>
      </c>
      <c r="L551" s="7">
        <v>0.6</v>
      </c>
      <c r="M551" s="7">
        <v>0.6</v>
      </c>
      <c r="N551" s="7">
        <v>0.6</v>
      </c>
      <c r="O551" s="7">
        <v>0.6</v>
      </c>
      <c r="P551" s="7">
        <v>0.6</v>
      </c>
      <c r="Q551" s="7">
        <v>0.6</v>
      </c>
    </row>
    <row r="552" spans="1:17">
      <c r="A552" s="2">
        <v>2500</v>
      </c>
      <c r="B552" s="7">
        <v>0.6</v>
      </c>
      <c r="C552" s="7">
        <v>0.6</v>
      </c>
      <c r="D552" s="7">
        <v>0.6</v>
      </c>
      <c r="E552" s="7">
        <v>0.6</v>
      </c>
      <c r="F552" s="7">
        <v>0.6</v>
      </c>
      <c r="G552" s="7">
        <v>0.6</v>
      </c>
      <c r="H552" s="7">
        <v>0.6</v>
      </c>
      <c r="I552" s="7">
        <v>0.6</v>
      </c>
      <c r="J552" s="7">
        <v>0.6</v>
      </c>
      <c r="K552" s="7">
        <v>0.6</v>
      </c>
      <c r="L552" s="7">
        <v>0.6</v>
      </c>
      <c r="M552" s="7">
        <v>0.6</v>
      </c>
      <c r="N552" s="7">
        <v>0.6</v>
      </c>
      <c r="O552" s="7">
        <v>0.6</v>
      </c>
      <c r="P552" s="7">
        <v>0.6</v>
      </c>
      <c r="Q552" s="7">
        <v>0.6</v>
      </c>
    </row>
    <row r="553" spans="1:17">
      <c r="A553" s="2">
        <v>2501</v>
      </c>
      <c r="B553" s="7">
        <v>0.6</v>
      </c>
      <c r="C553" s="7">
        <v>0.6</v>
      </c>
      <c r="D553" s="7">
        <v>0.6</v>
      </c>
      <c r="E553" s="7">
        <v>0.6</v>
      </c>
      <c r="F553" s="7">
        <v>0.6</v>
      </c>
      <c r="G553" s="7">
        <v>0.6</v>
      </c>
      <c r="H553" s="7">
        <v>0.6</v>
      </c>
      <c r="I553" s="7">
        <v>0.6</v>
      </c>
      <c r="J553" s="7">
        <v>0.6</v>
      </c>
      <c r="K553" s="7">
        <v>0.6</v>
      </c>
      <c r="L553" s="7">
        <v>0.6</v>
      </c>
      <c r="M553" s="7">
        <v>0.6</v>
      </c>
      <c r="N553" s="7">
        <v>0.6</v>
      </c>
      <c r="O553" s="7">
        <v>0.6</v>
      </c>
      <c r="P553" s="7">
        <v>0.6</v>
      </c>
      <c r="Q553" s="7">
        <v>0.6</v>
      </c>
    </row>
    <row r="554" spans="1:17">
      <c r="A554" s="2">
        <v>2502</v>
      </c>
      <c r="B554" s="7">
        <v>0.6</v>
      </c>
      <c r="C554" s="7">
        <v>0.6</v>
      </c>
      <c r="D554" s="7">
        <v>0.6</v>
      </c>
      <c r="E554" s="7">
        <v>0.6</v>
      </c>
      <c r="F554" s="7">
        <v>0.6</v>
      </c>
      <c r="G554" s="7">
        <v>0.6</v>
      </c>
      <c r="H554" s="7">
        <v>0.6</v>
      </c>
      <c r="I554" s="7">
        <v>0.6</v>
      </c>
      <c r="J554" s="7">
        <v>0.6</v>
      </c>
      <c r="K554" s="7">
        <v>0.6</v>
      </c>
      <c r="L554" s="7">
        <v>0.6</v>
      </c>
      <c r="M554" s="7">
        <v>0.6</v>
      </c>
      <c r="N554" s="7">
        <v>0.6</v>
      </c>
      <c r="O554" s="7">
        <v>0.6</v>
      </c>
      <c r="P554" s="7">
        <v>0.6</v>
      </c>
      <c r="Q554" s="7">
        <v>0.6</v>
      </c>
    </row>
    <row r="555" spans="1:17">
      <c r="A555" s="2">
        <v>2503</v>
      </c>
      <c r="B555" s="7">
        <v>0.6</v>
      </c>
      <c r="C555" s="7">
        <v>0.6</v>
      </c>
      <c r="D555" s="7">
        <v>0.6</v>
      </c>
      <c r="E555" s="7">
        <v>0.6</v>
      </c>
      <c r="F555" s="7">
        <v>0.6</v>
      </c>
      <c r="G555" s="7">
        <v>0.6</v>
      </c>
      <c r="H555" s="7">
        <v>0.6</v>
      </c>
      <c r="I555" s="7">
        <v>0.6</v>
      </c>
      <c r="J555" s="7">
        <v>0.6</v>
      </c>
      <c r="K555" s="7">
        <v>0.6</v>
      </c>
      <c r="L555" s="7">
        <v>0.6</v>
      </c>
      <c r="M555" s="7">
        <v>0.6</v>
      </c>
      <c r="N555" s="7">
        <v>0.6</v>
      </c>
      <c r="O555" s="7">
        <v>0.6</v>
      </c>
      <c r="P555" s="7">
        <v>0.6</v>
      </c>
      <c r="Q555" s="7">
        <v>0.6</v>
      </c>
    </row>
    <row r="556" spans="1:17">
      <c r="A556" s="2">
        <v>2504</v>
      </c>
      <c r="B556" s="7">
        <v>0.6</v>
      </c>
      <c r="C556" s="7">
        <v>0.6</v>
      </c>
      <c r="D556" s="7">
        <v>0.6</v>
      </c>
      <c r="E556" s="7">
        <v>0.6</v>
      </c>
      <c r="F556" s="7">
        <v>0.6</v>
      </c>
      <c r="G556" s="7">
        <v>0.6</v>
      </c>
      <c r="H556" s="7">
        <v>0.6</v>
      </c>
      <c r="I556" s="7">
        <v>0.6</v>
      </c>
      <c r="J556" s="7">
        <v>0.6</v>
      </c>
      <c r="K556" s="7">
        <v>0.6</v>
      </c>
      <c r="L556" s="7">
        <v>0.6</v>
      </c>
      <c r="M556" s="7">
        <v>0.6</v>
      </c>
      <c r="N556" s="7">
        <v>0.6</v>
      </c>
      <c r="O556" s="7">
        <v>0.6</v>
      </c>
      <c r="P556" s="7">
        <v>0.6</v>
      </c>
      <c r="Q556" s="7">
        <v>0.6</v>
      </c>
    </row>
    <row r="557" spans="1:17">
      <c r="A557" s="2">
        <v>2505</v>
      </c>
      <c r="B557" s="7">
        <v>0.6</v>
      </c>
      <c r="C557" s="7">
        <v>0.6</v>
      </c>
      <c r="D557" s="7">
        <v>0.6</v>
      </c>
      <c r="E557" s="7">
        <v>0.6</v>
      </c>
      <c r="F557" s="7">
        <v>0.6</v>
      </c>
      <c r="G557" s="7">
        <v>0.6</v>
      </c>
      <c r="H557" s="7">
        <v>0.6</v>
      </c>
      <c r="I557" s="7">
        <v>0.6</v>
      </c>
      <c r="J557" s="7">
        <v>0.6</v>
      </c>
      <c r="K557" s="7">
        <v>0.6</v>
      </c>
      <c r="L557" s="7">
        <v>0.6</v>
      </c>
      <c r="M557" s="7">
        <v>0.6</v>
      </c>
      <c r="N557" s="7">
        <v>0.6</v>
      </c>
      <c r="O557" s="7">
        <v>0.6</v>
      </c>
      <c r="P557" s="7">
        <v>0.6</v>
      </c>
      <c r="Q557" s="7">
        <v>0.6</v>
      </c>
    </row>
    <row r="558" spans="1:17">
      <c r="A558" s="2">
        <v>2506</v>
      </c>
      <c r="B558" s="7">
        <v>0.6</v>
      </c>
      <c r="C558" s="7">
        <v>0.6</v>
      </c>
      <c r="D558" s="7">
        <v>0.6</v>
      </c>
      <c r="E558" s="7">
        <v>0.6</v>
      </c>
      <c r="F558" s="7">
        <v>0.6</v>
      </c>
      <c r="G558" s="7">
        <v>0.6</v>
      </c>
      <c r="H558" s="7">
        <v>0.6</v>
      </c>
      <c r="I558" s="7">
        <v>0.6</v>
      </c>
      <c r="J558" s="7">
        <v>0.6</v>
      </c>
      <c r="K558" s="7">
        <v>0.6</v>
      </c>
      <c r="L558" s="7">
        <v>0.6</v>
      </c>
      <c r="M558" s="7">
        <v>0.6</v>
      </c>
      <c r="N558" s="7">
        <v>0.6</v>
      </c>
      <c r="O558" s="7">
        <v>0.6</v>
      </c>
      <c r="P558" s="7">
        <v>0.6</v>
      </c>
      <c r="Q558" s="7">
        <v>0.6</v>
      </c>
    </row>
    <row r="559" spans="1:17">
      <c r="A559" s="2">
        <v>2507</v>
      </c>
      <c r="B559" s="7">
        <v>0.6</v>
      </c>
      <c r="C559" s="7">
        <v>0.6</v>
      </c>
      <c r="D559" s="7">
        <v>0.6</v>
      </c>
      <c r="E559" s="7">
        <v>0.6</v>
      </c>
      <c r="F559" s="7">
        <v>0.6</v>
      </c>
      <c r="G559" s="7">
        <v>0.6</v>
      </c>
      <c r="H559" s="7">
        <v>0.6</v>
      </c>
      <c r="I559" s="7">
        <v>0.6</v>
      </c>
      <c r="J559" s="7">
        <v>0.6</v>
      </c>
      <c r="K559" s="7">
        <v>0.6</v>
      </c>
      <c r="L559" s="7">
        <v>0.6</v>
      </c>
      <c r="M559" s="7">
        <v>0.6</v>
      </c>
      <c r="N559" s="7">
        <v>0.6</v>
      </c>
      <c r="O559" s="7">
        <v>0.6</v>
      </c>
      <c r="P559" s="7">
        <v>0.6</v>
      </c>
      <c r="Q559" s="7">
        <v>0.6</v>
      </c>
    </row>
    <row r="560" spans="1:17">
      <c r="A560" s="2">
        <v>2508</v>
      </c>
      <c r="B560" s="7">
        <v>0.6</v>
      </c>
      <c r="C560" s="7">
        <v>0.6</v>
      </c>
      <c r="D560" s="7">
        <v>0.6</v>
      </c>
      <c r="E560" s="7">
        <v>0.6</v>
      </c>
      <c r="F560" s="7">
        <v>0.6</v>
      </c>
      <c r="G560" s="7">
        <v>0.6</v>
      </c>
      <c r="H560" s="7">
        <v>0.6</v>
      </c>
      <c r="I560" s="7">
        <v>0.6</v>
      </c>
      <c r="J560" s="7">
        <v>0.6</v>
      </c>
      <c r="K560" s="7">
        <v>0.6</v>
      </c>
      <c r="L560" s="7">
        <v>0.6</v>
      </c>
      <c r="M560" s="7">
        <v>0.6</v>
      </c>
      <c r="N560" s="7">
        <v>0.6</v>
      </c>
      <c r="O560" s="7">
        <v>0.6</v>
      </c>
      <c r="P560" s="7">
        <v>0.6</v>
      </c>
      <c r="Q560" s="7">
        <v>0.6</v>
      </c>
    </row>
    <row r="561" spans="1:17">
      <c r="A561" s="2">
        <v>2509</v>
      </c>
      <c r="B561" s="7">
        <v>0.6</v>
      </c>
      <c r="C561" s="7">
        <v>0.6</v>
      </c>
      <c r="D561" s="7">
        <v>0.6</v>
      </c>
      <c r="E561" s="7">
        <v>0.6</v>
      </c>
      <c r="F561" s="7">
        <v>0.6</v>
      </c>
      <c r="G561" s="7">
        <v>0.6</v>
      </c>
      <c r="H561" s="7">
        <v>0.6</v>
      </c>
      <c r="I561" s="7">
        <v>0.6</v>
      </c>
      <c r="J561" s="7">
        <v>0.6</v>
      </c>
      <c r="K561" s="7">
        <v>0.6</v>
      </c>
      <c r="L561" s="7">
        <v>0.6</v>
      </c>
      <c r="M561" s="7">
        <v>0.6</v>
      </c>
      <c r="N561" s="7">
        <v>0.6</v>
      </c>
      <c r="O561" s="7">
        <v>0.6</v>
      </c>
      <c r="P561" s="7">
        <v>0.6</v>
      </c>
      <c r="Q561" s="7">
        <v>0.6</v>
      </c>
    </row>
    <row r="562" spans="1:17">
      <c r="A562" s="2">
        <v>2510</v>
      </c>
      <c r="B562" s="7">
        <v>0.6</v>
      </c>
      <c r="C562" s="7">
        <v>0.6</v>
      </c>
      <c r="D562" s="7">
        <v>0.6</v>
      </c>
      <c r="E562" s="7">
        <v>0.6</v>
      </c>
      <c r="F562" s="7">
        <v>0.6</v>
      </c>
      <c r="G562" s="7">
        <v>0.6</v>
      </c>
      <c r="H562" s="7">
        <v>0.6</v>
      </c>
      <c r="I562" s="7">
        <v>0.6</v>
      </c>
      <c r="J562" s="7">
        <v>0.6</v>
      </c>
      <c r="K562" s="7">
        <v>0.6</v>
      </c>
      <c r="L562" s="7">
        <v>0.6</v>
      </c>
      <c r="M562" s="7">
        <v>0.6</v>
      </c>
      <c r="N562" s="7">
        <v>0.6</v>
      </c>
      <c r="O562" s="7">
        <v>0.6</v>
      </c>
      <c r="P562" s="7">
        <v>0.6</v>
      </c>
      <c r="Q562" s="7">
        <v>0.6</v>
      </c>
    </row>
    <row r="563" spans="1:17">
      <c r="A563" s="2">
        <v>2511</v>
      </c>
      <c r="B563" s="7">
        <v>0.6</v>
      </c>
      <c r="C563" s="7">
        <v>0.6</v>
      </c>
      <c r="D563" s="7">
        <v>0.6</v>
      </c>
      <c r="E563" s="7">
        <v>0.6</v>
      </c>
      <c r="F563" s="7">
        <v>0.6</v>
      </c>
      <c r="G563" s="7">
        <v>0.6</v>
      </c>
      <c r="H563" s="7">
        <v>0.6</v>
      </c>
      <c r="I563" s="7">
        <v>0.6</v>
      </c>
      <c r="J563" s="7">
        <v>0.6</v>
      </c>
      <c r="K563" s="7">
        <v>0.6</v>
      </c>
      <c r="L563" s="7">
        <v>0.6</v>
      </c>
      <c r="M563" s="7">
        <v>0.6</v>
      </c>
      <c r="N563" s="7">
        <v>0.6</v>
      </c>
      <c r="O563" s="7">
        <v>0.6</v>
      </c>
      <c r="P563" s="7">
        <v>0.6</v>
      </c>
      <c r="Q563" s="7">
        <v>0.6</v>
      </c>
    </row>
    <row r="564" spans="1:17">
      <c r="A564" s="2">
        <v>2512</v>
      </c>
      <c r="B564" s="7">
        <v>0.6</v>
      </c>
      <c r="C564" s="7">
        <v>0.6</v>
      </c>
      <c r="D564" s="7">
        <v>0.6</v>
      </c>
      <c r="E564" s="7">
        <v>0.6</v>
      </c>
      <c r="F564" s="7">
        <v>0.6</v>
      </c>
      <c r="G564" s="7">
        <v>0.6</v>
      </c>
      <c r="H564" s="7">
        <v>0.6</v>
      </c>
      <c r="I564" s="7">
        <v>0.6</v>
      </c>
      <c r="J564" s="7">
        <v>0.6</v>
      </c>
      <c r="K564" s="7">
        <v>0.6</v>
      </c>
      <c r="L564" s="7">
        <v>0.6</v>
      </c>
      <c r="M564" s="7">
        <v>0.6</v>
      </c>
      <c r="N564" s="7">
        <v>0.6</v>
      </c>
      <c r="O564" s="7">
        <v>0.6</v>
      </c>
      <c r="P564" s="7">
        <v>0.6</v>
      </c>
      <c r="Q564" s="7">
        <v>0.6</v>
      </c>
    </row>
    <row r="565" spans="1:17">
      <c r="A565" s="2">
        <v>2513</v>
      </c>
      <c r="B565" s="7">
        <v>0.6</v>
      </c>
      <c r="C565" s="7">
        <v>0.6</v>
      </c>
      <c r="D565" s="7">
        <v>0.6</v>
      </c>
      <c r="E565" s="7">
        <v>0.6</v>
      </c>
      <c r="F565" s="7">
        <v>0.6</v>
      </c>
      <c r="G565" s="7">
        <v>0.6</v>
      </c>
      <c r="H565" s="7">
        <v>0.6</v>
      </c>
      <c r="I565" s="7">
        <v>0.6</v>
      </c>
      <c r="J565" s="7">
        <v>0.6</v>
      </c>
      <c r="K565" s="7">
        <v>0.6</v>
      </c>
      <c r="L565" s="7">
        <v>0.6</v>
      </c>
      <c r="M565" s="7">
        <v>0.6</v>
      </c>
      <c r="N565" s="7">
        <v>0.6</v>
      </c>
      <c r="O565" s="7">
        <v>0.6</v>
      </c>
      <c r="P565" s="7">
        <v>0.6</v>
      </c>
      <c r="Q565" s="7">
        <v>0.6</v>
      </c>
    </row>
    <row r="566" spans="1:17">
      <c r="A566" s="2">
        <v>2514</v>
      </c>
      <c r="B566" s="7">
        <v>0.6</v>
      </c>
      <c r="C566" s="7">
        <v>0.6</v>
      </c>
      <c r="D566" s="7">
        <v>0.6</v>
      </c>
      <c r="E566" s="7">
        <v>0.6</v>
      </c>
      <c r="F566" s="7">
        <v>0.6</v>
      </c>
      <c r="G566" s="7">
        <v>0.6</v>
      </c>
      <c r="H566" s="7">
        <v>0.6</v>
      </c>
      <c r="I566" s="7">
        <v>0.6</v>
      </c>
      <c r="J566" s="7">
        <v>0.6</v>
      </c>
      <c r="K566" s="7">
        <v>0.6</v>
      </c>
      <c r="L566" s="7">
        <v>0.6</v>
      </c>
      <c r="M566" s="7">
        <v>0.6</v>
      </c>
      <c r="N566" s="7">
        <v>0.6</v>
      </c>
      <c r="O566" s="7">
        <v>0.6</v>
      </c>
      <c r="P566" s="7">
        <v>0.6</v>
      </c>
      <c r="Q566" s="7">
        <v>0.6</v>
      </c>
    </row>
    <row r="567" spans="1:17">
      <c r="A567" s="2">
        <v>2515</v>
      </c>
      <c r="B567" s="7">
        <v>0.6</v>
      </c>
      <c r="C567" s="7">
        <v>0.6</v>
      </c>
      <c r="D567" s="7">
        <v>0.6</v>
      </c>
      <c r="E567" s="7">
        <v>0.6</v>
      </c>
      <c r="F567" s="7">
        <v>0.6</v>
      </c>
      <c r="G567" s="7">
        <v>0.6</v>
      </c>
      <c r="H567" s="7">
        <v>0.6</v>
      </c>
      <c r="I567" s="7">
        <v>0.6</v>
      </c>
      <c r="J567" s="7">
        <v>0.6</v>
      </c>
      <c r="K567" s="7">
        <v>0.6</v>
      </c>
      <c r="L567" s="7">
        <v>0.6</v>
      </c>
      <c r="M567" s="7">
        <v>0.6</v>
      </c>
      <c r="N567" s="7">
        <v>0.6</v>
      </c>
      <c r="O567" s="7">
        <v>0.6</v>
      </c>
      <c r="P567" s="7">
        <v>0.6</v>
      </c>
      <c r="Q567" s="7">
        <v>0.6</v>
      </c>
    </row>
    <row r="568" spans="1:17">
      <c r="A568" s="2">
        <v>2516</v>
      </c>
      <c r="B568" s="7">
        <v>0.6</v>
      </c>
      <c r="C568" s="7">
        <v>0.6</v>
      </c>
      <c r="D568" s="7">
        <v>0.6</v>
      </c>
      <c r="E568" s="7">
        <v>0.6</v>
      </c>
      <c r="F568" s="7">
        <v>0.6</v>
      </c>
      <c r="G568" s="7">
        <v>0.6</v>
      </c>
      <c r="H568" s="7">
        <v>0.6</v>
      </c>
      <c r="I568" s="7">
        <v>0.6</v>
      </c>
      <c r="J568" s="7">
        <v>0.6</v>
      </c>
      <c r="K568" s="7">
        <v>0.6</v>
      </c>
      <c r="L568" s="7">
        <v>0.6</v>
      </c>
      <c r="M568" s="7">
        <v>0.6</v>
      </c>
      <c r="N568" s="7">
        <v>0.6</v>
      </c>
      <c r="O568" s="7">
        <v>0.6</v>
      </c>
      <c r="P568" s="7">
        <v>0.6</v>
      </c>
      <c r="Q568" s="7">
        <v>0.6</v>
      </c>
    </row>
    <row r="569" spans="1:17">
      <c r="A569" s="2">
        <v>2517</v>
      </c>
      <c r="B569" s="7">
        <v>0.6</v>
      </c>
      <c r="C569" s="7">
        <v>0.6</v>
      </c>
      <c r="D569" s="7">
        <v>0.6</v>
      </c>
      <c r="E569" s="7">
        <v>0.6</v>
      </c>
      <c r="F569" s="7">
        <v>0.6</v>
      </c>
      <c r="G569" s="7">
        <v>0.6</v>
      </c>
      <c r="H569" s="7">
        <v>0.6</v>
      </c>
      <c r="I569" s="7">
        <v>0.6</v>
      </c>
      <c r="J569" s="7">
        <v>0.6</v>
      </c>
      <c r="K569" s="7">
        <v>0.6</v>
      </c>
      <c r="L569" s="7">
        <v>0.6</v>
      </c>
      <c r="M569" s="7">
        <v>0.6</v>
      </c>
      <c r="N569" s="7">
        <v>0.6</v>
      </c>
      <c r="O569" s="7">
        <v>0.6</v>
      </c>
      <c r="P569" s="7">
        <v>0.6</v>
      </c>
      <c r="Q569" s="7">
        <v>0.6</v>
      </c>
    </row>
    <row r="570" spans="1:17">
      <c r="A570" s="2">
        <v>2518</v>
      </c>
      <c r="B570" s="7">
        <v>0.6</v>
      </c>
      <c r="C570" s="7">
        <v>0.6</v>
      </c>
      <c r="D570" s="7">
        <v>0.6</v>
      </c>
      <c r="E570" s="7">
        <v>0.6</v>
      </c>
      <c r="F570" s="7">
        <v>0.6</v>
      </c>
      <c r="G570" s="7">
        <v>0.6</v>
      </c>
      <c r="H570" s="7">
        <v>0.6</v>
      </c>
      <c r="I570" s="7">
        <v>0.6</v>
      </c>
      <c r="J570" s="7">
        <v>0.6</v>
      </c>
      <c r="K570" s="7">
        <v>0.6</v>
      </c>
      <c r="L570" s="7">
        <v>0.6</v>
      </c>
      <c r="M570" s="7">
        <v>0.6</v>
      </c>
      <c r="N570" s="7">
        <v>0.6</v>
      </c>
      <c r="O570" s="7">
        <v>0.6</v>
      </c>
      <c r="P570" s="7">
        <v>0.6</v>
      </c>
      <c r="Q570" s="7">
        <v>0.6</v>
      </c>
    </row>
    <row r="571" spans="1:17">
      <c r="A571" s="2">
        <v>2519</v>
      </c>
      <c r="B571" s="7">
        <v>0.6</v>
      </c>
      <c r="C571" s="7">
        <v>0.6</v>
      </c>
      <c r="D571" s="7">
        <v>0.6</v>
      </c>
      <c r="E571" s="7">
        <v>0.6</v>
      </c>
      <c r="F571" s="7">
        <v>0.6</v>
      </c>
      <c r="G571" s="7">
        <v>0.6</v>
      </c>
      <c r="H571" s="7">
        <v>0.6</v>
      </c>
      <c r="I571" s="7">
        <v>0.6</v>
      </c>
      <c r="J571" s="7">
        <v>0.6</v>
      </c>
      <c r="K571" s="7">
        <v>0.6</v>
      </c>
      <c r="L571" s="7">
        <v>0.6</v>
      </c>
      <c r="M571" s="7">
        <v>0.6</v>
      </c>
      <c r="N571" s="7">
        <v>0.6</v>
      </c>
      <c r="O571" s="7">
        <v>0.6</v>
      </c>
      <c r="P571" s="7">
        <v>0.6</v>
      </c>
      <c r="Q571" s="7">
        <v>0.6</v>
      </c>
    </row>
    <row r="572" spans="1:17">
      <c r="A572" s="2">
        <v>2520</v>
      </c>
      <c r="B572" s="7">
        <v>0.6</v>
      </c>
      <c r="C572" s="7">
        <v>0.6</v>
      </c>
      <c r="D572" s="7">
        <v>0.6</v>
      </c>
      <c r="E572" s="7">
        <v>0.6</v>
      </c>
      <c r="F572" s="7">
        <v>0.6</v>
      </c>
      <c r="G572" s="7">
        <v>0.6</v>
      </c>
      <c r="H572" s="7">
        <v>0.6</v>
      </c>
      <c r="I572" s="7">
        <v>0.6</v>
      </c>
      <c r="J572" s="7">
        <v>0.6</v>
      </c>
      <c r="K572" s="7">
        <v>0.6</v>
      </c>
      <c r="L572" s="7">
        <v>0.6</v>
      </c>
      <c r="M572" s="7">
        <v>0.6</v>
      </c>
      <c r="N572" s="7">
        <v>0.6</v>
      </c>
      <c r="O572" s="7">
        <v>0.6</v>
      </c>
      <c r="P572" s="7">
        <v>0.6</v>
      </c>
      <c r="Q572" s="7">
        <v>0.6</v>
      </c>
    </row>
    <row r="573" spans="1:17">
      <c r="A573" s="2">
        <v>2521</v>
      </c>
      <c r="B573" s="7">
        <v>0.6</v>
      </c>
      <c r="C573" s="7">
        <v>0.6</v>
      </c>
      <c r="D573" s="7">
        <v>0.6</v>
      </c>
      <c r="E573" s="7">
        <v>0.6</v>
      </c>
      <c r="F573" s="7">
        <v>0.6</v>
      </c>
      <c r="G573" s="7">
        <v>0.6</v>
      </c>
      <c r="H573" s="7">
        <v>0.6</v>
      </c>
      <c r="I573" s="7">
        <v>0.6</v>
      </c>
      <c r="J573" s="7">
        <v>0.6</v>
      </c>
      <c r="K573" s="7">
        <v>0.6</v>
      </c>
      <c r="L573" s="7">
        <v>0.6</v>
      </c>
      <c r="M573" s="7">
        <v>0.6</v>
      </c>
      <c r="N573" s="7">
        <v>0.6</v>
      </c>
      <c r="O573" s="7">
        <v>0.6</v>
      </c>
      <c r="P573" s="7">
        <v>0.6</v>
      </c>
      <c r="Q573" s="7">
        <v>0.6</v>
      </c>
    </row>
    <row r="574" spans="1:17">
      <c r="A574" s="2">
        <v>2522</v>
      </c>
      <c r="B574" s="7">
        <v>0.6</v>
      </c>
      <c r="C574" s="7">
        <v>0.6</v>
      </c>
      <c r="D574" s="7">
        <v>0.6</v>
      </c>
      <c r="E574" s="7">
        <v>0.6</v>
      </c>
      <c r="F574" s="7">
        <v>0.6</v>
      </c>
      <c r="G574" s="7">
        <v>0.6</v>
      </c>
      <c r="H574" s="7">
        <v>0.6</v>
      </c>
      <c r="I574" s="7">
        <v>0.6</v>
      </c>
      <c r="J574" s="7">
        <v>0.6</v>
      </c>
      <c r="K574" s="7">
        <v>0.6</v>
      </c>
      <c r="L574" s="7">
        <v>0.6</v>
      </c>
      <c r="M574" s="7">
        <v>0.6</v>
      </c>
      <c r="N574" s="7">
        <v>0.6</v>
      </c>
      <c r="O574" s="7">
        <v>0.6</v>
      </c>
      <c r="P574" s="7">
        <v>0.6</v>
      </c>
      <c r="Q574" s="7">
        <v>0.6</v>
      </c>
    </row>
    <row r="575" spans="1:17">
      <c r="A575" s="2">
        <v>2523</v>
      </c>
      <c r="B575" s="7">
        <v>0.6</v>
      </c>
      <c r="C575" s="7">
        <v>0.6</v>
      </c>
      <c r="D575" s="7">
        <v>0.6</v>
      </c>
      <c r="E575" s="7">
        <v>0.6</v>
      </c>
      <c r="F575" s="7">
        <v>0.6</v>
      </c>
      <c r="G575" s="7">
        <v>0.6</v>
      </c>
      <c r="H575" s="7">
        <v>0.6</v>
      </c>
      <c r="I575" s="7">
        <v>0.6</v>
      </c>
      <c r="J575" s="7">
        <v>0.6</v>
      </c>
      <c r="K575" s="7">
        <v>0.6</v>
      </c>
      <c r="L575" s="7">
        <v>0.6</v>
      </c>
      <c r="M575" s="7">
        <v>0.6</v>
      </c>
      <c r="N575" s="7">
        <v>0.6</v>
      </c>
      <c r="O575" s="7">
        <v>0.6</v>
      </c>
      <c r="P575" s="7">
        <v>0.6</v>
      </c>
      <c r="Q575" s="7">
        <v>0.6</v>
      </c>
    </row>
    <row r="576" spans="1:17">
      <c r="A576" s="2">
        <v>2524</v>
      </c>
      <c r="B576" s="7">
        <v>0.6</v>
      </c>
      <c r="C576" s="7">
        <v>0.6</v>
      </c>
      <c r="D576" s="7">
        <v>0.6</v>
      </c>
      <c r="E576" s="7">
        <v>0.6</v>
      </c>
      <c r="F576" s="7">
        <v>0.6</v>
      </c>
      <c r="G576" s="7">
        <v>0.6</v>
      </c>
      <c r="H576" s="7">
        <v>0.6</v>
      </c>
      <c r="I576" s="7">
        <v>0.6</v>
      </c>
      <c r="J576" s="7">
        <v>0.6</v>
      </c>
      <c r="K576" s="7">
        <v>0.6</v>
      </c>
      <c r="L576" s="7">
        <v>0.6</v>
      </c>
      <c r="M576" s="7">
        <v>0.6</v>
      </c>
      <c r="N576" s="7">
        <v>0.6</v>
      </c>
      <c r="O576" s="7">
        <v>0.6</v>
      </c>
      <c r="P576" s="7">
        <v>0.6</v>
      </c>
      <c r="Q576" s="7">
        <v>0.6</v>
      </c>
    </row>
    <row r="577" spans="1:17">
      <c r="A577" s="2">
        <v>2525</v>
      </c>
      <c r="B577" s="7">
        <v>0.6</v>
      </c>
      <c r="C577" s="7">
        <v>0.6</v>
      </c>
      <c r="D577" s="7">
        <v>0.6</v>
      </c>
      <c r="E577" s="7">
        <v>0.6</v>
      </c>
      <c r="F577" s="7">
        <v>0.6</v>
      </c>
      <c r="G577" s="7">
        <v>0.6</v>
      </c>
      <c r="H577" s="7">
        <v>0.6</v>
      </c>
      <c r="I577" s="7">
        <v>0.6</v>
      </c>
      <c r="J577" s="7">
        <v>0.6</v>
      </c>
      <c r="K577" s="7">
        <v>0.6</v>
      </c>
      <c r="L577" s="7">
        <v>0.6</v>
      </c>
      <c r="M577" s="7">
        <v>0.6</v>
      </c>
      <c r="N577" s="7">
        <v>0.6</v>
      </c>
      <c r="O577" s="7">
        <v>0.6</v>
      </c>
      <c r="P577" s="7">
        <v>0.6</v>
      </c>
      <c r="Q577" s="7">
        <v>0.6</v>
      </c>
    </row>
    <row r="578" spans="1:17">
      <c r="A578" s="2">
        <v>2526</v>
      </c>
      <c r="B578" s="7">
        <v>0.6</v>
      </c>
      <c r="C578" s="7">
        <v>0.6</v>
      </c>
      <c r="D578" s="7">
        <v>0.6</v>
      </c>
      <c r="E578" s="7">
        <v>0.6</v>
      </c>
      <c r="F578" s="7">
        <v>0.6</v>
      </c>
      <c r="G578" s="7">
        <v>0.6</v>
      </c>
      <c r="H578" s="7">
        <v>0.6</v>
      </c>
      <c r="I578" s="7">
        <v>0.6</v>
      </c>
      <c r="J578" s="7">
        <v>0.6</v>
      </c>
      <c r="K578" s="7">
        <v>0.6</v>
      </c>
      <c r="L578" s="7">
        <v>0.6</v>
      </c>
      <c r="M578" s="7">
        <v>0.6</v>
      </c>
      <c r="N578" s="7">
        <v>0.6</v>
      </c>
      <c r="O578" s="7">
        <v>0.6</v>
      </c>
      <c r="P578" s="7">
        <v>0.6</v>
      </c>
      <c r="Q578" s="7">
        <v>0.6</v>
      </c>
    </row>
    <row r="579" spans="1:17">
      <c r="A579" s="2">
        <v>2527</v>
      </c>
      <c r="B579" s="7">
        <v>0.6</v>
      </c>
      <c r="C579" s="7">
        <v>0.6</v>
      </c>
      <c r="D579" s="7">
        <v>0.6</v>
      </c>
      <c r="E579" s="7">
        <v>0.6</v>
      </c>
      <c r="F579" s="7">
        <v>0.6</v>
      </c>
      <c r="G579" s="7">
        <v>0.6</v>
      </c>
      <c r="H579" s="7">
        <v>0.6</v>
      </c>
      <c r="I579" s="7">
        <v>0.6</v>
      </c>
      <c r="J579" s="7">
        <v>0.6</v>
      </c>
      <c r="K579" s="7">
        <v>0.6</v>
      </c>
      <c r="L579" s="7">
        <v>0.6</v>
      </c>
      <c r="M579" s="7">
        <v>0.6</v>
      </c>
      <c r="N579" s="7">
        <v>0.6</v>
      </c>
      <c r="O579" s="7">
        <v>0.6</v>
      </c>
      <c r="P579" s="7">
        <v>0.6</v>
      </c>
      <c r="Q579" s="7">
        <v>0.6</v>
      </c>
    </row>
    <row r="580" spans="1:17">
      <c r="A580" s="2">
        <v>2528</v>
      </c>
      <c r="B580" s="7">
        <v>0.6</v>
      </c>
      <c r="C580" s="7">
        <v>0.6</v>
      </c>
      <c r="D580" s="7">
        <v>0.6</v>
      </c>
      <c r="E580" s="7">
        <v>0.6</v>
      </c>
      <c r="F580" s="7">
        <v>0.6</v>
      </c>
      <c r="G580" s="7">
        <v>0.6</v>
      </c>
      <c r="H580" s="7">
        <v>0.6</v>
      </c>
      <c r="I580" s="7">
        <v>0.6</v>
      </c>
      <c r="J580" s="7">
        <v>0.6</v>
      </c>
      <c r="K580" s="7">
        <v>0.6</v>
      </c>
      <c r="L580" s="7">
        <v>0.6</v>
      </c>
      <c r="M580" s="7">
        <v>0.6</v>
      </c>
      <c r="N580" s="7">
        <v>0.6</v>
      </c>
      <c r="O580" s="7">
        <v>0.6</v>
      </c>
      <c r="P580" s="7">
        <v>0.6</v>
      </c>
      <c r="Q580" s="7">
        <v>0.6</v>
      </c>
    </row>
    <row r="581" spans="1:17">
      <c r="A581" s="2">
        <v>2529</v>
      </c>
      <c r="B581" s="7">
        <v>0.6</v>
      </c>
      <c r="C581" s="7">
        <v>0.6</v>
      </c>
      <c r="D581" s="7">
        <v>0.6</v>
      </c>
      <c r="E581" s="7">
        <v>0.6</v>
      </c>
      <c r="F581" s="7">
        <v>0.6</v>
      </c>
      <c r="G581" s="7">
        <v>0.6</v>
      </c>
      <c r="H581" s="7">
        <v>0.6</v>
      </c>
      <c r="I581" s="7">
        <v>0.6</v>
      </c>
      <c r="J581" s="7">
        <v>0.6</v>
      </c>
      <c r="K581" s="7">
        <v>0.6</v>
      </c>
      <c r="L581" s="7">
        <v>0.6</v>
      </c>
      <c r="M581" s="7">
        <v>0.6</v>
      </c>
      <c r="N581" s="7">
        <v>0.6</v>
      </c>
      <c r="O581" s="7">
        <v>0.6</v>
      </c>
      <c r="P581" s="7">
        <v>0.6</v>
      </c>
      <c r="Q581" s="7">
        <v>0.6</v>
      </c>
    </row>
    <row r="582" spans="1:17">
      <c r="A582" s="2">
        <v>2530</v>
      </c>
      <c r="B582" s="7">
        <v>0.6</v>
      </c>
      <c r="C582" s="7">
        <v>0.6</v>
      </c>
      <c r="D582" s="7">
        <v>0.6</v>
      </c>
      <c r="E582" s="7">
        <v>0.6</v>
      </c>
      <c r="F582" s="7">
        <v>0.6</v>
      </c>
      <c r="G582" s="7">
        <v>0.6</v>
      </c>
      <c r="H582" s="7">
        <v>0.6</v>
      </c>
      <c r="I582" s="7">
        <v>0.6</v>
      </c>
      <c r="J582" s="7">
        <v>0.6</v>
      </c>
      <c r="K582" s="7">
        <v>0.6</v>
      </c>
      <c r="L582" s="7">
        <v>0.6</v>
      </c>
      <c r="M582" s="7">
        <v>0.6</v>
      </c>
      <c r="N582" s="7">
        <v>0.6</v>
      </c>
      <c r="O582" s="7">
        <v>0.6</v>
      </c>
      <c r="P582" s="7">
        <v>0.6</v>
      </c>
      <c r="Q582" s="7">
        <v>0.6</v>
      </c>
    </row>
    <row r="583" spans="1:17">
      <c r="A583" s="2">
        <v>2531</v>
      </c>
      <c r="B583" s="7">
        <v>0.6</v>
      </c>
      <c r="C583" s="7">
        <v>0.6</v>
      </c>
      <c r="D583" s="7">
        <v>0.6</v>
      </c>
      <c r="E583" s="7">
        <v>0.6</v>
      </c>
      <c r="F583" s="7">
        <v>0.6</v>
      </c>
      <c r="G583" s="7">
        <v>0.6</v>
      </c>
      <c r="H583" s="7">
        <v>0.6</v>
      </c>
      <c r="I583" s="7">
        <v>0.6</v>
      </c>
      <c r="J583" s="7">
        <v>0.6</v>
      </c>
      <c r="K583" s="7">
        <v>0.6</v>
      </c>
      <c r="L583" s="7">
        <v>0.6</v>
      </c>
      <c r="M583" s="7">
        <v>0.6</v>
      </c>
      <c r="N583" s="7">
        <v>0.6</v>
      </c>
      <c r="O583" s="7">
        <v>0.6</v>
      </c>
      <c r="P583" s="7">
        <v>0.6</v>
      </c>
      <c r="Q583" s="7">
        <v>0.6</v>
      </c>
    </row>
    <row r="584" spans="1:17">
      <c r="A584" s="2">
        <v>2532</v>
      </c>
      <c r="B584" s="7">
        <v>0.6</v>
      </c>
      <c r="C584" s="7">
        <v>0.6</v>
      </c>
      <c r="D584" s="7">
        <v>0.6</v>
      </c>
      <c r="E584" s="7">
        <v>0.6</v>
      </c>
      <c r="F584" s="7">
        <v>0.6</v>
      </c>
      <c r="G584" s="7">
        <v>0.6</v>
      </c>
      <c r="H584" s="7">
        <v>0.6</v>
      </c>
      <c r="I584" s="7">
        <v>0.6</v>
      </c>
      <c r="J584" s="7">
        <v>0.6</v>
      </c>
      <c r="K584" s="7">
        <v>0.6</v>
      </c>
      <c r="L584" s="7">
        <v>0.6</v>
      </c>
      <c r="M584" s="7">
        <v>0.6</v>
      </c>
      <c r="N584" s="7">
        <v>0.6</v>
      </c>
      <c r="O584" s="7">
        <v>0.6</v>
      </c>
      <c r="P584" s="7">
        <v>0.6</v>
      </c>
      <c r="Q584" s="7">
        <v>0.6</v>
      </c>
    </row>
    <row r="585" spans="1:17">
      <c r="A585" s="2">
        <v>2533</v>
      </c>
      <c r="B585" s="7">
        <v>0.6</v>
      </c>
      <c r="C585" s="7">
        <v>0.6</v>
      </c>
      <c r="D585" s="7">
        <v>0.6</v>
      </c>
      <c r="E585" s="7">
        <v>0.6</v>
      </c>
      <c r="F585" s="7">
        <v>0.6</v>
      </c>
      <c r="G585" s="7">
        <v>0.6</v>
      </c>
      <c r="H585" s="7">
        <v>0.6</v>
      </c>
      <c r="I585" s="7">
        <v>0.6</v>
      </c>
      <c r="J585" s="7">
        <v>0.6</v>
      </c>
      <c r="K585" s="7">
        <v>0.6</v>
      </c>
      <c r="L585" s="7">
        <v>0.6</v>
      </c>
      <c r="M585" s="7">
        <v>0.6</v>
      </c>
      <c r="N585" s="7">
        <v>0.6</v>
      </c>
      <c r="O585" s="7">
        <v>0.6</v>
      </c>
      <c r="P585" s="7">
        <v>0.6</v>
      </c>
      <c r="Q585" s="7">
        <v>0.6</v>
      </c>
    </row>
    <row r="586" spans="1:17">
      <c r="A586" s="2">
        <v>2534</v>
      </c>
      <c r="B586" s="7">
        <v>0.6</v>
      </c>
      <c r="C586" s="7">
        <v>0.6</v>
      </c>
      <c r="D586" s="7">
        <v>0.6</v>
      </c>
      <c r="E586" s="7">
        <v>0.6</v>
      </c>
      <c r="F586" s="7">
        <v>0.6</v>
      </c>
      <c r="G586" s="7">
        <v>0.6</v>
      </c>
      <c r="H586" s="7">
        <v>0.6</v>
      </c>
      <c r="I586" s="7">
        <v>0.6</v>
      </c>
      <c r="J586" s="7">
        <v>0.6</v>
      </c>
      <c r="K586" s="7">
        <v>0.6</v>
      </c>
      <c r="L586" s="7">
        <v>0.6</v>
      </c>
      <c r="M586" s="7">
        <v>0.6</v>
      </c>
      <c r="N586" s="7">
        <v>0.6</v>
      </c>
      <c r="O586" s="7">
        <v>0.6</v>
      </c>
      <c r="P586" s="7">
        <v>0.6</v>
      </c>
      <c r="Q586" s="7">
        <v>0.6</v>
      </c>
    </row>
    <row r="587" spans="1:17">
      <c r="A587" s="2">
        <v>2535</v>
      </c>
      <c r="B587" s="7">
        <v>0.6</v>
      </c>
      <c r="C587" s="7">
        <v>0.6</v>
      </c>
      <c r="D587" s="7">
        <v>0.6</v>
      </c>
      <c r="E587" s="7">
        <v>0.6</v>
      </c>
      <c r="F587" s="7">
        <v>0.6</v>
      </c>
      <c r="G587" s="7">
        <v>0.6</v>
      </c>
      <c r="H587" s="7">
        <v>0.6</v>
      </c>
      <c r="I587" s="7">
        <v>0.6</v>
      </c>
      <c r="J587" s="7">
        <v>0.6</v>
      </c>
      <c r="K587" s="7">
        <v>0.6</v>
      </c>
      <c r="L587" s="7">
        <v>0.6</v>
      </c>
      <c r="M587" s="7">
        <v>0.6</v>
      </c>
      <c r="N587" s="7">
        <v>0.6</v>
      </c>
      <c r="O587" s="7">
        <v>0.6</v>
      </c>
      <c r="P587" s="7">
        <v>0.6</v>
      </c>
      <c r="Q587" s="7">
        <v>0.6</v>
      </c>
    </row>
    <row r="588" spans="1:17">
      <c r="A588" s="2">
        <v>2536</v>
      </c>
      <c r="B588" s="7">
        <v>0.6</v>
      </c>
      <c r="C588" s="7">
        <v>0.6</v>
      </c>
      <c r="D588" s="7">
        <v>0.6</v>
      </c>
      <c r="E588" s="7">
        <v>0.6</v>
      </c>
      <c r="F588" s="7">
        <v>0.6</v>
      </c>
      <c r="G588" s="7">
        <v>0.6</v>
      </c>
      <c r="H588" s="7">
        <v>0.6</v>
      </c>
      <c r="I588" s="7">
        <v>0.6</v>
      </c>
      <c r="J588" s="7">
        <v>0.6</v>
      </c>
      <c r="K588" s="7">
        <v>0.6</v>
      </c>
      <c r="L588" s="7">
        <v>0.6</v>
      </c>
      <c r="M588" s="7">
        <v>0.6</v>
      </c>
      <c r="N588" s="7">
        <v>0.6</v>
      </c>
      <c r="O588" s="7">
        <v>0.6</v>
      </c>
      <c r="P588" s="7">
        <v>0.6</v>
      </c>
      <c r="Q588" s="7">
        <v>0.6</v>
      </c>
    </row>
    <row r="589" spans="1:17">
      <c r="A589" s="2">
        <v>2537</v>
      </c>
      <c r="B589" s="7">
        <v>0.6</v>
      </c>
      <c r="C589" s="7">
        <v>0.6</v>
      </c>
      <c r="D589" s="7">
        <v>0.6</v>
      </c>
      <c r="E589" s="7">
        <v>0.6</v>
      </c>
      <c r="F589" s="7">
        <v>0.6</v>
      </c>
      <c r="G589" s="7">
        <v>0.6</v>
      </c>
      <c r="H589" s="7">
        <v>0.6</v>
      </c>
      <c r="I589" s="7">
        <v>0.6</v>
      </c>
      <c r="J589" s="7">
        <v>0.6</v>
      </c>
      <c r="K589" s="7">
        <v>0.6</v>
      </c>
      <c r="L589" s="7">
        <v>0.6</v>
      </c>
      <c r="M589" s="7">
        <v>0.6</v>
      </c>
      <c r="N589" s="7">
        <v>0.6</v>
      </c>
      <c r="O589" s="7">
        <v>0.6</v>
      </c>
      <c r="P589" s="7">
        <v>0.6</v>
      </c>
      <c r="Q589" s="7">
        <v>0.6</v>
      </c>
    </row>
    <row r="590" spans="1:17">
      <c r="A590" s="2">
        <v>2538</v>
      </c>
      <c r="B590" s="7">
        <v>0.6</v>
      </c>
      <c r="C590" s="7">
        <v>0.6</v>
      </c>
      <c r="D590" s="7">
        <v>0.6</v>
      </c>
      <c r="E590" s="7">
        <v>0.6</v>
      </c>
      <c r="F590" s="7">
        <v>0.6</v>
      </c>
      <c r="G590" s="7">
        <v>0.6</v>
      </c>
      <c r="H590" s="7">
        <v>0.6</v>
      </c>
      <c r="I590" s="7">
        <v>0.6</v>
      </c>
      <c r="J590" s="7">
        <v>0.6</v>
      </c>
      <c r="K590" s="7">
        <v>0.6</v>
      </c>
      <c r="L590" s="7">
        <v>0.6</v>
      </c>
      <c r="M590" s="7">
        <v>0.6</v>
      </c>
      <c r="N590" s="7">
        <v>0.6</v>
      </c>
      <c r="O590" s="7">
        <v>0.6</v>
      </c>
      <c r="P590" s="7">
        <v>0.6</v>
      </c>
      <c r="Q590" s="7">
        <v>0.6</v>
      </c>
    </row>
    <row r="591" spans="1:17">
      <c r="A591" s="2">
        <v>2539</v>
      </c>
      <c r="B591" s="7">
        <v>0.6</v>
      </c>
      <c r="C591" s="7">
        <v>0.6</v>
      </c>
      <c r="D591" s="7">
        <v>0.6</v>
      </c>
      <c r="E591" s="7">
        <v>0.6</v>
      </c>
      <c r="F591" s="7">
        <v>0.6</v>
      </c>
      <c r="G591" s="7">
        <v>0.6</v>
      </c>
      <c r="H591" s="7">
        <v>0.6</v>
      </c>
      <c r="I591" s="7">
        <v>0.6</v>
      </c>
      <c r="J591" s="7">
        <v>0.6</v>
      </c>
      <c r="K591" s="7">
        <v>0.6</v>
      </c>
      <c r="L591" s="7">
        <v>0.6</v>
      </c>
      <c r="M591" s="7">
        <v>0.6</v>
      </c>
      <c r="N591" s="7">
        <v>0.6</v>
      </c>
      <c r="O591" s="7">
        <v>0.6</v>
      </c>
      <c r="P591" s="7">
        <v>0.6</v>
      </c>
      <c r="Q591" s="7">
        <v>0.6</v>
      </c>
    </row>
    <row r="592" spans="1:17">
      <c r="A592" s="2">
        <v>2540</v>
      </c>
      <c r="B592" s="7">
        <v>0.6</v>
      </c>
      <c r="C592" s="7">
        <v>0.6</v>
      </c>
      <c r="D592" s="7">
        <v>0.6</v>
      </c>
      <c r="E592" s="7">
        <v>0.6</v>
      </c>
      <c r="F592" s="7">
        <v>0.6</v>
      </c>
      <c r="G592" s="7">
        <v>0.6</v>
      </c>
      <c r="H592" s="7">
        <v>0.6</v>
      </c>
      <c r="I592" s="7">
        <v>0.6</v>
      </c>
      <c r="J592" s="7">
        <v>0.6</v>
      </c>
      <c r="K592" s="7">
        <v>0.6</v>
      </c>
      <c r="L592" s="7">
        <v>0.6</v>
      </c>
      <c r="M592" s="7">
        <v>0.6</v>
      </c>
      <c r="N592" s="7">
        <v>0.6</v>
      </c>
      <c r="O592" s="7">
        <v>0.6</v>
      </c>
      <c r="P592" s="7">
        <v>0.6</v>
      </c>
      <c r="Q592" s="7">
        <v>0.6</v>
      </c>
    </row>
    <row r="593" spans="1:17">
      <c r="A593" s="2">
        <v>2541</v>
      </c>
      <c r="B593" s="7">
        <v>0.6</v>
      </c>
      <c r="C593" s="7">
        <v>0.6</v>
      </c>
      <c r="D593" s="7">
        <v>0.6</v>
      </c>
      <c r="E593" s="7">
        <v>0.6</v>
      </c>
      <c r="F593" s="7">
        <v>0.6</v>
      </c>
      <c r="G593" s="7">
        <v>0.6</v>
      </c>
      <c r="H593" s="7">
        <v>0.6</v>
      </c>
      <c r="I593" s="7">
        <v>0.6</v>
      </c>
      <c r="J593" s="7">
        <v>0.6</v>
      </c>
      <c r="K593" s="7">
        <v>0.6</v>
      </c>
      <c r="L593" s="7">
        <v>0.6</v>
      </c>
      <c r="M593" s="7">
        <v>0.6</v>
      </c>
      <c r="N593" s="7">
        <v>0.6</v>
      </c>
      <c r="O593" s="7">
        <v>0.6</v>
      </c>
      <c r="P593" s="7">
        <v>0.6</v>
      </c>
      <c r="Q593" s="7">
        <v>0.6</v>
      </c>
    </row>
    <row r="594" spans="1:17">
      <c r="A594" s="2">
        <v>2542</v>
      </c>
      <c r="B594" s="7">
        <v>0.6</v>
      </c>
      <c r="C594" s="7">
        <v>0.6</v>
      </c>
      <c r="D594" s="7">
        <v>0.6</v>
      </c>
      <c r="E594" s="7">
        <v>0.6</v>
      </c>
      <c r="F594" s="7">
        <v>0.6</v>
      </c>
      <c r="G594" s="7">
        <v>0.6</v>
      </c>
      <c r="H594" s="7">
        <v>0.6</v>
      </c>
      <c r="I594" s="7">
        <v>0.6</v>
      </c>
      <c r="J594" s="7">
        <v>0.6</v>
      </c>
      <c r="K594" s="7">
        <v>0.6</v>
      </c>
      <c r="L594" s="7">
        <v>0.6</v>
      </c>
      <c r="M594" s="7">
        <v>0.6</v>
      </c>
      <c r="N594" s="7">
        <v>0.6</v>
      </c>
      <c r="O594" s="7">
        <v>0.6</v>
      </c>
      <c r="P594" s="7">
        <v>0.6</v>
      </c>
      <c r="Q594" s="7">
        <v>0.6</v>
      </c>
    </row>
    <row r="595" spans="1:17">
      <c r="A595" s="2">
        <v>2543</v>
      </c>
      <c r="B595" s="7">
        <v>0.6</v>
      </c>
      <c r="C595" s="7">
        <v>0.6</v>
      </c>
      <c r="D595" s="7">
        <v>0.6</v>
      </c>
      <c r="E595" s="7">
        <v>0.6</v>
      </c>
      <c r="F595" s="7">
        <v>0.6</v>
      </c>
      <c r="G595" s="7">
        <v>0.6</v>
      </c>
      <c r="H595" s="7">
        <v>0.6</v>
      </c>
      <c r="I595" s="7">
        <v>0.6</v>
      </c>
      <c r="J595" s="7">
        <v>0.6</v>
      </c>
      <c r="K595" s="7">
        <v>0.6</v>
      </c>
      <c r="L595" s="7">
        <v>0.6</v>
      </c>
      <c r="M595" s="7">
        <v>0.6</v>
      </c>
      <c r="N595" s="7">
        <v>0.6</v>
      </c>
      <c r="O595" s="7">
        <v>0.6</v>
      </c>
      <c r="P595" s="7">
        <v>0.6</v>
      </c>
      <c r="Q595" s="7">
        <v>0.6</v>
      </c>
    </row>
    <row r="596" spans="1:17">
      <c r="A596" s="2">
        <v>2544</v>
      </c>
      <c r="B596" s="7">
        <v>0.6</v>
      </c>
      <c r="C596" s="7">
        <v>0.6</v>
      </c>
      <c r="D596" s="7">
        <v>0.6</v>
      </c>
      <c r="E596" s="7">
        <v>0.6</v>
      </c>
      <c r="F596" s="7">
        <v>0.6</v>
      </c>
      <c r="G596" s="7">
        <v>0.6</v>
      </c>
      <c r="H596" s="7">
        <v>0.6</v>
      </c>
      <c r="I596" s="7">
        <v>0.6</v>
      </c>
      <c r="J596" s="7">
        <v>0.6</v>
      </c>
      <c r="K596" s="7">
        <v>0.6</v>
      </c>
      <c r="L596" s="7">
        <v>0.6</v>
      </c>
      <c r="M596" s="7">
        <v>0.6</v>
      </c>
      <c r="N596" s="7">
        <v>0.6</v>
      </c>
      <c r="O596" s="7">
        <v>0.6</v>
      </c>
      <c r="P596" s="7">
        <v>0.6</v>
      </c>
      <c r="Q596" s="7">
        <v>0.6</v>
      </c>
    </row>
    <row r="597" spans="1:17">
      <c r="A597" s="2">
        <v>2545</v>
      </c>
      <c r="B597" s="7">
        <v>0.6</v>
      </c>
      <c r="C597" s="7">
        <v>0.6</v>
      </c>
      <c r="D597" s="7">
        <v>0.6</v>
      </c>
      <c r="E597" s="7">
        <v>0.6</v>
      </c>
      <c r="F597" s="7">
        <v>0.6</v>
      </c>
      <c r="G597" s="7">
        <v>0.6</v>
      </c>
      <c r="H597" s="7">
        <v>0.6</v>
      </c>
      <c r="I597" s="7">
        <v>0.6</v>
      </c>
      <c r="J597" s="7">
        <v>0.6</v>
      </c>
      <c r="K597" s="7">
        <v>0.6</v>
      </c>
      <c r="L597" s="7">
        <v>0.6</v>
      </c>
      <c r="M597" s="7">
        <v>0.6</v>
      </c>
      <c r="N597" s="7">
        <v>0.6</v>
      </c>
      <c r="O597" s="7">
        <v>0.6</v>
      </c>
      <c r="P597" s="7">
        <v>0.6</v>
      </c>
      <c r="Q597" s="7">
        <v>0.6</v>
      </c>
    </row>
    <row r="598" spans="1:17">
      <c r="A598" s="2">
        <v>2546</v>
      </c>
      <c r="B598" s="7">
        <v>0.6</v>
      </c>
      <c r="C598" s="7">
        <v>0.6</v>
      </c>
      <c r="D598" s="7">
        <v>0.6</v>
      </c>
      <c r="E598" s="7">
        <v>0.6</v>
      </c>
      <c r="F598" s="7">
        <v>0.6</v>
      </c>
      <c r="G598" s="7">
        <v>0.6</v>
      </c>
      <c r="H598" s="7">
        <v>0.6</v>
      </c>
      <c r="I598" s="7">
        <v>0.6</v>
      </c>
      <c r="J598" s="7">
        <v>0.6</v>
      </c>
      <c r="K598" s="7">
        <v>0.6</v>
      </c>
      <c r="L598" s="7">
        <v>0.6</v>
      </c>
      <c r="M598" s="7">
        <v>0.6</v>
      </c>
      <c r="N598" s="7">
        <v>0.6</v>
      </c>
      <c r="O598" s="7">
        <v>0.6</v>
      </c>
      <c r="P598" s="7">
        <v>0.6</v>
      </c>
      <c r="Q598" s="7">
        <v>0.6</v>
      </c>
    </row>
    <row r="599" spans="1:17">
      <c r="A599" s="2">
        <v>2547</v>
      </c>
      <c r="B599" s="7">
        <v>0.6</v>
      </c>
      <c r="C599" s="7">
        <v>0.6</v>
      </c>
      <c r="D599" s="7">
        <v>0.6</v>
      </c>
      <c r="E599" s="7">
        <v>0.6</v>
      </c>
      <c r="F599" s="7">
        <v>0.6</v>
      </c>
      <c r="G599" s="7">
        <v>0.6</v>
      </c>
      <c r="H599" s="7">
        <v>0.6</v>
      </c>
      <c r="I599" s="7">
        <v>0.6</v>
      </c>
      <c r="J599" s="7">
        <v>0.6</v>
      </c>
      <c r="K599" s="7">
        <v>0.6</v>
      </c>
      <c r="L599" s="7">
        <v>0.6</v>
      </c>
      <c r="M599" s="7">
        <v>0.6</v>
      </c>
      <c r="N599" s="7">
        <v>0.6</v>
      </c>
      <c r="O599" s="7">
        <v>0.6</v>
      </c>
      <c r="P599" s="7">
        <v>0.6</v>
      </c>
      <c r="Q599" s="7">
        <v>0.6</v>
      </c>
    </row>
    <row r="600" spans="1:17">
      <c r="A600" s="2">
        <v>2548</v>
      </c>
      <c r="B600" s="7">
        <v>0.6</v>
      </c>
      <c r="C600" s="7">
        <v>0.6</v>
      </c>
      <c r="D600" s="7">
        <v>0.6</v>
      </c>
      <c r="E600" s="7">
        <v>0.6</v>
      </c>
      <c r="F600" s="7">
        <v>0.6</v>
      </c>
      <c r="G600" s="7">
        <v>0.6</v>
      </c>
      <c r="H600" s="7">
        <v>0.6</v>
      </c>
      <c r="I600" s="7">
        <v>0.6</v>
      </c>
      <c r="J600" s="7">
        <v>0.6</v>
      </c>
      <c r="K600" s="7">
        <v>0.6</v>
      </c>
      <c r="L600" s="7">
        <v>0.6</v>
      </c>
      <c r="M600" s="7">
        <v>0.6</v>
      </c>
      <c r="N600" s="7">
        <v>0.6</v>
      </c>
      <c r="O600" s="7">
        <v>0.6</v>
      </c>
      <c r="P600" s="7">
        <v>0.6</v>
      </c>
      <c r="Q600" s="7">
        <v>0.6</v>
      </c>
    </row>
    <row r="601" spans="1:17">
      <c r="A601" s="2">
        <v>2549</v>
      </c>
      <c r="B601" s="7">
        <v>0.6</v>
      </c>
      <c r="C601" s="7">
        <v>0.6</v>
      </c>
      <c r="D601" s="7">
        <v>0.6</v>
      </c>
      <c r="E601" s="7">
        <v>0.6</v>
      </c>
      <c r="F601" s="7">
        <v>0.6</v>
      </c>
      <c r="G601" s="7">
        <v>0.6</v>
      </c>
      <c r="H601" s="7">
        <v>0.6</v>
      </c>
      <c r="I601" s="7">
        <v>0.6</v>
      </c>
      <c r="J601" s="7">
        <v>0.6</v>
      </c>
      <c r="K601" s="7">
        <v>0.6</v>
      </c>
      <c r="L601" s="7">
        <v>0.6</v>
      </c>
      <c r="M601" s="7">
        <v>0.6</v>
      </c>
      <c r="N601" s="7">
        <v>0.6</v>
      </c>
      <c r="O601" s="7">
        <v>0.6</v>
      </c>
      <c r="P601" s="7">
        <v>0.6</v>
      </c>
      <c r="Q601" s="7">
        <v>0.6</v>
      </c>
    </row>
    <row r="602" spans="1:17">
      <c r="A602" s="2">
        <v>2550</v>
      </c>
      <c r="B602" s="7">
        <v>0.6</v>
      </c>
      <c r="C602" s="7">
        <v>0.6</v>
      </c>
      <c r="D602" s="7">
        <v>0.6</v>
      </c>
      <c r="E602" s="7">
        <v>0.6</v>
      </c>
      <c r="F602" s="7">
        <v>0.6</v>
      </c>
      <c r="G602" s="7">
        <v>0.6</v>
      </c>
      <c r="H602" s="7">
        <v>0.6</v>
      </c>
      <c r="I602" s="7">
        <v>0.6</v>
      </c>
      <c r="J602" s="7">
        <v>0.6</v>
      </c>
      <c r="K602" s="7">
        <v>0.6</v>
      </c>
      <c r="L602" s="7">
        <v>0.6</v>
      </c>
      <c r="M602" s="7">
        <v>0.6</v>
      </c>
      <c r="N602" s="7">
        <v>0.6</v>
      </c>
      <c r="O602" s="7">
        <v>0.6</v>
      </c>
      <c r="P602" s="7">
        <v>0.6</v>
      </c>
      <c r="Q602" s="7">
        <v>0.6</v>
      </c>
    </row>
    <row r="603" spans="1:17">
      <c r="A603" s="2">
        <v>2551</v>
      </c>
      <c r="B603" s="7">
        <v>0.6</v>
      </c>
      <c r="C603" s="7">
        <v>0.6</v>
      </c>
      <c r="D603" s="7">
        <v>0.6</v>
      </c>
      <c r="E603" s="7">
        <v>0.6</v>
      </c>
      <c r="F603" s="7">
        <v>0.6</v>
      </c>
      <c r="G603" s="7">
        <v>0.6</v>
      </c>
      <c r="H603" s="7">
        <v>0.6</v>
      </c>
      <c r="I603" s="7">
        <v>0.6</v>
      </c>
      <c r="J603" s="7">
        <v>0.6</v>
      </c>
      <c r="K603" s="7">
        <v>0.6</v>
      </c>
      <c r="L603" s="7">
        <v>0.6</v>
      </c>
      <c r="M603" s="7">
        <v>0.6</v>
      </c>
      <c r="N603" s="7">
        <v>0.6</v>
      </c>
      <c r="O603" s="7">
        <v>0.6</v>
      </c>
      <c r="P603" s="7">
        <v>0.6</v>
      </c>
      <c r="Q603" s="7">
        <v>0.6</v>
      </c>
    </row>
    <row r="604" spans="1:17">
      <c r="A604" s="2">
        <v>2552</v>
      </c>
      <c r="B604" s="7">
        <v>0.6</v>
      </c>
      <c r="C604" s="7">
        <v>0.6</v>
      </c>
      <c r="D604" s="7">
        <v>0.6</v>
      </c>
      <c r="E604" s="7">
        <v>0.6</v>
      </c>
      <c r="F604" s="7">
        <v>0.6</v>
      </c>
      <c r="G604" s="7">
        <v>0.6</v>
      </c>
      <c r="H604" s="7">
        <v>0.6</v>
      </c>
      <c r="I604" s="7">
        <v>0.6</v>
      </c>
      <c r="J604" s="7">
        <v>0.6</v>
      </c>
      <c r="K604" s="7">
        <v>0.6</v>
      </c>
      <c r="L604" s="7">
        <v>0.6</v>
      </c>
      <c r="M604" s="7">
        <v>0.6</v>
      </c>
      <c r="N604" s="7">
        <v>0.6</v>
      </c>
      <c r="O604" s="7">
        <v>0.6</v>
      </c>
      <c r="P604" s="7">
        <v>0.6</v>
      </c>
      <c r="Q604" s="7">
        <v>0.6</v>
      </c>
    </row>
    <row r="605" spans="1:17">
      <c r="A605" s="2">
        <v>2553</v>
      </c>
      <c r="B605" s="7">
        <v>0.6</v>
      </c>
      <c r="C605" s="7">
        <v>0.6</v>
      </c>
      <c r="D605" s="7">
        <v>0.6</v>
      </c>
      <c r="E605" s="7">
        <v>0.6</v>
      </c>
      <c r="F605" s="7">
        <v>0.6</v>
      </c>
      <c r="G605" s="7">
        <v>0.6</v>
      </c>
      <c r="H605" s="7">
        <v>0.6</v>
      </c>
      <c r="I605" s="7">
        <v>0.6</v>
      </c>
      <c r="J605" s="7">
        <v>0.6</v>
      </c>
      <c r="K605" s="7">
        <v>0.6</v>
      </c>
      <c r="L605" s="7">
        <v>0.6</v>
      </c>
      <c r="M605" s="7">
        <v>0.6</v>
      </c>
      <c r="N605" s="7">
        <v>0.6</v>
      </c>
      <c r="O605" s="7">
        <v>0.6</v>
      </c>
      <c r="P605" s="7">
        <v>0.6</v>
      </c>
      <c r="Q605" s="7">
        <v>0.6</v>
      </c>
    </row>
    <row r="606" spans="1:17">
      <c r="A606" s="2">
        <v>2554</v>
      </c>
      <c r="B606" s="7">
        <v>0.6</v>
      </c>
      <c r="C606" s="7">
        <v>0.6</v>
      </c>
      <c r="D606" s="7">
        <v>0.6</v>
      </c>
      <c r="E606" s="7">
        <v>0.6</v>
      </c>
      <c r="F606" s="7">
        <v>0.6</v>
      </c>
      <c r="G606" s="7">
        <v>0.6</v>
      </c>
      <c r="H606" s="7">
        <v>0.6</v>
      </c>
      <c r="I606" s="7">
        <v>0.6</v>
      </c>
      <c r="J606" s="7">
        <v>0.6</v>
      </c>
      <c r="K606" s="7">
        <v>0.6</v>
      </c>
      <c r="L606" s="7">
        <v>0.6</v>
      </c>
      <c r="M606" s="7">
        <v>0.6</v>
      </c>
      <c r="N606" s="7">
        <v>0.6</v>
      </c>
      <c r="O606" s="7">
        <v>0.6</v>
      </c>
      <c r="P606" s="7">
        <v>0.6</v>
      </c>
      <c r="Q606" s="7">
        <v>0.6</v>
      </c>
    </row>
    <row r="607" spans="1:17">
      <c r="A607" s="2">
        <v>2555</v>
      </c>
      <c r="B607" s="7">
        <v>0.6</v>
      </c>
      <c r="C607" s="7">
        <v>0.6</v>
      </c>
      <c r="D607" s="7">
        <v>0.6</v>
      </c>
      <c r="E607" s="7">
        <v>0.6</v>
      </c>
      <c r="F607" s="7">
        <v>0.6</v>
      </c>
      <c r="G607" s="7">
        <v>0.6</v>
      </c>
      <c r="H607" s="7">
        <v>0.6</v>
      </c>
      <c r="I607" s="7">
        <v>0.6</v>
      </c>
      <c r="J607" s="7">
        <v>0.6</v>
      </c>
      <c r="K607" s="7">
        <v>0.6</v>
      </c>
      <c r="L607" s="7">
        <v>0.6</v>
      </c>
      <c r="M607" s="7">
        <v>0.6</v>
      </c>
      <c r="N607" s="7">
        <v>0.6</v>
      </c>
      <c r="O607" s="7">
        <v>0.6</v>
      </c>
      <c r="P607" s="7">
        <v>0.6</v>
      </c>
      <c r="Q607" s="7">
        <v>0.6</v>
      </c>
    </row>
    <row r="608" spans="1:17">
      <c r="A608" s="2">
        <v>2556</v>
      </c>
      <c r="B608" s="7">
        <v>0.6</v>
      </c>
      <c r="C608" s="7">
        <v>0.6</v>
      </c>
      <c r="D608" s="7">
        <v>0.6</v>
      </c>
      <c r="E608" s="7">
        <v>0.6</v>
      </c>
      <c r="F608" s="7">
        <v>0.6</v>
      </c>
      <c r="G608" s="7">
        <v>0.6</v>
      </c>
      <c r="H608" s="7">
        <v>0.6</v>
      </c>
      <c r="I608" s="7">
        <v>0.6</v>
      </c>
      <c r="J608" s="7">
        <v>0.6</v>
      </c>
      <c r="K608" s="7">
        <v>0.6</v>
      </c>
      <c r="L608" s="7">
        <v>0.6</v>
      </c>
      <c r="M608" s="7">
        <v>0.6</v>
      </c>
      <c r="N608" s="7">
        <v>0.6</v>
      </c>
      <c r="O608" s="7">
        <v>0.6</v>
      </c>
      <c r="P608" s="7">
        <v>0.6</v>
      </c>
      <c r="Q608" s="7">
        <v>0.6</v>
      </c>
    </row>
    <row r="609" spans="1:17">
      <c r="A609" s="2">
        <v>2557</v>
      </c>
      <c r="B609" s="7">
        <v>0.6</v>
      </c>
      <c r="C609" s="7">
        <v>0.6</v>
      </c>
      <c r="D609" s="7">
        <v>0.6</v>
      </c>
      <c r="E609" s="7">
        <v>0.6</v>
      </c>
      <c r="F609" s="7">
        <v>0.6</v>
      </c>
      <c r="G609" s="7">
        <v>0.6</v>
      </c>
      <c r="H609" s="7">
        <v>0.6</v>
      </c>
      <c r="I609" s="7">
        <v>0.6</v>
      </c>
      <c r="J609" s="7">
        <v>0.6</v>
      </c>
      <c r="K609" s="7">
        <v>0.6</v>
      </c>
      <c r="L609" s="7">
        <v>0.6</v>
      </c>
      <c r="M609" s="7">
        <v>0.6</v>
      </c>
      <c r="N609" s="7">
        <v>0.6</v>
      </c>
      <c r="O609" s="7">
        <v>0.6</v>
      </c>
      <c r="P609" s="7">
        <v>0.6</v>
      </c>
      <c r="Q609" s="7">
        <v>0.6</v>
      </c>
    </row>
    <row r="610" spans="1:17">
      <c r="A610" s="2">
        <v>2558</v>
      </c>
      <c r="B610" s="7">
        <v>0.6</v>
      </c>
      <c r="C610" s="7">
        <v>0.6</v>
      </c>
      <c r="D610" s="7">
        <v>0.6</v>
      </c>
      <c r="E610" s="7">
        <v>0.6</v>
      </c>
      <c r="F610" s="7">
        <v>0.6</v>
      </c>
      <c r="G610" s="7">
        <v>0.6</v>
      </c>
      <c r="H610" s="7">
        <v>0.6</v>
      </c>
      <c r="I610" s="7">
        <v>0.6</v>
      </c>
      <c r="J610" s="7">
        <v>0.6</v>
      </c>
      <c r="K610" s="7">
        <v>0.6</v>
      </c>
      <c r="L610" s="7">
        <v>0.6</v>
      </c>
      <c r="M610" s="7">
        <v>0.6</v>
      </c>
      <c r="N610" s="7">
        <v>0.6</v>
      </c>
      <c r="O610" s="7">
        <v>0.6</v>
      </c>
      <c r="P610" s="7">
        <v>0.6</v>
      </c>
      <c r="Q610" s="7">
        <v>0.6</v>
      </c>
    </row>
    <row r="611" spans="1:17">
      <c r="A611" s="2">
        <v>2559</v>
      </c>
      <c r="B611" s="7">
        <v>0.6</v>
      </c>
      <c r="C611" s="7">
        <v>0.6</v>
      </c>
      <c r="D611" s="7">
        <v>0.6</v>
      </c>
      <c r="E611" s="7">
        <v>0.6</v>
      </c>
      <c r="F611" s="7">
        <v>0.6</v>
      </c>
      <c r="G611" s="7">
        <v>0.6</v>
      </c>
      <c r="H611" s="7">
        <v>0.6</v>
      </c>
      <c r="I611" s="7">
        <v>0.6</v>
      </c>
      <c r="J611" s="7">
        <v>0.6</v>
      </c>
      <c r="K611" s="7">
        <v>0.6</v>
      </c>
      <c r="L611" s="7">
        <v>0.6</v>
      </c>
      <c r="M611" s="7">
        <v>0.6</v>
      </c>
      <c r="N611" s="7">
        <v>0.6</v>
      </c>
      <c r="O611" s="7">
        <v>0.6</v>
      </c>
      <c r="P611" s="7">
        <v>0.6</v>
      </c>
      <c r="Q611" s="7">
        <v>0.6</v>
      </c>
    </row>
    <row r="612" spans="1:17">
      <c r="A612" s="2">
        <v>2560</v>
      </c>
      <c r="B612" s="7">
        <v>0.6</v>
      </c>
      <c r="C612" s="7">
        <v>0.6</v>
      </c>
      <c r="D612" s="7">
        <v>0.6</v>
      </c>
      <c r="E612" s="7">
        <v>0.6</v>
      </c>
      <c r="F612" s="7">
        <v>0.6</v>
      </c>
      <c r="G612" s="7">
        <v>0.6</v>
      </c>
      <c r="H612" s="7">
        <v>0.6</v>
      </c>
      <c r="I612" s="7">
        <v>0.6</v>
      </c>
      <c r="J612" s="7">
        <v>0.6</v>
      </c>
      <c r="K612" s="7">
        <v>0.6</v>
      </c>
      <c r="L612" s="7">
        <v>0.6</v>
      </c>
      <c r="M612" s="7">
        <v>0.6</v>
      </c>
      <c r="N612" s="7">
        <v>0.6</v>
      </c>
      <c r="O612" s="7">
        <v>0.6</v>
      </c>
      <c r="P612" s="7">
        <v>0.6</v>
      </c>
      <c r="Q612" s="7">
        <v>0.6</v>
      </c>
    </row>
    <row r="613" spans="1:17">
      <c r="A613" s="2">
        <v>2561</v>
      </c>
      <c r="B613" s="7">
        <v>0.6</v>
      </c>
      <c r="C613" s="7">
        <v>0.6</v>
      </c>
      <c r="D613" s="7">
        <v>0.6</v>
      </c>
      <c r="E613" s="7">
        <v>0.6</v>
      </c>
      <c r="F613" s="7">
        <v>0.6</v>
      </c>
      <c r="G613" s="7">
        <v>0.6</v>
      </c>
      <c r="H613" s="7">
        <v>0.6</v>
      </c>
      <c r="I613" s="7">
        <v>0.6</v>
      </c>
      <c r="J613" s="7">
        <v>0.6</v>
      </c>
      <c r="K613" s="7">
        <v>0.6</v>
      </c>
      <c r="L613" s="7">
        <v>0.6</v>
      </c>
      <c r="M613" s="7">
        <v>0.6</v>
      </c>
      <c r="N613" s="7">
        <v>0.6</v>
      </c>
      <c r="O613" s="7">
        <v>0.6</v>
      </c>
      <c r="P613" s="7">
        <v>0.6</v>
      </c>
      <c r="Q613" s="7">
        <v>0.6</v>
      </c>
    </row>
    <row r="614" spans="1:17">
      <c r="A614" s="2">
        <v>2562</v>
      </c>
      <c r="B614" s="7">
        <v>0.6</v>
      </c>
      <c r="C614" s="7">
        <v>0.6</v>
      </c>
      <c r="D614" s="7">
        <v>0.6</v>
      </c>
      <c r="E614" s="7">
        <v>0.6</v>
      </c>
      <c r="F614" s="7">
        <v>0.6</v>
      </c>
      <c r="G614" s="7">
        <v>0.6</v>
      </c>
      <c r="H614" s="7">
        <v>0.6</v>
      </c>
      <c r="I614" s="7">
        <v>0.6</v>
      </c>
      <c r="J614" s="7">
        <v>0.6</v>
      </c>
      <c r="K614" s="7">
        <v>0.6</v>
      </c>
      <c r="L614" s="7">
        <v>0.6</v>
      </c>
      <c r="M614" s="7">
        <v>0.6</v>
      </c>
      <c r="N614" s="7">
        <v>0.6</v>
      </c>
      <c r="O614" s="7">
        <v>0.6</v>
      </c>
      <c r="P614" s="7">
        <v>0.6</v>
      </c>
      <c r="Q614" s="7">
        <v>0.6</v>
      </c>
    </row>
    <row r="615" spans="1:17">
      <c r="A615" s="2">
        <v>2563</v>
      </c>
      <c r="B615" s="7">
        <v>0.6</v>
      </c>
      <c r="C615" s="7">
        <v>0.6</v>
      </c>
      <c r="D615" s="7">
        <v>0.6</v>
      </c>
      <c r="E615" s="7">
        <v>0.6</v>
      </c>
      <c r="F615" s="7">
        <v>0.6</v>
      </c>
      <c r="G615" s="7">
        <v>0.6</v>
      </c>
      <c r="H615" s="7">
        <v>0.6</v>
      </c>
      <c r="I615" s="7">
        <v>0.6</v>
      </c>
      <c r="J615" s="7">
        <v>0.6</v>
      </c>
      <c r="K615" s="7">
        <v>0.6</v>
      </c>
      <c r="L615" s="7">
        <v>0.6</v>
      </c>
      <c r="M615" s="7">
        <v>0.6</v>
      </c>
      <c r="N615" s="7">
        <v>0.6</v>
      </c>
      <c r="O615" s="7">
        <v>0.6</v>
      </c>
      <c r="P615" s="7">
        <v>0.6</v>
      </c>
      <c r="Q615" s="7">
        <v>0.6</v>
      </c>
    </row>
    <row r="616" spans="1:17">
      <c r="A616" s="2">
        <v>2564</v>
      </c>
      <c r="B616" s="7">
        <v>0.6</v>
      </c>
      <c r="C616" s="7">
        <v>0.6</v>
      </c>
      <c r="D616" s="7">
        <v>0.6</v>
      </c>
      <c r="E616" s="7">
        <v>0.6</v>
      </c>
      <c r="F616" s="7">
        <v>0.6</v>
      </c>
      <c r="G616" s="7">
        <v>0.6</v>
      </c>
      <c r="H616" s="7">
        <v>0.6</v>
      </c>
      <c r="I616" s="7">
        <v>0.6</v>
      </c>
      <c r="J616" s="7">
        <v>0.6</v>
      </c>
      <c r="K616" s="7">
        <v>0.6</v>
      </c>
      <c r="L616" s="7">
        <v>0.6</v>
      </c>
      <c r="M616" s="7">
        <v>0.6</v>
      </c>
      <c r="N616" s="7">
        <v>0.6</v>
      </c>
      <c r="O616" s="7">
        <v>0.6</v>
      </c>
      <c r="P616" s="7">
        <v>0.6</v>
      </c>
      <c r="Q616" s="7">
        <v>0.6</v>
      </c>
    </row>
    <row r="617" spans="1:17">
      <c r="A617" s="2">
        <v>2565</v>
      </c>
      <c r="B617" s="7">
        <v>0.6</v>
      </c>
      <c r="C617" s="7">
        <v>0.6</v>
      </c>
      <c r="D617" s="7">
        <v>0.6</v>
      </c>
      <c r="E617" s="7">
        <v>0.6</v>
      </c>
      <c r="F617" s="7">
        <v>0.6</v>
      </c>
      <c r="G617" s="7">
        <v>0.6</v>
      </c>
      <c r="H617" s="7">
        <v>0.6</v>
      </c>
      <c r="I617" s="7">
        <v>0.6</v>
      </c>
      <c r="J617" s="7">
        <v>0.6</v>
      </c>
      <c r="K617" s="7">
        <v>0.6</v>
      </c>
      <c r="L617" s="7">
        <v>0.6</v>
      </c>
      <c r="M617" s="7">
        <v>0.6</v>
      </c>
      <c r="N617" s="7">
        <v>0.6</v>
      </c>
      <c r="O617" s="7">
        <v>0.6</v>
      </c>
      <c r="P617" s="7">
        <v>0.6</v>
      </c>
      <c r="Q617" s="7">
        <v>0.6</v>
      </c>
    </row>
    <row r="618" spans="1:17">
      <c r="A618" s="2">
        <v>2566</v>
      </c>
      <c r="B618" s="7">
        <v>0.6</v>
      </c>
      <c r="C618" s="7">
        <v>0.6</v>
      </c>
      <c r="D618" s="7">
        <v>0.6</v>
      </c>
      <c r="E618" s="7">
        <v>0.6</v>
      </c>
      <c r="F618" s="7">
        <v>0.6</v>
      </c>
      <c r="G618" s="7">
        <v>0.6</v>
      </c>
      <c r="H618" s="7">
        <v>0.6</v>
      </c>
      <c r="I618" s="7">
        <v>0.6</v>
      </c>
      <c r="J618" s="7">
        <v>0.6</v>
      </c>
      <c r="K618" s="7">
        <v>0.6</v>
      </c>
      <c r="L618" s="7">
        <v>0.6</v>
      </c>
      <c r="M618" s="7">
        <v>0.6</v>
      </c>
      <c r="N618" s="7">
        <v>0.6</v>
      </c>
      <c r="O618" s="7">
        <v>0.6</v>
      </c>
      <c r="P618" s="7">
        <v>0.6</v>
      </c>
      <c r="Q618" s="7">
        <v>0.6</v>
      </c>
    </row>
    <row r="619" spans="1:17">
      <c r="A619" s="2">
        <v>2567</v>
      </c>
      <c r="B619" s="7">
        <v>0.6</v>
      </c>
      <c r="C619" s="7">
        <v>0.6</v>
      </c>
      <c r="D619" s="7">
        <v>0.6</v>
      </c>
      <c r="E619" s="7">
        <v>0.6</v>
      </c>
      <c r="F619" s="7">
        <v>0.6</v>
      </c>
      <c r="G619" s="7">
        <v>0.6</v>
      </c>
      <c r="H619" s="7">
        <v>0.6</v>
      </c>
      <c r="I619" s="7">
        <v>0.6</v>
      </c>
      <c r="J619" s="7">
        <v>0.6</v>
      </c>
      <c r="K619" s="7">
        <v>0.6</v>
      </c>
      <c r="L619" s="7">
        <v>0.6</v>
      </c>
      <c r="M619" s="7">
        <v>0.6</v>
      </c>
      <c r="N619" s="7">
        <v>0.6</v>
      </c>
      <c r="O619" s="7">
        <v>0.6</v>
      </c>
      <c r="P619" s="7">
        <v>0.6</v>
      </c>
      <c r="Q619" s="7">
        <v>0.6</v>
      </c>
    </row>
    <row r="620" spans="1:17">
      <c r="A620" s="2">
        <v>2568</v>
      </c>
      <c r="B620" s="7">
        <v>0.6</v>
      </c>
      <c r="C620" s="7">
        <v>0.6</v>
      </c>
      <c r="D620" s="7">
        <v>0.6</v>
      </c>
      <c r="E620" s="7">
        <v>0.6</v>
      </c>
      <c r="F620" s="7">
        <v>0.6</v>
      </c>
      <c r="G620" s="7">
        <v>0.6</v>
      </c>
      <c r="H620" s="7">
        <v>0.6</v>
      </c>
      <c r="I620" s="7">
        <v>0.6</v>
      </c>
      <c r="J620" s="7">
        <v>0.6</v>
      </c>
      <c r="K620" s="7">
        <v>0.6</v>
      </c>
      <c r="L620" s="7">
        <v>0.6</v>
      </c>
      <c r="M620" s="7">
        <v>0.6</v>
      </c>
      <c r="N620" s="7">
        <v>0.6</v>
      </c>
      <c r="O620" s="7">
        <v>0.6</v>
      </c>
      <c r="P620" s="7">
        <v>0.6</v>
      </c>
      <c r="Q620" s="7">
        <v>0.6</v>
      </c>
    </row>
    <row r="621" spans="1:17">
      <c r="A621" s="2">
        <v>2569</v>
      </c>
      <c r="B621" s="7">
        <v>0.6</v>
      </c>
      <c r="C621" s="7">
        <v>0.6</v>
      </c>
      <c r="D621" s="7">
        <v>0.6</v>
      </c>
      <c r="E621" s="7">
        <v>0.6</v>
      </c>
      <c r="F621" s="7">
        <v>0.6</v>
      </c>
      <c r="G621" s="7">
        <v>0.6</v>
      </c>
      <c r="H621" s="7">
        <v>0.6</v>
      </c>
      <c r="I621" s="7">
        <v>0.6</v>
      </c>
      <c r="J621" s="7">
        <v>0.6</v>
      </c>
      <c r="K621" s="7">
        <v>0.6</v>
      </c>
      <c r="L621" s="7">
        <v>0.6</v>
      </c>
      <c r="M621" s="7">
        <v>0.6</v>
      </c>
      <c r="N621" s="7">
        <v>0.6</v>
      </c>
      <c r="O621" s="7">
        <v>0.6</v>
      </c>
      <c r="P621" s="7">
        <v>0.6</v>
      </c>
      <c r="Q621" s="7">
        <v>0.6</v>
      </c>
    </row>
    <row r="622" spans="1:17">
      <c r="A622" s="2">
        <v>2570</v>
      </c>
      <c r="B622" s="7">
        <v>0.6</v>
      </c>
      <c r="C622" s="7">
        <v>0.6</v>
      </c>
      <c r="D622" s="7">
        <v>0.6</v>
      </c>
      <c r="E622" s="7">
        <v>0.6</v>
      </c>
      <c r="F622" s="7">
        <v>0.6</v>
      </c>
      <c r="G622" s="7">
        <v>0.6</v>
      </c>
      <c r="H622" s="7">
        <v>0.6</v>
      </c>
      <c r="I622" s="7">
        <v>0.6</v>
      </c>
      <c r="J622" s="7">
        <v>0.6</v>
      </c>
      <c r="K622" s="7">
        <v>0.6</v>
      </c>
      <c r="L622" s="7">
        <v>0.6</v>
      </c>
      <c r="M622" s="7">
        <v>0.6</v>
      </c>
      <c r="N622" s="7">
        <v>0.6</v>
      </c>
      <c r="O622" s="7">
        <v>0.6</v>
      </c>
      <c r="P622" s="7">
        <v>0.6</v>
      </c>
      <c r="Q622" s="7">
        <v>0.6</v>
      </c>
    </row>
    <row r="623" spans="1:17">
      <c r="A623" s="2">
        <v>2571</v>
      </c>
      <c r="B623" s="7">
        <v>0.6</v>
      </c>
      <c r="C623" s="7">
        <v>0.6</v>
      </c>
      <c r="D623" s="7">
        <v>0.6</v>
      </c>
      <c r="E623" s="7">
        <v>0.6</v>
      </c>
      <c r="F623" s="7">
        <v>0.6</v>
      </c>
      <c r="G623" s="7">
        <v>0.6</v>
      </c>
      <c r="H623" s="7">
        <v>0.6</v>
      </c>
      <c r="I623" s="7">
        <v>0.6</v>
      </c>
      <c r="J623" s="7">
        <v>0.6</v>
      </c>
      <c r="K623" s="7">
        <v>0.6</v>
      </c>
      <c r="L623" s="7">
        <v>0.6</v>
      </c>
      <c r="M623" s="7">
        <v>0.6</v>
      </c>
      <c r="N623" s="7">
        <v>0.6</v>
      </c>
      <c r="O623" s="7">
        <v>0.6</v>
      </c>
      <c r="P623" s="7">
        <v>0.6</v>
      </c>
      <c r="Q623" s="7">
        <v>0.6</v>
      </c>
    </row>
    <row r="624" spans="1:17">
      <c r="A624" s="2">
        <v>2572</v>
      </c>
      <c r="B624" s="7">
        <v>0.6</v>
      </c>
      <c r="C624" s="7">
        <v>0.6</v>
      </c>
      <c r="D624" s="7">
        <v>0.6</v>
      </c>
      <c r="E624" s="7">
        <v>0.6</v>
      </c>
      <c r="F624" s="7">
        <v>0.6</v>
      </c>
      <c r="G624" s="7">
        <v>0.6</v>
      </c>
      <c r="H624" s="7">
        <v>0.6</v>
      </c>
      <c r="I624" s="7">
        <v>0.6</v>
      </c>
      <c r="J624" s="7">
        <v>0.6</v>
      </c>
      <c r="K624" s="7">
        <v>0.6</v>
      </c>
      <c r="L624" s="7">
        <v>0.6</v>
      </c>
      <c r="M624" s="7">
        <v>0.6</v>
      </c>
      <c r="N624" s="7">
        <v>0.6</v>
      </c>
      <c r="O624" s="7">
        <v>0.6</v>
      </c>
      <c r="P624" s="7">
        <v>0.6</v>
      </c>
      <c r="Q624" s="7">
        <v>0.6</v>
      </c>
    </row>
    <row r="625" spans="1:17">
      <c r="A625" s="2">
        <v>2573</v>
      </c>
      <c r="B625" s="7">
        <v>0.6</v>
      </c>
      <c r="C625" s="7">
        <v>0.6</v>
      </c>
      <c r="D625" s="7">
        <v>0.6</v>
      </c>
      <c r="E625" s="7">
        <v>0.6</v>
      </c>
      <c r="F625" s="7">
        <v>0.6</v>
      </c>
      <c r="G625" s="7">
        <v>0.6</v>
      </c>
      <c r="H625" s="7">
        <v>0.6</v>
      </c>
      <c r="I625" s="7">
        <v>0.6</v>
      </c>
      <c r="J625" s="7">
        <v>0.6</v>
      </c>
      <c r="K625" s="7">
        <v>0.6</v>
      </c>
      <c r="L625" s="7">
        <v>0.6</v>
      </c>
      <c r="M625" s="7">
        <v>0.6</v>
      </c>
      <c r="N625" s="7">
        <v>0.6</v>
      </c>
      <c r="O625" s="7">
        <v>0.6</v>
      </c>
      <c r="P625" s="7">
        <v>0.6</v>
      </c>
      <c r="Q625" s="7">
        <v>0.6</v>
      </c>
    </row>
    <row r="626" spans="1:17">
      <c r="A626" s="2">
        <v>2574</v>
      </c>
      <c r="B626" s="7">
        <v>0.6</v>
      </c>
      <c r="C626" s="7">
        <v>0.6</v>
      </c>
      <c r="D626" s="7">
        <v>0.6</v>
      </c>
      <c r="E626" s="7">
        <v>0.6</v>
      </c>
      <c r="F626" s="7">
        <v>0.6</v>
      </c>
      <c r="G626" s="7">
        <v>0.6</v>
      </c>
      <c r="H626" s="7">
        <v>0.6</v>
      </c>
      <c r="I626" s="7">
        <v>0.6</v>
      </c>
      <c r="J626" s="7">
        <v>0.6</v>
      </c>
      <c r="K626" s="7">
        <v>0.6</v>
      </c>
      <c r="L626" s="7">
        <v>0.6</v>
      </c>
      <c r="M626" s="7">
        <v>0.6</v>
      </c>
      <c r="N626" s="7">
        <v>0.6</v>
      </c>
      <c r="O626" s="7">
        <v>0.6</v>
      </c>
      <c r="P626" s="7">
        <v>0.6</v>
      </c>
      <c r="Q626" s="7">
        <v>0.6</v>
      </c>
    </row>
    <row r="627" spans="1:17">
      <c r="A627" s="2">
        <v>2575</v>
      </c>
      <c r="B627" s="7">
        <v>0.6</v>
      </c>
      <c r="C627" s="7">
        <v>0.6</v>
      </c>
      <c r="D627" s="7">
        <v>0.6</v>
      </c>
      <c r="E627" s="7">
        <v>0.6</v>
      </c>
      <c r="F627" s="7">
        <v>0.6</v>
      </c>
      <c r="G627" s="7">
        <v>0.6</v>
      </c>
      <c r="H627" s="7">
        <v>0.6</v>
      </c>
      <c r="I627" s="7">
        <v>0.6</v>
      </c>
      <c r="J627" s="7">
        <v>0.6</v>
      </c>
      <c r="K627" s="7">
        <v>0.6</v>
      </c>
      <c r="L627" s="7">
        <v>0.6</v>
      </c>
      <c r="M627" s="7">
        <v>0.6</v>
      </c>
      <c r="N627" s="7">
        <v>0.6</v>
      </c>
      <c r="O627" s="7">
        <v>0.6</v>
      </c>
      <c r="P627" s="7">
        <v>0.6</v>
      </c>
      <c r="Q627" s="7">
        <v>0.6</v>
      </c>
    </row>
    <row r="628" spans="1:17">
      <c r="A628" s="2">
        <v>2576</v>
      </c>
      <c r="B628" s="7">
        <v>0.6</v>
      </c>
      <c r="C628" s="7">
        <v>0.6</v>
      </c>
      <c r="D628" s="7">
        <v>0.6</v>
      </c>
      <c r="E628" s="7">
        <v>0.6</v>
      </c>
      <c r="F628" s="7">
        <v>0.6</v>
      </c>
      <c r="G628" s="7">
        <v>0.6</v>
      </c>
      <c r="H628" s="7">
        <v>0.6</v>
      </c>
      <c r="I628" s="7">
        <v>0.6</v>
      </c>
      <c r="J628" s="7">
        <v>0.6</v>
      </c>
      <c r="K628" s="7">
        <v>0.6</v>
      </c>
      <c r="L628" s="7">
        <v>0.6</v>
      </c>
      <c r="M628" s="7">
        <v>0.6</v>
      </c>
      <c r="N628" s="7">
        <v>0.6</v>
      </c>
      <c r="O628" s="7">
        <v>0.6</v>
      </c>
      <c r="P628" s="7">
        <v>0.6</v>
      </c>
      <c r="Q628" s="7">
        <v>0.6</v>
      </c>
    </row>
    <row r="629" spans="1:17">
      <c r="A629" s="2">
        <v>2577</v>
      </c>
      <c r="B629" s="7">
        <v>0.6</v>
      </c>
      <c r="C629" s="7">
        <v>0.6</v>
      </c>
      <c r="D629" s="7">
        <v>0.6</v>
      </c>
      <c r="E629" s="7">
        <v>0.6</v>
      </c>
      <c r="F629" s="7">
        <v>0.6</v>
      </c>
      <c r="G629" s="7">
        <v>0.6</v>
      </c>
      <c r="H629" s="7">
        <v>0.6</v>
      </c>
      <c r="I629" s="7">
        <v>0.6</v>
      </c>
      <c r="J629" s="7">
        <v>0.6</v>
      </c>
      <c r="K629" s="7">
        <v>0.6</v>
      </c>
      <c r="L629" s="7">
        <v>0.6</v>
      </c>
      <c r="M629" s="7">
        <v>0.6</v>
      </c>
      <c r="N629" s="7">
        <v>0.6</v>
      </c>
      <c r="O629" s="7">
        <v>0.6</v>
      </c>
      <c r="P629" s="7">
        <v>0.6</v>
      </c>
      <c r="Q629" s="7">
        <v>0.6</v>
      </c>
    </row>
    <row r="630" spans="1:17">
      <c r="A630" s="2">
        <v>2578</v>
      </c>
      <c r="B630" s="7">
        <v>0.6</v>
      </c>
      <c r="C630" s="7">
        <v>0.6</v>
      </c>
      <c r="D630" s="7">
        <v>0.6</v>
      </c>
      <c r="E630" s="7">
        <v>0.6</v>
      </c>
      <c r="F630" s="7">
        <v>0.6</v>
      </c>
      <c r="G630" s="7">
        <v>0.6</v>
      </c>
      <c r="H630" s="7">
        <v>0.6</v>
      </c>
      <c r="I630" s="7">
        <v>0.6</v>
      </c>
      <c r="J630" s="7">
        <v>0.6</v>
      </c>
      <c r="K630" s="7">
        <v>0.6</v>
      </c>
      <c r="L630" s="7">
        <v>0.6</v>
      </c>
      <c r="M630" s="7">
        <v>0.6</v>
      </c>
      <c r="N630" s="7">
        <v>0.6</v>
      </c>
      <c r="O630" s="7">
        <v>0.6</v>
      </c>
      <c r="P630" s="7">
        <v>0.6</v>
      </c>
      <c r="Q630" s="7">
        <v>0.6</v>
      </c>
    </row>
    <row r="631" spans="1:17">
      <c r="A631" s="2">
        <v>2579</v>
      </c>
      <c r="B631" s="7">
        <v>0.6</v>
      </c>
      <c r="C631" s="7">
        <v>0.6</v>
      </c>
      <c r="D631" s="7">
        <v>0.6</v>
      </c>
      <c r="E631" s="7">
        <v>0.6</v>
      </c>
      <c r="F631" s="7">
        <v>0.6</v>
      </c>
      <c r="G631" s="7">
        <v>0.6</v>
      </c>
      <c r="H631" s="7">
        <v>0.6</v>
      </c>
      <c r="I631" s="7">
        <v>0.6</v>
      </c>
      <c r="J631" s="7">
        <v>0.6</v>
      </c>
      <c r="K631" s="7">
        <v>0.6</v>
      </c>
      <c r="L631" s="7">
        <v>0.6</v>
      </c>
      <c r="M631" s="7">
        <v>0.6</v>
      </c>
      <c r="N631" s="7">
        <v>0.6</v>
      </c>
      <c r="O631" s="7">
        <v>0.6</v>
      </c>
      <c r="P631" s="7">
        <v>0.6</v>
      </c>
      <c r="Q631" s="7">
        <v>0.6</v>
      </c>
    </row>
    <row r="632" spans="1:17">
      <c r="A632" s="2">
        <v>2580</v>
      </c>
      <c r="B632" s="7">
        <v>0.6</v>
      </c>
      <c r="C632" s="7">
        <v>0.6</v>
      </c>
      <c r="D632" s="7">
        <v>0.6</v>
      </c>
      <c r="E632" s="7">
        <v>0.6</v>
      </c>
      <c r="F632" s="7">
        <v>0.6</v>
      </c>
      <c r="G632" s="7">
        <v>0.6</v>
      </c>
      <c r="H632" s="7">
        <v>0.6</v>
      </c>
      <c r="I632" s="7">
        <v>0.6</v>
      </c>
      <c r="J632" s="7">
        <v>0.6</v>
      </c>
      <c r="K632" s="7">
        <v>0.6</v>
      </c>
      <c r="L632" s="7">
        <v>0.6</v>
      </c>
      <c r="M632" s="7">
        <v>0.6</v>
      </c>
      <c r="N632" s="7">
        <v>0.6</v>
      </c>
      <c r="O632" s="7">
        <v>0.6</v>
      </c>
      <c r="P632" s="7">
        <v>0.6</v>
      </c>
      <c r="Q632" s="7">
        <v>0.6</v>
      </c>
    </row>
    <row r="633" spans="1:17">
      <c r="A633" s="2">
        <v>2581</v>
      </c>
      <c r="B633" s="7">
        <v>0.6</v>
      </c>
      <c r="C633" s="7">
        <v>0.6</v>
      </c>
      <c r="D633" s="7">
        <v>0.6</v>
      </c>
      <c r="E633" s="7">
        <v>0.6</v>
      </c>
      <c r="F633" s="7">
        <v>0.6</v>
      </c>
      <c r="G633" s="7">
        <v>0.6</v>
      </c>
      <c r="H633" s="7">
        <v>0.6</v>
      </c>
      <c r="I633" s="7">
        <v>0.6</v>
      </c>
      <c r="J633" s="7">
        <v>0.6</v>
      </c>
      <c r="K633" s="7">
        <v>0.6</v>
      </c>
      <c r="L633" s="7">
        <v>0.6</v>
      </c>
      <c r="M633" s="7">
        <v>0.6</v>
      </c>
      <c r="N633" s="7">
        <v>0.6</v>
      </c>
      <c r="O633" s="7">
        <v>0.6</v>
      </c>
      <c r="P633" s="7">
        <v>0.6</v>
      </c>
      <c r="Q633" s="7">
        <v>0.6</v>
      </c>
    </row>
    <row r="634" spans="1:17">
      <c r="A634" s="2">
        <v>2582</v>
      </c>
      <c r="B634" s="7">
        <v>0.6</v>
      </c>
      <c r="C634" s="7">
        <v>0.6</v>
      </c>
      <c r="D634" s="7">
        <v>0.6</v>
      </c>
      <c r="E634" s="7">
        <v>0.6</v>
      </c>
      <c r="F634" s="7">
        <v>0.6</v>
      </c>
      <c r="G634" s="7">
        <v>0.6</v>
      </c>
      <c r="H634" s="7">
        <v>0.6</v>
      </c>
      <c r="I634" s="7">
        <v>0.6</v>
      </c>
      <c r="J634" s="7">
        <v>0.6</v>
      </c>
      <c r="K634" s="7">
        <v>0.6</v>
      </c>
      <c r="L634" s="7">
        <v>0.6</v>
      </c>
      <c r="M634" s="7">
        <v>0.6</v>
      </c>
      <c r="N634" s="7">
        <v>0.6</v>
      </c>
      <c r="O634" s="7">
        <v>0.6</v>
      </c>
      <c r="P634" s="7">
        <v>0.6</v>
      </c>
      <c r="Q634" s="7">
        <v>0.6</v>
      </c>
    </row>
    <row r="635" spans="1:17">
      <c r="A635" s="2">
        <v>2583</v>
      </c>
      <c r="B635" s="7">
        <v>0.6</v>
      </c>
      <c r="C635" s="7">
        <v>0.6</v>
      </c>
      <c r="D635" s="7">
        <v>0.6</v>
      </c>
      <c r="E635" s="7">
        <v>0.6</v>
      </c>
      <c r="F635" s="7">
        <v>0.6</v>
      </c>
      <c r="G635" s="7">
        <v>0.6</v>
      </c>
      <c r="H635" s="7">
        <v>0.6</v>
      </c>
      <c r="I635" s="7">
        <v>0.6</v>
      </c>
      <c r="J635" s="7">
        <v>0.6</v>
      </c>
      <c r="K635" s="7">
        <v>0.6</v>
      </c>
      <c r="L635" s="7">
        <v>0.6</v>
      </c>
      <c r="M635" s="7">
        <v>0.6</v>
      </c>
      <c r="N635" s="7">
        <v>0.6</v>
      </c>
      <c r="O635" s="7">
        <v>0.6</v>
      </c>
      <c r="P635" s="7">
        <v>0.6</v>
      </c>
      <c r="Q635" s="7">
        <v>0.6</v>
      </c>
    </row>
    <row r="636" spans="1:17">
      <c r="A636" s="2">
        <v>2584</v>
      </c>
      <c r="B636" s="7">
        <v>0.6</v>
      </c>
      <c r="C636" s="7">
        <v>0.6</v>
      </c>
      <c r="D636" s="7">
        <v>0.6</v>
      </c>
      <c r="E636" s="7">
        <v>0.6</v>
      </c>
      <c r="F636" s="7">
        <v>0.6</v>
      </c>
      <c r="G636" s="7">
        <v>0.6</v>
      </c>
      <c r="H636" s="7">
        <v>0.6</v>
      </c>
      <c r="I636" s="7">
        <v>0.6</v>
      </c>
      <c r="J636" s="7">
        <v>0.6</v>
      </c>
      <c r="K636" s="7">
        <v>0.6</v>
      </c>
      <c r="L636" s="7">
        <v>0.6</v>
      </c>
      <c r="M636" s="7">
        <v>0.6</v>
      </c>
      <c r="N636" s="7">
        <v>0.6</v>
      </c>
      <c r="O636" s="7">
        <v>0.6</v>
      </c>
      <c r="P636" s="7">
        <v>0.6</v>
      </c>
      <c r="Q636" s="7">
        <v>0.6</v>
      </c>
    </row>
    <row r="637" spans="1:17">
      <c r="A637" s="2">
        <v>2585</v>
      </c>
      <c r="B637" s="7">
        <v>0.6</v>
      </c>
      <c r="C637" s="7">
        <v>0.6</v>
      </c>
      <c r="D637" s="7">
        <v>0.6</v>
      </c>
      <c r="E637" s="7">
        <v>0.6</v>
      </c>
      <c r="F637" s="7">
        <v>0.6</v>
      </c>
      <c r="G637" s="7">
        <v>0.6</v>
      </c>
      <c r="H637" s="7">
        <v>0.6</v>
      </c>
      <c r="I637" s="7">
        <v>0.6</v>
      </c>
      <c r="J637" s="7">
        <v>0.6</v>
      </c>
      <c r="K637" s="7">
        <v>0.6</v>
      </c>
      <c r="L637" s="7">
        <v>0.6</v>
      </c>
      <c r="M637" s="7">
        <v>0.6</v>
      </c>
      <c r="N637" s="7">
        <v>0.6</v>
      </c>
      <c r="O637" s="7">
        <v>0.6</v>
      </c>
      <c r="P637" s="7">
        <v>0.6</v>
      </c>
      <c r="Q637" s="7">
        <v>0.6</v>
      </c>
    </row>
    <row r="638" spans="1:17">
      <c r="A638" s="2">
        <v>2586</v>
      </c>
      <c r="B638" s="7">
        <v>0.6</v>
      </c>
      <c r="C638" s="7">
        <v>0.6</v>
      </c>
      <c r="D638" s="7">
        <v>0.6</v>
      </c>
      <c r="E638" s="7">
        <v>0.6</v>
      </c>
      <c r="F638" s="7">
        <v>0.6</v>
      </c>
      <c r="G638" s="7">
        <v>0.6</v>
      </c>
      <c r="H638" s="7">
        <v>0.6</v>
      </c>
      <c r="I638" s="7">
        <v>0.6</v>
      </c>
      <c r="J638" s="7">
        <v>0.6</v>
      </c>
      <c r="K638" s="7">
        <v>0.6</v>
      </c>
      <c r="L638" s="7">
        <v>0.6</v>
      </c>
      <c r="M638" s="7">
        <v>0.6</v>
      </c>
      <c r="N638" s="7">
        <v>0.6</v>
      </c>
      <c r="O638" s="7">
        <v>0.6</v>
      </c>
      <c r="P638" s="7">
        <v>0.6</v>
      </c>
      <c r="Q638" s="7">
        <v>0.6</v>
      </c>
    </row>
    <row r="639" spans="1:17">
      <c r="A639" s="2">
        <v>2587</v>
      </c>
      <c r="B639" s="7">
        <v>0.6</v>
      </c>
      <c r="C639" s="7">
        <v>0.6</v>
      </c>
      <c r="D639" s="7">
        <v>0.6</v>
      </c>
      <c r="E639" s="7">
        <v>0.6</v>
      </c>
      <c r="F639" s="7">
        <v>0.6</v>
      </c>
      <c r="G639" s="7">
        <v>0.6</v>
      </c>
      <c r="H639" s="7">
        <v>0.6</v>
      </c>
      <c r="I639" s="7">
        <v>0.6</v>
      </c>
      <c r="J639" s="7">
        <v>0.6</v>
      </c>
      <c r="K639" s="7">
        <v>0.6</v>
      </c>
      <c r="L639" s="7">
        <v>0.6</v>
      </c>
      <c r="M639" s="7">
        <v>0.6</v>
      </c>
      <c r="N639" s="7">
        <v>0.6</v>
      </c>
      <c r="O639" s="7">
        <v>0.6</v>
      </c>
      <c r="P639" s="7">
        <v>0.6</v>
      </c>
      <c r="Q639" s="7">
        <v>0.6</v>
      </c>
    </row>
    <row r="640" spans="1:17">
      <c r="A640" s="2">
        <v>2588</v>
      </c>
      <c r="B640" s="7">
        <v>0.6</v>
      </c>
      <c r="C640" s="7">
        <v>0.6</v>
      </c>
      <c r="D640" s="7">
        <v>0.6</v>
      </c>
      <c r="E640" s="7">
        <v>0.6</v>
      </c>
      <c r="F640" s="7">
        <v>0.6</v>
      </c>
      <c r="G640" s="7">
        <v>0.6</v>
      </c>
      <c r="H640" s="7">
        <v>0.6</v>
      </c>
      <c r="I640" s="7">
        <v>0.6</v>
      </c>
      <c r="J640" s="7">
        <v>0.6</v>
      </c>
      <c r="K640" s="7">
        <v>0.6</v>
      </c>
      <c r="L640" s="7">
        <v>0.6</v>
      </c>
      <c r="M640" s="7">
        <v>0.6</v>
      </c>
      <c r="N640" s="7">
        <v>0.6</v>
      </c>
      <c r="O640" s="7">
        <v>0.6</v>
      </c>
      <c r="P640" s="7">
        <v>0.6</v>
      </c>
      <c r="Q640" s="7">
        <v>0.6</v>
      </c>
    </row>
    <row r="641" spans="1:17">
      <c r="A641" s="2">
        <v>2589</v>
      </c>
      <c r="B641" s="7">
        <v>0.6</v>
      </c>
      <c r="C641" s="7">
        <v>0.6</v>
      </c>
      <c r="D641" s="7">
        <v>0.6</v>
      </c>
      <c r="E641" s="7">
        <v>0.6</v>
      </c>
      <c r="F641" s="7">
        <v>0.6</v>
      </c>
      <c r="G641" s="7">
        <v>0.6</v>
      </c>
      <c r="H641" s="7">
        <v>0.6</v>
      </c>
      <c r="I641" s="7">
        <v>0.6</v>
      </c>
      <c r="J641" s="7">
        <v>0.6</v>
      </c>
      <c r="K641" s="7">
        <v>0.6</v>
      </c>
      <c r="L641" s="7">
        <v>0.6</v>
      </c>
      <c r="M641" s="7">
        <v>0.6</v>
      </c>
      <c r="N641" s="7">
        <v>0.6</v>
      </c>
      <c r="O641" s="7">
        <v>0.6</v>
      </c>
      <c r="P641" s="7">
        <v>0.6</v>
      </c>
      <c r="Q641" s="7">
        <v>0.6</v>
      </c>
    </row>
    <row r="642" spans="1:17">
      <c r="A642" s="2">
        <v>2590</v>
      </c>
      <c r="B642" s="7">
        <v>0.6</v>
      </c>
      <c r="C642" s="7">
        <v>0.6</v>
      </c>
      <c r="D642" s="7">
        <v>0.6</v>
      </c>
      <c r="E642" s="7">
        <v>0.6</v>
      </c>
      <c r="F642" s="7">
        <v>0.6</v>
      </c>
      <c r="G642" s="7">
        <v>0.6</v>
      </c>
      <c r="H642" s="7">
        <v>0.6</v>
      </c>
      <c r="I642" s="7">
        <v>0.6</v>
      </c>
      <c r="J642" s="7">
        <v>0.6</v>
      </c>
      <c r="K642" s="7">
        <v>0.6</v>
      </c>
      <c r="L642" s="7">
        <v>0.6</v>
      </c>
      <c r="M642" s="7">
        <v>0.6</v>
      </c>
      <c r="N642" s="7">
        <v>0.6</v>
      </c>
      <c r="O642" s="7">
        <v>0.6</v>
      </c>
      <c r="P642" s="7">
        <v>0.6</v>
      </c>
      <c r="Q642" s="7">
        <v>0.6</v>
      </c>
    </row>
    <row r="643" spans="1:17">
      <c r="A643" s="2">
        <v>2591</v>
      </c>
      <c r="B643" s="7">
        <v>0.6</v>
      </c>
      <c r="C643" s="7">
        <v>0.6</v>
      </c>
      <c r="D643" s="7">
        <v>0.6</v>
      </c>
      <c r="E643" s="7">
        <v>0.6</v>
      </c>
      <c r="F643" s="7">
        <v>0.6</v>
      </c>
      <c r="G643" s="7">
        <v>0.6</v>
      </c>
      <c r="H643" s="7">
        <v>0.6</v>
      </c>
      <c r="I643" s="7">
        <v>0.6</v>
      </c>
      <c r="J643" s="7">
        <v>0.6</v>
      </c>
      <c r="K643" s="7">
        <v>0.6</v>
      </c>
      <c r="L643" s="7">
        <v>0.6</v>
      </c>
      <c r="M643" s="7">
        <v>0.6</v>
      </c>
      <c r="N643" s="7">
        <v>0.6</v>
      </c>
      <c r="O643" s="7">
        <v>0.6</v>
      </c>
      <c r="P643" s="7">
        <v>0.6</v>
      </c>
      <c r="Q643" s="7">
        <v>0.6</v>
      </c>
    </row>
    <row r="644" spans="1:17">
      <c r="A644" s="2">
        <v>2592</v>
      </c>
      <c r="B644" s="7">
        <v>0.6</v>
      </c>
      <c r="C644" s="7">
        <v>0.6</v>
      </c>
      <c r="D644" s="7">
        <v>0.6</v>
      </c>
      <c r="E644" s="7">
        <v>0.6</v>
      </c>
      <c r="F644" s="7">
        <v>0.6</v>
      </c>
      <c r="G644" s="7">
        <v>0.6</v>
      </c>
      <c r="H644" s="7">
        <v>0.6</v>
      </c>
      <c r="I644" s="7">
        <v>0.6</v>
      </c>
      <c r="J644" s="7">
        <v>0.6</v>
      </c>
      <c r="K644" s="7">
        <v>0.6</v>
      </c>
      <c r="L644" s="7">
        <v>0.6</v>
      </c>
      <c r="M644" s="7">
        <v>0.6</v>
      </c>
      <c r="N644" s="7">
        <v>0.6</v>
      </c>
      <c r="O644" s="7">
        <v>0.6</v>
      </c>
      <c r="P644" s="7">
        <v>0.6</v>
      </c>
      <c r="Q644" s="7">
        <v>0.6</v>
      </c>
    </row>
    <row r="645" spans="1:17">
      <c r="A645" s="2">
        <v>2593</v>
      </c>
      <c r="B645" s="7">
        <v>0.6</v>
      </c>
      <c r="C645" s="7">
        <v>0.6</v>
      </c>
      <c r="D645" s="7">
        <v>0.6</v>
      </c>
      <c r="E645" s="7">
        <v>0.6</v>
      </c>
      <c r="F645" s="7">
        <v>0.6</v>
      </c>
      <c r="G645" s="7">
        <v>0.6</v>
      </c>
      <c r="H645" s="7">
        <v>0.6</v>
      </c>
      <c r="I645" s="7">
        <v>0.6</v>
      </c>
      <c r="J645" s="7">
        <v>0.6</v>
      </c>
      <c r="K645" s="7">
        <v>0.6</v>
      </c>
      <c r="L645" s="7">
        <v>0.6</v>
      </c>
      <c r="M645" s="7">
        <v>0.6</v>
      </c>
      <c r="N645" s="7">
        <v>0.6</v>
      </c>
      <c r="O645" s="7">
        <v>0.6</v>
      </c>
      <c r="P645" s="7">
        <v>0.6</v>
      </c>
      <c r="Q645" s="7">
        <v>0.6</v>
      </c>
    </row>
    <row r="646" spans="1:17">
      <c r="A646" s="2">
        <v>2594</v>
      </c>
      <c r="B646" s="7">
        <v>0.6</v>
      </c>
      <c r="C646" s="7">
        <v>0.6</v>
      </c>
      <c r="D646" s="7">
        <v>0.6</v>
      </c>
      <c r="E646" s="7">
        <v>0.6</v>
      </c>
      <c r="F646" s="7">
        <v>0.6</v>
      </c>
      <c r="G646" s="7">
        <v>0.6</v>
      </c>
      <c r="H646" s="7">
        <v>0.6</v>
      </c>
      <c r="I646" s="7">
        <v>0.6</v>
      </c>
      <c r="J646" s="7">
        <v>0.6</v>
      </c>
      <c r="K646" s="7">
        <v>0.6</v>
      </c>
      <c r="L646" s="7">
        <v>0.6</v>
      </c>
      <c r="M646" s="7">
        <v>0.6</v>
      </c>
      <c r="N646" s="7">
        <v>0.6</v>
      </c>
      <c r="O646" s="7">
        <v>0.6</v>
      </c>
      <c r="P646" s="7">
        <v>0.6</v>
      </c>
      <c r="Q646" s="7">
        <v>0.6</v>
      </c>
    </row>
    <row r="647" spans="1:17">
      <c r="A647" s="2">
        <v>2595</v>
      </c>
      <c r="B647" s="7">
        <v>0.6</v>
      </c>
      <c r="C647" s="7">
        <v>0.6</v>
      </c>
      <c r="D647" s="7">
        <v>0.6</v>
      </c>
      <c r="E647" s="7">
        <v>0.6</v>
      </c>
      <c r="F647" s="7">
        <v>0.6</v>
      </c>
      <c r="G647" s="7">
        <v>0.6</v>
      </c>
      <c r="H647" s="7">
        <v>0.6</v>
      </c>
      <c r="I647" s="7">
        <v>0.6</v>
      </c>
      <c r="J647" s="7">
        <v>0.6</v>
      </c>
      <c r="K647" s="7">
        <v>0.6</v>
      </c>
      <c r="L647" s="7">
        <v>0.6</v>
      </c>
      <c r="M647" s="7">
        <v>0.6</v>
      </c>
      <c r="N647" s="7">
        <v>0.6</v>
      </c>
      <c r="O647" s="7">
        <v>0.6</v>
      </c>
      <c r="P647" s="7">
        <v>0.6</v>
      </c>
      <c r="Q647" s="7">
        <v>0.6</v>
      </c>
    </row>
    <row r="648" spans="1:17">
      <c r="A648" s="2">
        <v>2596</v>
      </c>
      <c r="B648" s="7">
        <v>0.6</v>
      </c>
      <c r="C648" s="7">
        <v>0.6</v>
      </c>
      <c r="D648" s="7">
        <v>0.6</v>
      </c>
      <c r="E648" s="7">
        <v>0.6</v>
      </c>
      <c r="F648" s="7">
        <v>0.6</v>
      </c>
      <c r="G648" s="7">
        <v>0.6</v>
      </c>
      <c r="H648" s="7">
        <v>0.6</v>
      </c>
      <c r="I648" s="7">
        <v>0.6</v>
      </c>
      <c r="J648" s="7">
        <v>0.6</v>
      </c>
      <c r="K648" s="7">
        <v>0.6</v>
      </c>
      <c r="L648" s="7">
        <v>0.6</v>
      </c>
      <c r="M648" s="7">
        <v>0.6</v>
      </c>
      <c r="N648" s="7">
        <v>0.6</v>
      </c>
      <c r="O648" s="7">
        <v>0.6</v>
      </c>
      <c r="P648" s="7">
        <v>0.6</v>
      </c>
      <c r="Q648" s="7">
        <v>0.6</v>
      </c>
    </row>
    <row r="649" spans="1:17">
      <c r="A649" s="2">
        <v>2597</v>
      </c>
      <c r="B649" s="7">
        <v>0.6</v>
      </c>
      <c r="C649" s="7">
        <v>0.6</v>
      </c>
      <c r="D649" s="7">
        <v>0.6</v>
      </c>
      <c r="E649" s="7">
        <v>0.6</v>
      </c>
      <c r="F649" s="7">
        <v>0.6</v>
      </c>
      <c r="G649" s="7">
        <v>0.6</v>
      </c>
      <c r="H649" s="7">
        <v>0.6</v>
      </c>
      <c r="I649" s="7">
        <v>0.6</v>
      </c>
      <c r="J649" s="7">
        <v>0.6</v>
      </c>
      <c r="K649" s="7">
        <v>0.6</v>
      </c>
      <c r="L649" s="7">
        <v>0.6</v>
      </c>
      <c r="M649" s="7">
        <v>0.6</v>
      </c>
      <c r="N649" s="7">
        <v>0.6</v>
      </c>
      <c r="O649" s="7">
        <v>0.6</v>
      </c>
      <c r="P649" s="7">
        <v>0.6</v>
      </c>
      <c r="Q649" s="7">
        <v>0.6</v>
      </c>
    </row>
    <row r="650" spans="1:17">
      <c r="A650" s="2">
        <v>2598</v>
      </c>
      <c r="B650" s="7">
        <v>0.6</v>
      </c>
      <c r="C650" s="7">
        <v>0.6</v>
      </c>
      <c r="D650" s="7">
        <v>0.6</v>
      </c>
      <c r="E650" s="7">
        <v>0.6</v>
      </c>
      <c r="F650" s="7">
        <v>0.6</v>
      </c>
      <c r="G650" s="7">
        <v>0.6</v>
      </c>
      <c r="H650" s="7">
        <v>0.6</v>
      </c>
      <c r="I650" s="7">
        <v>0.6</v>
      </c>
      <c r="J650" s="7">
        <v>0.6</v>
      </c>
      <c r="K650" s="7">
        <v>0.6</v>
      </c>
      <c r="L650" s="7">
        <v>0.6</v>
      </c>
      <c r="M650" s="7">
        <v>0.6</v>
      </c>
      <c r="N650" s="7">
        <v>0.6</v>
      </c>
      <c r="O650" s="7">
        <v>0.6</v>
      </c>
      <c r="P650" s="7">
        <v>0.6</v>
      </c>
      <c r="Q650" s="7">
        <v>0.6</v>
      </c>
    </row>
    <row r="651" spans="1:17">
      <c r="A651" s="2">
        <v>2599</v>
      </c>
      <c r="B651" s="7">
        <v>0.6</v>
      </c>
      <c r="C651" s="7">
        <v>0.6</v>
      </c>
      <c r="D651" s="7">
        <v>0.6</v>
      </c>
      <c r="E651" s="7">
        <v>0.6</v>
      </c>
      <c r="F651" s="7">
        <v>0.6</v>
      </c>
      <c r="G651" s="7">
        <v>0.6</v>
      </c>
      <c r="H651" s="7">
        <v>0.6</v>
      </c>
      <c r="I651" s="7">
        <v>0.6</v>
      </c>
      <c r="J651" s="7">
        <v>0.6</v>
      </c>
      <c r="K651" s="7">
        <v>0.6</v>
      </c>
      <c r="L651" s="7">
        <v>0.6</v>
      </c>
      <c r="M651" s="7">
        <v>0.6</v>
      </c>
      <c r="N651" s="7">
        <v>0.6</v>
      </c>
      <c r="O651" s="7">
        <v>0.6</v>
      </c>
      <c r="P651" s="7">
        <v>0.6</v>
      </c>
      <c r="Q651" s="7">
        <v>0.6</v>
      </c>
    </row>
    <row r="652" spans="1:17">
      <c r="A652" s="2">
        <v>2600</v>
      </c>
      <c r="B652" s="7">
        <v>0.6</v>
      </c>
      <c r="C652" s="7">
        <v>0.6</v>
      </c>
      <c r="D652" s="7">
        <v>0.6</v>
      </c>
      <c r="E652" s="7">
        <v>0.6</v>
      </c>
      <c r="F652" s="7">
        <v>0.6</v>
      </c>
      <c r="G652" s="7">
        <v>0.6</v>
      </c>
      <c r="H652" s="7">
        <v>0.6</v>
      </c>
      <c r="I652" s="7">
        <v>0.6</v>
      </c>
      <c r="J652" s="7">
        <v>0.6</v>
      </c>
      <c r="K652" s="7">
        <v>0.6</v>
      </c>
      <c r="L652" s="7">
        <v>0.6</v>
      </c>
      <c r="M652" s="7">
        <v>0.6</v>
      </c>
      <c r="N652" s="7">
        <v>0.6</v>
      </c>
      <c r="O652" s="7">
        <v>0.6</v>
      </c>
      <c r="P652" s="7">
        <v>0.6</v>
      </c>
      <c r="Q652" s="7">
        <v>0.6</v>
      </c>
    </row>
    <row r="653" spans="1:17">
      <c r="A653" s="2">
        <v>2601</v>
      </c>
      <c r="B653" s="7">
        <v>0.6</v>
      </c>
      <c r="C653" s="7">
        <v>0.6</v>
      </c>
      <c r="D653" s="7">
        <v>0.6</v>
      </c>
      <c r="E653" s="7">
        <v>0.6</v>
      </c>
      <c r="F653" s="7">
        <v>0.6</v>
      </c>
      <c r="G653" s="7">
        <v>0.6</v>
      </c>
      <c r="H653" s="7">
        <v>0.6</v>
      </c>
      <c r="I653" s="7">
        <v>0.6</v>
      </c>
      <c r="J653" s="7">
        <v>0.6</v>
      </c>
      <c r="K653" s="7">
        <v>0.6</v>
      </c>
      <c r="L653" s="7">
        <v>0.6</v>
      </c>
      <c r="M653" s="7">
        <v>0.6</v>
      </c>
      <c r="N653" s="7">
        <v>0.6</v>
      </c>
      <c r="O653" s="7">
        <v>0.6</v>
      </c>
      <c r="P653" s="7">
        <v>0.6</v>
      </c>
      <c r="Q653" s="7">
        <v>0.6</v>
      </c>
    </row>
    <row r="654" spans="1:17">
      <c r="A654" s="2">
        <v>2602</v>
      </c>
      <c r="B654" s="7">
        <v>0.6</v>
      </c>
      <c r="C654" s="7">
        <v>0.6</v>
      </c>
      <c r="D654" s="7">
        <v>0.6</v>
      </c>
      <c r="E654" s="7">
        <v>0.6</v>
      </c>
      <c r="F654" s="7">
        <v>0.6</v>
      </c>
      <c r="G654" s="7">
        <v>0.6</v>
      </c>
      <c r="H654" s="7">
        <v>0.6</v>
      </c>
      <c r="I654" s="7">
        <v>0.6</v>
      </c>
      <c r="J654" s="7">
        <v>0.6</v>
      </c>
      <c r="K654" s="7">
        <v>0.6</v>
      </c>
      <c r="L654" s="7">
        <v>0.6</v>
      </c>
      <c r="M654" s="7">
        <v>0.6</v>
      </c>
      <c r="N654" s="7">
        <v>0.6</v>
      </c>
      <c r="O654" s="7">
        <v>0.6</v>
      </c>
      <c r="P654" s="7">
        <v>0.6</v>
      </c>
      <c r="Q654" s="7">
        <v>0.6</v>
      </c>
    </row>
    <row r="655" spans="1:17">
      <c r="A655" s="2">
        <v>2603</v>
      </c>
      <c r="B655" s="7">
        <v>0.6</v>
      </c>
      <c r="C655" s="7">
        <v>0.6</v>
      </c>
      <c r="D655" s="7">
        <v>0.6</v>
      </c>
      <c r="E655" s="7">
        <v>0.6</v>
      </c>
      <c r="F655" s="7">
        <v>0.6</v>
      </c>
      <c r="G655" s="7">
        <v>0.6</v>
      </c>
      <c r="H655" s="7">
        <v>0.6</v>
      </c>
      <c r="I655" s="7">
        <v>0.6</v>
      </c>
      <c r="J655" s="7">
        <v>0.6</v>
      </c>
      <c r="K655" s="7">
        <v>0.6</v>
      </c>
      <c r="L655" s="7">
        <v>0.6</v>
      </c>
      <c r="M655" s="7">
        <v>0.6</v>
      </c>
      <c r="N655" s="7">
        <v>0.6</v>
      </c>
      <c r="O655" s="7">
        <v>0.6</v>
      </c>
      <c r="P655" s="7">
        <v>0.6</v>
      </c>
      <c r="Q655" s="7">
        <v>0.6</v>
      </c>
    </row>
    <row r="656" spans="1:17">
      <c r="A656" s="2">
        <v>2604</v>
      </c>
      <c r="B656" s="7">
        <v>0.6</v>
      </c>
      <c r="C656" s="7">
        <v>0.6</v>
      </c>
      <c r="D656" s="7">
        <v>0.6</v>
      </c>
      <c r="E656" s="7">
        <v>0.6</v>
      </c>
      <c r="F656" s="7">
        <v>0.6</v>
      </c>
      <c r="G656" s="7">
        <v>0.6</v>
      </c>
      <c r="H656" s="7">
        <v>0.6</v>
      </c>
      <c r="I656" s="7">
        <v>0.6</v>
      </c>
      <c r="J656" s="7">
        <v>0.6</v>
      </c>
      <c r="K656" s="7">
        <v>0.6</v>
      </c>
      <c r="L656" s="7">
        <v>0.6</v>
      </c>
      <c r="M656" s="7">
        <v>0.6</v>
      </c>
      <c r="N656" s="7">
        <v>0.6</v>
      </c>
      <c r="O656" s="7">
        <v>0.6</v>
      </c>
      <c r="P656" s="7">
        <v>0.6</v>
      </c>
      <c r="Q656" s="7">
        <v>0.6</v>
      </c>
    </row>
    <row r="657" spans="1:17">
      <c r="A657" s="2">
        <v>2605</v>
      </c>
      <c r="B657" s="7">
        <v>0.6</v>
      </c>
      <c r="C657" s="7">
        <v>0.6</v>
      </c>
      <c r="D657" s="7">
        <v>0.6</v>
      </c>
      <c r="E657" s="7">
        <v>0.6</v>
      </c>
      <c r="F657" s="7">
        <v>0.6</v>
      </c>
      <c r="G657" s="7">
        <v>0.6</v>
      </c>
      <c r="H657" s="7">
        <v>0.6</v>
      </c>
      <c r="I657" s="7">
        <v>0.6</v>
      </c>
      <c r="J657" s="7">
        <v>0.6</v>
      </c>
      <c r="K657" s="7">
        <v>0.6</v>
      </c>
      <c r="L657" s="7">
        <v>0.6</v>
      </c>
      <c r="M657" s="7">
        <v>0.6</v>
      </c>
      <c r="N657" s="7">
        <v>0.6</v>
      </c>
      <c r="O657" s="7">
        <v>0.6</v>
      </c>
      <c r="P657" s="7">
        <v>0.6</v>
      </c>
      <c r="Q657" s="7">
        <v>0.6</v>
      </c>
    </row>
    <row r="658" spans="1:17">
      <c r="A658" s="2">
        <v>2606</v>
      </c>
      <c r="B658" s="7">
        <v>0.6</v>
      </c>
      <c r="C658" s="7">
        <v>0.6</v>
      </c>
      <c r="D658" s="7">
        <v>0.6</v>
      </c>
      <c r="E658" s="7">
        <v>0.6</v>
      </c>
      <c r="F658" s="7">
        <v>0.6</v>
      </c>
      <c r="G658" s="7">
        <v>0.6</v>
      </c>
      <c r="H658" s="7">
        <v>0.6</v>
      </c>
      <c r="I658" s="7">
        <v>0.6</v>
      </c>
      <c r="J658" s="7">
        <v>0.6</v>
      </c>
      <c r="K658" s="7">
        <v>0.6</v>
      </c>
      <c r="L658" s="7">
        <v>0.6</v>
      </c>
      <c r="M658" s="7">
        <v>0.6</v>
      </c>
      <c r="N658" s="7">
        <v>0.6</v>
      </c>
      <c r="O658" s="7">
        <v>0.6</v>
      </c>
      <c r="P658" s="7">
        <v>0.6</v>
      </c>
      <c r="Q658" s="7">
        <v>0.6</v>
      </c>
    </row>
    <row r="659" spans="1:17">
      <c r="A659" s="2">
        <v>2607</v>
      </c>
      <c r="B659" s="7">
        <v>0.6</v>
      </c>
      <c r="C659" s="7">
        <v>0.6</v>
      </c>
      <c r="D659" s="7">
        <v>0.6</v>
      </c>
      <c r="E659" s="7">
        <v>0.6</v>
      </c>
      <c r="F659" s="7">
        <v>0.6</v>
      </c>
      <c r="G659" s="7">
        <v>0.6</v>
      </c>
      <c r="H659" s="7">
        <v>0.6</v>
      </c>
      <c r="I659" s="7">
        <v>0.6</v>
      </c>
      <c r="J659" s="7">
        <v>0.6</v>
      </c>
      <c r="K659" s="7">
        <v>0.6</v>
      </c>
      <c r="L659" s="7">
        <v>0.6</v>
      </c>
      <c r="M659" s="7">
        <v>0.6</v>
      </c>
      <c r="N659" s="7">
        <v>0.6</v>
      </c>
      <c r="O659" s="7">
        <v>0.6</v>
      </c>
      <c r="P659" s="7">
        <v>0.6</v>
      </c>
      <c r="Q659" s="7">
        <v>0.6</v>
      </c>
    </row>
    <row r="660" spans="1:17">
      <c r="A660" s="2">
        <v>2608</v>
      </c>
      <c r="B660" s="7">
        <v>0.6</v>
      </c>
      <c r="C660" s="7">
        <v>0.6</v>
      </c>
      <c r="D660" s="7">
        <v>0.6</v>
      </c>
      <c r="E660" s="7">
        <v>0.6</v>
      </c>
      <c r="F660" s="7">
        <v>0.6</v>
      </c>
      <c r="G660" s="7">
        <v>0.6</v>
      </c>
      <c r="H660" s="7">
        <v>0.6</v>
      </c>
      <c r="I660" s="7">
        <v>0.6</v>
      </c>
      <c r="J660" s="7">
        <v>0.6</v>
      </c>
      <c r="K660" s="7">
        <v>0.6</v>
      </c>
      <c r="L660" s="7">
        <v>0.6</v>
      </c>
      <c r="M660" s="7">
        <v>0.6</v>
      </c>
      <c r="N660" s="7">
        <v>0.6</v>
      </c>
      <c r="O660" s="7">
        <v>0.6</v>
      </c>
      <c r="P660" s="7">
        <v>0.6</v>
      </c>
      <c r="Q660" s="7">
        <v>0.6</v>
      </c>
    </row>
    <row r="661" spans="1:17">
      <c r="A661" s="2">
        <v>2609</v>
      </c>
      <c r="B661" s="7">
        <v>0.6</v>
      </c>
      <c r="C661" s="7">
        <v>0.6</v>
      </c>
      <c r="D661" s="7">
        <v>0.6</v>
      </c>
      <c r="E661" s="7">
        <v>0.6</v>
      </c>
      <c r="F661" s="7">
        <v>0.6</v>
      </c>
      <c r="G661" s="7">
        <v>0.6</v>
      </c>
      <c r="H661" s="7">
        <v>0.6</v>
      </c>
      <c r="I661" s="7">
        <v>0.6</v>
      </c>
      <c r="J661" s="7">
        <v>0.6</v>
      </c>
      <c r="K661" s="7">
        <v>0.6</v>
      </c>
      <c r="L661" s="7">
        <v>0.6</v>
      </c>
      <c r="M661" s="7">
        <v>0.6</v>
      </c>
      <c r="N661" s="7">
        <v>0.6</v>
      </c>
      <c r="O661" s="7">
        <v>0.6</v>
      </c>
      <c r="P661" s="7">
        <v>0.6</v>
      </c>
      <c r="Q661" s="7">
        <v>0.6</v>
      </c>
    </row>
    <row r="662" spans="1:17">
      <c r="A662" s="2">
        <v>2610</v>
      </c>
      <c r="B662" s="7">
        <v>0.6</v>
      </c>
      <c r="C662" s="7">
        <v>0.6</v>
      </c>
      <c r="D662" s="7">
        <v>0.6</v>
      </c>
      <c r="E662" s="7">
        <v>0.6</v>
      </c>
      <c r="F662" s="7">
        <v>0.6</v>
      </c>
      <c r="G662" s="7">
        <v>0.6</v>
      </c>
      <c r="H662" s="7">
        <v>0.6</v>
      </c>
      <c r="I662" s="7">
        <v>0.6</v>
      </c>
      <c r="J662" s="7">
        <v>0.6</v>
      </c>
      <c r="K662" s="7">
        <v>0.6</v>
      </c>
      <c r="L662" s="7">
        <v>0.6</v>
      </c>
      <c r="M662" s="7">
        <v>0.6</v>
      </c>
      <c r="N662" s="7">
        <v>0.6</v>
      </c>
      <c r="O662" s="7">
        <v>0.6</v>
      </c>
      <c r="P662" s="7">
        <v>0.6</v>
      </c>
      <c r="Q662" s="7">
        <v>0.6</v>
      </c>
    </row>
    <row r="663" spans="1:17">
      <c r="A663" s="2">
        <v>2611</v>
      </c>
      <c r="B663" s="7">
        <v>0.6</v>
      </c>
      <c r="C663" s="7">
        <v>0.6</v>
      </c>
      <c r="D663" s="7">
        <v>0.6</v>
      </c>
      <c r="E663" s="7">
        <v>0.6</v>
      </c>
      <c r="F663" s="7">
        <v>0.6</v>
      </c>
      <c r="G663" s="7">
        <v>0.6</v>
      </c>
      <c r="H663" s="7">
        <v>0.6</v>
      </c>
      <c r="I663" s="7">
        <v>0.6</v>
      </c>
      <c r="J663" s="7">
        <v>0.6</v>
      </c>
      <c r="K663" s="7">
        <v>0.6</v>
      </c>
      <c r="L663" s="7">
        <v>0.6</v>
      </c>
      <c r="M663" s="7">
        <v>0.6</v>
      </c>
      <c r="N663" s="7">
        <v>0.6</v>
      </c>
      <c r="O663" s="7">
        <v>0.6</v>
      </c>
      <c r="P663" s="7">
        <v>0.6</v>
      </c>
      <c r="Q663" s="7">
        <v>0.6</v>
      </c>
    </row>
    <row r="664" spans="1:17">
      <c r="A664" s="2">
        <v>2612</v>
      </c>
      <c r="B664" s="7">
        <v>0.6</v>
      </c>
      <c r="C664" s="7">
        <v>0.6</v>
      </c>
      <c r="D664" s="7">
        <v>0.6</v>
      </c>
      <c r="E664" s="7">
        <v>0.6</v>
      </c>
      <c r="F664" s="7">
        <v>0.6</v>
      </c>
      <c r="G664" s="7">
        <v>0.6</v>
      </c>
      <c r="H664" s="7">
        <v>0.6</v>
      </c>
      <c r="I664" s="7">
        <v>0.6</v>
      </c>
      <c r="J664" s="7">
        <v>0.6</v>
      </c>
      <c r="K664" s="7">
        <v>0.6</v>
      </c>
      <c r="L664" s="7">
        <v>0.6</v>
      </c>
      <c r="M664" s="7">
        <v>0.6</v>
      </c>
      <c r="N664" s="7">
        <v>0.6</v>
      </c>
      <c r="O664" s="7">
        <v>0.6</v>
      </c>
      <c r="P664" s="7">
        <v>0.6</v>
      </c>
      <c r="Q664" s="7">
        <v>0.6</v>
      </c>
    </row>
    <row r="665" spans="1:17">
      <c r="A665" s="2">
        <v>2613</v>
      </c>
      <c r="B665" s="7">
        <v>0.6</v>
      </c>
      <c r="C665" s="7">
        <v>0.6</v>
      </c>
      <c r="D665" s="7">
        <v>0.6</v>
      </c>
      <c r="E665" s="7">
        <v>0.6</v>
      </c>
      <c r="F665" s="7">
        <v>0.6</v>
      </c>
      <c r="G665" s="7">
        <v>0.6</v>
      </c>
      <c r="H665" s="7">
        <v>0.6</v>
      </c>
      <c r="I665" s="7">
        <v>0.6</v>
      </c>
      <c r="J665" s="7">
        <v>0.6</v>
      </c>
      <c r="K665" s="7">
        <v>0.6</v>
      </c>
      <c r="L665" s="7">
        <v>0.6</v>
      </c>
      <c r="M665" s="7">
        <v>0.6</v>
      </c>
      <c r="N665" s="7">
        <v>0.6</v>
      </c>
      <c r="O665" s="7">
        <v>0.6</v>
      </c>
      <c r="P665" s="7">
        <v>0.6</v>
      </c>
      <c r="Q665" s="7">
        <v>0.6</v>
      </c>
    </row>
    <row r="666" spans="1:17">
      <c r="A666" s="2">
        <v>2614</v>
      </c>
      <c r="B666" s="7">
        <v>0.6</v>
      </c>
      <c r="C666" s="7">
        <v>0.6</v>
      </c>
      <c r="D666" s="7">
        <v>0.6</v>
      </c>
      <c r="E666" s="7">
        <v>0.6</v>
      </c>
      <c r="F666" s="7">
        <v>0.6</v>
      </c>
      <c r="G666" s="7">
        <v>0.6</v>
      </c>
      <c r="H666" s="7">
        <v>0.6</v>
      </c>
      <c r="I666" s="7">
        <v>0.6</v>
      </c>
      <c r="J666" s="7">
        <v>0.6</v>
      </c>
      <c r="K666" s="7">
        <v>0.6</v>
      </c>
      <c r="L666" s="7">
        <v>0.6</v>
      </c>
      <c r="M666" s="7">
        <v>0.6</v>
      </c>
      <c r="N666" s="7">
        <v>0.6</v>
      </c>
      <c r="O666" s="7">
        <v>0.6</v>
      </c>
      <c r="P666" s="7">
        <v>0.6</v>
      </c>
      <c r="Q666" s="7">
        <v>0.6</v>
      </c>
    </row>
    <row r="667" spans="1:17">
      <c r="A667" s="2">
        <v>2615</v>
      </c>
      <c r="B667" s="7">
        <v>0.6</v>
      </c>
      <c r="C667" s="7">
        <v>0.6</v>
      </c>
      <c r="D667" s="7">
        <v>0.6</v>
      </c>
      <c r="E667" s="7">
        <v>0.6</v>
      </c>
      <c r="F667" s="7">
        <v>0.6</v>
      </c>
      <c r="G667" s="7">
        <v>0.6</v>
      </c>
      <c r="H667" s="7">
        <v>0.6</v>
      </c>
      <c r="I667" s="7">
        <v>0.6</v>
      </c>
      <c r="J667" s="7">
        <v>0.6</v>
      </c>
      <c r="K667" s="7">
        <v>0.6</v>
      </c>
      <c r="L667" s="7">
        <v>0.6</v>
      </c>
      <c r="M667" s="7">
        <v>0.6</v>
      </c>
      <c r="N667" s="7">
        <v>0.6</v>
      </c>
      <c r="O667" s="7">
        <v>0.6</v>
      </c>
      <c r="P667" s="7">
        <v>0.6</v>
      </c>
      <c r="Q667" s="7">
        <v>0.6</v>
      </c>
    </row>
    <row r="668" spans="1:17">
      <c r="A668" s="2">
        <v>2616</v>
      </c>
      <c r="B668" s="7">
        <v>0.6</v>
      </c>
      <c r="C668" s="7">
        <v>0.6</v>
      </c>
      <c r="D668" s="7">
        <v>0.6</v>
      </c>
      <c r="E668" s="7">
        <v>0.6</v>
      </c>
      <c r="F668" s="7">
        <v>0.6</v>
      </c>
      <c r="G668" s="7">
        <v>0.6</v>
      </c>
      <c r="H668" s="7">
        <v>0.6</v>
      </c>
      <c r="I668" s="7">
        <v>0.6</v>
      </c>
      <c r="J668" s="7">
        <v>0.6</v>
      </c>
      <c r="K668" s="7">
        <v>0.6</v>
      </c>
      <c r="L668" s="7">
        <v>0.6</v>
      </c>
      <c r="M668" s="7">
        <v>0.6</v>
      </c>
      <c r="N668" s="7">
        <v>0.6</v>
      </c>
      <c r="O668" s="7">
        <v>0.6</v>
      </c>
      <c r="P668" s="7">
        <v>0.6</v>
      </c>
      <c r="Q668" s="7">
        <v>0.6</v>
      </c>
    </row>
    <row r="669" spans="1:17">
      <c r="A669" s="2">
        <v>2617</v>
      </c>
      <c r="B669" s="7">
        <v>0.6</v>
      </c>
      <c r="C669" s="7">
        <v>0.6</v>
      </c>
      <c r="D669" s="7">
        <v>0.6</v>
      </c>
      <c r="E669" s="7">
        <v>0.6</v>
      </c>
      <c r="F669" s="7">
        <v>0.6</v>
      </c>
      <c r="G669" s="7">
        <v>0.6</v>
      </c>
      <c r="H669" s="7">
        <v>0.6</v>
      </c>
      <c r="I669" s="7">
        <v>0.6</v>
      </c>
      <c r="J669" s="7">
        <v>0.6</v>
      </c>
      <c r="K669" s="7">
        <v>0.6</v>
      </c>
      <c r="L669" s="7">
        <v>0.6</v>
      </c>
      <c r="M669" s="7">
        <v>0.6</v>
      </c>
      <c r="N669" s="7">
        <v>0.6</v>
      </c>
      <c r="O669" s="7">
        <v>0.6</v>
      </c>
      <c r="P669" s="7">
        <v>0.6</v>
      </c>
      <c r="Q669" s="7">
        <v>0.6</v>
      </c>
    </row>
    <row r="670" spans="1:17">
      <c r="A670" s="2">
        <v>2618</v>
      </c>
      <c r="B670" s="7">
        <v>0.6</v>
      </c>
      <c r="C670" s="7">
        <v>0.6</v>
      </c>
      <c r="D670" s="7">
        <v>0.6</v>
      </c>
      <c r="E670" s="7">
        <v>0.6</v>
      </c>
      <c r="F670" s="7">
        <v>0.6</v>
      </c>
      <c r="G670" s="7">
        <v>0.6</v>
      </c>
      <c r="H670" s="7">
        <v>0.6</v>
      </c>
      <c r="I670" s="7">
        <v>0.6</v>
      </c>
      <c r="J670" s="7">
        <v>0.6</v>
      </c>
      <c r="K670" s="7">
        <v>0.6</v>
      </c>
      <c r="L670" s="7">
        <v>0.6</v>
      </c>
      <c r="M670" s="7">
        <v>0.6</v>
      </c>
      <c r="N670" s="7">
        <v>0.6</v>
      </c>
      <c r="O670" s="7">
        <v>0.6</v>
      </c>
      <c r="P670" s="7">
        <v>0.6</v>
      </c>
      <c r="Q670" s="7">
        <v>0.6</v>
      </c>
    </row>
    <row r="671" spans="1:17">
      <c r="A671" s="2">
        <v>2619</v>
      </c>
      <c r="B671" s="7">
        <v>0.6</v>
      </c>
      <c r="C671" s="7">
        <v>0.6</v>
      </c>
      <c r="D671" s="7">
        <v>0.6</v>
      </c>
      <c r="E671" s="7">
        <v>0.6</v>
      </c>
      <c r="F671" s="7">
        <v>0.6</v>
      </c>
      <c r="G671" s="7">
        <v>0.6</v>
      </c>
      <c r="H671" s="7">
        <v>0.6</v>
      </c>
      <c r="I671" s="7">
        <v>0.6</v>
      </c>
      <c r="J671" s="7">
        <v>0.6</v>
      </c>
      <c r="K671" s="7">
        <v>0.6</v>
      </c>
      <c r="L671" s="7">
        <v>0.6</v>
      </c>
      <c r="M671" s="7">
        <v>0.6</v>
      </c>
      <c r="N671" s="7">
        <v>0.6</v>
      </c>
      <c r="O671" s="7">
        <v>0.6</v>
      </c>
      <c r="P671" s="7">
        <v>0.6</v>
      </c>
      <c r="Q671" s="7">
        <v>0.6</v>
      </c>
    </row>
    <row r="672" spans="1:17">
      <c r="A672" s="2">
        <v>2620</v>
      </c>
      <c r="B672" s="7">
        <v>0.6</v>
      </c>
      <c r="C672" s="7">
        <v>0.6</v>
      </c>
      <c r="D672" s="7">
        <v>0.6</v>
      </c>
      <c r="E672" s="7">
        <v>0.6</v>
      </c>
      <c r="F672" s="7">
        <v>0.6</v>
      </c>
      <c r="G672" s="7">
        <v>0.6</v>
      </c>
      <c r="H672" s="7">
        <v>0.6</v>
      </c>
      <c r="I672" s="7">
        <v>0.6</v>
      </c>
      <c r="J672" s="7">
        <v>0.6</v>
      </c>
      <c r="K672" s="7">
        <v>0.6</v>
      </c>
      <c r="L672" s="7">
        <v>0.6</v>
      </c>
      <c r="M672" s="7">
        <v>0.6</v>
      </c>
      <c r="N672" s="7">
        <v>0.6</v>
      </c>
      <c r="O672" s="7">
        <v>0.6</v>
      </c>
      <c r="P672" s="7">
        <v>0.6</v>
      </c>
      <c r="Q672" s="7">
        <v>0.6</v>
      </c>
    </row>
    <row r="673" spans="1:17">
      <c r="A673" s="2">
        <v>2621</v>
      </c>
      <c r="B673" s="7">
        <v>0.6</v>
      </c>
      <c r="C673" s="7">
        <v>0.6</v>
      </c>
      <c r="D673" s="7">
        <v>0.6</v>
      </c>
      <c r="E673" s="7">
        <v>0.6</v>
      </c>
      <c r="F673" s="7">
        <v>0.6</v>
      </c>
      <c r="G673" s="7">
        <v>0.6</v>
      </c>
      <c r="H673" s="7">
        <v>0.6</v>
      </c>
      <c r="I673" s="7">
        <v>0.6</v>
      </c>
      <c r="J673" s="7">
        <v>0.6</v>
      </c>
      <c r="K673" s="7">
        <v>0.6</v>
      </c>
      <c r="L673" s="7">
        <v>0.6</v>
      </c>
      <c r="M673" s="7">
        <v>0.6</v>
      </c>
      <c r="N673" s="7">
        <v>0.6</v>
      </c>
      <c r="O673" s="7">
        <v>0.6</v>
      </c>
      <c r="P673" s="7">
        <v>0.6</v>
      </c>
      <c r="Q673" s="7">
        <v>0.6</v>
      </c>
    </row>
    <row r="674" spans="1:17">
      <c r="A674" s="2">
        <v>2622</v>
      </c>
      <c r="B674" s="7">
        <v>0.6</v>
      </c>
      <c r="C674" s="7">
        <v>0.6</v>
      </c>
      <c r="D674" s="7">
        <v>0.6</v>
      </c>
      <c r="E674" s="7">
        <v>0.6</v>
      </c>
      <c r="F674" s="7">
        <v>0.6</v>
      </c>
      <c r="G674" s="7">
        <v>0.6</v>
      </c>
      <c r="H674" s="7">
        <v>0.6</v>
      </c>
      <c r="I674" s="7">
        <v>0.6</v>
      </c>
      <c r="J674" s="7">
        <v>0.6</v>
      </c>
      <c r="K674" s="7">
        <v>0.6</v>
      </c>
      <c r="L674" s="7">
        <v>0.6</v>
      </c>
      <c r="M674" s="7">
        <v>0.6</v>
      </c>
      <c r="N674" s="7">
        <v>0.6</v>
      </c>
      <c r="O674" s="7">
        <v>0.6</v>
      </c>
      <c r="P674" s="7">
        <v>0.6</v>
      </c>
      <c r="Q674" s="7">
        <v>0.6</v>
      </c>
    </row>
    <row r="675" spans="1:17">
      <c r="A675" s="2">
        <v>2623</v>
      </c>
      <c r="B675" s="7">
        <v>0.6</v>
      </c>
      <c r="C675" s="7">
        <v>0.6</v>
      </c>
      <c r="D675" s="7">
        <v>0.6</v>
      </c>
      <c r="E675" s="7">
        <v>0.6</v>
      </c>
      <c r="F675" s="7">
        <v>0.6</v>
      </c>
      <c r="G675" s="7">
        <v>0.6</v>
      </c>
      <c r="H675" s="7">
        <v>0.6</v>
      </c>
      <c r="I675" s="7">
        <v>0.6</v>
      </c>
      <c r="J675" s="7">
        <v>0.6</v>
      </c>
      <c r="K675" s="7">
        <v>0.6</v>
      </c>
      <c r="L675" s="7">
        <v>0.6</v>
      </c>
      <c r="M675" s="7">
        <v>0.6</v>
      </c>
      <c r="N675" s="7">
        <v>0.6</v>
      </c>
      <c r="O675" s="7">
        <v>0.6</v>
      </c>
      <c r="P675" s="7">
        <v>0.6</v>
      </c>
      <c r="Q675" s="7">
        <v>0.6</v>
      </c>
    </row>
    <row r="676" spans="1:17">
      <c r="A676" s="2">
        <v>2624</v>
      </c>
      <c r="B676" s="7">
        <v>0.6</v>
      </c>
      <c r="C676" s="7">
        <v>0.6</v>
      </c>
      <c r="D676" s="7">
        <v>0.6</v>
      </c>
      <c r="E676" s="7">
        <v>0.6</v>
      </c>
      <c r="F676" s="7">
        <v>0.6</v>
      </c>
      <c r="G676" s="7">
        <v>0.6</v>
      </c>
      <c r="H676" s="7">
        <v>0.6</v>
      </c>
      <c r="I676" s="7">
        <v>0.6</v>
      </c>
      <c r="J676" s="7">
        <v>0.6</v>
      </c>
      <c r="K676" s="7">
        <v>0.6</v>
      </c>
      <c r="L676" s="7">
        <v>0.6</v>
      </c>
      <c r="M676" s="7">
        <v>0.6</v>
      </c>
      <c r="N676" s="7">
        <v>0.6</v>
      </c>
      <c r="O676" s="7">
        <v>0.6</v>
      </c>
      <c r="P676" s="7">
        <v>0.6</v>
      </c>
      <c r="Q676" s="7">
        <v>0.6</v>
      </c>
    </row>
    <row r="677" spans="1:17">
      <c r="A677" s="2">
        <v>2625</v>
      </c>
      <c r="B677" s="7">
        <v>0.6</v>
      </c>
      <c r="C677" s="7">
        <v>0.6</v>
      </c>
      <c r="D677" s="7">
        <v>0.6</v>
      </c>
      <c r="E677" s="7">
        <v>0.6</v>
      </c>
      <c r="F677" s="7">
        <v>0.6</v>
      </c>
      <c r="G677" s="7">
        <v>0.6</v>
      </c>
      <c r="H677" s="7">
        <v>0.6</v>
      </c>
      <c r="I677" s="7">
        <v>0.6</v>
      </c>
      <c r="J677" s="7">
        <v>0.6</v>
      </c>
      <c r="K677" s="7">
        <v>0.6</v>
      </c>
      <c r="L677" s="7">
        <v>0.6</v>
      </c>
      <c r="M677" s="7">
        <v>0.6</v>
      </c>
      <c r="N677" s="7">
        <v>0.6</v>
      </c>
      <c r="O677" s="7">
        <v>0.6</v>
      </c>
      <c r="P677" s="7">
        <v>0.6</v>
      </c>
      <c r="Q677" s="7">
        <v>0.6</v>
      </c>
    </row>
    <row r="678" spans="1:17">
      <c r="A678" s="2">
        <v>2626</v>
      </c>
      <c r="B678" s="7">
        <v>0.6</v>
      </c>
      <c r="C678" s="7">
        <v>0.6</v>
      </c>
      <c r="D678" s="7">
        <v>0.6</v>
      </c>
      <c r="E678" s="7">
        <v>0.6</v>
      </c>
      <c r="F678" s="7">
        <v>0.6</v>
      </c>
      <c r="G678" s="7">
        <v>0.6</v>
      </c>
      <c r="H678" s="7">
        <v>0.6</v>
      </c>
      <c r="I678" s="7">
        <v>0.6</v>
      </c>
      <c r="J678" s="7">
        <v>0.6</v>
      </c>
      <c r="K678" s="7">
        <v>0.6</v>
      </c>
      <c r="L678" s="7">
        <v>0.6</v>
      </c>
      <c r="M678" s="7">
        <v>0.6</v>
      </c>
      <c r="N678" s="7">
        <v>0.6</v>
      </c>
      <c r="O678" s="7">
        <v>0.6</v>
      </c>
      <c r="P678" s="7">
        <v>0.6</v>
      </c>
      <c r="Q678" s="7">
        <v>0.6</v>
      </c>
    </row>
    <row r="679" spans="1:17">
      <c r="A679" s="2">
        <v>2627</v>
      </c>
      <c r="B679" s="7">
        <v>0.6</v>
      </c>
      <c r="C679" s="7">
        <v>0.6</v>
      </c>
      <c r="D679" s="7">
        <v>0.6</v>
      </c>
      <c r="E679" s="7">
        <v>0.6</v>
      </c>
      <c r="F679" s="7">
        <v>0.6</v>
      </c>
      <c r="G679" s="7">
        <v>0.6</v>
      </c>
      <c r="H679" s="7">
        <v>0.6</v>
      </c>
      <c r="I679" s="7">
        <v>0.6</v>
      </c>
      <c r="J679" s="7">
        <v>0.6</v>
      </c>
      <c r="K679" s="7">
        <v>0.6</v>
      </c>
      <c r="L679" s="7">
        <v>0.6</v>
      </c>
      <c r="M679" s="7">
        <v>0.6</v>
      </c>
      <c r="N679" s="7">
        <v>0.6</v>
      </c>
      <c r="O679" s="7">
        <v>0.6</v>
      </c>
      <c r="P679" s="7">
        <v>0.6</v>
      </c>
      <c r="Q679" s="7">
        <v>0.6</v>
      </c>
    </row>
    <row r="680" spans="1:17">
      <c r="A680" s="2">
        <v>2628</v>
      </c>
      <c r="B680" s="7">
        <v>0.6</v>
      </c>
      <c r="C680" s="7">
        <v>0.6</v>
      </c>
      <c r="D680" s="7">
        <v>0.6</v>
      </c>
      <c r="E680" s="7">
        <v>0.6</v>
      </c>
      <c r="F680" s="7">
        <v>0.6</v>
      </c>
      <c r="G680" s="7">
        <v>0.6</v>
      </c>
      <c r="H680" s="7">
        <v>0.6</v>
      </c>
      <c r="I680" s="7">
        <v>0.6</v>
      </c>
      <c r="J680" s="7">
        <v>0.6</v>
      </c>
      <c r="K680" s="7">
        <v>0.6</v>
      </c>
      <c r="L680" s="7">
        <v>0.6</v>
      </c>
      <c r="M680" s="7">
        <v>0.6</v>
      </c>
      <c r="N680" s="7">
        <v>0.6</v>
      </c>
      <c r="O680" s="7">
        <v>0.6</v>
      </c>
      <c r="P680" s="7">
        <v>0.6</v>
      </c>
      <c r="Q680" s="7">
        <v>0.6</v>
      </c>
    </row>
    <row r="681" spans="1:17">
      <c r="A681" s="2">
        <v>2629</v>
      </c>
      <c r="B681" s="7">
        <v>0.6</v>
      </c>
      <c r="C681" s="7">
        <v>0.6</v>
      </c>
      <c r="D681" s="7">
        <v>0.6</v>
      </c>
      <c r="E681" s="7">
        <v>0.6</v>
      </c>
      <c r="F681" s="7">
        <v>0.6</v>
      </c>
      <c r="G681" s="7">
        <v>0.6</v>
      </c>
      <c r="H681" s="7">
        <v>0.6</v>
      </c>
      <c r="I681" s="7">
        <v>0.6</v>
      </c>
      <c r="J681" s="7">
        <v>0.6</v>
      </c>
      <c r="K681" s="7">
        <v>0.6</v>
      </c>
      <c r="L681" s="7">
        <v>0.6</v>
      </c>
      <c r="M681" s="7">
        <v>0.6</v>
      </c>
      <c r="N681" s="7">
        <v>0.6</v>
      </c>
      <c r="O681" s="7">
        <v>0.6</v>
      </c>
      <c r="P681" s="7">
        <v>0.6</v>
      </c>
      <c r="Q681" s="7">
        <v>0.6</v>
      </c>
    </row>
    <row r="682" spans="1:17">
      <c r="A682" s="2">
        <v>2630</v>
      </c>
      <c r="B682" s="7">
        <v>0.6</v>
      </c>
      <c r="C682" s="7">
        <v>0.6</v>
      </c>
      <c r="D682" s="7">
        <v>0.6</v>
      </c>
      <c r="E682" s="7">
        <v>0.6</v>
      </c>
      <c r="F682" s="7">
        <v>0.6</v>
      </c>
      <c r="G682" s="7">
        <v>0.6</v>
      </c>
      <c r="H682" s="7">
        <v>0.6</v>
      </c>
      <c r="I682" s="7">
        <v>0.6</v>
      </c>
      <c r="J682" s="7">
        <v>0.6</v>
      </c>
      <c r="K682" s="7">
        <v>0.6</v>
      </c>
      <c r="L682" s="7">
        <v>0.6</v>
      </c>
      <c r="M682" s="7">
        <v>0.6</v>
      </c>
      <c r="N682" s="7">
        <v>0.6</v>
      </c>
      <c r="O682" s="7">
        <v>0.6</v>
      </c>
      <c r="P682" s="7">
        <v>0.6</v>
      </c>
      <c r="Q682" s="7">
        <v>0.6</v>
      </c>
    </row>
    <row r="683" spans="1:17">
      <c r="A683" s="2">
        <v>2631</v>
      </c>
      <c r="B683" s="7">
        <v>0.6</v>
      </c>
      <c r="C683" s="7">
        <v>0.6</v>
      </c>
      <c r="D683" s="7">
        <v>0.6</v>
      </c>
      <c r="E683" s="7">
        <v>0.6</v>
      </c>
      <c r="F683" s="7">
        <v>0.6</v>
      </c>
      <c r="G683" s="7">
        <v>0.6</v>
      </c>
      <c r="H683" s="7">
        <v>0.6</v>
      </c>
      <c r="I683" s="7">
        <v>0.6</v>
      </c>
      <c r="J683" s="7">
        <v>0.6</v>
      </c>
      <c r="K683" s="7">
        <v>0.6</v>
      </c>
      <c r="L683" s="7">
        <v>0.6</v>
      </c>
      <c r="M683" s="7">
        <v>0.6</v>
      </c>
      <c r="N683" s="7">
        <v>0.6</v>
      </c>
      <c r="O683" s="7">
        <v>0.6</v>
      </c>
      <c r="P683" s="7">
        <v>0.6</v>
      </c>
      <c r="Q683" s="7">
        <v>0.6</v>
      </c>
    </row>
    <row r="684" spans="1:17">
      <c r="A684" s="2">
        <v>2632</v>
      </c>
      <c r="B684" s="7">
        <v>0.6</v>
      </c>
      <c r="C684" s="7">
        <v>0.6</v>
      </c>
      <c r="D684" s="7">
        <v>0.6</v>
      </c>
      <c r="E684" s="7">
        <v>0.6</v>
      </c>
      <c r="F684" s="7">
        <v>0.6</v>
      </c>
      <c r="G684" s="7">
        <v>0.6</v>
      </c>
      <c r="H684" s="7">
        <v>0.6</v>
      </c>
      <c r="I684" s="7">
        <v>0.6</v>
      </c>
      <c r="J684" s="7">
        <v>0.6</v>
      </c>
      <c r="K684" s="7">
        <v>0.6</v>
      </c>
      <c r="L684" s="7">
        <v>0.6</v>
      </c>
      <c r="M684" s="7">
        <v>0.6</v>
      </c>
      <c r="N684" s="7">
        <v>0.6</v>
      </c>
      <c r="O684" s="7">
        <v>0.6</v>
      </c>
      <c r="P684" s="7">
        <v>0.6</v>
      </c>
      <c r="Q684" s="7">
        <v>0.6</v>
      </c>
    </row>
    <row r="685" spans="1:17">
      <c r="A685" s="2">
        <v>2633</v>
      </c>
      <c r="B685" s="7">
        <v>0.6</v>
      </c>
      <c r="C685" s="7">
        <v>0.6</v>
      </c>
      <c r="D685" s="7">
        <v>0.6</v>
      </c>
      <c r="E685" s="7">
        <v>0.6</v>
      </c>
      <c r="F685" s="7">
        <v>0.6</v>
      </c>
      <c r="G685" s="7">
        <v>0.6</v>
      </c>
      <c r="H685" s="7">
        <v>0.6</v>
      </c>
      <c r="I685" s="7">
        <v>0.6</v>
      </c>
      <c r="J685" s="7">
        <v>0.6</v>
      </c>
      <c r="K685" s="7">
        <v>0.6</v>
      </c>
      <c r="L685" s="7">
        <v>0.6</v>
      </c>
      <c r="M685" s="7">
        <v>0.6</v>
      </c>
      <c r="N685" s="7">
        <v>0.6</v>
      </c>
      <c r="O685" s="7">
        <v>0.6</v>
      </c>
      <c r="P685" s="7">
        <v>0.6</v>
      </c>
      <c r="Q685" s="7">
        <v>0.6</v>
      </c>
    </row>
    <row r="686" spans="1:17">
      <c r="A686" s="2">
        <v>2634</v>
      </c>
      <c r="B686" s="7">
        <v>0.6</v>
      </c>
      <c r="C686" s="7">
        <v>0.6</v>
      </c>
      <c r="D686" s="7">
        <v>0.6</v>
      </c>
      <c r="E686" s="7">
        <v>0.6</v>
      </c>
      <c r="F686" s="7">
        <v>0.6</v>
      </c>
      <c r="G686" s="7">
        <v>0.6</v>
      </c>
      <c r="H686" s="7">
        <v>0.6</v>
      </c>
      <c r="I686" s="7">
        <v>0.6</v>
      </c>
      <c r="J686" s="7">
        <v>0.6</v>
      </c>
      <c r="K686" s="7">
        <v>0.6</v>
      </c>
      <c r="L686" s="7">
        <v>0.6</v>
      </c>
      <c r="M686" s="7">
        <v>0.6</v>
      </c>
      <c r="N686" s="7">
        <v>0.6</v>
      </c>
      <c r="O686" s="7">
        <v>0.6</v>
      </c>
      <c r="P686" s="7">
        <v>0.6</v>
      </c>
      <c r="Q686" s="7">
        <v>0.6</v>
      </c>
    </row>
    <row r="687" spans="1:17">
      <c r="A687" s="2">
        <v>2635</v>
      </c>
      <c r="B687" s="7">
        <v>0.6</v>
      </c>
      <c r="C687" s="7">
        <v>0.6</v>
      </c>
      <c r="D687" s="7">
        <v>0.6</v>
      </c>
      <c r="E687" s="7">
        <v>0.6</v>
      </c>
      <c r="F687" s="7">
        <v>0.6</v>
      </c>
      <c r="G687" s="7">
        <v>0.6</v>
      </c>
      <c r="H687" s="7">
        <v>0.6</v>
      </c>
      <c r="I687" s="7">
        <v>0.6</v>
      </c>
      <c r="J687" s="7">
        <v>0.6</v>
      </c>
      <c r="K687" s="7">
        <v>0.6</v>
      </c>
      <c r="L687" s="7">
        <v>0.6</v>
      </c>
      <c r="M687" s="7">
        <v>0.6</v>
      </c>
      <c r="N687" s="7">
        <v>0.6</v>
      </c>
      <c r="O687" s="7">
        <v>0.6</v>
      </c>
      <c r="P687" s="7">
        <v>0.6</v>
      </c>
      <c r="Q687" s="7">
        <v>0.6</v>
      </c>
    </row>
    <row r="688" spans="1:17">
      <c r="A688" s="2">
        <v>2636</v>
      </c>
      <c r="B688" s="7">
        <v>0.6</v>
      </c>
      <c r="C688" s="7">
        <v>0.6</v>
      </c>
      <c r="D688" s="7">
        <v>0.6</v>
      </c>
      <c r="E688" s="7">
        <v>0.6</v>
      </c>
      <c r="F688" s="7">
        <v>0.6</v>
      </c>
      <c r="G688" s="7">
        <v>0.6</v>
      </c>
      <c r="H688" s="7">
        <v>0.6</v>
      </c>
      <c r="I688" s="7">
        <v>0.6</v>
      </c>
      <c r="J688" s="7">
        <v>0.6</v>
      </c>
      <c r="K688" s="7">
        <v>0.6</v>
      </c>
      <c r="L688" s="7">
        <v>0.6</v>
      </c>
      <c r="M688" s="7">
        <v>0.6</v>
      </c>
      <c r="N688" s="7">
        <v>0.6</v>
      </c>
      <c r="O688" s="7">
        <v>0.6</v>
      </c>
      <c r="P688" s="7">
        <v>0.6</v>
      </c>
      <c r="Q688" s="7">
        <v>0.6</v>
      </c>
    </row>
    <row r="689" spans="1:17">
      <c r="A689" s="2">
        <v>2637</v>
      </c>
      <c r="B689" s="7">
        <v>0.6</v>
      </c>
      <c r="C689" s="7">
        <v>0.6</v>
      </c>
      <c r="D689" s="7">
        <v>0.6</v>
      </c>
      <c r="E689" s="7">
        <v>0.6</v>
      </c>
      <c r="F689" s="7">
        <v>0.6</v>
      </c>
      <c r="G689" s="7">
        <v>0.6</v>
      </c>
      <c r="H689" s="7">
        <v>0.6</v>
      </c>
      <c r="I689" s="7">
        <v>0.6</v>
      </c>
      <c r="J689" s="7">
        <v>0.6</v>
      </c>
      <c r="K689" s="7">
        <v>0.6</v>
      </c>
      <c r="L689" s="7">
        <v>0.6</v>
      </c>
      <c r="M689" s="7">
        <v>0.6</v>
      </c>
      <c r="N689" s="7">
        <v>0.6</v>
      </c>
      <c r="O689" s="7">
        <v>0.6</v>
      </c>
      <c r="P689" s="7">
        <v>0.6</v>
      </c>
      <c r="Q689" s="7">
        <v>0.6</v>
      </c>
    </row>
    <row r="690" spans="1:17">
      <c r="A690" s="2">
        <v>2638</v>
      </c>
      <c r="B690" s="7">
        <v>0.6</v>
      </c>
      <c r="C690" s="7">
        <v>0.6</v>
      </c>
      <c r="D690" s="7">
        <v>0.6</v>
      </c>
      <c r="E690" s="7">
        <v>0.6</v>
      </c>
      <c r="F690" s="7">
        <v>0.6</v>
      </c>
      <c r="G690" s="7">
        <v>0.6</v>
      </c>
      <c r="H690" s="7">
        <v>0.6</v>
      </c>
      <c r="I690" s="7">
        <v>0.6</v>
      </c>
      <c r="J690" s="7">
        <v>0.6</v>
      </c>
      <c r="K690" s="7">
        <v>0.6</v>
      </c>
      <c r="L690" s="7">
        <v>0.6</v>
      </c>
      <c r="M690" s="7">
        <v>0.6</v>
      </c>
      <c r="N690" s="7">
        <v>0.6</v>
      </c>
      <c r="O690" s="7">
        <v>0.6</v>
      </c>
      <c r="P690" s="7">
        <v>0.6</v>
      </c>
      <c r="Q690" s="7">
        <v>0.6</v>
      </c>
    </row>
    <row r="691" spans="1:17">
      <c r="A691" s="2">
        <v>2639</v>
      </c>
      <c r="B691" s="7">
        <v>0.6</v>
      </c>
      <c r="C691" s="7">
        <v>0.6</v>
      </c>
      <c r="D691" s="7">
        <v>0.6</v>
      </c>
      <c r="E691" s="7">
        <v>0.6</v>
      </c>
      <c r="F691" s="7">
        <v>0.6</v>
      </c>
      <c r="G691" s="7">
        <v>0.6</v>
      </c>
      <c r="H691" s="7">
        <v>0.6</v>
      </c>
      <c r="I691" s="7">
        <v>0.6</v>
      </c>
      <c r="J691" s="7">
        <v>0.6</v>
      </c>
      <c r="K691" s="7">
        <v>0.6</v>
      </c>
      <c r="L691" s="7">
        <v>0.6</v>
      </c>
      <c r="M691" s="7">
        <v>0.6</v>
      </c>
      <c r="N691" s="7">
        <v>0.6</v>
      </c>
      <c r="O691" s="7">
        <v>0.6</v>
      </c>
      <c r="P691" s="7">
        <v>0.6</v>
      </c>
      <c r="Q691" s="7">
        <v>0.6</v>
      </c>
    </row>
    <row r="692" spans="1:17">
      <c r="A692" s="2">
        <v>2640</v>
      </c>
      <c r="B692" s="7">
        <v>0.6</v>
      </c>
      <c r="C692" s="7">
        <v>0.6</v>
      </c>
      <c r="D692" s="7">
        <v>0.6</v>
      </c>
      <c r="E692" s="7">
        <v>0.6</v>
      </c>
      <c r="F692" s="7">
        <v>0.6</v>
      </c>
      <c r="G692" s="7">
        <v>0.6</v>
      </c>
      <c r="H692" s="7">
        <v>0.6</v>
      </c>
      <c r="I692" s="7">
        <v>0.6</v>
      </c>
      <c r="J692" s="7">
        <v>0.6</v>
      </c>
      <c r="K692" s="7">
        <v>0.6</v>
      </c>
      <c r="L692" s="7">
        <v>0.6</v>
      </c>
      <c r="M692" s="7">
        <v>0.6</v>
      </c>
      <c r="N692" s="7">
        <v>0.6</v>
      </c>
      <c r="O692" s="7">
        <v>0.6</v>
      </c>
      <c r="P692" s="7">
        <v>0.6</v>
      </c>
      <c r="Q692" s="7">
        <v>0.6</v>
      </c>
    </row>
    <row r="693" spans="1:17">
      <c r="A693" s="2">
        <v>2641</v>
      </c>
      <c r="B693" s="7">
        <v>0.6</v>
      </c>
      <c r="C693" s="7">
        <v>0.6</v>
      </c>
      <c r="D693" s="7">
        <v>0.6</v>
      </c>
      <c r="E693" s="7">
        <v>0.6</v>
      </c>
      <c r="F693" s="7">
        <v>0.6</v>
      </c>
      <c r="G693" s="7">
        <v>0.6</v>
      </c>
      <c r="H693" s="7">
        <v>0.6</v>
      </c>
      <c r="I693" s="7">
        <v>0.6</v>
      </c>
      <c r="J693" s="7">
        <v>0.6</v>
      </c>
      <c r="K693" s="7">
        <v>0.6</v>
      </c>
      <c r="L693" s="7">
        <v>0.6</v>
      </c>
      <c r="M693" s="7">
        <v>0.6</v>
      </c>
      <c r="N693" s="7">
        <v>0.6</v>
      </c>
      <c r="O693" s="7">
        <v>0.6</v>
      </c>
      <c r="P693" s="7">
        <v>0.6</v>
      </c>
      <c r="Q693" s="7">
        <v>0.6</v>
      </c>
    </row>
    <row r="694" spans="1:17">
      <c r="A694" s="2">
        <v>2642</v>
      </c>
      <c r="B694" s="7">
        <v>0.6</v>
      </c>
      <c r="C694" s="7">
        <v>0.6</v>
      </c>
      <c r="D694" s="7">
        <v>0.6</v>
      </c>
      <c r="E694" s="7">
        <v>0.6</v>
      </c>
      <c r="F694" s="7">
        <v>0.6</v>
      </c>
      <c r="G694" s="7">
        <v>0.6</v>
      </c>
      <c r="H694" s="7">
        <v>0.6</v>
      </c>
      <c r="I694" s="7">
        <v>0.6</v>
      </c>
      <c r="J694" s="7">
        <v>0.6</v>
      </c>
      <c r="K694" s="7">
        <v>0.6</v>
      </c>
      <c r="L694" s="7">
        <v>0.6</v>
      </c>
      <c r="M694" s="7">
        <v>0.6</v>
      </c>
      <c r="N694" s="7">
        <v>0.6</v>
      </c>
      <c r="O694" s="7">
        <v>0.6</v>
      </c>
      <c r="P694" s="7">
        <v>0.6</v>
      </c>
      <c r="Q694" s="7">
        <v>0.6</v>
      </c>
    </row>
    <row r="695" spans="1:17">
      <c r="A695" s="2">
        <v>2643</v>
      </c>
      <c r="B695" s="7">
        <v>0.6</v>
      </c>
      <c r="C695" s="7">
        <v>0.6</v>
      </c>
      <c r="D695" s="7">
        <v>0.6</v>
      </c>
      <c r="E695" s="7">
        <v>0.6</v>
      </c>
      <c r="F695" s="7">
        <v>0.6</v>
      </c>
      <c r="G695" s="7">
        <v>0.6</v>
      </c>
      <c r="H695" s="7">
        <v>0.6</v>
      </c>
      <c r="I695" s="7">
        <v>0.6</v>
      </c>
      <c r="J695" s="7">
        <v>0.6</v>
      </c>
      <c r="K695" s="7">
        <v>0.6</v>
      </c>
      <c r="L695" s="7">
        <v>0.6</v>
      </c>
      <c r="M695" s="7">
        <v>0.6</v>
      </c>
      <c r="N695" s="7">
        <v>0.6</v>
      </c>
      <c r="O695" s="7">
        <v>0.6</v>
      </c>
      <c r="P695" s="7">
        <v>0.6</v>
      </c>
      <c r="Q695" s="7">
        <v>0.6</v>
      </c>
    </row>
    <row r="696" spans="1:17">
      <c r="A696" s="2">
        <v>2644</v>
      </c>
      <c r="B696" s="7">
        <v>0.6</v>
      </c>
      <c r="C696" s="7">
        <v>0.6</v>
      </c>
      <c r="D696" s="7">
        <v>0.6</v>
      </c>
      <c r="E696" s="7">
        <v>0.6</v>
      </c>
      <c r="F696" s="7">
        <v>0.6</v>
      </c>
      <c r="G696" s="7">
        <v>0.6</v>
      </c>
      <c r="H696" s="7">
        <v>0.6</v>
      </c>
      <c r="I696" s="7">
        <v>0.6</v>
      </c>
      <c r="J696" s="7">
        <v>0.6</v>
      </c>
      <c r="K696" s="7">
        <v>0.6</v>
      </c>
      <c r="L696" s="7">
        <v>0.6</v>
      </c>
      <c r="M696" s="7">
        <v>0.6</v>
      </c>
      <c r="N696" s="7">
        <v>0.6</v>
      </c>
      <c r="O696" s="7">
        <v>0.6</v>
      </c>
      <c r="P696" s="7">
        <v>0.6</v>
      </c>
      <c r="Q696" s="7">
        <v>0.6</v>
      </c>
    </row>
    <row r="697" spans="1:17">
      <c r="A697" s="2">
        <v>2645</v>
      </c>
      <c r="B697" s="7">
        <v>0.6</v>
      </c>
      <c r="C697" s="7">
        <v>0.6</v>
      </c>
      <c r="D697" s="7">
        <v>0.6</v>
      </c>
      <c r="E697" s="7">
        <v>0.6</v>
      </c>
      <c r="F697" s="7">
        <v>0.6</v>
      </c>
      <c r="G697" s="7">
        <v>0.6</v>
      </c>
      <c r="H697" s="7">
        <v>0.6</v>
      </c>
      <c r="I697" s="7">
        <v>0.6</v>
      </c>
      <c r="J697" s="7">
        <v>0.6</v>
      </c>
      <c r="K697" s="7">
        <v>0.6</v>
      </c>
      <c r="L697" s="7">
        <v>0.6</v>
      </c>
      <c r="M697" s="7">
        <v>0.6</v>
      </c>
      <c r="N697" s="7">
        <v>0.6</v>
      </c>
      <c r="O697" s="7">
        <v>0.6</v>
      </c>
      <c r="P697" s="7">
        <v>0.6</v>
      </c>
      <c r="Q697" s="7">
        <v>0.6</v>
      </c>
    </row>
    <row r="698" spans="1:17">
      <c r="A698" s="2">
        <v>2646</v>
      </c>
      <c r="B698" s="7">
        <v>0.6</v>
      </c>
      <c r="C698" s="7">
        <v>0.6</v>
      </c>
      <c r="D698" s="7">
        <v>0.6</v>
      </c>
      <c r="E698" s="7">
        <v>0.6</v>
      </c>
      <c r="F698" s="7">
        <v>0.6</v>
      </c>
      <c r="G698" s="7">
        <v>0.6</v>
      </c>
      <c r="H698" s="7">
        <v>0.6</v>
      </c>
      <c r="I698" s="7">
        <v>0.6</v>
      </c>
      <c r="J698" s="7">
        <v>0.6</v>
      </c>
      <c r="K698" s="7">
        <v>0.6</v>
      </c>
      <c r="L698" s="7">
        <v>0.6</v>
      </c>
      <c r="M698" s="7">
        <v>0.6</v>
      </c>
      <c r="N698" s="7">
        <v>0.6</v>
      </c>
      <c r="O698" s="7">
        <v>0.6</v>
      </c>
      <c r="P698" s="7">
        <v>0.6</v>
      </c>
      <c r="Q698" s="7">
        <v>0.6</v>
      </c>
    </row>
    <row r="699" spans="1:17">
      <c r="A699" s="2">
        <v>2647</v>
      </c>
      <c r="B699" s="7">
        <v>0.6</v>
      </c>
      <c r="C699" s="7">
        <v>0.6</v>
      </c>
      <c r="D699" s="7">
        <v>0.6</v>
      </c>
      <c r="E699" s="7">
        <v>0.6</v>
      </c>
      <c r="F699" s="7">
        <v>0.6</v>
      </c>
      <c r="G699" s="7">
        <v>0.6</v>
      </c>
      <c r="H699" s="7">
        <v>0.6</v>
      </c>
      <c r="I699" s="7">
        <v>0.6</v>
      </c>
      <c r="J699" s="7">
        <v>0.6</v>
      </c>
      <c r="K699" s="7">
        <v>0.6</v>
      </c>
      <c r="L699" s="7">
        <v>0.6</v>
      </c>
      <c r="M699" s="7">
        <v>0.6</v>
      </c>
      <c r="N699" s="7">
        <v>0.6</v>
      </c>
      <c r="O699" s="7">
        <v>0.6</v>
      </c>
      <c r="P699" s="7">
        <v>0.6</v>
      </c>
      <c r="Q699" s="7">
        <v>0.6</v>
      </c>
    </row>
    <row r="700" spans="1:17">
      <c r="A700" s="2">
        <v>2648</v>
      </c>
      <c r="B700" s="7">
        <v>0.6</v>
      </c>
      <c r="C700" s="7">
        <v>0.6</v>
      </c>
      <c r="D700" s="7">
        <v>0.6</v>
      </c>
      <c r="E700" s="7">
        <v>0.6</v>
      </c>
      <c r="F700" s="7">
        <v>0.6</v>
      </c>
      <c r="G700" s="7">
        <v>0.6</v>
      </c>
      <c r="H700" s="7">
        <v>0.6</v>
      </c>
      <c r="I700" s="7">
        <v>0.6</v>
      </c>
      <c r="J700" s="7">
        <v>0.6</v>
      </c>
      <c r="K700" s="7">
        <v>0.6</v>
      </c>
      <c r="L700" s="7">
        <v>0.6</v>
      </c>
      <c r="M700" s="7">
        <v>0.6</v>
      </c>
      <c r="N700" s="7">
        <v>0.6</v>
      </c>
      <c r="O700" s="7">
        <v>0.6</v>
      </c>
      <c r="P700" s="7">
        <v>0.6</v>
      </c>
      <c r="Q700" s="7">
        <v>0.6</v>
      </c>
    </row>
    <row r="701" spans="1:17">
      <c r="A701" s="2">
        <v>2649</v>
      </c>
      <c r="B701" s="7">
        <v>0.6</v>
      </c>
      <c r="C701" s="7">
        <v>0.6</v>
      </c>
      <c r="D701" s="7">
        <v>0.6</v>
      </c>
      <c r="E701" s="7">
        <v>0.6</v>
      </c>
      <c r="F701" s="7">
        <v>0.6</v>
      </c>
      <c r="G701" s="7">
        <v>0.6</v>
      </c>
      <c r="H701" s="7">
        <v>0.6</v>
      </c>
      <c r="I701" s="7">
        <v>0.6</v>
      </c>
      <c r="J701" s="7">
        <v>0.6</v>
      </c>
      <c r="K701" s="7">
        <v>0.6</v>
      </c>
      <c r="L701" s="7">
        <v>0.6</v>
      </c>
      <c r="M701" s="7">
        <v>0.6</v>
      </c>
      <c r="N701" s="7">
        <v>0.6</v>
      </c>
      <c r="O701" s="7">
        <v>0.6</v>
      </c>
      <c r="P701" s="7">
        <v>0.6</v>
      </c>
      <c r="Q701" s="7">
        <v>0.6</v>
      </c>
    </row>
    <row r="702" spans="1:17">
      <c r="A702" s="2">
        <v>2650</v>
      </c>
      <c r="B702" s="7">
        <v>0.6</v>
      </c>
      <c r="C702" s="7">
        <v>0.6</v>
      </c>
      <c r="D702" s="7">
        <v>0.6</v>
      </c>
      <c r="E702" s="7">
        <v>0.6</v>
      </c>
      <c r="F702" s="7">
        <v>0.6</v>
      </c>
      <c r="G702" s="7">
        <v>0.6</v>
      </c>
      <c r="H702" s="7">
        <v>0.6</v>
      </c>
      <c r="I702" s="7">
        <v>0.6</v>
      </c>
      <c r="J702" s="7">
        <v>0.6</v>
      </c>
      <c r="K702" s="7">
        <v>0.6</v>
      </c>
      <c r="L702" s="7">
        <v>0.6</v>
      </c>
      <c r="M702" s="7">
        <v>0.6</v>
      </c>
      <c r="N702" s="7">
        <v>0.6</v>
      </c>
      <c r="O702" s="7">
        <v>0.6</v>
      </c>
      <c r="P702" s="7">
        <v>0.6</v>
      </c>
      <c r="Q702" s="7">
        <v>0.6</v>
      </c>
    </row>
    <row r="703" spans="1:17">
      <c r="A703" s="2">
        <v>2651</v>
      </c>
      <c r="B703" s="7">
        <v>0.6</v>
      </c>
      <c r="C703" s="7">
        <v>0.6</v>
      </c>
      <c r="D703" s="7">
        <v>0.6</v>
      </c>
      <c r="E703" s="7">
        <v>0.6</v>
      </c>
      <c r="F703" s="7">
        <v>0.6</v>
      </c>
      <c r="G703" s="7">
        <v>0.6</v>
      </c>
      <c r="H703" s="7">
        <v>0.6</v>
      </c>
      <c r="I703" s="7">
        <v>0.6</v>
      </c>
      <c r="J703" s="7">
        <v>0.6</v>
      </c>
      <c r="K703" s="7">
        <v>0.6</v>
      </c>
      <c r="L703" s="7">
        <v>0.6</v>
      </c>
      <c r="M703" s="7">
        <v>0.6</v>
      </c>
      <c r="N703" s="7">
        <v>0.6</v>
      </c>
      <c r="O703" s="7">
        <v>0.6</v>
      </c>
      <c r="P703" s="7">
        <v>0.6</v>
      </c>
      <c r="Q703" s="7">
        <v>0.6</v>
      </c>
    </row>
    <row r="704" spans="1:17">
      <c r="A704" s="2">
        <v>2652</v>
      </c>
      <c r="B704" s="7">
        <v>0.6</v>
      </c>
      <c r="C704" s="7">
        <v>0.6</v>
      </c>
      <c r="D704" s="7">
        <v>0.6</v>
      </c>
      <c r="E704" s="7">
        <v>0.6</v>
      </c>
      <c r="F704" s="7">
        <v>0.6</v>
      </c>
      <c r="G704" s="7">
        <v>0.6</v>
      </c>
      <c r="H704" s="7">
        <v>0.6</v>
      </c>
      <c r="I704" s="7">
        <v>0.6</v>
      </c>
      <c r="J704" s="7">
        <v>0.6</v>
      </c>
      <c r="K704" s="7">
        <v>0.6</v>
      </c>
      <c r="L704" s="7">
        <v>0.6</v>
      </c>
      <c r="M704" s="7">
        <v>0.6</v>
      </c>
      <c r="N704" s="7">
        <v>0.6</v>
      </c>
      <c r="O704" s="7">
        <v>0.6</v>
      </c>
      <c r="P704" s="7">
        <v>0.6</v>
      </c>
      <c r="Q704" s="7">
        <v>0.6</v>
      </c>
    </row>
    <row r="705" spans="1:17">
      <c r="A705" s="2">
        <v>2653</v>
      </c>
      <c r="B705" s="7">
        <v>0.6</v>
      </c>
      <c r="C705" s="7">
        <v>0.6</v>
      </c>
      <c r="D705" s="7">
        <v>0.6</v>
      </c>
      <c r="E705" s="7">
        <v>0.6</v>
      </c>
      <c r="F705" s="7">
        <v>0.6</v>
      </c>
      <c r="G705" s="7">
        <v>0.6</v>
      </c>
      <c r="H705" s="7">
        <v>0.6</v>
      </c>
      <c r="I705" s="7">
        <v>0.6</v>
      </c>
      <c r="J705" s="7">
        <v>0.6</v>
      </c>
      <c r="K705" s="7">
        <v>0.6</v>
      </c>
      <c r="L705" s="7">
        <v>0.6</v>
      </c>
      <c r="M705" s="7">
        <v>0.6</v>
      </c>
      <c r="N705" s="7">
        <v>0.6</v>
      </c>
      <c r="O705" s="7">
        <v>0.6</v>
      </c>
      <c r="P705" s="7">
        <v>0.6</v>
      </c>
      <c r="Q705" s="7">
        <v>0.6</v>
      </c>
    </row>
    <row r="706" spans="1:17">
      <c r="A706" s="2">
        <v>2654</v>
      </c>
      <c r="B706" s="7">
        <v>0.6</v>
      </c>
      <c r="C706" s="7">
        <v>0.6</v>
      </c>
      <c r="D706" s="7">
        <v>0.6</v>
      </c>
      <c r="E706" s="7">
        <v>0.6</v>
      </c>
      <c r="F706" s="7">
        <v>0.6</v>
      </c>
      <c r="G706" s="7">
        <v>0.6</v>
      </c>
      <c r="H706" s="7">
        <v>0.6</v>
      </c>
      <c r="I706" s="7">
        <v>0.6</v>
      </c>
      <c r="J706" s="7">
        <v>0.6</v>
      </c>
      <c r="K706" s="7">
        <v>0.6</v>
      </c>
      <c r="L706" s="7">
        <v>0.6</v>
      </c>
      <c r="M706" s="7">
        <v>0.6</v>
      </c>
      <c r="N706" s="7">
        <v>0.6</v>
      </c>
      <c r="O706" s="7">
        <v>0.6</v>
      </c>
      <c r="P706" s="7">
        <v>0.6</v>
      </c>
      <c r="Q706" s="7">
        <v>0.6</v>
      </c>
    </row>
    <row r="707" spans="1:17">
      <c r="A707" s="2">
        <v>2655</v>
      </c>
      <c r="B707" s="7">
        <v>0.6</v>
      </c>
      <c r="C707" s="7">
        <v>0.6</v>
      </c>
      <c r="D707" s="7">
        <v>0.6</v>
      </c>
      <c r="E707" s="7">
        <v>0.6</v>
      </c>
      <c r="F707" s="7">
        <v>0.6</v>
      </c>
      <c r="G707" s="7">
        <v>0.6</v>
      </c>
      <c r="H707" s="7">
        <v>0.6</v>
      </c>
      <c r="I707" s="7">
        <v>0.6</v>
      </c>
      <c r="J707" s="7">
        <v>0.6</v>
      </c>
      <c r="K707" s="7">
        <v>0.6</v>
      </c>
      <c r="L707" s="7">
        <v>0.6</v>
      </c>
      <c r="M707" s="7">
        <v>0.6</v>
      </c>
      <c r="N707" s="7">
        <v>0.6</v>
      </c>
      <c r="O707" s="7">
        <v>0.6</v>
      </c>
      <c r="P707" s="7">
        <v>0.6</v>
      </c>
      <c r="Q707" s="7">
        <v>0.6</v>
      </c>
    </row>
    <row r="708" spans="1:17">
      <c r="A708" s="2">
        <v>2656</v>
      </c>
      <c r="B708" s="7">
        <v>0.6</v>
      </c>
      <c r="C708" s="7">
        <v>0.6</v>
      </c>
      <c r="D708" s="7">
        <v>0.6</v>
      </c>
      <c r="E708" s="7">
        <v>0.6</v>
      </c>
      <c r="F708" s="7">
        <v>0.6</v>
      </c>
      <c r="G708" s="7">
        <v>0.6</v>
      </c>
      <c r="H708" s="7">
        <v>0.6</v>
      </c>
      <c r="I708" s="7">
        <v>0.6</v>
      </c>
      <c r="J708" s="7">
        <v>0.6</v>
      </c>
      <c r="K708" s="7">
        <v>0.6</v>
      </c>
      <c r="L708" s="7">
        <v>0.6</v>
      </c>
      <c r="M708" s="7">
        <v>0.6</v>
      </c>
      <c r="N708" s="7">
        <v>0.6</v>
      </c>
      <c r="O708" s="7">
        <v>0.6</v>
      </c>
      <c r="P708" s="7">
        <v>0.6</v>
      </c>
      <c r="Q708" s="7">
        <v>0.6</v>
      </c>
    </row>
    <row r="709" spans="1:17">
      <c r="A709" s="2">
        <v>2657</v>
      </c>
      <c r="B709" s="7">
        <v>0.6</v>
      </c>
      <c r="C709" s="7">
        <v>0.6</v>
      </c>
      <c r="D709" s="7">
        <v>0.6</v>
      </c>
      <c r="E709" s="7">
        <v>0.6</v>
      </c>
      <c r="F709" s="7">
        <v>0.6</v>
      </c>
      <c r="G709" s="7">
        <v>0.6</v>
      </c>
      <c r="H709" s="7">
        <v>0.6</v>
      </c>
      <c r="I709" s="7">
        <v>0.6</v>
      </c>
      <c r="J709" s="7">
        <v>0.6</v>
      </c>
      <c r="K709" s="7">
        <v>0.6</v>
      </c>
      <c r="L709" s="7">
        <v>0.6</v>
      </c>
      <c r="M709" s="7">
        <v>0.6</v>
      </c>
      <c r="N709" s="7">
        <v>0.6</v>
      </c>
      <c r="O709" s="7">
        <v>0.6</v>
      </c>
      <c r="P709" s="7">
        <v>0.6</v>
      </c>
      <c r="Q709" s="7">
        <v>0.6</v>
      </c>
    </row>
    <row r="710" spans="1:17">
      <c r="A710" s="2">
        <v>2658</v>
      </c>
      <c r="B710" s="7">
        <v>0.6</v>
      </c>
      <c r="C710" s="7">
        <v>0.6</v>
      </c>
      <c r="D710" s="7">
        <v>0.6</v>
      </c>
      <c r="E710" s="7">
        <v>0.6</v>
      </c>
      <c r="F710" s="7">
        <v>0.6</v>
      </c>
      <c r="G710" s="7">
        <v>0.6</v>
      </c>
      <c r="H710" s="7">
        <v>0.6</v>
      </c>
      <c r="I710" s="7">
        <v>0.6</v>
      </c>
      <c r="J710" s="7">
        <v>0.6</v>
      </c>
      <c r="K710" s="7">
        <v>0.6</v>
      </c>
      <c r="L710" s="7">
        <v>0.6</v>
      </c>
      <c r="M710" s="7">
        <v>0.6</v>
      </c>
      <c r="N710" s="7">
        <v>0.6</v>
      </c>
      <c r="O710" s="7">
        <v>0.6</v>
      </c>
      <c r="P710" s="7">
        <v>0.6</v>
      </c>
      <c r="Q710" s="7">
        <v>0.6</v>
      </c>
    </row>
    <row r="711" spans="1:17">
      <c r="A711" s="2">
        <v>2659</v>
      </c>
      <c r="B711" s="7">
        <v>0.6</v>
      </c>
      <c r="C711" s="7">
        <v>0.6</v>
      </c>
      <c r="D711" s="7">
        <v>0.6</v>
      </c>
      <c r="E711" s="7">
        <v>0.6</v>
      </c>
      <c r="F711" s="7">
        <v>0.6</v>
      </c>
      <c r="G711" s="7">
        <v>0.6</v>
      </c>
      <c r="H711" s="7">
        <v>0.6</v>
      </c>
      <c r="I711" s="7">
        <v>0.6</v>
      </c>
      <c r="J711" s="7">
        <v>0.6</v>
      </c>
      <c r="K711" s="7">
        <v>0.6</v>
      </c>
      <c r="L711" s="7">
        <v>0.6</v>
      </c>
      <c r="M711" s="7">
        <v>0.6</v>
      </c>
      <c r="N711" s="7">
        <v>0.6</v>
      </c>
      <c r="O711" s="7">
        <v>0.6</v>
      </c>
      <c r="P711" s="7">
        <v>0.6</v>
      </c>
      <c r="Q711" s="7">
        <v>0.6</v>
      </c>
    </row>
    <row r="712" spans="1:17">
      <c r="A712" s="2">
        <v>2660</v>
      </c>
      <c r="B712" s="7">
        <v>0.6</v>
      </c>
      <c r="C712" s="7">
        <v>0.6</v>
      </c>
      <c r="D712" s="7">
        <v>0.6</v>
      </c>
      <c r="E712" s="7">
        <v>0.6</v>
      </c>
      <c r="F712" s="7">
        <v>0.6</v>
      </c>
      <c r="G712" s="7">
        <v>0.6</v>
      </c>
      <c r="H712" s="7">
        <v>0.6</v>
      </c>
      <c r="I712" s="7">
        <v>0.6</v>
      </c>
      <c r="J712" s="7">
        <v>0.6</v>
      </c>
      <c r="K712" s="7">
        <v>0.6</v>
      </c>
      <c r="L712" s="7">
        <v>0.6</v>
      </c>
      <c r="M712" s="7">
        <v>0.6</v>
      </c>
      <c r="N712" s="7">
        <v>0.6</v>
      </c>
      <c r="O712" s="7">
        <v>0.6</v>
      </c>
      <c r="P712" s="7">
        <v>0.6</v>
      </c>
      <c r="Q712" s="7">
        <v>0.6</v>
      </c>
    </row>
    <row r="713" spans="1:17">
      <c r="A713" s="2">
        <v>2661</v>
      </c>
      <c r="B713" s="7">
        <v>0.6</v>
      </c>
      <c r="C713" s="7">
        <v>0.6</v>
      </c>
      <c r="D713" s="7">
        <v>0.6</v>
      </c>
      <c r="E713" s="7">
        <v>0.6</v>
      </c>
      <c r="F713" s="7">
        <v>0.6</v>
      </c>
      <c r="G713" s="7">
        <v>0.6</v>
      </c>
      <c r="H713" s="7">
        <v>0.6</v>
      </c>
      <c r="I713" s="7">
        <v>0.6</v>
      </c>
      <c r="J713" s="7">
        <v>0.6</v>
      </c>
      <c r="K713" s="7">
        <v>0.6</v>
      </c>
      <c r="L713" s="7">
        <v>0.6</v>
      </c>
      <c r="M713" s="7">
        <v>0.6</v>
      </c>
      <c r="N713" s="7">
        <v>0.6</v>
      </c>
      <c r="O713" s="7">
        <v>0.6</v>
      </c>
      <c r="P713" s="7">
        <v>0.6</v>
      </c>
      <c r="Q713" s="7">
        <v>0.6</v>
      </c>
    </row>
    <row r="714" spans="1:17">
      <c r="A714" s="2">
        <v>2662</v>
      </c>
      <c r="B714" s="7">
        <v>0.6</v>
      </c>
      <c r="C714" s="7">
        <v>0.6</v>
      </c>
      <c r="D714" s="7">
        <v>0.6</v>
      </c>
      <c r="E714" s="7">
        <v>0.6</v>
      </c>
      <c r="F714" s="7">
        <v>0.6</v>
      </c>
      <c r="G714" s="7">
        <v>0.6</v>
      </c>
      <c r="H714" s="7">
        <v>0.6</v>
      </c>
      <c r="I714" s="7">
        <v>0.6</v>
      </c>
      <c r="J714" s="7">
        <v>0.6</v>
      </c>
      <c r="K714" s="7">
        <v>0.6</v>
      </c>
      <c r="L714" s="7">
        <v>0.6</v>
      </c>
      <c r="M714" s="7">
        <v>0.6</v>
      </c>
      <c r="N714" s="7">
        <v>0.6</v>
      </c>
      <c r="O714" s="7">
        <v>0.6</v>
      </c>
      <c r="P714" s="7">
        <v>0.6</v>
      </c>
      <c r="Q714" s="7">
        <v>0.6</v>
      </c>
    </row>
    <row r="715" spans="1:17">
      <c r="A715" s="2">
        <v>2663</v>
      </c>
      <c r="B715" s="7">
        <v>0.6</v>
      </c>
      <c r="C715" s="7">
        <v>0.6</v>
      </c>
      <c r="D715" s="7">
        <v>0.6</v>
      </c>
      <c r="E715" s="7">
        <v>0.6</v>
      </c>
      <c r="F715" s="7">
        <v>0.6</v>
      </c>
      <c r="G715" s="7">
        <v>0.6</v>
      </c>
      <c r="H715" s="7">
        <v>0.6</v>
      </c>
      <c r="I715" s="7">
        <v>0.6</v>
      </c>
      <c r="J715" s="7">
        <v>0.6</v>
      </c>
      <c r="K715" s="7">
        <v>0.6</v>
      </c>
      <c r="L715" s="7">
        <v>0.6</v>
      </c>
      <c r="M715" s="7">
        <v>0.6</v>
      </c>
      <c r="N715" s="7">
        <v>0.6</v>
      </c>
      <c r="O715" s="7">
        <v>0.6</v>
      </c>
      <c r="P715" s="7">
        <v>0.6</v>
      </c>
      <c r="Q715" s="7">
        <v>0.6</v>
      </c>
    </row>
    <row r="716" spans="1:17">
      <c r="A716" s="2">
        <v>2664</v>
      </c>
      <c r="B716" s="7">
        <v>0.6</v>
      </c>
      <c r="C716" s="7">
        <v>0.6</v>
      </c>
      <c r="D716" s="7">
        <v>0.6</v>
      </c>
      <c r="E716" s="7">
        <v>0.6</v>
      </c>
      <c r="F716" s="7">
        <v>0.6</v>
      </c>
      <c r="G716" s="7">
        <v>0.6</v>
      </c>
      <c r="H716" s="7">
        <v>0.6</v>
      </c>
      <c r="I716" s="7">
        <v>0.6</v>
      </c>
      <c r="J716" s="7">
        <v>0.6</v>
      </c>
      <c r="K716" s="7">
        <v>0.6</v>
      </c>
      <c r="L716" s="7">
        <v>0.6</v>
      </c>
      <c r="M716" s="7">
        <v>0.6</v>
      </c>
      <c r="N716" s="7">
        <v>0.6</v>
      </c>
      <c r="O716" s="7">
        <v>0.6</v>
      </c>
      <c r="P716" s="7">
        <v>0.6</v>
      </c>
      <c r="Q716" s="7">
        <v>0.6</v>
      </c>
    </row>
    <row r="717" spans="1:17">
      <c r="A717" s="2">
        <v>2665</v>
      </c>
      <c r="B717" s="7">
        <v>0.6</v>
      </c>
      <c r="C717" s="7">
        <v>0.6</v>
      </c>
      <c r="D717" s="7">
        <v>0.6</v>
      </c>
      <c r="E717" s="7">
        <v>0.6</v>
      </c>
      <c r="F717" s="7">
        <v>0.6</v>
      </c>
      <c r="G717" s="7">
        <v>0.6</v>
      </c>
      <c r="H717" s="7">
        <v>0.6</v>
      </c>
      <c r="I717" s="7">
        <v>0.6</v>
      </c>
      <c r="J717" s="7">
        <v>0.6</v>
      </c>
      <c r="K717" s="7">
        <v>0.6</v>
      </c>
      <c r="L717" s="7">
        <v>0.6</v>
      </c>
      <c r="M717" s="7">
        <v>0.6</v>
      </c>
      <c r="N717" s="7">
        <v>0.6</v>
      </c>
      <c r="O717" s="7">
        <v>0.6</v>
      </c>
      <c r="P717" s="7">
        <v>0.6</v>
      </c>
      <c r="Q717" s="7">
        <v>0.6</v>
      </c>
    </row>
    <row r="718" spans="1:17">
      <c r="A718" s="2">
        <v>2666</v>
      </c>
      <c r="B718" s="7">
        <v>0.6</v>
      </c>
      <c r="C718" s="7">
        <v>0.6</v>
      </c>
      <c r="D718" s="7">
        <v>0.6</v>
      </c>
      <c r="E718" s="7">
        <v>0.6</v>
      </c>
      <c r="F718" s="7">
        <v>0.6</v>
      </c>
      <c r="G718" s="7">
        <v>0.6</v>
      </c>
      <c r="H718" s="7">
        <v>0.6</v>
      </c>
      <c r="I718" s="7">
        <v>0.6</v>
      </c>
      <c r="J718" s="7">
        <v>0.6</v>
      </c>
      <c r="K718" s="7">
        <v>0.6</v>
      </c>
      <c r="L718" s="7">
        <v>0.6</v>
      </c>
      <c r="M718" s="7">
        <v>0.6</v>
      </c>
      <c r="N718" s="7">
        <v>0.6</v>
      </c>
      <c r="O718" s="7">
        <v>0.6</v>
      </c>
      <c r="P718" s="7">
        <v>0.6</v>
      </c>
      <c r="Q718" s="7">
        <v>0.6</v>
      </c>
    </row>
    <row r="719" spans="1:17">
      <c r="A719" s="2">
        <v>2667</v>
      </c>
      <c r="B719" s="7">
        <v>0.6</v>
      </c>
      <c r="C719" s="7">
        <v>0.6</v>
      </c>
      <c r="D719" s="7">
        <v>0.6</v>
      </c>
      <c r="E719" s="7">
        <v>0.6</v>
      </c>
      <c r="F719" s="7">
        <v>0.6</v>
      </c>
      <c r="G719" s="7">
        <v>0.6</v>
      </c>
      <c r="H719" s="7">
        <v>0.6</v>
      </c>
      <c r="I719" s="7">
        <v>0.6</v>
      </c>
      <c r="J719" s="7">
        <v>0.6</v>
      </c>
      <c r="K719" s="7">
        <v>0.6</v>
      </c>
      <c r="L719" s="7">
        <v>0.6</v>
      </c>
      <c r="M719" s="7">
        <v>0.6</v>
      </c>
      <c r="N719" s="7">
        <v>0.6</v>
      </c>
      <c r="O719" s="7">
        <v>0.6</v>
      </c>
      <c r="P719" s="7">
        <v>0.6</v>
      </c>
      <c r="Q719" s="7">
        <v>0.6</v>
      </c>
    </row>
    <row r="720" spans="1:17">
      <c r="A720" s="2">
        <v>2668</v>
      </c>
      <c r="B720" s="7">
        <v>0.6</v>
      </c>
      <c r="C720" s="7">
        <v>0.6</v>
      </c>
      <c r="D720" s="7">
        <v>0.6</v>
      </c>
      <c r="E720" s="7">
        <v>0.6</v>
      </c>
      <c r="F720" s="7">
        <v>0.6</v>
      </c>
      <c r="G720" s="7">
        <v>0.6</v>
      </c>
      <c r="H720" s="7">
        <v>0.6</v>
      </c>
      <c r="I720" s="7">
        <v>0.6</v>
      </c>
      <c r="J720" s="7">
        <v>0.6</v>
      </c>
      <c r="K720" s="7">
        <v>0.6</v>
      </c>
      <c r="L720" s="7">
        <v>0.6</v>
      </c>
      <c r="M720" s="7">
        <v>0.6</v>
      </c>
      <c r="N720" s="7">
        <v>0.6</v>
      </c>
      <c r="O720" s="7">
        <v>0.6</v>
      </c>
      <c r="P720" s="7">
        <v>0.6</v>
      </c>
      <c r="Q720" s="7">
        <v>0.6</v>
      </c>
    </row>
    <row r="721" spans="1:17">
      <c r="A721" s="2">
        <v>2669</v>
      </c>
      <c r="B721" s="7">
        <v>0.6</v>
      </c>
      <c r="C721" s="7">
        <v>0.6</v>
      </c>
      <c r="D721" s="7">
        <v>0.6</v>
      </c>
      <c r="E721" s="7">
        <v>0.6</v>
      </c>
      <c r="F721" s="7">
        <v>0.6</v>
      </c>
      <c r="G721" s="7">
        <v>0.6</v>
      </c>
      <c r="H721" s="7">
        <v>0.6</v>
      </c>
      <c r="I721" s="7">
        <v>0.6</v>
      </c>
      <c r="J721" s="7">
        <v>0.6</v>
      </c>
      <c r="K721" s="7">
        <v>0.6</v>
      </c>
      <c r="L721" s="7">
        <v>0.6</v>
      </c>
      <c r="M721" s="7">
        <v>0.6</v>
      </c>
      <c r="N721" s="7">
        <v>0.6</v>
      </c>
      <c r="O721" s="7">
        <v>0.6</v>
      </c>
      <c r="P721" s="7">
        <v>0.6</v>
      </c>
      <c r="Q721" s="7">
        <v>0.6</v>
      </c>
    </row>
    <row r="722" spans="1:17">
      <c r="A722" s="2">
        <v>2670</v>
      </c>
      <c r="B722" s="7">
        <v>0.6</v>
      </c>
      <c r="C722" s="7">
        <v>0.6</v>
      </c>
      <c r="D722" s="7">
        <v>0.6</v>
      </c>
      <c r="E722" s="7">
        <v>0.6</v>
      </c>
      <c r="F722" s="7">
        <v>0.6</v>
      </c>
      <c r="G722" s="7">
        <v>0.6</v>
      </c>
      <c r="H722" s="7">
        <v>0.6</v>
      </c>
      <c r="I722" s="7">
        <v>0.6</v>
      </c>
      <c r="J722" s="7">
        <v>0.6</v>
      </c>
      <c r="K722" s="7">
        <v>0.6</v>
      </c>
      <c r="L722" s="7">
        <v>0.6</v>
      </c>
      <c r="M722" s="7">
        <v>0.6</v>
      </c>
      <c r="N722" s="7">
        <v>0.6</v>
      </c>
      <c r="O722" s="7">
        <v>0.6</v>
      </c>
      <c r="P722" s="7">
        <v>0.6</v>
      </c>
      <c r="Q722" s="7">
        <v>0.6</v>
      </c>
    </row>
    <row r="723" spans="1:17">
      <c r="A723" s="2">
        <v>2671</v>
      </c>
      <c r="B723" s="7">
        <v>0.6</v>
      </c>
      <c r="C723" s="7">
        <v>0.6</v>
      </c>
      <c r="D723" s="7">
        <v>0.6</v>
      </c>
      <c r="E723" s="7">
        <v>0.6</v>
      </c>
      <c r="F723" s="7">
        <v>0.6</v>
      </c>
      <c r="G723" s="7">
        <v>0.6</v>
      </c>
      <c r="H723" s="7">
        <v>0.6</v>
      </c>
      <c r="I723" s="7">
        <v>0.6</v>
      </c>
      <c r="J723" s="7">
        <v>0.6</v>
      </c>
      <c r="K723" s="7">
        <v>0.6</v>
      </c>
      <c r="L723" s="7">
        <v>0.6</v>
      </c>
      <c r="M723" s="7">
        <v>0.6</v>
      </c>
      <c r="N723" s="7">
        <v>0.6</v>
      </c>
      <c r="O723" s="7">
        <v>0.6</v>
      </c>
      <c r="P723" s="7">
        <v>0.6</v>
      </c>
      <c r="Q723" s="7">
        <v>0.6</v>
      </c>
    </row>
    <row r="724" spans="1:17">
      <c r="A724" s="2">
        <v>2672</v>
      </c>
      <c r="B724" s="7">
        <v>0.6</v>
      </c>
      <c r="C724" s="7">
        <v>0.6</v>
      </c>
      <c r="D724" s="7">
        <v>0.6</v>
      </c>
      <c r="E724" s="7">
        <v>0.6</v>
      </c>
      <c r="F724" s="7">
        <v>0.6</v>
      </c>
      <c r="G724" s="7">
        <v>0.6</v>
      </c>
      <c r="H724" s="7">
        <v>0.6</v>
      </c>
      <c r="I724" s="7">
        <v>0.6</v>
      </c>
      <c r="J724" s="7">
        <v>0.6</v>
      </c>
      <c r="K724" s="7">
        <v>0.6</v>
      </c>
      <c r="L724" s="7">
        <v>0.6</v>
      </c>
      <c r="M724" s="7">
        <v>0.6</v>
      </c>
      <c r="N724" s="7">
        <v>0.6</v>
      </c>
      <c r="O724" s="7">
        <v>0.6</v>
      </c>
      <c r="P724" s="7">
        <v>0.6</v>
      </c>
      <c r="Q724" s="7">
        <v>0.6</v>
      </c>
    </row>
    <row r="725" spans="1:17">
      <c r="A725" s="2">
        <v>2673</v>
      </c>
      <c r="B725" s="7">
        <v>0.6</v>
      </c>
      <c r="C725" s="7">
        <v>0.6</v>
      </c>
      <c r="D725" s="7">
        <v>0.6</v>
      </c>
      <c r="E725" s="7">
        <v>0.6</v>
      </c>
      <c r="F725" s="7">
        <v>0.6</v>
      </c>
      <c r="G725" s="7">
        <v>0.6</v>
      </c>
      <c r="H725" s="7">
        <v>0.6</v>
      </c>
      <c r="I725" s="7">
        <v>0.6</v>
      </c>
      <c r="J725" s="7">
        <v>0.6</v>
      </c>
      <c r="K725" s="7">
        <v>0.6</v>
      </c>
      <c r="L725" s="7">
        <v>0.6</v>
      </c>
      <c r="M725" s="7">
        <v>0.6</v>
      </c>
      <c r="N725" s="7">
        <v>0.6</v>
      </c>
      <c r="O725" s="7">
        <v>0.6</v>
      </c>
      <c r="P725" s="7">
        <v>0.6</v>
      </c>
      <c r="Q725" s="7">
        <v>0.6</v>
      </c>
    </row>
    <row r="726" spans="1:17">
      <c r="A726" s="2">
        <v>2674</v>
      </c>
      <c r="B726" s="7">
        <v>0.6</v>
      </c>
      <c r="C726" s="7">
        <v>0.6</v>
      </c>
      <c r="D726" s="7">
        <v>0.6</v>
      </c>
      <c r="E726" s="7">
        <v>0.6</v>
      </c>
      <c r="F726" s="7">
        <v>0.6</v>
      </c>
      <c r="G726" s="7">
        <v>0.6</v>
      </c>
      <c r="H726" s="7">
        <v>0.6</v>
      </c>
      <c r="I726" s="7">
        <v>0.6</v>
      </c>
      <c r="J726" s="7">
        <v>0.6</v>
      </c>
      <c r="K726" s="7">
        <v>0.6</v>
      </c>
      <c r="L726" s="7">
        <v>0.6</v>
      </c>
      <c r="M726" s="7">
        <v>0.6</v>
      </c>
      <c r="N726" s="7">
        <v>0.6</v>
      </c>
      <c r="O726" s="7">
        <v>0.6</v>
      </c>
      <c r="P726" s="7">
        <v>0.6</v>
      </c>
      <c r="Q726" s="7">
        <v>0.6</v>
      </c>
    </row>
    <row r="727" spans="1:17">
      <c r="A727" s="2">
        <v>2675</v>
      </c>
      <c r="B727" s="7">
        <v>0.6</v>
      </c>
      <c r="C727" s="7">
        <v>0.6</v>
      </c>
      <c r="D727" s="7">
        <v>0.6</v>
      </c>
      <c r="E727" s="7">
        <v>0.6</v>
      </c>
      <c r="F727" s="7">
        <v>0.6</v>
      </c>
      <c r="G727" s="7">
        <v>0.6</v>
      </c>
      <c r="H727" s="7">
        <v>0.6</v>
      </c>
      <c r="I727" s="7">
        <v>0.6</v>
      </c>
      <c r="J727" s="7">
        <v>0.6</v>
      </c>
      <c r="K727" s="7">
        <v>0.6</v>
      </c>
      <c r="L727" s="7">
        <v>0.6</v>
      </c>
      <c r="M727" s="7">
        <v>0.6</v>
      </c>
      <c r="N727" s="7">
        <v>0.6</v>
      </c>
      <c r="O727" s="7">
        <v>0.6</v>
      </c>
      <c r="P727" s="7">
        <v>0.6</v>
      </c>
      <c r="Q727" s="7">
        <v>0.6</v>
      </c>
    </row>
    <row r="728" spans="1:17">
      <c r="A728" s="2">
        <v>2676</v>
      </c>
      <c r="B728" s="7">
        <v>0.6</v>
      </c>
      <c r="C728" s="7">
        <v>0.6</v>
      </c>
      <c r="D728" s="7">
        <v>0.6</v>
      </c>
      <c r="E728" s="7">
        <v>0.6</v>
      </c>
      <c r="F728" s="7">
        <v>0.6</v>
      </c>
      <c r="G728" s="7">
        <v>0.6</v>
      </c>
      <c r="H728" s="7">
        <v>0.6</v>
      </c>
      <c r="I728" s="7">
        <v>0.6</v>
      </c>
      <c r="J728" s="7">
        <v>0.6</v>
      </c>
      <c r="K728" s="7">
        <v>0.6</v>
      </c>
      <c r="L728" s="7">
        <v>0.6</v>
      </c>
      <c r="M728" s="7">
        <v>0.6</v>
      </c>
      <c r="N728" s="7">
        <v>0.6</v>
      </c>
      <c r="O728" s="7">
        <v>0.6</v>
      </c>
      <c r="P728" s="7">
        <v>0.6</v>
      </c>
      <c r="Q728" s="7">
        <v>0.6</v>
      </c>
    </row>
    <row r="729" spans="1:17">
      <c r="A729" s="2">
        <v>2677</v>
      </c>
      <c r="B729" s="7">
        <v>0.6</v>
      </c>
      <c r="C729" s="7">
        <v>0.6</v>
      </c>
      <c r="D729" s="7">
        <v>0.6</v>
      </c>
      <c r="E729" s="7">
        <v>0.6</v>
      </c>
      <c r="F729" s="7">
        <v>0.6</v>
      </c>
      <c r="G729" s="7">
        <v>0.6</v>
      </c>
      <c r="H729" s="7">
        <v>0.6</v>
      </c>
      <c r="I729" s="7">
        <v>0.6</v>
      </c>
      <c r="J729" s="7">
        <v>0.6</v>
      </c>
      <c r="K729" s="7">
        <v>0.6</v>
      </c>
      <c r="L729" s="7">
        <v>0.6</v>
      </c>
      <c r="M729" s="7">
        <v>0.6</v>
      </c>
      <c r="N729" s="7">
        <v>0.6</v>
      </c>
      <c r="O729" s="7">
        <v>0.6</v>
      </c>
      <c r="P729" s="7">
        <v>0.6</v>
      </c>
      <c r="Q729" s="7">
        <v>0.6</v>
      </c>
    </row>
    <row r="730" spans="1:17">
      <c r="A730" s="2">
        <v>2678</v>
      </c>
      <c r="B730" s="7">
        <v>0.6</v>
      </c>
      <c r="C730" s="7">
        <v>0.6</v>
      </c>
      <c r="D730" s="7">
        <v>0.6</v>
      </c>
      <c r="E730" s="7">
        <v>0.6</v>
      </c>
      <c r="F730" s="7">
        <v>0.6</v>
      </c>
      <c r="G730" s="7">
        <v>0.6</v>
      </c>
      <c r="H730" s="7">
        <v>0.6</v>
      </c>
      <c r="I730" s="7">
        <v>0.6</v>
      </c>
      <c r="J730" s="7">
        <v>0.6</v>
      </c>
      <c r="K730" s="7">
        <v>0.6</v>
      </c>
      <c r="L730" s="7">
        <v>0.6</v>
      </c>
      <c r="M730" s="7">
        <v>0.6</v>
      </c>
      <c r="N730" s="7">
        <v>0.6</v>
      </c>
      <c r="O730" s="7">
        <v>0.6</v>
      </c>
      <c r="P730" s="7">
        <v>0.6</v>
      </c>
      <c r="Q730" s="7">
        <v>0.6</v>
      </c>
    </row>
    <row r="731" spans="1:17">
      <c r="A731" s="2">
        <v>2679</v>
      </c>
      <c r="B731" s="7">
        <v>0.6</v>
      </c>
      <c r="C731" s="7">
        <v>0.6</v>
      </c>
      <c r="D731" s="7">
        <v>0.6</v>
      </c>
      <c r="E731" s="7">
        <v>0.6</v>
      </c>
      <c r="F731" s="7">
        <v>0.6</v>
      </c>
      <c r="G731" s="7">
        <v>0.6</v>
      </c>
      <c r="H731" s="7">
        <v>0.6</v>
      </c>
      <c r="I731" s="7">
        <v>0.6</v>
      </c>
      <c r="J731" s="7">
        <v>0.6</v>
      </c>
      <c r="K731" s="7">
        <v>0.6</v>
      </c>
      <c r="L731" s="7">
        <v>0.6</v>
      </c>
      <c r="M731" s="7">
        <v>0.6</v>
      </c>
      <c r="N731" s="7">
        <v>0.6</v>
      </c>
      <c r="O731" s="7">
        <v>0.6</v>
      </c>
      <c r="P731" s="7">
        <v>0.6</v>
      </c>
      <c r="Q731" s="7">
        <v>0.6</v>
      </c>
    </row>
    <row r="732" spans="1:17">
      <c r="A732" s="2">
        <v>2680</v>
      </c>
      <c r="B732" s="7">
        <v>0.6</v>
      </c>
      <c r="C732" s="7">
        <v>0.6</v>
      </c>
      <c r="D732" s="7">
        <v>0.6</v>
      </c>
      <c r="E732" s="7">
        <v>0.6</v>
      </c>
      <c r="F732" s="7">
        <v>0.6</v>
      </c>
      <c r="G732" s="7">
        <v>0.6</v>
      </c>
      <c r="H732" s="7">
        <v>0.6</v>
      </c>
      <c r="I732" s="7">
        <v>0.6</v>
      </c>
      <c r="J732" s="7">
        <v>0.6</v>
      </c>
      <c r="K732" s="7">
        <v>0.6</v>
      </c>
      <c r="L732" s="7">
        <v>0.6</v>
      </c>
      <c r="M732" s="7">
        <v>0.6</v>
      </c>
      <c r="N732" s="7">
        <v>0.6</v>
      </c>
      <c r="O732" s="7">
        <v>0.6</v>
      </c>
      <c r="P732" s="7">
        <v>0.6</v>
      </c>
      <c r="Q732" s="7">
        <v>0.6</v>
      </c>
    </row>
    <row r="733" spans="1:17">
      <c r="A733" s="2">
        <v>2681</v>
      </c>
      <c r="B733" s="7">
        <v>0.6</v>
      </c>
      <c r="C733" s="7">
        <v>0.6</v>
      </c>
      <c r="D733" s="7">
        <v>0.6</v>
      </c>
      <c r="E733" s="7">
        <v>0.6</v>
      </c>
      <c r="F733" s="7">
        <v>0.6</v>
      </c>
      <c r="G733" s="7">
        <v>0.6</v>
      </c>
      <c r="H733" s="7">
        <v>0.6</v>
      </c>
      <c r="I733" s="7">
        <v>0.6</v>
      </c>
      <c r="J733" s="7">
        <v>0.6</v>
      </c>
      <c r="K733" s="7">
        <v>0.6</v>
      </c>
      <c r="L733" s="7">
        <v>0.6</v>
      </c>
      <c r="M733" s="7">
        <v>0.6</v>
      </c>
      <c r="N733" s="7">
        <v>0.6</v>
      </c>
      <c r="O733" s="7">
        <v>0.6</v>
      </c>
      <c r="P733" s="7">
        <v>0.6</v>
      </c>
      <c r="Q733" s="7">
        <v>0.6</v>
      </c>
    </row>
    <row r="734" spans="1:17">
      <c r="A734" s="2">
        <v>2682</v>
      </c>
      <c r="B734" s="7">
        <v>0.6</v>
      </c>
      <c r="C734" s="7">
        <v>0.6</v>
      </c>
      <c r="D734" s="7">
        <v>0.6</v>
      </c>
      <c r="E734" s="7">
        <v>0.6</v>
      </c>
      <c r="F734" s="7">
        <v>0.6</v>
      </c>
      <c r="G734" s="7">
        <v>0.6</v>
      </c>
      <c r="H734" s="7">
        <v>0.6</v>
      </c>
      <c r="I734" s="7">
        <v>0.6</v>
      </c>
      <c r="J734" s="7">
        <v>0.6</v>
      </c>
      <c r="K734" s="7">
        <v>0.6</v>
      </c>
      <c r="L734" s="7">
        <v>0.6</v>
      </c>
      <c r="M734" s="7">
        <v>0.6</v>
      </c>
      <c r="N734" s="7">
        <v>0.6</v>
      </c>
      <c r="O734" s="7">
        <v>0.6</v>
      </c>
      <c r="P734" s="7">
        <v>0.6</v>
      </c>
      <c r="Q734" s="7">
        <v>0.6</v>
      </c>
    </row>
    <row r="735" spans="1:17">
      <c r="A735" s="2">
        <v>2683</v>
      </c>
      <c r="B735" s="7">
        <v>0.6</v>
      </c>
      <c r="C735" s="7">
        <v>0.6</v>
      </c>
      <c r="D735" s="7">
        <v>0.6</v>
      </c>
      <c r="E735" s="7">
        <v>0.6</v>
      </c>
      <c r="F735" s="7">
        <v>0.6</v>
      </c>
      <c r="G735" s="7">
        <v>0.6</v>
      </c>
      <c r="H735" s="7">
        <v>0.6</v>
      </c>
      <c r="I735" s="7">
        <v>0.6</v>
      </c>
      <c r="J735" s="7">
        <v>0.6</v>
      </c>
      <c r="K735" s="7">
        <v>0.6</v>
      </c>
      <c r="L735" s="7">
        <v>0.6</v>
      </c>
      <c r="M735" s="7">
        <v>0.6</v>
      </c>
      <c r="N735" s="7">
        <v>0.6</v>
      </c>
      <c r="O735" s="7">
        <v>0.6</v>
      </c>
      <c r="P735" s="7">
        <v>0.6</v>
      </c>
      <c r="Q735" s="7">
        <v>0.6</v>
      </c>
    </row>
    <row r="736" spans="1:17">
      <c r="A736" s="2">
        <v>2684</v>
      </c>
      <c r="B736" s="7">
        <v>0.6</v>
      </c>
      <c r="C736" s="7">
        <v>0.6</v>
      </c>
      <c r="D736" s="7">
        <v>0.6</v>
      </c>
      <c r="E736" s="7">
        <v>0.6</v>
      </c>
      <c r="F736" s="7">
        <v>0.6</v>
      </c>
      <c r="G736" s="7">
        <v>0.6</v>
      </c>
      <c r="H736" s="7">
        <v>0.6</v>
      </c>
      <c r="I736" s="7">
        <v>0.6</v>
      </c>
      <c r="J736" s="7">
        <v>0.6</v>
      </c>
      <c r="K736" s="7">
        <v>0.6</v>
      </c>
      <c r="L736" s="7">
        <v>0.6</v>
      </c>
      <c r="M736" s="7">
        <v>0.6</v>
      </c>
      <c r="N736" s="7">
        <v>0.6</v>
      </c>
      <c r="O736" s="7">
        <v>0.6</v>
      </c>
      <c r="P736" s="7">
        <v>0.6</v>
      </c>
      <c r="Q736" s="7">
        <v>0.6</v>
      </c>
    </row>
    <row r="737" spans="1:17">
      <c r="A737" s="2">
        <v>2685</v>
      </c>
      <c r="B737" s="7">
        <v>0.6</v>
      </c>
      <c r="C737" s="7">
        <v>0.6</v>
      </c>
      <c r="D737" s="7">
        <v>0.6</v>
      </c>
      <c r="E737" s="7">
        <v>0.6</v>
      </c>
      <c r="F737" s="7">
        <v>0.6</v>
      </c>
      <c r="G737" s="7">
        <v>0.6</v>
      </c>
      <c r="H737" s="7">
        <v>0.6</v>
      </c>
      <c r="I737" s="7">
        <v>0.6</v>
      </c>
      <c r="J737" s="7">
        <v>0.6</v>
      </c>
      <c r="K737" s="7">
        <v>0.6</v>
      </c>
      <c r="L737" s="7">
        <v>0.6</v>
      </c>
      <c r="M737" s="7">
        <v>0.6</v>
      </c>
      <c r="N737" s="7">
        <v>0.6</v>
      </c>
      <c r="O737" s="7">
        <v>0.6</v>
      </c>
      <c r="P737" s="7">
        <v>0.6</v>
      </c>
      <c r="Q737" s="7">
        <v>0.6</v>
      </c>
    </row>
    <row r="738" spans="1:17">
      <c r="A738" s="2">
        <v>2686</v>
      </c>
      <c r="B738" s="7">
        <v>0.6</v>
      </c>
      <c r="C738" s="7">
        <v>0.6</v>
      </c>
      <c r="D738" s="7">
        <v>0.6</v>
      </c>
      <c r="E738" s="7">
        <v>0.6</v>
      </c>
      <c r="F738" s="7">
        <v>0.6</v>
      </c>
      <c r="G738" s="7">
        <v>0.6</v>
      </c>
      <c r="H738" s="7">
        <v>0.6</v>
      </c>
      <c r="I738" s="7">
        <v>0.6</v>
      </c>
      <c r="J738" s="7">
        <v>0.6</v>
      </c>
      <c r="K738" s="7">
        <v>0.6</v>
      </c>
      <c r="L738" s="7">
        <v>0.6</v>
      </c>
      <c r="M738" s="7">
        <v>0.6</v>
      </c>
      <c r="N738" s="7">
        <v>0.6</v>
      </c>
      <c r="O738" s="7">
        <v>0.6</v>
      </c>
      <c r="P738" s="7">
        <v>0.6</v>
      </c>
      <c r="Q738" s="7">
        <v>0.6</v>
      </c>
    </row>
    <row r="739" spans="1:17">
      <c r="A739" s="2">
        <v>2687</v>
      </c>
      <c r="B739" s="7">
        <v>0.6</v>
      </c>
      <c r="C739" s="7">
        <v>0.6</v>
      </c>
      <c r="D739" s="7">
        <v>0.6</v>
      </c>
      <c r="E739" s="7">
        <v>0.6</v>
      </c>
      <c r="F739" s="7">
        <v>0.6</v>
      </c>
      <c r="G739" s="7">
        <v>0.6</v>
      </c>
      <c r="H739" s="7">
        <v>0.6</v>
      </c>
      <c r="I739" s="7">
        <v>0.6</v>
      </c>
      <c r="J739" s="7">
        <v>0.6</v>
      </c>
      <c r="K739" s="7">
        <v>0.6</v>
      </c>
      <c r="L739" s="7">
        <v>0.6</v>
      </c>
      <c r="M739" s="7">
        <v>0.6</v>
      </c>
      <c r="N739" s="7">
        <v>0.6</v>
      </c>
      <c r="O739" s="7">
        <v>0.6</v>
      </c>
      <c r="P739" s="7">
        <v>0.6</v>
      </c>
      <c r="Q739" s="7">
        <v>0.6</v>
      </c>
    </row>
    <row r="740" spans="1:17">
      <c r="A740" s="2">
        <v>2688</v>
      </c>
      <c r="B740" s="7">
        <v>0.6</v>
      </c>
      <c r="C740" s="7">
        <v>0.6</v>
      </c>
      <c r="D740" s="7">
        <v>0.6</v>
      </c>
      <c r="E740" s="7">
        <v>0.6</v>
      </c>
      <c r="F740" s="7">
        <v>0.6</v>
      </c>
      <c r="G740" s="7">
        <v>0.6</v>
      </c>
      <c r="H740" s="7">
        <v>0.6</v>
      </c>
      <c r="I740" s="7">
        <v>0.6</v>
      </c>
      <c r="J740" s="7">
        <v>0.6</v>
      </c>
      <c r="K740" s="7">
        <v>0.6</v>
      </c>
      <c r="L740" s="7">
        <v>0.6</v>
      </c>
      <c r="M740" s="7">
        <v>0.6</v>
      </c>
      <c r="N740" s="7">
        <v>0.6</v>
      </c>
      <c r="O740" s="7">
        <v>0.6</v>
      </c>
      <c r="P740" s="7">
        <v>0.6</v>
      </c>
      <c r="Q740" s="7">
        <v>0.6</v>
      </c>
    </row>
    <row r="741" spans="1:17">
      <c r="A741" s="2">
        <v>2689</v>
      </c>
      <c r="B741" s="7">
        <v>0.6</v>
      </c>
      <c r="C741" s="7">
        <v>0.6</v>
      </c>
      <c r="D741" s="7">
        <v>0.6</v>
      </c>
      <c r="E741" s="7">
        <v>0.6</v>
      </c>
      <c r="F741" s="7">
        <v>0.6</v>
      </c>
      <c r="G741" s="7">
        <v>0.6</v>
      </c>
      <c r="H741" s="7">
        <v>0.6</v>
      </c>
      <c r="I741" s="7">
        <v>0.6</v>
      </c>
      <c r="J741" s="7">
        <v>0.6</v>
      </c>
      <c r="K741" s="7">
        <v>0.6</v>
      </c>
      <c r="L741" s="7">
        <v>0.6</v>
      </c>
      <c r="M741" s="7">
        <v>0.6</v>
      </c>
      <c r="N741" s="7">
        <v>0.6</v>
      </c>
      <c r="O741" s="7">
        <v>0.6</v>
      </c>
      <c r="P741" s="7">
        <v>0.6</v>
      </c>
      <c r="Q741" s="7">
        <v>0.6</v>
      </c>
    </row>
    <row r="742" spans="1:17">
      <c r="A742" s="2">
        <v>2690</v>
      </c>
      <c r="B742" s="7">
        <v>0.6</v>
      </c>
      <c r="C742" s="7">
        <v>0.6</v>
      </c>
      <c r="D742" s="7">
        <v>0.6</v>
      </c>
      <c r="E742" s="7">
        <v>0.6</v>
      </c>
      <c r="F742" s="7">
        <v>0.6</v>
      </c>
      <c r="G742" s="7">
        <v>0.6</v>
      </c>
      <c r="H742" s="7">
        <v>0.6</v>
      </c>
      <c r="I742" s="7">
        <v>0.6</v>
      </c>
      <c r="J742" s="7">
        <v>0.6</v>
      </c>
      <c r="K742" s="7">
        <v>0.6</v>
      </c>
      <c r="L742" s="7">
        <v>0.6</v>
      </c>
      <c r="M742" s="7">
        <v>0.6</v>
      </c>
      <c r="N742" s="7">
        <v>0.6</v>
      </c>
      <c r="O742" s="7">
        <v>0.6</v>
      </c>
      <c r="P742" s="7">
        <v>0.6</v>
      </c>
      <c r="Q742" s="7">
        <v>0.6</v>
      </c>
    </row>
    <row r="743" spans="1:17">
      <c r="A743" s="2">
        <v>2691</v>
      </c>
      <c r="B743" s="7">
        <v>0.6</v>
      </c>
      <c r="C743" s="7">
        <v>0.6</v>
      </c>
      <c r="D743" s="7">
        <v>0.6</v>
      </c>
      <c r="E743" s="7">
        <v>0.6</v>
      </c>
      <c r="F743" s="7">
        <v>0.6</v>
      </c>
      <c r="G743" s="7">
        <v>0.6</v>
      </c>
      <c r="H743" s="7">
        <v>0.6</v>
      </c>
      <c r="I743" s="7">
        <v>0.6</v>
      </c>
      <c r="J743" s="7">
        <v>0.6</v>
      </c>
      <c r="K743" s="7">
        <v>0.6</v>
      </c>
      <c r="L743" s="7">
        <v>0.6</v>
      </c>
      <c r="M743" s="7">
        <v>0.6</v>
      </c>
      <c r="N743" s="7">
        <v>0.6</v>
      </c>
      <c r="O743" s="7">
        <v>0.6</v>
      </c>
      <c r="P743" s="7">
        <v>0.6</v>
      </c>
      <c r="Q743" s="7">
        <v>0.6</v>
      </c>
    </row>
    <row r="744" spans="1:17">
      <c r="A744" s="2">
        <v>2692</v>
      </c>
      <c r="B744" s="7">
        <v>0.6</v>
      </c>
      <c r="C744" s="7">
        <v>0.6</v>
      </c>
      <c r="D744" s="7">
        <v>0.6</v>
      </c>
      <c r="E744" s="7">
        <v>0.6</v>
      </c>
      <c r="F744" s="7">
        <v>0.6</v>
      </c>
      <c r="G744" s="7">
        <v>0.6</v>
      </c>
      <c r="H744" s="7">
        <v>0.6</v>
      </c>
      <c r="I744" s="7">
        <v>0.6</v>
      </c>
      <c r="J744" s="7">
        <v>0.6</v>
      </c>
      <c r="K744" s="7">
        <v>0.6</v>
      </c>
      <c r="L744" s="7">
        <v>0.6</v>
      </c>
      <c r="M744" s="7">
        <v>0.6</v>
      </c>
      <c r="N744" s="7">
        <v>0.6</v>
      </c>
      <c r="O744" s="7">
        <v>0.6</v>
      </c>
      <c r="P744" s="7">
        <v>0.6</v>
      </c>
      <c r="Q744" s="7">
        <v>0.6</v>
      </c>
    </row>
    <row r="745" spans="1:17">
      <c r="A745" s="2">
        <v>2693</v>
      </c>
      <c r="B745" s="7">
        <v>0.6</v>
      </c>
      <c r="C745" s="7">
        <v>0.6</v>
      </c>
      <c r="D745" s="7">
        <v>0.6</v>
      </c>
      <c r="E745" s="7">
        <v>0.6</v>
      </c>
      <c r="F745" s="7">
        <v>0.6</v>
      </c>
      <c r="G745" s="7">
        <v>0.6</v>
      </c>
      <c r="H745" s="7">
        <v>0.6</v>
      </c>
      <c r="I745" s="7">
        <v>0.6</v>
      </c>
      <c r="J745" s="7">
        <v>0.6</v>
      </c>
      <c r="K745" s="7">
        <v>0.6</v>
      </c>
      <c r="L745" s="7">
        <v>0.6</v>
      </c>
      <c r="M745" s="7">
        <v>0.6</v>
      </c>
      <c r="N745" s="7">
        <v>0.6</v>
      </c>
      <c r="O745" s="7">
        <v>0.6</v>
      </c>
      <c r="P745" s="7">
        <v>0.6</v>
      </c>
      <c r="Q745" s="7">
        <v>0.6</v>
      </c>
    </row>
    <row r="746" spans="1:17">
      <c r="A746" s="2">
        <v>2694</v>
      </c>
      <c r="B746" s="7">
        <v>0.6</v>
      </c>
      <c r="C746" s="7">
        <v>0.6</v>
      </c>
      <c r="D746" s="7">
        <v>0.6</v>
      </c>
      <c r="E746" s="7">
        <v>0.6</v>
      </c>
      <c r="F746" s="7">
        <v>0.6</v>
      </c>
      <c r="G746" s="7">
        <v>0.6</v>
      </c>
      <c r="H746" s="7">
        <v>0.6</v>
      </c>
      <c r="I746" s="7">
        <v>0.6</v>
      </c>
      <c r="J746" s="7">
        <v>0.6</v>
      </c>
      <c r="K746" s="7">
        <v>0.6</v>
      </c>
      <c r="L746" s="7">
        <v>0.6</v>
      </c>
      <c r="M746" s="7">
        <v>0.6</v>
      </c>
      <c r="N746" s="7">
        <v>0.6</v>
      </c>
      <c r="O746" s="7">
        <v>0.6</v>
      </c>
      <c r="P746" s="7">
        <v>0.6</v>
      </c>
      <c r="Q746" s="7">
        <v>0.6</v>
      </c>
    </row>
    <row r="747" spans="1:17">
      <c r="A747" s="2">
        <v>2695</v>
      </c>
      <c r="B747" s="7">
        <v>0.6</v>
      </c>
      <c r="C747" s="7">
        <v>0.6</v>
      </c>
      <c r="D747" s="7">
        <v>0.6</v>
      </c>
      <c r="E747" s="7">
        <v>0.6</v>
      </c>
      <c r="F747" s="7">
        <v>0.6</v>
      </c>
      <c r="G747" s="7">
        <v>0.6</v>
      </c>
      <c r="H747" s="7">
        <v>0.6</v>
      </c>
      <c r="I747" s="7">
        <v>0.6</v>
      </c>
      <c r="J747" s="7">
        <v>0.6</v>
      </c>
      <c r="K747" s="7">
        <v>0.6</v>
      </c>
      <c r="L747" s="7">
        <v>0.6</v>
      </c>
      <c r="M747" s="7">
        <v>0.6</v>
      </c>
      <c r="N747" s="7">
        <v>0.6</v>
      </c>
      <c r="O747" s="7">
        <v>0.6</v>
      </c>
      <c r="P747" s="7">
        <v>0.6</v>
      </c>
      <c r="Q747" s="7">
        <v>0.6</v>
      </c>
    </row>
    <row r="748" spans="1:17">
      <c r="A748" s="2">
        <v>2696</v>
      </c>
      <c r="B748" s="7">
        <v>0.6</v>
      </c>
      <c r="C748" s="7">
        <v>0.6</v>
      </c>
      <c r="D748" s="7">
        <v>0.6</v>
      </c>
      <c r="E748" s="7">
        <v>0.6</v>
      </c>
      <c r="F748" s="7">
        <v>0.6</v>
      </c>
      <c r="G748" s="7">
        <v>0.6</v>
      </c>
      <c r="H748" s="7">
        <v>0.6</v>
      </c>
      <c r="I748" s="7">
        <v>0.6</v>
      </c>
      <c r="J748" s="7">
        <v>0.6</v>
      </c>
      <c r="K748" s="7">
        <v>0.6</v>
      </c>
      <c r="L748" s="7">
        <v>0.6</v>
      </c>
      <c r="M748" s="7">
        <v>0.6</v>
      </c>
      <c r="N748" s="7">
        <v>0.6</v>
      </c>
      <c r="O748" s="7">
        <v>0.6</v>
      </c>
      <c r="P748" s="7">
        <v>0.6</v>
      </c>
      <c r="Q748" s="7">
        <v>0.6</v>
      </c>
    </row>
    <row r="749" spans="1:17">
      <c r="A749" s="2">
        <v>2697</v>
      </c>
      <c r="B749" s="7">
        <v>0.6</v>
      </c>
      <c r="C749" s="7">
        <v>0.6</v>
      </c>
      <c r="D749" s="7">
        <v>0.6</v>
      </c>
      <c r="E749" s="7">
        <v>0.6</v>
      </c>
      <c r="F749" s="7">
        <v>0.6</v>
      </c>
      <c r="G749" s="7">
        <v>0.6</v>
      </c>
      <c r="H749" s="7">
        <v>0.6</v>
      </c>
      <c r="I749" s="7">
        <v>0.6</v>
      </c>
      <c r="J749" s="7">
        <v>0.6</v>
      </c>
      <c r="K749" s="7">
        <v>0.6</v>
      </c>
      <c r="L749" s="7">
        <v>0.6</v>
      </c>
      <c r="M749" s="7">
        <v>0.6</v>
      </c>
      <c r="N749" s="7">
        <v>0.6</v>
      </c>
      <c r="O749" s="7">
        <v>0.6</v>
      </c>
      <c r="P749" s="7">
        <v>0.6</v>
      </c>
      <c r="Q749" s="7">
        <v>0.6</v>
      </c>
    </row>
    <row r="750" spans="1:17">
      <c r="A750" s="2">
        <v>2698</v>
      </c>
      <c r="B750" s="7">
        <v>0.6</v>
      </c>
      <c r="C750" s="7">
        <v>0.6</v>
      </c>
      <c r="D750" s="7">
        <v>0.6</v>
      </c>
      <c r="E750" s="7">
        <v>0.6</v>
      </c>
      <c r="F750" s="7">
        <v>0.6</v>
      </c>
      <c r="G750" s="7">
        <v>0.6</v>
      </c>
      <c r="H750" s="7">
        <v>0.6</v>
      </c>
      <c r="I750" s="7">
        <v>0.6</v>
      </c>
      <c r="J750" s="7">
        <v>0.6</v>
      </c>
      <c r="K750" s="7">
        <v>0.6</v>
      </c>
      <c r="L750" s="7">
        <v>0.6</v>
      </c>
      <c r="M750" s="7">
        <v>0.6</v>
      </c>
      <c r="N750" s="7">
        <v>0.6</v>
      </c>
      <c r="O750" s="7">
        <v>0.6</v>
      </c>
      <c r="P750" s="7">
        <v>0.6</v>
      </c>
      <c r="Q750" s="7">
        <v>0.6</v>
      </c>
    </row>
    <row r="751" spans="1:17">
      <c r="A751" s="2">
        <v>2699</v>
      </c>
      <c r="B751" s="7">
        <v>0.6</v>
      </c>
      <c r="C751" s="7">
        <v>0.6</v>
      </c>
      <c r="D751" s="7">
        <v>0.6</v>
      </c>
      <c r="E751" s="7">
        <v>0.6</v>
      </c>
      <c r="F751" s="7">
        <v>0.6</v>
      </c>
      <c r="G751" s="7">
        <v>0.6</v>
      </c>
      <c r="H751" s="7">
        <v>0.6</v>
      </c>
      <c r="I751" s="7">
        <v>0.6</v>
      </c>
      <c r="J751" s="7">
        <v>0.6</v>
      </c>
      <c r="K751" s="7">
        <v>0.6</v>
      </c>
      <c r="L751" s="7">
        <v>0.6</v>
      </c>
      <c r="M751" s="7">
        <v>0.6</v>
      </c>
      <c r="N751" s="7">
        <v>0.6</v>
      </c>
      <c r="O751" s="7">
        <v>0.6</v>
      </c>
      <c r="P751" s="7">
        <v>0.6</v>
      </c>
      <c r="Q751" s="7">
        <v>0.6</v>
      </c>
    </row>
    <row r="752" spans="1:17">
      <c r="A752" s="2">
        <v>2700</v>
      </c>
      <c r="B752" s="7">
        <v>0.6</v>
      </c>
      <c r="C752" s="7">
        <v>0.6</v>
      </c>
      <c r="D752" s="7">
        <v>0.6</v>
      </c>
      <c r="E752" s="7">
        <v>0.6</v>
      </c>
      <c r="F752" s="7">
        <v>0.6</v>
      </c>
      <c r="G752" s="7">
        <v>0.6</v>
      </c>
      <c r="H752" s="7">
        <v>0.6</v>
      </c>
      <c r="I752" s="7">
        <v>0.6</v>
      </c>
      <c r="J752" s="7">
        <v>0.6</v>
      </c>
      <c r="K752" s="7">
        <v>0.6</v>
      </c>
      <c r="L752" s="7">
        <v>0.6</v>
      </c>
      <c r="M752" s="7">
        <v>0.6</v>
      </c>
      <c r="N752" s="7">
        <v>0.6</v>
      </c>
      <c r="O752" s="7">
        <v>0.6</v>
      </c>
      <c r="P752" s="7">
        <v>0.6</v>
      </c>
      <c r="Q752" s="7">
        <v>0.6</v>
      </c>
    </row>
    <row r="753" spans="1:17">
      <c r="A753" s="2">
        <v>2701</v>
      </c>
      <c r="B753" s="7">
        <v>0.6</v>
      </c>
      <c r="C753" s="7">
        <v>0.6</v>
      </c>
      <c r="D753" s="7">
        <v>0.6</v>
      </c>
      <c r="E753" s="7">
        <v>0.6</v>
      </c>
      <c r="F753" s="7">
        <v>0.6</v>
      </c>
      <c r="G753" s="7">
        <v>0.6</v>
      </c>
      <c r="H753" s="7">
        <v>0.6</v>
      </c>
      <c r="I753" s="7">
        <v>0.6</v>
      </c>
      <c r="J753" s="7">
        <v>0.6</v>
      </c>
      <c r="K753" s="7">
        <v>0.6</v>
      </c>
      <c r="L753" s="7">
        <v>0.6</v>
      </c>
      <c r="M753" s="7">
        <v>0.6</v>
      </c>
      <c r="N753" s="7">
        <v>0.6</v>
      </c>
      <c r="O753" s="7">
        <v>0.6</v>
      </c>
      <c r="P753" s="7">
        <v>0.6</v>
      </c>
      <c r="Q753" s="7">
        <v>0.6</v>
      </c>
    </row>
    <row r="754" spans="1:17">
      <c r="A754" s="2">
        <v>2702</v>
      </c>
      <c r="B754" s="7">
        <v>0.6</v>
      </c>
      <c r="C754" s="7">
        <v>0.6</v>
      </c>
      <c r="D754" s="7">
        <v>0.6</v>
      </c>
      <c r="E754" s="7">
        <v>0.6</v>
      </c>
      <c r="F754" s="7">
        <v>0.6</v>
      </c>
      <c r="G754" s="7">
        <v>0.6</v>
      </c>
      <c r="H754" s="7">
        <v>0.6</v>
      </c>
      <c r="I754" s="7">
        <v>0.6</v>
      </c>
      <c r="J754" s="7">
        <v>0.6</v>
      </c>
      <c r="K754" s="7">
        <v>0.6</v>
      </c>
      <c r="L754" s="7">
        <v>0.6</v>
      </c>
      <c r="M754" s="7">
        <v>0.6</v>
      </c>
      <c r="N754" s="7">
        <v>0.6</v>
      </c>
      <c r="O754" s="7">
        <v>0.6</v>
      </c>
      <c r="P754" s="7">
        <v>0.6</v>
      </c>
      <c r="Q754" s="7">
        <v>0.6</v>
      </c>
    </row>
    <row r="755" spans="1:17">
      <c r="A755" s="2">
        <v>2703</v>
      </c>
      <c r="B755" s="7">
        <v>0.6</v>
      </c>
      <c r="C755" s="7">
        <v>0.6</v>
      </c>
      <c r="D755" s="7">
        <v>0.6</v>
      </c>
      <c r="E755" s="7">
        <v>0.6</v>
      </c>
      <c r="F755" s="7">
        <v>0.6</v>
      </c>
      <c r="G755" s="7">
        <v>0.6</v>
      </c>
      <c r="H755" s="7">
        <v>0.6</v>
      </c>
      <c r="I755" s="7">
        <v>0.6</v>
      </c>
      <c r="J755" s="7">
        <v>0.6</v>
      </c>
      <c r="K755" s="7">
        <v>0.6</v>
      </c>
      <c r="L755" s="7">
        <v>0.6</v>
      </c>
      <c r="M755" s="7">
        <v>0.6</v>
      </c>
      <c r="N755" s="7">
        <v>0.6</v>
      </c>
      <c r="O755" s="7">
        <v>0.6</v>
      </c>
      <c r="P755" s="7">
        <v>0.6</v>
      </c>
      <c r="Q755" s="7">
        <v>0.6</v>
      </c>
    </row>
    <row r="756" spans="1:17">
      <c r="A756" s="2">
        <v>2704</v>
      </c>
      <c r="B756" s="7">
        <v>0.6</v>
      </c>
      <c r="C756" s="7">
        <v>0.6</v>
      </c>
      <c r="D756" s="7">
        <v>0.6</v>
      </c>
      <c r="E756" s="7">
        <v>0.6</v>
      </c>
      <c r="F756" s="7">
        <v>0.6</v>
      </c>
      <c r="G756" s="7">
        <v>0.6</v>
      </c>
      <c r="H756" s="7">
        <v>0.6</v>
      </c>
      <c r="I756" s="7">
        <v>0.6</v>
      </c>
      <c r="J756" s="7">
        <v>0.6</v>
      </c>
      <c r="K756" s="7">
        <v>0.6</v>
      </c>
      <c r="L756" s="7">
        <v>0.6</v>
      </c>
      <c r="M756" s="7">
        <v>0.6</v>
      </c>
      <c r="N756" s="7">
        <v>0.6</v>
      </c>
      <c r="O756" s="7">
        <v>0.6</v>
      </c>
      <c r="P756" s="7">
        <v>0.6</v>
      </c>
      <c r="Q756" s="7">
        <v>0.6</v>
      </c>
    </row>
    <row r="757" spans="1:17">
      <c r="A757" s="2">
        <v>2705</v>
      </c>
      <c r="B757" s="7">
        <v>0.6</v>
      </c>
      <c r="C757" s="7">
        <v>0.6</v>
      </c>
      <c r="D757" s="7">
        <v>0.6</v>
      </c>
      <c r="E757" s="7">
        <v>0.6</v>
      </c>
      <c r="F757" s="7">
        <v>0.6</v>
      </c>
      <c r="G757" s="7">
        <v>0.6</v>
      </c>
      <c r="H757" s="7">
        <v>0.6</v>
      </c>
      <c r="I757" s="7">
        <v>0.6</v>
      </c>
      <c r="J757" s="7">
        <v>0.6</v>
      </c>
      <c r="K757" s="7">
        <v>0.6</v>
      </c>
      <c r="L757" s="7">
        <v>0.6</v>
      </c>
      <c r="M757" s="7">
        <v>0.6</v>
      </c>
      <c r="N757" s="7">
        <v>0.6</v>
      </c>
      <c r="O757" s="7">
        <v>0.6</v>
      </c>
      <c r="P757" s="7">
        <v>0.6</v>
      </c>
      <c r="Q757" s="7">
        <v>0.6</v>
      </c>
    </row>
    <row r="758" spans="1:17">
      <c r="A758" s="2">
        <v>2706</v>
      </c>
      <c r="B758" s="7">
        <v>0.6</v>
      </c>
      <c r="C758" s="7">
        <v>0.6</v>
      </c>
      <c r="D758" s="7">
        <v>0.6</v>
      </c>
      <c r="E758" s="7">
        <v>0.6</v>
      </c>
      <c r="F758" s="7">
        <v>0.6</v>
      </c>
      <c r="G758" s="7">
        <v>0.6</v>
      </c>
      <c r="H758" s="7">
        <v>0.6</v>
      </c>
      <c r="I758" s="7">
        <v>0.6</v>
      </c>
      <c r="J758" s="7">
        <v>0.6</v>
      </c>
      <c r="K758" s="7">
        <v>0.6</v>
      </c>
      <c r="L758" s="7">
        <v>0.6</v>
      </c>
      <c r="M758" s="7">
        <v>0.6</v>
      </c>
      <c r="N758" s="7">
        <v>0.6</v>
      </c>
      <c r="O758" s="7">
        <v>0.6</v>
      </c>
      <c r="P758" s="7">
        <v>0.6</v>
      </c>
      <c r="Q758" s="7">
        <v>0.6</v>
      </c>
    </row>
    <row r="759" spans="1:17">
      <c r="A759" s="2">
        <v>2707</v>
      </c>
      <c r="B759" s="7">
        <v>0.6</v>
      </c>
      <c r="C759" s="7">
        <v>0.6</v>
      </c>
      <c r="D759" s="7">
        <v>0.6</v>
      </c>
      <c r="E759" s="7">
        <v>0.6</v>
      </c>
      <c r="F759" s="7">
        <v>0.6</v>
      </c>
      <c r="G759" s="7">
        <v>0.6</v>
      </c>
      <c r="H759" s="7">
        <v>0.6</v>
      </c>
      <c r="I759" s="7">
        <v>0.6</v>
      </c>
      <c r="J759" s="7">
        <v>0.6</v>
      </c>
      <c r="K759" s="7">
        <v>0.6</v>
      </c>
      <c r="L759" s="7">
        <v>0.6</v>
      </c>
      <c r="M759" s="7">
        <v>0.6</v>
      </c>
      <c r="N759" s="7">
        <v>0.6</v>
      </c>
      <c r="O759" s="7">
        <v>0.6</v>
      </c>
      <c r="P759" s="7">
        <v>0.6</v>
      </c>
      <c r="Q759" s="7">
        <v>0.6</v>
      </c>
    </row>
    <row r="760" spans="1:17">
      <c r="A760" s="2">
        <v>2708</v>
      </c>
      <c r="B760" s="7">
        <v>0.6</v>
      </c>
      <c r="C760" s="7">
        <v>0.6</v>
      </c>
      <c r="D760" s="7">
        <v>0.6</v>
      </c>
      <c r="E760" s="7">
        <v>0.6</v>
      </c>
      <c r="F760" s="7">
        <v>0.6</v>
      </c>
      <c r="G760" s="7">
        <v>0.6</v>
      </c>
      <c r="H760" s="7">
        <v>0.6</v>
      </c>
      <c r="I760" s="7">
        <v>0.6</v>
      </c>
      <c r="J760" s="7">
        <v>0.6</v>
      </c>
      <c r="K760" s="7">
        <v>0.6</v>
      </c>
      <c r="L760" s="7">
        <v>0.6</v>
      </c>
      <c r="M760" s="7">
        <v>0.6</v>
      </c>
      <c r="N760" s="7">
        <v>0.6</v>
      </c>
      <c r="O760" s="7">
        <v>0.6</v>
      </c>
      <c r="P760" s="7">
        <v>0.6</v>
      </c>
      <c r="Q760" s="7">
        <v>0.6</v>
      </c>
    </row>
    <row r="761" spans="1:17">
      <c r="A761" s="2">
        <v>2709</v>
      </c>
      <c r="B761" s="7">
        <v>0.6</v>
      </c>
      <c r="C761" s="7">
        <v>0.6</v>
      </c>
      <c r="D761" s="7">
        <v>0.6</v>
      </c>
      <c r="E761" s="7">
        <v>0.6</v>
      </c>
      <c r="F761" s="7">
        <v>0.6</v>
      </c>
      <c r="G761" s="7">
        <v>0.6</v>
      </c>
      <c r="H761" s="7">
        <v>0.6</v>
      </c>
      <c r="I761" s="7">
        <v>0.6</v>
      </c>
      <c r="J761" s="7">
        <v>0.6</v>
      </c>
      <c r="K761" s="7">
        <v>0.6</v>
      </c>
      <c r="L761" s="7">
        <v>0.6</v>
      </c>
      <c r="M761" s="7">
        <v>0.6</v>
      </c>
      <c r="N761" s="7">
        <v>0.6</v>
      </c>
      <c r="O761" s="7">
        <v>0.6</v>
      </c>
      <c r="P761" s="7">
        <v>0.6</v>
      </c>
      <c r="Q761" s="7">
        <v>0.6</v>
      </c>
    </row>
    <row r="762" spans="1:17">
      <c r="A762" s="2">
        <v>2710</v>
      </c>
      <c r="B762" s="7">
        <v>0.6</v>
      </c>
      <c r="C762" s="7">
        <v>0.6</v>
      </c>
      <c r="D762" s="7">
        <v>0.6</v>
      </c>
      <c r="E762" s="7">
        <v>0.6</v>
      </c>
      <c r="F762" s="7">
        <v>0.6</v>
      </c>
      <c r="G762" s="7">
        <v>0.6</v>
      </c>
      <c r="H762" s="7">
        <v>0.6</v>
      </c>
      <c r="I762" s="7">
        <v>0.6</v>
      </c>
      <c r="J762" s="7">
        <v>0.6</v>
      </c>
      <c r="K762" s="7">
        <v>0.6</v>
      </c>
      <c r="L762" s="7">
        <v>0.6</v>
      </c>
      <c r="M762" s="7">
        <v>0.6</v>
      </c>
      <c r="N762" s="7">
        <v>0.6</v>
      </c>
      <c r="O762" s="7">
        <v>0.6</v>
      </c>
      <c r="P762" s="7">
        <v>0.6</v>
      </c>
      <c r="Q762" s="7">
        <v>0.6</v>
      </c>
    </row>
    <row r="763" spans="1:17">
      <c r="A763" s="2">
        <v>2711</v>
      </c>
      <c r="B763" s="7">
        <v>0.6</v>
      </c>
      <c r="C763" s="7">
        <v>0.6</v>
      </c>
      <c r="D763" s="7">
        <v>0.6</v>
      </c>
      <c r="E763" s="7">
        <v>0.6</v>
      </c>
      <c r="F763" s="7">
        <v>0.6</v>
      </c>
      <c r="G763" s="7">
        <v>0.6</v>
      </c>
      <c r="H763" s="7">
        <v>0.6</v>
      </c>
      <c r="I763" s="7">
        <v>0.6</v>
      </c>
      <c r="J763" s="7">
        <v>0.6</v>
      </c>
      <c r="K763" s="7">
        <v>0.6</v>
      </c>
      <c r="L763" s="7">
        <v>0.6</v>
      </c>
      <c r="M763" s="7">
        <v>0.6</v>
      </c>
      <c r="N763" s="7">
        <v>0.6</v>
      </c>
      <c r="O763" s="7">
        <v>0.6</v>
      </c>
      <c r="P763" s="7">
        <v>0.6</v>
      </c>
      <c r="Q763" s="7">
        <v>0.6</v>
      </c>
    </row>
    <row r="764" spans="1:17">
      <c r="A764" s="2">
        <v>2712</v>
      </c>
      <c r="B764" s="7">
        <v>0.6</v>
      </c>
      <c r="C764" s="7">
        <v>0.6</v>
      </c>
      <c r="D764" s="7">
        <v>0.6</v>
      </c>
      <c r="E764" s="7">
        <v>0.6</v>
      </c>
      <c r="F764" s="7">
        <v>0.6</v>
      </c>
      <c r="G764" s="7">
        <v>0.6</v>
      </c>
      <c r="H764" s="7">
        <v>0.6</v>
      </c>
      <c r="I764" s="7">
        <v>0.6</v>
      </c>
      <c r="J764" s="7">
        <v>0.6</v>
      </c>
      <c r="K764" s="7">
        <v>0.6</v>
      </c>
      <c r="L764" s="7">
        <v>0.6</v>
      </c>
      <c r="M764" s="7">
        <v>0.6</v>
      </c>
      <c r="N764" s="7">
        <v>0.6</v>
      </c>
      <c r="O764" s="7">
        <v>0.6</v>
      </c>
      <c r="P764" s="7">
        <v>0.6</v>
      </c>
      <c r="Q764" s="7">
        <v>0.6</v>
      </c>
    </row>
    <row r="765" spans="1:17">
      <c r="A765" s="2">
        <v>2713</v>
      </c>
      <c r="B765" s="7">
        <v>0.6</v>
      </c>
      <c r="C765" s="7">
        <v>0.6</v>
      </c>
      <c r="D765" s="7">
        <v>0.6</v>
      </c>
      <c r="E765" s="7">
        <v>0.6</v>
      </c>
      <c r="F765" s="7">
        <v>0.6</v>
      </c>
      <c r="G765" s="7">
        <v>0.6</v>
      </c>
      <c r="H765" s="7">
        <v>0.6</v>
      </c>
      <c r="I765" s="7">
        <v>0.6</v>
      </c>
      <c r="J765" s="7">
        <v>0.6</v>
      </c>
      <c r="K765" s="7">
        <v>0.6</v>
      </c>
      <c r="L765" s="7">
        <v>0.6</v>
      </c>
      <c r="M765" s="7">
        <v>0.6</v>
      </c>
      <c r="N765" s="7">
        <v>0.6</v>
      </c>
      <c r="O765" s="7">
        <v>0.6</v>
      </c>
      <c r="P765" s="7">
        <v>0.6</v>
      </c>
      <c r="Q765" s="7">
        <v>0.6</v>
      </c>
    </row>
    <row r="766" spans="1:17">
      <c r="A766" s="2">
        <v>2714</v>
      </c>
      <c r="B766" s="7">
        <v>0.6</v>
      </c>
      <c r="C766" s="7">
        <v>0.6</v>
      </c>
      <c r="D766" s="7">
        <v>0.6</v>
      </c>
      <c r="E766" s="7">
        <v>0.6</v>
      </c>
      <c r="F766" s="7">
        <v>0.6</v>
      </c>
      <c r="G766" s="7">
        <v>0.6</v>
      </c>
      <c r="H766" s="7">
        <v>0.6</v>
      </c>
      <c r="I766" s="7">
        <v>0.6</v>
      </c>
      <c r="J766" s="7">
        <v>0.6</v>
      </c>
      <c r="K766" s="7">
        <v>0.6</v>
      </c>
      <c r="L766" s="7">
        <v>0.6</v>
      </c>
      <c r="M766" s="7">
        <v>0.6</v>
      </c>
      <c r="N766" s="7">
        <v>0.6</v>
      </c>
      <c r="O766" s="7">
        <v>0.6</v>
      </c>
      <c r="P766" s="7">
        <v>0.6</v>
      </c>
      <c r="Q766" s="7">
        <v>0.6</v>
      </c>
    </row>
    <row r="767" spans="1:17">
      <c r="A767" s="2">
        <v>2715</v>
      </c>
      <c r="B767" s="7">
        <v>0.6</v>
      </c>
      <c r="C767" s="7">
        <v>0.6</v>
      </c>
      <c r="D767" s="7">
        <v>0.6</v>
      </c>
      <c r="E767" s="7">
        <v>0.6</v>
      </c>
      <c r="F767" s="7">
        <v>0.6</v>
      </c>
      <c r="G767" s="7">
        <v>0.6</v>
      </c>
      <c r="H767" s="7">
        <v>0.6</v>
      </c>
      <c r="I767" s="7">
        <v>0.6</v>
      </c>
      <c r="J767" s="7">
        <v>0.6</v>
      </c>
      <c r="K767" s="7">
        <v>0.6</v>
      </c>
      <c r="L767" s="7">
        <v>0.6</v>
      </c>
      <c r="M767" s="7">
        <v>0.6</v>
      </c>
      <c r="N767" s="7">
        <v>0.6</v>
      </c>
      <c r="O767" s="7">
        <v>0.6</v>
      </c>
      <c r="P767" s="7">
        <v>0.6</v>
      </c>
      <c r="Q767" s="7">
        <v>0.6</v>
      </c>
    </row>
    <row r="768" spans="1:17">
      <c r="A768" s="2">
        <v>2716</v>
      </c>
      <c r="B768" s="7">
        <v>0.6</v>
      </c>
      <c r="C768" s="7">
        <v>0.6</v>
      </c>
      <c r="D768" s="7">
        <v>0.6</v>
      </c>
      <c r="E768" s="7">
        <v>0.6</v>
      </c>
      <c r="F768" s="7">
        <v>0.6</v>
      </c>
      <c r="G768" s="7">
        <v>0.6</v>
      </c>
      <c r="H768" s="7">
        <v>0.6</v>
      </c>
      <c r="I768" s="7">
        <v>0.6</v>
      </c>
      <c r="J768" s="7">
        <v>0.6</v>
      </c>
      <c r="K768" s="7">
        <v>0.6</v>
      </c>
      <c r="L768" s="7">
        <v>0.6</v>
      </c>
      <c r="M768" s="7">
        <v>0.6</v>
      </c>
      <c r="N768" s="7">
        <v>0.6</v>
      </c>
      <c r="O768" s="7">
        <v>0.6</v>
      </c>
      <c r="P768" s="7">
        <v>0.6</v>
      </c>
      <c r="Q768" s="7">
        <v>0.6</v>
      </c>
    </row>
    <row r="769" spans="1:17">
      <c r="A769" s="2">
        <v>2717</v>
      </c>
      <c r="B769" s="7">
        <v>0.6</v>
      </c>
      <c r="C769" s="7">
        <v>0.6</v>
      </c>
      <c r="D769" s="7">
        <v>0.6</v>
      </c>
      <c r="E769" s="7">
        <v>0.6</v>
      </c>
      <c r="F769" s="7">
        <v>0.6</v>
      </c>
      <c r="G769" s="7">
        <v>0.6</v>
      </c>
      <c r="H769" s="7">
        <v>0.6</v>
      </c>
      <c r="I769" s="7">
        <v>0.6</v>
      </c>
      <c r="J769" s="7">
        <v>0.6</v>
      </c>
      <c r="K769" s="7">
        <v>0.6</v>
      </c>
      <c r="L769" s="7">
        <v>0.6</v>
      </c>
      <c r="M769" s="7">
        <v>0.6</v>
      </c>
      <c r="N769" s="7">
        <v>0.6</v>
      </c>
      <c r="O769" s="7">
        <v>0.6</v>
      </c>
      <c r="P769" s="7">
        <v>0.6</v>
      </c>
      <c r="Q769" s="7">
        <v>0.6</v>
      </c>
    </row>
    <row r="770" spans="1:17">
      <c r="A770" s="2">
        <v>2718</v>
      </c>
      <c r="B770" s="7">
        <v>0.6</v>
      </c>
      <c r="C770" s="7">
        <v>0.6</v>
      </c>
      <c r="D770" s="7">
        <v>0.6</v>
      </c>
      <c r="E770" s="7">
        <v>0.6</v>
      </c>
      <c r="F770" s="7">
        <v>0.6</v>
      </c>
      <c r="G770" s="7">
        <v>0.6</v>
      </c>
      <c r="H770" s="7">
        <v>0.6</v>
      </c>
      <c r="I770" s="7">
        <v>0.6</v>
      </c>
      <c r="J770" s="7">
        <v>0.6</v>
      </c>
      <c r="K770" s="7">
        <v>0.6</v>
      </c>
      <c r="L770" s="7">
        <v>0.6</v>
      </c>
      <c r="M770" s="7">
        <v>0.6</v>
      </c>
      <c r="N770" s="7">
        <v>0.6</v>
      </c>
      <c r="O770" s="7">
        <v>0.6</v>
      </c>
      <c r="P770" s="7">
        <v>0.6</v>
      </c>
      <c r="Q770" s="7">
        <v>0.6</v>
      </c>
    </row>
    <row r="771" spans="1:17">
      <c r="A771" s="2">
        <v>2719</v>
      </c>
      <c r="B771" s="7">
        <v>0.6</v>
      </c>
      <c r="C771" s="7">
        <v>0.6</v>
      </c>
      <c r="D771" s="7">
        <v>0.6</v>
      </c>
      <c r="E771" s="7">
        <v>0.6</v>
      </c>
      <c r="F771" s="7">
        <v>0.6</v>
      </c>
      <c r="G771" s="7">
        <v>0.6</v>
      </c>
      <c r="H771" s="7">
        <v>0.6</v>
      </c>
      <c r="I771" s="7">
        <v>0.6</v>
      </c>
      <c r="J771" s="7">
        <v>0.6</v>
      </c>
      <c r="K771" s="7">
        <v>0.6</v>
      </c>
      <c r="L771" s="7">
        <v>0.6</v>
      </c>
      <c r="M771" s="7">
        <v>0.6</v>
      </c>
      <c r="N771" s="7">
        <v>0.6</v>
      </c>
      <c r="O771" s="7">
        <v>0.6</v>
      </c>
      <c r="P771" s="7">
        <v>0.6</v>
      </c>
      <c r="Q771" s="7">
        <v>0.6</v>
      </c>
    </row>
    <row r="772" spans="1:17">
      <c r="A772" s="2">
        <v>2720</v>
      </c>
      <c r="B772" s="7">
        <v>0.6</v>
      </c>
      <c r="C772" s="7">
        <v>0.6</v>
      </c>
      <c r="D772" s="7">
        <v>0.6</v>
      </c>
      <c r="E772" s="7">
        <v>0.6</v>
      </c>
      <c r="F772" s="7">
        <v>0.6</v>
      </c>
      <c r="G772" s="7">
        <v>0.6</v>
      </c>
      <c r="H772" s="7">
        <v>0.6</v>
      </c>
      <c r="I772" s="7">
        <v>0.6</v>
      </c>
      <c r="J772" s="7">
        <v>0.6</v>
      </c>
      <c r="K772" s="7">
        <v>0.6</v>
      </c>
      <c r="L772" s="7">
        <v>0.6</v>
      </c>
      <c r="M772" s="7">
        <v>0.6</v>
      </c>
      <c r="N772" s="7">
        <v>0.6</v>
      </c>
      <c r="O772" s="7">
        <v>0.6</v>
      </c>
      <c r="P772" s="7">
        <v>0.6</v>
      </c>
      <c r="Q772" s="7">
        <v>0.6</v>
      </c>
    </row>
    <row r="773" spans="1:17">
      <c r="A773" s="2">
        <v>2721</v>
      </c>
      <c r="B773" s="7">
        <v>0.6</v>
      </c>
      <c r="C773" s="7">
        <v>0.6</v>
      </c>
      <c r="D773" s="7">
        <v>0.6</v>
      </c>
      <c r="E773" s="7">
        <v>0.6</v>
      </c>
      <c r="F773" s="7">
        <v>0.6</v>
      </c>
      <c r="G773" s="7">
        <v>0.6</v>
      </c>
      <c r="H773" s="7">
        <v>0.6</v>
      </c>
      <c r="I773" s="7">
        <v>0.6</v>
      </c>
      <c r="J773" s="7">
        <v>0.6</v>
      </c>
      <c r="K773" s="7">
        <v>0.6</v>
      </c>
      <c r="L773" s="7">
        <v>0.6</v>
      </c>
      <c r="M773" s="7">
        <v>0.6</v>
      </c>
      <c r="N773" s="7">
        <v>0.6</v>
      </c>
      <c r="O773" s="7">
        <v>0.6</v>
      </c>
      <c r="P773" s="7">
        <v>0.6</v>
      </c>
      <c r="Q773" s="7">
        <v>0.6</v>
      </c>
    </row>
    <row r="774" spans="1:17">
      <c r="A774" s="2">
        <v>2722</v>
      </c>
      <c r="B774" s="7">
        <v>0.6</v>
      </c>
      <c r="C774" s="7">
        <v>0.6</v>
      </c>
      <c r="D774" s="7">
        <v>0.6</v>
      </c>
      <c r="E774" s="7">
        <v>0.6</v>
      </c>
      <c r="F774" s="7">
        <v>0.6</v>
      </c>
      <c r="G774" s="7">
        <v>0.6</v>
      </c>
      <c r="H774" s="7">
        <v>0.6</v>
      </c>
      <c r="I774" s="7">
        <v>0.6</v>
      </c>
      <c r="J774" s="7">
        <v>0.6</v>
      </c>
      <c r="K774" s="7">
        <v>0.6</v>
      </c>
      <c r="L774" s="7">
        <v>0.6</v>
      </c>
      <c r="M774" s="7">
        <v>0.6</v>
      </c>
      <c r="N774" s="7">
        <v>0.6</v>
      </c>
      <c r="O774" s="7">
        <v>0.6</v>
      </c>
      <c r="P774" s="7">
        <v>0.6</v>
      </c>
      <c r="Q774" s="7">
        <v>0.6</v>
      </c>
    </row>
    <row r="775" spans="1:17">
      <c r="A775" s="2">
        <v>2723</v>
      </c>
      <c r="B775" s="7">
        <v>0.6</v>
      </c>
      <c r="C775" s="7">
        <v>0.6</v>
      </c>
      <c r="D775" s="7">
        <v>0.6</v>
      </c>
      <c r="E775" s="7">
        <v>0.6</v>
      </c>
      <c r="F775" s="7">
        <v>0.6</v>
      </c>
      <c r="G775" s="7">
        <v>0.6</v>
      </c>
      <c r="H775" s="7">
        <v>0.6</v>
      </c>
      <c r="I775" s="7">
        <v>0.6</v>
      </c>
      <c r="J775" s="7">
        <v>0.6</v>
      </c>
      <c r="K775" s="7">
        <v>0.6</v>
      </c>
      <c r="L775" s="7">
        <v>0.6</v>
      </c>
      <c r="M775" s="7">
        <v>0.6</v>
      </c>
      <c r="N775" s="7">
        <v>0.6</v>
      </c>
      <c r="O775" s="7">
        <v>0.6</v>
      </c>
      <c r="P775" s="7">
        <v>0.6</v>
      </c>
      <c r="Q775" s="7">
        <v>0.6</v>
      </c>
    </row>
    <row r="776" spans="1:17">
      <c r="A776" s="2">
        <v>2724</v>
      </c>
      <c r="B776" s="7">
        <v>0.6</v>
      </c>
      <c r="C776" s="7">
        <v>0.6</v>
      </c>
      <c r="D776" s="7">
        <v>0.6</v>
      </c>
      <c r="E776" s="7">
        <v>0.6</v>
      </c>
      <c r="F776" s="7">
        <v>0.6</v>
      </c>
      <c r="G776" s="7">
        <v>0.6</v>
      </c>
      <c r="H776" s="7">
        <v>0.6</v>
      </c>
      <c r="I776" s="7">
        <v>0.6</v>
      </c>
      <c r="J776" s="7">
        <v>0.6</v>
      </c>
      <c r="K776" s="7">
        <v>0.6</v>
      </c>
      <c r="L776" s="7">
        <v>0.6</v>
      </c>
      <c r="M776" s="7">
        <v>0.6</v>
      </c>
      <c r="N776" s="7">
        <v>0.6</v>
      </c>
      <c r="O776" s="7">
        <v>0.6</v>
      </c>
      <c r="P776" s="7">
        <v>0.6</v>
      </c>
      <c r="Q776" s="7">
        <v>0.6</v>
      </c>
    </row>
    <row r="777" spans="1:17">
      <c r="A777" s="2">
        <v>2725</v>
      </c>
      <c r="B777" s="7">
        <v>0.6</v>
      </c>
      <c r="C777" s="7">
        <v>0.6</v>
      </c>
      <c r="D777" s="7">
        <v>0.6</v>
      </c>
      <c r="E777" s="7">
        <v>0.6</v>
      </c>
      <c r="F777" s="7">
        <v>0.6</v>
      </c>
      <c r="G777" s="7">
        <v>0.6</v>
      </c>
      <c r="H777" s="7">
        <v>0.6</v>
      </c>
      <c r="I777" s="7">
        <v>0.6</v>
      </c>
      <c r="J777" s="7">
        <v>0.6</v>
      </c>
      <c r="K777" s="7">
        <v>0.6</v>
      </c>
      <c r="L777" s="7">
        <v>0.6</v>
      </c>
      <c r="M777" s="7">
        <v>0.6</v>
      </c>
      <c r="N777" s="7">
        <v>0.6</v>
      </c>
      <c r="O777" s="7">
        <v>0.6</v>
      </c>
      <c r="P777" s="7">
        <v>0.6</v>
      </c>
      <c r="Q777" s="7">
        <v>0.6</v>
      </c>
    </row>
    <row r="778" spans="1:17">
      <c r="A778" s="2">
        <v>2726</v>
      </c>
      <c r="B778" s="7">
        <v>0.6</v>
      </c>
      <c r="C778" s="7">
        <v>0.6</v>
      </c>
      <c r="D778" s="7">
        <v>0.6</v>
      </c>
      <c r="E778" s="7">
        <v>0.6</v>
      </c>
      <c r="F778" s="7">
        <v>0.6</v>
      </c>
      <c r="G778" s="7">
        <v>0.6</v>
      </c>
      <c r="H778" s="7">
        <v>0.6</v>
      </c>
      <c r="I778" s="7">
        <v>0.6</v>
      </c>
      <c r="J778" s="7">
        <v>0.6</v>
      </c>
      <c r="K778" s="7">
        <v>0.6</v>
      </c>
      <c r="L778" s="7">
        <v>0.6</v>
      </c>
      <c r="M778" s="7">
        <v>0.6</v>
      </c>
      <c r="N778" s="7">
        <v>0.6</v>
      </c>
      <c r="O778" s="7">
        <v>0.6</v>
      </c>
      <c r="P778" s="7">
        <v>0.6</v>
      </c>
      <c r="Q778" s="7">
        <v>0.6</v>
      </c>
    </row>
    <row r="779" spans="1:17">
      <c r="A779" s="2">
        <v>2727</v>
      </c>
      <c r="B779" s="7">
        <v>0.6</v>
      </c>
      <c r="C779" s="7">
        <v>0.6</v>
      </c>
      <c r="D779" s="7">
        <v>0.6</v>
      </c>
      <c r="E779" s="7">
        <v>0.6</v>
      </c>
      <c r="F779" s="7">
        <v>0.6</v>
      </c>
      <c r="G779" s="7">
        <v>0.6</v>
      </c>
      <c r="H779" s="7">
        <v>0.6</v>
      </c>
      <c r="I779" s="7">
        <v>0.6</v>
      </c>
      <c r="J779" s="7">
        <v>0.6</v>
      </c>
      <c r="K779" s="7">
        <v>0.6</v>
      </c>
      <c r="L779" s="7">
        <v>0.6</v>
      </c>
      <c r="M779" s="7">
        <v>0.6</v>
      </c>
      <c r="N779" s="7">
        <v>0.6</v>
      </c>
      <c r="O779" s="7">
        <v>0.6</v>
      </c>
      <c r="P779" s="7">
        <v>0.6</v>
      </c>
      <c r="Q779" s="7">
        <v>0.6</v>
      </c>
    </row>
    <row r="780" spans="1:17">
      <c r="A780" s="2">
        <v>2728</v>
      </c>
      <c r="B780" s="7">
        <v>0.6</v>
      </c>
      <c r="C780" s="7">
        <v>0.6</v>
      </c>
      <c r="D780" s="7">
        <v>0.6</v>
      </c>
      <c r="E780" s="7">
        <v>0.6</v>
      </c>
      <c r="F780" s="7">
        <v>0.6</v>
      </c>
      <c r="G780" s="7">
        <v>0.6</v>
      </c>
      <c r="H780" s="7">
        <v>0.6</v>
      </c>
      <c r="I780" s="7">
        <v>0.6</v>
      </c>
      <c r="J780" s="7">
        <v>0.6</v>
      </c>
      <c r="K780" s="7">
        <v>0.6</v>
      </c>
      <c r="L780" s="7">
        <v>0.6</v>
      </c>
      <c r="M780" s="7">
        <v>0.6</v>
      </c>
      <c r="N780" s="7">
        <v>0.6</v>
      </c>
      <c r="O780" s="7">
        <v>0.6</v>
      </c>
      <c r="P780" s="7">
        <v>0.6</v>
      </c>
      <c r="Q780" s="7">
        <v>0.6</v>
      </c>
    </row>
    <row r="781" spans="1:17">
      <c r="A781" s="2">
        <v>2729</v>
      </c>
      <c r="B781" s="7">
        <v>0.6</v>
      </c>
      <c r="C781" s="7">
        <v>0.6</v>
      </c>
      <c r="D781" s="7">
        <v>0.6</v>
      </c>
      <c r="E781" s="7">
        <v>0.6</v>
      </c>
      <c r="F781" s="7">
        <v>0.6</v>
      </c>
      <c r="G781" s="7">
        <v>0.6</v>
      </c>
      <c r="H781" s="7">
        <v>0.6</v>
      </c>
      <c r="I781" s="7">
        <v>0.6</v>
      </c>
      <c r="J781" s="7">
        <v>0.6</v>
      </c>
      <c r="K781" s="7">
        <v>0.6</v>
      </c>
      <c r="L781" s="7">
        <v>0.6</v>
      </c>
      <c r="M781" s="7">
        <v>0.6</v>
      </c>
      <c r="N781" s="7">
        <v>0.6</v>
      </c>
      <c r="O781" s="7">
        <v>0.6</v>
      </c>
      <c r="P781" s="7">
        <v>0.6</v>
      </c>
      <c r="Q781" s="7">
        <v>0.6</v>
      </c>
    </row>
    <row r="782" spans="1:17">
      <c r="A782" s="2">
        <v>2730</v>
      </c>
      <c r="B782" s="7">
        <v>0.6</v>
      </c>
      <c r="C782" s="7">
        <v>0.6</v>
      </c>
      <c r="D782" s="7">
        <v>0.6</v>
      </c>
      <c r="E782" s="7">
        <v>0.6</v>
      </c>
      <c r="F782" s="7">
        <v>0.6</v>
      </c>
      <c r="G782" s="7">
        <v>0.6</v>
      </c>
      <c r="H782" s="7">
        <v>0.6</v>
      </c>
      <c r="I782" s="7">
        <v>0.6</v>
      </c>
      <c r="J782" s="7">
        <v>0.6</v>
      </c>
      <c r="K782" s="7">
        <v>0.6</v>
      </c>
      <c r="L782" s="7">
        <v>0.6</v>
      </c>
      <c r="M782" s="7">
        <v>0.6</v>
      </c>
      <c r="N782" s="7">
        <v>0.6</v>
      </c>
      <c r="O782" s="7">
        <v>0.6</v>
      </c>
      <c r="P782" s="7">
        <v>0.6</v>
      </c>
      <c r="Q782" s="7">
        <v>0.6</v>
      </c>
    </row>
    <row r="783" spans="1:17">
      <c r="A783" s="2">
        <v>2731</v>
      </c>
      <c r="B783" s="7">
        <v>0.6</v>
      </c>
      <c r="C783" s="7">
        <v>0.6</v>
      </c>
      <c r="D783" s="7">
        <v>0.6</v>
      </c>
      <c r="E783" s="7">
        <v>0.6</v>
      </c>
      <c r="F783" s="7">
        <v>0.6</v>
      </c>
      <c r="G783" s="7">
        <v>0.6</v>
      </c>
      <c r="H783" s="7">
        <v>0.6</v>
      </c>
      <c r="I783" s="7">
        <v>0.6</v>
      </c>
      <c r="J783" s="7">
        <v>0.6</v>
      </c>
      <c r="K783" s="7">
        <v>0.6</v>
      </c>
      <c r="L783" s="7">
        <v>0.6</v>
      </c>
      <c r="M783" s="7">
        <v>0.6</v>
      </c>
      <c r="N783" s="7">
        <v>0.6</v>
      </c>
      <c r="O783" s="7">
        <v>0.6</v>
      </c>
      <c r="P783" s="7">
        <v>0.6</v>
      </c>
      <c r="Q783" s="7">
        <v>0.6</v>
      </c>
    </row>
    <row r="784" spans="1:17">
      <c r="A784" s="2">
        <v>2732</v>
      </c>
      <c r="B784" s="7">
        <v>0.6</v>
      </c>
      <c r="C784" s="7">
        <v>0.6</v>
      </c>
      <c r="D784" s="7">
        <v>0.6</v>
      </c>
      <c r="E784" s="7">
        <v>0.6</v>
      </c>
      <c r="F784" s="7">
        <v>0.6</v>
      </c>
      <c r="G784" s="7">
        <v>0.6</v>
      </c>
      <c r="H784" s="7">
        <v>0.6</v>
      </c>
      <c r="I784" s="7">
        <v>0.6</v>
      </c>
      <c r="J784" s="7">
        <v>0.6</v>
      </c>
      <c r="K784" s="7">
        <v>0.6</v>
      </c>
      <c r="L784" s="7">
        <v>0.6</v>
      </c>
      <c r="M784" s="7">
        <v>0.6</v>
      </c>
      <c r="N784" s="7">
        <v>0.6</v>
      </c>
      <c r="O784" s="7">
        <v>0.6</v>
      </c>
      <c r="P784" s="7">
        <v>0.6</v>
      </c>
      <c r="Q784" s="7">
        <v>0.6</v>
      </c>
    </row>
    <row r="785" spans="1:17">
      <c r="A785" s="2">
        <v>2733</v>
      </c>
      <c r="B785" s="7">
        <v>0.6</v>
      </c>
      <c r="C785" s="7">
        <v>0.6</v>
      </c>
      <c r="D785" s="7">
        <v>0.6</v>
      </c>
      <c r="E785" s="7">
        <v>0.6</v>
      </c>
      <c r="F785" s="7">
        <v>0.6</v>
      </c>
      <c r="G785" s="7">
        <v>0.6</v>
      </c>
      <c r="H785" s="7">
        <v>0.6</v>
      </c>
      <c r="I785" s="7">
        <v>0.6</v>
      </c>
      <c r="J785" s="7">
        <v>0.6</v>
      </c>
      <c r="K785" s="7">
        <v>0.6</v>
      </c>
      <c r="L785" s="7">
        <v>0.6</v>
      </c>
      <c r="M785" s="7">
        <v>0.6</v>
      </c>
      <c r="N785" s="7">
        <v>0.6</v>
      </c>
      <c r="O785" s="7">
        <v>0.6</v>
      </c>
      <c r="P785" s="7">
        <v>0.6</v>
      </c>
      <c r="Q785" s="7">
        <v>0.6</v>
      </c>
    </row>
    <row r="786" spans="1:17">
      <c r="A786" s="2">
        <v>2734</v>
      </c>
      <c r="B786" s="7">
        <v>0.6</v>
      </c>
      <c r="C786" s="7">
        <v>0.6</v>
      </c>
      <c r="D786" s="7">
        <v>0.6</v>
      </c>
      <c r="E786" s="7">
        <v>0.6</v>
      </c>
      <c r="F786" s="7">
        <v>0.6</v>
      </c>
      <c r="G786" s="7">
        <v>0.6</v>
      </c>
      <c r="H786" s="7">
        <v>0.6</v>
      </c>
      <c r="I786" s="7">
        <v>0.6</v>
      </c>
      <c r="J786" s="7">
        <v>0.6</v>
      </c>
      <c r="K786" s="7">
        <v>0.6</v>
      </c>
      <c r="L786" s="7">
        <v>0.6</v>
      </c>
      <c r="M786" s="7">
        <v>0.6</v>
      </c>
      <c r="N786" s="7">
        <v>0.6</v>
      </c>
      <c r="O786" s="7">
        <v>0.6</v>
      </c>
      <c r="P786" s="7">
        <v>0.6</v>
      </c>
      <c r="Q786" s="7">
        <v>0.6</v>
      </c>
    </row>
    <row r="787" spans="1:17">
      <c r="A787" s="2">
        <v>2735</v>
      </c>
      <c r="B787" s="7">
        <v>0.6</v>
      </c>
      <c r="C787" s="7">
        <v>0.6</v>
      </c>
      <c r="D787" s="7">
        <v>0.6</v>
      </c>
      <c r="E787" s="7">
        <v>0.6</v>
      </c>
      <c r="F787" s="7">
        <v>0.6</v>
      </c>
      <c r="G787" s="7">
        <v>0.6</v>
      </c>
      <c r="H787" s="7">
        <v>0.6</v>
      </c>
      <c r="I787" s="7">
        <v>0.6</v>
      </c>
      <c r="J787" s="7">
        <v>0.6</v>
      </c>
      <c r="K787" s="7">
        <v>0.6</v>
      </c>
      <c r="L787" s="7">
        <v>0.6</v>
      </c>
      <c r="M787" s="7">
        <v>0.6</v>
      </c>
      <c r="N787" s="7">
        <v>0.6</v>
      </c>
      <c r="O787" s="7">
        <v>0.6</v>
      </c>
      <c r="P787" s="7">
        <v>0.6</v>
      </c>
      <c r="Q787" s="7">
        <v>0.6</v>
      </c>
    </row>
    <row r="788" spans="1:17">
      <c r="A788" s="2">
        <v>2736</v>
      </c>
      <c r="B788" s="7">
        <v>0.6</v>
      </c>
      <c r="C788" s="7">
        <v>0.6</v>
      </c>
      <c r="D788" s="7">
        <v>0.6</v>
      </c>
      <c r="E788" s="7">
        <v>0.6</v>
      </c>
      <c r="F788" s="7">
        <v>0.6</v>
      </c>
      <c r="G788" s="7">
        <v>0.6</v>
      </c>
      <c r="H788" s="7">
        <v>0.6</v>
      </c>
      <c r="I788" s="7">
        <v>0.6</v>
      </c>
      <c r="J788" s="7">
        <v>0.6</v>
      </c>
      <c r="K788" s="7">
        <v>0.6</v>
      </c>
      <c r="L788" s="7">
        <v>0.6</v>
      </c>
      <c r="M788" s="7">
        <v>0.6</v>
      </c>
      <c r="N788" s="7">
        <v>0.6</v>
      </c>
      <c r="O788" s="7">
        <v>0.6</v>
      </c>
      <c r="P788" s="7">
        <v>0.6</v>
      </c>
      <c r="Q788" s="7">
        <v>0.6</v>
      </c>
    </row>
    <row r="789" spans="1:17">
      <c r="A789" s="2">
        <v>2737</v>
      </c>
      <c r="B789" s="7">
        <v>0.6</v>
      </c>
      <c r="C789" s="7">
        <v>0.6</v>
      </c>
      <c r="D789" s="7">
        <v>0.6</v>
      </c>
      <c r="E789" s="7">
        <v>0.6</v>
      </c>
      <c r="F789" s="7">
        <v>0.6</v>
      </c>
      <c r="G789" s="7">
        <v>0.6</v>
      </c>
      <c r="H789" s="7">
        <v>0.6</v>
      </c>
      <c r="I789" s="7">
        <v>0.6</v>
      </c>
      <c r="J789" s="7">
        <v>0.6</v>
      </c>
      <c r="K789" s="7">
        <v>0.6</v>
      </c>
      <c r="L789" s="7">
        <v>0.6</v>
      </c>
      <c r="M789" s="7">
        <v>0.6</v>
      </c>
      <c r="N789" s="7">
        <v>0.6</v>
      </c>
      <c r="O789" s="7">
        <v>0.6</v>
      </c>
      <c r="P789" s="7">
        <v>0.6</v>
      </c>
      <c r="Q789" s="7">
        <v>0.6</v>
      </c>
    </row>
    <row r="790" spans="1:17">
      <c r="A790" s="2">
        <v>2738</v>
      </c>
      <c r="B790" s="7">
        <v>0.6</v>
      </c>
      <c r="C790" s="7">
        <v>0.6</v>
      </c>
      <c r="D790" s="7">
        <v>0.6</v>
      </c>
      <c r="E790" s="7">
        <v>0.6</v>
      </c>
      <c r="F790" s="7">
        <v>0.6</v>
      </c>
      <c r="G790" s="7">
        <v>0.6</v>
      </c>
      <c r="H790" s="7">
        <v>0.6</v>
      </c>
      <c r="I790" s="7">
        <v>0.6</v>
      </c>
      <c r="J790" s="7">
        <v>0.6</v>
      </c>
      <c r="K790" s="7">
        <v>0.6</v>
      </c>
      <c r="L790" s="7">
        <v>0.6</v>
      </c>
      <c r="M790" s="7">
        <v>0.6</v>
      </c>
      <c r="N790" s="7">
        <v>0.6</v>
      </c>
      <c r="O790" s="7">
        <v>0.6</v>
      </c>
      <c r="P790" s="7">
        <v>0.6</v>
      </c>
      <c r="Q790" s="7">
        <v>0.6</v>
      </c>
    </row>
    <row r="791" spans="1:17">
      <c r="A791" s="2">
        <v>2739</v>
      </c>
      <c r="B791" s="7">
        <v>0.6</v>
      </c>
      <c r="C791" s="7">
        <v>0.6</v>
      </c>
      <c r="D791" s="7">
        <v>0.6</v>
      </c>
      <c r="E791" s="7">
        <v>0.6</v>
      </c>
      <c r="F791" s="7">
        <v>0.6</v>
      </c>
      <c r="G791" s="7">
        <v>0.6</v>
      </c>
      <c r="H791" s="7">
        <v>0.6</v>
      </c>
      <c r="I791" s="7">
        <v>0.6</v>
      </c>
      <c r="J791" s="7">
        <v>0.6</v>
      </c>
      <c r="K791" s="7">
        <v>0.6</v>
      </c>
      <c r="L791" s="7">
        <v>0.6</v>
      </c>
      <c r="M791" s="7">
        <v>0.6</v>
      </c>
      <c r="N791" s="7">
        <v>0.6</v>
      </c>
      <c r="O791" s="7">
        <v>0.6</v>
      </c>
      <c r="P791" s="7">
        <v>0.6</v>
      </c>
      <c r="Q791" s="7">
        <v>0.6</v>
      </c>
    </row>
    <row r="792" spans="1:17">
      <c r="A792" s="2">
        <v>2740</v>
      </c>
      <c r="B792" s="7">
        <v>0.6</v>
      </c>
      <c r="C792" s="7">
        <v>0.6</v>
      </c>
      <c r="D792" s="7">
        <v>0.6</v>
      </c>
      <c r="E792" s="7">
        <v>0.6</v>
      </c>
      <c r="F792" s="7">
        <v>0.6</v>
      </c>
      <c r="G792" s="7">
        <v>0.6</v>
      </c>
      <c r="H792" s="7">
        <v>0.6</v>
      </c>
      <c r="I792" s="7">
        <v>0.6</v>
      </c>
      <c r="J792" s="7">
        <v>0.6</v>
      </c>
      <c r="K792" s="7">
        <v>0.6</v>
      </c>
      <c r="L792" s="7">
        <v>0.6</v>
      </c>
      <c r="M792" s="7">
        <v>0.6</v>
      </c>
      <c r="N792" s="7">
        <v>0.6</v>
      </c>
      <c r="O792" s="7">
        <v>0.6</v>
      </c>
      <c r="P792" s="7">
        <v>0.6</v>
      </c>
      <c r="Q792" s="7">
        <v>0.6</v>
      </c>
    </row>
    <row r="793" spans="1:17">
      <c r="A793" s="2">
        <v>2741</v>
      </c>
      <c r="B793" s="7">
        <v>0.6</v>
      </c>
      <c r="C793" s="7">
        <v>0.6</v>
      </c>
      <c r="D793" s="7">
        <v>0.6</v>
      </c>
      <c r="E793" s="7">
        <v>0.6</v>
      </c>
      <c r="F793" s="7">
        <v>0.6</v>
      </c>
      <c r="G793" s="7">
        <v>0.6</v>
      </c>
      <c r="H793" s="7">
        <v>0.6</v>
      </c>
      <c r="I793" s="7">
        <v>0.6</v>
      </c>
      <c r="J793" s="7">
        <v>0.6</v>
      </c>
      <c r="K793" s="7">
        <v>0.6</v>
      </c>
      <c r="L793" s="7">
        <v>0.6</v>
      </c>
      <c r="M793" s="7">
        <v>0.6</v>
      </c>
      <c r="N793" s="7">
        <v>0.6</v>
      </c>
      <c r="O793" s="7">
        <v>0.6</v>
      </c>
      <c r="P793" s="7">
        <v>0.6</v>
      </c>
      <c r="Q793" s="7">
        <v>0.6</v>
      </c>
    </row>
    <row r="794" spans="1:17">
      <c r="A794" s="2">
        <v>2742</v>
      </c>
      <c r="B794" s="7">
        <v>0.6</v>
      </c>
      <c r="C794" s="7">
        <v>0.6</v>
      </c>
      <c r="D794" s="7">
        <v>0.6</v>
      </c>
      <c r="E794" s="7">
        <v>0.6</v>
      </c>
      <c r="F794" s="7">
        <v>0.6</v>
      </c>
      <c r="G794" s="7">
        <v>0.6</v>
      </c>
      <c r="H794" s="7">
        <v>0.6</v>
      </c>
      <c r="I794" s="7">
        <v>0.6</v>
      </c>
      <c r="J794" s="7">
        <v>0.6</v>
      </c>
      <c r="K794" s="7">
        <v>0.6</v>
      </c>
      <c r="L794" s="7">
        <v>0.6</v>
      </c>
      <c r="M794" s="7">
        <v>0.6</v>
      </c>
      <c r="N794" s="7">
        <v>0.6</v>
      </c>
      <c r="O794" s="7">
        <v>0.6</v>
      </c>
      <c r="P794" s="7">
        <v>0.6</v>
      </c>
      <c r="Q794" s="7">
        <v>0.6</v>
      </c>
    </row>
    <row r="795" spans="1:17">
      <c r="A795" s="2">
        <v>2743</v>
      </c>
      <c r="B795" s="7">
        <v>0.6</v>
      </c>
      <c r="C795" s="7">
        <v>0.6</v>
      </c>
      <c r="D795" s="7">
        <v>0.6</v>
      </c>
      <c r="E795" s="7">
        <v>0.6</v>
      </c>
      <c r="F795" s="7">
        <v>0.6</v>
      </c>
      <c r="G795" s="7">
        <v>0.6</v>
      </c>
      <c r="H795" s="7">
        <v>0.6</v>
      </c>
      <c r="I795" s="7">
        <v>0.6</v>
      </c>
      <c r="J795" s="7">
        <v>0.6</v>
      </c>
      <c r="K795" s="7">
        <v>0.6</v>
      </c>
      <c r="L795" s="7">
        <v>0.6</v>
      </c>
      <c r="M795" s="7">
        <v>0.6</v>
      </c>
      <c r="N795" s="7">
        <v>0.6</v>
      </c>
      <c r="O795" s="7">
        <v>0.6</v>
      </c>
      <c r="P795" s="7">
        <v>0.6</v>
      </c>
      <c r="Q795" s="7">
        <v>0.6</v>
      </c>
    </row>
    <row r="796" spans="1:17">
      <c r="A796" s="2">
        <v>2744</v>
      </c>
      <c r="B796" s="7">
        <v>0.6</v>
      </c>
      <c r="C796" s="7">
        <v>0.6</v>
      </c>
      <c r="D796" s="7">
        <v>0.6</v>
      </c>
      <c r="E796" s="7">
        <v>0.6</v>
      </c>
      <c r="F796" s="7">
        <v>0.6</v>
      </c>
      <c r="G796" s="7">
        <v>0.6</v>
      </c>
      <c r="H796" s="7">
        <v>0.6</v>
      </c>
      <c r="I796" s="7">
        <v>0.6</v>
      </c>
      <c r="J796" s="7">
        <v>0.6</v>
      </c>
      <c r="K796" s="7">
        <v>0.6</v>
      </c>
      <c r="L796" s="7">
        <v>0.6</v>
      </c>
      <c r="M796" s="7">
        <v>0.6</v>
      </c>
      <c r="N796" s="7">
        <v>0.6</v>
      </c>
      <c r="O796" s="7">
        <v>0.6</v>
      </c>
      <c r="P796" s="7">
        <v>0.6</v>
      </c>
      <c r="Q796" s="7">
        <v>0.6</v>
      </c>
    </row>
    <row r="797" spans="1:17">
      <c r="A797" s="2">
        <v>2745</v>
      </c>
      <c r="B797" s="7">
        <v>0.6</v>
      </c>
      <c r="C797" s="7">
        <v>0.6</v>
      </c>
      <c r="D797" s="7">
        <v>0.6</v>
      </c>
      <c r="E797" s="7">
        <v>0.6</v>
      </c>
      <c r="F797" s="7">
        <v>0.6</v>
      </c>
      <c r="G797" s="7">
        <v>0.6</v>
      </c>
      <c r="H797" s="7">
        <v>0.6</v>
      </c>
      <c r="I797" s="7">
        <v>0.6</v>
      </c>
      <c r="J797" s="7">
        <v>0.6</v>
      </c>
      <c r="K797" s="7">
        <v>0.6</v>
      </c>
      <c r="L797" s="7">
        <v>0.6</v>
      </c>
      <c r="M797" s="7">
        <v>0.6</v>
      </c>
      <c r="N797" s="7">
        <v>0.6</v>
      </c>
      <c r="O797" s="7">
        <v>0.6</v>
      </c>
      <c r="P797" s="7">
        <v>0.6</v>
      </c>
      <c r="Q797" s="7">
        <v>0.6</v>
      </c>
    </row>
    <row r="798" spans="1:17">
      <c r="A798" s="2">
        <v>2746</v>
      </c>
      <c r="B798" s="7">
        <v>0.6</v>
      </c>
      <c r="C798" s="7">
        <v>0.6</v>
      </c>
      <c r="D798" s="7">
        <v>0.6</v>
      </c>
      <c r="E798" s="7">
        <v>0.6</v>
      </c>
      <c r="F798" s="7">
        <v>0.6</v>
      </c>
      <c r="G798" s="7">
        <v>0.6</v>
      </c>
      <c r="H798" s="7">
        <v>0.6</v>
      </c>
      <c r="I798" s="7">
        <v>0.6</v>
      </c>
      <c r="J798" s="7">
        <v>0.6</v>
      </c>
      <c r="K798" s="7">
        <v>0.6</v>
      </c>
      <c r="L798" s="7">
        <v>0.6</v>
      </c>
      <c r="M798" s="7">
        <v>0.6</v>
      </c>
      <c r="N798" s="7">
        <v>0.6</v>
      </c>
      <c r="O798" s="7">
        <v>0.6</v>
      </c>
      <c r="P798" s="7">
        <v>0.6</v>
      </c>
      <c r="Q798" s="7">
        <v>0.6</v>
      </c>
    </row>
    <row r="799" spans="1:17">
      <c r="A799" s="2">
        <v>2747</v>
      </c>
      <c r="B799" s="7">
        <v>0.6</v>
      </c>
      <c r="C799" s="7">
        <v>0.6</v>
      </c>
      <c r="D799" s="7">
        <v>0.6</v>
      </c>
      <c r="E799" s="7">
        <v>0.6</v>
      </c>
      <c r="F799" s="7">
        <v>0.6</v>
      </c>
      <c r="G799" s="7">
        <v>0.6</v>
      </c>
      <c r="H799" s="7">
        <v>0.6</v>
      </c>
      <c r="I799" s="7">
        <v>0.6</v>
      </c>
      <c r="J799" s="7">
        <v>0.6</v>
      </c>
      <c r="K799" s="7">
        <v>0.6</v>
      </c>
      <c r="L799" s="7">
        <v>0.6</v>
      </c>
      <c r="M799" s="7">
        <v>0.6</v>
      </c>
      <c r="N799" s="7">
        <v>0.6</v>
      </c>
      <c r="O799" s="7">
        <v>0.6</v>
      </c>
      <c r="P799" s="7">
        <v>0.6</v>
      </c>
      <c r="Q799" s="7">
        <v>0.6</v>
      </c>
    </row>
    <row r="800" spans="1:17">
      <c r="A800" s="2">
        <v>2748</v>
      </c>
      <c r="B800" s="7">
        <v>0.6</v>
      </c>
      <c r="C800" s="7">
        <v>0.6</v>
      </c>
      <c r="D800" s="7">
        <v>0.6</v>
      </c>
      <c r="E800" s="7">
        <v>0.6</v>
      </c>
      <c r="F800" s="7">
        <v>0.6</v>
      </c>
      <c r="G800" s="7">
        <v>0.6</v>
      </c>
      <c r="H800" s="7">
        <v>0.6</v>
      </c>
      <c r="I800" s="7">
        <v>0.6</v>
      </c>
      <c r="J800" s="7">
        <v>0.6</v>
      </c>
      <c r="K800" s="7">
        <v>0.6</v>
      </c>
      <c r="L800" s="7">
        <v>0.6</v>
      </c>
      <c r="M800" s="7">
        <v>0.6</v>
      </c>
      <c r="N800" s="7">
        <v>0.6</v>
      </c>
      <c r="O800" s="7">
        <v>0.6</v>
      </c>
      <c r="P800" s="7">
        <v>0.6</v>
      </c>
      <c r="Q800" s="7">
        <v>0.6</v>
      </c>
    </row>
    <row r="801" spans="1:17">
      <c r="A801" s="2">
        <v>2749</v>
      </c>
      <c r="B801" s="7">
        <v>0.6</v>
      </c>
      <c r="C801" s="7">
        <v>0.6</v>
      </c>
      <c r="D801" s="7">
        <v>0.6</v>
      </c>
      <c r="E801" s="7">
        <v>0.6</v>
      </c>
      <c r="F801" s="7">
        <v>0.6</v>
      </c>
      <c r="G801" s="7">
        <v>0.6</v>
      </c>
      <c r="H801" s="7">
        <v>0.6</v>
      </c>
      <c r="I801" s="7">
        <v>0.6</v>
      </c>
      <c r="J801" s="7">
        <v>0.6</v>
      </c>
      <c r="K801" s="7">
        <v>0.6</v>
      </c>
      <c r="L801" s="7">
        <v>0.6</v>
      </c>
      <c r="M801" s="7">
        <v>0.6</v>
      </c>
      <c r="N801" s="7">
        <v>0.6</v>
      </c>
      <c r="O801" s="7">
        <v>0.6</v>
      </c>
      <c r="P801" s="7">
        <v>0.6</v>
      </c>
      <c r="Q801" s="7">
        <v>0.6</v>
      </c>
    </row>
    <row r="802" spans="1:17">
      <c r="A802" s="2">
        <v>2750</v>
      </c>
      <c r="B802" s="7">
        <v>0.6</v>
      </c>
      <c r="C802" s="7">
        <v>0.6</v>
      </c>
      <c r="D802" s="7">
        <v>0.6</v>
      </c>
      <c r="E802" s="7">
        <v>0.6</v>
      </c>
      <c r="F802" s="7">
        <v>0.6</v>
      </c>
      <c r="G802" s="7">
        <v>0.6</v>
      </c>
      <c r="H802" s="7">
        <v>0.6</v>
      </c>
      <c r="I802" s="7">
        <v>0.6</v>
      </c>
      <c r="J802" s="7">
        <v>0.6</v>
      </c>
      <c r="K802" s="7">
        <v>0.6</v>
      </c>
      <c r="L802" s="7">
        <v>0.6</v>
      </c>
      <c r="M802" s="7">
        <v>0.6</v>
      </c>
      <c r="N802" s="7">
        <v>0.6</v>
      </c>
      <c r="O802" s="7">
        <v>0.6</v>
      </c>
      <c r="P802" s="7">
        <v>0.6</v>
      </c>
      <c r="Q802" s="7">
        <v>0.6</v>
      </c>
    </row>
    <row r="803" spans="1:17">
      <c r="A803" s="2">
        <v>2751</v>
      </c>
      <c r="B803" s="7">
        <v>0.6</v>
      </c>
      <c r="C803" s="7">
        <v>0.6</v>
      </c>
      <c r="D803" s="7">
        <v>0.6</v>
      </c>
      <c r="E803" s="7">
        <v>0.6</v>
      </c>
      <c r="F803" s="7">
        <v>0.6</v>
      </c>
      <c r="G803" s="7">
        <v>0.6</v>
      </c>
      <c r="H803" s="7">
        <v>0.6</v>
      </c>
      <c r="I803" s="7">
        <v>0.6</v>
      </c>
      <c r="J803" s="7">
        <v>0.6</v>
      </c>
      <c r="K803" s="7">
        <v>0.6</v>
      </c>
      <c r="L803" s="7">
        <v>0.6</v>
      </c>
      <c r="M803" s="7">
        <v>0.6</v>
      </c>
      <c r="N803" s="7">
        <v>0.6</v>
      </c>
      <c r="O803" s="7">
        <v>0.6</v>
      </c>
      <c r="P803" s="7">
        <v>0.6</v>
      </c>
      <c r="Q803" s="7">
        <v>0.6</v>
      </c>
    </row>
    <row r="804" spans="1:17">
      <c r="A804" s="2">
        <v>2752</v>
      </c>
      <c r="B804" s="7">
        <v>0.6</v>
      </c>
      <c r="C804" s="7">
        <v>0.6</v>
      </c>
      <c r="D804" s="7">
        <v>0.6</v>
      </c>
      <c r="E804" s="7">
        <v>0.6</v>
      </c>
      <c r="F804" s="7">
        <v>0.6</v>
      </c>
      <c r="G804" s="7">
        <v>0.6</v>
      </c>
      <c r="H804" s="7">
        <v>0.6</v>
      </c>
      <c r="I804" s="7">
        <v>0.6</v>
      </c>
      <c r="J804" s="7">
        <v>0.6</v>
      </c>
      <c r="K804" s="7">
        <v>0.6</v>
      </c>
      <c r="L804" s="7">
        <v>0.6</v>
      </c>
      <c r="M804" s="7">
        <v>0.6</v>
      </c>
      <c r="N804" s="7">
        <v>0.6</v>
      </c>
      <c r="O804" s="7">
        <v>0.6</v>
      </c>
      <c r="P804" s="7">
        <v>0.6</v>
      </c>
      <c r="Q804" s="7">
        <v>0.6</v>
      </c>
    </row>
    <row r="805" spans="1:17">
      <c r="A805" s="2">
        <v>2753</v>
      </c>
      <c r="B805" s="7">
        <v>0.6</v>
      </c>
      <c r="C805" s="7">
        <v>0.6</v>
      </c>
      <c r="D805" s="7">
        <v>0.6</v>
      </c>
      <c r="E805" s="7">
        <v>0.6</v>
      </c>
      <c r="F805" s="7">
        <v>0.6</v>
      </c>
      <c r="G805" s="7">
        <v>0.6</v>
      </c>
      <c r="H805" s="7">
        <v>0.6</v>
      </c>
      <c r="I805" s="7">
        <v>0.6</v>
      </c>
      <c r="J805" s="7">
        <v>0.6</v>
      </c>
      <c r="K805" s="7">
        <v>0.6</v>
      </c>
      <c r="L805" s="7">
        <v>0.6</v>
      </c>
      <c r="M805" s="7">
        <v>0.6</v>
      </c>
      <c r="N805" s="7">
        <v>0.6</v>
      </c>
      <c r="O805" s="7">
        <v>0.6</v>
      </c>
      <c r="P805" s="7">
        <v>0.6</v>
      </c>
      <c r="Q805" s="7">
        <v>0.6</v>
      </c>
    </row>
    <row r="806" spans="1:17">
      <c r="A806" s="2">
        <v>2754</v>
      </c>
      <c r="B806" s="7">
        <v>0.6</v>
      </c>
      <c r="C806" s="7">
        <v>0.6</v>
      </c>
      <c r="D806" s="7">
        <v>0.6</v>
      </c>
      <c r="E806" s="7">
        <v>0.6</v>
      </c>
      <c r="F806" s="7">
        <v>0.6</v>
      </c>
      <c r="G806" s="7">
        <v>0.6</v>
      </c>
      <c r="H806" s="7">
        <v>0.6</v>
      </c>
      <c r="I806" s="7">
        <v>0.6</v>
      </c>
      <c r="J806" s="7">
        <v>0.6</v>
      </c>
      <c r="K806" s="7">
        <v>0.6</v>
      </c>
      <c r="L806" s="7">
        <v>0.6</v>
      </c>
      <c r="M806" s="7">
        <v>0.6</v>
      </c>
      <c r="N806" s="7">
        <v>0.6</v>
      </c>
      <c r="O806" s="7">
        <v>0.6</v>
      </c>
      <c r="P806" s="7">
        <v>0.6</v>
      </c>
      <c r="Q806" s="7">
        <v>0.6</v>
      </c>
    </row>
    <row r="807" spans="1:17">
      <c r="A807" s="2">
        <v>2755</v>
      </c>
      <c r="B807" s="7">
        <v>0.6</v>
      </c>
      <c r="C807" s="7">
        <v>0.6</v>
      </c>
      <c r="D807" s="7">
        <v>0.6</v>
      </c>
      <c r="E807" s="7">
        <v>0.6</v>
      </c>
      <c r="F807" s="7">
        <v>0.6</v>
      </c>
      <c r="G807" s="7">
        <v>0.6</v>
      </c>
      <c r="H807" s="7">
        <v>0.6</v>
      </c>
      <c r="I807" s="7">
        <v>0.6</v>
      </c>
      <c r="J807" s="7">
        <v>0.6</v>
      </c>
      <c r="K807" s="7">
        <v>0.6</v>
      </c>
      <c r="L807" s="7">
        <v>0.6</v>
      </c>
      <c r="M807" s="7">
        <v>0.6</v>
      </c>
      <c r="N807" s="7">
        <v>0.6</v>
      </c>
      <c r="O807" s="7">
        <v>0.6</v>
      </c>
      <c r="P807" s="7">
        <v>0.6</v>
      </c>
      <c r="Q807" s="7">
        <v>0.6</v>
      </c>
    </row>
    <row r="808" spans="1:17">
      <c r="A808" s="2">
        <v>2756</v>
      </c>
      <c r="B808" s="7">
        <v>0.6</v>
      </c>
      <c r="C808" s="7">
        <v>0.6</v>
      </c>
      <c r="D808" s="7">
        <v>0.6</v>
      </c>
      <c r="E808" s="7">
        <v>0.6</v>
      </c>
      <c r="F808" s="7">
        <v>0.6</v>
      </c>
      <c r="G808" s="7">
        <v>0.6</v>
      </c>
      <c r="H808" s="7">
        <v>0.6</v>
      </c>
      <c r="I808" s="7">
        <v>0.6</v>
      </c>
      <c r="J808" s="7">
        <v>0.6</v>
      </c>
      <c r="K808" s="7">
        <v>0.6</v>
      </c>
      <c r="L808" s="7">
        <v>0.6</v>
      </c>
      <c r="M808" s="7">
        <v>0.6</v>
      </c>
      <c r="N808" s="7">
        <v>0.6</v>
      </c>
      <c r="O808" s="7">
        <v>0.6</v>
      </c>
      <c r="P808" s="7">
        <v>0.6</v>
      </c>
      <c r="Q808" s="7">
        <v>0.6</v>
      </c>
    </row>
    <row r="809" spans="1:17">
      <c r="A809" s="2">
        <v>2757</v>
      </c>
      <c r="B809" s="7">
        <v>0.6</v>
      </c>
      <c r="C809" s="7">
        <v>0.6</v>
      </c>
      <c r="D809" s="7">
        <v>0.6</v>
      </c>
      <c r="E809" s="7">
        <v>0.6</v>
      </c>
      <c r="F809" s="7">
        <v>0.6</v>
      </c>
      <c r="G809" s="7">
        <v>0.6</v>
      </c>
      <c r="H809" s="7">
        <v>0.6</v>
      </c>
      <c r="I809" s="7">
        <v>0.6</v>
      </c>
      <c r="J809" s="7">
        <v>0.6</v>
      </c>
      <c r="K809" s="7">
        <v>0.6</v>
      </c>
      <c r="L809" s="7">
        <v>0.6</v>
      </c>
      <c r="M809" s="7">
        <v>0.6</v>
      </c>
      <c r="N809" s="7">
        <v>0.6</v>
      </c>
      <c r="O809" s="7">
        <v>0.6</v>
      </c>
      <c r="P809" s="7">
        <v>0.6</v>
      </c>
      <c r="Q809" s="7">
        <v>0.6</v>
      </c>
    </row>
    <row r="810" spans="1:17">
      <c r="A810" s="2">
        <v>2758</v>
      </c>
      <c r="B810" s="7">
        <v>0.6</v>
      </c>
      <c r="C810" s="7">
        <v>0.6</v>
      </c>
      <c r="D810" s="7">
        <v>0.6</v>
      </c>
      <c r="E810" s="7">
        <v>0.6</v>
      </c>
      <c r="F810" s="7">
        <v>0.6</v>
      </c>
      <c r="G810" s="7">
        <v>0.6</v>
      </c>
      <c r="H810" s="7">
        <v>0.6</v>
      </c>
      <c r="I810" s="7">
        <v>0.6</v>
      </c>
      <c r="J810" s="7">
        <v>0.6</v>
      </c>
      <c r="K810" s="7">
        <v>0.6</v>
      </c>
      <c r="L810" s="7">
        <v>0.6</v>
      </c>
      <c r="M810" s="7">
        <v>0.6</v>
      </c>
      <c r="N810" s="7">
        <v>0.6</v>
      </c>
      <c r="O810" s="7">
        <v>0.6</v>
      </c>
      <c r="P810" s="7">
        <v>0.6</v>
      </c>
      <c r="Q810" s="7">
        <v>0.6</v>
      </c>
    </row>
    <row r="811" spans="1:17">
      <c r="A811" s="2">
        <v>2759</v>
      </c>
      <c r="B811" s="7">
        <v>0.6</v>
      </c>
      <c r="C811" s="7">
        <v>0.6</v>
      </c>
      <c r="D811" s="7">
        <v>0.6</v>
      </c>
      <c r="E811" s="7">
        <v>0.6</v>
      </c>
      <c r="F811" s="7">
        <v>0.6</v>
      </c>
      <c r="G811" s="7">
        <v>0.6</v>
      </c>
      <c r="H811" s="7">
        <v>0.6</v>
      </c>
      <c r="I811" s="7">
        <v>0.6</v>
      </c>
      <c r="J811" s="7">
        <v>0.6</v>
      </c>
      <c r="K811" s="7">
        <v>0.6</v>
      </c>
      <c r="L811" s="7">
        <v>0.6</v>
      </c>
      <c r="M811" s="7">
        <v>0.6</v>
      </c>
      <c r="N811" s="7">
        <v>0.6</v>
      </c>
      <c r="O811" s="7">
        <v>0.6</v>
      </c>
      <c r="P811" s="7">
        <v>0.6</v>
      </c>
      <c r="Q811" s="7">
        <v>0.6</v>
      </c>
    </row>
    <row r="812" spans="1:17">
      <c r="A812" s="2">
        <v>2760</v>
      </c>
      <c r="B812" s="7">
        <v>0.6</v>
      </c>
      <c r="C812" s="7">
        <v>0.6</v>
      </c>
      <c r="D812" s="7">
        <v>0.6</v>
      </c>
      <c r="E812" s="7">
        <v>0.6</v>
      </c>
      <c r="F812" s="7">
        <v>0.6</v>
      </c>
      <c r="G812" s="7">
        <v>0.6</v>
      </c>
      <c r="H812" s="7">
        <v>0.6</v>
      </c>
      <c r="I812" s="7">
        <v>0.6</v>
      </c>
      <c r="J812" s="7">
        <v>0.6</v>
      </c>
      <c r="K812" s="7">
        <v>0.6</v>
      </c>
      <c r="L812" s="7">
        <v>0.6</v>
      </c>
      <c r="M812" s="7">
        <v>0.6</v>
      </c>
      <c r="N812" s="7">
        <v>0.6</v>
      </c>
      <c r="O812" s="7">
        <v>0.6</v>
      </c>
      <c r="P812" s="7">
        <v>0.6</v>
      </c>
      <c r="Q812" s="7">
        <v>0.6</v>
      </c>
    </row>
    <row r="813" spans="1:17">
      <c r="A813" s="2">
        <v>2761</v>
      </c>
      <c r="B813" s="7">
        <v>0.6</v>
      </c>
      <c r="C813" s="7">
        <v>0.6</v>
      </c>
      <c r="D813" s="7">
        <v>0.6</v>
      </c>
      <c r="E813" s="7">
        <v>0.6</v>
      </c>
      <c r="F813" s="7">
        <v>0.6</v>
      </c>
      <c r="G813" s="7">
        <v>0.6</v>
      </c>
      <c r="H813" s="7">
        <v>0.6</v>
      </c>
      <c r="I813" s="7">
        <v>0.6</v>
      </c>
      <c r="J813" s="7">
        <v>0.6</v>
      </c>
      <c r="K813" s="7">
        <v>0.6</v>
      </c>
      <c r="L813" s="7">
        <v>0.6</v>
      </c>
      <c r="M813" s="7">
        <v>0.6</v>
      </c>
      <c r="N813" s="7">
        <v>0.6</v>
      </c>
      <c r="O813" s="7">
        <v>0.6</v>
      </c>
      <c r="P813" s="7">
        <v>0.6</v>
      </c>
      <c r="Q813" s="7">
        <v>0.6</v>
      </c>
    </row>
    <row r="814" spans="1:17">
      <c r="A814" s="2">
        <v>2762</v>
      </c>
      <c r="B814" s="7">
        <v>0.6</v>
      </c>
      <c r="C814" s="7">
        <v>0.6</v>
      </c>
      <c r="D814" s="7">
        <v>0.6</v>
      </c>
      <c r="E814" s="7">
        <v>0.6</v>
      </c>
      <c r="F814" s="7">
        <v>0.6</v>
      </c>
      <c r="G814" s="7">
        <v>0.6</v>
      </c>
      <c r="H814" s="7">
        <v>0.6</v>
      </c>
      <c r="I814" s="7">
        <v>0.6</v>
      </c>
      <c r="J814" s="7">
        <v>0.6</v>
      </c>
      <c r="K814" s="7">
        <v>0.6</v>
      </c>
      <c r="L814" s="7">
        <v>0.6</v>
      </c>
      <c r="M814" s="7">
        <v>0.6</v>
      </c>
      <c r="N814" s="7">
        <v>0.6</v>
      </c>
      <c r="O814" s="7">
        <v>0.6</v>
      </c>
      <c r="P814" s="7">
        <v>0.6</v>
      </c>
      <c r="Q814" s="7">
        <v>0.6</v>
      </c>
    </row>
    <row r="815" spans="1:17">
      <c r="A815" s="2">
        <v>2763</v>
      </c>
      <c r="B815" s="7">
        <v>0.6</v>
      </c>
      <c r="C815" s="7">
        <v>0.6</v>
      </c>
      <c r="D815" s="7">
        <v>0.6</v>
      </c>
      <c r="E815" s="7">
        <v>0.6</v>
      </c>
      <c r="F815" s="7">
        <v>0.6</v>
      </c>
      <c r="G815" s="7">
        <v>0.6</v>
      </c>
      <c r="H815" s="7">
        <v>0.6</v>
      </c>
      <c r="I815" s="7">
        <v>0.6</v>
      </c>
      <c r="J815" s="7">
        <v>0.6</v>
      </c>
      <c r="K815" s="7">
        <v>0.6</v>
      </c>
      <c r="L815" s="7">
        <v>0.6</v>
      </c>
      <c r="M815" s="7">
        <v>0.6</v>
      </c>
      <c r="N815" s="7">
        <v>0.6</v>
      </c>
      <c r="O815" s="7">
        <v>0.6</v>
      </c>
      <c r="P815" s="7">
        <v>0.6</v>
      </c>
      <c r="Q815" s="7">
        <v>0.6</v>
      </c>
    </row>
    <row r="816" spans="1:17">
      <c r="A816" s="2">
        <v>2764</v>
      </c>
      <c r="B816" s="7">
        <v>0.6</v>
      </c>
      <c r="C816" s="7">
        <v>0.6</v>
      </c>
      <c r="D816" s="7">
        <v>0.6</v>
      </c>
      <c r="E816" s="7">
        <v>0.6</v>
      </c>
      <c r="F816" s="7">
        <v>0.6</v>
      </c>
      <c r="G816" s="7">
        <v>0.6</v>
      </c>
      <c r="H816" s="7">
        <v>0.6</v>
      </c>
      <c r="I816" s="7">
        <v>0.6</v>
      </c>
      <c r="J816" s="7">
        <v>0.6</v>
      </c>
      <c r="K816" s="7">
        <v>0.6</v>
      </c>
      <c r="L816" s="7">
        <v>0.6</v>
      </c>
      <c r="M816" s="7">
        <v>0.6</v>
      </c>
      <c r="N816" s="7">
        <v>0.6</v>
      </c>
      <c r="O816" s="7">
        <v>0.6</v>
      </c>
      <c r="P816" s="7">
        <v>0.6</v>
      </c>
      <c r="Q816" s="7">
        <v>0.6</v>
      </c>
    </row>
    <row r="817" spans="1:17">
      <c r="A817" s="2">
        <v>2765</v>
      </c>
      <c r="B817" s="7">
        <v>0.6</v>
      </c>
      <c r="C817" s="7">
        <v>0.6</v>
      </c>
      <c r="D817" s="7">
        <v>0.6</v>
      </c>
      <c r="E817" s="7">
        <v>0.6</v>
      </c>
      <c r="F817" s="7">
        <v>0.6</v>
      </c>
      <c r="G817" s="7">
        <v>0.6</v>
      </c>
      <c r="H817" s="7">
        <v>0.6</v>
      </c>
      <c r="I817" s="7">
        <v>0.6</v>
      </c>
      <c r="J817" s="7">
        <v>0.6</v>
      </c>
      <c r="K817" s="7">
        <v>0.6</v>
      </c>
      <c r="L817" s="7">
        <v>0.6</v>
      </c>
      <c r="M817" s="7">
        <v>0.6</v>
      </c>
      <c r="N817" s="7">
        <v>0.6</v>
      </c>
      <c r="O817" s="7">
        <v>0.6</v>
      </c>
      <c r="P817" s="7">
        <v>0.6</v>
      </c>
      <c r="Q817" s="7">
        <v>0.6</v>
      </c>
    </row>
    <row r="818" spans="1:17">
      <c r="A818" s="2">
        <v>2766</v>
      </c>
      <c r="B818" s="7">
        <v>0.6</v>
      </c>
      <c r="C818" s="7">
        <v>0.6</v>
      </c>
      <c r="D818" s="7">
        <v>0.6</v>
      </c>
      <c r="E818" s="7">
        <v>0.6</v>
      </c>
      <c r="F818" s="7">
        <v>0.6</v>
      </c>
      <c r="G818" s="7">
        <v>0.6</v>
      </c>
      <c r="H818" s="7">
        <v>0.6</v>
      </c>
      <c r="I818" s="7">
        <v>0.6</v>
      </c>
      <c r="J818" s="7">
        <v>0.6</v>
      </c>
      <c r="K818" s="7">
        <v>0.6</v>
      </c>
      <c r="L818" s="7">
        <v>0.6</v>
      </c>
      <c r="M818" s="7">
        <v>0.6</v>
      </c>
      <c r="N818" s="7">
        <v>0.6</v>
      </c>
      <c r="O818" s="7">
        <v>0.6</v>
      </c>
      <c r="P818" s="7">
        <v>0.6</v>
      </c>
      <c r="Q818" s="7">
        <v>0.6</v>
      </c>
    </row>
    <row r="819" spans="1:17">
      <c r="A819" s="2">
        <v>2767</v>
      </c>
      <c r="B819" s="7">
        <v>0.6</v>
      </c>
      <c r="C819" s="7">
        <v>0.6</v>
      </c>
      <c r="D819" s="7">
        <v>0.6</v>
      </c>
      <c r="E819" s="7">
        <v>0.6</v>
      </c>
      <c r="F819" s="7">
        <v>0.6</v>
      </c>
      <c r="G819" s="7">
        <v>0.6</v>
      </c>
      <c r="H819" s="7">
        <v>0.6</v>
      </c>
      <c r="I819" s="7">
        <v>0.6</v>
      </c>
      <c r="J819" s="7">
        <v>0.6</v>
      </c>
      <c r="K819" s="7">
        <v>0.6</v>
      </c>
      <c r="L819" s="7">
        <v>0.6</v>
      </c>
      <c r="M819" s="7">
        <v>0.6</v>
      </c>
      <c r="N819" s="7">
        <v>0.6</v>
      </c>
      <c r="O819" s="7">
        <v>0.6</v>
      </c>
      <c r="P819" s="7">
        <v>0.6</v>
      </c>
      <c r="Q819" s="7">
        <v>0.6</v>
      </c>
    </row>
    <row r="820" spans="1:17">
      <c r="A820" s="2">
        <v>2768</v>
      </c>
      <c r="B820" s="7">
        <v>0.6</v>
      </c>
      <c r="C820" s="7">
        <v>0.6</v>
      </c>
      <c r="D820" s="7">
        <v>0.6</v>
      </c>
      <c r="E820" s="7">
        <v>0.6</v>
      </c>
      <c r="F820" s="7">
        <v>0.6</v>
      </c>
      <c r="G820" s="7">
        <v>0.6</v>
      </c>
      <c r="H820" s="7">
        <v>0.6</v>
      </c>
      <c r="I820" s="7">
        <v>0.6</v>
      </c>
      <c r="J820" s="7">
        <v>0.6</v>
      </c>
      <c r="K820" s="7">
        <v>0.6</v>
      </c>
      <c r="L820" s="7">
        <v>0.6</v>
      </c>
      <c r="M820" s="7">
        <v>0.6</v>
      </c>
      <c r="N820" s="7">
        <v>0.6</v>
      </c>
      <c r="O820" s="7">
        <v>0.6</v>
      </c>
      <c r="P820" s="7">
        <v>0.6</v>
      </c>
      <c r="Q820" s="7">
        <v>0.6</v>
      </c>
    </row>
    <row r="821" spans="1:17">
      <c r="A821" s="2">
        <v>2769</v>
      </c>
      <c r="B821" s="7">
        <v>0.6</v>
      </c>
      <c r="C821" s="7">
        <v>0.6</v>
      </c>
      <c r="D821" s="7">
        <v>0.6</v>
      </c>
      <c r="E821" s="7">
        <v>0.6</v>
      </c>
      <c r="F821" s="7">
        <v>0.6</v>
      </c>
      <c r="G821" s="7">
        <v>0.6</v>
      </c>
      <c r="H821" s="7">
        <v>0.6</v>
      </c>
      <c r="I821" s="7">
        <v>0.6</v>
      </c>
      <c r="J821" s="7">
        <v>0.6</v>
      </c>
      <c r="K821" s="7">
        <v>0.6</v>
      </c>
      <c r="L821" s="7">
        <v>0.6</v>
      </c>
      <c r="M821" s="7">
        <v>0.6</v>
      </c>
      <c r="N821" s="7">
        <v>0.6</v>
      </c>
      <c r="O821" s="7">
        <v>0.6</v>
      </c>
      <c r="P821" s="7">
        <v>0.6</v>
      </c>
      <c r="Q821" s="7">
        <v>0.6</v>
      </c>
    </row>
    <row r="822" spans="1:17">
      <c r="A822" s="2">
        <v>2770</v>
      </c>
      <c r="B822" s="7">
        <v>0.6</v>
      </c>
      <c r="C822" s="7">
        <v>0.6</v>
      </c>
      <c r="D822" s="7">
        <v>0.6</v>
      </c>
      <c r="E822" s="7">
        <v>0.6</v>
      </c>
      <c r="F822" s="7">
        <v>0.6</v>
      </c>
      <c r="G822" s="7">
        <v>0.6</v>
      </c>
      <c r="H822" s="7">
        <v>0.6</v>
      </c>
      <c r="I822" s="7">
        <v>0.6</v>
      </c>
      <c r="J822" s="7">
        <v>0.6</v>
      </c>
      <c r="K822" s="7">
        <v>0.6</v>
      </c>
      <c r="L822" s="7">
        <v>0.6</v>
      </c>
      <c r="M822" s="7">
        <v>0.6</v>
      </c>
      <c r="N822" s="7">
        <v>0.6</v>
      </c>
      <c r="O822" s="7">
        <v>0.6</v>
      </c>
      <c r="P822" s="7">
        <v>0.6</v>
      </c>
      <c r="Q822" s="7">
        <v>0.6</v>
      </c>
    </row>
    <row r="823" spans="1:17">
      <c r="A823" s="2">
        <v>2771</v>
      </c>
      <c r="B823" s="7">
        <v>0.6</v>
      </c>
      <c r="C823" s="7">
        <v>0.6</v>
      </c>
      <c r="D823" s="7">
        <v>0.6</v>
      </c>
      <c r="E823" s="7">
        <v>0.6</v>
      </c>
      <c r="F823" s="7">
        <v>0.6</v>
      </c>
      <c r="G823" s="7">
        <v>0.6</v>
      </c>
      <c r="H823" s="7">
        <v>0.6</v>
      </c>
      <c r="I823" s="7">
        <v>0.6</v>
      </c>
      <c r="J823" s="7">
        <v>0.6</v>
      </c>
      <c r="K823" s="7">
        <v>0.6</v>
      </c>
      <c r="L823" s="7">
        <v>0.6</v>
      </c>
      <c r="M823" s="7">
        <v>0.6</v>
      </c>
      <c r="N823" s="7">
        <v>0.6</v>
      </c>
      <c r="O823" s="7">
        <v>0.6</v>
      </c>
      <c r="P823" s="7">
        <v>0.6</v>
      </c>
      <c r="Q823" s="7">
        <v>0.6</v>
      </c>
    </row>
    <row r="824" spans="1:17">
      <c r="A824" s="2">
        <v>2772</v>
      </c>
      <c r="B824" s="7">
        <v>0.6</v>
      </c>
      <c r="C824" s="7">
        <v>0.6</v>
      </c>
      <c r="D824" s="7">
        <v>0.6</v>
      </c>
      <c r="E824" s="7">
        <v>0.6</v>
      </c>
      <c r="F824" s="7">
        <v>0.6</v>
      </c>
      <c r="G824" s="7">
        <v>0.6</v>
      </c>
      <c r="H824" s="7">
        <v>0.6</v>
      </c>
      <c r="I824" s="7">
        <v>0.6</v>
      </c>
      <c r="J824" s="7">
        <v>0.6</v>
      </c>
      <c r="K824" s="7">
        <v>0.6</v>
      </c>
      <c r="L824" s="7">
        <v>0.6</v>
      </c>
      <c r="M824" s="7">
        <v>0.6</v>
      </c>
      <c r="N824" s="7">
        <v>0.6</v>
      </c>
      <c r="O824" s="7">
        <v>0.6</v>
      </c>
      <c r="P824" s="7">
        <v>0.6</v>
      </c>
      <c r="Q824" s="7">
        <v>0.6</v>
      </c>
    </row>
    <row r="825" spans="1:17">
      <c r="A825" s="2">
        <v>2773</v>
      </c>
      <c r="B825" s="7">
        <v>0.6</v>
      </c>
      <c r="C825" s="7">
        <v>0.6</v>
      </c>
      <c r="D825" s="7">
        <v>0.6</v>
      </c>
      <c r="E825" s="7">
        <v>0.6</v>
      </c>
      <c r="F825" s="7">
        <v>0.6</v>
      </c>
      <c r="G825" s="7">
        <v>0.6</v>
      </c>
      <c r="H825" s="7">
        <v>0.6</v>
      </c>
      <c r="I825" s="7">
        <v>0.6</v>
      </c>
      <c r="J825" s="7">
        <v>0.6</v>
      </c>
      <c r="K825" s="7">
        <v>0.6</v>
      </c>
      <c r="L825" s="7">
        <v>0.6</v>
      </c>
      <c r="M825" s="7">
        <v>0.6</v>
      </c>
      <c r="N825" s="7">
        <v>0.6</v>
      </c>
      <c r="O825" s="7">
        <v>0.6</v>
      </c>
      <c r="P825" s="7">
        <v>0.6</v>
      </c>
      <c r="Q825" s="7">
        <v>0.6</v>
      </c>
    </row>
    <row r="826" spans="1:17">
      <c r="A826" s="2">
        <v>2774</v>
      </c>
      <c r="B826" s="7">
        <v>0.6</v>
      </c>
      <c r="C826" s="7">
        <v>0.6</v>
      </c>
      <c r="D826" s="7">
        <v>0.6</v>
      </c>
      <c r="E826" s="7">
        <v>0.6</v>
      </c>
      <c r="F826" s="7">
        <v>0.6</v>
      </c>
      <c r="G826" s="7">
        <v>0.6</v>
      </c>
      <c r="H826" s="7">
        <v>0.6</v>
      </c>
      <c r="I826" s="7">
        <v>0.6</v>
      </c>
      <c r="J826" s="7">
        <v>0.6</v>
      </c>
      <c r="K826" s="7">
        <v>0.6</v>
      </c>
      <c r="L826" s="7">
        <v>0.6</v>
      </c>
      <c r="M826" s="7">
        <v>0.6</v>
      </c>
      <c r="N826" s="7">
        <v>0.6</v>
      </c>
      <c r="O826" s="7">
        <v>0.6</v>
      </c>
      <c r="P826" s="7">
        <v>0.6</v>
      </c>
      <c r="Q826" s="7">
        <v>0.6</v>
      </c>
    </row>
    <row r="827" spans="1:17">
      <c r="A827" s="2">
        <v>2775</v>
      </c>
      <c r="B827" s="7">
        <v>0.6</v>
      </c>
      <c r="C827" s="7">
        <v>0.6</v>
      </c>
      <c r="D827" s="7">
        <v>0.6</v>
      </c>
      <c r="E827" s="7">
        <v>0.6</v>
      </c>
      <c r="F827" s="7">
        <v>0.6</v>
      </c>
      <c r="G827" s="7">
        <v>0.6</v>
      </c>
      <c r="H827" s="7">
        <v>0.6</v>
      </c>
      <c r="I827" s="7">
        <v>0.6</v>
      </c>
      <c r="J827" s="7">
        <v>0.6</v>
      </c>
      <c r="K827" s="7">
        <v>0.6</v>
      </c>
      <c r="L827" s="7">
        <v>0.6</v>
      </c>
      <c r="M827" s="7">
        <v>0.6</v>
      </c>
      <c r="N827" s="7">
        <v>0.6</v>
      </c>
      <c r="O827" s="7">
        <v>0.6</v>
      </c>
      <c r="P827" s="7">
        <v>0.6</v>
      </c>
      <c r="Q827" s="7">
        <v>0.6</v>
      </c>
    </row>
    <row r="828" spans="1:17">
      <c r="A828" s="2">
        <v>2776</v>
      </c>
      <c r="B828" s="7">
        <v>0.6</v>
      </c>
      <c r="C828" s="7">
        <v>0.6</v>
      </c>
      <c r="D828" s="7">
        <v>0.6</v>
      </c>
      <c r="E828" s="7">
        <v>0.6</v>
      </c>
      <c r="F828" s="7">
        <v>0.6</v>
      </c>
      <c r="G828" s="7">
        <v>0.6</v>
      </c>
      <c r="H828" s="7">
        <v>0.6</v>
      </c>
      <c r="I828" s="7">
        <v>0.6</v>
      </c>
      <c r="J828" s="7">
        <v>0.6</v>
      </c>
      <c r="K828" s="7">
        <v>0.6</v>
      </c>
      <c r="L828" s="7">
        <v>0.6</v>
      </c>
      <c r="M828" s="7">
        <v>0.6</v>
      </c>
      <c r="N828" s="7">
        <v>0.6</v>
      </c>
      <c r="O828" s="7">
        <v>0.6</v>
      </c>
      <c r="P828" s="7">
        <v>0.6</v>
      </c>
      <c r="Q828" s="7">
        <v>0.6</v>
      </c>
    </row>
    <row r="829" spans="1:17">
      <c r="A829" s="2">
        <v>2777</v>
      </c>
      <c r="B829" s="7">
        <v>0.6</v>
      </c>
      <c r="C829" s="7">
        <v>0.6</v>
      </c>
      <c r="D829" s="7">
        <v>0.6</v>
      </c>
      <c r="E829" s="7">
        <v>0.6</v>
      </c>
      <c r="F829" s="7">
        <v>0.6</v>
      </c>
      <c r="G829" s="7">
        <v>0.6</v>
      </c>
      <c r="H829" s="7">
        <v>0.6</v>
      </c>
      <c r="I829" s="7">
        <v>0.6</v>
      </c>
      <c r="J829" s="7">
        <v>0.6</v>
      </c>
      <c r="K829" s="7">
        <v>0.6</v>
      </c>
      <c r="L829" s="7">
        <v>0.6</v>
      </c>
      <c r="M829" s="7">
        <v>0.6</v>
      </c>
      <c r="N829" s="7">
        <v>0.6</v>
      </c>
      <c r="O829" s="7">
        <v>0.6</v>
      </c>
      <c r="P829" s="7">
        <v>0.6</v>
      </c>
      <c r="Q829" s="7">
        <v>0.6</v>
      </c>
    </row>
    <row r="830" spans="1:17">
      <c r="A830" s="2">
        <v>2778</v>
      </c>
      <c r="B830" s="7">
        <v>0.6</v>
      </c>
      <c r="C830" s="7">
        <v>0.6</v>
      </c>
      <c r="D830" s="7">
        <v>0.6</v>
      </c>
      <c r="E830" s="7">
        <v>0.6</v>
      </c>
      <c r="F830" s="7">
        <v>0.6</v>
      </c>
      <c r="G830" s="7">
        <v>0.6</v>
      </c>
      <c r="H830" s="7">
        <v>0.6</v>
      </c>
      <c r="I830" s="7">
        <v>0.6</v>
      </c>
      <c r="J830" s="7">
        <v>0.6</v>
      </c>
      <c r="K830" s="7">
        <v>0.6</v>
      </c>
      <c r="L830" s="7">
        <v>0.6</v>
      </c>
      <c r="M830" s="7">
        <v>0.6</v>
      </c>
      <c r="N830" s="7">
        <v>0.6</v>
      </c>
      <c r="O830" s="7">
        <v>0.6</v>
      </c>
      <c r="P830" s="7">
        <v>0.6</v>
      </c>
      <c r="Q830" s="7">
        <v>0.6</v>
      </c>
    </row>
    <row r="831" spans="1:17">
      <c r="A831" s="2">
        <v>2779</v>
      </c>
      <c r="B831" s="7">
        <v>0.6</v>
      </c>
      <c r="C831" s="7">
        <v>0.6</v>
      </c>
      <c r="D831" s="7">
        <v>0.6</v>
      </c>
      <c r="E831" s="7">
        <v>0.6</v>
      </c>
      <c r="F831" s="7">
        <v>0.6</v>
      </c>
      <c r="G831" s="7">
        <v>0.6</v>
      </c>
      <c r="H831" s="7">
        <v>0.6</v>
      </c>
      <c r="I831" s="7">
        <v>0.6</v>
      </c>
      <c r="J831" s="7">
        <v>0.6</v>
      </c>
      <c r="K831" s="7">
        <v>0.6</v>
      </c>
      <c r="L831" s="7">
        <v>0.6</v>
      </c>
      <c r="M831" s="7">
        <v>0.6</v>
      </c>
      <c r="N831" s="7">
        <v>0.6</v>
      </c>
      <c r="O831" s="7">
        <v>0.6</v>
      </c>
      <c r="P831" s="7">
        <v>0.6</v>
      </c>
      <c r="Q831" s="7">
        <v>0.6</v>
      </c>
    </row>
    <row r="832" spans="1:17">
      <c r="A832" s="2">
        <v>2780</v>
      </c>
      <c r="B832" s="7">
        <v>0.6</v>
      </c>
      <c r="C832" s="7">
        <v>0.6</v>
      </c>
      <c r="D832" s="7">
        <v>0.6</v>
      </c>
      <c r="E832" s="7">
        <v>0.6</v>
      </c>
      <c r="F832" s="7">
        <v>0.6</v>
      </c>
      <c r="G832" s="7">
        <v>0.6</v>
      </c>
      <c r="H832" s="7">
        <v>0.6</v>
      </c>
      <c r="I832" s="7">
        <v>0.6</v>
      </c>
      <c r="J832" s="7">
        <v>0.6</v>
      </c>
      <c r="K832" s="7">
        <v>0.6</v>
      </c>
      <c r="L832" s="7">
        <v>0.6</v>
      </c>
      <c r="M832" s="7">
        <v>0.6</v>
      </c>
      <c r="N832" s="7">
        <v>0.6</v>
      </c>
      <c r="O832" s="7">
        <v>0.6</v>
      </c>
      <c r="P832" s="7">
        <v>0.6</v>
      </c>
      <c r="Q832" s="7">
        <v>0.6</v>
      </c>
    </row>
    <row r="833" spans="1:17">
      <c r="A833" s="2">
        <v>2781</v>
      </c>
      <c r="B833" s="7">
        <v>0.6</v>
      </c>
      <c r="C833" s="7">
        <v>0.6</v>
      </c>
      <c r="D833" s="7">
        <v>0.6</v>
      </c>
      <c r="E833" s="7">
        <v>0.6</v>
      </c>
      <c r="F833" s="7">
        <v>0.6</v>
      </c>
      <c r="G833" s="7">
        <v>0.6</v>
      </c>
      <c r="H833" s="7">
        <v>0.6</v>
      </c>
      <c r="I833" s="7">
        <v>0.6</v>
      </c>
      <c r="J833" s="7">
        <v>0.6</v>
      </c>
      <c r="K833" s="7">
        <v>0.6</v>
      </c>
      <c r="L833" s="7">
        <v>0.6</v>
      </c>
      <c r="M833" s="7">
        <v>0.6</v>
      </c>
      <c r="N833" s="7">
        <v>0.6</v>
      </c>
      <c r="O833" s="7">
        <v>0.6</v>
      </c>
      <c r="P833" s="7">
        <v>0.6</v>
      </c>
      <c r="Q833" s="7">
        <v>0.6</v>
      </c>
    </row>
    <row r="834" spans="1:17">
      <c r="A834" s="2">
        <v>2782</v>
      </c>
      <c r="B834" s="7">
        <v>0.6</v>
      </c>
      <c r="C834" s="7">
        <v>0.6</v>
      </c>
      <c r="D834" s="7">
        <v>0.6</v>
      </c>
      <c r="E834" s="7">
        <v>0.6</v>
      </c>
      <c r="F834" s="7">
        <v>0.6</v>
      </c>
      <c r="G834" s="7">
        <v>0.6</v>
      </c>
      <c r="H834" s="7">
        <v>0.6</v>
      </c>
      <c r="I834" s="7">
        <v>0.6</v>
      </c>
      <c r="J834" s="7">
        <v>0.6</v>
      </c>
      <c r="K834" s="7">
        <v>0.6</v>
      </c>
      <c r="L834" s="7">
        <v>0.6</v>
      </c>
      <c r="M834" s="7">
        <v>0.6</v>
      </c>
      <c r="N834" s="7">
        <v>0.6</v>
      </c>
      <c r="O834" s="7">
        <v>0.6</v>
      </c>
      <c r="P834" s="7">
        <v>0.6</v>
      </c>
      <c r="Q834" s="7">
        <v>0.6</v>
      </c>
    </row>
    <row r="835" spans="1:17">
      <c r="A835" s="2">
        <v>2783</v>
      </c>
      <c r="B835" s="7">
        <v>0.6</v>
      </c>
      <c r="C835" s="7">
        <v>0.6</v>
      </c>
      <c r="D835" s="7">
        <v>0.6</v>
      </c>
      <c r="E835" s="7">
        <v>0.6</v>
      </c>
      <c r="F835" s="7">
        <v>0.6</v>
      </c>
      <c r="G835" s="7">
        <v>0.6</v>
      </c>
      <c r="H835" s="7">
        <v>0.6</v>
      </c>
      <c r="I835" s="7">
        <v>0.6</v>
      </c>
      <c r="J835" s="7">
        <v>0.6</v>
      </c>
      <c r="K835" s="7">
        <v>0.6</v>
      </c>
      <c r="L835" s="7">
        <v>0.6</v>
      </c>
      <c r="M835" s="7">
        <v>0.6</v>
      </c>
      <c r="N835" s="7">
        <v>0.6</v>
      </c>
      <c r="O835" s="7">
        <v>0.6</v>
      </c>
      <c r="P835" s="7">
        <v>0.6</v>
      </c>
      <c r="Q835" s="7">
        <v>0.6</v>
      </c>
    </row>
    <row r="836" spans="1:17">
      <c r="A836" s="2">
        <v>2784</v>
      </c>
      <c r="B836" s="7">
        <v>0.6</v>
      </c>
      <c r="C836" s="7">
        <v>0.6</v>
      </c>
      <c r="D836" s="7">
        <v>0.6</v>
      </c>
      <c r="E836" s="7">
        <v>0.6</v>
      </c>
      <c r="F836" s="7">
        <v>0.6</v>
      </c>
      <c r="G836" s="7">
        <v>0.6</v>
      </c>
      <c r="H836" s="7">
        <v>0.6</v>
      </c>
      <c r="I836" s="7">
        <v>0.6</v>
      </c>
      <c r="J836" s="7">
        <v>0.6</v>
      </c>
      <c r="K836" s="7">
        <v>0.6</v>
      </c>
      <c r="L836" s="7">
        <v>0.6</v>
      </c>
      <c r="M836" s="7">
        <v>0.6</v>
      </c>
      <c r="N836" s="7">
        <v>0.6</v>
      </c>
      <c r="O836" s="7">
        <v>0.6</v>
      </c>
      <c r="P836" s="7">
        <v>0.6</v>
      </c>
      <c r="Q836" s="7">
        <v>0.6</v>
      </c>
    </row>
    <row r="837" spans="1:17">
      <c r="A837" s="2">
        <v>2785</v>
      </c>
      <c r="B837" s="7">
        <v>0.6</v>
      </c>
      <c r="C837" s="7">
        <v>0.6</v>
      </c>
      <c r="D837" s="7">
        <v>0.6</v>
      </c>
      <c r="E837" s="7">
        <v>0.6</v>
      </c>
      <c r="F837" s="7">
        <v>0.6</v>
      </c>
      <c r="G837" s="7">
        <v>0.6</v>
      </c>
      <c r="H837" s="7">
        <v>0.6</v>
      </c>
      <c r="I837" s="7">
        <v>0.6</v>
      </c>
      <c r="J837" s="7">
        <v>0.6</v>
      </c>
      <c r="K837" s="7">
        <v>0.6</v>
      </c>
      <c r="L837" s="7">
        <v>0.6</v>
      </c>
      <c r="M837" s="7">
        <v>0.6</v>
      </c>
      <c r="N837" s="7">
        <v>0.6</v>
      </c>
      <c r="O837" s="7">
        <v>0.6</v>
      </c>
      <c r="P837" s="7">
        <v>0.6</v>
      </c>
      <c r="Q837" s="7">
        <v>0.6</v>
      </c>
    </row>
    <row r="838" spans="1:17">
      <c r="A838" s="2">
        <v>2786</v>
      </c>
      <c r="B838" s="7">
        <v>0.6</v>
      </c>
      <c r="C838" s="7">
        <v>0.6</v>
      </c>
      <c r="D838" s="7">
        <v>0.6</v>
      </c>
      <c r="E838" s="7">
        <v>0.6</v>
      </c>
      <c r="F838" s="7">
        <v>0.6</v>
      </c>
      <c r="G838" s="7">
        <v>0.6</v>
      </c>
      <c r="H838" s="7">
        <v>0.6</v>
      </c>
      <c r="I838" s="7">
        <v>0.6</v>
      </c>
      <c r="J838" s="7">
        <v>0.6</v>
      </c>
      <c r="K838" s="7">
        <v>0.6</v>
      </c>
      <c r="L838" s="7">
        <v>0.6</v>
      </c>
      <c r="M838" s="7">
        <v>0.6</v>
      </c>
      <c r="N838" s="7">
        <v>0.6</v>
      </c>
      <c r="O838" s="7">
        <v>0.6</v>
      </c>
      <c r="P838" s="7">
        <v>0.6</v>
      </c>
      <c r="Q838" s="7">
        <v>0.6</v>
      </c>
    </row>
    <row r="839" spans="1:17">
      <c r="A839" s="2">
        <v>2787</v>
      </c>
      <c r="B839" s="7">
        <v>0.6</v>
      </c>
      <c r="C839" s="7">
        <v>0.6</v>
      </c>
      <c r="D839" s="7">
        <v>0.6</v>
      </c>
      <c r="E839" s="7">
        <v>0.6</v>
      </c>
      <c r="F839" s="7">
        <v>0.6</v>
      </c>
      <c r="G839" s="7">
        <v>0.6</v>
      </c>
      <c r="H839" s="7">
        <v>0.6</v>
      </c>
      <c r="I839" s="7">
        <v>0.6</v>
      </c>
      <c r="J839" s="7">
        <v>0.6</v>
      </c>
      <c r="K839" s="7">
        <v>0.6</v>
      </c>
      <c r="L839" s="7">
        <v>0.6</v>
      </c>
      <c r="M839" s="7">
        <v>0.6</v>
      </c>
      <c r="N839" s="7">
        <v>0.6</v>
      </c>
      <c r="O839" s="7">
        <v>0.6</v>
      </c>
      <c r="P839" s="7">
        <v>0.6</v>
      </c>
      <c r="Q839" s="7">
        <v>0.6</v>
      </c>
    </row>
    <row r="840" spans="1:17">
      <c r="A840" s="2">
        <v>2788</v>
      </c>
      <c r="B840" s="7">
        <v>0.6</v>
      </c>
      <c r="C840" s="7">
        <v>0.6</v>
      </c>
      <c r="D840" s="7">
        <v>0.6</v>
      </c>
      <c r="E840" s="7">
        <v>0.6</v>
      </c>
      <c r="F840" s="7">
        <v>0.6</v>
      </c>
      <c r="G840" s="7">
        <v>0.6</v>
      </c>
      <c r="H840" s="7">
        <v>0.6</v>
      </c>
      <c r="I840" s="7">
        <v>0.6</v>
      </c>
      <c r="J840" s="7">
        <v>0.6</v>
      </c>
      <c r="K840" s="7">
        <v>0.6</v>
      </c>
      <c r="L840" s="7">
        <v>0.6</v>
      </c>
      <c r="M840" s="7">
        <v>0.6</v>
      </c>
      <c r="N840" s="7">
        <v>0.6</v>
      </c>
      <c r="O840" s="7">
        <v>0.6</v>
      </c>
      <c r="P840" s="7">
        <v>0.6</v>
      </c>
      <c r="Q840" s="7">
        <v>0.6</v>
      </c>
    </row>
    <row r="841" spans="1:17">
      <c r="A841" s="2">
        <v>2789</v>
      </c>
      <c r="B841" s="7">
        <v>0.6</v>
      </c>
      <c r="C841" s="7">
        <v>0.6</v>
      </c>
      <c r="D841" s="7">
        <v>0.6</v>
      </c>
      <c r="E841" s="7">
        <v>0.6</v>
      </c>
      <c r="F841" s="7">
        <v>0.6</v>
      </c>
      <c r="G841" s="7">
        <v>0.6</v>
      </c>
      <c r="H841" s="7">
        <v>0.6</v>
      </c>
      <c r="I841" s="7">
        <v>0.6</v>
      </c>
      <c r="J841" s="7">
        <v>0.6</v>
      </c>
      <c r="K841" s="7">
        <v>0.6</v>
      </c>
      <c r="L841" s="7">
        <v>0.6</v>
      </c>
      <c r="M841" s="7">
        <v>0.6</v>
      </c>
      <c r="N841" s="7">
        <v>0.6</v>
      </c>
      <c r="O841" s="7">
        <v>0.6</v>
      </c>
      <c r="P841" s="7">
        <v>0.6</v>
      </c>
      <c r="Q841" s="7">
        <v>0.6</v>
      </c>
    </row>
    <row r="842" spans="1:17">
      <c r="A842" s="2">
        <v>2790</v>
      </c>
      <c r="B842" s="7">
        <v>0.6</v>
      </c>
      <c r="C842" s="7">
        <v>0.6</v>
      </c>
      <c r="D842" s="7">
        <v>0.6</v>
      </c>
      <c r="E842" s="7">
        <v>0.6</v>
      </c>
      <c r="F842" s="7">
        <v>0.6</v>
      </c>
      <c r="G842" s="7">
        <v>0.6</v>
      </c>
      <c r="H842" s="7">
        <v>0.6</v>
      </c>
      <c r="I842" s="7">
        <v>0.6</v>
      </c>
      <c r="J842" s="7">
        <v>0.6</v>
      </c>
      <c r="K842" s="7">
        <v>0.6</v>
      </c>
      <c r="L842" s="7">
        <v>0.6</v>
      </c>
      <c r="M842" s="7">
        <v>0.6</v>
      </c>
      <c r="N842" s="7">
        <v>0.6</v>
      </c>
      <c r="O842" s="7">
        <v>0.6</v>
      </c>
      <c r="P842" s="7">
        <v>0.6</v>
      </c>
      <c r="Q842" s="7">
        <v>0.6</v>
      </c>
    </row>
    <row r="843" spans="1:17">
      <c r="A843" s="2">
        <v>2791</v>
      </c>
      <c r="B843" s="7">
        <v>0.6</v>
      </c>
      <c r="C843" s="7">
        <v>0.6</v>
      </c>
      <c r="D843" s="7">
        <v>0.6</v>
      </c>
      <c r="E843" s="7">
        <v>0.6</v>
      </c>
      <c r="F843" s="7">
        <v>0.6</v>
      </c>
      <c r="G843" s="7">
        <v>0.6</v>
      </c>
      <c r="H843" s="7">
        <v>0.6</v>
      </c>
      <c r="I843" s="7">
        <v>0.6</v>
      </c>
      <c r="J843" s="7">
        <v>0.6</v>
      </c>
      <c r="K843" s="7">
        <v>0.6</v>
      </c>
      <c r="L843" s="7">
        <v>0.6</v>
      </c>
      <c r="M843" s="7">
        <v>0.6</v>
      </c>
      <c r="N843" s="7">
        <v>0.6</v>
      </c>
      <c r="O843" s="7">
        <v>0.6</v>
      </c>
      <c r="P843" s="7">
        <v>0.6</v>
      </c>
      <c r="Q843" s="7">
        <v>0.6</v>
      </c>
    </row>
    <row r="844" spans="1:17">
      <c r="A844" s="2">
        <v>2792</v>
      </c>
      <c r="B844" s="7">
        <v>0.6</v>
      </c>
      <c r="C844" s="7">
        <v>0.6</v>
      </c>
      <c r="D844" s="7">
        <v>0.6</v>
      </c>
      <c r="E844" s="7">
        <v>0.6</v>
      </c>
      <c r="F844" s="7">
        <v>0.6</v>
      </c>
      <c r="G844" s="7">
        <v>0.6</v>
      </c>
      <c r="H844" s="7">
        <v>0.6</v>
      </c>
      <c r="I844" s="7">
        <v>0.6</v>
      </c>
      <c r="J844" s="7">
        <v>0.6</v>
      </c>
      <c r="K844" s="7">
        <v>0.6</v>
      </c>
      <c r="L844" s="7">
        <v>0.6</v>
      </c>
      <c r="M844" s="7">
        <v>0.6</v>
      </c>
      <c r="N844" s="7">
        <v>0.6</v>
      </c>
      <c r="O844" s="7">
        <v>0.6</v>
      </c>
      <c r="P844" s="7">
        <v>0.6</v>
      </c>
      <c r="Q844" s="7">
        <v>0.6</v>
      </c>
    </row>
    <row r="845" spans="1:17">
      <c r="A845" s="2">
        <v>2793</v>
      </c>
      <c r="B845" s="7">
        <v>0.6</v>
      </c>
      <c r="C845" s="7">
        <v>0.6</v>
      </c>
      <c r="D845" s="7">
        <v>0.6</v>
      </c>
      <c r="E845" s="7">
        <v>0.6</v>
      </c>
      <c r="F845" s="7">
        <v>0.6</v>
      </c>
      <c r="G845" s="7">
        <v>0.6</v>
      </c>
      <c r="H845" s="7">
        <v>0.6</v>
      </c>
      <c r="I845" s="7">
        <v>0.6</v>
      </c>
      <c r="J845" s="7">
        <v>0.6</v>
      </c>
      <c r="K845" s="7">
        <v>0.6</v>
      </c>
      <c r="L845" s="7">
        <v>0.6</v>
      </c>
      <c r="M845" s="7">
        <v>0.6</v>
      </c>
      <c r="N845" s="7">
        <v>0.6</v>
      </c>
      <c r="O845" s="7">
        <v>0.6</v>
      </c>
      <c r="P845" s="7">
        <v>0.6</v>
      </c>
      <c r="Q845" s="7">
        <v>0.6</v>
      </c>
    </row>
    <row r="846" spans="1:17">
      <c r="A846" s="2">
        <v>2794</v>
      </c>
      <c r="B846" s="7">
        <v>0.6</v>
      </c>
      <c r="C846" s="7">
        <v>0.6</v>
      </c>
      <c r="D846" s="7">
        <v>0.6</v>
      </c>
      <c r="E846" s="7">
        <v>0.6</v>
      </c>
      <c r="F846" s="7">
        <v>0.6</v>
      </c>
      <c r="G846" s="7">
        <v>0.6</v>
      </c>
      <c r="H846" s="7">
        <v>0.6</v>
      </c>
      <c r="I846" s="7">
        <v>0.6</v>
      </c>
      <c r="J846" s="7">
        <v>0.6</v>
      </c>
      <c r="K846" s="7">
        <v>0.6</v>
      </c>
      <c r="L846" s="7">
        <v>0.6</v>
      </c>
      <c r="M846" s="7">
        <v>0.6</v>
      </c>
      <c r="N846" s="7">
        <v>0.6</v>
      </c>
      <c r="O846" s="7">
        <v>0.6</v>
      </c>
      <c r="P846" s="7">
        <v>0.6</v>
      </c>
      <c r="Q846" s="7">
        <v>0.6</v>
      </c>
    </row>
    <row r="847" spans="1:17">
      <c r="A847" s="2">
        <v>2795</v>
      </c>
      <c r="B847" s="7">
        <v>0.6</v>
      </c>
      <c r="C847" s="7">
        <v>0.6</v>
      </c>
      <c r="D847" s="7">
        <v>0.6</v>
      </c>
      <c r="E847" s="7">
        <v>0.6</v>
      </c>
      <c r="F847" s="7">
        <v>0.6</v>
      </c>
      <c r="G847" s="7">
        <v>0.6</v>
      </c>
      <c r="H847" s="7">
        <v>0.6</v>
      </c>
      <c r="I847" s="7">
        <v>0.6</v>
      </c>
      <c r="J847" s="7">
        <v>0.6</v>
      </c>
      <c r="K847" s="7">
        <v>0.6</v>
      </c>
      <c r="L847" s="7">
        <v>0.6</v>
      </c>
      <c r="M847" s="7">
        <v>0.6</v>
      </c>
      <c r="N847" s="7">
        <v>0.6</v>
      </c>
      <c r="O847" s="7">
        <v>0.6</v>
      </c>
      <c r="P847" s="7">
        <v>0.6</v>
      </c>
      <c r="Q847" s="7">
        <v>0.6</v>
      </c>
    </row>
    <row r="848" spans="1:17">
      <c r="A848" s="2">
        <v>2796</v>
      </c>
      <c r="B848" s="7">
        <v>0.6</v>
      </c>
      <c r="C848" s="7">
        <v>0.6</v>
      </c>
      <c r="D848" s="7">
        <v>0.6</v>
      </c>
      <c r="E848" s="7">
        <v>0.6</v>
      </c>
      <c r="F848" s="7">
        <v>0.6</v>
      </c>
      <c r="G848" s="7">
        <v>0.6</v>
      </c>
      <c r="H848" s="7">
        <v>0.6</v>
      </c>
      <c r="I848" s="7">
        <v>0.6</v>
      </c>
      <c r="J848" s="7">
        <v>0.6</v>
      </c>
      <c r="K848" s="7">
        <v>0.6</v>
      </c>
      <c r="L848" s="7">
        <v>0.6</v>
      </c>
      <c r="M848" s="7">
        <v>0.6</v>
      </c>
      <c r="N848" s="7">
        <v>0.6</v>
      </c>
      <c r="O848" s="7">
        <v>0.6</v>
      </c>
      <c r="P848" s="7">
        <v>0.6</v>
      </c>
      <c r="Q848" s="7">
        <v>0.6</v>
      </c>
    </row>
    <row r="849" spans="1:17">
      <c r="A849" s="2">
        <v>2797</v>
      </c>
      <c r="B849" s="7">
        <v>0.6</v>
      </c>
      <c r="C849" s="7">
        <v>0.6</v>
      </c>
      <c r="D849" s="7">
        <v>0.6</v>
      </c>
      <c r="E849" s="7">
        <v>0.6</v>
      </c>
      <c r="F849" s="7">
        <v>0.6</v>
      </c>
      <c r="G849" s="7">
        <v>0.6</v>
      </c>
      <c r="H849" s="7">
        <v>0.6</v>
      </c>
      <c r="I849" s="7">
        <v>0.6</v>
      </c>
      <c r="J849" s="7">
        <v>0.6</v>
      </c>
      <c r="K849" s="7">
        <v>0.6</v>
      </c>
      <c r="L849" s="7">
        <v>0.6</v>
      </c>
      <c r="M849" s="7">
        <v>0.6</v>
      </c>
      <c r="N849" s="7">
        <v>0.6</v>
      </c>
      <c r="O849" s="7">
        <v>0.6</v>
      </c>
      <c r="P849" s="7">
        <v>0.6</v>
      </c>
      <c r="Q849" s="7">
        <v>0.6</v>
      </c>
    </row>
    <row r="850" spans="1:17">
      <c r="A850" s="2">
        <v>2798</v>
      </c>
      <c r="B850" s="7">
        <v>0.6</v>
      </c>
      <c r="C850" s="7">
        <v>0.6</v>
      </c>
      <c r="D850" s="7">
        <v>0.6</v>
      </c>
      <c r="E850" s="7">
        <v>0.6</v>
      </c>
      <c r="F850" s="7">
        <v>0.6</v>
      </c>
      <c r="G850" s="7">
        <v>0.6</v>
      </c>
      <c r="H850" s="7">
        <v>0.6</v>
      </c>
      <c r="I850" s="7">
        <v>0.6</v>
      </c>
      <c r="J850" s="7">
        <v>0.6</v>
      </c>
      <c r="K850" s="7">
        <v>0.6</v>
      </c>
      <c r="L850" s="7">
        <v>0.6</v>
      </c>
      <c r="M850" s="7">
        <v>0.6</v>
      </c>
      <c r="N850" s="7">
        <v>0.6</v>
      </c>
      <c r="O850" s="7">
        <v>0.6</v>
      </c>
      <c r="P850" s="7">
        <v>0.6</v>
      </c>
      <c r="Q850" s="7">
        <v>0.6</v>
      </c>
    </row>
    <row r="851" spans="1:17">
      <c r="A851" s="2">
        <v>2799</v>
      </c>
      <c r="B851" s="7">
        <v>0.6</v>
      </c>
      <c r="C851" s="7">
        <v>0.6</v>
      </c>
      <c r="D851" s="7">
        <v>0.6</v>
      </c>
      <c r="E851" s="7">
        <v>0.6</v>
      </c>
      <c r="F851" s="7">
        <v>0.6</v>
      </c>
      <c r="G851" s="7">
        <v>0.6</v>
      </c>
      <c r="H851" s="7">
        <v>0.6</v>
      </c>
      <c r="I851" s="7">
        <v>0.6</v>
      </c>
      <c r="J851" s="7">
        <v>0.6</v>
      </c>
      <c r="K851" s="7">
        <v>0.6</v>
      </c>
      <c r="L851" s="7">
        <v>0.6</v>
      </c>
      <c r="M851" s="7">
        <v>0.6</v>
      </c>
      <c r="N851" s="7">
        <v>0.6</v>
      </c>
      <c r="O851" s="7">
        <v>0.6</v>
      </c>
      <c r="P851" s="7">
        <v>0.6</v>
      </c>
      <c r="Q851" s="7">
        <v>0.6</v>
      </c>
    </row>
    <row r="852" spans="1:17">
      <c r="A852" s="2">
        <v>2800</v>
      </c>
      <c r="B852" s="7">
        <v>0.6</v>
      </c>
      <c r="C852" s="7">
        <v>0.6</v>
      </c>
      <c r="D852" s="7">
        <v>0.6</v>
      </c>
      <c r="E852" s="7">
        <v>0.6</v>
      </c>
      <c r="F852" s="7">
        <v>0.6</v>
      </c>
      <c r="G852" s="7">
        <v>0.6</v>
      </c>
      <c r="H852" s="7">
        <v>0.6</v>
      </c>
      <c r="I852" s="7">
        <v>0.6</v>
      </c>
      <c r="J852" s="7">
        <v>0.6</v>
      </c>
      <c r="K852" s="7">
        <v>0.6</v>
      </c>
      <c r="L852" s="7">
        <v>0.6</v>
      </c>
      <c r="M852" s="7">
        <v>0.6</v>
      </c>
      <c r="N852" s="7">
        <v>0.6</v>
      </c>
      <c r="O852" s="7">
        <v>0.6</v>
      </c>
      <c r="P852" s="7">
        <v>0.6</v>
      </c>
      <c r="Q852" s="7">
        <v>0.6</v>
      </c>
    </row>
    <row r="853" spans="1:17">
      <c r="A853" s="2">
        <v>2801</v>
      </c>
      <c r="B853" s="7">
        <v>0.6</v>
      </c>
      <c r="C853" s="7">
        <v>0.6</v>
      </c>
      <c r="D853" s="7">
        <v>0.6</v>
      </c>
      <c r="E853" s="7">
        <v>0.6</v>
      </c>
      <c r="F853" s="7">
        <v>0.6</v>
      </c>
      <c r="G853" s="7">
        <v>0.6</v>
      </c>
      <c r="H853" s="7">
        <v>0.6</v>
      </c>
      <c r="I853" s="7">
        <v>0.6</v>
      </c>
      <c r="J853" s="7">
        <v>0.6</v>
      </c>
      <c r="K853" s="7">
        <v>0.6</v>
      </c>
      <c r="L853" s="7">
        <v>0.6</v>
      </c>
      <c r="M853" s="7">
        <v>0.6</v>
      </c>
      <c r="N853" s="7">
        <v>0.6</v>
      </c>
      <c r="O853" s="7">
        <v>0.6</v>
      </c>
      <c r="P853" s="7">
        <v>0.6</v>
      </c>
      <c r="Q853" s="7">
        <v>0.6</v>
      </c>
    </row>
    <row r="854" spans="1:17">
      <c r="A854" s="2">
        <v>2802</v>
      </c>
      <c r="B854" s="7">
        <v>0.6</v>
      </c>
      <c r="C854" s="7">
        <v>0.6</v>
      </c>
      <c r="D854" s="7">
        <v>0.6</v>
      </c>
      <c r="E854" s="7">
        <v>0.6</v>
      </c>
      <c r="F854" s="7">
        <v>0.6</v>
      </c>
      <c r="G854" s="7">
        <v>0.6</v>
      </c>
      <c r="H854" s="7">
        <v>0.6</v>
      </c>
      <c r="I854" s="7">
        <v>0.6</v>
      </c>
      <c r="J854" s="7">
        <v>0.6</v>
      </c>
      <c r="K854" s="7">
        <v>0.6</v>
      </c>
      <c r="L854" s="7">
        <v>0.6</v>
      </c>
      <c r="M854" s="7">
        <v>0.6</v>
      </c>
      <c r="N854" s="7">
        <v>0.6</v>
      </c>
      <c r="O854" s="7">
        <v>0.6</v>
      </c>
      <c r="P854" s="7">
        <v>0.6</v>
      </c>
      <c r="Q854" s="7">
        <v>0.6</v>
      </c>
    </row>
    <row r="855" spans="1:17">
      <c r="A855" s="2">
        <v>2803</v>
      </c>
      <c r="B855" s="7">
        <v>0.6</v>
      </c>
      <c r="C855" s="7">
        <v>0.6</v>
      </c>
      <c r="D855" s="7">
        <v>0.6</v>
      </c>
      <c r="E855" s="7">
        <v>0.6</v>
      </c>
      <c r="F855" s="7">
        <v>0.6</v>
      </c>
      <c r="G855" s="7">
        <v>0.6</v>
      </c>
      <c r="H855" s="7">
        <v>0.6</v>
      </c>
      <c r="I855" s="7">
        <v>0.6</v>
      </c>
      <c r="J855" s="7">
        <v>0.6</v>
      </c>
      <c r="K855" s="7">
        <v>0.6</v>
      </c>
      <c r="L855" s="7">
        <v>0.6</v>
      </c>
      <c r="M855" s="7">
        <v>0.6</v>
      </c>
      <c r="N855" s="7">
        <v>0.6</v>
      </c>
      <c r="O855" s="7">
        <v>0.6</v>
      </c>
      <c r="P855" s="7">
        <v>0.6</v>
      </c>
      <c r="Q855" s="7">
        <v>0.6</v>
      </c>
    </row>
    <row r="856" spans="1:17">
      <c r="A856" s="2">
        <v>2804</v>
      </c>
      <c r="B856" s="7">
        <v>0.6</v>
      </c>
      <c r="C856" s="7">
        <v>0.6</v>
      </c>
      <c r="D856" s="7">
        <v>0.6</v>
      </c>
      <c r="E856" s="7">
        <v>0.6</v>
      </c>
      <c r="F856" s="7">
        <v>0.6</v>
      </c>
      <c r="G856" s="7">
        <v>0.6</v>
      </c>
      <c r="H856" s="7">
        <v>0.6</v>
      </c>
      <c r="I856" s="7">
        <v>0.6</v>
      </c>
      <c r="J856" s="7">
        <v>0.6</v>
      </c>
      <c r="K856" s="7">
        <v>0.6</v>
      </c>
      <c r="L856" s="7">
        <v>0.6</v>
      </c>
      <c r="M856" s="7">
        <v>0.6</v>
      </c>
      <c r="N856" s="7">
        <v>0.6</v>
      </c>
      <c r="O856" s="7">
        <v>0.6</v>
      </c>
      <c r="P856" s="7">
        <v>0.6</v>
      </c>
      <c r="Q856" s="7">
        <v>0.6</v>
      </c>
    </row>
    <row r="857" spans="1:17">
      <c r="A857" s="2">
        <v>2805</v>
      </c>
      <c r="B857" s="7">
        <v>0.6</v>
      </c>
      <c r="C857" s="7">
        <v>0.6</v>
      </c>
      <c r="D857" s="7">
        <v>0.6</v>
      </c>
      <c r="E857" s="7">
        <v>0.6</v>
      </c>
      <c r="F857" s="7">
        <v>0.6</v>
      </c>
      <c r="G857" s="7">
        <v>0.6</v>
      </c>
      <c r="H857" s="7">
        <v>0.6</v>
      </c>
      <c r="I857" s="7">
        <v>0.6</v>
      </c>
      <c r="J857" s="7">
        <v>0.6</v>
      </c>
      <c r="K857" s="7">
        <v>0.6</v>
      </c>
      <c r="L857" s="7">
        <v>0.6</v>
      </c>
      <c r="M857" s="7">
        <v>0.6</v>
      </c>
      <c r="N857" s="7">
        <v>0.6</v>
      </c>
      <c r="O857" s="7">
        <v>0.6</v>
      </c>
      <c r="P857" s="7">
        <v>0.6</v>
      </c>
      <c r="Q857" s="7">
        <v>0.6</v>
      </c>
    </row>
    <row r="858" spans="1:17">
      <c r="A858" s="2">
        <v>2806</v>
      </c>
      <c r="B858" s="7">
        <v>0.6</v>
      </c>
      <c r="C858" s="7">
        <v>0.6</v>
      </c>
      <c r="D858" s="7">
        <v>0.6</v>
      </c>
      <c r="E858" s="7">
        <v>0.6</v>
      </c>
      <c r="F858" s="7">
        <v>0.6</v>
      </c>
      <c r="G858" s="7">
        <v>0.6</v>
      </c>
      <c r="H858" s="7">
        <v>0.6</v>
      </c>
      <c r="I858" s="7">
        <v>0.6</v>
      </c>
      <c r="J858" s="7">
        <v>0.6</v>
      </c>
      <c r="K858" s="7">
        <v>0.6</v>
      </c>
      <c r="L858" s="7">
        <v>0.6</v>
      </c>
      <c r="M858" s="7">
        <v>0.6</v>
      </c>
      <c r="N858" s="7">
        <v>0.6</v>
      </c>
      <c r="O858" s="7">
        <v>0.6</v>
      </c>
      <c r="P858" s="7">
        <v>0.6</v>
      </c>
      <c r="Q858" s="7">
        <v>0.6</v>
      </c>
    </row>
    <row r="859" spans="1:17">
      <c r="A859" s="2">
        <v>2807</v>
      </c>
      <c r="B859" s="7">
        <v>0.6</v>
      </c>
      <c r="C859" s="7">
        <v>0.6</v>
      </c>
      <c r="D859" s="7">
        <v>0.6</v>
      </c>
      <c r="E859" s="7">
        <v>0.6</v>
      </c>
      <c r="F859" s="7">
        <v>0.6</v>
      </c>
      <c r="G859" s="7">
        <v>0.6</v>
      </c>
      <c r="H859" s="7">
        <v>0.6</v>
      </c>
      <c r="I859" s="7">
        <v>0.6</v>
      </c>
      <c r="J859" s="7">
        <v>0.6</v>
      </c>
      <c r="K859" s="7">
        <v>0.6</v>
      </c>
      <c r="L859" s="7">
        <v>0.6</v>
      </c>
      <c r="M859" s="7">
        <v>0.6</v>
      </c>
      <c r="N859" s="7">
        <v>0.6</v>
      </c>
      <c r="O859" s="7">
        <v>0.6</v>
      </c>
      <c r="P859" s="7">
        <v>0.6</v>
      </c>
      <c r="Q859" s="7">
        <v>0.6</v>
      </c>
    </row>
    <row r="860" spans="1:17">
      <c r="A860" s="2">
        <v>2808</v>
      </c>
      <c r="B860" s="7">
        <v>0.6</v>
      </c>
      <c r="C860" s="7">
        <v>0.6</v>
      </c>
      <c r="D860" s="7">
        <v>0.6</v>
      </c>
      <c r="E860" s="7">
        <v>0.6</v>
      </c>
      <c r="F860" s="7">
        <v>0.6</v>
      </c>
      <c r="G860" s="7">
        <v>0.6</v>
      </c>
      <c r="H860" s="7">
        <v>0.6</v>
      </c>
      <c r="I860" s="7">
        <v>0.6</v>
      </c>
      <c r="J860" s="7">
        <v>0.6</v>
      </c>
      <c r="K860" s="7">
        <v>0.6</v>
      </c>
      <c r="L860" s="7">
        <v>0.6</v>
      </c>
      <c r="M860" s="7">
        <v>0.6</v>
      </c>
      <c r="N860" s="7">
        <v>0.6</v>
      </c>
      <c r="O860" s="7">
        <v>0.6</v>
      </c>
      <c r="P860" s="7">
        <v>0.6</v>
      </c>
      <c r="Q860" s="7">
        <v>0.6</v>
      </c>
    </row>
    <row r="861" spans="1:17">
      <c r="A861" s="2">
        <v>2809</v>
      </c>
      <c r="B861" s="7">
        <v>0.6</v>
      </c>
      <c r="C861" s="7">
        <v>0.6</v>
      </c>
      <c r="D861" s="7">
        <v>0.6</v>
      </c>
      <c r="E861" s="7">
        <v>0.6</v>
      </c>
      <c r="F861" s="7">
        <v>0.6</v>
      </c>
      <c r="G861" s="7">
        <v>0.6</v>
      </c>
      <c r="H861" s="7">
        <v>0.6</v>
      </c>
      <c r="I861" s="7">
        <v>0.6</v>
      </c>
      <c r="J861" s="7">
        <v>0.6</v>
      </c>
      <c r="K861" s="7">
        <v>0.6</v>
      </c>
      <c r="L861" s="7">
        <v>0.6</v>
      </c>
      <c r="M861" s="7">
        <v>0.6</v>
      </c>
      <c r="N861" s="7">
        <v>0.6</v>
      </c>
      <c r="O861" s="7">
        <v>0.6</v>
      </c>
      <c r="P861" s="7">
        <v>0.6</v>
      </c>
      <c r="Q861" s="7">
        <v>0.6</v>
      </c>
    </row>
    <row r="862" spans="1:17">
      <c r="A862" s="2">
        <v>2810</v>
      </c>
      <c r="B862" s="7">
        <v>0.6</v>
      </c>
      <c r="C862" s="7">
        <v>0.6</v>
      </c>
      <c r="D862" s="7">
        <v>0.6</v>
      </c>
      <c r="E862" s="7">
        <v>0.6</v>
      </c>
      <c r="F862" s="7">
        <v>0.6</v>
      </c>
      <c r="G862" s="7">
        <v>0.6</v>
      </c>
      <c r="H862" s="7">
        <v>0.6</v>
      </c>
      <c r="I862" s="7">
        <v>0.6</v>
      </c>
      <c r="J862" s="7">
        <v>0.6</v>
      </c>
      <c r="K862" s="7">
        <v>0.6</v>
      </c>
      <c r="L862" s="7">
        <v>0.6</v>
      </c>
      <c r="M862" s="7">
        <v>0.6</v>
      </c>
      <c r="N862" s="7">
        <v>0.6</v>
      </c>
      <c r="O862" s="7">
        <v>0.6</v>
      </c>
      <c r="P862" s="7">
        <v>0.6</v>
      </c>
      <c r="Q862" s="7">
        <v>0.6</v>
      </c>
    </row>
    <row r="863" spans="1:17">
      <c r="A863" s="2">
        <v>2811</v>
      </c>
      <c r="B863" s="7">
        <v>0.6</v>
      </c>
      <c r="C863" s="7">
        <v>0.6</v>
      </c>
      <c r="D863" s="7">
        <v>0.6</v>
      </c>
      <c r="E863" s="7">
        <v>0.6</v>
      </c>
      <c r="F863" s="7">
        <v>0.6</v>
      </c>
      <c r="G863" s="7">
        <v>0.6</v>
      </c>
      <c r="H863" s="7">
        <v>0.6</v>
      </c>
      <c r="I863" s="7">
        <v>0.6</v>
      </c>
      <c r="J863" s="7">
        <v>0.6</v>
      </c>
      <c r="K863" s="7">
        <v>0.6</v>
      </c>
      <c r="L863" s="7">
        <v>0.6</v>
      </c>
      <c r="M863" s="7">
        <v>0.6</v>
      </c>
      <c r="N863" s="7">
        <v>0.6</v>
      </c>
      <c r="O863" s="7">
        <v>0.6</v>
      </c>
      <c r="P863" s="7">
        <v>0.6</v>
      </c>
      <c r="Q863" s="7">
        <v>0.6</v>
      </c>
    </row>
    <row r="864" spans="1:17">
      <c r="A864" s="2">
        <v>2812</v>
      </c>
      <c r="B864" s="7">
        <v>0.6</v>
      </c>
      <c r="C864" s="7">
        <v>0.6</v>
      </c>
      <c r="D864" s="7">
        <v>0.6</v>
      </c>
      <c r="E864" s="7">
        <v>0.6</v>
      </c>
      <c r="F864" s="7">
        <v>0.6</v>
      </c>
      <c r="G864" s="7">
        <v>0.6</v>
      </c>
      <c r="H864" s="7">
        <v>0.6</v>
      </c>
      <c r="I864" s="7">
        <v>0.6</v>
      </c>
      <c r="J864" s="7">
        <v>0.6</v>
      </c>
      <c r="K864" s="7">
        <v>0.6</v>
      </c>
      <c r="L864" s="7">
        <v>0.6</v>
      </c>
      <c r="M864" s="7">
        <v>0.6</v>
      </c>
      <c r="N864" s="7">
        <v>0.6</v>
      </c>
      <c r="O864" s="7">
        <v>0.6</v>
      </c>
      <c r="P864" s="7">
        <v>0.6</v>
      </c>
      <c r="Q864" s="7">
        <v>0.6</v>
      </c>
    </row>
    <row r="865" spans="1:17">
      <c r="A865" s="2">
        <v>2813</v>
      </c>
      <c r="B865" s="7">
        <v>0.6</v>
      </c>
      <c r="C865" s="7">
        <v>0.6</v>
      </c>
      <c r="D865" s="7">
        <v>0.6</v>
      </c>
      <c r="E865" s="7">
        <v>0.6</v>
      </c>
      <c r="F865" s="7">
        <v>0.6</v>
      </c>
      <c r="G865" s="7">
        <v>0.6</v>
      </c>
      <c r="H865" s="7">
        <v>0.6</v>
      </c>
      <c r="I865" s="7">
        <v>0.6</v>
      </c>
      <c r="J865" s="7">
        <v>0.6</v>
      </c>
      <c r="K865" s="7">
        <v>0.6</v>
      </c>
      <c r="L865" s="7">
        <v>0.6</v>
      </c>
      <c r="M865" s="7">
        <v>0.6</v>
      </c>
      <c r="N865" s="7">
        <v>0.6</v>
      </c>
      <c r="O865" s="7">
        <v>0.6</v>
      </c>
      <c r="P865" s="7">
        <v>0.6</v>
      </c>
      <c r="Q865" s="7">
        <v>0.6</v>
      </c>
    </row>
    <row r="866" spans="1:17">
      <c r="A866" s="2">
        <v>2814</v>
      </c>
      <c r="B866" s="7">
        <v>0.6</v>
      </c>
      <c r="C866" s="7">
        <v>0.6</v>
      </c>
      <c r="D866" s="7">
        <v>0.6</v>
      </c>
      <c r="E866" s="7">
        <v>0.6</v>
      </c>
      <c r="F866" s="7">
        <v>0.6</v>
      </c>
      <c r="G866" s="7">
        <v>0.6</v>
      </c>
      <c r="H866" s="7">
        <v>0.6</v>
      </c>
      <c r="I866" s="7">
        <v>0.6</v>
      </c>
      <c r="J866" s="7">
        <v>0.6</v>
      </c>
      <c r="K866" s="7">
        <v>0.6</v>
      </c>
      <c r="L866" s="7">
        <v>0.6</v>
      </c>
      <c r="M866" s="7">
        <v>0.6</v>
      </c>
      <c r="N866" s="7">
        <v>0.6</v>
      </c>
      <c r="O866" s="7">
        <v>0.6</v>
      </c>
      <c r="P866" s="7">
        <v>0.6</v>
      </c>
      <c r="Q866" s="7">
        <v>0.6</v>
      </c>
    </row>
    <row r="867" spans="1:17">
      <c r="A867" s="2">
        <v>2815</v>
      </c>
      <c r="B867" s="7">
        <v>0.6</v>
      </c>
      <c r="C867" s="7">
        <v>0.6</v>
      </c>
      <c r="D867" s="7">
        <v>0.6</v>
      </c>
      <c r="E867" s="7">
        <v>0.6</v>
      </c>
      <c r="F867" s="7">
        <v>0.6</v>
      </c>
      <c r="G867" s="7">
        <v>0.6</v>
      </c>
      <c r="H867" s="7">
        <v>0.6</v>
      </c>
      <c r="I867" s="7">
        <v>0.6</v>
      </c>
      <c r="J867" s="7">
        <v>0.6</v>
      </c>
      <c r="K867" s="7">
        <v>0.6</v>
      </c>
      <c r="L867" s="7">
        <v>0.6</v>
      </c>
      <c r="M867" s="7">
        <v>0.6</v>
      </c>
      <c r="N867" s="7">
        <v>0.6</v>
      </c>
      <c r="O867" s="7">
        <v>0.6</v>
      </c>
      <c r="P867" s="7">
        <v>0.6</v>
      </c>
      <c r="Q867" s="7">
        <v>0.6</v>
      </c>
    </row>
    <row r="868" spans="1:17">
      <c r="A868" s="2">
        <v>2816</v>
      </c>
      <c r="B868" s="7">
        <v>0.6</v>
      </c>
      <c r="C868" s="7">
        <v>0.6</v>
      </c>
      <c r="D868" s="7">
        <v>0.6</v>
      </c>
      <c r="E868" s="7">
        <v>0.6</v>
      </c>
      <c r="F868" s="7">
        <v>0.6</v>
      </c>
      <c r="G868" s="7">
        <v>0.6</v>
      </c>
      <c r="H868" s="7">
        <v>0.6</v>
      </c>
      <c r="I868" s="7">
        <v>0.6</v>
      </c>
      <c r="J868" s="7">
        <v>0.6</v>
      </c>
      <c r="K868" s="7">
        <v>0.6</v>
      </c>
      <c r="L868" s="7">
        <v>0.6</v>
      </c>
      <c r="M868" s="7">
        <v>0.6</v>
      </c>
      <c r="N868" s="7">
        <v>0.6</v>
      </c>
      <c r="O868" s="7">
        <v>0.6</v>
      </c>
      <c r="P868" s="7">
        <v>0.6</v>
      </c>
      <c r="Q868" s="7">
        <v>0.6</v>
      </c>
    </row>
    <row r="869" spans="1:17">
      <c r="A869" s="2">
        <v>2817</v>
      </c>
      <c r="B869" s="7">
        <v>0.6</v>
      </c>
      <c r="C869" s="7">
        <v>0.6</v>
      </c>
      <c r="D869" s="7">
        <v>0.6</v>
      </c>
      <c r="E869" s="7">
        <v>0.6</v>
      </c>
      <c r="F869" s="7">
        <v>0.6</v>
      </c>
      <c r="G869" s="7">
        <v>0.6</v>
      </c>
      <c r="H869" s="7">
        <v>0.6</v>
      </c>
      <c r="I869" s="7">
        <v>0.6</v>
      </c>
      <c r="J869" s="7">
        <v>0.6</v>
      </c>
      <c r="K869" s="7">
        <v>0.6</v>
      </c>
      <c r="L869" s="7">
        <v>0.6</v>
      </c>
      <c r="M869" s="7">
        <v>0.6</v>
      </c>
      <c r="N869" s="7">
        <v>0.6</v>
      </c>
      <c r="O869" s="7">
        <v>0.6</v>
      </c>
      <c r="P869" s="7">
        <v>0.6</v>
      </c>
      <c r="Q869" s="7">
        <v>0.6</v>
      </c>
    </row>
    <row r="870" spans="1:17">
      <c r="A870" s="2">
        <v>2818</v>
      </c>
      <c r="B870" s="7">
        <v>0.6</v>
      </c>
      <c r="C870" s="7">
        <v>0.6</v>
      </c>
      <c r="D870" s="7">
        <v>0.6</v>
      </c>
      <c r="E870" s="7">
        <v>0.6</v>
      </c>
      <c r="F870" s="7">
        <v>0.6</v>
      </c>
      <c r="G870" s="7">
        <v>0.6</v>
      </c>
      <c r="H870" s="7">
        <v>0.6</v>
      </c>
      <c r="I870" s="7">
        <v>0.6</v>
      </c>
      <c r="J870" s="7">
        <v>0.6</v>
      </c>
      <c r="K870" s="7">
        <v>0.6</v>
      </c>
      <c r="L870" s="7">
        <v>0.6</v>
      </c>
      <c r="M870" s="7">
        <v>0.6</v>
      </c>
      <c r="N870" s="7">
        <v>0.6</v>
      </c>
      <c r="O870" s="7">
        <v>0.6</v>
      </c>
      <c r="P870" s="7">
        <v>0.6</v>
      </c>
      <c r="Q870" s="7">
        <v>0.6</v>
      </c>
    </row>
    <row r="871" spans="1:17">
      <c r="A871" s="2">
        <v>2819</v>
      </c>
      <c r="B871" s="7">
        <v>0.6</v>
      </c>
      <c r="C871" s="7">
        <v>0.6</v>
      </c>
      <c r="D871" s="7">
        <v>0.6</v>
      </c>
      <c r="E871" s="7">
        <v>0.6</v>
      </c>
      <c r="F871" s="7">
        <v>0.6</v>
      </c>
      <c r="G871" s="7">
        <v>0.6</v>
      </c>
      <c r="H871" s="7">
        <v>0.6</v>
      </c>
      <c r="I871" s="7">
        <v>0.6</v>
      </c>
      <c r="J871" s="7">
        <v>0.6</v>
      </c>
      <c r="K871" s="7">
        <v>0.6</v>
      </c>
      <c r="L871" s="7">
        <v>0.6</v>
      </c>
      <c r="M871" s="7">
        <v>0.6</v>
      </c>
      <c r="N871" s="7">
        <v>0.6</v>
      </c>
      <c r="O871" s="7">
        <v>0.6</v>
      </c>
      <c r="P871" s="7">
        <v>0.6</v>
      </c>
      <c r="Q871" s="7">
        <v>0.6</v>
      </c>
    </row>
    <row r="872" spans="1:17">
      <c r="A872" s="2">
        <v>2820</v>
      </c>
      <c r="B872" s="7">
        <v>0.6</v>
      </c>
      <c r="C872" s="7">
        <v>0.6</v>
      </c>
      <c r="D872" s="7">
        <v>0.6</v>
      </c>
      <c r="E872" s="7">
        <v>0.6</v>
      </c>
      <c r="F872" s="7">
        <v>0.6</v>
      </c>
      <c r="G872" s="7">
        <v>0.6</v>
      </c>
      <c r="H872" s="7">
        <v>0.6</v>
      </c>
      <c r="I872" s="7">
        <v>0.6</v>
      </c>
      <c r="J872" s="7">
        <v>0.6</v>
      </c>
      <c r="K872" s="7">
        <v>0.6</v>
      </c>
      <c r="L872" s="7">
        <v>0.6</v>
      </c>
      <c r="M872" s="7">
        <v>0.6</v>
      </c>
      <c r="N872" s="7">
        <v>0.6</v>
      </c>
      <c r="O872" s="7">
        <v>0.6</v>
      </c>
      <c r="P872" s="7">
        <v>0.6</v>
      </c>
      <c r="Q872" s="7">
        <v>0.6</v>
      </c>
    </row>
    <row r="873" spans="1:17">
      <c r="A873" s="2">
        <v>2821</v>
      </c>
      <c r="B873" s="7">
        <v>0.6</v>
      </c>
      <c r="C873" s="7">
        <v>0.6</v>
      </c>
      <c r="D873" s="7">
        <v>0.6</v>
      </c>
      <c r="E873" s="7">
        <v>0.6</v>
      </c>
      <c r="F873" s="7">
        <v>0.6</v>
      </c>
      <c r="G873" s="7">
        <v>0.6</v>
      </c>
      <c r="H873" s="7">
        <v>0.6</v>
      </c>
      <c r="I873" s="7">
        <v>0.6</v>
      </c>
      <c r="J873" s="7">
        <v>0.6</v>
      </c>
      <c r="K873" s="7">
        <v>0.6</v>
      </c>
      <c r="L873" s="7">
        <v>0.6</v>
      </c>
      <c r="M873" s="7">
        <v>0.6</v>
      </c>
      <c r="N873" s="7">
        <v>0.6</v>
      </c>
      <c r="O873" s="7">
        <v>0.6</v>
      </c>
      <c r="P873" s="7">
        <v>0.6</v>
      </c>
      <c r="Q873" s="7">
        <v>0.6</v>
      </c>
    </row>
    <row r="874" spans="1:17">
      <c r="A874" s="2">
        <v>2822</v>
      </c>
      <c r="B874" s="7">
        <v>0.6</v>
      </c>
      <c r="C874" s="7">
        <v>0.6</v>
      </c>
      <c r="D874" s="7">
        <v>0.6</v>
      </c>
      <c r="E874" s="7">
        <v>0.6</v>
      </c>
      <c r="F874" s="7">
        <v>0.6</v>
      </c>
      <c r="G874" s="7">
        <v>0.6</v>
      </c>
      <c r="H874" s="7">
        <v>0.6</v>
      </c>
      <c r="I874" s="7">
        <v>0.6</v>
      </c>
      <c r="J874" s="7">
        <v>0.6</v>
      </c>
      <c r="K874" s="7">
        <v>0.6</v>
      </c>
      <c r="L874" s="7">
        <v>0.6</v>
      </c>
      <c r="M874" s="7">
        <v>0.6</v>
      </c>
      <c r="N874" s="7">
        <v>0.6</v>
      </c>
      <c r="O874" s="7">
        <v>0.6</v>
      </c>
      <c r="P874" s="7">
        <v>0.6</v>
      </c>
      <c r="Q874" s="7">
        <v>0.6</v>
      </c>
    </row>
    <row r="875" spans="1:17">
      <c r="A875" s="2">
        <v>2823</v>
      </c>
      <c r="B875" s="7">
        <v>0.6</v>
      </c>
      <c r="C875" s="7">
        <v>0.6</v>
      </c>
      <c r="D875" s="7">
        <v>0.6</v>
      </c>
      <c r="E875" s="7">
        <v>0.6</v>
      </c>
      <c r="F875" s="7">
        <v>0.6</v>
      </c>
      <c r="G875" s="7">
        <v>0.6</v>
      </c>
      <c r="H875" s="7">
        <v>0.6</v>
      </c>
      <c r="I875" s="7">
        <v>0.6</v>
      </c>
      <c r="J875" s="7">
        <v>0.6</v>
      </c>
      <c r="K875" s="7">
        <v>0.6</v>
      </c>
      <c r="L875" s="7">
        <v>0.6</v>
      </c>
      <c r="M875" s="7">
        <v>0.6</v>
      </c>
      <c r="N875" s="7">
        <v>0.6</v>
      </c>
      <c r="O875" s="7">
        <v>0.6</v>
      </c>
      <c r="P875" s="7">
        <v>0.6</v>
      </c>
      <c r="Q875" s="7">
        <v>0.6</v>
      </c>
    </row>
    <row r="876" spans="1:17">
      <c r="A876" s="2">
        <v>2824</v>
      </c>
      <c r="B876" s="7">
        <v>0.6</v>
      </c>
      <c r="C876" s="7">
        <v>0.6</v>
      </c>
      <c r="D876" s="7">
        <v>0.6</v>
      </c>
      <c r="E876" s="7">
        <v>0.6</v>
      </c>
      <c r="F876" s="7">
        <v>0.6</v>
      </c>
      <c r="G876" s="7">
        <v>0.6</v>
      </c>
      <c r="H876" s="7">
        <v>0.6</v>
      </c>
      <c r="I876" s="7">
        <v>0.6</v>
      </c>
      <c r="J876" s="7">
        <v>0.6</v>
      </c>
      <c r="K876" s="7">
        <v>0.6</v>
      </c>
      <c r="L876" s="7">
        <v>0.6</v>
      </c>
      <c r="M876" s="7">
        <v>0.6</v>
      </c>
      <c r="N876" s="7">
        <v>0.6</v>
      </c>
      <c r="O876" s="7">
        <v>0.6</v>
      </c>
      <c r="P876" s="7">
        <v>0.6</v>
      </c>
      <c r="Q876" s="7">
        <v>0.6</v>
      </c>
    </row>
    <row r="877" spans="1:17">
      <c r="A877" s="2">
        <v>2825</v>
      </c>
      <c r="B877" s="7">
        <v>0.6</v>
      </c>
      <c r="C877" s="7">
        <v>0.6</v>
      </c>
      <c r="D877" s="7">
        <v>0.6</v>
      </c>
      <c r="E877" s="7">
        <v>0.6</v>
      </c>
      <c r="F877" s="7">
        <v>0.6</v>
      </c>
      <c r="G877" s="7">
        <v>0.6</v>
      </c>
      <c r="H877" s="7">
        <v>0.6</v>
      </c>
      <c r="I877" s="7">
        <v>0.6</v>
      </c>
      <c r="J877" s="7">
        <v>0.6</v>
      </c>
      <c r="K877" s="7">
        <v>0.6</v>
      </c>
      <c r="L877" s="7">
        <v>0.6</v>
      </c>
      <c r="M877" s="7">
        <v>0.6</v>
      </c>
      <c r="N877" s="7">
        <v>0.6</v>
      </c>
      <c r="O877" s="7">
        <v>0.6</v>
      </c>
      <c r="P877" s="7">
        <v>0.6</v>
      </c>
      <c r="Q877" s="7">
        <v>0.6</v>
      </c>
    </row>
    <row r="878" spans="1:17">
      <c r="A878" s="2">
        <v>2826</v>
      </c>
      <c r="B878" s="7">
        <v>0.6</v>
      </c>
      <c r="C878" s="7">
        <v>0.6</v>
      </c>
      <c r="D878" s="7">
        <v>0.6</v>
      </c>
      <c r="E878" s="7">
        <v>0.6</v>
      </c>
      <c r="F878" s="7">
        <v>0.6</v>
      </c>
      <c r="G878" s="7">
        <v>0.6</v>
      </c>
      <c r="H878" s="7">
        <v>0.6</v>
      </c>
      <c r="I878" s="7">
        <v>0.6</v>
      </c>
      <c r="J878" s="7">
        <v>0.6</v>
      </c>
      <c r="K878" s="7">
        <v>0.6</v>
      </c>
      <c r="L878" s="7">
        <v>0.6</v>
      </c>
      <c r="M878" s="7">
        <v>0.6</v>
      </c>
      <c r="N878" s="7">
        <v>0.6</v>
      </c>
      <c r="O878" s="7">
        <v>0.6</v>
      </c>
      <c r="P878" s="7">
        <v>0.6</v>
      </c>
      <c r="Q878" s="7">
        <v>0.6</v>
      </c>
    </row>
    <row r="879" spans="1:17">
      <c r="A879" s="2">
        <v>2827</v>
      </c>
      <c r="B879" s="7">
        <v>0.6</v>
      </c>
      <c r="C879" s="7">
        <v>0.6</v>
      </c>
      <c r="D879" s="7">
        <v>0.6</v>
      </c>
      <c r="E879" s="7">
        <v>0.6</v>
      </c>
      <c r="F879" s="7">
        <v>0.6</v>
      </c>
      <c r="G879" s="7">
        <v>0.6</v>
      </c>
      <c r="H879" s="7">
        <v>0.6</v>
      </c>
      <c r="I879" s="7">
        <v>0.6</v>
      </c>
      <c r="J879" s="7">
        <v>0.6</v>
      </c>
      <c r="K879" s="7">
        <v>0.6</v>
      </c>
      <c r="L879" s="7">
        <v>0.6</v>
      </c>
      <c r="M879" s="7">
        <v>0.6</v>
      </c>
      <c r="N879" s="7">
        <v>0.6</v>
      </c>
      <c r="O879" s="7">
        <v>0.6</v>
      </c>
      <c r="P879" s="7">
        <v>0.6</v>
      </c>
      <c r="Q879" s="7">
        <v>0.6</v>
      </c>
    </row>
    <row r="880" spans="1:17">
      <c r="A880" s="2">
        <v>2828</v>
      </c>
      <c r="B880" s="7">
        <v>0.6</v>
      </c>
      <c r="C880" s="7">
        <v>0.6</v>
      </c>
      <c r="D880" s="7">
        <v>0.6</v>
      </c>
      <c r="E880" s="7">
        <v>0.6</v>
      </c>
      <c r="F880" s="7">
        <v>0.6</v>
      </c>
      <c r="G880" s="7">
        <v>0.6</v>
      </c>
      <c r="H880" s="7">
        <v>0.6</v>
      </c>
      <c r="I880" s="7">
        <v>0.6</v>
      </c>
      <c r="J880" s="7">
        <v>0.6</v>
      </c>
      <c r="K880" s="7">
        <v>0.6</v>
      </c>
      <c r="L880" s="7">
        <v>0.6</v>
      </c>
      <c r="M880" s="7">
        <v>0.6</v>
      </c>
      <c r="N880" s="7">
        <v>0.6</v>
      </c>
      <c r="O880" s="7">
        <v>0.6</v>
      </c>
      <c r="P880" s="7">
        <v>0.6</v>
      </c>
      <c r="Q880" s="7">
        <v>0.6</v>
      </c>
    </row>
    <row r="881" spans="1:17">
      <c r="A881" s="2">
        <v>2829</v>
      </c>
      <c r="B881" s="7">
        <v>0.6</v>
      </c>
      <c r="C881" s="7">
        <v>0.6</v>
      </c>
      <c r="D881" s="7">
        <v>0.6</v>
      </c>
      <c r="E881" s="7">
        <v>0.6</v>
      </c>
      <c r="F881" s="7">
        <v>0.6</v>
      </c>
      <c r="G881" s="7">
        <v>0.6</v>
      </c>
      <c r="H881" s="7">
        <v>0.6</v>
      </c>
      <c r="I881" s="7">
        <v>0.6</v>
      </c>
      <c r="J881" s="7">
        <v>0.6</v>
      </c>
      <c r="K881" s="7">
        <v>0.6</v>
      </c>
      <c r="L881" s="7">
        <v>0.6</v>
      </c>
      <c r="M881" s="7">
        <v>0.6</v>
      </c>
      <c r="N881" s="7">
        <v>0.6</v>
      </c>
      <c r="O881" s="7">
        <v>0.6</v>
      </c>
      <c r="P881" s="7">
        <v>0.6</v>
      </c>
      <c r="Q881" s="7">
        <v>0.6</v>
      </c>
    </row>
    <row r="882" spans="1:17">
      <c r="A882" s="2">
        <v>2830</v>
      </c>
      <c r="B882" s="7">
        <v>0.6</v>
      </c>
      <c r="C882" s="7">
        <v>0.6</v>
      </c>
      <c r="D882" s="7">
        <v>0.6</v>
      </c>
      <c r="E882" s="7">
        <v>0.6</v>
      </c>
      <c r="F882" s="7">
        <v>0.6</v>
      </c>
      <c r="G882" s="7">
        <v>0.6</v>
      </c>
      <c r="H882" s="7">
        <v>0.6</v>
      </c>
      <c r="I882" s="7">
        <v>0.6</v>
      </c>
      <c r="J882" s="7">
        <v>0.6</v>
      </c>
      <c r="K882" s="7">
        <v>0.6</v>
      </c>
      <c r="L882" s="7">
        <v>0.6</v>
      </c>
      <c r="M882" s="7">
        <v>0.6</v>
      </c>
      <c r="N882" s="7">
        <v>0.6</v>
      </c>
      <c r="O882" s="7">
        <v>0.6</v>
      </c>
      <c r="P882" s="7">
        <v>0.6</v>
      </c>
      <c r="Q882" s="7">
        <v>0.6</v>
      </c>
    </row>
    <row r="883" spans="1:17">
      <c r="A883" s="2">
        <v>2831</v>
      </c>
      <c r="B883" s="7">
        <v>0.6</v>
      </c>
      <c r="C883" s="7">
        <v>0.6</v>
      </c>
      <c r="D883" s="7">
        <v>0.6</v>
      </c>
      <c r="E883" s="7">
        <v>0.6</v>
      </c>
      <c r="F883" s="7">
        <v>0.6</v>
      </c>
      <c r="G883" s="7">
        <v>0.6</v>
      </c>
      <c r="H883" s="7">
        <v>0.6</v>
      </c>
      <c r="I883" s="7">
        <v>0.6</v>
      </c>
      <c r="J883" s="7">
        <v>0.6</v>
      </c>
      <c r="K883" s="7">
        <v>0.6</v>
      </c>
      <c r="L883" s="7">
        <v>0.6</v>
      </c>
      <c r="M883" s="7">
        <v>0.6</v>
      </c>
      <c r="N883" s="7">
        <v>0.6</v>
      </c>
      <c r="O883" s="7">
        <v>0.6</v>
      </c>
      <c r="P883" s="7">
        <v>0.6</v>
      </c>
      <c r="Q883" s="7">
        <v>0.6</v>
      </c>
    </row>
    <row r="884" spans="1:17">
      <c r="A884" s="2">
        <v>2832</v>
      </c>
      <c r="B884" s="7">
        <v>0.6</v>
      </c>
      <c r="C884" s="7">
        <v>0.6</v>
      </c>
      <c r="D884" s="7">
        <v>0.6</v>
      </c>
      <c r="E884" s="7">
        <v>0.6</v>
      </c>
      <c r="F884" s="7">
        <v>0.6</v>
      </c>
      <c r="G884" s="7">
        <v>0.6</v>
      </c>
      <c r="H884" s="7">
        <v>0.6</v>
      </c>
      <c r="I884" s="7">
        <v>0.6</v>
      </c>
      <c r="J884" s="7">
        <v>0.6</v>
      </c>
      <c r="K884" s="7">
        <v>0.6</v>
      </c>
      <c r="L884" s="7">
        <v>0.6</v>
      </c>
      <c r="M884" s="7">
        <v>0.6</v>
      </c>
      <c r="N884" s="7">
        <v>0.6</v>
      </c>
      <c r="O884" s="7">
        <v>0.6</v>
      </c>
      <c r="P884" s="7">
        <v>0.6</v>
      </c>
      <c r="Q884" s="7">
        <v>0.6</v>
      </c>
    </row>
    <row r="885" spans="1:17">
      <c r="A885" s="2">
        <v>2833</v>
      </c>
      <c r="B885" s="7">
        <v>0.6</v>
      </c>
      <c r="C885" s="7">
        <v>0.6</v>
      </c>
      <c r="D885" s="7">
        <v>0.6</v>
      </c>
      <c r="E885" s="7">
        <v>0.6</v>
      </c>
      <c r="F885" s="7">
        <v>0.6</v>
      </c>
      <c r="G885" s="7">
        <v>0.6</v>
      </c>
      <c r="H885" s="7">
        <v>0.6</v>
      </c>
      <c r="I885" s="7">
        <v>0.6</v>
      </c>
      <c r="J885" s="7">
        <v>0.6</v>
      </c>
      <c r="K885" s="7">
        <v>0.6</v>
      </c>
      <c r="L885" s="7">
        <v>0.6</v>
      </c>
      <c r="M885" s="7">
        <v>0.6</v>
      </c>
      <c r="N885" s="7">
        <v>0.6</v>
      </c>
      <c r="O885" s="7">
        <v>0.6</v>
      </c>
      <c r="P885" s="7">
        <v>0.6</v>
      </c>
      <c r="Q885" s="7">
        <v>0.6</v>
      </c>
    </row>
    <row r="886" spans="1:17">
      <c r="A886" s="2">
        <v>2834</v>
      </c>
      <c r="B886" s="7">
        <v>0.6</v>
      </c>
      <c r="C886" s="7">
        <v>0.6</v>
      </c>
      <c r="D886" s="7">
        <v>0.6</v>
      </c>
      <c r="E886" s="7">
        <v>0.6</v>
      </c>
      <c r="F886" s="7">
        <v>0.6</v>
      </c>
      <c r="G886" s="7">
        <v>0.6</v>
      </c>
      <c r="H886" s="7">
        <v>0.6</v>
      </c>
      <c r="I886" s="7">
        <v>0.6</v>
      </c>
      <c r="J886" s="7">
        <v>0.6</v>
      </c>
      <c r="K886" s="7">
        <v>0.6</v>
      </c>
      <c r="L886" s="7">
        <v>0.6</v>
      </c>
      <c r="M886" s="7">
        <v>0.6</v>
      </c>
      <c r="N886" s="7">
        <v>0.6</v>
      </c>
      <c r="O886" s="7">
        <v>0.6</v>
      </c>
      <c r="P886" s="7">
        <v>0.6</v>
      </c>
      <c r="Q886" s="7">
        <v>0.6</v>
      </c>
    </row>
    <row r="887" spans="1:17">
      <c r="A887" s="2">
        <v>2835</v>
      </c>
      <c r="B887" s="7">
        <v>0.6</v>
      </c>
      <c r="C887" s="7">
        <v>0.6</v>
      </c>
      <c r="D887" s="7">
        <v>0.6</v>
      </c>
      <c r="E887" s="7">
        <v>0.6</v>
      </c>
      <c r="F887" s="7">
        <v>0.6</v>
      </c>
      <c r="G887" s="7">
        <v>0.6</v>
      </c>
      <c r="H887" s="7">
        <v>0.6</v>
      </c>
      <c r="I887" s="7">
        <v>0.6</v>
      </c>
      <c r="J887" s="7">
        <v>0.6</v>
      </c>
      <c r="K887" s="7">
        <v>0.6</v>
      </c>
      <c r="L887" s="7">
        <v>0.6</v>
      </c>
      <c r="M887" s="7">
        <v>0.6</v>
      </c>
      <c r="N887" s="7">
        <v>0.6</v>
      </c>
      <c r="O887" s="7">
        <v>0.6</v>
      </c>
      <c r="P887" s="7">
        <v>0.6</v>
      </c>
      <c r="Q887" s="7">
        <v>0.6</v>
      </c>
    </row>
    <row r="888" spans="1:17">
      <c r="A888" s="2">
        <v>2836</v>
      </c>
      <c r="B888" s="7">
        <v>0.6</v>
      </c>
      <c r="C888" s="7">
        <v>0.6</v>
      </c>
      <c r="D888" s="7">
        <v>0.6</v>
      </c>
      <c r="E888" s="7">
        <v>0.6</v>
      </c>
      <c r="F888" s="7">
        <v>0.6</v>
      </c>
      <c r="G888" s="7">
        <v>0.6</v>
      </c>
      <c r="H888" s="7">
        <v>0.6</v>
      </c>
      <c r="I888" s="7">
        <v>0.6</v>
      </c>
      <c r="J888" s="7">
        <v>0.6</v>
      </c>
      <c r="K888" s="7">
        <v>0.6</v>
      </c>
      <c r="L888" s="7">
        <v>0.6</v>
      </c>
      <c r="M888" s="7">
        <v>0.6</v>
      </c>
      <c r="N888" s="7">
        <v>0.6</v>
      </c>
      <c r="O888" s="7">
        <v>0.6</v>
      </c>
      <c r="P888" s="7">
        <v>0.6</v>
      </c>
      <c r="Q888" s="7">
        <v>0.6</v>
      </c>
    </row>
    <row r="889" spans="1:17">
      <c r="A889" s="2">
        <v>2837</v>
      </c>
      <c r="B889" s="7">
        <v>0.6</v>
      </c>
      <c r="C889" s="7">
        <v>0.6</v>
      </c>
      <c r="D889" s="7">
        <v>0.6</v>
      </c>
      <c r="E889" s="7">
        <v>0.6</v>
      </c>
      <c r="F889" s="7">
        <v>0.6</v>
      </c>
      <c r="G889" s="7">
        <v>0.6</v>
      </c>
      <c r="H889" s="7">
        <v>0.6</v>
      </c>
      <c r="I889" s="7">
        <v>0.6</v>
      </c>
      <c r="J889" s="7">
        <v>0.6</v>
      </c>
      <c r="K889" s="7">
        <v>0.6</v>
      </c>
      <c r="L889" s="7">
        <v>0.6</v>
      </c>
      <c r="M889" s="7">
        <v>0.6</v>
      </c>
      <c r="N889" s="7">
        <v>0.6</v>
      </c>
      <c r="O889" s="7">
        <v>0.6</v>
      </c>
      <c r="P889" s="7">
        <v>0.6</v>
      </c>
      <c r="Q889" s="7">
        <v>0.6</v>
      </c>
    </row>
    <row r="890" spans="1:17">
      <c r="A890" s="2">
        <v>2838</v>
      </c>
      <c r="B890" s="7">
        <v>0.6</v>
      </c>
      <c r="C890" s="7">
        <v>0.6</v>
      </c>
      <c r="D890" s="7">
        <v>0.6</v>
      </c>
      <c r="E890" s="7">
        <v>0.6</v>
      </c>
      <c r="F890" s="7">
        <v>0.6</v>
      </c>
      <c r="G890" s="7">
        <v>0.6</v>
      </c>
      <c r="H890" s="7">
        <v>0.6</v>
      </c>
      <c r="I890" s="7">
        <v>0.6</v>
      </c>
      <c r="J890" s="7">
        <v>0.6</v>
      </c>
      <c r="K890" s="7">
        <v>0.6</v>
      </c>
      <c r="L890" s="7">
        <v>0.6</v>
      </c>
      <c r="M890" s="7">
        <v>0.6</v>
      </c>
      <c r="N890" s="7">
        <v>0.6</v>
      </c>
      <c r="O890" s="7">
        <v>0.6</v>
      </c>
      <c r="P890" s="7">
        <v>0.6</v>
      </c>
      <c r="Q890" s="7">
        <v>0.6</v>
      </c>
    </row>
    <row r="891" spans="1:17">
      <c r="A891" s="2">
        <v>2839</v>
      </c>
      <c r="B891" s="7">
        <v>0.6</v>
      </c>
      <c r="C891" s="7">
        <v>0.6</v>
      </c>
      <c r="D891" s="7">
        <v>0.6</v>
      </c>
      <c r="E891" s="7">
        <v>0.6</v>
      </c>
      <c r="F891" s="7">
        <v>0.6</v>
      </c>
      <c r="G891" s="7">
        <v>0.6</v>
      </c>
      <c r="H891" s="7">
        <v>0.6</v>
      </c>
      <c r="I891" s="7">
        <v>0.6</v>
      </c>
      <c r="J891" s="7">
        <v>0.6</v>
      </c>
      <c r="K891" s="7">
        <v>0.6</v>
      </c>
      <c r="L891" s="7">
        <v>0.6</v>
      </c>
      <c r="M891" s="7">
        <v>0.6</v>
      </c>
      <c r="N891" s="7">
        <v>0.6</v>
      </c>
      <c r="O891" s="7">
        <v>0.6</v>
      </c>
      <c r="P891" s="7">
        <v>0.6</v>
      </c>
      <c r="Q891" s="7">
        <v>0.6</v>
      </c>
    </row>
    <row r="892" spans="1:17">
      <c r="A892" s="2">
        <v>2840</v>
      </c>
      <c r="B892" s="7">
        <v>0.6</v>
      </c>
      <c r="C892" s="7">
        <v>0.6</v>
      </c>
      <c r="D892" s="7">
        <v>0.6</v>
      </c>
      <c r="E892" s="7">
        <v>0.6</v>
      </c>
      <c r="F892" s="7">
        <v>0.6</v>
      </c>
      <c r="G892" s="7">
        <v>0.6</v>
      </c>
      <c r="H892" s="7">
        <v>0.6</v>
      </c>
      <c r="I892" s="7">
        <v>0.6</v>
      </c>
      <c r="J892" s="7">
        <v>0.6</v>
      </c>
      <c r="K892" s="7">
        <v>0.6</v>
      </c>
      <c r="L892" s="7">
        <v>0.6</v>
      </c>
      <c r="M892" s="7">
        <v>0.6</v>
      </c>
      <c r="N892" s="7">
        <v>0.6</v>
      </c>
      <c r="O892" s="7">
        <v>0.6</v>
      </c>
      <c r="P892" s="7">
        <v>0.6</v>
      </c>
      <c r="Q892" s="7">
        <v>0.6</v>
      </c>
    </row>
    <row r="893" spans="1:17">
      <c r="A893" s="2">
        <v>2841</v>
      </c>
      <c r="B893" s="7">
        <v>0.6</v>
      </c>
      <c r="C893" s="7">
        <v>0.6</v>
      </c>
      <c r="D893" s="7">
        <v>0.6</v>
      </c>
      <c r="E893" s="7">
        <v>0.6</v>
      </c>
      <c r="F893" s="7">
        <v>0.6</v>
      </c>
      <c r="G893" s="7">
        <v>0.6</v>
      </c>
      <c r="H893" s="7">
        <v>0.6</v>
      </c>
      <c r="I893" s="7">
        <v>0.6</v>
      </c>
      <c r="J893" s="7">
        <v>0.6</v>
      </c>
      <c r="K893" s="7">
        <v>0.6</v>
      </c>
      <c r="L893" s="7">
        <v>0.6</v>
      </c>
      <c r="M893" s="7">
        <v>0.6</v>
      </c>
      <c r="N893" s="7">
        <v>0.6</v>
      </c>
      <c r="O893" s="7">
        <v>0.6</v>
      </c>
      <c r="P893" s="7">
        <v>0.6</v>
      </c>
      <c r="Q893" s="7">
        <v>0.6</v>
      </c>
    </row>
    <row r="894" spans="1:17">
      <c r="A894" s="2">
        <v>2842</v>
      </c>
      <c r="B894" s="7">
        <v>0.6</v>
      </c>
      <c r="C894" s="7">
        <v>0.6</v>
      </c>
      <c r="D894" s="7">
        <v>0.6</v>
      </c>
      <c r="E894" s="7">
        <v>0.6</v>
      </c>
      <c r="F894" s="7">
        <v>0.6</v>
      </c>
      <c r="G894" s="7">
        <v>0.6</v>
      </c>
      <c r="H894" s="7">
        <v>0.6</v>
      </c>
      <c r="I894" s="7">
        <v>0.6</v>
      </c>
      <c r="J894" s="7">
        <v>0.6</v>
      </c>
      <c r="K894" s="7">
        <v>0.6</v>
      </c>
      <c r="L894" s="7">
        <v>0.6</v>
      </c>
      <c r="M894" s="7">
        <v>0.6</v>
      </c>
      <c r="N894" s="7">
        <v>0.6</v>
      </c>
      <c r="O894" s="7">
        <v>0.6</v>
      </c>
      <c r="P894" s="7">
        <v>0.6</v>
      </c>
      <c r="Q894" s="7">
        <v>0.6</v>
      </c>
    </row>
    <row r="895" spans="1:17">
      <c r="A895" s="2">
        <v>2843</v>
      </c>
      <c r="B895" s="7">
        <v>0.6</v>
      </c>
      <c r="C895" s="7">
        <v>0.6</v>
      </c>
      <c r="D895" s="7">
        <v>0.6</v>
      </c>
      <c r="E895" s="7">
        <v>0.6</v>
      </c>
      <c r="F895" s="7">
        <v>0.6</v>
      </c>
      <c r="G895" s="7">
        <v>0.6</v>
      </c>
      <c r="H895" s="7">
        <v>0.6</v>
      </c>
      <c r="I895" s="7">
        <v>0.6</v>
      </c>
      <c r="J895" s="7">
        <v>0.6</v>
      </c>
      <c r="K895" s="7">
        <v>0.6</v>
      </c>
      <c r="L895" s="7">
        <v>0.6</v>
      </c>
      <c r="M895" s="7">
        <v>0.6</v>
      </c>
      <c r="N895" s="7">
        <v>0.6</v>
      </c>
      <c r="O895" s="7">
        <v>0.6</v>
      </c>
      <c r="P895" s="7">
        <v>0.6</v>
      </c>
      <c r="Q895" s="7">
        <v>0.6</v>
      </c>
    </row>
    <row r="896" spans="1:17">
      <c r="A896" s="2">
        <v>2844</v>
      </c>
      <c r="B896" s="7">
        <v>0.6</v>
      </c>
      <c r="C896" s="7">
        <v>0.6</v>
      </c>
      <c r="D896" s="7">
        <v>0.6</v>
      </c>
      <c r="E896" s="7">
        <v>0.6</v>
      </c>
      <c r="F896" s="7">
        <v>0.6</v>
      </c>
      <c r="G896" s="7">
        <v>0.6</v>
      </c>
      <c r="H896" s="7">
        <v>0.6</v>
      </c>
      <c r="I896" s="7">
        <v>0.6</v>
      </c>
      <c r="J896" s="7">
        <v>0.6</v>
      </c>
      <c r="K896" s="7">
        <v>0.6</v>
      </c>
      <c r="L896" s="7">
        <v>0.6</v>
      </c>
      <c r="M896" s="7">
        <v>0.6</v>
      </c>
      <c r="N896" s="7">
        <v>0.6</v>
      </c>
      <c r="O896" s="7">
        <v>0.6</v>
      </c>
      <c r="P896" s="7">
        <v>0.6</v>
      </c>
      <c r="Q896" s="7">
        <v>0.6</v>
      </c>
    </row>
    <row r="897" spans="1:17">
      <c r="A897" s="2">
        <v>2845</v>
      </c>
      <c r="B897" s="7">
        <v>0.6</v>
      </c>
      <c r="C897" s="7">
        <v>0.6</v>
      </c>
      <c r="D897" s="7">
        <v>0.6</v>
      </c>
      <c r="E897" s="7">
        <v>0.6</v>
      </c>
      <c r="F897" s="7">
        <v>0.6</v>
      </c>
      <c r="G897" s="7">
        <v>0.6</v>
      </c>
      <c r="H897" s="7">
        <v>0.6</v>
      </c>
      <c r="I897" s="7">
        <v>0.6</v>
      </c>
      <c r="J897" s="7">
        <v>0.6</v>
      </c>
      <c r="K897" s="7">
        <v>0.6</v>
      </c>
      <c r="L897" s="7">
        <v>0.6</v>
      </c>
      <c r="M897" s="7">
        <v>0.6</v>
      </c>
      <c r="N897" s="7">
        <v>0.6</v>
      </c>
      <c r="O897" s="7">
        <v>0.6</v>
      </c>
      <c r="P897" s="7">
        <v>0.6</v>
      </c>
      <c r="Q897" s="7">
        <v>0.6</v>
      </c>
    </row>
    <row r="898" spans="1:17">
      <c r="A898" s="2">
        <v>2846</v>
      </c>
      <c r="B898" s="7">
        <v>0.6</v>
      </c>
      <c r="C898" s="7">
        <v>0.6</v>
      </c>
      <c r="D898" s="7">
        <v>0.6</v>
      </c>
      <c r="E898" s="7">
        <v>0.6</v>
      </c>
      <c r="F898" s="7">
        <v>0.6</v>
      </c>
      <c r="G898" s="7">
        <v>0.6</v>
      </c>
      <c r="H898" s="7">
        <v>0.6</v>
      </c>
      <c r="I898" s="7">
        <v>0.6</v>
      </c>
      <c r="J898" s="7">
        <v>0.6</v>
      </c>
      <c r="K898" s="7">
        <v>0.6</v>
      </c>
      <c r="L898" s="7">
        <v>0.6</v>
      </c>
      <c r="M898" s="7">
        <v>0.6</v>
      </c>
      <c r="N898" s="7">
        <v>0.6</v>
      </c>
      <c r="O898" s="7">
        <v>0.6</v>
      </c>
      <c r="P898" s="7">
        <v>0.6</v>
      </c>
      <c r="Q898" s="7">
        <v>0.6</v>
      </c>
    </row>
    <row r="899" spans="1:17">
      <c r="A899" s="2">
        <v>2847</v>
      </c>
      <c r="B899" s="7">
        <v>0.6</v>
      </c>
      <c r="C899" s="7">
        <v>0.6</v>
      </c>
      <c r="D899" s="7">
        <v>0.6</v>
      </c>
      <c r="E899" s="7">
        <v>0.6</v>
      </c>
      <c r="F899" s="7">
        <v>0.6</v>
      </c>
      <c r="G899" s="7">
        <v>0.6</v>
      </c>
      <c r="H899" s="7">
        <v>0.6</v>
      </c>
      <c r="I899" s="7">
        <v>0.6</v>
      </c>
      <c r="J899" s="7">
        <v>0.6</v>
      </c>
      <c r="K899" s="7">
        <v>0.6</v>
      </c>
      <c r="L899" s="7">
        <v>0.6</v>
      </c>
      <c r="M899" s="7">
        <v>0.6</v>
      </c>
      <c r="N899" s="7">
        <v>0.6</v>
      </c>
      <c r="O899" s="7">
        <v>0.6</v>
      </c>
      <c r="P899" s="7">
        <v>0.6</v>
      </c>
      <c r="Q899" s="7">
        <v>0.6</v>
      </c>
    </row>
    <row r="900" spans="1:17">
      <c r="A900" s="2">
        <v>2848</v>
      </c>
      <c r="B900" s="7">
        <v>0.6</v>
      </c>
      <c r="C900" s="7">
        <v>0.6</v>
      </c>
      <c r="D900" s="7">
        <v>0.6</v>
      </c>
      <c r="E900" s="7">
        <v>0.6</v>
      </c>
      <c r="F900" s="7">
        <v>0.6</v>
      </c>
      <c r="G900" s="7">
        <v>0.6</v>
      </c>
      <c r="H900" s="7">
        <v>0.6</v>
      </c>
      <c r="I900" s="7">
        <v>0.6</v>
      </c>
      <c r="J900" s="7">
        <v>0.6</v>
      </c>
      <c r="K900" s="7">
        <v>0.6</v>
      </c>
      <c r="L900" s="7">
        <v>0.6</v>
      </c>
      <c r="M900" s="7">
        <v>0.6</v>
      </c>
      <c r="N900" s="7">
        <v>0.6</v>
      </c>
      <c r="O900" s="7">
        <v>0.6</v>
      </c>
      <c r="P900" s="7">
        <v>0.6</v>
      </c>
      <c r="Q900" s="7">
        <v>0.6</v>
      </c>
    </row>
    <row r="901" spans="1:17">
      <c r="A901" s="2">
        <v>2849</v>
      </c>
      <c r="B901" s="7">
        <v>0.6</v>
      </c>
      <c r="C901" s="7">
        <v>0.6</v>
      </c>
      <c r="D901" s="7">
        <v>0.6</v>
      </c>
      <c r="E901" s="7">
        <v>0.6</v>
      </c>
      <c r="F901" s="7">
        <v>0.6</v>
      </c>
      <c r="G901" s="7">
        <v>0.6</v>
      </c>
      <c r="H901" s="7">
        <v>0.6</v>
      </c>
      <c r="I901" s="7">
        <v>0.6</v>
      </c>
      <c r="J901" s="7">
        <v>0.6</v>
      </c>
      <c r="K901" s="7">
        <v>0.6</v>
      </c>
      <c r="L901" s="7">
        <v>0.6</v>
      </c>
      <c r="M901" s="7">
        <v>0.6</v>
      </c>
      <c r="N901" s="7">
        <v>0.6</v>
      </c>
      <c r="O901" s="7">
        <v>0.6</v>
      </c>
      <c r="P901" s="7">
        <v>0.6</v>
      </c>
      <c r="Q901" s="7">
        <v>0.6</v>
      </c>
    </row>
    <row r="902" spans="1:17">
      <c r="A902" s="2">
        <v>2850</v>
      </c>
      <c r="B902" s="7">
        <v>0.6</v>
      </c>
      <c r="C902" s="7">
        <v>0.6</v>
      </c>
      <c r="D902" s="7">
        <v>0.6</v>
      </c>
      <c r="E902" s="7">
        <v>0.6</v>
      </c>
      <c r="F902" s="7">
        <v>0.6</v>
      </c>
      <c r="G902" s="7">
        <v>0.6</v>
      </c>
      <c r="H902" s="7">
        <v>0.6</v>
      </c>
      <c r="I902" s="7">
        <v>0.6</v>
      </c>
      <c r="J902" s="7">
        <v>0.6</v>
      </c>
      <c r="K902" s="7">
        <v>0.6</v>
      </c>
      <c r="L902" s="7">
        <v>0.6</v>
      </c>
      <c r="M902" s="7">
        <v>0.6</v>
      </c>
      <c r="N902" s="7">
        <v>0.6</v>
      </c>
      <c r="O902" s="7">
        <v>0.6</v>
      </c>
      <c r="P902" s="7">
        <v>0.6</v>
      </c>
      <c r="Q902" s="7">
        <v>0.6</v>
      </c>
    </row>
    <row r="903" spans="1:17">
      <c r="A903" s="2">
        <v>2851</v>
      </c>
      <c r="B903" s="7">
        <v>0.6</v>
      </c>
      <c r="C903" s="7">
        <v>0.6</v>
      </c>
      <c r="D903" s="7">
        <v>0.6</v>
      </c>
      <c r="E903" s="7">
        <v>0.6</v>
      </c>
      <c r="F903" s="7">
        <v>0.6</v>
      </c>
      <c r="G903" s="7">
        <v>0.6</v>
      </c>
      <c r="H903" s="7">
        <v>0.6</v>
      </c>
      <c r="I903" s="7">
        <v>0.6</v>
      </c>
      <c r="J903" s="7">
        <v>0.6</v>
      </c>
      <c r="K903" s="7">
        <v>0.6</v>
      </c>
      <c r="L903" s="7">
        <v>0.6</v>
      </c>
      <c r="M903" s="7">
        <v>0.6</v>
      </c>
      <c r="N903" s="7">
        <v>0.6</v>
      </c>
      <c r="O903" s="7">
        <v>0.6</v>
      </c>
      <c r="P903" s="7">
        <v>0.6</v>
      </c>
      <c r="Q903" s="7">
        <v>0.6</v>
      </c>
    </row>
    <row r="904" spans="1:17">
      <c r="A904" s="2">
        <v>2852</v>
      </c>
      <c r="B904" s="7">
        <v>0.6</v>
      </c>
      <c r="C904" s="7">
        <v>0.6</v>
      </c>
      <c r="D904" s="7">
        <v>0.6</v>
      </c>
      <c r="E904" s="7">
        <v>0.6</v>
      </c>
      <c r="F904" s="7">
        <v>0.6</v>
      </c>
      <c r="G904" s="7">
        <v>0.6</v>
      </c>
      <c r="H904" s="7">
        <v>0.6</v>
      </c>
      <c r="I904" s="7">
        <v>0.6</v>
      </c>
      <c r="J904" s="7">
        <v>0.6</v>
      </c>
      <c r="K904" s="7">
        <v>0.6</v>
      </c>
      <c r="L904" s="7">
        <v>0.6</v>
      </c>
      <c r="M904" s="7">
        <v>0.6</v>
      </c>
      <c r="N904" s="7">
        <v>0.6</v>
      </c>
      <c r="O904" s="7">
        <v>0.6</v>
      </c>
      <c r="P904" s="7">
        <v>0.6</v>
      </c>
      <c r="Q904" s="7">
        <v>0.6</v>
      </c>
    </row>
    <row r="905" spans="1:17">
      <c r="A905" s="2">
        <v>2853</v>
      </c>
      <c r="B905" s="7">
        <v>0.6</v>
      </c>
      <c r="C905" s="7">
        <v>0.6</v>
      </c>
      <c r="D905" s="7">
        <v>0.6</v>
      </c>
      <c r="E905" s="7">
        <v>0.6</v>
      </c>
      <c r="F905" s="7">
        <v>0.6</v>
      </c>
      <c r="G905" s="7">
        <v>0.6</v>
      </c>
      <c r="H905" s="7">
        <v>0.6</v>
      </c>
      <c r="I905" s="7">
        <v>0.6</v>
      </c>
      <c r="J905" s="7">
        <v>0.6</v>
      </c>
      <c r="K905" s="7">
        <v>0.6</v>
      </c>
      <c r="L905" s="7">
        <v>0.6</v>
      </c>
      <c r="M905" s="7">
        <v>0.6</v>
      </c>
      <c r="N905" s="7">
        <v>0.6</v>
      </c>
      <c r="O905" s="7">
        <v>0.6</v>
      </c>
      <c r="P905" s="7">
        <v>0.6</v>
      </c>
      <c r="Q905" s="7">
        <v>0.6</v>
      </c>
    </row>
    <row r="906" spans="1:17">
      <c r="A906" s="2">
        <v>2854</v>
      </c>
      <c r="B906" s="7">
        <v>0.6</v>
      </c>
      <c r="C906" s="7">
        <v>0.6</v>
      </c>
      <c r="D906" s="7">
        <v>0.6</v>
      </c>
      <c r="E906" s="7">
        <v>0.6</v>
      </c>
      <c r="F906" s="7">
        <v>0.6</v>
      </c>
      <c r="G906" s="7">
        <v>0.6</v>
      </c>
      <c r="H906" s="7">
        <v>0.6</v>
      </c>
      <c r="I906" s="7">
        <v>0.6</v>
      </c>
      <c r="J906" s="7">
        <v>0.6</v>
      </c>
      <c r="K906" s="7">
        <v>0.6</v>
      </c>
      <c r="L906" s="7">
        <v>0.6</v>
      </c>
      <c r="M906" s="7">
        <v>0.6</v>
      </c>
      <c r="N906" s="7">
        <v>0.6</v>
      </c>
      <c r="O906" s="7">
        <v>0.6</v>
      </c>
      <c r="P906" s="7">
        <v>0.6</v>
      </c>
      <c r="Q906" s="7">
        <v>0.6</v>
      </c>
    </row>
    <row r="907" spans="1:17">
      <c r="A907" s="2">
        <v>2855</v>
      </c>
      <c r="B907" s="7">
        <v>0.6</v>
      </c>
      <c r="C907" s="7">
        <v>0.6</v>
      </c>
      <c r="D907" s="7">
        <v>0.6</v>
      </c>
      <c r="E907" s="7">
        <v>0.6</v>
      </c>
      <c r="F907" s="7">
        <v>0.6</v>
      </c>
      <c r="G907" s="7">
        <v>0.6</v>
      </c>
      <c r="H907" s="7">
        <v>0.6</v>
      </c>
      <c r="I907" s="7">
        <v>0.6</v>
      </c>
      <c r="J907" s="7">
        <v>0.6</v>
      </c>
      <c r="K907" s="7">
        <v>0.6</v>
      </c>
      <c r="L907" s="7">
        <v>0.6</v>
      </c>
      <c r="M907" s="7">
        <v>0.6</v>
      </c>
      <c r="N907" s="7">
        <v>0.6</v>
      </c>
      <c r="O907" s="7">
        <v>0.6</v>
      </c>
      <c r="P907" s="7">
        <v>0.6</v>
      </c>
      <c r="Q907" s="7">
        <v>0.6</v>
      </c>
    </row>
    <row r="908" spans="1:17">
      <c r="A908" s="2">
        <v>2856</v>
      </c>
      <c r="B908" s="7">
        <v>0.6</v>
      </c>
      <c r="C908" s="7">
        <v>0.6</v>
      </c>
      <c r="D908" s="7">
        <v>0.6</v>
      </c>
      <c r="E908" s="7">
        <v>0.6</v>
      </c>
      <c r="F908" s="7">
        <v>0.6</v>
      </c>
      <c r="G908" s="7">
        <v>0.6</v>
      </c>
      <c r="H908" s="7">
        <v>0.6</v>
      </c>
      <c r="I908" s="7">
        <v>0.6</v>
      </c>
      <c r="J908" s="7">
        <v>0.6</v>
      </c>
      <c r="K908" s="7">
        <v>0.6</v>
      </c>
      <c r="L908" s="7">
        <v>0.6</v>
      </c>
      <c r="M908" s="7">
        <v>0.6</v>
      </c>
      <c r="N908" s="7">
        <v>0.6</v>
      </c>
      <c r="O908" s="7">
        <v>0.6</v>
      </c>
      <c r="P908" s="7">
        <v>0.6</v>
      </c>
      <c r="Q908" s="7">
        <v>0.6</v>
      </c>
    </row>
    <row r="909" spans="1:17">
      <c r="A909" s="2">
        <v>2857</v>
      </c>
      <c r="B909" s="7">
        <v>0.6</v>
      </c>
      <c r="C909" s="7">
        <v>0.6</v>
      </c>
      <c r="D909" s="7">
        <v>0.6</v>
      </c>
      <c r="E909" s="7">
        <v>0.6</v>
      </c>
      <c r="F909" s="7">
        <v>0.6</v>
      </c>
      <c r="G909" s="7">
        <v>0.6</v>
      </c>
      <c r="H909" s="7">
        <v>0.6</v>
      </c>
      <c r="I909" s="7">
        <v>0.6</v>
      </c>
      <c r="J909" s="7">
        <v>0.6</v>
      </c>
      <c r="K909" s="7">
        <v>0.6</v>
      </c>
      <c r="L909" s="7">
        <v>0.6</v>
      </c>
      <c r="M909" s="7">
        <v>0.6</v>
      </c>
      <c r="N909" s="7">
        <v>0.6</v>
      </c>
      <c r="O909" s="7">
        <v>0.6</v>
      </c>
      <c r="P909" s="7">
        <v>0.6</v>
      </c>
      <c r="Q909" s="7">
        <v>0.6</v>
      </c>
    </row>
    <row r="910" spans="1:17">
      <c r="A910" s="2">
        <v>2858</v>
      </c>
      <c r="B910" s="7">
        <v>0.6</v>
      </c>
      <c r="C910" s="7">
        <v>0.6</v>
      </c>
      <c r="D910" s="7">
        <v>0.6</v>
      </c>
      <c r="E910" s="7">
        <v>0.6</v>
      </c>
      <c r="F910" s="7">
        <v>0.6</v>
      </c>
      <c r="G910" s="7">
        <v>0.6</v>
      </c>
      <c r="H910" s="7">
        <v>0.6</v>
      </c>
      <c r="I910" s="7">
        <v>0.6</v>
      </c>
      <c r="J910" s="7">
        <v>0.6</v>
      </c>
      <c r="K910" s="7">
        <v>0.6</v>
      </c>
      <c r="L910" s="7">
        <v>0.6</v>
      </c>
      <c r="M910" s="7">
        <v>0.6</v>
      </c>
      <c r="N910" s="7">
        <v>0.6</v>
      </c>
      <c r="O910" s="7">
        <v>0.6</v>
      </c>
      <c r="P910" s="7">
        <v>0.6</v>
      </c>
      <c r="Q910" s="7">
        <v>0.6</v>
      </c>
    </row>
    <row r="911" spans="1:17">
      <c r="A911" s="2">
        <v>2859</v>
      </c>
      <c r="B911" s="7">
        <v>0.6</v>
      </c>
      <c r="C911" s="7">
        <v>0.6</v>
      </c>
      <c r="D911" s="7">
        <v>0.6</v>
      </c>
      <c r="E911" s="7">
        <v>0.6</v>
      </c>
      <c r="F911" s="7">
        <v>0.6</v>
      </c>
      <c r="G911" s="7">
        <v>0.6</v>
      </c>
      <c r="H911" s="7">
        <v>0.6</v>
      </c>
      <c r="I911" s="7">
        <v>0.6</v>
      </c>
      <c r="J911" s="7">
        <v>0.6</v>
      </c>
      <c r="K911" s="7">
        <v>0.6</v>
      </c>
      <c r="L911" s="7">
        <v>0.6</v>
      </c>
      <c r="M911" s="7">
        <v>0.6</v>
      </c>
      <c r="N911" s="7">
        <v>0.6</v>
      </c>
      <c r="O911" s="7">
        <v>0.6</v>
      </c>
      <c r="P911" s="7">
        <v>0.6</v>
      </c>
      <c r="Q911" s="7">
        <v>0.6</v>
      </c>
    </row>
    <row r="912" spans="1:17">
      <c r="A912" s="2">
        <v>2860</v>
      </c>
      <c r="B912" s="7">
        <v>0.6</v>
      </c>
      <c r="C912" s="7">
        <v>0.6</v>
      </c>
      <c r="D912" s="7">
        <v>0.6</v>
      </c>
      <c r="E912" s="7">
        <v>0.6</v>
      </c>
      <c r="F912" s="7">
        <v>0.6</v>
      </c>
      <c r="G912" s="7">
        <v>0.6</v>
      </c>
      <c r="H912" s="7">
        <v>0.6</v>
      </c>
      <c r="I912" s="7">
        <v>0.6</v>
      </c>
      <c r="J912" s="7">
        <v>0.6</v>
      </c>
      <c r="K912" s="7">
        <v>0.6</v>
      </c>
      <c r="L912" s="7">
        <v>0.6</v>
      </c>
      <c r="M912" s="7">
        <v>0.6</v>
      </c>
      <c r="N912" s="7">
        <v>0.6</v>
      </c>
      <c r="O912" s="7">
        <v>0.6</v>
      </c>
      <c r="P912" s="7">
        <v>0.6</v>
      </c>
      <c r="Q912" s="7">
        <v>0.6</v>
      </c>
    </row>
    <row r="913" spans="1:17">
      <c r="A913" s="2">
        <v>2861</v>
      </c>
      <c r="B913" s="7">
        <v>0.6</v>
      </c>
      <c r="C913" s="7">
        <v>0.6</v>
      </c>
      <c r="D913" s="7">
        <v>0.6</v>
      </c>
      <c r="E913" s="7">
        <v>0.6</v>
      </c>
      <c r="F913" s="7">
        <v>0.6</v>
      </c>
      <c r="G913" s="7">
        <v>0.6</v>
      </c>
      <c r="H913" s="7">
        <v>0.6</v>
      </c>
      <c r="I913" s="7">
        <v>0.6</v>
      </c>
      <c r="J913" s="7">
        <v>0.6</v>
      </c>
      <c r="K913" s="7">
        <v>0.6</v>
      </c>
      <c r="L913" s="7">
        <v>0.6</v>
      </c>
      <c r="M913" s="7">
        <v>0.6</v>
      </c>
      <c r="N913" s="7">
        <v>0.6</v>
      </c>
      <c r="O913" s="7">
        <v>0.6</v>
      </c>
      <c r="P913" s="7">
        <v>0.6</v>
      </c>
      <c r="Q913" s="7">
        <v>0.6</v>
      </c>
    </row>
    <row r="914" spans="1:17">
      <c r="A914" s="2">
        <v>2862</v>
      </c>
      <c r="B914" s="7">
        <v>0.6</v>
      </c>
      <c r="C914" s="7">
        <v>0.6</v>
      </c>
      <c r="D914" s="7">
        <v>0.6</v>
      </c>
      <c r="E914" s="7">
        <v>0.6</v>
      </c>
      <c r="F914" s="7">
        <v>0.6</v>
      </c>
      <c r="G914" s="7">
        <v>0.6</v>
      </c>
      <c r="H914" s="7">
        <v>0.6</v>
      </c>
      <c r="I914" s="7">
        <v>0.6</v>
      </c>
      <c r="J914" s="7">
        <v>0.6</v>
      </c>
      <c r="K914" s="7">
        <v>0.6</v>
      </c>
      <c r="L914" s="7">
        <v>0.6</v>
      </c>
      <c r="M914" s="7">
        <v>0.6</v>
      </c>
      <c r="N914" s="7">
        <v>0.6</v>
      </c>
      <c r="O914" s="7">
        <v>0.6</v>
      </c>
      <c r="P914" s="7">
        <v>0.6</v>
      </c>
      <c r="Q914" s="7">
        <v>0.6</v>
      </c>
    </row>
    <row r="915" spans="1:17">
      <c r="A915" s="2">
        <v>2863</v>
      </c>
      <c r="B915" s="7">
        <v>0.6</v>
      </c>
      <c r="C915" s="7">
        <v>0.6</v>
      </c>
      <c r="D915" s="7">
        <v>0.6</v>
      </c>
      <c r="E915" s="7">
        <v>0.6</v>
      </c>
      <c r="F915" s="7">
        <v>0.6</v>
      </c>
      <c r="G915" s="7">
        <v>0.6</v>
      </c>
      <c r="H915" s="7">
        <v>0.6</v>
      </c>
      <c r="I915" s="7">
        <v>0.6</v>
      </c>
      <c r="J915" s="7">
        <v>0.6</v>
      </c>
      <c r="K915" s="7">
        <v>0.6</v>
      </c>
      <c r="L915" s="7">
        <v>0.6</v>
      </c>
      <c r="M915" s="7">
        <v>0.6</v>
      </c>
      <c r="N915" s="7">
        <v>0.6</v>
      </c>
      <c r="O915" s="7">
        <v>0.6</v>
      </c>
      <c r="P915" s="7">
        <v>0.6</v>
      </c>
      <c r="Q915" s="7">
        <v>0.6</v>
      </c>
    </row>
    <row r="916" spans="1:17">
      <c r="A916" s="2">
        <v>2864</v>
      </c>
      <c r="B916" s="7">
        <v>0.6</v>
      </c>
      <c r="C916" s="7">
        <v>0.6</v>
      </c>
      <c r="D916" s="7">
        <v>0.6</v>
      </c>
      <c r="E916" s="7">
        <v>0.6</v>
      </c>
      <c r="F916" s="7">
        <v>0.6</v>
      </c>
      <c r="G916" s="7">
        <v>0.6</v>
      </c>
      <c r="H916" s="7">
        <v>0.6</v>
      </c>
      <c r="I916" s="7">
        <v>0.6</v>
      </c>
      <c r="J916" s="7">
        <v>0.6</v>
      </c>
      <c r="K916" s="7">
        <v>0.6</v>
      </c>
      <c r="L916" s="7">
        <v>0.6</v>
      </c>
      <c r="M916" s="7">
        <v>0.6</v>
      </c>
      <c r="N916" s="7">
        <v>0.6</v>
      </c>
      <c r="O916" s="7">
        <v>0.6</v>
      </c>
      <c r="P916" s="7">
        <v>0.6</v>
      </c>
      <c r="Q916" s="7">
        <v>0.6</v>
      </c>
    </row>
    <row r="917" spans="1:17">
      <c r="A917" s="2">
        <v>2865</v>
      </c>
      <c r="B917" s="7">
        <v>0.6</v>
      </c>
      <c r="C917" s="7">
        <v>0.6</v>
      </c>
      <c r="D917" s="7">
        <v>0.6</v>
      </c>
      <c r="E917" s="7">
        <v>0.6</v>
      </c>
      <c r="F917" s="7">
        <v>0.6</v>
      </c>
      <c r="G917" s="7">
        <v>0.6</v>
      </c>
      <c r="H917" s="7">
        <v>0.6</v>
      </c>
      <c r="I917" s="7">
        <v>0.6</v>
      </c>
      <c r="J917" s="7">
        <v>0.6</v>
      </c>
      <c r="K917" s="7">
        <v>0.6</v>
      </c>
      <c r="L917" s="7">
        <v>0.6</v>
      </c>
      <c r="M917" s="7">
        <v>0.6</v>
      </c>
      <c r="N917" s="7">
        <v>0.6</v>
      </c>
      <c r="O917" s="7">
        <v>0.6</v>
      </c>
      <c r="P917" s="7">
        <v>0.6</v>
      </c>
      <c r="Q917" s="7">
        <v>0.6</v>
      </c>
    </row>
    <row r="918" spans="1:17">
      <c r="A918" s="2">
        <v>2866</v>
      </c>
      <c r="B918" s="7">
        <v>0.6</v>
      </c>
      <c r="C918" s="7">
        <v>0.6</v>
      </c>
      <c r="D918" s="7">
        <v>0.6</v>
      </c>
      <c r="E918" s="7">
        <v>0.6</v>
      </c>
      <c r="F918" s="7">
        <v>0.6</v>
      </c>
      <c r="G918" s="7">
        <v>0.6</v>
      </c>
      <c r="H918" s="7">
        <v>0.6</v>
      </c>
      <c r="I918" s="7">
        <v>0.6</v>
      </c>
      <c r="J918" s="7">
        <v>0.6</v>
      </c>
      <c r="K918" s="7">
        <v>0.6</v>
      </c>
      <c r="L918" s="7">
        <v>0.6</v>
      </c>
      <c r="M918" s="7">
        <v>0.6</v>
      </c>
      <c r="N918" s="7">
        <v>0.6</v>
      </c>
      <c r="O918" s="7">
        <v>0.6</v>
      </c>
      <c r="P918" s="7">
        <v>0.6</v>
      </c>
      <c r="Q918" s="7">
        <v>0.6</v>
      </c>
    </row>
    <row r="919" spans="1:17">
      <c r="A919" s="2">
        <v>2867</v>
      </c>
      <c r="B919" s="7">
        <v>0.6</v>
      </c>
      <c r="C919" s="7">
        <v>0.6</v>
      </c>
      <c r="D919" s="7">
        <v>0.6</v>
      </c>
      <c r="E919" s="7">
        <v>0.6</v>
      </c>
      <c r="F919" s="7">
        <v>0.6</v>
      </c>
      <c r="G919" s="7">
        <v>0.6</v>
      </c>
      <c r="H919" s="7">
        <v>0.6</v>
      </c>
      <c r="I919" s="7">
        <v>0.6</v>
      </c>
      <c r="J919" s="7">
        <v>0.6</v>
      </c>
      <c r="K919" s="7">
        <v>0.6</v>
      </c>
      <c r="L919" s="7">
        <v>0.6</v>
      </c>
      <c r="M919" s="7">
        <v>0.6</v>
      </c>
      <c r="N919" s="7">
        <v>0.6</v>
      </c>
      <c r="O919" s="7">
        <v>0.6</v>
      </c>
      <c r="P919" s="7">
        <v>0.6</v>
      </c>
      <c r="Q919" s="7">
        <v>0.6</v>
      </c>
    </row>
    <row r="920" spans="1:17">
      <c r="A920" s="2">
        <v>2868</v>
      </c>
      <c r="B920" s="7">
        <v>0.6</v>
      </c>
      <c r="C920" s="7">
        <v>0.6</v>
      </c>
      <c r="D920" s="7">
        <v>0.6</v>
      </c>
      <c r="E920" s="7">
        <v>0.6</v>
      </c>
      <c r="F920" s="7">
        <v>0.6</v>
      </c>
      <c r="G920" s="7">
        <v>0.6</v>
      </c>
      <c r="H920" s="7">
        <v>0.6</v>
      </c>
      <c r="I920" s="7">
        <v>0.6</v>
      </c>
      <c r="J920" s="7">
        <v>0.6</v>
      </c>
      <c r="K920" s="7">
        <v>0.6</v>
      </c>
      <c r="L920" s="7">
        <v>0.6</v>
      </c>
      <c r="M920" s="7">
        <v>0.6</v>
      </c>
      <c r="N920" s="7">
        <v>0.6</v>
      </c>
      <c r="O920" s="7">
        <v>0.6</v>
      </c>
      <c r="P920" s="7">
        <v>0.6</v>
      </c>
      <c r="Q920" s="7">
        <v>0.6</v>
      </c>
    </row>
    <row r="921" spans="1:17">
      <c r="A921" s="2">
        <v>2869</v>
      </c>
      <c r="B921" s="7">
        <v>0.6</v>
      </c>
      <c r="C921" s="7">
        <v>0.6</v>
      </c>
      <c r="D921" s="7">
        <v>0.6</v>
      </c>
      <c r="E921" s="7">
        <v>0.6</v>
      </c>
      <c r="F921" s="7">
        <v>0.6</v>
      </c>
      <c r="G921" s="7">
        <v>0.6</v>
      </c>
      <c r="H921" s="7">
        <v>0.6</v>
      </c>
      <c r="I921" s="7">
        <v>0.6</v>
      </c>
      <c r="J921" s="7">
        <v>0.6</v>
      </c>
      <c r="K921" s="7">
        <v>0.6</v>
      </c>
      <c r="L921" s="7">
        <v>0.6</v>
      </c>
      <c r="M921" s="7">
        <v>0.6</v>
      </c>
      <c r="N921" s="7">
        <v>0.6</v>
      </c>
      <c r="O921" s="7">
        <v>0.6</v>
      </c>
      <c r="P921" s="7">
        <v>0.6</v>
      </c>
      <c r="Q921" s="7">
        <v>0.6</v>
      </c>
    </row>
    <row r="922" spans="1:17">
      <c r="A922" s="2">
        <v>2870</v>
      </c>
      <c r="B922" s="7">
        <v>0.6</v>
      </c>
      <c r="C922" s="7">
        <v>0.6</v>
      </c>
      <c r="D922" s="7">
        <v>0.6</v>
      </c>
      <c r="E922" s="7">
        <v>0.6</v>
      </c>
      <c r="F922" s="7">
        <v>0.6</v>
      </c>
      <c r="G922" s="7">
        <v>0.6</v>
      </c>
      <c r="H922" s="7">
        <v>0.6</v>
      </c>
      <c r="I922" s="7">
        <v>0.6</v>
      </c>
      <c r="J922" s="7">
        <v>0.6</v>
      </c>
      <c r="K922" s="7">
        <v>0.6</v>
      </c>
      <c r="L922" s="7">
        <v>0.6</v>
      </c>
      <c r="M922" s="7">
        <v>0.6</v>
      </c>
      <c r="N922" s="7">
        <v>0.6</v>
      </c>
      <c r="O922" s="7">
        <v>0.6</v>
      </c>
      <c r="P922" s="7">
        <v>0.6</v>
      </c>
      <c r="Q922" s="7">
        <v>0.6</v>
      </c>
    </row>
    <row r="923" spans="1:17">
      <c r="A923" s="2">
        <v>2871</v>
      </c>
      <c r="B923" s="7">
        <v>0.6</v>
      </c>
      <c r="C923" s="7">
        <v>0.6</v>
      </c>
      <c r="D923" s="7">
        <v>0.6</v>
      </c>
      <c r="E923" s="7">
        <v>0.6</v>
      </c>
      <c r="F923" s="7">
        <v>0.6</v>
      </c>
      <c r="G923" s="7">
        <v>0.6</v>
      </c>
      <c r="H923" s="7">
        <v>0.6</v>
      </c>
      <c r="I923" s="7">
        <v>0.6</v>
      </c>
      <c r="J923" s="7">
        <v>0.6</v>
      </c>
      <c r="K923" s="7">
        <v>0.6</v>
      </c>
      <c r="L923" s="7">
        <v>0.6</v>
      </c>
      <c r="M923" s="7">
        <v>0.6</v>
      </c>
      <c r="N923" s="7">
        <v>0.6</v>
      </c>
      <c r="O923" s="7">
        <v>0.6</v>
      </c>
      <c r="P923" s="7">
        <v>0.6</v>
      </c>
      <c r="Q923" s="7">
        <v>0.6</v>
      </c>
    </row>
    <row r="924" spans="1:17">
      <c r="A924" s="2">
        <v>2872</v>
      </c>
      <c r="B924" s="7">
        <v>0.6</v>
      </c>
      <c r="C924" s="7">
        <v>0.6</v>
      </c>
      <c r="D924" s="7">
        <v>0.6</v>
      </c>
      <c r="E924" s="7">
        <v>0.6</v>
      </c>
      <c r="F924" s="7">
        <v>0.6</v>
      </c>
      <c r="G924" s="7">
        <v>0.6</v>
      </c>
      <c r="H924" s="7">
        <v>0.6</v>
      </c>
      <c r="I924" s="7">
        <v>0.6</v>
      </c>
      <c r="J924" s="7">
        <v>0.6</v>
      </c>
      <c r="K924" s="7">
        <v>0.6</v>
      </c>
      <c r="L924" s="7">
        <v>0.6</v>
      </c>
      <c r="M924" s="7">
        <v>0.6</v>
      </c>
      <c r="N924" s="7">
        <v>0.6</v>
      </c>
      <c r="O924" s="7">
        <v>0.6</v>
      </c>
      <c r="P924" s="7">
        <v>0.6</v>
      </c>
      <c r="Q924" s="7">
        <v>0.6</v>
      </c>
    </row>
    <row r="925" spans="1:17">
      <c r="A925" s="2">
        <v>2873</v>
      </c>
      <c r="B925" s="7">
        <v>0.6</v>
      </c>
      <c r="C925" s="7">
        <v>0.6</v>
      </c>
      <c r="D925" s="7">
        <v>0.6</v>
      </c>
      <c r="E925" s="7">
        <v>0.6</v>
      </c>
      <c r="F925" s="7">
        <v>0.6</v>
      </c>
      <c r="G925" s="7">
        <v>0.6</v>
      </c>
      <c r="H925" s="7">
        <v>0.6</v>
      </c>
      <c r="I925" s="7">
        <v>0.6</v>
      </c>
      <c r="J925" s="7">
        <v>0.6</v>
      </c>
      <c r="K925" s="7">
        <v>0.6</v>
      </c>
      <c r="L925" s="7">
        <v>0.6</v>
      </c>
      <c r="M925" s="7">
        <v>0.6</v>
      </c>
      <c r="N925" s="7">
        <v>0.6</v>
      </c>
      <c r="O925" s="7">
        <v>0.6</v>
      </c>
      <c r="P925" s="7">
        <v>0.6</v>
      </c>
      <c r="Q925" s="7">
        <v>0.6</v>
      </c>
    </row>
    <row r="926" spans="1:17">
      <c r="A926" s="2">
        <v>2874</v>
      </c>
      <c r="B926" s="7">
        <v>0.6</v>
      </c>
      <c r="C926" s="7">
        <v>0.6</v>
      </c>
      <c r="D926" s="7">
        <v>0.6</v>
      </c>
      <c r="E926" s="7">
        <v>0.6</v>
      </c>
      <c r="F926" s="7">
        <v>0.6</v>
      </c>
      <c r="G926" s="7">
        <v>0.6</v>
      </c>
      <c r="H926" s="7">
        <v>0.6</v>
      </c>
      <c r="I926" s="7">
        <v>0.6</v>
      </c>
      <c r="J926" s="7">
        <v>0.6</v>
      </c>
      <c r="K926" s="7">
        <v>0.6</v>
      </c>
      <c r="L926" s="7">
        <v>0.6</v>
      </c>
      <c r="M926" s="7">
        <v>0.6</v>
      </c>
      <c r="N926" s="7">
        <v>0.6</v>
      </c>
      <c r="O926" s="7">
        <v>0.6</v>
      </c>
      <c r="P926" s="7">
        <v>0.6</v>
      </c>
      <c r="Q926" s="7">
        <v>0.6</v>
      </c>
    </row>
    <row r="927" spans="1:17">
      <c r="A927" s="2">
        <v>2875</v>
      </c>
      <c r="B927" s="7">
        <v>0.6</v>
      </c>
      <c r="C927" s="7">
        <v>0.6</v>
      </c>
      <c r="D927" s="7">
        <v>0.6</v>
      </c>
      <c r="E927" s="7">
        <v>0.6</v>
      </c>
      <c r="F927" s="7">
        <v>0.6</v>
      </c>
      <c r="G927" s="7">
        <v>0.6</v>
      </c>
      <c r="H927" s="7">
        <v>0.6</v>
      </c>
      <c r="I927" s="7">
        <v>0.6</v>
      </c>
      <c r="J927" s="7">
        <v>0.6</v>
      </c>
      <c r="K927" s="7">
        <v>0.6</v>
      </c>
      <c r="L927" s="7">
        <v>0.6</v>
      </c>
      <c r="M927" s="7">
        <v>0.6</v>
      </c>
      <c r="N927" s="7">
        <v>0.6</v>
      </c>
      <c r="O927" s="7">
        <v>0.6</v>
      </c>
      <c r="P927" s="7">
        <v>0.6</v>
      </c>
      <c r="Q927" s="7">
        <v>0.6</v>
      </c>
    </row>
    <row r="928" spans="1:17">
      <c r="A928" s="2">
        <v>2876</v>
      </c>
      <c r="B928" s="7">
        <v>0.6</v>
      </c>
      <c r="C928" s="7">
        <v>0.6</v>
      </c>
      <c r="D928" s="7">
        <v>0.6</v>
      </c>
      <c r="E928" s="7">
        <v>0.6</v>
      </c>
      <c r="F928" s="7">
        <v>0.6</v>
      </c>
      <c r="G928" s="7">
        <v>0.6</v>
      </c>
      <c r="H928" s="7">
        <v>0.6</v>
      </c>
      <c r="I928" s="7">
        <v>0.6</v>
      </c>
      <c r="J928" s="7">
        <v>0.6</v>
      </c>
      <c r="K928" s="7">
        <v>0.6</v>
      </c>
      <c r="L928" s="7">
        <v>0.6</v>
      </c>
      <c r="M928" s="7">
        <v>0.6</v>
      </c>
      <c r="N928" s="7">
        <v>0.6</v>
      </c>
      <c r="O928" s="7">
        <v>0.6</v>
      </c>
      <c r="P928" s="7">
        <v>0.6</v>
      </c>
      <c r="Q928" s="7">
        <v>0.6</v>
      </c>
    </row>
    <row r="929" spans="1:17">
      <c r="A929" s="2">
        <v>2877</v>
      </c>
      <c r="B929" s="7">
        <v>0.6</v>
      </c>
      <c r="C929" s="7">
        <v>0.6</v>
      </c>
      <c r="D929" s="7">
        <v>0.6</v>
      </c>
      <c r="E929" s="7">
        <v>0.6</v>
      </c>
      <c r="F929" s="7">
        <v>0.6</v>
      </c>
      <c r="G929" s="7">
        <v>0.6</v>
      </c>
      <c r="H929" s="7">
        <v>0.6</v>
      </c>
      <c r="I929" s="7">
        <v>0.6</v>
      </c>
      <c r="J929" s="7">
        <v>0.6</v>
      </c>
      <c r="K929" s="7">
        <v>0.6</v>
      </c>
      <c r="L929" s="7">
        <v>0.6</v>
      </c>
      <c r="M929" s="7">
        <v>0.6</v>
      </c>
      <c r="N929" s="7">
        <v>0.6</v>
      </c>
      <c r="O929" s="7">
        <v>0.6</v>
      </c>
      <c r="P929" s="7">
        <v>0.6</v>
      </c>
      <c r="Q929" s="7">
        <v>0.6</v>
      </c>
    </row>
    <row r="930" spans="1:17">
      <c r="A930" s="2">
        <v>2878</v>
      </c>
      <c r="B930" s="7">
        <v>0.6</v>
      </c>
      <c r="C930" s="7">
        <v>0.6</v>
      </c>
      <c r="D930" s="7">
        <v>0.6</v>
      </c>
      <c r="E930" s="7">
        <v>0.6</v>
      </c>
      <c r="F930" s="7">
        <v>0.6</v>
      </c>
      <c r="G930" s="7">
        <v>0.6</v>
      </c>
      <c r="H930" s="7">
        <v>0.6</v>
      </c>
      <c r="I930" s="7">
        <v>0.6</v>
      </c>
      <c r="J930" s="7">
        <v>0.6</v>
      </c>
      <c r="K930" s="7">
        <v>0.6</v>
      </c>
      <c r="L930" s="7">
        <v>0.6</v>
      </c>
      <c r="M930" s="7">
        <v>0.6</v>
      </c>
      <c r="N930" s="7">
        <v>0.6</v>
      </c>
      <c r="O930" s="7">
        <v>0.6</v>
      </c>
      <c r="P930" s="7">
        <v>0.6</v>
      </c>
      <c r="Q930" s="7">
        <v>0.6</v>
      </c>
    </row>
    <row r="931" spans="1:17">
      <c r="A931" s="2">
        <v>2879</v>
      </c>
      <c r="B931" s="7">
        <v>0.6</v>
      </c>
      <c r="C931" s="7">
        <v>0.6</v>
      </c>
      <c r="D931" s="7">
        <v>0.6</v>
      </c>
      <c r="E931" s="7">
        <v>0.6</v>
      </c>
      <c r="F931" s="7">
        <v>0.6</v>
      </c>
      <c r="G931" s="7">
        <v>0.6</v>
      </c>
      <c r="H931" s="7">
        <v>0.6</v>
      </c>
      <c r="I931" s="7">
        <v>0.6</v>
      </c>
      <c r="J931" s="7">
        <v>0.6</v>
      </c>
      <c r="K931" s="7">
        <v>0.6</v>
      </c>
      <c r="L931" s="7">
        <v>0.6</v>
      </c>
      <c r="M931" s="7">
        <v>0.6</v>
      </c>
      <c r="N931" s="7">
        <v>0.6</v>
      </c>
      <c r="O931" s="7">
        <v>0.6</v>
      </c>
      <c r="P931" s="7">
        <v>0.6</v>
      </c>
      <c r="Q931" s="7">
        <v>0.6</v>
      </c>
    </row>
    <row r="932" spans="1:17">
      <c r="A932" s="2">
        <v>2880</v>
      </c>
      <c r="B932" s="7">
        <v>0.6</v>
      </c>
      <c r="C932" s="7">
        <v>0.6</v>
      </c>
      <c r="D932" s="7">
        <v>0.6</v>
      </c>
      <c r="E932" s="7">
        <v>0.6</v>
      </c>
      <c r="F932" s="7">
        <v>0.6</v>
      </c>
      <c r="G932" s="7">
        <v>0.6</v>
      </c>
      <c r="H932" s="7">
        <v>0.6</v>
      </c>
      <c r="I932" s="7">
        <v>0.6</v>
      </c>
      <c r="J932" s="7">
        <v>0.6</v>
      </c>
      <c r="K932" s="7">
        <v>0.6</v>
      </c>
      <c r="L932" s="7">
        <v>0.6</v>
      </c>
      <c r="M932" s="7">
        <v>0.6</v>
      </c>
      <c r="N932" s="7">
        <v>0.6</v>
      </c>
      <c r="O932" s="7">
        <v>0.6</v>
      </c>
      <c r="P932" s="7">
        <v>0.6</v>
      </c>
      <c r="Q932" s="7">
        <v>0.6</v>
      </c>
    </row>
    <row r="933" spans="1:17">
      <c r="A933" s="2">
        <v>2881</v>
      </c>
      <c r="B933" s="7">
        <v>0.6</v>
      </c>
      <c r="C933" s="7">
        <v>0.6</v>
      </c>
      <c r="D933" s="7">
        <v>0.6</v>
      </c>
      <c r="E933" s="7">
        <v>0.6</v>
      </c>
      <c r="F933" s="7">
        <v>0.6</v>
      </c>
      <c r="G933" s="7">
        <v>0.6</v>
      </c>
      <c r="H933" s="7">
        <v>0.6</v>
      </c>
      <c r="I933" s="7">
        <v>0.6</v>
      </c>
      <c r="J933" s="7">
        <v>0.6</v>
      </c>
      <c r="K933" s="7">
        <v>0.6</v>
      </c>
      <c r="L933" s="7">
        <v>0.6</v>
      </c>
      <c r="M933" s="7">
        <v>0.6</v>
      </c>
      <c r="N933" s="7">
        <v>0.6</v>
      </c>
      <c r="O933" s="7">
        <v>0.6</v>
      </c>
      <c r="P933" s="7">
        <v>0.6</v>
      </c>
      <c r="Q933" s="7">
        <v>0.6</v>
      </c>
    </row>
    <row r="934" spans="1:17">
      <c r="A934" s="2">
        <v>2882</v>
      </c>
      <c r="B934" s="7">
        <v>0.6</v>
      </c>
      <c r="C934" s="7">
        <v>0.6</v>
      </c>
      <c r="D934" s="7">
        <v>0.6</v>
      </c>
      <c r="E934" s="7">
        <v>0.6</v>
      </c>
      <c r="F934" s="7">
        <v>0.6</v>
      </c>
      <c r="G934" s="7">
        <v>0.6</v>
      </c>
      <c r="H934" s="7">
        <v>0.6</v>
      </c>
      <c r="I934" s="7">
        <v>0.6</v>
      </c>
      <c r="J934" s="7">
        <v>0.6</v>
      </c>
      <c r="K934" s="7">
        <v>0.6</v>
      </c>
      <c r="L934" s="7">
        <v>0.6</v>
      </c>
      <c r="M934" s="7">
        <v>0.6</v>
      </c>
      <c r="N934" s="7">
        <v>0.6</v>
      </c>
      <c r="O934" s="7">
        <v>0.6</v>
      </c>
      <c r="P934" s="7">
        <v>0.6</v>
      </c>
      <c r="Q934" s="7">
        <v>0.6</v>
      </c>
    </row>
    <row r="935" spans="1:17">
      <c r="A935" s="2">
        <v>2883</v>
      </c>
      <c r="B935" s="7">
        <v>0.6</v>
      </c>
      <c r="C935" s="7">
        <v>0.6</v>
      </c>
      <c r="D935" s="7">
        <v>0.6</v>
      </c>
      <c r="E935" s="7">
        <v>0.6</v>
      </c>
      <c r="F935" s="7">
        <v>0.6</v>
      </c>
      <c r="G935" s="7">
        <v>0.6</v>
      </c>
      <c r="H935" s="7">
        <v>0.6</v>
      </c>
      <c r="I935" s="7">
        <v>0.6</v>
      </c>
      <c r="J935" s="7">
        <v>0.6</v>
      </c>
      <c r="K935" s="7">
        <v>0.6</v>
      </c>
      <c r="L935" s="7">
        <v>0.6</v>
      </c>
      <c r="M935" s="7">
        <v>0.6</v>
      </c>
      <c r="N935" s="7">
        <v>0.6</v>
      </c>
      <c r="O935" s="7">
        <v>0.6</v>
      </c>
      <c r="P935" s="7">
        <v>0.6</v>
      </c>
      <c r="Q935" s="7">
        <v>0.6</v>
      </c>
    </row>
    <row r="936" spans="1:17">
      <c r="A936" s="2">
        <v>2884</v>
      </c>
      <c r="B936" s="7">
        <v>0.6</v>
      </c>
      <c r="C936" s="7">
        <v>0.6</v>
      </c>
      <c r="D936" s="7">
        <v>0.6</v>
      </c>
      <c r="E936" s="7">
        <v>0.6</v>
      </c>
      <c r="F936" s="7">
        <v>0.6</v>
      </c>
      <c r="G936" s="7">
        <v>0.6</v>
      </c>
      <c r="H936" s="7">
        <v>0.6</v>
      </c>
      <c r="I936" s="7">
        <v>0.6</v>
      </c>
      <c r="J936" s="7">
        <v>0.6</v>
      </c>
      <c r="K936" s="7">
        <v>0.6</v>
      </c>
      <c r="L936" s="7">
        <v>0.6</v>
      </c>
      <c r="M936" s="7">
        <v>0.6</v>
      </c>
      <c r="N936" s="7">
        <v>0.6</v>
      </c>
      <c r="O936" s="7">
        <v>0.6</v>
      </c>
      <c r="P936" s="7">
        <v>0.6</v>
      </c>
      <c r="Q936" s="7">
        <v>0.6</v>
      </c>
    </row>
    <row r="937" spans="1:17">
      <c r="A937" s="2">
        <v>2885</v>
      </c>
      <c r="B937" s="7">
        <v>0.6</v>
      </c>
      <c r="C937" s="7">
        <v>0.6</v>
      </c>
      <c r="D937" s="7">
        <v>0.6</v>
      </c>
      <c r="E937" s="7">
        <v>0.6</v>
      </c>
      <c r="F937" s="7">
        <v>0.6</v>
      </c>
      <c r="G937" s="7">
        <v>0.6</v>
      </c>
      <c r="H937" s="7">
        <v>0.6</v>
      </c>
      <c r="I937" s="7">
        <v>0.6</v>
      </c>
      <c r="J937" s="7">
        <v>0.6</v>
      </c>
      <c r="K937" s="7">
        <v>0.6</v>
      </c>
      <c r="L937" s="7">
        <v>0.6</v>
      </c>
      <c r="M937" s="7">
        <v>0.6</v>
      </c>
      <c r="N937" s="7">
        <v>0.6</v>
      </c>
      <c r="O937" s="7">
        <v>0.6</v>
      </c>
      <c r="P937" s="7">
        <v>0.6</v>
      </c>
      <c r="Q937" s="7">
        <v>0.6</v>
      </c>
    </row>
    <row r="938" spans="1:17">
      <c r="A938" s="2">
        <v>2886</v>
      </c>
      <c r="B938" s="7">
        <v>0.6</v>
      </c>
      <c r="C938" s="7">
        <v>0.6</v>
      </c>
      <c r="D938" s="7">
        <v>0.6</v>
      </c>
      <c r="E938" s="7">
        <v>0.6</v>
      </c>
      <c r="F938" s="7">
        <v>0.6</v>
      </c>
      <c r="G938" s="7">
        <v>0.6</v>
      </c>
      <c r="H938" s="7">
        <v>0.6</v>
      </c>
      <c r="I938" s="7">
        <v>0.6</v>
      </c>
      <c r="J938" s="7">
        <v>0.6</v>
      </c>
      <c r="K938" s="7">
        <v>0.6</v>
      </c>
      <c r="L938" s="7">
        <v>0.6</v>
      </c>
      <c r="M938" s="7">
        <v>0.6</v>
      </c>
      <c r="N938" s="7">
        <v>0.6</v>
      </c>
      <c r="O938" s="7">
        <v>0.6</v>
      </c>
      <c r="P938" s="7">
        <v>0.6</v>
      </c>
      <c r="Q938" s="7">
        <v>0.6</v>
      </c>
    </row>
    <row r="939" spans="1:17">
      <c r="A939" s="2">
        <v>2887</v>
      </c>
      <c r="B939" s="7">
        <v>0.6</v>
      </c>
      <c r="C939" s="7">
        <v>0.6</v>
      </c>
      <c r="D939" s="7">
        <v>0.6</v>
      </c>
      <c r="E939" s="7">
        <v>0.6</v>
      </c>
      <c r="F939" s="7">
        <v>0.6</v>
      </c>
      <c r="G939" s="7">
        <v>0.6</v>
      </c>
      <c r="H939" s="7">
        <v>0.6</v>
      </c>
      <c r="I939" s="7">
        <v>0.6</v>
      </c>
      <c r="J939" s="7">
        <v>0.6</v>
      </c>
      <c r="K939" s="7">
        <v>0.6</v>
      </c>
      <c r="L939" s="7">
        <v>0.6</v>
      </c>
      <c r="M939" s="7">
        <v>0.6</v>
      </c>
      <c r="N939" s="7">
        <v>0.6</v>
      </c>
      <c r="O939" s="7">
        <v>0.6</v>
      </c>
      <c r="P939" s="7">
        <v>0.6</v>
      </c>
      <c r="Q939" s="7">
        <v>0.6</v>
      </c>
    </row>
    <row r="940" spans="1:17">
      <c r="A940" s="2">
        <v>2888</v>
      </c>
      <c r="B940" s="7">
        <v>0.6</v>
      </c>
      <c r="C940" s="7">
        <v>0.6</v>
      </c>
      <c r="D940" s="7">
        <v>0.6</v>
      </c>
      <c r="E940" s="7">
        <v>0.6</v>
      </c>
      <c r="F940" s="7">
        <v>0.6</v>
      </c>
      <c r="G940" s="7">
        <v>0.6</v>
      </c>
      <c r="H940" s="7">
        <v>0.6</v>
      </c>
      <c r="I940" s="7">
        <v>0.6</v>
      </c>
      <c r="J940" s="7">
        <v>0.6</v>
      </c>
      <c r="K940" s="7">
        <v>0.6</v>
      </c>
      <c r="L940" s="7">
        <v>0.6</v>
      </c>
      <c r="M940" s="7">
        <v>0.6</v>
      </c>
      <c r="N940" s="7">
        <v>0.6</v>
      </c>
      <c r="O940" s="7">
        <v>0.6</v>
      </c>
      <c r="P940" s="7">
        <v>0.6</v>
      </c>
      <c r="Q940" s="7">
        <v>0.6</v>
      </c>
    </row>
    <row r="941" spans="1:17">
      <c r="A941" s="2">
        <v>2889</v>
      </c>
      <c r="B941" s="7">
        <v>0.6</v>
      </c>
      <c r="C941" s="7">
        <v>0.6</v>
      </c>
      <c r="D941" s="7">
        <v>0.6</v>
      </c>
      <c r="E941" s="7">
        <v>0.6</v>
      </c>
      <c r="F941" s="7">
        <v>0.6</v>
      </c>
      <c r="G941" s="7">
        <v>0.6</v>
      </c>
      <c r="H941" s="7">
        <v>0.6</v>
      </c>
      <c r="I941" s="7">
        <v>0.6</v>
      </c>
      <c r="J941" s="7">
        <v>0.6</v>
      </c>
      <c r="K941" s="7">
        <v>0.6</v>
      </c>
      <c r="L941" s="7">
        <v>0.6</v>
      </c>
      <c r="M941" s="7">
        <v>0.6</v>
      </c>
      <c r="N941" s="7">
        <v>0.6</v>
      </c>
      <c r="O941" s="7">
        <v>0.6</v>
      </c>
      <c r="P941" s="7">
        <v>0.6</v>
      </c>
      <c r="Q941" s="7">
        <v>0.6</v>
      </c>
    </row>
    <row r="942" spans="1:17">
      <c r="A942" s="2">
        <v>2890</v>
      </c>
      <c r="B942" s="7">
        <v>0.6</v>
      </c>
      <c r="C942" s="7">
        <v>0.6</v>
      </c>
      <c r="D942" s="7">
        <v>0.6</v>
      </c>
      <c r="E942" s="7">
        <v>0.6</v>
      </c>
      <c r="F942" s="7">
        <v>0.6</v>
      </c>
      <c r="G942" s="7">
        <v>0.6</v>
      </c>
      <c r="H942" s="7">
        <v>0.6</v>
      </c>
      <c r="I942" s="7">
        <v>0.6</v>
      </c>
      <c r="J942" s="7">
        <v>0.6</v>
      </c>
      <c r="K942" s="7">
        <v>0.6</v>
      </c>
      <c r="L942" s="7">
        <v>0.6</v>
      </c>
      <c r="M942" s="7">
        <v>0.6</v>
      </c>
      <c r="N942" s="7">
        <v>0.6</v>
      </c>
      <c r="O942" s="7">
        <v>0.6</v>
      </c>
      <c r="P942" s="7">
        <v>0.6</v>
      </c>
      <c r="Q942" s="7">
        <v>0.6</v>
      </c>
    </row>
    <row r="943" spans="1:17">
      <c r="A943" s="2">
        <v>2891</v>
      </c>
      <c r="B943" s="7">
        <v>0.6</v>
      </c>
      <c r="C943" s="7">
        <v>0.6</v>
      </c>
      <c r="D943" s="7">
        <v>0.6</v>
      </c>
      <c r="E943" s="7">
        <v>0.6</v>
      </c>
      <c r="F943" s="7">
        <v>0.6</v>
      </c>
      <c r="G943" s="7">
        <v>0.6</v>
      </c>
      <c r="H943" s="7">
        <v>0.6</v>
      </c>
      <c r="I943" s="7">
        <v>0.6</v>
      </c>
      <c r="J943" s="7">
        <v>0.6</v>
      </c>
      <c r="K943" s="7">
        <v>0.6</v>
      </c>
      <c r="L943" s="7">
        <v>0.6</v>
      </c>
      <c r="M943" s="7">
        <v>0.6</v>
      </c>
      <c r="N943" s="7">
        <v>0.6</v>
      </c>
      <c r="O943" s="7">
        <v>0.6</v>
      </c>
      <c r="P943" s="7">
        <v>0.6</v>
      </c>
      <c r="Q943" s="7">
        <v>0.6</v>
      </c>
    </row>
    <row r="944" spans="1:17">
      <c r="A944" s="2">
        <v>2892</v>
      </c>
      <c r="B944" s="7">
        <v>0.6</v>
      </c>
      <c r="C944" s="7">
        <v>0.6</v>
      </c>
      <c r="D944" s="7">
        <v>0.6</v>
      </c>
      <c r="E944" s="7">
        <v>0.6</v>
      </c>
      <c r="F944" s="7">
        <v>0.6</v>
      </c>
      <c r="G944" s="7">
        <v>0.6</v>
      </c>
      <c r="H944" s="7">
        <v>0.6</v>
      </c>
      <c r="I944" s="7">
        <v>0.6</v>
      </c>
      <c r="J944" s="7">
        <v>0.6</v>
      </c>
      <c r="K944" s="7">
        <v>0.6</v>
      </c>
      <c r="L944" s="7">
        <v>0.6</v>
      </c>
      <c r="M944" s="7">
        <v>0.6</v>
      </c>
      <c r="N944" s="7">
        <v>0.6</v>
      </c>
      <c r="O944" s="7">
        <v>0.6</v>
      </c>
      <c r="P944" s="7">
        <v>0.6</v>
      </c>
      <c r="Q944" s="7">
        <v>0.6</v>
      </c>
    </row>
    <row r="945" spans="1:17">
      <c r="A945" s="2">
        <v>2893</v>
      </c>
      <c r="B945" s="7">
        <v>0.6</v>
      </c>
      <c r="C945" s="7">
        <v>0.6</v>
      </c>
      <c r="D945" s="7">
        <v>0.6</v>
      </c>
      <c r="E945" s="7">
        <v>0.6</v>
      </c>
      <c r="F945" s="7">
        <v>0.6</v>
      </c>
      <c r="G945" s="7">
        <v>0.6</v>
      </c>
      <c r="H945" s="7">
        <v>0.6</v>
      </c>
      <c r="I945" s="7">
        <v>0.6</v>
      </c>
      <c r="J945" s="7">
        <v>0.6</v>
      </c>
      <c r="K945" s="7">
        <v>0.6</v>
      </c>
      <c r="L945" s="7">
        <v>0.6</v>
      </c>
      <c r="M945" s="7">
        <v>0.6</v>
      </c>
      <c r="N945" s="7">
        <v>0.6</v>
      </c>
      <c r="O945" s="7">
        <v>0.6</v>
      </c>
      <c r="P945" s="7">
        <v>0.6</v>
      </c>
      <c r="Q945" s="7">
        <v>0.6</v>
      </c>
    </row>
    <row r="946" spans="1:17">
      <c r="A946" s="2">
        <v>2894</v>
      </c>
      <c r="B946" s="7">
        <v>0.6</v>
      </c>
      <c r="C946" s="7">
        <v>0.6</v>
      </c>
      <c r="D946" s="7">
        <v>0.6</v>
      </c>
      <c r="E946" s="7">
        <v>0.6</v>
      </c>
      <c r="F946" s="7">
        <v>0.6</v>
      </c>
      <c r="G946" s="7">
        <v>0.6</v>
      </c>
      <c r="H946" s="7">
        <v>0.6</v>
      </c>
      <c r="I946" s="7">
        <v>0.6</v>
      </c>
      <c r="J946" s="7">
        <v>0.6</v>
      </c>
      <c r="K946" s="7">
        <v>0.6</v>
      </c>
      <c r="L946" s="7">
        <v>0.6</v>
      </c>
      <c r="M946" s="7">
        <v>0.6</v>
      </c>
      <c r="N946" s="7">
        <v>0.6</v>
      </c>
      <c r="O946" s="7">
        <v>0.6</v>
      </c>
      <c r="P946" s="7">
        <v>0.6</v>
      </c>
      <c r="Q946" s="7">
        <v>0.6</v>
      </c>
    </row>
    <row r="947" spans="1:17">
      <c r="A947" s="2">
        <v>2895</v>
      </c>
      <c r="B947" s="7">
        <v>0.6</v>
      </c>
      <c r="C947" s="7">
        <v>0.6</v>
      </c>
      <c r="D947" s="7">
        <v>0.6</v>
      </c>
      <c r="E947" s="7">
        <v>0.6</v>
      </c>
      <c r="F947" s="7">
        <v>0.6</v>
      </c>
      <c r="G947" s="7">
        <v>0.6</v>
      </c>
      <c r="H947" s="7">
        <v>0.6</v>
      </c>
      <c r="I947" s="7">
        <v>0.6</v>
      </c>
      <c r="J947" s="7">
        <v>0.6</v>
      </c>
      <c r="K947" s="7">
        <v>0.6</v>
      </c>
      <c r="L947" s="7">
        <v>0.6</v>
      </c>
      <c r="M947" s="7">
        <v>0.6</v>
      </c>
      <c r="N947" s="7">
        <v>0.6</v>
      </c>
      <c r="O947" s="7">
        <v>0.6</v>
      </c>
      <c r="P947" s="7">
        <v>0.6</v>
      </c>
      <c r="Q947" s="7">
        <v>0.6</v>
      </c>
    </row>
    <row r="948" spans="1:17">
      <c r="A948" s="2">
        <v>2896</v>
      </c>
      <c r="B948" s="7">
        <v>0.6</v>
      </c>
      <c r="C948" s="7">
        <v>0.6</v>
      </c>
      <c r="D948" s="7">
        <v>0.6</v>
      </c>
      <c r="E948" s="7">
        <v>0.6</v>
      </c>
      <c r="F948" s="7">
        <v>0.6</v>
      </c>
      <c r="G948" s="7">
        <v>0.6</v>
      </c>
      <c r="H948" s="7">
        <v>0.6</v>
      </c>
      <c r="I948" s="7">
        <v>0.6</v>
      </c>
      <c r="J948" s="7">
        <v>0.6</v>
      </c>
      <c r="K948" s="7">
        <v>0.6</v>
      </c>
      <c r="L948" s="7">
        <v>0.6</v>
      </c>
      <c r="M948" s="7">
        <v>0.6</v>
      </c>
      <c r="N948" s="7">
        <v>0.6</v>
      </c>
      <c r="O948" s="7">
        <v>0.6</v>
      </c>
      <c r="P948" s="7">
        <v>0.6</v>
      </c>
      <c r="Q948" s="7">
        <v>0.6</v>
      </c>
    </row>
    <row r="949" spans="1:17">
      <c r="A949" s="2">
        <v>2897</v>
      </c>
      <c r="B949" s="7">
        <v>0.6</v>
      </c>
      <c r="C949" s="7">
        <v>0.6</v>
      </c>
      <c r="D949" s="7">
        <v>0.6</v>
      </c>
      <c r="E949" s="7">
        <v>0.6</v>
      </c>
      <c r="F949" s="7">
        <v>0.6</v>
      </c>
      <c r="G949" s="7">
        <v>0.6</v>
      </c>
      <c r="H949" s="7">
        <v>0.6</v>
      </c>
      <c r="I949" s="7">
        <v>0.6</v>
      </c>
      <c r="J949" s="7">
        <v>0.6</v>
      </c>
      <c r="K949" s="7">
        <v>0.6</v>
      </c>
      <c r="L949" s="7">
        <v>0.6</v>
      </c>
      <c r="M949" s="7">
        <v>0.6</v>
      </c>
      <c r="N949" s="7">
        <v>0.6</v>
      </c>
      <c r="O949" s="7">
        <v>0.6</v>
      </c>
      <c r="P949" s="7">
        <v>0.6</v>
      </c>
      <c r="Q949" s="7">
        <v>0.6</v>
      </c>
    </row>
    <row r="950" spans="1:17">
      <c r="A950" s="2">
        <v>2898</v>
      </c>
      <c r="B950" s="7">
        <v>0.6</v>
      </c>
      <c r="C950" s="7">
        <v>0.6</v>
      </c>
      <c r="D950" s="7">
        <v>0.6</v>
      </c>
      <c r="E950" s="7">
        <v>0.6</v>
      </c>
      <c r="F950" s="7">
        <v>0.6</v>
      </c>
      <c r="G950" s="7">
        <v>0.6</v>
      </c>
      <c r="H950" s="7">
        <v>0.6</v>
      </c>
      <c r="I950" s="7">
        <v>0.6</v>
      </c>
      <c r="J950" s="7">
        <v>0.6</v>
      </c>
      <c r="K950" s="7">
        <v>0.6</v>
      </c>
      <c r="L950" s="7">
        <v>0.6</v>
      </c>
      <c r="M950" s="7">
        <v>0.6</v>
      </c>
      <c r="N950" s="7">
        <v>0.6</v>
      </c>
      <c r="O950" s="7">
        <v>0.6</v>
      </c>
      <c r="P950" s="7">
        <v>0.6</v>
      </c>
      <c r="Q950" s="7">
        <v>0.6</v>
      </c>
    </row>
    <row r="951" spans="1:17">
      <c r="A951" s="2">
        <v>2899</v>
      </c>
      <c r="B951" s="7">
        <v>0.6</v>
      </c>
      <c r="C951" s="7">
        <v>0.6</v>
      </c>
      <c r="D951" s="7">
        <v>0.6</v>
      </c>
      <c r="E951" s="7">
        <v>0.6</v>
      </c>
      <c r="F951" s="7">
        <v>0.6</v>
      </c>
      <c r="G951" s="7">
        <v>0.6</v>
      </c>
      <c r="H951" s="7">
        <v>0.6</v>
      </c>
      <c r="I951" s="7">
        <v>0.6</v>
      </c>
      <c r="J951" s="7">
        <v>0.6</v>
      </c>
      <c r="K951" s="7">
        <v>0.6</v>
      </c>
      <c r="L951" s="7">
        <v>0.6</v>
      </c>
      <c r="M951" s="7">
        <v>0.6</v>
      </c>
      <c r="N951" s="7">
        <v>0.6</v>
      </c>
      <c r="O951" s="7">
        <v>0.6</v>
      </c>
      <c r="P951" s="7">
        <v>0.6</v>
      </c>
      <c r="Q951" s="7">
        <v>0.6</v>
      </c>
    </row>
    <row r="952" spans="1:17">
      <c r="A952" s="2">
        <v>2900</v>
      </c>
      <c r="B952" s="7">
        <v>0.6</v>
      </c>
      <c r="C952" s="7">
        <v>0.6</v>
      </c>
      <c r="D952" s="7">
        <v>0.6</v>
      </c>
      <c r="E952" s="7">
        <v>0.6</v>
      </c>
      <c r="F952" s="7">
        <v>0.6</v>
      </c>
      <c r="G952" s="7">
        <v>0.6</v>
      </c>
      <c r="H952" s="7">
        <v>0.6</v>
      </c>
      <c r="I952" s="7">
        <v>0.6</v>
      </c>
      <c r="J952" s="7">
        <v>0.6</v>
      </c>
      <c r="K952" s="7">
        <v>0.6</v>
      </c>
      <c r="L952" s="7">
        <v>0.6</v>
      </c>
      <c r="M952" s="7">
        <v>0.6</v>
      </c>
      <c r="N952" s="7">
        <v>0.6</v>
      </c>
      <c r="O952" s="7">
        <v>0.6</v>
      </c>
      <c r="P952" s="7">
        <v>0.6</v>
      </c>
      <c r="Q952" s="7">
        <v>0.6</v>
      </c>
    </row>
    <row r="953" spans="1:17">
      <c r="A953" s="2">
        <v>2901</v>
      </c>
      <c r="B953" s="7">
        <v>0.6</v>
      </c>
      <c r="C953" s="7">
        <v>0.6</v>
      </c>
      <c r="D953" s="7">
        <v>0.6</v>
      </c>
      <c r="E953" s="7">
        <v>0.6</v>
      </c>
      <c r="F953" s="7">
        <v>0.6</v>
      </c>
      <c r="G953" s="7">
        <v>0.6</v>
      </c>
      <c r="H953" s="7">
        <v>0.6</v>
      </c>
      <c r="I953" s="7">
        <v>0.6</v>
      </c>
      <c r="J953" s="7">
        <v>0.6</v>
      </c>
      <c r="K953" s="7">
        <v>0.6</v>
      </c>
      <c r="L953" s="7">
        <v>0.6</v>
      </c>
      <c r="M953" s="7">
        <v>0.6</v>
      </c>
      <c r="N953" s="7">
        <v>0.6</v>
      </c>
      <c r="O953" s="7">
        <v>0.6</v>
      </c>
      <c r="P953" s="7">
        <v>0.6</v>
      </c>
      <c r="Q953" s="7">
        <v>0.6</v>
      </c>
    </row>
    <row r="954" spans="1:17">
      <c r="A954" s="2">
        <v>2902</v>
      </c>
      <c r="B954" s="7">
        <v>0.6</v>
      </c>
      <c r="C954" s="7">
        <v>0.6</v>
      </c>
      <c r="D954" s="7">
        <v>0.6</v>
      </c>
      <c r="E954" s="7">
        <v>0.6</v>
      </c>
      <c r="F954" s="7">
        <v>0.6</v>
      </c>
      <c r="G954" s="7">
        <v>0.6</v>
      </c>
      <c r="H954" s="7">
        <v>0.6</v>
      </c>
      <c r="I954" s="7">
        <v>0.6</v>
      </c>
      <c r="J954" s="7">
        <v>0.6</v>
      </c>
      <c r="K954" s="7">
        <v>0.6</v>
      </c>
      <c r="L954" s="7">
        <v>0.6</v>
      </c>
      <c r="M954" s="7">
        <v>0.6</v>
      </c>
      <c r="N954" s="7">
        <v>0.6</v>
      </c>
      <c r="O954" s="7">
        <v>0.6</v>
      </c>
      <c r="P954" s="7">
        <v>0.6</v>
      </c>
      <c r="Q954" s="7">
        <v>0.6</v>
      </c>
    </row>
    <row r="955" spans="1:17">
      <c r="A955" s="2">
        <v>2903</v>
      </c>
      <c r="B955" s="7">
        <v>0.6</v>
      </c>
      <c r="C955" s="7">
        <v>0.6</v>
      </c>
      <c r="D955" s="7">
        <v>0.6</v>
      </c>
      <c r="E955" s="7">
        <v>0.6</v>
      </c>
      <c r="F955" s="7">
        <v>0.6</v>
      </c>
      <c r="G955" s="7">
        <v>0.6</v>
      </c>
      <c r="H955" s="7">
        <v>0.6</v>
      </c>
      <c r="I955" s="7">
        <v>0.6</v>
      </c>
      <c r="J955" s="7">
        <v>0.6</v>
      </c>
      <c r="K955" s="7">
        <v>0.6</v>
      </c>
      <c r="L955" s="7">
        <v>0.6</v>
      </c>
      <c r="M955" s="7">
        <v>0.6</v>
      </c>
      <c r="N955" s="7">
        <v>0.6</v>
      </c>
      <c r="O955" s="7">
        <v>0.6</v>
      </c>
      <c r="P955" s="7">
        <v>0.6</v>
      </c>
      <c r="Q955" s="7">
        <v>0.6</v>
      </c>
    </row>
    <row r="956" spans="1:17">
      <c r="A956" s="2">
        <v>2904</v>
      </c>
      <c r="B956" s="7">
        <v>0.6</v>
      </c>
      <c r="C956" s="7">
        <v>0.6</v>
      </c>
      <c r="D956" s="7">
        <v>0.6</v>
      </c>
      <c r="E956" s="7">
        <v>0.6</v>
      </c>
      <c r="F956" s="7">
        <v>0.6</v>
      </c>
      <c r="G956" s="7">
        <v>0.6</v>
      </c>
      <c r="H956" s="7">
        <v>0.6</v>
      </c>
      <c r="I956" s="7">
        <v>0.6</v>
      </c>
      <c r="J956" s="7">
        <v>0.6</v>
      </c>
      <c r="K956" s="7">
        <v>0.6</v>
      </c>
      <c r="L956" s="7">
        <v>0.6</v>
      </c>
      <c r="M956" s="7">
        <v>0.6</v>
      </c>
      <c r="N956" s="7">
        <v>0.6</v>
      </c>
      <c r="O956" s="7">
        <v>0.6</v>
      </c>
      <c r="P956" s="7">
        <v>0.6</v>
      </c>
      <c r="Q956" s="7">
        <v>0.6</v>
      </c>
    </row>
    <row r="957" spans="1:17">
      <c r="A957" s="2">
        <v>2905</v>
      </c>
      <c r="B957" s="7">
        <v>0.6</v>
      </c>
      <c r="C957" s="7">
        <v>0.6</v>
      </c>
      <c r="D957" s="7">
        <v>0.6</v>
      </c>
      <c r="E957" s="7">
        <v>0.6</v>
      </c>
      <c r="F957" s="7">
        <v>0.6</v>
      </c>
      <c r="G957" s="7">
        <v>0.6</v>
      </c>
      <c r="H957" s="7">
        <v>0.6</v>
      </c>
      <c r="I957" s="7">
        <v>0.6</v>
      </c>
      <c r="J957" s="7">
        <v>0.6</v>
      </c>
      <c r="K957" s="7">
        <v>0.6</v>
      </c>
      <c r="L957" s="7">
        <v>0.6</v>
      </c>
      <c r="M957" s="7">
        <v>0.6</v>
      </c>
      <c r="N957" s="7">
        <v>0.6</v>
      </c>
      <c r="O957" s="7">
        <v>0.6</v>
      </c>
      <c r="P957" s="7">
        <v>0.6</v>
      </c>
      <c r="Q957" s="7">
        <v>0.6</v>
      </c>
    </row>
    <row r="958" spans="1:17">
      <c r="A958" s="2">
        <v>2906</v>
      </c>
      <c r="B958" s="7">
        <v>0.6</v>
      </c>
      <c r="C958" s="7">
        <v>0.6</v>
      </c>
      <c r="D958" s="7">
        <v>0.6</v>
      </c>
      <c r="E958" s="7">
        <v>0.6</v>
      </c>
      <c r="F958" s="7">
        <v>0.6</v>
      </c>
      <c r="G958" s="7">
        <v>0.6</v>
      </c>
      <c r="H958" s="7">
        <v>0.6</v>
      </c>
      <c r="I958" s="7">
        <v>0.6</v>
      </c>
      <c r="J958" s="7">
        <v>0.6</v>
      </c>
      <c r="K958" s="7">
        <v>0.6</v>
      </c>
      <c r="L958" s="7">
        <v>0.6</v>
      </c>
      <c r="M958" s="7">
        <v>0.6</v>
      </c>
      <c r="N958" s="7">
        <v>0.6</v>
      </c>
      <c r="O958" s="7">
        <v>0.6</v>
      </c>
      <c r="P958" s="7">
        <v>0.6</v>
      </c>
      <c r="Q958" s="7">
        <v>0.6</v>
      </c>
    </row>
    <row r="959" spans="1:17">
      <c r="A959" s="2">
        <v>2907</v>
      </c>
      <c r="B959" s="7">
        <v>0.6</v>
      </c>
      <c r="C959" s="7">
        <v>0.6</v>
      </c>
      <c r="D959" s="7">
        <v>0.6</v>
      </c>
      <c r="E959" s="7">
        <v>0.6</v>
      </c>
      <c r="F959" s="7">
        <v>0.6</v>
      </c>
      <c r="G959" s="7">
        <v>0.6</v>
      </c>
      <c r="H959" s="7">
        <v>0.6</v>
      </c>
      <c r="I959" s="7">
        <v>0.6</v>
      </c>
      <c r="J959" s="7">
        <v>0.6</v>
      </c>
      <c r="K959" s="7">
        <v>0.6</v>
      </c>
      <c r="L959" s="7">
        <v>0.6</v>
      </c>
      <c r="M959" s="7">
        <v>0.6</v>
      </c>
      <c r="N959" s="7">
        <v>0.6</v>
      </c>
      <c r="O959" s="7">
        <v>0.6</v>
      </c>
      <c r="P959" s="7">
        <v>0.6</v>
      </c>
      <c r="Q959" s="7">
        <v>0.6</v>
      </c>
    </row>
    <row r="960" spans="1:17">
      <c r="A960" s="2">
        <v>2908</v>
      </c>
      <c r="B960" s="7">
        <v>0.6</v>
      </c>
      <c r="C960" s="7">
        <v>0.6</v>
      </c>
      <c r="D960" s="7">
        <v>0.6</v>
      </c>
      <c r="E960" s="7">
        <v>0.6</v>
      </c>
      <c r="F960" s="7">
        <v>0.6</v>
      </c>
      <c r="G960" s="7">
        <v>0.6</v>
      </c>
      <c r="H960" s="7">
        <v>0.6</v>
      </c>
      <c r="I960" s="7">
        <v>0.6</v>
      </c>
      <c r="J960" s="7">
        <v>0.6</v>
      </c>
      <c r="K960" s="7">
        <v>0.6</v>
      </c>
      <c r="L960" s="7">
        <v>0.6</v>
      </c>
      <c r="M960" s="7">
        <v>0.6</v>
      </c>
      <c r="N960" s="7">
        <v>0.6</v>
      </c>
      <c r="O960" s="7">
        <v>0.6</v>
      </c>
      <c r="P960" s="7">
        <v>0.6</v>
      </c>
      <c r="Q960" s="7">
        <v>0.6</v>
      </c>
    </row>
    <row r="961" spans="1:17">
      <c r="A961" s="2">
        <v>2909</v>
      </c>
      <c r="B961" s="7">
        <v>0.6</v>
      </c>
      <c r="C961" s="7">
        <v>0.6</v>
      </c>
      <c r="D961" s="7">
        <v>0.6</v>
      </c>
      <c r="E961" s="7">
        <v>0.6</v>
      </c>
      <c r="F961" s="7">
        <v>0.6</v>
      </c>
      <c r="G961" s="7">
        <v>0.6</v>
      </c>
      <c r="H961" s="7">
        <v>0.6</v>
      </c>
      <c r="I961" s="7">
        <v>0.6</v>
      </c>
      <c r="J961" s="7">
        <v>0.6</v>
      </c>
      <c r="K961" s="7">
        <v>0.6</v>
      </c>
      <c r="L961" s="7">
        <v>0.6</v>
      </c>
      <c r="M961" s="7">
        <v>0.6</v>
      </c>
      <c r="N961" s="7">
        <v>0.6</v>
      </c>
      <c r="O961" s="7">
        <v>0.6</v>
      </c>
      <c r="P961" s="7">
        <v>0.6</v>
      </c>
      <c r="Q961" s="7">
        <v>0.6</v>
      </c>
    </row>
    <row r="962" spans="1:17">
      <c r="A962" s="2">
        <v>2910</v>
      </c>
      <c r="B962" s="7">
        <v>0.6</v>
      </c>
      <c r="C962" s="7">
        <v>0.6</v>
      </c>
      <c r="D962" s="7">
        <v>0.6</v>
      </c>
      <c r="E962" s="7">
        <v>0.6</v>
      </c>
      <c r="F962" s="7">
        <v>0.6</v>
      </c>
      <c r="G962" s="7">
        <v>0.6</v>
      </c>
      <c r="H962" s="7">
        <v>0.6</v>
      </c>
      <c r="I962" s="7">
        <v>0.6</v>
      </c>
      <c r="J962" s="7">
        <v>0.6</v>
      </c>
      <c r="K962" s="7">
        <v>0.6</v>
      </c>
      <c r="L962" s="7">
        <v>0.6</v>
      </c>
      <c r="M962" s="7">
        <v>0.6</v>
      </c>
      <c r="N962" s="7">
        <v>0.6</v>
      </c>
      <c r="O962" s="7">
        <v>0.6</v>
      </c>
      <c r="P962" s="7">
        <v>0.6</v>
      </c>
      <c r="Q962" s="7">
        <v>0.6</v>
      </c>
    </row>
    <row r="963" spans="1:17">
      <c r="A963" s="2">
        <v>2911</v>
      </c>
      <c r="B963" s="7">
        <v>0.6</v>
      </c>
      <c r="C963" s="7">
        <v>0.6</v>
      </c>
      <c r="D963" s="7">
        <v>0.6</v>
      </c>
      <c r="E963" s="7">
        <v>0.6</v>
      </c>
      <c r="F963" s="7">
        <v>0.6</v>
      </c>
      <c r="G963" s="7">
        <v>0.6</v>
      </c>
      <c r="H963" s="7">
        <v>0.6</v>
      </c>
      <c r="I963" s="7">
        <v>0.6</v>
      </c>
      <c r="J963" s="7">
        <v>0.6</v>
      </c>
      <c r="K963" s="7">
        <v>0.6</v>
      </c>
      <c r="L963" s="7">
        <v>0.6</v>
      </c>
      <c r="M963" s="7">
        <v>0.6</v>
      </c>
      <c r="N963" s="7">
        <v>0.6</v>
      </c>
      <c r="O963" s="7">
        <v>0.6</v>
      </c>
      <c r="P963" s="7">
        <v>0.6</v>
      </c>
      <c r="Q963" s="7">
        <v>0.6</v>
      </c>
    </row>
    <row r="964" spans="1:17">
      <c r="A964" s="2">
        <v>2912</v>
      </c>
      <c r="B964" s="7">
        <v>0.6</v>
      </c>
      <c r="C964" s="7">
        <v>0.6</v>
      </c>
      <c r="D964" s="7">
        <v>0.6</v>
      </c>
      <c r="E964" s="7">
        <v>0.6</v>
      </c>
      <c r="F964" s="7">
        <v>0.6</v>
      </c>
      <c r="G964" s="7">
        <v>0.6</v>
      </c>
      <c r="H964" s="7">
        <v>0.6</v>
      </c>
      <c r="I964" s="7">
        <v>0.6</v>
      </c>
      <c r="J964" s="7">
        <v>0.6</v>
      </c>
      <c r="K964" s="7">
        <v>0.6</v>
      </c>
      <c r="L964" s="7">
        <v>0.6</v>
      </c>
      <c r="M964" s="7">
        <v>0.6</v>
      </c>
      <c r="N964" s="7">
        <v>0.6</v>
      </c>
      <c r="O964" s="7">
        <v>0.6</v>
      </c>
      <c r="P964" s="7">
        <v>0.6</v>
      </c>
      <c r="Q964" s="7">
        <v>0.6</v>
      </c>
    </row>
    <row r="965" spans="1:17">
      <c r="A965" s="2">
        <v>2913</v>
      </c>
      <c r="B965" s="7">
        <v>0.6</v>
      </c>
      <c r="C965" s="7">
        <v>0.6</v>
      </c>
      <c r="D965" s="7">
        <v>0.6</v>
      </c>
      <c r="E965" s="7">
        <v>0.6</v>
      </c>
      <c r="F965" s="7">
        <v>0.6</v>
      </c>
      <c r="G965" s="7">
        <v>0.6</v>
      </c>
      <c r="H965" s="7">
        <v>0.6</v>
      </c>
      <c r="I965" s="7">
        <v>0.6</v>
      </c>
      <c r="J965" s="7">
        <v>0.6</v>
      </c>
      <c r="K965" s="7">
        <v>0.6</v>
      </c>
      <c r="L965" s="7">
        <v>0.6</v>
      </c>
      <c r="M965" s="7">
        <v>0.6</v>
      </c>
      <c r="N965" s="7">
        <v>0.6</v>
      </c>
      <c r="O965" s="7">
        <v>0.6</v>
      </c>
      <c r="P965" s="7">
        <v>0.6</v>
      </c>
      <c r="Q965" s="7">
        <v>0.6</v>
      </c>
    </row>
    <row r="966" spans="1:17">
      <c r="A966" s="2">
        <v>2914</v>
      </c>
      <c r="B966" s="7">
        <v>0.6</v>
      </c>
      <c r="C966" s="7">
        <v>0.6</v>
      </c>
      <c r="D966" s="7">
        <v>0.6</v>
      </c>
      <c r="E966" s="7">
        <v>0.6</v>
      </c>
      <c r="F966" s="7">
        <v>0.6</v>
      </c>
      <c r="G966" s="7">
        <v>0.6</v>
      </c>
      <c r="H966" s="7">
        <v>0.6</v>
      </c>
      <c r="I966" s="7">
        <v>0.6</v>
      </c>
      <c r="J966" s="7">
        <v>0.6</v>
      </c>
      <c r="K966" s="7">
        <v>0.6</v>
      </c>
      <c r="L966" s="7">
        <v>0.6</v>
      </c>
      <c r="M966" s="7">
        <v>0.6</v>
      </c>
      <c r="N966" s="7">
        <v>0.6</v>
      </c>
      <c r="O966" s="7">
        <v>0.6</v>
      </c>
      <c r="P966" s="7">
        <v>0.6</v>
      </c>
      <c r="Q966" s="7">
        <v>0.6</v>
      </c>
    </row>
    <row r="967" spans="1:17">
      <c r="A967" s="2">
        <v>2915</v>
      </c>
      <c r="B967" s="7">
        <v>0.6</v>
      </c>
      <c r="C967" s="7">
        <v>0.6</v>
      </c>
      <c r="D967" s="7">
        <v>0.6</v>
      </c>
      <c r="E967" s="7">
        <v>0.6</v>
      </c>
      <c r="F967" s="7">
        <v>0.6</v>
      </c>
      <c r="G967" s="7">
        <v>0.6</v>
      </c>
      <c r="H967" s="7">
        <v>0.6</v>
      </c>
      <c r="I967" s="7">
        <v>0.6</v>
      </c>
      <c r="J967" s="7">
        <v>0.6</v>
      </c>
      <c r="K967" s="7">
        <v>0.6</v>
      </c>
      <c r="L967" s="7">
        <v>0.6</v>
      </c>
      <c r="M967" s="7">
        <v>0.6</v>
      </c>
      <c r="N967" s="7">
        <v>0.6</v>
      </c>
      <c r="O967" s="7">
        <v>0.6</v>
      </c>
      <c r="P967" s="7">
        <v>0.6</v>
      </c>
      <c r="Q967" s="7">
        <v>0.6</v>
      </c>
    </row>
    <row r="968" spans="1:17">
      <c r="A968" s="2">
        <v>2916</v>
      </c>
      <c r="B968" s="7">
        <v>0.6</v>
      </c>
      <c r="C968" s="7">
        <v>0.6</v>
      </c>
      <c r="D968" s="7">
        <v>0.6</v>
      </c>
      <c r="E968" s="7">
        <v>0.6</v>
      </c>
      <c r="F968" s="7">
        <v>0.6</v>
      </c>
      <c r="G968" s="7">
        <v>0.6</v>
      </c>
      <c r="H968" s="7">
        <v>0.6</v>
      </c>
      <c r="I968" s="7">
        <v>0.6</v>
      </c>
      <c r="J968" s="7">
        <v>0.6</v>
      </c>
      <c r="K968" s="7">
        <v>0.6</v>
      </c>
      <c r="L968" s="7">
        <v>0.6</v>
      </c>
      <c r="M968" s="7">
        <v>0.6</v>
      </c>
      <c r="N968" s="7">
        <v>0.6</v>
      </c>
      <c r="O968" s="7">
        <v>0.6</v>
      </c>
      <c r="P968" s="7">
        <v>0.6</v>
      </c>
      <c r="Q968" s="7">
        <v>0.6</v>
      </c>
    </row>
    <row r="969" spans="1:17">
      <c r="A969" s="2">
        <v>2917</v>
      </c>
      <c r="B969" s="7">
        <v>0.6</v>
      </c>
      <c r="C969" s="7">
        <v>0.6</v>
      </c>
      <c r="D969" s="7">
        <v>0.6</v>
      </c>
      <c r="E969" s="7">
        <v>0.6</v>
      </c>
      <c r="F969" s="7">
        <v>0.6</v>
      </c>
      <c r="G969" s="7">
        <v>0.6</v>
      </c>
      <c r="H969" s="7">
        <v>0.6</v>
      </c>
      <c r="I969" s="7">
        <v>0.6</v>
      </c>
      <c r="J969" s="7">
        <v>0.6</v>
      </c>
      <c r="K969" s="7">
        <v>0.6</v>
      </c>
      <c r="L969" s="7">
        <v>0.6</v>
      </c>
      <c r="M969" s="7">
        <v>0.6</v>
      </c>
      <c r="N969" s="7">
        <v>0.6</v>
      </c>
      <c r="O969" s="7">
        <v>0.6</v>
      </c>
      <c r="P969" s="7">
        <v>0.6</v>
      </c>
      <c r="Q969" s="7">
        <v>0.6</v>
      </c>
    </row>
    <row r="970" spans="1:17">
      <c r="A970" s="2">
        <v>2918</v>
      </c>
      <c r="B970" s="7">
        <v>0.6</v>
      </c>
      <c r="C970" s="7">
        <v>0.6</v>
      </c>
      <c r="D970" s="7">
        <v>0.6</v>
      </c>
      <c r="E970" s="7">
        <v>0.6</v>
      </c>
      <c r="F970" s="7">
        <v>0.6</v>
      </c>
      <c r="G970" s="7">
        <v>0.6</v>
      </c>
      <c r="H970" s="7">
        <v>0.6</v>
      </c>
      <c r="I970" s="7">
        <v>0.6</v>
      </c>
      <c r="J970" s="7">
        <v>0.6</v>
      </c>
      <c r="K970" s="7">
        <v>0.6</v>
      </c>
      <c r="L970" s="7">
        <v>0.6</v>
      </c>
      <c r="M970" s="7">
        <v>0.6</v>
      </c>
      <c r="N970" s="7">
        <v>0.6</v>
      </c>
      <c r="O970" s="7">
        <v>0.6</v>
      </c>
      <c r="P970" s="7">
        <v>0.6</v>
      </c>
      <c r="Q970" s="7">
        <v>0.6</v>
      </c>
    </row>
    <row r="971" spans="1:17">
      <c r="A971" s="2">
        <v>2919</v>
      </c>
      <c r="B971" s="7">
        <v>0.6</v>
      </c>
      <c r="C971" s="7">
        <v>0.6</v>
      </c>
      <c r="D971" s="7">
        <v>0.6</v>
      </c>
      <c r="E971" s="7">
        <v>0.6</v>
      </c>
      <c r="F971" s="7">
        <v>0.6</v>
      </c>
      <c r="G971" s="7">
        <v>0.6</v>
      </c>
      <c r="H971" s="7">
        <v>0.6</v>
      </c>
      <c r="I971" s="7">
        <v>0.6</v>
      </c>
      <c r="J971" s="7">
        <v>0.6</v>
      </c>
      <c r="K971" s="7">
        <v>0.6</v>
      </c>
      <c r="L971" s="7">
        <v>0.6</v>
      </c>
      <c r="M971" s="7">
        <v>0.6</v>
      </c>
      <c r="N971" s="7">
        <v>0.6</v>
      </c>
      <c r="O971" s="7">
        <v>0.6</v>
      </c>
      <c r="P971" s="7">
        <v>0.6</v>
      </c>
      <c r="Q971" s="7">
        <v>0.6</v>
      </c>
    </row>
    <row r="972" spans="1:17">
      <c r="A972" s="2">
        <v>2920</v>
      </c>
      <c r="B972" s="7">
        <v>0.6</v>
      </c>
      <c r="C972" s="7">
        <v>0.6</v>
      </c>
      <c r="D972" s="7">
        <v>0.6</v>
      </c>
      <c r="E972" s="7">
        <v>0.6</v>
      </c>
      <c r="F972" s="7">
        <v>0.6</v>
      </c>
      <c r="G972" s="7">
        <v>0.6</v>
      </c>
      <c r="H972" s="7">
        <v>0.6</v>
      </c>
      <c r="I972" s="7">
        <v>0.6</v>
      </c>
      <c r="J972" s="7">
        <v>0.6</v>
      </c>
      <c r="K972" s="7">
        <v>0.6</v>
      </c>
      <c r="L972" s="7">
        <v>0.6</v>
      </c>
      <c r="M972" s="7">
        <v>0.6</v>
      </c>
      <c r="N972" s="7">
        <v>0.6</v>
      </c>
      <c r="O972" s="7">
        <v>0.6</v>
      </c>
      <c r="P972" s="7">
        <v>0.6</v>
      </c>
      <c r="Q972" s="7">
        <v>0.6</v>
      </c>
    </row>
    <row r="973" spans="1:17">
      <c r="A973" s="2">
        <v>2921</v>
      </c>
      <c r="B973" s="7">
        <v>0.6</v>
      </c>
      <c r="C973" s="7">
        <v>0.6</v>
      </c>
      <c r="D973" s="7">
        <v>0.6</v>
      </c>
      <c r="E973" s="7">
        <v>0.6</v>
      </c>
      <c r="F973" s="7">
        <v>0.6</v>
      </c>
      <c r="G973" s="7">
        <v>0.6</v>
      </c>
      <c r="H973" s="7">
        <v>0.6</v>
      </c>
      <c r="I973" s="7">
        <v>0.6</v>
      </c>
      <c r="J973" s="7">
        <v>0.6</v>
      </c>
      <c r="K973" s="7">
        <v>0.6</v>
      </c>
      <c r="L973" s="7">
        <v>0.6</v>
      </c>
      <c r="M973" s="7">
        <v>0.6</v>
      </c>
      <c r="N973" s="7">
        <v>0.6</v>
      </c>
      <c r="O973" s="7">
        <v>0.6</v>
      </c>
      <c r="P973" s="7">
        <v>0.6</v>
      </c>
      <c r="Q973" s="7">
        <v>0.6</v>
      </c>
    </row>
    <row r="974" spans="1:17">
      <c r="A974" s="2">
        <v>2922</v>
      </c>
      <c r="B974" s="7">
        <v>0.6</v>
      </c>
      <c r="C974" s="7">
        <v>0.6</v>
      </c>
      <c r="D974" s="7">
        <v>0.6</v>
      </c>
      <c r="E974" s="7">
        <v>0.6</v>
      </c>
      <c r="F974" s="7">
        <v>0.6</v>
      </c>
      <c r="G974" s="7">
        <v>0.6</v>
      </c>
      <c r="H974" s="7">
        <v>0.6</v>
      </c>
      <c r="I974" s="7">
        <v>0.6</v>
      </c>
      <c r="J974" s="7">
        <v>0.6</v>
      </c>
      <c r="K974" s="7">
        <v>0.6</v>
      </c>
      <c r="L974" s="7">
        <v>0.6</v>
      </c>
      <c r="M974" s="7">
        <v>0.6</v>
      </c>
      <c r="N974" s="7">
        <v>0.6</v>
      </c>
      <c r="O974" s="7">
        <v>0.6</v>
      </c>
      <c r="P974" s="7">
        <v>0.6</v>
      </c>
      <c r="Q974" s="7">
        <v>0.6</v>
      </c>
    </row>
    <row r="975" spans="1:17">
      <c r="A975" s="2">
        <v>2923</v>
      </c>
      <c r="B975" s="7">
        <v>0.6</v>
      </c>
      <c r="C975" s="7">
        <v>0.6</v>
      </c>
      <c r="D975" s="7">
        <v>0.6</v>
      </c>
      <c r="E975" s="7">
        <v>0.6</v>
      </c>
      <c r="F975" s="7">
        <v>0.6</v>
      </c>
      <c r="G975" s="7">
        <v>0.6</v>
      </c>
      <c r="H975" s="7">
        <v>0.6</v>
      </c>
      <c r="I975" s="7">
        <v>0.6</v>
      </c>
      <c r="J975" s="7">
        <v>0.6</v>
      </c>
      <c r="K975" s="7">
        <v>0.6</v>
      </c>
      <c r="L975" s="7">
        <v>0.6</v>
      </c>
      <c r="M975" s="7">
        <v>0.6</v>
      </c>
      <c r="N975" s="7">
        <v>0.6</v>
      </c>
      <c r="O975" s="7">
        <v>0.6</v>
      </c>
      <c r="P975" s="7">
        <v>0.6</v>
      </c>
      <c r="Q975" s="7">
        <v>0.6</v>
      </c>
    </row>
    <row r="976" spans="1:17">
      <c r="A976" s="2">
        <v>2924</v>
      </c>
      <c r="B976" s="7">
        <v>0.6</v>
      </c>
      <c r="C976" s="7">
        <v>0.6</v>
      </c>
      <c r="D976" s="7">
        <v>0.6</v>
      </c>
      <c r="E976" s="7">
        <v>0.6</v>
      </c>
      <c r="F976" s="7">
        <v>0.6</v>
      </c>
      <c r="G976" s="7">
        <v>0.6</v>
      </c>
      <c r="H976" s="7">
        <v>0.6</v>
      </c>
      <c r="I976" s="7">
        <v>0.6</v>
      </c>
      <c r="J976" s="7">
        <v>0.6</v>
      </c>
      <c r="K976" s="7">
        <v>0.6</v>
      </c>
      <c r="L976" s="7">
        <v>0.6</v>
      </c>
      <c r="M976" s="7">
        <v>0.6</v>
      </c>
      <c r="N976" s="7">
        <v>0.6</v>
      </c>
      <c r="O976" s="7">
        <v>0.6</v>
      </c>
      <c r="P976" s="7">
        <v>0.6</v>
      </c>
      <c r="Q976" s="7">
        <v>0.6</v>
      </c>
    </row>
    <row r="977" spans="1:17">
      <c r="A977" s="2">
        <v>2925</v>
      </c>
      <c r="B977" s="7">
        <v>0.6</v>
      </c>
      <c r="C977" s="7">
        <v>0.6</v>
      </c>
      <c r="D977" s="7">
        <v>0.6</v>
      </c>
      <c r="E977" s="7">
        <v>0.6</v>
      </c>
      <c r="F977" s="7">
        <v>0.6</v>
      </c>
      <c r="G977" s="7">
        <v>0.6</v>
      </c>
      <c r="H977" s="7">
        <v>0.6</v>
      </c>
      <c r="I977" s="7">
        <v>0.6</v>
      </c>
      <c r="J977" s="7">
        <v>0.6</v>
      </c>
      <c r="K977" s="7">
        <v>0.6</v>
      </c>
      <c r="L977" s="7">
        <v>0.6</v>
      </c>
      <c r="M977" s="7">
        <v>0.6</v>
      </c>
      <c r="N977" s="7">
        <v>0.6</v>
      </c>
      <c r="O977" s="7">
        <v>0.6</v>
      </c>
      <c r="P977" s="7">
        <v>0.6</v>
      </c>
      <c r="Q977" s="7">
        <v>0.6</v>
      </c>
    </row>
    <row r="978" spans="1:17">
      <c r="A978" s="2">
        <v>2926</v>
      </c>
      <c r="B978" s="7">
        <v>0.6</v>
      </c>
      <c r="C978" s="7">
        <v>0.6</v>
      </c>
      <c r="D978" s="7">
        <v>0.6</v>
      </c>
      <c r="E978" s="7">
        <v>0.6</v>
      </c>
      <c r="F978" s="7">
        <v>0.6</v>
      </c>
      <c r="G978" s="7">
        <v>0.6</v>
      </c>
      <c r="H978" s="7">
        <v>0.6</v>
      </c>
      <c r="I978" s="7">
        <v>0.6</v>
      </c>
      <c r="J978" s="7">
        <v>0.6</v>
      </c>
      <c r="K978" s="7">
        <v>0.6</v>
      </c>
      <c r="L978" s="7">
        <v>0.6</v>
      </c>
      <c r="M978" s="7">
        <v>0.6</v>
      </c>
      <c r="N978" s="7">
        <v>0.6</v>
      </c>
      <c r="O978" s="7">
        <v>0.6</v>
      </c>
      <c r="P978" s="7">
        <v>0.6</v>
      </c>
      <c r="Q978" s="7">
        <v>0.6</v>
      </c>
    </row>
    <row r="979" spans="1:17">
      <c r="A979" s="2">
        <v>2927</v>
      </c>
      <c r="B979" s="7">
        <v>0.6</v>
      </c>
      <c r="C979" s="7">
        <v>0.6</v>
      </c>
      <c r="D979" s="7">
        <v>0.6</v>
      </c>
      <c r="E979" s="7">
        <v>0.6</v>
      </c>
      <c r="F979" s="7">
        <v>0.6</v>
      </c>
      <c r="G979" s="7">
        <v>0.6</v>
      </c>
      <c r="H979" s="7">
        <v>0.6</v>
      </c>
      <c r="I979" s="7">
        <v>0.6</v>
      </c>
      <c r="J979" s="7">
        <v>0.6</v>
      </c>
      <c r="K979" s="7">
        <v>0.6</v>
      </c>
      <c r="L979" s="7">
        <v>0.6</v>
      </c>
      <c r="M979" s="7">
        <v>0.6</v>
      </c>
      <c r="N979" s="7">
        <v>0.6</v>
      </c>
      <c r="O979" s="7">
        <v>0.6</v>
      </c>
      <c r="P979" s="7">
        <v>0.6</v>
      </c>
      <c r="Q979" s="7">
        <v>0.6</v>
      </c>
    </row>
    <row r="980" spans="1:17">
      <c r="A980" s="2">
        <v>2928</v>
      </c>
      <c r="B980" s="7">
        <v>0.6</v>
      </c>
      <c r="C980" s="7">
        <v>0.6</v>
      </c>
      <c r="D980" s="7">
        <v>0.6</v>
      </c>
      <c r="E980" s="7">
        <v>0.6</v>
      </c>
      <c r="F980" s="7">
        <v>0.6</v>
      </c>
      <c r="G980" s="7">
        <v>0.6</v>
      </c>
      <c r="H980" s="7">
        <v>0.6</v>
      </c>
      <c r="I980" s="7">
        <v>0.6</v>
      </c>
      <c r="J980" s="7">
        <v>0.6</v>
      </c>
      <c r="K980" s="7">
        <v>0.6</v>
      </c>
      <c r="L980" s="7">
        <v>0.6</v>
      </c>
      <c r="M980" s="7">
        <v>0.6</v>
      </c>
      <c r="N980" s="7">
        <v>0.6</v>
      </c>
      <c r="O980" s="7">
        <v>0.6</v>
      </c>
      <c r="P980" s="7">
        <v>0.6</v>
      </c>
      <c r="Q980" s="7">
        <v>0.6</v>
      </c>
    </row>
    <row r="981" spans="1:17">
      <c r="A981" s="2">
        <v>2929</v>
      </c>
      <c r="B981" s="7">
        <v>0.6</v>
      </c>
      <c r="C981" s="7">
        <v>0.6</v>
      </c>
      <c r="D981" s="7">
        <v>0.6</v>
      </c>
      <c r="E981" s="7">
        <v>0.6</v>
      </c>
      <c r="F981" s="7">
        <v>0.6</v>
      </c>
      <c r="G981" s="7">
        <v>0.6</v>
      </c>
      <c r="H981" s="7">
        <v>0.6</v>
      </c>
      <c r="I981" s="7">
        <v>0.6</v>
      </c>
      <c r="J981" s="7">
        <v>0.6</v>
      </c>
      <c r="K981" s="7">
        <v>0.6</v>
      </c>
      <c r="L981" s="7">
        <v>0.6</v>
      </c>
      <c r="M981" s="7">
        <v>0.6</v>
      </c>
      <c r="N981" s="7">
        <v>0.6</v>
      </c>
      <c r="O981" s="7">
        <v>0.6</v>
      </c>
      <c r="P981" s="7">
        <v>0.6</v>
      </c>
      <c r="Q981" s="7">
        <v>0.6</v>
      </c>
    </row>
    <row r="982" spans="1:17">
      <c r="A982" s="2">
        <v>2930</v>
      </c>
      <c r="B982" s="7">
        <v>0.6</v>
      </c>
      <c r="C982" s="7">
        <v>0.6</v>
      </c>
      <c r="D982" s="7">
        <v>0.6</v>
      </c>
      <c r="E982" s="7">
        <v>0.6</v>
      </c>
      <c r="F982" s="7">
        <v>0.6</v>
      </c>
      <c r="G982" s="7">
        <v>0.6</v>
      </c>
      <c r="H982" s="7">
        <v>0.6</v>
      </c>
      <c r="I982" s="7">
        <v>0.6</v>
      </c>
      <c r="J982" s="7">
        <v>0.6</v>
      </c>
      <c r="K982" s="7">
        <v>0.6</v>
      </c>
      <c r="L982" s="7">
        <v>0.6</v>
      </c>
      <c r="M982" s="7">
        <v>0.6</v>
      </c>
      <c r="N982" s="7">
        <v>0.6</v>
      </c>
      <c r="O982" s="7">
        <v>0.6</v>
      </c>
      <c r="P982" s="7">
        <v>0.6</v>
      </c>
      <c r="Q982" s="7">
        <v>0.6</v>
      </c>
    </row>
    <row r="983" spans="1:17">
      <c r="A983" s="2">
        <v>2931</v>
      </c>
      <c r="B983" s="7">
        <v>0.6</v>
      </c>
      <c r="C983" s="7">
        <v>0.6</v>
      </c>
      <c r="D983" s="7">
        <v>0.6</v>
      </c>
      <c r="E983" s="7">
        <v>0.6</v>
      </c>
      <c r="F983" s="7">
        <v>0.6</v>
      </c>
      <c r="G983" s="7">
        <v>0.6</v>
      </c>
      <c r="H983" s="7">
        <v>0.6</v>
      </c>
      <c r="I983" s="7">
        <v>0.6</v>
      </c>
      <c r="J983" s="7">
        <v>0.6</v>
      </c>
      <c r="K983" s="7">
        <v>0.6</v>
      </c>
      <c r="L983" s="7">
        <v>0.6</v>
      </c>
      <c r="M983" s="7">
        <v>0.6</v>
      </c>
      <c r="N983" s="7">
        <v>0.6</v>
      </c>
      <c r="O983" s="7">
        <v>0.6</v>
      </c>
      <c r="P983" s="7">
        <v>0.6</v>
      </c>
      <c r="Q983" s="7">
        <v>0.6</v>
      </c>
    </row>
    <row r="984" spans="1:17">
      <c r="A984" s="2">
        <v>2932</v>
      </c>
      <c r="B984" s="7">
        <v>0.6</v>
      </c>
      <c r="C984" s="7">
        <v>0.6</v>
      </c>
      <c r="D984" s="7">
        <v>0.6</v>
      </c>
      <c r="E984" s="7">
        <v>0.6</v>
      </c>
      <c r="F984" s="7">
        <v>0.6</v>
      </c>
      <c r="G984" s="7">
        <v>0.6</v>
      </c>
      <c r="H984" s="7">
        <v>0.6</v>
      </c>
      <c r="I984" s="7">
        <v>0.6</v>
      </c>
      <c r="J984" s="7">
        <v>0.6</v>
      </c>
      <c r="K984" s="7">
        <v>0.6</v>
      </c>
      <c r="L984" s="7">
        <v>0.6</v>
      </c>
      <c r="M984" s="7">
        <v>0.6</v>
      </c>
      <c r="N984" s="7">
        <v>0.6</v>
      </c>
      <c r="O984" s="7">
        <v>0.6</v>
      </c>
      <c r="P984" s="7">
        <v>0.6</v>
      </c>
      <c r="Q984" s="7">
        <v>0.6</v>
      </c>
    </row>
    <row r="985" spans="1:17">
      <c r="A985" s="2">
        <v>2933</v>
      </c>
      <c r="B985" s="7">
        <v>0.6</v>
      </c>
      <c r="C985" s="7">
        <v>0.6</v>
      </c>
      <c r="D985" s="7">
        <v>0.6</v>
      </c>
      <c r="E985" s="7">
        <v>0.6</v>
      </c>
      <c r="F985" s="7">
        <v>0.6</v>
      </c>
      <c r="G985" s="7">
        <v>0.6</v>
      </c>
      <c r="H985" s="7">
        <v>0.6</v>
      </c>
      <c r="I985" s="7">
        <v>0.6</v>
      </c>
      <c r="J985" s="7">
        <v>0.6</v>
      </c>
      <c r="K985" s="7">
        <v>0.6</v>
      </c>
      <c r="L985" s="7">
        <v>0.6</v>
      </c>
      <c r="M985" s="7">
        <v>0.6</v>
      </c>
      <c r="N985" s="7">
        <v>0.6</v>
      </c>
      <c r="O985" s="7">
        <v>0.6</v>
      </c>
      <c r="P985" s="7">
        <v>0.6</v>
      </c>
      <c r="Q985" s="7">
        <v>0.6</v>
      </c>
    </row>
    <row r="986" spans="1:17">
      <c r="A986" s="2">
        <v>2934</v>
      </c>
      <c r="B986" s="7">
        <v>0.6</v>
      </c>
      <c r="C986" s="7">
        <v>0.6</v>
      </c>
      <c r="D986" s="7">
        <v>0.6</v>
      </c>
      <c r="E986" s="7">
        <v>0.6</v>
      </c>
      <c r="F986" s="7">
        <v>0.6</v>
      </c>
      <c r="G986" s="7">
        <v>0.6</v>
      </c>
      <c r="H986" s="7">
        <v>0.6</v>
      </c>
      <c r="I986" s="7">
        <v>0.6</v>
      </c>
      <c r="J986" s="7">
        <v>0.6</v>
      </c>
      <c r="K986" s="7">
        <v>0.6</v>
      </c>
      <c r="L986" s="7">
        <v>0.6</v>
      </c>
      <c r="M986" s="7">
        <v>0.6</v>
      </c>
      <c r="N986" s="7">
        <v>0.6</v>
      </c>
      <c r="O986" s="7">
        <v>0.6</v>
      </c>
      <c r="P986" s="7">
        <v>0.6</v>
      </c>
      <c r="Q986" s="7">
        <v>0.6</v>
      </c>
    </row>
    <row r="987" spans="1:17">
      <c r="A987" s="2">
        <v>2935</v>
      </c>
      <c r="B987" s="7">
        <v>0.6</v>
      </c>
      <c r="C987" s="7">
        <v>0.6</v>
      </c>
      <c r="D987" s="7">
        <v>0.6</v>
      </c>
      <c r="E987" s="7">
        <v>0.6</v>
      </c>
      <c r="F987" s="7">
        <v>0.6</v>
      </c>
      <c r="G987" s="7">
        <v>0.6</v>
      </c>
      <c r="H987" s="7">
        <v>0.6</v>
      </c>
      <c r="I987" s="7">
        <v>0.6</v>
      </c>
      <c r="J987" s="7">
        <v>0.6</v>
      </c>
      <c r="K987" s="7">
        <v>0.6</v>
      </c>
      <c r="L987" s="7">
        <v>0.6</v>
      </c>
      <c r="M987" s="7">
        <v>0.6</v>
      </c>
      <c r="N987" s="7">
        <v>0.6</v>
      </c>
      <c r="O987" s="7">
        <v>0.6</v>
      </c>
      <c r="P987" s="7">
        <v>0.6</v>
      </c>
      <c r="Q987" s="7">
        <v>0.6</v>
      </c>
    </row>
    <row r="988" spans="1:17">
      <c r="A988" s="2">
        <v>2936</v>
      </c>
      <c r="B988" s="7">
        <v>0.6</v>
      </c>
      <c r="C988" s="7">
        <v>0.6</v>
      </c>
      <c r="D988" s="7">
        <v>0.6</v>
      </c>
      <c r="E988" s="7">
        <v>0.6</v>
      </c>
      <c r="F988" s="7">
        <v>0.6</v>
      </c>
      <c r="G988" s="7">
        <v>0.6</v>
      </c>
      <c r="H988" s="7">
        <v>0.6</v>
      </c>
      <c r="I988" s="7">
        <v>0.6</v>
      </c>
      <c r="J988" s="7">
        <v>0.6</v>
      </c>
      <c r="K988" s="7">
        <v>0.6</v>
      </c>
      <c r="L988" s="7">
        <v>0.6</v>
      </c>
      <c r="M988" s="7">
        <v>0.6</v>
      </c>
      <c r="N988" s="7">
        <v>0.6</v>
      </c>
      <c r="O988" s="7">
        <v>0.6</v>
      </c>
      <c r="P988" s="7">
        <v>0.6</v>
      </c>
      <c r="Q988" s="7">
        <v>0.6</v>
      </c>
    </row>
    <row r="989" spans="1:17">
      <c r="A989" s="2">
        <v>2937</v>
      </c>
      <c r="B989" s="7">
        <v>0.6</v>
      </c>
      <c r="C989" s="7">
        <v>0.6</v>
      </c>
      <c r="D989" s="7">
        <v>0.6</v>
      </c>
      <c r="E989" s="7">
        <v>0.6</v>
      </c>
      <c r="F989" s="7">
        <v>0.6</v>
      </c>
      <c r="G989" s="7">
        <v>0.6</v>
      </c>
      <c r="H989" s="7">
        <v>0.6</v>
      </c>
      <c r="I989" s="7">
        <v>0.6</v>
      </c>
      <c r="J989" s="7">
        <v>0.6</v>
      </c>
      <c r="K989" s="7">
        <v>0.6</v>
      </c>
      <c r="L989" s="7">
        <v>0.6</v>
      </c>
      <c r="M989" s="7">
        <v>0.6</v>
      </c>
      <c r="N989" s="7">
        <v>0.6</v>
      </c>
      <c r="O989" s="7">
        <v>0.6</v>
      </c>
      <c r="P989" s="7">
        <v>0.6</v>
      </c>
      <c r="Q989" s="7">
        <v>0.6</v>
      </c>
    </row>
    <row r="990" spans="1:17">
      <c r="A990" s="2">
        <v>2938</v>
      </c>
      <c r="B990" s="7">
        <v>0.6</v>
      </c>
      <c r="C990" s="7">
        <v>0.6</v>
      </c>
      <c r="D990" s="7">
        <v>0.6</v>
      </c>
      <c r="E990" s="7">
        <v>0.6</v>
      </c>
      <c r="F990" s="7">
        <v>0.6</v>
      </c>
      <c r="G990" s="7">
        <v>0.6</v>
      </c>
      <c r="H990" s="7">
        <v>0.6</v>
      </c>
      <c r="I990" s="7">
        <v>0.6</v>
      </c>
      <c r="J990" s="7">
        <v>0.6</v>
      </c>
      <c r="K990" s="7">
        <v>0.6</v>
      </c>
      <c r="L990" s="7">
        <v>0.6</v>
      </c>
      <c r="M990" s="7">
        <v>0.6</v>
      </c>
      <c r="N990" s="7">
        <v>0.6</v>
      </c>
      <c r="O990" s="7">
        <v>0.6</v>
      </c>
      <c r="P990" s="7">
        <v>0.6</v>
      </c>
      <c r="Q990" s="7">
        <v>0.6</v>
      </c>
    </row>
    <row r="991" spans="1:17">
      <c r="A991" s="2">
        <v>2939</v>
      </c>
      <c r="B991" s="7">
        <v>0.6</v>
      </c>
      <c r="C991" s="7">
        <v>0.6</v>
      </c>
      <c r="D991" s="7">
        <v>0.6</v>
      </c>
      <c r="E991" s="7">
        <v>0.6</v>
      </c>
      <c r="F991" s="7">
        <v>0.6</v>
      </c>
      <c r="G991" s="7">
        <v>0.6</v>
      </c>
      <c r="H991" s="7">
        <v>0.6</v>
      </c>
      <c r="I991" s="7">
        <v>0.6</v>
      </c>
      <c r="J991" s="7">
        <v>0.6</v>
      </c>
      <c r="K991" s="7">
        <v>0.6</v>
      </c>
      <c r="L991" s="7">
        <v>0.6</v>
      </c>
      <c r="M991" s="7">
        <v>0.6</v>
      </c>
      <c r="N991" s="7">
        <v>0.6</v>
      </c>
      <c r="O991" s="7">
        <v>0.6</v>
      </c>
      <c r="P991" s="7">
        <v>0.6</v>
      </c>
      <c r="Q991" s="7">
        <v>0.6</v>
      </c>
    </row>
    <row r="992" spans="1:17">
      <c r="A992" s="2">
        <v>2940</v>
      </c>
      <c r="B992" s="7">
        <v>0.6</v>
      </c>
      <c r="C992" s="7">
        <v>0.6</v>
      </c>
      <c r="D992" s="7">
        <v>0.6</v>
      </c>
      <c r="E992" s="7">
        <v>0.6</v>
      </c>
      <c r="F992" s="7">
        <v>0.6</v>
      </c>
      <c r="G992" s="7">
        <v>0.6</v>
      </c>
      <c r="H992" s="7">
        <v>0.6</v>
      </c>
      <c r="I992" s="7">
        <v>0.6</v>
      </c>
      <c r="J992" s="7">
        <v>0.6</v>
      </c>
      <c r="K992" s="7">
        <v>0.6</v>
      </c>
      <c r="L992" s="7">
        <v>0.6</v>
      </c>
      <c r="M992" s="7">
        <v>0.6</v>
      </c>
      <c r="N992" s="7">
        <v>0.6</v>
      </c>
      <c r="O992" s="7">
        <v>0.6</v>
      </c>
      <c r="P992" s="7">
        <v>0.6</v>
      </c>
      <c r="Q992" s="7">
        <v>0.6</v>
      </c>
    </row>
    <row r="993" spans="1:17">
      <c r="A993" s="2">
        <v>2941</v>
      </c>
      <c r="B993" s="7">
        <v>0.6</v>
      </c>
      <c r="C993" s="7">
        <v>0.6</v>
      </c>
      <c r="D993" s="7">
        <v>0.6</v>
      </c>
      <c r="E993" s="7">
        <v>0.6</v>
      </c>
      <c r="F993" s="7">
        <v>0.6</v>
      </c>
      <c r="G993" s="7">
        <v>0.6</v>
      </c>
      <c r="H993" s="7">
        <v>0.6</v>
      </c>
      <c r="I993" s="7">
        <v>0.6</v>
      </c>
      <c r="J993" s="7">
        <v>0.6</v>
      </c>
      <c r="K993" s="7">
        <v>0.6</v>
      </c>
      <c r="L993" s="7">
        <v>0.6</v>
      </c>
      <c r="M993" s="7">
        <v>0.6</v>
      </c>
      <c r="N993" s="7">
        <v>0.6</v>
      </c>
      <c r="O993" s="7">
        <v>0.6</v>
      </c>
      <c r="P993" s="7">
        <v>0.6</v>
      </c>
      <c r="Q993" s="7">
        <v>0.6</v>
      </c>
    </row>
    <row r="994" spans="1:17">
      <c r="A994" s="2">
        <v>2942</v>
      </c>
      <c r="B994" s="7">
        <v>0.6</v>
      </c>
      <c r="C994" s="7">
        <v>0.6</v>
      </c>
      <c r="D994" s="7">
        <v>0.6</v>
      </c>
      <c r="E994" s="7">
        <v>0.6</v>
      </c>
      <c r="F994" s="7">
        <v>0.6</v>
      </c>
      <c r="G994" s="7">
        <v>0.6</v>
      </c>
      <c r="H994" s="7">
        <v>0.6</v>
      </c>
      <c r="I994" s="7">
        <v>0.6</v>
      </c>
      <c r="J994" s="7">
        <v>0.6</v>
      </c>
      <c r="K994" s="7">
        <v>0.6</v>
      </c>
      <c r="L994" s="7">
        <v>0.6</v>
      </c>
      <c r="M994" s="7">
        <v>0.6</v>
      </c>
      <c r="N994" s="7">
        <v>0.6</v>
      </c>
      <c r="O994" s="7">
        <v>0.6</v>
      </c>
      <c r="P994" s="7">
        <v>0.6</v>
      </c>
      <c r="Q994" s="7">
        <v>0.6</v>
      </c>
    </row>
    <row r="995" spans="1:17">
      <c r="A995" s="2">
        <v>2943</v>
      </c>
      <c r="B995" s="7">
        <v>0.6</v>
      </c>
      <c r="C995" s="7">
        <v>0.6</v>
      </c>
      <c r="D995" s="7">
        <v>0.6</v>
      </c>
      <c r="E995" s="7">
        <v>0.6</v>
      </c>
      <c r="F995" s="7">
        <v>0.6</v>
      </c>
      <c r="G995" s="7">
        <v>0.6</v>
      </c>
      <c r="H995" s="7">
        <v>0.6</v>
      </c>
      <c r="I995" s="7">
        <v>0.6</v>
      </c>
      <c r="J995" s="7">
        <v>0.6</v>
      </c>
      <c r="K995" s="7">
        <v>0.6</v>
      </c>
      <c r="L995" s="7">
        <v>0.6</v>
      </c>
      <c r="M995" s="7">
        <v>0.6</v>
      </c>
      <c r="N995" s="7">
        <v>0.6</v>
      </c>
      <c r="O995" s="7">
        <v>0.6</v>
      </c>
      <c r="P995" s="7">
        <v>0.6</v>
      </c>
      <c r="Q995" s="7">
        <v>0.6</v>
      </c>
    </row>
    <row r="996" spans="1:17">
      <c r="A996" s="2">
        <v>2944</v>
      </c>
      <c r="B996" s="7">
        <v>0.6</v>
      </c>
      <c r="C996" s="7">
        <v>0.6</v>
      </c>
      <c r="D996" s="7">
        <v>0.6</v>
      </c>
      <c r="E996" s="7">
        <v>0.6</v>
      </c>
      <c r="F996" s="7">
        <v>0.6</v>
      </c>
      <c r="G996" s="7">
        <v>0.6</v>
      </c>
      <c r="H996" s="7">
        <v>0.6</v>
      </c>
      <c r="I996" s="7">
        <v>0.6</v>
      </c>
      <c r="J996" s="7">
        <v>0.6</v>
      </c>
      <c r="K996" s="7">
        <v>0.6</v>
      </c>
      <c r="L996" s="7">
        <v>0.6</v>
      </c>
      <c r="M996" s="7">
        <v>0.6</v>
      </c>
      <c r="N996" s="7">
        <v>0.6</v>
      </c>
      <c r="O996" s="7">
        <v>0.6</v>
      </c>
      <c r="P996" s="7">
        <v>0.6</v>
      </c>
      <c r="Q996" s="7">
        <v>0.6</v>
      </c>
    </row>
    <row r="997" spans="1:17">
      <c r="A997" s="2">
        <v>2945</v>
      </c>
      <c r="B997" s="7">
        <v>0.6</v>
      </c>
      <c r="C997" s="7">
        <v>0.6</v>
      </c>
      <c r="D997" s="7">
        <v>0.6</v>
      </c>
      <c r="E997" s="7">
        <v>0.6</v>
      </c>
      <c r="F997" s="7">
        <v>0.6</v>
      </c>
      <c r="G997" s="7">
        <v>0.6</v>
      </c>
      <c r="H997" s="7">
        <v>0.6</v>
      </c>
      <c r="I997" s="7">
        <v>0.6</v>
      </c>
      <c r="J997" s="7">
        <v>0.6</v>
      </c>
      <c r="K997" s="7">
        <v>0.6</v>
      </c>
      <c r="L997" s="7">
        <v>0.6</v>
      </c>
      <c r="M997" s="7">
        <v>0.6</v>
      </c>
      <c r="N997" s="7">
        <v>0.6</v>
      </c>
      <c r="O997" s="7">
        <v>0.6</v>
      </c>
      <c r="P997" s="7">
        <v>0.6</v>
      </c>
      <c r="Q997" s="7">
        <v>0.6</v>
      </c>
    </row>
    <row r="998" spans="1:17">
      <c r="A998" s="2">
        <v>2946</v>
      </c>
      <c r="B998" s="7">
        <v>0.6</v>
      </c>
      <c r="C998" s="7">
        <v>0.6</v>
      </c>
      <c r="D998" s="7">
        <v>0.6</v>
      </c>
      <c r="E998" s="7">
        <v>0.6</v>
      </c>
      <c r="F998" s="7">
        <v>0.6</v>
      </c>
      <c r="G998" s="7">
        <v>0.6</v>
      </c>
      <c r="H998" s="7">
        <v>0.6</v>
      </c>
      <c r="I998" s="7">
        <v>0.6</v>
      </c>
      <c r="J998" s="7">
        <v>0.6</v>
      </c>
      <c r="K998" s="7">
        <v>0.6</v>
      </c>
      <c r="L998" s="7">
        <v>0.6</v>
      </c>
      <c r="M998" s="7">
        <v>0.6</v>
      </c>
      <c r="N998" s="7">
        <v>0.6</v>
      </c>
      <c r="O998" s="7">
        <v>0.6</v>
      </c>
      <c r="P998" s="7">
        <v>0.6</v>
      </c>
      <c r="Q998" s="7">
        <v>0.6</v>
      </c>
    </row>
    <row r="999" spans="1:17">
      <c r="A999" s="2">
        <v>2947</v>
      </c>
      <c r="B999" s="7">
        <v>0.6</v>
      </c>
      <c r="C999" s="7">
        <v>0.6</v>
      </c>
      <c r="D999" s="7">
        <v>0.6</v>
      </c>
      <c r="E999" s="7">
        <v>0.6</v>
      </c>
      <c r="F999" s="7">
        <v>0.6</v>
      </c>
      <c r="G999" s="7">
        <v>0.6</v>
      </c>
      <c r="H999" s="7">
        <v>0.6</v>
      </c>
      <c r="I999" s="7">
        <v>0.6</v>
      </c>
      <c r="J999" s="7">
        <v>0.6</v>
      </c>
      <c r="K999" s="7">
        <v>0.6</v>
      </c>
      <c r="L999" s="7">
        <v>0.6</v>
      </c>
      <c r="M999" s="7">
        <v>0.6</v>
      </c>
      <c r="N999" s="7">
        <v>0.6</v>
      </c>
      <c r="O999" s="7">
        <v>0.6</v>
      </c>
      <c r="P999" s="7">
        <v>0.6</v>
      </c>
      <c r="Q999" s="7">
        <v>0.6</v>
      </c>
    </row>
    <row r="1000" spans="1:17">
      <c r="A1000" s="2">
        <v>2948</v>
      </c>
      <c r="B1000" s="7">
        <v>0.6</v>
      </c>
      <c r="C1000" s="7">
        <v>0.6</v>
      </c>
      <c r="D1000" s="7">
        <v>0.6</v>
      </c>
      <c r="E1000" s="7">
        <v>0.6</v>
      </c>
      <c r="F1000" s="7">
        <v>0.6</v>
      </c>
      <c r="G1000" s="7">
        <v>0.6</v>
      </c>
      <c r="H1000" s="7">
        <v>0.6</v>
      </c>
      <c r="I1000" s="7">
        <v>0.6</v>
      </c>
      <c r="J1000" s="7">
        <v>0.6</v>
      </c>
      <c r="K1000" s="7">
        <v>0.6</v>
      </c>
      <c r="L1000" s="7">
        <v>0.6</v>
      </c>
      <c r="M1000" s="7">
        <v>0.6</v>
      </c>
      <c r="N1000" s="7">
        <v>0.6</v>
      </c>
      <c r="O1000" s="7">
        <v>0.6</v>
      </c>
      <c r="P1000" s="7">
        <v>0.6</v>
      </c>
      <c r="Q1000" s="7">
        <v>0.6</v>
      </c>
    </row>
    <row r="1001" spans="1:17">
      <c r="A1001" s="2">
        <v>2949</v>
      </c>
      <c r="B1001" s="7">
        <v>0.6</v>
      </c>
      <c r="C1001" s="7">
        <v>0.6</v>
      </c>
      <c r="D1001" s="7">
        <v>0.6</v>
      </c>
      <c r="E1001" s="7">
        <v>0.6</v>
      </c>
      <c r="F1001" s="7">
        <v>0.6</v>
      </c>
      <c r="G1001" s="7">
        <v>0.6</v>
      </c>
      <c r="H1001" s="7">
        <v>0.6</v>
      </c>
      <c r="I1001" s="7">
        <v>0.6</v>
      </c>
      <c r="J1001" s="7">
        <v>0.6</v>
      </c>
      <c r="K1001" s="7">
        <v>0.6</v>
      </c>
      <c r="L1001" s="7">
        <v>0.6</v>
      </c>
      <c r="M1001" s="7">
        <v>0.6</v>
      </c>
      <c r="N1001" s="7">
        <v>0.6</v>
      </c>
      <c r="O1001" s="7">
        <v>0.6</v>
      </c>
      <c r="P1001" s="7">
        <v>0.6</v>
      </c>
      <c r="Q1001" s="7">
        <v>0.6</v>
      </c>
    </row>
    <row r="1002" spans="1:17">
      <c r="A1002" s="2">
        <v>2950</v>
      </c>
      <c r="B1002" s="7">
        <v>0.6</v>
      </c>
      <c r="C1002" s="7">
        <v>0.6</v>
      </c>
      <c r="D1002" s="7">
        <v>0.6</v>
      </c>
      <c r="E1002" s="7">
        <v>0.6</v>
      </c>
      <c r="F1002" s="7">
        <v>0.6</v>
      </c>
      <c r="G1002" s="7">
        <v>0.6</v>
      </c>
      <c r="H1002" s="7">
        <v>0.6</v>
      </c>
      <c r="I1002" s="7">
        <v>0.6</v>
      </c>
      <c r="J1002" s="7">
        <v>0.6</v>
      </c>
      <c r="K1002" s="7">
        <v>0.6</v>
      </c>
      <c r="L1002" s="7">
        <v>0.6</v>
      </c>
      <c r="M1002" s="7">
        <v>0.6</v>
      </c>
      <c r="N1002" s="7">
        <v>0.6</v>
      </c>
      <c r="O1002" s="7">
        <v>0.6</v>
      </c>
      <c r="P1002" s="7">
        <v>0.6</v>
      </c>
      <c r="Q1002" s="7">
        <v>0.6</v>
      </c>
    </row>
    <row r="1003" spans="1:17">
      <c r="A1003" s="2">
        <v>2951</v>
      </c>
      <c r="B1003" s="7">
        <v>0.6</v>
      </c>
      <c r="C1003" s="7">
        <v>0.6</v>
      </c>
      <c r="D1003" s="7">
        <v>0.6</v>
      </c>
      <c r="E1003" s="7">
        <v>0.6</v>
      </c>
      <c r="F1003" s="7">
        <v>0.6</v>
      </c>
      <c r="G1003" s="7">
        <v>0.6</v>
      </c>
      <c r="H1003" s="7">
        <v>0.6</v>
      </c>
      <c r="I1003" s="7">
        <v>0.6</v>
      </c>
      <c r="J1003" s="7">
        <v>0.6</v>
      </c>
      <c r="K1003" s="7">
        <v>0.6</v>
      </c>
      <c r="L1003" s="7">
        <v>0.6</v>
      </c>
      <c r="M1003" s="7">
        <v>0.6</v>
      </c>
      <c r="N1003" s="7">
        <v>0.6</v>
      </c>
      <c r="O1003" s="7">
        <v>0.6</v>
      </c>
      <c r="P1003" s="7">
        <v>0.6</v>
      </c>
      <c r="Q1003" s="7">
        <v>0.6</v>
      </c>
    </row>
    <row r="1004" spans="1:17">
      <c r="A1004" s="2">
        <v>2952</v>
      </c>
      <c r="B1004" s="7">
        <v>0.6</v>
      </c>
      <c r="C1004" s="7">
        <v>0.6</v>
      </c>
      <c r="D1004" s="7">
        <v>0.6</v>
      </c>
      <c r="E1004" s="7">
        <v>0.6</v>
      </c>
      <c r="F1004" s="7">
        <v>0.6</v>
      </c>
      <c r="G1004" s="7">
        <v>0.6</v>
      </c>
      <c r="H1004" s="7">
        <v>0.6</v>
      </c>
      <c r="I1004" s="7">
        <v>0.6</v>
      </c>
      <c r="J1004" s="7">
        <v>0.6</v>
      </c>
      <c r="K1004" s="7">
        <v>0.6</v>
      </c>
      <c r="L1004" s="7">
        <v>0.6</v>
      </c>
      <c r="M1004" s="7">
        <v>0.6</v>
      </c>
      <c r="N1004" s="7">
        <v>0.6</v>
      </c>
      <c r="O1004" s="7">
        <v>0.6</v>
      </c>
      <c r="P1004" s="7">
        <v>0.6</v>
      </c>
      <c r="Q1004" s="7">
        <v>0.6</v>
      </c>
    </row>
    <row r="1005" spans="1:17">
      <c r="A1005" s="2">
        <v>2953</v>
      </c>
      <c r="B1005" s="7">
        <v>0.6</v>
      </c>
      <c r="C1005" s="7">
        <v>0.6</v>
      </c>
      <c r="D1005" s="7">
        <v>0.6</v>
      </c>
      <c r="E1005" s="7">
        <v>0.6</v>
      </c>
      <c r="F1005" s="7">
        <v>0.6</v>
      </c>
      <c r="G1005" s="7">
        <v>0.6</v>
      </c>
      <c r="H1005" s="7">
        <v>0.6</v>
      </c>
      <c r="I1005" s="7">
        <v>0.6</v>
      </c>
      <c r="J1005" s="7">
        <v>0.6</v>
      </c>
      <c r="K1005" s="7">
        <v>0.6</v>
      </c>
      <c r="L1005" s="7">
        <v>0.6</v>
      </c>
      <c r="M1005" s="7">
        <v>0.6</v>
      </c>
      <c r="N1005" s="7">
        <v>0.6</v>
      </c>
      <c r="O1005" s="7">
        <v>0.6</v>
      </c>
      <c r="P1005" s="7">
        <v>0.6</v>
      </c>
      <c r="Q1005" s="7">
        <v>0.6</v>
      </c>
    </row>
    <row r="1006" spans="1:17">
      <c r="A1006" s="2">
        <v>2954</v>
      </c>
      <c r="B1006" s="7">
        <v>0.6</v>
      </c>
      <c r="C1006" s="7">
        <v>0.6</v>
      </c>
      <c r="D1006" s="7">
        <v>0.6</v>
      </c>
      <c r="E1006" s="7">
        <v>0.6</v>
      </c>
      <c r="F1006" s="7">
        <v>0.6</v>
      </c>
      <c r="G1006" s="7">
        <v>0.6</v>
      </c>
      <c r="H1006" s="7">
        <v>0.6</v>
      </c>
      <c r="I1006" s="7">
        <v>0.6</v>
      </c>
      <c r="J1006" s="7">
        <v>0.6</v>
      </c>
      <c r="K1006" s="7">
        <v>0.6</v>
      </c>
      <c r="L1006" s="7">
        <v>0.6</v>
      </c>
      <c r="M1006" s="7">
        <v>0.6</v>
      </c>
      <c r="N1006" s="7">
        <v>0.6</v>
      </c>
      <c r="O1006" s="7">
        <v>0.6</v>
      </c>
      <c r="P1006" s="7">
        <v>0.6</v>
      </c>
      <c r="Q1006" s="7">
        <v>0.6</v>
      </c>
    </row>
    <row r="1007" spans="1:17">
      <c r="A1007" s="2">
        <v>2955</v>
      </c>
      <c r="B1007" s="7">
        <v>0.6</v>
      </c>
      <c r="C1007" s="7">
        <v>0.6</v>
      </c>
      <c r="D1007" s="7">
        <v>0.6</v>
      </c>
      <c r="E1007" s="7">
        <v>0.6</v>
      </c>
      <c r="F1007" s="7">
        <v>0.6</v>
      </c>
      <c r="G1007" s="7">
        <v>0.6</v>
      </c>
      <c r="H1007" s="7">
        <v>0.6</v>
      </c>
      <c r="I1007" s="7">
        <v>0.6</v>
      </c>
      <c r="J1007" s="7">
        <v>0.6</v>
      </c>
      <c r="K1007" s="7">
        <v>0.6</v>
      </c>
      <c r="L1007" s="7">
        <v>0.6</v>
      </c>
      <c r="M1007" s="7">
        <v>0.6</v>
      </c>
      <c r="N1007" s="7">
        <v>0.6</v>
      </c>
      <c r="O1007" s="7">
        <v>0.6</v>
      </c>
      <c r="P1007" s="7">
        <v>0.6</v>
      </c>
      <c r="Q1007" s="7">
        <v>0.6</v>
      </c>
    </row>
    <row r="1008" spans="1:17">
      <c r="A1008" s="2">
        <v>2956</v>
      </c>
      <c r="B1008" s="7">
        <v>0.6</v>
      </c>
      <c r="C1008" s="7">
        <v>0.6</v>
      </c>
      <c r="D1008" s="7">
        <v>0.6</v>
      </c>
      <c r="E1008" s="7">
        <v>0.6</v>
      </c>
      <c r="F1008" s="7">
        <v>0.6</v>
      </c>
      <c r="G1008" s="7">
        <v>0.6</v>
      </c>
      <c r="H1008" s="7">
        <v>0.6</v>
      </c>
      <c r="I1008" s="7">
        <v>0.6</v>
      </c>
      <c r="J1008" s="7">
        <v>0.6</v>
      </c>
      <c r="K1008" s="7">
        <v>0.6</v>
      </c>
      <c r="L1008" s="7">
        <v>0.6</v>
      </c>
      <c r="M1008" s="7">
        <v>0.6</v>
      </c>
      <c r="N1008" s="7">
        <v>0.6</v>
      </c>
      <c r="O1008" s="7">
        <v>0.6</v>
      </c>
      <c r="P1008" s="7">
        <v>0.6</v>
      </c>
      <c r="Q1008" s="7">
        <v>0.6</v>
      </c>
    </row>
    <row r="1009" spans="1:17">
      <c r="A1009" s="2">
        <v>2957</v>
      </c>
      <c r="B1009" s="7">
        <v>0.6</v>
      </c>
      <c r="C1009" s="7">
        <v>0.6</v>
      </c>
      <c r="D1009" s="7">
        <v>0.6</v>
      </c>
      <c r="E1009" s="7">
        <v>0.6</v>
      </c>
      <c r="F1009" s="7">
        <v>0.6</v>
      </c>
      <c r="G1009" s="7">
        <v>0.6</v>
      </c>
      <c r="H1009" s="7">
        <v>0.6</v>
      </c>
      <c r="I1009" s="7">
        <v>0.6</v>
      </c>
      <c r="J1009" s="7">
        <v>0.6</v>
      </c>
      <c r="K1009" s="7">
        <v>0.6</v>
      </c>
      <c r="L1009" s="7">
        <v>0.6</v>
      </c>
      <c r="M1009" s="7">
        <v>0.6</v>
      </c>
      <c r="N1009" s="7">
        <v>0.6</v>
      </c>
      <c r="O1009" s="7">
        <v>0.6</v>
      </c>
      <c r="P1009" s="7">
        <v>0.6</v>
      </c>
      <c r="Q1009" s="7">
        <v>0.6</v>
      </c>
    </row>
    <row r="1010" spans="1:17">
      <c r="A1010" s="2">
        <v>2958</v>
      </c>
      <c r="B1010" s="7">
        <v>0.6</v>
      </c>
      <c r="C1010" s="7">
        <v>0.6</v>
      </c>
      <c r="D1010" s="7">
        <v>0.6</v>
      </c>
      <c r="E1010" s="7">
        <v>0.6</v>
      </c>
      <c r="F1010" s="7">
        <v>0.6</v>
      </c>
      <c r="G1010" s="7">
        <v>0.6</v>
      </c>
      <c r="H1010" s="7">
        <v>0.6</v>
      </c>
      <c r="I1010" s="7">
        <v>0.6</v>
      </c>
      <c r="J1010" s="7">
        <v>0.6</v>
      </c>
      <c r="K1010" s="7">
        <v>0.6</v>
      </c>
      <c r="L1010" s="7">
        <v>0.6</v>
      </c>
      <c r="M1010" s="7">
        <v>0.6</v>
      </c>
      <c r="N1010" s="7">
        <v>0.6</v>
      </c>
      <c r="O1010" s="7">
        <v>0.6</v>
      </c>
      <c r="P1010" s="7">
        <v>0.6</v>
      </c>
      <c r="Q1010" s="7">
        <v>0.6</v>
      </c>
    </row>
    <row r="1011" spans="1:17">
      <c r="A1011" s="2">
        <v>2959</v>
      </c>
      <c r="B1011" s="7">
        <v>0.6</v>
      </c>
      <c r="C1011" s="7">
        <v>0.6</v>
      </c>
      <c r="D1011" s="7">
        <v>0.6</v>
      </c>
      <c r="E1011" s="7">
        <v>0.6</v>
      </c>
      <c r="F1011" s="7">
        <v>0.6</v>
      </c>
      <c r="G1011" s="7">
        <v>0.6</v>
      </c>
      <c r="H1011" s="7">
        <v>0.6</v>
      </c>
      <c r="I1011" s="7">
        <v>0.6</v>
      </c>
      <c r="J1011" s="7">
        <v>0.6</v>
      </c>
      <c r="K1011" s="7">
        <v>0.6</v>
      </c>
      <c r="L1011" s="7">
        <v>0.6</v>
      </c>
      <c r="M1011" s="7">
        <v>0.6</v>
      </c>
      <c r="N1011" s="7">
        <v>0.6</v>
      </c>
      <c r="O1011" s="7">
        <v>0.6</v>
      </c>
      <c r="P1011" s="7">
        <v>0.6</v>
      </c>
      <c r="Q1011" s="7">
        <v>0.6</v>
      </c>
    </row>
    <row r="1012" spans="1:17">
      <c r="A1012" s="2">
        <v>2960</v>
      </c>
      <c r="B1012" s="7">
        <v>0.6</v>
      </c>
      <c r="C1012" s="7">
        <v>0.6</v>
      </c>
      <c r="D1012" s="7">
        <v>0.6</v>
      </c>
      <c r="E1012" s="7">
        <v>0.6</v>
      </c>
      <c r="F1012" s="7">
        <v>0.6</v>
      </c>
      <c r="G1012" s="7">
        <v>0.6</v>
      </c>
      <c r="H1012" s="7">
        <v>0.6</v>
      </c>
      <c r="I1012" s="7">
        <v>0.6</v>
      </c>
      <c r="J1012" s="7">
        <v>0.6</v>
      </c>
      <c r="K1012" s="7">
        <v>0.6</v>
      </c>
      <c r="L1012" s="7">
        <v>0.6</v>
      </c>
      <c r="M1012" s="7">
        <v>0.6</v>
      </c>
      <c r="N1012" s="7">
        <v>0.6</v>
      </c>
      <c r="O1012" s="7">
        <v>0.6</v>
      </c>
      <c r="P1012" s="7">
        <v>0.6</v>
      </c>
      <c r="Q1012" s="7">
        <v>0.6</v>
      </c>
    </row>
    <row r="1013" spans="1:17">
      <c r="A1013" s="2">
        <v>2961</v>
      </c>
      <c r="B1013" s="7">
        <v>0.6</v>
      </c>
      <c r="C1013" s="7">
        <v>0.6</v>
      </c>
      <c r="D1013" s="7">
        <v>0.6</v>
      </c>
      <c r="E1013" s="7">
        <v>0.6</v>
      </c>
      <c r="F1013" s="7">
        <v>0.6</v>
      </c>
      <c r="G1013" s="7">
        <v>0.6</v>
      </c>
      <c r="H1013" s="7">
        <v>0.6</v>
      </c>
      <c r="I1013" s="7">
        <v>0.6</v>
      </c>
      <c r="J1013" s="7">
        <v>0.6</v>
      </c>
      <c r="K1013" s="7">
        <v>0.6</v>
      </c>
      <c r="L1013" s="7">
        <v>0.6</v>
      </c>
      <c r="M1013" s="7">
        <v>0.6</v>
      </c>
      <c r="N1013" s="7">
        <v>0.6</v>
      </c>
      <c r="O1013" s="7">
        <v>0.6</v>
      </c>
      <c r="P1013" s="7">
        <v>0.6</v>
      </c>
      <c r="Q1013" s="7">
        <v>0.6</v>
      </c>
    </row>
    <row r="1014" spans="1:17">
      <c r="A1014" s="2">
        <v>2962</v>
      </c>
      <c r="B1014" s="7">
        <v>0.6</v>
      </c>
      <c r="C1014" s="7">
        <v>0.6</v>
      </c>
      <c r="D1014" s="7">
        <v>0.6</v>
      </c>
      <c r="E1014" s="7">
        <v>0.6</v>
      </c>
      <c r="F1014" s="7">
        <v>0.6</v>
      </c>
      <c r="G1014" s="7">
        <v>0.6</v>
      </c>
      <c r="H1014" s="7">
        <v>0.6</v>
      </c>
      <c r="I1014" s="7">
        <v>0.6</v>
      </c>
      <c r="J1014" s="7">
        <v>0.6</v>
      </c>
      <c r="K1014" s="7">
        <v>0.6</v>
      </c>
      <c r="L1014" s="7">
        <v>0.6</v>
      </c>
      <c r="M1014" s="7">
        <v>0.6</v>
      </c>
      <c r="N1014" s="7">
        <v>0.6</v>
      </c>
      <c r="O1014" s="7">
        <v>0.6</v>
      </c>
      <c r="P1014" s="7">
        <v>0.6</v>
      </c>
      <c r="Q1014" s="7">
        <v>0.6</v>
      </c>
    </row>
    <row r="1015" spans="1:17">
      <c r="A1015" s="2">
        <v>2963</v>
      </c>
      <c r="B1015" s="7">
        <v>0.6</v>
      </c>
      <c r="C1015" s="7">
        <v>0.6</v>
      </c>
      <c r="D1015" s="7">
        <v>0.6</v>
      </c>
      <c r="E1015" s="7">
        <v>0.6</v>
      </c>
      <c r="F1015" s="7">
        <v>0.6</v>
      </c>
      <c r="G1015" s="7">
        <v>0.6</v>
      </c>
      <c r="H1015" s="7">
        <v>0.6</v>
      </c>
      <c r="I1015" s="7">
        <v>0.6</v>
      </c>
      <c r="J1015" s="7">
        <v>0.6</v>
      </c>
      <c r="K1015" s="7">
        <v>0.6</v>
      </c>
      <c r="L1015" s="7">
        <v>0.6</v>
      </c>
      <c r="M1015" s="7">
        <v>0.6</v>
      </c>
      <c r="N1015" s="7">
        <v>0.6</v>
      </c>
      <c r="O1015" s="7">
        <v>0.6</v>
      </c>
      <c r="P1015" s="7">
        <v>0.6</v>
      </c>
      <c r="Q1015" s="7">
        <v>0.6</v>
      </c>
    </row>
    <row r="1016" spans="1:17">
      <c r="A1016" s="2">
        <v>2964</v>
      </c>
      <c r="B1016" s="7">
        <v>0.6</v>
      </c>
      <c r="C1016" s="7">
        <v>0.6</v>
      </c>
      <c r="D1016" s="7">
        <v>0.6</v>
      </c>
      <c r="E1016" s="7">
        <v>0.6</v>
      </c>
      <c r="F1016" s="7">
        <v>0.6</v>
      </c>
      <c r="G1016" s="7">
        <v>0.6</v>
      </c>
      <c r="H1016" s="7">
        <v>0.6</v>
      </c>
      <c r="I1016" s="7">
        <v>0.6</v>
      </c>
      <c r="J1016" s="7">
        <v>0.6</v>
      </c>
      <c r="K1016" s="7">
        <v>0.6</v>
      </c>
      <c r="L1016" s="7">
        <v>0.6</v>
      </c>
      <c r="M1016" s="7">
        <v>0.6</v>
      </c>
      <c r="N1016" s="7">
        <v>0.6</v>
      </c>
      <c r="O1016" s="7">
        <v>0.6</v>
      </c>
      <c r="P1016" s="7">
        <v>0.6</v>
      </c>
      <c r="Q1016" s="7">
        <v>0.6</v>
      </c>
    </row>
    <row r="1017" spans="1:17">
      <c r="A1017" s="2">
        <v>2965</v>
      </c>
      <c r="B1017" s="7">
        <v>0.6</v>
      </c>
      <c r="C1017" s="7">
        <v>0.6</v>
      </c>
      <c r="D1017" s="7">
        <v>0.6</v>
      </c>
      <c r="E1017" s="7">
        <v>0.6</v>
      </c>
      <c r="F1017" s="7">
        <v>0.6</v>
      </c>
      <c r="G1017" s="7">
        <v>0.6</v>
      </c>
      <c r="H1017" s="7">
        <v>0.6</v>
      </c>
      <c r="I1017" s="7">
        <v>0.6</v>
      </c>
      <c r="J1017" s="7">
        <v>0.6</v>
      </c>
      <c r="K1017" s="7">
        <v>0.6</v>
      </c>
      <c r="L1017" s="7">
        <v>0.6</v>
      </c>
      <c r="M1017" s="7">
        <v>0.6</v>
      </c>
      <c r="N1017" s="7">
        <v>0.6</v>
      </c>
      <c r="O1017" s="7">
        <v>0.6</v>
      </c>
      <c r="P1017" s="7">
        <v>0.6</v>
      </c>
      <c r="Q1017" s="7">
        <v>0.6</v>
      </c>
    </row>
    <row r="1018" spans="1:17">
      <c r="A1018" s="2">
        <v>2966</v>
      </c>
      <c r="B1018" s="7">
        <v>0.6</v>
      </c>
      <c r="C1018" s="7">
        <v>0.6</v>
      </c>
      <c r="D1018" s="7">
        <v>0.6</v>
      </c>
      <c r="E1018" s="7">
        <v>0.6</v>
      </c>
      <c r="F1018" s="7">
        <v>0.6</v>
      </c>
      <c r="G1018" s="7">
        <v>0.6</v>
      </c>
      <c r="H1018" s="7">
        <v>0.6</v>
      </c>
      <c r="I1018" s="7">
        <v>0.6</v>
      </c>
      <c r="J1018" s="7">
        <v>0.6</v>
      </c>
      <c r="K1018" s="7">
        <v>0.6</v>
      </c>
      <c r="L1018" s="7">
        <v>0.6</v>
      </c>
      <c r="M1018" s="7">
        <v>0.6</v>
      </c>
      <c r="N1018" s="7">
        <v>0.6</v>
      </c>
      <c r="O1018" s="7">
        <v>0.6</v>
      </c>
      <c r="P1018" s="7">
        <v>0.6</v>
      </c>
      <c r="Q1018" s="7">
        <v>0.6</v>
      </c>
    </row>
    <row r="1019" spans="1:17">
      <c r="A1019" s="2">
        <v>2967</v>
      </c>
      <c r="B1019" s="7">
        <v>0.6</v>
      </c>
      <c r="C1019" s="7">
        <v>0.6</v>
      </c>
      <c r="D1019" s="7">
        <v>0.6</v>
      </c>
      <c r="E1019" s="7">
        <v>0.6</v>
      </c>
      <c r="F1019" s="7">
        <v>0.6</v>
      </c>
      <c r="G1019" s="7">
        <v>0.6</v>
      </c>
      <c r="H1019" s="7">
        <v>0.6</v>
      </c>
      <c r="I1019" s="7">
        <v>0.6</v>
      </c>
      <c r="J1019" s="7">
        <v>0.6</v>
      </c>
      <c r="K1019" s="7">
        <v>0.6</v>
      </c>
      <c r="L1019" s="7">
        <v>0.6</v>
      </c>
      <c r="M1019" s="7">
        <v>0.6</v>
      </c>
      <c r="N1019" s="7">
        <v>0.6</v>
      </c>
      <c r="O1019" s="7">
        <v>0.6</v>
      </c>
      <c r="P1019" s="7">
        <v>0.6</v>
      </c>
      <c r="Q1019" s="7">
        <v>0.6</v>
      </c>
    </row>
    <row r="1020" spans="1:17">
      <c r="A1020" s="2">
        <v>2968</v>
      </c>
      <c r="B1020" s="7">
        <v>0.6</v>
      </c>
      <c r="C1020" s="7">
        <v>0.6</v>
      </c>
      <c r="D1020" s="7">
        <v>0.6</v>
      </c>
      <c r="E1020" s="7">
        <v>0.6</v>
      </c>
      <c r="F1020" s="7">
        <v>0.6</v>
      </c>
      <c r="G1020" s="7">
        <v>0.6</v>
      </c>
      <c r="H1020" s="7">
        <v>0.6</v>
      </c>
      <c r="I1020" s="7">
        <v>0.6</v>
      </c>
      <c r="J1020" s="7">
        <v>0.6</v>
      </c>
      <c r="K1020" s="7">
        <v>0.6</v>
      </c>
      <c r="L1020" s="7">
        <v>0.6</v>
      </c>
      <c r="M1020" s="7">
        <v>0.6</v>
      </c>
      <c r="N1020" s="7">
        <v>0.6</v>
      </c>
      <c r="O1020" s="7">
        <v>0.6</v>
      </c>
      <c r="P1020" s="7">
        <v>0.6</v>
      </c>
      <c r="Q1020" s="7">
        <v>0.6</v>
      </c>
    </row>
    <row r="1021" spans="1:17">
      <c r="A1021" s="2">
        <v>2969</v>
      </c>
      <c r="B1021" s="7">
        <v>0.6</v>
      </c>
      <c r="C1021" s="7">
        <v>0.6</v>
      </c>
      <c r="D1021" s="7">
        <v>0.6</v>
      </c>
      <c r="E1021" s="7">
        <v>0.6</v>
      </c>
      <c r="F1021" s="7">
        <v>0.6</v>
      </c>
      <c r="G1021" s="7">
        <v>0.6</v>
      </c>
      <c r="H1021" s="7">
        <v>0.6</v>
      </c>
      <c r="I1021" s="7">
        <v>0.6</v>
      </c>
      <c r="J1021" s="7">
        <v>0.6</v>
      </c>
      <c r="K1021" s="7">
        <v>0.6</v>
      </c>
      <c r="L1021" s="7">
        <v>0.6</v>
      </c>
      <c r="M1021" s="7">
        <v>0.6</v>
      </c>
      <c r="N1021" s="7">
        <v>0.6</v>
      </c>
      <c r="O1021" s="7">
        <v>0.6</v>
      </c>
      <c r="P1021" s="7">
        <v>0.6</v>
      </c>
      <c r="Q1021" s="7">
        <v>0.6</v>
      </c>
    </row>
    <row r="1022" spans="1:17">
      <c r="A1022" s="2">
        <v>2970</v>
      </c>
      <c r="B1022" s="7">
        <v>0.6</v>
      </c>
      <c r="C1022" s="7">
        <v>0.6</v>
      </c>
      <c r="D1022" s="7">
        <v>0.6</v>
      </c>
      <c r="E1022" s="7">
        <v>0.6</v>
      </c>
      <c r="F1022" s="7">
        <v>0.6</v>
      </c>
      <c r="G1022" s="7">
        <v>0.6</v>
      </c>
      <c r="H1022" s="7">
        <v>0.6</v>
      </c>
      <c r="I1022" s="7">
        <v>0.6</v>
      </c>
      <c r="J1022" s="7">
        <v>0.6</v>
      </c>
      <c r="K1022" s="7">
        <v>0.6</v>
      </c>
      <c r="L1022" s="7">
        <v>0.6</v>
      </c>
      <c r="M1022" s="7">
        <v>0.6</v>
      </c>
      <c r="N1022" s="7">
        <v>0.6</v>
      </c>
      <c r="O1022" s="7">
        <v>0.6</v>
      </c>
      <c r="P1022" s="7">
        <v>0.6</v>
      </c>
      <c r="Q1022" s="7">
        <v>0.6</v>
      </c>
    </row>
    <row r="1023" spans="1:17">
      <c r="A1023" s="2">
        <v>2971</v>
      </c>
      <c r="B1023" s="7">
        <v>0.6</v>
      </c>
      <c r="C1023" s="7">
        <v>0.6</v>
      </c>
      <c r="D1023" s="7">
        <v>0.6</v>
      </c>
      <c r="E1023" s="7">
        <v>0.6</v>
      </c>
      <c r="F1023" s="7">
        <v>0.6</v>
      </c>
      <c r="G1023" s="7">
        <v>0.6</v>
      </c>
      <c r="H1023" s="7">
        <v>0.6</v>
      </c>
      <c r="I1023" s="7">
        <v>0.6</v>
      </c>
      <c r="J1023" s="7">
        <v>0.6</v>
      </c>
      <c r="K1023" s="7">
        <v>0.6</v>
      </c>
      <c r="L1023" s="7">
        <v>0.6</v>
      </c>
      <c r="M1023" s="7">
        <v>0.6</v>
      </c>
      <c r="N1023" s="7">
        <v>0.6</v>
      </c>
      <c r="O1023" s="7">
        <v>0.6</v>
      </c>
      <c r="P1023" s="7">
        <v>0.6</v>
      </c>
      <c r="Q1023" s="7">
        <v>0.6</v>
      </c>
    </row>
    <row r="1024" spans="1:17">
      <c r="A1024" s="2">
        <v>2972</v>
      </c>
      <c r="B1024" s="7">
        <v>0.6</v>
      </c>
      <c r="C1024" s="7">
        <v>0.6</v>
      </c>
      <c r="D1024" s="7">
        <v>0.6</v>
      </c>
      <c r="E1024" s="7">
        <v>0.6</v>
      </c>
      <c r="F1024" s="7">
        <v>0.6</v>
      </c>
      <c r="G1024" s="7">
        <v>0.6</v>
      </c>
      <c r="H1024" s="7">
        <v>0.6</v>
      </c>
      <c r="I1024" s="7">
        <v>0.6</v>
      </c>
      <c r="J1024" s="7">
        <v>0.6</v>
      </c>
      <c r="K1024" s="7">
        <v>0.6</v>
      </c>
      <c r="L1024" s="7">
        <v>0.6</v>
      </c>
      <c r="M1024" s="7">
        <v>0.6</v>
      </c>
      <c r="N1024" s="7">
        <v>0.6</v>
      </c>
      <c r="O1024" s="7">
        <v>0.6</v>
      </c>
      <c r="P1024" s="7">
        <v>0.6</v>
      </c>
      <c r="Q1024" s="7">
        <v>0.6</v>
      </c>
    </row>
    <row r="1025" spans="1:17">
      <c r="A1025" s="2">
        <v>2973</v>
      </c>
      <c r="B1025" s="7">
        <v>0.6</v>
      </c>
      <c r="C1025" s="7">
        <v>0.6</v>
      </c>
      <c r="D1025" s="7">
        <v>0.6</v>
      </c>
      <c r="E1025" s="7">
        <v>0.6</v>
      </c>
      <c r="F1025" s="7">
        <v>0.6</v>
      </c>
      <c r="G1025" s="7">
        <v>0.6</v>
      </c>
      <c r="H1025" s="7">
        <v>0.6</v>
      </c>
      <c r="I1025" s="7">
        <v>0.6</v>
      </c>
      <c r="J1025" s="7">
        <v>0.6</v>
      </c>
      <c r="K1025" s="7">
        <v>0.6</v>
      </c>
      <c r="L1025" s="7">
        <v>0.6</v>
      </c>
      <c r="M1025" s="7">
        <v>0.6</v>
      </c>
      <c r="N1025" s="7">
        <v>0.6</v>
      </c>
      <c r="O1025" s="7">
        <v>0.6</v>
      </c>
      <c r="P1025" s="7">
        <v>0.6</v>
      </c>
      <c r="Q1025" s="7">
        <v>0.6</v>
      </c>
    </row>
    <row r="1026" spans="1:17">
      <c r="A1026" s="2">
        <v>2974</v>
      </c>
      <c r="B1026" s="7">
        <v>0.6</v>
      </c>
      <c r="C1026" s="7">
        <v>0.6</v>
      </c>
      <c r="D1026" s="7">
        <v>0.6</v>
      </c>
      <c r="E1026" s="7">
        <v>0.6</v>
      </c>
      <c r="F1026" s="7">
        <v>0.6</v>
      </c>
      <c r="G1026" s="7">
        <v>0.6</v>
      </c>
      <c r="H1026" s="7">
        <v>0.6</v>
      </c>
      <c r="I1026" s="7">
        <v>0.6</v>
      </c>
      <c r="J1026" s="7">
        <v>0.6</v>
      </c>
      <c r="K1026" s="7">
        <v>0.6</v>
      </c>
      <c r="L1026" s="7">
        <v>0.6</v>
      </c>
      <c r="M1026" s="7">
        <v>0.6</v>
      </c>
      <c r="N1026" s="7">
        <v>0.6</v>
      </c>
      <c r="O1026" s="7">
        <v>0.6</v>
      </c>
      <c r="P1026" s="7">
        <v>0.6</v>
      </c>
      <c r="Q1026" s="7">
        <v>0.6</v>
      </c>
    </row>
    <row r="1027" spans="1:17">
      <c r="A1027" s="2">
        <v>2975</v>
      </c>
      <c r="B1027" s="7">
        <v>0.6</v>
      </c>
      <c r="C1027" s="7">
        <v>0.6</v>
      </c>
      <c r="D1027" s="7">
        <v>0.6</v>
      </c>
      <c r="E1027" s="7">
        <v>0.6</v>
      </c>
      <c r="F1027" s="7">
        <v>0.6</v>
      </c>
      <c r="G1027" s="7">
        <v>0.6</v>
      </c>
      <c r="H1027" s="7">
        <v>0.6</v>
      </c>
      <c r="I1027" s="7">
        <v>0.6</v>
      </c>
      <c r="J1027" s="7">
        <v>0.6</v>
      </c>
      <c r="K1027" s="7">
        <v>0.6</v>
      </c>
      <c r="L1027" s="7">
        <v>0.6</v>
      </c>
      <c r="M1027" s="7">
        <v>0.6</v>
      </c>
      <c r="N1027" s="7">
        <v>0.6</v>
      </c>
      <c r="O1027" s="7">
        <v>0.6</v>
      </c>
      <c r="P1027" s="7">
        <v>0.6</v>
      </c>
      <c r="Q1027" s="7">
        <v>0.6</v>
      </c>
    </row>
    <row r="1028" spans="1:17">
      <c r="A1028" s="2">
        <v>2976</v>
      </c>
      <c r="B1028" s="7">
        <v>0.6</v>
      </c>
      <c r="C1028" s="7">
        <v>0.6</v>
      </c>
      <c r="D1028" s="7">
        <v>0.6</v>
      </c>
      <c r="E1028" s="7">
        <v>0.6</v>
      </c>
      <c r="F1028" s="7">
        <v>0.6</v>
      </c>
      <c r="G1028" s="7">
        <v>0.6</v>
      </c>
      <c r="H1028" s="7">
        <v>0.6</v>
      </c>
      <c r="I1028" s="7">
        <v>0.6</v>
      </c>
      <c r="J1028" s="7">
        <v>0.6</v>
      </c>
      <c r="K1028" s="7">
        <v>0.6</v>
      </c>
      <c r="L1028" s="7">
        <v>0.6</v>
      </c>
      <c r="M1028" s="7">
        <v>0.6</v>
      </c>
      <c r="N1028" s="7">
        <v>0.6</v>
      </c>
      <c r="O1028" s="7">
        <v>0.6</v>
      </c>
      <c r="P1028" s="7">
        <v>0.6</v>
      </c>
      <c r="Q1028" s="7">
        <v>0.6</v>
      </c>
    </row>
    <row r="1029" spans="1:17">
      <c r="A1029" s="2">
        <v>2977</v>
      </c>
      <c r="B1029" s="7">
        <v>0.6</v>
      </c>
      <c r="C1029" s="7">
        <v>0.6</v>
      </c>
      <c r="D1029" s="7">
        <v>0.6</v>
      </c>
      <c r="E1029" s="7">
        <v>0.6</v>
      </c>
      <c r="F1029" s="7">
        <v>0.6</v>
      </c>
      <c r="G1029" s="7">
        <v>0.6</v>
      </c>
      <c r="H1029" s="7">
        <v>0.6</v>
      </c>
      <c r="I1029" s="7">
        <v>0.6</v>
      </c>
      <c r="J1029" s="7">
        <v>0.6</v>
      </c>
      <c r="K1029" s="7">
        <v>0.6</v>
      </c>
      <c r="L1029" s="7">
        <v>0.6</v>
      </c>
      <c r="M1029" s="7">
        <v>0.6</v>
      </c>
      <c r="N1029" s="7">
        <v>0.6</v>
      </c>
      <c r="O1029" s="7">
        <v>0.6</v>
      </c>
      <c r="P1029" s="7">
        <v>0.6</v>
      </c>
      <c r="Q1029" s="7">
        <v>0.6</v>
      </c>
    </row>
    <row r="1030" spans="1:17">
      <c r="A1030" s="2">
        <v>2978</v>
      </c>
      <c r="B1030" s="7">
        <v>0.6</v>
      </c>
      <c r="C1030" s="7">
        <v>0.6</v>
      </c>
      <c r="D1030" s="7">
        <v>0.6</v>
      </c>
      <c r="E1030" s="7">
        <v>0.6</v>
      </c>
      <c r="F1030" s="7">
        <v>0.6</v>
      </c>
      <c r="G1030" s="7">
        <v>0.6</v>
      </c>
      <c r="H1030" s="7">
        <v>0.6</v>
      </c>
      <c r="I1030" s="7">
        <v>0.6</v>
      </c>
      <c r="J1030" s="7">
        <v>0.6</v>
      </c>
      <c r="K1030" s="7">
        <v>0.6</v>
      </c>
      <c r="L1030" s="7">
        <v>0.6</v>
      </c>
      <c r="M1030" s="7">
        <v>0.6</v>
      </c>
      <c r="N1030" s="7">
        <v>0.6</v>
      </c>
      <c r="O1030" s="7">
        <v>0.6</v>
      </c>
      <c r="P1030" s="7">
        <v>0.6</v>
      </c>
      <c r="Q1030" s="7">
        <v>0.6</v>
      </c>
    </row>
    <row r="1031" spans="1:17">
      <c r="A1031" s="2">
        <v>2979</v>
      </c>
      <c r="B1031" s="7">
        <v>0.6</v>
      </c>
      <c r="C1031" s="7">
        <v>0.6</v>
      </c>
      <c r="D1031" s="7">
        <v>0.6</v>
      </c>
      <c r="E1031" s="7">
        <v>0.6</v>
      </c>
      <c r="F1031" s="7">
        <v>0.6</v>
      </c>
      <c r="G1031" s="7">
        <v>0.6</v>
      </c>
      <c r="H1031" s="7">
        <v>0.6</v>
      </c>
      <c r="I1031" s="7">
        <v>0.6</v>
      </c>
      <c r="J1031" s="7">
        <v>0.6</v>
      </c>
      <c r="K1031" s="7">
        <v>0.6</v>
      </c>
      <c r="L1031" s="7">
        <v>0.6</v>
      </c>
      <c r="M1031" s="7">
        <v>0.6</v>
      </c>
      <c r="N1031" s="7">
        <v>0.6</v>
      </c>
      <c r="O1031" s="7">
        <v>0.6</v>
      </c>
      <c r="P1031" s="7">
        <v>0.6</v>
      </c>
      <c r="Q1031" s="7">
        <v>0.6</v>
      </c>
    </row>
    <row r="1032" spans="1:17">
      <c r="A1032" s="2">
        <v>2980</v>
      </c>
      <c r="B1032" s="7">
        <v>0.6</v>
      </c>
      <c r="C1032" s="7">
        <v>0.6</v>
      </c>
      <c r="D1032" s="7">
        <v>0.6</v>
      </c>
      <c r="E1032" s="7">
        <v>0.6</v>
      </c>
      <c r="F1032" s="7">
        <v>0.6</v>
      </c>
      <c r="G1032" s="7">
        <v>0.6</v>
      </c>
      <c r="H1032" s="7">
        <v>0.6</v>
      </c>
      <c r="I1032" s="7">
        <v>0.6</v>
      </c>
      <c r="J1032" s="7">
        <v>0.6</v>
      </c>
      <c r="K1032" s="7">
        <v>0.6</v>
      </c>
      <c r="L1032" s="7">
        <v>0.6</v>
      </c>
      <c r="M1032" s="7">
        <v>0.6</v>
      </c>
      <c r="N1032" s="7">
        <v>0.6</v>
      </c>
      <c r="O1032" s="7">
        <v>0.6</v>
      </c>
      <c r="P1032" s="7">
        <v>0.6</v>
      </c>
      <c r="Q1032" s="7">
        <v>0.6</v>
      </c>
    </row>
    <row r="1033" spans="1:17">
      <c r="A1033" s="2">
        <v>2981</v>
      </c>
      <c r="B1033" s="7">
        <v>0.6</v>
      </c>
      <c r="C1033" s="7">
        <v>0.6</v>
      </c>
      <c r="D1033" s="7">
        <v>0.6</v>
      </c>
      <c r="E1033" s="7">
        <v>0.6</v>
      </c>
      <c r="F1033" s="7">
        <v>0.6</v>
      </c>
      <c r="G1033" s="7">
        <v>0.6</v>
      </c>
      <c r="H1033" s="7">
        <v>0.6</v>
      </c>
      <c r="I1033" s="7">
        <v>0.6</v>
      </c>
      <c r="J1033" s="7">
        <v>0.6</v>
      </c>
      <c r="K1033" s="7">
        <v>0.6</v>
      </c>
      <c r="L1033" s="7">
        <v>0.6</v>
      </c>
      <c r="M1033" s="7">
        <v>0.6</v>
      </c>
      <c r="N1033" s="7">
        <v>0.6</v>
      </c>
      <c r="O1033" s="7">
        <v>0.6</v>
      </c>
      <c r="P1033" s="7">
        <v>0.6</v>
      </c>
      <c r="Q1033" s="7">
        <v>0.6</v>
      </c>
    </row>
    <row r="1034" spans="1:17">
      <c r="A1034" s="2">
        <v>2982</v>
      </c>
      <c r="B1034" s="7">
        <v>0.6</v>
      </c>
      <c r="C1034" s="7">
        <v>0.6</v>
      </c>
      <c r="D1034" s="7">
        <v>0.6</v>
      </c>
      <c r="E1034" s="7">
        <v>0.6</v>
      </c>
      <c r="F1034" s="7">
        <v>0.6</v>
      </c>
      <c r="G1034" s="7">
        <v>0.6</v>
      </c>
      <c r="H1034" s="7">
        <v>0.6</v>
      </c>
      <c r="I1034" s="7">
        <v>0.6</v>
      </c>
      <c r="J1034" s="7">
        <v>0.6</v>
      </c>
      <c r="K1034" s="7">
        <v>0.6</v>
      </c>
      <c r="L1034" s="7">
        <v>0.6</v>
      </c>
      <c r="M1034" s="7">
        <v>0.6</v>
      </c>
      <c r="N1034" s="7">
        <v>0.6</v>
      </c>
      <c r="O1034" s="7">
        <v>0.6</v>
      </c>
      <c r="P1034" s="7">
        <v>0.6</v>
      </c>
      <c r="Q1034" s="7">
        <v>0.6</v>
      </c>
    </row>
    <row r="1035" spans="1:17">
      <c r="A1035" s="2">
        <v>2983</v>
      </c>
      <c r="B1035" s="7">
        <v>0.6</v>
      </c>
      <c r="C1035" s="7">
        <v>0.6</v>
      </c>
      <c r="D1035" s="7">
        <v>0.6</v>
      </c>
      <c r="E1035" s="7">
        <v>0.6</v>
      </c>
      <c r="F1035" s="7">
        <v>0.6</v>
      </c>
      <c r="G1035" s="7">
        <v>0.6</v>
      </c>
      <c r="H1035" s="7">
        <v>0.6</v>
      </c>
      <c r="I1035" s="7">
        <v>0.6</v>
      </c>
      <c r="J1035" s="7">
        <v>0.6</v>
      </c>
      <c r="K1035" s="7">
        <v>0.6</v>
      </c>
      <c r="L1035" s="7">
        <v>0.6</v>
      </c>
      <c r="M1035" s="7">
        <v>0.6</v>
      </c>
      <c r="N1035" s="7">
        <v>0.6</v>
      </c>
      <c r="O1035" s="7">
        <v>0.6</v>
      </c>
      <c r="P1035" s="7">
        <v>0.6</v>
      </c>
      <c r="Q1035" s="7">
        <v>0.6</v>
      </c>
    </row>
    <row r="1036" spans="1:17">
      <c r="A1036" s="2">
        <v>2984</v>
      </c>
      <c r="B1036" s="7">
        <v>0.6</v>
      </c>
      <c r="C1036" s="7">
        <v>0.6</v>
      </c>
      <c r="D1036" s="7">
        <v>0.6</v>
      </c>
      <c r="E1036" s="7">
        <v>0.6</v>
      </c>
      <c r="F1036" s="7">
        <v>0.6</v>
      </c>
      <c r="G1036" s="7">
        <v>0.6</v>
      </c>
      <c r="H1036" s="7">
        <v>0.6</v>
      </c>
      <c r="I1036" s="7">
        <v>0.6</v>
      </c>
      <c r="J1036" s="7">
        <v>0.6</v>
      </c>
      <c r="K1036" s="7">
        <v>0.6</v>
      </c>
      <c r="L1036" s="7">
        <v>0.6</v>
      </c>
      <c r="M1036" s="7">
        <v>0.6</v>
      </c>
      <c r="N1036" s="7">
        <v>0.6</v>
      </c>
      <c r="O1036" s="7">
        <v>0.6</v>
      </c>
      <c r="P1036" s="7">
        <v>0.6</v>
      </c>
      <c r="Q1036" s="7">
        <v>0.6</v>
      </c>
    </row>
    <row r="1037" spans="1:17">
      <c r="A1037" s="2">
        <v>2985</v>
      </c>
      <c r="B1037" s="7">
        <v>0.6</v>
      </c>
      <c r="C1037" s="7">
        <v>0.6</v>
      </c>
      <c r="D1037" s="7">
        <v>0.6</v>
      </c>
      <c r="E1037" s="7">
        <v>0.6</v>
      </c>
      <c r="F1037" s="7">
        <v>0.6</v>
      </c>
      <c r="G1037" s="7">
        <v>0.6</v>
      </c>
      <c r="H1037" s="7">
        <v>0.6</v>
      </c>
      <c r="I1037" s="7">
        <v>0.6</v>
      </c>
      <c r="J1037" s="7">
        <v>0.6</v>
      </c>
      <c r="K1037" s="7">
        <v>0.6</v>
      </c>
      <c r="L1037" s="7">
        <v>0.6</v>
      </c>
      <c r="M1037" s="7">
        <v>0.6</v>
      </c>
      <c r="N1037" s="7">
        <v>0.6</v>
      </c>
      <c r="O1037" s="7">
        <v>0.6</v>
      </c>
      <c r="P1037" s="7">
        <v>0.6</v>
      </c>
      <c r="Q1037" s="7">
        <v>0.6</v>
      </c>
    </row>
    <row r="1038" spans="1:17">
      <c r="A1038" s="2">
        <v>2986</v>
      </c>
      <c r="B1038" s="7">
        <v>0.6</v>
      </c>
      <c r="C1038" s="7">
        <v>0.6</v>
      </c>
      <c r="D1038" s="7">
        <v>0.6</v>
      </c>
      <c r="E1038" s="7">
        <v>0.6</v>
      </c>
      <c r="F1038" s="7">
        <v>0.6</v>
      </c>
      <c r="G1038" s="7">
        <v>0.6</v>
      </c>
      <c r="H1038" s="7">
        <v>0.6</v>
      </c>
      <c r="I1038" s="7">
        <v>0.6</v>
      </c>
      <c r="J1038" s="7">
        <v>0.6</v>
      </c>
      <c r="K1038" s="7">
        <v>0.6</v>
      </c>
      <c r="L1038" s="7">
        <v>0.6</v>
      </c>
      <c r="M1038" s="7">
        <v>0.6</v>
      </c>
      <c r="N1038" s="7">
        <v>0.6</v>
      </c>
      <c r="O1038" s="7">
        <v>0.6</v>
      </c>
      <c r="P1038" s="7">
        <v>0.6</v>
      </c>
      <c r="Q1038" s="7">
        <v>0.6</v>
      </c>
    </row>
    <row r="1039" spans="1:17">
      <c r="A1039" s="2">
        <v>2987</v>
      </c>
      <c r="B1039" s="7">
        <v>0.6</v>
      </c>
      <c r="C1039" s="7">
        <v>0.6</v>
      </c>
      <c r="D1039" s="7">
        <v>0.6</v>
      </c>
      <c r="E1039" s="7">
        <v>0.6</v>
      </c>
      <c r="F1039" s="7">
        <v>0.6</v>
      </c>
      <c r="G1039" s="7">
        <v>0.6</v>
      </c>
      <c r="H1039" s="7">
        <v>0.6</v>
      </c>
      <c r="I1039" s="7">
        <v>0.6</v>
      </c>
      <c r="J1039" s="7">
        <v>0.6</v>
      </c>
      <c r="K1039" s="7">
        <v>0.6</v>
      </c>
      <c r="L1039" s="7">
        <v>0.6</v>
      </c>
      <c r="M1039" s="7">
        <v>0.6</v>
      </c>
      <c r="N1039" s="7">
        <v>0.6</v>
      </c>
      <c r="O1039" s="7">
        <v>0.6</v>
      </c>
      <c r="P1039" s="7">
        <v>0.6</v>
      </c>
      <c r="Q1039" s="7">
        <v>0.6</v>
      </c>
    </row>
    <row r="1040" spans="1:17">
      <c r="A1040" s="2">
        <v>2988</v>
      </c>
      <c r="B1040" s="7">
        <v>0.6</v>
      </c>
      <c r="C1040" s="7">
        <v>0.6</v>
      </c>
      <c r="D1040" s="7">
        <v>0.6</v>
      </c>
      <c r="E1040" s="7">
        <v>0.6</v>
      </c>
      <c r="F1040" s="7">
        <v>0.6</v>
      </c>
      <c r="G1040" s="7">
        <v>0.6</v>
      </c>
      <c r="H1040" s="7">
        <v>0.6</v>
      </c>
      <c r="I1040" s="7">
        <v>0.6</v>
      </c>
      <c r="J1040" s="7">
        <v>0.6</v>
      </c>
      <c r="K1040" s="7">
        <v>0.6</v>
      </c>
      <c r="L1040" s="7">
        <v>0.6</v>
      </c>
      <c r="M1040" s="7">
        <v>0.6</v>
      </c>
      <c r="N1040" s="7">
        <v>0.6</v>
      </c>
      <c r="O1040" s="7">
        <v>0.6</v>
      </c>
      <c r="P1040" s="7">
        <v>0.6</v>
      </c>
      <c r="Q1040" s="7">
        <v>0.6</v>
      </c>
    </row>
    <row r="1041" spans="1:17">
      <c r="A1041" s="2">
        <v>2989</v>
      </c>
      <c r="B1041" s="7">
        <v>0.6</v>
      </c>
      <c r="C1041" s="7">
        <v>0.6</v>
      </c>
      <c r="D1041" s="7">
        <v>0.6</v>
      </c>
      <c r="E1041" s="7">
        <v>0.6</v>
      </c>
      <c r="F1041" s="7">
        <v>0.6</v>
      </c>
      <c r="G1041" s="7">
        <v>0.6</v>
      </c>
      <c r="H1041" s="7">
        <v>0.6</v>
      </c>
      <c r="I1041" s="7">
        <v>0.6</v>
      </c>
      <c r="J1041" s="7">
        <v>0.6</v>
      </c>
      <c r="K1041" s="7">
        <v>0.6</v>
      </c>
      <c r="L1041" s="7">
        <v>0.6</v>
      </c>
      <c r="M1041" s="7">
        <v>0.6</v>
      </c>
      <c r="N1041" s="7">
        <v>0.6</v>
      </c>
      <c r="O1041" s="7">
        <v>0.6</v>
      </c>
      <c r="P1041" s="7">
        <v>0.6</v>
      </c>
      <c r="Q1041" s="7">
        <v>0.6</v>
      </c>
    </row>
    <row r="1042" spans="1:17">
      <c r="A1042" s="2">
        <v>2990</v>
      </c>
      <c r="B1042" s="7">
        <v>0.6</v>
      </c>
      <c r="C1042" s="7">
        <v>0.6</v>
      </c>
      <c r="D1042" s="7">
        <v>0.6</v>
      </c>
      <c r="E1042" s="7">
        <v>0.6</v>
      </c>
      <c r="F1042" s="7">
        <v>0.6</v>
      </c>
      <c r="G1042" s="7">
        <v>0.6</v>
      </c>
      <c r="H1042" s="7">
        <v>0.6</v>
      </c>
      <c r="I1042" s="7">
        <v>0.6</v>
      </c>
      <c r="J1042" s="7">
        <v>0.6</v>
      </c>
      <c r="K1042" s="7">
        <v>0.6</v>
      </c>
      <c r="L1042" s="7">
        <v>0.6</v>
      </c>
      <c r="M1042" s="7">
        <v>0.6</v>
      </c>
      <c r="N1042" s="7">
        <v>0.6</v>
      </c>
      <c r="O1042" s="7">
        <v>0.6</v>
      </c>
      <c r="P1042" s="7">
        <v>0.6</v>
      </c>
      <c r="Q1042" s="7">
        <v>0.6</v>
      </c>
    </row>
    <row r="1043" spans="1:17">
      <c r="A1043" s="2">
        <v>2991</v>
      </c>
      <c r="B1043" s="7">
        <v>0.6</v>
      </c>
      <c r="C1043" s="7">
        <v>0.6</v>
      </c>
      <c r="D1043" s="7">
        <v>0.6</v>
      </c>
      <c r="E1043" s="7">
        <v>0.6</v>
      </c>
      <c r="F1043" s="7">
        <v>0.6</v>
      </c>
      <c r="G1043" s="7">
        <v>0.6</v>
      </c>
      <c r="H1043" s="7">
        <v>0.6</v>
      </c>
      <c r="I1043" s="7">
        <v>0.6</v>
      </c>
      <c r="J1043" s="7">
        <v>0.6</v>
      </c>
      <c r="K1043" s="7">
        <v>0.6</v>
      </c>
      <c r="L1043" s="7">
        <v>0.6</v>
      </c>
      <c r="M1043" s="7">
        <v>0.6</v>
      </c>
      <c r="N1043" s="7">
        <v>0.6</v>
      </c>
      <c r="O1043" s="7">
        <v>0.6</v>
      </c>
      <c r="P1043" s="7">
        <v>0.6</v>
      </c>
      <c r="Q1043" s="7">
        <v>0.6</v>
      </c>
    </row>
    <row r="1044" spans="1:17">
      <c r="A1044" s="2">
        <v>2992</v>
      </c>
      <c r="B1044" s="7">
        <v>0.6</v>
      </c>
      <c r="C1044" s="7">
        <v>0.6</v>
      </c>
      <c r="D1044" s="7">
        <v>0.6</v>
      </c>
      <c r="E1044" s="7">
        <v>0.6</v>
      </c>
      <c r="F1044" s="7">
        <v>0.6</v>
      </c>
      <c r="G1044" s="7">
        <v>0.6</v>
      </c>
      <c r="H1044" s="7">
        <v>0.6</v>
      </c>
      <c r="I1044" s="7">
        <v>0.6</v>
      </c>
      <c r="J1044" s="7">
        <v>0.6</v>
      </c>
      <c r="K1044" s="7">
        <v>0.6</v>
      </c>
      <c r="L1044" s="7">
        <v>0.6</v>
      </c>
      <c r="M1044" s="7">
        <v>0.6</v>
      </c>
      <c r="N1044" s="7">
        <v>0.6</v>
      </c>
      <c r="O1044" s="7">
        <v>0.6</v>
      </c>
      <c r="P1044" s="7">
        <v>0.6</v>
      </c>
      <c r="Q1044" s="7">
        <v>0.6</v>
      </c>
    </row>
    <row r="1045" spans="1:17">
      <c r="A1045" s="2">
        <v>2993</v>
      </c>
      <c r="B1045" s="7">
        <v>0.6</v>
      </c>
      <c r="C1045" s="7">
        <v>0.6</v>
      </c>
      <c r="D1045" s="7">
        <v>0.6</v>
      </c>
      <c r="E1045" s="7">
        <v>0.6</v>
      </c>
      <c r="F1045" s="7">
        <v>0.6</v>
      </c>
      <c r="G1045" s="7">
        <v>0.6</v>
      </c>
      <c r="H1045" s="7">
        <v>0.6</v>
      </c>
      <c r="I1045" s="7">
        <v>0.6</v>
      </c>
      <c r="J1045" s="7">
        <v>0.6</v>
      </c>
      <c r="K1045" s="7">
        <v>0.6</v>
      </c>
      <c r="L1045" s="7">
        <v>0.6</v>
      </c>
      <c r="M1045" s="7">
        <v>0.6</v>
      </c>
      <c r="N1045" s="7">
        <v>0.6</v>
      </c>
      <c r="O1045" s="7">
        <v>0.6</v>
      </c>
      <c r="P1045" s="7">
        <v>0.6</v>
      </c>
      <c r="Q1045" s="7">
        <v>0.6</v>
      </c>
    </row>
    <row r="1046" spans="1:17">
      <c r="A1046" s="2">
        <v>2994</v>
      </c>
      <c r="B1046" s="7">
        <v>0.6</v>
      </c>
      <c r="C1046" s="7">
        <v>0.6</v>
      </c>
      <c r="D1046" s="7">
        <v>0.6</v>
      </c>
      <c r="E1046" s="7">
        <v>0.6</v>
      </c>
      <c r="F1046" s="7">
        <v>0.6</v>
      </c>
      <c r="G1046" s="7">
        <v>0.6</v>
      </c>
      <c r="H1046" s="7">
        <v>0.6</v>
      </c>
      <c r="I1046" s="7">
        <v>0.6</v>
      </c>
      <c r="J1046" s="7">
        <v>0.6</v>
      </c>
      <c r="K1046" s="7">
        <v>0.6</v>
      </c>
      <c r="L1046" s="7">
        <v>0.6</v>
      </c>
      <c r="M1046" s="7">
        <v>0.6</v>
      </c>
      <c r="N1046" s="7">
        <v>0.6</v>
      </c>
      <c r="O1046" s="7">
        <v>0.6</v>
      </c>
      <c r="P1046" s="7">
        <v>0.6</v>
      </c>
      <c r="Q1046" s="7">
        <v>0.6</v>
      </c>
    </row>
    <row r="1047" spans="1:17">
      <c r="A1047" s="2">
        <v>2995</v>
      </c>
      <c r="B1047" s="7">
        <v>0.6</v>
      </c>
      <c r="C1047" s="7">
        <v>0.6</v>
      </c>
      <c r="D1047" s="7">
        <v>0.6</v>
      </c>
      <c r="E1047" s="7">
        <v>0.6</v>
      </c>
      <c r="F1047" s="7">
        <v>0.6</v>
      </c>
      <c r="G1047" s="7">
        <v>0.6</v>
      </c>
      <c r="H1047" s="7">
        <v>0.6</v>
      </c>
      <c r="I1047" s="7">
        <v>0.6</v>
      </c>
      <c r="J1047" s="7">
        <v>0.6</v>
      </c>
      <c r="K1047" s="7">
        <v>0.6</v>
      </c>
      <c r="L1047" s="7">
        <v>0.6</v>
      </c>
      <c r="M1047" s="7">
        <v>0.6</v>
      </c>
      <c r="N1047" s="7">
        <v>0.6</v>
      </c>
      <c r="O1047" s="7">
        <v>0.6</v>
      </c>
      <c r="P1047" s="7">
        <v>0.6</v>
      </c>
      <c r="Q1047" s="7">
        <v>0.6</v>
      </c>
    </row>
    <row r="1048" spans="1:17">
      <c r="A1048" s="2">
        <v>2996</v>
      </c>
      <c r="B1048" s="7">
        <v>0.6</v>
      </c>
      <c r="C1048" s="7">
        <v>0.6</v>
      </c>
      <c r="D1048" s="7">
        <v>0.6</v>
      </c>
      <c r="E1048" s="7">
        <v>0.6</v>
      </c>
      <c r="F1048" s="7">
        <v>0.6</v>
      </c>
      <c r="G1048" s="7">
        <v>0.6</v>
      </c>
      <c r="H1048" s="7">
        <v>0.6</v>
      </c>
      <c r="I1048" s="7">
        <v>0.6</v>
      </c>
      <c r="J1048" s="7">
        <v>0.6</v>
      </c>
      <c r="K1048" s="7">
        <v>0.6</v>
      </c>
      <c r="L1048" s="7">
        <v>0.6</v>
      </c>
      <c r="M1048" s="7">
        <v>0.6</v>
      </c>
      <c r="N1048" s="7">
        <v>0.6</v>
      </c>
      <c r="O1048" s="7">
        <v>0.6</v>
      </c>
      <c r="P1048" s="7">
        <v>0.6</v>
      </c>
      <c r="Q1048" s="7">
        <v>0.6</v>
      </c>
    </row>
    <row r="1049" spans="1:17">
      <c r="A1049" s="2">
        <v>2997</v>
      </c>
      <c r="B1049" s="7">
        <v>0.6</v>
      </c>
      <c r="C1049" s="7">
        <v>0.6</v>
      </c>
      <c r="D1049" s="7">
        <v>0.6</v>
      </c>
      <c r="E1049" s="7">
        <v>0.6</v>
      </c>
      <c r="F1049" s="7">
        <v>0.6</v>
      </c>
      <c r="G1049" s="7">
        <v>0.6</v>
      </c>
      <c r="H1049" s="7">
        <v>0.6</v>
      </c>
      <c r="I1049" s="7">
        <v>0.6</v>
      </c>
      <c r="J1049" s="7">
        <v>0.6</v>
      </c>
      <c r="K1049" s="7">
        <v>0.6</v>
      </c>
      <c r="L1049" s="7">
        <v>0.6</v>
      </c>
      <c r="M1049" s="7">
        <v>0.6</v>
      </c>
      <c r="N1049" s="7">
        <v>0.6</v>
      </c>
      <c r="O1049" s="7">
        <v>0.6</v>
      </c>
      <c r="P1049" s="7">
        <v>0.6</v>
      </c>
      <c r="Q1049" s="7">
        <v>0.6</v>
      </c>
    </row>
    <row r="1050" spans="1:17">
      <c r="A1050" s="2">
        <v>2998</v>
      </c>
      <c r="B1050" s="7">
        <v>0.6</v>
      </c>
      <c r="C1050" s="7">
        <v>0.6</v>
      </c>
      <c r="D1050" s="7">
        <v>0.6</v>
      </c>
      <c r="E1050" s="7">
        <v>0.6</v>
      </c>
      <c r="F1050" s="7">
        <v>0.6</v>
      </c>
      <c r="G1050" s="7">
        <v>0.6</v>
      </c>
      <c r="H1050" s="7">
        <v>0.6</v>
      </c>
      <c r="I1050" s="7">
        <v>0.6</v>
      </c>
      <c r="J1050" s="7">
        <v>0.6</v>
      </c>
      <c r="K1050" s="7">
        <v>0.6</v>
      </c>
      <c r="L1050" s="7">
        <v>0.6</v>
      </c>
      <c r="M1050" s="7">
        <v>0.6</v>
      </c>
      <c r="N1050" s="7">
        <v>0.6</v>
      </c>
      <c r="O1050" s="7">
        <v>0.6</v>
      </c>
      <c r="P1050" s="7">
        <v>0.6</v>
      </c>
      <c r="Q1050" s="7">
        <v>0.6</v>
      </c>
    </row>
    <row r="1051" spans="1:17">
      <c r="A1051" s="2">
        <v>2999</v>
      </c>
      <c r="B1051" s="7">
        <v>0.6</v>
      </c>
      <c r="C1051" s="7">
        <v>0.6</v>
      </c>
      <c r="D1051" s="7">
        <v>0.6</v>
      </c>
      <c r="E1051" s="7">
        <v>0.6</v>
      </c>
      <c r="F1051" s="7">
        <v>0.6</v>
      </c>
      <c r="G1051" s="7">
        <v>0.6</v>
      </c>
      <c r="H1051" s="7">
        <v>0.6</v>
      </c>
      <c r="I1051" s="7">
        <v>0.6</v>
      </c>
      <c r="J1051" s="7">
        <v>0.6</v>
      </c>
      <c r="K1051" s="7">
        <v>0.6</v>
      </c>
      <c r="L1051" s="7">
        <v>0.6</v>
      </c>
      <c r="M1051" s="7">
        <v>0.6</v>
      </c>
      <c r="N1051" s="7">
        <v>0.6</v>
      </c>
      <c r="O1051" s="7">
        <v>0.6</v>
      </c>
      <c r="P1051" s="7">
        <v>0.6</v>
      </c>
      <c r="Q1051" s="7">
        <v>0.6</v>
      </c>
    </row>
    <row r="1052" spans="1:17">
      <c r="A1052" s="2">
        <v>3000</v>
      </c>
      <c r="B1052" s="7">
        <v>0.6</v>
      </c>
      <c r="C1052" s="7">
        <v>0.6</v>
      </c>
      <c r="D1052" s="7">
        <v>0.6</v>
      </c>
      <c r="E1052" s="7">
        <v>0.6</v>
      </c>
      <c r="F1052" s="7">
        <v>0.6</v>
      </c>
      <c r="G1052" s="7">
        <v>0.6</v>
      </c>
      <c r="H1052" s="7">
        <v>0.6</v>
      </c>
      <c r="I1052" s="7">
        <v>0.6</v>
      </c>
      <c r="J1052" s="7">
        <v>0.6</v>
      </c>
      <c r="K1052" s="7">
        <v>0.6</v>
      </c>
      <c r="L1052" s="7">
        <v>0.6</v>
      </c>
      <c r="M1052" s="7">
        <v>0.6</v>
      </c>
      <c r="N1052" s="7">
        <v>0.6</v>
      </c>
      <c r="O1052" s="7">
        <v>0.6</v>
      </c>
      <c r="P1052" s="7">
        <v>0.6</v>
      </c>
      <c r="Q1052" s="7">
        <v>0.6</v>
      </c>
    </row>
  </sheetData>
  <phoneticPr fontId="2" type="noConversion"/>
  <pageMargins left="0.78740157499999996" right="0.78740157499999996" top="0.984251969" bottom="0.984251969" header="0.4921259845" footer="0.492125984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>
  <sheetPr codeName="Tabelle5"/>
  <dimension ref="A1:Q1052"/>
  <sheetViews>
    <sheetView workbookViewId="0">
      <pane xSplit="1" ySplit="1" topLeftCell="B114" activePane="bottomRight" state="frozen"/>
      <selection pane="topRight" activeCell="B1" sqref="B1"/>
      <selection pane="bottomLeft" activeCell="A2" sqref="A2"/>
      <selection pane="bottomRight" activeCell="B127" sqref="B127:Q127"/>
    </sheetView>
  </sheetViews>
  <sheetFormatPr defaultColWidth="11.42578125" defaultRowHeight="12.75"/>
  <cols>
    <col min="1" max="1" width="5.140625" style="2" customWidth="1"/>
    <col min="2" max="4" width="6.5703125" style="2" bestFit="1" customWidth="1"/>
    <col min="5" max="6" width="6" style="2" bestFit="1" customWidth="1"/>
    <col min="7" max="8" width="6.5703125" style="2" bestFit="1" customWidth="1"/>
    <col min="9" max="17" width="6" style="2" bestFit="1" customWidth="1"/>
    <col min="18" max="16384" width="11.42578125" style="2"/>
  </cols>
  <sheetData>
    <row r="1" spans="1:17" s="1" customFormat="1">
      <c r="A1" s="1" t="s">
        <v>4</v>
      </c>
      <c r="B1" s="1" t="s">
        <v>2</v>
      </c>
      <c r="C1" s="1" t="s">
        <v>3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</row>
    <row r="2" spans="1:17">
      <c r="A2" s="3">
        <v>1950</v>
      </c>
      <c r="B2" s="7">
        <v>1.6659999999999999</v>
      </c>
      <c r="C2" s="7">
        <v>2.6880000000000002</v>
      </c>
      <c r="D2" s="7">
        <v>0.66100000000000003</v>
      </c>
      <c r="E2" s="7">
        <v>1.367</v>
      </c>
      <c r="F2" s="7">
        <v>2.2010000000000001</v>
      </c>
      <c r="G2" s="7">
        <v>1.27</v>
      </c>
      <c r="H2" s="7">
        <v>1.7569999999999999</v>
      </c>
      <c r="I2" s="7">
        <v>2.7040000000000002</v>
      </c>
      <c r="J2" s="7">
        <v>2.9449999999999998</v>
      </c>
      <c r="K2" s="7">
        <v>2.7650000000000001</v>
      </c>
      <c r="L2" s="7">
        <v>2.157</v>
      </c>
      <c r="M2" s="7">
        <v>2.1219999999999999</v>
      </c>
      <c r="N2" s="7">
        <v>1.714</v>
      </c>
      <c r="O2" s="7">
        <v>2.3879999999999999</v>
      </c>
      <c r="P2" s="7">
        <v>2.2400000000000002</v>
      </c>
      <c r="Q2" s="7">
        <v>1.9</v>
      </c>
    </row>
    <row r="3" spans="1:17">
      <c r="A3" s="2">
        <v>1951</v>
      </c>
      <c r="B3" s="7">
        <v>1.6659999999999999</v>
      </c>
      <c r="C3" s="7">
        <v>2.6880000000000002</v>
      </c>
      <c r="D3" s="7">
        <v>0.66100000000000003</v>
      </c>
      <c r="E3" s="7">
        <v>1.367</v>
      </c>
      <c r="F3" s="7">
        <v>2.2010000000000001</v>
      </c>
      <c r="G3" s="7">
        <v>1.27</v>
      </c>
      <c r="H3" s="7">
        <v>1.7569999999999999</v>
      </c>
      <c r="I3" s="7">
        <v>2.7040000000000002</v>
      </c>
      <c r="J3" s="7">
        <v>2.9449999999999998</v>
      </c>
      <c r="K3" s="7">
        <v>2.7650000000000001</v>
      </c>
      <c r="L3" s="7">
        <v>2.157</v>
      </c>
      <c r="M3" s="7">
        <v>2.1219999999999999</v>
      </c>
      <c r="N3" s="7">
        <v>1.714</v>
      </c>
      <c r="O3" s="7">
        <v>2.3879999999999999</v>
      </c>
      <c r="P3" s="7">
        <v>2.2400000000000002</v>
      </c>
      <c r="Q3" s="7">
        <v>1.9</v>
      </c>
    </row>
    <row r="4" spans="1:17">
      <c r="A4" s="2">
        <v>1952</v>
      </c>
      <c r="B4" s="7">
        <v>1.6659999999999999</v>
      </c>
      <c r="C4" s="7">
        <v>2.6880000000000002</v>
      </c>
      <c r="D4" s="7">
        <v>0.66100000000000003</v>
      </c>
      <c r="E4" s="7">
        <v>1.367</v>
      </c>
      <c r="F4" s="7">
        <v>2.2010000000000001</v>
      </c>
      <c r="G4" s="7">
        <v>1.27</v>
      </c>
      <c r="H4" s="7">
        <v>1.7569999999999999</v>
      </c>
      <c r="I4" s="7">
        <v>2.7040000000000002</v>
      </c>
      <c r="J4" s="7">
        <v>2.9449999999999998</v>
      </c>
      <c r="K4" s="7">
        <v>2.7650000000000001</v>
      </c>
      <c r="L4" s="7">
        <v>2.157</v>
      </c>
      <c r="M4" s="7">
        <v>2.1219999999999999</v>
      </c>
      <c r="N4" s="7">
        <v>1.714</v>
      </c>
      <c r="O4" s="7">
        <v>2.3879999999999999</v>
      </c>
      <c r="P4" s="7">
        <v>2.2400000000000002</v>
      </c>
      <c r="Q4" s="7">
        <v>1.9</v>
      </c>
    </row>
    <row r="5" spans="1:17">
      <c r="A5" s="2">
        <v>1953</v>
      </c>
      <c r="B5" s="7">
        <v>1.6659999999999999</v>
      </c>
      <c r="C5" s="7">
        <v>2.6880000000000002</v>
      </c>
      <c r="D5" s="7">
        <v>0.66100000000000003</v>
      </c>
      <c r="E5" s="7">
        <v>1.367</v>
      </c>
      <c r="F5" s="7">
        <v>2.2010000000000001</v>
      </c>
      <c r="G5" s="7">
        <v>1.27</v>
      </c>
      <c r="H5" s="7">
        <v>1.7569999999999999</v>
      </c>
      <c r="I5" s="7">
        <v>2.7040000000000002</v>
      </c>
      <c r="J5" s="7">
        <v>2.9449999999999998</v>
      </c>
      <c r="K5" s="7">
        <v>2.7650000000000001</v>
      </c>
      <c r="L5" s="7">
        <v>2.157</v>
      </c>
      <c r="M5" s="7">
        <v>2.1219999999999999</v>
      </c>
      <c r="N5" s="7">
        <v>1.714</v>
      </c>
      <c r="O5" s="7">
        <v>2.3879999999999999</v>
      </c>
      <c r="P5" s="7">
        <v>2.2400000000000002</v>
      </c>
      <c r="Q5" s="7">
        <v>1.9</v>
      </c>
    </row>
    <row r="6" spans="1:17">
      <c r="A6" s="2">
        <v>1954</v>
      </c>
      <c r="B6" s="7">
        <v>1.6659999999999999</v>
      </c>
      <c r="C6" s="7">
        <v>2.6880000000000002</v>
      </c>
      <c r="D6" s="7">
        <v>0.66100000000000003</v>
      </c>
      <c r="E6" s="7">
        <v>1.367</v>
      </c>
      <c r="F6" s="7">
        <v>2.2010000000000001</v>
      </c>
      <c r="G6" s="7">
        <v>1.27</v>
      </c>
      <c r="H6" s="7">
        <v>1.7569999999999999</v>
      </c>
      <c r="I6" s="7">
        <v>2.7040000000000002</v>
      </c>
      <c r="J6" s="7">
        <v>2.9449999999999998</v>
      </c>
      <c r="K6" s="7">
        <v>2.7650000000000001</v>
      </c>
      <c r="L6" s="7">
        <v>2.157</v>
      </c>
      <c r="M6" s="7">
        <v>2.1219999999999999</v>
      </c>
      <c r="N6" s="7">
        <v>1.714</v>
      </c>
      <c r="O6" s="7">
        <v>2.3879999999999999</v>
      </c>
      <c r="P6" s="7">
        <v>2.2400000000000002</v>
      </c>
      <c r="Q6" s="7">
        <v>1.9</v>
      </c>
    </row>
    <row r="7" spans="1:17">
      <c r="A7" s="2">
        <v>1955</v>
      </c>
      <c r="B7" s="7">
        <v>1.6659999999999999</v>
      </c>
      <c r="C7" s="7">
        <v>2.6880000000000002</v>
      </c>
      <c r="D7" s="7">
        <v>0.66100000000000003</v>
      </c>
      <c r="E7" s="7">
        <v>1.367</v>
      </c>
      <c r="F7" s="7">
        <v>2.2010000000000001</v>
      </c>
      <c r="G7" s="7">
        <v>1.27</v>
      </c>
      <c r="H7" s="7">
        <v>1.7569999999999999</v>
      </c>
      <c r="I7" s="7">
        <v>2.7040000000000002</v>
      </c>
      <c r="J7" s="7">
        <v>2.9449999999999998</v>
      </c>
      <c r="K7" s="7">
        <v>2.7650000000000001</v>
      </c>
      <c r="L7" s="7">
        <v>2.157</v>
      </c>
      <c r="M7" s="7">
        <v>2.1219999999999999</v>
      </c>
      <c r="N7" s="7">
        <v>1.714</v>
      </c>
      <c r="O7" s="7">
        <v>2.3879999999999999</v>
      </c>
      <c r="P7" s="7">
        <v>2.2400000000000002</v>
      </c>
      <c r="Q7" s="7">
        <v>1.9</v>
      </c>
    </row>
    <row r="8" spans="1:17">
      <c r="A8" s="2">
        <v>1956</v>
      </c>
      <c r="B8" s="7">
        <v>1.6659999999999999</v>
      </c>
      <c r="C8" s="7">
        <v>2.6880000000000002</v>
      </c>
      <c r="D8" s="7">
        <v>0.66100000000000003</v>
      </c>
      <c r="E8" s="7">
        <v>1.367</v>
      </c>
      <c r="F8" s="7">
        <v>2.2010000000000001</v>
      </c>
      <c r="G8" s="7">
        <v>1.27</v>
      </c>
      <c r="H8" s="7">
        <v>1.7569999999999999</v>
      </c>
      <c r="I8" s="7">
        <v>2.7040000000000002</v>
      </c>
      <c r="J8" s="7">
        <v>2.9449999999999998</v>
      </c>
      <c r="K8" s="7">
        <v>2.7650000000000001</v>
      </c>
      <c r="L8" s="7">
        <v>2.157</v>
      </c>
      <c r="M8" s="7">
        <v>2.1219999999999999</v>
      </c>
      <c r="N8" s="7">
        <v>1.714</v>
      </c>
      <c r="O8" s="7">
        <v>2.3879999999999999</v>
      </c>
      <c r="P8" s="7">
        <v>2.2400000000000002</v>
      </c>
      <c r="Q8" s="7">
        <v>1.9</v>
      </c>
    </row>
    <row r="9" spans="1:17">
      <c r="A9" s="2">
        <v>1957</v>
      </c>
      <c r="B9" s="7">
        <v>1.6659999999999999</v>
      </c>
      <c r="C9" s="7">
        <v>2.6880000000000002</v>
      </c>
      <c r="D9" s="7">
        <v>0.66100000000000003</v>
      </c>
      <c r="E9" s="7">
        <v>1.367</v>
      </c>
      <c r="F9" s="7">
        <v>2.2010000000000001</v>
      </c>
      <c r="G9" s="7">
        <v>1.27</v>
      </c>
      <c r="H9" s="7">
        <v>1.7569999999999999</v>
      </c>
      <c r="I9" s="7">
        <v>2.7040000000000002</v>
      </c>
      <c r="J9" s="7">
        <v>2.9449999999999998</v>
      </c>
      <c r="K9" s="7">
        <v>2.7650000000000001</v>
      </c>
      <c r="L9" s="7">
        <v>2.157</v>
      </c>
      <c r="M9" s="7">
        <v>2.1219999999999999</v>
      </c>
      <c r="N9" s="7">
        <v>1.714</v>
      </c>
      <c r="O9" s="7">
        <v>2.3879999999999999</v>
      </c>
      <c r="P9" s="7">
        <v>2.2400000000000002</v>
      </c>
      <c r="Q9" s="7">
        <v>1.9</v>
      </c>
    </row>
    <row r="10" spans="1:17">
      <c r="A10" s="2">
        <v>1958</v>
      </c>
      <c r="B10" s="7">
        <v>1.6659999999999999</v>
      </c>
      <c r="C10" s="7">
        <v>2.6880000000000002</v>
      </c>
      <c r="D10" s="7">
        <v>0.66100000000000003</v>
      </c>
      <c r="E10" s="7">
        <v>1.367</v>
      </c>
      <c r="F10" s="7">
        <v>2.2010000000000001</v>
      </c>
      <c r="G10" s="7">
        <v>1.27</v>
      </c>
      <c r="H10" s="7">
        <v>1.7569999999999999</v>
      </c>
      <c r="I10" s="7">
        <v>2.7040000000000002</v>
      </c>
      <c r="J10" s="7">
        <v>2.9449999999999998</v>
      </c>
      <c r="K10" s="7">
        <v>2.7650000000000001</v>
      </c>
      <c r="L10" s="7">
        <v>2.157</v>
      </c>
      <c r="M10" s="7">
        <v>2.1219999999999999</v>
      </c>
      <c r="N10" s="7">
        <v>1.714</v>
      </c>
      <c r="O10" s="7">
        <v>2.3879999999999999</v>
      </c>
      <c r="P10" s="7">
        <v>2.2400000000000002</v>
      </c>
      <c r="Q10" s="7">
        <v>1.9</v>
      </c>
    </row>
    <row r="11" spans="1:17">
      <c r="A11" s="2">
        <v>1959</v>
      </c>
      <c r="B11" s="7">
        <v>1.6659999999999999</v>
      </c>
      <c r="C11" s="7">
        <v>2.6880000000000002</v>
      </c>
      <c r="D11" s="7">
        <v>0.66100000000000003</v>
      </c>
      <c r="E11" s="7">
        <v>1.367</v>
      </c>
      <c r="F11" s="7">
        <v>2.2010000000000001</v>
      </c>
      <c r="G11" s="7">
        <v>1.27</v>
      </c>
      <c r="H11" s="7">
        <v>1.7569999999999999</v>
      </c>
      <c r="I11" s="7">
        <v>2.7040000000000002</v>
      </c>
      <c r="J11" s="7">
        <v>2.9449999999999998</v>
      </c>
      <c r="K11" s="7">
        <v>2.7650000000000001</v>
      </c>
      <c r="L11" s="7">
        <v>2.157</v>
      </c>
      <c r="M11" s="7">
        <v>2.1219999999999999</v>
      </c>
      <c r="N11" s="7">
        <v>1.714</v>
      </c>
      <c r="O11" s="7">
        <v>2.3879999999999999</v>
      </c>
      <c r="P11" s="7">
        <v>2.2400000000000002</v>
      </c>
      <c r="Q11" s="7">
        <v>1.9</v>
      </c>
    </row>
    <row r="12" spans="1:17">
      <c r="A12" s="2">
        <v>1960</v>
      </c>
      <c r="B12" s="7">
        <v>1.218</v>
      </c>
      <c r="C12" s="7">
        <v>1.7609999999999999</v>
      </c>
      <c r="D12" s="7">
        <v>0.76900000000000002</v>
      </c>
      <c r="E12" s="7">
        <v>1.355</v>
      </c>
      <c r="F12" s="7">
        <v>1.744</v>
      </c>
      <c r="G12" s="7">
        <v>0.85499999999999998</v>
      </c>
      <c r="H12" s="7">
        <v>1.2549999999999999</v>
      </c>
      <c r="I12" s="7">
        <v>2.827</v>
      </c>
      <c r="J12" s="7">
        <v>3.1659999999999999</v>
      </c>
      <c r="K12" s="7">
        <v>2.645</v>
      </c>
      <c r="L12" s="7">
        <v>2.3650000000000002</v>
      </c>
      <c r="M12" s="7">
        <v>2.472</v>
      </c>
      <c r="N12" s="7">
        <v>2.379</v>
      </c>
      <c r="O12" s="7">
        <v>2.4969999999999999</v>
      </c>
      <c r="P12" s="7">
        <v>2.61</v>
      </c>
      <c r="Q12" s="7">
        <v>2</v>
      </c>
    </row>
    <row r="13" spans="1:17">
      <c r="A13" s="2">
        <v>1961</v>
      </c>
      <c r="B13" s="7">
        <v>1.218</v>
      </c>
      <c r="C13" s="7">
        <v>1.7609999999999999</v>
      </c>
      <c r="D13" s="7">
        <v>0.76900000000000002</v>
      </c>
      <c r="E13" s="7">
        <v>1.355</v>
      </c>
      <c r="F13" s="7">
        <v>1.744</v>
      </c>
      <c r="G13" s="7">
        <v>0.85499999999999998</v>
      </c>
      <c r="H13" s="7">
        <v>1.2549999999999999</v>
      </c>
      <c r="I13" s="7">
        <v>2.827</v>
      </c>
      <c r="J13" s="7">
        <v>3.1659999999999999</v>
      </c>
      <c r="K13" s="7">
        <v>2.645</v>
      </c>
      <c r="L13" s="7">
        <v>2.3650000000000002</v>
      </c>
      <c r="M13" s="7">
        <v>2.472</v>
      </c>
      <c r="N13" s="7">
        <v>2.379</v>
      </c>
      <c r="O13" s="7">
        <v>2.4969999999999999</v>
      </c>
      <c r="P13" s="7">
        <v>2.61</v>
      </c>
      <c r="Q13" s="7">
        <v>2</v>
      </c>
    </row>
    <row r="14" spans="1:17">
      <c r="A14" s="2">
        <v>1962</v>
      </c>
      <c r="B14" s="7">
        <v>1.218</v>
      </c>
      <c r="C14" s="7">
        <v>1.7609999999999999</v>
      </c>
      <c r="D14" s="7">
        <v>0.76900000000000002</v>
      </c>
      <c r="E14" s="7">
        <v>1.355</v>
      </c>
      <c r="F14" s="7">
        <v>1.744</v>
      </c>
      <c r="G14" s="7">
        <v>0.85499999999999998</v>
      </c>
      <c r="H14" s="7">
        <v>1.2549999999999999</v>
      </c>
      <c r="I14" s="7">
        <v>2.827</v>
      </c>
      <c r="J14" s="7">
        <v>3.1659999999999999</v>
      </c>
      <c r="K14" s="7">
        <v>2.645</v>
      </c>
      <c r="L14" s="7">
        <v>2.3650000000000002</v>
      </c>
      <c r="M14" s="7">
        <v>2.472</v>
      </c>
      <c r="N14" s="7">
        <v>2.379</v>
      </c>
      <c r="O14" s="7">
        <v>2.4969999999999999</v>
      </c>
      <c r="P14" s="7">
        <v>2.61</v>
      </c>
      <c r="Q14" s="7">
        <v>2</v>
      </c>
    </row>
    <row r="15" spans="1:17">
      <c r="A15" s="2">
        <v>1963</v>
      </c>
      <c r="B15" s="7">
        <v>1.218</v>
      </c>
      <c r="C15" s="7">
        <v>1.7609999999999999</v>
      </c>
      <c r="D15" s="7">
        <v>0.76900000000000002</v>
      </c>
      <c r="E15" s="7">
        <v>1.355</v>
      </c>
      <c r="F15" s="7">
        <v>1.744</v>
      </c>
      <c r="G15" s="7">
        <v>0.85499999999999998</v>
      </c>
      <c r="H15" s="7">
        <v>1.2549999999999999</v>
      </c>
      <c r="I15" s="7">
        <v>2.827</v>
      </c>
      <c r="J15" s="7">
        <v>3.1659999999999999</v>
      </c>
      <c r="K15" s="7">
        <v>2.645</v>
      </c>
      <c r="L15" s="7">
        <v>2.3650000000000002</v>
      </c>
      <c r="M15" s="7">
        <v>2.472</v>
      </c>
      <c r="N15" s="7">
        <v>2.379</v>
      </c>
      <c r="O15" s="7">
        <v>2.4969999999999999</v>
      </c>
      <c r="P15" s="7">
        <v>2.61</v>
      </c>
      <c r="Q15" s="7">
        <v>2</v>
      </c>
    </row>
    <row r="16" spans="1:17">
      <c r="A16" s="2">
        <v>1964</v>
      </c>
      <c r="B16" s="7">
        <v>1.218</v>
      </c>
      <c r="C16" s="7">
        <v>1.7609999999999999</v>
      </c>
      <c r="D16" s="7">
        <v>0.76900000000000002</v>
      </c>
      <c r="E16" s="7">
        <v>1.355</v>
      </c>
      <c r="F16" s="7">
        <v>1.744</v>
      </c>
      <c r="G16" s="7">
        <v>0.85499999999999998</v>
      </c>
      <c r="H16" s="7">
        <v>1.2549999999999999</v>
      </c>
      <c r="I16" s="7">
        <v>2.827</v>
      </c>
      <c r="J16" s="7">
        <v>3.1659999999999999</v>
      </c>
      <c r="K16" s="7">
        <v>2.645</v>
      </c>
      <c r="L16" s="7">
        <v>2.3650000000000002</v>
      </c>
      <c r="M16" s="7">
        <v>2.472</v>
      </c>
      <c r="N16" s="7">
        <v>2.379</v>
      </c>
      <c r="O16" s="7">
        <v>2.4969999999999999</v>
      </c>
      <c r="P16" s="7">
        <v>2.61</v>
      </c>
      <c r="Q16" s="7">
        <v>2</v>
      </c>
    </row>
    <row r="17" spans="1:17">
      <c r="A17" s="2">
        <v>1965</v>
      </c>
      <c r="B17" s="7">
        <v>1.218</v>
      </c>
      <c r="C17" s="7">
        <v>1.7609999999999999</v>
      </c>
      <c r="D17" s="7">
        <v>0.76900000000000002</v>
      </c>
      <c r="E17" s="7">
        <v>1.355</v>
      </c>
      <c r="F17" s="7">
        <v>1.744</v>
      </c>
      <c r="G17" s="7">
        <v>0.85499999999999998</v>
      </c>
      <c r="H17" s="7">
        <v>1.2549999999999999</v>
      </c>
      <c r="I17" s="7">
        <v>2.827</v>
      </c>
      <c r="J17" s="7">
        <v>3.1659999999999999</v>
      </c>
      <c r="K17" s="7">
        <v>2.645</v>
      </c>
      <c r="L17" s="7">
        <v>2.3650000000000002</v>
      </c>
      <c r="M17" s="7">
        <v>2.472</v>
      </c>
      <c r="N17" s="7">
        <v>2.379</v>
      </c>
      <c r="O17" s="7">
        <v>2.4969999999999999</v>
      </c>
      <c r="P17" s="7">
        <v>2.61</v>
      </c>
      <c r="Q17" s="7">
        <v>2</v>
      </c>
    </row>
    <row r="18" spans="1:17">
      <c r="A18" s="2">
        <v>1966</v>
      </c>
      <c r="B18" s="7">
        <v>1.218</v>
      </c>
      <c r="C18" s="7">
        <v>1.7609999999999999</v>
      </c>
      <c r="D18" s="7">
        <v>0.76900000000000002</v>
      </c>
      <c r="E18" s="7">
        <v>1.355</v>
      </c>
      <c r="F18" s="7">
        <v>1.744</v>
      </c>
      <c r="G18" s="7">
        <v>0.85499999999999998</v>
      </c>
      <c r="H18" s="7">
        <v>1.2549999999999999</v>
      </c>
      <c r="I18" s="7">
        <v>2.827</v>
      </c>
      <c r="J18" s="7">
        <v>3.1659999999999999</v>
      </c>
      <c r="K18" s="7">
        <v>2.645</v>
      </c>
      <c r="L18" s="7">
        <v>2.3650000000000002</v>
      </c>
      <c r="M18" s="7">
        <v>2.472</v>
      </c>
      <c r="N18" s="7">
        <v>2.379</v>
      </c>
      <c r="O18" s="7">
        <v>2.4969999999999999</v>
      </c>
      <c r="P18" s="7">
        <v>2.61</v>
      </c>
      <c r="Q18" s="7">
        <v>2</v>
      </c>
    </row>
    <row r="19" spans="1:17">
      <c r="A19" s="2">
        <v>1967</v>
      </c>
      <c r="B19" s="7">
        <v>1.218</v>
      </c>
      <c r="C19" s="7">
        <v>1.7609999999999999</v>
      </c>
      <c r="D19" s="7">
        <v>0.76900000000000002</v>
      </c>
      <c r="E19" s="7">
        <v>1.355</v>
      </c>
      <c r="F19" s="7">
        <v>1.744</v>
      </c>
      <c r="G19" s="7">
        <v>0.85499999999999998</v>
      </c>
      <c r="H19" s="7">
        <v>1.2549999999999999</v>
      </c>
      <c r="I19" s="7">
        <v>2.827</v>
      </c>
      <c r="J19" s="7">
        <v>3.1659999999999999</v>
      </c>
      <c r="K19" s="7">
        <v>2.645</v>
      </c>
      <c r="L19" s="7">
        <v>2.3650000000000002</v>
      </c>
      <c r="M19" s="7">
        <v>2.472</v>
      </c>
      <c r="N19" s="7">
        <v>2.379</v>
      </c>
      <c r="O19" s="7">
        <v>2.4969999999999999</v>
      </c>
      <c r="P19" s="7">
        <v>2.61</v>
      </c>
      <c r="Q19" s="7">
        <v>2</v>
      </c>
    </row>
    <row r="20" spans="1:17">
      <c r="A20" s="2">
        <v>1968</v>
      </c>
      <c r="B20" s="7">
        <v>1.218</v>
      </c>
      <c r="C20" s="7">
        <v>1.7609999999999999</v>
      </c>
      <c r="D20" s="7">
        <v>0.76900000000000002</v>
      </c>
      <c r="E20" s="7">
        <v>1.355</v>
      </c>
      <c r="F20" s="7">
        <v>1.744</v>
      </c>
      <c r="G20" s="7">
        <v>0.85499999999999998</v>
      </c>
      <c r="H20" s="7">
        <v>1.2549999999999999</v>
      </c>
      <c r="I20" s="7">
        <v>2.827</v>
      </c>
      <c r="J20" s="7">
        <v>3.1659999999999999</v>
      </c>
      <c r="K20" s="7">
        <v>2.645</v>
      </c>
      <c r="L20" s="7">
        <v>2.3650000000000002</v>
      </c>
      <c r="M20" s="7">
        <v>2.472</v>
      </c>
      <c r="N20" s="7">
        <v>2.379</v>
      </c>
      <c r="O20" s="7">
        <v>2.4969999999999999</v>
      </c>
      <c r="P20" s="7">
        <v>2.61</v>
      </c>
      <c r="Q20" s="7">
        <v>2</v>
      </c>
    </row>
    <row r="21" spans="1:17">
      <c r="A21" s="2">
        <v>1969</v>
      </c>
      <c r="B21" s="7">
        <v>1.218</v>
      </c>
      <c r="C21" s="7">
        <v>1.7609999999999999</v>
      </c>
      <c r="D21" s="7">
        <v>0.76900000000000002</v>
      </c>
      <c r="E21" s="7">
        <v>1.355</v>
      </c>
      <c r="F21" s="7">
        <v>1.744</v>
      </c>
      <c r="G21" s="7">
        <v>0.85499999999999998</v>
      </c>
      <c r="H21" s="7">
        <v>1.2549999999999999</v>
      </c>
      <c r="I21" s="7">
        <v>2.827</v>
      </c>
      <c r="J21" s="7">
        <v>3.1659999999999999</v>
      </c>
      <c r="K21" s="7">
        <v>2.645</v>
      </c>
      <c r="L21" s="7">
        <v>2.3650000000000002</v>
      </c>
      <c r="M21" s="7">
        <v>2.472</v>
      </c>
      <c r="N21" s="7">
        <v>2.379</v>
      </c>
      <c r="O21" s="7">
        <v>2.4969999999999999</v>
      </c>
      <c r="P21" s="7">
        <v>2.61</v>
      </c>
      <c r="Q21" s="7">
        <v>2</v>
      </c>
    </row>
    <row r="22" spans="1:17">
      <c r="A22" s="2">
        <v>1970</v>
      </c>
      <c r="B22" s="7">
        <v>0.92600000000000005</v>
      </c>
      <c r="C22" s="7">
        <v>1.4359999999999999</v>
      </c>
      <c r="D22" s="7">
        <v>0.42499999999999999</v>
      </c>
      <c r="E22" s="7">
        <v>1.2929999999999999</v>
      </c>
      <c r="F22" s="7">
        <v>0.995</v>
      </c>
      <c r="G22" s="7">
        <v>0.86699999999999999</v>
      </c>
      <c r="H22" s="7">
        <v>0.89500000000000002</v>
      </c>
      <c r="I22" s="7">
        <v>3.0590000000000002</v>
      </c>
      <c r="J22" s="7">
        <v>2.923</v>
      </c>
      <c r="K22" s="7">
        <v>2.3340000000000001</v>
      </c>
      <c r="L22" s="7">
        <v>2.2770000000000001</v>
      </c>
      <c r="M22" s="7">
        <v>2.3140000000000001</v>
      </c>
      <c r="N22" s="7">
        <v>1.87</v>
      </c>
      <c r="O22" s="7">
        <v>2.488</v>
      </c>
      <c r="P22" s="7">
        <v>2.77</v>
      </c>
      <c r="Q22" s="7">
        <v>1.65</v>
      </c>
    </row>
    <row r="23" spans="1:17">
      <c r="A23" s="2">
        <v>1971</v>
      </c>
      <c r="B23" s="7">
        <v>0.92600000000000005</v>
      </c>
      <c r="C23" s="7">
        <v>1.4359999999999999</v>
      </c>
      <c r="D23" s="7">
        <v>0.42499999999999999</v>
      </c>
      <c r="E23" s="7">
        <v>1.2929999999999999</v>
      </c>
      <c r="F23" s="7">
        <v>0.995</v>
      </c>
      <c r="G23" s="7">
        <v>0.86699999999999999</v>
      </c>
      <c r="H23" s="7">
        <v>0.89500000000000002</v>
      </c>
      <c r="I23" s="7">
        <v>3.0590000000000002</v>
      </c>
      <c r="J23" s="7">
        <v>2.923</v>
      </c>
      <c r="K23" s="7">
        <v>2.3340000000000001</v>
      </c>
      <c r="L23" s="7">
        <v>2.2770000000000001</v>
      </c>
      <c r="M23" s="7">
        <v>2.3140000000000001</v>
      </c>
      <c r="N23" s="7">
        <v>1.87</v>
      </c>
      <c r="O23" s="7">
        <v>2.488</v>
      </c>
      <c r="P23" s="7">
        <v>2.77</v>
      </c>
      <c r="Q23" s="7">
        <v>1.65</v>
      </c>
    </row>
    <row r="24" spans="1:17">
      <c r="A24" s="2">
        <v>1972</v>
      </c>
      <c r="B24" s="7">
        <v>0.92600000000000005</v>
      </c>
      <c r="C24" s="7">
        <v>1.4359999999999999</v>
      </c>
      <c r="D24" s="7">
        <v>0.42499999999999999</v>
      </c>
      <c r="E24" s="7">
        <v>1.2929999999999999</v>
      </c>
      <c r="F24" s="7">
        <v>0.995</v>
      </c>
      <c r="G24" s="7">
        <v>0.86699999999999999</v>
      </c>
      <c r="H24" s="7">
        <v>0.89500000000000002</v>
      </c>
      <c r="I24" s="7">
        <v>3.0590000000000002</v>
      </c>
      <c r="J24" s="7">
        <v>2.923</v>
      </c>
      <c r="K24" s="7">
        <v>2.3340000000000001</v>
      </c>
      <c r="L24" s="7">
        <v>2.2770000000000001</v>
      </c>
      <c r="M24" s="7">
        <v>2.3140000000000001</v>
      </c>
      <c r="N24" s="7">
        <v>1.87</v>
      </c>
      <c r="O24" s="7">
        <v>2.488</v>
      </c>
      <c r="P24" s="7">
        <v>2.77</v>
      </c>
      <c r="Q24" s="7">
        <v>1.65</v>
      </c>
    </row>
    <row r="25" spans="1:17">
      <c r="A25" s="2">
        <v>1973</v>
      </c>
      <c r="B25" s="7">
        <v>0.92600000000000005</v>
      </c>
      <c r="C25" s="7">
        <v>1.4359999999999999</v>
      </c>
      <c r="D25" s="7">
        <v>0.42499999999999999</v>
      </c>
      <c r="E25" s="7">
        <v>1.2929999999999999</v>
      </c>
      <c r="F25" s="7">
        <v>0.995</v>
      </c>
      <c r="G25" s="7">
        <v>0.86699999999999999</v>
      </c>
      <c r="H25" s="7">
        <v>0.89500000000000002</v>
      </c>
      <c r="I25" s="7">
        <v>3.0590000000000002</v>
      </c>
      <c r="J25" s="7">
        <v>2.923</v>
      </c>
      <c r="K25" s="7">
        <v>2.3340000000000001</v>
      </c>
      <c r="L25" s="7">
        <v>2.2770000000000001</v>
      </c>
      <c r="M25" s="7">
        <v>2.3140000000000001</v>
      </c>
      <c r="N25" s="7">
        <v>1.87</v>
      </c>
      <c r="O25" s="7">
        <v>2.488</v>
      </c>
      <c r="P25" s="7">
        <v>2.77</v>
      </c>
      <c r="Q25" s="7">
        <v>1.65</v>
      </c>
    </row>
    <row r="26" spans="1:17">
      <c r="A26" s="2">
        <v>1974</v>
      </c>
      <c r="B26" s="7">
        <v>0.92600000000000005</v>
      </c>
      <c r="C26" s="7">
        <v>1.4359999999999999</v>
      </c>
      <c r="D26" s="7">
        <v>0.42499999999999999</v>
      </c>
      <c r="E26" s="7">
        <v>1.2929999999999999</v>
      </c>
      <c r="F26" s="7">
        <v>0.995</v>
      </c>
      <c r="G26" s="7">
        <v>0.86699999999999999</v>
      </c>
      <c r="H26" s="7">
        <v>0.89500000000000002</v>
      </c>
      <c r="I26" s="7">
        <v>3.0590000000000002</v>
      </c>
      <c r="J26" s="7">
        <v>2.923</v>
      </c>
      <c r="K26" s="7">
        <v>2.3340000000000001</v>
      </c>
      <c r="L26" s="7">
        <v>2.2770000000000001</v>
      </c>
      <c r="M26" s="7">
        <v>2.3140000000000001</v>
      </c>
      <c r="N26" s="7">
        <v>1.87</v>
      </c>
      <c r="O26" s="7">
        <v>2.488</v>
      </c>
      <c r="P26" s="7">
        <v>2.77</v>
      </c>
      <c r="Q26" s="7">
        <v>1.65</v>
      </c>
    </row>
    <row r="27" spans="1:17">
      <c r="A27" s="2">
        <v>1975</v>
      </c>
      <c r="B27" s="7">
        <v>0.92600000000000005</v>
      </c>
      <c r="C27" s="7">
        <v>1.4359999999999999</v>
      </c>
      <c r="D27" s="7">
        <v>0.42499999999999999</v>
      </c>
      <c r="E27" s="7">
        <v>1.2929999999999999</v>
      </c>
      <c r="F27" s="7">
        <v>0.995</v>
      </c>
      <c r="G27" s="7">
        <v>0.86699999999999999</v>
      </c>
      <c r="H27" s="7">
        <v>0.89500000000000002</v>
      </c>
      <c r="I27" s="7">
        <v>3.0590000000000002</v>
      </c>
      <c r="J27" s="7">
        <v>2.923</v>
      </c>
      <c r="K27" s="7">
        <v>2.3340000000000001</v>
      </c>
      <c r="L27" s="7">
        <v>2.2770000000000001</v>
      </c>
      <c r="M27" s="7">
        <v>2.3140000000000001</v>
      </c>
      <c r="N27" s="7">
        <v>1.87</v>
      </c>
      <c r="O27" s="7">
        <v>2.488</v>
      </c>
      <c r="P27" s="7">
        <v>2.77</v>
      </c>
      <c r="Q27" s="7">
        <v>1.65</v>
      </c>
    </row>
    <row r="28" spans="1:17">
      <c r="A28" s="2">
        <v>1976</v>
      </c>
      <c r="B28" s="7">
        <v>0.92600000000000005</v>
      </c>
      <c r="C28" s="7">
        <v>1.4359999999999999</v>
      </c>
      <c r="D28" s="7">
        <v>0.42499999999999999</v>
      </c>
      <c r="E28" s="7">
        <v>1.2929999999999999</v>
      </c>
      <c r="F28" s="7">
        <v>0.995</v>
      </c>
      <c r="G28" s="7">
        <v>0.86699999999999999</v>
      </c>
      <c r="H28" s="7">
        <v>0.89500000000000002</v>
      </c>
      <c r="I28" s="7">
        <v>3.0590000000000002</v>
      </c>
      <c r="J28" s="7">
        <v>2.923</v>
      </c>
      <c r="K28" s="7">
        <v>2.3340000000000001</v>
      </c>
      <c r="L28" s="7">
        <v>2.2770000000000001</v>
      </c>
      <c r="M28" s="7">
        <v>2.3140000000000001</v>
      </c>
      <c r="N28" s="7">
        <v>1.87</v>
      </c>
      <c r="O28" s="7">
        <v>2.488</v>
      </c>
      <c r="P28" s="7">
        <v>2.77</v>
      </c>
      <c r="Q28" s="7">
        <v>1.65</v>
      </c>
    </row>
    <row r="29" spans="1:17">
      <c r="A29" s="2">
        <v>1977</v>
      </c>
      <c r="B29" s="7">
        <v>0.92600000000000005</v>
      </c>
      <c r="C29" s="7">
        <v>1.4359999999999999</v>
      </c>
      <c r="D29" s="7">
        <v>0.42499999999999999</v>
      </c>
      <c r="E29" s="7">
        <v>1.2929999999999999</v>
      </c>
      <c r="F29" s="7">
        <v>0.995</v>
      </c>
      <c r="G29" s="7">
        <v>0.86699999999999999</v>
      </c>
      <c r="H29" s="7">
        <v>0.89500000000000002</v>
      </c>
      <c r="I29" s="7">
        <v>3.0590000000000002</v>
      </c>
      <c r="J29" s="7">
        <v>2.923</v>
      </c>
      <c r="K29" s="7">
        <v>2.3340000000000001</v>
      </c>
      <c r="L29" s="7">
        <v>2.2770000000000001</v>
      </c>
      <c r="M29" s="7">
        <v>2.3140000000000001</v>
      </c>
      <c r="N29" s="7">
        <v>1.87</v>
      </c>
      <c r="O29" s="7">
        <v>2.488</v>
      </c>
      <c r="P29" s="7">
        <v>2.77</v>
      </c>
      <c r="Q29" s="7">
        <v>1.65</v>
      </c>
    </row>
    <row r="30" spans="1:17">
      <c r="A30" s="2">
        <v>1978</v>
      </c>
      <c r="B30" s="7">
        <v>0.92600000000000005</v>
      </c>
      <c r="C30" s="7">
        <v>1.4359999999999999</v>
      </c>
      <c r="D30" s="7">
        <v>0.42499999999999999</v>
      </c>
      <c r="E30" s="7">
        <v>1.2929999999999999</v>
      </c>
      <c r="F30" s="7">
        <v>0.995</v>
      </c>
      <c r="G30" s="7">
        <v>0.86699999999999999</v>
      </c>
      <c r="H30" s="7">
        <v>0.89500000000000002</v>
      </c>
      <c r="I30" s="7">
        <v>3.0590000000000002</v>
      </c>
      <c r="J30" s="7">
        <v>2.923</v>
      </c>
      <c r="K30" s="7">
        <v>2.3340000000000001</v>
      </c>
      <c r="L30" s="7">
        <v>2.2770000000000001</v>
      </c>
      <c r="M30" s="7">
        <v>2.3140000000000001</v>
      </c>
      <c r="N30" s="7">
        <v>1.87</v>
      </c>
      <c r="O30" s="7">
        <v>2.488</v>
      </c>
      <c r="P30" s="7">
        <v>2.77</v>
      </c>
      <c r="Q30" s="7">
        <v>1.65</v>
      </c>
    </row>
    <row r="31" spans="1:17">
      <c r="A31" s="2">
        <v>1979</v>
      </c>
      <c r="B31" s="7">
        <v>0.92600000000000005</v>
      </c>
      <c r="C31" s="7">
        <v>1.4359999999999999</v>
      </c>
      <c r="D31" s="7">
        <v>0.42499999999999999</v>
      </c>
      <c r="E31" s="7">
        <v>1.2929999999999999</v>
      </c>
      <c r="F31" s="7">
        <v>0.995</v>
      </c>
      <c r="G31" s="7">
        <v>0.86699999999999999</v>
      </c>
      <c r="H31" s="7">
        <v>0.89500000000000002</v>
      </c>
      <c r="I31" s="7">
        <v>3.0590000000000002</v>
      </c>
      <c r="J31" s="7">
        <v>2.923</v>
      </c>
      <c r="K31" s="7">
        <v>2.3340000000000001</v>
      </c>
      <c r="L31" s="7">
        <v>2.2770000000000001</v>
      </c>
      <c r="M31" s="7">
        <v>2.3140000000000001</v>
      </c>
      <c r="N31" s="7">
        <v>1.87</v>
      </c>
      <c r="O31" s="7">
        <v>2.488</v>
      </c>
      <c r="P31" s="7">
        <v>2.77</v>
      </c>
      <c r="Q31" s="7">
        <v>1.65</v>
      </c>
    </row>
    <row r="32" spans="1:17">
      <c r="A32" s="2">
        <v>1980</v>
      </c>
      <c r="B32" s="7">
        <v>0.98299999999999998</v>
      </c>
      <c r="C32" s="7">
        <v>1.23</v>
      </c>
      <c r="D32" s="7">
        <v>0.28299999999999997</v>
      </c>
      <c r="E32" s="7">
        <v>0.71699999999999997</v>
      </c>
      <c r="F32" s="7">
        <v>0.76800000000000002</v>
      </c>
      <c r="G32" s="7">
        <v>0.51100000000000001</v>
      </c>
      <c r="H32" s="7">
        <v>0.875</v>
      </c>
      <c r="I32" s="7">
        <v>3.2949999999999999</v>
      </c>
      <c r="J32" s="7">
        <v>2.2320000000000002</v>
      </c>
      <c r="K32" s="7">
        <v>1.974</v>
      </c>
      <c r="L32" s="7">
        <v>2.214</v>
      </c>
      <c r="M32" s="7">
        <v>2.0449999999999999</v>
      </c>
      <c r="N32" s="7">
        <v>1.468</v>
      </c>
      <c r="O32" s="7">
        <v>2.5720000000000001</v>
      </c>
      <c r="P32" s="7">
        <v>2.86</v>
      </c>
      <c r="Q32" s="7">
        <v>1.53</v>
      </c>
    </row>
    <row r="33" spans="1:17">
      <c r="A33" s="2">
        <v>1981</v>
      </c>
      <c r="B33" s="7">
        <v>0.98299999999999998</v>
      </c>
      <c r="C33" s="7">
        <v>1.23</v>
      </c>
      <c r="D33" s="7">
        <v>0.28299999999999997</v>
      </c>
      <c r="E33" s="7">
        <v>0.71699999999999997</v>
      </c>
      <c r="F33" s="7">
        <v>0.76800000000000002</v>
      </c>
      <c r="G33" s="7">
        <v>0.51100000000000001</v>
      </c>
      <c r="H33" s="7">
        <v>0.875</v>
      </c>
      <c r="I33" s="7">
        <v>3.2949999999999999</v>
      </c>
      <c r="J33" s="7">
        <v>2.2320000000000002</v>
      </c>
      <c r="K33" s="7">
        <v>1.974</v>
      </c>
      <c r="L33" s="7">
        <v>2.214</v>
      </c>
      <c r="M33" s="7">
        <v>2.0449999999999999</v>
      </c>
      <c r="N33" s="7">
        <v>1.468</v>
      </c>
      <c r="O33" s="7">
        <v>2.5720000000000001</v>
      </c>
      <c r="P33" s="7">
        <v>2.86</v>
      </c>
      <c r="Q33" s="7">
        <v>1.53</v>
      </c>
    </row>
    <row r="34" spans="1:17">
      <c r="A34" s="2">
        <v>1982</v>
      </c>
      <c r="B34" s="7">
        <v>0.98299999999999998</v>
      </c>
      <c r="C34" s="7">
        <v>1.23</v>
      </c>
      <c r="D34" s="7">
        <v>0.28299999999999997</v>
      </c>
      <c r="E34" s="7">
        <v>0.71699999999999997</v>
      </c>
      <c r="F34" s="7">
        <v>0.76800000000000002</v>
      </c>
      <c r="G34" s="7">
        <v>0.51100000000000001</v>
      </c>
      <c r="H34" s="7">
        <v>0.875</v>
      </c>
      <c r="I34" s="7">
        <v>3.2949999999999999</v>
      </c>
      <c r="J34" s="7">
        <v>2.2320000000000002</v>
      </c>
      <c r="K34" s="7">
        <v>1.974</v>
      </c>
      <c r="L34" s="7">
        <v>2.214</v>
      </c>
      <c r="M34" s="7">
        <v>2.0449999999999999</v>
      </c>
      <c r="N34" s="7">
        <v>1.468</v>
      </c>
      <c r="O34" s="7">
        <v>2.5720000000000001</v>
      </c>
      <c r="P34" s="7">
        <v>2.86</v>
      </c>
      <c r="Q34" s="7">
        <v>1.53</v>
      </c>
    </row>
    <row r="35" spans="1:17">
      <c r="A35" s="2">
        <v>1983</v>
      </c>
      <c r="B35" s="7">
        <v>0.98299999999999998</v>
      </c>
      <c r="C35" s="7">
        <v>1.23</v>
      </c>
      <c r="D35" s="7">
        <v>0.28299999999999997</v>
      </c>
      <c r="E35" s="7">
        <v>0.71699999999999997</v>
      </c>
      <c r="F35" s="7">
        <v>0.76800000000000002</v>
      </c>
      <c r="G35" s="7">
        <v>0.51100000000000001</v>
      </c>
      <c r="H35" s="7">
        <v>0.875</v>
      </c>
      <c r="I35" s="7">
        <v>3.2949999999999999</v>
      </c>
      <c r="J35" s="7">
        <v>2.2320000000000002</v>
      </c>
      <c r="K35" s="7">
        <v>1.974</v>
      </c>
      <c r="L35" s="7">
        <v>2.214</v>
      </c>
      <c r="M35" s="7">
        <v>2.0449999999999999</v>
      </c>
      <c r="N35" s="7">
        <v>1.468</v>
      </c>
      <c r="O35" s="7">
        <v>2.5720000000000001</v>
      </c>
      <c r="P35" s="7">
        <v>2.86</v>
      </c>
      <c r="Q35" s="7">
        <v>1.53</v>
      </c>
    </row>
    <row r="36" spans="1:17">
      <c r="A36" s="2">
        <v>1984</v>
      </c>
      <c r="B36" s="7">
        <v>0.98299999999999998</v>
      </c>
      <c r="C36" s="7">
        <v>1.23</v>
      </c>
      <c r="D36" s="7">
        <v>0.28299999999999997</v>
      </c>
      <c r="E36" s="7">
        <v>0.71699999999999997</v>
      </c>
      <c r="F36" s="7">
        <v>0.76800000000000002</v>
      </c>
      <c r="G36" s="7">
        <v>0.51100000000000001</v>
      </c>
      <c r="H36" s="7">
        <v>0.875</v>
      </c>
      <c r="I36" s="7">
        <v>3.2949999999999999</v>
      </c>
      <c r="J36" s="7">
        <v>2.2320000000000002</v>
      </c>
      <c r="K36" s="7">
        <v>1.974</v>
      </c>
      <c r="L36" s="7">
        <v>2.214</v>
      </c>
      <c r="M36" s="7">
        <v>2.0449999999999999</v>
      </c>
      <c r="N36" s="7">
        <v>1.468</v>
      </c>
      <c r="O36" s="7">
        <v>2.5720000000000001</v>
      </c>
      <c r="P36" s="7">
        <v>2.86</v>
      </c>
      <c r="Q36" s="7">
        <v>1.53</v>
      </c>
    </row>
    <row r="37" spans="1:17">
      <c r="A37" s="2">
        <v>1985</v>
      </c>
      <c r="B37" s="7">
        <v>0.98299999999999998</v>
      </c>
      <c r="C37" s="7">
        <v>1.23</v>
      </c>
      <c r="D37" s="7">
        <v>0.28299999999999997</v>
      </c>
      <c r="E37" s="7">
        <v>0.71699999999999997</v>
      </c>
      <c r="F37" s="7">
        <v>0.76800000000000002</v>
      </c>
      <c r="G37" s="7">
        <v>0.51100000000000001</v>
      </c>
      <c r="H37" s="7">
        <v>0.875</v>
      </c>
      <c r="I37" s="7">
        <v>3.2949999999999999</v>
      </c>
      <c r="J37" s="7">
        <v>2.2320000000000002</v>
      </c>
      <c r="K37" s="7">
        <v>1.974</v>
      </c>
      <c r="L37" s="7">
        <v>2.214</v>
      </c>
      <c r="M37" s="7">
        <v>2.0449999999999999</v>
      </c>
      <c r="N37" s="7">
        <v>1.468</v>
      </c>
      <c r="O37" s="7">
        <v>2.5720000000000001</v>
      </c>
      <c r="P37" s="7">
        <v>2.86</v>
      </c>
      <c r="Q37" s="7">
        <v>1.53</v>
      </c>
    </row>
    <row r="38" spans="1:17">
      <c r="A38" s="2">
        <v>1986</v>
      </c>
      <c r="B38" s="7">
        <v>0.98299999999999998</v>
      </c>
      <c r="C38" s="7">
        <v>1.23</v>
      </c>
      <c r="D38" s="7">
        <v>0.28299999999999997</v>
      </c>
      <c r="E38" s="7">
        <v>0.71699999999999997</v>
      </c>
      <c r="F38" s="7">
        <v>0.76800000000000002</v>
      </c>
      <c r="G38" s="7">
        <v>0.51100000000000001</v>
      </c>
      <c r="H38" s="7">
        <v>0.875</v>
      </c>
      <c r="I38" s="7">
        <v>3.2949999999999999</v>
      </c>
      <c r="J38" s="7">
        <v>2.2320000000000002</v>
      </c>
      <c r="K38" s="7">
        <v>1.974</v>
      </c>
      <c r="L38" s="7">
        <v>2.214</v>
      </c>
      <c r="M38" s="7">
        <v>2.0449999999999999</v>
      </c>
      <c r="N38" s="7">
        <v>1.468</v>
      </c>
      <c r="O38" s="7">
        <v>2.5720000000000001</v>
      </c>
      <c r="P38" s="7">
        <v>2.86</v>
      </c>
      <c r="Q38" s="7">
        <v>1.53</v>
      </c>
    </row>
    <row r="39" spans="1:17">
      <c r="A39" s="2">
        <v>1987</v>
      </c>
      <c r="B39" s="7">
        <v>0.98299999999999998</v>
      </c>
      <c r="C39" s="7">
        <v>1.23</v>
      </c>
      <c r="D39" s="7">
        <v>0.28299999999999997</v>
      </c>
      <c r="E39" s="7">
        <v>0.71699999999999997</v>
      </c>
      <c r="F39" s="7">
        <v>0.76800000000000002</v>
      </c>
      <c r="G39" s="7">
        <v>0.51100000000000001</v>
      </c>
      <c r="H39" s="7">
        <v>0.875</v>
      </c>
      <c r="I39" s="7">
        <v>3.2949999999999999</v>
      </c>
      <c r="J39" s="7">
        <v>2.2320000000000002</v>
      </c>
      <c r="K39" s="7">
        <v>1.974</v>
      </c>
      <c r="L39" s="7">
        <v>2.214</v>
      </c>
      <c r="M39" s="7">
        <v>2.0449999999999999</v>
      </c>
      <c r="N39" s="7">
        <v>1.468</v>
      </c>
      <c r="O39" s="7">
        <v>2.5720000000000001</v>
      </c>
      <c r="P39" s="7">
        <v>2.86</v>
      </c>
      <c r="Q39" s="7">
        <v>1.53</v>
      </c>
    </row>
    <row r="40" spans="1:17">
      <c r="A40" s="2">
        <v>1988</v>
      </c>
      <c r="B40" s="7">
        <v>0.98299999999999998</v>
      </c>
      <c r="C40" s="7">
        <v>1.23</v>
      </c>
      <c r="D40" s="7">
        <v>0.28299999999999997</v>
      </c>
      <c r="E40" s="7">
        <v>0.71699999999999997</v>
      </c>
      <c r="F40" s="7">
        <v>0.76800000000000002</v>
      </c>
      <c r="G40" s="7">
        <v>0.51100000000000001</v>
      </c>
      <c r="H40" s="7">
        <v>0.875</v>
      </c>
      <c r="I40" s="7">
        <v>3.2949999999999999</v>
      </c>
      <c r="J40" s="7">
        <v>2.2320000000000002</v>
      </c>
      <c r="K40" s="7">
        <v>1.974</v>
      </c>
      <c r="L40" s="7">
        <v>2.214</v>
      </c>
      <c r="M40" s="7">
        <v>2.0449999999999999</v>
      </c>
      <c r="N40" s="7">
        <v>1.468</v>
      </c>
      <c r="O40" s="7">
        <v>2.5720000000000001</v>
      </c>
      <c r="P40" s="7">
        <v>2.86</v>
      </c>
      <c r="Q40" s="7">
        <v>1.53</v>
      </c>
    </row>
    <row r="41" spans="1:17">
      <c r="A41" s="2">
        <v>1989</v>
      </c>
      <c r="B41" s="7">
        <v>0.98299999999999998</v>
      </c>
      <c r="C41" s="7">
        <v>1.23</v>
      </c>
      <c r="D41" s="7">
        <v>0.28299999999999997</v>
      </c>
      <c r="E41" s="7">
        <v>0.71699999999999997</v>
      </c>
      <c r="F41" s="7">
        <v>0.76800000000000002</v>
      </c>
      <c r="G41" s="7">
        <v>0.51100000000000001</v>
      </c>
      <c r="H41" s="7">
        <v>0.875</v>
      </c>
      <c r="I41" s="7">
        <v>3.2949999999999999</v>
      </c>
      <c r="J41" s="7">
        <v>2.2320000000000002</v>
      </c>
      <c r="K41" s="7">
        <v>1.974</v>
      </c>
      <c r="L41" s="7">
        <v>2.214</v>
      </c>
      <c r="M41" s="7">
        <v>2.0449999999999999</v>
      </c>
      <c r="N41" s="7">
        <v>1.468</v>
      </c>
      <c r="O41" s="7">
        <v>2.5720000000000001</v>
      </c>
      <c r="P41" s="7">
        <v>2.86</v>
      </c>
      <c r="Q41" s="7">
        <v>1.53</v>
      </c>
    </row>
    <row r="42" spans="1:17">
      <c r="A42" s="2">
        <v>1990</v>
      </c>
      <c r="B42" s="7">
        <v>0.999</v>
      </c>
      <c r="C42" s="7">
        <v>1.2809999999999999</v>
      </c>
      <c r="D42" s="7">
        <v>0.376</v>
      </c>
      <c r="E42" s="7">
        <v>0.47799999999999998</v>
      </c>
      <c r="F42" s="7">
        <v>1.7849999999999999</v>
      </c>
      <c r="G42" s="7">
        <v>0.16300000000000001</v>
      </c>
      <c r="H42" s="7">
        <v>0.154</v>
      </c>
      <c r="I42" s="7">
        <v>2.367</v>
      </c>
      <c r="J42" s="7">
        <v>2.0379999999999998</v>
      </c>
      <c r="K42" s="7">
        <v>1.677</v>
      </c>
      <c r="L42" s="7">
        <v>1.996</v>
      </c>
      <c r="M42" s="7">
        <v>1.7350000000000001</v>
      </c>
      <c r="N42" s="7">
        <v>1.1200000000000001</v>
      </c>
      <c r="O42" s="7">
        <v>2.0289999999999999</v>
      </c>
      <c r="P42" s="7">
        <v>2.67</v>
      </c>
      <c r="Q42" s="7">
        <v>1.34</v>
      </c>
    </row>
    <row r="43" spans="1:17">
      <c r="A43" s="2">
        <v>1991</v>
      </c>
      <c r="B43" s="7">
        <v>0.999</v>
      </c>
      <c r="C43" s="7">
        <v>1.2809999999999999</v>
      </c>
      <c r="D43" s="7">
        <v>0.376</v>
      </c>
      <c r="E43" s="7">
        <v>0.47799999999999998</v>
      </c>
      <c r="F43" s="7">
        <v>1.7849999999999999</v>
      </c>
      <c r="G43" s="7">
        <v>0.16300000000000001</v>
      </c>
      <c r="H43" s="7">
        <v>0.154</v>
      </c>
      <c r="I43" s="7">
        <v>2.367</v>
      </c>
      <c r="J43" s="7">
        <v>2.0379999999999998</v>
      </c>
      <c r="K43" s="7">
        <v>1.677</v>
      </c>
      <c r="L43" s="7">
        <v>1.996</v>
      </c>
      <c r="M43" s="7">
        <v>1.7350000000000001</v>
      </c>
      <c r="N43" s="7">
        <v>1.1200000000000001</v>
      </c>
      <c r="O43" s="7">
        <v>2.0289999999999999</v>
      </c>
      <c r="P43" s="7">
        <v>2.67</v>
      </c>
      <c r="Q43" s="7">
        <v>1.34</v>
      </c>
    </row>
    <row r="44" spans="1:17">
      <c r="A44" s="2">
        <v>1992</v>
      </c>
      <c r="B44" s="7">
        <v>0.999</v>
      </c>
      <c r="C44" s="7">
        <v>1.2809999999999999</v>
      </c>
      <c r="D44" s="7">
        <v>0.376</v>
      </c>
      <c r="E44" s="7">
        <v>0.47799999999999998</v>
      </c>
      <c r="F44" s="7">
        <v>1.7849999999999999</v>
      </c>
      <c r="G44" s="7">
        <v>0.16300000000000001</v>
      </c>
      <c r="H44" s="7">
        <v>0.154</v>
      </c>
      <c r="I44" s="7">
        <v>2.367</v>
      </c>
      <c r="J44" s="7">
        <v>2.0379999999999998</v>
      </c>
      <c r="K44" s="7">
        <v>1.677</v>
      </c>
      <c r="L44" s="7">
        <v>1.996</v>
      </c>
      <c r="M44" s="7">
        <v>1.7350000000000001</v>
      </c>
      <c r="N44" s="7">
        <v>1.1200000000000001</v>
      </c>
      <c r="O44" s="7">
        <v>2.0289999999999999</v>
      </c>
      <c r="P44" s="7">
        <v>2.67</v>
      </c>
      <c r="Q44" s="7">
        <v>1.34</v>
      </c>
    </row>
    <row r="45" spans="1:17">
      <c r="A45" s="2">
        <v>1993</v>
      </c>
      <c r="B45" s="7">
        <v>0.999</v>
      </c>
      <c r="C45" s="7">
        <v>1.2809999999999999</v>
      </c>
      <c r="D45" s="7">
        <v>0.376</v>
      </c>
      <c r="E45" s="7">
        <v>0.47799999999999998</v>
      </c>
      <c r="F45" s="7">
        <v>1.7849999999999999</v>
      </c>
      <c r="G45" s="7">
        <v>0.16300000000000001</v>
      </c>
      <c r="H45" s="7">
        <v>0.154</v>
      </c>
      <c r="I45" s="7">
        <v>2.367</v>
      </c>
      <c r="J45" s="7">
        <v>2.0379999999999998</v>
      </c>
      <c r="K45" s="7">
        <v>1.677</v>
      </c>
      <c r="L45" s="7">
        <v>1.996</v>
      </c>
      <c r="M45" s="7">
        <v>1.7350000000000001</v>
      </c>
      <c r="N45" s="7">
        <v>1.1200000000000001</v>
      </c>
      <c r="O45" s="7">
        <v>2.0289999999999999</v>
      </c>
      <c r="P45" s="7">
        <v>2.67</v>
      </c>
      <c r="Q45" s="7">
        <v>1.34</v>
      </c>
    </row>
    <row r="46" spans="1:17">
      <c r="A46" s="2">
        <v>1994</v>
      </c>
      <c r="B46" s="7">
        <v>0.999</v>
      </c>
      <c r="C46" s="7">
        <v>1.2809999999999999</v>
      </c>
      <c r="D46" s="7">
        <v>0.376</v>
      </c>
      <c r="E46" s="7">
        <v>0.47799999999999998</v>
      </c>
      <c r="F46" s="7">
        <v>1.7849999999999999</v>
      </c>
      <c r="G46" s="7">
        <v>0.16300000000000001</v>
      </c>
      <c r="H46" s="7">
        <v>0.154</v>
      </c>
      <c r="I46" s="7">
        <v>2.367</v>
      </c>
      <c r="J46" s="7">
        <v>2.0379999999999998</v>
      </c>
      <c r="K46" s="7">
        <v>1.677</v>
      </c>
      <c r="L46" s="7">
        <v>1.996</v>
      </c>
      <c r="M46" s="7">
        <v>1.7350000000000001</v>
      </c>
      <c r="N46" s="7">
        <v>1.1200000000000001</v>
      </c>
      <c r="O46" s="7">
        <v>2.0289999999999999</v>
      </c>
      <c r="P46" s="7">
        <v>2.67</v>
      </c>
      <c r="Q46" s="7">
        <v>1.34</v>
      </c>
    </row>
    <row r="47" spans="1:17">
      <c r="A47" s="2">
        <v>1995</v>
      </c>
      <c r="B47" s="7">
        <v>0.83499999999999996</v>
      </c>
      <c r="C47" s="7">
        <v>1.012</v>
      </c>
      <c r="D47" s="7">
        <v>0.193</v>
      </c>
      <c r="E47" s="7">
        <v>0.36599999999999999</v>
      </c>
      <c r="F47" s="7">
        <v>1.0169999999999999</v>
      </c>
      <c r="G47" s="7">
        <v>3.1E-2</v>
      </c>
      <c r="H47" s="7">
        <v>-1.9E-2</v>
      </c>
      <c r="I47" s="7">
        <v>2.2440000000000002</v>
      </c>
      <c r="J47" s="7">
        <v>1.859</v>
      </c>
      <c r="K47" s="7">
        <v>1.536</v>
      </c>
      <c r="L47" s="7">
        <v>1.8169999999999999</v>
      </c>
      <c r="M47" s="7">
        <v>1.5429999999999999</v>
      </c>
      <c r="N47" s="7">
        <v>0.93799999999999994</v>
      </c>
      <c r="O47" s="7">
        <v>1.9590000000000001</v>
      </c>
      <c r="P47" s="7">
        <v>2.52</v>
      </c>
      <c r="Q47" s="7">
        <v>1.3779999999999999</v>
      </c>
    </row>
    <row r="48" spans="1:17">
      <c r="A48" s="2">
        <v>1996</v>
      </c>
      <c r="B48" s="7">
        <v>0.83499999999999996</v>
      </c>
      <c r="C48" s="7">
        <v>1.012</v>
      </c>
      <c r="D48" s="7">
        <v>0.193</v>
      </c>
      <c r="E48" s="7">
        <v>0.36599999999999999</v>
      </c>
      <c r="F48" s="7">
        <v>1.0169999999999999</v>
      </c>
      <c r="G48" s="7">
        <v>3.1E-2</v>
      </c>
      <c r="H48" s="7">
        <v>-1.9E-2</v>
      </c>
      <c r="I48" s="7">
        <v>2.2440000000000002</v>
      </c>
      <c r="J48" s="7">
        <v>1.859</v>
      </c>
      <c r="K48" s="7">
        <v>1.536</v>
      </c>
      <c r="L48" s="7">
        <v>1.8169999999999999</v>
      </c>
      <c r="M48" s="7">
        <v>1.5429999999999999</v>
      </c>
      <c r="N48" s="7">
        <v>0.93799999999999994</v>
      </c>
      <c r="O48" s="7">
        <v>1.9590000000000001</v>
      </c>
      <c r="P48" s="7">
        <v>2.52</v>
      </c>
      <c r="Q48" s="7">
        <v>1.3779999999999999</v>
      </c>
    </row>
    <row r="49" spans="1:17">
      <c r="A49" s="2">
        <v>1997</v>
      </c>
      <c r="B49" s="7">
        <v>0.83499999999999996</v>
      </c>
      <c r="C49" s="7">
        <v>1.012</v>
      </c>
      <c r="D49" s="7">
        <v>0.193</v>
      </c>
      <c r="E49" s="7">
        <v>0.36599999999999999</v>
      </c>
      <c r="F49" s="7">
        <v>1.0169999999999999</v>
      </c>
      <c r="G49" s="7">
        <v>3.1E-2</v>
      </c>
      <c r="H49" s="7">
        <v>-1.9E-2</v>
      </c>
      <c r="I49" s="7">
        <v>2.2440000000000002</v>
      </c>
      <c r="J49" s="7">
        <v>1.859</v>
      </c>
      <c r="K49" s="7">
        <v>1.536</v>
      </c>
      <c r="L49" s="7">
        <v>1.8169999999999999</v>
      </c>
      <c r="M49" s="7">
        <v>1.5429999999999999</v>
      </c>
      <c r="N49" s="7">
        <v>0.93799999999999994</v>
      </c>
      <c r="O49" s="7">
        <v>1.9590000000000001</v>
      </c>
      <c r="P49" s="7">
        <v>2.52</v>
      </c>
      <c r="Q49" s="7">
        <v>1.3779999999999999</v>
      </c>
    </row>
    <row r="50" spans="1:17">
      <c r="A50" s="2">
        <v>1998</v>
      </c>
      <c r="B50" s="7">
        <v>0.83499999999999996</v>
      </c>
      <c r="C50" s="7">
        <v>1.012</v>
      </c>
      <c r="D50" s="7">
        <v>0.193</v>
      </c>
      <c r="E50" s="7">
        <v>0.36599999999999999</v>
      </c>
      <c r="F50" s="7">
        <v>1.0169999999999999</v>
      </c>
      <c r="G50" s="7">
        <v>3.1E-2</v>
      </c>
      <c r="H50" s="7">
        <v>-1.9E-2</v>
      </c>
      <c r="I50" s="7">
        <v>2.2440000000000002</v>
      </c>
      <c r="J50" s="7">
        <v>1.859</v>
      </c>
      <c r="K50" s="7">
        <v>1.536</v>
      </c>
      <c r="L50" s="7">
        <v>1.8169999999999999</v>
      </c>
      <c r="M50" s="7">
        <v>1.5429999999999999</v>
      </c>
      <c r="N50" s="7">
        <v>0.93799999999999994</v>
      </c>
      <c r="O50" s="7">
        <v>1.9590000000000001</v>
      </c>
      <c r="P50" s="7">
        <v>2.52</v>
      </c>
      <c r="Q50" s="7">
        <v>1.3779999999999999</v>
      </c>
    </row>
    <row r="51" spans="1:17">
      <c r="A51" s="2">
        <v>1999</v>
      </c>
      <c r="B51" s="7">
        <v>0.83499999999999996</v>
      </c>
      <c r="C51" s="7">
        <v>1.012</v>
      </c>
      <c r="D51" s="7">
        <v>0.193</v>
      </c>
      <c r="E51" s="7">
        <v>0.36599999999999999</v>
      </c>
      <c r="F51" s="7">
        <v>1.0169999999999999</v>
      </c>
      <c r="G51" s="7">
        <v>3.1E-2</v>
      </c>
      <c r="H51" s="7">
        <v>-1.9E-2</v>
      </c>
      <c r="I51" s="7">
        <v>2.2440000000000002</v>
      </c>
      <c r="J51" s="7">
        <v>1.859</v>
      </c>
      <c r="K51" s="7">
        <v>1.536</v>
      </c>
      <c r="L51" s="7">
        <v>1.8169999999999999</v>
      </c>
      <c r="M51" s="7">
        <v>1.5429999999999999</v>
      </c>
      <c r="N51" s="7">
        <v>0.93799999999999994</v>
      </c>
      <c r="O51" s="7">
        <v>1.9590000000000001</v>
      </c>
      <c r="P51" s="7">
        <v>2.52</v>
      </c>
      <c r="Q51" s="7">
        <v>1.3779999999999999</v>
      </c>
    </row>
    <row r="52" spans="1:17">
      <c r="A52" s="2">
        <v>2000</v>
      </c>
      <c r="B52" s="7">
        <v>0.78200000000000003</v>
      </c>
      <c r="C52" s="7">
        <v>0.94299999999999995</v>
      </c>
      <c r="D52" s="7">
        <v>0.184</v>
      </c>
      <c r="E52" s="7">
        <v>0.42299999999999999</v>
      </c>
      <c r="F52" s="7">
        <v>1.016</v>
      </c>
      <c r="G52" s="7">
        <v>3.7999999999999999E-2</v>
      </c>
      <c r="H52" s="7">
        <v>-8.0000000000000002E-3</v>
      </c>
      <c r="I52" s="7">
        <v>2.222</v>
      </c>
      <c r="J52" s="7">
        <v>1.7809999999999999</v>
      </c>
      <c r="K52" s="7">
        <v>1.4870000000000001</v>
      </c>
      <c r="L52" s="7">
        <v>1.7649999999999999</v>
      </c>
      <c r="M52" s="7">
        <v>1.5169999999999999</v>
      </c>
      <c r="N52" s="7">
        <v>0.92100000000000004</v>
      </c>
      <c r="O52" s="7">
        <v>1.986</v>
      </c>
      <c r="P52" s="7">
        <v>2.496</v>
      </c>
      <c r="Q52" s="7">
        <v>1.3440000000000001</v>
      </c>
    </row>
    <row r="53" spans="1:17">
      <c r="A53" s="2">
        <v>2001</v>
      </c>
      <c r="B53" s="7">
        <v>0.72899999999999998</v>
      </c>
      <c r="C53" s="7">
        <v>0.873</v>
      </c>
      <c r="D53" s="7">
        <v>0.17599999999999999</v>
      </c>
      <c r="E53" s="7">
        <v>0.48099999999999998</v>
      </c>
      <c r="F53" s="7">
        <v>1.014</v>
      </c>
      <c r="G53" s="7">
        <v>4.3999999999999997E-2</v>
      </c>
      <c r="H53" s="7">
        <v>3.0000000000000001E-3</v>
      </c>
      <c r="I53" s="7">
        <v>2.2000000000000002</v>
      </c>
      <c r="J53" s="7">
        <v>1.7030000000000001</v>
      </c>
      <c r="K53" s="7">
        <v>1.4390000000000001</v>
      </c>
      <c r="L53" s="7">
        <v>1.714</v>
      </c>
      <c r="M53" s="7">
        <v>1.49</v>
      </c>
      <c r="N53" s="7">
        <v>0.90400000000000003</v>
      </c>
      <c r="O53" s="7">
        <v>2.012</v>
      </c>
      <c r="P53" s="7">
        <v>2.4710000000000001</v>
      </c>
      <c r="Q53" s="7">
        <v>1.31</v>
      </c>
    </row>
    <row r="54" spans="1:17">
      <c r="A54" s="2">
        <v>2002</v>
      </c>
      <c r="B54" s="7">
        <v>0.67600000000000005</v>
      </c>
      <c r="C54" s="7">
        <v>0.80400000000000005</v>
      </c>
      <c r="D54" s="7">
        <v>0.16700000000000001</v>
      </c>
      <c r="E54" s="7">
        <v>0.53900000000000003</v>
      </c>
      <c r="F54" s="7">
        <v>1.012</v>
      </c>
      <c r="G54" s="7">
        <v>0.05</v>
      </c>
      <c r="H54" s="7">
        <v>1.2999999999999999E-2</v>
      </c>
      <c r="I54" s="7">
        <v>2.177</v>
      </c>
      <c r="J54" s="7">
        <v>1.625</v>
      </c>
      <c r="K54" s="7">
        <v>1.39</v>
      </c>
      <c r="L54" s="7">
        <v>1.6619999999999999</v>
      </c>
      <c r="M54" s="7">
        <v>1.4630000000000001</v>
      </c>
      <c r="N54" s="7">
        <v>0.88600000000000001</v>
      </c>
      <c r="O54" s="7">
        <v>2.0390000000000001</v>
      </c>
      <c r="P54" s="7">
        <v>2.4460000000000002</v>
      </c>
      <c r="Q54" s="7">
        <v>1.2749999999999999</v>
      </c>
    </row>
    <row r="55" spans="1:17">
      <c r="A55" s="2">
        <v>2003</v>
      </c>
      <c r="B55" s="7">
        <v>0.622</v>
      </c>
      <c r="C55" s="7">
        <v>0.73499999999999999</v>
      </c>
      <c r="D55" s="7">
        <v>0.159</v>
      </c>
      <c r="E55" s="7">
        <v>0.59599999999999997</v>
      </c>
      <c r="F55" s="7">
        <v>1.0109999999999999</v>
      </c>
      <c r="G55" s="7">
        <v>5.6000000000000001E-2</v>
      </c>
      <c r="H55" s="7">
        <v>2.4E-2</v>
      </c>
      <c r="I55" s="7">
        <v>2.1549999999999998</v>
      </c>
      <c r="J55" s="7">
        <v>1.5469999999999999</v>
      </c>
      <c r="K55" s="7">
        <v>1.341</v>
      </c>
      <c r="L55" s="7">
        <v>1.611</v>
      </c>
      <c r="M55" s="7">
        <v>1.4370000000000001</v>
      </c>
      <c r="N55" s="7">
        <v>0.86899999999999999</v>
      </c>
      <c r="O55" s="7">
        <v>2.0649999999999999</v>
      </c>
      <c r="P55" s="7">
        <v>2.4220000000000002</v>
      </c>
      <c r="Q55" s="7">
        <v>1.2410000000000001</v>
      </c>
    </row>
    <row r="56" spans="1:17">
      <c r="A56" s="2">
        <v>2004</v>
      </c>
      <c r="B56" s="7">
        <v>0.56899999999999995</v>
      </c>
      <c r="C56" s="7">
        <v>0.66600000000000004</v>
      </c>
      <c r="D56" s="7">
        <v>0.151</v>
      </c>
      <c r="E56" s="7">
        <v>0.65400000000000003</v>
      </c>
      <c r="F56" s="7">
        <v>1.0089999999999999</v>
      </c>
      <c r="G56" s="7">
        <v>6.3E-2</v>
      </c>
      <c r="H56" s="7">
        <v>3.5000000000000003E-2</v>
      </c>
      <c r="I56" s="7">
        <v>2.133</v>
      </c>
      <c r="J56" s="7">
        <v>1.4690000000000001</v>
      </c>
      <c r="K56" s="7">
        <v>1.292</v>
      </c>
      <c r="L56" s="7">
        <v>1.5589999999999999</v>
      </c>
      <c r="M56" s="7">
        <v>1.41</v>
      </c>
      <c r="N56" s="7">
        <v>0.85199999999999998</v>
      </c>
      <c r="O56" s="7">
        <v>2.0910000000000002</v>
      </c>
      <c r="P56" s="7">
        <v>2.3969999999999998</v>
      </c>
      <c r="Q56" s="7">
        <v>1.206</v>
      </c>
    </row>
    <row r="57" spans="1:17">
      <c r="A57" s="2">
        <v>2005</v>
      </c>
      <c r="B57" s="7">
        <v>0.51600000000000001</v>
      </c>
      <c r="C57" s="7">
        <v>0.59599999999999997</v>
      </c>
      <c r="D57" s="7">
        <v>0.14199999999999999</v>
      </c>
      <c r="E57" s="7">
        <v>0.71199999999999997</v>
      </c>
      <c r="F57" s="7">
        <v>1.008</v>
      </c>
      <c r="G57" s="7">
        <v>6.9000000000000006E-2</v>
      </c>
      <c r="H57" s="7">
        <v>4.5999999999999999E-2</v>
      </c>
      <c r="I57" s="7">
        <v>2.1110000000000002</v>
      </c>
      <c r="J57" s="7">
        <v>1.391</v>
      </c>
      <c r="K57" s="7">
        <v>1.244</v>
      </c>
      <c r="L57" s="7">
        <v>1.508</v>
      </c>
      <c r="M57" s="7">
        <v>1.383</v>
      </c>
      <c r="N57" s="7">
        <v>0.83499999999999996</v>
      </c>
      <c r="O57" s="7">
        <v>2.1179999999999999</v>
      </c>
      <c r="P57" s="7">
        <v>2.3730000000000002</v>
      </c>
      <c r="Q57" s="7">
        <v>1.1719999999999999</v>
      </c>
    </row>
    <row r="58" spans="1:17">
      <c r="A58" s="2">
        <v>2006</v>
      </c>
      <c r="B58" s="7">
        <v>0.46300000000000002</v>
      </c>
      <c r="C58" s="7">
        <v>0.52700000000000002</v>
      </c>
      <c r="D58" s="7">
        <v>0.13400000000000001</v>
      </c>
      <c r="E58" s="7">
        <v>0.76900000000000002</v>
      </c>
      <c r="F58" s="7">
        <v>1.006</v>
      </c>
      <c r="G58" s="7">
        <v>7.4999999999999997E-2</v>
      </c>
      <c r="H58" s="7">
        <v>5.7000000000000002E-2</v>
      </c>
      <c r="I58" s="7">
        <v>2.089</v>
      </c>
      <c r="J58" s="7">
        <v>1.3129999999999999</v>
      </c>
      <c r="K58" s="7">
        <v>1.1950000000000001</v>
      </c>
      <c r="L58" s="7">
        <v>1.456</v>
      </c>
      <c r="M58" s="7">
        <v>1.357</v>
      </c>
      <c r="N58" s="7">
        <v>0.81799999999999995</v>
      </c>
      <c r="O58" s="7">
        <v>2.1440000000000001</v>
      </c>
      <c r="P58" s="7">
        <v>2.3479999999999999</v>
      </c>
      <c r="Q58" s="7">
        <v>1.1379999999999999</v>
      </c>
    </row>
    <row r="59" spans="1:17">
      <c r="A59" s="2">
        <v>2007</v>
      </c>
      <c r="B59" s="7">
        <v>0.41</v>
      </c>
      <c r="C59" s="7">
        <v>0.45800000000000002</v>
      </c>
      <c r="D59" s="7">
        <v>0.125</v>
      </c>
      <c r="E59" s="7">
        <v>0.82699999999999996</v>
      </c>
      <c r="F59" s="7">
        <v>1.0049999999999999</v>
      </c>
      <c r="G59" s="7">
        <v>8.1000000000000003E-2</v>
      </c>
      <c r="H59" s="7">
        <v>6.8000000000000005E-2</v>
      </c>
      <c r="I59" s="7">
        <v>2.0670000000000002</v>
      </c>
      <c r="J59" s="7">
        <v>1.234</v>
      </c>
      <c r="K59" s="7">
        <v>1.1459999999999999</v>
      </c>
      <c r="L59" s="7">
        <v>1.405</v>
      </c>
      <c r="M59" s="7">
        <v>1.33</v>
      </c>
      <c r="N59" s="7">
        <v>0.80100000000000005</v>
      </c>
      <c r="O59" s="7">
        <v>2.1709999999999998</v>
      </c>
      <c r="P59" s="7">
        <v>2.3239999999999998</v>
      </c>
      <c r="Q59" s="7">
        <v>1.103</v>
      </c>
    </row>
    <row r="60" spans="1:17">
      <c r="A60" s="2">
        <v>2008</v>
      </c>
      <c r="B60" s="7">
        <v>0.35599999999999998</v>
      </c>
      <c r="C60" s="7">
        <v>0.38900000000000001</v>
      </c>
      <c r="D60" s="7">
        <v>0.11700000000000001</v>
      </c>
      <c r="E60" s="7">
        <v>0.88500000000000001</v>
      </c>
      <c r="F60" s="7">
        <v>1.0029999999999999</v>
      </c>
      <c r="G60" s="7">
        <v>8.7999999999999995E-2</v>
      </c>
      <c r="H60" s="7">
        <v>7.8E-2</v>
      </c>
      <c r="I60" s="7">
        <v>2.044</v>
      </c>
      <c r="J60" s="7">
        <v>1.1559999999999999</v>
      </c>
      <c r="K60" s="7">
        <v>1.097</v>
      </c>
      <c r="L60" s="7">
        <v>1.353</v>
      </c>
      <c r="M60" s="7">
        <v>1.3029999999999999</v>
      </c>
      <c r="N60" s="7">
        <v>0.78400000000000003</v>
      </c>
      <c r="O60" s="7">
        <v>2.1970000000000001</v>
      </c>
      <c r="P60" s="7">
        <v>2.2989999999999999</v>
      </c>
      <c r="Q60" s="7">
        <v>1.069</v>
      </c>
    </row>
    <row r="61" spans="1:17">
      <c r="A61" s="2">
        <v>2009</v>
      </c>
      <c r="B61" s="7">
        <v>0.30299999999999999</v>
      </c>
      <c r="C61" s="7">
        <v>0.31900000000000001</v>
      </c>
      <c r="D61" s="7">
        <v>0.108</v>
      </c>
      <c r="E61" s="7">
        <v>0.94199999999999995</v>
      </c>
      <c r="F61" s="7">
        <v>1.002</v>
      </c>
      <c r="G61" s="7">
        <v>9.4E-2</v>
      </c>
      <c r="H61" s="7">
        <v>8.8999999999999996E-2</v>
      </c>
      <c r="I61" s="7">
        <v>2.0219999999999998</v>
      </c>
      <c r="J61" s="7">
        <v>1.0780000000000001</v>
      </c>
      <c r="K61" s="7">
        <v>1.0489999999999999</v>
      </c>
      <c r="L61" s="7">
        <v>1.302</v>
      </c>
      <c r="M61" s="7">
        <v>1.2769999999999999</v>
      </c>
      <c r="N61" s="7">
        <v>0.76700000000000002</v>
      </c>
      <c r="O61" s="7">
        <v>2.2240000000000002</v>
      </c>
      <c r="P61" s="7">
        <v>2.2749999999999999</v>
      </c>
      <c r="Q61" s="7">
        <v>1.034</v>
      </c>
    </row>
    <row r="62" spans="1:17">
      <c r="A62" s="2">
        <v>2010</v>
      </c>
      <c r="B62" s="7">
        <v>0.25</v>
      </c>
      <c r="C62" s="7">
        <v>0.25</v>
      </c>
      <c r="D62" s="7">
        <v>0.1</v>
      </c>
      <c r="E62" s="7">
        <v>1</v>
      </c>
      <c r="F62" s="7">
        <v>1</v>
      </c>
      <c r="G62" s="7">
        <v>0.1</v>
      </c>
      <c r="H62" s="7">
        <v>0.1</v>
      </c>
      <c r="I62" s="7">
        <v>2</v>
      </c>
      <c r="J62" s="7">
        <v>1</v>
      </c>
      <c r="K62" s="7">
        <v>1</v>
      </c>
      <c r="L62" s="7">
        <v>1.25</v>
      </c>
      <c r="M62" s="7">
        <v>1.25</v>
      </c>
      <c r="N62" s="7">
        <v>0.75</v>
      </c>
      <c r="O62" s="7">
        <v>2.25</v>
      </c>
      <c r="P62" s="7">
        <v>2.25</v>
      </c>
      <c r="Q62" s="7">
        <v>1</v>
      </c>
    </row>
    <row r="63" spans="1:17">
      <c r="A63" s="2">
        <v>2011</v>
      </c>
      <c r="B63" s="7">
        <v>0.23</v>
      </c>
      <c r="C63" s="7">
        <v>0.23</v>
      </c>
      <c r="D63" s="7">
        <v>9.5000000000000001E-2</v>
      </c>
      <c r="E63" s="7">
        <v>0.95</v>
      </c>
      <c r="F63" s="7">
        <v>0.95</v>
      </c>
      <c r="G63" s="7">
        <v>9.5000000000000001E-2</v>
      </c>
      <c r="H63" s="7">
        <v>9.5000000000000001E-2</v>
      </c>
      <c r="I63" s="7">
        <v>1.95</v>
      </c>
      <c r="J63" s="7">
        <v>0.97499999999999998</v>
      </c>
      <c r="K63" s="7">
        <v>0.97499999999999998</v>
      </c>
      <c r="L63" s="7">
        <v>1.2250000000000001</v>
      </c>
      <c r="M63" s="7">
        <v>1.2250000000000001</v>
      </c>
      <c r="N63" s="7">
        <v>0.72499999999999998</v>
      </c>
      <c r="O63" s="7">
        <v>2.2000000000000002</v>
      </c>
      <c r="P63" s="7">
        <v>2.2000000000000002</v>
      </c>
      <c r="Q63" s="7">
        <v>0.97499999999999998</v>
      </c>
    </row>
    <row r="64" spans="1:17">
      <c r="A64" s="2">
        <v>2012</v>
      </c>
      <c r="B64" s="7">
        <v>0.21</v>
      </c>
      <c r="C64" s="7">
        <v>0.21</v>
      </c>
      <c r="D64" s="7">
        <v>0.09</v>
      </c>
      <c r="E64" s="7">
        <v>0.9</v>
      </c>
      <c r="F64" s="7">
        <v>0.9</v>
      </c>
      <c r="G64" s="7">
        <v>0.09</v>
      </c>
      <c r="H64" s="7">
        <v>0.09</v>
      </c>
      <c r="I64" s="7">
        <v>1.9</v>
      </c>
      <c r="J64" s="7">
        <v>0.95</v>
      </c>
      <c r="K64" s="7">
        <v>0.95</v>
      </c>
      <c r="L64" s="7">
        <v>1.2</v>
      </c>
      <c r="M64" s="7">
        <v>1.2</v>
      </c>
      <c r="N64" s="7">
        <v>0.7</v>
      </c>
      <c r="O64" s="7">
        <v>2.15</v>
      </c>
      <c r="P64" s="7">
        <v>2.15</v>
      </c>
      <c r="Q64" s="7">
        <v>0.95</v>
      </c>
    </row>
    <row r="65" spans="1:17">
      <c r="A65" s="2">
        <v>2013</v>
      </c>
      <c r="B65" s="7">
        <v>0.19</v>
      </c>
      <c r="C65" s="7">
        <v>0.19</v>
      </c>
      <c r="D65" s="7">
        <v>8.5000000000000006E-2</v>
      </c>
      <c r="E65" s="7">
        <v>0.85</v>
      </c>
      <c r="F65" s="7">
        <v>0.85</v>
      </c>
      <c r="G65" s="7">
        <v>8.5000000000000006E-2</v>
      </c>
      <c r="H65" s="7">
        <v>8.5000000000000006E-2</v>
      </c>
      <c r="I65" s="7">
        <v>1.85</v>
      </c>
      <c r="J65" s="7">
        <v>0.92500000000000004</v>
      </c>
      <c r="K65" s="7">
        <v>0.92500000000000004</v>
      </c>
      <c r="L65" s="7">
        <v>1.175</v>
      </c>
      <c r="M65" s="7">
        <v>1.175</v>
      </c>
      <c r="N65" s="7">
        <v>0.67500000000000004</v>
      </c>
      <c r="O65" s="7">
        <v>2.1</v>
      </c>
      <c r="P65" s="7">
        <v>2.1</v>
      </c>
      <c r="Q65" s="7">
        <v>0.92500000000000004</v>
      </c>
    </row>
    <row r="66" spans="1:17">
      <c r="A66" s="2">
        <v>2014</v>
      </c>
      <c r="B66" s="7">
        <v>0.17</v>
      </c>
      <c r="C66" s="7">
        <v>0.17</v>
      </c>
      <c r="D66" s="7">
        <v>0.08</v>
      </c>
      <c r="E66" s="7">
        <v>0.8</v>
      </c>
      <c r="F66" s="7">
        <v>0.8</v>
      </c>
      <c r="G66" s="7">
        <v>0.08</v>
      </c>
      <c r="H66" s="7">
        <v>0.08</v>
      </c>
      <c r="I66" s="7">
        <v>1.8</v>
      </c>
      <c r="J66" s="7">
        <v>0.9</v>
      </c>
      <c r="K66" s="7">
        <v>0.9</v>
      </c>
      <c r="L66" s="7">
        <v>1.1499999999999999</v>
      </c>
      <c r="M66" s="7">
        <v>1.1499999999999999</v>
      </c>
      <c r="N66" s="7">
        <v>0.65</v>
      </c>
      <c r="O66" s="7">
        <v>2.0499999999999998</v>
      </c>
      <c r="P66" s="7">
        <v>2.0499999999999998</v>
      </c>
      <c r="Q66" s="7">
        <v>0.9</v>
      </c>
    </row>
    <row r="67" spans="1:17">
      <c r="A67" s="2">
        <v>2015</v>
      </c>
      <c r="B67" s="7">
        <v>0.15</v>
      </c>
      <c r="C67" s="7">
        <v>0.15</v>
      </c>
      <c r="D67" s="7">
        <v>7.4999999999999997E-2</v>
      </c>
      <c r="E67" s="7">
        <v>0.75</v>
      </c>
      <c r="F67" s="7">
        <v>0.75</v>
      </c>
      <c r="G67" s="7">
        <v>7.4999999999999997E-2</v>
      </c>
      <c r="H67" s="7">
        <v>7.4999999999999997E-2</v>
      </c>
      <c r="I67" s="7">
        <v>1.75</v>
      </c>
      <c r="J67" s="7">
        <v>0.875</v>
      </c>
      <c r="K67" s="7">
        <v>0.875</v>
      </c>
      <c r="L67" s="7">
        <v>1.125</v>
      </c>
      <c r="M67" s="7">
        <v>1.125</v>
      </c>
      <c r="N67" s="7">
        <v>0.625</v>
      </c>
      <c r="O67" s="7">
        <v>2</v>
      </c>
      <c r="P67" s="7">
        <v>2</v>
      </c>
      <c r="Q67" s="7">
        <v>0.875</v>
      </c>
    </row>
    <row r="68" spans="1:17">
      <c r="A68" s="2">
        <v>2016</v>
      </c>
      <c r="B68" s="7">
        <v>0.13</v>
      </c>
      <c r="C68" s="7">
        <v>0.13</v>
      </c>
      <c r="D68" s="7">
        <v>7.0000000000000007E-2</v>
      </c>
      <c r="E68" s="7">
        <v>0.7</v>
      </c>
      <c r="F68" s="7">
        <v>0.7</v>
      </c>
      <c r="G68" s="7">
        <v>7.0000000000000007E-2</v>
      </c>
      <c r="H68" s="7">
        <v>7.0000000000000007E-2</v>
      </c>
      <c r="I68" s="7">
        <v>1.7</v>
      </c>
      <c r="J68" s="7">
        <v>0.85</v>
      </c>
      <c r="K68" s="7">
        <v>0.85</v>
      </c>
      <c r="L68" s="7">
        <v>1.1000000000000001</v>
      </c>
      <c r="M68" s="7">
        <v>1.1000000000000001</v>
      </c>
      <c r="N68" s="7">
        <v>0.6</v>
      </c>
      <c r="O68" s="7">
        <v>1.95</v>
      </c>
      <c r="P68" s="7">
        <v>1.95</v>
      </c>
      <c r="Q68" s="7">
        <v>0.85</v>
      </c>
    </row>
    <row r="69" spans="1:17">
      <c r="A69" s="2">
        <v>2017</v>
      </c>
      <c r="B69" s="7">
        <v>0.11</v>
      </c>
      <c r="C69" s="7">
        <v>0.11</v>
      </c>
      <c r="D69" s="7">
        <v>6.5000000000000002E-2</v>
      </c>
      <c r="E69" s="7">
        <v>0.65</v>
      </c>
      <c r="F69" s="7">
        <v>0.65</v>
      </c>
      <c r="G69" s="7">
        <v>6.5000000000000002E-2</v>
      </c>
      <c r="H69" s="7">
        <v>6.5000000000000002E-2</v>
      </c>
      <c r="I69" s="7">
        <v>1.65</v>
      </c>
      <c r="J69" s="7">
        <v>0.82499999999999996</v>
      </c>
      <c r="K69" s="7">
        <v>0.82499999999999996</v>
      </c>
      <c r="L69" s="7">
        <v>1.075</v>
      </c>
      <c r="M69" s="7">
        <v>1.075</v>
      </c>
      <c r="N69" s="7">
        <v>0.57499999999999996</v>
      </c>
      <c r="O69" s="7">
        <v>1.9</v>
      </c>
      <c r="P69" s="7">
        <v>1.9</v>
      </c>
      <c r="Q69" s="7">
        <v>0.82499999999999996</v>
      </c>
    </row>
    <row r="70" spans="1:17">
      <c r="A70" s="2">
        <v>2018</v>
      </c>
      <c r="B70" s="7">
        <v>0.09</v>
      </c>
      <c r="C70" s="7">
        <v>0.09</v>
      </c>
      <c r="D70" s="7">
        <v>0.06</v>
      </c>
      <c r="E70" s="7">
        <v>0.6</v>
      </c>
      <c r="F70" s="7">
        <v>0.6</v>
      </c>
      <c r="G70" s="7">
        <v>0.06</v>
      </c>
      <c r="H70" s="7">
        <v>0.06</v>
      </c>
      <c r="I70" s="7">
        <v>1.6</v>
      </c>
      <c r="J70" s="7">
        <v>0.8</v>
      </c>
      <c r="K70" s="7">
        <v>0.8</v>
      </c>
      <c r="L70" s="7">
        <v>1.05</v>
      </c>
      <c r="M70" s="7">
        <v>1.05</v>
      </c>
      <c r="N70" s="7">
        <v>0.55000000000000004</v>
      </c>
      <c r="O70" s="7">
        <v>1.85</v>
      </c>
      <c r="P70" s="7">
        <v>1.85</v>
      </c>
      <c r="Q70" s="7">
        <v>0.8</v>
      </c>
    </row>
    <row r="71" spans="1:17">
      <c r="A71" s="2">
        <v>2019</v>
      </c>
      <c r="B71" s="7">
        <v>7.0000000000000007E-2</v>
      </c>
      <c r="C71" s="7">
        <v>7.0000000000000007E-2</v>
      </c>
      <c r="D71" s="7">
        <v>5.5E-2</v>
      </c>
      <c r="E71" s="7">
        <v>0.55000000000000004</v>
      </c>
      <c r="F71" s="7">
        <v>0.55000000000000004</v>
      </c>
      <c r="G71" s="7">
        <v>5.5E-2</v>
      </c>
      <c r="H71" s="7">
        <v>5.5E-2</v>
      </c>
      <c r="I71" s="7">
        <v>1.55</v>
      </c>
      <c r="J71" s="7">
        <v>0.77500000000000002</v>
      </c>
      <c r="K71" s="7">
        <v>0.77500000000000002</v>
      </c>
      <c r="L71" s="7">
        <v>1.0249999999999999</v>
      </c>
      <c r="M71" s="7">
        <v>1.0249999999999999</v>
      </c>
      <c r="N71" s="7">
        <v>0.52500000000000002</v>
      </c>
      <c r="O71" s="7">
        <v>1.8</v>
      </c>
      <c r="P71" s="7">
        <v>1.8</v>
      </c>
      <c r="Q71" s="7">
        <v>0.77500000000000002</v>
      </c>
    </row>
    <row r="72" spans="1:17">
      <c r="A72" s="2">
        <v>2020</v>
      </c>
      <c r="B72" s="7">
        <v>0.05</v>
      </c>
      <c r="C72" s="7">
        <v>0.05</v>
      </c>
      <c r="D72" s="7">
        <v>0.05</v>
      </c>
      <c r="E72" s="7">
        <v>0.5</v>
      </c>
      <c r="F72" s="7">
        <v>0.5</v>
      </c>
      <c r="G72" s="7">
        <v>0.05</v>
      </c>
      <c r="H72" s="7">
        <v>0.05</v>
      </c>
      <c r="I72" s="7">
        <v>1.5</v>
      </c>
      <c r="J72" s="7">
        <v>0.75</v>
      </c>
      <c r="K72" s="7">
        <v>0.75</v>
      </c>
      <c r="L72" s="7">
        <v>1</v>
      </c>
      <c r="M72" s="7">
        <v>1</v>
      </c>
      <c r="N72" s="7">
        <v>0.5</v>
      </c>
      <c r="O72" s="7">
        <v>1.75</v>
      </c>
      <c r="P72" s="7">
        <v>1.75</v>
      </c>
      <c r="Q72" s="7">
        <v>0.75</v>
      </c>
    </row>
    <row r="73" spans="1:17">
      <c r="A73" s="2">
        <v>2021</v>
      </c>
      <c r="B73" s="7">
        <v>4.4999999999999998E-2</v>
      </c>
      <c r="C73" s="7">
        <v>4.4999999999999998E-2</v>
      </c>
      <c r="D73" s="7">
        <v>4.4999999999999998E-2</v>
      </c>
      <c r="E73" s="7">
        <v>0.47499999999999998</v>
      </c>
      <c r="F73" s="7">
        <v>0.47499999999999998</v>
      </c>
      <c r="G73" s="7">
        <v>4.4999999999999998E-2</v>
      </c>
      <c r="H73" s="7">
        <v>4.4999999999999998E-2</v>
      </c>
      <c r="I73" s="7">
        <v>1.45</v>
      </c>
      <c r="J73" s="7">
        <v>0.72499999999999998</v>
      </c>
      <c r="K73" s="7">
        <v>0.72499999999999998</v>
      </c>
      <c r="L73" s="7">
        <v>0.97499999999999998</v>
      </c>
      <c r="M73" s="7">
        <v>0.97499999999999998</v>
      </c>
      <c r="N73" s="7">
        <v>0.47499999999999998</v>
      </c>
      <c r="O73" s="7">
        <v>1.7</v>
      </c>
      <c r="P73" s="7">
        <v>1.7</v>
      </c>
      <c r="Q73" s="7">
        <v>0.72499999999999998</v>
      </c>
    </row>
    <row r="74" spans="1:17">
      <c r="A74" s="2">
        <v>2022</v>
      </c>
      <c r="B74" s="7">
        <v>0.04</v>
      </c>
      <c r="C74" s="7">
        <v>0.04</v>
      </c>
      <c r="D74" s="7">
        <v>0.04</v>
      </c>
      <c r="E74" s="7">
        <v>0.45</v>
      </c>
      <c r="F74" s="7">
        <v>0.45</v>
      </c>
      <c r="G74" s="7">
        <v>0.04</v>
      </c>
      <c r="H74" s="7">
        <v>0.04</v>
      </c>
      <c r="I74" s="7">
        <v>1.4</v>
      </c>
      <c r="J74" s="7">
        <v>0.7</v>
      </c>
      <c r="K74" s="7">
        <v>0.7</v>
      </c>
      <c r="L74" s="7">
        <v>0.95</v>
      </c>
      <c r="M74" s="7">
        <v>0.95</v>
      </c>
      <c r="N74" s="7">
        <v>0.45</v>
      </c>
      <c r="O74" s="7">
        <v>1.65</v>
      </c>
      <c r="P74" s="7">
        <v>1.65</v>
      </c>
      <c r="Q74" s="7">
        <v>0.7</v>
      </c>
    </row>
    <row r="75" spans="1:17">
      <c r="A75" s="2">
        <v>2023</v>
      </c>
      <c r="B75" s="7">
        <v>3.5000000000000003E-2</v>
      </c>
      <c r="C75" s="7">
        <v>3.5000000000000003E-2</v>
      </c>
      <c r="D75" s="7">
        <v>3.5000000000000003E-2</v>
      </c>
      <c r="E75" s="7">
        <v>0.42499999999999999</v>
      </c>
      <c r="F75" s="7">
        <v>0.42499999999999999</v>
      </c>
      <c r="G75" s="7">
        <v>3.5000000000000003E-2</v>
      </c>
      <c r="H75" s="7">
        <v>3.5000000000000003E-2</v>
      </c>
      <c r="I75" s="7">
        <v>1.35</v>
      </c>
      <c r="J75" s="7">
        <v>0.67500000000000004</v>
      </c>
      <c r="K75" s="7">
        <v>0.67500000000000004</v>
      </c>
      <c r="L75" s="7">
        <v>0.92500000000000004</v>
      </c>
      <c r="M75" s="7">
        <v>0.92500000000000004</v>
      </c>
      <c r="N75" s="7">
        <v>0.42499999999999999</v>
      </c>
      <c r="O75" s="7">
        <v>1.6</v>
      </c>
      <c r="P75" s="7">
        <v>1.6</v>
      </c>
      <c r="Q75" s="7">
        <v>0.67500000000000004</v>
      </c>
    </row>
    <row r="76" spans="1:17">
      <c r="A76" s="2">
        <v>2024</v>
      </c>
      <c r="B76" s="7">
        <v>0.03</v>
      </c>
      <c r="C76" s="7">
        <v>0.03</v>
      </c>
      <c r="D76" s="7">
        <v>0.03</v>
      </c>
      <c r="E76" s="7">
        <v>0.4</v>
      </c>
      <c r="F76" s="7">
        <v>0.4</v>
      </c>
      <c r="G76" s="7">
        <v>0.03</v>
      </c>
      <c r="H76" s="7">
        <v>0.03</v>
      </c>
      <c r="I76" s="7">
        <v>1.3</v>
      </c>
      <c r="J76" s="7">
        <v>0.65</v>
      </c>
      <c r="K76" s="7">
        <v>0.65</v>
      </c>
      <c r="L76" s="7">
        <v>0.9</v>
      </c>
      <c r="M76" s="7">
        <v>0.9</v>
      </c>
      <c r="N76" s="7">
        <v>0.4</v>
      </c>
      <c r="O76" s="7">
        <v>1.55</v>
      </c>
      <c r="P76" s="7">
        <v>1.55</v>
      </c>
      <c r="Q76" s="7">
        <v>0.65</v>
      </c>
    </row>
    <row r="77" spans="1:17">
      <c r="A77" s="2">
        <v>2025</v>
      </c>
      <c r="B77" s="7">
        <v>2.5000000000000001E-2</v>
      </c>
      <c r="C77" s="7">
        <v>2.5000000000000001E-2</v>
      </c>
      <c r="D77" s="7">
        <v>2.5000000000000001E-2</v>
      </c>
      <c r="E77" s="7">
        <v>0.375</v>
      </c>
      <c r="F77" s="7">
        <v>0.375</v>
      </c>
      <c r="G77" s="7">
        <v>2.5000000000000001E-2</v>
      </c>
      <c r="H77" s="7">
        <v>2.5000000000000001E-2</v>
      </c>
      <c r="I77" s="7">
        <v>1.25</v>
      </c>
      <c r="J77" s="7">
        <v>0.625</v>
      </c>
      <c r="K77" s="7">
        <v>0.625</v>
      </c>
      <c r="L77" s="7">
        <v>0.875</v>
      </c>
      <c r="M77" s="7">
        <v>0.875</v>
      </c>
      <c r="N77" s="7">
        <v>0.375</v>
      </c>
      <c r="O77" s="7">
        <v>1.5</v>
      </c>
      <c r="P77" s="7">
        <v>1.5</v>
      </c>
      <c r="Q77" s="7">
        <v>0.625</v>
      </c>
    </row>
    <row r="78" spans="1:17">
      <c r="A78" s="2">
        <v>2026</v>
      </c>
      <c r="B78" s="7">
        <v>0.02</v>
      </c>
      <c r="C78" s="7">
        <v>0.02</v>
      </c>
      <c r="D78" s="7">
        <v>0.02</v>
      </c>
      <c r="E78" s="7">
        <v>0.35</v>
      </c>
      <c r="F78" s="7">
        <v>0.35</v>
      </c>
      <c r="G78" s="7">
        <v>0.02</v>
      </c>
      <c r="H78" s="7">
        <v>0.02</v>
      </c>
      <c r="I78" s="7">
        <v>1.2</v>
      </c>
      <c r="J78" s="7">
        <v>0.6</v>
      </c>
      <c r="K78" s="7">
        <v>0.6</v>
      </c>
      <c r="L78" s="7">
        <v>0.85</v>
      </c>
      <c r="M78" s="7">
        <v>0.85</v>
      </c>
      <c r="N78" s="7">
        <v>0.35</v>
      </c>
      <c r="O78" s="7">
        <v>1.45</v>
      </c>
      <c r="P78" s="7">
        <v>1.45</v>
      </c>
      <c r="Q78" s="7">
        <v>0.6</v>
      </c>
    </row>
    <row r="79" spans="1:17">
      <c r="A79" s="2">
        <v>2027</v>
      </c>
      <c r="B79" s="7">
        <v>1.4999999999999999E-2</v>
      </c>
      <c r="C79" s="7">
        <v>1.4999999999999999E-2</v>
      </c>
      <c r="D79" s="7">
        <v>1.4999999999999999E-2</v>
      </c>
      <c r="E79" s="7">
        <v>0.32500000000000001</v>
      </c>
      <c r="F79" s="7">
        <v>0.32500000000000001</v>
      </c>
      <c r="G79" s="7">
        <v>1.4999999999999999E-2</v>
      </c>
      <c r="H79" s="7">
        <v>1.4999999999999999E-2</v>
      </c>
      <c r="I79" s="7">
        <v>1.1499999999999999</v>
      </c>
      <c r="J79" s="7">
        <v>0.57499999999999996</v>
      </c>
      <c r="K79" s="7">
        <v>0.57499999999999996</v>
      </c>
      <c r="L79" s="7">
        <v>0.82499999999999996</v>
      </c>
      <c r="M79" s="7">
        <v>0.82499999999999996</v>
      </c>
      <c r="N79" s="7">
        <v>0.32500000000000001</v>
      </c>
      <c r="O79" s="7">
        <v>1.4</v>
      </c>
      <c r="P79" s="7">
        <v>1.4</v>
      </c>
      <c r="Q79" s="7">
        <v>0.57499999999999996</v>
      </c>
    </row>
    <row r="80" spans="1:17">
      <c r="A80" s="2">
        <v>2028</v>
      </c>
      <c r="B80" s="7">
        <v>0.01</v>
      </c>
      <c r="C80" s="7">
        <v>0.01</v>
      </c>
      <c r="D80" s="7">
        <v>0.01</v>
      </c>
      <c r="E80" s="7">
        <v>0.3</v>
      </c>
      <c r="F80" s="7">
        <v>0.3</v>
      </c>
      <c r="G80" s="7">
        <v>0.01</v>
      </c>
      <c r="H80" s="7">
        <v>0.01</v>
      </c>
      <c r="I80" s="7">
        <v>1.1000000000000001</v>
      </c>
      <c r="J80" s="7">
        <v>0.55000000000000004</v>
      </c>
      <c r="K80" s="7">
        <v>0.55000000000000004</v>
      </c>
      <c r="L80" s="7">
        <v>0.8</v>
      </c>
      <c r="M80" s="7">
        <v>0.8</v>
      </c>
      <c r="N80" s="7">
        <v>0.3</v>
      </c>
      <c r="O80" s="7">
        <v>1.35</v>
      </c>
      <c r="P80" s="7">
        <v>1.35</v>
      </c>
      <c r="Q80" s="7">
        <v>0.55000000000000004</v>
      </c>
    </row>
    <row r="81" spans="1:17">
      <c r="A81" s="2">
        <v>2029</v>
      </c>
      <c r="B81" s="7">
        <v>5.0000000000000001E-3</v>
      </c>
      <c r="C81" s="7">
        <v>5.0000000000000001E-3</v>
      </c>
      <c r="D81" s="7">
        <v>5.0000000000000001E-3</v>
      </c>
      <c r="E81" s="7">
        <v>0.27500000000000002</v>
      </c>
      <c r="F81" s="7">
        <v>0.27500000000000002</v>
      </c>
      <c r="G81" s="7">
        <v>5.0000000000000001E-3</v>
      </c>
      <c r="H81" s="7">
        <v>5.0000000000000001E-3</v>
      </c>
      <c r="I81" s="7">
        <v>1.05</v>
      </c>
      <c r="J81" s="7">
        <v>0.52500000000000002</v>
      </c>
      <c r="K81" s="7">
        <v>0.52500000000000002</v>
      </c>
      <c r="L81" s="7">
        <v>0.77500000000000002</v>
      </c>
      <c r="M81" s="7">
        <v>0.77500000000000002</v>
      </c>
      <c r="N81" s="7">
        <v>0.27500000000000002</v>
      </c>
      <c r="O81" s="7">
        <v>1.3</v>
      </c>
      <c r="P81" s="7">
        <v>1.3</v>
      </c>
      <c r="Q81" s="7">
        <v>0.52500000000000002</v>
      </c>
    </row>
    <row r="82" spans="1:17">
      <c r="A82" s="2">
        <v>2030</v>
      </c>
      <c r="B82" s="7">
        <v>0</v>
      </c>
      <c r="C82" s="7">
        <v>0</v>
      </c>
      <c r="D82" s="7">
        <v>0</v>
      </c>
      <c r="E82" s="7">
        <v>0.25</v>
      </c>
      <c r="F82" s="7">
        <v>0.25</v>
      </c>
      <c r="G82" s="7">
        <v>0</v>
      </c>
      <c r="H82" s="7">
        <v>0</v>
      </c>
      <c r="I82" s="7">
        <v>1</v>
      </c>
      <c r="J82" s="7">
        <v>0.5</v>
      </c>
      <c r="K82" s="7">
        <v>0.5</v>
      </c>
      <c r="L82" s="7">
        <v>0.75</v>
      </c>
      <c r="M82" s="7">
        <v>0.75</v>
      </c>
      <c r="N82" s="7">
        <v>0.25</v>
      </c>
      <c r="O82" s="7">
        <v>1.25</v>
      </c>
      <c r="P82" s="7">
        <v>1.25</v>
      </c>
      <c r="Q82" s="7">
        <v>0.5</v>
      </c>
    </row>
    <row r="83" spans="1:17">
      <c r="A83" s="2">
        <v>2031</v>
      </c>
      <c r="B83" s="7">
        <v>0</v>
      </c>
      <c r="C83" s="7">
        <v>0</v>
      </c>
      <c r="D83" s="7">
        <v>0</v>
      </c>
      <c r="E83" s="7">
        <v>0.25</v>
      </c>
      <c r="F83" s="7">
        <v>0.25</v>
      </c>
      <c r="G83" s="7">
        <v>0</v>
      </c>
      <c r="H83" s="7">
        <v>0</v>
      </c>
      <c r="I83" s="7">
        <v>0.97499999999999998</v>
      </c>
      <c r="J83" s="7">
        <v>0.5</v>
      </c>
      <c r="K83" s="7">
        <v>0.5</v>
      </c>
      <c r="L83" s="7">
        <v>0.75</v>
      </c>
      <c r="M83" s="7">
        <v>0.75</v>
      </c>
      <c r="N83" s="7">
        <v>0.25</v>
      </c>
      <c r="O83" s="7">
        <v>1.2250000000000001</v>
      </c>
      <c r="P83" s="7">
        <v>1.2250000000000001</v>
      </c>
      <c r="Q83" s="7">
        <v>0.5</v>
      </c>
    </row>
    <row r="84" spans="1:17">
      <c r="A84" s="2">
        <v>2032</v>
      </c>
      <c r="B84" s="7">
        <v>0</v>
      </c>
      <c r="C84" s="7">
        <v>0</v>
      </c>
      <c r="D84" s="7">
        <v>0</v>
      </c>
      <c r="E84" s="7">
        <v>0.25</v>
      </c>
      <c r="F84" s="7">
        <v>0.25</v>
      </c>
      <c r="G84" s="7">
        <v>0</v>
      </c>
      <c r="H84" s="7">
        <v>0</v>
      </c>
      <c r="I84" s="7">
        <v>0.95</v>
      </c>
      <c r="J84" s="7">
        <v>0.5</v>
      </c>
      <c r="K84" s="7">
        <v>0.5</v>
      </c>
      <c r="L84" s="7">
        <v>0.75</v>
      </c>
      <c r="M84" s="7">
        <v>0.75</v>
      </c>
      <c r="N84" s="7">
        <v>0.25</v>
      </c>
      <c r="O84" s="7">
        <v>1.2</v>
      </c>
      <c r="P84" s="7">
        <v>1.2</v>
      </c>
      <c r="Q84" s="7">
        <v>0.5</v>
      </c>
    </row>
    <row r="85" spans="1:17">
      <c r="A85" s="2">
        <v>2033</v>
      </c>
      <c r="B85" s="7">
        <v>0</v>
      </c>
      <c r="C85" s="7">
        <v>0</v>
      </c>
      <c r="D85" s="7">
        <v>0</v>
      </c>
      <c r="E85" s="7">
        <v>0.25</v>
      </c>
      <c r="F85" s="7">
        <v>0.25</v>
      </c>
      <c r="G85" s="7">
        <v>0</v>
      </c>
      <c r="H85" s="7">
        <v>0</v>
      </c>
      <c r="I85" s="7">
        <v>0.92500000000000004</v>
      </c>
      <c r="J85" s="7">
        <v>0.5</v>
      </c>
      <c r="K85" s="7">
        <v>0.5</v>
      </c>
      <c r="L85" s="7">
        <v>0.75</v>
      </c>
      <c r="M85" s="7">
        <v>0.75</v>
      </c>
      <c r="N85" s="7">
        <v>0.25</v>
      </c>
      <c r="O85" s="7">
        <v>1.175</v>
      </c>
      <c r="P85" s="7">
        <v>1.175</v>
      </c>
      <c r="Q85" s="7">
        <v>0.5</v>
      </c>
    </row>
    <row r="86" spans="1:17">
      <c r="A86" s="2">
        <v>2034</v>
      </c>
      <c r="B86" s="7">
        <v>0</v>
      </c>
      <c r="C86" s="7">
        <v>0</v>
      </c>
      <c r="D86" s="7">
        <v>0</v>
      </c>
      <c r="E86" s="7">
        <v>0.25</v>
      </c>
      <c r="F86" s="7">
        <v>0.25</v>
      </c>
      <c r="G86" s="7">
        <v>0</v>
      </c>
      <c r="H86" s="7">
        <v>0</v>
      </c>
      <c r="I86" s="7">
        <v>0.9</v>
      </c>
      <c r="J86" s="7">
        <v>0.5</v>
      </c>
      <c r="K86" s="7">
        <v>0.5</v>
      </c>
      <c r="L86" s="7">
        <v>0.75</v>
      </c>
      <c r="M86" s="7">
        <v>0.75</v>
      </c>
      <c r="N86" s="7">
        <v>0.25</v>
      </c>
      <c r="O86" s="7">
        <v>1.1499999999999999</v>
      </c>
      <c r="P86" s="7">
        <v>1.1499999999999999</v>
      </c>
      <c r="Q86" s="7">
        <v>0.5</v>
      </c>
    </row>
    <row r="87" spans="1:17">
      <c r="A87" s="2">
        <v>2035</v>
      </c>
      <c r="B87" s="7">
        <v>0</v>
      </c>
      <c r="C87" s="7">
        <v>0</v>
      </c>
      <c r="D87" s="7">
        <v>0</v>
      </c>
      <c r="E87" s="7">
        <v>0.25</v>
      </c>
      <c r="F87" s="7">
        <v>0.25</v>
      </c>
      <c r="G87" s="7">
        <v>0</v>
      </c>
      <c r="H87" s="7">
        <v>0</v>
      </c>
      <c r="I87" s="7">
        <v>0.875</v>
      </c>
      <c r="J87" s="7">
        <v>0.5</v>
      </c>
      <c r="K87" s="7">
        <v>0.5</v>
      </c>
      <c r="L87" s="7">
        <v>0.75</v>
      </c>
      <c r="M87" s="7">
        <v>0.75</v>
      </c>
      <c r="N87" s="7">
        <v>0.25</v>
      </c>
      <c r="O87" s="7">
        <v>1.125</v>
      </c>
      <c r="P87" s="7">
        <v>1.125</v>
      </c>
      <c r="Q87" s="7">
        <v>0.5</v>
      </c>
    </row>
    <row r="88" spans="1:17">
      <c r="A88" s="2">
        <v>2036</v>
      </c>
      <c r="B88" s="7">
        <v>0</v>
      </c>
      <c r="C88" s="7">
        <v>0</v>
      </c>
      <c r="D88" s="7">
        <v>0</v>
      </c>
      <c r="E88" s="7">
        <v>0.25</v>
      </c>
      <c r="F88" s="7">
        <v>0.25</v>
      </c>
      <c r="G88" s="7">
        <v>0</v>
      </c>
      <c r="H88" s="7">
        <v>0</v>
      </c>
      <c r="I88" s="7">
        <v>0.85</v>
      </c>
      <c r="J88" s="7">
        <v>0.5</v>
      </c>
      <c r="K88" s="7">
        <v>0.5</v>
      </c>
      <c r="L88" s="7">
        <v>0.75</v>
      </c>
      <c r="M88" s="7">
        <v>0.75</v>
      </c>
      <c r="N88" s="7">
        <v>0.25</v>
      </c>
      <c r="O88" s="7">
        <v>1.1000000000000001</v>
      </c>
      <c r="P88" s="7">
        <v>1.1000000000000001</v>
      </c>
      <c r="Q88" s="7">
        <v>0.5</v>
      </c>
    </row>
    <row r="89" spans="1:17">
      <c r="A89" s="2">
        <v>2037</v>
      </c>
      <c r="B89" s="7">
        <v>0</v>
      </c>
      <c r="C89" s="7">
        <v>0</v>
      </c>
      <c r="D89" s="7">
        <v>0</v>
      </c>
      <c r="E89" s="7">
        <v>0.25</v>
      </c>
      <c r="F89" s="7">
        <v>0.25</v>
      </c>
      <c r="G89" s="7">
        <v>0</v>
      </c>
      <c r="H89" s="7">
        <v>0</v>
      </c>
      <c r="I89" s="7">
        <v>0.82499999999999996</v>
      </c>
      <c r="J89" s="7">
        <v>0.5</v>
      </c>
      <c r="K89" s="7">
        <v>0.5</v>
      </c>
      <c r="L89" s="7">
        <v>0.75</v>
      </c>
      <c r="M89" s="7">
        <v>0.75</v>
      </c>
      <c r="N89" s="7">
        <v>0.25</v>
      </c>
      <c r="O89" s="7">
        <v>1.075</v>
      </c>
      <c r="P89" s="7">
        <v>1.075</v>
      </c>
      <c r="Q89" s="7">
        <v>0.5</v>
      </c>
    </row>
    <row r="90" spans="1:17">
      <c r="A90" s="2">
        <v>2038</v>
      </c>
      <c r="B90" s="7">
        <v>0</v>
      </c>
      <c r="C90" s="7">
        <v>0</v>
      </c>
      <c r="D90" s="7">
        <v>0</v>
      </c>
      <c r="E90" s="7">
        <v>0.25</v>
      </c>
      <c r="F90" s="7">
        <v>0.25</v>
      </c>
      <c r="G90" s="7">
        <v>0</v>
      </c>
      <c r="H90" s="7">
        <v>0</v>
      </c>
      <c r="I90" s="7">
        <v>0.8</v>
      </c>
      <c r="J90" s="7">
        <v>0.5</v>
      </c>
      <c r="K90" s="7">
        <v>0.5</v>
      </c>
      <c r="L90" s="7">
        <v>0.75</v>
      </c>
      <c r="M90" s="7">
        <v>0.75</v>
      </c>
      <c r="N90" s="7">
        <v>0.25</v>
      </c>
      <c r="O90" s="7">
        <v>1.05</v>
      </c>
      <c r="P90" s="7">
        <v>1.05</v>
      </c>
      <c r="Q90" s="7">
        <v>0.5</v>
      </c>
    </row>
    <row r="91" spans="1:17">
      <c r="A91" s="2">
        <v>2039</v>
      </c>
      <c r="B91" s="7">
        <v>0</v>
      </c>
      <c r="C91" s="7">
        <v>0</v>
      </c>
      <c r="D91" s="7">
        <v>0</v>
      </c>
      <c r="E91" s="7">
        <v>0.25</v>
      </c>
      <c r="F91" s="7">
        <v>0.25</v>
      </c>
      <c r="G91" s="7">
        <v>0</v>
      </c>
      <c r="H91" s="7">
        <v>0</v>
      </c>
      <c r="I91" s="7">
        <v>0.77500000000000002</v>
      </c>
      <c r="J91" s="7">
        <v>0.5</v>
      </c>
      <c r="K91" s="7">
        <v>0.5</v>
      </c>
      <c r="L91" s="7">
        <v>0.75</v>
      </c>
      <c r="M91" s="7">
        <v>0.75</v>
      </c>
      <c r="N91" s="7">
        <v>0.25</v>
      </c>
      <c r="O91" s="7">
        <v>1.0249999999999999</v>
      </c>
      <c r="P91" s="7">
        <v>1.0249999999999999</v>
      </c>
      <c r="Q91" s="7">
        <v>0.5</v>
      </c>
    </row>
    <row r="92" spans="1:17">
      <c r="A92" s="2">
        <v>2040</v>
      </c>
      <c r="B92" s="7">
        <v>0</v>
      </c>
      <c r="C92" s="7">
        <v>0</v>
      </c>
      <c r="D92" s="7">
        <v>0</v>
      </c>
      <c r="E92" s="7">
        <v>0.25</v>
      </c>
      <c r="F92" s="7">
        <v>0.25</v>
      </c>
      <c r="G92" s="7">
        <v>0</v>
      </c>
      <c r="H92" s="7">
        <v>0</v>
      </c>
      <c r="I92" s="7">
        <v>0.75</v>
      </c>
      <c r="J92" s="7">
        <v>0.5</v>
      </c>
      <c r="K92" s="7">
        <v>0.5</v>
      </c>
      <c r="L92" s="7">
        <v>0.75</v>
      </c>
      <c r="M92" s="7">
        <v>0.75</v>
      </c>
      <c r="N92" s="7">
        <v>0.25</v>
      </c>
      <c r="O92" s="7">
        <v>1</v>
      </c>
      <c r="P92" s="7">
        <v>1</v>
      </c>
      <c r="Q92" s="7">
        <v>0.5</v>
      </c>
    </row>
    <row r="93" spans="1:17">
      <c r="A93" s="2">
        <v>2041</v>
      </c>
      <c r="B93" s="7">
        <v>-5.0000000000000001E-3</v>
      </c>
      <c r="C93" s="7">
        <v>-5.0000000000000001E-3</v>
      </c>
      <c r="D93" s="7">
        <v>-5.0000000000000001E-3</v>
      </c>
      <c r="E93" s="7">
        <v>0.23499999999999999</v>
      </c>
      <c r="F93" s="7">
        <v>0.23499999999999999</v>
      </c>
      <c r="G93" s="7">
        <v>-5.0000000000000001E-3</v>
      </c>
      <c r="H93" s="7">
        <v>-5.0000000000000001E-3</v>
      </c>
      <c r="I93" s="7">
        <v>0.72499999999999998</v>
      </c>
      <c r="J93" s="7">
        <v>0.47499999999999998</v>
      </c>
      <c r="K93" s="7">
        <v>0.47499999999999998</v>
      </c>
      <c r="L93" s="7">
        <v>0.72499999999999998</v>
      </c>
      <c r="M93" s="7">
        <v>0.72499999999999998</v>
      </c>
      <c r="N93" s="7">
        <v>0.23499999999999999</v>
      </c>
      <c r="O93" s="7">
        <v>0.97499999999999998</v>
      </c>
      <c r="P93" s="7">
        <v>0.97499999999999998</v>
      </c>
      <c r="Q93" s="7">
        <v>0.47499999999999998</v>
      </c>
    </row>
    <row r="94" spans="1:17">
      <c r="A94" s="2">
        <v>2042</v>
      </c>
      <c r="B94" s="7">
        <v>-0.01</v>
      </c>
      <c r="C94" s="7">
        <v>-0.01</v>
      </c>
      <c r="D94" s="7">
        <v>-0.01</v>
      </c>
      <c r="E94" s="7">
        <v>0.22</v>
      </c>
      <c r="F94" s="7">
        <v>0.22</v>
      </c>
      <c r="G94" s="7">
        <v>-0.01</v>
      </c>
      <c r="H94" s="7">
        <v>-0.01</v>
      </c>
      <c r="I94" s="7">
        <v>0.7</v>
      </c>
      <c r="J94" s="7">
        <v>0.45</v>
      </c>
      <c r="K94" s="7">
        <v>0.45</v>
      </c>
      <c r="L94" s="7">
        <v>0.7</v>
      </c>
      <c r="M94" s="7">
        <v>0.7</v>
      </c>
      <c r="N94" s="7">
        <v>0.22</v>
      </c>
      <c r="O94" s="7">
        <v>0.95</v>
      </c>
      <c r="P94" s="7">
        <v>0.95</v>
      </c>
      <c r="Q94" s="7">
        <v>0.45</v>
      </c>
    </row>
    <row r="95" spans="1:17">
      <c r="A95" s="2">
        <v>2043</v>
      </c>
      <c r="B95" s="7">
        <v>-1.4999999999999999E-2</v>
      </c>
      <c r="C95" s="7">
        <v>-1.4999999999999999E-2</v>
      </c>
      <c r="D95" s="7">
        <v>-1.4999999999999999E-2</v>
      </c>
      <c r="E95" s="7">
        <v>0.20499999999999999</v>
      </c>
      <c r="F95" s="7">
        <v>0.20499999999999999</v>
      </c>
      <c r="G95" s="7">
        <v>-1.4999999999999999E-2</v>
      </c>
      <c r="H95" s="7">
        <v>-1.4999999999999999E-2</v>
      </c>
      <c r="I95" s="7">
        <v>0.67500000000000004</v>
      </c>
      <c r="J95" s="7">
        <v>0.42499999999999999</v>
      </c>
      <c r="K95" s="7">
        <v>0.42499999999999999</v>
      </c>
      <c r="L95" s="7">
        <v>0.67500000000000004</v>
      </c>
      <c r="M95" s="7">
        <v>0.67500000000000004</v>
      </c>
      <c r="N95" s="7">
        <v>0.20499999999999999</v>
      </c>
      <c r="O95" s="7">
        <v>0.92500000000000004</v>
      </c>
      <c r="P95" s="7">
        <v>0.92500000000000004</v>
      </c>
      <c r="Q95" s="7">
        <v>0.42499999999999999</v>
      </c>
    </row>
    <row r="96" spans="1:17">
      <c r="A96" s="2">
        <v>2044</v>
      </c>
      <c r="B96" s="7">
        <v>-0.02</v>
      </c>
      <c r="C96" s="7">
        <v>-0.02</v>
      </c>
      <c r="D96" s="7">
        <v>-0.02</v>
      </c>
      <c r="E96" s="7">
        <v>0.19</v>
      </c>
      <c r="F96" s="7">
        <v>0.19</v>
      </c>
      <c r="G96" s="7">
        <v>-0.02</v>
      </c>
      <c r="H96" s="7">
        <v>-0.02</v>
      </c>
      <c r="I96" s="7">
        <v>0.65</v>
      </c>
      <c r="J96" s="7">
        <v>0.4</v>
      </c>
      <c r="K96" s="7">
        <v>0.4</v>
      </c>
      <c r="L96" s="7">
        <v>0.65</v>
      </c>
      <c r="M96" s="7">
        <v>0.65</v>
      </c>
      <c r="N96" s="7">
        <v>0.19</v>
      </c>
      <c r="O96" s="7">
        <v>0.9</v>
      </c>
      <c r="P96" s="7">
        <v>0.9</v>
      </c>
      <c r="Q96" s="7">
        <v>0.4</v>
      </c>
    </row>
    <row r="97" spans="1:17">
      <c r="A97" s="2">
        <v>2045</v>
      </c>
      <c r="B97" s="7">
        <v>-2.5000000000000001E-2</v>
      </c>
      <c r="C97" s="7">
        <v>-2.5000000000000001E-2</v>
      </c>
      <c r="D97" s="7">
        <v>-2.5000000000000001E-2</v>
      </c>
      <c r="E97" s="7">
        <v>0.17499999999999999</v>
      </c>
      <c r="F97" s="7">
        <v>0.17499999999999999</v>
      </c>
      <c r="G97" s="7">
        <v>-2.5000000000000001E-2</v>
      </c>
      <c r="H97" s="7">
        <v>-2.5000000000000001E-2</v>
      </c>
      <c r="I97" s="7">
        <v>0.625</v>
      </c>
      <c r="J97" s="7">
        <v>0.375</v>
      </c>
      <c r="K97" s="7">
        <v>0.375</v>
      </c>
      <c r="L97" s="7">
        <v>0.625</v>
      </c>
      <c r="M97" s="7">
        <v>0.625</v>
      </c>
      <c r="N97" s="7">
        <v>0.17499999999999999</v>
      </c>
      <c r="O97" s="7">
        <v>0.875</v>
      </c>
      <c r="P97" s="7">
        <v>0.875</v>
      </c>
      <c r="Q97" s="7">
        <v>0.375</v>
      </c>
    </row>
    <row r="98" spans="1:17">
      <c r="A98" s="2">
        <v>2046</v>
      </c>
      <c r="B98" s="7">
        <v>-0.03</v>
      </c>
      <c r="C98" s="7">
        <v>-0.03</v>
      </c>
      <c r="D98" s="7">
        <v>-0.03</v>
      </c>
      <c r="E98" s="7">
        <v>0.16</v>
      </c>
      <c r="F98" s="7">
        <v>0.16</v>
      </c>
      <c r="G98" s="7">
        <v>-0.03</v>
      </c>
      <c r="H98" s="7">
        <v>-0.03</v>
      </c>
      <c r="I98" s="7">
        <v>0.6</v>
      </c>
      <c r="J98" s="7">
        <v>0.35</v>
      </c>
      <c r="K98" s="7">
        <v>0.35</v>
      </c>
      <c r="L98" s="7">
        <v>0.6</v>
      </c>
      <c r="M98" s="7">
        <v>0.6</v>
      </c>
      <c r="N98" s="7">
        <v>0.16</v>
      </c>
      <c r="O98" s="7">
        <v>0.85</v>
      </c>
      <c r="P98" s="7">
        <v>0.85</v>
      </c>
      <c r="Q98" s="7">
        <v>0.35</v>
      </c>
    </row>
    <row r="99" spans="1:17">
      <c r="A99" s="2">
        <v>2047</v>
      </c>
      <c r="B99" s="7">
        <v>-3.5000000000000003E-2</v>
      </c>
      <c r="C99" s="7">
        <v>-3.5000000000000003E-2</v>
      </c>
      <c r="D99" s="7">
        <v>-3.5000000000000003E-2</v>
      </c>
      <c r="E99" s="7">
        <v>0.14499999999999999</v>
      </c>
      <c r="F99" s="7">
        <v>0.14499999999999999</v>
      </c>
      <c r="G99" s="7">
        <v>-3.5000000000000003E-2</v>
      </c>
      <c r="H99" s="7">
        <v>-3.5000000000000003E-2</v>
      </c>
      <c r="I99" s="7">
        <v>0.57499999999999996</v>
      </c>
      <c r="J99" s="7">
        <v>0.32500000000000001</v>
      </c>
      <c r="K99" s="7">
        <v>0.32500000000000001</v>
      </c>
      <c r="L99" s="7">
        <v>0.57499999999999996</v>
      </c>
      <c r="M99" s="7">
        <v>0.57499999999999996</v>
      </c>
      <c r="N99" s="7">
        <v>0.14499999999999999</v>
      </c>
      <c r="O99" s="7">
        <v>0.82499999999999996</v>
      </c>
      <c r="P99" s="7">
        <v>0.82499999999999996</v>
      </c>
      <c r="Q99" s="7">
        <v>0.32500000000000001</v>
      </c>
    </row>
    <row r="100" spans="1:17">
      <c r="A100" s="2">
        <v>2048</v>
      </c>
      <c r="B100" s="7">
        <v>-0.04</v>
      </c>
      <c r="C100" s="7">
        <v>-0.04</v>
      </c>
      <c r="D100" s="7">
        <v>-0.04</v>
      </c>
      <c r="E100" s="7">
        <v>0.13</v>
      </c>
      <c r="F100" s="7">
        <v>0.13</v>
      </c>
      <c r="G100" s="7">
        <v>-0.04</v>
      </c>
      <c r="H100" s="7">
        <v>-0.04</v>
      </c>
      <c r="I100" s="7">
        <v>0.55000000000000004</v>
      </c>
      <c r="J100" s="7">
        <v>0.3</v>
      </c>
      <c r="K100" s="7">
        <v>0.3</v>
      </c>
      <c r="L100" s="7">
        <v>0.55000000000000004</v>
      </c>
      <c r="M100" s="7">
        <v>0.55000000000000004</v>
      </c>
      <c r="N100" s="7">
        <v>0.13</v>
      </c>
      <c r="O100" s="7">
        <v>0.8</v>
      </c>
      <c r="P100" s="7">
        <v>0.8</v>
      </c>
      <c r="Q100" s="7">
        <v>0.3</v>
      </c>
    </row>
    <row r="101" spans="1:17">
      <c r="A101" s="2">
        <v>2049</v>
      </c>
      <c r="B101" s="7">
        <v>-4.4999999999999998E-2</v>
      </c>
      <c r="C101" s="7">
        <v>-4.4999999999999998E-2</v>
      </c>
      <c r="D101" s="7">
        <v>-4.4999999999999998E-2</v>
      </c>
      <c r="E101" s="7">
        <v>0.115</v>
      </c>
      <c r="F101" s="7">
        <v>0.115</v>
      </c>
      <c r="G101" s="7">
        <v>-4.4999999999999998E-2</v>
      </c>
      <c r="H101" s="7">
        <v>-4.4999999999999998E-2</v>
      </c>
      <c r="I101" s="7">
        <v>0.52500000000000002</v>
      </c>
      <c r="J101" s="7">
        <v>0.27500000000000002</v>
      </c>
      <c r="K101" s="7">
        <v>0.27500000000000002</v>
      </c>
      <c r="L101" s="7">
        <v>0.52500000000000002</v>
      </c>
      <c r="M101" s="7">
        <v>0.52500000000000002</v>
      </c>
      <c r="N101" s="7">
        <v>0.115</v>
      </c>
      <c r="O101" s="7">
        <v>0.77500000000000002</v>
      </c>
      <c r="P101" s="7">
        <v>0.77500000000000002</v>
      </c>
      <c r="Q101" s="7">
        <v>0.27500000000000002</v>
      </c>
    </row>
    <row r="102" spans="1:17">
      <c r="A102" s="2">
        <v>2050</v>
      </c>
      <c r="B102" s="7">
        <v>-0.05</v>
      </c>
      <c r="C102" s="7">
        <v>-0.05</v>
      </c>
      <c r="D102" s="7">
        <v>-0.05</v>
      </c>
      <c r="E102" s="7">
        <v>0.1</v>
      </c>
      <c r="F102" s="7">
        <v>0.1</v>
      </c>
      <c r="G102" s="7">
        <v>-0.05</v>
      </c>
      <c r="H102" s="7">
        <v>-0.05</v>
      </c>
      <c r="I102" s="7">
        <v>0.5</v>
      </c>
      <c r="J102" s="7">
        <v>0.25</v>
      </c>
      <c r="K102" s="7">
        <v>0.25</v>
      </c>
      <c r="L102" s="7">
        <v>0.5</v>
      </c>
      <c r="M102" s="7">
        <v>0.5</v>
      </c>
      <c r="N102" s="7">
        <v>0.1</v>
      </c>
      <c r="O102" s="7">
        <v>0.75</v>
      </c>
      <c r="P102" s="7">
        <v>0.75</v>
      </c>
      <c r="Q102" s="7">
        <v>0.25</v>
      </c>
    </row>
    <row r="103" spans="1:17">
      <c r="A103" s="2">
        <v>2051</v>
      </c>
      <c r="B103" s="7">
        <v>-0.05</v>
      </c>
      <c r="C103" s="7">
        <v>-0.05</v>
      </c>
      <c r="D103" s="7">
        <v>-0.05</v>
      </c>
      <c r="E103" s="7">
        <v>0.1</v>
      </c>
      <c r="F103" s="7">
        <v>0.1</v>
      </c>
      <c r="G103" s="7">
        <v>-0.05</v>
      </c>
      <c r="H103" s="7">
        <v>-0.05</v>
      </c>
      <c r="I103" s="7">
        <v>0.5</v>
      </c>
      <c r="J103" s="7">
        <v>0.25</v>
      </c>
      <c r="K103" s="7">
        <v>0.25</v>
      </c>
      <c r="L103" s="7">
        <v>0.5</v>
      </c>
      <c r="M103" s="7">
        <v>0.5</v>
      </c>
      <c r="N103" s="7">
        <v>0.1</v>
      </c>
      <c r="O103" s="7">
        <v>0.75</v>
      </c>
      <c r="P103" s="7">
        <v>0.75</v>
      </c>
      <c r="Q103" s="7">
        <v>0.25</v>
      </c>
    </row>
    <row r="104" spans="1:17">
      <c r="A104" s="2">
        <v>2052</v>
      </c>
      <c r="B104" s="7">
        <v>-0.05</v>
      </c>
      <c r="C104" s="7">
        <v>-0.05</v>
      </c>
      <c r="D104" s="7">
        <v>-0.05</v>
      </c>
      <c r="E104" s="7">
        <v>0.1</v>
      </c>
      <c r="F104" s="7">
        <v>0.1</v>
      </c>
      <c r="G104" s="7">
        <v>-0.05</v>
      </c>
      <c r="H104" s="7">
        <v>-0.05</v>
      </c>
      <c r="I104" s="7">
        <v>0.5</v>
      </c>
      <c r="J104" s="7">
        <v>0.25</v>
      </c>
      <c r="K104" s="7">
        <v>0.25</v>
      </c>
      <c r="L104" s="7">
        <v>0.5</v>
      </c>
      <c r="M104" s="7">
        <v>0.5</v>
      </c>
      <c r="N104" s="7">
        <v>0.1</v>
      </c>
      <c r="O104" s="7">
        <v>0.75</v>
      </c>
      <c r="P104" s="7">
        <v>0.75</v>
      </c>
      <c r="Q104" s="7">
        <v>0.25</v>
      </c>
    </row>
    <row r="105" spans="1:17">
      <c r="A105" s="2">
        <v>2053</v>
      </c>
      <c r="B105" s="7">
        <v>-0.05</v>
      </c>
      <c r="C105" s="7">
        <v>-0.05</v>
      </c>
      <c r="D105" s="7">
        <v>-0.05</v>
      </c>
      <c r="E105" s="7">
        <v>0.1</v>
      </c>
      <c r="F105" s="7">
        <v>0.1</v>
      </c>
      <c r="G105" s="7">
        <v>-0.05</v>
      </c>
      <c r="H105" s="7">
        <v>-0.05</v>
      </c>
      <c r="I105" s="7">
        <v>0.5</v>
      </c>
      <c r="J105" s="7">
        <v>0.25</v>
      </c>
      <c r="K105" s="7">
        <v>0.25</v>
      </c>
      <c r="L105" s="7">
        <v>0.5</v>
      </c>
      <c r="M105" s="7">
        <v>0.5</v>
      </c>
      <c r="N105" s="7">
        <v>0.1</v>
      </c>
      <c r="O105" s="7">
        <v>0.75</v>
      </c>
      <c r="P105" s="7">
        <v>0.75</v>
      </c>
      <c r="Q105" s="7">
        <v>0.25</v>
      </c>
    </row>
    <row r="106" spans="1:17">
      <c r="A106" s="2">
        <v>2054</v>
      </c>
      <c r="B106" s="7">
        <v>-0.05</v>
      </c>
      <c r="C106" s="7">
        <v>-0.05</v>
      </c>
      <c r="D106" s="7">
        <v>-0.05</v>
      </c>
      <c r="E106" s="7">
        <v>0.1</v>
      </c>
      <c r="F106" s="7">
        <v>0.1</v>
      </c>
      <c r="G106" s="7">
        <v>-0.05</v>
      </c>
      <c r="H106" s="7">
        <v>-0.05</v>
      </c>
      <c r="I106" s="7">
        <v>0.5</v>
      </c>
      <c r="J106" s="7">
        <v>0.25</v>
      </c>
      <c r="K106" s="7">
        <v>0.25</v>
      </c>
      <c r="L106" s="7">
        <v>0.5</v>
      </c>
      <c r="M106" s="7">
        <v>0.5</v>
      </c>
      <c r="N106" s="7">
        <v>0.1</v>
      </c>
      <c r="O106" s="7">
        <v>0.75</v>
      </c>
      <c r="P106" s="7">
        <v>0.75</v>
      </c>
      <c r="Q106" s="7">
        <v>0.25</v>
      </c>
    </row>
    <row r="107" spans="1:17">
      <c r="A107" s="2">
        <v>2055</v>
      </c>
      <c r="B107" s="7">
        <v>-0.05</v>
      </c>
      <c r="C107" s="7">
        <v>-0.05</v>
      </c>
      <c r="D107" s="7">
        <v>-0.05</v>
      </c>
      <c r="E107" s="7">
        <v>0.1</v>
      </c>
      <c r="F107" s="7">
        <v>0.1</v>
      </c>
      <c r="G107" s="7">
        <v>-0.05</v>
      </c>
      <c r="H107" s="7">
        <v>-0.05</v>
      </c>
      <c r="I107" s="7">
        <v>0.5</v>
      </c>
      <c r="J107" s="7">
        <v>0.25</v>
      </c>
      <c r="K107" s="7">
        <v>0.25</v>
      </c>
      <c r="L107" s="7">
        <v>0.5</v>
      </c>
      <c r="M107" s="7">
        <v>0.5</v>
      </c>
      <c r="N107" s="7">
        <v>0.1</v>
      </c>
      <c r="O107" s="7">
        <v>0.75</v>
      </c>
      <c r="P107" s="7">
        <v>0.75</v>
      </c>
      <c r="Q107" s="7">
        <v>0.25</v>
      </c>
    </row>
    <row r="108" spans="1:17">
      <c r="A108" s="2">
        <v>2056</v>
      </c>
      <c r="B108" s="7">
        <v>-0.05</v>
      </c>
      <c r="C108" s="7">
        <v>-0.05</v>
      </c>
      <c r="D108" s="7">
        <v>-0.05</v>
      </c>
      <c r="E108" s="7">
        <v>0.1</v>
      </c>
      <c r="F108" s="7">
        <v>0.1</v>
      </c>
      <c r="G108" s="7">
        <v>-0.05</v>
      </c>
      <c r="H108" s="7">
        <v>-0.05</v>
      </c>
      <c r="I108" s="7">
        <v>0.5</v>
      </c>
      <c r="J108" s="7">
        <v>0.25</v>
      </c>
      <c r="K108" s="7">
        <v>0.25</v>
      </c>
      <c r="L108" s="7">
        <v>0.5</v>
      </c>
      <c r="M108" s="7">
        <v>0.5</v>
      </c>
      <c r="N108" s="7">
        <v>0.1</v>
      </c>
      <c r="O108" s="7">
        <v>0.75</v>
      </c>
      <c r="P108" s="7">
        <v>0.75</v>
      </c>
      <c r="Q108" s="7">
        <v>0.25</v>
      </c>
    </row>
    <row r="109" spans="1:17">
      <c r="A109" s="2">
        <v>2057</v>
      </c>
      <c r="B109" s="7">
        <v>-0.05</v>
      </c>
      <c r="C109" s="7">
        <v>-0.05</v>
      </c>
      <c r="D109" s="7">
        <v>-0.05</v>
      </c>
      <c r="E109" s="7">
        <v>0.1</v>
      </c>
      <c r="F109" s="7">
        <v>0.1</v>
      </c>
      <c r="G109" s="7">
        <v>-0.05</v>
      </c>
      <c r="H109" s="7">
        <v>-0.05</v>
      </c>
      <c r="I109" s="7">
        <v>0.5</v>
      </c>
      <c r="J109" s="7">
        <v>0.25</v>
      </c>
      <c r="K109" s="7">
        <v>0.25</v>
      </c>
      <c r="L109" s="7">
        <v>0.5</v>
      </c>
      <c r="M109" s="7">
        <v>0.5</v>
      </c>
      <c r="N109" s="7">
        <v>0.1</v>
      </c>
      <c r="O109" s="7">
        <v>0.75</v>
      </c>
      <c r="P109" s="7">
        <v>0.75</v>
      </c>
      <c r="Q109" s="7">
        <v>0.25</v>
      </c>
    </row>
    <row r="110" spans="1:17">
      <c r="A110" s="2">
        <v>2058</v>
      </c>
      <c r="B110" s="7">
        <v>-0.05</v>
      </c>
      <c r="C110" s="7">
        <v>-0.05</v>
      </c>
      <c r="D110" s="7">
        <v>-0.05</v>
      </c>
      <c r="E110" s="7">
        <v>0.1</v>
      </c>
      <c r="F110" s="7">
        <v>0.1</v>
      </c>
      <c r="G110" s="7">
        <v>-0.05</v>
      </c>
      <c r="H110" s="7">
        <v>-0.05</v>
      </c>
      <c r="I110" s="7">
        <v>0.5</v>
      </c>
      <c r="J110" s="7">
        <v>0.25</v>
      </c>
      <c r="K110" s="7">
        <v>0.25</v>
      </c>
      <c r="L110" s="7">
        <v>0.5</v>
      </c>
      <c r="M110" s="7">
        <v>0.5</v>
      </c>
      <c r="N110" s="7">
        <v>0.1</v>
      </c>
      <c r="O110" s="7">
        <v>0.75</v>
      </c>
      <c r="P110" s="7">
        <v>0.75</v>
      </c>
      <c r="Q110" s="7">
        <v>0.25</v>
      </c>
    </row>
    <row r="111" spans="1:17">
      <c r="A111" s="2">
        <v>2059</v>
      </c>
      <c r="B111" s="7">
        <v>-0.05</v>
      </c>
      <c r="C111" s="7">
        <v>-0.05</v>
      </c>
      <c r="D111" s="7">
        <v>-0.05</v>
      </c>
      <c r="E111" s="7">
        <v>0.1</v>
      </c>
      <c r="F111" s="7">
        <v>0.1</v>
      </c>
      <c r="G111" s="7">
        <v>-0.05</v>
      </c>
      <c r="H111" s="7">
        <v>-0.05</v>
      </c>
      <c r="I111" s="7">
        <v>0.5</v>
      </c>
      <c r="J111" s="7">
        <v>0.25</v>
      </c>
      <c r="K111" s="7">
        <v>0.25</v>
      </c>
      <c r="L111" s="7">
        <v>0.5</v>
      </c>
      <c r="M111" s="7">
        <v>0.5</v>
      </c>
      <c r="N111" s="7">
        <v>0.1</v>
      </c>
      <c r="O111" s="7">
        <v>0.75</v>
      </c>
      <c r="P111" s="7">
        <v>0.75</v>
      </c>
      <c r="Q111" s="7">
        <v>0.25</v>
      </c>
    </row>
    <row r="112" spans="1:17">
      <c r="A112" s="2">
        <v>2060</v>
      </c>
      <c r="B112" s="7">
        <v>-0.05</v>
      </c>
      <c r="C112" s="7">
        <v>-0.05</v>
      </c>
      <c r="D112" s="7">
        <v>-0.05</v>
      </c>
      <c r="E112" s="7">
        <v>0.1</v>
      </c>
      <c r="F112" s="7">
        <v>0.1</v>
      </c>
      <c r="G112" s="7">
        <v>-0.05</v>
      </c>
      <c r="H112" s="7">
        <v>-0.05</v>
      </c>
      <c r="I112" s="7">
        <v>0.5</v>
      </c>
      <c r="J112" s="7">
        <v>0.25</v>
      </c>
      <c r="K112" s="7">
        <v>0.25</v>
      </c>
      <c r="L112" s="7">
        <v>0.5</v>
      </c>
      <c r="M112" s="7">
        <v>0.5</v>
      </c>
      <c r="N112" s="7">
        <v>0.1</v>
      </c>
      <c r="O112" s="7">
        <v>0.75</v>
      </c>
      <c r="P112" s="7">
        <v>0.75</v>
      </c>
      <c r="Q112" s="7">
        <v>0.25</v>
      </c>
    </row>
    <row r="113" spans="1:17">
      <c r="A113" s="2">
        <v>2061</v>
      </c>
      <c r="B113" s="7">
        <v>-0.05</v>
      </c>
      <c r="C113" s="7">
        <v>-0.05</v>
      </c>
      <c r="D113" s="7">
        <v>-0.05</v>
      </c>
      <c r="E113" s="7">
        <v>0.1</v>
      </c>
      <c r="F113" s="7">
        <v>0.1</v>
      </c>
      <c r="G113" s="7">
        <v>-0.05</v>
      </c>
      <c r="H113" s="7">
        <v>-0.05</v>
      </c>
      <c r="I113" s="7">
        <v>0.5</v>
      </c>
      <c r="J113" s="7">
        <v>0.25</v>
      </c>
      <c r="K113" s="7">
        <v>0.25</v>
      </c>
      <c r="L113" s="7">
        <v>0.5</v>
      </c>
      <c r="M113" s="7">
        <v>0.5</v>
      </c>
      <c r="N113" s="7">
        <v>0.1</v>
      </c>
      <c r="O113" s="7">
        <v>0.75</v>
      </c>
      <c r="P113" s="7">
        <v>0.75</v>
      </c>
      <c r="Q113" s="7">
        <v>0.25</v>
      </c>
    </row>
    <row r="114" spans="1:17">
      <c r="A114" s="2">
        <v>2062</v>
      </c>
      <c r="B114" s="7">
        <v>-0.05</v>
      </c>
      <c r="C114" s="7">
        <v>-0.05</v>
      </c>
      <c r="D114" s="7">
        <v>-0.05</v>
      </c>
      <c r="E114" s="7">
        <v>0.1</v>
      </c>
      <c r="F114" s="7">
        <v>0.1</v>
      </c>
      <c r="G114" s="7">
        <v>-0.05</v>
      </c>
      <c r="H114" s="7">
        <v>-0.05</v>
      </c>
      <c r="I114" s="7">
        <v>0.5</v>
      </c>
      <c r="J114" s="7">
        <v>0.25</v>
      </c>
      <c r="K114" s="7">
        <v>0.25</v>
      </c>
      <c r="L114" s="7">
        <v>0.5</v>
      </c>
      <c r="M114" s="7">
        <v>0.5</v>
      </c>
      <c r="N114" s="7">
        <v>0.1</v>
      </c>
      <c r="O114" s="7">
        <v>0.75</v>
      </c>
      <c r="P114" s="7">
        <v>0.75</v>
      </c>
      <c r="Q114" s="7">
        <v>0.25</v>
      </c>
    </row>
    <row r="115" spans="1:17">
      <c r="A115" s="2">
        <v>2063</v>
      </c>
      <c r="B115" s="7">
        <v>-0.05</v>
      </c>
      <c r="C115" s="7">
        <v>-0.05</v>
      </c>
      <c r="D115" s="7">
        <v>-0.05</v>
      </c>
      <c r="E115" s="7">
        <v>0.1</v>
      </c>
      <c r="F115" s="7">
        <v>0.1</v>
      </c>
      <c r="G115" s="7">
        <v>-0.05</v>
      </c>
      <c r="H115" s="7">
        <v>-0.05</v>
      </c>
      <c r="I115" s="7">
        <v>0.5</v>
      </c>
      <c r="J115" s="7">
        <v>0.25</v>
      </c>
      <c r="K115" s="7">
        <v>0.25</v>
      </c>
      <c r="L115" s="7">
        <v>0.5</v>
      </c>
      <c r="M115" s="7">
        <v>0.5</v>
      </c>
      <c r="N115" s="7">
        <v>0.1</v>
      </c>
      <c r="O115" s="7">
        <v>0.75</v>
      </c>
      <c r="P115" s="7">
        <v>0.75</v>
      </c>
      <c r="Q115" s="7">
        <v>0.25</v>
      </c>
    </row>
    <row r="116" spans="1:17">
      <c r="A116" s="2">
        <v>2064</v>
      </c>
      <c r="B116" s="7">
        <v>-0.05</v>
      </c>
      <c r="C116" s="7">
        <v>-0.05</v>
      </c>
      <c r="D116" s="7">
        <v>-0.05</v>
      </c>
      <c r="E116" s="7">
        <v>0.1</v>
      </c>
      <c r="F116" s="7">
        <v>0.1</v>
      </c>
      <c r="G116" s="7">
        <v>-0.05</v>
      </c>
      <c r="H116" s="7">
        <v>-0.05</v>
      </c>
      <c r="I116" s="7">
        <v>0.5</v>
      </c>
      <c r="J116" s="7">
        <v>0.25</v>
      </c>
      <c r="K116" s="7">
        <v>0.25</v>
      </c>
      <c r="L116" s="7">
        <v>0.5</v>
      </c>
      <c r="M116" s="7">
        <v>0.5</v>
      </c>
      <c r="N116" s="7">
        <v>0.1</v>
      </c>
      <c r="O116" s="7">
        <v>0.75</v>
      </c>
      <c r="P116" s="7">
        <v>0.75</v>
      </c>
      <c r="Q116" s="7">
        <v>0.25</v>
      </c>
    </row>
    <row r="117" spans="1:17">
      <c r="A117" s="2">
        <v>2065</v>
      </c>
      <c r="B117" s="7">
        <v>-0.05</v>
      </c>
      <c r="C117" s="7">
        <v>-0.05</v>
      </c>
      <c r="D117" s="7">
        <v>-0.05</v>
      </c>
      <c r="E117" s="7">
        <v>0.1</v>
      </c>
      <c r="F117" s="7">
        <v>0.1</v>
      </c>
      <c r="G117" s="7">
        <v>-0.05</v>
      </c>
      <c r="H117" s="7">
        <v>-0.05</v>
      </c>
      <c r="I117" s="7">
        <v>0.5</v>
      </c>
      <c r="J117" s="7">
        <v>0.25</v>
      </c>
      <c r="K117" s="7">
        <v>0.25</v>
      </c>
      <c r="L117" s="7">
        <v>0.5</v>
      </c>
      <c r="M117" s="7">
        <v>0.5</v>
      </c>
      <c r="N117" s="7">
        <v>0.1</v>
      </c>
      <c r="O117" s="7">
        <v>0.75</v>
      </c>
      <c r="P117" s="7">
        <v>0.75</v>
      </c>
      <c r="Q117" s="7">
        <v>0.25</v>
      </c>
    </row>
    <row r="118" spans="1:17">
      <c r="A118" s="2">
        <v>2066</v>
      </c>
      <c r="B118" s="7">
        <v>-0.05</v>
      </c>
      <c r="C118" s="7">
        <v>-0.05</v>
      </c>
      <c r="D118" s="7">
        <v>-0.05</v>
      </c>
      <c r="E118" s="7">
        <v>0.1</v>
      </c>
      <c r="F118" s="7">
        <v>0.1</v>
      </c>
      <c r="G118" s="7">
        <v>-0.05</v>
      </c>
      <c r="H118" s="7">
        <v>-0.05</v>
      </c>
      <c r="I118" s="7">
        <v>0.5</v>
      </c>
      <c r="J118" s="7">
        <v>0.25</v>
      </c>
      <c r="K118" s="7">
        <v>0.25</v>
      </c>
      <c r="L118" s="7">
        <v>0.5</v>
      </c>
      <c r="M118" s="7">
        <v>0.5</v>
      </c>
      <c r="N118" s="7">
        <v>0.1</v>
      </c>
      <c r="O118" s="7">
        <v>0.75</v>
      </c>
      <c r="P118" s="7">
        <v>0.75</v>
      </c>
      <c r="Q118" s="7">
        <v>0.25</v>
      </c>
    </row>
    <row r="119" spans="1:17">
      <c r="A119" s="2">
        <v>2067</v>
      </c>
      <c r="B119" s="7">
        <v>-0.05</v>
      </c>
      <c r="C119" s="7">
        <v>-0.05</v>
      </c>
      <c r="D119" s="7">
        <v>-0.05</v>
      </c>
      <c r="E119" s="7">
        <v>0.1</v>
      </c>
      <c r="F119" s="7">
        <v>0.1</v>
      </c>
      <c r="G119" s="7">
        <v>-0.05</v>
      </c>
      <c r="H119" s="7">
        <v>-0.05</v>
      </c>
      <c r="I119" s="7">
        <v>0.5</v>
      </c>
      <c r="J119" s="7">
        <v>0.25</v>
      </c>
      <c r="K119" s="7">
        <v>0.25</v>
      </c>
      <c r="L119" s="7">
        <v>0.5</v>
      </c>
      <c r="M119" s="7">
        <v>0.5</v>
      </c>
      <c r="N119" s="7">
        <v>0.1</v>
      </c>
      <c r="O119" s="7">
        <v>0.75</v>
      </c>
      <c r="P119" s="7">
        <v>0.75</v>
      </c>
      <c r="Q119" s="7">
        <v>0.25</v>
      </c>
    </row>
    <row r="120" spans="1:17">
      <c r="A120" s="2">
        <v>2068</v>
      </c>
      <c r="B120" s="7">
        <v>-0.05</v>
      </c>
      <c r="C120" s="7">
        <v>-0.05</v>
      </c>
      <c r="D120" s="7">
        <v>-0.05</v>
      </c>
      <c r="E120" s="7">
        <v>0.1</v>
      </c>
      <c r="F120" s="7">
        <v>0.1</v>
      </c>
      <c r="G120" s="7">
        <v>-0.05</v>
      </c>
      <c r="H120" s="7">
        <v>-0.05</v>
      </c>
      <c r="I120" s="7">
        <v>0.5</v>
      </c>
      <c r="J120" s="7">
        <v>0.25</v>
      </c>
      <c r="K120" s="7">
        <v>0.25</v>
      </c>
      <c r="L120" s="7">
        <v>0.5</v>
      </c>
      <c r="M120" s="7">
        <v>0.5</v>
      </c>
      <c r="N120" s="7">
        <v>0.1</v>
      </c>
      <c r="O120" s="7">
        <v>0.75</v>
      </c>
      <c r="P120" s="7">
        <v>0.75</v>
      </c>
      <c r="Q120" s="7">
        <v>0.25</v>
      </c>
    </row>
    <row r="121" spans="1:17">
      <c r="A121" s="2">
        <v>2069</v>
      </c>
      <c r="B121" s="7">
        <v>-0.05</v>
      </c>
      <c r="C121" s="7">
        <v>-0.05</v>
      </c>
      <c r="D121" s="7">
        <v>-0.05</v>
      </c>
      <c r="E121" s="7">
        <v>0.1</v>
      </c>
      <c r="F121" s="7">
        <v>0.1</v>
      </c>
      <c r="G121" s="7">
        <v>-0.05</v>
      </c>
      <c r="H121" s="7">
        <v>-0.05</v>
      </c>
      <c r="I121" s="7">
        <v>0.5</v>
      </c>
      <c r="J121" s="7">
        <v>0.25</v>
      </c>
      <c r="K121" s="7">
        <v>0.25</v>
      </c>
      <c r="L121" s="7">
        <v>0.5</v>
      </c>
      <c r="M121" s="7">
        <v>0.5</v>
      </c>
      <c r="N121" s="7">
        <v>0.1</v>
      </c>
      <c r="O121" s="7">
        <v>0.75</v>
      </c>
      <c r="P121" s="7">
        <v>0.75</v>
      </c>
      <c r="Q121" s="7">
        <v>0.25</v>
      </c>
    </row>
    <row r="122" spans="1:17">
      <c r="A122" s="2">
        <v>2070</v>
      </c>
      <c r="B122" s="7">
        <v>-0.05</v>
      </c>
      <c r="C122" s="7">
        <v>-0.05</v>
      </c>
      <c r="D122" s="7">
        <v>-0.05</v>
      </c>
      <c r="E122" s="7">
        <v>0.1</v>
      </c>
      <c r="F122" s="7">
        <v>0.1</v>
      </c>
      <c r="G122" s="7">
        <v>-0.05</v>
      </c>
      <c r="H122" s="7">
        <v>-0.05</v>
      </c>
      <c r="I122" s="7">
        <v>0.5</v>
      </c>
      <c r="J122" s="7">
        <v>0.25</v>
      </c>
      <c r="K122" s="7">
        <v>0.25</v>
      </c>
      <c r="L122" s="7">
        <v>0.5</v>
      </c>
      <c r="M122" s="7">
        <v>0.5</v>
      </c>
      <c r="N122" s="7">
        <v>0.1</v>
      </c>
      <c r="O122" s="7">
        <v>0.75</v>
      </c>
      <c r="P122" s="7">
        <v>0.75</v>
      </c>
      <c r="Q122" s="7">
        <v>0.25</v>
      </c>
    </row>
    <row r="123" spans="1:17">
      <c r="A123" s="2">
        <v>2071</v>
      </c>
      <c r="B123" s="7">
        <v>-4.4999999999999998E-2</v>
      </c>
      <c r="C123" s="7">
        <v>-4.4999999999999998E-2</v>
      </c>
      <c r="D123" s="7">
        <v>-4.4999999999999998E-2</v>
      </c>
      <c r="E123" s="7">
        <v>9.5000000000000001E-2</v>
      </c>
      <c r="F123" s="7">
        <v>9.5000000000000001E-2</v>
      </c>
      <c r="G123" s="7">
        <v>-4.4999999999999998E-2</v>
      </c>
      <c r="H123" s="7">
        <v>-4.4999999999999998E-2</v>
      </c>
      <c r="I123" s="7">
        <v>0.47499999999999998</v>
      </c>
      <c r="J123" s="7">
        <v>0.23</v>
      </c>
      <c r="K123" s="7">
        <v>0.23</v>
      </c>
      <c r="L123" s="7">
        <v>0.47499999999999998</v>
      </c>
      <c r="M123" s="7">
        <v>0.47499999999999998</v>
      </c>
      <c r="N123" s="7">
        <v>9.5000000000000001E-2</v>
      </c>
      <c r="O123" s="7">
        <v>0.72499999999999998</v>
      </c>
      <c r="P123" s="7">
        <v>0.72499999999999998</v>
      </c>
      <c r="Q123" s="7">
        <v>0.23</v>
      </c>
    </row>
    <row r="124" spans="1:17">
      <c r="A124" s="2">
        <v>2072</v>
      </c>
      <c r="B124" s="7">
        <v>-0.04</v>
      </c>
      <c r="C124" s="7">
        <v>-0.04</v>
      </c>
      <c r="D124" s="7">
        <v>-0.04</v>
      </c>
      <c r="E124" s="7">
        <v>0.09</v>
      </c>
      <c r="F124" s="7">
        <v>0.09</v>
      </c>
      <c r="G124" s="7">
        <v>-0.04</v>
      </c>
      <c r="H124" s="7">
        <v>-0.04</v>
      </c>
      <c r="I124" s="7">
        <v>0.45</v>
      </c>
      <c r="J124" s="7">
        <v>0.21</v>
      </c>
      <c r="K124" s="7">
        <v>0.21</v>
      </c>
      <c r="L124" s="7">
        <v>0.45</v>
      </c>
      <c r="M124" s="7">
        <v>0.45</v>
      </c>
      <c r="N124" s="7">
        <v>0.09</v>
      </c>
      <c r="O124" s="7">
        <v>0.7</v>
      </c>
      <c r="P124" s="7">
        <v>0.7</v>
      </c>
      <c r="Q124" s="7">
        <v>0.21</v>
      </c>
    </row>
    <row r="125" spans="1:17">
      <c r="A125" s="2">
        <v>2073</v>
      </c>
      <c r="B125" s="7">
        <v>-3.5000000000000003E-2</v>
      </c>
      <c r="C125" s="7">
        <v>-3.5000000000000003E-2</v>
      </c>
      <c r="D125" s="7">
        <v>-3.5000000000000003E-2</v>
      </c>
      <c r="E125" s="7">
        <v>8.5000000000000006E-2</v>
      </c>
      <c r="F125" s="7">
        <v>8.5000000000000006E-2</v>
      </c>
      <c r="G125" s="7">
        <v>-3.5000000000000003E-2</v>
      </c>
      <c r="H125" s="7">
        <v>-3.5000000000000003E-2</v>
      </c>
      <c r="I125" s="7">
        <v>0.42499999999999999</v>
      </c>
      <c r="J125" s="7">
        <v>0.19</v>
      </c>
      <c r="K125" s="7">
        <v>0.19</v>
      </c>
      <c r="L125" s="7">
        <v>0.42499999999999999</v>
      </c>
      <c r="M125" s="7">
        <v>0.42499999999999999</v>
      </c>
      <c r="N125" s="7">
        <v>8.5000000000000006E-2</v>
      </c>
      <c r="O125" s="7">
        <v>0.67500000000000004</v>
      </c>
      <c r="P125" s="7">
        <v>0.67500000000000004</v>
      </c>
      <c r="Q125" s="7">
        <v>0.19</v>
      </c>
    </row>
    <row r="126" spans="1:17">
      <c r="A126" s="2">
        <v>2074</v>
      </c>
      <c r="B126" s="7">
        <v>-0.03</v>
      </c>
      <c r="C126" s="7">
        <v>-0.03</v>
      </c>
      <c r="D126" s="7">
        <v>-0.03</v>
      </c>
      <c r="E126" s="7">
        <v>0.08</v>
      </c>
      <c r="F126" s="7">
        <v>0.08</v>
      </c>
      <c r="G126" s="7">
        <v>-0.03</v>
      </c>
      <c r="H126" s="7">
        <v>-0.03</v>
      </c>
      <c r="I126" s="7">
        <v>0.4</v>
      </c>
      <c r="J126" s="7">
        <v>0.17</v>
      </c>
      <c r="K126" s="7">
        <v>0.17</v>
      </c>
      <c r="L126" s="7">
        <v>0.4</v>
      </c>
      <c r="M126" s="7">
        <v>0.4</v>
      </c>
      <c r="N126" s="7">
        <v>0.08</v>
      </c>
      <c r="O126" s="7">
        <v>0.65</v>
      </c>
      <c r="P126" s="7">
        <v>0.65</v>
      </c>
      <c r="Q126" s="7">
        <v>0.17</v>
      </c>
    </row>
    <row r="127" spans="1:17">
      <c r="A127" s="2">
        <v>2075</v>
      </c>
      <c r="B127" s="7">
        <v>-2.5000000000000001E-2</v>
      </c>
      <c r="C127" s="7">
        <v>-2.5000000000000001E-2</v>
      </c>
      <c r="D127" s="7">
        <v>-2.5000000000000001E-2</v>
      </c>
      <c r="E127" s="7">
        <v>7.4999999999999997E-2</v>
      </c>
      <c r="F127" s="7">
        <v>7.4999999999999997E-2</v>
      </c>
      <c r="G127" s="7">
        <v>-2.5000000000000001E-2</v>
      </c>
      <c r="H127" s="7">
        <v>-2.5000000000000001E-2</v>
      </c>
      <c r="I127" s="7">
        <v>0.375</v>
      </c>
      <c r="J127" s="7">
        <v>0.15</v>
      </c>
      <c r="K127" s="7">
        <v>0.15</v>
      </c>
      <c r="L127" s="7">
        <v>0.375</v>
      </c>
      <c r="M127" s="7">
        <v>0.375</v>
      </c>
      <c r="N127" s="7">
        <v>7.4999999999999997E-2</v>
      </c>
      <c r="O127" s="7">
        <v>0.625</v>
      </c>
      <c r="P127" s="7">
        <v>0.625</v>
      </c>
      <c r="Q127" s="7">
        <v>0.15</v>
      </c>
    </row>
    <row r="128" spans="1:17">
      <c r="A128" s="2">
        <v>2076</v>
      </c>
      <c r="B128" s="7">
        <v>-0.02</v>
      </c>
      <c r="C128" s="7">
        <v>-0.02</v>
      </c>
      <c r="D128" s="7">
        <v>-0.02</v>
      </c>
      <c r="E128" s="7">
        <v>7.0000000000000007E-2</v>
      </c>
      <c r="F128" s="7">
        <v>7.0000000000000007E-2</v>
      </c>
      <c r="G128" s="7">
        <v>-0.02</v>
      </c>
      <c r="H128" s="7">
        <v>-0.02</v>
      </c>
      <c r="I128" s="7">
        <v>0.35</v>
      </c>
      <c r="J128" s="7">
        <v>0.13</v>
      </c>
      <c r="K128" s="7">
        <v>0.13</v>
      </c>
      <c r="L128" s="7">
        <v>0.35</v>
      </c>
      <c r="M128" s="7">
        <v>0.35</v>
      </c>
      <c r="N128" s="7">
        <v>7.0000000000000007E-2</v>
      </c>
      <c r="O128" s="7">
        <v>0.6</v>
      </c>
      <c r="P128" s="7">
        <v>0.6</v>
      </c>
      <c r="Q128" s="7">
        <v>0.13</v>
      </c>
    </row>
    <row r="129" spans="1:17">
      <c r="A129" s="2">
        <v>2077</v>
      </c>
      <c r="B129" s="7">
        <v>-1.4999999999999999E-2</v>
      </c>
      <c r="C129" s="7">
        <v>-1.4999999999999999E-2</v>
      </c>
      <c r="D129" s="7">
        <v>-1.4999999999999999E-2</v>
      </c>
      <c r="E129" s="7">
        <v>6.5000000000000002E-2</v>
      </c>
      <c r="F129" s="7">
        <v>6.5000000000000002E-2</v>
      </c>
      <c r="G129" s="7">
        <v>-1.4999999999999999E-2</v>
      </c>
      <c r="H129" s="7">
        <v>-1.4999999999999999E-2</v>
      </c>
      <c r="I129" s="7">
        <v>0.32500000000000001</v>
      </c>
      <c r="J129" s="7">
        <v>0.11</v>
      </c>
      <c r="K129" s="7">
        <v>0.11</v>
      </c>
      <c r="L129" s="7">
        <v>0.32500000000000001</v>
      </c>
      <c r="M129" s="7">
        <v>0.32500000000000001</v>
      </c>
      <c r="N129" s="7">
        <v>6.5000000000000002E-2</v>
      </c>
      <c r="O129" s="7">
        <v>0.57499999999999996</v>
      </c>
      <c r="P129" s="7">
        <v>0.57499999999999996</v>
      </c>
      <c r="Q129" s="7">
        <v>0.11</v>
      </c>
    </row>
    <row r="130" spans="1:17">
      <c r="A130" s="2">
        <v>2078</v>
      </c>
      <c r="B130" s="7">
        <v>-0.01</v>
      </c>
      <c r="C130" s="7">
        <v>-0.01</v>
      </c>
      <c r="D130" s="7">
        <v>-0.01</v>
      </c>
      <c r="E130" s="7">
        <v>0.06</v>
      </c>
      <c r="F130" s="7">
        <v>0.06</v>
      </c>
      <c r="G130" s="7">
        <v>-0.01</v>
      </c>
      <c r="H130" s="7">
        <v>-0.01</v>
      </c>
      <c r="I130" s="7">
        <v>0.3</v>
      </c>
      <c r="J130" s="7">
        <v>0.09</v>
      </c>
      <c r="K130" s="7">
        <v>0.09</v>
      </c>
      <c r="L130" s="7">
        <v>0.3</v>
      </c>
      <c r="M130" s="7">
        <v>0.3</v>
      </c>
      <c r="N130" s="7">
        <v>0.06</v>
      </c>
      <c r="O130" s="7">
        <v>0.55000000000000004</v>
      </c>
      <c r="P130" s="7">
        <v>0.55000000000000004</v>
      </c>
      <c r="Q130" s="7">
        <v>0.09</v>
      </c>
    </row>
    <row r="131" spans="1:17">
      <c r="A131" s="2">
        <v>2079</v>
      </c>
      <c r="B131" s="7">
        <v>-5.0000000000000001E-3</v>
      </c>
      <c r="C131" s="7">
        <v>-5.0000000000000001E-3</v>
      </c>
      <c r="D131" s="7">
        <v>-5.0000000000000001E-3</v>
      </c>
      <c r="E131" s="7">
        <v>5.5E-2</v>
      </c>
      <c r="F131" s="7">
        <v>5.5E-2</v>
      </c>
      <c r="G131" s="7">
        <v>-5.0000000000000001E-3</v>
      </c>
      <c r="H131" s="7">
        <v>-5.0000000000000001E-3</v>
      </c>
      <c r="I131" s="7">
        <v>0.27500000000000002</v>
      </c>
      <c r="J131" s="7">
        <v>7.0000000000000007E-2</v>
      </c>
      <c r="K131" s="7">
        <v>7.0000000000000007E-2</v>
      </c>
      <c r="L131" s="7">
        <v>0.27500000000000002</v>
      </c>
      <c r="M131" s="7">
        <v>0.27500000000000002</v>
      </c>
      <c r="N131" s="7">
        <v>5.5E-2</v>
      </c>
      <c r="O131" s="7">
        <v>0.52500000000000002</v>
      </c>
      <c r="P131" s="7">
        <v>0.52500000000000002</v>
      </c>
      <c r="Q131" s="7">
        <v>7.0000000000000007E-2</v>
      </c>
    </row>
    <row r="132" spans="1:17">
      <c r="A132" s="2">
        <v>2080</v>
      </c>
      <c r="B132" s="7">
        <v>0</v>
      </c>
      <c r="C132" s="7">
        <v>0</v>
      </c>
      <c r="D132" s="7">
        <v>0</v>
      </c>
      <c r="E132" s="7">
        <v>0.05</v>
      </c>
      <c r="F132" s="7">
        <v>0.05</v>
      </c>
      <c r="G132" s="7">
        <v>0</v>
      </c>
      <c r="H132" s="7">
        <v>0</v>
      </c>
      <c r="I132" s="7">
        <v>0.25</v>
      </c>
      <c r="J132" s="7">
        <v>0.05</v>
      </c>
      <c r="K132" s="7">
        <v>0.05</v>
      </c>
      <c r="L132" s="7">
        <v>0.25</v>
      </c>
      <c r="M132" s="7">
        <v>0.25</v>
      </c>
      <c r="N132" s="7">
        <v>0.05</v>
      </c>
      <c r="O132" s="7">
        <v>0.5</v>
      </c>
      <c r="P132" s="7">
        <v>0.5</v>
      </c>
      <c r="Q132" s="7">
        <v>0.05</v>
      </c>
    </row>
    <row r="133" spans="1:17">
      <c r="A133" s="2">
        <v>2081</v>
      </c>
      <c r="B133" s="7">
        <v>0</v>
      </c>
      <c r="C133" s="7">
        <v>0</v>
      </c>
      <c r="D133" s="7">
        <v>0</v>
      </c>
      <c r="E133" s="7">
        <v>0.05</v>
      </c>
      <c r="F133" s="7">
        <v>0.05</v>
      </c>
      <c r="G133" s="7">
        <v>0</v>
      </c>
      <c r="H133" s="7">
        <v>0</v>
      </c>
      <c r="I133" s="7">
        <v>0.23499999999999999</v>
      </c>
      <c r="J133" s="7">
        <v>0.05</v>
      </c>
      <c r="K133" s="7">
        <v>0.05</v>
      </c>
      <c r="L133" s="7">
        <v>0.23499999999999999</v>
      </c>
      <c r="M133" s="7">
        <v>0.23499999999999999</v>
      </c>
      <c r="N133" s="7">
        <v>0.05</v>
      </c>
      <c r="O133" s="7">
        <v>0.47499999999999998</v>
      </c>
      <c r="P133" s="7">
        <v>0.47499999999999998</v>
      </c>
      <c r="Q133" s="7">
        <v>0.05</v>
      </c>
    </row>
    <row r="134" spans="1:17">
      <c r="A134" s="2">
        <v>2082</v>
      </c>
      <c r="B134" s="7">
        <v>0</v>
      </c>
      <c r="C134" s="7">
        <v>0</v>
      </c>
      <c r="D134" s="7">
        <v>0</v>
      </c>
      <c r="E134" s="7">
        <v>0.05</v>
      </c>
      <c r="F134" s="7">
        <v>0.05</v>
      </c>
      <c r="G134" s="7">
        <v>0</v>
      </c>
      <c r="H134" s="7">
        <v>0</v>
      </c>
      <c r="I134" s="7">
        <v>0.22</v>
      </c>
      <c r="J134" s="7">
        <v>0.05</v>
      </c>
      <c r="K134" s="7">
        <v>0.05</v>
      </c>
      <c r="L134" s="7">
        <v>0.22</v>
      </c>
      <c r="M134" s="7">
        <v>0.22</v>
      </c>
      <c r="N134" s="7">
        <v>0.05</v>
      </c>
      <c r="O134" s="7">
        <v>0.45</v>
      </c>
      <c r="P134" s="7">
        <v>0.45</v>
      </c>
      <c r="Q134" s="7">
        <v>0.05</v>
      </c>
    </row>
    <row r="135" spans="1:17">
      <c r="A135" s="2">
        <v>2083</v>
      </c>
      <c r="B135" s="7">
        <v>0</v>
      </c>
      <c r="C135" s="7">
        <v>0</v>
      </c>
      <c r="D135" s="7">
        <v>0</v>
      </c>
      <c r="E135" s="7">
        <v>0.05</v>
      </c>
      <c r="F135" s="7">
        <v>0.05</v>
      </c>
      <c r="G135" s="7">
        <v>0</v>
      </c>
      <c r="H135" s="7">
        <v>0</v>
      </c>
      <c r="I135" s="7">
        <v>0.20499999999999999</v>
      </c>
      <c r="J135" s="7">
        <v>0.05</v>
      </c>
      <c r="K135" s="7">
        <v>0.05</v>
      </c>
      <c r="L135" s="7">
        <v>0.20499999999999999</v>
      </c>
      <c r="M135" s="7">
        <v>0.20499999999999999</v>
      </c>
      <c r="N135" s="7">
        <v>0.05</v>
      </c>
      <c r="O135" s="7">
        <v>0.42499999999999999</v>
      </c>
      <c r="P135" s="7">
        <v>0.42499999999999999</v>
      </c>
      <c r="Q135" s="7">
        <v>0.05</v>
      </c>
    </row>
    <row r="136" spans="1:17">
      <c r="A136" s="2">
        <v>2084</v>
      </c>
      <c r="B136" s="7">
        <v>0</v>
      </c>
      <c r="C136" s="7">
        <v>0</v>
      </c>
      <c r="D136" s="7">
        <v>0</v>
      </c>
      <c r="E136" s="7">
        <v>0.05</v>
      </c>
      <c r="F136" s="7">
        <v>0.05</v>
      </c>
      <c r="G136" s="7">
        <v>0</v>
      </c>
      <c r="H136" s="7">
        <v>0</v>
      </c>
      <c r="I136" s="7">
        <v>0.19</v>
      </c>
      <c r="J136" s="7">
        <v>0.05</v>
      </c>
      <c r="K136" s="7">
        <v>0.05</v>
      </c>
      <c r="L136" s="7">
        <v>0.19</v>
      </c>
      <c r="M136" s="7">
        <v>0.19</v>
      </c>
      <c r="N136" s="7">
        <v>0.05</v>
      </c>
      <c r="O136" s="7">
        <v>0.4</v>
      </c>
      <c r="P136" s="7">
        <v>0.4</v>
      </c>
      <c r="Q136" s="7">
        <v>0.05</v>
      </c>
    </row>
    <row r="137" spans="1:17">
      <c r="A137" s="2">
        <v>2085</v>
      </c>
      <c r="B137" s="7">
        <v>0</v>
      </c>
      <c r="C137" s="7">
        <v>0</v>
      </c>
      <c r="D137" s="7">
        <v>0</v>
      </c>
      <c r="E137" s="7">
        <v>0.05</v>
      </c>
      <c r="F137" s="7">
        <v>0.05</v>
      </c>
      <c r="G137" s="7">
        <v>0</v>
      </c>
      <c r="H137" s="7">
        <v>0</v>
      </c>
      <c r="I137" s="7">
        <v>0.17499999999999999</v>
      </c>
      <c r="J137" s="7">
        <v>0.05</v>
      </c>
      <c r="K137" s="7">
        <v>0.05</v>
      </c>
      <c r="L137" s="7">
        <v>0.17499999999999999</v>
      </c>
      <c r="M137" s="7">
        <v>0.17499999999999999</v>
      </c>
      <c r="N137" s="7">
        <v>0.05</v>
      </c>
      <c r="O137" s="7">
        <v>0.375</v>
      </c>
      <c r="P137" s="7">
        <v>0.375</v>
      </c>
      <c r="Q137" s="7">
        <v>0.05</v>
      </c>
    </row>
    <row r="138" spans="1:17">
      <c r="A138" s="2">
        <v>2086</v>
      </c>
      <c r="B138" s="7">
        <v>0</v>
      </c>
      <c r="C138" s="7">
        <v>0</v>
      </c>
      <c r="D138" s="7">
        <v>0</v>
      </c>
      <c r="E138" s="7">
        <v>0.05</v>
      </c>
      <c r="F138" s="7">
        <v>0.05</v>
      </c>
      <c r="G138" s="7">
        <v>0</v>
      </c>
      <c r="H138" s="7">
        <v>0</v>
      </c>
      <c r="I138" s="7">
        <v>0.16</v>
      </c>
      <c r="J138" s="7">
        <v>0.05</v>
      </c>
      <c r="K138" s="7">
        <v>0.05</v>
      </c>
      <c r="L138" s="7">
        <v>0.16</v>
      </c>
      <c r="M138" s="7">
        <v>0.16</v>
      </c>
      <c r="N138" s="7">
        <v>0.05</v>
      </c>
      <c r="O138" s="7">
        <v>0.35</v>
      </c>
      <c r="P138" s="7">
        <v>0.35</v>
      </c>
      <c r="Q138" s="7">
        <v>0.05</v>
      </c>
    </row>
    <row r="139" spans="1:17">
      <c r="A139" s="2">
        <v>2087</v>
      </c>
      <c r="B139" s="7">
        <v>0</v>
      </c>
      <c r="C139" s="7">
        <v>0</v>
      </c>
      <c r="D139" s="7">
        <v>0</v>
      </c>
      <c r="E139" s="7">
        <v>0.05</v>
      </c>
      <c r="F139" s="7">
        <v>0.05</v>
      </c>
      <c r="G139" s="7">
        <v>0</v>
      </c>
      <c r="H139" s="7">
        <v>0</v>
      </c>
      <c r="I139" s="7">
        <v>0.14499999999999999</v>
      </c>
      <c r="J139" s="7">
        <v>0.05</v>
      </c>
      <c r="K139" s="7">
        <v>0.05</v>
      </c>
      <c r="L139" s="7">
        <v>0.14499999999999999</v>
      </c>
      <c r="M139" s="7">
        <v>0.14499999999999999</v>
      </c>
      <c r="N139" s="7">
        <v>0.05</v>
      </c>
      <c r="O139" s="7">
        <v>0.32500000000000001</v>
      </c>
      <c r="P139" s="7">
        <v>0.32500000000000001</v>
      </c>
      <c r="Q139" s="7">
        <v>0.05</v>
      </c>
    </row>
    <row r="140" spans="1:17">
      <c r="A140" s="2">
        <v>2088</v>
      </c>
      <c r="B140" s="7">
        <v>0</v>
      </c>
      <c r="C140" s="7">
        <v>0</v>
      </c>
      <c r="D140" s="7">
        <v>0</v>
      </c>
      <c r="E140" s="7">
        <v>0.05</v>
      </c>
      <c r="F140" s="7">
        <v>0.05</v>
      </c>
      <c r="G140" s="7">
        <v>0</v>
      </c>
      <c r="H140" s="7">
        <v>0</v>
      </c>
      <c r="I140" s="7">
        <v>0.13</v>
      </c>
      <c r="J140" s="7">
        <v>0.05</v>
      </c>
      <c r="K140" s="7">
        <v>0.05</v>
      </c>
      <c r="L140" s="7">
        <v>0.13</v>
      </c>
      <c r="M140" s="7">
        <v>0.13</v>
      </c>
      <c r="N140" s="7">
        <v>0.05</v>
      </c>
      <c r="O140" s="7">
        <v>0.3</v>
      </c>
      <c r="P140" s="7">
        <v>0.3</v>
      </c>
      <c r="Q140" s="7">
        <v>0.05</v>
      </c>
    </row>
    <row r="141" spans="1:17">
      <c r="A141" s="2">
        <v>2089</v>
      </c>
      <c r="B141" s="7">
        <v>0</v>
      </c>
      <c r="C141" s="7">
        <v>0</v>
      </c>
      <c r="D141" s="7">
        <v>0</v>
      </c>
      <c r="E141" s="7">
        <v>0.05</v>
      </c>
      <c r="F141" s="7">
        <v>0.05</v>
      </c>
      <c r="G141" s="7">
        <v>0</v>
      </c>
      <c r="H141" s="7">
        <v>0</v>
      </c>
      <c r="I141" s="7">
        <v>0.115</v>
      </c>
      <c r="J141" s="7">
        <v>0.05</v>
      </c>
      <c r="K141" s="7">
        <v>0.05</v>
      </c>
      <c r="L141" s="7">
        <v>0.115</v>
      </c>
      <c r="M141" s="7">
        <v>0.115</v>
      </c>
      <c r="N141" s="7">
        <v>0.05</v>
      </c>
      <c r="O141" s="7">
        <v>0.27500000000000002</v>
      </c>
      <c r="P141" s="7">
        <v>0.27500000000000002</v>
      </c>
      <c r="Q141" s="7">
        <v>0.05</v>
      </c>
    </row>
    <row r="142" spans="1:17">
      <c r="A142" s="2">
        <v>2090</v>
      </c>
      <c r="B142" s="7">
        <v>0</v>
      </c>
      <c r="C142" s="7">
        <v>0</v>
      </c>
      <c r="D142" s="7">
        <v>0</v>
      </c>
      <c r="E142" s="7">
        <v>0.05</v>
      </c>
      <c r="F142" s="7">
        <v>0.05</v>
      </c>
      <c r="G142" s="7">
        <v>0</v>
      </c>
      <c r="H142" s="7">
        <v>0</v>
      </c>
      <c r="I142" s="7">
        <v>0.1</v>
      </c>
      <c r="J142" s="7">
        <v>0.05</v>
      </c>
      <c r="K142" s="7">
        <v>0.05</v>
      </c>
      <c r="L142" s="7">
        <v>0.1</v>
      </c>
      <c r="M142" s="7">
        <v>0.1</v>
      </c>
      <c r="N142" s="7">
        <v>0.05</v>
      </c>
      <c r="O142" s="7">
        <v>0.25</v>
      </c>
      <c r="P142" s="7">
        <v>0.25</v>
      </c>
      <c r="Q142" s="7">
        <v>0.05</v>
      </c>
    </row>
    <row r="143" spans="1:17">
      <c r="A143" s="2">
        <v>2091</v>
      </c>
      <c r="B143" s="7">
        <v>0</v>
      </c>
      <c r="C143" s="7">
        <v>0</v>
      </c>
      <c r="D143" s="7">
        <v>0</v>
      </c>
      <c r="E143" s="7">
        <v>4.4999999999999998E-2</v>
      </c>
      <c r="F143" s="7">
        <v>4.4999999999999998E-2</v>
      </c>
      <c r="G143" s="7">
        <v>0</v>
      </c>
      <c r="H143" s="7">
        <v>0</v>
      </c>
      <c r="I143" s="7">
        <v>9.5000000000000001E-2</v>
      </c>
      <c r="J143" s="7">
        <v>4.4999999999999998E-2</v>
      </c>
      <c r="K143" s="7">
        <v>4.4999999999999998E-2</v>
      </c>
      <c r="L143" s="7">
        <v>9.5000000000000001E-2</v>
      </c>
      <c r="M143" s="7">
        <v>9.5000000000000001E-2</v>
      </c>
      <c r="N143" s="7">
        <v>4.4999999999999998E-2</v>
      </c>
      <c r="O143" s="7">
        <v>0.23499999999999999</v>
      </c>
      <c r="P143" s="7">
        <v>0.23499999999999999</v>
      </c>
      <c r="Q143" s="7">
        <v>4.4999999999999998E-2</v>
      </c>
    </row>
    <row r="144" spans="1:17">
      <c r="A144" s="2">
        <v>2092</v>
      </c>
      <c r="B144" s="7">
        <v>0</v>
      </c>
      <c r="C144" s="7">
        <v>0</v>
      </c>
      <c r="D144" s="7">
        <v>0</v>
      </c>
      <c r="E144" s="7">
        <v>0.04</v>
      </c>
      <c r="F144" s="7">
        <v>0.04</v>
      </c>
      <c r="G144" s="7">
        <v>0</v>
      </c>
      <c r="H144" s="7">
        <v>0</v>
      </c>
      <c r="I144" s="7">
        <v>0.09</v>
      </c>
      <c r="J144" s="7">
        <v>0.04</v>
      </c>
      <c r="K144" s="7">
        <v>0.04</v>
      </c>
      <c r="L144" s="7">
        <v>0.09</v>
      </c>
      <c r="M144" s="7">
        <v>0.09</v>
      </c>
      <c r="N144" s="7">
        <v>0.04</v>
      </c>
      <c r="O144" s="7">
        <v>0.22</v>
      </c>
      <c r="P144" s="7">
        <v>0.22</v>
      </c>
      <c r="Q144" s="7">
        <v>0.04</v>
      </c>
    </row>
    <row r="145" spans="1:17">
      <c r="A145" s="2">
        <v>2093</v>
      </c>
      <c r="B145" s="7">
        <v>0</v>
      </c>
      <c r="C145" s="7">
        <v>0</v>
      </c>
      <c r="D145" s="7">
        <v>0</v>
      </c>
      <c r="E145" s="7">
        <v>3.5000000000000003E-2</v>
      </c>
      <c r="F145" s="7">
        <v>3.5000000000000003E-2</v>
      </c>
      <c r="G145" s="7">
        <v>0</v>
      </c>
      <c r="H145" s="7">
        <v>0</v>
      </c>
      <c r="I145" s="7">
        <v>8.5000000000000006E-2</v>
      </c>
      <c r="J145" s="7">
        <v>3.5000000000000003E-2</v>
      </c>
      <c r="K145" s="7">
        <v>3.5000000000000003E-2</v>
      </c>
      <c r="L145" s="7">
        <v>8.5000000000000006E-2</v>
      </c>
      <c r="M145" s="7">
        <v>8.5000000000000006E-2</v>
      </c>
      <c r="N145" s="7">
        <v>3.5000000000000003E-2</v>
      </c>
      <c r="O145" s="7">
        <v>0.20499999999999999</v>
      </c>
      <c r="P145" s="7">
        <v>0.20499999999999999</v>
      </c>
      <c r="Q145" s="7">
        <v>3.5000000000000003E-2</v>
      </c>
    </row>
    <row r="146" spans="1:17">
      <c r="A146" s="2">
        <v>2094</v>
      </c>
      <c r="B146" s="7">
        <v>0</v>
      </c>
      <c r="C146" s="7">
        <v>0</v>
      </c>
      <c r="D146" s="7">
        <v>0</v>
      </c>
      <c r="E146" s="7">
        <v>0.03</v>
      </c>
      <c r="F146" s="7">
        <v>0.03</v>
      </c>
      <c r="G146" s="7">
        <v>0</v>
      </c>
      <c r="H146" s="7">
        <v>0</v>
      </c>
      <c r="I146" s="7">
        <v>0.08</v>
      </c>
      <c r="J146" s="7">
        <v>0.03</v>
      </c>
      <c r="K146" s="7">
        <v>0.03</v>
      </c>
      <c r="L146" s="7">
        <v>0.08</v>
      </c>
      <c r="M146" s="7">
        <v>0.08</v>
      </c>
      <c r="N146" s="7">
        <v>0.03</v>
      </c>
      <c r="O146" s="7">
        <v>0.19</v>
      </c>
      <c r="P146" s="7">
        <v>0.19</v>
      </c>
      <c r="Q146" s="7">
        <v>0.03</v>
      </c>
    </row>
    <row r="147" spans="1:17">
      <c r="A147" s="2">
        <v>2095</v>
      </c>
      <c r="B147" s="7">
        <v>0</v>
      </c>
      <c r="C147" s="7">
        <v>0</v>
      </c>
      <c r="D147" s="7">
        <v>0</v>
      </c>
      <c r="E147" s="7">
        <v>2.5000000000000001E-2</v>
      </c>
      <c r="F147" s="7">
        <v>2.5000000000000001E-2</v>
      </c>
      <c r="G147" s="7">
        <v>0</v>
      </c>
      <c r="H147" s="7">
        <v>0</v>
      </c>
      <c r="I147" s="7">
        <v>7.4999999999999997E-2</v>
      </c>
      <c r="J147" s="7">
        <v>2.5000000000000001E-2</v>
      </c>
      <c r="K147" s="7">
        <v>2.5000000000000001E-2</v>
      </c>
      <c r="L147" s="7">
        <v>7.4999999999999997E-2</v>
      </c>
      <c r="M147" s="7">
        <v>7.4999999999999997E-2</v>
      </c>
      <c r="N147" s="7">
        <v>2.5000000000000001E-2</v>
      </c>
      <c r="O147" s="7">
        <v>0.17499999999999999</v>
      </c>
      <c r="P147" s="7">
        <v>0.17499999999999999</v>
      </c>
      <c r="Q147" s="7">
        <v>2.5000000000000001E-2</v>
      </c>
    </row>
    <row r="148" spans="1:17">
      <c r="A148" s="2">
        <v>2096</v>
      </c>
      <c r="B148" s="7">
        <v>0</v>
      </c>
      <c r="C148" s="7">
        <v>0</v>
      </c>
      <c r="D148" s="7">
        <v>0</v>
      </c>
      <c r="E148" s="7">
        <v>0.02</v>
      </c>
      <c r="F148" s="7">
        <v>0.02</v>
      </c>
      <c r="G148" s="7">
        <v>0</v>
      </c>
      <c r="H148" s="7">
        <v>0</v>
      </c>
      <c r="I148" s="7">
        <v>7.0000000000000007E-2</v>
      </c>
      <c r="J148" s="7">
        <v>0.02</v>
      </c>
      <c r="K148" s="7">
        <v>0.02</v>
      </c>
      <c r="L148" s="7">
        <v>7.0000000000000007E-2</v>
      </c>
      <c r="M148" s="7">
        <v>7.0000000000000007E-2</v>
      </c>
      <c r="N148" s="7">
        <v>0.02</v>
      </c>
      <c r="O148" s="7">
        <v>0.16</v>
      </c>
      <c r="P148" s="7">
        <v>0.16</v>
      </c>
      <c r="Q148" s="7">
        <v>0.02</v>
      </c>
    </row>
    <row r="149" spans="1:17">
      <c r="A149" s="2">
        <v>2097</v>
      </c>
      <c r="B149" s="7">
        <v>0</v>
      </c>
      <c r="C149" s="7">
        <v>0</v>
      </c>
      <c r="D149" s="7">
        <v>0</v>
      </c>
      <c r="E149" s="7">
        <v>1.4999999999999999E-2</v>
      </c>
      <c r="F149" s="7">
        <v>1.4999999999999999E-2</v>
      </c>
      <c r="G149" s="7">
        <v>0</v>
      </c>
      <c r="H149" s="7">
        <v>0</v>
      </c>
      <c r="I149" s="7">
        <v>6.5000000000000002E-2</v>
      </c>
      <c r="J149" s="7">
        <v>1.4999999999999999E-2</v>
      </c>
      <c r="K149" s="7">
        <v>1.4999999999999999E-2</v>
      </c>
      <c r="L149" s="7">
        <v>6.5000000000000002E-2</v>
      </c>
      <c r="M149" s="7">
        <v>6.5000000000000002E-2</v>
      </c>
      <c r="N149" s="7">
        <v>1.4999999999999999E-2</v>
      </c>
      <c r="O149" s="7">
        <v>0.14499999999999999</v>
      </c>
      <c r="P149" s="7">
        <v>0.14499999999999999</v>
      </c>
      <c r="Q149" s="7">
        <v>1.4999999999999999E-2</v>
      </c>
    </row>
    <row r="150" spans="1:17">
      <c r="A150" s="2">
        <v>2098</v>
      </c>
      <c r="B150" s="7">
        <v>0</v>
      </c>
      <c r="C150" s="7">
        <v>0</v>
      </c>
      <c r="D150" s="7">
        <v>0</v>
      </c>
      <c r="E150" s="7">
        <v>0.01</v>
      </c>
      <c r="F150" s="7">
        <v>0.01</v>
      </c>
      <c r="G150" s="7">
        <v>0</v>
      </c>
      <c r="H150" s="7">
        <v>0</v>
      </c>
      <c r="I150" s="7">
        <v>0.06</v>
      </c>
      <c r="J150" s="7">
        <v>0.01</v>
      </c>
      <c r="K150" s="7">
        <v>0.01</v>
      </c>
      <c r="L150" s="7">
        <v>0.06</v>
      </c>
      <c r="M150" s="7">
        <v>0.06</v>
      </c>
      <c r="N150" s="7">
        <v>0.01</v>
      </c>
      <c r="O150" s="7">
        <v>0.13</v>
      </c>
      <c r="P150" s="7">
        <v>0.13</v>
      </c>
      <c r="Q150" s="7">
        <v>0.01</v>
      </c>
    </row>
    <row r="151" spans="1:17">
      <c r="A151" s="2">
        <v>2099</v>
      </c>
      <c r="B151" s="7">
        <v>0</v>
      </c>
      <c r="C151" s="7">
        <v>0</v>
      </c>
      <c r="D151" s="7">
        <v>0</v>
      </c>
      <c r="E151" s="7">
        <v>5.0000000000000001E-3</v>
      </c>
      <c r="F151" s="7">
        <v>5.0000000000000001E-3</v>
      </c>
      <c r="G151" s="7">
        <v>0</v>
      </c>
      <c r="H151" s="7">
        <v>0</v>
      </c>
      <c r="I151" s="7">
        <v>5.5E-2</v>
      </c>
      <c r="J151" s="7">
        <v>5.0000000000000001E-3</v>
      </c>
      <c r="K151" s="7">
        <v>5.0000000000000001E-3</v>
      </c>
      <c r="L151" s="7">
        <v>5.5E-2</v>
      </c>
      <c r="M151" s="7">
        <v>5.5E-2</v>
      </c>
      <c r="N151" s="7">
        <v>5.0000000000000001E-3</v>
      </c>
      <c r="O151" s="7">
        <v>0.115</v>
      </c>
      <c r="P151" s="7">
        <v>0.115</v>
      </c>
      <c r="Q151" s="7">
        <v>5.0000000000000001E-3</v>
      </c>
    </row>
    <row r="152" spans="1:17">
      <c r="A152" s="2">
        <v>2100</v>
      </c>
      <c r="B152" s="7">
        <v>0</v>
      </c>
      <c r="C152" s="7">
        <v>0</v>
      </c>
      <c r="D152" s="7">
        <v>0</v>
      </c>
      <c r="E152" s="7">
        <v>0</v>
      </c>
      <c r="F152" s="7">
        <v>0</v>
      </c>
      <c r="G152" s="7">
        <v>0</v>
      </c>
      <c r="H152" s="7">
        <v>0</v>
      </c>
      <c r="I152" s="7">
        <v>0.05</v>
      </c>
      <c r="J152" s="7">
        <v>0</v>
      </c>
      <c r="K152" s="7">
        <v>0</v>
      </c>
      <c r="L152" s="7">
        <v>0.05</v>
      </c>
      <c r="M152" s="7">
        <v>0.05</v>
      </c>
      <c r="N152" s="7">
        <v>0</v>
      </c>
      <c r="O152" s="7">
        <v>0.1</v>
      </c>
      <c r="P152" s="7">
        <v>0.1</v>
      </c>
      <c r="Q152" s="7">
        <v>0</v>
      </c>
    </row>
    <row r="153" spans="1:17">
      <c r="A153" s="2">
        <v>2101</v>
      </c>
      <c r="B153" s="7">
        <v>0</v>
      </c>
      <c r="C153" s="7">
        <v>0</v>
      </c>
      <c r="D153" s="7">
        <v>0</v>
      </c>
      <c r="E153" s="7">
        <v>0</v>
      </c>
      <c r="F153" s="7">
        <v>0</v>
      </c>
      <c r="G153" s="7">
        <v>0</v>
      </c>
      <c r="H153" s="7">
        <v>0</v>
      </c>
      <c r="I153" s="7">
        <v>4.4999999999999998E-2</v>
      </c>
      <c r="J153" s="7">
        <v>0</v>
      </c>
      <c r="K153" s="7">
        <v>0</v>
      </c>
      <c r="L153" s="7">
        <v>4.4999999999999998E-2</v>
      </c>
      <c r="M153" s="7">
        <v>4.4999999999999998E-2</v>
      </c>
      <c r="N153" s="7">
        <v>0</v>
      </c>
      <c r="O153" s="7">
        <v>9.5000000000000001E-2</v>
      </c>
      <c r="P153" s="7">
        <v>9.5000000000000001E-2</v>
      </c>
      <c r="Q153" s="7">
        <v>0</v>
      </c>
    </row>
    <row r="154" spans="1:17">
      <c r="A154" s="2">
        <v>2102</v>
      </c>
      <c r="B154" s="7">
        <v>0</v>
      </c>
      <c r="C154" s="7">
        <v>0</v>
      </c>
      <c r="D154" s="7">
        <v>0</v>
      </c>
      <c r="E154" s="7">
        <v>0</v>
      </c>
      <c r="F154" s="7">
        <v>0</v>
      </c>
      <c r="G154" s="7">
        <v>0</v>
      </c>
      <c r="H154" s="7">
        <v>0</v>
      </c>
      <c r="I154" s="7">
        <v>0.04</v>
      </c>
      <c r="J154" s="7">
        <v>0</v>
      </c>
      <c r="K154" s="7">
        <v>0</v>
      </c>
      <c r="L154" s="7">
        <v>0.04</v>
      </c>
      <c r="M154" s="7">
        <v>0.04</v>
      </c>
      <c r="N154" s="7">
        <v>0</v>
      </c>
      <c r="O154" s="7">
        <v>0.09</v>
      </c>
      <c r="P154" s="7">
        <v>0.09</v>
      </c>
      <c r="Q154" s="7">
        <v>0</v>
      </c>
    </row>
    <row r="155" spans="1:17">
      <c r="A155" s="2">
        <v>2103</v>
      </c>
      <c r="B155" s="7">
        <v>0</v>
      </c>
      <c r="C155" s="7">
        <v>0</v>
      </c>
      <c r="D155" s="7">
        <v>0</v>
      </c>
      <c r="E155" s="7">
        <v>0</v>
      </c>
      <c r="F155" s="7">
        <v>0</v>
      </c>
      <c r="G155" s="7">
        <v>0</v>
      </c>
      <c r="H155" s="7">
        <v>0</v>
      </c>
      <c r="I155" s="7">
        <v>3.5000000000000003E-2</v>
      </c>
      <c r="J155" s="7">
        <v>0</v>
      </c>
      <c r="K155" s="7">
        <v>0</v>
      </c>
      <c r="L155" s="7">
        <v>3.5000000000000003E-2</v>
      </c>
      <c r="M155" s="7">
        <v>3.5000000000000003E-2</v>
      </c>
      <c r="N155" s="7">
        <v>0</v>
      </c>
      <c r="O155" s="7">
        <v>8.5000000000000006E-2</v>
      </c>
      <c r="P155" s="7">
        <v>8.5000000000000006E-2</v>
      </c>
      <c r="Q155" s="7">
        <v>0</v>
      </c>
    </row>
    <row r="156" spans="1:17">
      <c r="A156" s="2">
        <v>2104</v>
      </c>
      <c r="B156" s="7">
        <v>0</v>
      </c>
      <c r="C156" s="7">
        <v>0</v>
      </c>
      <c r="D156" s="7">
        <v>0</v>
      </c>
      <c r="E156" s="7">
        <v>0</v>
      </c>
      <c r="F156" s="7">
        <v>0</v>
      </c>
      <c r="G156" s="7">
        <v>0</v>
      </c>
      <c r="H156" s="7">
        <v>0</v>
      </c>
      <c r="I156" s="7">
        <v>0.03</v>
      </c>
      <c r="J156" s="7">
        <v>0</v>
      </c>
      <c r="K156" s="7">
        <v>0</v>
      </c>
      <c r="L156" s="7">
        <v>0.03</v>
      </c>
      <c r="M156" s="7">
        <v>0.03</v>
      </c>
      <c r="N156" s="7">
        <v>0</v>
      </c>
      <c r="O156" s="7">
        <v>0.08</v>
      </c>
      <c r="P156" s="7">
        <v>0.08</v>
      </c>
      <c r="Q156" s="7">
        <v>0</v>
      </c>
    </row>
    <row r="157" spans="1:17">
      <c r="A157" s="2">
        <v>2105</v>
      </c>
      <c r="B157" s="7">
        <v>0</v>
      </c>
      <c r="C157" s="7">
        <v>0</v>
      </c>
      <c r="D157" s="7">
        <v>0</v>
      </c>
      <c r="E157" s="7">
        <v>0</v>
      </c>
      <c r="F157" s="7">
        <v>0</v>
      </c>
      <c r="G157" s="7">
        <v>0</v>
      </c>
      <c r="H157" s="7">
        <v>0</v>
      </c>
      <c r="I157" s="7">
        <v>2.5000000000000001E-2</v>
      </c>
      <c r="J157" s="7">
        <v>0</v>
      </c>
      <c r="K157" s="7">
        <v>0</v>
      </c>
      <c r="L157" s="7">
        <v>2.5000000000000001E-2</v>
      </c>
      <c r="M157" s="7">
        <v>2.5000000000000001E-2</v>
      </c>
      <c r="N157" s="7">
        <v>0</v>
      </c>
      <c r="O157" s="7">
        <v>7.4999999999999997E-2</v>
      </c>
      <c r="P157" s="7">
        <v>7.4999999999999997E-2</v>
      </c>
      <c r="Q157" s="7">
        <v>0</v>
      </c>
    </row>
    <row r="158" spans="1:17">
      <c r="A158" s="2">
        <v>2106</v>
      </c>
      <c r="B158" s="7">
        <v>0</v>
      </c>
      <c r="C158" s="7">
        <v>0</v>
      </c>
      <c r="D158" s="7">
        <v>0</v>
      </c>
      <c r="E158" s="7">
        <v>0</v>
      </c>
      <c r="F158" s="7">
        <v>0</v>
      </c>
      <c r="G158" s="7">
        <v>0</v>
      </c>
      <c r="H158" s="7">
        <v>0</v>
      </c>
      <c r="I158" s="7">
        <v>0.02</v>
      </c>
      <c r="J158" s="7">
        <v>0</v>
      </c>
      <c r="K158" s="7">
        <v>0</v>
      </c>
      <c r="L158" s="7">
        <v>0.02</v>
      </c>
      <c r="M158" s="7">
        <v>0.02</v>
      </c>
      <c r="N158" s="7">
        <v>0</v>
      </c>
      <c r="O158" s="7">
        <v>7.0000000000000007E-2</v>
      </c>
      <c r="P158" s="7">
        <v>7.0000000000000007E-2</v>
      </c>
      <c r="Q158" s="7">
        <v>0</v>
      </c>
    </row>
    <row r="159" spans="1:17">
      <c r="A159" s="2">
        <v>2107</v>
      </c>
      <c r="B159" s="7">
        <v>0</v>
      </c>
      <c r="C159" s="7">
        <v>0</v>
      </c>
      <c r="D159" s="7">
        <v>0</v>
      </c>
      <c r="E159" s="7">
        <v>0</v>
      </c>
      <c r="F159" s="7">
        <v>0</v>
      </c>
      <c r="G159" s="7">
        <v>0</v>
      </c>
      <c r="H159" s="7">
        <v>0</v>
      </c>
      <c r="I159" s="7">
        <v>1.4999999999999999E-2</v>
      </c>
      <c r="J159" s="7">
        <v>0</v>
      </c>
      <c r="K159" s="7">
        <v>0</v>
      </c>
      <c r="L159" s="7">
        <v>1.4999999999999999E-2</v>
      </c>
      <c r="M159" s="7">
        <v>1.4999999999999999E-2</v>
      </c>
      <c r="N159" s="7">
        <v>0</v>
      </c>
      <c r="O159" s="7">
        <v>6.5000000000000002E-2</v>
      </c>
      <c r="P159" s="7">
        <v>6.5000000000000002E-2</v>
      </c>
      <c r="Q159" s="7">
        <v>0</v>
      </c>
    </row>
    <row r="160" spans="1:17">
      <c r="A160" s="2">
        <v>2108</v>
      </c>
      <c r="B160" s="7">
        <v>0</v>
      </c>
      <c r="C160" s="7">
        <v>0</v>
      </c>
      <c r="D160" s="7">
        <v>0</v>
      </c>
      <c r="E160" s="7">
        <v>0</v>
      </c>
      <c r="F160" s="7">
        <v>0</v>
      </c>
      <c r="G160" s="7">
        <v>0</v>
      </c>
      <c r="H160" s="7">
        <v>0</v>
      </c>
      <c r="I160" s="7">
        <v>0.01</v>
      </c>
      <c r="J160" s="7">
        <v>0</v>
      </c>
      <c r="K160" s="7">
        <v>0</v>
      </c>
      <c r="L160" s="7">
        <v>0.01</v>
      </c>
      <c r="M160" s="7">
        <v>0.01</v>
      </c>
      <c r="N160" s="7">
        <v>0</v>
      </c>
      <c r="O160" s="7">
        <v>0.06</v>
      </c>
      <c r="P160" s="7">
        <v>0.06</v>
      </c>
      <c r="Q160" s="7">
        <v>0</v>
      </c>
    </row>
    <row r="161" spans="1:17">
      <c r="A161" s="2">
        <v>2109</v>
      </c>
      <c r="B161" s="7">
        <v>0</v>
      </c>
      <c r="C161" s="7">
        <v>0</v>
      </c>
      <c r="D161" s="7">
        <v>0</v>
      </c>
      <c r="E161" s="7">
        <v>0</v>
      </c>
      <c r="F161" s="7">
        <v>0</v>
      </c>
      <c r="G161" s="7">
        <v>0</v>
      </c>
      <c r="H161" s="7">
        <v>0</v>
      </c>
      <c r="I161" s="7">
        <v>5.0000000000000001E-3</v>
      </c>
      <c r="J161" s="7">
        <v>0</v>
      </c>
      <c r="K161" s="7">
        <v>0</v>
      </c>
      <c r="L161" s="7">
        <v>5.0000000000000001E-3</v>
      </c>
      <c r="M161" s="7">
        <v>5.0000000000000001E-3</v>
      </c>
      <c r="N161" s="7">
        <v>0</v>
      </c>
      <c r="O161" s="7">
        <v>5.5E-2</v>
      </c>
      <c r="P161" s="7">
        <v>5.5E-2</v>
      </c>
      <c r="Q161" s="7">
        <v>0</v>
      </c>
    </row>
    <row r="162" spans="1:17">
      <c r="A162" s="2">
        <v>2110</v>
      </c>
      <c r="B162" s="7">
        <v>0</v>
      </c>
      <c r="C162" s="7">
        <v>0</v>
      </c>
      <c r="D162" s="7">
        <v>0</v>
      </c>
      <c r="E162" s="7">
        <v>0</v>
      </c>
      <c r="F162" s="7">
        <v>0</v>
      </c>
      <c r="G162" s="7">
        <v>0</v>
      </c>
      <c r="H162" s="7">
        <v>0</v>
      </c>
      <c r="I162" s="7">
        <v>0</v>
      </c>
      <c r="J162" s="7">
        <v>0</v>
      </c>
      <c r="K162" s="7">
        <v>0</v>
      </c>
      <c r="L162" s="7">
        <v>0</v>
      </c>
      <c r="M162" s="7">
        <v>0</v>
      </c>
      <c r="N162" s="7">
        <v>0</v>
      </c>
      <c r="O162" s="7">
        <v>0.05</v>
      </c>
      <c r="P162" s="7">
        <v>0.05</v>
      </c>
      <c r="Q162" s="7">
        <v>0</v>
      </c>
    </row>
    <row r="163" spans="1:17">
      <c r="A163" s="2">
        <v>2111</v>
      </c>
      <c r="B163" s="7">
        <v>0</v>
      </c>
      <c r="C163" s="7">
        <v>0</v>
      </c>
      <c r="D163" s="7">
        <v>0</v>
      </c>
      <c r="E163" s="7">
        <v>0</v>
      </c>
      <c r="F163" s="7">
        <v>0</v>
      </c>
      <c r="G163" s="7">
        <v>0</v>
      </c>
      <c r="H163" s="7">
        <v>0</v>
      </c>
      <c r="I163" s="7">
        <v>0</v>
      </c>
      <c r="J163" s="7">
        <v>0</v>
      </c>
      <c r="K163" s="7">
        <v>0</v>
      </c>
      <c r="L163" s="7">
        <v>0</v>
      </c>
      <c r="M163" s="7">
        <v>0</v>
      </c>
      <c r="N163" s="7">
        <v>0</v>
      </c>
      <c r="O163" s="7">
        <v>4.4999999999999998E-2</v>
      </c>
      <c r="P163" s="7">
        <v>4.4999999999999998E-2</v>
      </c>
      <c r="Q163" s="7">
        <v>0</v>
      </c>
    </row>
    <row r="164" spans="1:17">
      <c r="A164" s="2">
        <v>2112</v>
      </c>
      <c r="B164" s="7">
        <v>0</v>
      </c>
      <c r="C164" s="7">
        <v>0</v>
      </c>
      <c r="D164" s="7">
        <v>0</v>
      </c>
      <c r="E164" s="7">
        <v>0</v>
      </c>
      <c r="F164" s="7">
        <v>0</v>
      </c>
      <c r="G164" s="7">
        <v>0</v>
      </c>
      <c r="H164" s="7">
        <v>0</v>
      </c>
      <c r="I164" s="7">
        <v>0</v>
      </c>
      <c r="J164" s="7">
        <v>0</v>
      </c>
      <c r="K164" s="7">
        <v>0</v>
      </c>
      <c r="L164" s="7">
        <v>0</v>
      </c>
      <c r="M164" s="7">
        <v>0</v>
      </c>
      <c r="N164" s="7">
        <v>0</v>
      </c>
      <c r="O164" s="7">
        <v>0.04</v>
      </c>
      <c r="P164" s="7">
        <v>0.04</v>
      </c>
      <c r="Q164" s="7">
        <v>0</v>
      </c>
    </row>
    <row r="165" spans="1:17">
      <c r="A165" s="2">
        <v>2113</v>
      </c>
      <c r="B165" s="7">
        <v>0</v>
      </c>
      <c r="C165" s="7">
        <v>0</v>
      </c>
      <c r="D165" s="7">
        <v>0</v>
      </c>
      <c r="E165" s="7">
        <v>0</v>
      </c>
      <c r="F165" s="7">
        <v>0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L165" s="7">
        <v>0</v>
      </c>
      <c r="M165" s="7">
        <v>0</v>
      </c>
      <c r="N165" s="7">
        <v>0</v>
      </c>
      <c r="O165" s="7">
        <v>3.5000000000000003E-2</v>
      </c>
      <c r="P165" s="7">
        <v>3.5000000000000003E-2</v>
      </c>
      <c r="Q165" s="7">
        <v>0</v>
      </c>
    </row>
    <row r="166" spans="1:17">
      <c r="A166" s="2">
        <v>2114</v>
      </c>
      <c r="B166" s="7">
        <v>0</v>
      </c>
      <c r="C166" s="7">
        <v>0</v>
      </c>
      <c r="D166" s="7">
        <v>0</v>
      </c>
      <c r="E166" s="7">
        <v>0</v>
      </c>
      <c r="F166" s="7">
        <v>0</v>
      </c>
      <c r="G166" s="7">
        <v>0</v>
      </c>
      <c r="H166" s="7">
        <v>0</v>
      </c>
      <c r="I166" s="7">
        <v>0</v>
      </c>
      <c r="J166" s="7">
        <v>0</v>
      </c>
      <c r="K166" s="7">
        <v>0</v>
      </c>
      <c r="L166" s="7">
        <v>0</v>
      </c>
      <c r="M166" s="7">
        <v>0</v>
      </c>
      <c r="N166" s="7">
        <v>0</v>
      </c>
      <c r="O166" s="7">
        <v>0.03</v>
      </c>
      <c r="P166" s="7">
        <v>0.03</v>
      </c>
      <c r="Q166" s="7">
        <v>0</v>
      </c>
    </row>
    <row r="167" spans="1:17">
      <c r="A167" s="2">
        <v>2115</v>
      </c>
      <c r="B167" s="7">
        <v>0</v>
      </c>
      <c r="C167" s="7">
        <v>0</v>
      </c>
      <c r="D167" s="7">
        <v>0</v>
      </c>
      <c r="E167" s="7">
        <v>0</v>
      </c>
      <c r="F167" s="7">
        <v>0</v>
      </c>
      <c r="G167" s="7">
        <v>0</v>
      </c>
      <c r="H167" s="7">
        <v>0</v>
      </c>
      <c r="I167" s="7">
        <v>0</v>
      </c>
      <c r="J167" s="7">
        <v>0</v>
      </c>
      <c r="K167" s="7">
        <v>0</v>
      </c>
      <c r="L167" s="7">
        <v>0</v>
      </c>
      <c r="M167" s="7">
        <v>0</v>
      </c>
      <c r="N167" s="7">
        <v>0</v>
      </c>
      <c r="O167" s="7">
        <v>2.5000000000000001E-2</v>
      </c>
      <c r="P167" s="7">
        <v>2.5000000000000001E-2</v>
      </c>
      <c r="Q167" s="7">
        <v>0</v>
      </c>
    </row>
    <row r="168" spans="1:17">
      <c r="A168" s="2">
        <v>2116</v>
      </c>
      <c r="B168" s="7">
        <v>0</v>
      </c>
      <c r="C168" s="7">
        <v>0</v>
      </c>
      <c r="D168" s="7">
        <v>0</v>
      </c>
      <c r="E168" s="7">
        <v>0</v>
      </c>
      <c r="F168" s="7">
        <v>0</v>
      </c>
      <c r="G168" s="7">
        <v>0</v>
      </c>
      <c r="H168" s="7">
        <v>0</v>
      </c>
      <c r="I168" s="7">
        <v>0</v>
      </c>
      <c r="J168" s="7">
        <v>0</v>
      </c>
      <c r="K168" s="7">
        <v>0</v>
      </c>
      <c r="L168" s="7">
        <v>0</v>
      </c>
      <c r="M168" s="7">
        <v>0</v>
      </c>
      <c r="N168" s="7">
        <v>0</v>
      </c>
      <c r="O168" s="7">
        <v>0.02</v>
      </c>
      <c r="P168" s="7">
        <v>0.02</v>
      </c>
      <c r="Q168" s="7">
        <v>0</v>
      </c>
    </row>
    <row r="169" spans="1:17">
      <c r="A169" s="2">
        <v>2117</v>
      </c>
      <c r="B169" s="7">
        <v>0</v>
      </c>
      <c r="C169" s="7">
        <v>0</v>
      </c>
      <c r="D169" s="7">
        <v>0</v>
      </c>
      <c r="E169" s="7">
        <v>0</v>
      </c>
      <c r="F169" s="7">
        <v>0</v>
      </c>
      <c r="G169" s="7">
        <v>0</v>
      </c>
      <c r="H169" s="7">
        <v>0</v>
      </c>
      <c r="I169" s="7">
        <v>0</v>
      </c>
      <c r="J169" s="7">
        <v>0</v>
      </c>
      <c r="K169" s="7">
        <v>0</v>
      </c>
      <c r="L169" s="7">
        <v>0</v>
      </c>
      <c r="M169" s="7">
        <v>0</v>
      </c>
      <c r="N169" s="7">
        <v>0</v>
      </c>
      <c r="O169" s="7">
        <v>1.4999999999999999E-2</v>
      </c>
      <c r="P169" s="7">
        <v>1.4999999999999999E-2</v>
      </c>
      <c r="Q169" s="7">
        <v>0</v>
      </c>
    </row>
    <row r="170" spans="1:17">
      <c r="A170" s="2">
        <v>2118</v>
      </c>
      <c r="B170" s="7">
        <v>0</v>
      </c>
      <c r="C170" s="7">
        <v>0</v>
      </c>
      <c r="D170" s="7">
        <v>0</v>
      </c>
      <c r="E170" s="7">
        <v>0</v>
      </c>
      <c r="F170" s="7">
        <v>0</v>
      </c>
      <c r="G170" s="7">
        <v>0</v>
      </c>
      <c r="H170" s="7">
        <v>0</v>
      </c>
      <c r="I170" s="7">
        <v>0</v>
      </c>
      <c r="J170" s="7">
        <v>0</v>
      </c>
      <c r="K170" s="7">
        <v>0</v>
      </c>
      <c r="L170" s="7">
        <v>0</v>
      </c>
      <c r="M170" s="7">
        <v>0</v>
      </c>
      <c r="N170" s="7">
        <v>0</v>
      </c>
      <c r="O170" s="7">
        <v>0.01</v>
      </c>
      <c r="P170" s="7">
        <v>0.01</v>
      </c>
      <c r="Q170" s="7">
        <v>0</v>
      </c>
    </row>
    <row r="171" spans="1:17">
      <c r="A171" s="2">
        <v>2119</v>
      </c>
      <c r="B171" s="7">
        <v>0</v>
      </c>
      <c r="C171" s="7">
        <v>0</v>
      </c>
      <c r="D171" s="7">
        <v>0</v>
      </c>
      <c r="E171" s="7">
        <v>0</v>
      </c>
      <c r="F171" s="7">
        <v>0</v>
      </c>
      <c r="G171" s="7">
        <v>0</v>
      </c>
      <c r="H171" s="7">
        <v>0</v>
      </c>
      <c r="I171" s="7">
        <v>0</v>
      </c>
      <c r="J171" s="7">
        <v>0</v>
      </c>
      <c r="K171" s="7">
        <v>0</v>
      </c>
      <c r="L171" s="7">
        <v>0</v>
      </c>
      <c r="M171" s="7">
        <v>0</v>
      </c>
      <c r="N171" s="7">
        <v>0</v>
      </c>
      <c r="O171" s="7">
        <v>5.0000000000000001E-3</v>
      </c>
      <c r="P171" s="7">
        <v>5.0000000000000001E-3</v>
      </c>
      <c r="Q171" s="7">
        <v>0</v>
      </c>
    </row>
    <row r="172" spans="1:17">
      <c r="A172" s="2">
        <v>2120</v>
      </c>
      <c r="B172" s="7">
        <v>0</v>
      </c>
      <c r="C172" s="7">
        <v>0</v>
      </c>
      <c r="D172" s="7">
        <v>0</v>
      </c>
      <c r="E172" s="7">
        <v>0</v>
      </c>
      <c r="F172" s="7">
        <v>0</v>
      </c>
      <c r="G172" s="7">
        <v>0</v>
      </c>
      <c r="H172" s="7">
        <v>0</v>
      </c>
      <c r="I172" s="7">
        <v>0</v>
      </c>
      <c r="J172" s="7">
        <v>0</v>
      </c>
      <c r="K172" s="7">
        <v>0</v>
      </c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</row>
    <row r="173" spans="1:17">
      <c r="A173" s="2">
        <v>2121</v>
      </c>
      <c r="B173" s="7">
        <v>0</v>
      </c>
      <c r="C173" s="7">
        <v>0</v>
      </c>
      <c r="D173" s="7">
        <v>0</v>
      </c>
      <c r="E173" s="7">
        <v>0</v>
      </c>
      <c r="F173" s="7">
        <v>0</v>
      </c>
      <c r="G173" s="7">
        <v>0</v>
      </c>
      <c r="H173" s="7">
        <v>0</v>
      </c>
      <c r="I173" s="7">
        <v>0</v>
      </c>
      <c r="J173" s="7">
        <v>0</v>
      </c>
      <c r="K173" s="7">
        <v>0</v>
      </c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</row>
    <row r="174" spans="1:17">
      <c r="A174" s="2">
        <v>2122</v>
      </c>
      <c r="B174" s="7">
        <v>0</v>
      </c>
      <c r="C174" s="7">
        <v>0</v>
      </c>
      <c r="D174" s="7">
        <v>0</v>
      </c>
      <c r="E174" s="7">
        <v>0</v>
      </c>
      <c r="F174" s="7">
        <v>0</v>
      </c>
      <c r="G174" s="7">
        <v>0</v>
      </c>
      <c r="H174" s="7">
        <v>0</v>
      </c>
      <c r="I174" s="7">
        <v>0</v>
      </c>
      <c r="J174" s="7">
        <v>0</v>
      </c>
      <c r="K174" s="7">
        <v>0</v>
      </c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</row>
    <row r="175" spans="1:17">
      <c r="A175" s="2">
        <v>2123</v>
      </c>
      <c r="B175" s="7">
        <v>0</v>
      </c>
      <c r="C175" s="7">
        <v>0</v>
      </c>
      <c r="D175" s="7">
        <v>0</v>
      </c>
      <c r="E175" s="7">
        <v>0</v>
      </c>
      <c r="F175" s="7">
        <v>0</v>
      </c>
      <c r="G175" s="7">
        <v>0</v>
      </c>
      <c r="H175" s="7">
        <v>0</v>
      </c>
      <c r="I175" s="7">
        <v>0</v>
      </c>
      <c r="J175" s="7">
        <v>0</v>
      </c>
      <c r="K175" s="7">
        <v>0</v>
      </c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</row>
    <row r="176" spans="1:17">
      <c r="A176" s="2">
        <v>2124</v>
      </c>
      <c r="B176" s="7">
        <v>0</v>
      </c>
      <c r="C176" s="7">
        <v>0</v>
      </c>
      <c r="D176" s="7">
        <v>0</v>
      </c>
      <c r="E176" s="7">
        <v>0</v>
      </c>
      <c r="F176" s="7">
        <v>0</v>
      </c>
      <c r="G176" s="7">
        <v>0</v>
      </c>
      <c r="H176" s="7">
        <v>0</v>
      </c>
      <c r="I176" s="7">
        <v>0</v>
      </c>
      <c r="J176" s="7">
        <v>0</v>
      </c>
      <c r="K176" s="7">
        <v>0</v>
      </c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</row>
    <row r="177" spans="1:17">
      <c r="A177" s="2">
        <v>2125</v>
      </c>
      <c r="B177" s="7">
        <v>0</v>
      </c>
      <c r="C177" s="7">
        <v>0</v>
      </c>
      <c r="D177" s="7">
        <v>0</v>
      </c>
      <c r="E177" s="7">
        <v>0</v>
      </c>
      <c r="F177" s="7">
        <v>0</v>
      </c>
      <c r="G177" s="7">
        <v>0</v>
      </c>
      <c r="H177" s="7">
        <v>0</v>
      </c>
      <c r="I177" s="7">
        <v>0</v>
      </c>
      <c r="J177" s="7">
        <v>0</v>
      </c>
      <c r="K177" s="7">
        <v>0</v>
      </c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</row>
    <row r="178" spans="1:17">
      <c r="A178" s="2">
        <v>2126</v>
      </c>
      <c r="B178" s="7">
        <v>0</v>
      </c>
      <c r="C178" s="7">
        <v>0</v>
      </c>
      <c r="D178" s="7">
        <v>0</v>
      </c>
      <c r="E178" s="7">
        <v>0</v>
      </c>
      <c r="F178" s="7">
        <v>0</v>
      </c>
      <c r="G178" s="7">
        <v>0</v>
      </c>
      <c r="H178" s="7">
        <v>0</v>
      </c>
      <c r="I178" s="7">
        <v>0</v>
      </c>
      <c r="J178" s="7">
        <v>0</v>
      </c>
      <c r="K178" s="7">
        <v>0</v>
      </c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</row>
    <row r="179" spans="1:17">
      <c r="A179" s="2">
        <v>2127</v>
      </c>
      <c r="B179" s="7">
        <v>0</v>
      </c>
      <c r="C179" s="7">
        <v>0</v>
      </c>
      <c r="D179" s="7">
        <v>0</v>
      </c>
      <c r="E179" s="7">
        <v>0</v>
      </c>
      <c r="F179" s="7">
        <v>0</v>
      </c>
      <c r="G179" s="7">
        <v>0</v>
      </c>
      <c r="H179" s="7">
        <v>0</v>
      </c>
      <c r="I179" s="7">
        <v>0</v>
      </c>
      <c r="J179" s="7">
        <v>0</v>
      </c>
      <c r="K179" s="7">
        <v>0</v>
      </c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</row>
    <row r="180" spans="1:17">
      <c r="A180" s="2">
        <v>2128</v>
      </c>
      <c r="B180" s="7">
        <v>0</v>
      </c>
      <c r="C180" s="7">
        <v>0</v>
      </c>
      <c r="D180" s="7">
        <v>0</v>
      </c>
      <c r="E180" s="7">
        <v>0</v>
      </c>
      <c r="F180" s="7">
        <v>0</v>
      </c>
      <c r="G180" s="7">
        <v>0</v>
      </c>
      <c r="H180" s="7">
        <v>0</v>
      </c>
      <c r="I180" s="7">
        <v>0</v>
      </c>
      <c r="J180" s="7">
        <v>0</v>
      </c>
      <c r="K180" s="7">
        <v>0</v>
      </c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</row>
    <row r="181" spans="1:17">
      <c r="A181" s="2">
        <v>2129</v>
      </c>
      <c r="B181" s="7">
        <v>0</v>
      </c>
      <c r="C181" s="7">
        <v>0</v>
      </c>
      <c r="D181" s="7">
        <v>0</v>
      </c>
      <c r="E181" s="7">
        <v>0</v>
      </c>
      <c r="F181" s="7">
        <v>0</v>
      </c>
      <c r="G181" s="7">
        <v>0</v>
      </c>
      <c r="H181" s="7">
        <v>0</v>
      </c>
      <c r="I181" s="7">
        <v>0</v>
      </c>
      <c r="J181" s="7">
        <v>0</v>
      </c>
      <c r="K181" s="7">
        <v>0</v>
      </c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</row>
    <row r="182" spans="1:17">
      <c r="A182" s="2">
        <v>2130</v>
      </c>
      <c r="B182" s="7">
        <v>0</v>
      </c>
      <c r="C182" s="7">
        <v>0</v>
      </c>
      <c r="D182" s="7">
        <v>0</v>
      </c>
      <c r="E182" s="7">
        <v>0</v>
      </c>
      <c r="F182" s="7">
        <v>0</v>
      </c>
      <c r="G182" s="7">
        <v>0</v>
      </c>
      <c r="H182" s="7">
        <v>0</v>
      </c>
      <c r="I182" s="7">
        <v>0</v>
      </c>
      <c r="J182" s="7">
        <v>0</v>
      </c>
      <c r="K182" s="7">
        <v>0</v>
      </c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</row>
    <row r="183" spans="1:17">
      <c r="A183" s="2">
        <v>2131</v>
      </c>
      <c r="B183" s="7">
        <v>0</v>
      </c>
      <c r="C183" s="7">
        <v>0</v>
      </c>
      <c r="D183" s="7">
        <v>0</v>
      </c>
      <c r="E183" s="7">
        <v>0</v>
      </c>
      <c r="F183" s="7">
        <v>0</v>
      </c>
      <c r="G183" s="7">
        <v>0</v>
      </c>
      <c r="H183" s="7">
        <v>0</v>
      </c>
      <c r="I183" s="7">
        <v>0</v>
      </c>
      <c r="J183" s="7">
        <v>0</v>
      </c>
      <c r="K183" s="7">
        <v>0</v>
      </c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</row>
    <row r="184" spans="1:17">
      <c r="A184" s="2">
        <v>2132</v>
      </c>
      <c r="B184" s="7">
        <v>0</v>
      </c>
      <c r="C184" s="7">
        <v>0</v>
      </c>
      <c r="D184" s="7">
        <v>0</v>
      </c>
      <c r="E184" s="7">
        <v>0</v>
      </c>
      <c r="F184" s="7">
        <v>0</v>
      </c>
      <c r="G184" s="7">
        <v>0</v>
      </c>
      <c r="H184" s="7">
        <v>0</v>
      </c>
      <c r="I184" s="7">
        <v>0</v>
      </c>
      <c r="J184" s="7">
        <v>0</v>
      </c>
      <c r="K184" s="7">
        <v>0</v>
      </c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</row>
    <row r="185" spans="1:17">
      <c r="A185" s="2">
        <v>2133</v>
      </c>
      <c r="B185" s="7">
        <v>0</v>
      </c>
      <c r="C185" s="7">
        <v>0</v>
      </c>
      <c r="D185" s="7">
        <v>0</v>
      </c>
      <c r="E185" s="7">
        <v>0</v>
      </c>
      <c r="F185" s="7">
        <v>0</v>
      </c>
      <c r="G185" s="7">
        <v>0</v>
      </c>
      <c r="H185" s="7">
        <v>0</v>
      </c>
      <c r="I185" s="7">
        <v>0</v>
      </c>
      <c r="J185" s="7">
        <v>0</v>
      </c>
      <c r="K185" s="7">
        <v>0</v>
      </c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</row>
    <row r="186" spans="1:17">
      <c r="A186" s="2">
        <v>2134</v>
      </c>
      <c r="B186" s="7">
        <v>0</v>
      </c>
      <c r="C186" s="7">
        <v>0</v>
      </c>
      <c r="D186" s="7">
        <v>0</v>
      </c>
      <c r="E186" s="7">
        <v>0</v>
      </c>
      <c r="F186" s="7">
        <v>0</v>
      </c>
      <c r="G186" s="7">
        <v>0</v>
      </c>
      <c r="H186" s="7">
        <v>0</v>
      </c>
      <c r="I186" s="7">
        <v>0</v>
      </c>
      <c r="J186" s="7">
        <v>0</v>
      </c>
      <c r="K186" s="7">
        <v>0</v>
      </c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</row>
    <row r="187" spans="1:17">
      <c r="A187" s="2">
        <v>2135</v>
      </c>
      <c r="B187" s="7">
        <v>0</v>
      </c>
      <c r="C187" s="7">
        <v>0</v>
      </c>
      <c r="D187" s="7">
        <v>0</v>
      </c>
      <c r="E187" s="7">
        <v>0</v>
      </c>
      <c r="F187" s="7">
        <v>0</v>
      </c>
      <c r="G187" s="7">
        <v>0</v>
      </c>
      <c r="H187" s="7">
        <v>0</v>
      </c>
      <c r="I187" s="7">
        <v>0</v>
      </c>
      <c r="J187" s="7">
        <v>0</v>
      </c>
      <c r="K187" s="7">
        <v>0</v>
      </c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</row>
    <row r="188" spans="1:17">
      <c r="A188" s="2">
        <v>2136</v>
      </c>
      <c r="B188" s="7">
        <v>0</v>
      </c>
      <c r="C188" s="7">
        <v>0</v>
      </c>
      <c r="D188" s="7">
        <v>0</v>
      </c>
      <c r="E188" s="7">
        <v>0</v>
      </c>
      <c r="F188" s="7">
        <v>0</v>
      </c>
      <c r="G188" s="7">
        <v>0</v>
      </c>
      <c r="H188" s="7">
        <v>0</v>
      </c>
      <c r="I188" s="7">
        <v>0</v>
      </c>
      <c r="J188" s="7">
        <v>0</v>
      </c>
      <c r="K188" s="7">
        <v>0</v>
      </c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</row>
    <row r="189" spans="1:17">
      <c r="A189" s="2">
        <v>2137</v>
      </c>
      <c r="B189" s="7">
        <v>0</v>
      </c>
      <c r="C189" s="7">
        <v>0</v>
      </c>
      <c r="D189" s="7">
        <v>0</v>
      </c>
      <c r="E189" s="7">
        <v>0</v>
      </c>
      <c r="F189" s="7">
        <v>0</v>
      </c>
      <c r="G189" s="7">
        <v>0</v>
      </c>
      <c r="H189" s="7">
        <v>0</v>
      </c>
      <c r="I189" s="7">
        <v>0</v>
      </c>
      <c r="J189" s="7">
        <v>0</v>
      </c>
      <c r="K189" s="7">
        <v>0</v>
      </c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</row>
    <row r="190" spans="1:17">
      <c r="A190" s="2">
        <v>2138</v>
      </c>
      <c r="B190" s="7">
        <v>0</v>
      </c>
      <c r="C190" s="7">
        <v>0</v>
      </c>
      <c r="D190" s="7">
        <v>0</v>
      </c>
      <c r="E190" s="7">
        <v>0</v>
      </c>
      <c r="F190" s="7">
        <v>0</v>
      </c>
      <c r="G190" s="7">
        <v>0</v>
      </c>
      <c r="H190" s="7">
        <v>0</v>
      </c>
      <c r="I190" s="7">
        <v>0</v>
      </c>
      <c r="J190" s="7">
        <v>0</v>
      </c>
      <c r="K190" s="7">
        <v>0</v>
      </c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</row>
    <row r="191" spans="1:17">
      <c r="A191" s="2">
        <v>2139</v>
      </c>
      <c r="B191" s="7">
        <v>0</v>
      </c>
      <c r="C191" s="7">
        <v>0</v>
      </c>
      <c r="D191" s="7">
        <v>0</v>
      </c>
      <c r="E191" s="7">
        <v>0</v>
      </c>
      <c r="F191" s="7">
        <v>0</v>
      </c>
      <c r="G191" s="7">
        <v>0</v>
      </c>
      <c r="H191" s="7">
        <v>0</v>
      </c>
      <c r="I191" s="7">
        <v>0</v>
      </c>
      <c r="J191" s="7">
        <v>0</v>
      </c>
      <c r="K191" s="7">
        <v>0</v>
      </c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</row>
    <row r="192" spans="1:17">
      <c r="A192" s="2">
        <v>2140</v>
      </c>
      <c r="B192" s="7">
        <v>0</v>
      </c>
      <c r="C192" s="7">
        <v>0</v>
      </c>
      <c r="D192" s="7">
        <v>0</v>
      </c>
      <c r="E192" s="7">
        <v>0</v>
      </c>
      <c r="F192" s="7">
        <v>0</v>
      </c>
      <c r="G192" s="7">
        <v>0</v>
      </c>
      <c r="H192" s="7">
        <v>0</v>
      </c>
      <c r="I192" s="7">
        <v>0</v>
      </c>
      <c r="J192" s="7">
        <v>0</v>
      </c>
      <c r="K192" s="7">
        <v>0</v>
      </c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</row>
    <row r="193" spans="1:17">
      <c r="A193" s="2">
        <v>2141</v>
      </c>
      <c r="B193" s="7">
        <v>0</v>
      </c>
      <c r="C193" s="7">
        <v>0</v>
      </c>
      <c r="D193" s="7">
        <v>0</v>
      </c>
      <c r="E193" s="7">
        <v>0</v>
      </c>
      <c r="F193" s="7">
        <v>0</v>
      </c>
      <c r="G193" s="7">
        <v>0</v>
      </c>
      <c r="H193" s="7">
        <v>0</v>
      </c>
      <c r="I193" s="7">
        <v>0</v>
      </c>
      <c r="J193" s="7">
        <v>0</v>
      </c>
      <c r="K193" s="7">
        <v>0</v>
      </c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</row>
    <row r="194" spans="1:17">
      <c r="A194" s="2">
        <v>2142</v>
      </c>
      <c r="B194" s="7">
        <v>0</v>
      </c>
      <c r="C194" s="7">
        <v>0</v>
      </c>
      <c r="D194" s="7">
        <v>0</v>
      </c>
      <c r="E194" s="7">
        <v>0</v>
      </c>
      <c r="F194" s="7">
        <v>0</v>
      </c>
      <c r="G194" s="7">
        <v>0</v>
      </c>
      <c r="H194" s="7">
        <v>0</v>
      </c>
      <c r="I194" s="7">
        <v>0</v>
      </c>
      <c r="J194" s="7">
        <v>0</v>
      </c>
      <c r="K194" s="7">
        <v>0</v>
      </c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</row>
    <row r="195" spans="1:17">
      <c r="A195" s="2">
        <v>2143</v>
      </c>
      <c r="B195" s="7">
        <v>0</v>
      </c>
      <c r="C195" s="7">
        <v>0</v>
      </c>
      <c r="D195" s="7">
        <v>0</v>
      </c>
      <c r="E195" s="7">
        <v>0</v>
      </c>
      <c r="F195" s="7">
        <v>0</v>
      </c>
      <c r="G195" s="7">
        <v>0</v>
      </c>
      <c r="H195" s="7">
        <v>0</v>
      </c>
      <c r="I195" s="7">
        <v>0</v>
      </c>
      <c r="J195" s="7">
        <v>0</v>
      </c>
      <c r="K195" s="7">
        <v>0</v>
      </c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</row>
    <row r="196" spans="1:17">
      <c r="A196" s="2">
        <v>2144</v>
      </c>
      <c r="B196" s="7">
        <v>0</v>
      </c>
      <c r="C196" s="7">
        <v>0</v>
      </c>
      <c r="D196" s="7">
        <v>0</v>
      </c>
      <c r="E196" s="7">
        <v>0</v>
      </c>
      <c r="F196" s="7">
        <v>0</v>
      </c>
      <c r="G196" s="7">
        <v>0</v>
      </c>
      <c r="H196" s="7">
        <v>0</v>
      </c>
      <c r="I196" s="7">
        <v>0</v>
      </c>
      <c r="J196" s="7">
        <v>0</v>
      </c>
      <c r="K196" s="7">
        <v>0</v>
      </c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</row>
    <row r="197" spans="1:17">
      <c r="A197" s="2">
        <v>2145</v>
      </c>
      <c r="B197" s="7">
        <v>0</v>
      </c>
      <c r="C197" s="7">
        <v>0</v>
      </c>
      <c r="D197" s="7">
        <v>0</v>
      </c>
      <c r="E197" s="7">
        <v>0</v>
      </c>
      <c r="F197" s="7">
        <v>0</v>
      </c>
      <c r="G197" s="7">
        <v>0</v>
      </c>
      <c r="H197" s="7">
        <v>0</v>
      </c>
      <c r="I197" s="7">
        <v>0</v>
      </c>
      <c r="J197" s="7">
        <v>0</v>
      </c>
      <c r="K197" s="7">
        <v>0</v>
      </c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</row>
    <row r="198" spans="1:17">
      <c r="A198" s="2">
        <v>2146</v>
      </c>
      <c r="B198" s="7">
        <v>0</v>
      </c>
      <c r="C198" s="7">
        <v>0</v>
      </c>
      <c r="D198" s="7">
        <v>0</v>
      </c>
      <c r="E198" s="7">
        <v>0</v>
      </c>
      <c r="F198" s="7">
        <v>0</v>
      </c>
      <c r="G198" s="7">
        <v>0</v>
      </c>
      <c r="H198" s="7">
        <v>0</v>
      </c>
      <c r="I198" s="7">
        <v>0</v>
      </c>
      <c r="J198" s="7">
        <v>0</v>
      </c>
      <c r="K198" s="7">
        <v>0</v>
      </c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</row>
    <row r="199" spans="1:17">
      <c r="A199" s="2">
        <v>2147</v>
      </c>
      <c r="B199" s="7">
        <v>0</v>
      </c>
      <c r="C199" s="7">
        <v>0</v>
      </c>
      <c r="D199" s="7">
        <v>0</v>
      </c>
      <c r="E199" s="7">
        <v>0</v>
      </c>
      <c r="F199" s="7">
        <v>0</v>
      </c>
      <c r="G199" s="7">
        <v>0</v>
      </c>
      <c r="H199" s="7">
        <v>0</v>
      </c>
      <c r="I199" s="7">
        <v>0</v>
      </c>
      <c r="J199" s="7">
        <v>0</v>
      </c>
      <c r="K199" s="7">
        <v>0</v>
      </c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</row>
    <row r="200" spans="1:17">
      <c r="A200" s="2">
        <v>2148</v>
      </c>
      <c r="B200" s="7">
        <v>0</v>
      </c>
      <c r="C200" s="7">
        <v>0</v>
      </c>
      <c r="D200" s="7">
        <v>0</v>
      </c>
      <c r="E200" s="7">
        <v>0</v>
      </c>
      <c r="F200" s="7">
        <v>0</v>
      </c>
      <c r="G200" s="7">
        <v>0</v>
      </c>
      <c r="H200" s="7">
        <v>0</v>
      </c>
      <c r="I200" s="7">
        <v>0</v>
      </c>
      <c r="J200" s="7">
        <v>0</v>
      </c>
      <c r="K200" s="7">
        <v>0</v>
      </c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</row>
    <row r="201" spans="1:17">
      <c r="A201" s="2">
        <v>2149</v>
      </c>
      <c r="B201" s="7">
        <v>0</v>
      </c>
      <c r="C201" s="7">
        <v>0</v>
      </c>
      <c r="D201" s="7">
        <v>0</v>
      </c>
      <c r="E201" s="7">
        <v>0</v>
      </c>
      <c r="F201" s="7">
        <v>0</v>
      </c>
      <c r="G201" s="7">
        <v>0</v>
      </c>
      <c r="H201" s="7">
        <v>0</v>
      </c>
      <c r="I201" s="7">
        <v>0</v>
      </c>
      <c r="J201" s="7">
        <v>0</v>
      </c>
      <c r="K201" s="7">
        <v>0</v>
      </c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</row>
    <row r="202" spans="1:17">
      <c r="A202" s="2">
        <v>2150</v>
      </c>
      <c r="B202" s="7">
        <v>0</v>
      </c>
      <c r="C202" s="7">
        <v>0</v>
      </c>
      <c r="D202" s="7">
        <v>0</v>
      </c>
      <c r="E202" s="7">
        <v>0</v>
      </c>
      <c r="F202" s="7">
        <v>0</v>
      </c>
      <c r="G202" s="7">
        <v>0</v>
      </c>
      <c r="H202" s="7">
        <v>0</v>
      </c>
      <c r="I202" s="7">
        <v>0</v>
      </c>
      <c r="J202" s="7">
        <v>0</v>
      </c>
      <c r="K202" s="7">
        <v>0</v>
      </c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</row>
    <row r="203" spans="1:17">
      <c r="A203" s="2">
        <v>2151</v>
      </c>
      <c r="B203" s="7">
        <v>0</v>
      </c>
      <c r="C203" s="7">
        <v>0</v>
      </c>
      <c r="D203" s="7">
        <v>0</v>
      </c>
      <c r="E203" s="7">
        <v>0</v>
      </c>
      <c r="F203" s="7">
        <v>0</v>
      </c>
      <c r="G203" s="7">
        <v>0</v>
      </c>
      <c r="H203" s="7">
        <v>0</v>
      </c>
      <c r="I203" s="7">
        <v>0</v>
      </c>
      <c r="J203" s="7">
        <v>0</v>
      </c>
      <c r="K203" s="7">
        <v>0</v>
      </c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</row>
    <row r="204" spans="1:17">
      <c r="A204" s="2">
        <v>2152</v>
      </c>
      <c r="B204" s="7">
        <v>0</v>
      </c>
      <c r="C204" s="7">
        <v>0</v>
      </c>
      <c r="D204" s="7">
        <v>0</v>
      </c>
      <c r="E204" s="7">
        <v>0</v>
      </c>
      <c r="F204" s="7">
        <v>0</v>
      </c>
      <c r="G204" s="7">
        <v>0</v>
      </c>
      <c r="H204" s="7">
        <v>0</v>
      </c>
      <c r="I204" s="7">
        <v>0</v>
      </c>
      <c r="J204" s="7">
        <v>0</v>
      </c>
      <c r="K204" s="7">
        <v>0</v>
      </c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</row>
    <row r="205" spans="1:17">
      <c r="A205" s="2">
        <v>2153</v>
      </c>
      <c r="B205" s="7">
        <v>0</v>
      </c>
      <c r="C205" s="7">
        <v>0</v>
      </c>
      <c r="D205" s="7">
        <v>0</v>
      </c>
      <c r="E205" s="7">
        <v>0</v>
      </c>
      <c r="F205" s="7">
        <v>0</v>
      </c>
      <c r="G205" s="7">
        <v>0</v>
      </c>
      <c r="H205" s="7">
        <v>0</v>
      </c>
      <c r="I205" s="7">
        <v>0</v>
      </c>
      <c r="J205" s="7">
        <v>0</v>
      </c>
      <c r="K205" s="7">
        <v>0</v>
      </c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</row>
    <row r="206" spans="1:17">
      <c r="A206" s="2">
        <v>2154</v>
      </c>
      <c r="B206" s="7">
        <v>0</v>
      </c>
      <c r="C206" s="7">
        <v>0</v>
      </c>
      <c r="D206" s="7">
        <v>0</v>
      </c>
      <c r="E206" s="7">
        <v>0</v>
      </c>
      <c r="F206" s="7">
        <v>0</v>
      </c>
      <c r="G206" s="7">
        <v>0</v>
      </c>
      <c r="H206" s="7">
        <v>0</v>
      </c>
      <c r="I206" s="7">
        <v>0</v>
      </c>
      <c r="J206" s="7">
        <v>0</v>
      </c>
      <c r="K206" s="7">
        <v>0</v>
      </c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</row>
    <row r="207" spans="1:17">
      <c r="A207" s="2">
        <v>2155</v>
      </c>
      <c r="B207" s="7">
        <v>0</v>
      </c>
      <c r="C207" s="7">
        <v>0</v>
      </c>
      <c r="D207" s="7">
        <v>0</v>
      </c>
      <c r="E207" s="7">
        <v>0</v>
      </c>
      <c r="F207" s="7">
        <v>0</v>
      </c>
      <c r="G207" s="7">
        <v>0</v>
      </c>
      <c r="H207" s="7">
        <v>0</v>
      </c>
      <c r="I207" s="7">
        <v>0</v>
      </c>
      <c r="J207" s="7">
        <v>0</v>
      </c>
      <c r="K207" s="7">
        <v>0</v>
      </c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</row>
    <row r="208" spans="1:17">
      <c r="A208" s="2">
        <v>2156</v>
      </c>
      <c r="B208" s="7">
        <v>0</v>
      </c>
      <c r="C208" s="7">
        <v>0</v>
      </c>
      <c r="D208" s="7">
        <v>0</v>
      </c>
      <c r="E208" s="7">
        <v>0</v>
      </c>
      <c r="F208" s="7">
        <v>0</v>
      </c>
      <c r="G208" s="7">
        <v>0</v>
      </c>
      <c r="H208" s="7">
        <v>0</v>
      </c>
      <c r="I208" s="7">
        <v>0</v>
      </c>
      <c r="J208" s="7">
        <v>0</v>
      </c>
      <c r="K208" s="7">
        <v>0</v>
      </c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</row>
    <row r="209" spans="1:17">
      <c r="A209" s="2">
        <v>2157</v>
      </c>
      <c r="B209" s="7">
        <v>0</v>
      </c>
      <c r="C209" s="7">
        <v>0</v>
      </c>
      <c r="D209" s="7">
        <v>0</v>
      </c>
      <c r="E209" s="7">
        <v>0</v>
      </c>
      <c r="F209" s="7">
        <v>0</v>
      </c>
      <c r="G209" s="7">
        <v>0</v>
      </c>
      <c r="H209" s="7">
        <v>0</v>
      </c>
      <c r="I209" s="7">
        <v>0</v>
      </c>
      <c r="J209" s="7">
        <v>0</v>
      </c>
      <c r="K209" s="7">
        <v>0</v>
      </c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</row>
    <row r="210" spans="1:17">
      <c r="A210" s="2">
        <v>2158</v>
      </c>
      <c r="B210" s="7">
        <v>0</v>
      </c>
      <c r="C210" s="7">
        <v>0</v>
      </c>
      <c r="D210" s="7">
        <v>0</v>
      </c>
      <c r="E210" s="7">
        <v>0</v>
      </c>
      <c r="F210" s="7">
        <v>0</v>
      </c>
      <c r="G210" s="7">
        <v>0</v>
      </c>
      <c r="H210" s="7">
        <v>0</v>
      </c>
      <c r="I210" s="7">
        <v>0</v>
      </c>
      <c r="J210" s="7">
        <v>0</v>
      </c>
      <c r="K210" s="7">
        <v>0</v>
      </c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</row>
    <row r="211" spans="1:17">
      <c r="A211" s="2">
        <v>2159</v>
      </c>
      <c r="B211" s="7">
        <v>0</v>
      </c>
      <c r="C211" s="7">
        <v>0</v>
      </c>
      <c r="D211" s="7">
        <v>0</v>
      </c>
      <c r="E211" s="7">
        <v>0</v>
      </c>
      <c r="F211" s="7">
        <v>0</v>
      </c>
      <c r="G211" s="7">
        <v>0</v>
      </c>
      <c r="H211" s="7">
        <v>0</v>
      </c>
      <c r="I211" s="7">
        <v>0</v>
      </c>
      <c r="J211" s="7">
        <v>0</v>
      </c>
      <c r="K211" s="7">
        <v>0</v>
      </c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</row>
    <row r="212" spans="1:17">
      <c r="A212" s="2">
        <v>2160</v>
      </c>
      <c r="B212" s="7">
        <v>0</v>
      </c>
      <c r="C212" s="7">
        <v>0</v>
      </c>
      <c r="D212" s="7">
        <v>0</v>
      </c>
      <c r="E212" s="7">
        <v>0</v>
      </c>
      <c r="F212" s="7">
        <v>0</v>
      </c>
      <c r="G212" s="7">
        <v>0</v>
      </c>
      <c r="H212" s="7">
        <v>0</v>
      </c>
      <c r="I212" s="7">
        <v>0</v>
      </c>
      <c r="J212" s="7">
        <v>0</v>
      </c>
      <c r="K212" s="7">
        <v>0</v>
      </c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</row>
    <row r="213" spans="1:17">
      <c r="A213" s="2">
        <v>2161</v>
      </c>
      <c r="B213" s="7">
        <v>0</v>
      </c>
      <c r="C213" s="7">
        <v>0</v>
      </c>
      <c r="D213" s="7">
        <v>0</v>
      </c>
      <c r="E213" s="7">
        <v>0</v>
      </c>
      <c r="F213" s="7">
        <v>0</v>
      </c>
      <c r="G213" s="7">
        <v>0</v>
      </c>
      <c r="H213" s="7">
        <v>0</v>
      </c>
      <c r="I213" s="7">
        <v>0</v>
      </c>
      <c r="J213" s="7">
        <v>0</v>
      </c>
      <c r="K213" s="7">
        <v>0</v>
      </c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</row>
    <row r="214" spans="1:17">
      <c r="A214" s="2">
        <v>2162</v>
      </c>
      <c r="B214" s="7">
        <v>0</v>
      </c>
      <c r="C214" s="7">
        <v>0</v>
      </c>
      <c r="D214" s="7">
        <v>0</v>
      </c>
      <c r="E214" s="7">
        <v>0</v>
      </c>
      <c r="F214" s="7">
        <v>0</v>
      </c>
      <c r="G214" s="7">
        <v>0</v>
      </c>
      <c r="H214" s="7">
        <v>0</v>
      </c>
      <c r="I214" s="7">
        <v>0</v>
      </c>
      <c r="J214" s="7">
        <v>0</v>
      </c>
      <c r="K214" s="7">
        <v>0</v>
      </c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</row>
    <row r="215" spans="1:17">
      <c r="A215" s="2">
        <v>2163</v>
      </c>
      <c r="B215" s="7">
        <v>0</v>
      </c>
      <c r="C215" s="7">
        <v>0</v>
      </c>
      <c r="D215" s="7">
        <v>0</v>
      </c>
      <c r="E215" s="7">
        <v>0</v>
      </c>
      <c r="F215" s="7">
        <v>0</v>
      </c>
      <c r="G215" s="7">
        <v>0</v>
      </c>
      <c r="H215" s="7">
        <v>0</v>
      </c>
      <c r="I215" s="7">
        <v>0</v>
      </c>
      <c r="J215" s="7">
        <v>0</v>
      </c>
      <c r="K215" s="7">
        <v>0</v>
      </c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</row>
    <row r="216" spans="1:17">
      <c r="A216" s="2">
        <v>2164</v>
      </c>
      <c r="B216" s="7">
        <v>0</v>
      </c>
      <c r="C216" s="7">
        <v>0</v>
      </c>
      <c r="D216" s="7">
        <v>0</v>
      </c>
      <c r="E216" s="7">
        <v>0</v>
      </c>
      <c r="F216" s="7">
        <v>0</v>
      </c>
      <c r="G216" s="7">
        <v>0</v>
      </c>
      <c r="H216" s="7">
        <v>0</v>
      </c>
      <c r="I216" s="7">
        <v>0</v>
      </c>
      <c r="J216" s="7">
        <v>0</v>
      </c>
      <c r="K216" s="7">
        <v>0</v>
      </c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</row>
    <row r="217" spans="1:17">
      <c r="A217" s="2">
        <v>2165</v>
      </c>
      <c r="B217" s="7">
        <v>0</v>
      </c>
      <c r="C217" s="7">
        <v>0</v>
      </c>
      <c r="D217" s="7">
        <v>0</v>
      </c>
      <c r="E217" s="7">
        <v>0</v>
      </c>
      <c r="F217" s="7">
        <v>0</v>
      </c>
      <c r="G217" s="7">
        <v>0</v>
      </c>
      <c r="H217" s="7">
        <v>0</v>
      </c>
      <c r="I217" s="7">
        <v>0</v>
      </c>
      <c r="J217" s="7">
        <v>0</v>
      </c>
      <c r="K217" s="7">
        <v>0</v>
      </c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</row>
    <row r="218" spans="1:17">
      <c r="A218" s="2">
        <v>2166</v>
      </c>
      <c r="B218" s="7">
        <v>0</v>
      </c>
      <c r="C218" s="7">
        <v>0</v>
      </c>
      <c r="D218" s="7">
        <v>0</v>
      </c>
      <c r="E218" s="7">
        <v>0</v>
      </c>
      <c r="F218" s="7">
        <v>0</v>
      </c>
      <c r="G218" s="7">
        <v>0</v>
      </c>
      <c r="H218" s="7">
        <v>0</v>
      </c>
      <c r="I218" s="7">
        <v>0</v>
      </c>
      <c r="J218" s="7">
        <v>0</v>
      </c>
      <c r="K218" s="7">
        <v>0</v>
      </c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</row>
    <row r="219" spans="1:17">
      <c r="A219" s="2">
        <v>2167</v>
      </c>
      <c r="B219" s="7">
        <v>0</v>
      </c>
      <c r="C219" s="7">
        <v>0</v>
      </c>
      <c r="D219" s="7">
        <v>0</v>
      </c>
      <c r="E219" s="7">
        <v>0</v>
      </c>
      <c r="F219" s="7">
        <v>0</v>
      </c>
      <c r="G219" s="7">
        <v>0</v>
      </c>
      <c r="H219" s="7">
        <v>0</v>
      </c>
      <c r="I219" s="7">
        <v>0</v>
      </c>
      <c r="J219" s="7">
        <v>0</v>
      </c>
      <c r="K219" s="7">
        <v>0</v>
      </c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</row>
    <row r="220" spans="1:17">
      <c r="A220" s="2">
        <v>2168</v>
      </c>
      <c r="B220" s="7">
        <v>0</v>
      </c>
      <c r="C220" s="7">
        <v>0</v>
      </c>
      <c r="D220" s="7">
        <v>0</v>
      </c>
      <c r="E220" s="7">
        <v>0</v>
      </c>
      <c r="F220" s="7">
        <v>0</v>
      </c>
      <c r="G220" s="7">
        <v>0</v>
      </c>
      <c r="H220" s="7">
        <v>0</v>
      </c>
      <c r="I220" s="7">
        <v>0</v>
      </c>
      <c r="J220" s="7">
        <v>0</v>
      </c>
      <c r="K220" s="7">
        <v>0</v>
      </c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</row>
    <row r="221" spans="1:17">
      <c r="A221" s="2">
        <v>2169</v>
      </c>
      <c r="B221" s="7">
        <v>0</v>
      </c>
      <c r="C221" s="7">
        <v>0</v>
      </c>
      <c r="D221" s="7">
        <v>0</v>
      </c>
      <c r="E221" s="7">
        <v>0</v>
      </c>
      <c r="F221" s="7">
        <v>0</v>
      </c>
      <c r="G221" s="7">
        <v>0</v>
      </c>
      <c r="H221" s="7">
        <v>0</v>
      </c>
      <c r="I221" s="7">
        <v>0</v>
      </c>
      <c r="J221" s="7">
        <v>0</v>
      </c>
      <c r="K221" s="7">
        <v>0</v>
      </c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</row>
    <row r="222" spans="1:17">
      <c r="A222" s="2">
        <v>2170</v>
      </c>
      <c r="B222" s="7">
        <v>0</v>
      </c>
      <c r="C222" s="7">
        <v>0</v>
      </c>
      <c r="D222" s="7">
        <v>0</v>
      </c>
      <c r="E222" s="7">
        <v>0</v>
      </c>
      <c r="F222" s="7">
        <v>0</v>
      </c>
      <c r="G222" s="7">
        <v>0</v>
      </c>
      <c r="H222" s="7">
        <v>0</v>
      </c>
      <c r="I222" s="7">
        <v>0</v>
      </c>
      <c r="J222" s="7">
        <v>0</v>
      </c>
      <c r="K222" s="7">
        <v>0</v>
      </c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</row>
    <row r="223" spans="1:17">
      <c r="A223" s="2">
        <v>2171</v>
      </c>
      <c r="B223" s="7">
        <v>0</v>
      </c>
      <c r="C223" s="7">
        <v>0</v>
      </c>
      <c r="D223" s="7">
        <v>0</v>
      </c>
      <c r="E223" s="7">
        <v>0</v>
      </c>
      <c r="F223" s="7">
        <v>0</v>
      </c>
      <c r="G223" s="7">
        <v>0</v>
      </c>
      <c r="H223" s="7">
        <v>0</v>
      </c>
      <c r="I223" s="7">
        <v>0</v>
      </c>
      <c r="J223" s="7">
        <v>0</v>
      </c>
      <c r="K223" s="7">
        <v>0</v>
      </c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</row>
    <row r="224" spans="1:17">
      <c r="A224" s="2">
        <v>2172</v>
      </c>
      <c r="B224" s="7">
        <v>0</v>
      </c>
      <c r="C224" s="7">
        <v>0</v>
      </c>
      <c r="D224" s="7">
        <v>0</v>
      </c>
      <c r="E224" s="7">
        <v>0</v>
      </c>
      <c r="F224" s="7">
        <v>0</v>
      </c>
      <c r="G224" s="7">
        <v>0</v>
      </c>
      <c r="H224" s="7">
        <v>0</v>
      </c>
      <c r="I224" s="7">
        <v>0</v>
      </c>
      <c r="J224" s="7">
        <v>0</v>
      </c>
      <c r="K224" s="7">
        <v>0</v>
      </c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</row>
    <row r="225" spans="1:17">
      <c r="A225" s="2">
        <v>2173</v>
      </c>
      <c r="B225" s="7">
        <v>0</v>
      </c>
      <c r="C225" s="7">
        <v>0</v>
      </c>
      <c r="D225" s="7">
        <v>0</v>
      </c>
      <c r="E225" s="7">
        <v>0</v>
      </c>
      <c r="F225" s="7">
        <v>0</v>
      </c>
      <c r="G225" s="7">
        <v>0</v>
      </c>
      <c r="H225" s="7">
        <v>0</v>
      </c>
      <c r="I225" s="7">
        <v>0</v>
      </c>
      <c r="J225" s="7">
        <v>0</v>
      </c>
      <c r="K225" s="7">
        <v>0</v>
      </c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</row>
    <row r="226" spans="1:17">
      <c r="A226" s="2">
        <v>2174</v>
      </c>
      <c r="B226" s="7">
        <v>0</v>
      </c>
      <c r="C226" s="7">
        <v>0</v>
      </c>
      <c r="D226" s="7">
        <v>0</v>
      </c>
      <c r="E226" s="7">
        <v>0</v>
      </c>
      <c r="F226" s="7">
        <v>0</v>
      </c>
      <c r="G226" s="7">
        <v>0</v>
      </c>
      <c r="H226" s="7">
        <v>0</v>
      </c>
      <c r="I226" s="7">
        <v>0</v>
      </c>
      <c r="J226" s="7">
        <v>0</v>
      </c>
      <c r="K226" s="7">
        <v>0</v>
      </c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</row>
    <row r="227" spans="1:17">
      <c r="A227" s="2">
        <v>2175</v>
      </c>
      <c r="B227" s="7">
        <v>0</v>
      </c>
      <c r="C227" s="7">
        <v>0</v>
      </c>
      <c r="D227" s="7">
        <v>0</v>
      </c>
      <c r="E227" s="7">
        <v>0</v>
      </c>
      <c r="F227" s="7">
        <v>0</v>
      </c>
      <c r="G227" s="7">
        <v>0</v>
      </c>
      <c r="H227" s="7">
        <v>0</v>
      </c>
      <c r="I227" s="7">
        <v>0</v>
      </c>
      <c r="J227" s="7">
        <v>0</v>
      </c>
      <c r="K227" s="7">
        <v>0</v>
      </c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</row>
    <row r="228" spans="1:17">
      <c r="A228" s="2">
        <v>2176</v>
      </c>
      <c r="B228" s="7">
        <v>0</v>
      </c>
      <c r="C228" s="7">
        <v>0</v>
      </c>
      <c r="D228" s="7">
        <v>0</v>
      </c>
      <c r="E228" s="7">
        <v>0</v>
      </c>
      <c r="F228" s="7">
        <v>0</v>
      </c>
      <c r="G228" s="7">
        <v>0</v>
      </c>
      <c r="H228" s="7">
        <v>0</v>
      </c>
      <c r="I228" s="7">
        <v>0</v>
      </c>
      <c r="J228" s="7">
        <v>0</v>
      </c>
      <c r="K228" s="7">
        <v>0</v>
      </c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</row>
    <row r="229" spans="1:17">
      <c r="A229" s="2">
        <v>2177</v>
      </c>
      <c r="B229" s="7">
        <v>0</v>
      </c>
      <c r="C229" s="7">
        <v>0</v>
      </c>
      <c r="D229" s="7">
        <v>0</v>
      </c>
      <c r="E229" s="7">
        <v>0</v>
      </c>
      <c r="F229" s="7">
        <v>0</v>
      </c>
      <c r="G229" s="7">
        <v>0</v>
      </c>
      <c r="H229" s="7">
        <v>0</v>
      </c>
      <c r="I229" s="7">
        <v>0</v>
      </c>
      <c r="J229" s="7">
        <v>0</v>
      </c>
      <c r="K229" s="7">
        <v>0</v>
      </c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</row>
    <row r="230" spans="1:17">
      <c r="A230" s="2">
        <v>2178</v>
      </c>
      <c r="B230" s="7">
        <v>0</v>
      </c>
      <c r="C230" s="7">
        <v>0</v>
      </c>
      <c r="D230" s="7">
        <v>0</v>
      </c>
      <c r="E230" s="7">
        <v>0</v>
      </c>
      <c r="F230" s="7">
        <v>0</v>
      </c>
      <c r="G230" s="7">
        <v>0</v>
      </c>
      <c r="H230" s="7">
        <v>0</v>
      </c>
      <c r="I230" s="7">
        <v>0</v>
      </c>
      <c r="J230" s="7">
        <v>0</v>
      </c>
      <c r="K230" s="7">
        <v>0</v>
      </c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</row>
    <row r="231" spans="1:17">
      <c r="A231" s="2">
        <v>2179</v>
      </c>
      <c r="B231" s="7">
        <v>0</v>
      </c>
      <c r="C231" s="7">
        <v>0</v>
      </c>
      <c r="D231" s="7">
        <v>0</v>
      </c>
      <c r="E231" s="7">
        <v>0</v>
      </c>
      <c r="F231" s="7">
        <v>0</v>
      </c>
      <c r="G231" s="7">
        <v>0</v>
      </c>
      <c r="H231" s="7">
        <v>0</v>
      </c>
      <c r="I231" s="7">
        <v>0</v>
      </c>
      <c r="J231" s="7">
        <v>0</v>
      </c>
      <c r="K231" s="7">
        <v>0</v>
      </c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</row>
    <row r="232" spans="1:17">
      <c r="A232" s="2">
        <v>2180</v>
      </c>
      <c r="B232" s="7">
        <v>0</v>
      </c>
      <c r="C232" s="7">
        <v>0</v>
      </c>
      <c r="D232" s="7">
        <v>0</v>
      </c>
      <c r="E232" s="7">
        <v>0</v>
      </c>
      <c r="F232" s="7">
        <v>0</v>
      </c>
      <c r="G232" s="7">
        <v>0</v>
      </c>
      <c r="H232" s="7">
        <v>0</v>
      </c>
      <c r="I232" s="7">
        <v>0</v>
      </c>
      <c r="J232" s="7">
        <v>0</v>
      </c>
      <c r="K232" s="7">
        <v>0</v>
      </c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</row>
    <row r="233" spans="1:17">
      <c r="A233" s="2">
        <v>2181</v>
      </c>
      <c r="B233" s="7">
        <v>0</v>
      </c>
      <c r="C233" s="7">
        <v>0</v>
      </c>
      <c r="D233" s="7">
        <v>0</v>
      </c>
      <c r="E233" s="7">
        <v>0</v>
      </c>
      <c r="F233" s="7">
        <v>0</v>
      </c>
      <c r="G233" s="7">
        <v>0</v>
      </c>
      <c r="H233" s="7">
        <v>0</v>
      </c>
      <c r="I233" s="7">
        <v>0</v>
      </c>
      <c r="J233" s="7">
        <v>0</v>
      </c>
      <c r="K233" s="7">
        <v>0</v>
      </c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</row>
    <row r="234" spans="1:17">
      <c r="A234" s="2">
        <v>2182</v>
      </c>
      <c r="B234" s="7">
        <v>0</v>
      </c>
      <c r="C234" s="7">
        <v>0</v>
      </c>
      <c r="D234" s="7">
        <v>0</v>
      </c>
      <c r="E234" s="7">
        <v>0</v>
      </c>
      <c r="F234" s="7">
        <v>0</v>
      </c>
      <c r="G234" s="7">
        <v>0</v>
      </c>
      <c r="H234" s="7">
        <v>0</v>
      </c>
      <c r="I234" s="7">
        <v>0</v>
      </c>
      <c r="J234" s="7">
        <v>0</v>
      </c>
      <c r="K234" s="7">
        <v>0</v>
      </c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</row>
    <row r="235" spans="1:17">
      <c r="A235" s="2">
        <v>2183</v>
      </c>
      <c r="B235" s="7">
        <v>0</v>
      </c>
      <c r="C235" s="7">
        <v>0</v>
      </c>
      <c r="D235" s="7">
        <v>0</v>
      </c>
      <c r="E235" s="7">
        <v>0</v>
      </c>
      <c r="F235" s="7">
        <v>0</v>
      </c>
      <c r="G235" s="7">
        <v>0</v>
      </c>
      <c r="H235" s="7">
        <v>0</v>
      </c>
      <c r="I235" s="7">
        <v>0</v>
      </c>
      <c r="J235" s="7">
        <v>0</v>
      </c>
      <c r="K235" s="7">
        <v>0</v>
      </c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</row>
    <row r="236" spans="1:17">
      <c r="A236" s="2">
        <v>2184</v>
      </c>
      <c r="B236" s="7">
        <v>0</v>
      </c>
      <c r="C236" s="7">
        <v>0</v>
      </c>
      <c r="D236" s="7">
        <v>0</v>
      </c>
      <c r="E236" s="7">
        <v>0</v>
      </c>
      <c r="F236" s="7">
        <v>0</v>
      </c>
      <c r="G236" s="7">
        <v>0</v>
      </c>
      <c r="H236" s="7">
        <v>0</v>
      </c>
      <c r="I236" s="7">
        <v>0</v>
      </c>
      <c r="J236" s="7">
        <v>0</v>
      </c>
      <c r="K236" s="7">
        <v>0</v>
      </c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</row>
    <row r="237" spans="1:17">
      <c r="A237" s="2">
        <v>2185</v>
      </c>
      <c r="B237" s="7">
        <v>0</v>
      </c>
      <c r="C237" s="7">
        <v>0</v>
      </c>
      <c r="D237" s="7">
        <v>0</v>
      </c>
      <c r="E237" s="7">
        <v>0</v>
      </c>
      <c r="F237" s="7">
        <v>0</v>
      </c>
      <c r="G237" s="7">
        <v>0</v>
      </c>
      <c r="H237" s="7">
        <v>0</v>
      </c>
      <c r="I237" s="7">
        <v>0</v>
      </c>
      <c r="J237" s="7">
        <v>0</v>
      </c>
      <c r="K237" s="7">
        <v>0</v>
      </c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</row>
    <row r="238" spans="1:17">
      <c r="A238" s="2">
        <v>2186</v>
      </c>
      <c r="B238" s="7">
        <v>0</v>
      </c>
      <c r="C238" s="7">
        <v>0</v>
      </c>
      <c r="D238" s="7">
        <v>0</v>
      </c>
      <c r="E238" s="7">
        <v>0</v>
      </c>
      <c r="F238" s="7">
        <v>0</v>
      </c>
      <c r="G238" s="7">
        <v>0</v>
      </c>
      <c r="H238" s="7">
        <v>0</v>
      </c>
      <c r="I238" s="7">
        <v>0</v>
      </c>
      <c r="J238" s="7">
        <v>0</v>
      </c>
      <c r="K238" s="7">
        <v>0</v>
      </c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</row>
    <row r="239" spans="1:17">
      <c r="A239" s="2">
        <v>2187</v>
      </c>
      <c r="B239" s="7">
        <v>0</v>
      </c>
      <c r="C239" s="7">
        <v>0</v>
      </c>
      <c r="D239" s="7">
        <v>0</v>
      </c>
      <c r="E239" s="7">
        <v>0</v>
      </c>
      <c r="F239" s="7">
        <v>0</v>
      </c>
      <c r="G239" s="7">
        <v>0</v>
      </c>
      <c r="H239" s="7">
        <v>0</v>
      </c>
      <c r="I239" s="7">
        <v>0</v>
      </c>
      <c r="J239" s="7">
        <v>0</v>
      </c>
      <c r="K239" s="7">
        <v>0</v>
      </c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</row>
    <row r="240" spans="1:17">
      <c r="A240" s="2">
        <v>2188</v>
      </c>
      <c r="B240" s="7">
        <v>0</v>
      </c>
      <c r="C240" s="7">
        <v>0</v>
      </c>
      <c r="D240" s="7">
        <v>0</v>
      </c>
      <c r="E240" s="7">
        <v>0</v>
      </c>
      <c r="F240" s="7">
        <v>0</v>
      </c>
      <c r="G240" s="7">
        <v>0</v>
      </c>
      <c r="H240" s="7">
        <v>0</v>
      </c>
      <c r="I240" s="7">
        <v>0</v>
      </c>
      <c r="J240" s="7">
        <v>0</v>
      </c>
      <c r="K240" s="7">
        <v>0</v>
      </c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</row>
    <row r="241" spans="1:17">
      <c r="A241" s="2">
        <v>2189</v>
      </c>
      <c r="B241" s="7">
        <v>0</v>
      </c>
      <c r="C241" s="7">
        <v>0</v>
      </c>
      <c r="D241" s="7">
        <v>0</v>
      </c>
      <c r="E241" s="7">
        <v>0</v>
      </c>
      <c r="F241" s="7">
        <v>0</v>
      </c>
      <c r="G241" s="7">
        <v>0</v>
      </c>
      <c r="H241" s="7">
        <v>0</v>
      </c>
      <c r="I241" s="7">
        <v>0</v>
      </c>
      <c r="J241" s="7">
        <v>0</v>
      </c>
      <c r="K241" s="7">
        <v>0</v>
      </c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</row>
    <row r="242" spans="1:17">
      <c r="A242" s="2">
        <v>2190</v>
      </c>
      <c r="B242" s="7">
        <v>0</v>
      </c>
      <c r="C242" s="7">
        <v>0</v>
      </c>
      <c r="D242" s="7">
        <v>0</v>
      </c>
      <c r="E242" s="7">
        <v>0</v>
      </c>
      <c r="F242" s="7">
        <v>0</v>
      </c>
      <c r="G242" s="7">
        <v>0</v>
      </c>
      <c r="H242" s="7">
        <v>0</v>
      </c>
      <c r="I242" s="7">
        <v>0</v>
      </c>
      <c r="J242" s="7">
        <v>0</v>
      </c>
      <c r="K242" s="7">
        <v>0</v>
      </c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</row>
    <row r="243" spans="1:17">
      <c r="A243" s="2">
        <v>2191</v>
      </c>
      <c r="B243" s="7">
        <v>0</v>
      </c>
      <c r="C243" s="7">
        <v>0</v>
      </c>
      <c r="D243" s="7">
        <v>0</v>
      </c>
      <c r="E243" s="7">
        <v>0</v>
      </c>
      <c r="F243" s="7">
        <v>0</v>
      </c>
      <c r="G243" s="7">
        <v>0</v>
      </c>
      <c r="H243" s="7">
        <v>0</v>
      </c>
      <c r="I243" s="7">
        <v>0</v>
      </c>
      <c r="J243" s="7">
        <v>0</v>
      </c>
      <c r="K243" s="7">
        <v>0</v>
      </c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</row>
    <row r="244" spans="1:17">
      <c r="A244" s="2">
        <v>2192</v>
      </c>
      <c r="B244" s="7">
        <v>0</v>
      </c>
      <c r="C244" s="7">
        <v>0</v>
      </c>
      <c r="D244" s="7">
        <v>0</v>
      </c>
      <c r="E244" s="7">
        <v>0</v>
      </c>
      <c r="F244" s="7">
        <v>0</v>
      </c>
      <c r="G244" s="7">
        <v>0</v>
      </c>
      <c r="H244" s="7">
        <v>0</v>
      </c>
      <c r="I244" s="7">
        <v>0</v>
      </c>
      <c r="J244" s="7">
        <v>0</v>
      </c>
      <c r="K244" s="7">
        <v>0</v>
      </c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</row>
    <row r="245" spans="1:17">
      <c r="A245" s="2">
        <v>2193</v>
      </c>
      <c r="B245" s="7">
        <v>0</v>
      </c>
      <c r="C245" s="7">
        <v>0</v>
      </c>
      <c r="D245" s="7">
        <v>0</v>
      </c>
      <c r="E245" s="7">
        <v>0</v>
      </c>
      <c r="F245" s="7">
        <v>0</v>
      </c>
      <c r="G245" s="7">
        <v>0</v>
      </c>
      <c r="H245" s="7">
        <v>0</v>
      </c>
      <c r="I245" s="7">
        <v>0</v>
      </c>
      <c r="J245" s="7">
        <v>0</v>
      </c>
      <c r="K245" s="7">
        <v>0</v>
      </c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</row>
    <row r="246" spans="1:17">
      <c r="A246" s="2">
        <v>2194</v>
      </c>
      <c r="B246" s="7">
        <v>0</v>
      </c>
      <c r="C246" s="7">
        <v>0</v>
      </c>
      <c r="D246" s="7">
        <v>0</v>
      </c>
      <c r="E246" s="7">
        <v>0</v>
      </c>
      <c r="F246" s="7">
        <v>0</v>
      </c>
      <c r="G246" s="7">
        <v>0</v>
      </c>
      <c r="H246" s="7">
        <v>0</v>
      </c>
      <c r="I246" s="7">
        <v>0</v>
      </c>
      <c r="J246" s="7">
        <v>0</v>
      </c>
      <c r="K246" s="7">
        <v>0</v>
      </c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</row>
    <row r="247" spans="1:17">
      <c r="A247" s="2">
        <v>2195</v>
      </c>
      <c r="B247" s="7">
        <v>0</v>
      </c>
      <c r="C247" s="7">
        <v>0</v>
      </c>
      <c r="D247" s="7">
        <v>0</v>
      </c>
      <c r="E247" s="7">
        <v>0</v>
      </c>
      <c r="F247" s="7">
        <v>0</v>
      </c>
      <c r="G247" s="7">
        <v>0</v>
      </c>
      <c r="H247" s="7">
        <v>0</v>
      </c>
      <c r="I247" s="7">
        <v>0</v>
      </c>
      <c r="J247" s="7">
        <v>0</v>
      </c>
      <c r="K247" s="7">
        <v>0</v>
      </c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</row>
    <row r="248" spans="1:17">
      <c r="A248" s="2">
        <v>2196</v>
      </c>
      <c r="B248" s="7">
        <v>0</v>
      </c>
      <c r="C248" s="7">
        <v>0</v>
      </c>
      <c r="D248" s="7">
        <v>0</v>
      </c>
      <c r="E248" s="7">
        <v>0</v>
      </c>
      <c r="F248" s="7">
        <v>0</v>
      </c>
      <c r="G248" s="7">
        <v>0</v>
      </c>
      <c r="H248" s="7">
        <v>0</v>
      </c>
      <c r="I248" s="7">
        <v>0</v>
      </c>
      <c r="J248" s="7">
        <v>0</v>
      </c>
      <c r="K248" s="7">
        <v>0</v>
      </c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</row>
    <row r="249" spans="1:17">
      <c r="A249" s="2">
        <v>2197</v>
      </c>
      <c r="B249" s="7">
        <v>0</v>
      </c>
      <c r="C249" s="7">
        <v>0</v>
      </c>
      <c r="D249" s="7">
        <v>0</v>
      </c>
      <c r="E249" s="7">
        <v>0</v>
      </c>
      <c r="F249" s="7">
        <v>0</v>
      </c>
      <c r="G249" s="7">
        <v>0</v>
      </c>
      <c r="H249" s="7">
        <v>0</v>
      </c>
      <c r="I249" s="7">
        <v>0</v>
      </c>
      <c r="J249" s="7">
        <v>0</v>
      </c>
      <c r="K249" s="7">
        <v>0</v>
      </c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</row>
    <row r="250" spans="1:17">
      <c r="A250" s="2">
        <v>2198</v>
      </c>
      <c r="B250" s="7">
        <v>0</v>
      </c>
      <c r="C250" s="7">
        <v>0</v>
      </c>
      <c r="D250" s="7">
        <v>0</v>
      </c>
      <c r="E250" s="7">
        <v>0</v>
      </c>
      <c r="F250" s="7">
        <v>0</v>
      </c>
      <c r="G250" s="7">
        <v>0</v>
      </c>
      <c r="H250" s="7">
        <v>0</v>
      </c>
      <c r="I250" s="7">
        <v>0</v>
      </c>
      <c r="J250" s="7">
        <v>0</v>
      </c>
      <c r="K250" s="7">
        <v>0</v>
      </c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</row>
    <row r="251" spans="1:17">
      <c r="A251" s="2">
        <v>2199</v>
      </c>
      <c r="B251" s="7">
        <v>0</v>
      </c>
      <c r="C251" s="7">
        <v>0</v>
      </c>
      <c r="D251" s="7">
        <v>0</v>
      </c>
      <c r="E251" s="7">
        <v>0</v>
      </c>
      <c r="F251" s="7">
        <v>0</v>
      </c>
      <c r="G251" s="7">
        <v>0</v>
      </c>
      <c r="H251" s="7">
        <v>0</v>
      </c>
      <c r="I251" s="7">
        <v>0</v>
      </c>
      <c r="J251" s="7">
        <v>0</v>
      </c>
      <c r="K251" s="7">
        <v>0</v>
      </c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</row>
    <row r="252" spans="1:17">
      <c r="A252" s="2">
        <v>2200</v>
      </c>
      <c r="B252" s="7">
        <v>0</v>
      </c>
      <c r="C252" s="7">
        <v>0</v>
      </c>
      <c r="D252" s="7">
        <v>0</v>
      </c>
      <c r="E252" s="7">
        <v>0</v>
      </c>
      <c r="F252" s="7">
        <v>0</v>
      </c>
      <c r="G252" s="7">
        <v>0</v>
      </c>
      <c r="H252" s="7">
        <v>0</v>
      </c>
      <c r="I252" s="7">
        <v>0</v>
      </c>
      <c r="J252" s="7">
        <v>0</v>
      </c>
      <c r="K252" s="7">
        <v>0</v>
      </c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</row>
    <row r="253" spans="1:17">
      <c r="A253" s="2">
        <v>2201</v>
      </c>
      <c r="B253" s="7">
        <v>0</v>
      </c>
      <c r="C253" s="7">
        <v>0</v>
      </c>
      <c r="D253" s="7">
        <v>0</v>
      </c>
      <c r="E253" s="7">
        <v>0</v>
      </c>
      <c r="F253" s="7">
        <v>0</v>
      </c>
      <c r="G253" s="7">
        <v>0</v>
      </c>
      <c r="H253" s="7">
        <v>0</v>
      </c>
      <c r="I253" s="7">
        <v>0</v>
      </c>
      <c r="J253" s="7">
        <v>0</v>
      </c>
      <c r="K253" s="7">
        <v>0</v>
      </c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</row>
    <row r="254" spans="1:17">
      <c r="A254" s="2">
        <v>2202</v>
      </c>
      <c r="B254" s="7">
        <v>0</v>
      </c>
      <c r="C254" s="7">
        <v>0</v>
      </c>
      <c r="D254" s="7">
        <v>0</v>
      </c>
      <c r="E254" s="7">
        <v>0</v>
      </c>
      <c r="F254" s="7">
        <v>0</v>
      </c>
      <c r="G254" s="7">
        <v>0</v>
      </c>
      <c r="H254" s="7">
        <v>0</v>
      </c>
      <c r="I254" s="7">
        <v>0</v>
      </c>
      <c r="J254" s="7">
        <v>0</v>
      </c>
      <c r="K254" s="7">
        <v>0</v>
      </c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</row>
    <row r="255" spans="1:17">
      <c r="A255" s="2">
        <v>2203</v>
      </c>
      <c r="B255" s="7">
        <v>0</v>
      </c>
      <c r="C255" s="7">
        <v>0</v>
      </c>
      <c r="D255" s="7">
        <v>0</v>
      </c>
      <c r="E255" s="7">
        <v>0</v>
      </c>
      <c r="F255" s="7">
        <v>0</v>
      </c>
      <c r="G255" s="7">
        <v>0</v>
      </c>
      <c r="H255" s="7">
        <v>0</v>
      </c>
      <c r="I255" s="7">
        <v>0</v>
      </c>
      <c r="J255" s="7">
        <v>0</v>
      </c>
      <c r="K255" s="7">
        <v>0</v>
      </c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</row>
    <row r="256" spans="1:17">
      <c r="A256" s="2">
        <v>2204</v>
      </c>
      <c r="B256" s="7">
        <v>0</v>
      </c>
      <c r="C256" s="7">
        <v>0</v>
      </c>
      <c r="D256" s="7">
        <v>0</v>
      </c>
      <c r="E256" s="7">
        <v>0</v>
      </c>
      <c r="F256" s="7">
        <v>0</v>
      </c>
      <c r="G256" s="7">
        <v>0</v>
      </c>
      <c r="H256" s="7">
        <v>0</v>
      </c>
      <c r="I256" s="7">
        <v>0</v>
      </c>
      <c r="J256" s="7">
        <v>0</v>
      </c>
      <c r="K256" s="7">
        <v>0</v>
      </c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</row>
    <row r="257" spans="1:17">
      <c r="A257" s="2">
        <v>2205</v>
      </c>
      <c r="B257" s="7">
        <v>0</v>
      </c>
      <c r="C257" s="7">
        <v>0</v>
      </c>
      <c r="D257" s="7">
        <v>0</v>
      </c>
      <c r="E257" s="7">
        <v>0</v>
      </c>
      <c r="F257" s="7">
        <v>0</v>
      </c>
      <c r="G257" s="7">
        <v>0</v>
      </c>
      <c r="H257" s="7">
        <v>0</v>
      </c>
      <c r="I257" s="7">
        <v>0</v>
      </c>
      <c r="J257" s="7">
        <v>0</v>
      </c>
      <c r="K257" s="7">
        <v>0</v>
      </c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</row>
    <row r="258" spans="1:17">
      <c r="A258" s="2">
        <v>2206</v>
      </c>
      <c r="B258" s="7">
        <v>0</v>
      </c>
      <c r="C258" s="7">
        <v>0</v>
      </c>
      <c r="D258" s="7">
        <v>0</v>
      </c>
      <c r="E258" s="7">
        <v>0</v>
      </c>
      <c r="F258" s="7">
        <v>0</v>
      </c>
      <c r="G258" s="7">
        <v>0</v>
      </c>
      <c r="H258" s="7">
        <v>0</v>
      </c>
      <c r="I258" s="7">
        <v>0</v>
      </c>
      <c r="J258" s="7">
        <v>0</v>
      </c>
      <c r="K258" s="7">
        <v>0</v>
      </c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</row>
    <row r="259" spans="1:17">
      <c r="A259" s="2">
        <v>2207</v>
      </c>
      <c r="B259" s="7">
        <v>0</v>
      </c>
      <c r="C259" s="7">
        <v>0</v>
      </c>
      <c r="D259" s="7">
        <v>0</v>
      </c>
      <c r="E259" s="7">
        <v>0</v>
      </c>
      <c r="F259" s="7">
        <v>0</v>
      </c>
      <c r="G259" s="7">
        <v>0</v>
      </c>
      <c r="H259" s="7">
        <v>0</v>
      </c>
      <c r="I259" s="7">
        <v>0</v>
      </c>
      <c r="J259" s="7">
        <v>0</v>
      </c>
      <c r="K259" s="7">
        <v>0</v>
      </c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</row>
    <row r="260" spans="1:17">
      <c r="A260" s="2">
        <v>2208</v>
      </c>
      <c r="B260" s="7">
        <v>0</v>
      </c>
      <c r="C260" s="7">
        <v>0</v>
      </c>
      <c r="D260" s="7">
        <v>0</v>
      </c>
      <c r="E260" s="7">
        <v>0</v>
      </c>
      <c r="F260" s="7">
        <v>0</v>
      </c>
      <c r="G260" s="7">
        <v>0</v>
      </c>
      <c r="H260" s="7">
        <v>0</v>
      </c>
      <c r="I260" s="7">
        <v>0</v>
      </c>
      <c r="J260" s="7">
        <v>0</v>
      </c>
      <c r="K260" s="7">
        <v>0</v>
      </c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</row>
    <row r="261" spans="1:17">
      <c r="A261" s="2">
        <v>2209</v>
      </c>
      <c r="B261" s="7">
        <v>0</v>
      </c>
      <c r="C261" s="7">
        <v>0</v>
      </c>
      <c r="D261" s="7">
        <v>0</v>
      </c>
      <c r="E261" s="7">
        <v>0</v>
      </c>
      <c r="F261" s="7">
        <v>0</v>
      </c>
      <c r="G261" s="7">
        <v>0</v>
      </c>
      <c r="H261" s="7">
        <v>0</v>
      </c>
      <c r="I261" s="7">
        <v>0</v>
      </c>
      <c r="J261" s="7">
        <v>0</v>
      </c>
      <c r="K261" s="7">
        <v>0</v>
      </c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</row>
    <row r="262" spans="1:17">
      <c r="A262" s="2">
        <v>2210</v>
      </c>
      <c r="B262" s="7">
        <v>0</v>
      </c>
      <c r="C262" s="7">
        <v>0</v>
      </c>
      <c r="D262" s="7">
        <v>0</v>
      </c>
      <c r="E262" s="7">
        <v>0</v>
      </c>
      <c r="F262" s="7">
        <v>0</v>
      </c>
      <c r="G262" s="7">
        <v>0</v>
      </c>
      <c r="H262" s="7">
        <v>0</v>
      </c>
      <c r="I262" s="7">
        <v>0</v>
      </c>
      <c r="J262" s="7">
        <v>0</v>
      </c>
      <c r="K262" s="7">
        <v>0</v>
      </c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</row>
    <row r="263" spans="1:17">
      <c r="A263" s="2">
        <v>2211</v>
      </c>
      <c r="B263" s="7">
        <v>0</v>
      </c>
      <c r="C263" s="7">
        <v>0</v>
      </c>
      <c r="D263" s="7">
        <v>0</v>
      </c>
      <c r="E263" s="7">
        <v>0</v>
      </c>
      <c r="F263" s="7">
        <v>0</v>
      </c>
      <c r="G263" s="7">
        <v>0</v>
      </c>
      <c r="H263" s="7">
        <v>0</v>
      </c>
      <c r="I263" s="7">
        <v>0</v>
      </c>
      <c r="J263" s="7">
        <v>0</v>
      </c>
      <c r="K263" s="7">
        <v>0</v>
      </c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</row>
    <row r="264" spans="1:17">
      <c r="A264" s="2">
        <v>2212</v>
      </c>
      <c r="B264" s="7">
        <v>0</v>
      </c>
      <c r="C264" s="7">
        <v>0</v>
      </c>
      <c r="D264" s="7">
        <v>0</v>
      </c>
      <c r="E264" s="7">
        <v>0</v>
      </c>
      <c r="F264" s="7">
        <v>0</v>
      </c>
      <c r="G264" s="7">
        <v>0</v>
      </c>
      <c r="H264" s="7">
        <v>0</v>
      </c>
      <c r="I264" s="7">
        <v>0</v>
      </c>
      <c r="J264" s="7">
        <v>0</v>
      </c>
      <c r="K264" s="7">
        <v>0</v>
      </c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</row>
    <row r="265" spans="1:17">
      <c r="A265" s="2">
        <v>2213</v>
      </c>
      <c r="B265" s="7">
        <v>0</v>
      </c>
      <c r="C265" s="7">
        <v>0</v>
      </c>
      <c r="D265" s="7">
        <v>0</v>
      </c>
      <c r="E265" s="7">
        <v>0</v>
      </c>
      <c r="F265" s="7">
        <v>0</v>
      </c>
      <c r="G265" s="7">
        <v>0</v>
      </c>
      <c r="H265" s="7">
        <v>0</v>
      </c>
      <c r="I265" s="7">
        <v>0</v>
      </c>
      <c r="J265" s="7">
        <v>0</v>
      </c>
      <c r="K265" s="7">
        <v>0</v>
      </c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</row>
    <row r="266" spans="1:17">
      <c r="A266" s="2">
        <v>2214</v>
      </c>
      <c r="B266" s="7">
        <v>0</v>
      </c>
      <c r="C266" s="7">
        <v>0</v>
      </c>
      <c r="D266" s="7">
        <v>0</v>
      </c>
      <c r="E266" s="7">
        <v>0</v>
      </c>
      <c r="F266" s="7">
        <v>0</v>
      </c>
      <c r="G266" s="7">
        <v>0</v>
      </c>
      <c r="H266" s="7">
        <v>0</v>
      </c>
      <c r="I266" s="7">
        <v>0</v>
      </c>
      <c r="J266" s="7">
        <v>0</v>
      </c>
      <c r="K266" s="7">
        <v>0</v>
      </c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</row>
    <row r="267" spans="1:17">
      <c r="A267" s="2">
        <v>2215</v>
      </c>
      <c r="B267" s="7">
        <v>0</v>
      </c>
      <c r="C267" s="7">
        <v>0</v>
      </c>
      <c r="D267" s="7">
        <v>0</v>
      </c>
      <c r="E267" s="7">
        <v>0</v>
      </c>
      <c r="F267" s="7">
        <v>0</v>
      </c>
      <c r="G267" s="7">
        <v>0</v>
      </c>
      <c r="H267" s="7">
        <v>0</v>
      </c>
      <c r="I267" s="7">
        <v>0</v>
      </c>
      <c r="J267" s="7">
        <v>0</v>
      </c>
      <c r="K267" s="7">
        <v>0</v>
      </c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</row>
    <row r="268" spans="1:17">
      <c r="A268" s="2">
        <v>2216</v>
      </c>
      <c r="B268" s="7">
        <v>0</v>
      </c>
      <c r="C268" s="7">
        <v>0</v>
      </c>
      <c r="D268" s="7">
        <v>0</v>
      </c>
      <c r="E268" s="7">
        <v>0</v>
      </c>
      <c r="F268" s="7">
        <v>0</v>
      </c>
      <c r="G268" s="7">
        <v>0</v>
      </c>
      <c r="H268" s="7">
        <v>0</v>
      </c>
      <c r="I268" s="7">
        <v>0</v>
      </c>
      <c r="J268" s="7">
        <v>0</v>
      </c>
      <c r="K268" s="7">
        <v>0</v>
      </c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</row>
    <row r="269" spans="1:17">
      <c r="A269" s="2">
        <v>2217</v>
      </c>
      <c r="B269" s="7">
        <v>0</v>
      </c>
      <c r="C269" s="7">
        <v>0</v>
      </c>
      <c r="D269" s="7">
        <v>0</v>
      </c>
      <c r="E269" s="7">
        <v>0</v>
      </c>
      <c r="F269" s="7">
        <v>0</v>
      </c>
      <c r="G269" s="7">
        <v>0</v>
      </c>
      <c r="H269" s="7">
        <v>0</v>
      </c>
      <c r="I269" s="7">
        <v>0</v>
      </c>
      <c r="J269" s="7">
        <v>0</v>
      </c>
      <c r="K269" s="7">
        <v>0</v>
      </c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</row>
    <row r="270" spans="1:17">
      <c r="A270" s="2">
        <v>2218</v>
      </c>
      <c r="B270" s="7">
        <v>0</v>
      </c>
      <c r="C270" s="7">
        <v>0</v>
      </c>
      <c r="D270" s="7">
        <v>0</v>
      </c>
      <c r="E270" s="7">
        <v>0</v>
      </c>
      <c r="F270" s="7">
        <v>0</v>
      </c>
      <c r="G270" s="7">
        <v>0</v>
      </c>
      <c r="H270" s="7">
        <v>0</v>
      </c>
      <c r="I270" s="7">
        <v>0</v>
      </c>
      <c r="J270" s="7">
        <v>0</v>
      </c>
      <c r="K270" s="7">
        <v>0</v>
      </c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</row>
    <row r="271" spans="1:17">
      <c r="A271" s="2">
        <v>2219</v>
      </c>
      <c r="B271" s="7">
        <v>0</v>
      </c>
      <c r="C271" s="7">
        <v>0</v>
      </c>
      <c r="D271" s="7">
        <v>0</v>
      </c>
      <c r="E271" s="7">
        <v>0</v>
      </c>
      <c r="F271" s="7">
        <v>0</v>
      </c>
      <c r="G271" s="7">
        <v>0</v>
      </c>
      <c r="H271" s="7">
        <v>0</v>
      </c>
      <c r="I271" s="7">
        <v>0</v>
      </c>
      <c r="J271" s="7">
        <v>0</v>
      </c>
      <c r="K271" s="7">
        <v>0</v>
      </c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</row>
    <row r="272" spans="1:17">
      <c r="A272" s="2">
        <v>2220</v>
      </c>
      <c r="B272" s="7">
        <v>0</v>
      </c>
      <c r="C272" s="7">
        <v>0</v>
      </c>
      <c r="D272" s="7">
        <v>0</v>
      </c>
      <c r="E272" s="7">
        <v>0</v>
      </c>
      <c r="F272" s="7">
        <v>0</v>
      </c>
      <c r="G272" s="7">
        <v>0</v>
      </c>
      <c r="H272" s="7">
        <v>0</v>
      </c>
      <c r="I272" s="7">
        <v>0</v>
      </c>
      <c r="J272" s="7">
        <v>0</v>
      </c>
      <c r="K272" s="7">
        <v>0</v>
      </c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</row>
    <row r="273" spans="1:17">
      <c r="A273" s="2">
        <v>2221</v>
      </c>
      <c r="B273" s="7">
        <v>0</v>
      </c>
      <c r="C273" s="7">
        <v>0</v>
      </c>
      <c r="D273" s="7">
        <v>0</v>
      </c>
      <c r="E273" s="7">
        <v>0</v>
      </c>
      <c r="F273" s="7">
        <v>0</v>
      </c>
      <c r="G273" s="7">
        <v>0</v>
      </c>
      <c r="H273" s="7">
        <v>0</v>
      </c>
      <c r="I273" s="7">
        <v>0</v>
      </c>
      <c r="J273" s="7">
        <v>0</v>
      </c>
      <c r="K273" s="7">
        <v>0</v>
      </c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</row>
    <row r="274" spans="1:17">
      <c r="A274" s="2">
        <v>2222</v>
      </c>
      <c r="B274" s="7">
        <v>0</v>
      </c>
      <c r="C274" s="7">
        <v>0</v>
      </c>
      <c r="D274" s="7">
        <v>0</v>
      </c>
      <c r="E274" s="7">
        <v>0</v>
      </c>
      <c r="F274" s="7">
        <v>0</v>
      </c>
      <c r="G274" s="7">
        <v>0</v>
      </c>
      <c r="H274" s="7">
        <v>0</v>
      </c>
      <c r="I274" s="7">
        <v>0</v>
      </c>
      <c r="J274" s="7">
        <v>0</v>
      </c>
      <c r="K274" s="7">
        <v>0</v>
      </c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</row>
    <row r="275" spans="1:17">
      <c r="A275" s="2">
        <v>2223</v>
      </c>
      <c r="B275" s="7">
        <v>0</v>
      </c>
      <c r="C275" s="7">
        <v>0</v>
      </c>
      <c r="D275" s="7">
        <v>0</v>
      </c>
      <c r="E275" s="7">
        <v>0</v>
      </c>
      <c r="F275" s="7">
        <v>0</v>
      </c>
      <c r="G275" s="7">
        <v>0</v>
      </c>
      <c r="H275" s="7">
        <v>0</v>
      </c>
      <c r="I275" s="7">
        <v>0</v>
      </c>
      <c r="J275" s="7">
        <v>0</v>
      </c>
      <c r="K275" s="7">
        <v>0</v>
      </c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</row>
    <row r="276" spans="1:17">
      <c r="A276" s="2">
        <v>2224</v>
      </c>
      <c r="B276" s="7">
        <v>0</v>
      </c>
      <c r="C276" s="7">
        <v>0</v>
      </c>
      <c r="D276" s="7">
        <v>0</v>
      </c>
      <c r="E276" s="7">
        <v>0</v>
      </c>
      <c r="F276" s="7">
        <v>0</v>
      </c>
      <c r="G276" s="7">
        <v>0</v>
      </c>
      <c r="H276" s="7">
        <v>0</v>
      </c>
      <c r="I276" s="7">
        <v>0</v>
      </c>
      <c r="J276" s="7">
        <v>0</v>
      </c>
      <c r="K276" s="7">
        <v>0</v>
      </c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</row>
    <row r="277" spans="1:17">
      <c r="A277" s="2">
        <v>2225</v>
      </c>
      <c r="B277" s="7">
        <v>0</v>
      </c>
      <c r="C277" s="7">
        <v>0</v>
      </c>
      <c r="D277" s="7">
        <v>0</v>
      </c>
      <c r="E277" s="7">
        <v>0</v>
      </c>
      <c r="F277" s="7">
        <v>0</v>
      </c>
      <c r="G277" s="7">
        <v>0</v>
      </c>
      <c r="H277" s="7">
        <v>0</v>
      </c>
      <c r="I277" s="7">
        <v>0</v>
      </c>
      <c r="J277" s="7">
        <v>0</v>
      </c>
      <c r="K277" s="7">
        <v>0</v>
      </c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</row>
    <row r="278" spans="1:17">
      <c r="A278" s="2">
        <v>2226</v>
      </c>
      <c r="B278" s="7">
        <v>0</v>
      </c>
      <c r="C278" s="7">
        <v>0</v>
      </c>
      <c r="D278" s="7">
        <v>0</v>
      </c>
      <c r="E278" s="7">
        <v>0</v>
      </c>
      <c r="F278" s="7">
        <v>0</v>
      </c>
      <c r="G278" s="7">
        <v>0</v>
      </c>
      <c r="H278" s="7">
        <v>0</v>
      </c>
      <c r="I278" s="7">
        <v>0</v>
      </c>
      <c r="J278" s="7">
        <v>0</v>
      </c>
      <c r="K278" s="7">
        <v>0</v>
      </c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</row>
    <row r="279" spans="1:17">
      <c r="A279" s="2">
        <v>2227</v>
      </c>
      <c r="B279" s="7">
        <v>0</v>
      </c>
      <c r="C279" s="7">
        <v>0</v>
      </c>
      <c r="D279" s="7">
        <v>0</v>
      </c>
      <c r="E279" s="7">
        <v>0</v>
      </c>
      <c r="F279" s="7">
        <v>0</v>
      </c>
      <c r="G279" s="7">
        <v>0</v>
      </c>
      <c r="H279" s="7">
        <v>0</v>
      </c>
      <c r="I279" s="7">
        <v>0</v>
      </c>
      <c r="J279" s="7">
        <v>0</v>
      </c>
      <c r="K279" s="7">
        <v>0</v>
      </c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</row>
    <row r="280" spans="1:17">
      <c r="A280" s="2">
        <v>2228</v>
      </c>
      <c r="B280" s="7">
        <v>0</v>
      </c>
      <c r="C280" s="7">
        <v>0</v>
      </c>
      <c r="D280" s="7">
        <v>0</v>
      </c>
      <c r="E280" s="7">
        <v>0</v>
      </c>
      <c r="F280" s="7">
        <v>0</v>
      </c>
      <c r="G280" s="7">
        <v>0</v>
      </c>
      <c r="H280" s="7">
        <v>0</v>
      </c>
      <c r="I280" s="7">
        <v>0</v>
      </c>
      <c r="J280" s="7">
        <v>0</v>
      </c>
      <c r="K280" s="7">
        <v>0</v>
      </c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</row>
    <row r="281" spans="1:17">
      <c r="A281" s="2">
        <v>2229</v>
      </c>
      <c r="B281" s="7">
        <v>0</v>
      </c>
      <c r="C281" s="7">
        <v>0</v>
      </c>
      <c r="D281" s="7">
        <v>0</v>
      </c>
      <c r="E281" s="7">
        <v>0</v>
      </c>
      <c r="F281" s="7">
        <v>0</v>
      </c>
      <c r="G281" s="7">
        <v>0</v>
      </c>
      <c r="H281" s="7">
        <v>0</v>
      </c>
      <c r="I281" s="7">
        <v>0</v>
      </c>
      <c r="J281" s="7">
        <v>0</v>
      </c>
      <c r="K281" s="7">
        <v>0</v>
      </c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</row>
    <row r="282" spans="1:17">
      <c r="A282" s="2">
        <v>2230</v>
      </c>
      <c r="B282" s="7">
        <v>0</v>
      </c>
      <c r="C282" s="7">
        <v>0</v>
      </c>
      <c r="D282" s="7">
        <v>0</v>
      </c>
      <c r="E282" s="7">
        <v>0</v>
      </c>
      <c r="F282" s="7">
        <v>0</v>
      </c>
      <c r="G282" s="7">
        <v>0</v>
      </c>
      <c r="H282" s="7">
        <v>0</v>
      </c>
      <c r="I282" s="7">
        <v>0</v>
      </c>
      <c r="J282" s="7">
        <v>0</v>
      </c>
      <c r="K282" s="7">
        <v>0</v>
      </c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</row>
    <row r="283" spans="1:17">
      <c r="A283" s="2">
        <v>2231</v>
      </c>
      <c r="B283" s="7">
        <v>0</v>
      </c>
      <c r="C283" s="7">
        <v>0</v>
      </c>
      <c r="D283" s="7">
        <v>0</v>
      </c>
      <c r="E283" s="7">
        <v>0</v>
      </c>
      <c r="F283" s="7">
        <v>0</v>
      </c>
      <c r="G283" s="7">
        <v>0</v>
      </c>
      <c r="H283" s="7">
        <v>0</v>
      </c>
      <c r="I283" s="7">
        <v>0</v>
      </c>
      <c r="J283" s="7">
        <v>0</v>
      </c>
      <c r="K283" s="7">
        <v>0</v>
      </c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</row>
    <row r="284" spans="1:17">
      <c r="A284" s="2">
        <v>2232</v>
      </c>
      <c r="B284" s="7">
        <v>0</v>
      </c>
      <c r="C284" s="7">
        <v>0</v>
      </c>
      <c r="D284" s="7">
        <v>0</v>
      </c>
      <c r="E284" s="7">
        <v>0</v>
      </c>
      <c r="F284" s="7">
        <v>0</v>
      </c>
      <c r="G284" s="7">
        <v>0</v>
      </c>
      <c r="H284" s="7">
        <v>0</v>
      </c>
      <c r="I284" s="7">
        <v>0</v>
      </c>
      <c r="J284" s="7">
        <v>0</v>
      </c>
      <c r="K284" s="7">
        <v>0</v>
      </c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</row>
    <row r="285" spans="1:17">
      <c r="A285" s="2">
        <v>2233</v>
      </c>
      <c r="B285" s="7">
        <v>0</v>
      </c>
      <c r="C285" s="7">
        <v>0</v>
      </c>
      <c r="D285" s="7">
        <v>0</v>
      </c>
      <c r="E285" s="7">
        <v>0</v>
      </c>
      <c r="F285" s="7">
        <v>0</v>
      </c>
      <c r="G285" s="7">
        <v>0</v>
      </c>
      <c r="H285" s="7">
        <v>0</v>
      </c>
      <c r="I285" s="7">
        <v>0</v>
      </c>
      <c r="J285" s="7">
        <v>0</v>
      </c>
      <c r="K285" s="7">
        <v>0</v>
      </c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</row>
    <row r="286" spans="1:17">
      <c r="A286" s="2">
        <v>2234</v>
      </c>
      <c r="B286" s="7">
        <v>0</v>
      </c>
      <c r="C286" s="7">
        <v>0</v>
      </c>
      <c r="D286" s="7">
        <v>0</v>
      </c>
      <c r="E286" s="7">
        <v>0</v>
      </c>
      <c r="F286" s="7">
        <v>0</v>
      </c>
      <c r="G286" s="7">
        <v>0</v>
      </c>
      <c r="H286" s="7">
        <v>0</v>
      </c>
      <c r="I286" s="7">
        <v>0</v>
      </c>
      <c r="J286" s="7">
        <v>0</v>
      </c>
      <c r="K286" s="7">
        <v>0</v>
      </c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</row>
    <row r="287" spans="1:17">
      <c r="A287" s="2">
        <v>2235</v>
      </c>
      <c r="B287" s="7">
        <v>0</v>
      </c>
      <c r="C287" s="7">
        <v>0</v>
      </c>
      <c r="D287" s="7">
        <v>0</v>
      </c>
      <c r="E287" s="7">
        <v>0</v>
      </c>
      <c r="F287" s="7">
        <v>0</v>
      </c>
      <c r="G287" s="7">
        <v>0</v>
      </c>
      <c r="H287" s="7">
        <v>0</v>
      </c>
      <c r="I287" s="7">
        <v>0</v>
      </c>
      <c r="J287" s="7">
        <v>0</v>
      </c>
      <c r="K287" s="7">
        <v>0</v>
      </c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</row>
    <row r="288" spans="1:17">
      <c r="A288" s="2">
        <v>2236</v>
      </c>
      <c r="B288" s="7">
        <v>0</v>
      </c>
      <c r="C288" s="7">
        <v>0</v>
      </c>
      <c r="D288" s="7">
        <v>0</v>
      </c>
      <c r="E288" s="7">
        <v>0</v>
      </c>
      <c r="F288" s="7">
        <v>0</v>
      </c>
      <c r="G288" s="7">
        <v>0</v>
      </c>
      <c r="H288" s="7">
        <v>0</v>
      </c>
      <c r="I288" s="7">
        <v>0</v>
      </c>
      <c r="J288" s="7">
        <v>0</v>
      </c>
      <c r="K288" s="7">
        <v>0</v>
      </c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</row>
    <row r="289" spans="1:17">
      <c r="A289" s="2">
        <v>2237</v>
      </c>
      <c r="B289" s="7">
        <v>0</v>
      </c>
      <c r="C289" s="7">
        <v>0</v>
      </c>
      <c r="D289" s="7">
        <v>0</v>
      </c>
      <c r="E289" s="7">
        <v>0</v>
      </c>
      <c r="F289" s="7">
        <v>0</v>
      </c>
      <c r="G289" s="7">
        <v>0</v>
      </c>
      <c r="H289" s="7">
        <v>0</v>
      </c>
      <c r="I289" s="7">
        <v>0</v>
      </c>
      <c r="J289" s="7">
        <v>0</v>
      </c>
      <c r="K289" s="7">
        <v>0</v>
      </c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</row>
    <row r="290" spans="1:17">
      <c r="A290" s="2">
        <v>2238</v>
      </c>
      <c r="B290" s="7">
        <v>0</v>
      </c>
      <c r="C290" s="7">
        <v>0</v>
      </c>
      <c r="D290" s="7">
        <v>0</v>
      </c>
      <c r="E290" s="7">
        <v>0</v>
      </c>
      <c r="F290" s="7">
        <v>0</v>
      </c>
      <c r="G290" s="7">
        <v>0</v>
      </c>
      <c r="H290" s="7">
        <v>0</v>
      </c>
      <c r="I290" s="7">
        <v>0</v>
      </c>
      <c r="J290" s="7">
        <v>0</v>
      </c>
      <c r="K290" s="7">
        <v>0</v>
      </c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</row>
    <row r="291" spans="1:17">
      <c r="A291" s="2">
        <v>2239</v>
      </c>
      <c r="B291" s="7">
        <v>0</v>
      </c>
      <c r="C291" s="7">
        <v>0</v>
      </c>
      <c r="D291" s="7">
        <v>0</v>
      </c>
      <c r="E291" s="7">
        <v>0</v>
      </c>
      <c r="F291" s="7">
        <v>0</v>
      </c>
      <c r="G291" s="7">
        <v>0</v>
      </c>
      <c r="H291" s="7">
        <v>0</v>
      </c>
      <c r="I291" s="7">
        <v>0</v>
      </c>
      <c r="J291" s="7">
        <v>0</v>
      </c>
      <c r="K291" s="7">
        <v>0</v>
      </c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</row>
    <row r="292" spans="1:17">
      <c r="A292" s="2">
        <v>2240</v>
      </c>
      <c r="B292" s="7">
        <v>0</v>
      </c>
      <c r="C292" s="7">
        <v>0</v>
      </c>
      <c r="D292" s="7">
        <v>0</v>
      </c>
      <c r="E292" s="7">
        <v>0</v>
      </c>
      <c r="F292" s="7">
        <v>0</v>
      </c>
      <c r="G292" s="7">
        <v>0</v>
      </c>
      <c r="H292" s="7">
        <v>0</v>
      </c>
      <c r="I292" s="7">
        <v>0</v>
      </c>
      <c r="J292" s="7">
        <v>0</v>
      </c>
      <c r="K292" s="7">
        <v>0</v>
      </c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</row>
    <row r="293" spans="1:17">
      <c r="A293" s="2">
        <v>2241</v>
      </c>
      <c r="B293" s="7">
        <v>0</v>
      </c>
      <c r="C293" s="7">
        <v>0</v>
      </c>
      <c r="D293" s="7">
        <v>0</v>
      </c>
      <c r="E293" s="7">
        <v>0</v>
      </c>
      <c r="F293" s="7">
        <v>0</v>
      </c>
      <c r="G293" s="7">
        <v>0</v>
      </c>
      <c r="H293" s="7">
        <v>0</v>
      </c>
      <c r="I293" s="7">
        <v>0</v>
      </c>
      <c r="J293" s="7">
        <v>0</v>
      </c>
      <c r="K293" s="7">
        <v>0</v>
      </c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</row>
    <row r="294" spans="1:17">
      <c r="A294" s="2">
        <v>2242</v>
      </c>
      <c r="B294" s="7">
        <v>0</v>
      </c>
      <c r="C294" s="7">
        <v>0</v>
      </c>
      <c r="D294" s="7">
        <v>0</v>
      </c>
      <c r="E294" s="7">
        <v>0</v>
      </c>
      <c r="F294" s="7">
        <v>0</v>
      </c>
      <c r="G294" s="7">
        <v>0</v>
      </c>
      <c r="H294" s="7">
        <v>0</v>
      </c>
      <c r="I294" s="7">
        <v>0</v>
      </c>
      <c r="J294" s="7">
        <v>0</v>
      </c>
      <c r="K294" s="7">
        <v>0</v>
      </c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</row>
    <row r="295" spans="1:17">
      <c r="A295" s="2">
        <v>2243</v>
      </c>
      <c r="B295" s="7">
        <v>0</v>
      </c>
      <c r="C295" s="7">
        <v>0</v>
      </c>
      <c r="D295" s="7">
        <v>0</v>
      </c>
      <c r="E295" s="7">
        <v>0</v>
      </c>
      <c r="F295" s="7">
        <v>0</v>
      </c>
      <c r="G295" s="7">
        <v>0</v>
      </c>
      <c r="H295" s="7">
        <v>0</v>
      </c>
      <c r="I295" s="7">
        <v>0</v>
      </c>
      <c r="J295" s="7">
        <v>0</v>
      </c>
      <c r="K295" s="7">
        <v>0</v>
      </c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</row>
    <row r="296" spans="1:17">
      <c r="A296" s="2">
        <v>2244</v>
      </c>
      <c r="B296" s="7">
        <v>0</v>
      </c>
      <c r="C296" s="7">
        <v>0</v>
      </c>
      <c r="D296" s="7">
        <v>0</v>
      </c>
      <c r="E296" s="7">
        <v>0</v>
      </c>
      <c r="F296" s="7">
        <v>0</v>
      </c>
      <c r="G296" s="7">
        <v>0</v>
      </c>
      <c r="H296" s="7">
        <v>0</v>
      </c>
      <c r="I296" s="7">
        <v>0</v>
      </c>
      <c r="J296" s="7">
        <v>0</v>
      </c>
      <c r="K296" s="7">
        <v>0</v>
      </c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</row>
    <row r="297" spans="1:17">
      <c r="A297" s="2">
        <v>2245</v>
      </c>
      <c r="B297" s="7">
        <v>0</v>
      </c>
      <c r="C297" s="7">
        <v>0</v>
      </c>
      <c r="D297" s="7">
        <v>0</v>
      </c>
      <c r="E297" s="7">
        <v>0</v>
      </c>
      <c r="F297" s="7">
        <v>0</v>
      </c>
      <c r="G297" s="7">
        <v>0</v>
      </c>
      <c r="H297" s="7">
        <v>0</v>
      </c>
      <c r="I297" s="7">
        <v>0</v>
      </c>
      <c r="J297" s="7">
        <v>0</v>
      </c>
      <c r="K297" s="7">
        <v>0</v>
      </c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</row>
    <row r="298" spans="1:17">
      <c r="A298" s="2">
        <v>2246</v>
      </c>
      <c r="B298" s="7">
        <v>0</v>
      </c>
      <c r="C298" s="7">
        <v>0</v>
      </c>
      <c r="D298" s="7">
        <v>0</v>
      </c>
      <c r="E298" s="7">
        <v>0</v>
      </c>
      <c r="F298" s="7">
        <v>0</v>
      </c>
      <c r="G298" s="7">
        <v>0</v>
      </c>
      <c r="H298" s="7">
        <v>0</v>
      </c>
      <c r="I298" s="7">
        <v>0</v>
      </c>
      <c r="J298" s="7">
        <v>0</v>
      </c>
      <c r="K298" s="7">
        <v>0</v>
      </c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</row>
    <row r="299" spans="1:17">
      <c r="A299" s="2">
        <v>2247</v>
      </c>
      <c r="B299" s="7">
        <v>0</v>
      </c>
      <c r="C299" s="7">
        <v>0</v>
      </c>
      <c r="D299" s="7">
        <v>0</v>
      </c>
      <c r="E299" s="7">
        <v>0</v>
      </c>
      <c r="F299" s="7">
        <v>0</v>
      </c>
      <c r="G299" s="7">
        <v>0</v>
      </c>
      <c r="H299" s="7">
        <v>0</v>
      </c>
      <c r="I299" s="7">
        <v>0</v>
      </c>
      <c r="J299" s="7">
        <v>0</v>
      </c>
      <c r="K299" s="7">
        <v>0</v>
      </c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</row>
    <row r="300" spans="1:17">
      <c r="A300" s="2">
        <v>2248</v>
      </c>
      <c r="B300" s="7">
        <v>0</v>
      </c>
      <c r="C300" s="7">
        <v>0</v>
      </c>
      <c r="D300" s="7">
        <v>0</v>
      </c>
      <c r="E300" s="7">
        <v>0</v>
      </c>
      <c r="F300" s="7">
        <v>0</v>
      </c>
      <c r="G300" s="7">
        <v>0</v>
      </c>
      <c r="H300" s="7">
        <v>0</v>
      </c>
      <c r="I300" s="7">
        <v>0</v>
      </c>
      <c r="J300" s="7">
        <v>0</v>
      </c>
      <c r="K300" s="7">
        <v>0</v>
      </c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</row>
    <row r="301" spans="1:17">
      <c r="A301" s="2">
        <v>2249</v>
      </c>
      <c r="B301" s="7">
        <v>0</v>
      </c>
      <c r="C301" s="7">
        <v>0</v>
      </c>
      <c r="D301" s="7">
        <v>0</v>
      </c>
      <c r="E301" s="7">
        <v>0</v>
      </c>
      <c r="F301" s="7">
        <v>0</v>
      </c>
      <c r="G301" s="7">
        <v>0</v>
      </c>
      <c r="H301" s="7">
        <v>0</v>
      </c>
      <c r="I301" s="7">
        <v>0</v>
      </c>
      <c r="J301" s="7">
        <v>0</v>
      </c>
      <c r="K301" s="7">
        <v>0</v>
      </c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</row>
    <row r="302" spans="1:17">
      <c r="A302" s="2">
        <v>2250</v>
      </c>
      <c r="B302" s="7">
        <v>0</v>
      </c>
      <c r="C302" s="7">
        <v>0</v>
      </c>
      <c r="D302" s="7">
        <v>0</v>
      </c>
      <c r="E302" s="7">
        <v>0</v>
      </c>
      <c r="F302" s="7">
        <v>0</v>
      </c>
      <c r="G302" s="7">
        <v>0</v>
      </c>
      <c r="H302" s="7">
        <v>0</v>
      </c>
      <c r="I302" s="7">
        <v>0</v>
      </c>
      <c r="J302" s="7">
        <v>0</v>
      </c>
      <c r="K302" s="7">
        <v>0</v>
      </c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</row>
    <row r="303" spans="1:17">
      <c r="A303" s="2">
        <v>2251</v>
      </c>
      <c r="B303" s="7">
        <v>0</v>
      </c>
      <c r="C303" s="7">
        <v>0</v>
      </c>
      <c r="D303" s="7">
        <v>0</v>
      </c>
      <c r="E303" s="7">
        <v>0</v>
      </c>
      <c r="F303" s="7">
        <v>0</v>
      </c>
      <c r="G303" s="7">
        <v>0</v>
      </c>
      <c r="H303" s="7">
        <v>0</v>
      </c>
      <c r="I303" s="7">
        <v>0</v>
      </c>
      <c r="J303" s="7">
        <v>0</v>
      </c>
      <c r="K303" s="7">
        <v>0</v>
      </c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</row>
    <row r="304" spans="1:17">
      <c r="A304" s="2">
        <v>2252</v>
      </c>
      <c r="B304" s="7">
        <v>0</v>
      </c>
      <c r="C304" s="7">
        <v>0</v>
      </c>
      <c r="D304" s="7">
        <v>0</v>
      </c>
      <c r="E304" s="7">
        <v>0</v>
      </c>
      <c r="F304" s="7">
        <v>0</v>
      </c>
      <c r="G304" s="7">
        <v>0</v>
      </c>
      <c r="H304" s="7">
        <v>0</v>
      </c>
      <c r="I304" s="7">
        <v>0</v>
      </c>
      <c r="J304" s="7">
        <v>0</v>
      </c>
      <c r="K304" s="7">
        <v>0</v>
      </c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</row>
    <row r="305" spans="1:17">
      <c r="A305" s="2">
        <v>2253</v>
      </c>
      <c r="B305" s="7">
        <v>0</v>
      </c>
      <c r="C305" s="7">
        <v>0</v>
      </c>
      <c r="D305" s="7">
        <v>0</v>
      </c>
      <c r="E305" s="7">
        <v>0</v>
      </c>
      <c r="F305" s="7">
        <v>0</v>
      </c>
      <c r="G305" s="7">
        <v>0</v>
      </c>
      <c r="H305" s="7">
        <v>0</v>
      </c>
      <c r="I305" s="7">
        <v>0</v>
      </c>
      <c r="J305" s="7">
        <v>0</v>
      </c>
      <c r="K305" s="7">
        <v>0</v>
      </c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</row>
    <row r="306" spans="1:17">
      <c r="A306" s="2">
        <v>2254</v>
      </c>
      <c r="B306" s="7">
        <v>0</v>
      </c>
      <c r="C306" s="7">
        <v>0</v>
      </c>
      <c r="D306" s="7">
        <v>0</v>
      </c>
      <c r="E306" s="7">
        <v>0</v>
      </c>
      <c r="F306" s="7">
        <v>0</v>
      </c>
      <c r="G306" s="7">
        <v>0</v>
      </c>
      <c r="H306" s="7">
        <v>0</v>
      </c>
      <c r="I306" s="7">
        <v>0</v>
      </c>
      <c r="J306" s="7">
        <v>0</v>
      </c>
      <c r="K306" s="7">
        <v>0</v>
      </c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</row>
    <row r="307" spans="1:17">
      <c r="A307" s="2">
        <v>2255</v>
      </c>
      <c r="B307" s="7">
        <v>0</v>
      </c>
      <c r="C307" s="7">
        <v>0</v>
      </c>
      <c r="D307" s="7">
        <v>0</v>
      </c>
      <c r="E307" s="7">
        <v>0</v>
      </c>
      <c r="F307" s="7">
        <v>0</v>
      </c>
      <c r="G307" s="7">
        <v>0</v>
      </c>
      <c r="H307" s="7">
        <v>0</v>
      </c>
      <c r="I307" s="7">
        <v>0</v>
      </c>
      <c r="J307" s="7">
        <v>0</v>
      </c>
      <c r="K307" s="7">
        <v>0</v>
      </c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</row>
    <row r="308" spans="1:17">
      <c r="A308" s="2">
        <v>2256</v>
      </c>
      <c r="B308" s="7">
        <v>0</v>
      </c>
      <c r="C308" s="7">
        <v>0</v>
      </c>
      <c r="D308" s="7">
        <v>0</v>
      </c>
      <c r="E308" s="7">
        <v>0</v>
      </c>
      <c r="F308" s="7">
        <v>0</v>
      </c>
      <c r="G308" s="7">
        <v>0</v>
      </c>
      <c r="H308" s="7">
        <v>0</v>
      </c>
      <c r="I308" s="7">
        <v>0</v>
      </c>
      <c r="J308" s="7">
        <v>0</v>
      </c>
      <c r="K308" s="7">
        <v>0</v>
      </c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</row>
    <row r="309" spans="1:17">
      <c r="A309" s="2">
        <v>2257</v>
      </c>
      <c r="B309" s="7">
        <v>0</v>
      </c>
      <c r="C309" s="7">
        <v>0</v>
      </c>
      <c r="D309" s="7">
        <v>0</v>
      </c>
      <c r="E309" s="7">
        <v>0</v>
      </c>
      <c r="F309" s="7">
        <v>0</v>
      </c>
      <c r="G309" s="7">
        <v>0</v>
      </c>
      <c r="H309" s="7">
        <v>0</v>
      </c>
      <c r="I309" s="7">
        <v>0</v>
      </c>
      <c r="J309" s="7">
        <v>0</v>
      </c>
      <c r="K309" s="7">
        <v>0</v>
      </c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</row>
    <row r="310" spans="1:17">
      <c r="A310" s="2">
        <v>2258</v>
      </c>
      <c r="B310" s="7">
        <v>0</v>
      </c>
      <c r="C310" s="7">
        <v>0</v>
      </c>
      <c r="D310" s="7">
        <v>0</v>
      </c>
      <c r="E310" s="7">
        <v>0</v>
      </c>
      <c r="F310" s="7">
        <v>0</v>
      </c>
      <c r="G310" s="7">
        <v>0</v>
      </c>
      <c r="H310" s="7">
        <v>0</v>
      </c>
      <c r="I310" s="7">
        <v>0</v>
      </c>
      <c r="J310" s="7">
        <v>0</v>
      </c>
      <c r="K310" s="7">
        <v>0</v>
      </c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</row>
    <row r="311" spans="1:17">
      <c r="A311" s="2">
        <v>2259</v>
      </c>
      <c r="B311" s="7">
        <v>0</v>
      </c>
      <c r="C311" s="7">
        <v>0</v>
      </c>
      <c r="D311" s="7">
        <v>0</v>
      </c>
      <c r="E311" s="7">
        <v>0</v>
      </c>
      <c r="F311" s="7">
        <v>0</v>
      </c>
      <c r="G311" s="7">
        <v>0</v>
      </c>
      <c r="H311" s="7">
        <v>0</v>
      </c>
      <c r="I311" s="7">
        <v>0</v>
      </c>
      <c r="J311" s="7">
        <v>0</v>
      </c>
      <c r="K311" s="7">
        <v>0</v>
      </c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</row>
    <row r="312" spans="1:17">
      <c r="A312" s="2">
        <v>2260</v>
      </c>
      <c r="B312" s="7">
        <v>0</v>
      </c>
      <c r="C312" s="7">
        <v>0</v>
      </c>
      <c r="D312" s="7">
        <v>0</v>
      </c>
      <c r="E312" s="7">
        <v>0</v>
      </c>
      <c r="F312" s="7">
        <v>0</v>
      </c>
      <c r="G312" s="7">
        <v>0</v>
      </c>
      <c r="H312" s="7">
        <v>0</v>
      </c>
      <c r="I312" s="7">
        <v>0</v>
      </c>
      <c r="J312" s="7">
        <v>0</v>
      </c>
      <c r="K312" s="7">
        <v>0</v>
      </c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</row>
    <row r="313" spans="1:17">
      <c r="A313" s="2">
        <v>2261</v>
      </c>
      <c r="B313" s="7">
        <v>0</v>
      </c>
      <c r="C313" s="7">
        <v>0</v>
      </c>
      <c r="D313" s="7">
        <v>0</v>
      </c>
      <c r="E313" s="7">
        <v>0</v>
      </c>
      <c r="F313" s="7">
        <v>0</v>
      </c>
      <c r="G313" s="7">
        <v>0</v>
      </c>
      <c r="H313" s="7">
        <v>0</v>
      </c>
      <c r="I313" s="7">
        <v>0</v>
      </c>
      <c r="J313" s="7">
        <v>0</v>
      </c>
      <c r="K313" s="7">
        <v>0</v>
      </c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</row>
    <row r="314" spans="1:17">
      <c r="A314" s="2">
        <v>2262</v>
      </c>
      <c r="B314" s="7">
        <v>0</v>
      </c>
      <c r="C314" s="7">
        <v>0</v>
      </c>
      <c r="D314" s="7">
        <v>0</v>
      </c>
      <c r="E314" s="7">
        <v>0</v>
      </c>
      <c r="F314" s="7">
        <v>0</v>
      </c>
      <c r="G314" s="7">
        <v>0</v>
      </c>
      <c r="H314" s="7">
        <v>0</v>
      </c>
      <c r="I314" s="7">
        <v>0</v>
      </c>
      <c r="J314" s="7">
        <v>0</v>
      </c>
      <c r="K314" s="7">
        <v>0</v>
      </c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</row>
    <row r="315" spans="1:17">
      <c r="A315" s="2">
        <v>2263</v>
      </c>
      <c r="B315" s="7">
        <v>0</v>
      </c>
      <c r="C315" s="7">
        <v>0</v>
      </c>
      <c r="D315" s="7">
        <v>0</v>
      </c>
      <c r="E315" s="7">
        <v>0</v>
      </c>
      <c r="F315" s="7">
        <v>0</v>
      </c>
      <c r="G315" s="7">
        <v>0</v>
      </c>
      <c r="H315" s="7">
        <v>0</v>
      </c>
      <c r="I315" s="7">
        <v>0</v>
      </c>
      <c r="J315" s="7">
        <v>0</v>
      </c>
      <c r="K315" s="7">
        <v>0</v>
      </c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</row>
    <row r="316" spans="1:17">
      <c r="A316" s="2">
        <v>2264</v>
      </c>
      <c r="B316" s="7">
        <v>0</v>
      </c>
      <c r="C316" s="7">
        <v>0</v>
      </c>
      <c r="D316" s="7">
        <v>0</v>
      </c>
      <c r="E316" s="7">
        <v>0</v>
      </c>
      <c r="F316" s="7">
        <v>0</v>
      </c>
      <c r="G316" s="7">
        <v>0</v>
      </c>
      <c r="H316" s="7">
        <v>0</v>
      </c>
      <c r="I316" s="7">
        <v>0</v>
      </c>
      <c r="J316" s="7">
        <v>0</v>
      </c>
      <c r="K316" s="7">
        <v>0</v>
      </c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</row>
    <row r="317" spans="1:17">
      <c r="A317" s="2">
        <v>2265</v>
      </c>
      <c r="B317" s="7">
        <v>0</v>
      </c>
      <c r="C317" s="7">
        <v>0</v>
      </c>
      <c r="D317" s="7">
        <v>0</v>
      </c>
      <c r="E317" s="7">
        <v>0</v>
      </c>
      <c r="F317" s="7">
        <v>0</v>
      </c>
      <c r="G317" s="7">
        <v>0</v>
      </c>
      <c r="H317" s="7">
        <v>0</v>
      </c>
      <c r="I317" s="7">
        <v>0</v>
      </c>
      <c r="J317" s="7">
        <v>0</v>
      </c>
      <c r="K317" s="7">
        <v>0</v>
      </c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</row>
    <row r="318" spans="1:17">
      <c r="A318" s="2">
        <v>2266</v>
      </c>
      <c r="B318" s="7">
        <v>0</v>
      </c>
      <c r="C318" s="7">
        <v>0</v>
      </c>
      <c r="D318" s="7">
        <v>0</v>
      </c>
      <c r="E318" s="7">
        <v>0</v>
      </c>
      <c r="F318" s="7">
        <v>0</v>
      </c>
      <c r="G318" s="7">
        <v>0</v>
      </c>
      <c r="H318" s="7">
        <v>0</v>
      </c>
      <c r="I318" s="7">
        <v>0</v>
      </c>
      <c r="J318" s="7">
        <v>0</v>
      </c>
      <c r="K318" s="7">
        <v>0</v>
      </c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</row>
    <row r="319" spans="1:17">
      <c r="A319" s="2">
        <v>2267</v>
      </c>
      <c r="B319" s="7">
        <v>0</v>
      </c>
      <c r="C319" s="7">
        <v>0</v>
      </c>
      <c r="D319" s="7">
        <v>0</v>
      </c>
      <c r="E319" s="7">
        <v>0</v>
      </c>
      <c r="F319" s="7">
        <v>0</v>
      </c>
      <c r="G319" s="7">
        <v>0</v>
      </c>
      <c r="H319" s="7">
        <v>0</v>
      </c>
      <c r="I319" s="7">
        <v>0</v>
      </c>
      <c r="J319" s="7">
        <v>0</v>
      </c>
      <c r="K319" s="7">
        <v>0</v>
      </c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</row>
    <row r="320" spans="1:17">
      <c r="A320" s="2">
        <v>2268</v>
      </c>
      <c r="B320" s="7">
        <v>0</v>
      </c>
      <c r="C320" s="7">
        <v>0</v>
      </c>
      <c r="D320" s="7">
        <v>0</v>
      </c>
      <c r="E320" s="7">
        <v>0</v>
      </c>
      <c r="F320" s="7">
        <v>0</v>
      </c>
      <c r="G320" s="7">
        <v>0</v>
      </c>
      <c r="H320" s="7">
        <v>0</v>
      </c>
      <c r="I320" s="7">
        <v>0</v>
      </c>
      <c r="J320" s="7">
        <v>0</v>
      </c>
      <c r="K320" s="7">
        <v>0</v>
      </c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</row>
    <row r="321" spans="1:17">
      <c r="A321" s="2">
        <v>2269</v>
      </c>
      <c r="B321" s="7">
        <v>0</v>
      </c>
      <c r="C321" s="7">
        <v>0</v>
      </c>
      <c r="D321" s="7">
        <v>0</v>
      </c>
      <c r="E321" s="7">
        <v>0</v>
      </c>
      <c r="F321" s="7">
        <v>0</v>
      </c>
      <c r="G321" s="7">
        <v>0</v>
      </c>
      <c r="H321" s="7">
        <v>0</v>
      </c>
      <c r="I321" s="7">
        <v>0</v>
      </c>
      <c r="J321" s="7">
        <v>0</v>
      </c>
      <c r="K321" s="7">
        <v>0</v>
      </c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</row>
    <row r="322" spans="1:17">
      <c r="A322" s="2">
        <v>2270</v>
      </c>
      <c r="B322" s="7">
        <v>0</v>
      </c>
      <c r="C322" s="7">
        <v>0</v>
      </c>
      <c r="D322" s="7">
        <v>0</v>
      </c>
      <c r="E322" s="7">
        <v>0</v>
      </c>
      <c r="F322" s="7">
        <v>0</v>
      </c>
      <c r="G322" s="7">
        <v>0</v>
      </c>
      <c r="H322" s="7">
        <v>0</v>
      </c>
      <c r="I322" s="7">
        <v>0</v>
      </c>
      <c r="J322" s="7">
        <v>0</v>
      </c>
      <c r="K322" s="7">
        <v>0</v>
      </c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</row>
    <row r="323" spans="1:17">
      <c r="A323" s="2">
        <v>2271</v>
      </c>
      <c r="B323" s="7">
        <v>0</v>
      </c>
      <c r="C323" s="7">
        <v>0</v>
      </c>
      <c r="D323" s="7">
        <v>0</v>
      </c>
      <c r="E323" s="7">
        <v>0</v>
      </c>
      <c r="F323" s="7">
        <v>0</v>
      </c>
      <c r="G323" s="7">
        <v>0</v>
      </c>
      <c r="H323" s="7">
        <v>0</v>
      </c>
      <c r="I323" s="7">
        <v>0</v>
      </c>
      <c r="J323" s="7">
        <v>0</v>
      </c>
      <c r="K323" s="7">
        <v>0</v>
      </c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</row>
    <row r="324" spans="1:17">
      <c r="A324" s="2">
        <v>2272</v>
      </c>
      <c r="B324" s="7">
        <v>0</v>
      </c>
      <c r="C324" s="7">
        <v>0</v>
      </c>
      <c r="D324" s="7">
        <v>0</v>
      </c>
      <c r="E324" s="7">
        <v>0</v>
      </c>
      <c r="F324" s="7">
        <v>0</v>
      </c>
      <c r="G324" s="7">
        <v>0</v>
      </c>
      <c r="H324" s="7">
        <v>0</v>
      </c>
      <c r="I324" s="7">
        <v>0</v>
      </c>
      <c r="J324" s="7">
        <v>0</v>
      </c>
      <c r="K324" s="7">
        <v>0</v>
      </c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</row>
    <row r="325" spans="1:17">
      <c r="A325" s="2">
        <v>2273</v>
      </c>
      <c r="B325" s="7">
        <v>0</v>
      </c>
      <c r="C325" s="7">
        <v>0</v>
      </c>
      <c r="D325" s="7">
        <v>0</v>
      </c>
      <c r="E325" s="7">
        <v>0</v>
      </c>
      <c r="F325" s="7">
        <v>0</v>
      </c>
      <c r="G325" s="7">
        <v>0</v>
      </c>
      <c r="H325" s="7">
        <v>0</v>
      </c>
      <c r="I325" s="7">
        <v>0</v>
      </c>
      <c r="J325" s="7">
        <v>0</v>
      </c>
      <c r="K325" s="7">
        <v>0</v>
      </c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</row>
    <row r="326" spans="1:17">
      <c r="A326" s="2">
        <v>2274</v>
      </c>
      <c r="B326" s="7">
        <v>0</v>
      </c>
      <c r="C326" s="7">
        <v>0</v>
      </c>
      <c r="D326" s="7">
        <v>0</v>
      </c>
      <c r="E326" s="7">
        <v>0</v>
      </c>
      <c r="F326" s="7">
        <v>0</v>
      </c>
      <c r="G326" s="7">
        <v>0</v>
      </c>
      <c r="H326" s="7">
        <v>0</v>
      </c>
      <c r="I326" s="7">
        <v>0</v>
      </c>
      <c r="J326" s="7">
        <v>0</v>
      </c>
      <c r="K326" s="7">
        <v>0</v>
      </c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</row>
    <row r="327" spans="1:17">
      <c r="A327" s="2">
        <v>2275</v>
      </c>
      <c r="B327" s="7">
        <v>0</v>
      </c>
      <c r="C327" s="7">
        <v>0</v>
      </c>
      <c r="D327" s="7">
        <v>0</v>
      </c>
      <c r="E327" s="7">
        <v>0</v>
      </c>
      <c r="F327" s="7">
        <v>0</v>
      </c>
      <c r="G327" s="7">
        <v>0</v>
      </c>
      <c r="H327" s="7">
        <v>0</v>
      </c>
      <c r="I327" s="7">
        <v>0</v>
      </c>
      <c r="J327" s="7">
        <v>0</v>
      </c>
      <c r="K327" s="7">
        <v>0</v>
      </c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</row>
    <row r="328" spans="1:17">
      <c r="A328" s="2">
        <v>2276</v>
      </c>
      <c r="B328" s="7">
        <v>0</v>
      </c>
      <c r="C328" s="7">
        <v>0</v>
      </c>
      <c r="D328" s="7">
        <v>0</v>
      </c>
      <c r="E328" s="7">
        <v>0</v>
      </c>
      <c r="F328" s="7">
        <v>0</v>
      </c>
      <c r="G328" s="7">
        <v>0</v>
      </c>
      <c r="H328" s="7">
        <v>0</v>
      </c>
      <c r="I328" s="7">
        <v>0</v>
      </c>
      <c r="J328" s="7">
        <v>0</v>
      </c>
      <c r="K328" s="7">
        <v>0</v>
      </c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</row>
    <row r="329" spans="1:17">
      <c r="A329" s="2">
        <v>2277</v>
      </c>
      <c r="B329" s="7">
        <v>0</v>
      </c>
      <c r="C329" s="7">
        <v>0</v>
      </c>
      <c r="D329" s="7">
        <v>0</v>
      </c>
      <c r="E329" s="7">
        <v>0</v>
      </c>
      <c r="F329" s="7">
        <v>0</v>
      </c>
      <c r="G329" s="7">
        <v>0</v>
      </c>
      <c r="H329" s="7">
        <v>0</v>
      </c>
      <c r="I329" s="7">
        <v>0</v>
      </c>
      <c r="J329" s="7">
        <v>0</v>
      </c>
      <c r="K329" s="7">
        <v>0</v>
      </c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</row>
    <row r="330" spans="1:17">
      <c r="A330" s="2">
        <v>2278</v>
      </c>
      <c r="B330" s="7">
        <v>0</v>
      </c>
      <c r="C330" s="7">
        <v>0</v>
      </c>
      <c r="D330" s="7">
        <v>0</v>
      </c>
      <c r="E330" s="7">
        <v>0</v>
      </c>
      <c r="F330" s="7">
        <v>0</v>
      </c>
      <c r="G330" s="7">
        <v>0</v>
      </c>
      <c r="H330" s="7">
        <v>0</v>
      </c>
      <c r="I330" s="7">
        <v>0</v>
      </c>
      <c r="J330" s="7">
        <v>0</v>
      </c>
      <c r="K330" s="7">
        <v>0</v>
      </c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</row>
    <row r="331" spans="1:17">
      <c r="A331" s="2">
        <v>2279</v>
      </c>
      <c r="B331" s="7">
        <v>0</v>
      </c>
      <c r="C331" s="7">
        <v>0</v>
      </c>
      <c r="D331" s="7">
        <v>0</v>
      </c>
      <c r="E331" s="7">
        <v>0</v>
      </c>
      <c r="F331" s="7">
        <v>0</v>
      </c>
      <c r="G331" s="7">
        <v>0</v>
      </c>
      <c r="H331" s="7">
        <v>0</v>
      </c>
      <c r="I331" s="7">
        <v>0</v>
      </c>
      <c r="J331" s="7">
        <v>0</v>
      </c>
      <c r="K331" s="7">
        <v>0</v>
      </c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</row>
    <row r="332" spans="1:17">
      <c r="A332" s="2">
        <v>2280</v>
      </c>
      <c r="B332" s="7">
        <v>0</v>
      </c>
      <c r="C332" s="7">
        <v>0</v>
      </c>
      <c r="D332" s="7">
        <v>0</v>
      </c>
      <c r="E332" s="7">
        <v>0</v>
      </c>
      <c r="F332" s="7">
        <v>0</v>
      </c>
      <c r="G332" s="7">
        <v>0</v>
      </c>
      <c r="H332" s="7">
        <v>0</v>
      </c>
      <c r="I332" s="7">
        <v>0</v>
      </c>
      <c r="J332" s="7">
        <v>0</v>
      </c>
      <c r="K332" s="7">
        <v>0</v>
      </c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</row>
    <row r="333" spans="1:17">
      <c r="A333" s="2">
        <v>2281</v>
      </c>
      <c r="B333" s="7">
        <v>0</v>
      </c>
      <c r="C333" s="7">
        <v>0</v>
      </c>
      <c r="D333" s="7">
        <v>0</v>
      </c>
      <c r="E333" s="7">
        <v>0</v>
      </c>
      <c r="F333" s="7">
        <v>0</v>
      </c>
      <c r="G333" s="7">
        <v>0</v>
      </c>
      <c r="H333" s="7">
        <v>0</v>
      </c>
      <c r="I333" s="7">
        <v>0</v>
      </c>
      <c r="J333" s="7">
        <v>0</v>
      </c>
      <c r="K333" s="7">
        <v>0</v>
      </c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</row>
    <row r="334" spans="1:17">
      <c r="A334" s="2">
        <v>2282</v>
      </c>
      <c r="B334" s="7">
        <v>0</v>
      </c>
      <c r="C334" s="7">
        <v>0</v>
      </c>
      <c r="D334" s="7">
        <v>0</v>
      </c>
      <c r="E334" s="7">
        <v>0</v>
      </c>
      <c r="F334" s="7">
        <v>0</v>
      </c>
      <c r="G334" s="7">
        <v>0</v>
      </c>
      <c r="H334" s="7">
        <v>0</v>
      </c>
      <c r="I334" s="7">
        <v>0</v>
      </c>
      <c r="J334" s="7">
        <v>0</v>
      </c>
      <c r="K334" s="7">
        <v>0</v>
      </c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</row>
    <row r="335" spans="1:17">
      <c r="A335" s="2">
        <v>2283</v>
      </c>
      <c r="B335" s="7">
        <v>0</v>
      </c>
      <c r="C335" s="7">
        <v>0</v>
      </c>
      <c r="D335" s="7">
        <v>0</v>
      </c>
      <c r="E335" s="7">
        <v>0</v>
      </c>
      <c r="F335" s="7">
        <v>0</v>
      </c>
      <c r="G335" s="7">
        <v>0</v>
      </c>
      <c r="H335" s="7">
        <v>0</v>
      </c>
      <c r="I335" s="7">
        <v>0</v>
      </c>
      <c r="J335" s="7">
        <v>0</v>
      </c>
      <c r="K335" s="7">
        <v>0</v>
      </c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</row>
    <row r="336" spans="1:17">
      <c r="A336" s="2">
        <v>2284</v>
      </c>
      <c r="B336" s="7">
        <v>0</v>
      </c>
      <c r="C336" s="7">
        <v>0</v>
      </c>
      <c r="D336" s="7">
        <v>0</v>
      </c>
      <c r="E336" s="7">
        <v>0</v>
      </c>
      <c r="F336" s="7">
        <v>0</v>
      </c>
      <c r="G336" s="7">
        <v>0</v>
      </c>
      <c r="H336" s="7">
        <v>0</v>
      </c>
      <c r="I336" s="7">
        <v>0</v>
      </c>
      <c r="J336" s="7">
        <v>0</v>
      </c>
      <c r="K336" s="7">
        <v>0</v>
      </c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</row>
    <row r="337" spans="1:17">
      <c r="A337" s="2">
        <v>2285</v>
      </c>
      <c r="B337" s="7">
        <v>0</v>
      </c>
      <c r="C337" s="7">
        <v>0</v>
      </c>
      <c r="D337" s="7">
        <v>0</v>
      </c>
      <c r="E337" s="7">
        <v>0</v>
      </c>
      <c r="F337" s="7">
        <v>0</v>
      </c>
      <c r="G337" s="7">
        <v>0</v>
      </c>
      <c r="H337" s="7">
        <v>0</v>
      </c>
      <c r="I337" s="7">
        <v>0</v>
      </c>
      <c r="J337" s="7">
        <v>0</v>
      </c>
      <c r="K337" s="7">
        <v>0</v>
      </c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</row>
    <row r="338" spans="1:17">
      <c r="A338" s="2">
        <v>2286</v>
      </c>
      <c r="B338" s="7">
        <v>0</v>
      </c>
      <c r="C338" s="7">
        <v>0</v>
      </c>
      <c r="D338" s="7">
        <v>0</v>
      </c>
      <c r="E338" s="7">
        <v>0</v>
      </c>
      <c r="F338" s="7">
        <v>0</v>
      </c>
      <c r="G338" s="7">
        <v>0</v>
      </c>
      <c r="H338" s="7">
        <v>0</v>
      </c>
      <c r="I338" s="7">
        <v>0</v>
      </c>
      <c r="J338" s="7">
        <v>0</v>
      </c>
      <c r="K338" s="7">
        <v>0</v>
      </c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</row>
    <row r="339" spans="1:17">
      <c r="A339" s="2">
        <v>2287</v>
      </c>
      <c r="B339" s="7">
        <v>0</v>
      </c>
      <c r="C339" s="7">
        <v>0</v>
      </c>
      <c r="D339" s="7">
        <v>0</v>
      </c>
      <c r="E339" s="7">
        <v>0</v>
      </c>
      <c r="F339" s="7">
        <v>0</v>
      </c>
      <c r="G339" s="7">
        <v>0</v>
      </c>
      <c r="H339" s="7">
        <v>0</v>
      </c>
      <c r="I339" s="7">
        <v>0</v>
      </c>
      <c r="J339" s="7">
        <v>0</v>
      </c>
      <c r="K339" s="7">
        <v>0</v>
      </c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</row>
    <row r="340" spans="1:17">
      <c r="A340" s="2">
        <v>2288</v>
      </c>
      <c r="B340" s="7">
        <v>0</v>
      </c>
      <c r="C340" s="7">
        <v>0</v>
      </c>
      <c r="D340" s="7">
        <v>0</v>
      </c>
      <c r="E340" s="7">
        <v>0</v>
      </c>
      <c r="F340" s="7">
        <v>0</v>
      </c>
      <c r="G340" s="7">
        <v>0</v>
      </c>
      <c r="H340" s="7">
        <v>0</v>
      </c>
      <c r="I340" s="7">
        <v>0</v>
      </c>
      <c r="J340" s="7">
        <v>0</v>
      </c>
      <c r="K340" s="7">
        <v>0</v>
      </c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</row>
    <row r="341" spans="1:17">
      <c r="A341" s="2">
        <v>2289</v>
      </c>
      <c r="B341" s="7">
        <v>0</v>
      </c>
      <c r="C341" s="7">
        <v>0</v>
      </c>
      <c r="D341" s="7">
        <v>0</v>
      </c>
      <c r="E341" s="7">
        <v>0</v>
      </c>
      <c r="F341" s="7">
        <v>0</v>
      </c>
      <c r="G341" s="7">
        <v>0</v>
      </c>
      <c r="H341" s="7">
        <v>0</v>
      </c>
      <c r="I341" s="7">
        <v>0</v>
      </c>
      <c r="J341" s="7">
        <v>0</v>
      </c>
      <c r="K341" s="7">
        <v>0</v>
      </c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</row>
    <row r="342" spans="1:17">
      <c r="A342" s="2">
        <v>2290</v>
      </c>
      <c r="B342" s="7">
        <v>0</v>
      </c>
      <c r="C342" s="7">
        <v>0</v>
      </c>
      <c r="D342" s="7">
        <v>0</v>
      </c>
      <c r="E342" s="7">
        <v>0</v>
      </c>
      <c r="F342" s="7">
        <v>0</v>
      </c>
      <c r="G342" s="7">
        <v>0</v>
      </c>
      <c r="H342" s="7">
        <v>0</v>
      </c>
      <c r="I342" s="7">
        <v>0</v>
      </c>
      <c r="J342" s="7">
        <v>0</v>
      </c>
      <c r="K342" s="7">
        <v>0</v>
      </c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</row>
    <row r="343" spans="1:17">
      <c r="A343" s="2">
        <v>2291</v>
      </c>
      <c r="B343" s="7">
        <v>0</v>
      </c>
      <c r="C343" s="7">
        <v>0</v>
      </c>
      <c r="D343" s="7">
        <v>0</v>
      </c>
      <c r="E343" s="7">
        <v>0</v>
      </c>
      <c r="F343" s="7">
        <v>0</v>
      </c>
      <c r="G343" s="7">
        <v>0</v>
      </c>
      <c r="H343" s="7">
        <v>0</v>
      </c>
      <c r="I343" s="7">
        <v>0</v>
      </c>
      <c r="J343" s="7">
        <v>0</v>
      </c>
      <c r="K343" s="7">
        <v>0</v>
      </c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</row>
    <row r="344" spans="1:17">
      <c r="A344" s="2">
        <v>2292</v>
      </c>
      <c r="B344" s="7">
        <v>0</v>
      </c>
      <c r="C344" s="7">
        <v>0</v>
      </c>
      <c r="D344" s="7">
        <v>0</v>
      </c>
      <c r="E344" s="7">
        <v>0</v>
      </c>
      <c r="F344" s="7">
        <v>0</v>
      </c>
      <c r="G344" s="7">
        <v>0</v>
      </c>
      <c r="H344" s="7">
        <v>0</v>
      </c>
      <c r="I344" s="7">
        <v>0</v>
      </c>
      <c r="J344" s="7">
        <v>0</v>
      </c>
      <c r="K344" s="7">
        <v>0</v>
      </c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</row>
    <row r="345" spans="1:17">
      <c r="A345" s="2">
        <v>2293</v>
      </c>
      <c r="B345" s="7">
        <v>0</v>
      </c>
      <c r="C345" s="7">
        <v>0</v>
      </c>
      <c r="D345" s="7">
        <v>0</v>
      </c>
      <c r="E345" s="7">
        <v>0</v>
      </c>
      <c r="F345" s="7">
        <v>0</v>
      </c>
      <c r="G345" s="7">
        <v>0</v>
      </c>
      <c r="H345" s="7">
        <v>0</v>
      </c>
      <c r="I345" s="7">
        <v>0</v>
      </c>
      <c r="J345" s="7">
        <v>0</v>
      </c>
      <c r="K345" s="7">
        <v>0</v>
      </c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</row>
    <row r="346" spans="1:17">
      <c r="A346" s="2">
        <v>2294</v>
      </c>
      <c r="B346" s="7">
        <v>0</v>
      </c>
      <c r="C346" s="7">
        <v>0</v>
      </c>
      <c r="D346" s="7">
        <v>0</v>
      </c>
      <c r="E346" s="7">
        <v>0</v>
      </c>
      <c r="F346" s="7">
        <v>0</v>
      </c>
      <c r="G346" s="7">
        <v>0</v>
      </c>
      <c r="H346" s="7">
        <v>0</v>
      </c>
      <c r="I346" s="7">
        <v>0</v>
      </c>
      <c r="J346" s="7">
        <v>0</v>
      </c>
      <c r="K346" s="7">
        <v>0</v>
      </c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</row>
    <row r="347" spans="1:17">
      <c r="A347" s="2">
        <v>2295</v>
      </c>
      <c r="B347" s="7">
        <v>0</v>
      </c>
      <c r="C347" s="7">
        <v>0</v>
      </c>
      <c r="D347" s="7">
        <v>0</v>
      </c>
      <c r="E347" s="7">
        <v>0</v>
      </c>
      <c r="F347" s="7">
        <v>0</v>
      </c>
      <c r="G347" s="7">
        <v>0</v>
      </c>
      <c r="H347" s="7">
        <v>0</v>
      </c>
      <c r="I347" s="7">
        <v>0</v>
      </c>
      <c r="J347" s="7">
        <v>0</v>
      </c>
      <c r="K347" s="7">
        <v>0</v>
      </c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</row>
    <row r="348" spans="1:17">
      <c r="A348" s="2">
        <v>2296</v>
      </c>
      <c r="B348" s="7">
        <v>0</v>
      </c>
      <c r="C348" s="7">
        <v>0</v>
      </c>
      <c r="D348" s="7">
        <v>0</v>
      </c>
      <c r="E348" s="7">
        <v>0</v>
      </c>
      <c r="F348" s="7">
        <v>0</v>
      </c>
      <c r="G348" s="7">
        <v>0</v>
      </c>
      <c r="H348" s="7">
        <v>0</v>
      </c>
      <c r="I348" s="7">
        <v>0</v>
      </c>
      <c r="J348" s="7">
        <v>0</v>
      </c>
      <c r="K348" s="7">
        <v>0</v>
      </c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</row>
    <row r="349" spans="1:17">
      <c r="A349" s="2">
        <v>2297</v>
      </c>
      <c r="B349" s="7">
        <v>0</v>
      </c>
      <c r="C349" s="7">
        <v>0</v>
      </c>
      <c r="D349" s="7">
        <v>0</v>
      </c>
      <c r="E349" s="7">
        <v>0</v>
      </c>
      <c r="F349" s="7">
        <v>0</v>
      </c>
      <c r="G349" s="7">
        <v>0</v>
      </c>
      <c r="H349" s="7">
        <v>0</v>
      </c>
      <c r="I349" s="7">
        <v>0</v>
      </c>
      <c r="J349" s="7">
        <v>0</v>
      </c>
      <c r="K349" s="7">
        <v>0</v>
      </c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</row>
    <row r="350" spans="1:17">
      <c r="A350" s="2">
        <v>2298</v>
      </c>
      <c r="B350" s="7">
        <v>0</v>
      </c>
      <c r="C350" s="7">
        <v>0</v>
      </c>
      <c r="D350" s="7">
        <v>0</v>
      </c>
      <c r="E350" s="7">
        <v>0</v>
      </c>
      <c r="F350" s="7">
        <v>0</v>
      </c>
      <c r="G350" s="7">
        <v>0</v>
      </c>
      <c r="H350" s="7">
        <v>0</v>
      </c>
      <c r="I350" s="7">
        <v>0</v>
      </c>
      <c r="J350" s="7">
        <v>0</v>
      </c>
      <c r="K350" s="7">
        <v>0</v>
      </c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</row>
    <row r="351" spans="1:17">
      <c r="A351" s="2">
        <v>2299</v>
      </c>
      <c r="B351" s="7">
        <v>0</v>
      </c>
      <c r="C351" s="7">
        <v>0</v>
      </c>
      <c r="D351" s="7">
        <v>0</v>
      </c>
      <c r="E351" s="7">
        <v>0</v>
      </c>
      <c r="F351" s="7">
        <v>0</v>
      </c>
      <c r="G351" s="7">
        <v>0</v>
      </c>
      <c r="H351" s="7">
        <v>0</v>
      </c>
      <c r="I351" s="7">
        <v>0</v>
      </c>
      <c r="J351" s="7">
        <v>0</v>
      </c>
      <c r="K351" s="7">
        <v>0</v>
      </c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</row>
    <row r="352" spans="1:17">
      <c r="A352" s="2">
        <v>2300</v>
      </c>
      <c r="B352" s="7">
        <v>0</v>
      </c>
      <c r="C352" s="7">
        <v>0</v>
      </c>
      <c r="D352" s="7">
        <v>0</v>
      </c>
      <c r="E352" s="7">
        <v>0</v>
      </c>
      <c r="F352" s="7">
        <v>0</v>
      </c>
      <c r="G352" s="7">
        <v>0</v>
      </c>
      <c r="H352" s="7">
        <v>0</v>
      </c>
      <c r="I352" s="7">
        <v>0</v>
      </c>
      <c r="J352" s="7">
        <v>0</v>
      </c>
      <c r="K352" s="7">
        <v>0</v>
      </c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</row>
    <row r="353" spans="1:17">
      <c r="A353" s="2">
        <v>2301</v>
      </c>
      <c r="B353" s="7">
        <v>0</v>
      </c>
      <c r="C353" s="7">
        <v>0</v>
      </c>
      <c r="D353" s="7">
        <v>0</v>
      </c>
      <c r="E353" s="7">
        <v>0</v>
      </c>
      <c r="F353" s="7">
        <v>0</v>
      </c>
      <c r="G353" s="7">
        <v>0</v>
      </c>
      <c r="H353" s="7">
        <v>0</v>
      </c>
      <c r="I353" s="7">
        <v>0</v>
      </c>
      <c r="J353" s="7">
        <v>0</v>
      </c>
      <c r="K353" s="7">
        <v>0</v>
      </c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</row>
    <row r="354" spans="1:17">
      <c r="A354" s="2">
        <v>2302</v>
      </c>
      <c r="B354" s="7">
        <v>0</v>
      </c>
      <c r="C354" s="7">
        <v>0</v>
      </c>
      <c r="D354" s="7">
        <v>0</v>
      </c>
      <c r="E354" s="7">
        <v>0</v>
      </c>
      <c r="F354" s="7">
        <v>0</v>
      </c>
      <c r="G354" s="7">
        <v>0</v>
      </c>
      <c r="H354" s="7">
        <v>0</v>
      </c>
      <c r="I354" s="7">
        <v>0</v>
      </c>
      <c r="J354" s="7">
        <v>0</v>
      </c>
      <c r="K354" s="7">
        <v>0</v>
      </c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</row>
    <row r="355" spans="1:17">
      <c r="A355" s="2">
        <v>2303</v>
      </c>
      <c r="B355" s="7">
        <v>0</v>
      </c>
      <c r="C355" s="7">
        <v>0</v>
      </c>
      <c r="D355" s="7">
        <v>0</v>
      </c>
      <c r="E355" s="7">
        <v>0</v>
      </c>
      <c r="F355" s="7">
        <v>0</v>
      </c>
      <c r="G355" s="7">
        <v>0</v>
      </c>
      <c r="H355" s="7">
        <v>0</v>
      </c>
      <c r="I355" s="7">
        <v>0</v>
      </c>
      <c r="J355" s="7">
        <v>0</v>
      </c>
      <c r="K355" s="7">
        <v>0</v>
      </c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</row>
    <row r="356" spans="1:17">
      <c r="A356" s="2">
        <v>2304</v>
      </c>
      <c r="B356" s="7">
        <v>0</v>
      </c>
      <c r="C356" s="7">
        <v>0</v>
      </c>
      <c r="D356" s="7">
        <v>0</v>
      </c>
      <c r="E356" s="7">
        <v>0</v>
      </c>
      <c r="F356" s="7">
        <v>0</v>
      </c>
      <c r="G356" s="7">
        <v>0</v>
      </c>
      <c r="H356" s="7">
        <v>0</v>
      </c>
      <c r="I356" s="7">
        <v>0</v>
      </c>
      <c r="J356" s="7">
        <v>0</v>
      </c>
      <c r="K356" s="7">
        <v>0</v>
      </c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</row>
    <row r="357" spans="1:17">
      <c r="A357" s="2">
        <v>2305</v>
      </c>
      <c r="B357" s="7">
        <v>0</v>
      </c>
      <c r="C357" s="7">
        <v>0</v>
      </c>
      <c r="D357" s="7">
        <v>0</v>
      </c>
      <c r="E357" s="7">
        <v>0</v>
      </c>
      <c r="F357" s="7">
        <v>0</v>
      </c>
      <c r="G357" s="7">
        <v>0</v>
      </c>
      <c r="H357" s="7">
        <v>0</v>
      </c>
      <c r="I357" s="7">
        <v>0</v>
      </c>
      <c r="J357" s="7">
        <v>0</v>
      </c>
      <c r="K357" s="7">
        <v>0</v>
      </c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</row>
    <row r="358" spans="1:17">
      <c r="A358" s="2">
        <v>2306</v>
      </c>
      <c r="B358" s="7">
        <v>0</v>
      </c>
      <c r="C358" s="7">
        <v>0</v>
      </c>
      <c r="D358" s="7">
        <v>0</v>
      </c>
      <c r="E358" s="7">
        <v>0</v>
      </c>
      <c r="F358" s="7">
        <v>0</v>
      </c>
      <c r="G358" s="7">
        <v>0</v>
      </c>
      <c r="H358" s="7">
        <v>0</v>
      </c>
      <c r="I358" s="7">
        <v>0</v>
      </c>
      <c r="J358" s="7">
        <v>0</v>
      </c>
      <c r="K358" s="7">
        <v>0</v>
      </c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</row>
    <row r="359" spans="1:17">
      <c r="A359" s="2">
        <v>2307</v>
      </c>
      <c r="B359" s="7">
        <v>0</v>
      </c>
      <c r="C359" s="7">
        <v>0</v>
      </c>
      <c r="D359" s="7">
        <v>0</v>
      </c>
      <c r="E359" s="7">
        <v>0</v>
      </c>
      <c r="F359" s="7">
        <v>0</v>
      </c>
      <c r="G359" s="7">
        <v>0</v>
      </c>
      <c r="H359" s="7">
        <v>0</v>
      </c>
      <c r="I359" s="7">
        <v>0</v>
      </c>
      <c r="J359" s="7">
        <v>0</v>
      </c>
      <c r="K359" s="7">
        <v>0</v>
      </c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</row>
    <row r="360" spans="1:17">
      <c r="A360" s="2">
        <v>2308</v>
      </c>
      <c r="B360" s="7">
        <v>0</v>
      </c>
      <c r="C360" s="7">
        <v>0</v>
      </c>
      <c r="D360" s="7">
        <v>0</v>
      </c>
      <c r="E360" s="7">
        <v>0</v>
      </c>
      <c r="F360" s="7">
        <v>0</v>
      </c>
      <c r="G360" s="7">
        <v>0</v>
      </c>
      <c r="H360" s="7">
        <v>0</v>
      </c>
      <c r="I360" s="7">
        <v>0</v>
      </c>
      <c r="J360" s="7">
        <v>0</v>
      </c>
      <c r="K360" s="7">
        <v>0</v>
      </c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</row>
    <row r="361" spans="1:17">
      <c r="A361" s="2">
        <v>2309</v>
      </c>
      <c r="B361" s="7">
        <v>0</v>
      </c>
      <c r="C361" s="7">
        <v>0</v>
      </c>
      <c r="D361" s="7">
        <v>0</v>
      </c>
      <c r="E361" s="7">
        <v>0</v>
      </c>
      <c r="F361" s="7">
        <v>0</v>
      </c>
      <c r="G361" s="7">
        <v>0</v>
      </c>
      <c r="H361" s="7">
        <v>0</v>
      </c>
      <c r="I361" s="7">
        <v>0</v>
      </c>
      <c r="J361" s="7">
        <v>0</v>
      </c>
      <c r="K361" s="7">
        <v>0</v>
      </c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</row>
    <row r="362" spans="1:17">
      <c r="A362" s="2">
        <v>2310</v>
      </c>
      <c r="B362" s="7">
        <v>0</v>
      </c>
      <c r="C362" s="7">
        <v>0</v>
      </c>
      <c r="D362" s="7">
        <v>0</v>
      </c>
      <c r="E362" s="7">
        <v>0</v>
      </c>
      <c r="F362" s="7">
        <v>0</v>
      </c>
      <c r="G362" s="7">
        <v>0</v>
      </c>
      <c r="H362" s="7">
        <v>0</v>
      </c>
      <c r="I362" s="7">
        <v>0</v>
      </c>
      <c r="J362" s="7">
        <v>0</v>
      </c>
      <c r="K362" s="7">
        <v>0</v>
      </c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</row>
    <row r="363" spans="1:17">
      <c r="A363" s="2">
        <v>2311</v>
      </c>
      <c r="B363" s="7">
        <v>0</v>
      </c>
      <c r="C363" s="7">
        <v>0</v>
      </c>
      <c r="D363" s="7">
        <v>0</v>
      </c>
      <c r="E363" s="7">
        <v>0</v>
      </c>
      <c r="F363" s="7">
        <v>0</v>
      </c>
      <c r="G363" s="7">
        <v>0</v>
      </c>
      <c r="H363" s="7">
        <v>0</v>
      </c>
      <c r="I363" s="7">
        <v>0</v>
      </c>
      <c r="J363" s="7">
        <v>0</v>
      </c>
      <c r="K363" s="7">
        <v>0</v>
      </c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</row>
    <row r="364" spans="1:17">
      <c r="A364" s="2">
        <v>2312</v>
      </c>
      <c r="B364" s="7">
        <v>0</v>
      </c>
      <c r="C364" s="7">
        <v>0</v>
      </c>
      <c r="D364" s="7">
        <v>0</v>
      </c>
      <c r="E364" s="7">
        <v>0</v>
      </c>
      <c r="F364" s="7">
        <v>0</v>
      </c>
      <c r="G364" s="7">
        <v>0</v>
      </c>
      <c r="H364" s="7">
        <v>0</v>
      </c>
      <c r="I364" s="7">
        <v>0</v>
      </c>
      <c r="J364" s="7">
        <v>0</v>
      </c>
      <c r="K364" s="7">
        <v>0</v>
      </c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</row>
    <row r="365" spans="1:17">
      <c r="A365" s="2">
        <v>2313</v>
      </c>
      <c r="B365" s="7">
        <v>0</v>
      </c>
      <c r="C365" s="7">
        <v>0</v>
      </c>
      <c r="D365" s="7">
        <v>0</v>
      </c>
      <c r="E365" s="7">
        <v>0</v>
      </c>
      <c r="F365" s="7">
        <v>0</v>
      </c>
      <c r="G365" s="7">
        <v>0</v>
      </c>
      <c r="H365" s="7">
        <v>0</v>
      </c>
      <c r="I365" s="7">
        <v>0</v>
      </c>
      <c r="J365" s="7">
        <v>0</v>
      </c>
      <c r="K365" s="7">
        <v>0</v>
      </c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</row>
    <row r="366" spans="1:17">
      <c r="A366" s="2">
        <v>2314</v>
      </c>
      <c r="B366" s="7">
        <v>0</v>
      </c>
      <c r="C366" s="7">
        <v>0</v>
      </c>
      <c r="D366" s="7">
        <v>0</v>
      </c>
      <c r="E366" s="7">
        <v>0</v>
      </c>
      <c r="F366" s="7">
        <v>0</v>
      </c>
      <c r="G366" s="7">
        <v>0</v>
      </c>
      <c r="H366" s="7">
        <v>0</v>
      </c>
      <c r="I366" s="7">
        <v>0</v>
      </c>
      <c r="J366" s="7">
        <v>0</v>
      </c>
      <c r="K366" s="7">
        <v>0</v>
      </c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</row>
    <row r="367" spans="1:17">
      <c r="A367" s="2">
        <v>2315</v>
      </c>
      <c r="B367" s="7">
        <v>0</v>
      </c>
      <c r="C367" s="7">
        <v>0</v>
      </c>
      <c r="D367" s="7">
        <v>0</v>
      </c>
      <c r="E367" s="7">
        <v>0</v>
      </c>
      <c r="F367" s="7">
        <v>0</v>
      </c>
      <c r="G367" s="7">
        <v>0</v>
      </c>
      <c r="H367" s="7">
        <v>0</v>
      </c>
      <c r="I367" s="7">
        <v>0</v>
      </c>
      <c r="J367" s="7">
        <v>0</v>
      </c>
      <c r="K367" s="7">
        <v>0</v>
      </c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</row>
    <row r="368" spans="1:17">
      <c r="A368" s="2">
        <v>2316</v>
      </c>
      <c r="B368" s="7">
        <v>0</v>
      </c>
      <c r="C368" s="7">
        <v>0</v>
      </c>
      <c r="D368" s="7">
        <v>0</v>
      </c>
      <c r="E368" s="7">
        <v>0</v>
      </c>
      <c r="F368" s="7">
        <v>0</v>
      </c>
      <c r="G368" s="7">
        <v>0</v>
      </c>
      <c r="H368" s="7">
        <v>0</v>
      </c>
      <c r="I368" s="7">
        <v>0</v>
      </c>
      <c r="J368" s="7">
        <v>0</v>
      </c>
      <c r="K368" s="7">
        <v>0</v>
      </c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</row>
    <row r="369" spans="1:17">
      <c r="A369" s="2">
        <v>2317</v>
      </c>
      <c r="B369" s="7">
        <v>0</v>
      </c>
      <c r="C369" s="7">
        <v>0</v>
      </c>
      <c r="D369" s="7">
        <v>0</v>
      </c>
      <c r="E369" s="7">
        <v>0</v>
      </c>
      <c r="F369" s="7">
        <v>0</v>
      </c>
      <c r="G369" s="7">
        <v>0</v>
      </c>
      <c r="H369" s="7">
        <v>0</v>
      </c>
      <c r="I369" s="7">
        <v>0</v>
      </c>
      <c r="J369" s="7">
        <v>0</v>
      </c>
      <c r="K369" s="7">
        <v>0</v>
      </c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</row>
    <row r="370" spans="1:17">
      <c r="A370" s="2">
        <v>2318</v>
      </c>
      <c r="B370" s="7">
        <v>0</v>
      </c>
      <c r="C370" s="7">
        <v>0</v>
      </c>
      <c r="D370" s="7">
        <v>0</v>
      </c>
      <c r="E370" s="7">
        <v>0</v>
      </c>
      <c r="F370" s="7">
        <v>0</v>
      </c>
      <c r="G370" s="7">
        <v>0</v>
      </c>
      <c r="H370" s="7">
        <v>0</v>
      </c>
      <c r="I370" s="7">
        <v>0</v>
      </c>
      <c r="J370" s="7">
        <v>0</v>
      </c>
      <c r="K370" s="7">
        <v>0</v>
      </c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</row>
    <row r="371" spans="1:17">
      <c r="A371" s="2">
        <v>2319</v>
      </c>
      <c r="B371" s="7">
        <v>0</v>
      </c>
      <c r="C371" s="7">
        <v>0</v>
      </c>
      <c r="D371" s="7">
        <v>0</v>
      </c>
      <c r="E371" s="7">
        <v>0</v>
      </c>
      <c r="F371" s="7">
        <v>0</v>
      </c>
      <c r="G371" s="7">
        <v>0</v>
      </c>
      <c r="H371" s="7">
        <v>0</v>
      </c>
      <c r="I371" s="7">
        <v>0</v>
      </c>
      <c r="J371" s="7">
        <v>0</v>
      </c>
      <c r="K371" s="7">
        <v>0</v>
      </c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</row>
    <row r="372" spans="1:17">
      <c r="A372" s="2">
        <v>2320</v>
      </c>
      <c r="B372" s="7">
        <v>0</v>
      </c>
      <c r="C372" s="7">
        <v>0</v>
      </c>
      <c r="D372" s="7">
        <v>0</v>
      </c>
      <c r="E372" s="7">
        <v>0</v>
      </c>
      <c r="F372" s="7">
        <v>0</v>
      </c>
      <c r="G372" s="7">
        <v>0</v>
      </c>
      <c r="H372" s="7">
        <v>0</v>
      </c>
      <c r="I372" s="7">
        <v>0</v>
      </c>
      <c r="J372" s="7">
        <v>0</v>
      </c>
      <c r="K372" s="7">
        <v>0</v>
      </c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</row>
    <row r="373" spans="1:17">
      <c r="A373" s="2">
        <v>2321</v>
      </c>
      <c r="B373" s="7">
        <v>0</v>
      </c>
      <c r="C373" s="7">
        <v>0</v>
      </c>
      <c r="D373" s="7">
        <v>0</v>
      </c>
      <c r="E373" s="7">
        <v>0</v>
      </c>
      <c r="F373" s="7">
        <v>0</v>
      </c>
      <c r="G373" s="7">
        <v>0</v>
      </c>
      <c r="H373" s="7">
        <v>0</v>
      </c>
      <c r="I373" s="7">
        <v>0</v>
      </c>
      <c r="J373" s="7">
        <v>0</v>
      </c>
      <c r="K373" s="7">
        <v>0</v>
      </c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</row>
    <row r="374" spans="1:17">
      <c r="A374" s="2">
        <v>2322</v>
      </c>
      <c r="B374" s="7">
        <v>0</v>
      </c>
      <c r="C374" s="7">
        <v>0</v>
      </c>
      <c r="D374" s="7">
        <v>0</v>
      </c>
      <c r="E374" s="7">
        <v>0</v>
      </c>
      <c r="F374" s="7">
        <v>0</v>
      </c>
      <c r="G374" s="7">
        <v>0</v>
      </c>
      <c r="H374" s="7">
        <v>0</v>
      </c>
      <c r="I374" s="7">
        <v>0</v>
      </c>
      <c r="J374" s="7">
        <v>0</v>
      </c>
      <c r="K374" s="7">
        <v>0</v>
      </c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</row>
    <row r="375" spans="1:17">
      <c r="A375" s="2">
        <v>2323</v>
      </c>
      <c r="B375" s="7">
        <v>0</v>
      </c>
      <c r="C375" s="7">
        <v>0</v>
      </c>
      <c r="D375" s="7">
        <v>0</v>
      </c>
      <c r="E375" s="7">
        <v>0</v>
      </c>
      <c r="F375" s="7">
        <v>0</v>
      </c>
      <c r="G375" s="7">
        <v>0</v>
      </c>
      <c r="H375" s="7">
        <v>0</v>
      </c>
      <c r="I375" s="7">
        <v>0</v>
      </c>
      <c r="J375" s="7">
        <v>0</v>
      </c>
      <c r="K375" s="7">
        <v>0</v>
      </c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</row>
    <row r="376" spans="1:17">
      <c r="A376" s="2">
        <v>2324</v>
      </c>
      <c r="B376" s="7">
        <v>0</v>
      </c>
      <c r="C376" s="7">
        <v>0</v>
      </c>
      <c r="D376" s="7">
        <v>0</v>
      </c>
      <c r="E376" s="7">
        <v>0</v>
      </c>
      <c r="F376" s="7">
        <v>0</v>
      </c>
      <c r="G376" s="7">
        <v>0</v>
      </c>
      <c r="H376" s="7">
        <v>0</v>
      </c>
      <c r="I376" s="7">
        <v>0</v>
      </c>
      <c r="J376" s="7">
        <v>0</v>
      </c>
      <c r="K376" s="7">
        <v>0</v>
      </c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</row>
    <row r="377" spans="1:17">
      <c r="A377" s="2">
        <v>2325</v>
      </c>
      <c r="B377" s="7">
        <v>0</v>
      </c>
      <c r="C377" s="7">
        <v>0</v>
      </c>
      <c r="D377" s="7">
        <v>0</v>
      </c>
      <c r="E377" s="7">
        <v>0</v>
      </c>
      <c r="F377" s="7">
        <v>0</v>
      </c>
      <c r="G377" s="7">
        <v>0</v>
      </c>
      <c r="H377" s="7">
        <v>0</v>
      </c>
      <c r="I377" s="7">
        <v>0</v>
      </c>
      <c r="J377" s="7">
        <v>0</v>
      </c>
      <c r="K377" s="7">
        <v>0</v>
      </c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</row>
    <row r="378" spans="1:17">
      <c r="A378" s="2">
        <v>2326</v>
      </c>
      <c r="B378" s="7">
        <v>0</v>
      </c>
      <c r="C378" s="7">
        <v>0</v>
      </c>
      <c r="D378" s="7">
        <v>0</v>
      </c>
      <c r="E378" s="7">
        <v>0</v>
      </c>
      <c r="F378" s="7">
        <v>0</v>
      </c>
      <c r="G378" s="7">
        <v>0</v>
      </c>
      <c r="H378" s="7">
        <v>0</v>
      </c>
      <c r="I378" s="7">
        <v>0</v>
      </c>
      <c r="J378" s="7">
        <v>0</v>
      </c>
      <c r="K378" s="7">
        <v>0</v>
      </c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</row>
    <row r="379" spans="1:17">
      <c r="A379" s="2">
        <v>2327</v>
      </c>
      <c r="B379" s="7">
        <v>0</v>
      </c>
      <c r="C379" s="7">
        <v>0</v>
      </c>
      <c r="D379" s="7">
        <v>0</v>
      </c>
      <c r="E379" s="7">
        <v>0</v>
      </c>
      <c r="F379" s="7">
        <v>0</v>
      </c>
      <c r="G379" s="7">
        <v>0</v>
      </c>
      <c r="H379" s="7">
        <v>0</v>
      </c>
      <c r="I379" s="7">
        <v>0</v>
      </c>
      <c r="J379" s="7">
        <v>0</v>
      </c>
      <c r="K379" s="7">
        <v>0</v>
      </c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</row>
    <row r="380" spans="1:17">
      <c r="A380" s="2">
        <v>2328</v>
      </c>
      <c r="B380" s="7">
        <v>0</v>
      </c>
      <c r="C380" s="7">
        <v>0</v>
      </c>
      <c r="D380" s="7">
        <v>0</v>
      </c>
      <c r="E380" s="7">
        <v>0</v>
      </c>
      <c r="F380" s="7">
        <v>0</v>
      </c>
      <c r="G380" s="7">
        <v>0</v>
      </c>
      <c r="H380" s="7">
        <v>0</v>
      </c>
      <c r="I380" s="7">
        <v>0</v>
      </c>
      <c r="J380" s="7">
        <v>0</v>
      </c>
      <c r="K380" s="7">
        <v>0</v>
      </c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</row>
    <row r="381" spans="1:17">
      <c r="A381" s="2">
        <v>2329</v>
      </c>
      <c r="B381" s="7">
        <v>0</v>
      </c>
      <c r="C381" s="7">
        <v>0</v>
      </c>
      <c r="D381" s="7">
        <v>0</v>
      </c>
      <c r="E381" s="7">
        <v>0</v>
      </c>
      <c r="F381" s="7">
        <v>0</v>
      </c>
      <c r="G381" s="7">
        <v>0</v>
      </c>
      <c r="H381" s="7">
        <v>0</v>
      </c>
      <c r="I381" s="7">
        <v>0</v>
      </c>
      <c r="J381" s="7">
        <v>0</v>
      </c>
      <c r="K381" s="7">
        <v>0</v>
      </c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</row>
    <row r="382" spans="1:17">
      <c r="A382" s="2">
        <v>2330</v>
      </c>
      <c r="B382" s="7">
        <v>0</v>
      </c>
      <c r="C382" s="7">
        <v>0</v>
      </c>
      <c r="D382" s="7">
        <v>0</v>
      </c>
      <c r="E382" s="7">
        <v>0</v>
      </c>
      <c r="F382" s="7">
        <v>0</v>
      </c>
      <c r="G382" s="7">
        <v>0</v>
      </c>
      <c r="H382" s="7">
        <v>0</v>
      </c>
      <c r="I382" s="7">
        <v>0</v>
      </c>
      <c r="J382" s="7">
        <v>0</v>
      </c>
      <c r="K382" s="7">
        <v>0</v>
      </c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</row>
    <row r="383" spans="1:17">
      <c r="A383" s="2">
        <v>2331</v>
      </c>
      <c r="B383" s="7">
        <v>0</v>
      </c>
      <c r="C383" s="7">
        <v>0</v>
      </c>
      <c r="D383" s="7">
        <v>0</v>
      </c>
      <c r="E383" s="7">
        <v>0</v>
      </c>
      <c r="F383" s="7">
        <v>0</v>
      </c>
      <c r="G383" s="7">
        <v>0</v>
      </c>
      <c r="H383" s="7">
        <v>0</v>
      </c>
      <c r="I383" s="7">
        <v>0</v>
      </c>
      <c r="J383" s="7">
        <v>0</v>
      </c>
      <c r="K383" s="7">
        <v>0</v>
      </c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</row>
    <row r="384" spans="1:17">
      <c r="A384" s="2">
        <v>2332</v>
      </c>
      <c r="B384" s="7">
        <v>0</v>
      </c>
      <c r="C384" s="7">
        <v>0</v>
      </c>
      <c r="D384" s="7">
        <v>0</v>
      </c>
      <c r="E384" s="7">
        <v>0</v>
      </c>
      <c r="F384" s="7">
        <v>0</v>
      </c>
      <c r="G384" s="7">
        <v>0</v>
      </c>
      <c r="H384" s="7">
        <v>0</v>
      </c>
      <c r="I384" s="7">
        <v>0</v>
      </c>
      <c r="J384" s="7">
        <v>0</v>
      </c>
      <c r="K384" s="7">
        <v>0</v>
      </c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</row>
    <row r="385" spans="1:17">
      <c r="A385" s="2">
        <v>2333</v>
      </c>
      <c r="B385" s="7">
        <v>0</v>
      </c>
      <c r="C385" s="7">
        <v>0</v>
      </c>
      <c r="D385" s="7">
        <v>0</v>
      </c>
      <c r="E385" s="7">
        <v>0</v>
      </c>
      <c r="F385" s="7">
        <v>0</v>
      </c>
      <c r="G385" s="7">
        <v>0</v>
      </c>
      <c r="H385" s="7">
        <v>0</v>
      </c>
      <c r="I385" s="7">
        <v>0</v>
      </c>
      <c r="J385" s="7">
        <v>0</v>
      </c>
      <c r="K385" s="7">
        <v>0</v>
      </c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</row>
    <row r="386" spans="1:17">
      <c r="A386" s="2">
        <v>2334</v>
      </c>
      <c r="B386" s="7">
        <v>0</v>
      </c>
      <c r="C386" s="7">
        <v>0</v>
      </c>
      <c r="D386" s="7">
        <v>0</v>
      </c>
      <c r="E386" s="7">
        <v>0</v>
      </c>
      <c r="F386" s="7">
        <v>0</v>
      </c>
      <c r="G386" s="7">
        <v>0</v>
      </c>
      <c r="H386" s="7">
        <v>0</v>
      </c>
      <c r="I386" s="7">
        <v>0</v>
      </c>
      <c r="J386" s="7">
        <v>0</v>
      </c>
      <c r="K386" s="7">
        <v>0</v>
      </c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</row>
    <row r="387" spans="1:17">
      <c r="A387" s="2">
        <v>2335</v>
      </c>
      <c r="B387" s="7">
        <v>0</v>
      </c>
      <c r="C387" s="7">
        <v>0</v>
      </c>
      <c r="D387" s="7">
        <v>0</v>
      </c>
      <c r="E387" s="7">
        <v>0</v>
      </c>
      <c r="F387" s="7">
        <v>0</v>
      </c>
      <c r="G387" s="7">
        <v>0</v>
      </c>
      <c r="H387" s="7">
        <v>0</v>
      </c>
      <c r="I387" s="7">
        <v>0</v>
      </c>
      <c r="J387" s="7">
        <v>0</v>
      </c>
      <c r="K387" s="7">
        <v>0</v>
      </c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</row>
    <row r="388" spans="1:17">
      <c r="A388" s="2">
        <v>2336</v>
      </c>
      <c r="B388" s="7">
        <v>0</v>
      </c>
      <c r="C388" s="7">
        <v>0</v>
      </c>
      <c r="D388" s="7">
        <v>0</v>
      </c>
      <c r="E388" s="7">
        <v>0</v>
      </c>
      <c r="F388" s="7">
        <v>0</v>
      </c>
      <c r="G388" s="7">
        <v>0</v>
      </c>
      <c r="H388" s="7">
        <v>0</v>
      </c>
      <c r="I388" s="7">
        <v>0</v>
      </c>
      <c r="J388" s="7">
        <v>0</v>
      </c>
      <c r="K388" s="7">
        <v>0</v>
      </c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</row>
    <row r="389" spans="1:17">
      <c r="A389" s="2">
        <v>2337</v>
      </c>
      <c r="B389" s="7">
        <v>0</v>
      </c>
      <c r="C389" s="7">
        <v>0</v>
      </c>
      <c r="D389" s="7">
        <v>0</v>
      </c>
      <c r="E389" s="7">
        <v>0</v>
      </c>
      <c r="F389" s="7">
        <v>0</v>
      </c>
      <c r="G389" s="7">
        <v>0</v>
      </c>
      <c r="H389" s="7">
        <v>0</v>
      </c>
      <c r="I389" s="7">
        <v>0</v>
      </c>
      <c r="J389" s="7">
        <v>0</v>
      </c>
      <c r="K389" s="7">
        <v>0</v>
      </c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</row>
    <row r="390" spans="1:17">
      <c r="A390" s="2">
        <v>2338</v>
      </c>
      <c r="B390" s="7">
        <v>0</v>
      </c>
      <c r="C390" s="7">
        <v>0</v>
      </c>
      <c r="D390" s="7">
        <v>0</v>
      </c>
      <c r="E390" s="7">
        <v>0</v>
      </c>
      <c r="F390" s="7">
        <v>0</v>
      </c>
      <c r="G390" s="7">
        <v>0</v>
      </c>
      <c r="H390" s="7">
        <v>0</v>
      </c>
      <c r="I390" s="7">
        <v>0</v>
      </c>
      <c r="J390" s="7">
        <v>0</v>
      </c>
      <c r="K390" s="7">
        <v>0</v>
      </c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</row>
    <row r="391" spans="1:17">
      <c r="A391" s="2">
        <v>2339</v>
      </c>
      <c r="B391" s="7">
        <v>0</v>
      </c>
      <c r="C391" s="7">
        <v>0</v>
      </c>
      <c r="D391" s="7">
        <v>0</v>
      </c>
      <c r="E391" s="7">
        <v>0</v>
      </c>
      <c r="F391" s="7">
        <v>0</v>
      </c>
      <c r="G391" s="7">
        <v>0</v>
      </c>
      <c r="H391" s="7">
        <v>0</v>
      </c>
      <c r="I391" s="7">
        <v>0</v>
      </c>
      <c r="J391" s="7">
        <v>0</v>
      </c>
      <c r="K391" s="7">
        <v>0</v>
      </c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</row>
    <row r="392" spans="1:17">
      <c r="A392" s="2">
        <v>2340</v>
      </c>
      <c r="B392" s="7">
        <v>0</v>
      </c>
      <c r="C392" s="7">
        <v>0</v>
      </c>
      <c r="D392" s="7">
        <v>0</v>
      </c>
      <c r="E392" s="7">
        <v>0</v>
      </c>
      <c r="F392" s="7">
        <v>0</v>
      </c>
      <c r="G392" s="7">
        <v>0</v>
      </c>
      <c r="H392" s="7">
        <v>0</v>
      </c>
      <c r="I392" s="7">
        <v>0</v>
      </c>
      <c r="J392" s="7">
        <v>0</v>
      </c>
      <c r="K392" s="7">
        <v>0</v>
      </c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</row>
    <row r="393" spans="1:17">
      <c r="A393" s="2">
        <v>2341</v>
      </c>
      <c r="B393" s="7">
        <v>0</v>
      </c>
      <c r="C393" s="7">
        <v>0</v>
      </c>
      <c r="D393" s="7">
        <v>0</v>
      </c>
      <c r="E393" s="7">
        <v>0</v>
      </c>
      <c r="F393" s="7">
        <v>0</v>
      </c>
      <c r="G393" s="7">
        <v>0</v>
      </c>
      <c r="H393" s="7">
        <v>0</v>
      </c>
      <c r="I393" s="7">
        <v>0</v>
      </c>
      <c r="J393" s="7">
        <v>0</v>
      </c>
      <c r="K393" s="7">
        <v>0</v>
      </c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</row>
    <row r="394" spans="1:17">
      <c r="A394" s="2">
        <v>2342</v>
      </c>
      <c r="B394" s="7">
        <v>0</v>
      </c>
      <c r="C394" s="7">
        <v>0</v>
      </c>
      <c r="D394" s="7">
        <v>0</v>
      </c>
      <c r="E394" s="7">
        <v>0</v>
      </c>
      <c r="F394" s="7">
        <v>0</v>
      </c>
      <c r="G394" s="7">
        <v>0</v>
      </c>
      <c r="H394" s="7">
        <v>0</v>
      </c>
      <c r="I394" s="7">
        <v>0</v>
      </c>
      <c r="J394" s="7">
        <v>0</v>
      </c>
      <c r="K394" s="7">
        <v>0</v>
      </c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</row>
    <row r="395" spans="1:17">
      <c r="A395" s="2">
        <v>2343</v>
      </c>
      <c r="B395" s="7">
        <v>0</v>
      </c>
      <c r="C395" s="7">
        <v>0</v>
      </c>
      <c r="D395" s="7">
        <v>0</v>
      </c>
      <c r="E395" s="7">
        <v>0</v>
      </c>
      <c r="F395" s="7">
        <v>0</v>
      </c>
      <c r="G395" s="7">
        <v>0</v>
      </c>
      <c r="H395" s="7">
        <v>0</v>
      </c>
      <c r="I395" s="7">
        <v>0</v>
      </c>
      <c r="J395" s="7">
        <v>0</v>
      </c>
      <c r="K395" s="7">
        <v>0</v>
      </c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</row>
    <row r="396" spans="1:17">
      <c r="A396" s="2">
        <v>2344</v>
      </c>
      <c r="B396" s="7">
        <v>0</v>
      </c>
      <c r="C396" s="7">
        <v>0</v>
      </c>
      <c r="D396" s="7">
        <v>0</v>
      </c>
      <c r="E396" s="7">
        <v>0</v>
      </c>
      <c r="F396" s="7">
        <v>0</v>
      </c>
      <c r="G396" s="7">
        <v>0</v>
      </c>
      <c r="H396" s="7">
        <v>0</v>
      </c>
      <c r="I396" s="7">
        <v>0</v>
      </c>
      <c r="J396" s="7">
        <v>0</v>
      </c>
      <c r="K396" s="7">
        <v>0</v>
      </c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</row>
    <row r="397" spans="1:17">
      <c r="A397" s="2">
        <v>2345</v>
      </c>
      <c r="B397" s="7">
        <v>0</v>
      </c>
      <c r="C397" s="7">
        <v>0</v>
      </c>
      <c r="D397" s="7">
        <v>0</v>
      </c>
      <c r="E397" s="7">
        <v>0</v>
      </c>
      <c r="F397" s="7">
        <v>0</v>
      </c>
      <c r="G397" s="7">
        <v>0</v>
      </c>
      <c r="H397" s="7">
        <v>0</v>
      </c>
      <c r="I397" s="7">
        <v>0</v>
      </c>
      <c r="J397" s="7">
        <v>0</v>
      </c>
      <c r="K397" s="7">
        <v>0</v>
      </c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</row>
    <row r="398" spans="1:17">
      <c r="A398" s="2">
        <v>2346</v>
      </c>
      <c r="B398" s="7">
        <v>0</v>
      </c>
      <c r="C398" s="7">
        <v>0</v>
      </c>
      <c r="D398" s="7">
        <v>0</v>
      </c>
      <c r="E398" s="7">
        <v>0</v>
      </c>
      <c r="F398" s="7">
        <v>0</v>
      </c>
      <c r="G398" s="7">
        <v>0</v>
      </c>
      <c r="H398" s="7">
        <v>0</v>
      </c>
      <c r="I398" s="7">
        <v>0</v>
      </c>
      <c r="J398" s="7">
        <v>0</v>
      </c>
      <c r="K398" s="7">
        <v>0</v>
      </c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</row>
    <row r="399" spans="1:17">
      <c r="A399" s="2">
        <v>2347</v>
      </c>
      <c r="B399" s="7">
        <v>0</v>
      </c>
      <c r="C399" s="7">
        <v>0</v>
      </c>
      <c r="D399" s="7">
        <v>0</v>
      </c>
      <c r="E399" s="7">
        <v>0</v>
      </c>
      <c r="F399" s="7">
        <v>0</v>
      </c>
      <c r="G399" s="7">
        <v>0</v>
      </c>
      <c r="H399" s="7">
        <v>0</v>
      </c>
      <c r="I399" s="7">
        <v>0</v>
      </c>
      <c r="J399" s="7">
        <v>0</v>
      </c>
      <c r="K399" s="7">
        <v>0</v>
      </c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</row>
    <row r="400" spans="1:17">
      <c r="A400" s="2">
        <v>2348</v>
      </c>
      <c r="B400" s="7">
        <v>0</v>
      </c>
      <c r="C400" s="7">
        <v>0</v>
      </c>
      <c r="D400" s="7">
        <v>0</v>
      </c>
      <c r="E400" s="7">
        <v>0</v>
      </c>
      <c r="F400" s="7">
        <v>0</v>
      </c>
      <c r="G400" s="7">
        <v>0</v>
      </c>
      <c r="H400" s="7">
        <v>0</v>
      </c>
      <c r="I400" s="7">
        <v>0</v>
      </c>
      <c r="J400" s="7">
        <v>0</v>
      </c>
      <c r="K400" s="7">
        <v>0</v>
      </c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</row>
    <row r="401" spans="1:17">
      <c r="A401" s="2">
        <v>2349</v>
      </c>
      <c r="B401" s="7">
        <v>0</v>
      </c>
      <c r="C401" s="7">
        <v>0</v>
      </c>
      <c r="D401" s="7">
        <v>0</v>
      </c>
      <c r="E401" s="7">
        <v>0</v>
      </c>
      <c r="F401" s="7">
        <v>0</v>
      </c>
      <c r="G401" s="7">
        <v>0</v>
      </c>
      <c r="H401" s="7">
        <v>0</v>
      </c>
      <c r="I401" s="7">
        <v>0</v>
      </c>
      <c r="J401" s="7">
        <v>0</v>
      </c>
      <c r="K401" s="7">
        <v>0</v>
      </c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</row>
    <row r="402" spans="1:17">
      <c r="A402" s="2">
        <v>2350</v>
      </c>
      <c r="B402" s="7">
        <v>0</v>
      </c>
      <c r="C402" s="7">
        <v>0</v>
      </c>
      <c r="D402" s="7">
        <v>0</v>
      </c>
      <c r="E402" s="7">
        <v>0</v>
      </c>
      <c r="F402" s="7">
        <v>0</v>
      </c>
      <c r="G402" s="7">
        <v>0</v>
      </c>
      <c r="H402" s="7">
        <v>0</v>
      </c>
      <c r="I402" s="7">
        <v>0</v>
      </c>
      <c r="J402" s="7">
        <v>0</v>
      </c>
      <c r="K402" s="7">
        <v>0</v>
      </c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</row>
    <row r="403" spans="1:17">
      <c r="A403" s="2">
        <v>2351</v>
      </c>
      <c r="B403" s="7">
        <v>0</v>
      </c>
      <c r="C403" s="7">
        <v>0</v>
      </c>
      <c r="D403" s="7">
        <v>0</v>
      </c>
      <c r="E403" s="7">
        <v>0</v>
      </c>
      <c r="F403" s="7">
        <v>0</v>
      </c>
      <c r="G403" s="7">
        <v>0</v>
      </c>
      <c r="H403" s="7">
        <v>0</v>
      </c>
      <c r="I403" s="7">
        <v>0</v>
      </c>
      <c r="J403" s="7">
        <v>0</v>
      </c>
      <c r="K403" s="7">
        <v>0</v>
      </c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</row>
    <row r="404" spans="1:17">
      <c r="A404" s="2">
        <v>2352</v>
      </c>
      <c r="B404" s="7">
        <v>0</v>
      </c>
      <c r="C404" s="7">
        <v>0</v>
      </c>
      <c r="D404" s="7">
        <v>0</v>
      </c>
      <c r="E404" s="7">
        <v>0</v>
      </c>
      <c r="F404" s="7">
        <v>0</v>
      </c>
      <c r="G404" s="7">
        <v>0</v>
      </c>
      <c r="H404" s="7">
        <v>0</v>
      </c>
      <c r="I404" s="7">
        <v>0</v>
      </c>
      <c r="J404" s="7">
        <v>0</v>
      </c>
      <c r="K404" s="7">
        <v>0</v>
      </c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</row>
    <row r="405" spans="1:17">
      <c r="A405" s="2">
        <v>2353</v>
      </c>
      <c r="B405" s="7">
        <v>0</v>
      </c>
      <c r="C405" s="7">
        <v>0</v>
      </c>
      <c r="D405" s="7">
        <v>0</v>
      </c>
      <c r="E405" s="7">
        <v>0</v>
      </c>
      <c r="F405" s="7">
        <v>0</v>
      </c>
      <c r="G405" s="7">
        <v>0</v>
      </c>
      <c r="H405" s="7">
        <v>0</v>
      </c>
      <c r="I405" s="7">
        <v>0</v>
      </c>
      <c r="J405" s="7">
        <v>0</v>
      </c>
      <c r="K405" s="7">
        <v>0</v>
      </c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</row>
    <row r="406" spans="1:17">
      <c r="A406" s="2">
        <v>2354</v>
      </c>
      <c r="B406" s="7">
        <v>0</v>
      </c>
      <c r="C406" s="7">
        <v>0</v>
      </c>
      <c r="D406" s="7">
        <v>0</v>
      </c>
      <c r="E406" s="7">
        <v>0</v>
      </c>
      <c r="F406" s="7">
        <v>0</v>
      </c>
      <c r="G406" s="7">
        <v>0</v>
      </c>
      <c r="H406" s="7">
        <v>0</v>
      </c>
      <c r="I406" s="7">
        <v>0</v>
      </c>
      <c r="J406" s="7">
        <v>0</v>
      </c>
      <c r="K406" s="7">
        <v>0</v>
      </c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</row>
    <row r="407" spans="1:17">
      <c r="A407" s="2">
        <v>2355</v>
      </c>
      <c r="B407" s="7">
        <v>0</v>
      </c>
      <c r="C407" s="7">
        <v>0</v>
      </c>
      <c r="D407" s="7">
        <v>0</v>
      </c>
      <c r="E407" s="7">
        <v>0</v>
      </c>
      <c r="F407" s="7">
        <v>0</v>
      </c>
      <c r="G407" s="7">
        <v>0</v>
      </c>
      <c r="H407" s="7">
        <v>0</v>
      </c>
      <c r="I407" s="7">
        <v>0</v>
      </c>
      <c r="J407" s="7">
        <v>0</v>
      </c>
      <c r="K407" s="7">
        <v>0</v>
      </c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</row>
    <row r="408" spans="1:17">
      <c r="A408" s="2">
        <v>2356</v>
      </c>
      <c r="B408" s="7">
        <v>0</v>
      </c>
      <c r="C408" s="7">
        <v>0</v>
      </c>
      <c r="D408" s="7">
        <v>0</v>
      </c>
      <c r="E408" s="7">
        <v>0</v>
      </c>
      <c r="F408" s="7">
        <v>0</v>
      </c>
      <c r="G408" s="7">
        <v>0</v>
      </c>
      <c r="H408" s="7">
        <v>0</v>
      </c>
      <c r="I408" s="7">
        <v>0</v>
      </c>
      <c r="J408" s="7">
        <v>0</v>
      </c>
      <c r="K408" s="7">
        <v>0</v>
      </c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</row>
    <row r="409" spans="1:17">
      <c r="A409" s="2">
        <v>2357</v>
      </c>
      <c r="B409" s="7">
        <v>0</v>
      </c>
      <c r="C409" s="7">
        <v>0</v>
      </c>
      <c r="D409" s="7">
        <v>0</v>
      </c>
      <c r="E409" s="7">
        <v>0</v>
      </c>
      <c r="F409" s="7">
        <v>0</v>
      </c>
      <c r="G409" s="7">
        <v>0</v>
      </c>
      <c r="H409" s="7">
        <v>0</v>
      </c>
      <c r="I409" s="7">
        <v>0</v>
      </c>
      <c r="J409" s="7">
        <v>0</v>
      </c>
      <c r="K409" s="7">
        <v>0</v>
      </c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</row>
    <row r="410" spans="1:17">
      <c r="A410" s="2">
        <v>2358</v>
      </c>
      <c r="B410" s="7">
        <v>0</v>
      </c>
      <c r="C410" s="7">
        <v>0</v>
      </c>
      <c r="D410" s="7">
        <v>0</v>
      </c>
      <c r="E410" s="7">
        <v>0</v>
      </c>
      <c r="F410" s="7">
        <v>0</v>
      </c>
      <c r="G410" s="7">
        <v>0</v>
      </c>
      <c r="H410" s="7">
        <v>0</v>
      </c>
      <c r="I410" s="7">
        <v>0</v>
      </c>
      <c r="J410" s="7">
        <v>0</v>
      </c>
      <c r="K410" s="7">
        <v>0</v>
      </c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</row>
    <row r="411" spans="1:17">
      <c r="A411" s="2">
        <v>2359</v>
      </c>
      <c r="B411" s="7">
        <v>0</v>
      </c>
      <c r="C411" s="7">
        <v>0</v>
      </c>
      <c r="D411" s="7">
        <v>0</v>
      </c>
      <c r="E411" s="7">
        <v>0</v>
      </c>
      <c r="F411" s="7">
        <v>0</v>
      </c>
      <c r="G411" s="7">
        <v>0</v>
      </c>
      <c r="H411" s="7">
        <v>0</v>
      </c>
      <c r="I411" s="7">
        <v>0</v>
      </c>
      <c r="J411" s="7">
        <v>0</v>
      </c>
      <c r="K411" s="7">
        <v>0</v>
      </c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</row>
    <row r="412" spans="1:17">
      <c r="A412" s="2">
        <v>2360</v>
      </c>
      <c r="B412" s="7">
        <v>0</v>
      </c>
      <c r="C412" s="7">
        <v>0</v>
      </c>
      <c r="D412" s="7">
        <v>0</v>
      </c>
      <c r="E412" s="7">
        <v>0</v>
      </c>
      <c r="F412" s="7">
        <v>0</v>
      </c>
      <c r="G412" s="7">
        <v>0</v>
      </c>
      <c r="H412" s="7">
        <v>0</v>
      </c>
      <c r="I412" s="7">
        <v>0</v>
      </c>
      <c r="J412" s="7">
        <v>0</v>
      </c>
      <c r="K412" s="7">
        <v>0</v>
      </c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</row>
    <row r="413" spans="1:17">
      <c r="A413" s="2">
        <v>2361</v>
      </c>
      <c r="B413" s="7">
        <v>0</v>
      </c>
      <c r="C413" s="7">
        <v>0</v>
      </c>
      <c r="D413" s="7">
        <v>0</v>
      </c>
      <c r="E413" s="7">
        <v>0</v>
      </c>
      <c r="F413" s="7">
        <v>0</v>
      </c>
      <c r="G413" s="7">
        <v>0</v>
      </c>
      <c r="H413" s="7">
        <v>0</v>
      </c>
      <c r="I413" s="7">
        <v>0</v>
      </c>
      <c r="J413" s="7">
        <v>0</v>
      </c>
      <c r="K413" s="7">
        <v>0</v>
      </c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</row>
    <row r="414" spans="1:17">
      <c r="A414" s="2">
        <v>2362</v>
      </c>
      <c r="B414" s="7">
        <v>0</v>
      </c>
      <c r="C414" s="7">
        <v>0</v>
      </c>
      <c r="D414" s="7">
        <v>0</v>
      </c>
      <c r="E414" s="7">
        <v>0</v>
      </c>
      <c r="F414" s="7">
        <v>0</v>
      </c>
      <c r="G414" s="7">
        <v>0</v>
      </c>
      <c r="H414" s="7">
        <v>0</v>
      </c>
      <c r="I414" s="7">
        <v>0</v>
      </c>
      <c r="J414" s="7">
        <v>0</v>
      </c>
      <c r="K414" s="7">
        <v>0</v>
      </c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</row>
    <row r="415" spans="1:17">
      <c r="A415" s="2">
        <v>2363</v>
      </c>
      <c r="B415" s="7">
        <v>0</v>
      </c>
      <c r="C415" s="7">
        <v>0</v>
      </c>
      <c r="D415" s="7">
        <v>0</v>
      </c>
      <c r="E415" s="7">
        <v>0</v>
      </c>
      <c r="F415" s="7">
        <v>0</v>
      </c>
      <c r="G415" s="7">
        <v>0</v>
      </c>
      <c r="H415" s="7">
        <v>0</v>
      </c>
      <c r="I415" s="7">
        <v>0</v>
      </c>
      <c r="J415" s="7">
        <v>0</v>
      </c>
      <c r="K415" s="7">
        <v>0</v>
      </c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</row>
    <row r="416" spans="1:17">
      <c r="A416" s="2">
        <v>2364</v>
      </c>
      <c r="B416" s="7">
        <v>0</v>
      </c>
      <c r="C416" s="7">
        <v>0</v>
      </c>
      <c r="D416" s="7">
        <v>0</v>
      </c>
      <c r="E416" s="7">
        <v>0</v>
      </c>
      <c r="F416" s="7">
        <v>0</v>
      </c>
      <c r="G416" s="7">
        <v>0</v>
      </c>
      <c r="H416" s="7">
        <v>0</v>
      </c>
      <c r="I416" s="7">
        <v>0</v>
      </c>
      <c r="J416" s="7">
        <v>0</v>
      </c>
      <c r="K416" s="7">
        <v>0</v>
      </c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</row>
    <row r="417" spans="1:17">
      <c r="A417" s="2">
        <v>2365</v>
      </c>
      <c r="B417" s="7">
        <v>0</v>
      </c>
      <c r="C417" s="7">
        <v>0</v>
      </c>
      <c r="D417" s="7">
        <v>0</v>
      </c>
      <c r="E417" s="7">
        <v>0</v>
      </c>
      <c r="F417" s="7">
        <v>0</v>
      </c>
      <c r="G417" s="7">
        <v>0</v>
      </c>
      <c r="H417" s="7">
        <v>0</v>
      </c>
      <c r="I417" s="7">
        <v>0</v>
      </c>
      <c r="J417" s="7">
        <v>0</v>
      </c>
      <c r="K417" s="7">
        <v>0</v>
      </c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</row>
    <row r="418" spans="1:17">
      <c r="A418" s="2">
        <v>2366</v>
      </c>
      <c r="B418" s="7">
        <v>0</v>
      </c>
      <c r="C418" s="7">
        <v>0</v>
      </c>
      <c r="D418" s="7">
        <v>0</v>
      </c>
      <c r="E418" s="7">
        <v>0</v>
      </c>
      <c r="F418" s="7">
        <v>0</v>
      </c>
      <c r="G418" s="7">
        <v>0</v>
      </c>
      <c r="H418" s="7">
        <v>0</v>
      </c>
      <c r="I418" s="7">
        <v>0</v>
      </c>
      <c r="J418" s="7">
        <v>0</v>
      </c>
      <c r="K418" s="7">
        <v>0</v>
      </c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</row>
    <row r="419" spans="1:17">
      <c r="A419" s="2">
        <v>2367</v>
      </c>
      <c r="B419" s="7">
        <v>0</v>
      </c>
      <c r="C419" s="7">
        <v>0</v>
      </c>
      <c r="D419" s="7">
        <v>0</v>
      </c>
      <c r="E419" s="7">
        <v>0</v>
      </c>
      <c r="F419" s="7">
        <v>0</v>
      </c>
      <c r="G419" s="7">
        <v>0</v>
      </c>
      <c r="H419" s="7">
        <v>0</v>
      </c>
      <c r="I419" s="7">
        <v>0</v>
      </c>
      <c r="J419" s="7">
        <v>0</v>
      </c>
      <c r="K419" s="7">
        <v>0</v>
      </c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</row>
    <row r="420" spans="1:17">
      <c r="A420" s="2">
        <v>2368</v>
      </c>
      <c r="B420" s="7">
        <v>0</v>
      </c>
      <c r="C420" s="7">
        <v>0</v>
      </c>
      <c r="D420" s="7">
        <v>0</v>
      </c>
      <c r="E420" s="7">
        <v>0</v>
      </c>
      <c r="F420" s="7">
        <v>0</v>
      </c>
      <c r="G420" s="7">
        <v>0</v>
      </c>
      <c r="H420" s="7">
        <v>0</v>
      </c>
      <c r="I420" s="7">
        <v>0</v>
      </c>
      <c r="J420" s="7">
        <v>0</v>
      </c>
      <c r="K420" s="7">
        <v>0</v>
      </c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</row>
    <row r="421" spans="1:17">
      <c r="A421" s="2">
        <v>2369</v>
      </c>
      <c r="B421" s="7">
        <v>0</v>
      </c>
      <c r="C421" s="7">
        <v>0</v>
      </c>
      <c r="D421" s="7">
        <v>0</v>
      </c>
      <c r="E421" s="7">
        <v>0</v>
      </c>
      <c r="F421" s="7">
        <v>0</v>
      </c>
      <c r="G421" s="7">
        <v>0</v>
      </c>
      <c r="H421" s="7">
        <v>0</v>
      </c>
      <c r="I421" s="7">
        <v>0</v>
      </c>
      <c r="J421" s="7">
        <v>0</v>
      </c>
      <c r="K421" s="7">
        <v>0</v>
      </c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</row>
    <row r="422" spans="1:17">
      <c r="A422" s="2">
        <v>2370</v>
      </c>
      <c r="B422" s="7">
        <v>0</v>
      </c>
      <c r="C422" s="7">
        <v>0</v>
      </c>
      <c r="D422" s="7">
        <v>0</v>
      </c>
      <c r="E422" s="7">
        <v>0</v>
      </c>
      <c r="F422" s="7">
        <v>0</v>
      </c>
      <c r="G422" s="7">
        <v>0</v>
      </c>
      <c r="H422" s="7">
        <v>0</v>
      </c>
      <c r="I422" s="7">
        <v>0</v>
      </c>
      <c r="J422" s="7">
        <v>0</v>
      </c>
      <c r="K422" s="7">
        <v>0</v>
      </c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</row>
    <row r="423" spans="1:17">
      <c r="A423" s="2">
        <v>2371</v>
      </c>
      <c r="B423" s="7">
        <v>0</v>
      </c>
      <c r="C423" s="7">
        <v>0</v>
      </c>
      <c r="D423" s="7">
        <v>0</v>
      </c>
      <c r="E423" s="7">
        <v>0</v>
      </c>
      <c r="F423" s="7">
        <v>0</v>
      </c>
      <c r="G423" s="7">
        <v>0</v>
      </c>
      <c r="H423" s="7">
        <v>0</v>
      </c>
      <c r="I423" s="7">
        <v>0</v>
      </c>
      <c r="J423" s="7">
        <v>0</v>
      </c>
      <c r="K423" s="7">
        <v>0</v>
      </c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</row>
    <row r="424" spans="1:17">
      <c r="A424" s="2">
        <v>2372</v>
      </c>
      <c r="B424" s="7">
        <v>0</v>
      </c>
      <c r="C424" s="7">
        <v>0</v>
      </c>
      <c r="D424" s="7">
        <v>0</v>
      </c>
      <c r="E424" s="7">
        <v>0</v>
      </c>
      <c r="F424" s="7">
        <v>0</v>
      </c>
      <c r="G424" s="7">
        <v>0</v>
      </c>
      <c r="H424" s="7">
        <v>0</v>
      </c>
      <c r="I424" s="7">
        <v>0</v>
      </c>
      <c r="J424" s="7">
        <v>0</v>
      </c>
      <c r="K424" s="7">
        <v>0</v>
      </c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</row>
    <row r="425" spans="1:17">
      <c r="A425" s="2">
        <v>2373</v>
      </c>
      <c r="B425" s="7">
        <v>0</v>
      </c>
      <c r="C425" s="7">
        <v>0</v>
      </c>
      <c r="D425" s="7">
        <v>0</v>
      </c>
      <c r="E425" s="7">
        <v>0</v>
      </c>
      <c r="F425" s="7">
        <v>0</v>
      </c>
      <c r="G425" s="7">
        <v>0</v>
      </c>
      <c r="H425" s="7">
        <v>0</v>
      </c>
      <c r="I425" s="7">
        <v>0</v>
      </c>
      <c r="J425" s="7">
        <v>0</v>
      </c>
      <c r="K425" s="7">
        <v>0</v>
      </c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</row>
    <row r="426" spans="1:17">
      <c r="A426" s="2">
        <v>2374</v>
      </c>
      <c r="B426" s="7">
        <v>0</v>
      </c>
      <c r="C426" s="7">
        <v>0</v>
      </c>
      <c r="D426" s="7">
        <v>0</v>
      </c>
      <c r="E426" s="7">
        <v>0</v>
      </c>
      <c r="F426" s="7">
        <v>0</v>
      </c>
      <c r="G426" s="7">
        <v>0</v>
      </c>
      <c r="H426" s="7">
        <v>0</v>
      </c>
      <c r="I426" s="7">
        <v>0</v>
      </c>
      <c r="J426" s="7">
        <v>0</v>
      </c>
      <c r="K426" s="7">
        <v>0</v>
      </c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</row>
    <row r="427" spans="1:17">
      <c r="A427" s="2">
        <v>2375</v>
      </c>
      <c r="B427" s="7">
        <v>0</v>
      </c>
      <c r="C427" s="7">
        <v>0</v>
      </c>
      <c r="D427" s="7">
        <v>0</v>
      </c>
      <c r="E427" s="7">
        <v>0</v>
      </c>
      <c r="F427" s="7">
        <v>0</v>
      </c>
      <c r="G427" s="7">
        <v>0</v>
      </c>
      <c r="H427" s="7">
        <v>0</v>
      </c>
      <c r="I427" s="7">
        <v>0</v>
      </c>
      <c r="J427" s="7">
        <v>0</v>
      </c>
      <c r="K427" s="7">
        <v>0</v>
      </c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</row>
    <row r="428" spans="1:17">
      <c r="A428" s="2">
        <v>2376</v>
      </c>
      <c r="B428" s="7">
        <v>0</v>
      </c>
      <c r="C428" s="7">
        <v>0</v>
      </c>
      <c r="D428" s="7">
        <v>0</v>
      </c>
      <c r="E428" s="7">
        <v>0</v>
      </c>
      <c r="F428" s="7">
        <v>0</v>
      </c>
      <c r="G428" s="7">
        <v>0</v>
      </c>
      <c r="H428" s="7">
        <v>0</v>
      </c>
      <c r="I428" s="7">
        <v>0</v>
      </c>
      <c r="J428" s="7">
        <v>0</v>
      </c>
      <c r="K428" s="7">
        <v>0</v>
      </c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</row>
    <row r="429" spans="1:17">
      <c r="A429" s="2">
        <v>2377</v>
      </c>
      <c r="B429" s="7">
        <v>0</v>
      </c>
      <c r="C429" s="7">
        <v>0</v>
      </c>
      <c r="D429" s="7">
        <v>0</v>
      </c>
      <c r="E429" s="7">
        <v>0</v>
      </c>
      <c r="F429" s="7">
        <v>0</v>
      </c>
      <c r="G429" s="7">
        <v>0</v>
      </c>
      <c r="H429" s="7">
        <v>0</v>
      </c>
      <c r="I429" s="7">
        <v>0</v>
      </c>
      <c r="J429" s="7">
        <v>0</v>
      </c>
      <c r="K429" s="7">
        <v>0</v>
      </c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</row>
    <row r="430" spans="1:17">
      <c r="A430" s="2">
        <v>2378</v>
      </c>
      <c r="B430" s="7">
        <v>0</v>
      </c>
      <c r="C430" s="7">
        <v>0</v>
      </c>
      <c r="D430" s="7">
        <v>0</v>
      </c>
      <c r="E430" s="7">
        <v>0</v>
      </c>
      <c r="F430" s="7">
        <v>0</v>
      </c>
      <c r="G430" s="7">
        <v>0</v>
      </c>
      <c r="H430" s="7">
        <v>0</v>
      </c>
      <c r="I430" s="7">
        <v>0</v>
      </c>
      <c r="J430" s="7">
        <v>0</v>
      </c>
      <c r="K430" s="7">
        <v>0</v>
      </c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</row>
    <row r="431" spans="1:17">
      <c r="A431" s="2">
        <v>2379</v>
      </c>
      <c r="B431" s="7">
        <v>0</v>
      </c>
      <c r="C431" s="7">
        <v>0</v>
      </c>
      <c r="D431" s="7">
        <v>0</v>
      </c>
      <c r="E431" s="7">
        <v>0</v>
      </c>
      <c r="F431" s="7">
        <v>0</v>
      </c>
      <c r="G431" s="7">
        <v>0</v>
      </c>
      <c r="H431" s="7">
        <v>0</v>
      </c>
      <c r="I431" s="7">
        <v>0</v>
      </c>
      <c r="J431" s="7">
        <v>0</v>
      </c>
      <c r="K431" s="7">
        <v>0</v>
      </c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</row>
    <row r="432" spans="1:17">
      <c r="A432" s="2">
        <v>2380</v>
      </c>
      <c r="B432" s="7">
        <v>0</v>
      </c>
      <c r="C432" s="7">
        <v>0</v>
      </c>
      <c r="D432" s="7">
        <v>0</v>
      </c>
      <c r="E432" s="7">
        <v>0</v>
      </c>
      <c r="F432" s="7">
        <v>0</v>
      </c>
      <c r="G432" s="7">
        <v>0</v>
      </c>
      <c r="H432" s="7">
        <v>0</v>
      </c>
      <c r="I432" s="7">
        <v>0</v>
      </c>
      <c r="J432" s="7">
        <v>0</v>
      </c>
      <c r="K432" s="7">
        <v>0</v>
      </c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</row>
    <row r="433" spans="1:17">
      <c r="A433" s="2">
        <v>2381</v>
      </c>
      <c r="B433" s="7">
        <v>0</v>
      </c>
      <c r="C433" s="7">
        <v>0</v>
      </c>
      <c r="D433" s="7">
        <v>0</v>
      </c>
      <c r="E433" s="7">
        <v>0</v>
      </c>
      <c r="F433" s="7">
        <v>0</v>
      </c>
      <c r="G433" s="7">
        <v>0</v>
      </c>
      <c r="H433" s="7">
        <v>0</v>
      </c>
      <c r="I433" s="7">
        <v>0</v>
      </c>
      <c r="J433" s="7">
        <v>0</v>
      </c>
      <c r="K433" s="7">
        <v>0</v>
      </c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</row>
    <row r="434" spans="1:17">
      <c r="A434" s="2">
        <v>2382</v>
      </c>
      <c r="B434" s="7">
        <v>0</v>
      </c>
      <c r="C434" s="7">
        <v>0</v>
      </c>
      <c r="D434" s="7">
        <v>0</v>
      </c>
      <c r="E434" s="7">
        <v>0</v>
      </c>
      <c r="F434" s="7">
        <v>0</v>
      </c>
      <c r="G434" s="7">
        <v>0</v>
      </c>
      <c r="H434" s="7">
        <v>0</v>
      </c>
      <c r="I434" s="7">
        <v>0</v>
      </c>
      <c r="J434" s="7">
        <v>0</v>
      </c>
      <c r="K434" s="7">
        <v>0</v>
      </c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</row>
    <row r="435" spans="1:17">
      <c r="A435" s="2">
        <v>2383</v>
      </c>
      <c r="B435" s="7">
        <v>0</v>
      </c>
      <c r="C435" s="7">
        <v>0</v>
      </c>
      <c r="D435" s="7">
        <v>0</v>
      </c>
      <c r="E435" s="7">
        <v>0</v>
      </c>
      <c r="F435" s="7">
        <v>0</v>
      </c>
      <c r="G435" s="7">
        <v>0</v>
      </c>
      <c r="H435" s="7">
        <v>0</v>
      </c>
      <c r="I435" s="7">
        <v>0</v>
      </c>
      <c r="J435" s="7">
        <v>0</v>
      </c>
      <c r="K435" s="7">
        <v>0</v>
      </c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</row>
    <row r="436" spans="1:17">
      <c r="A436" s="2">
        <v>2384</v>
      </c>
      <c r="B436" s="7">
        <v>0</v>
      </c>
      <c r="C436" s="7">
        <v>0</v>
      </c>
      <c r="D436" s="7">
        <v>0</v>
      </c>
      <c r="E436" s="7">
        <v>0</v>
      </c>
      <c r="F436" s="7">
        <v>0</v>
      </c>
      <c r="G436" s="7">
        <v>0</v>
      </c>
      <c r="H436" s="7">
        <v>0</v>
      </c>
      <c r="I436" s="7">
        <v>0</v>
      </c>
      <c r="J436" s="7">
        <v>0</v>
      </c>
      <c r="K436" s="7">
        <v>0</v>
      </c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</row>
    <row r="437" spans="1:17">
      <c r="A437" s="2">
        <v>2385</v>
      </c>
      <c r="B437" s="7">
        <v>0</v>
      </c>
      <c r="C437" s="7">
        <v>0</v>
      </c>
      <c r="D437" s="7">
        <v>0</v>
      </c>
      <c r="E437" s="7">
        <v>0</v>
      </c>
      <c r="F437" s="7">
        <v>0</v>
      </c>
      <c r="G437" s="7">
        <v>0</v>
      </c>
      <c r="H437" s="7">
        <v>0</v>
      </c>
      <c r="I437" s="7">
        <v>0</v>
      </c>
      <c r="J437" s="7">
        <v>0</v>
      </c>
      <c r="K437" s="7">
        <v>0</v>
      </c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</row>
    <row r="438" spans="1:17">
      <c r="A438" s="2">
        <v>2386</v>
      </c>
      <c r="B438" s="7">
        <v>0</v>
      </c>
      <c r="C438" s="7">
        <v>0</v>
      </c>
      <c r="D438" s="7">
        <v>0</v>
      </c>
      <c r="E438" s="7">
        <v>0</v>
      </c>
      <c r="F438" s="7">
        <v>0</v>
      </c>
      <c r="G438" s="7">
        <v>0</v>
      </c>
      <c r="H438" s="7">
        <v>0</v>
      </c>
      <c r="I438" s="7">
        <v>0</v>
      </c>
      <c r="J438" s="7">
        <v>0</v>
      </c>
      <c r="K438" s="7">
        <v>0</v>
      </c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</row>
    <row r="439" spans="1:17">
      <c r="A439" s="2">
        <v>2387</v>
      </c>
      <c r="B439" s="7">
        <v>0</v>
      </c>
      <c r="C439" s="7">
        <v>0</v>
      </c>
      <c r="D439" s="7">
        <v>0</v>
      </c>
      <c r="E439" s="7">
        <v>0</v>
      </c>
      <c r="F439" s="7">
        <v>0</v>
      </c>
      <c r="G439" s="7">
        <v>0</v>
      </c>
      <c r="H439" s="7">
        <v>0</v>
      </c>
      <c r="I439" s="7">
        <v>0</v>
      </c>
      <c r="J439" s="7">
        <v>0</v>
      </c>
      <c r="K439" s="7">
        <v>0</v>
      </c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</row>
    <row r="440" spans="1:17">
      <c r="A440" s="2">
        <v>2388</v>
      </c>
      <c r="B440" s="7">
        <v>0</v>
      </c>
      <c r="C440" s="7">
        <v>0</v>
      </c>
      <c r="D440" s="7">
        <v>0</v>
      </c>
      <c r="E440" s="7">
        <v>0</v>
      </c>
      <c r="F440" s="7">
        <v>0</v>
      </c>
      <c r="G440" s="7">
        <v>0</v>
      </c>
      <c r="H440" s="7">
        <v>0</v>
      </c>
      <c r="I440" s="7">
        <v>0</v>
      </c>
      <c r="J440" s="7">
        <v>0</v>
      </c>
      <c r="K440" s="7">
        <v>0</v>
      </c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</row>
    <row r="441" spans="1:17">
      <c r="A441" s="2">
        <v>2389</v>
      </c>
      <c r="B441" s="7">
        <v>0</v>
      </c>
      <c r="C441" s="7">
        <v>0</v>
      </c>
      <c r="D441" s="7">
        <v>0</v>
      </c>
      <c r="E441" s="7">
        <v>0</v>
      </c>
      <c r="F441" s="7">
        <v>0</v>
      </c>
      <c r="G441" s="7">
        <v>0</v>
      </c>
      <c r="H441" s="7">
        <v>0</v>
      </c>
      <c r="I441" s="7">
        <v>0</v>
      </c>
      <c r="J441" s="7">
        <v>0</v>
      </c>
      <c r="K441" s="7">
        <v>0</v>
      </c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</row>
    <row r="442" spans="1:17">
      <c r="A442" s="2">
        <v>2390</v>
      </c>
      <c r="B442" s="7">
        <v>0</v>
      </c>
      <c r="C442" s="7">
        <v>0</v>
      </c>
      <c r="D442" s="7">
        <v>0</v>
      </c>
      <c r="E442" s="7">
        <v>0</v>
      </c>
      <c r="F442" s="7">
        <v>0</v>
      </c>
      <c r="G442" s="7">
        <v>0</v>
      </c>
      <c r="H442" s="7">
        <v>0</v>
      </c>
      <c r="I442" s="7">
        <v>0</v>
      </c>
      <c r="J442" s="7">
        <v>0</v>
      </c>
      <c r="K442" s="7">
        <v>0</v>
      </c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</row>
    <row r="443" spans="1:17">
      <c r="A443" s="2">
        <v>2391</v>
      </c>
      <c r="B443" s="7">
        <v>0</v>
      </c>
      <c r="C443" s="7">
        <v>0</v>
      </c>
      <c r="D443" s="7">
        <v>0</v>
      </c>
      <c r="E443" s="7">
        <v>0</v>
      </c>
      <c r="F443" s="7">
        <v>0</v>
      </c>
      <c r="G443" s="7">
        <v>0</v>
      </c>
      <c r="H443" s="7">
        <v>0</v>
      </c>
      <c r="I443" s="7">
        <v>0</v>
      </c>
      <c r="J443" s="7">
        <v>0</v>
      </c>
      <c r="K443" s="7">
        <v>0</v>
      </c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</row>
    <row r="444" spans="1:17">
      <c r="A444" s="2">
        <v>2392</v>
      </c>
      <c r="B444" s="7">
        <v>0</v>
      </c>
      <c r="C444" s="7">
        <v>0</v>
      </c>
      <c r="D444" s="7">
        <v>0</v>
      </c>
      <c r="E444" s="7">
        <v>0</v>
      </c>
      <c r="F444" s="7">
        <v>0</v>
      </c>
      <c r="G444" s="7">
        <v>0</v>
      </c>
      <c r="H444" s="7">
        <v>0</v>
      </c>
      <c r="I444" s="7">
        <v>0</v>
      </c>
      <c r="J444" s="7">
        <v>0</v>
      </c>
      <c r="K444" s="7">
        <v>0</v>
      </c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</row>
    <row r="445" spans="1:17">
      <c r="A445" s="2">
        <v>2393</v>
      </c>
      <c r="B445" s="7">
        <v>0</v>
      </c>
      <c r="C445" s="7">
        <v>0</v>
      </c>
      <c r="D445" s="7">
        <v>0</v>
      </c>
      <c r="E445" s="7">
        <v>0</v>
      </c>
      <c r="F445" s="7">
        <v>0</v>
      </c>
      <c r="G445" s="7">
        <v>0</v>
      </c>
      <c r="H445" s="7">
        <v>0</v>
      </c>
      <c r="I445" s="7">
        <v>0</v>
      </c>
      <c r="J445" s="7">
        <v>0</v>
      </c>
      <c r="K445" s="7">
        <v>0</v>
      </c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</row>
    <row r="446" spans="1:17">
      <c r="A446" s="2">
        <v>2394</v>
      </c>
      <c r="B446" s="7">
        <v>0</v>
      </c>
      <c r="C446" s="7">
        <v>0</v>
      </c>
      <c r="D446" s="7">
        <v>0</v>
      </c>
      <c r="E446" s="7">
        <v>0</v>
      </c>
      <c r="F446" s="7">
        <v>0</v>
      </c>
      <c r="G446" s="7">
        <v>0</v>
      </c>
      <c r="H446" s="7">
        <v>0</v>
      </c>
      <c r="I446" s="7">
        <v>0</v>
      </c>
      <c r="J446" s="7">
        <v>0</v>
      </c>
      <c r="K446" s="7">
        <v>0</v>
      </c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</row>
    <row r="447" spans="1:17">
      <c r="A447" s="2">
        <v>2395</v>
      </c>
      <c r="B447" s="7">
        <v>0</v>
      </c>
      <c r="C447" s="7">
        <v>0</v>
      </c>
      <c r="D447" s="7">
        <v>0</v>
      </c>
      <c r="E447" s="7">
        <v>0</v>
      </c>
      <c r="F447" s="7">
        <v>0</v>
      </c>
      <c r="G447" s="7">
        <v>0</v>
      </c>
      <c r="H447" s="7">
        <v>0</v>
      </c>
      <c r="I447" s="7">
        <v>0</v>
      </c>
      <c r="J447" s="7">
        <v>0</v>
      </c>
      <c r="K447" s="7">
        <v>0</v>
      </c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</row>
    <row r="448" spans="1:17">
      <c r="A448" s="2">
        <v>2396</v>
      </c>
      <c r="B448" s="7">
        <v>0</v>
      </c>
      <c r="C448" s="7">
        <v>0</v>
      </c>
      <c r="D448" s="7">
        <v>0</v>
      </c>
      <c r="E448" s="7">
        <v>0</v>
      </c>
      <c r="F448" s="7">
        <v>0</v>
      </c>
      <c r="G448" s="7">
        <v>0</v>
      </c>
      <c r="H448" s="7">
        <v>0</v>
      </c>
      <c r="I448" s="7">
        <v>0</v>
      </c>
      <c r="J448" s="7">
        <v>0</v>
      </c>
      <c r="K448" s="7">
        <v>0</v>
      </c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</row>
    <row r="449" spans="1:17">
      <c r="A449" s="2">
        <v>2397</v>
      </c>
      <c r="B449" s="7">
        <v>0</v>
      </c>
      <c r="C449" s="7">
        <v>0</v>
      </c>
      <c r="D449" s="7">
        <v>0</v>
      </c>
      <c r="E449" s="7">
        <v>0</v>
      </c>
      <c r="F449" s="7">
        <v>0</v>
      </c>
      <c r="G449" s="7">
        <v>0</v>
      </c>
      <c r="H449" s="7">
        <v>0</v>
      </c>
      <c r="I449" s="7">
        <v>0</v>
      </c>
      <c r="J449" s="7">
        <v>0</v>
      </c>
      <c r="K449" s="7">
        <v>0</v>
      </c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</row>
    <row r="450" spans="1:17">
      <c r="A450" s="2">
        <v>2398</v>
      </c>
      <c r="B450" s="7">
        <v>0</v>
      </c>
      <c r="C450" s="7">
        <v>0</v>
      </c>
      <c r="D450" s="7">
        <v>0</v>
      </c>
      <c r="E450" s="7">
        <v>0</v>
      </c>
      <c r="F450" s="7">
        <v>0</v>
      </c>
      <c r="G450" s="7">
        <v>0</v>
      </c>
      <c r="H450" s="7">
        <v>0</v>
      </c>
      <c r="I450" s="7">
        <v>0</v>
      </c>
      <c r="J450" s="7">
        <v>0</v>
      </c>
      <c r="K450" s="7">
        <v>0</v>
      </c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</row>
    <row r="451" spans="1:17">
      <c r="A451" s="2">
        <v>2399</v>
      </c>
      <c r="B451" s="7">
        <v>0</v>
      </c>
      <c r="C451" s="7">
        <v>0</v>
      </c>
      <c r="D451" s="7">
        <v>0</v>
      </c>
      <c r="E451" s="7">
        <v>0</v>
      </c>
      <c r="F451" s="7">
        <v>0</v>
      </c>
      <c r="G451" s="7">
        <v>0</v>
      </c>
      <c r="H451" s="7">
        <v>0</v>
      </c>
      <c r="I451" s="7">
        <v>0</v>
      </c>
      <c r="J451" s="7">
        <v>0</v>
      </c>
      <c r="K451" s="7">
        <v>0</v>
      </c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</row>
    <row r="452" spans="1:17">
      <c r="A452" s="2">
        <v>2400</v>
      </c>
      <c r="B452" s="7">
        <v>0</v>
      </c>
      <c r="C452" s="7">
        <v>0</v>
      </c>
      <c r="D452" s="7">
        <v>0</v>
      </c>
      <c r="E452" s="7">
        <v>0</v>
      </c>
      <c r="F452" s="7">
        <v>0</v>
      </c>
      <c r="G452" s="7">
        <v>0</v>
      </c>
      <c r="H452" s="7">
        <v>0</v>
      </c>
      <c r="I452" s="7">
        <v>0</v>
      </c>
      <c r="J452" s="7">
        <v>0</v>
      </c>
      <c r="K452" s="7">
        <v>0</v>
      </c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</row>
    <row r="453" spans="1:17">
      <c r="A453" s="2">
        <v>2401</v>
      </c>
      <c r="B453" s="7">
        <v>0</v>
      </c>
      <c r="C453" s="7">
        <v>0</v>
      </c>
      <c r="D453" s="7">
        <v>0</v>
      </c>
      <c r="E453" s="7">
        <v>0</v>
      </c>
      <c r="F453" s="7">
        <v>0</v>
      </c>
      <c r="G453" s="7">
        <v>0</v>
      </c>
      <c r="H453" s="7">
        <v>0</v>
      </c>
      <c r="I453" s="7">
        <v>0</v>
      </c>
      <c r="J453" s="7">
        <v>0</v>
      </c>
      <c r="K453" s="7">
        <v>0</v>
      </c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</row>
    <row r="454" spans="1:17">
      <c r="A454" s="2">
        <v>2402</v>
      </c>
      <c r="B454" s="7">
        <v>0</v>
      </c>
      <c r="C454" s="7">
        <v>0</v>
      </c>
      <c r="D454" s="7">
        <v>0</v>
      </c>
      <c r="E454" s="7">
        <v>0</v>
      </c>
      <c r="F454" s="7">
        <v>0</v>
      </c>
      <c r="G454" s="7">
        <v>0</v>
      </c>
      <c r="H454" s="7">
        <v>0</v>
      </c>
      <c r="I454" s="7">
        <v>0</v>
      </c>
      <c r="J454" s="7">
        <v>0</v>
      </c>
      <c r="K454" s="7">
        <v>0</v>
      </c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</row>
    <row r="455" spans="1:17">
      <c r="A455" s="2">
        <v>2403</v>
      </c>
      <c r="B455" s="7">
        <v>0</v>
      </c>
      <c r="C455" s="7">
        <v>0</v>
      </c>
      <c r="D455" s="7">
        <v>0</v>
      </c>
      <c r="E455" s="7">
        <v>0</v>
      </c>
      <c r="F455" s="7">
        <v>0</v>
      </c>
      <c r="G455" s="7">
        <v>0</v>
      </c>
      <c r="H455" s="7">
        <v>0</v>
      </c>
      <c r="I455" s="7">
        <v>0</v>
      </c>
      <c r="J455" s="7">
        <v>0</v>
      </c>
      <c r="K455" s="7">
        <v>0</v>
      </c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</row>
    <row r="456" spans="1:17">
      <c r="A456" s="2">
        <v>2404</v>
      </c>
      <c r="B456" s="7">
        <v>0</v>
      </c>
      <c r="C456" s="7">
        <v>0</v>
      </c>
      <c r="D456" s="7">
        <v>0</v>
      </c>
      <c r="E456" s="7">
        <v>0</v>
      </c>
      <c r="F456" s="7">
        <v>0</v>
      </c>
      <c r="G456" s="7">
        <v>0</v>
      </c>
      <c r="H456" s="7">
        <v>0</v>
      </c>
      <c r="I456" s="7">
        <v>0</v>
      </c>
      <c r="J456" s="7">
        <v>0</v>
      </c>
      <c r="K456" s="7">
        <v>0</v>
      </c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</row>
    <row r="457" spans="1:17">
      <c r="A457" s="2">
        <v>2405</v>
      </c>
      <c r="B457" s="7">
        <v>0</v>
      </c>
      <c r="C457" s="7">
        <v>0</v>
      </c>
      <c r="D457" s="7">
        <v>0</v>
      </c>
      <c r="E457" s="7">
        <v>0</v>
      </c>
      <c r="F457" s="7">
        <v>0</v>
      </c>
      <c r="G457" s="7">
        <v>0</v>
      </c>
      <c r="H457" s="7">
        <v>0</v>
      </c>
      <c r="I457" s="7">
        <v>0</v>
      </c>
      <c r="J457" s="7">
        <v>0</v>
      </c>
      <c r="K457" s="7">
        <v>0</v>
      </c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</row>
    <row r="458" spans="1:17">
      <c r="A458" s="2">
        <v>2406</v>
      </c>
      <c r="B458" s="7">
        <v>0</v>
      </c>
      <c r="C458" s="7">
        <v>0</v>
      </c>
      <c r="D458" s="7">
        <v>0</v>
      </c>
      <c r="E458" s="7">
        <v>0</v>
      </c>
      <c r="F458" s="7">
        <v>0</v>
      </c>
      <c r="G458" s="7">
        <v>0</v>
      </c>
      <c r="H458" s="7">
        <v>0</v>
      </c>
      <c r="I458" s="7">
        <v>0</v>
      </c>
      <c r="J458" s="7">
        <v>0</v>
      </c>
      <c r="K458" s="7">
        <v>0</v>
      </c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</row>
    <row r="459" spans="1:17">
      <c r="A459" s="2">
        <v>2407</v>
      </c>
      <c r="B459" s="7">
        <v>0</v>
      </c>
      <c r="C459" s="7">
        <v>0</v>
      </c>
      <c r="D459" s="7">
        <v>0</v>
      </c>
      <c r="E459" s="7">
        <v>0</v>
      </c>
      <c r="F459" s="7">
        <v>0</v>
      </c>
      <c r="G459" s="7">
        <v>0</v>
      </c>
      <c r="H459" s="7">
        <v>0</v>
      </c>
      <c r="I459" s="7">
        <v>0</v>
      </c>
      <c r="J459" s="7">
        <v>0</v>
      </c>
      <c r="K459" s="7">
        <v>0</v>
      </c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</row>
    <row r="460" spans="1:17">
      <c r="A460" s="2">
        <v>2408</v>
      </c>
      <c r="B460" s="7">
        <v>0</v>
      </c>
      <c r="C460" s="7">
        <v>0</v>
      </c>
      <c r="D460" s="7">
        <v>0</v>
      </c>
      <c r="E460" s="7">
        <v>0</v>
      </c>
      <c r="F460" s="7">
        <v>0</v>
      </c>
      <c r="G460" s="7">
        <v>0</v>
      </c>
      <c r="H460" s="7">
        <v>0</v>
      </c>
      <c r="I460" s="7">
        <v>0</v>
      </c>
      <c r="J460" s="7">
        <v>0</v>
      </c>
      <c r="K460" s="7">
        <v>0</v>
      </c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</row>
    <row r="461" spans="1:17">
      <c r="A461" s="2">
        <v>2409</v>
      </c>
      <c r="B461" s="7">
        <v>0</v>
      </c>
      <c r="C461" s="7">
        <v>0</v>
      </c>
      <c r="D461" s="7">
        <v>0</v>
      </c>
      <c r="E461" s="7">
        <v>0</v>
      </c>
      <c r="F461" s="7">
        <v>0</v>
      </c>
      <c r="G461" s="7">
        <v>0</v>
      </c>
      <c r="H461" s="7">
        <v>0</v>
      </c>
      <c r="I461" s="7">
        <v>0</v>
      </c>
      <c r="J461" s="7">
        <v>0</v>
      </c>
      <c r="K461" s="7">
        <v>0</v>
      </c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</row>
    <row r="462" spans="1:17">
      <c r="A462" s="2">
        <v>2410</v>
      </c>
      <c r="B462" s="7">
        <v>0</v>
      </c>
      <c r="C462" s="7">
        <v>0</v>
      </c>
      <c r="D462" s="7">
        <v>0</v>
      </c>
      <c r="E462" s="7">
        <v>0</v>
      </c>
      <c r="F462" s="7">
        <v>0</v>
      </c>
      <c r="G462" s="7">
        <v>0</v>
      </c>
      <c r="H462" s="7">
        <v>0</v>
      </c>
      <c r="I462" s="7">
        <v>0</v>
      </c>
      <c r="J462" s="7">
        <v>0</v>
      </c>
      <c r="K462" s="7">
        <v>0</v>
      </c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</row>
    <row r="463" spans="1:17">
      <c r="A463" s="2">
        <v>2411</v>
      </c>
      <c r="B463" s="7">
        <v>0</v>
      </c>
      <c r="C463" s="7">
        <v>0</v>
      </c>
      <c r="D463" s="7">
        <v>0</v>
      </c>
      <c r="E463" s="7">
        <v>0</v>
      </c>
      <c r="F463" s="7">
        <v>0</v>
      </c>
      <c r="G463" s="7">
        <v>0</v>
      </c>
      <c r="H463" s="7">
        <v>0</v>
      </c>
      <c r="I463" s="7">
        <v>0</v>
      </c>
      <c r="J463" s="7">
        <v>0</v>
      </c>
      <c r="K463" s="7">
        <v>0</v>
      </c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</row>
    <row r="464" spans="1:17">
      <c r="A464" s="2">
        <v>2412</v>
      </c>
      <c r="B464" s="7">
        <v>0</v>
      </c>
      <c r="C464" s="7">
        <v>0</v>
      </c>
      <c r="D464" s="7">
        <v>0</v>
      </c>
      <c r="E464" s="7">
        <v>0</v>
      </c>
      <c r="F464" s="7">
        <v>0</v>
      </c>
      <c r="G464" s="7">
        <v>0</v>
      </c>
      <c r="H464" s="7">
        <v>0</v>
      </c>
      <c r="I464" s="7">
        <v>0</v>
      </c>
      <c r="J464" s="7">
        <v>0</v>
      </c>
      <c r="K464" s="7">
        <v>0</v>
      </c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</row>
    <row r="465" spans="1:17">
      <c r="A465" s="2">
        <v>2413</v>
      </c>
      <c r="B465" s="7">
        <v>0</v>
      </c>
      <c r="C465" s="7">
        <v>0</v>
      </c>
      <c r="D465" s="7">
        <v>0</v>
      </c>
      <c r="E465" s="7">
        <v>0</v>
      </c>
      <c r="F465" s="7">
        <v>0</v>
      </c>
      <c r="G465" s="7">
        <v>0</v>
      </c>
      <c r="H465" s="7">
        <v>0</v>
      </c>
      <c r="I465" s="7">
        <v>0</v>
      </c>
      <c r="J465" s="7">
        <v>0</v>
      </c>
      <c r="K465" s="7">
        <v>0</v>
      </c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</row>
    <row r="466" spans="1:17">
      <c r="A466" s="2">
        <v>2414</v>
      </c>
      <c r="B466" s="7">
        <v>0</v>
      </c>
      <c r="C466" s="7">
        <v>0</v>
      </c>
      <c r="D466" s="7">
        <v>0</v>
      </c>
      <c r="E466" s="7">
        <v>0</v>
      </c>
      <c r="F466" s="7">
        <v>0</v>
      </c>
      <c r="G466" s="7">
        <v>0</v>
      </c>
      <c r="H466" s="7">
        <v>0</v>
      </c>
      <c r="I466" s="7">
        <v>0</v>
      </c>
      <c r="J466" s="7">
        <v>0</v>
      </c>
      <c r="K466" s="7">
        <v>0</v>
      </c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</row>
    <row r="467" spans="1:17">
      <c r="A467" s="2">
        <v>2415</v>
      </c>
      <c r="B467" s="7">
        <v>0</v>
      </c>
      <c r="C467" s="7">
        <v>0</v>
      </c>
      <c r="D467" s="7">
        <v>0</v>
      </c>
      <c r="E467" s="7">
        <v>0</v>
      </c>
      <c r="F467" s="7">
        <v>0</v>
      </c>
      <c r="G467" s="7">
        <v>0</v>
      </c>
      <c r="H467" s="7">
        <v>0</v>
      </c>
      <c r="I467" s="7">
        <v>0</v>
      </c>
      <c r="J467" s="7">
        <v>0</v>
      </c>
      <c r="K467" s="7">
        <v>0</v>
      </c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</row>
    <row r="468" spans="1:17">
      <c r="A468" s="2">
        <v>2416</v>
      </c>
      <c r="B468" s="7">
        <v>0</v>
      </c>
      <c r="C468" s="7">
        <v>0</v>
      </c>
      <c r="D468" s="7">
        <v>0</v>
      </c>
      <c r="E468" s="7">
        <v>0</v>
      </c>
      <c r="F468" s="7">
        <v>0</v>
      </c>
      <c r="G468" s="7">
        <v>0</v>
      </c>
      <c r="H468" s="7">
        <v>0</v>
      </c>
      <c r="I468" s="7">
        <v>0</v>
      </c>
      <c r="J468" s="7">
        <v>0</v>
      </c>
      <c r="K468" s="7">
        <v>0</v>
      </c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</row>
    <row r="469" spans="1:17">
      <c r="A469" s="2">
        <v>2417</v>
      </c>
      <c r="B469" s="7">
        <v>0</v>
      </c>
      <c r="C469" s="7">
        <v>0</v>
      </c>
      <c r="D469" s="7">
        <v>0</v>
      </c>
      <c r="E469" s="7">
        <v>0</v>
      </c>
      <c r="F469" s="7">
        <v>0</v>
      </c>
      <c r="G469" s="7">
        <v>0</v>
      </c>
      <c r="H469" s="7">
        <v>0</v>
      </c>
      <c r="I469" s="7">
        <v>0</v>
      </c>
      <c r="J469" s="7">
        <v>0</v>
      </c>
      <c r="K469" s="7">
        <v>0</v>
      </c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</row>
    <row r="470" spans="1:17">
      <c r="A470" s="2">
        <v>2418</v>
      </c>
      <c r="B470" s="7">
        <v>0</v>
      </c>
      <c r="C470" s="7">
        <v>0</v>
      </c>
      <c r="D470" s="7">
        <v>0</v>
      </c>
      <c r="E470" s="7">
        <v>0</v>
      </c>
      <c r="F470" s="7">
        <v>0</v>
      </c>
      <c r="G470" s="7">
        <v>0</v>
      </c>
      <c r="H470" s="7">
        <v>0</v>
      </c>
      <c r="I470" s="7">
        <v>0</v>
      </c>
      <c r="J470" s="7">
        <v>0</v>
      </c>
      <c r="K470" s="7">
        <v>0</v>
      </c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</row>
    <row r="471" spans="1:17">
      <c r="A471" s="2">
        <v>2419</v>
      </c>
      <c r="B471" s="7">
        <v>0</v>
      </c>
      <c r="C471" s="7">
        <v>0</v>
      </c>
      <c r="D471" s="7">
        <v>0</v>
      </c>
      <c r="E471" s="7">
        <v>0</v>
      </c>
      <c r="F471" s="7">
        <v>0</v>
      </c>
      <c r="G471" s="7">
        <v>0</v>
      </c>
      <c r="H471" s="7">
        <v>0</v>
      </c>
      <c r="I471" s="7">
        <v>0</v>
      </c>
      <c r="J471" s="7">
        <v>0</v>
      </c>
      <c r="K471" s="7">
        <v>0</v>
      </c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</row>
    <row r="472" spans="1:17">
      <c r="A472" s="2">
        <v>2420</v>
      </c>
      <c r="B472" s="7">
        <v>0</v>
      </c>
      <c r="C472" s="7">
        <v>0</v>
      </c>
      <c r="D472" s="7">
        <v>0</v>
      </c>
      <c r="E472" s="7">
        <v>0</v>
      </c>
      <c r="F472" s="7">
        <v>0</v>
      </c>
      <c r="G472" s="7">
        <v>0</v>
      </c>
      <c r="H472" s="7">
        <v>0</v>
      </c>
      <c r="I472" s="7">
        <v>0</v>
      </c>
      <c r="J472" s="7">
        <v>0</v>
      </c>
      <c r="K472" s="7">
        <v>0</v>
      </c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</row>
    <row r="473" spans="1:17">
      <c r="A473" s="2">
        <v>2421</v>
      </c>
      <c r="B473" s="7">
        <v>0</v>
      </c>
      <c r="C473" s="7">
        <v>0</v>
      </c>
      <c r="D473" s="7">
        <v>0</v>
      </c>
      <c r="E473" s="7">
        <v>0</v>
      </c>
      <c r="F473" s="7">
        <v>0</v>
      </c>
      <c r="G473" s="7">
        <v>0</v>
      </c>
      <c r="H473" s="7">
        <v>0</v>
      </c>
      <c r="I473" s="7">
        <v>0</v>
      </c>
      <c r="J473" s="7">
        <v>0</v>
      </c>
      <c r="K473" s="7">
        <v>0</v>
      </c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</row>
    <row r="474" spans="1:17">
      <c r="A474" s="2">
        <v>2422</v>
      </c>
      <c r="B474" s="7">
        <v>0</v>
      </c>
      <c r="C474" s="7">
        <v>0</v>
      </c>
      <c r="D474" s="7">
        <v>0</v>
      </c>
      <c r="E474" s="7">
        <v>0</v>
      </c>
      <c r="F474" s="7">
        <v>0</v>
      </c>
      <c r="G474" s="7">
        <v>0</v>
      </c>
      <c r="H474" s="7">
        <v>0</v>
      </c>
      <c r="I474" s="7">
        <v>0</v>
      </c>
      <c r="J474" s="7">
        <v>0</v>
      </c>
      <c r="K474" s="7">
        <v>0</v>
      </c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</row>
    <row r="475" spans="1:17">
      <c r="A475" s="2">
        <v>2423</v>
      </c>
      <c r="B475" s="7">
        <v>0</v>
      </c>
      <c r="C475" s="7">
        <v>0</v>
      </c>
      <c r="D475" s="7">
        <v>0</v>
      </c>
      <c r="E475" s="7">
        <v>0</v>
      </c>
      <c r="F475" s="7">
        <v>0</v>
      </c>
      <c r="G475" s="7">
        <v>0</v>
      </c>
      <c r="H475" s="7">
        <v>0</v>
      </c>
      <c r="I475" s="7">
        <v>0</v>
      </c>
      <c r="J475" s="7">
        <v>0</v>
      </c>
      <c r="K475" s="7">
        <v>0</v>
      </c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</row>
    <row r="476" spans="1:17">
      <c r="A476" s="2">
        <v>2424</v>
      </c>
      <c r="B476" s="7">
        <v>0</v>
      </c>
      <c r="C476" s="7">
        <v>0</v>
      </c>
      <c r="D476" s="7">
        <v>0</v>
      </c>
      <c r="E476" s="7">
        <v>0</v>
      </c>
      <c r="F476" s="7">
        <v>0</v>
      </c>
      <c r="G476" s="7">
        <v>0</v>
      </c>
      <c r="H476" s="7">
        <v>0</v>
      </c>
      <c r="I476" s="7">
        <v>0</v>
      </c>
      <c r="J476" s="7">
        <v>0</v>
      </c>
      <c r="K476" s="7">
        <v>0</v>
      </c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</row>
    <row r="477" spans="1:17">
      <c r="A477" s="2">
        <v>2425</v>
      </c>
      <c r="B477" s="7">
        <v>0</v>
      </c>
      <c r="C477" s="7">
        <v>0</v>
      </c>
      <c r="D477" s="7">
        <v>0</v>
      </c>
      <c r="E477" s="7">
        <v>0</v>
      </c>
      <c r="F477" s="7">
        <v>0</v>
      </c>
      <c r="G477" s="7">
        <v>0</v>
      </c>
      <c r="H477" s="7">
        <v>0</v>
      </c>
      <c r="I477" s="7">
        <v>0</v>
      </c>
      <c r="J477" s="7">
        <v>0</v>
      </c>
      <c r="K477" s="7">
        <v>0</v>
      </c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</row>
    <row r="478" spans="1:17">
      <c r="A478" s="2">
        <v>2426</v>
      </c>
      <c r="B478" s="7">
        <v>0</v>
      </c>
      <c r="C478" s="7">
        <v>0</v>
      </c>
      <c r="D478" s="7">
        <v>0</v>
      </c>
      <c r="E478" s="7">
        <v>0</v>
      </c>
      <c r="F478" s="7">
        <v>0</v>
      </c>
      <c r="G478" s="7">
        <v>0</v>
      </c>
      <c r="H478" s="7">
        <v>0</v>
      </c>
      <c r="I478" s="7">
        <v>0</v>
      </c>
      <c r="J478" s="7">
        <v>0</v>
      </c>
      <c r="K478" s="7">
        <v>0</v>
      </c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</row>
    <row r="479" spans="1:17">
      <c r="A479" s="2">
        <v>2427</v>
      </c>
      <c r="B479" s="7">
        <v>0</v>
      </c>
      <c r="C479" s="7">
        <v>0</v>
      </c>
      <c r="D479" s="7">
        <v>0</v>
      </c>
      <c r="E479" s="7">
        <v>0</v>
      </c>
      <c r="F479" s="7">
        <v>0</v>
      </c>
      <c r="G479" s="7">
        <v>0</v>
      </c>
      <c r="H479" s="7">
        <v>0</v>
      </c>
      <c r="I479" s="7">
        <v>0</v>
      </c>
      <c r="J479" s="7">
        <v>0</v>
      </c>
      <c r="K479" s="7">
        <v>0</v>
      </c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</row>
    <row r="480" spans="1:17">
      <c r="A480" s="2">
        <v>2428</v>
      </c>
      <c r="B480" s="7">
        <v>0</v>
      </c>
      <c r="C480" s="7">
        <v>0</v>
      </c>
      <c r="D480" s="7">
        <v>0</v>
      </c>
      <c r="E480" s="7">
        <v>0</v>
      </c>
      <c r="F480" s="7">
        <v>0</v>
      </c>
      <c r="G480" s="7">
        <v>0</v>
      </c>
      <c r="H480" s="7">
        <v>0</v>
      </c>
      <c r="I480" s="7">
        <v>0</v>
      </c>
      <c r="J480" s="7">
        <v>0</v>
      </c>
      <c r="K480" s="7">
        <v>0</v>
      </c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</row>
    <row r="481" spans="1:17">
      <c r="A481" s="2">
        <v>2429</v>
      </c>
      <c r="B481" s="7">
        <v>0</v>
      </c>
      <c r="C481" s="7">
        <v>0</v>
      </c>
      <c r="D481" s="7">
        <v>0</v>
      </c>
      <c r="E481" s="7">
        <v>0</v>
      </c>
      <c r="F481" s="7">
        <v>0</v>
      </c>
      <c r="G481" s="7">
        <v>0</v>
      </c>
      <c r="H481" s="7">
        <v>0</v>
      </c>
      <c r="I481" s="7">
        <v>0</v>
      </c>
      <c r="J481" s="7">
        <v>0</v>
      </c>
      <c r="K481" s="7">
        <v>0</v>
      </c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</row>
    <row r="482" spans="1:17">
      <c r="A482" s="2">
        <v>2430</v>
      </c>
      <c r="B482" s="7">
        <v>0</v>
      </c>
      <c r="C482" s="7">
        <v>0</v>
      </c>
      <c r="D482" s="7">
        <v>0</v>
      </c>
      <c r="E482" s="7">
        <v>0</v>
      </c>
      <c r="F482" s="7">
        <v>0</v>
      </c>
      <c r="G482" s="7">
        <v>0</v>
      </c>
      <c r="H482" s="7">
        <v>0</v>
      </c>
      <c r="I482" s="7">
        <v>0</v>
      </c>
      <c r="J482" s="7">
        <v>0</v>
      </c>
      <c r="K482" s="7">
        <v>0</v>
      </c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</row>
    <row r="483" spans="1:17">
      <c r="A483" s="2">
        <v>2431</v>
      </c>
      <c r="B483" s="7">
        <v>0</v>
      </c>
      <c r="C483" s="7">
        <v>0</v>
      </c>
      <c r="D483" s="7">
        <v>0</v>
      </c>
      <c r="E483" s="7">
        <v>0</v>
      </c>
      <c r="F483" s="7">
        <v>0</v>
      </c>
      <c r="G483" s="7">
        <v>0</v>
      </c>
      <c r="H483" s="7">
        <v>0</v>
      </c>
      <c r="I483" s="7">
        <v>0</v>
      </c>
      <c r="J483" s="7">
        <v>0</v>
      </c>
      <c r="K483" s="7">
        <v>0</v>
      </c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</row>
    <row r="484" spans="1:17">
      <c r="A484" s="2">
        <v>2432</v>
      </c>
      <c r="B484" s="7">
        <v>0</v>
      </c>
      <c r="C484" s="7">
        <v>0</v>
      </c>
      <c r="D484" s="7">
        <v>0</v>
      </c>
      <c r="E484" s="7">
        <v>0</v>
      </c>
      <c r="F484" s="7">
        <v>0</v>
      </c>
      <c r="G484" s="7">
        <v>0</v>
      </c>
      <c r="H484" s="7">
        <v>0</v>
      </c>
      <c r="I484" s="7">
        <v>0</v>
      </c>
      <c r="J484" s="7">
        <v>0</v>
      </c>
      <c r="K484" s="7">
        <v>0</v>
      </c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</row>
    <row r="485" spans="1:17">
      <c r="A485" s="2">
        <v>2433</v>
      </c>
      <c r="B485" s="7">
        <v>0</v>
      </c>
      <c r="C485" s="7">
        <v>0</v>
      </c>
      <c r="D485" s="7">
        <v>0</v>
      </c>
      <c r="E485" s="7">
        <v>0</v>
      </c>
      <c r="F485" s="7">
        <v>0</v>
      </c>
      <c r="G485" s="7">
        <v>0</v>
      </c>
      <c r="H485" s="7">
        <v>0</v>
      </c>
      <c r="I485" s="7">
        <v>0</v>
      </c>
      <c r="J485" s="7">
        <v>0</v>
      </c>
      <c r="K485" s="7">
        <v>0</v>
      </c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</row>
    <row r="486" spans="1:17">
      <c r="A486" s="2">
        <v>2434</v>
      </c>
      <c r="B486" s="7">
        <v>0</v>
      </c>
      <c r="C486" s="7">
        <v>0</v>
      </c>
      <c r="D486" s="7">
        <v>0</v>
      </c>
      <c r="E486" s="7">
        <v>0</v>
      </c>
      <c r="F486" s="7">
        <v>0</v>
      </c>
      <c r="G486" s="7">
        <v>0</v>
      </c>
      <c r="H486" s="7">
        <v>0</v>
      </c>
      <c r="I486" s="7">
        <v>0</v>
      </c>
      <c r="J486" s="7">
        <v>0</v>
      </c>
      <c r="K486" s="7">
        <v>0</v>
      </c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</row>
    <row r="487" spans="1:17">
      <c r="A487" s="2">
        <v>2435</v>
      </c>
      <c r="B487" s="7">
        <v>0</v>
      </c>
      <c r="C487" s="7">
        <v>0</v>
      </c>
      <c r="D487" s="7">
        <v>0</v>
      </c>
      <c r="E487" s="7">
        <v>0</v>
      </c>
      <c r="F487" s="7">
        <v>0</v>
      </c>
      <c r="G487" s="7">
        <v>0</v>
      </c>
      <c r="H487" s="7">
        <v>0</v>
      </c>
      <c r="I487" s="7">
        <v>0</v>
      </c>
      <c r="J487" s="7">
        <v>0</v>
      </c>
      <c r="K487" s="7">
        <v>0</v>
      </c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</row>
    <row r="488" spans="1:17">
      <c r="A488" s="2">
        <v>2436</v>
      </c>
      <c r="B488" s="7">
        <v>0</v>
      </c>
      <c r="C488" s="7">
        <v>0</v>
      </c>
      <c r="D488" s="7">
        <v>0</v>
      </c>
      <c r="E488" s="7">
        <v>0</v>
      </c>
      <c r="F488" s="7">
        <v>0</v>
      </c>
      <c r="G488" s="7">
        <v>0</v>
      </c>
      <c r="H488" s="7">
        <v>0</v>
      </c>
      <c r="I488" s="7">
        <v>0</v>
      </c>
      <c r="J488" s="7">
        <v>0</v>
      </c>
      <c r="K488" s="7">
        <v>0</v>
      </c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</row>
    <row r="489" spans="1:17">
      <c r="A489" s="2">
        <v>2437</v>
      </c>
      <c r="B489" s="7">
        <v>0</v>
      </c>
      <c r="C489" s="7">
        <v>0</v>
      </c>
      <c r="D489" s="7">
        <v>0</v>
      </c>
      <c r="E489" s="7">
        <v>0</v>
      </c>
      <c r="F489" s="7">
        <v>0</v>
      </c>
      <c r="G489" s="7">
        <v>0</v>
      </c>
      <c r="H489" s="7">
        <v>0</v>
      </c>
      <c r="I489" s="7">
        <v>0</v>
      </c>
      <c r="J489" s="7">
        <v>0</v>
      </c>
      <c r="K489" s="7">
        <v>0</v>
      </c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</row>
    <row r="490" spans="1:17">
      <c r="A490" s="2">
        <v>2438</v>
      </c>
      <c r="B490" s="7">
        <v>0</v>
      </c>
      <c r="C490" s="7">
        <v>0</v>
      </c>
      <c r="D490" s="7">
        <v>0</v>
      </c>
      <c r="E490" s="7">
        <v>0</v>
      </c>
      <c r="F490" s="7">
        <v>0</v>
      </c>
      <c r="G490" s="7">
        <v>0</v>
      </c>
      <c r="H490" s="7">
        <v>0</v>
      </c>
      <c r="I490" s="7">
        <v>0</v>
      </c>
      <c r="J490" s="7">
        <v>0</v>
      </c>
      <c r="K490" s="7">
        <v>0</v>
      </c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</row>
    <row r="491" spans="1:17">
      <c r="A491" s="2">
        <v>2439</v>
      </c>
      <c r="B491" s="7">
        <v>0</v>
      </c>
      <c r="C491" s="7">
        <v>0</v>
      </c>
      <c r="D491" s="7">
        <v>0</v>
      </c>
      <c r="E491" s="7">
        <v>0</v>
      </c>
      <c r="F491" s="7">
        <v>0</v>
      </c>
      <c r="G491" s="7">
        <v>0</v>
      </c>
      <c r="H491" s="7">
        <v>0</v>
      </c>
      <c r="I491" s="7">
        <v>0</v>
      </c>
      <c r="J491" s="7">
        <v>0</v>
      </c>
      <c r="K491" s="7">
        <v>0</v>
      </c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</row>
    <row r="492" spans="1:17">
      <c r="A492" s="2">
        <v>2440</v>
      </c>
      <c r="B492" s="7">
        <v>0</v>
      </c>
      <c r="C492" s="7">
        <v>0</v>
      </c>
      <c r="D492" s="7">
        <v>0</v>
      </c>
      <c r="E492" s="7">
        <v>0</v>
      </c>
      <c r="F492" s="7">
        <v>0</v>
      </c>
      <c r="G492" s="7">
        <v>0</v>
      </c>
      <c r="H492" s="7">
        <v>0</v>
      </c>
      <c r="I492" s="7">
        <v>0</v>
      </c>
      <c r="J492" s="7">
        <v>0</v>
      </c>
      <c r="K492" s="7">
        <v>0</v>
      </c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</row>
    <row r="493" spans="1:17">
      <c r="A493" s="2">
        <v>2441</v>
      </c>
      <c r="B493" s="7">
        <v>0</v>
      </c>
      <c r="C493" s="7">
        <v>0</v>
      </c>
      <c r="D493" s="7">
        <v>0</v>
      </c>
      <c r="E493" s="7">
        <v>0</v>
      </c>
      <c r="F493" s="7">
        <v>0</v>
      </c>
      <c r="G493" s="7">
        <v>0</v>
      </c>
      <c r="H493" s="7">
        <v>0</v>
      </c>
      <c r="I493" s="7">
        <v>0</v>
      </c>
      <c r="J493" s="7">
        <v>0</v>
      </c>
      <c r="K493" s="7">
        <v>0</v>
      </c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</row>
    <row r="494" spans="1:17">
      <c r="A494" s="2">
        <v>2442</v>
      </c>
      <c r="B494" s="7">
        <v>0</v>
      </c>
      <c r="C494" s="7">
        <v>0</v>
      </c>
      <c r="D494" s="7">
        <v>0</v>
      </c>
      <c r="E494" s="7">
        <v>0</v>
      </c>
      <c r="F494" s="7">
        <v>0</v>
      </c>
      <c r="G494" s="7">
        <v>0</v>
      </c>
      <c r="H494" s="7">
        <v>0</v>
      </c>
      <c r="I494" s="7">
        <v>0</v>
      </c>
      <c r="J494" s="7">
        <v>0</v>
      </c>
      <c r="K494" s="7">
        <v>0</v>
      </c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</row>
    <row r="495" spans="1:17">
      <c r="A495" s="2">
        <v>2443</v>
      </c>
      <c r="B495" s="7">
        <v>0</v>
      </c>
      <c r="C495" s="7">
        <v>0</v>
      </c>
      <c r="D495" s="7">
        <v>0</v>
      </c>
      <c r="E495" s="7">
        <v>0</v>
      </c>
      <c r="F495" s="7">
        <v>0</v>
      </c>
      <c r="G495" s="7">
        <v>0</v>
      </c>
      <c r="H495" s="7">
        <v>0</v>
      </c>
      <c r="I495" s="7">
        <v>0</v>
      </c>
      <c r="J495" s="7">
        <v>0</v>
      </c>
      <c r="K495" s="7">
        <v>0</v>
      </c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</row>
    <row r="496" spans="1:17">
      <c r="A496" s="2">
        <v>2444</v>
      </c>
      <c r="B496" s="7">
        <v>0</v>
      </c>
      <c r="C496" s="7">
        <v>0</v>
      </c>
      <c r="D496" s="7">
        <v>0</v>
      </c>
      <c r="E496" s="7">
        <v>0</v>
      </c>
      <c r="F496" s="7">
        <v>0</v>
      </c>
      <c r="G496" s="7">
        <v>0</v>
      </c>
      <c r="H496" s="7">
        <v>0</v>
      </c>
      <c r="I496" s="7">
        <v>0</v>
      </c>
      <c r="J496" s="7">
        <v>0</v>
      </c>
      <c r="K496" s="7">
        <v>0</v>
      </c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</row>
    <row r="497" spans="1:17">
      <c r="A497" s="2">
        <v>2445</v>
      </c>
      <c r="B497" s="7">
        <v>0</v>
      </c>
      <c r="C497" s="7">
        <v>0</v>
      </c>
      <c r="D497" s="7">
        <v>0</v>
      </c>
      <c r="E497" s="7">
        <v>0</v>
      </c>
      <c r="F497" s="7">
        <v>0</v>
      </c>
      <c r="G497" s="7">
        <v>0</v>
      </c>
      <c r="H497" s="7">
        <v>0</v>
      </c>
      <c r="I497" s="7">
        <v>0</v>
      </c>
      <c r="J497" s="7">
        <v>0</v>
      </c>
      <c r="K497" s="7">
        <v>0</v>
      </c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</row>
    <row r="498" spans="1:17">
      <c r="A498" s="2">
        <v>2446</v>
      </c>
      <c r="B498" s="7">
        <v>0</v>
      </c>
      <c r="C498" s="7">
        <v>0</v>
      </c>
      <c r="D498" s="7">
        <v>0</v>
      </c>
      <c r="E498" s="7">
        <v>0</v>
      </c>
      <c r="F498" s="7">
        <v>0</v>
      </c>
      <c r="G498" s="7">
        <v>0</v>
      </c>
      <c r="H498" s="7">
        <v>0</v>
      </c>
      <c r="I498" s="7">
        <v>0</v>
      </c>
      <c r="J498" s="7">
        <v>0</v>
      </c>
      <c r="K498" s="7">
        <v>0</v>
      </c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</row>
    <row r="499" spans="1:17">
      <c r="A499" s="2">
        <v>2447</v>
      </c>
      <c r="B499" s="7">
        <v>0</v>
      </c>
      <c r="C499" s="7">
        <v>0</v>
      </c>
      <c r="D499" s="7">
        <v>0</v>
      </c>
      <c r="E499" s="7">
        <v>0</v>
      </c>
      <c r="F499" s="7">
        <v>0</v>
      </c>
      <c r="G499" s="7">
        <v>0</v>
      </c>
      <c r="H499" s="7">
        <v>0</v>
      </c>
      <c r="I499" s="7">
        <v>0</v>
      </c>
      <c r="J499" s="7">
        <v>0</v>
      </c>
      <c r="K499" s="7">
        <v>0</v>
      </c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</row>
    <row r="500" spans="1:17">
      <c r="A500" s="2">
        <v>2448</v>
      </c>
      <c r="B500" s="7">
        <v>0</v>
      </c>
      <c r="C500" s="7">
        <v>0</v>
      </c>
      <c r="D500" s="7">
        <v>0</v>
      </c>
      <c r="E500" s="7">
        <v>0</v>
      </c>
      <c r="F500" s="7">
        <v>0</v>
      </c>
      <c r="G500" s="7">
        <v>0</v>
      </c>
      <c r="H500" s="7">
        <v>0</v>
      </c>
      <c r="I500" s="7">
        <v>0</v>
      </c>
      <c r="J500" s="7">
        <v>0</v>
      </c>
      <c r="K500" s="7">
        <v>0</v>
      </c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</row>
    <row r="501" spans="1:17">
      <c r="A501" s="2">
        <v>2449</v>
      </c>
      <c r="B501" s="7">
        <v>0</v>
      </c>
      <c r="C501" s="7">
        <v>0</v>
      </c>
      <c r="D501" s="7">
        <v>0</v>
      </c>
      <c r="E501" s="7">
        <v>0</v>
      </c>
      <c r="F501" s="7">
        <v>0</v>
      </c>
      <c r="G501" s="7">
        <v>0</v>
      </c>
      <c r="H501" s="7">
        <v>0</v>
      </c>
      <c r="I501" s="7">
        <v>0</v>
      </c>
      <c r="J501" s="7">
        <v>0</v>
      </c>
      <c r="K501" s="7">
        <v>0</v>
      </c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</row>
    <row r="502" spans="1:17">
      <c r="A502" s="2">
        <v>2450</v>
      </c>
      <c r="B502" s="7">
        <v>0</v>
      </c>
      <c r="C502" s="7">
        <v>0</v>
      </c>
      <c r="D502" s="7">
        <v>0</v>
      </c>
      <c r="E502" s="7">
        <v>0</v>
      </c>
      <c r="F502" s="7">
        <v>0</v>
      </c>
      <c r="G502" s="7">
        <v>0</v>
      </c>
      <c r="H502" s="7">
        <v>0</v>
      </c>
      <c r="I502" s="7">
        <v>0</v>
      </c>
      <c r="J502" s="7">
        <v>0</v>
      </c>
      <c r="K502" s="7">
        <v>0</v>
      </c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</row>
    <row r="503" spans="1:17">
      <c r="A503" s="2">
        <v>2451</v>
      </c>
      <c r="B503" s="7">
        <v>0</v>
      </c>
      <c r="C503" s="7">
        <v>0</v>
      </c>
      <c r="D503" s="7">
        <v>0</v>
      </c>
      <c r="E503" s="7">
        <v>0</v>
      </c>
      <c r="F503" s="7">
        <v>0</v>
      </c>
      <c r="G503" s="7">
        <v>0</v>
      </c>
      <c r="H503" s="7">
        <v>0</v>
      </c>
      <c r="I503" s="7">
        <v>0</v>
      </c>
      <c r="J503" s="7">
        <v>0</v>
      </c>
      <c r="K503" s="7">
        <v>0</v>
      </c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</row>
    <row r="504" spans="1:17">
      <c r="A504" s="2">
        <v>2452</v>
      </c>
      <c r="B504" s="7">
        <v>0</v>
      </c>
      <c r="C504" s="7">
        <v>0</v>
      </c>
      <c r="D504" s="7">
        <v>0</v>
      </c>
      <c r="E504" s="7">
        <v>0</v>
      </c>
      <c r="F504" s="7">
        <v>0</v>
      </c>
      <c r="G504" s="7">
        <v>0</v>
      </c>
      <c r="H504" s="7">
        <v>0</v>
      </c>
      <c r="I504" s="7">
        <v>0</v>
      </c>
      <c r="J504" s="7">
        <v>0</v>
      </c>
      <c r="K504" s="7">
        <v>0</v>
      </c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</row>
    <row r="505" spans="1:17">
      <c r="A505" s="2">
        <v>2453</v>
      </c>
      <c r="B505" s="7">
        <v>0</v>
      </c>
      <c r="C505" s="7">
        <v>0</v>
      </c>
      <c r="D505" s="7">
        <v>0</v>
      </c>
      <c r="E505" s="7">
        <v>0</v>
      </c>
      <c r="F505" s="7">
        <v>0</v>
      </c>
      <c r="G505" s="7">
        <v>0</v>
      </c>
      <c r="H505" s="7">
        <v>0</v>
      </c>
      <c r="I505" s="7">
        <v>0</v>
      </c>
      <c r="J505" s="7">
        <v>0</v>
      </c>
      <c r="K505" s="7">
        <v>0</v>
      </c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</row>
    <row r="506" spans="1:17">
      <c r="A506" s="2">
        <v>2454</v>
      </c>
      <c r="B506" s="7">
        <v>0</v>
      </c>
      <c r="C506" s="7">
        <v>0</v>
      </c>
      <c r="D506" s="7">
        <v>0</v>
      </c>
      <c r="E506" s="7">
        <v>0</v>
      </c>
      <c r="F506" s="7">
        <v>0</v>
      </c>
      <c r="G506" s="7">
        <v>0</v>
      </c>
      <c r="H506" s="7">
        <v>0</v>
      </c>
      <c r="I506" s="7">
        <v>0</v>
      </c>
      <c r="J506" s="7">
        <v>0</v>
      </c>
      <c r="K506" s="7">
        <v>0</v>
      </c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</row>
    <row r="507" spans="1:17">
      <c r="A507" s="2">
        <v>2455</v>
      </c>
      <c r="B507" s="7">
        <v>0</v>
      </c>
      <c r="C507" s="7">
        <v>0</v>
      </c>
      <c r="D507" s="7">
        <v>0</v>
      </c>
      <c r="E507" s="7">
        <v>0</v>
      </c>
      <c r="F507" s="7">
        <v>0</v>
      </c>
      <c r="G507" s="7">
        <v>0</v>
      </c>
      <c r="H507" s="7">
        <v>0</v>
      </c>
      <c r="I507" s="7">
        <v>0</v>
      </c>
      <c r="J507" s="7">
        <v>0</v>
      </c>
      <c r="K507" s="7">
        <v>0</v>
      </c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</row>
    <row r="508" spans="1:17">
      <c r="A508" s="2">
        <v>2456</v>
      </c>
      <c r="B508" s="7">
        <v>0</v>
      </c>
      <c r="C508" s="7">
        <v>0</v>
      </c>
      <c r="D508" s="7">
        <v>0</v>
      </c>
      <c r="E508" s="7">
        <v>0</v>
      </c>
      <c r="F508" s="7">
        <v>0</v>
      </c>
      <c r="G508" s="7">
        <v>0</v>
      </c>
      <c r="H508" s="7">
        <v>0</v>
      </c>
      <c r="I508" s="7">
        <v>0</v>
      </c>
      <c r="J508" s="7">
        <v>0</v>
      </c>
      <c r="K508" s="7">
        <v>0</v>
      </c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</row>
    <row r="509" spans="1:17">
      <c r="A509" s="2">
        <v>2457</v>
      </c>
      <c r="B509" s="7">
        <v>0</v>
      </c>
      <c r="C509" s="7">
        <v>0</v>
      </c>
      <c r="D509" s="7">
        <v>0</v>
      </c>
      <c r="E509" s="7">
        <v>0</v>
      </c>
      <c r="F509" s="7">
        <v>0</v>
      </c>
      <c r="G509" s="7">
        <v>0</v>
      </c>
      <c r="H509" s="7">
        <v>0</v>
      </c>
      <c r="I509" s="7">
        <v>0</v>
      </c>
      <c r="J509" s="7">
        <v>0</v>
      </c>
      <c r="K509" s="7">
        <v>0</v>
      </c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</row>
    <row r="510" spans="1:17">
      <c r="A510" s="2">
        <v>2458</v>
      </c>
      <c r="B510" s="7">
        <v>0</v>
      </c>
      <c r="C510" s="7">
        <v>0</v>
      </c>
      <c r="D510" s="7">
        <v>0</v>
      </c>
      <c r="E510" s="7">
        <v>0</v>
      </c>
      <c r="F510" s="7">
        <v>0</v>
      </c>
      <c r="G510" s="7">
        <v>0</v>
      </c>
      <c r="H510" s="7">
        <v>0</v>
      </c>
      <c r="I510" s="7">
        <v>0</v>
      </c>
      <c r="J510" s="7">
        <v>0</v>
      </c>
      <c r="K510" s="7">
        <v>0</v>
      </c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</row>
    <row r="511" spans="1:17">
      <c r="A511" s="2">
        <v>2459</v>
      </c>
      <c r="B511" s="7">
        <v>0</v>
      </c>
      <c r="C511" s="7">
        <v>0</v>
      </c>
      <c r="D511" s="7">
        <v>0</v>
      </c>
      <c r="E511" s="7">
        <v>0</v>
      </c>
      <c r="F511" s="7">
        <v>0</v>
      </c>
      <c r="G511" s="7">
        <v>0</v>
      </c>
      <c r="H511" s="7">
        <v>0</v>
      </c>
      <c r="I511" s="7">
        <v>0</v>
      </c>
      <c r="J511" s="7">
        <v>0</v>
      </c>
      <c r="K511" s="7">
        <v>0</v>
      </c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</row>
    <row r="512" spans="1:17">
      <c r="A512" s="2">
        <v>2460</v>
      </c>
      <c r="B512" s="7">
        <v>0</v>
      </c>
      <c r="C512" s="7">
        <v>0</v>
      </c>
      <c r="D512" s="7">
        <v>0</v>
      </c>
      <c r="E512" s="7">
        <v>0</v>
      </c>
      <c r="F512" s="7">
        <v>0</v>
      </c>
      <c r="G512" s="7">
        <v>0</v>
      </c>
      <c r="H512" s="7">
        <v>0</v>
      </c>
      <c r="I512" s="7">
        <v>0</v>
      </c>
      <c r="J512" s="7">
        <v>0</v>
      </c>
      <c r="K512" s="7">
        <v>0</v>
      </c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</row>
    <row r="513" spans="1:17">
      <c r="A513" s="2">
        <v>2461</v>
      </c>
      <c r="B513" s="7">
        <v>0</v>
      </c>
      <c r="C513" s="7">
        <v>0</v>
      </c>
      <c r="D513" s="7">
        <v>0</v>
      </c>
      <c r="E513" s="7">
        <v>0</v>
      </c>
      <c r="F513" s="7">
        <v>0</v>
      </c>
      <c r="G513" s="7">
        <v>0</v>
      </c>
      <c r="H513" s="7">
        <v>0</v>
      </c>
      <c r="I513" s="7">
        <v>0</v>
      </c>
      <c r="J513" s="7">
        <v>0</v>
      </c>
      <c r="K513" s="7">
        <v>0</v>
      </c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</row>
    <row r="514" spans="1:17">
      <c r="A514" s="2">
        <v>2462</v>
      </c>
      <c r="B514" s="7">
        <v>0</v>
      </c>
      <c r="C514" s="7">
        <v>0</v>
      </c>
      <c r="D514" s="7">
        <v>0</v>
      </c>
      <c r="E514" s="7">
        <v>0</v>
      </c>
      <c r="F514" s="7">
        <v>0</v>
      </c>
      <c r="G514" s="7">
        <v>0</v>
      </c>
      <c r="H514" s="7">
        <v>0</v>
      </c>
      <c r="I514" s="7">
        <v>0</v>
      </c>
      <c r="J514" s="7">
        <v>0</v>
      </c>
      <c r="K514" s="7">
        <v>0</v>
      </c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</row>
    <row r="515" spans="1:17">
      <c r="A515" s="2">
        <v>2463</v>
      </c>
      <c r="B515" s="7">
        <v>0</v>
      </c>
      <c r="C515" s="7">
        <v>0</v>
      </c>
      <c r="D515" s="7">
        <v>0</v>
      </c>
      <c r="E515" s="7">
        <v>0</v>
      </c>
      <c r="F515" s="7">
        <v>0</v>
      </c>
      <c r="G515" s="7">
        <v>0</v>
      </c>
      <c r="H515" s="7">
        <v>0</v>
      </c>
      <c r="I515" s="7">
        <v>0</v>
      </c>
      <c r="J515" s="7">
        <v>0</v>
      </c>
      <c r="K515" s="7">
        <v>0</v>
      </c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</row>
    <row r="516" spans="1:17">
      <c r="A516" s="2">
        <v>2464</v>
      </c>
      <c r="B516" s="7">
        <v>0</v>
      </c>
      <c r="C516" s="7">
        <v>0</v>
      </c>
      <c r="D516" s="7">
        <v>0</v>
      </c>
      <c r="E516" s="7">
        <v>0</v>
      </c>
      <c r="F516" s="7">
        <v>0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</row>
    <row r="517" spans="1:17">
      <c r="A517" s="2">
        <v>2465</v>
      </c>
      <c r="B517" s="7">
        <v>0</v>
      </c>
      <c r="C517" s="7">
        <v>0</v>
      </c>
      <c r="D517" s="7">
        <v>0</v>
      </c>
      <c r="E517" s="7">
        <v>0</v>
      </c>
      <c r="F517" s="7">
        <v>0</v>
      </c>
      <c r="G517" s="7">
        <v>0</v>
      </c>
      <c r="H517" s="7">
        <v>0</v>
      </c>
      <c r="I517" s="7">
        <v>0</v>
      </c>
      <c r="J517" s="7">
        <v>0</v>
      </c>
      <c r="K517" s="7">
        <v>0</v>
      </c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</row>
    <row r="518" spans="1:17">
      <c r="A518" s="2">
        <v>2466</v>
      </c>
      <c r="B518" s="7">
        <v>0</v>
      </c>
      <c r="C518" s="7">
        <v>0</v>
      </c>
      <c r="D518" s="7">
        <v>0</v>
      </c>
      <c r="E518" s="7">
        <v>0</v>
      </c>
      <c r="F518" s="7">
        <v>0</v>
      </c>
      <c r="G518" s="7">
        <v>0</v>
      </c>
      <c r="H518" s="7">
        <v>0</v>
      </c>
      <c r="I518" s="7">
        <v>0</v>
      </c>
      <c r="J518" s="7">
        <v>0</v>
      </c>
      <c r="K518" s="7">
        <v>0</v>
      </c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</row>
    <row r="519" spans="1:17">
      <c r="A519" s="2">
        <v>2467</v>
      </c>
      <c r="B519" s="7">
        <v>0</v>
      </c>
      <c r="C519" s="7">
        <v>0</v>
      </c>
      <c r="D519" s="7">
        <v>0</v>
      </c>
      <c r="E519" s="7">
        <v>0</v>
      </c>
      <c r="F519" s="7">
        <v>0</v>
      </c>
      <c r="G519" s="7">
        <v>0</v>
      </c>
      <c r="H519" s="7">
        <v>0</v>
      </c>
      <c r="I519" s="7">
        <v>0</v>
      </c>
      <c r="J519" s="7">
        <v>0</v>
      </c>
      <c r="K519" s="7">
        <v>0</v>
      </c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</row>
    <row r="520" spans="1:17">
      <c r="A520" s="2">
        <v>2468</v>
      </c>
      <c r="B520" s="7">
        <v>0</v>
      </c>
      <c r="C520" s="7">
        <v>0</v>
      </c>
      <c r="D520" s="7">
        <v>0</v>
      </c>
      <c r="E520" s="7">
        <v>0</v>
      </c>
      <c r="F520" s="7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</row>
    <row r="521" spans="1:17">
      <c r="A521" s="2">
        <v>2469</v>
      </c>
      <c r="B521" s="7">
        <v>0</v>
      </c>
      <c r="C521" s="7">
        <v>0</v>
      </c>
      <c r="D521" s="7">
        <v>0</v>
      </c>
      <c r="E521" s="7">
        <v>0</v>
      </c>
      <c r="F521" s="7">
        <v>0</v>
      </c>
      <c r="G521" s="7">
        <v>0</v>
      </c>
      <c r="H521" s="7">
        <v>0</v>
      </c>
      <c r="I521" s="7">
        <v>0</v>
      </c>
      <c r="J521" s="7">
        <v>0</v>
      </c>
      <c r="K521" s="7">
        <v>0</v>
      </c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</row>
    <row r="522" spans="1:17">
      <c r="A522" s="2">
        <v>2470</v>
      </c>
      <c r="B522" s="7">
        <v>0</v>
      </c>
      <c r="C522" s="7">
        <v>0</v>
      </c>
      <c r="D522" s="7">
        <v>0</v>
      </c>
      <c r="E522" s="7">
        <v>0</v>
      </c>
      <c r="F522" s="7">
        <v>0</v>
      </c>
      <c r="G522" s="7">
        <v>0</v>
      </c>
      <c r="H522" s="7">
        <v>0</v>
      </c>
      <c r="I522" s="7">
        <v>0</v>
      </c>
      <c r="J522" s="7">
        <v>0</v>
      </c>
      <c r="K522" s="7">
        <v>0</v>
      </c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</row>
    <row r="523" spans="1:17">
      <c r="A523" s="2">
        <v>2471</v>
      </c>
      <c r="B523" s="7">
        <v>0</v>
      </c>
      <c r="C523" s="7">
        <v>0</v>
      </c>
      <c r="D523" s="7">
        <v>0</v>
      </c>
      <c r="E523" s="7">
        <v>0</v>
      </c>
      <c r="F523" s="7">
        <v>0</v>
      </c>
      <c r="G523" s="7">
        <v>0</v>
      </c>
      <c r="H523" s="7">
        <v>0</v>
      </c>
      <c r="I523" s="7">
        <v>0</v>
      </c>
      <c r="J523" s="7">
        <v>0</v>
      </c>
      <c r="K523" s="7">
        <v>0</v>
      </c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</row>
    <row r="524" spans="1:17">
      <c r="A524" s="2">
        <v>2472</v>
      </c>
      <c r="B524" s="7">
        <v>0</v>
      </c>
      <c r="C524" s="7">
        <v>0</v>
      </c>
      <c r="D524" s="7">
        <v>0</v>
      </c>
      <c r="E524" s="7">
        <v>0</v>
      </c>
      <c r="F524" s="7">
        <v>0</v>
      </c>
      <c r="G524" s="7">
        <v>0</v>
      </c>
      <c r="H524" s="7">
        <v>0</v>
      </c>
      <c r="I524" s="7">
        <v>0</v>
      </c>
      <c r="J524" s="7">
        <v>0</v>
      </c>
      <c r="K524" s="7">
        <v>0</v>
      </c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</row>
    <row r="525" spans="1:17">
      <c r="A525" s="2">
        <v>2473</v>
      </c>
      <c r="B525" s="7">
        <v>0</v>
      </c>
      <c r="C525" s="7">
        <v>0</v>
      </c>
      <c r="D525" s="7">
        <v>0</v>
      </c>
      <c r="E525" s="7">
        <v>0</v>
      </c>
      <c r="F525" s="7">
        <v>0</v>
      </c>
      <c r="G525" s="7">
        <v>0</v>
      </c>
      <c r="H525" s="7">
        <v>0</v>
      </c>
      <c r="I525" s="7">
        <v>0</v>
      </c>
      <c r="J525" s="7">
        <v>0</v>
      </c>
      <c r="K525" s="7">
        <v>0</v>
      </c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</row>
    <row r="526" spans="1:17">
      <c r="A526" s="2">
        <v>2474</v>
      </c>
      <c r="B526" s="7">
        <v>0</v>
      </c>
      <c r="C526" s="7">
        <v>0</v>
      </c>
      <c r="D526" s="7">
        <v>0</v>
      </c>
      <c r="E526" s="7">
        <v>0</v>
      </c>
      <c r="F526" s="7">
        <v>0</v>
      </c>
      <c r="G526" s="7">
        <v>0</v>
      </c>
      <c r="H526" s="7">
        <v>0</v>
      </c>
      <c r="I526" s="7">
        <v>0</v>
      </c>
      <c r="J526" s="7">
        <v>0</v>
      </c>
      <c r="K526" s="7">
        <v>0</v>
      </c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</row>
    <row r="527" spans="1:17">
      <c r="A527" s="2">
        <v>2475</v>
      </c>
      <c r="B527" s="7">
        <v>0</v>
      </c>
      <c r="C527" s="7">
        <v>0</v>
      </c>
      <c r="D527" s="7">
        <v>0</v>
      </c>
      <c r="E527" s="7">
        <v>0</v>
      </c>
      <c r="F527" s="7">
        <v>0</v>
      </c>
      <c r="G527" s="7">
        <v>0</v>
      </c>
      <c r="H527" s="7">
        <v>0</v>
      </c>
      <c r="I527" s="7">
        <v>0</v>
      </c>
      <c r="J527" s="7">
        <v>0</v>
      </c>
      <c r="K527" s="7">
        <v>0</v>
      </c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</row>
    <row r="528" spans="1:17">
      <c r="A528" s="2">
        <v>2476</v>
      </c>
      <c r="B528" s="7">
        <v>0</v>
      </c>
      <c r="C528" s="7">
        <v>0</v>
      </c>
      <c r="D528" s="7">
        <v>0</v>
      </c>
      <c r="E528" s="7">
        <v>0</v>
      </c>
      <c r="F528" s="7">
        <v>0</v>
      </c>
      <c r="G528" s="7">
        <v>0</v>
      </c>
      <c r="H528" s="7">
        <v>0</v>
      </c>
      <c r="I528" s="7">
        <v>0</v>
      </c>
      <c r="J528" s="7">
        <v>0</v>
      </c>
      <c r="K528" s="7">
        <v>0</v>
      </c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</row>
    <row r="529" spans="1:17">
      <c r="A529" s="2">
        <v>2477</v>
      </c>
      <c r="B529" s="7">
        <v>0</v>
      </c>
      <c r="C529" s="7">
        <v>0</v>
      </c>
      <c r="D529" s="7">
        <v>0</v>
      </c>
      <c r="E529" s="7">
        <v>0</v>
      </c>
      <c r="F529" s="7">
        <v>0</v>
      </c>
      <c r="G529" s="7">
        <v>0</v>
      </c>
      <c r="H529" s="7">
        <v>0</v>
      </c>
      <c r="I529" s="7">
        <v>0</v>
      </c>
      <c r="J529" s="7">
        <v>0</v>
      </c>
      <c r="K529" s="7">
        <v>0</v>
      </c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</row>
    <row r="530" spans="1:17">
      <c r="A530" s="2">
        <v>2478</v>
      </c>
      <c r="B530" s="7">
        <v>0</v>
      </c>
      <c r="C530" s="7">
        <v>0</v>
      </c>
      <c r="D530" s="7">
        <v>0</v>
      </c>
      <c r="E530" s="7">
        <v>0</v>
      </c>
      <c r="F530" s="7">
        <v>0</v>
      </c>
      <c r="G530" s="7">
        <v>0</v>
      </c>
      <c r="H530" s="7">
        <v>0</v>
      </c>
      <c r="I530" s="7">
        <v>0</v>
      </c>
      <c r="J530" s="7">
        <v>0</v>
      </c>
      <c r="K530" s="7">
        <v>0</v>
      </c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</row>
    <row r="531" spans="1:17">
      <c r="A531" s="2">
        <v>2479</v>
      </c>
      <c r="B531" s="7">
        <v>0</v>
      </c>
      <c r="C531" s="7">
        <v>0</v>
      </c>
      <c r="D531" s="7">
        <v>0</v>
      </c>
      <c r="E531" s="7">
        <v>0</v>
      </c>
      <c r="F531" s="7">
        <v>0</v>
      </c>
      <c r="G531" s="7">
        <v>0</v>
      </c>
      <c r="H531" s="7">
        <v>0</v>
      </c>
      <c r="I531" s="7">
        <v>0</v>
      </c>
      <c r="J531" s="7">
        <v>0</v>
      </c>
      <c r="K531" s="7">
        <v>0</v>
      </c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</row>
    <row r="532" spans="1:17">
      <c r="A532" s="2">
        <v>2480</v>
      </c>
      <c r="B532" s="7">
        <v>0</v>
      </c>
      <c r="C532" s="7">
        <v>0</v>
      </c>
      <c r="D532" s="7">
        <v>0</v>
      </c>
      <c r="E532" s="7">
        <v>0</v>
      </c>
      <c r="F532" s="7">
        <v>0</v>
      </c>
      <c r="G532" s="7">
        <v>0</v>
      </c>
      <c r="H532" s="7">
        <v>0</v>
      </c>
      <c r="I532" s="7">
        <v>0</v>
      </c>
      <c r="J532" s="7">
        <v>0</v>
      </c>
      <c r="K532" s="7">
        <v>0</v>
      </c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</row>
    <row r="533" spans="1:17">
      <c r="A533" s="2">
        <v>2481</v>
      </c>
      <c r="B533" s="7">
        <v>0</v>
      </c>
      <c r="C533" s="7">
        <v>0</v>
      </c>
      <c r="D533" s="7">
        <v>0</v>
      </c>
      <c r="E533" s="7">
        <v>0</v>
      </c>
      <c r="F533" s="7">
        <v>0</v>
      </c>
      <c r="G533" s="7">
        <v>0</v>
      </c>
      <c r="H533" s="7">
        <v>0</v>
      </c>
      <c r="I533" s="7">
        <v>0</v>
      </c>
      <c r="J533" s="7">
        <v>0</v>
      </c>
      <c r="K533" s="7">
        <v>0</v>
      </c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</row>
    <row r="534" spans="1:17">
      <c r="A534" s="2">
        <v>2482</v>
      </c>
      <c r="B534" s="7">
        <v>0</v>
      </c>
      <c r="C534" s="7">
        <v>0</v>
      </c>
      <c r="D534" s="7">
        <v>0</v>
      </c>
      <c r="E534" s="7">
        <v>0</v>
      </c>
      <c r="F534" s="7">
        <v>0</v>
      </c>
      <c r="G534" s="7">
        <v>0</v>
      </c>
      <c r="H534" s="7">
        <v>0</v>
      </c>
      <c r="I534" s="7">
        <v>0</v>
      </c>
      <c r="J534" s="7">
        <v>0</v>
      </c>
      <c r="K534" s="7">
        <v>0</v>
      </c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</row>
    <row r="535" spans="1:17">
      <c r="A535" s="2">
        <v>2483</v>
      </c>
      <c r="B535" s="7">
        <v>0</v>
      </c>
      <c r="C535" s="7">
        <v>0</v>
      </c>
      <c r="D535" s="7">
        <v>0</v>
      </c>
      <c r="E535" s="7">
        <v>0</v>
      </c>
      <c r="F535" s="7">
        <v>0</v>
      </c>
      <c r="G535" s="7">
        <v>0</v>
      </c>
      <c r="H535" s="7">
        <v>0</v>
      </c>
      <c r="I535" s="7">
        <v>0</v>
      </c>
      <c r="J535" s="7">
        <v>0</v>
      </c>
      <c r="K535" s="7">
        <v>0</v>
      </c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</row>
    <row r="536" spans="1:17">
      <c r="A536" s="2">
        <v>2484</v>
      </c>
      <c r="B536" s="7">
        <v>0</v>
      </c>
      <c r="C536" s="7">
        <v>0</v>
      </c>
      <c r="D536" s="7">
        <v>0</v>
      </c>
      <c r="E536" s="7">
        <v>0</v>
      </c>
      <c r="F536" s="7">
        <v>0</v>
      </c>
      <c r="G536" s="7">
        <v>0</v>
      </c>
      <c r="H536" s="7">
        <v>0</v>
      </c>
      <c r="I536" s="7">
        <v>0</v>
      </c>
      <c r="J536" s="7">
        <v>0</v>
      </c>
      <c r="K536" s="7">
        <v>0</v>
      </c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</row>
    <row r="537" spans="1:17">
      <c r="A537" s="2">
        <v>2485</v>
      </c>
      <c r="B537" s="7">
        <v>0</v>
      </c>
      <c r="C537" s="7">
        <v>0</v>
      </c>
      <c r="D537" s="7">
        <v>0</v>
      </c>
      <c r="E537" s="7">
        <v>0</v>
      </c>
      <c r="F537" s="7">
        <v>0</v>
      </c>
      <c r="G537" s="7">
        <v>0</v>
      </c>
      <c r="H537" s="7">
        <v>0</v>
      </c>
      <c r="I537" s="7">
        <v>0</v>
      </c>
      <c r="J537" s="7">
        <v>0</v>
      </c>
      <c r="K537" s="7">
        <v>0</v>
      </c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</row>
    <row r="538" spans="1:17">
      <c r="A538" s="2">
        <v>2486</v>
      </c>
      <c r="B538" s="7">
        <v>0</v>
      </c>
      <c r="C538" s="7">
        <v>0</v>
      </c>
      <c r="D538" s="7">
        <v>0</v>
      </c>
      <c r="E538" s="7">
        <v>0</v>
      </c>
      <c r="F538" s="7">
        <v>0</v>
      </c>
      <c r="G538" s="7">
        <v>0</v>
      </c>
      <c r="H538" s="7">
        <v>0</v>
      </c>
      <c r="I538" s="7">
        <v>0</v>
      </c>
      <c r="J538" s="7">
        <v>0</v>
      </c>
      <c r="K538" s="7">
        <v>0</v>
      </c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</row>
    <row r="539" spans="1:17">
      <c r="A539" s="2">
        <v>2487</v>
      </c>
      <c r="B539" s="7">
        <v>0</v>
      </c>
      <c r="C539" s="7">
        <v>0</v>
      </c>
      <c r="D539" s="7">
        <v>0</v>
      </c>
      <c r="E539" s="7">
        <v>0</v>
      </c>
      <c r="F539" s="7">
        <v>0</v>
      </c>
      <c r="G539" s="7">
        <v>0</v>
      </c>
      <c r="H539" s="7">
        <v>0</v>
      </c>
      <c r="I539" s="7">
        <v>0</v>
      </c>
      <c r="J539" s="7">
        <v>0</v>
      </c>
      <c r="K539" s="7">
        <v>0</v>
      </c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</row>
    <row r="540" spans="1:17">
      <c r="A540" s="2">
        <v>2488</v>
      </c>
      <c r="B540" s="7">
        <v>0</v>
      </c>
      <c r="C540" s="7">
        <v>0</v>
      </c>
      <c r="D540" s="7">
        <v>0</v>
      </c>
      <c r="E540" s="7">
        <v>0</v>
      </c>
      <c r="F540" s="7">
        <v>0</v>
      </c>
      <c r="G540" s="7">
        <v>0</v>
      </c>
      <c r="H540" s="7">
        <v>0</v>
      </c>
      <c r="I540" s="7">
        <v>0</v>
      </c>
      <c r="J540" s="7">
        <v>0</v>
      </c>
      <c r="K540" s="7">
        <v>0</v>
      </c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</row>
    <row r="541" spans="1:17">
      <c r="A541" s="2">
        <v>2489</v>
      </c>
      <c r="B541" s="7">
        <v>0</v>
      </c>
      <c r="C541" s="7">
        <v>0</v>
      </c>
      <c r="D541" s="7">
        <v>0</v>
      </c>
      <c r="E541" s="7">
        <v>0</v>
      </c>
      <c r="F541" s="7">
        <v>0</v>
      </c>
      <c r="G541" s="7">
        <v>0</v>
      </c>
      <c r="H541" s="7">
        <v>0</v>
      </c>
      <c r="I541" s="7">
        <v>0</v>
      </c>
      <c r="J541" s="7">
        <v>0</v>
      </c>
      <c r="K541" s="7">
        <v>0</v>
      </c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</row>
    <row r="542" spans="1:17">
      <c r="A542" s="2">
        <v>2490</v>
      </c>
      <c r="B542" s="7">
        <v>0</v>
      </c>
      <c r="C542" s="7">
        <v>0</v>
      </c>
      <c r="D542" s="7">
        <v>0</v>
      </c>
      <c r="E542" s="7">
        <v>0</v>
      </c>
      <c r="F542" s="7">
        <v>0</v>
      </c>
      <c r="G542" s="7">
        <v>0</v>
      </c>
      <c r="H542" s="7">
        <v>0</v>
      </c>
      <c r="I542" s="7">
        <v>0</v>
      </c>
      <c r="J542" s="7">
        <v>0</v>
      </c>
      <c r="K542" s="7">
        <v>0</v>
      </c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</row>
    <row r="543" spans="1:17">
      <c r="A543" s="2">
        <v>2491</v>
      </c>
      <c r="B543" s="7">
        <v>0</v>
      </c>
      <c r="C543" s="7">
        <v>0</v>
      </c>
      <c r="D543" s="7">
        <v>0</v>
      </c>
      <c r="E543" s="7">
        <v>0</v>
      </c>
      <c r="F543" s="7">
        <v>0</v>
      </c>
      <c r="G543" s="7">
        <v>0</v>
      </c>
      <c r="H543" s="7">
        <v>0</v>
      </c>
      <c r="I543" s="7">
        <v>0</v>
      </c>
      <c r="J543" s="7">
        <v>0</v>
      </c>
      <c r="K543" s="7">
        <v>0</v>
      </c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</row>
    <row r="544" spans="1:17">
      <c r="A544" s="2">
        <v>2492</v>
      </c>
      <c r="B544" s="7">
        <v>0</v>
      </c>
      <c r="C544" s="7">
        <v>0</v>
      </c>
      <c r="D544" s="7">
        <v>0</v>
      </c>
      <c r="E544" s="7">
        <v>0</v>
      </c>
      <c r="F544" s="7">
        <v>0</v>
      </c>
      <c r="G544" s="7">
        <v>0</v>
      </c>
      <c r="H544" s="7">
        <v>0</v>
      </c>
      <c r="I544" s="7">
        <v>0</v>
      </c>
      <c r="J544" s="7">
        <v>0</v>
      </c>
      <c r="K544" s="7">
        <v>0</v>
      </c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</row>
    <row r="545" spans="1:17">
      <c r="A545" s="2">
        <v>2493</v>
      </c>
      <c r="B545" s="7">
        <v>0</v>
      </c>
      <c r="C545" s="7">
        <v>0</v>
      </c>
      <c r="D545" s="7">
        <v>0</v>
      </c>
      <c r="E545" s="7">
        <v>0</v>
      </c>
      <c r="F545" s="7">
        <v>0</v>
      </c>
      <c r="G545" s="7">
        <v>0</v>
      </c>
      <c r="H545" s="7">
        <v>0</v>
      </c>
      <c r="I545" s="7">
        <v>0</v>
      </c>
      <c r="J545" s="7">
        <v>0</v>
      </c>
      <c r="K545" s="7">
        <v>0</v>
      </c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</row>
    <row r="546" spans="1:17">
      <c r="A546" s="2">
        <v>2494</v>
      </c>
      <c r="B546" s="7">
        <v>0</v>
      </c>
      <c r="C546" s="7">
        <v>0</v>
      </c>
      <c r="D546" s="7">
        <v>0</v>
      </c>
      <c r="E546" s="7">
        <v>0</v>
      </c>
      <c r="F546" s="7">
        <v>0</v>
      </c>
      <c r="G546" s="7">
        <v>0</v>
      </c>
      <c r="H546" s="7">
        <v>0</v>
      </c>
      <c r="I546" s="7">
        <v>0</v>
      </c>
      <c r="J546" s="7">
        <v>0</v>
      </c>
      <c r="K546" s="7">
        <v>0</v>
      </c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</row>
    <row r="547" spans="1:17">
      <c r="A547" s="2">
        <v>2495</v>
      </c>
      <c r="B547" s="7">
        <v>0</v>
      </c>
      <c r="C547" s="7">
        <v>0</v>
      </c>
      <c r="D547" s="7">
        <v>0</v>
      </c>
      <c r="E547" s="7">
        <v>0</v>
      </c>
      <c r="F547" s="7">
        <v>0</v>
      </c>
      <c r="G547" s="7">
        <v>0</v>
      </c>
      <c r="H547" s="7">
        <v>0</v>
      </c>
      <c r="I547" s="7">
        <v>0</v>
      </c>
      <c r="J547" s="7">
        <v>0</v>
      </c>
      <c r="K547" s="7">
        <v>0</v>
      </c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</row>
    <row r="548" spans="1:17">
      <c r="A548" s="2">
        <v>2496</v>
      </c>
      <c r="B548" s="7">
        <v>0</v>
      </c>
      <c r="C548" s="7">
        <v>0</v>
      </c>
      <c r="D548" s="7">
        <v>0</v>
      </c>
      <c r="E548" s="7">
        <v>0</v>
      </c>
      <c r="F548" s="7">
        <v>0</v>
      </c>
      <c r="G548" s="7">
        <v>0</v>
      </c>
      <c r="H548" s="7">
        <v>0</v>
      </c>
      <c r="I548" s="7">
        <v>0</v>
      </c>
      <c r="J548" s="7">
        <v>0</v>
      </c>
      <c r="K548" s="7">
        <v>0</v>
      </c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</row>
    <row r="549" spans="1:17">
      <c r="A549" s="2">
        <v>2497</v>
      </c>
      <c r="B549" s="7">
        <v>0</v>
      </c>
      <c r="C549" s="7">
        <v>0</v>
      </c>
      <c r="D549" s="7">
        <v>0</v>
      </c>
      <c r="E549" s="7">
        <v>0</v>
      </c>
      <c r="F549" s="7">
        <v>0</v>
      </c>
      <c r="G549" s="7">
        <v>0</v>
      </c>
      <c r="H549" s="7">
        <v>0</v>
      </c>
      <c r="I549" s="7">
        <v>0</v>
      </c>
      <c r="J549" s="7">
        <v>0</v>
      </c>
      <c r="K549" s="7">
        <v>0</v>
      </c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</row>
    <row r="550" spans="1:17">
      <c r="A550" s="2">
        <v>2498</v>
      </c>
      <c r="B550" s="7">
        <v>0</v>
      </c>
      <c r="C550" s="7">
        <v>0</v>
      </c>
      <c r="D550" s="7">
        <v>0</v>
      </c>
      <c r="E550" s="7">
        <v>0</v>
      </c>
      <c r="F550" s="7">
        <v>0</v>
      </c>
      <c r="G550" s="7">
        <v>0</v>
      </c>
      <c r="H550" s="7">
        <v>0</v>
      </c>
      <c r="I550" s="7">
        <v>0</v>
      </c>
      <c r="J550" s="7">
        <v>0</v>
      </c>
      <c r="K550" s="7">
        <v>0</v>
      </c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</row>
    <row r="551" spans="1:17">
      <c r="A551" s="2">
        <v>2499</v>
      </c>
      <c r="B551" s="7">
        <v>0</v>
      </c>
      <c r="C551" s="7">
        <v>0</v>
      </c>
      <c r="D551" s="7">
        <v>0</v>
      </c>
      <c r="E551" s="7">
        <v>0</v>
      </c>
      <c r="F551" s="7">
        <v>0</v>
      </c>
      <c r="G551" s="7">
        <v>0</v>
      </c>
      <c r="H551" s="7">
        <v>0</v>
      </c>
      <c r="I551" s="7">
        <v>0</v>
      </c>
      <c r="J551" s="7">
        <v>0</v>
      </c>
      <c r="K551" s="7">
        <v>0</v>
      </c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</row>
    <row r="552" spans="1:17">
      <c r="A552" s="2">
        <v>2500</v>
      </c>
      <c r="B552" s="7">
        <v>0</v>
      </c>
      <c r="C552" s="7">
        <v>0</v>
      </c>
      <c r="D552" s="7">
        <v>0</v>
      </c>
      <c r="E552" s="7">
        <v>0</v>
      </c>
      <c r="F552" s="7">
        <v>0</v>
      </c>
      <c r="G552" s="7">
        <v>0</v>
      </c>
      <c r="H552" s="7">
        <v>0</v>
      </c>
      <c r="I552" s="7">
        <v>0</v>
      </c>
      <c r="J552" s="7">
        <v>0</v>
      </c>
      <c r="K552" s="7">
        <v>0</v>
      </c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</row>
    <row r="553" spans="1:17">
      <c r="A553" s="2">
        <v>2501</v>
      </c>
      <c r="B553" s="7">
        <v>0</v>
      </c>
      <c r="C553" s="7">
        <v>0</v>
      </c>
      <c r="D553" s="7">
        <v>0</v>
      </c>
      <c r="E553" s="7">
        <v>0</v>
      </c>
      <c r="F553" s="7">
        <v>0</v>
      </c>
      <c r="G553" s="7">
        <v>0</v>
      </c>
      <c r="H553" s="7">
        <v>0</v>
      </c>
      <c r="I553" s="7">
        <v>0</v>
      </c>
      <c r="J553" s="7">
        <v>0</v>
      </c>
      <c r="K553" s="7">
        <v>0</v>
      </c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</row>
    <row r="554" spans="1:17">
      <c r="A554" s="2">
        <v>2502</v>
      </c>
      <c r="B554" s="7">
        <v>0</v>
      </c>
      <c r="C554" s="7">
        <v>0</v>
      </c>
      <c r="D554" s="7">
        <v>0</v>
      </c>
      <c r="E554" s="7">
        <v>0</v>
      </c>
      <c r="F554" s="7">
        <v>0</v>
      </c>
      <c r="G554" s="7">
        <v>0</v>
      </c>
      <c r="H554" s="7">
        <v>0</v>
      </c>
      <c r="I554" s="7">
        <v>0</v>
      </c>
      <c r="J554" s="7">
        <v>0</v>
      </c>
      <c r="K554" s="7">
        <v>0</v>
      </c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</row>
    <row r="555" spans="1:17">
      <c r="A555" s="2">
        <v>2503</v>
      </c>
      <c r="B555" s="7">
        <v>0</v>
      </c>
      <c r="C555" s="7">
        <v>0</v>
      </c>
      <c r="D555" s="7">
        <v>0</v>
      </c>
      <c r="E555" s="7">
        <v>0</v>
      </c>
      <c r="F555" s="7">
        <v>0</v>
      </c>
      <c r="G555" s="7">
        <v>0</v>
      </c>
      <c r="H555" s="7">
        <v>0</v>
      </c>
      <c r="I555" s="7">
        <v>0</v>
      </c>
      <c r="J555" s="7">
        <v>0</v>
      </c>
      <c r="K555" s="7">
        <v>0</v>
      </c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</row>
    <row r="556" spans="1:17">
      <c r="A556" s="2">
        <v>2504</v>
      </c>
      <c r="B556" s="7">
        <v>0</v>
      </c>
      <c r="C556" s="7">
        <v>0</v>
      </c>
      <c r="D556" s="7">
        <v>0</v>
      </c>
      <c r="E556" s="7">
        <v>0</v>
      </c>
      <c r="F556" s="7">
        <v>0</v>
      </c>
      <c r="G556" s="7">
        <v>0</v>
      </c>
      <c r="H556" s="7">
        <v>0</v>
      </c>
      <c r="I556" s="7">
        <v>0</v>
      </c>
      <c r="J556" s="7">
        <v>0</v>
      </c>
      <c r="K556" s="7">
        <v>0</v>
      </c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</row>
    <row r="557" spans="1:17">
      <c r="A557" s="2">
        <v>2505</v>
      </c>
      <c r="B557" s="7">
        <v>0</v>
      </c>
      <c r="C557" s="7">
        <v>0</v>
      </c>
      <c r="D557" s="7">
        <v>0</v>
      </c>
      <c r="E557" s="7">
        <v>0</v>
      </c>
      <c r="F557" s="7">
        <v>0</v>
      </c>
      <c r="G557" s="7">
        <v>0</v>
      </c>
      <c r="H557" s="7">
        <v>0</v>
      </c>
      <c r="I557" s="7">
        <v>0</v>
      </c>
      <c r="J557" s="7">
        <v>0</v>
      </c>
      <c r="K557" s="7">
        <v>0</v>
      </c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</row>
    <row r="558" spans="1:17">
      <c r="A558" s="2">
        <v>2506</v>
      </c>
      <c r="B558" s="7">
        <v>0</v>
      </c>
      <c r="C558" s="7">
        <v>0</v>
      </c>
      <c r="D558" s="7">
        <v>0</v>
      </c>
      <c r="E558" s="7">
        <v>0</v>
      </c>
      <c r="F558" s="7">
        <v>0</v>
      </c>
      <c r="G558" s="7">
        <v>0</v>
      </c>
      <c r="H558" s="7">
        <v>0</v>
      </c>
      <c r="I558" s="7">
        <v>0</v>
      </c>
      <c r="J558" s="7">
        <v>0</v>
      </c>
      <c r="K558" s="7">
        <v>0</v>
      </c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</row>
    <row r="559" spans="1:17">
      <c r="A559" s="2">
        <v>2507</v>
      </c>
      <c r="B559" s="7">
        <v>0</v>
      </c>
      <c r="C559" s="7">
        <v>0</v>
      </c>
      <c r="D559" s="7">
        <v>0</v>
      </c>
      <c r="E559" s="7">
        <v>0</v>
      </c>
      <c r="F559" s="7">
        <v>0</v>
      </c>
      <c r="G559" s="7">
        <v>0</v>
      </c>
      <c r="H559" s="7">
        <v>0</v>
      </c>
      <c r="I559" s="7">
        <v>0</v>
      </c>
      <c r="J559" s="7">
        <v>0</v>
      </c>
      <c r="K559" s="7">
        <v>0</v>
      </c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</row>
    <row r="560" spans="1:17">
      <c r="A560" s="2">
        <v>2508</v>
      </c>
      <c r="B560" s="7">
        <v>0</v>
      </c>
      <c r="C560" s="7">
        <v>0</v>
      </c>
      <c r="D560" s="7">
        <v>0</v>
      </c>
      <c r="E560" s="7">
        <v>0</v>
      </c>
      <c r="F560" s="7">
        <v>0</v>
      </c>
      <c r="G560" s="7">
        <v>0</v>
      </c>
      <c r="H560" s="7">
        <v>0</v>
      </c>
      <c r="I560" s="7">
        <v>0</v>
      </c>
      <c r="J560" s="7">
        <v>0</v>
      </c>
      <c r="K560" s="7">
        <v>0</v>
      </c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</row>
    <row r="561" spans="1:17">
      <c r="A561" s="2">
        <v>2509</v>
      </c>
      <c r="B561" s="7">
        <v>0</v>
      </c>
      <c r="C561" s="7">
        <v>0</v>
      </c>
      <c r="D561" s="7">
        <v>0</v>
      </c>
      <c r="E561" s="7">
        <v>0</v>
      </c>
      <c r="F561" s="7">
        <v>0</v>
      </c>
      <c r="G561" s="7">
        <v>0</v>
      </c>
      <c r="H561" s="7">
        <v>0</v>
      </c>
      <c r="I561" s="7">
        <v>0</v>
      </c>
      <c r="J561" s="7">
        <v>0</v>
      </c>
      <c r="K561" s="7">
        <v>0</v>
      </c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</row>
    <row r="562" spans="1:17">
      <c r="A562" s="2">
        <v>2510</v>
      </c>
      <c r="B562" s="7">
        <v>0</v>
      </c>
      <c r="C562" s="7">
        <v>0</v>
      </c>
      <c r="D562" s="7">
        <v>0</v>
      </c>
      <c r="E562" s="7">
        <v>0</v>
      </c>
      <c r="F562" s="7">
        <v>0</v>
      </c>
      <c r="G562" s="7">
        <v>0</v>
      </c>
      <c r="H562" s="7">
        <v>0</v>
      </c>
      <c r="I562" s="7">
        <v>0</v>
      </c>
      <c r="J562" s="7">
        <v>0</v>
      </c>
      <c r="K562" s="7">
        <v>0</v>
      </c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</row>
    <row r="563" spans="1:17">
      <c r="A563" s="2">
        <v>2511</v>
      </c>
      <c r="B563" s="7">
        <v>0</v>
      </c>
      <c r="C563" s="7">
        <v>0</v>
      </c>
      <c r="D563" s="7">
        <v>0</v>
      </c>
      <c r="E563" s="7">
        <v>0</v>
      </c>
      <c r="F563" s="7">
        <v>0</v>
      </c>
      <c r="G563" s="7">
        <v>0</v>
      </c>
      <c r="H563" s="7">
        <v>0</v>
      </c>
      <c r="I563" s="7">
        <v>0</v>
      </c>
      <c r="J563" s="7">
        <v>0</v>
      </c>
      <c r="K563" s="7">
        <v>0</v>
      </c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</row>
    <row r="564" spans="1:17">
      <c r="A564" s="2">
        <v>2512</v>
      </c>
      <c r="B564" s="7">
        <v>0</v>
      </c>
      <c r="C564" s="7">
        <v>0</v>
      </c>
      <c r="D564" s="7">
        <v>0</v>
      </c>
      <c r="E564" s="7">
        <v>0</v>
      </c>
      <c r="F564" s="7">
        <v>0</v>
      </c>
      <c r="G564" s="7">
        <v>0</v>
      </c>
      <c r="H564" s="7">
        <v>0</v>
      </c>
      <c r="I564" s="7">
        <v>0</v>
      </c>
      <c r="J564" s="7">
        <v>0</v>
      </c>
      <c r="K564" s="7">
        <v>0</v>
      </c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</row>
    <row r="565" spans="1:17">
      <c r="A565" s="2">
        <v>2513</v>
      </c>
      <c r="B565" s="7">
        <v>0</v>
      </c>
      <c r="C565" s="7">
        <v>0</v>
      </c>
      <c r="D565" s="7">
        <v>0</v>
      </c>
      <c r="E565" s="7">
        <v>0</v>
      </c>
      <c r="F565" s="7">
        <v>0</v>
      </c>
      <c r="G565" s="7">
        <v>0</v>
      </c>
      <c r="H565" s="7">
        <v>0</v>
      </c>
      <c r="I565" s="7">
        <v>0</v>
      </c>
      <c r="J565" s="7">
        <v>0</v>
      </c>
      <c r="K565" s="7">
        <v>0</v>
      </c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</row>
    <row r="566" spans="1:17">
      <c r="A566" s="2">
        <v>2514</v>
      </c>
      <c r="B566" s="7">
        <v>0</v>
      </c>
      <c r="C566" s="7">
        <v>0</v>
      </c>
      <c r="D566" s="7">
        <v>0</v>
      </c>
      <c r="E566" s="7">
        <v>0</v>
      </c>
      <c r="F566" s="7">
        <v>0</v>
      </c>
      <c r="G566" s="7">
        <v>0</v>
      </c>
      <c r="H566" s="7">
        <v>0</v>
      </c>
      <c r="I566" s="7">
        <v>0</v>
      </c>
      <c r="J566" s="7">
        <v>0</v>
      </c>
      <c r="K566" s="7">
        <v>0</v>
      </c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</row>
    <row r="567" spans="1:17">
      <c r="A567" s="2">
        <v>2515</v>
      </c>
      <c r="B567" s="7">
        <v>0</v>
      </c>
      <c r="C567" s="7">
        <v>0</v>
      </c>
      <c r="D567" s="7">
        <v>0</v>
      </c>
      <c r="E567" s="7">
        <v>0</v>
      </c>
      <c r="F567" s="7">
        <v>0</v>
      </c>
      <c r="G567" s="7">
        <v>0</v>
      </c>
      <c r="H567" s="7">
        <v>0</v>
      </c>
      <c r="I567" s="7">
        <v>0</v>
      </c>
      <c r="J567" s="7">
        <v>0</v>
      </c>
      <c r="K567" s="7">
        <v>0</v>
      </c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</row>
    <row r="568" spans="1:17">
      <c r="A568" s="2">
        <v>2516</v>
      </c>
      <c r="B568" s="7">
        <v>0</v>
      </c>
      <c r="C568" s="7">
        <v>0</v>
      </c>
      <c r="D568" s="7">
        <v>0</v>
      </c>
      <c r="E568" s="7">
        <v>0</v>
      </c>
      <c r="F568" s="7">
        <v>0</v>
      </c>
      <c r="G568" s="7">
        <v>0</v>
      </c>
      <c r="H568" s="7">
        <v>0</v>
      </c>
      <c r="I568" s="7">
        <v>0</v>
      </c>
      <c r="J568" s="7">
        <v>0</v>
      </c>
      <c r="K568" s="7">
        <v>0</v>
      </c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</row>
    <row r="569" spans="1:17">
      <c r="A569" s="2">
        <v>2517</v>
      </c>
      <c r="B569" s="7">
        <v>0</v>
      </c>
      <c r="C569" s="7">
        <v>0</v>
      </c>
      <c r="D569" s="7">
        <v>0</v>
      </c>
      <c r="E569" s="7">
        <v>0</v>
      </c>
      <c r="F569" s="7">
        <v>0</v>
      </c>
      <c r="G569" s="7">
        <v>0</v>
      </c>
      <c r="H569" s="7">
        <v>0</v>
      </c>
      <c r="I569" s="7">
        <v>0</v>
      </c>
      <c r="J569" s="7">
        <v>0</v>
      </c>
      <c r="K569" s="7">
        <v>0</v>
      </c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</row>
    <row r="570" spans="1:17">
      <c r="A570" s="2">
        <v>2518</v>
      </c>
      <c r="B570" s="7">
        <v>0</v>
      </c>
      <c r="C570" s="7">
        <v>0</v>
      </c>
      <c r="D570" s="7">
        <v>0</v>
      </c>
      <c r="E570" s="7">
        <v>0</v>
      </c>
      <c r="F570" s="7">
        <v>0</v>
      </c>
      <c r="G570" s="7">
        <v>0</v>
      </c>
      <c r="H570" s="7">
        <v>0</v>
      </c>
      <c r="I570" s="7">
        <v>0</v>
      </c>
      <c r="J570" s="7">
        <v>0</v>
      </c>
      <c r="K570" s="7">
        <v>0</v>
      </c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</row>
    <row r="571" spans="1:17">
      <c r="A571" s="2">
        <v>2519</v>
      </c>
      <c r="B571" s="7">
        <v>0</v>
      </c>
      <c r="C571" s="7">
        <v>0</v>
      </c>
      <c r="D571" s="7">
        <v>0</v>
      </c>
      <c r="E571" s="7">
        <v>0</v>
      </c>
      <c r="F571" s="7">
        <v>0</v>
      </c>
      <c r="G571" s="7">
        <v>0</v>
      </c>
      <c r="H571" s="7">
        <v>0</v>
      </c>
      <c r="I571" s="7">
        <v>0</v>
      </c>
      <c r="J571" s="7">
        <v>0</v>
      </c>
      <c r="K571" s="7">
        <v>0</v>
      </c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</row>
    <row r="572" spans="1:17">
      <c r="A572" s="2">
        <v>2520</v>
      </c>
      <c r="B572" s="7">
        <v>0</v>
      </c>
      <c r="C572" s="7">
        <v>0</v>
      </c>
      <c r="D572" s="7">
        <v>0</v>
      </c>
      <c r="E572" s="7">
        <v>0</v>
      </c>
      <c r="F572" s="7">
        <v>0</v>
      </c>
      <c r="G572" s="7">
        <v>0</v>
      </c>
      <c r="H572" s="7">
        <v>0</v>
      </c>
      <c r="I572" s="7">
        <v>0</v>
      </c>
      <c r="J572" s="7">
        <v>0</v>
      </c>
      <c r="K572" s="7">
        <v>0</v>
      </c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</row>
    <row r="573" spans="1:17">
      <c r="A573" s="2">
        <v>2521</v>
      </c>
      <c r="B573" s="7">
        <v>0</v>
      </c>
      <c r="C573" s="7">
        <v>0</v>
      </c>
      <c r="D573" s="7">
        <v>0</v>
      </c>
      <c r="E573" s="7">
        <v>0</v>
      </c>
      <c r="F573" s="7">
        <v>0</v>
      </c>
      <c r="G573" s="7">
        <v>0</v>
      </c>
      <c r="H573" s="7">
        <v>0</v>
      </c>
      <c r="I573" s="7">
        <v>0</v>
      </c>
      <c r="J573" s="7">
        <v>0</v>
      </c>
      <c r="K573" s="7">
        <v>0</v>
      </c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</row>
    <row r="574" spans="1:17">
      <c r="A574" s="2">
        <v>2522</v>
      </c>
      <c r="B574" s="7">
        <v>0</v>
      </c>
      <c r="C574" s="7">
        <v>0</v>
      </c>
      <c r="D574" s="7">
        <v>0</v>
      </c>
      <c r="E574" s="7">
        <v>0</v>
      </c>
      <c r="F574" s="7">
        <v>0</v>
      </c>
      <c r="G574" s="7">
        <v>0</v>
      </c>
      <c r="H574" s="7">
        <v>0</v>
      </c>
      <c r="I574" s="7">
        <v>0</v>
      </c>
      <c r="J574" s="7">
        <v>0</v>
      </c>
      <c r="K574" s="7">
        <v>0</v>
      </c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</row>
    <row r="575" spans="1:17">
      <c r="A575" s="2">
        <v>2523</v>
      </c>
      <c r="B575" s="7">
        <v>0</v>
      </c>
      <c r="C575" s="7">
        <v>0</v>
      </c>
      <c r="D575" s="7">
        <v>0</v>
      </c>
      <c r="E575" s="7">
        <v>0</v>
      </c>
      <c r="F575" s="7">
        <v>0</v>
      </c>
      <c r="G575" s="7">
        <v>0</v>
      </c>
      <c r="H575" s="7">
        <v>0</v>
      </c>
      <c r="I575" s="7">
        <v>0</v>
      </c>
      <c r="J575" s="7">
        <v>0</v>
      </c>
      <c r="K575" s="7">
        <v>0</v>
      </c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</row>
    <row r="576" spans="1:17">
      <c r="A576" s="2">
        <v>2524</v>
      </c>
      <c r="B576" s="7">
        <v>0</v>
      </c>
      <c r="C576" s="7">
        <v>0</v>
      </c>
      <c r="D576" s="7">
        <v>0</v>
      </c>
      <c r="E576" s="7">
        <v>0</v>
      </c>
      <c r="F576" s="7">
        <v>0</v>
      </c>
      <c r="G576" s="7">
        <v>0</v>
      </c>
      <c r="H576" s="7">
        <v>0</v>
      </c>
      <c r="I576" s="7">
        <v>0</v>
      </c>
      <c r="J576" s="7">
        <v>0</v>
      </c>
      <c r="K576" s="7">
        <v>0</v>
      </c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</row>
    <row r="577" spans="1:17">
      <c r="A577" s="2">
        <v>2525</v>
      </c>
      <c r="B577" s="7">
        <v>0</v>
      </c>
      <c r="C577" s="7">
        <v>0</v>
      </c>
      <c r="D577" s="7">
        <v>0</v>
      </c>
      <c r="E577" s="7">
        <v>0</v>
      </c>
      <c r="F577" s="7">
        <v>0</v>
      </c>
      <c r="G577" s="7">
        <v>0</v>
      </c>
      <c r="H577" s="7">
        <v>0</v>
      </c>
      <c r="I577" s="7">
        <v>0</v>
      </c>
      <c r="J577" s="7">
        <v>0</v>
      </c>
      <c r="K577" s="7">
        <v>0</v>
      </c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</row>
    <row r="578" spans="1:17">
      <c r="A578" s="2">
        <v>2526</v>
      </c>
      <c r="B578" s="7">
        <v>0</v>
      </c>
      <c r="C578" s="7">
        <v>0</v>
      </c>
      <c r="D578" s="7">
        <v>0</v>
      </c>
      <c r="E578" s="7">
        <v>0</v>
      </c>
      <c r="F578" s="7">
        <v>0</v>
      </c>
      <c r="G578" s="7">
        <v>0</v>
      </c>
      <c r="H578" s="7">
        <v>0</v>
      </c>
      <c r="I578" s="7">
        <v>0</v>
      </c>
      <c r="J578" s="7">
        <v>0</v>
      </c>
      <c r="K578" s="7">
        <v>0</v>
      </c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</row>
    <row r="579" spans="1:17">
      <c r="A579" s="2">
        <v>2527</v>
      </c>
      <c r="B579" s="7">
        <v>0</v>
      </c>
      <c r="C579" s="7">
        <v>0</v>
      </c>
      <c r="D579" s="7">
        <v>0</v>
      </c>
      <c r="E579" s="7">
        <v>0</v>
      </c>
      <c r="F579" s="7">
        <v>0</v>
      </c>
      <c r="G579" s="7">
        <v>0</v>
      </c>
      <c r="H579" s="7">
        <v>0</v>
      </c>
      <c r="I579" s="7">
        <v>0</v>
      </c>
      <c r="J579" s="7">
        <v>0</v>
      </c>
      <c r="K579" s="7">
        <v>0</v>
      </c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</row>
    <row r="580" spans="1:17">
      <c r="A580" s="2">
        <v>2528</v>
      </c>
      <c r="B580" s="7">
        <v>0</v>
      </c>
      <c r="C580" s="7">
        <v>0</v>
      </c>
      <c r="D580" s="7">
        <v>0</v>
      </c>
      <c r="E580" s="7">
        <v>0</v>
      </c>
      <c r="F580" s="7">
        <v>0</v>
      </c>
      <c r="G580" s="7">
        <v>0</v>
      </c>
      <c r="H580" s="7">
        <v>0</v>
      </c>
      <c r="I580" s="7">
        <v>0</v>
      </c>
      <c r="J580" s="7">
        <v>0</v>
      </c>
      <c r="K580" s="7">
        <v>0</v>
      </c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</row>
    <row r="581" spans="1:17">
      <c r="A581" s="2">
        <v>2529</v>
      </c>
      <c r="B581" s="7">
        <v>0</v>
      </c>
      <c r="C581" s="7">
        <v>0</v>
      </c>
      <c r="D581" s="7">
        <v>0</v>
      </c>
      <c r="E581" s="7">
        <v>0</v>
      </c>
      <c r="F581" s="7">
        <v>0</v>
      </c>
      <c r="G581" s="7">
        <v>0</v>
      </c>
      <c r="H581" s="7">
        <v>0</v>
      </c>
      <c r="I581" s="7">
        <v>0</v>
      </c>
      <c r="J581" s="7">
        <v>0</v>
      </c>
      <c r="K581" s="7">
        <v>0</v>
      </c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</row>
    <row r="582" spans="1:17">
      <c r="A582" s="2">
        <v>2530</v>
      </c>
      <c r="B582" s="7">
        <v>0</v>
      </c>
      <c r="C582" s="7">
        <v>0</v>
      </c>
      <c r="D582" s="7">
        <v>0</v>
      </c>
      <c r="E582" s="7">
        <v>0</v>
      </c>
      <c r="F582" s="7">
        <v>0</v>
      </c>
      <c r="G582" s="7">
        <v>0</v>
      </c>
      <c r="H582" s="7">
        <v>0</v>
      </c>
      <c r="I582" s="7">
        <v>0</v>
      </c>
      <c r="J582" s="7">
        <v>0</v>
      </c>
      <c r="K582" s="7">
        <v>0</v>
      </c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</row>
    <row r="583" spans="1:17">
      <c r="A583" s="2">
        <v>2531</v>
      </c>
      <c r="B583" s="7">
        <v>0</v>
      </c>
      <c r="C583" s="7">
        <v>0</v>
      </c>
      <c r="D583" s="7">
        <v>0</v>
      </c>
      <c r="E583" s="7">
        <v>0</v>
      </c>
      <c r="F583" s="7">
        <v>0</v>
      </c>
      <c r="G583" s="7">
        <v>0</v>
      </c>
      <c r="H583" s="7">
        <v>0</v>
      </c>
      <c r="I583" s="7">
        <v>0</v>
      </c>
      <c r="J583" s="7">
        <v>0</v>
      </c>
      <c r="K583" s="7">
        <v>0</v>
      </c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</row>
    <row r="584" spans="1:17">
      <c r="A584" s="2">
        <v>2532</v>
      </c>
      <c r="B584" s="7">
        <v>0</v>
      </c>
      <c r="C584" s="7">
        <v>0</v>
      </c>
      <c r="D584" s="7">
        <v>0</v>
      </c>
      <c r="E584" s="7">
        <v>0</v>
      </c>
      <c r="F584" s="7">
        <v>0</v>
      </c>
      <c r="G584" s="7">
        <v>0</v>
      </c>
      <c r="H584" s="7">
        <v>0</v>
      </c>
      <c r="I584" s="7">
        <v>0</v>
      </c>
      <c r="J584" s="7">
        <v>0</v>
      </c>
      <c r="K584" s="7">
        <v>0</v>
      </c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</row>
    <row r="585" spans="1:17">
      <c r="A585" s="2">
        <v>2533</v>
      </c>
      <c r="B585" s="7">
        <v>0</v>
      </c>
      <c r="C585" s="7">
        <v>0</v>
      </c>
      <c r="D585" s="7">
        <v>0</v>
      </c>
      <c r="E585" s="7">
        <v>0</v>
      </c>
      <c r="F585" s="7">
        <v>0</v>
      </c>
      <c r="G585" s="7">
        <v>0</v>
      </c>
      <c r="H585" s="7">
        <v>0</v>
      </c>
      <c r="I585" s="7">
        <v>0</v>
      </c>
      <c r="J585" s="7">
        <v>0</v>
      </c>
      <c r="K585" s="7">
        <v>0</v>
      </c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</row>
    <row r="586" spans="1:17">
      <c r="A586" s="2">
        <v>2534</v>
      </c>
      <c r="B586" s="7">
        <v>0</v>
      </c>
      <c r="C586" s="7">
        <v>0</v>
      </c>
      <c r="D586" s="7">
        <v>0</v>
      </c>
      <c r="E586" s="7">
        <v>0</v>
      </c>
      <c r="F586" s="7">
        <v>0</v>
      </c>
      <c r="G586" s="7">
        <v>0</v>
      </c>
      <c r="H586" s="7">
        <v>0</v>
      </c>
      <c r="I586" s="7">
        <v>0</v>
      </c>
      <c r="J586" s="7">
        <v>0</v>
      </c>
      <c r="K586" s="7">
        <v>0</v>
      </c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</row>
    <row r="587" spans="1:17">
      <c r="A587" s="2">
        <v>2535</v>
      </c>
      <c r="B587" s="7">
        <v>0</v>
      </c>
      <c r="C587" s="7">
        <v>0</v>
      </c>
      <c r="D587" s="7">
        <v>0</v>
      </c>
      <c r="E587" s="7">
        <v>0</v>
      </c>
      <c r="F587" s="7">
        <v>0</v>
      </c>
      <c r="G587" s="7">
        <v>0</v>
      </c>
      <c r="H587" s="7">
        <v>0</v>
      </c>
      <c r="I587" s="7">
        <v>0</v>
      </c>
      <c r="J587" s="7">
        <v>0</v>
      </c>
      <c r="K587" s="7">
        <v>0</v>
      </c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</row>
    <row r="588" spans="1:17">
      <c r="A588" s="2">
        <v>2536</v>
      </c>
      <c r="B588" s="7">
        <v>0</v>
      </c>
      <c r="C588" s="7">
        <v>0</v>
      </c>
      <c r="D588" s="7">
        <v>0</v>
      </c>
      <c r="E588" s="7">
        <v>0</v>
      </c>
      <c r="F588" s="7">
        <v>0</v>
      </c>
      <c r="G588" s="7">
        <v>0</v>
      </c>
      <c r="H588" s="7">
        <v>0</v>
      </c>
      <c r="I588" s="7">
        <v>0</v>
      </c>
      <c r="J588" s="7">
        <v>0</v>
      </c>
      <c r="K588" s="7">
        <v>0</v>
      </c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</row>
    <row r="589" spans="1:17">
      <c r="A589" s="2">
        <v>2537</v>
      </c>
      <c r="B589" s="7">
        <v>0</v>
      </c>
      <c r="C589" s="7">
        <v>0</v>
      </c>
      <c r="D589" s="7">
        <v>0</v>
      </c>
      <c r="E589" s="7">
        <v>0</v>
      </c>
      <c r="F589" s="7">
        <v>0</v>
      </c>
      <c r="G589" s="7">
        <v>0</v>
      </c>
      <c r="H589" s="7">
        <v>0</v>
      </c>
      <c r="I589" s="7">
        <v>0</v>
      </c>
      <c r="J589" s="7">
        <v>0</v>
      </c>
      <c r="K589" s="7">
        <v>0</v>
      </c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</row>
    <row r="590" spans="1:17">
      <c r="A590" s="2">
        <v>2538</v>
      </c>
      <c r="B590" s="7">
        <v>0</v>
      </c>
      <c r="C590" s="7">
        <v>0</v>
      </c>
      <c r="D590" s="7">
        <v>0</v>
      </c>
      <c r="E590" s="7">
        <v>0</v>
      </c>
      <c r="F590" s="7">
        <v>0</v>
      </c>
      <c r="G590" s="7">
        <v>0</v>
      </c>
      <c r="H590" s="7">
        <v>0</v>
      </c>
      <c r="I590" s="7">
        <v>0</v>
      </c>
      <c r="J590" s="7">
        <v>0</v>
      </c>
      <c r="K590" s="7">
        <v>0</v>
      </c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</row>
    <row r="591" spans="1:17">
      <c r="A591" s="2">
        <v>2539</v>
      </c>
      <c r="B591" s="7">
        <v>0</v>
      </c>
      <c r="C591" s="7">
        <v>0</v>
      </c>
      <c r="D591" s="7">
        <v>0</v>
      </c>
      <c r="E591" s="7">
        <v>0</v>
      </c>
      <c r="F591" s="7">
        <v>0</v>
      </c>
      <c r="G591" s="7">
        <v>0</v>
      </c>
      <c r="H591" s="7">
        <v>0</v>
      </c>
      <c r="I591" s="7">
        <v>0</v>
      </c>
      <c r="J591" s="7">
        <v>0</v>
      </c>
      <c r="K591" s="7">
        <v>0</v>
      </c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</row>
    <row r="592" spans="1:17">
      <c r="A592" s="2">
        <v>2540</v>
      </c>
      <c r="B592" s="7">
        <v>0</v>
      </c>
      <c r="C592" s="7">
        <v>0</v>
      </c>
      <c r="D592" s="7">
        <v>0</v>
      </c>
      <c r="E592" s="7">
        <v>0</v>
      </c>
      <c r="F592" s="7">
        <v>0</v>
      </c>
      <c r="G592" s="7">
        <v>0</v>
      </c>
      <c r="H592" s="7">
        <v>0</v>
      </c>
      <c r="I592" s="7">
        <v>0</v>
      </c>
      <c r="J592" s="7">
        <v>0</v>
      </c>
      <c r="K592" s="7">
        <v>0</v>
      </c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</row>
    <row r="593" spans="1:17">
      <c r="A593" s="2">
        <v>2541</v>
      </c>
      <c r="B593" s="7">
        <v>0</v>
      </c>
      <c r="C593" s="7">
        <v>0</v>
      </c>
      <c r="D593" s="7">
        <v>0</v>
      </c>
      <c r="E593" s="7">
        <v>0</v>
      </c>
      <c r="F593" s="7">
        <v>0</v>
      </c>
      <c r="G593" s="7">
        <v>0</v>
      </c>
      <c r="H593" s="7">
        <v>0</v>
      </c>
      <c r="I593" s="7">
        <v>0</v>
      </c>
      <c r="J593" s="7">
        <v>0</v>
      </c>
      <c r="K593" s="7">
        <v>0</v>
      </c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</row>
    <row r="594" spans="1:17">
      <c r="A594" s="2">
        <v>2542</v>
      </c>
      <c r="B594" s="7">
        <v>0</v>
      </c>
      <c r="C594" s="7">
        <v>0</v>
      </c>
      <c r="D594" s="7">
        <v>0</v>
      </c>
      <c r="E594" s="7">
        <v>0</v>
      </c>
      <c r="F594" s="7">
        <v>0</v>
      </c>
      <c r="G594" s="7">
        <v>0</v>
      </c>
      <c r="H594" s="7">
        <v>0</v>
      </c>
      <c r="I594" s="7">
        <v>0</v>
      </c>
      <c r="J594" s="7">
        <v>0</v>
      </c>
      <c r="K594" s="7">
        <v>0</v>
      </c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</row>
    <row r="595" spans="1:17">
      <c r="A595" s="2">
        <v>2543</v>
      </c>
      <c r="B595" s="7">
        <v>0</v>
      </c>
      <c r="C595" s="7">
        <v>0</v>
      </c>
      <c r="D595" s="7">
        <v>0</v>
      </c>
      <c r="E595" s="7">
        <v>0</v>
      </c>
      <c r="F595" s="7">
        <v>0</v>
      </c>
      <c r="G595" s="7">
        <v>0</v>
      </c>
      <c r="H595" s="7">
        <v>0</v>
      </c>
      <c r="I595" s="7">
        <v>0</v>
      </c>
      <c r="J595" s="7">
        <v>0</v>
      </c>
      <c r="K595" s="7">
        <v>0</v>
      </c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</row>
    <row r="596" spans="1:17">
      <c r="A596" s="2">
        <v>2544</v>
      </c>
      <c r="B596" s="7">
        <v>0</v>
      </c>
      <c r="C596" s="7">
        <v>0</v>
      </c>
      <c r="D596" s="7">
        <v>0</v>
      </c>
      <c r="E596" s="7">
        <v>0</v>
      </c>
      <c r="F596" s="7">
        <v>0</v>
      </c>
      <c r="G596" s="7">
        <v>0</v>
      </c>
      <c r="H596" s="7">
        <v>0</v>
      </c>
      <c r="I596" s="7">
        <v>0</v>
      </c>
      <c r="J596" s="7">
        <v>0</v>
      </c>
      <c r="K596" s="7">
        <v>0</v>
      </c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</row>
    <row r="597" spans="1:17">
      <c r="A597" s="2">
        <v>2545</v>
      </c>
      <c r="B597" s="7">
        <v>0</v>
      </c>
      <c r="C597" s="7">
        <v>0</v>
      </c>
      <c r="D597" s="7">
        <v>0</v>
      </c>
      <c r="E597" s="7">
        <v>0</v>
      </c>
      <c r="F597" s="7">
        <v>0</v>
      </c>
      <c r="G597" s="7">
        <v>0</v>
      </c>
      <c r="H597" s="7">
        <v>0</v>
      </c>
      <c r="I597" s="7">
        <v>0</v>
      </c>
      <c r="J597" s="7">
        <v>0</v>
      </c>
      <c r="K597" s="7">
        <v>0</v>
      </c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</row>
    <row r="598" spans="1:17">
      <c r="A598" s="2">
        <v>2546</v>
      </c>
      <c r="B598" s="7">
        <v>0</v>
      </c>
      <c r="C598" s="7">
        <v>0</v>
      </c>
      <c r="D598" s="7">
        <v>0</v>
      </c>
      <c r="E598" s="7">
        <v>0</v>
      </c>
      <c r="F598" s="7">
        <v>0</v>
      </c>
      <c r="G598" s="7">
        <v>0</v>
      </c>
      <c r="H598" s="7">
        <v>0</v>
      </c>
      <c r="I598" s="7">
        <v>0</v>
      </c>
      <c r="J598" s="7">
        <v>0</v>
      </c>
      <c r="K598" s="7">
        <v>0</v>
      </c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</row>
    <row r="599" spans="1:17">
      <c r="A599" s="2">
        <v>2547</v>
      </c>
      <c r="B599" s="7">
        <v>0</v>
      </c>
      <c r="C599" s="7">
        <v>0</v>
      </c>
      <c r="D599" s="7">
        <v>0</v>
      </c>
      <c r="E599" s="7">
        <v>0</v>
      </c>
      <c r="F599" s="7">
        <v>0</v>
      </c>
      <c r="G599" s="7">
        <v>0</v>
      </c>
      <c r="H599" s="7">
        <v>0</v>
      </c>
      <c r="I599" s="7">
        <v>0</v>
      </c>
      <c r="J599" s="7">
        <v>0</v>
      </c>
      <c r="K599" s="7">
        <v>0</v>
      </c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</row>
    <row r="600" spans="1:17">
      <c r="A600" s="2">
        <v>2548</v>
      </c>
      <c r="B600" s="7">
        <v>0</v>
      </c>
      <c r="C600" s="7">
        <v>0</v>
      </c>
      <c r="D600" s="7">
        <v>0</v>
      </c>
      <c r="E600" s="7">
        <v>0</v>
      </c>
      <c r="F600" s="7">
        <v>0</v>
      </c>
      <c r="G600" s="7">
        <v>0</v>
      </c>
      <c r="H600" s="7">
        <v>0</v>
      </c>
      <c r="I600" s="7">
        <v>0</v>
      </c>
      <c r="J600" s="7">
        <v>0</v>
      </c>
      <c r="K600" s="7">
        <v>0</v>
      </c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</row>
    <row r="601" spans="1:17">
      <c r="A601" s="2">
        <v>2549</v>
      </c>
      <c r="B601" s="7">
        <v>0</v>
      </c>
      <c r="C601" s="7">
        <v>0</v>
      </c>
      <c r="D601" s="7">
        <v>0</v>
      </c>
      <c r="E601" s="7">
        <v>0</v>
      </c>
      <c r="F601" s="7">
        <v>0</v>
      </c>
      <c r="G601" s="7">
        <v>0</v>
      </c>
      <c r="H601" s="7">
        <v>0</v>
      </c>
      <c r="I601" s="7">
        <v>0</v>
      </c>
      <c r="J601" s="7">
        <v>0</v>
      </c>
      <c r="K601" s="7">
        <v>0</v>
      </c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</row>
    <row r="602" spans="1:17">
      <c r="A602" s="2">
        <v>2550</v>
      </c>
      <c r="B602" s="7">
        <v>0</v>
      </c>
      <c r="C602" s="7">
        <v>0</v>
      </c>
      <c r="D602" s="7">
        <v>0</v>
      </c>
      <c r="E602" s="7">
        <v>0</v>
      </c>
      <c r="F602" s="7">
        <v>0</v>
      </c>
      <c r="G602" s="7">
        <v>0</v>
      </c>
      <c r="H602" s="7">
        <v>0</v>
      </c>
      <c r="I602" s="7">
        <v>0</v>
      </c>
      <c r="J602" s="7">
        <v>0</v>
      </c>
      <c r="K602" s="7">
        <v>0</v>
      </c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</row>
    <row r="603" spans="1:17">
      <c r="A603" s="2">
        <v>2551</v>
      </c>
      <c r="B603" s="7">
        <v>0</v>
      </c>
      <c r="C603" s="7">
        <v>0</v>
      </c>
      <c r="D603" s="7">
        <v>0</v>
      </c>
      <c r="E603" s="7">
        <v>0</v>
      </c>
      <c r="F603" s="7">
        <v>0</v>
      </c>
      <c r="G603" s="7">
        <v>0</v>
      </c>
      <c r="H603" s="7">
        <v>0</v>
      </c>
      <c r="I603" s="7">
        <v>0</v>
      </c>
      <c r="J603" s="7">
        <v>0</v>
      </c>
      <c r="K603" s="7">
        <v>0</v>
      </c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</row>
    <row r="604" spans="1:17">
      <c r="A604" s="2">
        <v>2552</v>
      </c>
      <c r="B604" s="7">
        <v>0</v>
      </c>
      <c r="C604" s="7">
        <v>0</v>
      </c>
      <c r="D604" s="7">
        <v>0</v>
      </c>
      <c r="E604" s="7">
        <v>0</v>
      </c>
      <c r="F604" s="7">
        <v>0</v>
      </c>
      <c r="G604" s="7">
        <v>0</v>
      </c>
      <c r="H604" s="7">
        <v>0</v>
      </c>
      <c r="I604" s="7">
        <v>0</v>
      </c>
      <c r="J604" s="7">
        <v>0</v>
      </c>
      <c r="K604" s="7">
        <v>0</v>
      </c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</row>
    <row r="605" spans="1:17">
      <c r="A605" s="2">
        <v>2553</v>
      </c>
      <c r="B605" s="7">
        <v>0</v>
      </c>
      <c r="C605" s="7">
        <v>0</v>
      </c>
      <c r="D605" s="7">
        <v>0</v>
      </c>
      <c r="E605" s="7">
        <v>0</v>
      </c>
      <c r="F605" s="7">
        <v>0</v>
      </c>
      <c r="G605" s="7">
        <v>0</v>
      </c>
      <c r="H605" s="7">
        <v>0</v>
      </c>
      <c r="I605" s="7">
        <v>0</v>
      </c>
      <c r="J605" s="7">
        <v>0</v>
      </c>
      <c r="K605" s="7">
        <v>0</v>
      </c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</row>
    <row r="606" spans="1:17">
      <c r="A606" s="2">
        <v>2554</v>
      </c>
      <c r="B606" s="7">
        <v>0</v>
      </c>
      <c r="C606" s="7">
        <v>0</v>
      </c>
      <c r="D606" s="7">
        <v>0</v>
      </c>
      <c r="E606" s="7">
        <v>0</v>
      </c>
      <c r="F606" s="7">
        <v>0</v>
      </c>
      <c r="G606" s="7">
        <v>0</v>
      </c>
      <c r="H606" s="7">
        <v>0</v>
      </c>
      <c r="I606" s="7">
        <v>0</v>
      </c>
      <c r="J606" s="7">
        <v>0</v>
      </c>
      <c r="K606" s="7">
        <v>0</v>
      </c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</row>
    <row r="607" spans="1:17">
      <c r="A607" s="2">
        <v>2555</v>
      </c>
      <c r="B607" s="7">
        <v>0</v>
      </c>
      <c r="C607" s="7">
        <v>0</v>
      </c>
      <c r="D607" s="7">
        <v>0</v>
      </c>
      <c r="E607" s="7">
        <v>0</v>
      </c>
      <c r="F607" s="7">
        <v>0</v>
      </c>
      <c r="G607" s="7">
        <v>0</v>
      </c>
      <c r="H607" s="7">
        <v>0</v>
      </c>
      <c r="I607" s="7">
        <v>0</v>
      </c>
      <c r="J607" s="7">
        <v>0</v>
      </c>
      <c r="K607" s="7">
        <v>0</v>
      </c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</row>
    <row r="608" spans="1:17">
      <c r="A608" s="2">
        <v>2556</v>
      </c>
      <c r="B608" s="7">
        <v>0</v>
      </c>
      <c r="C608" s="7">
        <v>0</v>
      </c>
      <c r="D608" s="7">
        <v>0</v>
      </c>
      <c r="E608" s="7">
        <v>0</v>
      </c>
      <c r="F608" s="7">
        <v>0</v>
      </c>
      <c r="G608" s="7">
        <v>0</v>
      </c>
      <c r="H608" s="7">
        <v>0</v>
      </c>
      <c r="I608" s="7">
        <v>0</v>
      </c>
      <c r="J608" s="7">
        <v>0</v>
      </c>
      <c r="K608" s="7">
        <v>0</v>
      </c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</row>
    <row r="609" spans="1:17">
      <c r="A609" s="2">
        <v>2557</v>
      </c>
      <c r="B609" s="7">
        <v>0</v>
      </c>
      <c r="C609" s="7">
        <v>0</v>
      </c>
      <c r="D609" s="7">
        <v>0</v>
      </c>
      <c r="E609" s="7">
        <v>0</v>
      </c>
      <c r="F609" s="7">
        <v>0</v>
      </c>
      <c r="G609" s="7">
        <v>0</v>
      </c>
      <c r="H609" s="7">
        <v>0</v>
      </c>
      <c r="I609" s="7">
        <v>0</v>
      </c>
      <c r="J609" s="7">
        <v>0</v>
      </c>
      <c r="K609" s="7">
        <v>0</v>
      </c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</row>
    <row r="610" spans="1:17">
      <c r="A610" s="2">
        <v>2558</v>
      </c>
      <c r="B610" s="7">
        <v>0</v>
      </c>
      <c r="C610" s="7">
        <v>0</v>
      </c>
      <c r="D610" s="7">
        <v>0</v>
      </c>
      <c r="E610" s="7">
        <v>0</v>
      </c>
      <c r="F610" s="7">
        <v>0</v>
      </c>
      <c r="G610" s="7">
        <v>0</v>
      </c>
      <c r="H610" s="7">
        <v>0</v>
      </c>
      <c r="I610" s="7">
        <v>0</v>
      </c>
      <c r="J610" s="7">
        <v>0</v>
      </c>
      <c r="K610" s="7">
        <v>0</v>
      </c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</row>
    <row r="611" spans="1:17">
      <c r="A611" s="2">
        <v>2559</v>
      </c>
      <c r="B611" s="7">
        <v>0</v>
      </c>
      <c r="C611" s="7">
        <v>0</v>
      </c>
      <c r="D611" s="7">
        <v>0</v>
      </c>
      <c r="E611" s="7">
        <v>0</v>
      </c>
      <c r="F611" s="7">
        <v>0</v>
      </c>
      <c r="G611" s="7">
        <v>0</v>
      </c>
      <c r="H611" s="7">
        <v>0</v>
      </c>
      <c r="I611" s="7">
        <v>0</v>
      </c>
      <c r="J611" s="7">
        <v>0</v>
      </c>
      <c r="K611" s="7">
        <v>0</v>
      </c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</row>
    <row r="612" spans="1:17">
      <c r="A612" s="2">
        <v>2560</v>
      </c>
      <c r="B612" s="7">
        <v>0</v>
      </c>
      <c r="C612" s="7">
        <v>0</v>
      </c>
      <c r="D612" s="7">
        <v>0</v>
      </c>
      <c r="E612" s="7">
        <v>0</v>
      </c>
      <c r="F612" s="7">
        <v>0</v>
      </c>
      <c r="G612" s="7">
        <v>0</v>
      </c>
      <c r="H612" s="7">
        <v>0</v>
      </c>
      <c r="I612" s="7">
        <v>0</v>
      </c>
      <c r="J612" s="7">
        <v>0</v>
      </c>
      <c r="K612" s="7">
        <v>0</v>
      </c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</row>
    <row r="613" spans="1:17">
      <c r="A613" s="2">
        <v>2561</v>
      </c>
      <c r="B613" s="7">
        <v>0</v>
      </c>
      <c r="C613" s="7">
        <v>0</v>
      </c>
      <c r="D613" s="7">
        <v>0</v>
      </c>
      <c r="E613" s="7">
        <v>0</v>
      </c>
      <c r="F613" s="7">
        <v>0</v>
      </c>
      <c r="G613" s="7">
        <v>0</v>
      </c>
      <c r="H613" s="7">
        <v>0</v>
      </c>
      <c r="I613" s="7">
        <v>0</v>
      </c>
      <c r="J613" s="7">
        <v>0</v>
      </c>
      <c r="K613" s="7">
        <v>0</v>
      </c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</row>
    <row r="614" spans="1:17">
      <c r="A614" s="2">
        <v>2562</v>
      </c>
      <c r="B614" s="7">
        <v>0</v>
      </c>
      <c r="C614" s="7">
        <v>0</v>
      </c>
      <c r="D614" s="7">
        <v>0</v>
      </c>
      <c r="E614" s="7">
        <v>0</v>
      </c>
      <c r="F614" s="7">
        <v>0</v>
      </c>
      <c r="G614" s="7">
        <v>0</v>
      </c>
      <c r="H614" s="7">
        <v>0</v>
      </c>
      <c r="I614" s="7">
        <v>0</v>
      </c>
      <c r="J614" s="7">
        <v>0</v>
      </c>
      <c r="K614" s="7">
        <v>0</v>
      </c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</row>
    <row r="615" spans="1:17">
      <c r="A615" s="2">
        <v>2563</v>
      </c>
      <c r="B615" s="7">
        <v>0</v>
      </c>
      <c r="C615" s="7">
        <v>0</v>
      </c>
      <c r="D615" s="7">
        <v>0</v>
      </c>
      <c r="E615" s="7">
        <v>0</v>
      </c>
      <c r="F615" s="7">
        <v>0</v>
      </c>
      <c r="G615" s="7">
        <v>0</v>
      </c>
      <c r="H615" s="7">
        <v>0</v>
      </c>
      <c r="I615" s="7">
        <v>0</v>
      </c>
      <c r="J615" s="7">
        <v>0</v>
      </c>
      <c r="K615" s="7">
        <v>0</v>
      </c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</row>
    <row r="616" spans="1:17">
      <c r="A616" s="2">
        <v>2564</v>
      </c>
      <c r="B616" s="7">
        <v>0</v>
      </c>
      <c r="C616" s="7">
        <v>0</v>
      </c>
      <c r="D616" s="7">
        <v>0</v>
      </c>
      <c r="E616" s="7">
        <v>0</v>
      </c>
      <c r="F616" s="7">
        <v>0</v>
      </c>
      <c r="G616" s="7">
        <v>0</v>
      </c>
      <c r="H616" s="7">
        <v>0</v>
      </c>
      <c r="I616" s="7">
        <v>0</v>
      </c>
      <c r="J616" s="7">
        <v>0</v>
      </c>
      <c r="K616" s="7">
        <v>0</v>
      </c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</row>
    <row r="617" spans="1:17">
      <c r="A617" s="2">
        <v>2565</v>
      </c>
      <c r="B617" s="7">
        <v>0</v>
      </c>
      <c r="C617" s="7">
        <v>0</v>
      </c>
      <c r="D617" s="7">
        <v>0</v>
      </c>
      <c r="E617" s="7">
        <v>0</v>
      </c>
      <c r="F617" s="7">
        <v>0</v>
      </c>
      <c r="G617" s="7">
        <v>0</v>
      </c>
      <c r="H617" s="7">
        <v>0</v>
      </c>
      <c r="I617" s="7">
        <v>0</v>
      </c>
      <c r="J617" s="7">
        <v>0</v>
      </c>
      <c r="K617" s="7">
        <v>0</v>
      </c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</row>
    <row r="618" spans="1:17">
      <c r="A618" s="2">
        <v>2566</v>
      </c>
      <c r="B618" s="7">
        <v>0</v>
      </c>
      <c r="C618" s="7">
        <v>0</v>
      </c>
      <c r="D618" s="7">
        <v>0</v>
      </c>
      <c r="E618" s="7">
        <v>0</v>
      </c>
      <c r="F618" s="7">
        <v>0</v>
      </c>
      <c r="G618" s="7">
        <v>0</v>
      </c>
      <c r="H618" s="7">
        <v>0</v>
      </c>
      <c r="I618" s="7">
        <v>0</v>
      </c>
      <c r="J618" s="7">
        <v>0</v>
      </c>
      <c r="K618" s="7">
        <v>0</v>
      </c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</row>
    <row r="619" spans="1:17">
      <c r="A619" s="2">
        <v>2567</v>
      </c>
      <c r="B619" s="7">
        <v>0</v>
      </c>
      <c r="C619" s="7">
        <v>0</v>
      </c>
      <c r="D619" s="7">
        <v>0</v>
      </c>
      <c r="E619" s="7">
        <v>0</v>
      </c>
      <c r="F619" s="7">
        <v>0</v>
      </c>
      <c r="G619" s="7">
        <v>0</v>
      </c>
      <c r="H619" s="7">
        <v>0</v>
      </c>
      <c r="I619" s="7">
        <v>0</v>
      </c>
      <c r="J619" s="7">
        <v>0</v>
      </c>
      <c r="K619" s="7">
        <v>0</v>
      </c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</row>
    <row r="620" spans="1:17">
      <c r="A620" s="2">
        <v>2568</v>
      </c>
      <c r="B620" s="7">
        <v>0</v>
      </c>
      <c r="C620" s="7">
        <v>0</v>
      </c>
      <c r="D620" s="7">
        <v>0</v>
      </c>
      <c r="E620" s="7">
        <v>0</v>
      </c>
      <c r="F620" s="7">
        <v>0</v>
      </c>
      <c r="G620" s="7">
        <v>0</v>
      </c>
      <c r="H620" s="7">
        <v>0</v>
      </c>
      <c r="I620" s="7">
        <v>0</v>
      </c>
      <c r="J620" s="7">
        <v>0</v>
      </c>
      <c r="K620" s="7">
        <v>0</v>
      </c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</row>
    <row r="621" spans="1:17">
      <c r="A621" s="2">
        <v>2569</v>
      </c>
      <c r="B621" s="7">
        <v>0</v>
      </c>
      <c r="C621" s="7">
        <v>0</v>
      </c>
      <c r="D621" s="7">
        <v>0</v>
      </c>
      <c r="E621" s="7">
        <v>0</v>
      </c>
      <c r="F621" s="7">
        <v>0</v>
      </c>
      <c r="G621" s="7">
        <v>0</v>
      </c>
      <c r="H621" s="7">
        <v>0</v>
      </c>
      <c r="I621" s="7">
        <v>0</v>
      </c>
      <c r="J621" s="7">
        <v>0</v>
      </c>
      <c r="K621" s="7">
        <v>0</v>
      </c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</row>
    <row r="622" spans="1:17">
      <c r="A622" s="2">
        <v>2570</v>
      </c>
      <c r="B622" s="7">
        <v>0</v>
      </c>
      <c r="C622" s="7">
        <v>0</v>
      </c>
      <c r="D622" s="7">
        <v>0</v>
      </c>
      <c r="E622" s="7">
        <v>0</v>
      </c>
      <c r="F622" s="7">
        <v>0</v>
      </c>
      <c r="G622" s="7">
        <v>0</v>
      </c>
      <c r="H622" s="7">
        <v>0</v>
      </c>
      <c r="I622" s="7">
        <v>0</v>
      </c>
      <c r="J622" s="7">
        <v>0</v>
      </c>
      <c r="K622" s="7">
        <v>0</v>
      </c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</row>
    <row r="623" spans="1:17">
      <c r="A623" s="2">
        <v>2571</v>
      </c>
      <c r="B623" s="7">
        <v>0</v>
      </c>
      <c r="C623" s="7">
        <v>0</v>
      </c>
      <c r="D623" s="7">
        <v>0</v>
      </c>
      <c r="E623" s="7">
        <v>0</v>
      </c>
      <c r="F623" s="7">
        <v>0</v>
      </c>
      <c r="G623" s="7">
        <v>0</v>
      </c>
      <c r="H623" s="7">
        <v>0</v>
      </c>
      <c r="I623" s="7">
        <v>0</v>
      </c>
      <c r="J623" s="7">
        <v>0</v>
      </c>
      <c r="K623" s="7">
        <v>0</v>
      </c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</row>
    <row r="624" spans="1:17">
      <c r="A624" s="2">
        <v>2572</v>
      </c>
      <c r="B624" s="7">
        <v>0</v>
      </c>
      <c r="C624" s="7">
        <v>0</v>
      </c>
      <c r="D624" s="7">
        <v>0</v>
      </c>
      <c r="E624" s="7">
        <v>0</v>
      </c>
      <c r="F624" s="7">
        <v>0</v>
      </c>
      <c r="G624" s="7">
        <v>0</v>
      </c>
      <c r="H624" s="7">
        <v>0</v>
      </c>
      <c r="I624" s="7">
        <v>0</v>
      </c>
      <c r="J624" s="7">
        <v>0</v>
      </c>
      <c r="K624" s="7">
        <v>0</v>
      </c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</row>
    <row r="625" spans="1:17">
      <c r="A625" s="2">
        <v>2573</v>
      </c>
      <c r="B625" s="7">
        <v>0</v>
      </c>
      <c r="C625" s="7">
        <v>0</v>
      </c>
      <c r="D625" s="7">
        <v>0</v>
      </c>
      <c r="E625" s="7">
        <v>0</v>
      </c>
      <c r="F625" s="7">
        <v>0</v>
      </c>
      <c r="G625" s="7">
        <v>0</v>
      </c>
      <c r="H625" s="7">
        <v>0</v>
      </c>
      <c r="I625" s="7">
        <v>0</v>
      </c>
      <c r="J625" s="7">
        <v>0</v>
      </c>
      <c r="K625" s="7">
        <v>0</v>
      </c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</row>
    <row r="626" spans="1:17">
      <c r="A626" s="2">
        <v>2574</v>
      </c>
      <c r="B626" s="7">
        <v>0</v>
      </c>
      <c r="C626" s="7">
        <v>0</v>
      </c>
      <c r="D626" s="7">
        <v>0</v>
      </c>
      <c r="E626" s="7">
        <v>0</v>
      </c>
      <c r="F626" s="7">
        <v>0</v>
      </c>
      <c r="G626" s="7">
        <v>0</v>
      </c>
      <c r="H626" s="7">
        <v>0</v>
      </c>
      <c r="I626" s="7">
        <v>0</v>
      </c>
      <c r="J626" s="7">
        <v>0</v>
      </c>
      <c r="K626" s="7">
        <v>0</v>
      </c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</row>
    <row r="627" spans="1:17">
      <c r="A627" s="2">
        <v>2575</v>
      </c>
      <c r="B627" s="7">
        <v>0</v>
      </c>
      <c r="C627" s="7">
        <v>0</v>
      </c>
      <c r="D627" s="7">
        <v>0</v>
      </c>
      <c r="E627" s="7">
        <v>0</v>
      </c>
      <c r="F627" s="7">
        <v>0</v>
      </c>
      <c r="G627" s="7">
        <v>0</v>
      </c>
      <c r="H627" s="7">
        <v>0</v>
      </c>
      <c r="I627" s="7">
        <v>0</v>
      </c>
      <c r="J627" s="7">
        <v>0</v>
      </c>
      <c r="K627" s="7">
        <v>0</v>
      </c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</row>
    <row r="628" spans="1:17">
      <c r="A628" s="2">
        <v>2576</v>
      </c>
      <c r="B628" s="7">
        <v>0</v>
      </c>
      <c r="C628" s="7">
        <v>0</v>
      </c>
      <c r="D628" s="7">
        <v>0</v>
      </c>
      <c r="E628" s="7">
        <v>0</v>
      </c>
      <c r="F628" s="7">
        <v>0</v>
      </c>
      <c r="G628" s="7">
        <v>0</v>
      </c>
      <c r="H628" s="7">
        <v>0</v>
      </c>
      <c r="I628" s="7">
        <v>0</v>
      </c>
      <c r="J628" s="7">
        <v>0</v>
      </c>
      <c r="K628" s="7">
        <v>0</v>
      </c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</row>
    <row r="629" spans="1:17">
      <c r="A629" s="2">
        <v>2577</v>
      </c>
      <c r="B629" s="7">
        <v>0</v>
      </c>
      <c r="C629" s="7">
        <v>0</v>
      </c>
      <c r="D629" s="7">
        <v>0</v>
      </c>
      <c r="E629" s="7">
        <v>0</v>
      </c>
      <c r="F629" s="7">
        <v>0</v>
      </c>
      <c r="G629" s="7">
        <v>0</v>
      </c>
      <c r="H629" s="7">
        <v>0</v>
      </c>
      <c r="I629" s="7">
        <v>0</v>
      </c>
      <c r="J629" s="7">
        <v>0</v>
      </c>
      <c r="K629" s="7">
        <v>0</v>
      </c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</row>
    <row r="630" spans="1:17">
      <c r="A630" s="2">
        <v>2578</v>
      </c>
      <c r="B630" s="7">
        <v>0</v>
      </c>
      <c r="C630" s="7">
        <v>0</v>
      </c>
      <c r="D630" s="7">
        <v>0</v>
      </c>
      <c r="E630" s="7">
        <v>0</v>
      </c>
      <c r="F630" s="7">
        <v>0</v>
      </c>
      <c r="G630" s="7">
        <v>0</v>
      </c>
      <c r="H630" s="7">
        <v>0</v>
      </c>
      <c r="I630" s="7">
        <v>0</v>
      </c>
      <c r="J630" s="7">
        <v>0</v>
      </c>
      <c r="K630" s="7">
        <v>0</v>
      </c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</row>
    <row r="631" spans="1:17">
      <c r="A631" s="2">
        <v>2579</v>
      </c>
      <c r="B631" s="7">
        <v>0</v>
      </c>
      <c r="C631" s="7">
        <v>0</v>
      </c>
      <c r="D631" s="7">
        <v>0</v>
      </c>
      <c r="E631" s="7">
        <v>0</v>
      </c>
      <c r="F631" s="7">
        <v>0</v>
      </c>
      <c r="G631" s="7">
        <v>0</v>
      </c>
      <c r="H631" s="7">
        <v>0</v>
      </c>
      <c r="I631" s="7">
        <v>0</v>
      </c>
      <c r="J631" s="7">
        <v>0</v>
      </c>
      <c r="K631" s="7">
        <v>0</v>
      </c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</row>
    <row r="632" spans="1:17">
      <c r="A632" s="2">
        <v>2580</v>
      </c>
      <c r="B632" s="7">
        <v>0</v>
      </c>
      <c r="C632" s="7">
        <v>0</v>
      </c>
      <c r="D632" s="7">
        <v>0</v>
      </c>
      <c r="E632" s="7">
        <v>0</v>
      </c>
      <c r="F632" s="7">
        <v>0</v>
      </c>
      <c r="G632" s="7">
        <v>0</v>
      </c>
      <c r="H632" s="7">
        <v>0</v>
      </c>
      <c r="I632" s="7">
        <v>0</v>
      </c>
      <c r="J632" s="7">
        <v>0</v>
      </c>
      <c r="K632" s="7">
        <v>0</v>
      </c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</row>
    <row r="633" spans="1:17">
      <c r="A633" s="2">
        <v>2581</v>
      </c>
      <c r="B633" s="7">
        <v>0</v>
      </c>
      <c r="C633" s="7">
        <v>0</v>
      </c>
      <c r="D633" s="7">
        <v>0</v>
      </c>
      <c r="E633" s="7">
        <v>0</v>
      </c>
      <c r="F633" s="7">
        <v>0</v>
      </c>
      <c r="G633" s="7">
        <v>0</v>
      </c>
      <c r="H633" s="7">
        <v>0</v>
      </c>
      <c r="I633" s="7">
        <v>0</v>
      </c>
      <c r="J633" s="7">
        <v>0</v>
      </c>
      <c r="K633" s="7">
        <v>0</v>
      </c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</row>
    <row r="634" spans="1:17">
      <c r="A634" s="2">
        <v>2582</v>
      </c>
      <c r="B634" s="7">
        <v>0</v>
      </c>
      <c r="C634" s="7">
        <v>0</v>
      </c>
      <c r="D634" s="7">
        <v>0</v>
      </c>
      <c r="E634" s="7">
        <v>0</v>
      </c>
      <c r="F634" s="7">
        <v>0</v>
      </c>
      <c r="G634" s="7">
        <v>0</v>
      </c>
      <c r="H634" s="7">
        <v>0</v>
      </c>
      <c r="I634" s="7">
        <v>0</v>
      </c>
      <c r="J634" s="7">
        <v>0</v>
      </c>
      <c r="K634" s="7">
        <v>0</v>
      </c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</row>
    <row r="635" spans="1:17">
      <c r="A635" s="2">
        <v>2583</v>
      </c>
      <c r="B635" s="7">
        <v>0</v>
      </c>
      <c r="C635" s="7">
        <v>0</v>
      </c>
      <c r="D635" s="7">
        <v>0</v>
      </c>
      <c r="E635" s="7">
        <v>0</v>
      </c>
      <c r="F635" s="7">
        <v>0</v>
      </c>
      <c r="G635" s="7">
        <v>0</v>
      </c>
      <c r="H635" s="7">
        <v>0</v>
      </c>
      <c r="I635" s="7">
        <v>0</v>
      </c>
      <c r="J635" s="7">
        <v>0</v>
      </c>
      <c r="K635" s="7">
        <v>0</v>
      </c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</row>
    <row r="636" spans="1:17">
      <c r="A636" s="2">
        <v>2584</v>
      </c>
      <c r="B636" s="7">
        <v>0</v>
      </c>
      <c r="C636" s="7">
        <v>0</v>
      </c>
      <c r="D636" s="7">
        <v>0</v>
      </c>
      <c r="E636" s="7">
        <v>0</v>
      </c>
      <c r="F636" s="7">
        <v>0</v>
      </c>
      <c r="G636" s="7">
        <v>0</v>
      </c>
      <c r="H636" s="7">
        <v>0</v>
      </c>
      <c r="I636" s="7">
        <v>0</v>
      </c>
      <c r="J636" s="7">
        <v>0</v>
      </c>
      <c r="K636" s="7">
        <v>0</v>
      </c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</row>
    <row r="637" spans="1:17">
      <c r="A637" s="2">
        <v>2585</v>
      </c>
      <c r="B637" s="7">
        <v>0</v>
      </c>
      <c r="C637" s="7">
        <v>0</v>
      </c>
      <c r="D637" s="7">
        <v>0</v>
      </c>
      <c r="E637" s="7">
        <v>0</v>
      </c>
      <c r="F637" s="7">
        <v>0</v>
      </c>
      <c r="G637" s="7">
        <v>0</v>
      </c>
      <c r="H637" s="7">
        <v>0</v>
      </c>
      <c r="I637" s="7">
        <v>0</v>
      </c>
      <c r="J637" s="7">
        <v>0</v>
      </c>
      <c r="K637" s="7">
        <v>0</v>
      </c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</row>
    <row r="638" spans="1:17">
      <c r="A638" s="2">
        <v>2586</v>
      </c>
      <c r="B638" s="7">
        <v>0</v>
      </c>
      <c r="C638" s="7">
        <v>0</v>
      </c>
      <c r="D638" s="7">
        <v>0</v>
      </c>
      <c r="E638" s="7">
        <v>0</v>
      </c>
      <c r="F638" s="7">
        <v>0</v>
      </c>
      <c r="G638" s="7">
        <v>0</v>
      </c>
      <c r="H638" s="7">
        <v>0</v>
      </c>
      <c r="I638" s="7">
        <v>0</v>
      </c>
      <c r="J638" s="7">
        <v>0</v>
      </c>
      <c r="K638" s="7">
        <v>0</v>
      </c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</row>
    <row r="639" spans="1:17">
      <c r="A639" s="2">
        <v>2587</v>
      </c>
      <c r="B639" s="7">
        <v>0</v>
      </c>
      <c r="C639" s="7">
        <v>0</v>
      </c>
      <c r="D639" s="7">
        <v>0</v>
      </c>
      <c r="E639" s="7">
        <v>0</v>
      </c>
      <c r="F639" s="7">
        <v>0</v>
      </c>
      <c r="G639" s="7">
        <v>0</v>
      </c>
      <c r="H639" s="7">
        <v>0</v>
      </c>
      <c r="I639" s="7">
        <v>0</v>
      </c>
      <c r="J639" s="7">
        <v>0</v>
      </c>
      <c r="K639" s="7">
        <v>0</v>
      </c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</row>
    <row r="640" spans="1:17">
      <c r="A640" s="2">
        <v>2588</v>
      </c>
      <c r="B640" s="7">
        <v>0</v>
      </c>
      <c r="C640" s="7">
        <v>0</v>
      </c>
      <c r="D640" s="7">
        <v>0</v>
      </c>
      <c r="E640" s="7">
        <v>0</v>
      </c>
      <c r="F640" s="7">
        <v>0</v>
      </c>
      <c r="G640" s="7">
        <v>0</v>
      </c>
      <c r="H640" s="7">
        <v>0</v>
      </c>
      <c r="I640" s="7">
        <v>0</v>
      </c>
      <c r="J640" s="7">
        <v>0</v>
      </c>
      <c r="K640" s="7">
        <v>0</v>
      </c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</row>
    <row r="641" spans="1:17">
      <c r="A641" s="2">
        <v>2589</v>
      </c>
      <c r="B641" s="7">
        <v>0</v>
      </c>
      <c r="C641" s="7">
        <v>0</v>
      </c>
      <c r="D641" s="7">
        <v>0</v>
      </c>
      <c r="E641" s="7">
        <v>0</v>
      </c>
      <c r="F641" s="7">
        <v>0</v>
      </c>
      <c r="G641" s="7">
        <v>0</v>
      </c>
      <c r="H641" s="7">
        <v>0</v>
      </c>
      <c r="I641" s="7">
        <v>0</v>
      </c>
      <c r="J641" s="7">
        <v>0</v>
      </c>
      <c r="K641" s="7">
        <v>0</v>
      </c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</row>
    <row r="642" spans="1:17">
      <c r="A642" s="2">
        <v>2590</v>
      </c>
      <c r="B642" s="7">
        <v>0</v>
      </c>
      <c r="C642" s="7">
        <v>0</v>
      </c>
      <c r="D642" s="7">
        <v>0</v>
      </c>
      <c r="E642" s="7">
        <v>0</v>
      </c>
      <c r="F642" s="7">
        <v>0</v>
      </c>
      <c r="G642" s="7">
        <v>0</v>
      </c>
      <c r="H642" s="7">
        <v>0</v>
      </c>
      <c r="I642" s="7">
        <v>0</v>
      </c>
      <c r="J642" s="7">
        <v>0</v>
      </c>
      <c r="K642" s="7">
        <v>0</v>
      </c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</row>
    <row r="643" spans="1:17">
      <c r="A643" s="2">
        <v>2591</v>
      </c>
      <c r="B643" s="7">
        <v>0</v>
      </c>
      <c r="C643" s="7">
        <v>0</v>
      </c>
      <c r="D643" s="7">
        <v>0</v>
      </c>
      <c r="E643" s="7">
        <v>0</v>
      </c>
      <c r="F643" s="7">
        <v>0</v>
      </c>
      <c r="G643" s="7">
        <v>0</v>
      </c>
      <c r="H643" s="7">
        <v>0</v>
      </c>
      <c r="I643" s="7">
        <v>0</v>
      </c>
      <c r="J643" s="7">
        <v>0</v>
      </c>
      <c r="K643" s="7">
        <v>0</v>
      </c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</row>
    <row r="644" spans="1:17">
      <c r="A644" s="2">
        <v>2592</v>
      </c>
      <c r="B644" s="7">
        <v>0</v>
      </c>
      <c r="C644" s="7">
        <v>0</v>
      </c>
      <c r="D644" s="7">
        <v>0</v>
      </c>
      <c r="E644" s="7">
        <v>0</v>
      </c>
      <c r="F644" s="7">
        <v>0</v>
      </c>
      <c r="G644" s="7">
        <v>0</v>
      </c>
      <c r="H644" s="7">
        <v>0</v>
      </c>
      <c r="I644" s="7">
        <v>0</v>
      </c>
      <c r="J644" s="7">
        <v>0</v>
      </c>
      <c r="K644" s="7">
        <v>0</v>
      </c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</row>
    <row r="645" spans="1:17">
      <c r="A645" s="2">
        <v>2593</v>
      </c>
      <c r="B645" s="7">
        <v>0</v>
      </c>
      <c r="C645" s="7">
        <v>0</v>
      </c>
      <c r="D645" s="7">
        <v>0</v>
      </c>
      <c r="E645" s="7">
        <v>0</v>
      </c>
      <c r="F645" s="7">
        <v>0</v>
      </c>
      <c r="G645" s="7">
        <v>0</v>
      </c>
      <c r="H645" s="7">
        <v>0</v>
      </c>
      <c r="I645" s="7">
        <v>0</v>
      </c>
      <c r="J645" s="7">
        <v>0</v>
      </c>
      <c r="K645" s="7">
        <v>0</v>
      </c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</row>
    <row r="646" spans="1:17">
      <c r="A646" s="2">
        <v>2594</v>
      </c>
      <c r="B646" s="7">
        <v>0</v>
      </c>
      <c r="C646" s="7">
        <v>0</v>
      </c>
      <c r="D646" s="7">
        <v>0</v>
      </c>
      <c r="E646" s="7">
        <v>0</v>
      </c>
      <c r="F646" s="7">
        <v>0</v>
      </c>
      <c r="G646" s="7">
        <v>0</v>
      </c>
      <c r="H646" s="7">
        <v>0</v>
      </c>
      <c r="I646" s="7">
        <v>0</v>
      </c>
      <c r="J646" s="7">
        <v>0</v>
      </c>
      <c r="K646" s="7">
        <v>0</v>
      </c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</row>
    <row r="647" spans="1:17">
      <c r="A647" s="2">
        <v>2595</v>
      </c>
      <c r="B647" s="7">
        <v>0</v>
      </c>
      <c r="C647" s="7">
        <v>0</v>
      </c>
      <c r="D647" s="7">
        <v>0</v>
      </c>
      <c r="E647" s="7">
        <v>0</v>
      </c>
      <c r="F647" s="7">
        <v>0</v>
      </c>
      <c r="G647" s="7">
        <v>0</v>
      </c>
      <c r="H647" s="7">
        <v>0</v>
      </c>
      <c r="I647" s="7">
        <v>0</v>
      </c>
      <c r="J647" s="7">
        <v>0</v>
      </c>
      <c r="K647" s="7">
        <v>0</v>
      </c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</row>
    <row r="648" spans="1:17">
      <c r="A648" s="2">
        <v>2596</v>
      </c>
      <c r="B648" s="7">
        <v>0</v>
      </c>
      <c r="C648" s="7">
        <v>0</v>
      </c>
      <c r="D648" s="7">
        <v>0</v>
      </c>
      <c r="E648" s="7">
        <v>0</v>
      </c>
      <c r="F648" s="7">
        <v>0</v>
      </c>
      <c r="G648" s="7">
        <v>0</v>
      </c>
      <c r="H648" s="7">
        <v>0</v>
      </c>
      <c r="I648" s="7">
        <v>0</v>
      </c>
      <c r="J648" s="7">
        <v>0</v>
      </c>
      <c r="K648" s="7">
        <v>0</v>
      </c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</row>
    <row r="649" spans="1:17">
      <c r="A649" s="2">
        <v>2597</v>
      </c>
      <c r="B649" s="7">
        <v>0</v>
      </c>
      <c r="C649" s="7">
        <v>0</v>
      </c>
      <c r="D649" s="7">
        <v>0</v>
      </c>
      <c r="E649" s="7">
        <v>0</v>
      </c>
      <c r="F649" s="7">
        <v>0</v>
      </c>
      <c r="G649" s="7">
        <v>0</v>
      </c>
      <c r="H649" s="7">
        <v>0</v>
      </c>
      <c r="I649" s="7">
        <v>0</v>
      </c>
      <c r="J649" s="7">
        <v>0</v>
      </c>
      <c r="K649" s="7">
        <v>0</v>
      </c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</row>
    <row r="650" spans="1:17">
      <c r="A650" s="2">
        <v>2598</v>
      </c>
      <c r="B650" s="7">
        <v>0</v>
      </c>
      <c r="C650" s="7">
        <v>0</v>
      </c>
      <c r="D650" s="7">
        <v>0</v>
      </c>
      <c r="E650" s="7">
        <v>0</v>
      </c>
      <c r="F650" s="7">
        <v>0</v>
      </c>
      <c r="G650" s="7">
        <v>0</v>
      </c>
      <c r="H650" s="7">
        <v>0</v>
      </c>
      <c r="I650" s="7">
        <v>0</v>
      </c>
      <c r="J650" s="7">
        <v>0</v>
      </c>
      <c r="K650" s="7">
        <v>0</v>
      </c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</row>
    <row r="651" spans="1:17">
      <c r="A651" s="2">
        <v>2599</v>
      </c>
      <c r="B651" s="7">
        <v>0</v>
      </c>
      <c r="C651" s="7">
        <v>0</v>
      </c>
      <c r="D651" s="7">
        <v>0</v>
      </c>
      <c r="E651" s="7">
        <v>0</v>
      </c>
      <c r="F651" s="7">
        <v>0</v>
      </c>
      <c r="G651" s="7">
        <v>0</v>
      </c>
      <c r="H651" s="7">
        <v>0</v>
      </c>
      <c r="I651" s="7">
        <v>0</v>
      </c>
      <c r="J651" s="7">
        <v>0</v>
      </c>
      <c r="K651" s="7">
        <v>0</v>
      </c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</row>
    <row r="652" spans="1:17">
      <c r="A652" s="2">
        <v>2600</v>
      </c>
      <c r="B652" s="7">
        <v>0</v>
      </c>
      <c r="C652" s="7">
        <v>0</v>
      </c>
      <c r="D652" s="7">
        <v>0</v>
      </c>
      <c r="E652" s="7">
        <v>0</v>
      </c>
      <c r="F652" s="7">
        <v>0</v>
      </c>
      <c r="G652" s="7">
        <v>0</v>
      </c>
      <c r="H652" s="7">
        <v>0</v>
      </c>
      <c r="I652" s="7">
        <v>0</v>
      </c>
      <c r="J652" s="7">
        <v>0</v>
      </c>
      <c r="K652" s="7">
        <v>0</v>
      </c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</row>
    <row r="653" spans="1:17">
      <c r="A653" s="2">
        <v>2601</v>
      </c>
      <c r="B653" s="7">
        <v>0</v>
      </c>
      <c r="C653" s="7">
        <v>0</v>
      </c>
      <c r="D653" s="7">
        <v>0</v>
      </c>
      <c r="E653" s="7">
        <v>0</v>
      </c>
      <c r="F653" s="7">
        <v>0</v>
      </c>
      <c r="G653" s="7">
        <v>0</v>
      </c>
      <c r="H653" s="7">
        <v>0</v>
      </c>
      <c r="I653" s="7">
        <v>0</v>
      </c>
      <c r="J653" s="7">
        <v>0</v>
      </c>
      <c r="K653" s="7">
        <v>0</v>
      </c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</row>
    <row r="654" spans="1:17">
      <c r="A654" s="2">
        <v>2602</v>
      </c>
      <c r="B654" s="7">
        <v>0</v>
      </c>
      <c r="C654" s="7">
        <v>0</v>
      </c>
      <c r="D654" s="7">
        <v>0</v>
      </c>
      <c r="E654" s="7">
        <v>0</v>
      </c>
      <c r="F654" s="7">
        <v>0</v>
      </c>
      <c r="G654" s="7">
        <v>0</v>
      </c>
      <c r="H654" s="7">
        <v>0</v>
      </c>
      <c r="I654" s="7">
        <v>0</v>
      </c>
      <c r="J654" s="7">
        <v>0</v>
      </c>
      <c r="K654" s="7">
        <v>0</v>
      </c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</row>
    <row r="655" spans="1:17">
      <c r="A655" s="2">
        <v>2603</v>
      </c>
      <c r="B655" s="7">
        <v>0</v>
      </c>
      <c r="C655" s="7">
        <v>0</v>
      </c>
      <c r="D655" s="7">
        <v>0</v>
      </c>
      <c r="E655" s="7">
        <v>0</v>
      </c>
      <c r="F655" s="7">
        <v>0</v>
      </c>
      <c r="G655" s="7">
        <v>0</v>
      </c>
      <c r="H655" s="7">
        <v>0</v>
      </c>
      <c r="I655" s="7">
        <v>0</v>
      </c>
      <c r="J655" s="7">
        <v>0</v>
      </c>
      <c r="K655" s="7">
        <v>0</v>
      </c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</row>
    <row r="656" spans="1:17">
      <c r="A656" s="2">
        <v>2604</v>
      </c>
      <c r="B656" s="7">
        <v>0</v>
      </c>
      <c r="C656" s="7">
        <v>0</v>
      </c>
      <c r="D656" s="7">
        <v>0</v>
      </c>
      <c r="E656" s="7">
        <v>0</v>
      </c>
      <c r="F656" s="7">
        <v>0</v>
      </c>
      <c r="G656" s="7">
        <v>0</v>
      </c>
      <c r="H656" s="7">
        <v>0</v>
      </c>
      <c r="I656" s="7">
        <v>0</v>
      </c>
      <c r="J656" s="7">
        <v>0</v>
      </c>
      <c r="K656" s="7">
        <v>0</v>
      </c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</row>
    <row r="657" spans="1:17">
      <c r="A657" s="2">
        <v>2605</v>
      </c>
      <c r="B657" s="7">
        <v>0</v>
      </c>
      <c r="C657" s="7">
        <v>0</v>
      </c>
      <c r="D657" s="7">
        <v>0</v>
      </c>
      <c r="E657" s="7">
        <v>0</v>
      </c>
      <c r="F657" s="7">
        <v>0</v>
      </c>
      <c r="G657" s="7">
        <v>0</v>
      </c>
      <c r="H657" s="7">
        <v>0</v>
      </c>
      <c r="I657" s="7">
        <v>0</v>
      </c>
      <c r="J657" s="7">
        <v>0</v>
      </c>
      <c r="K657" s="7">
        <v>0</v>
      </c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</row>
    <row r="658" spans="1:17">
      <c r="A658" s="2">
        <v>2606</v>
      </c>
      <c r="B658" s="7">
        <v>0</v>
      </c>
      <c r="C658" s="7">
        <v>0</v>
      </c>
      <c r="D658" s="7">
        <v>0</v>
      </c>
      <c r="E658" s="7">
        <v>0</v>
      </c>
      <c r="F658" s="7">
        <v>0</v>
      </c>
      <c r="G658" s="7">
        <v>0</v>
      </c>
      <c r="H658" s="7">
        <v>0</v>
      </c>
      <c r="I658" s="7">
        <v>0</v>
      </c>
      <c r="J658" s="7">
        <v>0</v>
      </c>
      <c r="K658" s="7">
        <v>0</v>
      </c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</row>
    <row r="659" spans="1:17">
      <c r="A659" s="2">
        <v>2607</v>
      </c>
      <c r="B659" s="7">
        <v>0</v>
      </c>
      <c r="C659" s="7">
        <v>0</v>
      </c>
      <c r="D659" s="7">
        <v>0</v>
      </c>
      <c r="E659" s="7">
        <v>0</v>
      </c>
      <c r="F659" s="7">
        <v>0</v>
      </c>
      <c r="G659" s="7">
        <v>0</v>
      </c>
      <c r="H659" s="7">
        <v>0</v>
      </c>
      <c r="I659" s="7">
        <v>0</v>
      </c>
      <c r="J659" s="7">
        <v>0</v>
      </c>
      <c r="K659" s="7">
        <v>0</v>
      </c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</row>
    <row r="660" spans="1:17">
      <c r="A660" s="2">
        <v>2608</v>
      </c>
      <c r="B660" s="7">
        <v>0</v>
      </c>
      <c r="C660" s="7">
        <v>0</v>
      </c>
      <c r="D660" s="7">
        <v>0</v>
      </c>
      <c r="E660" s="7">
        <v>0</v>
      </c>
      <c r="F660" s="7">
        <v>0</v>
      </c>
      <c r="G660" s="7">
        <v>0</v>
      </c>
      <c r="H660" s="7">
        <v>0</v>
      </c>
      <c r="I660" s="7">
        <v>0</v>
      </c>
      <c r="J660" s="7">
        <v>0</v>
      </c>
      <c r="K660" s="7">
        <v>0</v>
      </c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</row>
    <row r="661" spans="1:17">
      <c r="A661" s="2">
        <v>2609</v>
      </c>
      <c r="B661" s="7">
        <v>0</v>
      </c>
      <c r="C661" s="7">
        <v>0</v>
      </c>
      <c r="D661" s="7">
        <v>0</v>
      </c>
      <c r="E661" s="7">
        <v>0</v>
      </c>
      <c r="F661" s="7">
        <v>0</v>
      </c>
      <c r="G661" s="7">
        <v>0</v>
      </c>
      <c r="H661" s="7">
        <v>0</v>
      </c>
      <c r="I661" s="7">
        <v>0</v>
      </c>
      <c r="J661" s="7">
        <v>0</v>
      </c>
      <c r="K661" s="7">
        <v>0</v>
      </c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</row>
    <row r="662" spans="1:17">
      <c r="A662" s="2">
        <v>2610</v>
      </c>
      <c r="B662" s="7">
        <v>0</v>
      </c>
      <c r="C662" s="7">
        <v>0</v>
      </c>
      <c r="D662" s="7">
        <v>0</v>
      </c>
      <c r="E662" s="7">
        <v>0</v>
      </c>
      <c r="F662" s="7">
        <v>0</v>
      </c>
      <c r="G662" s="7">
        <v>0</v>
      </c>
      <c r="H662" s="7">
        <v>0</v>
      </c>
      <c r="I662" s="7">
        <v>0</v>
      </c>
      <c r="J662" s="7">
        <v>0</v>
      </c>
      <c r="K662" s="7">
        <v>0</v>
      </c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</row>
    <row r="663" spans="1:17">
      <c r="A663" s="2">
        <v>2611</v>
      </c>
      <c r="B663" s="7">
        <v>0</v>
      </c>
      <c r="C663" s="7">
        <v>0</v>
      </c>
      <c r="D663" s="7">
        <v>0</v>
      </c>
      <c r="E663" s="7">
        <v>0</v>
      </c>
      <c r="F663" s="7">
        <v>0</v>
      </c>
      <c r="G663" s="7">
        <v>0</v>
      </c>
      <c r="H663" s="7">
        <v>0</v>
      </c>
      <c r="I663" s="7">
        <v>0</v>
      </c>
      <c r="J663" s="7">
        <v>0</v>
      </c>
      <c r="K663" s="7">
        <v>0</v>
      </c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</row>
    <row r="664" spans="1:17">
      <c r="A664" s="2">
        <v>2612</v>
      </c>
      <c r="B664" s="7">
        <v>0</v>
      </c>
      <c r="C664" s="7">
        <v>0</v>
      </c>
      <c r="D664" s="7">
        <v>0</v>
      </c>
      <c r="E664" s="7">
        <v>0</v>
      </c>
      <c r="F664" s="7">
        <v>0</v>
      </c>
      <c r="G664" s="7">
        <v>0</v>
      </c>
      <c r="H664" s="7">
        <v>0</v>
      </c>
      <c r="I664" s="7">
        <v>0</v>
      </c>
      <c r="J664" s="7">
        <v>0</v>
      </c>
      <c r="K664" s="7">
        <v>0</v>
      </c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</row>
    <row r="665" spans="1:17">
      <c r="A665" s="2">
        <v>2613</v>
      </c>
      <c r="B665" s="7">
        <v>0</v>
      </c>
      <c r="C665" s="7">
        <v>0</v>
      </c>
      <c r="D665" s="7">
        <v>0</v>
      </c>
      <c r="E665" s="7">
        <v>0</v>
      </c>
      <c r="F665" s="7">
        <v>0</v>
      </c>
      <c r="G665" s="7">
        <v>0</v>
      </c>
      <c r="H665" s="7">
        <v>0</v>
      </c>
      <c r="I665" s="7">
        <v>0</v>
      </c>
      <c r="J665" s="7">
        <v>0</v>
      </c>
      <c r="K665" s="7">
        <v>0</v>
      </c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</row>
    <row r="666" spans="1:17">
      <c r="A666" s="2">
        <v>2614</v>
      </c>
      <c r="B666" s="7">
        <v>0</v>
      </c>
      <c r="C666" s="7">
        <v>0</v>
      </c>
      <c r="D666" s="7">
        <v>0</v>
      </c>
      <c r="E666" s="7">
        <v>0</v>
      </c>
      <c r="F666" s="7">
        <v>0</v>
      </c>
      <c r="G666" s="7">
        <v>0</v>
      </c>
      <c r="H666" s="7">
        <v>0</v>
      </c>
      <c r="I666" s="7">
        <v>0</v>
      </c>
      <c r="J666" s="7">
        <v>0</v>
      </c>
      <c r="K666" s="7">
        <v>0</v>
      </c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</row>
    <row r="667" spans="1:17">
      <c r="A667" s="2">
        <v>2615</v>
      </c>
      <c r="B667" s="7">
        <v>0</v>
      </c>
      <c r="C667" s="7">
        <v>0</v>
      </c>
      <c r="D667" s="7">
        <v>0</v>
      </c>
      <c r="E667" s="7">
        <v>0</v>
      </c>
      <c r="F667" s="7">
        <v>0</v>
      </c>
      <c r="G667" s="7">
        <v>0</v>
      </c>
      <c r="H667" s="7">
        <v>0</v>
      </c>
      <c r="I667" s="7">
        <v>0</v>
      </c>
      <c r="J667" s="7">
        <v>0</v>
      </c>
      <c r="K667" s="7">
        <v>0</v>
      </c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</row>
    <row r="668" spans="1:17">
      <c r="A668" s="2">
        <v>2616</v>
      </c>
      <c r="B668" s="7">
        <v>0</v>
      </c>
      <c r="C668" s="7">
        <v>0</v>
      </c>
      <c r="D668" s="7">
        <v>0</v>
      </c>
      <c r="E668" s="7">
        <v>0</v>
      </c>
      <c r="F668" s="7">
        <v>0</v>
      </c>
      <c r="G668" s="7">
        <v>0</v>
      </c>
      <c r="H668" s="7">
        <v>0</v>
      </c>
      <c r="I668" s="7">
        <v>0</v>
      </c>
      <c r="J668" s="7">
        <v>0</v>
      </c>
      <c r="K668" s="7">
        <v>0</v>
      </c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</row>
    <row r="669" spans="1:17">
      <c r="A669" s="2">
        <v>2617</v>
      </c>
      <c r="B669" s="7">
        <v>0</v>
      </c>
      <c r="C669" s="7">
        <v>0</v>
      </c>
      <c r="D669" s="7">
        <v>0</v>
      </c>
      <c r="E669" s="7">
        <v>0</v>
      </c>
      <c r="F669" s="7">
        <v>0</v>
      </c>
      <c r="G669" s="7">
        <v>0</v>
      </c>
      <c r="H669" s="7">
        <v>0</v>
      </c>
      <c r="I669" s="7">
        <v>0</v>
      </c>
      <c r="J669" s="7">
        <v>0</v>
      </c>
      <c r="K669" s="7">
        <v>0</v>
      </c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</row>
    <row r="670" spans="1:17">
      <c r="A670" s="2">
        <v>2618</v>
      </c>
      <c r="B670" s="7">
        <v>0</v>
      </c>
      <c r="C670" s="7">
        <v>0</v>
      </c>
      <c r="D670" s="7">
        <v>0</v>
      </c>
      <c r="E670" s="7">
        <v>0</v>
      </c>
      <c r="F670" s="7">
        <v>0</v>
      </c>
      <c r="G670" s="7">
        <v>0</v>
      </c>
      <c r="H670" s="7">
        <v>0</v>
      </c>
      <c r="I670" s="7">
        <v>0</v>
      </c>
      <c r="J670" s="7">
        <v>0</v>
      </c>
      <c r="K670" s="7">
        <v>0</v>
      </c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</row>
    <row r="671" spans="1:17">
      <c r="A671" s="2">
        <v>2619</v>
      </c>
      <c r="B671" s="7">
        <v>0</v>
      </c>
      <c r="C671" s="7">
        <v>0</v>
      </c>
      <c r="D671" s="7">
        <v>0</v>
      </c>
      <c r="E671" s="7">
        <v>0</v>
      </c>
      <c r="F671" s="7">
        <v>0</v>
      </c>
      <c r="G671" s="7">
        <v>0</v>
      </c>
      <c r="H671" s="7">
        <v>0</v>
      </c>
      <c r="I671" s="7">
        <v>0</v>
      </c>
      <c r="J671" s="7">
        <v>0</v>
      </c>
      <c r="K671" s="7">
        <v>0</v>
      </c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</row>
    <row r="672" spans="1:17">
      <c r="A672" s="2">
        <v>2620</v>
      </c>
      <c r="B672" s="7">
        <v>0</v>
      </c>
      <c r="C672" s="7">
        <v>0</v>
      </c>
      <c r="D672" s="7">
        <v>0</v>
      </c>
      <c r="E672" s="7">
        <v>0</v>
      </c>
      <c r="F672" s="7">
        <v>0</v>
      </c>
      <c r="G672" s="7">
        <v>0</v>
      </c>
      <c r="H672" s="7">
        <v>0</v>
      </c>
      <c r="I672" s="7">
        <v>0</v>
      </c>
      <c r="J672" s="7">
        <v>0</v>
      </c>
      <c r="K672" s="7">
        <v>0</v>
      </c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</row>
    <row r="673" spans="1:17">
      <c r="A673" s="2">
        <v>2621</v>
      </c>
      <c r="B673" s="7">
        <v>0</v>
      </c>
      <c r="C673" s="7">
        <v>0</v>
      </c>
      <c r="D673" s="7">
        <v>0</v>
      </c>
      <c r="E673" s="7">
        <v>0</v>
      </c>
      <c r="F673" s="7">
        <v>0</v>
      </c>
      <c r="G673" s="7">
        <v>0</v>
      </c>
      <c r="H673" s="7">
        <v>0</v>
      </c>
      <c r="I673" s="7">
        <v>0</v>
      </c>
      <c r="J673" s="7">
        <v>0</v>
      </c>
      <c r="K673" s="7">
        <v>0</v>
      </c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</row>
    <row r="674" spans="1:17">
      <c r="A674" s="2">
        <v>2622</v>
      </c>
      <c r="B674" s="7">
        <v>0</v>
      </c>
      <c r="C674" s="7">
        <v>0</v>
      </c>
      <c r="D674" s="7">
        <v>0</v>
      </c>
      <c r="E674" s="7">
        <v>0</v>
      </c>
      <c r="F674" s="7">
        <v>0</v>
      </c>
      <c r="G674" s="7">
        <v>0</v>
      </c>
      <c r="H674" s="7">
        <v>0</v>
      </c>
      <c r="I674" s="7">
        <v>0</v>
      </c>
      <c r="J674" s="7">
        <v>0</v>
      </c>
      <c r="K674" s="7">
        <v>0</v>
      </c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</row>
    <row r="675" spans="1:17">
      <c r="A675" s="2">
        <v>2623</v>
      </c>
      <c r="B675" s="7">
        <v>0</v>
      </c>
      <c r="C675" s="7">
        <v>0</v>
      </c>
      <c r="D675" s="7">
        <v>0</v>
      </c>
      <c r="E675" s="7">
        <v>0</v>
      </c>
      <c r="F675" s="7">
        <v>0</v>
      </c>
      <c r="G675" s="7">
        <v>0</v>
      </c>
      <c r="H675" s="7">
        <v>0</v>
      </c>
      <c r="I675" s="7">
        <v>0</v>
      </c>
      <c r="J675" s="7">
        <v>0</v>
      </c>
      <c r="K675" s="7">
        <v>0</v>
      </c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</row>
    <row r="676" spans="1:17">
      <c r="A676" s="2">
        <v>2624</v>
      </c>
      <c r="B676" s="7">
        <v>0</v>
      </c>
      <c r="C676" s="7">
        <v>0</v>
      </c>
      <c r="D676" s="7">
        <v>0</v>
      </c>
      <c r="E676" s="7">
        <v>0</v>
      </c>
      <c r="F676" s="7">
        <v>0</v>
      </c>
      <c r="G676" s="7">
        <v>0</v>
      </c>
      <c r="H676" s="7">
        <v>0</v>
      </c>
      <c r="I676" s="7">
        <v>0</v>
      </c>
      <c r="J676" s="7">
        <v>0</v>
      </c>
      <c r="K676" s="7">
        <v>0</v>
      </c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</row>
    <row r="677" spans="1:17">
      <c r="A677" s="2">
        <v>2625</v>
      </c>
      <c r="B677" s="7">
        <v>0</v>
      </c>
      <c r="C677" s="7">
        <v>0</v>
      </c>
      <c r="D677" s="7">
        <v>0</v>
      </c>
      <c r="E677" s="7">
        <v>0</v>
      </c>
      <c r="F677" s="7">
        <v>0</v>
      </c>
      <c r="G677" s="7">
        <v>0</v>
      </c>
      <c r="H677" s="7">
        <v>0</v>
      </c>
      <c r="I677" s="7">
        <v>0</v>
      </c>
      <c r="J677" s="7">
        <v>0</v>
      </c>
      <c r="K677" s="7">
        <v>0</v>
      </c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</row>
    <row r="678" spans="1:17">
      <c r="A678" s="2">
        <v>2626</v>
      </c>
      <c r="B678" s="7">
        <v>0</v>
      </c>
      <c r="C678" s="7">
        <v>0</v>
      </c>
      <c r="D678" s="7">
        <v>0</v>
      </c>
      <c r="E678" s="7">
        <v>0</v>
      </c>
      <c r="F678" s="7">
        <v>0</v>
      </c>
      <c r="G678" s="7">
        <v>0</v>
      </c>
      <c r="H678" s="7">
        <v>0</v>
      </c>
      <c r="I678" s="7">
        <v>0</v>
      </c>
      <c r="J678" s="7">
        <v>0</v>
      </c>
      <c r="K678" s="7">
        <v>0</v>
      </c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</row>
    <row r="679" spans="1:17">
      <c r="A679" s="2">
        <v>2627</v>
      </c>
      <c r="B679" s="7">
        <v>0</v>
      </c>
      <c r="C679" s="7">
        <v>0</v>
      </c>
      <c r="D679" s="7">
        <v>0</v>
      </c>
      <c r="E679" s="7">
        <v>0</v>
      </c>
      <c r="F679" s="7">
        <v>0</v>
      </c>
      <c r="G679" s="7">
        <v>0</v>
      </c>
      <c r="H679" s="7">
        <v>0</v>
      </c>
      <c r="I679" s="7">
        <v>0</v>
      </c>
      <c r="J679" s="7">
        <v>0</v>
      </c>
      <c r="K679" s="7">
        <v>0</v>
      </c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</row>
    <row r="680" spans="1:17">
      <c r="A680" s="2">
        <v>2628</v>
      </c>
      <c r="B680" s="7">
        <v>0</v>
      </c>
      <c r="C680" s="7">
        <v>0</v>
      </c>
      <c r="D680" s="7">
        <v>0</v>
      </c>
      <c r="E680" s="7">
        <v>0</v>
      </c>
      <c r="F680" s="7">
        <v>0</v>
      </c>
      <c r="G680" s="7">
        <v>0</v>
      </c>
      <c r="H680" s="7">
        <v>0</v>
      </c>
      <c r="I680" s="7">
        <v>0</v>
      </c>
      <c r="J680" s="7">
        <v>0</v>
      </c>
      <c r="K680" s="7">
        <v>0</v>
      </c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</row>
    <row r="681" spans="1:17">
      <c r="A681" s="2">
        <v>2629</v>
      </c>
      <c r="B681" s="7">
        <v>0</v>
      </c>
      <c r="C681" s="7">
        <v>0</v>
      </c>
      <c r="D681" s="7">
        <v>0</v>
      </c>
      <c r="E681" s="7">
        <v>0</v>
      </c>
      <c r="F681" s="7">
        <v>0</v>
      </c>
      <c r="G681" s="7">
        <v>0</v>
      </c>
      <c r="H681" s="7">
        <v>0</v>
      </c>
      <c r="I681" s="7">
        <v>0</v>
      </c>
      <c r="J681" s="7">
        <v>0</v>
      </c>
      <c r="K681" s="7">
        <v>0</v>
      </c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</row>
    <row r="682" spans="1:17">
      <c r="A682" s="2">
        <v>2630</v>
      </c>
      <c r="B682" s="7">
        <v>0</v>
      </c>
      <c r="C682" s="7">
        <v>0</v>
      </c>
      <c r="D682" s="7">
        <v>0</v>
      </c>
      <c r="E682" s="7">
        <v>0</v>
      </c>
      <c r="F682" s="7">
        <v>0</v>
      </c>
      <c r="G682" s="7">
        <v>0</v>
      </c>
      <c r="H682" s="7">
        <v>0</v>
      </c>
      <c r="I682" s="7">
        <v>0</v>
      </c>
      <c r="J682" s="7">
        <v>0</v>
      </c>
      <c r="K682" s="7">
        <v>0</v>
      </c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</row>
    <row r="683" spans="1:17">
      <c r="A683" s="2">
        <v>2631</v>
      </c>
      <c r="B683" s="7">
        <v>0</v>
      </c>
      <c r="C683" s="7">
        <v>0</v>
      </c>
      <c r="D683" s="7">
        <v>0</v>
      </c>
      <c r="E683" s="7">
        <v>0</v>
      </c>
      <c r="F683" s="7">
        <v>0</v>
      </c>
      <c r="G683" s="7">
        <v>0</v>
      </c>
      <c r="H683" s="7">
        <v>0</v>
      </c>
      <c r="I683" s="7">
        <v>0</v>
      </c>
      <c r="J683" s="7">
        <v>0</v>
      </c>
      <c r="K683" s="7">
        <v>0</v>
      </c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</row>
    <row r="684" spans="1:17">
      <c r="A684" s="2">
        <v>2632</v>
      </c>
      <c r="B684" s="7">
        <v>0</v>
      </c>
      <c r="C684" s="7">
        <v>0</v>
      </c>
      <c r="D684" s="7">
        <v>0</v>
      </c>
      <c r="E684" s="7">
        <v>0</v>
      </c>
      <c r="F684" s="7">
        <v>0</v>
      </c>
      <c r="G684" s="7">
        <v>0</v>
      </c>
      <c r="H684" s="7">
        <v>0</v>
      </c>
      <c r="I684" s="7">
        <v>0</v>
      </c>
      <c r="J684" s="7">
        <v>0</v>
      </c>
      <c r="K684" s="7">
        <v>0</v>
      </c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</row>
    <row r="685" spans="1:17">
      <c r="A685" s="2">
        <v>2633</v>
      </c>
      <c r="B685" s="7">
        <v>0</v>
      </c>
      <c r="C685" s="7">
        <v>0</v>
      </c>
      <c r="D685" s="7">
        <v>0</v>
      </c>
      <c r="E685" s="7">
        <v>0</v>
      </c>
      <c r="F685" s="7">
        <v>0</v>
      </c>
      <c r="G685" s="7">
        <v>0</v>
      </c>
      <c r="H685" s="7">
        <v>0</v>
      </c>
      <c r="I685" s="7">
        <v>0</v>
      </c>
      <c r="J685" s="7">
        <v>0</v>
      </c>
      <c r="K685" s="7">
        <v>0</v>
      </c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</row>
    <row r="686" spans="1:17">
      <c r="A686" s="2">
        <v>2634</v>
      </c>
      <c r="B686" s="7">
        <v>0</v>
      </c>
      <c r="C686" s="7">
        <v>0</v>
      </c>
      <c r="D686" s="7">
        <v>0</v>
      </c>
      <c r="E686" s="7">
        <v>0</v>
      </c>
      <c r="F686" s="7">
        <v>0</v>
      </c>
      <c r="G686" s="7">
        <v>0</v>
      </c>
      <c r="H686" s="7">
        <v>0</v>
      </c>
      <c r="I686" s="7">
        <v>0</v>
      </c>
      <c r="J686" s="7">
        <v>0</v>
      </c>
      <c r="K686" s="7">
        <v>0</v>
      </c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</row>
    <row r="687" spans="1:17">
      <c r="A687" s="2">
        <v>2635</v>
      </c>
      <c r="B687" s="7">
        <v>0</v>
      </c>
      <c r="C687" s="7">
        <v>0</v>
      </c>
      <c r="D687" s="7">
        <v>0</v>
      </c>
      <c r="E687" s="7">
        <v>0</v>
      </c>
      <c r="F687" s="7">
        <v>0</v>
      </c>
      <c r="G687" s="7">
        <v>0</v>
      </c>
      <c r="H687" s="7">
        <v>0</v>
      </c>
      <c r="I687" s="7">
        <v>0</v>
      </c>
      <c r="J687" s="7">
        <v>0</v>
      </c>
      <c r="K687" s="7">
        <v>0</v>
      </c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</row>
    <row r="688" spans="1:17">
      <c r="A688" s="2">
        <v>2636</v>
      </c>
      <c r="B688" s="7">
        <v>0</v>
      </c>
      <c r="C688" s="7">
        <v>0</v>
      </c>
      <c r="D688" s="7">
        <v>0</v>
      </c>
      <c r="E688" s="7">
        <v>0</v>
      </c>
      <c r="F688" s="7">
        <v>0</v>
      </c>
      <c r="G688" s="7">
        <v>0</v>
      </c>
      <c r="H688" s="7">
        <v>0</v>
      </c>
      <c r="I688" s="7">
        <v>0</v>
      </c>
      <c r="J688" s="7">
        <v>0</v>
      </c>
      <c r="K688" s="7">
        <v>0</v>
      </c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</row>
    <row r="689" spans="1:17">
      <c r="A689" s="2">
        <v>2637</v>
      </c>
      <c r="B689" s="7">
        <v>0</v>
      </c>
      <c r="C689" s="7">
        <v>0</v>
      </c>
      <c r="D689" s="7">
        <v>0</v>
      </c>
      <c r="E689" s="7">
        <v>0</v>
      </c>
      <c r="F689" s="7">
        <v>0</v>
      </c>
      <c r="G689" s="7">
        <v>0</v>
      </c>
      <c r="H689" s="7">
        <v>0</v>
      </c>
      <c r="I689" s="7">
        <v>0</v>
      </c>
      <c r="J689" s="7">
        <v>0</v>
      </c>
      <c r="K689" s="7">
        <v>0</v>
      </c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</row>
    <row r="690" spans="1:17">
      <c r="A690" s="2">
        <v>2638</v>
      </c>
      <c r="B690" s="7">
        <v>0</v>
      </c>
      <c r="C690" s="7">
        <v>0</v>
      </c>
      <c r="D690" s="7">
        <v>0</v>
      </c>
      <c r="E690" s="7">
        <v>0</v>
      </c>
      <c r="F690" s="7">
        <v>0</v>
      </c>
      <c r="G690" s="7">
        <v>0</v>
      </c>
      <c r="H690" s="7">
        <v>0</v>
      </c>
      <c r="I690" s="7">
        <v>0</v>
      </c>
      <c r="J690" s="7">
        <v>0</v>
      </c>
      <c r="K690" s="7">
        <v>0</v>
      </c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</row>
    <row r="691" spans="1:17">
      <c r="A691" s="2">
        <v>2639</v>
      </c>
      <c r="B691" s="7">
        <v>0</v>
      </c>
      <c r="C691" s="7">
        <v>0</v>
      </c>
      <c r="D691" s="7">
        <v>0</v>
      </c>
      <c r="E691" s="7">
        <v>0</v>
      </c>
      <c r="F691" s="7">
        <v>0</v>
      </c>
      <c r="G691" s="7">
        <v>0</v>
      </c>
      <c r="H691" s="7">
        <v>0</v>
      </c>
      <c r="I691" s="7">
        <v>0</v>
      </c>
      <c r="J691" s="7">
        <v>0</v>
      </c>
      <c r="K691" s="7">
        <v>0</v>
      </c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</row>
    <row r="692" spans="1:17">
      <c r="A692" s="2">
        <v>2640</v>
      </c>
      <c r="B692" s="7">
        <v>0</v>
      </c>
      <c r="C692" s="7">
        <v>0</v>
      </c>
      <c r="D692" s="7">
        <v>0</v>
      </c>
      <c r="E692" s="7">
        <v>0</v>
      </c>
      <c r="F692" s="7">
        <v>0</v>
      </c>
      <c r="G692" s="7">
        <v>0</v>
      </c>
      <c r="H692" s="7">
        <v>0</v>
      </c>
      <c r="I692" s="7">
        <v>0</v>
      </c>
      <c r="J692" s="7">
        <v>0</v>
      </c>
      <c r="K692" s="7">
        <v>0</v>
      </c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</row>
    <row r="693" spans="1:17">
      <c r="A693" s="2">
        <v>2641</v>
      </c>
      <c r="B693" s="7">
        <v>0</v>
      </c>
      <c r="C693" s="7">
        <v>0</v>
      </c>
      <c r="D693" s="7">
        <v>0</v>
      </c>
      <c r="E693" s="7">
        <v>0</v>
      </c>
      <c r="F693" s="7">
        <v>0</v>
      </c>
      <c r="G693" s="7">
        <v>0</v>
      </c>
      <c r="H693" s="7">
        <v>0</v>
      </c>
      <c r="I693" s="7">
        <v>0</v>
      </c>
      <c r="J693" s="7">
        <v>0</v>
      </c>
      <c r="K693" s="7">
        <v>0</v>
      </c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</row>
    <row r="694" spans="1:17">
      <c r="A694" s="2">
        <v>2642</v>
      </c>
      <c r="B694" s="7">
        <v>0</v>
      </c>
      <c r="C694" s="7">
        <v>0</v>
      </c>
      <c r="D694" s="7">
        <v>0</v>
      </c>
      <c r="E694" s="7">
        <v>0</v>
      </c>
      <c r="F694" s="7">
        <v>0</v>
      </c>
      <c r="G694" s="7">
        <v>0</v>
      </c>
      <c r="H694" s="7">
        <v>0</v>
      </c>
      <c r="I694" s="7">
        <v>0</v>
      </c>
      <c r="J694" s="7">
        <v>0</v>
      </c>
      <c r="K694" s="7">
        <v>0</v>
      </c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</row>
    <row r="695" spans="1:17">
      <c r="A695" s="2">
        <v>2643</v>
      </c>
      <c r="B695" s="7">
        <v>0</v>
      </c>
      <c r="C695" s="7">
        <v>0</v>
      </c>
      <c r="D695" s="7">
        <v>0</v>
      </c>
      <c r="E695" s="7">
        <v>0</v>
      </c>
      <c r="F695" s="7">
        <v>0</v>
      </c>
      <c r="G695" s="7">
        <v>0</v>
      </c>
      <c r="H695" s="7">
        <v>0</v>
      </c>
      <c r="I695" s="7">
        <v>0</v>
      </c>
      <c r="J695" s="7">
        <v>0</v>
      </c>
      <c r="K695" s="7">
        <v>0</v>
      </c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</row>
    <row r="696" spans="1:17">
      <c r="A696" s="2">
        <v>2644</v>
      </c>
      <c r="B696" s="7">
        <v>0</v>
      </c>
      <c r="C696" s="7">
        <v>0</v>
      </c>
      <c r="D696" s="7">
        <v>0</v>
      </c>
      <c r="E696" s="7">
        <v>0</v>
      </c>
      <c r="F696" s="7">
        <v>0</v>
      </c>
      <c r="G696" s="7">
        <v>0</v>
      </c>
      <c r="H696" s="7">
        <v>0</v>
      </c>
      <c r="I696" s="7">
        <v>0</v>
      </c>
      <c r="J696" s="7">
        <v>0</v>
      </c>
      <c r="K696" s="7">
        <v>0</v>
      </c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</row>
    <row r="697" spans="1:17">
      <c r="A697" s="2">
        <v>2645</v>
      </c>
      <c r="B697" s="7">
        <v>0</v>
      </c>
      <c r="C697" s="7">
        <v>0</v>
      </c>
      <c r="D697" s="7">
        <v>0</v>
      </c>
      <c r="E697" s="7">
        <v>0</v>
      </c>
      <c r="F697" s="7">
        <v>0</v>
      </c>
      <c r="G697" s="7">
        <v>0</v>
      </c>
      <c r="H697" s="7">
        <v>0</v>
      </c>
      <c r="I697" s="7">
        <v>0</v>
      </c>
      <c r="J697" s="7">
        <v>0</v>
      </c>
      <c r="K697" s="7">
        <v>0</v>
      </c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</row>
    <row r="698" spans="1:17">
      <c r="A698" s="2">
        <v>2646</v>
      </c>
      <c r="B698" s="7">
        <v>0</v>
      </c>
      <c r="C698" s="7">
        <v>0</v>
      </c>
      <c r="D698" s="7">
        <v>0</v>
      </c>
      <c r="E698" s="7">
        <v>0</v>
      </c>
      <c r="F698" s="7">
        <v>0</v>
      </c>
      <c r="G698" s="7">
        <v>0</v>
      </c>
      <c r="H698" s="7">
        <v>0</v>
      </c>
      <c r="I698" s="7">
        <v>0</v>
      </c>
      <c r="J698" s="7">
        <v>0</v>
      </c>
      <c r="K698" s="7">
        <v>0</v>
      </c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</row>
    <row r="699" spans="1:17">
      <c r="A699" s="2">
        <v>2647</v>
      </c>
      <c r="B699" s="7">
        <v>0</v>
      </c>
      <c r="C699" s="7">
        <v>0</v>
      </c>
      <c r="D699" s="7">
        <v>0</v>
      </c>
      <c r="E699" s="7">
        <v>0</v>
      </c>
      <c r="F699" s="7">
        <v>0</v>
      </c>
      <c r="G699" s="7">
        <v>0</v>
      </c>
      <c r="H699" s="7">
        <v>0</v>
      </c>
      <c r="I699" s="7">
        <v>0</v>
      </c>
      <c r="J699" s="7">
        <v>0</v>
      </c>
      <c r="K699" s="7">
        <v>0</v>
      </c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</row>
    <row r="700" spans="1:17">
      <c r="A700" s="2">
        <v>2648</v>
      </c>
      <c r="B700" s="7">
        <v>0</v>
      </c>
      <c r="C700" s="7">
        <v>0</v>
      </c>
      <c r="D700" s="7">
        <v>0</v>
      </c>
      <c r="E700" s="7">
        <v>0</v>
      </c>
      <c r="F700" s="7">
        <v>0</v>
      </c>
      <c r="G700" s="7">
        <v>0</v>
      </c>
      <c r="H700" s="7">
        <v>0</v>
      </c>
      <c r="I700" s="7">
        <v>0</v>
      </c>
      <c r="J700" s="7">
        <v>0</v>
      </c>
      <c r="K700" s="7">
        <v>0</v>
      </c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</row>
    <row r="701" spans="1:17">
      <c r="A701" s="2">
        <v>2649</v>
      </c>
      <c r="B701" s="7">
        <v>0</v>
      </c>
      <c r="C701" s="7">
        <v>0</v>
      </c>
      <c r="D701" s="7">
        <v>0</v>
      </c>
      <c r="E701" s="7">
        <v>0</v>
      </c>
      <c r="F701" s="7">
        <v>0</v>
      </c>
      <c r="G701" s="7">
        <v>0</v>
      </c>
      <c r="H701" s="7">
        <v>0</v>
      </c>
      <c r="I701" s="7">
        <v>0</v>
      </c>
      <c r="J701" s="7">
        <v>0</v>
      </c>
      <c r="K701" s="7">
        <v>0</v>
      </c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</row>
    <row r="702" spans="1:17">
      <c r="A702" s="2">
        <v>2650</v>
      </c>
      <c r="B702" s="7">
        <v>0</v>
      </c>
      <c r="C702" s="7">
        <v>0</v>
      </c>
      <c r="D702" s="7">
        <v>0</v>
      </c>
      <c r="E702" s="7">
        <v>0</v>
      </c>
      <c r="F702" s="7">
        <v>0</v>
      </c>
      <c r="G702" s="7">
        <v>0</v>
      </c>
      <c r="H702" s="7">
        <v>0</v>
      </c>
      <c r="I702" s="7">
        <v>0</v>
      </c>
      <c r="J702" s="7">
        <v>0</v>
      </c>
      <c r="K702" s="7">
        <v>0</v>
      </c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</row>
    <row r="703" spans="1:17">
      <c r="A703" s="2">
        <v>2651</v>
      </c>
      <c r="B703" s="7">
        <v>0</v>
      </c>
      <c r="C703" s="7">
        <v>0</v>
      </c>
      <c r="D703" s="7">
        <v>0</v>
      </c>
      <c r="E703" s="7">
        <v>0</v>
      </c>
      <c r="F703" s="7">
        <v>0</v>
      </c>
      <c r="G703" s="7">
        <v>0</v>
      </c>
      <c r="H703" s="7">
        <v>0</v>
      </c>
      <c r="I703" s="7">
        <v>0</v>
      </c>
      <c r="J703" s="7">
        <v>0</v>
      </c>
      <c r="K703" s="7">
        <v>0</v>
      </c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</row>
    <row r="704" spans="1:17">
      <c r="A704" s="2">
        <v>2652</v>
      </c>
      <c r="B704" s="7">
        <v>0</v>
      </c>
      <c r="C704" s="7">
        <v>0</v>
      </c>
      <c r="D704" s="7">
        <v>0</v>
      </c>
      <c r="E704" s="7">
        <v>0</v>
      </c>
      <c r="F704" s="7">
        <v>0</v>
      </c>
      <c r="G704" s="7">
        <v>0</v>
      </c>
      <c r="H704" s="7">
        <v>0</v>
      </c>
      <c r="I704" s="7">
        <v>0</v>
      </c>
      <c r="J704" s="7">
        <v>0</v>
      </c>
      <c r="K704" s="7">
        <v>0</v>
      </c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</row>
    <row r="705" spans="1:17">
      <c r="A705" s="2">
        <v>2653</v>
      </c>
      <c r="B705" s="7">
        <v>0</v>
      </c>
      <c r="C705" s="7">
        <v>0</v>
      </c>
      <c r="D705" s="7">
        <v>0</v>
      </c>
      <c r="E705" s="7">
        <v>0</v>
      </c>
      <c r="F705" s="7">
        <v>0</v>
      </c>
      <c r="G705" s="7">
        <v>0</v>
      </c>
      <c r="H705" s="7">
        <v>0</v>
      </c>
      <c r="I705" s="7">
        <v>0</v>
      </c>
      <c r="J705" s="7">
        <v>0</v>
      </c>
      <c r="K705" s="7">
        <v>0</v>
      </c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</row>
    <row r="706" spans="1:17">
      <c r="A706" s="2">
        <v>2654</v>
      </c>
      <c r="B706" s="7">
        <v>0</v>
      </c>
      <c r="C706" s="7">
        <v>0</v>
      </c>
      <c r="D706" s="7">
        <v>0</v>
      </c>
      <c r="E706" s="7">
        <v>0</v>
      </c>
      <c r="F706" s="7">
        <v>0</v>
      </c>
      <c r="G706" s="7">
        <v>0</v>
      </c>
      <c r="H706" s="7">
        <v>0</v>
      </c>
      <c r="I706" s="7">
        <v>0</v>
      </c>
      <c r="J706" s="7">
        <v>0</v>
      </c>
      <c r="K706" s="7">
        <v>0</v>
      </c>
      <c r="L706" s="7">
        <v>0</v>
      </c>
      <c r="M706" s="7">
        <v>0</v>
      </c>
      <c r="N706" s="7">
        <v>0</v>
      </c>
      <c r="O706" s="7">
        <v>0</v>
      </c>
      <c r="P706" s="7">
        <v>0</v>
      </c>
      <c r="Q706" s="7">
        <v>0</v>
      </c>
    </row>
    <row r="707" spans="1:17">
      <c r="A707" s="2">
        <v>2655</v>
      </c>
      <c r="B707" s="7">
        <v>0</v>
      </c>
      <c r="C707" s="7">
        <v>0</v>
      </c>
      <c r="D707" s="7">
        <v>0</v>
      </c>
      <c r="E707" s="7">
        <v>0</v>
      </c>
      <c r="F707" s="7">
        <v>0</v>
      </c>
      <c r="G707" s="7">
        <v>0</v>
      </c>
      <c r="H707" s="7">
        <v>0</v>
      </c>
      <c r="I707" s="7">
        <v>0</v>
      </c>
      <c r="J707" s="7">
        <v>0</v>
      </c>
      <c r="K707" s="7">
        <v>0</v>
      </c>
      <c r="L707" s="7">
        <v>0</v>
      </c>
      <c r="M707" s="7">
        <v>0</v>
      </c>
      <c r="N707" s="7">
        <v>0</v>
      </c>
      <c r="O707" s="7">
        <v>0</v>
      </c>
      <c r="P707" s="7">
        <v>0</v>
      </c>
      <c r="Q707" s="7">
        <v>0</v>
      </c>
    </row>
    <row r="708" spans="1:17">
      <c r="A708" s="2">
        <v>2656</v>
      </c>
      <c r="B708" s="7">
        <v>0</v>
      </c>
      <c r="C708" s="7">
        <v>0</v>
      </c>
      <c r="D708" s="7">
        <v>0</v>
      </c>
      <c r="E708" s="7">
        <v>0</v>
      </c>
      <c r="F708" s="7">
        <v>0</v>
      </c>
      <c r="G708" s="7">
        <v>0</v>
      </c>
      <c r="H708" s="7">
        <v>0</v>
      </c>
      <c r="I708" s="7">
        <v>0</v>
      </c>
      <c r="J708" s="7">
        <v>0</v>
      </c>
      <c r="K708" s="7">
        <v>0</v>
      </c>
      <c r="L708" s="7">
        <v>0</v>
      </c>
      <c r="M708" s="7">
        <v>0</v>
      </c>
      <c r="N708" s="7">
        <v>0</v>
      </c>
      <c r="O708" s="7">
        <v>0</v>
      </c>
      <c r="P708" s="7">
        <v>0</v>
      </c>
      <c r="Q708" s="7">
        <v>0</v>
      </c>
    </row>
    <row r="709" spans="1:17">
      <c r="A709" s="2">
        <v>2657</v>
      </c>
      <c r="B709" s="7">
        <v>0</v>
      </c>
      <c r="C709" s="7">
        <v>0</v>
      </c>
      <c r="D709" s="7">
        <v>0</v>
      </c>
      <c r="E709" s="7">
        <v>0</v>
      </c>
      <c r="F709" s="7">
        <v>0</v>
      </c>
      <c r="G709" s="7">
        <v>0</v>
      </c>
      <c r="H709" s="7">
        <v>0</v>
      </c>
      <c r="I709" s="7">
        <v>0</v>
      </c>
      <c r="J709" s="7">
        <v>0</v>
      </c>
      <c r="K709" s="7">
        <v>0</v>
      </c>
      <c r="L709" s="7">
        <v>0</v>
      </c>
      <c r="M709" s="7">
        <v>0</v>
      </c>
      <c r="N709" s="7">
        <v>0</v>
      </c>
      <c r="O709" s="7">
        <v>0</v>
      </c>
      <c r="P709" s="7">
        <v>0</v>
      </c>
      <c r="Q709" s="7">
        <v>0</v>
      </c>
    </row>
    <row r="710" spans="1:17">
      <c r="A710" s="2">
        <v>2658</v>
      </c>
      <c r="B710" s="7">
        <v>0</v>
      </c>
      <c r="C710" s="7">
        <v>0</v>
      </c>
      <c r="D710" s="7">
        <v>0</v>
      </c>
      <c r="E710" s="7">
        <v>0</v>
      </c>
      <c r="F710" s="7">
        <v>0</v>
      </c>
      <c r="G710" s="7">
        <v>0</v>
      </c>
      <c r="H710" s="7">
        <v>0</v>
      </c>
      <c r="I710" s="7">
        <v>0</v>
      </c>
      <c r="J710" s="7">
        <v>0</v>
      </c>
      <c r="K710" s="7">
        <v>0</v>
      </c>
      <c r="L710" s="7">
        <v>0</v>
      </c>
      <c r="M710" s="7">
        <v>0</v>
      </c>
      <c r="N710" s="7">
        <v>0</v>
      </c>
      <c r="O710" s="7">
        <v>0</v>
      </c>
      <c r="P710" s="7">
        <v>0</v>
      </c>
      <c r="Q710" s="7">
        <v>0</v>
      </c>
    </row>
    <row r="711" spans="1:17">
      <c r="A711" s="2">
        <v>2659</v>
      </c>
      <c r="B711" s="7">
        <v>0</v>
      </c>
      <c r="C711" s="7">
        <v>0</v>
      </c>
      <c r="D711" s="7">
        <v>0</v>
      </c>
      <c r="E711" s="7">
        <v>0</v>
      </c>
      <c r="F711" s="7">
        <v>0</v>
      </c>
      <c r="G711" s="7">
        <v>0</v>
      </c>
      <c r="H711" s="7">
        <v>0</v>
      </c>
      <c r="I711" s="7">
        <v>0</v>
      </c>
      <c r="J711" s="7">
        <v>0</v>
      </c>
      <c r="K711" s="7">
        <v>0</v>
      </c>
      <c r="L711" s="7">
        <v>0</v>
      </c>
      <c r="M711" s="7">
        <v>0</v>
      </c>
      <c r="N711" s="7">
        <v>0</v>
      </c>
      <c r="O711" s="7">
        <v>0</v>
      </c>
      <c r="P711" s="7">
        <v>0</v>
      </c>
      <c r="Q711" s="7">
        <v>0</v>
      </c>
    </row>
    <row r="712" spans="1:17">
      <c r="A712" s="2">
        <v>2660</v>
      </c>
      <c r="B712" s="7">
        <v>0</v>
      </c>
      <c r="C712" s="7">
        <v>0</v>
      </c>
      <c r="D712" s="7">
        <v>0</v>
      </c>
      <c r="E712" s="7">
        <v>0</v>
      </c>
      <c r="F712" s="7">
        <v>0</v>
      </c>
      <c r="G712" s="7">
        <v>0</v>
      </c>
      <c r="H712" s="7">
        <v>0</v>
      </c>
      <c r="I712" s="7">
        <v>0</v>
      </c>
      <c r="J712" s="7">
        <v>0</v>
      </c>
      <c r="K712" s="7">
        <v>0</v>
      </c>
      <c r="L712" s="7">
        <v>0</v>
      </c>
      <c r="M712" s="7">
        <v>0</v>
      </c>
      <c r="N712" s="7">
        <v>0</v>
      </c>
      <c r="O712" s="7">
        <v>0</v>
      </c>
      <c r="P712" s="7">
        <v>0</v>
      </c>
      <c r="Q712" s="7">
        <v>0</v>
      </c>
    </row>
    <row r="713" spans="1:17">
      <c r="A713" s="2">
        <v>2661</v>
      </c>
      <c r="B713" s="7">
        <v>0</v>
      </c>
      <c r="C713" s="7">
        <v>0</v>
      </c>
      <c r="D713" s="7">
        <v>0</v>
      </c>
      <c r="E713" s="7">
        <v>0</v>
      </c>
      <c r="F713" s="7">
        <v>0</v>
      </c>
      <c r="G713" s="7">
        <v>0</v>
      </c>
      <c r="H713" s="7">
        <v>0</v>
      </c>
      <c r="I713" s="7">
        <v>0</v>
      </c>
      <c r="J713" s="7">
        <v>0</v>
      </c>
      <c r="K713" s="7">
        <v>0</v>
      </c>
      <c r="L713" s="7">
        <v>0</v>
      </c>
      <c r="M713" s="7">
        <v>0</v>
      </c>
      <c r="N713" s="7">
        <v>0</v>
      </c>
      <c r="O713" s="7">
        <v>0</v>
      </c>
      <c r="P713" s="7">
        <v>0</v>
      </c>
      <c r="Q713" s="7">
        <v>0</v>
      </c>
    </row>
    <row r="714" spans="1:17">
      <c r="A714" s="2">
        <v>2662</v>
      </c>
      <c r="B714" s="7">
        <v>0</v>
      </c>
      <c r="C714" s="7">
        <v>0</v>
      </c>
      <c r="D714" s="7">
        <v>0</v>
      </c>
      <c r="E714" s="7">
        <v>0</v>
      </c>
      <c r="F714" s="7">
        <v>0</v>
      </c>
      <c r="G714" s="7">
        <v>0</v>
      </c>
      <c r="H714" s="7">
        <v>0</v>
      </c>
      <c r="I714" s="7">
        <v>0</v>
      </c>
      <c r="J714" s="7">
        <v>0</v>
      </c>
      <c r="K714" s="7">
        <v>0</v>
      </c>
      <c r="L714" s="7">
        <v>0</v>
      </c>
      <c r="M714" s="7">
        <v>0</v>
      </c>
      <c r="N714" s="7">
        <v>0</v>
      </c>
      <c r="O714" s="7">
        <v>0</v>
      </c>
      <c r="P714" s="7">
        <v>0</v>
      </c>
      <c r="Q714" s="7">
        <v>0</v>
      </c>
    </row>
    <row r="715" spans="1:17">
      <c r="A715" s="2">
        <v>2663</v>
      </c>
      <c r="B715" s="7">
        <v>0</v>
      </c>
      <c r="C715" s="7">
        <v>0</v>
      </c>
      <c r="D715" s="7">
        <v>0</v>
      </c>
      <c r="E715" s="7">
        <v>0</v>
      </c>
      <c r="F715" s="7">
        <v>0</v>
      </c>
      <c r="G715" s="7">
        <v>0</v>
      </c>
      <c r="H715" s="7">
        <v>0</v>
      </c>
      <c r="I715" s="7">
        <v>0</v>
      </c>
      <c r="J715" s="7">
        <v>0</v>
      </c>
      <c r="K715" s="7">
        <v>0</v>
      </c>
      <c r="L715" s="7">
        <v>0</v>
      </c>
      <c r="M715" s="7">
        <v>0</v>
      </c>
      <c r="N715" s="7">
        <v>0</v>
      </c>
      <c r="O715" s="7">
        <v>0</v>
      </c>
      <c r="P715" s="7">
        <v>0</v>
      </c>
      <c r="Q715" s="7">
        <v>0</v>
      </c>
    </row>
    <row r="716" spans="1:17">
      <c r="A716" s="2">
        <v>2664</v>
      </c>
      <c r="B716" s="7">
        <v>0</v>
      </c>
      <c r="C716" s="7">
        <v>0</v>
      </c>
      <c r="D716" s="7">
        <v>0</v>
      </c>
      <c r="E716" s="7">
        <v>0</v>
      </c>
      <c r="F716" s="7">
        <v>0</v>
      </c>
      <c r="G716" s="7">
        <v>0</v>
      </c>
      <c r="H716" s="7">
        <v>0</v>
      </c>
      <c r="I716" s="7">
        <v>0</v>
      </c>
      <c r="J716" s="7">
        <v>0</v>
      </c>
      <c r="K716" s="7">
        <v>0</v>
      </c>
      <c r="L716" s="7">
        <v>0</v>
      </c>
      <c r="M716" s="7">
        <v>0</v>
      </c>
      <c r="N716" s="7">
        <v>0</v>
      </c>
      <c r="O716" s="7">
        <v>0</v>
      </c>
      <c r="P716" s="7">
        <v>0</v>
      </c>
      <c r="Q716" s="7">
        <v>0</v>
      </c>
    </row>
    <row r="717" spans="1:17">
      <c r="A717" s="2">
        <v>2665</v>
      </c>
      <c r="B717" s="7">
        <v>0</v>
      </c>
      <c r="C717" s="7">
        <v>0</v>
      </c>
      <c r="D717" s="7">
        <v>0</v>
      </c>
      <c r="E717" s="7">
        <v>0</v>
      </c>
      <c r="F717" s="7">
        <v>0</v>
      </c>
      <c r="G717" s="7">
        <v>0</v>
      </c>
      <c r="H717" s="7">
        <v>0</v>
      </c>
      <c r="I717" s="7">
        <v>0</v>
      </c>
      <c r="J717" s="7">
        <v>0</v>
      </c>
      <c r="K717" s="7">
        <v>0</v>
      </c>
      <c r="L717" s="7">
        <v>0</v>
      </c>
      <c r="M717" s="7">
        <v>0</v>
      </c>
      <c r="N717" s="7">
        <v>0</v>
      </c>
      <c r="O717" s="7">
        <v>0</v>
      </c>
      <c r="P717" s="7">
        <v>0</v>
      </c>
      <c r="Q717" s="7">
        <v>0</v>
      </c>
    </row>
    <row r="718" spans="1:17">
      <c r="A718" s="2">
        <v>2666</v>
      </c>
      <c r="B718" s="7">
        <v>0</v>
      </c>
      <c r="C718" s="7">
        <v>0</v>
      </c>
      <c r="D718" s="7">
        <v>0</v>
      </c>
      <c r="E718" s="7">
        <v>0</v>
      </c>
      <c r="F718" s="7">
        <v>0</v>
      </c>
      <c r="G718" s="7">
        <v>0</v>
      </c>
      <c r="H718" s="7">
        <v>0</v>
      </c>
      <c r="I718" s="7">
        <v>0</v>
      </c>
      <c r="J718" s="7">
        <v>0</v>
      </c>
      <c r="K718" s="7">
        <v>0</v>
      </c>
      <c r="L718" s="7">
        <v>0</v>
      </c>
      <c r="M718" s="7">
        <v>0</v>
      </c>
      <c r="N718" s="7">
        <v>0</v>
      </c>
      <c r="O718" s="7">
        <v>0</v>
      </c>
      <c r="P718" s="7">
        <v>0</v>
      </c>
      <c r="Q718" s="7">
        <v>0</v>
      </c>
    </row>
    <row r="719" spans="1:17">
      <c r="A719" s="2">
        <v>2667</v>
      </c>
      <c r="B719" s="7">
        <v>0</v>
      </c>
      <c r="C719" s="7">
        <v>0</v>
      </c>
      <c r="D719" s="7">
        <v>0</v>
      </c>
      <c r="E719" s="7">
        <v>0</v>
      </c>
      <c r="F719" s="7">
        <v>0</v>
      </c>
      <c r="G719" s="7">
        <v>0</v>
      </c>
      <c r="H719" s="7">
        <v>0</v>
      </c>
      <c r="I719" s="7">
        <v>0</v>
      </c>
      <c r="J719" s="7">
        <v>0</v>
      </c>
      <c r="K719" s="7">
        <v>0</v>
      </c>
      <c r="L719" s="7">
        <v>0</v>
      </c>
      <c r="M719" s="7">
        <v>0</v>
      </c>
      <c r="N719" s="7">
        <v>0</v>
      </c>
      <c r="O719" s="7">
        <v>0</v>
      </c>
      <c r="P719" s="7">
        <v>0</v>
      </c>
      <c r="Q719" s="7">
        <v>0</v>
      </c>
    </row>
    <row r="720" spans="1:17">
      <c r="A720" s="2">
        <v>2668</v>
      </c>
      <c r="B720" s="7">
        <v>0</v>
      </c>
      <c r="C720" s="7">
        <v>0</v>
      </c>
      <c r="D720" s="7">
        <v>0</v>
      </c>
      <c r="E720" s="7">
        <v>0</v>
      </c>
      <c r="F720" s="7">
        <v>0</v>
      </c>
      <c r="G720" s="7">
        <v>0</v>
      </c>
      <c r="H720" s="7">
        <v>0</v>
      </c>
      <c r="I720" s="7">
        <v>0</v>
      </c>
      <c r="J720" s="7">
        <v>0</v>
      </c>
      <c r="K720" s="7">
        <v>0</v>
      </c>
      <c r="L720" s="7">
        <v>0</v>
      </c>
      <c r="M720" s="7">
        <v>0</v>
      </c>
      <c r="N720" s="7">
        <v>0</v>
      </c>
      <c r="O720" s="7">
        <v>0</v>
      </c>
      <c r="P720" s="7">
        <v>0</v>
      </c>
      <c r="Q720" s="7">
        <v>0</v>
      </c>
    </row>
    <row r="721" spans="1:17">
      <c r="A721" s="2">
        <v>2669</v>
      </c>
      <c r="B721" s="7">
        <v>0</v>
      </c>
      <c r="C721" s="7">
        <v>0</v>
      </c>
      <c r="D721" s="7">
        <v>0</v>
      </c>
      <c r="E721" s="7">
        <v>0</v>
      </c>
      <c r="F721" s="7">
        <v>0</v>
      </c>
      <c r="G721" s="7">
        <v>0</v>
      </c>
      <c r="H721" s="7">
        <v>0</v>
      </c>
      <c r="I721" s="7">
        <v>0</v>
      </c>
      <c r="J721" s="7">
        <v>0</v>
      </c>
      <c r="K721" s="7">
        <v>0</v>
      </c>
      <c r="L721" s="7">
        <v>0</v>
      </c>
      <c r="M721" s="7">
        <v>0</v>
      </c>
      <c r="N721" s="7">
        <v>0</v>
      </c>
      <c r="O721" s="7">
        <v>0</v>
      </c>
      <c r="P721" s="7">
        <v>0</v>
      </c>
      <c r="Q721" s="7">
        <v>0</v>
      </c>
    </row>
    <row r="722" spans="1:17">
      <c r="A722" s="2">
        <v>2670</v>
      </c>
      <c r="B722" s="7">
        <v>0</v>
      </c>
      <c r="C722" s="7">
        <v>0</v>
      </c>
      <c r="D722" s="7">
        <v>0</v>
      </c>
      <c r="E722" s="7">
        <v>0</v>
      </c>
      <c r="F722" s="7">
        <v>0</v>
      </c>
      <c r="G722" s="7">
        <v>0</v>
      </c>
      <c r="H722" s="7">
        <v>0</v>
      </c>
      <c r="I722" s="7">
        <v>0</v>
      </c>
      <c r="J722" s="7">
        <v>0</v>
      </c>
      <c r="K722" s="7">
        <v>0</v>
      </c>
      <c r="L722" s="7">
        <v>0</v>
      </c>
      <c r="M722" s="7">
        <v>0</v>
      </c>
      <c r="N722" s="7">
        <v>0</v>
      </c>
      <c r="O722" s="7">
        <v>0</v>
      </c>
      <c r="P722" s="7">
        <v>0</v>
      </c>
      <c r="Q722" s="7">
        <v>0</v>
      </c>
    </row>
    <row r="723" spans="1:17">
      <c r="A723" s="2">
        <v>2671</v>
      </c>
      <c r="B723" s="7">
        <v>0</v>
      </c>
      <c r="C723" s="7">
        <v>0</v>
      </c>
      <c r="D723" s="7">
        <v>0</v>
      </c>
      <c r="E723" s="7">
        <v>0</v>
      </c>
      <c r="F723" s="7">
        <v>0</v>
      </c>
      <c r="G723" s="7">
        <v>0</v>
      </c>
      <c r="H723" s="7">
        <v>0</v>
      </c>
      <c r="I723" s="7">
        <v>0</v>
      </c>
      <c r="J723" s="7">
        <v>0</v>
      </c>
      <c r="K723" s="7">
        <v>0</v>
      </c>
      <c r="L723" s="7">
        <v>0</v>
      </c>
      <c r="M723" s="7">
        <v>0</v>
      </c>
      <c r="N723" s="7">
        <v>0</v>
      </c>
      <c r="O723" s="7">
        <v>0</v>
      </c>
      <c r="P723" s="7">
        <v>0</v>
      </c>
      <c r="Q723" s="7">
        <v>0</v>
      </c>
    </row>
    <row r="724" spans="1:17">
      <c r="A724" s="2">
        <v>2672</v>
      </c>
      <c r="B724" s="7">
        <v>0</v>
      </c>
      <c r="C724" s="7">
        <v>0</v>
      </c>
      <c r="D724" s="7">
        <v>0</v>
      </c>
      <c r="E724" s="7">
        <v>0</v>
      </c>
      <c r="F724" s="7">
        <v>0</v>
      </c>
      <c r="G724" s="7">
        <v>0</v>
      </c>
      <c r="H724" s="7">
        <v>0</v>
      </c>
      <c r="I724" s="7">
        <v>0</v>
      </c>
      <c r="J724" s="7">
        <v>0</v>
      </c>
      <c r="K724" s="7">
        <v>0</v>
      </c>
      <c r="L724" s="7">
        <v>0</v>
      </c>
      <c r="M724" s="7">
        <v>0</v>
      </c>
      <c r="N724" s="7">
        <v>0</v>
      </c>
      <c r="O724" s="7">
        <v>0</v>
      </c>
      <c r="P724" s="7">
        <v>0</v>
      </c>
      <c r="Q724" s="7">
        <v>0</v>
      </c>
    </row>
    <row r="725" spans="1:17">
      <c r="A725" s="2">
        <v>2673</v>
      </c>
      <c r="B725" s="7">
        <v>0</v>
      </c>
      <c r="C725" s="7">
        <v>0</v>
      </c>
      <c r="D725" s="7">
        <v>0</v>
      </c>
      <c r="E725" s="7">
        <v>0</v>
      </c>
      <c r="F725" s="7">
        <v>0</v>
      </c>
      <c r="G725" s="7">
        <v>0</v>
      </c>
      <c r="H725" s="7">
        <v>0</v>
      </c>
      <c r="I725" s="7">
        <v>0</v>
      </c>
      <c r="J725" s="7">
        <v>0</v>
      </c>
      <c r="K725" s="7">
        <v>0</v>
      </c>
      <c r="L725" s="7">
        <v>0</v>
      </c>
      <c r="M725" s="7">
        <v>0</v>
      </c>
      <c r="N725" s="7">
        <v>0</v>
      </c>
      <c r="O725" s="7">
        <v>0</v>
      </c>
      <c r="P725" s="7">
        <v>0</v>
      </c>
      <c r="Q725" s="7">
        <v>0</v>
      </c>
    </row>
    <row r="726" spans="1:17">
      <c r="A726" s="2">
        <v>2674</v>
      </c>
      <c r="B726" s="7">
        <v>0</v>
      </c>
      <c r="C726" s="7">
        <v>0</v>
      </c>
      <c r="D726" s="7">
        <v>0</v>
      </c>
      <c r="E726" s="7">
        <v>0</v>
      </c>
      <c r="F726" s="7">
        <v>0</v>
      </c>
      <c r="G726" s="7">
        <v>0</v>
      </c>
      <c r="H726" s="7">
        <v>0</v>
      </c>
      <c r="I726" s="7">
        <v>0</v>
      </c>
      <c r="J726" s="7">
        <v>0</v>
      </c>
      <c r="K726" s="7">
        <v>0</v>
      </c>
      <c r="L726" s="7">
        <v>0</v>
      </c>
      <c r="M726" s="7">
        <v>0</v>
      </c>
      <c r="N726" s="7">
        <v>0</v>
      </c>
      <c r="O726" s="7">
        <v>0</v>
      </c>
      <c r="P726" s="7">
        <v>0</v>
      </c>
      <c r="Q726" s="7">
        <v>0</v>
      </c>
    </row>
    <row r="727" spans="1:17">
      <c r="A727" s="2">
        <v>2675</v>
      </c>
      <c r="B727" s="7">
        <v>0</v>
      </c>
      <c r="C727" s="7">
        <v>0</v>
      </c>
      <c r="D727" s="7">
        <v>0</v>
      </c>
      <c r="E727" s="7">
        <v>0</v>
      </c>
      <c r="F727" s="7">
        <v>0</v>
      </c>
      <c r="G727" s="7">
        <v>0</v>
      </c>
      <c r="H727" s="7">
        <v>0</v>
      </c>
      <c r="I727" s="7">
        <v>0</v>
      </c>
      <c r="J727" s="7">
        <v>0</v>
      </c>
      <c r="K727" s="7">
        <v>0</v>
      </c>
      <c r="L727" s="7">
        <v>0</v>
      </c>
      <c r="M727" s="7">
        <v>0</v>
      </c>
      <c r="N727" s="7">
        <v>0</v>
      </c>
      <c r="O727" s="7">
        <v>0</v>
      </c>
      <c r="P727" s="7">
        <v>0</v>
      </c>
      <c r="Q727" s="7">
        <v>0</v>
      </c>
    </row>
    <row r="728" spans="1:17">
      <c r="A728" s="2">
        <v>2676</v>
      </c>
      <c r="B728" s="7">
        <v>0</v>
      </c>
      <c r="C728" s="7">
        <v>0</v>
      </c>
      <c r="D728" s="7">
        <v>0</v>
      </c>
      <c r="E728" s="7">
        <v>0</v>
      </c>
      <c r="F728" s="7">
        <v>0</v>
      </c>
      <c r="G728" s="7">
        <v>0</v>
      </c>
      <c r="H728" s="7">
        <v>0</v>
      </c>
      <c r="I728" s="7">
        <v>0</v>
      </c>
      <c r="J728" s="7">
        <v>0</v>
      </c>
      <c r="K728" s="7">
        <v>0</v>
      </c>
      <c r="L728" s="7">
        <v>0</v>
      </c>
      <c r="M728" s="7">
        <v>0</v>
      </c>
      <c r="N728" s="7">
        <v>0</v>
      </c>
      <c r="O728" s="7">
        <v>0</v>
      </c>
      <c r="P728" s="7">
        <v>0</v>
      </c>
      <c r="Q728" s="7">
        <v>0</v>
      </c>
    </row>
    <row r="729" spans="1:17">
      <c r="A729" s="2">
        <v>2677</v>
      </c>
      <c r="B729" s="7">
        <v>0</v>
      </c>
      <c r="C729" s="7">
        <v>0</v>
      </c>
      <c r="D729" s="7">
        <v>0</v>
      </c>
      <c r="E729" s="7">
        <v>0</v>
      </c>
      <c r="F729" s="7">
        <v>0</v>
      </c>
      <c r="G729" s="7">
        <v>0</v>
      </c>
      <c r="H729" s="7">
        <v>0</v>
      </c>
      <c r="I729" s="7">
        <v>0</v>
      </c>
      <c r="J729" s="7">
        <v>0</v>
      </c>
      <c r="K729" s="7">
        <v>0</v>
      </c>
      <c r="L729" s="7">
        <v>0</v>
      </c>
      <c r="M729" s="7">
        <v>0</v>
      </c>
      <c r="N729" s="7">
        <v>0</v>
      </c>
      <c r="O729" s="7">
        <v>0</v>
      </c>
      <c r="P729" s="7">
        <v>0</v>
      </c>
      <c r="Q729" s="7">
        <v>0</v>
      </c>
    </row>
    <row r="730" spans="1:17">
      <c r="A730" s="2">
        <v>2678</v>
      </c>
      <c r="B730" s="7">
        <v>0</v>
      </c>
      <c r="C730" s="7">
        <v>0</v>
      </c>
      <c r="D730" s="7">
        <v>0</v>
      </c>
      <c r="E730" s="7">
        <v>0</v>
      </c>
      <c r="F730" s="7">
        <v>0</v>
      </c>
      <c r="G730" s="7">
        <v>0</v>
      </c>
      <c r="H730" s="7">
        <v>0</v>
      </c>
      <c r="I730" s="7">
        <v>0</v>
      </c>
      <c r="J730" s="7">
        <v>0</v>
      </c>
      <c r="K730" s="7">
        <v>0</v>
      </c>
      <c r="L730" s="7">
        <v>0</v>
      </c>
      <c r="M730" s="7">
        <v>0</v>
      </c>
      <c r="N730" s="7">
        <v>0</v>
      </c>
      <c r="O730" s="7">
        <v>0</v>
      </c>
      <c r="P730" s="7">
        <v>0</v>
      </c>
      <c r="Q730" s="7">
        <v>0</v>
      </c>
    </row>
    <row r="731" spans="1:17">
      <c r="A731" s="2">
        <v>2679</v>
      </c>
      <c r="B731" s="7">
        <v>0</v>
      </c>
      <c r="C731" s="7">
        <v>0</v>
      </c>
      <c r="D731" s="7">
        <v>0</v>
      </c>
      <c r="E731" s="7">
        <v>0</v>
      </c>
      <c r="F731" s="7">
        <v>0</v>
      </c>
      <c r="G731" s="7">
        <v>0</v>
      </c>
      <c r="H731" s="7">
        <v>0</v>
      </c>
      <c r="I731" s="7">
        <v>0</v>
      </c>
      <c r="J731" s="7">
        <v>0</v>
      </c>
      <c r="K731" s="7">
        <v>0</v>
      </c>
      <c r="L731" s="7">
        <v>0</v>
      </c>
      <c r="M731" s="7">
        <v>0</v>
      </c>
      <c r="N731" s="7">
        <v>0</v>
      </c>
      <c r="O731" s="7">
        <v>0</v>
      </c>
      <c r="P731" s="7">
        <v>0</v>
      </c>
      <c r="Q731" s="7">
        <v>0</v>
      </c>
    </row>
    <row r="732" spans="1:17">
      <c r="A732" s="2">
        <v>2680</v>
      </c>
      <c r="B732" s="7">
        <v>0</v>
      </c>
      <c r="C732" s="7">
        <v>0</v>
      </c>
      <c r="D732" s="7">
        <v>0</v>
      </c>
      <c r="E732" s="7">
        <v>0</v>
      </c>
      <c r="F732" s="7">
        <v>0</v>
      </c>
      <c r="G732" s="7">
        <v>0</v>
      </c>
      <c r="H732" s="7">
        <v>0</v>
      </c>
      <c r="I732" s="7">
        <v>0</v>
      </c>
      <c r="J732" s="7">
        <v>0</v>
      </c>
      <c r="K732" s="7">
        <v>0</v>
      </c>
      <c r="L732" s="7">
        <v>0</v>
      </c>
      <c r="M732" s="7">
        <v>0</v>
      </c>
      <c r="N732" s="7">
        <v>0</v>
      </c>
      <c r="O732" s="7">
        <v>0</v>
      </c>
      <c r="P732" s="7">
        <v>0</v>
      </c>
      <c r="Q732" s="7">
        <v>0</v>
      </c>
    </row>
    <row r="733" spans="1:17">
      <c r="A733" s="2">
        <v>2681</v>
      </c>
      <c r="B733" s="7">
        <v>0</v>
      </c>
      <c r="C733" s="7">
        <v>0</v>
      </c>
      <c r="D733" s="7">
        <v>0</v>
      </c>
      <c r="E733" s="7">
        <v>0</v>
      </c>
      <c r="F733" s="7">
        <v>0</v>
      </c>
      <c r="G733" s="7">
        <v>0</v>
      </c>
      <c r="H733" s="7">
        <v>0</v>
      </c>
      <c r="I733" s="7">
        <v>0</v>
      </c>
      <c r="J733" s="7">
        <v>0</v>
      </c>
      <c r="K733" s="7">
        <v>0</v>
      </c>
      <c r="L733" s="7">
        <v>0</v>
      </c>
      <c r="M733" s="7">
        <v>0</v>
      </c>
      <c r="N733" s="7">
        <v>0</v>
      </c>
      <c r="O733" s="7">
        <v>0</v>
      </c>
      <c r="P733" s="7">
        <v>0</v>
      </c>
      <c r="Q733" s="7">
        <v>0</v>
      </c>
    </row>
    <row r="734" spans="1:17">
      <c r="A734" s="2">
        <v>2682</v>
      </c>
      <c r="B734" s="7">
        <v>0</v>
      </c>
      <c r="C734" s="7">
        <v>0</v>
      </c>
      <c r="D734" s="7">
        <v>0</v>
      </c>
      <c r="E734" s="7">
        <v>0</v>
      </c>
      <c r="F734" s="7">
        <v>0</v>
      </c>
      <c r="G734" s="7">
        <v>0</v>
      </c>
      <c r="H734" s="7">
        <v>0</v>
      </c>
      <c r="I734" s="7">
        <v>0</v>
      </c>
      <c r="J734" s="7">
        <v>0</v>
      </c>
      <c r="K734" s="7">
        <v>0</v>
      </c>
      <c r="L734" s="7">
        <v>0</v>
      </c>
      <c r="M734" s="7">
        <v>0</v>
      </c>
      <c r="N734" s="7">
        <v>0</v>
      </c>
      <c r="O734" s="7">
        <v>0</v>
      </c>
      <c r="P734" s="7">
        <v>0</v>
      </c>
      <c r="Q734" s="7">
        <v>0</v>
      </c>
    </row>
    <row r="735" spans="1:17">
      <c r="A735" s="2">
        <v>2683</v>
      </c>
      <c r="B735" s="7">
        <v>0</v>
      </c>
      <c r="C735" s="7">
        <v>0</v>
      </c>
      <c r="D735" s="7">
        <v>0</v>
      </c>
      <c r="E735" s="7">
        <v>0</v>
      </c>
      <c r="F735" s="7">
        <v>0</v>
      </c>
      <c r="G735" s="7">
        <v>0</v>
      </c>
      <c r="H735" s="7">
        <v>0</v>
      </c>
      <c r="I735" s="7">
        <v>0</v>
      </c>
      <c r="J735" s="7">
        <v>0</v>
      </c>
      <c r="K735" s="7">
        <v>0</v>
      </c>
      <c r="L735" s="7">
        <v>0</v>
      </c>
      <c r="M735" s="7">
        <v>0</v>
      </c>
      <c r="N735" s="7">
        <v>0</v>
      </c>
      <c r="O735" s="7">
        <v>0</v>
      </c>
      <c r="P735" s="7">
        <v>0</v>
      </c>
      <c r="Q735" s="7">
        <v>0</v>
      </c>
    </row>
    <row r="736" spans="1:17">
      <c r="A736" s="2">
        <v>2684</v>
      </c>
      <c r="B736" s="7">
        <v>0</v>
      </c>
      <c r="C736" s="7">
        <v>0</v>
      </c>
      <c r="D736" s="7">
        <v>0</v>
      </c>
      <c r="E736" s="7">
        <v>0</v>
      </c>
      <c r="F736" s="7">
        <v>0</v>
      </c>
      <c r="G736" s="7">
        <v>0</v>
      </c>
      <c r="H736" s="7">
        <v>0</v>
      </c>
      <c r="I736" s="7">
        <v>0</v>
      </c>
      <c r="J736" s="7">
        <v>0</v>
      </c>
      <c r="K736" s="7">
        <v>0</v>
      </c>
      <c r="L736" s="7">
        <v>0</v>
      </c>
      <c r="M736" s="7">
        <v>0</v>
      </c>
      <c r="N736" s="7">
        <v>0</v>
      </c>
      <c r="O736" s="7">
        <v>0</v>
      </c>
      <c r="P736" s="7">
        <v>0</v>
      </c>
      <c r="Q736" s="7">
        <v>0</v>
      </c>
    </row>
    <row r="737" spans="1:17">
      <c r="A737" s="2">
        <v>2685</v>
      </c>
      <c r="B737" s="7">
        <v>0</v>
      </c>
      <c r="C737" s="7">
        <v>0</v>
      </c>
      <c r="D737" s="7">
        <v>0</v>
      </c>
      <c r="E737" s="7">
        <v>0</v>
      </c>
      <c r="F737" s="7">
        <v>0</v>
      </c>
      <c r="G737" s="7">
        <v>0</v>
      </c>
      <c r="H737" s="7">
        <v>0</v>
      </c>
      <c r="I737" s="7">
        <v>0</v>
      </c>
      <c r="J737" s="7">
        <v>0</v>
      </c>
      <c r="K737" s="7">
        <v>0</v>
      </c>
      <c r="L737" s="7">
        <v>0</v>
      </c>
      <c r="M737" s="7">
        <v>0</v>
      </c>
      <c r="N737" s="7">
        <v>0</v>
      </c>
      <c r="O737" s="7">
        <v>0</v>
      </c>
      <c r="P737" s="7">
        <v>0</v>
      </c>
      <c r="Q737" s="7">
        <v>0</v>
      </c>
    </row>
    <row r="738" spans="1:17">
      <c r="A738" s="2">
        <v>2686</v>
      </c>
      <c r="B738" s="7">
        <v>0</v>
      </c>
      <c r="C738" s="7">
        <v>0</v>
      </c>
      <c r="D738" s="7">
        <v>0</v>
      </c>
      <c r="E738" s="7">
        <v>0</v>
      </c>
      <c r="F738" s="7">
        <v>0</v>
      </c>
      <c r="G738" s="7">
        <v>0</v>
      </c>
      <c r="H738" s="7">
        <v>0</v>
      </c>
      <c r="I738" s="7">
        <v>0</v>
      </c>
      <c r="J738" s="7">
        <v>0</v>
      </c>
      <c r="K738" s="7">
        <v>0</v>
      </c>
      <c r="L738" s="7">
        <v>0</v>
      </c>
      <c r="M738" s="7">
        <v>0</v>
      </c>
      <c r="N738" s="7">
        <v>0</v>
      </c>
      <c r="O738" s="7">
        <v>0</v>
      </c>
      <c r="P738" s="7">
        <v>0</v>
      </c>
      <c r="Q738" s="7">
        <v>0</v>
      </c>
    </row>
    <row r="739" spans="1:17">
      <c r="A739" s="2">
        <v>2687</v>
      </c>
      <c r="B739" s="7">
        <v>0</v>
      </c>
      <c r="C739" s="7">
        <v>0</v>
      </c>
      <c r="D739" s="7">
        <v>0</v>
      </c>
      <c r="E739" s="7">
        <v>0</v>
      </c>
      <c r="F739" s="7">
        <v>0</v>
      </c>
      <c r="G739" s="7">
        <v>0</v>
      </c>
      <c r="H739" s="7">
        <v>0</v>
      </c>
      <c r="I739" s="7">
        <v>0</v>
      </c>
      <c r="J739" s="7">
        <v>0</v>
      </c>
      <c r="K739" s="7">
        <v>0</v>
      </c>
      <c r="L739" s="7">
        <v>0</v>
      </c>
      <c r="M739" s="7">
        <v>0</v>
      </c>
      <c r="N739" s="7">
        <v>0</v>
      </c>
      <c r="O739" s="7">
        <v>0</v>
      </c>
      <c r="P739" s="7">
        <v>0</v>
      </c>
      <c r="Q739" s="7">
        <v>0</v>
      </c>
    </row>
    <row r="740" spans="1:17">
      <c r="A740" s="2">
        <v>2688</v>
      </c>
      <c r="B740" s="7">
        <v>0</v>
      </c>
      <c r="C740" s="7">
        <v>0</v>
      </c>
      <c r="D740" s="7">
        <v>0</v>
      </c>
      <c r="E740" s="7">
        <v>0</v>
      </c>
      <c r="F740" s="7">
        <v>0</v>
      </c>
      <c r="G740" s="7">
        <v>0</v>
      </c>
      <c r="H740" s="7">
        <v>0</v>
      </c>
      <c r="I740" s="7">
        <v>0</v>
      </c>
      <c r="J740" s="7">
        <v>0</v>
      </c>
      <c r="K740" s="7">
        <v>0</v>
      </c>
      <c r="L740" s="7">
        <v>0</v>
      </c>
      <c r="M740" s="7">
        <v>0</v>
      </c>
      <c r="N740" s="7">
        <v>0</v>
      </c>
      <c r="O740" s="7">
        <v>0</v>
      </c>
      <c r="P740" s="7">
        <v>0</v>
      </c>
      <c r="Q740" s="7">
        <v>0</v>
      </c>
    </row>
    <row r="741" spans="1:17">
      <c r="A741" s="2">
        <v>2689</v>
      </c>
      <c r="B741" s="7">
        <v>0</v>
      </c>
      <c r="C741" s="7">
        <v>0</v>
      </c>
      <c r="D741" s="7">
        <v>0</v>
      </c>
      <c r="E741" s="7">
        <v>0</v>
      </c>
      <c r="F741" s="7">
        <v>0</v>
      </c>
      <c r="G741" s="7">
        <v>0</v>
      </c>
      <c r="H741" s="7">
        <v>0</v>
      </c>
      <c r="I741" s="7">
        <v>0</v>
      </c>
      <c r="J741" s="7">
        <v>0</v>
      </c>
      <c r="K741" s="7">
        <v>0</v>
      </c>
      <c r="L741" s="7">
        <v>0</v>
      </c>
      <c r="M741" s="7">
        <v>0</v>
      </c>
      <c r="N741" s="7">
        <v>0</v>
      </c>
      <c r="O741" s="7">
        <v>0</v>
      </c>
      <c r="P741" s="7">
        <v>0</v>
      </c>
      <c r="Q741" s="7">
        <v>0</v>
      </c>
    </row>
    <row r="742" spans="1:17">
      <c r="A742" s="2">
        <v>2690</v>
      </c>
      <c r="B742" s="7">
        <v>0</v>
      </c>
      <c r="C742" s="7">
        <v>0</v>
      </c>
      <c r="D742" s="7">
        <v>0</v>
      </c>
      <c r="E742" s="7">
        <v>0</v>
      </c>
      <c r="F742" s="7">
        <v>0</v>
      </c>
      <c r="G742" s="7">
        <v>0</v>
      </c>
      <c r="H742" s="7">
        <v>0</v>
      </c>
      <c r="I742" s="7">
        <v>0</v>
      </c>
      <c r="J742" s="7">
        <v>0</v>
      </c>
      <c r="K742" s="7">
        <v>0</v>
      </c>
      <c r="L742" s="7">
        <v>0</v>
      </c>
      <c r="M742" s="7">
        <v>0</v>
      </c>
      <c r="N742" s="7">
        <v>0</v>
      </c>
      <c r="O742" s="7">
        <v>0</v>
      </c>
      <c r="P742" s="7">
        <v>0</v>
      </c>
      <c r="Q742" s="7">
        <v>0</v>
      </c>
    </row>
    <row r="743" spans="1:17">
      <c r="A743" s="2">
        <v>2691</v>
      </c>
      <c r="B743" s="7">
        <v>0</v>
      </c>
      <c r="C743" s="7">
        <v>0</v>
      </c>
      <c r="D743" s="7">
        <v>0</v>
      </c>
      <c r="E743" s="7">
        <v>0</v>
      </c>
      <c r="F743" s="7">
        <v>0</v>
      </c>
      <c r="G743" s="7">
        <v>0</v>
      </c>
      <c r="H743" s="7">
        <v>0</v>
      </c>
      <c r="I743" s="7">
        <v>0</v>
      </c>
      <c r="J743" s="7">
        <v>0</v>
      </c>
      <c r="K743" s="7">
        <v>0</v>
      </c>
      <c r="L743" s="7">
        <v>0</v>
      </c>
      <c r="M743" s="7">
        <v>0</v>
      </c>
      <c r="N743" s="7">
        <v>0</v>
      </c>
      <c r="O743" s="7">
        <v>0</v>
      </c>
      <c r="P743" s="7">
        <v>0</v>
      </c>
      <c r="Q743" s="7">
        <v>0</v>
      </c>
    </row>
    <row r="744" spans="1:17">
      <c r="A744" s="2">
        <v>2692</v>
      </c>
      <c r="B744" s="7">
        <v>0</v>
      </c>
      <c r="C744" s="7">
        <v>0</v>
      </c>
      <c r="D744" s="7">
        <v>0</v>
      </c>
      <c r="E744" s="7">
        <v>0</v>
      </c>
      <c r="F744" s="7">
        <v>0</v>
      </c>
      <c r="G744" s="7">
        <v>0</v>
      </c>
      <c r="H744" s="7">
        <v>0</v>
      </c>
      <c r="I744" s="7">
        <v>0</v>
      </c>
      <c r="J744" s="7">
        <v>0</v>
      </c>
      <c r="K744" s="7">
        <v>0</v>
      </c>
      <c r="L744" s="7">
        <v>0</v>
      </c>
      <c r="M744" s="7">
        <v>0</v>
      </c>
      <c r="N744" s="7">
        <v>0</v>
      </c>
      <c r="O744" s="7">
        <v>0</v>
      </c>
      <c r="P744" s="7">
        <v>0</v>
      </c>
      <c r="Q744" s="7">
        <v>0</v>
      </c>
    </row>
    <row r="745" spans="1:17">
      <c r="A745" s="2">
        <v>2693</v>
      </c>
      <c r="B745" s="7">
        <v>0</v>
      </c>
      <c r="C745" s="7">
        <v>0</v>
      </c>
      <c r="D745" s="7">
        <v>0</v>
      </c>
      <c r="E745" s="7">
        <v>0</v>
      </c>
      <c r="F745" s="7">
        <v>0</v>
      </c>
      <c r="G745" s="7">
        <v>0</v>
      </c>
      <c r="H745" s="7">
        <v>0</v>
      </c>
      <c r="I745" s="7">
        <v>0</v>
      </c>
      <c r="J745" s="7">
        <v>0</v>
      </c>
      <c r="K745" s="7">
        <v>0</v>
      </c>
      <c r="L745" s="7">
        <v>0</v>
      </c>
      <c r="M745" s="7">
        <v>0</v>
      </c>
      <c r="N745" s="7">
        <v>0</v>
      </c>
      <c r="O745" s="7">
        <v>0</v>
      </c>
      <c r="P745" s="7">
        <v>0</v>
      </c>
      <c r="Q745" s="7">
        <v>0</v>
      </c>
    </row>
    <row r="746" spans="1:17">
      <c r="A746" s="2">
        <v>2694</v>
      </c>
      <c r="B746" s="7">
        <v>0</v>
      </c>
      <c r="C746" s="7">
        <v>0</v>
      </c>
      <c r="D746" s="7">
        <v>0</v>
      </c>
      <c r="E746" s="7">
        <v>0</v>
      </c>
      <c r="F746" s="7">
        <v>0</v>
      </c>
      <c r="G746" s="7">
        <v>0</v>
      </c>
      <c r="H746" s="7">
        <v>0</v>
      </c>
      <c r="I746" s="7">
        <v>0</v>
      </c>
      <c r="J746" s="7">
        <v>0</v>
      </c>
      <c r="K746" s="7">
        <v>0</v>
      </c>
      <c r="L746" s="7">
        <v>0</v>
      </c>
      <c r="M746" s="7">
        <v>0</v>
      </c>
      <c r="N746" s="7">
        <v>0</v>
      </c>
      <c r="O746" s="7">
        <v>0</v>
      </c>
      <c r="P746" s="7">
        <v>0</v>
      </c>
      <c r="Q746" s="7">
        <v>0</v>
      </c>
    </row>
    <row r="747" spans="1:17">
      <c r="A747" s="2">
        <v>2695</v>
      </c>
      <c r="B747" s="7">
        <v>0</v>
      </c>
      <c r="C747" s="7">
        <v>0</v>
      </c>
      <c r="D747" s="7">
        <v>0</v>
      </c>
      <c r="E747" s="7">
        <v>0</v>
      </c>
      <c r="F747" s="7">
        <v>0</v>
      </c>
      <c r="G747" s="7">
        <v>0</v>
      </c>
      <c r="H747" s="7">
        <v>0</v>
      </c>
      <c r="I747" s="7">
        <v>0</v>
      </c>
      <c r="J747" s="7">
        <v>0</v>
      </c>
      <c r="K747" s="7">
        <v>0</v>
      </c>
      <c r="L747" s="7">
        <v>0</v>
      </c>
      <c r="M747" s="7">
        <v>0</v>
      </c>
      <c r="N747" s="7">
        <v>0</v>
      </c>
      <c r="O747" s="7">
        <v>0</v>
      </c>
      <c r="P747" s="7">
        <v>0</v>
      </c>
      <c r="Q747" s="7">
        <v>0</v>
      </c>
    </row>
    <row r="748" spans="1:17">
      <c r="A748" s="2">
        <v>2696</v>
      </c>
      <c r="B748" s="7">
        <v>0</v>
      </c>
      <c r="C748" s="7">
        <v>0</v>
      </c>
      <c r="D748" s="7">
        <v>0</v>
      </c>
      <c r="E748" s="7">
        <v>0</v>
      </c>
      <c r="F748" s="7">
        <v>0</v>
      </c>
      <c r="G748" s="7">
        <v>0</v>
      </c>
      <c r="H748" s="7">
        <v>0</v>
      </c>
      <c r="I748" s="7">
        <v>0</v>
      </c>
      <c r="J748" s="7">
        <v>0</v>
      </c>
      <c r="K748" s="7">
        <v>0</v>
      </c>
      <c r="L748" s="7">
        <v>0</v>
      </c>
      <c r="M748" s="7">
        <v>0</v>
      </c>
      <c r="N748" s="7">
        <v>0</v>
      </c>
      <c r="O748" s="7">
        <v>0</v>
      </c>
      <c r="P748" s="7">
        <v>0</v>
      </c>
      <c r="Q748" s="7">
        <v>0</v>
      </c>
    </row>
    <row r="749" spans="1:17">
      <c r="A749" s="2">
        <v>2697</v>
      </c>
      <c r="B749" s="7">
        <v>0</v>
      </c>
      <c r="C749" s="7">
        <v>0</v>
      </c>
      <c r="D749" s="7">
        <v>0</v>
      </c>
      <c r="E749" s="7">
        <v>0</v>
      </c>
      <c r="F749" s="7">
        <v>0</v>
      </c>
      <c r="G749" s="7">
        <v>0</v>
      </c>
      <c r="H749" s="7">
        <v>0</v>
      </c>
      <c r="I749" s="7">
        <v>0</v>
      </c>
      <c r="J749" s="7">
        <v>0</v>
      </c>
      <c r="K749" s="7">
        <v>0</v>
      </c>
      <c r="L749" s="7">
        <v>0</v>
      </c>
      <c r="M749" s="7">
        <v>0</v>
      </c>
      <c r="N749" s="7">
        <v>0</v>
      </c>
      <c r="O749" s="7">
        <v>0</v>
      </c>
      <c r="P749" s="7">
        <v>0</v>
      </c>
      <c r="Q749" s="7">
        <v>0</v>
      </c>
    </row>
    <row r="750" spans="1:17">
      <c r="A750" s="2">
        <v>2698</v>
      </c>
      <c r="B750" s="7">
        <v>0</v>
      </c>
      <c r="C750" s="7">
        <v>0</v>
      </c>
      <c r="D750" s="7">
        <v>0</v>
      </c>
      <c r="E750" s="7">
        <v>0</v>
      </c>
      <c r="F750" s="7">
        <v>0</v>
      </c>
      <c r="G750" s="7">
        <v>0</v>
      </c>
      <c r="H750" s="7">
        <v>0</v>
      </c>
      <c r="I750" s="7">
        <v>0</v>
      </c>
      <c r="J750" s="7">
        <v>0</v>
      </c>
      <c r="K750" s="7">
        <v>0</v>
      </c>
      <c r="L750" s="7">
        <v>0</v>
      </c>
      <c r="M750" s="7">
        <v>0</v>
      </c>
      <c r="N750" s="7">
        <v>0</v>
      </c>
      <c r="O750" s="7">
        <v>0</v>
      </c>
      <c r="P750" s="7">
        <v>0</v>
      </c>
      <c r="Q750" s="7">
        <v>0</v>
      </c>
    </row>
    <row r="751" spans="1:17">
      <c r="A751" s="2">
        <v>2699</v>
      </c>
      <c r="B751" s="7">
        <v>0</v>
      </c>
      <c r="C751" s="7">
        <v>0</v>
      </c>
      <c r="D751" s="7">
        <v>0</v>
      </c>
      <c r="E751" s="7">
        <v>0</v>
      </c>
      <c r="F751" s="7">
        <v>0</v>
      </c>
      <c r="G751" s="7">
        <v>0</v>
      </c>
      <c r="H751" s="7">
        <v>0</v>
      </c>
      <c r="I751" s="7">
        <v>0</v>
      </c>
      <c r="J751" s="7">
        <v>0</v>
      </c>
      <c r="K751" s="7">
        <v>0</v>
      </c>
      <c r="L751" s="7">
        <v>0</v>
      </c>
      <c r="M751" s="7">
        <v>0</v>
      </c>
      <c r="N751" s="7">
        <v>0</v>
      </c>
      <c r="O751" s="7">
        <v>0</v>
      </c>
      <c r="P751" s="7">
        <v>0</v>
      </c>
      <c r="Q751" s="7">
        <v>0</v>
      </c>
    </row>
    <row r="752" spans="1:17">
      <c r="A752" s="2">
        <v>2700</v>
      </c>
      <c r="B752" s="7">
        <v>0</v>
      </c>
      <c r="C752" s="7">
        <v>0</v>
      </c>
      <c r="D752" s="7">
        <v>0</v>
      </c>
      <c r="E752" s="7">
        <v>0</v>
      </c>
      <c r="F752" s="7">
        <v>0</v>
      </c>
      <c r="G752" s="7">
        <v>0</v>
      </c>
      <c r="H752" s="7">
        <v>0</v>
      </c>
      <c r="I752" s="7">
        <v>0</v>
      </c>
      <c r="J752" s="7">
        <v>0</v>
      </c>
      <c r="K752" s="7">
        <v>0</v>
      </c>
      <c r="L752" s="7">
        <v>0</v>
      </c>
      <c r="M752" s="7">
        <v>0</v>
      </c>
      <c r="N752" s="7">
        <v>0</v>
      </c>
      <c r="O752" s="7">
        <v>0</v>
      </c>
      <c r="P752" s="7">
        <v>0</v>
      </c>
      <c r="Q752" s="7">
        <v>0</v>
      </c>
    </row>
    <row r="753" spans="1:17">
      <c r="A753" s="2">
        <v>2701</v>
      </c>
      <c r="B753" s="7">
        <v>0</v>
      </c>
      <c r="C753" s="7">
        <v>0</v>
      </c>
      <c r="D753" s="7">
        <v>0</v>
      </c>
      <c r="E753" s="7">
        <v>0</v>
      </c>
      <c r="F753" s="7">
        <v>0</v>
      </c>
      <c r="G753" s="7">
        <v>0</v>
      </c>
      <c r="H753" s="7">
        <v>0</v>
      </c>
      <c r="I753" s="7">
        <v>0</v>
      </c>
      <c r="J753" s="7">
        <v>0</v>
      </c>
      <c r="K753" s="7">
        <v>0</v>
      </c>
      <c r="L753" s="7">
        <v>0</v>
      </c>
      <c r="M753" s="7">
        <v>0</v>
      </c>
      <c r="N753" s="7">
        <v>0</v>
      </c>
      <c r="O753" s="7">
        <v>0</v>
      </c>
      <c r="P753" s="7">
        <v>0</v>
      </c>
      <c r="Q753" s="7">
        <v>0</v>
      </c>
    </row>
    <row r="754" spans="1:17">
      <c r="A754" s="2">
        <v>2702</v>
      </c>
      <c r="B754" s="7">
        <v>0</v>
      </c>
      <c r="C754" s="7">
        <v>0</v>
      </c>
      <c r="D754" s="7">
        <v>0</v>
      </c>
      <c r="E754" s="7">
        <v>0</v>
      </c>
      <c r="F754" s="7">
        <v>0</v>
      </c>
      <c r="G754" s="7">
        <v>0</v>
      </c>
      <c r="H754" s="7">
        <v>0</v>
      </c>
      <c r="I754" s="7">
        <v>0</v>
      </c>
      <c r="J754" s="7">
        <v>0</v>
      </c>
      <c r="K754" s="7">
        <v>0</v>
      </c>
      <c r="L754" s="7">
        <v>0</v>
      </c>
      <c r="M754" s="7">
        <v>0</v>
      </c>
      <c r="N754" s="7">
        <v>0</v>
      </c>
      <c r="O754" s="7">
        <v>0</v>
      </c>
      <c r="P754" s="7">
        <v>0</v>
      </c>
      <c r="Q754" s="7">
        <v>0</v>
      </c>
    </row>
    <row r="755" spans="1:17">
      <c r="A755" s="2">
        <v>2703</v>
      </c>
      <c r="B755" s="7">
        <v>0</v>
      </c>
      <c r="C755" s="7">
        <v>0</v>
      </c>
      <c r="D755" s="7">
        <v>0</v>
      </c>
      <c r="E755" s="7">
        <v>0</v>
      </c>
      <c r="F755" s="7">
        <v>0</v>
      </c>
      <c r="G755" s="7">
        <v>0</v>
      </c>
      <c r="H755" s="7">
        <v>0</v>
      </c>
      <c r="I755" s="7">
        <v>0</v>
      </c>
      <c r="J755" s="7">
        <v>0</v>
      </c>
      <c r="K755" s="7">
        <v>0</v>
      </c>
      <c r="L755" s="7">
        <v>0</v>
      </c>
      <c r="M755" s="7">
        <v>0</v>
      </c>
      <c r="N755" s="7">
        <v>0</v>
      </c>
      <c r="O755" s="7">
        <v>0</v>
      </c>
      <c r="P755" s="7">
        <v>0</v>
      </c>
      <c r="Q755" s="7">
        <v>0</v>
      </c>
    </row>
    <row r="756" spans="1:17">
      <c r="A756" s="2">
        <v>2704</v>
      </c>
      <c r="B756" s="7">
        <v>0</v>
      </c>
      <c r="C756" s="7">
        <v>0</v>
      </c>
      <c r="D756" s="7">
        <v>0</v>
      </c>
      <c r="E756" s="7">
        <v>0</v>
      </c>
      <c r="F756" s="7">
        <v>0</v>
      </c>
      <c r="G756" s="7">
        <v>0</v>
      </c>
      <c r="H756" s="7">
        <v>0</v>
      </c>
      <c r="I756" s="7">
        <v>0</v>
      </c>
      <c r="J756" s="7">
        <v>0</v>
      </c>
      <c r="K756" s="7">
        <v>0</v>
      </c>
      <c r="L756" s="7">
        <v>0</v>
      </c>
      <c r="M756" s="7">
        <v>0</v>
      </c>
      <c r="N756" s="7">
        <v>0</v>
      </c>
      <c r="O756" s="7">
        <v>0</v>
      </c>
      <c r="P756" s="7">
        <v>0</v>
      </c>
      <c r="Q756" s="7">
        <v>0</v>
      </c>
    </row>
    <row r="757" spans="1:17">
      <c r="A757" s="2">
        <v>2705</v>
      </c>
      <c r="B757" s="7">
        <v>0</v>
      </c>
      <c r="C757" s="7">
        <v>0</v>
      </c>
      <c r="D757" s="7">
        <v>0</v>
      </c>
      <c r="E757" s="7">
        <v>0</v>
      </c>
      <c r="F757" s="7">
        <v>0</v>
      </c>
      <c r="G757" s="7">
        <v>0</v>
      </c>
      <c r="H757" s="7">
        <v>0</v>
      </c>
      <c r="I757" s="7">
        <v>0</v>
      </c>
      <c r="J757" s="7">
        <v>0</v>
      </c>
      <c r="K757" s="7">
        <v>0</v>
      </c>
      <c r="L757" s="7">
        <v>0</v>
      </c>
      <c r="M757" s="7">
        <v>0</v>
      </c>
      <c r="N757" s="7">
        <v>0</v>
      </c>
      <c r="O757" s="7">
        <v>0</v>
      </c>
      <c r="P757" s="7">
        <v>0</v>
      </c>
      <c r="Q757" s="7">
        <v>0</v>
      </c>
    </row>
    <row r="758" spans="1:17">
      <c r="A758" s="2">
        <v>2706</v>
      </c>
      <c r="B758" s="7">
        <v>0</v>
      </c>
      <c r="C758" s="7">
        <v>0</v>
      </c>
      <c r="D758" s="7">
        <v>0</v>
      </c>
      <c r="E758" s="7">
        <v>0</v>
      </c>
      <c r="F758" s="7">
        <v>0</v>
      </c>
      <c r="G758" s="7">
        <v>0</v>
      </c>
      <c r="H758" s="7">
        <v>0</v>
      </c>
      <c r="I758" s="7">
        <v>0</v>
      </c>
      <c r="J758" s="7">
        <v>0</v>
      </c>
      <c r="K758" s="7">
        <v>0</v>
      </c>
      <c r="L758" s="7">
        <v>0</v>
      </c>
      <c r="M758" s="7">
        <v>0</v>
      </c>
      <c r="N758" s="7">
        <v>0</v>
      </c>
      <c r="O758" s="7">
        <v>0</v>
      </c>
      <c r="P758" s="7">
        <v>0</v>
      </c>
      <c r="Q758" s="7">
        <v>0</v>
      </c>
    </row>
    <row r="759" spans="1:17">
      <c r="A759" s="2">
        <v>2707</v>
      </c>
      <c r="B759" s="7">
        <v>0</v>
      </c>
      <c r="C759" s="7">
        <v>0</v>
      </c>
      <c r="D759" s="7">
        <v>0</v>
      </c>
      <c r="E759" s="7">
        <v>0</v>
      </c>
      <c r="F759" s="7">
        <v>0</v>
      </c>
      <c r="G759" s="7">
        <v>0</v>
      </c>
      <c r="H759" s="7">
        <v>0</v>
      </c>
      <c r="I759" s="7">
        <v>0</v>
      </c>
      <c r="J759" s="7">
        <v>0</v>
      </c>
      <c r="K759" s="7">
        <v>0</v>
      </c>
      <c r="L759" s="7">
        <v>0</v>
      </c>
      <c r="M759" s="7">
        <v>0</v>
      </c>
      <c r="N759" s="7">
        <v>0</v>
      </c>
      <c r="O759" s="7">
        <v>0</v>
      </c>
      <c r="P759" s="7">
        <v>0</v>
      </c>
      <c r="Q759" s="7">
        <v>0</v>
      </c>
    </row>
    <row r="760" spans="1:17">
      <c r="A760" s="2">
        <v>2708</v>
      </c>
      <c r="B760" s="7">
        <v>0</v>
      </c>
      <c r="C760" s="7">
        <v>0</v>
      </c>
      <c r="D760" s="7">
        <v>0</v>
      </c>
      <c r="E760" s="7">
        <v>0</v>
      </c>
      <c r="F760" s="7">
        <v>0</v>
      </c>
      <c r="G760" s="7">
        <v>0</v>
      </c>
      <c r="H760" s="7">
        <v>0</v>
      </c>
      <c r="I760" s="7">
        <v>0</v>
      </c>
      <c r="J760" s="7">
        <v>0</v>
      </c>
      <c r="K760" s="7">
        <v>0</v>
      </c>
      <c r="L760" s="7">
        <v>0</v>
      </c>
      <c r="M760" s="7">
        <v>0</v>
      </c>
      <c r="N760" s="7">
        <v>0</v>
      </c>
      <c r="O760" s="7">
        <v>0</v>
      </c>
      <c r="P760" s="7">
        <v>0</v>
      </c>
      <c r="Q760" s="7">
        <v>0</v>
      </c>
    </row>
    <row r="761" spans="1:17">
      <c r="A761" s="2">
        <v>2709</v>
      </c>
      <c r="B761" s="7">
        <v>0</v>
      </c>
      <c r="C761" s="7">
        <v>0</v>
      </c>
      <c r="D761" s="7">
        <v>0</v>
      </c>
      <c r="E761" s="7">
        <v>0</v>
      </c>
      <c r="F761" s="7">
        <v>0</v>
      </c>
      <c r="G761" s="7">
        <v>0</v>
      </c>
      <c r="H761" s="7">
        <v>0</v>
      </c>
      <c r="I761" s="7">
        <v>0</v>
      </c>
      <c r="J761" s="7">
        <v>0</v>
      </c>
      <c r="K761" s="7">
        <v>0</v>
      </c>
      <c r="L761" s="7">
        <v>0</v>
      </c>
      <c r="M761" s="7">
        <v>0</v>
      </c>
      <c r="N761" s="7">
        <v>0</v>
      </c>
      <c r="O761" s="7">
        <v>0</v>
      </c>
      <c r="P761" s="7">
        <v>0</v>
      </c>
      <c r="Q761" s="7">
        <v>0</v>
      </c>
    </row>
    <row r="762" spans="1:17">
      <c r="A762" s="2">
        <v>2710</v>
      </c>
      <c r="B762" s="7">
        <v>0</v>
      </c>
      <c r="C762" s="7">
        <v>0</v>
      </c>
      <c r="D762" s="7">
        <v>0</v>
      </c>
      <c r="E762" s="7">
        <v>0</v>
      </c>
      <c r="F762" s="7">
        <v>0</v>
      </c>
      <c r="G762" s="7">
        <v>0</v>
      </c>
      <c r="H762" s="7">
        <v>0</v>
      </c>
      <c r="I762" s="7">
        <v>0</v>
      </c>
      <c r="J762" s="7">
        <v>0</v>
      </c>
      <c r="K762" s="7">
        <v>0</v>
      </c>
      <c r="L762" s="7">
        <v>0</v>
      </c>
      <c r="M762" s="7">
        <v>0</v>
      </c>
      <c r="N762" s="7">
        <v>0</v>
      </c>
      <c r="O762" s="7">
        <v>0</v>
      </c>
      <c r="P762" s="7">
        <v>0</v>
      </c>
      <c r="Q762" s="7">
        <v>0</v>
      </c>
    </row>
    <row r="763" spans="1:17">
      <c r="A763" s="2">
        <v>2711</v>
      </c>
      <c r="B763" s="7">
        <v>0</v>
      </c>
      <c r="C763" s="7">
        <v>0</v>
      </c>
      <c r="D763" s="7">
        <v>0</v>
      </c>
      <c r="E763" s="7">
        <v>0</v>
      </c>
      <c r="F763" s="7">
        <v>0</v>
      </c>
      <c r="G763" s="7">
        <v>0</v>
      </c>
      <c r="H763" s="7">
        <v>0</v>
      </c>
      <c r="I763" s="7">
        <v>0</v>
      </c>
      <c r="J763" s="7">
        <v>0</v>
      </c>
      <c r="K763" s="7">
        <v>0</v>
      </c>
      <c r="L763" s="7">
        <v>0</v>
      </c>
      <c r="M763" s="7">
        <v>0</v>
      </c>
      <c r="N763" s="7">
        <v>0</v>
      </c>
      <c r="O763" s="7">
        <v>0</v>
      </c>
      <c r="P763" s="7">
        <v>0</v>
      </c>
      <c r="Q763" s="7">
        <v>0</v>
      </c>
    </row>
    <row r="764" spans="1:17">
      <c r="A764" s="2">
        <v>2712</v>
      </c>
      <c r="B764" s="7">
        <v>0</v>
      </c>
      <c r="C764" s="7">
        <v>0</v>
      </c>
      <c r="D764" s="7">
        <v>0</v>
      </c>
      <c r="E764" s="7">
        <v>0</v>
      </c>
      <c r="F764" s="7">
        <v>0</v>
      </c>
      <c r="G764" s="7">
        <v>0</v>
      </c>
      <c r="H764" s="7">
        <v>0</v>
      </c>
      <c r="I764" s="7">
        <v>0</v>
      </c>
      <c r="J764" s="7">
        <v>0</v>
      </c>
      <c r="K764" s="7">
        <v>0</v>
      </c>
      <c r="L764" s="7">
        <v>0</v>
      </c>
      <c r="M764" s="7">
        <v>0</v>
      </c>
      <c r="N764" s="7">
        <v>0</v>
      </c>
      <c r="O764" s="7">
        <v>0</v>
      </c>
      <c r="P764" s="7">
        <v>0</v>
      </c>
      <c r="Q764" s="7">
        <v>0</v>
      </c>
    </row>
    <row r="765" spans="1:17">
      <c r="A765" s="2">
        <v>2713</v>
      </c>
      <c r="B765" s="7">
        <v>0</v>
      </c>
      <c r="C765" s="7">
        <v>0</v>
      </c>
      <c r="D765" s="7">
        <v>0</v>
      </c>
      <c r="E765" s="7">
        <v>0</v>
      </c>
      <c r="F765" s="7">
        <v>0</v>
      </c>
      <c r="G765" s="7">
        <v>0</v>
      </c>
      <c r="H765" s="7">
        <v>0</v>
      </c>
      <c r="I765" s="7">
        <v>0</v>
      </c>
      <c r="J765" s="7">
        <v>0</v>
      </c>
      <c r="K765" s="7">
        <v>0</v>
      </c>
      <c r="L765" s="7">
        <v>0</v>
      </c>
      <c r="M765" s="7">
        <v>0</v>
      </c>
      <c r="N765" s="7">
        <v>0</v>
      </c>
      <c r="O765" s="7">
        <v>0</v>
      </c>
      <c r="P765" s="7">
        <v>0</v>
      </c>
      <c r="Q765" s="7">
        <v>0</v>
      </c>
    </row>
    <row r="766" spans="1:17">
      <c r="A766" s="2">
        <v>2714</v>
      </c>
      <c r="B766" s="7">
        <v>0</v>
      </c>
      <c r="C766" s="7">
        <v>0</v>
      </c>
      <c r="D766" s="7">
        <v>0</v>
      </c>
      <c r="E766" s="7">
        <v>0</v>
      </c>
      <c r="F766" s="7">
        <v>0</v>
      </c>
      <c r="G766" s="7">
        <v>0</v>
      </c>
      <c r="H766" s="7">
        <v>0</v>
      </c>
      <c r="I766" s="7">
        <v>0</v>
      </c>
      <c r="J766" s="7">
        <v>0</v>
      </c>
      <c r="K766" s="7">
        <v>0</v>
      </c>
      <c r="L766" s="7">
        <v>0</v>
      </c>
      <c r="M766" s="7">
        <v>0</v>
      </c>
      <c r="N766" s="7">
        <v>0</v>
      </c>
      <c r="O766" s="7">
        <v>0</v>
      </c>
      <c r="P766" s="7">
        <v>0</v>
      </c>
      <c r="Q766" s="7">
        <v>0</v>
      </c>
    </row>
    <row r="767" spans="1:17">
      <c r="A767" s="2">
        <v>2715</v>
      </c>
      <c r="B767" s="7">
        <v>0</v>
      </c>
      <c r="C767" s="7">
        <v>0</v>
      </c>
      <c r="D767" s="7">
        <v>0</v>
      </c>
      <c r="E767" s="7">
        <v>0</v>
      </c>
      <c r="F767" s="7">
        <v>0</v>
      </c>
      <c r="G767" s="7">
        <v>0</v>
      </c>
      <c r="H767" s="7">
        <v>0</v>
      </c>
      <c r="I767" s="7">
        <v>0</v>
      </c>
      <c r="J767" s="7">
        <v>0</v>
      </c>
      <c r="K767" s="7">
        <v>0</v>
      </c>
      <c r="L767" s="7">
        <v>0</v>
      </c>
      <c r="M767" s="7">
        <v>0</v>
      </c>
      <c r="N767" s="7">
        <v>0</v>
      </c>
      <c r="O767" s="7">
        <v>0</v>
      </c>
      <c r="P767" s="7">
        <v>0</v>
      </c>
      <c r="Q767" s="7">
        <v>0</v>
      </c>
    </row>
    <row r="768" spans="1:17">
      <c r="A768" s="2">
        <v>2716</v>
      </c>
      <c r="B768" s="7">
        <v>0</v>
      </c>
      <c r="C768" s="7">
        <v>0</v>
      </c>
      <c r="D768" s="7">
        <v>0</v>
      </c>
      <c r="E768" s="7">
        <v>0</v>
      </c>
      <c r="F768" s="7">
        <v>0</v>
      </c>
      <c r="G768" s="7">
        <v>0</v>
      </c>
      <c r="H768" s="7">
        <v>0</v>
      </c>
      <c r="I768" s="7">
        <v>0</v>
      </c>
      <c r="J768" s="7">
        <v>0</v>
      </c>
      <c r="K768" s="7">
        <v>0</v>
      </c>
      <c r="L768" s="7">
        <v>0</v>
      </c>
      <c r="M768" s="7">
        <v>0</v>
      </c>
      <c r="N768" s="7">
        <v>0</v>
      </c>
      <c r="O768" s="7">
        <v>0</v>
      </c>
      <c r="P768" s="7">
        <v>0</v>
      </c>
      <c r="Q768" s="7">
        <v>0</v>
      </c>
    </row>
    <row r="769" spans="1:17">
      <c r="A769" s="2">
        <v>2717</v>
      </c>
      <c r="B769" s="7">
        <v>0</v>
      </c>
      <c r="C769" s="7">
        <v>0</v>
      </c>
      <c r="D769" s="7">
        <v>0</v>
      </c>
      <c r="E769" s="7">
        <v>0</v>
      </c>
      <c r="F769" s="7">
        <v>0</v>
      </c>
      <c r="G769" s="7">
        <v>0</v>
      </c>
      <c r="H769" s="7">
        <v>0</v>
      </c>
      <c r="I769" s="7">
        <v>0</v>
      </c>
      <c r="J769" s="7">
        <v>0</v>
      </c>
      <c r="K769" s="7">
        <v>0</v>
      </c>
      <c r="L769" s="7">
        <v>0</v>
      </c>
      <c r="M769" s="7">
        <v>0</v>
      </c>
      <c r="N769" s="7">
        <v>0</v>
      </c>
      <c r="O769" s="7">
        <v>0</v>
      </c>
      <c r="P769" s="7">
        <v>0</v>
      </c>
      <c r="Q769" s="7">
        <v>0</v>
      </c>
    </row>
    <row r="770" spans="1:17">
      <c r="A770" s="2">
        <v>2718</v>
      </c>
      <c r="B770" s="7">
        <v>0</v>
      </c>
      <c r="C770" s="7">
        <v>0</v>
      </c>
      <c r="D770" s="7">
        <v>0</v>
      </c>
      <c r="E770" s="7">
        <v>0</v>
      </c>
      <c r="F770" s="7">
        <v>0</v>
      </c>
      <c r="G770" s="7">
        <v>0</v>
      </c>
      <c r="H770" s="7">
        <v>0</v>
      </c>
      <c r="I770" s="7">
        <v>0</v>
      </c>
      <c r="J770" s="7">
        <v>0</v>
      </c>
      <c r="K770" s="7">
        <v>0</v>
      </c>
      <c r="L770" s="7">
        <v>0</v>
      </c>
      <c r="M770" s="7">
        <v>0</v>
      </c>
      <c r="N770" s="7">
        <v>0</v>
      </c>
      <c r="O770" s="7">
        <v>0</v>
      </c>
      <c r="P770" s="7">
        <v>0</v>
      </c>
      <c r="Q770" s="7">
        <v>0</v>
      </c>
    </row>
    <row r="771" spans="1:17">
      <c r="A771" s="2">
        <v>2719</v>
      </c>
      <c r="B771" s="7">
        <v>0</v>
      </c>
      <c r="C771" s="7">
        <v>0</v>
      </c>
      <c r="D771" s="7">
        <v>0</v>
      </c>
      <c r="E771" s="7">
        <v>0</v>
      </c>
      <c r="F771" s="7">
        <v>0</v>
      </c>
      <c r="G771" s="7">
        <v>0</v>
      </c>
      <c r="H771" s="7">
        <v>0</v>
      </c>
      <c r="I771" s="7">
        <v>0</v>
      </c>
      <c r="J771" s="7">
        <v>0</v>
      </c>
      <c r="K771" s="7">
        <v>0</v>
      </c>
      <c r="L771" s="7">
        <v>0</v>
      </c>
      <c r="M771" s="7">
        <v>0</v>
      </c>
      <c r="N771" s="7">
        <v>0</v>
      </c>
      <c r="O771" s="7">
        <v>0</v>
      </c>
      <c r="P771" s="7">
        <v>0</v>
      </c>
      <c r="Q771" s="7">
        <v>0</v>
      </c>
    </row>
    <row r="772" spans="1:17">
      <c r="A772" s="2">
        <v>2720</v>
      </c>
      <c r="B772" s="7">
        <v>0</v>
      </c>
      <c r="C772" s="7">
        <v>0</v>
      </c>
      <c r="D772" s="7">
        <v>0</v>
      </c>
      <c r="E772" s="7">
        <v>0</v>
      </c>
      <c r="F772" s="7">
        <v>0</v>
      </c>
      <c r="G772" s="7">
        <v>0</v>
      </c>
      <c r="H772" s="7">
        <v>0</v>
      </c>
      <c r="I772" s="7">
        <v>0</v>
      </c>
      <c r="J772" s="7">
        <v>0</v>
      </c>
      <c r="K772" s="7">
        <v>0</v>
      </c>
      <c r="L772" s="7">
        <v>0</v>
      </c>
      <c r="M772" s="7">
        <v>0</v>
      </c>
      <c r="N772" s="7">
        <v>0</v>
      </c>
      <c r="O772" s="7">
        <v>0</v>
      </c>
      <c r="P772" s="7">
        <v>0</v>
      </c>
      <c r="Q772" s="7">
        <v>0</v>
      </c>
    </row>
    <row r="773" spans="1:17">
      <c r="A773" s="2">
        <v>2721</v>
      </c>
      <c r="B773" s="7">
        <v>0</v>
      </c>
      <c r="C773" s="7">
        <v>0</v>
      </c>
      <c r="D773" s="7">
        <v>0</v>
      </c>
      <c r="E773" s="7">
        <v>0</v>
      </c>
      <c r="F773" s="7">
        <v>0</v>
      </c>
      <c r="G773" s="7">
        <v>0</v>
      </c>
      <c r="H773" s="7">
        <v>0</v>
      </c>
      <c r="I773" s="7">
        <v>0</v>
      </c>
      <c r="J773" s="7">
        <v>0</v>
      </c>
      <c r="K773" s="7">
        <v>0</v>
      </c>
      <c r="L773" s="7">
        <v>0</v>
      </c>
      <c r="M773" s="7">
        <v>0</v>
      </c>
      <c r="N773" s="7">
        <v>0</v>
      </c>
      <c r="O773" s="7">
        <v>0</v>
      </c>
      <c r="P773" s="7">
        <v>0</v>
      </c>
      <c r="Q773" s="7">
        <v>0</v>
      </c>
    </row>
    <row r="774" spans="1:17">
      <c r="A774" s="2">
        <v>2722</v>
      </c>
      <c r="B774" s="7">
        <v>0</v>
      </c>
      <c r="C774" s="7">
        <v>0</v>
      </c>
      <c r="D774" s="7">
        <v>0</v>
      </c>
      <c r="E774" s="7">
        <v>0</v>
      </c>
      <c r="F774" s="7">
        <v>0</v>
      </c>
      <c r="G774" s="7">
        <v>0</v>
      </c>
      <c r="H774" s="7">
        <v>0</v>
      </c>
      <c r="I774" s="7">
        <v>0</v>
      </c>
      <c r="J774" s="7">
        <v>0</v>
      </c>
      <c r="K774" s="7">
        <v>0</v>
      </c>
      <c r="L774" s="7">
        <v>0</v>
      </c>
      <c r="M774" s="7">
        <v>0</v>
      </c>
      <c r="N774" s="7">
        <v>0</v>
      </c>
      <c r="O774" s="7">
        <v>0</v>
      </c>
      <c r="P774" s="7">
        <v>0</v>
      </c>
      <c r="Q774" s="7">
        <v>0</v>
      </c>
    </row>
    <row r="775" spans="1:17">
      <c r="A775" s="2">
        <v>2723</v>
      </c>
      <c r="B775" s="7">
        <v>0</v>
      </c>
      <c r="C775" s="7">
        <v>0</v>
      </c>
      <c r="D775" s="7">
        <v>0</v>
      </c>
      <c r="E775" s="7">
        <v>0</v>
      </c>
      <c r="F775" s="7">
        <v>0</v>
      </c>
      <c r="G775" s="7">
        <v>0</v>
      </c>
      <c r="H775" s="7">
        <v>0</v>
      </c>
      <c r="I775" s="7">
        <v>0</v>
      </c>
      <c r="J775" s="7">
        <v>0</v>
      </c>
      <c r="K775" s="7">
        <v>0</v>
      </c>
      <c r="L775" s="7">
        <v>0</v>
      </c>
      <c r="M775" s="7">
        <v>0</v>
      </c>
      <c r="N775" s="7">
        <v>0</v>
      </c>
      <c r="O775" s="7">
        <v>0</v>
      </c>
      <c r="P775" s="7">
        <v>0</v>
      </c>
      <c r="Q775" s="7">
        <v>0</v>
      </c>
    </row>
    <row r="776" spans="1:17">
      <c r="A776" s="2">
        <v>2724</v>
      </c>
      <c r="B776" s="7">
        <v>0</v>
      </c>
      <c r="C776" s="7">
        <v>0</v>
      </c>
      <c r="D776" s="7">
        <v>0</v>
      </c>
      <c r="E776" s="7">
        <v>0</v>
      </c>
      <c r="F776" s="7">
        <v>0</v>
      </c>
      <c r="G776" s="7">
        <v>0</v>
      </c>
      <c r="H776" s="7">
        <v>0</v>
      </c>
      <c r="I776" s="7">
        <v>0</v>
      </c>
      <c r="J776" s="7">
        <v>0</v>
      </c>
      <c r="K776" s="7">
        <v>0</v>
      </c>
      <c r="L776" s="7">
        <v>0</v>
      </c>
      <c r="M776" s="7">
        <v>0</v>
      </c>
      <c r="N776" s="7">
        <v>0</v>
      </c>
      <c r="O776" s="7">
        <v>0</v>
      </c>
      <c r="P776" s="7">
        <v>0</v>
      </c>
      <c r="Q776" s="7">
        <v>0</v>
      </c>
    </row>
    <row r="777" spans="1:17">
      <c r="A777" s="2">
        <v>2725</v>
      </c>
      <c r="B777" s="7">
        <v>0</v>
      </c>
      <c r="C777" s="7">
        <v>0</v>
      </c>
      <c r="D777" s="7">
        <v>0</v>
      </c>
      <c r="E777" s="7">
        <v>0</v>
      </c>
      <c r="F777" s="7">
        <v>0</v>
      </c>
      <c r="G777" s="7">
        <v>0</v>
      </c>
      <c r="H777" s="7">
        <v>0</v>
      </c>
      <c r="I777" s="7">
        <v>0</v>
      </c>
      <c r="J777" s="7">
        <v>0</v>
      </c>
      <c r="K777" s="7">
        <v>0</v>
      </c>
      <c r="L777" s="7">
        <v>0</v>
      </c>
      <c r="M777" s="7">
        <v>0</v>
      </c>
      <c r="N777" s="7">
        <v>0</v>
      </c>
      <c r="O777" s="7">
        <v>0</v>
      </c>
      <c r="P777" s="7">
        <v>0</v>
      </c>
      <c r="Q777" s="7">
        <v>0</v>
      </c>
    </row>
    <row r="778" spans="1:17">
      <c r="A778" s="2">
        <v>2726</v>
      </c>
      <c r="B778" s="7">
        <v>0</v>
      </c>
      <c r="C778" s="7">
        <v>0</v>
      </c>
      <c r="D778" s="7">
        <v>0</v>
      </c>
      <c r="E778" s="7">
        <v>0</v>
      </c>
      <c r="F778" s="7">
        <v>0</v>
      </c>
      <c r="G778" s="7">
        <v>0</v>
      </c>
      <c r="H778" s="7">
        <v>0</v>
      </c>
      <c r="I778" s="7">
        <v>0</v>
      </c>
      <c r="J778" s="7">
        <v>0</v>
      </c>
      <c r="K778" s="7">
        <v>0</v>
      </c>
      <c r="L778" s="7">
        <v>0</v>
      </c>
      <c r="M778" s="7">
        <v>0</v>
      </c>
      <c r="N778" s="7">
        <v>0</v>
      </c>
      <c r="O778" s="7">
        <v>0</v>
      </c>
      <c r="P778" s="7">
        <v>0</v>
      </c>
      <c r="Q778" s="7">
        <v>0</v>
      </c>
    </row>
    <row r="779" spans="1:17">
      <c r="A779" s="2">
        <v>2727</v>
      </c>
      <c r="B779" s="7">
        <v>0</v>
      </c>
      <c r="C779" s="7">
        <v>0</v>
      </c>
      <c r="D779" s="7">
        <v>0</v>
      </c>
      <c r="E779" s="7">
        <v>0</v>
      </c>
      <c r="F779" s="7">
        <v>0</v>
      </c>
      <c r="G779" s="7">
        <v>0</v>
      </c>
      <c r="H779" s="7">
        <v>0</v>
      </c>
      <c r="I779" s="7">
        <v>0</v>
      </c>
      <c r="J779" s="7">
        <v>0</v>
      </c>
      <c r="K779" s="7">
        <v>0</v>
      </c>
      <c r="L779" s="7">
        <v>0</v>
      </c>
      <c r="M779" s="7">
        <v>0</v>
      </c>
      <c r="N779" s="7">
        <v>0</v>
      </c>
      <c r="O779" s="7">
        <v>0</v>
      </c>
      <c r="P779" s="7">
        <v>0</v>
      </c>
      <c r="Q779" s="7">
        <v>0</v>
      </c>
    </row>
    <row r="780" spans="1:17">
      <c r="A780" s="2">
        <v>2728</v>
      </c>
      <c r="B780" s="7">
        <v>0</v>
      </c>
      <c r="C780" s="7">
        <v>0</v>
      </c>
      <c r="D780" s="7">
        <v>0</v>
      </c>
      <c r="E780" s="7">
        <v>0</v>
      </c>
      <c r="F780" s="7">
        <v>0</v>
      </c>
      <c r="G780" s="7">
        <v>0</v>
      </c>
      <c r="H780" s="7">
        <v>0</v>
      </c>
      <c r="I780" s="7">
        <v>0</v>
      </c>
      <c r="J780" s="7">
        <v>0</v>
      </c>
      <c r="K780" s="7">
        <v>0</v>
      </c>
      <c r="L780" s="7">
        <v>0</v>
      </c>
      <c r="M780" s="7">
        <v>0</v>
      </c>
      <c r="N780" s="7">
        <v>0</v>
      </c>
      <c r="O780" s="7">
        <v>0</v>
      </c>
      <c r="P780" s="7">
        <v>0</v>
      </c>
      <c r="Q780" s="7">
        <v>0</v>
      </c>
    </row>
    <row r="781" spans="1:17">
      <c r="A781" s="2">
        <v>2729</v>
      </c>
      <c r="B781" s="7">
        <v>0</v>
      </c>
      <c r="C781" s="7">
        <v>0</v>
      </c>
      <c r="D781" s="7">
        <v>0</v>
      </c>
      <c r="E781" s="7">
        <v>0</v>
      </c>
      <c r="F781" s="7">
        <v>0</v>
      </c>
      <c r="G781" s="7">
        <v>0</v>
      </c>
      <c r="H781" s="7">
        <v>0</v>
      </c>
      <c r="I781" s="7">
        <v>0</v>
      </c>
      <c r="J781" s="7">
        <v>0</v>
      </c>
      <c r="K781" s="7">
        <v>0</v>
      </c>
      <c r="L781" s="7">
        <v>0</v>
      </c>
      <c r="M781" s="7">
        <v>0</v>
      </c>
      <c r="N781" s="7">
        <v>0</v>
      </c>
      <c r="O781" s="7">
        <v>0</v>
      </c>
      <c r="P781" s="7">
        <v>0</v>
      </c>
      <c r="Q781" s="7">
        <v>0</v>
      </c>
    </row>
    <row r="782" spans="1:17">
      <c r="A782" s="2">
        <v>2730</v>
      </c>
      <c r="B782" s="7">
        <v>0</v>
      </c>
      <c r="C782" s="7">
        <v>0</v>
      </c>
      <c r="D782" s="7">
        <v>0</v>
      </c>
      <c r="E782" s="7">
        <v>0</v>
      </c>
      <c r="F782" s="7">
        <v>0</v>
      </c>
      <c r="G782" s="7">
        <v>0</v>
      </c>
      <c r="H782" s="7">
        <v>0</v>
      </c>
      <c r="I782" s="7">
        <v>0</v>
      </c>
      <c r="J782" s="7">
        <v>0</v>
      </c>
      <c r="K782" s="7">
        <v>0</v>
      </c>
      <c r="L782" s="7">
        <v>0</v>
      </c>
      <c r="M782" s="7">
        <v>0</v>
      </c>
      <c r="N782" s="7">
        <v>0</v>
      </c>
      <c r="O782" s="7">
        <v>0</v>
      </c>
      <c r="P782" s="7">
        <v>0</v>
      </c>
      <c r="Q782" s="7">
        <v>0</v>
      </c>
    </row>
    <row r="783" spans="1:17">
      <c r="A783" s="2">
        <v>2731</v>
      </c>
      <c r="B783" s="7">
        <v>0</v>
      </c>
      <c r="C783" s="7">
        <v>0</v>
      </c>
      <c r="D783" s="7">
        <v>0</v>
      </c>
      <c r="E783" s="7">
        <v>0</v>
      </c>
      <c r="F783" s="7">
        <v>0</v>
      </c>
      <c r="G783" s="7">
        <v>0</v>
      </c>
      <c r="H783" s="7">
        <v>0</v>
      </c>
      <c r="I783" s="7">
        <v>0</v>
      </c>
      <c r="J783" s="7">
        <v>0</v>
      </c>
      <c r="K783" s="7">
        <v>0</v>
      </c>
      <c r="L783" s="7">
        <v>0</v>
      </c>
      <c r="M783" s="7">
        <v>0</v>
      </c>
      <c r="N783" s="7">
        <v>0</v>
      </c>
      <c r="O783" s="7">
        <v>0</v>
      </c>
      <c r="P783" s="7">
        <v>0</v>
      </c>
      <c r="Q783" s="7">
        <v>0</v>
      </c>
    </row>
    <row r="784" spans="1:17">
      <c r="A784" s="2">
        <v>2732</v>
      </c>
      <c r="B784" s="7">
        <v>0</v>
      </c>
      <c r="C784" s="7">
        <v>0</v>
      </c>
      <c r="D784" s="7">
        <v>0</v>
      </c>
      <c r="E784" s="7">
        <v>0</v>
      </c>
      <c r="F784" s="7">
        <v>0</v>
      </c>
      <c r="G784" s="7">
        <v>0</v>
      </c>
      <c r="H784" s="7">
        <v>0</v>
      </c>
      <c r="I784" s="7">
        <v>0</v>
      </c>
      <c r="J784" s="7">
        <v>0</v>
      </c>
      <c r="K784" s="7">
        <v>0</v>
      </c>
      <c r="L784" s="7">
        <v>0</v>
      </c>
      <c r="M784" s="7">
        <v>0</v>
      </c>
      <c r="N784" s="7">
        <v>0</v>
      </c>
      <c r="O784" s="7">
        <v>0</v>
      </c>
      <c r="P784" s="7">
        <v>0</v>
      </c>
      <c r="Q784" s="7">
        <v>0</v>
      </c>
    </row>
    <row r="785" spans="1:17">
      <c r="A785" s="2">
        <v>2733</v>
      </c>
      <c r="B785" s="7">
        <v>0</v>
      </c>
      <c r="C785" s="7">
        <v>0</v>
      </c>
      <c r="D785" s="7">
        <v>0</v>
      </c>
      <c r="E785" s="7">
        <v>0</v>
      </c>
      <c r="F785" s="7">
        <v>0</v>
      </c>
      <c r="G785" s="7">
        <v>0</v>
      </c>
      <c r="H785" s="7">
        <v>0</v>
      </c>
      <c r="I785" s="7">
        <v>0</v>
      </c>
      <c r="J785" s="7">
        <v>0</v>
      </c>
      <c r="K785" s="7">
        <v>0</v>
      </c>
      <c r="L785" s="7">
        <v>0</v>
      </c>
      <c r="M785" s="7">
        <v>0</v>
      </c>
      <c r="N785" s="7">
        <v>0</v>
      </c>
      <c r="O785" s="7">
        <v>0</v>
      </c>
      <c r="P785" s="7">
        <v>0</v>
      </c>
      <c r="Q785" s="7">
        <v>0</v>
      </c>
    </row>
    <row r="786" spans="1:17">
      <c r="A786" s="2">
        <v>2734</v>
      </c>
      <c r="B786" s="7">
        <v>0</v>
      </c>
      <c r="C786" s="7">
        <v>0</v>
      </c>
      <c r="D786" s="7">
        <v>0</v>
      </c>
      <c r="E786" s="7">
        <v>0</v>
      </c>
      <c r="F786" s="7">
        <v>0</v>
      </c>
      <c r="G786" s="7">
        <v>0</v>
      </c>
      <c r="H786" s="7">
        <v>0</v>
      </c>
      <c r="I786" s="7">
        <v>0</v>
      </c>
      <c r="J786" s="7">
        <v>0</v>
      </c>
      <c r="K786" s="7">
        <v>0</v>
      </c>
      <c r="L786" s="7">
        <v>0</v>
      </c>
      <c r="M786" s="7">
        <v>0</v>
      </c>
      <c r="N786" s="7">
        <v>0</v>
      </c>
      <c r="O786" s="7">
        <v>0</v>
      </c>
      <c r="P786" s="7">
        <v>0</v>
      </c>
      <c r="Q786" s="7">
        <v>0</v>
      </c>
    </row>
    <row r="787" spans="1:17">
      <c r="A787" s="2">
        <v>2735</v>
      </c>
      <c r="B787" s="7">
        <v>0</v>
      </c>
      <c r="C787" s="7">
        <v>0</v>
      </c>
      <c r="D787" s="7">
        <v>0</v>
      </c>
      <c r="E787" s="7">
        <v>0</v>
      </c>
      <c r="F787" s="7">
        <v>0</v>
      </c>
      <c r="G787" s="7">
        <v>0</v>
      </c>
      <c r="H787" s="7">
        <v>0</v>
      </c>
      <c r="I787" s="7">
        <v>0</v>
      </c>
      <c r="J787" s="7">
        <v>0</v>
      </c>
      <c r="K787" s="7">
        <v>0</v>
      </c>
      <c r="L787" s="7">
        <v>0</v>
      </c>
      <c r="M787" s="7">
        <v>0</v>
      </c>
      <c r="N787" s="7">
        <v>0</v>
      </c>
      <c r="O787" s="7">
        <v>0</v>
      </c>
      <c r="P787" s="7">
        <v>0</v>
      </c>
      <c r="Q787" s="7">
        <v>0</v>
      </c>
    </row>
    <row r="788" spans="1:17">
      <c r="A788" s="2">
        <v>2736</v>
      </c>
      <c r="B788" s="7">
        <v>0</v>
      </c>
      <c r="C788" s="7">
        <v>0</v>
      </c>
      <c r="D788" s="7">
        <v>0</v>
      </c>
      <c r="E788" s="7">
        <v>0</v>
      </c>
      <c r="F788" s="7">
        <v>0</v>
      </c>
      <c r="G788" s="7">
        <v>0</v>
      </c>
      <c r="H788" s="7">
        <v>0</v>
      </c>
      <c r="I788" s="7">
        <v>0</v>
      </c>
      <c r="J788" s="7">
        <v>0</v>
      </c>
      <c r="K788" s="7">
        <v>0</v>
      </c>
      <c r="L788" s="7">
        <v>0</v>
      </c>
      <c r="M788" s="7">
        <v>0</v>
      </c>
      <c r="N788" s="7">
        <v>0</v>
      </c>
      <c r="O788" s="7">
        <v>0</v>
      </c>
      <c r="P788" s="7">
        <v>0</v>
      </c>
      <c r="Q788" s="7">
        <v>0</v>
      </c>
    </row>
    <row r="789" spans="1:17">
      <c r="A789" s="2">
        <v>2737</v>
      </c>
      <c r="B789" s="7">
        <v>0</v>
      </c>
      <c r="C789" s="7">
        <v>0</v>
      </c>
      <c r="D789" s="7">
        <v>0</v>
      </c>
      <c r="E789" s="7">
        <v>0</v>
      </c>
      <c r="F789" s="7">
        <v>0</v>
      </c>
      <c r="G789" s="7">
        <v>0</v>
      </c>
      <c r="H789" s="7">
        <v>0</v>
      </c>
      <c r="I789" s="7">
        <v>0</v>
      </c>
      <c r="J789" s="7">
        <v>0</v>
      </c>
      <c r="K789" s="7">
        <v>0</v>
      </c>
      <c r="L789" s="7">
        <v>0</v>
      </c>
      <c r="M789" s="7">
        <v>0</v>
      </c>
      <c r="N789" s="7">
        <v>0</v>
      </c>
      <c r="O789" s="7">
        <v>0</v>
      </c>
      <c r="P789" s="7">
        <v>0</v>
      </c>
      <c r="Q789" s="7">
        <v>0</v>
      </c>
    </row>
    <row r="790" spans="1:17">
      <c r="A790" s="2">
        <v>2738</v>
      </c>
      <c r="B790" s="7">
        <v>0</v>
      </c>
      <c r="C790" s="7">
        <v>0</v>
      </c>
      <c r="D790" s="7">
        <v>0</v>
      </c>
      <c r="E790" s="7">
        <v>0</v>
      </c>
      <c r="F790" s="7">
        <v>0</v>
      </c>
      <c r="G790" s="7">
        <v>0</v>
      </c>
      <c r="H790" s="7">
        <v>0</v>
      </c>
      <c r="I790" s="7">
        <v>0</v>
      </c>
      <c r="J790" s="7">
        <v>0</v>
      </c>
      <c r="K790" s="7">
        <v>0</v>
      </c>
      <c r="L790" s="7">
        <v>0</v>
      </c>
      <c r="M790" s="7">
        <v>0</v>
      </c>
      <c r="N790" s="7">
        <v>0</v>
      </c>
      <c r="O790" s="7">
        <v>0</v>
      </c>
      <c r="P790" s="7">
        <v>0</v>
      </c>
      <c r="Q790" s="7">
        <v>0</v>
      </c>
    </row>
    <row r="791" spans="1:17">
      <c r="A791" s="2">
        <v>2739</v>
      </c>
      <c r="B791" s="7">
        <v>0</v>
      </c>
      <c r="C791" s="7">
        <v>0</v>
      </c>
      <c r="D791" s="7">
        <v>0</v>
      </c>
      <c r="E791" s="7">
        <v>0</v>
      </c>
      <c r="F791" s="7">
        <v>0</v>
      </c>
      <c r="G791" s="7">
        <v>0</v>
      </c>
      <c r="H791" s="7">
        <v>0</v>
      </c>
      <c r="I791" s="7">
        <v>0</v>
      </c>
      <c r="J791" s="7">
        <v>0</v>
      </c>
      <c r="K791" s="7">
        <v>0</v>
      </c>
      <c r="L791" s="7">
        <v>0</v>
      </c>
      <c r="M791" s="7">
        <v>0</v>
      </c>
      <c r="N791" s="7">
        <v>0</v>
      </c>
      <c r="O791" s="7">
        <v>0</v>
      </c>
      <c r="P791" s="7">
        <v>0</v>
      </c>
      <c r="Q791" s="7">
        <v>0</v>
      </c>
    </row>
    <row r="792" spans="1:17">
      <c r="A792" s="2">
        <v>2740</v>
      </c>
      <c r="B792" s="7">
        <v>0</v>
      </c>
      <c r="C792" s="7">
        <v>0</v>
      </c>
      <c r="D792" s="7">
        <v>0</v>
      </c>
      <c r="E792" s="7">
        <v>0</v>
      </c>
      <c r="F792" s="7">
        <v>0</v>
      </c>
      <c r="G792" s="7">
        <v>0</v>
      </c>
      <c r="H792" s="7">
        <v>0</v>
      </c>
      <c r="I792" s="7">
        <v>0</v>
      </c>
      <c r="J792" s="7">
        <v>0</v>
      </c>
      <c r="K792" s="7">
        <v>0</v>
      </c>
      <c r="L792" s="7">
        <v>0</v>
      </c>
      <c r="M792" s="7">
        <v>0</v>
      </c>
      <c r="N792" s="7">
        <v>0</v>
      </c>
      <c r="O792" s="7">
        <v>0</v>
      </c>
      <c r="P792" s="7">
        <v>0</v>
      </c>
      <c r="Q792" s="7">
        <v>0</v>
      </c>
    </row>
    <row r="793" spans="1:17">
      <c r="A793" s="2">
        <v>2741</v>
      </c>
      <c r="B793" s="7">
        <v>0</v>
      </c>
      <c r="C793" s="7">
        <v>0</v>
      </c>
      <c r="D793" s="7">
        <v>0</v>
      </c>
      <c r="E793" s="7">
        <v>0</v>
      </c>
      <c r="F793" s="7">
        <v>0</v>
      </c>
      <c r="G793" s="7">
        <v>0</v>
      </c>
      <c r="H793" s="7">
        <v>0</v>
      </c>
      <c r="I793" s="7">
        <v>0</v>
      </c>
      <c r="J793" s="7">
        <v>0</v>
      </c>
      <c r="K793" s="7">
        <v>0</v>
      </c>
      <c r="L793" s="7">
        <v>0</v>
      </c>
      <c r="M793" s="7">
        <v>0</v>
      </c>
      <c r="N793" s="7">
        <v>0</v>
      </c>
      <c r="O793" s="7">
        <v>0</v>
      </c>
      <c r="P793" s="7">
        <v>0</v>
      </c>
      <c r="Q793" s="7">
        <v>0</v>
      </c>
    </row>
    <row r="794" spans="1:17">
      <c r="A794" s="2">
        <v>2742</v>
      </c>
      <c r="B794" s="7">
        <v>0</v>
      </c>
      <c r="C794" s="7">
        <v>0</v>
      </c>
      <c r="D794" s="7">
        <v>0</v>
      </c>
      <c r="E794" s="7">
        <v>0</v>
      </c>
      <c r="F794" s="7">
        <v>0</v>
      </c>
      <c r="G794" s="7">
        <v>0</v>
      </c>
      <c r="H794" s="7">
        <v>0</v>
      </c>
      <c r="I794" s="7">
        <v>0</v>
      </c>
      <c r="J794" s="7">
        <v>0</v>
      </c>
      <c r="K794" s="7">
        <v>0</v>
      </c>
      <c r="L794" s="7">
        <v>0</v>
      </c>
      <c r="M794" s="7">
        <v>0</v>
      </c>
      <c r="N794" s="7">
        <v>0</v>
      </c>
      <c r="O794" s="7">
        <v>0</v>
      </c>
      <c r="P794" s="7">
        <v>0</v>
      </c>
      <c r="Q794" s="7">
        <v>0</v>
      </c>
    </row>
    <row r="795" spans="1:17">
      <c r="A795" s="2">
        <v>2743</v>
      </c>
      <c r="B795" s="7">
        <v>0</v>
      </c>
      <c r="C795" s="7">
        <v>0</v>
      </c>
      <c r="D795" s="7">
        <v>0</v>
      </c>
      <c r="E795" s="7">
        <v>0</v>
      </c>
      <c r="F795" s="7">
        <v>0</v>
      </c>
      <c r="G795" s="7">
        <v>0</v>
      </c>
      <c r="H795" s="7">
        <v>0</v>
      </c>
      <c r="I795" s="7">
        <v>0</v>
      </c>
      <c r="J795" s="7">
        <v>0</v>
      </c>
      <c r="K795" s="7">
        <v>0</v>
      </c>
      <c r="L795" s="7">
        <v>0</v>
      </c>
      <c r="M795" s="7">
        <v>0</v>
      </c>
      <c r="N795" s="7">
        <v>0</v>
      </c>
      <c r="O795" s="7">
        <v>0</v>
      </c>
      <c r="P795" s="7">
        <v>0</v>
      </c>
      <c r="Q795" s="7">
        <v>0</v>
      </c>
    </row>
    <row r="796" spans="1:17">
      <c r="A796" s="2">
        <v>2744</v>
      </c>
      <c r="B796" s="7">
        <v>0</v>
      </c>
      <c r="C796" s="7">
        <v>0</v>
      </c>
      <c r="D796" s="7">
        <v>0</v>
      </c>
      <c r="E796" s="7">
        <v>0</v>
      </c>
      <c r="F796" s="7">
        <v>0</v>
      </c>
      <c r="G796" s="7">
        <v>0</v>
      </c>
      <c r="H796" s="7">
        <v>0</v>
      </c>
      <c r="I796" s="7">
        <v>0</v>
      </c>
      <c r="J796" s="7">
        <v>0</v>
      </c>
      <c r="K796" s="7">
        <v>0</v>
      </c>
      <c r="L796" s="7">
        <v>0</v>
      </c>
      <c r="M796" s="7">
        <v>0</v>
      </c>
      <c r="N796" s="7">
        <v>0</v>
      </c>
      <c r="O796" s="7">
        <v>0</v>
      </c>
      <c r="P796" s="7">
        <v>0</v>
      </c>
      <c r="Q796" s="7">
        <v>0</v>
      </c>
    </row>
    <row r="797" spans="1:17">
      <c r="A797" s="2">
        <v>2745</v>
      </c>
      <c r="B797" s="7">
        <v>0</v>
      </c>
      <c r="C797" s="7">
        <v>0</v>
      </c>
      <c r="D797" s="7">
        <v>0</v>
      </c>
      <c r="E797" s="7">
        <v>0</v>
      </c>
      <c r="F797" s="7">
        <v>0</v>
      </c>
      <c r="G797" s="7">
        <v>0</v>
      </c>
      <c r="H797" s="7">
        <v>0</v>
      </c>
      <c r="I797" s="7">
        <v>0</v>
      </c>
      <c r="J797" s="7">
        <v>0</v>
      </c>
      <c r="K797" s="7">
        <v>0</v>
      </c>
      <c r="L797" s="7">
        <v>0</v>
      </c>
      <c r="M797" s="7">
        <v>0</v>
      </c>
      <c r="N797" s="7">
        <v>0</v>
      </c>
      <c r="O797" s="7">
        <v>0</v>
      </c>
      <c r="P797" s="7">
        <v>0</v>
      </c>
      <c r="Q797" s="7">
        <v>0</v>
      </c>
    </row>
    <row r="798" spans="1:17">
      <c r="A798" s="2">
        <v>2746</v>
      </c>
      <c r="B798" s="7">
        <v>0</v>
      </c>
      <c r="C798" s="7">
        <v>0</v>
      </c>
      <c r="D798" s="7">
        <v>0</v>
      </c>
      <c r="E798" s="7">
        <v>0</v>
      </c>
      <c r="F798" s="7">
        <v>0</v>
      </c>
      <c r="G798" s="7">
        <v>0</v>
      </c>
      <c r="H798" s="7">
        <v>0</v>
      </c>
      <c r="I798" s="7">
        <v>0</v>
      </c>
      <c r="J798" s="7">
        <v>0</v>
      </c>
      <c r="K798" s="7">
        <v>0</v>
      </c>
      <c r="L798" s="7">
        <v>0</v>
      </c>
      <c r="M798" s="7">
        <v>0</v>
      </c>
      <c r="N798" s="7">
        <v>0</v>
      </c>
      <c r="O798" s="7">
        <v>0</v>
      </c>
      <c r="P798" s="7">
        <v>0</v>
      </c>
      <c r="Q798" s="7">
        <v>0</v>
      </c>
    </row>
    <row r="799" spans="1:17">
      <c r="A799" s="2">
        <v>2747</v>
      </c>
      <c r="B799" s="7">
        <v>0</v>
      </c>
      <c r="C799" s="7">
        <v>0</v>
      </c>
      <c r="D799" s="7">
        <v>0</v>
      </c>
      <c r="E799" s="7">
        <v>0</v>
      </c>
      <c r="F799" s="7">
        <v>0</v>
      </c>
      <c r="G799" s="7">
        <v>0</v>
      </c>
      <c r="H799" s="7">
        <v>0</v>
      </c>
      <c r="I799" s="7">
        <v>0</v>
      </c>
      <c r="J799" s="7">
        <v>0</v>
      </c>
      <c r="K799" s="7">
        <v>0</v>
      </c>
      <c r="L799" s="7">
        <v>0</v>
      </c>
      <c r="M799" s="7">
        <v>0</v>
      </c>
      <c r="N799" s="7">
        <v>0</v>
      </c>
      <c r="O799" s="7">
        <v>0</v>
      </c>
      <c r="P799" s="7">
        <v>0</v>
      </c>
      <c r="Q799" s="7">
        <v>0</v>
      </c>
    </row>
    <row r="800" spans="1:17">
      <c r="A800" s="2">
        <v>2748</v>
      </c>
      <c r="B800" s="7">
        <v>0</v>
      </c>
      <c r="C800" s="7">
        <v>0</v>
      </c>
      <c r="D800" s="7">
        <v>0</v>
      </c>
      <c r="E800" s="7">
        <v>0</v>
      </c>
      <c r="F800" s="7">
        <v>0</v>
      </c>
      <c r="G800" s="7">
        <v>0</v>
      </c>
      <c r="H800" s="7">
        <v>0</v>
      </c>
      <c r="I800" s="7">
        <v>0</v>
      </c>
      <c r="J800" s="7">
        <v>0</v>
      </c>
      <c r="K800" s="7">
        <v>0</v>
      </c>
      <c r="L800" s="7">
        <v>0</v>
      </c>
      <c r="M800" s="7">
        <v>0</v>
      </c>
      <c r="N800" s="7">
        <v>0</v>
      </c>
      <c r="O800" s="7">
        <v>0</v>
      </c>
      <c r="P800" s="7">
        <v>0</v>
      </c>
      <c r="Q800" s="7">
        <v>0</v>
      </c>
    </row>
    <row r="801" spans="1:17">
      <c r="A801" s="2">
        <v>2749</v>
      </c>
      <c r="B801" s="7">
        <v>0</v>
      </c>
      <c r="C801" s="7">
        <v>0</v>
      </c>
      <c r="D801" s="7">
        <v>0</v>
      </c>
      <c r="E801" s="7">
        <v>0</v>
      </c>
      <c r="F801" s="7">
        <v>0</v>
      </c>
      <c r="G801" s="7">
        <v>0</v>
      </c>
      <c r="H801" s="7">
        <v>0</v>
      </c>
      <c r="I801" s="7">
        <v>0</v>
      </c>
      <c r="J801" s="7">
        <v>0</v>
      </c>
      <c r="K801" s="7">
        <v>0</v>
      </c>
      <c r="L801" s="7">
        <v>0</v>
      </c>
      <c r="M801" s="7">
        <v>0</v>
      </c>
      <c r="N801" s="7">
        <v>0</v>
      </c>
      <c r="O801" s="7">
        <v>0</v>
      </c>
      <c r="P801" s="7">
        <v>0</v>
      </c>
      <c r="Q801" s="7">
        <v>0</v>
      </c>
    </row>
    <row r="802" spans="1:17">
      <c r="A802" s="2">
        <v>2750</v>
      </c>
      <c r="B802" s="7">
        <v>0</v>
      </c>
      <c r="C802" s="7">
        <v>0</v>
      </c>
      <c r="D802" s="7">
        <v>0</v>
      </c>
      <c r="E802" s="7">
        <v>0</v>
      </c>
      <c r="F802" s="7">
        <v>0</v>
      </c>
      <c r="G802" s="7">
        <v>0</v>
      </c>
      <c r="H802" s="7">
        <v>0</v>
      </c>
      <c r="I802" s="7">
        <v>0</v>
      </c>
      <c r="J802" s="7">
        <v>0</v>
      </c>
      <c r="K802" s="7">
        <v>0</v>
      </c>
      <c r="L802" s="7">
        <v>0</v>
      </c>
      <c r="M802" s="7">
        <v>0</v>
      </c>
      <c r="N802" s="7">
        <v>0</v>
      </c>
      <c r="O802" s="7">
        <v>0</v>
      </c>
      <c r="P802" s="7">
        <v>0</v>
      </c>
      <c r="Q802" s="7">
        <v>0</v>
      </c>
    </row>
    <row r="803" spans="1:17">
      <c r="A803" s="2">
        <v>2751</v>
      </c>
      <c r="B803" s="7">
        <v>0</v>
      </c>
      <c r="C803" s="7">
        <v>0</v>
      </c>
      <c r="D803" s="7">
        <v>0</v>
      </c>
      <c r="E803" s="7">
        <v>0</v>
      </c>
      <c r="F803" s="7">
        <v>0</v>
      </c>
      <c r="G803" s="7">
        <v>0</v>
      </c>
      <c r="H803" s="7">
        <v>0</v>
      </c>
      <c r="I803" s="7">
        <v>0</v>
      </c>
      <c r="J803" s="7">
        <v>0</v>
      </c>
      <c r="K803" s="7">
        <v>0</v>
      </c>
      <c r="L803" s="7">
        <v>0</v>
      </c>
      <c r="M803" s="7">
        <v>0</v>
      </c>
      <c r="N803" s="7">
        <v>0</v>
      </c>
      <c r="O803" s="7">
        <v>0</v>
      </c>
      <c r="P803" s="7">
        <v>0</v>
      </c>
      <c r="Q803" s="7">
        <v>0</v>
      </c>
    </row>
    <row r="804" spans="1:17">
      <c r="A804" s="2">
        <v>2752</v>
      </c>
      <c r="B804" s="7">
        <v>0</v>
      </c>
      <c r="C804" s="7">
        <v>0</v>
      </c>
      <c r="D804" s="7">
        <v>0</v>
      </c>
      <c r="E804" s="7">
        <v>0</v>
      </c>
      <c r="F804" s="7">
        <v>0</v>
      </c>
      <c r="G804" s="7">
        <v>0</v>
      </c>
      <c r="H804" s="7">
        <v>0</v>
      </c>
      <c r="I804" s="7">
        <v>0</v>
      </c>
      <c r="J804" s="7">
        <v>0</v>
      </c>
      <c r="K804" s="7">
        <v>0</v>
      </c>
      <c r="L804" s="7">
        <v>0</v>
      </c>
      <c r="M804" s="7">
        <v>0</v>
      </c>
      <c r="N804" s="7">
        <v>0</v>
      </c>
      <c r="O804" s="7">
        <v>0</v>
      </c>
      <c r="P804" s="7">
        <v>0</v>
      </c>
      <c r="Q804" s="7">
        <v>0</v>
      </c>
    </row>
    <row r="805" spans="1:17">
      <c r="A805" s="2">
        <v>2753</v>
      </c>
      <c r="B805" s="7">
        <v>0</v>
      </c>
      <c r="C805" s="7">
        <v>0</v>
      </c>
      <c r="D805" s="7">
        <v>0</v>
      </c>
      <c r="E805" s="7">
        <v>0</v>
      </c>
      <c r="F805" s="7">
        <v>0</v>
      </c>
      <c r="G805" s="7">
        <v>0</v>
      </c>
      <c r="H805" s="7">
        <v>0</v>
      </c>
      <c r="I805" s="7">
        <v>0</v>
      </c>
      <c r="J805" s="7">
        <v>0</v>
      </c>
      <c r="K805" s="7">
        <v>0</v>
      </c>
      <c r="L805" s="7">
        <v>0</v>
      </c>
      <c r="M805" s="7">
        <v>0</v>
      </c>
      <c r="N805" s="7">
        <v>0</v>
      </c>
      <c r="O805" s="7">
        <v>0</v>
      </c>
      <c r="P805" s="7">
        <v>0</v>
      </c>
      <c r="Q805" s="7">
        <v>0</v>
      </c>
    </row>
    <row r="806" spans="1:17">
      <c r="A806" s="2">
        <v>2754</v>
      </c>
      <c r="B806" s="7">
        <v>0</v>
      </c>
      <c r="C806" s="7">
        <v>0</v>
      </c>
      <c r="D806" s="7">
        <v>0</v>
      </c>
      <c r="E806" s="7">
        <v>0</v>
      </c>
      <c r="F806" s="7">
        <v>0</v>
      </c>
      <c r="G806" s="7">
        <v>0</v>
      </c>
      <c r="H806" s="7">
        <v>0</v>
      </c>
      <c r="I806" s="7">
        <v>0</v>
      </c>
      <c r="J806" s="7">
        <v>0</v>
      </c>
      <c r="K806" s="7">
        <v>0</v>
      </c>
      <c r="L806" s="7">
        <v>0</v>
      </c>
      <c r="M806" s="7">
        <v>0</v>
      </c>
      <c r="N806" s="7">
        <v>0</v>
      </c>
      <c r="O806" s="7">
        <v>0</v>
      </c>
      <c r="P806" s="7">
        <v>0</v>
      </c>
      <c r="Q806" s="7">
        <v>0</v>
      </c>
    </row>
    <row r="807" spans="1:17">
      <c r="A807" s="2">
        <v>2755</v>
      </c>
      <c r="B807" s="7">
        <v>0</v>
      </c>
      <c r="C807" s="7">
        <v>0</v>
      </c>
      <c r="D807" s="7">
        <v>0</v>
      </c>
      <c r="E807" s="7">
        <v>0</v>
      </c>
      <c r="F807" s="7">
        <v>0</v>
      </c>
      <c r="G807" s="7">
        <v>0</v>
      </c>
      <c r="H807" s="7">
        <v>0</v>
      </c>
      <c r="I807" s="7">
        <v>0</v>
      </c>
      <c r="J807" s="7">
        <v>0</v>
      </c>
      <c r="K807" s="7">
        <v>0</v>
      </c>
      <c r="L807" s="7">
        <v>0</v>
      </c>
      <c r="M807" s="7">
        <v>0</v>
      </c>
      <c r="N807" s="7">
        <v>0</v>
      </c>
      <c r="O807" s="7">
        <v>0</v>
      </c>
      <c r="P807" s="7">
        <v>0</v>
      </c>
      <c r="Q807" s="7">
        <v>0</v>
      </c>
    </row>
    <row r="808" spans="1:17">
      <c r="A808" s="2">
        <v>2756</v>
      </c>
      <c r="B808" s="7">
        <v>0</v>
      </c>
      <c r="C808" s="7">
        <v>0</v>
      </c>
      <c r="D808" s="7">
        <v>0</v>
      </c>
      <c r="E808" s="7">
        <v>0</v>
      </c>
      <c r="F808" s="7">
        <v>0</v>
      </c>
      <c r="G808" s="7">
        <v>0</v>
      </c>
      <c r="H808" s="7">
        <v>0</v>
      </c>
      <c r="I808" s="7">
        <v>0</v>
      </c>
      <c r="J808" s="7">
        <v>0</v>
      </c>
      <c r="K808" s="7">
        <v>0</v>
      </c>
      <c r="L808" s="7">
        <v>0</v>
      </c>
      <c r="M808" s="7">
        <v>0</v>
      </c>
      <c r="N808" s="7">
        <v>0</v>
      </c>
      <c r="O808" s="7">
        <v>0</v>
      </c>
      <c r="P808" s="7">
        <v>0</v>
      </c>
      <c r="Q808" s="7">
        <v>0</v>
      </c>
    </row>
    <row r="809" spans="1:17">
      <c r="A809" s="2">
        <v>2757</v>
      </c>
      <c r="B809" s="7">
        <v>0</v>
      </c>
      <c r="C809" s="7">
        <v>0</v>
      </c>
      <c r="D809" s="7">
        <v>0</v>
      </c>
      <c r="E809" s="7">
        <v>0</v>
      </c>
      <c r="F809" s="7">
        <v>0</v>
      </c>
      <c r="G809" s="7">
        <v>0</v>
      </c>
      <c r="H809" s="7">
        <v>0</v>
      </c>
      <c r="I809" s="7">
        <v>0</v>
      </c>
      <c r="J809" s="7">
        <v>0</v>
      </c>
      <c r="K809" s="7">
        <v>0</v>
      </c>
      <c r="L809" s="7">
        <v>0</v>
      </c>
      <c r="M809" s="7">
        <v>0</v>
      </c>
      <c r="N809" s="7">
        <v>0</v>
      </c>
      <c r="O809" s="7">
        <v>0</v>
      </c>
      <c r="P809" s="7">
        <v>0</v>
      </c>
      <c r="Q809" s="7">
        <v>0</v>
      </c>
    </row>
    <row r="810" spans="1:17">
      <c r="A810" s="2">
        <v>2758</v>
      </c>
      <c r="B810" s="7">
        <v>0</v>
      </c>
      <c r="C810" s="7">
        <v>0</v>
      </c>
      <c r="D810" s="7">
        <v>0</v>
      </c>
      <c r="E810" s="7">
        <v>0</v>
      </c>
      <c r="F810" s="7">
        <v>0</v>
      </c>
      <c r="G810" s="7">
        <v>0</v>
      </c>
      <c r="H810" s="7">
        <v>0</v>
      </c>
      <c r="I810" s="7">
        <v>0</v>
      </c>
      <c r="J810" s="7">
        <v>0</v>
      </c>
      <c r="K810" s="7">
        <v>0</v>
      </c>
      <c r="L810" s="7">
        <v>0</v>
      </c>
      <c r="M810" s="7">
        <v>0</v>
      </c>
      <c r="N810" s="7">
        <v>0</v>
      </c>
      <c r="O810" s="7">
        <v>0</v>
      </c>
      <c r="P810" s="7">
        <v>0</v>
      </c>
      <c r="Q810" s="7">
        <v>0</v>
      </c>
    </row>
    <row r="811" spans="1:17">
      <c r="A811" s="2">
        <v>2759</v>
      </c>
      <c r="B811" s="7">
        <v>0</v>
      </c>
      <c r="C811" s="7">
        <v>0</v>
      </c>
      <c r="D811" s="7">
        <v>0</v>
      </c>
      <c r="E811" s="7">
        <v>0</v>
      </c>
      <c r="F811" s="7">
        <v>0</v>
      </c>
      <c r="G811" s="7">
        <v>0</v>
      </c>
      <c r="H811" s="7">
        <v>0</v>
      </c>
      <c r="I811" s="7">
        <v>0</v>
      </c>
      <c r="J811" s="7">
        <v>0</v>
      </c>
      <c r="K811" s="7">
        <v>0</v>
      </c>
      <c r="L811" s="7">
        <v>0</v>
      </c>
      <c r="M811" s="7">
        <v>0</v>
      </c>
      <c r="N811" s="7">
        <v>0</v>
      </c>
      <c r="O811" s="7">
        <v>0</v>
      </c>
      <c r="P811" s="7">
        <v>0</v>
      </c>
      <c r="Q811" s="7">
        <v>0</v>
      </c>
    </row>
    <row r="812" spans="1:17">
      <c r="A812" s="2">
        <v>2760</v>
      </c>
      <c r="B812" s="7">
        <v>0</v>
      </c>
      <c r="C812" s="7">
        <v>0</v>
      </c>
      <c r="D812" s="7">
        <v>0</v>
      </c>
      <c r="E812" s="7">
        <v>0</v>
      </c>
      <c r="F812" s="7">
        <v>0</v>
      </c>
      <c r="G812" s="7">
        <v>0</v>
      </c>
      <c r="H812" s="7">
        <v>0</v>
      </c>
      <c r="I812" s="7">
        <v>0</v>
      </c>
      <c r="J812" s="7">
        <v>0</v>
      </c>
      <c r="K812" s="7">
        <v>0</v>
      </c>
      <c r="L812" s="7">
        <v>0</v>
      </c>
      <c r="M812" s="7">
        <v>0</v>
      </c>
      <c r="N812" s="7">
        <v>0</v>
      </c>
      <c r="O812" s="7">
        <v>0</v>
      </c>
      <c r="P812" s="7">
        <v>0</v>
      </c>
      <c r="Q812" s="7">
        <v>0</v>
      </c>
    </row>
    <row r="813" spans="1:17">
      <c r="A813" s="2">
        <v>2761</v>
      </c>
      <c r="B813" s="7">
        <v>0</v>
      </c>
      <c r="C813" s="7">
        <v>0</v>
      </c>
      <c r="D813" s="7">
        <v>0</v>
      </c>
      <c r="E813" s="7">
        <v>0</v>
      </c>
      <c r="F813" s="7">
        <v>0</v>
      </c>
      <c r="G813" s="7">
        <v>0</v>
      </c>
      <c r="H813" s="7">
        <v>0</v>
      </c>
      <c r="I813" s="7">
        <v>0</v>
      </c>
      <c r="J813" s="7">
        <v>0</v>
      </c>
      <c r="K813" s="7">
        <v>0</v>
      </c>
      <c r="L813" s="7">
        <v>0</v>
      </c>
      <c r="M813" s="7">
        <v>0</v>
      </c>
      <c r="N813" s="7">
        <v>0</v>
      </c>
      <c r="O813" s="7">
        <v>0</v>
      </c>
      <c r="P813" s="7">
        <v>0</v>
      </c>
      <c r="Q813" s="7">
        <v>0</v>
      </c>
    </row>
    <row r="814" spans="1:17">
      <c r="A814" s="2">
        <v>2762</v>
      </c>
      <c r="B814" s="7">
        <v>0</v>
      </c>
      <c r="C814" s="7">
        <v>0</v>
      </c>
      <c r="D814" s="7">
        <v>0</v>
      </c>
      <c r="E814" s="7">
        <v>0</v>
      </c>
      <c r="F814" s="7">
        <v>0</v>
      </c>
      <c r="G814" s="7">
        <v>0</v>
      </c>
      <c r="H814" s="7">
        <v>0</v>
      </c>
      <c r="I814" s="7">
        <v>0</v>
      </c>
      <c r="J814" s="7">
        <v>0</v>
      </c>
      <c r="K814" s="7">
        <v>0</v>
      </c>
      <c r="L814" s="7">
        <v>0</v>
      </c>
      <c r="M814" s="7">
        <v>0</v>
      </c>
      <c r="N814" s="7">
        <v>0</v>
      </c>
      <c r="O814" s="7">
        <v>0</v>
      </c>
      <c r="P814" s="7">
        <v>0</v>
      </c>
      <c r="Q814" s="7">
        <v>0</v>
      </c>
    </row>
    <row r="815" spans="1:17">
      <c r="A815" s="2">
        <v>2763</v>
      </c>
      <c r="B815" s="7">
        <v>0</v>
      </c>
      <c r="C815" s="7">
        <v>0</v>
      </c>
      <c r="D815" s="7">
        <v>0</v>
      </c>
      <c r="E815" s="7">
        <v>0</v>
      </c>
      <c r="F815" s="7">
        <v>0</v>
      </c>
      <c r="G815" s="7">
        <v>0</v>
      </c>
      <c r="H815" s="7">
        <v>0</v>
      </c>
      <c r="I815" s="7">
        <v>0</v>
      </c>
      <c r="J815" s="7">
        <v>0</v>
      </c>
      <c r="K815" s="7">
        <v>0</v>
      </c>
      <c r="L815" s="7">
        <v>0</v>
      </c>
      <c r="M815" s="7">
        <v>0</v>
      </c>
      <c r="N815" s="7">
        <v>0</v>
      </c>
      <c r="O815" s="7">
        <v>0</v>
      </c>
      <c r="P815" s="7">
        <v>0</v>
      </c>
      <c r="Q815" s="7">
        <v>0</v>
      </c>
    </row>
    <row r="816" spans="1:17">
      <c r="A816" s="2">
        <v>2764</v>
      </c>
      <c r="B816" s="7">
        <v>0</v>
      </c>
      <c r="C816" s="7">
        <v>0</v>
      </c>
      <c r="D816" s="7">
        <v>0</v>
      </c>
      <c r="E816" s="7">
        <v>0</v>
      </c>
      <c r="F816" s="7">
        <v>0</v>
      </c>
      <c r="G816" s="7">
        <v>0</v>
      </c>
      <c r="H816" s="7">
        <v>0</v>
      </c>
      <c r="I816" s="7">
        <v>0</v>
      </c>
      <c r="J816" s="7">
        <v>0</v>
      </c>
      <c r="K816" s="7">
        <v>0</v>
      </c>
      <c r="L816" s="7">
        <v>0</v>
      </c>
      <c r="M816" s="7">
        <v>0</v>
      </c>
      <c r="N816" s="7">
        <v>0</v>
      </c>
      <c r="O816" s="7">
        <v>0</v>
      </c>
      <c r="P816" s="7">
        <v>0</v>
      </c>
      <c r="Q816" s="7">
        <v>0</v>
      </c>
    </row>
    <row r="817" spans="1:17">
      <c r="A817" s="2">
        <v>2765</v>
      </c>
      <c r="B817" s="7">
        <v>0</v>
      </c>
      <c r="C817" s="7">
        <v>0</v>
      </c>
      <c r="D817" s="7">
        <v>0</v>
      </c>
      <c r="E817" s="7">
        <v>0</v>
      </c>
      <c r="F817" s="7">
        <v>0</v>
      </c>
      <c r="G817" s="7">
        <v>0</v>
      </c>
      <c r="H817" s="7">
        <v>0</v>
      </c>
      <c r="I817" s="7">
        <v>0</v>
      </c>
      <c r="J817" s="7">
        <v>0</v>
      </c>
      <c r="K817" s="7">
        <v>0</v>
      </c>
      <c r="L817" s="7">
        <v>0</v>
      </c>
      <c r="M817" s="7">
        <v>0</v>
      </c>
      <c r="N817" s="7">
        <v>0</v>
      </c>
      <c r="O817" s="7">
        <v>0</v>
      </c>
      <c r="P817" s="7">
        <v>0</v>
      </c>
      <c r="Q817" s="7">
        <v>0</v>
      </c>
    </row>
    <row r="818" spans="1:17">
      <c r="A818" s="2">
        <v>2766</v>
      </c>
      <c r="B818" s="7">
        <v>0</v>
      </c>
      <c r="C818" s="7">
        <v>0</v>
      </c>
      <c r="D818" s="7">
        <v>0</v>
      </c>
      <c r="E818" s="7">
        <v>0</v>
      </c>
      <c r="F818" s="7">
        <v>0</v>
      </c>
      <c r="G818" s="7">
        <v>0</v>
      </c>
      <c r="H818" s="7">
        <v>0</v>
      </c>
      <c r="I818" s="7">
        <v>0</v>
      </c>
      <c r="J818" s="7">
        <v>0</v>
      </c>
      <c r="K818" s="7">
        <v>0</v>
      </c>
      <c r="L818" s="7">
        <v>0</v>
      </c>
      <c r="M818" s="7">
        <v>0</v>
      </c>
      <c r="N818" s="7">
        <v>0</v>
      </c>
      <c r="O818" s="7">
        <v>0</v>
      </c>
      <c r="P818" s="7">
        <v>0</v>
      </c>
      <c r="Q818" s="7">
        <v>0</v>
      </c>
    </row>
    <row r="819" spans="1:17">
      <c r="A819" s="2">
        <v>2767</v>
      </c>
      <c r="B819" s="7">
        <v>0</v>
      </c>
      <c r="C819" s="7">
        <v>0</v>
      </c>
      <c r="D819" s="7">
        <v>0</v>
      </c>
      <c r="E819" s="7">
        <v>0</v>
      </c>
      <c r="F819" s="7">
        <v>0</v>
      </c>
      <c r="G819" s="7">
        <v>0</v>
      </c>
      <c r="H819" s="7">
        <v>0</v>
      </c>
      <c r="I819" s="7">
        <v>0</v>
      </c>
      <c r="J819" s="7">
        <v>0</v>
      </c>
      <c r="K819" s="7">
        <v>0</v>
      </c>
      <c r="L819" s="7">
        <v>0</v>
      </c>
      <c r="M819" s="7">
        <v>0</v>
      </c>
      <c r="N819" s="7">
        <v>0</v>
      </c>
      <c r="O819" s="7">
        <v>0</v>
      </c>
      <c r="P819" s="7">
        <v>0</v>
      </c>
      <c r="Q819" s="7">
        <v>0</v>
      </c>
    </row>
    <row r="820" spans="1:17">
      <c r="A820" s="2">
        <v>2768</v>
      </c>
      <c r="B820" s="7">
        <v>0</v>
      </c>
      <c r="C820" s="7">
        <v>0</v>
      </c>
      <c r="D820" s="7">
        <v>0</v>
      </c>
      <c r="E820" s="7">
        <v>0</v>
      </c>
      <c r="F820" s="7">
        <v>0</v>
      </c>
      <c r="G820" s="7">
        <v>0</v>
      </c>
      <c r="H820" s="7">
        <v>0</v>
      </c>
      <c r="I820" s="7">
        <v>0</v>
      </c>
      <c r="J820" s="7">
        <v>0</v>
      </c>
      <c r="K820" s="7">
        <v>0</v>
      </c>
      <c r="L820" s="7">
        <v>0</v>
      </c>
      <c r="M820" s="7">
        <v>0</v>
      </c>
      <c r="N820" s="7">
        <v>0</v>
      </c>
      <c r="O820" s="7">
        <v>0</v>
      </c>
      <c r="P820" s="7">
        <v>0</v>
      </c>
      <c r="Q820" s="7">
        <v>0</v>
      </c>
    </row>
    <row r="821" spans="1:17">
      <c r="A821" s="2">
        <v>2769</v>
      </c>
      <c r="B821" s="7">
        <v>0</v>
      </c>
      <c r="C821" s="7">
        <v>0</v>
      </c>
      <c r="D821" s="7">
        <v>0</v>
      </c>
      <c r="E821" s="7">
        <v>0</v>
      </c>
      <c r="F821" s="7">
        <v>0</v>
      </c>
      <c r="G821" s="7">
        <v>0</v>
      </c>
      <c r="H821" s="7">
        <v>0</v>
      </c>
      <c r="I821" s="7">
        <v>0</v>
      </c>
      <c r="J821" s="7">
        <v>0</v>
      </c>
      <c r="K821" s="7">
        <v>0</v>
      </c>
      <c r="L821" s="7">
        <v>0</v>
      </c>
      <c r="M821" s="7">
        <v>0</v>
      </c>
      <c r="N821" s="7">
        <v>0</v>
      </c>
      <c r="O821" s="7">
        <v>0</v>
      </c>
      <c r="P821" s="7">
        <v>0</v>
      </c>
      <c r="Q821" s="7">
        <v>0</v>
      </c>
    </row>
    <row r="822" spans="1:17">
      <c r="A822" s="2">
        <v>2770</v>
      </c>
      <c r="B822" s="7">
        <v>0</v>
      </c>
      <c r="C822" s="7">
        <v>0</v>
      </c>
      <c r="D822" s="7">
        <v>0</v>
      </c>
      <c r="E822" s="7">
        <v>0</v>
      </c>
      <c r="F822" s="7">
        <v>0</v>
      </c>
      <c r="G822" s="7">
        <v>0</v>
      </c>
      <c r="H822" s="7">
        <v>0</v>
      </c>
      <c r="I822" s="7">
        <v>0</v>
      </c>
      <c r="J822" s="7">
        <v>0</v>
      </c>
      <c r="K822" s="7">
        <v>0</v>
      </c>
      <c r="L822" s="7">
        <v>0</v>
      </c>
      <c r="M822" s="7">
        <v>0</v>
      </c>
      <c r="N822" s="7">
        <v>0</v>
      </c>
      <c r="O822" s="7">
        <v>0</v>
      </c>
      <c r="P822" s="7">
        <v>0</v>
      </c>
      <c r="Q822" s="7">
        <v>0</v>
      </c>
    </row>
    <row r="823" spans="1:17">
      <c r="A823" s="2">
        <v>2771</v>
      </c>
      <c r="B823" s="7">
        <v>0</v>
      </c>
      <c r="C823" s="7">
        <v>0</v>
      </c>
      <c r="D823" s="7">
        <v>0</v>
      </c>
      <c r="E823" s="7">
        <v>0</v>
      </c>
      <c r="F823" s="7">
        <v>0</v>
      </c>
      <c r="G823" s="7">
        <v>0</v>
      </c>
      <c r="H823" s="7">
        <v>0</v>
      </c>
      <c r="I823" s="7">
        <v>0</v>
      </c>
      <c r="J823" s="7">
        <v>0</v>
      </c>
      <c r="K823" s="7">
        <v>0</v>
      </c>
      <c r="L823" s="7">
        <v>0</v>
      </c>
      <c r="M823" s="7">
        <v>0</v>
      </c>
      <c r="N823" s="7">
        <v>0</v>
      </c>
      <c r="O823" s="7">
        <v>0</v>
      </c>
      <c r="P823" s="7">
        <v>0</v>
      </c>
      <c r="Q823" s="7">
        <v>0</v>
      </c>
    </row>
    <row r="824" spans="1:17">
      <c r="A824" s="2">
        <v>2772</v>
      </c>
      <c r="B824" s="7">
        <v>0</v>
      </c>
      <c r="C824" s="7">
        <v>0</v>
      </c>
      <c r="D824" s="7">
        <v>0</v>
      </c>
      <c r="E824" s="7">
        <v>0</v>
      </c>
      <c r="F824" s="7">
        <v>0</v>
      </c>
      <c r="G824" s="7">
        <v>0</v>
      </c>
      <c r="H824" s="7">
        <v>0</v>
      </c>
      <c r="I824" s="7">
        <v>0</v>
      </c>
      <c r="J824" s="7">
        <v>0</v>
      </c>
      <c r="K824" s="7">
        <v>0</v>
      </c>
      <c r="L824" s="7">
        <v>0</v>
      </c>
      <c r="M824" s="7">
        <v>0</v>
      </c>
      <c r="N824" s="7">
        <v>0</v>
      </c>
      <c r="O824" s="7">
        <v>0</v>
      </c>
      <c r="P824" s="7">
        <v>0</v>
      </c>
      <c r="Q824" s="7">
        <v>0</v>
      </c>
    </row>
    <row r="825" spans="1:17">
      <c r="A825" s="2">
        <v>2773</v>
      </c>
      <c r="B825" s="7">
        <v>0</v>
      </c>
      <c r="C825" s="7">
        <v>0</v>
      </c>
      <c r="D825" s="7">
        <v>0</v>
      </c>
      <c r="E825" s="7">
        <v>0</v>
      </c>
      <c r="F825" s="7">
        <v>0</v>
      </c>
      <c r="G825" s="7">
        <v>0</v>
      </c>
      <c r="H825" s="7">
        <v>0</v>
      </c>
      <c r="I825" s="7">
        <v>0</v>
      </c>
      <c r="J825" s="7">
        <v>0</v>
      </c>
      <c r="K825" s="7">
        <v>0</v>
      </c>
      <c r="L825" s="7">
        <v>0</v>
      </c>
      <c r="M825" s="7">
        <v>0</v>
      </c>
      <c r="N825" s="7">
        <v>0</v>
      </c>
      <c r="O825" s="7">
        <v>0</v>
      </c>
      <c r="P825" s="7">
        <v>0</v>
      </c>
      <c r="Q825" s="7">
        <v>0</v>
      </c>
    </row>
    <row r="826" spans="1:17">
      <c r="A826" s="2">
        <v>2774</v>
      </c>
      <c r="B826" s="7">
        <v>0</v>
      </c>
      <c r="C826" s="7">
        <v>0</v>
      </c>
      <c r="D826" s="7">
        <v>0</v>
      </c>
      <c r="E826" s="7">
        <v>0</v>
      </c>
      <c r="F826" s="7">
        <v>0</v>
      </c>
      <c r="G826" s="7">
        <v>0</v>
      </c>
      <c r="H826" s="7">
        <v>0</v>
      </c>
      <c r="I826" s="7">
        <v>0</v>
      </c>
      <c r="J826" s="7">
        <v>0</v>
      </c>
      <c r="K826" s="7">
        <v>0</v>
      </c>
      <c r="L826" s="7">
        <v>0</v>
      </c>
      <c r="M826" s="7">
        <v>0</v>
      </c>
      <c r="N826" s="7">
        <v>0</v>
      </c>
      <c r="O826" s="7">
        <v>0</v>
      </c>
      <c r="P826" s="7">
        <v>0</v>
      </c>
      <c r="Q826" s="7">
        <v>0</v>
      </c>
    </row>
    <row r="827" spans="1:17">
      <c r="A827" s="2">
        <v>2775</v>
      </c>
      <c r="B827" s="7">
        <v>0</v>
      </c>
      <c r="C827" s="7">
        <v>0</v>
      </c>
      <c r="D827" s="7">
        <v>0</v>
      </c>
      <c r="E827" s="7">
        <v>0</v>
      </c>
      <c r="F827" s="7">
        <v>0</v>
      </c>
      <c r="G827" s="7">
        <v>0</v>
      </c>
      <c r="H827" s="7">
        <v>0</v>
      </c>
      <c r="I827" s="7">
        <v>0</v>
      </c>
      <c r="J827" s="7">
        <v>0</v>
      </c>
      <c r="K827" s="7">
        <v>0</v>
      </c>
      <c r="L827" s="7">
        <v>0</v>
      </c>
      <c r="M827" s="7">
        <v>0</v>
      </c>
      <c r="N827" s="7">
        <v>0</v>
      </c>
      <c r="O827" s="7">
        <v>0</v>
      </c>
      <c r="P827" s="7">
        <v>0</v>
      </c>
      <c r="Q827" s="7">
        <v>0</v>
      </c>
    </row>
    <row r="828" spans="1:17">
      <c r="A828" s="2">
        <v>2776</v>
      </c>
      <c r="B828" s="7">
        <v>0</v>
      </c>
      <c r="C828" s="7">
        <v>0</v>
      </c>
      <c r="D828" s="7">
        <v>0</v>
      </c>
      <c r="E828" s="7">
        <v>0</v>
      </c>
      <c r="F828" s="7">
        <v>0</v>
      </c>
      <c r="G828" s="7">
        <v>0</v>
      </c>
      <c r="H828" s="7">
        <v>0</v>
      </c>
      <c r="I828" s="7">
        <v>0</v>
      </c>
      <c r="J828" s="7">
        <v>0</v>
      </c>
      <c r="K828" s="7">
        <v>0</v>
      </c>
      <c r="L828" s="7">
        <v>0</v>
      </c>
      <c r="M828" s="7">
        <v>0</v>
      </c>
      <c r="N828" s="7">
        <v>0</v>
      </c>
      <c r="O828" s="7">
        <v>0</v>
      </c>
      <c r="P828" s="7">
        <v>0</v>
      </c>
      <c r="Q828" s="7">
        <v>0</v>
      </c>
    </row>
    <row r="829" spans="1:17">
      <c r="A829" s="2">
        <v>2777</v>
      </c>
      <c r="B829" s="7">
        <v>0</v>
      </c>
      <c r="C829" s="7">
        <v>0</v>
      </c>
      <c r="D829" s="7">
        <v>0</v>
      </c>
      <c r="E829" s="7">
        <v>0</v>
      </c>
      <c r="F829" s="7">
        <v>0</v>
      </c>
      <c r="G829" s="7">
        <v>0</v>
      </c>
      <c r="H829" s="7">
        <v>0</v>
      </c>
      <c r="I829" s="7">
        <v>0</v>
      </c>
      <c r="J829" s="7">
        <v>0</v>
      </c>
      <c r="K829" s="7">
        <v>0</v>
      </c>
      <c r="L829" s="7">
        <v>0</v>
      </c>
      <c r="M829" s="7">
        <v>0</v>
      </c>
      <c r="N829" s="7">
        <v>0</v>
      </c>
      <c r="O829" s="7">
        <v>0</v>
      </c>
      <c r="P829" s="7">
        <v>0</v>
      </c>
      <c r="Q829" s="7">
        <v>0</v>
      </c>
    </row>
    <row r="830" spans="1:17">
      <c r="A830" s="2">
        <v>2778</v>
      </c>
      <c r="B830" s="7">
        <v>0</v>
      </c>
      <c r="C830" s="7">
        <v>0</v>
      </c>
      <c r="D830" s="7">
        <v>0</v>
      </c>
      <c r="E830" s="7">
        <v>0</v>
      </c>
      <c r="F830" s="7">
        <v>0</v>
      </c>
      <c r="G830" s="7">
        <v>0</v>
      </c>
      <c r="H830" s="7">
        <v>0</v>
      </c>
      <c r="I830" s="7">
        <v>0</v>
      </c>
      <c r="J830" s="7">
        <v>0</v>
      </c>
      <c r="K830" s="7">
        <v>0</v>
      </c>
      <c r="L830" s="7">
        <v>0</v>
      </c>
      <c r="M830" s="7">
        <v>0</v>
      </c>
      <c r="N830" s="7">
        <v>0</v>
      </c>
      <c r="O830" s="7">
        <v>0</v>
      </c>
      <c r="P830" s="7">
        <v>0</v>
      </c>
      <c r="Q830" s="7">
        <v>0</v>
      </c>
    </row>
    <row r="831" spans="1:17">
      <c r="A831" s="2">
        <v>2779</v>
      </c>
      <c r="B831" s="7">
        <v>0</v>
      </c>
      <c r="C831" s="7">
        <v>0</v>
      </c>
      <c r="D831" s="7">
        <v>0</v>
      </c>
      <c r="E831" s="7">
        <v>0</v>
      </c>
      <c r="F831" s="7">
        <v>0</v>
      </c>
      <c r="G831" s="7">
        <v>0</v>
      </c>
      <c r="H831" s="7">
        <v>0</v>
      </c>
      <c r="I831" s="7">
        <v>0</v>
      </c>
      <c r="J831" s="7">
        <v>0</v>
      </c>
      <c r="K831" s="7">
        <v>0</v>
      </c>
      <c r="L831" s="7">
        <v>0</v>
      </c>
      <c r="M831" s="7">
        <v>0</v>
      </c>
      <c r="N831" s="7">
        <v>0</v>
      </c>
      <c r="O831" s="7">
        <v>0</v>
      </c>
      <c r="P831" s="7">
        <v>0</v>
      </c>
      <c r="Q831" s="7">
        <v>0</v>
      </c>
    </row>
    <row r="832" spans="1:17">
      <c r="A832" s="2">
        <v>2780</v>
      </c>
      <c r="B832" s="7">
        <v>0</v>
      </c>
      <c r="C832" s="7">
        <v>0</v>
      </c>
      <c r="D832" s="7">
        <v>0</v>
      </c>
      <c r="E832" s="7">
        <v>0</v>
      </c>
      <c r="F832" s="7">
        <v>0</v>
      </c>
      <c r="G832" s="7">
        <v>0</v>
      </c>
      <c r="H832" s="7">
        <v>0</v>
      </c>
      <c r="I832" s="7">
        <v>0</v>
      </c>
      <c r="J832" s="7">
        <v>0</v>
      </c>
      <c r="K832" s="7">
        <v>0</v>
      </c>
      <c r="L832" s="7">
        <v>0</v>
      </c>
      <c r="M832" s="7">
        <v>0</v>
      </c>
      <c r="N832" s="7">
        <v>0</v>
      </c>
      <c r="O832" s="7">
        <v>0</v>
      </c>
      <c r="P832" s="7">
        <v>0</v>
      </c>
      <c r="Q832" s="7">
        <v>0</v>
      </c>
    </row>
    <row r="833" spans="1:17">
      <c r="A833" s="2">
        <v>2781</v>
      </c>
      <c r="B833" s="7">
        <v>0</v>
      </c>
      <c r="C833" s="7">
        <v>0</v>
      </c>
      <c r="D833" s="7">
        <v>0</v>
      </c>
      <c r="E833" s="7">
        <v>0</v>
      </c>
      <c r="F833" s="7">
        <v>0</v>
      </c>
      <c r="G833" s="7">
        <v>0</v>
      </c>
      <c r="H833" s="7">
        <v>0</v>
      </c>
      <c r="I833" s="7">
        <v>0</v>
      </c>
      <c r="J833" s="7">
        <v>0</v>
      </c>
      <c r="K833" s="7">
        <v>0</v>
      </c>
      <c r="L833" s="7">
        <v>0</v>
      </c>
      <c r="M833" s="7">
        <v>0</v>
      </c>
      <c r="N833" s="7">
        <v>0</v>
      </c>
      <c r="O833" s="7">
        <v>0</v>
      </c>
      <c r="P833" s="7">
        <v>0</v>
      </c>
      <c r="Q833" s="7">
        <v>0</v>
      </c>
    </row>
    <row r="834" spans="1:17">
      <c r="A834" s="2">
        <v>2782</v>
      </c>
      <c r="B834" s="7">
        <v>0</v>
      </c>
      <c r="C834" s="7">
        <v>0</v>
      </c>
      <c r="D834" s="7">
        <v>0</v>
      </c>
      <c r="E834" s="7">
        <v>0</v>
      </c>
      <c r="F834" s="7">
        <v>0</v>
      </c>
      <c r="G834" s="7">
        <v>0</v>
      </c>
      <c r="H834" s="7">
        <v>0</v>
      </c>
      <c r="I834" s="7">
        <v>0</v>
      </c>
      <c r="J834" s="7">
        <v>0</v>
      </c>
      <c r="K834" s="7">
        <v>0</v>
      </c>
      <c r="L834" s="7">
        <v>0</v>
      </c>
      <c r="M834" s="7">
        <v>0</v>
      </c>
      <c r="N834" s="7">
        <v>0</v>
      </c>
      <c r="O834" s="7">
        <v>0</v>
      </c>
      <c r="P834" s="7">
        <v>0</v>
      </c>
      <c r="Q834" s="7">
        <v>0</v>
      </c>
    </row>
    <row r="835" spans="1:17">
      <c r="A835" s="2">
        <v>2783</v>
      </c>
      <c r="B835" s="7">
        <v>0</v>
      </c>
      <c r="C835" s="7">
        <v>0</v>
      </c>
      <c r="D835" s="7">
        <v>0</v>
      </c>
      <c r="E835" s="7">
        <v>0</v>
      </c>
      <c r="F835" s="7">
        <v>0</v>
      </c>
      <c r="G835" s="7">
        <v>0</v>
      </c>
      <c r="H835" s="7">
        <v>0</v>
      </c>
      <c r="I835" s="7">
        <v>0</v>
      </c>
      <c r="J835" s="7">
        <v>0</v>
      </c>
      <c r="K835" s="7">
        <v>0</v>
      </c>
      <c r="L835" s="7">
        <v>0</v>
      </c>
      <c r="M835" s="7">
        <v>0</v>
      </c>
      <c r="N835" s="7">
        <v>0</v>
      </c>
      <c r="O835" s="7">
        <v>0</v>
      </c>
      <c r="P835" s="7">
        <v>0</v>
      </c>
      <c r="Q835" s="7">
        <v>0</v>
      </c>
    </row>
    <row r="836" spans="1:17">
      <c r="A836" s="2">
        <v>2784</v>
      </c>
      <c r="B836" s="7">
        <v>0</v>
      </c>
      <c r="C836" s="7">
        <v>0</v>
      </c>
      <c r="D836" s="7">
        <v>0</v>
      </c>
      <c r="E836" s="7">
        <v>0</v>
      </c>
      <c r="F836" s="7">
        <v>0</v>
      </c>
      <c r="G836" s="7">
        <v>0</v>
      </c>
      <c r="H836" s="7">
        <v>0</v>
      </c>
      <c r="I836" s="7">
        <v>0</v>
      </c>
      <c r="J836" s="7">
        <v>0</v>
      </c>
      <c r="K836" s="7">
        <v>0</v>
      </c>
      <c r="L836" s="7">
        <v>0</v>
      </c>
      <c r="M836" s="7">
        <v>0</v>
      </c>
      <c r="N836" s="7">
        <v>0</v>
      </c>
      <c r="O836" s="7">
        <v>0</v>
      </c>
      <c r="P836" s="7">
        <v>0</v>
      </c>
      <c r="Q836" s="7">
        <v>0</v>
      </c>
    </row>
    <row r="837" spans="1:17">
      <c r="A837" s="2">
        <v>2785</v>
      </c>
      <c r="B837" s="7">
        <v>0</v>
      </c>
      <c r="C837" s="7">
        <v>0</v>
      </c>
      <c r="D837" s="7">
        <v>0</v>
      </c>
      <c r="E837" s="7">
        <v>0</v>
      </c>
      <c r="F837" s="7">
        <v>0</v>
      </c>
      <c r="G837" s="7">
        <v>0</v>
      </c>
      <c r="H837" s="7">
        <v>0</v>
      </c>
      <c r="I837" s="7">
        <v>0</v>
      </c>
      <c r="J837" s="7">
        <v>0</v>
      </c>
      <c r="K837" s="7">
        <v>0</v>
      </c>
      <c r="L837" s="7">
        <v>0</v>
      </c>
      <c r="M837" s="7">
        <v>0</v>
      </c>
      <c r="N837" s="7">
        <v>0</v>
      </c>
      <c r="O837" s="7">
        <v>0</v>
      </c>
      <c r="P837" s="7">
        <v>0</v>
      </c>
      <c r="Q837" s="7">
        <v>0</v>
      </c>
    </row>
    <row r="838" spans="1:17">
      <c r="A838" s="2">
        <v>2786</v>
      </c>
      <c r="B838" s="7">
        <v>0</v>
      </c>
      <c r="C838" s="7">
        <v>0</v>
      </c>
      <c r="D838" s="7">
        <v>0</v>
      </c>
      <c r="E838" s="7">
        <v>0</v>
      </c>
      <c r="F838" s="7">
        <v>0</v>
      </c>
      <c r="G838" s="7">
        <v>0</v>
      </c>
      <c r="H838" s="7">
        <v>0</v>
      </c>
      <c r="I838" s="7">
        <v>0</v>
      </c>
      <c r="J838" s="7">
        <v>0</v>
      </c>
      <c r="K838" s="7">
        <v>0</v>
      </c>
      <c r="L838" s="7">
        <v>0</v>
      </c>
      <c r="M838" s="7">
        <v>0</v>
      </c>
      <c r="N838" s="7">
        <v>0</v>
      </c>
      <c r="O838" s="7">
        <v>0</v>
      </c>
      <c r="P838" s="7">
        <v>0</v>
      </c>
      <c r="Q838" s="7">
        <v>0</v>
      </c>
    </row>
    <row r="839" spans="1:17">
      <c r="A839" s="2">
        <v>2787</v>
      </c>
      <c r="B839" s="7">
        <v>0</v>
      </c>
      <c r="C839" s="7">
        <v>0</v>
      </c>
      <c r="D839" s="7">
        <v>0</v>
      </c>
      <c r="E839" s="7">
        <v>0</v>
      </c>
      <c r="F839" s="7">
        <v>0</v>
      </c>
      <c r="G839" s="7">
        <v>0</v>
      </c>
      <c r="H839" s="7">
        <v>0</v>
      </c>
      <c r="I839" s="7">
        <v>0</v>
      </c>
      <c r="J839" s="7">
        <v>0</v>
      </c>
      <c r="K839" s="7">
        <v>0</v>
      </c>
      <c r="L839" s="7">
        <v>0</v>
      </c>
      <c r="M839" s="7">
        <v>0</v>
      </c>
      <c r="N839" s="7">
        <v>0</v>
      </c>
      <c r="O839" s="7">
        <v>0</v>
      </c>
      <c r="P839" s="7">
        <v>0</v>
      </c>
      <c r="Q839" s="7">
        <v>0</v>
      </c>
    </row>
    <row r="840" spans="1:17">
      <c r="A840" s="2">
        <v>2788</v>
      </c>
      <c r="B840" s="7">
        <v>0</v>
      </c>
      <c r="C840" s="7">
        <v>0</v>
      </c>
      <c r="D840" s="7">
        <v>0</v>
      </c>
      <c r="E840" s="7">
        <v>0</v>
      </c>
      <c r="F840" s="7">
        <v>0</v>
      </c>
      <c r="G840" s="7">
        <v>0</v>
      </c>
      <c r="H840" s="7">
        <v>0</v>
      </c>
      <c r="I840" s="7">
        <v>0</v>
      </c>
      <c r="J840" s="7">
        <v>0</v>
      </c>
      <c r="K840" s="7">
        <v>0</v>
      </c>
      <c r="L840" s="7">
        <v>0</v>
      </c>
      <c r="M840" s="7">
        <v>0</v>
      </c>
      <c r="N840" s="7">
        <v>0</v>
      </c>
      <c r="O840" s="7">
        <v>0</v>
      </c>
      <c r="P840" s="7">
        <v>0</v>
      </c>
      <c r="Q840" s="7">
        <v>0</v>
      </c>
    </row>
    <row r="841" spans="1:17">
      <c r="A841" s="2">
        <v>2789</v>
      </c>
      <c r="B841" s="7">
        <v>0</v>
      </c>
      <c r="C841" s="7">
        <v>0</v>
      </c>
      <c r="D841" s="7">
        <v>0</v>
      </c>
      <c r="E841" s="7">
        <v>0</v>
      </c>
      <c r="F841" s="7">
        <v>0</v>
      </c>
      <c r="G841" s="7">
        <v>0</v>
      </c>
      <c r="H841" s="7">
        <v>0</v>
      </c>
      <c r="I841" s="7">
        <v>0</v>
      </c>
      <c r="J841" s="7">
        <v>0</v>
      </c>
      <c r="K841" s="7">
        <v>0</v>
      </c>
      <c r="L841" s="7">
        <v>0</v>
      </c>
      <c r="M841" s="7">
        <v>0</v>
      </c>
      <c r="N841" s="7">
        <v>0</v>
      </c>
      <c r="O841" s="7">
        <v>0</v>
      </c>
      <c r="P841" s="7">
        <v>0</v>
      </c>
      <c r="Q841" s="7">
        <v>0</v>
      </c>
    </row>
    <row r="842" spans="1:17">
      <c r="A842" s="2">
        <v>2790</v>
      </c>
      <c r="B842" s="7">
        <v>0</v>
      </c>
      <c r="C842" s="7">
        <v>0</v>
      </c>
      <c r="D842" s="7">
        <v>0</v>
      </c>
      <c r="E842" s="7">
        <v>0</v>
      </c>
      <c r="F842" s="7">
        <v>0</v>
      </c>
      <c r="G842" s="7">
        <v>0</v>
      </c>
      <c r="H842" s="7">
        <v>0</v>
      </c>
      <c r="I842" s="7">
        <v>0</v>
      </c>
      <c r="J842" s="7">
        <v>0</v>
      </c>
      <c r="K842" s="7">
        <v>0</v>
      </c>
      <c r="L842" s="7">
        <v>0</v>
      </c>
      <c r="M842" s="7">
        <v>0</v>
      </c>
      <c r="N842" s="7">
        <v>0</v>
      </c>
      <c r="O842" s="7">
        <v>0</v>
      </c>
      <c r="P842" s="7">
        <v>0</v>
      </c>
      <c r="Q842" s="7">
        <v>0</v>
      </c>
    </row>
    <row r="843" spans="1:17">
      <c r="A843" s="2">
        <v>2791</v>
      </c>
      <c r="B843" s="7">
        <v>0</v>
      </c>
      <c r="C843" s="7">
        <v>0</v>
      </c>
      <c r="D843" s="7">
        <v>0</v>
      </c>
      <c r="E843" s="7">
        <v>0</v>
      </c>
      <c r="F843" s="7">
        <v>0</v>
      </c>
      <c r="G843" s="7">
        <v>0</v>
      </c>
      <c r="H843" s="7">
        <v>0</v>
      </c>
      <c r="I843" s="7">
        <v>0</v>
      </c>
      <c r="J843" s="7">
        <v>0</v>
      </c>
      <c r="K843" s="7">
        <v>0</v>
      </c>
      <c r="L843" s="7">
        <v>0</v>
      </c>
      <c r="M843" s="7">
        <v>0</v>
      </c>
      <c r="N843" s="7">
        <v>0</v>
      </c>
      <c r="O843" s="7">
        <v>0</v>
      </c>
      <c r="P843" s="7">
        <v>0</v>
      </c>
      <c r="Q843" s="7">
        <v>0</v>
      </c>
    </row>
    <row r="844" spans="1:17">
      <c r="A844" s="2">
        <v>2792</v>
      </c>
      <c r="B844" s="7">
        <v>0</v>
      </c>
      <c r="C844" s="7">
        <v>0</v>
      </c>
      <c r="D844" s="7">
        <v>0</v>
      </c>
      <c r="E844" s="7">
        <v>0</v>
      </c>
      <c r="F844" s="7">
        <v>0</v>
      </c>
      <c r="G844" s="7">
        <v>0</v>
      </c>
      <c r="H844" s="7">
        <v>0</v>
      </c>
      <c r="I844" s="7">
        <v>0</v>
      </c>
      <c r="J844" s="7">
        <v>0</v>
      </c>
      <c r="K844" s="7">
        <v>0</v>
      </c>
      <c r="L844" s="7">
        <v>0</v>
      </c>
      <c r="M844" s="7">
        <v>0</v>
      </c>
      <c r="N844" s="7">
        <v>0</v>
      </c>
      <c r="O844" s="7">
        <v>0</v>
      </c>
      <c r="P844" s="7">
        <v>0</v>
      </c>
      <c r="Q844" s="7">
        <v>0</v>
      </c>
    </row>
    <row r="845" spans="1:17">
      <c r="A845" s="2">
        <v>2793</v>
      </c>
      <c r="B845" s="7">
        <v>0</v>
      </c>
      <c r="C845" s="7">
        <v>0</v>
      </c>
      <c r="D845" s="7">
        <v>0</v>
      </c>
      <c r="E845" s="7">
        <v>0</v>
      </c>
      <c r="F845" s="7">
        <v>0</v>
      </c>
      <c r="G845" s="7">
        <v>0</v>
      </c>
      <c r="H845" s="7">
        <v>0</v>
      </c>
      <c r="I845" s="7">
        <v>0</v>
      </c>
      <c r="J845" s="7">
        <v>0</v>
      </c>
      <c r="K845" s="7">
        <v>0</v>
      </c>
      <c r="L845" s="7">
        <v>0</v>
      </c>
      <c r="M845" s="7">
        <v>0</v>
      </c>
      <c r="N845" s="7">
        <v>0</v>
      </c>
      <c r="O845" s="7">
        <v>0</v>
      </c>
      <c r="P845" s="7">
        <v>0</v>
      </c>
      <c r="Q845" s="7">
        <v>0</v>
      </c>
    </row>
    <row r="846" spans="1:17">
      <c r="A846" s="2">
        <v>2794</v>
      </c>
      <c r="B846" s="7">
        <v>0</v>
      </c>
      <c r="C846" s="7">
        <v>0</v>
      </c>
      <c r="D846" s="7">
        <v>0</v>
      </c>
      <c r="E846" s="7">
        <v>0</v>
      </c>
      <c r="F846" s="7">
        <v>0</v>
      </c>
      <c r="G846" s="7">
        <v>0</v>
      </c>
      <c r="H846" s="7">
        <v>0</v>
      </c>
      <c r="I846" s="7">
        <v>0</v>
      </c>
      <c r="J846" s="7">
        <v>0</v>
      </c>
      <c r="K846" s="7">
        <v>0</v>
      </c>
      <c r="L846" s="7">
        <v>0</v>
      </c>
      <c r="M846" s="7">
        <v>0</v>
      </c>
      <c r="N846" s="7">
        <v>0</v>
      </c>
      <c r="O846" s="7">
        <v>0</v>
      </c>
      <c r="P846" s="7">
        <v>0</v>
      </c>
      <c r="Q846" s="7">
        <v>0</v>
      </c>
    </row>
    <row r="847" spans="1:17">
      <c r="A847" s="2">
        <v>2795</v>
      </c>
      <c r="B847" s="7">
        <v>0</v>
      </c>
      <c r="C847" s="7">
        <v>0</v>
      </c>
      <c r="D847" s="7">
        <v>0</v>
      </c>
      <c r="E847" s="7">
        <v>0</v>
      </c>
      <c r="F847" s="7">
        <v>0</v>
      </c>
      <c r="G847" s="7">
        <v>0</v>
      </c>
      <c r="H847" s="7">
        <v>0</v>
      </c>
      <c r="I847" s="7">
        <v>0</v>
      </c>
      <c r="J847" s="7">
        <v>0</v>
      </c>
      <c r="K847" s="7">
        <v>0</v>
      </c>
      <c r="L847" s="7">
        <v>0</v>
      </c>
      <c r="M847" s="7">
        <v>0</v>
      </c>
      <c r="N847" s="7">
        <v>0</v>
      </c>
      <c r="O847" s="7">
        <v>0</v>
      </c>
      <c r="P847" s="7">
        <v>0</v>
      </c>
      <c r="Q847" s="7">
        <v>0</v>
      </c>
    </row>
    <row r="848" spans="1:17">
      <c r="A848" s="2">
        <v>2796</v>
      </c>
      <c r="B848" s="7">
        <v>0</v>
      </c>
      <c r="C848" s="7">
        <v>0</v>
      </c>
      <c r="D848" s="7">
        <v>0</v>
      </c>
      <c r="E848" s="7">
        <v>0</v>
      </c>
      <c r="F848" s="7">
        <v>0</v>
      </c>
      <c r="G848" s="7">
        <v>0</v>
      </c>
      <c r="H848" s="7">
        <v>0</v>
      </c>
      <c r="I848" s="7">
        <v>0</v>
      </c>
      <c r="J848" s="7">
        <v>0</v>
      </c>
      <c r="K848" s="7">
        <v>0</v>
      </c>
      <c r="L848" s="7">
        <v>0</v>
      </c>
      <c r="M848" s="7">
        <v>0</v>
      </c>
      <c r="N848" s="7">
        <v>0</v>
      </c>
      <c r="O848" s="7">
        <v>0</v>
      </c>
      <c r="P848" s="7">
        <v>0</v>
      </c>
      <c r="Q848" s="7">
        <v>0</v>
      </c>
    </row>
    <row r="849" spans="1:17">
      <c r="A849" s="2">
        <v>2797</v>
      </c>
      <c r="B849" s="7">
        <v>0</v>
      </c>
      <c r="C849" s="7">
        <v>0</v>
      </c>
      <c r="D849" s="7">
        <v>0</v>
      </c>
      <c r="E849" s="7">
        <v>0</v>
      </c>
      <c r="F849" s="7">
        <v>0</v>
      </c>
      <c r="G849" s="7">
        <v>0</v>
      </c>
      <c r="H849" s="7">
        <v>0</v>
      </c>
      <c r="I849" s="7">
        <v>0</v>
      </c>
      <c r="J849" s="7">
        <v>0</v>
      </c>
      <c r="K849" s="7">
        <v>0</v>
      </c>
      <c r="L849" s="7">
        <v>0</v>
      </c>
      <c r="M849" s="7">
        <v>0</v>
      </c>
      <c r="N849" s="7">
        <v>0</v>
      </c>
      <c r="O849" s="7">
        <v>0</v>
      </c>
      <c r="P849" s="7">
        <v>0</v>
      </c>
      <c r="Q849" s="7">
        <v>0</v>
      </c>
    </row>
    <row r="850" spans="1:17">
      <c r="A850" s="2">
        <v>2798</v>
      </c>
      <c r="B850" s="7">
        <v>0</v>
      </c>
      <c r="C850" s="7">
        <v>0</v>
      </c>
      <c r="D850" s="7">
        <v>0</v>
      </c>
      <c r="E850" s="7">
        <v>0</v>
      </c>
      <c r="F850" s="7">
        <v>0</v>
      </c>
      <c r="G850" s="7">
        <v>0</v>
      </c>
      <c r="H850" s="7">
        <v>0</v>
      </c>
      <c r="I850" s="7">
        <v>0</v>
      </c>
      <c r="J850" s="7">
        <v>0</v>
      </c>
      <c r="K850" s="7">
        <v>0</v>
      </c>
      <c r="L850" s="7">
        <v>0</v>
      </c>
      <c r="M850" s="7">
        <v>0</v>
      </c>
      <c r="N850" s="7">
        <v>0</v>
      </c>
      <c r="O850" s="7">
        <v>0</v>
      </c>
      <c r="P850" s="7">
        <v>0</v>
      </c>
      <c r="Q850" s="7">
        <v>0</v>
      </c>
    </row>
    <row r="851" spans="1:17">
      <c r="A851" s="2">
        <v>2799</v>
      </c>
      <c r="B851" s="7">
        <v>0</v>
      </c>
      <c r="C851" s="7">
        <v>0</v>
      </c>
      <c r="D851" s="7">
        <v>0</v>
      </c>
      <c r="E851" s="7">
        <v>0</v>
      </c>
      <c r="F851" s="7">
        <v>0</v>
      </c>
      <c r="G851" s="7">
        <v>0</v>
      </c>
      <c r="H851" s="7">
        <v>0</v>
      </c>
      <c r="I851" s="7">
        <v>0</v>
      </c>
      <c r="J851" s="7">
        <v>0</v>
      </c>
      <c r="K851" s="7">
        <v>0</v>
      </c>
      <c r="L851" s="7">
        <v>0</v>
      </c>
      <c r="M851" s="7">
        <v>0</v>
      </c>
      <c r="N851" s="7">
        <v>0</v>
      </c>
      <c r="O851" s="7">
        <v>0</v>
      </c>
      <c r="P851" s="7">
        <v>0</v>
      </c>
      <c r="Q851" s="7">
        <v>0</v>
      </c>
    </row>
    <row r="852" spans="1:17">
      <c r="A852" s="2">
        <v>2800</v>
      </c>
      <c r="B852" s="7">
        <v>0</v>
      </c>
      <c r="C852" s="7">
        <v>0</v>
      </c>
      <c r="D852" s="7">
        <v>0</v>
      </c>
      <c r="E852" s="7">
        <v>0</v>
      </c>
      <c r="F852" s="7">
        <v>0</v>
      </c>
      <c r="G852" s="7">
        <v>0</v>
      </c>
      <c r="H852" s="7">
        <v>0</v>
      </c>
      <c r="I852" s="7">
        <v>0</v>
      </c>
      <c r="J852" s="7">
        <v>0</v>
      </c>
      <c r="K852" s="7">
        <v>0</v>
      </c>
      <c r="L852" s="7">
        <v>0</v>
      </c>
      <c r="M852" s="7">
        <v>0</v>
      </c>
      <c r="N852" s="7">
        <v>0</v>
      </c>
      <c r="O852" s="7">
        <v>0</v>
      </c>
      <c r="P852" s="7">
        <v>0</v>
      </c>
      <c r="Q852" s="7">
        <v>0</v>
      </c>
    </row>
    <row r="853" spans="1:17">
      <c r="A853" s="2">
        <v>2801</v>
      </c>
      <c r="B853" s="7">
        <v>0</v>
      </c>
      <c r="C853" s="7">
        <v>0</v>
      </c>
      <c r="D853" s="7">
        <v>0</v>
      </c>
      <c r="E853" s="7">
        <v>0</v>
      </c>
      <c r="F853" s="7">
        <v>0</v>
      </c>
      <c r="G853" s="7">
        <v>0</v>
      </c>
      <c r="H853" s="7">
        <v>0</v>
      </c>
      <c r="I853" s="7">
        <v>0</v>
      </c>
      <c r="J853" s="7">
        <v>0</v>
      </c>
      <c r="K853" s="7">
        <v>0</v>
      </c>
      <c r="L853" s="7">
        <v>0</v>
      </c>
      <c r="M853" s="7">
        <v>0</v>
      </c>
      <c r="N853" s="7">
        <v>0</v>
      </c>
      <c r="O853" s="7">
        <v>0</v>
      </c>
      <c r="P853" s="7">
        <v>0</v>
      </c>
      <c r="Q853" s="7">
        <v>0</v>
      </c>
    </row>
    <row r="854" spans="1:17">
      <c r="A854" s="2">
        <v>2802</v>
      </c>
      <c r="B854" s="7">
        <v>0</v>
      </c>
      <c r="C854" s="7">
        <v>0</v>
      </c>
      <c r="D854" s="7">
        <v>0</v>
      </c>
      <c r="E854" s="7">
        <v>0</v>
      </c>
      <c r="F854" s="7">
        <v>0</v>
      </c>
      <c r="G854" s="7">
        <v>0</v>
      </c>
      <c r="H854" s="7">
        <v>0</v>
      </c>
      <c r="I854" s="7">
        <v>0</v>
      </c>
      <c r="J854" s="7">
        <v>0</v>
      </c>
      <c r="K854" s="7">
        <v>0</v>
      </c>
      <c r="L854" s="7">
        <v>0</v>
      </c>
      <c r="M854" s="7">
        <v>0</v>
      </c>
      <c r="N854" s="7">
        <v>0</v>
      </c>
      <c r="O854" s="7">
        <v>0</v>
      </c>
      <c r="P854" s="7">
        <v>0</v>
      </c>
      <c r="Q854" s="7">
        <v>0</v>
      </c>
    </row>
    <row r="855" spans="1:17">
      <c r="A855" s="2">
        <v>2803</v>
      </c>
      <c r="B855" s="7">
        <v>0</v>
      </c>
      <c r="C855" s="7">
        <v>0</v>
      </c>
      <c r="D855" s="7">
        <v>0</v>
      </c>
      <c r="E855" s="7">
        <v>0</v>
      </c>
      <c r="F855" s="7">
        <v>0</v>
      </c>
      <c r="G855" s="7">
        <v>0</v>
      </c>
      <c r="H855" s="7">
        <v>0</v>
      </c>
      <c r="I855" s="7">
        <v>0</v>
      </c>
      <c r="J855" s="7">
        <v>0</v>
      </c>
      <c r="K855" s="7">
        <v>0</v>
      </c>
      <c r="L855" s="7">
        <v>0</v>
      </c>
      <c r="M855" s="7">
        <v>0</v>
      </c>
      <c r="N855" s="7">
        <v>0</v>
      </c>
      <c r="O855" s="7">
        <v>0</v>
      </c>
      <c r="P855" s="7">
        <v>0</v>
      </c>
      <c r="Q855" s="7">
        <v>0</v>
      </c>
    </row>
    <row r="856" spans="1:17">
      <c r="A856" s="2">
        <v>2804</v>
      </c>
      <c r="B856" s="7">
        <v>0</v>
      </c>
      <c r="C856" s="7">
        <v>0</v>
      </c>
      <c r="D856" s="7">
        <v>0</v>
      </c>
      <c r="E856" s="7">
        <v>0</v>
      </c>
      <c r="F856" s="7">
        <v>0</v>
      </c>
      <c r="G856" s="7">
        <v>0</v>
      </c>
      <c r="H856" s="7">
        <v>0</v>
      </c>
      <c r="I856" s="7">
        <v>0</v>
      </c>
      <c r="J856" s="7">
        <v>0</v>
      </c>
      <c r="K856" s="7">
        <v>0</v>
      </c>
      <c r="L856" s="7">
        <v>0</v>
      </c>
      <c r="M856" s="7">
        <v>0</v>
      </c>
      <c r="N856" s="7">
        <v>0</v>
      </c>
      <c r="O856" s="7">
        <v>0</v>
      </c>
      <c r="P856" s="7">
        <v>0</v>
      </c>
      <c r="Q856" s="7">
        <v>0</v>
      </c>
    </row>
    <row r="857" spans="1:17">
      <c r="A857" s="2">
        <v>2805</v>
      </c>
      <c r="B857" s="7">
        <v>0</v>
      </c>
      <c r="C857" s="7">
        <v>0</v>
      </c>
      <c r="D857" s="7">
        <v>0</v>
      </c>
      <c r="E857" s="7">
        <v>0</v>
      </c>
      <c r="F857" s="7">
        <v>0</v>
      </c>
      <c r="G857" s="7">
        <v>0</v>
      </c>
      <c r="H857" s="7">
        <v>0</v>
      </c>
      <c r="I857" s="7">
        <v>0</v>
      </c>
      <c r="J857" s="7">
        <v>0</v>
      </c>
      <c r="K857" s="7">
        <v>0</v>
      </c>
      <c r="L857" s="7">
        <v>0</v>
      </c>
      <c r="M857" s="7">
        <v>0</v>
      </c>
      <c r="N857" s="7">
        <v>0</v>
      </c>
      <c r="O857" s="7">
        <v>0</v>
      </c>
      <c r="P857" s="7">
        <v>0</v>
      </c>
      <c r="Q857" s="7">
        <v>0</v>
      </c>
    </row>
    <row r="858" spans="1:17">
      <c r="A858" s="2">
        <v>2806</v>
      </c>
      <c r="B858" s="7">
        <v>0</v>
      </c>
      <c r="C858" s="7">
        <v>0</v>
      </c>
      <c r="D858" s="7">
        <v>0</v>
      </c>
      <c r="E858" s="7">
        <v>0</v>
      </c>
      <c r="F858" s="7">
        <v>0</v>
      </c>
      <c r="G858" s="7">
        <v>0</v>
      </c>
      <c r="H858" s="7">
        <v>0</v>
      </c>
      <c r="I858" s="7">
        <v>0</v>
      </c>
      <c r="J858" s="7">
        <v>0</v>
      </c>
      <c r="K858" s="7">
        <v>0</v>
      </c>
      <c r="L858" s="7">
        <v>0</v>
      </c>
      <c r="M858" s="7">
        <v>0</v>
      </c>
      <c r="N858" s="7">
        <v>0</v>
      </c>
      <c r="O858" s="7">
        <v>0</v>
      </c>
      <c r="P858" s="7">
        <v>0</v>
      </c>
      <c r="Q858" s="7">
        <v>0</v>
      </c>
    </row>
    <row r="859" spans="1:17">
      <c r="A859" s="2">
        <v>2807</v>
      </c>
      <c r="B859" s="7">
        <v>0</v>
      </c>
      <c r="C859" s="7">
        <v>0</v>
      </c>
      <c r="D859" s="7">
        <v>0</v>
      </c>
      <c r="E859" s="7">
        <v>0</v>
      </c>
      <c r="F859" s="7">
        <v>0</v>
      </c>
      <c r="G859" s="7">
        <v>0</v>
      </c>
      <c r="H859" s="7">
        <v>0</v>
      </c>
      <c r="I859" s="7">
        <v>0</v>
      </c>
      <c r="J859" s="7">
        <v>0</v>
      </c>
      <c r="K859" s="7">
        <v>0</v>
      </c>
      <c r="L859" s="7">
        <v>0</v>
      </c>
      <c r="M859" s="7">
        <v>0</v>
      </c>
      <c r="N859" s="7">
        <v>0</v>
      </c>
      <c r="O859" s="7">
        <v>0</v>
      </c>
      <c r="P859" s="7">
        <v>0</v>
      </c>
      <c r="Q859" s="7">
        <v>0</v>
      </c>
    </row>
    <row r="860" spans="1:17">
      <c r="A860" s="2">
        <v>2808</v>
      </c>
      <c r="B860" s="7">
        <v>0</v>
      </c>
      <c r="C860" s="7">
        <v>0</v>
      </c>
      <c r="D860" s="7">
        <v>0</v>
      </c>
      <c r="E860" s="7">
        <v>0</v>
      </c>
      <c r="F860" s="7">
        <v>0</v>
      </c>
      <c r="G860" s="7">
        <v>0</v>
      </c>
      <c r="H860" s="7">
        <v>0</v>
      </c>
      <c r="I860" s="7">
        <v>0</v>
      </c>
      <c r="J860" s="7">
        <v>0</v>
      </c>
      <c r="K860" s="7">
        <v>0</v>
      </c>
      <c r="L860" s="7">
        <v>0</v>
      </c>
      <c r="M860" s="7">
        <v>0</v>
      </c>
      <c r="N860" s="7">
        <v>0</v>
      </c>
      <c r="O860" s="7">
        <v>0</v>
      </c>
      <c r="P860" s="7">
        <v>0</v>
      </c>
      <c r="Q860" s="7">
        <v>0</v>
      </c>
    </row>
    <row r="861" spans="1:17">
      <c r="A861" s="2">
        <v>2809</v>
      </c>
      <c r="B861" s="7">
        <v>0</v>
      </c>
      <c r="C861" s="7">
        <v>0</v>
      </c>
      <c r="D861" s="7">
        <v>0</v>
      </c>
      <c r="E861" s="7">
        <v>0</v>
      </c>
      <c r="F861" s="7">
        <v>0</v>
      </c>
      <c r="G861" s="7">
        <v>0</v>
      </c>
      <c r="H861" s="7">
        <v>0</v>
      </c>
      <c r="I861" s="7">
        <v>0</v>
      </c>
      <c r="J861" s="7">
        <v>0</v>
      </c>
      <c r="K861" s="7">
        <v>0</v>
      </c>
      <c r="L861" s="7">
        <v>0</v>
      </c>
      <c r="M861" s="7">
        <v>0</v>
      </c>
      <c r="N861" s="7">
        <v>0</v>
      </c>
      <c r="O861" s="7">
        <v>0</v>
      </c>
      <c r="P861" s="7">
        <v>0</v>
      </c>
      <c r="Q861" s="7">
        <v>0</v>
      </c>
    </row>
    <row r="862" spans="1:17">
      <c r="A862" s="2">
        <v>2810</v>
      </c>
      <c r="B862" s="7">
        <v>0</v>
      </c>
      <c r="C862" s="7">
        <v>0</v>
      </c>
      <c r="D862" s="7">
        <v>0</v>
      </c>
      <c r="E862" s="7">
        <v>0</v>
      </c>
      <c r="F862" s="7">
        <v>0</v>
      </c>
      <c r="G862" s="7">
        <v>0</v>
      </c>
      <c r="H862" s="7">
        <v>0</v>
      </c>
      <c r="I862" s="7">
        <v>0</v>
      </c>
      <c r="J862" s="7">
        <v>0</v>
      </c>
      <c r="K862" s="7">
        <v>0</v>
      </c>
      <c r="L862" s="7">
        <v>0</v>
      </c>
      <c r="M862" s="7">
        <v>0</v>
      </c>
      <c r="N862" s="7">
        <v>0</v>
      </c>
      <c r="O862" s="7">
        <v>0</v>
      </c>
      <c r="P862" s="7">
        <v>0</v>
      </c>
      <c r="Q862" s="7">
        <v>0</v>
      </c>
    </row>
    <row r="863" spans="1:17">
      <c r="A863" s="2">
        <v>2811</v>
      </c>
      <c r="B863" s="7">
        <v>0</v>
      </c>
      <c r="C863" s="7">
        <v>0</v>
      </c>
      <c r="D863" s="7">
        <v>0</v>
      </c>
      <c r="E863" s="7">
        <v>0</v>
      </c>
      <c r="F863" s="7">
        <v>0</v>
      </c>
      <c r="G863" s="7">
        <v>0</v>
      </c>
      <c r="H863" s="7">
        <v>0</v>
      </c>
      <c r="I863" s="7">
        <v>0</v>
      </c>
      <c r="J863" s="7">
        <v>0</v>
      </c>
      <c r="K863" s="7">
        <v>0</v>
      </c>
      <c r="L863" s="7">
        <v>0</v>
      </c>
      <c r="M863" s="7">
        <v>0</v>
      </c>
      <c r="N863" s="7">
        <v>0</v>
      </c>
      <c r="O863" s="7">
        <v>0</v>
      </c>
      <c r="P863" s="7">
        <v>0</v>
      </c>
      <c r="Q863" s="7">
        <v>0</v>
      </c>
    </row>
    <row r="864" spans="1:17">
      <c r="A864" s="2">
        <v>2812</v>
      </c>
      <c r="B864" s="7">
        <v>0</v>
      </c>
      <c r="C864" s="7">
        <v>0</v>
      </c>
      <c r="D864" s="7">
        <v>0</v>
      </c>
      <c r="E864" s="7">
        <v>0</v>
      </c>
      <c r="F864" s="7">
        <v>0</v>
      </c>
      <c r="G864" s="7">
        <v>0</v>
      </c>
      <c r="H864" s="7">
        <v>0</v>
      </c>
      <c r="I864" s="7">
        <v>0</v>
      </c>
      <c r="J864" s="7">
        <v>0</v>
      </c>
      <c r="K864" s="7">
        <v>0</v>
      </c>
      <c r="L864" s="7">
        <v>0</v>
      </c>
      <c r="M864" s="7">
        <v>0</v>
      </c>
      <c r="N864" s="7">
        <v>0</v>
      </c>
      <c r="O864" s="7">
        <v>0</v>
      </c>
      <c r="P864" s="7">
        <v>0</v>
      </c>
      <c r="Q864" s="7">
        <v>0</v>
      </c>
    </row>
    <row r="865" spans="1:17">
      <c r="A865" s="2">
        <v>2813</v>
      </c>
      <c r="B865" s="7">
        <v>0</v>
      </c>
      <c r="C865" s="7">
        <v>0</v>
      </c>
      <c r="D865" s="7">
        <v>0</v>
      </c>
      <c r="E865" s="7">
        <v>0</v>
      </c>
      <c r="F865" s="7">
        <v>0</v>
      </c>
      <c r="G865" s="7">
        <v>0</v>
      </c>
      <c r="H865" s="7">
        <v>0</v>
      </c>
      <c r="I865" s="7">
        <v>0</v>
      </c>
      <c r="J865" s="7">
        <v>0</v>
      </c>
      <c r="K865" s="7">
        <v>0</v>
      </c>
      <c r="L865" s="7">
        <v>0</v>
      </c>
      <c r="M865" s="7">
        <v>0</v>
      </c>
      <c r="N865" s="7">
        <v>0</v>
      </c>
      <c r="O865" s="7">
        <v>0</v>
      </c>
      <c r="P865" s="7">
        <v>0</v>
      </c>
      <c r="Q865" s="7">
        <v>0</v>
      </c>
    </row>
    <row r="866" spans="1:17">
      <c r="A866" s="2">
        <v>2814</v>
      </c>
      <c r="B866" s="7">
        <v>0</v>
      </c>
      <c r="C866" s="7">
        <v>0</v>
      </c>
      <c r="D866" s="7">
        <v>0</v>
      </c>
      <c r="E866" s="7">
        <v>0</v>
      </c>
      <c r="F866" s="7">
        <v>0</v>
      </c>
      <c r="G866" s="7">
        <v>0</v>
      </c>
      <c r="H866" s="7">
        <v>0</v>
      </c>
      <c r="I866" s="7">
        <v>0</v>
      </c>
      <c r="J866" s="7">
        <v>0</v>
      </c>
      <c r="K866" s="7">
        <v>0</v>
      </c>
      <c r="L866" s="7">
        <v>0</v>
      </c>
      <c r="M866" s="7">
        <v>0</v>
      </c>
      <c r="N866" s="7">
        <v>0</v>
      </c>
      <c r="O866" s="7">
        <v>0</v>
      </c>
      <c r="P866" s="7">
        <v>0</v>
      </c>
      <c r="Q866" s="7">
        <v>0</v>
      </c>
    </row>
    <row r="867" spans="1:17">
      <c r="A867" s="2">
        <v>2815</v>
      </c>
      <c r="B867" s="7">
        <v>0</v>
      </c>
      <c r="C867" s="7">
        <v>0</v>
      </c>
      <c r="D867" s="7">
        <v>0</v>
      </c>
      <c r="E867" s="7">
        <v>0</v>
      </c>
      <c r="F867" s="7">
        <v>0</v>
      </c>
      <c r="G867" s="7">
        <v>0</v>
      </c>
      <c r="H867" s="7">
        <v>0</v>
      </c>
      <c r="I867" s="7">
        <v>0</v>
      </c>
      <c r="J867" s="7">
        <v>0</v>
      </c>
      <c r="K867" s="7">
        <v>0</v>
      </c>
      <c r="L867" s="7">
        <v>0</v>
      </c>
      <c r="M867" s="7">
        <v>0</v>
      </c>
      <c r="N867" s="7">
        <v>0</v>
      </c>
      <c r="O867" s="7">
        <v>0</v>
      </c>
      <c r="P867" s="7">
        <v>0</v>
      </c>
      <c r="Q867" s="7">
        <v>0</v>
      </c>
    </row>
    <row r="868" spans="1:17">
      <c r="A868" s="2">
        <v>2816</v>
      </c>
      <c r="B868" s="7">
        <v>0</v>
      </c>
      <c r="C868" s="7">
        <v>0</v>
      </c>
      <c r="D868" s="7">
        <v>0</v>
      </c>
      <c r="E868" s="7">
        <v>0</v>
      </c>
      <c r="F868" s="7">
        <v>0</v>
      </c>
      <c r="G868" s="7">
        <v>0</v>
      </c>
      <c r="H868" s="7">
        <v>0</v>
      </c>
      <c r="I868" s="7">
        <v>0</v>
      </c>
      <c r="J868" s="7">
        <v>0</v>
      </c>
      <c r="K868" s="7">
        <v>0</v>
      </c>
      <c r="L868" s="7">
        <v>0</v>
      </c>
      <c r="M868" s="7">
        <v>0</v>
      </c>
      <c r="N868" s="7">
        <v>0</v>
      </c>
      <c r="O868" s="7">
        <v>0</v>
      </c>
      <c r="P868" s="7">
        <v>0</v>
      </c>
      <c r="Q868" s="7">
        <v>0</v>
      </c>
    </row>
    <row r="869" spans="1:17">
      <c r="A869" s="2">
        <v>2817</v>
      </c>
      <c r="B869" s="7">
        <v>0</v>
      </c>
      <c r="C869" s="7">
        <v>0</v>
      </c>
      <c r="D869" s="7">
        <v>0</v>
      </c>
      <c r="E869" s="7">
        <v>0</v>
      </c>
      <c r="F869" s="7">
        <v>0</v>
      </c>
      <c r="G869" s="7">
        <v>0</v>
      </c>
      <c r="H869" s="7">
        <v>0</v>
      </c>
      <c r="I869" s="7">
        <v>0</v>
      </c>
      <c r="J869" s="7">
        <v>0</v>
      </c>
      <c r="K869" s="7">
        <v>0</v>
      </c>
      <c r="L869" s="7">
        <v>0</v>
      </c>
      <c r="M869" s="7">
        <v>0</v>
      </c>
      <c r="N869" s="7">
        <v>0</v>
      </c>
      <c r="O869" s="7">
        <v>0</v>
      </c>
      <c r="P869" s="7">
        <v>0</v>
      </c>
      <c r="Q869" s="7">
        <v>0</v>
      </c>
    </row>
    <row r="870" spans="1:17">
      <c r="A870" s="2">
        <v>2818</v>
      </c>
      <c r="B870" s="7">
        <v>0</v>
      </c>
      <c r="C870" s="7">
        <v>0</v>
      </c>
      <c r="D870" s="7">
        <v>0</v>
      </c>
      <c r="E870" s="7">
        <v>0</v>
      </c>
      <c r="F870" s="7">
        <v>0</v>
      </c>
      <c r="G870" s="7">
        <v>0</v>
      </c>
      <c r="H870" s="7">
        <v>0</v>
      </c>
      <c r="I870" s="7">
        <v>0</v>
      </c>
      <c r="J870" s="7">
        <v>0</v>
      </c>
      <c r="K870" s="7">
        <v>0</v>
      </c>
      <c r="L870" s="7">
        <v>0</v>
      </c>
      <c r="M870" s="7">
        <v>0</v>
      </c>
      <c r="N870" s="7">
        <v>0</v>
      </c>
      <c r="O870" s="7">
        <v>0</v>
      </c>
      <c r="P870" s="7">
        <v>0</v>
      </c>
      <c r="Q870" s="7">
        <v>0</v>
      </c>
    </row>
    <row r="871" spans="1:17">
      <c r="A871" s="2">
        <v>2819</v>
      </c>
      <c r="B871" s="7">
        <v>0</v>
      </c>
      <c r="C871" s="7">
        <v>0</v>
      </c>
      <c r="D871" s="7">
        <v>0</v>
      </c>
      <c r="E871" s="7">
        <v>0</v>
      </c>
      <c r="F871" s="7">
        <v>0</v>
      </c>
      <c r="G871" s="7">
        <v>0</v>
      </c>
      <c r="H871" s="7">
        <v>0</v>
      </c>
      <c r="I871" s="7">
        <v>0</v>
      </c>
      <c r="J871" s="7">
        <v>0</v>
      </c>
      <c r="K871" s="7">
        <v>0</v>
      </c>
      <c r="L871" s="7">
        <v>0</v>
      </c>
      <c r="M871" s="7">
        <v>0</v>
      </c>
      <c r="N871" s="7">
        <v>0</v>
      </c>
      <c r="O871" s="7">
        <v>0</v>
      </c>
      <c r="P871" s="7">
        <v>0</v>
      </c>
      <c r="Q871" s="7">
        <v>0</v>
      </c>
    </row>
    <row r="872" spans="1:17">
      <c r="A872" s="2">
        <v>2820</v>
      </c>
      <c r="B872" s="7">
        <v>0</v>
      </c>
      <c r="C872" s="7">
        <v>0</v>
      </c>
      <c r="D872" s="7">
        <v>0</v>
      </c>
      <c r="E872" s="7">
        <v>0</v>
      </c>
      <c r="F872" s="7">
        <v>0</v>
      </c>
      <c r="G872" s="7">
        <v>0</v>
      </c>
      <c r="H872" s="7">
        <v>0</v>
      </c>
      <c r="I872" s="7">
        <v>0</v>
      </c>
      <c r="J872" s="7">
        <v>0</v>
      </c>
      <c r="K872" s="7">
        <v>0</v>
      </c>
      <c r="L872" s="7">
        <v>0</v>
      </c>
      <c r="M872" s="7">
        <v>0</v>
      </c>
      <c r="N872" s="7">
        <v>0</v>
      </c>
      <c r="O872" s="7">
        <v>0</v>
      </c>
      <c r="P872" s="7">
        <v>0</v>
      </c>
      <c r="Q872" s="7">
        <v>0</v>
      </c>
    </row>
    <row r="873" spans="1:17">
      <c r="A873" s="2">
        <v>2821</v>
      </c>
      <c r="B873" s="7">
        <v>0</v>
      </c>
      <c r="C873" s="7">
        <v>0</v>
      </c>
      <c r="D873" s="7">
        <v>0</v>
      </c>
      <c r="E873" s="7">
        <v>0</v>
      </c>
      <c r="F873" s="7">
        <v>0</v>
      </c>
      <c r="G873" s="7">
        <v>0</v>
      </c>
      <c r="H873" s="7">
        <v>0</v>
      </c>
      <c r="I873" s="7">
        <v>0</v>
      </c>
      <c r="J873" s="7">
        <v>0</v>
      </c>
      <c r="K873" s="7">
        <v>0</v>
      </c>
      <c r="L873" s="7">
        <v>0</v>
      </c>
      <c r="M873" s="7">
        <v>0</v>
      </c>
      <c r="N873" s="7">
        <v>0</v>
      </c>
      <c r="O873" s="7">
        <v>0</v>
      </c>
      <c r="P873" s="7">
        <v>0</v>
      </c>
      <c r="Q873" s="7">
        <v>0</v>
      </c>
    </row>
    <row r="874" spans="1:17">
      <c r="A874" s="2">
        <v>2822</v>
      </c>
      <c r="B874" s="7">
        <v>0</v>
      </c>
      <c r="C874" s="7">
        <v>0</v>
      </c>
      <c r="D874" s="7">
        <v>0</v>
      </c>
      <c r="E874" s="7">
        <v>0</v>
      </c>
      <c r="F874" s="7">
        <v>0</v>
      </c>
      <c r="G874" s="7">
        <v>0</v>
      </c>
      <c r="H874" s="7">
        <v>0</v>
      </c>
      <c r="I874" s="7">
        <v>0</v>
      </c>
      <c r="J874" s="7">
        <v>0</v>
      </c>
      <c r="K874" s="7">
        <v>0</v>
      </c>
      <c r="L874" s="7">
        <v>0</v>
      </c>
      <c r="M874" s="7">
        <v>0</v>
      </c>
      <c r="N874" s="7">
        <v>0</v>
      </c>
      <c r="O874" s="7">
        <v>0</v>
      </c>
      <c r="P874" s="7">
        <v>0</v>
      </c>
      <c r="Q874" s="7">
        <v>0</v>
      </c>
    </row>
    <row r="875" spans="1:17">
      <c r="A875" s="2">
        <v>2823</v>
      </c>
      <c r="B875" s="7">
        <v>0</v>
      </c>
      <c r="C875" s="7">
        <v>0</v>
      </c>
      <c r="D875" s="7">
        <v>0</v>
      </c>
      <c r="E875" s="7">
        <v>0</v>
      </c>
      <c r="F875" s="7">
        <v>0</v>
      </c>
      <c r="G875" s="7">
        <v>0</v>
      </c>
      <c r="H875" s="7">
        <v>0</v>
      </c>
      <c r="I875" s="7">
        <v>0</v>
      </c>
      <c r="J875" s="7">
        <v>0</v>
      </c>
      <c r="K875" s="7">
        <v>0</v>
      </c>
      <c r="L875" s="7">
        <v>0</v>
      </c>
      <c r="M875" s="7">
        <v>0</v>
      </c>
      <c r="N875" s="7">
        <v>0</v>
      </c>
      <c r="O875" s="7">
        <v>0</v>
      </c>
      <c r="P875" s="7">
        <v>0</v>
      </c>
      <c r="Q875" s="7">
        <v>0</v>
      </c>
    </row>
    <row r="876" spans="1:17">
      <c r="A876" s="2">
        <v>2824</v>
      </c>
      <c r="B876" s="7">
        <v>0</v>
      </c>
      <c r="C876" s="7">
        <v>0</v>
      </c>
      <c r="D876" s="7">
        <v>0</v>
      </c>
      <c r="E876" s="7">
        <v>0</v>
      </c>
      <c r="F876" s="7">
        <v>0</v>
      </c>
      <c r="G876" s="7">
        <v>0</v>
      </c>
      <c r="H876" s="7">
        <v>0</v>
      </c>
      <c r="I876" s="7">
        <v>0</v>
      </c>
      <c r="J876" s="7">
        <v>0</v>
      </c>
      <c r="K876" s="7">
        <v>0</v>
      </c>
      <c r="L876" s="7">
        <v>0</v>
      </c>
      <c r="M876" s="7">
        <v>0</v>
      </c>
      <c r="N876" s="7">
        <v>0</v>
      </c>
      <c r="O876" s="7">
        <v>0</v>
      </c>
      <c r="P876" s="7">
        <v>0</v>
      </c>
      <c r="Q876" s="7">
        <v>0</v>
      </c>
    </row>
    <row r="877" spans="1:17">
      <c r="A877" s="2">
        <v>2825</v>
      </c>
      <c r="B877" s="7">
        <v>0</v>
      </c>
      <c r="C877" s="7">
        <v>0</v>
      </c>
      <c r="D877" s="7">
        <v>0</v>
      </c>
      <c r="E877" s="7">
        <v>0</v>
      </c>
      <c r="F877" s="7">
        <v>0</v>
      </c>
      <c r="G877" s="7">
        <v>0</v>
      </c>
      <c r="H877" s="7">
        <v>0</v>
      </c>
      <c r="I877" s="7">
        <v>0</v>
      </c>
      <c r="J877" s="7">
        <v>0</v>
      </c>
      <c r="K877" s="7">
        <v>0</v>
      </c>
      <c r="L877" s="7">
        <v>0</v>
      </c>
      <c r="M877" s="7">
        <v>0</v>
      </c>
      <c r="N877" s="7">
        <v>0</v>
      </c>
      <c r="O877" s="7">
        <v>0</v>
      </c>
      <c r="P877" s="7">
        <v>0</v>
      </c>
      <c r="Q877" s="7">
        <v>0</v>
      </c>
    </row>
    <row r="878" spans="1:17">
      <c r="A878" s="2">
        <v>2826</v>
      </c>
      <c r="B878" s="7">
        <v>0</v>
      </c>
      <c r="C878" s="7">
        <v>0</v>
      </c>
      <c r="D878" s="7">
        <v>0</v>
      </c>
      <c r="E878" s="7">
        <v>0</v>
      </c>
      <c r="F878" s="7">
        <v>0</v>
      </c>
      <c r="G878" s="7">
        <v>0</v>
      </c>
      <c r="H878" s="7">
        <v>0</v>
      </c>
      <c r="I878" s="7">
        <v>0</v>
      </c>
      <c r="J878" s="7">
        <v>0</v>
      </c>
      <c r="K878" s="7">
        <v>0</v>
      </c>
      <c r="L878" s="7">
        <v>0</v>
      </c>
      <c r="M878" s="7">
        <v>0</v>
      </c>
      <c r="N878" s="7">
        <v>0</v>
      </c>
      <c r="O878" s="7">
        <v>0</v>
      </c>
      <c r="P878" s="7">
        <v>0</v>
      </c>
      <c r="Q878" s="7">
        <v>0</v>
      </c>
    </row>
    <row r="879" spans="1:17">
      <c r="A879" s="2">
        <v>2827</v>
      </c>
      <c r="B879" s="7">
        <v>0</v>
      </c>
      <c r="C879" s="7">
        <v>0</v>
      </c>
      <c r="D879" s="7">
        <v>0</v>
      </c>
      <c r="E879" s="7">
        <v>0</v>
      </c>
      <c r="F879" s="7">
        <v>0</v>
      </c>
      <c r="G879" s="7">
        <v>0</v>
      </c>
      <c r="H879" s="7">
        <v>0</v>
      </c>
      <c r="I879" s="7">
        <v>0</v>
      </c>
      <c r="J879" s="7">
        <v>0</v>
      </c>
      <c r="K879" s="7">
        <v>0</v>
      </c>
      <c r="L879" s="7">
        <v>0</v>
      </c>
      <c r="M879" s="7">
        <v>0</v>
      </c>
      <c r="N879" s="7">
        <v>0</v>
      </c>
      <c r="O879" s="7">
        <v>0</v>
      </c>
      <c r="P879" s="7">
        <v>0</v>
      </c>
      <c r="Q879" s="7">
        <v>0</v>
      </c>
    </row>
    <row r="880" spans="1:17">
      <c r="A880" s="2">
        <v>2828</v>
      </c>
      <c r="B880" s="7">
        <v>0</v>
      </c>
      <c r="C880" s="7">
        <v>0</v>
      </c>
      <c r="D880" s="7">
        <v>0</v>
      </c>
      <c r="E880" s="7">
        <v>0</v>
      </c>
      <c r="F880" s="7">
        <v>0</v>
      </c>
      <c r="G880" s="7">
        <v>0</v>
      </c>
      <c r="H880" s="7">
        <v>0</v>
      </c>
      <c r="I880" s="7">
        <v>0</v>
      </c>
      <c r="J880" s="7">
        <v>0</v>
      </c>
      <c r="K880" s="7">
        <v>0</v>
      </c>
      <c r="L880" s="7">
        <v>0</v>
      </c>
      <c r="M880" s="7">
        <v>0</v>
      </c>
      <c r="N880" s="7">
        <v>0</v>
      </c>
      <c r="O880" s="7">
        <v>0</v>
      </c>
      <c r="P880" s="7">
        <v>0</v>
      </c>
      <c r="Q880" s="7">
        <v>0</v>
      </c>
    </row>
    <row r="881" spans="1:17">
      <c r="A881" s="2">
        <v>2829</v>
      </c>
      <c r="B881" s="7">
        <v>0</v>
      </c>
      <c r="C881" s="7">
        <v>0</v>
      </c>
      <c r="D881" s="7">
        <v>0</v>
      </c>
      <c r="E881" s="7">
        <v>0</v>
      </c>
      <c r="F881" s="7">
        <v>0</v>
      </c>
      <c r="G881" s="7">
        <v>0</v>
      </c>
      <c r="H881" s="7">
        <v>0</v>
      </c>
      <c r="I881" s="7">
        <v>0</v>
      </c>
      <c r="J881" s="7">
        <v>0</v>
      </c>
      <c r="K881" s="7">
        <v>0</v>
      </c>
      <c r="L881" s="7">
        <v>0</v>
      </c>
      <c r="M881" s="7">
        <v>0</v>
      </c>
      <c r="N881" s="7">
        <v>0</v>
      </c>
      <c r="O881" s="7">
        <v>0</v>
      </c>
      <c r="P881" s="7">
        <v>0</v>
      </c>
      <c r="Q881" s="7">
        <v>0</v>
      </c>
    </row>
    <row r="882" spans="1:17">
      <c r="A882" s="2">
        <v>2830</v>
      </c>
      <c r="B882" s="7">
        <v>0</v>
      </c>
      <c r="C882" s="7">
        <v>0</v>
      </c>
      <c r="D882" s="7">
        <v>0</v>
      </c>
      <c r="E882" s="7">
        <v>0</v>
      </c>
      <c r="F882" s="7">
        <v>0</v>
      </c>
      <c r="G882" s="7">
        <v>0</v>
      </c>
      <c r="H882" s="7">
        <v>0</v>
      </c>
      <c r="I882" s="7">
        <v>0</v>
      </c>
      <c r="J882" s="7">
        <v>0</v>
      </c>
      <c r="K882" s="7">
        <v>0</v>
      </c>
      <c r="L882" s="7">
        <v>0</v>
      </c>
      <c r="M882" s="7">
        <v>0</v>
      </c>
      <c r="N882" s="7">
        <v>0</v>
      </c>
      <c r="O882" s="7">
        <v>0</v>
      </c>
      <c r="P882" s="7">
        <v>0</v>
      </c>
      <c r="Q882" s="7">
        <v>0</v>
      </c>
    </row>
    <row r="883" spans="1:17">
      <c r="A883" s="2">
        <v>2831</v>
      </c>
      <c r="B883" s="7">
        <v>0</v>
      </c>
      <c r="C883" s="7">
        <v>0</v>
      </c>
      <c r="D883" s="7">
        <v>0</v>
      </c>
      <c r="E883" s="7">
        <v>0</v>
      </c>
      <c r="F883" s="7">
        <v>0</v>
      </c>
      <c r="G883" s="7">
        <v>0</v>
      </c>
      <c r="H883" s="7">
        <v>0</v>
      </c>
      <c r="I883" s="7">
        <v>0</v>
      </c>
      <c r="J883" s="7">
        <v>0</v>
      </c>
      <c r="K883" s="7">
        <v>0</v>
      </c>
      <c r="L883" s="7">
        <v>0</v>
      </c>
      <c r="M883" s="7">
        <v>0</v>
      </c>
      <c r="N883" s="7">
        <v>0</v>
      </c>
      <c r="O883" s="7">
        <v>0</v>
      </c>
      <c r="P883" s="7">
        <v>0</v>
      </c>
      <c r="Q883" s="7">
        <v>0</v>
      </c>
    </row>
    <row r="884" spans="1:17">
      <c r="A884" s="2">
        <v>2832</v>
      </c>
      <c r="B884" s="7">
        <v>0</v>
      </c>
      <c r="C884" s="7">
        <v>0</v>
      </c>
      <c r="D884" s="7">
        <v>0</v>
      </c>
      <c r="E884" s="7">
        <v>0</v>
      </c>
      <c r="F884" s="7">
        <v>0</v>
      </c>
      <c r="G884" s="7">
        <v>0</v>
      </c>
      <c r="H884" s="7">
        <v>0</v>
      </c>
      <c r="I884" s="7">
        <v>0</v>
      </c>
      <c r="J884" s="7">
        <v>0</v>
      </c>
      <c r="K884" s="7">
        <v>0</v>
      </c>
      <c r="L884" s="7">
        <v>0</v>
      </c>
      <c r="M884" s="7">
        <v>0</v>
      </c>
      <c r="N884" s="7">
        <v>0</v>
      </c>
      <c r="O884" s="7">
        <v>0</v>
      </c>
      <c r="P884" s="7">
        <v>0</v>
      </c>
      <c r="Q884" s="7">
        <v>0</v>
      </c>
    </row>
    <row r="885" spans="1:17">
      <c r="A885" s="2">
        <v>2833</v>
      </c>
      <c r="B885" s="7">
        <v>0</v>
      </c>
      <c r="C885" s="7">
        <v>0</v>
      </c>
      <c r="D885" s="7">
        <v>0</v>
      </c>
      <c r="E885" s="7">
        <v>0</v>
      </c>
      <c r="F885" s="7">
        <v>0</v>
      </c>
      <c r="G885" s="7">
        <v>0</v>
      </c>
      <c r="H885" s="7">
        <v>0</v>
      </c>
      <c r="I885" s="7">
        <v>0</v>
      </c>
      <c r="J885" s="7">
        <v>0</v>
      </c>
      <c r="K885" s="7">
        <v>0</v>
      </c>
      <c r="L885" s="7">
        <v>0</v>
      </c>
      <c r="M885" s="7">
        <v>0</v>
      </c>
      <c r="N885" s="7">
        <v>0</v>
      </c>
      <c r="O885" s="7">
        <v>0</v>
      </c>
      <c r="P885" s="7">
        <v>0</v>
      </c>
      <c r="Q885" s="7">
        <v>0</v>
      </c>
    </row>
    <row r="886" spans="1:17">
      <c r="A886" s="2">
        <v>2834</v>
      </c>
      <c r="B886" s="7">
        <v>0</v>
      </c>
      <c r="C886" s="7">
        <v>0</v>
      </c>
      <c r="D886" s="7">
        <v>0</v>
      </c>
      <c r="E886" s="7">
        <v>0</v>
      </c>
      <c r="F886" s="7">
        <v>0</v>
      </c>
      <c r="G886" s="7">
        <v>0</v>
      </c>
      <c r="H886" s="7">
        <v>0</v>
      </c>
      <c r="I886" s="7">
        <v>0</v>
      </c>
      <c r="J886" s="7">
        <v>0</v>
      </c>
      <c r="K886" s="7">
        <v>0</v>
      </c>
      <c r="L886" s="7">
        <v>0</v>
      </c>
      <c r="M886" s="7">
        <v>0</v>
      </c>
      <c r="N886" s="7">
        <v>0</v>
      </c>
      <c r="O886" s="7">
        <v>0</v>
      </c>
      <c r="P886" s="7">
        <v>0</v>
      </c>
      <c r="Q886" s="7">
        <v>0</v>
      </c>
    </row>
    <row r="887" spans="1:17">
      <c r="A887" s="2">
        <v>2835</v>
      </c>
      <c r="B887" s="7">
        <v>0</v>
      </c>
      <c r="C887" s="7">
        <v>0</v>
      </c>
      <c r="D887" s="7">
        <v>0</v>
      </c>
      <c r="E887" s="7">
        <v>0</v>
      </c>
      <c r="F887" s="7">
        <v>0</v>
      </c>
      <c r="G887" s="7">
        <v>0</v>
      </c>
      <c r="H887" s="7">
        <v>0</v>
      </c>
      <c r="I887" s="7">
        <v>0</v>
      </c>
      <c r="J887" s="7">
        <v>0</v>
      </c>
      <c r="K887" s="7">
        <v>0</v>
      </c>
      <c r="L887" s="7">
        <v>0</v>
      </c>
      <c r="M887" s="7">
        <v>0</v>
      </c>
      <c r="N887" s="7">
        <v>0</v>
      </c>
      <c r="O887" s="7">
        <v>0</v>
      </c>
      <c r="P887" s="7">
        <v>0</v>
      </c>
      <c r="Q887" s="7">
        <v>0</v>
      </c>
    </row>
    <row r="888" spans="1:17">
      <c r="A888" s="2">
        <v>2836</v>
      </c>
      <c r="B888" s="7">
        <v>0</v>
      </c>
      <c r="C888" s="7">
        <v>0</v>
      </c>
      <c r="D888" s="7">
        <v>0</v>
      </c>
      <c r="E888" s="7">
        <v>0</v>
      </c>
      <c r="F888" s="7">
        <v>0</v>
      </c>
      <c r="G888" s="7">
        <v>0</v>
      </c>
      <c r="H888" s="7">
        <v>0</v>
      </c>
      <c r="I888" s="7">
        <v>0</v>
      </c>
      <c r="J888" s="7">
        <v>0</v>
      </c>
      <c r="K888" s="7">
        <v>0</v>
      </c>
      <c r="L888" s="7">
        <v>0</v>
      </c>
      <c r="M888" s="7">
        <v>0</v>
      </c>
      <c r="N888" s="7">
        <v>0</v>
      </c>
      <c r="O888" s="7">
        <v>0</v>
      </c>
      <c r="P888" s="7">
        <v>0</v>
      </c>
      <c r="Q888" s="7">
        <v>0</v>
      </c>
    </row>
    <row r="889" spans="1:17">
      <c r="A889" s="2">
        <v>2837</v>
      </c>
      <c r="B889" s="7">
        <v>0</v>
      </c>
      <c r="C889" s="7">
        <v>0</v>
      </c>
      <c r="D889" s="7">
        <v>0</v>
      </c>
      <c r="E889" s="7">
        <v>0</v>
      </c>
      <c r="F889" s="7">
        <v>0</v>
      </c>
      <c r="G889" s="7">
        <v>0</v>
      </c>
      <c r="H889" s="7">
        <v>0</v>
      </c>
      <c r="I889" s="7">
        <v>0</v>
      </c>
      <c r="J889" s="7">
        <v>0</v>
      </c>
      <c r="K889" s="7">
        <v>0</v>
      </c>
      <c r="L889" s="7">
        <v>0</v>
      </c>
      <c r="M889" s="7">
        <v>0</v>
      </c>
      <c r="N889" s="7">
        <v>0</v>
      </c>
      <c r="O889" s="7">
        <v>0</v>
      </c>
      <c r="P889" s="7">
        <v>0</v>
      </c>
      <c r="Q889" s="7">
        <v>0</v>
      </c>
    </row>
    <row r="890" spans="1:17">
      <c r="A890" s="2">
        <v>2838</v>
      </c>
      <c r="B890" s="7">
        <v>0</v>
      </c>
      <c r="C890" s="7">
        <v>0</v>
      </c>
      <c r="D890" s="7">
        <v>0</v>
      </c>
      <c r="E890" s="7">
        <v>0</v>
      </c>
      <c r="F890" s="7">
        <v>0</v>
      </c>
      <c r="G890" s="7">
        <v>0</v>
      </c>
      <c r="H890" s="7">
        <v>0</v>
      </c>
      <c r="I890" s="7">
        <v>0</v>
      </c>
      <c r="J890" s="7">
        <v>0</v>
      </c>
      <c r="K890" s="7">
        <v>0</v>
      </c>
      <c r="L890" s="7">
        <v>0</v>
      </c>
      <c r="M890" s="7">
        <v>0</v>
      </c>
      <c r="N890" s="7">
        <v>0</v>
      </c>
      <c r="O890" s="7">
        <v>0</v>
      </c>
      <c r="P890" s="7">
        <v>0</v>
      </c>
      <c r="Q890" s="7">
        <v>0</v>
      </c>
    </row>
    <row r="891" spans="1:17">
      <c r="A891" s="2">
        <v>2839</v>
      </c>
      <c r="B891" s="7">
        <v>0</v>
      </c>
      <c r="C891" s="7">
        <v>0</v>
      </c>
      <c r="D891" s="7">
        <v>0</v>
      </c>
      <c r="E891" s="7">
        <v>0</v>
      </c>
      <c r="F891" s="7">
        <v>0</v>
      </c>
      <c r="G891" s="7">
        <v>0</v>
      </c>
      <c r="H891" s="7">
        <v>0</v>
      </c>
      <c r="I891" s="7">
        <v>0</v>
      </c>
      <c r="J891" s="7">
        <v>0</v>
      </c>
      <c r="K891" s="7">
        <v>0</v>
      </c>
      <c r="L891" s="7">
        <v>0</v>
      </c>
      <c r="M891" s="7">
        <v>0</v>
      </c>
      <c r="N891" s="7">
        <v>0</v>
      </c>
      <c r="O891" s="7">
        <v>0</v>
      </c>
      <c r="P891" s="7">
        <v>0</v>
      </c>
      <c r="Q891" s="7">
        <v>0</v>
      </c>
    </row>
    <row r="892" spans="1:17">
      <c r="A892" s="2">
        <v>2840</v>
      </c>
      <c r="B892" s="7">
        <v>0</v>
      </c>
      <c r="C892" s="7">
        <v>0</v>
      </c>
      <c r="D892" s="7">
        <v>0</v>
      </c>
      <c r="E892" s="7">
        <v>0</v>
      </c>
      <c r="F892" s="7">
        <v>0</v>
      </c>
      <c r="G892" s="7">
        <v>0</v>
      </c>
      <c r="H892" s="7">
        <v>0</v>
      </c>
      <c r="I892" s="7">
        <v>0</v>
      </c>
      <c r="J892" s="7">
        <v>0</v>
      </c>
      <c r="K892" s="7">
        <v>0</v>
      </c>
      <c r="L892" s="7">
        <v>0</v>
      </c>
      <c r="M892" s="7">
        <v>0</v>
      </c>
      <c r="N892" s="7">
        <v>0</v>
      </c>
      <c r="O892" s="7">
        <v>0</v>
      </c>
      <c r="P892" s="7">
        <v>0</v>
      </c>
      <c r="Q892" s="7">
        <v>0</v>
      </c>
    </row>
    <row r="893" spans="1:17">
      <c r="A893" s="2">
        <v>2841</v>
      </c>
      <c r="B893" s="7">
        <v>0</v>
      </c>
      <c r="C893" s="7">
        <v>0</v>
      </c>
      <c r="D893" s="7">
        <v>0</v>
      </c>
      <c r="E893" s="7">
        <v>0</v>
      </c>
      <c r="F893" s="7">
        <v>0</v>
      </c>
      <c r="G893" s="7">
        <v>0</v>
      </c>
      <c r="H893" s="7">
        <v>0</v>
      </c>
      <c r="I893" s="7">
        <v>0</v>
      </c>
      <c r="J893" s="7">
        <v>0</v>
      </c>
      <c r="K893" s="7">
        <v>0</v>
      </c>
      <c r="L893" s="7">
        <v>0</v>
      </c>
      <c r="M893" s="7">
        <v>0</v>
      </c>
      <c r="N893" s="7">
        <v>0</v>
      </c>
      <c r="O893" s="7">
        <v>0</v>
      </c>
      <c r="P893" s="7">
        <v>0</v>
      </c>
      <c r="Q893" s="7">
        <v>0</v>
      </c>
    </row>
    <row r="894" spans="1:17">
      <c r="A894" s="2">
        <v>2842</v>
      </c>
      <c r="B894" s="7">
        <v>0</v>
      </c>
      <c r="C894" s="7">
        <v>0</v>
      </c>
      <c r="D894" s="7">
        <v>0</v>
      </c>
      <c r="E894" s="7">
        <v>0</v>
      </c>
      <c r="F894" s="7">
        <v>0</v>
      </c>
      <c r="G894" s="7">
        <v>0</v>
      </c>
      <c r="H894" s="7">
        <v>0</v>
      </c>
      <c r="I894" s="7">
        <v>0</v>
      </c>
      <c r="J894" s="7">
        <v>0</v>
      </c>
      <c r="K894" s="7">
        <v>0</v>
      </c>
      <c r="L894" s="7">
        <v>0</v>
      </c>
      <c r="M894" s="7">
        <v>0</v>
      </c>
      <c r="N894" s="7">
        <v>0</v>
      </c>
      <c r="O894" s="7">
        <v>0</v>
      </c>
      <c r="P894" s="7">
        <v>0</v>
      </c>
      <c r="Q894" s="7">
        <v>0</v>
      </c>
    </row>
    <row r="895" spans="1:17">
      <c r="A895" s="2">
        <v>2843</v>
      </c>
      <c r="B895" s="7">
        <v>0</v>
      </c>
      <c r="C895" s="7">
        <v>0</v>
      </c>
      <c r="D895" s="7">
        <v>0</v>
      </c>
      <c r="E895" s="7">
        <v>0</v>
      </c>
      <c r="F895" s="7">
        <v>0</v>
      </c>
      <c r="G895" s="7">
        <v>0</v>
      </c>
      <c r="H895" s="7">
        <v>0</v>
      </c>
      <c r="I895" s="7">
        <v>0</v>
      </c>
      <c r="J895" s="7">
        <v>0</v>
      </c>
      <c r="K895" s="7">
        <v>0</v>
      </c>
      <c r="L895" s="7">
        <v>0</v>
      </c>
      <c r="M895" s="7">
        <v>0</v>
      </c>
      <c r="N895" s="7">
        <v>0</v>
      </c>
      <c r="O895" s="7">
        <v>0</v>
      </c>
      <c r="P895" s="7">
        <v>0</v>
      </c>
      <c r="Q895" s="7">
        <v>0</v>
      </c>
    </row>
    <row r="896" spans="1:17">
      <c r="A896" s="2">
        <v>2844</v>
      </c>
      <c r="B896" s="7">
        <v>0</v>
      </c>
      <c r="C896" s="7">
        <v>0</v>
      </c>
      <c r="D896" s="7">
        <v>0</v>
      </c>
      <c r="E896" s="7">
        <v>0</v>
      </c>
      <c r="F896" s="7">
        <v>0</v>
      </c>
      <c r="G896" s="7">
        <v>0</v>
      </c>
      <c r="H896" s="7">
        <v>0</v>
      </c>
      <c r="I896" s="7">
        <v>0</v>
      </c>
      <c r="J896" s="7">
        <v>0</v>
      </c>
      <c r="K896" s="7">
        <v>0</v>
      </c>
      <c r="L896" s="7">
        <v>0</v>
      </c>
      <c r="M896" s="7">
        <v>0</v>
      </c>
      <c r="N896" s="7">
        <v>0</v>
      </c>
      <c r="O896" s="7">
        <v>0</v>
      </c>
      <c r="P896" s="7">
        <v>0</v>
      </c>
      <c r="Q896" s="7">
        <v>0</v>
      </c>
    </row>
    <row r="897" spans="1:17">
      <c r="A897" s="2">
        <v>2845</v>
      </c>
      <c r="B897" s="7">
        <v>0</v>
      </c>
      <c r="C897" s="7">
        <v>0</v>
      </c>
      <c r="D897" s="7">
        <v>0</v>
      </c>
      <c r="E897" s="7">
        <v>0</v>
      </c>
      <c r="F897" s="7">
        <v>0</v>
      </c>
      <c r="G897" s="7">
        <v>0</v>
      </c>
      <c r="H897" s="7">
        <v>0</v>
      </c>
      <c r="I897" s="7">
        <v>0</v>
      </c>
      <c r="J897" s="7">
        <v>0</v>
      </c>
      <c r="K897" s="7">
        <v>0</v>
      </c>
      <c r="L897" s="7">
        <v>0</v>
      </c>
      <c r="M897" s="7">
        <v>0</v>
      </c>
      <c r="N897" s="7">
        <v>0</v>
      </c>
      <c r="O897" s="7">
        <v>0</v>
      </c>
      <c r="P897" s="7">
        <v>0</v>
      </c>
      <c r="Q897" s="7">
        <v>0</v>
      </c>
    </row>
    <row r="898" spans="1:17">
      <c r="A898" s="2">
        <v>2846</v>
      </c>
      <c r="B898" s="7">
        <v>0</v>
      </c>
      <c r="C898" s="7">
        <v>0</v>
      </c>
      <c r="D898" s="7">
        <v>0</v>
      </c>
      <c r="E898" s="7">
        <v>0</v>
      </c>
      <c r="F898" s="7">
        <v>0</v>
      </c>
      <c r="G898" s="7">
        <v>0</v>
      </c>
      <c r="H898" s="7">
        <v>0</v>
      </c>
      <c r="I898" s="7">
        <v>0</v>
      </c>
      <c r="J898" s="7">
        <v>0</v>
      </c>
      <c r="K898" s="7">
        <v>0</v>
      </c>
      <c r="L898" s="7">
        <v>0</v>
      </c>
      <c r="M898" s="7">
        <v>0</v>
      </c>
      <c r="N898" s="7">
        <v>0</v>
      </c>
      <c r="O898" s="7">
        <v>0</v>
      </c>
      <c r="P898" s="7">
        <v>0</v>
      </c>
      <c r="Q898" s="7">
        <v>0</v>
      </c>
    </row>
    <row r="899" spans="1:17">
      <c r="A899" s="2">
        <v>2847</v>
      </c>
      <c r="B899" s="7">
        <v>0</v>
      </c>
      <c r="C899" s="7">
        <v>0</v>
      </c>
      <c r="D899" s="7">
        <v>0</v>
      </c>
      <c r="E899" s="7">
        <v>0</v>
      </c>
      <c r="F899" s="7">
        <v>0</v>
      </c>
      <c r="G899" s="7">
        <v>0</v>
      </c>
      <c r="H899" s="7">
        <v>0</v>
      </c>
      <c r="I899" s="7">
        <v>0</v>
      </c>
      <c r="J899" s="7">
        <v>0</v>
      </c>
      <c r="K899" s="7">
        <v>0</v>
      </c>
      <c r="L899" s="7">
        <v>0</v>
      </c>
      <c r="M899" s="7">
        <v>0</v>
      </c>
      <c r="N899" s="7">
        <v>0</v>
      </c>
      <c r="O899" s="7">
        <v>0</v>
      </c>
      <c r="P899" s="7">
        <v>0</v>
      </c>
      <c r="Q899" s="7">
        <v>0</v>
      </c>
    </row>
    <row r="900" spans="1:17">
      <c r="A900" s="2">
        <v>2848</v>
      </c>
      <c r="B900" s="7">
        <v>0</v>
      </c>
      <c r="C900" s="7">
        <v>0</v>
      </c>
      <c r="D900" s="7">
        <v>0</v>
      </c>
      <c r="E900" s="7">
        <v>0</v>
      </c>
      <c r="F900" s="7">
        <v>0</v>
      </c>
      <c r="G900" s="7">
        <v>0</v>
      </c>
      <c r="H900" s="7">
        <v>0</v>
      </c>
      <c r="I900" s="7">
        <v>0</v>
      </c>
      <c r="J900" s="7">
        <v>0</v>
      </c>
      <c r="K900" s="7">
        <v>0</v>
      </c>
      <c r="L900" s="7">
        <v>0</v>
      </c>
      <c r="M900" s="7">
        <v>0</v>
      </c>
      <c r="N900" s="7">
        <v>0</v>
      </c>
      <c r="O900" s="7">
        <v>0</v>
      </c>
      <c r="P900" s="7">
        <v>0</v>
      </c>
      <c r="Q900" s="7">
        <v>0</v>
      </c>
    </row>
    <row r="901" spans="1:17">
      <c r="A901" s="2">
        <v>2849</v>
      </c>
      <c r="B901" s="7">
        <v>0</v>
      </c>
      <c r="C901" s="7">
        <v>0</v>
      </c>
      <c r="D901" s="7">
        <v>0</v>
      </c>
      <c r="E901" s="7">
        <v>0</v>
      </c>
      <c r="F901" s="7">
        <v>0</v>
      </c>
      <c r="G901" s="7">
        <v>0</v>
      </c>
      <c r="H901" s="7">
        <v>0</v>
      </c>
      <c r="I901" s="7">
        <v>0</v>
      </c>
      <c r="J901" s="7">
        <v>0</v>
      </c>
      <c r="K901" s="7">
        <v>0</v>
      </c>
      <c r="L901" s="7">
        <v>0</v>
      </c>
      <c r="M901" s="7">
        <v>0</v>
      </c>
      <c r="N901" s="7">
        <v>0</v>
      </c>
      <c r="O901" s="7">
        <v>0</v>
      </c>
      <c r="P901" s="7">
        <v>0</v>
      </c>
      <c r="Q901" s="7">
        <v>0</v>
      </c>
    </row>
    <row r="902" spans="1:17">
      <c r="A902" s="2">
        <v>2850</v>
      </c>
      <c r="B902" s="7">
        <v>0</v>
      </c>
      <c r="C902" s="7">
        <v>0</v>
      </c>
      <c r="D902" s="7">
        <v>0</v>
      </c>
      <c r="E902" s="7">
        <v>0</v>
      </c>
      <c r="F902" s="7">
        <v>0</v>
      </c>
      <c r="G902" s="7">
        <v>0</v>
      </c>
      <c r="H902" s="7">
        <v>0</v>
      </c>
      <c r="I902" s="7">
        <v>0</v>
      </c>
      <c r="J902" s="7">
        <v>0</v>
      </c>
      <c r="K902" s="7">
        <v>0</v>
      </c>
      <c r="L902" s="7">
        <v>0</v>
      </c>
      <c r="M902" s="7">
        <v>0</v>
      </c>
      <c r="N902" s="7">
        <v>0</v>
      </c>
      <c r="O902" s="7">
        <v>0</v>
      </c>
      <c r="P902" s="7">
        <v>0</v>
      </c>
      <c r="Q902" s="7">
        <v>0</v>
      </c>
    </row>
    <row r="903" spans="1:17">
      <c r="A903" s="2">
        <v>2851</v>
      </c>
      <c r="B903" s="7">
        <v>0</v>
      </c>
      <c r="C903" s="7">
        <v>0</v>
      </c>
      <c r="D903" s="7">
        <v>0</v>
      </c>
      <c r="E903" s="7">
        <v>0</v>
      </c>
      <c r="F903" s="7">
        <v>0</v>
      </c>
      <c r="G903" s="7">
        <v>0</v>
      </c>
      <c r="H903" s="7">
        <v>0</v>
      </c>
      <c r="I903" s="7">
        <v>0</v>
      </c>
      <c r="J903" s="7">
        <v>0</v>
      </c>
      <c r="K903" s="7">
        <v>0</v>
      </c>
      <c r="L903" s="7">
        <v>0</v>
      </c>
      <c r="M903" s="7">
        <v>0</v>
      </c>
      <c r="N903" s="7">
        <v>0</v>
      </c>
      <c r="O903" s="7">
        <v>0</v>
      </c>
      <c r="P903" s="7">
        <v>0</v>
      </c>
      <c r="Q903" s="7">
        <v>0</v>
      </c>
    </row>
    <row r="904" spans="1:17">
      <c r="A904" s="2">
        <v>2852</v>
      </c>
      <c r="B904" s="7">
        <v>0</v>
      </c>
      <c r="C904" s="7">
        <v>0</v>
      </c>
      <c r="D904" s="7">
        <v>0</v>
      </c>
      <c r="E904" s="7">
        <v>0</v>
      </c>
      <c r="F904" s="7">
        <v>0</v>
      </c>
      <c r="G904" s="7">
        <v>0</v>
      </c>
      <c r="H904" s="7">
        <v>0</v>
      </c>
      <c r="I904" s="7">
        <v>0</v>
      </c>
      <c r="J904" s="7">
        <v>0</v>
      </c>
      <c r="K904" s="7">
        <v>0</v>
      </c>
      <c r="L904" s="7">
        <v>0</v>
      </c>
      <c r="M904" s="7">
        <v>0</v>
      </c>
      <c r="N904" s="7">
        <v>0</v>
      </c>
      <c r="O904" s="7">
        <v>0</v>
      </c>
      <c r="P904" s="7">
        <v>0</v>
      </c>
      <c r="Q904" s="7">
        <v>0</v>
      </c>
    </row>
    <row r="905" spans="1:17">
      <c r="A905" s="2">
        <v>2853</v>
      </c>
      <c r="B905" s="7">
        <v>0</v>
      </c>
      <c r="C905" s="7">
        <v>0</v>
      </c>
      <c r="D905" s="7">
        <v>0</v>
      </c>
      <c r="E905" s="7">
        <v>0</v>
      </c>
      <c r="F905" s="7">
        <v>0</v>
      </c>
      <c r="G905" s="7">
        <v>0</v>
      </c>
      <c r="H905" s="7">
        <v>0</v>
      </c>
      <c r="I905" s="7">
        <v>0</v>
      </c>
      <c r="J905" s="7">
        <v>0</v>
      </c>
      <c r="K905" s="7">
        <v>0</v>
      </c>
      <c r="L905" s="7">
        <v>0</v>
      </c>
      <c r="M905" s="7">
        <v>0</v>
      </c>
      <c r="N905" s="7">
        <v>0</v>
      </c>
      <c r="O905" s="7">
        <v>0</v>
      </c>
      <c r="P905" s="7">
        <v>0</v>
      </c>
      <c r="Q905" s="7">
        <v>0</v>
      </c>
    </row>
    <row r="906" spans="1:17">
      <c r="A906" s="2">
        <v>2854</v>
      </c>
      <c r="B906" s="7">
        <v>0</v>
      </c>
      <c r="C906" s="7">
        <v>0</v>
      </c>
      <c r="D906" s="7">
        <v>0</v>
      </c>
      <c r="E906" s="7">
        <v>0</v>
      </c>
      <c r="F906" s="7">
        <v>0</v>
      </c>
      <c r="G906" s="7">
        <v>0</v>
      </c>
      <c r="H906" s="7">
        <v>0</v>
      </c>
      <c r="I906" s="7">
        <v>0</v>
      </c>
      <c r="J906" s="7">
        <v>0</v>
      </c>
      <c r="K906" s="7">
        <v>0</v>
      </c>
      <c r="L906" s="7">
        <v>0</v>
      </c>
      <c r="M906" s="7">
        <v>0</v>
      </c>
      <c r="N906" s="7">
        <v>0</v>
      </c>
      <c r="O906" s="7">
        <v>0</v>
      </c>
      <c r="P906" s="7">
        <v>0</v>
      </c>
      <c r="Q906" s="7">
        <v>0</v>
      </c>
    </row>
    <row r="907" spans="1:17">
      <c r="A907" s="2">
        <v>2855</v>
      </c>
      <c r="B907" s="7">
        <v>0</v>
      </c>
      <c r="C907" s="7">
        <v>0</v>
      </c>
      <c r="D907" s="7">
        <v>0</v>
      </c>
      <c r="E907" s="7">
        <v>0</v>
      </c>
      <c r="F907" s="7">
        <v>0</v>
      </c>
      <c r="G907" s="7">
        <v>0</v>
      </c>
      <c r="H907" s="7">
        <v>0</v>
      </c>
      <c r="I907" s="7">
        <v>0</v>
      </c>
      <c r="J907" s="7">
        <v>0</v>
      </c>
      <c r="K907" s="7">
        <v>0</v>
      </c>
      <c r="L907" s="7">
        <v>0</v>
      </c>
      <c r="M907" s="7">
        <v>0</v>
      </c>
      <c r="N907" s="7">
        <v>0</v>
      </c>
      <c r="O907" s="7">
        <v>0</v>
      </c>
      <c r="P907" s="7">
        <v>0</v>
      </c>
      <c r="Q907" s="7">
        <v>0</v>
      </c>
    </row>
    <row r="908" spans="1:17">
      <c r="A908" s="2">
        <v>2856</v>
      </c>
      <c r="B908" s="7">
        <v>0</v>
      </c>
      <c r="C908" s="7">
        <v>0</v>
      </c>
      <c r="D908" s="7">
        <v>0</v>
      </c>
      <c r="E908" s="7">
        <v>0</v>
      </c>
      <c r="F908" s="7">
        <v>0</v>
      </c>
      <c r="G908" s="7">
        <v>0</v>
      </c>
      <c r="H908" s="7">
        <v>0</v>
      </c>
      <c r="I908" s="7">
        <v>0</v>
      </c>
      <c r="J908" s="7">
        <v>0</v>
      </c>
      <c r="K908" s="7">
        <v>0</v>
      </c>
      <c r="L908" s="7">
        <v>0</v>
      </c>
      <c r="M908" s="7">
        <v>0</v>
      </c>
      <c r="N908" s="7">
        <v>0</v>
      </c>
      <c r="O908" s="7">
        <v>0</v>
      </c>
      <c r="P908" s="7">
        <v>0</v>
      </c>
      <c r="Q908" s="7">
        <v>0</v>
      </c>
    </row>
    <row r="909" spans="1:17">
      <c r="A909" s="2">
        <v>2857</v>
      </c>
      <c r="B909" s="7">
        <v>0</v>
      </c>
      <c r="C909" s="7">
        <v>0</v>
      </c>
      <c r="D909" s="7">
        <v>0</v>
      </c>
      <c r="E909" s="7">
        <v>0</v>
      </c>
      <c r="F909" s="7">
        <v>0</v>
      </c>
      <c r="G909" s="7">
        <v>0</v>
      </c>
      <c r="H909" s="7">
        <v>0</v>
      </c>
      <c r="I909" s="7">
        <v>0</v>
      </c>
      <c r="J909" s="7">
        <v>0</v>
      </c>
      <c r="K909" s="7">
        <v>0</v>
      </c>
      <c r="L909" s="7">
        <v>0</v>
      </c>
      <c r="M909" s="7">
        <v>0</v>
      </c>
      <c r="N909" s="7">
        <v>0</v>
      </c>
      <c r="O909" s="7">
        <v>0</v>
      </c>
      <c r="P909" s="7">
        <v>0</v>
      </c>
      <c r="Q909" s="7">
        <v>0</v>
      </c>
    </row>
    <row r="910" spans="1:17">
      <c r="A910" s="2">
        <v>2858</v>
      </c>
      <c r="B910" s="7">
        <v>0</v>
      </c>
      <c r="C910" s="7">
        <v>0</v>
      </c>
      <c r="D910" s="7">
        <v>0</v>
      </c>
      <c r="E910" s="7">
        <v>0</v>
      </c>
      <c r="F910" s="7">
        <v>0</v>
      </c>
      <c r="G910" s="7">
        <v>0</v>
      </c>
      <c r="H910" s="7">
        <v>0</v>
      </c>
      <c r="I910" s="7">
        <v>0</v>
      </c>
      <c r="J910" s="7">
        <v>0</v>
      </c>
      <c r="K910" s="7">
        <v>0</v>
      </c>
      <c r="L910" s="7">
        <v>0</v>
      </c>
      <c r="M910" s="7">
        <v>0</v>
      </c>
      <c r="N910" s="7">
        <v>0</v>
      </c>
      <c r="O910" s="7">
        <v>0</v>
      </c>
      <c r="P910" s="7">
        <v>0</v>
      </c>
      <c r="Q910" s="7">
        <v>0</v>
      </c>
    </row>
    <row r="911" spans="1:17">
      <c r="A911" s="2">
        <v>2859</v>
      </c>
      <c r="B911" s="7">
        <v>0</v>
      </c>
      <c r="C911" s="7">
        <v>0</v>
      </c>
      <c r="D911" s="7">
        <v>0</v>
      </c>
      <c r="E911" s="7">
        <v>0</v>
      </c>
      <c r="F911" s="7">
        <v>0</v>
      </c>
      <c r="G911" s="7">
        <v>0</v>
      </c>
      <c r="H911" s="7">
        <v>0</v>
      </c>
      <c r="I911" s="7">
        <v>0</v>
      </c>
      <c r="J911" s="7">
        <v>0</v>
      </c>
      <c r="K911" s="7">
        <v>0</v>
      </c>
      <c r="L911" s="7">
        <v>0</v>
      </c>
      <c r="M911" s="7">
        <v>0</v>
      </c>
      <c r="N911" s="7">
        <v>0</v>
      </c>
      <c r="O911" s="7">
        <v>0</v>
      </c>
      <c r="P911" s="7">
        <v>0</v>
      </c>
      <c r="Q911" s="7">
        <v>0</v>
      </c>
    </row>
    <row r="912" spans="1:17">
      <c r="A912" s="2">
        <v>2860</v>
      </c>
      <c r="B912" s="7">
        <v>0</v>
      </c>
      <c r="C912" s="7">
        <v>0</v>
      </c>
      <c r="D912" s="7">
        <v>0</v>
      </c>
      <c r="E912" s="7">
        <v>0</v>
      </c>
      <c r="F912" s="7">
        <v>0</v>
      </c>
      <c r="G912" s="7">
        <v>0</v>
      </c>
      <c r="H912" s="7">
        <v>0</v>
      </c>
      <c r="I912" s="7">
        <v>0</v>
      </c>
      <c r="J912" s="7">
        <v>0</v>
      </c>
      <c r="K912" s="7">
        <v>0</v>
      </c>
      <c r="L912" s="7">
        <v>0</v>
      </c>
      <c r="M912" s="7">
        <v>0</v>
      </c>
      <c r="N912" s="7">
        <v>0</v>
      </c>
      <c r="O912" s="7">
        <v>0</v>
      </c>
      <c r="P912" s="7">
        <v>0</v>
      </c>
      <c r="Q912" s="7">
        <v>0</v>
      </c>
    </row>
    <row r="913" spans="1:17">
      <c r="A913" s="2">
        <v>2861</v>
      </c>
      <c r="B913" s="7">
        <v>0</v>
      </c>
      <c r="C913" s="7">
        <v>0</v>
      </c>
      <c r="D913" s="7">
        <v>0</v>
      </c>
      <c r="E913" s="7">
        <v>0</v>
      </c>
      <c r="F913" s="7">
        <v>0</v>
      </c>
      <c r="G913" s="7">
        <v>0</v>
      </c>
      <c r="H913" s="7">
        <v>0</v>
      </c>
      <c r="I913" s="7">
        <v>0</v>
      </c>
      <c r="J913" s="7">
        <v>0</v>
      </c>
      <c r="K913" s="7">
        <v>0</v>
      </c>
      <c r="L913" s="7">
        <v>0</v>
      </c>
      <c r="M913" s="7">
        <v>0</v>
      </c>
      <c r="N913" s="7">
        <v>0</v>
      </c>
      <c r="O913" s="7">
        <v>0</v>
      </c>
      <c r="P913" s="7">
        <v>0</v>
      </c>
      <c r="Q913" s="7">
        <v>0</v>
      </c>
    </row>
    <row r="914" spans="1:17">
      <c r="A914" s="2">
        <v>2862</v>
      </c>
      <c r="B914" s="7">
        <v>0</v>
      </c>
      <c r="C914" s="7">
        <v>0</v>
      </c>
      <c r="D914" s="7">
        <v>0</v>
      </c>
      <c r="E914" s="7">
        <v>0</v>
      </c>
      <c r="F914" s="7">
        <v>0</v>
      </c>
      <c r="G914" s="7">
        <v>0</v>
      </c>
      <c r="H914" s="7">
        <v>0</v>
      </c>
      <c r="I914" s="7">
        <v>0</v>
      </c>
      <c r="J914" s="7">
        <v>0</v>
      </c>
      <c r="K914" s="7">
        <v>0</v>
      </c>
      <c r="L914" s="7">
        <v>0</v>
      </c>
      <c r="M914" s="7">
        <v>0</v>
      </c>
      <c r="N914" s="7">
        <v>0</v>
      </c>
      <c r="O914" s="7">
        <v>0</v>
      </c>
      <c r="P914" s="7">
        <v>0</v>
      </c>
      <c r="Q914" s="7">
        <v>0</v>
      </c>
    </row>
    <row r="915" spans="1:17">
      <c r="A915" s="2">
        <v>2863</v>
      </c>
      <c r="B915" s="7">
        <v>0</v>
      </c>
      <c r="C915" s="7">
        <v>0</v>
      </c>
      <c r="D915" s="7">
        <v>0</v>
      </c>
      <c r="E915" s="7">
        <v>0</v>
      </c>
      <c r="F915" s="7">
        <v>0</v>
      </c>
      <c r="G915" s="7">
        <v>0</v>
      </c>
      <c r="H915" s="7">
        <v>0</v>
      </c>
      <c r="I915" s="7">
        <v>0</v>
      </c>
      <c r="J915" s="7">
        <v>0</v>
      </c>
      <c r="K915" s="7">
        <v>0</v>
      </c>
      <c r="L915" s="7">
        <v>0</v>
      </c>
      <c r="M915" s="7">
        <v>0</v>
      </c>
      <c r="N915" s="7">
        <v>0</v>
      </c>
      <c r="O915" s="7">
        <v>0</v>
      </c>
      <c r="P915" s="7">
        <v>0</v>
      </c>
      <c r="Q915" s="7">
        <v>0</v>
      </c>
    </row>
    <row r="916" spans="1:17">
      <c r="A916" s="2">
        <v>2864</v>
      </c>
      <c r="B916" s="7">
        <v>0</v>
      </c>
      <c r="C916" s="7">
        <v>0</v>
      </c>
      <c r="D916" s="7">
        <v>0</v>
      </c>
      <c r="E916" s="7">
        <v>0</v>
      </c>
      <c r="F916" s="7">
        <v>0</v>
      </c>
      <c r="G916" s="7">
        <v>0</v>
      </c>
      <c r="H916" s="7">
        <v>0</v>
      </c>
      <c r="I916" s="7">
        <v>0</v>
      </c>
      <c r="J916" s="7">
        <v>0</v>
      </c>
      <c r="K916" s="7">
        <v>0</v>
      </c>
      <c r="L916" s="7">
        <v>0</v>
      </c>
      <c r="M916" s="7">
        <v>0</v>
      </c>
      <c r="N916" s="7">
        <v>0</v>
      </c>
      <c r="O916" s="7">
        <v>0</v>
      </c>
      <c r="P916" s="7">
        <v>0</v>
      </c>
      <c r="Q916" s="7">
        <v>0</v>
      </c>
    </row>
    <row r="917" spans="1:17">
      <c r="A917" s="2">
        <v>2865</v>
      </c>
      <c r="B917" s="7">
        <v>0</v>
      </c>
      <c r="C917" s="7">
        <v>0</v>
      </c>
      <c r="D917" s="7">
        <v>0</v>
      </c>
      <c r="E917" s="7">
        <v>0</v>
      </c>
      <c r="F917" s="7">
        <v>0</v>
      </c>
      <c r="G917" s="7">
        <v>0</v>
      </c>
      <c r="H917" s="7">
        <v>0</v>
      </c>
      <c r="I917" s="7">
        <v>0</v>
      </c>
      <c r="J917" s="7">
        <v>0</v>
      </c>
      <c r="K917" s="7">
        <v>0</v>
      </c>
      <c r="L917" s="7">
        <v>0</v>
      </c>
      <c r="M917" s="7">
        <v>0</v>
      </c>
      <c r="N917" s="7">
        <v>0</v>
      </c>
      <c r="O917" s="7">
        <v>0</v>
      </c>
      <c r="P917" s="7">
        <v>0</v>
      </c>
      <c r="Q917" s="7">
        <v>0</v>
      </c>
    </row>
    <row r="918" spans="1:17">
      <c r="A918" s="2">
        <v>2866</v>
      </c>
      <c r="B918" s="7">
        <v>0</v>
      </c>
      <c r="C918" s="7">
        <v>0</v>
      </c>
      <c r="D918" s="7">
        <v>0</v>
      </c>
      <c r="E918" s="7">
        <v>0</v>
      </c>
      <c r="F918" s="7">
        <v>0</v>
      </c>
      <c r="G918" s="7">
        <v>0</v>
      </c>
      <c r="H918" s="7">
        <v>0</v>
      </c>
      <c r="I918" s="7">
        <v>0</v>
      </c>
      <c r="J918" s="7">
        <v>0</v>
      </c>
      <c r="K918" s="7">
        <v>0</v>
      </c>
      <c r="L918" s="7">
        <v>0</v>
      </c>
      <c r="M918" s="7">
        <v>0</v>
      </c>
      <c r="N918" s="7">
        <v>0</v>
      </c>
      <c r="O918" s="7">
        <v>0</v>
      </c>
      <c r="P918" s="7">
        <v>0</v>
      </c>
      <c r="Q918" s="7">
        <v>0</v>
      </c>
    </row>
    <row r="919" spans="1:17">
      <c r="A919" s="2">
        <v>2867</v>
      </c>
      <c r="B919" s="7">
        <v>0</v>
      </c>
      <c r="C919" s="7">
        <v>0</v>
      </c>
      <c r="D919" s="7">
        <v>0</v>
      </c>
      <c r="E919" s="7">
        <v>0</v>
      </c>
      <c r="F919" s="7">
        <v>0</v>
      </c>
      <c r="G919" s="7">
        <v>0</v>
      </c>
      <c r="H919" s="7">
        <v>0</v>
      </c>
      <c r="I919" s="7">
        <v>0</v>
      </c>
      <c r="J919" s="7">
        <v>0</v>
      </c>
      <c r="K919" s="7">
        <v>0</v>
      </c>
      <c r="L919" s="7">
        <v>0</v>
      </c>
      <c r="M919" s="7">
        <v>0</v>
      </c>
      <c r="N919" s="7">
        <v>0</v>
      </c>
      <c r="O919" s="7">
        <v>0</v>
      </c>
      <c r="P919" s="7">
        <v>0</v>
      </c>
      <c r="Q919" s="7">
        <v>0</v>
      </c>
    </row>
    <row r="920" spans="1:17">
      <c r="A920" s="2">
        <v>2868</v>
      </c>
      <c r="B920" s="7">
        <v>0</v>
      </c>
      <c r="C920" s="7">
        <v>0</v>
      </c>
      <c r="D920" s="7">
        <v>0</v>
      </c>
      <c r="E920" s="7">
        <v>0</v>
      </c>
      <c r="F920" s="7">
        <v>0</v>
      </c>
      <c r="G920" s="7">
        <v>0</v>
      </c>
      <c r="H920" s="7">
        <v>0</v>
      </c>
      <c r="I920" s="7">
        <v>0</v>
      </c>
      <c r="J920" s="7">
        <v>0</v>
      </c>
      <c r="K920" s="7">
        <v>0</v>
      </c>
      <c r="L920" s="7">
        <v>0</v>
      </c>
      <c r="M920" s="7">
        <v>0</v>
      </c>
      <c r="N920" s="7">
        <v>0</v>
      </c>
      <c r="O920" s="7">
        <v>0</v>
      </c>
      <c r="P920" s="7">
        <v>0</v>
      </c>
      <c r="Q920" s="7">
        <v>0</v>
      </c>
    </row>
    <row r="921" spans="1:17">
      <c r="A921" s="2">
        <v>2869</v>
      </c>
      <c r="B921" s="7">
        <v>0</v>
      </c>
      <c r="C921" s="7">
        <v>0</v>
      </c>
      <c r="D921" s="7">
        <v>0</v>
      </c>
      <c r="E921" s="7">
        <v>0</v>
      </c>
      <c r="F921" s="7">
        <v>0</v>
      </c>
      <c r="G921" s="7">
        <v>0</v>
      </c>
      <c r="H921" s="7">
        <v>0</v>
      </c>
      <c r="I921" s="7">
        <v>0</v>
      </c>
      <c r="J921" s="7">
        <v>0</v>
      </c>
      <c r="K921" s="7">
        <v>0</v>
      </c>
      <c r="L921" s="7">
        <v>0</v>
      </c>
      <c r="M921" s="7">
        <v>0</v>
      </c>
      <c r="N921" s="7">
        <v>0</v>
      </c>
      <c r="O921" s="7">
        <v>0</v>
      </c>
      <c r="P921" s="7">
        <v>0</v>
      </c>
      <c r="Q921" s="7">
        <v>0</v>
      </c>
    </row>
    <row r="922" spans="1:17">
      <c r="A922" s="2">
        <v>2870</v>
      </c>
      <c r="B922" s="7">
        <v>0</v>
      </c>
      <c r="C922" s="7">
        <v>0</v>
      </c>
      <c r="D922" s="7">
        <v>0</v>
      </c>
      <c r="E922" s="7">
        <v>0</v>
      </c>
      <c r="F922" s="7">
        <v>0</v>
      </c>
      <c r="G922" s="7">
        <v>0</v>
      </c>
      <c r="H922" s="7">
        <v>0</v>
      </c>
      <c r="I922" s="7">
        <v>0</v>
      </c>
      <c r="J922" s="7">
        <v>0</v>
      </c>
      <c r="K922" s="7">
        <v>0</v>
      </c>
      <c r="L922" s="7">
        <v>0</v>
      </c>
      <c r="M922" s="7">
        <v>0</v>
      </c>
      <c r="N922" s="7">
        <v>0</v>
      </c>
      <c r="O922" s="7">
        <v>0</v>
      </c>
      <c r="P922" s="7">
        <v>0</v>
      </c>
      <c r="Q922" s="7">
        <v>0</v>
      </c>
    </row>
    <row r="923" spans="1:17">
      <c r="A923" s="2">
        <v>2871</v>
      </c>
      <c r="B923" s="7">
        <v>0</v>
      </c>
      <c r="C923" s="7">
        <v>0</v>
      </c>
      <c r="D923" s="7">
        <v>0</v>
      </c>
      <c r="E923" s="7">
        <v>0</v>
      </c>
      <c r="F923" s="7">
        <v>0</v>
      </c>
      <c r="G923" s="7">
        <v>0</v>
      </c>
      <c r="H923" s="7">
        <v>0</v>
      </c>
      <c r="I923" s="7">
        <v>0</v>
      </c>
      <c r="J923" s="7">
        <v>0</v>
      </c>
      <c r="K923" s="7">
        <v>0</v>
      </c>
      <c r="L923" s="7">
        <v>0</v>
      </c>
      <c r="M923" s="7">
        <v>0</v>
      </c>
      <c r="N923" s="7">
        <v>0</v>
      </c>
      <c r="O923" s="7">
        <v>0</v>
      </c>
      <c r="P923" s="7">
        <v>0</v>
      </c>
      <c r="Q923" s="7">
        <v>0</v>
      </c>
    </row>
    <row r="924" spans="1:17">
      <c r="A924" s="2">
        <v>2872</v>
      </c>
      <c r="B924" s="7">
        <v>0</v>
      </c>
      <c r="C924" s="7">
        <v>0</v>
      </c>
      <c r="D924" s="7">
        <v>0</v>
      </c>
      <c r="E924" s="7">
        <v>0</v>
      </c>
      <c r="F924" s="7">
        <v>0</v>
      </c>
      <c r="G924" s="7">
        <v>0</v>
      </c>
      <c r="H924" s="7">
        <v>0</v>
      </c>
      <c r="I924" s="7">
        <v>0</v>
      </c>
      <c r="J924" s="7">
        <v>0</v>
      </c>
      <c r="K924" s="7">
        <v>0</v>
      </c>
      <c r="L924" s="7">
        <v>0</v>
      </c>
      <c r="M924" s="7">
        <v>0</v>
      </c>
      <c r="N924" s="7">
        <v>0</v>
      </c>
      <c r="O924" s="7">
        <v>0</v>
      </c>
      <c r="P924" s="7">
        <v>0</v>
      </c>
      <c r="Q924" s="7">
        <v>0</v>
      </c>
    </row>
    <row r="925" spans="1:17">
      <c r="A925" s="2">
        <v>2873</v>
      </c>
      <c r="B925" s="7">
        <v>0</v>
      </c>
      <c r="C925" s="7">
        <v>0</v>
      </c>
      <c r="D925" s="7">
        <v>0</v>
      </c>
      <c r="E925" s="7">
        <v>0</v>
      </c>
      <c r="F925" s="7">
        <v>0</v>
      </c>
      <c r="G925" s="7">
        <v>0</v>
      </c>
      <c r="H925" s="7">
        <v>0</v>
      </c>
      <c r="I925" s="7">
        <v>0</v>
      </c>
      <c r="J925" s="7">
        <v>0</v>
      </c>
      <c r="K925" s="7">
        <v>0</v>
      </c>
      <c r="L925" s="7">
        <v>0</v>
      </c>
      <c r="M925" s="7">
        <v>0</v>
      </c>
      <c r="N925" s="7">
        <v>0</v>
      </c>
      <c r="O925" s="7">
        <v>0</v>
      </c>
      <c r="P925" s="7">
        <v>0</v>
      </c>
      <c r="Q925" s="7">
        <v>0</v>
      </c>
    </row>
    <row r="926" spans="1:17">
      <c r="A926" s="2">
        <v>2874</v>
      </c>
      <c r="B926" s="7">
        <v>0</v>
      </c>
      <c r="C926" s="7">
        <v>0</v>
      </c>
      <c r="D926" s="7">
        <v>0</v>
      </c>
      <c r="E926" s="7">
        <v>0</v>
      </c>
      <c r="F926" s="7">
        <v>0</v>
      </c>
      <c r="G926" s="7">
        <v>0</v>
      </c>
      <c r="H926" s="7">
        <v>0</v>
      </c>
      <c r="I926" s="7">
        <v>0</v>
      </c>
      <c r="J926" s="7">
        <v>0</v>
      </c>
      <c r="K926" s="7">
        <v>0</v>
      </c>
      <c r="L926" s="7">
        <v>0</v>
      </c>
      <c r="M926" s="7">
        <v>0</v>
      </c>
      <c r="N926" s="7">
        <v>0</v>
      </c>
      <c r="O926" s="7">
        <v>0</v>
      </c>
      <c r="P926" s="7">
        <v>0</v>
      </c>
      <c r="Q926" s="7">
        <v>0</v>
      </c>
    </row>
    <row r="927" spans="1:17">
      <c r="A927" s="2">
        <v>2875</v>
      </c>
      <c r="B927" s="7">
        <v>0</v>
      </c>
      <c r="C927" s="7">
        <v>0</v>
      </c>
      <c r="D927" s="7">
        <v>0</v>
      </c>
      <c r="E927" s="7">
        <v>0</v>
      </c>
      <c r="F927" s="7">
        <v>0</v>
      </c>
      <c r="G927" s="7">
        <v>0</v>
      </c>
      <c r="H927" s="7">
        <v>0</v>
      </c>
      <c r="I927" s="7">
        <v>0</v>
      </c>
      <c r="J927" s="7">
        <v>0</v>
      </c>
      <c r="K927" s="7">
        <v>0</v>
      </c>
      <c r="L927" s="7">
        <v>0</v>
      </c>
      <c r="M927" s="7">
        <v>0</v>
      </c>
      <c r="N927" s="7">
        <v>0</v>
      </c>
      <c r="O927" s="7">
        <v>0</v>
      </c>
      <c r="P927" s="7">
        <v>0</v>
      </c>
      <c r="Q927" s="7">
        <v>0</v>
      </c>
    </row>
    <row r="928" spans="1:17">
      <c r="A928" s="2">
        <v>2876</v>
      </c>
      <c r="B928" s="7">
        <v>0</v>
      </c>
      <c r="C928" s="7">
        <v>0</v>
      </c>
      <c r="D928" s="7">
        <v>0</v>
      </c>
      <c r="E928" s="7">
        <v>0</v>
      </c>
      <c r="F928" s="7">
        <v>0</v>
      </c>
      <c r="G928" s="7">
        <v>0</v>
      </c>
      <c r="H928" s="7">
        <v>0</v>
      </c>
      <c r="I928" s="7">
        <v>0</v>
      </c>
      <c r="J928" s="7">
        <v>0</v>
      </c>
      <c r="K928" s="7">
        <v>0</v>
      </c>
      <c r="L928" s="7">
        <v>0</v>
      </c>
      <c r="M928" s="7">
        <v>0</v>
      </c>
      <c r="N928" s="7">
        <v>0</v>
      </c>
      <c r="O928" s="7">
        <v>0</v>
      </c>
      <c r="P928" s="7">
        <v>0</v>
      </c>
      <c r="Q928" s="7">
        <v>0</v>
      </c>
    </row>
    <row r="929" spans="1:17">
      <c r="A929" s="2">
        <v>2877</v>
      </c>
      <c r="B929" s="7">
        <v>0</v>
      </c>
      <c r="C929" s="7">
        <v>0</v>
      </c>
      <c r="D929" s="7">
        <v>0</v>
      </c>
      <c r="E929" s="7">
        <v>0</v>
      </c>
      <c r="F929" s="7">
        <v>0</v>
      </c>
      <c r="G929" s="7">
        <v>0</v>
      </c>
      <c r="H929" s="7">
        <v>0</v>
      </c>
      <c r="I929" s="7">
        <v>0</v>
      </c>
      <c r="J929" s="7">
        <v>0</v>
      </c>
      <c r="K929" s="7">
        <v>0</v>
      </c>
      <c r="L929" s="7">
        <v>0</v>
      </c>
      <c r="M929" s="7">
        <v>0</v>
      </c>
      <c r="N929" s="7">
        <v>0</v>
      </c>
      <c r="O929" s="7">
        <v>0</v>
      </c>
      <c r="P929" s="7">
        <v>0</v>
      </c>
      <c r="Q929" s="7">
        <v>0</v>
      </c>
    </row>
    <row r="930" spans="1:17">
      <c r="A930" s="2">
        <v>2878</v>
      </c>
      <c r="B930" s="7">
        <v>0</v>
      </c>
      <c r="C930" s="7">
        <v>0</v>
      </c>
      <c r="D930" s="7">
        <v>0</v>
      </c>
      <c r="E930" s="7">
        <v>0</v>
      </c>
      <c r="F930" s="7">
        <v>0</v>
      </c>
      <c r="G930" s="7">
        <v>0</v>
      </c>
      <c r="H930" s="7">
        <v>0</v>
      </c>
      <c r="I930" s="7">
        <v>0</v>
      </c>
      <c r="J930" s="7">
        <v>0</v>
      </c>
      <c r="K930" s="7">
        <v>0</v>
      </c>
      <c r="L930" s="7">
        <v>0</v>
      </c>
      <c r="M930" s="7">
        <v>0</v>
      </c>
      <c r="N930" s="7">
        <v>0</v>
      </c>
      <c r="O930" s="7">
        <v>0</v>
      </c>
      <c r="P930" s="7">
        <v>0</v>
      </c>
      <c r="Q930" s="7">
        <v>0</v>
      </c>
    </row>
    <row r="931" spans="1:17">
      <c r="A931" s="2">
        <v>2879</v>
      </c>
      <c r="B931" s="7">
        <v>0</v>
      </c>
      <c r="C931" s="7">
        <v>0</v>
      </c>
      <c r="D931" s="7">
        <v>0</v>
      </c>
      <c r="E931" s="7">
        <v>0</v>
      </c>
      <c r="F931" s="7">
        <v>0</v>
      </c>
      <c r="G931" s="7">
        <v>0</v>
      </c>
      <c r="H931" s="7">
        <v>0</v>
      </c>
      <c r="I931" s="7">
        <v>0</v>
      </c>
      <c r="J931" s="7">
        <v>0</v>
      </c>
      <c r="K931" s="7">
        <v>0</v>
      </c>
      <c r="L931" s="7">
        <v>0</v>
      </c>
      <c r="M931" s="7">
        <v>0</v>
      </c>
      <c r="N931" s="7">
        <v>0</v>
      </c>
      <c r="O931" s="7">
        <v>0</v>
      </c>
      <c r="P931" s="7">
        <v>0</v>
      </c>
      <c r="Q931" s="7">
        <v>0</v>
      </c>
    </row>
    <row r="932" spans="1:17">
      <c r="A932" s="2">
        <v>2880</v>
      </c>
      <c r="B932" s="7">
        <v>0</v>
      </c>
      <c r="C932" s="7">
        <v>0</v>
      </c>
      <c r="D932" s="7">
        <v>0</v>
      </c>
      <c r="E932" s="7">
        <v>0</v>
      </c>
      <c r="F932" s="7">
        <v>0</v>
      </c>
      <c r="G932" s="7">
        <v>0</v>
      </c>
      <c r="H932" s="7">
        <v>0</v>
      </c>
      <c r="I932" s="7">
        <v>0</v>
      </c>
      <c r="J932" s="7">
        <v>0</v>
      </c>
      <c r="K932" s="7">
        <v>0</v>
      </c>
      <c r="L932" s="7">
        <v>0</v>
      </c>
      <c r="M932" s="7">
        <v>0</v>
      </c>
      <c r="N932" s="7">
        <v>0</v>
      </c>
      <c r="O932" s="7">
        <v>0</v>
      </c>
      <c r="P932" s="7">
        <v>0</v>
      </c>
      <c r="Q932" s="7">
        <v>0</v>
      </c>
    </row>
    <row r="933" spans="1:17">
      <c r="A933" s="2">
        <v>2881</v>
      </c>
      <c r="B933" s="7">
        <v>0</v>
      </c>
      <c r="C933" s="7">
        <v>0</v>
      </c>
      <c r="D933" s="7">
        <v>0</v>
      </c>
      <c r="E933" s="7">
        <v>0</v>
      </c>
      <c r="F933" s="7">
        <v>0</v>
      </c>
      <c r="G933" s="7">
        <v>0</v>
      </c>
      <c r="H933" s="7">
        <v>0</v>
      </c>
      <c r="I933" s="7">
        <v>0</v>
      </c>
      <c r="J933" s="7">
        <v>0</v>
      </c>
      <c r="K933" s="7">
        <v>0</v>
      </c>
      <c r="L933" s="7">
        <v>0</v>
      </c>
      <c r="M933" s="7">
        <v>0</v>
      </c>
      <c r="N933" s="7">
        <v>0</v>
      </c>
      <c r="O933" s="7">
        <v>0</v>
      </c>
      <c r="P933" s="7">
        <v>0</v>
      </c>
      <c r="Q933" s="7">
        <v>0</v>
      </c>
    </row>
    <row r="934" spans="1:17">
      <c r="A934" s="2">
        <v>2882</v>
      </c>
      <c r="B934" s="7">
        <v>0</v>
      </c>
      <c r="C934" s="7">
        <v>0</v>
      </c>
      <c r="D934" s="7">
        <v>0</v>
      </c>
      <c r="E934" s="7">
        <v>0</v>
      </c>
      <c r="F934" s="7">
        <v>0</v>
      </c>
      <c r="G934" s="7">
        <v>0</v>
      </c>
      <c r="H934" s="7">
        <v>0</v>
      </c>
      <c r="I934" s="7">
        <v>0</v>
      </c>
      <c r="J934" s="7">
        <v>0</v>
      </c>
      <c r="K934" s="7">
        <v>0</v>
      </c>
      <c r="L934" s="7">
        <v>0</v>
      </c>
      <c r="M934" s="7">
        <v>0</v>
      </c>
      <c r="N934" s="7">
        <v>0</v>
      </c>
      <c r="O934" s="7">
        <v>0</v>
      </c>
      <c r="P934" s="7">
        <v>0</v>
      </c>
      <c r="Q934" s="7">
        <v>0</v>
      </c>
    </row>
    <row r="935" spans="1:17">
      <c r="A935" s="2">
        <v>2883</v>
      </c>
      <c r="B935" s="7">
        <v>0</v>
      </c>
      <c r="C935" s="7">
        <v>0</v>
      </c>
      <c r="D935" s="7">
        <v>0</v>
      </c>
      <c r="E935" s="7">
        <v>0</v>
      </c>
      <c r="F935" s="7">
        <v>0</v>
      </c>
      <c r="G935" s="7">
        <v>0</v>
      </c>
      <c r="H935" s="7">
        <v>0</v>
      </c>
      <c r="I935" s="7">
        <v>0</v>
      </c>
      <c r="J935" s="7">
        <v>0</v>
      </c>
      <c r="K935" s="7">
        <v>0</v>
      </c>
      <c r="L935" s="7">
        <v>0</v>
      </c>
      <c r="M935" s="7">
        <v>0</v>
      </c>
      <c r="N935" s="7">
        <v>0</v>
      </c>
      <c r="O935" s="7">
        <v>0</v>
      </c>
      <c r="P935" s="7">
        <v>0</v>
      </c>
      <c r="Q935" s="7">
        <v>0</v>
      </c>
    </row>
    <row r="936" spans="1:17">
      <c r="A936" s="2">
        <v>2884</v>
      </c>
      <c r="B936" s="7">
        <v>0</v>
      </c>
      <c r="C936" s="7">
        <v>0</v>
      </c>
      <c r="D936" s="7">
        <v>0</v>
      </c>
      <c r="E936" s="7">
        <v>0</v>
      </c>
      <c r="F936" s="7">
        <v>0</v>
      </c>
      <c r="G936" s="7">
        <v>0</v>
      </c>
      <c r="H936" s="7">
        <v>0</v>
      </c>
      <c r="I936" s="7">
        <v>0</v>
      </c>
      <c r="J936" s="7">
        <v>0</v>
      </c>
      <c r="K936" s="7">
        <v>0</v>
      </c>
      <c r="L936" s="7">
        <v>0</v>
      </c>
      <c r="M936" s="7">
        <v>0</v>
      </c>
      <c r="N936" s="7">
        <v>0</v>
      </c>
      <c r="O936" s="7">
        <v>0</v>
      </c>
      <c r="P936" s="7">
        <v>0</v>
      </c>
      <c r="Q936" s="7">
        <v>0</v>
      </c>
    </row>
    <row r="937" spans="1:17">
      <c r="A937" s="2">
        <v>2885</v>
      </c>
      <c r="B937" s="7">
        <v>0</v>
      </c>
      <c r="C937" s="7">
        <v>0</v>
      </c>
      <c r="D937" s="7">
        <v>0</v>
      </c>
      <c r="E937" s="7">
        <v>0</v>
      </c>
      <c r="F937" s="7">
        <v>0</v>
      </c>
      <c r="G937" s="7">
        <v>0</v>
      </c>
      <c r="H937" s="7">
        <v>0</v>
      </c>
      <c r="I937" s="7">
        <v>0</v>
      </c>
      <c r="J937" s="7">
        <v>0</v>
      </c>
      <c r="K937" s="7">
        <v>0</v>
      </c>
      <c r="L937" s="7">
        <v>0</v>
      </c>
      <c r="M937" s="7">
        <v>0</v>
      </c>
      <c r="N937" s="7">
        <v>0</v>
      </c>
      <c r="O937" s="7">
        <v>0</v>
      </c>
      <c r="P937" s="7">
        <v>0</v>
      </c>
      <c r="Q937" s="7">
        <v>0</v>
      </c>
    </row>
    <row r="938" spans="1:17">
      <c r="A938" s="2">
        <v>2886</v>
      </c>
      <c r="B938" s="7">
        <v>0</v>
      </c>
      <c r="C938" s="7">
        <v>0</v>
      </c>
      <c r="D938" s="7">
        <v>0</v>
      </c>
      <c r="E938" s="7">
        <v>0</v>
      </c>
      <c r="F938" s="7">
        <v>0</v>
      </c>
      <c r="G938" s="7">
        <v>0</v>
      </c>
      <c r="H938" s="7">
        <v>0</v>
      </c>
      <c r="I938" s="7">
        <v>0</v>
      </c>
      <c r="J938" s="7">
        <v>0</v>
      </c>
      <c r="K938" s="7">
        <v>0</v>
      </c>
      <c r="L938" s="7">
        <v>0</v>
      </c>
      <c r="M938" s="7">
        <v>0</v>
      </c>
      <c r="N938" s="7">
        <v>0</v>
      </c>
      <c r="O938" s="7">
        <v>0</v>
      </c>
      <c r="P938" s="7">
        <v>0</v>
      </c>
      <c r="Q938" s="7">
        <v>0</v>
      </c>
    </row>
    <row r="939" spans="1:17">
      <c r="A939" s="2">
        <v>2887</v>
      </c>
      <c r="B939" s="7">
        <v>0</v>
      </c>
      <c r="C939" s="7">
        <v>0</v>
      </c>
      <c r="D939" s="7">
        <v>0</v>
      </c>
      <c r="E939" s="7">
        <v>0</v>
      </c>
      <c r="F939" s="7">
        <v>0</v>
      </c>
      <c r="G939" s="7">
        <v>0</v>
      </c>
      <c r="H939" s="7">
        <v>0</v>
      </c>
      <c r="I939" s="7">
        <v>0</v>
      </c>
      <c r="J939" s="7">
        <v>0</v>
      </c>
      <c r="K939" s="7">
        <v>0</v>
      </c>
      <c r="L939" s="7">
        <v>0</v>
      </c>
      <c r="M939" s="7">
        <v>0</v>
      </c>
      <c r="N939" s="7">
        <v>0</v>
      </c>
      <c r="O939" s="7">
        <v>0</v>
      </c>
      <c r="P939" s="7">
        <v>0</v>
      </c>
      <c r="Q939" s="7">
        <v>0</v>
      </c>
    </row>
    <row r="940" spans="1:17">
      <c r="A940" s="2">
        <v>2888</v>
      </c>
      <c r="B940" s="7">
        <v>0</v>
      </c>
      <c r="C940" s="7">
        <v>0</v>
      </c>
      <c r="D940" s="7">
        <v>0</v>
      </c>
      <c r="E940" s="7">
        <v>0</v>
      </c>
      <c r="F940" s="7">
        <v>0</v>
      </c>
      <c r="G940" s="7">
        <v>0</v>
      </c>
      <c r="H940" s="7">
        <v>0</v>
      </c>
      <c r="I940" s="7">
        <v>0</v>
      </c>
      <c r="J940" s="7">
        <v>0</v>
      </c>
      <c r="K940" s="7">
        <v>0</v>
      </c>
      <c r="L940" s="7">
        <v>0</v>
      </c>
      <c r="M940" s="7">
        <v>0</v>
      </c>
      <c r="N940" s="7">
        <v>0</v>
      </c>
      <c r="O940" s="7">
        <v>0</v>
      </c>
      <c r="P940" s="7">
        <v>0</v>
      </c>
      <c r="Q940" s="7">
        <v>0</v>
      </c>
    </row>
    <row r="941" spans="1:17">
      <c r="A941" s="2">
        <v>2889</v>
      </c>
      <c r="B941" s="7">
        <v>0</v>
      </c>
      <c r="C941" s="7">
        <v>0</v>
      </c>
      <c r="D941" s="7">
        <v>0</v>
      </c>
      <c r="E941" s="7">
        <v>0</v>
      </c>
      <c r="F941" s="7">
        <v>0</v>
      </c>
      <c r="G941" s="7">
        <v>0</v>
      </c>
      <c r="H941" s="7">
        <v>0</v>
      </c>
      <c r="I941" s="7">
        <v>0</v>
      </c>
      <c r="J941" s="7">
        <v>0</v>
      </c>
      <c r="K941" s="7">
        <v>0</v>
      </c>
      <c r="L941" s="7">
        <v>0</v>
      </c>
      <c r="M941" s="7">
        <v>0</v>
      </c>
      <c r="N941" s="7">
        <v>0</v>
      </c>
      <c r="O941" s="7">
        <v>0</v>
      </c>
      <c r="P941" s="7">
        <v>0</v>
      </c>
      <c r="Q941" s="7">
        <v>0</v>
      </c>
    </row>
    <row r="942" spans="1:17">
      <c r="A942" s="2">
        <v>2890</v>
      </c>
      <c r="B942" s="7">
        <v>0</v>
      </c>
      <c r="C942" s="7">
        <v>0</v>
      </c>
      <c r="D942" s="7">
        <v>0</v>
      </c>
      <c r="E942" s="7">
        <v>0</v>
      </c>
      <c r="F942" s="7">
        <v>0</v>
      </c>
      <c r="G942" s="7">
        <v>0</v>
      </c>
      <c r="H942" s="7">
        <v>0</v>
      </c>
      <c r="I942" s="7">
        <v>0</v>
      </c>
      <c r="J942" s="7">
        <v>0</v>
      </c>
      <c r="K942" s="7">
        <v>0</v>
      </c>
      <c r="L942" s="7">
        <v>0</v>
      </c>
      <c r="M942" s="7">
        <v>0</v>
      </c>
      <c r="N942" s="7">
        <v>0</v>
      </c>
      <c r="O942" s="7">
        <v>0</v>
      </c>
      <c r="P942" s="7">
        <v>0</v>
      </c>
      <c r="Q942" s="7">
        <v>0</v>
      </c>
    </row>
    <row r="943" spans="1:17">
      <c r="A943" s="2">
        <v>2891</v>
      </c>
      <c r="B943" s="7">
        <v>0</v>
      </c>
      <c r="C943" s="7">
        <v>0</v>
      </c>
      <c r="D943" s="7">
        <v>0</v>
      </c>
      <c r="E943" s="7">
        <v>0</v>
      </c>
      <c r="F943" s="7">
        <v>0</v>
      </c>
      <c r="G943" s="7">
        <v>0</v>
      </c>
      <c r="H943" s="7">
        <v>0</v>
      </c>
      <c r="I943" s="7">
        <v>0</v>
      </c>
      <c r="J943" s="7">
        <v>0</v>
      </c>
      <c r="K943" s="7">
        <v>0</v>
      </c>
      <c r="L943" s="7">
        <v>0</v>
      </c>
      <c r="M943" s="7">
        <v>0</v>
      </c>
      <c r="N943" s="7">
        <v>0</v>
      </c>
      <c r="O943" s="7">
        <v>0</v>
      </c>
      <c r="P943" s="7">
        <v>0</v>
      </c>
      <c r="Q943" s="7">
        <v>0</v>
      </c>
    </row>
    <row r="944" spans="1:17">
      <c r="A944" s="2">
        <v>2892</v>
      </c>
      <c r="B944" s="7">
        <v>0</v>
      </c>
      <c r="C944" s="7">
        <v>0</v>
      </c>
      <c r="D944" s="7">
        <v>0</v>
      </c>
      <c r="E944" s="7">
        <v>0</v>
      </c>
      <c r="F944" s="7">
        <v>0</v>
      </c>
      <c r="G944" s="7">
        <v>0</v>
      </c>
      <c r="H944" s="7">
        <v>0</v>
      </c>
      <c r="I944" s="7">
        <v>0</v>
      </c>
      <c r="J944" s="7">
        <v>0</v>
      </c>
      <c r="K944" s="7">
        <v>0</v>
      </c>
      <c r="L944" s="7">
        <v>0</v>
      </c>
      <c r="M944" s="7">
        <v>0</v>
      </c>
      <c r="N944" s="7">
        <v>0</v>
      </c>
      <c r="O944" s="7">
        <v>0</v>
      </c>
      <c r="P944" s="7">
        <v>0</v>
      </c>
      <c r="Q944" s="7">
        <v>0</v>
      </c>
    </row>
    <row r="945" spans="1:17">
      <c r="A945" s="2">
        <v>2893</v>
      </c>
      <c r="B945" s="7">
        <v>0</v>
      </c>
      <c r="C945" s="7">
        <v>0</v>
      </c>
      <c r="D945" s="7">
        <v>0</v>
      </c>
      <c r="E945" s="7">
        <v>0</v>
      </c>
      <c r="F945" s="7">
        <v>0</v>
      </c>
      <c r="G945" s="7">
        <v>0</v>
      </c>
      <c r="H945" s="7">
        <v>0</v>
      </c>
      <c r="I945" s="7">
        <v>0</v>
      </c>
      <c r="J945" s="7">
        <v>0</v>
      </c>
      <c r="K945" s="7">
        <v>0</v>
      </c>
      <c r="L945" s="7">
        <v>0</v>
      </c>
      <c r="M945" s="7">
        <v>0</v>
      </c>
      <c r="N945" s="7">
        <v>0</v>
      </c>
      <c r="O945" s="7">
        <v>0</v>
      </c>
      <c r="P945" s="7">
        <v>0</v>
      </c>
      <c r="Q945" s="7">
        <v>0</v>
      </c>
    </row>
    <row r="946" spans="1:17">
      <c r="A946" s="2">
        <v>2894</v>
      </c>
      <c r="B946" s="7">
        <v>0</v>
      </c>
      <c r="C946" s="7">
        <v>0</v>
      </c>
      <c r="D946" s="7">
        <v>0</v>
      </c>
      <c r="E946" s="7">
        <v>0</v>
      </c>
      <c r="F946" s="7">
        <v>0</v>
      </c>
      <c r="G946" s="7">
        <v>0</v>
      </c>
      <c r="H946" s="7">
        <v>0</v>
      </c>
      <c r="I946" s="7">
        <v>0</v>
      </c>
      <c r="J946" s="7">
        <v>0</v>
      </c>
      <c r="K946" s="7">
        <v>0</v>
      </c>
      <c r="L946" s="7">
        <v>0</v>
      </c>
      <c r="M946" s="7">
        <v>0</v>
      </c>
      <c r="N946" s="7">
        <v>0</v>
      </c>
      <c r="O946" s="7">
        <v>0</v>
      </c>
      <c r="P946" s="7">
        <v>0</v>
      </c>
      <c r="Q946" s="7">
        <v>0</v>
      </c>
    </row>
    <row r="947" spans="1:17">
      <c r="A947" s="2">
        <v>2895</v>
      </c>
      <c r="B947" s="7">
        <v>0</v>
      </c>
      <c r="C947" s="7">
        <v>0</v>
      </c>
      <c r="D947" s="7">
        <v>0</v>
      </c>
      <c r="E947" s="7">
        <v>0</v>
      </c>
      <c r="F947" s="7">
        <v>0</v>
      </c>
      <c r="G947" s="7">
        <v>0</v>
      </c>
      <c r="H947" s="7">
        <v>0</v>
      </c>
      <c r="I947" s="7">
        <v>0</v>
      </c>
      <c r="J947" s="7">
        <v>0</v>
      </c>
      <c r="K947" s="7">
        <v>0</v>
      </c>
      <c r="L947" s="7">
        <v>0</v>
      </c>
      <c r="M947" s="7">
        <v>0</v>
      </c>
      <c r="N947" s="7">
        <v>0</v>
      </c>
      <c r="O947" s="7">
        <v>0</v>
      </c>
      <c r="P947" s="7">
        <v>0</v>
      </c>
      <c r="Q947" s="7">
        <v>0</v>
      </c>
    </row>
    <row r="948" spans="1:17">
      <c r="A948" s="2">
        <v>2896</v>
      </c>
      <c r="B948" s="7">
        <v>0</v>
      </c>
      <c r="C948" s="7">
        <v>0</v>
      </c>
      <c r="D948" s="7">
        <v>0</v>
      </c>
      <c r="E948" s="7">
        <v>0</v>
      </c>
      <c r="F948" s="7">
        <v>0</v>
      </c>
      <c r="G948" s="7">
        <v>0</v>
      </c>
      <c r="H948" s="7">
        <v>0</v>
      </c>
      <c r="I948" s="7">
        <v>0</v>
      </c>
      <c r="J948" s="7">
        <v>0</v>
      </c>
      <c r="K948" s="7">
        <v>0</v>
      </c>
      <c r="L948" s="7">
        <v>0</v>
      </c>
      <c r="M948" s="7">
        <v>0</v>
      </c>
      <c r="N948" s="7">
        <v>0</v>
      </c>
      <c r="O948" s="7">
        <v>0</v>
      </c>
      <c r="P948" s="7">
        <v>0</v>
      </c>
      <c r="Q948" s="7">
        <v>0</v>
      </c>
    </row>
    <row r="949" spans="1:17">
      <c r="A949" s="2">
        <v>2897</v>
      </c>
      <c r="B949" s="7">
        <v>0</v>
      </c>
      <c r="C949" s="7">
        <v>0</v>
      </c>
      <c r="D949" s="7">
        <v>0</v>
      </c>
      <c r="E949" s="7">
        <v>0</v>
      </c>
      <c r="F949" s="7">
        <v>0</v>
      </c>
      <c r="G949" s="7">
        <v>0</v>
      </c>
      <c r="H949" s="7">
        <v>0</v>
      </c>
      <c r="I949" s="7">
        <v>0</v>
      </c>
      <c r="J949" s="7">
        <v>0</v>
      </c>
      <c r="K949" s="7">
        <v>0</v>
      </c>
      <c r="L949" s="7">
        <v>0</v>
      </c>
      <c r="M949" s="7">
        <v>0</v>
      </c>
      <c r="N949" s="7">
        <v>0</v>
      </c>
      <c r="O949" s="7">
        <v>0</v>
      </c>
      <c r="P949" s="7">
        <v>0</v>
      </c>
      <c r="Q949" s="7">
        <v>0</v>
      </c>
    </row>
    <row r="950" spans="1:17">
      <c r="A950" s="2">
        <v>2898</v>
      </c>
      <c r="B950" s="7">
        <v>0</v>
      </c>
      <c r="C950" s="7">
        <v>0</v>
      </c>
      <c r="D950" s="7">
        <v>0</v>
      </c>
      <c r="E950" s="7">
        <v>0</v>
      </c>
      <c r="F950" s="7">
        <v>0</v>
      </c>
      <c r="G950" s="7">
        <v>0</v>
      </c>
      <c r="H950" s="7">
        <v>0</v>
      </c>
      <c r="I950" s="7">
        <v>0</v>
      </c>
      <c r="J950" s="7">
        <v>0</v>
      </c>
      <c r="K950" s="7">
        <v>0</v>
      </c>
      <c r="L950" s="7">
        <v>0</v>
      </c>
      <c r="M950" s="7">
        <v>0</v>
      </c>
      <c r="N950" s="7">
        <v>0</v>
      </c>
      <c r="O950" s="7">
        <v>0</v>
      </c>
      <c r="P950" s="7">
        <v>0</v>
      </c>
      <c r="Q950" s="7">
        <v>0</v>
      </c>
    </row>
    <row r="951" spans="1:17">
      <c r="A951" s="2">
        <v>2899</v>
      </c>
      <c r="B951" s="7">
        <v>0</v>
      </c>
      <c r="C951" s="7">
        <v>0</v>
      </c>
      <c r="D951" s="7">
        <v>0</v>
      </c>
      <c r="E951" s="7">
        <v>0</v>
      </c>
      <c r="F951" s="7">
        <v>0</v>
      </c>
      <c r="G951" s="7">
        <v>0</v>
      </c>
      <c r="H951" s="7">
        <v>0</v>
      </c>
      <c r="I951" s="7">
        <v>0</v>
      </c>
      <c r="J951" s="7">
        <v>0</v>
      </c>
      <c r="K951" s="7">
        <v>0</v>
      </c>
      <c r="L951" s="7">
        <v>0</v>
      </c>
      <c r="M951" s="7">
        <v>0</v>
      </c>
      <c r="N951" s="7">
        <v>0</v>
      </c>
      <c r="O951" s="7">
        <v>0</v>
      </c>
      <c r="P951" s="7">
        <v>0</v>
      </c>
      <c r="Q951" s="7">
        <v>0</v>
      </c>
    </row>
    <row r="952" spans="1:17">
      <c r="A952" s="2">
        <v>2900</v>
      </c>
      <c r="B952" s="7">
        <v>0</v>
      </c>
      <c r="C952" s="7">
        <v>0</v>
      </c>
      <c r="D952" s="7">
        <v>0</v>
      </c>
      <c r="E952" s="7">
        <v>0</v>
      </c>
      <c r="F952" s="7">
        <v>0</v>
      </c>
      <c r="G952" s="7">
        <v>0</v>
      </c>
      <c r="H952" s="7">
        <v>0</v>
      </c>
      <c r="I952" s="7">
        <v>0</v>
      </c>
      <c r="J952" s="7">
        <v>0</v>
      </c>
      <c r="K952" s="7">
        <v>0</v>
      </c>
      <c r="L952" s="7">
        <v>0</v>
      </c>
      <c r="M952" s="7">
        <v>0</v>
      </c>
      <c r="N952" s="7">
        <v>0</v>
      </c>
      <c r="O952" s="7">
        <v>0</v>
      </c>
      <c r="P952" s="7">
        <v>0</v>
      </c>
      <c r="Q952" s="7">
        <v>0</v>
      </c>
    </row>
    <row r="953" spans="1:17">
      <c r="A953" s="2">
        <v>2901</v>
      </c>
      <c r="B953" s="7">
        <v>0</v>
      </c>
      <c r="C953" s="7">
        <v>0</v>
      </c>
      <c r="D953" s="7">
        <v>0</v>
      </c>
      <c r="E953" s="7">
        <v>0</v>
      </c>
      <c r="F953" s="7">
        <v>0</v>
      </c>
      <c r="G953" s="7">
        <v>0</v>
      </c>
      <c r="H953" s="7">
        <v>0</v>
      </c>
      <c r="I953" s="7">
        <v>0</v>
      </c>
      <c r="J953" s="7">
        <v>0</v>
      </c>
      <c r="K953" s="7">
        <v>0</v>
      </c>
      <c r="L953" s="7">
        <v>0</v>
      </c>
      <c r="M953" s="7">
        <v>0</v>
      </c>
      <c r="N953" s="7">
        <v>0</v>
      </c>
      <c r="O953" s="7">
        <v>0</v>
      </c>
      <c r="P953" s="7">
        <v>0</v>
      </c>
      <c r="Q953" s="7">
        <v>0</v>
      </c>
    </row>
    <row r="954" spans="1:17">
      <c r="A954" s="2">
        <v>2902</v>
      </c>
      <c r="B954" s="7">
        <v>0</v>
      </c>
      <c r="C954" s="7">
        <v>0</v>
      </c>
      <c r="D954" s="7">
        <v>0</v>
      </c>
      <c r="E954" s="7">
        <v>0</v>
      </c>
      <c r="F954" s="7">
        <v>0</v>
      </c>
      <c r="G954" s="7">
        <v>0</v>
      </c>
      <c r="H954" s="7">
        <v>0</v>
      </c>
      <c r="I954" s="7">
        <v>0</v>
      </c>
      <c r="J954" s="7">
        <v>0</v>
      </c>
      <c r="K954" s="7">
        <v>0</v>
      </c>
      <c r="L954" s="7">
        <v>0</v>
      </c>
      <c r="M954" s="7">
        <v>0</v>
      </c>
      <c r="N954" s="7">
        <v>0</v>
      </c>
      <c r="O954" s="7">
        <v>0</v>
      </c>
      <c r="P954" s="7">
        <v>0</v>
      </c>
      <c r="Q954" s="7">
        <v>0</v>
      </c>
    </row>
    <row r="955" spans="1:17">
      <c r="A955" s="2">
        <v>2903</v>
      </c>
      <c r="B955" s="7">
        <v>0</v>
      </c>
      <c r="C955" s="7">
        <v>0</v>
      </c>
      <c r="D955" s="7">
        <v>0</v>
      </c>
      <c r="E955" s="7">
        <v>0</v>
      </c>
      <c r="F955" s="7">
        <v>0</v>
      </c>
      <c r="G955" s="7">
        <v>0</v>
      </c>
      <c r="H955" s="7">
        <v>0</v>
      </c>
      <c r="I955" s="7">
        <v>0</v>
      </c>
      <c r="J955" s="7">
        <v>0</v>
      </c>
      <c r="K955" s="7">
        <v>0</v>
      </c>
      <c r="L955" s="7">
        <v>0</v>
      </c>
      <c r="M955" s="7">
        <v>0</v>
      </c>
      <c r="N955" s="7">
        <v>0</v>
      </c>
      <c r="O955" s="7">
        <v>0</v>
      </c>
      <c r="P955" s="7">
        <v>0</v>
      </c>
      <c r="Q955" s="7">
        <v>0</v>
      </c>
    </row>
    <row r="956" spans="1:17">
      <c r="A956" s="2">
        <v>2904</v>
      </c>
      <c r="B956" s="7">
        <v>0</v>
      </c>
      <c r="C956" s="7">
        <v>0</v>
      </c>
      <c r="D956" s="7">
        <v>0</v>
      </c>
      <c r="E956" s="7">
        <v>0</v>
      </c>
      <c r="F956" s="7">
        <v>0</v>
      </c>
      <c r="G956" s="7">
        <v>0</v>
      </c>
      <c r="H956" s="7">
        <v>0</v>
      </c>
      <c r="I956" s="7">
        <v>0</v>
      </c>
      <c r="J956" s="7">
        <v>0</v>
      </c>
      <c r="K956" s="7">
        <v>0</v>
      </c>
      <c r="L956" s="7">
        <v>0</v>
      </c>
      <c r="M956" s="7">
        <v>0</v>
      </c>
      <c r="N956" s="7">
        <v>0</v>
      </c>
      <c r="O956" s="7">
        <v>0</v>
      </c>
      <c r="P956" s="7">
        <v>0</v>
      </c>
      <c r="Q956" s="7">
        <v>0</v>
      </c>
    </row>
    <row r="957" spans="1:17">
      <c r="A957" s="2">
        <v>2905</v>
      </c>
      <c r="B957" s="7">
        <v>0</v>
      </c>
      <c r="C957" s="7">
        <v>0</v>
      </c>
      <c r="D957" s="7">
        <v>0</v>
      </c>
      <c r="E957" s="7">
        <v>0</v>
      </c>
      <c r="F957" s="7">
        <v>0</v>
      </c>
      <c r="G957" s="7">
        <v>0</v>
      </c>
      <c r="H957" s="7">
        <v>0</v>
      </c>
      <c r="I957" s="7">
        <v>0</v>
      </c>
      <c r="J957" s="7">
        <v>0</v>
      </c>
      <c r="K957" s="7">
        <v>0</v>
      </c>
      <c r="L957" s="7">
        <v>0</v>
      </c>
      <c r="M957" s="7">
        <v>0</v>
      </c>
      <c r="N957" s="7">
        <v>0</v>
      </c>
      <c r="O957" s="7">
        <v>0</v>
      </c>
      <c r="P957" s="7">
        <v>0</v>
      </c>
      <c r="Q957" s="7">
        <v>0</v>
      </c>
    </row>
    <row r="958" spans="1:17">
      <c r="A958" s="2">
        <v>2906</v>
      </c>
      <c r="B958" s="7">
        <v>0</v>
      </c>
      <c r="C958" s="7">
        <v>0</v>
      </c>
      <c r="D958" s="7">
        <v>0</v>
      </c>
      <c r="E958" s="7">
        <v>0</v>
      </c>
      <c r="F958" s="7">
        <v>0</v>
      </c>
      <c r="G958" s="7">
        <v>0</v>
      </c>
      <c r="H958" s="7">
        <v>0</v>
      </c>
      <c r="I958" s="7">
        <v>0</v>
      </c>
      <c r="J958" s="7">
        <v>0</v>
      </c>
      <c r="K958" s="7">
        <v>0</v>
      </c>
      <c r="L958" s="7">
        <v>0</v>
      </c>
      <c r="M958" s="7">
        <v>0</v>
      </c>
      <c r="N958" s="7">
        <v>0</v>
      </c>
      <c r="O958" s="7">
        <v>0</v>
      </c>
      <c r="P958" s="7">
        <v>0</v>
      </c>
      <c r="Q958" s="7">
        <v>0</v>
      </c>
    </row>
    <row r="959" spans="1:17">
      <c r="A959" s="2">
        <v>2907</v>
      </c>
      <c r="B959" s="7">
        <v>0</v>
      </c>
      <c r="C959" s="7">
        <v>0</v>
      </c>
      <c r="D959" s="7">
        <v>0</v>
      </c>
      <c r="E959" s="7">
        <v>0</v>
      </c>
      <c r="F959" s="7">
        <v>0</v>
      </c>
      <c r="G959" s="7">
        <v>0</v>
      </c>
      <c r="H959" s="7">
        <v>0</v>
      </c>
      <c r="I959" s="7">
        <v>0</v>
      </c>
      <c r="J959" s="7">
        <v>0</v>
      </c>
      <c r="K959" s="7">
        <v>0</v>
      </c>
      <c r="L959" s="7">
        <v>0</v>
      </c>
      <c r="M959" s="7">
        <v>0</v>
      </c>
      <c r="N959" s="7">
        <v>0</v>
      </c>
      <c r="O959" s="7">
        <v>0</v>
      </c>
      <c r="P959" s="7">
        <v>0</v>
      </c>
      <c r="Q959" s="7">
        <v>0</v>
      </c>
    </row>
    <row r="960" spans="1:17">
      <c r="A960" s="2">
        <v>2908</v>
      </c>
      <c r="B960" s="7">
        <v>0</v>
      </c>
      <c r="C960" s="7">
        <v>0</v>
      </c>
      <c r="D960" s="7">
        <v>0</v>
      </c>
      <c r="E960" s="7">
        <v>0</v>
      </c>
      <c r="F960" s="7">
        <v>0</v>
      </c>
      <c r="G960" s="7">
        <v>0</v>
      </c>
      <c r="H960" s="7">
        <v>0</v>
      </c>
      <c r="I960" s="7">
        <v>0</v>
      </c>
      <c r="J960" s="7">
        <v>0</v>
      </c>
      <c r="K960" s="7">
        <v>0</v>
      </c>
      <c r="L960" s="7">
        <v>0</v>
      </c>
      <c r="M960" s="7">
        <v>0</v>
      </c>
      <c r="N960" s="7">
        <v>0</v>
      </c>
      <c r="O960" s="7">
        <v>0</v>
      </c>
      <c r="P960" s="7">
        <v>0</v>
      </c>
      <c r="Q960" s="7">
        <v>0</v>
      </c>
    </row>
    <row r="961" spans="1:17">
      <c r="A961" s="2">
        <v>2909</v>
      </c>
      <c r="B961" s="7">
        <v>0</v>
      </c>
      <c r="C961" s="7">
        <v>0</v>
      </c>
      <c r="D961" s="7">
        <v>0</v>
      </c>
      <c r="E961" s="7">
        <v>0</v>
      </c>
      <c r="F961" s="7">
        <v>0</v>
      </c>
      <c r="G961" s="7">
        <v>0</v>
      </c>
      <c r="H961" s="7">
        <v>0</v>
      </c>
      <c r="I961" s="7">
        <v>0</v>
      </c>
      <c r="J961" s="7">
        <v>0</v>
      </c>
      <c r="K961" s="7">
        <v>0</v>
      </c>
      <c r="L961" s="7">
        <v>0</v>
      </c>
      <c r="M961" s="7">
        <v>0</v>
      </c>
      <c r="N961" s="7">
        <v>0</v>
      </c>
      <c r="O961" s="7">
        <v>0</v>
      </c>
      <c r="P961" s="7">
        <v>0</v>
      </c>
      <c r="Q961" s="7">
        <v>0</v>
      </c>
    </row>
    <row r="962" spans="1:17">
      <c r="A962" s="2">
        <v>2910</v>
      </c>
      <c r="B962" s="7">
        <v>0</v>
      </c>
      <c r="C962" s="7">
        <v>0</v>
      </c>
      <c r="D962" s="7">
        <v>0</v>
      </c>
      <c r="E962" s="7">
        <v>0</v>
      </c>
      <c r="F962" s="7">
        <v>0</v>
      </c>
      <c r="G962" s="7">
        <v>0</v>
      </c>
      <c r="H962" s="7">
        <v>0</v>
      </c>
      <c r="I962" s="7">
        <v>0</v>
      </c>
      <c r="J962" s="7">
        <v>0</v>
      </c>
      <c r="K962" s="7">
        <v>0</v>
      </c>
      <c r="L962" s="7">
        <v>0</v>
      </c>
      <c r="M962" s="7">
        <v>0</v>
      </c>
      <c r="N962" s="7">
        <v>0</v>
      </c>
      <c r="O962" s="7">
        <v>0</v>
      </c>
      <c r="P962" s="7">
        <v>0</v>
      </c>
      <c r="Q962" s="7">
        <v>0</v>
      </c>
    </row>
    <row r="963" spans="1:17">
      <c r="A963" s="2">
        <v>2911</v>
      </c>
      <c r="B963" s="7">
        <v>0</v>
      </c>
      <c r="C963" s="7">
        <v>0</v>
      </c>
      <c r="D963" s="7">
        <v>0</v>
      </c>
      <c r="E963" s="7">
        <v>0</v>
      </c>
      <c r="F963" s="7">
        <v>0</v>
      </c>
      <c r="G963" s="7">
        <v>0</v>
      </c>
      <c r="H963" s="7">
        <v>0</v>
      </c>
      <c r="I963" s="7">
        <v>0</v>
      </c>
      <c r="J963" s="7">
        <v>0</v>
      </c>
      <c r="K963" s="7">
        <v>0</v>
      </c>
      <c r="L963" s="7">
        <v>0</v>
      </c>
      <c r="M963" s="7">
        <v>0</v>
      </c>
      <c r="N963" s="7">
        <v>0</v>
      </c>
      <c r="O963" s="7">
        <v>0</v>
      </c>
      <c r="P963" s="7">
        <v>0</v>
      </c>
      <c r="Q963" s="7">
        <v>0</v>
      </c>
    </row>
    <row r="964" spans="1:17">
      <c r="A964" s="2">
        <v>2912</v>
      </c>
      <c r="B964" s="7">
        <v>0</v>
      </c>
      <c r="C964" s="7">
        <v>0</v>
      </c>
      <c r="D964" s="7">
        <v>0</v>
      </c>
      <c r="E964" s="7">
        <v>0</v>
      </c>
      <c r="F964" s="7">
        <v>0</v>
      </c>
      <c r="G964" s="7">
        <v>0</v>
      </c>
      <c r="H964" s="7">
        <v>0</v>
      </c>
      <c r="I964" s="7">
        <v>0</v>
      </c>
      <c r="J964" s="7">
        <v>0</v>
      </c>
      <c r="K964" s="7">
        <v>0</v>
      </c>
      <c r="L964" s="7">
        <v>0</v>
      </c>
      <c r="M964" s="7">
        <v>0</v>
      </c>
      <c r="N964" s="7">
        <v>0</v>
      </c>
      <c r="O964" s="7">
        <v>0</v>
      </c>
      <c r="P964" s="7">
        <v>0</v>
      </c>
      <c r="Q964" s="7">
        <v>0</v>
      </c>
    </row>
    <row r="965" spans="1:17">
      <c r="A965" s="2">
        <v>2913</v>
      </c>
      <c r="B965" s="7">
        <v>0</v>
      </c>
      <c r="C965" s="7">
        <v>0</v>
      </c>
      <c r="D965" s="7">
        <v>0</v>
      </c>
      <c r="E965" s="7">
        <v>0</v>
      </c>
      <c r="F965" s="7">
        <v>0</v>
      </c>
      <c r="G965" s="7">
        <v>0</v>
      </c>
      <c r="H965" s="7">
        <v>0</v>
      </c>
      <c r="I965" s="7">
        <v>0</v>
      </c>
      <c r="J965" s="7">
        <v>0</v>
      </c>
      <c r="K965" s="7">
        <v>0</v>
      </c>
      <c r="L965" s="7">
        <v>0</v>
      </c>
      <c r="M965" s="7">
        <v>0</v>
      </c>
      <c r="N965" s="7">
        <v>0</v>
      </c>
      <c r="O965" s="7">
        <v>0</v>
      </c>
      <c r="P965" s="7">
        <v>0</v>
      </c>
      <c r="Q965" s="7">
        <v>0</v>
      </c>
    </row>
    <row r="966" spans="1:17">
      <c r="A966" s="2">
        <v>2914</v>
      </c>
      <c r="B966" s="7">
        <v>0</v>
      </c>
      <c r="C966" s="7">
        <v>0</v>
      </c>
      <c r="D966" s="7">
        <v>0</v>
      </c>
      <c r="E966" s="7">
        <v>0</v>
      </c>
      <c r="F966" s="7">
        <v>0</v>
      </c>
      <c r="G966" s="7">
        <v>0</v>
      </c>
      <c r="H966" s="7">
        <v>0</v>
      </c>
      <c r="I966" s="7">
        <v>0</v>
      </c>
      <c r="J966" s="7">
        <v>0</v>
      </c>
      <c r="K966" s="7">
        <v>0</v>
      </c>
      <c r="L966" s="7">
        <v>0</v>
      </c>
      <c r="M966" s="7">
        <v>0</v>
      </c>
      <c r="N966" s="7">
        <v>0</v>
      </c>
      <c r="O966" s="7">
        <v>0</v>
      </c>
      <c r="P966" s="7">
        <v>0</v>
      </c>
      <c r="Q966" s="7">
        <v>0</v>
      </c>
    </row>
    <row r="967" spans="1:17">
      <c r="A967" s="2">
        <v>2915</v>
      </c>
      <c r="B967" s="7">
        <v>0</v>
      </c>
      <c r="C967" s="7">
        <v>0</v>
      </c>
      <c r="D967" s="7">
        <v>0</v>
      </c>
      <c r="E967" s="7">
        <v>0</v>
      </c>
      <c r="F967" s="7">
        <v>0</v>
      </c>
      <c r="G967" s="7">
        <v>0</v>
      </c>
      <c r="H967" s="7">
        <v>0</v>
      </c>
      <c r="I967" s="7">
        <v>0</v>
      </c>
      <c r="J967" s="7">
        <v>0</v>
      </c>
      <c r="K967" s="7">
        <v>0</v>
      </c>
      <c r="L967" s="7">
        <v>0</v>
      </c>
      <c r="M967" s="7">
        <v>0</v>
      </c>
      <c r="N967" s="7">
        <v>0</v>
      </c>
      <c r="O967" s="7">
        <v>0</v>
      </c>
      <c r="P967" s="7">
        <v>0</v>
      </c>
      <c r="Q967" s="7">
        <v>0</v>
      </c>
    </row>
    <row r="968" spans="1:17">
      <c r="A968" s="2">
        <v>2916</v>
      </c>
      <c r="B968" s="7">
        <v>0</v>
      </c>
      <c r="C968" s="7">
        <v>0</v>
      </c>
      <c r="D968" s="7">
        <v>0</v>
      </c>
      <c r="E968" s="7">
        <v>0</v>
      </c>
      <c r="F968" s="7">
        <v>0</v>
      </c>
      <c r="G968" s="7">
        <v>0</v>
      </c>
      <c r="H968" s="7">
        <v>0</v>
      </c>
      <c r="I968" s="7">
        <v>0</v>
      </c>
      <c r="J968" s="7">
        <v>0</v>
      </c>
      <c r="K968" s="7">
        <v>0</v>
      </c>
      <c r="L968" s="7">
        <v>0</v>
      </c>
      <c r="M968" s="7">
        <v>0</v>
      </c>
      <c r="N968" s="7">
        <v>0</v>
      </c>
      <c r="O968" s="7">
        <v>0</v>
      </c>
      <c r="P968" s="7">
        <v>0</v>
      </c>
      <c r="Q968" s="7">
        <v>0</v>
      </c>
    </row>
    <row r="969" spans="1:17">
      <c r="A969" s="2">
        <v>2917</v>
      </c>
      <c r="B969" s="7">
        <v>0</v>
      </c>
      <c r="C969" s="7">
        <v>0</v>
      </c>
      <c r="D969" s="7">
        <v>0</v>
      </c>
      <c r="E969" s="7">
        <v>0</v>
      </c>
      <c r="F969" s="7">
        <v>0</v>
      </c>
      <c r="G969" s="7">
        <v>0</v>
      </c>
      <c r="H969" s="7">
        <v>0</v>
      </c>
      <c r="I969" s="7">
        <v>0</v>
      </c>
      <c r="J969" s="7">
        <v>0</v>
      </c>
      <c r="K969" s="7">
        <v>0</v>
      </c>
      <c r="L969" s="7">
        <v>0</v>
      </c>
      <c r="M969" s="7">
        <v>0</v>
      </c>
      <c r="N969" s="7">
        <v>0</v>
      </c>
      <c r="O969" s="7">
        <v>0</v>
      </c>
      <c r="P969" s="7">
        <v>0</v>
      </c>
      <c r="Q969" s="7">
        <v>0</v>
      </c>
    </row>
    <row r="970" spans="1:17">
      <c r="A970" s="2">
        <v>2918</v>
      </c>
      <c r="B970" s="7">
        <v>0</v>
      </c>
      <c r="C970" s="7">
        <v>0</v>
      </c>
      <c r="D970" s="7">
        <v>0</v>
      </c>
      <c r="E970" s="7">
        <v>0</v>
      </c>
      <c r="F970" s="7">
        <v>0</v>
      </c>
      <c r="G970" s="7">
        <v>0</v>
      </c>
      <c r="H970" s="7">
        <v>0</v>
      </c>
      <c r="I970" s="7">
        <v>0</v>
      </c>
      <c r="J970" s="7">
        <v>0</v>
      </c>
      <c r="K970" s="7">
        <v>0</v>
      </c>
      <c r="L970" s="7">
        <v>0</v>
      </c>
      <c r="M970" s="7">
        <v>0</v>
      </c>
      <c r="N970" s="7">
        <v>0</v>
      </c>
      <c r="O970" s="7">
        <v>0</v>
      </c>
      <c r="P970" s="7">
        <v>0</v>
      </c>
      <c r="Q970" s="7">
        <v>0</v>
      </c>
    </row>
    <row r="971" spans="1:17">
      <c r="A971" s="2">
        <v>2919</v>
      </c>
      <c r="B971" s="7">
        <v>0</v>
      </c>
      <c r="C971" s="7">
        <v>0</v>
      </c>
      <c r="D971" s="7">
        <v>0</v>
      </c>
      <c r="E971" s="7">
        <v>0</v>
      </c>
      <c r="F971" s="7">
        <v>0</v>
      </c>
      <c r="G971" s="7">
        <v>0</v>
      </c>
      <c r="H971" s="7">
        <v>0</v>
      </c>
      <c r="I971" s="7">
        <v>0</v>
      </c>
      <c r="J971" s="7">
        <v>0</v>
      </c>
      <c r="K971" s="7">
        <v>0</v>
      </c>
      <c r="L971" s="7">
        <v>0</v>
      </c>
      <c r="M971" s="7">
        <v>0</v>
      </c>
      <c r="N971" s="7">
        <v>0</v>
      </c>
      <c r="O971" s="7">
        <v>0</v>
      </c>
      <c r="P971" s="7">
        <v>0</v>
      </c>
      <c r="Q971" s="7">
        <v>0</v>
      </c>
    </row>
    <row r="972" spans="1:17">
      <c r="A972" s="2">
        <v>2920</v>
      </c>
      <c r="B972" s="7">
        <v>0</v>
      </c>
      <c r="C972" s="7">
        <v>0</v>
      </c>
      <c r="D972" s="7">
        <v>0</v>
      </c>
      <c r="E972" s="7">
        <v>0</v>
      </c>
      <c r="F972" s="7">
        <v>0</v>
      </c>
      <c r="G972" s="7">
        <v>0</v>
      </c>
      <c r="H972" s="7">
        <v>0</v>
      </c>
      <c r="I972" s="7">
        <v>0</v>
      </c>
      <c r="J972" s="7">
        <v>0</v>
      </c>
      <c r="K972" s="7">
        <v>0</v>
      </c>
      <c r="L972" s="7">
        <v>0</v>
      </c>
      <c r="M972" s="7">
        <v>0</v>
      </c>
      <c r="N972" s="7">
        <v>0</v>
      </c>
      <c r="O972" s="7">
        <v>0</v>
      </c>
      <c r="P972" s="7">
        <v>0</v>
      </c>
      <c r="Q972" s="7">
        <v>0</v>
      </c>
    </row>
    <row r="973" spans="1:17">
      <c r="A973" s="2">
        <v>2921</v>
      </c>
      <c r="B973" s="7">
        <v>0</v>
      </c>
      <c r="C973" s="7">
        <v>0</v>
      </c>
      <c r="D973" s="7">
        <v>0</v>
      </c>
      <c r="E973" s="7">
        <v>0</v>
      </c>
      <c r="F973" s="7">
        <v>0</v>
      </c>
      <c r="G973" s="7">
        <v>0</v>
      </c>
      <c r="H973" s="7">
        <v>0</v>
      </c>
      <c r="I973" s="7">
        <v>0</v>
      </c>
      <c r="J973" s="7">
        <v>0</v>
      </c>
      <c r="K973" s="7">
        <v>0</v>
      </c>
      <c r="L973" s="7">
        <v>0</v>
      </c>
      <c r="M973" s="7">
        <v>0</v>
      </c>
      <c r="N973" s="7">
        <v>0</v>
      </c>
      <c r="O973" s="7">
        <v>0</v>
      </c>
      <c r="P973" s="7">
        <v>0</v>
      </c>
      <c r="Q973" s="7">
        <v>0</v>
      </c>
    </row>
    <row r="974" spans="1:17">
      <c r="A974" s="2">
        <v>2922</v>
      </c>
      <c r="B974" s="7">
        <v>0</v>
      </c>
      <c r="C974" s="7">
        <v>0</v>
      </c>
      <c r="D974" s="7">
        <v>0</v>
      </c>
      <c r="E974" s="7">
        <v>0</v>
      </c>
      <c r="F974" s="7">
        <v>0</v>
      </c>
      <c r="G974" s="7">
        <v>0</v>
      </c>
      <c r="H974" s="7">
        <v>0</v>
      </c>
      <c r="I974" s="7">
        <v>0</v>
      </c>
      <c r="J974" s="7">
        <v>0</v>
      </c>
      <c r="K974" s="7">
        <v>0</v>
      </c>
      <c r="L974" s="7">
        <v>0</v>
      </c>
      <c r="M974" s="7">
        <v>0</v>
      </c>
      <c r="N974" s="7">
        <v>0</v>
      </c>
      <c r="O974" s="7">
        <v>0</v>
      </c>
      <c r="P974" s="7">
        <v>0</v>
      </c>
      <c r="Q974" s="7">
        <v>0</v>
      </c>
    </row>
    <row r="975" spans="1:17">
      <c r="A975" s="2">
        <v>2923</v>
      </c>
      <c r="B975" s="7">
        <v>0</v>
      </c>
      <c r="C975" s="7">
        <v>0</v>
      </c>
      <c r="D975" s="7">
        <v>0</v>
      </c>
      <c r="E975" s="7">
        <v>0</v>
      </c>
      <c r="F975" s="7">
        <v>0</v>
      </c>
      <c r="G975" s="7">
        <v>0</v>
      </c>
      <c r="H975" s="7">
        <v>0</v>
      </c>
      <c r="I975" s="7">
        <v>0</v>
      </c>
      <c r="J975" s="7">
        <v>0</v>
      </c>
      <c r="K975" s="7">
        <v>0</v>
      </c>
      <c r="L975" s="7">
        <v>0</v>
      </c>
      <c r="M975" s="7">
        <v>0</v>
      </c>
      <c r="N975" s="7">
        <v>0</v>
      </c>
      <c r="O975" s="7">
        <v>0</v>
      </c>
      <c r="P975" s="7">
        <v>0</v>
      </c>
      <c r="Q975" s="7">
        <v>0</v>
      </c>
    </row>
    <row r="976" spans="1:17">
      <c r="A976" s="2">
        <v>2924</v>
      </c>
      <c r="B976" s="7">
        <v>0</v>
      </c>
      <c r="C976" s="7">
        <v>0</v>
      </c>
      <c r="D976" s="7">
        <v>0</v>
      </c>
      <c r="E976" s="7">
        <v>0</v>
      </c>
      <c r="F976" s="7">
        <v>0</v>
      </c>
      <c r="G976" s="7">
        <v>0</v>
      </c>
      <c r="H976" s="7">
        <v>0</v>
      </c>
      <c r="I976" s="7">
        <v>0</v>
      </c>
      <c r="J976" s="7">
        <v>0</v>
      </c>
      <c r="K976" s="7">
        <v>0</v>
      </c>
      <c r="L976" s="7">
        <v>0</v>
      </c>
      <c r="M976" s="7">
        <v>0</v>
      </c>
      <c r="N976" s="7">
        <v>0</v>
      </c>
      <c r="O976" s="7">
        <v>0</v>
      </c>
      <c r="P976" s="7">
        <v>0</v>
      </c>
      <c r="Q976" s="7">
        <v>0</v>
      </c>
    </row>
    <row r="977" spans="1:17">
      <c r="A977" s="2">
        <v>2925</v>
      </c>
      <c r="B977" s="7">
        <v>0</v>
      </c>
      <c r="C977" s="7">
        <v>0</v>
      </c>
      <c r="D977" s="7">
        <v>0</v>
      </c>
      <c r="E977" s="7">
        <v>0</v>
      </c>
      <c r="F977" s="7">
        <v>0</v>
      </c>
      <c r="G977" s="7">
        <v>0</v>
      </c>
      <c r="H977" s="7">
        <v>0</v>
      </c>
      <c r="I977" s="7">
        <v>0</v>
      </c>
      <c r="J977" s="7">
        <v>0</v>
      </c>
      <c r="K977" s="7">
        <v>0</v>
      </c>
      <c r="L977" s="7">
        <v>0</v>
      </c>
      <c r="M977" s="7">
        <v>0</v>
      </c>
      <c r="N977" s="7">
        <v>0</v>
      </c>
      <c r="O977" s="7">
        <v>0</v>
      </c>
      <c r="P977" s="7">
        <v>0</v>
      </c>
      <c r="Q977" s="7">
        <v>0</v>
      </c>
    </row>
    <row r="978" spans="1:17">
      <c r="A978" s="2">
        <v>2926</v>
      </c>
      <c r="B978" s="7">
        <v>0</v>
      </c>
      <c r="C978" s="7">
        <v>0</v>
      </c>
      <c r="D978" s="7">
        <v>0</v>
      </c>
      <c r="E978" s="7">
        <v>0</v>
      </c>
      <c r="F978" s="7">
        <v>0</v>
      </c>
      <c r="G978" s="7">
        <v>0</v>
      </c>
      <c r="H978" s="7">
        <v>0</v>
      </c>
      <c r="I978" s="7">
        <v>0</v>
      </c>
      <c r="J978" s="7">
        <v>0</v>
      </c>
      <c r="K978" s="7">
        <v>0</v>
      </c>
      <c r="L978" s="7">
        <v>0</v>
      </c>
      <c r="M978" s="7">
        <v>0</v>
      </c>
      <c r="N978" s="7">
        <v>0</v>
      </c>
      <c r="O978" s="7">
        <v>0</v>
      </c>
      <c r="P978" s="7">
        <v>0</v>
      </c>
      <c r="Q978" s="7">
        <v>0</v>
      </c>
    </row>
    <row r="979" spans="1:17">
      <c r="A979" s="2">
        <v>2927</v>
      </c>
      <c r="B979" s="7">
        <v>0</v>
      </c>
      <c r="C979" s="7">
        <v>0</v>
      </c>
      <c r="D979" s="7">
        <v>0</v>
      </c>
      <c r="E979" s="7">
        <v>0</v>
      </c>
      <c r="F979" s="7">
        <v>0</v>
      </c>
      <c r="G979" s="7">
        <v>0</v>
      </c>
      <c r="H979" s="7">
        <v>0</v>
      </c>
      <c r="I979" s="7">
        <v>0</v>
      </c>
      <c r="J979" s="7">
        <v>0</v>
      </c>
      <c r="K979" s="7">
        <v>0</v>
      </c>
      <c r="L979" s="7">
        <v>0</v>
      </c>
      <c r="M979" s="7">
        <v>0</v>
      </c>
      <c r="N979" s="7">
        <v>0</v>
      </c>
      <c r="O979" s="7">
        <v>0</v>
      </c>
      <c r="P979" s="7">
        <v>0</v>
      </c>
      <c r="Q979" s="7">
        <v>0</v>
      </c>
    </row>
    <row r="980" spans="1:17">
      <c r="A980" s="2">
        <v>2928</v>
      </c>
      <c r="B980" s="7">
        <v>0</v>
      </c>
      <c r="C980" s="7">
        <v>0</v>
      </c>
      <c r="D980" s="7">
        <v>0</v>
      </c>
      <c r="E980" s="7">
        <v>0</v>
      </c>
      <c r="F980" s="7">
        <v>0</v>
      </c>
      <c r="G980" s="7">
        <v>0</v>
      </c>
      <c r="H980" s="7">
        <v>0</v>
      </c>
      <c r="I980" s="7">
        <v>0</v>
      </c>
      <c r="J980" s="7">
        <v>0</v>
      </c>
      <c r="K980" s="7">
        <v>0</v>
      </c>
      <c r="L980" s="7">
        <v>0</v>
      </c>
      <c r="M980" s="7">
        <v>0</v>
      </c>
      <c r="N980" s="7">
        <v>0</v>
      </c>
      <c r="O980" s="7">
        <v>0</v>
      </c>
      <c r="P980" s="7">
        <v>0</v>
      </c>
      <c r="Q980" s="7">
        <v>0</v>
      </c>
    </row>
    <row r="981" spans="1:17">
      <c r="A981" s="2">
        <v>2929</v>
      </c>
      <c r="B981" s="7">
        <v>0</v>
      </c>
      <c r="C981" s="7">
        <v>0</v>
      </c>
      <c r="D981" s="7">
        <v>0</v>
      </c>
      <c r="E981" s="7">
        <v>0</v>
      </c>
      <c r="F981" s="7">
        <v>0</v>
      </c>
      <c r="G981" s="7">
        <v>0</v>
      </c>
      <c r="H981" s="7">
        <v>0</v>
      </c>
      <c r="I981" s="7">
        <v>0</v>
      </c>
      <c r="J981" s="7">
        <v>0</v>
      </c>
      <c r="K981" s="7">
        <v>0</v>
      </c>
      <c r="L981" s="7">
        <v>0</v>
      </c>
      <c r="M981" s="7">
        <v>0</v>
      </c>
      <c r="N981" s="7">
        <v>0</v>
      </c>
      <c r="O981" s="7">
        <v>0</v>
      </c>
      <c r="P981" s="7">
        <v>0</v>
      </c>
      <c r="Q981" s="7">
        <v>0</v>
      </c>
    </row>
    <row r="982" spans="1:17">
      <c r="A982" s="2">
        <v>2930</v>
      </c>
      <c r="B982" s="7">
        <v>0</v>
      </c>
      <c r="C982" s="7">
        <v>0</v>
      </c>
      <c r="D982" s="7">
        <v>0</v>
      </c>
      <c r="E982" s="7">
        <v>0</v>
      </c>
      <c r="F982" s="7">
        <v>0</v>
      </c>
      <c r="G982" s="7">
        <v>0</v>
      </c>
      <c r="H982" s="7">
        <v>0</v>
      </c>
      <c r="I982" s="7">
        <v>0</v>
      </c>
      <c r="J982" s="7">
        <v>0</v>
      </c>
      <c r="K982" s="7">
        <v>0</v>
      </c>
      <c r="L982" s="7">
        <v>0</v>
      </c>
      <c r="M982" s="7">
        <v>0</v>
      </c>
      <c r="N982" s="7">
        <v>0</v>
      </c>
      <c r="O982" s="7">
        <v>0</v>
      </c>
      <c r="P982" s="7">
        <v>0</v>
      </c>
      <c r="Q982" s="7">
        <v>0</v>
      </c>
    </row>
    <row r="983" spans="1:17">
      <c r="A983" s="2">
        <v>2931</v>
      </c>
      <c r="B983" s="7">
        <v>0</v>
      </c>
      <c r="C983" s="7">
        <v>0</v>
      </c>
      <c r="D983" s="7">
        <v>0</v>
      </c>
      <c r="E983" s="7">
        <v>0</v>
      </c>
      <c r="F983" s="7">
        <v>0</v>
      </c>
      <c r="G983" s="7">
        <v>0</v>
      </c>
      <c r="H983" s="7">
        <v>0</v>
      </c>
      <c r="I983" s="7">
        <v>0</v>
      </c>
      <c r="J983" s="7">
        <v>0</v>
      </c>
      <c r="K983" s="7">
        <v>0</v>
      </c>
      <c r="L983" s="7">
        <v>0</v>
      </c>
      <c r="M983" s="7">
        <v>0</v>
      </c>
      <c r="N983" s="7">
        <v>0</v>
      </c>
      <c r="O983" s="7">
        <v>0</v>
      </c>
      <c r="P983" s="7">
        <v>0</v>
      </c>
      <c r="Q983" s="7">
        <v>0</v>
      </c>
    </row>
    <row r="984" spans="1:17">
      <c r="A984" s="2">
        <v>2932</v>
      </c>
      <c r="B984" s="7">
        <v>0</v>
      </c>
      <c r="C984" s="7">
        <v>0</v>
      </c>
      <c r="D984" s="7">
        <v>0</v>
      </c>
      <c r="E984" s="7">
        <v>0</v>
      </c>
      <c r="F984" s="7">
        <v>0</v>
      </c>
      <c r="G984" s="7">
        <v>0</v>
      </c>
      <c r="H984" s="7">
        <v>0</v>
      </c>
      <c r="I984" s="7">
        <v>0</v>
      </c>
      <c r="J984" s="7">
        <v>0</v>
      </c>
      <c r="K984" s="7">
        <v>0</v>
      </c>
      <c r="L984" s="7">
        <v>0</v>
      </c>
      <c r="M984" s="7">
        <v>0</v>
      </c>
      <c r="N984" s="7">
        <v>0</v>
      </c>
      <c r="O984" s="7">
        <v>0</v>
      </c>
      <c r="P984" s="7">
        <v>0</v>
      </c>
      <c r="Q984" s="7">
        <v>0</v>
      </c>
    </row>
    <row r="985" spans="1:17">
      <c r="A985" s="2">
        <v>2933</v>
      </c>
      <c r="B985" s="7">
        <v>0</v>
      </c>
      <c r="C985" s="7">
        <v>0</v>
      </c>
      <c r="D985" s="7">
        <v>0</v>
      </c>
      <c r="E985" s="7">
        <v>0</v>
      </c>
      <c r="F985" s="7">
        <v>0</v>
      </c>
      <c r="G985" s="7">
        <v>0</v>
      </c>
      <c r="H985" s="7">
        <v>0</v>
      </c>
      <c r="I985" s="7">
        <v>0</v>
      </c>
      <c r="J985" s="7">
        <v>0</v>
      </c>
      <c r="K985" s="7">
        <v>0</v>
      </c>
      <c r="L985" s="7">
        <v>0</v>
      </c>
      <c r="M985" s="7">
        <v>0</v>
      </c>
      <c r="N985" s="7">
        <v>0</v>
      </c>
      <c r="O985" s="7">
        <v>0</v>
      </c>
      <c r="P985" s="7">
        <v>0</v>
      </c>
      <c r="Q985" s="7">
        <v>0</v>
      </c>
    </row>
    <row r="986" spans="1:17">
      <c r="A986" s="2">
        <v>2934</v>
      </c>
      <c r="B986" s="7">
        <v>0</v>
      </c>
      <c r="C986" s="7">
        <v>0</v>
      </c>
      <c r="D986" s="7">
        <v>0</v>
      </c>
      <c r="E986" s="7">
        <v>0</v>
      </c>
      <c r="F986" s="7">
        <v>0</v>
      </c>
      <c r="G986" s="7">
        <v>0</v>
      </c>
      <c r="H986" s="7">
        <v>0</v>
      </c>
      <c r="I986" s="7">
        <v>0</v>
      </c>
      <c r="J986" s="7">
        <v>0</v>
      </c>
      <c r="K986" s="7">
        <v>0</v>
      </c>
      <c r="L986" s="7">
        <v>0</v>
      </c>
      <c r="M986" s="7">
        <v>0</v>
      </c>
      <c r="N986" s="7">
        <v>0</v>
      </c>
      <c r="O986" s="7">
        <v>0</v>
      </c>
      <c r="P986" s="7">
        <v>0</v>
      </c>
      <c r="Q986" s="7">
        <v>0</v>
      </c>
    </row>
    <row r="987" spans="1:17">
      <c r="A987" s="2">
        <v>2935</v>
      </c>
      <c r="B987" s="7">
        <v>0</v>
      </c>
      <c r="C987" s="7">
        <v>0</v>
      </c>
      <c r="D987" s="7">
        <v>0</v>
      </c>
      <c r="E987" s="7">
        <v>0</v>
      </c>
      <c r="F987" s="7">
        <v>0</v>
      </c>
      <c r="G987" s="7">
        <v>0</v>
      </c>
      <c r="H987" s="7">
        <v>0</v>
      </c>
      <c r="I987" s="7">
        <v>0</v>
      </c>
      <c r="J987" s="7">
        <v>0</v>
      </c>
      <c r="K987" s="7">
        <v>0</v>
      </c>
      <c r="L987" s="7">
        <v>0</v>
      </c>
      <c r="M987" s="7">
        <v>0</v>
      </c>
      <c r="N987" s="7">
        <v>0</v>
      </c>
      <c r="O987" s="7">
        <v>0</v>
      </c>
      <c r="P987" s="7">
        <v>0</v>
      </c>
      <c r="Q987" s="7">
        <v>0</v>
      </c>
    </row>
    <row r="988" spans="1:17">
      <c r="A988" s="2">
        <v>2936</v>
      </c>
      <c r="B988" s="7">
        <v>0</v>
      </c>
      <c r="C988" s="7">
        <v>0</v>
      </c>
      <c r="D988" s="7">
        <v>0</v>
      </c>
      <c r="E988" s="7">
        <v>0</v>
      </c>
      <c r="F988" s="7">
        <v>0</v>
      </c>
      <c r="G988" s="7">
        <v>0</v>
      </c>
      <c r="H988" s="7">
        <v>0</v>
      </c>
      <c r="I988" s="7">
        <v>0</v>
      </c>
      <c r="J988" s="7">
        <v>0</v>
      </c>
      <c r="K988" s="7">
        <v>0</v>
      </c>
      <c r="L988" s="7">
        <v>0</v>
      </c>
      <c r="M988" s="7">
        <v>0</v>
      </c>
      <c r="N988" s="7">
        <v>0</v>
      </c>
      <c r="O988" s="7">
        <v>0</v>
      </c>
      <c r="P988" s="7">
        <v>0</v>
      </c>
      <c r="Q988" s="7">
        <v>0</v>
      </c>
    </row>
    <row r="989" spans="1:17">
      <c r="A989" s="2">
        <v>2937</v>
      </c>
      <c r="B989" s="7">
        <v>0</v>
      </c>
      <c r="C989" s="7">
        <v>0</v>
      </c>
      <c r="D989" s="7">
        <v>0</v>
      </c>
      <c r="E989" s="7">
        <v>0</v>
      </c>
      <c r="F989" s="7">
        <v>0</v>
      </c>
      <c r="G989" s="7">
        <v>0</v>
      </c>
      <c r="H989" s="7">
        <v>0</v>
      </c>
      <c r="I989" s="7">
        <v>0</v>
      </c>
      <c r="J989" s="7">
        <v>0</v>
      </c>
      <c r="K989" s="7">
        <v>0</v>
      </c>
      <c r="L989" s="7">
        <v>0</v>
      </c>
      <c r="M989" s="7">
        <v>0</v>
      </c>
      <c r="N989" s="7">
        <v>0</v>
      </c>
      <c r="O989" s="7">
        <v>0</v>
      </c>
      <c r="P989" s="7">
        <v>0</v>
      </c>
      <c r="Q989" s="7">
        <v>0</v>
      </c>
    </row>
    <row r="990" spans="1:17">
      <c r="A990" s="2">
        <v>2938</v>
      </c>
      <c r="B990" s="7">
        <v>0</v>
      </c>
      <c r="C990" s="7">
        <v>0</v>
      </c>
      <c r="D990" s="7">
        <v>0</v>
      </c>
      <c r="E990" s="7">
        <v>0</v>
      </c>
      <c r="F990" s="7">
        <v>0</v>
      </c>
      <c r="G990" s="7">
        <v>0</v>
      </c>
      <c r="H990" s="7">
        <v>0</v>
      </c>
      <c r="I990" s="7">
        <v>0</v>
      </c>
      <c r="J990" s="7">
        <v>0</v>
      </c>
      <c r="K990" s="7">
        <v>0</v>
      </c>
      <c r="L990" s="7">
        <v>0</v>
      </c>
      <c r="M990" s="7">
        <v>0</v>
      </c>
      <c r="N990" s="7">
        <v>0</v>
      </c>
      <c r="O990" s="7">
        <v>0</v>
      </c>
      <c r="P990" s="7">
        <v>0</v>
      </c>
      <c r="Q990" s="7">
        <v>0</v>
      </c>
    </row>
    <row r="991" spans="1:17">
      <c r="A991" s="2">
        <v>2939</v>
      </c>
      <c r="B991" s="7">
        <v>0</v>
      </c>
      <c r="C991" s="7">
        <v>0</v>
      </c>
      <c r="D991" s="7">
        <v>0</v>
      </c>
      <c r="E991" s="7">
        <v>0</v>
      </c>
      <c r="F991" s="7">
        <v>0</v>
      </c>
      <c r="G991" s="7">
        <v>0</v>
      </c>
      <c r="H991" s="7">
        <v>0</v>
      </c>
      <c r="I991" s="7">
        <v>0</v>
      </c>
      <c r="J991" s="7">
        <v>0</v>
      </c>
      <c r="K991" s="7">
        <v>0</v>
      </c>
      <c r="L991" s="7">
        <v>0</v>
      </c>
      <c r="M991" s="7">
        <v>0</v>
      </c>
      <c r="N991" s="7">
        <v>0</v>
      </c>
      <c r="O991" s="7">
        <v>0</v>
      </c>
      <c r="P991" s="7">
        <v>0</v>
      </c>
      <c r="Q991" s="7">
        <v>0</v>
      </c>
    </row>
    <row r="992" spans="1:17">
      <c r="A992" s="2">
        <v>2940</v>
      </c>
      <c r="B992" s="7">
        <v>0</v>
      </c>
      <c r="C992" s="7">
        <v>0</v>
      </c>
      <c r="D992" s="7">
        <v>0</v>
      </c>
      <c r="E992" s="7">
        <v>0</v>
      </c>
      <c r="F992" s="7">
        <v>0</v>
      </c>
      <c r="G992" s="7">
        <v>0</v>
      </c>
      <c r="H992" s="7">
        <v>0</v>
      </c>
      <c r="I992" s="7">
        <v>0</v>
      </c>
      <c r="J992" s="7">
        <v>0</v>
      </c>
      <c r="K992" s="7">
        <v>0</v>
      </c>
      <c r="L992" s="7">
        <v>0</v>
      </c>
      <c r="M992" s="7">
        <v>0</v>
      </c>
      <c r="N992" s="7">
        <v>0</v>
      </c>
      <c r="O992" s="7">
        <v>0</v>
      </c>
      <c r="P992" s="7">
        <v>0</v>
      </c>
      <c r="Q992" s="7">
        <v>0</v>
      </c>
    </row>
    <row r="993" spans="1:17">
      <c r="A993" s="2">
        <v>2941</v>
      </c>
      <c r="B993" s="7">
        <v>0</v>
      </c>
      <c r="C993" s="7">
        <v>0</v>
      </c>
      <c r="D993" s="7">
        <v>0</v>
      </c>
      <c r="E993" s="7">
        <v>0</v>
      </c>
      <c r="F993" s="7">
        <v>0</v>
      </c>
      <c r="G993" s="7">
        <v>0</v>
      </c>
      <c r="H993" s="7">
        <v>0</v>
      </c>
      <c r="I993" s="7">
        <v>0</v>
      </c>
      <c r="J993" s="7">
        <v>0</v>
      </c>
      <c r="K993" s="7">
        <v>0</v>
      </c>
      <c r="L993" s="7">
        <v>0</v>
      </c>
      <c r="M993" s="7">
        <v>0</v>
      </c>
      <c r="N993" s="7">
        <v>0</v>
      </c>
      <c r="O993" s="7">
        <v>0</v>
      </c>
      <c r="P993" s="7">
        <v>0</v>
      </c>
      <c r="Q993" s="7">
        <v>0</v>
      </c>
    </row>
    <row r="994" spans="1:17">
      <c r="A994" s="2">
        <v>2942</v>
      </c>
      <c r="B994" s="7">
        <v>0</v>
      </c>
      <c r="C994" s="7">
        <v>0</v>
      </c>
      <c r="D994" s="7">
        <v>0</v>
      </c>
      <c r="E994" s="7">
        <v>0</v>
      </c>
      <c r="F994" s="7">
        <v>0</v>
      </c>
      <c r="G994" s="7">
        <v>0</v>
      </c>
      <c r="H994" s="7">
        <v>0</v>
      </c>
      <c r="I994" s="7">
        <v>0</v>
      </c>
      <c r="J994" s="7">
        <v>0</v>
      </c>
      <c r="K994" s="7">
        <v>0</v>
      </c>
      <c r="L994" s="7">
        <v>0</v>
      </c>
      <c r="M994" s="7">
        <v>0</v>
      </c>
      <c r="N994" s="7">
        <v>0</v>
      </c>
      <c r="O994" s="7">
        <v>0</v>
      </c>
      <c r="P994" s="7">
        <v>0</v>
      </c>
      <c r="Q994" s="7">
        <v>0</v>
      </c>
    </row>
    <row r="995" spans="1:17">
      <c r="A995" s="2">
        <v>2943</v>
      </c>
      <c r="B995" s="7">
        <v>0</v>
      </c>
      <c r="C995" s="7">
        <v>0</v>
      </c>
      <c r="D995" s="7">
        <v>0</v>
      </c>
      <c r="E995" s="7">
        <v>0</v>
      </c>
      <c r="F995" s="7">
        <v>0</v>
      </c>
      <c r="G995" s="7">
        <v>0</v>
      </c>
      <c r="H995" s="7">
        <v>0</v>
      </c>
      <c r="I995" s="7">
        <v>0</v>
      </c>
      <c r="J995" s="7">
        <v>0</v>
      </c>
      <c r="K995" s="7">
        <v>0</v>
      </c>
      <c r="L995" s="7">
        <v>0</v>
      </c>
      <c r="M995" s="7">
        <v>0</v>
      </c>
      <c r="N995" s="7">
        <v>0</v>
      </c>
      <c r="O995" s="7">
        <v>0</v>
      </c>
      <c r="P995" s="7">
        <v>0</v>
      </c>
      <c r="Q995" s="7">
        <v>0</v>
      </c>
    </row>
    <row r="996" spans="1:17">
      <c r="A996" s="2">
        <v>2944</v>
      </c>
      <c r="B996" s="7">
        <v>0</v>
      </c>
      <c r="C996" s="7">
        <v>0</v>
      </c>
      <c r="D996" s="7">
        <v>0</v>
      </c>
      <c r="E996" s="7">
        <v>0</v>
      </c>
      <c r="F996" s="7">
        <v>0</v>
      </c>
      <c r="G996" s="7">
        <v>0</v>
      </c>
      <c r="H996" s="7">
        <v>0</v>
      </c>
      <c r="I996" s="7">
        <v>0</v>
      </c>
      <c r="J996" s="7">
        <v>0</v>
      </c>
      <c r="K996" s="7">
        <v>0</v>
      </c>
      <c r="L996" s="7">
        <v>0</v>
      </c>
      <c r="M996" s="7">
        <v>0</v>
      </c>
      <c r="N996" s="7">
        <v>0</v>
      </c>
      <c r="O996" s="7">
        <v>0</v>
      </c>
      <c r="P996" s="7">
        <v>0</v>
      </c>
      <c r="Q996" s="7">
        <v>0</v>
      </c>
    </row>
    <row r="997" spans="1:17">
      <c r="A997" s="2">
        <v>2945</v>
      </c>
      <c r="B997" s="7">
        <v>0</v>
      </c>
      <c r="C997" s="7">
        <v>0</v>
      </c>
      <c r="D997" s="7">
        <v>0</v>
      </c>
      <c r="E997" s="7">
        <v>0</v>
      </c>
      <c r="F997" s="7">
        <v>0</v>
      </c>
      <c r="G997" s="7">
        <v>0</v>
      </c>
      <c r="H997" s="7">
        <v>0</v>
      </c>
      <c r="I997" s="7">
        <v>0</v>
      </c>
      <c r="J997" s="7">
        <v>0</v>
      </c>
      <c r="K997" s="7">
        <v>0</v>
      </c>
      <c r="L997" s="7">
        <v>0</v>
      </c>
      <c r="M997" s="7">
        <v>0</v>
      </c>
      <c r="N997" s="7">
        <v>0</v>
      </c>
      <c r="O997" s="7">
        <v>0</v>
      </c>
      <c r="P997" s="7">
        <v>0</v>
      </c>
      <c r="Q997" s="7">
        <v>0</v>
      </c>
    </row>
    <row r="998" spans="1:17">
      <c r="A998" s="2">
        <v>2946</v>
      </c>
      <c r="B998" s="7">
        <v>0</v>
      </c>
      <c r="C998" s="7">
        <v>0</v>
      </c>
      <c r="D998" s="7">
        <v>0</v>
      </c>
      <c r="E998" s="7">
        <v>0</v>
      </c>
      <c r="F998" s="7">
        <v>0</v>
      </c>
      <c r="G998" s="7">
        <v>0</v>
      </c>
      <c r="H998" s="7">
        <v>0</v>
      </c>
      <c r="I998" s="7">
        <v>0</v>
      </c>
      <c r="J998" s="7">
        <v>0</v>
      </c>
      <c r="K998" s="7">
        <v>0</v>
      </c>
      <c r="L998" s="7">
        <v>0</v>
      </c>
      <c r="M998" s="7">
        <v>0</v>
      </c>
      <c r="N998" s="7">
        <v>0</v>
      </c>
      <c r="O998" s="7">
        <v>0</v>
      </c>
      <c r="P998" s="7">
        <v>0</v>
      </c>
      <c r="Q998" s="7">
        <v>0</v>
      </c>
    </row>
    <row r="999" spans="1:17">
      <c r="A999" s="2">
        <v>2947</v>
      </c>
      <c r="B999" s="7">
        <v>0</v>
      </c>
      <c r="C999" s="7">
        <v>0</v>
      </c>
      <c r="D999" s="7">
        <v>0</v>
      </c>
      <c r="E999" s="7">
        <v>0</v>
      </c>
      <c r="F999" s="7">
        <v>0</v>
      </c>
      <c r="G999" s="7">
        <v>0</v>
      </c>
      <c r="H999" s="7">
        <v>0</v>
      </c>
      <c r="I999" s="7">
        <v>0</v>
      </c>
      <c r="J999" s="7">
        <v>0</v>
      </c>
      <c r="K999" s="7">
        <v>0</v>
      </c>
      <c r="L999" s="7">
        <v>0</v>
      </c>
      <c r="M999" s="7">
        <v>0</v>
      </c>
      <c r="N999" s="7">
        <v>0</v>
      </c>
      <c r="O999" s="7">
        <v>0</v>
      </c>
      <c r="P999" s="7">
        <v>0</v>
      </c>
      <c r="Q999" s="7">
        <v>0</v>
      </c>
    </row>
    <row r="1000" spans="1:17">
      <c r="A1000" s="2">
        <v>2948</v>
      </c>
      <c r="B1000" s="7">
        <v>0</v>
      </c>
      <c r="C1000" s="7">
        <v>0</v>
      </c>
      <c r="D1000" s="7">
        <v>0</v>
      </c>
      <c r="E1000" s="7">
        <v>0</v>
      </c>
      <c r="F1000" s="7">
        <v>0</v>
      </c>
      <c r="G1000" s="7">
        <v>0</v>
      </c>
      <c r="H1000" s="7">
        <v>0</v>
      </c>
      <c r="I1000" s="7">
        <v>0</v>
      </c>
      <c r="J1000" s="7">
        <v>0</v>
      </c>
      <c r="K1000" s="7">
        <v>0</v>
      </c>
      <c r="L1000" s="7">
        <v>0</v>
      </c>
      <c r="M1000" s="7">
        <v>0</v>
      </c>
      <c r="N1000" s="7">
        <v>0</v>
      </c>
      <c r="O1000" s="7">
        <v>0</v>
      </c>
      <c r="P1000" s="7">
        <v>0</v>
      </c>
      <c r="Q1000" s="7">
        <v>0</v>
      </c>
    </row>
    <row r="1001" spans="1:17">
      <c r="A1001" s="2">
        <v>2949</v>
      </c>
      <c r="B1001" s="7">
        <v>0</v>
      </c>
      <c r="C1001" s="7">
        <v>0</v>
      </c>
      <c r="D1001" s="7">
        <v>0</v>
      </c>
      <c r="E1001" s="7">
        <v>0</v>
      </c>
      <c r="F1001" s="7">
        <v>0</v>
      </c>
      <c r="G1001" s="7">
        <v>0</v>
      </c>
      <c r="H1001" s="7">
        <v>0</v>
      </c>
      <c r="I1001" s="7">
        <v>0</v>
      </c>
      <c r="J1001" s="7">
        <v>0</v>
      </c>
      <c r="K1001" s="7">
        <v>0</v>
      </c>
      <c r="L1001" s="7">
        <v>0</v>
      </c>
      <c r="M1001" s="7">
        <v>0</v>
      </c>
      <c r="N1001" s="7">
        <v>0</v>
      </c>
      <c r="O1001" s="7">
        <v>0</v>
      </c>
      <c r="P1001" s="7">
        <v>0</v>
      </c>
      <c r="Q1001" s="7">
        <v>0</v>
      </c>
    </row>
    <row r="1002" spans="1:17">
      <c r="A1002" s="2">
        <v>2950</v>
      </c>
      <c r="B1002" s="7">
        <v>0</v>
      </c>
      <c r="C1002" s="7">
        <v>0</v>
      </c>
      <c r="D1002" s="7">
        <v>0</v>
      </c>
      <c r="E1002" s="7">
        <v>0</v>
      </c>
      <c r="F1002" s="7">
        <v>0</v>
      </c>
      <c r="G1002" s="7">
        <v>0</v>
      </c>
      <c r="H1002" s="7">
        <v>0</v>
      </c>
      <c r="I1002" s="7">
        <v>0</v>
      </c>
      <c r="J1002" s="7">
        <v>0</v>
      </c>
      <c r="K1002" s="7">
        <v>0</v>
      </c>
      <c r="L1002" s="7">
        <v>0</v>
      </c>
      <c r="M1002" s="7">
        <v>0</v>
      </c>
      <c r="N1002" s="7">
        <v>0</v>
      </c>
      <c r="O1002" s="7">
        <v>0</v>
      </c>
      <c r="P1002" s="7">
        <v>0</v>
      </c>
      <c r="Q1002" s="7">
        <v>0</v>
      </c>
    </row>
    <row r="1003" spans="1:17">
      <c r="A1003" s="2">
        <v>2951</v>
      </c>
      <c r="B1003" s="7">
        <v>0</v>
      </c>
      <c r="C1003" s="7">
        <v>0</v>
      </c>
      <c r="D1003" s="7">
        <v>0</v>
      </c>
      <c r="E1003" s="7">
        <v>0</v>
      </c>
      <c r="F1003" s="7">
        <v>0</v>
      </c>
      <c r="G1003" s="7">
        <v>0</v>
      </c>
      <c r="H1003" s="7">
        <v>0</v>
      </c>
      <c r="I1003" s="7">
        <v>0</v>
      </c>
      <c r="J1003" s="7">
        <v>0</v>
      </c>
      <c r="K1003" s="7">
        <v>0</v>
      </c>
      <c r="L1003" s="7">
        <v>0</v>
      </c>
      <c r="M1003" s="7">
        <v>0</v>
      </c>
      <c r="N1003" s="7">
        <v>0</v>
      </c>
      <c r="O1003" s="7">
        <v>0</v>
      </c>
      <c r="P1003" s="7">
        <v>0</v>
      </c>
      <c r="Q1003" s="7">
        <v>0</v>
      </c>
    </row>
    <row r="1004" spans="1:17">
      <c r="A1004" s="2">
        <v>2952</v>
      </c>
      <c r="B1004" s="7">
        <v>0</v>
      </c>
      <c r="C1004" s="7">
        <v>0</v>
      </c>
      <c r="D1004" s="7">
        <v>0</v>
      </c>
      <c r="E1004" s="7">
        <v>0</v>
      </c>
      <c r="F1004" s="7">
        <v>0</v>
      </c>
      <c r="G1004" s="7">
        <v>0</v>
      </c>
      <c r="H1004" s="7">
        <v>0</v>
      </c>
      <c r="I1004" s="7">
        <v>0</v>
      </c>
      <c r="J1004" s="7">
        <v>0</v>
      </c>
      <c r="K1004" s="7">
        <v>0</v>
      </c>
      <c r="L1004" s="7">
        <v>0</v>
      </c>
      <c r="M1004" s="7">
        <v>0</v>
      </c>
      <c r="N1004" s="7">
        <v>0</v>
      </c>
      <c r="O1004" s="7">
        <v>0</v>
      </c>
      <c r="P1004" s="7">
        <v>0</v>
      </c>
      <c r="Q1004" s="7">
        <v>0</v>
      </c>
    </row>
    <row r="1005" spans="1:17">
      <c r="A1005" s="2">
        <v>2953</v>
      </c>
      <c r="B1005" s="7">
        <v>0</v>
      </c>
      <c r="C1005" s="7">
        <v>0</v>
      </c>
      <c r="D1005" s="7">
        <v>0</v>
      </c>
      <c r="E1005" s="7">
        <v>0</v>
      </c>
      <c r="F1005" s="7">
        <v>0</v>
      </c>
      <c r="G1005" s="7">
        <v>0</v>
      </c>
      <c r="H1005" s="7">
        <v>0</v>
      </c>
      <c r="I1005" s="7">
        <v>0</v>
      </c>
      <c r="J1005" s="7">
        <v>0</v>
      </c>
      <c r="K1005" s="7">
        <v>0</v>
      </c>
      <c r="L1005" s="7">
        <v>0</v>
      </c>
      <c r="M1005" s="7">
        <v>0</v>
      </c>
      <c r="N1005" s="7">
        <v>0</v>
      </c>
      <c r="O1005" s="7">
        <v>0</v>
      </c>
      <c r="P1005" s="7">
        <v>0</v>
      </c>
      <c r="Q1005" s="7">
        <v>0</v>
      </c>
    </row>
    <row r="1006" spans="1:17">
      <c r="A1006" s="2">
        <v>2954</v>
      </c>
      <c r="B1006" s="7">
        <v>0</v>
      </c>
      <c r="C1006" s="7">
        <v>0</v>
      </c>
      <c r="D1006" s="7">
        <v>0</v>
      </c>
      <c r="E1006" s="7">
        <v>0</v>
      </c>
      <c r="F1006" s="7">
        <v>0</v>
      </c>
      <c r="G1006" s="7">
        <v>0</v>
      </c>
      <c r="H1006" s="7">
        <v>0</v>
      </c>
      <c r="I1006" s="7">
        <v>0</v>
      </c>
      <c r="J1006" s="7">
        <v>0</v>
      </c>
      <c r="K1006" s="7">
        <v>0</v>
      </c>
      <c r="L1006" s="7">
        <v>0</v>
      </c>
      <c r="M1006" s="7">
        <v>0</v>
      </c>
      <c r="N1006" s="7">
        <v>0</v>
      </c>
      <c r="O1006" s="7">
        <v>0</v>
      </c>
      <c r="P1006" s="7">
        <v>0</v>
      </c>
      <c r="Q1006" s="7">
        <v>0</v>
      </c>
    </row>
    <row r="1007" spans="1:17">
      <c r="A1007" s="2">
        <v>2955</v>
      </c>
      <c r="B1007" s="7">
        <v>0</v>
      </c>
      <c r="C1007" s="7">
        <v>0</v>
      </c>
      <c r="D1007" s="7">
        <v>0</v>
      </c>
      <c r="E1007" s="7">
        <v>0</v>
      </c>
      <c r="F1007" s="7">
        <v>0</v>
      </c>
      <c r="G1007" s="7">
        <v>0</v>
      </c>
      <c r="H1007" s="7">
        <v>0</v>
      </c>
      <c r="I1007" s="7">
        <v>0</v>
      </c>
      <c r="J1007" s="7">
        <v>0</v>
      </c>
      <c r="K1007" s="7">
        <v>0</v>
      </c>
      <c r="L1007" s="7">
        <v>0</v>
      </c>
      <c r="M1007" s="7">
        <v>0</v>
      </c>
      <c r="N1007" s="7">
        <v>0</v>
      </c>
      <c r="O1007" s="7">
        <v>0</v>
      </c>
      <c r="P1007" s="7">
        <v>0</v>
      </c>
      <c r="Q1007" s="7">
        <v>0</v>
      </c>
    </row>
    <row r="1008" spans="1:17">
      <c r="A1008" s="2">
        <v>2956</v>
      </c>
      <c r="B1008" s="7">
        <v>0</v>
      </c>
      <c r="C1008" s="7">
        <v>0</v>
      </c>
      <c r="D1008" s="7">
        <v>0</v>
      </c>
      <c r="E1008" s="7">
        <v>0</v>
      </c>
      <c r="F1008" s="7">
        <v>0</v>
      </c>
      <c r="G1008" s="7">
        <v>0</v>
      </c>
      <c r="H1008" s="7">
        <v>0</v>
      </c>
      <c r="I1008" s="7">
        <v>0</v>
      </c>
      <c r="J1008" s="7">
        <v>0</v>
      </c>
      <c r="K1008" s="7">
        <v>0</v>
      </c>
      <c r="L1008" s="7">
        <v>0</v>
      </c>
      <c r="M1008" s="7">
        <v>0</v>
      </c>
      <c r="N1008" s="7">
        <v>0</v>
      </c>
      <c r="O1008" s="7">
        <v>0</v>
      </c>
      <c r="P1008" s="7">
        <v>0</v>
      </c>
      <c r="Q1008" s="7">
        <v>0</v>
      </c>
    </row>
    <row r="1009" spans="1:17">
      <c r="A1009" s="2">
        <v>2957</v>
      </c>
      <c r="B1009" s="7">
        <v>0</v>
      </c>
      <c r="C1009" s="7">
        <v>0</v>
      </c>
      <c r="D1009" s="7">
        <v>0</v>
      </c>
      <c r="E1009" s="7">
        <v>0</v>
      </c>
      <c r="F1009" s="7">
        <v>0</v>
      </c>
      <c r="G1009" s="7">
        <v>0</v>
      </c>
      <c r="H1009" s="7">
        <v>0</v>
      </c>
      <c r="I1009" s="7">
        <v>0</v>
      </c>
      <c r="J1009" s="7">
        <v>0</v>
      </c>
      <c r="K1009" s="7">
        <v>0</v>
      </c>
      <c r="L1009" s="7">
        <v>0</v>
      </c>
      <c r="M1009" s="7">
        <v>0</v>
      </c>
      <c r="N1009" s="7">
        <v>0</v>
      </c>
      <c r="O1009" s="7">
        <v>0</v>
      </c>
      <c r="P1009" s="7">
        <v>0</v>
      </c>
      <c r="Q1009" s="7">
        <v>0</v>
      </c>
    </row>
    <row r="1010" spans="1:17">
      <c r="A1010" s="2">
        <v>2958</v>
      </c>
      <c r="B1010" s="7">
        <v>0</v>
      </c>
      <c r="C1010" s="7">
        <v>0</v>
      </c>
      <c r="D1010" s="7">
        <v>0</v>
      </c>
      <c r="E1010" s="7">
        <v>0</v>
      </c>
      <c r="F1010" s="7">
        <v>0</v>
      </c>
      <c r="G1010" s="7">
        <v>0</v>
      </c>
      <c r="H1010" s="7">
        <v>0</v>
      </c>
      <c r="I1010" s="7">
        <v>0</v>
      </c>
      <c r="J1010" s="7">
        <v>0</v>
      </c>
      <c r="K1010" s="7">
        <v>0</v>
      </c>
      <c r="L1010" s="7">
        <v>0</v>
      </c>
      <c r="M1010" s="7">
        <v>0</v>
      </c>
      <c r="N1010" s="7">
        <v>0</v>
      </c>
      <c r="O1010" s="7">
        <v>0</v>
      </c>
      <c r="P1010" s="7">
        <v>0</v>
      </c>
      <c r="Q1010" s="7">
        <v>0</v>
      </c>
    </row>
    <row r="1011" spans="1:17">
      <c r="A1011" s="2">
        <v>2959</v>
      </c>
      <c r="B1011" s="7">
        <v>0</v>
      </c>
      <c r="C1011" s="7">
        <v>0</v>
      </c>
      <c r="D1011" s="7">
        <v>0</v>
      </c>
      <c r="E1011" s="7">
        <v>0</v>
      </c>
      <c r="F1011" s="7">
        <v>0</v>
      </c>
      <c r="G1011" s="7">
        <v>0</v>
      </c>
      <c r="H1011" s="7">
        <v>0</v>
      </c>
      <c r="I1011" s="7">
        <v>0</v>
      </c>
      <c r="J1011" s="7">
        <v>0</v>
      </c>
      <c r="K1011" s="7">
        <v>0</v>
      </c>
      <c r="L1011" s="7">
        <v>0</v>
      </c>
      <c r="M1011" s="7">
        <v>0</v>
      </c>
      <c r="N1011" s="7">
        <v>0</v>
      </c>
      <c r="O1011" s="7">
        <v>0</v>
      </c>
      <c r="P1011" s="7">
        <v>0</v>
      </c>
      <c r="Q1011" s="7">
        <v>0</v>
      </c>
    </row>
    <row r="1012" spans="1:17">
      <c r="A1012" s="2">
        <v>2960</v>
      </c>
      <c r="B1012" s="7">
        <v>0</v>
      </c>
      <c r="C1012" s="7">
        <v>0</v>
      </c>
      <c r="D1012" s="7">
        <v>0</v>
      </c>
      <c r="E1012" s="7">
        <v>0</v>
      </c>
      <c r="F1012" s="7">
        <v>0</v>
      </c>
      <c r="G1012" s="7">
        <v>0</v>
      </c>
      <c r="H1012" s="7">
        <v>0</v>
      </c>
      <c r="I1012" s="7">
        <v>0</v>
      </c>
      <c r="J1012" s="7">
        <v>0</v>
      </c>
      <c r="K1012" s="7">
        <v>0</v>
      </c>
      <c r="L1012" s="7">
        <v>0</v>
      </c>
      <c r="M1012" s="7">
        <v>0</v>
      </c>
      <c r="N1012" s="7">
        <v>0</v>
      </c>
      <c r="O1012" s="7">
        <v>0</v>
      </c>
      <c r="P1012" s="7">
        <v>0</v>
      </c>
      <c r="Q1012" s="7">
        <v>0</v>
      </c>
    </row>
    <row r="1013" spans="1:17">
      <c r="A1013" s="2">
        <v>2961</v>
      </c>
      <c r="B1013" s="7">
        <v>0</v>
      </c>
      <c r="C1013" s="7">
        <v>0</v>
      </c>
      <c r="D1013" s="7">
        <v>0</v>
      </c>
      <c r="E1013" s="7">
        <v>0</v>
      </c>
      <c r="F1013" s="7">
        <v>0</v>
      </c>
      <c r="G1013" s="7">
        <v>0</v>
      </c>
      <c r="H1013" s="7">
        <v>0</v>
      </c>
      <c r="I1013" s="7">
        <v>0</v>
      </c>
      <c r="J1013" s="7">
        <v>0</v>
      </c>
      <c r="K1013" s="7">
        <v>0</v>
      </c>
      <c r="L1013" s="7">
        <v>0</v>
      </c>
      <c r="M1013" s="7">
        <v>0</v>
      </c>
      <c r="N1013" s="7">
        <v>0</v>
      </c>
      <c r="O1013" s="7">
        <v>0</v>
      </c>
      <c r="P1013" s="7">
        <v>0</v>
      </c>
      <c r="Q1013" s="7">
        <v>0</v>
      </c>
    </row>
    <row r="1014" spans="1:17">
      <c r="A1014" s="2">
        <v>2962</v>
      </c>
      <c r="B1014" s="7">
        <v>0</v>
      </c>
      <c r="C1014" s="7">
        <v>0</v>
      </c>
      <c r="D1014" s="7">
        <v>0</v>
      </c>
      <c r="E1014" s="7">
        <v>0</v>
      </c>
      <c r="F1014" s="7">
        <v>0</v>
      </c>
      <c r="G1014" s="7">
        <v>0</v>
      </c>
      <c r="H1014" s="7">
        <v>0</v>
      </c>
      <c r="I1014" s="7">
        <v>0</v>
      </c>
      <c r="J1014" s="7">
        <v>0</v>
      </c>
      <c r="K1014" s="7">
        <v>0</v>
      </c>
      <c r="L1014" s="7">
        <v>0</v>
      </c>
      <c r="M1014" s="7">
        <v>0</v>
      </c>
      <c r="N1014" s="7">
        <v>0</v>
      </c>
      <c r="O1014" s="7">
        <v>0</v>
      </c>
      <c r="P1014" s="7">
        <v>0</v>
      </c>
      <c r="Q1014" s="7">
        <v>0</v>
      </c>
    </row>
    <row r="1015" spans="1:17">
      <c r="A1015" s="2">
        <v>2963</v>
      </c>
      <c r="B1015" s="7">
        <v>0</v>
      </c>
      <c r="C1015" s="7">
        <v>0</v>
      </c>
      <c r="D1015" s="7">
        <v>0</v>
      </c>
      <c r="E1015" s="7">
        <v>0</v>
      </c>
      <c r="F1015" s="7">
        <v>0</v>
      </c>
      <c r="G1015" s="7">
        <v>0</v>
      </c>
      <c r="H1015" s="7">
        <v>0</v>
      </c>
      <c r="I1015" s="7">
        <v>0</v>
      </c>
      <c r="J1015" s="7">
        <v>0</v>
      </c>
      <c r="K1015" s="7">
        <v>0</v>
      </c>
      <c r="L1015" s="7">
        <v>0</v>
      </c>
      <c r="M1015" s="7">
        <v>0</v>
      </c>
      <c r="N1015" s="7">
        <v>0</v>
      </c>
      <c r="O1015" s="7">
        <v>0</v>
      </c>
      <c r="P1015" s="7">
        <v>0</v>
      </c>
      <c r="Q1015" s="7">
        <v>0</v>
      </c>
    </row>
    <row r="1016" spans="1:17">
      <c r="A1016" s="2">
        <v>2964</v>
      </c>
      <c r="B1016" s="7">
        <v>0</v>
      </c>
      <c r="C1016" s="7">
        <v>0</v>
      </c>
      <c r="D1016" s="7">
        <v>0</v>
      </c>
      <c r="E1016" s="7">
        <v>0</v>
      </c>
      <c r="F1016" s="7">
        <v>0</v>
      </c>
      <c r="G1016" s="7">
        <v>0</v>
      </c>
      <c r="H1016" s="7">
        <v>0</v>
      </c>
      <c r="I1016" s="7">
        <v>0</v>
      </c>
      <c r="J1016" s="7">
        <v>0</v>
      </c>
      <c r="K1016" s="7">
        <v>0</v>
      </c>
      <c r="L1016" s="7">
        <v>0</v>
      </c>
      <c r="M1016" s="7">
        <v>0</v>
      </c>
      <c r="N1016" s="7">
        <v>0</v>
      </c>
      <c r="O1016" s="7">
        <v>0</v>
      </c>
      <c r="P1016" s="7">
        <v>0</v>
      </c>
      <c r="Q1016" s="7">
        <v>0</v>
      </c>
    </row>
    <row r="1017" spans="1:17">
      <c r="A1017" s="2">
        <v>2965</v>
      </c>
      <c r="B1017" s="7">
        <v>0</v>
      </c>
      <c r="C1017" s="7">
        <v>0</v>
      </c>
      <c r="D1017" s="7">
        <v>0</v>
      </c>
      <c r="E1017" s="7">
        <v>0</v>
      </c>
      <c r="F1017" s="7">
        <v>0</v>
      </c>
      <c r="G1017" s="7">
        <v>0</v>
      </c>
      <c r="H1017" s="7">
        <v>0</v>
      </c>
      <c r="I1017" s="7">
        <v>0</v>
      </c>
      <c r="J1017" s="7">
        <v>0</v>
      </c>
      <c r="K1017" s="7">
        <v>0</v>
      </c>
      <c r="L1017" s="7">
        <v>0</v>
      </c>
      <c r="M1017" s="7">
        <v>0</v>
      </c>
      <c r="N1017" s="7">
        <v>0</v>
      </c>
      <c r="O1017" s="7">
        <v>0</v>
      </c>
      <c r="P1017" s="7">
        <v>0</v>
      </c>
      <c r="Q1017" s="7">
        <v>0</v>
      </c>
    </row>
    <row r="1018" spans="1:17">
      <c r="A1018" s="2">
        <v>2966</v>
      </c>
      <c r="B1018" s="7">
        <v>0</v>
      </c>
      <c r="C1018" s="7">
        <v>0</v>
      </c>
      <c r="D1018" s="7">
        <v>0</v>
      </c>
      <c r="E1018" s="7">
        <v>0</v>
      </c>
      <c r="F1018" s="7">
        <v>0</v>
      </c>
      <c r="G1018" s="7">
        <v>0</v>
      </c>
      <c r="H1018" s="7">
        <v>0</v>
      </c>
      <c r="I1018" s="7">
        <v>0</v>
      </c>
      <c r="J1018" s="7">
        <v>0</v>
      </c>
      <c r="K1018" s="7">
        <v>0</v>
      </c>
      <c r="L1018" s="7">
        <v>0</v>
      </c>
      <c r="M1018" s="7">
        <v>0</v>
      </c>
      <c r="N1018" s="7">
        <v>0</v>
      </c>
      <c r="O1018" s="7">
        <v>0</v>
      </c>
      <c r="P1018" s="7">
        <v>0</v>
      </c>
      <c r="Q1018" s="7">
        <v>0</v>
      </c>
    </row>
    <row r="1019" spans="1:17">
      <c r="A1019" s="2">
        <v>2967</v>
      </c>
      <c r="B1019" s="7">
        <v>0</v>
      </c>
      <c r="C1019" s="7">
        <v>0</v>
      </c>
      <c r="D1019" s="7">
        <v>0</v>
      </c>
      <c r="E1019" s="7">
        <v>0</v>
      </c>
      <c r="F1019" s="7">
        <v>0</v>
      </c>
      <c r="G1019" s="7">
        <v>0</v>
      </c>
      <c r="H1019" s="7">
        <v>0</v>
      </c>
      <c r="I1019" s="7">
        <v>0</v>
      </c>
      <c r="J1019" s="7">
        <v>0</v>
      </c>
      <c r="K1019" s="7">
        <v>0</v>
      </c>
      <c r="L1019" s="7">
        <v>0</v>
      </c>
      <c r="M1019" s="7">
        <v>0</v>
      </c>
      <c r="N1019" s="7">
        <v>0</v>
      </c>
      <c r="O1019" s="7">
        <v>0</v>
      </c>
      <c r="P1019" s="7">
        <v>0</v>
      </c>
      <c r="Q1019" s="7">
        <v>0</v>
      </c>
    </row>
    <row r="1020" spans="1:17">
      <c r="A1020" s="2">
        <v>2968</v>
      </c>
      <c r="B1020" s="7">
        <v>0</v>
      </c>
      <c r="C1020" s="7">
        <v>0</v>
      </c>
      <c r="D1020" s="7">
        <v>0</v>
      </c>
      <c r="E1020" s="7">
        <v>0</v>
      </c>
      <c r="F1020" s="7">
        <v>0</v>
      </c>
      <c r="G1020" s="7">
        <v>0</v>
      </c>
      <c r="H1020" s="7">
        <v>0</v>
      </c>
      <c r="I1020" s="7">
        <v>0</v>
      </c>
      <c r="J1020" s="7">
        <v>0</v>
      </c>
      <c r="K1020" s="7">
        <v>0</v>
      </c>
      <c r="L1020" s="7">
        <v>0</v>
      </c>
      <c r="M1020" s="7">
        <v>0</v>
      </c>
      <c r="N1020" s="7">
        <v>0</v>
      </c>
      <c r="O1020" s="7">
        <v>0</v>
      </c>
      <c r="P1020" s="7">
        <v>0</v>
      </c>
      <c r="Q1020" s="7">
        <v>0</v>
      </c>
    </row>
    <row r="1021" spans="1:17">
      <c r="A1021" s="2">
        <v>2969</v>
      </c>
      <c r="B1021" s="7">
        <v>0</v>
      </c>
      <c r="C1021" s="7">
        <v>0</v>
      </c>
      <c r="D1021" s="7">
        <v>0</v>
      </c>
      <c r="E1021" s="7">
        <v>0</v>
      </c>
      <c r="F1021" s="7">
        <v>0</v>
      </c>
      <c r="G1021" s="7">
        <v>0</v>
      </c>
      <c r="H1021" s="7">
        <v>0</v>
      </c>
      <c r="I1021" s="7">
        <v>0</v>
      </c>
      <c r="J1021" s="7">
        <v>0</v>
      </c>
      <c r="K1021" s="7">
        <v>0</v>
      </c>
      <c r="L1021" s="7">
        <v>0</v>
      </c>
      <c r="M1021" s="7">
        <v>0</v>
      </c>
      <c r="N1021" s="7">
        <v>0</v>
      </c>
      <c r="O1021" s="7">
        <v>0</v>
      </c>
      <c r="P1021" s="7">
        <v>0</v>
      </c>
      <c r="Q1021" s="7">
        <v>0</v>
      </c>
    </row>
    <row r="1022" spans="1:17">
      <c r="A1022" s="2">
        <v>2970</v>
      </c>
      <c r="B1022" s="7">
        <v>0</v>
      </c>
      <c r="C1022" s="7">
        <v>0</v>
      </c>
      <c r="D1022" s="7">
        <v>0</v>
      </c>
      <c r="E1022" s="7">
        <v>0</v>
      </c>
      <c r="F1022" s="7">
        <v>0</v>
      </c>
      <c r="G1022" s="7">
        <v>0</v>
      </c>
      <c r="H1022" s="7">
        <v>0</v>
      </c>
      <c r="I1022" s="7">
        <v>0</v>
      </c>
      <c r="J1022" s="7">
        <v>0</v>
      </c>
      <c r="K1022" s="7">
        <v>0</v>
      </c>
      <c r="L1022" s="7">
        <v>0</v>
      </c>
      <c r="M1022" s="7">
        <v>0</v>
      </c>
      <c r="N1022" s="7">
        <v>0</v>
      </c>
      <c r="O1022" s="7">
        <v>0</v>
      </c>
      <c r="P1022" s="7">
        <v>0</v>
      </c>
      <c r="Q1022" s="7">
        <v>0</v>
      </c>
    </row>
    <row r="1023" spans="1:17">
      <c r="A1023" s="2">
        <v>2971</v>
      </c>
      <c r="B1023" s="7">
        <v>0</v>
      </c>
      <c r="C1023" s="7">
        <v>0</v>
      </c>
      <c r="D1023" s="7">
        <v>0</v>
      </c>
      <c r="E1023" s="7">
        <v>0</v>
      </c>
      <c r="F1023" s="7">
        <v>0</v>
      </c>
      <c r="G1023" s="7">
        <v>0</v>
      </c>
      <c r="H1023" s="7">
        <v>0</v>
      </c>
      <c r="I1023" s="7">
        <v>0</v>
      </c>
      <c r="J1023" s="7">
        <v>0</v>
      </c>
      <c r="K1023" s="7">
        <v>0</v>
      </c>
      <c r="L1023" s="7">
        <v>0</v>
      </c>
      <c r="M1023" s="7">
        <v>0</v>
      </c>
      <c r="N1023" s="7">
        <v>0</v>
      </c>
      <c r="O1023" s="7">
        <v>0</v>
      </c>
      <c r="P1023" s="7">
        <v>0</v>
      </c>
      <c r="Q1023" s="7">
        <v>0</v>
      </c>
    </row>
    <row r="1024" spans="1:17">
      <c r="A1024" s="2">
        <v>2972</v>
      </c>
      <c r="B1024" s="7">
        <v>0</v>
      </c>
      <c r="C1024" s="7">
        <v>0</v>
      </c>
      <c r="D1024" s="7">
        <v>0</v>
      </c>
      <c r="E1024" s="7">
        <v>0</v>
      </c>
      <c r="F1024" s="7">
        <v>0</v>
      </c>
      <c r="G1024" s="7">
        <v>0</v>
      </c>
      <c r="H1024" s="7">
        <v>0</v>
      </c>
      <c r="I1024" s="7">
        <v>0</v>
      </c>
      <c r="J1024" s="7">
        <v>0</v>
      </c>
      <c r="K1024" s="7">
        <v>0</v>
      </c>
      <c r="L1024" s="7">
        <v>0</v>
      </c>
      <c r="M1024" s="7">
        <v>0</v>
      </c>
      <c r="N1024" s="7">
        <v>0</v>
      </c>
      <c r="O1024" s="7">
        <v>0</v>
      </c>
      <c r="P1024" s="7">
        <v>0</v>
      </c>
      <c r="Q1024" s="7">
        <v>0</v>
      </c>
    </row>
    <row r="1025" spans="1:17">
      <c r="A1025" s="2">
        <v>2973</v>
      </c>
      <c r="B1025" s="7">
        <v>0</v>
      </c>
      <c r="C1025" s="7">
        <v>0</v>
      </c>
      <c r="D1025" s="7">
        <v>0</v>
      </c>
      <c r="E1025" s="7">
        <v>0</v>
      </c>
      <c r="F1025" s="7">
        <v>0</v>
      </c>
      <c r="G1025" s="7">
        <v>0</v>
      </c>
      <c r="H1025" s="7">
        <v>0</v>
      </c>
      <c r="I1025" s="7">
        <v>0</v>
      </c>
      <c r="J1025" s="7">
        <v>0</v>
      </c>
      <c r="K1025" s="7">
        <v>0</v>
      </c>
      <c r="L1025" s="7">
        <v>0</v>
      </c>
      <c r="M1025" s="7">
        <v>0</v>
      </c>
      <c r="N1025" s="7">
        <v>0</v>
      </c>
      <c r="O1025" s="7">
        <v>0</v>
      </c>
      <c r="P1025" s="7">
        <v>0</v>
      </c>
      <c r="Q1025" s="7">
        <v>0</v>
      </c>
    </row>
    <row r="1026" spans="1:17">
      <c r="A1026" s="2">
        <v>2974</v>
      </c>
      <c r="B1026" s="7">
        <v>0</v>
      </c>
      <c r="C1026" s="7">
        <v>0</v>
      </c>
      <c r="D1026" s="7">
        <v>0</v>
      </c>
      <c r="E1026" s="7">
        <v>0</v>
      </c>
      <c r="F1026" s="7">
        <v>0</v>
      </c>
      <c r="G1026" s="7">
        <v>0</v>
      </c>
      <c r="H1026" s="7">
        <v>0</v>
      </c>
      <c r="I1026" s="7">
        <v>0</v>
      </c>
      <c r="J1026" s="7">
        <v>0</v>
      </c>
      <c r="K1026" s="7">
        <v>0</v>
      </c>
      <c r="L1026" s="7">
        <v>0</v>
      </c>
      <c r="M1026" s="7">
        <v>0</v>
      </c>
      <c r="N1026" s="7">
        <v>0</v>
      </c>
      <c r="O1026" s="7">
        <v>0</v>
      </c>
      <c r="P1026" s="7">
        <v>0</v>
      </c>
      <c r="Q1026" s="7">
        <v>0</v>
      </c>
    </row>
    <row r="1027" spans="1:17">
      <c r="A1027" s="2">
        <v>2975</v>
      </c>
      <c r="B1027" s="7">
        <v>0</v>
      </c>
      <c r="C1027" s="7">
        <v>0</v>
      </c>
      <c r="D1027" s="7">
        <v>0</v>
      </c>
      <c r="E1027" s="7">
        <v>0</v>
      </c>
      <c r="F1027" s="7">
        <v>0</v>
      </c>
      <c r="G1027" s="7">
        <v>0</v>
      </c>
      <c r="H1027" s="7">
        <v>0</v>
      </c>
      <c r="I1027" s="7">
        <v>0</v>
      </c>
      <c r="J1027" s="7">
        <v>0</v>
      </c>
      <c r="K1027" s="7">
        <v>0</v>
      </c>
      <c r="L1027" s="7">
        <v>0</v>
      </c>
      <c r="M1027" s="7">
        <v>0</v>
      </c>
      <c r="N1027" s="7">
        <v>0</v>
      </c>
      <c r="O1027" s="7">
        <v>0</v>
      </c>
      <c r="P1027" s="7">
        <v>0</v>
      </c>
      <c r="Q1027" s="7">
        <v>0</v>
      </c>
    </row>
    <row r="1028" spans="1:17">
      <c r="A1028" s="2">
        <v>2976</v>
      </c>
      <c r="B1028" s="7">
        <v>0</v>
      </c>
      <c r="C1028" s="7">
        <v>0</v>
      </c>
      <c r="D1028" s="7">
        <v>0</v>
      </c>
      <c r="E1028" s="7">
        <v>0</v>
      </c>
      <c r="F1028" s="7">
        <v>0</v>
      </c>
      <c r="G1028" s="7">
        <v>0</v>
      </c>
      <c r="H1028" s="7">
        <v>0</v>
      </c>
      <c r="I1028" s="7">
        <v>0</v>
      </c>
      <c r="J1028" s="7">
        <v>0</v>
      </c>
      <c r="K1028" s="7">
        <v>0</v>
      </c>
      <c r="L1028" s="7">
        <v>0</v>
      </c>
      <c r="M1028" s="7">
        <v>0</v>
      </c>
      <c r="N1028" s="7">
        <v>0</v>
      </c>
      <c r="O1028" s="7">
        <v>0</v>
      </c>
      <c r="P1028" s="7">
        <v>0</v>
      </c>
      <c r="Q1028" s="7">
        <v>0</v>
      </c>
    </row>
    <row r="1029" spans="1:17">
      <c r="A1029" s="2">
        <v>2977</v>
      </c>
      <c r="B1029" s="7">
        <v>0</v>
      </c>
      <c r="C1029" s="7">
        <v>0</v>
      </c>
      <c r="D1029" s="7">
        <v>0</v>
      </c>
      <c r="E1029" s="7">
        <v>0</v>
      </c>
      <c r="F1029" s="7">
        <v>0</v>
      </c>
      <c r="G1029" s="7">
        <v>0</v>
      </c>
      <c r="H1029" s="7">
        <v>0</v>
      </c>
      <c r="I1029" s="7">
        <v>0</v>
      </c>
      <c r="J1029" s="7">
        <v>0</v>
      </c>
      <c r="K1029" s="7">
        <v>0</v>
      </c>
      <c r="L1029" s="7">
        <v>0</v>
      </c>
      <c r="M1029" s="7">
        <v>0</v>
      </c>
      <c r="N1029" s="7">
        <v>0</v>
      </c>
      <c r="O1029" s="7">
        <v>0</v>
      </c>
      <c r="P1029" s="7">
        <v>0</v>
      </c>
      <c r="Q1029" s="7">
        <v>0</v>
      </c>
    </row>
    <row r="1030" spans="1:17">
      <c r="A1030" s="2">
        <v>2978</v>
      </c>
      <c r="B1030" s="7">
        <v>0</v>
      </c>
      <c r="C1030" s="7">
        <v>0</v>
      </c>
      <c r="D1030" s="7">
        <v>0</v>
      </c>
      <c r="E1030" s="7">
        <v>0</v>
      </c>
      <c r="F1030" s="7">
        <v>0</v>
      </c>
      <c r="G1030" s="7">
        <v>0</v>
      </c>
      <c r="H1030" s="7">
        <v>0</v>
      </c>
      <c r="I1030" s="7">
        <v>0</v>
      </c>
      <c r="J1030" s="7">
        <v>0</v>
      </c>
      <c r="K1030" s="7">
        <v>0</v>
      </c>
      <c r="L1030" s="7">
        <v>0</v>
      </c>
      <c r="M1030" s="7">
        <v>0</v>
      </c>
      <c r="N1030" s="7">
        <v>0</v>
      </c>
      <c r="O1030" s="7">
        <v>0</v>
      </c>
      <c r="P1030" s="7">
        <v>0</v>
      </c>
      <c r="Q1030" s="7">
        <v>0</v>
      </c>
    </row>
    <row r="1031" spans="1:17">
      <c r="A1031" s="2">
        <v>2979</v>
      </c>
      <c r="B1031" s="7">
        <v>0</v>
      </c>
      <c r="C1031" s="7">
        <v>0</v>
      </c>
      <c r="D1031" s="7">
        <v>0</v>
      </c>
      <c r="E1031" s="7">
        <v>0</v>
      </c>
      <c r="F1031" s="7">
        <v>0</v>
      </c>
      <c r="G1031" s="7">
        <v>0</v>
      </c>
      <c r="H1031" s="7">
        <v>0</v>
      </c>
      <c r="I1031" s="7">
        <v>0</v>
      </c>
      <c r="J1031" s="7">
        <v>0</v>
      </c>
      <c r="K1031" s="7">
        <v>0</v>
      </c>
      <c r="L1031" s="7">
        <v>0</v>
      </c>
      <c r="M1031" s="7">
        <v>0</v>
      </c>
      <c r="N1031" s="7">
        <v>0</v>
      </c>
      <c r="O1031" s="7">
        <v>0</v>
      </c>
      <c r="P1031" s="7">
        <v>0</v>
      </c>
      <c r="Q1031" s="7">
        <v>0</v>
      </c>
    </row>
    <row r="1032" spans="1:17">
      <c r="A1032" s="2">
        <v>2980</v>
      </c>
      <c r="B1032" s="7">
        <v>0</v>
      </c>
      <c r="C1032" s="7">
        <v>0</v>
      </c>
      <c r="D1032" s="7">
        <v>0</v>
      </c>
      <c r="E1032" s="7">
        <v>0</v>
      </c>
      <c r="F1032" s="7">
        <v>0</v>
      </c>
      <c r="G1032" s="7">
        <v>0</v>
      </c>
      <c r="H1032" s="7">
        <v>0</v>
      </c>
      <c r="I1032" s="7">
        <v>0</v>
      </c>
      <c r="J1032" s="7">
        <v>0</v>
      </c>
      <c r="K1032" s="7">
        <v>0</v>
      </c>
      <c r="L1032" s="7">
        <v>0</v>
      </c>
      <c r="M1032" s="7">
        <v>0</v>
      </c>
      <c r="N1032" s="7">
        <v>0</v>
      </c>
      <c r="O1032" s="7">
        <v>0</v>
      </c>
      <c r="P1032" s="7">
        <v>0</v>
      </c>
      <c r="Q1032" s="7">
        <v>0</v>
      </c>
    </row>
    <row r="1033" spans="1:17">
      <c r="A1033" s="2">
        <v>2981</v>
      </c>
      <c r="B1033" s="7">
        <v>0</v>
      </c>
      <c r="C1033" s="7">
        <v>0</v>
      </c>
      <c r="D1033" s="7">
        <v>0</v>
      </c>
      <c r="E1033" s="7">
        <v>0</v>
      </c>
      <c r="F1033" s="7">
        <v>0</v>
      </c>
      <c r="G1033" s="7">
        <v>0</v>
      </c>
      <c r="H1033" s="7">
        <v>0</v>
      </c>
      <c r="I1033" s="7">
        <v>0</v>
      </c>
      <c r="J1033" s="7">
        <v>0</v>
      </c>
      <c r="K1033" s="7">
        <v>0</v>
      </c>
      <c r="L1033" s="7">
        <v>0</v>
      </c>
      <c r="M1033" s="7">
        <v>0</v>
      </c>
      <c r="N1033" s="7">
        <v>0</v>
      </c>
      <c r="O1033" s="7">
        <v>0</v>
      </c>
      <c r="P1033" s="7">
        <v>0</v>
      </c>
      <c r="Q1033" s="7">
        <v>0</v>
      </c>
    </row>
    <row r="1034" spans="1:17">
      <c r="A1034" s="2">
        <v>2982</v>
      </c>
      <c r="B1034" s="7">
        <v>0</v>
      </c>
      <c r="C1034" s="7">
        <v>0</v>
      </c>
      <c r="D1034" s="7">
        <v>0</v>
      </c>
      <c r="E1034" s="7">
        <v>0</v>
      </c>
      <c r="F1034" s="7">
        <v>0</v>
      </c>
      <c r="G1034" s="7">
        <v>0</v>
      </c>
      <c r="H1034" s="7">
        <v>0</v>
      </c>
      <c r="I1034" s="7">
        <v>0</v>
      </c>
      <c r="J1034" s="7">
        <v>0</v>
      </c>
      <c r="K1034" s="7">
        <v>0</v>
      </c>
      <c r="L1034" s="7">
        <v>0</v>
      </c>
      <c r="M1034" s="7">
        <v>0</v>
      </c>
      <c r="N1034" s="7">
        <v>0</v>
      </c>
      <c r="O1034" s="7">
        <v>0</v>
      </c>
      <c r="P1034" s="7">
        <v>0</v>
      </c>
      <c r="Q1034" s="7">
        <v>0</v>
      </c>
    </row>
    <row r="1035" spans="1:17">
      <c r="A1035" s="2">
        <v>2983</v>
      </c>
      <c r="B1035" s="7">
        <v>0</v>
      </c>
      <c r="C1035" s="7">
        <v>0</v>
      </c>
      <c r="D1035" s="7">
        <v>0</v>
      </c>
      <c r="E1035" s="7">
        <v>0</v>
      </c>
      <c r="F1035" s="7">
        <v>0</v>
      </c>
      <c r="G1035" s="7">
        <v>0</v>
      </c>
      <c r="H1035" s="7">
        <v>0</v>
      </c>
      <c r="I1035" s="7">
        <v>0</v>
      </c>
      <c r="J1035" s="7">
        <v>0</v>
      </c>
      <c r="K1035" s="7">
        <v>0</v>
      </c>
      <c r="L1035" s="7">
        <v>0</v>
      </c>
      <c r="M1035" s="7">
        <v>0</v>
      </c>
      <c r="N1035" s="7">
        <v>0</v>
      </c>
      <c r="O1035" s="7">
        <v>0</v>
      </c>
      <c r="P1035" s="7">
        <v>0</v>
      </c>
      <c r="Q1035" s="7">
        <v>0</v>
      </c>
    </row>
    <row r="1036" spans="1:17">
      <c r="A1036" s="2">
        <v>2984</v>
      </c>
      <c r="B1036" s="7">
        <v>0</v>
      </c>
      <c r="C1036" s="7">
        <v>0</v>
      </c>
      <c r="D1036" s="7">
        <v>0</v>
      </c>
      <c r="E1036" s="7">
        <v>0</v>
      </c>
      <c r="F1036" s="7">
        <v>0</v>
      </c>
      <c r="G1036" s="7">
        <v>0</v>
      </c>
      <c r="H1036" s="7">
        <v>0</v>
      </c>
      <c r="I1036" s="7">
        <v>0</v>
      </c>
      <c r="J1036" s="7">
        <v>0</v>
      </c>
      <c r="K1036" s="7">
        <v>0</v>
      </c>
      <c r="L1036" s="7">
        <v>0</v>
      </c>
      <c r="M1036" s="7">
        <v>0</v>
      </c>
      <c r="N1036" s="7">
        <v>0</v>
      </c>
      <c r="O1036" s="7">
        <v>0</v>
      </c>
      <c r="P1036" s="7">
        <v>0</v>
      </c>
      <c r="Q1036" s="7">
        <v>0</v>
      </c>
    </row>
    <row r="1037" spans="1:17">
      <c r="A1037" s="2">
        <v>2985</v>
      </c>
      <c r="B1037" s="7">
        <v>0</v>
      </c>
      <c r="C1037" s="7">
        <v>0</v>
      </c>
      <c r="D1037" s="7">
        <v>0</v>
      </c>
      <c r="E1037" s="7">
        <v>0</v>
      </c>
      <c r="F1037" s="7">
        <v>0</v>
      </c>
      <c r="G1037" s="7">
        <v>0</v>
      </c>
      <c r="H1037" s="7">
        <v>0</v>
      </c>
      <c r="I1037" s="7">
        <v>0</v>
      </c>
      <c r="J1037" s="7">
        <v>0</v>
      </c>
      <c r="K1037" s="7">
        <v>0</v>
      </c>
      <c r="L1037" s="7">
        <v>0</v>
      </c>
      <c r="M1037" s="7">
        <v>0</v>
      </c>
      <c r="N1037" s="7">
        <v>0</v>
      </c>
      <c r="O1037" s="7">
        <v>0</v>
      </c>
      <c r="P1037" s="7">
        <v>0</v>
      </c>
      <c r="Q1037" s="7">
        <v>0</v>
      </c>
    </row>
    <row r="1038" spans="1:17">
      <c r="A1038" s="2">
        <v>2986</v>
      </c>
      <c r="B1038" s="7">
        <v>0</v>
      </c>
      <c r="C1038" s="7">
        <v>0</v>
      </c>
      <c r="D1038" s="7">
        <v>0</v>
      </c>
      <c r="E1038" s="7">
        <v>0</v>
      </c>
      <c r="F1038" s="7">
        <v>0</v>
      </c>
      <c r="G1038" s="7">
        <v>0</v>
      </c>
      <c r="H1038" s="7">
        <v>0</v>
      </c>
      <c r="I1038" s="7">
        <v>0</v>
      </c>
      <c r="J1038" s="7">
        <v>0</v>
      </c>
      <c r="K1038" s="7">
        <v>0</v>
      </c>
      <c r="L1038" s="7">
        <v>0</v>
      </c>
      <c r="M1038" s="7">
        <v>0</v>
      </c>
      <c r="N1038" s="7">
        <v>0</v>
      </c>
      <c r="O1038" s="7">
        <v>0</v>
      </c>
      <c r="P1038" s="7">
        <v>0</v>
      </c>
      <c r="Q1038" s="7">
        <v>0</v>
      </c>
    </row>
    <row r="1039" spans="1:17">
      <c r="A1039" s="2">
        <v>2987</v>
      </c>
      <c r="B1039" s="7">
        <v>0</v>
      </c>
      <c r="C1039" s="7">
        <v>0</v>
      </c>
      <c r="D1039" s="7">
        <v>0</v>
      </c>
      <c r="E1039" s="7">
        <v>0</v>
      </c>
      <c r="F1039" s="7">
        <v>0</v>
      </c>
      <c r="G1039" s="7">
        <v>0</v>
      </c>
      <c r="H1039" s="7">
        <v>0</v>
      </c>
      <c r="I1039" s="7">
        <v>0</v>
      </c>
      <c r="J1039" s="7">
        <v>0</v>
      </c>
      <c r="K1039" s="7">
        <v>0</v>
      </c>
      <c r="L1039" s="7">
        <v>0</v>
      </c>
      <c r="M1039" s="7">
        <v>0</v>
      </c>
      <c r="N1039" s="7">
        <v>0</v>
      </c>
      <c r="O1039" s="7">
        <v>0</v>
      </c>
      <c r="P1039" s="7">
        <v>0</v>
      </c>
      <c r="Q1039" s="7">
        <v>0</v>
      </c>
    </row>
    <row r="1040" spans="1:17">
      <c r="A1040" s="2">
        <v>2988</v>
      </c>
      <c r="B1040" s="7">
        <v>0</v>
      </c>
      <c r="C1040" s="7">
        <v>0</v>
      </c>
      <c r="D1040" s="7">
        <v>0</v>
      </c>
      <c r="E1040" s="7">
        <v>0</v>
      </c>
      <c r="F1040" s="7">
        <v>0</v>
      </c>
      <c r="G1040" s="7">
        <v>0</v>
      </c>
      <c r="H1040" s="7">
        <v>0</v>
      </c>
      <c r="I1040" s="7">
        <v>0</v>
      </c>
      <c r="J1040" s="7">
        <v>0</v>
      </c>
      <c r="K1040" s="7">
        <v>0</v>
      </c>
      <c r="L1040" s="7">
        <v>0</v>
      </c>
      <c r="M1040" s="7">
        <v>0</v>
      </c>
      <c r="N1040" s="7">
        <v>0</v>
      </c>
      <c r="O1040" s="7">
        <v>0</v>
      </c>
      <c r="P1040" s="7">
        <v>0</v>
      </c>
      <c r="Q1040" s="7">
        <v>0</v>
      </c>
    </row>
    <row r="1041" spans="1:17">
      <c r="A1041" s="2">
        <v>2989</v>
      </c>
      <c r="B1041" s="7">
        <v>0</v>
      </c>
      <c r="C1041" s="7">
        <v>0</v>
      </c>
      <c r="D1041" s="7">
        <v>0</v>
      </c>
      <c r="E1041" s="7">
        <v>0</v>
      </c>
      <c r="F1041" s="7">
        <v>0</v>
      </c>
      <c r="G1041" s="7">
        <v>0</v>
      </c>
      <c r="H1041" s="7">
        <v>0</v>
      </c>
      <c r="I1041" s="7">
        <v>0</v>
      </c>
      <c r="J1041" s="7">
        <v>0</v>
      </c>
      <c r="K1041" s="7">
        <v>0</v>
      </c>
      <c r="L1041" s="7">
        <v>0</v>
      </c>
      <c r="M1041" s="7">
        <v>0</v>
      </c>
      <c r="N1041" s="7">
        <v>0</v>
      </c>
      <c r="O1041" s="7">
        <v>0</v>
      </c>
      <c r="P1041" s="7">
        <v>0</v>
      </c>
      <c r="Q1041" s="7">
        <v>0</v>
      </c>
    </row>
    <row r="1042" spans="1:17">
      <c r="A1042" s="2">
        <v>2990</v>
      </c>
      <c r="B1042" s="7">
        <v>0</v>
      </c>
      <c r="C1042" s="7">
        <v>0</v>
      </c>
      <c r="D1042" s="7">
        <v>0</v>
      </c>
      <c r="E1042" s="7">
        <v>0</v>
      </c>
      <c r="F1042" s="7">
        <v>0</v>
      </c>
      <c r="G1042" s="7">
        <v>0</v>
      </c>
      <c r="H1042" s="7">
        <v>0</v>
      </c>
      <c r="I1042" s="7">
        <v>0</v>
      </c>
      <c r="J1042" s="7">
        <v>0</v>
      </c>
      <c r="K1042" s="7">
        <v>0</v>
      </c>
      <c r="L1042" s="7">
        <v>0</v>
      </c>
      <c r="M1042" s="7">
        <v>0</v>
      </c>
      <c r="N1042" s="7">
        <v>0</v>
      </c>
      <c r="O1042" s="7">
        <v>0</v>
      </c>
      <c r="P1042" s="7">
        <v>0</v>
      </c>
      <c r="Q1042" s="7">
        <v>0</v>
      </c>
    </row>
    <row r="1043" spans="1:17">
      <c r="A1043" s="2">
        <v>2991</v>
      </c>
      <c r="B1043" s="7">
        <v>0</v>
      </c>
      <c r="C1043" s="7">
        <v>0</v>
      </c>
      <c r="D1043" s="7">
        <v>0</v>
      </c>
      <c r="E1043" s="7">
        <v>0</v>
      </c>
      <c r="F1043" s="7">
        <v>0</v>
      </c>
      <c r="G1043" s="7">
        <v>0</v>
      </c>
      <c r="H1043" s="7">
        <v>0</v>
      </c>
      <c r="I1043" s="7">
        <v>0</v>
      </c>
      <c r="J1043" s="7">
        <v>0</v>
      </c>
      <c r="K1043" s="7">
        <v>0</v>
      </c>
      <c r="L1043" s="7">
        <v>0</v>
      </c>
      <c r="M1043" s="7">
        <v>0</v>
      </c>
      <c r="N1043" s="7">
        <v>0</v>
      </c>
      <c r="O1043" s="7">
        <v>0</v>
      </c>
      <c r="P1043" s="7">
        <v>0</v>
      </c>
      <c r="Q1043" s="7">
        <v>0</v>
      </c>
    </row>
    <row r="1044" spans="1:17">
      <c r="A1044" s="2">
        <v>2992</v>
      </c>
      <c r="B1044" s="7">
        <v>0</v>
      </c>
      <c r="C1044" s="7">
        <v>0</v>
      </c>
      <c r="D1044" s="7">
        <v>0</v>
      </c>
      <c r="E1044" s="7">
        <v>0</v>
      </c>
      <c r="F1044" s="7">
        <v>0</v>
      </c>
      <c r="G1044" s="7">
        <v>0</v>
      </c>
      <c r="H1044" s="7">
        <v>0</v>
      </c>
      <c r="I1044" s="7">
        <v>0</v>
      </c>
      <c r="J1044" s="7">
        <v>0</v>
      </c>
      <c r="K1044" s="7">
        <v>0</v>
      </c>
      <c r="L1044" s="7">
        <v>0</v>
      </c>
      <c r="M1044" s="7">
        <v>0</v>
      </c>
      <c r="N1044" s="7">
        <v>0</v>
      </c>
      <c r="O1044" s="7">
        <v>0</v>
      </c>
      <c r="P1044" s="7">
        <v>0</v>
      </c>
      <c r="Q1044" s="7">
        <v>0</v>
      </c>
    </row>
    <row r="1045" spans="1:17">
      <c r="A1045" s="2">
        <v>2993</v>
      </c>
      <c r="B1045" s="7">
        <v>0</v>
      </c>
      <c r="C1045" s="7">
        <v>0</v>
      </c>
      <c r="D1045" s="7">
        <v>0</v>
      </c>
      <c r="E1045" s="7">
        <v>0</v>
      </c>
      <c r="F1045" s="7">
        <v>0</v>
      </c>
      <c r="G1045" s="7">
        <v>0</v>
      </c>
      <c r="H1045" s="7">
        <v>0</v>
      </c>
      <c r="I1045" s="7">
        <v>0</v>
      </c>
      <c r="J1045" s="7">
        <v>0</v>
      </c>
      <c r="K1045" s="7">
        <v>0</v>
      </c>
      <c r="L1045" s="7">
        <v>0</v>
      </c>
      <c r="M1045" s="7">
        <v>0</v>
      </c>
      <c r="N1045" s="7">
        <v>0</v>
      </c>
      <c r="O1045" s="7">
        <v>0</v>
      </c>
      <c r="P1045" s="7">
        <v>0</v>
      </c>
      <c r="Q1045" s="7">
        <v>0</v>
      </c>
    </row>
    <row r="1046" spans="1:17">
      <c r="A1046" s="2">
        <v>2994</v>
      </c>
      <c r="B1046" s="7">
        <v>0</v>
      </c>
      <c r="C1046" s="7">
        <v>0</v>
      </c>
      <c r="D1046" s="7">
        <v>0</v>
      </c>
      <c r="E1046" s="7">
        <v>0</v>
      </c>
      <c r="F1046" s="7">
        <v>0</v>
      </c>
      <c r="G1046" s="7">
        <v>0</v>
      </c>
      <c r="H1046" s="7">
        <v>0</v>
      </c>
      <c r="I1046" s="7">
        <v>0</v>
      </c>
      <c r="J1046" s="7">
        <v>0</v>
      </c>
      <c r="K1046" s="7">
        <v>0</v>
      </c>
      <c r="L1046" s="7">
        <v>0</v>
      </c>
      <c r="M1046" s="7">
        <v>0</v>
      </c>
      <c r="N1046" s="7">
        <v>0</v>
      </c>
      <c r="O1046" s="7">
        <v>0</v>
      </c>
      <c r="P1046" s="7">
        <v>0</v>
      </c>
      <c r="Q1046" s="7">
        <v>0</v>
      </c>
    </row>
    <row r="1047" spans="1:17">
      <c r="A1047" s="2">
        <v>2995</v>
      </c>
      <c r="B1047" s="7">
        <v>0</v>
      </c>
      <c r="C1047" s="7">
        <v>0</v>
      </c>
      <c r="D1047" s="7">
        <v>0</v>
      </c>
      <c r="E1047" s="7">
        <v>0</v>
      </c>
      <c r="F1047" s="7">
        <v>0</v>
      </c>
      <c r="G1047" s="7">
        <v>0</v>
      </c>
      <c r="H1047" s="7">
        <v>0</v>
      </c>
      <c r="I1047" s="7">
        <v>0</v>
      </c>
      <c r="J1047" s="7">
        <v>0</v>
      </c>
      <c r="K1047" s="7">
        <v>0</v>
      </c>
      <c r="L1047" s="7">
        <v>0</v>
      </c>
      <c r="M1047" s="7">
        <v>0</v>
      </c>
      <c r="N1047" s="7">
        <v>0</v>
      </c>
      <c r="O1047" s="7">
        <v>0</v>
      </c>
      <c r="P1047" s="7">
        <v>0</v>
      </c>
      <c r="Q1047" s="7">
        <v>0</v>
      </c>
    </row>
    <row r="1048" spans="1:17">
      <c r="A1048" s="2">
        <v>2996</v>
      </c>
      <c r="B1048" s="7">
        <v>0</v>
      </c>
      <c r="C1048" s="7">
        <v>0</v>
      </c>
      <c r="D1048" s="7">
        <v>0</v>
      </c>
      <c r="E1048" s="7">
        <v>0</v>
      </c>
      <c r="F1048" s="7">
        <v>0</v>
      </c>
      <c r="G1048" s="7">
        <v>0</v>
      </c>
      <c r="H1048" s="7">
        <v>0</v>
      </c>
      <c r="I1048" s="7">
        <v>0</v>
      </c>
      <c r="J1048" s="7">
        <v>0</v>
      </c>
      <c r="K1048" s="7">
        <v>0</v>
      </c>
      <c r="L1048" s="7">
        <v>0</v>
      </c>
      <c r="M1048" s="7">
        <v>0</v>
      </c>
      <c r="N1048" s="7">
        <v>0</v>
      </c>
      <c r="O1048" s="7">
        <v>0</v>
      </c>
      <c r="P1048" s="7">
        <v>0</v>
      </c>
      <c r="Q1048" s="7">
        <v>0</v>
      </c>
    </row>
    <row r="1049" spans="1:17">
      <c r="A1049" s="2">
        <v>2997</v>
      </c>
      <c r="B1049" s="7">
        <v>0</v>
      </c>
      <c r="C1049" s="7">
        <v>0</v>
      </c>
      <c r="D1049" s="7">
        <v>0</v>
      </c>
      <c r="E1049" s="7">
        <v>0</v>
      </c>
      <c r="F1049" s="7">
        <v>0</v>
      </c>
      <c r="G1049" s="7">
        <v>0</v>
      </c>
      <c r="H1049" s="7">
        <v>0</v>
      </c>
      <c r="I1049" s="7">
        <v>0</v>
      </c>
      <c r="J1049" s="7">
        <v>0</v>
      </c>
      <c r="K1049" s="7">
        <v>0</v>
      </c>
      <c r="L1049" s="7">
        <v>0</v>
      </c>
      <c r="M1049" s="7">
        <v>0</v>
      </c>
      <c r="N1049" s="7">
        <v>0</v>
      </c>
      <c r="O1049" s="7">
        <v>0</v>
      </c>
      <c r="P1049" s="7">
        <v>0</v>
      </c>
      <c r="Q1049" s="7">
        <v>0</v>
      </c>
    </row>
    <row r="1050" spans="1:17">
      <c r="A1050" s="2">
        <v>2998</v>
      </c>
      <c r="B1050" s="7">
        <v>0</v>
      </c>
      <c r="C1050" s="7">
        <v>0</v>
      </c>
      <c r="D1050" s="7">
        <v>0</v>
      </c>
      <c r="E1050" s="7">
        <v>0</v>
      </c>
      <c r="F1050" s="7">
        <v>0</v>
      </c>
      <c r="G1050" s="7">
        <v>0</v>
      </c>
      <c r="H1050" s="7">
        <v>0</v>
      </c>
      <c r="I1050" s="7">
        <v>0</v>
      </c>
      <c r="J1050" s="7">
        <v>0</v>
      </c>
      <c r="K1050" s="7">
        <v>0</v>
      </c>
      <c r="L1050" s="7">
        <v>0</v>
      </c>
      <c r="M1050" s="7">
        <v>0</v>
      </c>
      <c r="N1050" s="7">
        <v>0</v>
      </c>
      <c r="O1050" s="7">
        <v>0</v>
      </c>
      <c r="P1050" s="7">
        <v>0</v>
      </c>
      <c r="Q1050" s="7">
        <v>0</v>
      </c>
    </row>
    <row r="1051" spans="1:17">
      <c r="A1051" s="2">
        <v>2999</v>
      </c>
      <c r="B1051" s="7">
        <v>0</v>
      </c>
      <c r="C1051" s="7">
        <v>0</v>
      </c>
      <c r="D1051" s="7">
        <v>0</v>
      </c>
      <c r="E1051" s="7">
        <v>0</v>
      </c>
      <c r="F1051" s="7">
        <v>0</v>
      </c>
      <c r="G1051" s="7">
        <v>0</v>
      </c>
      <c r="H1051" s="7">
        <v>0</v>
      </c>
      <c r="I1051" s="7">
        <v>0</v>
      </c>
      <c r="J1051" s="7">
        <v>0</v>
      </c>
      <c r="K1051" s="7">
        <v>0</v>
      </c>
      <c r="L1051" s="7">
        <v>0</v>
      </c>
      <c r="M1051" s="7">
        <v>0</v>
      </c>
      <c r="N1051" s="7">
        <v>0</v>
      </c>
      <c r="O1051" s="7">
        <v>0</v>
      </c>
      <c r="P1051" s="7">
        <v>0</v>
      </c>
      <c r="Q1051" s="7">
        <v>0</v>
      </c>
    </row>
    <row r="1052" spans="1:17">
      <c r="A1052" s="2">
        <v>3000</v>
      </c>
      <c r="B1052" s="7">
        <v>0</v>
      </c>
      <c r="C1052" s="7">
        <v>0</v>
      </c>
      <c r="D1052" s="7">
        <v>0</v>
      </c>
      <c r="E1052" s="7">
        <v>0</v>
      </c>
      <c r="F1052" s="7">
        <v>0</v>
      </c>
      <c r="G1052" s="7">
        <v>0</v>
      </c>
      <c r="H1052" s="7">
        <v>0</v>
      </c>
      <c r="I1052" s="7">
        <v>0</v>
      </c>
      <c r="J1052" s="7">
        <v>0</v>
      </c>
      <c r="K1052" s="7">
        <v>0</v>
      </c>
      <c r="L1052" s="7">
        <v>0</v>
      </c>
      <c r="M1052" s="7">
        <v>0</v>
      </c>
      <c r="N1052" s="7">
        <v>0</v>
      </c>
      <c r="O1052" s="7">
        <v>0</v>
      </c>
      <c r="P1052" s="7">
        <v>0</v>
      </c>
      <c r="Q1052" s="7">
        <v>0</v>
      </c>
    </row>
  </sheetData>
  <phoneticPr fontId="2" type="noConversion"/>
  <pageMargins left="0.78740157499999996" right="0.78740157499999996" top="0.984251969" bottom="0.984251969" header="0.4921259845" footer="0.492125984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>
  <sheetPr codeName="Tabelle6"/>
  <dimension ref="A1:Q1052"/>
  <sheetViews>
    <sheetView workbookViewId="0">
      <pane xSplit="1" ySplit="1" topLeftCell="B86" activePane="bottomRight" state="frozen"/>
      <selection pane="topRight" activeCell="B1" sqref="B1"/>
      <selection pane="bottomLeft" activeCell="A2" sqref="A2"/>
      <selection pane="bottomRight" activeCell="B127" sqref="B127:Q127"/>
    </sheetView>
  </sheetViews>
  <sheetFormatPr defaultColWidth="11.42578125" defaultRowHeight="12.75"/>
  <cols>
    <col min="1" max="1" width="5.140625" style="2" customWidth="1"/>
    <col min="2" max="3" width="5.5703125" style="2" bestFit="1" customWidth="1"/>
    <col min="4" max="4" width="5.28515625" style="2" bestFit="1" customWidth="1"/>
    <col min="5" max="7" width="4.5703125" style="2" bestFit="1" customWidth="1"/>
    <col min="8" max="8" width="4.7109375" style="2" bestFit="1" customWidth="1"/>
    <col min="9" max="9" width="5" style="2" bestFit="1" customWidth="1"/>
    <col min="10" max="10" width="6" style="2" bestFit="1" customWidth="1"/>
    <col min="11" max="11" width="7" style="2" bestFit="1" customWidth="1"/>
    <col min="12" max="12" width="6" style="2" bestFit="1" customWidth="1"/>
    <col min="13" max="13" width="7" style="2" bestFit="1" customWidth="1"/>
    <col min="14" max="14" width="6" style="2" bestFit="1" customWidth="1"/>
    <col min="15" max="15" width="5" style="2" bestFit="1" customWidth="1"/>
    <col min="16" max="16" width="7" style="2" bestFit="1" customWidth="1"/>
    <col min="17" max="17" width="4.140625" style="2" bestFit="1" customWidth="1"/>
    <col min="18" max="16384" width="11.42578125" style="2"/>
  </cols>
  <sheetData>
    <row r="1" spans="1:17" s="1" customFormat="1">
      <c r="A1" s="1" t="s">
        <v>4</v>
      </c>
      <c r="B1" s="1" t="s">
        <v>2</v>
      </c>
      <c r="C1" s="1" t="s">
        <v>3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</row>
    <row r="2" spans="1:17">
      <c r="A2" s="3">
        <v>1950</v>
      </c>
      <c r="B2" s="7">
        <v>3</v>
      </c>
      <c r="C2" s="7">
        <v>3</v>
      </c>
      <c r="D2" s="7">
        <v>0</v>
      </c>
      <c r="E2" s="7">
        <v>0</v>
      </c>
      <c r="F2" s="7">
        <v>0</v>
      </c>
      <c r="G2" s="7">
        <v>0</v>
      </c>
      <c r="H2" s="7">
        <v>0</v>
      </c>
      <c r="I2" s="7">
        <v>0</v>
      </c>
      <c r="J2" s="7">
        <v>47.31</v>
      </c>
      <c r="K2" s="7">
        <v>425.82</v>
      </c>
      <c r="L2" s="7">
        <v>59.99</v>
      </c>
      <c r="M2" s="7">
        <v>179.98</v>
      </c>
      <c r="N2" s="7">
        <v>18.84</v>
      </c>
      <c r="O2" s="7">
        <v>0</v>
      </c>
      <c r="P2" s="7">
        <v>174.72</v>
      </c>
      <c r="Q2" s="7">
        <v>0</v>
      </c>
    </row>
    <row r="3" spans="1:17">
      <c r="A3" s="2">
        <v>1951</v>
      </c>
      <c r="B3" s="7">
        <v>3</v>
      </c>
      <c r="C3" s="7">
        <v>3</v>
      </c>
      <c r="D3" s="7">
        <v>0</v>
      </c>
      <c r="E3" s="7">
        <v>0</v>
      </c>
      <c r="F3" s="7">
        <v>0</v>
      </c>
      <c r="G3" s="7">
        <v>0</v>
      </c>
      <c r="H3" s="7">
        <v>0</v>
      </c>
      <c r="I3" s="7">
        <v>0</v>
      </c>
      <c r="J3" s="7">
        <v>47.31</v>
      </c>
      <c r="K3" s="7">
        <v>425.82</v>
      </c>
      <c r="L3" s="7">
        <v>59.99</v>
      </c>
      <c r="M3" s="7">
        <v>179.98</v>
      </c>
      <c r="N3" s="7">
        <v>18.84</v>
      </c>
      <c r="O3" s="7">
        <v>0</v>
      </c>
      <c r="P3" s="7">
        <v>174.72</v>
      </c>
      <c r="Q3" s="7">
        <v>0</v>
      </c>
    </row>
    <row r="4" spans="1:17">
      <c r="A4" s="2">
        <v>1952</v>
      </c>
      <c r="B4" s="7">
        <v>3</v>
      </c>
      <c r="C4" s="7">
        <v>3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47.31</v>
      </c>
      <c r="K4" s="7">
        <v>425.82</v>
      </c>
      <c r="L4" s="7">
        <v>59.99</v>
      </c>
      <c r="M4" s="7">
        <v>179.98</v>
      </c>
      <c r="N4" s="7">
        <v>18.84</v>
      </c>
      <c r="O4" s="7">
        <v>0</v>
      </c>
      <c r="P4" s="7">
        <v>174.72</v>
      </c>
      <c r="Q4" s="7">
        <v>0</v>
      </c>
    </row>
    <row r="5" spans="1:17">
      <c r="A5" s="2">
        <v>1953</v>
      </c>
      <c r="B5" s="7">
        <v>3</v>
      </c>
      <c r="C5" s="7">
        <v>3</v>
      </c>
      <c r="D5" s="7">
        <v>0</v>
      </c>
      <c r="E5" s="7">
        <v>0</v>
      </c>
      <c r="F5" s="7">
        <v>0</v>
      </c>
      <c r="G5" s="7">
        <v>0</v>
      </c>
      <c r="H5" s="7">
        <v>0</v>
      </c>
      <c r="I5" s="7">
        <v>0</v>
      </c>
      <c r="J5" s="7">
        <v>47.31</v>
      </c>
      <c r="K5" s="7">
        <v>425.82</v>
      </c>
      <c r="L5" s="7">
        <v>59.99</v>
      </c>
      <c r="M5" s="7">
        <v>179.98</v>
      </c>
      <c r="N5" s="7">
        <v>18.84</v>
      </c>
      <c r="O5" s="7">
        <v>0</v>
      </c>
      <c r="P5" s="7">
        <v>174.72</v>
      </c>
      <c r="Q5" s="7">
        <v>0</v>
      </c>
    </row>
    <row r="6" spans="1:17">
      <c r="A6" s="2">
        <v>1954</v>
      </c>
      <c r="B6" s="7">
        <v>3</v>
      </c>
      <c r="C6" s="7">
        <v>3</v>
      </c>
      <c r="D6" s="7">
        <v>0</v>
      </c>
      <c r="E6" s="7">
        <v>0</v>
      </c>
      <c r="F6" s="7">
        <v>0</v>
      </c>
      <c r="G6" s="7">
        <v>0</v>
      </c>
      <c r="H6" s="7">
        <v>0</v>
      </c>
      <c r="I6" s="7">
        <v>0</v>
      </c>
      <c r="J6" s="7">
        <v>47.31</v>
      </c>
      <c r="K6" s="7">
        <v>425.82</v>
      </c>
      <c r="L6" s="7">
        <v>59.99</v>
      </c>
      <c r="M6" s="7">
        <v>179.98</v>
      </c>
      <c r="N6" s="7">
        <v>18.84</v>
      </c>
      <c r="O6" s="7">
        <v>0</v>
      </c>
      <c r="P6" s="7">
        <v>174.72</v>
      </c>
      <c r="Q6" s="7">
        <v>0</v>
      </c>
    </row>
    <row r="7" spans="1:17">
      <c r="A7" s="2">
        <v>1955</v>
      </c>
      <c r="B7" s="7">
        <v>3</v>
      </c>
      <c r="C7" s="7">
        <v>3</v>
      </c>
      <c r="D7" s="7">
        <v>0</v>
      </c>
      <c r="E7" s="7">
        <v>0</v>
      </c>
      <c r="F7" s="7">
        <v>0</v>
      </c>
      <c r="G7" s="7">
        <v>0</v>
      </c>
      <c r="H7" s="7">
        <v>0</v>
      </c>
      <c r="I7" s="7">
        <v>0</v>
      </c>
      <c r="J7" s="7">
        <v>47.31</v>
      </c>
      <c r="K7" s="7">
        <v>425.82</v>
      </c>
      <c r="L7" s="7">
        <v>59.99</v>
      </c>
      <c r="M7" s="7">
        <v>179.98</v>
      </c>
      <c r="N7" s="7">
        <v>18.84</v>
      </c>
      <c r="O7" s="7">
        <v>0</v>
      </c>
      <c r="P7" s="7">
        <v>174.72</v>
      </c>
      <c r="Q7" s="7">
        <v>0</v>
      </c>
    </row>
    <row r="8" spans="1:17">
      <c r="A8" s="2">
        <v>1956</v>
      </c>
      <c r="B8" s="7">
        <v>3</v>
      </c>
      <c r="C8" s="7">
        <v>3</v>
      </c>
      <c r="D8" s="7">
        <v>0</v>
      </c>
      <c r="E8" s="7">
        <v>0</v>
      </c>
      <c r="F8" s="7">
        <v>0</v>
      </c>
      <c r="G8" s="7">
        <v>0</v>
      </c>
      <c r="H8" s="7">
        <v>0</v>
      </c>
      <c r="I8" s="7">
        <v>0</v>
      </c>
      <c r="J8" s="7">
        <v>47.31</v>
      </c>
      <c r="K8" s="7">
        <v>425.82</v>
      </c>
      <c r="L8" s="7">
        <v>59.99</v>
      </c>
      <c r="M8" s="7">
        <v>179.98</v>
      </c>
      <c r="N8" s="7">
        <v>18.84</v>
      </c>
      <c r="O8" s="7">
        <v>0</v>
      </c>
      <c r="P8" s="7">
        <v>174.72</v>
      </c>
      <c r="Q8" s="7">
        <v>0</v>
      </c>
    </row>
    <row r="9" spans="1:17">
      <c r="A9" s="2">
        <v>1957</v>
      </c>
      <c r="B9" s="7">
        <v>3</v>
      </c>
      <c r="C9" s="7">
        <v>3</v>
      </c>
      <c r="D9" s="7">
        <v>0</v>
      </c>
      <c r="E9" s="7">
        <v>0</v>
      </c>
      <c r="F9" s="7">
        <v>0</v>
      </c>
      <c r="G9" s="7">
        <v>0</v>
      </c>
      <c r="H9" s="7">
        <v>0</v>
      </c>
      <c r="I9" s="7">
        <v>0</v>
      </c>
      <c r="J9" s="7">
        <v>47.31</v>
      </c>
      <c r="K9" s="7">
        <v>425.82</v>
      </c>
      <c r="L9" s="7">
        <v>59.99</v>
      </c>
      <c r="M9" s="7">
        <v>179.98</v>
      </c>
      <c r="N9" s="7">
        <v>18.84</v>
      </c>
      <c r="O9" s="7">
        <v>0</v>
      </c>
      <c r="P9" s="7">
        <v>174.72</v>
      </c>
      <c r="Q9" s="7">
        <v>0</v>
      </c>
    </row>
    <row r="10" spans="1:17">
      <c r="A10" s="2">
        <v>1958</v>
      </c>
      <c r="B10" s="7">
        <v>3</v>
      </c>
      <c r="C10" s="7">
        <v>3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47.31</v>
      </c>
      <c r="K10" s="7">
        <v>425.82</v>
      </c>
      <c r="L10" s="7">
        <v>59.99</v>
      </c>
      <c r="M10" s="7">
        <v>179.98</v>
      </c>
      <c r="N10" s="7">
        <v>18.84</v>
      </c>
      <c r="O10" s="7">
        <v>0</v>
      </c>
      <c r="P10" s="7">
        <v>174.72</v>
      </c>
      <c r="Q10" s="7">
        <v>0</v>
      </c>
    </row>
    <row r="11" spans="1:17">
      <c r="A11" s="2">
        <v>1959</v>
      </c>
      <c r="B11" s="7">
        <v>3</v>
      </c>
      <c r="C11" s="7">
        <v>3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47.31</v>
      </c>
      <c r="K11" s="7">
        <v>425.82</v>
      </c>
      <c r="L11" s="7">
        <v>59.99</v>
      </c>
      <c r="M11" s="7">
        <v>179.98</v>
      </c>
      <c r="N11" s="7">
        <v>18.84</v>
      </c>
      <c r="O11" s="7">
        <v>0</v>
      </c>
      <c r="P11" s="7">
        <v>174.72</v>
      </c>
      <c r="Q11" s="7">
        <v>0</v>
      </c>
    </row>
    <row r="12" spans="1:17">
      <c r="A12" s="2">
        <v>1960</v>
      </c>
      <c r="B12" s="7">
        <v>3</v>
      </c>
      <c r="C12" s="7">
        <v>3</v>
      </c>
      <c r="D12" s="7">
        <v>0</v>
      </c>
      <c r="E12" s="7">
        <v>0</v>
      </c>
      <c r="F12" s="7">
        <v>0</v>
      </c>
      <c r="G12" s="7">
        <v>0</v>
      </c>
      <c r="H12" s="7">
        <v>0</v>
      </c>
      <c r="I12" s="7">
        <v>0</v>
      </c>
      <c r="J12" s="7">
        <v>47.31</v>
      </c>
      <c r="K12" s="7">
        <v>425.82</v>
      </c>
      <c r="L12" s="7">
        <v>59.99</v>
      </c>
      <c r="M12" s="7">
        <v>179.98</v>
      </c>
      <c r="N12" s="7">
        <v>18.84</v>
      </c>
      <c r="O12" s="7">
        <v>0</v>
      </c>
      <c r="P12" s="7">
        <v>174.72</v>
      </c>
      <c r="Q12" s="7">
        <v>0</v>
      </c>
    </row>
    <row r="13" spans="1:17">
      <c r="A13" s="2">
        <v>1961</v>
      </c>
      <c r="B13" s="7">
        <v>3</v>
      </c>
      <c r="C13" s="7">
        <v>3</v>
      </c>
      <c r="D13" s="7">
        <v>0</v>
      </c>
      <c r="E13" s="7">
        <v>0</v>
      </c>
      <c r="F13" s="7">
        <v>0</v>
      </c>
      <c r="G13" s="7">
        <v>0</v>
      </c>
      <c r="H13" s="7">
        <v>0</v>
      </c>
      <c r="I13" s="7">
        <v>0</v>
      </c>
      <c r="J13" s="7">
        <v>47.31</v>
      </c>
      <c r="K13" s="7">
        <v>425.82</v>
      </c>
      <c r="L13" s="7">
        <v>59.99</v>
      </c>
      <c r="M13" s="7">
        <v>179.98</v>
      </c>
      <c r="N13" s="7">
        <v>18.84</v>
      </c>
      <c r="O13" s="7">
        <v>0</v>
      </c>
      <c r="P13" s="7">
        <v>174.72</v>
      </c>
      <c r="Q13" s="7">
        <v>0</v>
      </c>
    </row>
    <row r="14" spans="1:17">
      <c r="A14" s="2">
        <v>1962</v>
      </c>
      <c r="B14" s="7">
        <v>3</v>
      </c>
      <c r="C14" s="7">
        <v>3</v>
      </c>
      <c r="D14" s="7">
        <v>0</v>
      </c>
      <c r="E14" s="7">
        <v>0</v>
      </c>
      <c r="F14" s="7">
        <v>0</v>
      </c>
      <c r="G14" s="7">
        <v>0</v>
      </c>
      <c r="H14" s="7">
        <v>0</v>
      </c>
      <c r="I14" s="7">
        <v>0</v>
      </c>
      <c r="J14" s="7">
        <v>47.31</v>
      </c>
      <c r="K14" s="7">
        <v>425.82</v>
      </c>
      <c r="L14" s="7">
        <v>59.99</v>
      </c>
      <c r="M14" s="7">
        <v>179.98</v>
      </c>
      <c r="N14" s="7">
        <v>18.84</v>
      </c>
      <c r="O14" s="7">
        <v>0</v>
      </c>
      <c r="P14" s="7">
        <v>174.72</v>
      </c>
      <c r="Q14" s="7">
        <v>0</v>
      </c>
    </row>
    <row r="15" spans="1:17">
      <c r="A15" s="2">
        <v>1963</v>
      </c>
      <c r="B15" s="7">
        <v>3</v>
      </c>
      <c r="C15" s="7">
        <v>3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47.31</v>
      </c>
      <c r="K15" s="7">
        <v>425.82</v>
      </c>
      <c r="L15" s="7">
        <v>59.99</v>
      </c>
      <c r="M15" s="7">
        <v>179.98</v>
      </c>
      <c r="N15" s="7">
        <v>18.84</v>
      </c>
      <c r="O15" s="7">
        <v>0</v>
      </c>
      <c r="P15" s="7">
        <v>174.72</v>
      </c>
      <c r="Q15" s="7">
        <v>0</v>
      </c>
    </row>
    <row r="16" spans="1:17">
      <c r="A16" s="2">
        <v>1964</v>
      </c>
      <c r="B16" s="7">
        <v>3</v>
      </c>
      <c r="C16" s="7">
        <v>3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47.31</v>
      </c>
      <c r="K16" s="7">
        <v>425.82</v>
      </c>
      <c r="L16" s="7">
        <v>59.99</v>
      </c>
      <c r="M16" s="7">
        <v>179.98</v>
      </c>
      <c r="N16" s="7">
        <v>18.84</v>
      </c>
      <c r="O16" s="7">
        <v>0</v>
      </c>
      <c r="P16" s="7">
        <v>174.72</v>
      </c>
      <c r="Q16" s="7">
        <v>0</v>
      </c>
    </row>
    <row r="17" spans="1:17">
      <c r="A17" s="2">
        <v>1965</v>
      </c>
      <c r="B17" s="7">
        <v>3</v>
      </c>
      <c r="C17" s="7">
        <v>3</v>
      </c>
      <c r="D17" s="7">
        <v>0</v>
      </c>
      <c r="E17" s="7">
        <v>0</v>
      </c>
      <c r="F17" s="7">
        <v>0</v>
      </c>
      <c r="G17" s="7">
        <v>0</v>
      </c>
      <c r="H17" s="7">
        <v>0</v>
      </c>
      <c r="I17" s="7">
        <v>0</v>
      </c>
      <c r="J17" s="7">
        <v>47.31</v>
      </c>
      <c r="K17" s="7">
        <v>425.82</v>
      </c>
      <c r="L17" s="7">
        <v>59.99</v>
      </c>
      <c r="M17" s="7">
        <v>179.98</v>
      </c>
      <c r="N17" s="7">
        <v>18.84</v>
      </c>
      <c r="O17" s="7">
        <v>0</v>
      </c>
      <c r="P17" s="7">
        <v>174.72</v>
      </c>
      <c r="Q17" s="7">
        <v>0</v>
      </c>
    </row>
    <row r="18" spans="1:17">
      <c r="A18" s="2">
        <v>1966</v>
      </c>
      <c r="B18" s="7">
        <v>3</v>
      </c>
      <c r="C18" s="7">
        <v>3</v>
      </c>
      <c r="D18" s="7">
        <v>0</v>
      </c>
      <c r="E18" s="7">
        <v>0</v>
      </c>
      <c r="F18" s="7">
        <v>0</v>
      </c>
      <c r="G18" s="7">
        <v>0</v>
      </c>
      <c r="H18" s="7">
        <v>0</v>
      </c>
      <c r="I18" s="7">
        <v>0</v>
      </c>
      <c r="J18" s="7">
        <v>47.31</v>
      </c>
      <c r="K18" s="7">
        <v>425.82</v>
      </c>
      <c r="L18" s="7">
        <v>59.99</v>
      </c>
      <c r="M18" s="7">
        <v>179.98</v>
      </c>
      <c r="N18" s="7">
        <v>18.84</v>
      </c>
      <c r="O18" s="7">
        <v>0</v>
      </c>
      <c r="P18" s="7">
        <v>174.72</v>
      </c>
      <c r="Q18" s="7">
        <v>0</v>
      </c>
    </row>
    <row r="19" spans="1:17">
      <c r="A19" s="2">
        <v>1967</v>
      </c>
      <c r="B19" s="7">
        <v>3</v>
      </c>
      <c r="C19" s="7">
        <v>3</v>
      </c>
      <c r="D19" s="7">
        <v>0</v>
      </c>
      <c r="E19" s="7">
        <v>0</v>
      </c>
      <c r="F19" s="7">
        <v>0</v>
      </c>
      <c r="G19" s="7">
        <v>0</v>
      </c>
      <c r="H19" s="7">
        <v>0</v>
      </c>
      <c r="I19" s="7">
        <v>0</v>
      </c>
      <c r="J19" s="7">
        <v>47.31</v>
      </c>
      <c r="K19" s="7">
        <v>425.82</v>
      </c>
      <c r="L19" s="7">
        <v>59.99</v>
      </c>
      <c r="M19" s="7">
        <v>179.98</v>
      </c>
      <c r="N19" s="7">
        <v>18.84</v>
      </c>
      <c r="O19" s="7">
        <v>0</v>
      </c>
      <c r="P19" s="7">
        <v>174.72</v>
      </c>
      <c r="Q19" s="7">
        <v>0</v>
      </c>
    </row>
    <row r="20" spans="1:17">
      <c r="A20" s="2">
        <v>1968</v>
      </c>
      <c r="B20" s="7">
        <v>3</v>
      </c>
      <c r="C20" s="7">
        <v>3</v>
      </c>
      <c r="D20" s="7">
        <v>0</v>
      </c>
      <c r="E20" s="7">
        <v>0</v>
      </c>
      <c r="F20" s="7">
        <v>0</v>
      </c>
      <c r="G20" s="7">
        <v>0</v>
      </c>
      <c r="H20" s="7">
        <v>0</v>
      </c>
      <c r="I20" s="7">
        <v>0</v>
      </c>
      <c r="J20" s="7">
        <v>47.31</v>
      </c>
      <c r="K20" s="7">
        <v>425.82</v>
      </c>
      <c r="L20" s="7">
        <v>59.99</v>
      </c>
      <c r="M20" s="7">
        <v>179.98</v>
      </c>
      <c r="N20" s="7">
        <v>18.84</v>
      </c>
      <c r="O20" s="7">
        <v>0</v>
      </c>
      <c r="P20" s="7">
        <v>174.72</v>
      </c>
      <c r="Q20" s="7">
        <v>0</v>
      </c>
    </row>
    <row r="21" spans="1:17">
      <c r="A21" s="2">
        <v>1969</v>
      </c>
      <c r="B21" s="7">
        <v>3</v>
      </c>
      <c r="C21" s="7">
        <v>3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47.31</v>
      </c>
      <c r="K21" s="7">
        <v>425.82</v>
      </c>
      <c r="L21" s="7">
        <v>59.99</v>
      </c>
      <c r="M21" s="7">
        <v>179.98</v>
      </c>
      <c r="N21" s="7">
        <v>18.84</v>
      </c>
      <c r="O21" s="7">
        <v>0</v>
      </c>
      <c r="P21" s="7">
        <v>174.72</v>
      </c>
      <c r="Q21" s="7">
        <v>0</v>
      </c>
    </row>
    <row r="22" spans="1:17">
      <c r="A22" s="2">
        <v>1970</v>
      </c>
      <c r="B22" s="7">
        <v>3</v>
      </c>
      <c r="C22" s="7">
        <v>3</v>
      </c>
      <c r="D22" s="7">
        <v>0</v>
      </c>
      <c r="E22" s="7">
        <v>0</v>
      </c>
      <c r="F22" s="7">
        <v>0</v>
      </c>
      <c r="G22" s="7">
        <v>0</v>
      </c>
      <c r="H22" s="7">
        <v>0</v>
      </c>
      <c r="I22" s="7">
        <v>0</v>
      </c>
      <c r="J22" s="7">
        <v>47.31</v>
      </c>
      <c r="K22" s="7">
        <v>425.82</v>
      </c>
      <c r="L22" s="7">
        <v>59.99</v>
      </c>
      <c r="M22" s="7">
        <v>179.98</v>
      </c>
      <c r="N22" s="7">
        <v>18.84</v>
      </c>
      <c r="O22" s="7">
        <v>0</v>
      </c>
      <c r="P22" s="7">
        <v>174.72</v>
      </c>
      <c r="Q22" s="7">
        <v>0</v>
      </c>
    </row>
    <row r="23" spans="1:17">
      <c r="A23" s="2">
        <v>1971</v>
      </c>
      <c r="B23" s="7">
        <v>3</v>
      </c>
      <c r="C23" s="7">
        <v>3</v>
      </c>
      <c r="D23" s="7">
        <v>0</v>
      </c>
      <c r="E23" s="7">
        <v>0</v>
      </c>
      <c r="F23" s="7">
        <v>0</v>
      </c>
      <c r="G23" s="7">
        <v>0</v>
      </c>
      <c r="H23" s="7">
        <v>0</v>
      </c>
      <c r="I23" s="7">
        <v>0</v>
      </c>
      <c r="J23" s="7">
        <v>47.31</v>
      </c>
      <c r="K23" s="7">
        <v>425.82</v>
      </c>
      <c r="L23" s="7">
        <v>59.99</v>
      </c>
      <c r="M23" s="7">
        <v>179.98</v>
      </c>
      <c r="N23" s="7">
        <v>18.84</v>
      </c>
      <c r="O23" s="7">
        <v>0</v>
      </c>
      <c r="P23" s="7">
        <v>174.72</v>
      </c>
      <c r="Q23" s="7">
        <v>0</v>
      </c>
    </row>
    <row r="24" spans="1:17">
      <c r="A24" s="2">
        <v>1972</v>
      </c>
      <c r="B24" s="7">
        <v>3</v>
      </c>
      <c r="C24" s="7">
        <v>3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47.31</v>
      </c>
      <c r="K24" s="7">
        <v>425.82</v>
      </c>
      <c r="L24" s="7">
        <v>59.99</v>
      </c>
      <c r="M24" s="7">
        <v>179.98</v>
      </c>
      <c r="N24" s="7">
        <v>18.84</v>
      </c>
      <c r="O24" s="7">
        <v>0</v>
      </c>
      <c r="P24" s="7">
        <v>174.72</v>
      </c>
      <c r="Q24" s="7">
        <v>0</v>
      </c>
    </row>
    <row r="25" spans="1:17">
      <c r="A25" s="2">
        <v>1973</v>
      </c>
      <c r="B25" s="7">
        <v>3</v>
      </c>
      <c r="C25" s="7">
        <v>3</v>
      </c>
      <c r="D25" s="7">
        <v>0</v>
      </c>
      <c r="E25" s="7">
        <v>0</v>
      </c>
      <c r="F25" s="7">
        <v>0</v>
      </c>
      <c r="G25" s="7">
        <v>0</v>
      </c>
      <c r="H25" s="7">
        <v>0</v>
      </c>
      <c r="I25" s="7">
        <v>0</v>
      </c>
      <c r="J25" s="7">
        <v>47.31</v>
      </c>
      <c r="K25" s="7">
        <v>425.82</v>
      </c>
      <c r="L25" s="7">
        <v>59.99</v>
      </c>
      <c r="M25" s="7">
        <v>179.98</v>
      </c>
      <c r="N25" s="7">
        <v>18.84</v>
      </c>
      <c r="O25" s="7">
        <v>0</v>
      </c>
      <c r="P25" s="7">
        <v>174.72</v>
      </c>
      <c r="Q25" s="7">
        <v>0</v>
      </c>
    </row>
    <row r="26" spans="1:17">
      <c r="A26" s="2">
        <v>1974</v>
      </c>
      <c r="B26" s="7">
        <v>3</v>
      </c>
      <c r="C26" s="7">
        <v>3</v>
      </c>
      <c r="D26" s="7">
        <v>0</v>
      </c>
      <c r="E26" s="7">
        <v>0</v>
      </c>
      <c r="F26" s="7">
        <v>0</v>
      </c>
      <c r="G26" s="7">
        <v>0</v>
      </c>
      <c r="H26" s="7">
        <v>0</v>
      </c>
      <c r="I26" s="7">
        <v>0</v>
      </c>
      <c r="J26" s="7">
        <v>47.31</v>
      </c>
      <c r="K26" s="7">
        <v>425.82</v>
      </c>
      <c r="L26" s="7">
        <v>59.99</v>
      </c>
      <c r="M26" s="7">
        <v>179.98</v>
      </c>
      <c r="N26" s="7">
        <v>18.84</v>
      </c>
      <c r="O26" s="7">
        <v>0</v>
      </c>
      <c r="P26" s="7">
        <v>174.72</v>
      </c>
      <c r="Q26" s="7">
        <v>0</v>
      </c>
    </row>
    <row r="27" spans="1:17">
      <c r="A27" s="2">
        <v>1975</v>
      </c>
      <c r="B27" s="7">
        <v>3</v>
      </c>
      <c r="C27" s="7">
        <v>3</v>
      </c>
      <c r="D27" s="7">
        <v>0</v>
      </c>
      <c r="E27" s="7">
        <v>0</v>
      </c>
      <c r="F27" s="7">
        <v>0</v>
      </c>
      <c r="G27" s="7">
        <v>0</v>
      </c>
      <c r="H27" s="7">
        <v>0</v>
      </c>
      <c r="I27" s="7">
        <v>0</v>
      </c>
      <c r="J27" s="7">
        <v>47.31</v>
      </c>
      <c r="K27" s="7">
        <v>425.82</v>
      </c>
      <c r="L27" s="7">
        <v>59.99</v>
      </c>
      <c r="M27" s="7">
        <v>179.98</v>
      </c>
      <c r="N27" s="7">
        <v>18.84</v>
      </c>
      <c r="O27" s="7">
        <v>0</v>
      </c>
      <c r="P27" s="7">
        <v>174.72</v>
      </c>
      <c r="Q27" s="7">
        <v>0</v>
      </c>
    </row>
    <row r="28" spans="1:17">
      <c r="A28" s="2">
        <v>1976</v>
      </c>
      <c r="B28" s="7">
        <v>3</v>
      </c>
      <c r="C28" s="7">
        <v>3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47.31</v>
      </c>
      <c r="K28" s="7">
        <v>425.82</v>
      </c>
      <c r="L28" s="7">
        <v>59.99</v>
      </c>
      <c r="M28" s="7">
        <v>179.98</v>
      </c>
      <c r="N28" s="7">
        <v>18.84</v>
      </c>
      <c r="O28" s="7">
        <v>0</v>
      </c>
      <c r="P28" s="7">
        <v>174.72</v>
      </c>
      <c r="Q28" s="7">
        <v>0</v>
      </c>
    </row>
    <row r="29" spans="1:17">
      <c r="A29" s="2">
        <v>1977</v>
      </c>
      <c r="B29" s="7">
        <v>3</v>
      </c>
      <c r="C29" s="7">
        <v>3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47.31</v>
      </c>
      <c r="K29" s="7">
        <v>425.82</v>
      </c>
      <c r="L29" s="7">
        <v>59.99</v>
      </c>
      <c r="M29" s="7">
        <v>179.98</v>
      </c>
      <c r="N29" s="7">
        <v>18.84</v>
      </c>
      <c r="O29" s="7">
        <v>0</v>
      </c>
      <c r="P29" s="7">
        <v>174.72</v>
      </c>
      <c r="Q29" s="7">
        <v>0</v>
      </c>
    </row>
    <row r="30" spans="1:17">
      <c r="A30" s="2">
        <v>1978</v>
      </c>
      <c r="B30" s="7">
        <v>3</v>
      </c>
      <c r="C30" s="7">
        <v>3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47.31</v>
      </c>
      <c r="K30" s="7">
        <v>425.82</v>
      </c>
      <c r="L30" s="7">
        <v>59.99</v>
      </c>
      <c r="M30" s="7">
        <v>179.98</v>
      </c>
      <c r="N30" s="7">
        <v>18.84</v>
      </c>
      <c r="O30" s="7">
        <v>0</v>
      </c>
      <c r="P30" s="7">
        <v>174.72</v>
      </c>
      <c r="Q30" s="7">
        <v>0</v>
      </c>
    </row>
    <row r="31" spans="1:17">
      <c r="A31" s="2">
        <v>1979</v>
      </c>
      <c r="B31" s="7">
        <v>3</v>
      </c>
      <c r="C31" s="7">
        <v>3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47.31</v>
      </c>
      <c r="K31" s="7">
        <v>425.82</v>
      </c>
      <c r="L31" s="7">
        <v>59.99</v>
      </c>
      <c r="M31" s="7">
        <v>179.98</v>
      </c>
      <c r="N31" s="7">
        <v>18.84</v>
      </c>
      <c r="O31" s="7">
        <v>0</v>
      </c>
      <c r="P31" s="7">
        <v>174.72</v>
      </c>
      <c r="Q31" s="7">
        <v>0</v>
      </c>
    </row>
    <row r="32" spans="1:17">
      <c r="A32" s="2">
        <v>1980</v>
      </c>
      <c r="B32" s="7">
        <v>3</v>
      </c>
      <c r="C32" s="7">
        <v>3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47.31</v>
      </c>
      <c r="K32" s="7">
        <v>425.82</v>
      </c>
      <c r="L32" s="7">
        <v>59.99</v>
      </c>
      <c r="M32" s="7">
        <v>179.98</v>
      </c>
      <c r="N32" s="7">
        <v>18.84</v>
      </c>
      <c r="O32" s="7">
        <v>0</v>
      </c>
      <c r="P32" s="7">
        <v>174.72</v>
      </c>
      <c r="Q32" s="7">
        <v>0</v>
      </c>
    </row>
    <row r="33" spans="1:17">
      <c r="A33" s="2">
        <v>1981</v>
      </c>
      <c r="B33" s="7">
        <v>3</v>
      </c>
      <c r="C33" s="7">
        <v>3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47.31</v>
      </c>
      <c r="K33" s="7">
        <v>425.82</v>
      </c>
      <c r="L33" s="7">
        <v>59.99</v>
      </c>
      <c r="M33" s="7">
        <v>179.98</v>
      </c>
      <c r="N33" s="7">
        <v>18.84</v>
      </c>
      <c r="O33" s="7">
        <v>0</v>
      </c>
      <c r="P33" s="7">
        <v>174.72</v>
      </c>
      <c r="Q33" s="7">
        <v>0</v>
      </c>
    </row>
    <row r="34" spans="1:17">
      <c r="A34" s="2">
        <v>1982</v>
      </c>
      <c r="B34" s="7">
        <v>3</v>
      </c>
      <c r="C34" s="7">
        <v>3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47.31</v>
      </c>
      <c r="K34" s="7">
        <v>425.82</v>
      </c>
      <c r="L34" s="7">
        <v>59.99</v>
      </c>
      <c r="M34" s="7">
        <v>179.98</v>
      </c>
      <c r="N34" s="7">
        <v>18.84</v>
      </c>
      <c r="O34" s="7">
        <v>0</v>
      </c>
      <c r="P34" s="7">
        <v>174.72</v>
      </c>
      <c r="Q34" s="7">
        <v>0</v>
      </c>
    </row>
    <row r="35" spans="1:17">
      <c r="A35" s="2">
        <v>1983</v>
      </c>
      <c r="B35" s="7">
        <v>3</v>
      </c>
      <c r="C35" s="7">
        <v>3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47.31</v>
      </c>
      <c r="K35" s="7">
        <v>425.82</v>
      </c>
      <c r="L35" s="7">
        <v>59.99</v>
      </c>
      <c r="M35" s="7">
        <v>179.98</v>
      </c>
      <c r="N35" s="7">
        <v>18.84</v>
      </c>
      <c r="O35" s="7">
        <v>0</v>
      </c>
      <c r="P35" s="7">
        <v>174.72</v>
      </c>
      <c r="Q35" s="7">
        <v>0</v>
      </c>
    </row>
    <row r="36" spans="1:17">
      <c r="A36" s="2">
        <v>1984</v>
      </c>
      <c r="B36" s="7">
        <v>3</v>
      </c>
      <c r="C36" s="7">
        <v>3</v>
      </c>
      <c r="D36" s="7">
        <v>0</v>
      </c>
      <c r="E36" s="7">
        <v>0</v>
      </c>
      <c r="F36" s="7">
        <v>0</v>
      </c>
      <c r="G36" s="7">
        <v>0</v>
      </c>
      <c r="H36" s="7">
        <v>0</v>
      </c>
      <c r="I36" s="7">
        <v>0</v>
      </c>
      <c r="J36" s="7">
        <v>47.31</v>
      </c>
      <c r="K36" s="7">
        <v>425.82</v>
      </c>
      <c r="L36" s="7">
        <v>59.99</v>
      </c>
      <c r="M36" s="7">
        <v>179.98</v>
      </c>
      <c r="N36" s="7">
        <v>18.84</v>
      </c>
      <c r="O36" s="7">
        <v>0</v>
      </c>
      <c r="P36" s="7">
        <v>174.72</v>
      </c>
      <c r="Q36" s="7">
        <v>0</v>
      </c>
    </row>
    <row r="37" spans="1:17">
      <c r="A37" s="2">
        <v>1985</v>
      </c>
      <c r="B37" s="7">
        <v>3</v>
      </c>
      <c r="C37" s="7">
        <v>3</v>
      </c>
      <c r="D37" s="7">
        <v>0</v>
      </c>
      <c r="E37" s="7">
        <v>0</v>
      </c>
      <c r="F37" s="7">
        <v>0</v>
      </c>
      <c r="G37" s="7">
        <v>0</v>
      </c>
      <c r="H37" s="7">
        <v>0</v>
      </c>
      <c r="I37" s="7">
        <v>0</v>
      </c>
      <c r="J37" s="7">
        <v>47.31</v>
      </c>
      <c r="K37" s="7">
        <v>425.82</v>
      </c>
      <c r="L37" s="7">
        <v>59.99</v>
      </c>
      <c r="M37" s="7">
        <v>179.98</v>
      </c>
      <c r="N37" s="7">
        <v>18.84</v>
      </c>
      <c r="O37" s="7">
        <v>0</v>
      </c>
      <c r="P37" s="7">
        <v>174.72</v>
      </c>
      <c r="Q37" s="7">
        <v>0</v>
      </c>
    </row>
    <row r="38" spans="1:17">
      <c r="A38" s="2">
        <v>1986</v>
      </c>
      <c r="B38" s="7">
        <v>3</v>
      </c>
      <c r="C38" s="7">
        <v>3</v>
      </c>
      <c r="D38" s="7">
        <v>0</v>
      </c>
      <c r="E38" s="7">
        <v>0</v>
      </c>
      <c r="F38" s="7">
        <v>0</v>
      </c>
      <c r="G38" s="7">
        <v>0</v>
      </c>
      <c r="H38" s="7">
        <v>0</v>
      </c>
      <c r="I38" s="7">
        <v>0</v>
      </c>
      <c r="J38" s="7">
        <v>47.31</v>
      </c>
      <c r="K38" s="7">
        <v>425.82</v>
      </c>
      <c r="L38" s="7">
        <v>59.99</v>
      </c>
      <c r="M38" s="7">
        <v>179.98</v>
      </c>
      <c r="N38" s="7">
        <v>18.84</v>
      </c>
      <c r="O38" s="7">
        <v>0</v>
      </c>
      <c r="P38" s="7">
        <v>174.72</v>
      </c>
      <c r="Q38" s="7">
        <v>0</v>
      </c>
    </row>
    <row r="39" spans="1:17">
      <c r="A39" s="2">
        <v>1987</v>
      </c>
      <c r="B39" s="7">
        <v>3</v>
      </c>
      <c r="C39" s="7">
        <v>3</v>
      </c>
      <c r="D39" s="7">
        <v>0</v>
      </c>
      <c r="E39" s="7">
        <v>0</v>
      </c>
      <c r="F39" s="7">
        <v>0</v>
      </c>
      <c r="G39" s="7">
        <v>0</v>
      </c>
      <c r="H39" s="7">
        <v>0</v>
      </c>
      <c r="I39" s="7">
        <v>0</v>
      </c>
      <c r="J39" s="7">
        <v>47.31</v>
      </c>
      <c r="K39" s="7">
        <v>425.82</v>
      </c>
      <c r="L39" s="7">
        <v>59.99</v>
      </c>
      <c r="M39" s="7">
        <v>179.98</v>
      </c>
      <c r="N39" s="7">
        <v>18.84</v>
      </c>
      <c r="O39" s="7">
        <v>0</v>
      </c>
      <c r="P39" s="7">
        <v>174.72</v>
      </c>
      <c r="Q39" s="7">
        <v>0</v>
      </c>
    </row>
    <row r="40" spans="1:17">
      <c r="A40" s="2">
        <v>1988</v>
      </c>
      <c r="B40" s="7">
        <v>3</v>
      </c>
      <c r="C40" s="7">
        <v>3</v>
      </c>
      <c r="D40" s="7">
        <v>0</v>
      </c>
      <c r="E40" s="7">
        <v>0</v>
      </c>
      <c r="F40" s="7">
        <v>0</v>
      </c>
      <c r="G40" s="7">
        <v>0</v>
      </c>
      <c r="H40" s="7">
        <v>0</v>
      </c>
      <c r="I40" s="7">
        <v>0</v>
      </c>
      <c r="J40" s="7">
        <v>47.31</v>
      </c>
      <c r="K40" s="7">
        <v>425.82</v>
      </c>
      <c r="L40" s="7">
        <v>59.99</v>
      </c>
      <c r="M40" s="7">
        <v>179.98</v>
      </c>
      <c r="N40" s="7">
        <v>18.84</v>
      </c>
      <c r="O40" s="7">
        <v>0</v>
      </c>
      <c r="P40" s="7">
        <v>174.72</v>
      </c>
      <c r="Q40" s="7">
        <v>0</v>
      </c>
    </row>
    <row r="41" spans="1:17">
      <c r="A41" s="2">
        <v>1989</v>
      </c>
      <c r="B41" s="7">
        <v>3</v>
      </c>
      <c r="C41" s="7">
        <v>3</v>
      </c>
      <c r="D41" s="7">
        <v>0</v>
      </c>
      <c r="E41" s="7">
        <v>0</v>
      </c>
      <c r="F41" s="7">
        <v>0</v>
      </c>
      <c r="G41" s="7">
        <v>0</v>
      </c>
      <c r="H41" s="7">
        <v>0</v>
      </c>
      <c r="I41" s="7">
        <v>0</v>
      </c>
      <c r="J41" s="7">
        <v>47.31</v>
      </c>
      <c r="K41" s="7">
        <v>425.82</v>
      </c>
      <c r="L41" s="7">
        <v>59.99</v>
      </c>
      <c r="M41" s="7">
        <v>179.98</v>
      </c>
      <c r="N41" s="7">
        <v>18.84</v>
      </c>
      <c r="O41" s="7">
        <v>0</v>
      </c>
      <c r="P41" s="7">
        <v>174.72</v>
      </c>
      <c r="Q41" s="7">
        <v>0</v>
      </c>
    </row>
    <row r="42" spans="1:17">
      <c r="A42" s="2">
        <v>1990</v>
      </c>
      <c r="B42" s="7">
        <v>3</v>
      </c>
      <c r="C42" s="7">
        <v>3</v>
      </c>
      <c r="D42" s="7">
        <v>0</v>
      </c>
      <c r="E42" s="7">
        <v>0</v>
      </c>
      <c r="F42" s="7">
        <v>0</v>
      </c>
      <c r="G42" s="7">
        <v>0</v>
      </c>
      <c r="H42" s="7">
        <v>0</v>
      </c>
      <c r="I42" s="7">
        <v>0</v>
      </c>
      <c r="J42" s="7">
        <v>47.31</v>
      </c>
      <c r="K42" s="7">
        <v>425.82</v>
      </c>
      <c r="L42" s="7">
        <v>59.99</v>
      </c>
      <c r="M42" s="7">
        <v>179.98</v>
      </c>
      <c r="N42" s="7">
        <v>18.84</v>
      </c>
      <c r="O42" s="7">
        <v>0</v>
      </c>
      <c r="P42" s="7">
        <v>174.72</v>
      </c>
      <c r="Q42" s="7">
        <v>0</v>
      </c>
    </row>
    <row r="43" spans="1:17">
      <c r="A43" s="2">
        <v>1991</v>
      </c>
      <c r="B43" s="7">
        <v>3</v>
      </c>
      <c r="C43" s="7">
        <v>3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47.31</v>
      </c>
      <c r="K43" s="7">
        <v>425.82</v>
      </c>
      <c r="L43" s="7">
        <v>59.99</v>
      </c>
      <c r="M43" s="7">
        <v>179.98</v>
      </c>
      <c r="N43" s="7">
        <v>18.84</v>
      </c>
      <c r="O43" s="7">
        <v>0</v>
      </c>
      <c r="P43" s="7">
        <v>174.72</v>
      </c>
      <c r="Q43" s="7">
        <v>0</v>
      </c>
    </row>
    <row r="44" spans="1:17">
      <c r="A44" s="2">
        <v>1992</v>
      </c>
      <c r="B44" s="7">
        <v>3</v>
      </c>
      <c r="C44" s="7">
        <v>3</v>
      </c>
      <c r="D44" s="7">
        <v>0</v>
      </c>
      <c r="E44" s="7">
        <v>0</v>
      </c>
      <c r="F44" s="7">
        <v>0</v>
      </c>
      <c r="G44" s="7">
        <v>0</v>
      </c>
      <c r="H44" s="7">
        <v>0</v>
      </c>
      <c r="I44" s="7">
        <v>0</v>
      </c>
      <c r="J44" s="7">
        <v>47.31</v>
      </c>
      <c r="K44" s="7">
        <v>425.82</v>
      </c>
      <c r="L44" s="7">
        <v>59.99</v>
      </c>
      <c r="M44" s="7">
        <v>179.98</v>
      </c>
      <c r="N44" s="7">
        <v>18.84</v>
      </c>
      <c r="O44" s="7">
        <v>0</v>
      </c>
      <c r="P44" s="7">
        <v>174.72</v>
      </c>
      <c r="Q44" s="7">
        <v>0</v>
      </c>
    </row>
    <row r="45" spans="1:17">
      <c r="A45" s="2">
        <v>1993</v>
      </c>
      <c r="B45" s="7">
        <v>3</v>
      </c>
      <c r="C45" s="7">
        <v>3</v>
      </c>
      <c r="D45" s="7">
        <v>0</v>
      </c>
      <c r="E45" s="7">
        <v>0</v>
      </c>
      <c r="F45" s="7">
        <v>0</v>
      </c>
      <c r="G45" s="7">
        <v>0</v>
      </c>
      <c r="H45" s="7">
        <v>0</v>
      </c>
      <c r="I45" s="7">
        <v>0</v>
      </c>
      <c r="J45" s="7">
        <v>47.31</v>
      </c>
      <c r="K45" s="7">
        <v>425.82</v>
      </c>
      <c r="L45" s="7">
        <v>59.99</v>
      </c>
      <c r="M45" s="7">
        <v>179.98</v>
      </c>
      <c r="N45" s="7">
        <v>18.84</v>
      </c>
      <c r="O45" s="7">
        <v>0</v>
      </c>
      <c r="P45" s="7">
        <v>174.72</v>
      </c>
      <c r="Q45" s="7">
        <v>0</v>
      </c>
    </row>
    <row r="46" spans="1:17">
      <c r="A46" s="2">
        <v>1994</v>
      </c>
      <c r="B46" s="7">
        <v>3</v>
      </c>
      <c r="C46" s="7">
        <v>3</v>
      </c>
      <c r="D46" s="7">
        <v>0</v>
      </c>
      <c r="E46" s="7">
        <v>0</v>
      </c>
      <c r="F46" s="7">
        <v>0</v>
      </c>
      <c r="G46" s="7">
        <v>0</v>
      </c>
      <c r="H46" s="7">
        <v>0</v>
      </c>
      <c r="I46" s="7">
        <v>0</v>
      </c>
      <c r="J46" s="7">
        <v>47.31</v>
      </c>
      <c r="K46" s="7">
        <v>425.82</v>
      </c>
      <c r="L46" s="7">
        <v>59.99</v>
      </c>
      <c r="M46" s="7">
        <v>179.98</v>
      </c>
      <c r="N46" s="7">
        <v>18.84</v>
      </c>
      <c r="O46" s="7">
        <v>0</v>
      </c>
      <c r="P46" s="7">
        <v>174.72</v>
      </c>
      <c r="Q46" s="7">
        <v>0</v>
      </c>
    </row>
    <row r="47" spans="1:17">
      <c r="A47" s="2">
        <v>1995</v>
      </c>
      <c r="B47" s="7">
        <v>3</v>
      </c>
      <c r="C47" s="7">
        <v>3</v>
      </c>
      <c r="D47" s="7">
        <v>0</v>
      </c>
      <c r="E47" s="7">
        <v>0</v>
      </c>
      <c r="F47" s="7">
        <v>0</v>
      </c>
      <c r="G47" s="7">
        <v>0</v>
      </c>
      <c r="H47" s="7">
        <v>0</v>
      </c>
      <c r="I47" s="7">
        <v>0</v>
      </c>
      <c r="J47" s="7">
        <v>47.31</v>
      </c>
      <c r="K47" s="7">
        <v>425.82</v>
      </c>
      <c r="L47" s="7">
        <v>59.99</v>
      </c>
      <c r="M47" s="7">
        <v>179.98</v>
      </c>
      <c r="N47" s="7">
        <v>18.84</v>
      </c>
      <c r="O47" s="7">
        <v>0</v>
      </c>
      <c r="P47" s="7">
        <v>174.72</v>
      </c>
      <c r="Q47" s="7">
        <v>0</v>
      </c>
    </row>
    <row r="48" spans="1:17">
      <c r="A48" s="2">
        <v>1996</v>
      </c>
      <c r="B48" s="7">
        <v>3</v>
      </c>
      <c r="C48" s="7">
        <v>3</v>
      </c>
      <c r="D48" s="7">
        <v>0</v>
      </c>
      <c r="E48" s="7">
        <v>0</v>
      </c>
      <c r="F48" s="7">
        <v>0</v>
      </c>
      <c r="G48" s="7">
        <v>0</v>
      </c>
      <c r="H48" s="7">
        <v>0</v>
      </c>
      <c r="I48" s="7">
        <v>0</v>
      </c>
      <c r="J48" s="7">
        <v>47.31</v>
      </c>
      <c r="K48" s="7">
        <v>425.82</v>
      </c>
      <c r="L48" s="7">
        <v>59.99</v>
      </c>
      <c r="M48" s="7">
        <v>179.98</v>
      </c>
      <c r="N48" s="7">
        <v>18.84</v>
      </c>
      <c r="O48" s="7">
        <v>0</v>
      </c>
      <c r="P48" s="7">
        <v>174.72</v>
      </c>
      <c r="Q48" s="7">
        <v>0</v>
      </c>
    </row>
    <row r="49" spans="1:17">
      <c r="A49" s="2">
        <v>1997</v>
      </c>
      <c r="B49" s="7">
        <v>3</v>
      </c>
      <c r="C49" s="7">
        <v>3</v>
      </c>
      <c r="D49" s="7">
        <v>0</v>
      </c>
      <c r="E49" s="7">
        <v>0</v>
      </c>
      <c r="F49" s="7">
        <v>0</v>
      </c>
      <c r="G49" s="7">
        <v>0</v>
      </c>
      <c r="H49" s="7">
        <v>0</v>
      </c>
      <c r="I49" s="7">
        <v>0</v>
      </c>
      <c r="J49" s="7">
        <v>47.31</v>
      </c>
      <c r="K49" s="7">
        <v>425.82</v>
      </c>
      <c r="L49" s="7">
        <v>59.99</v>
      </c>
      <c r="M49" s="7">
        <v>179.98</v>
      </c>
      <c r="N49" s="7">
        <v>18.84</v>
      </c>
      <c r="O49" s="7">
        <v>0</v>
      </c>
      <c r="P49" s="7">
        <v>174.72</v>
      </c>
      <c r="Q49" s="7">
        <v>0</v>
      </c>
    </row>
    <row r="50" spans="1:17">
      <c r="A50" s="2">
        <v>1998</v>
      </c>
      <c r="B50" s="7">
        <v>3</v>
      </c>
      <c r="C50" s="7">
        <v>3</v>
      </c>
      <c r="D50" s="7">
        <v>0</v>
      </c>
      <c r="E50" s="7">
        <v>0</v>
      </c>
      <c r="F50" s="7">
        <v>0</v>
      </c>
      <c r="G50" s="7">
        <v>0</v>
      </c>
      <c r="H50" s="7">
        <v>0</v>
      </c>
      <c r="I50" s="7">
        <v>0</v>
      </c>
      <c r="J50" s="7">
        <v>47.31</v>
      </c>
      <c r="K50" s="7">
        <v>425.82</v>
      </c>
      <c r="L50" s="7">
        <v>59.99</v>
      </c>
      <c r="M50" s="7">
        <v>179.98</v>
      </c>
      <c r="N50" s="7">
        <v>18.84</v>
      </c>
      <c r="O50" s="7">
        <v>0</v>
      </c>
      <c r="P50" s="7">
        <v>174.72</v>
      </c>
      <c r="Q50" s="7">
        <v>0</v>
      </c>
    </row>
    <row r="51" spans="1:17">
      <c r="A51" s="2">
        <v>1999</v>
      </c>
      <c r="B51" s="7">
        <v>3</v>
      </c>
      <c r="C51" s="7">
        <v>3</v>
      </c>
      <c r="D51" s="7">
        <v>0</v>
      </c>
      <c r="E51" s="7">
        <v>0</v>
      </c>
      <c r="F51" s="7">
        <v>0</v>
      </c>
      <c r="G51" s="7">
        <v>0</v>
      </c>
      <c r="H51" s="7">
        <v>0</v>
      </c>
      <c r="I51" s="7">
        <v>0</v>
      </c>
      <c r="J51" s="7">
        <v>47.31</v>
      </c>
      <c r="K51" s="7">
        <v>425.82</v>
      </c>
      <c r="L51" s="7">
        <v>59.99</v>
      </c>
      <c r="M51" s="7">
        <v>179.98</v>
      </c>
      <c r="N51" s="7">
        <v>18.84</v>
      </c>
      <c r="O51" s="7">
        <v>0</v>
      </c>
      <c r="P51" s="7">
        <v>174.72</v>
      </c>
      <c r="Q51" s="7">
        <v>0</v>
      </c>
    </row>
    <row r="52" spans="1:17">
      <c r="A52" s="2">
        <v>2000</v>
      </c>
      <c r="B52" s="7">
        <v>3</v>
      </c>
      <c r="C52" s="7">
        <v>3</v>
      </c>
      <c r="D52" s="7">
        <v>0</v>
      </c>
      <c r="E52" s="7">
        <v>0</v>
      </c>
      <c r="F52" s="7">
        <v>0</v>
      </c>
      <c r="G52" s="7">
        <v>0</v>
      </c>
      <c r="H52" s="7">
        <v>0</v>
      </c>
      <c r="I52" s="7">
        <v>0</v>
      </c>
      <c r="J52" s="7">
        <v>47.31</v>
      </c>
      <c r="K52" s="7">
        <v>425.82</v>
      </c>
      <c r="L52" s="7">
        <v>59.99</v>
      </c>
      <c r="M52" s="7">
        <v>179.98</v>
      </c>
      <c r="N52" s="7">
        <v>18.84</v>
      </c>
      <c r="O52" s="7">
        <v>0</v>
      </c>
      <c r="P52" s="7">
        <v>174.72</v>
      </c>
      <c r="Q52" s="7">
        <v>0</v>
      </c>
    </row>
    <row r="53" spans="1:17">
      <c r="A53" s="2">
        <v>2001</v>
      </c>
      <c r="B53" s="7">
        <v>2.98</v>
      </c>
      <c r="C53" s="7">
        <v>2.98</v>
      </c>
      <c r="D53" s="7">
        <v>0</v>
      </c>
      <c r="E53" s="7">
        <v>0</v>
      </c>
      <c r="F53" s="7">
        <v>0</v>
      </c>
      <c r="G53" s="7">
        <v>0</v>
      </c>
      <c r="H53" s="7">
        <v>0</v>
      </c>
      <c r="I53" s="7">
        <v>0</v>
      </c>
      <c r="J53" s="7">
        <v>47.02</v>
      </c>
      <c r="K53" s="7">
        <v>423.2</v>
      </c>
      <c r="L53" s="7">
        <v>59.62</v>
      </c>
      <c r="M53" s="7">
        <v>178.87</v>
      </c>
      <c r="N53" s="7">
        <v>18.72</v>
      </c>
      <c r="O53" s="7">
        <v>0</v>
      </c>
      <c r="P53" s="7">
        <v>173.64</v>
      </c>
      <c r="Q53" s="7">
        <v>0</v>
      </c>
    </row>
    <row r="54" spans="1:17">
      <c r="A54" s="2">
        <v>2002</v>
      </c>
      <c r="B54" s="7">
        <v>2.97</v>
      </c>
      <c r="C54" s="7">
        <v>2.97</v>
      </c>
      <c r="D54" s="7">
        <v>0</v>
      </c>
      <c r="E54" s="7">
        <v>0</v>
      </c>
      <c r="F54" s="7">
        <v>0</v>
      </c>
      <c r="G54" s="7">
        <v>0</v>
      </c>
      <c r="H54" s="7">
        <v>0</v>
      </c>
      <c r="I54" s="7">
        <v>0</v>
      </c>
      <c r="J54" s="7">
        <v>46.73</v>
      </c>
      <c r="K54" s="7">
        <v>420.58</v>
      </c>
      <c r="L54" s="7">
        <v>59.25</v>
      </c>
      <c r="M54" s="7">
        <v>177.76</v>
      </c>
      <c r="N54" s="7">
        <v>18.61</v>
      </c>
      <c r="O54" s="7">
        <v>0</v>
      </c>
      <c r="P54" s="7">
        <v>172.57</v>
      </c>
      <c r="Q54" s="7">
        <v>0</v>
      </c>
    </row>
    <row r="55" spans="1:17">
      <c r="A55" s="2">
        <v>2003</v>
      </c>
      <c r="B55" s="7">
        <v>2.95</v>
      </c>
      <c r="C55" s="7">
        <v>2.95</v>
      </c>
      <c r="D55" s="7">
        <v>0</v>
      </c>
      <c r="E55" s="7">
        <v>0</v>
      </c>
      <c r="F55" s="7">
        <v>0</v>
      </c>
      <c r="G55" s="7">
        <v>0</v>
      </c>
      <c r="H55" s="7">
        <v>0</v>
      </c>
      <c r="I55" s="7">
        <v>0</v>
      </c>
      <c r="J55" s="7">
        <v>46.44</v>
      </c>
      <c r="K55" s="7">
        <v>417.95</v>
      </c>
      <c r="L55" s="7">
        <v>58.88</v>
      </c>
      <c r="M55" s="7">
        <v>176.65</v>
      </c>
      <c r="N55" s="7">
        <v>18.489999999999998</v>
      </c>
      <c r="O55" s="7">
        <v>0</v>
      </c>
      <c r="P55" s="7">
        <v>171.49</v>
      </c>
      <c r="Q55" s="7">
        <v>0</v>
      </c>
    </row>
    <row r="56" spans="1:17">
      <c r="A56" s="2">
        <v>2004</v>
      </c>
      <c r="B56" s="7">
        <v>2.93</v>
      </c>
      <c r="C56" s="7">
        <v>2.93</v>
      </c>
      <c r="D56" s="7">
        <v>0</v>
      </c>
      <c r="E56" s="7">
        <v>0</v>
      </c>
      <c r="F56" s="7">
        <v>0</v>
      </c>
      <c r="G56" s="7">
        <v>0</v>
      </c>
      <c r="H56" s="7">
        <v>0</v>
      </c>
      <c r="I56" s="7">
        <v>0</v>
      </c>
      <c r="J56" s="7">
        <v>46.15</v>
      </c>
      <c r="K56" s="7">
        <v>415.33</v>
      </c>
      <c r="L56" s="7">
        <v>58.52</v>
      </c>
      <c r="M56" s="7">
        <v>175.55</v>
      </c>
      <c r="N56" s="7">
        <v>18.37</v>
      </c>
      <c r="O56" s="7">
        <v>0</v>
      </c>
      <c r="P56" s="7">
        <v>170.42</v>
      </c>
      <c r="Q56" s="7">
        <v>0</v>
      </c>
    </row>
    <row r="57" spans="1:17">
      <c r="A57" s="2">
        <v>2005</v>
      </c>
      <c r="B57" s="7">
        <v>2.91</v>
      </c>
      <c r="C57" s="7">
        <v>2.91</v>
      </c>
      <c r="D57" s="7">
        <v>0</v>
      </c>
      <c r="E57" s="7">
        <v>0</v>
      </c>
      <c r="F57" s="7">
        <v>0</v>
      </c>
      <c r="G57" s="7">
        <v>0</v>
      </c>
      <c r="H57" s="7">
        <v>0</v>
      </c>
      <c r="I57" s="7">
        <v>0</v>
      </c>
      <c r="J57" s="7">
        <v>45.86</v>
      </c>
      <c r="K57" s="7">
        <v>412.71</v>
      </c>
      <c r="L57" s="7">
        <v>58.15</v>
      </c>
      <c r="M57" s="7">
        <v>174.44</v>
      </c>
      <c r="N57" s="7">
        <v>18.260000000000002</v>
      </c>
      <c r="O57" s="7">
        <v>0</v>
      </c>
      <c r="P57" s="7">
        <v>169.34</v>
      </c>
      <c r="Q57" s="7">
        <v>0</v>
      </c>
    </row>
    <row r="58" spans="1:17">
      <c r="A58" s="2">
        <v>2006</v>
      </c>
      <c r="B58" s="7">
        <v>2.89</v>
      </c>
      <c r="C58" s="7">
        <v>2.89</v>
      </c>
      <c r="D58" s="7">
        <v>0</v>
      </c>
      <c r="E58" s="7">
        <v>0</v>
      </c>
      <c r="F58" s="7">
        <v>0</v>
      </c>
      <c r="G58" s="7">
        <v>0</v>
      </c>
      <c r="H58" s="7">
        <v>0</v>
      </c>
      <c r="I58" s="7">
        <v>0</v>
      </c>
      <c r="J58" s="7">
        <v>45.57</v>
      </c>
      <c r="K58" s="7">
        <v>410.09</v>
      </c>
      <c r="L58" s="7">
        <v>57.78</v>
      </c>
      <c r="M58" s="7">
        <v>173.33</v>
      </c>
      <c r="N58" s="7">
        <v>18.14</v>
      </c>
      <c r="O58" s="7">
        <v>0</v>
      </c>
      <c r="P58" s="7">
        <v>168.27</v>
      </c>
      <c r="Q58" s="7">
        <v>0</v>
      </c>
    </row>
    <row r="59" spans="1:17">
      <c r="A59" s="2">
        <v>2007</v>
      </c>
      <c r="B59" s="7">
        <v>2.87</v>
      </c>
      <c r="C59" s="7">
        <v>2.87</v>
      </c>
      <c r="D59" s="7">
        <v>0</v>
      </c>
      <c r="E59" s="7">
        <v>0</v>
      </c>
      <c r="F59" s="7">
        <v>0</v>
      </c>
      <c r="G59" s="7">
        <v>0</v>
      </c>
      <c r="H59" s="7">
        <v>0</v>
      </c>
      <c r="I59" s="7">
        <v>0</v>
      </c>
      <c r="J59" s="7">
        <v>45.27</v>
      </c>
      <c r="K59" s="7">
        <v>407.47</v>
      </c>
      <c r="L59" s="7">
        <v>57.41</v>
      </c>
      <c r="M59" s="7">
        <v>172.22</v>
      </c>
      <c r="N59" s="7">
        <v>18.03</v>
      </c>
      <c r="O59" s="7">
        <v>0</v>
      </c>
      <c r="P59" s="7">
        <v>167.19</v>
      </c>
      <c r="Q59" s="7">
        <v>0</v>
      </c>
    </row>
    <row r="60" spans="1:17">
      <c r="A60" s="2">
        <v>2008</v>
      </c>
      <c r="B60" s="7">
        <v>2.86</v>
      </c>
      <c r="C60" s="7">
        <v>2.86</v>
      </c>
      <c r="D60" s="7">
        <v>0</v>
      </c>
      <c r="E60" s="7">
        <v>0</v>
      </c>
      <c r="F60" s="7">
        <v>0</v>
      </c>
      <c r="G60" s="7">
        <v>0</v>
      </c>
      <c r="H60" s="7">
        <v>0</v>
      </c>
      <c r="I60" s="7">
        <v>0</v>
      </c>
      <c r="J60" s="7">
        <v>44.98</v>
      </c>
      <c r="K60" s="7">
        <v>404.85</v>
      </c>
      <c r="L60" s="7">
        <v>57.04</v>
      </c>
      <c r="M60" s="7">
        <v>171.11</v>
      </c>
      <c r="N60" s="7">
        <v>17.91</v>
      </c>
      <c r="O60" s="7">
        <v>0</v>
      </c>
      <c r="P60" s="7">
        <v>166.12</v>
      </c>
      <c r="Q60" s="7">
        <v>0</v>
      </c>
    </row>
    <row r="61" spans="1:17">
      <c r="A61" s="2">
        <v>2009</v>
      </c>
      <c r="B61" s="7">
        <v>2.84</v>
      </c>
      <c r="C61" s="7">
        <v>2.84</v>
      </c>
      <c r="D61" s="7">
        <v>0</v>
      </c>
      <c r="E61" s="7">
        <v>0</v>
      </c>
      <c r="F61" s="7">
        <v>0</v>
      </c>
      <c r="G61" s="7">
        <v>0</v>
      </c>
      <c r="H61" s="7">
        <v>0</v>
      </c>
      <c r="I61" s="7">
        <v>0</v>
      </c>
      <c r="J61" s="7">
        <v>44.69</v>
      </c>
      <c r="K61" s="7">
        <v>402.23</v>
      </c>
      <c r="L61" s="7">
        <v>56.67</v>
      </c>
      <c r="M61" s="7">
        <v>170.01</v>
      </c>
      <c r="N61" s="7">
        <v>17.79</v>
      </c>
      <c r="O61" s="7">
        <v>0</v>
      </c>
      <c r="P61" s="7">
        <v>165.04</v>
      </c>
      <c r="Q61" s="7">
        <v>0</v>
      </c>
    </row>
    <row r="62" spans="1:17">
      <c r="A62" s="2">
        <v>2010</v>
      </c>
      <c r="B62" s="7">
        <v>2.82</v>
      </c>
      <c r="C62" s="7">
        <v>2.82</v>
      </c>
      <c r="D62" s="7">
        <v>0</v>
      </c>
      <c r="E62" s="7">
        <v>0</v>
      </c>
      <c r="F62" s="7">
        <v>0</v>
      </c>
      <c r="G62" s="7">
        <v>0</v>
      </c>
      <c r="H62" s="7">
        <v>0</v>
      </c>
      <c r="I62" s="7">
        <v>0</v>
      </c>
      <c r="J62" s="7">
        <v>44.4</v>
      </c>
      <c r="K62" s="7">
        <v>399.61</v>
      </c>
      <c r="L62" s="7">
        <v>56.3</v>
      </c>
      <c r="M62" s="7">
        <v>168.9</v>
      </c>
      <c r="N62" s="7">
        <v>17.68</v>
      </c>
      <c r="O62" s="7">
        <v>0</v>
      </c>
      <c r="P62" s="7">
        <v>163.97</v>
      </c>
      <c r="Q62" s="7">
        <v>0</v>
      </c>
    </row>
    <row r="63" spans="1:17">
      <c r="A63" s="2">
        <v>2011</v>
      </c>
      <c r="B63" s="7">
        <v>2.8</v>
      </c>
      <c r="C63" s="7">
        <v>2.8</v>
      </c>
      <c r="D63" s="7">
        <v>0</v>
      </c>
      <c r="E63" s="7">
        <v>0</v>
      </c>
      <c r="F63" s="7">
        <v>0</v>
      </c>
      <c r="G63" s="7">
        <v>0</v>
      </c>
      <c r="H63" s="7">
        <v>0</v>
      </c>
      <c r="I63" s="7">
        <v>0</v>
      </c>
      <c r="J63" s="7">
        <v>44.11</v>
      </c>
      <c r="K63" s="7">
        <v>396.99</v>
      </c>
      <c r="L63" s="7">
        <v>55.93</v>
      </c>
      <c r="M63" s="7">
        <v>167.79</v>
      </c>
      <c r="N63" s="7">
        <v>17.559999999999999</v>
      </c>
      <c r="O63" s="7">
        <v>0</v>
      </c>
      <c r="P63" s="7">
        <v>162.88999999999999</v>
      </c>
      <c r="Q63" s="7">
        <v>0</v>
      </c>
    </row>
    <row r="64" spans="1:17">
      <c r="A64" s="2">
        <v>2012</v>
      </c>
      <c r="B64" s="7">
        <v>2.78</v>
      </c>
      <c r="C64" s="7">
        <v>2.78</v>
      </c>
      <c r="D64" s="7">
        <v>0</v>
      </c>
      <c r="E64" s="7">
        <v>0</v>
      </c>
      <c r="F64" s="7">
        <v>0</v>
      </c>
      <c r="G64" s="7">
        <v>0</v>
      </c>
      <c r="H64" s="7">
        <v>0</v>
      </c>
      <c r="I64" s="7">
        <v>0</v>
      </c>
      <c r="J64" s="7">
        <v>43.82</v>
      </c>
      <c r="K64" s="7">
        <v>394.37</v>
      </c>
      <c r="L64" s="7">
        <v>55.56</v>
      </c>
      <c r="M64" s="7">
        <v>166.68</v>
      </c>
      <c r="N64" s="7">
        <v>17.45</v>
      </c>
      <c r="O64" s="7">
        <v>0</v>
      </c>
      <c r="P64" s="7">
        <v>161.82</v>
      </c>
      <c r="Q64" s="7">
        <v>0</v>
      </c>
    </row>
    <row r="65" spans="1:17">
      <c r="A65" s="2">
        <v>2013</v>
      </c>
      <c r="B65" s="7">
        <v>2.76</v>
      </c>
      <c r="C65" s="7">
        <v>2.76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43.53</v>
      </c>
      <c r="K65" s="7">
        <v>391.75</v>
      </c>
      <c r="L65" s="7">
        <v>55.19</v>
      </c>
      <c r="M65" s="7">
        <v>165.58</v>
      </c>
      <c r="N65" s="7">
        <v>17.329999999999998</v>
      </c>
      <c r="O65" s="7">
        <v>0</v>
      </c>
      <c r="P65" s="7">
        <v>160.74</v>
      </c>
      <c r="Q65" s="7">
        <v>0</v>
      </c>
    </row>
    <row r="66" spans="1:17">
      <c r="A66" s="2">
        <v>2014</v>
      </c>
      <c r="B66" s="7">
        <v>2.74</v>
      </c>
      <c r="C66" s="7">
        <v>2.74</v>
      </c>
      <c r="D66" s="7">
        <v>0</v>
      </c>
      <c r="E66" s="7">
        <v>0</v>
      </c>
      <c r="F66" s="7">
        <v>0</v>
      </c>
      <c r="G66" s="7">
        <v>0</v>
      </c>
      <c r="H66" s="7">
        <v>0</v>
      </c>
      <c r="I66" s="7">
        <v>0</v>
      </c>
      <c r="J66" s="7">
        <v>43.24</v>
      </c>
      <c r="K66" s="7">
        <v>389.13</v>
      </c>
      <c r="L66" s="7">
        <v>54.82</v>
      </c>
      <c r="M66" s="7">
        <v>164.47</v>
      </c>
      <c r="N66" s="7">
        <v>17.21</v>
      </c>
      <c r="O66" s="7">
        <v>0</v>
      </c>
      <c r="P66" s="7">
        <v>159.66999999999999</v>
      </c>
      <c r="Q66" s="7">
        <v>0</v>
      </c>
    </row>
    <row r="67" spans="1:17">
      <c r="A67" s="2">
        <v>2015</v>
      </c>
      <c r="B67" s="7">
        <v>2.73</v>
      </c>
      <c r="C67" s="7">
        <v>2.73</v>
      </c>
      <c r="D67" s="7">
        <v>0</v>
      </c>
      <c r="E67" s="7">
        <v>0</v>
      </c>
      <c r="F67" s="7">
        <v>0</v>
      </c>
      <c r="G67" s="7">
        <v>0</v>
      </c>
      <c r="H67" s="7">
        <v>0</v>
      </c>
      <c r="I67" s="7">
        <v>0</v>
      </c>
      <c r="J67" s="7">
        <v>42.95</v>
      </c>
      <c r="K67" s="7">
        <v>386.51</v>
      </c>
      <c r="L67" s="7">
        <v>54.45</v>
      </c>
      <c r="M67" s="7">
        <v>163.36000000000001</v>
      </c>
      <c r="N67" s="7">
        <v>17.100000000000001</v>
      </c>
      <c r="O67" s="7">
        <v>0</v>
      </c>
      <c r="P67" s="7">
        <v>158.59</v>
      </c>
      <c r="Q67" s="7">
        <v>0</v>
      </c>
    </row>
    <row r="68" spans="1:17">
      <c r="A68" s="2">
        <v>2016</v>
      </c>
      <c r="B68" s="7">
        <v>2.71</v>
      </c>
      <c r="C68" s="7">
        <v>2.71</v>
      </c>
      <c r="D68" s="7">
        <v>0</v>
      </c>
      <c r="E68" s="7">
        <v>0</v>
      </c>
      <c r="F68" s="7">
        <v>0</v>
      </c>
      <c r="G68" s="7">
        <v>0</v>
      </c>
      <c r="H68" s="7">
        <v>0</v>
      </c>
      <c r="I68" s="7">
        <v>0</v>
      </c>
      <c r="J68" s="7">
        <v>42.65</v>
      </c>
      <c r="K68" s="7">
        <v>383.89</v>
      </c>
      <c r="L68" s="7">
        <v>54.08</v>
      </c>
      <c r="M68" s="7">
        <v>162.25</v>
      </c>
      <c r="N68" s="7">
        <v>16.98</v>
      </c>
      <c r="O68" s="7">
        <v>0</v>
      </c>
      <c r="P68" s="7">
        <v>157.52000000000001</v>
      </c>
      <c r="Q68" s="7">
        <v>0</v>
      </c>
    </row>
    <row r="69" spans="1:17">
      <c r="A69" s="2">
        <v>2017</v>
      </c>
      <c r="B69" s="7">
        <v>2.69</v>
      </c>
      <c r="C69" s="7">
        <v>2.69</v>
      </c>
      <c r="D69" s="7">
        <v>0</v>
      </c>
      <c r="E69" s="7">
        <v>0</v>
      </c>
      <c r="F69" s="7">
        <v>0</v>
      </c>
      <c r="G69" s="7">
        <v>0</v>
      </c>
      <c r="H69" s="7">
        <v>0</v>
      </c>
      <c r="I69" s="7">
        <v>0</v>
      </c>
      <c r="J69" s="7">
        <v>42.36</v>
      </c>
      <c r="K69" s="7">
        <v>381.27</v>
      </c>
      <c r="L69" s="7">
        <v>53.72</v>
      </c>
      <c r="M69" s="7">
        <v>161.15</v>
      </c>
      <c r="N69" s="7">
        <v>16.87</v>
      </c>
      <c r="O69" s="7">
        <v>0</v>
      </c>
      <c r="P69" s="7">
        <v>156.44</v>
      </c>
      <c r="Q69" s="7">
        <v>0</v>
      </c>
    </row>
    <row r="70" spans="1:17">
      <c r="A70" s="2">
        <v>2018</v>
      </c>
      <c r="B70" s="7">
        <v>2.67</v>
      </c>
      <c r="C70" s="7">
        <v>2.67</v>
      </c>
      <c r="D70" s="7">
        <v>0</v>
      </c>
      <c r="E70" s="7">
        <v>0</v>
      </c>
      <c r="F70" s="7">
        <v>0</v>
      </c>
      <c r="G70" s="7">
        <v>0</v>
      </c>
      <c r="H70" s="7">
        <v>0</v>
      </c>
      <c r="I70" s="7">
        <v>0</v>
      </c>
      <c r="J70" s="7">
        <v>42.07</v>
      </c>
      <c r="K70" s="7">
        <v>378.65</v>
      </c>
      <c r="L70" s="7">
        <v>53.35</v>
      </c>
      <c r="M70" s="7">
        <v>160.04</v>
      </c>
      <c r="N70" s="7">
        <v>16.75</v>
      </c>
      <c r="O70" s="7">
        <v>0</v>
      </c>
      <c r="P70" s="7">
        <v>155.37</v>
      </c>
      <c r="Q70" s="7">
        <v>0</v>
      </c>
    </row>
    <row r="71" spans="1:17">
      <c r="A71" s="2">
        <v>2019</v>
      </c>
      <c r="B71" s="7">
        <v>2.65</v>
      </c>
      <c r="C71" s="7">
        <v>2.65</v>
      </c>
      <c r="D71" s="7">
        <v>0</v>
      </c>
      <c r="E71" s="7">
        <v>0</v>
      </c>
      <c r="F71" s="7">
        <v>0</v>
      </c>
      <c r="G71" s="7">
        <v>0</v>
      </c>
      <c r="H71" s="7">
        <v>0</v>
      </c>
      <c r="I71" s="7">
        <v>0</v>
      </c>
      <c r="J71" s="7">
        <v>41.78</v>
      </c>
      <c r="K71" s="7">
        <v>376.03</v>
      </c>
      <c r="L71" s="7">
        <v>52.98</v>
      </c>
      <c r="M71" s="7">
        <v>158.93</v>
      </c>
      <c r="N71" s="7">
        <v>16.63</v>
      </c>
      <c r="O71" s="7">
        <v>0</v>
      </c>
      <c r="P71" s="7">
        <v>154.29</v>
      </c>
      <c r="Q71" s="7">
        <v>0</v>
      </c>
    </row>
    <row r="72" spans="1:17">
      <c r="A72" s="2">
        <v>2020</v>
      </c>
      <c r="B72" s="7">
        <v>2.63</v>
      </c>
      <c r="C72" s="7">
        <v>2.63</v>
      </c>
      <c r="D72" s="7">
        <v>0</v>
      </c>
      <c r="E72" s="7">
        <v>0</v>
      </c>
      <c r="F72" s="7">
        <v>0</v>
      </c>
      <c r="G72" s="7">
        <v>0</v>
      </c>
      <c r="H72" s="7">
        <v>0</v>
      </c>
      <c r="I72" s="7">
        <v>0</v>
      </c>
      <c r="J72" s="7">
        <v>41.49</v>
      </c>
      <c r="K72" s="7">
        <v>373.41</v>
      </c>
      <c r="L72" s="7">
        <v>52.61</v>
      </c>
      <c r="M72" s="7">
        <v>157.82</v>
      </c>
      <c r="N72" s="7">
        <v>16.52</v>
      </c>
      <c r="O72" s="7">
        <v>0</v>
      </c>
      <c r="P72" s="7">
        <v>153.22</v>
      </c>
      <c r="Q72" s="7">
        <v>0</v>
      </c>
    </row>
    <row r="73" spans="1:17">
      <c r="A73" s="2">
        <v>2021</v>
      </c>
      <c r="B73" s="7">
        <v>2.61</v>
      </c>
      <c r="C73" s="7">
        <v>2.61</v>
      </c>
      <c r="D73" s="7">
        <v>0</v>
      </c>
      <c r="E73" s="7">
        <v>0</v>
      </c>
      <c r="F73" s="7">
        <v>0</v>
      </c>
      <c r="G73" s="7">
        <v>0</v>
      </c>
      <c r="H73" s="7">
        <v>0</v>
      </c>
      <c r="I73" s="7">
        <v>0</v>
      </c>
      <c r="J73" s="7">
        <v>41.2</v>
      </c>
      <c r="K73" s="7">
        <v>370.79</v>
      </c>
      <c r="L73" s="7">
        <v>52.24</v>
      </c>
      <c r="M73" s="7">
        <v>156.72</v>
      </c>
      <c r="N73" s="7">
        <v>16.399999999999999</v>
      </c>
      <c r="O73" s="7">
        <v>0</v>
      </c>
      <c r="P73" s="7">
        <v>152.13999999999999</v>
      </c>
      <c r="Q73" s="7">
        <v>0</v>
      </c>
    </row>
    <row r="74" spans="1:17">
      <c r="A74" s="2">
        <v>2022</v>
      </c>
      <c r="B74" s="7">
        <v>2.6</v>
      </c>
      <c r="C74" s="7">
        <v>2.6</v>
      </c>
      <c r="D74" s="7">
        <v>0</v>
      </c>
      <c r="E74" s="7">
        <v>0</v>
      </c>
      <c r="F74" s="7">
        <v>0</v>
      </c>
      <c r="G74" s="7">
        <v>0</v>
      </c>
      <c r="H74" s="7">
        <v>0</v>
      </c>
      <c r="I74" s="7">
        <v>0</v>
      </c>
      <c r="J74" s="7">
        <v>40.909999999999997</v>
      </c>
      <c r="K74" s="7">
        <v>368.17</v>
      </c>
      <c r="L74" s="7">
        <v>51.87</v>
      </c>
      <c r="M74" s="7">
        <v>155.61000000000001</v>
      </c>
      <c r="N74" s="7">
        <v>16.29</v>
      </c>
      <c r="O74" s="7">
        <v>0</v>
      </c>
      <c r="P74" s="7">
        <v>151.07</v>
      </c>
      <c r="Q74" s="7">
        <v>0</v>
      </c>
    </row>
    <row r="75" spans="1:17">
      <c r="A75" s="2">
        <v>2023</v>
      </c>
      <c r="B75" s="7">
        <v>2.58</v>
      </c>
      <c r="C75" s="7">
        <v>2.58</v>
      </c>
      <c r="D75" s="7">
        <v>0</v>
      </c>
      <c r="E75" s="7">
        <v>0</v>
      </c>
      <c r="F75" s="7">
        <v>0</v>
      </c>
      <c r="G75" s="7">
        <v>0</v>
      </c>
      <c r="H75" s="7">
        <v>0</v>
      </c>
      <c r="I75" s="7">
        <v>0</v>
      </c>
      <c r="J75" s="7">
        <v>40.619999999999997</v>
      </c>
      <c r="K75" s="7">
        <v>365.55</v>
      </c>
      <c r="L75" s="7">
        <v>51.5</v>
      </c>
      <c r="M75" s="7">
        <v>154.5</v>
      </c>
      <c r="N75" s="7">
        <v>16.170000000000002</v>
      </c>
      <c r="O75" s="7">
        <v>0</v>
      </c>
      <c r="P75" s="7">
        <v>149.99</v>
      </c>
      <c r="Q75" s="7">
        <v>0</v>
      </c>
    </row>
    <row r="76" spans="1:17">
      <c r="A76" s="2">
        <v>2024</v>
      </c>
      <c r="B76" s="7">
        <v>2.56</v>
      </c>
      <c r="C76" s="7">
        <v>2.56</v>
      </c>
      <c r="D76" s="7">
        <v>0</v>
      </c>
      <c r="E76" s="7">
        <v>0</v>
      </c>
      <c r="F76" s="7">
        <v>0</v>
      </c>
      <c r="G76" s="7">
        <v>0</v>
      </c>
      <c r="H76" s="7">
        <v>0</v>
      </c>
      <c r="I76" s="7">
        <v>0</v>
      </c>
      <c r="J76" s="7">
        <v>40.33</v>
      </c>
      <c r="K76" s="7">
        <v>362.93</v>
      </c>
      <c r="L76" s="7">
        <v>51.13</v>
      </c>
      <c r="M76" s="7">
        <v>153.38999999999999</v>
      </c>
      <c r="N76" s="7">
        <v>16.05</v>
      </c>
      <c r="O76" s="7">
        <v>0</v>
      </c>
      <c r="P76" s="7">
        <v>148.91999999999999</v>
      </c>
      <c r="Q76" s="7">
        <v>0</v>
      </c>
    </row>
    <row r="77" spans="1:17">
      <c r="A77" s="2">
        <v>2025</v>
      </c>
      <c r="B77" s="7">
        <v>2.54</v>
      </c>
      <c r="C77" s="7">
        <v>2.54</v>
      </c>
      <c r="D77" s="7">
        <v>0</v>
      </c>
      <c r="E77" s="7">
        <v>0</v>
      </c>
      <c r="F77" s="7">
        <v>0</v>
      </c>
      <c r="G77" s="7">
        <v>0</v>
      </c>
      <c r="H77" s="7">
        <v>0</v>
      </c>
      <c r="I77" s="7">
        <v>0</v>
      </c>
      <c r="J77" s="7">
        <v>40.03</v>
      </c>
      <c r="K77" s="7">
        <v>360.31</v>
      </c>
      <c r="L77" s="7">
        <v>50.76</v>
      </c>
      <c r="M77" s="7">
        <v>152.29</v>
      </c>
      <c r="N77" s="7">
        <v>15.94</v>
      </c>
      <c r="O77" s="7">
        <v>0</v>
      </c>
      <c r="P77" s="7">
        <v>147.84</v>
      </c>
      <c r="Q77" s="7">
        <v>0</v>
      </c>
    </row>
    <row r="78" spans="1:17">
      <c r="A78" s="2">
        <v>2026</v>
      </c>
      <c r="B78" s="7">
        <v>2.5099999999999998</v>
      </c>
      <c r="C78" s="7">
        <v>2.5099999999999998</v>
      </c>
      <c r="D78" s="7">
        <v>0</v>
      </c>
      <c r="E78" s="7">
        <v>0</v>
      </c>
      <c r="F78" s="7">
        <v>0</v>
      </c>
      <c r="G78" s="7">
        <v>0</v>
      </c>
      <c r="H78" s="7">
        <v>0</v>
      </c>
      <c r="I78" s="7">
        <v>0</v>
      </c>
      <c r="J78" s="7">
        <v>39.6</v>
      </c>
      <c r="K78" s="7">
        <v>356.38</v>
      </c>
      <c r="L78" s="7">
        <v>50.21</v>
      </c>
      <c r="M78" s="7">
        <v>150.63</v>
      </c>
      <c r="N78" s="7">
        <v>15.77</v>
      </c>
      <c r="O78" s="7">
        <v>0</v>
      </c>
      <c r="P78" s="7">
        <v>146.22999999999999</v>
      </c>
      <c r="Q78" s="7">
        <v>0</v>
      </c>
    </row>
    <row r="79" spans="1:17">
      <c r="A79" s="2">
        <v>2027</v>
      </c>
      <c r="B79" s="7">
        <v>2.4900000000000002</v>
      </c>
      <c r="C79" s="7">
        <v>2.4900000000000002</v>
      </c>
      <c r="D79" s="7">
        <v>0</v>
      </c>
      <c r="E79" s="7">
        <v>0</v>
      </c>
      <c r="F79" s="7">
        <v>0</v>
      </c>
      <c r="G79" s="7">
        <v>0</v>
      </c>
      <c r="H79" s="7">
        <v>0</v>
      </c>
      <c r="I79" s="7">
        <v>0</v>
      </c>
      <c r="J79" s="7">
        <v>39.159999999999997</v>
      </c>
      <c r="K79" s="7">
        <v>352.44</v>
      </c>
      <c r="L79" s="7">
        <v>49.65</v>
      </c>
      <c r="M79" s="7">
        <v>148.96</v>
      </c>
      <c r="N79" s="7">
        <v>15.59</v>
      </c>
      <c r="O79" s="7">
        <v>0</v>
      </c>
      <c r="P79" s="7">
        <v>144.61000000000001</v>
      </c>
      <c r="Q79" s="7">
        <v>0</v>
      </c>
    </row>
    <row r="80" spans="1:17">
      <c r="A80" s="2">
        <v>2028</v>
      </c>
      <c r="B80" s="7">
        <v>2.46</v>
      </c>
      <c r="C80" s="7">
        <v>2.46</v>
      </c>
      <c r="D80" s="7">
        <v>0</v>
      </c>
      <c r="E80" s="7">
        <v>0</v>
      </c>
      <c r="F80" s="7">
        <v>0</v>
      </c>
      <c r="G80" s="7">
        <v>0</v>
      </c>
      <c r="H80" s="7">
        <v>0</v>
      </c>
      <c r="I80" s="7">
        <v>0</v>
      </c>
      <c r="J80" s="7">
        <v>38.72</v>
      </c>
      <c r="K80" s="7">
        <v>348.51</v>
      </c>
      <c r="L80" s="7">
        <v>49.1</v>
      </c>
      <c r="M80" s="7">
        <v>147.30000000000001</v>
      </c>
      <c r="N80" s="7">
        <v>15.42</v>
      </c>
      <c r="O80" s="7">
        <v>0</v>
      </c>
      <c r="P80" s="7">
        <v>143</v>
      </c>
      <c r="Q80" s="7">
        <v>0</v>
      </c>
    </row>
    <row r="81" spans="1:17">
      <c r="A81" s="2">
        <v>2029</v>
      </c>
      <c r="B81" s="7">
        <v>2.4300000000000002</v>
      </c>
      <c r="C81" s="7">
        <v>2.4300000000000002</v>
      </c>
      <c r="D81" s="7">
        <v>0</v>
      </c>
      <c r="E81" s="7">
        <v>0</v>
      </c>
      <c r="F81" s="7">
        <v>0</v>
      </c>
      <c r="G81" s="7">
        <v>0</v>
      </c>
      <c r="H81" s="7">
        <v>0</v>
      </c>
      <c r="I81" s="7">
        <v>0</v>
      </c>
      <c r="J81" s="7">
        <v>38.29</v>
      </c>
      <c r="K81" s="7">
        <v>344.58</v>
      </c>
      <c r="L81" s="7">
        <v>48.55</v>
      </c>
      <c r="M81" s="7">
        <v>145.63999999999999</v>
      </c>
      <c r="N81" s="7">
        <v>15.24</v>
      </c>
      <c r="O81" s="7">
        <v>0</v>
      </c>
      <c r="P81" s="7">
        <v>141.38999999999999</v>
      </c>
      <c r="Q81" s="7">
        <v>0</v>
      </c>
    </row>
    <row r="82" spans="1:17">
      <c r="A82" s="2">
        <v>2030</v>
      </c>
      <c r="B82" s="7">
        <v>2.4</v>
      </c>
      <c r="C82" s="7">
        <v>2.4</v>
      </c>
      <c r="D82" s="7">
        <v>0</v>
      </c>
      <c r="E82" s="7">
        <v>0</v>
      </c>
      <c r="F82" s="7">
        <v>0</v>
      </c>
      <c r="G82" s="7">
        <v>0</v>
      </c>
      <c r="H82" s="7">
        <v>0</v>
      </c>
      <c r="I82" s="7">
        <v>0</v>
      </c>
      <c r="J82" s="7">
        <v>37.85</v>
      </c>
      <c r="K82" s="7">
        <v>340.65</v>
      </c>
      <c r="L82" s="7">
        <v>47.99</v>
      </c>
      <c r="M82" s="7">
        <v>143.97999999999999</v>
      </c>
      <c r="N82" s="7">
        <v>15.07</v>
      </c>
      <c r="O82" s="7">
        <v>0</v>
      </c>
      <c r="P82" s="7">
        <v>139.78</v>
      </c>
      <c r="Q82" s="7">
        <v>0</v>
      </c>
    </row>
    <row r="83" spans="1:17">
      <c r="A83" s="2">
        <v>2031</v>
      </c>
      <c r="B83" s="7">
        <v>2.37</v>
      </c>
      <c r="C83" s="7">
        <v>2.37</v>
      </c>
      <c r="D83" s="7">
        <v>0</v>
      </c>
      <c r="E83" s="7">
        <v>0</v>
      </c>
      <c r="F83" s="7">
        <v>0</v>
      </c>
      <c r="G83" s="7">
        <v>0</v>
      </c>
      <c r="H83" s="7">
        <v>0</v>
      </c>
      <c r="I83" s="7">
        <v>0</v>
      </c>
      <c r="J83" s="7">
        <v>37.409999999999997</v>
      </c>
      <c r="K83" s="7">
        <v>336.72</v>
      </c>
      <c r="L83" s="7">
        <v>47.44</v>
      </c>
      <c r="M83" s="7">
        <v>142.32</v>
      </c>
      <c r="N83" s="7">
        <v>14.9</v>
      </c>
      <c r="O83" s="7">
        <v>0</v>
      </c>
      <c r="P83" s="7">
        <v>138.16</v>
      </c>
      <c r="Q83" s="7">
        <v>0</v>
      </c>
    </row>
    <row r="84" spans="1:17">
      <c r="A84" s="2">
        <v>2032</v>
      </c>
      <c r="B84" s="7">
        <v>2.35</v>
      </c>
      <c r="C84" s="7">
        <v>2.35</v>
      </c>
      <c r="D84" s="7">
        <v>0</v>
      </c>
      <c r="E84" s="7">
        <v>0</v>
      </c>
      <c r="F84" s="7">
        <v>0</v>
      </c>
      <c r="G84" s="7">
        <v>0</v>
      </c>
      <c r="H84" s="7">
        <v>0</v>
      </c>
      <c r="I84" s="7">
        <v>0</v>
      </c>
      <c r="J84" s="7">
        <v>36.979999999999997</v>
      </c>
      <c r="K84" s="7">
        <v>332.79</v>
      </c>
      <c r="L84" s="7">
        <v>46.89</v>
      </c>
      <c r="M84" s="7">
        <v>140.66</v>
      </c>
      <c r="N84" s="7">
        <v>14.72</v>
      </c>
      <c r="O84" s="7">
        <v>0</v>
      </c>
      <c r="P84" s="7">
        <v>136.55000000000001</v>
      </c>
      <c r="Q84" s="7">
        <v>0</v>
      </c>
    </row>
    <row r="85" spans="1:17">
      <c r="A85" s="2">
        <v>2033</v>
      </c>
      <c r="B85" s="7">
        <v>2.3199999999999998</v>
      </c>
      <c r="C85" s="7">
        <v>2.3199999999999998</v>
      </c>
      <c r="D85" s="7">
        <v>0</v>
      </c>
      <c r="E85" s="7">
        <v>0</v>
      </c>
      <c r="F85" s="7">
        <v>0</v>
      </c>
      <c r="G85" s="7">
        <v>0</v>
      </c>
      <c r="H85" s="7">
        <v>0</v>
      </c>
      <c r="I85" s="7">
        <v>0</v>
      </c>
      <c r="J85" s="7">
        <v>36.54</v>
      </c>
      <c r="K85" s="7">
        <v>328.86</v>
      </c>
      <c r="L85" s="7">
        <v>46.33</v>
      </c>
      <c r="M85" s="7">
        <v>139</v>
      </c>
      <c r="N85" s="7">
        <v>14.55</v>
      </c>
      <c r="O85" s="7">
        <v>0</v>
      </c>
      <c r="P85" s="7">
        <v>134.94</v>
      </c>
      <c r="Q85" s="7">
        <v>0</v>
      </c>
    </row>
    <row r="86" spans="1:17">
      <c r="A86" s="2">
        <v>2034</v>
      </c>
      <c r="B86" s="7">
        <v>2.29</v>
      </c>
      <c r="C86" s="7">
        <v>2.29</v>
      </c>
      <c r="D86" s="7">
        <v>0</v>
      </c>
      <c r="E86" s="7">
        <v>0</v>
      </c>
      <c r="F86" s="7">
        <v>0</v>
      </c>
      <c r="G86" s="7">
        <v>0</v>
      </c>
      <c r="H86" s="7">
        <v>0</v>
      </c>
      <c r="I86" s="7">
        <v>0</v>
      </c>
      <c r="J86" s="7">
        <v>36.1</v>
      </c>
      <c r="K86" s="7">
        <v>324.93</v>
      </c>
      <c r="L86" s="7">
        <v>45.78</v>
      </c>
      <c r="M86" s="7">
        <v>137.33000000000001</v>
      </c>
      <c r="N86" s="7">
        <v>14.37</v>
      </c>
      <c r="O86" s="7">
        <v>0</v>
      </c>
      <c r="P86" s="7">
        <v>133.32</v>
      </c>
      <c r="Q86" s="7">
        <v>0</v>
      </c>
    </row>
    <row r="87" spans="1:17">
      <c r="A87" s="2">
        <v>2035</v>
      </c>
      <c r="B87" s="7">
        <v>2.2599999999999998</v>
      </c>
      <c r="C87" s="7">
        <v>2.2599999999999998</v>
      </c>
      <c r="D87" s="7">
        <v>0</v>
      </c>
      <c r="E87" s="7">
        <v>0</v>
      </c>
      <c r="F87" s="7">
        <v>0</v>
      </c>
      <c r="G87" s="7">
        <v>0</v>
      </c>
      <c r="H87" s="7">
        <v>0</v>
      </c>
      <c r="I87" s="7">
        <v>0</v>
      </c>
      <c r="J87" s="7">
        <v>35.67</v>
      </c>
      <c r="K87" s="7">
        <v>321</v>
      </c>
      <c r="L87" s="7">
        <v>45.22</v>
      </c>
      <c r="M87" s="7">
        <v>135.66999999999999</v>
      </c>
      <c r="N87" s="7">
        <v>14.2</v>
      </c>
      <c r="O87" s="7">
        <v>0</v>
      </c>
      <c r="P87" s="7">
        <v>131.71</v>
      </c>
      <c r="Q87" s="7">
        <v>0</v>
      </c>
    </row>
    <row r="88" spans="1:17">
      <c r="A88" s="2">
        <v>2036</v>
      </c>
      <c r="B88" s="7">
        <v>2.2400000000000002</v>
      </c>
      <c r="C88" s="7">
        <v>2.2400000000000002</v>
      </c>
      <c r="D88" s="7">
        <v>0</v>
      </c>
      <c r="E88" s="7">
        <v>0</v>
      </c>
      <c r="F88" s="7">
        <v>0</v>
      </c>
      <c r="G88" s="7">
        <v>0</v>
      </c>
      <c r="H88" s="7">
        <v>0</v>
      </c>
      <c r="I88" s="7">
        <v>0</v>
      </c>
      <c r="J88" s="7">
        <v>35.229999999999997</v>
      </c>
      <c r="K88" s="7">
        <v>317.07</v>
      </c>
      <c r="L88" s="7">
        <v>44.67</v>
      </c>
      <c r="M88" s="7">
        <v>134.01</v>
      </c>
      <c r="N88" s="7">
        <v>14.03</v>
      </c>
      <c r="O88" s="7">
        <v>0</v>
      </c>
      <c r="P88" s="7">
        <v>130.1</v>
      </c>
      <c r="Q88" s="7">
        <v>0</v>
      </c>
    </row>
    <row r="89" spans="1:17">
      <c r="A89" s="2">
        <v>2037</v>
      </c>
      <c r="B89" s="7">
        <v>2.21</v>
      </c>
      <c r="C89" s="7">
        <v>2.21</v>
      </c>
      <c r="D89" s="7">
        <v>0</v>
      </c>
      <c r="E89" s="7">
        <v>0</v>
      </c>
      <c r="F89" s="7">
        <v>0</v>
      </c>
      <c r="G89" s="7">
        <v>0</v>
      </c>
      <c r="H89" s="7">
        <v>0</v>
      </c>
      <c r="I89" s="7">
        <v>0</v>
      </c>
      <c r="J89" s="7">
        <v>34.79</v>
      </c>
      <c r="K89" s="7">
        <v>313.14</v>
      </c>
      <c r="L89" s="7">
        <v>44.12</v>
      </c>
      <c r="M89" s="7">
        <v>132.35</v>
      </c>
      <c r="N89" s="7">
        <v>13.85</v>
      </c>
      <c r="O89" s="7">
        <v>0</v>
      </c>
      <c r="P89" s="7">
        <v>128.49</v>
      </c>
      <c r="Q89" s="7">
        <v>0</v>
      </c>
    </row>
    <row r="90" spans="1:17">
      <c r="A90" s="2">
        <v>2038</v>
      </c>
      <c r="B90" s="7">
        <v>2.1800000000000002</v>
      </c>
      <c r="C90" s="7">
        <v>2.1800000000000002</v>
      </c>
      <c r="D90" s="7">
        <v>0</v>
      </c>
      <c r="E90" s="7">
        <v>0</v>
      </c>
      <c r="F90" s="7">
        <v>0</v>
      </c>
      <c r="G90" s="7">
        <v>0</v>
      </c>
      <c r="H90" s="7">
        <v>0</v>
      </c>
      <c r="I90" s="7">
        <v>0</v>
      </c>
      <c r="J90" s="7">
        <v>34.36</v>
      </c>
      <c r="K90" s="7">
        <v>309.20999999999998</v>
      </c>
      <c r="L90" s="7">
        <v>43.56</v>
      </c>
      <c r="M90" s="7">
        <v>130.69</v>
      </c>
      <c r="N90" s="7">
        <v>13.68</v>
      </c>
      <c r="O90" s="7">
        <v>0</v>
      </c>
      <c r="P90" s="7">
        <v>126.87</v>
      </c>
      <c r="Q90" s="7">
        <v>0</v>
      </c>
    </row>
    <row r="91" spans="1:17">
      <c r="A91" s="2">
        <v>2039</v>
      </c>
      <c r="B91" s="7">
        <v>2.15</v>
      </c>
      <c r="C91" s="7">
        <v>2.15</v>
      </c>
      <c r="D91" s="7">
        <v>0</v>
      </c>
      <c r="E91" s="7">
        <v>0</v>
      </c>
      <c r="F91" s="7">
        <v>0</v>
      </c>
      <c r="G91" s="7">
        <v>0</v>
      </c>
      <c r="H91" s="7">
        <v>0</v>
      </c>
      <c r="I91" s="7">
        <v>0</v>
      </c>
      <c r="J91" s="7">
        <v>33.92</v>
      </c>
      <c r="K91" s="7">
        <v>305.27999999999997</v>
      </c>
      <c r="L91" s="7">
        <v>43.01</v>
      </c>
      <c r="M91" s="7">
        <v>129.03</v>
      </c>
      <c r="N91" s="7">
        <v>13.5</v>
      </c>
      <c r="O91" s="7">
        <v>0</v>
      </c>
      <c r="P91" s="7">
        <v>125.26</v>
      </c>
      <c r="Q91" s="7">
        <v>0</v>
      </c>
    </row>
    <row r="92" spans="1:17">
      <c r="A92" s="2">
        <v>2040</v>
      </c>
      <c r="B92" s="7">
        <v>2.13</v>
      </c>
      <c r="C92" s="7">
        <v>2.13</v>
      </c>
      <c r="D92" s="7">
        <v>0</v>
      </c>
      <c r="E92" s="7">
        <v>0</v>
      </c>
      <c r="F92" s="7">
        <v>0</v>
      </c>
      <c r="G92" s="7">
        <v>0</v>
      </c>
      <c r="H92" s="7">
        <v>0</v>
      </c>
      <c r="I92" s="7">
        <v>0</v>
      </c>
      <c r="J92" s="7">
        <v>33.479999999999997</v>
      </c>
      <c r="K92" s="7">
        <v>301.35000000000002</v>
      </c>
      <c r="L92" s="7">
        <v>42.46</v>
      </c>
      <c r="M92" s="7">
        <v>127.37</v>
      </c>
      <c r="N92" s="7">
        <v>13.33</v>
      </c>
      <c r="O92" s="7">
        <v>0</v>
      </c>
      <c r="P92" s="7">
        <v>123.65</v>
      </c>
      <c r="Q92" s="7">
        <v>0</v>
      </c>
    </row>
    <row r="93" spans="1:17">
      <c r="A93" s="2">
        <v>2041</v>
      </c>
      <c r="B93" s="7">
        <v>2.1</v>
      </c>
      <c r="C93" s="7">
        <v>2.1</v>
      </c>
      <c r="D93" s="7">
        <v>0</v>
      </c>
      <c r="E93" s="7">
        <v>0</v>
      </c>
      <c r="F93" s="7">
        <v>0</v>
      </c>
      <c r="G93" s="7">
        <v>0</v>
      </c>
      <c r="H93" s="7">
        <v>0</v>
      </c>
      <c r="I93" s="7">
        <v>0</v>
      </c>
      <c r="J93" s="7">
        <v>33.049999999999997</v>
      </c>
      <c r="K93" s="7">
        <v>297.42</v>
      </c>
      <c r="L93" s="7">
        <v>41.9</v>
      </c>
      <c r="M93" s="7">
        <v>125.71</v>
      </c>
      <c r="N93" s="7">
        <v>13.16</v>
      </c>
      <c r="O93" s="7">
        <v>0</v>
      </c>
      <c r="P93" s="7">
        <v>122.04</v>
      </c>
      <c r="Q93" s="7">
        <v>0</v>
      </c>
    </row>
    <row r="94" spans="1:17">
      <c r="A94" s="2">
        <v>2042</v>
      </c>
      <c r="B94" s="7">
        <v>2.0699999999999998</v>
      </c>
      <c r="C94" s="7">
        <v>2.0699999999999998</v>
      </c>
      <c r="D94" s="7">
        <v>0</v>
      </c>
      <c r="E94" s="7">
        <v>0</v>
      </c>
      <c r="F94" s="7">
        <v>0</v>
      </c>
      <c r="G94" s="7">
        <v>0</v>
      </c>
      <c r="H94" s="7">
        <v>0</v>
      </c>
      <c r="I94" s="7">
        <v>0</v>
      </c>
      <c r="J94" s="7">
        <v>32.61</v>
      </c>
      <c r="K94" s="7">
        <v>293.49</v>
      </c>
      <c r="L94" s="7">
        <v>41.35</v>
      </c>
      <c r="M94" s="7">
        <v>124.04</v>
      </c>
      <c r="N94" s="7">
        <v>12.98</v>
      </c>
      <c r="O94" s="7">
        <v>0</v>
      </c>
      <c r="P94" s="7">
        <v>120.42</v>
      </c>
      <c r="Q94" s="7">
        <v>0</v>
      </c>
    </row>
    <row r="95" spans="1:17">
      <c r="A95" s="2">
        <v>2043</v>
      </c>
      <c r="B95" s="7">
        <v>2.04</v>
      </c>
      <c r="C95" s="7">
        <v>2.04</v>
      </c>
      <c r="D95" s="7">
        <v>0</v>
      </c>
      <c r="E95" s="7">
        <v>0</v>
      </c>
      <c r="F95" s="7">
        <v>0</v>
      </c>
      <c r="G95" s="7">
        <v>0</v>
      </c>
      <c r="H95" s="7">
        <v>0</v>
      </c>
      <c r="I95" s="7">
        <v>0</v>
      </c>
      <c r="J95" s="7">
        <v>32.17</v>
      </c>
      <c r="K95" s="7">
        <v>289.55</v>
      </c>
      <c r="L95" s="7">
        <v>40.79</v>
      </c>
      <c r="M95" s="7">
        <v>122.38</v>
      </c>
      <c r="N95" s="7">
        <v>12.81</v>
      </c>
      <c r="O95" s="7">
        <v>0</v>
      </c>
      <c r="P95" s="7">
        <v>118.81</v>
      </c>
      <c r="Q95" s="7">
        <v>0</v>
      </c>
    </row>
    <row r="96" spans="1:17">
      <c r="A96" s="2">
        <v>2044</v>
      </c>
      <c r="B96" s="7">
        <v>2.0099999999999998</v>
      </c>
      <c r="C96" s="7">
        <v>2.0099999999999998</v>
      </c>
      <c r="D96" s="7">
        <v>0</v>
      </c>
      <c r="E96" s="7">
        <v>0</v>
      </c>
      <c r="F96" s="7">
        <v>0</v>
      </c>
      <c r="G96" s="7">
        <v>0</v>
      </c>
      <c r="H96" s="7">
        <v>0</v>
      </c>
      <c r="I96" s="7">
        <v>0</v>
      </c>
      <c r="J96" s="7">
        <v>31.74</v>
      </c>
      <c r="K96" s="7">
        <v>285.62</v>
      </c>
      <c r="L96" s="7">
        <v>40.24</v>
      </c>
      <c r="M96" s="7">
        <v>120.72</v>
      </c>
      <c r="N96" s="7">
        <v>12.64</v>
      </c>
      <c r="O96" s="7">
        <v>0</v>
      </c>
      <c r="P96" s="7">
        <v>117.2</v>
      </c>
      <c r="Q96" s="7">
        <v>0</v>
      </c>
    </row>
    <row r="97" spans="1:17">
      <c r="A97" s="2">
        <v>2045</v>
      </c>
      <c r="B97" s="7">
        <v>1.99</v>
      </c>
      <c r="C97" s="7">
        <v>1.99</v>
      </c>
      <c r="D97" s="7">
        <v>0</v>
      </c>
      <c r="E97" s="7">
        <v>0</v>
      </c>
      <c r="F97" s="7">
        <v>0</v>
      </c>
      <c r="G97" s="7">
        <v>0</v>
      </c>
      <c r="H97" s="7">
        <v>0</v>
      </c>
      <c r="I97" s="7">
        <v>0</v>
      </c>
      <c r="J97" s="7">
        <v>31.3</v>
      </c>
      <c r="K97" s="7">
        <v>281.69</v>
      </c>
      <c r="L97" s="7">
        <v>39.69</v>
      </c>
      <c r="M97" s="7">
        <v>119.06</v>
      </c>
      <c r="N97" s="7">
        <v>12.46</v>
      </c>
      <c r="O97" s="7">
        <v>0</v>
      </c>
      <c r="P97" s="7">
        <v>115.58</v>
      </c>
      <c r="Q97" s="7">
        <v>0</v>
      </c>
    </row>
    <row r="98" spans="1:17">
      <c r="A98" s="2">
        <v>2046</v>
      </c>
      <c r="B98" s="7">
        <v>1.96</v>
      </c>
      <c r="C98" s="7">
        <v>1.96</v>
      </c>
      <c r="D98" s="7">
        <v>0</v>
      </c>
      <c r="E98" s="7">
        <v>0</v>
      </c>
      <c r="F98" s="7">
        <v>0</v>
      </c>
      <c r="G98" s="7">
        <v>0</v>
      </c>
      <c r="H98" s="7">
        <v>0</v>
      </c>
      <c r="I98" s="7">
        <v>0</v>
      </c>
      <c r="J98" s="7">
        <v>30.86</v>
      </c>
      <c r="K98" s="7">
        <v>277.76</v>
      </c>
      <c r="L98" s="7">
        <v>39.130000000000003</v>
      </c>
      <c r="M98" s="7">
        <v>117.4</v>
      </c>
      <c r="N98" s="7">
        <v>12.29</v>
      </c>
      <c r="O98" s="7">
        <v>0</v>
      </c>
      <c r="P98" s="7">
        <v>113.97</v>
      </c>
      <c r="Q98" s="7">
        <v>0</v>
      </c>
    </row>
    <row r="99" spans="1:17">
      <c r="A99" s="2">
        <v>2047</v>
      </c>
      <c r="B99" s="7">
        <v>1.93</v>
      </c>
      <c r="C99" s="7">
        <v>1.93</v>
      </c>
      <c r="D99" s="7">
        <v>0</v>
      </c>
      <c r="E99" s="7">
        <v>0</v>
      </c>
      <c r="F99" s="7">
        <v>0</v>
      </c>
      <c r="G99" s="7">
        <v>0</v>
      </c>
      <c r="H99" s="7">
        <v>0</v>
      </c>
      <c r="I99" s="7">
        <v>0</v>
      </c>
      <c r="J99" s="7">
        <v>30.43</v>
      </c>
      <c r="K99" s="7">
        <v>273.83</v>
      </c>
      <c r="L99" s="7">
        <v>38.58</v>
      </c>
      <c r="M99" s="7">
        <v>115.74</v>
      </c>
      <c r="N99" s="7">
        <v>12.11</v>
      </c>
      <c r="O99" s="7">
        <v>0</v>
      </c>
      <c r="P99" s="7">
        <v>112.36</v>
      </c>
      <c r="Q99" s="7">
        <v>0</v>
      </c>
    </row>
    <row r="100" spans="1:17">
      <c r="A100" s="2">
        <v>2048</v>
      </c>
      <c r="B100" s="7">
        <v>1.9</v>
      </c>
      <c r="C100" s="7">
        <v>1.9</v>
      </c>
      <c r="D100" s="7">
        <v>0</v>
      </c>
      <c r="E100" s="7">
        <v>0</v>
      </c>
      <c r="F100" s="7">
        <v>0</v>
      </c>
      <c r="G100" s="7">
        <v>0</v>
      </c>
      <c r="H100" s="7">
        <v>0</v>
      </c>
      <c r="I100" s="7">
        <v>0</v>
      </c>
      <c r="J100" s="7">
        <v>29.99</v>
      </c>
      <c r="K100" s="7">
        <v>269.89999999999998</v>
      </c>
      <c r="L100" s="7">
        <v>38.03</v>
      </c>
      <c r="M100" s="7">
        <v>114.08</v>
      </c>
      <c r="N100" s="7">
        <v>11.94</v>
      </c>
      <c r="O100" s="7">
        <v>0</v>
      </c>
      <c r="P100" s="7">
        <v>110.75</v>
      </c>
      <c r="Q100" s="7">
        <v>0</v>
      </c>
    </row>
    <row r="101" spans="1:17">
      <c r="A101" s="2">
        <v>2049</v>
      </c>
      <c r="B101" s="7">
        <v>1.88</v>
      </c>
      <c r="C101" s="7">
        <v>1.88</v>
      </c>
      <c r="D101" s="7">
        <v>0</v>
      </c>
      <c r="E101" s="7">
        <v>0</v>
      </c>
      <c r="F101" s="7">
        <v>0</v>
      </c>
      <c r="G101" s="7">
        <v>0</v>
      </c>
      <c r="H101" s="7">
        <v>0</v>
      </c>
      <c r="I101" s="7">
        <v>0</v>
      </c>
      <c r="J101" s="7">
        <v>29.55</v>
      </c>
      <c r="K101" s="7">
        <v>265.97000000000003</v>
      </c>
      <c r="L101" s="7">
        <v>37.47</v>
      </c>
      <c r="M101" s="7">
        <v>112.42</v>
      </c>
      <c r="N101" s="7">
        <v>11.77</v>
      </c>
      <c r="O101" s="7">
        <v>0</v>
      </c>
      <c r="P101" s="7">
        <v>109.13</v>
      </c>
      <c r="Q101" s="7">
        <v>0</v>
      </c>
    </row>
    <row r="102" spans="1:17">
      <c r="A102" s="2">
        <v>2050</v>
      </c>
      <c r="B102" s="7">
        <v>1.85</v>
      </c>
      <c r="C102" s="7">
        <v>1.85</v>
      </c>
      <c r="D102" s="7">
        <v>0</v>
      </c>
      <c r="E102" s="7">
        <v>0</v>
      </c>
      <c r="F102" s="7">
        <v>0</v>
      </c>
      <c r="G102" s="7">
        <v>0</v>
      </c>
      <c r="H102" s="7">
        <v>0</v>
      </c>
      <c r="I102" s="7">
        <v>0</v>
      </c>
      <c r="J102" s="7">
        <v>29.12</v>
      </c>
      <c r="K102" s="7">
        <v>262.04000000000002</v>
      </c>
      <c r="L102" s="7">
        <v>36.92</v>
      </c>
      <c r="M102" s="7">
        <v>110.75</v>
      </c>
      <c r="N102" s="7">
        <v>11.59</v>
      </c>
      <c r="O102" s="7">
        <v>0</v>
      </c>
      <c r="P102" s="7">
        <v>107.52</v>
      </c>
      <c r="Q102" s="7">
        <v>0</v>
      </c>
    </row>
    <row r="103" spans="1:17">
      <c r="A103" s="2">
        <v>2051</v>
      </c>
      <c r="B103" s="7">
        <v>1.81</v>
      </c>
      <c r="C103" s="7">
        <v>1.81</v>
      </c>
      <c r="D103" s="7">
        <v>0</v>
      </c>
      <c r="E103" s="7">
        <v>0</v>
      </c>
      <c r="F103" s="7">
        <v>0</v>
      </c>
      <c r="G103" s="7">
        <v>0</v>
      </c>
      <c r="H103" s="7">
        <v>0</v>
      </c>
      <c r="I103" s="7">
        <v>0</v>
      </c>
      <c r="J103" s="7">
        <v>28.46</v>
      </c>
      <c r="K103" s="7">
        <v>256.14</v>
      </c>
      <c r="L103" s="7">
        <v>36.090000000000003</v>
      </c>
      <c r="M103" s="7">
        <v>108.26</v>
      </c>
      <c r="N103" s="7">
        <v>11.33</v>
      </c>
      <c r="O103" s="7">
        <v>0</v>
      </c>
      <c r="P103" s="7">
        <v>105.1</v>
      </c>
      <c r="Q103" s="7">
        <v>0</v>
      </c>
    </row>
    <row r="104" spans="1:17">
      <c r="A104" s="2">
        <v>2052</v>
      </c>
      <c r="B104" s="7">
        <v>1.76</v>
      </c>
      <c r="C104" s="7">
        <v>1.76</v>
      </c>
      <c r="D104" s="7">
        <v>0</v>
      </c>
      <c r="E104" s="7">
        <v>0</v>
      </c>
      <c r="F104" s="7">
        <v>0</v>
      </c>
      <c r="G104" s="7">
        <v>0</v>
      </c>
      <c r="H104" s="7">
        <v>0</v>
      </c>
      <c r="I104" s="7">
        <v>0</v>
      </c>
      <c r="J104" s="7">
        <v>27.81</v>
      </c>
      <c r="K104" s="7">
        <v>250.25</v>
      </c>
      <c r="L104" s="7">
        <v>35.26</v>
      </c>
      <c r="M104" s="7">
        <v>105.77</v>
      </c>
      <c r="N104" s="7">
        <v>11.07</v>
      </c>
      <c r="O104" s="7">
        <v>0</v>
      </c>
      <c r="P104" s="7">
        <v>102.68</v>
      </c>
      <c r="Q104" s="7">
        <v>0</v>
      </c>
    </row>
    <row r="105" spans="1:17">
      <c r="A105" s="2">
        <v>2053</v>
      </c>
      <c r="B105" s="7">
        <v>1.72</v>
      </c>
      <c r="C105" s="7">
        <v>1.72</v>
      </c>
      <c r="D105" s="7">
        <v>0</v>
      </c>
      <c r="E105" s="7">
        <v>0</v>
      </c>
      <c r="F105" s="7">
        <v>0</v>
      </c>
      <c r="G105" s="7">
        <v>0</v>
      </c>
      <c r="H105" s="7">
        <v>0</v>
      </c>
      <c r="I105" s="7">
        <v>0</v>
      </c>
      <c r="J105" s="7">
        <v>27.15</v>
      </c>
      <c r="K105" s="7">
        <v>244.35</v>
      </c>
      <c r="L105" s="7">
        <v>34.43</v>
      </c>
      <c r="M105" s="7">
        <v>103.28</v>
      </c>
      <c r="N105" s="7">
        <v>10.81</v>
      </c>
      <c r="O105" s="7">
        <v>0</v>
      </c>
      <c r="P105" s="7">
        <v>100.26</v>
      </c>
      <c r="Q105" s="7">
        <v>0</v>
      </c>
    </row>
    <row r="106" spans="1:17">
      <c r="A106" s="2">
        <v>2054</v>
      </c>
      <c r="B106" s="7">
        <v>1.68</v>
      </c>
      <c r="C106" s="7">
        <v>1.68</v>
      </c>
      <c r="D106" s="7">
        <v>0</v>
      </c>
      <c r="E106" s="7">
        <v>0</v>
      </c>
      <c r="F106" s="7">
        <v>0</v>
      </c>
      <c r="G106" s="7">
        <v>0</v>
      </c>
      <c r="H106" s="7">
        <v>0</v>
      </c>
      <c r="I106" s="7">
        <v>0</v>
      </c>
      <c r="J106" s="7">
        <v>26.5</v>
      </c>
      <c r="K106" s="7">
        <v>238.46</v>
      </c>
      <c r="L106" s="7">
        <v>33.6</v>
      </c>
      <c r="M106" s="7">
        <v>100.79</v>
      </c>
      <c r="N106" s="7">
        <v>10.55</v>
      </c>
      <c r="O106" s="7">
        <v>0</v>
      </c>
      <c r="P106" s="7">
        <v>97.84</v>
      </c>
      <c r="Q106" s="7">
        <v>0</v>
      </c>
    </row>
    <row r="107" spans="1:17">
      <c r="A107" s="2">
        <v>2055</v>
      </c>
      <c r="B107" s="7">
        <v>1.64</v>
      </c>
      <c r="C107" s="7">
        <v>1.64</v>
      </c>
      <c r="D107" s="7">
        <v>0</v>
      </c>
      <c r="E107" s="7">
        <v>0</v>
      </c>
      <c r="F107" s="7">
        <v>0</v>
      </c>
      <c r="G107" s="7">
        <v>0</v>
      </c>
      <c r="H107" s="7">
        <v>0</v>
      </c>
      <c r="I107" s="7">
        <v>0</v>
      </c>
      <c r="J107" s="7">
        <v>25.84</v>
      </c>
      <c r="K107" s="7">
        <v>232.56</v>
      </c>
      <c r="L107" s="7">
        <v>32.76</v>
      </c>
      <c r="M107" s="7">
        <v>98.29</v>
      </c>
      <c r="N107" s="7">
        <v>10.29</v>
      </c>
      <c r="O107" s="7">
        <v>0</v>
      </c>
      <c r="P107" s="7">
        <v>95.42</v>
      </c>
      <c r="Q107" s="7">
        <v>0</v>
      </c>
    </row>
    <row r="108" spans="1:17">
      <c r="A108" s="2">
        <v>2056</v>
      </c>
      <c r="B108" s="7">
        <v>1.6</v>
      </c>
      <c r="C108" s="7">
        <v>1.6</v>
      </c>
      <c r="D108" s="7">
        <v>0</v>
      </c>
      <c r="E108" s="7">
        <v>0</v>
      </c>
      <c r="F108" s="7">
        <v>0</v>
      </c>
      <c r="G108" s="7">
        <v>0</v>
      </c>
      <c r="H108" s="7">
        <v>0</v>
      </c>
      <c r="I108" s="7">
        <v>0</v>
      </c>
      <c r="J108" s="7">
        <v>25.19</v>
      </c>
      <c r="K108" s="7">
        <v>226.67</v>
      </c>
      <c r="L108" s="7">
        <v>31.93</v>
      </c>
      <c r="M108" s="7">
        <v>95.8</v>
      </c>
      <c r="N108" s="7">
        <v>10.029999999999999</v>
      </c>
      <c r="O108" s="7">
        <v>0</v>
      </c>
      <c r="P108" s="7">
        <v>93</v>
      </c>
      <c r="Q108" s="7">
        <v>0</v>
      </c>
    </row>
    <row r="109" spans="1:17">
      <c r="A109" s="2">
        <v>2057</v>
      </c>
      <c r="B109" s="7">
        <v>1.56</v>
      </c>
      <c r="C109" s="7">
        <v>1.56</v>
      </c>
      <c r="D109" s="7">
        <v>0</v>
      </c>
      <c r="E109" s="7">
        <v>0</v>
      </c>
      <c r="F109" s="7">
        <v>0</v>
      </c>
      <c r="G109" s="7">
        <v>0</v>
      </c>
      <c r="H109" s="7">
        <v>0</v>
      </c>
      <c r="I109" s="7">
        <v>0</v>
      </c>
      <c r="J109" s="7">
        <v>24.53</v>
      </c>
      <c r="K109" s="7">
        <v>220.77</v>
      </c>
      <c r="L109" s="7">
        <v>31.1</v>
      </c>
      <c r="M109" s="7">
        <v>93.31</v>
      </c>
      <c r="N109" s="7">
        <v>9.77</v>
      </c>
      <c r="O109" s="7">
        <v>0</v>
      </c>
      <c r="P109" s="7">
        <v>90.59</v>
      </c>
      <c r="Q109" s="7">
        <v>0</v>
      </c>
    </row>
    <row r="110" spans="1:17">
      <c r="A110" s="2">
        <v>2058</v>
      </c>
      <c r="B110" s="7">
        <v>1.52</v>
      </c>
      <c r="C110" s="7">
        <v>1.52</v>
      </c>
      <c r="D110" s="7">
        <v>0</v>
      </c>
      <c r="E110" s="7">
        <v>0</v>
      </c>
      <c r="F110" s="7">
        <v>0</v>
      </c>
      <c r="G110" s="7">
        <v>0</v>
      </c>
      <c r="H110" s="7">
        <v>0</v>
      </c>
      <c r="I110" s="7">
        <v>0</v>
      </c>
      <c r="J110" s="7">
        <v>23.87</v>
      </c>
      <c r="K110" s="7">
        <v>214.87</v>
      </c>
      <c r="L110" s="7">
        <v>30.27</v>
      </c>
      <c r="M110" s="7">
        <v>90.82</v>
      </c>
      <c r="N110" s="7">
        <v>9.51</v>
      </c>
      <c r="O110" s="7">
        <v>0</v>
      </c>
      <c r="P110" s="7">
        <v>88.17</v>
      </c>
      <c r="Q110" s="7">
        <v>0</v>
      </c>
    </row>
    <row r="111" spans="1:17">
      <c r="A111" s="2">
        <v>2059</v>
      </c>
      <c r="B111" s="7">
        <v>1.47</v>
      </c>
      <c r="C111" s="7">
        <v>1.47</v>
      </c>
      <c r="D111" s="7">
        <v>0</v>
      </c>
      <c r="E111" s="7">
        <v>0</v>
      </c>
      <c r="F111" s="7">
        <v>0</v>
      </c>
      <c r="G111" s="7">
        <v>0</v>
      </c>
      <c r="H111" s="7">
        <v>0</v>
      </c>
      <c r="I111" s="7">
        <v>0</v>
      </c>
      <c r="J111" s="7">
        <v>23.22</v>
      </c>
      <c r="K111" s="7">
        <v>208.98</v>
      </c>
      <c r="L111" s="7">
        <v>29.44</v>
      </c>
      <c r="M111" s="7">
        <v>88.33</v>
      </c>
      <c r="N111" s="7">
        <v>9.24</v>
      </c>
      <c r="O111" s="7">
        <v>0</v>
      </c>
      <c r="P111" s="7">
        <v>85.75</v>
      </c>
      <c r="Q111" s="7">
        <v>0</v>
      </c>
    </row>
    <row r="112" spans="1:17">
      <c r="A112" s="2">
        <v>2060</v>
      </c>
      <c r="B112" s="7">
        <v>1.43</v>
      </c>
      <c r="C112" s="7">
        <v>1.43</v>
      </c>
      <c r="D112" s="7">
        <v>0</v>
      </c>
      <c r="E112" s="7">
        <v>0</v>
      </c>
      <c r="F112" s="7">
        <v>0</v>
      </c>
      <c r="G112" s="7">
        <v>0</v>
      </c>
      <c r="H112" s="7">
        <v>0</v>
      </c>
      <c r="I112" s="7">
        <v>0</v>
      </c>
      <c r="J112" s="7">
        <v>22.56</v>
      </c>
      <c r="K112" s="7">
        <v>203.08</v>
      </c>
      <c r="L112" s="7">
        <v>28.61</v>
      </c>
      <c r="M112" s="7">
        <v>85.83</v>
      </c>
      <c r="N112" s="7">
        <v>8.98</v>
      </c>
      <c r="O112" s="7">
        <v>0</v>
      </c>
      <c r="P112" s="7">
        <v>83.33</v>
      </c>
      <c r="Q112" s="7">
        <v>0</v>
      </c>
    </row>
    <row r="113" spans="1:17">
      <c r="A113" s="2">
        <v>2061</v>
      </c>
      <c r="B113" s="7">
        <v>1.39</v>
      </c>
      <c r="C113" s="7">
        <v>1.39</v>
      </c>
      <c r="D113" s="7">
        <v>0</v>
      </c>
      <c r="E113" s="7">
        <v>0</v>
      </c>
      <c r="F113" s="7">
        <v>0</v>
      </c>
      <c r="G113" s="7">
        <v>0</v>
      </c>
      <c r="H113" s="7">
        <v>0</v>
      </c>
      <c r="I113" s="7">
        <v>0</v>
      </c>
      <c r="J113" s="7">
        <v>21.91</v>
      </c>
      <c r="K113" s="7">
        <v>197.19</v>
      </c>
      <c r="L113" s="7">
        <v>27.78</v>
      </c>
      <c r="M113" s="7">
        <v>83.34</v>
      </c>
      <c r="N113" s="7">
        <v>8.7200000000000006</v>
      </c>
      <c r="O113" s="7">
        <v>0</v>
      </c>
      <c r="P113" s="7">
        <v>80.91</v>
      </c>
      <c r="Q113" s="7">
        <v>0</v>
      </c>
    </row>
    <row r="114" spans="1:17">
      <c r="A114" s="2">
        <v>2062</v>
      </c>
      <c r="B114" s="7">
        <v>1.35</v>
      </c>
      <c r="C114" s="7">
        <v>1.35</v>
      </c>
      <c r="D114" s="7">
        <v>0</v>
      </c>
      <c r="E114" s="7">
        <v>0</v>
      </c>
      <c r="F114" s="7">
        <v>0</v>
      </c>
      <c r="G114" s="7">
        <v>0</v>
      </c>
      <c r="H114" s="7">
        <v>0</v>
      </c>
      <c r="I114" s="7">
        <v>0</v>
      </c>
      <c r="J114" s="7">
        <v>21.25</v>
      </c>
      <c r="K114" s="7">
        <v>191.29</v>
      </c>
      <c r="L114" s="7">
        <v>26.95</v>
      </c>
      <c r="M114" s="7">
        <v>80.849999999999994</v>
      </c>
      <c r="N114" s="7">
        <v>8.4600000000000009</v>
      </c>
      <c r="O114" s="7">
        <v>0</v>
      </c>
      <c r="P114" s="7">
        <v>78.489999999999995</v>
      </c>
      <c r="Q114" s="7">
        <v>0</v>
      </c>
    </row>
    <row r="115" spans="1:17">
      <c r="A115" s="2">
        <v>2063</v>
      </c>
      <c r="B115" s="7">
        <v>1.31</v>
      </c>
      <c r="C115" s="7">
        <v>1.31</v>
      </c>
      <c r="D115" s="7">
        <v>0</v>
      </c>
      <c r="E115" s="7">
        <v>0</v>
      </c>
      <c r="F115" s="7">
        <v>0</v>
      </c>
      <c r="G115" s="7">
        <v>0</v>
      </c>
      <c r="H115" s="7">
        <v>0</v>
      </c>
      <c r="I115" s="7">
        <v>0</v>
      </c>
      <c r="J115" s="7">
        <v>20.6</v>
      </c>
      <c r="K115" s="7">
        <v>185.39</v>
      </c>
      <c r="L115" s="7">
        <v>26.12</v>
      </c>
      <c r="M115" s="7">
        <v>78.36</v>
      </c>
      <c r="N115" s="7">
        <v>8.1999999999999993</v>
      </c>
      <c r="O115" s="7">
        <v>0</v>
      </c>
      <c r="P115" s="7">
        <v>76.069999999999993</v>
      </c>
      <c r="Q115" s="7">
        <v>0</v>
      </c>
    </row>
    <row r="116" spans="1:17">
      <c r="A116" s="2">
        <v>2064</v>
      </c>
      <c r="B116" s="7">
        <v>1.27</v>
      </c>
      <c r="C116" s="7">
        <v>1.27</v>
      </c>
      <c r="D116" s="7">
        <v>0</v>
      </c>
      <c r="E116" s="7">
        <v>0</v>
      </c>
      <c r="F116" s="7">
        <v>0</v>
      </c>
      <c r="G116" s="7">
        <v>0</v>
      </c>
      <c r="H116" s="7">
        <v>0</v>
      </c>
      <c r="I116" s="7">
        <v>0</v>
      </c>
      <c r="J116" s="7">
        <v>19.940000000000001</v>
      </c>
      <c r="K116" s="7">
        <v>179.5</v>
      </c>
      <c r="L116" s="7">
        <v>25.29</v>
      </c>
      <c r="M116" s="7">
        <v>75.87</v>
      </c>
      <c r="N116" s="7">
        <v>7.94</v>
      </c>
      <c r="O116" s="7">
        <v>0</v>
      </c>
      <c r="P116" s="7">
        <v>73.650000000000006</v>
      </c>
      <c r="Q116" s="7">
        <v>0</v>
      </c>
    </row>
    <row r="117" spans="1:17">
      <c r="A117" s="2">
        <v>2065</v>
      </c>
      <c r="B117" s="7">
        <v>1.22</v>
      </c>
      <c r="C117" s="7">
        <v>1.22</v>
      </c>
      <c r="D117" s="7">
        <v>0</v>
      </c>
      <c r="E117" s="7">
        <v>0</v>
      </c>
      <c r="F117" s="7">
        <v>0</v>
      </c>
      <c r="G117" s="7">
        <v>0</v>
      </c>
      <c r="H117" s="7">
        <v>0</v>
      </c>
      <c r="I117" s="7">
        <v>0</v>
      </c>
      <c r="J117" s="7">
        <v>19.29</v>
      </c>
      <c r="K117" s="7">
        <v>173.6</v>
      </c>
      <c r="L117" s="7">
        <v>24.46</v>
      </c>
      <c r="M117" s="7">
        <v>73.37</v>
      </c>
      <c r="N117" s="7">
        <v>7.68</v>
      </c>
      <c r="O117" s="7">
        <v>0</v>
      </c>
      <c r="P117" s="7">
        <v>71.23</v>
      </c>
      <c r="Q117" s="7">
        <v>0</v>
      </c>
    </row>
    <row r="118" spans="1:17">
      <c r="A118" s="2">
        <v>2066</v>
      </c>
      <c r="B118" s="7">
        <v>1.18</v>
      </c>
      <c r="C118" s="7">
        <v>1.18</v>
      </c>
      <c r="D118" s="7">
        <v>0</v>
      </c>
      <c r="E118" s="7">
        <v>0</v>
      </c>
      <c r="F118" s="7">
        <v>0</v>
      </c>
      <c r="G118" s="7">
        <v>0</v>
      </c>
      <c r="H118" s="7">
        <v>0</v>
      </c>
      <c r="I118" s="7">
        <v>0</v>
      </c>
      <c r="J118" s="7">
        <v>18.63</v>
      </c>
      <c r="K118" s="7">
        <v>167.71</v>
      </c>
      <c r="L118" s="7">
        <v>23.63</v>
      </c>
      <c r="M118" s="7">
        <v>70.88</v>
      </c>
      <c r="N118" s="7">
        <v>7.42</v>
      </c>
      <c r="O118" s="7">
        <v>0</v>
      </c>
      <c r="P118" s="7">
        <v>68.81</v>
      </c>
      <c r="Q118" s="7">
        <v>0</v>
      </c>
    </row>
    <row r="119" spans="1:17">
      <c r="A119" s="2">
        <v>2067</v>
      </c>
      <c r="B119" s="7">
        <v>1.1399999999999999</v>
      </c>
      <c r="C119" s="7">
        <v>1.1399999999999999</v>
      </c>
      <c r="D119" s="7">
        <v>0</v>
      </c>
      <c r="E119" s="7">
        <v>0</v>
      </c>
      <c r="F119" s="7">
        <v>0</v>
      </c>
      <c r="G119" s="7">
        <v>0</v>
      </c>
      <c r="H119" s="7">
        <v>0</v>
      </c>
      <c r="I119" s="7">
        <v>0</v>
      </c>
      <c r="J119" s="7">
        <v>17.98</v>
      </c>
      <c r="K119" s="7">
        <v>161.81</v>
      </c>
      <c r="L119" s="7">
        <v>22.8</v>
      </c>
      <c r="M119" s="7">
        <v>68.39</v>
      </c>
      <c r="N119" s="7">
        <v>7.16</v>
      </c>
      <c r="O119" s="7">
        <v>0</v>
      </c>
      <c r="P119" s="7">
        <v>66.39</v>
      </c>
      <c r="Q119" s="7">
        <v>0</v>
      </c>
    </row>
    <row r="120" spans="1:17">
      <c r="A120" s="2">
        <v>2068</v>
      </c>
      <c r="B120" s="7">
        <v>1.1000000000000001</v>
      </c>
      <c r="C120" s="7">
        <v>1.1000000000000001</v>
      </c>
      <c r="D120" s="7">
        <v>0</v>
      </c>
      <c r="E120" s="7">
        <v>0</v>
      </c>
      <c r="F120" s="7">
        <v>0</v>
      </c>
      <c r="G120" s="7">
        <v>0</v>
      </c>
      <c r="H120" s="7">
        <v>0</v>
      </c>
      <c r="I120" s="7">
        <v>0</v>
      </c>
      <c r="J120" s="7">
        <v>17.32</v>
      </c>
      <c r="K120" s="7">
        <v>155.91</v>
      </c>
      <c r="L120" s="7">
        <v>21.97</v>
      </c>
      <c r="M120" s="7">
        <v>65.900000000000006</v>
      </c>
      <c r="N120" s="7">
        <v>6.9</v>
      </c>
      <c r="O120" s="7">
        <v>0</v>
      </c>
      <c r="P120" s="7">
        <v>63.97</v>
      </c>
      <c r="Q120" s="7">
        <v>0</v>
      </c>
    </row>
    <row r="121" spans="1:17">
      <c r="A121" s="2">
        <v>2069</v>
      </c>
      <c r="B121" s="7">
        <v>1.06</v>
      </c>
      <c r="C121" s="7">
        <v>1.06</v>
      </c>
      <c r="D121" s="7">
        <v>0</v>
      </c>
      <c r="E121" s="7">
        <v>0</v>
      </c>
      <c r="F121" s="7">
        <v>0</v>
      </c>
      <c r="G121" s="7">
        <v>0</v>
      </c>
      <c r="H121" s="7">
        <v>0</v>
      </c>
      <c r="I121" s="7">
        <v>0</v>
      </c>
      <c r="J121" s="7">
        <v>16.670000000000002</v>
      </c>
      <c r="K121" s="7">
        <v>150.02000000000001</v>
      </c>
      <c r="L121" s="7">
        <v>21.14</v>
      </c>
      <c r="M121" s="7">
        <v>63.41</v>
      </c>
      <c r="N121" s="7">
        <v>6.64</v>
      </c>
      <c r="O121" s="7">
        <v>0</v>
      </c>
      <c r="P121" s="7">
        <v>61.56</v>
      </c>
      <c r="Q121" s="7">
        <v>0</v>
      </c>
    </row>
    <row r="122" spans="1:17">
      <c r="A122" s="2">
        <v>2070</v>
      </c>
      <c r="B122" s="7">
        <v>1.02</v>
      </c>
      <c r="C122" s="7">
        <v>1.02</v>
      </c>
      <c r="D122" s="7">
        <v>0</v>
      </c>
      <c r="E122" s="7">
        <v>0</v>
      </c>
      <c r="F122" s="7">
        <v>0</v>
      </c>
      <c r="G122" s="7">
        <v>0</v>
      </c>
      <c r="H122" s="7">
        <v>0</v>
      </c>
      <c r="I122" s="7">
        <v>0</v>
      </c>
      <c r="J122" s="7">
        <v>16.010000000000002</v>
      </c>
      <c r="K122" s="7">
        <v>144.12</v>
      </c>
      <c r="L122" s="7">
        <v>20.3</v>
      </c>
      <c r="M122" s="7">
        <v>60.91</v>
      </c>
      <c r="N122" s="7">
        <v>6.38</v>
      </c>
      <c r="O122" s="7">
        <v>0</v>
      </c>
      <c r="P122" s="7">
        <v>59.14</v>
      </c>
      <c r="Q122" s="7">
        <v>0</v>
      </c>
    </row>
    <row r="123" spans="1:17">
      <c r="A123" s="2">
        <v>2071</v>
      </c>
      <c r="B123" s="7">
        <v>0.97</v>
      </c>
      <c r="C123" s="7">
        <v>0.97</v>
      </c>
      <c r="D123" s="7">
        <v>0</v>
      </c>
      <c r="E123" s="7">
        <v>0</v>
      </c>
      <c r="F123" s="7">
        <v>0</v>
      </c>
      <c r="G123" s="7">
        <v>0</v>
      </c>
      <c r="H123" s="7">
        <v>0</v>
      </c>
      <c r="I123" s="7">
        <v>0</v>
      </c>
      <c r="J123" s="7">
        <v>15.36</v>
      </c>
      <c r="K123" s="7">
        <v>138.22999999999999</v>
      </c>
      <c r="L123" s="7">
        <v>19.47</v>
      </c>
      <c r="M123" s="7">
        <v>58.42</v>
      </c>
      <c r="N123" s="7">
        <v>6.11</v>
      </c>
      <c r="O123" s="7">
        <v>0</v>
      </c>
      <c r="P123" s="7">
        <v>56.72</v>
      </c>
      <c r="Q123" s="7">
        <v>0</v>
      </c>
    </row>
    <row r="124" spans="1:17">
      <c r="A124" s="2">
        <v>2072</v>
      </c>
      <c r="B124" s="7">
        <v>0.93</v>
      </c>
      <c r="C124" s="7">
        <v>0.93</v>
      </c>
      <c r="D124" s="7">
        <v>0</v>
      </c>
      <c r="E124" s="7">
        <v>0</v>
      </c>
      <c r="F124" s="7">
        <v>0</v>
      </c>
      <c r="G124" s="7">
        <v>0</v>
      </c>
      <c r="H124" s="7">
        <v>0</v>
      </c>
      <c r="I124" s="7">
        <v>0</v>
      </c>
      <c r="J124" s="7">
        <v>14.7</v>
      </c>
      <c r="K124" s="7">
        <v>132.33000000000001</v>
      </c>
      <c r="L124" s="7">
        <v>18.64</v>
      </c>
      <c r="M124" s="7">
        <v>55.93</v>
      </c>
      <c r="N124" s="7">
        <v>5.85</v>
      </c>
      <c r="O124" s="7">
        <v>0</v>
      </c>
      <c r="P124" s="7">
        <v>54.3</v>
      </c>
      <c r="Q124" s="7">
        <v>0</v>
      </c>
    </row>
    <row r="125" spans="1:17">
      <c r="A125" s="2">
        <v>2073</v>
      </c>
      <c r="B125" s="7">
        <v>0.89</v>
      </c>
      <c r="C125" s="7">
        <v>0.89</v>
      </c>
      <c r="D125" s="7">
        <v>0</v>
      </c>
      <c r="E125" s="7">
        <v>0</v>
      </c>
      <c r="F125" s="7">
        <v>0</v>
      </c>
      <c r="G125" s="7">
        <v>0</v>
      </c>
      <c r="H125" s="7">
        <v>0</v>
      </c>
      <c r="I125" s="7">
        <v>0</v>
      </c>
      <c r="J125" s="7">
        <v>14.05</v>
      </c>
      <c r="K125" s="7">
        <v>126.43</v>
      </c>
      <c r="L125" s="7">
        <v>17.809999999999999</v>
      </c>
      <c r="M125" s="7">
        <v>53.44</v>
      </c>
      <c r="N125" s="7">
        <v>5.59</v>
      </c>
      <c r="O125" s="7">
        <v>0</v>
      </c>
      <c r="P125" s="7">
        <v>51.88</v>
      </c>
      <c r="Q125" s="7">
        <v>0</v>
      </c>
    </row>
    <row r="126" spans="1:17">
      <c r="A126" s="2">
        <v>2074</v>
      </c>
      <c r="B126" s="7">
        <v>0.85</v>
      </c>
      <c r="C126" s="7">
        <v>0.85</v>
      </c>
      <c r="D126" s="7">
        <v>0</v>
      </c>
      <c r="E126" s="7">
        <v>0</v>
      </c>
      <c r="F126" s="7">
        <v>0</v>
      </c>
      <c r="G126" s="7">
        <v>0</v>
      </c>
      <c r="H126" s="7">
        <v>0</v>
      </c>
      <c r="I126" s="7">
        <v>0</v>
      </c>
      <c r="J126" s="7">
        <v>13.39</v>
      </c>
      <c r="K126" s="7">
        <v>120.54</v>
      </c>
      <c r="L126" s="7">
        <v>16.98</v>
      </c>
      <c r="M126" s="7">
        <v>50.95</v>
      </c>
      <c r="N126" s="7">
        <v>5.33</v>
      </c>
      <c r="O126" s="7">
        <v>0</v>
      </c>
      <c r="P126" s="7">
        <v>49.46</v>
      </c>
      <c r="Q126" s="7">
        <v>0</v>
      </c>
    </row>
    <row r="127" spans="1:17">
      <c r="A127" s="2">
        <v>2075</v>
      </c>
      <c r="B127" s="7">
        <v>0.81</v>
      </c>
      <c r="C127" s="7">
        <v>0.81</v>
      </c>
      <c r="D127" s="7">
        <v>0</v>
      </c>
      <c r="E127" s="7">
        <v>0</v>
      </c>
      <c r="F127" s="7">
        <v>0</v>
      </c>
      <c r="G127" s="7">
        <v>0</v>
      </c>
      <c r="H127" s="7">
        <v>0</v>
      </c>
      <c r="I127" s="7">
        <v>0</v>
      </c>
      <c r="J127" s="7">
        <v>12.74</v>
      </c>
      <c r="K127" s="7">
        <v>114.64</v>
      </c>
      <c r="L127" s="7">
        <v>16.149999999999999</v>
      </c>
      <c r="M127" s="7">
        <v>48.45</v>
      </c>
      <c r="N127" s="7">
        <v>5.07</v>
      </c>
      <c r="O127" s="7">
        <v>0</v>
      </c>
      <c r="P127" s="7">
        <v>47.04</v>
      </c>
      <c r="Q127" s="7">
        <v>0</v>
      </c>
    </row>
    <row r="128" spans="1:17">
      <c r="A128" s="2">
        <v>2076</v>
      </c>
      <c r="B128" s="7">
        <v>0.77</v>
      </c>
      <c r="C128" s="7">
        <v>0.77</v>
      </c>
      <c r="D128" s="7">
        <v>0</v>
      </c>
      <c r="E128" s="7">
        <v>0</v>
      </c>
      <c r="F128" s="7">
        <v>0</v>
      </c>
      <c r="G128" s="7">
        <v>0</v>
      </c>
      <c r="H128" s="7">
        <v>0</v>
      </c>
      <c r="I128" s="7">
        <v>0</v>
      </c>
      <c r="J128" s="7">
        <v>12.08</v>
      </c>
      <c r="K128" s="7">
        <v>108.75</v>
      </c>
      <c r="L128" s="7">
        <v>15.32</v>
      </c>
      <c r="M128" s="7">
        <v>45.96</v>
      </c>
      <c r="N128" s="7">
        <v>4.8099999999999996</v>
      </c>
      <c r="O128" s="7">
        <v>0</v>
      </c>
      <c r="P128" s="7">
        <v>44.62</v>
      </c>
      <c r="Q128" s="7">
        <v>0</v>
      </c>
    </row>
    <row r="129" spans="1:17">
      <c r="A129" s="2">
        <v>2077</v>
      </c>
      <c r="B129" s="7">
        <v>0.73</v>
      </c>
      <c r="C129" s="7">
        <v>0.73</v>
      </c>
      <c r="D129" s="7">
        <v>0</v>
      </c>
      <c r="E129" s="7">
        <v>0</v>
      </c>
      <c r="F129" s="7">
        <v>0</v>
      </c>
      <c r="G129" s="7">
        <v>0</v>
      </c>
      <c r="H129" s="7">
        <v>0</v>
      </c>
      <c r="I129" s="7">
        <v>0</v>
      </c>
      <c r="J129" s="7">
        <v>11.43</v>
      </c>
      <c r="K129" s="7">
        <v>102.85</v>
      </c>
      <c r="L129" s="7">
        <v>14.49</v>
      </c>
      <c r="M129" s="7">
        <v>43.47</v>
      </c>
      <c r="N129" s="7">
        <v>4.55</v>
      </c>
      <c r="O129" s="7">
        <v>0</v>
      </c>
      <c r="P129" s="7">
        <v>42.2</v>
      </c>
      <c r="Q129" s="7">
        <v>0</v>
      </c>
    </row>
    <row r="130" spans="1:17">
      <c r="A130" s="2">
        <v>2078</v>
      </c>
      <c r="B130" s="7">
        <v>0.68</v>
      </c>
      <c r="C130" s="7">
        <v>0.68</v>
      </c>
      <c r="D130" s="7">
        <v>0</v>
      </c>
      <c r="E130" s="7">
        <v>0</v>
      </c>
      <c r="F130" s="7">
        <v>0</v>
      </c>
      <c r="G130" s="7">
        <v>0</v>
      </c>
      <c r="H130" s="7">
        <v>0</v>
      </c>
      <c r="I130" s="7">
        <v>0</v>
      </c>
      <c r="J130" s="7">
        <v>10.77</v>
      </c>
      <c r="K130" s="7">
        <v>96.96</v>
      </c>
      <c r="L130" s="7">
        <v>13.66</v>
      </c>
      <c r="M130" s="7">
        <v>40.98</v>
      </c>
      <c r="N130" s="7">
        <v>4.29</v>
      </c>
      <c r="O130" s="7">
        <v>0</v>
      </c>
      <c r="P130" s="7">
        <v>39.78</v>
      </c>
      <c r="Q130" s="7">
        <v>0</v>
      </c>
    </row>
    <row r="131" spans="1:17">
      <c r="A131" s="2">
        <v>2079</v>
      </c>
      <c r="B131" s="7">
        <v>0.64</v>
      </c>
      <c r="C131" s="7">
        <v>0.64</v>
      </c>
      <c r="D131" s="7">
        <v>0</v>
      </c>
      <c r="E131" s="7">
        <v>0</v>
      </c>
      <c r="F131" s="7">
        <v>0</v>
      </c>
      <c r="G131" s="7">
        <v>0</v>
      </c>
      <c r="H131" s="7">
        <v>0</v>
      </c>
      <c r="I131" s="7">
        <v>0</v>
      </c>
      <c r="J131" s="7">
        <v>10.119999999999999</v>
      </c>
      <c r="K131" s="7">
        <v>91.06</v>
      </c>
      <c r="L131" s="7">
        <v>12.83</v>
      </c>
      <c r="M131" s="7">
        <v>38.49</v>
      </c>
      <c r="N131" s="7">
        <v>4.03</v>
      </c>
      <c r="O131" s="7">
        <v>0</v>
      </c>
      <c r="P131" s="7">
        <v>37.36</v>
      </c>
      <c r="Q131" s="7">
        <v>0</v>
      </c>
    </row>
    <row r="132" spans="1:17">
      <c r="A132" s="2">
        <v>2080</v>
      </c>
      <c r="B132" s="7">
        <v>0.6</v>
      </c>
      <c r="C132" s="7">
        <v>0.6</v>
      </c>
      <c r="D132" s="7">
        <v>0</v>
      </c>
      <c r="E132" s="7">
        <v>0</v>
      </c>
      <c r="F132" s="7">
        <v>0</v>
      </c>
      <c r="G132" s="7">
        <v>0</v>
      </c>
      <c r="H132" s="7">
        <v>0</v>
      </c>
      <c r="I132" s="7">
        <v>0</v>
      </c>
      <c r="J132" s="7">
        <v>9.4600000000000009</v>
      </c>
      <c r="K132" s="7">
        <v>85.16</v>
      </c>
      <c r="L132" s="7">
        <v>12</v>
      </c>
      <c r="M132" s="7">
        <v>36</v>
      </c>
      <c r="N132" s="7">
        <v>3.77</v>
      </c>
      <c r="O132" s="7">
        <v>0</v>
      </c>
      <c r="P132" s="7">
        <v>34.94</v>
      </c>
      <c r="Q132" s="7">
        <v>0</v>
      </c>
    </row>
    <row r="133" spans="1:17">
      <c r="A133" s="2">
        <v>2081</v>
      </c>
      <c r="B133" s="7">
        <v>0.56000000000000005</v>
      </c>
      <c r="C133" s="7">
        <v>0.56000000000000005</v>
      </c>
      <c r="D133" s="7">
        <v>0</v>
      </c>
      <c r="E133" s="7">
        <v>0</v>
      </c>
      <c r="F133" s="7">
        <v>0</v>
      </c>
      <c r="G133" s="7">
        <v>0</v>
      </c>
      <c r="H133" s="7">
        <v>0</v>
      </c>
      <c r="I133" s="7">
        <v>0</v>
      </c>
      <c r="J133" s="7">
        <v>8.81</v>
      </c>
      <c r="K133" s="7">
        <v>79.27</v>
      </c>
      <c r="L133" s="7">
        <v>11.17</v>
      </c>
      <c r="M133" s="7">
        <v>33.5</v>
      </c>
      <c r="N133" s="7">
        <v>3.51</v>
      </c>
      <c r="O133" s="7">
        <v>0</v>
      </c>
      <c r="P133" s="7">
        <v>32.520000000000003</v>
      </c>
      <c r="Q133" s="7">
        <v>0</v>
      </c>
    </row>
    <row r="134" spans="1:17">
      <c r="A134" s="2">
        <v>2082</v>
      </c>
      <c r="B134" s="7">
        <v>0.52</v>
      </c>
      <c r="C134" s="7">
        <v>0.52</v>
      </c>
      <c r="D134" s="7">
        <v>0</v>
      </c>
      <c r="E134" s="7">
        <v>0</v>
      </c>
      <c r="F134" s="7">
        <v>0</v>
      </c>
      <c r="G134" s="7">
        <v>0</v>
      </c>
      <c r="H134" s="7">
        <v>0</v>
      </c>
      <c r="I134" s="7">
        <v>0</v>
      </c>
      <c r="J134" s="7">
        <v>8.15</v>
      </c>
      <c r="K134" s="7">
        <v>73.37</v>
      </c>
      <c r="L134" s="7">
        <v>10.34</v>
      </c>
      <c r="M134" s="7">
        <v>31.01</v>
      </c>
      <c r="N134" s="7">
        <v>3.25</v>
      </c>
      <c r="O134" s="7">
        <v>0</v>
      </c>
      <c r="P134" s="7">
        <v>30.11</v>
      </c>
      <c r="Q134" s="7">
        <v>0</v>
      </c>
    </row>
    <row r="135" spans="1:17">
      <c r="A135" s="2">
        <v>2083</v>
      </c>
      <c r="B135" s="7">
        <v>0.48</v>
      </c>
      <c r="C135" s="7">
        <v>0.48</v>
      </c>
      <c r="D135" s="7">
        <v>0</v>
      </c>
      <c r="E135" s="7">
        <v>0</v>
      </c>
      <c r="F135" s="7">
        <v>0</v>
      </c>
      <c r="G135" s="7">
        <v>0</v>
      </c>
      <c r="H135" s="7">
        <v>0</v>
      </c>
      <c r="I135" s="7">
        <v>0</v>
      </c>
      <c r="J135" s="7">
        <v>7.5</v>
      </c>
      <c r="K135" s="7">
        <v>67.48</v>
      </c>
      <c r="L135" s="7">
        <v>9.51</v>
      </c>
      <c r="M135" s="7">
        <v>28.52</v>
      </c>
      <c r="N135" s="7">
        <v>2.98</v>
      </c>
      <c r="O135" s="7">
        <v>0</v>
      </c>
      <c r="P135" s="7">
        <v>27.69</v>
      </c>
      <c r="Q135" s="7">
        <v>0</v>
      </c>
    </row>
    <row r="136" spans="1:17">
      <c r="A136" s="2">
        <v>2084</v>
      </c>
      <c r="B136" s="7">
        <v>0.43</v>
      </c>
      <c r="C136" s="7">
        <v>0.43</v>
      </c>
      <c r="D136" s="7">
        <v>0</v>
      </c>
      <c r="E136" s="7">
        <v>0</v>
      </c>
      <c r="F136" s="7">
        <v>0</v>
      </c>
      <c r="G136" s="7">
        <v>0</v>
      </c>
      <c r="H136" s="7">
        <v>0</v>
      </c>
      <c r="I136" s="7">
        <v>0</v>
      </c>
      <c r="J136" s="7">
        <v>6.84</v>
      </c>
      <c r="K136" s="7">
        <v>61.58</v>
      </c>
      <c r="L136" s="7">
        <v>8.68</v>
      </c>
      <c r="M136" s="7">
        <v>26.03</v>
      </c>
      <c r="N136" s="7">
        <v>2.72</v>
      </c>
      <c r="O136" s="7">
        <v>0</v>
      </c>
      <c r="P136" s="7">
        <v>25.27</v>
      </c>
      <c r="Q136" s="7">
        <v>0</v>
      </c>
    </row>
    <row r="137" spans="1:17">
      <c r="A137" s="2">
        <v>2085</v>
      </c>
      <c r="B137" s="7">
        <v>0.39</v>
      </c>
      <c r="C137" s="7">
        <v>0.39</v>
      </c>
      <c r="D137" s="7">
        <v>0</v>
      </c>
      <c r="E137" s="7">
        <v>0</v>
      </c>
      <c r="F137" s="7">
        <v>0</v>
      </c>
      <c r="G137" s="7">
        <v>0</v>
      </c>
      <c r="H137" s="7">
        <v>0</v>
      </c>
      <c r="I137" s="7">
        <v>0</v>
      </c>
      <c r="J137" s="7">
        <v>6.19</v>
      </c>
      <c r="K137" s="7">
        <v>55.68</v>
      </c>
      <c r="L137" s="7">
        <v>7.85</v>
      </c>
      <c r="M137" s="7">
        <v>23.54</v>
      </c>
      <c r="N137" s="7">
        <v>2.46</v>
      </c>
      <c r="O137" s="7">
        <v>0</v>
      </c>
      <c r="P137" s="7">
        <v>22.85</v>
      </c>
      <c r="Q137" s="7">
        <v>0</v>
      </c>
    </row>
    <row r="138" spans="1:17">
      <c r="A138" s="2">
        <v>2086</v>
      </c>
      <c r="B138" s="7">
        <v>0.35</v>
      </c>
      <c r="C138" s="7">
        <v>0.35</v>
      </c>
      <c r="D138" s="7">
        <v>0</v>
      </c>
      <c r="E138" s="7">
        <v>0</v>
      </c>
      <c r="F138" s="7">
        <v>0</v>
      </c>
      <c r="G138" s="7">
        <v>0</v>
      </c>
      <c r="H138" s="7">
        <v>0</v>
      </c>
      <c r="I138" s="7">
        <v>0</v>
      </c>
      <c r="J138" s="7">
        <v>5.53</v>
      </c>
      <c r="K138" s="7">
        <v>49.79</v>
      </c>
      <c r="L138" s="7">
        <v>7.01</v>
      </c>
      <c r="M138" s="7">
        <v>21.04</v>
      </c>
      <c r="N138" s="7">
        <v>2.2000000000000002</v>
      </c>
      <c r="O138" s="7">
        <v>0</v>
      </c>
      <c r="P138" s="7">
        <v>20.43</v>
      </c>
      <c r="Q138" s="7">
        <v>0</v>
      </c>
    </row>
    <row r="139" spans="1:17">
      <c r="A139" s="2">
        <v>2087</v>
      </c>
      <c r="B139" s="7">
        <v>0.31</v>
      </c>
      <c r="C139" s="7">
        <v>0.31</v>
      </c>
      <c r="D139" s="7">
        <v>0</v>
      </c>
      <c r="E139" s="7">
        <v>0</v>
      </c>
      <c r="F139" s="7">
        <v>0</v>
      </c>
      <c r="G139" s="7">
        <v>0</v>
      </c>
      <c r="H139" s="7">
        <v>0</v>
      </c>
      <c r="I139" s="7">
        <v>0</v>
      </c>
      <c r="J139" s="7">
        <v>4.88</v>
      </c>
      <c r="K139" s="7">
        <v>43.89</v>
      </c>
      <c r="L139" s="7">
        <v>6.18</v>
      </c>
      <c r="M139" s="7">
        <v>18.55</v>
      </c>
      <c r="N139" s="7">
        <v>1.94</v>
      </c>
      <c r="O139" s="7">
        <v>0</v>
      </c>
      <c r="P139" s="7">
        <v>18.010000000000002</v>
      </c>
      <c r="Q139" s="7">
        <v>0</v>
      </c>
    </row>
    <row r="140" spans="1:17">
      <c r="A140" s="2">
        <v>2088</v>
      </c>
      <c r="B140" s="7">
        <v>0.27</v>
      </c>
      <c r="C140" s="7">
        <v>0.27</v>
      </c>
      <c r="D140" s="7">
        <v>0</v>
      </c>
      <c r="E140" s="7">
        <v>0</v>
      </c>
      <c r="F140" s="7">
        <v>0</v>
      </c>
      <c r="G140" s="7">
        <v>0</v>
      </c>
      <c r="H140" s="7">
        <v>0</v>
      </c>
      <c r="I140" s="7">
        <v>0</v>
      </c>
      <c r="J140" s="7">
        <v>4.22</v>
      </c>
      <c r="K140" s="7">
        <v>38</v>
      </c>
      <c r="L140" s="7">
        <v>5.35</v>
      </c>
      <c r="M140" s="7">
        <v>16.059999999999999</v>
      </c>
      <c r="N140" s="7">
        <v>1.68</v>
      </c>
      <c r="O140" s="7">
        <v>0</v>
      </c>
      <c r="P140" s="7">
        <v>15.59</v>
      </c>
      <c r="Q140" s="7">
        <v>0</v>
      </c>
    </row>
    <row r="141" spans="1:17">
      <c r="A141" s="2">
        <v>2089</v>
      </c>
      <c r="B141" s="7">
        <v>0.23</v>
      </c>
      <c r="C141" s="7">
        <v>0.23</v>
      </c>
      <c r="D141" s="7">
        <v>0</v>
      </c>
      <c r="E141" s="7">
        <v>0</v>
      </c>
      <c r="F141" s="7">
        <v>0</v>
      </c>
      <c r="G141" s="7">
        <v>0</v>
      </c>
      <c r="H141" s="7">
        <v>0</v>
      </c>
      <c r="I141" s="7">
        <v>0</v>
      </c>
      <c r="J141" s="7">
        <v>3.57</v>
      </c>
      <c r="K141" s="7">
        <v>32.1</v>
      </c>
      <c r="L141" s="7">
        <v>4.5199999999999996</v>
      </c>
      <c r="M141" s="7">
        <v>13.57</v>
      </c>
      <c r="N141" s="7">
        <v>1.42</v>
      </c>
      <c r="O141" s="7">
        <v>0</v>
      </c>
      <c r="P141" s="7">
        <v>13.17</v>
      </c>
      <c r="Q141" s="7">
        <v>0</v>
      </c>
    </row>
    <row r="142" spans="1:17">
      <c r="A142" s="2">
        <v>2090</v>
      </c>
      <c r="B142" s="7">
        <v>0.18</v>
      </c>
      <c r="C142" s="7">
        <v>0.18</v>
      </c>
      <c r="D142" s="7">
        <v>0</v>
      </c>
      <c r="E142" s="7">
        <v>0</v>
      </c>
      <c r="F142" s="7">
        <v>0</v>
      </c>
      <c r="G142" s="7">
        <v>0</v>
      </c>
      <c r="H142" s="7">
        <v>0</v>
      </c>
      <c r="I142" s="7">
        <v>0</v>
      </c>
      <c r="J142" s="7">
        <v>2.91</v>
      </c>
      <c r="K142" s="7">
        <v>26.2</v>
      </c>
      <c r="L142" s="7">
        <v>3.69</v>
      </c>
      <c r="M142" s="7">
        <v>11.08</v>
      </c>
      <c r="N142" s="7">
        <v>1.1599999999999999</v>
      </c>
      <c r="O142" s="7">
        <v>0</v>
      </c>
      <c r="P142" s="7">
        <v>10.75</v>
      </c>
      <c r="Q142" s="7">
        <v>0</v>
      </c>
    </row>
    <row r="143" spans="1:17">
      <c r="A143" s="2">
        <v>2091</v>
      </c>
      <c r="B143" s="7">
        <v>0.14000000000000001</v>
      </c>
      <c r="C143" s="7">
        <v>0.14000000000000001</v>
      </c>
      <c r="D143" s="7">
        <v>0</v>
      </c>
      <c r="E143" s="7">
        <v>0</v>
      </c>
      <c r="F143" s="7">
        <v>0</v>
      </c>
      <c r="G143" s="7">
        <v>0</v>
      </c>
      <c r="H143" s="7">
        <v>0</v>
      </c>
      <c r="I143" s="7">
        <v>0</v>
      </c>
      <c r="J143" s="7">
        <v>2.2599999999999998</v>
      </c>
      <c r="K143" s="7">
        <v>20.309999999999999</v>
      </c>
      <c r="L143" s="7">
        <v>2.86</v>
      </c>
      <c r="M143" s="7">
        <v>8.58</v>
      </c>
      <c r="N143" s="7">
        <v>0.9</v>
      </c>
      <c r="O143" s="7">
        <v>0</v>
      </c>
      <c r="P143" s="7">
        <v>8.33</v>
      </c>
      <c r="Q143" s="7">
        <v>0</v>
      </c>
    </row>
    <row r="144" spans="1:17">
      <c r="A144" s="2">
        <v>2092</v>
      </c>
      <c r="B144" s="7">
        <v>0.1</v>
      </c>
      <c r="C144" s="7">
        <v>0.1</v>
      </c>
      <c r="D144" s="7">
        <v>0</v>
      </c>
      <c r="E144" s="7">
        <v>0</v>
      </c>
      <c r="F144" s="7">
        <v>0</v>
      </c>
      <c r="G144" s="7">
        <v>0</v>
      </c>
      <c r="H144" s="7">
        <v>0</v>
      </c>
      <c r="I144" s="7">
        <v>0</v>
      </c>
      <c r="J144" s="7">
        <v>1.6</v>
      </c>
      <c r="K144" s="7">
        <v>14.41</v>
      </c>
      <c r="L144" s="7">
        <v>2.0299999999999998</v>
      </c>
      <c r="M144" s="7">
        <v>6.09</v>
      </c>
      <c r="N144" s="7">
        <v>0.64</v>
      </c>
      <c r="O144" s="7">
        <v>0</v>
      </c>
      <c r="P144" s="7">
        <v>5.91</v>
      </c>
      <c r="Q144" s="7">
        <v>0</v>
      </c>
    </row>
    <row r="145" spans="1:17">
      <c r="A145" s="2">
        <v>2093</v>
      </c>
      <c r="B145" s="7">
        <v>0.06</v>
      </c>
      <c r="C145" s="7">
        <v>0.06</v>
      </c>
      <c r="D145" s="7">
        <v>0</v>
      </c>
      <c r="E145" s="7">
        <v>0</v>
      </c>
      <c r="F145" s="7">
        <v>0</v>
      </c>
      <c r="G145" s="7">
        <v>0</v>
      </c>
      <c r="H145" s="7">
        <v>0</v>
      </c>
      <c r="I145" s="7">
        <v>0</v>
      </c>
      <c r="J145" s="7">
        <v>0.95</v>
      </c>
      <c r="K145" s="7">
        <v>8.52</v>
      </c>
      <c r="L145" s="7">
        <v>1.2</v>
      </c>
      <c r="M145" s="7">
        <v>3.6</v>
      </c>
      <c r="N145" s="7">
        <v>0.38</v>
      </c>
      <c r="O145" s="7">
        <v>0</v>
      </c>
      <c r="P145" s="7">
        <v>3.49</v>
      </c>
      <c r="Q145" s="7">
        <v>0</v>
      </c>
    </row>
    <row r="146" spans="1:17">
      <c r="A146" s="2">
        <v>2094</v>
      </c>
      <c r="B146" s="7">
        <v>0.02</v>
      </c>
      <c r="C146" s="7">
        <v>0.02</v>
      </c>
      <c r="D146" s="7">
        <v>0</v>
      </c>
      <c r="E146" s="7">
        <v>0</v>
      </c>
      <c r="F146" s="7">
        <v>0</v>
      </c>
      <c r="G146" s="7">
        <v>0</v>
      </c>
      <c r="H146" s="7">
        <v>0</v>
      </c>
      <c r="I146" s="7">
        <v>0</v>
      </c>
      <c r="J146" s="7">
        <v>0.28999999999999998</v>
      </c>
      <c r="K146" s="7">
        <v>2.62</v>
      </c>
      <c r="L146" s="7">
        <v>0.37</v>
      </c>
      <c r="M146" s="7">
        <v>1.1100000000000001</v>
      </c>
      <c r="N146" s="7">
        <v>0.12</v>
      </c>
      <c r="O146" s="7">
        <v>0</v>
      </c>
      <c r="P146" s="7">
        <v>1.08</v>
      </c>
      <c r="Q146" s="7">
        <v>0</v>
      </c>
    </row>
    <row r="147" spans="1:17">
      <c r="A147" s="2">
        <v>2095</v>
      </c>
      <c r="B147" s="7">
        <v>-0.02</v>
      </c>
      <c r="C147" s="7">
        <v>-0.02</v>
      </c>
      <c r="D147" s="7">
        <v>0</v>
      </c>
      <c r="E147" s="7">
        <v>0</v>
      </c>
      <c r="F147" s="7">
        <v>0</v>
      </c>
      <c r="G147" s="7">
        <v>0</v>
      </c>
      <c r="H147" s="7">
        <v>0</v>
      </c>
      <c r="I147" s="7">
        <v>0</v>
      </c>
      <c r="J147" s="7">
        <v>-0.36</v>
      </c>
      <c r="K147" s="7">
        <v>-3.28</v>
      </c>
      <c r="L147" s="7">
        <v>-0.46</v>
      </c>
      <c r="M147" s="7">
        <v>-1.38</v>
      </c>
      <c r="N147" s="7">
        <v>-0.14000000000000001</v>
      </c>
      <c r="O147" s="7">
        <v>0</v>
      </c>
      <c r="P147" s="7">
        <v>-1.34</v>
      </c>
      <c r="Q147" s="7">
        <v>0</v>
      </c>
    </row>
    <row r="148" spans="1:17">
      <c r="A148" s="2">
        <v>2096</v>
      </c>
      <c r="B148" s="7">
        <v>-0.06</v>
      </c>
      <c r="C148" s="7">
        <v>-0.06</v>
      </c>
      <c r="D148" s="7">
        <v>0</v>
      </c>
      <c r="E148" s="7">
        <v>0</v>
      </c>
      <c r="F148" s="7">
        <v>0</v>
      </c>
      <c r="G148" s="7">
        <v>0</v>
      </c>
      <c r="H148" s="7">
        <v>0</v>
      </c>
      <c r="I148" s="7">
        <v>0</v>
      </c>
      <c r="J148" s="7">
        <v>-1.02</v>
      </c>
      <c r="K148" s="7">
        <v>-9.17</v>
      </c>
      <c r="L148" s="7">
        <v>-1.29</v>
      </c>
      <c r="M148" s="7">
        <v>-3.88</v>
      </c>
      <c r="N148" s="7">
        <v>-0.41</v>
      </c>
      <c r="O148" s="7">
        <v>0</v>
      </c>
      <c r="P148" s="7">
        <v>-3.76</v>
      </c>
      <c r="Q148" s="7">
        <v>0</v>
      </c>
    </row>
    <row r="149" spans="1:17">
      <c r="A149" s="2">
        <v>2097</v>
      </c>
      <c r="B149" s="7">
        <v>-0.11</v>
      </c>
      <c r="C149" s="7">
        <v>-0.11</v>
      </c>
      <c r="D149" s="7">
        <v>0</v>
      </c>
      <c r="E149" s="7">
        <v>0</v>
      </c>
      <c r="F149" s="7">
        <v>0</v>
      </c>
      <c r="G149" s="7">
        <v>0</v>
      </c>
      <c r="H149" s="7">
        <v>0</v>
      </c>
      <c r="I149" s="7">
        <v>0</v>
      </c>
      <c r="J149" s="7">
        <v>-1.67</v>
      </c>
      <c r="K149" s="7">
        <v>-15.07</v>
      </c>
      <c r="L149" s="7">
        <v>-2.12</v>
      </c>
      <c r="M149" s="7">
        <v>-6.37</v>
      </c>
      <c r="N149" s="7">
        <v>-0.67</v>
      </c>
      <c r="O149" s="7">
        <v>0</v>
      </c>
      <c r="P149" s="7">
        <v>-6.18</v>
      </c>
      <c r="Q149" s="7">
        <v>0</v>
      </c>
    </row>
    <row r="150" spans="1:17">
      <c r="A150" s="2">
        <v>2098</v>
      </c>
      <c r="B150" s="7">
        <v>-0.15</v>
      </c>
      <c r="C150" s="7">
        <v>-0.15</v>
      </c>
      <c r="D150" s="7">
        <v>0</v>
      </c>
      <c r="E150" s="7">
        <v>0</v>
      </c>
      <c r="F150" s="7">
        <v>0</v>
      </c>
      <c r="G150" s="7">
        <v>0</v>
      </c>
      <c r="H150" s="7">
        <v>0</v>
      </c>
      <c r="I150" s="7">
        <v>0</v>
      </c>
      <c r="J150" s="7">
        <v>-2.33</v>
      </c>
      <c r="K150" s="7">
        <v>-20.96</v>
      </c>
      <c r="L150" s="7">
        <v>-2.95</v>
      </c>
      <c r="M150" s="7">
        <v>-8.86</v>
      </c>
      <c r="N150" s="7">
        <v>-0.93</v>
      </c>
      <c r="O150" s="7">
        <v>0</v>
      </c>
      <c r="P150" s="7">
        <v>-8.6</v>
      </c>
      <c r="Q150" s="7">
        <v>0</v>
      </c>
    </row>
    <row r="151" spans="1:17">
      <c r="A151" s="2">
        <v>2099</v>
      </c>
      <c r="B151" s="7">
        <v>-0.19</v>
      </c>
      <c r="C151" s="7">
        <v>-0.19</v>
      </c>
      <c r="D151" s="7">
        <v>0</v>
      </c>
      <c r="E151" s="7">
        <v>0</v>
      </c>
      <c r="F151" s="7">
        <v>0</v>
      </c>
      <c r="G151" s="7">
        <v>0</v>
      </c>
      <c r="H151" s="7">
        <v>0</v>
      </c>
      <c r="I151" s="7">
        <v>0</v>
      </c>
      <c r="J151" s="7">
        <v>-2.98</v>
      </c>
      <c r="K151" s="7">
        <v>-26.86</v>
      </c>
      <c r="L151" s="7">
        <v>-3.78</v>
      </c>
      <c r="M151" s="7">
        <v>-11.35</v>
      </c>
      <c r="N151" s="7">
        <v>-1.19</v>
      </c>
      <c r="O151" s="7">
        <v>0</v>
      </c>
      <c r="P151" s="7">
        <v>-11.02</v>
      </c>
      <c r="Q151" s="7">
        <v>0</v>
      </c>
    </row>
    <row r="152" spans="1:17">
      <c r="A152" s="2">
        <v>2100</v>
      </c>
      <c r="B152" s="7">
        <v>-0.23</v>
      </c>
      <c r="C152" s="7">
        <v>-0.23</v>
      </c>
      <c r="D152" s="7">
        <v>0</v>
      </c>
      <c r="E152" s="7">
        <v>0</v>
      </c>
      <c r="F152" s="7">
        <v>0</v>
      </c>
      <c r="G152" s="7">
        <v>0</v>
      </c>
      <c r="H152" s="7">
        <v>0</v>
      </c>
      <c r="I152" s="7">
        <v>0</v>
      </c>
      <c r="J152" s="7">
        <v>-3.64</v>
      </c>
      <c r="K152" s="7">
        <v>-32.75</v>
      </c>
      <c r="L152" s="7">
        <v>-4.6100000000000003</v>
      </c>
      <c r="M152" s="7">
        <v>-13.84</v>
      </c>
      <c r="N152" s="7">
        <v>-1.45</v>
      </c>
      <c r="O152" s="7">
        <v>0</v>
      </c>
      <c r="P152" s="7">
        <v>-13.44</v>
      </c>
      <c r="Q152" s="7">
        <v>0</v>
      </c>
    </row>
    <row r="153" spans="1:17">
      <c r="A153" s="2">
        <v>2101</v>
      </c>
      <c r="B153" s="7">
        <v>-0.19</v>
      </c>
      <c r="C153" s="7">
        <v>-0.19</v>
      </c>
      <c r="D153" s="7">
        <v>0</v>
      </c>
      <c r="E153" s="7">
        <v>0</v>
      </c>
      <c r="F153" s="7">
        <v>0</v>
      </c>
      <c r="G153" s="7">
        <v>0</v>
      </c>
      <c r="H153" s="7">
        <v>0</v>
      </c>
      <c r="I153" s="7">
        <v>0</v>
      </c>
      <c r="J153" s="7">
        <v>-2.98</v>
      </c>
      <c r="K153" s="7">
        <v>-26.86</v>
      </c>
      <c r="L153" s="7">
        <v>-3.78</v>
      </c>
      <c r="M153" s="7">
        <v>-11.35</v>
      </c>
      <c r="N153" s="7">
        <v>-1.19</v>
      </c>
      <c r="O153" s="7">
        <v>0</v>
      </c>
      <c r="P153" s="7">
        <v>-11.02</v>
      </c>
      <c r="Q153" s="7">
        <v>0</v>
      </c>
    </row>
    <row r="154" spans="1:17">
      <c r="A154" s="2">
        <v>2102</v>
      </c>
      <c r="B154" s="7">
        <v>-0.15</v>
      </c>
      <c r="C154" s="7">
        <v>-0.15</v>
      </c>
      <c r="D154" s="7">
        <v>0</v>
      </c>
      <c r="E154" s="7">
        <v>0</v>
      </c>
      <c r="F154" s="7">
        <v>0</v>
      </c>
      <c r="G154" s="7">
        <v>0</v>
      </c>
      <c r="H154" s="7">
        <v>0</v>
      </c>
      <c r="I154" s="7">
        <v>0</v>
      </c>
      <c r="J154" s="7">
        <v>-2.33</v>
      </c>
      <c r="K154" s="7">
        <v>-20.96</v>
      </c>
      <c r="L154" s="7">
        <v>-2.95</v>
      </c>
      <c r="M154" s="7">
        <v>-8.86</v>
      </c>
      <c r="N154" s="7">
        <v>-0.93</v>
      </c>
      <c r="O154" s="7">
        <v>0</v>
      </c>
      <c r="P154" s="7">
        <v>-8.6</v>
      </c>
      <c r="Q154" s="7">
        <v>0</v>
      </c>
    </row>
    <row r="155" spans="1:17">
      <c r="A155" s="2">
        <v>2103</v>
      </c>
      <c r="B155" s="7">
        <v>-0.11</v>
      </c>
      <c r="C155" s="7">
        <v>-0.11</v>
      </c>
      <c r="D155" s="7">
        <v>0</v>
      </c>
      <c r="E155" s="7">
        <v>0</v>
      </c>
      <c r="F155" s="7">
        <v>0</v>
      </c>
      <c r="G155" s="7">
        <v>0</v>
      </c>
      <c r="H155" s="7">
        <v>0</v>
      </c>
      <c r="I155" s="7">
        <v>0</v>
      </c>
      <c r="J155" s="7">
        <v>-1.67</v>
      </c>
      <c r="K155" s="7">
        <v>-15.07</v>
      </c>
      <c r="L155" s="7">
        <v>-2.12</v>
      </c>
      <c r="M155" s="7">
        <v>-6.37</v>
      </c>
      <c r="N155" s="7">
        <v>-0.67</v>
      </c>
      <c r="O155" s="7">
        <v>0</v>
      </c>
      <c r="P155" s="7">
        <v>-6.18</v>
      </c>
      <c r="Q155" s="7">
        <v>0</v>
      </c>
    </row>
    <row r="156" spans="1:17">
      <c r="A156" s="2">
        <v>2104</v>
      </c>
      <c r="B156" s="7">
        <v>-0.06</v>
      </c>
      <c r="C156" s="7">
        <v>-0.06</v>
      </c>
      <c r="D156" s="7">
        <v>0</v>
      </c>
      <c r="E156" s="7">
        <v>0</v>
      </c>
      <c r="F156" s="7">
        <v>0</v>
      </c>
      <c r="G156" s="7">
        <v>0</v>
      </c>
      <c r="H156" s="7">
        <v>0</v>
      </c>
      <c r="I156" s="7">
        <v>0</v>
      </c>
      <c r="J156" s="7">
        <v>-1.02</v>
      </c>
      <c r="K156" s="7">
        <v>-9.17</v>
      </c>
      <c r="L156" s="7">
        <v>-1.29</v>
      </c>
      <c r="M156" s="7">
        <v>-3.88</v>
      </c>
      <c r="N156" s="7">
        <v>-0.41</v>
      </c>
      <c r="O156" s="7">
        <v>0</v>
      </c>
      <c r="P156" s="7">
        <v>-3.76</v>
      </c>
      <c r="Q156" s="7">
        <v>0</v>
      </c>
    </row>
    <row r="157" spans="1:17">
      <c r="A157" s="2">
        <v>2105</v>
      </c>
      <c r="B157" s="7">
        <v>-0.02</v>
      </c>
      <c r="C157" s="7">
        <v>-0.02</v>
      </c>
      <c r="D157" s="7">
        <v>0</v>
      </c>
      <c r="E157" s="7">
        <v>0</v>
      </c>
      <c r="F157" s="7">
        <v>0</v>
      </c>
      <c r="G157" s="7">
        <v>0</v>
      </c>
      <c r="H157" s="7">
        <v>0</v>
      </c>
      <c r="I157" s="7">
        <v>0</v>
      </c>
      <c r="J157" s="7">
        <v>-0.36</v>
      </c>
      <c r="K157" s="7">
        <v>-3.28</v>
      </c>
      <c r="L157" s="7">
        <v>-0.46</v>
      </c>
      <c r="M157" s="7">
        <v>-1.38</v>
      </c>
      <c r="N157" s="7">
        <v>-0.14000000000000001</v>
      </c>
      <c r="O157" s="7">
        <v>0</v>
      </c>
      <c r="P157" s="7">
        <v>-1.34</v>
      </c>
      <c r="Q157" s="7">
        <v>0</v>
      </c>
    </row>
    <row r="158" spans="1:17">
      <c r="A158" s="2">
        <v>2106</v>
      </c>
      <c r="B158" s="7">
        <v>0</v>
      </c>
      <c r="C158" s="7">
        <v>0</v>
      </c>
      <c r="D158" s="7">
        <v>0</v>
      </c>
      <c r="E158" s="7">
        <v>0</v>
      </c>
      <c r="F158" s="7">
        <v>0</v>
      </c>
      <c r="G158" s="7">
        <v>0</v>
      </c>
      <c r="H158" s="7">
        <v>0</v>
      </c>
      <c r="I158" s="7">
        <v>0</v>
      </c>
      <c r="J158" s="7">
        <v>0</v>
      </c>
      <c r="K158" s="7">
        <v>0</v>
      </c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</row>
    <row r="159" spans="1:17">
      <c r="A159" s="2">
        <v>2107</v>
      </c>
      <c r="B159" s="7">
        <v>0</v>
      </c>
      <c r="C159" s="7">
        <v>0</v>
      </c>
      <c r="D159" s="7">
        <v>0</v>
      </c>
      <c r="E159" s="7">
        <v>0</v>
      </c>
      <c r="F159" s="7">
        <v>0</v>
      </c>
      <c r="G159" s="7">
        <v>0</v>
      </c>
      <c r="H159" s="7">
        <v>0</v>
      </c>
      <c r="I159" s="7">
        <v>0</v>
      </c>
      <c r="J159" s="7">
        <v>0</v>
      </c>
      <c r="K159" s="7">
        <v>0</v>
      </c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</row>
    <row r="160" spans="1:17">
      <c r="A160" s="2">
        <v>2108</v>
      </c>
      <c r="B160" s="7">
        <v>0</v>
      </c>
      <c r="C160" s="7">
        <v>0</v>
      </c>
      <c r="D160" s="7">
        <v>0</v>
      </c>
      <c r="E160" s="7">
        <v>0</v>
      </c>
      <c r="F160" s="7">
        <v>0</v>
      </c>
      <c r="G160" s="7">
        <v>0</v>
      </c>
      <c r="H160" s="7">
        <v>0</v>
      </c>
      <c r="I160" s="7">
        <v>0</v>
      </c>
      <c r="J160" s="7">
        <v>0</v>
      </c>
      <c r="K160" s="7">
        <v>0</v>
      </c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</row>
    <row r="161" spans="1:17">
      <c r="A161" s="2">
        <v>2109</v>
      </c>
      <c r="B161" s="7">
        <v>0</v>
      </c>
      <c r="C161" s="7">
        <v>0</v>
      </c>
      <c r="D161" s="7">
        <v>0</v>
      </c>
      <c r="E161" s="7">
        <v>0</v>
      </c>
      <c r="F161" s="7">
        <v>0</v>
      </c>
      <c r="G161" s="7">
        <v>0</v>
      </c>
      <c r="H161" s="7">
        <v>0</v>
      </c>
      <c r="I161" s="7">
        <v>0</v>
      </c>
      <c r="J161" s="7">
        <v>0</v>
      </c>
      <c r="K161" s="7">
        <v>0</v>
      </c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</row>
    <row r="162" spans="1:17">
      <c r="A162" s="2">
        <v>2110</v>
      </c>
      <c r="B162" s="7">
        <v>0</v>
      </c>
      <c r="C162" s="7">
        <v>0</v>
      </c>
      <c r="D162" s="7">
        <v>0</v>
      </c>
      <c r="E162" s="7">
        <v>0</v>
      </c>
      <c r="F162" s="7">
        <v>0</v>
      </c>
      <c r="G162" s="7">
        <v>0</v>
      </c>
      <c r="H162" s="7">
        <v>0</v>
      </c>
      <c r="I162" s="7">
        <v>0</v>
      </c>
      <c r="J162" s="7">
        <v>0</v>
      </c>
      <c r="K162" s="7">
        <v>0</v>
      </c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</row>
    <row r="163" spans="1:17">
      <c r="A163" s="2">
        <v>2111</v>
      </c>
      <c r="B163" s="7">
        <v>0</v>
      </c>
      <c r="C163" s="7">
        <v>0</v>
      </c>
      <c r="D163" s="7">
        <v>0</v>
      </c>
      <c r="E163" s="7">
        <v>0</v>
      </c>
      <c r="F163" s="7">
        <v>0</v>
      </c>
      <c r="G163" s="7">
        <v>0</v>
      </c>
      <c r="H163" s="7">
        <v>0</v>
      </c>
      <c r="I163" s="7">
        <v>0</v>
      </c>
      <c r="J163" s="7">
        <v>0</v>
      </c>
      <c r="K163" s="7">
        <v>0</v>
      </c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</row>
    <row r="164" spans="1:17">
      <c r="A164" s="2">
        <v>2112</v>
      </c>
      <c r="B164" s="7">
        <v>0</v>
      </c>
      <c r="C164" s="7">
        <v>0</v>
      </c>
      <c r="D164" s="7">
        <v>0</v>
      </c>
      <c r="E164" s="7">
        <v>0</v>
      </c>
      <c r="F164" s="7">
        <v>0</v>
      </c>
      <c r="G164" s="7">
        <v>0</v>
      </c>
      <c r="H164" s="7">
        <v>0</v>
      </c>
      <c r="I164" s="7">
        <v>0</v>
      </c>
      <c r="J164" s="7">
        <v>0</v>
      </c>
      <c r="K164" s="7">
        <v>0</v>
      </c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</row>
    <row r="165" spans="1:17">
      <c r="A165" s="2">
        <v>2113</v>
      </c>
      <c r="B165" s="7">
        <v>0</v>
      </c>
      <c r="C165" s="7">
        <v>0</v>
      </c>
      <c r="D165" s="7">
        <v>0</v>
      </c>
      <c r="E165" s="7">
        <v>0</v>
      </c>
      <c r="F165" s="7">
        <v>0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</row>
    <row r="166" spans="1:17">
      <c r="A166" s="2">
        <v>2114</v>
      </c>
      <c r="B166" s="7">
        <v>0</v>
      </c>
      <c r="C166" s="7">
        <v>0</v>
      </c>
      <c r="D166" s="7">
        <v>0</v>
      </c>
      <c r="E166" s="7">
        <v>0</v>
      </c>
      <c r="F166" s="7">
        <v>0</v>
      </c>
      <c r="G166" s="7">
        <v>0</v>
      </c>
      <c r="H166" s="7">
        <v>0</v>
      </c>
      <c r="I166" s="7">
        <v>0</v>
      </c>
      <c r="J166" s="7">
        <v>0</v>
      </c>
      <c r="K166" s="7">
        <v>0</v>
      </c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</row>
    <row r="167" spans="1:17">
      <c r="A167" s="2">
        <v>2115</v>
      </c>
      <c r="B167" s="7">
        <v>0</v>
      </c>
      <c r="C167" s="7">
        <v>0</v>
      </c>
      <c r="D167" s="7">
        <v>0</v>
      </c>
      <c r="E167" s="7">
        <v>0</v>
      </c>
      <c r="F167" s="7">
        <v>0</v>
      </c>
      <c r="G167" s="7">
        <v>0</v>
      </c>
      <c r="H167" s="7">
        <v>0</v>
      </c>
      <c r="I167" s="7">
        <v>0</v>
      </c>
      <c r="J167" s="7">
        <v>0</v>
      </c>
      <c r="K167" s="7">
        <v>0</v>
      </c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</row>
    <row r="168" spans="1:17">
      <c r="A168" s="2">
        <v>2116</v>
      </c>
      <c r="B168" s="7">
        <v>0</v>
      </c>
      <c r="C168" s="7">
        <v>0</v>
      </c>
      <c r="D168" s="7">
        <v>0</v>
      </c>
      <c r="E168" s="7">
        <v>0</v>
      </c>
      <c r="F168" s="7">
        <v>0</v>
      </c>
      <c r="G168" s="7">
        <v>0</v>
      </c>
      <c r="H168" s="7">
        <v>0</v>
      </c>
      <c r="I168" s="7">
        <v>0</v>
      </c>
      <c r="J168" s="7">
        <v>0</v>
      </c>
      <c r="K168" s="7">
        <v>0</v>
      </c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</row>
    <row r="169" spans="1:17">
      <c r="A169" s="2">
        <v>2117</v>
      </c>
      <c r="B169" s="7">
        <v>0</v>
      </c>
      <c r="C169" s="7">
        <v>0</v>
      </c>
      <c r="D169" s="7">
        <v>0</v>
      </c>
      <c r="E169" s="7">
        <v>0</v>
      </c>
      <c r="F169" s="7">
        <v>0</v>
      </c>
      <c r="G169" s="7">
        <v>0</v>
      </c>
      <c r="H169" s="7">
        <v>0</v>
      </c>
      <c r="I169" s="7">
        <v>0</v>
      </c>
      <c r="J169" s="7">
        <v>0</v>
      </c>
      <c r="K169" s="7">
        <v>0</v>
      </c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</row>
    <row r="170" spans="1:17">
      <c r="A170" s="2">
        <v>2118</v>
      </c>
      <c r="B170" s="7">
        <v>0</v>
      </c>
      <c r="C170" s="7">
        <v>0</v>
      </c>
      <c r="D170" s="7">
        <v>0</v>
      </c>
      <c r="E170" s="7">
        <v>0</v>
      </c>
      <c r="F170" s="7">
        <v>0</v>
      </c>
      <c r="G170" s="7">
        <v>0</v>
      </c>
      <c r="H170" s="7">
        <v>0</v>
      </c>
      <c r="I170" s="7">
        <v>0</v>
      </c>
      <c r="J170" s="7">
        <v>0</v>
      </c>
      <c r="K170" s="7">
        <v>0</v>
      </c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</row>
    <row r="171" spans="1:17">
      <c r="A171" s="2">
        <v>2119</v>
      </c>
      <c r="B171" s="7">
        <v>0</v>
      </c>
      <c r="C171" s="7">
        <v>0</v>
      </c>
      <c r="D171" s="7">
        <v>0</v>
      </c>
      <c r="E171" s="7">
        <v>0</v>
      </c>
      <c r="F171" s="7">
        <v>0</v>
      </c>
      <c r="G171" s="7">
        <v>0</v>
      </c>
      <c r="H171" s="7">
        <v>0</v>
      </c>
      <c r="I171" s="7">
        <v>0</v>
      </c>
      <c r="J171" s="7">
        <v>0</v>
      </c>
      <c r="K171" s="7">
        <v>0</v>
      </c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</row>
    <row r="172" spans="1:17">
      <c r="A172" s="2">
        <v>2120</v>
      </c>
      <c r="B172" s="7">
        <v>0</v>
      </c>
      <c r="C172" s="7">
        <v>0</v>
      </c>
      <c r="D172" s="7">
        <v>0</v>
      </c>
      <c r="E172" s="7">
        <v>0</v>
      </c>
      <c r="F172" s="7">
        <v>0</v>
      </c>
      <c r="G172" s="7">
        <v>0</v>
      </c>
      <c r="H172" s="7">
        <v>0</v>
      </c>
      <c r="I172" s="7">
        <v>0</v>
      </c>
      <c r="J172" s="7">
        <v>0</v>
      </c>
      <c r="K172" s="7">
        <v>0</v>
      </c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</row>
    <row r="173" spans="1:17">
      <c r="A173" s="2">
        <v>2121</v>
      </c>
      <c r="B173" s="7">
        <v>0</v>
      </c>
      <c r="C173" s="7">
        <v>0</v>
      </c>
      <c r="D173" s="7">
        <v>0</v>
      </c>
      <c r="E173" s="7">
        <v>0</v>
      </c>
      <c r="F173" s="7">
        <v>0</v>
      </c>
      <c r="G173" s="7">
        <v>0</v>
      </c>
      <c r="H173" s="7">
        <v>0</v>
      </c>
      <c r="I173" s="7">
        <v>0</v>
      </c>
      <c r="J173" s="7">
        <v>0</v>
      </c>
      <c r="K173" s="7">
        <v>0</v>
      </c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</row>
    <row r="174" spans="1:17">
      <c r="A174" s="2">
        <v>2122</v>
      </c>
      <c r="B174" s="7">
        <v>0</v>
      </c>
      <c r="C174" s="7">
        <v>0</v>
      </c>
      <c r="D174" s="7">
        <v>0</v>
      </c>
      <c r="E174" s="7">
        <v>0</v>
      </c>
      <c r="F174" s="7">
        <v>0</v>
      </c>
      <c r="G174" s="7">
        <v>0</v>
      </c>
      <c r="H174" s="7">
        <v>0</v>
      </c>
      <c r="I174" s="7">
        <v>0</v>
      </c>
      <c r="J174" s="7">
        <v>0</v>
      </c>
      <c r="K174" s="7">
        <v>0</v>
      </c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</row>
    <row r="175" spans="1:17">
      <c r="A175" s="2">
        <v>2123</v>
      </c>
      <c r="B175" s="7">
        <v>0</v>
      </c>
      <c r="C175" s="7">
        <v>0</v>
      </c>
      <c r="D175" s="7">
        <v>0</v>
      </c>
      <c r="E175" s="7">
        <v>0</v>
      </c>
      <c r="F175" s="7">
        <v>0</v>
      </c>
      <c r="G175" s="7">
        <v>0</v>
      </c>
      <c r="H175" s="7">
        <v>0</v>
      </c>
      <c r="I175" s="7">
        <v>0</v>
      </c>
      <c r="J175" s="7">
        <v>0</v>
      </c>
      <c r="K175" s="7">
        <v>0</v>
      </c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</row>
    <row r="176" spans="1:17">
      <c r="A176" s="2">
        <v>2124</v>
      </c>
      <c r="B176" s="7">
        <v>0</v>
      </c>
      <c r="C176" s="7">
        <v>0</v>
      </c>
      <c r="D176" s="7">
        <v>0</v>
      </c>
      <c r="E176" s="7">
        <v>0</v>
      </c>
      <c r="F176" s="7">
        <v>0</v>
      </c>
      <c r="G176" s="7">
        <v>0</v>
      </c>
      <c r="H176" s="7">
        <v>0</v>
      </c>
      <c r="I176" s="7">
        <v>0</v>
      </c>
      <c r="J176" s="7">
        <v>0</v>
      </c>
      <c r="K176" s="7">
        <v>0</v>
      </c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</row>
    <row r="177" spans="1:17">
      <c r="A177" s="2">
        <v>2125</v>
      </c>
      <c r="B177" s="7">
        <v>0</v>
      </c>
      <c r="C177" s="7">
        <v>0</v>
      </c>
      <c r="D177" s="7">
        <v>0</v>
      </c>
      <c r="E177" s="7">
        <v>0</v>
      </c>
      <c r="F177" s="7">
        <v>0</v>
      </c>
      <c r="G177" s="7">
        <v>0</v>
      </c>
      <c r="H177" s="7">
        <v>0</v>
      </c>
      <c r="I177" s="7">
        <v>0</v>
      </c>
      <c r="J177" s="7">
        <v>0</v>
      </c>
      <c r="K177" s="7">
        <v>0</v>
      </c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</row>
    <row r="178" spans="1:17">
      <c r="A178" s="2">
        <v>2126</v>
      </c>
      <c r="B178" s="7">
        <v>0</v>
      </c>
      <c r="C178" s="7">
        <v>0</v>
      </c>
      <c r="D178" s="7">
        <v>0</v>
      </c>
      <c r="E178" s="7">
        <v>0</v>
      </c>
      <c r="F178" s="7">
        <v>0</v>
      </c>
      <c r="G178" s="7">
        <v>0</v>
      </c>
      <c r="H178" s="7">
        <v>0</v>
      </c>
      <c r="I178" s="7">
        <v>0</v>
      </c>
      <c r="J178" s="7">
        <v>0</v>
      </c>
      <c r="K178" s="7">
        <v>0</v>
      </c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</row>
    <row r="179" spans="1:17">
      <c r="A179" s="2">
        <v>2127</v>
      </c>
      <c r="B179" s="7">
        <v>0</v>
      </c>
      <c r="C179" s="7">
        <v>0</v>
      </c>
      <c r="D179" s="7">
        <v>0</v>
      </c>
      <c r="E179" s="7">
        <v>0</v>
      </c>
      <c r="F179" s="7">
        <v>0</v>
      </c>
      <c r="G179" s="7">
        <v>0</v>
      </c>
      <c r="H179" s="7">
        <v>0</v>
      </c>
      <c r="I179" s="7">
        <v>0</v>
      </c>
      <c r="J179" s="7">
        <v>0</v>
      </c>
      <c r="K179" s="7">
        <v>0</v>
      </c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</row>
    <row r="180" spans="1:17">
      <c r="A180" s="2">
        <v>2128</v>
      </c>
      <c r="B180" s="7">
        <v>0</v>
      </c>
      <c r="C180" s="7">
        <v>0</v>
      </c>
      <c r="D180" s="7">
        <v>0</v>
      </c>
      <c r="E180" s="7">
        <v>0</v>
      </c>
      <c r="F180" s="7">
        <v>0</v>
      </c>
      <c r="G180" s="7">
        <v>0</v>
      </c>
      <c r="H180" s="7">
        <v>0</v>
      </c>
      <c r="I180" s="7">
        <v>0</v>
      </c>
      <c r="J180" s="7">
        <v>0</v>
      </c>
      <c r="K180" s="7">
        <v>0</v>
      </c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</row>
    <row r="181" spans="1:17">
      <c r="A181" s="2">
        <v>2129</v>
      </c>
      <c r="B181" s="7">
        <v>0</v>
      </c>
      <c r="C181" s="7">
        <v>0</v>
      </c>
      <c r="D181" s="7">
        <v>0</v>
      </c>
      <c r="E181" s="7">
        <v>0</v>
      </c>
      <c r="F181" s="7">
        <v>0</v>
      </c>
      <c r="G181" s="7">
        <v>0</v>
      </c>
      <c r="H181" s="7">
        <v>0</v>
      </c>
      <c r="I181" s="7">
        <v>0</v>
      </c>
      <c r="J181" s="7">
        <v>0</v>
      </c>
      <c r="K181" s="7">
        <v>0</v>
      </c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</row>
    <row r="182" spans="1:17">
      <c r="A182" s="2">
        <v>2130</v>
      </c>
      <c r="B182" s="7">
        <v>0</v>
      </c>
      <c r="C182" s="7">
        <v>0</v>
      </c>
      <c r="D182" s="7">
        <v>0</v>
      </c>
      <c r="E182" s="7">
        <v>0</v>
      </c>
      <c r="F182" s="7">
        <v>0</v>
      </c>
      <c r="G182" s="7">
        <v>0</v>
      </c>
      <c r="H182" s="7">
        <v>0</v>
      </c>
      <c r="I182" s="7">
        <v>0</v>
      </c>
      <c r="J182" s="7">
        <v>0</v>
      </c>
      <c r="K182" s="7">
        <v>0</v>
      </c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</row>
    <row r="183" spans="1:17">
      <c r="A183" s="2">
        <v>2131</v>
      </c>
      <c r="B183" s="7">
        <v>0</v>
      </c>
      <c r="C183" s="7">
        <v>0</v>
      </c>
      <c r="D183" s="7">
        <v>0</v>
      </c>
      <c r="E183" s="7">
        <v>0</v>
      </c>
      <c r="F183" s="7">
        <v>0</v>
      </c>
      <c r="G183" s="7">
        <v>0</v>
      </c>
      <c r="H183" s="7">
        <v>0</v>
      </c>
      <c r="I183" s="7">
        <v>0</v>
      </c>
      <c r="J183" s="7">
        <v>0</v>
      </c>
      <c r="K183" s="7">
        <v>0</v>
      </c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</row>
    <row r="184" spans="1:17">
      <c r="A184" s="2">
        <v>2132</v>
      </c>
      <c r="B184" s="7">
        <v>0</v>
      </c>
      <c r="C184" s="7">
        <v>0</v>
      </c>
      <c r="D184" s="7">
        <v>0</v>
      </c>
      <c r="E184" s="7">
        <v>0</v>
      </c>
      <c r="F184" s="7">
        <v>0</v>
      </c>
      <c r="G184" s="7">
        <v>0</v>
      </c>
      <c r="H184" s="7">
        <v>0</v>
      </c>
      <c r="I184" s="7">
        <v>0</v>
      </c>
      <c r="J184" s="7">
        <v>0</v>
      </c>
      <c r="K184" s="7">
        <v>0</v>
      </c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</row>
    <row r="185" spans="1:17">
      <c r="A185" s="2">
        <v>2133</v>
      </c>
      <c r="B185" s="7">
        <v>0</v>
      </c>
      <c r="C185" s="7">
        <v>0</v>
      </c>
      <c r="D185" s="7">
        <v>0</v>
      </c>
      <c r="E185" s="7">
        <v>0</v>
      </c>
      <c r="F185" s="7">
        <v>0</v>
      </c>
      <c r="G185" s="7">
        <v>0</v>
      </c>
      <c r="H185" s="7">
        <v>0</v>
      </c>
      <c r="I185" s="7">
        <v>0</v>
      </c>
      <c r="J185" s="7">
        <v>0</v>
      </c>
      <c r="K185" s="7">
        <v>0</v>
      </c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</row>
    <row r="186" spans="1:17">
      <c r="A186" s="2">
        <v>2134</v>
      </c>
      <c r="B186" s="7">
        <v>0</v>
      </c>
      <c r="C186" s="7">
        <v>0</v>
      </c>
      <c r="D186" s="7">
        <v>0</v>
      </c>
      <c r="E186" s="7">
        <v>0</v>
      </c>
      <c r="F186" s="7">
        <v>0</v>
      </c>
      <c r="G186" s="7">
        <v>0</v>
      </c>
      <c r="H186" s="7">
        <v>0</v>
      </c>
      <c r="I186" s="7">
        <v>0</v>
      </c>
      <c r="J186" s="7">
        <v>0</v>
      </c>
      <c r="K186" s="7">
        <v>0</v>
      </c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</row>
    <row r="187" spans="1:17">
      <c r="A187" s="2">
        <v>2135</v>
      </c>
      <c r="B187" s="7">
        <v>0</v>
      </c>
      <c r="C187" s="7">
        <v>0</v>
      </c>
      <c r="D187" s="7">
        <v>0</v>
      </c>
      <c r="E187" s="7">
        <v>0</v>
      </c>
      <c r="F187" s="7">
        <v>0</v>
      </c>
      <c r="G187" s="7">
        <v>0</v>
      </c>
      <c r="H187" s="7">
        <v>0</v>
      </c>
      <c r="I187" s="7">
        <v>0</v>
      </c>
      <c r="J187" s="7">
        <v>0</v>
      </c>
      <c r="K187" s="7">
        <v>0</v>
      </c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</row>
    <row r="188" spans="1:17">
      <c r="A188" s="2">
        <v>2136</v>
      </c>
      <c r="B188" s="7">
        <v>0</v>
      </c>
      <c r="C188" s="7">
        <v>0</v>
      </c>
      <c r="D188" s="7">
        <v>0</v>
      </c>
      <c r="E188" s="7">
        <v>0</v>
      </c>
      <c r="F188" s="7">
        <v>0</v>
      </c>
      <c r="G188" s="7">
        <v>0</v>
      </c>
      <c r="H188" s="7">
        <v>0</v>
      </c>
      <c r="I188" s="7">
        <v>0</v>
      </c>
      <c r="J188" s="7">
        <v>0</v>
      </c>
      <c r="K188" s="7">
        <v>0</v>
      </c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</row>
    <row r="189" spans="1:17">
      <c r="A189" s="2">
        <v>2137</v>
      </c>
      <c r="B189" s="7">
        <v>0</v>
      </c>
      <c r="C189" s="7">
        <v>0</v>
      </c>
      <c r="D189" s="7">
        <v>0</v>
      </c>
      <c r="E189" s="7">
        <v>0</v>
      </c>
      <c r="F189" s="7">
        <v>0</v>
      </c>
      <c r="G189" s="7">
        <v>0</v>
      </c>
      <c r="H189" s="7">
        <v>0</v>
      </c>
      <c r="I189" s="7">
        <v>0</v>
      </c>
      <c r="J189" s="7">
        <v>0</v>
      </c>
      <c r="K189" s="7">
        <v>0</v>
      </c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</row>
    <row r="190" spans="1:17">
      <c r="A190" s="2">
        <v>2138</v>
      </c>
      <c r="B190" s="7">
        <v>0</v>
      </c>
      <c r="C190" s="7">
        <v>0</v>
      </c>
      <c r="D190" s="7">
        <v>0</v>
      </c>
      <c r="E190" s="7">
        <v>0</v>
      </c>
      <c r="F190" s="7">
        <v>0</v>
      </c>
      <c r="G190" s="7">
        <v>0</v>
      </c>
      <c r="H190" s="7">
        <v>0</v>
      </c>
      <c r="I190" s="7">
        <v>0</v>
      </c>
      <c r="J190" s="7">
        <v>0</v>
      </c>
      <c r="K190" s="7">
        <v>0</v>
      </c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</row>
    <row r="191" spans="1:17">
      <c r="A191" s="2">
        <v>2139</v>
      </c>
      <c r="B191" s="7">
        <v>0</v>
      </c>
      <c r="C191" s="7">
        <v>0</v>
      </c>
      <c r="D191" s="7">
        <v>0</v>
      </c>
      <c r="E191" s="7">
        <v>0</v>
      </c>
      <c r="F191" s="7">
        <v>0</v>
      </c>
      <c r="G191" s="7">
        <v>0</v>
      </c>
      <c r="H191" s="7">
        <v>0</v>
      </c>
      <c r="I191" s="7">
        <v>0</v>
      </c>
      <c r="J191" s="7">
        <v>0</v>
      </c>
      <c r="K191" s="7">
        <v>0</v>
      </c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</row>
    <row r="192" spans="1:17">
      <c r="A192" s="2">
        <v>2140</v>
      </c>
      <c r="B192" s="7">
        <v>0</v>
      </c>
      <c r="C192" s="7">
        <v>0</v>
      </c>
      <c r="D192" s="7">
        <v>0</v>
      </c>
      <c r="E192" s="7">
        <v>0</v>
      </c>
      <c r="F192" s="7">
        <v>0</v>
      </c>
      <c r="G192" s="7">
        <v>0</v>
      </c>
      <c r="H192" s="7">
        <v>0</v>
      </c>
      <c r="I192" s="7">
        <v>0</v>
      </c>
      <c r="J192" s="7">
        <v>0</v>
      </c>
      <c r="K192" s="7">
        <v>0</v>
      </c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</row>
    <row r="193" spans="1:17">
      <c r="A193" s="2">
        <v>2141</v>
      </c>
      <c r="B193" s="7">
        <v>0</v>
      </c>
      <c r="C193" s="7">
        <v>0</v>
      </c>
      <c r="D193" s="7">
        <v>0</v>
      </c>
      <c r="E193" s="7">
        <v>0</v>
      </c>
      <c r="F193" s="7">
        <v>0</v>
      </c>
      <c r="G193" s="7">
        <v>0</v>
      </c>
      <c r="H193" s="7">
        <v>0</v>
      </c>
      <c r="I193" s="7">
        <v>0</v>
      </c>
      <c r="J193" s="7">
        <v>0</v>
      </c>
      <c r="K193" s="7">
        <v>0</v>
      </c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</row>
    <row r="194" spans="1:17">
      <c r="A194" s="2">
        <v>2142</v>
      </c>
      <c r="B194" s="7">
        <v>0</v>
      </c>
      <c r="C194" s="7">
        <v>0</v>
      </c>
      <c r="D194" s="7">
        <v>0</v>
      </c>
      <c r="E194" s="7">
        <v>0</v>
      </c>
      <c r="F194" s="7">
        <v>0</v>
      </c>
      <c r="G194" s="7">
        <v>0</v>
      </c>
      <c r="H194" s="7">
        <v>0</v>
      </c>
      <c r="I194" s="7">
        <v>0</v>
      </c>
      <c r="J194" s="7">
        <v>0</v>
      </c>
      <c r="K194" s="7">
        <v>0</v>
      </c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</row>
    <row r="195" spans="1:17">
      <c r="A195" s="2">
        <v>2143</v>
      </c>
      <c r="B195" s="7">
        <v>0</v>
      </c>
      <c r="C195" s="7">
        <v>0</v>
      </c>
      <c r="D195" s="7">
        <v>0</v>
      </c>
      <c r="E195" s="7">
        <v>0</v>
      </c>
      <c r="F195" s="7">
        <v>0</v>
      </c>
      <c r="G195" s="7">
        <v>0</v>
      </c>
      <c r="H195" s="7">
        <v>0</v>
      </c>
      <c r="I195" s="7">
        <v>0</v>
      </c>
      <c r="J195" s="7">
        <v>0</v>
      </c>
      <c r="K195" s="7">
        <v>0</v>
      </c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</row>
    <row r="196" spans="1:17">
      <c r="A196" s="2">
        <v>2144</v>
      </c>
      <c r="B196" s="7">
        <v>0</v>
      </c>
      <c r="C196" s="7">
        <v>0</v>
      </c>
      <c r="D196" s="7">
        <v>0</v>
      </c>
      <c r="E196" s="7">
        <v>0</v>
      </c>
      <c r="F196" s="7">
        <v>0</v>
      </c>
      <c r="G196" s="7">
        <v>0</v>
      </c>
      <c r="H196" s="7">
        <v>0</v>
      </c>
      <c r="I196" s="7">
        <v>0</v>
      </c>
      <c r="J196" s="7">
        <v>0</v>
      </c>
      <c r="K196" s="7">
        <v>0</v>
      </c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</row>
    <row r="197" spans="1:17">
      <c r="A197" s="2">
        <v>2145</v>
      </c>
      <c r="B197" s="7">
        <v>0</v>
      </c>
      <c r="C197" s="7">
        <v>0</v>
      </c>
      <c r="D197" s="7">
        <v>0</v>
      </c>
      <c r="E197" s="7">
        <v>0</v>
      </c>
      <c r="F197" s="7">
        <v>0</v>
      </c>
      <c r="G197" s="7">
        <v>0</v>
      </c>
      <c r="H197" s="7">
        <v>0</v>
      </c>
      <c r="I197" s="7">
        <v>0</v>
      </c>
      <c r="J197" s="7">
        <v>0</v>
      </c>
      <c r="K197" s="7">
        <v>0</v>
      </c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</row>
    <row r="198" spans="1:17">
      <c r="A198" s="2">
        <v>2146</v>
      </c>
      <c r="B198" s="7">
        <v>0</v>
      </c>
      <c r="C198" s="7">
        <v>0</v>
      </c>
      <c r="D198" s="7">
        <v>0</v>
      </c>
      <c r="E198" s="7">
        <v>0</v>
      </c>
      <c r="F198" s="7">
        <v>0</v>
      </c>
      <c r="G198" s="7">
        <v>0</v>
      </c>
      <c r="H198" s="7">
        <v>0</v>
      </c>
      <c r="I198" s="7">
        <v>0</v>
      </c>
      <c r="J198" s="7">
        <v>0</v>
      </c>
      <c r="K198" s="7">
        <v>0</v>
      </c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</row>
    <row r="199" spans="1:17">
      <c r="A199" s="2">
        <v>2147</v>
      </c>
      <c r="B199" s="7">
        <v>0</v>
      </c>
      <c r="C199" s="7">
        <v>0</v>
      </c>
      <c r="D199" s="7">
        <v>0</v>
      </c>
      <c r="E199" s="7">
        <v>0</v>
      </c>
      <c r="F199" s="7">
        <v>0</v>
      </c>
      <c r="G199" s="7">
        <v>0</v>
      </c>
      <c r="H199" s="7">
        <v>0</v>
      </c>
      <c r="I199" s="7">
        <v>0</v>
      </c>
      <c r="J199" s="7">
        <v>0</v>
      </c>
      <c r="K199" s="7">
        <v>0</v>
      </c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</row>
    <row r="200" spans="1:17">
      <c r="A200" s="2">
        <v>2148</v>
      </c>
      <c r="B200" s="7">
        <v>0</v>
      </c>
      <c r="C200" s="7">
        <v>0</v>
      </c>
      <c r="D200" s="7">
        <v>0</v>
      </c>
      <c r="E200" s="7">
        <v>0</v>
      </c>
      <c r="F200" s="7">
        <v>0</v>
      </c>
      <c r="G200" s="7">
        <v>0</v>
      </c>
      <c r="H200" s="7">
        <v>0</v>
      </c>
      <c r="I200" s="7">
        <v>0</v>
      </c>
      <c r="J200" s="7">
        <v>0</v>
      </c>
      <c r="K200" s="7">
        <v>0</v>
      </c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</row>
    <row r="201" spans="1:17">
      <c r="A201" s="2">
        <v>2149</v>
      </c>
      <c r="B201" s="7">
        <v>0</v>
      </c>
      <c r="C201" s="7">
        <v>0</v>
      </c>
      <c r="D201" s="7">
        <v>0</v>
      </c>
      <c r="E201" s="7">
        <v>0</v>
      </c>
      <c r="F201" s="7">
        <v>0</v>
      </c>
      <c r="G201" s="7">
        <v>0</v>
      </c>
      <c r="H201" s="7">
        <v>0</v>
      </c>
      <c r="I201" s="7">
        <v>0</v>
      </c>
      <c r="J201" s="7">
        <v>0</v>
      </c>
      <c r="K201" s="7">
        <v>0</v>
      </c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</row>
    <row r="202" spans="1:17">
      <c r="A202" s="2">
        <v>2150</v>
      </c>
      <c r="B202" s="7">
        <v>0</v>
      </c>
      <c r="C202" s="7">
        <v>0</v>
      </c>
      <c r="D202" s="7">
        <v>0</v>
      </c>
      <c r="E202" s="7">
        <v>0</v>
      </c>
      <c r="F202" s="7">
        <v>0</v>
      </c>
      <c r="G202" s="7">
        <v>0</v>
      </c>
      <c r="H202" s="7">
        <v>0</v>
      </c>
      <c r="I202" s="7">
        <v>0</v>
      </c>
      <c r="J202" s="7">
        <v>0</v>
      </c>
      <c r="K202" s="7">
        <v>0</v>
      </c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</row>
    <row r="203" spans="1:17">
      <c r="A203" s="2">
        <v>2151</v>
      </c>
      <c r="B203" s="7">
        <v>0</v>
      </c>
      <c r="C203" s="7">
        <v>0</v>
      </c>
      <c r="D203" s="7">
        <v>0</v>
      </c>
      <c r="E203" s="7">
        <v>0</v>
      </c>
      <c r="F203" s="7">
        <v>0</v>
      </c>
      <c r="G203" s="7">
        <v>0</v>
      </c>
      <c r="H203" s="7">
        <v>0</v>
      </c>
      <c r="I203" s="7">
        <v>0</v>
      </c>
      <c r="J203" s="7">
        <v>0</v>
      </c>
      <c r="K203" s="7">
        <v>0</v>
      </c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</row>
    <row r="204" spans="1:17">
      <c r="A204" s="2">
        <v>2152</v>
      </c>
      <c r="B204" s="7">
        <v>0</v>
      </c>
      <c r="C204" s="7">
        <v>0</v>
      </c>
      <c r="D204" s="7">
        <v>0</v>
      </c>
      <c r="E204" s="7">
        <v>0</v>
      </c>
      <c r="F204" s="7">
        <v>0</v>
      </c>
      <c r="G204" s="7">
        <v>0</v>
      </c>
      <c r="H204" s="7">
        <v>0</v>
      </c>
      <c r="I204" s="7">
        <v>0</v>
      </c>
      <c r="J204" s="7">
        <v>0</v>
      </c>
      <c r="K204" s="7">
        <v>0</v>
      </c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</row>
    <row r="205" spans="1:17">
      <c r="A205" s="2">
        <v>2153</v>
      </c>
      <c r="B205" s="7">
        <v>0</v>
      </c>
      <c r="C205" s="7">
        <v>0</v>
      </c>
      <c r="D205" s="7">
        <v>0</v>
      </c>
      <c r="E205" s="7">
        <v>0</v>
      </c>
      <c r="F205" s="7">
        <v>0</v>
      </c>
      <c r="G205" s="7">
        <v>0</v>
      </c>
      <c r="H205" s="7">
        <v>0</v>
      </c>
      <c r="I205" s="7">
        <v>0</v>
      </c>
      <c r="J205" s="7">
        <v>0</v>
      </c>
      <c r="K205" s="7">
        <v>0</v>
      </c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</row>
    <row r="206" spans="1:17">
      <c r="A206" s="2">
        <v>2154</v>
      </c>
      <c r="B206" s="7">
        <v>0</v>
      </c>
      <c r="C206" s="7">
        <v>0</v>
      </c>
      <c r="D206" s="7">
        <v>0</v>
      </c>
      <c r="E206" s="7">
        <v>0</v>
      </c>
      <c r="F206" s="7">
        <v>0</v>
      </c>
      <c r="G206" s="7">
        <v>0</v>
      </c>
      <c r="H206" s="7">
        <v>0</v>
      </c>
      <c r="I206" s="7">
        <v>0</v>
      </c>
      <c r="J206" s="7">
        <v>0</v>
      </c>
      <c r="K206" s="7">
        <v>0</v>
      </c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</row>
    <row r="207" spans="1:17">
      <c r="A207" s="2">
        <v>2155</v>
      </c>
      <c r="B207" s="7">
        <v>0</v>
      </c>
      <c r="C207" s="7">
        <v>0</v>
      </c>
      <c r="D207" s="7">
        <v>0</v>
      </c>
      <c r="E207" s="7">
        <v>0</v>
      </c>
      <c r="F207" s="7">
        <v>0</v>
      </c>
      <c r="G207" s="7">
        <v>0</v>
      </c>
      <c r="H207" s="7">
        <v>0</v>
      </c>
      <c r="I207" s="7">
        <v>0</v>
      </c>
      <c r="J207" s="7">
        <v>0</v>
      </c>
      <c r="K207" s="7">
        <v>0</v>
      </c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</row>
    <row r="208" spans="1:17">
      <c r="A208" s="2">
        <v>2156</v>
      </c>
      <c r="B208" s="7">
        <v>0</v>
      </c>
      <c r="C208" s="7">
        <v>0</v>
      </c>
      <c r="D208" s="7">
        <v>0</v>
      </c>
      <c r="E208" s="7">
        <v>0</v>
      </c>
      <c r="F208" s="7">
        <v>0</v>
      </c>
      <c r="G208" s="7">
        <v>0</v>
      </c>
      <c r="H208" s="7">
        <v>0</v>
      </c>
      <c r="I208" s="7">
        <v>0</v>
      </c>
      <c r="J208" s="7">
        <v>0</v>
      </c>
      <c r="K208" s="7">
        <v>0</v>
      </c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</row>
    <row r="209" spans="1:17">
      <c r="A209" s="2">
        <v>2157</v>
      </c>
      <c r="B209" s="7">
        <v>0</v>
      </c>
      <c r="C209" s="7">
        <v>0</v>
      </c>
      <c r="D209" s="7">
        <v>0</v>
      </c>
      <c r="E209" s="7">
        <v>0</v>
      </c>
      <c r="F209" s="7">
        <v>0</v>
      </c>
      <c r="G209" s="7">
        <v>0</v>
      </c>
      <c r="H209" s="7">
        <v>0</v>
      </c>
      <c r="I209" s="7">
        <v>0</v>
      </c>
      <c r="J209" s="7">
        <v>0</v>
      </c>
      <c r="K209" s="7">
        <v>0</v>
      </c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</row>
    <row r="210" spans="1:17">
      <c r="A210" s="2">
        <v>2158</v>
      </c>
      <c r="B210" s="7">
        <v>0</v>
      </c>
      <c r="C210" s="7">
        <v>0</v>
      </c>
      <c r="D210" s="7">
        <v>0</v>
      </c>
      <c r="E210" s="7">
        <v>0</v>
      </c>
      <c r="F210" s="7">
        <v>0</v>
      </c>
      <c r="G210" s="7">
        <v>0</v>
      </c>
      <c r="H210" s="7">
        <v>0</v>
      </c>
      <c r="I210" s="7">
        <v>0</v>
      </c>
      <c r="J210" s="7">
        <v>0</v>
      </c>
      <c r="K210" s="7">
        <v>0</v>
      </c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</row>
    <row r="211" spans="1:17">
      <c r="A211" s="2">
        <v>2159</v>
      </c>
      <c r="B211" s="7">
        <v>0</v>
      </c>
      <c r="C211" s="7">
        <v>0</v>
      </c>
      <c r="D211" s="7">
        <v>0</v>
      </c>
      <c r="E211" s="7">
        <v>0</v>
      </c>
      <c r="F211" s="7">
        <v>0</v>
      </c>
      <c r="G211" s="7">
        <v>0</v>
      </c>
      <c r="H211" s="7">
        <v>0</v>
      </c>
      <c r="I211" s="7">
        <v>0</v>
      </c>
      <c r="J211" s="7">
        <v>0</v>
      </c>
      <c r="K211" s="7">
        <v>0</v>
      </c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</row>
    <row r="212" spans="1:17">
      <c r="A212" s="2">
        <v>2160</v>
      </c>
      <c r="B212" s="7">
        <v>0</v>
      </c>
      <c r="C212" s="7">
        <v>0</v>
      </c>
      <c r="D212" s="7">
        <v>0</v>
      </c>
      <c r="E212" s="7">
        <v>0</v>
      </c>
      <c r="F212" s="7">
        <v>0</v>
      </c>
      <c r="G212" s="7">
        <v>0</v>
      </c>
      <c r="H212" s="7">
        <v>0</v>
      </c>
      <c r="I212" s="7">
        <v>0</v>
      </c>
      <c r="J212" s="7">
        <v>0</v>
      </c>
      <c r="K212" s="7">
        <v>0</v>
      </c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</row>
    <row r="213" spans="1:17">
      <c r="A213" s="2">
        <v>2161</v>
      </c>
      <c r="B213" s="7">
        <v>0</v>
      </c>
      <c r="C213" s="7">
        <v>0</v>
      </c>
      <c r="D213" s="7">
        <v>0</v>
      </c>
      <c r="E213" s="7">
        <v>0</v>
      </c>
      <c r="F213" s="7">
        <v>0</v>
      </c>
      <c r="G213" s="7">
        <v>0</v>
      </c>
      <c r="H213" s="7">
        <v>0</v>
      </c>
      <c r="I213" s="7">
        <v>0</v>
      </c>
      <c r="J213" s="7">
        <v>0</v>
      </c>
      <c r="K213" s="7">
        <v>0</v>
      </c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</row>
    <row r="214" spans="1:17">
      <c r="A214" s="2">
        <v>2162</v>
      </c>
      <c r="B214" s="7">
        <v>0</v>
      </c>
      <c r="C214" s="7">
        <v>0</v>
      </c>
      <c r="D214" s="7">
        <v>0</v>
      </c>
      <c r="E214" s="7">
        <v>0</v>
      </c>
      <c r="F214" s="7">
        <v>0</v>
      </c>
      <c r="G214" s="7">
        <v>0</v>
      </c>
      <c r="H214" s="7">
        <v>0</v>
      </c>
      <c r="I214" s="7">
        <v>0</v>
      </c>
      <c r="J214" s="7">
        <v>0</v>
      </c>
      <c r="K214" s="7">
        <v>0</v>
      </c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</row>
    <row r="215" spans="1:17">
      <c r="A215" s="2">
        <v>2163</v>
      </c>
      <c r="B215" s="7">
        <v>0</v>
      </c>
      <c r="C215" s="7">
        <v>0</v>
      </c>
      <c r="D215" s="7">
        <v>0</v>
      </c>
      <c r="E215" s="7">
        <v>0</v>
      </c>
      <c r="F215" s="7">
        <v>0</v>
      </c>
      <c r="G215" s="7">
        <v>0</v>
      </c>
      <c r="H215" s="7">
        <v>0</v>
      </c>
      <c r="I215" s="7">
        <v>0</v>
      </c>
      <c r="J215" s="7">
        <v>0</v>
      </c>
      <c r="K215" s="7">
        <v>0</v>
      </c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</row>
    <row r="216" spans="1:17">
      <c r="A216" s="2">
        <v>2164</v>
      </c>
      <c r="B216" s="7">
        <v>0</v>
      </c>
      <c r="C216" s="7">
        <v>0</v>
      </c>
      <c r="D216" s="7">
        <v>0</v>
      </c>
      <c r="E216" s="7">
        <v>0</v>
      </c>
      <c r="F216" s="7">
        <v>0</v>
      </c>
      <c r="G216" s="7">
        <v>0</v>
      </c>
      <c r="H216" s="7">
        <v>0</v>
      </c>
      <c r="I216" s="7">
        <v>0</v>
      </c>
      <c r="J216" s="7">
        <v>0</v>
      </c>
      <c r="K216" s="7">
        <v>0</v>
      </c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</row>
    <row r="217" spans="1:17">
      <c r="A217" s="2">
        <v>2165</v>
      </c>
      <c r="B217" s="7">
        <v>0</v>
      </c>
      <c r="C217" s="7">
        <v>0</v>
      </c>
      <c r="D217" s="7">
        <v>0</v>
      </c>
      <c r="E217" s="7">
        <v>0</v>
      </c>
      <c r="F217" s="7">
        <v>0</v>
      </c>
      <c r="G217" s="7">
        <v>0</v>
      </c>
      <c r="H217" s="7">
        <v>0</v>
      </c>
      <c r="I217" s="7">
        <v>0</v>
      </c>
      <c r="J217" s="7">
        <v>0</v>
      </c>
      <c r="K217" s="7">
        <v>0</v>
      </c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</row>
    <row r="218" spans="1:17">
      <c r="A218" s="2">
        <v>2166</v>
      </c>
      <c r="B218" s="7">
        <v>0</v>
      </c>
      <c r="C218" s="7">
        <v>0</v>
      </c>
      <c r="D218" s="7">
        <v>0</v>
      </c>
      <c r="E218" s="7">
        <v>0</v>
      </c>
      <c r="F218" s="7">
        <v>0</v>
      </c>
      <c r="G218" s="7">
        <v>0</v>
      </c>
      <c r="H218" s="7">
        <v>0</v>
      </c>
      <c r="I218" s="7">
        <v>0</v>
      </c>
      <c r="J218" s="7">
        <v>0</v>
      </c>
      <c r="K218" s="7">
        <v>0</v>
      </c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</row>
    <row r="219" spans="1:17">
      <c r="A219" s="2">
        <v>2167</v>
      </c>
      <c r="B219" s="7">
        <v>0</v>
      </c>
      <c r="C219" s="7">
        <v>0</v>
      </c>
      <c r="D219" s="7">
        <v>0</v>
      </c>
      <c r="E219" s="7">
        <v>0</v>
      </c>
      <c r="F219" s="7">
        <v>0</v>
      </c>
      <c r="G219" s="7">
        <v>0</v>
      </c>
      <c r="H219" s="7">
        <v>0</v>
      </c>
      <c r="I219" s="7">
        <v>0</v>
      </c>
      <c r="J219" s="7">
        <v>0</v>
      </c>
      <c r="K219" s="7">
        <v>0</v>
      </c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</row>
    <row r="220" spans="1:17">
      <c r="A220" s="2">
        <v>2168</v>
      </c>
      <c r="B220" s="7">
        <v>0</v>
      </c>
      <c r="C220" s="7">
        <v>0</v>
      </c>
      <c r="D220" s="7">
        <v>0</v>
      </c>
      <c r="E220" s="7">
        <v>0</v>
      </c>
      <c r="F220" s="7">
        <v>0</v>
      </c>
      <c r="G220" s="7">
        <v>0</v>
      </c>
      <c r="H220" s="7">
        <v>0</v>
      </c>
      <c r="I220" s="7">
        <v>0</v>
      </c>
      <c r="J220" s="7">
        <v>0</v>
      </c>
      <c r="K220" s="7">
        <v>0</v>
      </c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</row>
    <row r="221" spans="1:17">
      <c r="A221" s="2">
        <v>2169</v>
      </c>
      <c r="B221" s="7">
        <v>0</v>
      </c>
      <c r="C221" s="7">
        <v>0</v>
      </c>
      <c r="D221" s="7">
        <v>0</v>
      </c>
      <c r="E221" s="7">
        <v>0</v>
      </c>
      <c r="F221" s="7">
        <v>0</v>
      </c>
      <c r="G221" s="7">
        <v>0</v>
      </c>
      <c r="H221" s="7">
        <v>0</v>
      </c>
      <c r="I221" s="7">
        <v>0</v>
      </c>
      <c r="J221" s="7">
        <v>0</v>
      </c>
      <c r="K221" s="7">
        <v>0</v>
      </c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</row>
    <row r="222" spans="1:17">
      <c r="A222" s="2">
        <v>2170</v>
      </c>
      <c r="B222" s="7">
        <v>0</v>
      </c>
      <c r="C222" s="7">
        <v>0</v>
      </c>
      <c r="D222" s="7">
        <v>0</v>
      </c>
      <c r="E222" s="7">
        <v>0</v>
      </c>
      <c r="F222" s="7">
        <v>0</v>
      </c>
      <c r="G222" s="7">
        <v>0</v>
      </c>
      <c r="H222" s="7">
        <v>0</v>
      </c>
      <c r="I222" s="7">
        <v>0</v>
      </c>
      <c r="J222" s="7">
        <v>0</v>
      </c>
      <c r="K222" s="7">
        <v>0</v>
      </c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</row>
    <row r="223" spans="1:17">
      <c r="A223" s="2">
        <v>2171</v>
      </c>
      <c r="B223" s="7">
        <v>0</v>
      </c>
      <c r="C223" s="7">
        <v>0</v>
      </c>
      <c r="D223" s="7">
        <v>0</v>
      </c>
      <c r="E223" s="7">
        <v>0</v>
      </c>
      <c r="F223" s="7">
        <v>0</v>
      </c>
      <c r="G223" s="7">
        <v>0</v>
      </c>
      <c r="H223" s="7">
        <v>0</v>
      </c>
      <c r="I223" s="7">
        <v>0</v>
      </c>
      <c r="J223" s="7">
        <v>0</v>
      </c>
      <c r="K223" s="7">
        <v>0</v>
      </c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</row>
    <row r="224" spans="1:17">
      <c r="A224" s="2">
        <v>2172</v>
      </c>
      <c r="B224" s="7">
        <v>0</v>
      </c>
      <c r="C224" s="7">
        <v>0</v>
      </c>
      <c r="D224" s="7">
        <v>0</v>
      </c>
      <c r="E224" s="7">
        <v>0</v>
      </c>
      <c r="F224" s="7">
        <v>0</v>
      </c>
      <c r="G224" s="7">
        <v>0</v>
      </c>
      <c r="H224" s="7">
        <v>0</v>
      </c>
      <c r="I224" s="7">
        <v>0</v>
      </c>
      <c r="J224" s="7">
        <v>0</v>
      </c>
      <c r="K224" s="7">
        <v>0</v>
      </c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</row>
    <row r="225" spans="1:17">
      <c r="A225" s="2">
        <v>2173</v>
      </c>
      <c r="B225" s="7">
        <v>0</v>
      </c>
      <c r="C225" s="7">
        <v>0</v>
      </c>
      <c r="D225" s="7">
        <v>0</v>
      </c>
      <c r="E225" s="7">
        <v>0</v>
      </c>
      <c r="F225" s="7">
        <v>0</v>
      </c>
      <c r="G225" s="7">
        <v>0</v>
      </c>
      <c r="H225" s="7">
        <v>0</v>
      </c>
      <c r="I225" s="7">
        <v>0</v>
      </c>
      <c r="J225" s="7">
        <v>0</v>
      </c>
      <c r="K225" s="7">
        <v>0</v>
      </c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</row>
    <row r="226" spans="1:17">
      <c r="A226" s="2">
        <v>2174</v>
      </c>
      <c r="B226" s="7">
        <v>0</v>
      </c>
      <c r="C226" s="7">
        <v>0</v>
      </c>
      <c r="D226" s="7">
        <v>0</v>
      </c>
      <c r="E226" s="7">
        <v>0</v>
      </c>
      <c r="F226" s="7">
        <v>0</v>
      </c>
      <c r="G226" s="7">
        <v>0</v>
      </c>
      <c r="H226" s="7">
        <v>0</v>
      </c>
      <c r="I226" s="7">
        <v>0</v>
      </c>
      <c r="J226" s="7">
        <v>0</v>
      </c>
      <c r="K226" s="7">
        <v>0</v>
      </c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</row>
    <row r="227" spans="1:17">
      <c r="A227" s="2">
        <v>2175</v>
      </c>
      <c r="B227" s="7">
        <v>0</v>
      </c>
      <c r="C227" s="7">
        <v>0</v>
      </c>
      <c r="D227" s="7">
        <v>0</v>
      </c>
      <c r="E227" s="7">
        <v>0</v>
      </c>
      <c r="F227" s="7">
        <v>0</v>
      </c>
      <c r="G227" s="7">
        <v>0</v>
      </c>
      <c r="H227" s="7">
        <v>0</v>
      </c>
      <c r="I227" s="7">
        <v>0</v>
      </c>
      <c r="J227" s="7">
        <v>0</v>
      </c>
      <c r="K227" s="7">
        <v>0</v>
      </c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</row>
    <row r="228" spans="1:17">
      <c r="A228" s="2">
        <v>2176</v>
      </c>
      <c r="B228" s="7">
        <v>0</v>
      </c>
      <c r="C228" s="7">
        <v>0</v>
      </c>
      <c r="D228" s="7">
        <v>0</v>
      </c>
      <c r="E228" s="7">
        <v>0</v>
      </c>
      <c r="F228" s="7">
        <v>0</v>
      </c>
      <c r="G228" s="7">
        <v>0</v>
      </c>
      <c r="H228" s="7">
        <v>0</v>
      </c>
      <c r="I228" s="7">
        <v>0</v>
      </c>
      <c r="J228" s="7">
        <v>0</v>
      </c>
      <c r="K228" s="7">
        <v>0</v>
      </c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</row>
    <row r="229" spans="1:17">
      <c r="A229" s="2">
        <v>2177</v>
      </c>
      <c r="B229" s="7">
        <v>0</v>
      </c>
      <c r="C229" s="7">
        <v>0</v>
      </c>
      <c r="D229" s="7">
        <v>0</v>
      </c>
      <c r="E229" s="7">
        <v>0</v>
      </c>
      <c r="F229" s="7">
        <v>0</v>
      </c>
      <c r="G229" s="7">
        <v>0</v>
      </c>
      <c r="H229" s="7">
        <v>0</v>
      </c>
      <c r="I229" s="7">
        <v>0</v>
      </c>
      <c r="J229" s="7">
        <v>0</v>
      </c>
      <c r="K229" s="7">
        <v>0</v>
      </c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</row>
    <row r="230" spans="1:17">
      <c r="A230" s="2">
        <v>2178</v>
      </c>
      <c r="B230" s="7">
        <v>0</v>
      </c>
      <c r="C230" s="7">
        <v>0</v>
      </c>
      <c r="D230" s="7">
        <v>0</v>
      </c>
      <c r="E230" s="7">
        <v>0</v>
      </c>
      <c r="F230" s="7">
        <v>0</v>
      </c>
      <c r="G230" s="7">
        <v>0</v>
      </c>
      <c r="H230" s="7">
        <v>0</v>
      </c>
      <c r="I230" s="7">
        <v>0</v>
      </c>
      <c r="J230" s="7">
        <v>0</v>
      </c>
      <c r="K230" s="7">
        <v>0</v>
      </c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</row>
    <row r="231" spans="1:17">
      <c r="A231" s="2">
        <v>2179</v>
      </c>
      <c r="B231" s="7">
        <v>0</v>
      </c>
      <c r="C231" s="7">
        <v>0</v>
      </c>
      <c r="D231" s="7">
        <v>0</v>
      </c>
      <c r="E231" s="7">
        <v>0</v>
      </c>
      <c r="F231" s="7">
        <v>0</v>
      </c>
      <c r="G231" s="7">
        <v>0</v>
      </c>
      <c r="H231" s="7">
        <v>0</v>
      </c>
      <c r="I231" s="7">
        <v>0</v>
      </c>
      <c r="J231" s="7">
        <v>0</v>
      </c>
      <c r="K231" s="7">
        <v>0</v>
      </c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</row>
    <row r="232" spans="1:17">
      <c r="A232" s="2">
        <v>2180</v>
      </c>
      <c r="B232" s="7">
        <v>0</v>
      </c>
      <c r="C232" s="7">
        <v>0</v>
      </c>
      <c r="D232" s="7">
        <v>0</v>
      </c>
      <c r="E232" s="7">
        <v>0</v>
      </c>
      <c r="F232" s="7">
        <v>0</v>
      </c>
      <c r="G232" s="7">
        <v>0</v>
      </c>
      <c r="H232" s="7">
        <v>0</v>
      </c>
      <c r="I232" s="7">
        <v>0</v>
      </c>
      <c r="J232" s="7">
        <v>0</v>
      </c>
      <c r="K232" s="7">
        <v>0</v>
      </c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</row>
    <row r="233" spans="1:17">
      <c r="A233" s="2">
        <v>2181</v>
      </c>
      <c r="B233" s="7">
        <v>0</v>
      </c>
      <c r="C233" s="7">
        <v>0</v>
      </c>
      <c r="D233" s="7">
        <v>0</v>
      </c>
      <c r="E233" s="7">
        <v>0</v>
      </c>
      <c r="F233" s="7">
        <v>0</v>
      </c>
      <c r="G233" s="7">
        <v>0</v>
      </c>
      <c r="H233" s="7">
        <v>0</v>
      </c>
      <c r="I233" s="7">
        <v>0</v>
      </c>
      <c r="J233" s="7">
        <v>0</v>
      </c>
      <c r="K233" s="7">
        <v>0</v>
      </c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</row>
    <row r="234" spans="1:17">
      <c r="A234" s="2">
        <v>2182</v>
      </c>
      <c r="B234" s="7">
        <v>0</v>
      </c>
      <c r="C234" s="7">
        <v>0</v>
      </c>
      <c r="D234" s="7">
        <v>0</v>
      </c>
      <c r="E234" s="7">
        <v>0</v>
      </c>
      <c r="F234" s="7">
        <v>0</v>
      </c>
      <c r="G234" s="7">
        <v>0</v>
      </c>
      <c r="H234" s="7">
        <v>0</v>
      </c>
      <c r="I234" s="7">
        <v>0</v>
      </c>
      <c r="J234" s="7">
        <v>0</v>
      </c>
      <c r="K234" s="7">
        <v>0</v>
      </c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</row>
    <row r="235" spans="1:17">
      <c r="A235" s="2">
        <v>2183</v>
      </c>
      <c r="B235" s="7">
        <v>0</v>
      </c>
      <c r="C235" s="7">
        <v>0</v>
      </c>
      <c r="D235" s="7">
        <v>0</v>
      </c>
      <c r="E235" s="7">
        <v>0</v>
      </c>
      <c r="F235" s="7">
        <v>0</v>
      </c>
      <c r="G235" s="7">
        <v>0</v>
      </c>
      <c r="H235" s="7">
        <v>0</v>
      </c>
      <c r="I235" s="7">
        <v>0</v>
      </c>
      <c r="J235" s="7">
        <v>0</v>
      </c>
      <c r="K235" s="7">
        <v>0</v>
      </c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</row>
    <row r="236" spans="1:17">
      <c r="A236" s="2">
        <v>2184</v>
      </c>
      <c r="B236" s="7">
        <v>0</v>
      </c>
      <c r="C236" s="7">
        <v>0</v>
      </c>
      <c r="D236" s="7">
        <v>0</v>
      </c>
      <c r="E236" s="7">
        <v>0</v>
      </c>
      <c r="F236" s="7">
        <v>0</v>
      </c>
      <c r="G236" s="7">
        <v>0</v>
      </c>
      <c r="H236" s="7">
        <v>0</v>
      </c>
      <c r="I236" s="7">
        <v>0</v>
      </c>
      <c r="J236" s="7">
        <v>0</v>
      </c>
      <c r="K236" s="7">
        <v>0</v>
      </c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</row>
    <row r="237" spans="1:17">
      <c r="A237" s="2">
        <v>2185</v>
      </c>
      <c r="B237" s="7">
        <v>0</v>
      </c>
      <c r="C237" s="7">
        <v>0</v>
      </c>
      <c r="D237" s="7">
        <v>0</v>
      </c>
      <c r="E237" s="7">
        <v>0</v>
      </c>
      <c r="F237" s="7">
        <v>0</v>
      </c>
      <c r="G237" s="7">
        <v>0</v>
      </c>
      <c r="H237" s="7">
        <v>0</v>
      </c>
      <c r="I237" s="7">
        <v>0</v>
      </c>
      <c r="J237" s="7">
        <v>0</v>
      </c>
      <c r="K237" s="7">
        <v>0</v>
      </c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</row>
    <row r="238" spans="1:17">
      <c r="A238" s="2">
        <v>2186</v>
      </c>
      <c r="B238" s="7">
        <v>0</v>
      </c>
      <c r="C238" s="7">
        <v>0</v>
      </c>
      <c r="D238" s="7">
        <v>0</v>
      </c>
      <c r="E238" s="7">
        <v>0</v>
      </c>
      <c r="F238" s="7">
        <v>0</v>
      </c>
      <c r="G238" s="7">
        <v>0</v>
      </c>
      <c r="H238" s="7">
        <v>0</v>
      </c>
      <c r="I238" s="7">
        <v>0</v>
      </c>
      <c r="J238" s="7">
        <v>0</v>
      </c>
      <c r="K238" s="7">
        <v>0</v>
      </c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</row>
    <row r="239" spans="1:17">
      <c r="A239" s="2">
        <v>2187</v>
      </c>
      <c r="B239" s="7">
        <v>0</v>
      </c>
      <c r="C239" s="7">
        <v>0</v>
      </c>
      <c r="D239" s="7">
        <v>0</v>
      </c>
      <c r="E239" s="7">
        <v>0</v>
      </c>
      <c r="F239" s="7">
        <v>0</v>
      </c>
      <c r="G239" s="7">
        <v>0</v>
      </c>
      <c r="H239" s="7">
        <v>0</v>
      </c>
      <c r="I239" s="7">
        <v>0</v>
      </c>
      <c r="J239" s="7">
        <v>0</v>
      </c>
      <c r="K239" s="7">
        <v>0</v>
      </c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</row>
    <row r="240" spans="1:17">
      <c r="A240" s="2">
        <v>2188</v>
      </c>
      <c r="B240" s="7">
        <v>0</v>
      </c>
      <c r="C240" s="7">
        <v>0</v>
      </c>
      <c r="D240" s="7">
        <v>0</v>
      </c>
      <c r="E240" s="7">
        <v>0</v>
      </c>
      <c r="F240" s="7">
        <v>0</v>
      </c>
      <c r="G240" s="7">
        <v>0</v>
      </c>
      <c r="H240" s="7">
        <v>0</v>
      </c>
      <c r="I240" s="7">
        <v>0</v>
      </c>
      <c r="J240" s="7">
        <v>0</v>
      </c>
      <c r="K240" s="7">
        <v>0</v>
      </c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</row>
    <row r="241" spans="1:17">
      <c r="A241" s="2">
        <v>2189</v>
      </c>
      <c r="B241" s="7">
        <v>0</v>
      </c>
      <c r="C241" s="7">
        <v>0</v>
      </c>
      <c r="D241" s="7">
        <v>0</v>
      </c>
      <c r="E241" s="7">
        <v>0</v>
      </c>
      <c r="F241" s="7">
        <v>0</v>
      </c>
      <c r="G241" s="7">
        <v>0</v>
      </c>
      <c r="H241" s="7">
        <v>0</v>
      </c>
      <c r="I241" s="7">
        <v>0</v>
      </c>
      <c r="J241" s="7">
        <v>0</v>
      </c>
      <c r="K241" s="7">
        <v>0</v>
      </c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</row>
    <row r="242" spans="1:17">
      <c r="A242" s="2">
        <v>2190</v>
      </c>
      <c r="B242" s="7">
        <v>0</v>
      </c>
      <c r="C242" s="7">
        <v>0</v>
      </c>
      <c r="D242" s="7">
        <v>0</v>
      </c>
      <c r="E242" s="7">
        <v>0</v>
      </c>
      <c r="F242" s="7">
        <v>0</v>
      </c>
      <c r="G242" s="7">
        <v>0</v>
      </c>
      <c r="H242" s="7">
        <v>0</v>
      </c>
      <c r="I242" s="7">
        <v>0</v>
      </c>
      <c r="J242" s="7">
        <v>0</v>
      </c>
      <c r="K242" s="7">
        <v>0</v>
      </c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</row>
    <row r="243" spans="1:17">
      <c r="A243" s="2">
        <v>2191</v>
      </c>
      <c r="B243" s="7">
        <v>0</v>
      </c>
      <c r="C243" s="7">
        <v>0</v>
      </c>
      <c r="D243" s="7">
        <v>0</v>
      </c>
      <c r="E243" s="7">
        <v>0</v>
      </c>
      <c r="F243" s="7">
        <v>0</v>
      </c>
      <c r="G243" s="7">
        <v>0</v>
      </c>
      <c r="H243" s="7">
        <v>0</v>
      </c>
      <c r="I243" s="7">
        <v>0</v>
      </c>
      <c r="J243" s="7">
        <v>0</v>
      </c>
      <c r="K243" s="7">
        <v>0</v>
      </c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</row>
    <row r="244" spans="1:17">
      <c r="A244" s="2">
        <v>2192</v>
      </c>
      <c r="B244" s="7">
        <v>0</v>
      </c>
      <c r="C244" s="7">
        <v>0</v>
      </c>
      <c r="D244" s="7">
        <v>0</v>
      </c>
      <c r="E244" s="7">
        <v>0</v>
      </c>
      <c r="F244" s="7">
        <v>0</v>
      </c>
      <c r="G244" s="7">
        <v>0</v>
      </c>
      <c r="H244" s="7">
        <v>0</v>
      </c>
      <c r="I244" s="7">
        <v>0</v>
      </c>
      <c r="J244" s="7">
        <v>0</v>
      </c>
      <c r="K244" s="7">
        <v>0</v>
      </c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</row>
    <row r="245" spans="1:17">
      <c r="A245" s="2">
        <v>2193</v>
      </c>
      <c r="B245" s="7">
        <v>0</v>
      </c>
      <c r="C245" s="7">
        <v>0</v>
      </c>
      <c r="D245" s="7">
        <v>0</v>
      </c>
      <c r="E245" s="7">
        <v>0</v>
      </c>
      <c r="F245" s="7">
        <v>0</v>
      </c>
      <c r="G245" s="7">
        <v>0</v>
      </c>
      <c r="H245" s="7">
        <v>0</v>
      </c>
      <c r="I245" s="7">
        <v>0</v>
      </c>
      <c r="J245" s="7">
        <v>0</v>
      </c>
      <c r="K245" s="7">
        <v>0</v>
      </c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</row>
    <row r="246" spans="1:17">
      <c r="A246" s="2">
        <v>2194</v>
      </c>
      <c r="B246" s="7">
        <v>0</v>
      </c>
      <c r="C246" s="7">
        <v>0</v>
      </c>
      <c r="D246" s="7">
        <v>0</v>
      </c>
      <c r="E246" s="7">
        <v>0</v>
      </c>
      <c r="F246" s="7">
        <v>0</v>
      </c>
      <c r="G246" s="7">
        <v>0</v>
      </c>
      <c r="H246" s="7">
        <v>0</v>
      </c>
      <c r="I246" s="7">
        <v>0</v>
      </c>
      <c r="J246" s="7">
        <v>0</v>
      </c>
      <c r="K246" s="7">
        <v>0</v>
      </c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</row>
    <row r="247" spans="1:17">
      <c r="A247" s="2">
        <v>2195</v>
      </c>
      <c r="B247" s="7">
        <v>0</v>
      </c>
      <c r="C247" s="7">
        <v>0</v>
      </c>
      <c r="D247" s="7">
        <v>0</v>
      </c>
      <c r="E247" s="7">
        <v>0</v>
      </c>
      <c r="F247" s="7">
        <v>0</v>
      </c>
      <c r="G247" s="7">
        <v>0</v>
      </c>
      <c r="H247" s="7">
        <v>0</v>
      </c>
      <c r="I247" s="7">
        <v>0</v>
      </c>
      <c r="J247" s="7">
        <v>0</v>
      </c>
      <c r="K247" s="7">
        <v>0</v>
      </c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</row>
    <row r="248" spans="1:17">
      <c r="A248" s="2">
        <v>2196</v>
      </c>
      <c r="B248" s="7">
        <v>0</v>
      </c>
      <c r="C248" s="7">
        <v>0</v>
      </c>
      <c r="D248" s="7">
        <v>0</v>
      </c>
      <c r="E248" s="7">
        <v>0</v>
      </c>
      <c r="F248" s="7">
        <v>0</v>
      </c>
      <c r="G248" s="7">
        <v>0</v>
      </c>
      <c r="H248" s="7">
        <v>0</v>
      </c>
      <c r="I248" s="7">
        <v>0</v>
      </c>
      <c r="J248" s="7">
        <v>0</v>
      </c>
      <c r="K248" s="7">
        <v>0</v>
      </c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</row>
    <row r="249" spans="1:17">
      <c r="A249" s="2">
        <v>2197</v>
      </c>
      <c r="B249" s="7">
        <v>0</v>
      </c>
      <c r="C249" s="7">
        <v>0</v>
      </c>
      <c r="D249" s="7">
        <v>0</v>
      </c>
      <c r="E249" s="7">
        <v>0</v>
      </c>
      <c r="F249" s="7">
        <v>0</v>
      </c>
      <c r="G249" s="7">
        <v>0</v>
      </c>
      <c r="H249" s="7">
        <v>0</v>
      </c>
      <c r="I249" s="7">
        <v>0</v>
      </c>
      <c r="J249" s="7">
        <v>0</v>
      </c>
      <c r="K249" s="7">
        <v>0</v>
      </c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</row>
    <row r="250" spans="1:17">
      <c r="A250" s="2">
        <v>2198</v>
      </c>
      <c r="B250" s="7">
        <v>0</v>
      </c>
      <c r="C250" s="7">
        <v>0</v>
      </c>
      <c r="D250" s="7">
        <v>0</v>
      </c>
      <c r="E250" s="7">
        <v>0</v>
      </c>
      <c r="F250" s="7">
        <v>0</v>
      </c>
      <c r="G250" s="7">
        <v>0</v>
      </c>
      <c r="H250" s="7">
        <v>0</v>
      </c>
      <c r="I250" s="7">
        <v>0</v>
      </c>
      <c r="J250" s="7">
        <v>0</v>
      </c>
      <c r="K250" s="7">
        <v>0</v>
      </c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</row>
    <row r="251" spans="1:17">
      <c r="A251" s="2">
        <v>2199</v>
      </c>
      <c r="B251" s="7">
        <v>0</v>
      </c>
      <c r="C251" s="7">
        <v>0</v>
      </c>
      <c r="D251" s="7">
        <v>0</v>
      </c>
      <c r="E251" s="7">
        <v>0</v>
      </c>
      <c r="F251" s="7">
        <v>0</v>
      </c>
      <c r="G251" s="7">
        <v>0</v>
      </c>
      <c r="H251" s="7">
        <v>0</v>
      </c>
      <c r="I251" s="7">
        <v>0</v>
      </c>
      <c r="J251" s="7">
        <v>0</v>
      </c>
      <c r="K251" s="7">
        <v>0</v>
      </c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</row>
    <row r="252" spans="1:17">
      <c r="A252" s="2">
        <v>2200</v>
      </c>
      <c r="B252" s="7">
        <v>0</v>
      </c>
      <c r="C252" s="7">
        <v>0</v>
      </c>
      <c r="D252" s="7">
        <v>0</v>
      </c>
      <c r="E252" s="7">
        <v>0</v>
      </c>
      <c r="F252" s="7">
        <v>0</v>
      </c>
      <c r="G252" s="7">
        <v>0</v>
      </c>
      <c r="H252" s="7">
        <v>0</v>
      </c>
      <c r="I252" s="7">
        <v>0</v>
      </c>
      <c r="J252" s="7">
        <v>0</v>
      </c>
      <c r="K252" s="7">
        <v>0</v>
      </c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</row>
    <row r="253" spans="1:17">
      <c r="A253" s="2">
        <v>2201</v>
      </c>
      <c r="B253" s="7">
        <v>0</v>
      </c>
      <c r="C253" s="7">
        <v>0</v>
      </c>
      <c r="D253" s="7">
        <v>0</v>
      </c>
      <c r="E253" s="7">
        <v>0</v>
      </c>
      <c r="F253" s="7">
        <v>0</v>
      </c>
      <c r="G253" s="7">
        <v>0</v>
      </c>
      <c r="H253" s="7">
        <v>0</v>
      </c>
      <c r="I253" s="7">
        <v>0</v>
      </c>
      <c r="J253" s="7">
        <v>0</v>
      </c>
      <c r="K253" s="7">
        <v>0</v>
      </c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</row>
    <row r="254" spans="1:17">
      <c r="A254" s="2">
        <v>2202</v>
      </c>
      <c r="B254" s="7">
        <v>0</v>
      </c>
      <c r="C254" s="7">
        <v>0</v>
      </c>
      <c r="D254" s="7">
        <v>0</v>
      </c>
      <c r="E254" s="7">
        <v>0</v>
      </c>
      <c r="F254" s="7">
        <v>0</v>
      </c>
      <c r="G254" s="7">
        <v>0</v>
      </c>
      <c r="H254" s="7">
        <v>0</v>
      </c>
      <c r="I254" s="7">
        <v>0</v>
      </c>
      <c r="J254" s="7">
        <v>0</v>
      </c>
      <c r="K254" s="7">
        <v>0</v>
      </c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</row>
    <row r="255" spans="1:17">
      <c r="A255" s="2">
        <v>2203</v>
      </c>
      <c r="B255" s="7">
        <v>0</v>
      </c>
      <c r="C255" s="7">
        <v>0</v>
      </c>
      <c r="D255" s="7">
        <v>0</v>
      </c>
      <c r="E255" s="7">
        <v>0</v>
      </c>
      <c r="F255" s="7">
        <v>0</v>
      </c>
      <c r="G255" s="7">
        <v>0</v>
      </c>
      <c r="H255" s="7">
        <v>0</v>
      </c>
      <c r="I255" s="7">
        <v>0</v>
      </c>
      <c r="J255" s="7">
        <v>0</v>
      </c>
      <c r="K255" s="7">
        <v>0</v>
      </c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</row>
    <row r="256" spans="1:17">
      <c r="A256" s="2">
        <v>2204</v>
      </c>
      <c r="B256" s="7">
        <v>0</v>
      </c>
      <c r="C256" s="7">
        <v>0</v>
      </c>
      <c r="D256" s="7">
        <v>0</v>
      </c>
      <c r="E256" s="7">
        <v>0</v>
      </c>
      <c r="F256" s="7">
        <v>0</v>
      </c>
      <c r="G256" s="7">
        <v>0</v>
      </c>
      <c r="H256" s="7">
        <v>0</v>
      </c>
      <c r="I256" s="7">
        <v>0</v>
      </c>
      <c r="J256" s="7">
        <v>0</v>
      </c>
      <c r="K256" s="7">
        <v>0</v>
      </c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</row>
    <row r="257" spans="1:17">
      <c r="A257" s="2">
        <v>2205</v>
      </c>
      <c r="B257" s="7">
        <v>0</v>
      </c>
      <c r="C257" s="7">
        <v>0</v>
      </c>
      <c r="D257" s="7">
        <v>0</v>
      </c>
      <c r="E257" s="7">
        <v>0</v>
      </c>
      <c r="F257" s="7">
        <v>0</v>
      </c>
      <c r="G257" s="7">
        <v>0</v>
      </c>
      <c r="H257" s="7">
        <v>0</v>
      </c>
      <c r="I257" s="7">
        <v>0</v>
      </c>
      <c r="J257" s="7">
        <v>0</v>
      </c>
      <c r="K257" s="7">
        <v>0</v>
      </c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</row>
    <row r="258" spans="1:17">
      <c r="A258" s="2">
        <v>2206</v>
      </c>
      <c r="B258" s="7">
        <v>0</v>
      </c>
      <c r="C258" s="7">
        <v>0</v>
      </c>
      <c r="D258" s="7">
        <v>0</v>
      </c>
      <c r="E258" s="7">
        <v>0</v>
      </c>
      <c r="F258" s="7">
        <v>0</v>
      </c>
      <c r="G258" s="7">
        <v>0</v>
      </c>
      <c r="H258" s="7">
        <v>0</v>
      </c>
      <c r="I258" s="7">
        <v>0</v>
      </c>
      <c r="J258" s="7">
        <v>0</v>
      </c>
      <c r="K258" s="7">
        <v>0</v>
      </c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</row>
    <row r="259" spans="1:17">
      <c r="A259" s="2">
        <v>2207</v>
      </c>
      <c r="B259" s="7">
        <v>0</v>
      </c>
      <c r="C259" s="7">
        <v>0</v>
      </c>
      <c r="D259" s="7">
        <v>0</v>
      </c>
      <c r="E259" s="7">
        <v>0</v>
      </c>
      <c r="F259" s="7">
        <v>0</v>
      </c>
      <c r="G259" s="7">
        <v>0</v>
      </c>
      <c r="H259" s="7">
        <v>0</v>
      </c>
      <c r="I259" s="7">
        <v>0</v>
      </c>
      <c r="J259" s="7">
        <v>0</v>
      </c>
      <c r="K259" s="7">
        <v>0</v>
      </c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</row>
    <row r="260" spans="1:17">
      <c r="A260" s="2">
        <v>2208</v>
      </c>
      <c r="B260" s="7">
        <v>0</v>
      </c>
      <c r="C260" s="7">
        <v>0</v>
      </c>
      <c r="D260" s="7">
        <v>0</v>
      </c>
      <c r="E260" s="7">
        <v>0</v>
      </c>
      <c r="F260" s="7">
        <v>0</v>
      </c>
      <c r="G260" s="7">
        <v>0</v>
      </c>
      <c r="H260" s="7">
        <v>0</v>
      </c>
      <c r="I260" s="7">
        <v>0</v>
      </c>
      <c r="J260" s="7">
        <v>0</v>
      </c>
      <c r="K260" s="7">
        <v>0</v>
      </c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</row>
    <row r="261" spans="1:17">
      <c r="A261" s="2">
        <v>2209</v>
      </c>
      <c r="B261" s="7">
        <v>0</v>
      </c>
      <c r="C261" s="7">
        <v>0</v>
      </c>
      <c r="D261" s="7">
        <v>0</v>
      </c>
      <c r="E261" s="7">
        <v>0</v>
      </c>
      <c r="F261" s="7">
        <v>0</v>
      </c>
      <c r="G261" s="7">
        <v>0</v>
      </c>
      <c r="H261" s="7">
        <v>0</v>
      </c>
      <c r="I261" s="7">
        <v>0</v>
      </c>
      <c r="J261" s="7">
        <v>0</v>
      </c>
      <c r="K261" s="7">
        <v>0</v>
      </c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</row>
    <row r="262" spans="1:17">
      <c r="A262" s="2">
        <v>2210</v>
      </c>
      <c r="B262" s="7">
        <v>0</v>
      </c>
      <c r="C262" s="7">
        <v>0</v>
      </c>
      <c r="D262" s="7">
        <v>0</v>
      </c>
      <c r="E262" s="7">
        <v>0</v>
      </c>
      <c r="F262" s="7">
        <v>0</v>
      </c>
      <c r="G262" s="7">
        <v>0</v>
      </c>
      <c r="H262" s="7">
        <v>0</v>
      </c>
      <c r="I262" s="7">
        <v>0</v>
      </c>
      <c r="J262" s="7">
        <v>0</v>
      </c>
      <c r="K262" s="7">
        <v>0</v>
      </c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</row>
    <row r="263" spans="1:17">
      <c r="A263" s="2">
        <v>2211</v>
      </c>
      <c r="B263" s="7">
        <v>0</v>
      </c>
      <c r="C263" s="7">
        <v>0</v>
      </c>
      <c r="D263" s="7">
        <v>0</v>
      </c>
      <c r="E263" s="7">
        <v>0</v>
      </c>
      <c r="F263" s="7">
        <v>0</v>
      </c>
      <c r="G263" s="7">
        <v>0</v>
      </c>
      <c r="H263" s="7">
        <v>0</v>
      </c>
      <c r="I263" s="7">
        <v>0</v>
      </c>
      <c r="J263" s="7">
        <v>0</v>
      </c>
      <c r="K263" s="7">
        <v>0</v>
      </c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</row>
    <row r="264" spans="1:17">
      <c r="A264" s="2">
        <v>2212</v>
      </c>
      <c r="B264" s="7">
        <v>0</v>
      </c>
      <c r="C264" s="7">
        <v>0</v>
      </c>
      <c r="D264" s="7">
        <v>0</v>
      </c>
      <c r="E264" s="7">
        <v>0</v>
      </c>
      <c r="F264" s="7">
        <v>0</v>
      </c>
      <c r="G264" s="7">
        <v>0</v>
      </c>
      <c r="H264" s="7">
        <v>0</v>
      </c>
      <c r="I264" s="7">
        <v>0</v>
      </c>
      <c r="J264" s="7">
        <v>0</v>
      </c>
      <c r="K264" s="7">
        <v>0</v>
      </c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</row>
    <row r="265" spans="1:17">
      <c r="A265" s="2">
        <v>2213</v>
      </c>
      <c r="B265" s="7">
        <v>0</v>
      </c>
      <c r="C265" s="7">
        <v>0</v>
      </c>
      <c r="D265" s="7">
        <v>0</v>
      </c>
      <c r="E265" s="7">
        <v>0</v>
      </c>
      <c r="F265" s="7">
        <v>0</v>
      </c>
      <c r="G265" s="7">
        <v>0</v>
      </c>
      <c r="H265" s="7">
        <v>0</v>
      </c>
      <c r="I265" s="7">
        <v>0</v>
      </c>
      <c r="J265" s="7">
        <v>0</v>
      </c>
      <c r="K265" s="7">
        <v>0</v>
      </c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</row>
    <row r="266" spans="1:17">
      <c r="A266" s="2">
        <v>2214</v>
      </c>
      <c r="B266" s="7">
        <v>0</v>
      </c>
      <c r="C266" s="7">
        <v>0</v>
      </c>
      <c r="D266" s="7">
        <v>0</v>
      </c>
      <c r="E266" s="7">
        <v>0</v>
      </c>
      <c r="F266" s="7">
        <v>0</v>
      </c>
      <c r="G266" s="7">
        <v>0</v>
      </c>
      <c r="H266" s="7">
        <v>0</v>
      </c>
      <c r="I266" s="7">
        <v>0</v>
      </c>
      <c r="J266" s="7">
        <v>0</v>
      </c>
      <c r="K266" s="7">
        <v>0</v>
      </c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</row>
    <row r="267" spans="1:17">
      <c r="A267" s="2">
        <v>2215</v>
      </c>
      <c r="B267" s="7">
        <v>0</v>
      </c>
      <c r="C267" s="7">
        <v>0</v>
      </c>
      <c r="D267" s="7">
        <v>0</v>
      </c>
      <c r="E267" s="7">
        <v>0</v>
      </c>
      <c r="F267" s="7">
        <v>0</v>
      </c>
      <c r="G267" s="7">
        <v>0</v>
      </c>
      <c r="H267" s="7">
        <v>0</v>
      </c>
      <c r="I267" s="7">
        <v>0</v>
      </c>
      <c r="J267" s="7">
        <v>0</v>
      </c>
      <c r="K267" s="7">
        <v>0</v>
      </c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</row>
    <row r="268" spans="1:17">
      <c r="A268" s="2">
        <v>2216</v>
      </c>
      <c r="B268" s="7">
        <v>0</v>
      </c>
      <c r="C268" s="7">
        <v>0</v>
      </c>
      <c r="D268" s="7">
        <v>0</v>
      </c>
      <c r="E268" s="7">
        <v>0</v>
      </c>
      <c r="F268" s="7">
        <v>0</v>
      </c>
      <c r="G268" s="7">
        <v>0</v>
      </c>
      <c r="H268" s="7">
        <v>0</v>
      </c>
      <c r="I268" s="7">
        <v>0</v>
      </c>
      <c r="J268" s="7">
        <v>0</v>
      </c>
      <c r="K268" s="7">
        <v>0</v>
      </c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</row>
    <row r="269" spans="1:17">
      <c r="A269" s="2">
        <v>2217</v>
      </c>
      <c r="B269" s="7">
        <v>0</v>
      </c>
      <c r="C269" s="7">
        <v>0</v>
      </c>
      <c r="D269" s="7">
        <v>0</v>
      </c>
      <c r="E269" s="7">
        <v>0</v>
      </c>
      <c r="F269" s="7">
        <v>0</v>
      </c>
      <c r="G269" s="7">
        <v>0</v>
      </c>
      <c r="H269" s="7">
        <v>0</v>
      </c>
      <c r="I269" s="7">
        <v>0</v>
      </c>
      <c r="J269" s="7">
        <v>0</v>
      </c>
      <c r="K269" s="7">
        <v>0</v>
      </c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</row>
    <row r="270" spans="1:17">
      <c r="A270" s="2">
        <v>2218</v>
      </c>
      <c r="B270" s="7">
        <v>0</v>
      </c>
      <c r="C270" s="7">
        <v>0</v>
      </c>
      <c r="D270" s="7">
        <v>0</v>
      </c>
      <c r="E270" s="7">
        <v>0</v>
      </c>
      <c r="F270" s="7">
        <v>0</v>
      </c>
      <c r="G270" s="7">
        <v>0</v>
      </c>
      <c r="H270" s="7">
        <v>0</v>
      </c>
      <c r="I270" s="7">
        <v>0</v>
      </c>
      <c r="J270" s="7">
        <v>0</v>
      </c>
      <c r="K270" s="7">
        <v>0</v>
      </c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</row>
    <row r="271" spans="1:17">
      <c r="A271" s="2">
        <v>2219</v>
      </c>
      <c r="B271" s="7">
        <v>0</v>
      </c>
      <c r="C271" s="7">
        <v>0</v>
      </c>
      <c r="D271" s="7">
        <v>0</v>
      </c>
      <c r="E271" s="7">
        <v>0</v>
      </c>
      <c r="F271" s="7">
        <v>0</v>
      </c>
      <c r="G271" s="7">
        <v>0</v>
      </c>
      <c r="H271" s="7">
        <v>0</v>
      </c>
      <c r="I271" s="7">
        <v>0</v>
      </c>
      <c r="J271" s="7">
        <v>0</v>
      </c>
      <c r="K271" s="7">
        <v>0</v>
      </c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</row>
    <row r="272" spans="1:17">
      <c r="A272" s="2">
        <v>2220</v>
      </c>
      <c r="B272" s="7">
        <v>0</v>
      </c>
      <c r="C272" s="7">
        <v>0</v>
      </c>
      <c r="D272" s="7">
        <v>0</v>
      </c>
      <c r="E272" s="7">
        <v>0</v>
      </c>
      <c r="F272" s="7">
        <v>0</v>
      </c>
      <c r="G272" s="7">
        <v>0</v>
      </c>
      <c r="H272" s="7">
        <v>0</v>
      </c>
      <c r="I272" s="7">
        <v>0</v>
      </c>
      <c r="J272" s="7">
        <v>0</v>
      </c>
      <c r="K272" s="7">
        <v>0</v>
      </c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</row>
    <row r="273" spans="1:17">
      <c r="A273" s="2">
        <v>2221</v>
      </c>
      <c r="B273" s="7">
        <v>0</v>
      </c>
      <c r="C273" s="7">
        <v>0</v>
      </c>
      <c r="D273" s="7">
        <v>0</v>
      </c>
      <c r="E273" s="7">
        <v>0</v>
      </c>
      <c r="F273" s="7">
        <v>0</v>
      </c>
      <c r="G273" s="7">
        <v>0</v>
      </c>
      <c r="H273" s="7">
        <v>0</v>
      </c>
      <c r="I273" s="7">
        <v>0</v>
      </c>
      <c r="J273" s="7">
        <v>0</v>
      </c>
      <c r="K273" s="7">
        <v>0</v>
      </c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</row>
    <row r="274" spans="1:17">
      <c r="A274" s="2">
        <v>2222</v>
      </c>
      <c r="B274" s="7">
        <v>0</v>
      </c>
      <c r="C274" s="7">
        <v>0</v>
      </c>
      <c r="D274" s="7">
        <v>0</v>
      </c>
      <c r="E274" s="7">
        <v>0</v>
      </c>
      <c r="F274" s="7">
        <v>0</v>
      </c>
      <c r="G274" s="7">
        <v>0</v>
      </c>
      <c r="H274" s="7">
        <v>0</v>
      </c>
      <c r="I274" s="7">
        <v>0</v>
      </c>
      <c r="J274" s="7">
        <v>0</v>
      </c>
      <c r="K274" s="7">
        <v>0</v>
      </c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</row>
    <row r="275" spans="1:17">
      <c r="A275" s="2">
        <v>2223</v>
      </c>
      <c r="B275" s="7">
        <v>0</v>
      </c>
      <c r="C275" s="7">
        <v>0</v>
      </c>
      <c r="D275" s="7">
        <v>0</v>
      </c>
      <c r="E275" s="7">
        <v>0</v>
      </c>
      <c r="F275" s="7">
        <v>0</v>
      </c>
      <c r="G275" s="7">
        <v>0</v>
      </c>
      <c r="H275" s="7">
        <v>0</v>
      </c>
      <c r="I275" s="7">
        <v>0</v>
      </c>
      <c r="J275" s="7">
        <v>0</v>
      </c>
      <c r="K275" s="7">
        <v>0</v>
      </c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</row>
    <row r="276" spans="1:17">
      <c r="A276" s="2">
        <v>2224</v>
      </c>
      <c r="B276" s="7">
        <v>0</v>
      </c>
      <c r="C276" s="7">
        <v>0</v>
      </c>
      <c r="D276" s="7">
        <v>0</v>
      </c>
      <c r="E276" s="7">
        <v>0</v>
      </c>
      <c r="F276" s="7">
        <v>0</v>
      </c>
      <c r="G276" s="7">
        <v>0</v>
      </c>
      <c r="H276" s="7">
        <v>0</v>
      </c>
      <c r="I276" s="7">
        <v>0</v>
      </c>
      <c r="J276" s="7">
        <v>0</v>
      </c>
      <c r="K276" s="7">
        <v>0</v>
      </c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</row>
    <row r="277" spans="1:17">
      <c r="A277" s="2">
        <v>2225</v>
      </c>
      <c r="B277" s="7">
        <v>0</v>
      </c>
      <c r="C277" s="7">
        <v>0</v>
      </c>
      <c r="D277" s="7">
        <v>0</v>
      </c>
      <c r="E277" s="7">
        <v>0</v>
      </c>
      <c r="F277" s="7">
        <v>0</v>
      </c>
      <c r="G277" s="7">
        <v>0</v>
      </c>
      <c r="H277" s="7">
        <v>0</v>
      </c>
      <c r="I277" s="7">
        <v>0</v>
      </c>
      <c r="J277" s="7">
        <v>0</v>
      </c>
      <c r="K277" s="7">
        <v>0</v>
      </c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</row>
    <row r="278" spans="1:17">
      <c r="A278" s="2">
        <v>2226</v>
      </c>
      <c r="B278" s="7">
        <v>0</v>
      </c>
      <c r="C278" s="7">
        <v>0</v>
      </c>
      <c r="D278" s="7">
        <v>0</v>
      </c>
      <c r="E278" s="7">
        <v>0</v>
      </c>
      <c r="F278" s="7">
        <v>0</v>
      </c>
      <c r="G278" s="7">
        <v>0</v>
      </c>
      <c r="H278" s="7">
        <v>0</v>
      </c>
      <c r="I278" s="7">
        <v>0</v>
      </c>
      <c r="J278" s="7">
        <v>0</v>
      </c>
      <c r="K278" s="7">
        <v>0</v>
      </c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</row>
    <row r="279" spans="1:17">
      <c r="A279" s="2">
        <v>2227</v>
      </c>
      <c r="B279" s="7">
        <v>0</v>
      </c>
      <c r="C279" s="7">
        <v>0</v>
      </c>
      <c r="D279" s="7">
        <v>0</v>
      </c>
      <c r="E279" s="7">
        <v>0</v>
      </c>
      <c r="F279" s="7">
        <v>0</v>
      </c>
      <c r="G279" s="7">
        <v>0</v>
      </c>
      <c r="H279" s="7">
        <v>0</v>
      </c>
      <c r="I279" s="7">
        <v>0</v>
      </c>
      <c r="J279" s="7">
        <v>0</v>
      </c>
      <c r="K279" s="7">
        <v>0</v>
      </c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</row>
    <row r="280" spans="1:17">
      <c r="A280" s="2">
        <v>2228</v>
      </c>
      <c r="B280" s="7">
        <v>0</v>
      </c>
      <c r="C280" s="7">
        <v>0</v>
      </c>
      <c r="D280" s="7">
        <v>0</v>
      </c>
      <c r="E280" s="7">
        <v>0</v>
      </c>
      <c r="F280" s="7">
        <v>0</v>
      </c>
      <c r="G280" s="7">
        <v>0</v>
      </c>
      <c r="H280" s="7">
        <v>0</v>
      </c>
      <c r="I280" s="7">
        <v>0</v>
      </c>
      <c r="J280" s="7">
        <v>0</v>
      </c>
      <c r="K280" s="7">
        <v>0</v>
      </c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</row>
    <row r="281" spans="1:17">
      <c r="A281" s="2">
        <v>2229</v>
      </c>
      <c r="B281" s="7">
        <v>0</v>
      </c>
      <c r="C281" s="7">
        <v>0</v>
      </c>
      <c r="D281" s="7">
        <v>0</v>
      </c>
      <c r="E281" s="7">
        <v>0</v>
      </c>
      <c r="F281" s="7">
        <v>0</v>
      </c>
      <c r="G281" s="7">
        <v>0</v>
      </c>
      <c r="H281" s="7">
        <v>0</v>
      </c>
      <c r="I281" s="7">
        <v>0</v>
      </c>
      <c r="J281" s="7">
        <v>0</v>
      </c>
      <c r="K281" s="7">
        <v>0</v>
      </c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</row>
    <row r="282" spans="1:17">
      <c r="A282" s="2">
        <v>2230</v>
      </c>
      <c r="B282" s="7">
        <v>0</v>
      </c>
      <c r="C282" s="7">
        <v>0</v>
      </c>
      <c r="D282" s="7">
        <v>0</v>
      </c>
      <c r="E282" s="7">
        <v>0</v>
      </c>
      <c r="F282" s="7">
        <v>0</v>
      </c>
      <c r="G282" s="7">
        <v>0</v>
      </c>
      <c r="H282" s="7">
        <v>0</v>
      </c>
      <c r="I282" s="7">
        <v>0</v>
      </c>
      <c r="J282" s="7">
        <v>0</v>
      </c>
      <c r="K282" s="7">
        <v>0</v>
      </c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</row>
    <row r="283" spans="1:17">
      <c r="A283" s="2">
        <v>2231</v>
      </c>
      <c r="B283" s="7">
        <v>0</v>
      </c>
      <c r="C283" s="7">
        <v>0</v>
      </c>
      <c r="D283" s="7">
        <v>0</v>
      </c>
      <c r="E283" s="7">
        <v>0</v>
      </c>
      <c r="F283" s="7">
        <v>0</v>
      </c>
      <c r="G283" s="7">
        <v>0</v>
      </c>
      <c r="H283" s="7">
        <v>0</v>
      </c>
      <c r="I283" s="7">
        <v>0</v>
      </c>
      <c r="J283" s="7">
        <v>0</v>
      </c>
      <c r="K283" s="7">
        <v>0</v>
      </c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</row>
    <row r="284" spans="1:17">
      <c r="A284" s="2">
        <v>2232</v>
      </c>
      <c r="B284" s="7">
        <v>0</v>
      </c>
      <c r="C284" s="7">
        <v>0</v>
      </c>
      <c r="D284" s="7">
        <v>0</v>
      </c>
      <c r="E284" s="7">
        <v>0</v>
      </c>
      <c r="F284" s="7">
        <v>0</v>
      </c>
      <c r="G284" s="7">
        <v>0</v>
      </c>
      <c r="H284" s="7">
        <v>0</v>
      </c>
      <c r="I284" s="7">
        <v>0</v>
      </c>
      <c r="J284" s="7">
        <v>0</v>
      </c>
      <c r="K284" s="7">
        <v>0</v>
      </c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</row>
    <row r="285" spans="1:17">
      <c r="A285" s="2">
        <v>2233</v>
      </c>
      <c r="B285" s="7">
        <v>0</v>
      </c>
      <c r="C285" s="7">
        <v>0</v>
      </c>
      <c r="D285" s="7">
        <v>0</v>
      </c>
      <c r="E285" s="7">
        <v>0</v>
      </c>
      <c r="F285" s="7">
        <v>0</v>
      </c>
      <c r="G285" s="7">
        <v>0</v>
      </c>
      <c r="H285" s="7">
        <v>0</v>
      </c>
      <c r="I285" s="7">
        <v>0</v>
      </c>
      <c r="J285" s="7">
        <v>0</v>
      </c>
      <c r="K285" s="7">
        <v>0</v>
      </c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</row>
    <row r="286" spans="1:17">
      <c r="A286" s="2">
        <v>2234</v>
      </c>
      <c r="B286" s="7">
        <v>0</v>
      </c>
      <c r="C286" s="7">
        <v>0</v>
      </c>
      <c r="D286" s="7">
        <v>0</v>
      </c>
      <c r="E286" s="7">
        <v>0</v>
      </c>
      <c r="F286" s="7">
        <v>0</v>
      </c>
      <c r="G286" s="7">
        <v>0</v>
      </c>
      <c r="H286" s="7">
        <v>0</v>
      </c>
      <c r="I286" s="7">
        <v>0</v>
      </c>
      <c r="J286" s="7">
        <v>0</v>
      </c>
      <c r="K286" s="7">
        <v>0</v>
      </c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</row>
    <row r="287" spans="1:17">
      <c r="A287" s="2">
        <v>2235</v>
      </c>
      <c r="B287" s="7">
        <v>0</v>
      </c>
      <c r="C287" s="7">
        <v>0</v>
      </c>
      <c r="D287" s="7">
        <v>0</v>
      </c>
      <c r="E287" s="7">
        <v>0</v>
      </c>
      <c r="F287" s="7">
        <v>0</v>
      </c>
      <c r="G287" s="7">
        <v>0</v>
      </c>
      <c r="H287" s="7">
        <v>0</v>
      </c>
      <c r="I287" s="7">
        <v>0</v>
      </c>
      <c r="J287" s="7">
        <v>0</v>
      </c>
      <c r="K287" s="7">
        <v>0</v>
      </c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</row>
    <row r="288" spans="1:17">
      <c r="A288" s="2">
        <v>2236</v>
      </c>
      <c r="B288" s="7">
        <v>0</v>
      </c>
      <c r="C288" s="7">
        <v>0</v>
      </c>
      <c r="D288" s="7">
        <v>0</v>
      </c>
      <c r="E288" s="7">
        <v>0</v>
      </c>
      <c r="F288" s="7">
        <v>0</v>
      </c>
      <c r="G288" s="7">
        <v>0</v>
      </c>
      <c r="H288" s="7">
        <v>0</v>
      </c>
      <c r="I288" s="7">
        <v>0</v>
      </c>
      <c r="J288" s="7">
        <v>0</v>
      </c>
      <c r="K288" s="7">
        <v>0</v>
      </c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</row>
    <row r="289" spans="1:17">
      <c r="A289" s="2">
        <v>2237</v>
      </c>
      <c r="B289" s="7">
        <v>0</v>
      </c>
      <c r="C289" s="7">
        <v>0</v>
      </c>
      <c r="D289" s="7">
        <v>0</v>
      </c>
      <c r="E289" s="7">
        <v>0</v>
      </c>
      <c r="F289" s="7">
        <v>0</v>
      </c>
      <c r="G289" s="7">
        <v>0</v>
      </c>
      <c r="H289" s="7">
        <v>0</v>
      </c>
      <c r="I289" s="7">
        <v>0</v>
      </c>
      <c r="J289" s="7">
        <v>0</v>
      </c>
      <c r="K289" s="7">
        <v>0</v>
      </c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</row>
    <row r="290" spans="1:17">
      <c r="A290" s="2">
        <v>2238</v>
      </c>
      <c r="B290" s="7">
        <v>0</v>
      </c>
      <c r="C290" s="7">
        <v>0</v>
      </c>
      <c r="D290" s="7">
        <v>0</v>
      </c>
      <c r="E290" s="7">
        <v>0</v>
      </c>
      <c r="F290" s="7">
        <v>0</v>
      </c>
      <c r="G290" s="7">
        <v>0</v>
      </c>
      <c r="H290" s="7">
        <v>0</v>
      </c>
      <c r="I290" s="7">
        <v>0</v>
      </c>
      <c r="J290" s="7">
        <v>0</v>
      </c>
      <c r="K290" s="7">
        <v>0</v>
      </c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</row>
    <row r="291" spans="1:17">
      <c r="A291" s="2">
        <v>2239</v>
      </c>
      <c r="B291" s="7">
        <v>0</v>
      </c>
      <c r="C291" s="7">
        <v>0</v>
      </c>
      <c r="D291" s="7">
        <v>0</v>
      </c>
      <c r="E291" s="7">
        <v>0</v>
      </c>
      <c r="F291" s="7">
        <v>0</v>
      </c>
      <c r="G291" s="7">
        <v>0</v>
      </c>
      <c r="H291" s="7">
        <v>0</v>
      </c>
      <c r="I291" s="7">
        <v>0</v>
      </c>
      <c r="J291" s="7">
        <v>0</v>
      </c>
      <c r="K291" s="7">
        <v>0</v>
      </c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</row>
    <row r="292" spans="1:17">
      <c r="A292" s="2">
        <v>2240</v>
      </c>
      <c r="B292" s="7">
        <v>0</v>
      </c>
      <c r="C292" s="7">
        <v>0</v>
      </c>
      <c r="D292" s="7">
        <v>0</v>
      </c>
      <c r="E292" s="7">
        <v>0</v>
      </c>
      <c r="F292" s="7">
        <v>0</v>
      </c>
      <c r="G292" s="7">
        <v>0</v>
      </c>
      <c r="H292" s="7">
        <v>0</v>
      </c>
      <c r="I292" s="7">
        <v>0</v>
      </c>
      <c r="J292" s="7">
        <v>0</v>
      </c>
      <c r="K292" s="7">
        <v>0</v>
      </c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</row>
    <row r="293" spans="1:17">
      <c r="A293" s="2">
        <v>2241</v>
      </c>
      <c r="B293" s="7">
        <v>0</v>
      </c>
      <c r="C293" s="7">
        <v>0</v>
      </c>
      <c r="D293" s="7">
        <v>0</v>
      </c>
      <c r="E293" s="7">
        <v>0</v>
      </c>
      <c r="F293" s="7">
        <v>0</v>
      </c>
      <c r="G293" s="7">
        <v>0</v>
      </c>
      <c r="H293" s="7">
        <v>0</v>
      </c>
      <c r="I293" s="7">
        <v>0</v>
      </c>
      <c r="J293" s="7">
        <v>0</v>
      </c>
      <c r="K293" s="7">
        <v>0</v>
      </c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</row>
    <row r="294" spans="1:17">
      <c r="A294" s="2">
        <v>2242</v>
      </c>
      <c r="B294" s="7">
        <v>0</v>
      </c>
      <c r="C294" s="7">
        <v>0</v>
      </c>
      <c r="D294" s="7">
        <v>0</v>
      </c>
      <c r="E294" s="7">
        <v>0</v>
      </c>
      <c r="F294" s="7">
        <v>0</v>
      </c>
      <c r="G294" s="7">
        <v>0</v>
      </c>
      <c r="H294" s="7">
        <v>0</v>
      </c>
      <c r="I294" s="7">
        <v>0</v>
      </c>
      <c r="J294" s="7">
        <v>0</v>
      </c>
      <c r="K294" s="7">
        <v>0</v>
      </c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</row>
    <row r="295" spans="1:17">
      <c r="A295" s="2">
        <v>2243</v>
      </c>
      <c r="B295" s="7">
        <v>0</v>
      </c>
      <c r="C295" s="7">
        <v>0</v>
      </c>
      <c r="D295" s="7">
        <v>0</v>
      </c>
      <c r="E295" s="7">
        <v>0</v>
      </c>
      <c r="F295" s="7">
        <v>0</v>
      </c>
      <c r="G295" s="7">
        <v>0</v>
      </c>
      <c r="H295" s="7">
        <v>0</v>
      </c>
      <c r="I295" s="7">
        <v>0</v>
      </c>
      <c r="J295" s="7">
        <v>0</v>
      </c>
      <c r="K295" s="7">
        <v>0</v>
      </c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</row>
    <row r="296" spans="1:17">
      <c r="A296" s="2">
        <v>2244</v>
      </c>
      <c r="B296" s="7">
        <v>0</v>
      </c>
      <c r="C296" s="7">
        <v>0</v>
      </c>
      <c r="D296" s="7">
        <v>0</v>
      </c>
      <c r="E296" s="7">
        <v>0</v>
      </c>
      <c r="F296" s="7">
        <v>0</v>
      </c>
      <c r="G296" s="7">
        <v>0</v>
      </c>
      <c r="H296" s="7">
        <v>0</v>
      </c>
      <c r="I296" s="7">
        <v>0</v>
      </c>
      <c r="J296" s="7">
        <v>0</v>
      </c>
      <c r="K296" s="7">
        <v>0</v>
      </c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</row>
    <row r="297" spans="1:17">
      <c r="A297" s="2">
        <v>2245</v>
      </c>
      <c r="B297" s="7">
        <v>0</v>
      </c>
      <c r="C297" s="7">
        <v>0</v>
      </c>
      <c r="D297" s="7">
        <v>0</v>
      </c>
      <c r="E297" s="7">
        <v>0</v>
      </c>
      <c r="F297" s="7">
        <v>0</v>
      </c>
      <c r="G297" s="7">
        <v>0</v>
      </c>
      <c r="H297" s="7">
        <v>0</v>
      </c>
      <c r="I297" s="7">
        <v>0</v>
      </c>
      <c r="J297" s="7">
        <v>0</v>
      </c>
      <c r="K297" s="7">
        <v>0</v>
      </c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</row>
    <row r="298" spans="1:17">
      <c r="A298" s="2">
        <v>2246</v>
      </c>
      <c r="B298" s="7">
        <v>0</v>
      </c>
      <c r="C298" s="7">
        <v>0</v>
      </c>
      <c r="D298" s="7">
        <v>0</v>
      </c>
      <c r="E298" s="7">
        <v>0</v>
      </c>
      <c r="F298" s="7">
        <v>0</v>
      </c>
      <c r="G298" s="7">
        <v>0</v>
      </c>
      <c r="H298" s="7">
        <v>0</v>
      </c>
      <c r="I298" s="7">
        <v>0</v>
      </c>
      <c r="J298" s="7">
        <v>0</v>
      </c>
      <c r="K298" s="7">
        <v>0</v>
      </c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</row>
    <row r="299" spans="1:17">
      <c r="A299" s="2">
        <v>2247</v>
      </c>
      <c r="B299" s="7">
        <v>0</v>
      </c>
      <c r="C299" s="7">
        <v>0</v>
      </c>
      <c r="D299" s="7">
        <v>0</v>
      </c>
      <c r="E299" s="7">
        <v>0</v>
      </c>
      <c r="F299" s="7">
        <v>0</v>
      </c>
      <c r="G299" s="7">
        <v>0</v>
      </c>
      <c r="H299" s="7">
        <v>0</v>
      </c>
      <c r="I299" s="7">
        <v>0</v>
      </c>
      <c r="J299" s="7">
        <v>0</v>
      </c>
      <c r="K299" s="7">
        <v>0</v>
      </c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</row>
    <row r="300" spans="1:17">
      <c r="A300" s="2">
        <v>2248</v>
      </c>
      <c r="B300" s="7">
        <v>0</v>
      </c>
      <c r="C300" s="7">
        <v>0</v>
      </c>
      <c r="D300" s="7">
        <v>0</v>
      </c>
      <c r="E300" s="7">
        <v>0</v>
      </c>
      <c r="F300" s="7">
        <v>0</v>
      </c>
      <c r="G300" s="7">
        <v>0</v>
      </c>
      <c r="H300" s="7">
        <v>0</v>
      </c>
      <c r="I300" s="7">
        <v>0</v>
      </c>
      <c r="J300" s="7">
        <v>0</v>
      </c>
      <c r="K300" s="7">
        <v>0</v>
      </c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</row>
    <row r="301" spans="1:17">
      <c r="A301" s="2">
        <v>2249</v>
      </c>
      <c r="B301" s="7">
        <v>0</v>
      </c>
      <c r="C301" s="7">
        <v>0</v>
      </c>
      <c r="D301" s="7">
        <v>0</v>
      </c>
      <c r="E301" s="7">
        <v>0</v>
      </c>
      <c r="F301" s="7">
        <v>0</v>
      </c>
      <c r="G301" s="7">
        <v>0</v>
      </c>
      <c r="H301" s="7">
        <v>0</v>
      </c>
      <c r="I301" s="7">
        <v>0</v>
      </c>
      <c r="J301" s="7">
        <v>0</v>
      </c>
      <c r="K301" s="7">
        <v>0</v>
      </c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</row>
    <row r="302" spans="1:17">
      <c r="A302" s="2">
        <v>2250</v>
      </c>
      <c r="B302" s="7">
        <v>0</v>
      </c>
      <c r="C302" s="7">
        <v>0</v>
      </c>
      <c r="D302" s="7">
        <v>0</v>
      </c>
      <c r="E302" s="7">
        <v>0</v>
      </c>
      <c r="F302" s="7">
        <v>0</v>
      </c>
      <c r="G302" s="7">
        <v>0</v>
      </c>
      <c r="H302" s="7">
        <v>0</v>
      </c>
      <c r="I302" s="7">
        <v>0</v>
      </c>
      <c r="J302" s="7">
        <v>0</v>
      </c>
      <c r="K302" s="7">
        <v>0</v>
      </c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</row>
    <row r="303" spans="1:17">
      <c r="A303" s="2">
        <v>2251</v>
      </c>
      <c r="B303" s="7">
        <v>0</v>
      </c>
      <c r="C303" s="7">
        <v>0</v>
      </c>
      <c r="D303" s="7">
        <v>0</v>
      </c>
      <c r="E303" s="7">
        <v>0</v>
      </c>
      <c r="F303" s="7">
        <v>0</v>
      </c>
      <c r="G303" s="7">
        <v>0</v>
      </c>
      <c r="H303" s="7">
        <v>0</v>
      </c>
      <c r="I303" s="7">
        <v>0</v>
      </c>
      <c r="J303" s="7">
        <v>0</v>
      </c>
      <c r="K303" s="7">
        <v>0</v>
      </c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</row>
    <row r="304" spans="1:17">
      <c r="A304" s="2">
        <v>2252</v>
      </c>
      <c r="B304" s="7">
        <v>0</v>
      </c>
      <c r="C304" s="7">
        <v>0</v>
      </c>
      <c r="D304" s="7">
        <v>0</v>
      </c>
      <c r="E304" s="7">
        <v>0</v>
      </c>
      <c r="F304" s="7">
        <v>0</v>
      </c>
      <c r="G304" s="7">
        <v>0</v>
      </c>
      <c r="H304" s="7">
        <v>0</v>
      </c>
      <c r="I304" s="7">
        <v>0</v>
      </c>
      <c r="J304" s="7">
        <v>0</v>
      </c>
      <c r="K304" s="7">
        <v>0</v>
      </c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</row>
    <row r="305" spans="1:17">
      <c r="A305" s="2">
        <v>2253</v>
      </c>
      <c r="B305" s="7">
        <v>0</v>
      </c>
      <c r="C305" s="7">
        <v>0</v>
      </c>
      <c r="D305" s="7">
        <v>0</v>
      </c>
      <c r="E305" s="7">
        <v>0</v>
      </c>
      <c r="F305" s="7">
        <v>0</v>
      </c>
      <c r="G305" s="7">
        <v>0</v>
      </c>
      <c r="H305" s="7">
        <v>0</v>
      </c>
      <c r="I305" s="7">
        <v>0</v>
      </c>
      <c r="J305" s="7">
        <v>0</v>
      </c>
      <c r="K305" s="7">
        <v>0</v>
      </c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</row>
    <row r="306" spans="1:17">
      <c r="A306" s="2">
        <v>2254</v>
      </c>
      <c r="B306" s="7">
        <v>0</v>
      </c>
      <c r="C306" s="7">
        <v>0</v>
      </c>
      <c r="D306" s="7">
        <v>0</v>
      </c>
      <c r="E306" s="7">
        <v>0</v>
      </c>
      <c r="F306" s="7">
        <v>0</v>
      </c>
      <c r="G306" s="7">
        <v>0</v>
      </c>
      <c r="H306" s="7">
        <v>0</v>
      </c>
      <c r="I306" s="7">
        <v>0</v>
      </c>
      <c r="J306" s="7">
        <v>0</v>
      </c>
      <c r="K306" s="7">
        <v>0</v>
      </c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</row>
    <row r="307" spans="1:17">
      <c r="A307" s="2">
        <v>2255</v>
      </c>
      <c r="B307" s="7">
        <v>0</v>
      </c>
      <c r="C307" s="7">
        <v>0</v>
      </c>
      <c r="D307" s="7">
        <v>0</v>
      </c>
      <c r="E307" s="7">
        <v>0</v>
      </c>
      <c r="F307" s="7">
        <v>0</v>
      </c>
      <c r="G307" s="7">
        <v>0</v>
      </c>
      <c r="H307" s="7">
        <v>0</v>
      </c>
      <c r="I307" s="7">
        <v>0</v>
      </c>
      <c r="J307" s="7">
        <v>0</v>
      </c>
      <c r="K307" s="7">
        <v>0</v>
      </c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</row>
    <row r="308" spans="1:17">
      <c r="A308" s="2">
        <v>2256</v>
      </c>
      <c r="B308" s="7">
        <v>0</v>
      </c>
      <c r="C308" s="7">
        <v>0</v>
      </c>
      <c r="D308" s="7">
        <v>0</v>
      </c>
      <c r="E308" s="7">
        <v>0</v>
      </c>
      <c r="F308" s="7">
        <v>0</v>
      </c>
      <c r="G308" s="7">
        <v>0</v>
      </c>
      <c r="H308" s="7">
        <v>0</v>
      </c>
      <c r="I308" s="7">
        <v>0</v>
      </c>
      <c r="J308" s="7">
        <v>0</v>
      </c>
      <c r="K308" s="7">
        <v>0</v>
      </c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</row>
    <row r="309" spans="1:17">
      <c r="A309" s="2">
        <v>2257</v>
      </c>
      <c r="B309" s="7">
        <v>0</v>
      </c>
      <c r="C309" s="7">
        <v>0</v>
      </c>
      <c r="D309" s="7">
        <v>0</v>
      </c>
      <c r="E309" s="7">
        <v>0</v>
      </c>
      <c r="F309" s="7">
        <v>0</v>
      </c>
      <c r="G309" s="7">
        <v>0</v>
      </c>
      <c r="H309" s="7">
        <v>0</v>
      </c>
      <c r="I309" s="7">
        <v>0</v>
      </c>
      <c r="J309" s="7">
        <v>0</v>
      </c>
      <c r="K309" s="7">
        <v>0</v>
      </c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</row>
    <row r="310" spans="1:17">
      <c r="A310" s="2">
        <v>2258</v>
      </c>
      <c r="B310" s="7">
        <v>0</v>
      </c>
      <c r="C310" s="7">
        <v>0</v>
      </c>
      <c r="D310" s="7">
        <v>0</v>
      </c>
      <c r="E310" s="7">
        <v>0</v>
      </c>
      <c r="F310" s="7">
        <v>0</v>
      </c>
      <c r="G310" s="7">
        <v>0</v>
      </c>
      <c r="H310" s="7">
        <v>0</v>
      </c>
      <c r="I310" s="7">
        <v>0</v>
      </c>
      <c r="J310" s="7">
        <v>0</v>
      </c>
      <c r="K310" s="7">
        <v>0</v>
      </c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</row>
    <row r="311" spans="1:17">
      <c r="A311" s="2">
        <v>2259</v>
      </c>
      <c r="B311" s="7">
        <v>0</v>
      </c>
      <c r="C311" s="7">
        <v>0</v>
      </c>
      <c r="D311" s="7">
        <v>0</v>
      </c>
      <c r="E311" s="7">
        <v>0</v>
      </c>
      <c r="F311" s="7">
        <v>0</v>
      </c>
      <c r="G311" s="7">
        <v>0</v>
      </c>
      <c r="H311" s="7">
        <v>0</v>
      </c>
      <c r="I311" s="7">
        <v>0</v>
      </c>
      <c r="J311" s="7">
        <v>0</v>
      </c>
      <c r="K311" s="7">
        <v>0</v>
      </c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</row>
    <row r="312" spans="1:17">
      <c r="A312" s="2">
        <v>2260</v>
      </c>
      <c r="B312" s="7">
        <v>0</v>
      </c>
      <c r="C312" s="7">
        <v>0</v>
      </c>
      <c r="D312" s="7">
        <v>0</v>
      </c>
      <c r="E312" s="7">
        <v>0</v>
      </c>
      <c r="F312" s="7">
        <v>0</v>
      </c>
      <c r="G312" s="7">
        <v>0</v>
      </c>
      <c r="H312" s="7">
        <v>0</v>
      </c>
      <c r="I312" s="7">
        <v>0</v>
      </c>
      <c r="J312" s="7">
        <v>0</v>
      </c>
      <c r="K312" s="7">
        <v>0</v>
      </c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</row>
    <row r="313" spans="1:17">
      <c r="A313" s="2">
        <v>2261</v>
      </c>
      <c r="B313" s="7">
        <v>0</v>
      </c>
      <c r="C313" s="7">
        <v>0</v>
      </c>
      <c r="D313" s="7">
        <v>0</v>
      </c>
      <c r="E313" s="7">
        <v>0</v>
      </c>
      <c r="F313" s="7">
        <v>0</v>
      </c>
      <c r="G313" s="7">
        <v>0</v>
      </c>
      <c r="H313" s="7">
        <v>0</v>
      </c>
      <c r="I313" s="7">
        <v>0</v>
      </c>
      <c r="J313" s="7">
        <v>0</v>
      </c>
      <c r="K313" s="7">
        <v>0</v>
      </c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</row>
    <row r="314" spans="1:17">
      <c r="A314" s="2">
        <v>2262</v>
      </c>
      <c r="B314" s="7">
        <v>0</v>
      </c>
      <c r="C314" s="7">
        <v>0</v>
      </c>
      <c r="D314" s="7">
        <v>0</v>
      </c>
      <c r="E314" s="7">
        <v>0</v>
      </c>
      <c r="F314" s="7">
        <v>0</v>
      </c>
      <c r="G314" s="7">
        <v>0</v>
      </c>
      <c r="H314" s="7">
        <v>0</v>
      </c>
      <c r="I314" s="7">
        <v>0</v>
      </c>
      <c r="J314" s="7">
        <v>0</v>
      </c>
      <c r="K314" s="7">
        <v>0</v>
      </c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</row>
    <row r="315" spans="1:17">
      <c r="A315" s="2">
        <v>2263</v>
      </c>
      <c r="B315" s="7">
        <v>0</v>
      </c>
      <c r="C315" s="7">
        <v>0</v>
      </c>
      <c r="D315" s="7">
        <v>0</v>
      </c>
      <c r="E315" s="7">
        <v>0</v>
      </c>
      <c r="F315" s="7">
        <v>0</v>
      </c>
      <c r="G315" s="7">
        <v>0</v>
      </c>
      <c r="H315" s="7">
        <v>0</v>
      </c>
      <c r="I315" s="7">
        <v>0</v>
      </c>
      <c r="J315" s="7">
        <v>0</v>
      </c>
      <c r="K315" s="7">
        <v>0</v>
      </c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</row>
    <row r="316" spans="1:17">
      <c r="A316" s="2">
        <v>2264</v>
      </c>
      <c r="B316" s="7">
        <v>0</v>
      </c>
      <c r="C316" s="7">
        <v>0</v>
      </c>
      <c r="D316" s="7">
        <v>0</v>
      </c>
      <c r="E316" s="7">
        <v>0</v>
      </c>
      <c r="F316" s="7">
        <v>0</v>
      </c>
      <c r="G316" s="7">
        <v>0</v>
      </c>
      <c r="H316" s="7">
        <v>0</v>
      </c>
      <c r="I316" s="7">
        <v>0</v>
      </c>
      <c r="J316" s="7">
        <v>0</v>
      </c>
      <c r="K316" s="7">
        <v>0</v>
      </c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</row>
    <row r="317" spans="1:17">
      <c r="A317" s="2">
        <v>2265</v>
      </c>
      <c r="B317" s="7">
        <v>0</v>
      </c>
      <c r="C317" s="7">
        <v>0</v>
      </c>
      <c r="D317" s="7">
        <v>0</v>
      </c>
      <c r="E317" s="7">
        <v>0</v>
      </c>
      <c r="F317" s="7">
        <v>0</v>
      </c>
      <c r="G317" s="7">
        <v>0</v>
      </c>
      <c r="H317" s="7">
        <v>0</v>
      </c>
      <c r="I317" s="7">
        <v>0</v>
      </c>
      <c r="J317" s="7">
        <v>0</v>
      </c>
      <c r="K317" s="7">
        <v>0</v>
      </c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</row>
    <row r="318" spans="1:17">
      <c r="A318" s="2">
        <v>2266</v>
      </c>
      <c r="B318" s="7">
        <v>0</v>
      </c>
      <c r="C318" s="7">
        <v>0</v>
      </c>
      <c r="D318" s="7">
        <v>0</v>
      </c>
      <c r="E318" s="7">
        <v>0</v>
      </c>
      <c r="F318" s="7">
        <v>0</v>
      </c>
      <c r="G318" s="7">
        <v>0</v>
      </c>
      <c r="H318" s="7">
        <v>0</v>
      </c>
      <c r="I318" s="7">
        <v>0</v>
      </c>
      <c r="J318" s="7">
        <v>0</v>
      </c>
      <c r="K318" s="7">
        <v>0</v>
      </c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</row>
    <row r="319" spans="1:17">
      <c r="A319" s="2">
        <v>2267</v>
      </c>
      <c r="B319" s="7">
        <v>0</v>
      </c>
      <c r="C319" s="7">
        <v>0</v>
      </c>
      <c r="D319" s="7">
        <v>0</v>
      </c>
      <c r="E319" s="7">
        <v>0</v>
      </c>
      <c r="F319" s="7">
        <v>0</v>
      </c>
      <c r="G319" s="7">
        <v>0</v>
      </c>
      <c r="H319" s="7">
        <v>0</v>
      </c>
      <c r="I319" s="7">
        <v>0</v>
      </c>
      <c r="J319" s="7">
        <v>0</v>
      </c>
      <c r="K319" s="7">
        <v>0</v>
      </c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</row>
    <row r="320" spans="1:17">
      <c r="A320" s="2">
        <v>2268</v>
      </c>
      <c r="B320" s="7">
        <v>0</v>
      </c>
      <c r="C320" s="7">
        <v>0</v>
      </c>
      <c r="D320" s="7">
        <v>0</v>
      </c>
      <c r="E320" s="7">
        <v>0</v>
      </c>
      <c r="F320" s="7">
        <v>0</v>
      </c>
      <c r="G320" s="7">
        <v>0</v>
      </c>
      <c r="H320" s="7">
        <v>0</v>
      </c>
      <c r="I320" s="7">
        <v>0</v>
      </c>
      <c r="J320" s="7">
        <v>0</v>
      </c>
      <c r="K320" s="7">
        <v>0</v>
      </c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</row>
    <row r="321" spans="1:17">
      <c r="A321" s="2">
        <v>2269</v>
      </c>
      <c r="B321" s="7">
        <v>0</v>
      </c>
      <c r="C321" s="7">
        <v>0</v>
      </c>
      <c r="D321" s="7">
        <v>0</v>
      </c>
      <c r="E321" s="7">
        <v>0</v>
      </c>
      <c r="F321" s="7">
        <v>0</v>
      </c>
      <c r="G321" s="7">
        <v>0</v>
      </c>
      <c r="H321" s="7">
        <v>0</v>
      </c>
      <c r="I321" s="7">
        <v>0</v>
      </c>
      <c r="J321" s="7">
        <v>0</v>
      </c>
      <c r="K321" s="7">
        <v>0</v>
      </c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</row>
    <row r="322" spans="1:17">
      <c r="A322" s="2">
        <v>2270</v>
      </c>
      <c r="B322" s="7">
        <v>0</v>
      </c>
      <c r="C322" s="7">
        <v>0</v>
      </c>
      <c r="D322" s="7">
        <v>0</v>
      </c>
      <c r="E322" s="7">
        <v>0</v>
      </c>
      <c r="F322" s="7">
        <v>0</v>
      </c>
      <c r="G322" s="7">
        <v>0</v>
      </c>
      <c r="H322" s="7">
        <v>0</v>
      </c>
      <c r="I322" s="7">
        <v>0</v>
      </c>
      <c r="J322" s="7">
        <v>0</v>
      </c>
      <c r="K322" s="7">
        <v>0</v>
      </c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</row>
    <row r="323" spans="1:17">
      <c r="A323" s="2">
        <v>2271</v>
      </c>
      <c r="B323" s="7">
        <v>0</v>
      </c>
      <c r="C323" s="7">
        <v>0</v>
      </c>
      <c r="D323" s="7">
        <v>0</v>
      </c>
      <c r="E323" s="7">
        <v>0</v>
      </c>
      <c r="F323" s="7">
        <v>0</v>
      </c>
      <c r="G323" s="7">
        <v>0</v>
      </c>
      <c r="H323" s="7">
        <v>0</v>
      </c>
      <c r="I323" s="7">
        <v>0</v>
      </c>
      <c r="J323" s="7">
        <v>0</v>
      </c>
      <c r="K323" s="7">
        <v>0</v>
      </c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</row>
    <row r="324" spans="1:17">
      <c r="A324" s="2">
        <v>2272</v>
      </c>
      <c r="B324" s="7">
        <v>0</v>
      </c>
      <c r="C324" s="7">
        <v>0</v>
      </c>
      <c r="D324" s="7">
        <v>0</v>
      </c>
      <c r="E324" s="7">
        <v>0</v>
      </c>
      <c r="F324" s="7">
        <v>0</v>
      </c>
      <c r="G324" s="7">
        <v>0</v>
      </c>
      <c r="H324" s="7">
        <v>0</v>
      </c>
      <c r="I324" s="7">
        <v>0</v>
      </c>
      <c r="J324" s="7">
        <v>0</v>
      </c>
      <c r="K324" s="7">
        <v>0</v>
      </c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</row>
    <row r="325" spans="1:17">
      <c r="A325" s="2">
        <v>2273</v>
      </c>
      <c r="B325" s="7">
        <v>0</v>
      </c>
      <c r="C325" s="7">
        <v>0</v>
      </c>
      <c r="D325" s="7">
        <v>0</v>
      </c>
      <c r="E325" s="7">
        <v>0</v>
      </c>
      <c r="F325" s="7">
        <v>0</v>
      </c>
      <c r="G325" s="7">
        <v>0</v>
      </c>
      <c r="H325" s="7">
        <v>0</v>
      </c>
      <c r="I325" s="7">
        <v>0</v>
      </c>
      <c r="J325" s="7">
        <v>0</v>
      </c>
      <c r="K325" s="7">
        <v>0</v>
      </c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</row>
    <row r="326" spans="1:17">
      <c r="A326" s="2">
        <v>2274</v>
      </c>
      <c r="B326" s="7">
        <v>0</v>
      </c>
      <c r="C326" s="7">
        <v>0</v>
      </c>
      <c r="D326" s="7">
        <v>0</v>
      </c>
      <c r="E326" s="7">
        <v>0</v>
      </c>
      <c r="F326" s="7">
        <v>0</v>
      </c>
      <c r="G326" s="7">
        <v>0</v>
      </c>
      <c r="H326" s="7">
        <v>0</v>
      </c>
      <c r="I326" s="7">
        <v>0</v>
      </c>
      <c r="J326" s="7">
        <v>0</v>
      </c>
      <c r="K326" s="7">
        <v>0</v>
      </c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</row>
    <row r="327" spans="1:17">
      <c r="A327" s="2">
        <v>2275</v>
      </c>
      <c r="B327" s="7">
        <v>0</v>
      </c>
      <c r="C327" s="7">
        <v>0</v>
      </c>
      <c r="D327" s="7">
        <v>0</v>
      </c>
      <c r="E327" s="7">
        <v>0</v>
      </c>
      <c r="F327" s="7">
        <v>0</v>
      </c>
      <c r="G327" s="7">
        <v>0</v>
      </c>
      <c r="H327" s="7">
        <v>0</v>
      </c>
      <c r="I327" s="7">
        <v>0</v>
      </c>
      <c r="J327" s="7">
        <v>0</v>
      </c>
      <c r="K327" s="7">
        <v>0</v>
      </c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</row>
    <row r="328" spans="1:17">
      <c r="A328" s="2">
        <v>2276</v>
      </c>
      <c r="B328" s="7">
        <v>0</v>
      </c>
      <c r="C328" s="7">
        <v>0</v>
      </c>
      <c r="D328" s="7">
        <v>0</v>
      </c>
      <c r="E328" s="7">
        <v>0</v>
      </c>
      <c r="F328" s="7">
        <v>0</v>
      </c>
      <c r="G328" s="7">
        <v>0</v>
      </c>
      <c r="H328" s="7">
        <v>0</v>
      </c>
      <c r="I328" s="7">
        <v>0</v>
      </c>
      <c r="J328" s="7">
        <v>0</v>
      </c>
      <c r="K328" s="7">
        <v>0</v>
      </c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</row>
    <row r="329" spans="1:17">
      <c r="A329" s="2">
        <v>2277</v>
      </c>
      <c r="B329" s="7">
        <v>0</v>
      </c>
      <c r="C329" s="7">
        <v>0</v>
      </c>
      <c r="D329" s="7">
        <v>0</v>
      </c>
      <c r="E329" s="7">
        <v>0</v>
      </c>
      <c r="F329" s="7">
        <v>0</v>
      </c>
      <c r="G329" s="7">
        <v>0</v>
      </c>
      <c r="H329" s="7">
        <v>0</v>
      </c>
      <c r="I329" s="7">
        <v>0</v>
      </c>
      <c r="J329" s="7">
        <v>0</v>
      </c>
      <c r="K329" s="7">
        <v>0</v>
      </c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</row>
    <row r="330" spans="1:17">
      <c r="A330" s="2">
        <v>2278</v>
      </c>
      <c r="B330" s="7">
        <v>0</v>
      </c>
      <c r="C330" s="7">
        <v>0</v>
      </c>
      <c r="D330" s="7">
        <v>0</v>
      </c>
      <c r="E330" s="7">
        <v>0</v>
      </c>
      <c r="F330" s="7">
        <v>0</v>
      </c>
      <c r="G330" s="7">
        <v>0</v>
      </c>
      <c r="H330" s="7">
        <v>0</v>
      </c>
      <c r="I330" s="7">
        <v>0</v>
      </c>
      <c r="J330" s="7">
        <v>0</v>
      </c>
      <c r="K330" s="7">
        <v>0</v>
      </c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</row>
    <row r="331" spans="1:17">
      <c r="A331" s="2">
        <v>2279</v>
      </c>
      <c r="B331" s="7">
        <v>0</v>
      </c>
      <c r="C331" s="7">
        <v>0</v>
      </c>
      <c r="D331" s="7">
        <v>0</v>
      </c>
      <c r="E331" s="7">
        <v>0</v>
      </c>
      <c r="F331" s="7">
        <v>0</v>
      </c>
      <c r="G331" s="7">
        <v>0</v>
      </c>
      <c r="H331" s="7">
        <v>0</v>
      </c>
      <c r="I331" s="7">
        <v>0</v>
      </c>
      <c r="J331" s="7">
        <v>0</v>
      </c>
      <c r="K331" s="7">
        <v>0</v>
      </c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</row>
    <row r="332" spans="1:17">
      <c r="A332" s="2">
        <v>2280</v>
      </c>
      <c r="B332" s="7">
        <v>0</v>
      </c>
      <c r="C332" s="7">
        <v>0</v>
      </c>
      <c r="D332" s="7">
        <v>0</v>
      </c>
      <c r="E332" s="7">
        <v>0</v>
      </c>
      <c r="F332" s="7">
        <v>0</v>
      </c>
      <c r="G332" s="7">
        <v>0</v>
      </c>
      <c r="H332" s="7">
        <v>0</v>
      </c>
      <c r="I332" s="7">
        <v>0</v>
      </c>
      <c r="J332" s="7">
        <v>0</v>
      </c>
      <c r="K332" s="7">
        <v>0</v>
      </c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</row>
    <row r="333" spans="1:17">
      <c r="A333" s="2">
        <v>2281</v>
      </c>
      <c r="B333" s="7">
        <v>0</v>
      </c>
      <c r="C333" s="7">
        <v>0</v>
      </c>
      <c r="D333" s="7">
        <v>0</v>
      </c>
      <c r="E333" s="7">
        <v>0</v>
      </c>
      <c r="F333" s="7">
        <v>0</v>
      </c>
      <c r="G333" s="7">
        <v>0</v>
      </c>
      <c r="H333" s="7">
        <v>0</v>
      </c>
      <c r="I333" s="7">
        <v>0</v>
      </c>
      <c r="J333" s="7">
        <v>0</v>
      </c>
      <c r="K333" s="7">
        <v>0</v>
      </c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</row>
    <row r="334" spans="1:17">
      <c r="A334" s="2">
        <v>2282</v>
      </c>
      <c r="B334" s="7">
        <v>0</v>
      </c>
      <c r="C334" s="7">
        <v>0</v>
      </c>
      <c r="D334" s="7">
        <v>0</v>
      </c>
      <c r="E334" s="7">
        <v>0</v>
      </c>
      <c r="F334" s="7">
        <v>0</v>
      </c>
      <c r="G334" s="7">
        <v>0</v>
      </c>
      <c r="H334" s="7">
        <v>0</v>
      </c>
      <c r="I334" s="7">
        <v>0</v>
      </c>
      <c r="J334" s="7">
        <v>0</v>
      </c>
      <c r="K334" s="7">
        <v>0</v>
      </c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</row>
    <row r="335" spans="1:17">
      <c r="A335" s="2">
        <v>2283</v>
      </c>
      <c r="B335" s="7">
        <v>0</v>
      </c>
      <c r="C335" s="7">
        <v>0</v>
      </c>
      <c r="D335" s="7">
        <v>0</v>
      </c>
      <c r="E335" s="7">
        <v>0</v>
      </c>
      <c r="F335" s="7">
        <v>0</v>
      </c>
      <c r="G335" s="7">
        <v>0</v>
      </c>
      <c r="H335" s="7">
        <v>0</v>
      </c>
      <c r="I335" s="7">
        <v>0</v>
      </c>
      <c r="J335" s="7">
        <v>0</v>
      </c>
      <c r="K335" s="7">
        <v>0</v>
      </c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</row>
    <row r="336" spans="1:17">
      <c r="A336" s="2">
        <v>2284</v>
      </c>
      <c r="B336" s="7">
        <v>0</v>
      </c>
      <c r="C336" s="7">
        <v>0</v>
      </c>
      <c r="D336" s="7">
        <v>0</v>
      </c>
      <c r="E336" s="7">
        <v>0</v>
      </c>
      <c r="F336" s="7">
        <v>0</v>
      </c>
      <c r="G336" s="7">
        <v>0</v>
      </c>
      <c r="H336" s="7">
        <v>0</v>
      </c>
      <c r="I336" s="7">
        <v>0</v>
      </c>
      <c r="J336" s="7">
        <v>0</v>
      </c>
      <c r="K336" s="7">
        <v>0</v>
      </c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</row>
    <row r="337" spans="1:17">
      <c r="A337" s="2">
        <v>2285</v>
      </c>
      <c r="B337" s="7">
        <v>0</v>
      </c>
      <c r="C337" s="7">
        <v>0</v>
      </c>
      <c r="D337" s="7">
        <v>0</v>
      </c>
      <c r="E337" s="7">
        <v>0</v>
      </c>
      <c r="F337" s="7">
        <v>0</v>
      </c>
      <c r="G337" s="7">
        <v>0</v>
      </c>
      <c r="H337" s="7">
        <v>0</v>
      </c>
      <c r="I337" s="7">
        <v>0</v>
      </c>
      <c r="J337" s="7">
        <v>0</v>
      </c>
      <c r="K337" s="7">
        <v>0</v>
      </c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</row>
    <row r="338" spans="1:17">
      <c r="A338" s="2">
        <v>2286</v>
      </c>
      <c r="B338" s="7">
        <v>0</v>
      </c>
      <c r="C338" s="7">
        <v>0</v>
      </c>
      <c r="D338" s="7">
        <v>0</v>
      </c>
      <c r="E338" s="7">
        <v>0</v>
      </c>
      <c r="F338" s="7">
        <v>0</v>
      </c>
      <c r="G338" s="7">
        <v>0</v>
      </c>
      <c r="H338" s="7">
        <v>0</v>
      </c>
      <c r="I338" s="7">
        <v>0</v>
      </c>
      <c r="J338" s="7">
        <v>0</v>
      </c>
      <c r="K338" s="7">
        <v>0</v>
      </c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</row>
    <row r="339" spans="1:17">
      <c r="A339" s="2">
        <v>2287</v>
      </c>
      <c r="B339" s="7">
        <v>0</v>
      </c>
      <c r="C339" s="7">
        <v>0</v>
      </c>
      <c r="D339" s="7">
        <v>0</v>
      </c>
      <c r="E339" s="7">
        <v>0</v>
      </c>
      <c r="F339" s="7">
        <v>0</v>
      </c>
      <c r="G339" s="7">
        <v>0</v>
      </c>
      <c r="H339" s="7">
        <v>0</v>
      </c>
      <c r="I339" s="7">
        <v>0</v>
      </c>
      <c r="J339" s="7">
        <v>0</v>
      </c>
      <c r="K339" s="7">
        <v>0</v>
      </c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</row>
    <row r="340" spans="1:17">
      <c r="A340" s="2">
        <v>2288</v>
      </c>
      <c r="B340" s="7">
        <v>0</v>
      </c>
      <c r="C340" s="7">
        <v>0</v>
      </c>
      <c r="D340" s="7">
        <v>0</v>
      </c>
      <c r="E340" s="7">
        <v>0</v>
      </c>
      <c r="F340" s="7">
        <v>0</v>
      </c>
      <c r="G340" s="7">
        <v>0</v>
      </c>
      <c r="H340" s="7">
        <v>0</v>
      </c>
      <c r="I340" s="7">
        <v>0</v>
      </c>
      <c r="J340" s="7">
        <v>0</v>
      </c>
      <c r="K340" s="7">
        <v>0</v>
      </c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</row>
    <row r="341" spans="1:17">
      <c r="A341" s="2">
        <v>2289</v>
      </c>
      <c r="B341" s="7">
        <v>0</v>
      </c>
      <c r="C341" s="7">
        <v>0</v>
      </c>
      <c r="D341" s="7">
        <v>0</v>
      </c>
      <c r="E341" s="7">
        <v>0</v>
      </c>
      <c r="F341" s="7">
        <v>0</v>
      </c>
      <c r="G341" s="7">
        <v>0</v>
      </c>
      <c r="H341" s="7">
        <v>0</v>
      </c>
      <c r="I341" s="7">
        <v>0</v>
      </c>
      <c r="J341" s="7">
        <v>0</v>
      </c>
      <c r="K341" s="7">
        <v>0</v>
      </c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</row>
    <row r="342" spans="1:17">
      <c r="A342" s="2">
        <v>2290</v>
      </c>
      <c r="B342" s="7">
        <v>0</v>
      </c>
      <c r="C342" s="7">
        <v>0</v>
      </c>
      <c r="D342" s="7">
        <v>0</v>
      </c>
      <c r="E342" s="7">
        <v>0</v>
      </c>
      <c r="F342" s="7">
        <v>0</v>
      </c>
      <c r="G342" s="7">
        <v>0</v>
      </c>
      <c r="H342" s="7">
        <v>0</v>
      </c>
      <c r="I342" s="7">
        <v>0</v>
      </c>
      <c r="J342" s="7">
        <v>0</v>
      </c>
      <c r="K342" s="7">
        <v>0</v>
      </c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</row>
    <row r="343" spans="1:17">
      <c r="A343" s="2">
        <v>2291</v>
      </c>
      <c r="B343" s="7">
        <v>0</v>
      </c>
      <c r="C343" s="7">
        <v>0</v>
      </c>
      <c r="D343" s="7">
        <v>0</v>
      </c>
      <c r="E343" s="7">
        <v>0</v>
      </c>
      <c r="F343" s="7">
        <v>0</v>
      </c>
      <c r="G343" s="7">
        <v>0</v>
      </c>
      <c r="H343" s="7">
        <v>0</v>
      </c>
      <c r="I343" s="7">
        <v>0</v>
      </c>
      <c r="J343" s="7">
        <v>0</v>
      </c>
      <c r="K343" s="7">
        <v>0</v>
      </c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</row>
    <row r="344" spans="1:17">
      <c r="A344" s="2">
        <v>2292</v>
      </c>
      <c r="B344" s="7">
        <v>0</v>
      </c>
      <c r="C344" s="7">
        <v>0</v>
      </c>
      <c r="D344" s="7">
        <v>0</v>
      </c>
      <c r="E344" s="7">
        <v>0</v>
      </c>
      <c r="F344" s="7">
        <v>0</v>
      </c>
      <c r="G344" s="7">
        <v>0</v>
      </c>
      <c r="H344" s="7">
        <v>0</v>
      </c>
      <c r="I344" s="7">
        <v>0</v>
      </c>
      <c r="J344" s="7">
        <v>0</v>
      </c>
      <c r="K344" s="7">
        <v>0</v>
      </c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</row>
    <row r="345" spans="1:17">
      <c r="A345" s="2">
        <v>2293</v>
      </c>
      <c r="B345" s="7">
        <v>0</v>
      </c>
      <c r="C345" s="7">
        <v>0</v>
      </c>
      <c r="D345" s="7">
        <v>0</v>
      </c>
      <c r="E345" s="7">
        <v>0</v>
      </c>
      <c r="F345" s="7">
        <v>0</v>
      </c>
      <c r="G345" s="7">
        <v>0</v>
      </c>
      <c r="H345" s="7">
        <v>0</v>
      </c>
      <c r="I345" s="7">
        <v>0</v>
      </c>
      <c r="J345" s="7">
        <v>0</v>
      </c>
      <c r="K345" s="7">
        <v>0</v>
      </c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</row>
    <row r="346" spans="1:17">
      <c r="A346" s="2">
        <v>2294</v>
      </c>
      <c r="B346" s="7">
        <v>0</v>
      </c>
      <c r="C346" s="7">
        <v>0</v>
      </c>
      <c r="D346" s="7">
        <v>0</v>
      </c>
      <c r="E346" s="7">
        <v>0</v>
      </c>
      <c r="F346" s="7">
        <v>0</v>
      </c>
      <c r="G346" s="7">
        <v>0</v>
      </c>
      <c r="H346" s="7">
        <v>0</v>
      </c>
      <c r="I346" s="7">
        <v>0</v>
      </c>
      <c r="J346" s="7">
        <v>0</v>
      </c>
      <c r="K346" s="7">
        <v>0</v>
      </c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</row>
    <row r="347" spans="1:17">
      <c r="A347" s="2">
        <v>2295</v>
      </c>
      <c r="B347" s="7">
        <v>0</v>
      </c>
      <c r="C347" s="7">
        <v>0</v>
      </c>
      <c r="D347" s="7">
        <v>0</v>
      </c>
      <c r="E347" s="7">
        <v>0</v>
      </c>
      <c r="F347" s="7">
        <v>0</v>
      </c>
      <c r="G347" s="7">
        <v>0</v>
      </c>
      <c r="H347" s="7">
        <v>0</v>
      </c>
      <c r="I347" s="7">
        <v>0</v>
      </c>
      <c r="J347" s="7">
        <v>0</v>
      </c>
      <c r="K347" s="7">
        <v>0</v>
      </c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</row>
    <row r="348" spans="1:17">
      <c r="A348" s="2">
        <v>2296</v>
      </c>
      <c r="B348" s="7">
        <v>0</v>
      </c>
      <c r="C348" s="7">
        <v>0</v>
      </c>
      <c r="D348" s="7">
        <v>0</v>
      </c>
      <c r="E348" s="7">
        <v>0</v>
      </c>
      <c r="F348" s="7">
        <v>0</v>
      </c>
      <c r="G348" s="7">
        <v>0</v>
      </c>
      <c r="H348" s="7">
        <v>0</v>
      </c>
      <c r="I348" s="7">
        <v>0</v>
      </c>
      <c r="J348" s="7">
        <v>0</v>
      </c>
      <c r="K348" s="7">
        <v>0</v>
      </c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</row>
    <row r="349" spans="1:17">
      <c r="A349" s="2">
        <v>2297</v>
      </c>
      <c r="B349" s="7">
        <v>0</v>
      </c>
      <c r="C349" s="7">
        <v>0</v>
      </c>
      <c r="D349" s="7">
        <v>0</v>
      </c>
      <c r="E349" s="7">
        <v>0</v>
      </c>
      <c r="F349" s="7">
        <v>0</v>
      </c>
      <c r="G349" s="7">
        <v>0</v>
      </c>
      <c r="H349" s="7">
        <v>0</v>
      </c>
      <c r="I349" s="7">
        <v>0</v>
      </c>
      <c r="J349" s="7">
        <v>0</v>
      </c>
      <c r="K349" s="7">
        <v>0</v>
      </c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</row>
    <row r="350" spans="1:17">
      <c r="A350" s="2">
        <v>2298</v>
      </c>
      <c r="B350" s="7">
        <v>0</v>
      </c>
      <c r="C350" s="7">
        <v>0</v>
      </c>
      <c r="D350" s="7">
        <v>0</v>
      </c>
      <c r="E350" s="7">
        <v>0</v>
      </c>
      <c r="F350" s="7">
        <v>0</v>
      </c>
      <c r="G350" s="7">
        <v>0</v>
      </c>
      <c r="H350" s="7">
        <v>0</v>
      </c>
      <c r="I350" s="7">
        <v>0</v>
      </c>
      <c r="J350" s="7">
        <v>0</v>
      </c>
      <c r="K350" s="7">
        <v>0</v>
      </c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</row>
    <row r="351" spans="1:17">
      <c r="A351" s="2">
        <v>2299</v>
      </c>
      <c r="B351" s="7">
        <v>0</v>
      </c>
      <c r="C351" s="7">
        <v>0</v>
      </c>
      <c r="D351" s="7">
        <v>0</v>
      </c>
      <c r="E351" s="7">
        <v>0</v>
      </c>
      <c r="F351" s="7">
        <v>0</v>
      </c>
      <c r="G351" s="7">
        <v>0</v>
      </c>
      <c r="H351" s="7">
        <v>0</v>
      </c>
      <c r="I351" s="7">
        <v>0</v>
      </c>
      <c r="J351" s="7">
        <v>0</v>
      </c>
      <c r="K351" s="7">
        <v>0</v>
      </c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</row>
    <row r="352" spans="1:17">
      <c r="A352" s="2">
        <v>2300</v>
      </c>
      <c r="B352" s="7">
        <v>0</v>
      </c>
      <c r="C352" s="7">
        <v>0</v>
      </c>
      <c r="D352" s="7">
        <v>0</v>
      </c>
      <c r="E352" s="7">
        <v>0</v>
      </c>
      <c r="F352" s="7">
        <v>0</v>
      </c>
      <c r="G352" s="7">
        <v>0</v>
      </c>
      <c r="H352" s="7">
        <v>0</v>
      </c>
      <c r="I352" s="7">
        <v>0</v>
      </c>
      <c r="J352" s="7">
        <v>0</v>
      </c>
      <c r="K352" s="7">
        <v>0</v>
      </c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</row>
    <row r="353" spans="1:17">
      <c r="A353" s="2">
        <v>2301</v>
      </c>
      <c r="B353" s="7">
        <v>0</v>
      </c>
      <c r="C353" s="7">
        <v>0</v>
      </c>
      <c r="D353" s="7">
        <v>0</v>
      </c>
      <c r="E353" s="7">
        <v>0</v>
      </c>
      <c r="F353" s="7">
        <v>0</v>
      </c>
      <c r="G353" s="7">
        <v>0</v>
      </c>
      <c r="H353" s="7">
        <v>0</v>
      </c>
      <c r="I353" s="7">
        <v>0</v>
      </c>
      <c r="J353" s="7">
        <v>0</v>
      </c>
      <c r="K353" s="7">
        <v>0</v>
      </c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</row>
    <row r="354" spans="1:17">
      <c r="A354" s="2">
        <v>2302</v>
      </c>
      <c r="B354" s="7">
        <v>0</v>
      </c>
      <c r="C354" s="7">
        <v>0</v>
      </c>
      <c r="D354" s="7">
        <v>0</v>
      </c>
      <c r="E354" s="7">
        <v>0</v>
      </c>
      <c r="F354" s="7">
        <v>0</v>
      </c>
      <c r="G354" s="7">
        <v>0</v>
      </c>
      <c r="H354" s="7">
        <v>0</v>
      </c>
      <c r="I354" s="7">
        <v>0</v>
      </c>
      <c r="J354" s="7">
        <v>0</v>
      </c>
      <c r="K354" s="7">
        <v>0</v>
      </c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</row>
    <row r="355" spans="1:17">
      <c r="A355" s="2">
        <v>2303</v>
      </c>
      <c r="B355" s="7">
        <v>0</v>
      </c>
      <c r="C355" s="7">
        <v>0</v>
      </c>
      <c r="D355" s="7">
        <v>0</v>
      </c>
      <c r="E355" s="7">
        <v>0</v>
      </c>
      <c r="F355" s="7">
        <v>0</v>
      </c>
      <c r="G355" s="7">
        <v>0</v>
      </c>
      <c r="H355" s="7">
        <v>0</v>
      </c>
      <c r="I355" s="7">
        <v>0</v>
      </c>
      <c r="J355" s="7">
        <v>0</v>
      </c>
      <c r="K355" s="7">
        <v>0</v>
      </c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</row>
    <row r="356" spans="1:17">
      <c r="A356" s="2">
        <v>2304</v>
      </c>
      <c r="B356" s="7">
        <v>0</v>
      </c>
      <c r="C356" s="7">
        <v>0</v>
      </c>
      <c r="D356" s="7">
        <v>0</v>
      </c>
      <c r="E356" s="7">
        <v>0</v>
      </c>
      <c r="F356" s="7">
        <v>0</v>
      </c>
      <c r="G356" s="7">
        <v>0</v>
      </c>
      <c r="H356" s="7">
        <v>0</v>
      </c>
      <c r="I356" s="7">
        <v>0</v>
      </c>
      <c r="J356" s="7">
        <v>0</v>
      </c>
      <c r="K356" s="7">
        <v>0</v>
      </c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</row>
    <row r="357" spans="1:17">
      <c r="A357" s="2">
        <v>2305</v>
      </c>
      <c r="B357" s="7">
        <v>0</v>
      </c>
      <c r="C357" s="7">
        <v>0</v>
      </c>
      <c r="D357" s="7">
        <v>0</v>
      </c>
      <c r="E357" s="7">
        <v>0</v>
      </c>
      <c r="F357" s="7">
        <v>0</v>
      </c>
      <c r="G357" s="7">
        <v>0</v>
      </c>
      <c r="H357" s="7">
        <v>0</v>
      </c>
      <c r="I357" s="7">
        <v>0</v>
      </c>
      <c r="J357" s="7">
        <v>0</v>
      </c>
      <c r="K357" s="7">
        <v>0</v>
      </c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</row>
    <row r="358" spans="1:17">
      <c r="A358" s="2">
        <v>2306</v>
      </c>
      <c r="B358" s="7">
        <v>0</v>
      </c>
      <c r="C358" s="7">
        <v>0</v>
      </c>
      <c r="D358" s="7">
        <v>0</v>
      </c>
      <c r="E358" s="7">
        <v>0</v>
      </c>
      <c r="F358" s="7">
        <v>0</v>
      </c>
      <c r="G358" s="7">
        <v>0</v>
      </c>
      <c r="H358" s="7">
        <v>0</v>
      </c>
      <c r="I358" s="7">
        <v>0</v>
      </c>
      <c r="J358" s="7">
        <v>0</v>
      </c>
      <c r="K358" s="7">
        <v>0</v>
      </c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</row>
    <row r="359" spans="1:17">
      <c r="A359" s="2">
        <v>2307</v>
      </c>
      <c r="B359" s="7">
        <v>0</v>
      </c>
      <c r="C359" s="7">
        <v>0</v>
      </c>
      <c r="D359" s="7">
        <v>0</v>
      </c>
      <c r="E359" s="7">
        <v>0</v>
      </c>
      <c r="F359" s="7">
        <v>0</v>
      </c>
      <c r="G359" s="7">
        <v>0</v>
      </c>
      <c r="H359" s="7">
        <v>0</v>
      </c>
      <c r="I359" s="7">
        <v>0</v>
      </c>
      <c r="J359" s="7">
        <v>0</v>
      </c>
      <c r="K359" s="7">
        <v>0</v>
      </c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</row>
    <row r="360" spans="1:17">
      <c r="A360" s="2">
        <v>2308</v>
      </c>
      <c r="B360" s="7">
        <v>0</v>
      </c>
      <c r="C360" s="7">
        <v>0</v>
      </c>
      <c r="D360" s="7">
        <v>0</v>
      </c>
      <c r="E360" s="7">
        <v>0</v>
      </c>
      <c r="F360" s="7">
        <v>0</v>
      </c>
      <c r="G360" s="7">
        <v>0</v>
      </c>
      <c r="H360" s="7">
        <v>0</v>
      </c>
      <c r="I360" s="7">
        <v>0</v>
      </c>
      <c r="J360" s="7">
        <v>0</v>
      </c>
      <c r="K360" s="7">
        <v>0</v>
      </c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</row>
    <row r="361" spans="1:17">
      <c r="A361" s="2">
        <v>2309</v>
      </c>
      <c r="B361" s="7">
        <v>0</v>
      </c>
      <c r="C361" s="7">
        <v>0</v>
      </c>
      <c r="D361" s="7">
        <v>0</v>
      </c>
      <c r="E361" s="7">
        <v>0</v>
      </c>
      <c r="F361" s="7">
        <v>0</v>
      </c>
      <c r="G361" s="7">
        <v>0</v>
      </c>
      <c r="H361" s="7">
        <v>0</v>
      </c>
      <c r="I361" s="7">
        <v>0</v>
      </c>
      <c r="J361" s="7">
        <v>0</v>
      </c>
      <c r="K361" s="7">
        <v>0</v>
      </c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</row>
    <row r="362" spans="1:17">
      <c r="A362" s="2">
        <v>2310</v>
      </c>
      <c r="B362" s="7">
        <v>0</v>
      </c>
      <c r="C362" s="7">
        <v>0</v>
      </c>
      <c r="D362" s="7">
        <v>0</v>
      </c>
      <c r="E362" s="7">
        <v>0</v>
      </c>
      <c r="F362" s="7">
        <v>0</v>
      </c>
      <c r="G362" s="7">
        <v>0</v>
      </c>
      <c r="H362" s="7">
        <v>0</v>
      </c>
      <c r="I362" s="7">
        <v>0</v>
      </c>
      <c r="J362" s="7">
        <v>0</v>
      </c>
      <c r="K362" s="7">
        <v>0</v>
      </c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</row>
    <row r="363" spans="1:17">
      <c r="A363" s="2">
        <v>2311</v>
      </c>
      <c r="B363" s="7">
        <v>0</v>
      </c>
      <c r="C363" s="7">
        <v>0</v>
      </c>
      <c r="D363" s="7">
        <v>0</v>
      </c>
      <c r="E363" s="7">
        <v>0</v>
      </c>
      <c r="F363" s="7">
        <v>0</v>
      </c>
      <c r="G363" s="7">
        <v>0</v>
      </c>
      <c r="H363" s="7">
        <v>0</v>
      </c>
      <c r="I363" s="7">
        <v>0</v>
      </c>
      <c r="J363" s="7">
        <v>0</v>
      </c>
      <c r="K363" s="7">
        <v>0</v>
      </c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</row>
    <row r="364" spans="1:17">
      <c r="A364" s="2">
        <v>2312</v>
      </c>
      <c r="B364" s="7">
        <v>0</v>
      </c>
      <c r="C364" s="7">
        <v>0</v>
      </c>
      <c r="D364" s="7">
        <v>0</v>
      </c>
      <c r="E364" s="7">
        <v>0</v>
      </c>
      <c r="F364" s="7">
        <v>0</v>
      </c>
      <c r="G364" s="7">
        <v>0</v>
      </c>
      <c r="H364" s="7">
        <v>0</v>
      </c>
      <c r="I364" s="7">
        <v>0</v>
      </c>
      <c r="J364" s="7">
        <v>0</v>
      </c>
      <c r="K364" s="7">
        <v>0</v>
      </c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</row>
    <row r="365" spans="1:17">
      <c r="A365" s="2">
        <v>2313</v>
      </c>
      <c r="B365" s="7">
        <v>0</v>
      </c>
      <c r="C365" s="7">
        <v>0</v>
      </c>
      <c r="D365" s="7">
        <v>0</v>
      </c>
      <c r="E365" s="7">
        <v>0</v>
      </c>
      <c r="F365" s="7">
        <v>0</v>
      </c>
      <c r="G365" s="7">
        <v>0</v>
      </c>
      <c r="H365" s="7">
        <v>0</v>
      </c>
      <c r="I365" s="7">
        <v>0</v>
      </c>
      <c r="J365" s="7">
        <v>0</v>
      </c>
      <c r="K365" s="7">
        <v>0</v>
      </c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</row>
    <row r="366" spans="1:17">
      <c r="A366" s="2">
        <v>2314</v>
      </c>
      <c r="B366" s="7">
        <v>0</v>
      </c>
      <c r="C366" s="7">
        <v>0</v>
      </c>
      <c r="D366" s="7">
        <v>0</v>
      </c>
      <c r="E366" s="7">
        <v>0</v>
      </c>
      <c r="F366" s="7">
        <v>0</v>
      </c>
      <c r="G366" s="7">
        <v>0</v>
      </c>
      <c r="H366" s="7">
        <v>0</v>
      </c>
      <c r="I366" s="7">
        <v>0</v>
      </c>
      <c r="J366" s="7">
        <v>0</v>
      </c>
      <c r="K366" s="7">
        <v>0</v>
      </c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</row>
    <row r="367" spans="1:17">
      <c r="A367" s="2">
        <v>2315</v>
      </c>
      <c r="B367" s="7">
        <v>0</v>
      </c>
      <c r="C367" s="7">
        <v>0</v>
      </c>
      <c r="D367" s="7">
        <v>0</v>
      </c>
      <c r="E367" s="7">
        <v>0</v>
      </c>
      <c r="F367" s="7">
        <v>0</v>
      </c>
      <c r="G367" s="7">
        <v>0</v>
      </c>
      <c r="H367" s="7">
        <v>0</v>
      </c>
      <c r="I367" s="7">
        <v>0</v>
      </c>
      <c r="J367" s="7">
        <v>0</v>
      </c>
      <c r="K367" s="7">
        <v>0</v>
      </c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</row>
    <row r="368" spans="1:17">
      <c r="A368" s="2">
        <v>2316</v>
      </c>
      <c r="B368" s="7">
        <v>0</v>
      </c>
      <c r="C368" s="7">
        <v>0</v>
      </c>
      <c r="D368" s="7">
        <v>0</v>
      </c>
      <c r="E368" s="7">
        <v>0</v>
      </c>
      <c r="F368" s="7">
        <v>0</v>
      </c>
      <c r="G368" s="7">
        <v>0</v>
      </c>
      <c r="H368" s="7">
        <v>0</v>
      </c>
      <c r="I368" s="7">
        <v>0</v>
      </c>
      <c r="J368" s="7">
        <v>0</v>
      </c>
      <c r="K368" s="7">
        <v>0</v>
      </c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</row>
    <row r="369" spans="1:17">
      <c r="A369" s="2">
        <v>2317</v>
      </c>
      <c r="B369" s="7">
        <v>0</v>
      </c>
      <c r="C369" s="7">
        <v>0</v>
      </c>
      <c r="D369" s="7">
        <v>0</v>
      </c>
      <c r="E369" s="7">
        <v>0</v>
      </c>
      <c r="F369" s="7">
        <v>0</v>
      </c>
      <c r="G369" s="7">
        <v>0</v>
      </c>
      <c r="H369" s="7">
        <v>0</v>
      </c>
      <c r="I369" s="7">
        <v>0</v>
      </c>
      <c r="J369" s="7">
        <v>0</v>
      </c>
      <c r="K369" s="7">
        <v>0</v>
      </c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</row>
    <row r="370" spans="1:17">
      <c r="A370" s="2">
        <v>2318</v>
      </c>
      <c r="B370" s="7">
        <v>0</v>
      </c>
      <c r="C370" s="7">
        <v>0</v>
      </c>
      <c r="D370" s="7">
        <v>0</v>
      </c>
      <c r="E370" s="7">
        <v>0</v>
      </c>
      <c r="F370" s="7">
        <v>0</v>
      </c>
      <c r="G370" s="7">
        <v>0</v>
      </c>
      <c r="H370" s="7">
        <v>0</v>
      </c>
      <c r="I370" s="7">
        <v>0</v>
      </c>
      <c r="J370" s="7">
        <v>0</v>
      </c>
      <c r="K370" s="7">
        <v>0</v>
      </c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</row>
    <row r="371" spans="1:17">
      <c r="A371" s="2">
        <v>2319</v>
      </c>
      <c r="B371" s="7">
        <v>0</v>
      </c>
      <c r="C371" s="7">
        <v>0</v>
      </c>
      <c r="D371" s="7">
        <v>0</v>
      </c>
      <c r="E371" s="7">
        <v>0</v>
      </c>
      <c r="F371" s="7">
        <v>0</v>
      </c>
      <c r="G371" s="7">
        <v>0</v>
      </c>
      <c r="H371" s="7">
        <v>0</v>
      </c>
      <c r="I371" s="7">
        <v>0</v>
      </c>
      <c r="J371" s="7">
        <v>0</v>
      </c>
      <c r="K371" s="7">
        <v>0</v>
      </c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</row>
    <row r="372" spans="1:17">
      <c r="A372" s="2">
        <v>2320</v>
      </c>
      <c r="B372" s="7">
        <v>0</v>
      </c>
      <c r="C372" s="7">
        <v>0</v>
      </c>
      <c r="D372" s="7">
        <v>0</v>
      </c>
      <c r="E372" s="7">
        <v>0</v>
      </c>
      <c r="F372" s="7">
        <v>0</v>
      </c>
      <c r="G372" s="7">
        <v>0</v>
      </c>
      <c r="H372" s="7">
        <v>0</v>
      </c>
      <c r="I372" s="7">
        <v>0</v>
      </c>
      <c r="J372" s="7">
        <v>0</v>
      </c>
      <c r="K372" s="7">
        <v>0</v>
      </c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</row>
    <row r="373" spans="1:17">
      <c r="A373" s="2">
        <v>2321</v>
      </c>
      <c r="B373" s="7">
        <v>0</v>
      </c>
      <c r="C373" s="7">
        <v>0</v>
      </c>
      <c r="D373" s="7">
        <v>0</v>
      </c>
      <c r="E373" s="7">
        <v>0</v>
      </c>
      <c r="F373" s="7">
        <v>0</v>
      </c>
      <c r="G373" s="7">
        <v>0</v>
      </c>
      <c r="H373" s="7">
        <v>0</v>
      </c>
      <c r="I373" s="7">
        <v>0</v>
      </c>
      <c r="J373" s="7">
        <v>0</v>
      </c>
      <c r="K373" s="7">
        <v>0</v>
      </c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</row>
    <row r="374" spans="1:17">
      <c r="A374" s="2">
        <v>2322</v>
      </c>
      <c r="B374" s="7">
        <v>0</v>
      </c>
      <c r="C374" s="7">
        <v>0</v>
      </c>
      <c r="D374" s="7">
        <v>0</v>
      </c>
      <c r="E374" s="7">
        <v>0</v>
      </c>
      <c r="F374" s="7">
        <v>0</v>
      </c>
      <c r="G374" s="7">
        <v>0</v>
      </c>
      <c r="H374" s="7">
        <v>0</v>
      </c>
      <c r="I374" s="7">
        <v>0</v>
      </c>
      <c r="J374" s="7">
        <v>0</v>
      </c>
      <c r="K374" s="7">
        <v>0</v>
      </c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</row>
    <row r="375" spans="1:17">
      <c r="A375" s="2">
        <v>2323</v>
      </c>
      <c r="B375" s="7">
        <v>0</v>
      </c>
      <c r="C375" s="7">
        <v>0</v>
      </c>
      <c r="D375" s="7">
        <v>0</v>
      </c>
      <c r="E375" s="7">
        <v>0</v>
      </c>
      <c r="F375" s="7">
        <v>0</v>
      </c>
      <c r="G375" s="7">
        <v>0</v>
      </c>
      <c r="H375" s="7">
        <v>0</v>
      </c>
      <c r="I375" s="7">
        <v>0</v>
      </c>
      <c r="J375" s="7">
        <v>0</v>
      </c>
      <c r="K375" s="7">
        <v>0</v>
      </c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</row>
    <row r="376" spans="1:17">
      <c r="A376" s="2">
        <v>2324</v>
      </c>
      <c r="B376" s="7">
        <v>0</v>
      </c>
      <c r="C376" s="7">
        <v>0</v>
      </c>
      <c r="D376" s="7">
        <v>0</v>
      </c>
      <c r="E376" s="7">
        <v>0</v>
      </c>
      <c r="F376" s="7">
        <v>0</v>
      </c>
      <c r="G376" s="7">
        <v>0</v>
      </c>
      <c r="H376" s="7">
        <v>0</v>
      </c>
      <c r="I376" s="7">
        <v>0</v>
      </c>
      <c r="J376" s="7">
        <v>0</v>
      </c>
      <c r="K376" s="7">
        <v>0</v>
      </c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</row>
    <row r="377" spans="1:17">
      <c r="A377" s="2">
        <v>2325</v>
      </c>
      <c r="B377" s="7">
        <v>0</v>
      </c>
      <c r="C377" s="7">
        <v>0</v>
      </c>
      <c r="D377" s="7">
        <v>0</v>
      </c>
      <c r="E377" s="7">
        <v>0</v>
      </c>
      <c r="F377" s="7">
        <v>0</v>
      </c>
      <c r="G377" s="7">
        <v>0</v>
      </c>
      <c r="H377" s="7">
        <v>0</v>
      </c>
      <c r="I377" s="7">
        <v>0</v>
      </c>
      <c r="J377" s="7">
        <v>0</v>
      </c>
      <c r="K377" s="7">
        <v>0</v>
      </c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</row>
    <row r="378" spans="1:17">
      <c r="A378" s="2">
        <v>2326</v>
      </c>
      <c r="B378" s="7">
        <v>0</v>
      </c>
      <c r="C378" s="7">
        <v>0</v>
      </c>
      <c r="D378" s="7">
        <v>0</v>
      </c>
      <c r="E378" s="7">
        <v>0</v>
      </c>
      <c r="F378" s="7">
        <v>0</v>
      </c>
      <c r="G378" s="7">
        <v>0</v>
      </c>
      <c r="H378" s="7">
        <v>0</v>
      </c>
      <c r="I378" s="7">
        <v>0</v>
      </c>
      <c r="J378" s="7">
        <v>0</v>
      </c>
      <c r="K378" s="7">
        <v>0</v>
      </c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</row>
    <row r="379" spans="1:17">
      <c r="A379" s="2">
        <v>2327</v>
      </c>
      <c r="B379" s="7">
        <v>0</v>
      </c>
      <c r="C379" s="7">
        <v>0</v>
      </c>
      <c r="D379" s="7">
        <v>0</v>
      </c>
      <c r="E379" s="7">
        <v>0</v>
      </c>
      <c r="F379" s="7">
        <v>0</v>
      </c>
      <c r="G379" s="7">
        <v>0</v>
      </c>
      <c r="H379" s="7">
        <v>0</v>
      </c>
      <c r="I379" s="7">
        <v>0</v>
      </c>
      <c r="J379" s="7">
        <v>0</v>
      </c>
      <c r="K379" s="7">
        <v>0</v>
      </c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</row>
    <row r="380" spans="1:17">
      <c r="A380" s="2">
        <v>2328</v>
      </c>
      <c r="B380" s="7">
        <v>0</v>
      </c>
      <c r="C380" s="7">
        <v>0</v>
      </c>
      <c r="D380" s="7">
        <v>0</v>
      </c>
      <c r="E380" s="7">
        <v>0</v>
      </c>
      <c r="F380" s="7">
        <v>0</v>
      </c>
      <c r="G380" s="7">
        <v>0</v>
      </c>
      <c r="H380" s="7">
        <v>0</v>
      </c>
      <c r="I380" s="7">
        <v>0</v>
      </c>
      <c r="J380" s="7">
        <v>0</v>
      </c>
      <c r="K380" s="7">
        <v>0</v>
      </c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</row>
    <row r="381" spans="1:17">
      <c r="A381" s="2">
        <v>2329</v>
      </c>
      <c r="B381" s="7">
        <v>0</v>
      </c>
      <c r="C381" s="7">
        <v>0</v>
      </c>
      <c r="D381" s="7">
        <v>0</v>
      </c>
      <c r="E381" s="7">
        <v>0</v>
      </c>
      <c r="F381" s="7">
        <v>0</v>
      </c>
      <c r="G381" s="7">
        <v>0</v>
      </c>
      <c r="H381" s="7">
        <v>0</v>
      </c>
      <c r="I381" s="7">
        <v>0</v>
      </c>
      <c r="J381" s="7">
        <v>0</v>
      </c>
      <c r="K381" s="7">
        <v>0</v>
      </c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</row>
    <row r="382" spans="1:17">
      <c r="A382" s="2">
        <v>2330</v>
      </c>
      <c r="B382" s="7">
        <v>0</v>
      </c>
      <c r="C382" s="7">
        <v>0</v>
      </c>
      <c r="D382" s="7">
        <v>0</v>
      </c>
      <c r="E382" s="7">
        <v>0</v>
      </c>
      <c r="F382" s="7">
        <v>0</v>
      </c>
      <c r="G382" s="7">
        <v>0</v>
      </c>
      <c r="H382" s="7">
        <v>0</v>
      </c>
      <c r="I382" s="7">
        <v>0</v>
      </c>
      <c r="J382" s="7">
        <v>0</v>
      </c>
      <c r="K382" s="7">
        <v>0</v>
      </c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</row>
    <row r="383" spans="1:17">
      <c r="A383" s="2">
        <v>2331</v>
      </c>
      <c r="B383" s="7">
        <v>0</v>
      </c>
      <c r="C383" s="7">
        <v>0</v>
      </c>
      <c r="D383" s="7">
        <v>0</v>
      </c>
      <c r="E383" s="7">
        <v>0</v>
      </c>
      <c r="F383" s="7">
        <v>0</v>
      </c>
      <c r="G383" s="7">
        <v>0</v>
      </c>
      <c r="H383" s="7">
        <v>0</v>
      </c>
      <c r="I383" s="7">
        <v>0</v>
      </c>
      <c r="J383" s="7">
        <v>0</v>
      </c>
      <c r="K383" s="7">
        <v>0</v>
      </c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</row>
    <row r="384" spans="1:17">
      <c r="A384" s="2">
        <v>2332</v>
      </c>
      <c r="B384" s="7">
        <v>0</v>
      </c>
      <c r="C384" s="7">
        <v>0</v>
      </c>
      <c r="D384" s="7">
        <v>0</v>
      </c>
      <c r="E384" s="7">
        <v>0</v>
      </c>
      <c r="F384" s="7">
        <v>0</v>
      </c>
      <c r="G384" s="7">
        <v>0</v>
      </c>
      <c r="H384" s="7">
        <v>0</v>
      </c>
      <c r="I384" s="7">
        <v>0</v>
      </c>
      <c r="J384" s="7">
        <v>0</v>
      </c>
      <c r="K384" s="7">
        <v>0</v>
      </c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</row>
    <row r="385" spans="1:17">
      <c r="A385" s="2">
        <v>2333</v>
      </c>
      <c r="B385" s="7">
        <v>0</v>
      </c>
      <c r="C385" s="7">
        <v>0</v>
      </c>
      <c r="D385" s="7">
        <v>0</v>
      </c>
      <c r="E385" s="7">
        <v>0</v>
      </c>
      <c r="F385" s="7">
        <v>0</v>
      </c>
      <c r="G385" s="7">
        <v>0</v>
      </c>
      <c r="H385" s="7">
        <v>0</v>
      </c>
      <c r="I385" s="7">
        <v>0</v>
      </c>
      <c r="J385" s="7">
        <v>0</v>
      </c>
      <c r="K385" s="7">
        <v>0</v>
      </c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</row>
    <row r="386" spans="1:17">
      <c r="A386" s="2">
        <v>2334</v>
      </c>
      <c r="B386" s="7">
        <v>0</v>
      </c>
      <c r="C386" s="7">
        <v>0</v>
      </c>
      <c r="D386" s="7">
        <v>0</v>
      </c>
      <c r="E386" s="7">
        <v>0</v>
      </c>
      <c r="F386" s="7">
        <v>0</v>
      </c>
      <c r="G386" s="7">
        <v>0</v>
      </c>
      <c r="H386" s="7">
        <v>0</v>
      </c>
      <c r="I386" s="7">
        <v>0</v>
      </c>
      <c r="J386" s="7">
        <v>0</v>
      </c>
      <c r="K386" s="7">
        <v>0</v>
      </c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</row>
    <row r="387" spans="1:17">
      <c r="A387" s="2">
        <v>2335</v>
      </c>
      <c r="B387" s="7">
        <v>0</v>
      </c>
      <c r="C387" s="7">
        <v>0</v>
      </c>
      <c r="D387" s="7">
        <v>0</v>
      </c>
      <c r="E387" s="7">
        <v>0</v>
      </c>
      <c r="F387" s="7">
        <v>0</v>
      </c>
      <c r="G387" s="7">
        <v>0</v>
      </c>
      <c r="H387" s="7">
        <v>0</v>
      </c>
      <c r="I387" s="7">
        <v>0</v>
      </c>
      <c r="J387" s="7">
        <v>0</v>
      </c>
      <c r="K387" s="7">
        <v>0</v>
      </c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</row>
    <row r="388" spans="1:17">
      <c r="A388" s="2">
        <v>2336</v>
      </c>
      <c r="B388" s="7">
        <v>0</v>
      </c>
      <c r="C388" s="7">
        <v>0</v>
      </c>
      <c r="D388" s="7">
        <v>0</v>
      </c>
      <c r="E388" s="7">
        <v>0</v>
      </c>
      <c r="F388" s="7">
        <v>0</v>
      </c>
      <c r="G388" s="7">
        <v>0</v>
      </c>
      <c r="H388" s="7">
        <v>0</v>
      </c>
      <c r="I388" s="7">
        <v>0</v>
      </c>
      <c r="J388" s="7">
        <v>0</v>
      </c>
      <c r="K388" s="7">
        <v>0</v>
      </c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</row>
    <row r="389" spans="1:17">
      <c r="A389" s="2">
        <v>2337</v>
      </c>
      <c r="B389" s="7">
        <v>0</v>
      </c>
      <c r="C389" s="7">
        <v>0</v>
      </c>
      <c r="D389" s="7">
        <v>0</v>
      </c>
      <c r="E389" s="7">
        <v>0</v>
      </c>
      <c r="F389" s="7">
        <v>0</v>
      </c>
      <c r="G389" s="7">
        <v>0</v>
      </c>
      <c r="H389" s="7">
        <v>0</v>
      </c>
      <c r="I389" s="7">
        <v>0</v>
      </c>
      <c r="J389" s="7">
        <v>0</v>
      </c>
      <c r="K389" s="7">
        <v>0</v>
      </c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</row>
    <row r="390" spans="1:17">
      <c r="A390" s="2">
        <v>2338</v>
      </c>
      <c r="B390" s="7">
        <v>0</v>
      </c>
      <c r="C390" s="7">
        <v>0</v>
      </c>
      <c r="D390" s="7">
        <v>0</v>
      </c>
      <c r="E390" s="7">
        <v>0</v>
      </c>
      <c r="F390" s="7">
        <v>0</v>
      </c>
      <c r="G390" s="7">
        <v>0</v>
      </c>
      <c r="H390" s="7">
        <v>0</v>
      </c>
      <c r="I390" s="7">
        <v>0</v>
      </c>
      <c r="J390" s="7">
        <v>0</v>
      </c>
      <c r="K390" s="7">
        <v>0</v>
      </c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</row>
    <row r="391" spans="1:17">
      <c r="A391" s="2">
        <v>2339</v>
      </c>
      <c r="B391" s="7">
        <v>0</v>
      </c>
      <c r="C391" s="7">
        <v>0</v>
      </c>
      <c r="D391" s="7">
        <v>0</v>
      </c>
      <c r="E391" s="7">
        <v>0</v>
      </c>
      <c r="F391" s="7">
        <v>0</v>
      </c>
      <c r="G391" s="7">
        <v>0</v>
      </c>
      <c r="H391" s="7">
        <v>0</v>
      </c>
      <c r="I391" s="7">
        <v>0</v>
      </c>
      <c r="J391" s="7">
        <v>0</v>
      </c>
      <c r="K391" s="7">
        <v>0</v>
      </c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</row>
    <row r="392" spans="1:17">
      <c r="A392" s="2">
        <v>2340</v>
      </c>
      <c r="B392" s="7">
        <v>0</v>
      </c>
      <c r="C392" s="7">
        <v>0</v>
      </c>
      <c r="D392" s="7">
        <v>0</v>
      </c>
      <c r="E392" s="7">
        <v>0</v>
      </c>
      <c r="F392" s="7">
        <v>0</v>
      </c>
      <c r="G392" s="7">
        <v>0</v>
      </c>
      <c r="H392" s="7">
        <v>0</v>
      </c>
      <c r="I392" s="7">
        <v>0</v>
      </c>
      <c r="J392" s="7">
        <v>0</v>
      </c>
      <c r="K392" s="7">
        <v>0</v>
      </c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</row>
    <row r="393" spans="1:17">
      <c r="A393" s="2">
        <v>2341</v>
      </c>
      <c r="B393" s="7">
        <v>0</v>
      </c>
      <c r="C393" s="7">
        <v>0</v>
      </c>
      <c r="D393" s="7">
        <v>0</v>
      </c>
      <c r="E393" s="7">
        <v>0</v>
      </c>
      <c r="F393" s="7">
        <v>0</v>
      </c>
      <c r="G393" s="7">
        <v>0</v>
      </c>
      <c r="H393" s="7">
        <v>0</v>
      </c>
      <c r="I393" s="7">
        <v>0</v>
      </c>
      <c r="J393" s="7">
        <v>0</v>
      </c>
      <c r="K393" s="7">
        <v>0</v>
      </c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</row>
    <row r="394" spans="1:17">
      <c r="A394" s="2">
        <v>2342</v>
      </c>
      <c r="B394" s="7">
        <v>0</v>
      </c>
      <c r="C394" s="7">
        <v>0</v>
      </c>
      <c r="D394" s="7">
        <v>0</v>
      </c>
      <c r="E394" s="7">
        <v>0</v>
      </c>
      <c r="F394" s="7">
        <v>0</v>
      </c>
      <c r="G394" s="7">
        <v>0</v>
      </c>
      <c r="H394" s="7">
        <v>0</v>
      </c>
      <c r="I394" s="7">
        <v>0</v>
      </c>
      <c r="J394" s="7">
        <v>0</v>
      </c>
      <c r="K394" s="7">
        <v>0</v>
      </c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</row>
    <row r="395" spans="1:17">
      <c r="A395" s="2">
        <v>2343</v>
      </c>
      <c r="B395" s="7">
        <v>0</v>
      </c>
      <c r="C395" s="7">
        <v>0</v>
      </c>
      <c r="D395" s="7">
        <v>0</v>
      </c>
      <c r="E395" s="7">
        <v>0</v>
      </c>
      <c r="F395" s="7">
        <v>0</v>
      </c>
      <c r="G395" s="7">
        <v>0</v>
      </c>
      <c r="H395" s="7">
        <v>0</v>
      </c>
      <c r="I395" s="7">
        <v>0</v>
      </c>
      <c r="J395" s="7">
        <v>0</v>
      </c>
      <c r="K395" s="7">
        <v>0</v>
      </c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</row>
    <row r="396" spans="1:17">
      <c r="A396" s="2">
        <v>2344</v>
      </c>
      <c r="B396" s="7">
        <v>0</v>
      </c>
      <c r="C396" s="7">
        <v>0</v>
      </c>
      <c r="D396" s="7">
        <v>0</v>
      </c>
      <c r="E396" s="7">
        <v>0</v>
      </c>
      <c r="F396" s="7">
        <v>0</v>
      </c>
      <c r="G396" s="7">
        <v>0</v>
      </c>
      <c r="H396" s="7">
        <v>0</v>
      </c>
      <c r="I396" s="7">
        <v>0</v>
      </c>
      <c r="J396" s="7">
        <v>0</v>
      </c>
      <c r="K396" s="7">
        <v>0</v>
      </c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</row>
    <row r="397" spans="1:17">
      <c r="A397" s="2">
        <v>2345</v>
      </c>
      <c r="B397" s="7">
        <v>0</v>
      </c>
      <c r="C397" s="7">
        <v>0</v>
      </c>
      <c r="D397" s="7">
        <v>0</v>
      </c>
      <c r="E397" s="7">
        <v>0</v>
      </c>
      <c r="F397" s="7">
        <v>0</v>
      </c>
      <c r="G397" s="7">
        <v>0</v>
      </c>
      <c r="H397" s="7">
        <v>0</v>
      </c>
      <c r="I397" s="7">
        <v>0</v>
      </c>
      <c r="J397" s="7">
        <v>0</v>
      </c>
      <c r="K397" s="7">
        <v>0</v>
      </c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</row>
    <row r="398" spans="1:17">
      <c r="A398" s="2">
        <v>2346</v>
      </c>
      <c r="B398" s="7">
        <v>0</v>
      </c>
      <c r="C398" s="7">
        <v>0</v>
      </c>
      <c r="D398" s="7">
        <v>0</v>
      </c>
      <c r="E398" s="7">
        <v>0</v>
      </c>
      <c r="F398" s="7">
        <v>0</v>
      </c>
      <c r="G398" s="7">
        <v>0</v>
      </c>
      <c r="H398" s="7">
        <v>0</v>
      </c>
      <c r="I398" s="7">
        <v>0</v>
      </c>
      <c r="J398" s="7">
        <v>0</v>
      </c>
      <c r="K398" s="7">
        <v>0</v>
      </c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</row>
    <row r="399" spans="1:17">
      <c r="A399" s="2">
        <v>2347</v>
      </c>
      <c r="B399" s="7">
        <v>0</v>
      </c>
      <c r="C399" s="7">
        <v>0</v>
      </c>
      <c r="D399" s="7">
        <v>0</v>
      </c>
      <c r="E399" s="7">
        <v>0</v>
      </c>
      <c r="F399" s="7">
        <v>0</v>
      </c>
      <c r="G399" s="7">
        <v>0</v>
      </c>
      <c r="H399" s="7">
        <v>0</v>
      </c>
      <c r="I399" s="7">
        <v>0</v>
      </c>
      <c r="J399" s="7">
        <v>0</v>
      </c>
      <c r="K399" s="7">
        <v>0</v>
      </c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</row>
    <row r="400" spans="1:17">
      <c r="A400" s="2">
        <v>2348</v>
      </c>
      <c r="B400" s="7">
        <v>0</v>
      </c>
      <c r="C400" s="7">
        <v>0</v>
      </c>
      <c r="D400" s="7">
        <v>0</v>
      </c>
      <c r="E400" s="7">
        <v>0</v>
      </c>
      <c r="F400" s="7">
        <v>0</v>
      </c>
      <c r="G400" s="7">
        <v>0</v>
      </c>
      <c r="H400" s="7">
        <v>0</v>
      </c>
      <c r="I400" s="7">
        <v>0</v>
      </c>
      <c r="J400" s="7">
        <v>0</v>
      </c>
      <c r="K400" s="7">
        <v>0</v>
      </c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</row>
    <row r="401" spans="1:17">
      <c r="A401" s="2">
        <v>2349</v>
      </c>
      <c r="B401" s="7">
        <v>0</v>
      </c>
      <c r="C401" s="7">
        <v>0</v>
      </c>
      <c r="D401" s="7">
        <v>0</v>
      </c>
      <c r="E401" s="7">
        <v>0</v>
      </c>
      <c r="F401" s="7">
        <v>0</v>
      </c>
      <c r="G401" s="7">
        <v>0</v>
      </c>
      <c r="H401" s="7">
        <v>0</v>
      </c>
      <c r="I401" s="7">
        <v>0</v>
      </c>
      <c r="J401" s="7">
        <v>0</v>
      </c>
      <c r="K401" s="7">
        <v>0</v>
      </c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</row>
    <row r="402" spans="1:17">
      <c r="A402" s="2">
        <v>2350</v>
      </c>
      <c r="B402" s="7">
        <v>0</v>
      </c>
      <c r="C402" s="7">
        <v>0</v>
      </c>
      <c r="D402" s="7">
        <v>0</v>
      </c>
      <c r="E402" s="7">
        <v>0</v>
      </c>
      <c r="F402" s="7">
        <v>0</v>
      </c>
      <c r="G402" s="7">
        <v>0</v>
      </c>
      <c r="H402" s="7">
        <v>0</v>
      </c>
      <c r="I402" s="7">
        <v>0</v>
      </c>
      <c r="J402" s="7">
        <v>0</v>
      </c>
      <c r="K402" s="7">
        <v>0</v>
      </c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</row>
    <row r="403" spans="1:17">
      <c r="A403" s="2">
        <v>2351</v>
      </c>
      <c r="B403" s="7">
        <v>0</v>
      </c>
      <c r="C403" s="7">
        <v>0</v>
      </c>
      <c r="D403" s="7">
        <v>0</v>
      </c>
      <c r="E403" s="7">
        <v>0</v>
      </c>
      <c r="F403" s="7">
        <v>0</v>
      </c>
      <c r="G403" s="7">
        <v>0</v>
      </c>
      <c r="H403" s="7">
        <v>0</v>
      </c>
      <c r="I403" s="7">
        <v>0</v>
      </c>
      <c r="J403" s="7">
        <v>0</v>
      </c>
      <c r="K403" s="7">
        <v>0</v>
      </c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</row>
    <row r="404" spans="1:17">
      <c r="A404" s="2">
        <v>2352</v>
      </c>
      <c r="B404" s="7">
        <v>0</v>
      </c>
      <c r="C404" s="7">
        <v>0</v>
      </c>
      <c r="D404" s="7">
        <v>0</v>
      </c>
      <c r="E404" s="7">
        <v>0</v>
      </c>
      <c r="F404" s="7">
        <v>0</v>
      </c>
      <c r="G404" s="7">
        <v>0</v>
      </c>
      <c r="H404" s="7">
        <v>0</v>
      </c>
      <c r="I404" s="7">
        <v>0</v>
      </c>
      <c r="J404" s="7">
        <v>0</v>
      </c>
      <c r="K404" s="7">
        <v>0</v>
      </c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</row>
    <row r="405" spans="1:17">
      <c r="A405" s="2">
        <v>2353</v>
      </c>
      <c r="B405" s="7">
        <v>0</v>
      </c>
      <c r="C405" s="7">
        <v>0</v>
      </c>
      <c r="D405" s="7">
        <v>0</v>
      </c>
      <c r="E405" s="7">
        <v>0</v>
      </c>
      <c r="F405" s="7">
        <v>0</v>
      </c>
      <c r="G405" s="7">
        <v>0</v>
      </c>
      <c r="H405" s="7">
        <v>0</v>
      </c>
      <c r="I405" s="7">
        <v>0</v>
      </c>
      <c r="J405" s="7">
        <v>0</v>
      </c>
      <c r="K405" s="7">
        <v>0</v>
      </c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</row>
    <row r="406" spans="1:17">
      <c r="A406" s="2">
        <v>2354</v>
      </c>
      <c r="B406" s="7">
        <v>0</v>
      </c>
      <c r="C406" s="7">
        <v>0</v>
      </c>
      <c r="D406" s="7">
        <v>0</v>
      </c>
      <c r="E406" s="7">
        <v>0</v>
      </c>
      <c r="F406" s="7">
        <v>0</v>
      </c>
      <c r="G406" s="7">
        <v>0</v>
      </c>
      <c r="H406" s="7">
        <v>0</v>
      </c>
      <c r="I406" s="7">
        <v>0</v>
      </c>
      <c r="J406" s="7">
        <v>0</v>
      </c>
      <c r="K406" s="7">
        <v>0</v>
      </c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</row>
    <row r="407" spans="1:17">
      <c r="A407" s="2">
        <v>2355</v>
      </c>
      <c r="B407" s="7">
        <v>0</v>
      </c>
      <c r="C407" s="7">
        <v>0</v>
      </c>
      <c r="D407" s="7">
        <v>0</v>
      </c>
      <c r="E407" s="7">
        <v>0</v>
      </c>
      <c r="F407" s="7">
        <v>0</v>
      </c>
      <c r="G407" s="7">
        <v>0</v>
      </c>
      <c r="H407" s="7">
        <v>0</v>
      </c>
      <c r="I407" s="7">
        <v>0</v>
      </c>
      <c r="J407" s="7">
        <v>0</v>
      </c>
      <c r="K407" s="7">
        <v>0</v>
      </c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</row>
    <row r="408" spans="1:17">
      <c r="A408" s="2">
        <v>2356</v>
      </c>
      <c r="B408" s="7">
        <v>0</v>
      </c>
      <c r="C408" s="7">
        <v>0</v>
      </c>
      <c r="D408" s="7">
        <v>0</v>
      </c>
      <c r="E408" s="7">
        <v>0</v>
      </c>
      <c r="F408" s="7">
        <v>0</v>
      </c>
      <c r="G408" s="7">
        <v>0</v>
      </c>
      <c r="H408" s="7">
        <v>0</v>
      </c>
      <c r="I408" s="7">
        <v>0</v>
      </c>
      <c r="J408" s="7">
        <v>0</v>
      </c>
      <c r="K408" s="7">
        <v>0</v>
      </c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</row>
    <row r="409" spans="1:17">
      <c r="A409" s="2">
        <v>2357</v>
      </c>
      <c r="B409" s="7">
        <v>0</v>
      </c>
      <c r="C409" s="7">
        <v>0</v>
      </c>
      <c r="D409" s="7">
        <v>0</v>
      </c>
      <c r="E409" s="7">
        <v>0</v>
      </c>
      <c r="F409" s="7">
        <v>0</v>
      </c>
      <c r="G409" s="7">
        <v>0</v>
      </c>
      <c r="H409" s="7">
        <v>0</v>
      </c>
      <c r="I409" s="7">
        <v>0</v>
      </c>
      <c r="J409" s="7">
        <v>0</v>
      </c>
      <c r="K409" s="7">
        <v>0</v>
      </c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</row>
    <row r="410" spans="1:17">
      <c r="A410" s="2">
        <v>2358</v>
      </c>
      <c r="B410" s="7">
        <v>0</v>
      </c>
      <c r="C410" s="7">
        <v>0</v>
      </c>
      <c r="D410" s="7">
        <v>0</v>
      </c>
      <c r="E410" s="7">
        <v>0</v>
      </c>
      <c r="F410" s="7">
        <v>0</v>
      </c>
      <c r="G410" s="7">
        <v>0</v>
      </c>
      <c r="H410" s="7">
        <v>0</v>
      </c>
      <c r="I410" s="7">
        <v>0</v>
      </c>
      <c r="J410" s="7">
        <v>0</v>
      </c>
      <c r="K410" s="7">
        <v>0</v>
      </c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</row>
    <row r="411" spans="1:17">
      <c r="A411" s="2">
        <v>2359</v>
      </c>
      <c r="B411" s="7">
        <v>0</v>
      </c>
      <c r="C411" s="7">
        <v>0</v>
      </c>
      <c r="D411" s="7">
        <v>0</v>
      </c>
      <c r="E411" s="7">
        <v>0</v>
      </c>
      <c r="F411" s="7">
        <v>0</v>
      </c>
      <c r="G411" s="7">
        <v>0</v>
      </c>
      <c r="H411" s="7">
        <v>0</v>
      </c>
      <c r="I411" s="7">
        <v>0</v>
      </c>
      <c r="J411" s="7">
        <v>0</v>
      </c>
      <c r="K411" s="7">
        <v>0</v>
      </c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</row>
    <row r="412" spans="1:17">
      <c r="A412" s="2">
        <v>2360</v>
      </c>
      <c r="B412" s="7">
        <v>0</v>
      </c>
      <c r="C412" s="7">
        <v>0</v>
      </c>
      <c r="D412" s="7">
        <v>0</v>
      </c>
      <c r="E412" s="7">
        <v>0</v>
      </c>
      <c r="F412" s="7">
        <v>0</v>
      </c>
      <c r="G412" s="7">
        <v>0</v>
      </c>
      <c r="H412" s="7">
        <v>0</v>
      </c>
      <c r="I412" s="7">
        <v>0</v>
      </c>
      <c r="J412" s="7">
        <v>0</v>
      </c>
      <c r="K412" s="7">
        <v>0</v>
      </c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</row>
    <row r="413" spans="1:17">
      <c r="A413" s="2">
        <v>2361</v>
      </c>
      <c r="B413" s="7">
        <v>0</v>
      </c>
      <c r="C413" s="7">
        <v>0</v>
      </c>
      <c r="D413" s="7">
        <v>0</v>
      </c>
      <c r="E413" s="7">
        <v>0</v>
      </c>
      <c r="F413" s="7">
        <v>0</v>
      </c>
      <c r="G413" s="7">
        <v>0</v>
      </c>
      <c r="H413" s="7">
        <v>0</v>
      </c>
      <c r="I413" s="7">
        <v>0</v>
      </c>
      <c r="J413" s="7">
        <v>0</v>
      </c>
      <c r="K413" s="7">
        <v>0</v>
      </c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</row>
    <row r="414" spans="1:17">
      <c r="A414" s="2">
        <v>2362</v>
      </c>
      <c r="B414" s="7">
        <v>0</v>
      </c>
      <c r="C414" s="7">
        <v>0</v>
      </c>
      <c r="D414" s="7">
        <v>0</v>
      </c>
      <c r="E414" s="7">
        <v>0</v>
      </c>
      <c r="F414" s="7">
        <v>0</v>
      </c>
      <c r="G414" s="7">
        <v>0</v>
      </c>
      <c r="H414" s="7">
        <v>0</v>
      </c>
      <c r="I414" s="7">
        <v>0</v>
      </c>
      <c r="J414" s="7">
        <v>0</v>
      </c>
      <c r="K414" s="7">
        <v>0</v>
      </c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</row>
    <row r="415" spans="1:17">
      <c r="A415" s="2">
        <v>2363</v>
      </c>
      <c r="B415" s="7">
        <v>0</v>
      </c>
      <c r="C415" s="7">
        <v>0</v>
      </c>
      <c r="D415" s="7">
        <v>0</v>
      </c>
      <c r="E415" s="7">
        <v>0</v>
      </c>
      <c r="F415" s="7">
        <v>0</v>
      </c>
      <c r="G415" s="7">
        <v>0</v>
      </c>
      <c r="H415" s="7">
        <v>0</v>
      </c>
      <c r="I415" s="7">
        <v>0</v>
      </c>
      <c r="J415" s="7">
        <v>0</v>
      </c>
      <c r="K415" s="7">
        <v>0</v>
      </c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</row>
    <row r="416" spans="1:17">
      <c r="A416" s="2">
        <v>2364</v>
      </c>
      <c r="B416" s="7">
        <v>0</v>
      </c>
      <c r="C416" s="7">
        <v>0</v>
      </c>
      <c r="D416" s="7">
        <v>0</v>
      </c>
      <c r="E416" s="7">
        <v>0</v>
      </c>
      <c r="F416" s="7">
        <v>0</v>
      </c>
      <c r="G416" s="7">
        <v>0</v>
      </c>
      <c r="H416" s="7">
        <v>0</v>
      </c>
      <c r="I416" s="7">
        <v>0</v>
      </c>
      <c r="J416" s="7">
        <v>0</v>
      </c>
      <c r="K416" s="7">
        <v>0</v>
      </c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</row>
    <row r="417" spans="1:17">
      <c r="A417" s="2">
        <v>2365</v>
      </c>
      <c r="B417" s="7">
        <v>0</v>
      </c>
      <c r="C417" s="7">
        <v>0</v>
      </c>
      <c r="D417" s="7">
        <v>0</v>
      </c>
      <c r="E417" s="7">
        <v>0</v>
      </c>
      <c r="F417" s="7">
        <v>0</v>
      </c>
      <c r="G417" s="7">
        <v>0</v>
      </c>
      <c r="H417" s="7">
        <v>0</v>
      </c>
      <c r="I417" s="7">
        <v>0</v>
      </c>
      <c r="J417" s="7">
        <v>0</v>
      </c>
      <c r="K417" s="7">
        <v>0</v>
      </c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</row>
    <row r="418" spans="1:17">
      <c r="A418" s="2">
        <v>2366</v>
      </c>
      <c r="B418" s="7">
        <v>0</v>
      </c>
      <c r="C418" s="7">
        <v>0</v>
      </c>
      <c r="D418" s="7">
        <v>0</v>
      </c>
      <c r="E418" s="7">
        <v>0</v>
      </c>
      <c r="F418" s="7">
        <v>0</v>
      </c>
      <c r="G418" s="7">
        <v>0</v>
      </c>
      <c r="H418" s="7">
        <v>0</v>
      </c>
      <c r="I418" s="7">
        <v>0</v>
      </c>
      <c r="J418" s="7">
        <v>0</v>
      </c>
      <c r="K418" s="7">
        <v>0</v>
      </c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</row>
    <row r="419" spans="1:17">
      <c r="A419" s="2">
        <v>2367</v>
      </c>
      <c r="B419" s="7">
        <v>0</v>
      </c>
      <c r="C419" s="7">
        <v>0</v>
      </c>
      <c r="D419" s="7">
        <v>0</v>
      </c>
      <c r="E419" s="7">
        <v>0</v>
      </c>
      <c r="F419" s="7">
        <v>0</v>
      </c>
      <c r="G419" s="7">
        <v>0</v>
      </c>
      <c r="H419" s="7">
        <v>0</v>
      </c>
      <c r="I419" s="7">
        <v>0</v>
      </c>
      <c r="J419" s="7">
        <v>0</v>
      </c>
      <c r="K419" s="7">
        <v>0</v>
      </c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</row>
    <row r="420" spans="1:17">
      <c r="A420" s="2">
        <v>2368</v>
      </c>
      <c r="B420" s="7">
        <v>0</v>
      </c>
      <c r="C420" s="7">
        <v>0</v>
      </c>
      <c r="D420" s="7">
        <v>0</v>
      </c>
      <c r="E420" s="7">
        <v>0</v>
      </c>
      <c r="F420" s="7">
        <v>0</v>
      </c>
      <c r="G420" s="7">
        <v>0</v>
      </c>
      <c r="H420" s="7">
        <v>0</v>
      </c>
      <c r="I420" s="7">
        <v>0</v>
      </c>
      <c r="J420" s="7">
        <v>0</v>
      </c>
      <c r="K420" s="7">
        <v>0</v>
      </c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</row>
    <row r="421" spans="1:17">
      <c r="A421" s="2">
        <v>2369</v>
      </c>
      <c r="B421" s="7">
        <v>0</v>
      </c>
      <c r="C421" s="7">
        <v>0</v>
      </c>
      <c r="D421" s="7">
        <v>0</v>
      </c>
      <c r="E421" s="7">
        <v>0</v>
      </c>
      <c r="F421" s="7">
        <v>0</v>
      </c>
      <c r="G421" s="7">
        <v>0</v>
      </c>
      <c r="H421" s="7">
        <v>0</v>
      </c>
      <c r="I421" s="7">
        <v>0</v>
      </c>
      <c r="J421" s="7">
        <v>0</v>
      </c>
      <c r="K421" s="7">
        <v>0</v>
      </c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</row>
    <row r="422" spans="1:17">
      <c r="A422" s="2">
        <v>2370</v>
      </c>
      <c r="B422" s="7">
        <v>0</v>
      </c>
      <c r="C422" s="7">
        <v>0</v>
      </c>
      <c r="D422" s="7">
        <v>0</v>
      </c>
      <c r="E422" s="7">
        <v>0</v>
      </c>
      <c r="F422" s="7">
        <v>0</v>
      </c>
      <c r="G422" s="7">
        <v>0</v>
      </c>
      <c r="H422" s="7">
        <v>0</v>
      </c>
      <c r="I422" s="7">
        <v>0</v>
      </c>
      <c r="J422" s="7">
        <v>0</v>
      </c>
      <c r="K422" s="7">
        <v>0</v>
      </c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</row>
    <row r="423" spans="1:17">
      <c r="A423" s="2">
        <v>2371</v>
      </c>
      <c r="B423" s="7">
        <v>0</v>
      </c>
      <c r="C423" s="7">
        <v>0</v>
      </c>
      <c r="D423" s="7">
        <v>0</v>
      </c>
      <c r="E423" s="7">
        <v>0</v>
      </c>
      <c r="F423" s="7">
        <v>0</v>
      </c>
      <c r="G423" s="7">
        <v>0</v>
      </c>
      <c r="H423" s="7">
        <v>0</v>
      </c>
      <c r="I423" s="7">
        <v>0</v>
      </c>
      <c r="J423" s="7">
        <v>0</v>
      </c>
      <c r="K423" s="7">
        <v>0</v>
      </c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</row>
    <row r="424" spans="1:17">
      <c r="A424" s="2">
        <v>2372</v>
      </c>
      <c r="B424" s="7">
        <v>0</v>
      </c>
      <c r="C424" s="7">
        <v>0</v>
      </c>
      <c r="D424" s="7">
        <v>0</v>
      </c>
      <c r="E424" s="7">
        <v>0</v>
      </c>
      <c r="F424" s="7">
        <v>0</v>
      </c>
      <c r="G424" s="7">
        <v>0</v>
      </c>
      <c r="H424" s="7">
        <v>0</v>
      </c>
      <c r="I424" s="7">
        <v>0</v>
      </c>
      <c r="J424" s="7">
        <v>0</v>
      </c>
      <c r="K424" s="7">
        <v>0</v>
      </c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</row>
    <row r="425" spans="1:17">
      <c r="A425" s="2">
        <v>2373</v>
      </c>
      <c r="B425" s="7">
        <v>0</v>
      </c>
      <c r="C425" s="7">
        <v>0</v>
      </c>
      <c r="D425" s="7">
        <v>0</v>
      </c>
      <c r="E425" s="7">
        <v>0</v>
      </c>
      <c r="F425" s="7">
        <v>0</v>
      </c>
      <c r="G425" s="7">
        <v>0</v>
      </c>
      <c r="H425" s="7">
        <v>0</v>
      </c>
      <c r="I425" s="7">
        <v>0</v>
      </c>
      <c r="J425" s="7">
        <v>0</v>
      </c>
      <c r="K425" s="7">
        <v>0</v>
      </c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</row>
    <row r="426" spans="1:17">
      <c r="A426" s="2">
        <v>2374</v>
      </c>
      <c r="B426" s="7">
        <v>0</v>
      </c>
      <c r="C426" s="7">
        <v>0</v>
      </c>
      <c r="D426" s="7">
        <v>0</v>
      </c>
      <c r="E426" s="7">
        <v>0</v>
      </c>
      <c r="F426" s="7">
        <v>0</v>
      </c>
      <c r="G426" s="7">
        <v>0</v>
      </c>
      <c r="H426" s="7">
        <v>0</v>
      </c>
      <c r="I426" s="7">
        <v>0</v>
      </c>
      <c r="J426" s="7">
        <v>0</v>
      </c>
      <c r="K426" s="7">
        <v>0</v>
      </c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</row>
    <row r="427" spans="1:17">
      <c r="A427" s="2">
        <v>2375</v>
      </c>
      <c r="B427" s="7">
        <v>0</v>
      </c>
      <c r="C427" s="7">
        <v>0</v>
      </c>
      <c r="D427" s="7">
        <v>0</v>
      </c>
      <c r="E427" s="7">
        <v>0</v>
      </c>
      <c r="F427" s="7">
        <v>0</v>
      </c>
      <c r="G427" s="7">
        <v>0</v>
      </c>
      <c r="H427" s="7">
        <v>0</v>
      </c>
      <c r="I427" s="7">
        <v>0</v>
      </c>
      <c r="J427" s="7">
        <v>0</v>
      </c>
      <c r="K427" s="7">
        <v>0</v>
      </c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</row>
    <row r="428" spans="1:17">
      <c r="A428" s="2">
        <v>2376</v>
      </c>
      <c r="B428" s="7">
        <v>0</v>
      </c>
      <c r="C428" s="7">
        <v>0</v>
      </c>
      <c r="D428" s="7">
        <v>0</v>
      </c>
      <c r="E428" s="7">
        <v>0</v>
      </c>
      <c r="F428" s="7">
        <v>0</v>
      </c>
      <c r="G428" s="7">
        <v>0</v>
      </c>
      <c r="H428" s="7">
        <v>0</v>
      </c>
      <c r="I428" s="7">
        <v>0</v>
      </c>
      <c r="J428" s="7">
        <v>0</v>
      </c>
      <c r="K428" s="7">
        <v>0</v>
      </c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</row>
    <row r="429" spans="1:17">
      <c r="A429" s="2">
        <v>2377</v>
      </c>
      <c r="B429" s="7">
        <v>0</v>
      </c>
      <c r="C429" s="7">
        <v>0</v>
      </c>
      <c r="D429" s="7">
        <v>0</v>
      </c>
      <c r="E429" s="7">
        <v>0</v>
      </c>
      <c r="F429" s="7">
        <v>0</v>
      </c>
      <c r="G429" s="7">
        <v>0</v>
      </c>
      <c r="H429" s="7">
        <v>0</v>
      </c>
      <c r="I429" s="7">
        <v>0</v>
      </c>
      <c r="J429" s="7">
        <v>0</v>
      </c>
      <c r="K429" s="7">
        <v>0</v>
      </c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</row>
    <row r="430" spans="1:17">
      <c r="A430" s="2">
        <v>2378</v>
      </c>
      <c r="B430" s="7">
        <v>0</v>
      </c>
      <c r="C430" s="7">
        <v>0</v>
      </c>
      <c r="D430" s="7">
        <v>0</v>
      </c>
      <c r="E430" s="7">
        <v>0</v>
      </c>
      <c r="F430" s="7">
        <v>0</v>
      </c>
      <c r="G430" s="7">
        <v>0</v>
      </c>
      <c r="H430" s="7">
        <v>0</v>
      </c>
      <c r="I430" s="7">
        <v>0</v>
      </c>
      <c r="J430" s="7">
        <v>0</v>
      </c>
      <c r="K430" s="7">
        <v>0</v>
      </c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</row>
    <row r="431" spans="1:17">
      <c r="A431" s="2">
        <v>2379</v>
      </c>
      <c r="B431" s="7">
        <v>0</v>
      </c>
      <c r="C431" s="7">
        <v>0</v>
      </c>
      <c r="D431" s="7">
        <v>0</v>
      </c>
      <c r="E431" s="7">
        <v>0</v>
      </c>
      <c r="F431" s="7">
        <v>0</v>
      </c>
      <c r="G431" s="7">
        <v>0</v>
      </c>
      <c r="H431" s="7">
        <v>0</v>
      </c>
      <c r="I431" s="7">
        <v>0</v>
      </c>
      <c r="J431" s="7">
        <v>0</v>
      </c>
      <c r="K431" s="7">
        <v>0</v>
      </c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</row>
    <row r="432" spans="1:17">
      <c r="A432" s="2">
        <v>2380</v>
      </c>
      <c r="B432" s="7">
        <v>0</v>
      </c>
      <c r="C432" s="7">
        <v>0</v>
      </c>
      <c r="D432" s="7">
        <v>0</v>
      </c>
      <c r="E432" s="7">
        <v>0</v>
      </c>
      <c r="F432" s="7">
        <v>0</v>
      </c>
      <c r="G432" s="7">
        <v>0</v>
      </c>
      <c r="H432" s="7">
        <v>0</v>
      </c>
      <c r="I432" s="7">
        <v>0</v>
      </c>
      <c r="J432" s="7">
        <v>0</v>
      </c>
      <c r="K432" s="7">
        <v>0</v>
      </c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</row>
    <row r="433" spans="1:17">
      <c r="A433" s="2">
        <v>2381</v>
      </c>
      <c r="B433" s="7">
        <v>0</v>
      </c>
      <c r="C433" s="7">
        <v>0</v>
      </c>
      <c r="D433" s="7">
        <v>0</v>
      </c>
      <c r="E433" s="7">
        <v>0</v>
      </c>
      <c r="F433" s="7">
        <v>0</v>
      </c>
      <c r="G433" s="7">
        <v>0</v>
      </c>
      <c r="H433" s="7">
        <v>0</v>
      </c>
      <c r="I433" s="7">
        <v>0</v>
      </c>
      <c r="J433" s="7">
        <v>0</v>
      </c>
      <c r="K433" s="7">
        <v>0</v>
      </c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</row>
    <row r="434" spans="1:17">
      <c r="A434" s="2">
        <v>2382</v>
      </c>
      <c r="B434" s="7">
        <v>0</v>
      </c>
      <c r="C434" s="7">
        <v>0</v>
      </c>
      <c r="D434" s="7">
        <v>0</v>
      </c>
      <c r="E434" s="7">
        <v>0</v>
      </c>
      <c r="F434" s="7">
        <v>0</v>
      </c>
      <c r="G434" s="7">
        <v>0</v>
      </c>
      <c r="H434" s="7">
        <v>0</v>
      </c>
      <c r="I434" s="7">
        <v>0</v>
      </c>
      <c r="J434" s="7">
        <v>0</v>
      </c>
      <c r="K434" s="7">
        <v>0</v>
      </c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</row>
    <row r="435" spans="1:17">
      <c r="A435" s="2">
        <v>2383</v>
      </c>
      <c r="B435" s="7">
        <v>0</v>
      </c>
      <c r="C435" s="7">
        <v>0</v>
      </c>
      <c r="D435" s="7">
        <v>0</v>
      </c>
      <c r="E435" s="7">
        <v>0</v>
      </c>
      <c r="F435" s="7">
        <v>0</v>
      </c>
      <c r="G435" s="7">
        <v>0</v>
      </c>
      <c r="H435" s="7">
        <v>0</v>
      </c>
      <c r="I435" s="7">
        <v>0</v>
      </c>
      <c r="J435" s="7">
        <v>0</v>
      </c>
      <c r="K435" s="7">
        <v>0</v>
      </c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</row>
    <row r="436" spans="1:17">
      <c r="A436" s="2">
        <v>2384</v>
      </c>
      <c r="B436" s="7">
        <v>0</v>
      </c>
      <c r="C436" s="7">
        <v>0</v>
      </c>
      <c r="D436" s="7">
        <v>0</v>
      </c>
      <c r="E436" s="7">
        <v>0</v>
      </c>
      <c r="F436" s="7">
        <v>0</v>
      </c>
      <c r="G436" s="7">
        <v>0</v>
      </c>
      <c r="H436" s="7">
        <v>0</v>
      </c>
      <c r="I436" s="7">
        <v>0</v>
      </c>
      <c r="J436" s="7">
        <v>0</v>
      </c>
      <c r="K436" s="7">
        <v>0</v>
      </c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</row>
    <row r="437" spans="1:17">
      <c r="A437" s="2">
        <v>2385</v>
      </c>
      <c r="B437" s="7">
        <v>0</v>
      </c>
      <c r="C437" s="7">
        <v>0</v>
      </c>
      <c r="D437" s="7">
        <v>0</v>
      </c>
      <c r="E437" s="7">
        <v>0</v>
      </c>
      <c r="F437" s="7">
        <v>0</v>
      </c>
      <c r="G437" s="7">
        <v>0</v>
      </c>
      <c r="H437" s="7">
        <v>0</v>
      </c>
      <c r="I437" s="7">
        <v>0</v>
      </c>
      <c r="J437" s="7">
        <v>0</v>
      </c>
      <c r="K437" s="7">
        <v>0</v>
      </c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</row>
    <row r="438" spans="1:17">
      <c r="A438" s="2">
        <v>2386</v>
      </c>
      <c r="B438" s="7">
        <v>0</v>
      </c>
      <c r="C438" s="7">
        <v>0</v>
      </c>
      <c r="D438" s="7">
        <v>0</v>
      </c>
      <c r="E438" s="7">
        <v>0</v>
      </c>
      <c r="F438" s="7">
        <v>0</v>
      </c>
      <c r="G438" s="7">
        <v>0</v>
      </c>
      <c r="H438" s="7">
        <v>0</v>
      </c>
      <c r="I438" s="7">
        <v>0</v>
      </c>
      <c r="J438" s="7">
        <v>0</v>
      </c>
      <c r="K438" s="7">
        <v>0</v>
      </c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</row>
    <row r="439" spans="1:17">
      <c r="A439" s="2">
        <v>2387</v>
      </c>
      <c r="B439" s="7">
        <v>0</v>
      </c>
      <c r="C439" s="7">
        <v>0</v>
      </c>
      <c r="D439" s="7">
        <v>0</v>
      </c>
      <c r="E439" s="7">
        <v>0</v>
      </c>
      <c r="F439" s="7">
        <v>0</v>
      </c>
      <c r="G439" s="7">
        <v>0</v>
      </c>
      <c r="H439" s="7">
        <v>0</v>
      </c>
      <c r="I439" s="7">
        <v>0</v>
      </c>
      <c r="J439" s="7">
        <v>0</v>
      </c>
      <c r="K439" s="7">
        <v>0</v>
      </c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</row>
    <row r="440" spans="1:17">
      <c r="A440" s="2">
        <v>2388</v>
      </c>
      <c r="B440" s="7">
        <v>0</v>
      </c>
      <c r="C440" s="7">
        <v>0</v>
      </c>
      <c r="D440" s="7">
        <v>0</v>
      </c>
      <c r="E440" s="7">
        <v>0</v>
      </c>
      <c r="F440" s="7">
        <v>0</v>
      </c>
      <c r="G440" s="7">
        <v>0</v>
      </c>
      <c r="H440" s="7">
        <v>0</v>
      </c>
      <c r="I440" s="7">
        <v>0</v>
      </c>
      <c r="J440" s="7">
        <v>0</v>
      </c>
      <c r="K440" s="7">
        <v>0</v>
      </c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</row>
    <row r="441" spans="1:17">
      <c r="A441" s="2">
        <v>2389</v>
      </c>
      <c r="B441" s="7">
        <v>0</v>
      </c>
      <c r="C441" s="7">
        <v>0</v>
      </c>
      <c r="D441" s="7">
        <v>0</v>
      </c>
      <c r="E441" s="7">
        <v>0</v>
      </c>
      <c r="F441" s="7">
        <v>0</v>
      </c>
      <c r="G441" s="7">
        <v>0</v>
      </c>
      <c r="H441" s="7">
        <v>0</v>
      </c>
      <c r="I441" s="7">
        <v>0</v>
      </c>
      <c r="J441" s="7">
        <v>0</v>
      </c>
      <c r="K441" s="7">
        <v>0</v>
      </c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</row>
    <row r="442" spans="1:17">
      <c r="A442" s="2">
        <v>2390</v>
      </c>
      <c r="B442" s="7">
        <v>0</v>
      </c>
      <c r="C442" s="7">
        <v>0</v>
      </c>
      <c r="D442" s="7">
        <v>0</v>
      </c>
      <c r="E442" s="7">
        <v>0</v>
      </c>
      <c r="F442" s="7">
        <v>0</v>
      </c>
      <c r="G442" s="7">
        <v>0</v>
      </c>
      <c r="H442" s="7">
        <v>0</v>
      </c>
      <c r="I442" s="7">
        <v>0</v>
      </c>
      <c r="J442" s="7">
        <v>0</v>
      </c>
      <c r="K442" s="7">
        <v>0</v>
      </c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</row>
    <row r="443" spans="1:17">
      <c r="A443" s="2">
        <v>2391</v>
      </c>
      <c r="B443" s="7">
        <v>0</v>
      </c>
      <c r="C443" s="7">
        <v>0</v>
      </c>
      <c r="D443" s="7">
        <v>0</v>
      </c>
      <c r="E443" s="7">
        <v>0</v>
      </c>
      <c r="F443" s="7">
        <v>0</v>
      </c>
      <c r="G443" s="7">
        <v>0</v>
      </c>
      <c r="H443" s="7">
        <v>0</v>
      </c>
      <c r="I443" s="7">
        <v>0</v>
      </c>
      <c r="J443" s="7">
        <v>0</v>
      </c>
      <c r="K443" s="7">
        <v>0</v>
      </c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</row>
    <row r="444" spans="1:17">
      <c r="A444" s="2">
        <v>2392</v>
      </c>
      <c r="B444" s="7">
        <v>0</v>
      </c>
      <c r="C444" s="7">
        <v>0</v>
      </c>
      <c r="D444" s="7">
        <v>0</v>
      </c>
      <c r="E444" s="7">
        <v>0</v>
      </c>
      <c r="F444" s="7">
        <v>0</v>
      </c>
      <c r="G444" s="7">
        <v>0</v>
      </c>
      <c r="H444" s="7">
        <v>0</v>
      </c>
      <c r="I444" s="7">
        <v>0</v>
      </c>
      <c r="J444" s="7">
        <v>0</v>
      </c>
      <c r="K444" s="7">
        <v>0</v>
      </c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</row>
    <row r="445" spans="1:17">
      <c r="A445" s="2">
        <v>2393</v>
      </c>
      <c r="B445" s="7">
        <v>0</v>
      </c>
      <c r="C445" s="7">
        <v>0</v>
      </c>
      <c r="D445" s="7">
        <v>0</v>
      </c>
      <c r="E445" s="7">
        <v>0</v>
      </c>
      <c r="F445" s="7">
        <v>0</v>
      </c>
      <c r="G445" s="7">
        <v>0</v>
      </c>
      <c r="H445" s="7">
        <v>0</v>
      </c>
      <c r="I445" s="7">
        <v>0</v>
      </c>
      <c r="J445" s="7">
        <v>0</v>
      </c>
      <c r="K445" s="7">
        <v>0</v>
      </c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</row>
    <row r="446" spans="1:17">
      <c r="A446" s="2">
        <v>2394</v>
      </c>
      <c r="B446" s="7">
        <v>0</v>
      </c>
      <c r="C446" s="7">
        <v>0</v>
      </c>
      <c r="D446" s="7">
        <v>0</v>
      </c>
      <c r="E446" s="7">
        <v>0</v>
      </c>
      <c r="F446" s="7">
        <v>0</v>
      </c>
      <c r="G446" s="7">
        <v>0</v>
      </c>
      <c r="H446" s="7">
        <v>0</v>
      </c>
      <c r="I446" s="7">
        <v>0</v>
      </c>
      <c r="J446" s="7">
        <v>0</v>
      </c>
      <c r="K446" s="7">
        <v>0</v>
      </c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</row>
    <row r="447" spans="1:17">
      <c r="A447" s="2">
        <v>2395</v>
      </c>
      <c r="B447" s="7">
        <v>0</v>
      </c>
      <c r="C447" s="7">
        <v>0</v>
      </c>
      <c r="D447" s="7">
        <v>0</v>
      </c>
      <c r="E447" s="7">
        <v>0</v>
      </c>
      <c r="F447" s="7">
        <v>0</v>
      </c>
      <c r="G447" s="7">
        <v>0</v>
      </c>
      <c r="H447" s="7">
        <v>0</v>
      </c>
      <c r="I447" s="7">
        <v>0</v>
      </c>
      <c r="J447" s="7">
        <v>0</v>
      </c>
      <c r="K447" s="7">
        <v>0</v>
      </c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</row>
    <row r="448" spans="1:17">
      <c r="A448" s="2">
        <v>2396</v>
      </c>
      <c r="B448" s="7">
        <v>0</v>
      </c>
      <c r="C448" s="7">
        <v>0</v>
      </c>
      <c r="D448" s="7">
        <v>0</v>
      </c>
      <c r="E448" s="7">
        <v>0</v>
      </c>
      <c r="F448" s="7">
        <v>0</v>
      </c>
      <c r="G448" s="7">
        <v>0</v>
      </c>
      <c r="H448" s="7">
        <v>0</v>
      </c>
      <c r="I448" s="7">
        <v>0</v>
      </c>
      <c r="J448" s="7">
        <v>0</v>
      </c>
      <c r="K448" s="7">
        <v>0</v>
      </c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</row>
    <row r="449" spans="1:17">
      <c r="A449" s="2">
        <v>2397</v>
      </c>
      <c r="B449" s="7">
        <v>0</v>
      </c>
      <c r="C449" s="7">
        <v>0</v>
      </c>
      <c r="D449" s="7">
        <v>0</v>
      </c>
      <c r="E449" s="7">
        <v>0</v>
      </c>
      <c r="F449" s="7">
        <v>0</v>
      </c>
      <c r="G449" s="7">
        <v>0</v>
      </c>
      <c r="H449" s="7">
        <v>0</v>
      </c>
      <c r="I449" s="7">
        <v>0</v>
      </c>
      <c r="J449" s="7">
        <v>0</v>
      </c>
      <c r="K449" s="7">
        <v>0</v>
      </c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</row>
    <row r="450" spans="1:17">
      <c r="A450" s="2">
        <v>2398</v>
      </c>
      <c r="B450" s="7">
        <v>0</v>
      </c>
      <c r="C450" s="7">
        <v>0</v>
      </c>
      <c r="D450" s="7">
        <v>0</v>
      </c>
      <c r="E450" s="7">
        <v>0</v>
      </c>
      <c r="F450" s="7">
        <v>0</v>
      </c>
      <c r="G450" s="7">
        <v>0</v>
      </c>
      <c r="H450" s="7">
        <v>0</v>
      </c>
      <c r="I450" s="7">
        <v>0</v>
      </c>
      <c r="J450" s="7">
        <v>0</v>
      </c>
      <c r="K450" s="7">
        <v>0</v>
      </c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</row>
    <row r="451" spans="1:17">
      <c r="A451" s="2">
        <v>2399</v>
      </c>
      <c r="B451" s="7">
        <v>0</v>
      </c>
      <c r="C451" s="7">
        <v>0</v>
      </c>
      <c r="D451" s="7">
        <v>0</v>
      </c>
      <c r="E451" s="7">
        <v>0</v>
      </c>
      <c r="F451" s="7">
        <v>0</v>
      </c>
      <c r="G451" s="7">
        <v>0</v>
      </c>
      <c r="H451" s="7">
        <v>0</v>
      </c>
      <c r="I451" s="7">
        <v>0</v>
      </c>
      <c r="J451" s="7">
        <v>0</v>
      </c>
      <c r="K451" s="7">
        <v>0</v>
      </c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</row>
    <row r="452" spans="1:17">
      <c r="A452" s="2">
        <v>2400</v>
      </c>
      <c r="B452" s="7">
        <v>0</v>
      </c>
      <c r="C452" s="7">
        <v>0</v>
      </c>
      <c r="D452" s="7">
        <v>0</v>
      </c>
      <c r="E452" s="7">
        <v>0</v>
      </c>
      <c r="F452" s="7">
        <v>0</v>
      </c>
      <c r="G452" s="7">
        <v>0</v>
      </c>
      <c r="H452" s="7">
        <v>0</v>
      </c>
      <c r="I452" s="7">
        <v>0</v>
      </c>
      <c r="J452" s="7">
        <v>0</v>
      </c>
      <c r="K452" s="7">
        <v>0</v>
      </c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</row>
    <row r="453" spans="1:17">
      <c r="A453" s="2">
        <v>2401</v>
      </c>
      <c r="B453" s="7">
        <v>0</v>
      </c>
      <c r="C453" s="7">
        <v>0</v>
      </c>
      <c r="D453" s="7">
        <v>0</v>
      </c>
      <c r="E453" s="7">
        <v>0</v>
      </c>
      <c r="F453" s="7">
        <v>0</v>
      </c>
      <c r="G453" s="7">
        <v>0</v>
      </c>
      <c r="H453" s="7">
        <v>0</v>
      </c>
      <c r="I453" s="7">
        <v>0</v>
      </c>
      <c r="J453" s="7">
        <v>0</v>
      </c>
      <c r="K453" s="7">
        <v>0</v>
      </c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</row>
    <row r="454" spans="1:17">
      <c r="A454" s="2">
        <v>2402</v>
      </c>
      <c r="B454" s="7">
        <v>0</v>
      </c>
      <c r="C454" s="7">
        <v>0</v>
      </c>
      <c r="D454" s="7">
        <v>0</v>
      </c>
      <c r="E454" s="7">
        <v>0</v>
      </c>
      <c r="F454" s="7">
        <v>0</v>
      </c>
      <c r="G454" s="7">
        <v>0</v>
      </c>
      <c r="H454" s="7">
        <v>0</v>
      </c>
      <c r="I454" s="7">
        <v>0</v>
      </c>
      <c r="J454" s="7">
        <v>0</v>
      </c>
      <c r="K454" s="7">
        <v>0</v>
      </c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</row>
    <row r="455" spans="1:17">
      <c r="A455" s="2">
        <v>2403</v>
      </c>
      <c r="B455" s="7">
        <v>0</v>
      </c>
      <c r="C455" s="7">
        <v>0</v>
      </c>
      <c r="D455" s="7">
        <v>0</v>
      </c>
      <c r="E455" s="7">
        <v>0</v>
      </c>
      <c r="F455" s="7">
        <v>0</v>
      </c>
      <c r="G455" s="7">
        <v>0</v>
      </c>
      <c r="H455" s="7">
        <v>0</v>
      </c>
      <c r="I455" s="7">
        <v>0</v>
      </c>
      <c r="J455" s="7">
        <v>0</v>
      </c>
      <c r="K455" s="7">
        <v>0</v>
      </c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</row>
    <row r="456" spans="1:17">
      <c r="A456" s="2">
        <v>2404</v>
      </c>
      <c r="B456" s="7">
        <v>0</v>
      </c>
      <c r="C456" s="7">
        <v>0</v>
      </c>
      <c r="D456" s="7">
        <v>0</v>
      </c>
      <c r="E456" s="7">
        <v>0</v>
      </c>
      <c r="F456" s="7">
        <v>0</v>
      </c>
      <c r="G456" s="7">
        <v>0</v>
      </c>
      <c r="H456" s="7">
        <v>0</v>
      </c>
      <c r="I456" s="7">
        <v>0</v>
      </c>
      <c r="J456" s="7">
        <v>0</v>
      </c>
      <c r="K456" s="7">
        <v>0</v>
      </c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</row>
    <row r="457" spans="1:17">
      <c r="A457" s="2">
        <v>2405</v>
      </c>
      <c r="B457" s="7">
        <v>0</v>
      </c>
      <c r="C457" s="7">
        <v>0</v>
      </c>
      <c r="D457" s="7">
        <v>0</v>
      </c>
      <c r="E457" s="7">
        <v>0</v>
      </c>
      <c r="F457" s="7">
        <v>0</v>
      </c>
      <c r="G457" s="7">
        <v>0</v>
      </c>
      <c r="H457" s="7">
        <v>0</v>
      </c>
      <c r="I457" s="7">
        <v>0</v>
      </c>
      <c r="J457" s="7">
        <v>0</v>
      </c>
      <c r="K457" s="7">
        <v>0</v>
      </c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</row>
    <row r="458" spans="1:17">
      <c r="A458" s="2">
        <v>2406</v>
      </c>
      <c r="B458" s="7">
        <v>0</v>
      </c>
      <c r="C458" s="7">
        <v>0</v>
      </c>
      <c r="D458" s="7">
        <v>0</v>
      </c>
      <c r="E458" s="7">
        <v>0</v>
      </c>
      <c r="F458" s="7">
        <v>0</v>
      </c>
      <c r="G458" s="7">
        <v>0</v>
      </c>
      <c r="H458" s="7">
        <v>0</v>
      </c>
      <c r="I458" s="7">
        <v>0</v>
      </c>
      <c r="J458" s="7">
        <v>0</v>
      </c>
      <c r="K458" s="7">
        <v>0</v>
      </c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</row>
    <row r="459" spans="1:17">
      <c r="A459" s="2">
        <v>2407</v>
      </c>
      <c r="B459" s="7">
        <v>0</v>
      </c>
      <c r="C459" s="7">
        <v>0</v>
      </c>
      <c r="D459" s="7">
        <v>0</v>
      </c>
      <c r="E459" s="7">
        <v>0</v>
      </c>
      <c r="F459" s="7">
        <v>0</v>
      </c>
      <c r="G459" s="7">
        <v>0</v>
      </c>
      <c r="H459" s="7">
        <v>0</v>
      </c>
      <c r="I459" s="7">
        <v>0</v>
      </c>
      <c r="J459" s="7">
        <v>0</v>
      </c>
      <c r="K459" s="7">
        <v>0</v>
      </c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</row>
    <row r="460" spans="1:17">
      <c r="A460" s="2">
        <v>2408</v>
      </c>
      <c r="B460" s="7">
        <v>0</v>
      </c>
      <c r="C460" s="7">
        <v>0</v>
      </c>
      <c r="D460" s="7">
        <v>0</v>
      </c>
      <c r="E460" s="7">
        <v>0</v>
      </c>
      <c r="F460" s="7">
        <v>0</v>
      </c>
      <c r="G460" s="7">
        <v>0</v>
      </c>
      <c r="H460" s="7">
        <v>0</v>
      </c>
      <c r="I460" s="7">
        <v>0</v>
      </c>
      <c r="J460" s="7">
        <v>0</v>
      </c>
      <c r="K460" s="7">
        <v>0</v>
      </c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</row>
    <row r="461" spans="1:17">
      <c r="A461" s="2">
        <v>2409</v>
      </c>
      <c r="B461" s="7">
        <v>0</v>
      </c>
      <c r="C461" s="7">
        <v>0</v>
      </c>
      <c r="D461" s="7">
        <v>0</v>
      </c>
      <c r="E461" s="7">
        <v>0</v>
      </c>
      <c r="F461" s="7">
        <v>0</v>
      </c>
      <c r="G461" s="7">
        <v>0</v>
      </c>
      <c r="H461" s="7">
        <v>0</v>
      </c>
      <c r="I461" s="7">
        <v>0</v>
      </c>
      <c r="J461" s="7">
        <v>0</v>
      </c>
      <c r="K461" s="7">
        <v>0</v>
      </c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</row>
    <row r="462" spans="1:17">
      <c r="A462" s="2">
        <v>2410</v>
      </c>
      <c r="B462" s="7">
        <v>0</v>
      </c>
      <c r="C462" s="7">
        <v>0</v>
      </c>
      <c r="D462" s="7">
        <v>0</v>
      </c>
      <c r="E462" s="7">
        <v>0</v>
      </c>
      <c r="F462" s="7">
        <v>0</v>
      </c>
      <c r="G462" s="7">
        <v>0</v>
      </c>
      <c r="H462" s="7">
        <v>0</v>
      </c>
      <c r="I462" s="7">
        <v>0</v>
      </c>
      <c r="J462" s="7">
        <v>0</v>
      </c>
      <c r="K462" s="7">
        <v>0</v>
      </c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</row>
    <row r="463" spans="1:17">
      <c r="A463" s="2">
        <v>2411</v>
      </c>
      <c r="B463" s="7">
        <v>0</v>
      </c>
      <c r="C463" s="7">
        <v>0</v>
      </c>
      <c r="D463" s="7">
        <v>0</v>
      </c>
      <c r="E463" s="7">
        <v>0</v>
      </c>
      <c r="F463" s="7">
        <v>0</v>
      </c>
      <c r="G463" s="7">
        <v>0</v>
      </c>
      <c r="H463" s="7">
        <v>0</v>
      </c>
      <c r="I463" s="7">
        <v>0</v>
      </c>
      <c r="J463" s="7">
        <v>0</v>
      </c>
      <c r="K463" s="7">
        <v>0</v>
      </c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</row>
    <row r="464" spans="1:17">
      <c r="A464" s="2">
        <v>2412</v>
      </c>
      <c r="B464" s="7">
        <v>0</v>
      </c>
      <c r="C464" s="7">
        <v>0</v>
      </c>
      <c r="D464" s="7">
        <v>0</v>
      </c>
      <c r="E464" s="7">
        <v>0</v>
      </c>
      <c r="F464" s="7">
        <v>0</v>
      </c>
      <c r="G464" s="7">
        <v>0</v>
      </c>
      <c r="H464" s="7">
        <v>0</v>
      </c>
      <c r="I464" s="7">
        <v>0</v>
      </c>
      <c r="J464" s="7">
        <v>0</v>
      </c>
      <c r="K464" s="7">
        <v>0</v>
      </c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</row>
    <row r="465" spans="1:17">
      <c r="A465" s="2">
        <v>2413</v>
      </c>
      <c r="B465" s="7">
        <v>0</v>
      </c>
      <c r="C465" s="7">
        <v>0</v>
      </c>
      <c r="D465" s="7">
        <v>0</v>
      </c>
      <c r="E465" s="7">
        <v>0</v>
      </c>
      <c r="F465" s="7">
        <v>0</v>
      </c>
      <c r="G465" s="7">
        <v>0</v>
      </c>
      <c r="H465" s="7">
        <v>0</v>
      </c>
      <c r="I465" s="7">
        <v>0</v>
      </c>
      <c r="J465" s="7">
        <v>0</v>
      </c>
      <c r="K465" s="7">
        <v>0</v>
      </c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</row>
    <row r="466" spans="1:17">
      <c r="A466" s="2">
        <v>2414</v>
      </c>
      <c r="B466" s="7">
        <v>0</v>
      </c>
      <c r="C466" s="7">
        <v>0</v>
      </c>
      <c r="D466" s="7">
        <v>0</v>
      </c>
      <c r="E466" s="7">
        <v>0</v>
      </c>
      <c r="F466" s="7">
        <v>0</v>
      </c>
      <c r="G466" s="7">
        <v>0</v>
      </c>
      <c r="H466" s="7">
        <v>0</v>
      </c>
      <c r="I466" s="7">
        <v>0</v>
      </c>
      <c r="J466" s="7">
        <v>0</v>
      </c>
      <c r="K466" s="7">
        <v>0</v>
      </c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</row>
    <row r="467" spans="1:17">
      <c r="A467" s="2">
        <v>2415</v>
      </c>
      <c r="B467" s="7">
        <v>0</v>
      </c>
      <c r="C467" s="7">
        <v>0</v>
      </c>
      <c r="D467" s="7">
        <v>0</v>
      </c>
      <c r="E467" s="7">
        <v>0</v>
      </c>
      <c r="F467" s="7">
        <v>0</v>
      </c>
      <c r="G467" s="7">
        <v>0</v>
      </c>
      <c r="H467" s="7">
        <v>0</v>
      </c>
      <c r="I467" s="7">
        <v>0</v>
      </c>
      <c r="J467" s="7">
        <v>0</v>
      </c>
      <c r="K467" s="7">
        <v>0</v>
      </c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</row>
    <row r="468" spans="1:17">
      <c r="A468" s="2">
        <v>2416</v>
      </c>
      <c r="B468" s="7">
        <v>0</v>
      </c>
      <c r="C468" s="7">
        <v>0</v>
      </c>
      <c r="D468" s="7">
        <v>0</v>
      </c>
      <c r="E468" s="7">
        <v>0</v>
      </c>
      <c r="F468" s="7">
        <v>0</v>
      </c>
      <c r="G468" s="7">
        <v>0</v>
      </c>
      <c r="H468" s="7">
        <v>0</v>
      </c>
      <c r="I468" s="7">
        <v>0</v>
      </c>
      <c r="J468" s="7">
        <v>0</v>
      </c>
      <c r="K468" s="7">
        <v>0</v>
      </c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</row>
    <row r="469" spans="1:17">
      <c r="A469" s="2">
        <v>2417</v>
      </c>
      <c r="B469" s="7">
        <v>0</v>
      </c>
      <c r="C469" s="7">
        <v>0</v>
      </c>
      <c r="D469" s="7">
        <v>0</v>
      </c>
      <c r="E469" s="7">
        <v>0</v>
      </c>
      <c r="F469" s="7">
        <v>0</v>
      </c>
      <c r="G469" s="7">
        <v>0</v>
      </c>
      <c r="H469" s="7">
        <v>0</v>
      </c>
      <c r="I469" s="7">
        <v>0</v>
      </c>
      <c r="J469" s="7">
        <v>0</v>
      </c>
      <c r="K469" s="7">
        <v>0</v>
      </c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</row>
    <row r="470" spans="1:17">
      <c r="A470" s="2">
        <v>2418</v>
      </c>
      <c r="B470" s="7">
        <v>0</v>
      </c>
      <c r="C470" s="7">
        <v>0</v>
      </c>
      <c r="D470" s="7">
        <v>0</v>
      </c>
      <c r="E470" s="7">
        <v>0</v>
      </c>
      <c r="F470" s="7">
        <v>0</v>
      </c>
      <c r="G470" s="7">
        <v>0</v>
      </c>
      <c r="H470" s="7">
        <v>0</v>
      </c>
      <c r="I470" s="7">
        <v>0</v>
      </c>
      <c r="J470" s="7">
        <v>0</v>
      </c>
      <c r="K470" s="7">
        <v>0</v>
      </c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</row>
    <row r="471" spans="1:17">
      <c r="A471" s="2">
        <v>2419</v>
      </c>
      <c r="B471" s="7">
        <v>0</v>
      </c>
      <c r="C471" s="7">
        <v>0</v>
      </c>
      <c r="D471" s="7">
        <v>0</v>
      </c>
      <c r="E471" s="7">
        <v>0</v>
      </c>
      <c r="F471" s="7">
        <v>0</v>
      </c>
      <c r="G471" s="7">
        <v>0</v>
      </c>
      <c r="H471" s="7">
        <v>0</v>
      </c>
      <c r="I471" s="7">
        <v>0</v>
      </c>
      <c r="J471" s="7">
        <v>0</v>
      </c>
      <c r="K471" s="7">
        <v>0</v>
      </c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</row>
    <row r="472" spans="1:17">
      <c r="A472" s="2">
        <v>2420</v>
      </c>
      <c r="B472" s="7">
        <v>0</v>
      </c>
      <c r="C472" s="7">
        <v>0</v>
      </c>
      <c r="D472" s="7">
        <v>0</v>
      </c>
      <c r="E472" s="7">
        <v>0</v>
      </c>
      <c r="F472" s="7">
        <v>0</v>
      </c>
      <c r="G472" s="7">
        <v>0</v>
      </c>
      <c r="H472" s="7">
        <v>0</v>
      </c>
      <c r="I472" s="7">
        <v>0</v>
      </c>
      <c r="J472" s="7">
        <v>0</v>
      </c>
      <c r="K472" s="7">
        <v>0</v>
      </c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</row>
    <row r="473" spans="1:17">
      <c r="A473" s="2">
        <v>2421</v>
      </c>
      <c r="B473" s="7">
        <v>0</v>
      </c>
      <c r="C473" s="7">
        <v>0</v>
      </c>
      <c r="D473" s="7">
        <v>0</v>
      </c>
      <c r="E473" s="7">
        <v>0</v>
      </c>
      <c r="F473" s="7">
        <v>0</v>
      </c>
      <c r="G473" s="7">
        <v>0</v>
      </c>
      <c r="H473" s="7">
        <v>0</v>
      </c>
      <c r="I473" s="7">
        <v>0</v>
      </c>
      <c r="J473" s="7">
        <v>0</v>
      </c>
      <c r="K473" s="7">
        <v>0</v>
      </c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</row>
    <row r="474" spans="1:17">
      <c r="A474" s="2">
        <v>2422</v>
      </c>
      <c r="B474" s="7">
        <v>0</v>
      </c>
      <c r="C474" s="7">
        <v>0</v>
      </c>
      <c r="D474" s="7">
        <v>0</v>
      </c>
      <c r="E474" s="7">
        <v>0</v>
      </c>
      <c r="F474" s="7">
        <v>0</v>
      </c>
      <c r="G474" s="7">
        <v>0</v>
      </c>
      <c r="H474" s="7">
        <v>0</v>
      </c>
      <c r="I474" s="7">
        <v>0</v>
      </c>
      <c r="J474" s="7">
        <v>0</v>
      </c>
      <c r="K474" s="7">
        <v>0</v>
      </c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</row>
    <row r="475" spans="1:17">
      <c r="A475" s="2">
        <v>2423</v>
      </c>
      <c r="B475" s="7">
        <v>0</v>
      </c>
      <c r="C475" s="7">
        <v>0</v>
      </c>
      <c r="D475" s="7">
        <v>0</v>
      </c>
      <c r="E475" s="7">
        <v>0</v>
      </c>
      <c r="F475" s="7">
        <v>0</v>
      </c>
      <c r="G475" s="7">
        <v>0</v>
      </c>
      <c r="H475" s="7">
        <v>0</v>
      </c>
      <c r="I475" s="7">
        <v>0</v>
      </c>
      <c r="J475" s="7">
        <v>0</v>
      </c>
      <c r="K475" s="7">
        <v>0</v>
      </c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</row>
    <row r="476" spans="1:17">
      <c r="A476" s="2">
        <v>2424</v>
      </c>
      <c r="B476" s="7">
        <v>0</v>
      </c>
      <c r="C476" s="7">
        <v>0</v>
      </c>
      <c r="D476" s="7">
        <v>0</v>
      </c>
      <c r="E476" s="7">
        <v>0</v>
      </c>
      <c r="F476" s="7">
        <v>0</v>
      </c>
      <c r="G476" s="7">
        <v>0</v>
      </c>
      <c r="H476" s="7">
        <v>0</v>
      </c>
      <c r="I476" s="7">
        <v>0</v>
      </c>
      <c r="J476" s="7">
        <v>0</v>
      </c>
      <c r="K476" s="7">
        <v>0</v>
      </c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</row>
    <row r="477" spans="1:17">
      <c r="A477" s="2">
        <v>2425</v>
      </c>
      <c r="B477" s="7">
        <v>0</v>
      </c>
      <c r="C477" s="7">
        <v>0</v>
      </c>
      <c r="D477" s="7">
        <v>0</v>
      </c>
      <c r="E477" s="7">
        <v>0</v>
      </c>
      <c r="F477" s="7">
        <v>0</v>
      </c>
      <c r="G477" s="7">
        <v>0</v>
      </c>
      <c r="H477" s="7">
        <v>0</v>
      </c>
      <c r="I477" s="7">
        <v>0</v>
      </c>
      <c r="J477" s="7">
        <v>0</v>
      </c>
      <c r="K477" s="7">
        <v>0</v>
      </c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</row>
    <row r="478" spans="1:17">
      <c r="A478" s="2">
        <v>2426</v>
      </c>
      <c r="B478" s="7">
        <v>0</v>
      </c>
      <c r="C478" s="7">
        <v>0</v>
      </c>
      <c r="D478" s="7">
        <v>0</v>
      </c>
      <c r="E478" s="7">
        <v>0</v>
      </c>
      <c r="F478" s="7">
        <v>0</v>
      </c>
      <c r="G478" s="7">
        <v>0</v>
      </c>
      <c r="H478" s="7">
        <v>0</v>
      </c>
      <c r="I478" s="7">
        <v>0</v>
      </c>
      <c r="J478" s="7">
        <v>0</v>
      </c>
      <c r="K478" s="7">
        <v>0</v>
      </c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</row>
    <row r="479" spans="1:17">
      <c r="A479" s="2">
        <v>2427</v>
      </c>
      <c r="B479" s="7">
        <v>0</v>
      </c>
      <c r="C479" s="7">
        <v>0</v>
      </c>
      <c r="D479" s="7">
        <v>0</v>
      </c>
      <c r="E479" s="7">
        <v>0</v>
      </c>
      <c r="F479" s="7">
        <v>0</v>
      </c>
      <c r="G479" s="7">
        <v>0</v>
      </c>
      <c r="H479" s="7">
        <v>0</v>
      </c>
      <c r="I479" s="7">
        <v>0</v>
      </c>
      <c r="J479" s="7">
        <v>0</v>
      </c>
      <c r="K479" s="7">
        <v>0</v>
      </c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</row>
    <row r="480" spans="1:17">
      <c r="A480" s="2">
        <v>2428</v>
      </c>
      <c r="B480" s="7">
        <v>0</v>
      </c>
      <c r="C480" s="7">
        <v>0</v>
      </c>
      <c r="D480" s="7">
        <v>0</v>
      </c>
      <c r="E480" s="7">
        <v>0</v>
      </c>
      <c r="F480" s="7">
        <v>0</v>
      </c>
      <c r="G480" s="7">
        <v>0</v>
      </c>
      <c r="H480" s="7">
        <v>0</v>
      </c>
      <c r="I480" s="7">
        <v>0</v>
      </c>
      <c r="J480" s="7">
        <v>0</v>
      </c>
      <c r="K480" s="7">
        <v>0</v>
      </c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</row>
    <row r="481" spans="1:17">
      <c r="A481" s="2">
        <v>2429</v>
      </c>
      <c r="B481" s="7">
        <v>0</v>
      </c>
      <c r="C481" s="7">
        <v>0</v>
      </c>
      <c r="D481" s="7">
        <v>0</v>
      </c>
      <c r="E481" s="7">
        <v>0</v>
      </c>
      <c r="F481" s="7">
        <v>0</v>
      </c>
      <c r="G481" s="7">
        <v>0</v>
      </c>
      <c r="H481" s="7">
        <v>0</v>
      </c>
      <c r="I481" s="7">
        <v>0</v>
      </c>
      <c r="J481" s="7">
        <v>0</v>
      </c>
      <c r="K481" s="7">
        <v>0</v>
      </c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</row>
    <row r="482" spans="1:17">
      <c r="A482" s="2">
        <v>2430</v>
      </c>
      <c r="B482" s="7">
        <v>0</v>
      </c>
      <c r="C482" s="7">
        <v>0</v>
      </c>
      <c r="D482" s="7">
        <v>0</v>
      </c>
      <c r="E482" s="7">
        <v>0</v>
      </c>
      <c r="F482" s="7">
        <v>0</v>
      </c>
      <c r="G482" s="7">
        <v>0</v>
      </c>
      <c r="H482" s="7">
        <v>0</v>
      </c>
      <c r="I482" s="7">
        <v>0</v>
      </c>
      <c r="J482" s="7">
        <v>0</v>
      </c>
      <c r="K482" s="7">
        <v>0</v>
      </c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</row>
    <row r="483" spans="1:17">
      <c r="A483" s="2">
        <v>2431</v>
      </c>
      <c r="B483" s="7">
        <v>0</v>
      </c>
      <c r="C483" s="7">
        <v>0</v>
      </c>
      <c r="D483" s="7">
        <v>0</v>
      </c>
      <c r="E483" s="7">
        <v>0</v>
      </c>
      <c r="F483" s="7">
        <v>0</v>
      </c>
      <c r="G483" s="7">
        <v>0</v>
      </c>
      <c r="H483" s="7">
        <v>0</v>
      </c>
      <c r="I483" s="7">
        <v>0</v>
      </c>
      <c r="J483" s="7">
        <v>0</v>
      </c>
      <c r="K483" s="7">
        <v>0</v>
      </c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</row>
    <row r="484" spans="1:17">
      <c r="A484" s="2">
        <v>2432</v>
      </c>
      <c r="B484" s="7">
        <v>0</v>
      </c>
      <c r="C484" s="7">
        <v>0</v>
      </c>
      <c r="D484" s="7">
        <v>0</v>
      </c>
      <c r="E484" s="7">
        <v>0</v>
      </c>
      <c r="F484" s="7">
        <v>0</v>
      </c>
      <c r="G484" s="7">
        <v>0</v>
      </c>
      <c r="H484" s="7">
        <v>0</v>
      </c>
      <c r="I484" s="7">
        <v>0</v>
      </c>
      <c r="J484" s="7">
        <v>0</v>
      </c>
      <c r="K484" s="7">
        <v>0</v>
      </c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</row>
    <row r="485" spans="1:17">
      <c r="A485" s="2">
        <v>2433</v>
      </c>
      <c r="B485" s="7">
        <v>0</v>
      </c>
      <c r="C485" s="7">
        <v>0</v>
      </c>
      <c r="D485" s="7">
        <v>0</v>
      </c>
      <c r="E485" s="7">
        <v>0</v>
      </c>
      <c r="F485" s="7">
        <v>0</v>
      </c>
      <c r="G485" s="7">
        <v>0</v>
      </c>
      <c r="H485" s="7">
        <v>0</v>
      </c>
      <c r="I485" s="7">
        <v>0</v>
      </c>
      <c r="J485" s="7">
        <v>0</v>
      </c>
      <c r="K485" s="7">
        <v>0</v>
      </c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</row>
    <row r="486" spans="1:17">
      <c r="A486" s="2">
        <v>2434</v>
      </c>
      <c r="B486" s="7">
        <v>0</v>
      </c>
      <c r="C486" s="7">
        <v>0</v>
      </c>
      <c r="D486" s="7">
        <v>0</v>
      </c>
      <c r="E486" s="7">
        <v>0</v>
      </c>
      <c r="F486" s="7">
        <v>0</v>
      </c>
      <c r="G486" s="7">
        <v>0</v>
      </c>
      <c r="H486" s="7">
        <v>0</v>
      </c>
      <c r="I486" s="7">
        <v>0</v>
      </c>
      <c r="J486" s="7">
        <v>0</v>
      </c>
      <c r="K486" s="7">
        <v>0</v>
      </c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</row>
    <row r="487" spans="1:17">
      <c r="A487" s="2">
        <v>2435</v>
      </c>
      <c r="B487" s="7">
        <v>0</v>
      </c>
      <c r="C487" s="7">
        <v>0</v>
      </c>
      <c r="D487" s="7">
        <v>0</v>
      </c>
      <c r="E487" s="7">
        <v>0</v>
      </c>
      <c r="F487" s="7">
        <v>0</v>
      </c>
      <c r="G487" s="7">
        <v>0</v>
      </c>
      <c r="H487" s="7">
        <v>0</v>
      </c>
      <c r="I487" s="7">
        <v>0</v>
      </c>
      <c r="J487" s="7">
        <v>0</v>
      </c>
      <c r="K487" s="7">
        <v>0</v>
      </c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</row>
    <row r="488" spans="1:17">
      <c r="A488" s="2">
        <v>2436</v>
      </c>
      <c r="B488" s="7">
        <v>0</v>
      </c>
      <c r="C488" s="7">
        <v>0</v>
      </c>
      <c r="D488" s="7">
        <v>0</v>
      </c>
      <c r="E488" s="7">
        <v>0</v>
      </c>
      <c r="F488" s="7">
        <v>0</v>
      </c>
      <c r="G488" s="7">
        <v>0</v>
      </c>
      <c r="H488" s="7">
        <v>0</v>
      </c>
      <c r="I488" s="7">
        <v>0</v>
      </c>
      <c r="J488" s="7">
        <v>0</v>
      </c>
      <c r="K488" s="7">
        <v>0</v>
      </c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</row>
    <row r="489" spans="1:17">
      <c r="A489" s="2">
        <v>2437</v>
      </c>
      <c r="B489" s="7">
        <v>0</v>
      </c>
      <c r="C489" s="7">
        <v>0</v>
      </c>
      <c r="D489" s="7">
        <v>0</v>
      </c>
      <c r="E489" s="7">
        <v>0</v>
      </c>
      <c r="F489" s="7">
        <v>0</v>
      </c>
      <c r="G489" s="7">
        <v>0</v>
      </c>
      <c r="H489" s="7">
        <v>0</v>
      </c>
      <c r="I489" s="7">
        <v>0</v>
      </c>
      <c r="J489" s="7">
        <v>0</v>
      </c>
      <c r="K489" s="7">
        <v>0</v>
      </c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</row>
    <row r="490" spans="1:17">
      <c r="A490" s="2">
        <v>2438</v>
      </c>
      <c r="B490" s="7">
        <v>0</v>
      </c>
      <c r="C490" s="7">
        <v>0</v>
      </c>
      <c r="D490" s="7">
        <v>0</v>
      </c>
      <c r="E490" s="7">
        <v>0</v>
      </c>
      <c r="F490" s="7">
        <v>0</v>
      </c>
      <c r="G490" s="7">
        <v>0</v>
      </c>
      <c r="H490" s="7">
        <v>0</v>
      </c>
      <c r="I490" s="7">
        <v>0</v>
      </c>
      <c r="J490" s="7">
        <v>0</v>
      </c>
      <c r="K490" s="7">
        <v>0</v>
      </c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</row>
    <row r="491" spans="1:17">
      <c r="A491" s="2">
        <v>2439</v>
      </c>
      <c r="B491" s="7">
        <v>0</v>
      </c>
      <c r="C491" s="7">
        <v>0</v>
      </c>
      <c r="D491" s="7">
        <v>0</v>
      </c>
      <c r="E491" s="7">
        <v>0</v>
      </c>
      <c r="F491" s="7">
        <v>0</v>
      </c>
      <c r="G491" s="7">
        <v>0</v>
      </c>
      <c r="H491" s="7">
        <v>0</v>
      </c>
      <c r="I491" s="7">
        <v>0</v>
      </c>
      <c r="J491" s="7">
        <v>0</v>
      </c>
      <c r="K491" s="7">
        <v>0</v>
      </c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</row>
    <row r="492" spans="1:17">
      <c r="A492" s="2">
        <v>2440</v>
      </c>
      <c r="B492" s="7">
        <v>0</v>
      </c>
      <c r="C492" s="7">
        <v>0</v>
      </c>
      <c r="D492" s="7">
        <v>0</v>
      </c>
      <c r="E492" s="7">
        <v>0</v>
      </c>
      <c r="F492" s="7">
        <v>0</v>
      </c>
      <c r="G492" s="7">
        <v>0</v>
      </c>
      <c r="H492" s="7">
        <v>0</v>
      </c>
      <c r="I492" s="7">
        <v>0</v>
      </c>
      <c r="J492" s="7">
        <v>0</v>
      </c>
      <c r="K492" s="7">
        <v>0</v>
      </c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</row>
    <row r="493" spans="1:17">
      <c r="A493" s="2">
        <v>2441</v>
      </c>
      <c r="B493" s="7">
        <v>0</v>
      </c>
      <c r="C493" s="7">
        <v>0</v>
      </c>
      <c r="D493" s="7">
        <v>0</v>
      </c>
      <c r="E493" s="7">
        <v>0</v>
      </c>
      <c r="F493" s="7">
        <v>0</v>
      </c>
      <c r="G493" s="7">
        <v>0</v>
      </c>
      <c r="H493" s="7">
        <v>0</v>
      </c>
      <c r="I493" s="7">
        <v>0</v>
      </c>
      <c r="J493" s="7">
        <v>0</v>
      </c>
      <c r="K493" s="7">
        <v>0</v>
      </c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</row>
    <row r="494" spans="1:17">
      <c r="A494" s="2">
        <v>2442</v>
      </c>
      <c r="B494" s="7">
        <v>0</v>
      </c>
      <c r="C494" s="7">
        <v>0</v>
      </c>
      <c r="D494" s="7">
        <v>0</v>
      </c>
      <c r="E494" s="7">
        <v>0</v>
      </c>
      <c r="F494" s="7">
        <v>0</v>
      </c>
      <c r="G494" s="7">
        <v>0</v>
      </c>
      <c r="H494" s="7">
        <v>0</v>
      </c>
      <c r="I494" s="7">
        <v>0</v>
      </c>
      <c r="J494" s="7">
        <v>0</v>
      </c>
      <c r="K494" s="7">
        <v>0</v>
      </c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</row>
    <row r="495" spans="1:17">
      <c r="A495" s="2">
        <v>2443</v>
      </c>
      <c r="B495" s="7">
        <v>0</v>
      </c>
      <c r="C495" s="7">
        <v>0</v>
      </c>
      <c r="D495" s="7">
        <v>0</v>
      </c>
      <c r="E495" s="7">
        <v>0</v>
      </c>
      <c r="F495" s="7">
        <v>0</v>
      </c>
      <c r="G495" s="7">
        <v>0</v>
      </c>
      <c r="H495" s="7">
        <v>0</v>
      </c>
      <c r="I495" s="7">
        <v>0</v>
      </c>
      <c r="J495" s="7">
        <v>0</v>
      </c>
      <c r="K495" s="7">
        <v>0</v>
      </c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</row>
    <row r="496" spans="1:17">
      <c r="A496" s="2">
        <v>2444</v>
      </c>
      <c r="B496" s="7">
        <v>0</v>
      </c>
      <c r="C496" s="7">
        <v>0</v>
      </c>
      <c r="D496" s="7">
        <v>0</v>
      </c>
      <c r="E496" s="7">
        <v>0</v>
      </c>
      <c r="F496" s="7">
        <v>0</v>
      </c>
      <c r="G496" s="7">
        <v>0</v>
      </c>
      <c r="H496" s="7">
        <v>0</v>
      </c>
      <c r="I496" s="7">
        <v>0</v>
      </c>
      <c r="J496" s="7">
        <v>0</v>
      </c>
      <c r="K496" s="7">
        <v>0</v>
      </c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</row>
    <row r="497" spans="1:17">
      <c r="A497" s="2">
        <v>2445</v>
      </c>
      <c r="B497" s="7">
        <v>0</v>
      </c>
      <c r="C497" s="7">
        <v>0</v>
      </c>
      <c r="D497" s="7">
        <v>0</v>
      </c>
      <c r="E497" s="7">
        <v>0</v>
      </c>
      <c r="F497" s="7">
        <v>0</v>
      </c>
      <c r="G497" s="7">
        <v>0</v>
      </c>
      <c r="H497" s="7">
        <v>0</v>
      </c>
      <c r="I497" s="7">
        <v>0</v>
      </c>
      <c r="J497" s="7">
        <v>0</v>
      </c>
      <c r="K497" s="7">
        <v>0</v>
      </c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</row>
    <row r="498" spans="1:17">
      <c r="A498" s="2">
        <v>2446</v>
      </c>
      <c r="B498" s="7">
        <v>0</v>
      </c>
      <c r="C498" s="7">
        <v>0</v>
      </c>
      <c r="D498" s="7">
        <v>0</v>
      </c>
      <c r="E498" s="7">
        <v>0</v>
      </c>
      <c r="F498" s="7">
        <v>0</v>
      </c>
      <c r="G498" s="7">
        <v>0</v>
      </c>
      <c r="H498" s="7">
        <v>0</v>
      </c>
      <c r="I498" s="7">
        <v>0</v>
      </c>
      <c r="J498" s="7">
        <v>0</v>
      </c>
      <c r="K498" s="7">
        <v>0</v>
      </c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</row>
    <row r="499" spans="1:17">
      <c r="A499" s="2">
        <v>2447</v>
      </c>
      <c r="B499" s="7">
        <v>0</v>
      </c>
      <c r="C499" s="7">
        <v>0</v>
      </c>
      <c r="D499" s="7">
        <v>0</v>
      </c>
      <c r="E499" s="7">
        <v>0</v>
      </c>
      <c r="F499" s="7">
        <v>0</v>
      </c>
      <c r="G499" s="7">
        <v>0</v>
      </c>
      <c r="H499" s="7">
        <v>0</v>
      </c>
      <c r="I499" s="7">
        <v>0</v>
      </c>
      <c r="J499" s="7">
        <v>0</v>
      </c>
      <c r="K499" s="7">
        <v>0</v>
      </c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</row>
    <row r="500" spans="1:17">
      <c r="A500" s="2">
        <v>2448</v>
      </c>
      <c r="B500" s="7">
        <v>0</v>
      </c>
      <c r="C500" s="7">
        <v>0</v>
      </c>
      <c r="D500" s="7">
        <v>0</v>
      </c>
      <c r="E500" s="7">
        <v>0</v>
      </c>
      <c r="F500" s="7">
        <v>0</v>
      </c>
      <c r="G500" s="7">
        <v>0</v>
      </c>
      <c r="H500" s="7">
        <v>0</v>
      </c>
      <c r="I500" s="7">
        <v>0</v>
      </c>
      <c r="J500" s="7">
        <v>0</v>
      </c>
      <c r="K500" s="7">
        <v>0</v>
      </c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</row>
    <row r="501" spans="1:17">
      <c r="A501" s="2">
        <v>2449</v>
      </c>
      <c r="B501" s="7">
        <v>0</v>
      </c>
      <c r="C501" s="7">
        <v>0</v>
      </c>
      <c r="D501" s="7">
        <v>0</v>
      </c>
      <c r="E501" s="7">
        <v>0</v>
      </c>
      <c r="F501" s="7">
        <v>0</v>
      </c>
      <c r="G501" s="7">
        <v>0</v>
      </c>
      <c r="H501" s="7">
        <v>0</v>
      </c>
      <c r="I501" s="7">
        <v>0</v>
      </c>
      <c r="J501" s="7">
        <v>0</v>
      </c>
      <c r="K501" s="7">
        <v>0</v>
      </c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</row>
    <row r="502" spans="1:17">
      <c r="A502" s="2">
        <v>2450</v>
      </c>
      <c r="B502" s="7">
        <v>0</v>
      </c>
      <c r="C502" s="7">
        <v>0</v>
      </c>
      <c r="D502" s="7">
        <v>0</v>
      </c>
      <c r="E502" s="7">
        <v>0</v>
      </c>
      <c r="F502" s="7">
        <v>0</v>
      </c>
      <c r="G502" s="7">
        <v>0</v>
      </c>
      <c r="H502" s="7">
        <v>0</v>
      </c>
      <c r="I502" s="7">
        <v>0</v>
      </c>
      <c r="J502" s="7">
        <v>0</v>
      </c>
      <c r="K502" s="7">
        <v>0</v>
      </c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</row>
    <row r="503" spans="1:17">
      <c r="A503" s="2">
        <v>2451</v>
      </c>
      <c r="B503" s="7">
        <v>0</v>
      </c>
      <c r="C503" s="7">
        <v>0</v>
      </c>
      <c r="D503" s="7">
        <v>0</v>
      </c>
      <c r="E503" s="7">
        <v>0</v>
      </c>
      <c r="F503" s="7">
        <v>0</v>
      </c>
      <c r="G503" s="7">
        <v>0</v>
      </c>
      <c r="H503" s="7">
        <v>0</v>
      </c>
      <c r="I503" s="7">
        <v>0</v>
      </c>
      <c r="J503" s="7">
        <v>0</v>
      </c>
      <c r="K503" s="7">
        <v>0</v>
      </c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</row>
    <row r="504" spans="1:17">
      <c r="A504" s="2">
        <v>2452</v>
      </c>
      <c r="B504" s="7">
        <v>0</v>
      </c>
      <c r="C504" s="7">
        <v>0</v>
      </c>
      <c r="D504" s="7">
        <v>0</v>
      </c>
      <c r="E504" s="7">
        <v>0</v>
      </c>
      <c r="F504" s="7">
        <v>0</v>
      </c>
      <c r="G504" s="7">
        <v>0</v>
      </c>
      <c r="H504" s="7">
        <v>0</v>
      </c>
      <c r="I504" s="7">
        <v>0</v>
      </c>
      <c r="J504" s="7">
        <v>0</v>
      </c>
      <c r="K504" s="7">
        <v>0</v>
      </c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</row>
    <row r="505" spans="1:17">
      <c r="A505" s="2">
        <v>2453</v>
      </c>
      <c r="B505" s="7">
        <v>0</v>
      </c>
      <c r="C505" s="7">
        <v>0</v>
      </c>
      <c r="D505" s="7">
        <v>0</v>
      </c>
      <c r="E505" s="7">
        <v>0</v>
      </c>
      <c r="F505" s="7">
        <v>0</v>
      </c>
      <c r="G505" s="7">
        <v>0</v>
      </c>
      <c r="H505" s="7">
        <v>0</v>
      </c>
      <c r="I505" s="7">
        <v>0</v>
      </c>
      <c r="J505" s="7">
        <v>0</v>
      </c>
      <c r="K505" s="7">
        <v>0</v>
      </c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</row>
    <row r="506" spans="1:17">
      <c r="A506" s="2">
        <v>2454</v>
      </c>
      <c r="B506" s="7">
        <v>0</v>
      </c>
      <c r="C506" s="7">
        <v>0</v>
      </c>
      <c r="D506" s="7">
        <v>0</v>
      </c>
      <c r="E506" s="7">
        <v>0</v>
      </c>
      <c r="F506" s="7">
        <v>0</v>
      </c>
      <c r="G506" s="7">
        <v>0</v>
      </c>
      <c r="H506" s="7">
        <v>0</v>
      </c>
      <c r="I506" s="7">
        <v>0</v>
      </c>
      <c r="J506" s="7">
        <v>0</v>
      </c>
      <c r="K506" s="7">
        <v>0</v>
      </c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</row>
    <row r="507" spans="1:17">
      <c r="A507" s="2">
        <v>2455</v>
      </c>
      <c r="B507" s="7">
        <v>0</v>
      </c>
      <c r="C507" s="7">
        <v>0</v>
      </c>
      <c r="D507" s="7">
        <v>0</v>
      </c>
      <c r="E507" s="7">
        <v>0</v>
      </c>
      <c r="F507" s="7">
        <v>0</v>
      </c>
      <c r="G507" s="7">
        <v>0</v>
      </c>
      <c r="H507" s="7">
        <v>0</v>
      </c>
      <c r="I507" s="7">
        <v>0</v>
      </c>
      <c r="J507" s="7">
        <v>0</v>
      </c>
      <c r="K507" s="7">
        <v>0</v>
      </c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</row>
    <row r="508" spans="1:17">
      <c r="A508" s="2">
        <v>2456</v>
      </c>
      <c r="B508" s="7">
        <v>0</v>
      </c>
      <c r="C508" s="7">
        <v>0</v>
      </c>
      <c r="D508" s="7">
        <v>0</v>
      </c>
      <c r="E508" s="7">
        <v>0</v>
      </c>
      <c r="F508" s="7">
        <v>0</v>
      </c>
      <c r="G508" s="7">
        <v>0</v>
      </c>
      <c r="H508" s="7">
        <v>0</v>
      </c>
      <c r="I508" s="7">
        <v>0</v>
      </c>
      <c r="J508" s="7">
        <v>0</v>
      </c>
      <c r="K508" s="7">
        <v>0</v>
      </c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</row>
    <row r="509" spans="1:17">
      <c r="A509" s="2">
        <v>2457</v>
      </c>
      <c r="B509" s="7">
        <v>0</v>
      </c>
      <c r="C509" s="7">
        <v>0</v>
      </c>
      <c r="D509" s="7">
        <v>0</v>
      </c>
      <c r="E509" s="7">
        <v>0</v>
      </c>
      <c r="F509" s="7">
        <v>0</v>
      </c>
      <c r="G509" s="7">
        <v>0</v>
      </c>
      <c r="H509" s="7">
        <v>0</v>
      </c>
      <c r="I509" s="7">
        <v>0</v>
      </c>
      <c r="J509" s="7">
        <v>0</v>
      </c>
      <c r="K509" s="7">
        <v>0</v>
      </c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</row>
    <row r="510" spans="1:17">
      <c r="A510" s="2">
        <v>2458</v>
      </c>
      <c r="B510" s="7">
        <v>0</v>
      </c>
      <c r="C510" s="7">
        <v>0</v>
      </c>
      <c r="D510" s="7">
        <v>0</v>
      </c>
      <c r="E510" s="7">
        <v>0</v>
      </c>
      <c r="F510" s="7">
        <v>0</v>
      </c>
      <c r="G510" s="7">
        <v>0</v>
      </c>
      <c r="H510" s="7">
        <v>0</v>
      </c>
      <c r="I510" s="7">
        <v>0</v>
      </c>
      <c r="J510" s="7">
        <v>0</v>
      </c>
      <c r="K510" s="7">
        <v>0</v>
      </c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</row>
    <row r="511" spans="1:17">
      <c r="A511" s="2">
        <v>2459</v>
      </c>
      <c r="B511" s="7">
        <v>0</v>
      </c>
      <c r="C511" s="7">
        <v>0</v>
      </c>
      <c r="D511" s="7">
        <v>0</v>
      </c>
      <c r="E511" s="7">
        <v>0</v>
      </c>
      <c r="F511" s="7">
        <v>0</v>
      </c>
      <c r="G511" s="7">
        <v>0</v>
      </c>
      <c r="H511" s="7">
        <v>0</v>
      </c>
      <c r="I511" s="7">
        <v>0</v>
      </c>
      <c r="J511" s="7">
        <v>0</v>
      </c>
      <c r="K511" s="7">
        <v>0</v>
      </c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</row>
    <row r="512" spans="1:17">
      <c r="A512" s="2">
        <v>2460</v>
      </c>
      <c r="B512" s="7">
        <v>0</v>
      </c>
      <c r="C512" s="7">
        <v>0</v>
      </c>
      <c r="D512" s="7">
        <v>0</v>
      </c>
      <c r="E512" s="7">
        <v>0</v>
      </c>
      <c r="F512" s="7">
        <v>0</v>
      </c>
      <c r="G512" s="7">
        <v>0</v>
      </c>
      <c r="H512" s="7">
        <v>0</v>
      </c>
      <c r="I512" s="7">
        <v>0</v>
      </c>
      <c r="J512" s="7">
        <v>0</v>
      </c>
      <c r="K512" s="7">
        <v>0</v>
      </c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</row>
    <row r="513" spans="1:17">
      <c r="A513" s="2">
        <v>2461</v>
      </c>
      <c r="B513" s="7">
        <v>0</v>
      </c>
      <c r="C513" s="7">
        <v>0</v>
      </c>
      <c r="D513" s="7">
        <v>0</v>
      </c>
      <c r="E513" s="7">
        <v>0</v>
      </c>
      <c r="F513" s="7">
        <v>0</v>
      </c>
      <c r="G513" s="7">
        <v>0</v>
      </c>
      <c r="H513" s="7">
        <v>0</v>
      </c>
      <c r="I513" s="7">
        <v>0</v>
      </c>
      <c r="J513" s="7">
        <v>0</v>
      </c>
      <c r="K513" s="7">
        <v>0</v>
      </c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</row>
    <row r="514" spans="1:17">
      <c r="A514" s="2">
        <v>2462</v>
      </c>
      <c r="B514" s="7">
        <v>0</v>
      </c>
      <c r="C514" s="7">
        <v>0</v>
      </c>
      <c r="D514" s="7">
        <v>0</v>
      </c>
      <c r="E514" s="7">
        <v>0</v>
      </c>
      <c r="F514" s="7">
        <v>0</v>
      </c>
      <c r="G514" s="7">
        <v>0</v>
      </c>
      <c r="H514" s="7">
        <v>0</v>
      </c>
      <c r="I514" s="7">
        <v>0</v>
      </c>
      <c r="J514" s="7">
        <v>0</v>
      </c>
      <c r="K514" s="7">
        <v>0</v>
      </c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</row>
    <row r="515" spans="1:17">
      <c r="A515" s="2">
        <v>2463</v>
      </c>
      <c r="B515" s="7">
        <v>0</v>
      </c>
      <c r="C515" s="7">
        <v>0</v>
      </c>
      <c r="D515" s="7">
        <v>0</v>
      </c>
      <c r="E515" s="7">
        <v>0</v>
      </c>
      <c r="F515" s="7">
        <v>0</v>
      </c>
      <c r="G515" s="7">
        <v>0</v>
      </c>
      <c r="H515" s="7">
        <v>0</v>
      </c>
      <c r="I515" s="7">
        <v>0</v>
      </c>
      <c r="J515" s="7">
        <v>0</v>
      </c>
      <c r="K515" s="7">
        <v>0</v>
      </c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</row>
    <row r="516" spans="1:17">
      <c r="A516" s="2">
        <v>2464</v>
      </c>
      <c r="B516" s="7">
        <v>0</v>
      </c>
      <c r="C516" s="7">
        <v>0</v>
      </c>
      <c r="D516" s="7">
        <v>0</v>
      </c>
      <c r="E516" s="7">
        <v>0</v>
      </c>
      <c r="F516" s="7">
        <v>0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</row>
    <row r="517" spans="1:17">
      <c r="A517" s="2">
        <v>2465</v>
      </c>
      <c r="B517" s="7">
        <v>0</v>
      </c>
      <c r="C517" s="7">
        <v>0</v>
      </c>
      <c r="D517" s="7">
        <v>0</v>
      </c>
      <c r="E517" s="7">
        <v>0</v>
      </c>
      <c r="F517" s="7">
        <v>0</v>
      </c>
      <c r="G517" s="7">
        <v>0</v>
      </c>
      <c r="H517" s="7">
        <v>0</v>
      </c>
      <c r="I517" s="7">
        <v>0</v>
      </c>
      <c r="J517" s="7">
        <v>0</v>
      </c>
      <c r="K517" s="7">
        <v>0</v>
      </c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</row>
    <row r="518" spans="1:17">
      <c r="A518" s="2">
        <v>2466</v>
      </c>
      <c r="B518" s="7">
        <v>0</v>
      </c>
      <c r="C518" s="7">
        <v>0</v>
      </c>
      <c r="D518" s="7">
        <v>0</v>
      </c>
      <c r="E518" s="7">
        <v>0</v>
      </c>
      <c r="F518" s="7">
        <v>0</v>
      </c>
      <c r="G518" s="7">
        <v>0</v>
      </c>
      <c r="H518" s="7">
        <v>0</v>
      </c>
      <c r="I518" s="7">
        <v>0</v>
      </c>
      <c r="J518" s="7">
        <v>0</v>
      </c>
      <c r="K518" s="7">
        <v>0</v>
      </c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</row>
    <row r="519" spans="1:17">
      <c r="A519" s="2">
        <v>2467</v>
      </c>
      <c r="B519" s="7">
        <v>0</v>
      </c>
      <c r="C519" s="7">
        <v>0</v>
      </c>
      <c r="D519" s="7">
        <v>0</v>
      </c>
      <c r="E519" s="7">
        <v>0</v>
      </c>
      <c r="F519" s="7">
        <v>0</v>
      </c>
      <c r="G519" s="7">
        <v>0</v>
      </c>
      <c r="H519" s="7">
        <v>0</v>
      </c>
      <c r="I519" s="7">
        <v>0</v>
      </c>
      <c r="J519" s="7">
        <v>0</v>
      </c>
      <c r="K519" s="7">
        <v>0</v>
      </c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</row>
    <row r="520" spans="1:17">
      <c r="A520" s="2">
        <v>2468</v>
      </c>
      <c r="B520" s="7">
        <v>0</v>
      </c>
      <c r="C520" s="7">
        <v>0</v>
      </c>
      <c r="D520" s="7">
        <v>0</v>
      </c>
      <c r="E520" s="7">
        <v>0</v>
      </c>
      <c r="F520" s="7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</row>
    <row r="521" spans="1:17">
      <c r="A521" s="2">
        <v>2469</v>
      </c>
      <c r="B521" s="7">
        <v>0</v>
      </c>
      <c r="C521" s="7">
        <v>0</v>
      </c>
      <c r="D521" s="7">
        <v>0</v>
      </c>
      <c r="E521" s="7">
        <v>0</v>
      </c>
      <c r="F521" s="7">
        <v>0</v>
      </c>
      <c r="G521" s="7">
        <v>0</v>
      </c>
      <c r="H521" s="7">
        <v>0</v>
      </c>
      <c r="I521" s="7">
        <v>0</v>
      </c>
      <c r="J521" s="7">
        <v>0</v>
      </c>
      <c r="K521" s="7">
        <v>0</v>
      </c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</row>
    <row r="522" spans="1:17">
      <c r="A522" s="2">
        <v>2470</v>
      </c>
      <c r="B522" s="7">
        <v>0</v>
      </c>
      <c r="C522" s="7">
        <v>0</v>
      </c>
      <c r="D522" s="7">
        <v>0</v>
      </c>
      <c r="E522" s="7">
        <v>0</v>
      </c>
      <c r="F522" s="7">
        <v>0</v>
      </c>
      <c r="G522" s="7">
        <v>0</v>
      </c>
      <c r="H522" s="7">
        <v>0</v>
      </c>
      <c r="I522" s="7">
        <v>0</v>
      </c>
      <c r="J522" s="7">
        <v>0</v>
      </c>
      <c r="K522" s="7">
        <v>0</v>
      </c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</row>
    <row r="523" spans="1:17">
      <c r="A523" s="2">
        <v>2471</v>
      </c>
      <c r="B523" s="7">
        <v>0</v>
      </c>
      <c r="C523" s="7">
        <v>0</v>
      </c>
      <c r="D523" s="7">
        <v>0</v>
      </c>
      <c r="E523" s="7">
        <v>0</v>
      </c>
      <c r="F523" s="7">
        <v>0</v>
      </c>
      <c r="G523" s="7">
        <v>0</v>
      </c>
      <c r="H523" s="7">
        <v>0</v>
      </c>
      <c r="I523" s="7">
        <v>0</v>
      </c>
      <c r="J523" s="7">
        <v>0</v>
      </c>
      <c r="K523" s="7">
        <v>0</v>
      </c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</row>
    <row r="524" spans="1:17">
      <c r="A524" s="2">
        <v>2472</v>
      </c>
      <c r="B524" s="7">
        <v>0</v>
      </c>
      <c r="C524" s="7">
        <v>0</v>
      </c>
      <c r="D524" s="7">
        <v>0</v>
      </c>
      <c r="E524" s="7">
        <v>0</v>
      </c>
      <c r="F524" s="7">
        <v>0</v>
      </c>
      <c r="G524" s="7">
        <v>0</v>
      </c>
      <c r="H524" s="7">
        <v>0</v>
      </c>
      <c r="I524" s="7">
        <v>0</v>
      </c>
      <c r="J524" s="7">
        <v>0</v>
      </c>
      <c r="K524" s="7">
        <v>0</v>
      </c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</row>
    <row r="525" spans="1:17">
      <c r="A525" s="2">
        <v>2473</v>
      </c>
      <c r="B525" s="7">
        <v>0</v>
      </c>
      <c r="C525" s="7">
        <v>0</v>
      </c>
      <c r="D525" s="7">
        <v>0</v>
      </c>
      <c r="E525" s="7">
        <v>0</v>
      </c>
      <c r="F525" s="7">
        <v>0</v>
      </c>
      <c r="G525" s="7">
        <v>0</v>
      </c>
      <c r="H525" s="7">
        <v>0</v>
      </c>
      <c r="I525" s="7">
        <v>0</v>
      </c>
      <c r="J525" s="7">
        <v>0</v>
      </c>
      <c r="K525" s="7">
        <v>0</v>
      </c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</row>
    <row r="526" spans="1:17">
      <c r="A526" s="2">
        <v>2474</v>
      </c>
      <c r="B526" s="7">
        <v>0</v>
      </c>
      <c r="C526" s="7">
        <v>0</v>
      </c>
      <c r="D526" s="7">
        <v>0</v>
      </c>
      <c r="E526" s="7">
        <v>0</v>
      </c>
      <c r="F526" s="7">
        <v>0</v>
      </c>
      <c r="G526" s="7">
        <v>0</v>
      </c>
      <c r="H526" s="7">
        <v>0</v>
      </c>
      <c r="I526" s="7">
        <v>0</v>
      </c>
      <c r="J526" s="7">
        <v>0</v>
      </c>
      <c r="K526" s="7">
        <v>0</v>
      </c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</row>
    <row r="527" spans="1:17">
      <c r="A527" s="2">
        <v>2475</v>
      </c>
      <c r="B527" s="7">
        <v>0</v>
      </c>
      <c r="C527" s="7">
        <v>0</v>
      </c>
      <c r="D527" s="7">
        <v>0</v>
      </c>
      <c r="E527" s="7">
        <v>0</v>
      </c>
      <c r="F527" s="7">
        <v>0</v>
      </c>
      <c r="G527" s="7">
        <v>0</v>
      </c>
      <c r="H527" s="7">
        <v>0</v>
      </c>
      <c r="I527" s="7">
        <v>0</v>
      </c>
      <c r="J527" s="7">
        <v>0</v>
      </c>
      <c r="K527" s="7">
        <v>0</v>
      </c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</row>
    <row r="528" spans="1:17">
      <c r="A528" s="2">
        <v>2476</v>
      </c>
      <c r="B528" s="7">
        <v>0</v>
      </c>
      <c r="C528" s="7">
        <v>0</v>
      </c>
      <c r="D528" s="7">
        <v>0</v>
      </c>
      <c r="E528" s="7">
        <v>0</v>
      </c>
      <c r="F528" s="7">
        <v>0</v>
      </c>
      <c r="G528" s="7">
        <v>0</v>
      </c>
      <c r="H528" s="7">
        <v>0</v>
      </c>
      <c r="I528" s="7">
        <v>0</v>
      </c>
      <c r="J528" s="7">
        <v>0</v>
      </c>
      <c r="K528" s="7">
        <v>0</v>
      </c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</row>
    <row r="529" spans="1:17">
      <c r="A529" s="2">
        <v>2477</v>
      </c>
      <c r="B529" s="7">
        <v>0</v>
      </c>
      <c r="C529" s="7">
        <v>0</v>
      </c>
      <c r="D529" s="7">
        <v>0</v>
      </c>
      <c r="E529" s="7">
        <v>0</v>
      </c>
      <c r="F529" s="7">
        <v>0</v>
      </c>
      <c r="G529" s="7">
        <v>0</v>
      </c>
      <c r="H529" s="7">
        <v>0</v>
      </c>
      <c r="I529" s="7">
        <v>0</v>
      </c>
      <c r="J529" s="7">
        <v>0</v>
      </c>
      <c r="K529" s="7">
        <v>0</v>
      </c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</row>
    <row r="530" spans="1:17">
      <c r="A530" s="2">
        <v>2478</v>
      </c>
      <c r="B530" s="7">
        <v>0</v>
      </c>
      <c r="C530" s="7">
        <v>0</v>
      </c>
      <c r="D530" s="7">
        <v>0</v>
      </c>
      <c r="E530" s="7">
        <v>0</v>
      </c>
      <c r="F530" s="7">
        <v>0</v>
      </c>
      <c r="G530" s="7">
        <v>0</v>
      </c>
      <c r="H530" s="7">
        <v>0</v>
      </c>
      <c r="I530" s="7">
        <v>0</v>
      </c>
      <c r="J530" s="7">
        <v>0</v>
      </c>
      <c r="K530" s="7">
        <v>0</v>
      </c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</row>
    <row r="531" spans="1:17">
      <c r="A531" s="2">
        <v>2479</v>
      </c>
      <c r="B531" s="7">
        <v>0</v>
      </c>
      <c r="C531" s="7">
        <v>0</v>
      </c>
      <c r="D531" s="7">
        <v>0</v>
      </c>
      <c r="E531" s="7">
        <v>0</v>
      </c>
      <c r="F531" s="7">
        <v>0</v>
      </c>
      <c r="G531" s="7">
        <v>0</v>
      </c>
      <c r="H531" s="7">
        <v>0</v>
      </c>
      <c r="I531" s="7">
        <v>0</v>
      </c>
      <c r="J531" s="7">
        <v>0</v>
      </c>
      <c r="K531" s="7">
        <v>0</v>
      </c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</row>
    <row r="532" spans="1:17">
      <c r="A532" s="2">
        <v>2480</v>
      </c>
      <c r="B532" s="7">
        <v>0</v>
      </c>
      <c r="C532" s="7">
        <v>0</v>
      </c>
      <c r="D532" s="7">
        <v>0</v>
      </c>
      <c r="E532" s="7">
        <v>0</v>
      </c>
      <c r="F532" s="7">
        <v>0</v>
      </c>
      <c r="G532" s="7">
        <v>0</v>
      </c>
      <c r="H532" s="7">
        <v>0</v>
      </c>
      <c r="I532" s="7">
        <v>0</v>
      </c>
      <c r="J532" s="7">
        <v>0</v>
      </c>
      <c r="K532" s="7">
        <v>0</v>
      </c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</row>
    <row r="533" spans="1:17">
      <c r="A533" s="2">
        <v>2481</v>
      </c>
      <c r="B533" s="7">
        <v>0</v>
      </c>
      <c r="C533" s="7">
        <v>0</v>
      </c>
      <c r="D533" s="7">
        <v>0</v>
      </c>
      <c r="E533" s="7">
        <v>0</v>
      </c>
      <c r="F533" s="7">
        <v>0</v>
      </c>
      <c r="G533" s="7">
        <v>0</v>
      </c>
      <c r="H533" s="7">
        <v>0</v>
      </c>
      <c r="I533" s="7">
        <v>0</v>
      </c>
      <c r="J533" s="7">
        <v>0</v>
      </c>
      <c r="K533" s="7">
        <v>0</v>
      </c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</row>
    <row r="534" spans="1:17">
      <c r="A534" s="2">
        <v>2482</v>
      </c>
      <c r="B534" s="7">
        <v>0</v>
      </c>
      <c r="C534" s="7">
        <v>0</v>
      </c>
      <c r="D534" s="7">
        <v>0</v>
      </c>
      <c r="E534" s="7">
        <v>0</v>
      </c>
      <c r="F534" s="7">
        <v>0</v>
      </c>
      <c r="G534" s="7">
        <v>0</v>
      </c>
      <c r="H534" s="7">
        <v>0</v>
      </c>
      <c r="I534" s="7">
        <v>0</v>
      </c>
      <c r="J534" s="7">
        <v>0</v>
      </c>
      <c r="K534" s="7">
        <v>0</v>
      </c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</row>
    <row r="535" spans="1:17">
      <c r="A535" s="2">
        <v>2483</v>
      </c>
      <c r="B535" s="7">
        <v>0</v>
      </c>
      <c r="C535" s="7">
        <v>0</v>
      </c>
      <c r="D535" s="7">
        <v>0</v>
      </c>
      <c r="E535" s="7">
        <v>0</v>
      </c>
      <c r="F535" s="7">
        <v>0</v>
      </c>
      <c r="G535" s="7">
        <v>0</v>
      </c>
      <c r="H535" s="7">
        <v>0</v>
      </c>
      <c r="I535" s="7">
        <v>0</v>
      </c>
      <c r="J535" s="7">
        <v>0</v>
      </c>
      <c r="K535" s="7">
        <v>0</v>
      </c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</row>
    <row r="536" spans="1:17">
      <c r="A536" s="2">
        <v>2484</v>
      </c>
      <c r="B536" s="7">
        <v>0</v>
      </c>
      <c r="C536" s="7">
        <v>0</v>
      </c>
      <c r="D536" s="7">
        <v>0</v>
      </c>
      <c r="E536" s="7">
        <v>0</v>
      </c>
      <c r="F536" s="7">
        <v>0</v>
      </c>
      <c r="G536" s="7">
        <v>0</v>
      </c>
      <c r="H536" s="7">
        <v>0</v>
      </c>
      <c r="I536" s="7">
        <v>0</v>
      </c>
      <c r="J536" s="7">
        <v>0</v>
      </c>
      <c r="K536" s="7">
        <v>0</v>
      </c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</row>
    <row r="537" spans="1:17">
      <c r="A537" s="2">
        <v>2485</v>
      </c>
      <c r="B537" s="7">
        <v>0</v>
      </c>
      <c r="C537" s="7">
        <v>0</v>
      </c>
      <c r="D537" s="7">
        <v>0</v>
      </c>
      <c r="E537" s="7">
        <v>0</v>
      </c>
      <c r="F537" s="7">
        <v>0</v>
      </c>
      <c r="G537" s="7">
        <v>0</v>
      </c>
      <c r="H537" s="7">
        <v>0</v>
      </c>
      <c r="I537" s="7">
        <v>0</v>
      </c>
      <c r="J537" s="7">
        <v>0</v>
      </c>
      <c r="K537" s="7">
        <v>0</v>
      </c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</row>
    <row r="538" spans="1:17">
      <c r="A538" s="2">
        <v>2486</v>
      </c>
      <c r="B538" s="7">
        <v>0</v>
      </c>
      <c r="C538" s="7">
        <v>0</v>
      </c>
      <c r="D538" s="7">
        <v>0</v>
      </c>
      <c r="E538" s="7">
        <v>0</v>
      </c>
      <c r="F538" s="7">
        <v>0</v>
      </c>
      <c r="G538" s="7">
        <v>0</v>
      </c>
      <c r="H538" s="7">
        <v>0</v>
      </c>
      <c r="I538" s="7">
        <v>0</v>
      </c>
      <c r="J538" s="7">
        <v>0</v>
      </c>
      <c r="K538" s="7">
        <v>0</v>
      </c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</row>
    <row r="539" spans="1:17">
      <c r="A539" s="2">
        <v>2487</v>
      </c>
      <c r="B539" s="7">
        <v>0</v>
      </c>
      <c r="C539" s="7">
        <v>0</v>
      </c>
      <c r="D539" s="7">
        <v>0</v>
      </c>
      <c r="E539" s="7">
        <v>0</v>
      </c>
      <c r="F539" s="7">
        <v>0</v>
      </c>
      <c r="G539" s="7">
        <v>0</v>
      </c>
      <c r="H539" s="7">
        <v>0</v>
      </c>
      <c r="I539" s="7">
        <v>0</v>
      </c>
      <c r="J539" s="7">
        <v>0</v>
      </c>
      <c r="K539" s="7">
        <v>0</v>
      </c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</row>
    <row r="540" spans="1:17">
      <c r="A540" s="2">
        <v>2488</v>
      </c>
      <c r="B540" s="7">
        <v>0</v>
      </c>
      <c r="C540" s="7">
        <v>0</v>
      </c>
      <c r="D540" s="7">
        <v>0</v>
      </c>
      <c r="E540" s="7">
        <v>0</v>
      </c>
      <c r="F540" s="7">
        <v>0</v>
      </c>
      <c r="G540" s="7">
        <v>0</v>
      </c>
      <c r="H540" s="7">
        <v>0</v>
      </c>
      <c r="I540" s="7">
        <v>0</v>
      </c>
      <c r="J540" s="7">
        <v>0</v>
      </c>
      <c r="K540" s="7">
        <v>0</v>
      </c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</row>
    <row r="541" spans="1:17">
      <c r="A541" s="2">
        <v>2489</v>
      </c>
      <c r="B541" s="7">
        <v>0</v>
      </c>
      <c r="C541" s="7">
        <v>0</v>
      </c>
      <c r="D541" s="7">
        <v>0</v>
      </c>
      <c r="E541" s="7">
        <v>0</v>
      </c>
      <c r="F541" s="7">
        <v>0</v>
      </c>
      <c r="G541" s="7">
        <v>0</v>
      </c>
      <c r="H541" s="7">
        <v>0</v>
      </c>
      <c r="I541" s="7">
        <v>0</v>
      </c>
      <c r="J541" s="7">
        <v>0</v>
      </c>
      <c r="K541" s="7">
        <v>0</v>
      </c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</row>
    <row r="542" spans="1:17">
      <c r="A542" s="2">
        <v>2490</v>
      </c>
      <c r="B542" s="7">
        <v>0</v>
      </c>
      <c r="C542" s="7">
        <v>0</v>
      </c>
      <c r="D542" s="7">
        <v>0</v>
      </c>
      <c r="E542" s="7">
        <v>0</v>
      </c>
      <c r="F542" s="7">
        <v>0</v>
      </c>
      <c r="G542" s="7">
        <v>0</v>
      </c>
      <c r="H542" s="7">
        <v>0</v>
      </c>
      <c r="I542" s="7">
        <v>0</v>
      </c>
      <c r="J542" s="7">
        <v>0</v>
      </c>
      <c r="K542" s="7">
        <v>0</v>
      </c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</row>
    <row r="543" spans="1:17">
      <c r="A543" s="2">
        <v>2491</v>
      </c>
      <c r="B543" s="7">
        <v>0</v>
      </c>
      <c r="C543" s="7">
        <v>0</v>
      </c>
      <c r="D543" s="7">
        <v>0</v>
      </c>
      <c r="E543" s="7">
        <v>0</v>
      </c>
      <c r="F543" s="7">
        <v>0</v>
      </c>
      <c r="G543" s="7">
        <v>0</v>
      </c>
      <c r="H543" s="7">
        <v>0</v>
      </c>
      <c r="I543" s="7">
        <v>0</v>
      </c>
      <c r="J543" s="7">
        <v>0</v>
      </c>
      <c r="K543" s="7">
        <v>0</v>
      </c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</row>
    <row r="544" spans="1:17">
      <c r="A544" s="2">
        <v>2492</v>
      </c>
      <c r="B544" s="7">
        <v>0</v>
      </c>
      <c r="C544" s="7">
        <v>0</v>
      </c>
      <c r="D544" s="7">
        <v>0</v>
      </c>
      <c r="E544" s="7">
        <v>0</v>
      </c>
      <c r="F544" s="7">
        <v>0</v>
      </c>
      <c r="G544" s="7">
        <v>0</v>
      </c>
      <c r="H544" s="7">
        <v>0</v>
      </c>
      <c r="I544" s="7">
        <v>0</v>
      </c>
      <c r="J544" s="7">
        <v>0</v>
      </c>
      <c r="K544" s="7">
        <v>0</v>
      </c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</row>
    <row r="545" spans="1:17">
      <c r="A545" s="2">
        <v>2493</v>
      </c>
      <c r="B545" s="7">
        <v>0</v>
      </c>
      <c r="C545" s="7">
        <v>0</v>
      </c>
      <c r="D545" s="7">
        <v>0</v>
      </c>
      <c r="E545" s="7">
        <v>0</v>
      </c>
      <c r="F545" s="7">
        <v>0</v>
      </c>
      <c r="G545" s="7">
        <v>0</v>
      </c>
      <c r="H545" s="7">
        <v>0</v>
      </c>
      <c r="I545" s="7">
        <v>0</v>
      </c>
      <c r="J545" s="7">
        <v>0</v>
      </c>
      <c r="K545" s="7">
        <v>0</v>
      </c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</row>
    <row r="546" spans="1:17">
      <c r="A546" s="2">
        <v>2494</v>
      </c>
      <c r="B546" s="7">
        <v>0</v>
      </c>
      <c r="C546" s="7">
        <v>0</v>
      </c>
      <c r="D546" s="7">
        <v>0</v>
      </c>
      <c r="E546" s="7">
        <v>0</v>
      </c>
      <c r="F546" s="7">
        <v>0</v>
      </c>
      <c r="G546" s="7">
        <v>0</v>
      </c>
      <c r="H546" s="7">
        <v>0</v>
      </c>
      <c r="I546" s="7">
        <v>0</v>
      </c>
      <c r="J546" s="7">
        <v>0</v>
      </c>
      <c r="K546" s="7">
        <v>0</v>
      </c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</row>
    <row r="547" spans="1:17">
      <c r="A547" s="2">
        <v>2495</v>
      </c>
      <c r="B547" s="7">
        <v>0</v>
      </c>
      <c r="C547" s="7">
        <v>0</v>
      </c>
      <c r="D547" s="7">
        <v>0</v>
      </c>
      <c r="E547" s="7">
        <v>0</v>
      </c>
      <c r="F547" s="7">
        <v>0</v>
      </c>
      <c r="G547" s="7">
        <v>0</v>
      </c>
      <c r="H547" s="7">
        <v>0</v>
      </c>
      <c r="I547" s="7">
        <v>0</v>
      </c>
      <c r="J547" s="7">
        <v>0</v>
      </c>
      <c r="K547" s="7">
        <v>0</v>
      </c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</row>
    <row r="548" spans="1:17">
      <c r="A548" s="2">
        <v>2496</v>
      </c>
      <c r="B548" s="7">
        <v>0</v>
      </c>
      <c r="C548" s="7">
        <v>0</v>
      </c>
      <c r="D548" s="7">
        <v>0</v>
      </c>
      <c r="E548" s="7">
        <v>0</v>
      </c>
      <c r="F548" s="7">
        <v>0</v>
      </c>
      <c r="G548" s="7">
        <v>0</v>
      </c>
      <c r="H548" s="7">
        <v>0</v>
      </c>
      <c r="I548" s="7">
        <v>0</v>
      </c>
      <c r="J548" s="7">
        <v>0</v>
      </c>
      <c r="K548" s="7">
        <v>0</v>
      </c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</row>
    <row r="549" spans="1:17">
      <c r="A549" s="2">
        <v>2497</v>
      </c>
      <c r="B549" s="7">
        <v>0</v>
      </c>
      <c r="C549" s="7">
        <v>0</v>
      </c>
      <c r="D549" s="7">
        <v>0</v>
      </c>
      <c r="E549" s="7">
        <v>0</v>
      </c>
      <c r="F549" s="7">
        <v>0</v>
      </c>
      <c r="G549" s="7">
        <v>0</v>
      </c>
      <c r="H549" s="7">
        <v>0</v>
      </c>
      <c r="I549" s="7">
        <v>0</v>
      </c>
      <c r="J549" s="7">
        <v>0</v>
      </c>
      <c r="K549" s="7">
        <v>0</v>
      </c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</row>
    <row r="550" spans="1:17">
      <c r="A550" s="2">
        <v>2498</v>
      </c>
      <c r="B550" s="7">
        <v>0</v>
      </c>
      <c r="C550" s="7">
        <v>0</v>
      </c>
      <c r="D550" s="7">
        <v>0</v>
      </c>
      <c r="E550" s="7">
        <v>0</v>
      </c>
      <c r="F550" s="7">
        <v>0</v>
      </c>
      <c r="G550" s="7">
        <v>0</v>
      </c>
      <c r="H550" s="7">
        <v>0</v>
      </c>
      <c r="I550" s="7">
        <v>0</v>
      </c>
      <c r="J550" s="7">
        <v>0</v>
      </c>
      <c r="K550" s="7">
        <v>0</v>
      </c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</row>
    <row r="551" spans="1:17">
      <c r="A551" s="2">
        <v>2499</v>
      </c>
      <c r="B551" s="7">
        <v>0</v>
      </c>
      <c r="C551" s="7">
        <v>0</v>
      </c>
      <c r="D551" s="7">
        <v>0</v>
      </c>
      <c r="E551" s="7">
        <v>0</v>
      </c>
      <c r="F551" s="7">
        <v>0</v>
      </c>
      <c r="G551" s="7">
        <v>0</v>
      </c>
      <c r="H551" s="7">
        <v>0</v>
      </c>
      <c r="I551" s="7">
        <v>0</v>
      </c>
      <c r="J551" s="7">
        <v>0</v>
      </c>
      <c r="K551" s="7">
        <v>0</v>
      </c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</row>
    <row r="552" spans="1:17">
      <c r="A552" s="2">
        <v>2500</v>
      </c>
      <c r="B552" s="7">
        <v>0</v>
      </c>
      <c r="C552" s="7">
        <v>0</v>
      </c>
      <c r="D552" s="7">
        <v>0</v>
      </c>
      <c r="E552" s="7">
        <v>0</v>
      </c>
      <c r="F552" s="7">
        <v>0</v>
      </c>
      <c r="G552" s="7">
        <v>0</v>
      </c>
      <c r="H552" s="7">
        <v>0</v>
      </c>
      <c r="I552" s="7">
        <v>0</v>
      </c>
      <c r="J552" s="7">
        <v>0</v>
      </c>
      <c r="K552" s="7">
        <v>0</v>
      </c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</row>
    <row r="553" spans="1:17">
      <c r="A553" s="2">
        <v>2501</v>
      </c>
      <c r="B553" s="7">
        <v>0</v>
      </c>
      <c r="C553" s="7">
        <v>0</v>
      </c>
      <c r="D553" s="7">
        <v>0</v>
      </c>
      <c r="E553" s="7">
        <v>0</v>
      </c>
      <c r="F553" s="7">
        <v>0</v>
      </c>
      <c r="G553" s="7">
        <v>0</v>
      </c>
      <c r="H553" s="7">
        <v>0</v>
      </c>
      <c r="I553" s="7">
        <v>0</v>
      </c>
      <c r="J553" s="7">
        <v>0</v>
      </c>
      <c r="K553" s="7">
        <v>0</v>
      </c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</row>
    <row r="554" spans="1:17">
      <c r="A554" s="2">
        <v>2502</v>
      </c>
      <c r="B554" s="7">
        <v>0</v>
      </c>
      <c r="C554" s="7">
        <v>0</v>
      </c>
      <c r="D554" s="7">
        <v>0</v>
      </c>
      <c r="E554" s="7">
        <v>0</v>
      </c>
      <c r="F554" s="7">
        <v>0</v>
      </c>
      <c r="G554" s="7">
        <v>0</v>
      </c>
      <c r="H554" s="7">
        <v>0</v>
      </c>
      <c r="I554" s="7">
        <v>0</v>
      </c>
      <c r="J554" s="7">
        <v>0</v>
      </c>
      <c r="K554" s="7">
        <v>0</v>
      </c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</row>
    <row r="555" spans="1:17">
      <c r="A555" s="2">
        <v>2503</v>
      </c>
      <c r="B555" s="7">
        <v>0</v>
      </c>
      <c r="C555" s="7">
        <v>0</v>
      </c>
      <c r="D555" s="7">
        <v>0</v>
      </c>
      <c r="E555" s="7">
        <v>0</v>
      </c>
      <c r="F555" s="7">
        <v>0</v>
      </c>
      <c r="G555" s="7">
        <v>0</v>
      </c>
      <c r="H555" s="7">
        <v>0</v>
      </c>
      <c r="I555" s="7">
        <v>0</v>
      </c>
      <c r="J555" s="7">
        <v>0</v>
      </c>
      <c r="K555" s="7">
        <v>0</v>
      </c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</row>
    <row r="556" spans="1:17">
      <c r="A556" s="2">
        <v>2504</v>
      </c>
      <c r="B556" s="7">
        <v>0</v>
      </c>
      <c r="C556" s="7">
        <v>0</v>
      </c>
      <c r="D556" s="7">
        <v>0</v>
      </c>
      <c r="E556" s="7">
        <v>0</v>
      </c>
      <c r="F556" s="7">
        <v>0</v>
      </c>
      <c r="G556" s="7">
        <v>0</v>
      </c>
      <c r="H556" s="7">
        <v>0</v>
      </c>
      <c r="I556" s="7">
        <v>0</v>
      </c>
      <c r="J556" s="7">
        <v>0</v>
      </c>
      <c r="K556" s="7">
        <v>0</v>
      </c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</row>
    <row r="557" spans="1:17">
      <c r="A557" s="2">
        <v>2505</v>
      </c>
      <c r="B557" s="7">
        <v>0</v>
      </c>
      <c r="C557" s="7">
        <v>0</v>
      </c>
      <c r="D557" s="7">
        <v>0</v>
      </c>
      <c r="E557" s="7">
        <v>0</v>
      </c>
      <c r="F557" s="7">
        <v>0</v>
      </c>
      <c r="G557" s="7">
        <v>0</v>
      </c>
      <c r="H557" s="7">
        <v>0</v>
      </c>
      <c r="I557" s="7">
        <v>0</v>
      </c>
      <c r="J557" s="7">
        <v>0</v>
      </c>
      <c r="K557" s="7">
        <v>0</v>
      </c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</row>
    <row r="558" spans="1:17">
      <c r="A558" s="2">
        <v>2506</v>
      </c>
      <c r="B558" s="7">
        <v>0</v>
      </c>
      <c r="C558" s="7">
        <v>0</v>
      </c>
      <c r="D558" s="7">
        <v>0</v>
      </c>
      <c r="E558" s="7">
        <v>0</v>
      </c>
      <c r="F558" s="7">
        <v>0</v>
      </c>
      <c r="G558" s="7">
        <v>0</v>
      </c>
      <c r="H558" s="7">
        <v>0</v>
      </c>
      <c r="I558" s="7">
        <v>0</v>
      </c>
      <c r="J558" s="7">
        <v>0</v>
      </c>
      <c r="K558" s="7">
        <v>0</v>
      </c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</row>
    <row r="559" spans="1:17">
      <c r="A559" s="2">
        <v>2507</v>
      </c>
      <c r="B559" s="7">
        <v>0</v>
      </c>
      <c r="C559" s="7">
        <v>0</v>
      </c>
      <c r="D559" s="7">
        <v>0</v>
      </c>
      <c r="E559" s="7">
        <v>0</v>
      </c>
      <c r="F559" s="7">
        <v>0</v>
      </c>
      <c r="G559" s="7">
        <v>0</v>
      </c>
      <c r="H559" s="7">
        <v>0</v>
      </c>
      <c r="I559" s="7">
        <v>0</v>
      </c>
      <c r="J559" s="7">
        <v>0</v>
      </c>
      <c r="K559" s="7">
        <v>0</v>
      </c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</row>
    <row r="560" spans="1:17">
      <c r="A560" s="2">
        <v>2508</v>
      </c>
      <c r="B560" s="7">
        <v>0</v>
      </c>
      <c r="C560" s="7">
        <v>0</v>
      </c>
      <c r="D560" s="7">
        <v>0</v>
      </c>
      <c r="E560" s="7">
        <v>0</v>
      </c>
      <c r="F560" s="7">
        <v>0</v>
      </c>
      <c r="G560" s="7">
        <v>0</v>
      </c>
      <c r="H560" s="7">
        <v>0</v>
      </c>
      <c r="I560" s="7">
        <v>0</v>
      </c>
      <c r="J560" s="7">
        <v>0</v>
      </c>
      <c r="K560" s="7">
        <v>0</v>
      </c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</row>
    <row r="561" spans="1:17">
      <c r="A561" s="2">
        <v>2509</v>
      </c>
      <c r="B561" s="7">
        <v>0</v>
      </c>
      <c r="C561" s="7">
        <v>0</v>
      </c>
      <c r="D561" s="7">
        <v>0</v>
      </c>
      <c r="E561" s="7">
        <v>0</v>
      </c>
      <c r="F561" s="7">
        <v>0</v>
      </c>
      <c r="G561" s="7">
        <v>0</v>
      </c>
      <c r="H561" s="7">
        <v>0</v>
      </c>
      <c r="I561" s="7">
        <v>0</v>
      </c>
      <c r="J561" s="7">
        <v>0</v>
      </c>
      <c r="K561" s="7">
        <v>0</v>
      </c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</row>
    <row r="562" spans="1:17">
      <c r="A562" s="2">
        <v>2510</v>
      </c>
      <c r="B562" s="7">
        <v>0</v>
      </c>
      <c r="C562" s="7">
        <v>0</v>
      </c>
      <c r="D562" s="7">
        <v>0</v>
      </c>
      <c r="E562" s="7">
        <v>0</v>
      </c>
      <c r="F562" s="7">
        <v>0</v>
      </c>
      <c r="G562" s="7">
        <v>0</v>
      </c>
      <c r="H562" s="7">
        <v>0</v>
      </c>
      <c r="I562" s="7">
        <v>0</v>
      </c>
      <c r="J562" s="7">
        <v>0</v>
      </c>
      <c r="K562" s="7">
        <v>0</v>
      </c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</row>
    <row r="563" spans="1:17">
      <c r="A563" s="2">
        <v>2511</v>
      </c>
      <c r="B563" s="7">
        <v>0</v>
      </c>
      <c r="C563" s="7">
        <v>0</v>
      </c>
      <c r="D563" s="7">
        <v>0</v>
      </c>
      <c r="E563" s="7">
        <v>0</v>
      </c>
      <c r="F563" s="7">
        <v>0</v>
      </c>
      <c r="G563" s="7">
        <v>0</v>
      </c>
      <c r="H563" s="7">
        <v>0</v>
      </c>
      <c r="I563" s="7">
        <v>0</v>
      </c>
      <c r="J563" s="7">
        <v>0</v>
      </c>
      <c r="K563" s="7">
        <v>0</v>
      </c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</row>
    <row r="564" spans="1:17">
      <c r="A564" s="2">
        <v>2512</v>
      </c>
      <c r="B564" s="7">
        <v>0</v>
      </c>
      <c r="C564" s="7">
        <v>0</v>
      </c>
      <c r="D564" s="7">
        <v>0</v>
      </c>
      <c r="E564" s="7">
        <v>0</v>
      </c>
      <c r="F564" s="7">
        <v>0</v>
      </c>
      <c r="G564" s="7">
        <v>0</v>
      </c>
      <c r="H564" s="7">
        <v>0</v>
      </c>
      <c r="I564" s="7">
        <v>0</v>
      </c>
      <c r="J564" s="7">
        <v>0</v>
      </c>
      <c r="K564" s="7">
        <v>0</v>
      </c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</row>
    <row r="565" spans="1:17">
      <c r="A565" s="2">
        <v>2513</v>
      </c>
      <c r="B565" s="7">
        <v>0</v>
      </c>
      <c r="C565" s="7">
        <v>0</v>
      </c>
      <c r="D565" s="7">
        <v>0</v>
      </c>
      <c r="E565" s="7">
        <v>0</v>
      </c>
      <c r="F565" s="7">
        <v>0</v>
      </c>
      <c r="G565" s="7">
        <v>0</v>
      </c>
      <c r="H565" s="7">
        <v>0</v>
      </c>
      <c r="I565" s="7">
        <v>0</v>
      </c>
      <c r="J565" s="7">
        <v>0</v>
      </c>
      <c r="K565" s="7">
        <v>0</v>
      </c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</row>
    <row r="566" spans="1:17">
      <c r="A566" s="2">
        <v>2514</v>
      </c>
      <c r="B566" s="7">
        <v>0</v>
      </c>
      <c r="C566" s="7">
        <v>0</v>
      </c>
      <c r="D566" s="7">
        <v>0</v>
      </c>
      <c r="E566" s="7">
        <v>0</v>
      </c>
      <c r="F566" s="7">
        <v>0</v>
      </c>
      <c r="G566" s="7">
        <v>0</v>
      </c>
      <c r="H566" s="7">
        <v>0</v>
      </c>
      <c r="I566" s="7">
        <v>0</v>
      </c>
      <c r="J566" s="7">
        <v>0</v>
      </c>
      <c r="K566" s="7">
        <v>0</v>
      </c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</row>
    <row r="567" spans="1:17">
      <c r="A567" s="2">
        <v>2515</v>
      </c>
      <c r="B567" s="7">
        <v>0</v>
      </c>
      <c r="C567" s="7">
        <v>0</v>
      </c>
      <c r="D567" s="7">
        <v>0</v>
      </c>
      <c r="E567" s="7">
        <v>0</v>
      </c>
      <c r="F567" s="7">
        <v>0</v>
      </c>
      <c r="G567" s="7">
        <v>0</v>
      </c>
      <c r="H567" s="7">
        <v>0</v>
      </c>
      <c r="I567" s="7">
        <v>0</v>
      </c>
      <c r="J567" s="7">
        <v>0</v>
      </c>
      <c r="K567" s="7">
        <v>0</v>
      </c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</row>
    <row r="568" spans="1:17">
      <c r="A568" s="2">
        <v>2516</v>
      </c>
      <c r="B568" s="7">
        <v>0</v>
      </c>
      <c r="C568" s="7">
        <v>0</v>
      </c>
      <c r="D568" s="7">
        <v>0</v>
      </c>
      <c r="E568" s="7">
        <v>0</v>
      </c>
      <c r="F568" s="7">
        <v>0</v>
      </c>
      <c r="G568" s="7">
        <v>0</v>
      </c>
      <c r="H568" s="7">
        <v>0</v>
      </c>
      <c r="I568" s="7">
        <v>0</v>
      </c>
      <c r="J568" s="7">
        <v>0</v>
      </c>
      <c r="K568" s="7">
        <v>0</v>
      </c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</row>
    <row r="569" spans="1:17">
      <c r="A569" s="2">
        <v>2517</v>
      </c>
      <c r="B569" s="7">
        <v>0</v>
      </c>
      <c r="C569" s="7">
        <v>0</v>
      </c>
      <c r="D569" s="7">
        <v>0</v>
      </c>
      <c r="E569" s="7">
        <v>0</v>
      </c>
      <c r="F569" s="7">
        <v>0</v>
      </c>
      <c r="G569" s="7">
        <v>0</v>
      </c>
      <c r="H569" s="7">
        <v>0</v>
      </c>
      <c r="I569" s="7">
        <v>0</v>
      </c>
      <c r="J569" s="7">
        <v>0</v>
      </c>
      <c r="K569" s="7">
        <v>0</v>
      </c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</row>
    <row r="570" spans="1:17">
      <c r="A570" s="2">
        <v>2518</v>
      </c>
      <c r="B570" s="7">
        <v>0</v>
      </c>
      <c r="C570" s="7">
        <v>0</v>
      </c>
      <c r="D570" s="7">
        <v>0</v>
      </c>
      <c r="E570" s="7">
        <v>0</v>
      </c>
      <c r="F570" s="7">
        <v>0</v>
      </c>
      <c r="G570" s="7">
        <v>0</v>
      </c>
      <c r="H570" s="7">
        <v>0</v>
      </c>
      <c r="I570" s="7">
        <v>0</v>
      </c>
      <c r="J570" s="7">
        <v>0</v>
      </c>
      <c r="K570" s="7">
        <v>0</v>
      </c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</row>
    <row r="571" spans="1:17">
      <c r="A571" s="2">
        <v>2519</v>
      </c>
      <c r="B571" s="7">
        <v>0</v>
      </c>
      <c r="C571" s="7">
        <v>0</v>
      </c>
      <c r="D571" s="7">
        <v>0</v>
      </c>
      <c r="E571" s="7">
        <v>0</v>
      </c>
      <c r="F571" s="7">
        <v>0</v>
      </c>
      <c r="G571" s="7">
        <v>0</v>
      </c>
      <c r="H571" s="7">
        <v>0</v>
      </c>
      <c r="I571" s="7">
        <v>0</v>
      </c>
      <c r="J571" s="7">
        <v>0</v>
      </c>
      <c r="K571" s="7">
        <v>0</v>
      </c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</row>
    <row r="572" spans="1:17">
      <c r="A572" s="2">
        <v>2520</v>
      </c>
      <c r="B572" s="7">
        <v>0</v>
      </c>
      <c r="C572" s="7">
        <v>0</v>
      </c>
      <c r="D572" s="7">
        <v>0</v>
      </c>
      <c r="E572" s="7">
        <v>0</v>
      </c>
      <c r="F572" s="7">
        <v>0</v>
      </c>
      <c r="G572" s="7">
        <v>0</v>
      </c>
      <c r="H572" s="7">
        <v>0</v>
      </c>
      <c r="I572" s="7">
        <v>0</v>
      </c>
      <c r="J572" s="7">
        <v>0</v>
      </c>
      <c r="K572" s="7">
        <v>0</v>
      </c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</row>
    <row r="573" spans="1:17">
      <c r="A573" s="2">
        <v>2521</v>
      </c>
      <c r="B573" s="7">
        <v>0</v>
      </c>
      <c r="C573" s="7">
        <v>0</v>
      </c>
      <c r="D573" s="7">
        <v>0</v>
      </c>
      <c r="E573" s="7">
        <v>0</v>
      </c>
      <c r="F573" s="7">
        <v>0</v>
      </c>
      <c r="G573" s="7">
        <v>0</v>
      </c>
      <c r="H573" s="7">
        <v>0</v>
      </c>
      <c r="I573" s="7">
        <v>0</v>
      </c>
      <c r="J573" s="7">
        <v>0</v>
      </c>
      <c r="K573" s="7">
        <v>0</v>
      </c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</row>
    <row r="574" spans="1:17">
      <c r="A574" s="2">
        <v>2522</v>
      </c>
      <c r="B574" s="7">
        <v>0</v>
      </c>
      <c r="C574" s="7">
        <v>0</v>
      </c>
      <c r="D574" s="7">
        <v>0</v>
      </c>
      <c r="E574" s="7">
        <v>0</v>
      </c>
      <c r="F574" s="7">
        <v>0</v>
      </c>
      <c r="G574" s="7">
        <v>0</v>
      </c>
      <c r="H574" s="7">
        <v>0</v>
      </c>
      <c r="I574" s="7">
        <v>0</v>
      </c>
      <c r="J574" s="7">
        <v>0</v>
      </c>
      <c r="K574" s="7">
        <v>0</v>
      </c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</row>
    <row r="575" spans="1:17">
      <c r="A575" s="2">
        <v>2523</v>
      </c>
      <c r="B575" s="7">
        <v>0</v>
      </c>
      <c r="C575" s="7">
        <v>0</v>
      </c>
      <c r="D575" s="7">
        <v>0</v>
      </c>
      <c r="E575" s="7">
        <v>0</v>
      </c>
      <c r="F575" s="7">
        <v>0</v>
      </c>
      <c r="G575" s="7">
        <v>0</v>
      </c>
      <c r="H575" s="7">
        <v>0</v>
      </c>
      <c r="I575" s="7">
        <v>0</v>
      </c>
      <c r="J575" s="7">
        <v>0</v>
      </c>
      <c r="K575" s="7">
        <v>0</v>
      </c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</row>
    <row r="576" spans="1:17">
      <c r="A576" s="2">
        <v>2524</v>
      </c>
      <c r="B576" s="7">
        <v>0</v>
      </c>
      <c r="C576" s="7">
        <v>0</v>
      </c>
      <c r="D576" s="7">
        <v>0</v>
      </c>
      <c r="E576" s="7">
        <v>0</v>
      </c>
      <c r="F576" s="7">
        <v>0</v>
      </c>
      <c r="G576" s="7">
        <v>0</v>
      </c>
      <c r="H576" s="7">
        <v>0</v>
      </c>
      <c r="I576" s="7">
        <v>0</v>
      </c>
      <c r="J576" s="7">
        <v>0</v>
      </c>
      <c r="K576" s="7">
        <v>0</v>
      </c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</row>
    <row r="577" spans="1:17">
      <c r="A577" s="2">
        <v>2525</v>
      </c>
      <c r="B577" s="7">
        <v>0</v>
      </c>
      <c r="C577" s="7">
        <v>0</v>
      </c>
      <c r="D577" s="7">
        <v>0</v>
      </c>
      <c r="E577" s="7">
        <v>0</v>
      </c>
      <c r="F577" s="7">
        <v>0</v>
      </c>
      <c r="G577" s="7">
        <v>0</v>
      </c>
      <c r="H577" s="7">
        <v>0</v>
      </c>
      <c r="I577" s="7">
        <v>0</v>
      </c>
      <c r="J577" s="7">
        <v>0</v>
      </c>
      <c r="K577" s="7">
        <v>0</v>
      </c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</row>
    <row r="578" spans="1:17">
      <c r="A578" s="2">
        <v>2526</v>
      </c>
      <c r="B578" s="7">
        <v>0</v>
      </c>
      <c r="C578" s="7">
        <v>0</v>
      </c>
      <c r="D578" s="7">
        <v>0</v>
      </c>
      <c r="E578" s="7">
        <v>0</v>
      </c>
      <c r="F578" s="7">
        <v>0</v>
      </c>
      <c r="G578" s="7">
        <v>0</v>
      </c>
      <c r="H578" s="7">
        <v>0</v>
      </c>
      <c r="I578" s="7">
        <v>0</v>
      </c>
      <c r="J578" s="7">
        <v>0</v>
      </c>
      <c r="K578" s="7">
        <v>0</v>
      </c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</row>
    <row r="579" spans="1:17">
      <c r="A579" s="2">
        <v>2527</v>
      </c>
      <c r="B579" s="7">
        <v>0</v>
      </c>
      <c r="C579" s="7">
        <v>0</v>
      </c>
      <c r="D579" s="7">
        <v>0</v>
      </c>
      <c r="E579" s="7">
        <v>0</v>
      </c>
      <c r="F579" s="7">
        <v>0</v>
      </c>
      <c r="G579" s="7">
        <v>0</v>
      </c>
      <c r="H579" s="7">
        <v>0</v>
      </c>
      <c r="I579" s="7">
        <v>0</v>
      </c>
      <c r="J579" s="7">
        <v>0</v>
      </c>
      <c r="K579" s="7">
        <v>0</v>
      </c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</row>
    <row r="580" spans="1:17">
      <c r="A580" s="2">
        <v>2528</v>
      </c>
      <c r="B580" s="7">
        <v>0</v>
      </c>
      <c r="C580" s="7">
        <v>0</v>
      </c>
      <c r="D580" s="7">
        <v>0</v>
      </c>
      <c r="E580" s="7">
        <v>0</v>
      </c>
      <c r="F580" s="7">
        <v>0</v>
      </c>
      <c r="G580" s="7">
        <v>0</v>
      </c>
      <c r="H580" s="7">
        <v>0</v>
      </c>
      <c r="I580" s="7">
        <v>0</v>
      </c>
      <c r="J580" s="7">
        <v>0</v>
      </c>
      <c r="K580" s="7">
        <v>0</v>
      </c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</row>
    <row r="581" spans="1:17">
      <c r="A581" s="2">
        <v>2529</v>
      </c>
      <c r="B581" s="7">
        <v>0</v>
      </c>
      <c r="C581" s="7">
        <v>0</v>
      </c>
      <c r="D581" s="7">
        <v>0</v>
      </c>
      <c r="E581" s="7">
        <v>0</v>
      </c>
      <c r="F581" s="7">
        <v>0</v>
      </c>
      <c r="G581" s="7">
        <v>0</v>
      </c>
      <c r="H581" s="7">
        <v>0</v>
      </c>
      <c r="I581" s="7">
        <v>0</v>
      </c>
      <c r="J581" s="7">
        <v>0</v>
      </c>
      <c r="K581" s="7">
        <v>0</v>
      </c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</row>
    <row r="582" spans="1:17">
      <c r="A582" s="2">
        <v>2530</v>
      </c>
      <c r="B582" s="7">
        <v>0</v>
      </c>
      <c r="C582" s="7">
        <v>0</v>
      </c>
      <c r="D582" s="7">
        <v>0</v>
      </c>
      <c r="E582" s="7">
        <v>0</v>
      </c>
      <c r="F582" s="7">
        <v>0</v>
      </c>
      <c r="G582" s="7">
        <v>0</v>
      </c>
      <c r="H582" s="7">
        <v>0</v>
      </c>
      <c r="I582" s="7">
        <v>0</v>
      </c>
      <c r="J582" s="7">
        <v>0</v>
      </c>
      <c r="K582" s="7">
        <v>0</v>
      </c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</row>
    <row r="583" spans="1:17">
      <c r="A583" s="2">
        <v>2531</v>
      </c>
      <c r="B583" s="7">
        <v>0</v>
      </c>
      <c r="C583" s="7">
        <v>0</v>
      </c>
      <c r="D583" s="7">
        <v>0</v>
      </c>
      <c r="E583" s="7">
        <v>0</v>
      </c>
      <c r="F583" s="7">
        <v>0</v>
      </c>
      <c r="G583" s="7">
        <v>0</v>
      </c>
      <c r="H583" s="7">
        <v>0</v>
      </c>
      <c r="I583" s="7">
        <v>0</v>
      </c>
      <c r="J583" s="7">
        <v>0</v>
      </c>
      <c r="K583" s="7">
        <v>0</v>
      </c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</row>
    <row r="584" spans="1:17">
      <c r="A584" s="2">
        <v>2532</v>
      </c>
      <c r="B584" s="7">
        <v>0</v>
      </c>
      <c r="C584" s="7">
        <v>0</v>
      </c>
      <c r="D584" s="7">
        <v>0</v>
      </c>
      <c r="E584" s="7">
        <v>0</v>
      </c>
      <c r="F584" s="7">
        <v>0</v>
      </c>
      <c r="G584" s="7">
        <v>0</v>
      </c>
      <c r="H584" s="7">
        <v>0</v>
      </c>
      <c r="I584" s="7">
        <v>0</v>
      </c>
      <c r="J584" s="7">
        <v>0</v>
      </c>
      <c r="K584" s="7">
        <v>0</v>
      </c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</row>
    <row r="585" spans="1:17">
      <c r="A585" s="2">
        <v>2533</v>
      </c>
      <c r="B585" s="7">
        <v>0</v>
      </c>
      <c r="C585" s="7">
        <v>0</v>
      </c>
      <c r="D585" s="7">
        <v>0</v>
      </c>
      <c r="E585" s="7">
        <v>0</v>
      </c>
      <c r="F585" s="7">
        <v>0</v>
      </c>
      <c r="G585" s="7">
        <v>0</v>
      </c>
      <c r="H585" s="7">
        <v>0</v>
      </c>
      <c r="I585" s="7">
        <v>0</v>
      </c>
      <c r="J585" s="7">
        <v>0</v>
      </c>
      <c r="K585" s="7">
        <v>0</v>
      </c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</row>
    <row r="586" spans="1:17">
      <c r="A586" s="2">
        <v>2534</v>
      </c>
      <c r="B586" s="7">
        <v>0</v>
      </c>
      <c r="C586" s="7">
        <v>0</v>
      </c>
      <c r="D586" s="7">
        <v>0</v>
      </c>
      <c r="E586" s="7">
        <v>0</v>
      </c>
      <c r="F586" s="7">
        <v>0</v>
      </c>
      <c r="G586" s="7">
        <v>0</v>
      </c>
      <c r="H586" s="7">
        <v>0</v>
      </c>
      <c r="I586" s="7">
        <v>0</v>
      </c>
      <c r="J586" s="7">
        <v>0</v>
      </c>
      <c r="K586" s="7">
        <v>0</v>
      </c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</row>
    <row r="587" spans="1:17">
      <c r="A587" s="2">
        <v>2535</v>
      </c>
      <c r="B587" s="7">
        <v>0</v>
      </c>
      <c r="C587" s="7">
        <v>0</v>
      </c>
      <c r="D587" s="7">
        <v>0</v>
      </c>
      <c r="E587" s="7">
        <v>0</v>
      </c>
      <c r="F587" s="7">
        <v>0</v>
      </c>
      <c r="G587" s="7">
        <v>0</v>
      </c>
      <c r="H587" s="7">
        <v>0</v>
      </c>
      <c r="I587" s="7">
        <v>0</v>
      </c>
      <c r="J587" s="7">
        <v>0</v>
      </c>
      <c r="K587" s="7">
        <v>0</v>
      </c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</row>
    <row r="588" spans="1:17">
      <c r="A588" s="2">
        <v>2536</v>
      </c>
      <c r="B588" s="7">
        <v>0</v>
      </c>
      <c r="C588" s="7">
        <v>0</v>
      </c>
      <c r="D588" s="7">
        <v>0</v>
      </c>
      <c r="E588" s="7">
        <v>0</v>
      </c>
      <c r="F588" s="7">
        <v>0</v>
      </c>
      <c r="G588" s="7">
        <v>0</v>
      </c>
      <c r="H588" s="7">
        <v>0</v>
      </c>
      <c r="I588" s="7">
        <v>0</v>
      </c>
      <c r="J588" s="7">
        <v>0</v>
      </c>
      <c r="K588" s="7">
        <v>0</v>
      </c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</row>
    <row r="589" spans="1:17">
      <c r="A589" s="2">
        <v>2537</v>
      </c>
      <c r="B589" s="7">
        <v>0</v>
      </c>
      <c r="C589" s="7">
        <v>0</v>
      </c>
      <c r="D589" s="7">
        <v>0</v>
      </c>
      <c r="E589" s="7">
        <v>0</v>
      </c>
      <c r="F589" s="7">
        <v>0</v>
      </c>
      <c r="G589" s="7">
        <v>0</v>
      </c>
      <c r="H589" s="7">
        <v>0</v>
      </c>
      <c r="I589" s="7">
        <v>0</v>
      </c>
      <c r="J589" s="7">
        <v>0</v>
      </c>
      <c r="K589" s="7">
        <v>0</v>
      </c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</row>
    <row r="590" spans="1:17">
      <c r="A590" s="2">
        <v>2538</v>
      </c>
      <c r="B590" s="7">
        <v>0</v>
      </c>
      <c r="C590" s="7">
        <v>0</v>
      </c>
      <c r="D590" s="7">
        <v>0</v>
      </c>
      <c r="E590" s="7">
        <v>0</v>
      </c>
      <c r="F590" s="7">
        <v>0</v>
      </c>
      <c r="G590" s="7">
        <v>0</v>
      </c>
      <c r="H590" s="7">
        <v>0</v>
      </c>
      <c r="I590" s="7">
        <v>0</v>
      </c>
      <c r="J590" s="7">
        <v>0</v>
      </c>
      <c r="K590" s="7">
        <v>0</v>
      </c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</row>
    <row r="591" spans="1:17">
      <c r="A591" s="2">
        <v>2539</v>
      </c>
      <c r="B591" s="7">
        <v>0</v>
      </c>
      <c r="C591" s="7">
        <v>0</v>
      </c>
      <c r="D591" s="7">
        <v>0</v>
      </c>
      <c r="E591" s="7">
        <v>0</v>
      </c>
      <c r="F591" s="7">
        <v>0</v>
      </c>
      <c r="G591" s="7">
        <v>0</v>
      </c>
      <c r="H591" s="7">
        <v>0</v>
      </c>
      <c r="I591" s="7">
        <v>0</v>
      </c>
      <c r="J591" s="7">
        <v>0</v>
      </c>
      <c r="K591" s="7">
        <v>0</v>
      </c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</row>
    <row r="592" spans="1:17">
      <c r="A592" s="2">
        <v>2540</v>
      </c>
      <c r="B592" s="7">
        <v>0</v>
      </c>
      <c r="C592" s="7">
        <v>0</v>
      </c>
      <c r="D592" s="7">
        <v>0</v>
      </c>
      <c r="E592" s="7">
        <v>0</v>
      </c>
      <c r="F592" s="7">
        <v>0</v>
      </c>
      <c r="G592" s="7">
        <v>0</v>
      </c>
      <c r="H592" s="7">
        <v>0</v>
      </c>
      <c r="I592" s="7">
        <v>0</v>
      </c>
      <c r="J592" s="7">
        <v>0</v>
      </c>
      <c r="K592" s="7">
        <v>0</v>
      </c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</row>
    <row r="593" spans="1:17">
      <c r="A593" s="2">
        <v>2541</v>
      </c>
      <c r="B593" s="7">
        <v>0</v>
      </c>
      <c r="C593" s="7">
        <v>0</v>
      </c>
      <c r="D593" s="7">
        <v>0</v>
      </c>
      <c r="E593" s="7">
        <v>0</v>
      </c>
      <c r="F593" s="7">
        <v>0</v>
      </c>
      <c r="G593" s="7">
        <v>0</v>
      </c>
      <c r="H593" s="7">
        <v>0</v>
      </c>
      <c r="I593" s="7">
        <v>0</v>
      </c>
      <c r="J593" s="7">
        <v>0</v>
      </c>
      <c r="K593" s="7">
        <v>0</v>
      </c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</row>
    <row r="594" spans="1:17">
      <c r="A594" s="2">
        <v>2542</v>
      </c>
      <c r="B594" s="7">
        <v>0</v>
      </c>
      <c r="C594" s="7">
        <v>0</v>
      </c>
      <c r="D594" s="7">
        <v>0</v>
      </c>
      <c r="E594" s="7">
        <v>0</v>
      </c>
      <c r="F594" s="7">
        <v>0</v>
      </c>
      <c r="G594" s="7">
        <v>0</v>
      </c>
      <c r="H594" s="7">
        <v>0</v>
      </c>
      <c r="I594" s="7">
        <v>0</v>
      </c>
      <c r="J594" s="7">
        <v>0</v>
      </c>
      <c r="K594" s="7">
        <v>0</v>
      </c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</row>
    <row r="595" spans="1:17">
      <c r="A595" s="2">
        <v>2543</v>
      </c>
      <c r="B595" s="7">
        <v>0</v>
      </c>
      <c r="C595" s="7">
        <v>0</v>
      </c>
      <c r="D595" s="7">
        <v>0</v>
      </c>
      <c r="E595" s="7">
        <v>0</v>
      </c>
      <c r="F595" s="7">
        <v>0</v>
      </c>
      <c r="G595" s="7">
        <v>0</v>
      </c>
      <c r="H595" s="7">
        <v>0</v>
      </c>
      <c r="I595" s="7">
        <v>0</v>
      </c>
      <c r="J595" s="7">
        <v>0</v>
      </c>
      <c r="K595" s="7">
        <v>0</v>
      </c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</row>
    <row r="596" spans="1:17">
      <c r="A596" s="2">
        <v>2544</v>
      </c>
      <c r="B596" s="7">
        <v>0</v>
      </c>
      <c r="C596" s="7">
        <v>0</v>
      </c>
      <c r="D596" s="7">
        <v>0</v>
      </c>
      <c r="E596" s="7">
        <v>0</v>
      </c>
      <c r="F596" s="7">
        <v>0</v>
      </c>
      <c r="G596" s="7">
        <v>0</v>
      </c>
      <c r="H596" s="7">
        <v>0</v>
      </c>
      <c r="I596" s="7">
        <v>0</v>
      </c>
      <c r="J596" s="7">
        <v>0</v>
      </c>
      <c r="K596" s="7">
        <v>0</v>
      </c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</row>
    <row r="597" spans="1:17">
      <c r="A597" s="2">
        <v>2545</v>
      </c>
      <c r="B597" s="7">
        <v>0</v>
      </c>
      <c r="C597" s="7">
        <v>0</v>
      </c>
      <c r="D597" s="7">
        <v>0</v>
      </c>
      <c r="E597" s="7">
        <v>0</v>
      </c>
      <c r="F597" s="7">
        <v>0</v>
      </c>
      <c r="G597" s="7">
        <v>0</v>
      </c>
      <c r="H597" s="7">
        <v>0</v>
      </c>
      <c r="I597" s="7">
        <v>0</v>
      </c>
      <c r="J597" s="7">
        <v>0</v>
      </c>
      <c r="K597" s="7">
        <v>0</v>
      </c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</row>
    <row r="598" spans="1:17">
      <c r="A598" s="2">
        <v>2546</v>
      </c>
      <c r="B598" s="7">
        <v>0</v>
      </c>
      <c r="C598" s="7">
        <v>0</v>
      </c>
      <c r="D598" s="7">
        <v>0</v>
      </c>
      <c r="E598" s="7">
        <v>0</v>
      </c>
      <c r="F598" s="7">
        <v>0</v>
      </c>
      <c r="G598" s="7">
        <v>0</v>
      </c>
      <c r="H598" s="7">
        <v>0</v>
      </c>
      <c r="I598" s="7">
        <v>0</v>
      </c>
      <c r="J598" s="7">
        <v>0</v>
      </c>
      <c r="K598" s="7">
        <v>0</v>
      </c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</row>
    <row r="599" spans="1:17">
      <c r="A599" s="2">
        <v>2547</v>
      </c>
      <c r="B599" s="7">
        <v>0</v>
      </c>
      <c r="C599" s="7">
        <v>0</v>
      </c>
      <c r="D599" s="7">
        <v>0</v>
      </c>
      <c r="E599" s="7">
        <v>0</v>
      </c>
      <c r="F599" s="7">
        <v>0</v>
      </c>
      <c r="G599" s="7">
        <v>0</v>
      </c>
      <c r="H599" s="7">
        <v>0</v>
      </c>
      <c r="I599" s="7">
        <v>0</v>
      </c>
      <c r="J599" s="7">
        <v>0</v>
      </c>
      <c r="K599" s="7">
        <v>0</v>
      </c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</row>
    <row r="600" spans="1:17">
      <c r="A600" s="2">
        <v>2548</v>
      </c>
      <c r="B600" s="7">
        <v>0</v>
      </c>
      <c r="C600" s="7">
        <v>0</v>
      </c>
      <c r="D600" s="7">
        <v>0</v>
      </c>
      <c r="E600" s="7">
        <v>0</v>
      </c>
      <c r="F600" s="7">
        <v>0</v>
      </c>
      <c r="G600" s="7">
        <v>0</v>
      </c>
      <c r="H600" s="7">
        <v>0</v>
      </c>
      <c r="I600" s="7">
        <v>0</v>
      </c>
      <c r="J600" s="7">
        <v>0</v>
      </c>
      <c r="K600" s="7">
        <v>0</v>
      </c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</row>
    <row r="601" spans="1:17">
      <c r="A601" s="2">
        <v>2549</v>
      </c>
      <c r="B601" s="7">
        <v>0</v>
      </c>
      <c r="C601" s="7">
        <v>0</v>
      </c>
      <c r="D601" s="7">
        <v>0</v>
      </c>
      <c r="E601" s="7">
        <v>0</v>
      </c>
      <c r="F601" s="7">
        <v>0</v>
      </c>
      <c r="G601" s="7">
        <v>0</v>
      </c>
      <c r="H601" s="7">
        <v>0</v>
      </c>
      <c r="I601" s="7">
        <v>0</v>
      </c>
      <c r="J601" s="7">
        <v>0</v>
      </c>
      <c r="K601" s="7">
        <v>0</v>
      </c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</row>
    <row r="602" spans="1:17">
      <c r="A602" s="2">
        <v>2550</v>
      </c>
      <c r="B602" s="7">
        <v>0</v>
      </c>
      <c r="C602" s="7">
        <v>0</v>
      </c>
      <c r="D602" s="7">
        <v>0</v>
      </c>
      <c r="E602" s="7">
        <v>0</v>
      </c>
      <c r="F602" s="7">
        <v>0</v>
      </c>
      <c r="G602" s="7">
        <v>0</v>
      </c>
      <c r="H602" s="7">
        <v>0</v>
      </c>
      <c r="I602" s="7">
        <v>0</v>
      </c>
      <c r="J602" s="7">
        <v>0</v>
      </c>
      <c r="K602" s="7">
        <v>0</v>
      </c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</row>
    <row r="603" spans="1:17">
      <c r="A603" s="2">
        <v>2551</v>
      </c>
      <c r="B603" s="7">
        <v>0</v>
      </c>
      <c r="C603" s="7">
        <v>0</v>
      </c>
      <c r="D603" s="7">
        <v>0</v>
      </c>
      <c r="E603" s="7">
        <v>0</v>
      </c>
      <c r="F603" s="7">
        <v>0</v>
      </c>
      <c r="G603" s="7">
        <v>0</v>
      </c>
      <c r="H603" s="7">
        <v>0</v>
      </c>
      <c r="I603" s="7">
        <v>0</v>
      </c>
      <c r="J603" s="7">
        <v>0</v>
      </c>
      <c r="K603" s="7">
        <v>0</v>
      </c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</row>
    <row r="604" spans="1:17">
      <c r="A604" s="2">
        <v>2552</v>
      </c>
      <c r="B604" s="7">
        <v>0</v>
      </c>
      <c r="C604" s="7">
        <v>0</v>
      </c>
      <c r="D604" s="7">
        <v>0</v>
      </c>
      <c r="E604" s="7">
        <v>0</v>
      </c>
      <c r="F604" s="7">
        <v>0</v>
      </c>
      <c r="G604" s="7">
        <v>0</v>
      </c>
      <c r="H604" s="7">
        <v>0</v>
      </c>
      <c r="I604" s="7">
        <v>0</v>
      </c>
      <c r="J604" s="7">
        <v>0</v>
      </c>
      <c r="K604" s="7">
        <v>0</v>
      </c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</row>
    <row r="605" spans="1:17">
      <c r="A605" s="2">
        <v>2553</v>
      </c>
      <c r="B605" s="7">
        <v>0</v>
      </c>
      <c r="C605" s="7">
        <v>0</v>
      </c>
      <c r="D605" s="7">
        <v>0</v>
      </c>
      <c r="E605" s="7">
        <v>0</v>
      </c>
      <c r="F605" s="7">
        <v>0</v>
      </c>
      <c r="G605" s="7">
        <v>0</v>
      </c>
      <c r="H605" s="7">
        <v>0</v>
      </c>
      <c r="I605" s="7">
        <v>0</v>
      </c>
      <c r="J605" s="7">
        <v>0</v>
      </c>
      <c r="K605" s="7">
        <v>0</v>
      </c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</row>
    <row r="606" spans="1:17">
      <c r="A606" s="2">
        <v>2554</v>
      </c>
      <c r="B606" s="7">
        <v>0</v>
      </c>
      <c r="C606" s="7">
        <v>0</v>
      </c>
      <c r="D606" s="7">
        <v>0</v>
      </c>
      <c r="E606" s="7">
        <v>0</v>
      </c>
      <c r="F606" s="7">
        <v>0</v>
      </c>
      <c r="G606" s="7">
        <v>0</v>
      </c>
      <c r="H606" s="7">
        <v>0</v>
      </c>
      <c r="I606" s="7">
        <v>0</v>
      </c>
      <c r="J606" s="7">
        <v>0</v>
      </c>
      <c r="K606" s="7">
        <v>0</v>
      </c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</row>
    <row r="607" spans="1:17">
      <c r="A607" s="2">
        <v>2555</v>
      </c>
      <c r="B607" s="7">
        <v>0</v>
      </c>
      <c r="C607" s="7">
        <v>0</v>
      </c>
      <c r="D607" s="7">
        <v>0</v>
      </c>
      <c r="E607" s="7">
        <v>0</v>
      </c>
      <c r="F607" s="7">
        <v>0</v>
      </c>
      <c r="G607" s="7">
        <v>0</v>
      </c>
      <c r="H607" s="7">
        <v>0</v>
      </c>
      <c r="I607" s="7">
        <v>0</v>
      </c>
      <c r="J607" s="7">
        <v>0</v>
      </c>
      <c r="K607" s="7">
        <v>0</v>
      </c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</row>
    <row r="608" spans="1:17">
      <c r="A608" s="2">
        <v>2556</v>
      </c>
      <c r="B608" s="7">
        <v>0</v>
      </c>
      <c r="C608" s="7">
        <v>0</v>
      </c>
      <c r="D608" s="7">
        <v>0</v>
      </c>
      <c r="E608" s="7">
        <v>0</v>
      </c>
      <c r="F608" s="7">
        <v>0</v>
      </c>
      <c r="G608" s="7">
        <v>0</v>
      </c>
      <c r="H608" s="7">
        <v>0</v>
      </c>
      <c r="I608" s="7">
        <v>0</v>
      </c>
      <c r="J608" s="7">
        <v>0</v>
      </c>
      <c r="K608" s="7">
        <v>0</v>
      </c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</row>
    <row r="609" spans="1:17">
      <c r="A609" s="2">
        <v>2557</v>
      </c>
      <c r="B609" s="7">
        <v>0</v>
      </c>
      <c r="C609" s="7">
        <v>0</v>
      </c>
      <c r="D609" s="7">
        <v>0</v>
      </c>
      <c r="E609" s="7">
        <v>0</v>
      </c>
      <c r="F609" s="7">
        <v>0</v>
      </c>
      <c r="G609" s="7">
        <v>0</v>
      </c>
      <c r="H609" s="7">
        <v>0</v>
      </c>
      <c r="I609" s="7">
        <v>0</v>
      </c>
      <c r="J609" s="7">
        <v>0</v>
      </c>
      <c r="K609" s="7">
        <v>0</v>
      </c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</row>
    <row r="610" spans="1:17">
      <c r="A610" s="2">
        <v>2558</v>
      </c>
      <c r="B610" s="7">
        <v>0</v>
      </c>
      <c r="C610" s="7">
        <v>0</v>
      </c>
      <c r="D610" s="7">
        <v>0</v>
      </c>
      <c r="E610" s="7">
        <v>0</v>
      </c>
      <c r="F610" s="7">
        <v>0</v>
      </c>
      <c r="G610" s="7">
        <v>0</v>
      </c>
      <c r="H610" s="7">
        <v>0</v>
      </c>
      <c r="I610" s="7">
        <v>0</v>
      </c>
      <c r="J610" s="7">
        <v>0</v>
      </c>
      <c r="K610" s="7">
        <v>0</v>
      </c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</row>
    <row r="611" spans="1:17">
      <c r="A611" s="2">
        <v>2559</v>
      </c>
      <c r="B611" s="7">
        <v>0</v>
      </c>
      <c r="C611" s="7">
        <v>0</v>
      </c>
      <c r="D611" s="7">
        <v>0</v>
      </c>
      <c r="E611" s="7">
        <v>0</v>
      </c>
      <c r="F611" s="7">
        <v>0</v>
      </c>
      <c r="G611" s="7">
        <v>0</v>
      </c>
      <c r="H611" s="7">
        <v>0</v>
      </c>
      <c r="I611" s="7">
        <v>0</v>
      </c>
      <c r="J611" s="7">
        <v>0</v>
      </c>
      <c r="K611" s="7">
        <v>0</v>
      </c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</row>
    <row r="612" spans="1:17">
      <c r="A612" s="2">
        <v>2560</v>
      </c>
      <c r="B612" s="7">
        <v>0</v>
      </c>
      <c r="C612" s="7">
        <v>0</v>
      </c>
      <c r="D612" s="7">
        <v>0</v>
      </c>
      <c r="E612" s="7">
        <v>0</v>
      </c>
      <c r="F612" s="7">
        <v>0</v>
      </c>
      <c r="G612" s="7">
        <v>0</v>
      </c>
      <c r="H612" s="7">
        <v>0</v>
      </c>
      <c r="I612" s="7">
        <v>0</v>
      </c>
      <c r="J612" s="7">
        <v>0</v>
      </c>
      <c r="K612" s="7">
        <v>0</v>
      </c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</row>
    <row r="613" spans="1:17">
      <c r="A613" s="2">
        <v>2561</v>
      </c>
      <c r="B613" s="7">
        <v>0</v>
      </c>
      <c r="C613" s="7">
        <v>0</v>
      </c>
      <c r="D613" s="7">
        <v>0</v>
      </c>
      <c r="E613" s="7">
        <v>0</v>
      </c>
      <c r="F613" s="7">
        <v>0</v>
      </c>
      <c r="G613" s="7">
        <v>0</v>
      </c>
      <c r="H613" s="7">
        <v>0</v>
      </c>
      <c r="I613" s="7">
        <v>0</v>
      </c>
      <c r="J613" s="7">
        <v>0</v>
      </c>
      <c r="K613" s="7">
        <v>0</v>
      </c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</row>
    <row r="614" spans="1:17">
      <c r="A614" s="2">
        <v>2562</v>
      </c>
      <c r="B614" s="7">
        <v>0</v>
      </c>
      <c r="C614" s="7">
        <v>0</v>
      </c>
      <c r="D614" s="7">
        <v>0</v>
      </c>
      <c r="E614" s="7">
        <v>0</v>
      </c>
      <c r="F614" s="7">
        <v>0</v>
      </c>
      <c r="G614" s="7">
        <v>0</v>
      </c>
      <c r="H614" s="7">
        <v>0</v>
      </c>
      <c r="I614" s="7">
        <v>0</v>
      </c>
      <c r="J614" s="7">
        <v>0</v>
      </c>
      <c r="K614" s="7">
        <v>0</v>
      </c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</row>
    <row r="615" spans="1:17">
      <c r="A615" s="2">
        <v>2563</v>
      </c>
      <c r="B615" s="7">
        <v>0</v>
      </c>
      <c r="C615" s="7">
        <v>0</v>
      </c>
      <c r="D615" s="7">
        <v>0</v>
      </c>
      <c r="E615" s="7">
        <v>0</v>
      </c>
      <c r="F615" s="7">
        <v>0</v>
      </c>
      <c r="G615" s="7">
        <v>0</v>
      </c>
      <c r="H615" s="7">
        <v>0</v>
      </c>
      <c r="I615" s="7">
        <v>0</v>
      </c>
      <c r="J615" s="7">
        <v>0</v>
      </c>
      <c r="K615" s="7">
        <v>0</v>
      </c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</row>
    <row r="616" spans="1:17">
      <c r="A616" s="2">
        <v>2564</v>
      </c>
      <c r="B616" s="7">
        <v>0</v>
      </c>
      <c r="C616" s="7">
        <v>0</v>
      </c>
      <c r="D616" s="7">
        <v>0</v>
      </c>
      <c r="E616" s="7">
        <v>0</v>
      </c>
      <c r="F616" s="7">
        <v>0</v>
      </c>
      <c r="G616" s="7">
        <v>0</v>
      </c>
      <c r="H616" s="7">
        <v>0</v>
      </c>
      <c r="I616" s="7">
        <v>0</v>
      </c>
      <c r="J616" s="7">
        <v>0</v>
      </c>
      <c r="K616" s="7">
        <v>0</v>
      </c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</row>
    <row r="617" spans="1:17">
      <c r="A617" s="2">
        <v>2565</v>
      </c>
      <c r="B617" s="7">
        <v>0</v>
      </c>
      <c r="C617" s="7">
        <v>0</v>
      </c>
      <c r="D617" s="7">
        <v>0</v>
      </c>
      <c r="E617" s="7">
        <v>0</v>
      </c>
      <c r="F617" s="7">
        <v>0</v>
      </c>
      <c r="G617" s="7">
        <v>0</v>
      </c>
      <c r="H617" s="7">
        <v>0</v>
      </c>
      <c r="I617" s="7">
        <v>0</v>
      </c>
      <c r="J617" s="7">
        <v>0</v>
      </c>
      <c r="K617" s="7">
        <v>0</v>
      </c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</row>
    <row r="618" spans="1:17">
      <c r="A618" s="2">
        <v>2566</v>
      </c>
      <c r="B618" s="7">
        <v>0</v>
      </c>
      <c r="C618" s="7">
        <v>0</v>
      </c>
      <c r="D618" s="7">
        <v>0</v>
      </c>
      <c r="E618" s="7">
        <v>0</v>
      </c>
      <c r="F618" s="7">
        <v>0</v>
      </c>
      <c r="G618" s="7">
        <v>0</v>
      </c>
      <c r="H618" s="7">
        <v>0</v>
      </c>
      <c r="I618" s="7">
        <v>0</v>
      </c>
      <c r="J618" s="7">
        <v>0</v>
      </c>
      <c r="K618" s="7">
        <v>0</v>
      </c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</row>
    <row r="619" spans="1:17">
      <c r="A619" s="2">
        <v>2567</v>
      </c>
      <c r="B619" s="7">
        <v>0</v>
      </c>
      <c r="C619" s="7">
        <v>0</v>
      </c>
      <c r="D619" s="7">
        <v>0</v>
      </c>
      <c r="E619" s="7">
        <v>0</v>
      </c>
      <c r="F619" s="7">
        <v>0</v>
      </c>
      <c r="G619" s="7">
        <v>0</v>
      </c>
      <c r="H619" s="7">
        <v>0</v>
      </c>
      <c r="I619" s="7">
        <v>0</v>
      </c>
      <c r="J619" s="7">
        <v>0</v>
      </c>
      <c r="K619" s="7">
        <v>0</v>
      </c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</row>
    <row r="620" spans="1:17">
      <c r="A620" s="2">
        <v>2568</v>
      </c>
      <c r="B620" s="7">
        <v>0</v>
      </c>
      <c r="C620" s="7">
        <v>0</v>
      </c>
      <c r="D620" s="7">
        <v>0</v>
      </c>
      <c r="E620" s="7">
        <v>0</v>
      </c>
      <c r="F620" s="7">
        <v>0</v>
      </c>
      <c r="G620" s="7">
        <v>0</v>
      </c>
      <c r="H620" s="7">
        <v>0</v>
      </c>
      <c r="I620" s="7">
        <v>0</v>
      </c>
      <c r="J620" s="7">
        <v>0</v>
      </c>
      <c r="K620" s="7">
        <v>0</v>
      </c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</row>
    <row r="621" spans="1:17">
      <c r="A621" s="2">
        <v>2569</v>
      </c>
      <c r="B621" s="7">
        <v>0</v>
      </c>
      <c r="C621" s="7">
        <v>0</v>
      </c>
      <c r="D621" s="7">
        <v>0</v>
      </c>
      <c r="E621" s="7">
        <v>0</v>
      </c>
      <c r="F621" s="7">
        <v>0</v>
      </c>
      <c r="G621" s="7">
        <v>0</v>
      </c>
      <c r="H621" s="7">
        <v>0</v>
      </c>
      <c r="I621" s="7">
        <v>0</v>
      </c>
      <c r="J621" s="7">
        <v>0</v>
      </c>
      <c r="K621" s="7">
        <v>0</v>
      </c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</row>
    <row r="622" spans="1:17">
      <c r="A622" s="2">
        <v>2570</v>
      </c>
      <c r="B622" s="7">
        <v>0</v>
      </c>
      <c r="C622" s="7">
        <v>0</v>
      </c>
      <c r="D622" s="7">
        <v>0</v>
      </c>
      <c r="E622" s="7">
        <v>0</v>
      </c>
      <c r="F622" s="7">
        <v>0</v>
      </c>
      <c r="G622" s="7">
        <v>0</v>
      </c>
      <c r="H622" s="7">
        <v>0</v>
      </c>
      <c r="I622" s="7">
        <v>0</v>
      </c>
      <c r="J622" s="7">
        <v>0</v>
      </c>
      <c r="K622" s="7">
        <v>0</v>
      </c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</row>
    <row r="623" spans="1:17">
      <c r="A623" s="2">
        <v>2571</v>
      </c>
      <c r="B623" s="7">
        <v>0</v>
      </c>
      <c r="C623" s="7">
        <v>0</v>
      </c>
      <c r="D623" s="7">
        <v>0</v>
      </c>
      <c r="E623" s="7">
        <v>0</v>
      </c>
      <c r="F623" s="7">
        <v>0</v>
      </c>
      <c r="G623" s="7">
        <v>0</v>
      </c>
      <c r="H623" s="7">
        <v>0</v>
      </c>
      <c r="I623" s="7">
        <v>0</v>
      </c>
      <c r="J623" s="7">
        <v>0</v>
      </c>
      <c r="K623" s="7">
        <v>0</v>
      </c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</row>
    <row r="624" spans="1:17">
      <c r="A624" s="2">
        <v>2572</v>
      </c>
      <c r="B624" s="7">
        <v>0</v>
      </c>
      <c r="C624" s="7">
        <v>0</v>
      </c>
      <c r="D624" s="7">
        <v>0</v>
      </c>
      <c r="E624" s="7">
        <v>0</v>
      </c>
      <c r="F624" s="7">
        <v>0</v>
      </c>
      <c r="G624" s="7">
        <v>0</v>
      </c>
      <c r="H624" s="7">
        <v>0</v>
      </c>
      <c r="I624" s="7">
        <v>0</v>
      </c>
      <c r="J624" s="7">
        <v>0</v>
      </c>
      <c r="K624" s="7">
        <v>0</v>
      </c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</row>
    <row r="625" spans="1:17">
      <c r="A625" s="2">
        <v>2573</v>
      </c>
      <c r="B625" s="7">
        <v>0</v>
      </c>
      <c r="C625" s="7">
        <v>0</v>
      </c>
      <c r="D625" s="7">
        <v>0</v>
      </c>
      <c r="E625" s="7">
        <v>0</v>
      </c>
      <c r="F625" s="7">
        <v>0</v>
      </c>
      <c r="G625" s="7">
        <v>0</v>
      </c>
      <c r="H625" s="7">
        <v>0</v>
      </c>
      <c r="I625" s="7">
        <v>0</v>
      </c>
      <c r="J625" s="7">
        <v>0</v>
      </c>
      <c r="K625" s="7">
        <v>0</v>
      </c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</row>
    <row r="626" spans="1:17">
      <c r="A626" s="2">
        <v>2574</v>
      </c>
      <c r="B626" s="7">
        <v>0</v>
      </c>
      <c r="C626" s="7">
        <v>0</v>
      </c>
      <c r="D626" s="7">
        <v>0</v>
      </c>
      <c r="E626" s="7">
        <v>0</v>
      </c>
      <c r="F626" s="7">
        <v>0</v>
      </c>
      <c r="G626" s="7">
        <v>0</v>
      </c>
      <c r="H626" s="7">
        <v>0</v>
      </c>
      <c r="I626" s="7">
        <v>0</v>
      </c>
      <c r="J626" s="7">
        <v>0</v>
      </c>
      <c r="K626" s="7">
        <v>0</v>
      </c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</row>
    <row r="627" spans="1:17">
      <c r="A627" s="2">
        <v>2575</v>
      </c>
      <c r="B627" s="7">
        <v>0</v>
      </c>
      <c r="C627" s="7">
        <v>0</v>
      </c>
      <c r="D627" s="7">
        <v>0</v>
      </c>
      <c r="E627" s="7">
        <v>0</v>
      </c>
      <c r="F627" s="7">
        <v>0</v>
      </c>
      <c r="G627" s="7">
        <v>0</v>
      </c>
      <c r="H627" s="7">
        <v>0</v>
      </c>
      <c r="I627" s="7">
        <v>0</v>
      </c>
      <c r="J627" s="7">
        <v>0</v>
      </c>
      <c r="K627" s="7">
        <v>0</v>
      </c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</row>
    <row r="628" spans="1:17">
      <c r="A628" s="2">
        <v>2576</v>
      </c>
      <c r="B628" s="7">
        <v>0</v>
      </c>
      <c r="C628" s="7">
        <v>0</v>
      </c>
      <c r="D628" s="7">
        <v>0</v>
      </c>
      <c r="E628" s="7">
        <v>0</v>
      </c>
      <c r="F628" s="7">
        <v>0</v>
      </c>
      <c r="G628" s="7">
        <v>0</v>
      </c>
      <c r="H628" s="7">
        <v>0</v>
      </c>
      <c r="I628" s="7">
        <v>0</v>
      </c>
      <c r="J628" s="7">
        <v>0</v>
      </c>
      <c r="K628" s="7">
        <v>0</v>
      </c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</row>
    <row r="629" spans="1:17">
      <c r="A629" s="2">
        <v>2577</v>
      </c>
      <c r="B629" s="7">
        <v>0</v>
      </c>
      <c r="C629" s="7">
        <v>0</v>
      </c>
      <c r="D629" s="7">
        <v>0</v>
      </c>
      <c r="E629" s="7">
        <v>0</v>
      </c>
      <c r="F629" s="7">
        <v>0</v>
      </c>
      <c r="G629" s="7">
        <v>0</v>
      </c>
      <c r="H629" s="7">
        <v>0</v>
      </c>
      <c r="I629" s="7">
        <v>0</v>
      </c>
      <c r="J629" s="7">
        <v>0</v>
      </c>
      <c r="K629" s="7">
        <v>0</v>
      </c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</row>
    <row r="630" spans="1:17">
      <c r="A630" s="2">
        <v>2578</v>
      </c>
      <c r="B630" s="7">
        <v>0</v>
      </c>
      <c r="C630" s="7">
        <v>0</v>
      </c>
      <c r="D630" s="7">
        <v>0</v>
      </c>
      <c r="E630" s="7">
        <v>0</v>
      </c>
      <c r="F630" s="7">
        <v>0</v>
      </c>
      <c r="G630" s="7">
        <v>0</v>
      </c>
      <c r="H630" s="7">
        <v>0</v>
      </c>
      <c r="I630" s="7">
        <v>0</v>
      </c>
      <c r="J630" s="7">
        <v>0</v>
      </c>
      <c r="K630" s="7">
        <v>0</v>
      </c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</row>
    <row r="631" spans="1:17">
      <c r="A631" s="2">
        <v>2579</v>
      </c>
      <c r="B631" s="7">
        <v>0</v>
      </c>
      <c r="C631" s="7">
        <v>0</v>
      </c>
      <c r="D631" s="7">
        <v>0</v>
      </c>
      <c r="E631" s="7">
        <v>0</v>
      </c>
      <c r="F631" s="7">
        <v>0</v>
      </c>
      <c r="G631" s="7">
        <v>0</v>
      </c>
      <c r="H631" s="7">
        <v>0</v>
      </c>
      <c r="I631" s="7">
        <v>0</v>
      </c>
      <c r="J631" s="7">
        <v>0</v>
      </c>
      <c r="K631" s="7">
        <v>0</v>
      </c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</row>
    <row r="632" spans="1:17">
      <c r="A632" s="2">
        <v>2580</v>
      </c>
      <c r="B632" s="7">
        <v>0</v>
      </c>
      <c r="C632" s="7">
        <v>0</v>
      </c>
      <c r="D632" s="7">
        <v>0</v>
      </c>
      <c r="E632" s="7">
        <v>0</v>
      </c>
      <c r="F632" s="7">
        <v>0</v>
      </c>
      <c r="G632" s="7">
        <v>0</v>
      </c>
      <c r="H632" s="7">
        <v>0</v>
      </c>
      <c r="I632" s="7">
        <v>0</v>
      </c>
      <c r="J632" s="7">
        <v>0</v>
      </c>
      <c r="K632" s="7">
        <v>0</v>
      </c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</row>
    <row r="633" spans="1:17">
      <c r="A633" s="2">
        <v>2581</v>
      </c>
      <c r="B633" s="7">
        <v>0</v>
      </c>
      <c r="C633" s="7">
        <v>0</v>
      </c>
      <c r="D633" s="7">
        <v>0</v>
      </c>
      <c r="E633" s="7">
        <v>0</v>
      </c>
      <c r="F633" s="7">
        <v>0</v>
      </c>
      <c r="G633" s="7">
        <v>0</v>
      </c>
      <c r="H633" s="7">
        <v>0</v>
      </c>
      <c r="I633" s="7">
        <v>0</v>
      </c>
      <c r="J633" s="7">
        <v>0</v>
      </c>
      <c r="K633" s="7">
        <v>0</v>
      </c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</row>
    <row r="634" spans="1:17">
      <c r="A634" s="2">
        <v>2582</v>
      </c>
      <c r="B634" s="7">
        <v>0</v>
      </c>
      <c r="C634" s="7">
        <v>0</v>
      </c>
      <c r="D634" s="7">
        <v>0</v>
      </c>
      <c r="E634" s="7">
        <v>0</v>
      </c>
      <c r="F634" s="7">
        <v>0</v>
      </c>
      <c r="G634" s="7">
        <v>0</v>
      </c>
      <c r="H634" s="7">
        <v>0</v>
      </c>
      <c r="I634" s="7">
        <v>0</v>
      </c>
      <c r="J634" s="7">
        <v>0</v>
      </c>
      <c r="K634" s="7">
        <v>0</v>
      </c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</row>
    <row r="635" spans="1:17">
      <c r="A635" s="2">
        <v>2583</v>
      </c>
      <c r="B635" s="7">
        <v>0</v>
      </c>
      <c r="C635" s="7">
        <v>0</v>
      </c>
      <c r="D635" s="7">
        <v>0</v>
      </c>
      <c r="E635" s="7">
        <v>0</v>
      </c>
      <c r="F635" s="7">
        <v>0</v>
      </c>
      <c r="G635" s="7">
        <v>0</v>
      </c>
      <c r="H635" s="7">
        <v>0</v>
      </c>
      <c r="I635" s="7">
        <v>0</v>
      </c>
      <c r="J635" s="7">
        <v>0</v>
      </c>
      <c r="K635" s="7">
        <v>0</v>
      </c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</row>
    <row r="636" spans="1:17">
      <c r="A636" s="2">
        <v>2584</v>
      </c>
      <c r="B636" s="7">
        <v>0</v>
      </c>
      <c r="C636" s="7">
        <v>0</v>
      </c>
      <c r="D636" s="7">
        <v>0</v>
      </c>
      <c r="E636" s="7">
        <v>0</v>
      </c>
      <c r="F636" s="7">
        <v>0</v>
      </c>
      <c r="G636" s="7">
        <v>0</v>
      </c>
      <c r="H636" s="7">
        <v>0</v>
      </c>
      <c r="I636" s="7">
        <v>0</v>
      </c>
      <c r="J636" s="7">
        <v>0</v>
      </c>
      <c r="K636" s="7">
        <v>0</v>
      </c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</row>
    <row r="637" spans="1:17">
      <c r="A637" s="2">
        <v>2585</v>
      </c>
      <c r="B637" s="7">
        <v>0</v>
      </c>
      <c r="C637" s="7">
        <v>0</v>
      </c>
      <c r="D637" s="7">
        <v>0</v>
      </c>
      <c r="E637" s="7">
        <v>0</v>
      </c>
      <c r="F637" s="7">
        <v>0</v>
      </c>
      <c r="G637" s="7">
        <v>0</v>
      </c>
      <c r="H637" s="7">
        <v>0</v>
      </c>
      <c r="I637" s="7">
        <v>0</v>
      </c>
      <c r="J637" s="7">
        <v>0</v>
      </c>
      <c r="K637" s="7">
        <v>0</v>
      </c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</row>
    <row r="638" spans="1:17">
      <c r="A638" s="2">
        <v>2586</v>
      </c>
      <c r="B638" s="7">
        <v>0</v>
      </c>
      <c r="C638" s="7">
        <v>0</v>
      </c>
      <c r="D638" s="7">
        <v>0</v>
      </c>
      <c r="E638" s="7">
        <v>0</v>
      </c>
      <c r="F638" s="7">
        <v>0</v>
      </c>
      <c r="G638" s="7">
        <v>0</v>
      </c>
      <c r="H638" s="7">
        <v>0</v>
      </c>
      <c r="I638" s="7">
        <v>0</v>
      </c>
      <c r="J638" s="7">
        <v>0</v>
      </c>
      <c r="K638" s="7">
        <v>0</v>
      </c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</row>
    <row r="639" spans="1:17">
      <c r="A639" s="2">
        <v>2587</v>
      </c>
      <c r="B639" s="7">
        <v>0</v>
      </c>
      <c r="C639" s="7">
        <v>0</v>
      </c>
      <c r="D639" s="7">
        <v>0</v>
      </c>
      <c r="E639" s="7">
        <v>0</v>
      </c>
      <c r="F639" s="7">
        <v>0</v>
      </c>
      <c r="G639" s="7">
        <v>0</v>
      </c>
      <c r="H639" s="7">
        <v>0</v>
      </c>
      <c r="I639" s="7">
        <v>0</v>
      </c>
      <c r="J639" s="7">
        <v>0</v>
      </c>
      <c r="K639" s="7">
        <v>0</v>
      </c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</row>
    <row r="640" spans="1:17">
      <c r="A640" s="2">
        <v>2588</v>
      </c>
      <c r="B640" s="7">
        <v>0</v>
      </c>
      <c r="C640" s="7">
        <v>0</v>
      </c>
      <c r="D640" s="7">
        <v>0</v>
      </c>
      <c r="E640" s="7">
        <v>0</v>
      </c>
      <c r="F640" s="7">
        <v>0</v>
      </c>
      <c r="G640" s="7">
        <v>0</v>
      </c>
      <c r="H640" s="7">
        <v>0</v>
      </c>
      <c r="I640" s="7">
        <v>0</v>
      </c>
      <c r="J640" s="7">
        <v>0</v>
      </c>
      <c r="K640" s="7">
        <v>0</v>
      </c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</row>
    <row r="641" spans="1:17">
      <c r="A641" s="2">
        <v>2589</v>
      </c>
      <c r="B641" s="7">
        <v>0</v>
      </c>
      <c r="C641" s="7">
        <v>0</v>
      </c>
      <c r="D641" s="7">
        <v>0</v>
      </c>
      <c r="E641" s="7">
        <v>0</v>
      </c>
      <c r="F641" s="7">
        <v>0</v>
      </c>
      <c r="G641" s="7">
        <v>0</v>
      </c>
      <c r="H641" s="7">
        <v>0</v>
      </c>
      <c r="I641" s="7">
        <v>0</v>
      </c>
      <c r="J641" s="7">
        <v>0</v>
      </c>
      <c r="K641" s="7">
        <v>0</v>
      </c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</row>
    <row r="642" spans="1:17">
      <c r="A642" s="2">
        <v>2590</v>
      </c>
      <c r="B642" s="7">
        <v>0</v>
      </c>
      <c r="C642" s="7">
        <v>0</v>
      </c>
      <c r="D642" s="7">
        <v>0</v>
      </c>
      <c r="E642" s="7">
        <v>0</v>
      </c>
      <c r="F642" s="7">
        <v>0</v>
      </c>
      <c r="G642" s="7">
        <v>0</v>
      </c>
      <c r="H642" s="7">
        <v>0</v>
      </c>
      <c r="I642" s="7">
        <v>0</v>
      </c>
      <c r="J642" s="7">
        <v>0</v>
      </c>
      <c r="K642" s="7">
        <v>0</v>
      </c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</row>
    <row r="643" spans="1:17">
      <c r="A643" s="2">
        <v>2591</v>
      </c>
      <c r="B643" s="7">
        <v>0</v>
      </c>
      <c r="C643" s="7">
        <v>0</v>
      </c>
      <c r="D643" s="7">
        <v>0</v>
      </c>
      <c r="E643" s="7">
        <v>0</v>
      </c>
      <c r="F643" s="7">
        <v>0</v>
      </c>
      <c r="G643" s="7">
        <v>0</v>
      </c>
      <c r="H643" s="7">
        <v>0</v>
      </c>
      <c r="I643" s="7">
        <v>0</v>
      </c>
      <c r="J643" s="7">
        <v>0</v>
      </c>
      <c r="K643" s="7">
        <v>0</v>
      </c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</row>
    <row r="644" spans="1:17">
      <c r="A644" s="2">
        <v>2592</v>
      </c>
      <c r="B644" s="7">
        <v>0</v>
      </c>
      <c r="C644" s="7">
        <v>0</v>
      </c>
      <c r="D644" s="7">
        <v>0</v>
      </c>
      <c r="E644" s="7">
        <v>0</v>
      </c>
      <c r="F644" s="7">
        <v>0</v>
      </c>
      <c r="G644" s="7">
        <v>0</v>
      </c>
      <c r="H644" s="7">
        <v>0</v>
      </c>
      <c r="I644" s="7">
        <v>0</v>
      </c>
      <c r="J644" s="7">
        <v>0</v>
      </c>
      <c r="K644" s="7">
        <v>0</v>
      </c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</row>
    <row r="645" spans="1:17">
      <c r="A645" s="2">
        <v>2593</v>
      </c>
      <c r="B645" s="7">
        <v>0</v>
      </c>
      <c r="C645" s="7">
        <v>0</v>
      </c>
      <c r="D645" s="7">
        <v>0</v>
      </c>
      <c r="E645" s="7">
        <v>0</v>
      </c>
      <c r="F645" s="7">
        <v>0</v>
      </c>
      <c r="G645" s="7">
        <v>0</v>
      </c>
      <c r="H645" s="7">
        <v>0</v>
      </c>
      <c r="I645" s="7">
        <v>0</v>
      </c>
      <c r="J645" s="7">
        <v>0</v>
      </c>
      <c r="K645" s="7">
        <v>0</v>
      </c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</row>
    <row r="646" spans="1:17">
      <c r="A646" s="2">
        <v>2594</v>
      </c>
      <c r="B646" s="7">
        <v>0</v>
      </c>
      <c r="C646" s="7">
        <v>0</v>
      </c>
      <c r="D646" s="7">
        <v>0</v>
      </c>
      <c r="E646" s="7">
        <v>0</v>
      </c>
      <c r="F646" s="7">
        <v>0</v>
      </c>
      <c r="G646" s="7">
        <v>0</v>
      </c>
      <c r="H646" s="7">
        <v>0</v>
      </c>
      <c r="I646" s="7">
        <v>0</v>
      </c>
      <c r="J646" s="7">
        <v>0</v>
      </c>
      <c r="K646" s="7">
        <v>0</v>
      </c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</row>
    <row r="647" spans="1:17">
      <c r="A647" s="2">
        <v>2595</v>
      </c>
      <c r="B647" s="7">
        <v>0</v>
      </c>
      <c r="C647" s="7">
        <v>0</v>
      </c>
      <c r="D647" s="7">
        <v>0</v>
      </c>
      <c r="E647" s="7">
        <v>0</v>
      </c>
      <c r="F647" s="7">
        <v>0</v>
      </c>
      <c r="G647" s="7">
        <v>0</v>
      </c>
      <c r="H647" s="7">
        <v>0</v>
      </c>
      <c r="I647" s="7">
        <v>0</v>
      </c>
      <c r="J647" s="7">
        <v>0</v>
      </c>
      <c r="K647" s="7">
        <v>0</v>
      </c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</row>
    <row r="648" spans="1:17">
      <c r="A648" s="2">
        <v>2596</v>
      </c>
      <c r="B648" s="7">
        <v>0</v>
      </c>
      <c r="C648" s="7">
        <v>0</v>
      </c>
      <c r="D648" s="7">
        <v>0</v>
      </c>
      <c r="E648" s="7">
        <v>0</v>
      </c>
      <c r="F648" s="7">
        <v>0</v>
      </c>
      <c r="G648" s="7">
        <v>0</v>
      </c>
      <c r="H648" s="7">
        <v>0</v>
      </c>
      <c r="I648" s="7">
        <v>0</v>
      </c>
      <c r="J648" s="7">
        <v>0</v>
      </c>
      <c r="K648" s="7">
        <v>0</v>
      </c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</row>
    <row r="649" spans="1:17">
      <c r="A649" s="2">
        <v>2597</v>
      </c>
      <c r="B649" s="7">
        <v>0</v>
      </c>
      <c r="C649" s="7">
        <v>0</v>
      </c>
      <c r="D649" s="7">
        <v>0</v>
      </c>
      <c r="E649" s="7">
        <v>0</v>
      </c>
      <c r="F649" s="7">
        <v>0</v>
      </c>
      <c r="G649" s="7">
        <v>0</v>
      </c>
      <c r="H649" s="7">
        <v>0</v>
      </c>
      <c r="I649" s="7">
        <v>0</v>
      </c>
      <c r="J649" s="7">
        <v>0</v>
      </c>
      <c r="K649" s="7">
        <v>0</v>
      </c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</row>
    <row r="650" spans="1:17">
      <c r="A650" s="2">
        <v>2598</v>
      </c>
      <c r="B650" s="7">
        <v>0</v>
      </c>
      <c r="C650" s="7">
        <v>0</v>
      </c>
      <c r="D650" s="7">
        <v>0</v>
      </c>
      <c r="E650" s="7">
        <v>0</v>
      </c>
      <c r="F650" s="7">
        <v>0</v>
      </c>
      <c r="G650" s="7">
        <v>0</v>
      </c>
      <c r="H650" s="7">
        <v>0</v>
      </c>
      <c r="I650" s="7">
        <v>0</v>
      </c>
      <c r="J650" s="7">
        <v>0</v>
      </c>
      <c r="K650" s="7">
        <v>0</v>
      </c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</row>
    <row r="651" spans="1:17">
      <c r="A651" s="2">
        <v>2599</v>
      </c>
      <c r="B651" s="7">
        <v>0</v>
      </c>
      <c r="C651" s="7">
        <v>0</v>
      </c>
      <c r="D651" s="7">
        <v>0</v>
      </c>
      <c r="E651" s="7">
        <v>0</v>
      </c>
      <c r="F651" s="7">
        <v>0</v>
      </c>
      <c r="G651" s="7">
        <v>0</v>
      </c>
      <c r="H651" s="7">
        <v>0</v>
      </c>
      <c r="I651" s="7">
        <v>0</v>
      </c>
      <c r="J651" s="7">
        <v>0</v>
      </c>
      <c r="K651" s="7">
        <v>0</v>
      </c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</row>
    <row r="652" spans="1:17">
      <c r="A652" s="2">
        <v>2600</v>
      </c>
      <c r="B652" s="7">
        <v>0</v>
      </c>
      <c r="C652" s="7">
        <v>0</v>
      </c>
      <c r="D652" s="7">
        <v>0</v>
      </c>
      <c r="E652" s="7">
        <v>0</v>
      </c>
      <c r="F652" s="7">
        <v>0</v>
      </c>
      <c r="G652" s="7">
        <v>0</v>
      </c>
      <c r="H652" s="7">
        <v>0</v>
      </c>
      <c r="I652" s="7">
        <v>0</v>
      </c>
      <c r="J652" s="7">
        <v>0</v>
      </c>
      <c r="K652" s="7">
        <v>0</v>
      </c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</row>
    <row r="653" spans="1:17">
      <c r="A653" s="2">
        <v>2601</v>
      </c>
      <c r="B653" s="7">
        <v>0</v>
      </c>
      <c r="C653" s="7">
        <v>0</v>
      </c>
      <c r="D653" s="7">
        <v>0</v>
      </c>
      <c r="E653" s="7">
        <v>0</v>
      </c>
      <c r="F653" s="7">
        <v>0</v>
      </c>
      <c r="G653" s="7">
        <v>0</v>
      </c>
      <c r="H653" s="7">
        <v>0</v>
      </c>
      <c r="I653" s="7">
        <v>0</v>
      </c>
      <c r="J653" s="7">
        <v>0</v>
      </c>
      <c r="K653" s="7">
        <v>0</v>
      </c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</row>
    <row r="654" spans="1:17">
      <c r="A654" s="2">
        <v>2602</v>
      </c>
      <c r="B654" s="7">
        <v>0</v>
      </c>
      <c r="C654" s="7">
        <v>0</v>
      </c>
      <c r="D654" s="7">
        <v>0</v>
      </c>
      <c r="E654" s="7">
        <v>0</v>
      </c>
      <c r="F654" s="7">
        <v>0</v>
      </c>
      <c r="G654" s="7">
        <v>0</v>
      </c>
      <c r="H654" s="7">
        <v>0</v>
      </c>
      <c r="I654" s="7">
        <v>0</v>
      </c>
      <c r="J654" s="7">
        <v>0</v>
      </c>
      <c r="K654" s="7">
        <v>0</v>
      </c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</row>
    <row r="655" spans="1:17">
      <c r="A655" s="2">
        <v>2603</v>
      </c>
      <c r="B655" s="7">
        <v>0</v>
      </c>
      <c r="C655" s="7">
        <v>0</v>
      </c>
      <c r="D655" s="7">
        <v>0</v>
      </c>
      <c r="E655" s="7">
        <v>0</v>
      </c>
      <c r="F655" s="7">
        <v>0</v>
      </c>
      <c r="G655" s="7">
        <v>0</v>
      </c>
      <c r="H655" s="7">
        <v>0</v>
      </c>
      <c r="I655" s="7">
        <v>0</v>
      </c>
      <c r="J655" s="7">
        <v>0</v>
      </c>
      <c r="K655" s="7">
        <v>0</v>
      </c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</row>
    <row r="656" spans="1:17">
      <c r="A656" s="2">
        <v>2604</v>
      </c>
      <c r="B656" s="7">
        <v>0</v>
      </c>
      <c r="C656" s="7">
        <v>0</v>
      </c>
      <c r="D656" s="7">
        <v>0</v>
      </c>
      <c r="E656" s="7">
        <v>0</v>
      </c>
      <c r="F656" s="7">
        <v>0</v>
      </c>
      <c r="G656" s="7">
        <v>0</v>
      </c>
      <c r="H656" s="7">
        <v>0</v>
      </c>
      <c r="I656" s="7">
        <v>0</v>
      </c>
      <c r="J656" s="7">
        <v>0</v>
      </c>
      <c r="K656" s="7">
        <v>0</v>
      </c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</row>
    <row r="657" spans="1:17">
      <c r="A657" s="2">
        <v>2605</v>
      </c>
      <c r="B657" s="7">
        <v>0</v>
      </c>
      <c r="C657" s="7">
        <v>0</v>
      </c>
      <c r="D657" s="7">
        <v>0</v>
      </c>
      <c r="E657" s="7">
        <v>0</v>
      </c>
      <c r="F657" s="7">
        <v>0</v>
      </c>
      <c r="G657" s="7">
        <v>0</v>
      </c>
      <c r="H657" s="7">
        <v>0</v>
      </c>
      <c r="I657" s="7">
        <v>0</v>
      </c>
      <c r="J657" s="7">
        <v>0</v>
      </c>
      <c r="K657" s="7">
        <v>0</v>
      </c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</row>
    <row r="658" spans="1:17">
      <c r="A658" s="2">
        <v>2606</v>
      </c>
      <c r="B658" s="7">
        <v>0</v>
      </c>
      <c r="C658" s="7">
        <v>0</v>
      </c>
      <c r="D658" s="7">
        <v>0</v>
      </c>
      <c r="E658" s="7">
        <v>0</v>
      </c>
      <c r="F658" s="7">
        <v>0</v>
      </c>
      <c r="G658" s="7">
        <v>0</v>
      </c>
      <c r="H658" s="7">
        <v>0</v>
      </c>
      <c r="I658" s="7">
        <v>0</v>
      </c>
      <c r="J658" s="7">
        <v>0</v>
      </c>
      <c r="K658" s="7">
        <v>0</v>
      </c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</row>
    <row r="659" spans="1:17">
      <c r="A659" s="2">
        <v>2607</v>
      </c>
      <c r="B659" s="7">
        <v>0</v>
      </c>
      <c r="C659" s="7">
        <v>0</v>
      </c>
      <c r="D659" s="7">
        <v>0</v>
      </c>
      <c r="E659" s="7">
        <v>0</v>
      </c>
      <c r="F659" s="7">
        <v>0</v>
      </c>
      <c r="G659" s="7">
        <v>0</v>
      </c>
      <c r="H659" s="7">
        <v>0</v>
      </c>
      <c r="I659" s="7">
        <v>0</v>
      </c>
      <c r="J659" s="7">
        <v>0</v>
      </c>
      <c r="K659" s="7">
        <v>0</v>
      </c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</row>
    <row r="660" spans="1:17">
      <c r="A660" s="2">
        <v>2608</v>
      </c>
      <c r="B660" s="7">
        <v>0</v>
      </c>
      <c r="C660" s="7">
        <v>0</v>
      </c>
      <c r="D660" s="7">
        <v>0</v>
      </c>
      <c r="E660" s="7">
        <v>0</v>
      </c>
      <c r="F660" s="7">
        <v>0</v>
      </c>
      <c r="G660" s="7">
        <v>0</v>
      </c>
      <c r="H660" s="7">
        <v>0</v>
      </c>
      <c r="I660" s="7">
        <v>0</v>
      </c>
      <c r="J660" s="7">
        <v>0</v>
      </c>
      <c r="K660" s="7">
        <v>0</v>
      </c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</row>
    <row r="661" spans="1:17">
      <c r="A661" s="2">
        <v>2609</v>
      </c>
      <c r="B661" s="7">
        <v>0</v>
      </c>
      <c r="C661" s="7">
        <v>0</v>
      </c>
      <c r="D661" s="7">
        <v>0</v>
      </c>
      <c r="E661" s="7">
        <v>0</v>
      </c>
      <c r="F661" s="7">
        <v>0</v>
      </c>
      <c r="G661" s="7">
        <v>0</v>
      </c>
      <c r="H661" s="7">
        <v>0</v>
      </c>
      <c r="I661" s="7">
        <v>0</v>
      </c>
      <c r="J661" s="7">
        <v>0</v>
      </c>
      <c r="K661" s="7">
        <v>0</v>
      </c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</row>
    <row r="662" spans="1:17">
      <c r="A662" s="2">
        <v>2610</v>
      </c>
      <c r="B662" s="7">
        <v>0</v>
      </c>
      <c r="C662" s="7">
        <v>0</v>
      </c>
      <c r="D662" s="7">
        <v>0</v>
      </c>
      <c r="E662" s="7">
        <v>0</v>
      </c>
      <c r="F662" s="7">
        <v>0</v>
      </c>
      <c r="G662" s="7">
        <v>0</v>
      </c>
      <c r="H662" s="7">
        <v>0</v>
      </c>
      <c r="I662" s="7">
        <v>0</v>
      </c>
      <c r="J662" s="7">
        <v>0</v>
      </c>
      <c r="K662" s="7">
        <v>0</v>
      </c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</row>
    <row r="663" spans="1:17">
      <c r="A663" s="2">
        <v>2611</v>
      </c>
      <c r="B663" s="7">
        <v>0</v>
      </c>
      <c r="C663" s="7">
        <v>0</v>
      </c>
      <c r="D663" s="7">
        <v>0</v>
      </c>
      <c r="E663" s="7">
        <v>0</v>
      </c>
      <c r="F663" s="7">
        <v>0</v>
      </c>
      <c r="G663" s="7">
        <v>0</v>
      </c>
      <c r="H663" s="7">
        <v>0</v>
      </c>
      <c r="I663" s="7">
        <v>0</v>
      </c>
      <c r="J663" s="7">
        <v>0</v>
      </c>
      <c r="K663" s="7">
        <v>0</v>
      </c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</row>
    <row r="664" spans="1:17">
      <c r="A664" s="2">
        <v>2612</v>
      </c>
      <c r="B664" s="7">
        <v>0</v>
      </c>
      <c r="C664" s="7">
        <v>0</v>
      </c>
      <c r="D664" s="7">
        <v>0</v>
      </c>
      <c r="E664" s="7">
        <v>0</v>
      </c>
      <c r="F664" s="7">
        <v>0</v>
      </c>
      <c r="G664" s="7">
        <v>0</v>
      </c>
      <c r="H664" s="7">
        <v>0</v>
      </c>
      <c r="I664" s="7">
        <v>0</v>
      </c>
      <c r="J664" s="7">
        <v>0</v>
      </c>
      <c r="K664" s="7">
        <v>0</v>
      </c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</row>
    <row r="665" spans="1:17">
      <c r="A665" s="2">
        <v>2613</v>
      </c>
      <c r="B665" s="7">
        <v>0</v>
      </c>
      <c r="C665" s="7">
        <v>0</v>
      </c>
      <c r="D665" s="7">
        <v>0</v>
      </c>
      <c r="E665" s="7">
        <v>0</v>
      </c>
      <c r="F665" s="7">
        <v>0</v>
      </c>
      <c r="G665" s="7">
        <v>0</v>
      </c>
      <c r="H665" s="7">
        <v>0</v>
      </c>
      <c r="I665" s="7">
        <v>0</v>
      </c>
      <c r="J665" s="7">
        <v>0</v>
      </c>
      <c r="K665" s="7">
        <v>0</v>
      </c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</row>
    <row r="666" spans="1:17">
      <c r="A666" s="2">
        <v>2614</v>
      </c>
      <c r="B666" s="7">
        <v>0</v>
      </c>
      <c r="C666" s="7">
        <v>0</v>
      </c>
      <c r="D666" s="7">
        <v>0</v>
      </c>
      <c r="E666" s="7">
        <v>0</v>
      </c>
      <c r="F666" s="7">
        <v>0</v>
      </c>
      <c r="G666" s="7">
        <v>0</v>
      </c>
      <c r="H666" s="7">
        <v>0</v>
      </c>
      <c r="I666" s="7">
        <v>0</v>
      </c>
      <c r="J666" s="7">
        <v>0</v>
      </c>
      <c r="K666" s="7">
        <v>0</v>
      </c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</row>
    <row r="667" spans="1:17">
      <c r="A667" s="2">
        <v>2615</v>
      </c>
      <c r="B667" s="7">
        <v>0</v>
      </c>
      <c r="C667" s="7">
        <v>0</v>
      </c>
      <c r="D667" s="7">
        <v>0</v>
      </c>
      <c r="E667" s="7">
        <v>0</v>
      </c>
      <c r="F667" s="7">
        <v>0</v>
      </c>
      <c r="G667" s="7">
        <v>0</v>
      </c>
      <c r="H667" s="7">
        <v>0</v>
      </c>
      <c r="I667" s="7">
        <v>0</v>
      </c>
      <c r="J667" s="7">
        <v>0</v>
      </c>
      <c r="K667" s="7">
        <v>0</v>
      </c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</row>
    <row r="668" spans="1:17">
      <c r="A668" s="2">
        <v>2616</v>
      </c>
      <c r="B668" s="7">
        <v>0</v>
      </c>
      <c r="C668" s="7">
        <v>0</v>
      </c>
      <c r="D668" s="7">
        <v>0</v>
      </c>
      <c r="E668" s="7">
        <v>0</v>
      </c>
      <c r="F668" s="7">
        <v>0</v>
      </c>
      <c r="G668" s="7">
        <v>0</v>
      </c>
      <c r="H668" s="7">
        <v>0</v>
      </c>
      <c r="I668" s="7">
        <v>0</v>
      </c>
      <c r="J668" s="7">
        <v>0</v>
      </c>
      <c r="K668" s="7">
        <v>0</v>
      </c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</row>
    <row r="669" spans="1:17">
      <c r="A669" s="2">
        <v>2617</v>
      </c>
      <c r="B669" s="7">
        <v>0</v>
      </c>
      <c r="C669" s="7">
        <v>0</v>
      </c>
      <c r="D669" s="7">
        <v>0</v>
      </c>
      <c r="E669" s="7">
        <v>0</v>
      </c>
      <c r="F669" s="7">
        <v>0</v>
      </c>
      <c r="G669" s="7">
        <v>0</v>
      </c>
      <c r="H669" s="7">
        <v>0</v>
      </c>
      <c r="I669" s="7">
        <v>0</v>
      </c>
      <c r="J669" s="7">
        <v>0</v>
      </c>
      <c r="K669" s="7">
        <v>0</v>
      </c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</row>
    <row r="670" spans="1:17">
      <c r="A670" s="2">
        <v>2618</v>
      </c>
      <c r="B670" s="7">
        <v>0</v>
      </c>
      <c r="C670" s="7">
        <v>0</v>
      </c>
      <c r="D670" s="7">
        <v>0</v>
      </c>
      <c r="E670" s="7">
        <v>0</v>
      </c>
      <c r="F670" s="7">
        <v>0</v>
      </c>
      <c r="G670" s="7">
        <v>0</v>
      </c>
      <c r="H670" s="7">
        <v>0</v>
      </c>
      <c r="I670" s="7">
        <v>0</v>
      </c>
      <c r="J670" s="7">
        <v>0</v>
      </c>
      <c r="K670" s="7">
        <v>0</v>
      </c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</row>
    <row r="671" spans="1:17">
      <c r="A671" s="2">
        <v>2619</v>
      </c>
      <c r="B671" s="7">
        <v>0</v>
      </c>
      <c r="C671" s="7">
        <v>0</v>
      </c>
      <c r="D671" s="7">
        <v>0</v>
      </c>
      <c r="E671" s="7">
        <v>0</v>
      </c>
      <c r="F671" s="7">
        <v>0</v>
      </c>
      <c r="G671" s="7">
        <v>0</v>
      </c>
      <c r="H671" s="7">
        <v>0</v>
      </c>
      <c r="I671" s="7">
        <v>0</v>
      </c>
      <c r="J671" s="7">
        <v>0</v>
      </c>
      <c r="K671" s="7">
        <v>0</v>
      </c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</row>
    <row r="672" spans="1:17">
      <c r="A672" s="2">
        <v>2620</v>
      </c>
      <c r="B672" s="7">
        <v>0</v>
      </c>
      <c r="C672" s="7">
        <v>0</v>
      </c>
      <c r="D672" s="7">
        <v>0</v>
      </c>
      <c r="E672" s="7">
        <v>0</v>
      </c>
      <c r="F672" s="7">
        <v>0</v>
      </c>
      <c r="G672" s="7">
        <v>0</v>
      </c>
      <c r="H672" s="7">
        <v>0</v>
      </c>
      <c r="I672" s="7">
        <v>0</v>
      </c>
      <c r="J672" s="7">
        <v>0</v>
      </c>
      <c r="K672" s="7">
        <v>0</v>
      </c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</row>
    <row r="673" spans="1:17">
      <c r="A673" s="2">
        <v>2621</v>
      </c>
      <c r="B673" s="7">
        <v>0</v>
      </c>
      <c r="C673" s="7">
        <v>0</v>
      </c>
      <c r="D673" s="7">
        <v>0</v>
      </c>
      <c r="E673" s="7">
        <v>0</v>
      </c>
      <c r="F673" s="7">
        <v>0</v>
      </c>
      <c r="G673" s="7">
        <v>0</v>
      </c>
      <c r="H673" s="7">
        <v>0</v>
      </c>
      <c r="I673" s="7">
        <v>0</v>
      </c>
      <c r="J673" s="7">
        <v>0</v>
      </c>
      <c r="K673" s="7">
        <v>0</v>
      </c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</row>
    <row r="674" spans="1:17">
      <c r="A674" s="2">
        <v>2622</v>
      </c>
      <c r="B674" s="7">
        <v>0</v>
      </c>
      <c r="C674" s="7">
        <v>0</v>
      </c>
      <c r="D674" s="7">
        <v>0</v>
      </c>
      <c r="E674" s="7">
        <v>0</v>
      </c>
      <c r="F674" s="7">
        <v>0</v>
      </c>
      <c r="G674" s="7">
        <v>0</v>
      </c>
      <c r="H674" s="7">
        <v>0</v>
      </c>
      <c r="I674" s="7">
        <v>0</v>
      </c>
      <c r="J674" s="7">
        <v>0</v>
      </c>
      <c r="K674" s="7">
        <v>0</v>
      </c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</row>
    <row r="675" spans="1:17">
      <c r="A675" s="2">
        <v>2623</v>
      </c>
      <c r="B675" s="7">
        <v>0</v>
      </c>
      <c r="C675" s="7">
        <v>0</v>
      </c>
      <c r="D675" s="7">
        <v>0</v>
      </c>
      <c r="E675" s="7">
        <v>0</v>
      </c>
      <c r="F675" s="7">
        <v>0</v>
      </c>
      <c r="G675" s="7">
        <v>0</v>
      </c>
      <c r="H675" s="7">
        <v>0</v>
      </c>
      <c r="I675" s="7">
        <v>0</v>
      </c>
      <c r="J675" s="7">
        <v>0</v>
      </c>
      <c r="K675" s="7">
        <v>0</v>
      </c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</row>
    <row r="676" spans="1:17">
      <c r="A676" s="2">
        <v>2624</v>
      </c>
      <c r="B676" s="7">
        <v>0</v>
      </c>
      <c r="C676" s="7">
        <v>0</v>
      </c>
      <c r="D676" s="7">
        <v>0</v>
      </c>
      <c r="E676" s="7">
        <v>0</v>
      </c>
      <c r="F676" s="7">
        <v>0</v>
      </c>
      <c r="G676" s="7">
        <v>0</v>
      </c>
      <c r="H676" s="7">
        <v>0</v>
      </c>
      <c r="I676" s="7">
        <v>0</v>
      </c>
      <c r="J676" s="7">
        <v>0</v>
      </c>
      <c r="K676" s="7">
        <v>0</v>
      </c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</row>
    <row r="677" spans="1:17">
      <c r="A677" s="2">
        <v>2625</v>
      </c>
      <c r="B677" s="7">
        <v>0</v>
      </c>
      <c r="C677" s="7">
        <v>0</v>
      </c>
      <c r="D677" s="7">
        <v>0</v>
      </c>
      <c r="E677" s="7">
        <v>0</v>
      </c>
      <c r="F677" s="7">
        <v>0</v>
      </c>
      <c r="G677" s="7">
        <v>0</v>
      </c>
      <c r="H677" s="7">
        <v>0</v>
      </c>
      <c r="I677" s="7">
        <v>0</v>
      </c>
      <c r="J677" s="7">
        <v>0</v>
      </c>
      <c r="K677" s="7">
        <v>0</v>
      </c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</row>
    <row r="678" spans="1:17">
      <c r="A678" s="2">
        <v>2626</v>
      </c>
      <c r="B678" s="7">
        <v>0</v>
      </c>
      <c r="C678" s="7">
        <v>0</v>
      </c>
      <c r="D678" s="7">
        <v>0</v>
      </c>
      <c r="E678" s="7">
        <v>0</v>
      </c>
      <c r="F678" s="7">
        <v>0</v>
      </c>
      <c r="G678" s="7">
        <v>0</v>
      </c>
      <c r="H678" s="7">
        <v>0</v>
      </c>
      <c r="I678" s="7">
        <v>0</v>
      </c>
      <c r="J678" s="7">
        <v>0</v>
      </c>
      <c r="K678" s="7">
        <v>0</v>
      </c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</row>
    <row r="679" spans="1:17">
      <c r="A679" s="2">
        <v>2627</v>
      </c>
      <c r="B679" s="7">
        <v>0</v>
      </c>
      <c r="C679" s="7">
        <v>0</v>
      </c>
      <c r="D679" s="7">
        <v>0</v>
      </c>
      <c r="E679" s="7">
        <v>0</v>
      </c>
      <c r="F679" s="7">
        <v>0</v>
      </c>
      <c r="G679" s="7">
        <v>0</v>
      </c>
      <c r="H679" s="7">
        <v>0</v>
      </c>
      <c r="I679" s="7">
        <v>0</v>
      </c>
      <c r="J679" s="7">
        <v>0</v>
      </c>
      <c r="K679" s="7">
        <v>0</v>
      </c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</row>
    <row r="680" spans="1:17">
      <c r="A680" s="2">
        <v>2628</v>
      </c>
      <c r="B680" s="7">
        <v>0</v>
      </c>
      <c r="C680" s="7">
        <v>0</v>
      </c>
      <c r="D680" s="7">
        <v>0</v>
      </c>
      <c r="E680" s="7">
        <v>0</v>
      </c>
      <c r="F680" s="7">
        <v>0</v>
      </c>
      <c r="G680" s="7">
        <v>0</v>
      </c>
      <c r="H680" s="7">
        <v>0</v>
      </c>
      <c r="I680" s="7">
        <v>0</v>
      </c>
      <c r="J680" s="7">
        <v>0</v>
      </c>
      <c r="K680" s="7">
        <v>0</v>
      </c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</row>
    <row r="681" spans="1:17">
      <c r="A681" s="2">
        <v>2629</v>
      </c>
      <c r="B681" s="7">
        <v>0</v>
      </c>
      <c r="C681" s="7">
        <v>0</v>
      </c>
      <c r="D681" s="7">
        <v>0</v>
      </c>
      <c r="E681" s="7">
        <v>0</v>
      </c>
      <c r="F681" s="7">
        <v>0</v>
      </c>
      <c r="G681" s="7">
        <v>0</v>
      </c>
      <c r="H681" s="7">
        <v>0</v>
      </c>
      <c r="I681" s="7">
        <v>0</v>
      </c>
      <c r="J681" s="7">
        <v>0</v>
      </c>
      <c r="K681" s="7">
        <v>0</v>
      </c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</row>
    <row r="682" spans="1:17">
      <c r="A682" s="2">
        <v>2630</v>
      </c>
      <c r="B682" s="7">
        <v>0</v>
      </c>
      <c r="C682" s="7">
        <v>0</v>
      </c>
      <c r="D682" s="7">
        <v>0</v>
      </c>
      <c r="E682" s="7">
        <v>0</v>
      </c>
      <c r="F682" s="7">
        <v>0</v>
      </c>
      <c r="G682" s="7">
        <v>0</v>
      </c>
      <c r="H682" s="7">
        <v>0</v>
      </c>
      <c r="I682" s="7">
        <v>0</v>
      </c>
      <c r="J682" s="7">
        <v>0</v>
      </c>
      <c r="K682" s="7">
        <v>0</v>
      </c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</row>
    <row r="683" spans="1:17">
      <c r="A683" s="2">
        <v>2631</v>
      </c>
      <c r="B683" s="7">
        <v>0</v>
      </c>
      <c r="C683" s="7">
        <v>0</v>
      </c>
      <c r="D683" s="7">
        <v>0</v>
      </c>
      <c r="E683" s="7">
        <v>0</v>
      </c>
      <c r="F683" s="7">
        <v>0</v>
      </c>
      <c r="G683" s="7">
        <v>0</v>
      </c>
      <c r="H683" s="7">
        <v>0</v>
      </c>
      <c r="I683" s="7">
        <v>0</v>
      </c>
      <c r="J683" s="7">
        <v>0</v>
      </c>
      <c r="K683" s="7">
        <v>0</v>
      </c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</row>
    <row r="684" spans="1:17">
      <c r="A684" s="2">
        <v>2632</v>
      </c>
      <c r="B684" s="7">
        <v>0</v>
      </c>
      <c r="C684" s="7">
        <v>0</v>
      </c>
      <c r="D684" s="7">
        <v>0</v>
      </c>
      <c r="E684" s="7">
        <v>0</v>
      </c>
      <c r="F684" s="7">
        <v>0</v>
      </c>
      <c r="G684" s="7">
        <v>0</v>
      </c>
      <c r="H684" s="7">
        <v>0</v>
      </c>
      <c r="I684" s="7">
        <v>0</v>
      </c>
      <c r="J684" s="7">
        <v>0</v>
      </c>
      <c r="K684" s="7">
        <v>0</v>
      </c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</row>
    <row r="685" spans="1:17">
      <c r="A685" s="2">
        <v>2633</v>
      </c>
      <c r="B685" s="7">
        <v>0</v>
      </c>
      <c r="C685" s="7">
        <v>0</v>
      </c>
      <c r="D685" s="7">
        <v>0</v>
      </c>
      <c r="E685" s="7">
        <v>0</v>
      </c>
      <c r="F685" s="7">
        <v>0</v>
      </c>
      <c r="G685" s="7">
        <v>0</v>
      </c>
      <c r="H685" s="7">
        <v>0</v>
      </c>
      <c r="I685" s="7">
        <v>0</v>
      </c>
      <c r="J685" s="7">
        <v>0</v>
      </c>
      <c r="K685" s="7">
        <v>0</v>
      </c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</row>
    <row r="686" spans="1:17">
      <c r="A686" s="2">
        <v>2634</v>
      </c>
      <c r="B686" s="7">
        <v>0</v>
      </c>
      <c r="C686" s="7">
        <v>0</v>
      </c>
      <c r="D686" s="7">
        <v>0</v>
      </c>
      <c r="E686" s="7">
        <v>0</v>
      </c>
      <c r="F686" s="7">
        <v>0</v>
      </c>
      <c r="G686" s="7">
        <v>0</v>
      </c>
      <c r="H686" s="7">
        <v>0</v>
      </c>
      <c r="I686" s="7">
        <v>0</v>
      </c>
      <c r="J686" s="7">
        <v>0</v>
      </c>
      <c r="K686" s="7">
        <v>0</v>
      </c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</row>
    <row r="687" spans="1:17">
      <c r="A687" s="2">
        <v>2635</v>
      </c>
      <c r="B687" s="7">
        <v>0</v>
      </c>
      <c r="C687" s="7">
        <v>0</v>
      </c>
      <c r="D687" s="7">
        <v>0</v>
      </c>
      <c r="E687" s="7">
        <v>0</v>
      </c>
      <c r="F687" s="7">
        <v>0</v>
      </c>
      <c r="G687" s="7">
        <v>0</v>
      </c>
      <c r="H687" s="7">
        <v>0</v>
      </c>
      <c r="I687" s="7">
        <v>0</v>
      </c>
      <c r="J687" s="7">
        <v>0</v>
      </c>
      <c r="K687" s="7">
        <v>0</v>
      </c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</row>
    <row r="688" spans="1:17">
      <c r="A688" s="2">
        <v>2636</v>
      </c>
      <c r="B688" s="7">
        <v>0</v>
      </c>
      <c r="C688" s="7">
        <v>0</v>
      </c>
      <c r="D688" s="7">
        <v>0</v>
      </c>
      <c r="E688" s="7">
        <v>0</v>
      </c>
      <c r="F688" s="7">
        <v>0</v>
      </c>
      <c r="G688" s="7">
        <v>0</v>
      </c>
      <c r="H688" s="7">
        <v>0</v>
      </c>
      <c r="I688" s="7">
        <v>0</v>
      </c>
      <c r="J688" s="7">
        <v>0</v>
      </c>
      <c r="K688" s="7">
        <v>0</v>
      </c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</row>
    <row r="689" spans="1:17">
      <c r="A689" s="2">
        <v>2637</v>
      </c>
      <c r="B689" s="7">
        <v>0</v>
      </c>
      <c r="C689" s="7">
        <v>0</v>
      </c>
      <c r="D689" s="7">
        <v>0</v>
      </c>
      <c r="E689" s="7">
        <v>0</v>
      </c>
      <c r="F689" s="7">
        <v>0</v>
      </c>
      <c r="G689" s="7">
        <v>0</v>
      </c>
      <c r="H689" s="7">
        <v>0</v>
      </c>
      <c r="I689" s="7">
        <v>0</v>
      </c>
      <c r="J689" s="7">
        <v>0</v>
      </c>
      <c r="K689" s="7">
        <v>0</v>
      </c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</row>
    <row r="690" spans="1:17">
      <c r="A690" s="2">
        <v>2638</v>
      </c>
      <c r="B690" s="7">
        <v>0</v>
      </c>
      <c r="C690" s="7">
        <v>0</v>
      </c>
      <c r="D690" s="7">
        <v>0</v>
      </c>
      <c r="E690" s="7">
        <v>0</v>
      </c>
      <c r="F690" s="7">
        <v>0</v>
      </c>
      <c r="G690" s="7">
        <v>0</v>
      </c>
      <c r="H690" s="7">
        <v>0</v>
      </c>
      <c r="I690" s="7">
        <v>0</v>
      </c>
      <c r="J690" s="7">
        <v>0</v>
      </c>
      <c r="K690" s="7">
        <v>0</v>
      </c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</row>
    <row r="691" spans="1:17">
      <c r="A691" s="2">
        <v>2639</v>
      </c>
      <c r="B691" s="7">
        <v>0</v>
      </c>
      <c r="C691" s="7">
        <v>0</v>
      </c>
      <c r="D691" s="7">
        <v>0</v>
      </c>
      <c r="E691" s="7">
        <v>0</v>
      </c>
      <c r="F691" s="7">
        <v>0</v>
      </c>
      <c r="G691" s="7">
        <v>0</v>
      </c>
      <c r="H691" s="7">
        <v>0</v>
      </c>
      <c r="I691" s="7">
        <v>0</v>
      </c>
      <c r="J691" s="7">
        <v>0</v>
      </c>
      <c r="K691" s="7">
        <v>0</v>
      </c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</row>
    <row r="692" spans="1:17">
      <c r="A692" s="2">
        <v>2640</v>
      </c>
      <c r="B692" s="7">
        <v>0</v>
      </c>
      <c r="C692" s="7">
        <v>0</v>
      </c>
      <c r="D692" s="7">
        <v>0</v>
      </c>
      <c r="E692" s="7">
        <v>0</v>
      </c>
      <c r="F692" s="7">
        <v>0</v>
      </c>
      <c r="G692" s="7">
        <v>0</v>
      </c>
      <c r="H692" s="7">
        <v>0</v>
      </c>
      <c r="I692" s="7">
        <v>0</v>
      </c>
      <c r="J692" s="7">
        <v>0</v>
      </c>
      <c r="K692" s="7">
        <v>0</v>
      </c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</row>
    <row r="693" spans="1:17">
      <c r="A693" s="2">
        <v>2641</v>
      </c>
      <c r="B693" s="7">
        <v>0</v>
      </c>
      <c r="C693" s="7">
        <v>0</v>
      </c>
      <c r="D693" s="7">
        <v>0</v>
      </c>
      <c r="E693" s="7">
        <v>0</v>
      </c>
      <c r="F693" s="7">
        <v>0</v>
      </c>
      <c r="G693" s="7">
        <v>0</v>
      </c>
      <c r="H693" s="7">
        <v>0</v>
      </c>
      <c r="I693" s="7">
        <v>0</v>
      </c>
      <c r="J693" s="7">
        <v>0</v>
      </c>
      <c r="K693" s="7">
        <v>0</v>
      </c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</row>
    <row r="694" spans="1:17">
      <c r="A694" s="2">
        <v>2642</v>
      </c>
      <c r="B694" s="7">
        <v>0</v>
      </c>
      <c r="C694" s="7">
        <v>0</v>
      </c>
      <c r="D694" s="7">
        <v>0</v>
      </c>
      <c r="E694" s="7">
        <v>0</v>
      </c>
      <c r="F694" s="7">
        <v>0</v>
      </c>
      <c r="G694" s="7">
        <v>0</v>
      </c>
      <c r="H694" s="7">
        <v>0</v>
      </c>
      <c r="I694" s="7">
        <v>0</v>
      </c>
      <c r="J694" s="7">
        <v>0</v>
      </c>
      <c r="K694" s="7">
        <v>0</v>
      </c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</row>
    <row r="695" spans="1:17">
      <c r="A695" s="2">
        <v>2643</v>
      </c>
      <c r="B695" s="7">
        <v>0</v>
      </c>
      <c r="C695" s="7">
        <v>0</v>
      </c>
      <c r="D695" s="7">
        <v>0</v>
      </c>
      <c r="E695" s="7">
        <v>0</v>
      </c>
      <c r="F695" s="7">
        <v>0</v>
      </c>
      <c r="G695" s="7">
        <v>0</v>
      </c>
      <c r="H695" s="7">
        <v>0</v>
      </c>
      <c r="I695" s="7">
        <v>0</v>
      </c>
      <c r="J695" s="7">
        <v>0</v>
      </c>
      <c r="K695" s="7">
        <v>0</v>
      </c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</row>
    <row r="696" spans="1:17">
      <c r="A696" s="2">
        <v>2644</v>
      </c>
      <c r="B696" s="7">
        <v>0</v>
      </c>
      <c r="C696" s="7">
        <v>0</v>
      </c>
      <c r="D696" s="7">
        <v>0</v>
      </c>
      <c r="E696" s="7">
        <v>0</v>
      </c>
      <c r="F696" s="7">
        <v>0</v>
      </c>
      <c r="G696" s="7">
        <v>0</v>
      </c>
      <c r="H696" s="7">
        <v>0</v>
      </c>
      <c r="I696" s="7">
        <v>0</v>
      </c>
      <c r="J696" s="7">
        <v>0</v>
      </c>
      <c r="K696" s="7">
        <v>0</v>
      </c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</row>
    <row r="697" spans="1:17">
      <c r="A697" s="2">
        <v>2645</v>
      </c>
      <c r="B697" s="7">
        <v>0</v>
      </c>
      <c r="C697" s="7">
        <v>0</v>
      </c>
      <c r="D697" s="7">
        <v>0</v>
      </c>
      <c r="E697" s="7">
        <v>0</v>
      </c>
      <c r="F697" s="7">
        <v>0</v>
      </c>
      <c r="G697" s="7">
        <v>0</v>
      </c>
      <c r="H697" s="7">
        <v>0</v>
      </c>
      <c r="I697" s="7">
        <v>0</v>
      </c>
      <c r="J697" s="7">
        <v>0</v>
      </c>
      <c r="K697" s="7">
        <v>0</v>
      </c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</row>
    <row r="698" spans="1:17">
      <c r="A698" s="2">
        <v>2646</v>
      </c>
      <c r="B698" s="7">
        <v>0</v>
      </c>
      <c r="C698" s="7">
        <v>0</v>
      </c>
      <c r="D698" s="7">
        <v>0</v>
      </c>
      <c r="E698" s="7">
        <v>0</v>
      </c>
      <c r="F698" s="7">
        <v>0</v>
      </c>
      <c r="G698" s="7">
        <v>0</v>
      </c>
      <c r="H698" s="7">
        <v>0</v>
      </c>
      <c r="I698" s="7">
        <v>0</v>
      </c>
      <c r="J698" s="7">
        <v>0</v>
      </c>
      <c r="K698" s="7">
        <v>0</v>
      </c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</row>
    <row r="699" spans="1:17">
      <c r="A699" s="2">
        <v>2647</v>
      </c>
      <c r="B699" s="7">
        <v>0</v>
      </c>
      <c r="C699" s="7">
        <v>0</v>
      </c>
      <c r="D699" s="7">
        <v>0</v>
      </c>
      <c r="E699" s="7">
        <v>0</v>
      </c>
      <c r="F699" s="7">
        <v>0</v>
      </c>
      <c r="G699" s="7">
        <v>0</v>
      </c>
      <c r="H699" s="7">
        <v>0</v>
      </c>
      <c r="I699" s="7">
        <v>0</v>
      </c>
      <c r="J699" s="7">
        <v>0</v>
      </c>
      <c r="K699" s="7">
        <v>0</v>
      </c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</row>
    <row r="700" spans="1:17">
      <c r="A700" s="2">
        <v>2648</v>
      </c>
      <c r="B700" s="7">
        <v>0</v>
      </c>
      <c r="C700" s="7">
        <v>0</v>
      </c>
      <c r="D700" s="7">
        <v>0</v>
      </c>
      <c r="E700" s="7">
        <v>0</v>
      </c>
      <c r="F700" s="7">
        <v>0</v>
      </c>
      <c r="G700" s="7">
        <v>0</v>
      </c>
      <c r="H700" s="7">
        <v>0</v>
      </c>
      <c r="I700" s="7">
        <v>0</v>
      </c>
      <c r="J700" s="7">
        <v>0</v>
      </c>
      <c r="K700" s="7">
        <v>0</v>
      </c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</row>
    <row r="701" spans="1:17">
      <c r="A701" s="2">
        <v>2649</v>
      </c>
      <c r="B701" s="7">
        <v>0</v>
      </c>
      <c r="C701" s="7">
        <v>0</v>
      </c>
      <c r="D701" s="7">
        <v>0</v>
      </c>
      <c r="E701" s="7">
        <v>0</v>
      </c>
      <c r="F701" s="7">
        <v>0</v>
      </c>
      <c r="G701" s="7">
        <v>0</v>
      </c>
      <c r="H701" s="7">
        <v>0</v>
      </c>
      <c r="I701" s="7">
        <v>0</v>
      </c>
      <c r="J701" s="7">
        <v>0</v>
      </c>
      <c r="K701" s="7">
        <v>0</v>
      </c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</row>
    <row r="702" spans="1:17">
      <c r="A702" s="2">
        <v>2650</v>
      </c>
      <c r="B702" s="7">
        <v>0</v>
      </c>
      <c r="C702" s="7">
        <v>0</v>
      </c>
      <c r="D702" s="7">
        <v>0</v>
      </c>
      <c r="E702" s="7">
        <v>0</v>
      </c>
      <c r="F702" s="7">
        <v>0</v>
      </c>
      <c r="G702" s="7">
        <v>0</v>
      </c>
      <c r="H702" s="7">
        <v>0</v>
      </c>
      <c r="I702" s="7">
        <v>0</v>
      </c>
      <c r="J702" s="7">
        <v>0</v>
      </c>
      <c r="K702" s="7">
        <v>0</v>
      </c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</row>
    <row r="703" spans="1:17">
      <c r="A703" s="2">
        <v>2651</v>
      </c>
      <c r="B703" s="7">
        <v>0</v>
      </c>
      <c r="C703" s="7">
        <v>0</v>
      </c>
      <c r="D703" s="7">
        <v>0</v>
      </c>
      <c r="E703" s="7">
        <v>0</v>
      </c>
      <c r="F703" s="7">
        <v>0</v>
      </c>
      <c r="G703" s="7">
        <v>0</v>
      </c>
      <c r="H703" s="7">
        <v>0</v>
      </c>
      <c r="I703" s="7">
        <v>0</v>
      </c>
      <c r="J703" s="7">
        <v>0</v>
      </c>
      <c r="K703" s="7">
        <v>0</v>
      </c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</row>
    <row r="704" spans="1:17">
      <c r="A704" s="2">
        <v>2652</v>
      </c>
      <c r="B704" s="7">
        <v>0</v>
      </c>
      <c r="C704" s="7">
        <v>0</v>
      </c>
      <c r="D704" s="7">
        <v>0</v>
      </c>
      <c r="E704" s="7">
        <v>0</v>
      </c>
      <c r="F704" s="7">
        <v>0</v>
      </c>
      <c r="G704" s="7">
        <v>0</v>
      </c>
      <c r="H704" s="7">
        <v>0</v>
      </c>
      <c r="I704" s="7">
        <v>0</v>
      </c>
      <c r="J704" s="7">
        <v>0</v>
      </c>
      <c r="K704" s="7">
        <v>0</v>
      </c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</row>
    <row r="705" spans="1:17">
      <c r="A705" s="2">
        <v>2653</v>
      </c>
      <c r="B705" s="7">
        <v>0</v>
      </c>
      <c r="C705" s="7">
        <v>0</v>
      </c>
      <c r="D705" s="7">
        <v>0</v>
      </c>
      <c r="E705" s="7">
        <v>0</v>
      </c>
      <c r="F705" s="7">
        <v>0</v>
      </c>
      <c r="G705" s="7">
        <v>0</v>
      </c>
      <c r="H705" s="7">
        <v>0</v>
      </c>
      <c r="I705" s="7">
        <v>0</v>
      </c>
      <c r="J705" s="7">
        <v>0</v>
      </c>
      <c r="K705" s="7">
        <v>0</v>
      </c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</row>
    <row r="706" spans="1:17">
      <c r="A706" s="2">
        <v>2654</v>
      </c>
      <c r="B706" s="7">
        <v>0</v>
      </c>
      <c r="C706" s="7">
        <v>0</v>
      </c>
      <c r="D706" s="7">
        <v>0</v>
      </c>
      <c r="E706" s="7">
        <v>0</v>
      </c>
      <c r="F706" s="7">
        <v>0</v>
      </c>
      <c r="G706" s="7">
        <v>0</v>
      </c>
      <c r="H706" s="7">
        <v>0</v>
      </c>
      <c r="I706" s="7">
        <v>0</v>
      </c>
      <c r="J706" s="7">
        <v>0</v>
      </c>
      <c r="K706" s="7">
        <v>0</v>
      </c>
      <c r="L706" s="7">
        <v>0</v>
      </c>
      <c r="M706" s="7">
        <v>0</v>
      </c>
      <c r="N706" s="7">
        <v>0</v>
      </c>
      <c r="O706" s="7">
        <v>0</v>
      </c>
      <c r="P706" s="7">
        <v>0</v>
      </c>
      <c r="Q706" s="7">
        <v>0</v>
      </c>
    </row>
    <row r="707" spans="1:17">
      <c r="A707" s="2">
        <v>2655</v>
      </c>
      <c r="B707" s="7">
        <v>0</v>
      </c>
      <c r="C707" s="7">
        <v>0</v>
      </c>
      <c r="D707" s="7">
        <v>0</v>
      </c>
      <c r="E707" s="7">
        <v>0</v>
      </c>
      <c r="F707" s="7">
        <v>0</v>
      </c>
      <c r="G707" s="7">
        <v>0</v>
      </c>
      <c r="H707" s="7">
        <v>0</v>
      </c>
      <c r="I707" s="7">
        <v>0</v>
      </c>
      <c r="J707" s="7">
        <v>0</v>
      </c>
      <c r="K707" s="7">
        <v>0</v>
      </c>
      <c r="L707" s="7">
        <v>0</v>
      </c>
      <c r="M707" s="7">
        <v>0</v>
      </c>
      <c r="N707" s="7">
        <v>0</v>
      </c>
      <c r="O707" s="7">
        <v>0</v>
      </c>
      <c r="P707" s="7">
        <v>0</v>
      </c>
      <c r="Q707" s="7">
        <v>0</v>
      </c>
    </row>
    <row r="708" spans="1:17">
      <c r="A708" s="2">
        <v>2656</v>
      </c>
      <c r="B708" s="7">
        <v>0</v>
      </c>
      <c r="C708" s="7">
        <v>0</v>
      </c>
      <c r="D708" s="7">
        <v>0</v>
      </c>
      <c r="E708" s="7">
        <v>0</v>
      </c>
      <c r="F708" s="7">
        <v>0</v>
      </c>
      <c r="G708" s="7">
        <v>0</v>
      </c>
      <c r="H708" s="7">
        <v>0</v>
      </c>
      <c r="I708" s="7">
        <v>0</v>
      </c>
      <c r="J708" s="7">
        <v>0</v>
      </c>
      <c r="K708" s="7">
        <v>0</v>
      </c>
      <c r="L708" s="7">
        <v>0</v>
      </c>
      <c r="M708" s="7">
        <v>0</v>
      </c>
      <c r="N708" s="7">
        <v>0</v>
      </c>
      <c r="O708" s="7">
        <v>0</v>
      </c>
      <c r="P708" s="7">
        <v>0</v>
      </c>
      <c r="Q708" s="7">
        <v>0</v>
      </c>
    </row>
    <row r="709" spans="1:17">
      <c r="A709" s="2">
        <v>2657</v>
      </c>
      <c r="B709" s="7">
        <v>0</v>
      </c>
      <c r="C709" s="7">
        <v>0</v>
      </c>
      <c r="D709" s="7">
        <v>0</v>
      </c>
      <c r="E709" s="7">
        <v>0</v>
      </c>
      <c r="F709" s="7">
        <v>0</v>
      </c>
      <c r="G709" s="7">
        <v>0</v>
      </c>
      <c r="H709" s="7">
        <v>0</v>
      </c>
      <c r="I709" s="7">
        <v>0</v>
      </c>
      <c r="J709" s="7">
        <v>0</v>
      </c>
      <c r="K709" s="7">
        <v>0</v>
      </c>
      <c r="L709" s="7">
        <v>0</v>
      </c>
      <c r="M709" s="7">
        <v>0</v>
      </c>
      <c r="N709" s="7">
        <v>0</v>
      </c>
      <c r="O709" s="7">
        <v>0</v>
      </c>
      <c r="P709" s="7">
        <v>0</v>
      </c>
      <c r="Q709" s="7">
        <v>0</v>
      </c>
    </row>
    <row r="710" spans="1:17">
      <c r="A710" s="2">
        <v>2658</v>
      </c>
      <c r="B710" s="7">
        <v>0</v>
      </c>
      <c r="C710" s="7">
        <v>0</v>
      </c>
      <c r="D710" s="7">
        <v>0</v>
      </c>
      <c r="E710" s="7">
        <v>0</v>
      </c>
      <c r="F710" s="7">
        <v>0</v>
      </c>
      <c r="G710" s="7">
        <v>0</v>
      </c>
      <c r="H710" s="7">
        <v>0</v>
      </c>
      <c r="I710" s="7">
        <v>0</v>
      </c>
      <c r="J710" s="7">
        <v>0</v>
      </c>
      <c r="K710" s="7">
        <v>0</v>
      </c>
      <c r="L710" s="7">
        <v>0</v>
      </c>
      <c r="M710" s="7">
        <v>0</v>
      </c>
      <c r="N710" s="7">
        <v>0</v>
      </c>
      <c r="O710" s="7">
        <v>0</v>
      </c>
      <c r="P710" s="7">
        <v>0</v>
      </c>
      <c r="Q710" s="7">
        <v>0</v>
      </c>
    </row>
    <row r="711" spans="1:17">
      <c r="A711" s="2">
        <v>2659</v>
      </c>
      <c r="B711" s="7">
        <v>0</v>
      </c>
      <c r="C711" s="7">
        <v>0</v>
      </c>
      <c r="D711" s="7">
        <v>0</v>
      </c>
      <c r="E711" s="7">
        <v>0</v>
      </c>
      <c r="F711" s="7">
        <v>0</v>
      </c>
      <c r="G711" s="7">
        <v>0</v>
      </c>
      <c r="H711" s="7">
        <v>0</v>
      </c>
      <c r="I711" s="7">
        <v>0</v>
      </c>
      <c r="J711" s="7">
        <v>0</v>
      </c>
      <c r="K711" s="7">
        <v>0</v>
      </c>
      <c r="L711" s="7">
        <v>0</v>
      </c>
      <c r="M711" s="7">
        <v>0</v>
      </c>
      <c r="N711" s="7">
        <v>0</v>
      </c>
      <c r="O711" s="7">
        <v>0</v>
      </c>
      <c r="P711" s="7">
        <v>0</v>
      </c>
      <c r="Q711" s="7">
        <v>0</v>
      </c>
    </row>
    <row r="712" spans="1:17">
      <c r="A712" s="2">
        <v>2660</v>
      </c>
      <c r="B712" s="7">
        <v>0</v>
      </c>
      <c r="C712" s="7">
        <v>0</v>
      </c>
      <c r="D712" s="7">
        <v>0</v>
      </c>
      <c r="E712" s="7">
        <v>0</v>
      </c>
      <c r="F712" s="7">
        <v>0</v>
      </c>
      <c r="G712" s="7">
        <v>0</v>
      </c>
      <c r="H712" s="7">
        <v>0</v>
      </c>
      <c r="I712" s="7">
        <v>0</v>
      </c>
      <c r="J712" s="7">
        <v>0</v>
      </c>
      <c r="K712" s="7">
        <v>0</v>
      </c>
      <c r="L712" s="7">
        <v>0</v>
      </c>
      <c r="M712" s="7">
        <v>0</v>
      </c>
      <c r="N712" s="7">
        <v>0</v>
      </c>
      <c r="O712" s="7">
        <v>0</v>
      </c>
      <c r="P712" s="7">
        <v>0</v>
      </c>
      <c r="Q712" s="7">
        <v>0</v>
      </c>
    </row>
    <row r="713" spans="1:17">
      <c r="A713" s="2">
        <v>2661</v>
      </c>
      <c r="B713" s="7">
        <v>0</v>
      </c>
      <c r="C713" s="7">
        <v>0</v>
      </c>
      <c r="D713" s="7">
        <v>0</v>
      </c>
      <c r="E713" s="7">
        <v>0</v>
      </c>
      <c r="F713" s="7">
        <v>0</v>
      </c>
      <c r="G713" s="7">
        <v>0</v>
      </c>
      <c r="H713" s="7">
        <v>0</v>
      </c>
      <c r="I713" s="7">
        <v>0</v>
      </c>
      <c r="J713" s="7">
        <v>0</v>
      </c>
      <c r="K713" s="7">
        <v>0</v>
      </c>
      <c r="L713" s="7">
        <v>0</v>
      </c>
      <c r="M713" s="7">
        <v>0</v>
      </c>
      <c r="N713" s="7">
        <v>0</v>
      </c>
      <c r="O713" s="7">
        <v>0</v>
      </c>
      <c r="P713" s="7">
        <v>0</v>
      </c>
      <c r="Q713" s="7">
        <v>0</v>
      </c>
    </row>
    <row r="714" spans="1:17">
      <c r="A714" s="2">
        <v>2662</v>
      </c>
      <c r="B714" s="7">
        <v>0</v>
      </c>
      <c r="C714" s="7">
        <v>0</v>
      </c>
      <c r="D714" s="7">
        <v>0</v>
      </c>
      <c r="E714" s="7">
        <v>0</v>
      </c>
      <c r="F714" s="7">
        <v>0</v>
      </c>
      <c r="G714" s="7">
        <v>0</v>
      </c>
      <c r="H714" s="7">
        <v>0</v>
      </c>
      <c r="I714" s="7">
        <v>0</v>
      </c>
      <c r="J714" s="7">
        <v>0</v>
      </c>
      <c r="K714" s="7">
        <v>0</v>
      </c>
      <c r="L714" s="7">
        <v>0</v>
      </c>
      <c r="M714" s="7">
        <v>0</v>
      </c>
      <c r="N714" s="7">
        <v>0</v>
      </c>
      <c r="O714" s="7">
        <v>0</v>
      </c>
      <c r="P714" s="7">
        <v>0</v>
      </c>
      <c r="Q714" s="7">
        <v>0</v>
      </c>
    </row>
    <row r="715" spans="1:17">
      <c r="A715" s="2">
        <v>2663</v>
      </c>
      <c r="B715" s="7">
        <v>0</v>
      </c>
      <c r="C715" s="7">
        <v>0</v>
      </c>
      <c r="D715" s="7">
        <v>0</v>
      </c>
      <c r="E715" s="7">
        <v>0</v>
      </c>
      <c r="F715" s="7">
        <v>0</v>
      </c>
      <c r="G715" s="7">
        <v>0</v>
      </c>
      <c r="H715" s="7">
        <v>0</v>
      </c>
      <c r="I715" s="7">
        <v>0</v>
      </c>
      <c r="J715" s="7">
        <v>0</v>
      </c>
      <c r="K715" s="7">
        <v>0</v>
      </c>
      <c r="L715" s="7">
        <v>0</v>
      </c>
      <c r="M715" s="7">
        <v>0</v>
      </c>
      <c r="N715" s="7">
        <v>0</v>
      </c>
      <c r="O715" s="7">
        <v>0</v>
      </c>
      <c r="P715" s="7">
        <v>0</v>
      </c>
      <c r="Q715" s="7">
        <v>0</v>
      </c>
    </row>
    <row r="716" spans="1:17">
      <c r="A716" s="2">
        <v>2664</v>
      </c>
      <c r="B716" s="7">
        <v>0</v>
      </c>
      <c r="C716" s="7">
        <v>0</v>
      </c>
      <c r="D716" s="7">
        <v>0</v>
      </c>
      <c r="E716" s="7">
        <v>0</v>
      </c>
      <c r="F716" s="7">
        <v>0</v>
      </c>
      <c r="G716" s="7">
        <v>0</v>
      </c>
      <c r="H716" s="7">
        <v>0</v>
      </c>
      <c r="I716" s="7">
        <v>0</v>
      </c>
      <c r="J716" s="7">
        <v>0</v>
      </c>
      <c r="K716" s="7">
        <v>0</v>
      </c>
      <c r="L716" s="7">
        <v>0</v>
      </c>
      <c r="M716" s="7">
        <v>0</v>
      </c>
      <c r="N716" s="7">
        <v>0</v>
      </c>
      <c r="O716" s="7">
        <v>0</v>
      </c>
      <c r="P716" s="7">
        <v>0</v>
      </c>
      <c r="Q716" s="7">
        <v>0</v>
      </c>
    </row>
    <row r="717" spans="1:17">
      <c r="A717" s="2">
        <v>2665</v>
      </c>
      <c r="B717" s="7">
        <v>0</v>
      </c>
      <c r="C717" s="7">
        <v>0</v>
      </c>
      <c r="D717" s="7">
        <v>0</v>
      </c>
      <c r="E717" s="7">
        <v>0</v>
      </c>
      <c r="F717" s="7">
        <v>0</v>
      </c>
      <c r="G717" s="7">
        <v>0</v>
      </c>
      <c r="H717" s="7">
        <v>0</v>
      </c>
      <c r="I717" s="7">
        <v>0</v>
      </c>
      <c r="J717" s="7">
        <v>0</v>
      </c>
      <c r="K717" s="7">
        <v>0</v>
      </c>
      <c r="L717" s="7">
        <v>0</v>
      </c>
      <c r="M717" s="7">
        <v>0</v>
      </c>
      <c r="N717" s="7">
        <v>0</v>
      </c>
      <c r="O717" s="7">
        <v>0</v>
      </c>
      <c r="P717" s="7">
        <v>0</v>
      </c>
      <c r="Q717" s="7">
        <v>0</v>
      </c>
    </row>
    <row r="718" spans="1:17">
      <c r="A718" s="2">
        <v>2666</v>
      </c>
      <c r="B718" s="7">
        <v>0</v>
      </c>
      <c r="C718" s="7">
        <v>0</v>
      </c>
      <c r="D718" s="7">
        <v>0</v>
      </c>
      <c r="E718" s="7">
        <v>0</v>
      </c>
      <c r="F718" s="7">
        <v>0</v>
      </c>
      <c r="G718" s="7">
        <v>0</v>
      </c>
      <c r="H718" s="7">
        <v>0</v>
      </c>
      <c r="I718" s="7">
        <v>0</v>
      </c>
      <c r="J718" s="7">
        <v>0</v>
      </c>
      <c r="K718" s="7">
        <v>0</v>
      </c>
      <c r="L718" s="7">
        <v>0</v>
      </c>
      <c r="M718" s="7">
        <v>0</v>
      </c>
      <c r="N718" s="7">
        <v>0</v>
      </c>
      <c r="O718" s="7">
        <v>0</v>
      </c>
      <c r="P718" s="7">
        <v>0</v>
      </c>
      <c r="Q718" s="7">
        <v>0</v>
      </c>
    </row>
    <row r="719" spans="1:17">
      <c r="A719" s="2">
        <v>2667</v>
      </c>
      <c r="B719" s="7">
        <v>0</v>
      </c>
      <c r="C719" s="7">
        <v>0</v>
      </c>
      <c r="D719" s="7">
        <v>0</v>
      </c>
      <c r="E719" s="7">
        <v>0</v>
      </c>
      <c r="F719" s="7">
        <v>0</v>
      </c>
      <c r="G719" s="7">
        <v>0</v>
      </c>
      <c r="H719" s="7">
        <v>0</v>
      </c>
      <c r="I719" s="7">
        <v>0</v>
      </c>
      <c r="J719" s="7">
        <v>0</v>
      </c>
      <c r="K719" s="7">
        <v>0</v>
      </c>
      <c r="L719" s="7">
        <v>0</v>
      </c>
      <c r="M719" s="7">
        <v>0</v>
      </c>
      <c r="N719" s="7">
        <v>0</v>
      </c>
      <c r="O719" s="7">
        <v>0</v>
      </c>
      <c r="P719" s="7">
        <v>0</v>
      </c>
      <c r="Q719" s="7">
        <v>0</v>
      </c>
    </row>
    <row r="720" spans="1:17">
      <c r="A720" s="2">
        <v>2668</v>
      </c>
      <c r="B720" s="7">
        <v>0</v>
      </c>
      <c r="C720" s="7">
        <v>0</v>
      </c>
      <c r="D720" s="7">
        <v>0</v>
      </c>
      <c r="E720" s="7">
        <v>0</v>
      </c>
      <c r="F720" s="7">
        <v>0</v>
      </c>
      <c r="G720" s="7">
        <v>0</v>
      </c>
      <c r="H720" s="7">
        <v>0</v>
      </c>
      <c r="I720" s="7">
        <v>0</v>
      </c>
      <c r="J720" s="7">
        <v>0</v>
      </c>
      <c r="K720" s="7">
        <v>0</v>
      </c>
      <c r="L720" s="7">
        <v>0</v>
      </c>
      <c r="M720" s="7">
        <v>0</v>
      </c>
      <c r="N720" s="7">
        <v>0</v>
      </c>
      <c r="O720" s="7">
        <v>0</v>
      </c>
      <c r="P720" s="7">
        <v>0</v>
      </c>
      <c r="Q720" s="7">
        <v>0</v>
      </c>
    </row>
    <row r="721" spans="1:17">
      <c r="A721" s="2">
        <v>2669</v>
      </c>
      <c r="B721" s="7">
        <v>0</v>
      </c>
      <c r="C721" s="7">
        <v>0</v>
      </c>
      <c r="D721" s="7">
        <v>0</v>
      </c>
      <c r="E721" s="7">
        <v>0</v>
      </c>
      <c r="F721" s="7">
        <v>0</v>
      </c>
      <c r="G721" s="7">
        <v>0</v>
      </c>
      <c r="H721" s="7">
        <v>0</v>
      </c>
      <c r="I721" s="7">
        <v>0</v>
      </c>
      <c r="J721" s="7">
        <v>0</v>
      </c>
      <c r="K721" s="7">
        <v>0</v>
      </c>
      <c r="L721" s="7">
        <v>0</v>
      </c>
      <c r="M721" s="7">
        <v>0</v>
      </c>
      <c r="N721" s="7">
        <v>0</v>
      </c>
      <c r="O721" s="7">
        <v>0</v>
      </c>
      <c r="P721" s="7">
        <v>0</v>
      </c>
      <c r="Q721" s="7">
        <v>0</v>
      </c>
    </row>
    <row r="722" spans="1:17">
      <c r="A722" s="2">
        <v>2670</v>
      </c>
      <c r="B722" s="7">
        <v>0</v>
      </c>
      <c r="C722" s="7">
        <v>0</v>
      </c>
      <c r="D722" s="7">
        <v>0</v>
      </c>
      <c r="E722" s="7">
        <v>0</v>
      </c>
      <c r="F722" s="7">
        <v>0</v>
      </c>
      <c r="G722" s="7">
        <v>0</v>
      </c>
      <c r="H722" s="7">
        <v>0</v>
      </c>
      <c r="I722" s="7">
        <v>0</v>
      </c>
      <c r="J722" s="7">
        <v>0</v>
      </c>
      <c r="K722" s="7">
        <v>0</v>
      </c>
      <c r="L722" s="7">
        <v>0</v>
      </c>
      <c r="M722" s="7">
        <v>0</v>
      </c>
      <c r="N722" s="7">
        <v>0</v>
      </c>
      <c r="O722" s="7">
        <v>0</v>
      </c>
      <c r="P722" s="7">
        <v>0</v>
      </c>
      <c r="Q722" s="7">
        <v>0</v>
      </c>
    </row>
    <row r="723" spans="1:17">
      <c r="A723" s="2">
        <v>2671</v>
      </c>
      <c r="B723" s="7">
        <v>0</v>
      </c>
      <c r="C723" s="7">
        <v>0</v>
      </c>
      <c r="D723" s="7">
        <v>0</v>
      </c>
      <c r="E723" s="7">
        <v>0</v>
      </c>
      <c r="F723" s="7">
        <v>0</v>
      </c>
      <c r="G723" s="7">
        <v>0</v>
      </c>
      <c r="H723" s="7">
        <v>0</v>
      </c>
      <c r="I723" s="7">
        <v>0</v>
      </c>
      <c r="J723" s="7">
        <v>0</v>
      </c>
      <c r="K723" s="7">
        <v>0</v>
      </c>
      <c r="L723" s="7">
        <v>0</v>
      </c>
      <c r="M723" s="7">
        <v>0</v>
      </c>
      <c r="N723" s="7">
        <v>0</v>
      </c>
      <c r="O723" s="7">
        <v>0</v>
      </c>
      <c r="P723" s="7">
        <v>0</v>
      </c>
      <c r="Q723" s="7">
        <v>0</v>
      </c>
    </row>
    <row r="724" spans="1:17">
      <c r="A724" s="2">
        <v>2672</v>
      </c>
      <c r="B724" s="7">
        <v>0</v>
      </c>
      <c r="C724" s="7">
        <v>0</v>
      </c>
      <c r="D724" s="7">
        <v>0</v>
      </c>
      <c r="E724" s="7">
        <v>0</v>
      </c>
      <c r="F724" s="7">
        <v>0</v>
      </c>
      <c r="G724" s="7">
        <v>0</v>
      </c>
      <c r="H724" s="7">
        <v>0</v>
      </c>
      <c r="I724" s="7">
        <v>0</v>
      </c>
      <c r="J724" s="7">
        <v>0</v>
      </c>
      <c r="K724" s="7">
        <v>0</v>
      </c>
      <c r="L724" s="7">
        <v>0</v>
      </c>
      <c r="M724" s="7">
        <v>0</v>
      </c>
      <c r="N724" s="7">
        <v>0</v>
      </c>
      <c r="O724" s="7">
        <v>0</v>
      </c>
      <c r="P724" s="7">
        <v>0</v>
      </c>
      <c r="Q724" s="7">
        <v>0</v>
      </c>
    </row>
    <row r="725" spans="1:17">
      <c r="A725" s="2">
        <v>2673</v>
      </c>
      <c r="B725" s="7">
        <v>0</v>
      </c>
      <c r="C725" s="7">
        <v>0</v>
      </c>
      <c r="D725" s="7">
        <v>0</v>
      </c>
      <c r="E725" s="7">
        <v>0</v>
      </c>
      <c r="F725" s="7">
        <v>0</v>
      </c>
      <c r="G725" s="7">
        <v>0</v>
      </c>
      <c r="H725" s="7">
        <v>0</v>
      </c>
      <c r="I725" s="7">
        <v>0</v>
      </c>
      <c r="J725" s="7">
        <v>0</v>
      </c>
      <c r="K725" s="7">
        <v>0</v>
      </c>
      <c r="L725" s="7">
        <v>0</v>
      </c>
      <c r="M725" s="7">
        <v>0</v>
      </c>
      <c r="N725" s="7">
        <v>0</v>
      </c>
      <c r="O725" s="7">
        <v>0</v>
      </c>
      <c r="P725" s="7">
        <v>0</v>
      </c>
      <c r="Q725" s="7">
        <v>0</v>
      </c>
    </row>
    <row r="726" spans="1:17">
      <c r="A726" s="2">
        <v>2674</v>
      </c>
      <c r="B726" s="7">
        <v>0</v>
      </c>
      <c r="C726" s="7">
        <v>0</v>
      </c>
      <c r="D726" s="7">
        <v>0</v>
      </c>
      <c r="E726" s="7">
        <v>0</v>
      </c>
      <c r="F726" s="7">
        <v>0</v>
      </c>
      <c r="G726" s="7">
        <v>0</v>
      </c>
      <c r="H726" s="7">
        <v>0</v>
      </c>
      <c r="I726" s="7">
        <v>0</v>
      </c>
      <c r="J726" s="7">
        <v>0</v>
      </c>
      <c r="K726" s="7">
        <v>0</v>
      </c>
      <c r="L726" s="7">
        <v>0</v>
      </c>
      <c r="M726" s="7">
        <v>0</v>
      </c>
      <c r="N726" s="7">
        <v>0</v>
      </c>
      <c r="O726" s="7">
        <v>0</v>
      </c>
      <c r="P726" s="7">
        <v>0</v>
      </c>
      <c r="Q726" s="7">
        <v>0</v>
      </c>
    </row>
    <row r="727" spans="1:17">
      <c r="A727" s="2">
        <v>2675</v>
      </c>
      <c r="B727" s="7">
        <v>0</v>
      </c>
      <c r="C727" s="7">
        <v>0</v>
      </c>
      <c r="D727" s="7">
        <v>0</v>
      </c>
      <c r="E727" s="7">
        <v>0</v>
      </c>
      <c r="F727" s="7">
        <v>0</v>
      </c>
      <c r="G727" s="7">
        <v>0</v>
      </c>
      <c r="H727" s="7">
        <v>0</v>
      </c>
      <c r="I727" s="7">
        <v>0</v>
      </c>
      <c r="J727" s="7">
        <v>0</v>
      </c>
      <c r="K727" s="7">
        <v>0</v>
      </c>
      <c r="L727" s="7">
        <v>0</v>
      </c>
      <c r="M727" s="7">
        <v>0</v>
      </c>
      <c r="N727" s="7">
        <v>0</v>
      </c>
      <c r="O727" s="7">
        <v>0</v>
      </c>
      <c r="P727" s="7">
        <v>0</v>
      </c>
      <c r="Q727" s="7">
        <v>0</v>
      </c>
    </row>
    <row r="728" spans="1:17">
      <c r="A728" s="2">
        <v>2676</v>
      </c>
      <c r="B728" s="7">
        <v>0</v>
      </c>
      <c r="C728" s="7">
        <v>0</v>
      </c>
      <c r="D728" s="7">
        <v>0</v>
      </c>
      <c r="E728" s="7">
        <v>0</v>
      </c>
      <c r="F728" s="7">
        <v>0</v>
      </c>
      <c r="G728" s="7">
        <v>0</v>
      </c>
      <c r="H728" s="7">
        <v>0</v>
      </c>
      <c r="I728" s="7">
        <v>0</v>
      </c>
      <c r="J728" s="7">
        <v>0</v>
      </c>
      <c r="K728" s="7">
        <v>0</v>
      </c>
      <c r="L728" s="7">
        <v>0</v>
      </c>
      <c r="M728" s="7">
        <v>0</v>
      </c>
      <c r="N728" s="7">
        <v>0</v>
      </c>
      <c r="O728" s="7">
        <v>0</v>
      </c>
      <c r="P728" s="7">
        <v>0</v>
      </c>
      <c r="Q728" s="7">
        <v>0</v>
      </c>
    </row>
    <row r="729" spans="1:17">
      <c r="A729" s="2">
        <v>2677</v>
      </c>
      <c r="B729" s="7">
        <v>0</v>
      </c>
      <c r="C729" s="7">
        <v>0</v>
      </c>
      <c r="D729" s="7">
        <v>0</v>
      </c>
      <c r="E729" s="7">
        <v>0</v>
      </c>
      <c r="F729" s="7">
        <v>0</v>
      </c>
      <c r="G729" s="7">
        <v>0</v>
      </c>
      <c r="H729" s="7">
        <v>0</v>
      </c>
      <c r="I729" s="7">
        <v>0</v>
      </c>
      <c r="J729" s="7">
        <v>0</v>
      </c>
      <c r="K729" s="7">
        <v>0</v>
      </c>
      <c r="L729" s="7">
        <v>0</v>
      </c>
      <c r="M729" s="7">
        <v>0</v>
      </c>
      <c r="N729" s="7">
        <v>0</v>
      </c>
      <c r="O729" s="7">
        <v>0</v>
      </c>
      <c r="P729" s="7">
        <v>0</v>
      </c>
      <c r="Q729" s="7">
        <v>0</v>
      </c>
    </row>
    <row r="730" spans="1:17">
      <c r="A730" s="2">
        <v>2678</v>
      </c>
      <c r="B730" s="7">
        <v>0</v>
      </c>
      <c r="C730" s="7">
        <v>0</v>
      </c>
      <c r="D730" s="7">
        <v>0</v>
      </c>
      <c r="E730" s="7">
        <v>0</v>
      </c>
      <c r="F730" s="7">
        <v>0</v>
      </c>
      <c r="G730" s="7">
        <v>0</v>
      </c>
      <c r="H730" s="7">
        <v>0</v>
      </c>
      <c r="I730" s="7">
        <v>0</v>
      </c>
      <c r="J730" s="7">
        <v>0</v>
      </c>
      <c r="K730" s="7">
        <v>0</v>
      </c>
      <c r="L730" s="7">
        <v>0</v>
      </c>
      <c r="M730" s="7">
        <v>0</v>
      </c>
      <c r="N730" s="7">
        <v>0</v>
      </c>
      <c r="O730" s="7">
        <v>0</v>
      </c>
      <c r="P730" s="7">
        <v>0</v>
      </c>
      <c r="Q730" s="7">
        <v>0</v>
      </c>
    </row>
    <row r="731" spans="1:17">
      <c r="A731" s="2">
        <v>2679</v>
      </c>
      <c r="B731" s="7">
        <v>0</v>
      </c>
      <c r="C731" s="7">
        <v>0</v>
      </c>
      <c r="D731" s="7">
        <v>0</v>
      </c>
      <c r="E731" s="7">
        <v>0</v>
      </c>
      <c r="F731" s="7">
        <v>0</v>
      </c>
      <c r="G731" s="7">
        <v>0</v>
      </c>
      <c r="H731" s="7">
        <v>0</v>
      </c>
      <c r="I731" s="7">
        <v>0</v>
      </c>
      <c r="J731" s="7">
        <v>0</v>
      </c>
      <c r="K731" s="7">
        <v>0</v>
      </c>
      <c r="L731" s="7">
        <v>0</v>
      </c>
      <c r="M731" s="7">
        <v>0</v>
      </c>
      <c r="N731" s="7">
        <v>0</v>
      </c>
      <c r="O731" s="7">
        <v>0</v>
      </c>
      <c r="P731" s="7">
        <v>0</v>
      </c>
      <c r="Q731" s="7">
        <v>0</v>
      </c>
    </row>
    <row r="732" spans="1:17">
      <c r="A732" s="2">
        <v>2680</v>
      </c>
      <c r="B732" s="7">
        <v>0</v>
      </c>
      <c r="C732" s="7">
        <v>0</v>
      </c>
      <c r="D732" s="7">
        <v>0</v>
      </c>
      <c r="E732" s="7">
        <v>0</v>
      </c>
      <c r="F732" s="7">
        <v>0</v>
      </c>
      <c r="G732" s="7">
        <v>0</v>
      </c>
      <c r="H732" s="7">
        <v>0</v>
      </c>
      <c r="I732" s="7">
        <v>0</v>
      </c>
      <c r="J732" s="7">
        <v>0</v>
      </c>
      <c r="K732" s="7">
        <v>0</v>
      </c>
      <c r="L732" s="7">
        <v>0</v>
      </c>
      <c r="M732" s="7">
        <v>0</v>
      </c>
      <c r="N732" s="7">
        <v>0</v>
      </c>
      <c r="O732" s="7">
        <v>0</v>
      </c>
      <c r="P732" s="7">
        <v>0</v>
      </c>
      <c r="Q732" s="7">
        <v>0</v>
      </c>
    </row>
    <row r="733" spans="1:17">
      <c r="A733" s="2">
        <v>2681</v>
      </c>
      <c r="B733" s="7">
        <v>0</v>
      </c>
      <c r="C733" s="7">
        <v>0</v>
      </c>
      <c r="D733" s="7">
        <v>0</v>
      </c>
      <c r="E733" s="7">
        <v>0</v>
      </c>
      <c r="F733" s="7">
        <v>0</v>
      </c>
      <c r="G733" s="7">
        <v>0</v>
      </c>
      <c r="H733" s="7">
        <v>0</v>
      </c>
      <c r="I733" s="7">
        <v>0</v>
      </c>
      <c r="J733" s="7">
        <v>0</v>
      </c>
      <c r="K733" s="7">
        <v>0</v>
      </c>
      <c r="L733" s="7">
        <v>0</v>
      </c>
      <c r="M733" s="7">
        <v>0</v>
      </c>
      <c r="N733" s="7">
        <v>0</v>
      </c>
      <c r="O733" s="7">
        <v>0</v>
      </c>
      <c r="P733" s="7">
        <v>0</v>
      </c>
      <c r="Q733" s="7">
        <v>0</v>
      </c>
    </row>
    <row r="734" spans="1:17">
      <c r="A734" s="2">
        <v>2682</v>
      </c>
      <c r="B734" s="7">
        <v>0</v>
      </c>
      <c r="C734" s="7">
        <v>0</v>
      </c>
      <c r="D734" s="7">
        <v>0</v>
      </c>
      <c r="E734" s="7">
        <v>0</v>
      </c>
      <c r="F734" s="7">
        <v>0</v>
      </c>
      <c r="G734" s="7">
        <v>0</v>
      </c>
      <c r="H734" s="7">
        <v>0</v>
      </c>
      <c r="I734" s="7">
        <v>0</v>
      </c>
      <c r="J734" s="7">
        <v>0</v>
      </c>
      <c r="K734" s="7">
        <v>0</v>
      </c>
      <c r="L734" s="7">
        <v>0</v>
      </c>
      <c r="M734" s="7">
        <v>0</v>
      </c>
      <c r="N734" s="7">
        <v>0</v>
      </c>
      <c r="O734" s="7">
        <v>0</v>
      </c>
      <c r="P734" s="7">
        <v>0</v>
      </c>
      <c r="Q734" s="7">
        <v>0</v>
      </c>
    </row>
    <row r="735" spans="1:17">
      <c r="A735" s="2">
        <v>2683</v>
      </c>
      <c r="B735" s="7">
        <v>0</v>
      </c>
      <c r="C735" s="7">
        <v>0</v>
      </c>
      <c r="D735" s="7">
        <v>0</v>
      </c>
      <c r="E735" s="7">
        <v>0</v>
      </c>
      <c r="F735" s="7">
        <v>0</v>
      </c>
      <c r="G735" s="7">
        <v>0</v>
      </c>
      <c r="H735" s="7">
        <v>0</v>
      </c>
      <c r="I735" s="7">
        <v>0</v>
      </c>
      <c r="J735" s="7">
        <v>0</v>
      </c>
      <c r="K735" s="7">
        <v>0</v>
      </c>
      <c r="L735" s="7">
        <v>0</v>
      </c>
      <c r="M735" s="7">
        <v>0</v>
      </c>
      <c r="N735" s="7">
        <v>0</v>
      </c>
      <c r="O735" s="7">
        <v>0</v>
      </c>
      <c r="P735" s="7">
        <v>0</v>
      </c>
      <c r="Q735" s="7">
        <v>0</v>
      </c>
    </row>
    <row r="736" spans="1:17">
      <c r="A736" s="2">
        <v>2684</v>
      </c>
      <c r="B736" s="7">
        <v>0</v>
      </c>
      <c r="C736" s="7">
        <v>0</v>
      </c>
      <c r="D736" s="7">
        <v>0</v>
      </c>
      <c r="E736" s="7">
        <v>0</v>
      </c>
      <c r="F736" s="7">
        <v>0</v>
      </c>
      <c r="G736" s="7">
        <v>0</v>
      </c>
      <c r="H736" s="7">
        <v>0</v>
      </c>
      <c r="I736" s="7">
        <v>0</v>
      </c>
      <c r="J736" s="7">
        <v>0</v>
      </c>
      <c r="K736" s="7">
        <v>0</v>
      </c>
      <c r="L736" s="7">
        <v>0</v>
      </c>
      <c r="M736" s="7">
        <v>0</v>
      </c>
      <c r="N736" s="7">
        <v>0</v>
      </c>
      <c r="O736" s="7">
        <v>0</v>
      </c>
      <c r="P736" s="7">
        <v>0</v>
      </c>
      <c r="Q736" s="7">
        <v>0</v>
      </c>
    </row>
    <row r="737" spans="1:17">
      <c r="A737" s="2">
        <v>2685</v>
      </c>
      <c r="B737" s="7">
        <v>0</v>
      </c>
      <c r="C737" s="7">
        <v>0</v>
      </c>
      <c r="D737" s="7">
        <v>0</v>
      </c>
      <c r="E737" s="7">
        <v>0</v>
      </c>
      <c r="F737" s="7">
        <v>0</v>
      </c>
      <c r="G737" s="7">
        <v>0</v>
      </c>
      <c r="H737" s="7">
        <v>0</v>
      </c>
      <c r="I737" s="7">
        <v>0</v>
      </c>
      <c r="J737" s="7">
        <v>0</v>
      </c>
      <c r="K737" s="7">
        <v>0</v>
      </c>
      <c r="L737" s="7">
        <v>0</v>
      </c>
      <c r="M737" s="7">
        <v>0</v>
      </c>
      <c r="N737" s="7">
        <v>0</v>
      </c>
      <c r="O737" s="7">
        <v>0</v>
      </c>
      <c r="P737" s="7">
        <v>0</v>
      </c>
      <c r="Q737" s="7">
        <v>0</v>
      </c>
    </row>
    <row r="738" spans="1:17">
      <c r="A738" s="2">
        <v>2686</v>
      </c>
      <c r="B738" s="7">
        <v>0</v>
      </c>
      <c r="C738" s="7">
        <v>0</v>
      </c>
      <c r="D738" s="7">
        <v>0</v>
      </c>
      <c r="E738" s="7">
        <v>0</v>
      </c>
      <c r="F738" s="7">
        <v>0</v>
      </c>
      <c r="G738" s="7">
        <v>0</v>
      </c>
      <c r="H738" s="7">
        <v>0</v>
      </c>
      <c r="I738" s="7">
        <v>0</v>
      </c>
      <c r="J738" s="7">
        <v>0</v>
      </c>
      <c r="K738" s="7">
        <v>0</v>
      </c>
      <c r="L738" s="7">
        <v>0</v>
      </c>
      <c r="M738" s="7">
        <v>0</v>
      </c>
      <c r="N738" s="7">
        <v>0</v>
      </c>
      <c r="O738" s="7">
        <v>0</v>
      </c>
      <c r="P738" s="7">
        <v>0</v>
      </c>
      <c r="Q738" s="7">
        <v>0</v>
      </c>
    </row>
    <row r="739" spans="1:17">
      <c r="A739" s="2">
        <v>2687</v>
      </c>
      <c r="B739" s="7">
        <v>0</v>
      </c>
      <c r="C739" s="7">
        <v>0</v>
      </c>
      <c r="D739" s="7">
        <v>0</v>
      </c>
      <c r="E739" s="7">
        <v>0</v>
      </c>
      <c r="F739" s="7">
        <v>0</v>
      </c>
      <c r="G739" s="7">
        <v>0</v>
      </c>
      <c r="H739" s="7">
        <v>0</v>
      </c>
      <c r="I739" s="7">
        <v>0</v>
      </c>
      <c r="J739" s="7">
        <v>0</v>
      </c>
      <c r="K739" s="7">
        <v>0</v>
      </c>
      <c r="L739" s="7">
        <v>0</v>
      </c>
      <c r="M739" s="7">
        <v>0</v>
      </c>
      <c r="N739" s="7">
        <v>0</v>
      </c>
      <c r="O739" s="7">
        <v>0</v>
      </c>
      <c r="P739" s="7">
        <v>0</v>
      </c>
      <c r="Q739" s="7">
        <v>0</v>
      </c>
    </row>
    <row r="740" spans="1:17">
      <c r="A740" s="2">
        <v>2688</v>
      </c>
      <c r="B740" s="7">
        <v>0</v>
      </c>
      <c r="C740" s="7">
        <v>0</v>
      </c>
      <c r="D740" s="7">
        <v>0</v>
      </c>
      <c r="E740" s="7">
        <v>0</v>
      </c>
      <c r="F740" s="7">
        <v>0</v>
      </c>
      <c r="G740" s="7">
        <v>0</v>
      </c>
      <c r="H740" s="7">
        <v>0</v>
      </c>
      <c r="I740" s="7">
        <v>0</v>
      </c>
      <c r="J740" s="7">
        <v>0</v>
      </c>
      <c r="K740" s="7">
        <v>0</v>
      </c>
      <c r="L740" s="7">
        <v>0</v>
      </c>
      <c r="M740" s="7">
        <v>0</v>
      </c>
      <c r="N740" s="7">
        <v>0</v>
      </c>
      <c r="O740" s="7">
        <v>0</v>
      </c>
      <c r="P740" s="7">
        <v>0</v>
      </c>
      <c r="Q740" s="7">
        <v>0</v>
      </c>
    </row>
    <row r="741" spans="1:17">
      <c r="A741" s="2">
        <v>2689</v>
      </c>
      <c r="B741" s="7">
        <v>0</v>
      </c>
      <c r="C741" s="7">
        <v>0</v>
      </c>
      <c r="D741" s="7">
        <v>0</v>
      </c>
      <c r="E741" s="7">
        <v>0</v>
      </c>
      <c r="F741" s="7">
        <v>0</v>
      </c>
      <c r="G741" s="7">
        <v>0</v>
      </c>
      <c r="H741" s="7">
        <v>0</v>
      </c>
      <c r="I741" s="7">
        <v>0</v>
      </c>
      <c r="J741" s="7">
        <v>0</v>
      </c>
      <c r="K741" s="7">
        <v>0</v>
      </c>
      <c r="L741" s="7">
        <v>0</v>
      </c>
      <c r="M741" s="7">
        <v>0</v>
      </c>
      <c r="N741" s="7">
        <v>0</v>
      </c>
      <c r="O741" s="7">
        <v>0</v>
      </c>
      <c r="P741" s="7">
        <v>0</v>
      </c>
      <c r="Q741" s="7">
        <v>0</v>
      </c>
    </row>
    <row r="742" spans="1:17">
      <c r="A742" s="2">
        <v>2690</v>
      </c>
      <c r="B742" s="7">
        <v>0</v>
      </c>
      <c r="C742" s="7">
        <v>0</v>
      </c>
      <c r="D742" s="7">
        <v>0</v>
      </c>
      <c r="E742" s="7">
        <v>0</v>
      </c>
      <c r="F742" s="7">
        <v>0</v>
      </c>
      <c r="G742" s="7">
        <v>0</v>
      </c>
      <c r="H742" s="7">
        <v>0</v>
      </c>
      <c r="I742" s="7">
        <v>0</v>
      </c>
      <c r="J742" s="7">
        <v>0</v>
      </c>
      <c r="K742" s="7">
        <v>0</v>
      </c>
      <c r="L742" s="7">
        <v>0</v>
      </c>
      <c r="M742" s="7">
        <v>0</v>
      </c>
      <c r="N742" s="7">
        <v>0</v>
      </c>
      <c r="O742" s="7">
        <v>0</v>
      </c>
      <c r="P742" s="7">
        <v>0</v>
      </c>
      <c r="Q742" s="7">
        <v>0</v>
      </c>
    </row>
    <row r="743" spans="1:17">
      <c r="A743" s="2">
        <v>2691</v>
      </c>
      <c r="B743" s="7">
        <v>0</v>
      </c>
      <c r="C743" s="7">
        <v>0</v>
      </c>
      <c r="D743" s="7">
        <v>0</v>
      </c>
      <c r="E743" s="7">
        <v>0</v>
      </c>
      <c r="F743" s="7">
        <v>0</v>
      </c>
      <c r="G743" s="7">
        <v>0</v>
      </c>
      <c r="H743" s="7">
        <v>0</v>
      </c>
      <c r="I743" s="7">
        <v>0</v>
      </c>
      <c r="J743" s="7">
        <v>0</v>
      </c>
      <c r="K743" s="7">
        <v>0</v>
      </c>
      <c r="L743" s="7">
        <v>0</v>
      </c>
      <c r="M743" s="7">
        <v>0</v>
      </c>
      <c r="N743" s="7">
        <v>0</v>
      </c>
      <c r="O743" s="7">
        <v>0</v>
      </c>
      <c r="P743" s="7">
        <v>0</v>
      </c>
      <c r="Q743" s="7">
        <v>0</v>
      </c>
    </row>
    <row r="744" spans="1:17">
      <c r="A744" s="2">
        <v>2692</v>
      </c>
      <c r="B744" s="7">
        <v>0</v>
      </c>
      <c r="C744" s="7">
        <v>0</v>
      </c>
      <c r="D744" s="7">
        <v>0</v>
      </c>
      <c r="E744" s="7">
        <v>0</v>
      </c>
      <c r="F744" s="7">
        <v>0</v>
      </c>
      <c r="G744" s="7">
        <v>0</v>
      </c>
      <c r="H744" s="7">
        <v>0</v>
      </c>
      <c r="I744" s="7">
        <v>0</v>
      </c>
      <c r="J744" s="7">
        <v>0</v>
      </c>
      <c r="K744" s="7">
        <v>0</v>
      </c>
      <c r="L744" s="7">
        <v>0</v>
      </c>
      <c r="M744" s="7">
        <v>0</v>
      </c>
      <c r="N744" s="7">
        <v>0</v>
      </c>
      <c r="O744" s="7">
        <v>0</v>
      </c>
      <c r="P744" s="7">
        <v>0</v>
      </c>
      <c r="Q744" s="7">
        <v>0</v>
      </c>
    </row>
    <row r="745" spans="1:17">
      <c r="A745" s="2">
        <v>2693</v>
      </c>
      <c r="B745" s="7">
        <v>0</v>
      </c>
      <c r="C745" s="7">
        <v>0</v>
      </c>
      <c r="D745" s="7">
        <v>0</v>
      </c>
      <c r="E745" s="7">
        <v>0</v>
      </c>
      <c r="F745" s="7">
        <v>0</v>
      </c>
      <c r="G745" s="7">
        <v>0</v>
      </c>
      <c r="H745" s="7">
        <v>0</v>
      </c>
      <c r="I745" s="7">
        <v>0</v>
      </c>
      <c r="J745" s="7">
        <v>0</v>
      </c>
      <c r="K745" s="7">
        <v>0</v>
      </c>
      <c r="L745" s="7">
        <v>0</v>
      </c>
      <c r="M745" s="7">
        <v>0</v>
      </c>
      <c r="N745" s="7">
        <v>0</v>
      </c>
      <c r="O745" s="7">
        <v>0</v>
      </c>
      <c r="P745" s="7">
        <v>0</v>
      </c>
      <c r="Q745" s="7">
        <v>0</v>
      </c>
    </row>
    <row r="746" spans="1:17">
      <c r="A746" s="2">
        <v>2694</v>
      </c>
      <c r="B746" s="7">
        <v>0</v>
      </c>
      <c r="C746" s="7">
        <v>0</v>
      </c>
      <c r="D746" s="7">
        <v>0</v>
      </c>
      <c r="E746" s="7">
        <v>0</v>
      </c>
      <c r="F746" s="7">
        <v>0</v>
      </c>
      <c r="G746" s="7">
        <v>0</v>
      </c>
      <c r="H746" s="7">
        <v>0</v>
      </c>
      <c r="I746" s="7">
        <v>0</v>
      </c>
      <c r="J746" s="7">
        <v>0</v>
      </c>
      <c r="K746" s="7">
        <v>0</v>
      </c>
      <c r="L746" s="7">
        <v>0</v>
      </c>
      <c r="M746" s="7">
        <v>0</v>
      </c>
      <c r="N746" s="7">
        <v>0</v>
      </c>
      <c r="O746" s="7">
        <v>0</v>
      </c>
      <c r="P746" s="7">
        <v>0</v>
      </c>
      <c r="Q746" s="7">
        <v>0</v>
      </c>
    </row>
    <row r="747" spans="1:17">
      <c r="A747" s="2">
        <v>2695</v>
      </c>
      <c r="B747" s="7">
        <v>0</v>
      </c>
      <c r="C747" s="7">
        <v>0</v>
      </c>
      <c r="D747" s="7">
        <v>0</v>
      </c>
      <c r="E747" s="7">
        <v>0</v>
      </c>
      <c r="F747" s="7">
        <v>0</v>
      </c>
      <c r="G747" s="7">
        <v>0</v>
      </c>
      <c r="H747" s="7">
        <v>0</v>
      </c>
      <c r="I747" s="7">
        <v>0</v>
      </c>
      <c r="J747" s="7">
        <v>0</v>
      </c>
      <c r="K747" s="7">
        <v>0</v>
      </c>
      <c r="L747" s="7">
        <v>0</v>
      </c>
      <c r="M747" s="7">
        <v>0</v>
      </c>
      <c r="N747" s="7">
        <v>0</v>
      </c>
      <c r="O747" s="7">
        <v>0</v>
      </c>
      <c r="P747" s="7">
        <v>0</v>
      </c>
      <c r="Q747" s="7">
        <v>0</v>
      </c>
    </row>
    <row r="748" spans="1:17">
      <c r="A748" s="2">
        <v>2696</v>
      </c>
      <c r="B748" s="7">
        <v>0</v>
      </c>
      <c r="C748" s="7">
        <v>0</v>
      </c>
      <c r="D748" s="7">
        <v>0</v>
      </c>
      <c r="E748" s="7">
        <v>0</v>
      </c>
      <c r="F748" s="7">
        <v>0</v>
      </c>
      <c r="G748" s="7">
        <v>0</v>
      </c>
      <c r="H748" s="7">
        <v>0</v>
      </c>
      <c r="I748" s="7">
        <v>0</v>
      </c>
      <c r="J748" s="7">
        <v>0</v>
      </c>
      <c r="K748" s="7">
        <v>0</v>
      </c>
      <c r="L748" s="7">
        <v>0</v>
      </c>
      <c r="M748" s="7">
        <v>0</v>
      </c>
      <c r="N748" s="7">
        <v>0</v>
      </c>
      <c r="O748" s="7">
        <v>0</v>
      </c>
      <c r="P748" s="7">
        <v>0</v>
      </c>
      <c r="Q748" s="7">
        <v>0</v>
      </c>
    </row>
    <row r="749" spans="1:17">
      <c r="A749" s="2">
        <v>2697</v>
      </c>
      <c r="B749" s="7">
        <v>0</v>
      </c>
      <c r="C749" s="7">
        <v>0</v>
      </c>
      <c r="D749" s="7">
        <v>0</v>
      </c>
      <c r="E749" s="7">
        <v>0</v>
      </c>
      <c r="F749" s="7">
        <v>0</v>
      </c>
      <c r="G749" s="7">
        <v>0</v>
      </c>
      <c r="H749" s="7">
        <v>0</v>
      </c>
      <c r="I749" s="7">
        <v>0</v>
      </c>
      <c r="J749" s="7">
        <v>0</v>
      </c>
      <c r="K749" s="7">
        <v>0</v>
      </c>
      <c r="L749" s="7">
        <v>0</v>
      </c>
      <c r="M749" s="7">
        <v>0</v>
      </c>
      <c r="N749" s="7">
        <v>0</v>
      </c>
      <c r="O749" s="7">
        <v>0</v>
      </c>
      <c r="P749" s="7">
        <v>0</v>
      </c>
      <c r="Q749" s="7">
        <v>0</v>
      </c>
    </row>
    <row r="750" spans="1:17">
      <c r="A750" s="2">
        <v>2698</v>
      </c>
      <c r="B750" s="7">
        <v>0</v>
      </c>
      <c r="C750" s="7">
        <v>0</v>
      </c>
      <c r="D750" s="7">
        <v>0</v>
      </c>
      <c r="E750" s="7">
        <v>0</v>
      </c>
      <c r="F750" s="7">
        <v>0</v>
      </c>
      <c r="G750" s="7">
        <v>0</v>
      </c>
      <c r="H750" s="7">
        <v>0</v>
      </c>
      <c r="I750" s="7">
        <v>0</v>
      </c>
      <c r="J750" s="7">
        <v>0</v>
      </c>
      <c r="K750" s="7">
        <v>0</v>
      </c>
      <c r="L750" s="7">
        <v>0</v>
      </c>
      <c r="M750" s="7">
        <v>0</v>
      </c>
      <c r="N750" s="7">
        <v>0</v>
      </c>
      <c r="O750" s="7">
        <v>0</v>
      </c>
      <c r="P750" s="7">
        <v>0</v>
      </c>
      <c r="Q750" s="7">
        <v>0</v>
      </c>
    </row>
    <row r="751" spans="1:17">
      <c r="A751" s="2">
        <v>2699</v>
      </c>
      <c r="B751" s="7">
        <v>0</v>
      </c>
      <c r="C751" s="7">
        <v>0</v>
      </c>
      <c r="D751" s="7">
        <v>0</v>
      </c>
      <c r="E751" s="7">
        <v>0</v>
      </c>
      <c r="F751" s="7">
        <v>0</v>
      </c>
      <c r="G751" s="7">
        <v>0</v>
      </c>
      <c r="H751" s="7">
        <v>0</v>
      </c>
      <c r="I751" s="7">
        <v>0</v>
      </c>
      <c r="J751" s="7">
        <v>0</v>
      </c>
      <c r="K751" s="7">
        <v>0</v>
      </c>
      <c r="L751" s="7">
        <v>0</v>
      </c>
      <c r="M751" s="7">
        <v>0</v>
      </c>
      <c r="N751" s="7">
        <v>0</v>
      </c>
      <c r="O751" s="7">
        <v>0</v>
      </c>
      <c r="P751" s="7">
        <v>0</v>
      </c>
      <c r="Q751" s="7">
        <v>0</v>
      </c>
    </row>
    <row r="752" spans="1:17">
      <c r="A752" s="2">
        <v>2700</v>
      </c>
      <c r="B752" s="7">
        <v>0</v>
      </c>
      <c r="C752" s="7">
        <v>0</v>
      </c>
      <c r="D752" s="7">
        <v>0</v>
      </c>
      <c r="E752" s="7">
        <v>0</v>
      </c>
      <c r="F752" s="7">
        <v>0</v>
      </c>
      <c r="G752" s="7">
        <v>0</v>
      </c>
      <c r="H752" s="7">
        <v>0</v>
      </c>
      <c r="I752" s="7">
        <v>0</v>
      </c>
      <c r="J752" s="7">
        <v>0</v>
      </c>
      <c r="K752" s="7">
        <v>0</v>
      </c>
      <c r="L752" s="7">
        <v>0</v>
      </c>
      <c r="M752" s="7">
        <v>0</v>
      </c>
      <c r="N752" s="7">
        <v>0</v>
      </c>
      <c r="O752" s="7">
        <v>0</v>
      </c>
      <c r="P752" s="7">
        <v>0</v>
      </c>
      <c r="Q752" s="7">
        <v>0</v>
      </c>
    </row>
    <row r="753" spans="1:17">
      <c r="A753" s="2">
        <v>2701</v>
      </c>
      <c r="B753" s="7">
        <v>0</v>
      </c>
      <c r="C753" s="7">
        <v>0</v>
      </c>
      <c r="D753" s="7">
        <v>0</v>
      </c>
      <c r="E753" s="7">
        <v>0</v>
      </c>
      <c r="F753" s="7">
        <v>0</v>
      </c>
      <c r="G753" s="7">
        <v>0</v>
      </c>
      <c r="H753" s="7">
        <v>0</v>
      </c>
      <c r="I753" s="7">
        <v>0</v>
      </c>
      <c r="J753" s="7">
        <v>0</v>
      </c>
      <c r="K753" s="7">
        <v>0</v>
      </c>
      <c r="L753" s="7">
        <v>0</v>
      </c>
      <c r="M753" s="7">
        <v>0</v>
      </c>
      <c r="N753" s="7">
        <v>0</v>
      </c>
      <c r="O753" s="7">
        <v>0</v>
      </c>
      <c r="P753" s="7">
        <v>0</v>
      </c>
      <c r="Q753" s="7">
        <v>0</v>
      </c>
    </row>
    <row r="754" spans="1:17">
      <c r="A754" s="2">
        <v>2702</v>
      </c>
      <c r="B754" s="7">
        <v>0</v>
      </c>
      <c r="C754" s="7">
        <v>0</v>
      </c>
      <c r="D754" s="7">
        <v>0</v>
      </c>
      <c r="E754" s="7">
        <v>0</v>
      </c>
      <c r="F754" s="7">
        <v>0</v>
      </c>
      <c r="G754" s="7">
        <v>0</v>
      </c>
      <c r="H754" s="7">
        <v>0</v>
      </c>
      <c r="I754" s="7">
        <v>0</v>
      </c>
      <c r="J754" s="7">
        <v>0</v>
      </c>
      <c r="K754" s="7">
        <v>0</v>
      </c>
      <c r="L754" s="7">
        <v>0</v>
      </c>
      <c r="M754" s="7">
        <v>0</v>
      </c>
      <c r="N754" s="7">
        <v>0</v>
      </c>
      <c r="O754" s="7">
        <v>0</v>
      </c>
      <c r="P754" s="7">
        <v>0</v>
      </c>
      <c r="Q754" s="7">
        <v>0</v>
      </c>
    </row>
    <row r="755" spans="1:17">
      <c r="A755" s="2">
        <v>2703</v>
      </c>
      <c r="B755" s="7">
        <v>0</v>
      </c>
      <c r="C755" s="7">
        <v>0</v>
      </c>
      <c r="D755" s="7">
        <v>0</v>
      </c>
      <c r="E755" s="7">
        <v>0</v>
      </c>
      <c r="F755" s="7">
        <v>0</v>
      </c>
      <c r="G755" s="7">
        <v>0</v>
      </c>
      <c r="H755" s="7">
        <v>0</v>
      </c>
      <c r="I755" s="7">
        <v>0</v>
      </c>
      <c r="J755" s="7">
        <v>0</v>
      </c>
      <c r="K755" s="7">
        <v>0</v>
      </c>
      <c r="L755" s="7">
        <v>0</v>
      </c>
      <c r="M755" s="7">
        <v>0</v>
      </c>
      <c r="N755" s="7">
        <v>0</v>
      </c>
      <c r="O755" s="7">
        <v>0</v>
      </c>
      <c r="P755" s="7">
        <v>0</v>
      </c>
      <c r="Q755" s="7">
        <v>0</v>
      </c>
    </row>
    <row r="756" spans="1:17">
      <c r="A756" s="2">
        <v>2704</v>
      </c>
      <c r="B756" s="7">
        <v>0</v>
      </c>
      <c r="C756" s="7">
        <v>0</v>
      </c>
      <c r="D756" s="7">
        <v>0</v>
      </c>
      <c r="E756" s="7">
        <v>0</v>
      </c>
      <c r="F756" s="7">
        <v>0</v>
      </c>
      <c r="G756" s="7">
        <v>0</v>
      </c>
      <c r="H756" s="7">
        <v>0</v>
      </c>
      <c r="I756" s="7">
        <v>0</v>
      </c>
      <c r="J756" s="7">
        <v>0</v>
      </c>
      <c r="K756" s="7">
        <v>0</v>
      </c>
      <c r="L756" s="7">
        <v>0</v>
      </c>
      <c r="M756" s="7">
        <v>0</v>
      </c>
      <c r="N756" s="7">
        <v>0</v>
      </c>
      <c r="O756" s="7">
        <v>0</v>
      </c>
      <c r="P756" s="7">
        <v>0</v>
      </c>
      <c r="Q756" s="7">
        <v>0</v>
      </c>
    </row>
    <row r="757" spans="1:17">
      <c r="A757" s="2">
        <v>2705</v>
      </c>
      <c r="B757" s="7">
        <v>0</v>
      </c>
      <c r="C757" s="7">
        <v>0</v>
      </c>
      <c r="D757" s="7">
        <v>0</v>
      </c>
      <c r="E757" s="7">
        <v>0</v>
      </c>
      <c r="F757" s="7">
        <v>0</v>
      </c>
      <c r="G757" s="7">
        <v>0</v>
      </c>
      <c r="H757" s="7">
        <v>0</v>
      </c>
      <c r="I757" s="7">
        <v>0</v>
      </c>
      <c r="J757" s="7">
        <v>0</v>
      </c>
      <c r="K757" s="7">
        <v>0</v>
      </c>
      <c r="L757" s="7">
        <v>0</v>
      </c>
      <c r="M757" s="7">
        <v>0</v>
      </c>
      <c r="N757" s="7">
        <v>0</v>
      </c>
      <c r="O757" s="7">
        <v>0</v>
      </c>
      <c r="P757" s="7">
        <v>0</v>
      </c>
      <c r="Q757" s="7">
        <v>0</v>
      </c>
    </row>
    <row r="758" spans="1:17">
      <c r="A758" s="2">
        <v>2706</v>
      </c>
      <c r="B758" s="7">
        <v>0</v>
      </c>
      <c r="C758" s="7">
        <v>0</v>
      </c>
      <c r="D758" s="7">
        <v>0</v>
      </c>
      <c r="E758" s="7">
        <v>0</v>
      </c>
      <c r="F758" s="7">
        <v>0</v>
      </c>
      <c r="G758" s="7">
        <v>0</v>
      </c>
      <c r="H758" s="7">
        <v>0</v>
      </c>
      <c r="I758" s="7">
        <v>0</v>
      </c>
      <c r="J758" s="7">
        <v>0</v>
      </c>
      <c r="K758" s="7">
        <v>0</v>
      </c>
      <c r="L758" s="7">
        <v>0</v>
      </c>
      <c r="M758" s="7">
        <v>0</v>
      </c>
      <c r="N758" s="7">
        <v>0</v>
      </c>
      <c r="O758" s="7">
        <v>0</v>
      </c>
      <c r="P758" s="7">
        <v>0</v>
      </c>
      <c r="Q758" s="7">
        <v>0</v>
      </c>
    </row>
    <row r="759" spans="1:17">
      <c r="A759" s="2">
        <v>2707</v>
      </c>
      <c r="B759" s="7">
        <v>0</v>
      </c>
      <c r="C759" s="7">
        <v>0</v>
      </c>
      <c r="D759" s="7">
        <v>0</v>
      </c>
      <c r="E759" s="7">
        <v>0</v>
      </c>
      <c r="F759" s="7">
        <v>0</v>
      </c>
      <c r="G759" s="7">
        <v>0</v>
      </c>
      <c r="H759" s="7">
        <v>0</v>
      </c>
      <c r="I759" s="7">
        <v>0</v>
      </c>
      <c r="J759" s="7">
        <v>0</v>
      </c>
      <c r="K759" s="7">
        <v>0</v>
      </c>
      <c r="L759" s="7">
        <v>0</v>
      </c>
      <c r="M759" s="7">
        <v>0</v>
      </c>
      <c r="N759" s="7">
        <v>0</v>
      </c>
      <c r="O759" s="7">
        <v>0</v>
      </c>
      <c r="P759" s="7">
        <v>0</v>
      </c>
      <c r="Q759" s="7">
        <v>0</v>
      </c>
    </row>
    <row r="760" spans="1:17">
      <c r="A760" s="2">
        <v>2708</v>
      </c>
      <c r="B760" s="7">
        <v>0</v>
      </c>
      <c r="C760" s="7">
        <v>0</v>
      </c>
      <c r="D760" s="7">
        <v>0</v>
      </c>
      <c r="E760" s="7">
        <v>0</v>
      </c>
      <c r="F760" s="7">
        <v>0</v>
      </c>
      <c r="G760" s="7">
        <v>0</v>
      </c>
      <c r="H760" s="7">
        <v>0</v>
      </c>
      <c r="I760" s="7">
        <v>0</v>
      </c>
      <c r="J760" s="7">
        <v>0</v>
      </c>
      <c r="K760" s="7">
        <v>0</v>
      </c>
      <c r="L760" s="7">
        <v>0</v>
      </c>
      <c r="M760" s="7">
        <v>0</v>
      </c>
      <c r="N760" s="7">
        <v>0</v>
      </c>
      <c r="O760" s="7">
        <v>0</v>
      </c>
      <c r="P760" s="7">
        <v>0</v>
      </c>
      <c r="Q760" s="7">
        <v>0</v>
      </c>
    </row>
    <row r="761" spans="1:17">
      <c r="A761" s="2">
        <v>2709</v>
      </c>
      <c r="B761" s="7">
        <v>0</v>
      </c>
      <c r="C761" s="7">
        <v>0</v>
      </c>
      <c r="D761" s="7">
        <v>0</v>
      </c>
      <c r="E761" s="7">
        <v>0</v>
      </c>
      <c r="F761" s="7">
        <v>0</v>
      </c>
      <c r="G761" s="7">
        <v>0</v>
      </c>
      <c r="H761" s="7">
        <v>0</v>
      </c>
      <c r="I761" s="7">
        <v>0</v>
      </c>
      <c r="J761" s="7">
        <v>0</v>
      </c>
      <c r="K761" s="7">
        <v>0</v>
      </c>
      <c r="L761" s="7">
        <v>0</v>
      </c>
      <c r="M761" s="7">
        <v>0</v>
      </c>
      <c r="N761" s="7">
        <v>0</v>
      </c>
      <c r="O761" s="7">
        <v>0</v>
      </c>
      <c r="P761" s="7">
        <v>0</v>
      </c>
      <c r="Q761" s="7">
        <v>0</v>
      </c>
    </row>
    <row r="762" spans="1:17">
      <c r="A762" s="2">
        <v>2710</v>
      </c>
      <c r="B762" s="7">
        <v>0</v>
      </c>
      <c r="C762" s="7">
        <v>0</v>
      </c>
      <c r="D762" s="7">
        <v>0</v>
      </c>
      <c r="E762" s="7">
        <v>0</v>
      </c>
      <c r="F762" s="7">
        <v>0</v>
      </c>
      <c r="G762" s="7">
        <v>0</v>
      </c>
      <c r="H762" s="7">
        <v>0</v>
      </c>
      <c r="I762" s="7">
        <v>0</v>
      </c>
      <c r="J762" s="7">
        <v>0</v>
      </c>
      <c r="K762" s="7">
        <v>0</v>
      </c>
      <c r="L762" s="7">
        <v>0</v>
      </c>
      <c r="M762" s="7">
        <v>0</v>
      </c>
      <c r="N762" s="7">
        <v>0</v>
      </c>
      <c r="O762" s="7">
        <v>0</v>
      </c>
      <c r="P762" s="7">
        <v>0</v>
      </c>
      <c r="Q762" s="7">
        <v>0</v>
      </c>
    </row>
    <row r="763" spans="1:17">
      <c r="A763" s="2">
        <v>2711</v>
      </c>
      <c r="B763" s="7">
        <v>0</v>
      </c>
      <c r="C763" s="7">
        <v>0</v>
      </c>
      <c r="D763" s="7">
        <v>0</v>
      </c>
      <c r="E763" s="7">
        <v>0</v>
      </c>
      <c r="F763" s="7">
        <v>0</v>
      </c>
      <c r="G763" s="7">
        <v>0</v>
      </c>
      <c r="H763" s="7">
        <v>0</v>
      </c>
      <c r="I763" s="7">
        <v>0</v>
      </c>
      <c r="J763" s="7">
        <v>0</v>
      </c>
      <c r="K763" s="7">
        <v>0</v>
      </c>
      <c r="L763" s="7">
        <v>0</v>
      </c>
      <c r="M763" s="7">
        <v>0</v>
      </c>
      <c r="N763" s="7">
        <v>0</v>
      </c>
      <c r="O763" s="7">
        <v>0</v>
      </c>
      <c r="P763" s="7">
        <v>0</v>
      </c>
      <c r="Q763" s="7">
        <v>0</v>
      </c>
    </row>
    <row r="764" spans="1:17">
      <c r="A764" s="2">
        <v>2712</v>
      </c>
      <c r="B764" s="7">
        <v>0</v>
      </c>
      <c r="C764" s="7">
        <v>0</v>
      </c>
      <c r="D764" s="7">
        <v>0</v>
      </c>
      <c r="E764" s="7">
        <v>0</v>
      </c>
      <c r="F764" s="7">
        <v>0</v>
      </c>
      <c r="G764" s="7">
        <v>0</v>
      </c>
      <c r="H764" s="7">
        <v>0</v>
      </c>
      <c r="I764" s="7">
        <v>0</v>
      </c>
      <c r="J764" s="7">
        <v>0</v>
      </c>
      <c r="K764" s="7">
        <v>0</v>
      </c>
      <c r="L764" s="7">
        <v>0</v>
      </c>
      <c r="M764" s="7">
        <v>0</v>
      </c>
      <c r="N764" s="7">
        <v>0</v>
      </c>
      <c r="O764" s="7">
        <v>0</v>
      </c>
      <c r="P764" s="7">
        <v>0</v>
      </c>
      <c r="Q764" s="7">
        <v>0</v>
      </c>
    </row>
    <row r="765" spans="1:17">
      <c r="A765" s="2">
        <v>2713</v>
      </c>
      <c r="B765" s="7">
        <v>0</v>
      </c>
      <c r="C765" s="7">
        <v>0</v>
      </c>
      <c r="D765" s="7">
        <v>0</v>
      </c>
      <c r="E765" s="7">
        <v>0</v>
      </c>
      <c r="F765" s="7">
        <v>0</v>
      </c>
      <c r="G765" s="7">
        <v>0</v>
      </c>
      <c r="H765" s="7">
        <v>0</v>
      </c>
      <c r="I765" s="7">
        <v>0</v>
      </c>
      <c r="J765" s="7">
        <v>0</v>
      </c>
      <c r="K765" s="7">
        <v>0</v>
      </c>
      <c r="L765" s="7">
        <v>0</v>
      </c>
      <c r="M765" s="7">
        <v>0</v>
      </c>
      <c r="N765" s="7">
        <v>0</v>
      </c>
      <c r="O765" s="7">
        <v>0</v>
      </c>
      <c r="P765" s="7">
        <v>0</v>
      </c>
      <c r="Q765" s="7">
        <v>0</v>
      </c>
    </row>
    <row r="766" spans="1:17">
      <c r="A766" s="2">
        <v>2714</v>
      </c>
      <c r="B766" s="7">
        <v>0</v>
      </c>
      <c r="C766" s="7">
        <v>0</v>
      </c>
      <c r="D766" s="7">
        <v>0</v>
      </c>
      <c r="E766" s="7">
        <v>0</v>
      </c>
      <c r="F766" s="7">
        <v>0</v>
      </c>
      <c r="G766" s="7">
        <v>0</v>
      </c>
      <c r="H766" s="7">
        <v>0</v>
      </c>
      <c r="I766" s="7">
        <v>0</v>
      </c>
      <c r="J766" s="7">
        <v>0</v>
      </c>
      <c r="K766" s="7">
        <v>0</v>
      </c>
      <c r="L766" s="7">
        <v>0</v>
      </c>
      <c r="M766" s="7">
        <v>0</v>
      </c>
      <c r="N766" s="7">
        <v>0</v>
      </c>
      <c r="O766" s="7">
        <v>0</v>
      </c>
      <c r="P766" s="7">
        <v>0</v>
      </c>
      <c r="Q766" s="7">
        <v>0</v>
      </c>
    </row>
    <row r="767" spans="1:17">
      <c r="A767" s="2">
        <v>2715</v>
      </c>
      <c r="B767" s="7">
        <v>0</v>
      </c>
      <c r="C767" s="7">
        <v>0</v>
      </c>
      <c r="D767" s="7">
        <v>0</v>
      </c>
      <c r="E767" s="7">
        <v>0</v>
      </c>
      <c r="F767" s="7">
        <v>0</v>
      </c>
      <c r="G767" s="7">
        <v>0</v>
      </c>
      <c r="H767" s="7">
        <v>0</v>
      </c>
      <c r="I767" s="7">
        <v>0</v>
      </c>
      <c r="J767" s="7">
        <v>0</v>
      </c>
      <c r="K767" s="7">
        <v>0</v>
      </c>
      <c r="L767" s="7">
        <v>0</v>
      </c>
      <c r="M767" s="7">
        <v>0</v>
      </c>
      <c r="N767" s="7">
        <v>0</v>
      </c>
      <c r="O767" s="7">
        <v>0</v>
      </c>
      <c r="P767" s="7">
        <v>0</v>
      </c>
      <c r="Q767" s="7">
        <v>0</v>
      </c>
    </row>
    <row r="768" spans="1:17">
      <c r="A768" s="2">
        <v>2716</v>
      </c>
      <c r="B768" s="7">
        <v>0</v>
      </c>
      <c r="C768" s="7">
        <v>0</v>
      </c>
      <c r="D768" s="7">
        <v>0</v>
      </c>
      <c r="E768" s="7">
        <v>0</v>
      </c>
      <c r="F768" s="7">
        <v>0</v>
      </c>
      <c r="G768" s="7">
        <v>0</v>
      </c>
      <c r="H768" s="7">
        <v>0</v>
      </c>
      <c r="I768" s="7">
        <v>0</v>
      </c>
      <c r="J768" s="7">
        <v>0</v>
      </c>
      <c r="K768" s="7">
        <v>0</v>
      </c>
      <c r="L768" s="7">
        <v>0</v>
      </c>
      <c r="M768" s="7">
        <v>0</v>
      </c>
      <c r="N768" s="7">
        <v>0</v>
      </c>
      <c r="O768" s="7">
        <v>0</v>
      </c>
      <c r="P768" s="7">
        <v>0</v>
      </c>
      <c r="Q768" s="7">
        <v>0</v>
      </c>
    </row>
    <row r="769" spans="1:17">
      <c r="A769" s="2">
        <v>2717</v>
      </c>
      <c r="B769" s="7">
        <v>0</v>
      </c>
      <c r="C769" s="7">
        <v>0</v>
      </c>
      <c r="D769" s="7">
        <v>0</v>
      </c>
      <c r="E769" s="7">
        <v>0</v>
      </c>
      <c r="F769" s="7">
        <v>0</v>
      </c>
      <c r="G769" s="7">
        <v>0</v>
      </c>
      <c r="H769" s="7">
        <v>0</v>
      </c>
      <c r="I769" s="7">
        <v>0</v>
      </c>
      <c r="J769" s="7">
        <v>0</v>
      </c>
      <c r="K769" s="7">
        <v>0</v>
      </c>
      <c r="L769" s="7">
        <v>0</v>
      </c>
      <c r="M769" s="7">
        <v>0</v>
      </c>
      <c r="N769" s="7">
        <v>0</v>
      </c>
      <c r="O769" s="7">
        <v>0</v>
      </c>
      <c r="P769" s="7">
        <v>0</v>
      </c>
      <c r="Q769" s="7">
        <v>0</v>
      </c>
    </row>
    <row r="770" spans="1:17">
      <c r="A770" s="2">
        <v>2718</v>
      </c>
      <c r="B770" s="7">
        <v>0</v>
      </c>
      <c r="C770" s="7">
        <v>0</v>
      </c>
      <c r="D770" s="7">
        <v>0</v>
      </c>
      <c r="E770" s="7">
        <v>0</v>
      </c>
      <c r="F770" s="7">
        <v>0</v>
      </c>
      <c r="G770" s="7">
        <v>0</v>
      </c>
      <c r="H770" s="7">
        <v>0</v>
      </c>
      <c r="I770" s="7">
        <v>0</v>
      </c>
      <c r="J770" s="7">
        <v>0</v>
      </c>
      <c r="K770" s="7">
        <v>0</v>
      </c>
      <c r="L770" s="7">
        <v>0</v>
      </c>
      <c r="M770" s="7">
        <v>0</v>
      </c>
      <c r="N770" s="7">
        <v>0</v>
      </c>
      <c r="O770" s="7">
        <v>0</v>
      </c>
      <c r="P770" s="7">
        <v>0</v>
      </c>
      <c r="Q770" s="7">
        <v>0</v>
      </c>
    </row>
    <row r="771" spans="1:17">
      <c r="A771" s="2">
        <v>2719</v>
      </c>
      <c r="B771" s="7">
        <v>0</v>
      </c>
      <c r="C771" s="7">
        <v>0</v>
      </c>
      <c r="D771" s="7">
        <v>0</v>
      </c>
      <c r="E771" s="7">
        <v>0</v>
      </c>
      <c r="F771" s="7">
        <v>0</v>
      </c>
      <c r="G771" s="7">
        <v>0</v>
      </c>
      <c r="H771" s="7">
        <v>0</v>
      </c>
      <c r="I771" s="7">
        <v>0</v>
      </c>
      <c r="J771" s="7">
        <v>0</v>
      </c>
      <c r="K771" s="7">
        <v>0</v>
      </c>
      <c r="L771" s="7">
        <v>0</v>
      </c>
      <c r="M771" s="7">
        <v>0</v>
      </c>
      <c r="N771" s="7">
        <v>0</v>
      </c>
      <c r="O771" s="7">
        <v>0</v>
      </c>
      <c r="P771" s="7">
        <v>0</v>
      </c>
      <c r="Q771" s="7">
        <v>0</v>
      </c>
    </row>
    <row r="772" spans="1:17">
      <c r="A772" s="2">
        <v>2720</v>
      </c>
      <c r="B772" s="7">
        <v>0</v>
      </c>
      <c r="C772" s="7">
        <v>0</v>
      </c>
      <c r="D772" s="7">
        <v>0</v>
      </c>
      <c r="E772" s="7">
        <v>0</v>
      </c>
      <c r="F772" s="7">
        <v>0</v>
      </c>
      <c r="G772" s="7">
        <v>0</v>
      </c>
      <c r="H772" s="7">
        <v>0</v>
      </c>
      <c r="I772" s="7">
        <v>0</v>
      </c>
      <c r="J772" s="7">
        <v>0</v>
      </c>
      <c r="K772" s="7">
        <v>0</v>
      </c>
      <c r="L772" s="7">
        <v>0</v>
      </c>
      <c r="M772" s="7">
        <v>0</v>
      </c>
      <c r="N772" s="7">
        <v>0</v>
      </c>
      <c r="O772" s="7">
        <v>0</v>
      </c>
      <c r="P772" s="7">
        <v>0</v>
      </c>
      <c r="Q772" s="7">
        <v>0</v>
      </c>
    </row>
    <row r="773" spans="1:17">
      <c r="A773" s="2">
        <v>2721</v>
      </c>
      <c r="B773" s="7">
        <v>0</v>
      </c>
      <c r="C773" s="7">
        <v>0</v>
      </c>
      <c r="D773" s="7">
        <v>0</v>
      </c>
      <c r="E773" s="7">
        <v>0</v>
      </c>
      <c r="F773" s="7">
        <v>0</v>
      </c>
      <c r="G773" s="7">
        <v>0</v>
      </c>
      <c r="H773" s="7">
        <v>0</v>
      </c>
      <c r="I773" s="7">
        <v>0</v>
      </c>
      <c r="J773" s="7">
        <v>0</v>
      </c>
      <c r="K773" s="7">
        <v>0</v>
      </c>
      <c r="L773" s="7">
        <v>0</v>
      </c>
      <c r="M773" s="7">
        <v>0</v>
      </c>
      <c r="N773" s="7">
        <v>0</v>
      </c>
      <c r="O773" s="7">
        <v>0</v>
      </c>
      <c r="P773" s="7">
        <v>0</v>
      </c>
      <c r="Q773" s="7">
        <v>0</v>
      </c>
    </row>
    <row r="774" spans="1:17">
      <c r="A774" s="2">
        <v>2722</v>
      </c>
      <c r="B774" s="7">
        <v>0</v>
      </c>
      <c r="C774" s="7">
        <v>0</v>
      </c>
      <c r="D774" s="7">
        <v>0</v>
      </c>
      <c r="E774" s="7">
        <v>0</v>
      </c>
      <c r="F774" s="7">
        <v>0</v>
      </c>
      <c r="G774" s="7">
        <v>0</v>
      </c>
      <c r="H774" s="7">
        <v>0</v>
      </c>
      <c r="I774" s="7">
        <v>0</v>
      </c>
      <c r="J774" s="7">
        <v>0</v>
      </c>
      <c r="K774" s="7">
        <v>0</v>
      </c>
      <c r="L774" s="7">
        <v>0</v>
      </c>
      <c r="M774" s="7">
        <v>0</v>
      </c>
      <c r="N774" s="7">
        <v>0</v>
      </c>
      <c r="O774" s="7">
        <v>0</v>
      </c>
      <c r="P774" s="7">
        <v>0</v>
      </c>
      <c r="Q774" s="7">
        <v>0</v>
      </c>
    </row>
    <row r="775" spans="1:17">
      <c r="A775" s="2">
        <v>2723</v>
      </c>
      <c r="B775" s="7">
        <v>0</v>
      </c>
      <c r="C775" s="7">
        <v>0</v>
      </c>
      <c r="D775" s="7">
        <v>0</v>
      </c>
      <c r="E775" s="7">
        <v>0</v>
      </c>
      <c r="F775" s="7">
        <v>0</v>
      </c>
      <c r="G775" s="7">
        <v>0</v>
      </c>
      <c r="H775" s="7">
        <v>0</v>
      </c>
      <c r="I775" s="7">
        <v>0</v>
      </c>
      <c r="J775" s="7">
        <v>0</v>
      </c>
      <c r="K775" s="7">
        <v>0</v>
      </c>
      <c r="L775" s="7">
        <v>0</v>
      </c>
      <c r="M775" s="7">
        <v>0</v>
      </c>
      <c r="N775" s="7">
        <v>0</v>
      </c>
      <c r="O775" s="7">
        <v>0</v>
      </c>
      <c r="P775" s="7">
        <v>0</v>
      </c>
      <c r="Q775" s="7">
        <v>0</v>
      </c>
    </row>
    <row r="776" spans="1:17">
      <c r="A776" s="2">
        <v>2724</v>
      </c>
      <c r="B776" s="7">
        <v>0</v>
      </c>
      <c r="C776" s="7">
        <v>0</v>
      </c>
      <c r="D776" s="7">
        <v>0</v>
      </c>
      <c r="E776" s="7">
        <v>0</v>
      </c>
      <c r="F776" s="7">
        <v>0</v>
      </c>
      <c r="G776" s="7">
        <v>0</v>
      </c>
      <c r="H776" s="7">
        <v>0</v>
      </c>
      <c r="I776" s="7">
        <v>0</v>
      </c>
      <c r="J776" s="7">
        <v>0</v>
      </c>
      <c r="K776" s="7">
        <v>0</v>
      </c>
      <c r="L776" s="7">
        <v>0</v>
      </c>
      <c r="M776" s="7">
        <v>0</v>
      </c>
      <c r="N776" s="7">
        <v>0</v>
      </c>
      <c r="O776" s="7">
        <v>0</v>
      </c>
      <c r="P776" s="7">
        <v>0</v>
      </c>
      <c r="Q776" s="7">
        <v>0</v>
      </c>
    </row>
    <row r="777" spans="1:17">
      <c r="A777" s="2">
        <v>2725</v>
      </c>
      <c r="B777" s="7">
        <v>0</v>
      </c>
      <c r="C777" s="7">
        <v>0</v>
      </c>
      <c r="D777" s="7">
        <v>0</v>
      </c>
      <c r="E777" s="7">
        <v>0</v>
      </c>
      <c r="F777" s="7">
        <v>0</v>
      </c>
      <c r="G777" s="7">
        <v>0</v>
      </c>
      <c r="H777" s="7">
        <v>0</v>
      </c>
      <c r="I777" s="7">
        <v>0</v>
      </c>
      <c r="J777" s="7">
        <v>0</v>
      </c>
      <c r="K777" s="7">
        <v>0</v>
      </c>
      <c r="L777" s="7">
        <v>0</v>
      </c>
      <c r="M777" s="7">
        <v>0</v>
      </c>
      <c r="N777" s="7">
        <v>0</v>
      </c>
      <c r="O777" s="7">
        <v>0</v>
      </c>
      <c r="P777" s="7">
        <v>0</v>
      </c>
      <c r="Q777" s="7">
        <v>0</v>
      </c>
    </row>
    <row r="778" spans="1:17">
      <c r="A778" s="2">
        <v>2726</v>
      </c>
      <c r="B778" s="7">
        <v>0</v>
      </c>
      <c r="C778" s="7">
        <v>0</v>
      </c>
      <c r="D778" s="7">
        <v>0</v>
      </c>
      <c r="E778" s="7">
        <v>0</v>
      </c>
      <c r="F778" s="7">
        <v>0</v>
      </c>
      <c r="G778" s="7">
        <v>0</v>
      </c>
      <c r="H778" s="7">
        <v>0</v>
      </c>
      <c r="I778" s="7">
        <v>0</v>
      </c>
      <c r="J778" s="7">
        <v>0</v>
      </c>
      <c r="K778" s="7">
        <v>0</v>
      </c>
      <c r="L778" s="7">
        <v>0</v>
      </c>
      <c r="M778" s="7">
        <v>0</v>
      </c>
      <c r="N778" s="7">
        <v>0</v>
      </c>
      <c r="O778" s="7">
        <v>0</v>
      </c>
      <c r="P778" s="7">
        <v>0</v>
      </c>
      <c r="Q778" s="7">
        <v>0</v>
      </c>
    </row>
    <row r="779" spans="1:17">
      <c r="A779" s="2">
        <v>2727</v>
      </c>
      <c r="B779" s="7">
        <v>0</v>
      </c>
      <c r="C779" s="7">
        <v>0</v>
      </c>
      <c r="D779" s="7">
        <v>0</v>
      </c>
      <c r="E779" s="7">
        <v>0</v>
      </c>
      <c r="F779" s="7">
        <v>0</v>
      </c>
      <c r="G779" s="7">
        <v>0</v>
      </c>
      <c r="H779" s="7">
        <v>0</v>
      </c>
      <c r="I779" s="7">
        <v>0</v>
      </c>
      <c r="J779" s="7">
        <v>0</v>
      </c>
      <c r="K779" s="7">
        <v>0</v>
      </c>
      <c r="L779" s="7">
        <v>0</v>
      </c>
      <c r="M779" s="7">
        <v>0</v>
      </c>
      <c r="N779" s="7">
        <v>0</v>
      </c>
      <c r="O779" s="7">
        <v>0</v>
      </c>
      <c r="P779" s="7">
        <v>0</v>
      </c>
      <c r="Q779" s="7">
        <v>0</v>
      </c>
    </row>
    <row r="780" spans="1:17">
      <c r="A780" s="2">
        <v>2728</v>
      </c>
      <c r="B780" s="7">
        <v>0</v>
      </c>
      <c r="C780" s="7">
        <v>0</v>
      </c>
      <c r="D780" s="7">
        <v>0</v>
      </c>
      <c r="E780" s="7">
        <v>0</v>
      </c>
      <c r="F780" s="7">
        <v>0</v>
      </c>
      <c r="G780" s="7">
        <v>0</v>
      </c>
      <c r="H780" s="7">
        <v>0</v>
      </c>
      <c r="I780" s="7">
        <v>0</v>
      </c>
      <c r="J780" s="7">
        <v>0</v>
      </c>
      <c r="K780" s="7">
        <v>0</v>
      </c>
      <c r="L780" s="7">
        <v>0</v>
      </c>
      <c r="M780" s="7">
        <v>0</v>
      </c>
      <c r="N780" s="7">
        <v>0</v>
      </c>
      <c r="O780" s="7">
        <v>0</v>
      </c>
      <c r="P780" s="7">
        <v>0</v>
      </c>
      <c r="Q780" s="7">
        <v>0</v>
      </c>
    </row>
    <row r="781" spans="1:17">
      <c r="A781" s="2">
        <v>2729</v>
      </c>
      <c r="B781" s="7">
        <v>0</v>
      </c>
      <c r="C781" s="7">
        <v>0</v>
      </c>
      <c r="D781" s="7">
        <v>0</v>
      </c>
      <c r="E781" s="7">
        <v>0</v>
      </c>
      <c r="F781" s="7">
        <v>0</v>
      </c>
      <c r="G781" s="7">
        <v>0</v>
      </c>
      <c r="H781" s="7">
        <v>0</v>
      </c>
      <c r="I781" s="7">
        <v>0</v>
      </c>
      <c r="J781" s="7">
        <v>0</v>
      </c>
      <c r="K781" s="7">
        <v>0</v>
      </c>
      <c r="L781" s="7">
        <v>0</v>
      </c>
      <c r="M781" s="7">
        <v>0</v>
      </c>
      <c r="N781" s="7">
        <v>0</v>
      </c>
      <c r="O781" s="7">
        <v>0</v>
      </c>
      <c r="P781" s="7">
        <v>0</v>
      </c>
      <c r="Q781" s="7">
        <v>0</v>
      </c>
    </row>
    <row r="782" spans="1:17">
      <c r="A782" s="2">
        <v>2730</v>
      </c>
      <c r="B782" s="7">
        <v>0</v>
      </c>
      <c r="C782" s="7">
        <v>0</v>
      </c>
      <c r="D782" s="7">
        <v>0</v>
      </c>
      <c r="E782" s="7">
        <v>0</v>
      </c>
      <c r="F782" s="7">
        <v>0</v>
      </c>
      <c r="G782" s="7">
        <v>0</v>
      </c>
      <c r="H782" s="7">
        <v>0</v>
      </c>
      <c r="I782" s="7">
        <v>0</v>
      </c>
      <c r="J782" s="7">
        <v>0</v>
      </c>
      <c r="K782" s="7">
        <v>0</v>
      </c>
      <c r="L782" s="7">
        <v>0</v>
      </c>
      <c r="M782" s="7">
        <v>0</v>
      </c>
      <c r="N782" s="7">
        <v>0</v>
      </c>
      <c r="O782" s="7">
        <v>0</v>
      </c>
      <c r="P782" s="7">
        <v>0</v>
      </c>
      <c r="Q782" s="7">
        <v>0</v>
      </c>
    </row>
    <row r="783" spans="1:17">
      <c r="A783" s="2">
        <v>2731</v>
      </c>
      <c r="B783" s="7">
        <v>0</v>
      </c>
      <c r="C783" s="7">
        <v>0</v>
      </c>
      <c r="D783" s="7">
        <v>0</v>
      </c>
      <c r="E783" s="7">
        <v>0</v>
      </c>
      <c r="F783" s="7">
        <v>0</v>
      </c>
      <c r="G783" s="7">
        <v>0</v>
      </c>
      <c r="H783" s="7">
        <v>0</v>
      </c>
      <c r="I783" s="7">
        <v>0</v>
      </c>
      <c r="J783" s="7">
        <v>0</v>
      </c>
      <c r="K783" s="7">
        <v>0</v>
      </c>
      <c r="L783" s="7">
        <v>0</v>
      </c>
      <c r="M783" s="7">
        <v>0</v>
      </c>
      <c r="N783" s="7">
        <v>0</v>
      </c>
      <c r="O783" s="7">
        <v>0</v>
      </c>
      <c r="P783" s="7">
        <v>0</v>
      </c>
      <c r="Q783" s="7">
        <v>0</v>
      </c>
    </row>
    <row r="784" spans="1:17">
      <c r="A784" s="2">
        <v>2732</v>
      </c>
      <c r="B784" s="7">
        <v>0</v>
      </c>
      <c r="C784" s="7">
        <v>0</v>
      </c>
      <c r="D784" s="7">
        <v>0</v>
      </c>
      <c r="E784" s="7">
        <v>0</v>
      </c>
      <c r="F784" s="7">
        <v>0</v>
      </c>
      <c r="G784" s="7">
        <v>0</v>
      </c>
      <c r="H784" s="7">
        <v>0</v>
      </c>
      <c r="I784" s="7">
        <v>0</v>
      </c>
      <c r="J784" s="7">
        <v>0</v>
      </c>
      <c r="K784" s="7">
        <v>0</v>
      </c>
      <c r="L784" s="7">
        <v>0</v>
      </c>
      <c r="M784" s="7">
        <v>0</v>
      </c>
      <c r="N784" s="7">
        <v>0</v>
      </c>
      <c r="O784" s="7">
        <v>0</v>
      </c>
      <c r="P784" s="7">
        <v>0</v>
      </c>
      <c r="Q784" s="7">
        <v>0</v>
      </c>
    </row>
    <row r="785" spans="1:17">
      <c r="A785" s="2">
        <v>2733</v>
      </c>
      <c r="B785" s="7">
        <v>0</v>
      </c>
      <c r="C785" s="7">
        <v>0</v>
      </c>
      <c r="D785" s="7">
        <v>0</v>
      </c>
      <c r="E785" s="7">
        <v>0</v>
      </c>
      <c r="F785" s="7">
        <v>0</v>
      </c>
      <c r="G785" s="7">
        <v>0</v>
      </c>
      <c r="H785" s="7">
        <v>0</v>
      </c>
      <c r="I785" s="7">
        <v>0</v>
      </c>
      <c r="J785" s="7">
        <v>0</v>
      </c>
      <c r="K785" s="7">
        <v>0</v>
      </c>
      <c r="L785" s="7">
        <v>0</v>
      </c>
      <c r="M785" s="7">
        <v>0</v>
      </c>
      <c r="N785" s="7">
        <v>0</v>
      </c>
      <c r="O785" s="7">
        <v>0</v>
      </c>
      <c r="P785" s="7">
        <v>0</v>
      </c>
      <c r="Q785" s="7">
        <v>0</v>
      </c>
    </row>
    <row r="786" spans="1:17">
      <c r="A786" s="2">
        <v>2734</v>
      </c>
      <c r="B786" s="7">
        <v>0</v>
      </c>
      <c r="C786" s="7">
        <v>0</v>
      </c>
      <c r="D786" s="7">
        <v>0</v>
      </c>
      <c r="E786" s="7">
        <v>0</v>
      </c>
      <c r="F786" s="7">
        <v>0</v>
      </c>
      <c r="G786" s="7">
        <v>0</v>
      </c>
      <c r="H786" s="7">
        <v>0</v>
      </c>
      <c r="I786" s="7">
        <v>0</v>
      </c>
      <c r="J786" s="7">
        <v>0</v>
      </c>
      <c r="K786" s="7">
        <v>0</v>
      </c>
      <c r="L786" s="7">
        <v>0</v>
      </c>
      <c r="M786" s="7">
        <v>0</v>
      </c>
      <c r="N786" s="7">
        <v>0</v>
      </c>
      <c r="O786" s="7">
        <v>0</v>
      </c>
      <c r="P786" s="7">
        <v>0</v>
      </c>
      <c r="Q786" s="7">
        <v>0</v>
      </c>
    </row>
    <row r="787" spans="1:17">
      <c r="A787" s="2">
        <v>2735</v>
      </c>
      <c r="B787" s="7">
        <v>0</v>
      </c>
      <c r="C787" s="7">
        <v>0</v>
      </c>
      <c r="D787" s="7">
        <v>0</v>
      </c>
      <c r="E787" s="7">
        <v>0</v>
      </c>
      <c r="F787" s="7">
        <v>0</v>
      </c>
      <c r="G787" s="7">
        <v>0</v>
      </c>
      <c r="H787" s="7">
        <v>0</v>
      </c>
      <c r="I787" s="7">
        <v>0</v>
      </c>
      <c r="J787" s="7">
        <v>0</v>
      </c>
      <c r="K787" s="7">
        <v>0</v>
      </c>
      <c r="L787" s="7">
        <v>0</v>
      </c>
      <c r="M787" s="7">
        <v>0</v>
      </c>
      <c r="N787" s="7">
        <v>0</v>
      </c>
      <c r="O787" s="7">
        <v>0</v>
      </c>
      <c r="P787" s="7">
        <v>0</v>
      </c>
      <c r="Q787" s="7">
        <v>0</v>
      </c>
    </row>
    <row r="788" spans="1:17">
      <c r="A788" s="2">
        <v>2736</v>
      </c>
      <c r="B788" s="7">
        <v>0</v>
      </c>
      <c r="C788" s="7">
        <v>0</v>
      </c>
      <c r="D788" s="7">
        <v>0</v>
      </c>
      <c r="E788" s="7">
        <v>0</v>
      </c>
      <c r="F788" s="7">
        <v>0</v>
      </c>
      <c r="G788" s="7">
        <v>0</v>
      </c>
      <c r="H788" s="7">
        <v>0</v>
      </c>
      <c r="I788" s="7">
        <v>0</v>
      </c>
      <c r="J788" s="7">
        <v>0</v>
      </c>
      <c r="K788" s="7">
        <v>0</v>
      </c>
      <c r="L788" s="7">
        <v>0</v>
      </c>
      <c r="M788" s="7">
        <v>0</v>
      </c>
      <c r="N788" s="7">
        <v>0</v>
      </c>
      <c r="O788" s="7">
        <v>0</v>
      </c>
      <c r="P788" s="7">
        <v>0</v>
      </c>
      <c r="Q788" s="7">
        <v>0</v>
      </c>
    </row>
    <row r="789" spans="1:17">
      <c r="A789" s="2">
        <v>2737</v>
      </c>
      <c r="B789" s="7">
        <v>0</v>
      </c>
      <c r="C789" s="7">
        <v>0</v>
      </c>
      <c r="D789" s="7">
        <v>0</v>
      </c>
      <c r="E789" s="7">
        <v>0</v>
      </c>
      <c r="F789" s="7">
        <v>0</v>
      </c>
      <c r="G789" s="7">
        <v>0</v>
      </c>
      <c r="H789" s="7">
        <v>0</v>
      </c>
      <c r="I789" s="7">
        <v>0</v>
      </c>
      <c r="J789" s="7">
        <v>0</v>
      </c>
      <c r="K789" s="7">
        <v>0</v>
      </c>
      <c r="L789" s="7">
        <v>0</v>
      </c>
      <c r="M789" s="7">
        <v>0</v>
      </c>
      <c r="N789" s="7">
        <v>0</v>
      </c>
      <c r="O789" s="7">
        <v>0</v>
      </c>
      <c r="P789" s="7">
        <v>0</v>
      </c>
      <c r="Q789" s="7">
        <v>0</v>
      </c>
    </row>
    <row r="790" spans="1:17">
      <c r="A790" s="2">
        <v>2738</v>
      </c>
      <c r="B790" s="7">
        <v>0</v>
      </c>
      <c r="C790" s="7">
        <v>0</v>
      </c>
      <c r="D790" s="7">
        <v>0</v>
      </c>
      <c r="E790" s="7">
        <v>0</v>
      </c>
      <c r="F790" s="7">
        <v>0</v>
      </c>
      <c r="G790" s="7">
        <v>0</v>
      </c>
      <c r="H790" s="7">
        <v>0</v>
      </c>
      <c r="I790" s="7">
        <v>0</v>
      </c>
      <c r="J790" s="7">
        <v>0</v>
      </c>
      <c r="K790" s="7">
        <v>0</v>
      </c>
      <c r="L790" s="7">
        <v>0</v>
      </c>
      <c r="M790" s="7">
        <v>0</v>
      </c>
      <c r="N790" s="7">
        <v>0</v>
      </c>
      <c r="O790" s="7">
        <v>0</v>
      </c>
      <c r="P790" s="7">
        <v>0</v>
      </c>
      <c r="Q790" s="7">
        <v>0</v>
      </c>
    </row>
    <row r="791" spans="1:17">
      <c r="A791" s="2">
        <v>2739</v>
      </c>
      <c r="B791" s="7">
        <v>0</v>
      </c>
      <c r="C791" s="7">
        <v>0</v>
      </c>
      <c r="D791" s="7">
        <v>0</v>
      </c>
      <c r="E791" s="7">
        <v>0</v>
      </c>
      <c r="F791" s="7">
        <v>0</v>
      </c>
      <c r="G791" s="7">
        <v>0</v>
      </c>
      <c r="H791" s="7">
        <v>0</v>
      </c>
      <c r="I791" s="7">
        <v>0</v>
      </c>
      <c r="J791" s="7">
        <v>0</v>
      </c>
      <c r="K791" s="7">
        <v>0</v>
      </c>
      <c r="L791" s="7">
        <v>0</v>
      </c>
      <c r="M791" s="7">
        <v>0</v>
      </c>
      <c r="N791" s="7">
        <v>0</v>
      </c>
      <c r="O791" s="7">
        <v>0</v>
      </c>
      <c r="P791" s="7">
        <v>0</v>
      </c>
      <c r="Q791" s="7">
        <v>0</v>
      </c>
    </row>
    <row r="792" spans="1:17">
      <c r="A792" s="2">
        <v>2740</v>
      </c>
      <c r="B792" s="7">
        <v>0</v>
      </c>
      <c r="C792" s="7">
        <v>0</v>
      </c>
      <c r="D792" s="7">
        <v>0</v>
      </c>
      <c r="E792" s="7">
        <v>0</v>
      </c>
      <c r="F792" s="7">
        <v>0</v>
      </c>
      <c r="G792" s="7">
        <v>0</v>
      </c>
      <c r="H792" s="7">
        <v>0</v>
      </c>
      <c r="I792" s="7">
        <v>0</v>
      </c>
      <c r="J792" s="7">
        <v>0</v>
      </c>
      <c r="K792" s="7">
        <v>0</v>
      </c>
      <c r="L792" s="7">
        <v>0</v>
      </c>
      <c r="M792" s="7">
        <v>0</v>
      </c>
      <c r="N792" s="7">
        <v>0</v>
      </c>
      <c r="O792" s="7">
        <v>0</v>
      </c>
      <c r="P792" s="7">
        <v>0</v>
      </c>
      <c r="Q792" s="7">
        <v>0</v>
      </c>
    </row>
    <row r="793" spans="1:17">
      <c r="A793" s="2">
        <v>2741</v>
      </c>
      <c r="B793" s="7">
        <v>0</v>
      </c>
      <c r="C793" s="7">
        <v>0</v>
      </c>
      <c r="D793" s="7">
        <v>0</v>
      </c>
      <c r="E793" s="7">
        <v>0</v>
      </c>
      <c r="F793" s="7">
        <v>0</v>
      </c>
      <c r="G793" s="7">
        <v>0</v>
      </c>
      <c r="H793" s="7">
        <v>0</v>
      </c>
      <c r="I793" s="7">
        <v>0</v>
      </c>
      <c r="J793" s="7">
        <v>0</v>
      </c>
      <c r="K793" s="7">
        <v>0</v>
      </c>
      <c r="L793" s="7">
        <v>0</v>
      </c>
      <c r="M793" s="7">
        <v>0</v>
      </c>
      <c r="N793" s="7">
        <v>0</v>
      </c>
      <c r="O793" s="7">
        <v>0</v>
      </c>
      <c r="P793" s="7">
        <v>0</v>
      </c>
      <c r="Q793" s="7">
        <v>0</v>
      </c>
    </row>
    <row r="794" spans="1:17">
      <c r="A794" s="2">
        <v>2742</v>
      </c>
      <c r="B794" s="7">
        <v>0</v>
      </c>
      <c r="C794" s="7">
        <v>0</v>
      </c>
      <c r="D794" s="7">
        <v>0</v>
      </c>
      <c r="E794" s="7">
        <v>0</v>
      </c>
      <c r="F794" s="7">
        <v>0</v>
      </c>
      <c r="G794" s="7">
        <v>0</v>
      </c>
      <c r="H794" s="7">
        <v>0</v>
      </c>
      <c r="I794" s="7">
        <v>0</v>
      </c>
      <c r="J794" s="7">
        <v>0</v>
      </c>
      <c r="K794" s="7">
        <v>0</v>
      </c>
      <c r="L794" s="7">
        <v>0</v>
      </c>
      <c r="M794" s="7">
        <v>0</v>
      </c>
      <c r="N794" s="7">
        <v>0</v>
      </c>
      <c r="O794" s="7">
        <v>0</v>
      </c>
      <c r="P794" s="7">
        <v>0</v>
      </c>
      <c r="Q794" s="7">
        <v>0</v>
      </c>
    </row>
    <row r="795" spans="1:17">
      <c r="A795" s="2">
        <v>2743</v>
      </c>
      <c r="B795" s="7">
        <v>0</v>
      </c>
      <c r="C795" s="7">
        <v>0</v>
      </c>
      <c r="D795" s="7">
        <v>0</v>
      </c>
      <c r="E795" s="7">
        <v>0</v>
      </c>
      <c r="F795" s="7">
        <v>0</v>
      </c>
      <c r="G795" s="7">
        <v>0</v>
      </c>
      <c r="H795" s="7">
        <v>0</v>
      </c>
      <c r="I795" s="7">
        <v>0</v>
      </c>
      <c r="J795" s="7">
        <v>0</v>
      </c>
      <c r="K795" s="7">
        <v>0</v>
      </c>
      <c r="L795" s="7">
        <v>0</v>
      </c>
      <c r="M795" s="7">
        <v>0</v>
      </c>
      <c r="N795" s="7">
        <v>0</v>
      </c>
      <c r="O795" s="7">
        <v>0</v>
      </c>
      <c r="P795" s="7">
        <v>0</v>
      </c>
      <c r="Q795" s="7">
        <v>0</v>
      </c>
    </row>
    <row r="796" spans="1:17">
      <c r="A796" s="2">
        <v>2744</v>
      </c>
      <c r="B796" s="7">
        <v>0</v>
      </c>
      <c r="C796" s="7">
        <v>0</v>
      </c>
      <c r="D796" s="7">
        <v>0</v>
      </c>
      <c r="E796" s="7">
        <v>0</v>
      </c>
      <c r="F796" s="7">
        <v>0</v>
      </c>
      <c r="G796" s="7">
        <v>0</v>
      </c>
      <c r="H796" s="7">
        <v>0</v>
      </c>
      <c r="I796" s="7">
        <v>0</v>
      </c>
      <c r="J796" s="7">
        <v>0</v>
      </c>
      <c r="K796" s="7">
        <v>0</v>
      </c>
      <c r="L796" s="7">
        <v>0</v>
      </c>
      <c r="M796" s="7">
        <v>0</v>
      </c>
      <c r="N796" s="7">
        <v>0</v>
      </c>
      <c r="O796" s="7">
        <v>0</v>
      </c>
      <c r="P796" s="7">
        <v>0</v>
      </c>
      <c r="Q796" s="7">
        <v>0</v>
      </c>
    </row>
    <row r="797" spans="1:17">
      <c r="A797" s="2">
        <v>2745</v>
      </c>
      <c r="B797" s="7">
        <v>0</v>
      </c>
      <c r="C797" s="7">
        <v>0</v>
      </c>
      <c r="D797" s="7">
        <v>0</v>
      </c>
      <c r="E797" s="7">
        <v>0</v>
      </c>
      <c r="F797" s="7">
        <v>0</v>
      </c>
      <c r="G797" s="7">
        <v>0</v>
      </c>
      <c r="H797" s="7">
        <v>0</v>
      </c>
      <c r="I797" s="7">
        <v>0</v>
      </c>
      <c r="J797" s="7">
        <v>0</v>
      </c>
      <c r="K797" s="7">
        <v>0</v>
      </c>
      <c r="L797" s="7">
        <v>0</v>
      </c>
      <c r="M797" s="7">
        <v>0</v>
      </c>
      <c r="N797" s="7">
        <v>0</v>
      </c>
      <c r="O797" s="7">
        <v>0</v>
      </c>
      <c r="P797" s="7">
        <v>0</v>
      </c>
      <c r="Q797" s="7">
        <v>0</v>
      </c>
    </row>
    <row r="798" spans="1:17">
      <c r="A798" s="2">
        <v>2746</v>
      </c>
      <c r="B798" s="7">
        <v>0</v>
      </c>
      <c r="C798" s="7">
        <v>0</v>
      </c>
      <c r="D798" s="7">
        <v>0</v>
      </c>
      <c r="E798" s="7">
        <v>0</v>
      </c>
      <c r="F798" s="7">
        <v>0</v>
      </c>
      <c r="G798" s="7">
        <v>0</v>
      </c>
      <c r="H798" s="7">
        <v>0</v>
      </c>
      <c r="I798" s="7">
        <v>0</v>
      </c>
      <c r="J798" s="7">
        <v>0</v>
      </c>
      <c r="K798" s="7">
        <v>0</v>
      </c>
      <c r="L798" s="7">
        <v>0</v>
      </c>
      <c r="M798" s="7">
        <v>0</v>
      </c>
      <c r="N798" s="7">
        <v>0</v>
      </c>
      <c r="O798" s="7">
        <v>0</v>
      </c>
      <c r="P798" s="7">
        <v>0</v>
      </c>
      <c r="Q798" s="7">
        <v>0</v>
      </c>
    </row>
    <row r="799" spans="1:17">
      <c r="A799" s="2">
        <v>2747</v>
      </c>
      <c r="B799" s="7">
        <v>0</v>
      </c>
      <c r="C799" s="7">
        <v>0</v>
      </c>
      <c r="D799" s="7">
        <v>0</v>
      </c>
      <c r="E799" s="7">
        <v>0</v>
      </c>
      <c r="F799" s="7">
        <v>0</v>
      </c>
      <c r="G799" s="7">
        <v>0</v>
      </c>
      <c r="H799" s="7">
        <v>0</v>
      </c>
      <c r="I799" s="7">
        <v>0</v>
      </c>
      <c r="J799" s="7">
        <v>0</v>
      </c>
      <c r="K799" s="7">
        <v>0</v>
      </c>
      <c r="L799" s="7">
        <v>0</v>
      </c>
      <c r="M799" s="7">
        <v>0</v>
      </c>
      <c r="N799" s="7">
        <v>0</v>
      </c>
      <c r="O799" s="7">
        <v>0</v>
      </c>
      <c r="P799" s="7">
        <v>0</v>
      </c>
      <c r="Q799" s="7">
        <v>0</v>
      </c>
    </row>
    <row r="800" spans="1:17">
      <c r="A800" s="2">
        <v>2748</v>
      </c>
      <c r="B800" s="7">
        <v>0</v>
      </c>
      <c r="C800" s="7">
        <v>0</v>
      </c>
      <c r="D800" s="7">
        <v>0</v>
      </c>
      <c r="E800" s="7">
        <v>0</v>
      </c>
      <c r="F800" s="7">
        <v>0</v>
      </c>
      <c r="G800" s="7">
        <v>0</v>
      </c>
      <c r="H800" s="7">
        <v>0</v>
      </c>
      <c r="I800" s="7">
        <v>0</v>
      </c>
      <c r="J800" s="7">
        <v>0</v>
      </c>
      <c r="K800" s="7">
        <v>0</v>
      </c>
      <c r="L800" s="7">
        <v>0</v>
      </c>
      <c r="M800" s="7">
        <v>0</v>
      </c>
      <c r="N800" s="7">
        <v>0</v>
      </c>
      <c r="O800" s="7">
        <v>0</v>
      </c>
      <c r="P800" s="7">
        <v>0</v>
      </c>
      <c r="Q800" s="7">
        <v>0</v>
      </c>
    </row>
    <row r="801" spans="1:17">
      <c r="A801" s="2">
        <v>2749</v>
      </c>
      <c r="B801" s="7">
        <v>0</v>
      </c>
      <c r="C801" s="7">
        <v>0</v>
      </c>
      <c r="D801" s="7">
        <v>0</v>
      </c>
      <c r="E801" s="7">
        <v>0</v>
      </c>
      <c r="F801" s="7">
        <v>0</v>
      </c>
      <c r="G801" s="7">
        <v>0</v>
      </c>
      <c r="H801" s="7">
        <v>0</v>
      </c>
      <c r="I801" s="7">
        <v>0</v>
      </c>
      <c r="J801" s="7">
        <v>0</v>
      </c>
      <c r="K801" s="7">
        <v>0</v>
      </c>
      <c r="L801" s="7">
        <v>0</v>
      </c>
      <c r="M801" s="7">
        <v>0</v>
      </c>
      <c r="N801" s="7">
        <v>0</v>
      </c>
      <c r="O801" s="7">
        <v>0</v>
      </c>
      <c r="P801" s="7">
        <v>0</v>
      </c>
      <c r="Q801" s="7">
        <v>0</v>
      </c>
    </row>
    <row r="802" spans="1:17">
      <c r="A802" s="2">
        <v>2750</v>
      </c>
      <c r="B802" s="7">
        <v>0</v>
      </c>
      <c r="C802" s="7">
        <v>0</v>
      </c>
      <c r="D802" s="7">
        <v>0</v>
      </c>
      <c r="E802" s="7">
        <v>0</v>
      </c>
      <c r="F802" s="7">
        <v>0</v>
      </c>
      <c r="G802" s="7">
        <v>0</v>
      </c>
      <c r="H802" s="7">
        <v>0</v>
      </c>
      <c r="I802" s="7">
        <v>0</v>
      </c>
      <c r="J802" s="7">
        <v>0</v>
      </c>
      <c r="K802" s="7">
        <v>0</v>
      </c>
      <c r="L802" s="7">
        <v>0</v>
      </c>
      <c r="M802" s="7">
        <v>0</v>
      </c>
      <c r="N802" s="7">
        <v>0</v>
      </c>
      <c r="O802" s="7">
        <v>0</v>
      </c>
      <c r="P802" s="7">
        <v>0</v>
      </c>
      <c r="Q802" s="7">
        <v>0</v>
      </c>
    </row>
    <row r="803" spans="1:17">
      <c r="A803" s="2">
        <v>2751</v>
      </c>
      <c r="B803" s="7">
        <v>0</v>
      </c>
      <c r="C803" s="7">
        <v>0</v>
      </c>
      <c r="D803" s="7">
        <v>0</v>
      </c>
      <c r="E803" s="7">
        <v>0</v>
      </c>
      <c r="F803" s="7">
        <v>0</v>
      </c>
      <c r="G803" s="7">
        <v>0</v>
      </c>
      <c r="H803" s="7">
        <v>0</v>
      </c>
      <c r="I803" s="7">
        <v>0</v>
      </c>
      <c r="J803" s="7">
        <v>0</v>
      </c>
      <c r="K803" s="7">
        <v>0</v>
      </c>
      <c r="L803" s="7">
        <v>0</v>
      </c>
      <c r="M803" s="7">
        <v>0</v>
      </c>
      <c r="N803" s="7">
        <v>0</v>
      </c>
      <c r="O803" s="7">
        <v>0</v>
      </c>
      <c r="P803" s="7">
        <v>0</v>
      </c>
      <c r="Q803" s="7">
        <v>0</v>
      </c>
    </row>
    <row r="804" spans="1:17">
      <c r="A804" s="2">
        <v>2752</v>
      </c>
      <c r="B804" s="7">
        <v>0</v>
      </c>
      <c r="C804" s="7">
        <v>0</v>
      </c>
      <c r="D804" s="7">
        <v>0</v>
      </c>
      <c r="E804" s="7">
        <v>0</v>
      </c>
      <c r="F804" s="7">
        <v>0</v>
      </c>
      <c r="G804" s="7">
        <v>0</v>
      </c>
      <c r="H804" s="7">
        <v>0</v>
      </c>
      <c r="I804" s="7">
        <v>0</v>
      </c>
      <c r="J804" s="7">
        <v>0</v>
      </c>
      <c r="K804" s="7">
        <v>0</v>
      </c>
      <c r="L804" s="7">
        <v>0</v>
      </c>
      <c r="M804" s="7">
        <v>0</v>
      </c>
      <c r="N804" s="7">
        <v>0</v>
      </c>
      <c r="O804" s="7">
        <v>0</v>
      </c>
      <c r="P804" s="7">
        <v>0</v>
      </c>
      <c r="Q804" s="7">
        <v>0</v>
      </c>
    </row>
    <row r="805" spans="1:17">
      <c r="A805" s="2">
        <v>2753</v>
      </c>
      <c r="B805" s="7">
        <v>0</v>
      </c>
      <c r="C805" s="7">
        <v>0</v>
      </c>
      <c r="D805" s="7">
        <v>0</v>
      </c>
      <c r="E805" s="7">
        <v>0</v>
      </c>
      <c r="F805" s="7">
        <v>0</v>
      </c>
      <c r="G805" s="7">
        <v>0</v>
      </c>
      <c r="H805" s="7">
        <v>0</v>
      </c>
      <c r="I805" s="7">
        <v>0</v>
      </c>
      <c r="J805" s="7">
        <v>0</v>
      </c>
      <c r="K805" s="7">
        <v>0</v>
      </c>
      <c r="L805" s="7">
        <v>0</v>
      </c>
      <c r="M805" s="7">
        <v>0</v>
      </c>
      <c r="N805" s="7">
        <v>0</v>
      </c>
      <c r="O805" s="7">
        <v>0</v>
      </c>
      <c r="P805" s="7">
        <v>0</v>
      </c>
      <c r="Q805" s="7">
        <v>0</v>
      </c>
    </row>
    <row r="806" spans="1:17">
      <c r="A806" s="2">
        <v>2754</v>
      </c>
      <c r="B806" s="7">
        <v>0</v>
      </c>
      <c r="C806" s="7">
        <v>0</v>
      </c>
      <c r="D806" s="7">
        <v>0</v>
      </c>
      <c r="E806" s="7">
        <v>0</v>
      </c>
      <c r="F806" s="7">
        <v>0</v>
      </c>
      <c r="G806" s="7">
        <v>0</v>
      </c>
      <c r="H806" s="7">
        <v>0</v>
      </c>
      <c r="I806" s="7">
        <v>0</v>
      </c>
      <c r="J806" s="7">
        <v>0</v>
      </c>
      <c r="K806" s="7">
        <v>0</v>
      </c>
      <c r="L806" s="7">
        <v>0</v>
      </c>
      <c r="M806" s="7">
        <v>0</v>
      </c>
      <c r="N806" s="7">
        <v>0</v>
      </c>
      <c r="O806" s="7">
        <v>0</v>
      </c>
      <c r="P806" s="7">
        <v>0</v>
      </c>
      <c r="Q806" s="7">
        <v>0</v>
      </c>
    </row>
    <row r="807" spans="1:17">
      <c r="A807" s="2">
        <v>2755</v>
      </c>
      <c r="B807" s="7">
        <v>0</v>
      </c>
      <c r="C807" s="7">
        <v>0</v>
      </c>
      <c r="D807" s="7">
        <v>0</v>
      </c>
      <c r="E807" s="7">
        <v>0</v>
      </c>
      <c r="F807" s="7">
        <v>0</v>
      </c>
      <c r="G807" s="7">
        <v>0</v>
      </c>
      <c r="H807" s="7">
        <v>0</v>
      </c>
      <c r="I807" s="7">
        <v>0</v>
      </c>
      <c r="J807" s="7">
        <v>0</v>
      </c>
      <c r="K807" s="7">
        <v>0</v>
      </c>
      <c r="L807" s="7">
        <v>0</v>
      </c>
      <c r="M807" s="7">
        <v>0</v>
      </c>
      <c r="N807" s="7">
        <v>0</v>
      </c>
      <c r="O807" s="7">
        <v>0</v>
      </c>
      <c r="P807" s="7">
        <v>0</v>
      </c>
      <c r="Q807" s="7">
        <v>0</v>
      </c>
    </row>
    <row r="808" spans="1:17">
      <c r="A808" s="2">
        <v>2756</v>
      </c>
      <c r="B808" s="7">
        <v>0</v>
      </c>
      <c r="C808" s="7">
        <v>0</v>
      </c>
      <c r="D808" s="7">
        <v>0</v>
      </c>
      <c r="E808" s="7">
        <v>0</v>
      </c>
      <c r="F808" s="7">
        <v>0</v>
      </c>
      <c r="G808" s="7">
        <v>0</v>
      </c>
      <c r="H808" s="7">
        <v>0</v>
      </c>
      <c r="I808" s="7">
        <v>0</v>
      </c>
      <c r="J808" s="7">
        <v>0</v>
      </c>
      <c r="K808" s="7">
        <v>0</v>
      </c>
      <c r="L808" s="7">
        <v>0</v>
      </c>
      <c r="M808" s="7">
        <v>0</v>
      </c>
      <c r="N808" s="7">
        <v>0</v>
      </c>
      <c r="O808" s="7">
        <v>0</v>
      </c>
      <c r="P808" s="7">
        <v>0</v>
      </c>
      <c r="Q808" s="7">
        <v>0</v>
      </c>
    </row>
    <row r="809" spans="1:17">
      <c r="A809" s="2">
        <v>2757</v>
      </c>
      <c r="B809" s="7">
        <v>0</v>
      </c>
      <c r="C809" s="7">
        <v>0</v>
      </c>
      <c r="D809" s="7">
        <v>0</v>
      </c>
      <c r="E809" s="7">
        <v>0</v>
      </c>
      <c r="F809" s="7">
        <v>0</v>
      </c>
      <c r="G809" s="7">
        <v>0</v>
      </c>
      <c r="H809" s="7">
        <v>0</v>
      </c>
      <c r="I809" s="7">
        <v>0</v>
      </c>
      <c r="J809" s="7">
        <v>0</v>
      </c>
      <c r="K809" s="7">
        <v>0</v>
      </c>
      <c r="L809" s="7">
        <v>0</v>
      </c>
      <c r="M809" s="7">
        <v>0</v>
      </c>
      <c r="N809" s="7">
        <v>0</v>
      </c>
      <c r="O809" s="7">
        <v>0</v>
      </c>
      <c r="P809" s="7">
        <v>0</v>
      </c>
      <c r="Q809" s="7">
        <v>0</v>
      </c>
    </row>
    <row r="810" spans="1:17">
      <c r="A810" s="2">
        <v>2758</v>
      </c>
      <c r="B810" s="7">
        <v>0</v>
      </c>
      <c r="C810" s="7">
        <v>0</v>
      </c>
      <c r="D810" s="7">
        <v>0</v>
      </c>
      <c r="E810" s="7">
        <v>0</v>
      </c>
      <c r="F810" s="7">
        <v>0</v>
      </c>
      <c r="G810" s="7">
        <v>0</v>
      </c>
      <c r="H810" s="7">
        <v>0</v>
      </c>
      <c r="I810" s="7">
        <v>0</v>
      </c>
      <c r="J810" s="7">
        <v>0</v>
      </c>
      <c r="K810" s="7">
        <v>0</v>
      </c>
      <c r="L810" s="7">
        <v>0</v>
      </c>
      <c r="M810" s="7">
        <v>0</v>
      </c>
      <c r="N810" s="7">
        <v>0</v>
      </c>
      <c r="O810" s="7">
        <v>0</v>
      </c>
      <c r="P810" s="7">
        <v>0</v>
      </c>
      <c r="Q810" s="7">
        <v>0</v>
      </c>
    </row>
    <row r="811" spans="1:17">
      <c r="A811" s="2">
        <v>2759</v>
      </c>
      <c r="B811" s="7">
        <v>0</v>
      </c>
      <c r="C811" s="7">
        <v>0</v>
      </c>
      <c r="D811" s="7">
        <v>0</v>
      </c>
      <c r="E811" s="7">
        <v>0</v>
      </c>
      <c r="F811" s="7">
        <v>0</v>
      </c>
      <c r="G811" s="7">
        <v>0</v>
      </c>
      <c r="H811" s="7">
        <v>0</v>
      </c>
      <c r="I811" s="7">
        <v>0</v>
      </c>
      <c r="J811" s="7">
        <v>0</v>
      </c>
      <c r="K811" s="7">
        <v>0</v>
      </c>
      <c r="L811" s="7">
        <v>0</v>
      </c>
      <c r="M811" s="7">
        <v>0</v>
      </c>
      <c r="N811" s="7">
        <v>0</v>
      </c>
      <c r="O811" s="7">
        <v>0</v>
      </c>
      <c r="P811" s="7">
        <v>0</v>
      </c>
      <c r="Q811" s="7">
        <v>0</v>
      </c>
    </row>
    <row r="812" spans="1:17">
      <c r="A812" s="2">
        <v>2760</v>
      </c>
      <c r="B812" s="7">
        <v>0</v>
      </c>
      <c r="C812" s="7">
        <v>0</v>
      </c>
      <c r="D812" s="7">
        <v>0</v>
      </c>
      <c r="E812" s="7">
        <v>0</v>
      </c>
      <c r="F812" s="7">
        <v>0</v>
      </c>
      <c r="G812" s="7">
        <v>0</v>
      </c>
      <c r="H812" s="7">
        <v>0</v>
      </c>
      <c r="I812" s="7">
        <v>0</v>
      </c>
      <c r="J812" s="7">
        <v>0</v>
      </c>
      <c r="K812" s="7">
        <v>0</v>
      </c>
      <c r="L812" s="7">
        <v>0</v>
      </c>
      <c r="M812" s="7">
        <v>0</v>
      </c>
      <c r="N812" s="7">
        <v>0</v>
      </c>
      <c r="O812" s="7">
        <v>0</v>
      </c>
      <c r="P812" s="7">
        <v>0</v>
      </c>
      <c r="Q812" s="7">
        <v>0</v>
      </c>
    </row>
    <row r="813" spans="1:17">
      <c r="A813" s="2">
        <v>2761</v>
      </c>
      <c r="B813" s="7">
        <v>0</v>
      </c>
      <c r="C813" s="7">
        <v>0</v>
      </c>
      <c r="D813" s="7">
        <v>0</v>
      </c>
      <c r="E813" s="7">
        <v>0</v>
      </c>
      <c r="F813" s="7">
        <v>0</v>
      </c>
      <c r="G813" s="7">
        <v>0</v>
      </c>
      <c r="H813" s="7">
        <v>0</v>
      </c>
      <c r="I813" s="7">
        <v>0</v>
      </c>
      <c r="J813" s="7">
        <v>0</v>
      </c>
      <c r="K813" s="7">
        <v>0</v>
      </c>
      <c r="L813" s="7">
        <v>0</v>
      </c>
      <c r="M813" s="7">
        <v>0</v>
      </c>
      <c r="N813" s="7">
        <v>0</v>
      </c>
      <c r="O813" s="7">
        <v>0</v>
      </c>
      <c r="P813" s="7">
        <v>0</v>
      </c>
      <c r="Q813" s="7">
        <v>0</v>
      </c>
    </row>
    <row r="814" spans="1:17">
      <c r="A814" s="2">
        <v>2762</v>
      </c>
      <c r="B814" s="7">
        <v>0</v>
      </c>
      <c r="C814" s="7">
        <v>0</v>
      </c>
      <c r="D814" s="7">
        <v>0</v>
      </c>
      <c r="E814" s="7">
        <v>0</v>
      </c>
      <c r="F814" s="7">
        <v>0</v>
      </c>
      <c r="G814" s="7">
        <v>0</v>
      </c>
      <c r="H814" s="7">
        <v>0</v>
      </c>
      <c r="I814" s="7">
        <v>0</v>
      </c>
      <c r="J814" s="7">
        <v>0</v>
      </c>
      <c r="K814" s="7">
        <v>0</v>
      </c>
      <c r="L814" s="7">
        <v>0</v>
      </c>
      <c r="M814" s="7">
        <v>0</v>
      </c>
      <c r="N814" s="7">
        <v>0</v>
      </c>
      <c r="O814" s="7">
        <v>0</v>
      </c>
      <c r="P814" s="7">
        <v>0</v>
      </c>
      <c r="Q814" s="7">
        <v>0</v>
      </c>
    </row>
    <row r="815" spans="1:17">
      <c r="A815" s="2">
        <v>2763</v>
      </c>
      <c r="B815" s="7">
        <v>0</v>
      </c>
      <c r="C815" s="7">
        <v>0</v>
      </c>
      <c r="D815" s="7">
        <v>0</v>
      </c>
      <c r="E815" s="7">
        <v>0</v>
      </c>
      <c r="F815" s="7">
        <v>0</v>
      </c>
      <c r="G815" s="7">
        <v>0</v>
      </c>
      <c r="H815" s="7">
        <v>0</v>
      </c>
      <c r="I815" s="7">
        <v>0</v>
      </c>
      <c r="J815" s="7">
        <v>0</v>
      </c>
      <c r="K815" s="7">
        <v>0</v>
      </c>
      <c r="L815" s="7">
        <v>0</v>
      </c>
      <c r="M815" s="7">
        <v>0</v>
      </c>
      <c r="N815" s="7">
        <v>0</v>
      </c>
      <c r="O815" s="7">
        <v>0</v>
      </c>
      <c r="P815" s="7">
        <v>0</v>
      </c>
      <c r="Q815" s="7">
        <v>0</v>
      </c>
    </row>
    <row r="816" spans="1:17">
      <c r="A816" s="2">
        <v>2764</v>
      </c>
      <c r="B816" s="7">
        <v>0</v>
      </c>
      <c r="C816" s="7">
        <v>0</v>
      </c>
      <c r="D816" s="7">
        <v>0</v>
      </c>
      <c r="E816" s="7">
        <v>0</v>
      </c>
      <c r="F816" s="7">
        <v>0</v>
      </c>
      <c r="G816" s="7">
        <v>0</v>
      </c>
      <c r="H816" s="7">
        <v>0</v>
      </c>
      <c r="I816" s="7">
        <v>0</v>
      </c>
      <c r="J816" s="7">
        <v>0</v>
      </c>
      <c r="K816" s="7">
        <v>0</v>
      </c>
      <c r="L816" s="7">
        <v>0</v>
      </c>
      <c r="M816" s="7">
        <v>0</v>
      </c>
      <c r="N816" s="7">
        <v>0</v>
      </c>
      <c r="O816" s="7">
        <v>0</v>
      </c>
      <c r="P816" s="7">
        <v>0</v>
      </c>
      <c r="Q816" s="7">
        <v>0</v>
      </c>
    </row>
    <row r="817" spans="1:17">
      <c r="A817" s="2">
        <v>2765</v>
      </c>
      <c r="B817" s="7">
        <v>0</v>
      </c>
      <c r="C817" s="7">
        <v>0</v>
      </c>
      <c r="D817" s="7">
        <v>0</v>
      </c>
      <c r="E817" s="7">
        <v>0</v>
      </c>
      <c r="F817" s="7">
        <v>0</v>
      </c>
      <c r="G817" s="7">
        <v>0</v>
      </c>
      <c r="H817" s="7">
        <v>0</v>
      </c>
      <c r="I817" s="7">
        <v>0</v>
      </c>
      <c r="J817" s="7">
        <v>0</v>
      </c>
      <c r="K817" s="7">
        <v>0</v>
      </c>
      <c r="L817" s="7">
        <v>0</v>
      </c>
      <c r="M817" s="7">
        <v>0</v>
      </c>
      <c r="N817" s="7">
        <v>0</v>
      </c>
      <c r="O817" s="7">
        <v>0</v>
      </c>
      <c r="P817" s="7">
        <v>0</v>
      </c>
      <c r="Q817" s="7">
        <v>0</v>
      </c>
    </row>
    <row r="818" spans="1:17">
      <c r="A818" s="2">
        <v>2766</v>
      </c>
      <c r="B818" s="7">
        <v>0</v>
      </c>
      <c r="C818" s="7">
        <v>0</v>
      </c>
      <c r="D818" s="7">
        <v>0</v>
      </c>
      <c r="E818" s="7">
        <v>0</v>
      </c>
      <c r="F818" s="7">
        <v>0</v>
      </c>
      <c r="G818" s="7">
        <v>0</v>
      </c>
      <c r="H818" s="7">
        <v>0</v>
      </c>
      <c r="I818" s="7">
        <v>0</v>
      </c>
      <c r="J818" s="7">
        <v>0</v>
      </c>
      <c r="K818" s="7">
        <v>0</v>
      </c>
      <c r="L818" s="7">
        <v>0</v>
      </c>
      <c r="M818" s="7">
        <v>0</v>
      </c>
      <c r="N818" s="7">
        <v>0</v>
      </c>
      <c r="O818" s="7">
        <v>0</v>
      </c>
      <c r="P818" s="7">
        <v>0</v>
      </c>
      <c r="Q818" s="7">
        <v>0</v>
      </c>
    </row>
    <row r="819" spans="1:17">
      <c r="A819" s="2">
        <v>2767</v>
      </c>
      <c r="B819" s="7">
        <v>0</v>
      </c>
      <c r="C819" s="7">
        <v>0</v>
      </c>
      <c r="D819" s="7">
        <v>0</v>
      </c>
      <c r="E819" s="7">
        <v>0</v>
      </c>
      <c r="F819" s="7">
        <v>0</v>
      </c>
      <c r="G819" s="7">
        <v>0</v>
      </c>
      <c r="H819" s="7">
        <v>0</v>
      </c>
      <c r="I819" s="7">
        <v>0</v>
      </c>
      <c r="J819" s="7">
        <v>0</v>
      </c>
      <c r="K819" s="7">
        <v>0</v>
      </c>
      <c r="L819" s="7">
        <v>0</v>
      </c>
      <c r="M819" s="7">
        <v>0</v>
      </c>
      <c r="N819" s="7">
        <v>0</v>
      </c>
      <c r="O819" s="7">
        <v>0</v>
      </c>
      <c r="P819" s="7">
        <v>0</v>
      </c>
      <c r="Q819" s="7">
        <v>0</v>
      </c>
    </row>
    <row r="820" spans="1:17">
      <c r="A820" s="2">
        <v>2768</v>
      </c>
      <c r="B820" s="7">
        <v>0</v>
      </c>
      <c r="C820" s="7">
        <v>0</v>
      </c>
      <c r="D820" s="7">
        <v>0</v>
      </c>
      <c r="E820" s="7">
        <v>0</v>
      </c>
      <c r="F820" s="7">
        <v>0</v>
      </c>
      <c r="G820" s="7">
        <v>0</v>
      </c>
      <c r="H820" s="7">
        <v>0</v>
      </c>
      <c r="I820" s="7">
        <v>0</v>
      </c>
      <c r="J820" s="7">
        <v>0</v>
      </c>
      <c r="K820" s="7">
        <v>0</v>
      </c>
      <c r="L820" s="7">
        <v>0</v>
      </c>
      <c r="M820" s="7">
        <v>0</v>
      </c>
      <c r="N820" s="7">
        <v>0</v>
      </c>
      <c r="O820" s="7">
        <v>0</v>
      </c>
      <c r="P820" s="7">
        <v>0</v>
      </c>
      <c r="Q820" s="7">
        <v>0</v>
      </c>
    </row>
    <row r="821" spans="1:17">
      <c r="A821" s="2">
        <v>2769</v>
      </c>
      <c r="B821" s="7">
        <v>0</v>
      </c>
      <c r="C821" s="7">
        <v>0</v>
      </c>
      <c r="D821" s="7">
        <v>0</v>
      </c>
      <c r="E821" s="7">
        <v>0</v>
      </c>
      <c r="F821" s="7">
        <v>0</v>
      </c>
      <c r="G821" s="7">
        <v>0</v>
      </c>
      <c r="H821" s="7">
        <v>0</v>
      </c>
      <c r="I821" s="7">
        <v>0</v>
      </c>
      <c r="J821" s="7">
        <v>0</v>
      </c>
      <c r="K821" s="7">
        <v>0</v>
      </c>
      <c r="L821" s="7">
        <v>0</v>
      </c>
      <c r="M821" s="7">
        <v>0</v>
      </c>
      <c r="N821" s="7">
        <v>0</v>
      </c>
      <c r="O821" s="7">
        <v>0</v>
      </c>
      <c r="P821" s="7">
        <v>0</v>
      </c>
      <c r="Q821" s="7">
        <v>0</v>
      </c>
    </row>
    <row r="822" spans="1:17">
      <c r="A822" s="2">
        <v>2770</v>
      </c>
      <c r="B822" s="7">
        <v>0</v>
      </c>
      <c r="C822" s="7">
        <v>0</v>
      </c>
      <c r="D822" s="7">
        <v>0</v>
      </c>
      <c r="E822" s="7">
        <v>0</v>
      </c>
      <c r="F822" s="7">
        <v>0</v>
      </c>
      <c r="G822" s="7">
        <v>0</v>
      </c>
      <c r="H822" s="7">
        <v>0</v>
      </c>
      <c r="I822" s="7">
        <v>0</v>
      </c>
      <c r="J822" s="7">
        <v>0</v>
      </c>
      <c r="K822" s="7">
        <v>0</v>
      </c>
      <c r="L822" s="7">
        <v>0</v>
      </c>
      <c r="M822" s="7">
        <v>0</v>
      </c>
      <c r="N822" s="7">
        <v>0</v>
      </c>
      <c r="O822" s="7">
        <v>0</v>
      </c>
      <c r="P822" s="7">
        <v>0</v>
      </c>
      <c r="Q822" s="7">
        <v>0</v>
      </c>
    </row>
    <row r="823" spans="1:17">
      <c r="A823" s="2">
        <v>2771</v>
      </c>
      <c r="B823" s="7">
        <v>0</v>
      </c>
      <c r="C823" s="7">
        <v>0</v>
      </c>
      <c r="D823" s="7">
        <v>0</v>
      </c>
      <c r="E823" s="7">
        <v>0</v>
      </c>
      <c r="F823" s="7">
        <v>0</v>
      </c>
      <c r="G823" s="7">
        <v>0</v>
      </c>
      <c r="H823" s="7">
        <v>0</v>
      </c>
      <c r="I823" s="7">
        <v>0</v>
      </c>
      <c r="J823" s="7">
        <v>0</v>
      </c>
      <c r="K823" s="7">
        <v>0</v>
      </c>
      <c r="L823" s="7">
        <v>0</v>
      </c>
      <c r="M823" s="7">
        <v>0</v>
      </c>
      <c r="N823" s="7">
        <v>0</v>
      </c>
      <c r="O823" s="7">
        <v>0</v>
      </c>
      <c r="P823" s="7">
        <v>0</v>
      </c>
      <c r="Q823" s="7">
        <v>0</v>
      </c>
    </row>
    <row r="824" spans="1:17">
      <c r="A824" s="2">
        <v>2772</v>
      </c>
      <c r="B824" s="7">
        <v>0</v>
      </c>
      <c r="C824" s="7">
        <v>0</v>
      </c>
      <c r="D824" s="7">
        <v>0</v>
      </c>
      <c r="E824" s="7">
        <v>0</v>
      </c>
      <c r="F824" s="7">
        <v>0</v>
      </c>
      <c r="G824" s="7">
        <v>0</v>
      </c>
      <c r="H824" s="7">
        <v>0</v>
      </c>
      <c r="I824" s="7">
        <v>0</v>
      </c>
      <c r="J824" s="7">
        <v>0</v>
      </c>
      <c r="K824" s="7">
        <v>0</v>
      </c>
      <c r="L824" s="7">
        <v>0</v>
      </c>
      <c r="M824" s="7">
        <v>0</v>
      </c>
      <c r="N824" s="7">
        <v>0</v>
      </c>
      <c r="O824" s="7">
        <v>0</v>
      </c>
      <c r="P824" s="7">
        <v>0</v>
      </c>
      <c r="Q824" s="7">
        <v>0</v>
      </c>
    </row>
    <row r="825" spans="1:17">
      <c r="A825" s="2">
        <v>2773</v>
      </c>
      <c r="B825" s="7">
        <v>0</v>
      </c>
      <c r="C825" s="7">
        <v>0</v>
      </c>
      <c r="D825" s="7">
        <v>0</v>
      </c>
      <c r="E825" s="7">
        <v>0</v>
      </c>
      <c r="F825" s="7">
        <v>0</v>
      </c>
      <c r="G825" s="7">
        <v>0</v>
      </c>
      <c r="H825" s="7">
        <v>0</v>
      </c>
      <c r="I825" s="7">
        <v>0</v>
      </c>
      <c r="J825" s="7">
        <v>0</v>
      </c>
      <c r="K825" s="7">
        <v>0</v>
      </c>
      <c r="L825" s="7">
        <v>0</v>
      </c>
      <c r="M825" s="7">
        <v>0</v>
      </c>
      <c r="N825" s="7">
        <v>0</v>
      </c>
      <c r="O825" s="7">
        <v>0</v>
      </c>
      <c r="P825" s="7">
        <v>0</v>
      </c>
      <c r="Q825" s="7">
        <v>0</v>
      </c>
    </row>
    <row r="826" spans="1:17">
      <c r="A826" s="2">
        <v>2774</v>
      </c>
      <c r="B826" s="7">
        <v>0</v>
      </c>
      <c r="C826" s="7">
        <v>0</v>
      </c>
      <c r="D826" s="7">
        <v>0</v>
      </c>
      <c r="E826" s="7">
        <v>0</v>
      </c>
      <c r="F826" s="7">
        <v>0</v>
      </c>
      <c r="G826" s="7">
        <v>0</v>
      </c>
      <c r="H826" s="7">
        <v>0</v>
      </c>
      <c r="I826" s="7">
        <v>0</v>
      </c>
      <c r="J826" s="7">
        <v>0</v>
      </c>
      <c r="K826" s="7">
        <v>0</v>
      </c>
      <c r="L826" s="7">
        <v>0</v>
      </c>
      <c r="M826" s="7">
        <v>0</v>
      </c>
      <c r="N826" s="7">
        <v>0</v>
      </c>
      <c r="O826" s="7">
        <v>0</v>
      </c>
      <c r="P826" s="7">
        <v>0</v>
      </c>
      <c r="Q826" s="7">
        <v>0</v>
      </c>
    </row>
    <row r="827" spans="1:17">
      <c r="A827" s="2">
        <v>2775</v>
      </c>
      <c r="B827" s="7">
        <v>0</v>
      </c>
      <c r="C827" s="7">
        <v>0</v>
      </c>
      <c r="D827" s="7">
        <v>0</v>
      </c>
      <c r="E827" s="7">
        <v>0</v>
      </c>
      <c r="F827" s="7">
        <v>0</v>
      </c>
      <c r="G827" s="7">
        <v>0</v>
      </c>
      <c r="H827" s="7">
        <v>0</v>
      </c>
      <c r="I827" s="7">
        <v>0</v>
      </c>
      <c r="J827" s="7">
        <v>0</v>
      </c>
      <c r="K827" s="7">
        <v>0</v>
      </c>
      <c r="L827" s="7">
        <v>0</v>
      </c>
      <c r="M827" s="7">
        <v>0</v>
      </c>
      <c r="N827" s="7">
        <v>0</v>
      </c>
      <c r="O827" s="7">
        <v>0</v>
      </c>
      <c r="P827" s="7">
        <v>0</v>
      </c>
      <c r="Q827" s="7">
        <v>0</v>
      </c>
    </row>
    <row r="828" spans="1:17">
      <c r="A828" s="2">
        <v>2776</v>
      </c>
      <c r="B828" s="7">
        <v>0</v>
      </c>
      <c r="C828" s="7">
        <v>0</v>
      </c>
      <c r="D828" s="7">
        <v>0</v>
      </c>
      <c r="E828" s="7">
        <v>0</v>
      </c>
      <c r="F828" s="7">
        <v>0</v>
      </c>
      <c r="G828" s="7">
        <v>0</v>
      </c>
      <c r="H828" s="7">
        <v>0</v>
      </c>
      <c r="I828" s="7">
        <v>0</v>
      </c>
      <c r="J828" s="7">
        <v>0</v>
      </c>
      <c r="K828" s="7">
        <v>0</v>
      </c>
      <c r="L828" s="7">
        <v>0</v>
      </c>
      <c r="M828" s="7">
        <v>0</v>
      </c>
      <c r="N828" s="7">
        <v>0</v>
      </c>
      <c r="O828" s="7">
        <v>0</v>
      </c>
      <c r="P828" s="7">
        <v>0</v>
      </c>
      <c r="Q828" s="7">
        <v>0</v>
      </c>
    </row>
    <row r="829" spans="1:17">
      <c r="A829" s="2">
        <v>2777</v>
      </c>
      <c r="B829" s="7">
        <v>0</v>
      </c>
      <c r="C829" s="7">
        <v>0</v>
      </c>
      <c r="D829" s="7">
        <v>0</v>
      </c>
      <c r="E829" s="7">
        <v>0</v>
      </c>
      <c r="F829" s="7">
        <v>0</v>
      </c>
      <c r="G829" s="7">
        <v>0</v>
      </c>
      <c r="H829" s="7">
        <v>0</v>
      </c>
      <c r="I829" s="7">
        <v>0</v>
      </c>
      <c r="J829" s="7">
        <v>0</v>
      </c>
      <c r="K829" s="7">
        <v>0</v>
      </c>
      <c r="L829" s="7">
        <v>0</v>
      </c>
      <c r="M829" s="7">
        <v>0</v>
      </c>
      <c r="N829" s="7">
        <v>0</v>
      </c>
      <c r="O829" s="7">
        <v>0</v>
      </c>
      <c r="P829" s="7">
        <v>0</v>
      </c>
      <c r="Q829" s="7">
        <v>0</v>
      </c>
    </row>
    <row r="830" spans="1:17">
      <c r="A830" s="2">
        <v>2778</v>
      </c>
      <c r="B830" s="7">
        <v>0</v>
      </c>
      <c r="C830" s="7">
        <v>0</v>
      </c>
      <c r="D830" s="7">
        <v>0</v>
      </c>
      <c r="E830" s="7">
        <v>0</v>
      </c>
      <c r="F830" s="7">
        <v>0</v>
      </c>
      <c r="G830" s="7">
        <v>0</v>
      </c>
      <c r="H830" s="7">
        <v>0</v>
      </c>
      <c r="I830" s="7">
        <v>0</v>
      </c>
      <c r="J830" s="7">
        <v>0</v>
      </c>
      <c r="K830" s="7">
        <v>0</v>
      </c>
      <c r="L830" s="7">
        <v>0</v>
      </c>
      <c r="M830" s="7">
        <v>0</v>
      </c>
      <c r="N830" s="7">
        <v>0</v>
      </c>
      <c r="O830" s="7">
        <v>0</v>
      </c>
      <c r="P830" s="7">
        <v>0</v>
      </c>
      <c r="Q830" s="7">
        <v>0</v>
      </c>
    </row>
    <row r="831" spans="1:17">
      <c r="A831" s="2">
        <v>2779</v>
      </c>
      <c r="B831" s="7">
        <v>0</v>
      </c>
      <c r="C831" s="7">
        <v>0</v>
      </c>
      <c r="D831" s="7">
        <v>0</v>
      </c>
      <c r="E831" s="7">
        <v>0</v>
      </c>
      <c r="F831" s="7">
        <v>0</v>
      </c>
      <c r="G831" s="7">
        <v>0</v>
      </c>
      <c r="H831" s="7">
        <v>0</v>
      </c>
      <c r="I831" s="7">
        <v>0</v>
      </c>
      <c r="J831" s="7">
        <v>0</v>
      </c>
      <c r="K831" s="7">
        <v>0</v>
      </c>
      <c r="L831" s="7">
        <v>0</v>
      </c>
      <c r="M831" s="7">
        <v>0</v>
      </c>
      <c r="N831" s="7">
        <v>0</v>
      </c>
      <c r="O831" s="7">
        <v>0</v>
      </c>
      <c r="P831" s="7">
        <v>0</v>
      </c>
      <c r="Q831" s="7">
        <v>0</v>
      </c>
    </row>
    <row r="832" spans="1:17">
      <c r="A832" s="2">
        <v>2780</v>
      </c>
      <c r="B832" s="7">
        <v>0</v>
      </c>
      <c r="C832" s="7">
        <v>0</v>
      </c>
      <c r="D832" s="7">
        <v>0</v>
      </c>
      <c r="E832" s="7">
        <v>0</v>
      </c>
      <c r="F832" s="7">
        <v>0</v>
      </c>
      <c r="G832" s="7">
        <v>0</v>
      </c>
      <c r="H832" s="7">
        <v>0</v>
      </c>
      <c r="I832" s="7">
        <v>0</v>
      </c>
      <c r="J832" s="7">
        <v>0</v>
      </c>
      <c r="K832" s="7">
        <v>0</v>
      </c>
      <c r="L832" s="7">
        <v>0</v>
      </c>
      <c r="M832" s="7">
        <v>0</v>
      </c>
      <c r="N832" s="7">
        <v>0</v>
      </c>
      <c r="O832" s="7">
        <v>0</v>
      </c>
      <c r="P832" s="7">
        <v>0</v>
      </c>
      <c r="Q832" s="7">
        <v>0</v>
      </c>
    </row>
    <row r="833" spans="1:17">
      <c r="A833" s="2">
        <v>2781</v>
      </c>
      <c r="B833" s="7">
        <v>0</v>
      </c>
      <c r="C833" s="7">
        <v>0</v>
      </c>
      <c r="D833" s="7">
        <v>0</v>
      </c>
      <c r="E833" s="7">
        <v>0</v>
      </c>
      <c r="F833" s="7">
        <v>0</v>
      </c>
      <c r="G833" s="7">
        <v>0</v>
      </c>
      <c r="H833" s="7">
        <v>0</v>
      </c>
      <c r="I833" s="7">
        <v>0</v>
      </c>
      <c r="J833" s="7">
        <v>0</v>
      </c>
      <c r="K833" s="7">
        <v>0</v>
      </c>
      <c r="L833" s="7">
        <v>0</v>
      </c>
      <c r="M833" s="7">
        <v>0</v>
      </c>
      <c r="N833" s="7">
        <v>0</v>
      </c>
      <c r="O833" s="7">
        <v>0</v>
      </c>
      <c r="P833" s="7">
        <v>0</v>
      </c>
      <c r="Q833" s="7">
        <v>0</v>
      </c>
    </row>
    <row r="834" spans="1:17">
      <c r="A834" s="2">
        <v>2782</v>
      </c>
      <c r="B834" s="7">
        <v>0</v>
      </c>
      <c r="C834" s="7">
        <v>0</v>
      </c>
      <c r="D834" s="7">
        <v>0</v>
      </c>
      <c r="E834" s="7">
        <v>0</v>
      </c>
      <c r="F834" s="7">
        <v>0</v>
      </c>
      <c r="G834" s="7">
        <v>0</v>
      </c>
      <c r="H834" s="7">
        <v>0</v>
      </c>
      <c r="I834" s="7">
        <v>0</v>
      </c>
      <c r="J834" s="7">
        <v>0</v>
      </c>
      <c r="K834" s="7">
        <v>0</v>
      </c>
      <c r="L834" s="7">
        <v>0</v>
      </c>
      <c r="M834" s="7">
        <v>0</v>
      </c>
      <c r="N834" s="7">
        <v>0</v>
      </c>
      <c r="O834" s="7">
        <v>0</v>
      </c>
      <c r="P834" s="7">
        <v>0</v>
      </c>
      <c r="Q834" s="7">
        <v>0</v>
      </c>
    </row>
    <row r="835" spans="1:17">
      <c r="A835" s="2">
        <v>2783</v>
      </c>
      <c r="B835" s="7">
        <v>0</v>
      </c>
      <c r="C835" s="7">
        <v>0</v>
      </c>
      <c r="D835" s="7">
        <v>0</v>
      </c>
      <c r="E835" s="7">
        <v>0</v>
      </c>
      <c r="F835" s="7">
        <v>0</v>
      </c>
      <c r="G835" s="7">
        <v>0</v>
      </c>
      <c r="H835" s="7">
        <v>0</v>
      </c>
      <c r="I835" s="7">
        <v>0</v>
      </c>
      <c r="J835" s="7">
        <v>0</v>
      </c>
      <c r="K835" s="7">
        <v>0</v>
      </c>
      <c r="L835" s="7">
        <v>0</v>
      </c>
      <c r="M835" s="7">
        <v>0</v>
      </c>
      <c r="N835" s="7">
        <v>0</v>
      </c>
      <c r="O835" s="7">
        <v>0</v>
      </c>
      <c r="P835" s="7">
        <v>0</v>
      </c>
      <c r="Q835" s="7">
        <v>0</v>
      </c>
    </row>
    <row r="836" spans="1:17">
      <c r="A836" s="2">
        <v>2784</v>
      </c>
      <c r="B836" s="7">
        <v>0</v>
      </c>
      <c r="C836" s="7">
        <v>0</v>
      </c>
      <c r="D836" s="7">
        <v>0</v>
      </c>
      <c r="E836" s="7">
        <v>0</v>
      </c>
      <c r="F836" s="7">
        <v>0</v>
      </c>
      <c r="G836" s="7">
        <v>0</v>
      </c>
      <c r="H836" s="7">
        <v>0</v>
      </c>
      <c r="I836" s="7">
        <v>0</v>
      </c>
      <c r="J836" s="7">
        <v>0</v>
      </c>
      <c r="K836" s="7">
        <v>0</v>
      </c>
      <c r="L836" s="7">
        <v>0</v>
      </c>
      <c r="M836" s="7">
        <v>0</v>
      </c>
      <c r="N836" s="7">
        <v>0</v>
      </c>
      <c r="O836" s="7">
        <v>0</v>
      </c>
      <c r="P836" s="7">
        <v>0</v>
      </c>
      <c r="Q836" s="7">
        <v>0</v>
      </c>
    </row>
    <row r="837" spans="1:17">
      <c r="A837" s="2">
        <v>2785</v>
      </c>
      <c r="B837" s="7">
        <v>0</v>
      </c>
      <c r="C837" s="7">
        <v>0</v>
      </c>
      <c r="D837" s="7">
        <v>0</v>
      </c>
      <c r="E837" s="7">
        <v>0</v>
      </c>
      <c r="F837" s="7">
        <v>0</v>
      </c>
      <c r="G837" s="7">
        <v>0</v>
      </c>
      <c r="H837" s="7">
        <v>0</v>
      </c>
      <c r="I837" s="7">
        <v>0</v>
      </c>
      <c r="J837" s="7">
        <v>0</v>
      </c>
      <c r="K837" s="7">
        <v>0</v>
      </c>
      <c r="L837" s="7">
        <v>0</v>
      </c>
      <c r="M837" s="7">
        <v>0</v>
      </c>
      <c r="N837" s="7">
        <v>0</v>
      </c>
      <c r="O837" s="7">
        <v>0</v>
      </c>
      <c r="P837" s="7">
        <v>0</v>
      </c>
      <c r="Q837" s="7">
        <v>0</v>
      </c>
    </row>
    <row r="838" spans="1:17">
      <c r="A838" s="2">
        <v>2786</v>
      </c>
      <c r="B838" s="7">
        <v>0</v>
      </c>
      <c r="C838" s="7">
        <v>0</v>
      </c>
      <c r="D838" s="7">
        <v>0</v>
      </c>
      <c r="E838" s="7">
        <v>0</v>
      </c>
      <c r="F838" s="7">
        <v>0</v>
      </c>
      <c r="G838" s="7">
        <v>0</v>
      </c>
      <c r="H838" s="7">
        <v>0</v>
      </c>
      <c r="I838" s="7">
        <v>0</v>
      </c>
      <c r="J838" s="7">
        <v>0</v>
      </c>
      <c r="K838" s="7">
        <v>0</v>
      </c>
      <c r="L838" s="7">
        <v>0</v>
      </c>
      <c r="M838" s="7">
        <v>0</v>
      </c>
      <c r="N838" s="7">
        <v>0</v>
      </c>
      <c r="O838" s="7">
        <v>0</v>
      </c>
      <c r="P838" s="7">
        <v>0</v>
      </c>
      <c r="Q838" s="7">
        <v>0</v>
      </c>
    </row>
    <row r="839" spans="1:17">
      <c r="A839" s="2">
        <v>2787</v>
      </c>
      <c r="B839" s="7">
        <v>0</v>
      </c>
      <c r="C839" s="7">
        <v>0</v>
      </c>
      <c r="D839" s="7">
        <v>0</v>
      </c>
      <c r="E839" s="7">
        <v>0</v>
      </c>
      <c r="F839" s="7">
        <v>0</v>
      </c>
      <c r="G839" s="7">
        <v>0</v>
      </c>
      <c r="H839" s="7">
        <v>0</v>
      </c>
      <c r="I839" s="7">
        <v>0</v>
      </c>
      <c r="J839" s="7">
        <v>0</v>
      </c>
      <c r="K839" s="7">
        <v>0</v>
      </c>
      <c r="L839" s="7">
        <v>0</v>
      </c>
      <c r="M839" s="7">
        <v>0</v>
      </c>
      <c r="N839" s="7">
        <v>0</v>
      </c>
      <c r="O839" s="7">
        <v>0</v>
      </c>
      <c r="P839" s="7">
        <v>0</v>
      </c>
      <c r="Q839" s="7">
        <v>0</v>
      </c>
    </row>
    <row r="840" spans="1:17">
      <c r="A840" s="2">
        <v>2788</v>
      </c>
      <c r="B840" s="7">
        <v>0</v>
      </c>
      <c r="C840" s="7">
        <v>0</v>
      </c>
      <c r="D840" s="7">
        <v>0</v>
      </c>
      <c r="E840" s="7">
        <v>0</v>
      </c>
      <c r="F840" s="7">
        <v>0</v>
      </c>
      <c r="G840" s="7">
        <v>0</v>
      </c>
      <c r="H840" s="7">
        <v>0</v>
      </c>
      <c r="I840" s="7">
        <v>0</v>
      </c>
      <c r="J840" s="7">
        <v>0</v>
      </c>
      <c r="K840" s="7">
        <v>0</v>
      </c>
      <c r="L840" s="7">
        <v>0</v>
      </c>
      <c r="M840" s="7">
        <v>0</v>
      </c>
      <c r="N840" s="7">
        <v>0</v>
      </c>
      <c r="O840" s="7">
        <v>0</v>
      </c>
      <c r="P840" s="7">
        <v>0</v>
      </c>
      <c r="Q840" s="7">
        <v>0</v>
      </c>
    </row>
    <row r="841" spans="1:17">
      <c r="A841" s="2">
        <v>2789</v>
      </c>
      <c r="B841" s="7">
        <v>0</v>
      </c>
      <c r="C841" s="7">
        <v>0</v>
      </c>
      <c r="D841" s="7">
        <v>0</v>
      </c>
      <c r="E841" s="7">
        <v>0</v>
      </c>
      <c r="F841" s="7">
        <v>0</v>
      </c>
      <c r="G841" s="7">
        <v>0</v>
      </c>
      <c r="H841" s="7">
        <v>0</v>
      </c>
      <c r="I841" s="7">
        <v>0</v>
      </c>
      <c r="J841" s="7">
        <v>0</v>
      </c>
      <c r="K841" s="7">
        <v>0</v>
      </c>
      <c r="L841" s="7">
        <v>0</v>
      </c>
      <c r="M841" s="7">
        <v>0</v>
      </c>
      <c r="N841" s="7">
        <v>0</v>
      </c>
      <c r="O841" s="7">
        <v>0</v>
      </c>
      <c r="P841" s="7">
        <v>0</v>
      </c>
      <c r="Q841" s="7">
        <v>0</v>
      </c>
    </row>
    <row r="842" spans="1:17">
      <c r="A842" s="2">
        <v>2790</v>
      </c>
      <c r="B842" s="7">
        <v>0</v>
      </c>
      <c r="C842" s="7">
        <v>0</v>
      </c>
      <c r="D842" s="7">
        <v>0</v>
      </c>
      <c r="E842" s="7">
        <v>0</v>
      </c>
      <c r="F842" s="7">
        <v>0</v>
      </c>
      <c r="G842" s="7">
        <v>0</v>
      </c>
      <c r="H842" s="7">
        <v>0</v>
      </c>
      <c r="I842" s="7">
        <v>0</v>
      </c>
      <c r="J842" s="7">
        <v>0</v>
      </c>
      <c r="K842" s="7">
        <v>0</v>
      </c>
      <c r="L842" s="7">
        <v>0</v>
      </c>
      <c r="M842" s="7">
        <v>0</v>
      </c>
      <c r="N842" s="7">
        <v>0</v>
      </c>
      <c r="O842" s="7">
        <v>0</v>
      </c>
      <c r="P842" s="7">
        <v>0</v>
      </c>
      <c r="Q842" s="7">
        <v>0</v>
      </c>
    </row>
    <row r="843" spans="1:17">
      <c r="A843" s="2">
        <v>2791</v>
      </c>
      <c r="B843" s="7">
        <v>0</v>
      </c>
      <c r="C843" s="7">
        <v>0</v>
      </c>
      <c r="D843" s="7">
        <v>0</v>
      </c>
      <c r="E843" s="7">
        <v>0</v>
      </c>
      <c r="F843" s="7">
        <v>0</v>
      </c>
      <c r="G843" s="7">
        <v>0</v>
      </c>
      <c r="H843" s="7">
        <v>0</v>
      </c>
      <c r="I843" s="7">
        <v>0</v>
      </c>
      <c r="J843" s="7">
        <v>0</v>
      </c>
      <c r="K843" s="7">
        <v>0</v>
      </c>
      <c r="L843" s="7">
        <v>0</v>
      </c>
      <c r="M843" s="7">
        <v>0</v>
      </c>
      <c r="N843" s="7">
        <v>0</v>
      </c>
      <c r="O843" s="7">
        <v>0</v>
      </c>
      <c r="P843" s="7">
        <v>0</v>
      </c>
      <c r="Q843" s="7">
        <v>0</v>
      </c>
    </row>
    <row r="844" spans="1:17">
      <c r="A844" s="2">
        <v>2792</v>
      </c>
      <c r="B844" s="7">
        <v>0</v>
      </c>
      <c r="C844" s="7">
        <v>0</v>
      </c>
      <c r="D844" s="7">
        <v>0</v>
      </c>
      <c r="E844" s="7">
        <v>0</v>
      </c>
      <c r="F844" s="7">
        <v>0</v>
      </c>
      <c r="G844" s="7">
        <v>0</v>
      </c>
      <c r="H844" s="7">
        <v>0</v>
      </c>
      <c r="I844" s="7">
        <v>0</v>
      </c>
      <c r="J844" s="7">
        <v>0</v>
      </c>
      <c r="K844" s="7">
        <v>0</v>
      </c>
      <c r="L844" s="7">
        <v>0</v>
      </c>
      <c r="M844" s="7">
        <v>0</v>
      </c>
      <c r="N844" s="7">
        <v>0</v>
      </c>
      <c r="O844" s="7">
        <v>0</v>
      </c>
      <c r="P844" s="7">
        <v>0</v>
      </c>
      <c r="Q844" s="7">
        <v>0</v>
      </c>
    </row>
    <row r="845" spans="1:17">
      <c r="A845" s="2">
        <v>2793</v>
      </c>
      <c r="B845" s="7">
        <v>0</v>
      </c>
      <c r="C845" s="7">
        <v>0</v>
      </c>
      <c r="D845" s="7">
        <v>0</v>
      </c>
      <c r="E845" s="7">
        <v>0</v>
      </c>
      <c r="F845" s="7">
        <v>0</v>
      </c>
      <c r="G845" s="7">
        <v>0</v>
      </c>
      <c r="H845" s="7">
        <v>0</v>
      </c>
      <c r="I845" s="7">
        <v>0</v>
      </c>
      <c r="J845" s="7">
        <v>0</v>
      </c>
      <c r="K845" s="7">
        <v>0</v>
      </c>
      <c r="L845" s="7">
        <v>0</v>
      </c>
      <c r="M845" s="7">
        <v>0</v>
      </c>
      <c r="N845" s="7">
        <v>0</v>
      </c>
      <c r="O845" s="7">
        <v>0</v>
      </c>
      <c r="P845" s="7">
        <v>0</v>
      </c>
      <c r="Q845" s="7">
        <v>0</v>
      </c>
    </row>
    <row r="846" spans="1:17">
      <c r="A846" s="2">
        <v>2794</v>
      </c>
      <c r="B846" s="7">
        <v>0</v>
      </c>
      <c r="C846" s="7">
        <v>0</v>
      </c>
      <c r="D846" s="7">
        <v>0</v>
      </c>
      <c r="E846" s="7">
        <v>0</v>
      </c>
      <c r="F846" s="7">
        <v>0</v>
      </c>
      <c r="G846" s="7">
        <v>0</v>
      </c>
      <c r="H846" s="7">
        <v>0</v>
      </c>
      <c r="I846" s="7">
        <v>0</v>
      </c>
      <c r="J846" s="7">
        <v>0</v>
      </c>
      <c r="K846" s="7">
        <v>0</v>
      </c>
      <c r="L846" s="7">
        <v>0</v>
      </c>
      <c r="M846" s="7">
        <v>0</v>
      </c>
      <c r="N846" s="7">
        <v>0</v>
      </c>
      <c r="O846" s="7">
        <v>0</v>
      </c>
      <c r="P846" s="7">
        <v>0</v>
      </c>
      <c r="Q846" s="7">
        <v>0</v>
      </c>
    </row>
    <row r="847" spans="1:17">
      <c r="A847" s="2">
        <v>2795</v>
      </c>
      <c r="B847" s="7">
        <v>0</v>
      </c>
      <c r="C847" s="7">
        <v>0</v>
      </c>
      <c r="D847" s="7">
        <v>0</v>
      </c>
      <c r="E847" s="7">
        <v>0</v>
      </c>
      <c r="F847" s="7">
        <v>0</v>
      </c>
      <c r="G847" s="7">
        <v>0</v>
      </c>
      <c r="H847" s="7">
        <v>0</v>
      </c>
      <c r="I847" s="7">
        <v>0</v>
      </c>
      <c r="J847" s="7">
        <v>0</v>
      </c>
      <c r="K847" s="7">
        <v>0</v>
      </c>
      <c r="L847" s="7">
        <v>0</v>
      </c>
      <c r="M847" s="7">
        <v>0</v>
      </c>
      <c r="N847" s="7">
        <v>0</v>
      </c>
      <c r="O847" s="7">
        <v>0</v>
      </c>
      <c r="P847" s="7">
        <v>0</v>
      </c>
      <c r="Q847" s="7">
        <v>0</v>
      </c>
    </row>
    <row r="848" spans="1:17">
      <c r="A848" s="2">
        <v>2796</v>
      </c>
      <c r="B848" s="7">
        <v>0</v>
      </c>
      <c r="C848" s="7">
        <v>0</v>
      </c>
      <c r="D848" s="7">
        <v>0</v>
      </c>
      <c r="E848" s="7">
        <v>0</v>
      </c>
      <c r="F848" s="7">
        <v>0</v>
      </c>
      <c r="G848" s="7">
        <v>0</v>
      </c>
      <c r="H848" s="7">
        <v>0</v>
      </c>
      <c r="I848" s="7">
        <v>0</v>
      </c>
      <c r="J848" s="7">
        <v>0</v>
      </c>
      <c r="K848" s="7">
        <v>0</v>
      </c>
      <c r="L848" s="7">
        <v>0</v>
      </c>
      <c r="M848" s="7">
        <v>0</v>
      </c>
      <c r="N848" s="7">
        <v>0</v>
      </c>
      <c r="O848" s="7">
        <v>0</v>
      </c>
      <c r="P848" s="7">
        <v>0</v>
      </c>
      <c r="Q848" s="7">
        <v>0</v>
      </c>
    </row>
    <row r="849" spans="1:17">
      <c r="A849" s="2">
        <v>2797</v>
      </c>
      <c r="B849" s="7">
        <v>0</v>
      </c>
      <c r="C849" s="7">
        <v>0</v>
      </c>
      <c r="D849" s="7">
        <v>0</v>
      </c>
      <c r="E849" s="7">
        <v>0</v>
      </c>
      <c r="F849" s="7">
        <v>0</v>
      </c>
      <c r="G849" s="7">
        <v>0</v>
      </c>
      <c r="H849" s="7">
        <v>0</v>
      </c>
      <c r="I849" s="7">
        <v>0</v>
      </c>
      <c r="J849" s="7">
        <v>0</v>
      </c>
      <c r="K849" s="7">
        <v>0</v>
      </c>
      <c r="L849" s="7">
        <v>0</v>
      </c>
      <c r="M849" s="7">
        <v>0</v>
      </c>
      <c r="N849" s="7">
        <v>0</v>
      </c>
      <c r="O849" s="7">
        <v>0</v>
      </c>
      <c r="P849" s="7">
        <v>0</v>
      </c>
      <c r="Q849" s="7">
        <v>0</v>
      </c>
    </row>
    <row r="850" spans="1:17">
      <c r="A850" s="2">
        <v>2798</v>
      </c>
      <c r="B850" s="7">
        <v>0</v>
      </c>
      <c r="C850" s="7">
        <v>0</v>
      </c>
      <c r="D850" s="7">
        <v>0</v>
      </c>
      <c r="E850" s="7">
        <v>0</v>
      </c>
      <c r="F850" s="7">
        <v>0</v>
      </c>
      <c r="G850" s="7">
        <v>0</v>
      </c>
      <c r="H850" s="7">
        <v>0</v>
      </c>
      <c r="I850" s="7">
        <v>0</v>
      </c>
      <c r="J850" s="7">
        <v>0</v>
      </c>
      <c r="K850" s="7">
        <v>0</v>
      </c>
      <c r="L850" s="7">
        <v>0</v>
      </c>
      <c r="M850" s="7">
        <v>0</v>
      </c>
      <c r="N850" s="7">
        <v>0</v>
      </c>
      <c r="O850" s="7">
        <v>0</v>
      </c>
      <c r="P850" s="7">
        <v>0</v>
      </c>
      <c r="Q850" s="7">
        <v>0</v>
      </c>
    </row>
    <row r="851" spans="1:17">
      <c r="A851" s="2">
        <v>2799</v>
      </c>
      <c r="B851" s="7">
        <v>0</v>
      </c>
      <c r="C851" s="7">
        <v>0</v>
      </c>
      <c r="D851" s="7">
        <v>0</v>
      </c>
      <c r="E851" s="7">
        <v>0</v>
      </c>
      <c r="F851" s="7">
        <v>0</v>
      </c>
      <c r="G851" s="7">
        <v>0</v>
      </c>
      <c r="H851" s="7">
        <v>0</v>
      </c>
      <c r="I851" s="7">
        <v>0</v>
      </c>
      <c r="J851" s="7">
        <v>0</v>
      </c>
      <c r="K851" s="7">
        <v>0</v>
      </c>
      <c r="L851" s="7">
        <v>0</v>
      </c>
      <c r="M851" s="7">
        <v>0</v>
      </c>
      <c r="N851" s="7">
        <v>0</v>
      </c>
      <c r="O851" s="7">
        <v>0</v>
      </c>
      <c r="P851" s="7">
        <v>0</v>
      </c>
      <c r="Q851" s="7">
        <v>0</v>
      </c>
    </row>
    <row r="852" spans="1:17">
      <c r="A852" s="2">
        <v>2800</v>
      </c>
      <c r="B852" s="7">
        <v>0</v>
      </c>
      <c r="C852" s="7">
        <v>0</v>
      </c>
      <c r="D852" s="7">
        <v>0</v>
      </c>
      <c r="E852" s="7">
        <v>0</v>
      </c>
      <c r="F852" s="7">
        <v>0</v>
      </c>
      <c r="G852" s="7">
        <v>0</v>
      </c>
      <c r="H852" s="7">
        <v>0</v>
      </c>
      <c r="I852" s="7">
        <v>0</v>
      </c>
      <c r="J852" s="7">
        <v>0</v>
      </c>
      <c r="K852" s="7">
        <v>0</v>
      </c>
      <c r="L852" s="7">
        <v>0</v>
      </c>
      <c r="M852" s="7">
        <v>0</v>
      </c>
      <c r="N852" s="7">
        <v>0</v>
      </c>
      <c r="O852" s="7">
        <v>0</v>
      </c>
      <c r="P852" s="7">
        <v>0</v>
      </c>
      <c r="Q852" s="7">
        <v>0</v>
      </c>
    </row>
    <row r="853" spans="1:17">
      <c r="A853" s="2">
        <v>2801</v>
      </c>
      <c r="B853" s="7">
        <v>0</v>
      </c>
      <c r="C853" s="7">
        <v>0</v>
      </c>
      <c r="D853" s="7">
        <v>0</v>
      </c>
      <c r="E853" s="7">
        <v>0</v>
      </c>
      <c r="F853" s="7">
        <v>0</v>
      </c>
      <c r="G853" s="7">
        <v>0</v>
      </c>
      <c r="H853" s="7">
        <v>0</v>
      </c>
      <c r="I853" s="7">
        <v>0</v>
      </c>
      <c r="J853" s="7">
        <v>0</v>
      </c>
      <c r="K853" s="7">
        <v>0</v>
      </c>
      <c r="L853" s="7">
        <v>0</v>
      </c>
      <c r="M853" s="7">
        <v>0</v>
      </c>
      <c r="N853" s="7">
        <v>0</v>
      </c>
      <c r="O853" s="7">
        <v>0</v>
      </c>
      <c r="P853" s="7">
        <v>0</v>
      </c>
      <c r="Q853" s="7">
        <v>0</v>
      </c>
    </row>
    <row r="854" spans="1:17">
      <c r="A854" s="2">
        <v>2802</v>
      </c>
      <c r="B854" s="7">
        <v>0</v>
      </c>
      <c r="C854" s="7">
        <v>0</v>
      </c>
      <c r="D854" s="7">
        <v>0</v>
      </c>
      <c r="E854" s="7">
        <v>0</v>
      </c>
      <c r="F854" s="7">
        <v>0</v>
      </c>
      <c r="G854" s="7">
        <v>0</v>
      </c>
      <c r="H854" s="7">
        <v>0</v>
      </c>
      <c r="I854" s="7">
        <v>0</v>
      </c>
      <c r="J854" s="7">
        <v>0</v>
      </c>
      <c r="K854" s="7">
        <v>0</v>
      </c>
      <c r="L854" s="7">
        <v>0</v>
      </c>
      <c r="M854" s="7">
        <v>0</v>
      </c>
      <c r="N854" s="7">
        <v>0</v>
      </c>
      <c r="O854" s="7">
        <v>0</v>
      </c>
      <c r="P854" s="7">
        <v>0</v>
      </c>
      <c r="Q854" s="7">
        <v>0</v>
      </c>
    </row>
    <row r="855" spans="1:17">
      <c r="A855" s="2">
        <v>2803</v>
      </c>
      <c r="B855" s="7">
        <v>0</v>
      </c>
      <c r="C855" s="7">
        <v>0</v>
      </c>
      <c r="D855" s="7">
        <v>0</v>
      </c>
      <c r="E855" s="7">
        <v>0</v>
      </c>
      <c r="F855" s="7">
        <v>0</v>
      </c>
      <c r="G855" s="7">
        <v>0</v>
      </c>
      <c r="H855" s="7">
        <v>0</v>
      </c>
      <c r="I855" s="7">
        <v>0</v>
      </c>
      <c r="J855" s="7">
        <v>0</v>
      </c>
      <c r="K855" s="7">
        <v>0</v>
      </c>
      <c r="L855" s="7">
        <v>0</v>
      </c>
      <c r="M855" s="7">
        <v>0</v>
      </c>
      <c r="N855" s="7">
        <v>0</v>
      </c>
      <c r="O855" s="7">
        <v>0</v>
      </c>
      <c r="P855" s="7">
        <v>0</v>
      </c>
      <c r="Q855" s="7">
        <v>0</v>
      </c>
    </row>
    <row r="856" spans="1:17">
      <c r="A856" s="2">
        <v>2804</v>
      </c>
      <c r="B856" s="7">
        <v>0</v>
      </c>
      <c r="C856" s="7">
        <v>0</v>
      </c>
      <c r="D856" s="7">
        <v>0</v>
      </c>
      <c r="E856" s="7">
        <v>0</v>
      </c>
      <c r="F856" s="7">
        <v>0</v>
      </c>
      <c r="G856" s="7">
        <v>0</v>
      </c>
      <c r="H856" s="7">
        <v>0</v>
      </c>
      <c r="I856" s="7">
        <v>0</v>
      </c>
      <c r="J856" s="7">
        <v>0</v>
      </c>
      <c r="K856" s="7">
        <v>0</v>
      </c>
      <c r="L856" s="7">
        <v>0</v>
      </c>
      <c r="M856" s="7">
        <v>0</v>
      </c>
      <c r="N856" s="7">
        <v>0</v>
      </c>
      <c r="O856" s="7">
        <v>0</v>
      </c>
      <c r="P856" s="7">
        <v>0</v>
      </c>
      <c r="Q856" s="7">
        <v>0</v>
      </c>
    </row>
    <row r="857" spans="1:17">
      <c r="A857" s="2">
        <v>2805</v>
      </c>
      <c r="B857" s="7">
        <v>0</v>
      </c>
      <c r="C857" s="7">
        <v>0</v>
      </c>
      <c r="D857" s="7">
        <v>0</v>
      </c>
      <c r="E857" s="7">
        <v>0</v>
      </c>
      <c r="F857" s="7">
        <v>0</v>
      </c>
      <c r="G857" s="7">
        <v>0</v>
      </c>
      <c r="H857" s="7">
        <v>0</v>
      </c>
      <c r="I857" s="7">
        <v>0</v>
      </c>
      <c r="J857" s="7">
        <v>0</v>
      </c>
      <c r="K857" s="7">
        <v>0</v>
      </c>
      <c r="L857" s="7">
        <v>0</v>
      </c>
      <c r="M857" s="7">
        <v>0</v>
      </c>
      <c r="N857" s="7">
        <v>0</v>
      </c>
      <c r="O857" s="7">
        <v>0</v>
      </c>
      <c r="P857" s="7">
        <v>0</v>
      </c>
      <c r="Q857" s="7">
        <v>0</v>
      </c>
    </row>
    <row r="858" spans="1:17">
      <c r="A858" s="2">
        <v>2806</v>
      </c>
      <c r="B858" s="7">
        <v>0</v>
      </c>
      <c r="C858" s="7">
        <v>0</v>
      </c>
      <c r="D858" s="7">
        <v>0</v>
      </c>
      <c r="E858" s="7">
        <v>0</v>
      </c>
      <c r="F858" s="7">
        <v>0</v>
      </c>
      <c r="G858" s="7">
        <v>0</v>
      </c>
      <c r="H858" s="7">
        <v>0</v>
      </c>
      <c r="I858" s="7">
        <v>0</v>
      </c>
      <c r="J858" s="7">
        <v>0</v>
      </c>
      <c r="K858" s="7">
        <v>0</v>
      </c>
      <c r="L858" s="7">
        <v>0</v>
      </c>
      <c r="M858" s="7">
        <v>0</v>
      </c>
      <c r="N858" s="7">
        <v>0</v>
      </c>
      <c r="O858" s="7">
        <v>0</v>
      </c>
      <c r="P858" s="7">
        <v>0</v>
      </c>
      <c r="Q858" s="7">
        <v>0</v>
      </c>
    </row>
    <row r="859" spans="1:17">
      <c r="A859" s="2">
        <v>2807</v>
      </c>
      <c r="B859" s="7">
        <v>0</v>
      </c>
      <c r="C859" s="7">
        <v>0</v>
      </c>
      <c r="D859" s="7">
        <v>0</v>
      </c>
      <c r="E859" s="7">
        <v>0</v>
      </c>
      <c r="F859" s="7">
        <v>0</v>
      </c>
      <c r="G859" s="7">
        <v>0</v>
      </c>
      <c r="H859" s="7">
        <v>0</v>
      </c>
      <c r="I859" s="7">
        <v>0</v>
      </c>
      <c r="J859" s="7">
        <v>0</v>
      </c>
      <c r="K859" s="7">
        <v>0</v>
      </c>
      <c r="L859" s="7">
        <v>0</v>
      </c>
      <c r="M859" s="7">
        <v>0</v>
      </c>
      <c r="N859" s="7">
        <v>0</v>
      </c>
      <c r="O859" s="7">
        <v>0</v>
      </c>
      <c r="P859" s="7">
        <v>0</v>
      </c>
      <c r="Q859" s="7">
        <v>0</v>
      </c>
    </row>
    <row r="860" spans="1:17">
      <c r="A860" s="2">
        <v>2808</v>
      </c>
      <c r="B860" s="7">
        <v>0</v>
      </c>
      <c r="C860" s="7">
        <v>0</v>
      </c>
      <c r="D860" s="7">
        <v>0</v>
      </c>
      <c r="E860" s="7">
        <v>0</v>
      </c>
      <c r="F860" s="7">
        <v>0</v>
      </c>
      <c r="G860" s="7">
        <v>0</v>
      </c>
      <c r="H860" s="7">
        <v>0</v>
      </c>
      <c r="I860" s="7">
        <v>0</v>
      </c>
      <c r="J860" s="7">
        <v>0</v>
      </c>
      <c r="K860" s="7">
        <v>0</v>
      </c>
      <c r="L860" s="7">
        <v>0</v>
      </c>
      <c r="M860" s="7">
        <v>0</v>
      </c>
      <c r="N860" s="7">
        <v>0</v>
      </c>
      <c r="O860" s="7">
        <v>0</v>
      </c>
      <c r="P860" s="7">
        <v>0</v>
      </c>
      <c r="Q860" s="7">
        <v>0</v>
      </c>
    </row>
    <row r="861" spans="1:17">
      <c r="A861" s="2">
        <v>2809</v>
      </c>
      <c r="B861" s="7">
        <v>0</v>
      </c>
      <c r="C861" s="7">
        <v>0</v>
      </c>
      <c r="D861" s="7">
        <v>0</v>
      </c>
      <c r="E861" s="7">
        <v>0</v>
      </c>
      <c r="F861" s="7">
        <v>0</v>
      </c>
      <c r="G861" s="7">
        <v>0</v>
      </c>
      <c r="H861" s="7">
        <v>0</v>
      </c>
      <c r="I861" s="7">
        <v>0</v>
      </c>
      <c r="J861" s="7">
        <v>0</v>
      </c>
      <c r="K861" s="7">
        <v>0</v>
      </c>
      <c r="L861" s="7">
        <v>0</v>
      </c>
      <c r="M861" s="7">
        <v>0</v>
      </c>
      <c r="N861" s="7">
        <v>0</v>
      </c>
      <c r="O861" s="7">
        <v>0</v>
      </c>
      <c r="P861" s="7">
        <v>0</v>
      </c>
      <c r="Q861" s="7">
        <v>0</v>
      </c>
    </row>
    <row r="862" spans="1:17">
      <c r="A862" s="2">
        <v>2810</v>
      </c>
      <c r="B862" s="7">
        <v>0</v>
      </c>
      <c r="C862" s="7">
        <v>0</v>
      </c>
      <c r="D862" s="7">
        <v>0</v>
      </c>
      <c r="E862" s="7">
        <v>0</v>
      </c>
      <c r="F862" s="7">
        <v>0</v>
      </c>
      <c r="G862" s="7">
        <v>0</v>
      </c>
      <c r="H862" s="7">
        <v>0</v>
      </c>
      <c r="I862" s="7">
        <v>0</v>
      </c>
      <c r="J862" s="7">
        <v>0</v>
      </c>
      <c r="K862" s="7">
        <v>0</v>
      </c>
      <c r="L862" s="7">
        <v>0</v>
      </c>
      <c r="M862" s="7">
        <v>0</v>
      </c>
      <c r="N862" s="7">
        <v>0</v>
      </c>
      <c r="O862" s="7">
        <v>0</v>
      </c>
      <c r="P862" s="7">
        <v>0</v>
      </c>
      <c r="Q862" s="7">
        <v>0</v>
      </c>
    </row>
    <row r="863" spans="1:17">
      <c r="A863" s="2">
        <v>2811</v>
      </c>
      <c r="B863" s="7">
        <v>0</v>
      </c>
      <c r="C863" s="7">
        <v>0</v>
      </c>
      <c r="D863" s="7">
        <v>0</v>
      </c>
      <c r="E863" s="7">
        <v>0</v>
      </c>
      <c r="F863" s="7">
        <v>0</v>
      </c>
      <c r="G863" s="7">
        <v>0</v>
      </c>
      <c r="H863" s="7">
        <v>0</v>
      </c>
      <c r="I863" s="7">
        <v>0</v>
      </c>
      <c r="J863" s="7">
        <v>0</v>
      </c>
      <c r="K863" s="7">
        <v>0</v>
      </c>
      <c r="L863" s="7">
        <v>0</v>
      </c>
      <c r="M863" s="7">
        <v>0</v>
      </c>
      <c r="N863" s="7">
        <v>0</v>
      </c>
      <c r="O863" s="7">
        <v>0</v>
      </c>
      <c r="P863" s="7">
        <v>0</v>
      </c>
      <c r="Q863" s="7">
        <v>0</v>
      </c>
    </row>
    <row r="864" spans="1:17">
      <c r="A864" s="2">
        <v>2812</v>
      </c>
      <c r="B864" s="7">
        <v>0</v>
      </c>
      <c r="C864" s="7">
        <v>0</v>
      </c>
      <c r="D864" s="7">
        <v>0</v>
      </c>
      <c r="E864" s="7">
        <v>0</v>
      </c>
      <c r="F864" s="7">
        <v>0</v>
      </c>
      <c r="G864" s="7">
        <v>0</v>
      </c>
      <c r="H864" s="7">
        <v>0</v>
      </c>
      <c r="I864" s="7">
        <v>0</v>
      </c>
      <c r="J864" s="7">
        <v>0</v>
      </c>
      <c r="K864" s="7">
        <v>0</v>
      </c>
      <c r="L864" s="7">
        <v>0</v>
      </c>
      <c r="M864" s="7">
        <v>0</v>
      </c>
      <c r="N864" s="7">
        <v>0</v>
      </c>
      <c r="O864" s="7">
        <v>0</v>
      </c>
      <c r="P864" s="7">
        <v>0</v>
      </c>
      <c r="Q864" s="7">
        <v>0</v>
      </c>
    </row>
    <row r="865" spans="1:17">
      <c r="A865" s="2">
        <v>2813</v>
      </c>
      <c r="B865" s="7">
        <v>0</v>
      </c>
      <c r="C865" s="7">
        <v>0</v>
      </c>
      <c r="D865" s="7">
        <v>0</v>
      </c>
      <c r="E865" s="7">
        <v>0</v>
      </c>
      <c r="F865" s="7">
        <v>0</v>
      </c>
      <c r="G865" s="7">
        <v>0</v>
      </c>
      <c r="H865" s="7">
        <v>0</v>
      </c>
      <c r="I865" s="7">
        <v>0</v>
      </c>
      <c r="J865" s="7">
        <v>0</v>
      </c>
      <c r="K865" s="7">
        <v>0</v>
      </c>
      <c r="L865" s="7">
        <v>0</v>
      </c>
      <c r="M865" s="7">
        <v>0</v>
      </c>
      <c r="N865" s="7">
        <v>0</v>
      </c>
      <c r="O865" s="7">
        <v>0</v>
      </c>
      <c r="P865" s="7">
        <v>0</v>
      </c>
      <c r="Q865" s="7">
        <v>0</v>
      </c>
    </row>
    <row r="866" spans="1:17">
      <c r="A866" s="2">
        <v>2814</v>
      </c>
      <c r="B866" s="7">
        <v>0</v>
      </c>
      <c r="C866" s="7">
        <v>0</v>
      </c>
      <c r="D866" s="7">
        <v>0</v>
      </c>
      <c r="E866" s="7">
        <v>0</v>
      </c>
      <c r="F866" s="7">
        <v>0</v>
      </c>
      <c r="G866" s="7">
        <v>0</v>
      </c>
      <c r="H866" s="7">
        <v>0</v>
      </c>
      <c r="I866" s="7">
        <v>0</v>
      </c>
      <c r="J866" s="7">
        <v>0</v>
      </c>
      <c r="K866" s="7">
        <v>0</v>
      </c>
      <c r="L866" s="7">
        <v>0</v>
      </c>
      <c r="M866" s="7">
        <v>0</v>
      </c>
      <c r="N866" s="7">
        <v>0</v>
      </c>
      <c r="O866" s="7">
        <v>0</v>
      </c>
      <c r="P866" s="7">
        <v>0</v>
      </c>
      <c r="Q866" s="7">
        <v>0</v>
      </c>
    </row>
    <row r="867" spans="1:17">
      <c r="A867" s="2">
        <v>2815</v>
      </c>
      <c r="B867" s="7">
        <v>0</v>
      </c>
      <c r="C867" s="7">
        <v>0</v>
      </c>
      <c r="D867" s="7">
        <v>0</v>
      </c>
      <c r="E867" s="7">
        <v>0</v>
      </c>
      <c r="F867" s="7">
        <v>0</v>
      </c>
      <c r="G867" s="7">
        <v>0</v>
      </c>
      <c r="H867" s="7">
        <v>0</v>
      </c>
      <c r="I867" s="7">
        <v>0</v>
      </c>
      <c r="J867" s="7">
        <v>0</v>
      </c>
      <c r="K867" s="7">
        <v>0</v>
      </c>
      <c r="L867" s="7">
        <v>0</v>
      </c>
      <c r="M867" s="7">
        <v>0</v>
      </c>
      <c r="N867" s="7">
        <v>0</v>
      </c>
      <c r="O867" s="7">
        <v>0</v>
      </c>
      <c r="P867" s="7">
        <v>0</v>
      </c>
      <c r="Q867" s="7">
        <v>0</v>
      </c>
    </row>
    <row r="868" spans="1:17">
      <c r="A868" s="2">
        <v>2816</v>
      </c>
      <c r="B868" s="7">
        <v>0</v>
      </c>
      <c r="C868" s="7">
        <v>0</v>
      </c>
      <c r="D868" s="7">
        <v>0</v>
      </c>
      <c r="E868" s="7">
        <v>0</v>
      </c>
      <c r="F868" s="7">
        <v>0</v>
      </c>
      <c r="G868" s="7">
        <v>0</v>
      </c>
      <c r="H868" s="7">
        <v>0</v>
      </c>
      <c r="I868" s="7">
        <v>0</v>
      </c>
      <c r="J868" s="7">
        <v>0</v>
      </c>
      <c r="K868" s="7">
        <v>0</v>
      </c>
      <c r="L868" s="7">
        <v>0</v>
      </c>
      <c r="M868" s="7">
        <v>0</v>
      </c>
      <c r="N868" s="7">
        <v>0</v>
      </c>
      <c r="O868" s="7">
        <v>0</v>
      </c>
      <c r="P868" s="7">
        <v>0</v>
      </c>
      <c r="Q868" s="7">
        <v>0</v>
      </c>
    </row>
    <row r="869" spans="1:17">
      <c r="A869" s="2">
        <v>2817</v>
      </c>
      <c r="B869" s="7">
        <v>0</v>
      </c>
      <c r="C869" s="7">
        <v>0</v>
      </c>
      <c r="D869" s="7">
        <v>0</v>
      </c>
      <c r="E869" s="7">
        <v>0</v>
      </c>
      <c r="F869" s="7">
        <v>0</v>
      </c>
      <c r="G869" s="7">
        <v>0</v>
      </c>
      <c r="H869" s="7">
        <v>0</v>
      </c>
      <c r="I869" s="7">
        <v>0</v>
      </c>
      <c r="J869" s="7">
        <v>0</v>
      </c>
      <c r="K869" s="7">
        <v>0</v>
      </c>
      <c r="L869" s="7">
        <v>0</v>
      </c>
      <c r="M869" s="7">
        <v>0</v>
      </c>
      <c r="N869" s="7">
        <v>0</v>
      </c>
      <c r="O869" s="7">
        <v>0</v>
      </c>
      <c r="P869" s="7">
        <v>0</v>
      </c>
      <c r="Q869" s="7">
        <v>0</v>
      </c>
    </row>
    <row r="870" spans="1:17">
      <c r="A870" s="2">
        <v>2818</v>
      </c>
      <c r="B870" s="7">
        <v>0</v>
      </c>
      <c r="C870" s="7">
        <v>0</v>
      </c>
      <c r="D870" s="7">
        <v>0</v>
      </c>
      <c r="E870" s="7">
        <v>0</v>
      </c>
      <c r="F870" s="7">
        <v>0</v>
      </c>
      <c r="G870" s="7">
        <v>0</v>
      </c>
      <c r="H870" s="7">
        <v>0</v>
      </c>
      <c r="I870" s="7">
        <v>0</v>
      </c>
      <c r="J870" s="7">
        <v>0</v>
      </c>
      <c r="K870" s="7">
        <v>0</v>
      </c>
      <c r="L870" s="7">
        <v>0</v>
      </c>
      <c r="M870" s="7">
        <v>0</v>
      </c>
      <c r="N870" s="7">
        <v>0</v>
      </c>
      <c r="O870" s="7">
        <v>0</v>
      </c>
      <c r="P870" s="7">
        <v>0</v>
      </c>
      <c r="Q870" s="7">
        <v>0</v>
      </c>
    </row>
    <row r="871" spans="1:17">
      <c r="A871" s="2">
        <v>2819</v>
      </c>
      <c r="B871" s="7">
        <v>0</v>
      </c>
      <c r="C871" s="7">
        <v>0</v>
      </c>
      <c r="D871" s="7">
        <v>0</v>
      </c>
      <c r="E871" s="7">
        <v>0</v>
      </c>
      <c r="F871" s="7">
        <v>0</v>
      </c>
      <c r="G871" s="7">
        <v>0</v>
      </c>
      <c r="H871" s="7">
        <v>0</v>
      </c>
      <c r="I871" s="7">
        <v>0</v>
      </c>
      <c r="J871" s="7">
        <v>0</v>
      </c>
      <c r="K871" s="7">
        <v>0</v>
      </c>
      <c r="L871" s="7">
        <v>0</v>
      </c>
      <c r="M871" s="7">
        <v>0</v>
      </c>
      <c r="N871" s="7">
        <v>0</v>
      </c>
      <c r="O871" s="7">
        <v>0</v>
      </c>
      <c r="P871" s="7">
        <v>0</v>
      </c>
      <c r="Q871" s="7">
        <v>0</v>
      </c>
    </row>
    <row r="872" spans="1:17">
      <c r="A872" s="2">
        <v>2820</v>
      </c>
      <c r="B872" s="7">
        <v>0</v>
      </c>
      <c r="C872" s="7">
        <v>0</v>
      </c>
      <c r="D872" s="7">
        <v>0</v>
      </c>
      <c r="E872" s="7">
        <v>0</v>
      </c>
      <c r="F872" s="7">
        <v>0</v>
      </c>
      <c r="G872" s="7">
        <v>0</v>
      </c>
      <c r="H872" s="7">
        <v>0</v>
      </c>
      <c r="I872" s="7">
        <v>0</v>
      </c>
      <c r="J872" s="7">
        <v>0</v>
      </c>
      <c r="K872" s="7">
        <v>0</v>
      </c>
      <c r="L872" s="7">
        <v>0</v>
      </c>
      <c r="M872" s="7">
        <v>0</v>
      </c>
      <c r="N872" s="7">
        <v>0</v>
      </c>
      <c r="O872" s="7">
        <v>0</v>
      </c>
      <c r="P872" s="7">
        <v>0</v>
      </c>
      <c r="Q872" s="7">
        <v>0</v>
      </c>
    </row>
    <row r="873" spans="1:17">
      <c r="A873" s="2">
        <v>2821</v>
      </c>
      <c r="B873" s="7">
        <v>0</v>
      </c>
      <c r="C873" s="7">
        <v>0</v>
      </c>
      <c r="D873" s="7">
        <v>0</v>
      </c>
      <c r="E873" s="7">
        <v>0</v>
      </c>
      <c r="F873" s="7">
        <v>0</v>
      </c>
      <c r="G873" s="7">
        <v>0</v>
      </c>
      <c r="H873" s="7">
        <v>0</v>
      </c>
      <c r="I873" s="7">
        <v>0</v>
      </c>
      <c r="J873" s="7">
        <v>0</v>
      </c>
      <c r="K873" s="7">
        <v>0</v>
      </c>
      <c r="L873" s="7">
        <v>0</v>
      </c>
      <c r="M873" s="7">
        <v>0</v>
      </c>
      <c r="N873" s="7">
        <v>0</v>
      </c>
      <c r="O873" s="7">
        <v>0</v>
      </c>
      <c r="P873" s="7">
        <v>0</v>
      </c>
      <c r="Q873" s="7">
        <v>0</v>
      </c>
    </row>
    <row r="874" spans="1:17">
      <c r="A874" s="2">
        <v>2822</v>
      </c>
      <c r="B874" s="7">
        <v>0</v>
      </c>
      <c r="C874" s="7">
        <v>0</v>
      </c>
      <c r="D874" s="7">
        <v>0</v>
      </c>
      <c r="E874" s="7">
        <v>0</v>
      </c>
      <c r="F874" s="7">
        <v>0</v>
      </c>
      <c r="G874" s="7">
        <v>0</v>
      </c>
      <c r="H874" s="7">
        <v>0</v>
      </c>
      <c r="I874" s="7">
        <v>0</v>
      </c>
      <c r="J874" s="7">
        <v>0</v>
      </c>
      <c r="K874" s="7">
        <v>0</v>
      </c>
      <c r="L874" s="7">
        <v>0</v>
      </c>
      <c r="M874" s="7">
        <v>0</v>
      </c>
      <c r="N874" s="7">
        <v>0</v>
      </c>
      <c r="O874" s="7">
        <v>0</v>
      </c>
      <c r="P874" s="7">
        <v>0</v>
      </c>
      <c r="Q874" s="7">
        <v>0</v>
      </c>
    </row>
    <row r="875" spans="1:17">
      <c r="A875" s="2">
        <v>2823</v>
      </c>
      <c r="B875" s="7">
        <v>0</v>
      </c>
      <c r="C875" s="7">
        <v>0</v>
      </c>
      <c r="D875" s="7">
        <v>0</v>
      </c>
      <c r="E875" s="7">
        <v>0</v>
      </c>
      <c r="F875" s="7">
        <v>0</v>
      </c>
      <c r="G875" s="7">
        <v>0</v>
      </c>
      <c r="H875" s="7">
        <v>0</v>
      </c>
      <c r="I875" s="7">
        <v>0</v>
      </c>
      <c r="J875" s="7">
        <v>0</v>
      </c>
      <c r="K875" s="7">
        <v>0</v>
      </c>
      <c r="L875" s="7">
        <v>0</v>
      </c>
      <c r="M875" s="7">
        <v>0</v>
      </c>
      <c r="N875" s="7">
        <v>0</v>
      </c>
      <c r="O875" s="7">
        <v>0</v>
      </c>
      <c r="P875" s="7">
        <v>0</v>
      </c>
      <c r="Q875" s="7">
        <v>0</v>
      </c>
    </row>
    <row r="876" spans="1:17">
      <c r="A876" s="2">
        <v>2824</v>
      </c>
      <c r="B876" s="7">
        <v>0</v>
      </c>
      <c r="C876" s="7">
        <v>0</v>
      </c>
      <c r="D876" s="7">
        <v>0</v>
      </c>
      <c r="E876" s="7">
        <v>0</v>
      </c>
      <c r="F876" s="7">
        <v>0</v>
      </c>
      <c r="G876" s="7">
        <v>0</v>
      </c>
      <c r="H876" s="7">
        <v>0</v>
      </c>
      <c r="I876" s="7">
        <v>0</v>
      </c>
      <c r="J876" s="7">
        <v>0</v>
      </c>
      <c r="K876" s="7">
        <v>0</v>
      </c>
      <c r="L876" s="7">
        <v>0</v>
      </c>
      <c r="M876" s="7">
        <v>0</v>
      </c>
      <c r="N876" s="7">
        <v>0</v>
      </c>
      <c r="O876" s="7">
        <v>0</v>
      </c>
      <c r="P876" s="7">
        <v>0</v>
      </c>
      <c r="Q876" s="7">
        <v>0</v>
      </c>
    </row>
    <row r="877" spans="1:17">
      <c r="A877" s="2">
        <v>2825</v>
      </c>
      <c r="B877" s="7">
        <v>0</v>
      </c>
      <c r="C877" s="7">
        <v>0</v>
      </c>
      <c r="D877" s="7">
        <v>0</v>
      </c>
      <c r="E877" s="7">
        <v>0</v>
      </c>
      <c r="F877" s="7">
        <v>0</v>
      </c>
      <c r="G877" s="7">
        <v>0</v>
      </c>
      <c r="H877" s="7">
        <v>0</v>
      </c>
      <c r="I877" s="7">
        <v>0</v>
      </c>
      <c r="J877" s="7">
        <v>0</v>
      </c>
      <c r="K877" s="7">
        <v>0</v>
      </c>
      <c r="L877" s="7">
        <v>0</v>
      </c>
      <c r="M877" s="7">
        <v>0</v>
      </c>
      <c r="N877" s="7">
        <v>0</v>
      </c>
      <c r="O877" s="7">
        <v>0</v>
      </c>
      <c r="P877" s="7">
        <v>0</v>
      </c>
      <c r="Q877" s="7">
        <v>0</v>
      </c>
    </row>
    <row r="878" spans="1:17">
      <c r="A878" s="2">
        <v>2826</v>
      </c>
      <c r="B878" s="7">
        <v>0</v>
      </c>
      <c r="C878" s="7">
        <v>0</v>
      </c>
      <c r="D878" s="7">
        <v>0</v>
      </c>
      <c r="E878" s="7">
        <v>0</v>
      </c>
      <c r="F878" s="7">
        <v>0</v>
      </c>
      <c r="G878" s="7">
        <v>0</v>
      </c>
      <c r="H878" s="7">
        <v>0</v>
      </c>
      <c r="I878" s="7">
        <v>0</v>
      </c>
      <c r="J878" s="7">
        <v>0</v>
      </c>
      <c r="K878" s="7">
        <v>0</v>
      </c>
      <c r="L878" s="7">
        <v>0</v>
      </c>
      <c r="M878" s="7">
        <v>0</v>
      </c>
      <c r="N878" s="7">
        <v>0</v>
      </c>
      <c r="O878" s="7">
        <v>0</v>
      </c>
      <c r="P878" s="7">
        <v>0</v>
      </c>
      <c r="Q878" s="7">
        <v>0</v>
      </c>
    </row>
    <row r="879" spans="1:17">
      <c r="A879" s="2">
        <v>2827</v>
      </c>
      <c r="B879" s="7">
        <v>0</v>
      </c>
      <c r="C879" s="7">
        <v>0</v>
      </c>
      <c r="D879" s="7">
        <v>0</v>
      </c>
      <c r="E879" s="7">
        <v>0</v>
      </c>
      <c r="F879" s="7">
        <v>0</v>
      </c>
      <c r="G879" s="7">
        <v>0</v>
      </c>
      <c r="H879" s="7">
        <v>0</v>
      </c>
      <c r="I879" s="7">
        <v>0</v>
      </c>
      <c r="J879" s="7">
        <v>0</v>
      </c>
      <c r="K879" s="7">
        <v>0</v>
      </c>
      <c r="L879" s="7">
        <v>0</v>
      </c>
      <c r="M879" s="7">
        <v>0</v>
      </c>
      <c r="N879" s="7">
        <v>0</v>
      </c>
      <c r="O879" s="7">
        <v>0</v>
      </c>
      <c r="P879" s="7">
        <v>0</v>
      </c>
      <c r="Q879" s="7">
        <v>0</v>
      </c>
    </row>
    <row r="880" spans="1:17">
      <c r="A880" s="2">
        <v>2828</v>
      </c>
      <c r="B880" s="7">
        <v>0</v>
      </c>
      <c r="C880" s="7">
        <v>0</v>
      </c>
      <c r="D880" s="7">
        <v>0</v>
      </c>
      <c r="E880" s="7">
        <v>0</v>
      </c>
      <c r="F880" s="7">
        <v>0</v>
      </c>
      <c r="G880" s="7">
        <v>0</v>
      </c>
      <c r="H880" s="7">
        <v>0</v>
      </c>
      <c r="I880" s="7">
        <v>0</v>
      </c>
      <c r="J880" s="7">
        <v>0</v>
      </c>
      <c r="K880" s="7">
        <v>0</v>
      </c>
      <c r="L880" s="7">
        <v>0</v>
      </c>
      <c r="M880" s="7">
        <v>0</v>
      </c>
      <c r="N880" s="7">
        <v>0</v>
      </c>
      <c r="O880" s="7">
        <v>0</v>
      </c>
      <c r="P880" s="7">
        <v>0</v>
      </c>
      <c r="Q880" s="7">
        <v>0</v>
      </c>
    </row>
    <row r="881" spans="1:17">
      <c r="A881" s="2">
        <v>2829</v>
      </c>
      <c r="B881" s="7">
        <v>0</v>
      </c>
      <c r="C881" s="7">
        <v>0</v>
      </c>
      <c r="D881" s="7">
        <v>0</v>
      </c>
      <c r="E881" s="7">
        <v>0</v>
      </c>
      <c r="F881" s="7">
        <v>0</v>
      </c>
      <c r="G881" s="7">
        <v>0</v>
      </c>
      <c r="H881" s="7">
        <v>0</v>
      </c>
      <c r="I881" s="7">
        <v>0</v>
      </c>
      <c r="J881" s="7">
        <v>0</v>
      </c>
      <c r="K881" s="7">
        <v>0</v>
      </c>
      <c r="L881" s="7">
        <v>0</v>
      </c>
      <c r="M881" s="7">
        <v>0</v>
      </c>
      <c r="N881" s="7">
        <v>0</v>
      </c>
      <c r="O881" s="7">
        <v>0</v>
      </c>
      <c r="P881" s="7">
        <v>0</v>
      </c>
      <c r="Q881" s="7">
        <v>0</v>
      </c>
    </row>
    <row r="882" spans="1:17">
      <c r="A882" s="2">
        <v>2830</v>
      </c>
      <c r="B882" s="7">
        <v>0</v>
      </c>
      <c r="C882" s="7">
        <v>0</v>
      </c>
      <c r="D882" s="7">
        <v>0</v>
      </c>
      <c r="E882" s="7">
        <v>0</v>
      </c>
      <c r="F882" s="7">
        <v>0</v>
      </c>
      <c r="G882" s="7">
        <v>0</v>
      </c>
      <c r="H882" s="7">
        <v>0</v>
      </c>
      <c r="I882" s="7">
        <v>0</v>
      </c>
      <c r="J882" s="7">
        <v>0</v>
      </c>
      <c r="K882" s="7">
        <v>0</v>
      </c>
      <c r="L882" s="7">
        <v>0</v>
      </c>
      <c r="M882" s="7">
        <v>0</v>
      </c>
      <c r="N882" s="7">
        <v>0</v>
      </c>
      <c r="O882" s="7">
        <v>0</v>
      </c>
      <c r="P882" s="7">
        <v>0</v>
      </c>
      <c r="Q882" s="7">
        <v>0</v>
      </c>
    </row>
    <row r="883" spans="1:17">
      <c r="A883" s="2">
        <v>2831</v>
      </c>
      <c r="B883" s="7">
        <v>0</v>
      </c>
      <c r="C883" s="7">
        <v>0</v>
      </c>
      <c r="D883" s="7">
        <v>0</v>
      </c>
      <c r="E883" s="7">
        <v>0</v>
      </c>
      <c r="F883" s="7">
        <v>0</v>
      </c>
      <c r="G883" s="7">
        <v>0</v>
      </c>
      <c r="H883" s="7">
        <v>0</v>
      </c>
      <c r="I883" s="7">
        <v>0</v>
      </c>
      <c r="J883" s="7">
        <v>0</v>
      </c>
      <c r="K883" s="7">
        <v>0</v>
      </c>
      <c r="L883" s="7">
        <v>0</v>
      </c>
      <c r="M883" s="7">
        <v>0</v>
      </c>
      <c r="N883" s="7">
        <v>0</v>
      </c>
      <c r="O883" s="7">
        <v>0</v>
      </c>
      <c r="P883" s="7">
        <v>0</v>
      </c>
      <c r="Q883" s="7">
        <v>0</v>
      </c>
    </row>
    <row r="884" spans="1:17">
      <c r="A884" s="2">
        <v>2832</v>
      </c>
      <c r="B884" s="7">
        <v>0</v>
      </c>
      <c r="C884" s="7">
        <v>0</v>
      </c>
      <c r="D884" s="7">
        <v>0</v>
      </c>
      <c r="E884" s="7">
        <v>0</v>
      </c>
      <c r="F884" s="7">
        <v>0</v>
      </c>
      <c r="G884" s="7">
        <v>0</v>
      </c>
      <c r="H884" s="7">
        <v>0</v>
      </c>
      <c r="I884" s="7">
        <v>0</v>
      </c>
      <c r="J884" s="7">
        <v>0</v>
      </c>
      <c r="K884" s="7">
        <v>0</v>
      </c>
      <c r="L884" s="7">
        <v>0</v>
      </c>
      <c r="M884" s="7">
        <v>0</v>
      </c>
      <c r="N884" s="7">
        <v>0</v>
      </c>
      <c r="O884" s="7">
        <v>0</v>
      </c>
      <c r="P884" s="7">
        <v>0</v>
      </c>
      <c r="Q884" s="7">
        <v>0</v>
      </c>
    </row>
    <row r="885" spans="1:17">
      <c r="A885" s="2">
        <v>2833</v>
      </c>
      <c r="B885" s="7">
        <v>0</v>
      </c>
      <c r="C885" s="7">
        <v>0</v>
      </c>
      <c r="D885" s="7">
        <v>0</v>
      </c>
      <c r="E885" s="7">
        <v>0</v>
      </c>
      <c r="F885" s="7">
        <v>0</v>
      </c>
      <c r="G885" s="7">
        <v>0</v>
      </c>
      <c r="H885" s="7">
        <v>0</v>
      </c>
      <c r="I885" s="7">
        <v>0</v>
      </c>
      <c r="J885" s="7">
        <v>0</v>
      </c>
      <c r="K885" s="7">
        <v>0</v>
      </c>
      <c r="L885" s="7">
        <v>0</v>
      </c>
      <c r="M885" s="7">
        <v>0</v>
      </c>
      <c r="N885" s="7">
        <v>0</v>
      </c>
      <c r="O885" s="7">
        <v>0</v>
      </c>
      <c r="P885" s="7">
        <v>0</v>
      </c>
      <c r="Q885" s="7">
        <v>0</v>
      </c>
    </row>
    <row r="886" spans="1:17">
      <c r="A886" s="2">
        <v>2834</v>
      </c>
      <c r="B886" s="7">
        <v>0</v>
      </c>
      <c r="C886" s="7">
        <v>0</v>
      </c>
      <c r="D886" s="7">
        <v>0</v>
      </c>
      <c r="E886" s="7">
        <v>0</v>
      </c>
      <c r="F886" s="7">
        <v>0</v>
      </c>
      <c r="G886" s="7">
        <v>0</v>
      </c>
      <c r="H886" s="7">
        <v>0</v>
      </c>
      <c r="I886" s="7">
        <v>0</v>
      </c>
      <c r="J886" s="7">
        <v>0</v>
      </c>
      <c r="K886" s="7">
        <v>0</v>
      </c>
      <c r="L886" s="7">
        <v>0</v>
      </c>
      <c r="M886" s="7">
        <v>0</v>
      </c>
      <c r="N886" s="7">
        <v>0</v>
      </c>
      <c r="O886" s="7">
        <v>0</v>
      </c>
      <c r="P886" s="7">
        <v>0</v>
      </c>
      <c r="Q886" s="7">
        <v>0</v>
      </c>
    </row>
    <row r="887" spans="1:17">
      <c r="A887" s="2">
        <v>2835</v>
      </c>
      <c r="B887" s="7">
        <v>0</v>
      </c>
      <c r="C887" s="7">
        <v>0</v>
      </c>
      <c r="D887" s="7">
        <v>0</v>
      </c>
      <c r="E887" s="7">
        <v>0</v>
      </c>
      <c r="F887" s="7">
        <v>0</v>
      </c>
      <c r="G887" s="7">
        <v>0</v>
      </c>
      <c r="H887" s="7">
        <v>0</v>
      </c>
      <c r="I887" s="7">
        <v>0</v>
      </c>
      <c r="J887" s="7">
        <v>0</v>
      </c>
      <c r="K887" s="7">
        <v>0</v>
      </c>
      <c r="L887" s="7">
        <v>0</v>
      </c>
      <c r="M887" s="7">
        <v>0</v>
      </c>
      <c r="N887" s="7">
        <v>0</v>
      </c>
      <c r="O887" s="7">
        <v>0</v>
      </c>
      <c r="P887" s="7">
        <v>0</v>
      </c>
      <c r="Q887" s="7">
        <v>0</v>
      </c>
    </row>
    <row r="888" spans="1:17">
      <c r="A888" s="2">
        <v>2836</v>
      </c>
      <c r="B888" s="7">
        <v>0</v>
      </c>
      <c r="C888" s="7">
        <v>0</v>
      </c>
      <c r="D888" s="7">
        <v>0</v>
      </c>
      <c r="E888" s="7">
        <v>0</v>
      </c>
      <c r="F888" s="7">
        <v>0</v>
      </c>
      <c r="G888" s="7">
        <v>0</v>
      </c>
      <c r="H888" s="7">
        <v>0</v>
      </c>
      <c r="I888" s="7">
        <v>0</v>
      </c>
      <c r="J888" s="7">
        <v>0</v>
      </c>
      <c r="K888" s="7">
        <v>0</v>
      </c>
      <c r="L888" s="7">
        <v>0</v>
      </c>
      <c r="M888" s="7">
        <v>0</v>
      </c>
      <c r="N888" s="7">
        <v>0</v>
      </c>
      <c r="O888" s="7">
        <v>0</v>
      </c>
      <c r="P888" s="7">
        <v>0</v>
      </c>
      <c r="Q888" s="7">
        <v>0</v>
      </c>
    </row>
    <row r="889" spans="1:17">
      <c r="A889" s="2">
        <v>2837</v>
      </c>
      <c r="B889" s="7">
        <v>0</v>
      </c>
      <c r="C889" s="7">
        <v>0</v>
      </c>
      <c r="D889" s="7">
        <v>0</v>
      </c>
      <c r="E889" s="7">
        <v>0</v>
      </c>
      <c r="F889" s="7">
        <v>0</v>
      </c>
      <c r="G889" s="7">
        <v>0</v>
      </c>
      <c r="H889" s="7">
        <v>0</v>
      </c>
      <c r="I889" s="7">
        <v>0</v>
      </c>
      <c r="J889" s="7">
        <v>0</v>
      </c>
      <c r="K889" s="7">
        <v>0</v>
      </c>
      <c r="L889" s="7">
        <v>0</v>
      </c>
      <c r="M889" s="7">
        <v>0</v>
      </c>
      <c r="N889" s="7">
        <v>0</v>
      </c>
      <c r="O889" s="7">
        <v>0</v>
      </c>
      <c r="P889" s="7">
        <v>0</v>
      </c>
      <c r="Q889" s="7">
        <v>0</v>
      </c>
    </row>
    <row r="890" spans="1:17">
      <c r="A890" s="2">
        <v>2838</v>
      </c>
      <c r="B890" s="7">
        <v>0</v>
      </c>
      <c r="C890" s="7">
        <v>0</v>
      </c>
      <c r="D890" s="7">
        <v>0</v>
      </c>
      <c r="E890" s="7">
        <v>0</v>
      </c>
      <c r="F890" s="7">
        <v>0</v>
      </c>
      <c r="G890" s="7">
        <v>0</v>
      </c>
      <c r="H890" s="7">
        <v>0</v>
      </c>
      <c r="I890" s="7">
        <v>0</v>
      </c>
      <c r="J890" s="7">
        <v>0</v>
      </c>
      <c r="K890" s="7">
        <v>0</v>
      </c>
      <c r="L890" s="7">
        <v>0</v>
      </c>
      <c r="M890" s="7">
        <v>0</v>
      </c>
      <c r="N890" s="7">
        <v>0</v>
      </c>
      <c r="O890" s="7">
        <v>0</v>
      </c>
      <c r="P890" s="7">
        <v>0</v>
      </c>
      <c r="Q890" s="7">
        <v>0</v>
      </c>
    </row>
    <row r="891" spans="1:17">
      <c r="A891" s="2">
        <v>2839</v>
      </c>
      <c r="B891" s="7">
        <v>0</v>
      </c>
      <c r="C891" s="7">
        <v>0</v>
      </c>
      <c r="D891" s="7">
        <v>0</v>
      </c>
      <c r="E891" s="7">
        <v>0</v>
      </c>
      <c r="F891" s="7">
        <v>0</v>
      </c>
      <c r="G891" s="7">
        <v>0</v>
      </c>
      <c r="H891" s="7">
        <v>0</v>
      </c>
      <c r="I891" s="7">
        <v>0</v>
      </c>
      <c r="J891" s="7">
        <v>0</v>
      </c>
      <c r="K891" s="7">
        <v>0</v>
      </c>
      <c r="L891" s="7">
        <v>0</v>
      </c>
      <c r="M891" s="7">
        <v>0</v>
      </c>
      <c r="N891" s="7">
        <v>0</v>
      </c>
      <c r="O891" s="7">
        <v>0</v>
      </c>
      <c r="P891" s="7">
        <v>0</v>
      </c>
      <c r="Q891" s="7">
        <v>0</v>
      </c>
    </row>
    <row r="892" spans="1:17">
      <c r="A892" s="2">
        <v>2840</v>
      </c>
      <c r="B892" s="7">
        <v>0</v>
      </c>
      <c r="C892" s="7">
        <v>0</v>
      </c>
      <c r="D892" s="7">
        <v>0</v>
      </c>
      <c r="E892" s="7">
        <v>0</v>
      </c>
      <c r="F892" s="7">
        <v>0</v>
      </c>
      <c r="G892" s="7">
        <v>0</v>
      </c>
      <c r="H892" s="7">
        <v>0</v>
      </c>
      <c r="I892" s="7">
        <v>0</v>
      </c>
      <c r="J892" s="7">
        <v>0</v>
      </c>
      <c r="K892" s="7">
        <v>0</v>
      </c>
      <c r="L892" s="7">
        <v>0</v>
      </c>
      <c r="M892" s="7">
        <v>0</v>
      </c>
      <c r="N892" s="7">
        <v>0</v>
      </c>
      <c r="O892" s="7">
        <v>0</v>
      </c>
      <c r="P892" s="7">
        <v>0</v>
      </c>
      <c r="Q892" s="7">
        <v>0</v>
      </c>
    </row>
    <row r="893" spans="1:17">
      <c r="A893" s="2">
        <v>2841</v>
      </c>
      <c r="B893" s="7">
        <v>0</v>
      </c>
      <c r="C893" s="7">
        <v>0</v>
      </c>
      <c r="D893" s="7">
        <v>0</v>
      </c>
      <c r="E893" s="7">
        <v>0</v>
      </c>
      <c r="F893" s="7">
        <v>0</v>
      </c>
      <c r="G893" s="7">
        <v>0</v>
      </c>
      <c r="H893" s="7">
        <v>0</v>
      </c>
      <c r="I893" s="7">
        <v>0</v>
      </c>
      <c r="J893" s="7">
        <v>0</v>
      </c>
      <c r="K893" s="7">
        <v>0</v>
      </c>
      <c r="L893" s="7">
        <v>0</v>
      </c>
      <c r="M893" s="7">
        <v>0</v>
      </c>
      <c r="N893" s="7">
        <v>0</v>
      </c>
      <c r="O893" s="7">
        <v>0</v>
      </c>
      <c r="P893" s="7">
        <v>0</v>
      </c>
      <c r="Q893" s="7">
        <v>0</v>
      </c>
    </row>
    <row r="894" spans="1:17">
      <c r="A894" s="2">
        <v>2842</v>
      </c>
      <c r="B894" s="7">
        <v>0</v>
      </c>
      <c r="C894" s="7">
        <v>0</v>
      </c>
      <c r="D894" s="7">
        <v>0</v>
      </c>
      <c r="E894" s="7">
        <v>0</v>
      </c>
      <c r="F894" s="7">
        <v>0</v>
      </c>
      <c r="G894" s="7">
        <v>0</v>
      </c>
      <c r="H894" s="7">
        <v>0</v>
      </c>
      <c r="I894" s="7">
        <v>0</v>
      </c>
      <c r="J894" s="7">
        <v>0</v>
      </c>
      <c r="K894" s="7">
        <v>0</v>
      </c>
      <c r="L894" s="7">
        <v>0</v>
      </c>
      <c r="M894" s="7">
        <v>0</v>
      </c>
      <c r="N894" s="7">
        <v>0</v>
      </c>
      <c r="O894" s="7">
        <v>0</v>
      </c>
      <c r="P894" s="7">
        <v>0</v>
      </c>
      <c r="Q894" s="7">
        <v>0</v>
      </c>
    </row>
    <row r="895" spans="1:17">
      <c r="A895" s="2">
        <v>2843</v>
      </c>
      <c r="B895" s="7">
        <v>0</v>
      </c>
      <c r="C895" s="7">
        <v>0</v>
      </c>
      <c r="D895" s="7">
        <v>0</v>
      </c>
      <c r="E895" s="7">
        <v>0</v>
      </c>
      <c r="F895" s="7">
        <v>0</v>
      </c>
      <c r="G895" s="7">
        <v>0</v>
      </c>
      <c r="H895" s="7">
        <v>0</v>
      </c>
      <c r="I895" s="7">
        <v>0</v>
      </c>
      <c r="J895" s="7">
        <v>0</v>
      </c>
      <c r="K895" s="7">
        <v>0</v>
      </c>
      <c r="L895" s="7">
        <v>0</v>
      </c>
      <c r="M895" s="7">
        <v>0</v>
      </c>
      <c r="N895" s="7">
        <v>0</v>
      </c>
      <c r="O895" s="7">
        <v>0</v>
      </c>
      <c r="P895" s="7">
        <v>0</v>
      </c>
      <c r="Q895" s="7">
        <v>0</v>
      </c>
    </row>
    <row r="896" spans="1:17">
      <c r="A896" s="2">
        <v>2844</v>
      </c>
      <c r="B896" s="7">
        <v>0</v>
      </c>
      <c r="C896" s="7">
        <v>0</v>
      </c>
      <c r="D896" s="7">
        <v>0</v>
      </c>
      <c r="E896" s="7">
        <v>0</v>
      </c>
      <c r="F896" s="7">
        <v>0</v>
      </c>
      <c r="G896" s="7">
        <v>0</v>
      </c>
      <c r="H896" s="7">
        <v>0</v>
      </c>
      <c r="I896" s="7">
        <v>0</v>
      </c>
      <c r="J896" s="7">
        <v>0</v>
      </c>
      <c r="K896" s="7">
        <v>0</v>
      </c>
      <c r="L896" s="7">
        <v>0</v>
      </c>
      <c r="M896" s="7">
        <v>0</v>
      </c>
      <c r="N896" s="7">
        <v>0</v>
      </c>
      <c r="O896" s="7">
        <v>0</v>
      </c>
      <c r="P896" s="7">
        <v>0</v>
      </c>
      <c r="Q896" s="7">
        <v>0</v>
      </c>
    </row>
    <row r="897" spans="1:17">
      <c r="A897" s="2">
        <v>2845</v>
      </c>
      <c r="B897" s="7">
        <v>0</v>
      </c>
      <c r="C897" s="7">
        <v>0</v>
      </c>
      <c r="D897" s="7">
        <v>0</v>
      </c>
      <c r="E897" s="7">
        <v>0</v>
      </c>
      <c r="F897" s="7">
        <v>0</v>
      </c>
      <c r="G897" s="7">
        <v>0</v>
      </c>
      <c r="H897" s="7">
        <v>0</v>
      </c>
      <c r="I897" s="7">
        <v>0</v>
      </c>
      <c r="J897" s="7">
        <v>0</v>
      </c>
      <c r="K897" s="7">
        <v>0</v>
      </c>
      <c r="L897" s="7">
        <v>0</v>
      </c>
      <c r="M897" s="7">
        <v>0</v>
      </c>
      <c r="N897" s="7">
        <v>0</v>
      </c>
      <c r="O897" s="7">
        <v>0</v>
      </c>
      <c r="P897" s="7">
        <v>0</v>
      </c>
      <c r="Q897" s="7">
        <v>0</v>
      </c>
    </row>
    <row r="898" spans="1:17">
      <c r="A898" s="2">
        <v>2846</v>
      </c>
      <c r="B898" s="7">
        <v>0</v>
      </c>
      <c r="C898" s="7">
        <v>0</v>
      </c>
      <c r="D898" s="7">
        <v>0</v>
      </c>
      <c r="E898" s="7">
        <v>0</v>
      </c>
      <c r="F898" s="7">
        <v>0</v>
      </c>
      <c r="G898" s="7">
        <v>0</v>
      </c>
      <c r="H898" s="7">
        <v>0</v>
      </c>
      <c r="I898" s="7">
        <v>0</v>
      </c>
      <c r="J898" s="7">
        <v>0</v>
      </c>
      <c r="K898" s="7">
        <v>0</v>
      </c>
      <c r="L898" s="7">
        <v>0</v>
      </c>
      <c r="M898" s="7">
        <v>0</v>
      </c>
      <c r="N898" s="7">
        <v>0</v>
      </c>
      <c r="O898" s="7">
        <v>0</v>
      </c>
      <c r="P898" s="7">
        <v>0</v>
      </c>
      <c r="Q898" s="7">
        <v>0</v>
      </c>
    </row>
    <row r="899" spans="1:17">
      <c r="A899" s="2">
        <v>2847</v>
      </c>
      <c r="B899" s="7">
        <v>0</v>
      </c>
      <c r="C899" s="7">
        <v>0</v>
      </c>
      <c r="D899" s="7">
        <v>0</v>
      </c>
      <c r="E899" s="7">
        <v>0</v>
      </c>
      <c r="F899" s="7">
        <v>0</v>
      </c>
      <c r="G899" s="7">
        <v>0</v>
      </c>
      <c r="H899" s="7">
        <v>0</v>
      </c>
      <c r="I899" s="7">
        <v>0</v>
      </c>
      <c r="J899" s="7">
        <v>0</v>
      </c>
      <c r="K899" s="7">
        <v>0</v>
      </c>
      <c r="L899" s="7">
        <v>0</v>
      </c>
      <c r="M899" s="7">
        <v>0</v>
      </c>
      <c r="N899" s="7">
        <v>0</v>
      </c>
      <c r="O899" s="7">
        <v>0</v>
      </c>
      <c r="P899" s="7">
        <v>0</v>
      </c>
      <c r="Q899" s="7">
        <v>0</v>
      </c>
    </row>
    <row r="900" spans="1:17">
      <c r="A900" s="2">
        <v>2848</v>
      </c>
      <c r="B900" s="7">
        <v>0</v>
      </c>
      <c r="C900" s="7">
        <v>0</v>
      </c>
      <c r="D900" s="7">
        <v>0</v>
      </c>
      <c r="E900" s="7">
        <v>0</v>
      </c>
      <c r="F900" s="7">
        <v>0</v>
      </c>
      <c r="G900" s="7">
        <v>0</v>
      </c>
      <c r="H900" s="7">
        <v>0</v>
      </c>
      <c r="I900" s="7">
        <v>0</v>
      </c>
      <c r="J900" s="7">
        <v>0</v>
      </c>
      <c r="K900" s="7">
        <v>0</v>
      </c>
      <c r="L900" s="7">
        <v>0</v>
      </c>
      <c r="M900" s="7">
        <v>0</v>
      </c>
      <c r="N900" s="7">
        <v>0</v>
      </c>
      <c r="O900" s="7">
        <v>0</v>
      </c>
      <c r="P900" s="7">
        <v>0</v>
      </c>
      <c r="Q900" s="7">
        <v>0</v>
      </c>
    </row>
    <row r="901" spans="1:17">
      <c r="A901" s="2">
        <v>2849</v>
      </c>
      <c r="B901" s="7">
        <v>0</v>
      </c>
      <c r="C901" s="7">
        <v>0</v>
      </c>
      <c r="D901" s="7">
        <v>0</v>
      </c>
      <c r="E901" s="7">
        <v>0</v>
      </c>
      <c r="F901" s="7">
        <v>0</v>
      </c>
      <c r="G901" s="7">
        <v>0</v>
      </c>
      <c r="H901" s="7">
        <v>0</v>
      </c>
      <c r="I901" s="7">
        <v>0</v>
      </c>
      <c r="J901" s="7">
        <v>0</v>
      </c>
      <c r="K901" s="7">
        <v>0</v>
      </c>
      <c r="L901" s="7">
        <v>0</v>
      </c>
      <c r="M901" s="7">
        <v>0</v>
      </c>
      <c r="N901" s="7">
        <v>0</v>
      </c>
      <c r="O901" s="7">
        <v>0</v>
      </c>
      <c r="P901" s="7">
        <v>0</v>
      </c>
      <c r="Q901" s="7">
        <v>0</v>
      </c>
    </row>
    <row r="902" spans="1:17">
      <c r="A902" s="2">
        <v>2850</v>
      </c>
      <c r="B902" s="7">
        <v>0</v>
      </c>
      <c r="C902" s="7">
        <v>0</v>
      </c>
      <c r="D902" s="7">
        <v>0</v>
      </c>
      <c r="E902" s="7">
        <v>0</v>
      </c>
      <c r="F902" s="7">
        <v>0</v>
      </c>
      <c r="G902" s="7">
        <v>0</v>
      </c>
      <c r="H902" s="7">
        <v>0</v>
      </c>
      <c r="I902" s="7">
        <v>0</v>
      </c>
      <c r="J902" s="7">
        <v>0</v>
      </c>
      <c r="K902" s="7">
        <v>0</v>
      </c>
      <c r="L902" s="7">
        <v>0</v>
      </c>
      <c r="M902" s="7">
        <v>0</v>
      </c>
      <c r="N902" s="7">
        <v>0</v>
      </c>
      <c r="O902" s="7">
        <v>0</v>
      </c>
      <c r="P902" s="7">
        <v>0</v>
      </c>
      <c r="Q902" s="7">
        <v>0</v>
      </c>
    </row>
    <row r="903" spans="1:17">
      <c r="A903" s="2">
        <v>2851</v>
      </c>
      <c r="B903" s="7">
        <v>0</v>
      </c>
      <c r="C903" s="7">
        <v>0</v>
      </c>
      <c r="D903" s="7">
        <v>0</v>
      </c>
      <c r="E903" s="7">
        <v>0</v>
      </c>
      <c r="F903" s="7">
        <v>0</v>
      </c>
      <c r="G903" s="7">
        <v>0</v>
      </c>
      <c r="H903" s="7">
        <v>0</v>
      </c>
      <c r="I903" s="7">
        <v>0</v>
      </c>
      <c r="J903" s="7">
        <v>0</v>
      </c>
      <c r="K903" s="7">
        <v>0</v>
      </c>
      <c r="L903" s="7">
        <v>0</v>
      </c>
      <c r="M903" s="7">
        <v>0</v>
      </c>
      <c r="N903" s="7">
        <v>0</v>
      </c>
      <c r="O903" s="7">
        <v>0</v>
      </c>
      <c r="P903" s="7">
        <v>0</v>
      </c>
      <c r="Q903" s="7">
        <v>0</v>
      </c>
    </row>
    <row r="904" spans="1:17">
      <c r="A904" s="2">
        <v>2852</v>
      </c>
      <c r="B904" s="7">
        <v>0</v>
      </c>
      <c r="C904" s="7">
        <v>0</v>
      </c>
      <c r="D904" s="7">
        <v>0</v>
      </c>
      <c r="E904" s="7">
        <v>0</v>
      </c>
      <c r="F904" s="7">
        <v>0</v>
      </c>
      <c r="G904" s="7">
        <v>0</v>
      </c>
      <c r="H904" s="7">
        <v>0</v>
      </c>
      <c r="I904" s="7">
        <v>0</v>
      </c>
      <c r="J904" s="7">
        <v>0</v>
      </c>
      <c r="K904" s="7">
        <v>0</v>
      </c>
      <c r="L904" s="7">
        <v>0</v>
      </c>
      <c r="M904" s="7">
        <v>0</v>
      </c>
      <c r="N904" s="7">
        <v>0</v>
      </c>
      <c r="O904" s="7">
        <v>0</v>
      </c>
      <c r="P904" s="7">
        <v>0</v>
      </c>
      <c r="Q904" s="7">
        <v>0</v>
      </c>
    </row>
    <row r="905" spans="1:17">
      <c r="A905" s="2">
        <v>2853</v>
      </c>
      <c r="B905" s="7">
        <v>0</v>
      </c>
      <c r="C905" s="7">
        <v>0</v>
      </c>
      <c r="D905" s="7">
        <v>0</v>
      </c>
      <c r="E905" s="7">
        <v>0</v>
      </c>
      <c r="F905" s="7">
        <v>0</v>
      </c>
      <c r="G905" s="7">
        <v>0</v>
      </c>
      <c r="H905" s="7">
        <v>0</v>
      </c>
      <c r="I905" s="7">
        <v>0</v>
      </c>
      <c r="J905" s="7">
        <v>0</v>
      </c>
      <c r="K905" s="7">
        <v>0</v>
      </c>
      <c r="L905" s="7">
        <v>0</v>
      </c>
      <c r="M905" s="7">
        <v>0</v>
      </c>
      <c r="N905" s="7">
        <v>0</v>
      </c>
      <c r="O905" s="7">
        <v>0</v>
      </c>
      <c r="P905" s="7">
        <v>0</v>
      </c>
      <c r="Q905" s="7">
        <v>0</v>
      </c>
    </row>
    <row r="906" spans="1:17">
      <c r="A906" s="2">
        <v>2854</v>
      </c>
      <c r="B906" s="7">
        <v>0</v>
      </c>
      <c r="C906" s="7">
        <v>0</v>
      </c>
      <c r="D906" s="7">
        <v>0</v>
      </c>
      <c r="E906" s="7">
        <v>0</v>
      </c>
      <c r="F906" s="7">
        <v>0</v>
      </c>
      <c r="G906" s="7">
        <v>0</v>
      </c>
      <c r="H906" s="7">
        <v>0</v>
      </c>
      <c r="I906" s="7">
        <v>0</v>
      </c>
      <c r="J906" s="7">
        <v>0</v>
      </c>
      <c r="K906" s="7">
        <v>0</v>
      </c>
      <c r="L906" s="7">
        <v>0</v>
      </c>
      <c r="M906" s="7">
        <v>0</v>
      </c>
      <c r="N906" s="7">
        <v>0</v>
      </c>
      <c r="O906" s="7">
        <v>0</v>
      </c>
      <c r="P906" s="7">
        <v>0</v>
      </c>
      <c r="Q906" s="7">
        <v>0</v>
      </c>
    </row>
    <row r="907" spans="1:17">
      <c r="A907" s="2">
        <v>2855</v>
      </c>
      <c r="B907" s="7">
        <v>0</v>
      </c>
      <c r="C907" s="7">
        <v>0</v>
      </c>
      <c r="D907" s="7">
        <v>0</v>
      </c>
      <c r="E907" s="7">
        <v>0</v>
      </c>
      <c r="F907" s="7">
        <v>0</v>
      </c>
      <c r="G907" s="7">
        <v>0</v>
      </c>
      <c r="H907" s="7">
        <v>0</v>
      </c>
      <c r="I907" s="7">
        <v>0</v>
      </c>
      <c r="J907" s="7">
        <v>0</v>
      </c>
      <c r="K907" s="7">
        <v>0</v>
      </c>
      <c r="L907" s="7">
        <v>0</v>
      </c>
      <c r="M907" s="7">
        <v>0</v>
      </c>
      <c r="N907" s="7">
        <v>0</v>
      </c>
      <c r="O907" s="7">
        <v>0</v>
      </c>
      <c r="P907" s="7">
        <v>0</v>
      </c>
      <c r="Q907" s="7">
        <v>0</v>
      </c>
    </row>
    <row r="908" spans="1:17">
      <c r="A908" s="2">
        <v>2856</v>
      </c>
      <c r="B908" s="7">
        <v>0</v>
      </c>
      <c r="C908" s="7">
        <v>0</v>
      </c>
      <c r="D908" s="7">
        <v>0</v>
      </c>
      <c r="E908" s="7">
        <v>0</v>
      </c>
      <c r="F908" s="7">
        <v>0</v>
      </c>
      <c r="G908" s="7">
        <v>0</v>
      </c>
      <c r="H908" s="7">
        <v>0</v>
      </c>
      <c r="I908" s="7">
        <v>0</v>
      </c>
      <c r="J908" s="7">
        <v>0</v>
      </c>
      <c r="K908" s="7">
        <v>0</v>
      </c>
      <c r="L908" s="7">
        <v>0</v>
      </c>
      <c r="M908" s="7">
        <v>0</v>
      </c>
      <c r="N908" s="7">
        <v>0</v>
      </c>
      <c r="O908" s="7">
        <v>0</v>
      </c>
      <c r="P908" s="7">
        <v>0</v>
      </c>
      <c r="Q908" s="7">
        <v>0</v>
      </c>
    </row>
    <row r="909" spans="1:17">
      <c r="A909" s="2">
        <v>2857</v>
      </c>
      <c r="B909" s="7">
        <v>0</v>
      </c>
      <c r="C909" s="7">
        <v>0</v>
      </c>
      <c r="D909" s="7">
        <v>0</v>
      </c>
      <c r="E909" s="7">
        <v>0</v>
      </c>
      <c r="F909" s="7">
        <v>0</v>
      </c>
      <c r="G909" s="7">
        <v>0</v>
      </c>
      <c r="H909" s="7">
        <v>0</v>
      </c>
      <c r="I909" s="7">
        <v>0</v>
      </c>
      <c r="J909" s="7">
        <v>0</v>
      </c>
      <c r="K909" s="7">
        <v>0</v>
      </c>
      <c r="L909" s="7">
        <v>0</v>
      </c>
      <c r="M909" s="7">
        <v>0</v>
      </c>
      <c r="N909" s="7">
        <v>0</v>
      </c>
      <c r="O909" s="7">
        <v>0</v>
      </c>
      <c r="P909" s="7">
        <v>0</v>
      </c>
      <c r="Q909" s="7">
        <v>0</v>
      </c>
    </row>
    <row r="910" spans="1:17">
      <c r="A910" s="2">
        <v>2858</v>
      </c>
      <c r="B910" s="7">
        <v>0</v>
      </c>
      <c r="C910" s="7">
        <v>0</v>
      </c>
      <c r="D910" s="7">
        <v>0</v>
      </c>
      <c r="E910" s="7">
        <v>0</v>
      </c>
      <c r="F910" s="7">
        <v>0</v>
      </c>
      <c r="G910" s="7">
        <v>0</v>
      </c>
      <c r="H910" s="7">
        <v>0</v>
      </c>
      <c r="I910" s="7">
        <v>0</v>
      </c>
      <c r="J910" s="7">
        <v>0</v>
      </c>
      <c r="K910" s="7">
        <v>0</v>
      </c>
      <c r="L910" s="7">
        <v>0</v>
      </c>
      <c r="M910" s="7">
        <v>0</v>
      </c>
      <c r="N910" s="7">
        <v>0</v>
      </c>
      <c r="O910" s="7">
        <v>0</v>
      </c>
      <c r="P910" s="7">
        <v>0</v>
      </c>
      <c r="Q910" s="7">
        <v>0</v>
      </c>
    </row>
    <row r="911" spans="1:17">
      <c r="A911" s="2">
        <v>2859</v>
      </c>
      <c r="B911" s="7">
        <v>0</v>
      </c>
      <c r="C911" s="7">
        <v>0</v>
      </c>
      <c r="D911" s="7">
        <v>0</v>
      </c>
      <c r="E911" s="7">
        <v>0</v>
      </c>
      <c r="F911" s="7">
        <v>0</v>
      </c>
      <c r="G911" s="7">
        <v>0</v>
      </c>
      <c r="H911" s="7">
        <v>0</v>
      </c>
      <c r="I911" s="7">
        <v>0</v>
      </c>
      <c r="J911" s="7">
        <v>0</v>
      </c>
      <c r="K911" s="7">
        <v>0</v>
      </c>
      <c r="L911" s="7">
        <v>0</v>
      </c>
      <c r="M911" s="7">
        <v>0</v>
      </c>
      <c r="N911" s="7">
        <v>0</v>
      </c>
      <c r="O911" s="7">
        <v>0</v>
      </c>
      <c r="P911" s="7">
        <v>0</v>
      </c>
      <c r="Q911" s="7">
        <v>0</v>
      </c>
    </row>
    <row r="912" spans="1:17">
      <c r="A912" s="2">
        <v>2860</v>
      </c>
      <c r="B912" s="7">
        <v>0</v>
      </c>
      <c r="C912" s="7">
        <v>0</v>
      </c>
      <c r="D912" s="7">
        <v>0</v>
      </c>
      <c r="E912" s="7">
        <v>0</v>
      </c>
      <c r="F912" s="7">
        <v>0</v>
      </c>
      <c r="G912" s="7">
        <v>0</v>
      </c>
      <c r="H912" s="7">
        <v>0</v>
      </c>
      <c r="I912" s="7">
        <v>0</v>
      </c>
      <c r="J912" s="7">
        <v>0</v>
      </c>
      <c r="K912" s="7">
        <v>0</v>
      </c>
      <c r="L912" s="7">
        <v>0</v>
      </c>
      <c r="M912" s="7">
        <v>0</v>
      </c>
      <c r="N912" s="7">
        <v>0</v>
      </c>
      <c r="O912" s="7">
        <v>0</v>
      </c>
      <c r="P912" s="7">
        <v>0</v>
      </c>
      <c r="Q912" s="7">
        <v>0</v>
      </c>
    </row>
    <row r="913" spans="1:17">
      <c r="A913" s="2">
        <v>2861</v>
      </c>
      <c r="B913" s="7">
        <v>0</v>
      </c>
      <c r="C913" s="7">
        <v>0</v>
      </c>
      <c r="D913" s="7">
        <v>0</v>
      </c>
      <c r="E913" s="7">
        <v>0</v>
      </c>
      <c r="F913" s="7">
        <v>0</v>
      </c>
      <c r="G913" s="7">
        <v>0</v>
      </c>
      <c r="H913" s="7">
        <v>0</v>
      </c>
      <c r="I913" s="7">
        <v>0</v>
      </c>
      <c r="J913" s="7">
        <v>0</v>
      </c>
      <c r="K913" s="7">
        <v>0</v>
      </c>
      <c r="L913" s="7">
        <v>0</v>
      </c>
      <c r="M913" s="7">
        <v>0</v>
      </c>
      <c r="N913" s="7">
        <v>0</v>
      </c>
      <c r="O913" s="7">
        <v>0</v>
      </c>
      <c r="P913" s="7">
        <v>0</v>
      </c>
      <c r="Q913" s="7">
        <v>0</v>
      </c>
    </row>
    <row r="914" spans="1:17">
      <c r="A914" s="2">
        <v>2862</v>
      </c>
      <c r="B914" s="7">
        <v>0</v>
      </c>
      <c r="C914" s="7">
        <v>0</v>
      </c>
      <c r="D914" s="7">
        <v>0</v>
      </c>
      <c r="E914" s="7">
        <v>0</v>
      </c>
      <c r="F914" s="7">
        <v>0</v>
      </c>
      <c r="G914" s="7">
        <v>0</v>
      </c>
      <c r="H914" s="7">
        <v>0</v>
      </c>
      <c r="I914" s="7">
        <v>0</v>
      </c>
      <c r="J914" s="7">
        <v>0</v>
      </c>
      <c r="K914" s="7">
        <v>0</v>
      </c>
      <c r="L914" s="7">
        <v>0</v>
      </c>
      <c r="M914" s="7">
        <v>0</v>
      </c>
      <c r="N914" s="7">
        <v>0</v>
      </c>
      <c r="O914" s="7">
        <v>0</v>
      </c>
      <c r="P914" s="7">
        <v>0</v>
      </c>
      <c r="Q914" s="7">
        <v>0</v>
      </c>
    </row>
    <row r="915" spans="1:17">
      <c r="A915" s="2">
        <v>2863</v>
      </c>
      <c r="B915" s="7">
        <v>0</v>
      </c>
      <c r="C915" s="7">
        <v>0</v>
      </c>
      <c r="D915" s="7">
        <v>0</v>
      </c>
      <c r="E915" s="7">
        <v>0</v>
      </c>
      <c r="F915" s="7">
        <v>0</v>
      </c>
      <c r="G915" s="7">
        <v>0</v>
      </c>
      <c r="H915" s="7">
        <v>0</v>
      </c>
      <c r="I915" s="7">
        <v>0</v>
      </c>
      <c r="J915" s="7">
        <v>0</v>
      </c>
      <c r="K915" s="7">
        <v>0</v>
      </c>
      <c r="L915" s="7">
        <v>0</v>
      </c>
      <c r="M915" s="7">
        <v>0</v>
      </c>
      <c r="N915" s="7">
        <v>0</v>
      </c>
      <c r="O915" s="7">
        <v>0</v>
      </c>
      <c r="P915" s="7">
        <v>0</v>
      </c>
      <c r="Q915" s="7">
        <v>0</v>
      </c>
    </row>
    <row r="916" spans="1:17">
      <c r="A916" s="2">
        <v>2864</v>
      </c>
      <c r="B916" s="7">
        <v>0</v>
      </c>
      <c r="C916" s="7">
        <v>0</v>
      </c>
      <c r="D916" s="7">
        <v>0</v>
      </c>
      <c r="E916" s="7">
        <v>0</v>
      </c>
      <c r="F916" s="7">
        <v>0</v>
      </c>
      <c r="G916" s="7">
        <v>0</v>
      </c>
      <c r="H916" s="7">
        <v>0</v>
      </c>
      <c r="I916" s="7">
        <v>0</v>
      </c>
      <c r="J916" s="7">
        <v>0</v>
      </c>
      <c r="K916" s="7">
        <v>0</v>
      </c>
      <c r="L916" s="7">
        <v>0</v>
      </c>
      <c r="M916" s="7">
        <v>0</v>
      </c>
      <c r="N916" s="7">
        <v>0</v>
      </c>
      <c r="O916" s="7">
        <v>0</v>
      </c>
      <c r="P916" s="7">
        <v>0</v>
      </c>
      <c r="Q916" s="7">
        <v>0</v>
      </c>
    </row>
    <row r="917" spans="1:17">
      <c r="A917" s="2">
        <v>2865</v>
      </c>
      <c r="B917" s="7">
        <v>0</v>
      </c>
      <c r="C917" s="7">
        <v>0</v>
      </c>
      <c r="D917" s="7">
        <v>0</v>
      </c>
      <c r="E917" s="7">
        <v>0</v>
      </c>
      <c r="F917" s="7">
        <v>0</v>
      </c>
      <c r="G917" s="7">
        <v>0</v>
      </c>
      <c r="H917" s="7">
        <v>0</v>
      </c>
      <c r="I917" s="7">
        <v>0</v>
      </c>
      <c r="J917" s="7">
        <v>0</v>
      </c>
      <c r="K917" s="7">
        <v>0</v>
      </c>
      <c r="L917" s="7">
        <v>0</v>
      </c>
      <c r="M917" s="7">
        <v>0</v>
      </c>
      <c r="N917" s="7">
        <v>0</v>
      </c>
      <c r="O917" s="7">
        <v>0</v>
      </c>
      <c r="P917" s="7">
        <v>0</v>
      </c>
      <c r="Q917" s="7">
        <v>0</v>
      </c>
    </row>
    <row r="918" spans="1:17">
      <c r="A918" s="2">
        <v>2866</v>
      </c>
      <c r="B918" s="7">
        <v>0</v>
      </c>
      <c r="C918" s="7">
        <v>0</v>
      </c>
      <c r="D918" s="7">
        <v>0</v>
      </c>
      <c r="E918" s="7">
        <v>0</v>
      </c>
      <c r="F918" s="7">
        <v>0</v>
      </c>
      <c r="G918" s="7">
        <v>0</v>
      </c>
      <c r="H918" s="7">
        <v>0</v>
      </c>
      <c r="I918" s="7">
        <v>0</v>
      </c>
      <c r="J918" s="7">
        <v>0</v>
      </c>
      <c r="K918" s="7">
        <v>0</v>
      </c>
      <c r="L918" s="7">
        <v>0</v>
      </c>
      <c r="M918" s="7">
        <v>0</v>
      </c>
      <c r="N918" s="7">
        <v>0</v>
      </c>
      <c r="O918" s="7">
        <v>0</v>
      </c>
      <c r="P918" s="7">
        <v>0</v>
      </c>
      <c r="Q918" s="7">
        <v>0</v>
      </c>
    </row>
    <row r="919" spans="1:17">
      <c r="A919" s="2">
        <v>2867</v>
      </c>
      <c r="B919" s="7">
        <v>0</v>
      </c>
      <c r="C919" s="7">
        <v>0</v>
      </c>
      <c r="D919" s="7">
        <v>0</v>
      </c>
      <c r="E919" s="7">
        <v>0</v>
      </c>
      <c r="F919" s="7">
        <v>0</v>
      </c>
      <c r="G919" s="7">
        <v>0</v>
      </c>
      <c r="H919" s="7">
        <v>0</v>
      </c>
      <c r="I919" s="7">
        <v>0</v>
      </c>
      <c r="J919" s="7">
        <v>0</v>
      </c>
      <c r="K919" s="7">
        <v>0</v>
      </c>
      <c r="L919" s="7">
        <v>0</v>
      </c>
      <c r="M919" s="7">
        <v>0</v>
      </c>
      <c r="N919" s="7">
        <v>0</v>
      </c>
      <c r="O919" s="7">
        <v>0</v>
      </c>
      <c r="P919" s="7">
        <v>0</v>
      </c>
      <c r="Q919" s="7">
        <v>0</v>
      </c>
    </row>
    <row r="920" spans="1:17">
      <c r="A920" s="2">
        <v>2868</v>
      </c>
      <c r="B920" s="7">
        <v>0</v>
      </c>
      <c r="C920" s="7">
        <v>0</v>
      </c>
      <c r="D920" s="7">
        <v>0</v>
      </c>
      <c r="E920" s="7">
        <v>0</v>
      </c>
      <c r="F920" s="7">
        <v>0</v>
      </c>
      <c r="G920" s="7">
        <v>0</v>
      </c>
      <c r="H920" s="7">
        <v>0</v>
      </c>
      <c r="I920" s="7">
        <v>0</v>
      </c>
      <c r="J920" s="7">
        <v>0</v>
      </c>
      <c r="K920" s="7">
        <v>0</v>
      </c>
      <c r="L920" s="7">
        <v>0</v>
      </c>
      <c r="M920" s="7">
        <v>0</v>
      </c>
      <c r="N920" s="7">
        <v>0</v>
      </c>
      <c r="O920" s="7">
        <v>0</v>
      </c>
      <c r="P920" s="7">
        <v>0</v>
      </c>
      <c r="Q920" s="7">
        <v>0</v>
      </c>
    </row>
    <row r="921" spans="1:17">
      <c r="A921" s="2">
        <v>2869</v>
      </c>
      <c r="B921" s="7">
        <v>0</v>
      </c>
      <c r="C921" s="7">
        <v>0</v>
      </c>
      <c r="D921" s="7">
        <v>0</v>
      </c>
      <c r="E921" s="7">
        <v>0</v>
      </c>
      <c r="F921" s="7">
        <v>0</v>
      </c>
      <c r="G921" s="7">
        <v>0</v>
      </c>
      <c r="H921" s="7">
        <v>0</v>
      </c>
      <c r="I921" s="7">
        <v>0</v>
      </c>
      <c r="J921" s="7">
        <v>0</v>
      </c>
      <c r="K921" s="7">
        <v>0</v>
      </c>
      <c r="L921" s="7">
        <v>0</v>
      </c>
      <c r="M921" s="7">
        <v>0</v>
      </c>
      <c r="N921" s="7">
        <v>0</v>
      </c>
      <c r="O921" s="7">
        <v>0</v>
      </c>
      <c r="P921" s="7">
        <v>0</v>
      </c>
      <c r="Q921" s="7">
        <v>0</v>
      </c>
    </row>
    <row r="922" spans="1:17">
      <c r="A922" s="2">
        <v>2870</v>
      </c>
      <c r="B922" s="7">
        <v>0</v>
      </c>
      <c r="C922" s="7">
        <v>0</v>
      </c>
      <c r="D922" s="7">
        <v>0</v>
      </c>
      <c r="E922" s="7">
        <v>0</v>
      </c>
      <c r="F922" s="7">
        <v>0</v>
      </c>
      <c r="G922" s="7">
        <v>0</v>
      </c>
      <c r="H922" s="7">
        <v>0</v>
      </c>
      <c r="I922" s="7">
        <v>0</v>
      </c>
      <c r="J922" s="7">
        <v>0</v>
      </c>
      <c r="K922" s="7">
        <v>0</v>
      </c>
      <c r="L922" s="7">
        <v>0</v>
      </c>
      <c r="M922" s="7">
        <v>0</v>
      </c>
      <c r="N922" s="7">
        <v>0</v>
      </c>
      <c r="O922" s="7">
        <v>0</v>
      </c>
      <c r="P922" s="7">
        <v>0</v>
      </c>
      <c r="Q922" s="7">
        <v>0</v>
      </c>
    </row>
    <row r="923" spans="1:17">
      <c r="A923" s="2">
        <v>2871</v>
      </c>
      <c r="B923" s="7">
        <v>0</v>
      </c>
      <c r="C923" s="7">
        <v>0</v>
      </c>
      <c r="D923" s="7">
        <v>0</v>
      </c>
      <c r="E923" s="7">
        <v>0</v>
      </c>
      <c r="F923" s="7">
        <v>0</v>
      </c>
      <c r="G923" s="7">
        <v>0</v>
      </c>
      <c r="H923" s="7">
        <v>0</v>
      </c>
      <c r="I923" s="7">
        <v>0</v>
      </c>
      <c r="J923" s="7">
        <v>0</v>
      </c>
      <c r="K923" s="7">
        <v>0</v>
      </c>
      <c r="L923" s="7">
        <v>0</v>
      </c>
      <c r="M923" s="7">
        <v>0</v>
      </c>
      <c r="N923" s="7">
        <v>0</v>
      </c>
      <c r="O923" s="7">
        <v>0</v>
      </c>
      <c r="P923" s="7">
        <v>0</v>
      </c>
      <c r="Q923" s="7">
        <v>0</v>
      </c>
    </row>
    <row r="924" spans="1:17">
      <c r="A924" s="2">
        <v>2872</v>
      </c>
      <c r="B924" s="7">
        <v>0</v>
      </c>
      <c r="C924" s="7">
        <v>0</v>
      </c>
      <c r="D924" s="7">
        <v>0</v>
      </c>
      <c r="E924" s="7">
        <v>0</v>
      </c>
      <c r="F924" s="7">
        <v>0</v>
      </c>
      <c r="G924" s="7">
        <v>0</v>
      </c>
      <c r="H924" s="7">
        <v>0</v>
      </c>
      <c r="I924" s="7">
        <v>0</v>
      </c>
      <c r="J924" s="7">
        <v>0</v>
      </c>
      <c r="K924" s="7">
        <v>0</v>
      </c>
      <c r="L924" s="7">
        <v>0</v>
      </c>
      <c r="M924" s="7">
        <v>0</v>
      </c>
      <c r="N924" s="7">
        <v>0</v>
      </c>
      <c r="O924" s="7">
        <v>0</v>
      </c>
      <c r="P924" s="7">
        <v>0</v>
      </c>
      <c r="Q924" s="7">
        <v>0</v>
      </c>
    </row>
    <row r="925" spans="1:17">
      <c r="A925" s="2">
        <v>2873</v>
      </c>
      <c r="B925" s="7">
        <v>0</v>
      </c>
      <c r="C925" s="7">
        <v>0</v>
      </c>
      <c r="D925" s="7">
        <v>0</v>
      </c>
      <c r="E925" s="7">
        <v>0</v>
      </c>
      <c r="F925" s="7">
        <v>0</v>
      </c>
      <c r="G925" s="7">
        <v>0</v>
      </c>
      <c r="H925" s="7">
        <v>0</v>
      </c>
      <c r="I925" s="7">
        <v>0</v>
      </c>
      <c r="J925" s="7">
        <v>0</v>
      </c>
      <c r="K925" s="7">
        <v>0</v>
      </c>
      <c r="L925" s="7">
        <v>0</v>
      </c>
      <c r="M925" s="7">
        <v>0</v>
      </c>
      <c r="N925" s="7">
        <v>0</v>
      </c>
      <c r="O925" s="7">
        <v>0</v>
      </c>
      <c r="P925" s="7">
        <v>0</v>
      </c>
      <c r="Q925" s="7">
        <v>0</v>
      </c>
    </row>
    <row r="926" spans="1:17">
      <c r="A926" s="2">
        <v>2874</v>
      </c>
      <c r="B926" s="7">
        <v>0</v>
      </c>
      <c r="C926" s="7">
        <v>0</v>
      </c>
      <c r="D926" s="7">
        <v>0</v>
      </c>
      <c r="E926" s="7">
        <v>0</v>
      </c>
      <c r="F926" s="7">
        <v>0</v>
      </c>
      <c r="G926" s="7">
        <v>0</v>
      </c>
      <c r="H926" s="7">
        <v>0</v>
      </c>
      <c r="I926" s="7">
        <v>0</v>
      </c>
      <c r="J926" s="7">
        <v>0</v>
      </c>
      <c r="K926" s="7">
        <v>0</v>
      </c>
      <c r="L926" s="7">
        <v>0</v>
      </c>
      <c r="M926" s="7">
        <v>0</v>
      </c>
      <c r="N926" s="7">
        <v>0</v>
      </c>
      <c r="O926" s="7">
        <v>0</v>
      </c>
      <c r="P926" s="7">
        <v>0</v>
      </c>
      <c r="Q926" s="7">
        <v>0</v>
      </c>
    </row>
    <row r="927" spans="1:17">
      <c r="A927" s="2">
        <v>2875</v>
      </c>
      <c r="B927" s="7">
        <v>0</v>
      </c>
      <c r="C927" s="7">
        <v>0</v>
      </c>
      <c r="D927" s="7">
        <v>0</v>
      </c>
      <c r="E927" s="7">
        <v>0</v>
      </c>
      <c r="F927" s="7">
        <v>0</v>
      </c>
      <c r="G927" s="7">
        <v>0</v>
      </c>
      <c r="H927" s="7">
        <v>0</v>
      </c>
      <c r="I927" s="7">
        <v>0</v>
      </c>
      <c r="J927" s="7">
        <v>0</v>
      </c>
      <c r="K927" s="7">
        <v>0</v>
      </c>
      <c r="L927" s="7">
        <v>0</v>
      </c>
      <c r="M927" s="7">
        <v>0</v>
      </c>
      <c r="N927" s="7">
        <v>0</v>
      </c>
      <c r="O927" s="7">
        <v>0</v>
      </c>
      <c r="P927" s="7">
        <v>0</v>
      </c>
      <c r="Q927" s="7">
        <v>0</v>
      </c>
    </row>
    <row r="928" spans="1:17">
      <c r="A928" s="2">
        <v>2876</v>
      </c>
      <c r="B928" s="7">
        <v>0</v>
      </c>
      <c r="C928" s="7">
        <v>0</v>
      </c>
      <c r="D928" s="7">
        <v>0</v>
      </c>
      <c r="E928" s="7">
        <v>0</v>
      </c>
      <c r="F928" s="7">
        <v>0</v>
      </c>
      <c r="G928" s="7">
        <v>0</v>
      </c>
      <c r="H928" s="7">
        <v>0</v>
      </c>
      <c r="I928" s="7">
        <v>0</v>
      </c>
      <c r="J928" s="7">
        <v>0</v>
      </c>
      <c r="K928" s="7">
        <v>0</v>
      </c>
      <c r="L928" s="7">
        <v>0</v>
      </c>
      <c r="M928" s="7">
        <v>0</v>
      </c>
      <c r="N928" s="7">
        <v>0</v>
      </c>
      <c r="O928" s="7">
        <v>0</v>
      </c>
      <c r="P928" s="7">
        <v>0</v>
      </c>
      <c r="Q928" s="7">
        <v>0</v>
      </c>
    </row>
    <row r="929" spans="1:17">
      <c r="A929" s="2">
        <v>2877</v>
      </c>
      <c r="B929" s="7">
        <v>0</v>
      </c>
      <c r="C929" s="7">
        <v>0</v>
      </c>
      <c r="D929" s="7">
        <v>0</v>
      </c>
      <c r="E929" s="7">
        <v>0</v>
      </c>
      <c r="F929" s="7">
        <v>0</v>
      </c>
      <c r="G929" s="7">
        <v>0</v>
      </c>
      <c r="H929" s="7">
        <v>0</v>
      </c>
      <c r="I929" s="7">
        <v>0</v>
      </c>
      <c r="J929" s="7">
        <v>0</v>
      </c>
      <c r="K929" s="7">
        <v>0</v>
      </c>
      <c r="L929" s="7">
        <v>0</v>
      </c>
      <c r="M929" s="7">
        <v>0</v>
      </c>
      <c r="N929" s="7">
        <v>0</v>
      </c>
      <c r="O929" s="7">
        <v>0</v>
      </c>
      <c r="P929" s="7">
        <v>0</v>
      </c>
      <c r="Q929" s="7">
        <v>0</v>
      </c>
    </row>
    <row r="930" spans="1:17">
      <c r="A930" s="2">
        <v>2878</v>
      </c>
      <c r="B930" s="7">
        <v>0</v>
      </c>
      <c r="C930" s="7">
        <v>0</v>
      </c>
      <c r="D930" s="7">
        <v>0</v>
      </c>
      <c r="E930" s="7">
        <v>0</v>
      </c>
      <c r="F930" s="7">
        <v>0</v>
      </c>
      <c r="G930" s="7">
        <v>0</v>
      </c>
      <c r="H930" s="7">
        <v>0</v>
      </c>
      <c r="I930" s="7">
        <v>0</v>
      </c>
      <c r="J930" s="7">
        <v>0</v>
      </c>
      <c r="K930" s="7">
        <v>0</v>
      </c>
      <c r="L930" s="7">
        <v>0</v>
      </c>
      <c r="M930" s="7">
        <v>0</v>
      </c>
      <c r="N930" s="7">
        <v>0</v>
      </c>
      <c r="O930" s="7">
        <v>0</v>
      </c>
      <c r="P930" s="7">
        <v>0</v>
      </c>
      <c r="Q930" s="7">
        <v>0</v>
      </c>
    </row>
    <row r="931" spans="1:17">
      <c r="A931" s="2">
        <v>2879</v>
      </c>
      <c r="B931" s="7">
        <v>0</v>
      </c>
      <c r="C931" s="7">
        <v>0</v>
      </c>
      <c r="D931" s="7">
        <v>0</v>
      </c>
      <c r="E931" s="7">
        <v>0</v>
      </c>
      <c r="F931" s="7">
        <v>0</v>
      </c>
      <c r="G931" s="7">
        <v>0</v>
      </c>
      <c r="H931" s="7">
        <v>0</v>
      </c>
      <c r="I931" s="7">
        <v>0</v>
      </c>
      <c r="J931" s="7">
        <v>0</v>
      </c>
      <c r="K931" s="7">
        <v>0</v>
      </c>
      <c r="L931" s="7">
        <v>0</v>
      </c>
      <c r="M931" s="7">
        <v>0</v>
      </c>
      <c r="N931" s="7">
        <v>0</v>
      </c>
      <c r="O931" s="7">
        <v>0</v>
      </c>
      <c r="P931" s="7">
        <v>0</v>
      </c>
      <c r="Q931" s="7">
        <v>0</v>
      </c>
    </row>
    <row r="932" spans="1:17">
      <c r="A932" s="2">
        <v>2880</v>
      </c>
      <c r="B932" s="7">
        <v>0</v>
      </c>
      <c r="C932" s="7">
        <v>0</v>
      </c>
      <c r="D932" s="7">
        <v>0</v>
      </c>
      <c r="E932" s="7">
        <v>0</v>
      </c>
      <c r="F932" s="7">
        <v>0</v>
      </c>
      <c r="G932" s="7">
        <v>0</v>
      </c>
      <c r="H932" s="7">
        <v>0</v>
      </c>
      <c r="I932" s="7">
        <v>0</v>
      </c>
      <c r="J932" s="7">
        <v>0</v>
      </c>
      <c r="K932" s="7">
        <v>0</v>
      </c>
      <c r="L932" s="7">
        <v>0</v>
      </c>
      <c r="M932" s="7">
        <v>0</v>
      </c>
      <c r="N932" s="7">
        <v>0</v>
      </c>
      <c r="O932" s="7">
        <v>0</v>
      </c>
      <c r="P932" s="7">
        <v>0</v>
      </c>
      <c r="Q932" s="7">
        <v>0</v>
      </c>
    </row>
    <row r="933" spans="1:17">
      <c r="A933" s="2">
        <v>2881</v>
      </c>
      <c r="B933" s="7">
        <v>0</v>
      </c>
      <c r="C933" s="7">
        <v>0</v>
      </c>
      <c r="D933" s="7">
        <v>0</v>
      </c>
      <c r="E933" s="7">
        <v>0</v>
      </c>
      <c r="F933" s="7">
        <v>0</v>
      </c>
      <c r="G933" s="7">
        <v>0</v>
      </c>
      <c r="H933" s="7">
        <v>0</v>
      </c>
      <c r="I933" s="7">
        <v>0</v>
      </c>
      <c r="J933" s="7">
        <v>0</v>
      </c>
      <c r="K933" s="7">
        <v>0</v>
      </c>
      <c r="L933" s="7">
        <v>0</v>
      </c>
      <c r="M933" s="7">
        <v>0</v>
      </c>
      <c r="N933" s="7">
        <v>0</v>
      </c>
      <c r="O933" s="7">
        <v>0</v>
      </c>
      <c r="P933" s="7">
        <v>0</v>
      </c>
      <c r="Q933" s="7">
        <v>0</v>
      </c>
    </row>
    <row r="934" spans="1:17">
      <c r="A934" s="2">
        <v>2882</v>
      </c>
      <c r="B934" s="7">
        <v>0</v>
      </c>
      <c r="C934" s="7">
        <v>0</v>
      </c>
      <c r="D934" s="7">
        <v>0</v>
      </c>
      <c r="E934" s="7">
        <v>0</v>
      </c>
      <c r="F934" s="7">
        <v>0</v>
      </c>
      <c r="G934" s="7">
        <v>0</v>
      </c>
      <c r="H934" s="7">
        <v>0</v>
      </c>
      <c r="I934" s="7">
        <v>0</v>
      </c>
      <c r="J934" s="7">
        <v>0</v>
      </c>
      <c r="K934" s="7">
        <v>0</v>
      </c>
      <c r="L934" s="7">
        <v>0</v>
      </c>
      <c r="M934" s="7">
        <v>0</v>
      </c>
      <c r="N934" s="7">
        <v>0</v>
      </c>
      <c r="O934" s="7">
        <v>0</v>
      </c>
      <c r="P934" s="7">
        <v>0</v>
      </c>
      <c r="Q934" s="7">
        <v>0</v>
      </c>
    </row>
    <row r="935" spans="1:17">
      <c r="A935" s="2">
        <v>2883</v>
      </c>
      <c r="B935" s="7">
        <v>0</v>
      </c>
      <c r="C935" s="7">
        <v>0</v>
      </c>
      <c r="D935" s="7">
        <v>0</v>
      </c>
      <c r="E935" s="7">
        <v>0</v>
      </c>
      <c r="F935" s="7">
        <v>0</v>
      </c>
      <c r="G935" s="7">
        <v>0</v>
      </c>
      <c r="H935" s="7">
        <v>0</v>
      </c>
      <c r="I935" s="7">
        <v>0</v>
      </c>
      <c r="J935" s="7">
        <v>0</v>
      </c>
      <c r="K935" s="7">
        <v>0</v>
      </c>
      <c r="L935" s="7">
        <v>0</v>
      </c>
      <c r="M935" s="7">
        <v>0</v>
      </c>
      <c r="N935" s="7">
        <v>0</v>
      </c>
      <c r="O935" s="7">
        <v>0</v>
      </c>
      <c r="P935" s="7">
        <v>0</v>
      </c>
      <c r="Q935" s="7">
        <v>0</v>
      </c>
    </row>
    <row r="936" spans="1:17">
      <c r="A936" s="2">
        <v>2884</v>
      </c>
      <c r="B936" s="7">
        <v>0</v>
      </c>
      <c r="C936" s="7">
        <v>0</v>
      </c>
      <c r="D936" s="7">
        <v>0</v>
      </c>
      <c r="E936" s="7">
        <v>0</v>
      </c>
      <c r="F936" s="7">
        <v>0</v>
      </c>
      <c r="G936" s="7">
        <v>0</v>
      </c>
      <c r="H936" s="7">
        <v>0</v>
      </c>
      <c r="I936" s="7">
        <v>0</v>
      </c>
      <c r="J936" s="7">
        <v>0</v>
      </c>
      <c r="K936" s="7">
        <v>0</v>
      </c>
      <c r="L936" s="7">
        <v>0</v>
      </c>
      <c r="M936" s="7">
        <v>0</v>
      </c>
      <c r="N936" s="7">
        <v>0</v>
      </c>
      <c r="O936" s="7">
        <v>0</v>
      </c>
      <c r="P936" s="7">
        <v>0</v>
      </c>
      <c r="Q936" s="7">
        <v>0</v>
      </c>
    </row>
    <row r="937" spans="1:17">
      <c r="A937" s="2">
        <v>2885</v>
      </c>
      <c r="B937" s="7">
        <v>0</v>
      </c>
      <c r="C937" s="7">
        <v>0</v>
      </c>
      <c r="D937" s="7">
        <v>0</v>
      </c>
      <c r="E937" s="7">
        <v>0</v>
      </c>
      <c r="F937" s="7">
        <v>0</v>
      </c>
      <c r="G937" s="7">
        <v>0</v>
      </c>
      <c r="H937" s="7">
        <v>0</v>
      </c>
      <c r="I937" s="7">
        <v>0</v>
      </c>
      <c r="J937" s="7">
        <v>0</v>
      </c>
      <c r="K937" s="7">
        <v>0</v>
      </c>
      <c r="L937" s="7">
        <v>0</v>
      </c>
      <c r="M937" s="7">
        <v>0</v>
      </c>
      <c r="N937" s="7">
        <v>0</v>
      </c>
      <c r="O937" s="7">
        <v>0</v>
      </c>
      <c r="P937" s="7">
        <v>0</v>
      </c>
      <c r="Q937" s="7">
        <v>0</v>
      </c>
    </row>
    <row r="938" spans="1:17">
      <c r="A938" s="2">
        <v>2886</v>
      </c>
      <c r="B938" s="7">
        <v>0</v>
      </c>
      <c r="C938" s="7">
        <v>0</v>
      </c>
      <c r="D938" s="7">
        <v>0</v>
      </c>
      <c r="E938" s="7">
        <v>0</v>
      </c>
      <c r="F938" s="7">
        <v>0</v>
      </c>
      <c r="G938" s="7">
        <v>0</v>
      </c>
      <c r="H938" s="7">
        <v>0</v>
      </c>
      <c r="I938" s="7">
        <v>0</v>
      </c>
      <c r="J938" s="7">
        <v>0</v>
      </c>
      <c r="K938" s="7">
        <v>0</v>
      </c>
      <c r="L938" s="7">
        <v>0</v>
      </c>
      <c r="M938" s="7">
        <v>0</v>
      </c>
      <c r="N938" s="7">
        <v>0</v>
      </c>
      <c r="O938" s="7">
        <v>0</v>
      </c>
      <c r="P938" s="7">
        <v>0</v>
      </c>
      <c r="Q938" s="7">
        <v>0</v>
      </c>
    </row>
    <row r="939" spans="1:17">
      <c r="A939" s="2">
        <v>2887</v>
      </c>
      <c r="B939" s="7">
        <v>0</v>
      </c>
      <c r="C939" s="7">
        <v>0</v>
      </c>
      <c r="D939" s="7">
        <v>0</v>
      </c>
      <c r="E939" s="7">
        <v>0</v>
      </c>
      <c r="F939" s="7">
        <v>0</v>
      </c>
      <c r="G939" s="7">
        <v>0</v>
      </c>
      <c r="H939" s="7">
        <v>0</v>
      </c>
      <c r="I939" s="7">
        <v>0</v>
      </c>
      <c r="J939" s="7">
        <v>0</v>
      </c>
      <c r="K939" s="7">
        <v>0</v>
      </c>
      <c r="L939" s="7">
        <v>0</v>
      </c>
      <c r="M939" s="7">
        <v>0</v>
      </c>
      <c r="N939" s="7">
        <v>0</v>
      </c>
      <c r="O939" s="7">
        <v>0</v>
      </c>
      <c r="P939" s="7">
        <v>0</v>
      </c>
      <c r="Q939" s="7">
        <v>0</v>
      </c>
    </row>
    <row r="940" spans="1:17">
      <c r="A940" s="2">
        <v>2888</v>
      </c>
      <c r="B940" s="7">
        <v>0</v>
      </c>
      <c r="C940" s="7">
        <v>0</v>
      </c>
      <c r="D940" s="7">
        <v>0</v>
      </c>
      <c r="E940" s="7">
        <v>0</v>
      </c>
      <c r="F940" s="7">
        <v>0</v>
      </c>
      <c r="G940" s="7">
        <v>0</v>
      </c>
      <c r="H940" s="7">
        <v>0</v>
      </c>
      <c r="I940" s="7">
        <v>0</v>
      </c>
      <c r="J940" s="7">
        <v>0</v>
      </c>
      <c r="K940" s="7">
        <v>0</v>
      </c>
      <c r="L940" s="7">
        <v>0</v>
      </c>
      <c r="M940" s="7">
        <v>0</v>
      </c>
      <c r="N940" s="7">
        <v>0</v>
      </c>
      <c r="O940" s="7">
        <v>0</v>
      </c>
      <c r="P940" s="7">
        <v>0</v>
      </c>
      <c r="Q940" s="7">
        <v>0</v>
      </c>
    </row>
    <row r="941" spans="1:17">
      <c r="A941" s="2">
        <v>2889</v>
      </c>
      <c r="B941" s="7">
        <v>0</v>
      </c>
      <c r="C941" s="7">
        <v>0</v>
      </c>
      <c r="D941" s="7">
        <v>0</v>
      </c>
      <c r="E941" s="7">
        <v>0</v>
      </c>
      <c r="F941" s="7">
        <v>0</v>
      </c>
      <c r="G941" s="7">
        <v>0</v>
      </c>
      <c r="H941" s="7">
        <v>0</v>
      </c>
      <c r="I941" s="7">
        <v>0</v>
      </c>
      <c r="J941" s="7">
        <v>0</v>
      </c>
      <c r="K941" s="7">
        <v>0</v>
      </c>
      <c r="L941" s="7">
        <v>0</v>
      </c>
      <c r="M941" s="7">
        <v>0</v>
      </c>
      <c r="N941" s="7">
        <v>0</v>
      </c>
      <c r="O941" s="7">
        <v>0</v>
      </c>
      <c r="P941" s="7">
        <v>0</v>
      </c>
      <c r="Q941" s="7">
        <v>0</v>
      </c>
    </row>
    <row r="942" spans="1:17">
      <c r="A942" s="2">
        <v>2890</v>
      </c>
      <c r="B942" s="7">
        <v>0</v>
      </c>
      <c r="C942" s="7">
        <v>0</v>
      </c>
      <c r="D942" s="7">
        <v>0</v>
      </c>
      <c r="E942" s="7">
        <v>0</v>
      </c>
      <c r="F942" s="7">
        <v>0</v>
      </c>
      <c r="G942" s="7">
        <v>0</v>
      </c>
      <c r="H942" s="7">
        <v>0</v>
      </c>
      <c r="I942" s="7">
        <v>0</v>
      </c>
      <c r="J942" s="7">
        <v>0</v>
      </c>
      <c r="K942" s="7">
        <v>0</v>
      </c>
      <c r="L942" s="7">
        <v>0</v>
      </c>
      <c r="M942" s="7">
        <v>0</v>
      </c>
      <c r="N942" s="7">
        <v>0</v>
      </c>
      <c r="O942" s="7">
        <v>0</v>
      </c>
      <c r="P942" s="7">
        <v>0</v>
      </c>
      <c r="Q942" s="7">
        <v>0</v>
      </c>
    </row>
    <row r="943" spans="1:17">
      <c r="A943" s="2">
        <v>2891</v>
      </c>
      <c r="B943" s="7">
        <v>0</v>
      </c>
      <c r="C943" s="7">
        <v>0</v>
      </c>
      <c r="D943" s="7">
        <v>0</v>
      </c>
      <c r="E943" s="7">
        <v>0</v>
      </c>
      <c r="F943" s="7">
        <v>0</v>
      </c>
      <c r="G943" s="7">
        <v>0</v>
      </c>
      <c r="H943" s="7">
        <v>0</v>
      </c>
      <c r="I943" s="7">
        <v>0</v>
      </c>
      <c r="J943" s="7">
        <v>0</v>
      </c>
      <c r="K943" s="7">
        <v>0</v>
      </c>
      <c r="L943" s="7">
        <v>0</v>
      </c>
      <c r="M943" s="7">
        <v>0</v>
      </c>
      <c r="N943" s="7">
        <v>0</v>
      </c>
      <c r="O943" s="7">
        <v>0</v>
      </c>
      <c r="P943" s="7">
        <v>0</v>
      </c>
      <c r="Q943" s="7">
        <v>0</v>
      </c>
    </row>
    <row r="944" spans="1:17">
      <c r="A944" s="2">
        <v>2892</v>
      </c>
      <c r="B944" s="7">
        <v>0</v>
      </c>
      <c r="C944" s="7">
        <v>0</v>
      </c>
      <c r="D944" s="7">
        <v>0</v>
      </c>
      <c r="E944" s="7">
        <v>0</v>
      </c>
      <c r="F944" s="7">
        <v>0</v>
      </c>
      <c r="G944" s="7">
        <v>0</v>
      </c>
      <c r="H944" s="7">
        <v>0</v>
      </c>
      <c r="I944" s="7">
        <v>0</v>
      </c>
      <c r="J944" s="7">
        <v>0</v>
      </c>
      <c r="K944" s="7">
        <v>0</v>
      </c>
      <c r="L944" s="7">
        <v>0</v>
      </c>
      <c r="M944" s="7">
        <v>0</v>
      </c>
      <c r="N944" s="7">
        <v>0</v>
      </c>
      <c r="O944" s="7">
        <v>0</v>
      </c>
      <c r="P944" s="7">
        <v>0</v>
      </c>
      <c r="Q944" s="7">
        <v>0</v>
      </c>
    </row>
    <row r="945" spans="1:17">
      <c r="A945" s="2">
        <v>2893</v>
      </c>
      <c r="B945" s="7">
        <v>0</v>
      </c>
      <c r="C945" s="7">
        <v>0</v>
      </c>
      <c r="D945" s="7">
        <v>0</v>
      </c>
      <c r="E945" s="7">
        <v>0</v>
      </c>
      <c r="F945" s="7">
        <v>0</v>
      </c>
      <c r="G945" s="7">
        <v>0</v>
      </c>
      <c r="H945" s="7">
        <v>0</v>
      </c>
      <c r="I945" s="7">
        <v>0</v>
      </c>
      <c r="J945" s="7">
        <v>0</v>
      </c>
      <c r="K945" s="7">
        <v>0</v>
      </c>
      <c r="L945" s="7">
        <v>0</v>
      </c>
      <c r="M945" s="7">
        <v>0</v>
      </c>
      <c r="N945" s="7">
        <v>0</v>
      </c>
      <c r="O945" s="7">
        <v>0</v>
      </c>
      <c r="P945" s="7">
        <v>0</v>
      </c>
      <c r="Q945" s="7">
        <v>0</v>
      </c>
    </row>
    <row r="946" spans="1:17">
      <c r="A946" s="2">
        <v>2894</v>
      </c>
      <c r="B946" s="7">
        <v>0</v>
      </c>
      <c r="C946" s="7">
        <v>0</v>
      </c>
      <c r="D946" s="7">
        <v>0</v>
      </c>
      <c r="E946" s="7">
        <v>0</v>
      </c>
      <c r="F946" s="7">
        <v>0</v>
      </c>
      <c r="G946" s="7">
        <v>0</v>
      </c>
      <c r="H946" s="7">
        <v>0</v>
      </c>
      <c r="I946" s="7">
        <v>0</v>
      </c>
      <c r="J946" s="7">
        <v>0</v>
      </c>
      <c r="K946" s="7">
        <v>0</v>
      </c>
      <c r="L946" s="7">
        <v>0</v>
      </c>
      <c r="M946" s="7">
        <v>0</v>
      </c>
      <c r="N946" s="7">
        <v>0</v>
      </c>
      <c r="O946" s="7">
        <v>0</v>
      </c>
      <c r="P946" s="7">
        <v>0</v>
      </c>
      <c r="Q946" s="7">
        <v>0</v>
      </c>
    </row>
    <row r="947" spans="1:17">
      <c r="A947" s="2">
        <v>2895</v>
      </c>
      <c r="B947" s="7">
        <v>0</v>
      </c>
      <c r="C947" s="7">
        <v>0</v>
      </c>
      <c r="D947" s="7">
        <v>0</v>
      </c>
      <c r="E947" s="7">
        <v>0</v>
      </c>
      <c r="F947" s="7">
        <v>0</v>
      </c>
      <c r="G947" s="7">
        <v>0</v>
      </c>
      <c r="H947" s="7">
        <v>0</v>
      </c>
      <c r="I947" s="7">
        <v>0</v>
      </c>
      <c r="J947" s="7">
        <v>0</v>
      </c>
      <c r="K947" s="7">
        <v>0</v>
      </c>
      <c r="L947" s="7">
        <v>0</v>
      </c>
      <c r="M947" s="7">
        <v>0</v>
      </c>
      <c r="N947" s="7">
        <v>0</v>
      </c>
      <c r="O947" s="7">
        <v>0</v>
      </c>
      <c r="P947" s="7">
        <v>0</v>
      </c>
      <c r="Q947" s="7">
        <v>0</v>
      </c>
    </row>
    <row r="948" spans="1:17">
      <c r="A948" s="2">
        <v>2896</v>
      </c>
      <c r="B948" s="7">
        <v>0</v>
      </c>
      <c r="C948" s="7">
        <v>0</v>
      </c>
      <c r="D948" s="7">
        <v>0</v>
      </c>
      <c r="E948" s="7">
        <v>0</v>
      </c>
      <c r="F948" s="7">
        <v>0</v>
      </c>
      <c r="G948" s="7">
        <v>0</v>
      </c>
      <c r="H948" s="7">
        <v>0</v>
      </c>
      <c r="I948" s="7">
        <v>0</v>
      </c>
      <c r="J948" s="7">
        <v>0</v>
      </c>
      <c r="K948" s="7">
        <v>0</v>
      </c>
      <c r="L948" s="7">
        <v>0</v>
      </c>
      <c r="M948" s="7">
        <v>0</v>
      </c>
      <c r="N948" s="7">
        <v>0</v>
      </c>
      <c r="O948" s="7">
        <v>0</v>
      </c>
      <c r="P948" s="7">
        <v>0</v>
      </c>
      <c r="Q948" s="7">
        <v>0</v>
      </c>
    </row>
    <row r="949" spans="1:17">
      <c r="A949" s="2">
        <v>2897</v>
      </c>
      <c r="B949" s="7">
        <v>0</v>
      </c>
      <c r="C949" s="7">
        <v>0</v>
      </c>
      <c r="D949" s="7">
        <v>0</v>
      </c>
      <c r="E949" s="7">
        <v>0</v>
      </c>
      <c r="F949" s="7">
        <v>0</v>
      </c>
      <c r="G949" s="7">
        <v>0</v>
      </c>
      <c r="H949" s="7">
        <v>0</v>
      </c>
      <c r="I949" s="7">
        <v>0</v>
      </c>
      <c r="J949" s="7">
        <v>0</v>
      </c>
      <c r="K949" s="7">
        <v>0</v>
      </c>
      <c r="L949" s="7">
        <v>0</v>
      </c>
      <c r="M949" s="7">
        <v>0</v>
      </c>
      <c r="N949" s="7">
        <v>0</v>
      </c>
      <c r="O949" s="7">
        <v>0</v>
      </c>
      <c r="P949" s="7">
        <v>0</v>
      </c>
      <c r="Q949" s="7">
        <v>0</v>
      </c>
    </row>
    <row r="950" spans="1:17">
      <c r="A950" s="2">
        <v>2898</v>
      </c>
      <c r="B950" s="7">
        <v>0</v>
      </c>
      <c r="C950" s="7">
        <v>0</v>
      </c>
      <c r="D950" s="7">
        <v>0</v>
      </c>
      <c r="E950" s="7">
        <v>0</v>
      </c>
      <c r="F950" s="7">
        <v>0</v>
      </c>
      <c r="G950" s="7">
        <v>0</v>
      </c>
      <c r="H950" s="7">
        <v>0</v>
      </c>
      <c r="I950" s="7">
        <v>0</v>
      </c>
      <c r="J950" s="7">
        <v>0</v>
      </c>
      <c r="K950" s="7">
        <v>0</v>
      </c>
      <c r="L950" s="7">
        <v>0</v>
      </c>
      <c r="M950" s="7">
        <v>0</v>
      </c>
      <c r="N950" s="7">
        <v>0</v>
      </c>
      <c r="O950" s="7">
        <v>0</v>
      </c>
      <c r="P950" s="7">
        <v>0</v>
      </c>
      <c r="Q950" s="7">
        <v>0</v>
      </c>
    </row>
    <row r="951" spans="1:17">
      <c r="A951" s="2">
        <v>2899</v>
      </c>
      <c r="B951" s="7">
        <v>0</v>
      </c>
      <c r="C951" s="7">
        <v>0</v>
      </c>
      <c r="D951" s="7">
        <v>0</v>
      </c>
      <c r="E951" s="7">
        <v>0</v>
      </c>
      <c r="F951" s="7">
        <v>0</v>
      </c>
      <c r="G951" s="7">
        <v>0</v>
      </c>
      <c r="H951" s="7">
        <v>0</v>
      </c>
      <c r="I951" s="7">
        <v>0</v>
      </c>
      <c r="J951" s="7">
        <v>0</v>
      </c>
      <c r="K951" s="7">
        <v>0</v>
      </c>
      <c r="L951" s="7">
        <v>0</v>
      </c>
      <c r="M951" s="7">
        <v>0</v>
      </c>
      <c r="N951" s="7">
        <v>0</v>
      </c>
      <c r="O951" s="7">
        <v>0</v>
      </c>
      <c r="P951" s="7">
        <v>0</v>
      </c>
      <c r="Q951" s="7">
        <v>0</v>
      </c>
    </row>
    <row r="952" spans="1:17">
      <c r="A952" s="2">
        <v>2900</v>
      </c>
      <c r="B952" s="7">
        <v>0</v>
      </c>
      <c r="C952" s="7">
        <v>0</v>
      </c>
      <c r="D952" s="7">
        <v>0</v>
      </c>
      <c r="E952" s="7">
        <v>0</v>
      </c>
      <c r="F952" s="7">
        <v>0</v>
      </c>
      <c r="G952" s="7">
        <v>0</v>
      </c>
      <c r="H952" s="7">
        <v>0</v>
      </c>
      <c r="I952" s="7">
        <v>0</v>
      </c>
      <c r="J952" s="7">
        <v>0</v>
      </c>
      <c r="K952" s="7">
        <v>0</v>
      </c>
      <c r="L952" s="7">
        <v>0</v>
      </c>
      <c r="M952" s="7">
        <v>0</v>
      </c>
      <c r="N952" s="7">
        <v>0</v>
      </c>
      <c r="O952" s="7">
        <v>0</v>
      </c>
      <c r="P952" s="7">
        <v>0</v>
      </c>
      <c r="Q952" s="7">
        <v>0</v>
      </c>
    </row>
    <row r="953" spans="1:17">
      <c r="A953" s="2">
        <v>2901</v>
      </c>
      <c r="B953" s="7">
        <v>0</v>
      </c>
      <c r="C953" s="7">
        <v>0</v>
      </c>
      <c r="D953" s="7">
        <v>0</v>
      </c>
      <c r="E953" s="7">
        <v>0</v>
      </c>
      <c r="F953" s="7">
        <v>0</v>
      </c>
      <c r="G953" s="7">
        <v>0</v>
      </c>
      <c r="H953" s="7">
        <v>0</v>
      </c>
      <c r="I953" s="7">
        <v>0</v>
      </c>
      <c r="J953" s="7">
        <v>0</v>
      </c>
      <c r="K953" s="7">
        <v>0</v>
      </c>
      <c r="L953" s="7">
        <v>0</v>
      </c>
      <c r="M953" s="7">
        <v>0</v>
      </c>
      <c r="N953" s="7">
        <v>0</v>
      </c>
      <c r="O953" s="7">
        <v>0</v>
      </c>
      <c r="P953" s="7">
        <v>0</v>
      </c>
      <c r="Q953" s="7">
        <v>0</v>
      </c>
    </row>
    <row r="954" spans="1:17">
      <c r="A954" s="2">
        <v>2902</v>
      </c>
      <c r="B954" s="7">
        <v>0</v>
      </c>
      <c r="C954" s="7">
        <v>0</v>
      </c>
      <c r="D954" s="7">
        <v>0</v>
      </c>
      <c r="E954" s="7">
        <v>0</v>
      </c>
      <c r="F954" s="7">
        <v>0</v>
      </c>
      <c r="G954" s="7">
        <v>0</v>
      </c>
      <c r="H954" s="7">
        <v>0</v>
      </c>
      <c r="I954" s="7">
        <v>0</v>
      </c>
      <c r="J954" s="7">
        <v>0</v>
      </c>
      <c r="K954" s="7">
        <v>0</v>
      </c>
      <c r="L954" s="7">
        <v>0</v>
      </c>
      <c r="M954" s="7">
        <v>0</v>
      </c>
      <c r="N954" s="7">
        <v>0</v>
      </c>
      <c r="O954" s="7">
        <v>0</v>
      </c>
      <c r="P954" s="7">
        <v>0</v>
      </c>
      <c r="Q954" s="7">
        <v>0</v>
      </c>
    </row>
    <row r="955" spans="1:17">
      <c r="A955" s="2">
        <v>2903</v>
      </c>
      <c r="B955" s="7">
        <v>0</v>
      </c>
      <c r="C955" s="7">
        <v>0</v>
      </c>
      <c r="D955" s="7">
        <v>0</v>
      </c>
      <c r="E955" s="7">
        <v>0</v>
      </c>
      <c r="F955" s="7">
        <v>0</v>
      </c>
      <c r="G955" s="7">
        <v>0</v>
      </c>
      <c r="H955" s="7">
        <v>0</v>
      </c>
      <c r="I955" s="7">
        <v>0</v>
      </c>
      <c r="J955" s="7">
        <v>0</v>
      </c>
      <c r="K955" s="7">
        <v>0</v>
      </c>
      <c r="L955" s="7">
        <v>0</v>
      </c>
      <c r="M955" s="7">
        <v>0</v>
      </c>
      <c r="N955" s="7">
        <v>0</v>
      </c>
      <c r="O955" s="7">
        <v>0</v>
      </c>
      <c r="P955" s="7">
        <v>0</v>
      </c>
      <c r="Q955" s="7">
        <v>0</v>
      </c>
    </row>
    <row r="956" spans="1:17">
      <c r="A956" s="2">
        <v>2904</v>
      </c>
      <c r="B956" s="7">
        <v>0</v>
      </c>
      <c r="C956" s="7">
        <v>0</v>
      </c>
      <c r="D956" s="7">
        <v>0</v>
      </c>
      <c r="E956" s="7">
        <v>0</v>
      </c>
      <c r="F956" s="7">
        <v>0</v>
      </c>
      <c r="G956" s="7">
        <v>0</v>
      </c>
      <c r="H956" s="7">
        <v>0</v>
      </c>
      <c r="I956" s="7">
        <v>0</v>
      </c>
      <c r="J956" s="7">
        <v>0</v>
      </c>
      <c r="K956" s="7">
        <v>0</v>
      </c>
      <c r="L956" s="7">
        <v>0</v>
      </c>
      <c r="M956" s="7">
        <v>0</v>
      </c>
      <c r="N956" s="7">
        <v>0</v>
      </c>
      <c r="O956" s="7">
        <v>0</v>
      </c>
      <c r="P956" s="7">
        <v>0</v>
      </c>
      <c r="Q956" s="7">
        <v>0</v>
      </c>
    </row>
    <row r="957" spans="1:17">
      <c r="A957" s="2">
        <v>2905</v>
      </c>
      <c r="B957" s="7">
        <v>0</v>
      </c>
      <c r="C957" s="7">
        <v>0</v>
      </c>
      <c r="D957" s="7">
        <v>0</v>
      </c>
      <c r="E957" s="7">
        <v>0</v>
      </c>
      <c r="F957" s="7">
        <v>0</v>
      </c>
      <c r="G957" s="7">
        <v>0</v>
      </c>
      <c r="H957" s="7">
        <v>0</v>
      </c>
      <c r="I957" s="7">
        <v>0</v>
      </c>
      <c r="J957" s="7">
        <v>0</v>
      </c>
      <c r="K957" s="7">
        <v>0</v>
      </c>
      <c r="L957" s="7">
        <v>0</v>
      </c>
      <c r="M957" s="7">
        <v>0</v>
      </c>
      <c r="N957" s="7">
        <v>0</v>
      </c>
      <c r="O957" s="7">
        <v>0</v>
      </c>
      <c r="P957" s="7">
        <v>0</v>
      </c>
      <c r="Q957" s="7">
        <v>0</v>
      </c>
    </row>
    <row r="958" spans="1:17">
      <c r="A958" s="2">
        <v>2906</v>
      </c>
      <c r="B958" s="7">
        <v>0</v>
      </c>
      <c r="C958" s="7">
        <v>0</v>
      </c>
      <c r="D958" s="7">
        <v>0</v>
      </c>
      <c r="E958" s="7">
        <v>0</v>
      </c>
      <c r="F958" s="7">
        <v>0</v>
      </c>
      <c r="G958" s="7">
        <v>0</v>
      </c>
      <c r="H958" s="7">
        <v>0</v>
      </c>
      <c r="I958" s="7">
        <v>0</v>
      </c>
      <c r="J958" s="7">
        <v>0</v>
      </c>
      <c r="K958" s="7">
        <v>0</v>
      </c>
      <c r="L958" s="7">
        <v>0</v>
      </c>
      <c r="M958" s="7">
        <v>0</v>
      </c>
      <c r="N958" s="7">
        <v>0</v>
      </c>
      <c r="O958" s="7">
        <v>0</v>
      </c>
      <c r="P958" s="7">
        <v>0</v>
      </c>
      <c r="Q958" s="7">
        <v>0</v>
      </c>
    </row>
    <row r="959" spans="1:17">
      <c r="A959" s="2">
        <v>2907</v>
      </c>
      <c r="B959" s="7">
        <v>0</v>
      </c>
      <c r="C959" s="7">
        <v>0</v>
      </c>
      <c r="D959" s="7">
        <v>0</v>
      </c>
      <c r="E959" s="7">
        <v>0</v>
      </c>
      <c r="F959" s="7">
        <v>0</v>
      </c>
      <c r="G959" s="7">
        <v>0</v>
      </c>
      <c r="H959" s="7">
        <v>0</v>
      </c>
      <c r="I959" s="7">
        <v>0</v>
      </c>
      <c r="J959" s="7">
        <v>0</v>
      </c>
      <c r="K959" s="7">
        <v>0</v>
      </c>
      <c r="L959" s="7">
        <v>0</v>
      </c>
      <c r="M959" s="7">
        <v>0</v>
      </c>
      <c r="N959" s="7">
        <v>0</v>
      </c>
      <c r="O959" s="7">
        <v>0</v>
      </c>
      <c r="P959" s="7">
        <v>0</v>
      </c>
      <c r="Q959" s="7">
        <v>0</v>
      </c>
    </row>
    <row r="960" spans="1:17">
      <c r="A960" s="2">
        <v>2908</v>
      </c>
      <c r="B960" s="7">
        <v>0</v>
      </c>
      <c r="C960" s="7">
        <v>0</v>
      </c>
      <c r="D960" s="7">
        <v>0</v>
      </c>
      <c r="E960" s="7">
        <v>0</v>
      </c>
      <c r="F960" s="7">
        <v>0</v>
      </c>
      <c r="G960" s="7">
        <v>0</v>
      </c>
      <c r="H960" s="7">
        <v>0</v>
      </c>
      <c r="I960" s="7">
        <v>0</v>
      </c>
      <c r="J960" s="7">
        <v>0</v>
      </c>
      <c r="K960" s="7">
        <v>0</v>
      </c>
      <c r="L960" s="7">
        <v>0</v>
      </c>
      <c r="M960" s="7">
        <v>0</v>
      </c>
      <c r="N960" s="7">
        <v>0</v>
      </c>
      <c r="O960" s="7">
        <v>0</v>
      </c>
      <c r="P960" s="7">
        <v>0</v>
      </c>
      <c r="Q960" s="7">
        <v>0</v>
      </c>
    </row>
    <row r="961" spans="1:17">
      <c r="A961" s="2">
        <v>2909</v>
      </c>
      <c r="B961" s="7">
        <v>0</v>
      </c>
      <c r="C961" s="7">
        <v>0</v>
      </c>
      <c r="D961" s="7">
        <v>0</v>
      </c>
      <c r="E961" s="7">
        <v>0</v>
      </c>
      <c r="F961" s="7">
        <v>0</v>
      </c>
      <c r="G961" s="7">
        <v>0</v>
      </c>
      <c r="H961" s="7">
        <v>0</v>
      </c>
      <c r="I961" s="7">
        <v>0</v>
      </c>
      <c r="J961" s="7">
        <v>0</v>
      </c>
      <c r="K961" s="7">
        <v>0</v>
      </c>
      <c r="L961" s="7">
        <v>0</v>
      </c>
      <c r="M961" s="7">
        <v>0</v>
      </c>
      <c r="N961" s="7">
        <v>0</v>
      </c>
      <c r="O961" s="7">
        <v>0</v>
      </c>
      <c r="P961" s="7">
        <v>0</v>
      </c>
      <c r="Q961" s="7">
        <v>0</v>
      </c>
    </row>
    <row r="962" spans="1:17">
      <c r="A962" s="2">
        <v>2910</v>
      </c>
      <c r="B962" s="7">
        <v>0</v>
      </c>
      <c r="C962" s="7">
        <v>0</v>
      </c>
      <c r="D962" s="7">
        <v>0</v>
      </c>
      <c r="E962" s="7">
        <v>0</v>
      </c>
      <c r="F962" s="7">
        <v>0</v>
      </c>
      <c r="G962" s="7">
        <v>0</v>
      </c>
      <c r="H962" s="7">
        <v>0</v>
      </c>
      <c r="I962" s="7">
        <v>0</v>
      </c>
      <c r="J962" s="7">
        <v>0</v>
      </c>
      <c r="K962" s="7">
        <v>0</v>
      </c>
      <c r="L962" s="7">
        <v>0</v>
      </c>
      <c r="M962" s="7">
        <v>0</v>
      </c>
      <c r="N962" s="7">
        <v>0</v>
      </c>
      <c r="O962" s="7">
        <v>0</v>
      </c>
      <c r="P962" s="7">
        <v>0</v>
      </c>
      <c r="Q962" s="7">
        <v>0</v>
      </c>
    </row>
    <row r="963" spans="1:17">
      <c r="A963" s="2">
        <v>2911</v>
      </c>
      <c r="B963" s="7">
        <v>0</v>
      </c>
      <c r="C963" s="7">
        <v>0</v>
      </c>
      <c r="D963" s="7">
        <v>0</v>
      </c>
      <c r="E963" s="7">
        <v>0</v>
      </c>
      <c r="F963" s="7">
        <v>0</v>
      </c>
      <c r="G963" s="7">
        <v>0</v>
      </c>
      <c r="H963" s="7">
        <v>0</v>
      </c>
      <c r="I963" s="7">
        <v>0</v>
      </c>
      <c r="J963" s="7">
        <v>0</v>
      </c>
      <c r="K963" s="7">
        <v>0</v>
      </c>
      <c r="L963" s="7">
        <v>0</v>
      </c>
      <c r="M963" s="7">
        <v>0</v>
      </c>
      <c r="N963" s="7">
        <v>0</v>
      </c>
      <c r="O963" s="7">
        <v>0</v>
      </c>
      <c r="P963" s="7">
        <v>0</v>
      </c>
      <c r="Q963" s="7">
        <v>0</v>
      </c>
    </row>
    <row r="964" spans="1:17">
      <c r="A964" s="2">
        <v>2912</v>
      </c>
      <c r="B964" s="7">
        <v>0</v>
      </c>
      <c r="C964" s="7">
        <v>0</v>
      </c>
      <c r="D964" s="7">
        <v>0</v>
      </c>
      <c r="E964" s="7">
        <v>0</v>
      </c>
      <c r="F964" s="7">
        <v>0</v>
      </c>
      <c r="G964" s="7">
        <v>0</v>
      </c>
      <c r="H964" s="7">
        <v>0</v>
      </c>
      <c r="I964" s="7">
        <v>0</v>
      </c>
      <c r="J964" s="7">
        <v>0</v>
      </c>
      <c r="K964" s="7">
        <v>0</v>
      </c>
      <c r="L964" s="7">
        <v>0</v>
      </c>
      <c r="M964" s="7">
        <v>0</v>
      </c>
      <c r="N964" s="7">
        <v>0</v>
      </c>
      <c r="O964" s="7">
        <v>0</v>
      </c>
      <c r="P964" s="7">
        <v>0</v>
      </c>
      <c r="Q964" s="7">
        <v>0</v>
      </c>
    </row>
    <row r="965" spans="1:17">
      <c r="A965" s="2">
        <v>2913</v>
      </c>
      <c r="B965" s="7">
        <v>0</v>
      </c>
      <c r="C965" s="7">
        <v>0</v>
      </c>
      <c r="D965" s="7">
        <v>0</v>
      </c>
      <c r="E965" s="7">
        <v>0</v>
      </c>
      <c r="F965" s="7">
        <v>0</v>
      </c>
      <c r="G965" s="7">
        <v>0</v>
      </c>
      <c r="H965" s="7">
        <v>0</v>
      </c>
      <c r="I965" s="7">
        <v>0</v>
      </c>
      <c r="J965" s="7">
        <v>0</v>
      </c>
      <c r="K965" s="7">
        <v>0</v>
      </c>
      <c r="L965" s="7">
        <v>0</v>
      </c>
      <c r="M965" s="7">
        <v>0</v>
      </c>
      <c r="N965" s="7">
        <v>0</v>
      </c>
      <c r="O965" s="7">
        <v>0</v>
      </c>
      <c r="P965" s="7">
        <v>0</v>
      </c>
      <c r="Q965" s="7">
        <v>0</v>
      </c>
    </row>
    <row r="966" spans="1:17">
      <c r="A966" s="2">
        <v>2914</v>
      </c>
      <c r="B966" s="7">
        <v>0</v>
      </c>
      <c r="C966" s="7">
        <v>0</v>
      </c>
      <c r="D966" s="7">
        <v>0</v>
      </c>
      <c r="E966" s="7">
        <v>0</v>
      </c>
      <c r="F966" s="7">
        <v>0</v>
      </c>
      <c r="G966" s="7">
        <v>0</v>
      </c>
      <c r="H966" s="7">
        <v>0</v>
      </c>
      <c r="I966" s="7">
        <v>0</v>
      </c>
      <c r="J966" s="7">
        <v>0</v>
      </c>
      <c r="K966" s="7">
        <v>0</v>
      </c>
      <c r="L966" s="7">
        <v>0</v>
      </c>
      <c r="M966" s="7">
        <v>0</v>
      </c>
      <c r="N966" s="7">
        <v>0</v>
      </c>
      <c r="O966" s="7">
        <v>0</v>
      </c>
      <c r="P966" s="7">
        <v>0</v>
      </c>
      <c r="Q966" s="7">
        <v>0</v>
      </c>
    </row>
    <row r="967" spans="1:17">
      <c r="A967" s="2">
        <v>2915</v>
      </c>
      <c r="B967" s="7">
        <v>0</v>
      </c>
      <c r="C967" s="7">
        <v>0</v>
      </c>
      <c r="D967" s="7">
        <v>0</v>
      </c>
      <c r="E967" s="7">
        <v>0</v>
      </c>
      <c r="F967" s="7">
        <v>0</v>
      </c>
      <c r="G967" s="7">
        <v>0</v>
      </c>
      <c r="H967" s="7">
        <v>0</v>
      </c>
      <c r="I967" s="7">
        <v>0</v>
      </c>
      <c r="J967" s="7">
        <v>0</v>
      </c>
      <c r="K967" s="7">
        <v>0</v>
      </c>
      <c r="L967" s="7">
        <v>0</v>
      </c>
      <c r="M967" s="7">
        <v>0</v>
      </c>
      <c r="N967" s="7">
        <v>0</v>
      </c>
      <c r="O967" s="7">
        <v>0</v>
      </c>
      <c r="P967" s="7">
        <v>0</v>
      </c>
      <c r="Q967" s="7">
        <v>0</v>
      </c>
    </row>
    <row r="968" spans="1:17">
      <c r="A968" s="2">
        <v>2916</v>
      </c>
      <c r="B968" s="7">
        <v>0</v>
      </c>
      <c r="C968" s="7">
        <v>0</v>
      </c>
      <c r="D968" s="7">
        <v>0</v>
      </c>
      <c r="E968" s="7">
        <v>0</v>
      </c>
      <c r="F968" s="7">
        <v>0</v>
      </c>
      <c r="G968" s="7">
        <v>0</v>
      </c>
      <c r="H968" s="7">
        <v>0</v>
      </c>
      <c r="I968" s="7">
        <v>0</v>
      </c>
      <c r="J968" s="7">
        <v>0</v>
      </c>
      <c r="K968" s="7">
        <v>0</v>
      </c>
      <c r="L968" s="7">
        <v>0</v>
      </c>
      <c r="M968" s="7">
        <v>0</v>
      </c>
      <c r="N968" s="7">
        <v>0</v>
      </c>
      <c r="O968" s="7">
        <v>0</v>
      </c>
      <c r="P968" s="7">
        <v>0</v>
      </c>
      <c r="Q968" s="7">
        <v>0</v>
      </c>
    </row>
    <row r="969" spans="1:17">
      <c r="A969" s="2">
        <v>2917</v>
      </c>
      <c r="B969" s="7">
        <v>0</v>
      </c>
      <c r="C969" s="7">
        <v>0</v>
      </c>
      <c r="D969" s="7">
        <v>0</v>
      </c>
      <c r="E969" s="7">
        <v>0</v>
      </c>
      <c r="F969" s="7">
        <v>0</v>
      </c>
      <c r="G969" s="7">
        <v>0</v>
      </c>
      <c r="H969" s="7">
        <v>0</v>
      </c>
      <c r="I969" s="7">
        <v>0</v>
      </c>
      <c r="J969" s="7">
        <v>0</v>
      </c>
      <c r="K969" s="7">
        <v>0</v>
      </c>
      <c r="L969" s="7">
        <v>0</v>
      </c>
      <c r="M969" s="7">
        <v>0</v>
      </c>
      <c r="N969" s="7">
        <v>0</v>
      </c>
      <c r="O969" s="7">
        <v>0</v>
      </c>
      <c r="P969" s="7">
        <v>0</v>
      </c>
      <c r="Q969" s="7">
        <v>0</v>
      </c>
    </row>
    <row r="970" spans="1:17">
      <c r="A970" s="2">
        <v>2918</v>
      </c>
      <c r="B970" s="7">
        <v>0</v>
      </c>
      <c r="C970" s="7">
        <v>0</v>
      </c>
      <c r="D970" s="7">
        <v>0</v>
      </c>
      <c r="E970" s="7">
        <v>0</v>
      </c>
      <c r="F970" s="7">
        <v>0</v>
      </c>
      <c r="G970" s="7">
        <v>0</v>
      </c>
      <c r="H970" s="7">
        <v>0</v>
      </c>
      <c r="I970" s="7">
        <v>0</v>
      </c>
      <c r="J970" s="7">
        <v>0</v>
      </c>
      <c r="K970" s="7">
        <v>0</v>
      </c>
      <c r="L970" s="7">
        <v>0</v>
      </c>
      <c r="M970" s="7">
        <v>0</v>
      </c>
      <c r="N970" s="7">
        <v>0</v>
      </c>
      <c r="O970" s="7">
        <v>0</v>
      </c>
      <c r="P970" s="7">
        <v>0</v>
      </c>
      <c r="Q970" s="7">
        <v>0</v>
      </c>
    </row>
    <row r="971" spans="1:17">
      <c r="A971" s="2">
        <v>2919</v>
      </c>
      <c r="B971" s="7">
        <v>0</v>
      </c>
      <c r="C971" s="7">
        <v>0</v>
      </c>
      <c r="D971" s="7">
        <v>0</v>
      </c>
      <c r="E971" s="7">
        <v>0</v>
      </c>
      <c r="F971" s="7">
        <v>0</v>
      </c>
      <c r="G971" s="7">
        <v>0</v>
      </c>
      <c r="H971" s="7">
        <v>0</v>
      </c>
      <c r="I971" s="7">
        <v>0</v>
      </c>
      <c r="J971" s="7">
        <v>0</v>
      </c>
      <c r="K971" s="7">
        <v>0</v>
      </c>
      <c r="L971" s="7">
        <v>0</v>
      </c>
      <c r="M971" s="7">
        <v>0</v>
      </c>
      <c r="N971" s="7">
        <v>0</v>
      </c>
      <c r="O971" s="7">
        <v>0</v>
      </c>
      <c r="P971" s="7">
        <v>0</v>
      </c>
      <c r="Q971" s="7">
        <v>0</v>
      </c>
    </row>
    <row r="972" spans="1:17">
      <c r="A972" s="2">
        <v>2920</v>
      </c>
      <c r="B972" s="7">
        <v>0</v>
      </c>
      <c r="C972" s="7">
        <v>0</v>
      </c>
      <c r="D972" s="7">
        <v>0</v>
      </c>
      <c r="E972" s="7">
        <v>0</v>
      </c>
      <c r="F972" s="7">
        <v>0</v>
      </c>
      <c r="G972" s="7">
        <v>0</v>
      </c>
      <c r="H972" s="7">
        <v>0</v>
      </c>
      <c r="I972" s="7">
        <v>0</v>
      </c>
      <c r="J972" s="7">
        <v>0</v>
      </c>
      <c r="K972" s="7">
        <v>0</v>
      </c>
      <c r="L972" s="7">
        <v>0</v>
      </c>
      <c r="M972" s="7">
        <v>0</v>
      </c>
      <c r="N972" s="7">
        <v>0</v>
      </c>
      <c r="O972" s="7">
        <v>0</v>
      </c>
      <c r="P972" s="7">
        <v>0</v>
      </c>
      <c r="Q972" s="7">
        <v>0</v>
      </c>
    </row>
    <row r="973" spans="1:17">
      <c r="A973" s="2">
        <v>2921</v>
      </c>
      <c r="B973" s="7">
        <v>0</v>
      </c>
      <c r="C973" s="7">
        <v>0</v>
      </c>
      <c r="D973" s="7">
        <v>0</v>
      </c>
      <c r="E973" s="7">
        <v>0</v>
      </c>
      <c r="F973" s="7">
        <v>0</v>
      </c>
      <c r="G973" s="7">
        <v>0</v>
      </c>
      <c r="H973" s="7">
        <v>0</v>
      </c>
      <c r="I973" s="7">
        <v>0</v>
      </c>
      <c r="J973" s="7">
        <v>0</v>
      </c>
      <c r="K973" s="7">
        <v>0</v>
      </c>
      <c r="L973" s="7">
        <v>0</v>
      </c>
      <c r="M973" s="7">
        <v>0</v>
      </c>
      <c r="N973" s="7">
        <v>0</v>
      </c>
      <c r="O973" s="7">
        <v>0</v>
      </c>
      <c r="P973" s="7">
        <v>0</v>
      </c>
      <c r="Q973" s="7">
        <v>0</v>
      </c>
    </row>
    <row r="974" spans="1:17">
      <c r="A974" s="2">
        <v>2922</v>
      </c>
      <c r="B974" s="7">
        <v>0</v>
      </c>
      <c r="C974" s="7">
        <v>0</v>
      </c>
      <c r="D974" s="7">
        <v>0</v>
      </c>
      <c r="E974" s="7">
        <v>0</v>
      </c>
      <c r="F974" s="7">
        <v>0</v>
      </c>
      <c r="G974" s="7">
        <v>0</v>
      </c>
      <c r="H974" s="7">
        <v>0</v>
      </c>
      <c r="I974" s="7">
        <v>0</v>
      </c>
      <c r="J974" s="7">
        <v>0</v>
      </c>
      <c r="K974" s="7">
        <v>0</v>
      </c>
      <c r="L974" s="7">
        <v>0</v>
      </c>
      <c r="M974" s="7">
        <v>0</v>
      </c>
      <c r="N974" s="7">
        <v>0</v>
      </c>
      <c r="O974" s="7">
        <v>0</v>
      </c>
      <c r="P974" s="7">
        <v>0</v>
      </c>
      <c r="Q974" s="7">
        <v>0</v>
      </c>
    </row>
    <row r="975" spans="1:17">
      <c r="A975" s="2">
        <v>2923</v>
      </c>
      <c r="B975" s="7">
        <v>0</v>
      </c>
      <c r="C975" s="7">
        <v>0</v>
      </c>
      <c r="D975" s="7">
        <v>0</v>
      </c>
      <c r="E975" s="7">
        <v>0</v>
      </c>
      <c r="F975" s="7">
        <v>0</v>
      </c>
      <c r="G975" s="7">
        <v>0</v>
      </c>
      <c r="H975" s="7">
        <v>0</v>
      </c>
      <c r="I975" s="7">
        <v>0</v>
      </c>
      <c r="J975" s="7">
        <v>0</v>
      </c>
      <c r="K975" s="7">
        <v>0</v>
      </c>
      <c r="L975" s="7">
        <v>0</v>
      </c>
      <c r="M975" s="7">
        <v>0</v>
      </c>
      <c r="N975" s="7">
        <v>0</v>
      </c>
      <c r="O975" s="7">
        <v>0</v>
      </c>
      <c r="P975" s="7">
        <v>0</v>
      </c>
      <c r="Q975" s="7">
        <v>0</v>
      </c>
    </row>
    <row r="976" spans="1:17">
      <c r="A976" s="2">
        <v>2924</v>
      </c>
      <c r="B976" s="7">
        <v>0</v>
      </c>
      <c r="C976" s="7">
        <v>0</v>
      </c>
      <c r="D976" s="7">
        <v>0</v>
      </c>
      <c r="E976" s="7">
        <v>0</v>
      </c>
      <c r="F976" s="7">
        <v>0</v>
      </c>
      <c r="G976" s="7">
        <v>0</v>
      </c>
      <c r="H976" s="7">
        <v>0</v>
      </c>
      <c r="I976" s="7">
        <v>0</v>
      </c>
      <c r="J976" s="7">
        <v>0</v>
      </c>
      <c r="K976" s="7">
        <v>0</v>
      </c>
      <c r="L976" s="7">
        <v>0</v>
      </c>
      <c r="M976" s="7">
        <v>0</v>
      </c>
      <c r="N976" s="7">
        <v>0</v>
      </c>
      <c r="O976" s="7">
        <v>0</v>
      </c>
      <c r="P976" s="7">
        <v>0</v>
      </c>
      <c r="Q976" s="7">
        <v>0</v>
      </c>
    </row>
    <row r="977" spans="1:17">
      <c r="A977" s="2">
        <v>2925</v>
      </c>
      <c r="B977" s="7">
        <v>0</v>
      </c>
      <c r="C977" s="7">
        <v>0</v>
      </c>
      <c r="D977" s="7">
        <v>0</v>
      </c>
      <c r="E977" s="7">
        <v>0</v>
      </c>
      <c r="F977" s="7">
        <v>0</v>
      </c>
      <c r="G977" s="7">
        <v>0</v>
      </c>
      <c r="H977" s="7">
        <v>0</v>
      </c>
      <c r="I977" s="7">
        <v>0</v>
      </c>
      <c r="J977" s="7">
        <v>0</v>
      </c>
      <c r="K977" s="7">
        <v>0</v>
      </c>
      <c r="L977" s="7">
        <v>0</v>
      </c>
      <c r="M977" s="7">
        <v>0</v>
      </c>
      <c r="N977" s="7">
        <v>0</v>
      </c>
      <c r="O977" s="7">
        <v>0</v>
      </c>
      <c r="P977" s="7">
        <v>0</v>
      </c>
      <c r="Q977" s="7">
        <v>0</v>
      </c>
    </row>
    <row r="978" spans="1:17">
      <c r="A978" s="2">
        <v>2926</v>
      </c>
      <c r="B978" s="7">
        <v>0</v>
      </c>
      <c r="C978" s="7">
        <v>0</v>
      </c>
      <c r="D978" s="7">
        <v>0</v>
      </c>
      <c r="E978" s="7">
        <v>0</v>
      </c>
      <c r="F978" s="7">
        <v>0</v>
      </c>
      <c r="G978" s="7">
        <v>0</v>
      </c>
      <c r="H978" s="7">
        <v>0</v>
      </c>
      <c r="I978" s="7">
        <v>0</v>
      </c>
      <c r="J978" s="7">
        <v>0</v>
      </c>
      <c r="K978" s="7">
        <v>0</v>
      </c>
      <c r="L978" s="7">
        <v>0</v>
      </c>
      <c r="M978" s="7">
        <v>0</v>
      </c>
      <c r="N978" s="7">
        <v>0</v>
      </c>
      <c r="O978" s="7">
        <v>0</v>
      </c>
      <c r="P978" s="7">
        <v>0</v>
      </c>
      <c r="Q978" s="7">
        <v>0</v>
      </c>
    </row>
    <row r="979" spans="1:17">
      <c r="A979" s="2">
        <v>2927</v>
      </c>
      <c r="B979" s="7">
        <v>0</v>
      </c>
      <c r="C979" s="7">
        <v>0</v>
      </c>
      <c r="D979" s="7">
        <v>0</v>
      </c>
      <c r="E979" s="7">
        <v>0</v>
      </c>
      <c r="F979" s="7">
        <v>0</v>
      </c>
      <c r="G979" s="7">
        <v>0</v>
      </c>
      <c r="H979" s="7">
        <v>0</v>
      </c>
      <c r="I979" s="7">
        <v>0</v>
      </c>
      <c r="J979" s="7">
        <v>0</v>
      </c>
      <c r="K979" s="7">
        <v>0</v>
      </c>
      <c r="L979" s="7">
        <v>0</v>
      </c>
      <c r="M979" s="7">
        <v>0</v>
      </c>
      <c r="N979" s="7">
        <v>0</v>
      </c>
      <c r="O979" s="7">
        <v>0</v>
      </c>
      <c r="P979" s="7">
        <v>0</v>
      </c>
      <c r="Q979" s="7">
        <v>0</v>
      </c>
    </row>
    <row r="980" spans="1:17">
      <c r="A980" s="2">
        <v>2928</v>
      </c>
      <c r="B980" s="7">
        <v>0</v>
      </c>
      <c r="C980" s="7">
        <v>0</v>
      </c>
      <c r="D980" s="7">
        <v>0</v>
      </c>
      <c r="E980" s="7">
        <v>0</v>
      </c>
      <c r="F980" s="7">
        <v>0</v>
      </c>
      <c r="G980" s="7">
        <v>0</v>
      </c>
      <c r="H980" s="7">
        <v>0</v>
      </c>
      <c r="I980" s="7">
        <v>0</v>
      </c>
      <c r="J980" s="7">
        <v>0</v>
      </c>
      <c r="K980" s="7">
        <v>0</v>
      </c>
      <c r="L980" s="7">
        <v>0</v>
      </c>
      <c r="M980" s="7">
        <v>0</v>
      </c>
      <c r="N980" s="7">
        <v>0</v>
      </c>
      <c r="O980" s="7">
        <v>0</v>
      </c>
      <c r="P980" s="7">
        <v>0</v>
      </c>
      <c r="Q980" s="7">
        <v>0</v>
      </c>
    </row>
    <row r="981" spans="1:17">
      <c r="A981" s="2">
        <v>2929</v>
      </c>
      <c r="B981" s="7">
        <v>0</v>
      </c>
      <c r="C981" s="7">
        <v>0</v>
      </c>
      <c r="D981" s="7">
        <v>0</v>
      </c>
      <c r="E981" s="7">
        <v>0</v>
      </c>
      <c r="F981" s="7">
        <v>0</v>
      </c>
      <c r="G981" s="7">
        <v>0</v>
      </c>
      <c r="H981" s="7">
        <v>0</v>
      </c>
      <c r="I981" s="7">
        <v>0</v>
      </c>
      <c r="J981" s="7">
        <v>0</v>
      </c>
      <c r="K981" s="7">
        <v>0</v>
      </c>
      <c r="L981" s="7">
        <v>0</v>
      </c>
      <c r="M981" s="7">
        <v>0</v>
      </c>
      <c r="N981" s="7">
        <v>0</v>
      </c>
      <c r="O981" s="7">
        <v>0</v>
      </c>
      <c r="P981" s="7">
        <v>0</v>
      </c>
      <c r="Q981" s="7">
        <v>0</v>
      </c>
    </row>
    <row r="982" spans="1:17">
      <c r="A982" s="2">
        <v>2930</v>
      </c>
      <c r="B982" s="7">
        <v>0</v>
      </c>
      <c r="C982" s="7">
        <v>0</v>
      </c>
      <c r="D982" s="7">
        <v>0</v>
      </c>
      <c r="E982" s="7">
        <v>0</v>
      </c>
      <c r="F982" s="7">
        <v>0</v>
      </c>
      <c r="G982" s="7">
        <v>0</v>
      </c>
      <c r="H982" s="7">
        <v>0</v>
      </c>
      <c r="I982" s="7">
        <v>0</v>
      </c>
      <c r="J982" s="7">
        <v>0</v>
      </c>
      <c r="K982" s="7">
        <v>0</v>
      </c>
      <c r="L982" s="7">
        <v>0</v>
      </c>
      <c r="M982" s="7">
        <v>0</v>
      </c>
      <c r="N982" s="7">
        <v>0</v>
      </c>
      <c r="O982" s="7">
        <v>0</v>
      </c>
      <c r="P982" s="7">
        <v>0</v>
      </c>
      <c r="Q982" s="7">
        <v>0</v>
      </c>
    </row>
    <row r="983" spans="1:17">
      <c r="A983" s="2">
        <v>2931</v>
      </c>
      <c r="B983" s="7">
        <v>0</v>
      </c>
      <c r="C983" s="7">
        <v>0</v>
      </c>
      <c r="D983" s="7">
        <v>0</v>
      </c>
      <c r="E983" s="7">
        <v>0</v>
      </c>
      <c r="F983" s="7">
        <v>0</v>
      </c>
      <c r="G983" s="7">
        <v>0</v>
      </c>
      <c r="H983" s="7">
        <v>0</v>
      </c>
      <c r="I983" s="7">
        <v>0</v>
      </c>
      <c r="J983" s="7">
        <v>0</v>
      </c>
      <c r="K983" s="7">
        <v>0</v>
      </c>
      <c r="L983" s="7">
        <v>0</v>
      </c>
      <c r="M983" s="7">
        <v>0</v>
      </c>
      <c r="N983" s="7">
        <v>0</v>
      </c>
      <c r="O983" s="7">
        <v>0</v>
      </c>
      <c r="P983" s="7">
        <v>0</v>
      </c>
      <c r="Q983" s="7">
        <v>0</v>
      </c>
    </row>
    <row r="984" spans="1:17">
      <c r="A984" s="2">
        <v>2932</v>
      </c>
      <c r="B984" s="7">
        <v>0</v>
      </c>
      <c r="C984" s="7">
        <v>0</v>
      </c>
      <c r="D984" s="7">
        <v>0</v>
      </c>
      <c r="E984" s="7">
        <v>0</v>
      </c>
      <c r="F984" s="7">
        <v>0</v>
      </c>
      <c r="G984" s="7">
        <v>0</v>
      </c>
      <c r="H984" s="7">
        <v>0</v>
      </c>
      <c r="I984" s="7">
        <v>0</v>
      </c>
      <c r="J984" s="7">
        <v>0</v>
      </c>
      <c r="K984" s="7">
        <v>0</v>
      </c>
      <c r="L984" s="7">
        <v>0</v>
      </c>
      <c r="M984" s="7">
        <v>0</v>
      </c>
      <c r="N984" s="7">
        <v>0</v>
      </c>
      <c r="O984" s="7">
        <v>0</v>
      </c>
      <c r="P984" s="7">
        <v>0</v>
      </c>
      <c r="Q984" s="7">
        <v>0</v>
      </c>
    </row>
    <row r="985" spans="1:17">
      <c r="A985" s="2">
        <v>2933</v>
      </c>
      <c r="B985" s="7">
        <v>0</v>
      </c>
      <c r="C985" s="7">
        <v>0</v>
      </c>
      <c r="D985" s="7">
        <v>0</v>
      </c>
      <c r="E985" s="7">
        <v>0</v>
      </c>
      <c r="F985" s="7">
        <v>0</v>
      </c>
      <c r="G985" s="7">
        <v>0</v>
      </c>
      <c r="H985" s="7">
        <v>0</v>
      </c>
      <c r="I985" s="7">
        <v>0</v>
      </c>
      <c r="J985" s="7">
        <v>0</v>
      </c>
      <c r="K985" s="7">
        <v>0</v>
      </c>
      <c r="L985" s="7">
        <v>0</v>
      </c>
      <c r="M985" s="7">
        <v>0</v>
      </c>
      <c r="N985" s="7">
        <v>0</v>
      </c>
      <c r="O985" s="7">
        <v>0</v>
      </c>
      <c r="P985" s="7">
        <v>0</v>
      </c>
      <c r="Q985" s="7">
        <v>0</v>
      </c>
    </row>
    <row r="986" spans="1:17">
      <c r="A986" s="2">
        <v>2934</v>
      </c>
      <c r="B986" s="7">
        <v>0</v>
      </c>
      <c r="C986" s="7">
        <v>0</v>
      </c>
      <c r="D986" s="7">
        <v>0</v>
      </c>
      <c r="E986" s="7">
        <v>0</v>
      </c>
      <c r="F986" s="7">
        <v>0</v>
      </c>
      <c r="G986" s="7">
        <v>0</v>
      </c>
      <c r="H986" s="7">
        <v>0</v>
      </c>
      <c r="I986" s="7">
        <v>0</v>
      </c>
      <c r="J986" s="7">
        <v>0</v>
      </c>
      <c r="K986" s="7">
        <v>0</v>
      </c>
      <c r="L986" s="7">
        <v>0</v>
      </c>
      <c r="M986" s="7">
        <v>0</v>
      </c>
      <c r="N986" s="7">
        <v>0</v>
      </c>
      <c r="O986" s="7">
        <v>0</v>
      </c>
      <c r="P986" s="7">
        <v>0</v>
      </c>
      <c r="Q986" s="7">
        <v>0</v>
      </c>
    </row>
    <row r="987" spans="1:17">
      <c r="A987" s="2">
        <v>2935</v>
      </c>
      <c r="B987" s="7">
        <v>0</v>
      </c>
      <c r="C987" s="7">
        <v>0</v>
      </c>
      <c r="D987" s="7">
        <v>0</v>
      </c>
      <c r="E987" s="7">
        <v>0</v>
      </c>
      <c r="F987" s="7">
        <v>0</v>
      </c>
      <c r="G987" s="7">
        <v>0</v>
      </c>
      <c r="H987" s="7">
        <v>0</v>
      </c>
      <c r="I987" s="7">
        <v>0</v>
      </c>
      <c r="J987" s="7">
        <v>0</v>
      </c>
      <c r="K987" s="7">
        <v>0</v>
      </c>
      <c r="L987" s="7">
        <v>0</v>
      </c>
      <c r="M987" s="7">
        <v>0</v>
      </c>
      <c r="N987" s="7">
        <v>0</v>
      </c>
      <c r="O987" s="7">
        <v>0</v>
      </c>
      <c r="P987" s="7">
        <v>0</v>
      </c>
      <c r="Q987" s="7">
        <v>0</v>
      </c>
    </row>
    <row r="988" spans="1:17">
      <c r="A988" s="2">
        <v>2936</v>
      </c>
      <c r="B988" s="7">
        <v>0</v>
      </c>
      <c r="C988" s="7">
        <v>0</v>
      </c>
      <c r="D988" s="7">
        <v>0</v>
      </c>
      <c r="E988" s="7">
        <v>0</v>
      </c>
      <c r="F988" s="7">
        <v>0</v>
      </c>
      <c r="G988" s="7">
        <v>0</v>
      </c>
      <c r="H988" s="7">
        <v>0</v>
      </c>
      <c r="I988" s="7">
        <v>0</v>
      </c>
      <c r="J988" s="7">
        <v>0</v>
      </c>
      <c r="K988" s="7">
        <v>0</v>
      </c>
      <c r="L988" s="7">
        <v>0</v>
      </c>
      <c r="M988" s="7">
        <v>0</v>
      </c>
      <c r="N988" s="7">
        <v>0</v>
      </c>
      <c r="O988" s="7">
        <v>0</v>
      </c>
      <c r="P988" s="7">
        <v>0</v>
      </c>
      <c r="Q988" s="7">
        <v>0</v>
      </c>
    </row>
    <row r="989" spans="1:17">
      <c r="A989" s="2">
        <v>2937</v>
      </c>
      <c r="B989" s="7">
        <v>0</v>
      </c>
      <c r="C989" s="7">
        <v>0</v>
      </c>
      <c r="D989" s="7">
        <v>0</v>
      </c>
      <c r="E989" s="7">
        <v>0</v>
      </c>
      <c r="F989" s="7">
        <v>0</v>
      </c>
      <c r="G989" s="7">
        <v>0</v>
      </c>
      <c r="H989" s="7">
        <v>0</v>
      </c>
      <c r="I989" s="7">
        <v>0</v>
      </c>
      <c r="J989" s="7">
        <v>0</v>
      </c>
      <c r="K989" s="7">
        <v>0</v>
      </c>
      <c r="L989" s="7">
        <v>0</v>
      </c>
      <c r="M989" s="7">
        <v>0</v>
      </c>
      <c r="N989" s="7">
        <v>0</v>
      </c>
      <c r="O989" s="7">
        <v>0</v>
      </c>
      <c r="P989" s="7">
        <v>0</v>
      </c>
      <c r="Q989" s="7">
        <v>0</v>
      </c>
    </row>
    <row r="990" spans="1:17">
      <c r="A990" s="2">
        <v>2938</v>
      </c>
      <c r="B990" s="7">
        <v>0</v>
      </c>
      <c r="C990" s="7">
        <v>0</v>
      </c>
      <c r="D990" s="7">
        <v>0</v>
      </c>
      <c r="E990" s="7">
        <v>0</v>
      </c>
      <c r="F990" s="7">
        <v>0</v>
      </c>
      <c r="G990" s="7">
        <v>0</v>
      </c>
      <c r="H990" s="7">
        <v>0</v>
      </c>
      <c r="I990" s="7">
        <v>0</v>
      </c>
      <c r="J990" s="7">
        <v>0</v>
      </c>
      <c r="K990" s="7">
        <v>0</v>
      </c>
      <c r="L990" s="7">
        <v>0</v>
      </c>
      <c r="M990" s="7">
        <v>0</v>
      </c>
      <c r="N990" s="7">
        <v>0</v>
      </c>
      <c r="O990" s="7">
        <v>0</v>
      </c>
      <c r="P990" s="7">
        <v>0</v>
      </c>
      <c r="Q990" s="7">
        <v>0</v>
      </c>
    </row>
    <row r="991" spans="1:17">
      <c r="A991" s="2">
        <v>2939</v>
      </c>
      <c r="B991" s="7">
        <v>0</v>
      </c>
      <c r="C991" s="7">
        <v>0</v>
      </c>
      <c r="D991" s="7">
        <v>0</v>
      </c>
      <c r="E991" s="7">
        <v>0</v>
      </c>
      <c r="F991" s="7">
        <v>0</v>
      </c>
      <c r="G991" s="7">
        <v>0</v>
      </c>
      <c r="H991" s="7">
        <v>0</v>
      </c>
      <c r="I991" s="7">
        <v>0</v>
      </c>
      <c r="J991" s="7">
        <v>0</v>
      </c>
      <c r="K991" s="7">
        <v>0</v>
      </c>
      <c r="L991" s="7">
        <v>0</v>
      </c>
      <c r="M991" s="7">
        <v>0</v>
      </c>
      <c r="N991" s="7">
        <v>0</v>
      </c>
      <c r="O991" s="7">
        <v>0</v>
      </c>
      <c r="P991" s="7">
        <v>0</v>
      </c>
      <c r="Q991" s="7">
        <v>0</v>
      </c>
    </row>
    <row r="992" spans="1:17">
      <c r="A992" s="2">
        <v>2940</v>
      </c>
      <c r="B992" s="7">
        <v>0</v>
      </c>
      <c r="C992" s="7">
        <v>0</v>
      </c>
      <c r="D992" s="7">
        <v>0</v>
      </c>
      <c r="E992" s="7">
        <v>0</v>
      </c>
      <c r="F992" s="7">
        <v>0</v>
      </c>
      <c r="G992" s="7">
        <v>0</v>
      </c>
      <c r="H992" s="7">
        <v>0</v>
      </c>
      <c r="I992" s="7">
        <v>0</v>
      </c>
      <c r="J992" s="7">
        <v>0</v>
      </c>
      <c r="K992" s="7">
        <v>0</v>
      </c>
      <c r="L992" s="7">
        <v>0</v>
      </c>
      <c r="M992" s="7">
        <v>0</v>
      </c>
      <c r="N992" s="7">
        <v>0</v>
      </c>
      <c r="O992" s="7">
        <v>0</v>
      </c>
      <c r="P992" s="7">
        <v>0</v>
      </c>
      <c r="Q992" s="7">
        <v>0</v>
      </c>
    </row>
    <row r="993" spans="1:17">
      <c r="A993" s="2">
        <v>2941</v>
      </c>
      <c r="B993" s="7">
        <v>0</v>
      </c>
      <c r="C993" s="7">
        <v>0</v>
      </c>
      <c r="D993" s="7">
        <v>0</v>
      </c>
      <c r="E993" s="7">
        <v>0</v>
      </c>
      <c r="F993" s="7">
        <v>0</v>
      </c>
      <c r="G993" s="7">
        <v>0</v>
      </c>
      <c r="H993" s="7">
        <v>0</v>
      </c>
      <c r="I993" s="7">
        <v>0</v>
      </c>
      <c r="J993" s="7">
        <v>0</v>
      </c>
      <c r="K993" s="7">
        <v>0</v>
      </c>
      <c r="L993" s="7">
        <v>0</v>
      </c>
      <c r="M993" s="7">
        <v>0</v>
      </c>
      <c r="N993" s="7">
        <v>0</v>
      </c>
      <c r="O993" s="7">
        <v>0</v>
      </c>
      <c r="P993" s="7">
        <v>0</v>
      </c>
      <c r="Q993" s="7">
        <v>0</v>
      </c>
    </row>
    <row r="994" spans="1:17">
      <c r="A994" s="2">
        <v>2942</v>
      </c>
      <c r="B994" s="7">
        <v>0</v>
      </c>
      <c r="C994" s="7">
        <v>0</v>
      </c>
      <c r="D994" s="7">
        <v>0</v>
      </c>
      <c r="E994" s="7">
        <v>0</v>
      </c>
      <c r="F994" s="7">
        <v>0</v>
      </c>
      <c r="G994" s="7">
        <v>0</v>
      </c>
      <c r="H994" s="7">
        <v>0</v>
      </c>
      <c r="I994" s="7">
        <v>0</v>
      </c>
      <c r="J994" s="7">
        <v>0</v>
      </c>
      <c r="K994" s="7">
        <v>0</v>
      </c>
      <c r="L994" s="7">
        <v>0</v>
      </c>
      <c r="M994" s="7">
        <v>0</v>
      </c>
      <c r="N994" s="7">
        <v>0</v>
      </c>
      <c r="O994" s="7">
        <v>0</v>
      </c>
      <c r="P994" s="7">
        <v>0</v>
      </c>
      <c r="Q994" s="7">
        <v>0</v>
      </c>
    </row>
    <row r="995" spans="1:17">
      <c r="A995" s="2">
        <v>2943</v>
      </c>
      <c r="B995" s="7">
        <v>0</v>
      </c>
      <c r="C995" s="7">
        <v>0</v>
      </c>
      <c r="D995" s="7">
        <v>0</v>
      </c>
      <c r="E995" s="7">
        <v>0</v>
      </c>
      <c r="F995" s="7">
        <v>0</v>
      </c>
      <c r="G995" s="7">
        <v>0</v>
      </c>
      <c r="H995" s="7">
        <v>0</v>
      </c>
      <c r="I995" s="7">
        <v>0</v>
      </c>
      <c r="J995" s="7">
        <v>0</v>
      </c>
      <c r="K995" s="7">
        <v>0</v>
      </c>
      <c r="L995" s="7">
        <v>0</v>
      </c>
      <c r="M995" s="7">
        <v>0</v>
      </c>
      <c r="N995" s="7">
        <v>0</v>
      </c>
      <c r="O995" s="7">
        <v>0</v>
      </c>
      <c r="P995" s="7">
        <v>0</v>
      </c>
      <c r="Q995" s="7">
        <v>0</v>
      </c>
    </row>
    <row r="996" spans="1:17">
      <c r="A996" s="2">
        <v>2944</v>
      </c>
      <c r="B996" s="7">
        <v>0</v>
      </c>
      <c r="C996" s="7">
        <v>0</v>
      </c>
      <c r="D996" s="7">
        <v>0</v>
      </c>
      <c r="E996" s="7">
        <v>0</v>
      </c>
      <c r="F996" s="7">
        <v>0</v>
      </c>
      <c r="G996" s="7">
        <v>0</v>
      </c>
      <c r="H996" s="7">
        <v>0</v>
      </c>
      <c r="I996" s="7">
        <v>0</v>
      </c>
      <c r="J996" s="7">
        <v>0</v>
      </c>
      <c r="K996" s="7">
        <v>0</v>
      </c>
      <c r="L996" s="7">
        <v>0</v>
      </c>
      <c r="M996" s="7">
        <v>0</v>
      </c>
      <c r="N996" s="7">
        <v>0</v>
      </c>
      <c r="O996" s="7">
        <v>0</v>
      </c>
      <c r="P996" s="7">
        <v>0</v>
      </c>
      <c r="Q996" s="7">
        <v>0</v>
      </c>
    </row>
    <row r="997" spans="1:17">
      <c r="A997" s="2">
        <v>2945</v>
      </c>
      <c r="B997" s="7">
        <v>0</v>
      </c>
      <c r="C997" s="7">
        <v>0</v>
      </c>
      <c r="D997" s="7">
        <v>0</v>
      </c>
      <c r="E997" s="7">
        <v>0</v>
      </c>
      <c r="F997" s="7">
        <v>0</v>
      </c>
      <c r="G997" s="7">
        <v>0</v>
      </c>
      <c r="H997" s="7">
        <v>0</v>
      </c>
      <c r="I997" s="7">
        <v>0</v>
      </c>
      <c r="J997" s="7">
        <v>0</v>
      </c>
      <c r="K997" s="7">
        <v>0</v>
      </c>
      <c r="L997" s="7">
        <v>0</v>
      </c>
      <c r="M997" s="7">
        <v>0</v>
      </c>
      <c r="N997" s="7">
        <v>0</v>
      </c>
      <c r="O997" s="7">
        <v>0</v>
      </c>
      <c r="P997" s="7">
        <v>0</v>
      </c>
      <c r="Q997" s="7">
        <v>0</v>
      </c>
    </row>
    <row r="998" spans="1:17">
      <c r="A998" s="2">
        <v>2946</v>
      </c>
      <c r="B998" s="7">
        <v>0</v>
      </c>
      <c r="C998" s="7">
        <v>0</v>
      </c>
      <c r="D998" s="7">
        <v>0</v>
      </c>
      <c r="E998" s="7">
        <v>0</v>
      </c>
      <c r="F998" s="7">
        <v>0</v>
      </c>
      <c r="G998" s="7">
        <v>0</v>
      </c>
      <c r="H998" s="7">
        <v>0</v>
      </c>
      <c r="I998" s="7">
        <v>0</v>
      </c>
      <c r="J998" s="7">
        <v>0</v>
      </c>
      <c r="K998" s="7">
        <v>0</v>
      </c>
      <c r="L998" s="7">
        <v>0</v>
      </c>
      <c r="M998" s="7">
        <v>0</v>
      </c>
      <c r="N998" s="7">
        <v>0</v>
      </c>
      <c r="O998" s="7">
        <v>0</v>
      </c>
      <c r="P998" s="7">
        <v>0</v>
      </c>
      <c r="Q998" s="7">
        <v>0</v>
      </c>
    </row>
    <row r="999" spans="1:17">
      <c r="A999" s="2">
        <v>2947</v>
      </c>
      <c r="B999" s="7">
        <v>0</v>
      </c>
      <c r="C999" s="7">
        <v>0</v>
      </c>
      <c r="D999" s="7">
        <v>0</v>
      </c>
      <c r="E999" s="7">
        <v>0</v>
      </c>
      <c r="F999" s="7">
        <v>0</v>
      </c>
      <c r="G999" s="7">
        <v>0</v>
      </c>
      <c r="H999" s="7">
        <v>0</v>
      </c>
      <c r="I999" s="7">
        <v>0</v>
      </c>
      <c r="J999" s="7">
        <v>0</v>
      </c>
      <c r="K999" s="7">
        <v>0</v>
      </c>
      <c r="L999" s="7">
        <v>0</v>
      </c>
      <c r="M999" s="7">
        <v>0</v>
      </c>
      <c r="N999" s="7">
        <v>0</v>
      </c>
      <c r="O999" s="7">
        <v>0</v>
      </c>
      <c r="P999" s="7">
        <v>0</v>
      </c>
      <c r="Q999" s="7">
        <v>0</v>
      </c>
    </row>
    <row r="1000" spans="1:17">
      <c r="A1000" s="2">
        <v>2948</v>
      </c>
      <c r="B1000" s="7">
        <v>0</v>
      </c>
      <c r="C1000" s="7">
        <v>0</v>
      </c>
      <c r="D1000" s="7">
        <v>0</v>
      </c>
      <c r="E1000" s="7">
        <v>0</v>
      </c>
      <c r="F1000" s="7">
        <v>0</v>
      </c>
      <c r="G1000" s="7">
        <v>0</v>
      </c>
      <c r="H1000" s="7">
        <v>0</v>
      </c>
      <c r="I1000" s="7">
        <v>0</v>
      </c>
      <c r="J1000" s="7">
        <v>0</v>
      </c>
      <c r="K1000" s="7">
        <v>0</v>
      </c>
      <c r="L1000" s="7">
        <v>0</v>
      </c>
      <c r="M1000" s="7">
        <v>0</v>
      </c>
      <c r="N1000" s="7">
        <v>0</v>
      </c>
      <c r="O1000" s="7">
        <v>0</v>
      </c>
      <c r="P1000" s="7">
        <v>0</v>
      </c>
      <c r="Q1000" s="7">
        <v>0</v>
      </c>
    </row>
    <row r="1001" spans="1:17">
      <c r="A1001" s="2">
        <v>2949</v>
      </c>
      <c r="B1001" s="7">
        <v>0</v>
      </c>
      <c r="C1001" s="7">
        <v>0</v>
      </c>
      <c r="D1001" s="7">
        <v>0</v>
      </c>
      <c r="E1001" s="7">
        <v>0</v>
      </c>
      <c r="F1001" s="7">
        <v>0</v>
      </c>
      <c r="G1001" s="7">
        <v>0</v>
      </c>
      <c r="H1001" s="7">
        <v>0</v>
      </c>
      <c r="I1001" s="7">
        <v>0</v>
      </c>
      <c r="J1001" s="7">
        <v>0</v>
      </c>
      <c r="K1001" s="7">
        <v>0</v>
      </c>
      <c r="L1001" s="7">
        <v>0</v>
      </c>
      <c r="M1001" s="7">
        <v>0</v>
      </c>
      <c r="N1001" s="7">
        <v>0</v>
      </c>
      <c r="O1001" s="7">
        <v>0</v>
      </c>
      <c r="P1001" s="7">
        <v>0</v>
      </c>
      <c r="Q1001" s="7">
        <v>0</v>
      </c>
    </row>
    <row r="1002" spans="1:17">
      <c r="A1002" s="2">
        <v>2950</v>
      </c>
      <c r="B1002" s="7">
        <v>0</v>
      </c>
      <c r="C1002" s="7">
        <v>0</v>
      </c>
      <c r="D1002" s="7">
        <v>0</v>
      </c>
      <c r="E1002" s="7">
        <v>0</v>
      </c>
      <c r="F1002" s="7">
        <v>0</v>
      </c>
      <c r="G1002" s="7">
        <v>0</v>
      </c>
      <c r="H1002" s="7">
        <v>0</v>
      </c>
      <c r="I1002" s="7">
        <v>0</v>
      </c>
      <c r="J1002" s="7">
        <v>0</v>
      </c>
      <c r="K1002" s="7">
        <v>0</v>
      </c>
      <c r="L1002" s="7">
        <v>0</v>
      </c>
      <c r="M1002" s="7">
        <v>0</v>
      </c>
      <c r="N1002" s="7">
        <v>0</v>
      </c>
      <c r="O1002" s="7">
        <v>0</v>
      </c>
      <c r="P1002" s="7">
        <v>0</v>
      </c>
      <c r="Q1002" s="7">
        <v>0</v>
      </c>
    </row>
    <row r="1003" spans="1:17">
      <c r="A1003" s="2">
        <v>2951</v>
      </c>
      <c r="B1003" s="7">
        <v>0</v>
      </c>
      <c r="C1003" s="7">
        <v>0</v>
      </c>
      <c r="D1003" s="7">
        <v>0</v>
      </c>
      <c r="E1003" s="7">
        <v>0</v>
      </c>
      <c r="F1003" s="7">
        <v>0</v>
      </c>
      <c r="G1003" s="7">
        <v>0</v>
      </c>
      <c r="H1003" s="7">
        <v>0</v>
      </c>
      <c r="I1003" s="7">
        <v>0</v>
      </c>
      <c r="J1003" s="7">
        <v>0</v>
      </c>
      <c r="K1003" s="7">
        <v>0</v>
      </c>
      <c r="L1003" s="7">
        <v>0</v>
      </c>
      <c r="M1003" s="7">
        <v>0</v>
      </c>
      <c r="N1003" s="7">
        <v>0</v>
      </c>
      <c r="O1003" s="7">
        <v>0</v>
      </c>
      <c r="P1003" s="7">
        <v>0</v>
      </c>
      <c r="Q1003" s="7">
        <v>0</v>
      </c>
    </row>
    <row r="1004" spans="1:17">
      <c r="A1004" s="2">
        <v>2952</v>
      </c>
      <c r="B1004" s="7">
        <v>0</v>
      </c>
      <c r="C1004" s="7">
        <v>0</v>
      </c>
      <c r="D1004" s="7">
        <v>0</v>
      </c>
      <c r="E1004" s="7">
        <v>0</v>
      </c>
      <c r="F1004" s="7">
        <v>0</v>
      </c>
      <c r="G1004" s="7">
        <v>0</v>
      </c>
      <c r="H1004" s="7">
        <v>0</v>
      </c>
      <c r="I1004" s="7">
        <v>0</v>
      </c>
      <c r="J1004" s="7">
        <v>0</v>
      </c>
      <c r="K1004" s="7">
        <v>0</v>
      </c>
      <c r="L1004" s="7">
        <v>0</v>
      </c>
      <c r="M1004" s="7">
        <v>0</v>
      </c>
      <c r="N1004" s="7">
        <v>0</v>
      </c>
      <c r="O1004" s="7">
        <v>0</v>
      </c>
      <c r="P1004" s="7">
        <v>0</v>
      </c>
      <c r="Q1004" s="7">
        <v>0</v>
      </c>
    </row>
    <row r="1005" spans="1:17">
      <c r="A1005" s="2">
        <v>2953</v>
      </c>
      <c r="B1005" s="7">
        <v>0</v>
      </c>
      <c r="C1005" s="7">
        <v>0</v>
      </c>
      <c r="D1005" s="7">
        <v>0</v>
      </c>
      <c r="E1005" s="7">
        <v>0</v>
      </c>
      <c r="F1005" s="7">
        <v>0</v>
      </c>
      <c r="G1005" s="7">
        <v>0</v>
      </c>
      <c r="H1005" s="7">
        <v>0</v>
      </c>
      <c r="I1005" s="7">
        <v>0</v>
      </c>
      <c r="J1005" s="7">
        <v>0</v>
      </c>
      <c r="K1005" s="7">
        <v>0</v>
      </c>
      <c r="L1005" s="7">
        <v>0</v>
      </c>
      <c r="M1005" s="7">
        <v>0</v>
      </c>
      <c r="N1005" s="7">
        <v>0</v>
      </c>
      <c r="O1005" s="7">
        <v>0</v>
      </c>
      <c r="P1005" s="7">
        <v>0</v>
      </c>
      <c r="Q1005" s="7">
        <v>0</v>
      </c>
    </row>
    <row r="1006" spans="1:17">
      <c r="A1006" s="2">
        <v>2954</v>
      </c>
      <c r="B1006" s="7">
        <v>0</v>
      </c>
      <c r="C1006" s="7">
        <v>0</v>
      </c>
      <c r="D1006" s="7">
        <v>0</v>
      </c>
      <c r="E1006" s="7">
        <v>0</v>
      </c>
      <c r="F1006" s="7">
        <v>0</v>
      </c>
      <c r="G1006" s="7">
        <v>0</v>
      </c>
      <c r="H1006" s="7">
        <v>0</v>
      </c>
      <c r="I1006" s="7">
        <v>0</v>
      </c>
      <c r="J1006" s="7">
        <v>0</v>
      </c>
      <c r="K1006" s="7">
        <v>0</v>
      </c>
      <c r="L1006" s="7">
        <v>0</v>
      </c>
      <c r="M1006" s="7">
        <v>0</v>
      </c>
      <c r="N1006" s="7">
        <v>0</v>
      </c>
      <c r="O1006" s="7">
        <v>0</v>
      </c>
      <c r="P1006" s="7">
        <v>0</v>
      </c>
      <c r="Q1006" s="7">
        <v>0</v>
      </c>
    </row>
    <row r="1007" spans="1:17">
      <c r="A1007" s="2">
        <v>2955</v>
      </c>
      <c r="B1007" s="7">
        <v>0</v>
      </c>
      <c r="C1007" s="7">
        <v>0</v>
      </c>
      <c r="D1007" s="7">
        <v>0</v>
      </c>
      <c r="E1007" s="7">
        <v>0</v>
      </c>
      <c r="F1007" s="7">
        <v>0</v>
      </c>
      <c r="G1007" s="7">
        <v>0</v>
      </c>
      <c r="H1007" s="7">
        <v>0</v>
      </c>
      <c r="I1007" s="7">
        <v>0</v>
      </c>
      <c r="J1007" s="7">
        <v>0</v>
      </c>
      <c r="K1007" s="7">
        <v>0</v>
      </c>
      <c r="L1007" s="7">
        <v>0</v>
      </c>
      <c r="M1007" s="7">
        <v>0</v>
      </c>
      <c r="N1007" s="7">
        <v>0</v>
      </c>
      <c r="O1007" s="7">
        <v>0</v>
      </c>
      <c r="P1007" s="7">
        <v>0</v>
      </c>
      <c r="Q1007" s="7">
        <v>0</v>
      </c>
    </row>
    <row r="1008" spans="1:17">
      <c r="A1008" s="2">
        <v>2956</v>
      </c>
      <c r="B1008" s="7">
        <v>0</v>
      </c>
      <c r="C1008" s="7">
        <v>0</v>
      </c>
      <c r="D1008" s="7">
        <v>0</v>
      </c>
      <c r="E1008" s="7">
        <v>0</v>
      </c>
      <c r="F1008" s="7">
        <v>0</v>
      </c>
      <c r="G1008" s="7">
        <v>0</v>
      </c>
      <c r="H1008" s="7">
        <v>0</v>
      </c>
      <c r="I1008" s="7">
        <v>0</v>
      </c>
      <c r="J1008" s="7">
        <v>0</v>
      </c>
      <c r="K1008" s="7">
        <v>0</v>
      </c>
      <c r="L1008" s="7">
        <v>0</v>
      </c>
      <c r="M1008" s="7">
        <v>0</v>
      </c>
      <c r="N1008" s="7">
        <v>0</v>
      </c>
      <c r="O1008" s="7">
        <v>0</v>
      </c>
      <c r="P1008" s="7">
        <v>0</v>
      </c>
      <c r="Q1008" s="7">
        <v>0</v>
      </c>
    </row>
    <row r="1009" spans="1:17">
      <c r="A1009" s="2">
        <v>2957</v>
      </c>
      <c r="B1009" s="7">
        <v>0</v>
      </c>
      <c r="C1009" s="7">
        <v>0</v>
      </c>
      <c r="D1009" s="7">
        <v>0</v>
      </c>
      <c r="E1009" s="7">
        <v>0</v>
      </c>
      <c r="F1009" s="7">
        <v>0</v>
      </c>
      <c r="G1009" s="7">
        <v>0</v>
      </c>
      <c r="H1009" s="7">
        <v>0</v>
      </c>
      <c r="I1009" s="7">
        <v>0</v>
      </c>
      <c r="J1009" s="7">
        <v>0</v>
      </c>
      <c r="K1009" s="7">
        <v>0</v>
      </c>
      <c r="L1009" s="7">
        <v>0</v>
      </c>
      <c r="M1009" s="7">
        <v>0</v>
      </c>
      <c r="N1009" s="7">
        <v>0</v>
      </c>
      <c r="O1009" s="7">
        <v>0</v>
      </c>
      <c r="P1009" s="7">
        <v>0</v>
      </c>
      <c r="Q1009" s="7">
        <v>0</v>
      </c>
    </row>
    <row r="1010" spans="1:17">
      <c r="A1010" s="2">
        <v>2958</v>
      </c>
      <c r="B1010" s="7">
        <v>0</v>
      </c>
      <c r="C1010" s="7">
        <v>0</v>
      </c>
      <c r="D1010" s="7">
        <v>0</v>
      </c>
      <c r="E1010" s="7">
        <v>0</v>
      </c>
      <c r="F1010" s="7">
        <v>0</v>
      </c>
      <c r="G1010" s="7">
        <v>0</v>
      </c>
      <c r="H1010" s="7">
        <v>0</v>
      </c>
      <c r="I1010" s="7">
        <v>0</v>
      </c>
      <c r="J1010" s="7">
        <v>0</v>
      </c>
      <c r="K1010" s="7">
        <v>0</v>
      </c>
      <c r="L1010" s="7">
        <v>0</v>
      </c>
      <c r="M1010" s="7">
        <v>0</v>
      </c>
      <c r="N1010" s="7">
        <v>0</v>
      </c>
      <c r="O1010" s="7">
        <v>0</v>
      </c>
      <c r="P1010" s="7">
        <v>0</v>
      </c>
      <c r="Q1010" s="7">
        <v>0</v>
      </c>
    </row>
    <row r="1011" spans="1:17">
      <c r="A1011" s="2">
        <v>2959</v>
      </c>
      <c r="B1011" s="7">
        <v>0</v>
      </c>
      <c r="C1011" s="7">
        <v>0</v>
      </c>
      <c r="D1011" s="7">
        <v>0</v>
      </c>
      <c r="E1011" s="7">
        <v>0</v>
      </c>
      <c r="F1011" s="7">
        <v>0</v>
      </c>
      <c r="G1011" s="7">
        <v>0</v>
      </c>
      <c r="H1011" s="7">
        <v>0</v>
      </c>
      <c r="I1011" s="7">
        <v>0</v>
      </c>
      <c r="J1011" s="7">
        <v>0</v>
      </c>
      <c r="K1011" s="7">
        <v>0</v>
      </c>
      <c r="L1011" s="7">
        <v>0</v>
      </c>
      <c r="M1011" s="7">
        <v>0</v>
      </c>
      <c r="N1011" s="7">
        <v>0</v>
      </c>
      <c r="O1011" s="7">
        <v>0</v>
      </c>
      <c r="P1011" s="7">
        <v>0</v>
      </c>
      <c r="Q1011" s="7">
        <v>0</v>
      </c>
    </row>
    <row r="1012" spans="1:17">
      <c r="A1012" s="2">
        <v>2960</v>
      </c>
      <c r="B1012" s="7">
        <v>0</v>
      </c>
      <c r="C1012" s="7">
        <v>0</v>
      </c>
      <c r="D1012" s="7">
        <v>0</v>
      </c>
      <c r="E1012" s="7">
        <v>0</v>
      </c>
      <c r="F1012" s="7">
        <v>0</v>
      </c>
      <c r="G1012" s="7">
        <v>0</v>
      </c>
      <c r="H1012" s="7">
        <v>0</v>
      </c>
      <c r="I1012" s="7">
        <v>0</v>
      </c>
      <c r="J1012" s="7">
        <v>0</v>
      </c>
      <c r="K1012" s="7">
        <v>0</v>
      </c>
      <c r="L1012" s="7">
        <v>0</v>
      </c>
      <c r="M1012" s="7">
        <v>0</v>
      </c>
      <c r="N1012" s="7">
        <v>0</v>
      </c>
      <c r="O1012" s="7">
        <v>0</v>
      </c>
      <c r="P1012" s="7">
        <v>0</v>
      </c>
      <c r="Q1012" s="7">
        <v>0</v>
      </c>
    </row>
    <row r="1013" spans="1:17">
      <c r="A1013" s="2">
        <v>2961</v>
      </c>
      <c r="B1013" s="7">
        <v>0</v>
      </c>
      <c r="C1013" s="7">
        <v>0</v>
      </c>
      <c r="D1013" s="7">
        <v>0</v>
      </c>
      <c r="E1013" s="7">
        <v>0</v>
      </c>
      <c r="F1013" s="7">
        <v>0</v>
      </c>
      <c r="G1013" s="7">
        <v>0</v>
      </c>
      <c r="H1013" s="7">
        <v>0</v>
      </c>
      <c r="I1013" s="7">
        <v>0</v>
      </c>
      <c r="J1013" s="7">
        <v>0</v>
      </c>
      <c r="K1013" s="7">
        <v>0</v>
      </c>
      <c r="L1013" s="7">
        <v>0</v>
      </c>
      <c r="M1013" s="7">
        <v>0</v>
      </c>
      <c r="N1013" s="7">
        <v>0</v>
      </c>
      <c r="O1013" s="7">
        <v>0</v>
      </c>
      <c r="P1013" s="7">
        <v>0</v>
      </c>
      <c r="Q1013" s="7">
        <v>0</v>
      </c>
    </row>
    <row r="1014" spans="1:17">
      <c r="A1014" s="2">
        <v>2962</v>
      </c>
      <c r="B1014" s="7">
        <v>0</v>
      </c>
      <c r="C1014" s="7">
        <v>0</v>
      </c>
      <c r="D1014" s="7">
        <v>0</v>
      </c>
      <c r="E1014" s="7">
        <v>0</v>
      </c>
      <c r="F1014" s="7">
        <v>0</v>
      </c>
      <c r="G1014" s="7">
        <v>0</v>
      </c>
      <c r="H1014" s="7">
        <v>0</v>
      </c>
      <c r="I1014" s="7">
        <v>0</v>
      </c>
      <c r="J1014" s="7">
        <v>0</v>
      </c>
      <c r="K1014" s="7">
        <v>0</v>
      </c>
      <c r="L1014" s="7">
        <v>0</v>
      </c>
      <c r="M1014" s="7">
        <v>0</v>
      </c>
      <c r="N1014" s="7">
        <v>0</v>
      </c>
      <c r="O1014" s="7">
        <v>0</v>
      </c>
      <c r="P1014" s="7">
        <v>0</v>
      </c>
      <c r="Q1014" s="7">
        <v>0</v>
      </c>
    </row>
    <row r="1015" spans="1:17">
      <c r="A1015" s="2">
        <v>2963</v>
      </c>
      <c r="B1015" s="7">
        <v>0</v>
      </c>
      <c r="C1015" s="7">
        <v>0</v>
      </c>
      <c r="D1015" s="7">
        <v>0</v>
      </c>
      <c r="E1015" s="7">
        <v>0</v>
      </c>
      <c r="F1015" s="7">
        <v>0</v>
      </c>
      <c r="G1015" s="7">
        <v>0</v>
      </c>
      <c r="H1015" s="7">
        <v>0</v>
      </c>
      <c r="I1015" s="7">
        <v>0</v>
      </c>
      <c r="J1015" s="7">
        <v>0</v>
      </c>
      <c r="K1015" s="7">
        <v>0</v>
      </c>
      <c r="L1015" s="7">
        <v>0</v>
      </c>
      <c r="M1015" s="7">
        <v>0</v>
      </c>
      <c r="N1015" s="7">
        <v>0</v>
      </c>
      <c r="O1015" s="7">
        <v>0</v>
      </c>
      <c r="P1015" s="7">
        <v>0</v>
      </c>
      <c r="Q1015" s="7">
        <v>0</v>
      </c>
    </row>
    <row r="1016" spans="1:17">
      <c r="A1016" s="2">
        <v>2964</v>
      </c>
      <c r="B1016" s="7">
        <v>0</v>
      </c>
      <c r="C1016" s="7">
        <v>0</v>
      </c>
      <c r="D1016" s="7">
        <v>0</v>
      </c>
      <c r="E1016" s="7">
        <v>0</v>
      </c>
      <c r="F1016" s="7">
        <v>0</v>
      </c>
      <c r="G1016" s="7">
        <v>0</v>
      </c>
      <c r="H1016" s="7">
        <v>0</v>
      </c>
      <c r="I1016" s="7">
        <v>0</v>
      </c>
      <c r="J1016" s="7">
        <v>0</v>
      </c>
      <c r="K1016" s="7">
        <v>0</v>
      </c>
      <c r="L1016" s="7">
        <v>0</v>
      </c>
      <c r="M1016" s="7">
        <v>0</v>
      </c>
      <c r="N1016" s="7">
        <v>0</v>
      </c>
      <c r="O1016" s="7">
        <v>0</v>
      </c>
      <c r="P1016" s="7">
        <v>0</v>
      </c>
      <c r="Q1016" s="7">
        <v>0</v>
      </c>
    </row>
    <row r="1017" spans="1:17">
      <c r="A1017" s="2">
        <v>2965</v>
      </c>
      <c r="B1017" s="7">
        <v>0</v>
      </c>
      <c r="C1017" s="7">
        <v>0</v>
      </c>
      <c r="D1017" s="7">
        <v>0</v>
      </c>
      <c r="E1017" s="7">
        <v>0</v>
      </c>
      <c r="F1017" s="7">
        <v>0</v>
      </c>
      <c r="G1017" s="7">
        <v>0</v>
      </c>
      <c r="H1017" s="7">
        <v>0</v>
      </c>
      <c r="I1017" s="7">
        <v>0</v>
      </c>
      <c r="J1017" s="7">
        <v>0</v>
      </c>
      <c r="K1017" s="7">
        <v>0</v>
      </c>
      <c r="L1017" s="7">
        <v>0</v>
      </c>
      <c r="M1017" s="7">
        <v>0</v>
      </c>
      <c r="N1017" s="7">
        <v>0</v>
      </c>
      <c r="O1017" s="7">
        <v>0</v>
      </c>
      <c r="P1017" s="7">
        <v>0</v>
      </c>
      <c r="Q1017" s="7">
        <v>0</v>
      </c>
    </row>
    <row r="1018" spans="1:17">
      <c r="A1018" s="2">
        <v>2966</v>
      </c>
      <c r="B1018" s="7">
        <v>0</v>
      </c>
      <c r="C1018" s="7">
        <v>0</v>
      </c>
      <c r="D1018" s="7">
        <v>0</v>
      </c>
      <c r="E1018" s="7">
        <v>0</v>
      </c>
      <c r="F1018" s="7">
        <v>0</v>
      </c>
      <c r="G1018" s="7">
        <v>0</v>
      </c>
      <c r="H1018" s="7">
        <v>0</v>
      </c>
      <c r="I1018" s="7">
        <v>0</v>
      </c>
      <c r="J1018" s="7">
        <v>0</v>
      </c>
      <c r="K1018" s="7">
        <v>0</v>
      </c>
      <c r="L1018" s="7">
        <v>0</v>
      </c>
      <c r="M1018" s="7">
        <v>0</v>
      </c>
      <c r="N1018" s="7">
        <v>0</v>
      </c>
      <c r="O1018" s="7">
        <v>0</v>
      </c>
      <c r="P1018" s="7">
        <v>0</v>
      </c>
      <c r="Q1018" s="7">
        <v>0</v>
      </c>
    </row>
    <row r="1019" spans="1:17">
      <c r="A1019" s="2">
        <v>2967</v>
      </c>
      <c r="B1019" s="7">
        <v>0</v>
      </c>
      <c r="C1019" s="7">
        <v>0</v>
      </c>
      <c r="D1019" s="7">
        <v>0</v>
      </c>
      <c r="E1019" s="7">
        <v>0</v>
      </c>
      <c r="F1019" s="7">
        <v>0</v>
      </c>
      <c r="G1019" s="7">
        <v>0</v>
      </c>
      <c r="H1019" s="7">
        <v>0</v>
      </c>
      <c r="I1019" s="7">
        <v>0</v>
      </c>
      <c r="J1019" s="7">
        <v>0</v>
      </c>
      <c r="K1019" s="7">
        <v>0</v>
      </c>
      <c r="L1019" s="7">
        <v>0</v>
      </c>
      <c r="M1019" s="7">
        <v>0</v>
      </c>
      <c r="N1019" s="7">
        <v>0</v>
      </c>
      <c r="O1019" s="7">
        <v>0</v>
      </c>
      <c r="P1019" s="7">
        <v>0</v>
      </c>
      <c r="Q1019" s="7">
        <v>0</v>
      </c>
    </row>
    <row r="1020" spans="1:17">
      <c r="A1020" s="2">
        <v>2968</v>
      </c>
      <c r="B1020" s="7">
        <v>0</v>
      </c>
      <c r="C1020" s="7">
        <v>0</v>
      </c>
      <c r="D1020" s="7">
        <v>0</v>
      </c>
      <c r="E1020" s="7">
        <v>0</v>
      </c>
      <c r="F1020" s="7">
        <v>0</v>
      </c>
      <c r="G1020" s="7">
        <v>0</v>
      </c>
      <c r="H1020" s="7">
        <v>0</v>
      </c>
      <c r="I1020" s="7">
        <v>0</v>
      </c>
      <c r="J1020" s="7">
        <v>0</v>
      </c>
      <c r="K1020" s="7">
        <v>0</v>
      </c>
      <c r="L1020" s="7">
        <v>0</v>
      </c>
      <c r="M1020" s="7">
        <v>0</v>
      </c>
      <c r="N1020" s="7">
        <v>0</v>
      </c>
      <c r="O1020" s="7">
        <v>0</v>
      </c>
      <c r="P1020" s="7">
        <v>0</v>
      </c>
      <c r="Q1020" s="7">
        <v>0</v>
      </c>
    </row>
    <row r="1021" spans="1:17">
      <c r="A1021" s="2">
        <v>2969</v>
      </c>
      <c r="B1021" s="7">
        <v>0</v>
      </c>
      <c r="C1021" s="7">
        <v>0</v>
      </c>
      <c r="D1021" s="7">
        <v>0</v>
      </c>
      <c r="E1021" s="7">
        <v>0</v>
      </c>
      <c r="F1021" s="7">
        <v>0</v>
      </c>
      <c r="G1021" s="7">
        <v>0</v>
      </c>
      <c r="H1021" s="7">
        <v>0</v>
      </c>
      <c r="I1021" s="7">
        <v>0</v>
      </c>
      <c r="J1021" s="7">
        <v>0</v>
      </c>
      <c r="K1021" s="7">
        <v>0</v>
      </c>
      <c r="L1021" s="7">
        <v>0</v>
      </c>
      <c r="M1021" s="7">
        <v>0</v>
      </c>
      <c r="N1021" s="7">
        <v>0</v>
      </c>
      <c r="O1021" s="7">
        <v>0</v>
      </c>
      <c r="P1021" s="7">
        <v>0</v>
      </c>
      <c r="Q1021" s="7">
        <v>0</v>
      </c>
    </row>
    <row r="1022" spans="1:17">
      <c r="A1022" s="2">
        <v>2970</v>
      </c>
      <c r="B1022" s="7">
        <v>0</v>
      </c>
      <c r="C1022" s="7">
        <v>0</v>
      </c>
      <c r="D1022" s="7">
        <v>0</v>
      </c>
      <c r="E1022" s="7">
        <v>0</v>
      </c>
      <c r="F1022" s="7">
        <v>0</v>
      </c>
      <c r="G1022" s="7">
        <v>0</v>
      </c>
      <c r="H1022" s="7">
        <v>0</v>
      </c>
      <c r="I1022" s="7">
        <v>0</v>
      </c>
      <c r="J1022" s="7">
        <v>0</v>
      </c>
      <c r="K1022" s="7">
        <v>0</v>
      </c>
      <c r="L1022" s="7">
        <v>0</v>
      </c>
      <c r="M1022" s="7">
        <v>0</v>
      </c>
      <c r="N1022" s="7">
        <v>0</v>
      </c>
      <c r="O1022" s="7">
        <v>0</v>
      </c>
      <c r="P1022" s="7">
        <v>0</v>
      </c>
      <c r="Q1022" s="7">
        <v>0</v>
      </c>
    </row>
    <row r="1023" spans="1:17">
      <c r="A1023" s="2">
        <v>2971</v>
      </c>
      <c r="B1023" s="7">
        <v>0</v>
      </c>
      <c r="C1023" s="7">
        <v>0</v>
      </c>
      <c r="D1023" s="7">
        <v>0</v>
      </c>
      <c r="E1023" s="7">
        <v>0</v>
      </c>
      <c r="F1023" s="7">
        <v>0</v>
      </c>
      <c r="G1023" s="7">
        <v>0</v>
      </c>
      <c r="H1023" s="7">
        <v>0</v>
      </c>
      <c r="I1023" s="7">
        <v>0</v>
      </c>
      <c r="J1023" s="7">
        <v>0</v>
      </c>
      <c r="K1023" s="7">
        <v>0</v>
      </c>
      <c r="L1023" s="7">
        <v>0</v>
      </c>
      <c r="M1023" s="7">
        <v>0</v>
      </c>
      <c r="N1023" s="7">
        <v>0</v>
      </c>
      <c r="O1023" s="7">
        <v>0</v>
      </c>
      <c r="P1023" s="7">
        <v>0</v>
      </c>
      <c r="Q1023" s="7">
        <v>0</v>
      </c>
    </row>
    <row r="1024" spans="1:17">
      <c r="A1024" s="2">
        <v>2972</v>
      </c>
      <c r="B1024" s="7">
        <v>0</v>
      </c>
      <c r="C1024" s="7">
        <v>0</v>
      </c>
      <c r="D1024" s="7">
        <v>0</v>
      </c>
      <c r="E1024" s="7">
        <v>0</v>
      </c>
      <c r="F1024" s="7">
        <v>0</v>
      </c>
      <c r="G1024" s="7">
        <v>0</v>
      </c>
      <c r="H1024" s="7">
        <v>0</v>
      </c>
      <c r="I1024" s="7">
        <v>0</v>
      </c>
      <c r="J1024" s="7">
        <v>0</v>
      </c>
      <c r="K1024" s="7">
        <v>0</v>
      </c>
      <c r="L1024" s="7">
        <v>0</v>
      </c>
      <c r="M1024" s="7">
        <v>0</v>
      </c>
      <c r="N1024" s="7">
        <v>0</v>
      </c>
      <c r="O1024" s="7">
        <v>0</v>
      </c>
      <c r="P1024" s="7">
        <v>0</v>
      </c>
      <c r="Q1024" s="7">
        <v>0</v>
      </c>
    </row>
    <row r="1025" spans="1:17">
      <c r="A1025" s="2">
        <v>2973</v>
      </c>
      <c r="B1025" s="7">
        <v>0</v>
      </c>
      <c r="C1025" s="7">
        <v>0</v>
      </c>
      <c r="D1025" s="7">
        <v>0</v>
      </c>
      <c r="E1025" s="7">
        <v>0</v>
      </c>
      <c r="F1025" s="7">
        <v>0</v>
      </c>
      <c r="G1025" s="7">
        <v>0</v>
      </c>
      <c r="H1025" s="7">
        <v>0</v>
      </c>
      <c r="I1025" s="7">
        <v>0</v>
      </c>
      <c r="J1025" s="7">
        <v>0</v>
      </c>
      <c r="K1025" s="7">
        <v>0</v>
      </c>
      <c r="L1025" s="7">
        <v>0</v>
      </c>
      <c r="M1025" s="7">
        <v>0</v>
      </c>
      <c r="N1025" s="7">
        <v>0</v>
      </c>
      <c r="O1025" s="7">
        <v>0</v>
      </c>
      <c r="P1025" s="7">
        <v>0</v>
      </c>
      <c r="Q1025" s="7">
        <v>0</v>
      </c>
    </row>
    <row r="1026" spans="1:17">
      <c r="A1026" s="2">
        <v>2974</v>
      </c>
      <c r="B1026" s="7">
        <v>0</v>
      </c>
      <c r="C1026" s="7">
        <v>0</v>
      </c>
      <c r="D1026" s="7">
        <v>0</v>
      </c>
      <c r="E1026" s="7">
        <v>0</v>
      </c>
      <c r="F1026" s="7">
        <v>0</v>
      </c>
      <c r="G1026" s="7">
        <v>0</v>
      </c>
      <c r="H1026" s="7">
        <v>0</v>
      </c>
      <c r="I1026" s="7">
        <v>0</v>
      </c>
      <c r="J1026" s="7">
        <v>0</v>
      </c>
      <c r="K1026" s="7">
        <v>0</v>
      </c>
      <c r="L1026" s="7">
        <v>0</v>
      </c>
      <c r="M1026" s="7">
        <v>0</v>
      </c>
      <c r="N1026" s="7">
        <v>0</v>
      </c>
      <c r="O1026" s="7">
        <v>0</v>
      </c>
      <c r="P1026" s="7">
        <v>0</v>
      </c>
      <c r="Q1026" s="7">
        <v>0</v>
      </c>
    </row>
    <row r="1027" spans="1:17">
      <c r="A1027" s="2">
        <v>2975</v>
      </c>
      <c r="B1027" s="7">
        <v>0</v>
      </c>
      <c r="C1027" s="7">
        <v>0</v>
      </c>
      <c r="D1027" s="7">
        <v>0</v>
      </c>
      <c r="E1027" s="7">
        <v>0</v>
      </c>
      <c r="F1027" s="7">
        <v>0</v>
      </c>
      <c r="G1027" s="7">
        <v>0</v>
      </c>
      <c r="H1027" s="7">
        <v>0</v>
      </c>
      <c r="I1027" s="7">
        <v>0</v>
      </c>
      <c r="J1027" s="7">
        <v>0</v>
      </c>
      <c r="K1027" s="7">
        <v>0</v>
      </c>
      <c r="L1027" s="7">
        <v>0</v>
      </c>
      <c r="M1027" s="7">
        <v>0</v>
      </c>
      <c r="N1027" s="7">
        <v>0</v>
      </c>
      <c r="O1027" s="7">
        <v>0</v>
      </c>
      <c r="P1027" s="7">
        <v>0</v>
      </c>
      <c r="Q1027" s="7">
        <v>0</v>
      </c>
    </row>
    <row r="1028" spans="1:17">
      <c r="A1028" s="2">
        <v>2976</v>
      </c>
      <c r="B1028" s="7">
        <v>0</v>
      </c>
      <c r="C1028" s="7">
        <v>0</v>
      </c>
      <c r="D1028" s="7">
        <v>0</v>
      </c>
      <c r="E1028" s="7">
        <v>0</v>
      </c>
      <c r="F1028" s="7">
        <v>0</v>
      </c>
      <c r="G1028" s="7">
        <v>0</v>
      </c>
      <c r="H1028" s="7">
        <v>0</v>
      </c>
      <c r="I1028" s="7">
        <v>0</v>
      </c>
      <c r="J1028" s="7">
        <v>0</v>
      </c>
      <c r="K1028" s="7">
        <v>0</v>
      </c>
      <c r="L1028" s="7">
        <v>0</v>
      </c>
      <c r="M1028" s="7">
        <v>0</v>
      </c>
      <c r="N1028" s="7">
        <v>0</v>
      </c>
      <c r="O1028" s="7">
        <v>0</v>
      </c>
      <c r="P1028" s="7">
        <v>0</v>
      </c>
      <c r="Q1028" s="7">
        <v>0</v>
      </c>
    </row>
    <row r="1029" spans="1:17">
      <c r="A1029" s="2">
        <v>2977</v>
      </c>
      <c r="B1029" s="7">
        <v>0</v>
      </c>
      <c r="C1029" s="7">
        <v>0</v>
      </c>
      <c r="D1029" s="7">
        <v>0</v>
      </c>
      <c r="E1029" s="7">
        <v>0</v>
      </c>
      <c r="F1029" s="7">
        <v>0</v>
      </c>
      <c r="G1029" s="7">
        <v>0</v>
      </c>
      <c r="H1029" s="7">
        <v>0</v>
      </c>
      <c r="I1029" s="7">
        <v>0</v>
      </c>
      <c r="J1029" s="7">
        <v>0</v>
      </c>
      <c r="K1029" s="7">
        <v>0</v>
      </c>
      <c r="L1029" s="7">
        <v>0</v>
      </c>
      <c r="M1029" s="7">
        <v>0</v>
      </c>
      <c r="N1029" s="7">
        <v>0</v>
      </c>
      <c r="O1029" s="7">
        <v>0</v>
      </c>
      <c r="P1029" s="7">
        <v>0</v>
      </c>
      <c r="Q1029" s="7">
        <v>0</v>
      </c>
    </row>
    <row r="1030" spans="1:17">
      <c r="A1030" s="2">
        <v>2978</v>
      </c>
      <c r="B1030" s="7">
        <v>0</v>
      </c>
      <c r="C1030" s="7">
        <v>0</v>
      </c>
      <c r="D1030" s="7">
        <v>0</v>
      </c>
      <c r="E1030" s="7">
        <v>0</v>
      </c>
      <c r="F1030" s="7">
        <v>0</v>
      </c>
      <c r="G1030" s="7">
        <v>0</v>
      </c>
      <c r="H1030" s="7">
        <v>0</v>
      </c>
      <c r="I1030" s="7">
        <v>0</v>
      </c>
      <c r="J1030" s="7">
        <v>0</v>
      </c>
      <c r="K1030" s="7">
        <v>0</v>
      </c>
      <c r="L1030" s="7">
        <v>0</v>
      </c>
      <c r="M1030" s="7">
        <v>0</v>
      </c>
      <c r="N1030" s="7">
        <v>0</v>
      </c>
      <c r="O1030" s="7">
        <v>0</v>
      </c>
      <c r="P1030" s="7">
        <v>0</v>
      </c>
      <c r="Q1030" s="7">
        <v>0</v>
      </c>
    </row>
    <row r="1031" spans="1:17">
      <c r="A1031" s="2">
        <v>2979</v>
      </c>
      <c r="B1031" s="7">
        <v>0</v>
      </c>
      <c r="C1031" s="7">
        <v>0</v>
      </c>
      <c r="D1031" s="7">
        <v>0</v>
      </c>
      <c r="E1031" s="7">
        <v>0</v>
      </c>
      <c r="F1031" s="7">
        <v>0</v>
      </c>
      <c r="G1031" s="7">
        <v>0</v>
      </c>
      <c r="H1031" s="7">
        <v>0</v>
      </c>
      <c r="I1031" s="7">
        <v>0</v>
      </c>
      <c r="J1031" s="7">
        <v>0</v>
      </c>
      <c r="K1031" s="7">
        <v>0</v>
      </c>
      <c r="L1031" s="7">
        <v>0</v>
      </c>
      <c r="M1031" s="7">
        <v>0</v>
      </c>
      <c r="N1031" s="7">
        <v>0</v>
      </c>
      <c r="O1031" s="7">
        <v>0</v>
      </c>
      <c r="P1031" s="7">
        <v>0</v>
      </c>
      <c r="Q1031" s="7">
        <v>0</v>
      </c>
    </row>
    <row r="1032" spans="1:17">
      <c r="A1032" s="2">
        <v>2980</v>
      </c>
      <c r="B1032" s="7">
        <v>0</v>
      </c>
      <c r="C1032" s="7">
        <v>0</v>
      </c>
      <c r="D1032" s="7">
        <v>0</v>
      </c>
      <c r="E1032" s="7">
        <v>0</v>
      </c>
      <c r="F1032" s="7">
        <v>0</v>
      </c>
      <c r="G1032" s="7">
        <v>0</v>
      </c>
      <c r="H1032" s="7">
        <v>0</v>
      </c>
      <c r="I1032" s="7">
        <v>0</v>
      </c>
      <c r="J1032" s="7">
        <v>0</v>
      </c>
      <c r="K1032" s="7">
        <v>0</v>
      </c>
      <c r="L1032" s="7">
        <v>0</v>
      </c>
      <c r="M1032" s="7">
        <v>0</v>
      </c>
      <c r="N1032" s="7">
        <v>0</v>
      </c>
      <c r="O1032" s="7">
        <v>0</v>
      </c>
      <c r="P1032" s="7">
        <v>0</v>
      </c>
      <c r="Q1032" s="7">
        <v>0</v>
      </c>
    </row>
    <row r="1033" spans="1:17">
      <c r="A1033" s="2">
        <v>2981</v>
      </c>
      <c r="B1033" s="7">
        <v>0</v>
      </c>
      <c r="C1033" s="7">
        <v>0</v>
      </c>
      <c r="D1033" s="7">
        <v>0</v>
      </c>
      <c r="E1033" s="7">
        <v>0</v>
      </c>
      <c r="F1033" s="7">
        <v>0</v>
      </c>
      <c r="G1033" s="7">
        <v>0</v>
      </c>
      <c r="H1033" s="7">
        <v>0</v>
      </c>
      <c r="I1033" s="7">
        <v>0</v>
      </c>
      <c r="J1033" s="7">
        <v>0</v>
      </c>
      <c r="K1033" s="7">
        <v>0</v>
      </c>
      <c r="L1033" s="7">
        <v>0</v>
      </c>
      <c r="M1033" s="7">
        <v>0</v>
      </c>
      <c r="N1033" s="7">
        <v>0</v>
      </c>
      <c r="O1033" s="7">
        <v>0</v>
      </c>
      <c r="P1033" s="7">
        <v>0</v>
      </c>
      <c r="Q1033" s="7">
        <v>0</v>
      </c>
    </row>
    <row r="1034" spans="1:17">
      <c r="A1034" s="2">
        <v>2982</v>
      </c>
      <c r="B1034" s="7">
        <v>0</v>
      </c>
      <c r="C1034" s="7">
        <v>0</v>
      </c>
      <c r="D1034" s="7">
        <v>0</v>
      </c>
      <c r="E1034" s="7">
        <v>0</v>
      </c>
      <c r="F1034" s="7">
        <v>0</v>
      </c>
      <c r="G1034" s="7">
        <v>0</v>
      </c>
      <c r="H1034" s="7">
        <v>0</v>
      </c>
      <c r="I1034" s="7">
        <v>0</v>
      </c>
      <c r="J1034" s="7">
        <v>0</v>
      </c>
      <c r="K1034" s="7">
        <v>0</v>
      </c>
      <c r="L1034" s="7">
        <v>0</v>
      </c>
      <c r="M1034" s="7">
        <v>0</v>
      </c>
      <c r="N1034" s="7">
        <v>0</v>
      </c>
      <c r="O1034" s="7">
        <v>0</v>
      </c>
      <c r="P1034" s="7">
        <v>0</v>
      </c>
      <c r="Q1034" s="7">
        <v>0</v>
      </c>
    </row>
    <row r="1035" spans="1:17">
      <c r="A1035" s="2">
        <v>2983</v>
      </c>
      <c r="B1035" s="7">
        <v>0</v>
      </c>
      <c r="C1035" s="7">
        <v>0</v>
      </c>
      <c r="D1035" s="7">
        <v>0</v>
      </c>
      <c r="E1035" s="7">
        <v>0</v>
      </c>
      <c r="F1035" s="7">
        <v>0</v>
      </c>
      <c r="G1035" s="7">
        <v>0</v>
      </c>
      <c r="H1035" s="7">
        <v>0</v>
      </c>
      <c r="I1035" s="7">
        <v>0</v>
      </c>
      <c r="J1035" s="7">
        <v>0</v>
      </c>
      <c r="K1035" s="7">
        <v>0</v>
      </c>
      <c r="L1035" s="7">
        <v>0</v>
      </c>
      <c r="M1035" s="7">
        <v>0</v>
      </c>
      <c r="N1035" s="7">
        <v>0</v>
      </c>
      <c r="O1035" s="7">
        <v>0</v>
      </c>
      <c r="P1035" s="7">
        <v>0</v>
      </c>
      <c r="Q1035" s="7">
        <v>0</v>
      </c>
    </row>
    <row r="1036" spans="1:17">
      <c r="A1036" s="2">
        <v>2984</v>
      </c>
      <c r="B1036" s="7">
        <v>0</v>
      </c>
      <c r="C1036" s="7">
        <v>0</v>
      </c>
      <c r="D1036" s="7">
        <v>0</v>
      </c>
      <c r="E1036" s="7">
        <v>0</v>
      </c>
      <c r="F1036" s="7">
        <v>0</v>
      </c>
      <c r="G1036" s="7">
        <v>0</v>
      </c>
      <c r="H1036" s="7">
        <v>0</v>
      </c>
      <c r="I1036" s="7">
        <v>0</v>
      </c>
      <c r="J1036" s="7">
        <v>0</v>
      </c>
      <c r="K1036" s="7">
        <v>0</v>
      </c>
      <c r="L1036" s="7">
        <v>0</v>
      </c>
      <c r="M1036" s="7">
        <v>0</v>
      </c>
      <c r="N1036" s="7">
        <v>0</v>
      </c>
      <c r="O1036" s="7">
        <v>0</v>
      </c>
      <c r="P1036" s="7">
        <v>0</v>
      </c>
      <c r="Q1036" s="7">
        <v>0</v>
      </c>
    </row>
    <row r="1037" spans="1:17">
      <c r="A1037" s="2">
        <v>2985</v>
      </c>
      <c r="B1037" s="7">
        <v>0</v>
      </c>
      <c r="C1037" s="7">
        <v>0</v>
      </c>
      <c r="D1037" s="7">
        <v>0</v>
      </c>
      <c r="E1037" s="7">
        <v>0</v>
      </c>
      <c r="F1037" s="7">
        <v>0</v>
      </c>
      <c r="G1037" s="7">
        <v>0</v>
      </c>
      <c r="H1037" s="7">
        <v>0</v>
      </c>
      <c r="I1037" s="7">
        <v>0</v>
      </c>
      <c r="J1037" s="7">
        <v>0</v>
      </c>
      <c r="K1037" s="7">
        <v>0</v>
      </c>
      <c r="L1037" s="7">
        <v>0</v>
      </c>
      <c r="M1037" s="7">
        <v>0</v>
      </c>
      <c r="N1037" s="7">
        <v>0</v>
      </c>
      <c r="O1037" s="7">
        <v>0</v>
      </c>
      <c r="P1037" s="7">
        <v>0</v>
      </c>
      <c r="Q1037" s="7">
        <v>0</v>
      </c>
    </row>
    <row r="1038" spans="1:17">
      <c r="A1038" s="2">
        <v>2986</v>
      </c>
      <c r="B1038" s="7">
        <v>0</v>
      </c>
      <c r="C1038" s="7">
        <v>0</v>
      </c>
      <c r="D1038" s="7">
        <v>0</v>
      </c>
      <c r="E1038" s="7">
        <v>0</v>
      </c>
      <c r="F1038" s="7">
        <v>0</v>
      </c>
      <c r="G1038" s="7">
        <v>0</v>
      </c>
      <c r="H1038" s="7">
        <v>0</v>
      </c>
      <c r="I1038" s="7">
        <v>0</v>
      </c>
      <c r="J1038" s="7">
        <v>0</v>
      </c>
      <c r="K1038" s="7">
        <v>0</v>
      </c>
      <c r="L1038" s="7">
        <v>0</v>
      </c>
      <c r="M1038" s="7">
        <v>0</v>
      </c>
      <c r="N1038" s="7">
        <v>0</v>
      </c>
      <c r="O1038" s="7">
        <v>0</v>
      </c>
      <c r="P1038" s="7">
        <v>0</v>
      </c>
      <c r="Q1038" s="7">
        <v>0</v>
      </c>
    </row>
    <row r="1039" spans="1:17">
      <c r="A1039" s="2">
        <v>2987</v>
      </c>
      <c r="B1039" s="7">
        <v>0</v>
      </c>
      <c r="C1039" s="7">
        <v>0</v>
      </c>
      <c r="D1039" s="7">
        <v>0</v>
      </c>
      <c r="E1039" s="7">
        <v>0</v>
      </c>
      <c r="F1039" s="7">
        <v>0</v>
      </c>
      <c r="G1039" s="7">
        <v>0</v>
      </c>
      <c r="H1039" s="7">
        <v>0</v>
      </c>
      <c r="I1039" s="7">
        <v>0</v>
      </c>
      <c r="J1039" s="7">
        <v>0</v>
      </c>
      <c r="K1039" s="7">
        <v>0</v>
      </c>
      <c r="L1039" s="7">
        <v>0</v>
      </c>
      <c r="M1039" s="7">
        <v>0</v>
      </c>
      <c r="N1039" s="7">
        <v>0</v>
      </c>
      <c r="O1039" s="7">
        <v>0</v>
      </c>
      <c r="P1039" s="7">
        <v>0</v>
      </c>
      <c r="Q1039" s="7">
        <v>0</v>
      </c>
    </row>
    <row r="1040" spans="1:17">
      <c r="A1040" s="2">
        <v>2988</v>
      </c>
      <c r="B1040" s="7">
        <v>0</v>
      </c>
      <c r="C1040" s="7">
        <v>0</v>
      </c>
      <c r="D1040" s="7">
        <v>0</v>
      </c>
      <c r="E1040" s="7">
        <v>0</v>
      </c>
      <c r="F1040" s="7">
        <v>0</v>
      </c>
      <c r="G1040" s="7">
        <v>0</v>
      </c>
      <c r="H1040" s="7">
        <v>0</v>
      </c>
      <c r="I1040" s="7">
        <v>0</v>
      </c>
      <c r="J1040" s="7">
        <v>0</v>
      </c>
      <c r="K1040" s="7">
        <v>0</v>
      </c>
      <c r="L1040" s="7">
        <v>0</v>
      </c>
      <c r="M1040" s="7">
        <v>0</v>
      </c>
      <c r="N1040" s="7">
        <v>0</v>
      </c>
      <c r="O1040" s="7">
        <v>0</v>
      </c>
      <c r="P1040" s="7">
        <v>0</v>
      </c>
      <c r="Q1040" s="7">
        <v>0</v>
      </c>
    </row>
    <row r="1041" spans="1:17">
      <c r="A1041" s="2">
        <v>2989</v>
      </c>
      <c r="B1041" s="7">
        <v>0</v>
      </c>
      <c r="C1041" s="7">
        <v>0</v>
      </c>
      <c r="D1041" s="7">
        <v>0</v>
      </c>
      <c r="E1041" s="7">
        <v>0</v>
      </c>
      <c r="F1041" s="7">
        <v>0</v>
      </c>
      <c r="G1041" s="7">
        <v>0</v>
      </c>
      <c r="H1041" s="7">
        <v>0</v>
      </c>
      <c r="I1041" s="7">
        <v>0</v>
      </c>
      <c r="J1041" s="7">
        <v>0</v>
      </c>
      <c r="K1041" s="7">
        <v>0</v>
      </c>
      <c r="L1041" s="7">
        <v>0</v>
      </c>
      <c r="M1041" s="7">
        <v>0</v>
      </c>
      <c r="N1041" s="7">
        <v>0</v>
      </c>
      <c r="O1041" s="7">
        <v>0</v>
      </c>
      <c r="P1041" s="7">
        <v>0</v>
      </c>
      <c r="Q1041" s="7">
        <v>0</v>
      </c>
    </row>
    <row r="1042" spans="1:17">
      <c r="A1042" s="2">
        <v>2990</v>
      </c>
      <c r="B1042" s="7">
        <v>0</v>
      </c>
      <c r="C1042" s="7">
        <v>0</v>
      </c>
      <c r="D1042" s="7">
        <v>0</v>
      </c>
      <c r="E1042" s="7">
        <v>0</v>
      </c>
      <c r="F1042" s="7">
        <v>0</v>
      </c>
      <c r="G1042" s="7">
        <v>0</v>
      </c>
      <c r="H1042" s="7">
        <v>0</v>
      </c>
      <c r="I1042" s="7">
        <v>0</v>
      </c>
      <c r="J1042" s="7">
        <v>0</v>
      </c>
      <c r="K1042" s="7">
        <v>0</v>
      </c>
      <c r="L1042" s="7">
        <v>0</v>
      </c>
      <c r="M1042" s="7">
        <v>0</v>
      </c>
      <c r="N1042" s="7">
        <v>0</v>
      </c>
      <c r="O1042" s="7">
        <v>0</v>
      </c>
      <c r="P1042" s="7">
        <v>0</v>
      </c>
      <c r="Q1042" s="7">
        <v>0</v>
      </c>
    </row>
    <row r="1043" spans="1:17">
      <c r="A1043" s="2">
        <v>2991</v>
      </c>
      <c r="B1043" s="7">
        <v>0</v>
      </c>
      <c r="C1043" s="7">
        <v>0</v>
      </c>
      <c r="D1043" s="7">
        <v>0</v>
      </c>
      <c r="E1043" s="7">
        <v>0</v>
      </c>
      <c r="F1043" s="7">
        <v>0</v>
      </c>
      <c r="G1043" s="7">
        <v>0</v>
      </c>
      <c r="H1043" s="7">
        <v>0</v>
      </c>
      <c r="I1043" s="7">
        <v>0</v>
      </c>
      <c r="J1043" s="7">
        <v>0</v>
      </c>
      <c r="K1043" s="7">
        <v>0</v>
      </c>
      <c r="L1043" s="7">
        <v>0</v>
      </c>
      <c r="M1043" s="7">
        <v>0</v>
      </c>
      <c r="N1043" s="7">
        <v>0</v>
      </c>
      <c r="O1043" s="7">
        <v>0</v>
      </c>
      <c r="P1043" s="7">
        <v>0</v>
      </c>
      <c r="Q1043" s="7">
        <v>0</v>
      </c>
    </row>
    <row r="1044" spans="1:17">
      <c r="A1044" s="2">
        <v>2992</v>
      </c>
      <c r="B1044" s="7">
        <v>0</v>
      </c>
      <c r="C1044" s="7">
        <v>0</v>
      </c>
      <c r="D1044" s="7">
        <v>0</v>
      </c>
      <c r="E1044" s="7">
        <v>0</v>
      </c>
      <c r="F1044" s="7">
        <v>0</v>
      </c>
      <c r="G1044" s="7">
        <v>0</v>
      </c>
      <c r="H1044" s="7">
        <v>0</v>
      </c>
      <c r="I1044" s="7">
        <v>0</v>
      </c>
      <c r="J1044" s="7">
        <v>0</v>
      </c>
      <c r="K1044" s="7">
        <v>0</v>
      </c>
      <c r="L1044" s="7">
        <v>0</v>
      </c>
      <c r="M1044" s="7">
        <v>0</v>
      </c>
      <c r="N1044" s="7">
        <v>0</v>
      </c>
      <c r="O1044" s="7">
        <v>0</v>
      </c>
      <c r="P1044" s="7">
        <v>0</v>
      </c>
      <c r="Q1044" s="7">
        <v>0</v>
      </c>
    </row>
    <row r="1045" spans="1:17">
      <c r="A1045" s="2">
        <v>2993</v>
      </c>
      <c r="B1045" s="7">
        <v>0</v>
      </c>
      <c r="C1045" s="7">
        <v>0</v>
      </c>
      <c r="D1045" s="7">
        <v>0</v>
      </c>
      <c r="E1045" s="7">
        <v>0</v>
      </c>
      <c r="F1045" s="7">
        <v>0</v>
      </c>
      <c r="G1045" s="7">
        <v>0</v>
      </c>
      <c r="H1045" s="7">
        <v>0</v>
      </c>
      <c r="I1045" s="7">
        <v>0</v>
      </c>
      <c r="J1045" s="7">
        <v>0</v>
      </c>
      <c r="K1045" s="7">
        <v>0</v>
      </c>
      <c r="L1045" s="7">
        <v>0</v>
      </c>
      <c r="M1045" s="7">
        <v>0</v>
      </c>
      <c r="N1045" s="7">
        <v>0</v>
      </c>
      <c r="O1045" s="7">
        <v>0</v>
      </c>
      <c r="P1045" s="7">
        <v>0</v>
      </c>
      <c r="Q1045" s="7">
        <v>0</v>
      </c>
    </row>
    <row r="1046" spans="1:17">
      <c r="A1046" s="2">
        <v>2994</v>
      </c>
      <c r="B1046" s="7">
        <v>0</v>
      </c>
      <c r="C1046" s="7">
        <v>0</v>
      </c>
      <c r="D1046" s="7">
        <v>0</v>
      </c>
      <c r="E1046" s="7">
        <v>0</v>
      </c>
      <c r="F1046" s="7">
        <v>0</v>
      </c>
      <c r="G1046" s="7">
        <v>0</v>
      </c>
      <c r="H1046" s="7">
        <v>0</v>
      </c>
      <c r="I1046" s="7">
        <v>0</v>
      </c>
      <c r="J1046" s="7">
        <v>0</v>
      </c>
      <c r="K1046" s="7">
        <v>0</v>
      </c>
      <c r="L1046" s="7">
        <v>0</v>
      </c>
      <c r="M1046" s="7">
        <v>0</v>
      </c>
      <c r="N1046" s="7">
        <v>0</v>
      </c>
      <c r="O1046" s="7">
        <v>0</v>
      </c>
      <c r="P1046" s="7">
        <v>0</v>
      </c>
      <c r="Q1046" s="7">
        <v>0</v>
      </c>
    </row>
    <row r="1047" spans="1:17">
      <c r="A1047" s="2">
        <v>2995</v>
      </c>
      <c r="B1047" s="7">
        <v>0</v>
      </c>
      <c r="C1047" s="7">
        <v>0</v>
      </c>
      <c r="D1047" s="7">
        <v>0</v>
      </c>
      <c r="E1047" s="7">
        <v>0</v>
      </c>
      <c r="F1047" s="7">
        <v>0</v>
      </c>
      <c r="G1047" s="7">
        <v>0</v>
      </c>
      <c r="H1047" s="7">
        <v>0</v>
      </c>
      <c r="I1047" s="7">
        <v>0</v>
      </c>
      <c r="J1047" s="7">
        <v>0</v>
      </c>
      <c r="K1047" s="7">
        <v>0</v>
      </c>
      <c r="L1047" s="7">
        <v>0</v>
      </c>
      <c r="M1047" s="7">
        <v>0</v>
      </c>
      <c r="N1047" s="7">
        <v>0</v>
      </c>
      <c r="O1047" s="7">
        <v>0</v>
      </c>
      <c r="P1047" s="7">
        <v>0</v>
      </c>
      <c r="Q1047" s="7">
        <v>0</v>
      </c>
    </row>
    <row r="1048" spans="1:17">
      <c r="A1048" s="2">
        <v>2996</v>
      </c>
      <c r="B1048" s="7">
        <v>0</v>
      </c>
      <c r="C1048" s="7">
        <v>0</v>
      </c>
      <c r="D1048" s="7">
        <v>0</v>
      </c>
      <c r="E1048" s="7">
        <v>0</v>
      </c>
      <c r="F1048" s="7">
        <v>0</v>
      </c>
      <c r="G1048" s="7">
        <v>0</v>
      </c>
      <c r="H1048" s="7">
        <v>0</v>
      </c>
      <c r="I1048" s="7">
        <v>0</v>
      </c>
      <c r="J1048" s="7">
        <v>0</v>
      </c>
      <c r="K1048" s="7">
        <v>0</v>
      </c>
      <c r="L1048" s="7">
        <v>0</v>
      </c>
      <c r="M1048" s="7">
        <v>0</v>
      </c>
      <c r="N1048" s="7">
        <v>0</v>
      </c>
      <c r="O1048" s="7">
        <v>0</v>
      </c>
      <c r="P1048" s="7">
        <v>0</v>
      </c>
      <c r="Q1048" s="7">
        <v>0</v>
      </c>
    </row>
    <row r="1049" spans="1:17">
      <c r="A1049" s="2">
        <v>2997</v>
      </c>
      <c r="B1049" s="7">
        <v>0</v>
      </c>
      <c r="C1049" s="7">
        <v>0</v>
      </c>
      <c r="D1049" s="7">
        <v>0</v>
      </c>
      <c r="E1049" s="7">
        <v>0</v>
      </c>
      <c r="F1049" s="7">
        <v>0</v>
      </c>
      <c r="G1049" s="7">
        <v>0</v>
      </c>
      <c r="H1049" s="7">
        <v>0</v>
      </c>
      <c r="I1049" s="7">
        <v>0</v>
      </c>
      <c r="J1049" s="7">
        <v>0</v>
      </c>
      <c r="K1049" s="7">
        <v>0</v>
      </c>
      <c r="L1049" s="7">
        <v>0</v>
      </c>
      <c r="M1049" s="7">
        <v>0</v>
      </c>
      <c r="N1049" s="7">
        <v>0</v>
      </c>
      <c r="O1049" s="7">
        <v>0</v>
      </c>
      <c r="P1049" s="7">
        <v>0</v>
      </c>
      <c r="Q1049" s="7">
        <v>0</v>
      </c>
    </row>
    <row r="1050" spans="1:17">
      <c r="A1050" s="2">
        <v>2998</v>
      </c>
      <c r="B1050" s="7">
        <v>0</v>
      </c>
      <c r="C1050" s="7">
        <v>0</v>
      </c>
      <c r="D1050" s="7">
        <v>0</v>
      </c>
      <c r="E1050" s="7">
        <v>0</v>
      </c>
      <c r="F1050" s="7">
        <v>0</v>
      </c>
      <c r="G1050" s="7">
        <v>0</v>
      </c>
      <c r="H1050" s="7">
        <v>0</v>
      </c>
      <c r="I1050" s="7">
        <v>0</v>
      </c>
      <c r="J1050" s="7">
        <v>0</v>
      </c>
      <c r="K1050" s="7">
        <v>0</v>
      </c>
      <c r="L1050" s="7">
        <v>0</v>
      </c>
      <c r="M1050" s="7">
        <v>0</v>
      </c>
      <c r="N1050" s="7">
        <v>0</v>
      </c>
      <c r="O1050" s="7">
        <v>0</v>
      </c>
      <c r="P1050" s="7">
        <v>0</v>
      </c>
      <c r="Q1050" s="7">
        <v>0</v>
      </c>
    </row>
    <row r="1051" spans="1:17">
      <c r="A1051" s="2">
        <v>2999</v>
      </c>
      <c r="B1051" s="7">
        <v>0</v>
      </c>
      <c r="C1051" s="7">
        <v>0</v>
      </c>
      <c r="D1051" s="7">
        <v>0</v>
      </c>
      <c r="E1051" s="7">
        <v>0</v>
      </c>
      <c r="F1051" s="7">
        <v>0</v>
      </c>
      <c r="G1051" s="7">
        <v>0</v>
      </c>
      <c r="H1051" s="7">
        <v>0</v>
      </c>
      <c r="I1051" s="7">
        <v>0</v>
      </c>
      <c r="J1051" s="7">
        <v>0</v>
      </c>
      <c r="K1051" s="7">
        <v>0</v>
      </c>
      <c r="L1051" s="7">
        <v>0</v>
      </c>
      <c r="M1051" s="7">
        <v>0</v>
      </c>
      <c r="N1051" s="7">
        <v>0</v>
      </c>
      <c r="O1051" s="7">
        <v>0</v>
      </c>
      <c r="P1051" s="7">
        <v>0</v>
      </c>
      <c r="Q1051" s="7">
        <v>0</v>
      </c>
    </row>
    <row r="1052" spans="1:17">
      <c r="A1052" s="2">
        <v>3000</v>
      </c>
      <c r="B1052" s="7">
        <v>0</v>
      </c>
      <c r="C1052" s="7">
        <v>0</v>
      </c>
      <c r="D1052" s="7">
        <v>0</v>
      </c>
      <c r="E1052" s="7">
        <v>0</v>
      </c>
      <c r="F1052" s="7">
        <v>0</v>
      </c>
      <c r="G1052" s="7">
        <v>0</v>
      </c>
      <c r="H1052" s="7">
        <v>0</v>
      </c>
      <c r="I1052" s="7">
        <v>0</v>
      </c>
      <c r="J1052" s="7">
        <v>0</v>
      </c>
      <c r="K1052" s="7">
        <v>0</v>
      </c>
      <c r="L1052" s="7">
        <v>0</v>
      </c>
      <c r="M1052" s="7">
        <v>0</v>
      </c>
      <c r="N1052" s="7">
        <v>0</v>
      </c>
      <c r="O1052" s="7">
        <v>0</v>
      </c>
      <c r="P1052" s="7">
        <v>0</v>
      </c>
      <c r="Q1052" s="7">
        <v>0</v>
      </c>
    </row>
  </sheetData>
  <phoneticPr fontId="2" type="noConversion"/>
  <pageMargins left="0.78740157499999996" right="0.78740157499999996" top="0.984251969" bottom="0.984251969" header="0.4921259845" footer="0.492125984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>
  <sheetPr codeName="Tabelle7"/>
  <dimension ref="A1:Q1052"/>
  <sheetViews>
    <sheetView workbookViewId="0">
      <pane xSplit="1" ySplit="1" topLeftCell="B78" activePane="bottomRight" state="frozen"/>
      <selection pane="topRight" activeCell="B1" sqref="B1"/>
      <selection pane="bottomLeft" activeCell="A2" sqref="A2"/>
      <selection pane="bottomRight" activeCell="B127" sqref="B127:Q127"/>
    </sheetView>
  </sheetViews>
  <sheetFormatPr defaultColWidth="11.42578125" defaultRowHeight="12.75"/>
  <cols>
    <col min="1" max="1" width="5.140625" style="2" customWidth="1"/>
    <col min="2" max="17" width="12" style="2" bestFit="1" customWidth="1"/>
    <col min="18" max="16384" width="11.42578125" style="2"/>
  </cols>
  <sheetData>
    <row r="1" spans="1:17" s="1" customFormat="1">
      <c r="A1" s="1" t="s">
        <v>4</v>
      </c>
      <c r="B1" s="1" t="s">
        <v>2</v>
      </c>
      <c r="C1" s="1" t="s">
        <v>3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</row>
    <row r="2" spans="1:17">
      <c r="A2" s="3">
        <v>1950</v>
      </c>
      <c r="B2" s="7">
        <v>1.0369999999999999</v>
      </c>
      <c r="C2" s="7">
        <v>1.5569999999999999</v>
      </c>
      <c r="D2" s="7">
        <v>-8.8999999999999996E-2</v>
      </c>
      <c r="E2" s="7">
        <v>-2.0209999999999999</v>
      </c>
      <c r="F2" s="7">
        <v>0.17100000000000001</v>
      </c>
      <c r="G2" s="7">
        <v>-1.2549999999999999</v>
      </c>
      <c r="H2" s="7">
        <v>-1.5629999999999999</v>
      </c>
      <c r="I2" s="7">
        <v>-3.548</v>
      </c>
      <c r="J2" s="7">
        <v>-0.42299999999999999</v>
      </c>
      <c r="K2" s="7">
        <v>9.5000000000000001E-2</v>
      </c>
      <c r="L2" s="7">
        <v>-1.52</v>
      </c>
      <c r="M2" s="7">
        <v>-2.1539999999999999</v>
      </c>
      <c r="N2" s="7">
        <v>-9.3520000000000003</v>
      </c>
      <c r="O2" s="7">
        <v>0.70199999999999996</v>
      </c>
      <c r="P2" s="7">
        <v>-1.1850000000000001</v>
      </c>
      <c r="Q2" s="7">
        <v>-2.04</v>
      </c>
    </row>
    <row r="3" spans="1:17">
      <c r="A3" s="2">
        <v>1951</v>
      </c>
      <c r="B3" s="7">
        <v>1.0369999999999999</v>
      </c>
      <c r="C3" s="7">
        <v>1.5569999999999999</v>
      </c>
      <c r="D3" s="7">
        <v>-8.8999999999999996E-2</v>
      </c>
      <c r="E3" s="7">
        <v>-2.0209999999999999</v>
      </c>
      <c r="F3" s="7">
        <v>0.17100000000000001</v>
      </c>
      <c r="G3" s="7">
        <v>-1.2549999999999999</v>
      </c>
      <c r="H3" s="7">
        <v>-1.5629999999999999</v>
      </c>
      <c r="I3" s="7">
        <v>-3.548</v>
      </c>
      <c r="J3" s="7">
        <v>-0.42299999999999999</v>
      </c>
      <c r="K3" s="7">
        <v>9.5000000000000001E-2</v>
      </c>
      <c r="L3" s="7">
        <v>-1.52</v>
      </c>
      <c r="M3" s="7">
        <v>-2.1539999999999999</v>
      </c>
      <c r="N3" s="7">
        <v>-9.3520000000000003</v>
      </c>
      <c r="O3" s="7">
        <v>0.70199999999999996</v>
      </c>
      <c r="P3" s="7">
        <v>-1.1850000000000001</v>
      </c>
      <c r="Q3" s="7">
        <v>-2.04</v>
      </c>
    </row>
    <row r="4" spans="1:17">
      <c r="A4" s="2">
        <v>1952</v>
      </c>
      <c r="B4" s="7">
        <v>1.0369999999999999</v>
      </c>
      <c r="C4" s="7">
        <v>1.5569999999999999</v>
      </c>
      <c r="D4" s="7">
        <v>-8.8999999999999996E-2</v>
      </c>
      <c r="E4" s="7">
        <v>-2.0209999999999999</v>
      </c>
      <c r="F4" s="7">
        <v>0.17100000000000001</v>
      </c>
      <c r="G4" s="7">
        <v>-1.2549999999999999</v>
      </c>
      <c r="H4" s="7">
        <v>-1.5629999999999999</v>
      </c>
      <c r="I4" s="7">
        <v>-3.548</v>
      </c>
      <c r="J4" s="7">
        <v>-0.42299999999999999</v>
      </c>
      <c r="K4" s="7">
        <v>9.5000000000000001E-2</v>
      </c>
      <c r="L4" s="7">
        <v>-1.52</v>
      </c>
      <c r="M4" s="7">
        <v>-2.1539999999999999</v>
      </c>
      <c r="N4" s="7">
        <v>-9.3520000000000003</v>
      </c>
      <c r="O4" s="7">
        <v>0.70199999999999996</v>
      </c>
      <c r="P4" s="7">
        <v>-1.1850000000000001</v>
      </c>
      <c r="Q4" s="7">
        <v>-2.04</v>
      </c>
    </row>
    <row r="5" spans="1:17">
      <c r="A5" s="2">
        <v>1953</v>
      </c>
      <c r="B5" s="7">
        <v>1.0369999999999999</v>
      </c>
      <c r="C5" s="7">
        <v>1.5569999999999999</v>
      </c>
      <c r="D5" s="7">
        <v>-8.8999999999999996E-2</v>
      </c>
      <c r="E5" s="7">
        <v>-2.0209999999999999</v>
      </c>
      <c r="F5" s="7">
        <v>0.17100000000000001</v>
      </c>
      <c r="G5" s="7">
        <v>-1.2549999999999999</v>
      </c>
      <c r="H5" s="7">
        <v>-1.5629999999999999</v>
      </c>
      <c r="I5" s="7">
        <v>-3.548</v>
      </c>
      <c r="J5" s="7">
        <v>-0.42299999999999999</v>
      </c>
      <c r="K5" s="7">
        <v>9.5000000000000001E-2</v>
      </c>
      <c r="L5" s="7">
        <v>-1.52</v>
      </c>
      <c r="M5" s="7">
        <v>-2.1539999999999999</v>
      </c>
      <c r="N5" s="7">
        <v>-9.3520000000000003</v>
      </c>
      <c r="O5" s="7">
        <v>0.70199999999999996</v>
      </c>
      <c r="P5" s="7">
        <v>-1.1850000000000001</v>
      </c>
      <c r="Q5" s="7">
        <v>-2.04</v>
      </c>
    </row>
    <row r="6" spans="1:17">
      <c r="A6" s="2">
        <v>1954</v>
      </c>
      <c r="B6" s="7">
        <v>1.0369999999999999</v>
      </c>
      <c r="C6" s="7">
        <v>1.5569999999999999</v>
      </c>
      <c r="D6" s="7">
        <v>-8.8999999999999996E-2</v>
      </c>
      <c r="E6" s="7">
        <v>-2.0209999999999999</v>
      </c>
      <c r="F6" s="7">
        <v>0.17100000000000001</v>
      </c>
      <c r="G6" s="7">
        <v>-1.2549999999999999</v>
      </c>
      <c r="H6" s="7">
        <v>-1.5629999999999999</v>
      </c>
      <c r="I6" s="7">
        <v>-3.548</v>
      </c>
      <c r="J6" s="7">
        <v>-0.42299999999999999</v>
      </c>
      <c r="K6" s="7">
        <v>9.5000000000000001E-2</v>
      </c>
      <c r="L6" s="7">
        <v>-1.52</v>
      </c>
      <c r="M6" s="7">
        <v>-2.1539999999999999</v>
      </c>
      <c r="N6" s="7">
        <v>-9.3520000000000003</v>
      </c>
      <c r="O6" s="7">
        <v>0.70199999999999996</v>
      </c>
      <c r="P6" s="7">
        <v>-1.1850000000000001</v>
      </c>
      <c r="Q6" s="7">
        <v>-2.04</v>
      </c>
    </row>
    <row r="7" spans="1:17">
      <c r="A7" s="2">
        <v>1955</v>
      </c>
      <c r="B7" s="7">
        <v>1.0369999999999999</v>
      </c>
      <c r="C7" s="7">
        <v>1.5569999999999999</v>
      </c>
      <c r="D7" s="7">
        <v>-8.8999999999999996E-2</v>
      </c>
      <c r="E7" s="7">
        <v>-2.0209999999999999</v>
      </c>
      <c r="F7" s="7">
        <v>0.17100000000000001</v>
      </c>
      <c r="G7" s="7">
        <v>-1.2549999999999999</v>
      </c>
      <c r="H7" s="7">
        <v>-1.5629999999999999</v>
      </c>
      <c r="I7" s="7">
        <v>-3.548</v>
      </c>
      <c r="J7" s="7">
        <v>-0.42299999999999999</v>
      </c>
      <c r="K7" s="7">
        <v>9.5000000000000001E-2</v>
      </c>
      <c r="L7" s="7">
        <v>-1.52</v>
      </c>
      <c r="M7" s="7">
        <v>-2.1539999999999999</v>
      </c>
      <c r="N7" s="7">
        <v>-9.3520000000000003</v>
      </c>
      <c r="O7" s="7">
        <v>0.70199999999999996</v>
      </c>
      <c r="P7" s="7">
        <v>-1.1850000000000001</v>
      </c>
      <c r="Q7" s="7">
        <v>-2.04</v>
      </c>
    </row>
    <row r="8" spans="1:17">
      <c r="A8" s="2">
        <v>1956</v>
      </c>
      <c r="B8" s="7">
        <v>1.0369999999999999</v>
      </c>
      <c r="C8" s="7">
        <v>1.5569999999999999</v>
      </c>
      <c r="D8" s="7">
        <v>-8.8999999999999996E-2</v>
      </c>
      <c r="E8" s="7">
        <v>-2.0209999999999999</v>
      </c>
      <c r="F8" s="7">
        <v>0.17100000000000001</v>
      </c>
      <c r="G8" s="7">
        <v>-1.2549999999999999</v>
      </c>
      <c r="H8" s="7">
        <v>-1.5629999999999999</v>
      </c>
      <c r="I8" s="7">
        <v>-3.548</v>
      </c>
      <c r="J8" s="7">
        <v>-0.42299999999999999</v>
      </c>
      <c r="K8" s="7">
        <v>9.5000000000000001E-2</v>
      </c>
      <c r="L8" s="7">
        <v>-1.52</v>
      </c>
      <c r="M8" s="7">
        <v>-2.1539999999999999</v>
      </c>
      <c r="N8" s="7">
        <v>-9.3520000000000003</v>
      </c>
      <c r="O8" s="7">
        <v>0.70199999999999996</v>
      </c>
      <c r="P8" s="7">
        <v>-1.1850000000000001</v>
      </c>
      <c r="Q8" s="7">
        <v>-2.04</v>
      </c>
    </row>
    <row r="9" spans="1:17">
      <c r="A9" s="2">
        <v>1957</v>
      </c>
      <c r="B9" s="7">
        <v>1.0369999999999999</v>
      </c>
      <c r="C9" s="7">
        <v>1.5569999999999999</v>
      </c>
      <c r="D9" s="7">
        <v>-8.8999999999999996E-2</v>
      </c>
      <c r="E9" s="7">
        <v>-2.0209999999999999</v>
      </c>
      <c r="F9" s="7">
        <v>0.17100000000000001</v>
      </c>
      <c r="G9" s="7">
        <v>-1.2549999999999999</v>
      </c>
      <c r="H9" s="7">
        <v>-1.5629999999999999</v>
      </c>
      <c r="I9" s="7">
        <v>-3.548</v>
      </c>
      <c r="J9" s="7">
        <v>-0.42299999999999999</v>
      </c>
      <c r="K9" s="7">
        <v>9.5000000000000001E-2</v>
      </c>
      <c r="L9" s="7">
        <v>-1.52</v>
      </c>
      <c r="M9" s="7">
        <v>-2.1539999999999999</v>
      </c>
      <c r="N9" s="7">
        <v>-9.3520000000000003</v>
      </c>
      <c r="O9" s="7">
        <v>0.70199999999999996</v>
      </c>
      <c r="P9" s="7">
        <v>-1.1850000000000001</v>
      </c>
      <c r="Q9" s="7">
        <v>-2.04</v>
      </c>
    </row>
    <row r="10" spans="1:17">
      <c r="A10" s="2">
        <v>1958</v>
      </c>
      <c r="B10" s="7">
        <v>1.0369999999999999</v>
      </c>
      <c r="C10" s="7">
        <v>1.5569999999999999</v>
      </c>
      <c r="D10" s="7">
        <v>-8.8999999999999996E-2</v>
      </c>
      <c r="E10" s="7">
        <v>-2.0209999999999999</v>
      </c>
      <c r="F10" s="7">
        <v>0.17100000000000001</v>
      </c>
      <c r="G10" s="7">
        <v>-1.2549999999999999</v>
      </c>
      <c r="H10" s="7">
        <v>-1.5629999999999999</v>
      </c>
      <c r="I10" s="7">
        <v>-3.548</v>
      </c>
      <c r="J10" s="7">
        <v>-0.42299999999999999</v>
      </c>
      <c r="K10" s="7">
        <v>9.5000000000000001E-2</v>
      </c>
      <c r="L10" s="7">
        <v>-1.52</v>
      </c>
      <c r="M10" s="7">
        <v>-2.1539999999999999</v>
      </c>
      <c r="N10" s="7">
        <v>-9.3520000000000003</v>
      </c>
      <c r="O10" s="7">
        <v>0.70199999999999996</v>
      </c>
      <c r="P10" s="7">
        <v>-1.1850000000000001</v>
      </c>
      <c r="Q10" s="7">
        <v>-2.04</v>
      </c>
    </row>
    <row r="11" spans="1:17">
      <c r="A11" s="2">
        <v>1959</v>
      </c>
      <c r="B11" s="7">
        <v>1.0369999999999999</v>
      </c>
      <c r="C11" s="7">
        <v>1.5569999999999999</v>
      </c>
      <c r="D11" s="7">
        <v>-8.8999999999999996E-2</v>
      </c>
      <c r="E11" s="7">
        <v>-2.0209999999999999</v>
      </c>
      <c r="F11" s="7">
        <v>0.17100000000000001</v>
      </c>
      <c r="G11" s="7">
        <v>-1.2549999999999999</v>
      </c>
      <c r="H11" s="7">
        <v>-1.5629999999999999</v>
      </c>
      <c r="I11" s="7">
        <v>-3.548</v>
      </c>
      <c r="J11" s="7">
        <v>-0.42299999999999999</v>
      </c>
      <c r="K11" s="7">
        <v>9.5000000000000001E-2</v>
      </c>
      <c r="L11" s="7">
        <v>-1.52</v>
      </c>
      <c r="M11" s="7">
        <v>-2.1539999999999999</v>
      </c>
      <c r="N11" s="7">
        <v>-9.3520000000000003</v>
      </c>
      <c r="O11" s="7">
        <v>0.70199999999999996</v>
      </c>
      <c r="P11" s="7">
        <v>-1.1850000000000001</v>
      </c>
      <c r="Q11" s="7">
        <v>-2.04</v>
      </c>
    </row>
    <row r="12" spans="1:17">
      <c r="A12" s="2">
        <v>1960</v>
      </c>
      <c r="B12" s="7">
        <v>-0.315</v>
      </c>
      <c r="C12" s="7">
        <v>-0.39900000000000002</v>
      </c>
      <c r="D12" s="7">
        <v>-8.0000000000000002E-3</v>
      </c>
      <c r="E12" s="7">
        <v>-3.7250000000000001</v>
      </c>
      <c r="F12" s="7">
        <v>0.39700000000000002</v>
      </c>
      <c r="G12" s="7">
        <v>-0.755</v>
      </c>
      <c r="H12" s="7">
        <v>-0.314</v>
      </c>
      <c r="I12" s="7">
        <v>-3.004</v>
      </c>
      <c r="J12" s="7">
        <v>0.64</v>
      </c>
      <c r="K12" s="7">
        <v>0.36499999999999999</v>
      </c>
      <c r="L12" s="7">
        <v>-0.85299999999999998</v>
      </c>
      <c r="M12" s="7">
        <v>-2.5219999999999998</v>
      </c>
      <c r="N12" s="7">
        <v>2.899</v>
      </c>
      <c r="O12" s="7">
        <v>-2.1589999999999998</v>
      </c>
      <c r="P12" s="7">
        <v>-1.51</v>
      </c>
      <c r="Q12" s="7">
        <v>-1.62</v>
      </c>
    </row>
    <row r="13" spans="1:17">
      <c r="A13" s="2">
        <v>1961</v>
      </c>
      <c r="B13" s="7">
        <v>-0.315</v>
      </c>
      <c r="C13" s="7">
        <v>-0.39900000000000002</v>
      </c>
      <c r="D13" s="7">
        <v>-8.0000000000000002E-3</v>
      </c>
      <c r="E13" s="7">
        <v>-3.7250000000000001</v>
      </c>
      <c r="F13" s="7">
        <v>0.39700000000000002</v>
      </c>
      <c r="G13" s="7">
        <v>-0.755</v>
      </c>
      <c r="H13" s="7">
        <v>-0.314</v>
      </c>
      <c r="I13" s="7">
        <v>-3.004</v>
      </c>
      <c r="J13" s="7">
        <v>0.64</v>
      </c>
      <c r="K13" s="7">
        <v>0.36499999999999999</v>
      </c>
      <c r="L13" s="7">
        <v>-0.85299999999999998</v>
      </c>
      <c r="M13" s="7">
        <v>-2.5219999999999998</v>
      </c>
      <c r="N13" s="7">
        <v>2.899</v>
      </c>
      <c r="O13" s="7">
        <v>-2.1589999999999998</v>
      </c>
      <c r="P13" s="7">
        <v>-1.51</v>
      </c>
      <c r="Q13" s="7">
        <v>-1.62</v>
      </c>
    </row>
    <row r="14" spans="1:17">
      <c r="A14" s="2">
        <v>1962</v>
      </c>
      <c r="B14" s="7">
        <v>-0.315</v>
      </c>
      <c r="C14" s="7">
        <v>-0.39900000000000002</v>
      </c>
      <c r="D14" s="7">
        <v>-8.0000000000000002E-3</v>
      </c>
      <c r="E14" s="7">
        <v>-3.7250000000000001</v>
      </c>
      <c r="F14" s="7">
        <v>0.39700000000000002</v>
      </c>
      <c r="G14" s="7">
        <v>-0.755</v>
      </c>
      <c r="H14" s="7">
        <v>-0.314</v>
      </c>
      <c r="I14" s="7">
        <v>-3.004</v>
      </c>
      <c r="J14" s="7">
        <v>0.64</v>
      </c>
      <c r="K14" s="7">
        <v>0.36499999999999999</v>
      </c>
      <c r="L14" s="7">
        <v>-0.85299999999999998</v>
      </c>
      <c r="M14" s="7">
        <v>-2.5219999999999998</v>
      </c>
      <c r="N14" s="7">
        <v>2.899</v>
      </c>
      <c r="O14" s="7">
        <v>-2.1589999999999998</v>
      </c>
      <c r="P14" s="7">
        <v>-1.51</v>
      </c>
      <c r="Q14" s="7">
        <v>-1.62</v>
      </c>
    </row>
    <row r="15" spans="1:17">
      <c r="A15" s="2">
        <v>1963</v>
      </c>
      <c r="B15" s="7">
        <v>-0.315</v>
      </c>
      <c r="C15" s="7">
        <v>-0.39900000000000002</v>
      </c>
      <c r="D15" s="7">
        <v>-8.0000000000000002E-3</v>
      </c>
      <c r="E15" s="7">
        <v>-3.7250000000000001</v>
      </c>
      <c r="F15" s="7">
        <v>0.39700000000000002</v>
      </c>
      <c r="G15" s="7">
        <v>-0.755</v>
      </c>
      <c r="H15" s="7">
        <v>-0.314</v>
      </c>
      <c r="I15" s="7">
        <v>-3.004</v>
      </c>
      <c r="J15" s="7">
        <v>0.64</v>
      </c>
      <c r="K15" s="7">
        <v>0.36499999999999999</v>
      </c>
      <c r="L15" s="7">
        <v>-0.85299999999999998</v>
      </c>
      <c r="M15" s="7">
        <v>-2.5219999999999998</v>
      </c>
      <c r="N15" s="7">
        <v>2.899</v>
      </c>
      <c r="O15" s="7">
        <v>-2.1589999999999998</v>
      </c>
      <c r="P15" s="7">
        <v>-1.51</v>
      </c>
      <c r="Q15" s="7">
        <v>-1.62</v>
      </c>
    </row>
    <row r="16" spans="1:17">
      <c r="A16" s="2">
        <v>1964</v>
      </c>
      <c r="B16" s="7">
        <v>-0.315</v>
      </c>
      <c r="C16" s="7">
        <v>-0.39900000000000002</v>
      </c>
      <c r="D16" s="7">
        <v>-8.0000000000000002E-3</v>
      </c>
      <c r="E16" s="7">
        <v>-3.7250000000000001</v>
      </c>
      <c r="F16" s="7">
        <v>0.39700000000000002</v>
      </c>
      <c r="G16" s="7">
        <v>-0.755</v>
      </c>
      <c r="H16" s="7">
        <v>-0.314</v>
      </c>
      <c r="I16" s="7">
        <v>-3.004</v>
      </c>
      <c r="J16" s="7">
        <v>0.64</v>
      </c>
      <c r="K16" s="7">
        <v>0.36499999999999999</v>
      </c>
      <c r="L16" s="7">
        <v>-0.85299999999999998</v>
      </c>
      <c r="M16" s="7">
        <v>-2.5219999999999998</v>
      </c>
      <c r="N16" s="7">
        <v>2.899</v>
      </c>
      <c r="O16" s="7">
        <v>-2.1589999999999998</v>
      </c>
      <c r="P16" s="7">
        <v>-1.51</v>
      </c>
      <c r="Q16" s="7">
        <v>-1.62</v>
      </c>
    </row>
    <row r="17" spans="1:17">
      <c r="A17" s="2">
        <v>1965</v>
      </c>
      <c r="B17" s="7">
        <v>-0.315</v>
      </c>
      <c r="C17" s="7">
        <v>-0.39900000000000002</v>
      </c>
      <c r="D17" s="7">
        <v>-8.0000000000000002E-3</v>
      </c>
      <c r="E17" s="7">
        <v>-3.7250000000000001</v>
      </c>
      <c r="F17" s="7">
        <v>0.39700000000000002</v>
      </c>
      <c r="G17" s="7">
        <v>-0.755</v>
      </c>
      <c r="H17" s="7">
        <v>-0.314</v>
      </c>
      <c r="I17" s="7">
        <v>-3.004</v>
      </c>
      <c r="J17" s="7">
        <v>0.64</v>
      </c>
      <c r="K17" s="7">
        <v>0.36499999999999999</v>
      </c>
      <c r="L17" s="7">
        <v>-0.85299999999999998</v>
      </c>
      <c r="M17" s="7">
        <v>-2.5219999999999998</v>
      </c>
      <c r="N17" s="7">
        <v>2.899</v>
      </c>
      <c r="O17" s="7">
        <v>-2.1589999999999998</v>
      </c>
      <c r="P17" s="7">
        <v>-1.51</v>
      </c>
      <c r="Q17" s="7">
        <v>-1.62</v>
      </c>
    </row>
    <row r="18" spans="1:17">
      <c r="A18" s="2">
        <v>1966</v>
      </c>
      <c r="B18" s="7">
        <v>-0.315</v>
      </c>
      <c r="C18" s="7">
        <v>-0.39900000000000002</v>
      </c>
      <c r="D18" s="7">
        <v>-8.0000000000000002E-3</v>
      </c>
      <c r="E18" s="7">
        <v>-3.7250000000000001</v>
      </c>
      <c r="F18" s="7">
        <v>0.39700000000000002</v>
      </c>
      <c r="G18" s="7">
        <v>-0.755</v>
      </c>
      <c r="H18" s="7">
        <v>-0.314</v>
      </c>
      <c r="I18" s="7">
        <v>-3.004</v>
      </c>
      <c r="J18" s="7">
        <v>0.64</v>
      </c>
      <c r="K18" s="7">
        <v>0.36499999999999999</v>
      </c>
      <c r="L18" s="7">
        <v>-0.85299999999999998</v>
      </c>
      <c r="M18" s="7">
        <v>-2.5219999999999998</v>
      </c>
      <c r="N18" s="7">
        <v>2.899</v>
      </c>
      <c r="O18" s="7">
        <v>-2.1589999999999998</v>
      </c>
      <c r="P18" s="7">
        <v>-1.51</v>
      </c>
      <c r="Q18" s="7">
        <v>-1.62</v>
      </c>
    </row>
    <row r="19" spans="1:17">
      <c r="A19" s="2">
        <v>1967</v>
      </c>
      <c r="B19" s="7">
        <v>-0.315</v>
      </c>
      <c r="C19" s="7">
        <v>-0.39900000000000002</v>
      </c>
      <c r="D19" s="7">
        <v>-8.0000000000000002E-3</v>
      </c>
      <c r="E19" s="7">
        <v>-3.7250000000000001</v>
      </c>
      <c r="F19" s="7">
        <v>0.39700000000000002</v>
      </c>
      <c r="G19" s="7">
        <v>-0.755</v>
      </c>
      <c r="H19" s="7">
        <v>-0.314</v>
      </c>
      <c r="I19" s="7">
        <v>-3.004</v>
      </c>
      <c r="J19" s="7">
        <v>0.64</v>
      </c>
      <c r="K19" s="7">
        <v>0.36499999999999999</v>
      </c>
      <c r="L19" s="7">
        <v>-0.85299999999999998</v>
      </c>
      <c r="M19" s="7">
        <v>-2.5219999999999998</v>
      </c>
      <c r="N19" s="7">
        <v>2.899</v>
      </c>
      <c r="O19" s="7">
        <v>-2.1589999999999998</v>
      </c>
      <c r="P19" s="7">
        <v>-1.51</v>
      </c>
      <c r="Q19" s="7">
        <v>-1.62</v>
      </c>
    </row>
    <row r="20" spans="1:17">
      <c r="A20" s="2">
        <v>1968</v>
      </c>
      <c r="B20" s="7">
        <v>-0.315</v>
      </c>
      <c r="C20" s="7">
        <v>-0.39900000000000002</v>
      </c>
      <c r="D20" s="7">
        <v>-8.0000000000000002E-3</v>
      </c>
      <c r="E20" s="7">
        <v>-3.7250000000000001</v>
      </c>
      <c r="F20" s="7">
        <v>0.39700000000000002</v>
      </c>
      <c r="G20" s="7">
        <v>-0.755</v>
      </c>
      <c r="H20" s="7">
        <v>-0.314</v>
      </c>
      <c r="I20" s="7">
        <v>-3.004</v>
      </c>
      <c r="J20" s="7">
        <v>0.64</v>
      </c>
      <c r="K20" s="7">
        <v>0.36499999999999999</v>
      </c>
      <c r="L20" s="7">
        <v>-0.85299999999999998</v>
      </c>
      <c r="M20" s="7">
        <v>-2.5219999999999998</v>
      </c>
      <c r="N20" s="7">
        <v>2.899</v>
      </c>
      <c r="O20" s="7">
        <v>-2.1589999999999998</v>
      </c>
      <c r="P20" s="7">
        <v>-1.51</v>
      </c>
      <c r="Q20" s="7">
        <v>-1.62</v>
      </c>
    </row>
    <row r="21" spans="1:17">
      <c r="A21" s="2">
        <v>1969</v>
      </c>
      <c r="B21" s="7">
        <v>-0.315</v>
      </c>
      <c r="C21" s="7">
        <v>-0.39900000000000002</v>
      </c>
      <c r="D21" s="7">
        <v>-8.0000000000000002E-3</v>
      </c>
      <c r="E21" s="7">
        <v>-3.7250000000000001</v>
      </c>
      <c r="F21" s="7">
        <v>0.39700000000000002</v>
      </c>
      <c r="G21" s="7">
        <v>-0.755</v>
      </c>
      <c r="H21" s="7">
        <v>-0.314</v>
      </c>
      <c r="I21" s="7">
        <v>-3.004</v>
      </c>
      <c r="J21" s="7">
        <v>0.64</v>
      </c>
      <c r="K21" s="7">
        <v>0.36499999999999999</v>
      </c>
      <c r="L21" s="7">
        <v>-0.85299999999999998</v>
      </c>
      <c r="M21" s="7">
        <v>-2.5219999999999998</v>
      </c>
      <c r="N21" s="7">
        <v>2.899</v>
      </c>
      <c r="O21" s="7">
        <v>-2.1589999999999998</v>
      </c>
      <c r="P21" s="7">
        <v>-1.51</v>
      </c>
      <c r="Q21" s="7">
        <v>-1.62</v>
      </c>
    </row>
    <row r="22" spans="1:17">
      <c r="A22" s="2">
        <v>1970</v>
      </c>
      <c r="B22" s="7">
        <v>0.97399999999999998</v>
      </c>
      <c r="C22" s="7">
        <v>0.81799999999999995</v>
      </c>
      <c r="D22" s="7">
        <v>0.97299999999999998</v>
      </c>
      <c r="E22" s="7">
        <v>0.83199999999999996</v>
      </c>
      <c r="F22" s="7">
        <v>-4.0000000000000001E-3</v>
      </c>
      <c r="G22" s="7">
        <v>0.14299999999999999</v>
      </c>
      <c r="H22" s="7">
        <v>-0.10199999999999999</v>
      </c>
      <c r="I22" s="7">
        <v>-0.51200000000000001</v>
      </c>
      <c r="J22" s="7">
        <v>-1.0249999999999999</v>
      </c>
      <c r="K22" s="7">
        <v>0.70499999999999996</v>
      </c>
      <c r="L22" s="7">
        <v>-1.9139999999999999</v>
      </c>
      <c r="M22" s="7">
        <v>0.53</v>
      </c>
      <c r="N22" s="7">
        <v>-0.22500000000000001</v>
      </c>
      <c r="O22" s="7">
        <v>-0.61799999999999999</v>
      </c>
      <c r="P22" s="7">
        <v>-0.60499999999999998</v>
      </c>
      <c r="Q22" s="7">
        <v>-0.255</v>
      </c>
    </row>
    <row r="23" spans="1:17">
      <c r="A23" s="2">
        <v>1971</v>
      </c>
      <c r="B23" s="7">
        <v>0.97399999999999998</v>
      </c>
      <c r="C23" s="7">
        <v>0.81799999999999995</v>
      </c>
      <c r="D23" s="7">
        <v>0.97299999999999998</v>
      </c>
      <c r="E23" s="7">
        <v>0.83199999999999996</v>
      </c>
      <c r="F23" s="7">
        <v>-4.0000000000000001E-3</v>
      </c>
      <c r="G23" s="7">
        <v>0.14299999999999999</v>
      </c>
      <c r="H23" s="7">
        <v>-0.10199999999999999</v>
      </c>
      <c r="I23" s="7">
        <v>-0.51200000000000001</v>
      </c>
      <c r="J23" s="7">
        <v>-1.0249999999999999</v>
      </c>
      <c r="K23" s="7">
        <v>0.70499999999999996</v>
      </c>
      <c r="L23" s="7">
        <v>-1.9139999999999999</v>
      </c>
      <c r="M23" s="7">
        <v>0.53</v>
      </c>
      <c r="N23" s="7">
        <v>-0.22500000000000001</v>
      </c>
      <c r="O23" s="7">
        <v>-0.61799999999999999</v>
      </c>
      <c r="P23" s="7">
        <v>-0.60499999999999998</v>
      </c>
      <c r="Q23" s="7">
        <v>-0.255</v>
      </c>
    </row>
    <row r="24" spans="1:17">
      <c r="A24" s="2">
        <v>1972</v>
      </c>
      <c r="B24" s="7">
        <v>0.97399999999999998</v>
      </c>
      <c r="C24" s="7">
        <v>0.81799999999999995</v>
      </c>
      <c r="D24" s="7">
        <v>0.97299999999999998</v>
      </c>
      <c r="E24" s="7">
        <v>0.83199999999999996</v>
      </c>
      <c r="F24" s="7">
        <v>-4.0000000000000001E-3</v>
      </c>
      <c r="G24" s="7">
        <v>0.14299999999999999</v>
      </c>
      <c r="H24" s="7">
        <v>-0.10199999999999999</v>
      </c>
      <c r="I24" s="7">
        <v>-0.51200000000000001</v>
      </c>
      <c r="J24" s="7">
        <v>-1.0249999999999999</v>
      </c>
      <c r="K24" s="7">
        <v>0.70499999999999996</v>
      </c>
      <c r="L24" s="7">
        <v>-1.9139999999999999</v>
      </c>
      <c r="M24" s="7">
        <v>0.53</v>
      </c>
      <c r="N24" s="7">
        <v>-0.22500000000000001</v>
      </c>
      <c r="O24" s="7">
        <v>-0.61799999999999999</v>
      </c>
      <c r="P24" s="7">
        <v>-0.60499999999999998</v>
      </c>
      <c r="Q24" s="7">
        <v>-0.255</v>
      </c>
    </row>
    <row r="25" spans="1:17">
      <c r="A25" s="2">
        <v>1973</v>
      </c>
      <c r="B25" s="7">
        <v>0.97399999999999998</v>
      </c>
      <c r="C25" s="7">
        <v>0.81799999999999995</v>
      </c>
      <c r="D25" s="7">
        <v>0.97299999999999998</v>
      </c>
      <c r="E25" s="7">
        <v>0.83199999999999996</v>
      </c>
      <c r="F25" s="7">
        <v>-4.0000000000000001E-3</v>
      </c>
      <c r="G25" s="7">
        <v>0.14299999999999999</v>
      </c>
      <c r="H25" s="7">
        <v>-0.10199999999999999</v>
      </c>
      <c r="I25" s="7">
        <v>-0.51200000000000001</v>
      </c>
      <c r="J25" s="7">
        <v>-1.0249999999999999</v>
      </c>
      <c r="K25" s="7">
        <v>0.70499999999999996</v>
      </c>
      <c r="L25" s="7">
        <v>-1.9139999999999999</v>
      </c>
      <c r="M25" s="7">
        <v>0.53</v>
      </c>
      <c r="N25" s="7">
        <v>-0.22500000000000001</v>
      </c>
      <c r="O25" s="7">
        <v>-0.61799999999999999</v>
      </c>
      <c r="P25" s="7">
        <v>-0.60499999999999998</v>
      </c>
      <c r="Q25" s="7">
        <v>-0.255</v>
      </c>
    </row>
    <row r="26" spans="1:17">
      <c r="A26" s="2">
        <v>1974</v>
      </c>
      <c r="B26" s="7">
        <v>0.97399999999999998</v>
      </c>
      <c r="C26" s="7">
        <v>0.81799999999999995</v>
      </c>
      <c r="D26" s="7">
        <v>0.97299999999999998</v>
      </c>
      <c r="E26" s="7">
        <v>0.83199999999999996</v>
      </c>
      <c r="F26" s="7">
        <v>-4.0000000000000001E-3</v>
      </c>
      <c r="G26" s="7">
        <v>0.14299999999999999</v>
      </c>
      <c r="H26" s="7">
        <v>-0.10199999999999999</v>
      </c>
      <c r="I26" s="7">
        <v>-0.51200000000000001</v>
      </c>
      <c r="J26" s="7">
        <v>-1.0249999999999999</v>
      </c>
      <c r="K26" s="7">
        <v>0.70499999999999996</v>
      </c>
      <c r="L26" s="7">
        <v>-1.9139999999999999</v>
      </c>
      <c r="M26" s="7">
        <v>0.53</v>
      </c>
      <c r="N26" s="7">
        <v>-0.22500000000000001</v>
      </c>
      <c r="O26" s="7">
        <v>-0.61799999999999999</v>
      </c>
      <c r="P26" s="7">
        <v>-0.60499999999999998</v>
      </c>
      <c r="Q26" s="7">
        <v>-0.255</v>
      </c>
    </row>
    <row r="27" spans="1:17">
      <c r="A27" s="2">
        <v>1975</v>
      </c>
      <c r="B27" s="7">
        <v>0.97399999999999998</v>
      </c>
      <c r="C27" s="7">
        <v>0.81799999999999995</v>
      </c>
      <c r="D27" s="7">
        <v>0.97299999999999998</v>
      </c>
      <c r="E27" s="7">
        <v>0.83199999999999996</v>
      </c>
      <c r="F27" s="7">
        <v>-4.0000000000000001E-3</v>
      </c>
      <c r="G27" s="7">
        <v>0.14299999999999999</v>
      </c>
      <c r="H27" s="7">
        <v>-0.10199999999999999</v>
      </c>
      <c r="I27" s="7">
        <v>-0.51200000000000001</v>
      </c>
      <c r="J27" s="7">
        <v>-1.0249999999999999</v>
      </c>
      <c r="K27" s="7">
        <v>0.70499999999999996</v>
      </c>
      <c r="L27" s="7">
        <v>-1.9139999999999999</v>
      </c>
      <c r="M27" s="7">
        <v>0.53</v>
      </c>
      <c r="N27" s="7">
        <v>-0.22500000000000001</v>
      </c>
      <c r="O27" s="7">
        <v>-0.61799999999999999</v>
      </c>
      <c r="P27" s="7">
        <v>-0.60499999999999998</v>
      </c>
      <c r="Q27" s="7">
        <v>-0.255</v>
      </c>
    </row>
    <row r="28" spans="1:17">
      <c r="A28" s="2">
        <v>1976</v>
      </c>
      <c r="B28" s="7">
        <v>0.97399999999999998</v>
      </c>
      <c r="C28" s="7">
        <v>0.81799999999999995</v>
      </c>
      <c r="D28" s="7">
        <v>0.97299999999999998</v>
      </c>
      <c r="E28" s="7">
        <v>0.83199999999999996</v>
      </c>
      <c r="F28" s="7">
        <v>-4.0000000000000001E-3</v>
      </c>
      <c r="G28" s="7">
        <v>0.14299999999999999</v>
      </c>
      <c r="H28" s="7">
        <v>-0.10199999999999999</v>
      </c>
      <c r="I28" s="7">
        <v>-0.51200000000000001</v>
      </c>
      <c r="J28" s="7">
        <v>-1.0249999999999999</v>
      </c>
      <c r="K28" s="7">
        <v>0.70499999999999996</v>
      </c>
      <c r="L28" s="7">
        <v>-1.9139999999999999</v>
      </c>
      <c r="M28" s="7">
        <v>0.53</v>
      </c>
      <c r="N28" s="7">
        <v>-0.22500000000000001</v>
      </c>
      <c r="O28" s="7">
        <v>-0.61799999999999999</v>
      </c>
      <c r="P28" s="7">
        <v>-0.60499999999999998</v>
      </c>
      <c r="Q28" s="7">
        <v>-0.255</v>
      </c>
    </row>
    <row r="29" spans="1:17">
      <c r="A29" s="2">
        <v>1977</v>
      </c>
      <c r="B29" s="7">
        <v>0.97399999999999998</v>
      </c>
      <c r="C29" s="7">
        <v>0.81799999999999995</v>
      </c>
      <c r="D29" s="7">
        <v>0.97299999999999998</v>
      </c>
      <c r="E29" s="7">
        <v>0.83199999999999996</v>
      </c>
      <c r="F29" s="7">
        <v>-4.0000000000000001E-3</v>
      </c>
      <c r="G29" s="7">
        <v>0.14299999999999999</v>
      </c>
      <c r="H29" s="7">
        <v>-0.10199999999999999</v>
      </c>
      <c r="I29" s="7">
        <v>-0.51200000000000001</v>
      </c>
      <c r="J29" s="7">
        <v>-1.0249999999999999</v>
      </c>
      <c r="K29" s="7">
        <v>0.70499999999999996</v>
      </c>
      <c r="L29" s="7">
        <v>-1.9139999999999999</v>
      </c>
      <c r="M29" s="7">
        <v>0.53</v>
      </c>
      <c r="N29" s="7">
        <v>-0.22500000000000001</v>
      </c>
      <c r="O29" s="7">
        <v>-0.61799999999999999</v>
      </c>
      <c r="P29" s="7">
        <v>-0.60499999999999998</v>
      </c>
      <c r="Q29" s="7">
        <v>-0.255</v>
      </c>
    </row>
    <row r="30" spans="1:17">
      <c r="A30" s="2">
        <v>1978</v>
      </c>
      <c r="B30" s="7">
        <v>0.97399999999999998</v>
      </c>
      <c r="C30" s="7">
        <v>0.81799999999999995</v>
      </c>
      <c r="D30" s="7">
        <v>0.97299999999999998</v>
      </c>
      <c r="E30" s="7">
        <v>0.83199999999999996</v>
      </c>
      <c r="F30" s="7">
        <v>-4.0000000000000001E-3</v>
      </c>
      <c r="G30" s="7">
        <v>0.14299999999999999</v>
      </c>
      <c r="H30" s="7">
        <v>-0.10199999999999999</v>
      </c>
      <c r="I30" s="7">
        <v>-0.51200000000000001</v>
      </c>
      <c r="J30" s="7">
        <v>-1.0249999999999999</v>
      </c>
      <c r="K30" s="7">
        <v>0.70499999999999996</v>
      </c>
      <c r="L30" s="7">
        <v>-1.9139999999999999</v>
      </c>
      <c r="M30" s="7">
        <v>0.53</v>
      </c>
      <c r="N30" s="7">
        <v>-0.22500000000000001</v>
      </c>
      <c r="O30" s="7">
        <v>-0.61799999999999999</v>
      </c>
      <c r="P30" s="7">
        <v>-0.60499999999999998</v>
      </c>
      <c r="Q30" s="7">
        <v>-0.255</v>
      </c>
    </row>
    <row r="31" spans="1:17">
      <c r="A31" s="2">
        <v>1979</v>
      </c>
      <c r="B31" s="7">
        <v>0.97399999999999998</v>
      </c>
      <c r="C31" s="7">
        <v>0.81799999999999995</v>
      </c>
      <c r="D31" s="7">
        <v>0.97299999999999998</v>
      </c>
      <c r="E31" s="7">
        <v>0.83199999999999996</v>
      </c>
      <c r="F31" s="7">
        <v>-4.0000000000000001E-3</v>
      </c>
      <c r="G31" s="7">
        <v>0.14299999999999999</v>
      </c>
      <c r="H31" s="7">
        <v>-0.10199999999999999</v>
      </c>
      <c r="I31" s="7">
        <v>-0.51200000000000001</v>
      </c>
      <c r="J31" s="7">
        <v>-1.0249999999999999</v>
      </c>
      <c r="K31" s="7">
        <v>0.70499999999999996</v>
      </c>
      <c r="L31" s="7">
        <v>-1.9139999999999999</v>
      </c>
      <c r="M31" s="7">
        <v>0.53</v>
      </c>
      <c r="N31" s="7">
        <v>-0.22500000000000001</v>
      </c>
      <c r="O31" s="7">
        <v>-0.61799999999999999</v>
      </c>
      <c r="P31" s="7">
        <v>-0.60499999999999998</v>
      </c>
      <c r="Q31" s="7">
        <v>-0.255</v>
      </c>
    </row>
    <row r="32" spans="1:17">
      <c r="A32" s="2">
        <v>1980</v>
      </c>
      <c r="B32" s="7">
        <v>2.0019999999999998</v>
      </c>
      <c r="C32" s="7">
        <v>2.9449999999999998</v>
      </c>
      <c r="D32" s="7">
        <v>3.2469999999999999</v>
      </c>
      <c r="E32" s="7">
        <v>1.8540000000000001</v>
      </c>
      <c r="F32" s="7">
        <v>-1.2150000000000001</v>
      </c>
      <c r="G32" s="7">
        <v>2.629</v>
      </c>
      <c r="H32" s="7">
        <v>1.8959999999999999</v>
      </c>
      <c r="I32" s="7">
        <v>-2.0390000000000001</v>
      </c>
      <c r="J32" s="7">
        <v>-0.22900000000000001</v>
      </c>
      <c r="K32" s="7">
        <v>-0.4</v>
      </c>
      <c r="L32" s="7">
        <v>-1.109</v>
      </c>
      <c r="M32" s="7">
        <v>0.20499999999999999</v>
      </c>
      <c r="N32" s="7">
        <v>2.956</v>
      </c>
      <c r="O32" s="7">
        <v>0.47199999999999998</v>
      </c>
      <c r="P32" s="7">
        <v>-1.0149999999999999</v>
      </c>
      <c r="Q32" s="7">
        <v>2.27</v>
      </c>
    </row>
    <row r="33" spans="1:17">
      <c r="A33" s="2">
        <v>1981</v>
      </c>
      <c r="B33" s="7">
        <v>2.0019999999999998</v>
      </c>
      <c r="C33" s="7">
        <v>2.9449999999999998</v>
      </c>
      <c r="D33" s="7">
        <v>3.2469999999999999</v>
      </c>
      <c r="E33" s="7">
        <v>1.8540000000000001</v>
      </c>
      <c r="F33" s="7">
        <v>-1.2150000000000001</v>
      </c>
      <c r="G33" s="7">
        <v>2.629</v>
      </c>
      <c r="H33" s="7">
        <v>1.8959999999999999</v>
      </c>
      <c r="I33" s="7">
        <v>-2.0390000000000001</v>
      </c>
      <c r="J33" s="7">
        <v>-0.22900000000000001</v>
      </c>
      <c r="K33" s="7">
        <v>-0.4</v>
      </c>
      <c r="L33" s="7">
        <v>-1.109</v>
      </c>
      <c r="M33" s="7">
        <v>0.20499999999999999</v>
      </c>
      <c r="N33" s="7">
        <v>2.956</v>
      </c>
      <c r="O33" s="7">
        <v>0.47199999999999998</v>
      </c>
      <c r="P33" s="7">
        <v>-1.0149999999999999</v>
      </c>
      <c r="Q33" s="7">
        <v>2.27</v>
      </c>
    </row>
    <row r="34" spans="1:17">
      <c r="A34" s="2">
        <v>1982</v>
      </c>
      <c r="B34" s="7">
        <v>2.0019999999999998</v>
      </c>
      <c r="C34" s="7">
        <v>2.9449999999999998</v>
      </c>
      <c r="D34" s="7">
        <v>3.2469999999999999</v>
      </c>
      <c r="E34" s="7">
        <v>1.8540000000000001</v>
      </c>
      <c r="F34" s="7">
        <v>-1.2150000000000001</v>
      </c>
      <c r="G34" s="7">
        <v>2.629</v>
      </c>
      <c r="H34" s="7">
        <v>1.8959999999999999</v>
      </c>
      <c r="I34" s="7">
        <v>-2.0390000000000001</v>
      </c>
      <c r="J34" s="7">
        <v>-0.22900000000000001</v>
      </c>
      <c r="K34" s="7">
        <v>-0.4</v>
      </c>
      <c r="L34" s="7">
        <v>-1.109</v>
      </c>
      <c r="M34" s="7">
        <v>0.20499999999999999</v>
      </c>
      <c r="N34" s="7">
        <v>2.956</v>
      </c>
      <c r="O34" s="7">
        <v>0.47199999999999998</v>
      </c>
      <c r="P34" s="7">
        <v>-1.0149999999999999</v>
      </c>
      <c r="Q34" s="7">
        <v>2.27</v>
      </c>
    </row>
    <row r="35" spans="1:17">
      <c r="A35" s="2">
        <v>1983</v>
      </c>
      <c r="B35" s="7">
        <v>2.0019999999999998</v>
      </c>
      <c r="C35" s="7">
        <v>2.9449999999999998</v>
      </c>
      <c r="D35" s="7">
        <v>3.2469999999999999</v>
      </c>
      <c r="E35" s="7">
        <v>1.8540000000000001</v>
      </c>
      <c r="F35" s="7">
        <v>-1.2150000000000001</v>
      </c>
      <c r="G35" s="7">
        <v>2.629</v>
      </c>
      <c r="H35" s="7">
        <v>1.8959999999999999</v>
      </c>
      <c r="I35" s="7">
        <v>-2.0390000000000001</v>
      </c>
      <c r="J35" s="7">
        <v>-0.22900000000000001</v>
      </c>
      <c r="K35" s="7">
        <v>-0.4</v>
      </c>
      <c r="L35" s="7">
        <v>-1.109</v>
      </c>
      <c r="M35" s="7">
        <v>0.20499999999999999</v>
      </c>
      <c r="N35" s="7">
        <v>2.956</v>
      </c>
      <c r="O35" s="7">
        <v>0.47199999999999998</v>
      </c>
      <c r="P35" s="7">
        <v>-1.0149999999999999</v>
      </c>
      <c r="Q35" s="7">
        <v>2.27</v>
      </c>
    </row>
    <row r="36" spans="1:17">
      <c r="A36" s="2">
        <v>1984</v>
      </c>
      <c r="B36" s="7">
        <v>2.0019999999999998</v>
      </c>
      <c r="C36" s="7">
        <v>2.9449999999999998</v>
      </c>
      <c r="D36" s="7">
        <v>3.2469999999999999</v>
      </c>
      <c r="E36" s="7">
        <v>1.8540000000000001</v>
      </c>
      <c r="F36" s="7">
        <v>-1.2150000000000001</v>
      </c>
      <c r="G36" s="7">
        <v>2.629</v>
      </c>
      <c r="H36" s="7">
        <v>1.8959999999999999</v>
      </c>
      <c r="I36" s="7">
        <v>-2.0390000000000001</v>
      </c>
      <c r="J36" s="7">
        <v>-0.22900000000000001</v>
      </c>
      <c r="K36" s="7">
        <v>-0.4</v>
      </c>
      <c r="L36" s="7">
        <v>-1.109</v>
      </c>
      <c r="M36" s="7">
        <v>0.20499999999999999</v>
      </c>
      <c r="N36" s="7">
        <v>2.956</v>
      </c>
      <c r="O36" s="7">
        <v>0.47199999999999998</v>
      </c>
      <c r="P36" s="7">
        <v>-1.0149999999999999</v>
      </c>
      <c r="Q36" s="7">
        <v>2.27</v>
      </c>
    </row>
    <row r="37" spans="1:17">
      <c r="A37" s="2">
        <v>1985</v>
      </c>
      <c r="B37" s="7">
        <v>2.0019999999999998</v>
      </c>
      <c r="C37" s="7">
        <v>2.9449999999999998</v>
      </c>
      <c r="D37" s="7">
        <v>3.2469999999999999</v>
      </c>
      <c r="E37" s="7">
        <v>1.8540000000000001</v>
      </c>
      <c r="F37" s="7">
        <v>-1.2150000000000001</v>
      </c>
      <c r="G37" s="7">
        <v>2.629</v>
      </c>
      <c r="H37" s="7">
        <v>1.8959999999999999</v>
      </c>
      <c r="I37" s="7">
        <v>-2.0390000000000001</v>
      </c>
      <c r="J37" s="7">
        <v>-0.22900000000000001</v>
      </c>
      <c r="K37" s="7">
        <v>-0.4</v>
      </c>
      <c r="L37" s="7">
        <v>-1.109</v>
      </c>
      <c r="M37" s="7">
        <v>0.20499999999999999</v>
      </c>
      <c r="N37" s="7">
        <v>2.956</v>
      </c>
      <c r="O37" s="7">
        <v>0.47199999999999998</v>
      </c>
      <c r="P37" s="7">
        <v>-1.0149999999999999</v>
      </c>
      <c r="Q37" s="7">
        <v>2.27</v>
      </c>
    </row>
    <row r="38" spans="1:17">
      <c r="A38" s="2">
        <v>1986</v>
      </c>
      <c r="B38" s="7">
        <v>2.0019999999999998</v>
      </c>
      <c r="C38" s="7">
        <v>2.9449999999999998</v>
      </c>
      <c r="D38" s="7">
        <v>3.2469999999999999</v>
      </c>
      <c r="E38" s="7">
        <v>1.8540000000000001</v>
      </c>
      <c r="F38" s="7">
        <v>-1.2150000000000001</v>
      </c>
      <c r="G38" s="7">
        <v>2.629</v>
      </c>
      <c r="H38" s="7">
        <v>1.8959999999999999</v>
      </c>
      <c r="I38" s="7">
        <v>-2.0390000000000001</v>
      </c>
      <c r="J38" s="7">
        <v>-0.22900000000000001</v>
      </c>
      <c r="K38" s="7">
        <v>-0.4</v>
      </c>
      <c r="L38" s="7">
        <v>-1.109</v>
      </c>
      <c r="M38" s="7">
        <v>0.20499999999999999</v>
      </c>
      <c r="N38" s="7">
        <v>2.956</v>
      </c>
      <c r="O38" s="7">
        <v>0.47199999999999998</v>
      </c>
      <c r="P38" s="7">
        <v>-1.0149999999999999</v>
      </c>
      <c r="Q38" s="7">
        <v>2.27</v>
      </c>
    </row>
    <row r="39" spans="1:17">
      <c r="A39" s="2">
        <v>1987</v>
      </c>
      <c r="B39" s="7">
        <v>2.0019999999999998</v>
      </c>
      <c r="C39" s="7">
        <v>2.9449999999999998</v>
      </c>
      <c r="D39" s="7">
        <v>3.2469999999999999</v>
      </c>
      <c r="E39" s="7">
        <v>1.8540000000000001</v>
      </c>
      <c r="F39" s="7">
        <v>-1.2150000000000001</v>
      </c>
      <c r="G39" s="7">
        <v>2.629</v>
      </c>
      <c r="H39" s="7">
        <v>1.8959999999999999</v>
      </c>
      <c r="I39" s="7">
        <v>-2.0390000000000001</v>
      </c>
      <c r="J39" s="7">
        <v>-0.22900000000000001</v>
      </c>
      <c r="K39" s="7">
        <v>-0.4</v>
      </c>
      <c r="L39" s="7">
        <v>-1.109</v>
      </c>
      <c r="M39" s="7">
        <v>0.20499999999999999</v>
      </c>
      <c r="N39" s="7">
        <v>2.956</v>
      </c>
      <c r="O39" s="7">
        <v>0.47199999999999998</v>
      </c>
      <c r="P39" s="7">
        <v>-1.0149999999999999</v>
      </c>
      <c r="Q39" s="7">
        <v>2.27</v>
      </c>
    </row>
    <row r="40" spans="1:17">
      <c r="A40" s="2">
        <v>1988</v>
      </c>
      <c r="B40" s="7">
        <v>2.0019999999999998</v>
      </c>
      <c r="C40" s="7">
        <v>2.9449999999999998</v>
      </c>
      <c r="D40" s="7">
        <v>3.2469999999999999</v>
      </c>
      <c r="E40" s="7">
        <v>1.8540000000000001</v>
      </c>
      <c r="F40" s="7">
        <v>-1.2150000000000001</v>
      </c>
      <c r="G40" s="7">
        <v>2.629</v>
      </c>
      <c r="H40" s="7">
        <v>1.8959999999999999</v>
      </c>
      <c r="I40" s="7">
        <v>-2.0390000000000001</v>
      </c>
      <c r="J40" s="7">
        <v>-0.22900000000000001</v>
      </c>
      <c r="K40" s="7">
        <v>-0.4</v>
      </c>
      <c r="L40" s="7">
        <v>-1.109</v>
      </c>
      <c r="M40" s="7">
        <v>0.20499999999999999</v>
      </c>
      <c r="N40" s="7">
        <v>2.956</v>
      </c>
      <c r="O40" s="7">
        <v>0.47199999999999998</v>
      </c>
      <c r="P40" s="7">
        <v>-1.0149999999999999</v>
      </c>
      <c r="Q40" s="7">
        <v>2.27</v>
      </c>
    </row>
    <row r="41" spans="1:17">
      <c r="A41" s="2">
        <v>1989</v>
      </c>
      <c r="B41" s="7">
        <v>2.0019999999999998</v>
      </c>
      <c r="C41" s="7">
        <v>2.9449999999999998</v>
      </c>
      <c r="D41" s="7">
        <v>3.2469999999999999</v>
      </c>
      <c r="E41" s="7">
        <v>1.8540000000000001</v>
      </c>
      <c r="F41" s="7">
        <v>-1.2150000000000001</v>
      </c>
      <c r="G41" s="7">
        <v>2.629</v>
      </c>
      <c r="H41" s="7">
        <v>1.8959999999999999</v>
      </c>
      <c r="I41" s="7">
        <v>-2.0390000000000001</v>
      </c>
      <c r="J41" s="7">
        <v>-0.22900000000000001</v>
      </c>
      <c r="K41" s="7">
        <v>-0.4</v>
      </c>
      <c r="L41" s="7">
        <v>-1.109</v>
      </c>
      <c r="M41" s="7">
        <v>0.20499999999999999</v>
      </c>
      <c r="N41" s="7">
        <v>2.956</v>
      </c>
      <c r="O41" s="7">
        <v>0.47199999999999998</v>
      </c>
      <c r="P41" s="7">
        <v>-1.0149999999999999</v>
      </c>
      <c r="Q41" s="7">
        <v>2.27</v>
      </c>
    </row>
    <row r="42" spans="1:17">
      <c r="A42" s="2">
        <v>1990</v>
      </c>
      <c r="B42" s="7">
        <v>0.35499999999999998</v>
      </c>
      <c r="C42" s="7">
        <v>0.128</v>
      </c>
      <c r="D42" s="7">
        <v>1.0920000000000001</v>
      </c>
      <c r="E42" s="7">
        <v>-0.50900000000000001</v>
      </c>
      <c r="F42" s="7">
        <v>0.126</v>
      </c>
      <c r="G42" s="7">
        <v>1.635</v>
      </c>
      <c r="H42" s="7">
        <v>-2.0739999999999998</v>
      </c>
      <c r="I42" s="7">
        <v>-1.01</v>
      </c>
      <c r="J42" s="7">
        <v>-0.23400000000000001</v>
      </c>
      <c r="K42" s="7">
        <v>-0.56100000000000005</v>
      </c>
      <c r="L42" s="7">
        <v>-0.34200000000000003</v>
      </c>
      <c r="M42" s="7">
        <v>-1.2210000000000001</v>
      </c>
      <c r="N42" s="7">
        <v>2.3149999999999999</v>
      </c>
      <c r="O42" s="7">
        <v>-0.56000000000000005</v>
      </c>
      <c r="P42" s="7">
        <v>0</v>
      </c>
      <c r="Q42" s="7">
        <v>-0.70499999999999996</v>
      </c>
    </row>
    <row r="43" spans="1:17">
      <c r="A43" s="2">
        <v>1991</v>
      </c>
      <c r="B43" s="7">
        <v>0.35499999999999998</v>
      </c>
      <c r="C43" s="7">
        <v>0.128</v>
      </c>
      <c r="D43" s="7">
        <v>1.0920000000000001</v>
      </c>
      <c r="E43" s="7">
        <v>-0.50900000000000001</v>
      </c>
      <c r="F43" s="7">
        <v>0.126</v>
      </c>
      <c r="G43" s="7">
        <v>1.635</v>
      </c>
      <c r="H43" s="7">
        <v>-2.0739999999999998</v>
      </c>
      <c r="I43" s="7">
        <v>-1.01</v>
      </c>
      <c r="J43" s="7">
        <v>-0.23400000000000001</v>
      </c>
      <c r="K43" s="7">
        <v>-0.56100000000000005</v>
      </c>
      <c r="L43" s="7">
        <v>-0.34200000000000003</v>
      </c>
      <c r="M43" s="7">
        <v>-1.2210000000000001</v>
      </c>
      <c r="N43" s="7">
        <v>2.3149999999999999</v>
      </c>
      <c r="O43" s="7">
        <v>-0.56000000000000005</v>
      </c>
      <c r="P43" s="7">
        <v>0</v>
      </c>
      <c r="Q43" s="7">
        <v>-0.70499999999999996</v>
      </c>
    </row>
    <row r="44" spans="1:17">
      <c r="A44" s="2">
        <v>1992</v>
      </c>
      <c r="B44" s="7">
        <v>0.35499999999999998</v>
      </c>
      <c r="C44" s="7">
        <v>0.128</v>
      </c>
      <c r="D44" s="7">
        <v>1.0920000000000001</v>
      </c>
      <c r="E44" s="7">
        <v>-0.50900000000000001</v>
      </c>
      <c r="F44" s="7">
        <v>0.126</v>
      </c>
      <c r="G44" s="7">
        <v>1.635</v>
      </c>
      <c r="H44" s="7">
        <v>-2.0739999999999998</v>
      </c>
      <c r="I44" s="7">
        <v>-1.01</v>
      </c>
      <c r="J44" s="7">
        <v>-0.23400000000000001</v>
      </c>
      <c r="K44" s="7">
        <v>-0.56100000000000005</v>
      </c>
      <c r="L44" s="7">
        <v>-0.34200000000000003</v>
      </c>
      <c r="M44" s="7">
        <v>-1.2210000000000001</v>
      </c>
      <c r="N44" s="7">
        <v>2.3149999999999999</v>
      </c>
      <c r="O44" s="7">
        <v>-0.56000000000000005</v>
      </c>
      <c r="P44" s="7">
        <v>0</v>
      </c>
      <c r="Q44" s="7">
        <v>-0.70499999999999996</v>
      </c>
    </row>
    <row r="45" spans="1:17">
      <c r="A45" s="2">
        <v>1993</v>
      </c>
      <c r="B45" s="7">
        <v>0.35499999999999998</v>
      </c>
      <c r="C45" s="7">
        <v>0.128</v>
      </c>
      <c r="D45" s="7">
        <v>1.0920000000000001</v>
      </c>
      <c r="E45" s="7">
        <v>-0.50900000000000001</v>
      </c>
      <c r="F45" s="7">
        <v>0.126</v>
      </c>
      <c r="G45" s="7">
        <v>1.635</v>
      </c>
      <c r="H45" s="7">
        <v>-2.0739999999999998</v>
      </c>
      <c r="I45" s="7">
        <v>-1.01</v>
      </c>
      <c r="J45" s="7">
        <v>-0.23400000000000001</v>
      </c>
      <c r="K45" s="7">
        <v>-0.56100000000000005</v>
      </c>
      <c r="L45" s="7">
        <v>-0.34200000000000003</v>
      </c>
      <c r="M45" s="7">
        <v>-1.2210000000000001</v>
      </c>
      <c r="N45" s="7">
        <v>2.3149999999999999</v>
      </c>
      <c r="O45" s="7">
        <v>-0.56000000000000005</v>
      </c>
      <c r="P45" s="7">
        <v>0</v>
      </c>
      <c r="Q45" s="7">
        <v>-0.70499999999999996</v>
      </c>
    </row>
    <row r="46" spans="1:17">
      <c r="A46" s="2">
        <v>1994</v>
      </c>
      <c r="B46" s="7">
        <v>0.35499999999999998</v>
      </c>
      <c r="C46" s="7">
        <v>0.128</v>
      </c>
      <c r="D46" s="7">
        <v>1.0920000000000001</v>
      </c>
      <c r="E46" s="7">
        <v>-0.50900000000000001</v>
      </c>
      <c r="F46" s="7">
        <v>0.126</v>
      </c>
      <c r="G46" s="7">
        <v>1.635</v>
      </c>
      <c r="H46" s="7">
        <v>-2.0739999999999998</v>
      </c>
      <c r="I46" s="7">
        <v>-1.01</v>
      </c>
      <c r="J46" s="7">
        <v>-0.23400000000000001</v>
      </c>
      <c r="K46" s="7">
        <v>-0.56100000000000005</v>
      </c>
      <c r="L46" s="7">
        <v>-0.34200000000000003</v>
      </c>
      <c r="M46" s="7">
        <v>-1.2210000000000001</v>
      </c>
      <c r="N46" s="7">
        <v>2.3149999999999999</v>
      </c>
      <c r="O46" s="7">
        <v>-0.56000000000000005</v>
      </c>
      <c r="P46" s="7">
        <v>0</v>
      </c>
      <c r="Q46" s="7">
        <v>-0.70499999999999996</v>
      </c>
    </row>
    <row r="47" spans="1:17">
      <c r="A47" s="2">
        <v>1995</v>
      </c>
      <c r="B47" s="7">
        <v>0.39500000000000002</v>
      </c>
      <c r="C47" s="7">
        <v>0.182</v>
      </c>
      <c r="D47" s="7">
        <v>1.07</v>
      </c>
      <c r="E47" s="7">
        <v>-0.41499999999999998</v>
      </c>
      <c r="F47" s="7">
        <v>0.18</v>
      </c>
      <c r="G47" s="7">
        <v>1.5640000000000001</v>
      </c>
      <c r="H47" s="7">
        <v>-1.881</v>
      </c>
      <c r="I47" s="7">
        <v>-0.91600000000000004</v>
      </c>
      <c r="J47" s="7">
        <v>-0.157</v>
      </c>
      <c r="K47" s="7">
        <v>-0.46400000000000002</v>
      </c>
      <c r="L47" s="7">
        <v>-0.25800000000000001</v>
      </c>
      <c r="M47" s="7">
        <v>-1.083</v>
      </c>
      <c r="N47" s="7">
        <v>2.2320000000000002</v>
      </c>
      <c r="O47" s="7">
        <v>-0.46300000000000002</v>
      </c>
      <c r="P47" s="7">
        <v>6.3E-2</v>
      </c>
      <c r="Q47" s="7">
        <v>-0.61099999999999999</v>
      </c>
    </row>
    <row r="48" spans="1:17">
      <c r="A48" s="2">
        <v>1996</v>
      </c>
      <c r="B48" s="7">
        <v>0.436</v>
      </c>
      <c r="C48" s="7">
        <v>0.23699999999999999</v>
      </c>
      <c r="D48" s="7">
        <v>1.0489999999999999</v>
      </c>
      <c r="E48" s="7">
        <v>-0.32100000000000001</v>
      </c>
      <c r="F48" s="7">
        <v>0.23499999999999999</v>
      </c>
      <c r="G48" s="7">
        <v>1.4930000000000001</v>
      </c>
      <c r="H48" s="7">
        <v>-1.6890000000000001</v>
      </c>
      <c r="I48" s="7">
        <v>-0.82099999999999995</v>
      </c>
      <c r="J48" s="7">
        <v>-0.08</v>
      </c>
      <c r="K48" s="7">
        <v>-0.36599999999999999</v>
      </c>
      <c r="L48" s="7">
        <v>-0.17399999999999999</v>
      </c>
      <c r="M48" s="7">
        <v>-0.94399999999999995</v>
      </c>
      <c r="N48" s="7">
        <v>2.15</v>
      </c>
      <c r="O48" s="7">
        <v>-0.36499999999999999</v>
      </c>
      <c r="P48" s="7">
        <v>0.125</v>
      </c>
      <c r="Q48" s="7">
        <v>-0.51700000000000002</v>
      </c>
    </row>
    <row r="49" spans="1:17">
      <c r="A49" s="2">
        <v>1997</v>
      </c>
      <c r="B49" s="7">
        <v>0.47599999999999998</v>
      </c>
      <c r="C49" s="7">
        <v>0.29099999999999998</v>
      </c>
      <c r="D49" s="7">
        <v>1.028</v>
      </c>
      <c r="E49" s="7">
        <v>-0.22600000000000001</v>
      </c>
      <c r="F49" s="7">
        <v>0.28999999999999998</v>
      </c>
      <c r="G49" s="7">
        <v>1.4219999999999999</v>
      </c>
      <c r="H49" s="7">
        <v>-1.4970000000000001</v>
      </c>
      <c r="I49" s="7">
        <v>-0.72699999999999998</v>
      </c>
      <c r="J49" s="7">
        <v>-3.0000000000000001E-3</v>
      </c>
      <c r="K49" s="7">
        <v>-0.26800000000000002</v>
      </c>
      <c r="L49" s="7">
        <v>-9.0999999999999998E-2</v>
      </c>
      <c r="M49" s="7">
        <v>-0.80500000000000005</v>
      </c>
      <c r="N49" s="7">
        <v>2.0680000000000001</v>
      </c>
      <c r="O49" s="7">
        <v>-0.26800000000000002</v>
      </c>
      <c r="P49" s="7">
        <v>0.188</v>
      </c>
      <c r="Q49" s="7">
        <v>-0.42299999999999999</v>
      </c>
    </row>
    <row r="50" spans="1:17">
      <c r="A50" s="2">
        <v>1998</v>
      </c>
      <c r="B50" s="7">
        <v>0.51600000000000001</v>
      </c>
      <c r="C50" s="7">
        <v>0.34599999999999997</v>
      </c>
      <c r="D50" s="7">
        <v>1.006</v>
      </c>
      <c r="E50" s="7">
        <v>-0.13200000000000001</v>
      </c>
      <c r="F50" s="7">
        <v>0.34399999999999997</v>
      </c>
      <c r="G50" s="7">
        <v>1.351</v>
      </c>
      <c r="H50" s="7">
        <v>-1.3049999999999999</v>
      </c>
      <c r="I50" s="7">
        <v>-0.63200000000000001</v>
      </c>
      <c r="J50" s="7">
        <v>7.3999999999999996E-2</v>
      </c>
      <c r="K50" s="7">
        <v>-0.17100000000000001</v>
      </c>
      <c r="L50" s="7">
        <v>-7.0000000000000001E-3</v>
      </c>
      <c r="M50" s="7">
        <v>-0.66600000000000004</v>
      </c>
      <c r="N50" s="7">
        <v>1.986</v>
      </c>
      <c r="O50" s="7">
        <v>-0.17</v>
      </c>
      <c r="P50" s="7">
        <v>0.25</v>
      </c>
      <c r="Q50" s="7">
        <v>-0.32900000000000001</v>
      </c>
    </row>
    <row r="51" spans="1:17">
      <c r="A51" s="2">
        <v>1999</v>
      </c>
      <c r="B51" s="7">
        <v>0.55700000000000005</v>
      </c>
      <c r="C51" s="7">
        <v>0.4</v>
      </c>
      <c r="D51" s="7">
        <v>0.98499999999999999</v>
      </c>
      <c r="E51" s="7">
        <v>-3.7999999999999999E-2</v>
      </c>
      <c r="F51" s="7">
        <v>0.39900000000000002</v>
      </c>
      <c r="G51" s="7">
        <v>1.28</v>
      </c>
      <c r="H51" s="7">
        <v>-1.113</v>
      </c>
      <c r="I51" s="7">
        <v>-0.53800000000000003</v>
      </c>
      <c r="J51" s="7">
        <v>0.152</v>
      </c>
      <c r="K51" s="7">
        <v>-7.2999999999999995E-2</v>
      </c>
      <c r="L51" s="7">
        <v>7.6999999999999999E-2</v>
      </c>
      <c r="M51" s="7">
        <v>-0.52700000000000002</v>
      </c>
      <c r="N51" s="7">
        <v>1.9039999999999999</v>
      </c>
      <c r="O51" s="7">
        <v>-7.2999999999999995E-2</v>
      </c>
      <c r="P51" s="7">
        <v>0.313</v>
      </c>
      <c r="Q51" s="7">
        <v>-0.23499999999999999</v>
      </c>
    </row>
    <row r="52" spans="1:17">
      <c r="A52" s="2">
        <v>2000</v>
      </c>
      <c r="B52" s="7">
        <v>0.59699999999999998</v>
      </c>
      <c r="C52" s="7">
        <v>0.45500000000000002</v>
      </c>
      <c r="D52" s="7">
        <v>0.96299999999999997</v>
      </c>
      <c r="E52" s="7">
        <v>5.7000000000000002E-2</v>
      </c>
      <c r="F52" s="7">
        <v>0.45400000000000001</v>
      </c>
      <c r="G52" s="7">
        <v>1.2090000000000001</v>
      </c>
      <c r="H52" s="7">
        <v>-0.92100000000000004</v>
      </c>
      <c r="I52" s="7">
        <v>-0.44400000000000001</v>
      </c>
      <c r="J52" s="7">
        <v>0.22900000000000001</v>
      </c>
      <c r="K52" s="7">
        <v>2.4E-2</v>
      </c>
      <c r="L52" s="7">
        <v>0.161</v>
      </c>
      <c r="M52" s="7">
        <v>-0.38800000000000001</v>
      </c>
      <c r="N52" s="7">
        <v>1.8220000000000001</v>
      </c>
      <c r="O52" s="7">
        <v>2.5000000000000001E-2</v>
      </c>
      <c r="P52" s="7">
        <v>0.375</v>
      </c>
      <c r="Q52" s="7">
        <v>-0.14099999999999999</v>
      </c>
    </row>
    <row r="53" spans="1:17">
      <c r="A53" s="2">
        <v>2001</v>
      </c>
      <c r="B53" s="7">
        <v>0.63700000000000001</v>
      </c>
      <c r="C53" s="7">
        <v>0.50900000000000001</v>
      </c>
      <c r="D53" s="7">
        <v>0.94199999999999995</v>
      </c>
      <c r="E53" s="7">
        <v>0.151</v>
      </c>
      <c r="F53" s="7">
        <v>0.50800000000000001</v>
      </c>
      <c r="G53" s="7">
        <v>1.1379999999999999</v>
      </c>
      <c r="H53" s="7">
        <v>-0.72899999999999998</v>
      </c>
      <c r="I53" s="7">
        <v>-0.34899999999999998</v>
      </c>
      <c r="J53" s="7">
        <v>0.30599999999999999</v>
      </c>
      <c r="K53" s="7">
        <v>0.122</v>
      </c>
      <c r="L53" s="7">
        <v>0.245</v>
      </c>
      <c r="M53" s="7">
        <v>-0.25</v>
      </c>
      <c r="N53" s="7">
        <v>1.7390000000000001</v>
      </c>
      <c r="O53" s="7">
        <v>0.122</v>
      </c>
      <c r="P53" s="7">
        <v>0.438</v>
      </c>
      <c r="Q53" s="7">
        <v>-4.7E-2</v>
      </c>
    </row>
    <row r="54" spans="1:17">
      <c r="A54" s="2">
        <v>2002</v>
      </c>
      <c r="B54" s="7">
        <v>0.67800000000000005</v>
      </c>
      <c r="C54" s="7">
        <v>0.56399999999999995</v>
      </c>
      <c r="D54" s="7">
        <v>0.92100000000000004</v>
      </c>
      <c r="E54" s="7">
        <v>0.245</v>
      </c>
      <c r="F54" s="7">
        <v>0.56299999999999994</v>
      </c>
      <c r="G54" s="7">
        <v>1.0669999999999999</v>
      </c>
      <c r="H54" s="7">
        <v>-0.53700000000000003</v>
      </c>
      <c r="I54" s="7">
        <v>-0.255</v>
      </c>
      <c r="J54" s="7">
        <v>0.38300000000000001</v>
      </c>
      <c r="K54" s="7">
        <v>0.219</v>
      </c>
      <c r="L54" s="7">
        <v>0.32900000000000001</v>
      </c>
      <c r="M54" s="7">
        <v>-0.111</v>
      </c>
      <c r="N54" s="7">
        <v>1.657</v>
      </c>
      <c r="O54" s="7">
        <v>0.22</v>
      </c>
      <c r="P54" s="7">
        <v>0.5</v>
      </c>
      <c r="Q54" s="7">
        <v>4.8000000000000001E-2</v>
      </c>
    </row>
    <row r="55" spans="1:17">
      <c r="A55" s="2">
        <v>2003</v>
      </c>
      <c r="B55" s="7">
        <v>0.71799999999999997</v>
      </c>
      <c r="C55" s="7">
        <v>0.61799999999999999</v>
      </c>
      <c r="D55" s="7">
        <v>0.89900000000000002</v>
      </c>
      <c r="E55" s="7">
        <v>0.34</v>
      </c>
      <c r="F55" s="7">
        <v>0.61699999999999999</v>
      </c>
      <c r="G55" s="7">
        <v>0.997</v>
      </c>
      <c r="H55" s="7">
        <v>-0.34499999999999997</v>
      </c>
      <c r="I55" s="7">
        <v>-0.161</v>
      </c>
      <c r="J55" s="7">
        <v>0.46</v>
      </c>
      <c r="K55" s="7">
        <v>0.317</v>
      </c>
      <c r="L55" s="7">
        <v>0.41299999999999998</v>
      </c>
      <c r="M55" s="7">
        <v>2.8000000000000001E-2</v>
      </c>
      <c r="N55" s="7">
        <v>1.575</v>
      </c>
      <c r="O55" s="7">
        <v>0.317</v>
      </c>
      <c r="P55" s="7">
        <v>0.56299999999999994</v>
      </c>
      <c r="Q55" s="7">
        <v>0.14199999999999999</v>
      </c>
    </row>
    <row r="56" spans="1:17">
      <c r="A56" s="2">
        <v>2004</v>
      </c>
      <c r="B56" s="7">
        <v>0.75800000000000001</v>
      </c>
      <c r="C56" s="7">
        <v>0.67300000000000004</v>
      </c>
      <c r="D56" s="7">
        <v>0.878</v>
      </c>
      <c r="E56" s="7">
        <v>0.434</v>
      </c>
      <c r="F56" s="7">
        <v>0.67200000000000004</v>
      </c>
      <c r="G56" s="7">
        <v>0.92600000000000005</v>
      </c>
      <c r="H56" s="7">
        <v>-0.153</v>
      </c>
      <c r="I56" s="7">
        <v>-6.6000000000000003E-2</v>
      </c>
      <c r="J56" s="7">
        <v>0.53700000000000003</v>
      </c>
      <c r="K56" s="7">
        <v>0.41499999999999998</v>
      </c>
      <c r="L56" s="7">
        <v>0.497</v>
      </c>
      <c r="M56" s="7">
        <v>0.16700000000000001</v>
      </c>
      <c r="N56" s="7">
        <v>1.4930000000000001</v>
      </c>
      <c r="O56" s="7">
        <v>0.41499999999999998</v>
      </c>
      <c r="P56" s="7">
        <v>0.625</v>
      </c>
      <c r="Q56" s="7">
        <v>0.23599999999999999</v>
      </c>
    </row>
    <row r="57" spans="1:17">
      <c r="A57" s="2">
        <v>2005</v>
      </c>
      <c r="B57" s="7">
        <v>0.79800000000000004</v>
      </c>
      <c r="C57" s="7">
        <v>0.72699999999999998</v>
      </c>
      <c r="D57" s="7">
        <v>0.85699999999999998</v>
      </c>
      <c r="E57" s="7">
        <v>0.52800000000000002</v>
      </c>
      <c r="F57" s="7">
        <v>0.72699999999999998</v>
      </c>
      <c r="G57" s="7">
        <v>0.85499999999999998</v>
      </c>
      <c r="H57" s="7">
        <v>0.04</v>
      </c>
      <c r="I57" s="7">
        <v>2.8000000000000001E-2</v>
      </c>
      <c r="J57" s="7">
        <v>0.61399999999999999</v>
      </c>
      <c r="K57" s="7">
        <v>0.51200000000000001</v>
      </c>
      <c r="L57" s="7">
        <v>0.58099999999999996</v>
      </c>
      <c r="M57" s="7">
        <v>0.30599999999999999</v>
      </c>
      <c r="N57" s="7">
        <v>1.411</v>
      </c>
      <c r="O57" s="7">
        <v>0.51200000000000001</v>
      </c>
      <c r="P57" s="7">
        <v>0.68799999999999994</v>
      </c>
      <c r="Q57" s="7">
        <v>0.33</v>
      </c>
    </row>
    <row r="58" spans="1:17">
      <c r="A58" s="2">
        <v>2006</v>
      </c>
      <c r="B58" s="7">
        <v>0.83899999999999997</v>
      </c>
      <c r="C58" s="7">
        <v>0.78200000000000003</v>
      </c>
      <c r="D58" s="7">
        <v>0.83499999999999996</v>
      </c>
      <c r="E58" s="7">
        <v>0.623</v>
      </c>
      <c r="F58" s="7">
        <v>0.78100000000000003</v>
      </c>
      <c r="G58" s="7">
        <v>0.78400000000000003</v>
      </c>
      <c r="H58" s="7">
        <v>0.23200000000000001</v>
      </c>
      <c r="I58" s="7">
        <v>0.123</v>
      </c>
      <c r="J58" s="7">
        <v>0.69099999999999995</v>
      </c>
      <c r="K58" s="7">
        <v>0.61</v>
      </c>
      <c r="L58" s="7">
        <v>0.66400000000000003</v>
      </c>
      <c r="M58" s="7">
        <v>0.44500000000000001</v>
      </c>
      <c r="N58" s="7">
        <v>1.329</v>
      </c>
      <c r="O58" s="7">
        <v>0.61</v>
      </c>
      <c r="P58" s="7">
        <v>0.75</v>
      </c>
      <c r="Q58" s="7">
        <v>0.42399999999999999</v>
      </c>
    </row>
    <row r="59" spans="1:17">
      <c r="A59" s="2">
        <v>2007</v>
      </c>
      <c r="B59" s="7">
        <v>0.879</v>
      </c>
      <c r="C59" s="7">
        <v>0.83599999999999997</v>
      </c>
      <c r="D59" s="7">
        <v>0.81399999999999995</v>
      </c>
      <c r="E59" s="7">
        <v>0.71699999999999997</v>
      </c>
      <c r="F59" s="7">
        <v>0.83599999999999997</v>
      </c>
      <c r="G59" s="7">
        <v>0.71299999999999997</v>
      </c>
      <c r="H59" s="7">
        <v>0.42399999999999999</v>
      </c>
      <c r="I59" s="7">
        <v>0.217</v>
      </c>
      <c r="J59" s="7">
        <v>0.76900000000000002</v>
      </c>
      <c r="K59" s="7">
        <v>0.70699999999999996</v>
      </c>
      <c r="L59" s="7">
        <v>0.748</v>
      </c>
      <c r="M59" s="7">
        <v>0.58299999999999996</v>
      </c>
      <c r="N59" s="7">
        <v>1.246</v>
      </c>
      <c r="O59" s="7">
        <v>0.70699999999999996</v>
      </c>
      <c r="P59" s="7">
        <v>0.81299999999999994</v>
      </c>
      <c r="Q59" s="7">
        <v>0.51800000000000002</v>
      </c>
    </row>
    <row r="60" spans="1:17">
      <c r="A60" s="2">
        <v>2008</v>
      </c>
      <c r="B60" s="7">
        <v>0.91900000000000004</v>
      </c>
      <c r="C60" s="7">
        <v>0.89100000000000001</v>
      </c>
      <c r="D60" s="7">
        <v>0.79300000000000004</v>
      </c>
      <c r="E60" s="7">
        <v>0.81100000000000005</v>
      </c>
      <c r="F60" s="7">
        <v>0.89100000000000001</v>
      </c>
      <c r="G60" s="7">
        <v>0.64200000000000002</v>
      </c>
      <c r="H60" s="7">
        <v>0.61599999999999999</v>
      </c>
      <c r="I60" s="7">
        <v>0.311</v>
      </c>
      <c r="J60" s="7">
        <v>0.84599999999999997</v>
      </c>
      <c r="K60" s="7">
        <v>0.80500000000000005</v>
      </c>
      <c r="L60" s="7">
        <v>0.83199999999999996</v>
      </c>
      <c r="M60" s="7">
        <v>0.72199999999999998</v>
      </c>
      <c r="N60" s="7">
        <v>1.1639999999999999</v>
      </c>
      <c r="O60" s="7">
        <v>0.80500000000000005</v>
      </c>
      <c r="P60" s="7">
        <v>0.875</v>
      </c>
      <c r="Q60" s="7">
        <v>0.61199999999999999</v>
      </c>
    </row>
    <row r="61" spans="1:17">
      <c r="A61" s="2">
        <v>2009</v>
      </c>
      <c r="B61" s="7">
        <v>0.96</v>
      </c>
      <c r="C61" s="7">
        <v>0.94499999999999995</v>
      </c>
      <c r="D61" s="7">
        <v>0.77100000000000002</v>
      </c>
      <c r="E61" s="7">
        <v>0.90600000000000003</v>
      </c>
      <c r="F61" s="7">
        <v>0.94499999999999995</v>
      </c>
      <c r="G61" s="7">
        <v>0.57099999999999995</v>
      </c>
      <c r="H61" s="7">
        <v>0.80800000000000005</v>
      </c>
      <c r="I61" s="7">
        <v>0.40600000000000003</v>
      </c>
      <c r="J61" s="7">
        <v>0.92300000000000004</v>
      </c>
      <c r="K61" s="7">
        <v>0.90200000000000002</v>
      </c>
      <c r="L61" s="7">
        <v>0.91600000000000004</v>
      </c>
      <c r="M61" s="7">
        <v>0.86099999999999999</v>
      </c>
      <c r="N61" s="7">
        <v>1.0820000000000001</v>
      </c>
      <c r="O61" s="7">
        <v>0.90200000000000002</v>
      </c>
      <c r="P61" s="7">
        <v>0.93799999999999994</v>
      </c>
      <c r="Q61" s="7">
        <v>0.70599999999999996</v>
      </c>
    </row>
    <row r="62" spans="1:17">
      <c r="A62" s="2">
        <v>2010</v>
      </c>
      <c r="B62" s="7">
        <v>1</v>
      </c>
      <c r="C62" s="7">
        <v>1</v>
      </c>
      <c r="D62" s="7">
        <v>0.75</v>
      </c>
      <c r="E62" s="7">
        <v>1</v>
      </c>
      <c r="F62" s="7">
        <v>1</v>
      </c>
      <c r="G62" s="7">
        <v>0.5</v>
      </c>
      <c r="H62" s="7">
        <v>1</v>
      </c>
      <c r="I62" s="7">
        <v>0.5</v>
      </c>
      <c r="J62" s="7">
        <v>1</v>
      </c>
      <c r="K62" s="7">
        <v>1</v>
      </c>
      <c r="L62" s="7">
        <v>1</v>
      </c>
      <c r="M62" s="7">
        <v>1</v>
      </c>
      <c r="N62" s="7">
        <v>1</v>
      </c>
      <c r="O62" s="7">
        <v>1</v>
      </c>
      <c r="P62" s="7">
        <v>1</v>
      </c>
      <c r="Q62" s="7">
        <v>0.8</v>
      </c>
    </row>
    <row r="63" spans="1:17">
      <c r="A63" s="2">
        <v>2011</v>
      </c>
      <c r="B63" s="7">
        <v>0.96</v>
      </c>
      <c r="C63" s="7">
        <v>0.96</v>
      </c>
      <c r="D63" s="7">
        <v>0.72699999999999998</v>
      </c>
      <c r="E63" s="7">
        <v>0.96</v>
      </c>
      <c r="F63" s="7">
        <v>0.96</v>
      </c>
      <c r="G63" s="7">
        <v>0.52</v>
      </c>
      <c r="H63" s="7">
        <v>0.98699999999999999</v>
      </c>
      <c r="I63" s="7">
        <v>0.52</v>
      </c>
      <c r="J63" s="7">
        <v>0.98699999999999999</v>
      </c>
      <c r="K63" s="7">
        <v>0.98699999999999999</v>
      </c>
      <c r="L63" s="7">
        <v>0.98699999999999999</v>
      </c>
      <c r="M63" s="7">
        <v>0.98699999999999999</v>
      </c>
      <c r="N63" s="7">
        <v>0.99299999999999999</v>
      </c>
      <c r="O63" s="7">
        <v>0.98699999999999999</v>
      </c>
      <c r="P63" s="7">
        <v>0.98699999999999999</v>
      </c>
      <c r="Q63" s="7">
        <v>0.8</v>
      </c>
    </row>
    <row r="64" spans="1:17">
      <c r="A64" s="2">
        <v>2012</v>
      </c>
      <c r="B64" s="7">
        <v>0.92</v>
      </c>
      <c r="C64" s="7">
        <v>0.92</v>
      </c>
      <c r="D64" s="7">
        <v>0.70299999999999996</v>
      </c>
      <c r="E64" s="7">
        <v>0.92</v>
      </c>
      <c r="F64" s="7">
        <v>0.92</v>
      </c>
      <c r="G64" s="7">
        <v>0.54</v>
      </c>
      <c r="H64" s="7">
        <v>0.97299999999999998</v>
      </c>
      <c r="I64" s="7">
        <v>0.54</v>
      </c>
      <c r="J64" s="7">
        <v>0.97299999999999998</v>
      </c>
      <c r="K64" s="7">
        <v>0.97299999999999998</v>
      </c>
      <c r="L64" s="7">
        <v>0.97299999999999998</v>
      </c>
      <c r="M64" s="7">
        <v>0.97299999999999998</v>
      </c>
      <c r="N64" s="7">
        <v>0.98699999999999999</v>
      </c>
      <c r="O64" s="7">
        <v>0.97299999999999998</v>
      </c>
      <c r="P64" s="7">
        <v>0.97299999999999998</v>
      </c>
      <c r="Q64" s="7">
        <v>0.8</v>
      </c>
    </row>
    <row r="65" spans="1:17">
      <c r="A65" s="2">
        <v>2013</v>
      </c>
      <c r="B65" s="7">
        <v>0.88</v>
      </c>
      <c r="C65" s="7">
        <v>0.88</v>
      </c>
      <c r="D65" s="7">
        <v>0.68</v>
      </c>
      <c r="E65" s="7">
        <v>0.88</v>
      </c>
      <c r="F65" s="7">
        <v>0.88</v>
      </c>
      <c r="G65" s="7">
        <v>0.56000000000000005</v>
      </c>
      <c r="H65" s="7">
        <v>0.96</v>
      </c>
      <c r="I65" s="7">
        <v>0.56000000000000005</v>
      </c>
      <c r="J65" s="7">
        <v>0.96</v>
      </c>
      <c r="K65" s="7">
        <v>0.96</v>
      </c>
      <c r="L65" s="7">
        <v>0.96</v>
      </c>
      <c r="M65" s="7">
        <v>0.96</v>
      </c>
      <c r="N65" s="7">
        <v>0.98</v>
      </c>
      <c r="O65" s="7">
        <v>0.96</v>
      </c>
      <c r="P65" s="7">
        <v>0.96</v>
      </c>
      <c r="Q65" s="7">
        <v>0.8</v>
      </c>
    </row>
    <row r="66" spans="1:17">
      <c r="A66" s="2">
        <v>2014</v>
      </c>
      <c r="B66" s="7">
        <v>0.84</v>
      </c>
      <c r="C66" s="7">
        <v>0.84</v>
      </c>
      <c r="D66" s="7">
        <v>0.65700000000000003</v>
      </c>
      <c r="E66" s="7">
        <v>0.84</v>
      </c>
      <c r="F66" s="7">
        <v>0.84</v>
      </c>
      <c r="G66" s="7">
        <v>0.57999999999999996</v>
      </c>
      <c r="H66" s="7">
        <v>0.94699999999999995</v>
      </c>
      <c r="I66" s="7">
        <v>0.57999999999999996</v>
      </c>
      <c r="J66" s="7">
        <v>0.94699999999999995</v>
      </c>
      <c r="K66" s="7">
        <v>0.94699999999999995</v>
      </c>
      <c r="L66" s="7">
        <v>0.94699999999999995</v>
      </c>
      <c r="M66" s="7">
        <v>0.94699999999999995</v>
      </c>
      <c r="N66" s="7">
        <v>0.97299999999999998</v>
      </c>
      <c r="O66" s="7">
        <v>0.94699999999999995</v>
      </c>
      <c r="P66" s="7">
        <v>0.94699999999999995</v>
      </c>
      <c r="Q66" s="7">
        <v>0.8</v>
      </c>
    </row>
    <row r="67" spans="1:17">
      <c r="A67" s="2">
        <v>2015</v>
      </c>
      <c r="B67" s="7">
        <v>0.8</v>
      </c>
      <c r="C67" s="7">
        <v>0.8</v>
      </c>
      <c r="D67" s="7">
        <v>0.63300000000000001</v>
      </c>
      <c r="E67" s="7">
        <v>0.8</v>
      </c>
      <c r="F67" s="7">
        <v>0.8</v>
      </c>
      <c r="G67" s="7">
        <v>0.6</v>
      </c>
      <c r="H67" s="7">
        <v>0.93300000000000005</v>
      </c>
      <c r="I67" s="7">
        <v>0.6</v>
      </c>
      <c r="J67" s="7">
        <v>0.93300000000000005</v>
      </c>
      <c r="K67" s="7">
        <v>0.93300000000000005</v>
      </c>
      <c r="L67" s="7">
        <v>0.93300000000000005</v>
      </c>
      <c r="M67" s="7">
        <v>0.93300000000000005</v>
      </c>
      <c r="N67" s="7">
        <v>0.96699999999999997</v>
      </c>
      <c r="O67" s="7">
        <v>0.93300000000000005</v>
      </c>
      <c r="P67" s="7">
        <v>0.93300000000000005</v>
      </c>
      <c r="Q67" s="7">
        <v>0.8</v>
      </c>
    </row>
    <row r="68" spans="1:17">
      <c r="A68" s="2">
        <v>2016</v>
      </c>
      <c r="B68" s="7">
        <v>0.76</v>
      </c>
      <c r="C68" s="7">
        <v>0.76</v>
      </c>
      <c r="D68" s="7">
        <v>0.61</v>
      </c>
      <c r="E68" s="7">
        <v>0.76</v>
      </c>
      <c r="F68" s="7">
        <v>0.76</v>
      </c>
      <c r="G68" s="7">
        <v>0.62</v>
      </c>
      <c r="H68" s="7">
        <v>0.92</v>
      </c>
      <c r="I68" s="7">
        <v>0.62</v>
      </c>
      <c r="J68" s="7">
        <v>0.92</v>
      </c>
      <c r="K68" s="7">
        <v>0.92</v>
      </c>
      <c r="L68" s="7">
        <v>0.92</v>
      </c>
      <c r="M68" s="7">
        <v>0.92</v>
      </c>
      <c r="N68" s="7">
        <v>0.96</v>
      </c>
      <c r="O68" s="7">
        <v>0.92</v>
      </c>
      <c r="P68" s="7">
        <v>0.92</v>
      </c>
      <c r="Q68" s="7">
        <v>0.8</v>
      </c>
    </row>
    <row r="69" spans="1:17">
      <c r="A69" s="2">
        <v>2017</v>
      </c>
      <c r="B69" s="7">
        <v>0.72</v>
      </c>
      <c r="C69" s="7">
        <v>0.72</v>
      </c>
      <c r="D69" s="7">
        <v>0.58699999999999997</v>
      </c>
      <c r="E69" s="7">
        <v>0.72</v>
      </c>
      <c r="F69" s="7">
        <v>0.72</v>
      </c>
      <c r="G69" s="7">
        <v>0.64</v>
      </c>
      <c r="H69" s="7">
        <v>0.90700000000000003</v>
      </c>
      <c r="I69" s="7">
        <v>0.64</v>
      </c>
      <c r="J69" s="7">
        <v>0.90700000000000003</v>
      </c>
      <c r="K69" s="7">
        <v>0.90700000000000003</v>
      </c>
      <c r="L69" s="7">
        <v>0.90700000000000003</v>
      </c>
      <c r="M69" s="7">
        <v>0.90700000000000003</v>
      </c>
      <c r="N69" s="7">
        <v>0.95299999999999996</v>
      </c>
      <c r="O69" s="7">
        <v>0.90700000000000003</v>
      </c>
      <c r="P69" s="7">
        <v>0.90700000000000003</v>
      </c>
      <c r="Q69" s="7">
        <v>0.8</v>
      </c>
    </row>
    <row r="70" spans="1:17">
      <c r="A70" s="2">
        <v>2018</v>
      </c>
      <c r="B70" s="7">
        <v>0.68</v>
      </c>
      <c r="C70" s="7">
        <v>0.68</v>
      </c>
      <c r="D70" s="7">
        <v>0.56299999999999994</v>
      </c>
      <c r="E70" s="7">
        <v>0.68</v>
      </c>
      <c r="F70" s="7">
        <v>0.68</v>
      </c>
      <c r="G70" s="7">
        <v>0.66</v>
      </c>
      <c r="H70" s="7">
        <v>0.89300000000000002</v>
      </c>
      <c r="I70" s="7">
        <v>0.66</v>
      </c>
      <c r="J70" s="7">
        <v>0.89300000000000002</v>
      </c>
      <c r="K70" s="7">
        <v>0.89300000000000002</v>
      </c>
      <c r="L70" s="7">
        <v>0.89300000000000002</v>
      </c>
      <c r="M70" s="7">
        <v>0.89300000000000002</v>
      </c>
      <c r="N70" s="7">
        <v>0.94699999999999995</v>
      </c>
      <c r="O70" s="7">
        <v>0.89300000000000002</v>
      </c>
      <c r="P70" s="7">
        <v>0.89300000000000002</v>
      </c>
      <c r="Q70" s="7">
        <v>0.8</v>
      </c>
    </row>
    <row r="71" spans="1:17">
      <c r="A71" s="2">
        <v>2019</v>
      </c>
      <c r="B71" s="7">
        <v>0.64</v>
      </c>
      <c r="C71" s="7">
        <v>0.64</v>
      </c>
      <c r="D71" s="7">
        <v>0.54</v>
      </c>
      <c r="E71" s="7">
        <v>0.64</v>
      </c>
      <c r="F71" s="7">
        <v>0.64</v>
      </c>
      <c r="G71" s="7">
        <v>0.68</v>
      </c>
      <c r="H71" s="7">
        <v>0.88</v>
      </c>
      <c r="I71" s="7">
        <v>0.68</v>
      </c>
      <c r="J71" s="7">
        <v>0.88</v>
      </c>
      <c r="K71" s="7">
        <v>0.88</v>
      </c>
      <c r="L71" s="7">
        <v>0.88</v>
      </c>
      <c r="M71" s="7">
        <v>0.88</v>
      </c>
      <c r="N71" s="7">
        <v>0.94</v>
      </c>
      <c r="O71" s="7">
        <v>0.88</v>
      </c>
      <c r="P71" s="7">
        <v>0.88</v>
      </c>
      <c r="Q71" s="7">
        <v>0.8</v>
      </c>
    </row>
    <row r="72" spans="1:17">
      <c r="A72" s="2">
        <v>2020</v>
      </c>
      <c r="B72" s="7">
        <v>0.6</v>
      </c>
      <c r="C72" s="7">
        <v>0.6</v>
      </c>
      <c r="D72" s="7">
        <v>0.51700000000000002</v>
      </c>
      <c r="E72" s="7">
        <v>0.6</v>
      </c>
      <c r="F72" s="7">
        <v>0.6</v>
      </c>
      <c r="G72" s="7">
        <v>0.7</v>
      </c>
      <c r="H72" s="7">
        <v>0.86699999999999999</v>
      </c>
      <c r="I72" s="7">
        <v>0.7</v>
      </c>
      <c r="J72" s="7">
        <v>0.86699999999999999</v>
      </c>
      <c r="K72" s="7">
        <v>0.86699999999999999</v>
      </c>
      <c r="L72" s="7">
        <v>0.86699999999999999</v>
      </c>
      <c r="M72" s="7">
        <v>0.86699999999999999</v>
      </c>
      <c r="N72" s="7">
        <v>0.93300000000000005</v>
      </c>
      <c r="O72" s="7">
        <v>0.86699999999999999</v>
      </c>
      <c r="P72" s="7">
        <v>0.86699999999999999</v>
      </c>
      <c r="Q72" s="7">
        <v>0.8</v>
      </c>
    </row>
    <row r="73" spans="1:17">
      <c r="A73" s="2">
        <v>2021</v>
      </c>
      <c r="B73" s="7">
        <v>0.56000000000000005</v>
      </c>
      <c r="C73" s="7">
        <v>0.56000000000000005</v>
      </c>
      <c r="D73" s="7">
        <v>0.49299999999999999</v>
      </c>
      <c r="E73" s="7">
        <v>0.56000000000000005</v>
      </c>
      <c r="F73" s="7">
        <v>0.56000000000000005</v>
      </c>
      <c r="G73" s="7">
        <v>0.72</v>
      </c>
      <c r="H73" s="7">
        <v>0.85299999999999998</v>
      </c>
      <c r="I73" s="7">
        <v>0.72</v>
      </c>
      <c r="J73" s="7">
        <v>0.85299999999999998</v>
      </c>
      <c r="K73" s="7">
        <v>0.85299999999999998</v>
      </c>
      <c r="L73" s="7">
        <v>0.85299999999999998</v>
      </c>
      <c r="M73" s="7">
        <v>0.85299999999999998</v>
      </c>
      <c r="N73" s="7">
        <v>0.92700000000000005</v>
      </c>
      <c r="O73" s="7">
        <v>0.85299999999999998</v>
      </c>
      <c r="P73" s="7">
        <v>0.85299999999999998</v>
      </c>
      <c r="Q73" s="7">
        <v>0.8</v>
      </c>
    </row>
    <row r="74" spans="1:17">
      <c r="A74" s="2">
        <v>2022</v>
      </c>
      <c r="B74" s="7">
        <v>0.52</v>
      </c>
      <c r="C74" s="7">
        <v>0.52</v>
      </c>
      <c r="D74" s="7">
        <v>0.47</v>
      </c>
      <c r="E74" s="7">
        <v>0.52</v>
      </c>
      <c r="F74" s="7">
        <v>0.52</v>
      </c>
      <c r="G74" s="7">
        <v>0.74</v>
      </c>
      <c r="H74" s="7">
        <v>0.84</v>
      </c>
      <c r="I74" s="7">
        <v>0.74</v>
      </c>
      <c r="J74" s="7">
        <v>0.84</v>
      </c>
      <c r="K74" s="7">
        <v>0.84</v>
      </c>
      <c r="L74" s="7">
        <v>0.84</v>
      </c>
      <c r="M74" s="7">
        <v>0.84</v>
      </c>
      <c r="N74" s="7">
        <v>0.92</v>
      </c>
      <c r="O74" s="7">
        <v>0.84</v>
      </c>
      <c r="P74" s="7">
        <v>0.84</v>
      </c>
      <c r="Q74" s="7">
        <v>0.8</v>
      </c>
    </row>
    <row r="75" spans="1:17">
      <c r="A75" s="2">
        <v>2023</v>
      </c>
      <c r="B75" s="7">
        <v>0.48</v>
      </c>
      <c r="C75" s="7">
        <v>0.48</v>
      </c>
      <c r="D75" s="7">
        <v>0.44700000000000001</v>
      </c>
      <c r="E75" s="7">
        <v>0.48</v>
      </c>
      <c r="F75" s="7">
        <v>0.48</v>
      </c>
      <c r="G75" s="7">
        <v>0.76</v>
      </c>
      <c r="H75" s="7">
        <v>0.82699999999999996</v>
      </c>
      <c r="I75" s="7">
        <v>0.76</v>
      </c>
      <c r="J75" s="7">
        <v>0.82699999999999996</v>
      </c>
      <c r="K75" s="7">
        <v>0.82699999999999996</v>
      </c>
      <c r="L75" s="7">
        <v>0.82699999999999996</v>
      </c>
      <c r="M75" s="7">
        <v>0.82699999999999996</v>
      </c>
      <c r="N75" s="7">
        <v>0.91300000000000003</v>
      </c>
      <c r="O75" s="7">
        <v>0.82699999999999996</v>
      </c>
      <c r="P75" s="7">
        <v>0.82699999999999996</v>
      </c>
      <c r="Q75" s="7">
        <v>0.8</v>
      </c>
    </row>
    <row r="76" spans="1:17">
      <c r="A76" s="2">
        <v>2024</v>
      </c>
      <c r="B76" s="7">
        <v>0.44</v>
      </c>
      <c r="C76" s="7">
        <v>0.44</v>
      </c>
      <c r="D76" s="7">
        <v>0.42299999999999999</v>
      </c>
      <c r="E76" s="7">
        <v>0.44</v>
      </c>
      <c r="F76" s="7">
        <v>0.44</v>
      </c>
      <c r="G76" s="7">
        <v>0.78</v>
      </c>
      <c r="H76" s="7">
        <v>0.81299999999999994</v>
      </c>
      <c r="I76" s="7">
        <v>0.78</v>
      </c>
      <c r="J76" s="7">
        <v>0.81299999999999994</v>
      </c>
      <c r="K76" s="7">
        <v>0.81299999999999994</v>
      </c>
      <c r="L76" s="7">
        <v>0.81299999999999994</v>
      </c>
      <c r="M76" s="7">
        <v>0.81299999999999994</v>
      </c>
      <c r="N76" s="7">
        <v>0.90700000000000003</v>
      </c>
      <c r="O76" s="7">
        <v>0.81299999999999994</v>
      </c>
      <c r="P76" s="7">
        <v>0.81299999999999994</v>
      </c>
      <c r="Q76" s="7">
        <v>0.8</v>
      </c>
    </row>
    <row r="77" spans="1:17">
      <c r="A77" s="2">
        <v>2025</v>
      </c>
      <c r="B77" s="7">
        <v>0.4</v>
      </c>
      <c r="C77" s="7">
        <v>0.4</v>
      </c>
      <c r="D77" s="7">
        <v>0.4</v>
      </c>
      <c r="E77" s="7">
        <v>0.4</v>
      </c>
      <c r="F77" s="7">
        <v>0.4</v>
      </c>
      <c r="G77" s="7">
        <v>0.8</v>
      </c>
      <c r="H77" s="7">
        <v>0.8</v>
      </c>
      <c r="I77" s="7">
        <v>0.8</v>
      </c>
      <c r="J77" s="7">
        <v>0.8</v>
      </c>
      <c r="K77" s="7">
        <v>0.8</v>
      </c>
      <c r="L77" s="7">
        <v>0.8</v>
      </c>
      <c r="M77" s="7">
        <v>0.8</v>
      </c>
      <c r="N77" s="7">
        <v>0.9</v>
      </c>
      <c r="O77" s="7">
        <v>0.8</v>
      </c>
      <c r="P77" s="7">
        <v>0.8</v>
      </c>
      <c r="Q77" s="7">
        <v>0.8</v>
      </c>
    </row>
    <row r="78" spans="1:17">
      <c r="A78" s="2">
        <v>2026</v>
      </c>
      <c r="B78" s="7">
        <v>0.39600000000000002</v>
      </c>
      <c r="C78" s="7">
        <v>0.39600000000000002</v>
      </c>
      <c r="D78" s="7">
        <v>0.39600000000000002</v>
      </c>
      <c r="E78" s="7">
        <v>0.39600000000000002</v>
      </c>
      <c r="F78" s="7">
        <v>0.39600000000000002</v>
      </c>
      <c r="G78" s="7">
        <v>0.78800000000000003</v>
      </c>
      <c r="H78" s="7">
        <v>0.78800000000000003</v>
      </c>
      <c r="I78" s="7">
        <v>0.79600000000000004</v>
      </c>
      <c r="J78" s="7">
        <v>0.79600000000000004</v>
      </c>
      <c r="K78" s="7">
        <v>0.79600000000000004</v>
      </c>
      <c r="L78" s="7">
        <v>0.79600000000000004</v>
      </c>
      <c r="M78" s="7">
        <v>0.79600000000000004</v>
      </c>
      <c r="N78" s="7">
        <v>0.89600000000000002</v>
      </c>
      <c r="O78" s="7">
        <v>0.79600000000000004</v>
      </c>
      <c r="P78" s="7">
        <v>0.79600000000000004</v>
      </c>
      <c r="Q78" s="7">
        <v>0.79600000000000004</v>
      </c>
    </row>
    <row r="79" spans="1:17">
      <c r="A79" s="2">
        <v>2027</v>
      </c>
      <c r="B79" s="7">
        <v>0.39200000000000002</v>
      </c>
      <c r="C79" s="7">
        <v>0.39200000000000002</v>
      </c>
      <c r="D79" s="7">
        <v>0.39200000000000002</v>
      </c>
      <c r="E79" s="7">
        <v>0.39200000000000002</v>
      </c>
      <c r="F79" s="7">
        <v>0.39200000000000002</v>
      </c>
      <c r="G79" s="7">
        <v>0.77600000000000002</v>
      </c>
      <c r="H79" s="7">
        <v>0.77600000000000002</v>
      </c>
      <c r="I79" s="7">
        <v>0.79200000000000004</v>
      </c>
      <c r="J79" s="7">
        <v>0.79200000000000004</v>
      </c>
      <c r="K79" s="7">
        <v>0.79200000000000004</v>
      </c>
      <c r="L79" s="7">
        <v>0.79200000000000004</v>
      </c>
      <c r="M79" s="7">
        <v>0.79200000000000004</v>
      </c>
      <c r="N79" s="7">
        <v>0.89200000000000002</v>
      </c>
      <c r="O79" s="7">
        <v>0.79200000000000004</v>
      </c>
      <c r="P79" s="7">
        <v>0.79200000000000004</v>
      </c>
      <c r="Q79" s="7">
        <v>0.79200000000000004</v>
      </c>
    </row>
    <row r="80" spans="1:17">
      <c r="A80" s="2">
        <v>2028</v>
      </c>
      <c r="B80" s="7">
        <v>0.38800000000000001</v>
      </c>
      <c r="C80" s="7">
        <v>0.38800000000000001</v>
      </c>
      <c r="D80" s="7">
        <v>0.38800000000000001</v>
      </c>
      <c r="E80" s="7">
        <v>0.38800000000000001</v>
      </c>
      <c r="F80" s="7">
        <v>0.38800000000000001</v>
      </c>
      <c r="G80" s="7">
        <v>0.76400000000000001</v>
      </c>
      <c r="H80" s="7">
        <v>0.76400000000000001</v>
      </c>
      <c r="I80" s="7">
        <v>0.78800000000000003</v>
      </c>
      <c r="J80" s="7">
        <v>0.78800000000000003</v>
      </c>
      <c r="K80" s="7">
        <v>0.78800000000000003</v>
      </c>
      <c r="L80" s="7">
        <v>0.78800000000000003</v>
      </c>
      <c r="M80" s="7">
        <v>0.78800000000000003</v>
      </c>
      <c r="N80" s="7">
        <v>0.88800000000000001</v>
      </c>
      <c r="O80" s="7">
        <v>0.78800000000000003</v>
      </c>
      <c r="P80" s="7">
        <v>0.78800000000000003</v>
      </c>
      <c r="Q80" s="7">
        <v>0.78800000000000003</v>
      </c>
    </row>
    <row r="81" spans="1:17">
      <c r="A81" s="2">
        <v>2029</v>
      </c>
      <c r="B81" s="7">
        <v>0.38400000000000001</v>
      </c>
      <c r="C81" s="7">
        <v>0.38400000000000001</v>
      </c>
      <c r="D81" s="7">
        <v>0.38400000000000001</v>
      </c>
      <c r="E81" s="7">
        <v>0.38400000000000001</v>
      </c>
      <c r="F81" s="7">
        <v>0.38400000000000001</v>
      </c>
      <c r="G81" s="7">
        <v>0.752</v>
      </c>
      <c r="H81" s="7">
        <v>0.752</v>
      </c>
      <c r="I81" s="7">
        <v>0.78400000000000003</v>
      </c>
      <c r="J81" s="7">
        <v>0.78400000000000003</v>
      </c>
      <c r="K81" s="7">
        <v>0.78400000000000003</v>
      </c>
      <c r="L81" s="7">
        <v>0.78400000000000003</v>
      </c>
      <c r="M81" s="7">
        <v>0.78400000000000003</v>
      </c>
      <c r="N81" s="7">
        <v>0.88400000000000001</v>
      </c>
      <c r="O81" s="7">
        <v>0.78400000000000003</v>
      </c>
      <c r="P81" s="7">
        <v>0.78400000000000003</v>
      </c>
      <c r="Q81" s="7">
        <v>0.78400000000000003</v>
      </c>
    </row>
    <row r="82" spans="1:17">
      <c r="A82" s="2">
        <v>2030</v>
      </c>
      <c r="B82" s="7">
        <v>0.38</v>
      </c>
      <c r="C82" s="7">
        <v>0.38</v>
      </c>
      <c r="D82" s="7">
        <v>0.38</v>
      </c>
      <c r="E82" s="7">
        <v>0.38</v>
      </c>
      <c r="F82" s="7">
        <v>0.38</v>
      </c>
      <c r="G82" s="7">
        <v>0.74</v>
      </c>
      <c r="H82" s="7">
        <v>0.74</v>
      </c>
      <c r="I82" s="7">
        <v>0.78</v>
      </c>
      <c r="J82" s="7">
        <v>0.78</v>
      </c>
      <c r="K82" s="7">
        <v>0.78</v>
      </c>
      <c r="L82" s="7">
        <v>0.78</v>
      </c>
      <c r="M82" s="7">
        <v>0.78</v>
      </c>
      <c r="N82" s="7">
        <v>0.88</v>
      </c>
      <c r="O82" s="7">
        <v>0.78</v>
      </c>
      <c r="P82" s="7">
        <v>0.78</v>
      </c>
      <c r="Q82" s="7">
        <v>0.78</v>
      </c>
    </row>
    <row r="83" spans="1:17">
      <c r="A83" s="2">
        <v>2031</v>
      </c>
      <c r="B83" s="7">
        <v>0.376</v>
      </c>
      <c r="C83" s="7">
        <v>0.376</v>
      </c>
      <c r="D83" s="7">
        <v>0.376</v>
      </c>
      <c r="E83" s="7">
        <v>0.376</v>
      </c>
      <c r="F83" s="7">
        <v>0.376</v>
      </c>
      <c r="G83" s="7">
        <v>0.72799999999999998</v>
      </c>
      <c r="H83" s="7">
        <v>0.72799999999999998</v>
      </c>
      <c r="I83" s="7">
        <v>0.77600000000000002</v>
      </c>
      <c r="J83" s="7">
        <v>0.77600000000000002</v>
      </c>
      <c r="K83" s="7">
        <v>0.77600000000000002</v>
      </c>
      <c r="L83" s="7">
        <v>0.77600000000000002</v>
      </c>
      <c r="M83" s="7">
        <v>0.77600000000000002</v>
      </c>
      <c r="N83" s="7">
        <v>0.876</v>
      </c>
      <c r="O83" s="7">
        <v>0.77600000000000002</v>
      </c>
      <c r="P83" s="7">
        <v>0.77600000000000002</v>
      </c>
      <c r="Q83" s="7">
        <v>0.77600000000000002</v>
      </c>
    </row>
    <row r="84" spans="1:17">
      <c r="A84" s="2">
        <v>2032</v>
      </c>
      <c r="B84" s="7">
        <v>0.372</v>
      </c>
      <c r="C84" s="7">
        <v>0.372</v>
      </c>
      <c r="D84" s="7">
        <v>0.372</v>
      </c>
      <c r="E84" s="7">
        <v>0.372</v>
      </c>
      <c r="F84" s="7">
        <v>0.372</v>
      </c>
      <c r="G84" s="7">
        <v>0.71599999999999997</v>
      </c>
      <c r="H84" s="7">
        <v>0.71599999999999997</v>
      </c>
      <c r="I84" s="7">
        <v>0.77200000000000002</v>
      </c>
      <c r="J84" s="7">
        <v>0.77200000000000002</v>
      </c>
      <c r="K84" s="7">
        <v>0.77200000000000002</v>
      </c>
      <c r="L84" s="7">
        <v>0.77200000000000002</v>
      </c>
      <c r="M84" s="7">
        <v>0.77200000000000002</v>
      </c>
      <c r="N84" s="7">
        <v>0.872</v>
      </c>
      <c r="O84" s="7">
        <v>0.77200000000000002</v>
      </c>
      <c r="P84" s="7">
        <v>0.77200000000000002</v>
      </c>
      <c r="Q84" s="7">
        <v>0.77200000000000002</v>
      </c>
    </row>
    <row r="85" spans="1:17">
      <c r="A85" s="2">
        <v>2033</v>
      </c>
      <c r="B85" s="7">
        <v>0.36799999999999999</v>
      </c>
      <c r="C85" s="7">
        <v>0.36799999999999999</v>
      </c>
      <c r="D85" s="7">
        <v>0.36799999999999999</v>
      </c>
      <c r="E85" s="7">
        <v>0.36799999999999999</v>
      </c>
      <c r="F85" s="7">
        <v>0.36799999999999999</v>
      </c>
      <c r="G85" s="7">
        <v>0.70399999999999996</v>
      </c>
      <c r="H85" s="7">
        <v>0.70399999999999996</v>
      </c>
      <c r="I85" s="7">
        <v>0.76800000000000002</v>
      </c>
      <c r="J85" s="7">
        <v>0.76800000000000002</v>
      </c>
      <c r="K85" s="7">
        <v>0.76800000000000002</v>
      </c>
      <c r="L85" s="7">
        <v>0.76800000000000002</v>
      </c>
      <c r="M85" s="7">
        <v>0.76800000000000002</v>
      </c>
      <c r="N85" s="7">
        <v>0.86799999999999999</v>
      </c>
      <c r="O85" s="7">
        <v>0.76800000000000002</v>
      </c>
      <c r="P85" s="7">
        <v>0.76800000000000002</v>
      </c>
      <c r="Q85" s="7">
        <v>0.76800000000000002</v>
      </c>
    </row>
    <row r="86" spans="1:17">
      <c r="A86" s="2">
        <v>2034</v>
      </c>
      <c r="B86" s="7">
        <v>0.36399999999999999</v>
      </c>
      <c r="C86" s="7">
        <v>0.36399999999999999</v>
      </c>
      <c r="D86" s="7">
        <v>0.36399999999999999</v>
      </c>
      <c r="E86" s="7">
        <v>0.36399999999999999</v>
      </c>
      <c r="F86" s="7">
        <v>0.36399999999999999</v>
      </c>
      <c r="G86" s="7">
        <v>0.69199999999999995</v>
      </c>
      <c r="H86" s="7">
        <v>0.69199999999999995</v>
      </c>
      <c r="I86" s="7">
        <v>0.76400000000000001</v>
      </c>
      <c r="J86" s="7">
        <v>0.76400000000000001</v>
      </c>
      <c r="K86" s="7">
        <v>0.76400000000000001</v>
      </c>
      <c r="L86" s="7">
        <v>0.76400000000000001</v>
      </c>
      <c r="M86" s="7">
        <v>0.76400000000000001</v>
      </c>
      <c r="N86" s="7">
        <v>0.86399999999999999</v>
      </c>
      <c r="O86" s="7">
        <v>0.76400000000000001</v>
      </c>
      <c r="P86" s="7">
        <v>0.76400000000000001</v>
      </c>
      <c r="Q86" s="7">
        <v>0.76400000000000001</v>
      </c>
    </row>
    <row r="87" spans="1:17">
      <c r="A87" s="2">
        <v>2035</v>
      </c>
      <c r="B87" s="7">
        <v>0.36</v>
      </c>
      <c r="C87" s="7">
        <v>0.36</v>
      </c>
      <c r="D87" s="7">
        <v>0.36</v>
      </c>
      <c r="E87" s="7">
        <v>0.36</v>
      </c>
      <c r="F87" s="7">
        <v>0.36</v>
      </c>
      <c r="G87" s="7">
        <v>0.68</v>
      </c>
      <c r="H87" s="7">
        <v>0.68</v>
      </c>
      <c r="I87" s="7">
        <v>0.76</v>
      </c>
      <c r="J87" s="7">
        <v>0.76</v>
      </c>
      <c r="K87" s="7">
        <v>0.76</v>
      </c>
      <c r="L87" s="7">
        <v>0.76</v>
      </c>
      <c r="M87" s="7">
        <v>0.76</v>
      </c>
      <c r="N87" s="7">
        <v>0.86</v>
      </c>
      <c r="O87" s="7">
        <v>0.76</v>
      </c>
      <c r="P87" s="7">
        <v>0.76</v>
      </c>
      <c r="Q87" s="7">
        <v>0.76</v>
      </c>
    </row>
    <row r="88" spans="1:17">
      <c r="A88" s="2">
        <v>2036</v>
      </c>
      <c r="B88" s="7">
        <v>0.35599999999999998</v>
      </c>
      <c r="C88" s="7">
        <v>0.35599999999999998</v>
      </c>
      <c r="D88" s="7">
        <v>0.35599999999999998</v>
      </c>
      <c r="E88" s="7">
        <v>0.35599999999999998</v>
      </c>
      <c r="F88" s="7">
        <v>0.35599999999999998</v>
      </c>
      <c r="G88" s="7">
        <v>0.66800000000000004</v>
      </c>
      <c r="H88" s="7">
        <v>0.66800000000000004</v>
      </c>
      <c r="I88" s="7">
        <v>0.75600000000000001</v>
      </c>
      <c r="J88" s="7">
        <v>0.75600000000000001</v>
      </c>
      <c r="K88" s="7">
        <v>0.75600000000000001</v>
      </c>
      <c r="L88" s="7">
        <v>0.75600000000000001</v>
      </c>
      <c r="M88" s="7">
        <v>0.75600000000000001</v>
      </c>
      <c r="N88" s="7">
        <v>0.85599999999999998</v>
      </c>
      <c r="O88" s="7">
        <v>0.75600000000000001</v>
      </c>
      <c r="P88" s="7">
        <v>0.75600000000000001</v>
      </c>
      <c r="Q88" s="7">
        <v>0.75600000000000001</v>
      </c>
    </row>
    <row r="89" spans="1:17">
      <c r="A89" s="2">
        <v>2037</v>
      </c>
      <c r="B89" s="7">
        <v>0.35199999999999998</v>
      </c>
      <c r="C89" s="7">
        <v>0.35199999999999998</v>
      </c>
      <c r="D89" s="7">
        <v>0.35199999999999998</v>
      </c>
      <c r="E89" s="7">
        <v>0.35199999999999998</v>
      </c>
      <c r="F89" s="7">
        <v>0.35199999999999998</v>
      </c>
      <c r="G89" s="7">
        <v>0.65600000000000003</v>
      </c>
      <c r="H89" s="7">
        <v>0.65600000000000003</v>
      </c>
      <c r="I89" s="7">
        <v>0.752</v>
      </c>
      <c r="J89" s="7">
        <v>0.752</v>
      </c>
      <c r="K89" s="7">
        <v>0.752</v>
      </c>
      <c r="L89" s="7">
        <v>0.752</v>
      </c>
      <c r="M89" s="7">
        <v>0.752</v>
      </c>
      <c r="N89" s="7">
        <v>0.85199999999999998</v>
      </c>
      <c r="O89" s="7">
        <v>0.752</v>
      </c>
      <c r="P89" s="7">
        <v>0.752</v>
      </c>
      <c r="Q89" s="7">
        <v>0.752</v>
      </c>
    </row>
    <row r="90" spans="1:17">
      <c r="A90" s="2">
        <v>2038</v>
      </c>
      <c r="B90" s="7">
        <v>0.34799999999999998</v>
      </c>
      <c r="C90" s="7">
        <v>0.34799999999999998</v>
      </c>
      <c r="D90" s="7">
        <v>0.34799999999999998</v>
      </c>
      <c r="E90" s="7">
        <v>0.34799999999999998</v>
      </c>
      <c r="F90" s="7">
        <v>0.34799999999999998</v>
      </c>
      <c r="G90" s="7">
        <v>0.64400000000000002</v>
      </c>
      <c r="H90" s="7">
        <v>0.64400000000000002</v>
      </c>
      <c r="I90" s="7">
        <v>0.748</v>
      </c>
      <c r="J90" s="7">
        <v>0.748</v>
      </c>
      <c r="K90" s="7">
        <v>0.748</v>
      </c>
      <c r="L90" s="7">
        <v>0.748</v>
      </c>
      <c r="M90" s="7">
        <v>0.748</v>
      </c>
      <c r="N90" s="7">
        <v>0.84799999999999998</v>
      </c>
      <c r="O90" s="7">
        <v>0.748</v>
      </c>
      <c r="P90" s="7">
        <v>0.748</v>
      </c>
      <c r="Q90" s="7">
        <v>0.748</v>
      </c>
    </row>
    <row r="91" spans="1:17">
      <c r="A91" s="2">
        <v>2039</v>
      </c>
      <c r="B91" s="7">
        <v>0.34399999999999997</v>
      </c>
      <c r="C91" s="7">
        <v>0.34399999999999997</v>
      </c>
      <c r="D91" s="7">
        <v>0.34399999999999997</v>
      </c>
      <c r="E91" s="7">
        <v>0.34399999999999997</v>
      </c>
      <c r="F91" s="7">
        <v>0.34399999999999997</v>
      </c>
      <c r="G91" s="7">
        <v>0.63200000000000001</v>
      </c>
      <c r="H91" s="7">
        <v>0.63200000000000001</v>
      </c>
      <c r="I91" s="7">
        <v>0.74399999999999999</v>
      </c>
      <c r="J91" s="7">
        <v>0.74399999999999999</v>
      </c>
      <c r="K91" s="7">
        <v>0.74399999999999999</v>
      </c>
      <c r="L91" s="7">
        <v>0.74399999999999999</v>
      </c>
      <c r="M91" s="7">
        <v>0.74399999999999999</v>
      </c>
      <c r="N91" s="7">
        <v>0.84399999999999997</v>
      </c>
      <c r="O91" s="7">
        <v>0.74399999999999999</v>
      </c>
      <c r="P91" s="7">
        <v>0.74399999999999999</v>
      </c>
      <c r="Q91" s="7">
        <v>0.74399999999999999</v>
      </c>
    </row>
    <row r="92" spans="1:17">
      <c r="A92" s="2">
        <v>2040</v>
      </c>
      <c r="B92" s="7">
        <v>0.34</v>
      </c>
      <c r="C92" s="7">
        <v>0.34</v>
      </c>
      <c r="D92" s="7">
        <v>0.34</v>
      </c>
      <c r="E92" s="7">
        <v>0.34</v>
      </c>
      <c r="F92" s="7">
        <v>0.34</v>
      </c>
      <c r="G92" s="7">
        <v>0.62</v>
      </c>
      <c r="H92" s="7">
        <v>0.62</v>
      </c>
      <c r="I92" s="7">
        <v>0.74</v>
      </c>
      <c r="J92" s="7">
        <v>0.74</v>
      </c>
      <c r="K92" s="7">
        <v>0.74</v>
      </c>
      <c r="L92" s="7">
        <v>0.74</v>
      </c>
      <c r="M92" s="7">
        <v>0.74</v>
      </c>
      <c r="N92" s="7">
        <v>0.84</v>
      </c>
      <c r="O92" s="7">
        <v>0.74</v>
      </c>
      <c r="P92" s="7">
        <v>0.74</v>
      </c>
      <c r="Q92" s="7">
        <v>0.74</v>
      </c>
    </row>
    <row r="93" spans="1:17">
      <c r="A93" s="2">
        <v>2041</v>
      </c>
      <c r="B93" s="7">
        <v>0.33600000000000002</v>
      </c>
      <c r="C93" s="7">
        <v>0.33600000000000002</v>
      </c>
      <c r="D93" s="7">
        <v>0.33600000000000002</v>
      </c>
      <c r="E93" s="7">
        <v>0.33600000000000002</v>
      </c>
      <c r="F93" s="7">
        <v>0.33600000000000002</v>
      </c>
      <c r="G93" s="7">
        <v>0.60799999999999998</v>
      </c>
      <c r="H93" s="7">
        <v>0.60799999999999998</v>
      </c>
      <c r="I93" s="7">
        <v>0.73599999999999999</v>
      </c>
      <c r="J93" s="7">
        <v>0.73599999999999999</v>
      </c>
      <c r="K93" s="7">
        <v>0.73599999999999999</v>
      </c>
      <c r="L93" s="7">
        <v>0.73599999999999999</v>
      </c>
      <c r="M93" s="7">
        <v>0.73599999999999999</v>
      </c>
      <c r="N93" s="7">
        <v>0.83599999999999997</v>
      </c>
      <c r="O93" s="7">
        <v>0.73599999999999999</v>
      </c>
      <c r="P93" s="7">
        <v>0.73599999999999999</v>
      </c>
      <c r="Q93" s="7">
        <v>0.73599999999999999</v>
      </c>
    </row>
    <row r="94" spans="1:17">
      <c r="A94" s="2">
        <v>2042</v>
      </c>
      <c r="B94" s="7">
        <v>0.33200000000000002</v>
      </c>
      <c r="C94" s="7">
        <v>0.33200000000000002</v>
      </c>
      <c r="D94" s="7">
        <v>0.33200000000000002</v>
      </c>
      <c r="E94" s="7">
        <v>0.33200000000000002</v>
      </c>
      <c r="F94" s="7">
        <v>0.33200000000000002</v>
      </c>
      <c r="G94" s="7">
        <v>0.59599999999999997</v>
      </c>
      <c r="H94" s="7">
        <v>0.59599999999999997</v>
      </c>
      <c r="I94" s="7">
        <v>0.73199999999999998</v>
      </c>
      <c r="J94" s="7">
        <v>0.73199999999999998</v>
      </c>
      <c r="K94" s="7">
        <v>0.73199999999999998</v>
      </c>
      <c r="L94" s="7">
        <v>0.73199999999999998</v>
      </c>
      <c r="M94" s="7">
        <v>0.73199999999999998</v>
      </c>
      <c r="N94" s="7">
        <v>0.83199999999999996</v>
      </c>
      <c r="O94" s="7">
        <v>0.73199999999999998</v>
      </c>
      <c r="P94" s="7">
        <v>0.73199999999999998</v>
      </c>
      <c r="Q94" s="7">
        <v>0.73199999999999998</v>
      </c>
    </row>
    <row r="95" spans="1:17">
      <c r="A95" s="2">
        <v>2043</v>
      </c>
      <c r="B95" s="7">
        <v>0.32800000000000001</v>
      </c>
      <c r="C95" s="7">
        <v>0.32800000000000001</v>
      </c>
      <c r="D95" s="7">
        <v>0.32800000000000001</v>
      </c>
      <c r="E95" s="7">
        <v>0.32800000000000001</v>
      </c>
      <c r="F95" s="7">
        <v>0.32800000000000001</v>
      </c>
      <c r="G95" s="7">
        <v>0.58399999999999996</v>
      </c>
      <c r="H95" s="7">
        <v>0.58399999999999996</v>
      </c>
      <c r="I95" s="7">
        <v>0.72799999999999998</v>
      </c>
      <c r="J95" s="7">
        <v>0.72799999999999998</v>
      </c>
      <c r="K95" s="7">
        <v>0.72799999999999998</v>
      </c>
      <c r="L95" s="7">
        <v>0.72799999999999998</v>
      </c>
      <c r="M95" s="7">
        <v>0.72799999999999998</v>
      </c>
      <c r="N95" s="7">
        <v>0.82799999999999996</v>
      </c>
      <c r="O95" s="7">
        <v>0.72799999999999998</v>
      </c>
      <c r="P95" s="7">
        <v>0.72799999999999998</v>
      </c>
      <c r="Q95" s="7">
        <v>0.72799999999999998</v>
      </c>
    </row>
    <row r="96" spans="1:17">
      <c r="A96" s="2">
        <v>2044</v>
      </c>
      <c r="B96" s="7">
        <v>0.32400000000000001</v>
      </c>
      <c r="C96" s="7">
        <v>0.32400000000000001</v>
      </c>
      <c r="D96" s="7">
        <v>0.32400000000000001</v>
      </c>
      <c r="E96" s="7">
        <v>0.32400000000000001</v>
      </c>
      <c r="F96" s="7">
        <v>0.32400000000000001</v>
      </c>
      <c r="G96" s="7">
        <v>0.57199999999999995</v>
      </c>
      <c r="H96" s="7">
        <v>0.57199999999999995</v>
      </c>
      <c r="I96" s="7">
        <v>0.72399999999999998</v>
      </c>
      <c r="J96" s="7">
        <v>0.72399999999999998</v>
      </c>
      <c r="K96" s="7">
        <v>0.72399999999999998</v>
      </c>
      <c r="L96" s="7">
        <v>0.72399999999999998</v>
      </c>
      <c r="M96" s="7">
        <v>0.72399999999999998</v>
      </c>
      <c r="N96" s="7">
        <v>0.82399999999999995</v>
      </c>
      <c r="O96" s="7">
        <v>0.72399999999999998</v>
      </c>
      <c r="P96" s="7">
        <v>0.72399999999999998</v>
      </c>
      <c r="Q96" s="7">
        <v>0.72399999999999998</v>
      </c>
    </row>
    <row r="97" spans="1:17">
      <c r="A97" s="2">
        <v>2045</v>
      </c>
      <c r="B97" s="7">
        <v>0.32</v>
      </c>
      <c r="C97" s="7">
        <v>0.32</v>
      </c>
      <c r="D97" s="7">
        <v>0.32</v>
      </c>
      <c r="E97" s="7">
        <v>0.32</v>
      </c>
      <c r="F97" s="7">
        <v>0.32</v>
      </c>
      <c r="G97" s="7">
        <v>0.56000000000000005</v>
      </c>
      <c r="H97" s="7">
        <v>0.56000000000000005</v>
      </c>
      <c r="I97" s="7">
        <v>0.72</v>
      </c>
      <c r="J97" s="7">
        <v>0.72</v>
      </c>
      <c r="K97" s="7">
        <v>0.72</v>
      </c>
      <c r="L97" s="7">
        <v>0.72</v>
      </c>
      <c r="M97" s="7">
        <v>0.72</v>
      </c>
      <c r="N97" s="7">
        <v>0.82</v>
      </c>
      <c r="O97" s="7">
        <v>0.72</v>
      </c>
      <c r="P97" s="7">
        <v>0.72</v>
      </c>
      <c r="Q97" s="7">
        <v>0.72</v>
      </c>
    </row>
    <row r="98" spans="1:17">
      <c r="A98" s="2">
        <v>2046</v>
      </c>
      <c r="B98" s="7">
        <v>0.316</v>
      </c>
      <c r="C98" s="7">
        <v>0.316</v>
      </c>
      <c r="D98" s="7">
        <v>0.316</v>
      </c>
      <c r="E98" s="7">
        <v>0.316</v>
      </c>
      <c r="F98" s="7">
        <v>0.316</v>
      </c>
      <c r="G98" s="7">
        <v>0.54800000000000004</v>
      </c>
      <c r="H98" s="7">
        <v>0.54800000000000004</v>
      </c>
      <c r="I98" s="7">
        <v>0.71599999999999997</v>
      </c>
      <c r="J98" s="7">
        <v>0.71599999999999997</v>
      </c>
      <c r="K98" s="7">
        <v>0.71599999999999997</v>
      </c>
      <c r="L98" s="7">
        <v>0.71599999999999997</v>
      </c>
      <c r="M98" s="7">
        <v>0.71599999999999997</v>
      </c>
      <c r="N98" s="7">
        <v>0.81599999999999995</v>
      </c>
      <c r="O98" s="7">
        <v>0.71599999999999997</v>
      </c>
      <c r="P98" s="7">
        <v>0.71599999999999997</v>
      </c>
      <c r="Q98" s="7">
        <v>0.71599999999999997</v>
      </c>
    </row>
    <row r="99" spans="1:17">
      <c r="A99" s="2">
        <v>2047</v>
      </c>
      <c r="B99" s="7">
        <v>0.312</v>
      </c>
      <c r="C99" s="7">
        <v>0.312</v>
      </c>
      <c r="D99" s="7">
        <v>0.312</v>
      </c>
      <c r="E99" s="7">
        <v>0.312</v>
      </c>
      <c r="F99" s="7">
        <v>0.312</v>
      </c>
      <c r="G99" s="7">
        <v>0.53600000000000003</v>
      </c>
      <c r="H99" s="7">
        <v>0.53600000000000003</v>
      </c>
      <c r="I99" s="7">
        <v>0.71199999999999997</v>
      </c>
      <c r="J99" s="7">
        <v>0.71199999999999997</v>
      </c>
      <c r="K99" s="7">
        <v>0.71199999999999997</v>
      </c>
      <c r="L99" s="7">
        <v>0.71199999999999997</v>
      </c>
      <c r="M99" s="7">
        <v>0.71199999999999997</v>
      </c>
      <c r="N99" s="7">
        <v>0.81200000000000006</v>
      </c>
      <c r="O99" s="7">
        <v>0.71199999999999997</v>
      </c>
      <c r="P99" s="7">
        <v>0.71199999999999997</v>
      </c>
      <c r="Q99" s="7">
        <v>0.71199999999999997</v>
      </c>
    </row>
    <row r="100" spans="1:17">
      <c r="A100" s="2">
        <v>2048</v>
      </c>
      <c r="B100" s="7">
        <v>0.308</v>
      </c>
      <c r="C100" s="7">
        <v>0.308</v>
      </c>
      <c r="D100" s="7">
        <v>0.308</v>
      </c>
      <c r="E100" s="7">
        <v>0.308</v>
      </c>
      <c r="F100" s="7">
        <v>0.308</v>
      </c>
      <c r="G100" s="7">
        <v>0.52400000000000002</v>
      </c>
      <c r="H100" s="7">
        <v>0.52400000000000002</v>
      </c>
      <c r="I100" s="7">
        <v>0.70799999999999996</v>
      </c>
      <c r="J100" s="7">
        <v>0.70799999999999996</v>
      </c>
      <c r="K100" s="7">
        <v>0.70799999999999996</v>
      </c>
      <c r="L100" s="7">
        <v>0.70799999999999996</v>
      </c>
      <c r="M100" s="7">
        <v>0.70799999999999996</v>
      </c>
      <c r="N100" s="7">
        <v>0.80800000000000005</v>
      </c>
      <c r="O100" s="7">
        <v>0.70799999999999996</v>
      </c>
      <c r="P100" s="7">
        <v>0.70799999999999996</v>
      </c>
      <c r="Q100" s="7">
        <v>0.70799999999999996</v>
      </c>
    </row>
    <row r="101" spans="1:17">
      <c r="A101" s="2">
        <v>2049</v>
      </c>
      <c r="B101" s="7">
        <v>0.30399999999999999</v>
      </c>
      <c r="C101" s="7">
        <v>0.30399999999999999</v>
      </c>
      <c r="D101" s="7">
        <v>0.30399999999999999</v>
      </c>
      <c r="E101" s="7">
        <v>0.30399999999999999</v>
      </c>
      <c r="F101" s="7">
        <v>0.30399999999999999</v>
      </c>
      <c r="G101" s="7">
        <v>0.51200000000000001</v>
      </c>
      <c r="H101" s="7">
        <v>0.51200000000000001</v>
      </c>
      <c r="I101" s="7">
        <v>0.70399999999999996</v>
      </c>
      <c r="J101" s="7">
        <v>0.70399999999999996</v>
      </c>
      <c r="K101" s="7">
        <v>0.70399999999999996</v>
      </c>
      <c r="L101" s="7">
        <v>0.70399999999999996</v>
      </c>
      <c r="M101" s="7">
        <v>0.70399999999999996</v>
      </c>
      <c r="N101" s="7">
        <v>0.80400000000000005</v>
      </c>
      <c r="O101" s="7">
        <v>0.70399999999999996</v>
      </c>
      <c r="P101" s="7">
        <v>0.70399999999999996</v>
      </c>
      <c r="Q101" s="7">
        <v>0.70399999999999996</v>
      </c>
    </row>
    <row r="102" spans="1:17">
      <c r="A102" s="2">
        <v>2050</v>
      </c>
      <c r="B102" s="7">
        <v>0.3</v>
      </c>
      <c r="C102" s="7">
        <v>0.3</v>
      </c>
      <c r="D102" s="7">
        <v>0.3</v>
      </c>
      <c r="E102" s="7">
        <v>0.3</v>
      </c>
      <c r="F102" s="7">
        <v>0.3</v>
      </c>
      <c r="G102" s="7">
        <v>0.5</v>
      </c>
      <c r="H102" s="7">
        <v>0.5</v>
      </c>
      <c r="I102" s="7">
        <v>0.7</v>
      </c>
      <c r="J102" s="7">
        <v>0.7</v>
      </c>
      <c r="K102" s="7">
        <v>0.7</v>
      </c>
      <c r="L102" s="7">
        <v>0.7</v>
      </c>
      <c r="M102" s="7">
        <v>0.7</v>
      </c>
      <c r="N102" s="7">
        <v>0.8</v>
      </c>
      <c r="O102" s="7">
        <v>0.7</v>
      </c>
      <c r="P102" s="7">
        <v>0.7</v>
      </c>
      <c r="Q102" s="7">
        <v>0.7</v>
      </c>
    </row>
    <row r="103" spans="1:17">
      <c r="A103" s="2">
        <v>2051</v>
      </c>
      <c r="B103" s="7">
        <v>0.29799999999999999</v>
      </c>
      <c r="C103" s="7">
        <v>0.29799999999999999</v>
      </c>
      <c r="D103" s="7">
        <v>0.29799999999999999</v>
      </c>
      <c r="E103" s="7">
        <v>0.29799999999999999</v>
      </c>
      <c r="F103" s="7">
        <v>0.29799999999999999</v>
      </c>
      <c r="G103" s="7">
        <v>0.496</v>
      </c>
      <c r="H103" s="7">
        <v>0.496</v>
      </c>
      <c r="I103" s="7">
        <v>0.69599999999999995</v>
      </c>
      <c r="J103" s="7">
        <v>0.69599999999999995</v>
      </c>
      <c r="K103" s="7">
        <v>0.69599999999999995</v>
      </c>
      <c r="L103" s="7">
        <v>0.69599999999999995</v>
      </c>
      <c r="M103" s="7">
        <v>0.69599999999999995</v>
      </c>
      <c r="N103" s="7">
        <v>0.79600000000000004</v>
      </c>
      <c r="O103" s="7">
        <v>0.69599999999999995</v>
      </c>
      <c r="P103" s="7">
        <v>0.69599999999999995</v>
      </c>
      <c r="Q103" s="7">
        <v>0.69599999999999995</v>
      </c>
    </row>
    <row r="104" spans="1:17">
      <c r="A104" s="2">
        <v>2052</v>
      </c>
      <c r="B104" s="7">
        <v>0.29599999999999999</v>
      </c>
      <c r="C104" s="7">
        <v>0.29599999999999999</v>
      </c>
      <c r="D104" s="7">
        <v>0.29599999999999999</v>
      </c>
      <c r="E104" s="7">
        <v>0.29599999999999999</v>
      </c>
      <c r="F104" s="7">
        <v>0.29599999999999999</v>
      </c>
      <c r="G104" s="7">
        <v>0.49199999999999999</v>
      </c>
      <c r="H104" s="7">
        <v>0.49199999999999999</v>
      </c>
      <c r="I104" s="7">
        <v>0.69199999999999995</v>
      </c>
      <c r="J104" s="7">
        <v>0.69199999999999995</v>
      </c>
      <c r="K104" s="7">
        <v>0.69199999999999995</v>
      </c>
      <c r="L104" s="7">
        <v>0.69199999999999995</v>
      </c>
      <c r="M104" s="7">
        <v>0.69199999999999995</v>
      </c>
      <c r="N104" s="7">
        <v>0.79200000000000004</v>
      </c>
      <c r="O104" s="7">
        <v>0.69199999999999995</v>
      </c>
      <c r="P104" s="7">
        <v>0.69199999999999995</v>
      </c>
      <c r="Q104" s="7">
        <v>0.69199999999999995</v>
      </c>
    </row>
    <row r="105" spans="1:17">
      <c r="A105" s="2">
        <v>2053</v>
      </c>
      <c r="B105" s="7">
        <v>0.29399999999999998</v>
      </c>
      <c r="C105" s="7">
        <v>0.29399999999999998</v>
      </c>
      <c r="D105" s="7">
        <v>0.29399999999999998</v>
      </c>
      <c r="E105" s="7">
        <v>0.29399999999999998</v>
      </c>
      <c r="F105" s="7">
        <v>0.29399999999999998</v>
      </c>
      <c r="G105" s="7">
        <v>0.48799999999999999</v>
      </c>
      <c r="H105" s="7">
        <v>0.48799999999999999</v>
      </c>
      <c r="I105" s="7">
        <v>0.68799999999999994</v>
      </c>
      <c r="J105" s="7">
        <v>0.68799999999999994</v>
      </c>
      <c r="K105" s="7">
        <v>0.68799999999999994</v>
      </c>
      <c r="L105" s="7">
        <v>0.68799999999999994</v>
      </c>
      <c r="M105" s="7">
        <v>0.68799999999999994</v>
      </c>
      <c r="N105" s="7">
        <v>0.78800000000000003</v>
      </c>
      <c r="O105" s="7">
        <v>0.68799999999999994</v>
      </c>
      <c r="P105" s="7">
        <v>0.68799999999999994</v>
      </c>
      <c r="Q105" s="7">
        <v>0.68799999999999994</v>
      </c>
    </row>
    <row r="106" spans="1:17">
      <c r="A106" s="2">
        <v>2054</v>
      </c>
      <c r="B106" s="7">
        <v>0.29199999999999998</v>
      </c>
      <c r="C106" s="7">
        <v>0.29199999999999998</v>
      </c>
      <c r="D106" s="7">
        <v>0.29199999999999998</v>
      </c>
      <c r="E106" s="7">
        <v>0.29199999999999998</v>
      </c>
      <c r="F106" s="7">
        <v>0.29199999999999998</v>
      </c>
      <c r="G106" s="7">
        <v>0.48399999999999999</v>
      </c>
      <c r="H106" s="7">
        <v>0.48399999999999999</v>
      </c>
      <c r="I106" s="7">
        <v>0.68400000000000005</v>
      </c>
      <c r="J106" s="7">
        <v>0.68400000000000005</v>
      </c>
      <c r="K106" s="7">
        <v>0.68400000000000005</v>
      </c>
      <c r="L106" s="7">
        <v>0.68400000000000005</v>
      </c>
      <c r="M106" s="7">
        <v>0.68400000000000005</v>
      </c>
      <c r="N106" s="7">
        <v>0.78400000000000003</v>
      </c>
      <c r="O106" s="7">
        <v>0.68400000000000005</v>
      </c>
      <c r="P106" s="7">
        <v>0.68400000000000005</v>
      </c>
      <c r="Q106" s="7">
        <v>0.68400000000000005</v>
      </c>
    </row>
    <row r="107" spans="1:17">
      <c r="A107" s="2">
        <v>2055</v>
      </c>
      <c r="B107" s="7">
        <v>0.28999999999999998</v>
      </c>
      <c r="C107" s="7">
        <v>0.28999999999999998</v>
      </c>
      <c r="D107" s="7">
        <v>0.28999999999999998</v>
      </c>
      <c r="E107" s="7">
        <v>0.28999999999999998</v>
      </c>
      <c r="F107" s="7">
        <v>0.28999999999999998</v>
      </c>
      <c r="G107" s="7">
        <v>0.48</v>
      </c>
      <c r="H107" s="7">
        <v>0.48</v>
      </c>
      <c r="I107" s="7">
        <v>0.68</v>
      </c>
      <c r="J107" s="7">
        <v>0.68</v>
      </c>
      <c r="K107" s="7">
        <v>0.68</v>
      </c>
      <c r="L107" s="7">
        <v>0.68</v>
      </c>
      <c r="M107" s="7">
        <v>0.68</v>
      </c>
      <c r="N107" s="7">
        <v>0.78</v>
      </c>
      <c r="O107" s="7">
        <v>0.68</v>
      </c>
      <c r="P107" s="7">
        <v>0.68</v>
      </c>
      <c r="Q107" s="7">
        <v>0.68</v>
      </c>
    </row>
    <row r="108" spans="1:17">
      <c r="A108" s="2">
        <v>2056</v>
      </c>
      <c r="B108" s="7">
        <v>0.28799999999999998</v>
      </c>
      <c r="C108" s="7">
        <v>0.28799999999999998</v>
      </c>
      <c r="D108" s="7">
        <v>0.28799999999999998</v>
      </c>
      <c r="E108" s="7">
        <v>0.28799999999999998</v>
      </c>
      <c r="F108" s="7">
        <v>0.28799999999999998</v>
      </c>
      <c r="G108" s="7">
        <v>0.47599999999999998</v>
      </c>
      <c r="H108" s="7">
        <v>0.47599999999999998</v>
      </c>
      <c r="I108" s="7">
        <v>0.67600000000000005</v>
      </c>
      <c r="J108" s="7">
        <v>0.67600000000000005</v>
      </c>
      <c r="K108" s="7">
        <v>0.67600000000000005</v>
      </c>
      <c r="L108" s="7">
        <v>0.67600000000000005</v>
      </c>
      <c r="M108" s="7">
        <v>0.67600000000000005</v>
      </c>
      <c r="N108" s="7">
        <v>0.77600000000000002</v>
      </c>
      <c r="O108" s="7">
        <v>0.67600000000000005</v>
      </c>
      <c r="P108" s="7">
        <v>0.67600000000000005</v>
      </c>
      <c r="Q108" s="7">
        <v>0.67600000000000005</v>
      </c>
    </row>
    <row r="109" spans="1:17">
      <c r="A109" s="2">
        <v>2057</v>
      </c>
      <c r="B109" s="7">
        <v>0.28599999999999998</v>
      </c>
      <c r="C109" s="7">
        <v>0.28599999999999998</v>
      </c>
      <c r="D109" s="7">
        <v>0.28599999999999998</v>
      </c>
      <c r="E109" s="7">
        <v>0.28599999999999998</v>
      </c>
      <c r="F109" s="7">
        <v>0.28599999999999998</v>
      </c>
      <c r="G109" s="7">
        <v>0.47199999999999998</v>
      </c>
      <c r="H109" s="7">
        <v>0.47199999999999998</v>
      </c>
      <c r="I109" s="7">
        <v>0.67200000000000004</v>
      </c>
      <c r="J109" s="7">
        <v>0.67200000000000004</v>
      </c>
      <c r="K109" s="7">
        <v>0.67200000000000004</v>
      </c>
      <c r="L109" s="7">
        <v>0.67200000000000004</v>
      </c>
      <c r="M109" s="7">
        <v>0.67200000000000004</v>
      </c>
      <c r="N109" s="7">
        <v>0.77200000000000002</v>
      </c>
      <c r="O109" s="7">
        <v>0.67200000000000004</v>
      </c>
      <c r="P109" s="7">
        <v>0.67200000000000004</v>
      </c>
      <c r="Q109" s="7">
        <v>0.67200000000000004</v>
      </c>
    </row>
    <row r="110" spans="1:17">
      <c r="A110" s="2">
        <v>2058</v>
      </c>
      <c r="B110" s="7">
        <v>0.28399999999999997</v>
      </c>
      <c r="C110" s="7">
        <v>0.28399999999999997</v>
      </c>
      <c r="D110" s="7">
        <v>0.28399999999999997</v>
      </c>
      <c r="E110" s="7">
        <v>0.28399999999999997</v>
      </c>
      <c r="F110" s="7">
        <v>0.28399999999999997</v>
      </c>
      <c r="G110" s="7">
        <v>0.46800000000000003</v>
      </c>
      <c r="H110" s="7">
        <v>0.46800000000000003</v>
      </c>
      <c r="I110" s="7">
        <v>0.66800000000000004</v>
      </c>
      <c r="J110" s="7">
        <v>0.66800000000000004</v>
      </c>
      <c r="K110" s="7">
        <v>0.66800000000000004</v>
      </c>
      <c r="L110" s="7">
        <v>0.66800000000000004</v>
      </c>
      <c r="M110" s="7">
        <v>0.66800000000000004</v>
      </c>
      <c r="N110" s="7">
        <v>0.76800000000000002</v>
      </c>
      <c r="O110" s="7">
        <v>0.66800000000000004</v>
      </c>
      <c r="P110" s="7">
        <v>0.66800000000000004</v>
      </c>
      <c r="Q110" s="7">
        <v>0.66800000000000004</v>
      </c>
    </row>
    <row r="111" spans="1:17">
      <c r="A111" s="2">
        <v>2059</v>
      </c>
      <c r="B111" s="7">
        <v>0.28199999999999997</v>
      </c>
      <c r="C111" s="7">
        <v>0.28199999999999997</v>
      </c>
      <c r="D111" s="7">
        <v>0.28199999999999997</v>
      </c>
      <c r="E111" s="7">
        <v>0.28199999999999997</v>
      </c>
      <c r="F111" s="7">
        <v>0.28199999999999997</v>
      </c>
      <c r="G111" s="7">
        <v>0.46400000000000002</v>
      </c>
      <c r="H111" s="7">
        <v>0.46400000000000002</v>
      </c>
      <c r="I111" s="7">
        <v>0.66400000000000003</v>
      </c>
      <c r="J111" s="7">
        <v>0.66400000000000003</v>
      </c>
      <c r="K111" s="7">
        <v>0.66400000000000003</v>
      </c>
      <c r="L111" s="7">
        <v>0.66400000000000003</v>
      </c>
      <c r="M111" s="7">
        <v>0.66400000000000003</v>
      </c>
      <c r="N111" s="7">
        <v>0.76400000000000001</v>
      </c>
      <c r="O111" s="7">
        <v>0.66400000000000003</v>
      </c>
      <c r="P111" s="7">
        <v>0.66400000000000003</v>
      </c>
      <c r="Q111" s="7">
        <v>0.66400000000000003</v>
      </c>
    </row>
    <row r="112" spans="1:17">
      <c r="A112" s="2">
        <v>2060</v>
      </c>
      <c r="B112" s="7">
        <v>0.28000000000000003</v>
      </c>
      <c r="C112" s="7">
        <v>0.28000000000000003</v>
      </c>
      <c r="D112" s="7">
        <v>0.28000000000000003</v>
      </c>
      <c r="E112" s="7">
        <v>0.28000000000000003</v>
      </c>
      <c r="F112" s="7">
        <v>0.28000000000000003</v>
      </c>
      <c r="G112" s="7">
        <v>0.46</v>
      </c>
      <c r="H112" s="7">
        <v>0.46</v>
      </c>
      <c r="I112" s="7">
        <v>0.66</v>
      </c>
      <c r="J112" s="7">
        <v>0.66</v>
      </c>
      <c r="K112" s="7">
        <v>0.66</v>
      </c>
      <c r="L112" s="7">
        <v>0.66</v>
      </c>
      <c r="M112" s="7">
        <v>0.66</v>
      </c>
      <c r="N112" s="7">
        <v>0.76</v>
      </c>
      <c r="O112" s="7">
        <v>0.66</v>
      </c>
      <c r="P112" s="7">
        <v>0.66</v>
      </c>
      <c r="Q112" s="7">
        <v>0.66</v>
      </c>
    </row>
    <row r="113" spans="1:17">
      <c r="A113" s="2">
        <v>2061</v>
      </c>
      <c r="B113" s="7">
        <v>0.27800000000000002</v>
      </c>
      <c r="C113" s="7">
        <v>0.27800000000000002</v>
      </c>
      <c r="D113" s="7">
        <v>0.27800000000000002</v>
      </c>
      <c r="E113" s="7">
        <v>0.27800000000000002</v>
      </c>
      <c r="F113" s="7">
        <v>0.27800000000000002</v>
      </c>
      <c r="G113" s="7">
        <v>0.45600000000000002</v>
      </c>
      <c r="H113" s="7">
        <v>0.45600000000000002</v>
      </c>
      <c r="I113" s="7">
        <v>0.65600000000000003</v>
      </c>
      <c r="J113" s="7">
        <v>0.65600000000000003</v>
      </c>
      <c r="K113" s="7">
        <v>0.65600000000000003</v>
      </c>
      <c r="L113" s="7">
        <v>0.65600000000000003</v>
      </c>
      <c r="M113" s="7">
        <v>0.65600000000000003</v>
      </c>
      <c r="N113" s="7">
        <v>0.75600000000000001</v>
      </c>
      <c r="O113" s="7">
        <v>0.65600000000000003</v>
      </c>
      <c r="P113" s="7">
        <v>0.65600000000000003</v>
      </c>
      <c r="Q113" s="7">
        <v>0.65600000000000003</v>
      </c>
    </row>
    <row r="114" spans="1:17">
      <c r="A114" s="2">
        <v>2062</v>
      </c>
      <c r="B114" s="7">
        <v>0.27600000000000002</v>
      </c>
      <c r="C114" s="7">
        <v>0.27600000000000002</v>
      </c>
      <c r="D114" s="7">
        <v>0.27600000000000002</v>
      </c>
      <c r="E114" s="7">
        <v>0.27600000000000002</v>
      </c>
      <c r="F114" s="7">
        <v>0.27600000000000002</v>
      </c>
      <c r="G114" s="7">
        <v>0.45200000000000001</v>
      </c>
      <c r="H114" s="7">
        <v>0.45200000000000001</v>
      </c>
      <c r="I114" s="7">
        <v>0.65200000000000002</v>
      </c>
      <c r="J114" s="7">
        <v>0.65200000000000002</v>
      </c>
      <c r="K114" s="7">
        <v>0.65200000000000002</v>
      </c>
      <c r="L114" s="7">
        <v>0.65200000000000002</v>
      </c>
      <c r="M114" s="7">
        <v>0.65200000000000002</v>
      </c>
      <c r="N114" s="7">
        <v>0.752</v>
      </c>
      <c r="O114" s="7">
        <v>0.65200000000000002</v>
      </c>
      <c r="P114" s="7">
        <v>0.65200000000000002</v>
      </c>
      <c r="Q114" s="7">
        <v>0.65200000000000002</v>
      </c>
    </row>
    <row r="115" spans="1:17">
      <c r="A115" s="2">
        <v>2063</v>
      </c>
      <c r="B115" s="7">
        <v>0.27400000000000002</v>
      </c>
      <c r="C115" s="7">
        <v>0.27400000000000002</v>
      </c>
      <c r="D115" s="7">
        <v>0.27400000000000002</v>
      </c>
      <c r="E115" s="7">
        <v>0.27400000000000002</v>
      </c>
      <c r="F115" s="7">
        <v>0.27400000000000002</v>
      </c>
      <c r="G115" s="7">
        <v>0.44800000000000001</v>
      </c>
      <c r="H115" s="7">
        <v>0.44800000000000001</v>
      </c>
      <c r="I115" s="7">
        <v>0.64800000000000002</v>
      </c>
      <c r="J115" s="7">
        <v>0.64800000000000002</v>
      </c>
      <c r="K115" s="7">
        <v>0.64800000000000002</v>
      </c>
      <c r="L115" s="7">
        <v>0.64800000000000002</v>
      </c>
      <c r="M115" s="7">
        <v>0.64800000000000002</v>
      </c>
      <c r="N115" s="7">
        <v>0.748</v>
      </c>
      <c r="O115" s="7">
        <v>0.64800000000000002</v>
      </c>
      <c r="P115" s="7">
        <v>0.64800000000000002</v>
      </c>
      <c r="Q115" s="7">
        <v>0.64800000000000002</v>
      </c>
    </row>
    <row r="116" spans="1:17">
      <c r="A116" s="2">
        <v>2064</v>
      </c>
      <c r="B116" s="7">
        <v>0.27200000000000002</v>
      </c>
      <c r="C116" s="7">
        <v>0.27200000000000002</v>
      </c>
      <c r="D116" s="7">
        <v>0.27200000000000002</v>
      </c>
      <c r="E116" s="7">
        <v>0.27200000000000002</v>
      </c>
      <c r="F116" s="7">
        <v>0.27200000000000002</v>
      </c>
      <c r="G116" s="7">
        <v>0.44400000000000001</v>
      </c>
      <c r="H116" s="7">
        <v>0.44400000000000001</v>
      </c>
      <c r="I116" s="7">
        <v>0.64400000000000002</v>
      </c>
      <c r="J116" s="7">
        <v>0.64400000000000002</v>
      </c>
      <c r="K116" s="7">
        <v>0.64400000000000002</v>
      </c>
      <c r="L116" s="7">
        <v>0.64400000000000002</v>
      </c>
      <c r="M116" s="7">
        <v>0.64400000000000002</v>
      </c>
      <c r="N116" s="7">
        <v>0.74399999999999999</v>
      </c>
      <c r="O116" s="7">
        <v>0.64400000000000002</v>
      </c>
      <c r="P116" s="7">
        <v>0.64400000000000002</v>
      </c>
      <c r="Q116" s="7">
        <v>0.64400000000000002</v>
      </c>
    </row>
    <row r="117" spans="1:17">
      <c r="A117" s="2">
        <v>2065</v>
      </c>
      <c r="B117" s="7">
        <v>0.27</v>
      </c>
      <c r="C117" s="7">
        <v>0.27</v>
      </c>
      <c r="D117" s="7">
        <v>0.27</v>
      </c>
      <c r="E117" s="7">
        <v>0.27</v>
      </c>
      <c r="F117" s="7">
        <v>0.27</v>
      </c>
      <c r="G117" s="7">
        <v>0.44</v>
      </c>
      <c r="H117" s="7">
        <v>0.44</v>
      </c>
      <c r="I117" s="7">
        <v>0.64</v>
      </c>
      <c r="J117" s="7">
        <v>0.64</v>
      </c>
      <c r="K117" s="7">
        <v>0.64</v>
      </c>
      <c r="L117" s="7">
        <v>0.64</v>
      </c>
      <c r="M117" s="7">
        <v>0.64</v>
      </c>
      <c r="N117" s="7">
        <v>0.74</v>
      </c>
      <c r="O117" s="7">
        <v>0.64</v>
      </c>
      <c r="P117" s="7">
        <v>0.64</v>
      </c>
      <c r="Q117" s="7">
        <v>0.64</v>
      </c>
    </row>
    <row r="118" spans="1:17">
      <c r="A118" s="2">
        <v>2066</v>
      </c>
      <c r="B118" s="7">
        <v>0.26800000000000002</v>
      </c>
      <c r="C118" s="7">
        <v>0.26800000000000002</v>
      </c>
      <c r="D118" s="7">
        <v>0.26800000000000002</v>
      </c>
      <c r="E118" s="7">
        <v>0.26800000000000002</v>
      </c>
      <c r="F118" s="7">
        <v>0.26800000000000002</v>
      </c>
      <c r="G118" s="7">
        <v>0.436</v>
      </c>
      <c r="H118" s="7">
        <v>0.436</v>
      </c>
      <c r="I118" s="7">
        <v>0.63600000000000001</v>
      </c>
      <c r="J118" s="7">
        <v>0.63600000000000001</v>
      </c>
      <c r="K118" s="7">
        <v>0.63600000000000001</v>
      </c>
      <c r="L118" s="7">
        <v>0.63600000000000001</v>
      </c>
      <c r="M118" s="7">
        <v>0.63600000000000001</v>
      </c>
      <c r="N118" s="7">
        <v>0.73599999999999999</v>
      </c>
      <c r="O118" s="7">
        <v>0.63600000000000001</v>
      </c>
      <c r="P118" s="7">
        <v>0.63600000000000001</v>
      </c>
      <c r="Q118" s="7">
        <v>0.63600000000000001</v>
      </c>
    </row>
    <row r="119" spans="1:17">
      <c r="A119" s="2">
        <v>2067</v>
      </c>
      <c r="B119" s="7">
        <v>0.26600000000000001</v>
      </c>
      <c r="C119" s="7">
        <v>0.26600000000000001</v>
      </c>
      <c r="D119" s="7">
        <v>0.26600000000000001</v>
      </c>
      <c r="E119" s="7">
        <v>0.26600000000000001</v>
      </c>
      <c r="F119" s="7">
        <v>0.26600000000000001</v>
      </c>
      <c r="G119" s="7">
        <v>0.432</v>
      </c>
      <c r="H119" s="7">
        <v>0.432</v>
      </c>
      <c r="I119" s="7">
        <v>0.63200000000000001</v>
      </c>
      <c r="J119" s="7">
        <v>0.63200000000000001</v>
      </c>
      <c r="K119" s="7">
        <v>0.63200000000000001</v>
      </c>
      <c r="L119" s="7">
        <v>0.63200000000000001</v>
      </c>
      <c r="M119" s="7">
        <v>0.63200000000000001</v>
      </c>
      <c r="N119" s="7">
        <v>0.73199999999999998</v>
      </c>
      <c r="O119" s="7">
        <v>0.63200000000000001</v>
      </c>
      <c r="P119" s="7">
        <v>0.63200000000000001</v>
      </c>
      <c r="Q119" s="7">
        <v>0.63200000000000001</v>
      </c>
    </row>
    <row r="120" spans="1:17">
      <c r="A120" s="2">
        <v>2068</v>
      </c>
      <c r="B120" s="7">
        <v>0.26400000000000001</v>
      </c>
      <c r="C120" s="7">
        <v>0.26400000000000001</v>
      </c>
      <c r="D120" s="7">
        <v>0.26400000000000001</v>
      </c>
      <c r="E120" s="7">
        <v>0.26400000000000001</v>
      </c>
      <c r="F120" s="7">
        <v>0.26400000000000001</v>
      </c>
      <c r="G120" s="7">
        <v>0.42799999999999999</v>
      </c>
      <c r="H120" s="7">
        <v>0.42799999999999999</v>
      </c>
      <c r="I120" s="7">
        <v>0.628</v>
      </c>
      <c r="J120" s="7">
        <v>0.628</v>
      </c>
      <c r="K120" s="7">
        <v>0.628</v>
      </c>
      <c r="L120" s="7">
        <v>0.628</v>
      </c>
      <c r="M120" s="7">
        <v>0.628</v>
      </c>
      <c r="N120" s="7">
        <v>0.72799999999999998</v>
      </c>
      <c r="O120" s="7">
        <v>0.628</v>
      </c>
      <c r="P120" s="7">
        <v>0.628</v>
      </c>
      <c r="Q120" s="7">
        <v>0.628</v>
      </c>
    </row>
    <row r="121" spans="1:17">
      <c r="A121" s="2">
        <v>2069</v>
      </c>
      <c r="B121" s="7">
        <v>0.26200000000000001</v>
      </c>
      <c r="C121" s="7">
        <v>0.26200000000000001</v>
      </c>
      <c r="D121" s="7">
        <v>0.26200000000000001</v>
      </c>
      <c r="E121" s="7">
        <v>0.26200000000000001</v>
      </c>
      <c r="F121" s="7">
        <v>0.26200000000000001</v>
      </c>
      <c r="G121" s="7">
        <v>0.42399999999999999</v>
      </c>
      <c r="H121" s="7">
        <v>0.42399999999999999</v>
      </c>
      <c r="I121" s="7">
        <v>0.624</v>
      </c>
      <c r="J121" s="7">
        <v>0.624</v>
      </c>
      <c r="K121" s="7">
        <v>0.624</v>
      </c>
      <c r="L121" s="7">
        <v>0.624</v>
      </c>
      <c r="M121" s="7">
        <v>0.624</v>
      </c>
      <c r="N121" s="7">
        <v>0.72399999999999998</v>
      </c>
      <c r="O121" s="7">
        <v>0.624</v>
      </c>
      <c r="P121" s="7">
        <v>0.624</v>
      </c>
      <c r="Q121" s="7">
        <v>0.624</v>
      </c>
    </row>
    <row r="122" spans="1:17">
      <c r="A122" s="2">
        <v>2070</v>
      </c>
      <c r="B122" s="7">
        <v>0.26</v>
      </c>
      <c r="C122" s="7">
        <v>0.26</v>
      </c>
      <c r="D122" s="7">
        <v>0.26</v>
      </c>
      <c r="E122" s="7">
        <v>0.26</v>
      </c>
      <c r="F122" s="7">
        <v>0.26</v>
      </c>
      <c r="G122" s="7">
        <v>0.42</v>
      </c>
      <c r="H122" s="7">
        <v>0.42</v>
      </c>
      <c r="I122" s="7">
        <v>0.62</v>
      </c>
      <c r="J122" s="7">
        <v>0.62</v>
      </c>
      <c r="K122" s="7">
        <v>0.62</v>
      </c>
      <c r="L122" s="7">
        <v>0.62</v>
      </c>
      <c r="M122" s="7">
        <v>0.62</v>
      </c>
      <c r="N122" s="7">
        <v>0.72</v>
      </c>
      <c r="O122" s="7">
        <v>0.62</v>
      </c>
      <c r="P122" s="7">
        <v>0.62</v>
      </c>
      <c r="Q122" s="7">
        <v>0.62</v>
      </c>
    </row>
    <row r="123" spans="1:17">
      <c r="A123" s="2">
        <v>2071</v>
      </c>
      <c r="B123" s="7">
        <v>0.25800000000000001</v>
      </c>
      <c r="C123" s="7">
        <v>0.25800000000000001</v>
      </c>
      <c r="D123" s="7">
        <v>0.25800000000000001</v>
      </c>
      <c r="E123" s="7">
        <v>0.25800000000000001</v>
      </c>
      <c r="F123" s="7">
        <v>0.25800000000000001</v>
      </c>
      <c r="G123" s="7">
        <v>0.41599999999999998</v>
      </c>
      <c r="H123" s="7">
        <v>0.41599999999999998</v>
      </c>
      <c r="I123" s="7">
        <v>0.61599999999999999</v>
      </c>
      <c r="J123" s="7">
        <v>0.61599999999999999</v>
      </c>
      <c r="K123" s="7">
        <v>0.61599999999999999</v>
      </c>
      <c r="L123" s="7">
        <v>0.61599999999999999</v>
      </c>
      <c r="M123" s="7">
        <v>0.61599999999999999</v>
      </c>
      <c r="N123" s="7">
        <v>0.71599999999999997</v>
      </c>
      <c r="O123" s="7">
        <v>0.61599999999999999</v>
      </c>
      <c r="P123" s="7">
        <v>0.61599999999999999</v>
      </c>
      <c r="Q123" s="7">
        <v>0.61599999999999999</v>
      </c>
    </row>
    <row r="124" spans="1:17">
      <c r="A124" s="2">
        <v>2072</v>
      </c>
      <c r="B124" s="7">
        <v>0.25600000000000001</v>
      </c>
      <c r="C124" s="7">
        <v>0.25600000000000001</v>
      </c>
      <c r="D124" s="7">
        <v>0.25600000000000001</v>
      </c>
      <c r="E124" s="7">
        <v>0.25600000000000001</v>
      </c>
      <c r="F124" s="7">
        <v>0.25600000000000001</v>
      </c>
      <c r="G124" s="7">
        <v>0.41199999999999998</v>
      </c>
      <c r="H124" s="7">
        <v>0.41199999999999998</v>
      </c>
      <c r="I124" s="7">
        <v>0.61199999999999999</v>
      </c>
      <c r="J124" s="7">
        <v>0.61199999999999999</v>
      </c>
      <c r="K124" s="7">
        <v>0.61199999999999999</v>
      </c>
      <c r="L124" s="7">
        <v>0.61199999999999999</v>
      </c>
      <c r="M124" s="7">
        <v>0.61199999999999999</v>
      </c>
      <c r="N124" s="7">
        <v>0.71199999999999997</v>
      </c>
      <c r="O124" s="7">
        <v>0.61199999999999999</v>
      </c>
      <c r="P124" s="7">
        <v>0.61199999999999999</v>
      </c>
      <c r="Q124" s="7">
        <v>0.61199999999999999</v>
      </c>
    </row>
    <row r="125" spans="1:17">
      <c r="A125" s="2">
        <v>2073</v>
      </c>
      <c r="B125" s="7">
        <v>0.254</v>
      </c>
      <c r="C125" s="7">
        <v>0.254</v>
      </c>
      <c r="D125" s="7">
        <v>0.254</v>
      </c>
      <c r="E125" s="7">
        <v>0.254</v>
      </c>
      <c r="F125" s="7">
        <v>0.254</v>
      </c>
      <c r="G125" s="7">
        <v>0.40799999999999997</v>
      </c>
      <c r="H125" s="7">
        <v>0.40799999999999997</v>
      </c>
      <c r="I125" s="7">
        <v>0.60799999999999998</v>
      </c>
      <c r="J125" s="7">
        <v>0.60799999999999998</v>
      </c>
      <c r="K125" s="7">
        <v>0.60799999999999998</v>
      </c>
      <c r="L125" s="7">
        <v>0.60799999999999998</v>
      </c>
      <c r="M125" s="7">
        <v>0.60799999999999998</v>
      </c>
      <c r="N125" s="7">
        <v>0.70799999999999996</v>
      </c>
      <c r="O125" s="7">
        <v>0.60799999999999998</v>
      </c>
      <c r="P125" s="7">
        <v>0.60799999999999998</v>
      </c>
      <c r="Q125" s="7">
        <v>0.60799999999999998</v>
      </c>
    </row>
    <row r="126" spans="1:17">
      <c r="A126" s="2">
        <v>2074</v>
      </c>
      <c r="B126" s="7">
        <v>0.252</v>
      </c>
      <c r="C126" s="7">
        <v>0.252</v>
      </c>
      <c r="D126" s="7">
        <v>0.252</v>
      </c>
      <c r="E126" s="7">
        <v>0.252</v>
      </c>
      <c r="F126" s="7">
        <v>0.252</v>
      </c>
      <c r="G126" s="7">
        <v>0.40400000000000003</v>
      </c>
      <c r="H126" s="7">
        <v>0.40400000000000003</v>
      </c>
      <c r="I126" s="7">
        <v>0.60399999999999998</v>
      </c>
      <c r="J126" s="7">
        <v>0.60399999999999998</v>
      </c>
      <c r="K126" s="7">
        <v>0.60399999999999998</v>
      </c>
      <c r="L126" s="7">
        <v>0.60399999999999998</v>
      </c>
      <c r="M126" s="7">
        <v>0.60399999999999998</v>
      </c>
      <c r="N126" s="7">
        <v>0.70399999999999996</v>
      </c>
      <c r="O126" s="7">
        <v>0.60399999999999998</v>
      </c>
      <c r="P126" s="7">
        <v>0.60399999999999998</v>
      </c>
      <c r="Q126" s="7">
        <v>0.60399999999999998</v>
      </c>
    </row>
    <row r="127" spans="1:17">
      <c r="A127" s="2">
        <v>2075</v>
      </c>
      <c r="B127" s="7">
        <v>0.25</v>
      </c>
      <c r="C127" s="7">
        <v>0.25</v>
      </c>
      <c r="D127" s="7">
        <v>0.25</v>
      </c>
      <c r="E127" s="7">
        <v>0.25</v>
      </c>
      <c r="F127" s="7">
        <v>0.25</v>
      </c>
      <c r="G127" s="7">
        <v>0.4</v>
      </c>
      <c r="H127" s="7">
        <v>0.4</v>
      </c>
      <c r="I127" s="7">
        <v>0.6</v>
      </c>
      <c r="J127" s="7">
        <v>0.6</v>
      </c>
      <c r="K127" s="7">
        <v>0.6</v>
      </c>
      <c r="L127" s="7">
        <v>0.6</v>
      </c>
      <c r="M127" s="7">
        <v>0.6</v>
      </c>
      <c r="N127" s="7">
        <v>0.7</v>
      </c>
      <c r="O127" s="7">
        <v>0.6</v>
      </c>
      <c r="P127" s="7">
        <v>0.6</v>
      </c>
      <c r="Q127" s="7">
        <v>0.6</v>
      </c>
    </row>
    <row r="128" spans="1:17">
      <c r="A128" s="2">
        <v>2076</v>
      </c>
      <c r="B128" s="7">
        <v>0.248</v>
      </c>
      <c r="C128" s="7">
        <v>0.248</v>
      </c>
      <c r="D128" s="7">
        <v>0.248</v>
      </c>
      <c r="E128" s="7">
        <v>0.248</v>
      </c>
      <c r="F128" s="7">
        <v>0.248</v>
      </c>
      <c r="G128" s="7">
        <v>0.39600000000000002</v>
      </c>
      <c r="H128" s="7">
        <v>0.39600000000000002</v>
      </c>
      <c r="I128" s="7">
        <v>0.59599999999999997</v>
      </c>
      <c r="J128" s="7">
        <v>0.59599999999999997</v>
      </c>
      <c r="K128" s="7">
        <v>0.59599999999999997</v>
      </c>
      <c r="L128" s="7">
        <v>0.59599999999999997</v>
      </c>
      <c r="M128" s="7">
        <v>0.59599999999999997</v>
      </c>
      <c r="N128" s="7">
        <v>0.69599999999999995</v>
      </c>
      <c r="O128" s="7">
        <v>0.59599999999999997</v>
      </c>
      <c r="P128" s="7">
        <v>0.59599999999999997</v>
      </c>
      <c r="Q128" s="7">
        <v>0.59599999999999997</v>
      </c>
    </row>
    <row r="129" spans="1:17">
      <c r="A129" s="2">
        <v>2077</v>
      </c>
      <c r="B129" s="7">
        <v>0.246</v>
      </c>
      <c r="C129" s="7">
        <v>0.246</v>
      </c>
      <c r="D129" s="7">
        <v>0.246</v>
      </c>
      <c r="E129" s="7">
        <v>0.246</v>
      </c>
      <c r="F129" s="7">
        <v>0.246</v>
      </c>
      <c r="G129" s="7">
        <v>0.39200000000000002</v>
      </c>
      <c r="H129" s="7">
        <v>0.39200000000000002</v>
      </c>
      <c r="I129" s="7">
        <v>0.59199999999999997</v>
      </c>
      <c r="J129" s="7">
        <v>0.59199999999999997</v>
      </c>
      <c r="K129" s="7">
        <v>0.59199999999999997</v>
      </c>
      <c r="L129" s="7">
        <v>0.59199999999999997</v>
      </c>
      <c r="M129" s="7">
        <v>0.59199999999999997</v>
      </c>
      <c r="N129" s="7">
        <v>0.69199999999999995</v>
      </c>
      <c r="O129" s="7">
        <v>0.59199999999999997</v>
      </c>
      <c r="P129" s="7">
        <v>0.59199999999999997</v>
      </c>
      <c r="Q129" s="7">
        <v>0.59199999999999997</v>
      </c>
    </row>
    <row r="130" spans="1:17">
      <c r="A130" s="2">
        <v>2078</v>
      </c>
      <c r="B130" s="7">
        <v>0.24399999999999999</v>
      </c>
      <c r="C130" s="7">
        <v>0.24399999999999999</v>
      </c>
      <c r="D130" s="7">
        <v>0.24399999999999999</v>
      </c>
      <c r="E130" s="7">
        <v>0.24399999999999999</v>
      </c>
      <c r="F130" s="7">
        <v>0.24399999999999999</v>
      </c>
      <c r="G130" s="7">
        <v>0.38800000000000001</v>
      </c>
      <c r="H130" s="7">
        <v>0.38800000000000001</v>
      </c>
      <c r="I130" s="7">
        <v>0.58799999999999997</v>
      </c>
      <c r="J130" s="7">
        <v>0.58799999999999997</v>
      </c>
      <c r="K130" s="7">
        <v>0.58799999999999997</v>
      </c>
      <c r="L130" s="7">
        <v>0.58799999999999997</v>
      </c>
      <c r="M130" s="7">
        <v>0.58799999999999997</v>
      </c>
      <c r="N130" s="7">
        <v>0.68799999999999994</v>
      </c>
      <c r="O130" s="7">
        <v>0.58799999999999997</v>
      </c>
      <c r="P130" s="7">
        <v>0.58799999999999997</v>
      </c>
      <c r="Q130" s="7">
        <v>0.58799999999999997</v>
      </c>
    </row>
    <row r="131" spans="1:17">
      <c r="A131" s="2">
        <v>2079</v>
      </c>
      <c r="B131" s="7">
        <v>0.24199999999999999</v>
      </c>
      <c r="C131" s="7">
        <v>0.24199999999999999</v>
      </c>
      <c r="D131" s="7">
        <v>0.24199999999999999</v>
      </c>
      <c r="E131" s="7">
        <v>0.24199999999999999</v>
      </c>
      <c r="F131" s="7">
        <v>0.24199999999999999</v>
      </c>
      <c r="G131" s="7">
        <v>0.38400000000000001</v>
      </c>
      <c r="H131" s="7">
        <v>0.38400000000000001</v>
      </c>
      <c r="I131" s="7">
        <v>0.58399999999999996</v>
      </c>
      <c r="J131" s="7">
        <v>0.58399999999999996</v>
      </c>
      <c r="K131" s="7">
        <v>0.58399999999999996</v>
      </c>
      <c r="L131" s="7">
        <v>0.58399999999999996</v>
      </c>
      <c r="M131" s="7">
        <v>0.58399999999999996</v>
      </c>
      <c r="N131" s="7">
        <v>0.68400000000000005</v>
      </c>
      <c r="O131" s="7">
        <v>0.58399999999999996</v>
      </c>
      <c r="P131" s="7">
        <v>0.58399999999999996</v>
      </c>
      <c r="Q131" s="7">
        <v>0.58399999999999996</v>
      </c>
    </row>
    <row r="132" spans="1:17">
      <c r="A132" s="2">
        <v>2080</v>
      </c>
      <c r="B132" s="7">
        <v>0.24</v>
      </c>
      <c r="C132" s="7">
        <v>0.24</v>
      </c>
      <c r="D132" s="7">
        <v>0.24</v>
      </c>
      <c r="E132" s="7">
        <v>0.24</v>
      </c>
      <c r="F132" s="7">
        <v>0.24</v>
      </c>
      <c r="G132" s="7">
        <v>0.38</v>
      </c>
      <c r="H132" s="7">
        <v>0.38</v>
      </c>
      <c r="I132" s="7">
        <v>0.57999999999999996</v>
      </c>
      <c r="J132" s="7">
        <v>0.57999999999999996</v>
      </c>
      <c r="K132" s="7">
        <v>0.57999999999999996</v>
      </c>
      <c r="L132" s="7">
        <v>0.57999999999999996</v>
      </c>
      <c r="M132" s="7">
        <v>0.57999999999999996</v>
      </c>
      <c r="N132" s="7">
        <v>0.68</v>
      </c>
      <c r="O132" s="7">
        <v>0.57999999999999996</v>
      </c>
      <c r="P132" s="7">
        <v>0.57999999999999996</v>
      </c>
      <c r="Q132" s="7">
        <v>0.57999999999999996</v>
      </c>
    </row>
    <row r="133" spans="1:17">
      <c r="A133" s="2">
        <v>2081</v>
      </c>
      <c r="B133" s="7">
        <v>0.23799999999999999</v>
      </c>
      <c r="C133" s="7">
        <v>0.23799999999999999</v>
      </c>
      <c r="D133" s="7">
        <v>0.23799999999999999</v>
      </c>
      <c r="E133" s="7">
        <v>0.23799999999999999</v>
      </c>
      <c r="F133" s="7">
        <v>0.23799999999999999</v>
      </c>
      <c r="G133" s="7">
        <v>0.376</v>
      </c>
      <c r="H133" s="7">
        <v>0.376</v>
      </c>
      <c r="I133" s="7">
        <v>0.57599999999999996</v>
      </c>
      <c r="J133" s="7">
        <v>0.57599999999999996</v>
      </c>
      <c r="K133" s="7">
        <v>0.57599999999999996</v>
      </c>
      <c r="L133" s="7">
        <v>0.57599999999999996</v>
      </c>
      <c r="M133" s="7">
        <v>0.57599999999999996</v>
      </c>
      <c r="N133" s="7">
        <v>0.67600000000000005</v>
      </c>
      <c r="O133" s="7">
        <v>0.57599999999999996</v>
      </c>
      <c r="P133" s="7">
        <v>0.57599999999999996</v>
      </c>
      <c r="Q133" s="7">
        <v>0.57599999999999996</v>
      </c>
    </row>
    <row r="134" spans="1:17">
      <c r="A134" s="2">
        <v>2082</v>
      </c>
      <c r="B134" s="7">
        <v>0.23599999999999999</v>
      </c>
      <c r="C134" s="7">
        <v>0.23599999999999999</v>
      </c>
      <c r="D134" s="7">
        <v>0.23599999999999999</v>
      </c>
      <c r="E134" s="7">
        <v>0.23599999999999999</v>
      </c>
      <c r="F134" s="7">
        <v>0.23599999999999999</v>
      </c>
      <c r="G134" s="7">
        <v>0.372</v>
      </c>
      <c r="H134" s="7">
        <v>0.372</v>
      </c>
      <c r="I134" s="7">
        <v>0.57199999999999995</v>
      </c>
      <c r="J134" s="7">
        <v>0.57199999999999995</v>
      </c>
      <c r="K134" s="7">
        <v>0.57199999999999995</v>
      </c>
      <c r="L134" s="7">
        <v>0.57199999999999995</v>
      </c>
      <c r="M134" s="7">
        <v>0.57199999999999995</v>
      </c>
      <c r="N134" s="7">
        <v>0.67200000000000004</v>
      </c>
      <c r="O134" s="7">
        <v>0.57199999999999995</v>
      </c>
      <c r="P134" s="7">
        <v>0.57199999999999995</v>
      </c>
      <c r="Q134" s="7">
        <v>0.57199999999999995</v>
      </c>
    </row>
    <row r="135" spans="1:17">
      <c r="A135" s="2">
        <v>2083</v>
      </c>
      <c r="B135" s="7">
        <v>0.23400000000000001</v>
      </c>
      <c r="C135" s="7">
        <v>0.23400000000000001</v>
      </c>
      <c r="D135" s="7">
        <v>0.23400000000000001</v>
      </c>
      <c r="E135" s="7">
        <v>0.23400000000000001</v>
      </c>
      <c r="F135" s="7">
        <v>0.23400000000000001</v>
      </c>
      <c r="G135" s="7">
        <v>0.36799999999999999</v>
      </c>
      <c r="H135" s="7">
        <v>0.36799999999999999</v>
      </c>
      <c r="I135" s="7">
        <v>0.56799999999999995</v>
      </c>
      <c r="J135" s="7">
        <v>0.56799999999999995</v>
      </c>
      <c r="K135" s="7">
        <v>0.56799999999999995</v>
      </c>
      <c r="L135" s="7">
        <v>0.56799999999999995</v>
      </c>
      <c r="M135" s="7">
        <v>0.56799999999999995</v>
      </c>
      <c r="N135" s="7">
        <v>0.66800000000000004</v>
      </c>
      <c r="O135" s="7">
        <v>0.56799999999999995</v>
      </c>
      <c r="P135" s="7">
        <v>0.56799999999999995</v>
      </c>
      <c r="Q135" s="7">
        <v>0.56799999999999995</v>
      </c>
    </row>
    <row r="136" spans="1:17">
      <c r="A136" s="2">
        <v>2084</v>
      </c>
      <c r="B136" s="7">
        <v>0.23200000000000001</v>
      </c>
      <c r="C136" s="7">
        <v>0.23200000000000001</v>
      </c>
      <c r="D136" s="7">
        <v>0.23200000000000001</v>
      </c>
      <c r="E136" s="7">
        <v>0.23200000000000001</v>
      </c>
      <c r="F136" s="7">
        <v>0.23200000000000001</v>
      </c>
      <c r="G136" s="7">
        <v>0.36399999999999999</v>
      </c>
      <c r="H136" s="7">
        <v>0.36399999999999999</v>
      </c>
      <c r="I136" s="7">
        <v>0.56399999999999995</v>
      </c>
      <c r="J136" s="7">
        <v>0.56399999999999995</v>
      </c>
      <c r="K136" s="7">
        <v>0.56399999999999995</v>
      </c>
      <c r="L136" s="7">
        <v>0.56399999999999995</v>
      </c>
      <c r="M136" s="7">
        <v>0.56399999999999995</v>
      </c>
      <c r="N136" s="7">
        <v>0.66400000000000003</v>
      </c>
      <c r="O136" s="7">
        <v>0.56399999999999995</v>
      </c>
      <c r="P136" s="7">
        <v>0.56399999999999995</v>
      </c>
      <c r="Q136" s="7">
        <v>0.56399999999999995</v>
      </c>
    </row>
    <row r="137" spans="1:17">
      <c r="A137" s="2">
        <v>2085</v>
      </c>
      <c r="B137" s="7">
        <v>0.23</v>
      </c>
      <c r="C137" s="7">
        <v>0.23</v>
      </c>
      <c r="D137" s="7">
        <v>0.23</v>
      </c>
      <c r="E137" s="7">
        <v>0.23</v>
      </c>
      <c r="F137" s="7">
        <v>0.23</v>
      </c>
      <c r="G137" s="7">
        <v>0.36</v>
      </c>
      <c r="H137" s="7">
        <v>0.36</v>
      </c>
      <c r="I137" s="7">
        <v>0.56000000000000005</v>
      </c>
      <c r="J137" s="7">
        <v>0.56000000000000005</v>
      </c>
      <c r="K137" s="7">
        <v>0.56000000000000005</v>
      </c>
      <c r="L137" s="7">
        <v>0.56000000000000005</v>
      </c>
      <c r="M137" s="7">
        <v>0.56000000000000005</v>
      </c>
      <c r="N137" s="7">
        <v>0.66</v>
      </c>
      <c r="O137" s="7">
        <v>0.56000000000000005</v>
      </c>
      <c r="P137" s="7">
        <v>0.56000000000000005</v>
      </c>
      <c r="Q137" s="7">
        <v>0.56000000000000005</v>
      </c>
    </row>
    <row r="138" spans="1:17">
      <c r="A138" s="2">
        <v>2086</v>
      </c>
      <c r="B138" s="7">
        <v>0.22800000000000001</v>
      </c>
      <c r="C138" s="7">
        <v>0.22800000000000001</v>
      </c>
      <c r="D138" s="7">
        <v>0.22800000000000001</v>
      </c>
      <c r="E138" s="7">
        <v>0.22800000000000001</v>
      </c>
      <c r="F138" s="7">
        <v>0.22800000000000001</v>
      </c>
      <c r="G138" s="7">
        <v>0.35599999999999998</v>
      </c>
      <c r="H138" s="7">
        <v>0.35599999999999998</v>
      </c>
      <c r="I138" s="7">
        <v>0.55600000000000005</v>
      </c>
      <c r="J138" s="7">
        <v>0.55600000000000005</v>
      </c>
      <c r="K138" s="7">
        <v>0.55600000000000005</v>
      </c>
      <c r="L138" s="7">
        <v>0.55600000000000005</v>
      </c>
      <c r="M138" s="7">
        <v>0.55600000000000005</v>
      </c>
      <c r="N138" s="7">
        <v>0.65600000000000003</v>
      </c>
      <c r="O138" s="7">
        <v>0.55600000000000005</v>
      </c>
      <c r="P138" s="7">
        <v>0.55600000000000005</v>
      </c>
      <c r="Q138" s="7">
        <v>0.55600000000000005</v>
      </c>
    </row>
    <row r="139" spans="1:17">
      <c r="A139" s="2">
        <v>2087</v>
      </c>
      <c r="B139" s="7">
        <v>0.22600000000000001</v>
      </c>
      <c r="C139" s="7">
        <v>0.22600000000000001</v>
      </c>
      <c r="D139" s="7">
        <v>0.22600000000000001</v>
      </c>
      <c r="E139" s="7">
        <v>0.22600000000000001</v>
      </c>
      <c r="F139" s="7">
        <v>0.22600000000000001</v>
      </c>
      <c r="G139" s="7">
        <v>0.35199999999999998</v>
      </c>
      <c r="H139" s="7">
        <v>0.35199999999999998</v>
      </c>
      <c r="I139" s="7">
        <v>0.55200000000000005</v>
      </c>
      <c r="J139" s="7">
        <v>0.55200000000000005</v>
      </c>
      <c r="K139" s="7">
        <v>0.55200000000000005</v>
      </c>
      <c r="L139" s="7">
        <v>0.55200000000000005</v>
      </c>
      <c r="M139" s="7">
        <v>0.55200000000000005</v>
      </c>
      <c r="N139" s="7">
        <v>0.65200000000000002</v>
      </c>
      <c r="O139" s="7">
        <v>0.55200000000000005</v>
      </c>
      <c r="P139" s="7">
        <v>0.55200000000000005</v>
      </c>
      <c r="Q139" s="7">
        <v>0.55200000000000005</v>
      </c>
    </row>
    <row r="140" spans="1:17">
      <c r="A140" s="2">
        <v>2088</v>
      </c>
      <c r="B140" s="7">
        <v>0.224</v>
      </c>
      <c r="C140" s="7">
        <v>0.224</v>
      </c>
      <c r="D140" s="7">
        <v>0.224</v>
      </c>
      <c r="E140" s="7">
        <v>0.224</v>
      </c>
      <c r="F140" s="7">
        <v>0.224</v>
      </c>
      <c r="G140" s="7">
        <v>0.34799999999999998</v>
      </c>
      <c r="H140" s="7">
        <v>0.34799999999999998</v>
      </c>
      <c r="I140" s="7">
        <v>0.54800000000000004</v>
      </c>
      <c r="J140" s="7">
        <v>0.54800000000000004</v>
      </c>
      <c r="K140" s="7">
        <v>0.54800000000000004</v>
      </c>
      <c r="L140" s="7">
        <v>0.54800000000000004</v>
      </c>
      <c r="M140" s="7">
        <v>0.54800000000000004</v>
      </c>
      <c r="N140" s="7">
        <v>0.64800000000000002</v>
      </c>
      <c r="O140" s="7">
        <v>0.54800000000000004</v>
      </c>
      <c r="P140" s="7">
        <v>0.54800000000000004</v>
      </c>
      <c r="Q140" s="7">
        <v>0.54800000000000004</v>
      </c>
    </row>
    <row r="141" spans="1:17">
      <c r="A141" s="2">
        <v>2089</v>
      </c>
      <c r="B141" s="7">
        <v>0.222</v>
      </c>
      <c r="C141" s="7">
        <v>0.222</v>
      </c>
      <c r="D141" s="7">
        <v>0.222</v>
      </c>
      <c r="E141" s="7">
        <v>0.222</v>
      </c>
      <c r="F141" s="7">
        <v>0.222</v>
      </c>
      <c r="G141" s="7">
        <v>0.34399999999999997</v>
      </c>
      <c r="H141" s="7">
        <v>0.34399999999999997</v>
      </c>
      <c r="I141" s="7">
        <v>0.54400000000000004</v>
      </c>
      <c r="J141" s="7">
        <v>0.54400000000000004</v>
      </c>
      <c r="K141" s="7">
        <v>0.54400000000000004</v>
      </c>
      <c r="L141" s="7">
        <v>0.54400000000000004</v>
      </c>
      <c r="M141" s="7">
        <v>0.54400000000000004</v>
      </c>
      <c r="N141" s="7">
        <v>0.64400000000000002</v>
      </c>
      <c r="O141" s="7">
        <v>0.54400000000000004</v>
      </c>
      <c r="P141" s="7">
        <v>0.54400000000000004</v>
      </c>
      <c r="Q141" s="7">
        <v>0.54400000000000004</v>
      </c>
    </row>
    <row r="142" spans="1:17">
      <c r="A142" s="2">
        <v>2090</v>
      </c>
      <c r="B142" s="7">
        <v>0.22</v>
      </c>
      <c r="C142" s="7">
        <v>0.22</v>
      </c>
      <c r="D142" s="7">
        <v>0.22</v>
      </c>
      <c r="E142" s="7">
        <v>0.22</v>
      </c>
      <c r="F142" s="7">
        <v>0.22</v>
      </c>
      <c r="G142" s="7">
        <v>0.34</v>
      </c>
      <c r="H142" s="7">
        <v>0.34</v>
      </c>
      <c r="I142" s="7">
        <v>0.54</v>
      </c>
      <c r="J142" s="7">
        <v>0.54</v>
      </c>
      <c r="K142" s="7">
        <v>0.54</v>
      </c>
      <c r="L142" s="7">
        <v>0.54</v>
      </c>
      <c r="M142" s="7">
        <v>0.54</v>
      </c>
      <c r="N142" s="7">
        <v>0.64</v>
      </c>
      <c r="O142" s="7">
        <v>0.54</v>
      </c>
      <c r="P142" s="7">
        <v>0.54</v>
      </c>
      <c r="Q142" s="7">
        <v>0.54</v>
      </c>
    </row>
    <row r="143" spans="1:17">
      <c r="A143" s="2">
        <v>2091</v>
      </c>
      <c r="B143" s="7">
        <v>0.218</v>
      </c>
      <c r="C143" s="7">
        <v>0.218</v>
      </c>
      <c r="D143" s="7">
        <v>0.218</v>
      </c>
      <c r="E143" s="7">
        <v>0.218</v>
      </c>
      <c r="F143" s="7">
        <v>0.218</v>
      </c>
      <c r="G143" s="7">
        <v>0.33600000000000002</v>
      </c>
      <c r="H143" s="7">
        <v>0.33600000000000002</v>
      </c>
      <c r="I143" s="7">
        <v>0.53600000000000003</v>
      </c>
      <c r="J143" s="7">
        <v>0.53600000000000003</v>
      </c>
      <c r="K143" s="7">
        <v>0.53600000000000003</v>
      </c>
      <c r="L143" s="7">
        <v>0.53600000000000003</v>
      </c>
      <c r="M143" s="7">
        <v>0.53600000000000003</v>
      </c>
      <c r="N143" s="7">
        <v>0.63600000000000001</v>
      </c>
      <c r="O143" s="7">
        <v>0.53600000000000003</v>
      </c>
      <c r="P143" s="7">
        <v>0.53600000000000003</v>
      </c>
      <c r="Q143" s="7">
        <v>0.53600000000000003</v>
      </c>
    </row>
    <row r="144" spans="1:17">
      <c r="A144" s="2">
        <v>2092</v>
      </c>
      <c r="B144" s="7">
        <v>0.216</v>
      </c>
      <c r="C144" s="7">
        <v>0.216</v>
      </c>
      <c r="D144" s="7">
        <v>0.216</v>
      </c>
      <c r="E144" s="7">
        <v>0.216</v>
      </c>
      <c r="F144" s="7">
        <v>0.216</v>
      </c>
      <c r="G144" s="7">
        <v>0.33200000000000002</v>
      </c>
      <c r="H144" s="7">
        <v>0.33200000000000002</v>
      </c>
      <c r="I144" s="7">
        <v>0.53200000000000003</v>
      </c>
      <c r="J144" s="7">
        <v>0.53200000000000003</v>
      </c>
      <c r="K144" s="7">
        <v>0.53200000000000003</v>
      </c>
      <c r="L144" s="7">
        <v>0.53200000000000003</v>
      </c>
      <c r="M144" s="7">
        <v>0.53200000000000003</v>
      </c>
      <c r="N144" s="7">
        <v>0.63200000000000001</v>
      </c>
      <c r="O144" s="7">
        <v>0.53200000000000003</v>
      </c>
      <c r="P144" s="7">
        <v>0.53200000000000003</v>
      </c>
      <c r="Q144" s="7">
        <v>0.53200000000000003</v>
      </c>
    </row>
    <row r="145" spans="1:17">
      <c r="A145" s="2">
        <v>2093</v>
      </c>
      <c r="B145" s="7">
        <v>0.214</v>
      </c>
      <c r="C145" s="7">
        <v>0.214</v>
      </c>
      <c r="D145" s="7">
        <v>0.214</v>
      </c>
      <c r="E145" s="7">
        <v>0.214</v>
      </c>
      <c r="F145" s="7">
        <v>0.214</v>
      </c>
      <c r="G145" s="7">
        <v>0.32800000000000001</v>
      </c>
      <c r="H145" s="7">
        <v>0.32800000000000001</v>
      </c>
      <c r="I145" s="7">
        <v>0.52800000000000002</v>
      </c>
      <c r="J145" s="7">
        <v>0.52800000000000002</v>
      </c>
      <c r="K145" s="7">
        <v>0.52800000000000002</v>
      </c>
      <c r="L145" s="7">
        <v>0.52800000000000002</v>
      </c>
      <c r="M145" s="7">
        <v>0.52800000000000002</v>
      </c>
      <c r="N145" s="7">
        <v>0.628</v>
      </c>
      <c r="O145" s="7">
        <v>0.52800000000000002</v>
      </c>
      <c r="P145" s="7">
        <v>0.52800000000000002</v>
      </c>
      <c r="Q145" s="7">
        <v>0.52800000000000002</v>
      </c>
    </row>
    <row r="146" spans="1:17">
      <c r="A146" s="2">
        <v>2094</v>
      </c>
      <c r="B146" s="7">
        <v>0.21199999999999999</v>
      </c>
      <c r="C146" s="7">
        <v>0.21199999999999999</v>
      </c>
      <c r="D146" s="7">
        <v>0.21199999999999999</v>
      </c>
      <c r="E146" s="7">
        <v>0.21199999999999999</v>
      </c>
      <c r="F146" s="7">
        <v>0.21199999999999999</v>
      </c>
      <c r="G146" s="7">
        <v>0.32400000000000001</v>
      </c>
      <c r="H146" s="7">
        <v>0.32400000000000001</v>
      </c>
      <c r="I146" s="7">
        <v>0.52400000000000002</v>
      </c>
      <c r="J146" s="7">
        <v>0.52400000000000002</v>
      </c>
      <c r="K146" s="7">
        <v>0.52400000000000002</v>
      </c>
      <c r="L146" s="7">
        <v>0.52400000000000002</v>
      </c>
      <c r="M146" s="7">
        <v>0.52400000000000002</v>
      </c>
      <c r="N146" s="7">
        <v>0.624</v>
      </c>
      <c r="O146" s="7">
        <v>0.52400000000000002</v>
      </c>
      <c r="P146" s="7">
        <v>0.52400000000000002</v>
      </c>
      <c r="Q146" s="7">
        <v>0.52400000000000002</v>
      </c>
    </row>
    <row r="147" spans="1:17">
      <c r="A147" s="2">
        <v>2095</v>
      </c>
      <c r="B147" s="7">
        <v>0.21</v>
      </c>
      <c r="C147" s="7">
        <v>0.21</v>
      </c>
      <c r="D147" s="7">
        <v>0.21</v>
      </c>
      <c r="E147" s="7">
        <v>0.21</v>
      </c>
      <c r="F147" s="7">
        <v>0.21</v>
      </c>
      <c r="G147" s="7">
        <v>0.32</v>
      </c>
      <c r="H147" s="7">
        <v>0.32</v>
      </c>
      <c r="I147" s="7">
        <v>0.52</v>
      </c>
      <c r="J147" s="7">
        <v>0.52</v>
      </c>
      <c r="K147" s="7">
        <v>0.52</v>
      </c>
      <c r="L147" s="7">
        <v>0.52</v>
      </c>
      <c r="M147" s="7">
        <v>0.52</v>
      </c>
      <c r="N147" s="7">
        <v>0.62</v>
      </c>
      <c r="O147" s="7">
        <v>0.52</v>
      </c>
      <c r="P147" s="7">
        <v>0.52</v>
      </c>
      <c r="Q147" s="7">
        <v>0.52</v>
      </c>
    </row>
    <row r="148" spans="1:17">
      <c r="A148" s="2">
        <v>2096</v>
      </c>
      <c r="B148" s="7">
        <v>0.20799999999999999</v>
      </c>
      <c r="C148" s="7">
        <v>0.20799999999999999</v>
      </c>
      <c r="D148" s="7">
        <v>0.20799999999999999</v>
      </c>
      <c r="E148" s="7">
        <v>0.20799999999999999</v>
      </c>
      <c r="F148" s="7">
        <v>0.20799999999999999</v>
      </c>
      <c r="G148" s="7">
        <v>0.316</v>
      </c>
      <c r="H148" s="7">
        <v>0.316</v>
      </c>
      <c r="I148" s="7">
        <v>0.51600000000000001</v>
      </c>
      <c r="J148" s="7">
        <v>0.51600000000000001</v>
      </c>
      <c r="K148" s="7">
        <v>0.51600000000000001</v>
      </c>
      <c r="L148" s="7">
        <v>0.51600000000000001</v>
      </c>
      <c r="M148" s="7">
        <v>0.51600000000000001</v>
      </c>
      <c r="N148" s="7">
        <v>0.61599999999999999</v>
      </c>
      <c r="O148" s="7">
        <v>0.51600000000000001</v>
      </c>
      <c r="P148" s="7">
        <v>0.51600000000000001</v>
      </c>
      <c r="Q148" s="7">
        <v>0.51600000000000001</v>
      </c>
    </row>
    <row r="149" spans="1:17">
      <c r="A149" s="2">
        <v>2097</v>
      </c>
      <c r="B149" s="7">
        <v>0.20599999999999999</v>
      </c>
      <c r="C149" s="7">
        <v>0.20599999999999999</v>
      </c>
      <c r="D149" s="7">
        <v>0.20599999999999999</v>
      </c>
      <c r="E149" s="7">
        <v>0.20599999999999999</v>
      </c>
      <c r="F149" s="7">
        <v>0.20599999999999999</v>
      </c>
      <c r="G149" s="7">
        <v>0.312</v>
      </c>
      <c r="H149" s="7">
        <v>0.312</v>
      </c>
      <c r="I149" s="7">
        <v>0.51200000000000001</v>
      </c>
      <c r="J149" s="7">
        <v>0.51200000000000001</v>
      </c>
      <c r="K149" s="7">
        <v>0.51200000000000001</v>
      </c>
      <c r="L149" s="7">
        <v>0.51200000000000001</v>
      </c>
      <c r="M149" s="7">
        <v>0.51200000000000001</v>
      </c>
      <c r="N149" s="7">
        <v>0.61199999999999999</v>
      </c>
      <c r="O149" s="7">
        <v>0.51200000000000001</v>
      </c>
      <c r="P149" s="7">
        <v>0.51200000000000001</v>
      </c>
      <c r="Q149" s="7">
        <v>0.51200000000000001</v>
      </c>
    </row>
    <row r="150" spans="1:17">
      <c r="A150" s="2">
        <v>2098</v>
      </c>
      <c r="B150" s="7">
        <v>0.20399999999999999</v>
      </c>
      <c r="C150" s="7">
        <v>0.20399999999999999</v>
      </c>
      <c r="D150" s="7">
        <v>0.20399999999999999</v>
      </c>
      <c r="E150" s="7">
        <v>0.20399999999999999</v>
      </c>
      <c r="F150" s="7">
        <v>0.20399999999999999</v>
      </c>
      <c r="G150" s="7">
        <v>0.308</v>
      </c>
      <c r="H150" s="7">
        <v>0.308</v>
      </c>
      <c r="I150" s="7">
        <v>0.50800000000000001</v>
      </c>
      <c r="J150" s="7">
        <v>0.50800000000000001</v>
      </c>
      <c r="K150" s="7">
        <v>0.50800000000000001</v>
      </c>
      <c r="L150" s="7">
        <v>0.50800000000000001</v>
      </c>
      <c r="M150" s="7">
        <v>0.50800000000000001</v>
      </c>
      <c r="N150" s="7">
        <v>0.60799999999999998</v>
      </c>
      <c r="O150" s="7">
        <v>0.50800000000000001</v>
      </c>
      <c r="P150" s="7">
        <v>0.50800000000000001</v>
      </c>
      <c r="Q150" s="7">
        <v>0.50800000000000001</v>
      </c>
    </row>
    <row r="151" spans="1:17">
      <c r="A151" s="2">
        <v>2099</v>
      </c>
      <c r="B151" s="7">
        <v>0.20200000000000001</v>
      </c>
      <c r="C151" s="7">
        <v>0.20200000000000001</v>
      </c>
      <c r="D151" s="7">
        <v>0.20200000000000001</v>
      </c>
      <c r="E151" s="7">
        <v>0.20200000000000001</v>
      </c>
      <c r="F151" s="7">
        <v>0.20200000000000001</v>
      </c>
      <c r="G151" s="7">
        <v>0.30399999999999999</v>
      </c>
      <c r="H151" s="7">
        <v>0.30399999999999999</v>
      </c>
      <c r="I151" s="7">
        <v>0.504</v>
      </c>
      <c r="J151" s="7">
        <v>0.504</v>
      </c>
      <c r="K151" s="7">
        <v>0.504</v>
      </c>
      <c r="L151" s="7">
        <v>0.504</v>
      </c>
      <c r="M151" s="7">
        <v>0.504</v>
      </c>
      <c r="N151" s="7">
        <v>0.60399999999999998</v>
      </c>
      <c r="O151" s="7">
        <v>0.504</v>
      </c>
      <c r="P151" s="7">
        <v>0.504</v>
      </c>
      <c r="Q151" s="7">
        <v>0.504</v>
      </c>
    </row>
    <row r="152" spans="1:17">
      <c r="A152" s="2">
        <v>2100</v>
      </c>
      <c r="B152" s="7">
        <v>0.2</v>
      </c>
      <c r="C152" s="7">
        <v>0.2</v>
      </c>
      <c r="D152" s="7">
        <v>0.2</v>
      </c>
      <c r="E152" s="7">
        <v>0.2</v>
      </c>
      <c r="F152" s="7">
        <v>0.2</v>
      </c>
      <c r="G152" s="7">
        <v>0.3</v>
      </c>
      <c r="H152" s="7">
        <v>0.3</v>
      </c>
      <c r="I152" s="7">
        <v>0.5</v>
      </c>
      <c r="J152" s="7">
        <v>0.5</v>
      </c>
      <c r="K152" s="7">
        <v>0.5</v>
      </c>
      <c r="L152" s="7">
        <v>0.5</v>
      </c>
      <c r="M152" s="7">
        <v>0.5</v>
      </c>
      <c r="N152" s="7">
        <v>0.6</v>
      </c>
      <c r="O152" s="7">
        <v>0.5</v>
      </c>
      <c r="P152" s="7">
        <v>0.5</v>
      </c>
      <c r="Q152" s="7">
        <v>0.5</v>
      </c>
    </row>
    <row r="153" spans="1:17">
      <c r="A153" s="2">
        <v>2101</v>
      </c>
      <c r="B153" s="7">
        <v>0.20450494999999999</v>
      </c>
      <c r="C153" s="7">
        <v>0.20450494999999999</v>
      </c>
      <c r="D153" s="7">
        <v>0.20450494999999999</v>
      </c>
      <c r="E153" s="7">
        <v>0.20450494999999999</v>
      </c>
      <c r="F153" s="7">
        <v>0.20450494999999999</v>
      </c>
      <c r="G153" s="7">
        <v>0.30550495</v>
      </c>
      <c r="H153" s="7">
        <v>0.30550495</v>
      </c>
      <c r="I153" s="7">
        <v>0.50755198000000001</v>
      </c>
      <c r="J153" s="7">
        <v>0.50752475200000002</v>
      </c>
      <c r="K153" s="7">
        <v>0.50752475200000002</v>
      </c>
      <c r="L153" s="7">
        <v>0.50755198000000001</v>
      </c>
      <c r="M153" s="7">
        <v>0.50755198000000001</v>
      </c>
      <c r="N153" s="7">
        <v>0.606524752</v>
      </c>
      <c r="O153" s="7">
        <v>0.50762871300000001</v>
      </c>
      <c r="P153" s="7">
        <v>0.50762871300000001</v>
      </c>
      <c r="Q153" s="7">
        <v>0.50752475200000002</v>
      </c>
    </row>
    <row r="154" spans="1:17">
      <c r="A154" s="2">
        <v>2102</v>
      </c>
      <c r="B154" s="7">
        <v>0.209009901</v>
      </c>
      <c r="C154" s="7">
        <v>0.209009901</v>
      </c>
      <c r="D154" s="7">
        <v>0.209009901</v>
      </c>
      <c r="E154" s="7">
        <v>0.209009901</v>
      </c>
      <c r="F154" s="7">
        <v>0.209009901</v>
      </c>
      <c r="G154" s="7">
        <v>0.31100990099999998</v>
      </c>
      <c r="H154" s="7">
        <v>0.31100990099999998</v>
      </c>
      <c r="I154" s="7">
        <v>0.51510396000000003</v>
      </c>
      <c r="J154" s="7">
        <v>0.51504950500000002</v>
      </c>
      <c r="K154" s="7">
        <v>0.51504950500000002</v>
      </c>
      <c r="L154" s="7">
        <v>0.51510396000000003</v>
      </c>
      <c r="M154" s="7">
        <v>0.51510396000000003</v>
      </c>
      <c r="N154" s="7">
        <v>0.61304950499999999</v>
      </c>
      <c r="O154" s="7">
        <v>0.51525742600000002</v>
      </c>
      <c r="P154" s="7">
        <v>0.51525742600000002</v>
      </c>
      <c r="Q154" s="7">
        <v>0.51504950500000002</v>
      </c>
    </row>
    <row r="155" spans="1:17">
      <c r="A155" s="2">
        <v>2103</v>
      </c>
      <c r="B155" s="7">
        <v>0.21351485100000001</v>
      </c>
      <c r="C155" s="7">
        <v>0.21351485100000001</v>
      </c>
      <c r="D155" s="7">
        <v>0.21351485100000001</v>
      </c>
      <c r="E155" s="7">
        <v>0.21351485100000001</v>
      </c>
      <c r="F155" s="7">
        <v>0.21351485100000001</v>
      </c>
      <c r="G155" s="7">
        <v>0.31651485099999999</v>
      </c>
      <c r="H155" s="7">
        <v>0.31651485099999999</v>
      </c>
      <c r="I155" s="7">
        <v>0.52265594100000001</v>
      </c>
      <c r="J155" s="7">
        <v>0.52257425700000004</v>
      </c>
      <c r="K155" s="7">
        <v>0.52257425700000004</v>
      </c>
      <c r="L155" s="7">
        <v>0.52265594100000001</v>
      </c>
      <c r="M155" s="7">
        <v>0.52265594100000001</v>
      </c>
      <c r="N155" s="7">
        <v>0.61957425700000002</v>
      </c>
      <c r="O155" s="7">
        <v>0.52288613900000003</v>
      </c>
      <c r="P155" s="7">
        <v>0.52288613900000003</v>
      </c>
      <c r="Q155" s="7">
        <v>0.52257425700000004</v>
      </c>
    </row>
    <row r="156" spans="1:17">
      <c r="A156" s="2">
        <v>2104</v>
      </c>
      <c r="B156" s="7">
        <v>0.21801980200000001</v>
      </c>
      <c r="C156" s="7">
        <v>0.21801980200000001</v>
      </c>
      <c r="D156" s="7">
        <v>0.21801980200000001</v>
      </c>
      <c r="E156" s="7">
        <v>0.21801980200000001</v>
      </c>
      <c r="F156" s="7">
        <v>0.21801980200000001</v>
      </c>
      <c r="G156" s="7">
        <v>0.32201980200000002</v>
      </c>
      <c r="H156" s="7">
        <v>0.32201980200000002</v>
      </c>
      <c r="I156" s="7">
        <v>0.53020792100000003</v>
      </c>
      <c r="J156" s="7">
        <v>0.53009901000000004</v>
      </c>
      <c r="K156" s="7">
        <v>0.53009901000000004</v>
      </c>
      <c r="L156" s="7">
        <v>0.53020792100000003</v>
      </c>
      <c r="M156" s="7">
        <v>0.53020792100000003</v>
      </c>
      <c r="N156" s="7">
        <v>0.62609901000000001</v>
      </c>
      <c r="O156" s="7">
        <v>0.53051485099999995</v>
      </c>
      <c r="P156" s="7">
        <v>0.53051485099999995</v>
      </c>
      <c r="Q156" s="7">
        <v>0.53009901000000004</v>
      </c>
    </row>
    <row r="157" spans="1:17">
      <c r="A157" s="2">
        <v>2105</v>
      </c>
      <c r="B157" s="7">
        <v>0.22252475199999999</v>
      </c>
      <c r="C157" s="7">
        <v>0.22252475199999999</v>
      </c>
      <c r="D157" s="7">
        <v>0.22252475199999999</v>
      </c>
      <c r="E157" s="7">
        <v>0.22252475199999999</v>
      </c>
      <c r="F157" s="7">
        <v>0.22252475199999999</v>
      </c>
      <c r="G157" s="7">
        <v>0.32752475199999997</v>
      </c>
      <c r="H157" s="7">
        <v>0.32752475199999997</v>
      </c>
      <c r="I157" s="7">
        <v>0.53775990100000004</v>
      </c>
      <c r="J157" s="7">
        <v>0.53762376199999995</v>
      </c>
      <c r="K157" s="7">
        <v>0.53762376199999995</v>
      </c>
      <c r="L157" s="7">
        <v>0.53775990100000004</v>
      </c>
      <c r="M157" s="7">
        <v>0.53775990100000004</v>
      </c>
      <c r="N157" s="7">
        <v>0.63262376200000003</v>
      </c>
      <c r="O157" s="7">
        <v>0.53814356399999996</v>
      </c>
      <c r="P157" s="7">
        <v>0.53814356399999996</v>
      </c>
      <c r="Q157" s="7">
        <v>0.53762376199999995</v>
      </c>
    </row>
    <row r="158" spans="1:17">
      <c r="A158" s="2">
        <v>2106</v>
      </c>
      <c r="B158" s="7">
        <v>0.227029703</v>
      </c>
      <c r="C158" s="7">
        <v>0.227029703</v>
      </c>
      <c r="D158" s="7">
        <v>0.227029703</v>
      </c>
      <c r="E158" s="7">
        <v>0.227029703</v>
      </c>
      <c r="F158" s="7">
        <v>0.227029703</v>
      </c>
      <c r="G158" s="7">
        <v>0.33302970300000001</v>
      </c>
      <c r="H158" s="7">
        <v>0.33302970300000001</v>
      </c>
      <c r="I158" s="7">
        <v>0.54531188100000005</v>
      </c>
      <c r="J158" s="7">
        <v>0.54514851499999994</v>
      </c>
      <c r="K158" s="7">
        <v>0.54514851499999994</v>
      </c>
      <c r="L158" s="7">
        <v>0.54531188100000005</v>
      </c>
      <c r="M158" s="7">
        <v>0.54531188100000005</v>
      </c>
      <c r="N158" s="7">
        <v>0.63914851500000003</v>
      </c>
      <c r="O158" s="7">
        <v>0.54577227699999997</v>
      </c>
      <c r="P158" s="7">
        <v>0.54577227699999997</v>
      </c>
      <c r="Q158" s="7">
        <v>0.54514851499999994</v>
      </c>
    </row>
    <row r="159" spans="1:17">
      <c r="A159" s="2">
        <v>2107</v>
      </c>
      <c r="B159" s="7">
        <v>0.23153465300000001</v>
      </c>
      <c r="C159" s="7">
        <v>0.23153465300000001</v>
      </c>
      <c r="D159" s="7">
        <v>0.23153465300000001</v>
      </c>
      <c r="E159" s="7">
        <v>0.23153465300000001</v>
      </c>
      <c r="F159" s="7">
        <v>0.23153465300000001</v>
      </c>
      <c r="G159" s="7">
        <v>0.33853465300000002</v>
      </c>
      <c r="H159" s="7">
        <v>0.33853465300000002</v>
      </c>
      <c r="I159" s="7">
        <v>0.55286386099999996</v>
      </c>
      <c r="J159" s="7">
        <v>0.55267326699999997</v>
      </c>
      <c r="K159" s="7">
        <v>0.55267326699999997</v>
      </c>
      <c r="L159" s="7">
        <v>0.55286386099999996</v>
      </c>
      <c r="M159" s="7">
        <v>0.55286386099999996</v>
      </c>
      <c r="N159" s="7">
        <v>0.64567326700000005</v>
      </c>
      <c r="O159" s="7">
        <v>0.55340098999999998</v>
      </c>
      <c r="P159" s="7">
        <v>0.55340098999999998</v>
      </c>
      <c r="Q159" s="7">
        <v>0.55267326699999997</v>
      </c>
    </row>
    <row r="160" spans="1:17">
      <c r="A160" s="2">
        <v>2108</v>
      </c>
      <c r="B160" s="7">
        <v>0.23603960399999999</v>
      </c>
      <c r="C160" s="7">
        <v>0.23603960399999999</v>
      </c>
      <c r="D160" s="7">
        <v>0.23603960399999999</v>
      </c>
      <c r="E160" s="7">
        <v>0.23603960399999999</v>
      </c>
      <c r="F160" s="7">
        <v>0.23603960399999999</v>
      </c>
      <c r="G160" s="7">
        <v>0.344039604</v>
      </c>
      <c r="H160" s="7">
        <v>0.344039604</v>
      </c>
      <c r="I160" s="7">
        <v>0.56041584200000005</v>
      </c>
      <c r="J160" s="7">
        <v>0.56019801999999996</v>
      </c>
      <c r="K160" s="7">
        <v>0.56019801999999996</v>
      </c>
      <c r="L160" s="7">
        <v>0.56041584200000005</v>
      </c>
      <c r="M160" s="7">
        <v>0.56041584200000005</v>
      </c>
      <c r="N160" s="7">
        <v>0.65219802000000004</v>
      </c>
      <c r="O160" s="7">
        <v>0.56102970299999999</v>
      </c>
      <c r="P160" s="7">
        <v>0.56102970299999999</v>
      </c>
      <c r="Q160" s="7">
        <v>0.56019801999999996</v>
      </c>
    </row>
    <row r="161" spans="1:17">
      <c r="A161" s="2">
        <v>2109</v>
      </c>
      <c r="B161" s="7">
        <v>0.24054455399999999</v>
      </c>
      <c r="C161" s="7">
        <v>0.24054455399999999</v>
      </c>
      <c r="D161" s="7">
        <v>0.24054455399999999</v>
      </c>
      <c r="E161" s="7">
        <v>0.24054455399999999</v>
      </c>
      <c r="F161" s="7">
        <v>0.24054455399999999</v>
      </c>
      <c r="G161" s="7">
        <v>0.34954455400000001</v>
      </c>
      <c r="H161" s="7">
        <v>0.34954455400000001</v>
      </c>
      <c r="I161" s="7">
        <v>0.56796782199999996</v>
      </c>
      <c r="J161" s="7">
        <v>0.56772277199999999</v>
      </c>
      <c r="K161" s="7">
        <v>0.56772277199999999</v>
      </c>
      <c r="L161" s="7">
        <v>0.56796782199999996</v>
      </c>
      <c r="M161" s="7">
        <v>0.56796782199999996</v>
      </c>
      <c r="N161" s="7">
        <v>0.65872277199999996</v>
      </c>
      <c r="O161" s="7">
        <v>0.568658416</v>
      </c>
      <c r="P161" s="7">
        <v>0.568658416</v>
      </c>
      <c r="Q161" s="7">
        <v>0.56772277199999999</v>
      </c>
    </row>
    <row r="162" spans="1:17">
      <c r="A162" s="2">
        <v>2110</v>
      </c>
      <c r="B162" s="7">
        <v>0.245049505</v>
      </c>
      <c r="C162" s="7">
        <v>0.245049505</v>
      </c>
      <c r="D162" s="7">
        <v>0.245049505</v>
      </c>
      <c r="E162" s="7">
        <v>0.245049505</v>
      </c>
      <c r="F162" s="7">
        <v>0.245049505</v>
      </c>
      <c r="G162" s="7">
        <v>0.35504950499999999</v>
      </c>
      <c r="H162" s="7">
        <v>0.35504950499999999</v>
      </c>
      <c r="I162" s="7">
        <v>0.57551980199999997</v>
      </c>
      <c r="J162" s="7">
        <v>0.57524752499999998</v>
      </c>
      <c r="K162" s="7">
        <v>0.57524752499999998</v>
      </c>
      <c r="L162" s="7">
        <v>0.57551980199999997</v>
      </c>
      <c r="M162" s="7">
        <v>0.57551980199999997</v>
      </c>
      <c r="N162" s="7">
        <v>0.66524752499999995</v>
      </c>
      <c r="O162" s="7">
        <v>0.57628712900000001</v>
      </c>
      <c r="P162" s="7">
        <v>0.57628712900000001</v>
      </c>
      <c r="Q162" s="7">
        <v>0.57524752499999998</v>
      </c>
    </row>
    <row r="163" spans="1:17">
      <c r="A163" s="2">
        <v>2111</v>
      </c>
      <c r="B163" s="7">
        <v>0.24955445500000001</v>
      </c>
      <c r="C163" s="7">
        <v>0.24955445500000001</v>
      </c>
      <c r="D163" s="7">
        <v>0.24955445500000001</v>
      </c>
      <c r="E163" s="7">
        <v>0.24955445500000001</v>
      </c>
      <c r="F163" s="7">
        <v>0.24955445500000001</v>
      </c>
      <c r="G163" s="7">
        <v>0.360554455</v>
      </c>
      <c r="H163" s="7">
        <v>0.360554455</v>
      </c>
      <c r="I163" s="7">
        <v>0.58307178199999998</v>
      </c>
      <c r="J163" s="7">
        <v>0.58277227700000001</v>
      </c>
      <c r="K163" s="7">
        <v>0.58277227700000001</v>
      </c>
      <c r="L163" s="7">
        <v>0.58307178199999998</v>
      </c>
      <c r="M163" s="7">
        <v>0.58307178199999998</v>
      </c>
      <c r="N163" s="7">
        <v>0.67177227699999997</v>
      </c>
      <c r="O163" s="7">
        <v>0.58391584200000002</v>
      </c>
      <c r="P163" s="7">
        <v>0.58391584200000002</v>
      </c>
      <c r="Q163" s="7">
        <v>0.58277227700000001</v>
      </c>
    </row>
    <row r="164" spans="1:17">
      <c r="A164" s="2">
        <v>2112</v>
      </c>
      <c r="B164" s="7">
        <v>0.25405940599999999</v>
      </c>
      <c r="C164" s="7">
        <v>0.25405940599999999</v>
      </c>
      <c r="D164" s="7">
        <v>0.25405940599999999</v>
      </c>
      <c r="E164" s="7">
        <v>0.25405940599999999</v>
      </c>
      <c r="F164" s="7">
        <v>0.25405940599999999</v>
      </c>
      <c r="G164" s="7">
        <v>0.36605940599999998</v>
      </c>
      <c r="H164" s="7">
        <v>0.36605940599999998</v>
      </c>
      <c r="I164" s="7">
        <v>0.590623762</v>
      </c>
      <c r="J164" s="7">
        <v>0.59029703</v>
      </c>
      <c r="K164" s="7">
        <v>0.59029703</v>
      </c>
      <c r="L164" s="7">
        <v>0.590623762</v>
      </c>
      <c r="M164" s="7">
        <v>0.590623762</v>
      </c>
      <c r="N164" s="7">
        <v>0.67829702999999997</v>
      </c>
      <c r="O164" s="7">
        <v>0.59154455399999994</v>
      </c>
      <c r="P164" s="7">
        <v>0.59154455399999994</v>
      </c>
      <c r="Q164" s="7">
        <v>0.59029703</v>
      </c>
    </row>
    <row r="165" spans="1:17">
      <c r="A165" s="2">
        <v>2113</v>
      </c>
      <c r="B165" s="7">
        <v>0.258564356</v>
      </c>
      <c r="C165" s="7">
        <v>0.258564356</v>
      </c>
      <c r="D165" s="7">
        <v>0.258564356</v>
      </c>
      <c r="E165" s="7">
        <v>0.258564356</v>
      </c>
      <c r="F165" s="7">
        <v>0.258564356</v>
      </c>
      <c r="G165" s="7">
        <v>0.37156435599999998</v>
      </c>
      <c r="H165" s="7">
        <v>0.37156435599999998</v>
      </c>
      <c r="I165" s="7">
        <v>0.59817574299999998</v>
      </c>
      <c r="J165" s="7">
        <v>0.59782178200000002</v>
      </c>
      <c r="K165" s="7">
        <v>0.59782178200000002</v>
      </c>
      <c r="L165" s="7">
        <v>0.59817574299999998</v>
      </c>
      <c r="M165" s="7">
        <v>0.59817574299999998</v>
      </c>
      <c r="N165" s="7">
        <v>0.68482178199999999</v>
      </c>
      <c r="O165" s="7">
        <v>0.59917326699999995</v>
      </c>
      <c r="P165" s="7">
        <v>0.59917326699999995</v>
      </c>
      <c r="Q165" s="7">
        <v>0.59782178200000002</v>
      </c>
    </row>
    <row r="166" spans="1:17">
      <c r="A166" s="2">
        <v>2114</v>
      </c>
      <c r="B166" s="7">
        <v>0.26306930699999997</v>
      </c>
      <c r="C166" s="7">
        <v>0.26306930699999997</v>
      </c>
      <c r="D166" s="7">
        <v>0.26306930699999997</v>
      </c>
      <c r="E166" s="7">
        <v>0.26306930699999997</v>
      </c>
      <c r="F166" s="7">
        <v>0.26306930699999997</v>
      </c>
      <c r="G166" s="7">
        <v>0.37706930700000002</v>
      </c>
      <c r="H166" s="7">
        <v>0.37706930700000002</v>
      </c>
      <c r="I166" s="7">
        <v>0.605727723</v>
      </c>
      <c r="J166" s="7">
        <v>0.60534653500000002</v>
      </c>
      <c r="K166" s="7">
        <v>0.60534653500000002</v>
      </c>
      <c r="L166" s="7">
        <v>0.605727723</v>
      </c>
      <c r="M166" s="7">
        <v>0.605727723</v>
      </c>
      <c r="N166" s="7">
        <v>0.69134653499999998</v>
      </c>
      <c r="O166" s="7">
        <v>0.60680197999999996</v>
      </c>
      <c r="P166" s="7">
        <v>0.60680197999999996</v>
      </c>
      <c r="Q166" s="7">
        <v>0.60534653500000002</v>
      </c>
    </row>
    <row r="167" spans="1:17">
      <c r="A167" s="2">
        <v>2115</v>
      </c>
      <c r="B167" s="7">
        <v>0.26757425699999998</v>
      </c>
      <c r="C167" s="7">
        <v>0.26757425699999998</v>
      </c>
      <c r="D167" s="7">
        <v>0.26757425699999998</v>
      </c>
      <c r="E167" s="7">
        <v>0.26757425699999998</v>
      </c>
      <c r="F167" s="7">
        <v>0.26757425699999998</v>
      </c>
      <c r="G167" s="7">
        <v>0.38257425699999997</v>
      </c>
      <c r="H167" s="7">
        <v>0.38257425699999997</v>
      </c>
      <c r="I167" s="7">
        <v>0.61327970300000001</v>
      </c>
      <c r="J167" s="7">
        <v>0.61287128700000004</v>
      </c>
      <c r="K167" s="7">
        <v>0.61287128700000004</v>
      </c>
      <c r="L167" s="7">
        <v>0.61327970300000001</v>
      </c>
      <c r="M167" s="7">
        <v>0.61327970300000001</v>
      </c>
      <c r="N167" s="7">
        <v>0.69787128700000001</v>
      </c>
      <c r="O167" s="7">
        <v>0.61443069299999997</v>
      </c>
      <c r="P167" s="7">
        <v>0.61443069299999997</v>
      </c>
      <c r="Q167" s="7">
        <v>0.61287128700000004</v>
      </c>
    </row>
    <row r="168" spans="1:17">
      <c r="A168" s="2">
        <v>2116</v>
      </c>
      <c r="B168" s="7">
        <v>0.27207920800000002</v>
      </c>
      <c r="C168" s="7">
        <v>0.27207920800000002</v>
      </c>
      <c r="D168" s="7">
        <v>0.27207920800000002</v>
      </c>
      <c r="E168" s="7">
        <v>0.27207920800000002</v>
      </c>
      <c r="F168" s="7">
        <v>0.27207920800000002</v>
      </c>
      <c r="G168" s="7">
        <v>0.38807920800000001</v>
      </c>
      <c r="H168" s="7">
        <v>0.38807920800000001</v>
      </c>
      <c r="I168" s="7">
        <v>0.62083168300000002</v>
      </c>
      <c r="J168" s="7">
        <v>0.62039604000000004</v>
      </c>
      <c r="K168" s="7">
        <v>0.62039604000000004</v>
      </c>
      <c r="L168" s="7">
        <v>0.62083168300000002</v>
      </c>
      <c r="M168" s="7">
        <v>0.62083168300000002</v>
      </c>
      <c r="N168" s="7">
        <v>0.70439604</v>
      </c>
      <c r="O168" s="7">
        <v>0.62205940599999998</v>
      </c>
      <c r="P168" s="7">
        <v>0.62205940599999998</v>
      </c>
      <c r="Q168" s="7">
        <v>0.62039604000000004</v>
      </c>
    </row>
    <row r="169" spans="1:17">
      <c r="A169" s="2">
        <v>2117</v>
      </c>
      <c r="B169" s="7">
        <v>0.27658415800000002</v>
      </c>
      <c r="C169" s="7">
        <v>0.27658415800000002</v>
      </c>
      <c r="D169" s="7">
        <v>0.27658415800000002</v>
      </c>
      <c r="E169" s="7">
        <v>0.27658415800000002</v>
      </c>
      <c r="F169" s="7">
        <v>0.27658415800000002</v>
      </c>
      <c r="G169" s="7">
        <v>0.39358415800000002</v>
      </c>
      <c r="H169" s="7">
        <v>0.39358415800000002</v>
      </c>
      <c r="I169" s="7">
        <v>0.62838366300000004</v>
      </c>
      <c r="J169" s="7">
        <v>0.62792079199999995</v>
      </c>
      <c r="K169" s="7">
        <v>0.62792079199999995</v>
      </c>
      <c r="L169" s="7">
        <v>0.62838366300000004</v>
      </c>
      <c r="M169" s="7">
        <v>0.62838366300000004</v>
      </c>
      <c r="N169" s="7">
        <v>0.71092079200000002</v>
      </c>
      <c r="O169" s="7">
        <v>0.62968811899999999</v>
      </c>
      <c r="P169" s="7">
        <v>0.62968811899999999</v>
      </c>
      <c r="Q169" s="7">
        <v>0.62792079199999995</v>
      </c>
    </row>
    <row r="170" spans="1:17">
      <c r="A170" s="2">
        <v>2118</v>
      </c>
      <c r="B170" s="7">
        <v>0.281089109</v>
      </c>
      <c r="C170" s="7">
        <v>0.281089109</v>
      </c>
      <c r="D170" s="7">
        <v>0.281089109</v>
      </c>
      <c r="E170" s="7">
        <v>0.281089109</v>
      </c>
      <c r="F170" s="7">
        <v>0.281089109</v>
      </c>
      <c r="G170" s="7">
        <v>0.399089109</v>
      </c>
      <c r="H170" s="7">
        <v>0.399089109</v>
      </c>
      <c r="I170" s="7">
        <v>0.63593564400000002</v>
      </c>
      <c r="J170" s="7">
        <v>0.63544554499999995</v>
      </c>
      <c r="K170" s="7">
        <v>0.63544554499999995</v>
      </c>
      <c r="L170" s="7">
        <v>0.63593564400000002</v>
      </c>
      <c r="M170" s="7">
        <v>0.63593564400000002</v>
      </c>
      <c r="N170" s="7">
        <v>0.71744554500000002</v>
      </c>
      <c r="O170" s="7">
        <v>0.637316832</v>
      </c>
      <c r="P170" s="7">
        <v>0.637316832</v>
      </c>
      <c r="Q170" s="7">
        <v>0.63544554499999995</v>
      </c>
    </row>
    <row r="171" spans="1:17">
      <c r="A171" s="2">
        <v>2119</v>
      </c>
      <c r="B171" s="7">
        <v>0.28559405900000001</v>
      </c>
      <c r="C171" s="7">
        <v>0.28559405900000001</v>
      </c>
      <c r="D171" s="7">
        <v>0.28559405900000001</v>
      </c>
      <c r="E171" s="7">
        <v>0.28559405900000001</v>
      </c>
      <c r="F171" s="7">
        <v>0.28559405900000001</v>
      </c>
      <c r="G171" s="7">
        <v>0.40459405900000001</v>
      </c>
      <c r="H171" s="7">
        <v>0.40459405900000001</v>
      </c>
      <c r="I171" s="7">
        <v>0.64348762400000004</v>
      </c>
      <c r="J171" s="7">
        <v>0.64297029699999997</v>
      </c>
      <c r="K171" s="7">
        <v>0.64297029699999997</v>
      </c>
      <c r="L171" s="7">
        <v>0.64348762400000004</v>
      </c>
      <c r="M171" s="7">
        <v>0.64348762400000004</v>
      </c>
      <c r="N171" s="7">
        <v>0.72397029700000004</v>
      </c>
      <c r="O171" s="7">
        <v>0.64494554500000001</v>
      </c>
      <c r="P171" s="7">
        <v>0.64494554500000001</v>
      </c>
      <c r="Q171" s="7">
        <v>0.64297029699999997</v>
      </c>
    </row>
    <row r="172" spans="1:17">
      <c r="A172" s="2">
        <v>2120</v>
      </c>
      <c r="B172" s="7">
        <v>0.29009900999999999</v>
      </c>
      <c r="C172" s="7">
        <v>0.29009900999999999</v>
      </c>
      <c r="D172" s="7">
        <v>0.29009900999999999</v>
      </c>
      <c r="E172" s="7">
        <v>0.29009900999999999</v>
      </c>
      <c r="F172" s="7">
        <v>0.29009900999999999</v>
      </c>
      <c r="G172" s="7">
        <v>0.41009900999999999</v>
      </c>
      <c r="H172" s="7">
        <v>0.41009900999999999</v>
      </c>
      <c r="I172" s="7">
        <v>0.65103960400000005</v>
      </c>
      <c r="J172" s="7">
        <v>0.65049504999999996</v>
      </c>
      <c r="K172" s="7">
        <v>0.65049504999999996</v>
      </c>
      <c r="L172" s="7">
        <v>0.65103960400000005</v>
      </c>
      <c r="M172" s="7">
        <v>0.65103960400000005</v>
      </c>
      <c r="N172" s="7">
        <v>0.73049505000000003</v>
      </c>
      <c r="O172" s="7">
        <v>0.65257425700000005</v>
      </c>
      <c r="P172" s="7">
        <v>0.65257425700000005</v>
      </c>
      <c r="Q172" s="7">
        <v>0.65049504999999996</v>
      </c>
    </row>
    <row r="173" spans="1:17">
      <c r="A173" s="2">
        <v>2121</v>
      </c>
      <c r="B173" s="7">
        <v>0.29460396</v>
      </c>
      <c r="C173" s="7">
        <v>0.29460396</v>
      </c>
      <c r="D173" s="7">
        <v>0.29460396</v>
      </c>
      <c r="E173" s="7">
        <v>0.29460396</v>
      </c>
      <c r="F173" s="7">
        <v>0.29460396</v>
      </c>
      <c r="G173" s="7">
        <v>0.41560395999999999</v>
      </c>
      <c r="H173" s="7">
        <v>0.41560395999999999</v>
      </c>
      <c r="I173" s="7">
        <v>0.65859158399999995</v>
      </c>
      <c r="J173" s="7">
        <v>0.65801980199999999</v>
      </c>
      <c r="K173" s="7">
        <v>0.65801980199999999</v>
      </c>
      <c r="L173" s="7">
        <v>0.65859158399999995</v>
      </c>
      <c r="M173" s="7">
        <v>0.65859158399999995</v>
      </c>
      <c r="N173" s="7">
        <v>0.73701980199999995</v>
      </c>
      <c r="O173" s="7">
        <v>0.66020296999999994</v>
      </c>
      <c r="P173" s="7">
        <v>0.66020296999999994</v>
      </c>
      <c r="Q173" s="7">
        <v>0.65801980199999999</v>
      </c>
    </row>
    <row r="174" spans="1:17">
      <c r="A174" s="2">
        <v>2122</v>
      </c>
      <c r="B174" s="7">
        <v>0.29910891099999998</v>
      </c>
      <c r="C174" s="7">
        <v>0.29910891099999998</v>
      </c>
      <c r="D174" s="7">
        <v>0.29910891099999998</v>
      </c>
      <c r="E174" s="7">
        <v>0.29910891099999998</v>
      </c>
      <c r="F174" s="7">
        <v>0.29910891099999998</v>
      </c>
      <c r="G174" s="7">
        <v>0.42110891099999997</v>
      </c>
      <c r="H174" s="7">
        <v>0.42110891099999997</v>
      </c>
      <c r="I174" s="7">
        <v>0.66614356399999997</v>
      </c>
      <c r="J174" s="7">
        <v>0.66554455400000001</v>
      </c>
      <c r="K174" s="7">
        <v>0.66554455400000001</v>
      </c>
      <c r="L174" s="7">
        <v>0.66614356399999997</v>
      </c>
      <c r="M174" s="7">
        <v>0.66614356399999997</v>
      </c>
      <c r="N174" s="7">
        <v>0.74354455399999997</v>
      </c>
      <c r="O174" s="7">
        <v>0.66783168299999995</v>
      </c>
      <c r="P174" s="7">
        <v>0.66783168299999995</v>
      </c>
      <c r="Q174" s="7">
        <v>0.66554455400000001</v>
      </c>
    </row>
    <row r="175" spans="1:17">
      <c r="A175" s="2">
        <v>2123</v>
      </c>
      <c r="B175" s="7">
        <v>0.30361386099999998</v>
      </c>
      <c r="C175" s="7">
        <v>0.30361386099999998</v>
      </c>
      <c r="D175" s="7">
        <v>0.30361386099999998</v>
      </c>
      <c r="E175" s="7">
        <v>0.30361386099999998</v>
      </c>
      <c r="F175" s="7">
        <v>0.30361386099999998</v>
      </c>
      <c r="G175" s="7">
        <v>0.42661386099999998</v>
      </c>
      <c r="H175" s="7">
        <v>0.42661386099999998</v>
      </c>
      <c r="I175" s="7">
        <v>0.67369554499999995</v>
      </c>
      <c r="J175" s="7">
        <v>0.67306930700000001</v>
      </c>
      <c r="K175" s="7">
        <v>0.67306930700000001</v>
      </c>
      <c r="L175" s="7">
        <v>0.67369554499999995</v>
      </c>
      <c r="M175" s="7">
        <v>0.67369554499999995</v>
      </c>
      <c r="N175" s="7">
        <v>0.75006930699999996</v>
      </c>
      <c r="O175" s="7">
        <v>0.67546039599999996</v>
      </c>
      <c r="P175" s="7">
        <v>0.67546039599999996</v>
      </c>
      <c r="Q175" s="7">
        <v>0.67306930700000001</v>
      </c>
    </row>
    <row r="176" spans="1:17">
      <c r="A176" s="2">
        <v>2124</v>
      </c>
      <c r="B176" s="7">
        <v>0.30811881200000002</v>
      </c>
      <c r="C176" s="7">
        <v>0.30811881200000002</v>
      </c>
      <c r="D176" s="7">
        <v>0.30811881200000002</v>
      </c>
      <c r="E176" s="7">
        <v>0.30811881200000002</v>
      </c>
      <c r="F176" s="7">
        <v>0.30811881200000002</v>
      </c>
      <c r="G176" s="7">
        <v>0.43211881200000002</v>
      </c>
      <c r="H176" s="7">
        <v>0.43211881200000002</v>
      </c>
      <c r="I176" s="7">
        <v>0.68124752499999996</v>
      </c>
      <c r="J176" s="7">
        <v>0.68059405900000003</v>
      </c>
      <c r="K176" s="7">
        <v>0.68059405900000003</v>
      </c>
      <c r="L176" s="7">
        <v>0.68124752499999996</v>
      </c>
      <c r="M176" s="7">
        <v>0.68124752499999996</v>
      </c>
      <c r="N176" s="7">
        <v>0.75659405899999999</v>
      </c>
      <c r="O176" s="7">
        <v>0.68308910899999997</v>
      </c>
      <c r="P176" s="7">
        <v>0.68308910899999997</v>
      </c>
      <c r="Q176" s="7">
        <v>0.68059405900000003</v>
      </c>
    </row>
    <row r="177" spans="1:17">
      <c r="A177" s="2">
        <v>2125</v>
      </c>
      <c r="B177" s="7">
        <v>0.31262376200000003</v>
      </c>
      <c r="C177" s="7">
        <v>0.31262376200000003</v>
      </c>
      <c r="D177" s="7">
        <v>0.31262376200000003</v>
      </c>
      <c r="E177" s="7">
        <v>0.31262376200000003</v>
      </c>
      <c r="F177" s="7">
        <v>0.31262376200000003</v>
      </c>
      <c r="G177" s="7">
        <v>0.43762376200000003</v>
      </c>
      <c r="H177" s="7">
        <v>0.43762376200000003</v>
      </c>
      <c r="I177" s="7">
        <v>0.68879950499999998</v>
      </c>
      <c r="J177" s="7">
        <v>0.68811881200000002</v>
      </c>
      <c r="K177" s="7">
        <v>0.68811881200000002</v>
      </c>
      <c r="L177" s="7">
        <v>0.68879950499999998</v>
      </c>
      <c r="M177" s="7">
        <v>0.68879950499999998</v>
      </c>
      <c r="N177" s="7">
        <v>0.76311881199999998</v>
      </c>
      <c r="O177" s="7">
        <v>0.69071782199999998</v>
      </c>
      <c r="P177" s="7">
        <v>0.69071782199999998</v>
      </c>
      <c r="Q177" s="7">
        <v>0.68811881200000002</v>
      </c>
    </row>
    <row r="178" spans="1:17">
      <c r="A178" s="2">
        <v>2126</v>
      </c>
      <c r="B178" s="7">
        <v>0.31712871300000001</v>
      </c>
      <c r="C178" s="7">
        <v>0.31712871300000001</v>
      </c>
      <c r="D178" s="7">
        <v>0.31712871300000001</v>
      </c>
      <c r="E178" s="7">
        <v>0.31712871300000001</v>
      </c>
      <c r="F178" s="7">
        <v>0.31712871300000001</v>
      </c>
      <c r="G178" s="7">
        <v>0.44312871300000001</v>
      </c>
      <c r="H178" s="7">
        <v>0.44312871300000001</v>
      </c>
      <c r="I178" s="7">
        <v>0.69635148499999999</v>
      </c>
      <c r="J178" s="7">
        <v>0.69564356400000005</v>
      </c>
      <c r="K178" s="7">
        <v>0.69564356400000005</v>
      </c>
      <c r="L178" s="7">
        <v>0.69635148499999999</v>
      </c>
      <c r="M178" s="7">
        <v>0.69635148499999999</v>
      </c>
      <c r="N178" s="7">
        <v>0.769643564</v>
      </c>
      <c r="O178" s="7">
        <v>0.69834653499999999</v>
      </c>
      <c r="P178" s="7">
        <v>0.69834653499999999</v>
      </c>
      <c r="Q178" s="7">
        <v>0.69564356400000005</v>
      </c>
    </row>
    <row r="179" spans="1:17">
      <c r="A179" s="2">
        <v>2127</v>
      </c>
      <c r="B179" s="7">
        <v>0.32163366300000001</v>
      </c>
      <c r="C179" s="7">
        <v>0.32163366300000001</v>
      </c>
      <c r="D179" s="7">
        <v>0.32163366300000001</v>
      </c>
      <c r="E179" s="7">
        <v>0.32163366300000001</v>
      </c>
      <c r="F179" s="7">
        <v>0.32163366300000001</v>
      </c>
      <c r="G179" s="7">
        <v>0.44863366300000002</v>
      </c>
      <c r="H179" s="7">
        <v>0.44863366300000002</v>
      </c>
      <c r="I179" s="7">
        <v>0.70390346500000001</v>
      </c>
      <c r="J179" s="7">
        <v>0.70316831700000004</v>
      </c>
      <c r="K179" s="7">
        <v>0.70316831700000004</v>
      </c>
      <c r="L179" s="7">
        <v>0.70390346500000001</v>
      </c>
      <c r="M179" s="7">
        <v>0.70390346500000001</v>
      </c>
      <c r="N179" s="7">
        <v>0.776168317</v>
      </c>
      <c r="O179" s="7">
        <v>0.705975248</v>
      </c>
      <c r="P179" s="7">
        <v>0.705975248</v>
      </c>
      <c r="Q179" s="7">
        <v>0.70316831700000004</v>
      </c>
    </row>
    <row r="180" spans="1:17">
      <c r="A180" s="2">
        <v>2128</v>
      </c>
      <c r="B180" s="7">
        <v>0.32613861399999999</v>
      </c>
      <c r="C180" s="7">
        <v>0.32613861399999999</v>
      </c>
      <c r="D180" s="7">
        <v>0.32613861399999999</v>
      </c>
      <c r="E180" s="7">
        <v>0.32613861399999999</v>
      </c>
      <c r="F180" s="7">
        <v>0.32613861399999999</v>
      </c>
      <c r="G180" s="7">
        <v>0.454138614</v>
      </c>
      <c r="H180" s="7">
        <v>0.454138614</v>
      </c>
      <c r="I180" s="7">
        <v>0.71145544599999999</v>
      </c>
      <c r="J180" s="7">
        <v>0.71069306899999996</v>
      </c>
      <c r="K180" s="7">
        <v>0.71069306899999996</v>
      </c>
      <c r="L180" s="7">
        <v>0.71145544599999999</v>
      </c>
      <c r="M180" s="7">
        <v>0.71145544599999999</v>
      </c>
      <c r="N180" s="7">
        <v>0.78269306900000002</v>
      </c>
      <c r="O180" s="7">
        <v>0.71360396000000004</v>
      </c>
      <c r="P180" s="7">
        <v>0.71360396000000004</v>
      </c>
      <c r="Q180" s="7">
        <v>0.71069306899999996</v>
      </c>
    </row>
    <row r="181" spans="1:17">
      <c r="A181" s="2">
        <v>2129</v>
      </c>
      <c r="B181" s="7">
        <v>0.330643564</v>
      </c>
      <c r="C181" s="7">
        <v>0.330643564</v>
      </c>
      <c r="D181" s="7">
        <v>0.330643564</v>
      </c>
      <c r="E181" s="7">
        <v>0.330643564</v>
      </c>
      <c r="F181" s="7">
        <v>0.330643564</v>
      </c>
      <c r="G181" s="7">
        <v>0.459643564</v>
      </c>
      <c r="H181" s="7">
        <v>0.459643564</v>
      </c>
      <c r="I181" s="7">
        <v>0.71900742600000001</v>
      </c>
      <c r="J181" s="7">
        <v>0.71821782199999995</v>
      </c>
      <c r="K181" s="7">
        <v>0.71821782199999995</v>
      </c>
      <c r="L181" s="7">
        <v>0.71900742600000001</v>
      </c>
      <c r="M181" s="7">
        <v>0.71900742600000001</v>
      </c>
      <c r="N181" s="7">
        <v>0.78921782200000001</v>
      </c>
      <c r="O181" s="7">
        <v>0.72123267300000005</v>
      </c>
      <c r="P181" s="7">
        <v>0.72123267300000005</v>
      </c>
      <c r="Q181" s="7">
        <v>0.71821782199999995</v>
      </c>
    </row>
    <row r="182" spans="1:17">
      <c r="A182" s="2">
        <v>2130</v>
      </c>
      <c r="B182" s="7">
        <v>0.33514851499999998</v>
      </c>
      <c r="C182" s="7">
        <v>0.33514851499999998</v>
      </c>
      <c r="D182" s="7">
        <v>0.33514851499999998</v>
      </c>
      <c r="E182" s="7">
        <v>0.33514851499999998</v>
      </c>
      <c r="F182" s="7">
        <v>0.33514851499999998</v>
      </c>
      <c r="G182" s="7">
        <v>0.46514851499999998</v>
      </c>
      <c r="H182" s="7">
        <v>0.46514851499999998</v>
      </c>
      <c r="I182" s="7">
        <v>0.72655940600000002</v>
      </c>
      <c r="J182" s="7">
        <v>0.72574257399999997</v>
      </c>
      <c r="K182" s="7">
        <v>0.72574257399999997</v>
      </c>
      <c r="L182" s="7">
        <v>0.72655940600000002</v>
      </c>
      <c r="M182" s="7">
        <v>0.72655940600000002</v>
      </c>
      <c r="N182" s="7">
        <v>0.79574257400000004</v>
      </c>
      <c r="O182" s="7">
        <v>0.72886138599999994</v>
      </c>
      <c r="P182" s="7">
        <v>0.72886138599999994</v>
      </c>
      <c r="Q182" s="7">
        <v>0.72574257399999997</v>
      </c>
    </row>
    <row r="183" spans="1:17">
      <c r="A183" s="2">
        <v>2131</v>
      </c>
      <c r="B183" s="7">
        <v>0.33965346499999999</v>
      </c>
      <c r="C183" s="7">
        <v>0.33965346499999999</v>
      </c>
      <c r="D183" s="7">
        <v>0.33965346499999999</v>
      </c>
      <c r="E183" s="7">
        <v>0.33965346499999999</v>
      </c>
      <c r="F183" s="7">
        <v>0.33965346499999999</v>
      </c>
      <c r="G183" s="7">
        <v>0.47065346499999999</v>
      </c>
      <c r="H183" s="7">
        <v>0.47065346499999999</v>
      </c>
      <c r="I183" s="7">
        <v>0.73411138600000003</v>
      </c>
      <c r="J183" s="7">
        <v>0.73326732699999997</v>
      </c>
      <c r="K183" s="7">
        <v>0.73326732699999997</v>
      </c>
      <c r="L183" s="7">
        <v>0.73411138600000003</v>
      </c>
      <c r="M183" s="7">
        <v>0.73411138600000003</v>
      </c>
      <c r="N183" s="7">
        <v>0.80226732700000003</v>
      </c>
      <c r="O183" s="7">
        <v>0.73649009899999995</v>
      </c>
      <c r="P183" s="7">
        <v>0.73649009899999995</v>
      </c>
      <c r="Q183" s="7">
        <v>0.73326732699999997</v>
      </c>
    </row>
    <row r="184" spans="1:17">
      <c r="A184" s="2">
        <v>2132</v>
      </c>
      <c r="B184" s="7">
        <v>0.34415841600000002</v>
      </c>
      <c r="C184" s="7">
        <v>0.34415841600000002</v>
      </c>
      <c r="D184" s="7">
        <v>0.34415841600000002</v>
      </c>
      <c r="E184" s="7">
        <v>0.34415841600000002</v>
      </c>
      <c r="F184" s="7">
        <v>0.34415841600000002</v>
      </c>
      <c r="G184" s="7">
        <v>0.47615841599999997</v>
      </c>
      <c r="H184" s="7">
        <v>0.47615841599999997</v>
      </c>
      <c r="I184" s="7">
        <v>0.74166336600000005</v>
      </c>
      <c r="J184" s="7">
        <v>0.74079207899999999</v>
      </c>
      <c r="K184" s="7">
        <v>0.74079207899999999</v>
      </c>
      <c r="L184" s="7">
        <v>0.74166336600000005</v>
      </c>
      <c r="M184" s="7">
        <v>0.74166336600000005</v>
      </c>
      <c r="N184" s="7">
        <v>0.80879207900000005</v>
      </c>
      <c r="O184" s="7">
        <v>0.74411881199999996</v>
      </c>
      <c r="P184" s="7">
        <v>0.74411881199999996</v>
      </c>
      <c r="Q184" s="7">
        <v>0.74079207899999999</v>
      </c>
    </row>
    <row r="185" spans="1:17">
      <c r="A185" s="2">
        <v>2133</v>
      </c>
      <c r="B185" s="7">
        <v>0.34866336599999997</v>
      </c>
      <c r="C185" s="7">
        <v>0.34866336599999997</v>
      </c>
      <c r="D185" s="7">
        <v>0.34866336599999997</v>
      </c>
      <c r="E185" s="7">
        <v>0.34866336599999997</v>
      </c>
      <c r="F185" s="7">
        <v>0.34866336599999997</v>
      </c>
      <c r="G185" s="7">
        <v>0.48166336599999998</v>
      </c>
      <c r="H185" s="7">
        <v>0.48166336599999998</v>
      </c>
      <c r="I185" s="7">
        <v>0.74921534700000003</v>
      </c>
      <c r="J185" s="7">
        <v>0.74831683199999999</v>
      </c>
      <c r="K185" s="7">
        <v>0.74831683199999999</v>
      </c>
      <c r="L185" s="7">
        <v>0.74921534700000003</v>
      </c>
      <c r="M185" s="7">
        <v>0.74921534700000003</v>
      </c>
      <c r="N185" s="7">
        <v>0.81531683200000005</v>
      </c>
      <c r="O185" s="7">
        <v>0.75174752499999997</v>
      </c>
      <c r="P185" s="7">
        <v>0.75174752499999997</v>
      </c>
      <c r="Q185" s="7">
        <v>0.74831683199999999</v>
      </c>
    </row>
    <row r="186" spans="1:17">
      <c r="A186" s="2">
        <v>2134</v>
      </c>
      <c r="B186" s="7">
        <v>0.35316831700000001</v>
      </c>
      <c r="C186" s="7">
        <v>0.35316831700000001</v>
      </c>
      <c r="D186" s="7">
        <v>0.35316831700000001</v>
      </c>
      <c r="E186" s="7">
        <v>0.35316831700000001</v>
      </c>
      <c r="F186" s="7">
        <v>0.35316831700000001</v>
      </c>
      <c r="G186" s="7">
        <v>0.48716831700000002</v>
      </c>
      <c r="H186" s="7">
        <v>0.48716831700000002</v>
      </c>
      <c r="I186" s="7">
        <v>0.75676732700000005</v>
      </c>
      <c r="J186" s="7">
        <v>0.75584158400000001</v>
      </c>
      <c r="K186" s="7">
        <v>0.75584158400000001</v>
      </c>
      <c r="L186" s="7">
        <v>0.75676732700000005</v>
      </c>
      <c r="M186" s="7">
        <v>0.75676732700000005</v>
      </c>
      <c r="N186" s="7">
        <v>0.82184158399999996</v>
      </c>
      <c r="O186" s="7">
        <v>0.75937623799999998</v>
      </c>
      <c r="P186" s="7">
        <v>0.75937623799999998</v>
      </c>
      <c r="Q186" s="7">
        <v>0.75584158400000001</v>
      </c>
    </row>
    <row r="187" spans="1:17">
      <c r="A187" s="2">
        <v>2135</v>
      </c>
      <c r="B187" s="7">
        <v>0.35767326700000002</v>
      </c>
      <c r="C187" s="7">
        <v>0.35767326700000002</v>
      </c>
      <c r="D187" s="7">
        <v>0.35767326700000002</v>
      </c>
      <c r="E187" s="7">
        <v>0.35767326700000002</v>
      </c>
      <c r="F187" s="7">
        <v>0.35767326700000002</v>
      </c>
      <c r="G187" s="7">
        <v>0.49267326700000003</v>
      </c>
      <c r="H187" s="7">
        <v>0.49267326700000003</v>
      </c>
      <c r="I187" s="7">
        <v>0.76431930699999995</v>
      </c>
      <c r="J187" s="7">
        <v>0.76336633700000001</v>
      </c>
      <c r="K187" s="7">
        <v>0.76336633700000001</v>
      </c>
      <c r="L187" s="7">
        <v>0.76431930699999995</v>
      </c>
      <c r="M187" s="7">
        <v>0.76431930699999995</v>
      </c>
      <c r="N187" s="7">
        <v>0.82836633699999995</v>
      </c>
      <c r="O187" s="7">
        <v>0.76700495000000002</v>
      </c>
      <c r="P187" s="7">
        <v>0.76700495000000002</v>
      </c>
      <c r="Q187" s="7">
        <v>0.76336633700000001</v>
      </c>
    </row>
    <row r="188" spans="1:17">
      <c r="A188" s="2">
        <v>2136</v>
      </c>
      <c r="B188" s="7">
        <v>0.362178218</v>
      </c>
      <c r="C188" s="7">
        <v>0.362178218</v>
      </c>
      <c r="D188" s="7">
        <v>0.362178218</v>
      </c>
      <c r="E188" s="7">
        <v>0.362178218</v>
      </c>
      <c r="F188" s="7">
        <v>0.362178218</v>
      </c>
      <c r="G188" s="7">
        <v>0.49817821800000001</v>
      </c>
      <c r="H188" s="7">
        <v>0.49817821800000001</v>
      </c>
      <c r="I188" s="7">
        <v>0.77187128699999996</v>
      </c>
      <c r="J188" s="7">
        <v>0.77089108900000003</v>
      </c>
      <c r="K188" s="7">
        <v>0.77089108900000003</v>
      </c>
      <c r="L188" s="7">
        <v>0.77187128699999996</v>
      </c>
      <c r="M188" s="7">
        <v>0.77187128699999996</v>
      </c>
      <c r="N188" s="7">
        <v>0.83489108899999998</v>
      </c>
      <c r="O188" s="7">
        <v>0.77463366300000003</v>
      </c>
      <c r="P188" s="7">
        <v>0.77463366300000003</v>
      </c>
      <c r="Q188" s="7">
        <v>0.77089108900000003</v>
      </c>
    </row>
    <row r="189" spans="1:17">
      <c r="A189" s="2">
        <v>2137</v>
      </c>
      <c r="B189" s="7">
        <v>0.366683168</v>
      </c>
      <c r="C189" s="7">
        <v>0.366683168</v>
      </c>
      <c r="D189" s="7">
        <v>0.366683168</v>
      </c>
      <c r="E189" s="7">
        <v>0.366683168</v>
      </c>
      <c r="F189" s="7">
        <v>0.366683168</v>
      </c>
      <c r="G189" s="7">
        <v>0.50368316800000001</v>
      </c>
      <c r="H189" s="7">
        <v>0.50368316800000001</v>
      </c>
      <c r="I189" s="7">
        <v>0.77942326699999998</v>
      </c>
      <c r="J189" s="7">
        <v>0.77841584200000002</v>
      </c>
      <c r="K189" s="7">
        <v>0.77841584200000002</v>
      </c>
      <c r="L189" s="7">
        <v>0.77942326699999998</v>
      </c>
      <c r="M189" s="7">
        <v>0.77942326699999998</v>
      </c>
      <c r="N189" s="7">
        <v>0.84141584199999997</v>
      </c>
      <c r="O189" s="7">
        <v>0.78226237600000004</v>
      </c>
      <c r="P189" s="7">
        <v>0.78226237600000004</v>
      </c>
      <c r="Q189" s="7">
        <v>0.77841584200000002</v>
      </c>
    </row>
    <row r="190" spans="1:17">
      <c r="A190" s="2">
        <v>2138</v>
      </c>
      <c r="B190" s="7">
        <v>0.37118811899999998</v>
      </c>
      <c r="C190" s="7">
        <v>0.37118811899999998</v>
      </c>
      <c r="D190" s="7">
        <v>0.37118811899999998</v>
      </c>
      <c r="E190" s="7">
        <v>0.37118811899999998</v>
      </c>
      <c r="F190" s="7">
        <v>0.37118811899999998</v>
      </c>
      <c r="G190" s="7">
        <v>0.50918811900000005</v>
      </c>
      <c r="H190" s="7">
        <v>0.50918811900000005</v>
      </c>
      <c r="I190" s="7">
        <v>0.78697524799999996</v>
      </c>
      <c r="J190" s="7">
        <v>0.78594059400000005</v>
      </c>
      <c r="K190" s="7">
        <v>0.78594059400000005</v>
      </c>
      <c r="L190" s="7">
        <v>0.78697524799999996</v>
      </c>
      <c r="M190" s="7">
        <v>0.78697524799999996</v>
      </c>
      <c r="N190" s="7">
        <v>0.84794059399999999</v>
      </c>
      <c r="O190" s="7">
        <v>0.78989108900000005</v>
      </c>
      <c r="P190" s="7">
        <v>0.78989108900000005</v>
      </c>
      <c r="Q190" s="7">
        <v>0.78594059400000005</v>
      </c>
    </row>
    <row r="191" spans="1:17">
      <c r="A191" s="2">
        <v>2139</v>
      </c>
      <c r="B191" s="7">
        <v>0.37569306899999999</v>
      </c>
      <c r="C191" s="7">
        <v>0.37569306899999999</v>
      </c>
      <c r="D191" s="7">
        <v>0.37569306899999999</v>
      </c>
      <c r="E191" s="7">
        <v>0.37569306899999999</v>
      </c>
      <c r="F191" s="7">
        <v>0.37569306899999999</v>
      </c>
      <c r="G191" s="7">
        <v>0.514693069</v>
      </c>
      <c r="H191" s="7">
        <v>0.514693069</v>
      </c>
      <c r="I191" s="7">
        <v>0.79452722799999997</v>
      </c>
      <c r="J191" s="7">
        <v>0.79346534700000004</v>
      </c>
      <c r="K191" s="7">
        <v>0.79346534700000004</v>
      </c>
      <c r="L191" s="7">
        <v>0.79452722799999997</v>
      </c>
      <c r="M191" s="7">
        <v>0.79452722799999997</v>
      </c>
      <c r="N191" s="7">
        <v>0.85446534699999999</v>
      </c>
      <c r="O191" s="7">
        <v>0.79751980200000006</v>
      </c>
      <c r="P191" s="7">
        <v>0.79751980200000006</v>
      </c>
      <c r="Q191" s="7">
        <v>0.79346534700000004</v>
      </c>
    </row>
    <row r="192" spans="1:17">
      <c r="A192" s="2">
        <v>2140</v>
      </c>
      <c r="B192" s="7">
        <v>0.38019802000000003</v>
      </c>
      <c r="C192" s="7">
        <v>0.38019802000000003</v>
      </c>
      <c r="D192" s="7">
        <v>0.38019802000000003</v>
      </c>
      <c r="E192" s="7">
        <v>0.38019802000000003</v>
      </c>
      <c r="F192" s="7">
        <v>0.38019802000000003</v>
      </c>
      <c r="G192" s="7">
        <v>0.52019802000000004</v>
      </c>
      <c r="H192" s="7">
        <v>0.52019802000000004</v>
      </c>
      <c r="I192" s="7">
        <v>0.80207920799999999</v>
      </c>
      <c r="J192" s="7">
        <v>0.80099009899999996</v>
      </c>
      <c r="K192" s="7">
        <v>0.80099009899999996</v>
      </c>
      <c r="L192" s="7">
        <v>0.80207920799999999</v>
      </c>
      <c r="M192" s="7">
        <v>0.80207920799999999</v>
      </c>
      <c r="N192" s="7">
        <v>0.86099009900000001</v>
      </c>
      <c r="O192" s="7">
        <v>0.80514851499999995</v>
      </c>
      <c r="P192" s="7">
        <v>0.80514851499999995</v>
      </c>
      <c r="Q192" s="7">
        <v>0.80099009899999996</v>
      </c>
    </row>
    <row r="193" spans="1:17">
      <c r="A193" s="2">
        <v>2141</v>
      </c>
      <c r="B193" s="7">
        <v>0.38470296999999998</v>
      </c>
      <c r="C193" s="7">
        <v>0.38470296999999998</v>
      </c>
      <c r="D193" s="7">
        <v>0.38470296999999998</v>
      </c>
      <c r="E193" s="7">
        <v>0.38470296999999998</v>
      </c>
      <c r="F193" s="7">
        <v>0.38470296999999998</v>
      </c>
      <c r="G193" s="7">
        <v>0.52570296999999999</v>
      </c>
      <c r="H193" s="7">
        <v>0.52570296999999999</v>
      </c>
      <c r="I193" s="7">
        <v>0.809631188</v>
      </c>
      <c r="J193" s="7">
        <v>0.80851485099999998</v>
      </c>
      <c r="K193" s="7">
        <v>0.80851485099999998</v>
      </c>
      <c r="L193" s="7">
        <v>0.809631188</v>
      </c>
      <c r="M193" s="7">
        <v>0.809631188</v>
      </c>
      <c r="N193" s="7">
        <v>0.86751485100000003</v>
      </c>
      <c r="O193" s="7">
        <v>0.81277722799999996</v>
      </c>
      <c r="P193" s="7">
        <v>0.81277722799999996</v>
      </c>
      <c r="Q193" s="7">
        <v>0.80851485099999998</v>
      </c>
    </row>
    <row r="194" spans="1:17">
      <c r="A194" s="2">
        <v>2142</v>
      </c>
      <c r="B194" s="7">
        <v>0.38920792100000001</v>
      </c>
      <c r="C194" s="7">
        <v>0.38920792100000001</v>
      </c>
      <c r="D194" s="7">
        <v>0.38920792100000001</v>
      </c>
      <c r="E194" s="7">
        <v>0.38920792100000001</v>
      </c>
      <c r="F194" s="7">
        <v>0.38920792100000001</v>
      </c>
      <c r="G194" s="7">
        <v>0.53120792100000003</v>
      </c>
      <c r="H194" s="7">
        <v>0.53120792100000003</v>
      </c>
      <c r="I194" s="7">
        <v>0.81718316800000002</v>
      </c>
      <c r="J194" s="7">
        <v>0.81603960399999997</v>
      </c>
      <c r="K194" s="7">
        <v>0.81603960399999997</v>
      </c>
      <c r="L194" s="7">
        <v>0.81718316800000002</v>
      </c>
      <c r="M194" s="7">
        <v>0.81718316800000002</v>
      </c>
      <c r="N194" s="7">
        <v>0.87403960400000003</v>
      </c>
      <c r="O194" s="7">
        <v>0.82040594099999997</v>
      </c>
      <c r="P194" s="7">
        <v>0.82040594099999997</v>
      </c>
      <c r="Q194" s="7">
        <v>0.81603960399999997</v>
      </c>
    </row>
    <row r="195" spans="1:17">
      <c r="A195" s="2">
        <v>2143</v>
      </c>
      <c r="B195" s="7">
        <v>0.39371287100000002</v>
      </c>
      <c r="C195" s="7">
        <v>0.39371287100000002</v>
      </c>
      <c r="D195" s="7">
        <v>0.39371287100000002</v>
      </c>
      <c r="E195" s="7">
        <v>0.39371287100000002</v>
      </c>
      <c r="F195" s="7">
        <v>0.39371287100000002</v>
      </c>
      <c r="G195" s="7">
        <v>0.53671287099999998</v>
      </c>
      <c r="H195" s="7">
        <v>0.53671287099999998</v>
      </c>
      <c r="I195" s="7">
        <v>0.824735149</v>
      </c>
      <c r="J195" s="7">
        <v>0.823564356</v>
      </c>
      <c r="K195" s="7">
        <v>0.823564356</v>
      </c>
      <c r="L195" s="7">
        <v>0.824735149</v>
      </c>
      <c r="M195" s="7">
        <v>0.824735149</v>
      </c>
      <c r="N195" s="7">
        <v>0.88056435600000005</v>
      </c>
      <c r="O195" s="7">
        <v>0.82803465300000001</v>
      </c>
      <c r="P195" s="7">
        <v>0.82803465300000001</v>
      </c>
      <c r="Q195" s="7">
        <v>0.823564356</v>
      </c>
    </row>
    <row r="196" spans="1:17">
      <c r="A196" s="2">
        <v>2144</v>
      </c>
      <c r="B196" s="7">
        <v>0.398217822</v>
      </c>
      <c r="C196" s="7">
        <v>0.398217822</v>
      </c>
      <c r="D196" s="7">
        <v>0.398217822</v>
      </c>
      <c r="E196" s="7">
        <v>0.398217822</v>
      </c>
      <c r="F196" s="7">
        <v>0.398217822</v>
      </c>
      <c r="G196" s="7">
        <v>0.54221782200000002</v>
      </c>
      <c r="H196" s="7">
        <v>0.54221782200000002</v>
      </c>
      <c r="I196" s="7">
        <v>0.83228712900000001</v>
      </c>
      <c r="J196" s="7">
        <v>0.83108910899999999</v>
      </c>
      <c r="K196" s="7">
        <v>0.83108910899999999</v>
      </c>
      <c r="L196" s="7">
        <v>0.83228712900000001</v>
      </c>
      <c r="M196" s="7">
        <v>0.83228712900000001</v>
      </c>
      <c r="N196" s="7">
        <v>0.88708910900000004</v>
      </c>
      <c r="O196" s="7">
        <v>0.83566336600000002</v>
      </c>
      <c r="P196" s="7">
        <v>0.83566336600000002</v>
      </c>
      <c r="Q196" s="7">
        <v>0.83108910899999999</v>
      </c>
    </row>
    <row r="197" spans="1:17">
      <c r="A197" s="2">
        <v>2145</v>
      </c>
      <c r="B197" s="7">
        <v>0.40272277200000001</v>
      </c>
      <c r="C197" s="7">
        <v>0.40272277200000001</v>
      </c>
      <c r="D197" s="7">
        <v>0.40272277200000001</v>
      </c>
      <c r="E197" s="7">
        <v>0.40272277200000001</v>
      </c>
      <c r="F197" s="7">
        <v>0.40272277200000001</v>
      </c>
      <c r="G197" s="7">
        <v>0.54772277199999997</v>
      </c>
      <c r="H197" s="7">
        <v>0.54772277199999997</v>
      </c>
      <c r="I197" s="7">
        <v>0.83983910900000003</v>
      </c>
      <c r="J197" s="7">
        <v>0.83861386100000002</v>
      </c>
      <c r="K197" s="7">
        <v>0.83861386100000002</v>
      </c>
      <c r="L197" s="7">
        <v>0.83983910900000003</v>
      </c>
      <c r="M197" s="7">
        <v>0.83983910900000003</v>
      </c>
      <c r="N197" s="7">
        <v>0.89361386099999995</v>
      </c>
      <c r="O197" s="7">
        <v>0.84329207900000003</v>
      </c>
      <c r="P197" s="7">
        <v>0.84329207900000003</v>
      </c>
      <c r="Q197" s="7">
        <v>0.83861386100000002</v>
      </c>
    </row>
    <row r="198" spans="1:17">
      <c r="A198" s="2">
        <v>2146</v>
      </c>
      <c r="B198" s="7">
        <v>0.40722772299999999</v>
      </c>
      <c r="C198" s="7">
        <v>0.40722772299999999</v>
      </c>
      <c r="D198" s="7">
        <v>0.40722772299999999</v>
      </c>
      <c r="E198" s="7">
        <v>0.40722772299999999</v>
      </c>
      <c r="F198" s="7">
        <v>0.40722772299999999</v>
      </c>
      <c r="G198" s="7">
        <v>0.553227723</v>
      </c>
      <c r="H198" s="7">
        <v>0.553227723</v>
      </c>
      <c r="I198" s="7">
        <v>0.84739108900000004</v>
      </c>
      <c r="J198" s="7">
        <v>0.84613861400000001</v>
      </c>
      <c r="K198" s="7">
        <v>0.84613861400000001</v>
      </c>
      <c r="L198" s="7">
        <v>0.84739108900000004</v>
      </c>
      <c r="M198" s="7">
        <v>0.84739108900000004</v>
      </c>
      <c r="N198" s="7">
        <v>0.90013861399999995</v>
      </c>
      <c r="O198" s="7">
        <v>0.85092079200000004</v>
      </c>
      <c r="P198" s="7">
        <v>0.85092079200000004</v>
      </c>
      <c r="Q198" s="7">
        <v>0.84613861400000001</v>
      </c>
    </row>
    <row r="199" spans="1:17">
      <c r="A199" s="2">
        <v>2147</v>
      </c>
      <c r="B199" s="7">
        <v>0.41173267299999999</v>
      </c>
      <c r="C199" s="7">
        <v>0.41173267299999999</v>
      </c>
      <c r="D199" s="7">
        <v>0.41173267299999999</v>
      </c>
      <c r="E199" s="7">
        <v>0.41173267299999999</v>
      </c>
      <c r="F199" s="7">
        <v>0.41173267299999999</v>
      </c>
      <c r="G199" s="7">
        <v>0.55873267299999996</v>
      </c>
      <c r="H199" s="7">
        <v>0.55873267299999996</v>
      </c>
      <c r="I199" s="7">
        <v>0.85494306900000006</v>
      </c>
      <c r="J199" s="7">
        <v>0.85366336600000003</v>
      </c>
      <c r="K199" s="7">
        <v>0.85366336600000003</v>
      </c>
      <c r="L199" s="7">
        <v>0.85494306900000006</v>
      </c>
      <c r="M199" s="7">
        <v>0.85494306900000006</v>
      </c>
      <c r="N199" s="7">
        <v>0.90666336599999997</v>
      </c>
      <c r="O199" s="7">
        <v>0.85854950500000005</v>
      </c>
      <c r="P199" s="7">
        <v>0.85854950500000005</v>
      </c>
      <c r="Q199" s="7">
        <v>0.85366336600000003</v>
      </c>
    </row>
    <row r="200" spans="1:17">
      <c r="A200" s="2">
        <v>2148</v>
      </c>
      <c r="B200" s="7">
        <v>0.41623762399999997</v>
      </c>
      <c r="C200" s="7">
        <v>0.41623762399999997</v>
      </c>
      <c r="D200" s="7">
        <v>0.41623762399999997</v>
      </c>
      <c r="E200" s="7">
        <v>0.41623762399999997</v>
      </c>
      <c r="F200" s="7">
        <v>0.41623762399999997</v>
      </c>
      <c r="G200" s="7">
        <v>0.56423762399999999</v>
      </c>
      <c r="H200" s="7">
        <v>0.56423762399999999</v>
      </c>
      <c r="I200" s="7">
        <v>0.86249505000000004</v>
      </c>
      <c r="J200" s="7">
        <v>0.86118811900000003</v>
      </c>
      <c r="K200" s="7">
        <v>0.86118811900000003</v>
      </c>
      <c r="L200" s="7">
        <v>0.86249505000000004</v>
      </c>
      <c r="M200" s="7">
        <v>0.86249505000000004</v>
      </c>
      <c r="N200" s="7">
        <v>0.91318811899999996</v>
      </c>
      <c r="O200" s="7">
        <v>0.86617821800000006</v>
      </c>
      <c r="P200" s="7">
        <v>0.86617821800000006</v>
      </c>
      <c r="Q200" s="7">
        <v>0.86118811900000003</v>
      </c>
    </row>
    <row r="201" spans="1:17">
      <c r="A201" s="2">
        <v>2149</v>
      </c>
      <c r="B201" s="7">
        <v>0.42074257399999998</v>
      </c>
      <c r="C201" s="7">
        <v>0.42074257399999998</v>
      </c>
      <c r="D201" s="7">
        <v>0.42074257399999998</v>
      </c>
      <c r="E201" s="7">
        <v>0.42074257399999998</v>
      </c>
      <c r="F201" s="7">
        <v>0.42074257399999998</v>
      </c>
      <c r="G201" s="7">
        <v>0.56974257399999995</v>
      </c>
      <c r="H201" s="7">
        <v>0.56974257399999995</v>
      </c>
      <c r="I201" s="7">
        <v>0.87004703000000005</v>
      </c>
      <c r="J201" s="7">
        <v>0.86871287100000005</v>
      </c>
      <c r="K201" s="7">
        <v>0.86871287100000005</v>
      </c>
      <c r="L201" s="7">
        <v>0.87004703000000005</v>
      </c>
      <c r="M201" s="7">
        <v>0.87004703000000005</v>
      </c>
      <c r="N201" s="7">
        <v>0.91971287099999999</v>
      </c>
      <c r="O201" s="7">
        <v>0.87380693099999995</v>
      </c>
      <c r="P201" s="7">
        <v>0.87380693099999995</v>
      </c>
      <c r="Q201" s="7">
        <v>0.86871287100000005</v>
      </c>
    </row>
    <row r="202" spans="1:17">
      <c r="A202" s="2">
        <v>2150</v>
      </c>
      <c r="B202" s="7">
        <v>0.42524752500000002</v>
      </c>
      <c r="C202" s="7">
        <v>0.42524752500000002</v>
      </c>
      <c r="D202" s="7">
        <v>0.42524752500000002</v>
      </c>
      <c r="E202" s="7">
        <v>0.42524752500000002</v>
      </c>
      <c r="F202" s="7">
        <v>0.42524752500000002</v>
      </c>
      <c r="G202" s="7">
        <v>0.57524752499999998</v>
      </c>
      <c r="H202" s="7">
        <v>0.57524752499999998</v>
      </c>
      <c r="I202" s="7">
        <v>0.87759900999999996</v>
      </c>
      <c r="J202" s="7">
        <v>0.87623762400000005</v>
      </c>
      <c r="K202" s="7">
        <v>0.87623762400000005</v>
      </c>
      <c r="L202" s="7">
        <v>0.87759900999999996</v>
      </c>
      <c r="M202" s="7">
        <v>0.87759900999999996</v>
      </c>
      <c r="N202" s="7">
        <v>0.92623762399999998</v>
      </c>
      <c r="O202" s="7">
        <v>0.88143564399999996</v>
      </c>
      <c r="P202" s="7">
        <v>0.88143564399999996</v>
      </c>
      <c r="Q202" s="7">
        <v>0.87623762400000005</v>
      </c>
    </row>
    <row r="203" spans="1:17">
      <c r="A203" s="2">
        <v>2151</v>
      </c>
      <c r="B203" s="7">
        <v>0.42975247500000002</v>
      </c>
      <c r="C203" s="7">
        <v>0.42975247500000002</v>
      </c>
      <c r="D203" s="7">
        <v>0.42975247500000002</v>
      </c>
      <c r="E203" s="7">
        <v>0.42975247500000002</v>
      </c>
      <c r="F203" s="7">
        <v>0.42975247500000002</v>
      </c>
      <c r="G203" s="7">
        <v>0.58075247500000005</v>
      </c>
      <c r="H203" s="7">
        <v>0.58075247500000005</v>
      </c>
      <c r="I203" s="7">
        <v>0.88515098999999997</v>
      </c>
      <c r="J203" s="7">
        <v>0.88376237599999996</v>
      </c>
      <c r="K203" s="7">
        <v>0.88376237599999996</v>
      </c>
      <c r="L203" s="7">
        <v>0.88515098999999997</v>
      </c>
      <c r="M203" s="7">
        <v>0.88515098999999997</v>
      </c>
      <c r="N203" s="7">
        <v>0.932762376</v>
      </c>
      <c r="O203" s="7">
        <v>0.889064356</v>
      </c>
      <c r="P203" s="7">
        <v>0.889064356</v>
      </c>
      <c r="Q203" s="7">
        <v>0.88376237599999996</v>
      </c>
    </row>
    <row r="204" spans="1:17">
      <c r="A204" s="2">
        <v>2152</v>
      </c>
      <c r="B204" s="7">
        <v>0.434257426</v>
      </c>
      <c r="C204" s="7">
        <v>0.434257426</v>
      </c>
      <c r="D204" s="7">
        <v>0.434257426</v>
      </c>
      <c r="E204" s="7">
        <v>0.434257426</v>
      </c>
      <c r="F204" s="7">
        <v>0.434257426</v>
      </c>
      <c r="G204" s="7">
        <v>0.58625742599999997</v>
      </c>
      <c r="H204" s="7">
        <v>0.58625742599999997</v>
      </c>
      <c r="I204" s="7">
        <v>0.89270296999999998</v>
      </c>
      <c r="J204" s="7">
        <v>0.89128712899999996</v>
      </c>
      <c r="K204" s="7">
        <v>0.89128712899999996</v>
      </c>
      <c r="L204" s="7">
        <v>0.89270296999999998</v>
      </c>
      <c r="M204" s="7">
        <v>0.89270296999999998</v>
      </c>
      <c r="N204" s="7">
        <v>0.939287129</v>
      </c>
      <c r="O204" s="7">
        <v>0.89669306900000001</v>
      </c>
      <c r="P204" s="7">
        <v>0.89669306900000001</v>
      </c>
      <c r="Q204" s="7">
        <v>0.89128712899999996</v>
      </c>
    </row>
    <row r="205" spans="1:17">
      <c r="A205" s="2">
        <v>2153</v>
      </c>
      <c r="B205" s="7">
        <v>0.43876237600000001</v>
      </c>
      <c r="C205" s="7">
        <v>0.43876237600000001</v>
      </c>
      <c r="D205" s="7">
        <v>0.43876237600000001</v>
      </c>
      <c r="E205" s="7">
        <v>0.43876237600000001</v>
      </c>
      <c r="F205" s="7">
        <v>0.43876237600000001</v>
      </c>
      <c r="G205" s="7">
        <v>0.59176237600000003</v>
      </c>
      <c r="H205" s="7">
        <v>0.59176237600000003</v>
      </c>
      <c r="I205" s="7">
        <v>0.90025495</v>
      </c>
      <c r="J205" s="7">
        <v>0.89881188099999998</v>
      </c>
      <c r="K205" s="7">
        <v>0.89881188099999998</v>
      </c>
      <c r="L205" s="7">
        <v>0.90025495</v>
      </c>
      <c r="M205" s="7">
        <v>0.90025495</v>
      </c>
      <c r="N205" s="7">
        <v>0.94581188100000002</v>
      </c>
      <c r="O205" s="7">
        <v>0.90432178200000002</v>
      </c>
      <c r="P205" s="7">
        <v>0.90432178200000002</v>
      </c>
      <c r="Q205" s="7">
        <v>0.89881188099999998</v>
      </c>
    </row>
    <row r="206" spans="1:17">
      <c r="A206" s="2">
        <v>2154</v>
      </c>
      <c r="B206" s="7">
        <v>0.44326732699999999</v>
      </c>
      <c r="C206" s="7">
        <v>0.44326732699999999</v>
      </c>
      <c r="D206" s="7">
        <v>0.44326732699999999</v>
      </c>
      <c r="E206" s="7">
        <v>0.44326732699999999</v>
      </c>
      <c r="F206" s="7">
        <v>0.44326732699999999</v>
      </c>
      <c r="G206" s="7">
        <v>0.59726732699999996</v>
      </c>
      <c r="H206" s="7">
        <v>0.59726732699999996</v>
      </c>
      <c r="I206" s="7">
        <v>0.90780693099999998</v>
      </c>
      <c r="J206" s="7">
        <v>0.90633663399999997</v>
      </c>
      <c r="K206" s="7">
        <v>0.90633663399999997</v>
      </c>
      <c r="L206" s="7">
        <v>0.90780693099999998</v>
      </c>
      <c r="M206" s="7">
        <v>0.90780693099999998</v>
      </c>
      <c r="N206" s="7">
        <v>0.95233663400000002</v>
      </c>
      <c r="O206" s="7">
        <v>0.91195049500000003</v>
      </c>
      <c r="P206" s="7">
        <v>0.91195049500000003</v>
      </c>
      <c r="Q206" s="7">
        <v>0.90633663399999997</v>
      </c>
    </row>
    <row r="207" spans="1:17">
      <c r="A207" s="2">
        <v>2155</v>
      </c>
      <c r="B207" s="7">
        <v>0.447772277</v>
      </c>
      <c r="C207" s="7">
        <v>0.447772277</v>
      </c>
      <c r="D207" s="7">
        <v>0.447772277</v>
      </c>
      <c r="E207" s="7">
        <v>0.447772277</v>
      </c>
      <c r="F207" s="7">
        <v>0.447772277</v>
      </c>
      <c r="G207" s="7">
        <v>0.60277227700000002</v>
      </c>
      <c r="H207" s="7">
        <v>0.60277227700000002</v>
      </c>
      <c r="I207" s="7">
        <v>0.915358911</v>
      </c>
      <c r="J207" s="7">
        <v>0.913861386</v>
      </c>
      <c r="K207" s="7">
        <v>0.913861386</v>
      </c>
      <c r="L207" s="7">
        <v>0.915358911</v>
      </c>
      <c r="M207" s="7">
        <v>0.915358911</v>
      </c>
      <c r="N207" s="7">
        <v>0.95886138600000004</v>
      </c>
      <c r="O207" s="7">
        <v>0.91957920800000004</v>
      </c>
      <c r="P207" s="7">
        <v>0.91957920800000004</v>
      </c>
      <c r="Q207" s="7">
        <v>0.913861386</v>
      </c>
    </row>
    <row r="208" spans="1:17">
      <c r="A208" s="2">
        <v>2156</v>
      </c>
      <c r="B208" s="7">
        <v>0.45227722799999998</v>
      </c>
      <c r="C208" s="7">
        <v>0.45227722799999998</v>
      </c>
      <c r="D208" s="7">
        <v>0.45227722799999998</v>
      </c>
      <c r="E208" s="7">
        <v>0.45227722799999998</v>
      </c>
      <c r="F208" s="7">
        <v>0.45227722799999998</v>
      </c>
      <c r="G208" s="7">
        <v>0.60827722799999995</v>
      </c>
      <c r="H208" s="7">
        <v>0.60827722799999995</v>
      </c>
      <c r="I208" s="7">
        <v>0.92291089100000001</v>
      </c>
      <c r="J208" s="7">
        <v>0.92138613899999999</v>
      </c>
      <c r="K208" s="7">
        <v>0.92138613899999999</v>
      </c>
      <c r="L208" s="7">
        <v>0.92291089100000001</v>
      </c>
      <c r="M208" s="7">
        <v>0.92291089100000001</v>
      </c>
      <c r="N208" s="7">
        <v>0.96538613900000003</v>
      </c>
      <c r="O208" s="7">
        <v>0.92720792100000005</v>
      </c>
      <c r="P208" s="7">
        <v>0.92720792100000005</v>
      </c>
      <c r="Q208" s="7">
        <v>0.92138613899999999</v>
      </c>
    </row>
    <row r="209" spans="1:17">
      <c r="A209" s="2">
        <v>2157</v>
      </c>
      <c r="B209" s="7">
        <v>0.45678217799999998</v>
      </c>
      <c r="C209" s="7">
        <v>0.45678217799999998</v>
      </c>
      <c r="D209" s="7">
        <v>0.45678217799999998</v>
      </c>
      <c r="E209" s="7">
        <v>0.45678217799999998</v>
      </c>
      <c r="F209" s="7">
        <v>0.45678217799999998</v>
      </c>
      <c r="G209" s="7">
        <v>0.61378217800000001</v>
      </c>
      <c r="H209" s="7">
        <v>0.61378217800000001</v>
      </c>
      <c r="I209" s="7">
        <v>0.93046287100000002</v>
      </c>
      <c r="J209" s="7">
        <v>0.92891089100000002</v>
      </c>
      <c r="K209" s="7">
        <v>0.92891089100000002</v>
      </c>
      <c r="L209" s="7">
        <v>0.93046287100000002</v>
      </c>
      <c r="M209" s="7">
        <v>0.93046287100000002</v>
      </c>
      <c r="N209" s="7">
        <v>0.97191089100000005</v>
      </c>
      <c r="O209" s="7">
        <v>0.93483663400000006</v>
      </c>
      <c r="P209" s="7">
        <v>0.93483663400000006</v>
      </c>
      <c r="Q209" s="7">
        <v>0.92891089100000002</v>
      </c>
    </row>
    <row r="210" spans="1:17">
      <c r="A210" s="2">
        <v>2158</v>
      </c>
      <c r="B210" s="7">
        <v>0.46128712900000002</v>
      </c>
      <c r="C210" s="7">
        <v>0.46128712900000002</v>
      </c>
      <c r="D210" s="7">
        <v>0.46128712900000002</v>
      </c>
      <c r="E210" s="7">
        <v>0.46128712900000002</v>
      </c>
      <c r="F210" s="7">
        <v>0.46128712900000002</v>
      </c>
      <c r="G210" s="7">
        <v>0.61928712900000005</v>
      </c>
      <c r="H210" s="7">
        <v>0.61928712900000005</v>
      </c>
      <c r="I210" s="7">
        <v>0.93801485100000004</v>
      </c>
      <c r="J210" s="7">
        <v>0.93643564400000001</v>
      </c>
      <c r="K210" s="7">
        <v>0.93643564400000001</v>
      </c>
      <c r="L210" s="7">
        <v>0.93801485100000004</v>
      </c>
      <c r="M210" s="7">
        <v>0.93801485100000004</v>
      </c>
      <c r="N210" s="7">
        <v>0.97843564400000005</v>
      </c>
      <c r="O210" s="7">
        <v>0.94246534699999995</v>
      </c>
      <c r="P210" s="7">
        <v>0.94246534699999995</v>
      </c>
      <c r="Q210" s="7">
        <v>0.93643564400000001</v>
      </c>
    </row>
    <row r="211" spans="1:17">
      <c r="A211" s="2">
        <v>2159</v>
      </c>
      <c r="B211" s="7">
        <v>0.46579207900000003</v>
      </c>
      <c r="C211" s="7">
        <v>0.46579207900000003</v>
      </c>
      <c r="D211" s="7">
        <v>0.46579207900000003</v>
      </c>
      <c r="E211" s="7">
        <v>0.46579207900000003</v>
      </c>
      <c r="F211" s="7">
        <v>0.46579207900000003</v>
      </c>
      <c r="G211" s="7">
        <v>0.624792079</v>
      </c>
      <c r="H211" s="7">
        <v>0.624792079</v>
      </c>
      <c r="I211" s="7">
        <v>0.94556683200000002</v>
      </c>
      <c r="J211" s="7">
        <v>0.94396039600000003</v>
      </c>
      <c r="K211" s="7">
        <v>0.94396039600000003</v>
      </c>
      <c r="L211" s="7">
        <v>0.94556683200000002</v>
      </c>
      <c r="M211" s="7">
        <v>0.94556683200000002</v>
      </c>
      <c r="N211" s="7">
        <v>0.98496039599999996</v>
      </c>
      <c r="O211" s="7">
        <v>0.95009405899999999</v>
      </c>
      <c r="P211" s="7">
        <v>0.95009405899999999</v>
      </c>
      <c r="Q211" s="7">
        <v>0.94396039600000003</v>
      </c>
    </row>
    <row r="212" spans="1:17">
      <c r="A212" s="2">
        <v>2160</v>
      </c>
      <c r="B212" s="7">
        <v>0.47029703</v>
      </c>
      <c r="C212" s="7">
        <v>0.47029703</v>
      </c>
      <c r="D212" s="7">
        <v>0.47029703</v>
      </c>
      <c r="E212" s="7">
        <v>0.47029703</v>
      </c>
      <c r="F212" s="7">
        <v>0.47029703</v>
      </c>
      <c r="G212" s="7">
        <v>0.63029703000000004</v>
      </c>
      <c r="H212" s="7">
        <v>0.63029703000000004</v>
      </c>
      <c r="I212" s="7">
        <v>0.95311881200000004</v>
      </c>
      <c r="J212" s="7">
        <v>0.95148514900000003</v>
      </c>
      <c r="K212" s="7">
        <v>0.95148514900000003</v>
      </c>
      <c r="L212" s="7">
        <v>0.95311881200000004</v>
      </c>
      <c r="M212" s="7">
        <v>0.95311881200000004</v>
      </c>
      <c r="N212" s="7">
        <v>0.99148514899999995</v>
      </c>
      <c r="O212" s="7">
        <v>0.957722772</v>
      </c>
      <c r="P212" s="7">
        <v>0.957722772</v>
      </c>
      <c r="Q212" s="7">
        <v>0.95148514900000003</v>
      </c>
    </row>
    <row r="213" spans="1:17">
      <c r="A213" s="2">
        <v>2161</v>
      </c>
      <c r="B213" s="7">
        <v>0.47480198000000001</v>
      </c>
      <c r="C213" s="7">
        <v>0.47480198000000001</v>
      </c>
      <c r="D213" s="7">
        <v>0.47480198000000001</v>
      </c>
      <c r="E213" s="7">
        <v>0.47480198000000001</v>
      </c>
      <c r="F213" s="7">
        <v>0.47480198000000001</v>
      </c>
      <c r="G213" s="7">
        <v>0.63580197999999999</v>
      </c>
      <c r="H213" s="7">
        <v>0.63580197999999999</v>
      </c>
      <c r="I213" s="7">
        <v>0.96067079200000005</v>
      </c>
      <c r="J213" s="7">
        <v>0.95900990100000005</v>
      </c>
      <c r="K213" s="7">
        <v>0.95900990100000005</v>
      </c>
      <c r="L213" s="7">
        <v>0.96067079200000005</v>
      </c>
      <c r="M213" s="7">
        <v>0.96067079200000005</v>
      </c>
      <c r="N213" s="7">
        <v>0.99800990099999998</v>
      </c>
      <c r="O213" s="7">
        <v>0.96535148500000001</v>
      </c>
      <c r="P213" s="7">
        <v>0.96535148500000001</v>
      </c>
      <c r="Q213" s="7">
        <v>0.95900990100000005</v>
      </c>
    </row>
    <row r="214" spans="1:17">
      <c r="A214" s="2">
        <v>2162</v>
      </c>
      <c r="B214" s="7">
        <v>0.47930693099999999</v>
      </c>
      <c r="C214" s="7">
        <v>0.47930693099999999</v>
      </c>
      <c r="D214" s="7">
        <v>0.47930693099999999</v>
      </c>
      <c r="E214" s="7">
        <v>0.47930693099999999</v>
      </c>
      <c r="F214" s="7">
        <v>0.47930693099999999</v>
      </c>
      <c r="G214" s="7">
        <v>0.64130693100000002</v>
      </c>
      <c r="H214" s="7">
        <v>0.64130693100000002</v>
      </c>
      <c r="I214" s="7">
        <v>0.96822277199999995</v>
      </c>
      <c r="J214" s="7">
        <v>0.96653465299999997</v>
      </c>
      <c r="K214" s="7">
        <v>0.96653465299999997</v>
      </c>
      <c r="L214" s="7">
        <v>0.96822277199999995</v>
      </c>
      <c r="M214" s="7">
        <v>0.96822277199999995</v>
      </c>
      <c r="N214" s="7">
        <v>1.0045346530000001</v>
      </c>
      <c r="O214" s="7">
        <v>0.97298019800000002</v>
      </c>
      <c r="P214" s="7">
        <v>0.97298019800000002</v>
      </c>
      <c r="Q214" s="7">
        <v>0.96653465299999997</v>
      </c>
    </row>
    <row r="215" spans="1:17">
      <c r="A215" s="2">
        <v>2163</v>
      </c>
      <c r="B215" s="7">
        <v>0.483811881</v>
      </c>
      <c r="C215" s="7">
        <v>0.483811881</v>
      </c>
      <c r="D215" s="7">
        <v>0.483811881</v>
      </c>
      <c r="E215" s="7">
        <v>0.483811881</v>
      </c>
      <c r="F215" s="7">
        <v>0.483811881</v>
      </c>
      <c r="G215" s="7">
        <v>0.64681188099999998</v>
      </c>
      <c r="H215" s="7">
        <v>0.64681188099999998</v>
      </c>
      <c r="I215" s="7">
        <v>0.97577475199999997</v>
      </c>
      <c r="J215" s="7">
        <v>0.97405940599999996</v>
      </c>
      <c r="K215" s="7">
        <v>0.97405940599999996</v>
      </c>
      <c r="L215" s="7">
        <v>0.97577475199999997</v>
      </c>
      <c r="M215" s="7">
        <v>0.97577475199999997</v>
      </c>
      <c r="N215" s="7">
        <v>1.011059406</v>
      </c>
      <c r="O215" s="7">
        <v>0.98060891100000003</v>
      </c>
      <c r="P215" s="7">
        <v>0.98060891100000003</v>
      </c>
      <c r="Q215" s="7">
        <v>0.97405940599999996</v>
      </c>
    </row>
    <row r="216" spans="1:17">
      <c r="A216" s="2">
        <v>2164</v>
      </c>
      <c r="B216" s="7">
        <v>0.48831683199999998</v>
      </c>
      <c r="C216" s="7">
        <v>0.48831683199999998</v>
      </c>
      <c r="D216" s="7">
        <v>0.48831683199999998</v>
      </c>
      <c r="E216" s="7">
        <v>0.48831683199999998</v>
      </c>
      <c r="F216" s="7">
        <v>0.48831683199999998</v>
      </c>
      <c r="G216" s="7">
        <v>0.65231683200000001</v>
      </c>
      <c r="H216" s="7">
        <v>0.65231683200000001</v>
      </c>
      <c r="I216" s="7">
        <v>0.98332673299999995</v>
      </c>
      <c r="J216" s="7">
        <v>0.98158415799999998</v>
      </c>
      <c r="K216" s="7">
        <v>0.98158415799999998</v>
      </c>
      <c r="L216" s="7">
        <v>0.98332673299999995</v>
      </c>
      <c r="M216" s="7">
        <v>0.98332673299999995</v>
      </c>
      <c r="N216" s="7">
        <v>1.017584158</v>
      </c>
      <c r="O216" s="7">
        <v>0.98823762400000004</v>
      </c>
      <c r="P216" s="7">
        <v>0.98823762400000004</v>
      </c>
      <c r="Q216" s="7">
        <v>0.98158415799999998</v>
      </c>
    </row>
    <row r="217" spans="1:17">
      <c r="A217" s="2">
        <v>2165</v>
      </c>
      <c r="B217" s="7">
        <v>0.49282178199999999</v>
      </c>
      <c r="C217" s="7">
        <v>0.49282178199999999</v>
      </c>
      <c r="D217" s="7">
        <v>0.49282178199999999</v>
      </c>
      <c r="E217" s="7">
        <v>0.49282178199999999</v>
      </c>
      <c r="F217" s="7">
        <v>0.49282178199999999</v>
      </c>
      <c r="G217" s="7">
        <v>0.65782178199999997</v>
      </c>
      <c r="H217" s="7">
        <v>0.65782178199999997</v>
      </c>
      <c r="I217" s="7">
        <v>0.99087871299999997</v>
      </c>
      <c r="J217" s="7">
        <v>0.98910891099999998</v>
      </c>
      <c r="K217" s="7">
        <v>0.98910891099999998</v>
      </c>
      <c r="L217" s="7">
        <v>0.99087871299999997</v>
      </c>
      <c r="M217" s="7">
        <v>0.99087871299999997</v>
      </c>
      <c r="N217" s="7">
        <v>1.0241089109999999</v>
      </c>
      <c r="O217" s="7">
        <v>0.99586633700000005</v>
      </c>
      <c r="P217" s="7">
        <v>0.99586633700000005</v>
      </c>
      <c r="Q217" s="7">
        <v>0.98910891099999998</v>
      </c>
    </row>
    <row r="218" spans="1:17">
      <c r="A218" s="2">
        <v>2166</v>
      </c>
      <c r="B218" s="7">
        <v>0.49732673300000002</v>
      </c>
      <c r="C218" s="7">
        <v>0.49732673300000002</v>
      </c>
      <c r="D218" s="7">
        <v>0.49732673300000002</v>
      </c>
      <c r="E218" s="7">
        <v>0.49732673300000002</v>
      </c>
      <c r="F218" s="7">
        <v>0.49732673300000002</v>
      </c>
      <c r="G218" s="7">
        <v>0.663326733</v>
      </c>
      <c r="H218" s="7">
        <v>0.663326733</v>
      </c>
      <c r="I218" s="7">
        <v>0.99843069299999998</v>
      </c>
      <c r="J218" s="7">
        <v>0.996633663</v>
      </c>
      <c r="K218" s="7">
        <v>0.996633663</v>
      </c>
      <c r="L218" s="7">
        <v>0.99843069299999998</v>
      </c>
      <c r="M218" s="7">
        <v>0.99843069299999998</v>
      </c>
      <c r="N218" s="7">
        <v>1.0306336629999999</v>
      </c>
      <c r="O218" s="7">
        <v>1.0034950499999999</v>
      </c>
      <c r="P218" s="7">
        <v>1.0034950499999999</v>
      </c>
      <c r="Q218" s="7">
        <v>0.996633663</v>
      </c>
    </row>
    <row r="219" spans="1:17">
      <c r="A219" s="2">
        <v>2167</v>
      </c>
      <c r="B219" s="7">
        <v>0.50183168300000003</v>
      </c>
      <c r="C219" s="7">
        <v>0.50183168300000003</v>
      </c>
      <c r="D219" s="7">
        <v>0.50183168300000003</v>
      </c>
      <c r="E219" s="7">
        <v>0.50183168300000003</v>
      </c>
      <c r="F219" s="7">
        <v>0.50183168300000003</v>
      </c>
      <c r="G219" s="7">
        <v>0.66883168299999995</v>
      </c>
      <c r="H219" s="7">
        <v>0.66883168299999995</v>
      </c>
      <c r="I219" s="7">
        <v>1.0059826730000001</v>
      </c>
      <c r="J219" s="7">
        <v>1.0041584160000001</v>
      </c>
      <c r="K219" s="7">
        <v>1.0041584160000001</v>
      </c>
      <c r="L219" s="7">
        <v>1.0059826730000001</v>
      </c>
      <c r="M219" s="7">
        <v>1.0059826730000001</v>
      </c>
      <c r="N219" s="7">
        <v>1.037158416</v>
      </c>
      <c r="O219" s="7">
        <v>1.011123762</v>
      </c>
      <c r="P219" s="7">
        <v>1.011123762</v>
      </c>
      <c r="Q219" s="7">
        <v>1.0041584160000001</v>
      </c>
    </row>
    <row r="220" spans="1:17">
      <c r="A220" s="2">
        <v>2168</v>
      </c>
      <c r="B220" s="7">
        <v>0.50633663399999995</v>
      </c>
      <c r="C220" s="7">
        <v>0.50633663399999995</v>
      </c>
      <c r="D220" s="7">
        <v>0.50633663399999995</v>
      </c>
      <c r="E220" s="7">
        <v>0.50633663399999995</v>
      </c>
      <c r="F220" s="7">
        <v>0.50633663399999995</v>
      </c>
      <c r="G220" s="7">
        <v>0.67433663399999999</v>
      </c>
      <c r="H220" s="7">
        <v>0.67433663399999999</v>
      </c>
      <c r="I220" s="7">
        <v>1.013534653</v>
      </c>
      <c r="J220" s="7">
        <v>1.011683168</v>
      </c>
      <c r="K220" s="7">
        <v>1.011683168</v>
      </c>
      <c r="L220" s="7">
        <v>1.013534653</v>
      </c>
      <c r="M220" s="7">
        <v>1.013534653</v>
      </c>
      <c r="N220" s="7">
        <v>1.043683168</v>
      </c>
      <c r="O220" s="7">
        <v>1.0187524750000001</v>
      </c>
      <c r="P220" s="7">
        <v>1.0187524750000001</v>
      </c>
      <c r="Q220" s="7">
        <v>1.011683168</v>
      </c>
    </row>
    <row r="221" spans="1:17">
      <c r="A221" s="2">
        <v>2169</v>
      </c>
      <c r="B221" s="7">
        <v>0.51084158400000002</v>
      </c>
      <c r="C221" s="7">
        <v>0.51084158400000002</v>
      </c>
      <c r="D221" s="7">
        <v>0.51084158400000002</v>
      </c>
      <c r="E221" s="7">
        <v>0.51084158400000002</v>
      </c>
      <c r="F221" s="7">
        <v>0.51084158400000002</v>
      </c>
      <c r="G221" s="7">
        <v>0.67984158400000005</v>
      </c>
      <c r="H221" s="7">
        <v>0.67984158400000005</v>
      </c>
      <c r="I221" s="7">
        <v>1.021086634</v>
      </c>
      <c r="J221" s="7">
        <v>1.019207921</v>
      </c>
      <c r="K221" s="7">
        <v>1.019207921</v>
      </c>
      <c r="L221" s="7">
        <v>1.021086634</v>
      </c>
      <c r="M221" s="7">
        <v>1.021086634</v>
      </c>
      <c r="N221" s="7">
        <v>1.0502079209999999</v>
      </c>
      <c r="O221" s="7">
        <v>1.026381188</v>
      </c>
      <c r="P221" s="7">
        <v>1.026381188</v>
      </c>
      <c r="Q221" s="7">
        <v>1.019207921</v>
      </c>
    </row>
    <row r="222" spans="1:17">
      <c r="A222" s="2">
        <v>2170</v>
      </c>
      <c r="B222" s="7">
        <v>0.51534653500000005</v>
      </c>
      <c r="C222" s="7">
        <v>0.51534653500000005</v>
      </c>
      <c r="D222" s="7">
        <v>0.51534653500000005</v>
      </c>
      <c r="E222" s="7">
        <v>0.51534653500000005</v>
      </c>
      <c r="F222" s="7">
        <v>0.51534653500000005</v>
      </c>
      <c r="G222" s="7">
        <v>0.68534653499999998</v>
      </c>
      <c r="H222" s="7">
        <v>0.68534653499999998</v>
      </c>
      <c r="I222" s="7">
        <v>1.0286386139999999</v>
      </c>
      <c r="J222" s="7">
        <v>1.0267326729999999</v>
      </c>
      <c r="K222" s="7">
        <v>1.0267326729999999</v>
      </c>
      <c r="L222" s="7">
        <v>1.0286386139999999</v>
      </c>
      <c r="M222" s="7">
        <v>1.0286386139999999</v>
      </c>
      <c r="N222" s="7">
        <v>1.056732673</v>
      </c>
      <c r="O222" s="7">
        <v>1.0340099009999999</v>
      </c>
      <c r="P222" s="7">
        <v>1.0340099009999999</v>
      </c>
      <c r="Q222" s="7">
        <v>1.0267326729999999</v>
      </c>
    </row>
    <row r="223" spans="1:17">
      <c r="A223" s="2">
        <v>2171</v>
      </c>
      <c r="B223" s="7">
        <v>0.519851485</v>
      </c>
      <c r="C223" s="7">
        <v>0.519851485</v>
      </c>
      <c r="D223" s="7">
        <v>0.519851485</v>
      </c>
      <c r="E223" s="7">
        <v>0.519851485</v>
      </c>
      <c r="F223" s="7">
        <v>0.519851485</v>
      </c>
      <c r="G223" s="7">
        <v>0.69085148500000004</v>
      </c>
      <c r="H223" s="7">
        <v>0.69085148500000004</v>
      </c>
      <c r="I223" s="7">
        <v>1.036190594</v>
      </c>
      <c r="J223" s="7">
        <v>1.0342574259999999</v>
      </c>
      <c r="K223" s="7">
        <v>1.0342574259999999</v>
      </c>
      <c r="L223" s="7">
        <v>1.036190594</v>
      </c>
      <c r="M223" s="7">
        <v>1.036190594</v>
      </c>
      <c r="N223" s="7">
        <v>1.0632574260000001</v>
      </c>
      <c r="O223" s="7">
        <v>1.041638614</v>
      </c>
      <c r="P223" s="7">
        <v>1.041638614</v>
      </c>
      <c r="Q223" s="7">
        <v>1.0342574259999999</v>
      </c>
    </row>
    <row r="224" spans="1:17">
      <c r="A224" s="2">
        <v>2172</v>
      </c>
      <c r="B224" s="7">
        <v>0.52435643600000004</v>
      </c>
      <c r="C224" s="7">
        <v>0.52435643600000004</v>
      </c>
      <c r="D224" s="7">
        <v>0.52435643600000004</v>
      </c>
      <c r="E224" s="7">
        <v>0.52435643600000004</v>
      </c>
      <c r="F224" s="7">
        <v>0.52435643600000004</v>
      </c>
      <c r="G224" s="7">
        <v>0.69635643599999997</v>
      </c>
      <c r="H224" s="7">
        <v>0.69635643599999997</v>
      </c>
      <c r="I224" s="7">
        <v>1.0437425739999999</v>
      </c>
      <c r="J224" s="7">
        <v>1.0417821780000001</v>
      </c>
      <c r="K224" s="7">
        <v>1.0417821780000001</v>
      </c>
      <c r="L224" s="7">
        <v>1.0437425739999999</v>
      </c>
      <c r="M224" s="7">
        <v>1.0437425739999999</v>
      </c>
      <c r="N224" s="7">
        <v>1.0697821780000001</v>
      </c>
      <c r="O224" s="7">
        <v>1.0492673269999999</v>
      </c>
      <c r="P224" s="7">
        <v>1.0492673269999999</v>
      </c>
      <c r="Q224" s="7">
        <v>1.0417821780000001</v>
      </c>
    </row>
    <row r="225" spans="1:17">
      <c r="A225" s="2">
        <v>2173</v>
      </c>
      <c r="B225" s="7">
        <v>0.52886138599999999</v>
      </c>
      <c r="C225" s="7">
        <v>0.52886138599999999</v>
      </c>
      <c r="D225" s="7">
        <v>0.52886138599999999</v>
      </c>
      <c r="E225" s="7">
        <v>0.52886138599999999</v>
      </c>
      <c r="F225" s="7">
        <v>0.52886138599999999</v>
      </c>
      <c r="G225" s="7">
        <v>0.70186138600000003</v>
      </c>
      <c r="H225" s="7">
        <v>0.70186138600000003</v>
      </c>
      <c r="I225" s="7">
        <v>1.051294554</v>
      </c>
      <c r="J225" s="7">
        <v>1.0493069310000001</v>
      </c>
      <c r="K225" s="7">
        <v>1.0493069310000001</v>
      </c>
      <c r="L225" s="7">
        <v>1.051294554</v>
      </c>
      <c r="M225" s="7">
        <v>1.051294554</v>
      </c>
      <c r="N225" s="7">
        <v>1.076306931</v>
      </c>
      <c r="O225" s="7">
        <v>1.05689604</v>
      </c>
      <c r="P225" s="7">
        <v>1.05689604</v>
      </c>
      <c r="Q225" s="7">
        <v>1.0493069310000001</v>
      </c>
    </row>
    <row r="226" spans="1:17">
      <c r="A226" s="2">
        <v>2174</v>
      </c>
      <c r="B226" s="7">
        <v>0.53336633700000002</v>
      </c>
      <c r="C226" s="7">
        <v>0.53336633700000002</v>
      </c>
      <c r="D226" s="7">
        <v>0.53336633700000002</v>
      </c>
      <c r="E226" s="7">
        <v>0.53336633700000002</v>
      </c>
      <c r="F226" s="7">
        <v>0.53336633700000002</v>
      </c>
      <c r="G226" s="7">
        <v>0.70736633699999996</v>
      </c>
      <c r="H226" s="7">
        <v>0.70736633699999996</v>
      </c>
      <c r="I226" s="7">
        <v>1.058846535</v>
      </c>
      <c r="J226" s="7">
        <v>1.056831683</v>
      </c>
      <c r="K226" s="7">
        <v>1.056831683</v>
      </c>
      <c r="L226" s="7">
        <v>1.058846535</v>
      </c>
      <c r="M226" s="7">
        <v>1.058846535</v>
      </c>
      <c r="N226" s="7">
        <v>1.082831683</v>
      </c>
      <c r="O226" s="7">
        <v>1.0645247520000001</v>
      </c>
      <c r="P226" s="7">
        <v>1.0645247520000001</v>
      </c>
      <c r="Q226" s="7">
        <v>1.056831683</v>
      </c>
    </row>
    <row r="227" spans="1:17">
      <c r="A227" s="2">
        <v>2175</v>
      </c>
      <c r="B227" s="7">
        <v>0.53787128699999998</v>
      </c>
      <c r="C227" s="7">
        <v>0.53787128699999998</v>
      </c>
      <c r="D227" s="7">
        <v>0.53787128699999998</v>
      </c>
      <c r="E227" s="7">
        <v>0.53787128699999998</v>
      </c>
      <c r="F227" s="7">
        <v>0.53787128699999998</v>
      </c>
      <c r="G227" s="7">
        <v>0.71287128700000002</v>
      </c>
      <c r="H227" s="7">
        <v>0.71287128700000002</v>
      </c>
      <c r="I227" s="7">
        <v>1.0663985149999999</v>
      </c>
      <c r="J227" s="7">
        <v>1.064356436</v>
      </c>
      <c r="K227" s="7">
        <v>1.064356436</v>
      </c>
      <c r="L227" s="7">
        <v>1.0663985149999999</v>
      </c>
      <c r="M227" s="7">
        <v>1.0663985149999999</v>
      </c>
      <c r="N227" s="7">
        <v>1.0893564360000001</v>
      </c>
      <c r="O227" s="7">
        <v>1.072153465</v>
      </c>
      <c r="P227" s="7">
        <v>1.072153465</v>
      </c>
      <c r="Q227" s="7">
        <v>1.064356436</v>
      </c>
    </row>
    <row r="228" spans="1:17">
      <c r="A228" s="2">
        <v>2176</v>
      </c>
      <c r="B228" s="7">
        <v>0.54237623800000001</v>
      </c>
      <c r="C228" s="7">
        <v>0.54237623800000001</v>
      </c>
      <c r="D228" s="7">
        <v>0.54237623800000001</v>
      </c>
      <c r="E228" s="7">
        <v>0.54237623800000001</v>
      </c>
      <c r="F228" s="7">
        <v>0.54237623800000001</v>
      </c>
      <c r="G228" s="7">
        <v>0.71837623799999994</v>
      </c>
      <c r="H228" s="7">
        <v>0.71837623799999994</v>
      </c>
      <c r="I228" s="7">
        <v>1.0739504950000001</v>
      </c>
      <c r="J228" s="7">
        <v>1.0718811880000001</v>
      </c>
      <c r="K228" s="7">
        <v>1.0718811880000001</v>
      </c>
      <c r="L228" s="7">
        <v>1.0739504950000001</v>
      </c>
      <c r="M228" s="7">
        <v>1.0739504950000001</v>
      </c>
      <c r="N228" s="7">
        <v>1.0958811879999999</v>
      </c>
      <c r="O228" s="7">
        <v>1.0797821780000001</v>
      </c>
      <c r="P228" s="7">
        <v>1.0797821780000001</v>
      </c>
      <c r="Q228" s="7">
        <v>1.0718811880000001</v>
      </c>
    </row>
    <row r="229" spans="1:17">
      <c r="A229" s="2">
        <v>2177</v>
      </c>
      <c r="B229" s="7">
        <v>0.54688118799999996</v>
      </c>
      <c r="C229" s="7">
        <v>0.54688118799999996</v>
      </c>
      <c r="D229" s="7">
        <v>0.54688118799999996</v>
      </c>
      <c r="E229" s="7">
        <v>0.54688118799999996</v>
      </c>
      <c r="F229" s="7">
        <v>0.54688118799999996</v>
      </c>
      <c r="G229" s="7">
        <v>0.72388118800000001</v>
      </c>
      <c r="H229" s="7">
        <v>0.72388118800000001</v>
      </c>
      <c r="I229" s="7">
        <v>1.081502475</v>
      </c>
      <c r="J229" s="7">
        <v>1.0794059410000001</v>
      </c>
      <c r="K229" s="7">
        <v>1.0794059410000001</v>
      </c>
      <c r="L229" s="7">
        <v>1.081502475</v>
      </c>
      <c r="M229" s="7">
        <v>1.081502475</v>
      </c>
      <c r="N229" s="7">
        <v>1.102405941</v>
      </c>
      <c r="O229" s="7">
        <v>1.087410891</v>
      </c>
      <c r="P229" s="7">
        <v>1.087410891</v>
      </c>
      <c r="Q229" s="7">
        <v>1.0794059410000001</v>
      </c>
    </row>
    <row r="230" spans="1:17">
      <c r="A230" s="2">
        <v>2178</v>
      </c>
      <c r="B230" s="7">
        <v>0.551386139</v>
      </c>
      <c r="C230" s="7">
        <v>0.551386139</v>
      </c>
      <c r="D230" s="7">
        <v>0.551386139</v>
      </c>
      <c r="E230" s="7">
        <v>0.551386139</v>
      </c>
      <c r="F230" s="7">
        <v>0.551386139</v>
      </c>
      <c r="G230" s="7">
        <v>0.72938613900000004</v>
      </c>
      <c r="H230" s="7">
        <v>0.72938613900000004</v>
      </c>
      <c r="I230" s="7">
        <v>1.0890544550000001</v>
      </c>
      <c r="J230" s="7">
        <v>1.086930693</v>
      </c>
      <c r="K230" s="7">
        <v>1.086930693</v>
      </c>
      <c r="L230" s="7">
        <v>1.0890544550000001</v>
      </c>
      <c r="M230" s="7">
        <v>1.0890544550000001</v>
      </c>
      <c r="N230" s="7">
        <v>1.108930693</v>
      </c>
      <c r="O230" s="7">
        <v>1.0950396040000001</v>
      </c>
      <c r="P230" s="7">
        <v>1.0950396040000001</v>
      </c>
      <c r="Q230" s="7">
        <v>1.086930693</v>
      </c>
    </row>
    <row r="231" spans="1:17">
      <c r="A231" s="2">
        <v>2179</v>
      </c>
      <c r="B231" s="7">
        <v>0.55589108899999995</v>
      </c>
      <c r="C231" s="7">
        <v>0.55589108899999995</v>
      </c>
      <c r="D231" s="7">
        <v>0.55589108899999995</v>
      </c>
      <c r="E231" s="7">
        <v>0.55589108899999995</v>
      </c>
      <c r="F231" s="7">
        <v>0.55589108899999995</v>
      </c>
      <c r="G231" s="7">
        <v>0.734891089</v>
      </c>
      <c r="H231" s="7">
        <v>0.734891089</v>
      </c>
      <c r="I231" s="7">
        <v>1.0966064360000001</v>
      </c>
      <c r="J231" s="7">
        <v>1.094455446</v>
      </c>
      <c r="K231" s="7">
        <v>1.094455446</v>
      </c>
      <c r="L231" s="7">
        <v>1.0966064360000001</v>
      </c>
      <c r="M231" s="7">
        <v>1.0966064360000001</v>
      </c>
      <c r="N231" s="7">
        <v>1.1154554459999999</v>
      </c>
      <c r="O231" s="7">
        <v>1.102668317</v>
      </c>
      <c r="P231" s="7">
        <v>1.102668317</v>
      </c>
      <c r="Q231" s="7">
        <v>1.094455446</v>
      </c>
    </row>
    <row r="232" spans="1:17">
      <c r="A232" s="2">
        <v>2180</v>
      </c>
      <c r="B232" s="7">
        <v>0.56039603999999998</v>
      </c>
      <c r="C232" s="7">
        <v>0.56039603999999998</v>
      </c>
      <c r="D232" s="7">
        <v>0.56039603999999998</v>
      </c>
      <c r="E232" s="7">
        <v>0.56039603999999998</v>
      </c>
      <c r="F232" s="7">
        <v>0.56039603999999998</v>
      </c>
      <c r="G232" s="7">
        <v>0.74039604000000003</v>
      </c>
      <c r="H232" s="7">
        <v>0.74039604000000003</v>
      </c>
      <c r="I232" s="7">
        <v>1.104158416</v>
      </c>
      <c r="J232" s="7">
        <v>1.1019801979999999</v>
      </c>
      <c r="K232" s="7">
        <v>1.1019801979999999</v>
      </c>
      <c r="L232" s="7">
        <v>1.104158416</v>
      </c>
      <c r="M232" s="7">
        <v>1.104158416</v>
      </c>
      <c r="N232" s="7">
        <v>1.1219801979999999</v>
      </c>
      <c r="O232" s="7">
        <v>1.1102970299999999</v>
      </c>
      <c r="P232" s="7">
        <v>1.1102970299999999</v>
      </c>
      <c r="Q232" s="7">
        <v>1.1019801979999999</v>
      </c>
    </row>
    <row r="233" spans="1:17">
      <c r="A233" s="2">
        <v>2181</v>
      </c>
      <c r="B233" s="7">
        <v>0.56490099000000005</v>
      </c>
      <c r="C233" s="7">
        <v>0.56490099000000005</v>
      </c>
      <c r="D233" s="7">
        <v>0.56490099000000005</v>
      </c>
      <c r="E233" s="7">
        <v>0.56490099000000005</v>
      </c>
      <c r="F233" s="7">
        <v>0.56490099000000005</v>
      </c>
      <c r="G233" s="7">
        <v>0.74590098999999999</v>
      </c>
      <c r="H233" s="7">
        <v>0.74590098999999999</v>
      </c>
      <c r="I233" s="7">
        <v>1.1117103960000001</v>
      </c>
      <c r="J233" s="7">
        <v>1.10950495</v>
      </c>
      <c r="K233" s="7">
        <v>1.10950495</v>
      </c>
      <c r="L233" s="7">
        <v>1.1117103960000001</v>
      </c>
      <c r="M233" s="7">
        <v>1.1117103960000001</v>
      </c>
      <c r="N233" s="7">
        <v>1.12850495</v>
      </c>
      <c r="O233" s="7">
        <v>1.117925743</v>
      </c>
      <c r="P233" s="7">
        <v>1.117925743</v>
      </c>
      <c r="Q233" s="7">
        <v>1.10950495</v>
      </c>
    </row>
    <row r="234" spans="1:17">
      <c r="A234" s="2">
        <v>2182</v>
      </c>
      <c r="B234" s="7">
        <v>0.56940594099999997</v>
      </c>
      <c r="C234" s="7">
        <v>0.56940594099999997</v>
      </c>
      <c r="D234" s="7">
        <v>0.56940594099999997</v>
      </c>
      <c r="E234" s="7">
        <v>0.56940594099999997</v>
      </c>
      <c r="F234" s="7">
        <v>0.56940594099999997</v>
      </c>
      <c r="G234" s="7">
        <v>0.75140594100000002</v>
      </c>
      <c r="H234" s="7">
        <v>0.75140594100000002</v>
      </c>
      <c r="I234" s="7">
        <v>1.119262376</v>
      </c>
      <c r="J234" s="7">
        <v>1.117029703</v>
      </c>
      <c r="K234" s="7">
        <v>1.117029703</v>
      </c>
      <c r="L234" s="7">
        <v>1.119262376</v>
      </c>
      <c r="M234" s="7">
        <v>1.119262376</v>
      </c>
      <c r="N234" s="7">
        <v>1.1350297030000001</v>
      </c>
      <c r="O234" s="7">
        <v>1.1255544550000001</v>
      </c>
      <c r="P234" s="7">
        <v>1.1255544550000001</v>
      </c>
      <c r="Q234" s="7">
        <v>1.117029703</v>
      </c>
    </row>
    <row r="235" spans="1:17">
      <c r="A235" s="2">
        <v>2183</v>
      </c>
      <c r="B235" s="7">
        <v>0.57391089100000003</v>
      </c>
      <c r="C235" s="7">
        <v>0.57391089100000003</v>
      </c>
      <c r="D235" s="7">
        <v>0.57391089100000003</v>
      </c>
      <c r="E235" s="7">
        <v>0.57391089100000003</v>
      </c>
      <c r="F235" s="7">
        <v>0.57391089100000003</v>
      </c>
      <c r="G235" s="7">
        <v>0.75691089099999997</v>
      </c>
      <c r="H235" s="7">
        <v>0.75691089099999997</v>
      </c>
      <c r="I235" s="7">
        <v>1.1268143559999999</v>
      </c>
      <c r="J235" s="7">
        <v>1.124554455</v>
      </c>
      <c r="K235" s="7">
        <v>1.124554455</v>
      </c>
      <c r="L235" s="7">
        <v>1.1268143559999999</v>
      </c>
      <c r="M235" s="7">
        <v>1.1268143559999999</v>
      </c>
      <c r="N235" s="7">
        <v>1.1415544550000001</v>
      </c>
      <c r="O235" s="7">
        <v>1.133183168</v>
      </c>
      <c r="P235" s="7">
        <v>1.133183168</v>
      </c>
      <c r="Q235" s="7">
        <v>1.124554455</v>
      </c>
    </row>
    <row r="236" spans="1:17">
      <c r="A236" s="2">
        <v>2184</v>
      </c>
      <c r="B236" s="7">
        <v>0.57841584199999996</v>
      </c>
      <c r="C236" s="7">
        <v>0.57841584199999996</v>
      </c>
      <c r="D236" s="7">
        <v>0.57841584199999996</v>
      </c>
      <c r="E236" s="7">
        <v>0.57841584199999996</v>
      </c>
      <c r="F236" s="7">
        <v>0.57841584199999996</v>
      </c>
      <c r="G236" s="7">
        <v>0.76241584200000001</v>
      </c>
      <c r="H236" s="7">
        <v>0.76241584200000001</v>
      </c>
      <c r="I236" s="7">
        <v>1.1343663369999999</v>
      </c>
      <c r="J236" s="7">
        <v>1.1320792079999999</v>
      </c>
      <c r="K236" s="7">
        <v>1.1320792079999999</v>
      </c>
      <c r="L236" s="7">
        <v>1.1343663369999999</v>
      </c>
      <c r="M236" s="7">
        <v>1.1343663369999999</v>
      </c>
      <c r="N236" s="7">
        <v>1.148079208</v>
      </c>
      <c r="O236" s="7">
        <v>1.1408118810000001</v>
      </c>
      <c r="P236" s="7">
        <v>1.1408118810000001</v>
      </c>
      <c r="Q236" s="7">
        <v>1.1320792079999999</v>
      </c>
    </row>
    <row r="237" spans="1:17">
      <c r="A237" s="2">
        <v>2185</v>
      </c>
      <c r="B237" s="7">
        <v>0.58292079200000002</v>
      </c>
      <c r="C237" s="7">
        <v>0.58292079200000002</v>
      </c>
      <c r="D237" s="7">
        <v>0.58292079200000002</v>
      </c>
      <c r="E237" s="7">
        <v>0.58292079200000002</v>
      </c>
      <c r="F237" s="7">
        <v>0.58292079200000002</v>
      </c>
      <c r="G237" s="7">
        <v>0.76792079199999996</v>
      </c>
      <c r="H237" s="7">
        <v>0.76792079199999996</v>
      </c>
      <c r="I237" s="7">
        <v>1.141918317</v>
      </c>
      <c r="J237" s="7">
        <v>1.1396039600000001</v>
      </c>
      <c r="K237" s="7">
        <v>1.1396039600000001</v>
      </c>
      <c r="L237" s="7">
        <v>1.141918317</v>
      </c>
      <c r="M237" s="7">
        <v>1.141918317</v>
      </c>
      <c r="N237" s="7">
        <v>1.15460396</v>
      </c>
      <c r="O237" s="7">
        <v>1.148440594</v>
      </c>
      <c r="P237" s="7">
        <v>1.148440594</v>
      </c>
      <c r="Q237" s="7">
        <v>1.1396039600000001</v>
      </c>
    </row>
    <row r="238" spans="1:17">
      <c r="A238" s="2">
        <v>2186</v>
      </c>
      <c r="B238" s="7">
        <v>0.58742574299999994</v>
      </c>
      <c r="C238" s="7">
        <v>0.58742574299999994</v>
      </c>
      <c r="D238" s="7">
        <v>0.58742574299999994</v>
      </c>
      <c r="E238" s="7">
        <v>0.58742574299999994</v>
      </c>
      <c r="F238" s="7">
        <v>0.58742574299999994</v>
      </c>
      <c r="G238" s="7">
        <v>0.773425743</v>
      </c>
      <c r="H238" s="7">
        <v>0.773425743</v>
      </c>
      <c r="I238" s="7">
        <v>1.1494702969999999</v>
      </c>
      <c r="J238" s="7">
        <v>1.1471287130000001</v>
      </c>
      <c r="K238" s="7">
        <v>1.1471287130000001</v>
      </c>
      <c r="L238" s="7">
        <v>1.1494702969999999</v>
      </c>
      <c r="M238" s="7">
        <v>1.1494702969999999</v>
      </c>
      <c r="N238" s="7">
        <v>1.1611287130000001</v>
      </c>
      <c r="O238" s="7">
        <v>1.1560693070000001</v>
      </c>
      <c r="P238" s="7">
        <v>1.1560693070000001</v>
      </c>
      <c r="Q238" s="7">
        <v>1.1471287130000001</v>
      </c>
    </row>
    <row r="239" spans="1:17">
      <c r="A239" s="2">
        <v>2187</v>
      </c>
      <c r="B239" s="7">
        <v>0.59193069300000001</v>
      </c>
      <c r="C239" s="7">
        <v>0.59193069300000001</v>
      </c>
      <c r="D239" s="7">
        <v>0.59193069300000001</v>
      </c>
      <c r="E239" s="7">
        <v>0.59193069300000001</v>
      </c>
      <c r="F239" s="7">
        <v>0.59193069300000001</v>
      </c>
      <c r="G239" s="7">
        <v>0.77893069299999995</v>
      </c>
      <c r="H239" s="7">
        <v>0.77893069299999995</v>
      </c>
      <c r="I239" s="7">
        <v>1.157022277</v>
      </c>
      <c r="J239" s="7">
        <v>1.154653465</v>
      </c>
      <c r="K239" s="7">
        <v>1.154653465</v>
      </c>
      <c r="L239" s="7">
        <v>1.157022277</v>
      </c>
      <c r="M239" s="7">
        <v>1.157022277</v>
      </c>
      <c r="N239" s="7">
        <v>1.1676534649999999</v>
      </c>
      <c r="O239" s="7">
        <v>1.16369802</v>
      </c>
      <c r="P239" s="7">
        <v>1.16369802</v>
      </c>
      <c r="Q239" s="7">
        <v>1.154653465</v>
      </c>
    </row>
    <row r="240" spans="1:17">
      <c r="A240" s="2">
        <v>2188</v>
      </c>
      <c r="B240" s="7">
        <v>0.59643564400000004</v>
      </c>
      <c r="C240" s="7">
        <v>0.59643564400000004</v>
      </c>
      <c r="D240" s="7">
        <v>0.59643564400000004</v>
      </c>
      <c r="E240" s="7">
        <v>0.59643564400000004</v>
      </c>
      <c r="F240" s="7">
        <v>0.59643564400000004</v>
      </c>
      <c r="G240" s="7">
        <v>0.78443564399999999</v>
      </c>
      <c r="H240" s="7">
        <v>0.78443564399999999</v>
      </c>
      <c r="I240" s="7">
        <v>1.1645742569999999</v>
      </c>
      <c r="J240" s="7">
        <v>1.162178218</v>
      </c>
      <c r="K240" s="7">
        <v>1.162178218</v>
      </c>
      <c r="L240" s="7">
        <v>1.1645742569999999</v>
      </c>
      <c r="M240" s="7">
        <v>1.1645742569999999</v>
      </c>
      <c r="N240" s="7">
        <v>1.174178218</v>
      </c>
      <c r="O240" s="7">
        <v>1.1713267329999999</v>
      </c>
      <c r="P240" s="7">
        <v>1.1713267329999999</v>
      </c>
      <c r="Q240" s="7">
        <v>1.162178218</v>
      </c>
    </row>
    <row r="241" spans="1:17">
      <c r="A241" s="2">
        <v>2189</v>
      </c>
      <c r="B241" s="7">
        <v>0.60094059399999999</v>
      </c>
      <c r="C241" s="7">
        <v>0.60094059399999999</v>
      </c>
      <c r="D241" s="7">
        <v>0.60094059399999999</v>
      </c>
      <c r="E241" s="7">
        <v>0.60094059399999999</v>
      </c>
      <c r="F241" s="7">
        <v>0.60094059399999999</v>
      </c>
      <c r="G241" s="7">
        <v>0.78994059400000005</v>
      </c>
      <c r="H241" s="7">
        <v>0.78994059400000005</v>
      </c>
      <c r="I241" s="7">
        <v>1.1721262379999999</v>
      </c>
      <c r="J241" s="7">
        <v>1.1697029699999999</v>
      </c>
      <c r="K241" s="7">
        <v>1.1697029699999999</v>
      </c>
      <c r="L241" s="7">
        <v>1.1721262379999999</v>
      </c>
      <c r="M241" s="7">
        <v>1.1721262379999999</v>
      </c>
      <c r="N241" s="7">
        <v>1.18070297</v>
      </c>
      <c r="O241" s="7">
        <v>1.178955446</v>
      </c>
      <c r="P241" s="7">
        <v>1.178955446</v>
      </c>
      <c r="Q241" s="7">
        <v>1.1697029699999999</v>
      </c>
    </row>
    <row r="242" spans="1:17">
      <c r="A242" s="2">
        <v>2190</v>
      </c>
      <c r="B242" s="7">
        <v>0.60544554500000003</v>
      </c>
      <c r="C242" s="7">
        <v>0.60544554500000003</v>
      </c>
      <c r="D242" s="7">
        <v>0.60544554500000003</v>
      </c>
      <c r="E242" s="7">
        <v>0.60544554500000003</v>
      </c>
      <c r="F242" s="7">
        <v>0.60544554500000003</v>
      </c>
      <c r="G242" s="7">
        <v>0.79544554499999998</v>
      </c>
      <c r="H242" s="7">
        <v>0.79544554499999998</v>
      </c>
      <c r="I242" s="7">
        <v>1.1796782180000001</v>
      </c>
      <c r="J242" s="7">
        <v>1.1772277229999999</v>
      </c>
      <c r="K242" s="7">
        <v>1.1772277229999999</v>
      </c>
      <c r="L242" s="7">
        <v>1.1796782180000001</v>
      </c>
      <c r="M242" s="7">
        <v>1.1796782180000001</v>
      </c>
      <c r="N242" s="7">
        <v>1.1872277229999999</v>
      </c>
      <c r="O242" s="7">
        <v>1.1865841580000001</v>
      </c>
      <c r="P242" s="7">
        <v>1.1865841580000001</v>
      </c>
      <c r="Q242" s="7">
        <v>1.1772277229999999</v>
      </c>
    </row>
    <row r="243" spans="1:17">
      <c r="A243" s="2">
        <v>2191</v>
      </c>
      <c r="B243" s="7">
        <v>0.60995049499999998</v>
      </c>
      <c r="C243" s="7">
        <v>0.60995049499999998</v>
      </c>
      <c r="D243" s="7">
        <v>0.60995049499999998</v>
      </c>
      <c r="E243" s="7">
        <v>0.60995049499999998</v>
      </c>
      <c r="F243" s="7">
        <v>0.60995049499999998</v>
      </c>
      <c r="G243" s="7">
        <v>0.80095049500000004</v>
      </c>
      <c r="H243" s="7">
        <v>0.80095049500000004</v>
      </c>
      <c r="I243" s="7">
        <v>1.187230198</v>
      </c>
      <c r="J243" s="7">
        <v>1.184752475</v>
      </c>
      <c r="K243" s="7">
        <v>1.184752475</v>
      </c>
      <c r="L243" s="7">
        <v>1.187230198</v>
      </c>
      <c r="M243" s="7">
        <v>1.187230198</v>
      </c>
      <c r="N243" s="7">
        <v>1.1937524749999999</v>
      </c>
      <c r="O243" s="7">
        <v>1.194212871</v>
      </c>
      <c r="P243" s="7">
        <v>1.194212871</v>
      </c>
      <c r="Q243" s="7">
        <v>1.184752475</v>
      </c>
    </row>
    <row r="244" spans="1:17">
      <c r="A244" s="2">
        <v>2192</v>
      </c>
      <c r="B244" s="7">
        <v>0.61445544600000002</v>
      </c>
      <c r="C244" s="7">
        <v>0.61445544600000002</v>
      </c>
      <c r="D244" s="7">
        <v>0.61445544600000002</v>
      </c>
      <c r="E244" s="7">
        <v>0.61445544600000002</v>
      </c>
      <c r="F244" s="7">
        <v>0.61445544600000002</v>
      </c>
      <c r="G244" s="7">
        <v>0.80645544599999996</v>
      </c>
      <c r="H244" s="7">
        <v>0.80645544599999996</v>
      </c>
      <c r="I244" s="7">
        <v>1.1947821780000001</v>
      </c>
      <c r="J244" s="7">
        <v>1.192277228</v>
      </c>
      <c r="K244" s="7">
        <v>1.192277228</v>
      </c>
      <c r="L244" s="7">
        <v>1.1947821780000001</v>
      </c>
      <c r="M244" s="7">
        <v>1.1947821780000001</v>
      </c>
      <c r="N244" s="7">
        <v>1.200277228</v>
      </c>
      <c r="O244" s="7">
        <v>1.2018415840000001</v>
      </c>
      <c r="P244" s="7">
        <v>1.2018415840000001</v>
      </c>
      <c r="Q244" s="7">
        <v>1.192277228</v>
      </c>
    </row>
    <row r="245" spans="1:17">
      <c r="A245" s="2">
        <v>2193</v>
      </c>
      <c r="B245" s="7">
        <v>0.61896039599999997</v>
      </c>
      <c r="C245" s="7">
        <v>0.61896039599999997</v>
      </c>
      <c r="D245" s="7">
        <v>0.61896039599999997</v>
      </c>
      <c r="E245" s="7">
        <v>0.61896039599999997</v>
      </c>
      <c r="F245" s="7">
        <v>0.61896039599999997</v>
      </c>
      <c r="G245" s="7">
        <v>0.81196039600000003</v>
      </c>
      <c r="H245" s="7">
        <v>0.81196039600000003</v>
      </c>
      <c r="I245" s="7">
        <v>1.202334158</v>
      </c>
      <c r="J245" s="7">
        <v>1.1998019799999999</v>
      </c>
      <c r="K245" s="7">
        <v>1.1998019799999999</v>
      </c>
      <c r="L245" s="7">
        <v>1.202334158</v>
      </c>
      <c r="M245" s="7">
        <v>1.202334158</v>
      </c>
      <c r="N245" s="7">
        <v>1.2068019800000001</v>
      </c>
      <c r="O245" s="7">
        <v>1.209470297</v>
      </c>
      <c r="P245" s="7">
        <v>1.209470297</v>
      </c>
      <c r="Q245" s="7">
        <v>1.1998019799999999</v>
      </c>
    </row>
    <row r="246" spans="1:17">
      <c r="A246" s="2">
        <v>2194</v>
      </c>
      <c r="B246" s="7">
        <v>0.623465347</v>
      </c>
      <c r="C246" s="7">
        <v>0.623465347</v>
      </c>
      <c r="D246" s="7">
        <v>0.623465347</v>
      </c>
      <c r="E246" s="7">
        <v>0.623465347</v>
      </c>
      <c r="F246" s="7">
        <v>0.623465347</v>
      </c>
      <c r="G246" s="7">
        <v>0.81746534699999995</v>
      </c>
      <c r="H246" s="7">
        <v>0.81746534699999995</v>
      </c>
      <c r="I246" s="7">
        <v>1.209886139</v>
      </c>
      <c r="J246" s="7">
        <v>1.2073267329999999</v>
      </c>
      <c r="K246" s="7">
        <v>1.2073267329999999</v>
      </c>
      <c r="L246" s="7">
        <v>1.209886139</v>
      </c>
      <c r="M246" s="7">
        <v>1.209886139</v>
      </c>
      <c r="N246" s="7">
        <v>1.2133267329999999</v>
      </c>
      <c r="O246" s="7">
        <v>1.2170990100000001</v>
      </c>
      <c r="P246" s="7">
        <v>1.2170990100000001</v>
      </c>
      <c r="Q246" s="7">
        <v>1.2073267329999999</v>
      </c>
    </row>
    <row r="247" spans="1:17">
      <c r="A247" s="2">
        <v>2195</v>
      </c>
      <c r="B247" s="7">
        <v>0.62797029699999996</v>
      </c>
      <c r="C247" s="7">
        <v>0.62797029699999996</v>
      </c>
      <c r="D247" s="7">
        <v>0.62797029699999996</v>
      </c>
      <c r="E247" s="7">
        <v>0.62797029699999996</v>
      </c>
      <c r="F247" s="7">
        <v>0.62797029699999996</v>
      </c>
      <c r="G247" s="7">
        <v>0.82297029700000002</v>
      </c>
      <c r="H247" s="7">
        <v>0.82297029700000002</v>
      </c>
      <c r="I247" s="7">
        <v>1.2174381190000001</v>
      </c>
      <c r="J247" s="7">
        <v>1.2148514850000001</v>
      </c>
      <c r="K247" s="7">
        <v>1.2148514850000001</v>
      </c>
      <c r="L247" s="7">
        <v>1.2174381190000001</v>
      </c>
      <c r="M247" s="7">
        <v>1.2174381190000001</v>
      </c>
      <c r="N247" s="7">
        <v>1.219851485</v>
      </c>
      <c r="O247" s="7">
        <v>1.224727723</v>
      </c>
      <c r="P247" s="7">
        <v>1.224727723</v>
      </c>
      <c r="Q247" s="7">
        <v>1.2148514850000001</v>
      </c>
    </row>
    <row r="248" spans="1:17">
      <c r="A248" s="2">
        <v>2196</v>
      </c>
      <c r="B248" s="7">
        <v>0.63247524799999999</v>
      </c>
      <c r="C248" s="7">
        <v>0.63247524799999999</v>
      </c>
      <c r="D248" s="7">
        <v>0.63247524799999999</v>
      </c>
      <c r="E248" s="7">
        <v>0.63247524799999999</v>
      </c>
      <c r="F248" s="7">
        <v>0.63247524799999999</v>
      </c>
      <c r="G248" s="7">
        <v>0.82847524800000005</v>
      </c>
      <c r="H248" s="7">
        <v>0.82847524800000005</v>
      </c>
      <c r="I248" s="7">
        <v>1.224990099</v>
      </c>
      <c r="J248" s="7">
        <v>1.2223762380000001</v>
      </c>
      <c r="K248" s="7">
        <v>1.2223762380000001</v>
      </c>
      <c r="L248" s="7">
        <v>1.224990099</v>
      </c>
      <c r="M248" s="7">
        <v>1.224990099</v>
      </c>
      <c r="N248" s="7">
        <v>1.2263762380000001</v>
      </c>
      <c r="O248" s="7">
        <v>1.2323564360000001</v>
      </c>
      <c r="P248" s="7">
        <v>1.2323564360000001</v>
      </c>
      <c r="Q248" s="7">
        <v>1.2223762380000001</v>
      </c>
    </row>
    <row r="249" spans="1:17">
      <c r="A249" s="2">
        <v>2197</v>
      </c>
      <c r="B249" s="7">
        <v>0.63698019800000005</v>
      </c>
      <c r="C249" s="7">
        <v>0.63698019800000005</v>
      </c>
      <c r="D249" s="7">
        <v>0.63698019800000005</v>
      </c>
      <c r="E249" s="7">
        <v>0.63698019800000005</v>
      </c>
      <c r="F249" s="7">
        <v>0.63698019800000005</v>
      </c>
      <c r="G249" s="7">
        <v>0.83398019800000001</v>
      </c>
      <c r="H249" s="7">
        <v>0.83398019800000001</v>
      </c>
      <c r="I249" s="7">
        <v>1.2325420789999999</v>
      </c>
      <c r="J249" s="7">
        <v>1.22990099</v>
      </c>
      <c r="K249" s="7">
        <v>1.22990099</v>
      </c>
      <c r="L249" s="7">
        <v>1.2325420789999999</v>
      </c>
      <c r="M249" s="7">
        <v>1.2325420789999999</v>
      </c>
      <c r="N249" s="7">
        <v>1.2329009900000001</v>
      </c>
      <c r="O249" s="7">
        <v>1.239985149</v>
      </c>
      <c r="P249" s="7">
        <v>1.239985149</v>
      </c>
      <c r="Q249" s="7">
        <v>1.22990099</v>
      </c>
    </row>
    <row r="250" spans="1:17">
      <c r="A250" s="2">
        <v>2198</v>
      </c>
      <c r="B250" s="7">
        <v>0.64148514899999998</v>
      </c>
      <c r="C250" s="7">
        <v>0.64148514899999998</v>
      </c>
      <c r="D250" s="7">
        <v>0.64148514899999998</v>
      </c>
      <c r="E250" s="7">
        <v>0.64148514899999998</v>
      </c>
      <c r="F250" s="7">
        <v>0.64148514899999998</v>
      </c>
      <c r="G250" s="7">
        <v>0.83948514900000004</v>
      </c>
      <c r="H250" s="7">
        <v>0.83948514900000004</v>
      </c>
      <c r="I250" s="7">
        <v>1.240094059</v>
      </c>
      <c r="J250" s="7">
        <v>1.237425743</v>
      </c>
      <c r="K250" s="7">
        <v>1.237425743</v>
      </c>
      <c r="L250" s="7">
        <v>1.240094059</v>
      </c>
      <c r="M250" s="7">
        <v>1.240094059</v>
      </c>
      <c r="N250" s="7">
        <v>1.239425743</v>
      </c>
      <c r="O250" s="7">
        <v>1.247613861</v>
      </c>
      <c r="P250" s="7">
        <v>1.247613861</v>
      </c>
      <c r="Q250" s="7">
        <v>1.237425743</v>
      </c>
    </row>
    <row r="251" spans="1:17">
      <c r="A251" s="2">
        <v>2199</v>
      </c>
      <c r="B251" s="7">
        <v>0.64599009900000004</v>
      </c>
      <c r="C251" s="7">
        <v>0.64599009900000004</v>
      </c>
      <c r="D251" s="7">
        <v>0.64599009900000004</v>
      </c>
      <c r="E251" s="7">
        <v>0.64599009900000004</v>
      </c>
      <c r="F251" s="7">
        <v>0.64599009900000004</v>
      </c>
      <c r="G251" s="7">
        <v>0.84499009899999999</v>
      </c>
      <c r="H251" s="7">
        <v>0.84499009899999999</v>
      </c>
      <c r="I251" s="7">
        <v>1.24764604</v>
      </c>
      <c r="J251" s="7">
        <v>1.2449504950000001</v>
      </c>
      <c r="K251" s="7">
        <v>1.2449504950000001</v>
      </c>
      <c r="L251" s="7">
        <v>1.24764604</v>
      </c>
      <c r="M251" s="7">
        <v>1.24764604</v>
      </c>
      <c r="N251" s="7">
        <v>1.245950495</v>
      </c>
      <c r="O251" s="7">
        <v>1.2552425739999999</v>
      </c>
      <c r="P251" s="7">
        <v>1.2552425739999999</v>
      </c>
      <c r="Q251" s="7">
        <v>1.2449504950000001</v>
      </c>
    </row>
    <row r="252" spans="1:17">
      <c r="A252" s="2">
        <v>2200</v>
      </c>
      <c r="B252" s="7">
        <v>0.65049504999999996</v>
      </c>
      <c r="C252" s="7">
        <v>0.65049504999999996</v>
      </c>
      <c r="D252" s="7">
        <v>0.65049504999999996</v>
      </c>
      <c r="E252" s="7">
        <v>0.65049504999999996</v>
      </c>
      <c r="F252" s="7">
        <v>0.65049504999999996</v>
      </c>
      <c r="G252" s="7">
        <v>0.85049505000000003</v>
      </c>
      <c r="H252" s="7">
        <v>0.85049505000000003</v>
      </c>
      <c r="I252" s="7">
        <v>1.2551980199999999</v>
      </c>
      <c r="J252" s="7">
        <v>1.2524752480000001</v>
      </c>
      <c r="K252" s="7">
        <v>1.2524752480000001</v>
      </c>
      <c r="L252" s="7">
        <v>1.2551980199999999</v>
      </c>
      <c r="M252" s="7">
        <v>1.2551980199999999</v>
      </c>
      <c r="N252" s="7">
        <v>1.2524752480000001</v>
      </c>
      <c r="O252" s="7">
        <v>1.2628712870000001</v>
      </c>
      <c r="P252" s="7">
        <v>1.2628712870000001</v>
      </c>
      <c r="Q252" s="7">
        <v>1.2524752480000001</v>
      </c>
    </row>
    <row r="253" spans="1:17">
      <c r="A253" s="2">
        <v>2201</v>
      </c>
      <c r="B253" s="7">
        <v>0.648475248</v>
      </c>
      <c r="C253" s="7">
        <v>0.648475248</v>
      </c>
      <c r="D253" s="7">
        <v>0.648475248</v>
      </c>
      <c r="E253" s="7">
        <v>0.648475248</v>
      </c>
      <c r="F253" s="7">
        <v>0.648475248</v>
      </c>
      <c r="G253" s="7">
        <v>0.84447524799999996</v>
      </c>
      <c r="H253" s="7">
        <v>0.84447524799999996</v>
      </c>
      <c r="I253" s="7">
        <v>1.240990099</v>
      </c>
      <c r="J253" s="7">
        <v>1.2383762380000001</v>
      </c>
      <c r="K253" s="7">
        <v>1.2383762380000001</v>
      </c>
      <c r="L253" s="7">
        <v>1.240990099</v>
      </c>
      <c r="M253" s="7">
        <v>1.240990099</v>
      </c>
      <c r="N253" s="7">
        <v>1.2383762380000001</v>
      </c>
      <c r="O253" s="7">
        <v>1.2483564359999999</v>
      </c>
      <c r="P253" s="7">
        <v>1.2483564359999999</v>
      </c>
      <c r="Q253" s="7">
        <v>1.2383762380000001</v>
      </c>
    </row>
    <row r="254" spans="1:17">
      <c r="A254" s="2">
        <v>2202</v>
      </c>
      <c r="B254" s="7">
        <v>0.64645544600000004</v>
      </c>
      <c r="C254" s="7">
        <v>0.64645544600000004</v>
      </c>
      <c r="D254" s="7">
        <v>0.64645544600000004</v>
      </c>
      <c r="E254" s="7">
        <v>0.64645544600000004</v>
      </c>
      <c r="F254" s="7">
        <v>0.64645544600000004</v>
      </c>
      <c r="G254" s="7">
        <v>0.83845544599999999</v>
      </c>
      <c r="H254" s="7">
        <v>0.83845544599999999</v>
      </c>
      <c r="I254" s="7">
        <v>1.2267821779999999</v>
      </c>
      <c r="J254" s="7">
        <v>1.2242772280000001</v>
      </c>
      <c r="K254" s="7">
        <v>1.2242772280000001</v>
      </c>
      <c r="L254" s="7">
        <v>1.2267821779999999</v>
      </c>
      <c r="M254" s="7">
        <v>1.2267821779999999</v>
      </c>
      <c r="N254" s="7">
        <v>1.2242772280000001</v>
      </c>
      <c r="O254" s="7">
        <v>1.2338415840000001</v>
      </c>
      <c r="P254" s="7">
        <v>1.2338415840000001</v>
      </c>
      <c r="Q254" s="7">
        <v>1.2242772280000001</v>
      </c>
    </row>
    <row r="255" spans="1:17">
      <c r="A255" s="2">
        <v>2203</v>
      </c>
      <c r="B255" s="7">
        <v>0.64443564399999997</v>
      </c>
      <c r="C255" s="7">
        <v>0.64443564399999997</v>
      </c>
      <c r="D255" s="7">
        <v>0.64443564399999997</v>
      </c>
      <c r="E255" s="7">
        <v>0.64443564399999997</v>
      </c>
      <c r="F255" s="7">
        <v>0.64443564399999997</v>
      </c>
      <c r="G255" s="7">
        <v>0.83243564400000003</v>
      </c>
      <c r="H255" s="7">
        <v>0.83243564400000003</v>
      </c>
      <c r="I255" s="7">
        <v>1.212574257</v>
      </c>
      <c r="J255" s="7">
        <v>1.210178218</v>
      </c>
      <c r="K255" s="7">
        <v>1.210178218</v>
      </c>
      <c r="L255" s="7">
        <v>1.212574257</v>
      </c>
      <c r="M255" s="7">
        <v>1.212574257</v>
      </c>
      <c r="N255" s="7">
        <v>1.210178218</v>
      </c>
      <c r="O255" s="7">
        <v>1.2193267329999999</v>
      </c>
      <c r="P255" s="7">
        <v>1.2193267329999999</v>
      </c>
      <c r="Q255" s="7">
        <v>1.210178218</v>
      </c>
    </row>
    <row r="256" spans="1:17">
      <c r="A256" s="2">
        <v>2204</v>
      </c>
      <c r="B256" s="7">
        <v>0.64241584200000001</v>
      </c>
      <c r="C256" s="7">
        <v>0.64241584200000001</v>
      </c>
      <c r="D256" s="7">
        <v>0.64241584200000001</v>
      </c>
      <c r="E256" s="7">
        <v>0.64241584200000001</v>
      </c>
      <c r="F256" s="7">
        <v>0.64241584200000001</v>
      </c>
      <c r="G256" s="7">
        <v>0.82641584199999996</v>
      </c>
      <c r="H256" s="7">
        <v>0.82641584199999996</v>
      </c>
      <c r="I256" s="7">
        <v>1.1983663369999999</v>
      </c>
      <c r="J256" s="7">
        <v>1.196079208</v>
      </c>
      <c r="K256" s="7">
        <v>1.196079208</v>
      </c>
      <c r="L256" s="7">
        <v>1.1983663369999999</v>
      </c>
      <c r="M256" s="7">
        <v>1.1983663369999999</v>
      </c>
      <c r="N256" s="7">
        <v>1.196079208</v>
      </c>
      <c r="O256" s="7">
        <v>1.2048118809999999</v>
      </c>
      <c r="P256" s="7">
        <v>1.2048118809999999</v>
      </c>
      <c r="Q256" s="7">
        <v>1.196079208</v>
      </c>
    </row>
    <row r="257" spans="1:17">
      <c r="A257" s="2">
        <v>2205</v>
      </c>
      <c r="B257" s="7">
        <v>0.64039604000000006</v>
      </c>
      <c r="C257" s="7">
        <v>0.64039604000000006</v>
      </c>
      <c r="D257" s="7">
        <v>0.64039604000000006</v>
      </c>
      <c r="E257" s="7">
        <v>0.64039604000000006</v>
      </c>
      <c r="F257" s="7">
        <v>0.64039604000000006</v>
      </c>
      <c r="G257" s="7">
        <v>0.82039603999999999</v>
      </c>
      <c r="H257" s="7">
        <v>0.82039603999999999</v>
      </c>
      <c r="I257" s="7">
        <v>1.184158416</v>
      </c>
      <c r="J257" s="7">
        <v>1.181980198</v>
      </c>
      <c r="K257" s="7">
        <v>1.181980198</v>
      </c>
      <c r="L257" s="7">
        <v>1.184158416</v>
      </c>
      <c r="M257" s="7">
        <v>1.184158416</v>
      </c>
      <c r="N257" s="7">
        <v>1.181980198</v>
      </c>
      <c r="O257" s="7">
        <v>1.19029703</v>
      </c>
      <c r="P257" s="7">
        <v>1.19029703</v>
      </c>
      <c r="Q257" s="7">
        <v>1.181980198</v>
      </c>
    </row>
    <row r="258" spans="1:17">
      <c r="A258" s="2">
        <v>2206</v>
      </c>
      <c r="B258" s="7">
        <v>0.63837623799999998</v>
      </c>
      <c r="C258" s="7">
        <v>0.63837623799999998</v>
      </c>
      <c r="D258" s="7">
        <v>0.63837623799999998</v>
      </c>
      <c r="E258" s="7">
        <v>0.63837623799999998</v>
      </c>
      <c r="F258" s="7">
        <v>0.63837623799999998</v>
      </c>
      <c r="G258" s="7">
        <v>0.81437623800000003</v>
      </c>
      <c r="H258" s="7">
        <v>0.81437623800000003</v>
      </c>
      <c r="I258" s="7">
        <v>1.1699504949999999</v>
      </c>
      <c r="J258" s="7">
        <v>1.167881188</v>
      </c>
      <c r="K258" s="7">
        <v>1.167881188</v>
      </c>
      <c r="L258" s="7">
        <v>1.1699504949999999</v>
      </c>
      <c r="M258" s="7">
        <v>1.1699504949999999</v>
      </c>
      <c r="N258" s="7">
        <v>1.167881188</v>
      </c>
      <c r="O258" s="7">
        <v>1.175782178</v>
      </c>
      <c r="P258" s="7">
        <v>1.175782178</v>
      </c>
      <c r="Q258" s="7">
        <v>1.167881188</v>
      </c>
    </row>
    <row r="259" spans="1:17">
      <c r="A259" s="2">
        <v>2207</v>
      </c>
      <c r="B259" s="7">
        <v>0.63635643600000003</v>
      </c>
      <c r="C259" s="7">
        <v>0.63635643600000003</v>
      </c>
      <c r="D259" s="7">
        <v>0.63635643600000003</v>
      </c>
      <c r="E259" s="7">
        <v>0.63635643600000003</v>
      </c>
      <c r="F259" s="7">
        <v>0.63635643600000003</v>
      </c>
      <c r="G259" s="7">
        <v>0.80835643599999996</v>
      </c>
      <c r="H259" s="7">
        <v>0.80835643599999996</v>
      </c>
      <c r="I259" s="7">
        <v>1.155742574</v>
      </c>
      <c r="J259" s="7">
        <v>1.1537821779999999</v>
      </c>
      <c r="K259" s="7">
        <v>1.1537821779999999</v>
      </c>
      <c r="L259" s="7">
        <v>1.155742574</v>
      </c>
      <c r="M259" s="7">
        <v>1.155742574</v>
      </c>
      <c r="N259" s="7">
        <v>1.1537821779999999</v>
      </c>
      <c r="O259" s="7">
        <v>1.161267327</v>
      </c>
      <c r="P259" s="7">
        <v>1.161267327</v>
      </c>
      <c r="Q259" s="7">
        <v>1.1537821779999999</v>
      </c>
    </row>
    <row r="260" spans="1:17">
      <c r="A260" s="2">
        <v>2208</v>
      </c>
      <c r="B260" s="7">
        <v>0.63433663399999995</v>
      </c>
      <c r="C260" s="7">
        <v>0.63433663399999995</v>
      </c>
      <c r="D260" s="7">
        <v>0.63433663399999995</v>
      </c>
      <c r="E260" s="7">
        <v>0.63433663399999995</v>
      </c>
      <c r="F260" s="7">
        <v>0.63433663399999995</v>
      </c>
      <c r="G260" s="7">
        <v>0.80233663399999999</v>
      </c>
      <c r="H260" s="7">
        <v>0.80233663399999999</v>
      </c>
      <c r="I260" s="7">
        <v>1.1415346529999999</v>
      </c>
      <c r="J260" s="7">
        <v>1.1396831679999999</v>
      </c>
      <c r="K260" s="7">
        <v>1.1396831679999999</v>
      </c>
      <c r="L260" s="7">
        <v>1.1415346529999999</v>
      </c>
      <c r="M260" s="7">
        <v>1.1415346529999999</v>
      </c>
      <c r="N260" s="7">
        <v>1.1396831679999999</v>
      </c>
      <c r="O260" s="7">
        <v>1.146752475</v>
      </c>
      <c r="P260" s="7">
        <v>1.146752475</v>
      </c>
      <c r="Q260" s="7">
        <v>1.1396831679999999</v>
      </c>
    </row>
    <row r="261" spans="1:17">
      <c r="A261" s="2">
        <v>2209</v>
      </c>
      <c r="B261" s="7">
        <v>0.632316832</v>
      </c>
      <c r="C261" s="7">
        <v>0.632316832</v>
      </c>
      <c r="D261" s="7">
        <v>0.632316832</v>
      </c>
      <c r="E261" s="7">
        <v>0.632316832</v>
      </c>
      <c r="F261" s="7">
        <v>0.632316832</v>
      </c>
      <c r="G261" s="7">
        <v>0.79631683200000003</v>
      </c>
      <c r="H261" s="7">
        <v>0.79631683200000003</v>
      </c>
      <c r="I261" s="7">
        <v>1.1273267330000001</v>
      </c>
      <c r="J261" s="7">
        <v>1.1255841579999999</v>
      </c>
      <c r="K261" s="7">
        <v>1.1255841579999999</v>
      </c>
      <c r="L261" s="7">
        <v>1.1273267330000001</v>
      </c>
      <c r="M261" s="7">
        <v>1.1273267330000001</v>
      </c>
      <c r="N261" s="7">
        <v>1.1255841579999999</v>
      </c>
      <c r="O261" s="7">
        <v>1.1322376240000001</v>
      </c>
      <c r="P261" s="7">
        <v>1.1322376240000001</v>
      </c>
      <c r="Q261" s="7">
        <v>1.1255841579999999</v>
      </c>
    </row>
    <row r="262" spans="1:17">
      <c r="A262" s="2">
        <v>2210</v>
      </c>
      <c r="B262" s="7">
        <v>0.63029703000000004</v>
      </c>
      <c r="C262" s="7">
        <v>0.63029703000000004</v>
      </c>
      <c r="D262" s="7">
        <v>0.63029703000000004</v>
      </c>
      <c r="E262" s="7">
        <v>0.63029703000000004</v>
      </c>
      <c r="F262" s="7">
        <v>0.63029703000000004</v>
      </c>
      <c r="G262" s="7">
        <v>0.79029702999999996</v>
      </c>
      <c r="H262" s="7">
        <v>0.79029702999999996</v>
      </c>
      <c r="I262" s="7">
        <v>1.113118812</v>
      </c>
      <c r="J262" s="7">
        <v>1.111485149</v>
      </c>
      <c r="K262" s="7">
        <v>1.111485149</v>
      </c>
      <c r="L262" s="7">
        <v>1.113118812</v>
      </c>
      <c r="M262" s="7">
        <v>1.113118812</v>
      </c>
      <c r="N262" s="7">
        <v>1.111485149</v>
      </c>
      <c r="O262" s="7">
        <v>1.117722772</v>
      </c>
      <c r="P262" s="7">
        <v>1.117722772</v>
      </c>
      <c r="Q262" s="7">
        <v>1.111485149</v>
      </c>
    </row>
    <row r="263" spans="1:17">
      <c r="A263" s="2">
        <v>2211</v>
      </c>
      <c r="B263" s="7">
        <v>0.62827722799999997</v>
      </c>
      <c r="C263" s="7">
        <v>0.62827722799999997</v>
      </c>
      <c r="D263" s="7">
        <v>0.62827722799999997</v>
      </c>
      <c r="E263" s="7">
        <v>0.62827722799999997</v>
      </c>
      <c r="F263" s="7">
        <v>0.62827722799999997</v>
      </c>
      <c r="G263" s="7">
        <v>0.78427722799999999</v>
      </c>
      <c r="H263" s="7">
        <v>0.78427722799999999</v>
      </c>
      <c r="I263" s="7">
        <v>1.0989108910000001</v>
      </c>
      <c r="J263" s="7">
        <v>1.0973861389999999</v>
      </c>
      <c r="K263" s="7">
        <v>1.0973861389999999</v>
      </c>
      <c r="L263" s="7">
        <v>1.0989108910000001</v>
      </c>
      <c r="M263" s="7">
        <v>1.0989108910000001</v>
      </c>
      <c r="N263" s="7">
        <v>1.0973861389999999</v>
      </c>
      <c r="O263" s="7">
        <v>1.1032079210000001</v>
      </c>
      <c r="P263" s="7">
        <v>1.1032079210000001</v>
      </c>
      <c r="Q263" s="7">
        <v>1.0973861389999999</v>
      </c>
    </row>
    <row r="264" spans="1:17">
      <c r="A264" s="2">
        <v>2212</v>
      </c>
      <c r="B264" s="7">
        <v>0.62625742600000001</v>
      </c>
      <c r="C264" s="7">
        <v>0.62625742600000001</v>
      </c>
      <c r="D264" s="7">
        <v>0.62625742600000001</v>
      </c>
      <c r="E264" s="7">
        <v>0.62625742600000001</v>
      </c>
      <c r="F264" s="7">
        <v>0.62625742600000001</v>
      </c>
      <c r="G264" s="7">
        <v>0.77825742600000003</v>
      </c>
      <c r="H264" s="7">
        <v>0.77825742600000003</v>
      </c>
      <c r="I264" s="7">
        <v>1.0847029699999999</v>
      </c>
      <c r="J264" s="7">
        <v>1.0832871289999999</v>
      </c>
      <c r="K264" s="7">
        <v>1.0832871289999999</v>
      </c>
      <c r="L264" s="7">
        <v>1.0847029699999999</v>
      </c>
      <c r="M264" s="7">
        <v>1.0847029699999999</v>
      </c>
      <c r="N264" s="7">
        <v>1.0832871289999999</v>
      </c>
      <c r="O264" s="7">
        <v>1.0886930690000001</v>
      </c>
      <c r="P264" s="7">
        <v>1.0886930690000001</v>
      </c>
      <c r="Q264" s="7">
        <v>1.0832871289999999</v>
      </c>
    </row>
    <row r="265" spans="1:17">
      <c r="A265" s="2">
        <v>2213</v>
      </c>
      <c r="B265" s="7">
        <v>0.62423762400000005</v>
      </c>
      <c r="C265" s="7">
        <v>0.62423762400000005</v>
      </c>
      <c r="D265" s="7">
        <v>0.62423762400000005</v>
      </c>
      <c r="E265" s="7">
        <v>0.62423762400000005</v>
      </c>
      <c r="F265" s="7">
        <v>0.62423762400000005</v>
      </c>
      <c r="G265" s="7">
        <v>0.77223762399999996</v>
      </c>
      <c r="H265" s="7">
        <v>0.77223762399999996</v>
      </c>
      <c r="I265" s="7">
        <v>1.0704950499999999</v>
      </c>
      <c r="J265" s="7">
        <v>1.0691881190000001</v>
      </c>
      <c r="K265" s="7">
        <v>1.0691881190000001</v>
      </c>
      <c r="L265" s="7">
        <v>1.0704950499999999</v>
      </c>
      <c r="M265" s="7">
        <v>1.0704950499999999</v>
      </c>
      <c r="N265" s="7">
        <v>1.0691881190000001</v>
      </c>
      <c r="O265" s="7">
        <v>1.0741782179999999</v>
      </c>
      <c r="P265" s="7">
        <v>1.0741782179999999</v>
      </c>
      <c r="Q265" s="7">
        <v>1.0691881190000001</v>
      </c>
    </row>
    <row r="266" spans="1:17">
      <c r="A266" s="2">
        <v>2214</v>
      </c>
      <c r="B266" s="7">
        <v>0.62221782199999998</v>
      </c>
      <c r="C266" s="7">
        <v>0.62221782199999998</v>
      </c>
      <c r="D266" s="7">
        <v>0.62221782199999998</v>
      </c>
      <c r="E266" s="7">
        <v>0.62221782199999998</v>
      </c>
      <c r="F266" s="7">
        <v>0.62221782199999998</v>
      </c>
      <c r="G266" s="7">
        <v>0.76621782199999999</v>
      </c>
      <c r="H266" s="7">
        <v>0.76621782199999999</v>
      </c>
      <c r="I266" s="7">
        <v>1.056287129</v>
      </c>
      <c r="J266" s="7">
        <v>1.0550891090000001</v>
      </c>
      <c r="K266" s="7">
        <v>1.0550891090000001</v>
      </c>
      <c r="L266" s="7">
        <v>1.056287129</v>
      </c>
      <c r="M266" s="7">
        <v>1.056287129</v>
      </c>
      <c r="N266" s="7">
        <v>1.0550891090000001</v>
      </c>
      <c r="O266" s="7">
        <v>1.0596633660000001</v>
      </c>
      <c r="P266" s="7">
        <v>1.0596633660000001</v>
      </c>
      <c r="Q266" s="7">
        <v>1.0550891090000001</v>
      </c>
    </row>
    <row r="267" spans="1:17">
      <c r="A267" s="2">
        <v>2215</v>
      </c>
      <c r="B267" s="7">
        <v>0.62019802000000002</v>
      </c>
      <c r="C267" s="7">
        <v>0.62019802000000002</v>
      </c>
      <c r="D267" s="7">
        <v>0.62019802000000002</v>
      </c>
      <c r="E267" s="7">
        <v>0.62019802000000002</v>
      </c>
      <c r="F267" s="7">
        <v>0.62019802000000002</v>
      </c>
      <c r="G267" s="7">
        <v>0.76019802000000003</v>
      </c>
      <c r="H267" s="7">
        <v>0.76019802000000003</v>
      </c>
      <c r="I267" s="7">
        <v>1.0420792080000001</v>
      </c>
      <c r="J267" s="7">
        <v>1.0409900990000001</v>
      </c>
      <c r="K267" s="7">
        <v>1.0409900990000001</v>
      </c>
      <c r="L267" s="7">
        <v>1.0420792080000001</v>
      </c>
      <c r="M267" s="7">
        <v>1.0420792080000001</v>
      </c>
      <c r="N267" s="7">
        <v>1.0409900990000001</v>
      </c>
      <c r="O267" s="7">
        <v>1.0451485149999999</v>
      </c>
      <c r="P267" s="7">
        <v>1.0451485149999999</v>
      </c>
      <c r="Q267" s="7">
        <v>1.0409900990000001</v>
      </c>
    </row>
    <row r="268" spans="1:17">
      <c r="A268" s="2">
        <v>2216</v>
      </c>
      <c r="B268" s="7">
        <v>0.61817821799999995</v>
      </c>
      <c r="C268" s="7">
        <v>0.61817821799999995</v>
      </c>
      <c r="D268" s="7">
        <v>0.61817821799999995</v>
      </c>
      <c r="E268" s="7">
        <v>0.61817821799999995</v>
      </c>
      <c r="F268" s="7">
        <v>0.61817821799999995</v>
      </c>
      <c r="G268" s="7">
        <v>0.75417821799999996</v>
      </c>
      <c r="H268" s="7">
        <v>0.75417821799999996</v>
      </c>
      <c r="I268" s="7">
        <v>1.027871287</v>
      </c>
      <c r="J268" s="7">
        <v>1.026891089</v>
      </c>
      <c r="K268" s="7">
        <v>1.026891089</v>
      </c>
      <c r="L268" s="7">
        <v>1.027871287</v>
      </c>
      <c r="M268" s="7">
        <v>1.027871287</v>
      </c>
      <c r="N268" s="7">
        <v>1.026891089</v>
      </c>
      <c r="O268" s="7">
        <v>1.0306336629999999</v>
      </c>
      <c r="P268" s="7">
        <v>1.0306336629999999</v>
      </c>
      <c r="Q268" s="7">
        <v>1.026891089</v>
      </c>
    </row>
    <row r="269" spans="1:17">
      <c r="A269" s="2">
        <v>2217</v>
      </c>
      <c r="B269" s="7">
        <v>0.61615841599999999</v>
      </c>
      <c r="C269" s="7">
        <v>0.61615841599999999</v>
      </c>
      <c r="D269" s="7">
        <v>0.61615841599999999</v>
      </c>
      <c r="E269" s="7">
        <v>0.61615841599999999</v>
      </c>
      <c r="F269" s="7">
        <v>0.61615841599999999</v>
      </c>
      <c r="G269" s="7">
        <v>0.74815841599999999</v>
      </c>
      <c r="H269" s="7">
        <v>0.74815841599999999</v>
      </c>
      <c r="I269" s="7">
        <v>1.0136633660000001</v>
      </c>
      <c r="J269" s="7">
        <v>1.012792079</v>
      </c>
      <c r="K269" s="7">
        <v>1.012792079</v>
      </c>
      <c r="L269" s="7">
        <v>1.0136633660000001</v>
      </c>
      <c r="M269" s="7">
        <v>1.0136633660000001</v>
      </c>
      <c r="N269" s="7">
        <v>1.012792079</v>
      </c>
      <c r="O269" s="7">
        <v>1.016118812</v>
      </c>
      <c r="P269" s="7">
        <v>1.016118812</v>
      </c>
      <c r="Q269" s="7">
        <v>1.012792079</v>
      </c>
    </row>
    <row r="270" spans="1:17">
      <c r="A270" s="2">
        <v>2218</v>
      </c>
      <c r="B270" s="7">
        <v>0.61413861400000003</v>
      </c>
      <c r="C270" s="7">
        <v>0.61413861400000003</v>
      </c>
      <c r="D270" s="7">
        <v>0.61413861400000003</v>
      </c>
      <c r="E270" s="7">
        <v>0.61413861400000003</v>
      </c>
      <c r="F270" s="7">
        <v>0.61413861400000003</v>
      </c>
      <c r="G270" s="7">
        <v>0.74213861400000003</v>
      </c>
      <c r="H270" s="7">
        <v>0.74213861400000003</v>
      </c>
      <c r="I270" s="7">
        <v>0.99945544600000003</v>
      </c>
      <c r="J270" s="7">
        <v>0.99869306899999999</v>
      </c>
      <c r="K270" s="7">
        <v>0.99869306899999999</v>
      </c>
      <c r="L270" s="7">
        <v>0.99945544600000003</v>
      </c>
      <c r="M270" s="7">
        <v>0.99945544600000003</v>
      </c>
      <c r="N270" s="7">
        <v>0.99869306899999999</v>
      </c>
      <c r="O270" s="7">
        <v>1.00160396</v>
      </c>
      <c r="P270" s="7">
        <v>1.00160396</v>
      </c>
      <c r="Q270" s="7">
        <v>0.99869306899999999</v>
      </c>
    </row>
    <row r="271" spans="1:17">
      <c r="A271" s="2">
        <v>2219</v>
      </c>
      <c r="B271" s="7">
        <v>0.61211881199999996</v>
      </c>
      <c r="C271" s="7">
        <v>0.61211881199999996</v>
      </c>
      <c r="D271" s="7">
        <v>0.61211881199999996</v>
      </c>
      <c r="E271" s="7">
        <v>0.61211881199999996</v>
      </c>
      <c r="F271" s="7">
        <v>0.61211881199999996</v>
      </c>
      <c r="G271" s="7">
        <v>0.73611881199999996</v>
      </c>
      <c r="H271" s="7">
        <v>0.73611881199999996</v>
      </c>
      <c r="I271" s="7">
        <v>0.98524752500000001</v>
      </c>
      <c r="J271" s="7">
        <v>0.98459405899999997</v>
      </c>
      <c r="K271" s="7">
        <v>0.98459405899999997</v>
      </c>
      <c r="L271" s="7">
        <v>0.98524752500000001</v>
      </c>
      <c r="M271" s="7">
        <v>0.98524752500000001</v>
      </c>
      <c r="N271" s="7">
        <v>0.98459405899999997</v>
      </c>
      <c r="O271" s="7">
        <v>0.98708910900000002</v>
      </c>
      <c r="P271" s="7">
        <v>0.98708910900000002</v>
      </c>
      <c r="Q271" s="7">
        <v>0.98459405899999997</v>
      </c>
    </row>
    <row r="272" spans="1:17">
      <c r="A272" s="2">
        <v>2220</v>
      </c>
      <c r="B272" s="7">
        <v>0.61009901</v>
      </c>
      <c r="C272" s="7">
        <v>0.61009901</v>
      </c>
      <c r="D272" s="7">
        <v>0.61009901</v>
      </c>
      <c r="E272" s="7">
        <v>0.61009901</v>
      </c>
      <c r="F272" s="7">
        <v>0.61009901</v>
      </c>
      <c r="G272" s="7">
        <v>0.73009900999999999</v>
      </c>
      <c r="H272" s="7">
        <v>0.73009900999999999</v>
      </c>
      <c r="I272" s="7">
        <v>0.971039604</v>
      </c>
      <c r="J272" s="7">
        <v>0.97049505000000003</v>
      </c>
      <c r="K272" s="7">
        <v>0.97049505000000003</v>
      </c>
      <c r="L272" s="7">
        <v>0.971039604</v>
      </c>
      <c r="M272" s="7">
        <v>0.971039604</v>
      </c>
      <c r="N272" s="7">
        <v>0.97049505000000003</v>
      </c>
      <c r="O272" s="7">
        <v>0.972574257</v>
      </c>
      <c r="P272" s="7">
        <v>0.972574257</v>
      </c>
      <c r="Q272" s="7">
        <v>0.97049505000000003</v>
      </c>
    </row>
    <row r="273" spans="1:17">
      <c r="A273" s="2">
        <v>2221</v>
      </c>
      <c r="B273" s="7">
        <v>0.60807920800000004</v>
      </c>
      <c r="C273" s="7">
        <v>0.60807920800000004</v>
      </c>
      <c r="D273" s="7">
        <v>0.60807920800000004</v>
      </c>
      <c r="E273" s="7">
        <v>0.60807920800000004</v>
      </c>
      <c r="F273" s="7">
        <v>0.60807920800000004</v>
      </c>
      <c r="G273" s="7">
        <v>0.72407920800000003</v>
      </c>
      <c r="H273" s="7">
        <v>0.72407920800000003</v>
      </c>
      <c r="I273" s="7">
        <v>0.95683168299999999</v>
      </c>
      <c r="J273" s="7">
        <v>0.95639604</v>
      </c>
      <c r="K273" s="7">
        <v>0.95639604</v>
      </c>
      <c r="L273" s="7">
        <v>0.95683168299999999</v>
      </c>
      <c r="M273" s="7">
        <v>0.95683168299999999</v>
      </c>
      <c r="N273" s="7">
        <v>0.95639604</v>
      </c>
      <c r="O273" s="7">
        <v>0.95805940599999995</v>
      </c>
      <c r="P273" s="7">
        <v>0.95805940599999995</v>
      </c>
      <c r="Q273" s="7">
        <v>0.95639604</v>
      </c>
    </row>
    <row r="274" spans="1:17">
      <c r="A274" s="2">
        <v>2222</v>
      </c>
      <c r="B274" s="7">
        <v>0.60605940599999997</v>
      </c>
      <c r="C274" s="7">
        <v>0.60605940599999997</v>
      </c>
      <c r="D274" s="7">
        <v>0.60605940599999997</v>
      </c>
      <c r="E274" s="7">
        <v>0.60605940599999997</v>
      </c>
      <c r="F274" s="7">
        <v>0.60605940599999997</v>
      </c>
      <c r="G274" s="7">
        <v>0.71805940599999996</v>
      </c>
      <c r="H274" s="7">
        <v>0.71805940599999996</v>
      </c>
      <c r="I274" s="7">
        <v>0.94262376199999998</v>
      </c>
      <c r="J274" s="7">
        <v>0.94229702999999998</v>
      </c>
      <c r="K274" s="7">
        <v>0.94229702999999998</v>
      </c>
      <c r="L274" s="7">
        <v>0.94262376199999998</v>
      </c>
      <c r="M274" s="7">
        <v>0.94262376199999998</v>
      </c>
      <c r="N274" s="7">
        <v>0.94229702999999998</v>
      </c>
      <c r="O274" s="7">
        <v>0.94354455400000004</v>
      </c>
      <c r="P274" s="7">
        <v>0.94354455400000004</v>
      </c>
      <c r="Q274" s="7">
        <v>0.94229702999999998</v>
      </c>
    </row>
    <row r="275" spans="1:17">
      <c r="A275" s="2">
        <v>2223</v>
      </c>
      <c r="B275" s="7">
        <v>0.60403960400000001</v>
      </c>
      <c r="C275" s="7">
        <v>0.60403960400000001</v>
      </c>
      <c r="D275" s="7">
        <v>0.60403960400000001</v>
      </c>
      <c r="E275" s="7">
        <v>0.60403960400000001</v>
      </c>
      <c r="F275" s="7">
        <v>0.60403960400000001</v>
      </c>
      <c r="G275" s="7">
        <v>0.71203960399999999</v>
      </c>
      <c r="H275" s="7">
        <v>0.71203960399999999</v>
      </c>
      <c r="I275" s="7">
        <v>0.92841584200000005</v>
      </c>
      <c r="J275" s="7">
        <v>0.92819801999999996</v>
      </c>
      <c r="K275" s="7">
        <v>0.92819801999999996</v>
      </c>
      <c r="L275" s="7">
        <v>0.92841584200000005</v>
      </c>
      <c r="M275" s="7">
        <v>0.92841584200000005</v>
      </c>
      <c r="N275" s="7">
        <v>0.92819801999999996</v>
      </c>
      <c r="O275" s="7">
        <v>0.92902970299999998</v>
      </c>
      <c r="P275" s="7">
        <v>0.92902970299999998</v>
      </c>
      <c r="Q275" s="7">
        <v>0.92819801999999996</v>
      </c>
    </row>
    <row r="276" spans="1:17">
      <c r="A276" s="2">
        <v>2224</v>
      </c>
      <c r="B276" s="7">
        <v>0.60201980200000005</v>
      </c>
      <c r="C276" s="7">
        <v>0.60201980200000005</v>
      </c>
      <c r="D276" s="7">
        <v>0.60201980200000005</v>
      </c>
      <c r="E276" s="7">
        <v>0.60201980200000005</v>
      </c>
      <c r="F276" s="7">
        <v>0.60201980200000005</v>
      </c>
      <c r="G276" s="7">
        <v>0.70601980200000003</v>
      </c>
      <c r="H276" s="7">
        <v>0.70601980200000003</v>
      </c>
      <c r="I276" s="7">
        <v>0.91420792100000003</v>
      </c>
      <c r="J276" s="7">
        <v>0.91409901000000005</v>
      </c>
      <c r="K276" s="7">
        <v>0.91409901000000005</v>
      </c>
      <c r="L276" s="7">
        <v>0.91420792100000003</v>
      </c>
      <c r="M276" s="7">
        <v>0.91420792100000003</v>
      </c>
      <c r="N276" s="7">
        <v>0.91409901000000005</v>
      </c>
      <c r="O276" s="7">
        <v>0.91451485099999996</v>
      </c>
      <c r="P276" s="7">
        <v>0.91451485099999996</v>
      </c>
      <c r="Q276" s="7">
        <v>0.91409901000000005</v>
      </c>
    </row>
    <row r="277" spans="1:17">
      <c r="A277" s="2">
        <v>2225</v>
      </c>
      <c r="B277" s="7">
        <v>0.6</v>
      </c>
      <c r="C277" s="7">
        <v>0.6</v>
      </c>
      <c r="D277" s="7">
        <v>0.6</v>
      </c>
      <c r="E277" s="7">
        <v>0.6</v>
      </c>
      <c r="F277" s="7">
        <v>0.6</v>
      </c>
      <c r="G277" s="7">
        <v>0.7</v>
      </c>
      <c r="H277" s="7">
        <v>0.7</v>
      </c>
      <c r="I277" s="7">
        <v>0.9</v>
      </c>
      <c r="J277" s="7">
        <v>0.9</v>
      </c>
      <c r="K277" s="7">
        <v>0.9</v>
      </c>
      <c r="L277" s="7">
        <v>0.9</v>
      </c>
      <c r="M277" s="7">
        <v>0.9</v>
      </c>
      <c r="N277" s="7">
        <v>0.9</v>
      </c>
      <c r="O277" s="7">
        <v>0.9</v>
      </c>
      <c r="P277" s="7">
        <v>0.9</v>
      </c>
      <c r="Q277" s="7">
        <v>0.9</v>
      </c>
    </row>
    <row r="278" spans="1:17">
      <c r="A278" s="2">
        <v>2226</v>
      </c>
      <c r="B278" s="7">
        <v>0.6</v>
      </c>
      <c r="C278" s="7">
        <v>0.6</v>
      </c>
      <c r="D278" s="7">
        <v>0.6</v>
      </c>
      <c r="E278" s="7">
        <v>0.6</v>
      </c>
      <c r="F278" s="7">
        <v>0.6</v>
      </c>
      <c r="G278" s="7">
        <v>0.69599999999999995</v>
      </c>
      <c r="H278" s="7">
        <v>0.69599999999999995</v>
      </c>
      <c r="I278" s="7">
        <v>0.89600000000000002</v>
      </c>
      <c r="J278" s="7">
        <v>0.89600000000000002</v>
      </c>
      <c r="K278" s="7">
        <v>0.89600000000000002</v>
      </c>
      <c r="L278" s="7">
        <v>0.89600000000000002</v>
      </c>
      <c r="M278" s="7">
        <v>0.89600000000000002</v>
      </c>
      <c r="N278" s="7">
        <v>0.89600000000000002</v>
      </c>
      <c r="O278" s="7">
        <v>0.89600000000000002</v>
      </c>
      <c r="P278" s="7">
        <v>0.89600000000000002</v>
      </c>
      <c r="Q278" s="7">
        <v>0.89600000000000002</v>
      </c>
    </row>
    <row r="279" spans="1:17">
      <c r="A279" s="2">
        <v>2227</v>
      </c>
      <c r="B279" s="7">
        <v>0.6</v>
      </c>
      <c r="C279" s="7">
        <v>0.6</v>
      </c>
      <c r="D279" s="7">
        <v>0.6</v>
      </c>
      <c r="E279" s="7">
        <v>0.6</v>
      </c>
      <c r="F279" s="7">
        <v>0.6</v>
      </c>
      <c r="G279" s="7">
        <v>0.69199999999999995</v>
      </c>
      <c r="H279" s="7">
        <v>0.69199999999999995</v>
      </c>
      <c r="I279" s="7">
        <v>0.89200000000000002</v>
      </c>
      <c r="J279" s="7">
        <v>0.89200000000000002</v>
      </c>
      <c r="K279" s="7">
        <v>0.89200000000000002</v>
      </c>
      <c r="L279" s="7">
        <v>0.89200000000000002</v>
      </c>
      <c r="M279" s="7">
        <v>0.89200000000000002</v>
      </c>
      <c r="N279" s="7">
        <v>0.89200000000000002</v>
      </c>
      <c r="O279" s="7">
        <v>0.89200000000000002</v>
      </c>
      <c r="P279" s="7">
        <v>0.89200000000000002</v>
      </c>
      <c r="Q279" s="7">
        <v>0.89200000000000002</v>
      </c>
    </row>
    <row r="280" spans="1:17">
      <c r="A280" s="2">
        <v>2228</v>
      </c>
      <c r="B280" s="7">
        <v>0.6</v>
      </c>
      <c r="C280" s="7">
        <v>0.6</v>
      </c>
      <c r="D280" s="7">
        <v>0.6</v>
      </c>
      <c r="E280" s="7">
        <v>0.6</v>
      </c>
      <c r="F280" s="7">
        <v>0.6</v>
      </c>
      <c r="G280" s="7">
        <v>0.68799999999999994</v>
      </c>
      <c r="H280" s="7">
        <v>0.68799999999999994</v>
      </c>
      <c r="I280" s="7">
        <v>0.88800000000000001</v>
      </c>
      <c r="J280" s="7">
        <v>0.88800000000000001</v>
      </c>
      <c r="K280" s="7">
        <v>0.88800000000000001</v>
      </c>
      <c r="L280" s="7">
        <v>0.88800000000000001</v>
      </c>
      <c r="M280" s="7">
        <v>0.88800000000000001</v>
      </c>
      <c r="N280" s="7">
        <v>0.88800000000000001</v>
      </c>
      <c r="O280" s="7">
        <v>0.88800000000000001</v>
      </c>
      <c r="P280" s="7">
        <v>0.88800000000000001</v>
      </c>
      <c r="Q280" s="7">
        <v>0.88800000000000001</v>
      </c>
    </row>
    <row r="281" spans="1:17">
      <c r="A281" s="2">
        <v>2229</v>
      </c>
      <c r="B281" s="7">
        <v>0.6</v>
      </c>
      <c r="C281" s="7">
        <v>0.6</v>
      </c>
      <c r="D281" s="7">
        <v>0.6</v>
      </c>
      <c r="E281" s="7">
        <v>0.6</v>
      </c>
      <c r="F281" s="7">
        <v>0.6</v>
      </c>
      <c r="G281" s="7">
        <v>0.68400000000000005</v>
      </c>
      <c r="H281" s="7">
        <v>0.68400000000000005</v>
      </c>
      <c r="I281" s="7">
        <v>0.88400000000000001</v>
      </c>
      <c r="J281" s="7">
        <v>0.88400000000000001</v>
      </c>
      <c r="K281" s="7">
        <v>0.88400000000000001</v>
      </c>
      <c r="L281" s="7">
        <v>0.88400000000000001</v>
      </c>
      <c r="M281" s="7">
        <v>0.88400000000000001</v>
      </c>
      <c r="N281" s="7">
        <v>0.88400000000000001</v>
      </c>
      <c r="O281" s="7">
        <v>0.88400000000000001</v>
      </c>
      <c r="P281" s="7">
        <v>0.88400000000000001</v>
      </c>
      <c r="Q281" s="7">
        <v>0.88400000000000001</v>
      </c>
    </row>
    <row r="282" spans="1:17">
      <c r="A282" s="2">
        <v>2230</v>
      </c>
      <c r="B282" s="7">
        <v>0.6</v>
      </c>
      <c r="C282" s="7">
        <v>0.6</v>
      </c>
      <c r="D282" s="7">
        <v>0.6</v>
      </c>
      <c r="E282" s="7">
        <v>0.6</v>
      </c>
      <c r="F282" s="7">
        <v>0.6</v>
      </c>
      <c r="G282" s="7">
        <v>0.68</v>
      </c>
      <c r="H282" s="7">
        <v>0.68</v>
      </c>
      <c r="I282" s="7">
        <v>0.88</v>
      </c>
      <c r="J282" s="7">
        <v>0.88</v>
      </c>
      <c r="K282" s="7">
        <v>0.88</v>
      </c>
      <c r="L282" s="7">
        <v>0.88</v>
      </c>
      <c r="M282" s="7">
        <v>0.88</v>
      </c>
      <c r="N282" s="7">
        <v>0.88</v>
      </c>
      <c r="O282" s="7">
        <v>0.88</v>
      </c>
      <c r="P282" s="7">
        <v>0.88</v>
      </c>
      <c r="Q282" s="7">
        <v>0.88</v>
      </c>
    </row>
    <row r="283" spans="1:17">
      <c r="A283" s="2">
        <v>2231</v>
      </c>
      <c r="B283" s="7">
        <v>0.6</v>
      </c>
      <c r="C283" s="7">
        <v>0.6</v>
      </c>
      <c r="D283" s="7">
        <v>0.6</v>
      </c>
      <c r="E283" s="7">
        <v>0.6</v>
      </c>
      <c r="F283" s="7">
        <v>0.6</v>
      </c>
      <c r="G283" s="7">
        <v>0.67600000000000005</v>
      </c>
      <c r="H283" s="7">
        <v>0.67600000000000005</v>
      </c>
      <c r="I283" s="7">
        <v>0.876</v>
      </c>
      <c r="J283" s="7">
        <v>0.876</v>
      </c>
      <c r="K283" s="7">
        <v>0.876</v>
      </c>
      <c r="L283" s="7">
        <v>0.876</v>
      </c>
      <c r="M283" s="7">
        <v>0.876</v>
      </c>
      <c r="N283" s="7">
        <v>0.876</v>
      </c>
      <c r="O283" s="7">
        <v>0.876</v>
      </c>
      <c r="P283" s="7">
        <v>0.876</v>
      </c>
      <c r="Q283" s="7">
        <v>0.876</v>
      </c>
    </row>
    <row r="284" spans="1:17">
      <c r="A284" s="2">
        <v>2232</v>
      </c>
      <c r="B284" s="7">
        <v>0.6</v>
      </c>
      <c r="C284" s="7">
        <v>0.6</v>
      </c>
      <c r="D284" s="7">
        <v>0.6</v>
      </c>
      <c r="E284" s="7">
        <v>0.6</v>
      </c>
      <c r="F284" s="7">
        <v>0.6</v>
      </c>
      <c r="G284" s="7">
        <v>0.67200000000000004</v>
      </c>
      <c r="H284" s="7">
        <v>0.67200000000000004</v>
      </c>
      <c r="I284" s="7">
        <v>0.872</v>
      </c>
      <c r="J284" s="7">
        <v>0.872</v>
      </c>
      <c r="K284" s="7">
        <v>0.872</v>
      </c>
      <c r="L284" s="7">
        <v>0.872</v>
      </c>
      <c r="M284" s="7">
        <v>0.872</v>
      </c>
      <c r="N284" s="7">
        <v>0.872</v>
      </c>
      <c r="O284" s="7">
        <v>0.872</v>
      </c>
      <c r="P284" s="7">
        <v>0.872</v>
      </c>
      <c r="Q284" s="7">
        <v>0.872</v>
      </c>
    </row>
    <row r="285" spans="1:17">
      <c r="A285" s="2">
        <v>2233</v>
      </c>
      <c r="B285" s="7">
        <v>0.6</v>
      </c>
      <c r="C285" s="7">
        <v>0.6</v>
      </c>
      <c r="D285" s="7">
        <v>0.6</v>
      </c>
      <c r="E285" s="7">
        <v>0.6</v>
      </c>
      <c r="F285" s="7">
        <v>0.6</v>
      </c>
      <c r="G285" s="7">
        <v>0.66800000000000004</v>
      </c>
      <c r="H285" s="7">
        <v>0.66800000000000004</v>
      </c>
      <c r="I285" s="7">
        <v>0.86799999999999999</v>
      </c>
      <c r="J285" s="7">
        <v>0.86799999999999999</v>
      </c>
      <c r="K285" s="7">
        <v>0.86799999999999999</v>
      </c>
      <c r="L285" s="7">
        <v>0.86799999999999999</v>
      </c>
      <c r="M285" s="7">
        <v>0.86799999999999999</v>
      </c>
      <c r="N285" s="7">
        <v>0.86799999999999999</v>
      </c>
      <c r="O285" s="7">
        <v>0.86799999999999999</v>
      </c>
      <c r="P285" s="7">
        <v>0.86799999999999999</v>
      </c>
      <c r="Q285" s="7">
        <v>0.86799999999999999</v>
      </c>
    </row>
    <row r="286" spans="1:17">
      <c r="A286" s="2">
        <v>2234</v>
      </c>
      <c r="B286" s="7">
        <v>0.6</v>
      </c>
      <c r="C286" s="7">
        <v>0.6</v>
      </c>
      <c r="D286" s="7">
        <v>0.6</v>
      </c>
      <c r="E286" s="7">
        <v>0.6</v>
      </c>
      <c r="F286" s="7">
        <v>0.6</v>
      </c>
      <c r="G286" s="7">
        <v>0.66400000000000003</v>
      </c>
      <c r="H286" s="7">
        <v>0.66400000000000003</v>
      </c>
      <c r="I286" s="7">
        <v>0.86399999999999999</v>
      </c>
      <c r="J286" s="7">
        <v>0.86399999999999999</v>
      </c>
      <c r="K286" s="7">
        <v>0.86399999999999999</v>
      </c>
      <c r="L286" s="7">
        <v>0.86399999999999999</v>
      </c>
      <c r="M286" s="7">
        <v>0.86399999999999999</v>
      </c>
      <c r="N286" s="7">
        <v>0.86399999999999999</v>
      </c>
      <c r="O286" s="7">
        <v>0.86399999999999999</v>
      </c>
      <c r="P286" s="7">
        <v>0.86399999999999999</v>
      </c>
      <c r="Q286" s="7">
        <v>0.86399999999999999</v>
      </c>
    </row>
    <row r="287" spans="1:17">
      <c r="A287" s="2">
        <v>2235</v>
      </c>
      <c r="B287" s="7">
        <v>0.6</v>
      </c>
      <c r="C287" s="7">
        <v>0.6</v>
      </c>
      <c r="D287" s="7">
        <v>0.6</v>
      </c>
      <c r="E287" s="7">
        <v>0.6</v>
      </c>
      <c r="F287" s="7">
        <v>0.6</v>
      </c>
      <c r="G287" s="7">
        <v>0.66</v>
      </c>
      <c r="H287" s="7">
        <v>0.66</v>
      </c>
      <c r="I287" s="7">
        <v>0.86</v>
      </c>
      <c r="J287" s="7">
        <v>0.86</v>
      </c>
      <c r="K287" s="7">
        <v>0.86</v>
      </c>
      <c r="L287" s="7">
        <v>0.86</v>
      </c>
      <c r="M287" s="7">
        <v>0.86</v>
      </c>
      <c r="N287" s="7">
        <v>0.86</v>
      </c>
      <c r="O287" s="7">
        <v>0.86</v>
      </c>
      <c r="P287" s="7">
        <v>0.86</v>
      </c>
      <c r="Q287" s="7">
        <v>0.86</v>
      </c>
    </row>
    <row r="288" spans="1:17">
      <c r="A288" s="2">
        <v>2236</v>
      </c>
      <c r="B288" s="7">
        <v>0.6</v>
      </c>
      <c r="C288" s="7">
        <v>0.6</v>
      </c>
      <c r="D288" s="7">
        <v>0.6</v>
      </c>
      <c r="E288" s="7">
        <v>0.6</v>
      </c>
      <c r="F288" s="7">
        <v>0.6</v>
      </c>
      <c r="G288" s="7">
        <v>0.65600000000000003</v>
      </c>
      <c r="H288" s="7">
        <v>0.65600000000000003</v>
      </c>
      <c r="I288" s="7">
        <v>0.85599999999999998</v>
      </c>
      <c r="J288" s="7">
        <v>0.85599999999999998</v>
      </c>
      <c r="K288" s="7">
        <v>0.85599999999999998</v>
      </c>
      <c r="L288" s="7">
        <v>0.85599999999999998</v>
      </c>
      <c r="M288" s="7">
        <v>0.85599999999999998</v>
      </c>
      <c r="N288" s="7">
        <v>0.85599999999999998</v>
      </c>
      <c r="O288" s="7">
        <v>0.85599999999999998</v>
      </c>
      <c r="P288" s="7">
        <v>0.85599999999999998</v>
      </c>
      <c r="Q288" s="7">
        <v>0.85599999999999998</v>
      </c>
    </row>
    <row r="289" spans="1:17">
      <c r="A289" s="2">
        <v>2237</v>
      </c>
      <c r="B289" s="7">
        <v>0.6</v>
      </c>
      <c r="C289" s="7">
        <v>0.6</v>
      </c>
      <c r="D289" s="7">
        <v>0.6</v>
      </c>
      <c r="E289" s="7">
        <v>0.6</v>
      </c>
      <c r="F289" s="7">
        <v>0.6</v>
      </c>
      <c r="G289" s="7">
        <v>0.65200000000000002</v>
      </c>
      <c r="H289" s="7">
        <v>0.65200000000000002</v>
      </c>
      <c r="I289" s="7">
        <v>0.85199999999999998</v>
      </c>
      <c r="J289" s="7">
        <v>0.85199999999999998</v>
      </c>
      <c r="K289" s="7">
        <v>0.85199999999999998</v>
      </c>
      <c r="L289" s="7">
        <v>0.85199999999999998</v>
      </c>
      <c r="M289" s="7">
        <v>0.85199999999999998</v>
      </c>
      <c r="N289" s="7">
        <v>0.85199999999999998</v>
      </c>
      <c r="O289" s="7">
        <v>0.85199999999999998</v>
      </c>
      <c r="P289" s="7">
        <v>0.85199999999999998</v>
      </c>
      <c r="Q289" s="7">
        <v>0.85199999999999998</v>
      </c>
    </row>
    <row r="290" spans="1:17">
      <c r="A290" s="2">
        <v>2238</v>
      </c>
      <c r="B290" s="7">
        <v>0.6</v>
      </c>
      <c r="C290" s="7">
        <v>0.6</v>
      </c>
      <c r="D290" s="7">
        <v>0.6</v>
      </c>
      <c r="E290" s="7">
        <v>0.6</v>
      </c>
      <c r="F290" s="7">
        <v>0.6</v>
      </c>
      <c r="G290" s="7">
        <v>0.64800000000000002</v>
      </c>
      <c r="H290" s="7">
        <v>0.64800000000000002</v>
      </c>
      <c r="I290" s="7">
        <v>0.84799999999999998</v>
      </c>
      <c r="J290" s="7">
        <v>0.84799999999999998</v>
      </c>
      <c r="K290" s="7">
        <v>0.84799999999999998</v>
      </c>
      <c r="L290" s="7">
        <v>0.84799999999999998</v>
      </c>
      <c r="M290" s="7">
        <v>0.84799999999999998</v>
      </c>
      <c r="N290" s="7">
        <v>0.84799999999999998</v>
      </c>
      <c r="O290" s="7">
        <v>0.84799999999999998</v>
      </c>
      <c r="P290" s="7">
        <v>0.84799999999999998</v>
      </c>
      <c r="Q290" s="7">
        <v>0.84799999999999998</v>
      </c>
    </row>
    <row r="291" spans="1:17">
      <c r="A291" s="2">
        <v>2239</v>
      </c>
      <c r="B291" s="7">
        <v>0.6</v>
      </c>
      <c r="C291" s="7">
        <v>0.6</v>
      </c>
      <c r="D291" s="7">
        <v>0.6</v>
      </c>
      <c r="E291" s="7">
        <v>0.6</v>
      </c>
      <c r="F291" s="7">
        <v>0.6</v>
      </c>
      <c r="G291" s="7">
        <v>0.64400000000000002</v>
      </c>
      <c r="H291" s="7">
        <v>0.64400000000000002</v>
      </c>
      <c r="I291" s="7">
        <v>0.84399999999999997</v>
      </c>
      <c r="J291" s="7">
        <v>0.84399999999999997</v>
      </c>
      <c r="K291" s="7">
        <v>0.84399999999999997</v>
      </c>
      <c r="L291" s="7">
        <v>0.84399999999999997</v>
      </c>
      <c r="M291" s="7">
        <v>0.84399999999999997</v>
      </c>
      <c r="N291" s="7">
        <v>0.84399999999999997</v>
      </c>
      <c r="O291" s="7">
        <v>0.84399999999999997</v>
      </c>
      <c r="P291" s="7">
        <v>0.84399999999999997</v>
      </c>
      <c r="Q291" s="7">
        <v>0.84399999999999997</v>
      </c>
    </row>
    <row r="292" spans="1:17">
      <c r="A292" s="2">
        <v>2240</v>
      </c>
      <c r="B292" s="7">
        <v>0.6</v>
      </c>
      <c r="C292" s="7">
        <v>0.6</v>
      </c>
      <c r="D292" s="7">
        <v>0.6</v>
      </c>
      <c r="E292" s="7">
        <v>0.6</v>
      </c>
      <c r="F292" s="7">
        <v>0.6</v>
      </c>
      <c r="G292" s="7">
        <v>0.64</v>
      </c>
      <c r="H292" s="7">
        <v>0.64</v>
      </c>
      <c r="I292" s="7">
        <v>0.84</v>
      </c>
      <c r="J292" s="7">
        <v>0.84</v>
      </c>
      <c r="K292" s="7">
        <v>0.84</v>
      </c>
      <c r="L292" s="7">
        <v>0.84</v>
      </c>
      <c r="M292" s="7">
        <v>0.84</v>
      </c>
      <c r="N292" s="7">
        <v>0.84</v>
      </c>
      <c r="O292" s="7">
        <v>0.84</v>
      </c>
      <c r="P292" s="7">
        <v>0.84</v>
      </c>
      <c r="Q292" s="7">
        <v>0.84</v>
      </c>
    </row>
    <row r="293" spans="1:17">
      <c r="A293" s="2">
        <v>2241</v>
      </c>
      <c r="B293" s="7">
        <v>0.6</v>
      </c>
      <c r="C293" s="7">
        <v>0.6</v>
      </c>
      <c r="D293" s="7">
        <v>0.6</v>
      </c>
      <c r="E293" s="7">
        <v>0.6</v>
      </c>
      <c r="F293" s="7">
        <v>0.6</v>
      </c>
      <c r="G293" s="7">
        <v>0.63600000000000001</v>
      </c>
      <c r="H293" s="7">
        <v>0.63600000000000001</v>
      </c>
      <c r="I293" s="7">
        <v>0.83599999999999997</v>
      </c>
      <c r="J293" s="7">
        <v>0.83599999999999997</v>
      </c>
      <c r="K293" s="7">
        <v>0.83599999999999997</v>
      </c>
      <c r="L293" s="7">
        <v>0.83599999999999997</v>
      </c>
      <c r="M293" s="7">
        <v>0.83599999999999997</v>
      </c>
      <c r="N293" s="7">
        <v>0.83599999999999997</v>
      </c>
      <c r="O293" s="7">
        <v>0.83599999999999997</v>
      </c>
      <c r="P293" s="7">
        <v>0.83599999999999997</v>
      </c>
      <c r="Q293" s="7">
        <v>0.83599999999999997</v>
      </c>
    </row>
    <row r="294" spans="1:17">
      <c r="A294" s="2">
        <v>2242</v>
      </c>
      <c r="B294" s="7">
        <v>0.6</v>
      </c>
      <c r="C294" s="7">
        <v>0.6</v>
      </c>
      <c r="D294" s="7">
        <v>0.6</v>
      </c>
      <c r="E294" s="7">
        <v>0.6</v>
      </c>
      <c r="F294" s="7">
        <v>0.6</v>
      </c>
      <c r="G294" s="7">
        <v>0.63200000000000001</v>
      </c>
      <c r="H294" s="7">
        <v>0.63200000000000001</v>
      </c>
      <c r="I294" s="7">
        <v>0.83199999999999996</v>
      </c>
      <c r="J294" s="7">
        <v>0.83199999999999996</v>
      </c>
      <c r="K294" s="7">
        <v>0.83199999999999996</v>
      </c>
      <c r="L294" s="7">
        <v>0.83199999999999996</v>
      </c>
      <c r="M294" s="7">
        <v>0.83199999999999996</v>
      </c>
      <c r="N294" s="7">
        <v>0.83199999999999996</v>
      </c>
      <c r="O294" s="7">
        <v>0.83199999999999996</v>
      </c>
      <c r="P294" s="7">
        <v>0.83199999999999996</v>
      </c>
      <c r="Q294" s="7">
        <v>0.83199999999999996</v>
      </c>
    </row>
    <row r="295" spans="1:17">
      <c r="A295" s="2">
        <v>2243</v>
      </c>
      <c r="B295" s="7">
        <v>0.6</v>
      </c>
      <c r="C295" s="7">
        <v>0.6</v>
      </c>
      <c r="D295" s="7">
        <v>0.6</v>
      </c>
      <c r="E295" s="7">
        <v>0.6</v>
      </c>
      <c r="F295" s="7">
        <v>0.6</v>
      </c>
      <c r="G295" s="7">
        <v>0.628</v>
      </c>
      <c r="H295" s="7">
        <v>0.628</v>
      </c>
      <c r="I295" s="7">
        <v>0.82799999999999996</v>
      </c>
      <c r="J295" s="7">
        <v>0.82799999999999996</v>
      </c>
      <c r="K295" s="7">
        <v>0.82799999999999996</v>
      </c>
      <c r="L295" s="7">
        <v>0.82799999999999996</v>
      </c>
      <c r="M295" s="7">
        <v>0.82799999999999996</v>
      </c>
      <c r="N295" s="7">
        <v>0.82799999999999996</v>
      </c>
      <c r="O295" s="7">
        <v>0.82799999999999996</v>
      </c>
      <c r="P295" s="7">
        <v>0.82799999999999996</v>
      </c>
      <c r="Q295" s="7">
        <v>0.82799999999999996</v>
      </c>
    </row>
    <row r="296" spans="1:17">
      <c r="A296" s="2">
        <v>2244</v>
      </c>
      <c r="B296" s="7">
        <v>0.6</v>
      </c>
      <c r="C296" s="7">
        <v>0.6</v>
      </c>
      <c r="D296" s="7">
        <v>0.6</v>
      </c>
      <c r="E296" s="7">
        <v>0.6</v>
      </c>
      <c r="F296" s="7">
        <v>0.6</v>
      </c>
      <c r="G296" s="7">
        <v>0.624</v>
      </c>
      <c r="H296" s="7">
        <v>0.624</v>
      </c>
      <c r="I296" s="7">
        <v>0.82399999999999995</v>
      </c>
      <c r="J296" s="7">
        <v>0.82399999999999995</v>
      </c>
      <c r="K296" s="7">
        <v>0.82399999999999995</v>
      </c>
      <c r="L296" s="7">
        <v>0.82399999999999995</v>
      </c>
      <c r="M296" s="7">
        <v>0.82399999999999995</v>
      </c>
      <c r="N296" s="7">
        <v>0.82399999999999995</v>
      </c>
      <c r="O296" s="7">
        <v>0.82399999999999995</v>
      </c>
      <c r="P296" s="7">
        <v>0.82399999999999995</v>
      </c>
      <c r="Q296" s="7">
        <v>0.82399999999999995</v>
      </c>
    </row>
    <row r="297" spans="1:17">
      <c r="A297" s="2">
        <v>2245</v>
      </c>
      <c r="B297" s="7">
        <v>0.6</v>
      </c>
      <c r="C297" s="7">
        <v>0.6</v>
      </c>
      <c r="D297" s="7">
        <v>0.6</v>
      </c>
      <c r="E297" s="7">
        <v>0.6</v>
      </c>
      <c r="F297" s="7">
        <v>0.6</v>
      </c>
      <c r="G297" s="7">
        <v>0.62</v>
      </c>
      <c r="H297" s="7">
        <v>0.62</v>
      </c>
      <c r="I297" s="7">
        <v>0.82</v>
      </c>
      <c r="J297" s="7">
        <v>0.82</v>
      </c>
      <c r="K297" s="7">
        <v>0.82</v>
      </c>
      <c r="L297" s="7">
        <v>0.82</v>
      </c>
      <c r="M297" s="7">
        <v>0.82</v>
      </c>
      <c r="N297" s="7">
        <v>0.82</v>
      </c>
      <c r="O297" s="7">
        <v>0.82</v>
      </c>
      <c r="P297" s="7">
        <v>0.82</v>
      </c>
      <c r="Q297" s="7">
        <v>0.82</v>
      </c>
    </row>
    <row r="298" spans="1:17">
      <c r="A298" s="2">
        <v>2246</v>
      </c>
      <c r="B298" s="7">
        <v>0.6</v>
      </c>
      <c r="C298" s="7">
        <v>0.6</v>
      </c>
      <c r="D298" s="7">
        <v>0.6</v>
      </c>
      <c r="E298" s="7">
        <v>0.6</v>
      </c>
      <c r="F298" s="7">
        <v>0.6</v>
      </c>
      <c r="G298" s="7">
        <v>0.61599999999999999</v>
      </c>
      <c r="H298" s="7">
        <v>0.61599999999999999</v>
      </c>
      <c r="I298" s="7">
        <v>0.81599999999999995</v>
      </c>
      <c r="J298" s="7">
        <v>0.81599999999999995</v>
      </c>
      <c r="K298" s="7">
        <v>0.81599999999999995</v>
      </c>
      <c r="L298" s="7">
        <v>0.81599999999999995</v>
      </c>
      <c r="M298" s="7">
        <v>0.81599999999999995</v>
      </c>
      <c r="N298" s="7">
        <v>0.81599999999999995</v>
      </c>
      <c r="O298" s="7">
        <v>0.81599999999999995</v>
      </c>
      <c r="P298" s="7">
        <v>0.81599999999999995</v>
      </c>
      <c r="Q298" s="7">
        <v>0.81599999999999995</v>
      </c>
    </row>
    <row r="299" spans="1:17">
      <c r="A299" s="2">
        <v>2247</v>
      </c>
      <c r="B299" s="7">
        <v>0.6</v>
      </c>
      <c r="C299" s="7">
        <v>0.6</v>
      </c>
      <c r="D299" s="7">
        <v>0.6</v>
      </c>
      <c r="E299" s="7">
        <v>0.6</v>
      </c>
      <c r="F299" s="7">
        <v>0.6</v>
      </c>
      <c r="G299" s="7">
        <v>0.61199999999999999</v>
      </c>
      <c r="H299" s="7">
        <v>0.61199999999999999</v>
      </c>
      <c r="I299" s="7">
        <v>0.81200000000000006</v>
      </c>
      <c r="J299" s="7">
        <v>0.81200000000000006</v>
      </c>
      <c r="K299" s="7">
        <v>0.81200000000000006</v>
      </c>
      <c r="L299" s="7">
        <v>0.81200000000000006</v>
      </c>
      <c r="M299" s="7">
        <v>0.81200000000000006</v>
      </c>
      <c r="N299" s="7">
        <v>0.81200000000000006</v>
      </c>
      <c r="O299" s="7">
        <v>0.81200000000000006</v>
      </c>
      <c r="P299" s="7">
        <v>0.81200000000000006</v>
      </c>
      <c r="Q299" s="7">
        <v>0.81200000000000006</v>
      </c>
    </row>
    <row r="300" spans="1:17">
      <c r="A300" s="2">
        <v>2248</v>
      </c>
      <c r="B300" s="7">
        <v>0.6</v>
      </c>
      <c r="C300" s="7">
        <v>0.6</v>
      </c>
      <c r="D300" s="7">
        <v>0.6</v>
      </c>
      <c r="E300" s="7">
        <v>0.6</v>
      </c>
      <c r="F300" s="7">
        <v>0.6</v>
      </c>
      <c r="G300" s="7">
        <v>0.60799999999999998</v>
      </c>
      <c r="H300" s="7">
        <v>0.60799999999999998</v>
      </c>
      <c r="I300" s="7">
        <v>0.80800000000000005</v>
      </c>
      <c r="J300" s="7">
        <v>0.80800000000000005</v>
      </c>
      <c r="K300" s="7">
        <v>0.80800000000000005</v>
      </c>
      <c r="L300" s="7">
        <v>0.80800000000000005</v>
      </c>
      <c r="M300" s="7">
        <v>0.80800000000000005</v>
      </c>
      <c r="N300" s="7">
        <v>0.80800000000000005</v>
      </c>
      <c r="O300" s="7">
        <v>0.80800000000000005</v>
      </c>
      <c r="P300" s="7">
        <v>0.80800000000000005</v>
      </c>
      <c r="Q300" s="7">
        <v>0.80800000000000005</v>
      </c>
    </row>
    <row r="301" spans="1:17">
      <c r="A301" s="2">
        <v>2249</v>
      </c>
      <c r="B301" s="7">
        <v>0.6</v>
      </c>
      <c r="C301" s="7">
        <v>0.6</v>
      </c>
      <c r="D301" s="7">
        <v>0.6</v>
      </c>
      <c r="E301" s="7">
        <v>0.6</v>
      </c>
      <c r="F301" s="7">
        <v>0.6</v>
      </c>
      <c r="G301" s="7">
        <v>0.60399999999999998</v>
      </c>
      <c r="H301" s="7">
        <v>0.60399999999999998</v>
      </c>
      <c r="I301" s="7">
        <v>0.80400000000000005</v>
      </c>
      <c r="J301" s="7">
        <v>0.80400000000000005</v>
      </c>
      <c r="K301" s="7">
        <v>0.80400000000000005</v>
      </c>
      <c r="L301" s="7">
        <v>0.80400000000000005</v>
      </c>
      <c r="M301" s="7">
        <v>0.80400000000000005</v>
      </c>
      <c r="N301" s="7">
        <v>0.80400000000000005</v>
      </c>
      <c r="O301" s="7">
        <v>0.80400000000000005</v>
      </c>
      <c r="P301" s="7">
        <v>0.80400000000000005</v>
      </c>
      <c r="Q301" s="7">
        <v>0.80400000000000005</v>
      </c>
    </row>
    <row r="302" spans="1:17">
      <c r="A302" s="2">
        <v>2250</v>
      </c>
      <c r="B302" s="7">
        <v>0.6</v>
      </c>
      <c r="C302" s="7">
        <v>0.6</v>
      </c>
      <c r="D302" s="7">
        <v>0.6</v>
      </c>
      <c r="E302" s="7">
        <v>0.6</v>
      </c>
      <c r="F302" s="7">
        <v>0.6</v>
      </c>
      <c r="G302" s="7">
        <v>0.6</v>
      </c>
      <c r="H302" s="7">
        <v>0.6</v>
      </c>
      <c r="I302" s="7">
        <v>0.8</v>
      </c>
      <c r="J302" s="7">
        <v>0.8</v>
      </c>
      <c r="K302" s="7">
        <v>0.8</v>
      </c>
      <c r="L302" s="7">
        <v>0.8</v>
      </c>
      <c r="M302" s="7">
        <v>0.8</v>
      </c>
      <c r="N302" s="7">
        <v>0.8</v>
      </c>
      <c r="O302" s="7">
        <v>0.8</v>
      </c>
      <c r="P302" s="7">
        <v>0.8</v>
      </c>
      <c r="Q302" s="7">
        <v>0.8</v>
      </c>
    </row>
    <row r="303" spans="1:17">
      <c r="A303" s="2">
        <v>2251</v>
      </c>
      <c r="B303" s="7">
        <v>0.6</v>
      </c>
      <c r="C303" s="7">
        <v>0.6</v>
      </c>
      <c r="D303" s="7">
        <v>0.6</v>
      </c>
      <c r="E303" s="7">
        <v>0.6</v>
      </c>
      <c r="F303" s="7">
        <v>0.6</v>
      </c>
      <c r="G303" s="7">
        <v>0.6</v>
      </c>
      <c r="H303" s="7">
        <v>0.6</v>
      </c>
      <c r="I303" s="7">
        <v>0.79600000000000004</v>
      </c>
      <c r="J303" s="7">
        <v>0.79600000000000004</v>
      </c>
      <c r="K303" s="7">
        <v>0.79600000000000004</v>
      </c>
      <c r="L303" s="7">
        <v>0.79600000000000004</v>
      </c>
      <c r="M303" s="7">
        <v>0.79600000000000004</v>
      </c>
      <c r="N303" s="7">
        <v>0.79600000000000004</v>
      </c>
      <c r="O303" s="7">
        <v>0.79600000000000004</v>
      </c>
      <c r="P303" s="7">
        <v>0.79600000000000004</v>
      </c>
      <c r="Q303" s="7">
        <v>0.79600000000000004</v>
      </c>
    </row>
    <row r="304" spans="1:17">
      <c r="A304" s="2">
        <v>2252</v>
      </c>
      <c r="B304" s="7">
        <v>0.6</v>
      </c>
      <c r="C304" s="7">
        <v>0.6</v>
      </c>
      <c r="D304" s="7">
        <v>0.6</v>
      </c>
      <c r="E304" s="7">
        <v>0.6</v>
      </c>
      <c r="F304" s="7">
        <v>0.6</v>
      </c>
      <c r="G304" s="7">
        <v>0.6</v>
      </c>
      <c r="H304" s="7">
        <v>0.6</v>
      </c>
      <c r="I304" s="7">
        <v>0.79200000000000004</v>
      </c>
      <c r="J304" s="7">
        <v>0.79200000000000004</v>
      </c>
      <c r="K304" s="7">
        <v>0.79200000000000004</v>
      </c>
      <c r="L304" s="7">
        <v>0.79200000000000004</v>
      </c>
      <c r="M304" s="7">
        <v>0.79200000000000004</v>
      </c>
      <c r="N304" s="7">
        <v>0.79200000000000004</v>
      </c>
      <c r="O304" s="7">
        <v>0.79200000000000004</v>
      </c>
      <c r="P304" s="7">
        <v>0.79200000000000004</v>
      </c>
      <c r="Q304" s="7">
        <v>0.79200000000000004</v>
      </c>
    </row>
    <row r="305" spans="1:17">
      <c r="A305" s="2">
        <v>2253</v>
      </c>
      <c r="B305" s="7">
        <v>0.6</v>
      </c>
      <c r="C305" s="7">
        <v>0.6</v>
      </c>
      <c r="D305" s="7">
        <v>0.6</v>
      </c>
      <c r="E305" s="7">
        <v>0.6</v>
      </c>
      <c r="F305" s="7">
        <v>0.6</v>
      </c>
      <c r="G305" s="7">
        <v>0.6</v>
      </c>
      <c r="H305" s="7">
        <v>0.6</v>
      </c>
      <c r="I305" s="7">
        <v>0.78800000000000003</v>
      </c>
      <c r="J305" s="7">
        <v>0.78800000000000003</v>
      </c>
      <c r="K305" s="7">
        <v>0.78800000000000003</v>
      </c>
      <c r="L305" s="7">
        <v>0.78800000000000003</v>
      </c>
      <c r="M305" s="7">
        <v>0.78800000000000003</v>
      </c>
      <c r="N305" s="7">
        <v>0.78800000000000003</v>
      </c>
      <c r="O305" s="7">
        <v>0.78800000000000003</v>
      </c>
      <c r="P305" s="7">
        <v>0.78800000000000003</v>
      </c>
      <c r="Q305" s="7">
        <v>0.78800000000000003</v>
      </c>
    </row>
    <row r="306" spans="1:17">
      <c r="A306" s="2">
        <v>2254</v>
      </c>
      <c r="B306" s="7">
        <v>0.6</v>
      </c>
      <c r="C306" s="7">
        <v>0.6</v>
      </c>
      <c r="D306" s="7">
        <v>0.6</v>
      </c>
      <c r="E306" s="7">
        <v>0.6</v>
      </c>
      <c r="F306" s="7">
        <v>0.6</v>
      </c>
      <c r="G306" s="7">
        <v>0.6</v>
      </c>
      <c r="H306" s="7">
        <v>0.6</v>
      </c>
      <c r="I306" s="7">
        <v>0.78400000000000003</v>
      </c>
      <c r="J306" s="7">
        <v>0.78400000000000003</v>
      </c>
      <c r="K306" s="7">
        <v>0.78400000000000003</v>
      </c>
      <c r="L306" s="7">
        <v>0.78400000000000003</v>
      </c>
      <c r="M306" s="7">
        <v>0.78400000000000003</v>
      </c>
      <c r="N306" s="7">
        <v>0.78400000000000003</v>
      </c>
      <c r="O306" s="7">
        <v>0.78400000000000003</v>
      </c>
      <c r="P306" s="7">
        <v>0.78400000000000003</v>
      </c>
      <c r="Q306" s="7">
        <v>0.78400000000000003</v>
      </c>
    </row>
    <row r="307" spans="1:17">
      <c r="A307" s="2">
        <v>2255</v>
      </c>
      <c r="B307" s="7">
        <v>0.6</v>
      </c>
      <c r="C307" s="7">
        <v>0.6</v>
      </c>
      <c r="D307" s="7">
        <v>0.6</v>
      </c>
      <c r="E307" s="7">
        <v>0.6</v>
      </c>
      <c r="F307" s="7">
        <v>0.6</v>
      </c>
      <c r="G307" s="7">
        <v>0.6</v>
      </c>
      <c r="H307" s="7">
        <v>0.6</v>
      </c>
      <c r="I307" s="7">
        <v>0.78</v>
      </c>
      <c r="J307" s="7">
        <v>0.78</v>
      </c>
      <c r="K307" s="7">
        <v>0.78</v>
      </c>
      <c r="L307" s="7">
        <v>0.78</v>
      </c>
      <c r="M307" s="7">
        <v>0.78</v>
      </c>
      <c r="N307" s="7">
        <v>0.78</v>
      </c>
      <c r="O307" s="7">
        <v>0.78</v>
      </c>
      <c r="P307" s="7">
        <v>0.78</v>
      </c>
      <c r="Q307" s="7">
        <v>0.78</v>
      </c>
    </row>
    <row r="308" spans="1:17">
      <c r="A308" s="2">
        <v>2256</v>
      </c>
      <c r="B308" s="7">
        <v>0.6</v>
      </c>
      <c r="C308" s="7">
        <v>0.6</v>
      </c>
      <c r="D308" s="7">
        <v>0.6</v>
      </c>
      <c r="E308" s="7">
        <v>0.6</v>
      </c>
      <c r="F308" s="7">
        <v>0.6</v>
      </c>
      <c r="G308" s="7">
        <v>0.6</v>
      </c>
      <c r="H308" s="7">
        <v>0.6</v>
      </c>
      <c r="I308" s="7">
        <v>0.77600000000000002</v>
      </c>
      <c r="J308" s="7">
        <v>0.77600000000000002</v>
      </c>
      <c r="K308" s="7">
        <v>0.77600000000000002</v>
      </c>
      <c r="L308" s="7">
        <v>0.77600000000000002</v>
      </c>
      <c r="M308" s="7">
        <v>0.77600000000000002</v>
      </c>
      <c r="N308" s="7">
        <v>0.77600000000000002</v>
      </c>
      <c r="O308" s="7">
        <v>0.77600000000000002</v>
      </c>
      <c r="P308" s="7">
        <v>0.77600000000000002</v>
      </c>
      <c r="Q308" s="7">
        <v>0.77600000000000002</v>
      </c>
    </row>
    <row r="309" spans="1:17">
      <c r="A309" s="2">
        <v>2257</v>
      </c>
      <c r="B309" s="7">
        <v>0.6</v>
      </c>
      <c r="C309" s="7">
        <v>0.6</v>
      </c>
      <c r="D309" s="7">
        <v>0.6</v>
      </c>
      <c r="E309" s="7">
        <v>0.6</v>
      </c>
      <c r="F309" s="7">
        <v>0.6</v>
      </c>
      <c r="G309" s="7">
        <v>0.6</v>
      </c>
      <c r="H309" s="7">
        <v>0.6</v>
      </c>
      <c r="I309" s="7">
        <v>0.77200000000000002</v>
      </c>
      <c r="J309" s="7">
        <v>0.77200000000000002</v>
      </c>
      <c r="K309" s="7">
        <v>0.77200000000000002</v>
      </c>
      <c r="L309" s="7">
        <v>0.77200000000000002</v>
      </c>
      <c r="M309" s="7">
        <v>0.77200000000000002</v>
      </c>
      <c r="N309" s="7">
        <v>0.77200000000000002</v>
      </c>
      <c r="O309" s="7">
        <v>0.77200000000000002</v>
      </c>
      <c r="P309" s="7">
        <v>0.77200000000000002</v>
      </c>
      <c r="Q309" s="7">
        <v>0.77200000000000002</v>
      </c>
    </row>
    <row r="310" spans="1:17">
      <c r="A310" s="2">
        <v>2258</v>
      </c>
      <c r="B310" s="7">
        <v>0.6</v>
      </c>
      <c r="C310" s="7">
        <v>0.6</v>
      </c>
      <c r="D310" s="7">
        <v>0.6</v>
      </c>
      <c r="E310" s="7">
        <v>0.6</v>
      </c>
      <c r="F310" s="7">
        <v>0.6</v>
      </c>
      <c r="G310" s="7">
        <v>0.6</v>
      </c>
      <c r="H310" s="7">
        <v>0.6</v>
      </c>
      <c r="I310" s="7">
        <v>0.76800000000000002</v>
      </c>
      <c r="J310" s="7">
        <v>0.76800000000000002</v>
      </c>
      <c r="K310" s="7">
        <v>0.76800000000000002</v>
      </c>
      <c r="L310" s="7">
        <v>0.76800000000000002</v>
      </c>
      <c r="M310" s="7">
        <v>0.76800000000000002</v>
      </c>
      <c r="N310" s="7">
        <v>0.76800000000000002</v>
      </c>
      <c r="O310" s="7">
        <v>0.76800000000000002</v>
      </c>
      <c r="P310" s="7">
        <v>0.76800000000000002</v>
      </c>
      <c r="Q310" s="7">
        <v>0.76800000000000002</v>
      </c>
    </row>
    <row r="311" spans="1:17">
      <c r="A311" s="2">
        <v>2259</v>
      </c>
      <c r="B311" s="7">
        <v>0.6</v>
      </c>
      <c r="C311" s="7">
        <v>0.6</v>
      </c>
      <c r="D311" s="7">
        <v>0.6</v>
      </c>
      <c r="E311" s="7">
        <v>0.6</v>
      </c>
      <c r="F311" s="7">
        <v>0.6</v>
      </c>
      <c r="G311" s="7">
        <v>0.6</v>
      </c>
      <c r="H311" s="7">
        <v>0.6</v>
      </c>
      <c r="I311" s="7">
        <v>0.76400000000000001</v>
      </c>
      <c r="J311" s="7">
        <v>0.76400000000000001</v>
      </c>
      <c r="K311" s="7">
        <v>0.76400000000000001</v>
      </c>
      <c r="L311" s="7">
        <v>0.76400000000000001</v>
      </c>
      <c r="M311" s="7">
        <v>0.76400000000000001</v>
      </c>
      <c r="N311" s="7">
        <v>0.76400000000000001</v>
      </c>
      <c r="O311" s="7">
        <v>0.76400000000000001</v>
      </c>
      <c r="P311" s="7">
        <v>0.76400000000000001</v>
      </c>
      <c r="Q311" s="7">
        <v>0.76400000000000001</v>
      </c>
    </row>
    <row r="312" spans="1:17">
      <c r="A312" s="2">
        <v>2260</v>
      </c>
      <c r="B312" s="7">
        <v>0.6</v>
      </c>
      <c r="C312" s="7">
        <v>0.6</v>
      </c>
      <c r="D312" s="7">
        <v>0.6</v>
      </c>
      <c r="E312" s="7">
        <v>0.6</v>
      </c>
      <c r="F312" s="7">
        <v>0.6</v>
      </c>
      <c r="G312" s="7">
        <v>0.6</v>
      </c>
      <c r="H312" s="7">
        <v>0.6</v>
      </c>
      <c r="I312" s="7">
        <v>0.76</v>
      </c>
      <c r="J312" s="7">
        <v>0.76</v>
      </c>
      <c r="K312" s="7">
        <v>0.76</v>
      </c>
      <c r="L312" s="7">
        <v>0.76</v>
      </c>
      <c r="M312" s="7">
        <v>0.76</v>
      </c>
      <c r="N312" s="7">
        <v>0.76</v>
      </c>
      <c r="O312" s="7">
        <v>0.76</v>
      </c>
      <c r="P312" s="7">
        <v>0.76</v>
      </c>
      <c r="Q312" s="7">
        <v>0.76</v>
      </c>
    </row>
    <row r="313" spans="1:17">
      <c r="A313" s="2">
        <v>2261</v>
      </c>
      <c r="B313" s="7">
        <v>0.6</v>
      </c>
      <c r="C313" s="7">
        <v>0.6</v>
      </c>
      <c r="D313" s="7">
        <v>0.6</v>
      </c>
      <c r="E313" s="7">
        <v>0.6</v>
      </c>
      <c r="F313" s="7">
        <v>0.6</v>
      </c>
      <c r="G313" s="7">
        <v>0.6</v>
      </c>
      <c r="H313" s="7">
        <v>0.6</v>
      </c>
      <c r="I313" s="7">
        <v>0.75600000000000001</v>
      </c>
      <c r="J313" s="7">
        <v>0.75600000000000001</v>
      </c>
      <c r="K313" s="7">
        <v>0.75600000000000001</v>
      </c>
      <c r="L313" s="7">
        <v>0.75600000000000001</v>
      </c>
      <c r="M313" s="7">
        <v>0.75600000000000001</v>
      </c>
      <c r="N313" s="7">
        <v>0.75600000000000001</v>
      </c>
      <c r="O313" s="7">
        <v>0.75600000000000001</v>
      </c>
      <c r="P313" s="7">
        <v>0.75600000000000001</v>
      </c>
      <c r="Q313" s="7">
        <v>0.75600000000000001</v>
      </c>
    </row>
    <row r="314" spans="1:17">
      <c r="A314" s="2">
        <v>2262</v>
      </c>
      <c r="B314" s="7">
        <v>0.6</v>
      </c>
      <c r="C314" s="7">
        <v>0.6</v>
      </c>
      <c r="D314" s="7">
        <v>0.6</v>
      </c>
      <c r="E314" s="7">
        <v>0.6</v>
      </c>
      <c r="F314" s="7">
        <v>0.6</v>
      </c>
      <c r="G314" s="7">
        <v>0.6</v>
      </c>
      <c r="H314" s="7">
        <v>0.6</v>
      </c>
      <c r="I314" s="7">
        <v>0.752</v>
      </c>
      <c r="J314" s="7">
        <v>0.752</v>
      </c>
      <c r="K314" s="7">
        <v>0.752</v>
      </c>
      <c r="L314" s="7">
        <v>0.752</v>
      </c>
      <c r="M314" s="7">
        <v>0.752</v>
      </c>
      <c r="N314" s="7">
        <v>0.752</v>
      </c>
      <c r="O314" s="7">
        <v>0.752</v>
      </c>
      <c r="P314" s="7">
        <v>0.752</v>
      </c>
      <c r="Q314" s="7">
        <v>0.752</v>
      </c>
    </row>
    <row r="315" spans="1:17">
      <c r="A315" s="2">
        <v>2263</v>
      </c>
      <c r="B315" s="7">
        <v>0.6</v>
      </c>
      <c r="C315" s="7">
        <v>0.6</v>
      </c>
      <c r="D315" s="7">
        <v>0.6</v>
      </c>
      <c r="E315" s="7">
        <v>0.6</v>
      </c>
      <c r="F315" s="7">
        <v>0.6</v>
      </c>
      <c r="G315" s="7">
        <v>0.6</v>
      </c>
      <c r="H315" s="7">
        <v>0.6</v>
      </c>
      <c r="I315" s="7">
        <v>0.748</v>
      </c>
      <c r="J315" s="7">
        <v>0.748</v>
      </c>
      <c r="K315" s="7">
        <v>0.748</v>
      </c>
      <c r="L315" s="7">
        <v>0.748</v>
      </c>
      <c r="M315" s="7">
        <v>0.748</v>
      </c>
      <c r="N315" s="7">
        <v>0.748</v>
      </c>
      <c r="O315" s="7">
        <v>0.748</v>
      </c>
      <c r="P315" s="7">
        <v>0.748</v>
      </c>
      <c r="Q315" s="7">
        <v>0.748</v>
      </c>
    </row>
    <row r="316" spans="1:17">
      <c r="A316" s="2">
        <v>2264</v>
      </c>
      <c r="B316" s="7">
        <v>0.6</v>
      </c>
      <c r="C316" s="7">
        <v>0.6</v>
      </c>
      <c r="D316" s="7">
        <v>0.6</v>
      </c>
      <c r="E316" s="7">
        <v>0.6</v>
      </c>
      <c r="F316" s="7">
        <v>0.6</v>
      </c>
      <c r="G316" s="7">
        <v>0.6</v>
      </c>
      <c r="H316" s="7">
        <v>0.6</v>
      </c>
      <c r="I316" s="7">
        <v>0.74399999999999999</v>
      </c>
      <c r="J316" s="7">
        <v>0.74399999999999999</v>
      </c>
      <c r="K316" s="7">
        <v>0.74399999999999999</v>
      </c>
      <c r="L316" s="7">
        <v>0.74399999999999999</v>
      </c>
      <c r="M316" s="7">
        <v>0.74399999999999999</v>
      </c>
      <c r="N316" s="7">
        <v>0.74399999999999999</v>
      </c>
      <c r="O316" s="7">
        <v>0.74399999999999999</v>
      </c>
      <c r="P316" s="7">
        <v>0.74399999999999999</v>
      </c>
      <c r="Q316" s="7">
        <v>0.74399999999999999</v>
      </c>
    </row>
    <row r="317" spans="1:17">
      <c r="A317" s="2">
        <v>2265</v>
      </c>
      <c r="B317" s="7">
        <v>0.6</v>
      </c>
      <c r="C317" s="7">
        <v>0.6</v>
      </c>
      <c r="D317" s="7">
        <v>0.6</v>
      </c>
      <c r="E317" s="7">
        <v>0.6</v>
      </c>
      <c r="F317" s="7">
        <v>0.6</v>
      </c>
      <c r="G317" s="7">
        <v>0.6</v>
      </c>
      <c r="H317" s="7">
        <v>0.6</v>
      </c>
      <c r="I317" s="7">
        <v>0.74</v>
      </c>
      <c r="J317" s="7">
        <v>0.74</v>
      </c>
      <c r="K317" s="7">
        <v>0.74</v>
      </c>
      <c r="L317" s="7">
        <v>0.74</v>
      </c>
      <c r="M317" s="7">
        <v>0.74</v>
      </c>
      <c r="N317" s="7">
        <v>0.74</v>
      </c>
      <c r="O317" s="7">
        <v>0.74</v>
      </c>
      <c r="P317" s="7">
        <v>0.74</v>
      </c>
      <c r="Q317" s="7">
        <v>0.74</v>
      </c>
    </row>
    <row r="318" spans="1:17">
      <c r="A318" s="2">
        <v>2266</v>
      </c>
      <c r="B318" s="7">
        <v>0.6</v>
      </c>
      <c r="C318" s="7">
        <v>0.6</v>
      </c>
      <c r="D318" s="7">
        <v>0.6</v>
      </c>
      <c r="E318" s="7">
        <v>0.6</v>
      </c>
      <c r="F318" s="7">
        <v>0.6</v>
      </c>
      <c r="G318" s="7">
        <v>0.6</v>
      </c>
      <c r="H318" s="7">
        <v>0.6</v>
      </c>
      <c r="I318" s="7">
        <v>0.73599999999999999</v>
      </c>
      <c r="J318" s="7">
        <v>0.73599999999999999</v>
      </c>
      <c r="K318" s="7">
        <v>0.73599999999999999</v>
      </c>
      <c r="L318" s="7">
        <v>0.73599999999999999</v>
      </c>
      <c r="M318" s="7">
        <v>0.73599999999999999</v>
      </c>
      <c r="N318" s="7">
        <v>0.73599999999999999</v>
      </c>
      <c r="O318" s="7">
        <v>0.73599999999999999</v>
      </c>
      <c r="P318" s="7">
        <v>0.73599999999999999</v>
      </c>
      <c r="Q318" s="7">
        <v>0.73599999999999999</v>
      </c>
    </row>
    <row r="319" spans="1:17">
      <c r="A319" s="2">
        <v>2267</v>
      </c>
      <c r="B319" s="7">
        <v>0.6</v>
      </c>
      <c r="C319" s="7">
        <v>0.6</v>
      </c>
      <c r="D319" s="7">
        <v>0.6</v>
      </c>
      <c r="E319" s="7">
        <v>0.6</v>
      </c>
      <c r="F319" s="7">
        <v>0.6</v>
      </c>
      <c r="G319" s="7">
        <v>0.6</v>
      </c>
      <c r="H319" s="7">
        <v>0.6</v>
      </c>
      <c r="I319" s="7">
        <v>0.73199999999999998</v>
      </c>
      <c r="J319" s="7">
        <v>0.73199999999999998</v>
      </c>
      <c r="K319" s="7">
        <v>0.73199999999999998</v>
      </c>
      <c r="L319" s="7">
        <v>0.73199999999999998</v>
      </c>
      <c r="M319" s="7">
        <v>0.73199999999999998</v>
      </c>
      <c r="N319" s="7">
        <v>0.73199999999999998</v>
      </c>
      <c r="O319" s="7">
        <v>0.73199999999999998</v>
      </c>
      <c r="P319" s="7">
        <v>0.73199999999999998</v>
      </c>
      <c r="Q319" s="7">
        <v>0.73199999999999998</v>
      </c>
    </row>
    <row r="320" spans="1:17">
      <c r="A320" s="2">
        <v>2268</v>
      </c>
      <c r="B320" s="7">
        <v>0.6</v>
      </c>
      <c r="C320" s="7">
        <v>0.6</v>
      </c>
      <c r="D320" s="7">
        <v>0.6</v>
      </c>
      <c r="E320" s="7">
        <v>0.6</v>
      </c>
      <c r="F320" s="7">
        <v>0.6</v>
      </c>
      <c r="G320" s="7">
        <v>0.6</v>
      </c>
      <c r="H320" s="7">
        <v>0.6</v>
      </c>
      <c r="I320" s="7">
        <v>0.72799999999999998</v>
      </c>
      <c r="J320" s="7">
        <v>0.72799999999999998</v>
      </c>
      <c r="K320" s="7">
        <v>0.72799999999999998</v>
      </c>
      <c r="L320" s="7">
        <v>0.72799999999999998</v>
      </c>
      <c r="M320" s="7">
        <v>0.72799999999999998</v>
      </c>
      <c r="N320" s="7">
        <v>0.72799999999999998</v>
      </c>
      <c r="O320" s="7">
        <v>0.72799999999999998</v>
      </c>
      <c r="P320" s="7">
        <v>0.72799999999999998</v>
      </c>
      <c r="Q320" s="7">
        <v>0.72799999999999998</v>
      </c>
    </row>
    <row r="321" spans="1:17">
      <c r="A321" s="2">
        <v>2269</v>
      </c>
      <c r="B321" s="7">
        <v>0.6</v>
      </c>
      <c r="C321" s="7">
        <v>0.6</v>
      </c>
      <c r="D321" s="7">
        <v>0.6</v>
      </c>
      <c r="E321" s="7">
        <v>0.6</v>
      </c>
      <c r="F321" s="7">
        <v>0.6</v>
      </c>
      <c r="G321" s="7">
        <v>0.6</v>
      </c>
      <c r="H321" s="7">
        <v>0.6</v>
      </c>
      <c r="I321" s="7">
        <v>0.72399999999999998</v>
      </c>
      <c r="J321" s="7">
        <v>0.72399999999999998</v>
      </c>
      <c r="K321" s="7">
        <v>0.72399999999999998</v>
      </c>
      <c r="L321" s="7">
        <v>0.72399999999999998</v>
      </c>
      <c r="M321" s="7">
        <v>0.72399999999999998</v>
      </c>
      <c r="N321" s="7">
        <v>0.72399999999999998</v>
      </c>
      <c r="O321" s="7">
        <v>0.72399999999999998</v>
      </c>
      <c r="P321" s="7">
        <v>0.72399999999999998</v>
      </c>
      <c r="Q321" s="7">
        <v>0.72399999999999998</v>
      </c>
    </row>
    <row r="322" spans="1:17">
      <c r="A322" s="2">
        <v>2270</v>
      </c>
      <c r="B322" s="7">
        <v>0.6</v>
      </c>
      <c r="C322" s="7">
        <v>0.6</v>
      </c>
      <c r="D322" s="7">
        <v>0.6</v>
      </c>
      <c r="E322" s="7">
        <v>0.6</v>
      </c>
      <c r="F322" s="7">
        <v>0.6</v>
      </c>
      <c r="G322" s="7">
        <v>0.6</v>
      </c>
      <c r="H322" s="7">
        <v>0.6</v>
      </c>
      <c r="I322" s="7">
        <v>0.72</v>
      </c>
      <c r="J322" s="7">
        <v>0.72</v>
      </c>
      <c r="K322" s="7">
        <v>0.72</v>
      </c>
      <c r="L322" s="7">
        <v>0.72</v>
      </c>
      <c r="M322" s="7">
        <v>0.72</v>
      </c>
      <c r="N322" s="7">
        <v>0.72</v>
      </c>
      <c r="O322" s="7">
        <v>0.72</v>
      </c>
      <c r="P322" s="7">
        <v>0.72</v>
      </c>
      <c r="Q322" s="7">
        <v>0.72</v>
      </c>
    </row>
    <row r="323" spans="1:17">
      <c r="A323" s="2">
        <v>2271</v>
      </c>
      <c r="B323" s="7">
        <v>0.6</v>
      </c>
      <c r="C323" s="7">
        <v>0.6</v>
      </c>
      <c r="D323" s="7">
        <v>0.6</v>
      </c>
      <c r="E323" s="7">
        <v>0.6</v>
      </c>
      <c r="F323" s="7">
        <v>0.6</v>
      </c>
      <c r="G323" s="7">
        <v>0.6</v>
      </c>
      <c r="H323" s="7">
        <v>0.6</v>
      </c>
      <c r="I323" s="7">
        <v>0.71599999999999997</v>
      </c>
      <c r="J323" s="7">
        <v>0.71599999999999997</v>
      </c>
      <c r="K323" s="7">
        <v>0.71599999999999997</v>
      </c>
      <c r="L323" s="7">
        <v>0.71599999999999997</v>
      </c>
      <c r="M323" s="7">
        <v>0.71599999999999997</v>
      </c>
      <c r="N323" s="7">
        <v>0.71599999999999997</v>
      </c>
      <c r="O323" s="7">
        <v>0.71599999999999997</v>
      </c>
      <c r="P323" s="7">
        <v>0.71599999999999997</v>
      </c>
      <c r="Q323" s="7">
        <v>0.71599999999999997</v>
      </c>
    </row>
    <row r="324" spans="1:17">
      <c r="A324" s="2">
        <v>2272</v>
      </c>
      <c r="B324" s="7">
        <v>0.6</v>
      </c>
      <c r="C324" s="7">
        <v>0.6</v>
      </c>
      <c r="D324" s="7">
        <v>0.6</v>
      </c>
      <c r="E324" s="7">
        <v>0.6</v>
      </c>
      <c r="F324" s="7">
        <v>0.6</v>
      </c>
      <c r="G324" s="7">
        <v>0.6</v>
      </c>
      <c r="H324" s="7">
        <v>0.6</v>
      </c>
      <c r="I324" s="7">
        <v>0.71199999999999997</v>
      </c>
      <c r="J324" s="7">
        <v>0.71199999999999997</v>
      </c>
      <c r="K324" s="7">
        <v>0.71199999999999997</v>
      </c>
      <c r="L324" s="7">
        <v>0.71199999999999997</v>
      </c>
      <c r="M324" s="7">
        <v>0.71199999999999997</v>
      </c>
      <c r="N324" s="7">
        <v>0.71199999999999997</v>
      </c>
      <c r="O324" s="7">
        <v>0.71199999999999997</v>
      </c>
      <c r="P324" s="7">
        <v>0.71199999999999997</v>
      </c>
      <c r="Q324" s="7">
        <v>0.71199999999999997</v>
      </c>
    </row>
    <row r="325" spans="1:17">
      <c r="A325" s="2">
        <v>2273</v>
      </c>
      <c r="B325" s="7">
        <v>0.6</v>
      </c>
      <c r="C325" s="7">
        <v>0.6</v>
      </c>
      <c r="D325" s="7">
        <v>0.6</v>
      </c>
      <c r="E325" s="7">
        <v>0.6</v>
      </c>
      <c r="F325" s="7">
        <v>0.6</v>
      </c>
      <c r="G325" s="7">
        <v>0.6</v>
      </c>
      <c r="H325" s="7">
        <v>0.6</v>
      </c>
      <c r="I325" s="7">
        <v>0.70799999999999996</v>
      </c>
      <c r="J325" s="7">
        <v>0.70799999999999996</v>
      </c>
      <c r="K325" s="7">
        <v>0.70799999999999996</v>
      </c>
      <c r="L325" s="7">
        <v>0.70799999999999996</v>
      </c>
      <c r="M325" s="7">
        <v>0.70799999999999996</v>
      </c>
      <c r="N325" s="7">
        <v>0.70799999999999996</v>
      </c>
      <c r="O325" s="7">
        <v>0.70799999999999996</v>
      </c>
      <c r="P325" s="7">
        <v>0.70799999999999996</v>
      </c>
      <c r="Q325" s="7">
        <v>0.70799999999999996</v>
      </c>
    </row>
    <row r="326" spans="1:17">
      <c r="A326" s="2">
        <v>2274</v>
      </c>
      <c r="B326" s="7">
        <v>0.6</v>
      </c>
      <c r="C326" s="7">
        <v>0.6</v>
      </c>
      <c r="D326" s="7">
        <v>0.6</v>
      </c>
      <c r="E326" s="7">
        <v>0.6</v>
      </c>
      <c r="F326" s="7">
        <v>0.6</v>
      </c>
      <c r="G326" s="7">
        <v>0.6</v>
      </c>
      <c r="H326" s="7">
        <v>0.6</v>
      </c>
      <c r="I326" s="7">
        <v>0.70399999999999996</v>
      </c>
      <c r="J326" s="7">
        <v>0.70399999999999996</v>
      </c>
      <c r="K326" s="7">
        <v>0.70399999999999996</v>
      </c>
      <c r="L326" s="7">
        <v>0.70399999999999996</v>
      </c>
      <c r="M326" s="7">
        <v>0.70399999999999996</v>
      </c>
      <c r="N326" s="7">
        <v>0.70399999999999996</v>
      </c>
      <c r="O326" s="7">
        <v>0.70399999999999996</v>
      </c>
      <c r="P326" s="7">
        <v>0.70399999999999996</v>
      </c>
      <c r="Q326" s="7">
        <v>0.70399999999999996</v>
      </c>
    </row>
    <row r="327" spans="1:17">
      <c r="A327" s="2">
        <v>2275</v>
      </c>
      <c r="B327" s="7">
        <v>0.6</v>
      </c>
      <c r="C327" s="7">
        <v>0.6</v>
      </c>
      <c r="D327" s="7">
        <v>0.6</v>
      </c>
      <c r="E327" s="7">
        <v>0.6</v>
      </c>
      <c r="F327" s="7">
        <v>0.6</v>
      </c>
      <c r="G327" s="7">
        <v>0.6</v>
      </c>
      <c r="H327" s="7">
        <v>0.6</v>
      </c>
      <c r="I327" s="7">
        <v>0.7</v>
      </c>
      <c r="J327" s="7">
        <v>0.7</v>
      </c>
      <c r="K327" s="7">
        <v>0.7</v>
      </c>
      <c r="L327" s="7">
        <v>0.7</v>
      </c>
      <c r="M327" s="7">
        <v>0.7</v>
      </c>
      <c r="N327" s="7">
        <v>0.7</v>
      </c>
      <c r="O327" s="7">
        <v>0.7</v>
      </c>
      <c r="P327" s="7">
        <v>0.7</v>
      </c>
      <c r="Q327" s="7">
        <v>0.7</v>
      </c>
    </row>
    <row r="328" spans="1:17">
      <c r="A328" s="2">
        <v>2276</v>
      </c>
      <c r="B328" s="7">
        <v>0.6</v>
      </c>
      <c r="C328" s="7">
        <v>0.6</v>
      </c>
      <c r="D328" s="7">
        <v>0.6</v>
      </c>
      <c r="E328" s="7">
        <v>0.6</v>
      </c>
      <c r="F328" s="7">
        <v>0.6</v>
      </c>
      <c r="G328" s="7">
        <v>0.6</v>
      </c>
      <c r="H328" s="7">
        <v>0.6</v>
      </c>
      <c r="I328" s="7">
        <v>0.69599999999999995</v>
      </c>
      <c r="J328" s="7">
        <v>0.69599999999999995</v>
      </c>
      <c r="K328" s="7">
        <v>0.69599999999999995</v>
      </c>
      <c r="L328" s="7">
        <v>0.69599999999999995</v>
      </c>
      <c r="M328" s="7">
        <v>0.69599999999999995</v>
      </c>
      <c r="N328" s="7">
        <v>0.69599999999999995</v>
      </c>
      <c r="O328" s="7">
        <v>0.69599999999999995</v>
      </c>
      <c r="P328" s="7">
        <v>0.69599999999999995</v>
      </c>
      <c r="Q328" s="7">
        <v>0.69599999999999995</v>
      </c>
    </row>
    <row r="329" spans="1:17">
      <c r="A329" s="2">
        <v>2277</v>
      </c>
      <c r="B329" s="7">
        <v>0.6</v>
      </c>
      <c r="C329" s="7">
        <v>0.6</v>
      </c>
      <c r="D329" s="7">
        <v>0.6</v>
      </c>
      <c r="E329" s="7">
        <v>0.6</v>
      </c>
      <c r="F329" s="7">
        <v>0.6</v>
      </c>
      <c r="G329" s="7">
        <v>0.6</v>
      </c>
      <c r="H329" s="7">
        <v>0.6</v>
      </c>
      <c r="I329" s="7">
        <v>0.69199999999999995</v>
      </c>
      <c r="J329" s="7">
        <v>0.69199999999999995</v>
      </c>
      <c r="K329" s="7">
        <v>0.69199999999999995</v>
      </c>
      <c r="L329" s="7">
        <v>0.69199999999999995</v>
      </c>
      <c r="M329" s="7">
        <v>0.69199999999999995</v>
      </c>
      <c r="N329" s="7">
        <v>0.69199999999999995</v>
      </c>
      <c r="O329" s="7">
        <v>0.69199999999999995</v>
      </c>
      <c r="P329" s="7">
        <v>0.69199999999999995</v>
      </c>
      <c r="Q329" s="7">
        <v>0.69199999999999995</v>
      </c>
    </row>
    <row r="330" spans="1:17">
      <c r="A330" s="2">
        <v>2278</v>
      </c>
      <c r="B330" s="7">
        <v>0.6</v>
      </c>
      <c r="C330" s="7">
        <v>0.6</v>
      </c>
      <c r="D330" s="7">
        <v>0.6</v>
      </c>
      <c r="E330" s="7">
        <v>0.6</v>
      </c>
      <c r="F330" s="7">
        <v>0.6</v>
      </c>
      <c r="G330" s="7">
        <v>0.6</v>
      </c>
      <c r="H330" s="7">
        <v>0.6</v>
      </c>
      <c r="I330" s="7">
        <v>0.68799999999999994</v>
      </c>
      <c r="J330" s="7">
        <v>0.68799999999999994</v>
      </c>
      <c r="K330" s="7">
        <v>0.68799999999999994</v>
      </c>
      <c r="L330" s="7">
        <v>0.68799999999999994</v>
      </c>
      <c r="M330" s="7">
        <v>0.68799999999999994</v>
      </c>
      <c r="N330" s="7">
        <v>0.68799999999999994</v>
      </c>
      <c r="O330" s="7">
        <v>0.68799999999999994</v>
      </c>
      <c r="P330" s="7">
        <v>0.68799999999999994</v>
      </c>
      <c r="Q330" s="7">
        <v>0.68799999999999994</v>
      </c>
    </row>
    <row r="331" spans="1:17">
      <c r="A331" s="2">
        <v>2279</v>
      </c>
      <c r="B331" s="7">
        <v>0.6</v>
      </c>
      <c r="C331" s="7">
        <v>0.6</v>
      </c>
      <c r="D331" s="7">
        <v>0.6</v>
      </c>
      <c r="E331" s="7">
        <v>0.6</v>
      </c>
      <c r="F331" s="7">
        <v>0.6</v>
      </c>
      <c r="G331" s="7">
        <v>0.6</v>
      </c>
      <c r="H331" s="7">
        <v>0.6</v>
      </c>
      <c r="I331" s="7">
        <v>0.68400000000000005</v>
      </c>
      <c r="J331" s="7">
        <v>0.68400000000000005</v>
      </c>
      <c r="K331" s="7">
        <v>0.68400000000000005</v>
      </c>
      <c r="L331" s="7">
        <v>0.68400000000000005</v>
      </c>
      <c r="M331" s="7">
        <v>0.68400000000000005</v>
      </c>
      <c r="N331" s="7">
        <v>0.68400000000000005</v>
      </c>
      <c r="O331" s="7">
        <v>0.68400000000000005</v>
      </c>
      <c r="P331" s="7">
        <v>0.68400000000000005</v>
      </c>
      <c r="Q331" s="7">
        <v>0.68400000000000005</v>
      </c>
    </row>
    <row r="332" spans="1:17">
      <c r="A332" s="2">
        <v>2280</v>
      </c>
      <c r="B332" s="7">
        <v>0.6</v>
      </c>
      <c r="C332" s="7">
        <v>0.6</v>
      </c>
      <c r="D332" s="7">
        <v>0.6</v>
      </c>
      <c r="E332" s="7">
        <v>0.6</v>
      </c>
      <c r="F332" s="7">
        <v>0.6</v>
      </c>
      <c r="G332" s="7">
        <v>0.6</v>
      </c>
      <c r="H332" s="7">
        <v>0.6</v>
      </c>
      <c r="I332" s="7">
        <v>0.68</v>
      </c>
      <c r="J332" s="7">
        <v>0.68</v>
      </c>
      <c r="K332" s="7">
        <v>0.68</v>
      </c>
      <c r="L332" s="7">
        <v>0.68</v>
      </c>
      <c r="M332" s="7">
        <v>0.68</v>
      </c>
      <c r="N332" s="7">
        <v>0.68</v>
      </c>
      <c r="O332" s="7">
        <v>0.68</v>
      </c>
      <c r="P332" s="7">
        <v>0.68</v>
      </c>
      <c r="Q332" s="7">
        <v>0.68</v>
      </c>
    </row>
    <row r="333" spans="1:17">
      <c r="A333" s="2">
        <v>2281</v>
      </c>
      <c r="B333" s="7">
        <v>0.6</v>
      </c>
      <c r="C333" s="7">
        <v>0.6</v>
      </c>
      <c r="D333" s="7">
        <v>0.6</v>
      </c>
      <c r="E333" s="7">
        <v>0.6</v>
      </c>
      <c r="F333" s="7">
        <v>0.6</v>
      </c>
      <c r="G333" s="7">
        <v>0.6</v>
      </c>
      <c r="H333" s="7">
        <v>0.6</v>
      </c>
      <c r="I333" s="7">
        <v>0.67600000000000005</v>
      </c>
      <c r="J333" s="7">
        <v>0.67600000000000005</v>
      </c>
      <c r="K333" s="7">
        <v>0.67600000000000005</v>
      </c>
      <c r="L333" s="7">
        <v>0.67600000000000005</v>
      </c>
      <c r="M333" s="7">
        <v>0.67600000000000005</v>
      </c>
      <c r="N333" s="7">
        <v>0.67600000000000005</v>
      </c>
      <c r="O333" s="7">
        <v>0.67600000000000005</v>
      </c>
      <c r="P333" s="7">
        <v>0.67600000000000005</v>
      </c>
      <c r="Q333" s="7">
        <v>0.67600000000000005</v>
      </c>
    </row>
    <row r="334" spans="1:17">
      <c r="A334" s="2">
        <v>2282</v>
      </c>
      <c r="B334" s="7">
        <v>0.6</v>
      </c>
      <c r="C334" s="7">
        <v>0.6</v>
      </c>
      <c r="D334" s="7">
        <v>0.6</v>
      </c>
      <c r="E334" s="7">
        <v>0.6</v>
      </c>
      <c r="F334" s="7">
        <v>0.6</v>
      </c>
      <c r="G334" s="7">
        <v>0.6</v>
      </c>
      <c r="H334" s="7">
        <v>0.6</v>
      </c>
      <c r="I334" s="7">
        <v>0.67200000000000004</v>
      </c>
      <c r="J334" s="7">
        <v>0.67200000000000004</v>
      </c>
      <c r="K334" s="7">
        <v>0.67200000000000004</v>
      </c>
      <c r="L334" s="7">
        <v>0.67200000000000004</v>
      </c>
      <c r="M334" s="7">
        <v>0.67200000000000004</v>
      </c>
      <c r="N334" s="7">
        <v>0.67200000000000004</v>
      </c>
      <c r="O334" s="7">
        <v>0.67200000000000004</v>
      </c>
      <c r="P334" s="7">
        <v>0.67200000000000004</v>
      </c>
      <c r="Q334" s="7">
        <v>0.67200000000000004</v>
      </c>
    </row>
    <row r="335" spans="1:17">
      <c r="A335" s="2">
        <v>2283</v>
      </c>
      <c r="B335" s="7">
        <v>0.6</v>
      </c>
      <c r="C335" s="7">
        <v>0.6</v>
      </c>
      <c r="D335" s="7">
        <v>0.6</v>
      </c>
      <c r="E335" s="7">
        <v>0.6</v>
      </c>
      <c r="F335" s="7">
        <v>0.6</v>
      </c>
      <c r="G335" s="7">
        <v>0.6</v>
      </c>
      <c r="H335" s="7">
        <v>0.6</v>
      </c>
      <c r="I335" s="7">
        <v>0.66800000000000004</v>
      </c>
      <c r="J335" s="7">
        <v>0.66800000000000004</v>
      </c>
      <c r="K335" s="7">
        <v>0.66800000000000004</v>
      </c>
      <c r="L335" s="7">
        <v>0.66800000000000004</v>
      </c>
      <c r="M335" s="7">
        <v>0.66800000000000004</v>
      </c>
      <c r="N335" s="7">
        <v>0.66800000000000004</v>
      </c>
      <c r="O335" s="7">
        <v>0.66800000000000004</v>
      </c>
      <c r="P335" s="7">
        <v>0.66800000000000004</v>
      </c>
      <c r="Q335" s="7">
        <v>0.66800000000000004</v>
      </c>
    </row>
    <row r="336" spans="1:17">
      <c r="A336" s="2">
        <v>2284</v>
      </c>
      <c r="B336" s="7">
        <v>0.6</v>
      </c>
      <c r="C336" s="7">
        <v>0.6</v>
      </c>
      <c r="D336" s="7">
        <v>0.6</v>
      </c>
      <c r="E336" s="7">
        <v>0.6</v>
      </c>
      <c r="F336" s="7">
        <v>0.6</v>
      </c>
      <c r="G336" s="7">
        <v>0.6</v>
      </c>
      <c r="H336" s="7">
        <v>0.6</v>
      </c>
      <c r="I336" s="7">
        <v>0.66400000000000003</v>
      </c>
      <c r="J336" s="7">
        <v>0.66400000000000003</v>
      </c>
      <c r="K336" s="7">
        <v>0.66400000000000003</v>
      </c>
      <c r="L336" s="7">
        <v>0.66400000000000003</v>
      </c>
      <c r="M336" s="7">
        <v>0.66400000000000003</v>
      </c>
      <c r="N336" s="7">
        <v>0.66400000000000003</v>
      </c>
      <c r="O336" s="7">
        <v>0.66400000000000003</v>
      </c>
      <c r="P336" s="7">
        <v>0.66400000000000003</v>
      </c>
      <c r="Q336" s="7">
        <v>0.66400000000000003</v>
      </c>
    </row>
    <row r="337" spans="1:17">
      <c r="A337" s="2">
        <v>2285</v>
      </c>
      <c r="B337" s="7">
        <v>0.6</v>
      </c>
      <c r="C337" s="7">
        <v>0.6</v>
      </c>
      <c r="D337" s="7">
        <v>0.6</v>
      </c>
      <c r="E337" s="7">
        <v>0.6</v>
      </c>
      <c r="F337" s="7">
        <v>0.6</v>
      </c>
      <c r="G337" s="7">
        <v>0.6</v>
      </c>
      <c r="H337" s="7">
        <v>0.6</v>
      </c>
      <c r="I337" s="7">
        <v>0.66</v>
      </c>
      <c r="J337" s="7">
        <v>0.66</v>
      </c>
      <c r="K337" s="7">
        <v>0.66</v>
      </c>
      <c r="L337" s="7">
        <v>0.66</v>
      </c>
      <c r="M337" s="7">
        <v>0.66</v>
      </c>
      <c r="N337" s="7">
        <v>0.66</v>
      </c>
      <c r="O337" s="7">
        <v>0.66</v>
      </c>
      <c r="P337" s="7">
        <v>0.66</v>
      </c>
      <c r="Q337" s="7">
        <v>0.66</v>
      </c>
    </row>
    <row r="338" spans="1:17">
      <c r="A338" s="2">
        <v>2286</v>
      </c>
      <c r="B338" s="7">
        <v>0.6</v>
      </c>
      <c r="C338" s="7">
        <v>0.6</v>
      </c>
      <c r="D338" s="7">
        <v>0.6</v>
      </c>
      <c r="E338" s="7">
        <v>0.6</v>
      </c>
      <c r="F338" s="7">
        <v>0.6</v>
      </c>
      <c r="G338" s="7">
        <v>0.6</v>
      </c>
      <c r="H338" s="7">
        <v>0.6</v>
      </c>
      <c r="I338" s="7">
        <v>0.65600000000000003</v>
      </c>
      <c r="J338" s="7">
        <v>0.65600000000000003</v>
      </c>
      <c r="K338" s="7">
        <v>0.65600000000000003</v>
      </c>
      <c r="L338" s="7">
        <v>0.65600000000000003</v>
      </c>
      <c r="M338" s="7">
        <v>0.65600000000000003</v>
      </c>
      <c r="N338" s="7">
        <v>0.65600000000000003</v>
      </c>
      <c r="O338" s="7">
        <v>0.65600000000000003</v>
      </c>
      <c r="P338" s="7">
        <v>0.65600000000000003</v>
      </c>
      <c r="Q338" s="7">
        <v>0.65600000000000003</v>
      </c>
    </row>
    <row r="339" spans="1:17">
      <c r="A339" s="2">
        <v>2287</v>
      </c>
      <c r="B339" s="7">
        <v>0.6</v>
      </c>
      <c r="C339" s="7">
        <v>0.6</v>
      </c>
      <c r="D339" s="7">
        <v>0.6</v>
      </c>
      <c r="E339" s="7">
        <v>0.6</v>
      </c>
      <c r="F339" s="7">
        <v>0.6</v>
      </c>
      <c r="G339" s="7">
        <v>0.6</v>
      </c>
      <c r="H339" s="7">
        <v>0.6</v>
      </c>
      <c r="I339" s="7">
        <v>0.65200000000000002</v>
      </c>
      <c r="J339" s="7">
        <v>0.65200000000000002</v>
      </c>
      <c r="K339" s="7">
        <v>0.65200000000000002</v>
      </c>
      <c r="L339" s="7">
        <v>0.65200000000000002</v>
      </c>
      <c r="M339" s="7">
        <v>0.65200000000000002</v>
      </c>
      <c r="N339" s="7">
        <v>0.65200000000000002</v>
      </c>
      <c r="O339" s="7">
        <v>0.65200000000000002</v>
      </c>
      <c r="P339" s="7">
        <v>0.65200000000000002</v>
      </c>
      <c r="Q339" s="7">
        <v>0.65200000000000002</v>
      </c>
    </row>
    <row r="340" spans="1:17">
      <c r="A340" s="2">
        <v>2288</v>
      </c>
      <c r="B340" s="7">
        <v>0.6</v>
      </c>
      <c r="C340" s="7">
        <v>0.6</v>
      </c>
      <c r="D340" s="7">
        <v>0.6</v>
      </c>
      <c r="E340" s="7">
        <v>0.6</v>
      </c>
      <c r="F340" s="7">
        <v>0.6</v>
      </c>
      <c r="G340" s="7">
        <v>0.6</v>
      </c>
      <c r="H340" s="7">
        <v>0.6</v>
      </c>
      <c r="I340" s="7">
        <v>0.64800000000000002</v>
      </c>
      <c r="J340" s="7">
        <v>0.64800000000000002</v>
      </c>
      <c r="K340" s="7">
        <v>0.64800000000000002</v>
      </c>
      <c r="L340" s="7">
        <v>0.64800000000000002</v>
      </c>
      <c r="M340" s="7">
        <v>0.64800000000000002</v>
      </c>
      <c r="N340" s="7">
        <v>0.64800000000000002</v>
      </c>
      <c r="O340" s="7">
        <v>0.64800000000000002</v>
      </c>
      <c r="P340" s="7">
        <v>0.64800000000000002</v>
      </c>
      <c r="Q340" s="7">
        <v>0.64800000000000002</v>
      </c>
    </row>
    <row r="341" spans="1:17">
      <c r="A341" s="2">
        <v>2289</v>
      </c>
      <c r="B341" s="7">
        <v>0.6</v>
      </c>
      <c r="C341" s="7">
        <v>0.6</v>
      </c>
      <c r="D341" s="7">
        <v>0.6</v>
      </c>
      <c r="E341" s="7">
        <v>0.6</v>
      </c>
      <c r="F341" s="7">
        <v>0.6</v>
      </c>
      <c r="G341" s="7">
        <v>0.6</v>
      </c>
      <c r="H341" s="7">
        <v>0.6</v>
      </c>
      <c r="I341" s="7">
        <v>0.64400000000000002</v>
      </c>
      <c r="J341" s="7">
        <v>0.64400000000000002</v>
      </c>
      <c r="K341" s="7">
        <v>0.64400000000000002</v>
      </c>
      <c r="L341" s="7">
        <v>0.64400000000000002</v>
      </c>
      <c r="M341" s="7">
        <v>0.64400000000000002</v>
      </c>
      <c r="N341" s="7">
        <v>0.64400000000000002</v>
      </c>
      <c r="O341" s="7">
        <v>0.64400000000000002</v>
      </c>
      <c r="P341" s="7">
        <v>0.64400000000000002</v>
      </c>
      <c r="Q341" s="7">
        <v>0.64400000000000002</v>
      </c>
    </row>
    <row r="342" spans="1:17">
      <c r="A342" s="2">
        <v>2290</v>
      </c>
      <c r="B342" s="7">
        <v>0.6</v>
      </c>
      <c r="C342" s="7">
        <v>0.6</v>
      </c>
      <c r="D342" s="7">
        <v>0.6</v>
      </c>
      <c r="E342" s="7">
        <v>0.6</v>
      </c>
      <c r="F342" s="7">
        <v>0.6</v>
      </c>
      <c r="G342" s="7">
        <v>0.6</v>
      </c>
      <c r="H342" s="7">
        <v>0.6</v>
      </c>
      <c r="I342" s="7">
        <v>0.64</v>
      </c>
      <c r="J342" s="7">
        <v>0.64</v>
      </c>
      <c r="K342" s="7">
        <v>0.64</v>
      </c>
      <c r="L342" s="7">
        <v>0.64</v>
      </c>
      <c r="M342" s="7">
        <v>0.64</v>
      </c>
      <c r="N342" s="7">
        <v>0.64</v>
      </c>
      <c r="O342" s="7">
        <v>0.64</v>
      </c>
      <c r="P342" s="7">
        <v>0.64</v>
      </c>
      <c r="Q342" s="7">
        <v>0.64</v>
      </c>
    </row>
    <row r="343" spans="1:17">
      <c r="A343" s="2">
        <v>2291</v>
      </c>
      <c r="B343" s="7">
        <v>0.6</v>
      </c>
      <c r="C343" s="7">
        <v>0.6</v>
      </c>
      <c r="D343" s="7">
        <v>0.6</v>
      </c>
      <c r="E343" s="7">
        <v>0.6</v>
      </c>
      <c r="F343" s="7">
        <v>0.6</v>
      </c>
      <c r="G343" s="7">
        <v>0.6</v>
      </c>
      <c r="H343" s="7">
        <v>0.6</v>
      </c>
      <c r="I343" s="7">
        <v>0.63600000000000001</v>
      </c>
      <c r="J343" s="7">
        <v>0.63600000000000001</v>
      </c>
      <c r="K343" s="7">
        <v>0.63600000000000001</v>
      </c>
      <c r="L343" s="7">
        <v>0.63600000000000001</v>
      </c>
      <c r="M343" s="7">
        <v>0.63600000000000001</v>
      </c>
      <c r="N343" s="7">
        <v>0.63600000000000001</v>
      </c>
      <c r="O343" s="7">
        <v>0.63600000000000001</v>
      </c>
      <c r="P343" s="7">
        <v>0.63600000000000001</v>
      </c>
      <c r="Q343" s="7">
        <v>0.63600000000000001</v>
      </c>
    </row>
    <row r="344" spans="1:17">
      <c r="A344" s="2">
        <v>2292</v>
      </c>
      <c r="B344" s="7">
        <v>0.6</v>
      </c>
      <c r="C344" s="7">
        <v>0.6</v>
      </c>
      <c r="D344" s="7">
        <v>0.6</v>
      </c>
      <c r="E344" s="7">
        <v>0.6</v>
      </c>
      <c r="F344" s="7">
        <v>0.6</v>
      </c>
      <c r="G344" s="7">
        <v>0.6</v>
      </c>
      <c r="H344" s="7">
        <v>0.6</v>
      </c>
      <c r="I344" s="7">
        <v>0.63200000000000001</v>
      </c>
      <c r="J344" s="7">
        <v>0.63200000000000001</v>
      </c>
      <c r="K344" s="7">
        <v>0.63200000000000001</v>
      </c>
      <c r="L344" s="7">
        <v>0.63200000000000001</v>
      </c>
      <c r="M344" s="7">
        <v>0.63200000000000001</v>
      </c>
      <c r="N344" s="7">
        <v>0.63200000000000001</v>
      </c>
      <c r="O344" s="7">
        <v>0.63200000000000001</v>
      </c>
      <c r="P344" s="7">
        <v>0.63200000000000001</v>
      </c>
      <c r="Q344" s="7">
        <v>0.63200000000000001</v>
      </c>
    </row>
    <row r="345" spans="1:17">
      <c r="A345" s="2">
        <v>2293</v>
      </c>
      <c r="B345" s="7">
        <v>0.6</v>
      </c>
      <c r="C345" s="7">
        <v>0.6</v>
      </c>
      <c r="D345" s="7">
        <v>0.6</v>
      </c>
      <c r="E345" s="7">
        <v>0.6</v>
      </c>
      <c r="F345" s="7">
        <v>0.6</v>
      </c>
      <c r="G345" s="7">
        <v>0.6</v>
      </c>
      <c r="H345" s="7">
        <v>0.6</v>
      </c>
      <c r="I345" s="7">
        <v>0.628</v>
      </c>
      <c r="J345" s="7">
        <v>0.628</v>
      </c>
      <c r="K345" s="7">
        <v>0.628</v>
      </c>
      <c r="L345" s="7">
        <v>0.628</v>
      </c>
      <c r="M345" s="7">
        <v>0.628</v>
      </c>
      <c r="N345" s="7">
        <v>0.628</v>
      </c>
      <c r="O345" s="7">
        <v>0.628</v>
      </c>
      <c r="P345" s="7">
        <v>0.628</v>
      </c>
      <c r="Q345" s="7">
        <v>0.628</v>
      </c>
    </row>
    <row r="346" spans="1:17">
      <c r="A346" s="2">
        <v>2294</v>
      </c>
      <c r="B346" s="7">
        <v>0.6</v>
      </c>
      <c r="C346" s="7">
        <v>0.6</v>
      </c>
      <c r="D346" s="7">
        <v>0.6</v>
      </c>
      <c r="E346" s="7">
        <v>0.6</v>
      </c>
      <c r="F346" s="7">
        <v>0.6</v>
      </c>
      <c r="G346" s="7">
        <v>0.6</v>
      </c>
      <c r="H346" s="7">
        <v>0.6</v>
      </c>
      <c r="I346" s="7">
        <v>0.624</v>
      </c>
      <c r="J346" s="7">
        <v>0.624</v>
      </c>
      <c r="K346" s="7">
        <v>0.624</v>
      </c>
      <c r="L346" s="7">
        <v>0.624</v>
      </c>
      <c r="M346" s="7">
        <v>0.624</v>
      </c>
      <c r="N346" s="7">
        <v>0.624</v>
      </c>
      <c r="O346" s="7">
        <v>0.624</v>
      </c>
      <c r="P346" s="7">
        <v>0.624</v>
      </c>
      <c r="Q346" s="7">
        <v>0.624</v>
      </c>
    </row>
    <row r="347" spans="1:17">
      <c r="A347" s="2">
        <v>2295</v>
      </c>
      <c r="B347" s="7">
        <v>0.6</v>
      </c>
      <c r="C347" s="7">
        <v>0.6</v>
      </c>
      <c r="D347" s="7">
        <v>0.6</v>
      </c>
      <c r="E347" s="7">
        <v>0.6</v>
      </c>
      <c r="F347" s="7">
        <v>0.6</v>
      </c>
      <c r="G347" s="7">
        <v>0.6</v>
      </c>
      <c r="H347" s="7">
        <v>0.6</v>
      </c>
      <c r="I347" s="7">
        <v>0.62</v>
      </c>
      <c r="J347" s="7">
        <v>0.62</v>
      </c>
      <c r="K347" s="7">
        <v>0.62</v>
      </c>
      <c r="L347" s="7">
        <v>0.62</v>
      </c>
      <c r="M347" s="7">
        <v>0.62</v>
      </c>
      <c r="N347" s="7">
        <v>0.62</v>
      </c>
      <c r="O347" s="7">
        <v>0.62</v>
      </c>
      <c r="P347" s="7">
        <v>0.62</v>
      </c>
      <c r="Q347" s="7">
        <v>0.62</v>
      </c>
    </row>
    <row r="348" spans="1:17">
      <c r="A348" s="2">
        <v>2296</v>
      </c>
      <c r="B348" s="7">
        <v>0.6</v>
      </c>
      <c r="C348" s="7">
        <v>0.6</v>
      </c>
      <c r="D348" s="7">
        <v>0.6</v>
      </c>
      <c r="E348" s="7">
        <v>0.6</v>
      </c>
      <c r="F348" s="7">
        <v>0.6</v>
      </c>
      <c r="G348" s="7">
        <v>0.6</v>
      </c>
      <c r="H348" s="7">
        <v>0.6</v>
      </c>
      <c r="I348" s="7">
        <v>0.61599999999999999</v>
      </c>
      <c r="J348" s="7">
        <v>0.61599999999999999</v>
      </c>
      <c r="K348" s="7">
        <v>0.61599999999999999</v>
      </c>
      <c r="L348" s="7">
        <v>0.61599999999999999</v>
      </c>
      <c r="M348" s="7">
        <v>0.61599999999999999</v>
      </c>
      <c r="N348" s="7">
        <v>0.61599999999999999</v>
      </c>
      <c r="O348" s="7">
        <v>0.61599999999999999</v>
      </c>
      <c r="P348" s="7">
        <v>0.61599999999999999</v>
      </c>
      <c r="Q348" s="7">
        <v>0.61599999999999999</v>
      </c>
    </row>
    <row r="349" spans="1:17">
      <c r="A349" s="2">
        <v>2297</v>
      </c>
      <c r="B349" s="7">
        <v>0.6</v>
      </c>
      <c r="C349" s="7">
        <v>0.6</v>
      </c>
      <c r="D349" s="7">
        <v>0.6</v>
      </c>
      <c r="E349" s="7">
        <v>0.6</v>
      </c>
      <c r="F349" s="7">
        <v>0.6</v>
      </c>
      <c r="G349" s="7">
        <v>0.6</v>
      </c>
      <c r="H349" s="7">
        <v>0.6</v>
      </c>
      <c r="I349" s="7">
        <v>0.61199999999999999</v>
      </c>
      <c r="J349" s="7">
        <v>0.61199999999999999</v>
      </c>
      <c r="K349" s="7">
        <v>0.61199999999999999</v>
      </c>
      <c r="L349" s="7">
        <v>0.61199999999999999</v>
      </c>
      <c r="M349" s="7">
        <v>0.61199999999999999</v>
      </c>
      <c r="N349" s="7">
        <v>0.61199999999999999</v>
      </c>
      <c r="O349" s="7">
        <v>0.61199999999999999</v>
      </c>
      <c r="P349" s="7">
        <v>0.61199999999999999</v>
      </c>
      <c r="Q349" s="7">
        <v>0.61199999999999999</v>
      </c>
    </row>
    <row r="350" spans="1:17">
      <c r="A350" s="2">
        <v>2298</v>
      </c>
      <c r="B350" s="7">
        <v>0.6</v>
      </c>
      <c r="C350" s="7">
        <v>0.6</v>
      </c>
      <c r="D350" s="7">
        <v>0.6</v>
      </c>
      <c r="E350" s="7">
        <v>0.6</v>
      </c>
      <c r="F350" s="7">
        <v>0.6</v>
      </c>
      <c r="G350" s="7">
        <v>0.6</v>
      </c>
      <c r="H350" s="7">
        <v>0.6</v>
      </c>
      <c r="I350" s="7">
        <v>0.60799999999999998</v>
      </c>
      <c r="J350" s="7">
        <v>0.60799999999999998</v>
      </c>
      <c r="K350" s="7">
        <v>0.60799999999999998</v>
      </c>
      <c r="L350" s="7">
        <v>0.60799999999999998</v>
      </c>
      <c r="M350" s="7">
        <v>0.60799999999999998</v>
      </c>
      <c r="N350" s="7">
        <v>0.60799999999999998</v>
      </c>
      <c r="O350" s="7">
        <v>0.60799999999999998</v>
      </c>
      <c r="P350" s="7">
        <v>0.60799999999999998</v>
      </c>
      <c r="Q350" s="7">
        <v>0.60799999999999998</v>
      </c>
    </row>
    <row r="351" spans="1:17">
      <c r="A351" s="2">
        <v>2299</v>
      </c>
      <c r="B351" s="7">
        <v>0.6</v>
      </c>
      <c r="C351" s="7">
        <v>0.6</v>
      </c>
      <c r="D351" s="7">
        <v>0.6</v>
      </c>
      <c r="E351" s="7">
        <v>0.6</v>
      </c>
      <c r="F351" s="7">
        <v>0.6</v>
      </c>
      <c r="G351" s="7">
        <v>0.6</v>
      </c>
      <c r="H351" s="7">
        <v>0.6</v>
      </c>
      <c r="I351" s="7">
        <v>0.60399999999999998</v>
      </c>
      <c r="J351" s="7">
        <v>0.60399999999999998</v>
      </c>
      <c r="K351" s="7">
        <v>0.60399999999999998</v>
      </c>
      <c r="L351" s="7">
        <v>0.60399999999999998</v>
      </c>
      <c r="M351" s="7">
        <v>0.60399999999999998</v>
      </c>
      <c r="N351" s="7">
        <v>0.60399999999999998</v>
      </c>
      <c r="O351" s="7">
        <v>0.60399999999999998</v>
      </c>
      <c r="P351" s="7">
        <v>0.60399999999999998</v>
      </c>
      <c r="Q351" s="7">
        <v>0.60399999999999998</v>
      </c>
    </row>
    <row r="352" spans="1:17">
      <c r="A352" s="2">
        <v>2300</v>
      </c>
      <c r="B352" s="7">
        <v>0.6</v>
      </c>
      <c r="C352" s="7">
        <v>0.6</v>
      </c>
      <c r="D352" s="7">
        <v>0.6</v>
      </c>
      <c r="E352" s="7">
        <v>0.6</v>
      </c>
      <c r="F352" s="7">
        <v>0.6</v>
      </c>
      <c r="G352" s="7">
        <v>0.6</v>
      </c>
      <c r="H352" s="7">
        <v>0.6</v>
      </c>
      <c r="I352" s="7">
        <v>0.6</v>
      </c>
      <c r="J352" s="7">
        <v>0.6</v>
      </c>
      <c r="K352" s="7">
        <v>0.6</v>
      </c>
      <c r="L352" s="7">
        <v>0.6</v>
      </c>
      <c r="M352" s="7">
        <v>0.6</v>
      </c>
      <c r="N352" s="7">
        <v>0.6</v>
      </c>
      <c r="O352" s="7">
        <v>0.6</v>
      </c>
      <c r="P352" s="7">
        <v>0.6</v>
      </c>
      <c r="Q352" s="7">
        <v>0.6</v>
      </c>
    </row>
    <row r="353" spans="1:17">
      <c r="A353" s="2">
        <v>2301</v>
      </c>
      <c r="B353" s="7">
        <v>0.6</v>
      </c>
      <c r="C353" s="7">
        <v>0.6</v>
      </c>
      <c r="D353" s="7">
        <v>0.6</v>
      </c>
      <c r="E353" s="7">
        <v>0.6</v>
      </c>
      <c r="F353" s="7">
        <v>0.6</v>
      </c>
      <c r="G353" s="7">
        <v>0.6</v>
      </c>
      <c r="H353" s="7">
        <v>0.6</v>
      </c>
      <c r="I353" s="7">
        <v>0.6</v>
      </c>
      <c r="J353" s="7">
        <v>0.6</v>
      </c>
      <c r="K353" s="7">
        <v>0.6</v>
      </c>
      <c r="L353" s="7">
        <v>0.6</v>
      </c>
      <c r="M353" s="7">
        <v>0.6</v>
      </c>
      <c r="N353" s="7">
        <v>0.6</v>
      </c>
      <c r="O353" s="7">
        <v>0.6</v>
      </c>
      <c r="P353" s="7">
        <v>0.6</v>
      </c>
      <c r="Q353" s="7">
        <v>0.6</v>
      </c>
    </row>
    <row r="354" spans="1:17">
      <c r="A354" s="2">
        <v>2302</v>
      </c>
      <c r="B354" s="7">
        <v>0.6</v>
      </c>
      <c r="C354" s="7">
        <v>0.6</v>
      </c>
      <c r="D354" s="7">
        <v>0.6</v>
      </c>
      <c r="E354" s="7">
        <v>0.6</v>
      </c>
      <c r="F354" s="7">
        <v>0.6</v>
      </c>
      <c r="G354" s="7">
        <v>0.6</v>
      </c>
      <c r="H354" s="7">
        <v>0.6</v>
      </c>
      <c r="I354" s="7">
        <v>0.6</v>
      </c>
      <c r="J354" s="7">
        <v>0.6</v>
      </c>
      <c r="K354" s="7">
        <v>0.6</v>
      </c>
      <c r="L354" s="7">
        <v>0.6</v>
      </c>
      <c r="M354" s="7">
        <v>0.6</v>
      </c>
      <c r="N354" s="7">
        <v>0.6</v>
      </c>
      <c r="O354" s="7">
        <v>0.6</v>
      </c>
      <c r="P354" s="7">
        <v>0.6</v>
      </c>
      <c r="Q354" s="7">
        <v>0.6</v>
      </c>
    </row>
    <row r="355" spans="1:17">
      <c r="A355" s="2">
        <v>2303</v>
      </c>
      <c r="B355" s="7">
        <v>0.6</v>
      </c>
      <c r="C355" s="7">
        <v>0.6</v>
      </c>
      <c r="D355" s="7">
        <v>0.6</v>
      </c>
      <c r="E355" s="7">
        <v>0.6</v>
      </c>
      <c r="F355" s="7">
        <v>0.6</v>
      </c>
      <c r="G355" s="7">
        <v>0.6</v>
      </c>
      <c r="H355" s="7">
        <v>0.6</v>
      </c>
      <c r="I355" s="7">
        <v>0.6</v>
      </c>
      <c r="J355" s="7">
        <v>0.6</v>
      </c>
      <c r="K355" s="7">
        <v>0.6</v>
      </c>
      <c r="L355" s="7">
        <v>0.6</v>
      </c>
      <c r="M355" s="7">
        <v>0.6</v>
      </c>
      <c r="N355" s="7">
        <v>0.6</v>
      </c>
      <c r="O355" s="7">
        <v>0.6</v>
      </c>
      <c r="P355" s="7">
        <v>0.6</v>
      </c>
      <c r="Q355" s="7">
        <v>0.6</v>
      </c>
    </row>
    <row r="356" spans="1:17">
      <c r="A356" s="2">
        <v>2304</v>
      </c>
      <c r="B356" s="7">
        <v>0.6</v>
      </c>
      <c r="C356" s="7">
        <v>0.6</v>
      </c>
      <c r="D356" s="7">
        <v>0.6</v>
      </c>
      <c r="E356" s="7">
        <v>0.6</v>
      </c>
      <c r="F356" s="7">
        <v>0.6</v>
      </c>
      <c r="G356" s="7">
        <v>0.6</v>
      </c>
      <c r="H356" s="7">
        <v>0.6</v>
      </c>
      <c r="I356" s="7">
        <v>0.6</v>
      </c>
      <c r="J356" s="7">
        <v>0.6</v>
      </c>
      <c r="K356" s="7">
        <v>0.6</v>
      </c>
      <c r="L356" s="7">
        <v>0.6</v>
      </c>
      <c r="M356" s="7">
        <v>0.6</v>
      </c>
      <c r="N356" s="7">
        <v>0.6</v>
      </c>
      <c r="O356" s="7">
        <v>0.6</v>
      </c>
      <c r="P356" s="7">
        <v>0.6</v>
      </c>
      <c r="Q356" s="7">
        <v>0.6</v>
      </c>
    </row>
    <row r="357" spans="1:17">
      <c r="A357" s="2">
        <v>2305</v>
      </c>
      <c r="B357" s="7">
        <v>0.6</v>
      </c>
      <c r="C357" s="7">
        <v>0.6</v>
      </c>
      <c r="D357" s="7">
        <v>0.6</v>
      </c>
      <c r="E357" s="7">
        <v>0.6</v>
      </c>
      <c r="F357" s="7">
        <v>0.6</v>
      </c>
      <c r="G357" s="7">
        <v>0.6</v>
      </c>
      <c r="H357" s="7">
        <v>0.6</v>
      </c>
      <c r="I357" s="7">
        <v>0.6</v>
      </c>
      <c r="J357" s="7">
        <v>0.6</v>
      </c>
      <c r="K357" s="7">
        <v>0.6</v>
      </c>
      <c r="L357" s="7">
        <v>0.6</v>
      </c>
      <c r="M357" s="7">
        <v>0.6</v>
      </c>
      <c r="N357" s="7">
        <v>0.6</v>
      </c>
      <c r="O357" s="7">
        <v>0.6</v>
      </c>
      <c r="P357" s="7">
        <v>0.6</v>
      </c>
      <c r="Q357" s="7">
        <v>0.6</v>
      </c>
    </row>
    <row r="358" spans="1:17">
      <c r="A358" s="2">
        <v>2306</v>
      </c>
      <c r="B358" s="7">
        <v>0.6</v>
      </c>
      <c r="C358" s="7">
        <v>0.6</v>
      </c>
      <c r="D358" s="7">
        <v>0.6</v>
      </c>
      <c r="E358" s="7">
        <v>0.6</v>
      </c>
      <c r="F358" s="7">
        <v>0.6</v>
      </c>
      <c r="G358" s="7">
        <v>0.6</v>
      </c>
      <c r="H358" s="7">
        <v>0.6</v>
      </c>
      <c r="I358" s="7">
        <v>0.6</v>
      </c>
      <c r="J358" s="7">
        <v>0.6</v>
      </c>
      <c r="K358" s="7">
        <v>0.6</v>
      </c>
      <c r="L358" s="7">
        <v>0.6</v>
      </c>
      <c r="M358" s="7">
        <v>0.6</v>
      </c>
      <c r="N358" s="7">
        <v>0.6</v>
      </c>
      <c r="O358" s="7">
        <v>0.6</v>
      </c>
      <c r="P358" s="7">
        <v>0.6</v>
      </c>
      <c r="Q358" s="7">
        <v>0.6</v>
      </c>
    </row>
    <row r="359" spans="1:17">
      <c r="A359" s="2">
        <v>2307</v>
      </c>
      <c r="B359" s="7">
        <v>0.6</v>
      </c>
      <c r="C359" s="7">
        <v>0.6</v>
      </c>
      <c r="D359" s="7">
        <v>0.6</v>
      </c>
      <c r="E359" s="7">
        <v>0.6</v>
      </c>
      <c r="F359" s="7">
        <v>0.6</v>
      </c>
      <c r="G359" s="7">
        <v>0.6</v>
      </c>
      <c r="H359" s="7">
        <v>0.6</v>
      </c>
      <c r="I359" s="7">
        <v>0.6</v>
      </c>
      <c r="J359" s="7">
        <v>0.6</v>
      </c>
      <c r="K359" s="7">
        <v>0.6</v>
      </c>
      <c r="L359" s="7">
        <v>0.6</v>
      </c>
      <c r="M359" s="7">
        <v>0.6</v>
      </c>
      <c r="N359" s="7">
        <v>0.6</v>
      </c>
      <c r="O359" s="7">
        <v>0.6</v>
      </c>
      <c r="P359" s="7">
        <v>0.6</v>
      </c>
      <c r="Q359" s="7">
        <v>0.6</v>
      </c>
    </row>
    <row r="360" spans="1:17">
      <c r="A360" s="2">
        <v>2308</v>
      </c>
      <c r="B360" s="7">
        <v>0.6</v>
      </c>
      <c r="C360" s="7">
        <v>0.6</v>
      </c>
      <c r="D360" s="7">
        <v>0.6</v>
      </c>
      <c r="E360" s="7">
        <v>0.6</v>
      </c>
      <c r="F360" s="7">
        <v>0.6</v>
      </c>
      <c r="G360" s="7">
        <v>0.6</v>
      </c>
      <c r="H360" s="7">
        <v>0.6</v>
      </c>
      <c r="I360" s="7">
        <v>0.6</v>
      </c>
      <c r="J360" s="7">
        <v>0.6</v>
      </c>
      <c r="K360" s="7">
        <v>0.6</v>
      </c>
      <c r="L360" s="7">
        <v>0.6</v>
      </c>
      <c r="M360" s="7">
        <v>0.6</v>
      </c>
      <c r="N360" s="7">
        <v>0.6</v>
      </c>
      <c r="O360" s="7">
        <v>0.6</v>
      </c>
      <c r="P360" s="7">
        <v>0.6</v>
      </c>
      <c r="Q360" s="7">
        <v>0.6</v>
      </c>
    </row>
    <row r="361" spans="1:17">
      <c r="A361" s="2">
        <v>2309</v>
      </c>
      <c r="B361" s="7">
        <v>0.6</v>
      </c>
      <c r="C361" s="7">
        <v>0.6</v>
      </c>
      <c r="D361" s="7">
        <v>0.6</v>
      </c>
      <c r="E361" s="7">
        <v>0.6</v>
      </c>
      <c r="F361" s="7">
        <v>0.6</v>
      </c>
      <c r="G361" s="7">
        <v>0.6</v>
      </c>
      <c r="H361" s="7">
        <v>0.6</v>
      </c>
      <c r="I361" s="7">
        <v>0.6</v>
      </c>
      <c r="J361" s="7">
        <v>0.6</v>
      </c>
      <c r="K361" s="7">
        <v>0.6</v>
      </c>
      <c r="L361" s="7">
        <v>0.6</v>
      </c>
      <c r="M361" s="7">
        <v>0.6</v>
      </c>
      <c r="N361" s="7">
        <v>0.6</v>
      </c>
      <c r="O361" s="7">
        <v>0.6</v>
      </c>
      <c r="P361" s="7">
        <v>0.6</v>
      </c>
      <c r="Q361" s="7">
        <v>0.6</v>
      </c>
    </row>
    <row r="362" spans="1:17">
      <c r="A362" s="2">
        <v>2310</v>
      </c>
      <c r="B362" s="7">
        <v>0.6</v>
      </c>
      <c r="C362" s="7">
        <v>0.6</v>
      </c>
      <c r="D362" s="7">
        <v>0.6</v>
      </c>
      <c r="E362" s="7">
        <v>0.6</v>
      </c>
      <c r="F362" s="7">
        <v>0.6</v>
      </c>
      <c r="G362" s="7">
        <v>0.6</v>
      </c>
      <c r="H362" s="7">
        <v>0.6</v>
      </c>
      <c r="I362" s="7">
        <v>0.6</v>
      </c>
      <c r="J362" s="7">
        <v>0.6</v>
      </c>
      <c r="K362" s="7">
        <v>0.6</v>
      </c>
      <c r="L362" s="7">
        <v>0.6</v>
      </c>
      <c r="M362" s="7">
        <v>0.6</v>
      </c>
      <c r="N362" s="7">
        <v>0.6</v>
      </c>
      <c r="O362" s="7">
        <v>0.6</v>
      </c>
      <c r="P362" s="7">
        <v>0.6</v>
      </c>
      <c r="Q362" s="7">
        <v>0.6</v>
      </c>
    </row>
    <row r="363" spans="1:17">
      <c r="A363" s="2">
        <v>2311</v>
      </c>
      <c r="B363" s="7">
        <v>0.6</v>
      </c>
      <c r="C363" s="7">
        <v>0.6</v>
      </c>
      <c r="D363" s="7">
        <v>0.6</v>
      </c>
      <c r="E363" s="7">
        <v>0.6</v>
      </c>
      <c r="F363" s="7">
        <v>0.6</v>
      </c>
      <c r="G363" s="7">
        <v>0.6</v>
      </c>
      <c r="H363" s="7">
        <v>0.6</v>
      </c>
      <c r="I363" s="7">
        <v>0.6</v>
      </c>
      <c r="J363" s="7">
        <v>0.6</v>
      </c>
      <c r="K363" s="7">
        <v>0.6</v>
      </c>
      <c r="L363" s="7">
        <v>0.6</v>
      </c>
      <c r="M363" s="7">
        <v>0.6</v>
      </c>
      <c r="N363" s="7">
        <v>0.6</v>
      </c>
      <c r="O363" s="7">
        <v>0.6</v>
      </c>
      <c r="P363" s="7">
        <v>0.6</v>
      </c>
      <c r="Q363" s="7">
        <v>0.6</v>
      </c>
    </row>
    <row r="364" spans="1:17">
      <c r="A364" s="2">
        <v>2312</v>
      </c>
      <c r="B364" s="7">
        <v>0.6</v>
      </c>
      <c r="C364" s="7">
        <v>0.6</v>
      </c>
      <c r="D364" s="7">
        <v>0.6</v>
      </c>
      <c r="E364" s="7">
        <v>0.6</v>
      </c>
      <c r="F364" s="7">
        <v>0.6</v>
      </c>
      <c r="G364" s="7">
        <v>0.6</v>
      </c>
      <c r="H364" s="7">
        <v>0.6</v>
      </c>
      <c r="I364" s="7">
        <v>0.6</v>
      </c>
      <c r="J364" s="7">
        <v>0.6</v>
      </c>
      <c r="K364" s="7">
        <v>0.6</v>
      </c>
      <c r="L364" s="7">
        <v>0.6</v>
      </c>
      <c r="M364" s="7">
        <v>0.6</v>
      </c>
      <c r="N364" s="7">
        <v>0.6</v>
      </c>
      <c r="O364" s="7">
        <v>0.6</v>
      </c>
      <c r="P364" s="7">
        <v>0.6</v>
      </c>
      <c r="Q364" s="7">
        <v>0.6</v>
      </c>
    </row>
    <row r="365" spans="1:17">
      <c r="A365" s="2">
        <v>2313</v>
      </c>
      <c r="B365" s="7">
        <v>0.6</v>
      </c>
      <c r="C365" s="7">
        <v>0.6</v>
      </c>
      <c r="D365" s="7">
        <v>0.6</v>
      </c>
      <c r="E365" s="7">
        <v>0.6</v>
      </c>
      <c r="F365" s="7">
        <v>0.6</v>
      </c>
      <c r="G365" s="7">
        <v>0.6</v>
      </c>
      <c r="H365" s="7">
        <v>0.6</v>
      </c>
      <c r="I365" s="7">
        <v>0.6</v>
      </c>
      <c r="J365" s="7">
        <v>0.6</v>
      </c>
      <c r="K365" s="7">
        <v>0.6</v>
      </c>
      <c r="L365" s="7">
        <v>0.6</v>
      </c>
      <c r="M365" s="7">
        <v>0.6</v>
      </c>
      <c r="N365" s="7">
        <v>0.6</v>
      </c>
      <c r="O365" s="7">
        <v>0.6</v>
      </c>
      <c r="P365" s="7">
        <v>0.6</v>
      </c>
      <c r="Q365" s="7">
        <v>0.6</v>
      </c>
    </row>
    <row r="366" spans="1:17">
      <c r="A366" s="2">
        <v>2314</v>
      </c>
      <c r="B366" s="7">
        <v>0.6</v>
      </c>
      <c r="C366" s="7">
        <v>0.6</v>
      </c>
      <c r="D366" s="7">
        <v>0.6</v>
      </c>
      <c r="E366" s="7">
        <v>0.6</v>
      </c>
      <c r="F366" s="7">
        <v>0.6</v>
      </c>
      <c r="G366" s="7">
        <v>0.6</v>
      </c>
      <c r="H366" s="7">
        <v>0.6</v>
      </c>
      <c r="I366" s="7">
        <v>0.6</v>
      </c>
      <c r="J366" s="7">
        <v>0.6</v>
      </c>
      <c r="K366" s="7">
        <v>0.6</v>
      </c>
      <c r="L366" s="7">
        <v>0.6</v>
      </c>
      <c r="M366" s="7">
        <v>0.6</v>
      </c>
      <c r="N366" s="7">
        <v>0.6</v>
      </c>
      <c r="O366" s="7">
        <v>0.6</v>
      </c>
      <c r="P366" s="7">
        <v>0.6</v>
      </c>
      <c r="Q366" s="7">
        <v>0.6</v>
      </c>
    </row>
    <row r="367" spans="1:17">
      <c r="A367" s="2">
        <v>2315</v>
      </c>
      <c r="B367" s="7">
        <v>0.6</v>
      </c>
      <c r="C367" s="7">
        <v>0.6</v>
      </c>
      <c r="D367" s="7">
        <v>0.6</v>
      </c>
      <c r="E367" s="7">
        <v>0.6</v>
      </c>
      <c r="F367" s="7">
        <v>0.6</v>
      </c>
      <c r="G367" s="7">
        <v>0.6</v>
      </c>
      <c r="H367" s="7">
        <v>0.6</v>
      </c>
      <c r="I367" s="7">
        <v>0.6</v>
      </c>
      <c r="J367" s="7">
        <v>0.6</v>
      </c>
      <c r="K367" s="7">
        <v>0.6</v>
      </c>
      <c r="L367" s="7">
        <v>0.6</v>
      </c>
      <c r="M367" s="7">
        <v>0.6</v>
      </c>
      <c r="N367" s="7">
        <v>0.6</v>
      </c>
      <c r="O367" s="7">
        <v>0.6</v>
      </c>
      <c r="P367" s="7">
        <v>0.6</v>
      </c>
      <c r="Q367" s="7">
        <v>0.6</v>
      </c>
    </row>
    <row r="368" spans="1:17">
      <c r="A368" s="2">
        <v>2316</v>
      </c>
      <c r="B368" s="7">
        <v>0.6</v>
      </c>
      <c r="C368" s="7">
        <v>0.6</v>
      </c>
      <c r="D368" s="7">
        <v>0.6</v>
      </c>
      <c r="E368" s="7">
        <v>0.6</v>
      </c>
      <c r="F368" s="7">
        <v>0.6</v>
      </c>
      <c r="G368" s="7">
        <v>0.6</v>
      </c>
      <c r="H368" s="7">
        <v>0.6</v>
      </c>
      <c r="I368" s="7">
        <v>0.6</v>
      </c>
      <c r="J368" s="7">
        <v>0.6</v>
      </c>
      <c r="K368" s="7">
        <v>0.6</v>
      </c>
      <c r="L368" s="7">
        <v>0.6</v>
      </c>
      <c r="M368" s="7">
        <v>0.6</v>
      </c>
      <c r="N368" s="7">
        <v>0.6</v>
      </c>
      <c r="O368" s="7">
        <v>0.6</v>
      </c>
      <c r="P368" s="7">
        <v>0.6</v>
      </c>
      <c r="Q368" s="7">
        <v>0.6</v>
      </c>
    </row>
    <row r="369" spans="1:17">
      <c r="A369" s="2">
        <v>2317</v>
      </c>
      <c r="B369" s="7">
        <v>0.6</v>
      </c>
      <c r="C369" s="7">
        <v>0.6</v>
      </c>
      <c r="D369" s="7">
        <v>0.6</v>
      </c>
      <c r="E369" s="7">
        <v>0.6</v>
      </c>
      <c r="F369" s="7">
        <v>0.6</v>
      </c>
      <c r="G369" s="7">
        <v>0.6</v>
      </c>
      <c r="H369" s="7">
        <v>0.6</v>
      </c>
      <c r="I369" s="7">
        <v>0.6</v>
      </c>
      <c r="J369" s="7">
        <v>0.6</v>
      </c>
      <c r="K369" s="7">
        <v>0.6</v>
      </c>
      <c r="L369" s="7">
        <v>0.6</v>
      </c>
      <c r="M369" s="7">
        <v>0.6</v>
      </c>
      <c r="N369" s="7">
        <v>0.6</v>
      </c>
      <c r="O369" s="7">
        <v>0.6</v>
      </c>
      <c r="P369" s="7">
        <v>0.6</v>
      </c>
      <c r="Q369" s="7">
        <v>0.6</v>
      </c>
    </row>
    <row r="370" spans="1:17">
      <c r="A370" s="2">
        <v>2318</v>
      </c>
      <c r="B370" s="7">
        <v>0.6</v>
      </c>
      <c r="C370" s="7">
        <v>0.6</v>
      </c>
      <c r="D370" s="7">
        <v>0.6</v>
      </c>
      <c r="E370" s="7">
        <v>0.6</v>
      </c>
      <c r="F370" s="7">
        <v>0.6</v>
      </c>
      <c r="G370" s="7">
        <v>0.6</v>
      </c>
      <c r="H370" s="7">
        <v>0.6</v>
      </c>
      <c r="I370" s="7">
        <v>0.6</v>
      </c>
      <c r="J370" s="7">
        <v>0.6</v>
      </c>
      <c r="K370" s="7">
        <v>0.6</v>
      </c>
      <c r="L370" s="7">
        <v>0.6</v>
      </c>
      <c r="M370" s="7">
        <v>0.6</v>
      </c>
      <c r="N370" s="7">
        <v>0.6</v>
      </c>
      <c r="O370" s="7">
        <v>0.6</v>
      </c>
      <c r="P370" s="7">
        <v>0.6</v>
      </c>
      <c r="Q370" s="7">
        <v>0.6</v>
      </c>
    </row>
    <row r="371" spans="1:17">
      <c r="A371" s="2">
        <v>2319</v>
      </c>
      <c r="B371" s="7">
        <v>0.6</v>
      </c>
      <c r="C371" s="7">
        <v>0.6</v>
      </c>
      <c r="D371" s="7">
        <v>0.6</v>
      </c>
      <c r="E371" s="7">
        <v>0.6</v>
      </c>
      <c r="F371" s="7">
        <v>0.6</v>
      </c>
      <c r="G371" s="7">
        <v>0.6</v>
      </c>
      <c r="H371" s="7">
        <v>0.6</v>
      </c>
      <c r="I371" s="7">
        <v>0.6</v>
      </c>
      <c r="J371" s="7">
        <v>0.6</v>
      </c>
      <c r="K371" s="7">
        <v>0.6</v>
      </c>
      <c r="L371" s="7">
        <v>0.6</v>
      </c>
      <c r="M371" s="7">
        <v>0.6</v>
      </c>
      <c r="N371" s="7">
        <v>0.6</v>
      </c>
      <c r="O371" s="7">
        <v>0.6</v>
      </c>
      <c r="P371" s="7">
        <v>0.6</v>
      </c>
      <c r="Q371" s="7">
        <v>0.6</v>
      </c>
    </row>
    <row r="372" spans="1:17">
      <c r="A372" s="2">
        <v>2320</v>
      </c>
      <c r="B372" s="7">
        <v>0.6</v>
      </c>
      <c r="C372" s="7">
        <v>0.6</v>
      </c>
      <c r="D372" s="7">
        <v>0.6</v>
      </c>
      <c r="E372" s="7">
        <v>0.6</v>
      </c>
      <c r="F372" s="7">
        <v>0.6</v>
      </c>
      <c r="G372" s="7">
        <v>0.6</v>
      </c>
      <c r="H372" s="7">
        <v>0.6</v>
      </c>
      <c r="I372" s="7">
        <v>0.6</v>
      </c>
      <c r="J372" s="7">
        <v>0.6</v>
      </c>
      <c r="K372" s="7">
        <v>0.6</v>
      </c>
      <c r="L372" s="7">
        <v>0.6</v>
      </c>
      <c r="M372" s="7">
        <v>0.6</v>
      </c>
      <c r="N372" s="7">
        <v>0.6</v>
      </c>
      <c r="O372" s="7">
        <v>0.6</v>
      </c>
      <c r="P372" s="7">
        <v>0.6</v>
      </c>
      <c r="Q372" s="7">
        <v>0.6</v>
      </c>
    </row>
    <row r="373" spans="1:17">
      <c r="A373" s="2">
        <v>2321</v>
      </c>
      <c r="B373" s="7">
        <v>0.6</v>
      </c>
      <c r="C373" s="7">
        <v>0.6</v>
      </c>
      <c r="D373" s="7">
        <v>0.6</v>
      </c>
      <c r="E373" s="7">
        <v>0.6</v>
      </c>
      <c r="F373" s="7">
        <v>0.6</v>
      </c>
      <c r="G373" s="7">
        <v>0.6</v>
      </c>
      <c r="H373" s="7">
        <v>0.6</v>
      </c>
      <c r="I373" s="7">
        <v>0.6</v>
      </c>
      <c r="J373" s="7">
        <v>0.6</v>
      </c>
      <c r="K373" s="7">
        <v>0.6</v>
      </c>
      <c r="L373" s="7">
        <v>0.6</v>
      </c>
      <c r="M373" s="7">
        <v>0.6</v>
      </c>
      <c r="N373" s="7">
        <v>0.6</v>
      </c>
      <c r="O373" s="7">
        <v>0.6</v>
      </c>
      <c r="P373" s="7">
        <v>0.6</v>
      </c>
      <c r="Q373" s="7">
        <v>0.6</v>
      </c>
    </row>
    <row r="374" spans="1:17">
      <c r="A374" s="2">
        <v>2322</v>
      </c>
      <c r="B374" s="7">
        <v>0.6</v>
      </c>
      <c r="C374" s="7">
        <v>0.6</v>
      </c>
      <c r="D374" s="7">
        <v>0.6</v>
      </c>
      <c r="E374" s="7">
        <v>0.6</v>
      </c>
      <c r="F374" s="7">
        <v>0.6</v>
      </c>
      <c r="G374" s="7">
        <v>0.6</v>
      </c>
      <c r="H374" s="7">
        <v>0.6</v>
      </c>
      <c r="I374" s="7">
        <v>0.6</v>
      </c>
      <c r="J374" s="7">
        <v>0.6</v>
      </c>
      <c r="K374" s="7">
        <v>0.6</v>
      </c>
      <c r="L374" s="7">
        <v>0.6</v>
      </c>
      <c r="M374" s="7">
        <v>0.6</v>
      </c>
      <c r="N374" s="7">
        <v>0.6</v>
      </c>
      <c r="O374" s="7">
        <v>0.6</v>
      </c>
      <c r="P374" s="7">
        <v>0.6</v>
      </c>
      <c r="Q374" s="7">
        <v>0.6</v>
      </c>
    </row>
    <row r="375" spans="1:17">
      <c r="A375" s="2">
        <v>2323</v>
      </c>
      <c r="B375" s="7">
        <v>0.6</v>
      </c>
      <c r="C375" s="7">
        <v>0.6</v>
      </c>
      <c r="D375" s="7">
        <v>0.6</v>
      </c>
      <c r="E375" s="7">
        <v>0.6</v>
      </c>
      <c r="F375" s="7">
        <v>0.6</v>
      </c>
      <c r="G375" s="7">
        <v>0.6</v>
      </c>
      <c r="H375" s="7">
        <v>0.6</v>
      </c>
      <c r="I375" s="7">
        <v>0.6</v>
      </c>
      <c r="J375" s="7">
        <v>0.6</v>
      </c>
      <c r="K375" s="7">
        <v>0.6</v>
      </c>
      <c r="L375" s="7">
        <v>0.6</v>
      </c>
      <c r="M375" s="7">
        <v>0.6</v>
      </c>
      <c r="N375" s="7">
        <v>0.6</v>
      </c>
      <c r="O375" s="7">
        <v>0.6</v>
      </c>
      <c r="P375" s="7">
        <v>0.6</v>
      </c>
      <c r="Q375" s="7">
        <v>0.6</v>
      </c>
    </row>
    <row r="376" spans="1:17">
      <c r="A376" s="2">
        <v>2324</v>
      </c>
      <c r="B376" s="7">
        <v>0.6</v>
      </c>
      <c r="C376" s="7">
        <v>0.6</v>
      </c>
      <c r="D376" s="7">
        <v>0.6</v>
      </c>
      <c r="E376" s="7">
        <v>0.6</v>
      </c>
      <c r="F376" s="7">
        <v>0.6</v>
      </c>
      <c r="G376" s="7">
        <v>0.6</v>
      </c>
      <c r="H376" s="7">
        <v>0.6</v>
      </c>
      <c r="I376" s="7">
        <v>0.6</v>
      </c>
      <c r="J376" s="7">
        <v>0.6</v>
      </c>
      <c r="K376" s="7">
        <v>0.6</v>
      </c>
      <c r="L376" s="7">
        <v>0.6</v>
      </c>
      <c r="M376" s="7">
        <v>0.6</v>
      </c>
      <c r="N376" s="7">
        <v>0.6</v>
      </c>
      <c r="O376" s="7">
        <v>0.6</v>
      </c>
      <c r="P376" s="7">
        <v>0.6</v>
      </c>
      <c r="Q376" s="7">
        <v>0.6</v>
      </c>
    </row>
    <row r="377" spans="1:17">
      <c r="A377" s="2">
        <v>2325</v>
      </c>
      <c r="B377" s="7">
        <v>0.6</v>
      </c>
      <c r="C377" s="7">
        <v>0.6</v>
      </c>
      <c r="D377" s="7">
        <v>0.6</v>
      </c>
      <c r="E377" s="7">
        <v>0.6</v>
      </c>
      <c r="F377" s="7">
        <v>0.6</v>
      </c>
      <c r="G377" s="7">
        <v>0.6</v>
      </c>
      <c r="H377" s="7">
        <v>0.6</v>
      </c>
      <c r="I377" s="7">
        <v>0.6</v>
      </c>
      <c r="J377" s="7">
        <v>0.6</v>
      </c>
      <c r="K377" s="7">
        <v>0.6</v>
      </c>
      <c r="L377" s="7">
        <v>0.6</v>
      </c>
      <c r="M377" s="7">
        <v>0.6</v>
      </c>
      <c r="N377" s="7">
        <v>0.6</v>
      </c>
      <c r="O377" s="7">
        <v>0.6</v>
      </c>
      <c r="P377" s="7">
        <v>0.6</v>
      </c>
      <c r="Q377" s="7">
        <v>0.6</v>
      </c>
    </row>
    <row r="378" spans="1:17">
      <c r="A378" s="2">
        <v>2326</v>
      </c>
      <c r="B378" s="7">
        <v>0.6</v>
      </c>
      <c r="C378" s="7">
        <v>0.6</v>
      </c>
      <c r="D378" s="7">
        <v>0.6</v>
      </c>
      <c r="E378" s="7">
        <v>0.6</v>
      </c>
      <c r="F378" s="7">
        <v>0.6</v>
      </c>
      <c r="G378" s="7">
        <v>0.6</v>
      </c>
      <c r="H378" s="7">
        <v>0.6</v>
      </c>
      <c r="I378" s="7">
        <v>0.6</v>
      </c>
      <c r="J378" s="7">
        <v>0.6</v>
      </c>
      <c r="K378" s="7">
        <v>0.6</v>
      </c>
      <c r="L378" s="7">
        <v>0.6</v>
      </c>
      <c r="M378" s="7">
        <v>0.6</v>
      </c>
      <c r="N378" s="7">
        <v>0.6</v>
      </c>
      <c r="O378" s="7">
        <v>0.6</v>
      </c>
      <c r="P378" s="7">
        <v>0.6</v>
      </c>
      <c r="Q378" s="7">
        <v>0.6</v>
      </c>
    </row>
    <row r="379" spans="1:17">
      <c r="A379" s="2">
        <v>2327</v>
      </c>
      <c r="B379" s="7">
        <v>0.6</v>
      </c>
      <c r="C379" s="7">
        <v>0.6</v>
      </c>
      <c r="D379" s="7">
        <v>0.6</v>
      </c>
      <c r="E379" s="7">
        <v>0.6</v>
      </c>
      <c r="F379" s="7">
        <v>0.6</v>
      </c>
      <c r="G379" s="7">
        <v>0.6</v>
      </c>
      <c r="H379" s="7">
        <v>0.6</v>
      </c>
      <c r="I379" s="7">
        <v>0.6</v>
      </c>
      <c r="J379" s="7">
        <v>0.6</v>
      </c>
      <c r="K379" s="7">
        <v>0.6</v>
      </c>
      <c r="L379" s="7">
        <v>0.6</v>
      </c>
      <c r="M379" s="7">
        <v>0.6</v>
      </c>
      <c r="N379" s="7">
        <v>0.6</v>
      </c>
      <c r="O379" s="7">
        <v>0.6</v>
      </c>
      <c r="P379" s="7">
        <v>0.6</v>
      </c>
      <c r="Q379" s="7">
        <v>0.6</v>
      </c>
    </row>
    <row r="380" spans="1:17">
      <c r="A380" s="2">
        <v>2328</v>
      </c>
      <c r="B380" s="7">
        <v>0.6</v>
      </c>
      <c r="C380" s="7">
        <v>0.6</v>
      </c>
      <c r="D380" s="7">
        <v>0.6</v>
      </c>
      <c r="E380" s="7">
        <v>0.6</v>
      </c>
      <c r="F380" s="7">
        <v>0.6</v>
      </c>
      <c r="G380" s="7">
        <v>0.6</v>
      </c>
      <c r="H380" s="7">
        <v>0.6</v>
      </c>
      <c r="I380" s="7">
        <v>0.6</v>
      </c>
      <c r="J380" s="7">
        <v>0.6</v>
      </c>
      <c r="K380" s="7">
        <v>0.6</v>
      </c>
      <c r="L380" s="7">
        <v>0.6</v>
      </c>
      <c r="M380" s="7">
        <v>0.6</v>
      </c>
      <c r="N380" s="7">
        <v>0.6</v>
      </c>
      <c r="O380" s="7">
        <v>0.6</v>
      </c>
      <c r="P380" s="7">
        <v>0.6</v>
      </c>
      <c r="Q380" s="7">
        <v>0.6</v>
      </c>
    </row>
    <row r="381" spans="1:17">
      <c r="A381" s="2">
        <v>2329</v>
      </c>
      <c r="B381" s="7">
        <v>0.6</v>
      </c>
      <c r="C381" s="7">
        <v>0.6</v>
      </c>
      <c r="D381" s="7">
        <v>0.6</v>
      </c>
      <c r="E381" s="7">
        <v>0.6</v>
      </c>
      <c r="F381" s="7">
        <v>0.6</v>
      </c>
      <c r="G381" s="7">
        <v>0.6</v>
      </c>
      <c r="H381" s="7">
        <v>0.6</v>
      </c>
      <c r="I381" s="7">
        <v>0.6</v>
      </c>
      <c r="J381" s="7">
        <v>0.6</v>
      </c>
      <c r="K381" s="7">
        <v>0.6</v>
      </c>
      <c r="L381" s="7">
        <v>0.6</v>
      </c>
      <c r="M381" s="7">
        <v>0.6</v>
      </c>
      <c r="N381" s="7">
        <v>0.6</v>
      </c>
      <c r="O381" s="7">
        <v>0.6</v>
      </c>
      <c r="P381" s="7">
        <v>0.6</v>
      </c>
      <c r="Q381" s="7">
        <v>0.6</v>
      </c>
    </row>
    <row r="382" spans="1:17">
      <c r="A382" s="2">
        <v>2330</v>
      </c>
      <c r="B382" s="7">
        <v>0.6</v>
      </c>
      <c r="C382" s="7">
        <v>0.6</v>
      </c>
      <c r="D382" s="7">
        <v>0.6</v>
      </c>
      <c r="E382" s="7">
        <v>0.6</v>
      </c>
      <c r="F382" s="7">
        <v>0.6</v>
      </c>
      <c r="G382" s="7">
        <v>0.6</v>
      </c>
      <c r="H382" s="7">
        <v>0.6</v>
      </c>
      <c r="I382" s="7">
        <v>0.6</v>
      </c>
      <c r="J382" s="7">
        <v>0.6</v>
      </c>
      <c r="K382" s="7">
        <v>0.6</v>
      </c>
      <c r="L382" s="7">
        <v>0.6</v>
      </c>
      <c r="M382" s="7">
        <v>0.6</v>
      </c>
      <c r="N382" s="7">
        <v>0.6</v>
      </c>
      <c r="O382" s="7">
        <v>0.6</v>
      </c>
      <c r="P382" s="7">
        <v>0.6</v>
      </c>
      <c r="Q382" s="7">
        <v>0.6</v>
      </c>
    </row>
    <row r="383" spans="1:17">
      <c r="A383" s="2">
        <v>2331</v>
      </c>
      <c r="B383" s="7">
        <v>0.6</v>
      </c>
      <c r="C383" s="7">
        <v>0.6</v>
      </c>
      <c r="D383" s="7">
        <v>0.6</v>
      </c>
      <c r="E383" s="7">
        <v>0.6</v>
      </c>
      <c r="F383" s="7">
        <v>0.6</v>
      </c>
      <c r="G383" s="7">
        <v>0.6</v>
      </c>
      <c r="H383" s="7">
        <v>0.6</v>
      </c>
      <c r="I383" s="7">
        <v>0.6</v>
      </c>
      <c r="J383" s="7">
        <v>0.6</v>
      </c>
      <c r="K383" s="7">
        <v>0.6</v>
      </c>
      <c r="L383" s="7">
        <v>0.6</v>
      </c>
      <c r="M383" s="7">
        <v>0.6</v>
      </c>
      <c r="N383" s="7">
        <v>0.6</v>
      </c>
      <c r="O383" s="7">
        <v>0.6</v>
      </c>
      <c r="P383" s="7">
        <v>0.6</v>
      </c>
      <c r="Q383" s="7">
        <v>0.6</v>
      </c>
    </row>
    <row r="384" spans="1:17">
      <c r="A384" s="2">
        <v>2332</v>
      </c>
      <c r="B384" s="7">
        <v>0.6</v>
      </c>
      <c r="C384" s="7">
        <v>0.6</v>
      </c>
      <c r="D384" s="7">
        <v>0.6</v>
      </c>
      <c r="E384" s="7">
        <v>0.6</v>
      </c>
      <c r="F384" s="7">
        <v>0.6</v>
      </c>
      <c r="G384" s="7">
        <v>0.6</v>
      </c>
      <c r="H384" s="7">
        <v>0.6</v>
      </c>
      <c r="I384" s="7">
        <v>0.6</v>
      </c>
      <c r="J384" s="7">
        <v>0.6</v>
      </c>
      <c r="K384" s="7">
        <v>0.6</v>
      </c>
      <c r="L384" s="7">
        <v>0.6</v>
      </c>
      <c r="M384" s="7">
        <v>0.6</v>
      </c>
      <c r="N384" s="7">
        <v>0.6</v>
      </c>
      <c r="O384" s="7">
        <v>0.6</v>
      </c>
      <c r="P384" s="7">
        <v>0.6</v>
      </c>
      <c r="Q384" s="7">
        <v>0.6</v>
      </c>
    </row>
    <row r="385" spans="1:17">
      <c r="A385" s="2">
        <v>2333</v>
      </c>
      <c r="B385" s="7">
        <v>0.6</v>
      </c>
      <c r="C385" s="7">
        <v>0.6</v>
      </c>
      <c r="D385" s="7">
        <v>0.6</v>
      </c>
      <c r="E385" s="7">
        <v>0.6</v>
      </c>
      <c r="F385" s="7">
        <v>0.6</v>
      </c>
      <c r="G385" s="7">
        <v>0.6</v>
      </c>
      <c r="H385" s="7">
        <v>0.6</v>
      </c>
      <c r="I385" s="7">
        <v>0.6</v>
      </c>
      <c r="J385" s="7">
        <v>0.6</v>
      </c>
      <c r="K385" s="7">
        <v>0.6</v>
      </c>
      <c r="L385" s="7">
        <v>0.6</v>
      </c>
      <c r="M385" s="7">
        <v>0.6</v>
      </c>
      <c r="N385" s="7">
        <v>0.6</v>
      </c>
      <c r="O385" s="7">
        <v>0.6</v>
      </c>
      <c r="P385" s="7">
        <v>0.6</v>
      </c>
      <c r="Q385" s="7">
        <v>0.6</v>
      </c>
    </row>
    <row r="386" spans="1:17">
      <c r="A386" s="2">
        <v>2334</v>
      </c>
      <c r="B386" s="7">
        <v>0.6</v>
      </c>
      <c r="C386" s="7">
        <v>0.6</v>
      </c>
      <c r="D386" s="7">
        <v>0.6</v>
      </c>
      <c r="E386" s="7">
        <v>0.6</v>
      </c>
      <c r="F386" s="7">
        <v>0.6</v>
      </c>
      <c r="G386" s="7">
        <v>0.6</v>
      </c>
      <c r="H386" s="7">
        <v>0.6</v>
      </c>
      <c r="I386" s="7">
        <v>0.6</v>
      </c>
      <c r="J386" s="7">
        <v>0.6</v>
      </c>
      <c r="K386" s="7">
        <v>0.6</v>
      </c>
      <c r="L386" s="7">
        <v>0.6</v>
      </c>
      <c r="M386" s="7">
        <v>0.6</v>
      </c>
      <c r="N386" s="7">
        <v>0.6</v>
      </c>
      <c r="O386" s="7">
        <v>0.6</v>
      </c>
      <c r="P386" s="7">
        <v>0.6</v>
      </c>
      <c r="Q386" s="7">
        <v>0.6</v>
      </c>
    </row>
    <row r="387" spans="1:17">
      <c r="A387" s="2">
        <v>2335</v>
      </c>
      <c r="B387" s="7">
        <v>0.6</v>
      </c>
      <c r="C387" s="7">
        <v>0.6</v>
      </c>
      <c r="D387" s="7">
        <v>0.6</v>
      </c>
      <c r="E387" s="7">
        <v>0.6</v>
      </c>
      <c r="F387" s="7">
        <v>0.6</v>
      </c>
      <c r="G387" s="7">
        <v>0.6</v>
      </c>
      <c r="H387" s="7">
        <v>0.6</v>
      </c>
      <c r="I387" s="7">
        <v>0.6</v>
      </c>
      <c r="J387" s="7">
        <v>0.6</v>
      </c>
      <c r="K387" s="7">
        <v>0.6</v>
      </c>
      <c r="L387" s="7">
        <v>0.6</v>
      </c>
      <c r="M387" s="7">
        <v>0.6</v>
      </c>
      <c r="N387" s="7">
        <v>0.6</v>
      </c>
      <c r="O387" s="7">
        <v>0.6</v>
      </c>
      <c r="P387" s="7">
        <v>0.6</v>
      </c>
      <c r="Q387" s="7">
        <v>0.6</v>
      </c>
    </row>
    <row r="388" spans="1:17">
      <c r="A388" s="2">
        <v>2336</v>
      </c>
      <c r="B388" s="7">
        <v>0.6</v>
      </c>
      <c r="C388" s="7">
        <v>0.6</v>
      </c>
      <c r="D388" s="7">
        <v>0.6</v>
      </c>
      <c r="E388" s="7">
        <v>0.6</v>
      </c>
      <c r="F388" s="7">
        <v>0.6</v>
      </c>
      <c r="G388" s="7">
        <v>0.6</v>
      </c>
      <c r="H388" s="7">
        <v>0.6</v>
      </c>
      <c r="I388" s="7">
        <v>0.6</v>
      </c>
      <c r="J388" s="7">
        <v>0.6</v>
      </c>
      <c r="K388" s="7">
        <v>0.6</v>
      </c>
      <c r="L388" s="7">
        <v>0.6</v>
      </c>
      <c r="M388" s="7">
        <v>0.6</v>
      </c>
      <c r="N388" s="7">
        <v>0.6</v>
      </c>
      <c r="O388" s="7">
        <v>0.6</v>
      </c>
      <c r="P388" s="7">
        <v>0.6</v>
      </c>
      <c r="Q388" s="7">
        <v>0.6</v>
      </c>
    </row>
    <row r="389" spans="1:17">
      <c r="A389" s="2">
        <v>2337</v>
      </c>
      <c r="B389" s="7">
        <v>0.6</v>
      </c>
      <c r="C389" s="7">
        <v>0.6</v>
      </c>
      <c r="D389" s="7">
        <v>0.6</v>
      </c>
      <c r="E389" s="7">
        <v>0.6</v>
      </c>
      <c r="F389" s="7">
        <v>0.6</v>
      </c>
      <c r="G389" s="7">
        <v>0.6</v>
      </c>
      <c r="H389" s="7">
        <v>0.6</v>
      </c>
      <c r="I389" s="7">
        <v>0.6</v>
      </c>
      <c r="J389" s="7">
        <v>0.6</v>
      </c>
      <c r="K389" s="7">
        <v>0.6</v>
      </c>
      <c r="L389" s="7">
        <v>0.6</v>
      </c>
      <c r="M389" s="7">
        <v>0.6</v>
      </c>
      <c r="N389" s="7">
        <v>0.6</v>
      </c>
      <c r="O389" s="7">
        <v>0.6</v>
      </c>
      <c r="P389" s="7">
        <v>0.6</v>
      </c>
      <c r="Q389" s="7">
        <v>0.6</v>
      </c>
    </row>
    <row r="390" spans="1:17">
      <c r="A390" s="2">
        <v>2338</v>
      </c>
      <c r="B390" s="7">
        <v>0.6</v>
      </c>
      <c r="C390" s="7">
        <v>0.6</v>
      </c>
      <c r="D390" s="7">
        <v>0.6</v>
      </c>
      <c r="E390" s="7">
        <v>0.6</v>
      </c>
      <c r="F390" s="7">
        <v>0.6</v>
      </c>
      <c r="G390" s="7">
        <v>0.6</v>
      </c>
      <c r="H390" s="7">
        <v>0.6</v>
      </c>
      <c r="I390" s="7">
        <v>0.6</v>
      </c>
      <c r="J390" s="7">
        <v>0.6</v>
      </c>
      <c r="K390" s="7">
        <v>0.6</v>
      </c>
      <c r="L390" s="7">
        <v>0.6</v>
      </c>
      <c r="M390" s="7">
        <v>0.6</v>
      </c>
      <c r="N390" s="7">
        <v>0.6</v>
      </c>
      <c r="O390" s="7">
        <v>0.6</v>
      </c>
      <c r="P390" s="7">
        <v>0.6</v>
      </c>
      <c r="Q390" s="7">
        <v>0.6</v>
      </c>
    </row>
    <row r="391" spans="1:17">
      <c r="A391" s="2">
        <v>2339</v>
      </c>
      <c r="B391" s="7">
        <v>0.6</v>
      </c>
      <c r="C391" s="7">
        <v>0.6</v>
      </c>
      <c r="D391" s="7">
        <v>0.6</v>
      </c>
      <c r="E391" s="7">
        <v>0.6</v>
      </c>
      <c r="F391" s="7">
        <v>0.6</v>
      </c>
      <c r="G391" s="7">
        <v>0.6</v>
      </c>
      <c r="H391" s="7">
        <v>0.6</v>
      </c>
      <c r="I391" s="7">
        <v>0.6</v>
      </c>
      <c r="J391" s="7">
        <v>0.6</v>
      </c>
      <c r="K391" s="7">
        <v>0.6</v>
      </c>
      <c r="L391" s="7">
        <v>0.6</v>
      </c>
      <c r="M391" s="7">
        <v>0.6</v>
      </c>
      <c r="N391" s="7">
        <v>0.6</v>
      </c>
      <c r="O391" s="7">
        <v>0.6</v>
      </c>
      <c r="P391" s="7">
        <v>0.6</v>
      </c>
      <c r="Q391" s="7">
        <v>0.6</v>
      </c>
    </row>
    <row r="392" spans="1:17">
      <c r="A392" s="2">
        <v>2340</v>
      </c>
      <c r="B392" s="7">
        <v>0.6</v>
      </c>
      <c r="C392" s="7">
        <v>0.6</v>
      </c>
      <c r="D392" s="7">
        <v>0.6</v>
      </c>
      <c r="E392" s="7">
        <v>0.6</v>
      </c>
      <c r="F392" s="7">
        <v>0.6</v>
      </c>
      <c r="G392" s="7">
        <v>0.6</v>
      </c>
      <c r="H392" s="7">
        <v>0.6</v>
      </c>
      <c r="I392" s="7">
        <v>0.6</v>
      </c>
      <c r="J392" s="7">
        <v>0.6</v>
      </c>
      <c r="K392" s="7">
        <v>0.6</v>
      </c>
      <c r="L392" s="7">
        <v>0.6</v>
      </c>
      <c r="M392" s="7">
        <v>0.6</v>
      </c>
      <c r="N392" s="7">
        <v>0.6</v>
      </c>
      <c r="O392" s="7">
        <v>0.6</v>
      </c>
      <c r="P392" s="7">
        <v>0.6</v>
      </c>
      <c r="Q392" s="7">
        <v>0.6</v>
      </c>
    </row>
    <row r="393" spans="1:17">
      <c r="A393" s="2">
        <v>2341</v>
      </c>
      <c r="B393" s="7">
        <v>0.6</v>
      </c>
      <c r="C393" s="7">
        <v>0.6</v>
      </c>
      <c r="D393" s="7">
        <v>0.6</v>
      </c>
      <c r="E393" s="7">
        <v>0.6</v>
      </c>
      <c r="F393" s="7">
        <v>0.6</v>
      </c>
      <c r="G393" s="7">
        <v>0.6</v>
      </c>
      <c r="H393" s="7">
        <v>0.6</v>
      </c>
      <c r="I393" s="7">
        <v>0.6</v>
      </c>
      <c r="J393" s="7">
        <v>0.6</v>
      </c>
      <c r="K393" s="7">
        <v>0.6</v>
      </c>
      <c r="L393" s="7">
        <v>0.6</v>
      </c>
      <c r="M393" s="7">
        <v>0.6</v>
      </c>
      <c r="N393" s="7">
        <v>0.6</v>
      </c>
      <c r="O393" s="7">
        <v>0.6</v>
      </c>
      <c r="P393" s="7">
        <v>0.6</v>
      </c>
      <c r="Q393" s="7">
        <v>0.6</v>
      </c>
    </row>
    <row r="394" spans="1:17">
      <c r="A394" s="2">
        <v>2342</v>
      </c>
      <c r="B394" s="7">
        <v>0.6</v>
      </c>
      <c r="C394" s="7">
        <v>0.6</v>
      </c>
      <c r="D394" s="7">
        <v>0.6</v>
      </c>
      <c r="E394" s="7">
        <v>0.6</v>
      </c>
      <c r="F394" s="7">
        <v>0.6</v>
      </c>
      <c r="G394" s="7">
        <v>0.6</v>
      </c>
      <c r="H394" s="7">
        <v>0.6</v>
      </c>
      <c r="I394" s="7">
        <v>0.6</v>
      </c>
      <c r="J394" s="7">
        <v>0.6</v>
      </c>
      <c r="K394" s="7">
        <v>0.6</v>
      </c>
      <c r="L394" s="7">
        <v>0.6</v>
      </c>
      <c r="M394" s="7">
        <v>0.6</v>
      </c>
      <c r="N394" s="7">
        <v>0.6</v>
      </c>
      <c r="O394" s="7">
        <v>0.6</v>
      </c>
      <c r="P394" s="7">
        <v>0.6</v>
      </c>
      <c r="Q394" s="7">
        <v>0.6</v>
      </c>
    </row>
    <row r="395" spans="1:17">
      <c r="A395" s="2">
        <v>2343</v>
      </c>
      <c r="B395" s="7">
        <v>0.6</v>
      </c>
      <c r="C395" s="7">
        <v>0.6</v>
      </c>
      <c r="D395" s="7">
        <v>0.6</v>
      </c>
      <c r="E395" s="7">
        <v>0.6</v>
      </c>
      <c r="F395" s="7">
        <v>0.6</v>
      </c>
      <c r="G395" s="7">
        <v>0.6</v>
      </c>
      <c r="H395" s="7">
        <v>0.6</v>
      </c>
      <c r="I395" s="7">
        <v>0.6</v>
      </c>
      <c r="J395" s="7">
        <v>0.6</v>
      </c>
      <c r="K395" s="7">
        <v>0.6</v>
      </c>
      <c r="L395" s="7">
        <v>0.6</v>
      </c>
      <c r="M395" s="7">
        <v>0.6</v>
      </c>
      <c r="N395" s="7">
        <v>0.6</v>
      </c>
      <c r="O395" s="7">
        <v>0.6</v>
      </c>
      <c r="P395" s="7">
        <v>0.6</v>
      </c>
      <c r="Q395" s="7">
        <v>0.6</v>
      </c>
    </row>
    <row r="396" spans="1:17">
      <c r="A396" s="2">
        <v>2344</v>
      </c>
      <c r="B396" s="7">
        <v>0.6</v>
      </c>
      <c r="C396" s="7">
        <v>0.6</v>
      </c>
      <c r="D396" s="7">
        <v>0.6</v>
      </c>
      <c r="E396" s="7">
        <v>0.6</v>
      </c>
      <c r="F396" s="7">
        <v>0.6</v>
      </c>
      <c r="G396" s="7">
        <v>0.6</v>
      </c>
      <c r="H396" s="7">
        <v>0.6</v>
      </c>
      <c r="I396" s="7">
        <v>0.6</v>
      </c>
      <c r="J396" s="7">
        <v>0.6</v>
      </c>
      <c r="K396" s="7">
        <v>0.6</v>
      </c>
      <c r="L396" s="7">
        <v>0.6</v>
      </c>
      <c r="M396" s="7">
        <v>0.6</v>
      </c>
      <c r="N396" s="7">
        <v>0.6</v>
      </c>
      <c r="O396" s="7">
        <v>0.6</v>
      </c>
      <c r="P396" s="7">
        <v>0.6</v>
      </c>
      <c r="Q396" s="7">
        <v>0.6</v>
      </c>
    </row>
    <row r="397" spans="1:17">
      <c r="A397" s="2">
        <v>2345</v>
      </c>
      <c r="B397" s="7">
        <v>0.6</v>
      </c>
      <c r="C397" s="7">
        <v>0.6</v>
      </c>
      <c r="D397" s="7">
        <v>0.6</v>
      </c>
      <c r="E397" s="7">
        <v>0.6</v>
      </c>
      <c r="F397" s="7">
        <v>0.6</v>
      </c>
      <c r="G397" s="7">
        <v>0.6</v>
      </c>
      <c r="H397" s="7">
        <v>0.6</v>
      </c>
      <c r="I397" s="7">
        <v>0.6</v>
      </c>
      <c r="J397" s="7">
        <v>0.6</v>
      </c>
      <c r="K397" s="7">
        <v>0.6</v>
      </c>
      <c r="L397" s="7">
        <v>0.6</v>
      </c>
      <c r="M397" s="7">
        <v>0.6</v>
      </c>
      <c r="N397" s="7">
        <v>0.6</v>
      </c>
      <c r="O397" s="7">
        <v>0.6</v>
      </c>
      <c r="P397" s="7">
        <v>0.6</v>
      </c>
      <c r="Q397" s="7">
        <v>0.6</v>
      </c>
    </row>
    <row r="398" spans="1:17">
      <c r="A398" s="2">
        <v>2346</v>
      </c>
      <c r="B398" s="7">
        <v>0.6</v>
      </c>
      <c r="C398" s="7">
        <v>0.6</v>
      </c>
      <c r="D398" s="7">
        <v>0.6</v>
      </c>
      <c r="E398" s="7">
        <v>0.6</v>
      </c>
      <c r="F398" s="7">
        <v>0.6</v>
      </c>
      <c r="G398" s="7">
        <v>0.6</v>
      </c>
      <c r="H398" s="7">
        <v>0.6</v>
      </c>
      <c r="I398" s="7">
        <v>0.6</v>
      </c>
      <c r="J398" s="7">
        <v>0.6</v>
      </c>
      <c r="K398" s="7">
        <v>0.6</v>
      </c>
      <c r="L398" s="7">
        <v>0.6</v>
      </c>
      <c r="M398" s="7">
        <v>0.6</v>
      </c>
      <c r="N398" s="7">
        <v>0.6</v>
      </c>
      <c r="O398" s="7">
        <v>0.6</v>
      </c>
      <c r="P398" s="7">
        <v>0.6</v>
      </c>
      <c r="Q398" s="7">
        <v>0.6</v>
      </c>
    </row>
    <row r="399" spans="1:17">
      <c r="A399" s="2">
        <v>2347</v>
      </c>
      <c r="B399" s="7">
        <v>0.6</v>
      </c>
      <c r="C399" s="7">
        <v>0.6</v>
      </c>
      <c r="D399" s="7">
        <v>0.6</v>
      </c>
      <c r="E399" s="7">
        <v>0.6</v>
      </c>
      <c r="F399" s="7">
        <v>0.6</v>
      </c>
      <c r="G399" s="7">
        <v>0.6</v>
      </c>
      <c r="H399" s="7">
        <v>0.6</v>
      </c>
      <c r="I399" s="7">
        <v>0.6</v>
      </c>
      <c r="J399" s="7">
        <v>0.6</v>
      </c>
      <c r="K399" s="7">
        <v>0.6</v>
      </c>
      <c r="L399" s="7">
        <v>0.6</v>
      </c>
      <c r="M399" s="7">
        <v>0.6</v>
      </c>
      <c r="N399" s="7">
        <v>0.6</v>
      </c>
      <c r="O399" s="7">
        <v>0.6</v>
      </c>
      <c r="P399" s="7">
        <v>0.6</v>
      </c>
      <c r="Q399" s="7">
        <v>0.6</v>
      </c>
    </row>
    <row r="400" spans="1:17">
      <c r="A400" s="2">
        <v>2348</v>
      </c>
      <c r="B400" s="7">
        <v>0.6</v>
      </c>
      <c r="C400" s="7">
        <v>0.6</v>
      </c>
      <c r="D400" s="7">
        <v>0.6</v>
      </c>
      <c r="E400" s="7">
        <v>0.6</v>
      </c>
      <c r="F400" s="7">
        <v>0.6</v>
      </c>
      <c r="G400" s="7">
        <v>0.6</v>
      </c>
      <c r="H400" s="7">
        <v>0.6</v>
      </c>
      <c r="I400" s="7">
        <v>0.6</v>
      </c>
      <c r="J400" s="7">
        <v>0.6</v>
      </c>
      <c r="K400" s="7">
        <v>0.6</v>
      </c>
      <c r="L400" s="7">
        <v>0.6</v>
      </c>
      <c r="M400" s="7">
        <v>0.6</v>
      </c>
      <c r="N400" s="7">
        <v>0.6</v>
      </c>
      <c r="O400" s="7">
        <v>0.6</v>
      </c>
      <c r="P400" s="7">
        <v>0.6</v>
      </c>
      <c r="Q400" s="7">
        <v>0.6</v>
      </c>
    </row>
    <row r="401" spans="1:17">
      <c r="A401" s="2">
        <v>2349</v>
      </c>
      <c r="B401" s="7">
        <v>0.6</v>
      </c>
      <c r="C401" s="7">
        <v>0.6</v>
      </c>
      <c r="D401" s="7">
        <v>0.6</v>
      </c>
      <c r="E401" s="7">
        <v>0.6</v>
      </c>
      <c r="F401" s="7">
        <v>0.6</v>
      </c>
      <c r="G401" s="7">
        <v>0.6</v>
      </c>
      <c r="H401" s="7">
        <v>0.6</v>
      </c>
      <c r="I401" s="7">
        <v>0.6</v>
      </c>
      <c r="J401" s="7">
        <v>0.6</v>
      </c>
      <c r="K401" s="7">
        <v>0.6</v>
      </c>
      <c r="L401" s="7">
        <v>0.6</v>
      </c>
      <c r="M401" s="7">
        <v>0.6</v>
      </c>
      <c r="N401" s="7">
        <v>0.6</v>
      </c>
      <c r="O401" s="7">
        <v>0.6</v>
      </c>
      <c r="P401" s="7">
        <v>0.6</v>
      </c>
      <c r="Q401" s="7">
        <v>0.6</v>
      </c>
    </row>
    <row r="402" spans="1:17">
      <c r="A402" s="2">
        <v>2350</v>
      </c>
      <c r="B402" s="7">
        <v>0.6</v>
      </c>
      <c r="C402" s="7">
        <v>0.6</v>
      </c>
      <c r="D402" s="7">
        <v>0.6</v>
      </c>
      <c r="E402" s="7">
        <v>0.6</v>
      </c>
      <c r="F402" s="7">
        <v>0.6</v>
      </c>
      <c r="G402" s="7">
        <v>0.6</v>
      </c>
      <c r="H402" s="7">
        <v>0.6</v>
      </c>
      <c r="I402" s="7">
        <v>0.6</v>
      </c>
      <c r="J402" s="7">
        <v>0.6</v>
      </c>
      <c r="K402" s="7">
        <v>0.6</v>
      </c>
      <c r="L402" s="7">
        <v>0.6</v>
      </c>
      <c r="M402" s="7">
        <v>0.6</v>
      </c>
      <c r="N402" s="7">
        <v>0.6</v>
      </c>
      <c r="O402" s="7">
        <v>0.6</v>
      </c>
      <c r="P402" s="7">
        <v>0.6</v>
      </c>
      <c r="Q402" s="7">
        <v>0.6</v>
      </c>
    </row>
    <row r="403" spans="1:17">
      <c r="A403" s="2">
        <v>2351</v>
      </c>
      <c r="B403" s="7">
        <v>0.6</v>
      </c>
      <c r="C403" s="7">
        <v>0.6</v>
      </c>
      <c r="D403" s="7">
        <v>0.6</v>
      </c>
      <c r="E403" s="7">
        <v>0.6</v>
      </c>
      <c r="F403" s="7">
        <v>0.6</v>
      </c>
      <c r="G403" s="7">
        <v>0.6</v>
      </c>
      <c r="H403" s="7">
        <v>0.6</v>
      </c>
      <c r="I403" s="7">
        <v>0.6</v>
      </c>
      <c r="J403" s="7">
        <v>0.6</v>
      </c>
      <c r="K403" s="7">
        <v>0.6</v>
      </c>
      <c r="L403" s="7">
        <v>0.6</v>
      </c>
      <c r="M403" s="7">
        <v>0.6</v>
      </c>
      <c r="N403" s="7">
        <v>0.6</v>
      </c>
      <c r="O403" s="7">
        <v>0.6</v>
      </c>
      <c r="P403" s="7">
        <v>0.6</v>
      </c>
      <c r="Q403" s="7">
        <v>0.6</v>
      </c>
    </row>
    <row r="404" spans="1:17">
      <c r="A404" s="2">
        <v>2352</v>
      </c>
      <c r="B404" s="7">
        <v>0.6</v>
      </c>
      <c r="C404" s="7">
        <v>0.6</v>
      </c>
      <c r="D404" s="7">
        <v>0.6</v>
      </c>
      <c r="E404" s="7">
        <v>0.6</v>
      </c>
      <c r="F404" s="7">
        <v>0.6</v>
      </c>
      <c r="G404" s="7">
        <v>0.6</v>
      </c>
      <c r="H404" s="7">
        <v>0.6</v>
      </c>
      <c r="I404" s="7">
        <v>0.6</v>
      </c>
      <c r="J404" s="7">
        <v>0.6</v>
      </c>
      <c r="K404" s="7">
        <v>0.6</v>
      </c>
      <c r="L404" s="7">
        <v>0.6</v>
      </c>
      <c r="M404" s="7">
        <v>0.6</v>
      </c>
      <c r="N404" s="7">
        <v>0.6</v>
      </c>
      <c r="O404" s="7">
        <v>0.6</v>
      </c>
      <c r="P404" s="7">
        <v>0.6</v>
      </c>
      <c r="Q404" s="7">
        <v>0.6</v>
      </c>
    </row>
    <row r="405" spans="1:17">
      <c r="A405" s="2">
        <v>2353</v>
      </c>
      <c r="B405" s="7">
        <v>0.6</v>
      </c>
      <c r="C405" s="7">
        <v>0.6</v>
      </c>
      <c r="D405" s="7">
        <v>0.6</v>
      </c>
      <c r="E405" s="7">
        <v>0.6</v>
      </c>
      <c r="F405" s="7">
        <v>0.6</v>
      </c>
      <c r="G405" s="7">
        <v>0.6</v>
      </c>
      <c r="H405" s="7">
        <v>0.6</v>
      </c>
      <c r="I405" s="7">
        <v>0.6</v>
      </c>
      <c r="J405" s="7">
        <v>0.6</v>
      </c>
      <c r="K405" s="7">
        <v>0.6</v>
      </c>
      <c r="L405" s="7">
        <v>0.6</v>
      </c>
      <c r="M405" s="7">
        <v>0.6</v>
      </c>
      <c r="N405" s="7">
        <v>0.6</v>
      </c>
      <c r="O405" s="7">
        <v>0.6</v>
      </c>
      <c r="P405" s="7">
        <v>0.6</v>
      </c>
      <c r="Q405" s="7">
        <v>0.6</v>
      </c>
    </row>
    <row r="406" spans="1:17">
      <c r="A406" s="2">
        <v>2354</v>
      </c>
      <c r="B406" s="7">
        <v>0.6</v>
      </c>
      <c r="C406" s="7">
        <v>0.6</v>
      </c>
      <c r="D406" s="7">
        <v>0.6</v>
      </c>
      <c r="E406" s="7">
        <v>0.6</v>
      </c>
      <c r="F406" s="7">
        <v>0.6</v>
      </c>
      <c r="G406" s="7">
        <v>0.6</v>
      </c>
      <c r="H406" s="7">
        <v>0.6</v>
      </c>
      <c r="I406" s="7">
        <v>0.6</v>
      </c>
      <c r="J406" s="7">
        <v>0.6</v>
      </c>
      <c r="K406" s="7">
        <v>0.6</v>
      </c>
      <c r="L406" s="7">
        <v>0.6</v>
      </c>
      <c r="M406" s="7">
        <v>0.6</v>
      </c>
      <c r="N406" s="7">
        <v>0.6</v>
      </c>
      <c r="O406" s="7">
        <v>0.6</v>
      </c>
      <c r="P406" s="7">
        <v>0.6</v>
      </c>
      <c r="Q406" s="7">
        <v>0.6</v>
      </c>
    </row>
    <row r="407" spans="1:17">
      <c r="A407" s="2">
        <v>2355</v>
      </c>
      <c r="B407" s="7">
        <v>0.6</v>
      </c>
      <c r="C407" s="7">
        <v>0.6</v>
      </c>
      <c r="D407" s="7">
        <v>0.6</v>
      </c>
      <c r="E407" s="7">
        <v>0.6</v>
      </c>
      <c r="F407" s="7">
        <v>0.6</v>
      </c>
      <c r="G407" s="7">
        <v>0.6</v>
      </c>
      <c r="H407" s="7">
        <v>0.6</v>
      </c>
      <c r="I407" s="7">
        <v>0.6</v>
      </c>
      <c r="J407" s="7">
        <v>0.6</v>
      </c>
      <c r="K407" s="7">
        <v>0.6</v>
      </c>
      <c r="L407" s="7">
        <v>0.6</v>
      </c>
      <c r="M407" s="7">
        <v>0.6</v>
      </c>
      <c r="N407" s="7">
        <v>0.6</v>
      </c>
      <c r="O407" s="7">
        <v>0.6</v>
      </c>
      <c r="P407" s="7">
        <v>0.6</v>
      </c>
      <c r="Q407" s="7">
        <v>0.6</v>
      </c>
    </row>
    <row r="408" spans="1:17">
      <c r="A408" s="2">
        <v>2356</v>
      </c>
      <c r="B408" s="7">
        <v>0.6</v>
      </c>
      <c r="C408" s="7">
        <v>0.6</v>
      </c>
      <c r="D408" s="7">
        <v>0.6</v>
      </c>
      <c r="E408" s="7">
        <v>0.6</v>
      </c>
      <c r="F408" s="7">
        <v>0.6</v>
      </c>
      <c r="G408" s="7">
        <v>0.6</v>
      </c>
      <c r="H408" s="7">
        <v>0.6</v>
      </c>
      <c r="I408" s="7">
        <v>0.6</v>
      </c>
      <c r="J408" s="7">
        <v>0.6</v>
      </c>
      <c r="K408" s="7">
        <v>0.6</v>
      </c>
      <c r="L408" s="7">
        <v>0.6</v>
      </c>
      <c r="M408" s="7">
        <v>0.6</v>
      </c>
      <c r="N408" s="7">
        <v>0.6</v>
      </c>
      <c r="O408" s="7">
        <v>0.6</v>
      </c>
      <c r="P408" s="7">
        <v>0.6</v>
      </c>
      <c r="Q408" s="7">
        <v>0.6</v>
      </c>
    </row>
    <row r="409" spans="1:17">
      <c r="A409" s="2">
        <v>2357</v>
      </c>
      <c r="B409" s="7">
        <v>0.6</v>
      </c>
      <c r="C409" s="7">
        <v>0.6</v>
      </c>
      <c r="D409" s="7">
        <v>0.6</v>
      </c>
      <c r="E409" s="7">
        <v>0.6</v>
      </c>
      <c r="F409" s="7">
        <v>0.6</v>
      </c>
      <c r="G409" s="7">
        <v>0.6</v>
      </c>
      <c r="H409" s="7">
        <v>0.6</v>
      </c>
      <c r="I409" s="7">
        <v>0.6</v>
      </c>
      <c r="J409" s="7">
        <v>0.6</v>
      </c>
      <c r="K409" s="7">
        <v>0.6</v>
      </c>
      <c r="L409" s="7">
        <v>0.6</v>
      </c>
      <c r="M409" s="7">
        <v>0.6</v>
      </c>
      <c r="N409" s="7">
        <v>0.6</v>
      </c>
      <c r="O409" s="7">
        <v>0.6</v>
      </c>
      <c r="P409" s="7">
        <v>0.6</v>
      </c>
      <c r="Q409" s="7">
        <v>0.6</v>
      </c>
    </row>
    <row r="410" spans="1:17">
      <c r="A410" s="2">
        <v>2358</v>
      </c>
      <c r="B410" s="7">
        <v>0.6</v>
      </c>
      <c r="C410" s="7">
        <v>0.6</v>
      </c>
      <c r="D410" s="7">
        <v>0.6</v>
      </c>
      <c r="E410" s="7">
        <v>0.6</v>
      </c>
      <c r="F410" s="7">
        <v>0.6</v>
      </c>
      <c r="G410" s="7">
        <v>0.6</v>
      </c>
      <c r="H410" s="7">
        <v>0.6</v>
      </c>
      <c r="I410" s="7">
        <v>0.6</v>
      </c>
      <c r="J410" s="7">
        <v>0.6</v>
      </c>
      <c r="K410" s="7">
        <v>0.6</v>
      </c>
      <c r="L410" s="7">
        <v>0.6</v>
      </c>
      <c r="M410" s="7">
        <v>0.6</v>
      </c>
      <c r="N410" s="7">
        <v>0.6</v>
      </c>
      <c r="O410" s="7">
        <v>0.6</v>
      </c>
      <c r="P410" s="7">
        <v>0.6</v>
      </c>
      <c r="Q410" s="7">
        <v>0.6</v>
      </c>
    </row>
    <row r="411" spans="1:17">
      <c r="A411" s="2">
        <v>2359</v>
      </c>
      <c r="B411" s="7">
        <v>0.6</v>
      </c>
      <c r="C411" s="7">
        <v>0.6</v>
      </c>
      <c r="D411" s="7">
        <v>0.6</v>
      </c>
      <c r="E411" s="7">
        <v>0.6</v>
      </c>
      <c r="F411" s="7">
        <v>0.6</v>
      </c>
      <c r="G411" s="7">
        <v>0.6</v>
      </c>
      <c r="H411" s="7">
        <v>0.6</v>
      </c>
      <c r="I411" s="7">
        <v>0.6</v>
      </c>
      <c r="J411" s="7">
        <v>0.6</v>
      </c>
      <c r="K411" s="7">
        <v>0.6</v>
      </c>
      <c r="L411" s="7">
        <v>0.6</v>
      </c>
      <c r="M411" s="7">
        <v>0.6</v>
      </c>
      <c r="N411" s="7">
        <v>0.6</v>
      </c>
      <c r="O411" s="7">
        <v>0.6</v>
      </c>
      <c r="P411" s="7">
        <v>0.6</v>
      </c>
      <c r="Q411" s="7">
        <v>0.6</v>
      </c>
    </row>
    <row r="412" spans="1:17">
      <c r="A412" s="2">
        <v>2360</v>
      </c>
      <c r="B412" s="7">
        <v>0.6</v>
      </c>
      <c r="C412" s="7">
        <v>0.6</v>
      </c>
      <c r="D412" s="7">
        <v>0.6</v>
      </c>
      <c r="E412" s="7">
        <v>0.6</v>
      </c>
      <c r="F412" s="7">
        <v>0.6</v>
      </c>
      <c r="G412" s="7">
        <v>0.6</v>
      </c>
      <c r="H412" s="7">
        <v>0.6</v>
      </c>
      <c r="I412" s="7">
        <v>0.6</v>
      </c>
      <c r="J412" s="7">
        <v>0.6</v>
      </c>
      <c r="K412" s="7">
        <v>0.6</v>
      </c>
      <c r="L412" s="7">
        <v>0.6</v>
      </c>
      <c r="M412" s="7">
        <v>0.6</v>
      </c>
      <c r="N412" s="7">
        <v>0.6</v>
      </c>
      <c r="O412" s="7">
        <v>0.6</v>
      </c>
      <c r="P412" s="7">
        <v>0.6</v>
      </c>
      <c r="Q412" s="7">
        <v>0.6</v>
      </c>
    </row>
    <row r="413" spans="1:17">
      <c r="A413" s="2">
        <v>2361</v>
      </c>
      <c r="B413" s="7">
        <v>0.6</v>
      </c>
      <c r="C413" s="7">
        <v>0.6</v>
      </c>
      <c r="D413" s="7">
        <v>0.6</v>
      </c>
      <c r="E413" s="7">
        <v>0.6</v>
      </c>
      <c r="F413" s="7">
        <v>0.6</v>
      </c>
      <c r="G413" s="7">
        <v>0.6</v>
      </c>
      <c r="H413" s="7">
        <v>0.6</v>
      </c>
      <c r="I413" s="7">
        <v>0.6</v>
      </c>
      <c r="J413" s="7">
        <v>0.6</v>
      </c>
      <c r="K413" s="7">
        <v>0.6</v>
      </c>
      <c r="L413" s="7">
        <v>0.6</v>
      </c>
      <c r="M413" s="7">
        <v>0.6</v>
      </c>
      <c r="N413" s="7">
        <v>0.6</v>
      </c>
      <c r="O413" s="7">
        <v>0.6</v>
      </c>
      <c r="P413" s="7">
        <v>0.6</v>
      </c>
      <c r="Q413" s="7">
        <v>0.6</v>
      </c>
    </row>
    <row r="414" spans="1:17">
      <c r="A414" s="2">
        <v>2362</v>
      </c>
      <c r="B414" s="7">
        <v>0.6</v>
      </c>
      <c r="C414" s="7">
        <v>0.6</v>
      </c>
      <c r="D414" s="7">
        <v>0.6</v>
      </c>
      <c r="E414" s="7">
        <v>0.6</v>
      </c>
      <c r="F414" s="7">
        <v>0.6</v>
      </c>
      <c r="G414" s="7">
        <v>0.6</v>
      </c>
      <c r="H414" s="7">
        <v>0.6</v>
      </c>
      <c r="I414" s="7">
        <v>0.6</v>
      </c>
      <c r="J414" s="7">
        <v>0.6</v>
      </c>
      <c r="K414" s="7">
        <v>0.6</v>
      </c>
      <c r="L414" s="7">
        <v>0.6</v>
      </c>
      <c r="M414" s="7">
        <v>0.6</v>
      </c>
      <c r="N414" s="7">
        <v>0.6</v>
      </c>
      <c r="O414" s="7">
        <v>0.6</v>
      </c>
      <c r="P414" s="7">
        <v>0.6</v>
      </c>
      <c r="Q414" s="7">
        <v>0.6</v>
      </c>
    </row>
    <row r="415" spans="1:17">
      <c r="A415" s="2">
        <v>2363</v>
      </c>
      <c r="B415" s="7">
        <v>0.6</v>
      </c>
      <c r="C415" s="7">
        <v>0.6</v>
      </c>
      <c r="D415" s="7">
        <v>0.6</v>
      </c>
      <c r="E415" s="7">
        <v>0.6</v>
      </c>
      <c r="F415" s="7">
        <v>0.6</v>
      </c>
      <c r="G415" s="7">
        <v>0.6</v>
      </c>
      <c r="H415" s="7">
        <v>0.6</v>
      </c>
      <c r="I415" s="7">
        <v>0.6</v>
      </c>
      <c r="J415" s="7">
        <v>0.6</v>
      </c>
      <c r="K415" s="7">
        <v>0.6</v>
      </c>
      <c r="L415" s="7">
        <v>0.6</v>
      </c>
      <c r="M415" s="7">
        <v>0.6</v>
      </c>
      <c r="N415" s="7">
        <v>0.6</v>
      </c>
      <c r="O415" s="7">
        <v>0.6</v>
      </c>
      <c r="P415" s="7">
        <v>0.6</v>
      </c>
      <c r="Q415" s="7">
        <v>0.6</v>
      </c>
    </row>
    <row r="416" spans="1:17">
      <c r="A416" s="2">
        <v>2364</v>
      </c>
      <c r="B416" s="7">
        <v>0.6</v>
      </c>
      <c r="C416" s="7">
        <v>0.6</v>
      </c>
      <c r="D416" s="7">
        <v>0.6</v>
      </c>
      <c r="E416" s="7">
        <v>0.6</v>
      </c>
      <c r="F416" s="7">
        <v>0.6</v>
      </c>
      <c r="G416" s="7">
        <v>0.6</v>
      </c>
      <c r="H416" s="7">
        <v>0.6</v>
      </c>
      <c r="I416" s="7">
        <v>0.6</v>
      </c>
      <c r="J416" s="7">
        <v>0.6</v>
      </c>
      <c r="K416" s="7">
        <v>0.6</v>
      </c>
      <c r="L416" s="7">
        <v>0.6</v>
      </c>
      <c r="M416" s="7">
        <v>0.6</v>
      </c>
      <c r="N416" s="7">
        <v>0.6</v>
      </c>
      <c r="O416" s="7">
        <v>0.6</v>
      </c>
      <c r="P416" s="7">
        <v>0.6</v>
      </c>
      <c r="Q416" s="7">
        <v>0.6</v>
      </c>
    </row>
    <row r="417" spans="1:17">
      <c r="A417" s="2">
        <v>2365</v>
      </c>
      <c r="B417" s="7">
        <v>0.6</v>
      </c>
      <c r="C417" s="7">
        <v>0.6</v>
      </c>
      <c r="D417" s="7">
        <v>0.6</v>
      </c>
      <c r="E417" s="7">
        <v>0.6</v>
      </c>
      <c r="F417" s="7">
        <v>0.6</v>
      </c>
      <c r="G417" s="7">
        <v>0.6</v>
      </c>
      <c r="H417" s="7">
        <v>0.6</v>
      </c>
      <c r="I417" s="7">
        <v>0.6</v>
      </c>
      <c r="J417" s="7">
        <v>0.6</v>
      </c>
      <c r="K417" s="7">
        <v>0.6</v>
      </c>
      <c r="L417" s="7">
        <v>0.6</v>
      </c>
      <c r="M417" s="7">
        <v>0.6</v>
      </c>
      <c r="N417" s="7">
        <v>0.6</v>
      </c>
      <c r="O417" s="7">
        <v>0.6</v>
      </c>
      <c r="P417" s="7">
        <v>0.6</v>
      </c>
      <c r="Q417" s="7">
        <v>0.6</v>
      </c>
    </row>
    <row r="418" spans="1:17">
      <c r="A418" s="2">
        <v>2366</v>
      </c>
      <c r="B418" s="7">
        <v>0.6</v>
      </c>
      <c r="C418" s="7">
        <v>0.6</v>
      </c>
      <c r="D418" s="7">
        <v>0.6</v>
      </c>
      <c r="E418" s="7">
        <v>0.6</v>
      </c>
      <c r="F418" s="7">
        <v>0.6</v>
      </c>
      <c r="G418" s="7">
        <v>0.6</v>
      </c>
      <c r="H418" s="7">
        <v>0.6</v>
      </c>
      <c r="I418" s="7">
        <v>0.6</v>
      </c>
      <c r="J418" s="7">
        <v>0.6</v>
      </c>
      <c r="K418" s="7">
        <v>0.6</v>
      </c>
      <c r="L418" s="7">
        <v>0.6</v>
      </c>
      <c r="M418" s="7">
        <v>0.6</v>
      </c>
      <c r="N418" s="7">
        <v>0.6</v>
      </c>
      <c r="O418" s="7">
        <v>0.6</v>
      </c>
      <c r="P418" s="7">
        <v>0.6</v>
      </c>
      <c r="Q418" s="7">
        <v>0.6</v>
      </c>
    </row>
    <row r="419" spans="1:17">
      <c r="A419" s="2">
        <v>2367</v>
      </c>
      <c r="B419" s="7">
        <v>0.6</v>
      </c>
      <c r="C419" s="7">
        <v>0.6</v>
      </c>
      <c r="D419" s="7">
        <v>0.6</v>
      </c>
      <c r="E419" s="7">
        <v>0.6</v>
      </c>
      <c r="F419" s="7">
        <v>0.6</v>
      </c>
      <c r="G419" s="7">
        <v>0.6</v>
      </c>
      <c r="H419" s="7">
        <v>0.6</v>
      </c>
      <c r="I419" s="7">
        <v>0.6</v>
      </c>
      <c r="J419" s="7">
        <v>0.6</v>
      </c>
      <c r="K419" s="7">
        <v>0.6</v>
      </c>
      <c r="L419" s="7">
        <v>0.6</v>
      </c>
      <c r="M419" s="7">
        <v>0.6</v>
      </c>
      <c r="N419" s="7">
        <v>0.6</v>
      </c>
      <c r="O419" s="7">
        <v>0.6</v>
      </c>
      <c r="P419" s="7">
        <v>0.6</v>
      </c>
      <c r="Q419" s="7">
        <v>0.6</v>
      </c>
    </row>
    <row r="420" spans="1:17">
      <c r="A420" s="2">
        <v>2368</v>
      </c>
      <c r="B420" s="7">
        <v>0.6</v>
      </c>
      <c r="C420" s="7">
        <v>0.6</v>
      </c>
      <c r="D420" s="7">
        <v>0.6</v>
      </c>
      <c r="E420" s="7">
        <v>0.6</v>
      </c>
      <c r="F420" s="7">
        <v>0.6</v>
      </c>
      <c r="G420" s="7">
        <v>0.6</v>
      </c>
      <c r="H420" s="7">
        <v>0.6</v>
      </c>
      <c r="I420" s="7">
        <v>0.6</v>
      </c>
      <c r="J420" s="7">
        <v>0.6</v>
      </c>
      <c r="K420" s="7">
        <v>0.6</v>
      </c>
      <c r="L420" s="7">
        <v>0.6</v>
      </c>
      <c r="M420" s="7">
        <v>0.6</v>
      </c>
      <c r="N420" s="7">
        <v>0.6</v>
      </c>
      <c r="O420" s="7">
        <v>0.6</v>
      </c>
      <c r="P420" s="7">
        <v>0.6</v>
      </c>
      <c r="Q420" s="7">
        <v>0.6</v>
      </c>
    </row>
    <row r="421" spans="1:17">
      <c r="A421" s="2">
        <v>2369</v>
      </c>
      <c r="B421" s="7">
        <v>0.6</v>
      </c>
      <c r="C421" s="7">
        <v>0.6</v>
      </c>
      <c r="D421" s="7">
        <v>0.6</v>
      </c>
      <c r="E421" s="7">
        <v>0.6</v>
      </c>
      <c r="F421" s="7">
        <v>0.6</v>
      </c>
      <c r="G421" s="7">
        <v>0.6</v>
      </c>
      <c r="H421" s="7">
        <v>0.6</v>
      </c>
      <c r="I421" s="7">
        <v>0.6</v>
      </c>
      <c r="J421" s="7">
        <v>0.6</v>
      </c>
      <c r="K421" s="7">
        <v>0.6</v>
      </c>
      <c r="L421" s="7">
        <v>0.6</v>
      </c>
      <c r="M421" s="7">
        <v>0.6</v>
      </c>
      <c r="N421" s="7">
        <v>0.6</v>
      </c>
      <c r="O421" s="7">
        <v>0.6</v>
      </c>
      <c r="P421" s="7">
        <v>0.6</v>
      </c>
      <c r="Q421" s="7">
        <v>0.6</v>
      </c>
    </row>
    <row r="422" spans="1:17">
      <c r="A422" s="2">
        <v>2370</v>
      </c>
      <c r="B422" s="7">
        <v>0.6</v>
      </c>
      <c r="C422" s="7">
        <v>0.6</v>
      </c>
      <c r="D422" s="7">
        <v>0.6</v>
      </c>
      <c r="E422" s="7">
        <v>0.6</v>
      </c>
      <c r="F422" s="7">
        <v>0.6</v>
      </c>
      <c r="G422" s="7">
        <v>0.6</v>
      </c>
      <c r="H422" s="7">
        <v>0.6</v>
      </c>
      <c r="I422" s="7">
        <v>0.6</v>
      </c>
      <c r="J422" s="7">
        <v>0.6</v>
      </c>
      <c r="K422" s="7">
        <v>0.6</v>
      </c>
      <c r="L422" s="7">
        <v>0.6</v>
      </c>
      <c r="M422" s="7">
        <v>0.6</v>
      </c>
      <c r="N422" s="7">
        <v>0.6</v>
      </c>
      <c r="O422" s="7">
        <v>0.6</v>
      </c>
      <c r="P422" s="7">
        <v>0.6</v>
      </c>
      <c r="Q422" s="7">
        <v>0.6</v>
      </c>
    </row>
    <row r="423" spans="1:17">
      <c r="A423" s="2">
        <v>2371</v>
      </c>
      <c r="B423" s="7">
        <v>0.6</v>
      </c>
      <c r="C423" s="7">
        <v>0.6</v>
      </c>
      <c r="D423" s="7">
        <v>0.6</v>
      </c>
      <c r="E423" s="7">
        <v>0.6</v>
      </c>
      <c r="F423" s="7">
        <v>0.6</v>
      </c>
      <c r="G423" s="7">
        <v>0.6</v>
      </c>
      <c r="H423" s="7">
        <v>0.6</v>
      </c>
      <c r="I423" s="7">
        <v>0.6</v>
      </c>
      <c r="J423" s="7">
        <v>0.6</v>
      </c>
      <c r="K423" s="7">
        <v>0.6</v>
      </c>
      <c r="L423" s="7">
        <v>0.6</v>
      </c>
      <c r="M423" s="7">
        <v>0.6</v>
      </c>
      <c r="N423" s="7">
        <v>0.6</v>
      </c>
      <c r="O423" s="7">
        <v>0.6</v>
      </c>
      <c r="P423" s="7">
        <v>0.6</v>
      </c>
      <c r="Q423" s="7">
        <v>0.6</v>
      </c>
    </row>
    <row r="424" spans="1:17">
      <c r="A424" s="2">
        <v>2372</v>
      </c>
      <c r="B424" s="7">
        <v>0.6</v>
      </c>
      <c r="C424" s="7">
        <v>0.6</v>
      </c>
      <c r="D424" s="7">
        <v>0.6</v>
      </c>
      <c r="E424" s="7">
        <v>0.6</v>
      </c>
      <c r="F424" s="7">
        <v>0.6</v>
      </c>
      <c r="G424" s="7">
        <v>0.6</v>
      </c>
      <c r="H424" s="7">
        <v>0.6</v>
      </c>
      <c r="I424" s="7">
        <v>0.6</v>
      </c>
      <c r="J424" s="7">
        <v>0.6</v>
      </c>
      <c r="K424" s="7">
        <v>0.6</v>
      </c>
      <c r="L424" s="7">
        <v>0.6</v>
      </c>
      <c r="M424" s="7">
        <v>0.6</v>
      </c>
      <c r="N424" s="7">
        <v>0.6</v>
      </c>
      <c r="O424" s="7">
        <v>0.6</v>
      </c>
      <c r="P424" s="7">
        <v>0.6</v>
      </c>
      <c r="Q424" s="7">
        <v>0.6</v>
      </c>
    </row>
    <row r="425" spans="1:17">
      <c r="A425" s="2">
        <v>2373</v>
      </c>
      <c r="B425" s="7">
        <v>0.6</v>
      </c>
      <c r="C425" s="7">
        <v>0.6</v>
      </c>
      <c r="D425" s="7">
        <v>0.6</v>
      </c>
      <c r="E425" s="7">
        <v>0.6</v>
      </c>
      <c r="F425" s="7">
        <v>0.6</v>
      </c>
      <c r="G425" s="7">
        <v>0.6</v>
      </c>
      <c r="H425" s="7">
        <v>0.6</v>
      </c>
      <c r="I425" s="7">
        <v>0.6</v>
      </c>
      <c r="J425" s="7">
        <v>0.6</v>
      </c>
      <c r="K425" s="7">
        <v>0.6</v>
      </c>
      <c r="L425" s="7">
        <v>0.6</v>
      </c>
      <c r="M425" s="7">
        <v>0.6</v>
      </c>
      <c r="N425" s="7">
        <v>0.6</v>
      </c>
      <c r="O425" s="7">
        <v>0.6</v>
      </c>
      <c r="P425" s="7">
        <v>0.6</v>
      </c>
      <c r="Q425" s="7">
        <v>0.6</v>
      </c>
    </row>
    <row r="426" spans="1:17">
      <c r="A426" s="2">
        <v>2374</v>
      </c>
      <c r="B426" s="7">
        <v>0.6</v>
      </c>
      <c r="C426" s="7">
        <v>0.6</v>
      </c>
      <c r="D426" s="7">
        <v>0.6</v>
      </c>
      <c r="E426" s="7">
        <v>0.6</v>
      </c>
      <c r="F426" s="7">
        <v>0.6</v>
      </c>
      <c r="G426" s="7">
        <v>0.6</v>
      </c>
      <c r="H426" s="7">
        <v>0.6</v>
      </c>
      <c r="I426" s="7">
        <v>0.6</v>
      </c>
      <c r="J426" s="7">
        <v>0.6</v>
      </c>
      <c r="K426" s="7">
        <v>0.6</v>
      </c>
      <c r="L426" s="7">
        <v>0.6</v>
      </c>
      <c r="M426" s="7">
        <v>0.6</v>
      </c>
      <c r="N426" s="7">
        <v>0.6</v>
      </c>
      <c r="O426" s="7">
        <v>0.6</v>
      </c>
      <c r="P426" s="7">
        <v>0.6</v>
      </c>
      <c r="Q426" s="7">
        <v>0.6</v>
      </c>
    </row>
    <row r="427" spans="1:17">
      <c r="A427" s="2">
        <v>2375</v>
      </c>
      <c r="B427" s="7">
        <v>0.6</v>
      </c>
      <c r="C427" s="7">
        <v>0.6</v>
      </c>
      <c r="D427" s="7">
        <v>0.6</v>
      </c>
      <c r="E427" s="7">
        <v>0.6</v>
      </c>
      <c r="F427" s="7">
        <v>0.6</v>
      </c>
      <c r="G427" s="7">
        <v>0.6</v>
      </c>
      <c r="H427" s="7">
        <v>0.6</v>
      </c>
      <c r="I427" s="7">
        <v>0.6</v>
      </c>
      <c r="J427" s="7">
        <v>0.6</v>
      </c>
      <c r="K427" s="7">
        <v>0.6</v>
      </c>
      <c r="L427" s="7">
        <v>0.6</v>
      </c>
      <c r="M427" s="7">
        <v>0.6</v>
      </c>
      <c r="N427" s="7">
        <v>0.6</v>
      </c>
      <c r="O427" s="7">
        <v>0.6</v>
      </c>
      <c r="P427" s="7">
        <v>0.6</v>
      </c>
      <c r="Q427" s="7">
        <v>0.6</v>
      </c>
    </row>
    <row r="428" spans="1:17">
      <c r="A428" s="2">
        <v>2376</v>
      </c>
      <c r="B428" s="7">
        <v>0.6</v>
      </c>
      <c r="C428" s="7">
        <v>0.6</v>
      </c>
      <c r="D428" s="7">
        <v>0.6</v>
      </c>
      <c r="E428" s="7">
        <v>0.6</v>
      </c>
      <c r="F428" s="7">
        <v>0.6</v>
      </c>
      <c r="G428" s="7">
        <v>0.6</v>
      </c>
      <c r="H428" s="7">
        <v>0.6</v>
      </c>
      <c r="I428" s="7">
        <v>0.6</v>
      </c>
      <c r="J428" s="7">
        <v>0.6</v>
      </c>
      <c r="K428" s="7">
        <v>0.6</v>
      </c>
      <c r="L428" s="7">
        <v>0.6</v>
      </c>
      <c r="M428" s="7">
        <v>0.6</v>
      </c>
      <c r="N428" s="7">
        <v>0.6</v>
      </c>
      <c r="O428" s="7">
        <v>0.6</v>
      </c>
      <c r="P428" s="7">
        <v>0.6</v>
      </c>
      <c r="Q428" s="7">
        <v>0.6</v>
      </c>
    </row>
    <row r="429" spans="1:17">
      <c r="A429" s="2">
        <v>2377</v>
      </c>
      <c r="B429" s="7">
        <v>0.6</v>
      </c>
      <c r="C429" s="7">
        <v>0.6</v>
      </c>
      <c r="D429" s="7">
        <v>0.6</v>
      </c>
      <c r="E429" s="7">
        <v>0.6</v>
      </c>
      <c r="F429" s="7">
        <v>0.6</v>
      </c>
      <c r="G429" s="7">
        <v>0.6</v>
      </c>
      <c r="H429" s="7">
        <v>0.6</v>
      </c>
      <c r="I429" s="7">
        <v>0.6</v>
      </c>
      <c r="J429" s="7">
        <v>0.6</v>
      </c>
      <c r="K429" s="7">
        <v>0.6</v>
      </c>
      <c r="L429" s="7">
        <v>0.6</v>
      </c>
      <c r="M429" s="7">
        <v>0.6</v>
      </c>
      <c r="N429" s="7">
        <v>0.6</v>
      </c>
      <c r="O429" s="7">
        <v>0.6</v>
      </c>
      <c r="P429" s="7">
        <v>0.6</v>
      </c>
      <c r="Q429" s="7">
        <v>0.6</v>
      </c>
    </row>
    <row r="430" spans="1:17">
      <c r="A430" s="2">
        <v>2378</v>
      </c>
      <c r="B430" s="7">
        <v>0.6</v>
      </c>
      <c r="C430" s="7">
        <v>0.6</v>
      </c>
      <c r="D430" s="7">
        <v>0.6</v>
      </c>
      <c r="E430" s="7">
        <v>0.6</v>
      </c>
      <c r="F430" s="7">
        <v>0.6</v>
      </c>
      <c r="G430" s="7">
        <v>0.6</v>
      </c>
      <c r="H430" s="7">
        <v>0.6</v>
      </c>
      <c r="I430" s="7">
        <v>0.6</v>
      </c>
      <c r="J430" s="7">
        <v>0.6</v>
      </c>
      <c r="K430" s="7">
        <v>0.6</v>
      </c>
      <c r="L430" s="7">
        <v>0.6</v>
      </c>
      <c r="M430" s="7">
        <v>0.6</v>
      </c>
      <c r="N430" s="7">
        <v>0.6</v>
      </c>
      <c r="O430" s="7">
        <v>0.6</v>
      </c>
      <c r="P430" s="7">
        <v>0.6</v>
      </c>
      <c r="Q430" s="7">
        <v>0.6</v>
      </c>
    </row>
    <row r="431" spans="1:17">
      <c r="A431" s="2">
        <v>2379</v>
      </c>
      <c r="B431" s="7">
        <v>0.6</v>
      </c>
      <c r="C431" s="7">
        <v>0.6</v>
      </c>
      <c r="D431" s="7">
        <v>0.6</v>
      </c>
      <c r="E431" s="7">
        <v>0.6</v>
      </c>
      <c r="F431" s="7">
        <v>0.6</v>
      </c>
      <c r="G431" s="7">
        <v>0.6</v>
      </c>
      <c r="H431" s="7">
        <v>0.6</v>
      </c>
      <c r="I431" s="7">
        <v>0.6</v>
      </c>
      <c r="J431" s="7">
        <v>0.6</v>
      </c>
      <c r="K431" s="7">
        <v>0.6</v>
      </c>
      <c r="L431" s="7">
        <v>0.6</v>
      </c>
      <c r="M431" s="7">
        <v>0.6</v>
      </c>
      <c r="N431" s="7">
        <v>0.6</v>
      </c>
      <c r="O431" s="7">
        <v>0.6</v>
      </c>
      <c r="P431" s="7">
        <v>0.6</v>
      </c>
      <c r="Q431" s="7">
        <v>0.6</v>
      </c>
    </row>
    <row r="432" spans="1:17">
      <c r="A432" s="2">
        <v>2380</v>
      </c>
      <c r="B432" s="7">
        <v>0.6</v>
      </c>
      <c r="C432" s="7">
        <v>0.6</v>
      </c>
      <c r="D432" s="7">
        <v>0.6</v>
      </c>
      <c r="E432" s="7">
        <v>0.6</v>
      </c>
      <c r="F432" s="7">
        <v>0.6</v>
      </c>
      <c r="G432" s="7">
        <v>0.6</v>
      </c>
      <c r="H432" s="7">
        <v>0.6</v>
      </c>
      <c r="I432" s="7">
        <v>0.6</v>
      </c>
      <c r="J432" s="7">
        <v>0.6</v>
      </c>
      <c r="K432" s="7">
        <v>0.6</v>
      </c>
      <c r="L432" s="7">
        <v>0.6</v>
      </c>
      <c r="M432" s="7">
        <v>0.6</v>
      </c>
      <c r="N432" s="7">
        <v>0.6</v>
      </c>
      <c r="O432" s="7">
        <v>0.6</v>
      </c>
      <c r="P432" s="7">
        <v>0.6</v>
      </c>
      <c r="Q432" s="7">
        <v>0.6</v>
      </c>
    </row>
    <row r="433" spans="1:17">
      <c r="A433" s="2">
        <v>2381</v>
      </c>
      <c r="B433" s="7">
        <v>0.6</v>
      </c>
      <c r="C433" s="7">
        <v>0.6</v>
      </c>
      <c r="D433" s="7">
        <v>0.6</v>
      </c>
      <c r="E433" s="7">
        <v>0.6</v>
      </c>
      <c r="F433" s="7">
        <v>0.6</v>
      </c>
      <c r="G433" s="7">
        <v>0.6</v>
      </c>
      <c r="H433" s="7">
        <v>0.6</v>
      </c>
      <c r="I433" s="7">
        <v>0.6</v>
      </c>
      <c r="J433" s="7">
        <v>0.6</v>
      </c>
      <c r="K433" s="7">
        <v>0.6</v>
      </c>
      <c r="L433" s="7">
        <v>0.6</v>
      </c>
      <c r="M433" s="7">
        <v>0.6</v>
      </c>
      <c r="N433" s="7">
        <v>0.6</v>
      </c>
      <c r="O433" s="7">
        <v>0.6</v>
      </c>
      <c r="P433" s="7">
        <v>0.6</v>
      </c>
      <c r="Q433" s="7">
        <v>0.6</v>
      </c>
    </row>
    <row r="434" spans="1:17">
      <c r="A434" s="2">
        <v>2382</v>
      </c>
      <c r="B434" s="7">
        <v>0.6</v>
      </c>
      <c r="C434" s="7">
        <v>0.6</v>
      </c>
      <c r="D434" s="7">
        <v>0.6</v>
      </c>
      <c r="E434" s="7">
        <v>0.6</v>
      </c>
      <c r="F434" s="7">
        <v>0.6</v>
      </c>
      <c r="G434" s="7">
        <v>0.6</v>
      </c>
      <c r="H434" s="7">
        <v>0.6</v>
      </c>
      <c r="I434" s="7">
        <v>0.6</v>
      </c>
      <c r="J434" s="7">
        <v>0.6</v>
      </c>
      <c r="K434" s="7">
        <v>0.6</v>
      </c>
      <c r="L434" s="7">
        <v>0.6</v>
      </c>
      <c r="M434" s="7">
        <v>0.6</v>
      </c>
      <c r="N434" s="7">
        <v>0.6</v>
      </c>
      <c r="O434" s="7">
        <v>0.6</v>
      </c>
      <c r="P434" s="7">
        <v>0.6</v>
      </c>
      <c r="Q434" s="7">
        <v>0.6</v>
      </c>
    </row>
    <row r="435" spans="1:17">
      <c r="A435" s="2">
        <v>2383</v>
      </c>
      <c r="B435" s="7">
        <v>0.6</v>
      </c>
      <c r="C435" s="7">
        <v>0.6</v>
      </c>
      <c r="D435" s="7">
        <v>0.6</v>
      </c>
      <c r="E435" s="7">
        <v>0.6</v>
      </c>
      <c r="F435" s="7">
        <v>0.6</v>
      </c>
      <c r="G435" s="7">
        <v>0.6</v>
      </c>
      <c r="H435" s="7">
        <v>0.6</v>
      </c>
      <c r="I435" s="7">
        <v>0.6</v>
      </c>
      <c r="J435" s="7">
        <v>0.6</v>
      </c>
      <c r="K435" s="7">
        <v>0.6</v>
      </c>
      <c r="L435" s="7">
        <v>0.6</v>
      </c>
      <c r="M435" s="7">
        <v>0.6</v>
      </c>
      <c r="N435" s="7">
        <v>0.6</v>
      </c>
      <c r="O435" s="7">
        <v>0.6</v>
      </c>
      <c r="P435" s="7">
        <v>0.6</v>
      </c>
      <c r="Q435" s="7">
        <v>0.6</v>
      </c>
    </row>
    <row r="436" spans="1:17">
      <c r="A436" s="2">
        <v>2384</v>
      </c>
      <c r="B436" s="7">
        <v>0.6</v>
      </c>
      <c r="C436" s="7">
        <v>0.6</v>
      </c>
      <c r="D436" s="7">
        <v>0.6</v>
      </c>
      <c r="E436" s="7">
        <v>0.6</v>
      </c>
      <c r="F436" s="7">
        <v>0.6</v>
      </c>
      <c r="G436" s="7">
        <v>0.6</v>
      </c>
      <c r="H436" s="7">
        <v>0.6</v>
      </c>
      <c r="I436" s="7">
        <v>0.6</v>
      </c>
      <c r="J436" s="7">
        <v>0.6</v>
      </c>
      <c r="K436" s="7">
        <v>0.6</v>
      </c>
      <c r="L436" s="7">
        <v>0.6</v>
      </c>
      <c r="M436" s="7">
        <v>0.6</v>
      </c>
      <c r="N436" s="7">
        <v>0.6</v>
      </c>
      <c r="O436" s="7">
        <v>0.6</v>
      </c>
      <c r="P436" s="7">
        <v>0.6</v>
      </c>
      <c r="Q436" s="7">
        <v>0.6</v>
      </c>
    </row>
    <row r="437" spans="1:17">
      <c r="A437" s="2">
        <v>2385</v>
      </c>
      <c r="B437" s="7">
        <v>0.6</v>
      </c>
      <c r="C437" s="7">
        <v>0.6</v>
      </c>
      <c r="D437" s="7">
        <v>0.6</v>
      </c>
      <c r="E437" s="7">
        <v>0.6</v>
      </c>
      <c r="F437" s="7">
        <v>0.6</v>
      </c>
      <c r="G437" s="7">
        <v>0.6</v>
      </c>
      <c r="H437" s="7">
        <v>0.6</v>
      </c>
      <c r="I437" s="7">
        <v>0.6</v>
      </c>
      <c r="J437" s="7">
        <v>0.6</v>
      </c>
      <c r="K437" s="7">
        <v>0.6</v>
      </c>
      <c r="L437" s="7">
        <v>0.6</v>
      </c>
      <c r="M437" s="7">
        <v>0.6</v>
      </c>
      <c r="N437" s="7">
        <v>0.6</v>
      </c>
      <c r="O437" s="7">
        <v>0.6</v>
      </c>
      <c r="P437" s="7">
        <v>0.6</v>
      </c>
      <c r="Q437" s="7">
        <v>0.6</v>
      </c>
    </row>
    <row r="438" spans="1:17">
      <c r="A438" s="2">
        <v>2386</v>
      </c>
      <c r="B438" s="7">
        <v>0.6</v>
      </c>
      <c r="C438" s="7">
        <v>0.6</v>
      </c>
      <c r="D438" s="7">
        <v>0.6</v>
      </c>
      <c r="E438" s="7">
        <v>0.6</v>
      </c>
      <c r="F438" s="7">
        <v>0.6</v>
      </c>
      <c r="G438" s="7">
        <v>0.6</v>
      </c>
      <c r="H438" s="7">
        <v>0.6</v>
      </c>
      <c r="I438" s="7">
        <v>0.6</v>
      </c>
      <c r="J438" s="7">
        <v>0.6</v>
      </c>
      <c r="K438" s="7">
        <v>0.6</v>
      </c>
      <c r="L438" s="7">
        <v>0.6</v>
      </c>
      <c r="M438" s="7">
        <v>0.6</v>
      </c>
      <c r="N438" s="7">
        <v>0.6</v>
      </c>
      <c r="O438" s="7">
        <v>0.6</v>
      </c>
      <c r="P438" s="7">
        <v>0.6</v>
      </c>
      <c r="Q438" s="7">
        <v>0.6</v>
      </c>
    </row>
    <row r="439" spans="1:17">
      <c r="A439" s="2">
        <v>2387</v>
      </c>
      <c r="B439" s="7">
        <v>0.6</v>
      </c>
      <c r="C439" s="7">
        <v>0.6</v>
      </c>
      <c r="D439" s="7">
        <v>0.6</v>
      </c>
      <c r="E439" s="7">
        <v>0.6</v>
      </c>
      <c r="F439" s="7">
        <v>0.6</v>
      </c>
      <c r="G439" s="7">
        <v>0.6</v>
      </c>
      <c r="H439" s="7">
        <v>0.6</v>
      </c>
      <c r="I439" s="7">
        <v>0.6</v>
      </c>
      <c r="J439" s="7">
        <v>0.6</v>
      </c>
      <c r="K439" s="7">
        <v>0.6</v>
      </c>
      <c r="L439" s="7">
        <v>0.6</v>
      </c>
      <c r="M439" s="7">
        <v>0.6</v>
      </c>
      <c r="N439" s="7">
        <v>0.6</v>
      </c>
      <c r="O439" s="7">
        <v>0.6</v>
      </c>
      <c r="P439" s="7">
        <v>0.6</v>
      </c>
      <c r="Q439" s="7">
        <v>0.6</v>
      </c>
    </row>
    <row r="440" spans="1:17">
      <c r="A440" s="2">
        <v>2388</v>
      </c>
      <c r="B440" s="7">
        <v>0.6</v>
      </c>
      <c r="C440" s="7">
        <v>0.6</v>
      </c>
      <c r="D440" s="7">
        <v>0.6</v>
      </c>
      <c r="E440" s="7">
        <v>0.6</v>
      </c>
      <c r="F440" s="7">
        <v>0.6</v>
      </c>
      <c r="G440" s="7">
        <v>0.6</v>
      </c>
      <c r="H440" s="7">
        <v>0.6</v>
      </c>
      <c r="I440" s="7">
        <v>0.6</v>
      </c>
      <c r="J440" s="7">
        <v>0.6</v>
      </c>
      <c r="K440" s="7">
        <v>0.6</v>
      </c>
      <c r="L440" s="7">
        <v>0.6</v>
      </c>
      <c r="M440" s="7">
        <v>0.6</v>
      </c>
      <c r="N440" s="7">
        <v>0.6</v>
      </c>
      <c r="O440" s="7">
        <v>0.6</v>
      </c>
      <c r="P440" s="7">
        <v>0.6</v>
      </c>
      <c r="Q440" s="7">
        <v>0.6</v>
      </c>
    </row>
    <row r="441" spans="1:17">
      <c r="A441" s="2">
        <v>2389</v>
      </c>
      <c r="B441" s="7">
        <v>0.6</v>
      </c>
      <c r="C441" s="7">
        <v>0.6</v>
      </c>
      <c r="D441" s="7">
        <v>0.6</v>
      </c>
      <c r="E441" s="7">
        <v>0.6</v>
      </c>
      <c r="F441" s="7">
        <v>0.6</v>
      </c>
      <c r="G441" s="7">
        <v>0.6</v>
      </c>
      <c r="H441" s="7">
        <v>0.6</v>
      </c>
      <c r="I441" s="7">
        <v>0.6</v>
      </c>
      <c r="J441" s="7">
        <v>0.6</v>
      </c>
      <c r="K441" s="7">
        <v>0.6</v>
      </c>
      <c r="L441" s="7">
        <v>0.6</v>
      </c>
      <c r="M441" s="7">
        <v>0.6</v>
      </c>
      <c r="N441" s="7">
        <v>0.6</v>
      </c>
      <c r="O441" s="7">
        <v>0.6</v>
      </c>
      <c r="P441" s="7">
        <v>0.6</v>
      </c>
      <c r="Q441" s="7">
        <v>0.6</v>
      </c>
    </row>
    <row r="442" spans="1:17">
      <c r="A442" s="2">
        <v>2390</v>
      </c>
      <c r="B442" s="7">
        <v>0.6</v>
      </c>
      <c r="C442" s="7">
        <v>0.6</v>
      </c>
      <c r="D442" s="7">
        <v>0.6</v>
      </c>
      <c r="E442" s="7">
        <v>0.6</v>
      </c>
      <c r="F442" s="7">
        <v>0.6</v>
      </c>
      <c r="G442" s="7">
        <v>0.6</v>
      </c>
      <c r="H442" s="7">
        <v>0.6</v>
      </c>
      <c r="I442" s="7">
        <v>0.6</v>
      </c>
      <c r="J442" s="7">
        <v>0.6</v>
      </c>
      <c r="K442" s="7">
        <v>0.6</v>
      </c>
      <c r="L442" s="7">
        <v>0.6</v>
      </c>
      <c r="M442" s="7">
        <v>0.6</v>
      </c>
      <c r="N442" s="7">
        <v>0.6</v>
      </c>
      <c r="O442" s="7">
        <v>0.6</v>
      </c>
      <c r="P442" s="7">
        <v>0.6</v>
      </c>
      <c r="Q442" s="7">
        <v>0.6</v>
      </c>
    </row>
    <row r="443" spans="1:17">
      <c r="A443" s="2">
        <v>2391</v>
      </c>
      <c r="B443" s="7">
        <v>0.6</v>
      </c>
      <c r="C443" s="7">
        <v>0.6</v>
      </c>
      <c r="D443" s="7">
        <v>0.6</v>
      </c>
      <c r="E443" s="7">
        <v>0.6</v>
      </c>
      <c r="F443" s="7">
        <v>0.6</v>
      </c>
      <c r="G443" s="7">
        <v>0.6</v>
      </c>
      <c r="H443" s="7">
        <v>0.6</v>
      </c>
      <c r="I443" s="7">
        <v>0.6</v>
      </c>
      <c r="J443" s="7">
        <v>0.6</v>
      </c>
      <c r="K443" s="7">
        <v>0.6</v>
      </c>
      <c r="L443" s="7">
        <v>0.6</v>
      </c>
      <c r="M443" s="7">
        <v>0.6</v>
      </c>
      <c r="N443" s="7">
        <v>0.6</v>
      </c>
      <c r="O443" s="7">
        <v>0.6</v>
      </c>
      <c r="P443" s="7">
        <v>0.6</v>
      </c>
      <c r="Q443" s="7">
        <v>0.6</v>
      </c>
    </row>
    <row r="444" spans="1:17">
      <c r="A444" s="2">
        <v>2392</v>
      </c>
      <c r="B444" s="7">
        <v>0.6</v>
      </c>
      <c r="C444" s="7">
        <v>0.6</v>
      </c>
      <c r="D444" s="7">
        <v>0.6</v>
      </c>
      <c r="E444" s="7">
        <v>0.6</v>
      </c>
      <c r="F444" s="7">
        <v>0.6</v>
      </c>
      <c r="G444" s="7">
        <v>0.6</v>
      </c>
      <c r="H444" s="7">
        <v>0.6</v>
      </c>
      <c r="I444" s="7">
        <v>0.6</v>
      </c>
      <c r="J444" s="7">
        <v>0.6</v>
      </c>
      <c r="K444" s="7">
        <v>0.6</v>
      </c>
      <c r="L444" s="7">
        <v>0.6</v>
      </c>
      <c r="M444" s="7">
        <v>0.6</v>
      </c>
      <c r="N444" s="7">
        <v>0.6</v>
      </c>
      <c r="O444" s="7">
        <v>0.6</v>
      </c>
      <c r="P444" s="7">
        <v>0.6</v>
      </c>
      <c r="Q444" s="7">
        <v>0.6</v>
      </c>
    </row>
    <row r="445" spans="1:17">
      <c r="A445" s="2">
        <v>2393</v>
      </c>
      <c r="B445" s="7">
        <v>0.6</v>
      </c>
      <c r="C445" s="7">
        <v>0.6</v>
      </c>
      <c r="D445" s="7">
        <v>0.6</v>
      </c>
      <c r="E445" s="7">
        <v>0.6</v>
      </c>
      <c r="F445" s="7">
        <v>0.6</v>
      </c>
      <c r="G445" s="7">
        <v>0.6</v>
      </c>
      <c r="H445" s="7">
        <v>0.6</v>
      </c>
      <c r="I445" s="7">
        <v>0.6</v>
      </c>
      <c r="J445" s="7">
        <v>0.6</v>
      </c>
      <c r="K445" s="7">
        <v>0.6</v>
      </c>
      <c r="L445" s="7">
        <v>0.6</v>
      </c>
      <c r="M445" s="7">
        <v>0.6</v>
      </c>
      <c r="N445" s="7">
        <v>0.6</v>
      </c>
      <c r="O445" s="7">
        <v>0.6</v>
      </c>
      <c r="P445" s="7">
        <v>0.6</v>
      </c>
      <c r="Q445" s="7">
        <v>0.6</v>
      </c>
    </row>
    <row r="446" spans="1:17">
      <c r="A446" s="2">
        <v>2394</v>
      </c>
      <c r="B446" s="7">
        <v>0.6</v>
      </c>
      <c r="C446" s="7">
        <v>0.6</v>
      </c>
      <c r="D446" s="7">
        <v>0.6</v>
      </c>
      <c r="E446" s="7">
        <v>0.6</v>
      </c>
      <c r="F446" s="7">
        <v>0.6</v>
      </c>
      <c r="G446" s="7">
        <v>0.6</v>
      </c>
      <c r="H446" s="7">
        <v>0.6</v>
      </c>
      <c r="I446" s="7">
        <v>0.6</v>
      </c>
      <c r="J446" s="7">
        <v>0.6</v>
      </c>
      <c r="K446" s="7">
        <v>0.6</v>
      </c>
      <c r="L446" s="7">
        <v>0.6</v>
      </c>
      <c r="M446" s="7">
        <v>0.6</v>
      </c>
      <c r="N446" s="7">
        <v>0.6</v>
      </c>
      <c r="O446" s="7">
        <v>0.6</v>
      </c>
      <c r="P446" s="7">
        <v>0.6</v>
      </c>
      <c r="Q446" s="7">
        <v>0.6</v>
      </c>
    </row>
    <row r="447" spans="1:17">
      <c r="A447" s="2">
        <v>2395</v>
      </c>
      <c r="B447" s="7">
        <v>0.6</v>
      </c>
      <c r="C447" s="7">
        <v>0.6</v>
      </c>
      <c r="D447" s="7">
        <v>0.6</v>
      </c>
      <c r="E447" s="7">
        <v>0.6</v>
      </c>
      <c r="F447" s="7">
        <v>0.6</v>
      </c>
      <c r="G447" s="7">
        <v>0.6</v>
      </c>
      <c r="H447" s="7">
        <v>0.6</v>
      </c>
      <c r="I447" s="7">
        <v>0.6</v>
      </c>
      <c r="J447" s="7">
        <v>0.6</v>
      </c>
      <c r="K447" s="7">
        <v>0.6</v>
      </c>
      <c r="L447" s="7">
        <v>0.6</v>
      </c>
      <c r="M447" s="7">
        <v>0.6</v>
      </c>
      <c r="N447" s="7">
        <v>0.6</v>
      </c>
      <c r="O447" s="7">
        <v>0.6</v>
      </c>
      <c r="P447" s="7">
        <v>0.6</v>
      </c>
      <c r="Q447" s="7">
        <v>0.6</v>
      </c>
    </row>
    <row r="448" spans="1:17">
      <c r="A448" s="2">
        <v>2396</v>
      </c>
      <c r="B448" s="7">
        <v>0.6</v>
      </c>
      <c r="C448" s="7">
        <v>0.6</v>
      </c>
      <c r="D448" s="7">
        <v>0.6</v>
      </c>
      <c r="E448" s="7">
        <v>0.6</v>
      </c>
      <c r="F448" s="7">
        <v>0.6</v>
      </c>
      <c r="G448" s="7">
        <v>0.6</v>
      </c>
      <c r="H448" s="7">
        <v>0.6</v>
      </c>
      <c r="I448" s="7">
        <v>0.6</v>
      </c>
      <c r="J448" s="7">
        <v>0.6</v>
      </c>
      <c r="K448" s="7">
        <v>0.6</v>
      </c>
      <c r="L448" s="7">
        <v>0.6</v>
      </c>
      <c r="M448" s="7">
        <v>0.6</v>
      </c>
      <c r="N448" s="7">
        <v>0.6</v>
      </c>
      <c r="O448" s="7">
        <v>0.6</v>
      </c>
      <c r="P448" s="7">
        <v>0.6</v>
      </c>
      <c r="Q448" s="7">
        <v>0.6</v>
      </c>
    </row>
    <row r="449" spans="1:17">
      <c r="A449" s="2">
        <v>2397</v>
      </c>
      <c r="B449" s="7">
        <v>0.6</v>
      </c>
      <c r="C449" s="7">
        <v>0.6</v>
      </c>
      <c r="D449" s="7">
        <v>0.6</v>
      </c>
      <c r="E449" s="7">
        <v>0.6</v>
      </c>
      <c r="F449" s="7">
        <v>0.6</v>
      </c>
      <c r="G449" s="7">
        <v>0.6</v>
      </c>
      <c r="H449" s="7">
        <v>0.6</v>
      </c>
      <c r="I449" s="7">
        <v>0.6</v>
      </c>
      <c r="J449" s="7">
        <v>0.6</v>
      </c>
      <c r="K449" s="7">
        <v>0.6</v>
      </c>
      <c r="L449" s="7">
        <v>0.6</v>
      </c>
      <c r="M449" s="7">
        <v>0.6</v>
      </c>
      <c r="N449" s="7">
        <v>0.6</v>
      </c>
      <c r="O449" s="7">
        <v>0.6</v>
      </c>
      <c r="P449" s="7">
        <v>0.6</v>
      </c>
      <c r="Q449" s="7">
        <v>0.6</v>
      </c>
    </row>
    <row r="450" spans="1:17">
      <c r="A450" s="2">
        <v>2398</v>
      </c>
      <c r="B450" s="7">
        <v>0.6</v>
      </c>
      <c r="C450" s="7">
        <v>0.6</v>
      </c>
      <c r="D450" s="7">
        <v>0.6</v>
      </c>
      <c r="E450" s="7">
        <v>0.6</v>
      </c>
      <c r="F450" s="7">
        <v>0.6</v>
      </c>
      <c r="G450" s="7">
        <v>0.6</v>
      </c>
      <c r="H450" s="7">
        <v>0.6</v>
      </c>
      <c r="I450" s="7">
        <v>0.6</v>
      </c>
      <c r="J450" s="7">
        <v>0.6</v>
      </c>
      <c r="K450" s="7">
        <v>0.6</v>
      </c>
      <c r="L450" s="7">
        <v>0.6</v>
      </c>
      <c r="M450" s="7">
        <v>0.6</v>
      </c>
      <c r="N450" s="7">
        <v>0.6</v>
      </c>
      <c r="O450" s="7">
        <v>0.6</v>
      </c>
      <c r="P450" s="7">
        <v>0.6</v>
      </c>
      <c r="Q450" s="7">
        <v>0.6</v>
      </c>
    </row>
    <row r="451" spans="1:17">
      <c r="A451" s="2">
        <v>2399</v>
      </c>
      <c r="B451" s="7">
        <v>0.6</v>
      </c>
      <c r="C451" s="7">
        <v>0.6</v>
      </c>
      <c r="D451" s="7">
        <v>0.6</v>
      </c>
      <c r="E451" s="7">
        <v>0.6</v>
      </c>
      <c r="F451" s="7">
        <v>0.6</v>
      </c>
      <c r="G451" s="7">
        <v>0.6</v>
      </c>
      <c r="H451" s="7">
        <v>0.6</v>
      </c>
      <c r="I451" s="7">
        <v>0.6</v>
      </c>
      <c r="J451" s="7">
        <v>0.6</v>
      </c>
      <c r="K451" s="7">
        <v>0.6</v>
      </c>
      <c r="L451" s="7">
        <v>0.6</v>
      </c>
      <c r="M451" s="7">
        <v>0.6</v>
      </c>
      <c r="N451" s="7">
        <v>0.6</v>
      </c>
      <c r="O451" s="7">
        <v>0.6</v>
      </c>
      <c r="P451" s="7">
        <v>0.6</v>
      </c>
      <c r="Q451" s="7">
        <v>0.6</v>
      </c>
    </row>
    <row r="452" spans="1:17">
      <c r="A452" s="2">
        <v>2400</v>
      </c>
      <c r="B452" s="7">
        <v>0.6</v>
      </c>
      <c r="C452" s="7">
        <v>0.6</v>
      </c>
      <c r="D452" s="7">
        <v>0.6</v>
      </c>
      <c r="E452" s="7">
        <v>0.6</v>
      </c>
      <c r="F452" s="7">
        <v>0.6</v>
      </c>
      <c r="G452" s="7">
        <v>0.6</v>
      </c>
      <c r="H452" s="7">
        <v>0.6</v>
      </c>
      <c r="I452" s="7">
        <v>0.6</v>
      </c>
      <c r="J452" s="7">
        <v>0.6</v>
      </c>
      <c r="K452" s="7">
        <v>0.6</v>
      </c>
      <c r="L452" s="7">
        <v>0.6</v>
      </c>
      <c r="M452" s="7">
        <v>0.6</v>
      </c>
      <c r="N452" s="7">
        <v>0.6</v>
      </c>
      <c r="O452" s="7">
        <v>0.6</v>
      </c>
      <c r="P452" s="7">
        <v>0.6</v>
      </c>
      <c r="Q452" s="7">
        <v>0.6</v>
      </c>
    </row>
    <row r="453" spans="1:17">
      <c r="A453" s="2">
        <v>2401</v>
      </c>
      <c r="B453" s="7">
        <v>0.6</v>
      </c>
      <c r="C453" s="7">
        <v>0.6</v>
      </c>
      <c r="D453" s="7">
        <v>0.6</v>
      </c>
      <c r="E453" s="7">
        <v>0.6</v>
      </c>
      <c r="F453" s="7">
        <v>0.6</v>
      </c>
      <c r="G453" s="7">
        <v>0.6</v>
      </c>
      <c r="H453" s="7">
        <v>0.6</v>
      </c>
      <c r="I453" s="7">
        <v>0.6</v>
      </c>
      <c r="J453" s="7">
        <v>0.6</v>
      </c>
      <c r="K453" s="7">
        <v>0.6</v>
      </c>
      <c r="L453" s="7">
        <v>0.6</v>
      </c>
      <c r="M453" s="7">
        <v>0.6</v>
      </c>
      <c r="N453" s="7">
        <v>0.6</v>
      </c>
      <c r="O453" s="7">
        <v>0.6</v>
      </c>
      <c r="P453" s="7">
        <v>0.6</v>
      </c>
      <c r="Q453" s="7">
        <v>0.6</v>
      </c>
    </row>
    <row r="454" spans="1:17">
      <c r="A454" s="2">
        <v>2402</v>
      </c>
      <c r="B454" s="7">
        <v>0.6</v>
      </c>
      <c r="C454" s="7">
        <v>0.6</v>
      </c>
      <c r="D454" s="7">
        <v>0.6</v>
      </c>
      <c r="E454" s="7">
        <v>0.6</v>
      </c>
      <c r="F454" s="7">
        <v>0.6</v>
      </c>
      <c r="G454" s="7">
        <v>0.6</v>
      </c>
      <c r="H454" s="7">
        <v>0.6</v>
      </c>
      <c r="I454" s="7">
        <v>0.6</v>
      </c>
      <c r="J454" s="7">
        <v>0.6</v>
      </c>
      <c r="K454" s="7">
        <v>0.6</v>
      </c>
      <c r="L454" s="7">
        <v>0.6</v>
      </c>
      <c r="M454" s="7">
        <v>0.6</v>
      </c>
      <c r="N454" s="7">
        <v>0.6</v>
      </c>
      <c r="O454" s="7">
        <v>0.6</v>
      </c>
      <c r="P454" s="7">
        <v>0.6</v>
      </c>
      <c r="Q454" s="7">
        <v>0.6</v>
      </c>
    </row>
    <row r="455" spans="1:17">
      <c r="A455" s="2">
        <v>2403</v>
      </c>
      <c r="B455" s="7">
        <v>0.6</v>
      </c>
      <c r="C455" s="7">
        <v>0.6</v>
      </c>
      <c r="D455" s="7">
        <v>0.6</v>
      </c>
      <c r="E455" s="7">
        <v>0.6</v>
      </c>
      <c r="F455" s="7">
        <v>0.6</v>
      </c>
      <c r="G455" s="7">
        <v>0.6</v>
      </c>
      <c r="H455" s="7">
        <v>0.6</v>
      </c>
      <c r="I455" s="7">
        <v>0.6</v>
      </c>
      <c r="J455" s="7">
        <v>0.6</v>
      </c>
      <c r="K455" s="7">
        <v>0.6</v>
      </c>
      <c r="L455" s="7">
        <v>0.6</v>
      </c>
      <c r="M455" s="7">
        <v>0.6</v>
      </c>
      <c r="N455" s="7">
        <v>0.6</v>
      </c>
      <c r="O455" s="7">
        <v>0.6</v>
      </c>
      <c r="P455" s="7">
        <v>0.6</v>
      </c>
      <c r="Q455" s="7">
        <v>0.6</v>
      </c>
    </row>
    <row r="456" spans="1:17">
      <c r="A456" s="2">
        <v>2404</v>
      </c>
      <c r="B456" s="7">
        <v>0.6</v>
      </c>
      <c r="C456" s="7">
        <v>0.6</v>
      </c>
      <c r="D456" s="7">
        <v>0.6</v>
      </c>
      <c r="E456" s="7">
        <v>0.6</v>
      </c>
      <c r="F456" s="7">
        <v>0.6</v>
      </c>
      <c r="G456" s="7">
        <v>0.6</v>
      </c>
      <c r="H456" s="7">
        <v>0.6</v>
      </c>
      <c r="I456" s="7">
        <v>0.6</v>
      </c>
      <c r="J456" s="7">
        <v>0.6</v>
      </c>
      <c r="K456" s="7">
        <v>0.6</v>
      </c>
      <c r="L456" s="7">
        <v>0.6</v>
      </c>
      <c r="M456" s="7">
        <v>0.6</v>
      </c>
      <c r="N456" s="7">
        <v>0.6</v>
      </c>
      <c r="O456" s="7">
        <v>0.6</v>
      </c>
      <c r="P456" s="7">
        <v>0.6</v>
      </c>
      <c r="Q456" s="7">
        <v>0.6</v>
      </c>
    </row>
    <row r="457" spans="1:17">
      <c r="A457" s="2">
        <v>2405</v>
      </c>
      <c r="B457" s="7">
        <v>0.6</v>
      </c>
      <c r="C457" s="7">
        <v>0.6</v>
      </c>
      <c r="D457" s="7">
        <v>0.6</v>
      </c>
      <c r="E457" s="7">
        <v>0.6</v>
      </c>
      <c r="F457" s="7">
        <v>0.6</v>
      </c>
      <c r="G457" s="7">
        <v>0.6</v>
      </c>
      <c r="H457" s="7">
        <v>0.6</v>
      </c>
      <c r="I457" s="7">
        <v>0.6</v>
      </c>
      <c r="J457" s="7">
        <v>0.6</v>
      </c>
      <c r="K457" s="7">
        <v>0.6</v>
      </c>
      <c r="L457" s="7">
        <v>0.6</v>
      </c>
      <c r="M457" s="7">
        <v>0.6</v>
      </c>
      <c r="N457" s="7">
        <v>0.6</v>
      </c>
      <c r="O457" s="7">
        <v>0.6</v>
      </c>
      <c r="P457" s="7">
        <v>0.6</v>
      </c>
      <c r="Q457" s="7">
        <v>0.6</v>
      </c>
    </row>
    <row r="458" spans="1:17">
      <c r="A458" s="2">
        <v>2406</v>
      </c>
      <c r="B458" s="7">
        <v>0.6</v>
      </c>
      <c r="C458" s="7">
        <v>0.6</v>
      </c>
      <c r="D458" s="7">
        <v>0.6</v>
      </c>
      <c r="E458" s="7">
        <v>0.6</v>
      </c>
      <c r="F458" s="7">
        <v>0.6</v>
      </c>
      <c r="G458" s="7">
        <v>0.6</v>
      </c>
      <c r="H458" s="7">
        <v>0.6</v>
      </c>
      <c r="I458" s="7">
        <v>0.6</v>
      </c>
      <c r="J458" s="7">
        <v>0.6</v>
      </c>
      <c r="K458" s="7">
        <v>0.6</v>
      </c>
      <c r="L458" s="7">
        <v>0.6</v>
      </c>
      <c r="M458" s="7">
        <v>0.6</v>
      </c>
      <c r="N458" s="7">
        <v>0.6</v>
      </c>
      <c r="O458" s="7">
        <v>0.6</v>
      </c>
      <c r="P458" s="7">
        <v>0.6</v>
      </c>
      <c r="Q458" s="7">
        <v>0.6</v>
      </c>
    </row>
    <row r="459" spans="1:17">
      <c r="A459" s="2">
        <v>2407</v>
      </c>
      <c r="B459" s="7">
        <v>0.6</v>
      </c>
      <c r="C459" s="7">
        <v>0.6</v>
      </c>
      <c r="D459" s="7">
        <v>0.6</v>
      </c>
      <c r="E459" s="7">
        <v>0.6</v>
      </c>
      <c r="F459" s="7">
        <v>0.6</v>
      </c>
      <c r="G459" s="7">
        <v>0.6</v>
      </c>
      <c r="H459" s="7">
        <v>0.6</v>
      </c>
      <c r="I459" s="7">
        <v>0.6</v>
      </c>
      <c r="J459" s="7">
        <v>0.6</v>
      </c>
      <c r="K459" s="7">
        <v>0.6</v>
      </c>
      <c r="L459" s="7">
        <v>0.6</v>
      </c>
      <c r="M459" s="7">
        <v>0.6</v>
      </c>
      <c r="N459" s="7">
        <v>0.6</v>
      </c>
      <c r="O459" s="7">
        <v>0.6</v>
      </c>
      <c r="P459" s="7">
        <v>0.6</v>
      </c>
      <c r="Q459" s="7">
        <v>0.6</v>
      </c>
    </row>
    <row r="460" spans="1:17">
      <c r="A460" s="2">
        <v>2408</v>
      </c>
      <c r="B460" s="7">
        <v>0.6</v>
      </c>
      <c r="C460" s="7">
        <v>0.6</v>
      </c>
      <c r="D460" s="7">
        <v>0.6</v>
      </c>
      <c r="E460" s="7">
        <v>0.6</v>
      </c>
      <c r="F460" s="7">
        <v>0.6</v>
      </c>
      <c r="G460" s="7">
        <v>0.6</v>
      </c>
      <c r="H460" s="7">
        <v>0.6</v>
      </c>
      <c r="I460" s="7">
        <v>0.6</v>
      </c>
      <c r="J460" s="7">
        <v>0.6</v>
      </c>
      <c r="K460" s="7">
        <v>0.6</v>
      </c>
      <c r="L460" s="7">
        <v>0.6</v>
      </c>
      <c r="M460" s="7">
        <v>0.6</v>
      </c>
      <c r="N460" s="7">
        <v>0.6</v>
      </c>
      <c r="O460" s="7">
        <v>0.6</v>
      </c>
      <c r="P460" s="7">
        <v>0.6</v>
      </c>
      <c r="Q460" s="7">
        <v>0.6</v>
      </c>
    </row>
    <row r="461" spans="1:17">
      <c r="A461" s="2">
        <v>2409</v>
      </c>
      <c r="B461" s="7">
        <v>0.6</v>
      </c>
      <c r="C461" s="7">
        <v>0.6</v>
      </c>
      <c r="D461" s="7">
        <v>0.6</v>
      </c>
      <c r="E461" s="7">
        <v>0.6</v>
      </c>
      <c r="F461" s="7">
        <v>0.6</v>
      </c>
      <c r="G461" s="7">
        <v>0.6</v>
      </c>
      <c r="H461" s="7">
        <v>0.6</v>
      </c>
      <c r="I461" s="7">
        <v>0.6</v>
      </c>
      <c r="J461" s="7">
        <v>0.6</v>
      </c>
      <c r="K461" s="7">
        <v>0.6</v>
      </c>
      <c r="L461" s="7">
        <v>0.6</v>
      </c>
      <c r="M461" s="7">
        <v>0.6</v>
      </c>
      <c r="N461" s="7">
        <v>0.6</v>
      </c>
      <c r="O461" s="7">
        <v>0.6</v>
      </c>
      <c r="P461" s="7">
        <v>0.6</v>
      </c>
      <c r="Q461" s="7">
        <v>0.6</v>
      </c>
    </row>
    <row r="462" spans="1:17">
      <c r="A462" s="2">
        <v>2410</v>
      </c>
      <c r="B462" s="7">
        <v>0.6</v>
      </c>
      <c r="C462" s="7">
        <v>0.6</v>
      </c>
      <c r="D462" s="7">
        <v>0.6</v>
      </c>
      <c r="E462" s="7">
        <v>0.6</v>
      </c>
      <c r="F462" s="7">
        <v>0.6</v>
      </c>
      <c r="G462" s="7">
        <v>0.6</v>
      </c>
      <c r="H462" s="7">
        <v>0.6</v>
      </c>
      <c r="I462" s="7">
        <v>0.6</v>
      </c>
      <c r="J462" s="7">
        <v>0.6</v>
      </c>
      <c r="K462" s="7">
        <v>0.6</v>
      </c>
      <c r="L462" s="7">
        <v>0.6</v>
      </c>
      <c r="M462" s="7">
        <v>0.6</v>
      </c>
      <c r="N462" s="7">
        <v>0.6</v>
      </c>
      <c r="O462" s="7">
        <v>0.6</v>
      </c>
      <c r="P462" s="7">
        <v>0.6</v>
      </c>
      <c r="Q462" s="7">
        <v>0.6</v>
      </c>
    </row>
    <row r="463" spans="1:17">
      <c r="A463" s="2">
        <v>2411</v>
      </c>
      <c r="B463" s="7">
        <v>0.6</v>
      </c>
      <c r="C463" s="7">
        <v>0.6</v>
      </c>
      <c r="D463" s="7">
        <v>0.6</v>
      </c>
      <c r="E463" s="7">
        <v>0.6</v>
      </c>
      <c r="F463" s="7">
        <v>0.6</v>
      </c>
      <c r="G463" s="7">
        <v>0.6</v>
      </c>
      <c r="H463" s="7">
        <v>0.6</v>
      </c>
      <c r="I463" s="7">
        <v>0.6</v>
      </c>
      <c r="J463" s="7">
        <v>0.6</v>
      </c>
      <c r="K463" s="7">
        <v>0.6</v>
      </c>
      <c r="L463" s="7">
        <v>0.6</v>
      </c>
      <c r="M463" s="7">
        <v>0.6</v>
      </c>
      <c r="N463" s="7">
        <v>0.6</v>
      </c>
      <c r="O463" s="7">
        <v>0.6</v>
      </c>
      <c r="P463" s="7">
        <v>0.6</v>
      </c>
      <c r="Q463" s="7">
        <v>0.6</v>
      </c>
    </row>
    <row r="464" spans="1:17">
      <c r="A464" s="2">
        <v>2412</v>
      </c>
      <c r="B464" s="7">
        <v>0.6</v>
      </c>
      <c r="C464" s="7">
        <v>0.6</v>
      </c>
      <c r="D464" s="7">
        <v>0.6</v>
      </c>
      <c r="E464" s="7">
        <v>0.6</v>
      </c>
      <c r="F464" s="7">
        <v>0.6</v>
      </c>
      <c r="G464" s="7">
        <v>0.6</v>
      </c>
      <c r="H464" s="7">
        <v>0.6</v>
      </c>
      <c r="I464" s="7">
        <v>0.6</v>
      </c>
      <c r="J464" s="7">
        <v>0.6</v>
      </c>
      <c r="K464" s="7">
        <v>0.6</v>
      </c>
      <c r="L464" s="7">
        <v>0.6</v>
      </c>
      <c r="M464" s="7">
        <v>0.6</v>
      </c>
      <c r="N464" s="7">
        <v>0.6</v>
      </c>
      <c r="O464" s="7">
        <v>0.6</v>
      </c>
      <c r="P464" s="7">
        <v>0.6</v>
      </c>
      <c r="Q464" s="7">
        <v>0.6</v>
      </c>
    </row>
    <row r="465" spans="1:17">
      <c r="A465" s="2">
        <v>2413</v>
      </c>
      <c r="B465" s="7">
        <v>0.6</v>
      </c>
      <c r="C465" s="7">
        <v>0.6</v>
      </c>
      <c r="D465" s="7">
        <v>0.6</v>
      </c>
      <c r="E465" s="7">
        <v>0.6</v>
      </c>
      <c r="F465" s="7">
        <v>0.6</v>
      </c>
      <c r="G465" s="7">
        <v>0.6</v>
      </c>
      <c r="H465" s="7">
        <v>0.6</v>
      </c>
      <c r="I465" s="7">
        <v>0.6</v>
      </c>
      <c r="J465" s="7">
        <v>0.6</v>
      </c>
      <c r="K465" s="7">
        <v>0.6</v>
      </c>
      <c r="L465" s="7">
        <v>0.6</v>
      </c>
      <c r="M465" s="7">
        <v>0.6</v>
      </c>
      <c r="N465" s="7">
        <v>0.6</v>
      </c>
      <c r="O465" s="7">
        <v>0.6</v>
      </c>
      <c r="P465" s="7">
        <v>0.6</v>
      </c>
      <c r="Q465" s="7">
        <v>0.6</v>
      </c>
    </row>
    <row r="466" spans="1:17">
      <c r="A466" s="2">
        <v>2414</v>
      </c>
      <c r="B466" s="7">
        <v>0.6</v>
      </c>
      <c r="C466" s="7">
        <v>0.6</v>
      </c>
      <c r="D466" s="7">
        <v>0.6</v>
      </c>
      <c r="E466" s="7">
        <v>0.6</v>
      </c>
      <c r="F466" s="7">
        <v>0.6</v>
      </c>
      <c r="G466" s="7">
        <v>0.6</v>
      </c>
      <c r="H466" s="7">
        <v>0.6</v>
      </c>
      <c r="I466" s="7">
        <v>0.6</v>
      </c>
      <c r="J466" s="7">
        <v>0.6</v>
      </c>
      <c r="K466" s="7">
        <v>0.6</v>
      </c>
      <c r="L466" s="7">
        <v>0.6</v>
      </c>
      <c r="M466" s="7">
        <v>0.6</v>
      </c>
      <c r="N466" s="7">
        <v>0.6</v>
      </c>
      <c r="O466" s="7">
        <v>0.6</v>
      </c>
      <c r="P466" s="7">
        <v>0.6</v>
      </c>
      <c r="Q466" s="7">
        <v>0.6</v>
      </c>
    </row>
    <row r="467" spans="1:17">
      <c r="A467" s="2">
        <v>2415</v>
      </c>
      <c r="B467" s="7">
        <v>0.6</v>
      </c>
      <c r="C467" s="7">
        <v>0.6</v>
      </c>
      <c r="D467" s="7">
        <v>0.6</v>
      </c>
      <c r="E467" s="7">
        <v>0.6</v>
      </c>
      <c r="F467" s="7">
        <v>0.6</v>
      </c>
      <c r="G467" s="7">
        <v>0.6</v>
      </c>
      <c r="H467" s="7">
        <v>0.6</v>
      </c>
      <c r="I467" s="7">
        <v>0.6</v>
      </c>
      <c r="J467" s="7">
        <v>0.6</v>
      </c>
      <c r="K467" s="7">
        <v>0.6</v>
      </c>
      <c r="L467" s="7">
        <v>0.6</v>
      </c>
      <c r="M467" s="7">
        <v>0.6</v>
      </c>
      <c r="N467" s="7">
        <v>0.6</v>
      </c>
      <c r="O467" s="7">
        <v>0.6</v>
      </c>
      <c r="P467" s="7">
        <v>0.6</v>
      </c>
      <c r="Q467" s="7">
        <v>0.6</v>
      </c>
    </row>
    <row r="468" spans="1:17">
      <c r="A468" s="2">
        <v>2416</v>
      </c>
      <c r="B468" s="7">
        <v>0.6</v>
      </c>
      <c r="C468" s="7">
        <v>0.6</v>
      </c>
      <c r="D468" s="7">
        <v>0.6</v>
      </c>
      <c r="E468" s="7">
        <v>0.6</v>
      </c>
      <c r="F468" s="7">
        <v>0.6</v>
      </c>
      <c r="G468" s="7">
        <v>0.6</v>
      </c>
      <c r="H468" s="7">
        <v>0.6</v>
      </c>
      <c r="I468" s="7">
        <v>0.6</v>
      </c>
      <c r="J468" s="7">
        <v>0.6</v>
      </c>
      <c r="K468" s="7">
        <v>0.6</v>
      </c>
      <c r="L468" s="7">
        <v>0.6</v>
      </c>
      <c r="M468" s="7">
        <v>0.6</v>
      </c>
      <c r="N468" s="7">
        <v>0.6</v>
      </c>
      <c r="O468" s="7">
        <v>0.6</v>
      </c>
      <c r="P468" s="7">
        <v>0.6</v>
      </c>
      <c r="Q468" s="7">
        <v>0.6</v>
      </c>
    </row>
    <row r="469" spans="1:17">
      <c r="A469" s="2">
        <v>2417</v>
      </c>
      <c r="B469" s="7">
        <v>0.6</v>
      </c>
      <c r="C469" s="7">
        <v>0.6</v>
      </c>
      <c r="D469" s="7">
        <v>0.6</v>
      </c>
      <c r="E469" s="7">
        <v>0.6</v>
      </c>
      <c r="F469" s="7">
        <v>0.6</v>
      </c>
      <c r="G469" s="7">
        <v>0.6</v>
      </c>
      <c r="H469" s="7">
        <v>0.6</v>
      </c>
      <c r="I469" s="7">
        <v>0.6</v>
      </c>
      <c r="J469" s="7">
        <v>0.6</v>
      </c>
      <c r="K469" s="7">
        <v>0.6</v>
      </c>
      <c r="L469" s="7">
        <v>0.6</v>
      </c>
      <c r="M469" s="7">
        <v>0.6</v>
      </c>
      <c r="N469" s="7">
        <v>0.6</v>
      </c>
      <c r="O469" s="7">
        <v>0.6</v>
      </c>
      <c r="P469" s="7">
        <v>0.6</v>
      </c>
      <c r="Q469" s="7">
        <v>0.6</v>
      </c>
    </row>
    <row r="470" spans="1:17">
      <c r="A470" s="2">
        <v>2418</v>
      </c>
      <c r="B470" s="7">
        <v>0.6</v>
      </c>
      <c r="C470" s="7">
        <v>0.6</v>
      </c>
      <c r="D470" s="7">
        <v>0.6</v>
      </c>
      <c r="E470" s="7">
        <v>0.6</v>
      </c>
      <c r="F470" s="7">
        <v>0.6</v>
      </c>
      <c r="G470" s="7">
        <v>0.6</v>
      </c>
      <c r="H470" s="7">
        <v>0.6</v>
      </c>
      <c r="I470" s="7">
        <v>0.6</v>
      </c>
      <c r="J470" s="7">
        <v>0.6</v>
      </c>
      <c r="K470" s="7">
        <v>0.6</v>
      </c>
      <c r="L470" s="7">
        <v>0.6</v>
      </c>
      <c r="M470" s="7">
        <v>0.6</v>
      </c>
      <c r="N470" s="7">
        <v>0.6</v>
      </c>
      <c r="O470" s="7">
        <v>0.6</v>
      </c>
      <c r="P470" s="7">
        <v>0.6</v>
      </c>
      <c r="Q470" s="7">
        <v>0.6</v>
      </c>
    </row>
    <row r="471" spans="1:17">
      <c r="A471" s="2">
        <v>2419</v>
      </c>
      <c r="B471" s="7">
        <v>0.6</v>
      </c>
      <c r="C471" s="7">
        <v>0.6</v>
      </c>
      <c r="D471" s="7">
        <v>0.6</v>
      </c>
      <c r="E471" s="7">
        <v>0.6</v>
      </c>
      <c r="F471" s="7">
        <v>0.6</v>
      </c>
      <c r="G471" s="7">
        <v>0.6</v>
      </c>
      <c r="H471" s="7">
        <v>0.6</v>
      </c>
      <c r="I471" s="7">
        <v>0.6</v>
      </c>
      <c r="J471" s="7">
        <v>0.6</v>
      </c>
      <c r="K471" s="7">
        <v>0.6</v>
      </c>
      <c r="L471" s="7">
        <v>0.6</v>
      </c>
      <c r="M471" s="7">
        <v>0.6</v>
      </c>
      <c r="N471" s="7">
        <v>0.6</v>
      </c>
      <c r="O471" s="7">
        <v>0.6</v>
      </c>
      <c r="P471" s="7">
        <v>0.6</v>
      </c>
      <c r="Q471" s="7">
        <v>0.6</v>
      </c>
    </row>
    <row r="472" spans="1:17">
      <c r="A472" s="2">
        <v>2420</v>
      </c>
      <c r="B472" s="7">
        <v>0.6</v>
      </c>
      <c r="C472" s="7">
        <v>0.6</v>
      </c>
      <c r="D472" s="7">
        <v>0.6</v>
      </c>
      <c r="E472" s="7">
        <v>0.6</v>
      </c>
      <c r="F472" s="7">
        <v>0.6</v>
      </c>
      <c r="G472" s="7">
        <v>0.6</v>
      </c>
      <c r="H472" s="7">
        <v>0.6</v>
      </c>
      <c r="I472" s="7">
        <v>0.6</v>
      </c>
      <c r="J472" s="7">
        <v>0.6</v>
      </c>
      <c r="K472" s="7">
        <v>0.6</v>
      </c>
      <c r="L472" s="7">
        <v>0.6</v>
      </c>
      <c r="M472" s="7">
        <v>0.6</v>
      </c>
      <c r="N472" s="7">
        <v>0.6</v>
      </c>
      <c r="O472" s="7">
        <v>0.6</v>
      </c>
      <c r="P472" s="7">
        <v>0.6</v>
      </c>
      <c r="Q472" s="7">
        <v>0.6</v>
      </c>
    </row>
    <row r="473" spans="1:17">
      <c r="A473" s="2">
        <v>2421</v>
      </c>
      <c r="B473" s="7">
        <v>0.6</v>
      </c>
      <c r="C473" s="7">
        <v>0.6</v>
      </c>
      <c r="D473" s="7">
        <v>0.6</v>
      </c>
      <c r="E473" s="7">
        <v>0.6</v>
      </c>
      <c r="F473" s="7">
        <v>0.6</v>
      </c>
      <c r="G473" s="7">
        <v>0.6</v>
      </c>
      <c r="H473" s="7">
        <v>0.6</v>
      </c>
      <c r="I473" s="7">
        <v>0.6</v>
      </c>
      <c r="J473" s="7">
        <v>0.6</v>
      </c>
      <c r="K473" s="7">
        <v>0.6</v>
      </c>
      <c r="L473" s="7">
        <v>0.6</v>
      </c>
      <c r="M473" s="7">
        <v>0.6</v>
      </c>
      <c r="N473" s="7">
        <v>0.6</v>
      </c>
      <c r="O473" s="7">
        <v>0.6</v>
      </c>
      <c r="P473" s="7">
        <v>0.6</v>
      </c>
      <c r="Q473" s="7">
        <v>0.6</v>
      </c>
    </row>
    <row r="474" spans="1:17">
      <c r="A474" s="2">
        <v>2422</v>
      </c>
      <c r="B474" s="7">
        <v>0.6</v>
      </c>
      <c r="C474" s="7">
        <v>0.6</v>
      </c>
      <c r="D474" s="7">
        <v>0.6</v>
      </c>
      <c r="E474" s="7">
        <v>0.6</v>
      </c>
      <c r="F474" s="7">
        <v>0.6</v>
      </c>
      <c r="G474" s="7">
        <v>0.6</v>
      </c>
      <c r="H474" s="7">
        <v>0.6</v>
      </c>
      <c r="I474" s="7">
        <v>0.6</v>
      </c>
      <c r="J474" s="7">
        <v>0.6</v>
      </c>
      <c r="K474" s="7">
        <v>0.6</v>
      </c>
      <c r="L474" s="7">
        <v>0.6</v>
      </c>
      <c r="M474" s="7">
        <v>0.6</v>
      </c>
      <c r="N474" s="7">
        <v>0.6</v>
      </c>
      <c r="O474" s="7">
        <v>0.6</v>
      </c>
      <c r="P474" s="7">
        <v>0.6</v>
      </c>
      <c r="Q474" s="7">
        <v>0.6</v>
      </c>
    </row>
    <row r="475" spans="1:17">
      <c r="A475" s="2">
        <v>2423</v>
      </c>
      <c r="B475" s="7">
        <v>0.6</v>
      </c>
      <c r="C475" s="7">
        <v>0.6</v>
      </c>
      <c r="D475" s="7">
        <v>0.6</v>
      </c>
      <c r="E475" s="7">
        <v>0.6</v>
      </c>
      <c r="F475" s="7">
        <v>0.6</v>
      </c>
      <c r="G475" s="7">
        <v>0.6</v>
      </c>
      <c r="H475" s="7">
        <v>0.6</v>
      </c>
      <c r="I475" s="7">
        <v>0.6</v>
      </c>
      <c r="J475" s="7">
        <v>0.6</v>
      </c>
      <c r="K475" s="7">
        <v>0.6</v>
      </c>
      <c r="L475" s="7">
        <v>0.6</v>
      </c>
      <c r="M475" s="7">
        <v>0.6</v>
      </c>
      <c r="N475" s="7">
        <v>0.6</v>
      </c>
      <c r="O475" s="7">
        <v>0.6</v>
      </c>
      <c r="P475" s="7">
        <v>0.6</v>
      </c>
      <c r="Q475" s="7">
        <v>0.6</v>
      </c>
    </row>
    <row r="476" spans="1:17">
      <c r="A476" s="2">
        <v>2424</v>
      </c>
      <c r="B476" s="7">
        <v>0.6</v>
      </c>
      <c r="C476" s="7">
        <v>0.6</v>
      </c>
      <c r="D476" s="7">
        <v>0.6</v>
      </c>
      <c r="E476" s="7">
        <v>0.6</v>
      </c>
      <c r="F476" s="7">
        <v>0.6</v>
      </c>
      <c r="G476" s="7">
        <v>0.6</v>
      </c>
      <c r="H476" s="7">
        <v>0.6</v>
      </c>
      <c r="I476" s="7">
        <v>0.6</v>
      </c>
      <c r="J476" s="7">
        <v>0.6</v>
      </c>
      <c r="K476" s="7">
        <v>0.6</v>
      </c>
      <c r="L476" s="7">
        <v>0.6</v>
      </c>
      <c r="M476" s="7">
        <v>0.6</v>
      </c>
      <c r="N476" s="7">
        <v>0.6</v>
      </c>
      <c r="O476" s="7">
        <v>0.6</v>
      </c>
      <c r="P476" s="7">
        <v>0.6</v>
      </c>
      <c r="Q476" s="7">
        <v>0.6</v>
      </c>
    </row>
    <row r="477" spans="1:17">
      <c r="A477" s="2">
        <v>2425</v>
      </c>
      <c r="B477" s="7">
        <v>0.6</v>
      </c>
      <c r="C477" s="7">
        <v>0.6</v>
      </c>
      <c r="D477" s="7">
        <v>0.6</v>
      </c>
      <c r="E477" s="7">
        <v>0.6</v>
      </c>
      <c r="F477" s="7">
        <v>0.6</v>
      </c>
      <c r="G477" s="7">
        <v>0.6</v>
      </c>
      <c r="H477" s="7">
        <v>0.6</v>
      </c>
      <c r="I477" s="7">
        <v>0.6</v>
      </c>
      <c r="J477" s="7">
        <v>0.6</v>
      </c>
      <c r="K477" s="7">
        <v>0.6</v>
      </c>
      <c r="L477" s="7">
        <v>0.6</v>
      </c>
      <c r="M477" s="7">
        <v>0.6</v>
      </c>
      <c r="N477" s="7">
        <v>0.6</v>
      </c>
      <c r="O477" s="7">
        <v>0.6</v>
      </c>
      <c r="P477" s="7">
        <v>0.6</v>
      </c>
      <c r="Q477" s="7">
        <v>0.6</v>
      </c>
    </row>
    <row r="478" spans="1:17">
      <c r="A478" s="2">
        <v>2426</v>
      </c>
      <c r="B478" s="7">
        <v>0.6</v>
      </c>
      <c r="C478" s="7">
        <v>0.6</v>
      </c>
      <c r="D478" s="7">
        <v>0.6</v>
      </c>
      <c r="E478" s="7">
        <v>0.6</v>
      </c>
      <c r="F478" s="7">
        <v>0.6</v>
      </c>
      <c r="G478" s="7">
        <v>0.6</v>
      </c>
      <c r="H478" s="7">
        <v>0.6</v>
      </c>
      <c r="I478" s="7">
        <v>0.6</v>
      </c>
      <c r="J478" s="7">
        <v>0.6</v>
      </c>
      <c r="K478" s="7">
        <v>0.6</v>
      </c>
      <c r="L478" s="7">
        <v>0.6</v>
      </c>
      <c r="M478" s="7">
        <v>0.6</v>
      </c>
      <c r="N478" s="7">
        <v>0.6</v>
      </c>
      <c r="O478" s="7">
        <v>0.6</v>
      </c>
      <c r="P478" s="7">
        <v>0.6</v>
      </c>
      <c r="Q478" s="7">
        <v>0.6</v>
      </c>
    </row>
    <row r="479" spans="1:17">
      <c r="A479" s="2">
        <v>2427</v>
      </c>
      <c r="B479" s="7">
        <v>0.6</v>
      </c>
      <c r="C479" s="7">
        <v>0.6</v>
      </c>
      <c r="D479" s="7">
        <v>0.6</v>
      </c>
      <c r="E479" s="7">
        <v>0.6</v>
      </c>
      <c r="F479" s="7">
        <v>0.6</v>
      </c>
      <c r="G479" s="7">
        <v>0.6</v>
      </c>
      <c r="H479" s="7">
        <v>0.6</v>
      </c>
      <c r="I479" s="7">
        <v>0.6</v>
      </c>
      <c r="J479" s="7">
        <v>0.6</v>
      </c>
      <c r="K479" s="7">
        <v>0.6</v>
      </c>
      <c r="L479" s="7">
        <v>0.6</v>
      </c>
      <c r="M479" s="7">
        <v>0.6</v>
      </c>
      <c r="N479" s="7">
        <v>0.6</v>
      </c>
      <c r="O479" s="7">
        <v>0.6</v>
      </c>
      <c r="P479" s="7">
        <v>0.6</v>
      </c>
      <c r="Q479" s="7">
        <v>0.6</v>
      </c>
    </row>
    <row r="480" spans="1:17">
      <c r="A480" s="2">
        <v>2428</v>
      </c>
      <c r="B480" s="7">
        <v>0.6</v>
      </c>
      <c r="C480" s="7">
        <v>0.6</v>
      </c>
      <c r="D480" s="7">
        <v>0.6</v>
      </c>
      <c r="E480" s="7">
        <v>0.6</v>
      </c>
      <c r="F480" s="7">
        <v>0.6</v>
      </c>
      <c r="G480" s="7">
        <v>0.6</v>
      </c>
      <c r="H480" s="7">
        <v>0.6</v>
      </c>
      <c r="I480" s="7">
        <v>0.6</v>
      </c>
      <c r="J480" s="7">
        <v>0.6</v>
      </c>
      <c r="K480" s="7">
        <v>0.6</v>
      </c>
      <c r="L480" s="7">
        <v>0.6</v>
      </c>
      <c r="M480" s="7">
        <v>0.6</v>
      </c>
      <c r="N480" s="7">
        <v>0.6</v>
      </c>
      <c r="O480" s="7">
        <v>0.6</v>
      </c>
      <c r="P480" s="7">
        <v>0.6</v>
      </c>
      <c r="Q480" s="7">
        <v>0.6</v>
      </c>
    </row>
    <row r="481" spans="1:17">
      <c r="A481" s="2">
        <v>2429</v>
      </c>
      <c r="B481" s="7">
        <v>0.6</v>
      </c>
      <c r="C481" s="7">
        <v>0.6</v>
      </c>
      <c r="D481" s="7">
        <v>0.6</v>
      </c>
      <c r="E481" s="7">
        <v>0.6</v>
      </c>
      <c r="F481" s="7">
        <v>0.6</v>
      </c>
      <c r="G481" s="7">
        <v>0.6</v>
      </c>
      <c r="H481" s="7">
        <v>0.6</v>
      </c>
      <c r="I481" s="7">
        <v>0.6</v>
      </c>
      <c r="J481" s="7">
        <v>0.6</v>
      </c>
      <c r="K481" s="7">
        <v>0.6</v>
      </c>
      <c r="L481" s="7">
        <v>0.6</v>
      </c>
      <c r="M481" s="7">
        <v>0.6</v>
      </c>
      <c r="N481" s="7">
        <v>0.6</v>
      </c>
      <c r="O481" s="7">
        <v>0.6</v>
      </c>
      <c r="P481" s="7">
        <v>0.6</v>
      </c>
      <c r="Q481" s="7">
        <v>0.6</v>
      </c>
    </row>
    <row r="482" spans="1:17">
      <c r="A482" s="2">
        <v>2430</v>
      </c>
      <c r="B482" s="7">
        <v>0.6</v>
      </c>
      <c r="C482" s="7">
        <v>0.6</v>
      </c>
      <c r="D482" s="7">
        <v>0.6</v>
      </c>
      <c r="E482" s="7">
        <v>0.6</v>
      </c>
      <c r="F482" s="7">
        <v>0.6</v>
      </c>
      <c r="G482" s="7">
        <v>0.6</v>
      </c>
      <c r="H482" s="7">
        <v>0.6</v>
      </c>
      <c r="I482" s="7">
        <v>0.6</v>
      </c>
      <c r="J482" s="7">
        <v>0.6</v>
      </c>
      <c r="K482" s="7">
        <v>0.6</v>
      </c>
      <c r="L482" s="7">
        <v>0.6</v>
      </c>
      <c r="M482" s="7">
        <v>0.6</v>
      </c>
      <c r="N482" s="7">
        <v>0.6</v>
      </c>
      <c r="O482" s="7">
        <v>0.6</v>
      </c>
      <c r="P482" s="7">
        <v>0.6</v>
      </c>
      <c r="Q482" s="7">
        <v>0.6</v>
      </c>
    </row>
    <row r="483" spans="1:17">
      <c r="A483" s="2">
        <v>2431</v>
      </c>
      <c r="B483" s="7">
        <v>0.6</v>
      </c>
      <c r="C483" s="7">
        <v>0.6</v>
      </c>
      <c r="D483" s="7">
        <v>0.6</v>
      </c>
      <c r="E483" s="7">
        <v>0.6</v>
      </c>
      <c r="F483" s="7">
        <v>0.6</v>
      </c>
      <c r="G483" s="7">
        <v>0.6</v>
      </c>
      <c r="H483" s="7">
        <v>0.6</v>
      </c>
      <c r="I483" s="7">
        <v>0.6</v>
      </c>
      <c r="J483" s="7">
        <v>0.6</v>
      </c>
      <c r="K483" s="7">
        <v>0.6</v>
      </c>
      <c r="L483" s="7">
        <v>0.6</v>
      </c>
      <c r="M483" s="7">
        <v>0.6</v>
      </c>
      <c r="N483" s="7">
        <v>0.6</v>
      </c>
      <c r="O483" s="7">
        <v>0.6</v>
      </c>
      <c r="P483" s="7">
        <v>0.6</v>
      </c>
      <c r="Q483" s="7">
        <v>0.6</v>
      </c>
    </row>
    <row r="484" spans="1:17">
      <c r="A484" s="2">
        <v>2432</v>
      </c>
      <c r="B484" s="7">
        <v>0.6</v>
      </c>
      <c r="C484" s="7">
        <v>0.6</v>
      </c>
      <c r="D484" s="7">
        <v>0.6</v>
      </c>
      <c r="E484" s="7">
        <v>0.6</v>
      </c>
      <c r="F484" s="7">
        <v>0.6</v>
      </c>
      <c r="G484" s="7">
        <v>0.6</v>
      </c>
      <c r="H484" s="7">
        <v>0.6</v>
      </c>
      <c r="I484" s="7">
        <v>0.6</v>
      </c>
      <c r="J484" s="7">
        <v>0.6</v>
      </c>
      <c r="K484" s="7">
        <v>0.6</v>
      </c>
      <c r="L484" s="7">
        <v>0.6</v>
      </c>
      <c r="M484" s="7">
        <v>0.6</v>
      </c>
      <c r="N484" s="7">
        <v>0.6</v>
      </c>
      <c r="O484" s="7">
        <v>0.6</v>
      </c>
      <c r="P484" s="7">
        <v>0.6</v>
      </c>
      <c r="Q484" s="7">
        <v>0.6</v>
      </c>
    </row>
    <row r="485" spans="1:17">
      <c r="A485" s="2">
        <v>2433</v>
      </c>
      <c r="B485" s="7">
        <v>0.6</v>
      </c>
      <c r="C485" s="7">
        <v>0.6</v>
      </c>
      <c r="D485" s="7">
        <v>0.6</v>
      </c>
      <c r="E485" s="7">
        <v>0.6</v>
      </c>
      <c r="F485" s="7">
        <v>0.6</v>
      </c>
      <c r="G485" s="7">
        <v>0.6</v>
      </c>
      <c r="H485" s="7">
        <v>0.6</v>
      </c>
      <c r="I485" s="7">
        <v>0.6</v>
      </c>
      <c r="J485" s="7">
        <v>0.6</v>
      </c>
      <c r="K485" s="7">
        <v>0.6</v>
      </c>
      <c r="L485" s="7">
        <v>0.6</v>
      </c>
      <c r="M485" s="7">
        <v>0.6</v>
      </c>
      <c r="N485" s="7">
        <v>0.6</v>
      </c>
      <c r="O485" s="7">
        <v>0.6</v>
      </c>
      <c r="P485" s="7">
        <v>0.6</v>
      </c>
      <c r="Q485" s="7">
        <v>0.6</v>
      </c>
    </row>
    <row r="486" spans="1:17">
      <c r="A486" s="2">
        <v>2434</v>
      </c>
      <c r="B486" s="7">
        <v>0.6</v>
      </c>
      <c r="C486" s="7">
        <v>0.6</v>
      </c>
      <c r="D486" s="7">
        <v>0.6</v>
      </c>
      <c r="E486" s="7">
        <v>0.6</v>
      </c>
      <c r="F486" s="7">
        <v>0.6</v>
      </c>
      <c r="G486" s="7">
        <v>0.6</v>
      </c>
      <c r="H486" s="7">
        <v>0.6</v>
      </c>
      <c r="I486" s="7">
        <v>0.6</v>
      </c>
      <c r="J486" s="7">
        <v>0.6</v>
      </c>
      <c r="K486" s="7">
        <v>0.6</v>
      </c>
      <c r="L486" s="7">
        <v>0.6</v>
      </c>
      <c r="M486" s="7">
        <v>0.6</v>
      </c>
      <c r="N486" s="7">
        <v>0.6</v>
      </c>
      <c r="O486" s="7">
        <v>0.6</v>
      </c>
      <c r="P486" s="7">
        <v>0.6</v>
      </c>
      <c r="Q486" s="7">
        <v>0.6</v>
      </c>
    </row>
    <row r="487" spans="1:17">
      <c r="A487" s="2">
        <v>2435</v>
      </c>
      <c r="B487" s="7">
        <v>0.6</v>
      </c>
      <c r="C487" s="7">
        <v>0.6</v>
      </c>
      <c r="D487" s="7">
        <v>0.6</v>
      </c>
      <c r="E487" s="7">
        <v>0.6</v>
      </c>
      <c r="F487" s="7">
        <v>0.6</v>
      </c>
      <c r="G487" s="7">
        <v>0.6</v>
      </c>
      <c r="H487" s="7">
        <v>0.6</v>
      </c>
      <c r="I487" s="7">
        <v>0.6</v>
      </c>
      <c r="J487" s="7">
        <v>0.6</v>
      </c>
      <c r="K487" s="7">
        <v>0.6</v>
      </c>
      <c r="L487" s="7">
        <v>0.6</v>
      </c>
      <c r="M487" s="7">
        <v>0.6</v>
      </c>
      <c r="N487" s="7">
        <v>0.6</v>
      </c>
      <c r="O487" s="7">
        <v>0.6</v>
      </c>
      <c r="P487" s="7">
        <v>0.6</v>
      </c>
      <c r="Q487" s="7">
        <v>0.6</v>
      </c>
    </row>
    <row r="488" spans="1:17">
      <c r="A488" s="2">
        <v>2436</v>
      </c>
      <c r="B488" s="7">
        <v>0.6</v>
      </c>
      <c r="C488" s="7">
        <v>0.6</v>
      </c>
      <c r="D488" s="7">
        <v>0.6</v>
      </c>
      <c r="E488" s="7">
        <v>0.6</v>
      </c>
      <c r="F488" s="7">
        <v>0.6</v>
      </c>
      <c r="G488" s="7">
        <v>0.6</v>
      </c>
      <c r="H488" s="7">
        <v>0.6</v>
      </c>
      <c r="I488" s="7">
        <v>0.6</v>
      </c>
      <c r="J488" s="7">
        <v>0.6</v>
      </c>
      <c r="K488" s="7">
        <v>0.6</v>
      </c>
      <c r="L488" s="7">
        <v>0.6</v>
      </c>
      <c r="M488" s="7">
        <v>0.6</v>
      </c>
      <c r="N488" s="7">
        <v>0.6</v>
      </c>
      <c r="O488" s="7">
        <v>0.6</v>
      </c>
      <c r="P488" s="7">
        <v>0.6</v>
      </c>
      <c r="Q488" s="7">
        <v>0.6</v>
      </c>
    </row>
    <row r="489" spans="1:17">
      <c r="A489" s="2">
        <v>2437</v>
      </c>
      <c r="B489" s="7">
        <v>0.6</v>
      </c>
      <c r="C489" s="7">
        <v>0.6</v>
      </c>
      <c r="D489" s="7">
        <v>0.6</v>
      </c>
      <c r="E489" s="7">
        <v>0.6</v>
      </c>
      <c r="F489" s="7">
        <v>0.6</v>
      </c>
      <c r="G489" s="7">
        <v>0.6</v>
      </c>
      <c r="H489" s="7">
        <v>0.6</v>
      </c>
      <c r="I489" s="7">
        <v>0.6</v>
      </c>
      <c r="J489" s="7">
        <v>0.6</v>
      </c>
      <c r="K489" s="7">
        <v>0.6</v>
      </c>
      <c r="L489" s="7">
        <v>0.6</v>
      </c>
      <c r="M489" s="7">
        <v>0.6</v>
      </c>
      <c r="N489" s="7">
        <v>0.6</v>
      </c>
      <c r="O489" s="7">
        <v>0.6</v>
      </c>
      <c r="P489" s="7">
        <v>0.6</v>
      </c>
      <c r="Q489" s="7">
        <v>0.6</v>
      </c>
    </row>
    <row r="490" spans="1:17">
      <c r="A490" s="2">
        <v>2438</v>
      </c>
      <c r="B490" s="7">
        <v>0.6</v>
      </c>
      <c r="C490" s="7">
        <v>0.6</v>
      </c>
      <c r="D490" s="7">
        <v>0.6</v>
      </c>
      <c r="E490" s="7">
        <v>0.6</v>
      </c>
      <c r="F490" s="7">
        <v>0.6</v>
      </c>
      <c r="G490" s="7">
        <v>0.6</v>
      </c>
      <c r="H490" s="7">
        <v>0.6</v>
      </c>
      <c r="I490" s="7">
        <v>0.6</v>
      </c>
      <c r="J490" s="7">
        <v>0.6</v>
      </c>
      <c r="K490" s="7">
        <v>0.6</v>
      </c>
      <c r="L490" s="7">
        <v>0.6</v>
      </c>
      <c r="M490" s="7">
        <v>0.6</v>
      </c>
      <c r="N490" s="7">
        <v>0.6</v>
      </c>
      <c r="O490" s="7">
        <v>0.6</v>
      </c>
      <c r="P490" s="7">
        <v>0.6</v>
      </c>
      <c r="Q490" s="7">
        <v>0.6</v>
      </c>
    </row>
    <row r="491" spans="1:17">
      <c r="A491" s="2">
        <v>2439</v>
      </c>
      <c r="B491" s="7">
        <v>0.6</v>
      </c>
      <c r="C491" s="7">
        <v>0.6</v>
      </c>
      <c r="D491" s="7">
        <v>0.6</v>
      </c>
      <c r="E491" s="7">
        <v>0.6</v>
      </c>
      <c r="F491" s="7">
        <v>0.6</v>
      </c>
      <c r="G491" s="7">
        <v>0.6</v>
      </c>
      <c r="H491" s="7">
        <v>0.6</v>
      </c>
      <c r="I491" s="7">
        <v>0.6</v>
      </c>
      <c r="J491" s="7">
        <v>0.6</v>
      </c>
      <c r="K491" s="7">
        <v>0.6</v>
      </c>
      <c r="L491" s="7">
        <v>0.6</v>
      </c>
      <c r="M491" s="7">
        <v>0.6</v>
      </c>
      <c r="N491" s="7">
        <v>0.6</v>
      </c>
      <c r="O491" s="7">
        <v>0.6</v>
      </c>
      <c r="P491" s="7">
        <v>0.6</v>
      </c>
      <c r="Q491" s="7">
        <v>0.6</v>
      </c>
    </row>
    <row r="492" spans="1:17">
      <c r="A492" s="2">
        <v>2440</v>
      </c>
      <c r="B492" s="7">
        <v>0.6</v>
      </c>
      <c r="C492" s="7">
        <v>0.6</v>
      </c>
      <c r="D492" s="7">
        <v>0.6</v>
      </c>
      <c r="E492" s="7">
        <v>0.6</v>
      </c>
      <c r="F492" s="7">
        <v>0.6</v>
      </c>
      <c r="G492" s="7">
        <v>0.6</v>
      </c>
      <c r="H492" s="7">
        <v>0.6</v>
      </c>
      <c r="I492" s="7">
        <v>0.6</v>
      </c>
      <c r="J492" s="7">
        <v>0.6</v>
      </c>
      <c r="K492" s="7">
        <v>0.6</v>
      </c>
      <c r="L492" s="7">
        <v>0.6</v>
      </c>
      <c r="M492" s="7">
        <v>0.6</v>
      </c>
      <c r="N492" s="7">
        <v>0.6</v>
      </c>
      <c r="O492" s="7">
        <v>0.6</v>
      </c>
      <c r="P492" s="7">
        <v>0.6</v>
      </c>
      <c r="Q492" s="7">
        <v>0.6</v>
      </c>
    </row>
    <row r="493" spans="1:17">
      <c r="A493" s="2">
        <v>2441</v>
      </c>
      <c r="B493" s="7">
        <v>0.6</v>
      </c>
      <c r="C493" s="7">
        <v>0.6</v>
      </c>
      <c r="D493" s="7">
        <v>0.6</v>
      </c>
      <c r="E493" s="7">
        <v>0.6</v>
      </c>
      <c r="F493" s="7">
        <v>0.6</v>
      </c>
      <c r="G493" s="7">
        <v>0.6</v>
      </c>
      <c r="H493" s="7">
        <v>0.6</v>
      </c>
      <c r="I493" s="7">
        <v>0.6</v>
      </c>
      <c r="J493" s="7">
        <v>0.6</v>
      </c>
      <c r="K493" s="7">
        <v>0.6</v>
      </c>
      <c r="L493" s="7">
        <v>0.6</v>
      </c>
      <c r="M493" s="7">
        <v>0.6</v>
      </c>
      <c r="N493" s="7">
        <v>0.6</v>
      </c>
      <c r="O493" s="7">
        <v>0.6</v>
      </c>
      <c r="P493" s="7">
        <v>0.6</v>
      </c>
      <c r="Q493" s="7">
        <v>0.6</v>
      </c>
    </row>
    <row r="494" spans="1:17">
      <c r="A494" s="2">
        <v>2442</v>
      </c>
      <c r="B494" s="7">
        <v>0.6</v>
      </c>
      <c r="C494" s="7">
        <v>0.6</v>
      </c>
      <c r="D494" s="7">
        <v>0.6</v>
      </c>
      <c r="E494" s="7">
        <v>0.6</v>
      </c>
      <c r="F494" s="7">
        <v>0.6</v>
      </c>
      <c r="G494" s="7">
        <v>0.6</v>
      </c>
      <c r="H494" s="7">
        <v>0.6</v>
      </c>
      <c r="I494" s="7">
        <v>0.6</v>
      </c>
      <c r="J494" s="7">
        <v>0.6</v>
      </c>
      <c r="K494" s="7">
        <v>0.6</v>
      </c>
      <c r="L494" s="7">
        <v>0.6</v>
      </c>
      <c r="M494" s="7">
        <v>0.6</v>
      </c>
      <c r="N494" s="7">
        <v>0.6</v>
      </c>
      <c r="O494" s="7">
        <v>0.6</v>
      </c>
      <c r="P494" s="7">
        <v>0.6</v>
      </c>
      <c r="Q494" s="7">
        <v>0.6</v>
      </c>
    </row>
    <row r="495" spans="1:17">
      <c r="A495" s="2">
        <v>2443</v>
      </c>
      <c r="B495" s="7">
        <v>0.6</v>
      </c>
      <c r="C495" s="7">
        <v>0.6</v>
      </c>
      <c r="D495" s="7">
        <v>0.6</v>
      </c>
      <c r="E495" s="7">
        <v>0.6</v>
      </c>
      <c r="F495" s="7">
        <v>0.6</v>
      </c>
      <c r="G495" s="7">
        <v>0.6</v>
      </c>
      <c r="H495" s="7">
        <v>0.6</v>
      </c>
      <c r="I495" s="7">
        <v>0.6</v>
      </c>
      <c r="J495" s="7">
        <v>0.6</v>
      </c>
      <c r="K495" s="7">
        <v>0.6</v>
      </c>
      <c r="L495" s="7">
        <v>0.6</v>
      </c>
      <c r="M495" s="7">
        <v>0.6</v>
      </c>
      <c r="N495" s="7">
        <v>0.6</v>
      </c>
      <c r="O495" s="7">
        <v>0.6</v>
      </c>
      <c r="P495" s="7">
        <v>0.6</v>
      </c>
      <c r="Q495" s="7">
        <v>0.6</v>
      </c>
    </row>
    <row r="496" spans="1:17">
      <c r="A496" s="2">
        <v>2444</v>
      </c>
      <c r="B496" s="7">
        <v>0.6</v>
      </c>
      <c r="C496" s="7">
        <v>0.6</v>
      </c>
      <c r="D496" s="7">
        <v>0.6</v>
      </c>
      <c r="E496" s="7">
        <v>0.6</v>
      </c>
      <c r="F496" s="7">
        <v>0.6</v>
      </c>
      <c r="G496" s="7">
        <v>0.6</v>
      </c>
      <c r="H496" s="7">
        <v>0.6</v>
      </c>
      <c r="I496" s="7">
        <v>0.6</v>
      </c>
      <c r="J496" s="7">
        <v>0.6</v>
      </c>
      <c r="K496" s="7">
        <v>0.6</v>
      </c>
      <c r="L496" s="7">
        <v>0.6</v>
      </c>
      <c r="M496" s="7">
        <v>0.6</v>
      </c>
      <c r="N496" s="7">
        <v>0.6</v>
      </c>
      <c r="O496" s="7">
        <v>0.6</v>
      </c>
      <c r="P496" s="7">
        <v>0.6</v>
      </c>
      <c r="Q496" s="7">
        <v>0.6</v>
      </c>
    </row>
    <row r="497" spans="1:17">
      <c r="A497" s="2">
        <v>2445</v>
      </c>
      <c r="B497" s="7">
        <v>0.6</v>
      </c>
      <c r="C497" s="7">
        <v>0.6</v>
      </c>
      <c r="D497" s="7">
        <v>0.6</v>
      </c>
      <c r="E497" s="7">
        <v>0.6</v>
      </c>
      <c r="F497" s="7">
        <v>0.6</v>
      </c>
      <c r="G497" s="7">
        <v>0.6</v>
      </c>
      <c r="H497" s="7">
        <v>0.6</v>
      </c>
      <c r="I497" s="7">
        <v>0.6</v>
      </c>
      <c r="J497" s="7">
        <v>0.6</v>
      </c>
      <c r="K497" s="7">
        <v>0.6</v>
      </c>
      <c r="L497" s="7">
        <v>0.6</v>
      </c>
      <c r="M497" s="7">
        <v>0.6</v>
      </c>
      <c r="N497" s="7">
        <v>0.6</v>
      </c>
      <c r="O497" s="7">
        <v>0.6</v>
      </c>
      <c r="P497" s="7">
        <v>0.6</v>
      </c>
      <c r="Q497" s="7">
        <v>0.6</v>
      </c>
    </row>
    <row r="498" spans="1:17">
      <c r="A498" s="2">
        <v>2446</v>
      </c>
      <c r="B498" s="7">
        <v>0.6</v>
      </c>
      <c r="C498" s="7">
        <v>0.6</v>
      </c>
      <c r="D498" s="7">
        <v>0.6</v>
      </c>
      <c r="E498" s="7">
        <v>0.6</v>
      </c>
      <c r="F498" s="7">
        <v>0.6</v>
      </c>
      <c r="G498" s="7">
        <v>0.6</v>
      </c>
      <c r="H498" s="7">
        <v>0.6</v>
      </c>
      <c r="I498" s="7">
        <v>0.6</v>
      </c>
      <c r="J498" s="7">
        <v>0.6</v>
      </c>
      <c r="K498" s="7">
        <v>0.6</v>
      </c>
      <c r="L498" s="7">
        <v>0.6</v>
      </c>
      <c r="M498" s="7">
        <v>0.6</v>
      </c>
      <c r="N498" s="7">
        <v>0.6</v>
      </c>
      <c r="O498" s="7">
        <v>0.6</v>
      </c>
      <c r="P498" s="7">
        <v>0.6</v>
      </c>
      <c r="Q498" s="7">
        <v>0.6</v>
      </c>
    </row>
    <row r="499" spans="1:17">
      <c r="A499" s="2">
        <v>2447</v>
      </c>
      <c r="B499" s="7">
        <v>0.6</v>
      </c>
      <c r="C499" s="7">
        <v>0.6</v>
      </c>
      <c r="D499" s="7">
        <v>0.6</v>
      </c>
      <c r="E499" s="7">
        <v>0.6</v>
      </c>
      <c r="F499" s="7">
        <v>0.6</v>
      </c>
      <c r="G499" s="7">
        <v>0.6</v>
      </c>
      <c r="H499" s="7">
        <v>0.6</v>
      </c>
      <c r="I499" s="7">
        <v>0.6</v>
      </c>
      <c r="J499" s="7">
        <v>0.6</v>
      </c>
      <c r="K499" s="7">
        <v>0.6</v>
      </c>
      <c r="L499" s="7">
        <v>0.6</v>
      </c>
      <c r="M499" s="7">
        <v>0.6</v>
      </c>
      <c r="N499" s="7">
        <v>0.6</v>
      </c>
      <c r="O499" s="7">
        <v>0.6</v>
      </c>
      <c r="P499" s="7">
        <v>0.6</v>
      </c>
      <c r="Q499" s="7">
        <v>0.6</v>
      </c>
    </row>
    <row r="500" spans="1:17">
      <c r="A500" s="2">
        <v>2448</v>
      </c>
      <c r="B500" s="7">
        <v>0.6</v>
      </c>
      <c r="C500" s="7">
        <v>0.6</v>
      </c>
      <c r="D500" s="7">
        <v>0.6</v>
      </c>
      <c r="E500" s="7">
        <v>0.6</v>
      </c>
      <c r="F500" s="7">
        <v>0.6</v>
      </c>
      <c r="G500" s="7">
        <v>0.6</v>
      </c>
      <c r="H500" s="7">
        <v>0.6</v>
      </c>
      <c r="I500" s="7">
        <v>0.6</v>
      </c>
      <c r="J500" s="7">
        <v>0.6</v>
      </c>
      <c r="K500" s="7">
        <v>0.6</v>
      </c>
      <c r="L500" s="7">
        <v>0.6</v>
      </c>
      <c r="M500" s="7">
        <v>0.6</v>
      </c>
      <c r="N500" s="7">
        <v>0.6</v>
      </c>
      <c r="O500" s="7">
        <v>0.6</v>
      </c>
      <c r="P500" s="7">
        <v>0.6</v>
      </c>
      <c r="Q500" s="7">
        <v>0.6</v>
      </c>
    </row>
    <row r="501" spans="1:17">
      <c r="A501" s="2">
        <v>2449</v>
      </c>
      <c r="B501" s="7">
        <v>0.6</v>
      </c>
      <c r="C501" s="7">
        <v>0.6</v>
      </c>
      <c r="D501" s="7">
        <v>0.6</v>
      </c>
      <c r="E501" s="7">
        <v>0.6</v>
      </c>
      <c r="F501" s="7">
        <v>0.6</v>
      </c>
      <c r="G501" s="7">
        <v>0.6</v>
      </c>
      <c r="H501" s="7">
        <v>0.6</v>
      </c>
      <c r="I501" s="7">
        <v>0.6</v>
      </c>
      <c r="J501" s="7">
        <v>0.6</v>
      </c>
      <c r="K501" s="7">
        <v>0.6</v>
      </c>
      <c r="L501" s="7">
        <v>0.6</v>
      </c>
      <c r="M501" s="7">
        <v>0.6</v>
      </c>
      <c r="N501" s="7">
        <v>0.6</v>
      </c>
      <c r="O501" s="7">
        <v>0.6</v>
      </c>
      <c r="P501" s="7">
        <v>0.6</v>
      </c>
      <c r="Q501" s="7">
        <v>0.6</v>
      </c>
    </row>
    <row r="502" spans="1:17">
      <c r="A502" s="2">
        <v>2450</v>
      </c>
      <c r="B502" s="7">
        <v>0.6</v>
      </c>
      <c r="C502" s="7">
        <v>0.6</v>
      </c>
      <c r="D502" s="7">
        <v>0.6</v>
      </c>
      <c r="E502" s="7">
        <v>0.6</v>
      </c>
      <c r="F502" s="7">
        <v>0.6</v>
      </c>
      <c r="G502" s="7">
        <v>0.6</v>
      </c>
      <c r="H502" s="7">
        <v>0.6</v>
      </c>
      <c r="I502" s="7">
        <v>0.6</v>
      </c>
      <c r="J502" s="7">
        <v>0.6</v>
      </c>
      <c r="K502" s="7">
        <v>0.6</v>
      </c>
      <c r="L502" s="7">
        <v>0.6</v>
      </c>
      <c r="M502" s="7">
        <v>0.6</v>
      </c>
      <c r="N502" s="7">
        <v>0.6</v>
      </c>
      <c r="O502" s="7">
        <v>0.6</v>
      </c>
      <c r="P502" s="7">
        <v>0.6</v>
      </c>
      <c r="Q502" s="7">
        <v>0.6</v>
      </c>
    </row>
    <row r="503" spans="1:17">
      <c r="A503" s="2">
        <v>2451</v>
      </c>
      <c r="B503" s="7">
        <v>0.6</v>
      </c>
      <c r="C503" s="7">
        <v>0.6</v>
      </c>
      <c r="D503" s="7">
        <v>0.6</v>
      </c>
      <c r="E503" s="7">
        <v>0.6</v>
      </c>
      <c r="F503" s="7">
        <v>0.6</v>
      </c>
      <c r="G503" s="7">
        <v>0.6</v>
      </c>
      <c r="H503" s="7">
        <v>0.6</v>
      </c>
      <c r="I503" s="7">
        <v>0.6</v>
      </c>
      <c r="J503" s="7">
        <v>0.6</v>
      </c>
      <c r="K503" s="7">
        <v>0.6</v>
      </c>
      <c r="L503" s="7">
        <v>0.6</v>
      </c>
      <c r="M503" s="7">
        <v>0.6</v>
      </c>
      <c r="N503" s="7">
        <v>0.6</v>
      </c>
      <c r="O503" s="7">
        <v>0.6</v>
      </c>
      <c r="P503" s="7">
        <v>0.6</v>
      </c>
      <c r="Q503" s="7">
        <v>0.6</v>
      </c>
    </row>
    <row r="504" spans="1:17">
      <c r="A504" s="2">
        <v>2452</v>
      </c>
      <c r="B504" s="7">
        <v>0.6</v>
      </c>
      <c r="C504" s="7">
        <v>0.6</v>
      </c>
      <c r="D504" s="7">
        <v>0.6</v>
      </c>
      <c r="E504" s="7">
        <v>0.6</v>
      </c>
      <c r="F504" s="7">
        <v>0.6</v>
      </c>
      <c r="G504" s="7">
        <v>0.6</v>
      </c>
      <c r="H504" s="7">
        <v>0.6</v>
      </c>
      <c r="I504" s="7">
        <v>0.6</v>
      </c>
      <c r="J504" s="7">
        <v>0.6</v>
      </c>
      <c r="K504" s="7">
        <v>0.6</v>
      </c>
      <c r="L504" s="7">
        <v>0.6</v>
      </c>
      <c r="M504" s="7">
        <v>0.6</v>
      </c>
      <c r="N504" s="7">
        <v>0.6</v>
      </c>
      <c r="O504" s="7">
        <v>0.6</v>
      </c>
      <c r="P504" s="7">
        <v>0.6</v>
      </c>
      <c r="Q504" s="7">
        <v>0.6</v>
      </c>
    </row>
    <row r="505" spans="1:17">
      <c r="A505" s="2">
        <v>2453</v>
      </c>
      <c r="B505" s="7">
        <v>0.6</v>
      </c>
      <c r="C505" s="7">
        <v>0.6</v>
      </c>
      <c r="D505" s="7">
        <v>0.6</v>
      </c>
      <c r="E505" s="7">
        <v>0.6</v>
      </c>
      <c r="F505" s="7">
        <v>0.6</v>
      </c>
      <c r="G505" s="7">
        <v>0.6</v>
      </c>
      <c r="H505" s="7">
        <v>0.6</v>
      </c>
      <c r="I505" s="7">
        <v>0.6</v>
      </c>
      <c r="J505" s="7">
        <v>0.6</v>
      </c>
      <c r="K505" s="7">
        <v>0.6</v>
      </c>
      <c r="L505" s="7">
        <v>0.6</v>
      </c>
      <c r="M505" s="7">
        <v>0.6</v>
      </c>
      <c r="N505" s="7">
        <v>0.6</v>
      </c>
      <c r="O505" s="7">
        <v>0.6</v>
      </c>
      <c r="P505" s="7">
        <v>0.6</v>
      </c>
      <c r="Q505" s="7">
        <v>0.6</v>
      </c>
    </row>
    <row r="506" spans="1:17">
      <c r="A506" s="2">
        <v>2454</v>
      </c>
      <c r="B506" s="7">
        <v>0.6</v>
      </c>
      <c r="C506" s="7">
        <v>0.6</v>
      </c>
      <c r="D506" s="7">
        <v>0.6</v>
      </c>
      <c r="E506" s="7">
        <v>0.6</v>
      </c>
      <c r="F506" s="7">
        <v>0.6</v>
      </c>
      <c r="G506" s="7">
        <v>0.6</v>
      </c>
      <c r="H506" s="7">
        <v>0.6</v>
      </c>
      <c r="I506" s="7">
        <v>0.6</v>
      </c>
      <c r="J506" s="7">
        <v>0.6</v>
      </c>
      <c r="K506" s="7">
        <v>0.6</v>
      </c>
      <c r="L506" s="7">
        <v>0.6</v>
      </c>
      <c r="M506" s="7">
        <v>0.6</v>
      </c>
      <c r="N506" s="7">
        <v>0.6</v>
      </c>
      <c r="O506" s="7">
        <v>0.6</v>
      </c>
      <c r="P506" s="7">
        <v>0.6</v>
      </c>
      <c r="Q506" s="7">
        <v>0.6</v>
      </c>
    </row>
    <row r="507" spans="1:17">
      <c r="A507" s="2">
        <v>2455</v>
      </c>
      <c r="B507" s="7">
        <v>0.6</v>
      </c>
      <c r="C507" s="7">
        <v>0.6</v>
      </c>
      <c r="D507" s="7">
        <v>0.6</v>
      </c>
      <c r="E507" s="7">
        <v>0.6</v>
      </c>
      <c r="F507" s="7">
        <v>0.6</v>
      </c>
      <c r="G507" s="7">
        <v>0.6</v>
      </c>
      <c r="H507" s="7">
        <v>0.6</v>
      </c>
      <c r="I507" s="7">
        <v>0.6</v>
      </c>
      <c r="J507" s="7">
        <v>0.6</v>
      </c>
      <c r="K507" s="7">
        <v>0.6</v>
      </c>
      <c r="L507" s="7">
        <v>0.6</v>
      </c>
      <c r="M507" s="7">
        <v>0.6</v>
      </c>
      <c r="N507" s="7">
        <v>0.6</v>
      </c>
      <c r="O507" s="7">
        <v>0.6</v>
      </c>
      <c r="P507" s="7">
        <v>0.6</v>
      </c>
      <c r="Q507" s="7">
        <v>0.6</v>
      </c>
    </row>
    <row r="508" spans="1:17">
      <c r="A508" s="2">
        <v>2456</v>
      </c>
      <c r="B508" s="7">
        <v>0.6</v>
      </c>
      <c r="C508" s="7">
        <v>0.6</v>
      </c>
      <c r="D508" s="7">
        <v>0.6</v>
      </c>
      <c r="E508" s="7">
        <v>0.6</v>
      </c>
      <c r="F508" s="7">
        <v>0.6</v>
      </c>
      <c r="G508" s="7">
        <v>0.6</v>
      </c>
      <c r="H508" s="7">
        <v>0.6</v>
      </c>
      <c r="I508" s="7">
        <v>0.6</v>
      </c>
      <c r="J508" s="7">
        <v>0.6</v>
      </c>
      <c r="K508" s="7">
        <v>0.6</v>
      </c>
      <c r="L508" s="7">
        <v>0.6</v>
      </c>
      <c r="M508" s="7">
        <v>0.6</v>
      </c>
      <c r="N508" s="7">
        <v>0.6</v>
      </c>
      <c r="O508" s="7">
        <v>0.6</v>
      </c>
      <c r="P508" s="7">
        <v>0.6</v>
      </c>
      <c r="Q508" s="7">
        <v>0.6</v>
      </c>
    </row>
    <row r="509" spans="1:17">
      <c r="A509" s="2">
        <v>2457</v>
      </c>
      <c r="B509" s="7">
        <v>0.6</v>
      </c>
      <c r="C509" s="7">
        <v>0.6</v>
      </c>
      <c r="D509" s="7">
        <v>0.6</v>
      </c>
      <c r="E509" s="7">
        <v>0.6</v>
      </c>
      <c r="F509" s="7">
        <v>0.6</v>
      </c>
      <c r="G509" s="7">
        <v>0.6</v>
      </c>
      <c r="H509" s="7">
        <v>0.6</v>
      </c>
      <c r="I509" s="7">
        <v>0.6</v>
      </c>
      <c r="J509" s="7">
        <v>0.6</v>
      </c>
      <c r="K509" s="7">
        <v>0.6</v>
      </c>
      <c r="L509" s="7">
        <v>0.6</v>
      </c>
      <c r="M509" s="7">
        <v>0.6</v>
      </c>
      <c r="N509" s="7">
        <v>0.6</v>
      </c>
      <c r="O509" s="7">
        <v>0.6</v>
      </c>
      <c r="P509" s="7">
        <v>0.6</v>
      </c>
      <c r="Q509" s="7">
        <v>0.6</v>
      </c>
    </row>
    <row r="510" spans="1:17">
      <c r="A510" s="2">
        <v>2458</v>
      </c>
      <c r="B510" s="7">
        <v>0.6</v>
      </c>
      <c r="C510" s="7">
        <v>0.6</v>
      </c>
      <c r="D510" s="7">
        <v>0.6</v>
      </c>
      <c r="E510" s="7">
        <v>0.6</v>
      </c>
      <c r="F510" s="7">
        <v>0.6</v>
      </c>
      <c r="G510" s="7">
        <v>0.6</v>
      </c>
      <c r="H510" s="7">
        <v>0.6</v>
      </c>
      <c r="I510" s="7">
        <v>0.6</v>
      </c>
      <c r="J510" s="7">
        <v>0.6</v>
      </c>
      <c r="K510" s="7">
        <v>0.6</v>
      </c>
      <c r="L510" s="7">
        <v>0.6</v>
      </c>
      <c r="M510" s="7">
        <v>0.6</v>
      </c>
      <c r="N510" s="7">
        <v>0.6</v>
      </c>
      <c r="O510" s="7">
        <v>0.6</v>
      </c>
      <c r="P510" s="7">
        <v>0.6</v>
      </c>
      <c r="Q510" s="7">
        <v>0.6</v>
      </c>
    </row>
    <row r="511" spans="1:17">
      <c r="A511" s="2">
        <v>2459</v>
      </c>
      <c r="B511" s="7">
        <v>0.6</v>
      </c>
      <c r="C511" s="7">
        <v>0.6</v>
      </c>
      <c r="D511" s="7">
        <v>0.6</v>
      </c>
      <c r="E511" s="7">
        <v>0.6</v>
      </c>
      <c r="F511" s="7">
        <v>0.6</v>
      </c>
      <c r="G511" s="7">
        <v>0.6</v>
      </c>
      <c r="H511" s="7">
        <v>0.6</v>
      </c>
      <c r="I511" s="7">
        <v>0.6</v>
      </c>
      <c r="J511" s="7">
        <v>0.6</v>
      </c>
      <c r="K511" s="7">
        <v>0.6</v>
      </c>
      <c r="L511" s="7">
        <v>0.6</v>
      </c>
      <c r="M511" s="7">
        <v>0.6</v>
      </c>
      <c r="N511" s="7">
        <v>0.6</v>
      </c>
      <c r="O511" s="7">
        <v>0.6</v>
      </c>
      <c r="P511" s="7">
        <v>0.6</v>
      </c>
      <c r="Q511" s="7">
        <v>0.6</v>
      </c>
    </row>
    <row r="512" spans="1:17">
      <c r="A512" s="2">
        <v>2460</v>
      </c>
      <c r="B512" s="7">
        <v>0.6</v>
      </c>
      <c r="C512" s="7">
        <v>0.6</v>
      </c>
      <c r="D512" s="7">
        <v>0.6</v>
      </c>
      <c r="E512" s="7">
        <v>0.6</v>
      </c>
      <c r="F512" s="7">
        <v>0.6</v>
      </c>
      <c r="G512" s="7">
        <v>0.6</v>
      </c>
      <c r="H512" s="7">
        <v>0.6</v>
      </c>
      <c r="I512" s="7">
        <v>0.6</v>
      </c>
      <c r="J512" s="7">
        <v>0.6</v>
      </c>
      <c r="K512" s="7">
        <v>0.6</v>
      </c>
      <c r="L512" s="7">
        <v>0.6</v>
      </c>
      <c r="M512" s="7">
        <v>0.6</v>
      </c>
      <c r="N512" s="7">
        <v>0.6</v>
      </c>
      <c r="O512" s="7">
        <v>0.6</v>
      </c>
      <c r="P512" s="7">
        <v>0.6</v>
      </c>
      <c r="Q512" s="7">
        <v>0.6</v>
      </c>
    </row>
    <row r="513" spans="1:17">
      <c r="A513" s="2">
        <v>2461</v>
      </c>
      <c r="B513" s="7">
        <v>0.6</v>
      </c>
      <c r="C513" s="7">
        <v>0.6</v>
      </c>
      <c r="D513" s="7">
        <v>0.6</v>
      </c>
      <c r="E513" s="7">
        <v>0.6</v>
      </c>
      <c r="F513" s="7">
        <v>0.6</v>
      </c>
      <c r="G513" s="7">
        <v>0.6</v>
      </c>
      <c r="H513" s="7">
        <v>0.6</v>
      </c>
      <c r="I513" s="7">
        <v>0.6</v>
      </c>
      <c r="J513" s="7">
        <v>0.6</v>
      </c>
      <c r="K513" s="7">
        <v>0.6</v>
      </c>
      <c r="L513" s="7">
        <v>0.6</v>
      </c>
      <c r="M513" s="7">
        <v>0.6</v>
      </c>
      <c r="N513" s="7">
        <v>0.6</v>
      </c>
      <c r="O513" s="7">
        <v>0.6</v>
      </c>
      <c r="P513" s="7">
        <v>0.6</v>
      </c>
      <c r="Q513" s="7">
        <v>0.6</v>
      </c>
    </row>
    <row r="514" spans="1:17">
      <c r="A514" s="2">
        <v>2462</v>
      </c>
      <c r="B514" s="7">
        <v>0.6</v>
      </c>
      <c r="C514" s="7">
        <v>0.6</v>
      </c>
      <c r="D514" s="7">
        <v>0.6</v>
      </c>
      <c r="E514" s="7">
        <v>0.6</v>
      </c>
      <c r="F514" s="7">
        <v>0.6</v>
      </c>
      <c r="G514" s="7">
        <v>0.6</v>
      </c>
      <c r="H514" s="7">
        <v>0.6</v>
      </c>
      <c r="I514" s="7">
        <v>0.6</v>
      </c>
      <c r="J514" s="7">
        <v>0.6</v>
      </c>
      <c r="K514" s="7">
        <v>0.6</v>
      </c>
      <c r="L514" s="7">
        <v>0.6</v>
      </c>
      <c r="M514" s="7">
        <v>0.6</v>
      </c>
      <c r="N514" s="7">
        <v>0.6</v>
      </c>
      <c r="O514" s="7">
        <v>0.6</v>
      </c>
      <c r="P514" s="7">
        <v>0.6</v>
      </c>
      <c r="Q514" s="7">
        <v>0.6</v>
      </c>
    </row>
    <row r="515" spans="1:17">
      <c r="A515" s="2">
        <v>2463</v>
      </c>
      <c r="B515" s="7">
        <v>0.6</v>
      </c>
      <c r="C515" s="7">
        <v>0.6</v>
      </c>
      <c r="D515" s="7">
        <v>0.6</v>
      </c>
      <c r="E515" s="7">
        <v>0.6</v>
      </c>
      <c r="F515" s="7">
        <v>0.6</v>
      </c>
      <c r="G515" s="7">
        <v>0.6</v>
      </c>
      <c r="H515" s="7">
        <v>0.6</v>
      </c>
      <c r="I515" s="7">
        <v>0.6</v>
      </c>
      <c r="J515" s="7">
        <v>0.6</v>
      </c>
      <c r="K515" s="7">
        <v>0.6</v>
      </c>
      <c r="L515" s="7">
        <v>0.6</v>
      </c>
      <c r="M515" s="7">
        <v>0.6</v>
      </c>
      <c r="N515" s="7">
        <v>0.6</v>
      </c>
      <c r="O515" s="7">
        <v>0.6</v>
      </c>
      <c r="P515" s="7">
        <v>0.6</v>
      </c>
      <c r="Q515" s="7">
        <v>0.6</v>
      </c>
    </row>
    <row r="516" spans="1:17">
      <c r="A516" s="2">
        <v>2464</v>
      </c>
      <c r="B516" s="7">
        <v>0.6</v>
      </c>
      <c r="C516" s="7">
        <v>0.6</v>
      </c>
      <c r="D516" s="7">
        <v>0.6</v>
      </c>
      <c r="E516" s="7">
        <v>0.6</v>
      </c>
      <c r="F516" s="7">
        <v>0.6</v>
      </c>
      <c r="G516" s="7">
        <v>0.6</v>
      </c>
      <c r="H516" s="7">
        <v>0.6</v>
      </c>
      <c r="I516" s="7">
        <v>0.6</v>
      </c>
      <c r="J516" s="7">
        <v>0.6</v>
      </c>
      <c r="K516" s="7">
        <v>0.6</v>
      </c>
      <c r="L516" s="7">
        <v>0.6</v>
      </c>
      <c r="M516" s="7">
        <v>0.6</v>
      </c>
      <c r="N516" s="7">
        <v>0.6</v>
      </c>
      <c r="O516" s="7">
        <v>0.6</v>
      </c>
      <c r="P516" s="7">
        <v>0.6</v>
      </c>
      <c r="Q516" s="7">
        <v>0.6</v>
      </c>
    </row>
    <row r="517" spans="1:17">
      <c r="A517" s="2">
        <v>2465</v>
      </c>
      <c r="B517" s="7">
        <v>0.6</v>
      </c>
      <c r="C517" s="7">
        <v>0.6</v>
      </c>
      <c r="D517" s="7">
        <v>0.6</v>
      </c>
      <c r="E517" s="7">
        <v>0.6</v>
      </c>
      <c r="F517" s="7">
        <v>0.6</v>
      </c>
      <c r="G517" s="7">
        <v>0.6</v>
      </c>
      <c r="H517" s="7">
        <v>0.6</v>
      </c>
      <c r="I517" s="7">
        <v>0.6</v>
      </c>
      <c r="J517" s="7">
        <v>0.6</v>
      </c>
      <c r="K517" s="7">
        <v>0.6</v>
      </c>
      <c r="L517" s="7">
        <v>0.6</v>
      </c>
      <c r="M517" s="7">
        <v>0.6</v>
      </c>
      <c r="N517" s="7">
        <v>0.6</v>
      </c>
      <c r="O517" s="7">
        <v>0.6</v>
      </c>
      <c r="P517" s="7">
        <v>0.6</v>
      </c>
      <c r="Q517" s="7">
        <v>0.6</v>
      </c>
    </row>
    <row r="518" spans="1:17">
      <c r="A518" s="2">
        <v>2466</v>
      </c>
      <c r="B518" s="7">
        <v>0.6</v>
      </c>
      <c r="C518" s="7">
        <v>0.6</v>
      </c>
      <c r="D518" s="7">
        <v>0.6</v>
      </c>
      <c r="E518" s="7">
        <v>0.6</v>
      </c>
      <c r="F518" s="7">
        <v>0.6</v>
      </c>
      <c r="G518" s="7">
        <v>0.6</v>
      </c>
      <c r="H518" s="7">
        <v>0.6</v>
      </c>
      <c r="I518" s="7">
        <v>0.6</v>
      </c>
      <c r="J518" s="7">
        <v>0.6</v>
      </c>
      <c r="K518" s="7">
        <v>0.6</v>
      </c>
      <c r="L518" s="7">
        <v>0.6</v>
      </c>
      <c r="M518" s="7">
        <v>0.6</v>
      </c>
      <c r="N518" s="7">
        <v>0.6</v>
      </c>
      <c r="O518" s="7">
        <v>0.6</v>
      </c>
      <c r="P518" s="7">
        <v>0.6</v>
      </c>
      <c r="Q518" s="7">
        <v>0.6</v>
      </c>
    </row>
    <row r="519" spans="1:17">
      <c r="A519" s="2">
        <v>2467</v>
      </c>
      <c r="B519" s="7">
        <v>0.6</v>
      </c>
      <c r="C519" s="7">
        <v>0.6</v>
      </c>
      <c r="D519" s="7">
        <v>0.6</v>
      </c>
      <c r="E519" s="7">
        <v>0.6</v>
      </c>
      <c r="F519" s="7">
        <v>0.6</v>
      </c>
      <c r="G519" s="7">
        <v>0.6</v>
      </c>
      <c r="H519" s="7">
        <v>0.6</v>
      </c>
      <c r="I519" s="7">
        <v>0.6</v>
      </c>
      <c r="J519" s="7">
        <v>0.6</v>
      </c>
      <c r="K519" s="7">
        <v>0.6</v>
      </c>
      <c r="L519" s="7">
        <v>0.6</v>
      </c>
      <c r="M519" s="7">
        <v>0.6</v>
      </c>
      <c r="N519" s="7">
        <v>0.6</v>
      </c>
      <c r="O519" s="7">
        <v>0.6</v>
      </c>
      <c r="P519" s="7">
        <v>0.6</v>
      </c>
      <c r="Q519" s="7">
        <v>0.6</v>
      </c>
    </row>
    <row r="520" spans="1:17">
      <c r="A520" s="2">
        <v>2468</v>
      </c>
      <c r="B520" s="7">
        <v>0.6</v>
      </c>
      <c r="C520" s="7">
        <v>0.6</v>
      </c>
      <c r="D520" s="7">
        <v>0.6</v>
      </c>
      <c r="E520" s="7">
        <v>0.6</v>
      </c>
      <c r="F520" s="7">
        <v>0.6</v>
      </c>
      <c r="G520" s="7">
        <v>0.6</v>
      </c>
      <c r="H520" s="7">
        <v>0.6</v>
      </c>
      <c r="I520" s="7">
        <v>0.6</v>
      </c>
      <c r="J520" s="7">
        <v>0.6</v>
      </c>
      <c r="K520" s="7">
        <v>0.6</v>
      </c>
      <c r="L520" s="7">
        <v>0.6</v>
      </c>
      <c r="M520" s="7">
        <v>0.6</v>
      </c>
      <c r="N520" s="7">
        <v>0.6</v>
      </c>
      <c r="O520" s="7">
        <v>0.6</v>
      </c>
      <c r="P520" s="7">
        <v>0.6</v>
      </c>
      <c r="Q520" s="7">
        <v>0.6</v>
      </c>
    </row>
    <row r="521" spans="1:17">
      <c r="A521" s="2">
        <v>2469</v>
      </c>
      <c r="B521" s="7">
        <v>0.6</v>
      </c>
      <c r="C521" s="7">
        <v>0.6</v>
      </c>
      <c r="D521" s="7">
        <v>0.6</v>
      </c>
      <c r="E521" s="7">
        <v>0.6</v>
      </c>
      <c r="F521" s="7">
        <v>0.6</v>
      </c>
      <c r="G521" s="7">
        <v>0.6</v>
      </c>
      <c r="H521" s="7">
        <v>0.6</v>
      </c>
      <c r="I521" s="7">
        <v>0.6</v>
      </c>
      <c r="J521" s="7">
        <v>0.6</v>
      </c>
      <c r="K521" s="7">
        <v>0.6</v>
      </c>
      <c r="L521" s="7">
        <v>0.6</v>
      </c>
      <c r="M521" s="7">
        <v>0.6</v>
      </c>
      <c r="N521" s="7">
        <v>0.6</v>
      </c>
      <c r="O521" s="7">
        <v>0.6</v>
      </c>
      <c r="P521" s="7">
        <v>0.6</v>
      </c>
      <c r="Q521" s="7">
        <v>0.6</v>
      </c>
    </row>
    <row r="522" spans="1:17">
      <c r="A522" s="2">
        <v>2470</v>
      </c>
      <c r="B522" s="7">
        <v>0.6</v>
      </c>
      <c r="C522" s="7">
        <v>0.6</v>
      </c>
      <c r="D522" s="7">
        <v>0.6</v>
      </c>
      <c r="E522" s="7">
        <v>0.6</v>
      </c>
      <c r="F522" s="7">
        <v>0.6</v>
      </c>
      <c r="G522" s="7">
        <v>0.6</v>
      </c>
      <c r="H522" s="7">
        <v>0.6</v>
      </c>
      <c r="I522" s="7">
        <v>0.6</v>
      </c>
      <c r="J522" s="7">
        <v>0.6</v>
      </c>
      <c r="K522" s="7">
        <v>0.6</v>
      </c>
      <c r="L522" s="7">
        <v>0.6</v>
      </c>
      <c r="M522" s="7">
        <v>0.6</v>
      </c>
      <c r="N522" s="7">
        <v>0.6</v>
      </c>
      <c r="O522" s="7">
        <v>0.6</v>
      </c>
      <c r="P522" s="7">
        <v>0.6</v>
      </c>
      <c r="Q522" s="7">
        <v>0.6</v>
      </c>
    </row>
    <row r="523" spans="1:17">
      <c r="A523" s="2">
        <v>2471</v>
      </c>
      <c r="B523" s="7">
        <v>0.6</v>
      </c>
      <c r="C523" s="7">
        <v>0.6</v>
      </c>
      <c r="D523" s="7">
        <v>0.6</v>
      </c>
      <c r="E523" s="7">
        <v>0.6</v>
      </c>
      <c r="F523" s="7">
        <v>0.6</v>
      </c>
      <c r="G523" s="7">
        <v>0.6</v>
      </c>
      <c r="H523" s="7">
        <v>0.6</v>
      </c>
      <c r="I523" s="7">
        <v>0.6</v>
      </c>
      <c r="J523" s="7">
        <v>0.6</v>
      </c>
      <c r="K523" s="7">
        <v>0.6</v>
      </c>
      <c r="L523" s="7">
        <v>0.6</v>
      </c>
      <c r="M523" s="7">
        <v>0.6</v>
      </c>
      <c r="N523" s="7">
        <v>0.6</v>
      </c>
      <c r="O523" s="7">
        <v>0.6</v>
      </c>
      <c r="P523" s="7">
        <v>0.6</v>
      </c>
      <c r="Q523" s="7">
        <v>0.6</v>
      </c>
    </row>
    <row r="524" spans="1:17">
      <c r="A524" s="2">
        <v>2472</v>
      </c>
      <c r="B524" s="7">
        <v>0.6</v>
      </c>
      <c r="C524" s="7">
        <v>0.6</v>
      </c>
      <c r="D524" s="7">
        <v>0.6</v>
      </c>
      <c r="E524" s="7">
        <v>0.6</v>
      </c>
      <c r="F524" s="7">
        <v>0.6</v>
      </c>
      <c r="G524" s="7">
        <v>0.6</v>
      </c>
      <c r="H524" s="7">
        <v>0.6</v>
      </c>
      <c r="I524" s="7">
        <v>0.6</v>
      </c>
      <c r="J524" s="7">
        <v>0.6</v>
      </c>
      <c r="K524" s="7">
        <v>0.6</v>
      </c>
      <c r="L524" s="7">
        <v>0.6</v>
      </c>
      <c r="M524" s="7">
        <v>0.6</v>
      </c>
      <c r="N524" s="7">
        <v>0.6</v>
      </c>
      <c r="O524" s="7">
        <v>0.6</v>
      </c>
      <c r="P524" s="7">
        <v>0.6</v>
      </c>
      <c r="Q524" s="7">
        <v>0.6</v>
      </c>
    </row>
    <row r="525" spans="1:17">
      <c r="A525" s="2">
        <v>2473</v>
      </c>
      <c r="B525" s="7">
        <v>0.6</v>
      </c>
      <c r="C525" s="7">
        <v>0.6</v>
      </c>
      <c r="D525" s="7">
        <v>0.6</v>
      </c>
      <c r="E525" s="7">
        <v>0.6</v>
      </c>
      <c r="F525" s="7">
        <v>0.6</v>
      </c>
      <c r="G525" s="7">
        <v>0.6</v>
      </c>
      <c r="H525" s="7">
        <v>0.6</v>
      </c>
      <c r="I525" s="7">
        <v>0.6</v>
      </c>
      <c r="J525" s="7">
        <v>0.6</v>
      </c>
      <c r="K525" s="7">
        <v>0.6</v>
      </c>
      <c r="L525" s="7">
        <v>0.6</v>
      </c>
      <c r="M525" s="7">
        <v>0.6</v>
      </c>
      <c r="N525" s="7">
        <v>0.6</v>
      </c>
      <c r="O525" s="7">
        <v>0.6</v>
      </c>
      <c r="P525" s="7">
        <v>0.6</v>
      </c>
      <c r="Q525" s="7">
        <v>0.6</v>
      </c>
    </row>
    <row r="526" spans="1:17">
      <c r="A526" s="2">
        <v>2474</v>
      </c>
      <c r="B526" s="7">
        <v>0.6</v>
      </c>
      <c r="C526" s="7">
        <v>0.6</v>
      </c>
      <c r="D526" s="7">
        <v>0.6</v>
      </c>
      <c r="E526" s="7">
        <v>0.6</v>
      </c>
      <c r="F526" s="7">
        <v>0.6</v>
      </c>
      <c r="G526" s="7">
        <v>0.6</v>
      </c>
      <c r="H526" s="7">
        <v>0.6</v>
      </c>
      <c r="I526" s="7">
        <v>0.6</v>
      </c>
      <c r="J526" s="7">
        <v>0.6</v>
      </c>
      <c r="K526" s="7">
        <v>0.6</v>
      </c>
      <c r="L526" s="7">
        <v>0.6</v>
      </c>
      <c r="M526" s="7">
        <v>0.6</v>
      </c>
      <c r="N526" s="7">
        <v>0.6</v>
      </c>
      <c r="O526" s="7">
        <v>0.6</v>
      </c>
      <c r="P526" s="7">
        <v>0.6</v>
      </c>
      <c r="Q526" s="7">
        <v>0.6</v>
      </c>
    </row>
    <row r="527" spans="1:17">
      <c r="A527" s="2">
        <v>2475</v>
      </c>
      <c r="B527" s="7">
        <v>0.6</v>
      </c>
      <c r="C527" s="7">
        <v>0.6</v>
      </c>
      <c r="D527" s="7">
        <v>0.6</v>
      </c>
      <c r="E527" s="7">
        <v>0.6</v>
      </c>
      <c r="F527" s="7">
        <v>0.6</v>
      </c>
      <c r="G527" s="7">
        <v>0.6</v>
      </c>
      <c r="H527" s="7">
        <v>0.6</v>
      </c>
      <c r="I527" s="7">
        <v>0.6</v>
      </c>
      <c r="J527" s="7">
        <v>0.6</v>
      </c>
      <c r="K527" s="7">
        <v>0.6</v>
      </c>
      <c r="L527" s="7">
        <v>0.6</v>
      </c>
      <c r="M527" s="7">
        <v>0.6</v>
      </c>
      <c r="N527" s="7">
        <v>0.6</v>
      </c>
      <c r="O527" s="7">
        <v>0.6</v>
      </c>
      <c r="P527" s="7">
        <v>0.6</v>
      </c>
      <c r="Q527" s="7">
        <v>0.6</v>
      </c>
    </row>
    <row r="528" spans="1:17">
      <c r="A528" s="2">
        <v>2476</v>
      </c>
      <c r="B528" s="7">
        <v>0.6</v>
      </c>
      <c r="C528" s="7">
        <v>0.6</v>
      </c>
      <c r="D528" s="7">
        <v>0.6</v>
      </c>
      <c r="E528" s="7">
        <v>0.6</v>
      </c>
      <c r="F528" s="7">
        <v>0.6</v>
      </c>
      <c r="G528" s="7">
        <v>0.6</v>
      </c>
      <c r="H528" s="7">
        <v>0.6</v>
      </c>
      <c r="I528" s="7">
        <v>0.6</v>
      </c>
      <c r="J528" s="7">
        <v>0.6</v>
      </c>
      <c r="K528" s="7">
        <v>0.6</v>
      </c>
      <c r="L528" s="7">
        <v>0.6</v>
      </c>
      <c r="M528" s="7">
        <v>0.6</v>
      </c>
      <c r="N528" s="7">
        <v>0.6</v>
      </c>
      <c r="O528" s="7">
        <v>0.6</v>
      </c>
      <c r="P528" s="7">
        <v>0.6</v>
      </c>
      <c r="Q528" s="7">
        <v>0.6</v>
      </c>
    </row>
    <row r="529" spans="1:17">
      <c r="A529" s="2">
        <v>2477</v>
      </c>
      <c r="B529" s="7">
        <v>0.6</v>
      </c>
      <c r="C529" s="7">
        <v>0.6</v>
      </c>
      <c r="D529" s="7">
        <v>0.6</v>
      </c>
      <c r="E529" s="7">
        <v>0.6</v>
      </c>
      <c r="F529" s="7">
        <v>0.6</v>
      </c>
      <c r="G529" s="7">
        <v>0.6</v>
      </c>
      <c r="H529" s="7">
        <v>0.6</v>
      </c>
      <c r="I529" s="7">
        <v>0.6</v>
      </c>
      <c r="J529" s="7">
        <v>0.6</v>
      </c>
      <c r="K529" s="7">
        <v>0.6</v>
      </c>
      <c r="L529" s="7">
        <v>0.6</v>
      </c>
      <c r="M529" s="7">
        <v>0.6</v>
      </c>
      <c r="N529" s="7">
        <v>0.6</v>
      </c>
      <c r="O529" s="7">
        <v>0.6</v>
      </c>
      <c r="P529" s="7">
        <v>0.6</v>
      </c>
      <c r="Q529" s="7">
        <v>0.6</v>
      </c>
    </row>
    <row r="530" spans="1:17">
      <c r="A530" s="2">
        <v>2478</v>
      </c>
      <c r="B530" s="7">
        <v>0.6</v>
      </c>
      <c r="C530" s="7">
        <v>0.6</v>
      </c>
      <c r="D530" s="7">
        <v>0.6</v>
      </c>
      <c r="E530" s="7">
        <v>0.6</v>
      </c>
      <c r="F530" s="7">
        <v>0.6</v>
      </c>
      <c r="G530" s="7">
        <v>0.6</v>
      </c>
      <c r="H530" s="7">
        <v>0.6</v>
      </c>
      <c r="I530" s="7">
        <v>0.6</v>
      </c>
      <c r="J530" s="7">
        <v>0.6</v>
      </c>
      <c r="K530" s="7">
        <v>0.6</v>
      </c>
      <c r="L530" s="7">
        <v>0.6</v>
      </c>
      <c r="M530" s="7">
        <v>0.6</v>
      </c>
      <c r="N530" s="7">
        <v>0.6</v>
      </c>
      <c r="O530" s="7">
        <v>0.6</v>
      </c>
      <c r="P530" s="7">
        <v>0.6</v>
      </c>
      <c r="Q530" s="7">
        <v>0.6</v>
      </c>
    </row>
    <row r="531" spans="1:17">
      <c r="A531" s="2">
        <v>2479</v>
      </c>
      <c r="B531" s="7">
        <v>0.6</v>
      </c>
      <c r="C531" s="7">
        <v>0.6</v>
      </c>
      <c r="D531" s="7">
        <v>0.6</v>
      </c>
      <c r="E531" s="7">
        <v>0.6</v>
      </c>
      <c r="F531" s="7">
        <v>0.6</v>
      </c>
      <c r="G531" s="7">
        <v>0.6</v>
      </c>
      <c r="H531" s="7">
        <v>0.6</v>
      </c>
      <c r="I531" s="7">
        <v>0.6</v>
      </c>
      <c r="J531" s="7">
        <v>0.6</v>
      </c>
      <c r="K531" s="7">
        <v>0.6</v>
      </c>
      <c r="L531" s="7">
        <v>0.6</v>
      </c>
      <c r="M531" s="7">
        <v>0.6</v>
      </c>
      <c r="N531" s="7">
        <v>0.6</v>
      </c>
      <c r="O531" s="7">
        <v>0.6</v>
      </c>
      <c r="P531" s="7">
        <v>0.6</v>
      </c>
      <c r="Q531" s="7">
        <v>0.6</v>
      </c>
    </row>
    <row r="532" spans="1:17">
      <c r="A532" s="2">
        <v>2480</v>
      </c>
      <c r="B532" s="7">
        <v>0.6</v>
      </c>
      <c r="C532" s="7">
        <v>0.6</v>
      </c>
      <c r="D532" s="7">
        <v>0.6</v>
      </c>
      <c r="E532" s="7">
        <v>0.6</v>
      </c>
      <c r="F532" s="7">
        <v>0.6</v>
      </c>
      <c r="G532" s="7">
        <v>0.6</v>
      </c>
      <c r="H532" s="7">
        <v>0.6</v>
      </c>
      <c r="I532" s="7">
        <v>0.6</v>
      </c>
      <c r="J532" s="7">
        <v>0.6</v>
      </c>
      <c r="K532" s="7">
        <v>0.6</v>
      </c>
      <c r="L532" s="7">
        <v>0.6</v>
      </c>
      <c r="M532" s="7">
        <v>0.6</v>
      </c>
      <c r="N532" s="7">
        <v>0.6</v>
      </c>
      <c r="O532" s="7">
        <v>0.6</v>
      </c>
      <c r="P532" s="7">
        <v>0.6</v>
      </c>
      <c r="Q532" s="7">
        <v>0.6</v>
      </c>
    </row>
    <row r="533" spans="1:17">
      <c r="A533" s="2">
        <v>2481</v>
      </c>
      <c r="B533" s="7">
        <v>0.6</v>
      </c>
      <c r="C533" s="7">
        <v>0.6</v>
      </c>
      <c r="D533" s="7">
        <v>0.6</v>
      </c>
      <c r="E533" s="7">
        <v>0.6</v>
      </c>
      <c r="F533" s="7">
        <v>0.6</v>
      </c>
      <c r="G533" s="7">
        <v>0.6</v>
      </c>
      <c r="H533" s="7">
        <v>0.6</v>
      </c>
      <c r="I533" s="7">
        <v>0.6</v>
      </c>
      <c r="J533" s="7">
        <v>0.6</v>
      </c>
      <c r="K533" s="7">
        <v>0.6</v>
      </c>
      <c r="L533" s="7">
        <v>0.6</v>
      </c>
      <c r="M533" s="7">
        <v>0.6</v>
      </c>
      <c r="N533" s="7">
        <v>0.6</v>
      </c>
      <c r="O533" s="7">
        <v>0.6</v>
      </c>
      <c r="P533" s="7">
        <v>0.6</v>
      </c>
      <c r="Q533" s="7">
        <v>0.6</v>
      </c>
    </row>
    <row r="534" spans="1:17">
      <c r="A534" s="2">
        <v>2482</v>
      </c>
      <c r="B534" s="7">
        <v>0.6</v>
      </c>
      <c r="C534" s="7">
        <v>0.6</v>
      </c>
      <c r="D534" s="7">
        <v>0.6</v>
      </c>
      <c r="E534" s="7">
        <v>0.6</v>
      </c>
      <c r="F534" s="7">
        <v>0.6</v>
      </c>
      <c r="G534" s="7">
        <v>0.6</v>
      </c>
      <c r="H534" s="7">
        <v>0.6</v>
      </c>
      <c r="I534" s="7">
        <v>0.6</v>
      </c>
      <c r="J534" s="7">
        <v>0.6</v>
      </c>
      <c r="K534" s="7">
        <v>0.6</v>
      </c>
      <c r="L534" s="7">
        <v>0.6</v>
      </c>
      <c r="M534" s="7">
        <v>0.6</v>
      </c>
      <c r="N534" s="7">
        <v>0.6</v>
      </c>
      <c r="O534" s="7">
        <v>0.6</v>
      </c>
      <c r="P534" s="7">
        <v>0.6</v>
      </c>
      <c r="Q534" s="7">
        <v>0.6</v>
      </c>
    </row>
    <row r="535" spans="1:17">
      <c r="A535" s="2">
        <v>2483</v>
      </c>
      <c r="B535" s="7">
        <v>0.6</v>
      </c>
      <c r="C535" s="7">
        <v>0.6</v>
      </c>
      <c r="D535" s="7">
        <v>0.6</v>
      </c>
      <c r="E535" s="7">
        <v>0.6</v>
      </c>
      <c r="F535" s="7">
        <v>0.6</v>
      </c>
      <c r="G535" s="7">
        <v>0.6</v>
      </c>
      <c r="H535" s="7">
        <v>0.6</v>
      </c>
      <c r="I535" s="7">
        <v>0.6</v>
      </c>
      <c r="J535" s="7">
        <v>0.6</v>
      </c>
      <c r="K535" s="7">
        <v>0.6</v>
      </c>
      <c r="L535" s="7">
        <v>0.6</v>
      </c>
      <c r="M535" s="7">
        <v>0.6</v>
      </c>
      <c r="N535" s="7">
        <v>0.6</v>
      </c>
      <c r="O535" s="7">
        <v>0.6</v>
      </c>
      <c r="P535" s="7">
        <v>0.6</v>
      </c>
      <c r="Q535" s="7">
        <v>0.6</v>
      </c>
    </row>
    <row r="536" spans="1:17">
      <c r="A536" s="2">
        <v>2484</v>
      </c>
      <c r="B536" s="7">
        <v>0.6</v>
      </c>
      <c r="C536" s="7">
        <v>0.6</v>
      </c>
      <c r="D536" s="7">
        <v>0.6</v>
      </c>
      <c r="E536" s="7">
        <v>0.6</v>
      </c>
      <c r="F536" s="7">
        <v>0.6</v>
      </c>
      <c r="G536" s="7">
        <v>0.6</v>
      </c>
      <c r="H536" s="7">
        <v>0.6</v>
      </c>
      <c r="I536" s="7">
        <v>0.6</v>
      </c>
      <c r="J536" s="7">
        <v>0.6</v>
      </c>
      <c r="K536" s="7">
        <v>0.6</v>
      </c>
      <c r="L536" s="7">
        <v>0.6</v>
      </c>
      <c r="M536" s="7">
        <v>0.6</v>
      </c>
      <c r="N536" s="7">
        <v>0.6</v>
      </c>
      <c r="O536" s="7">
        <v>0.6</v>
      </c>
      <c r="P536" s="7">
        <v>0.6</v>
      </c>
      <c r="Q536" s="7">
        <v>0.6</v>
      </c>
    </row>
    <row r="537" spans="1:17">
      <c r="A537" s="2">
        <v>2485</v>
      </c>
      <c r="B537" s="7">
        <v>0.6</v>
      </c>
      <c r="C537" s="7">
        <v>0.6</v>
      </c>
      <c r="D537" s="7">
        <v>0.6</v>
      </c>
      <c r="E537" s="7">
        <v>0.6</v>
      </c>
      <c r="F537" s="7">
        <v>0.6</v>
      </c>
      <c r="G537" s="7">
        <v>0.6</v>
      </c>
      <c r="H537" s="7">
        <v>0.6</v>
      </c>
      <c r="I537" s="7">
        <v>0.6</v>
      </c>
      <c r="J537" s="7">
        <v>0.6</v>
      </c>
      <c r="K537" s="7">
        <v>0.6</v>
      </c>
      <c r="L537" s="7">
        <v>0.6</v>
      </c>
      <c r="M537" s="7">
        <v>0.6</v>
      </c>
      <c r="N537" s="7">
        <v>0.6</v>
      </c>
      <c r="O537" s="7">
        <v>0.6</v>
      </c>
      <c r="P537" s="7">
        <v>0.6</v>
      </c>
      <c r="Q537" s="7">
        <v>0.6</v>
      </c>
    </row>
    <row r="538" spans="1:17">
      <c r="A538" s="2">
        <v>2486</v>
      </c>
      <c r="B538" s="7">
        <v>0.6</v>
      </c>
      <c r="C538" s="7">
        <v>0.6</v>
      </c>
      <c r="D538" s="7">
        <v>0.6</v>
      </c>
      <c r="E538" s="7">
        <v>0.6</v>
      </c>
      <c r="F538" s="7">
        <v>0.6</v>
      </c>
      <c r="G538" s="7">
        <v>0.6</v>
      </c>
      <c r="H538" s="7">
        <v>0.6</v>
      </c>
      <c r="I538" s="7">
        <v>0.6</v>
      </c>
      <c r="J538" s="7">
        <v>0.6</v>
      </c>
      <c r="K538" s="7">
        <v>0.6</v>
      </c>
      <c r="L538" s="7">
        <v>0.6</v>
      </c>
      <c r="M538" s="7">
        <v>0.6</v>
      </c>
      <c r="N538" s="7">
        <v>0.6</v>
      </c>
      <c r="O538" s="7">
        <v>0.6</v>
      </c>
      <c r="P538" s="7">
        <v>0.6</v>
      </c>
      <c r="Q538" s="7">
        <v>0.6</v>
      </c>
    </row>
    <row r="539" spans="1:17">
      <c r="A539" s="2">
        <v>2487</v>
      </c>
      <c r="B539" s="7">
        <v>0.6</v>
      </c>
      <c r="C539" s="7">
        <v>0.6</v>
      </c>
      <c r="D539" s="7">
        <v>0.6</v>
      </c>
      <c r="E539" s="7">
        <v>0.6</v>
      </c>
      <c r="F539" s="7">
        <v>0.6</v>
      </c>
      <c r="G539" s="7">
        <v>0.6</v>
      </c>
      <c r="H539" s="7">
        <v>0.6</v>
      </c>
      <c r="I539" s="7">
        <v>0.6</v>
      </c>
      <c r="J539" s="7">
        <v>0.6</v>
      </c>
      <c r="K539" s="7">
        <v>0.6</v>
      </c>
      <c r="L539" s="7">
        <v>0.6</v>
      </c>
      <c r="M539" s="7">
        <v>0.6</v>
      </c>
      <c r="N539" s="7">
        <v>0.6</v>
      </c>
      <c r="O539" s="7">
        <v>0.6</v>
      </c>
      <c r="P539" s="7">
        <v>0.6</v>
      </c>
      <c r="Q539" s="7">
        <v>0.6</v>
      </c>
    </row>
    <row r="540" spans="1:17">
      <c r="A540" s="2">
        <v>2488</v>
      </c>
      <c r="B540" s="7">
        <v>0.6</v>
      </c>
      <c r="C540" s="7">
        <v>0.6</v>
      </c>
      <c r="D540" s="7">
        <v>0.6</v>
      </c>
      <c r="E540" s="7">
        <v>0.6</v>
      </c>
      <c r="F540" s="7">
        <v>0.6</v>
      </c>
      <c r="G540" s="7">
        <v>0.6</v>
      </c>
      <c r="H540" s="7">
        <v>0.6</v>
      </c>
      <c r="I540" s="7">
        <v>0.6</v>
      </c>
      <c r="J540" s="7">
        <v>0.6</v>
      </c>
      <c r="K540" s="7">
        <v>0.6</v>
      </c>
      <c r="L540" s="7">
        <v>0.6</v>
      </c>
      <c r="M540" s="7">
        <v>0.6</v>
      </c>
      <c r="N540" s="7">
        <v>0.6</v>
      </c>
      <c r="O540" s="7">
        <v>0.6</v>
      </c>
      <c r="P540" s="7">
        <v>0.6</v>
      </c>
      <c r="Q540" s="7">
        <v>0.6</v>
      </c>
    </row>
    <row r="541" spans="1:17">
      <c r="A541" s="2">
        <v>2489</v>
      </c>
      <c r="B541" s="7">
        <v>0.6</v>
      </c>
      <c r="C541" s="7">
        <v>0.6</v>
      </c>
      <c r="D541" s="7">
        <v>0.6</v>
      </c>
      <c r="E541" s="7">
        <v>0.6</v>
      </c>
      <c r="F541" s="7">
        <v>0.6</v>
      </c>
      <c r="G541" s="7">
        <v>0.6</v>
      </c>
      <c r="H541" s="7">
        <v>0.6</v>
      </c>
      <c r="I541" s="7">
        <v>0.6</v>
      </c>
      <c r="J541" s="7">
        <v>0.6</v>
      </c>
      <c r="K541" s="7">
        <v>0.6</v>
      </c>
      <c r="L541" s="7">
        <v>0.6</v>
      </c>
      <c r="M541" s="7">
        <v>0.6</v>
      </c>
      <c r="N541" s="7">
        <v>0.6</v>
      </c>
      <c r="O541" s="7">
        <v>0.6</v>
      </c>
      <c r="P541" s="7">
        <v>0.6</v>
      </c>
      <c r="Q541" s="7">
        <v>0.6</v>
      </c>
    </row>
    <row r="542" spans="1:17">
      <c r="A542" s="2">
        <v>2490</v>
      </c>
      <c r="B542" s="7">
        <v>0.6</v>
      </c>
      <c r="C542" s="7">
        <v>0.6</v>
      </c>
      <c r="D542" s="7">
        <v>0.6</v>
      </c>
      <c r="E542" s="7">
        <v>0.6</v>
      </c>
      <c r="F542" s="7">
        <v>0.6</v>
      </c>
      <c r="G542" s="7">
        <v>0.6</v>
      </c>
      <c r="H542" s="7">
        <v>0.6</v>
      </c>
      <c r="I542" s="7">
        <v>0.6</v>
      </c>
      <c r="J542" s="7">
        <v>0.6</v>
      </c>
      <c r="K542" s="7">
        <v>0.6</v>
      </c>
      <c r="L542" s="7">
        <v>0.6</v>
      </c>
      <c r="M542" s="7">
        <v>0.6</v>
      </c>
      <c r="N542" s="7">
        <v>0.6</v>
      </c>
      <c r="O542" s="7">
        <v>0.6</v>
      </c>
      <c r="P542" s="7">
        <v>0.6</v>
      </c>
      <c r="Q542" s="7">
        <v>0.6</v>
      </c>
    </row>
    <row r="543" spans="1:17">
      <c r="A543" s="2">
        <v>2491</v>
      </c>
      <c r="B543" s="7">
        <v>0.6</v>
      </c>
      <c r="C543" s="7">
        <v>0.6</v>
      </c>
      <c r="D543" s="7">
        <v>0.6</v>
      </c>
      <c r="E543" s="7">
        <v>0.6</v>
      </c>
      <c r="F543" s="7">
        <v>0.6</v>
      </c>
      <c r="G543" s="7">
        <v>0.6</v>
      </c>
      <c r="H543" s="7">
        <v>0.6</v>
      </c>
      <c r="I543" s="7">
        <v>0.6</v>
      </c>
      <c r="J543" s="7">
        <v>0.6</v>
      </c>
      <c r="K543" s="7">
        <v>0.6</v>
      </c>
      <c r="L543" s="7">
        <v>0.6</v>
      </c>
      <c r="M543" s="7">
        <v>0.6</v>
      </c>
      <c r="N543" s="7">
        <v>0.6</v>
      </c>
      <c r="O543" s="7">
        <v>0.6</v>
      </c>
      <c r="P543" s="7">
        <v>0.6</v>
      </c>
      <c r="Q543" s="7">
        <v>0.6</v>
      </c>
    </row>
    <row r="544" spans="1:17">
      <c r="A544" s="2">
        <v>2492</v>
      </c>
      <c r="B544" s="7">
        <v>0.6</v>
      </c>
      <c r="C544" s="7">
        <v>0.6</v>
      </c>
      <c r="D544" s="7">
        <v>0.6</v>
      </c>
      <c r="E544" s="7">
        <v>0.6</v>
      </c>
      <c r="F544" s="7">
        <v>0.6</v>
      </c>
      <c r="G544" s="7">
        <v>0.6</v>
      </c>
      <c r="H544" s="7">
        <v>0.6</v>
      </c>
      <c r="I544" s="7">
        <v>0.6</v>
      </c>
      <c r="J544" s="7">
        <v>0.6</v>
      </c>
      <c r="K544" s="7">
        <v>0.6</v>
      </c>
      <c r="L544" s="7">
        <v>0.6</v>
      </c>
      <c r="M544" s="7">
        <v>0.6</v>
      </c>
      <c r="N544" s="7">
        <v>0.6</v>
      </c>
      <c r="O544" s="7">
        <v>0.6</v>
      </c>
      <c r="P544" s="7">
        <v>0.6</v>
      </c>
      <c r="Q544" s="7">
        <v>0.6</v>
      </c>
    </row>
    <row r="545" spans="1:17">
      <c r="A545" s="2">
        <v>2493</v>
      </c>
      <c r="B545" s="7">
        <v>0.6</v>
      </c>
      <c r="C545" s="7">
        <v>0.6</v>
      </c>
      <c r="D545" s="7">
        <v>0.6</v>
      </c>
      <c r="E545" s="7">
        <v>0.6</v>
      </c>
      <c r="F545" s="7">
        <v>0.6</v>
      </c>
      <c r="G545" s="7">
        <v>0.6</v>
      </c>
      <c r="H545" s="7">
        <v>0.6</v>
      </c>
      <c r="I545" s="7">
        <v>0.6</v>
      </c>
      <c r="J545" s="7">
        <v>0.6</v>
      </c>
      <c r="K545" s="7">
        <v>0.6</v>
      </c>
      <c r="L545" s="7">
        <v>0.6</v>
      </c>
      <c r="M545" s="7">
        <v>0.6</v>
      </c>
      <c r="N545" s="7">
        <v>0.6</v>
      </c>
      <c r="O545" s="7">
        <v>0.6</v>
      </c>
      <c r="P545" s="7">
        <v>0.6</v>
      </c>
      <c r="Q545" s="7">
        <v>0.6</v>
      </c>
    </row>
    <row r="546" spans="1:17">
      <c r="A546" s="2">
        <v>2494</v>
      </c>
      <c r="B546" s="7">
        <v>0.6</v>
      </c>
      <c r="C546" s="7">
        <v>0.6</v>
      </c>
      <c r="D546" s="7">
        <v>0.6</v>
      </c>
      <c r="E546" s="7">
        <v>0.6</v>
      </c>
      <c r="F546" s="7">
        <v>0.6</v>
      </c>
      <c r="G546" s="7">
        <v>0.6</v>
      </c>
      <c r="H546" s="7">
        <v>0.6</v>
      </c>
      <c r="I546" s="7">
        <v>0.6</v>
      </c>
      <c r="J546" s="7">
        <v>0.6</v>
      </c>
      <c r="K546" s="7">
        <v>0.6</v>
      </c>
      <c r="L546" s="7">
        <v>0.6</v>
      </c>
      <c r="M546" s="7">
        <v>0.6</v>
      </c>
      <c r="N546" s="7">
        <v>0.6</v>
      </c>
      <c r="O546" s="7">
        <v>0.6</v>
      </c>
      <c r="P546" s="7">
        <v>0.6</v>
      </c>
      <c r="Q546" s="7">
        <v>0.6</v>
      </c>
    </row>
    <row r="547" spans="1:17">
      <c r="A547" s="2">
        <v>2495</v>
      </c>
      <c r="B547" s="7">
        <v>0.6</v>
      </c>
      <c r="C547" s="7">
        <v>0.6</v>
      </c>
      <c r="D547" s="7">
        <v>0.6</v>
      </c>
      <c r="E547" s="7">
        <v>0.6</v>
      </c>
      <c r="F547" s="7">
        <v>0.6</v>
      </c>
      <c r="G547" s="7">
        <v>0.6</v>
      </c>
      <c r="H547" s="7">
        <v>0.6</v>
      </c>
      <c r="I547" s="7">
        <v>0.6</v>
      </c>
      <c r="J547" s="7">
        <v>0.6</v>
      </c>
      <c r="K547" s="7">
        <v>0.6</v>
      </c>
      <c r="L547" s="7">
        <v>0.6</v>
      </c>
      <c r="M547" s="7">
        <v>0.6</v>
      </c>
      <c r="N547" s="7">
        <v>0.6</v>
      </c>
      <c r="O547" s="7">
        <v>0.6</v>
      </c>
      <c r="P547" s="7">
        <v>0.6</v>
      </c>
      <c r="Q547" s="7">
        <v>0.6</v>
      </c>
    </row>
    <row r="548" spans="1:17">
      <c r="A548" s="2">
        <v>2496</v>
      </c>
      <c r="B548" s="7">
        <v>0.6</v>
      </c>
      <c r="C548" s="7">
        <v>0.6</v>
      </c>
      <c r="D548" s="7">
        <v>0.6</v>
      </c>
      <c r="E548" s="7">
        <v>0.6</v>
      </c>
      <c r="F548" s="7">
        <v>0.6</v>
      </c>
      <c r="G548" s="7">
        <v>0.6</v>
      </c>
      <c r="H548" s="7">
        <v>0.6</v>
      </c>
      <c r="I548" s="7">
        <v>0.6</v>
      </c>
      <c r="J548" s="7">
        <v>0.6</v>
      </c>
      <c r="K548" s="7">
        <v>0.6</v>
      </c>
      <c r="L548" s="7">
        <v>0.6</v>
      </c>
      <c r="M548" s="7">
        <v>0.6</v>
      </c>
      <c r="N548" s="7">
        <v>0.6</v>
      </c>
      <c r="O548" s="7">
        <v>0.6</v>
      </c>
      <c r="P548" s="7">
        <v>0.6</v>
      </c>
      <c r="Q548" s="7">
        <v>0.6</v>
      </c>
    </row>
    <row r="549" spans="1:17">
      <c r="A549" s="2">
        <v>2497</v>
      </c>
      <c r="B549" s="7">
        <v>0.6</v>
      </c>
      <c r="C549" s="7">
        <v>0.6</v>
      </c>
      <c r="D549" s="7">
        <v>0.6</v>
      </c>
      <c r="E549" s="7">
        <v>0.6</v>
      </c>
      <c r="F549" s="7">
        <v>0.6</v>
      </c>
      <c r="G549" s="7">
        <v>0.6</v>
      </c>
      <c r="H549" s="7">
        <v>0.6</v>
      </c>
      <c r="I549" s="7">
        <v>0.6</v>
      </c>
      <c r="J549" s="7">
        <v>0.6</v>
      </c>
      <c r="K549" s="7">
        <v>0.6</v>
      </c>
      <c r="L549" s="7">
        <v>0.6</v>
      </c>
      <c r="M549" s="7">
        <v>0.6</v>
      </c>
      <c r="N549" s="7">
        <v>0.6</v>
      </c>
      <c r="O549" s="7">
        <v>0.6</v>
      </c>
      <c r="P549" s="7">
        <v>0.6</v>
      </c>
      <c r="Q549" s="7">
        <v>0.6</v>
      </c>
    </row>
    <row r="550" spans="1:17">
      <c r="A550" s="2">
        <v>2498</v>
      </c>
      <c r="B550" s="7">
        <v>0.6</v>
      </c>
      <c r="C550" s="7">
        <v>0.6</v>
      </c>
      <c r="D550" s="7">
        <v>0.6</v>
      </c>
      <c r="E550" s="7">
        <v>0.6</v>
      </c>
      <c r="F550" s="7">
        <v>0.6</v>
      </c>
      <c r="G550" s="7">
        <v>0.6</v>
      </c>
      <c r="H550" s="7">
        <v>0.6</v>
      </c>
      <c r="I550" s="7">
        <v>0.6</v>
      </c>
      <c r="J550" s="7">
        <v>0.6</v>
      </c>
      <c r="K550" s="7">
        <v>0.6</v>
      </c>
      <c r="L550" s="7">
        <v>0.6</v>
      </c>
      <c r="M550" s="7">
        <v>0.6</v>
      </c>
      <c r="N550" s="7">
        <v>0.6</v>
      </c>
      <c r="O550" s="7">
        <v>0.6</v>
      </c>
      <c r="P550" s="7">
        <v>0.6</v>
      </c>
      <c r="Q550" s="7">
        <v>0.6</v>
      </c>
    </row>
    <row r="551" spans="1:17">
      <c r="A551" s="2">
        <v>2499</v>
      </c>
      <c r="B551" s="7">
        <v>0.6</v>
      </c>
      <c r="C551" s="7">
        <v>0.6</v>
      </c>
      <c r="D551" s="7">
        <v>0.6</v>
      </c>
      <c r="E551" s="7">
        <v>0.6</v>
      </c>
      <c r="F551" s="7">
        <v>0.6</v>
      </c>
      <c r="G551" s="7">
        <v>0.6</v>
      </c>
      <c r="H551" s="7">
        <v>0.6</v>
      </c>
      <c r="I551" s="7">
        <v>0.6</v>
      </c>
      <c r="J551" s="7">
        <v>0.6</v>
      </c>
      <c r="K551" s="7">
        <v>0.6</v>
      </c>
      <c r="L551" s="7">
        <v>0.6</v>
      </c>
      <c r="M551" s="7">
        <v>0.6</v>
      </c>
      <c r="N551" s="7">
        <v>0.6</v>
      </c>
      <c r="O551" s="7">
        <v>0.6</v>
      </c>
      <c r="P551" s="7">
        <v>0.6</v>
      </c>
      <c r="Q551" s="7">
        <v>0.6</v>
      </c>
    </row>
    <row r="552" spans="1:17">
      <c r="A552" s="2">
        <v>2500</v>
      </c>
      <c r="B552" s="7">
        <v>0.6</v>
      </c>
      <c r="C552" s="7">
        <v>0.6</v>
      </c>
      <c r="D552" s="7">
        <v>0.6</v>
      </c>
      <c r="E552" s="7">
        <v>0.6</v>
      </c>
      <c r="F552" s="7">
        <v>0.6</v>
      </c>
      <c r="G552" s="7">
        <v>0.6</v>
      </c>
      <c r="H552" s="7">
        <v>0.6</v>
      </c>
      <c r="I552" s="7">
        <v>0.6</v>
      </c>
      <c r="J552" s="7">
        <v>0.6</v>
      </c>
      <c r="K552" s="7">
        <v>0.6</v>
      </c>
      <c r="L552" s="7">
        <v>0.6</v>
      </c>
      <c r="M552" s="7">
        <v>0.6</v>
      </c>
      <c r="N552" s="7">
        <v>0.6</v>
      </c>
      <c r="O552" s="7">
        <v>0.6</v>
      </c>
      <c r="P552" s="7">
        <v>0.6</v>
      </c>
      <c r="Q552" s="7">
        <v>0.6</v>
      </c>
    </row>
    <row r="553" spans="1:17">
      <c r="A553" s="2">
        <v>2501</v>
      </c>
      <c r="B553" s="7">
        <v>0.6</v>
      </c>
      <c r="C553" s="7">
        <v>0.6</v>
      </c>
      <c r="D553" s="7">
        <v>0.6</v>
      </c>
      <c r="E553" s="7">
        <v>0.6</v>
      </c>
      <c r="F553" s="7">
        <v>0.6</v>
      </c>
      <c r="G553" s="7">
        <v>0.6</v>
      </c>
      <c r="H553" s="7">
        <v>0.6</v>
      </c>
      <c r="I553" s="7">
        <v>0.6</v>
      </c>
      <c r="J553" s="7">
        <v>0.6</v>
      </c>
      <c r="K553" s="7">
        <v>0.6</v>
      </c>
      <c r="L553" s="7">
        <v>0.6</v>
      </c>
      <c r="M553" s="7">
        <v>0.6</v>
      </c>
      <c r="N553" s="7">
        <v>0.6</v>
      </c>
      <c r="O553" s="7">
        <v>0.6</v>
      </c>
      <c r="P553" s="7">
        <v>0.6</v>
      </c>
      <c r="Q553" s="7">
        <v>0.6</v>
      </c>
    </row>
    <row r="554" spans="1:17">
      <c r="A554" s="2">
        <v>2502</v>
      </c>
      <c r="B554" s="7">
        <v>0.6</v>
      </c>
      <c r="C554" s="7">
        <v>0.6</v>
      </c>
      <c r="D554" s="7">
        <v>0.6</v>
      </c>
      <c r="E554" s="7">
        <v>0.6</v>
      </c>
      <c r="F554" s="7">
        <v>0.6</v>
      </c>
      <c r="G554" s="7">
        <v>0.6</v>
      </c>
      <c r="H554" s="7">
        <v>0.6</v>
      </c>
      <c r="I554" s="7">
        <v>0.6</v>
      </c>
      <c r="J554" s="7">
        <v>0.6</v>
      </c>
      <c r="K554" s="7">
        <v>0.6</v>
      </c>
      <c r="L554" s="7">
        <v>0.6</v>
      </c>
      <c r="M554" s="7">
        <v>0.6</v>
      </c>
      <c r="N554" s="7">
        <v>0.6</v>
      </c>
      <c r="O554" s="7">
        <v>0.6</v>
      </c>
      <c r="P554" s="7">
        <v>0.6</v>
      </c>
      <c r="Q554" s="7">
        <v>0.6</v>
      </c>
    </row>
    <row r="555" spans="1:17">
      <c r="A555" s="2">
        <v>2503</v>
      </c>
      <c r="B555" s="7">
        <v>0.6</v>
      </c>
      <c r="C555" s="7">
        <v>0.6</v>
      </c>
      <c r="D555" s="7">
        <v>0.6</v>
      </c>
      <c r="E555" s="7">
        <v>0.6</v>
      </c>
      <c r="F555" s="7">
        <v>0.6</v>
      </c>
      <c r="G555" s="7">
        <v>0.6</v>
      </c>
      <c r="H555" s="7">
        <v>0.6</v>
      </c>
      <c r="I555" s="7">
        <v>0.6</v>
      </c>
      <c r="J555" s="7">
        <v>0.6</v>
      </c>
      <c r="K555" s="7">
        <v>0.6</v>
      </c>
      <c r="L555" s="7">
        <v>0.6</v>
      </c>
      <c r="M555" s="7">
        <v>0.6</v>
      </c>
      <c r="N555" s="7">
        <v>0.6</v>
      </c>
      <c r="O555" s="7">
        <v>0.6</v>
      </c>
      <c r="P555" s="7">
        <v>0.6</v>
      </c>
      <c r="Q555" s="7">
        <v>0.6</v>
      </c>
    </row>
    <row r="556" spans="1:17">
      <c r="A556" s="2">
        <v>2504</v>
      </c>
      <c r="B556" s="7">
        <v>0.6</v>
      </c>
      <c r="C556" s="7">
        <v>0.6</v>
      </c>
      <c r="D556" s="7">
        <v>0.6</v>
      </c>
      <c r="E556" s="7">
        <v>0.6</v>
      </c>
      <c r="F556" s="7">
        <v>0.6</v>
      </c>
      <c r="G556" s="7">
        <v>0.6</v>
      </c>
      <c r="H556" s="7">
        <v>0.6</v>
      </c>
      <c r="I556" s="7">
        <v>0.6</v>
      </c>
      <c r="J556" s="7">
        <v>0.6</v>
      </c>
      <c r="K556" s="7">
        <v>0.6</v>
      </c>
      <c r="L556" s="7">
        <v>0.6</v>
      </c>
      <c r="M556" s="7">
        <v>0.6</v>
      </c>
      <c r="N556" s="7">
        <v>0.6</v>
      </c>
      <c r="O556" s="7">
        <v>0.6</v>
      </c>
      <c r="P556" s="7">
        <v>0.6</v>
      </c>
      <c r="Q556" s="7">
        <v>0.6</v>
      </c>
    </row>
    <row r="557" spans="1:17">
      <c r="A557" s="2">
        <v>2505</v>
      </c>
      <c r="B557" s="7">
        <v>0.6</v>
      </c>
      <c r="C557" s="7">
        <v>0.6</v>
      </c>
      <c r="D557" s="7">
        <v>0.6</v>
      </c>
      <c r="E557" s="7">
        <v>0.6</v>
      </c>
      <c r="F557" s="7">
        <v>0.6</v>
      </c>
      <c r="G557" s="7">
        <v>0.6</v>
      </c>
      <c r="H557" s="7">
        <v>0.6</v>
      </c>
      <c r="I557" s="7">
        <v>0.6</v>
      </c>
      <c r="J557" s="7">
        <v>0.6</v>
      </c>
      <c r="K557" s="7">
        <v>0.6</v>
      </c>
      <c r="L557" s="7">
        <v>0.6</v>
      </c>
      <c r="M557" s="7">
        <v>0.6</v>
      </c>
      <c r="N557" s="7">
        <v>0.6</v>
      </c>
      <c r="O557" s="7">
        <v>0.6</v>
      </c>
      <c r="P557" s="7">
        <v>0.6</v>
      </c>
      <c r="Q557" s="7">
        <v>0.6</v>
      </c>
    </row>
    <row r="558" spans="1:17">
      <c r="A558" s="2">
        <v>2506</v>
      </c>
      <c r="B558" s="7">
        <v>0.6</v>
      </c>
      <c r="C558" s="7">
        <v>0.6</v>
      </c>
      <c r="D558" s="7">
        <v>0.6</v>
      </c>
      <c r="E558" s="7">
        <v>0.6</v>
      </c>
      <c r="F558" s="7">
        <v>0.6</v>
      </c>
      <c r="G558" s="7">
        <v>0.6</v>
      </c>
      <c r="H558" s="7">
        <v>0.6</v>
      </c>
      <c r="I558" s="7">
        <v>0.6</v>
      </c>
      <c r="J558" s="7">
        <v>0.6</v>
      </c>
      <c r="K558" s="7">
        <v>0.6</v>
      </c>
      <c r="L558" s="7">
        <v>0.6</v>
      </c>
      <c r="M558" s="7">
        <v>0.6</v>
      </c>
      <c r="N558" s="7">
        <v>0.6</v>
      </c>
      <c r="O558" s="7">
        <v>0.6</v>
      </c>
      <c r="P558" s="7">
        <v>0.6</v>
      </c>
      <c r="Q558" s="7">
        <v>0.6</v>
      </c>
    </row>
    <row r="559" spans="1:17">
      <c r="A559" s="2">
        <v>2507</v>
      </c>
      <c r="B559" s="7">
        <v>0.6</v>
      </c>
      <c r="C559" s="7">
        <v>0.6</v>
      </c>
      <c r="D559" s="7">
        <v>0.6</v>
      </c>
      <c r="E559" s="7">
        <v>0.6</v>
      </c>
      <c r="F559" s="7">
        <v>0.6</v>
      </c>
      <c r="G559" s="7">
        <v>0.6</v>
      </c>
      <c r="H559" s="7">
        <v>0.6</v>
      </c>
      <c r="I559" s="7">
        <v>0.6</v>
      </c>
      <c r="J559" s="7">
        <v>0.6</v>
      </c>
      <c r="K559" s="7">
        <v>0.6</v>
      </c>
      <c r="L559" s="7">
        <v>0.6</v>
      </c>
      <c r="M559" s="7">
        <v>0.6</v>
      </c>
      <c r="N559" s="7">
        <v>0.6</v>
      </c>
      <c r="O559" s="7">
        <v>0.6</v>
      </c>
      <c r="P559" s="7">
        <v>0.6</v>
      </c>
      <c r="Q559" s="7">
        <v>0.6</v>
      </c>
    </row>
    <row r="560" spans="1:17">
      <c r="A560" s="2">
        <v>2508</v>
      </c>
      <c r="B560" s="7">
        <v>0.6</v>
      </c>
      <c r="C560" s="7">
        <v>0.6</v>
      </c>
      <c r="D560" s="7">
        <v>0.6</v>
      </c>
      <c r="E560" s="7">
        <v>0.6</v>
      </c>
      <c r="F560" s="7">
        <v>0.6</v>
      </c>
      <c r="G560" s="7">
        <v>0.6</v>
      </c>
      <c r="H560" s="7">
        <v>0.6</v>
      </c>
      <c r="I560" s="7">
        <v>0.6</v>
      </c>
      <c r="J560" s="7">
        <v>0.6</v>
      </c>
      <c r="K560" s="7">
        <v>0.6</v>
      </c>
      <c r="L560" s="7">
        <v>0.6</v>
      </c>
      <c r="M560" s="7">
        <v>0.6</v>
      </c>
      <c r="N560" s="7">
        <v>0.6</v>
      </c>
      <c r="O560" s="7">
        <v>0.6</v>
      </c>
      <c r="P560" s="7">
        <v>0.6</v>
      </c>
      <c r="Q560" s="7">
        <v>0.6</v>
      </c>
    </row>
    <row r="561" spans="1:17">
      <c r="A561" s="2">
        <v>2509</v>
      </c>
      <c r="B561" s="7">
        <v>0.6</v>
      </c>
      <c r="C561" s="7">
        <v>0.6</v>
      </c>
      <c r="D561" s="7">
        <v>0.6</v>
      </c>
      <c r="E561" s="7">
        <v>0.6</v>
      </c>
      <c r="F561" s="7">
        <v>0.6</v>
      </c>
      <c r="G561" s="7">
        <v>0.6</v>
      </c>
      <c r="H561" s="7">
        <v>0.6</v>
      </c>
      <c r="I561" s="7">
        <v>0.6</v>
      </c>
      <c r="J561" s="7">
        <v>0.6</v>
      </c>
      <c r="K561" s="7">
        <v>0.6</v>
      </c>
      <c r="L561" s="7">
        <v>0.6</v>
      </c>
      <c r="M561" s="7">
        <v>0.6</v>
      </c>
      <c r="N561" s="7">
        <v>0.6</v>
      </c>
      <c r="O561" s="7">
        <v>0.6</v>
      </c>
      <c r="P561" s="7">
        <v>0.6</v>
      </c>
      <c r="Q561" s="7">
        <v>0.6</v>
      </c>
    </row>
    <row r="562" spans="1:17">
      <c r="A562" s="2">
        <v>2510</v>
      </c>
      <c r="B562" s="7">
        <v>0.6</v>
      </c>
      <c r="C562" s="7">
        <v>0.6</v>
      </c>
      <c r="D562" s="7">
        <v>0.6</v>
      </c>
      <c r="E562" s="7">
        <v>0.6</v>
      </c>
      <c r="F562" s="7">
        <v>0.6</v>
      </c>
      <c r="G562" s="7">
        <v>0.6</v>
      </c>
      <c r="H562" s="7">
        <v>0.6</v>
      </c>
      <c r="I562" s="7">
        <v>0.6</v>
      </c>
      <c r="J562" s="7">
        <v>0.6</v>
      </c>
      <c r="K562" s="7">
        <v>0.6</v>
      </c>
      <c r="L562" s="7">
        <v>0.6</v>
      </c>
      <c r="M562" s="7">
        <v>0.6</v>
      </c>
      <c r="N562" s="7">
        <v>0.6</v>
      </c>
      <c r="O562" s="7">
        <v>0.6</v>
      </c>
      <c r="P562" s="7">
        <v>0.6</v>
      </c>
      <c r="Q562" s="7">
        <v>0.6</v>
      </c>
    </row>
    <row r="563" spans="1:17">
      <c r="A563" s="2">
        <v>2511</v>
      </c>
      <c r="B563" s="7">
        <v>0.6</v>
      </c>
      <c r="C563" s="7">
        <v>0.6</v>
      </c>
      <c r="D563" s="7">
        <v>0.6</v>
      </c>
      <c r="E563" s="7">
        <v>0.6</v>
      </c>
      <c r="F563" s="7">
        <v>0.6</v>
      </c>
      <c r="G563" s="7">
        <v>0.6</v>
      </c>
      <c r="H563" s="7">
        <v>0.6</v>
      </c>
      <c r="I563" s="7">
        <v>0.6</v>
      </c>
      <c r="J563" s="7">
        <v>0.6</v>
      </c>
      <c r="K563" s="7">
        <v>0.6</v>
      </c>
      <c r="L563" s="7">
        <v>0.6</v>
      </c>
      <c r="M563" s="7">
        <v>0.6</v>
      </c>
      <c r="N563" s="7">
        <v>0.6</v>
      </c>
      <c r="O563" s="7">
        <v>0.6</v>
      </c>
      <c r="P563" s="7">
        <v>0.6</v>
      </c>
      <c r="Q563" s="7">
        <v>0.6</v>
      </c>
    </row>
    <row r="564" spans="1:17">
      <c r="A564" s="2">
        <v>2512</v>
      </c>
      <c r="B564" s="7">
        <v>0.6</v>
      </c>
      <c r="C564" s="7">
        <v>0.6</v>
      </c>
      <c r="D564" s="7">
        <v>0.6</v>
      </c>
      <c r="E564" s="7">
        <v>0.6</v>
      </c>
      <c r="F564" s="7">
        <v>0.6</v>
      </c>
      <c r="G564" s="7">
        <v>0.6</v>
      </c>
      <c r="H564" s="7">
        <v>0.6</v>
      </c>
      <c r="I564" s="7">
        <v>0.6</v>
      </c>
      <c r="J564" s="7">
        <v>0.6</v>
      </c>
      <c r="K564" s="7">
        <v>0.6</v>
      </c>
      <c r="L564" s="7">
        <v>0.6</v>
      </c>
      <c r="M564" s="7">
        <v>0.6</v>
      </c>
      <c r="N564" s="7">
        <v>0.6</v>
      </c>
      <c r="O564" s="7">
        <v>0.6</v>
      </c>
      <c r="P564" s="7">
        <v>0.6</v>
      </c>
      <c r="Q564" s="7">
        <v>0.6</v>
      </c>
    </row>
    <row r="565" spans="1:17">
      <c r="A565" s="2">
        <v>2513</v>
      </c>
      <c r="B565" s="7">
        <v>0.6</v>
      </c>
      <c r="C565" s="7">
        <v>0.6</v>
      </c>
      <c r="D565" s="7">
        <v>0.6</v>
      </c>
      <c r="E565" s="7">
        <v>0.6</v>
      </c>
      <c r="F565" s="7">
        <v>0.6</v>
      </c>
      <c r="G565" s="7">
        <v>0.6</v>
      </c>
      <c r="H565" s="7">
        <v>0.6</v>
      </c>
      <c r="I565" s="7">
        <v>0.6</v>
      </c>
      <c r="J565" s="7">
        <v>0.6</v>
      </c>
      <c r="K565" s="7">
        <v>0.6</v>
      </c>
      <c r="L565" s="7">
        <v>0.6</v>
      </c>
      <c r="M565" s="7">
        <v>0.6</v>
      </c>
      <c r="N565" s="7">
        <v>0.6</v>
      </c>
      <c r="O565" s="7">
        <v>0.6</v>
      </c>
      <c r="P565" s="7">
        <v>0.6</v>
      </c>
      <c r="Q565" s="7">
        <v>0.6</v>
      </c>
    </row>
    <row r="566" spans="1:17">
      <c r="A566" s="2">
        <v>2514</v>
      </c>
      <c r="B566" s="7">
        <v>0.6</v>
      </c>
      <c r="C566" s="7">
        <v>0.6</v>
      </c>
      <c r="D566" s="7">
        <v>0.6</v>
      </c>
      <c r="E566" s="7">
        <v>0.6</v>
      </c>
      <c r="F566" s="7">
        <v>0.6</v>
      </c>
      <c r="G566" s="7">
        <v>0.6</v>
      </c>
      <c r="H566" s="7">
        <v>0.6</v>
      </c>
      <c r="I566" s="7">
        <v>0.6</v>
      </c>
      <c r="J566" s="7">
        <v>0.6</v>
      </c>
      <c r="K566" s="7">
        <v>0.6</v>
      </c>
      <c r="L566" s="7">
        <v>0.6</v>
      </c>
      <c r="M566" s="7">
        <v>0.6</v>
      </c>
      <c r="N566" s="7">
        <v>0.6</v>
      </c>
      <c r="O566" s="7">
        <v>0.6</v>
      </c>
      <c r="P566" s="7">
        <v>0.6</v>
      </c>
      <c r="Q566" s="7">
        <v>0.6</v>
      </c>
    </row>
    <row r="567" spans="1:17">
      <c r="A567" s="2">
        <v>2515</v>
      </c>
      <c r="B567" s="7">
        <v>0.6</v>
      </c>
      <c r="C567" s="7">
        <v>0.6</v>
      </c>
      <c r="D567" s="7">
        <v>0.6</v>
      </c>
      <c r="E567" s="7">
        <v>0.6</v>
      </c>
      <c r="F567" s="7">
        <v>0.6</v>
      </c>
      <c r="G567" s="7">
        <v>0.6</v>
      </c>
      <c r="H567" s="7">
        <v>0.6</v>
      </c>
      <c r="I567" s="7">
        <v>0.6</v>
      </c>
      <c r="J567" s="7">
        <v>0.6</v>
      </c>
      <c r="K567" s="7">
        <v>0.6</v>
      </c>
      <c r="L567" s="7">
        <v>0.6</v>
      </c>
      <c r="M567" s="7">
        <v>0.6</v>
      </c>
      <c r="N567" s="7">
        <v>0.6</v>
      </c>
      <c r="O567" s="7">
        <v>0.6</v>
      </c>
      <c r="P567" s="7">
        <v>0.6</v>
      </c>
      <c r="Q567" s="7">
        <v>0.6</v>
      </c>
    </row>
    <row r="568" spans="1:17">
      <c r="A568" s="2">
        <v>2516</v>
      </c>
      <c r="B568" s="7">
        <v>0.6</v>
      </c>
      <c r="C568" s="7">
        <v>0.6</v>
      </c>
      <c r="D568" s="7">
        <v>0.6</v>
      </c>
      <c r="E568" s="7">
        <v>0.6</v>
      </c>
      <c r="F568" s="7">
        <v>0.6</v>
      </c>
      <c r="G568" s="7">
        <v>0.6</v>
      </c>
      <c r="H568" s="7">
        <v>0.6</v>
      </c>
      <c r="I568" s="7">
        <v>0.6</v>
      </c>
      <c r="J568" s="7">
        <v>0.6</v>
      </c>
      <c r="K568" s="7">
        <v>0.6</v>
      </c>
      <c r="L568" s="7">
        <v>0.6</v>
      </c>
      <c r="M568" s="7">
        <v>0.6</v>
      </c>
      <c r="N568" s="7">
        <v>0.6</v>
      </c>
      <c r="O568" s="7">
        <v>0.6</v>
      </c>
      <c r="P568" s="7">
        <v>0.6</v>
      </c>
      <c r="Q568" s="7">
        <v>0.6</v>
      </c>
    </row>
    <row r="569" spans="1:17">
      <c r="A569" s="2">
        <v>2517</v>
      </c>
      <c r="B569" s="7">
        <v>0.6</v>
      </c>
      <c r="C569" s="7">
        <v>0.6</v>
      </c>
      <c r="D569" s="7">
        <v>0.6</v>
      </c>
      <c r="E569" s="7">
        <v>0.6</v>
      </c>
      <c r="F569" s="7">
        <v>0.6</v>
      </c>
      <c r="G569" s="7">
        <v>0.6</v>
      </c>
      <c r="H569" s="7">
        <v>0.6</v>
      </c>
      <c r="I569" s="7">
        <v>0.6</v>
      </c>
      <c r="J569" s="7">
        <v>0.6</v>
      </c>
      <c r="K569" s="7">
        <v>0.6</v>
      </c>
      <c r="L569" s="7">
        <v>0.6</v>
      </c>
      <c r="M569" s="7">
        <v>0.6</v>
      </c>
      <c r="N569" s="7">
        <v>0.6</v>
      </c>
      <c r="O569" s="7">
        <v>0.6</v>
      </c>
      <c r="P569" s="7">
        <v>0.6</v>
      </c>
      <c r="Q569" s="7">
        <v>0.6</v>
      </c>
    </row>
    <row r="570" spans="1:17">
      <c r="A570" s="2">
        <v>2518</v>
      </c>
      <c r="B570" s="7">
        <v>0.6</v>
      </c>
      <c r="C570" s="7">
        <v>0.6</v>
      </c>
      <c r="D570" s="7">
        <v>0.6</v>
      </c>
      <c r="E570" s="7">
        <v>0.6</v>
      </c>
      <c r="F570" s="7">
        <v>0.6</v>
      </c>
      <c r="G570" s="7">
        <v>0.6</v>
      </c>
      <c r="H570" s="7">
        <v>0.6</v>
      </c>
      <c r="I570" s="7">
        <v>0.6</v>
      </c>
      <c r="J570" s="7">
        <v>0.6</v>
      </c>
      <c r="K570" s="7">
        <v>0.6</v>
      </c>
      <c r="L570" s="7">
        <v>0.6</v>
      </c>
      <c r="M570" s="7">
        <v>0.6</v>
      </c>
      <c r="N570" s="7">
        <v>0.6</v>
      </c>
      <c r="O570" s="7">
        <v>0.6</v>
      </c>
      <c r="P570" s="7">
        <v>0.6</v>
      </c>
      <c r="Q570" s="7">
        <v>0.6</v>
      </c>
    </row>
    <row r="571" spans="1:17">
      <c r="A571" s="2">
        <v>2519</v>
      </c>
      <c r="B571" s="7">
        <v>0.6</v>
      </c>
      <c r="C571" s="7">
        <v>0.6</v>
      </c>
      <c r="D571" s="7">
        <v>0.6</v>
      </c>
      <c r="E571" s="7">
        <v>0.6</v>
      </c>
      <c r="F571" s="7">
        <v>0.6</v>
      </c>
      <c r="G571" s="7">
        <v>0.6</v>
      </c>
      <c r="H571" s="7">
        <v>0.6</v>
      </c>
      <c r="I571" s="7">
        <v>0.6</v>
      </c>
      <c r="J571" s="7">
        <v>0.6</v>
      </c>
      <c r="K571" s="7">
        <v>0.6</v>
      </c>
      <c r="L571" s="7">
        <v>0.6</v>
      </c>
      <c r="M571" s="7">
        <v>0.6</v>
      </c>
      <c r="N571" s="7">
        <v>0.6</v>
      </c>
      <c r="O571" s="7">
        <v>0.6</v>
      </c>
      <c r="P571" s="7">
        <v>0.6</v>
      </c>
      <c r="Q571" s="7">
        <v>0.6</v>
      </c>
    </row>
    <row r="572" spans="1:17">
      <c r="A572" s="2">
        <v>2520</v>
      </c>
      <c r="B572" s="7">
        <v>0.6</v>
      </c>
      <c r="C572" s="7">
        <v>0.6</v>
      </c>
      <c r="D572" s="7">
        <v>0.6</v>
      </c>
      <c r="E572" s="7">
        <v>0.6</v>
      </c>
      <c r="F572" s="7">
        <v>0.6</v>
      </c>
      <c r="G572" s="7">
        <v>0.6</v>
      </c>
      <c r="H572" s="7">
        <v>0.6</v>
      </c>
      <c r="I572" s="7">
        <v>0.6</v>
      </c>
      <c r="J572" s="7">
        <v>0.6</v>
      </c>
      <c r="K572" s="7">
        <v>0.6</v>
      </c>
      <c r="L572" s="7">
        <v>0.6</v>
      </c>
      <c r="M572" s="7">
        <v>0.6</v>
      </c>
      <c r="N572" s="7">
        <v>0.6</v>
      </c>
      <c r="O572" s="7">
        <v>0.6</v>
      </c>
      <c r="P572" s="7">
        <v>0.6</v>
      </c>
      <c r="Q572" s="7">
        <v>0.6</v>
      </c>
    </row>
    <row r="573" spans="1:17">
      <c r="A573" s="2">
        <v>2521</v>
      </c>
      <c r="B573" s="7">
        <v>0.6</v>
      </c>
      <c r="C573" s="7">
        <v>0.6</v>
      </c>
      <c r="D573" s="7">
        <v>0.6</v>
      </c>
      <c r="E573" s="7">
        <v>0.6</v>
      </c>
      <c r="F573" s="7">
        <v>0.6</v>
      </c>
      <c r="G573" s="7">
        <v>0.6</v>
      </c>
      <c r="H573" s="7">
        <v>0.6</v>
      </c>
      <c r="I573" s="7">
        <v>0.6</v>
      </c>
      <c r="J573" s="7">
        <v>0.6</v>
      </c>
      <c r="K573" s="7">
        <v>0.6</v>
      </c>
      <c r="L573" s="7">
        <v>0.6</v>
      </c>
      <c r="M573" s="7">
        <v>0.6</v>
      </c>
      <c r="N573" s="7">
        <v>0.6</v>
      </c>
      <c r="O573" s="7">
        <v>0.6</v>
      </c>
      <c r="P573" s="7">
        <v>0.6</v>
      </c>
      <c r="Q573" s="7">
        <v>0.6</v>
      </c>
    </row>
    <row r="574" spans="1:17">
      <c r="A574" s="2">
        <v>2522</v>
      </c>
      <c r="B574" s="7">
        <v>0.6</v>
      </c>
      <c r="C574" s="7">
        <v>0.6</v>
      </c>
      <c r="D574" s="7">
        <v>0.6</v>
      </c>
      <c r="E574" s="7">
        <v>0.6</v>
      </c>
      <c r="F574" s="7">
        <v>0.6</v>
      </c>
      <c r="G574" s="7">
        <v>0.6</v>
      </c>
      <c r="H574" s="7">
        <v>0.6</v>
      </c>
      <c r="I574" s="7">
        <v>0.6</v>
      </c>
      <c r="J574" s="7">
        <v>0.6</v>
      </c>
      <c r="K574" s="7">
        <v>0.6</v>
      </c>
      <c r="L574" s="7">
        <v>0.6</v>
      </c>
      <c r="M574" s="7">
        <v>0.6</v>
      </c>
      <c r="N574" s="7">
        <v>0.6</v>
      </c>
      <c r="O574" s="7">
        <v>0.6</v>
      </c>
      <c r="P574" s="7">
        <v>0.6</v>
      </c>
      <c r="Q574" s="7">
        <v>0.6</v>
      </c>
    </row>
    <row r="575" spans="1:17">
      <c r="A575" s="2">
        <v>2523</v>
      </c>
      <c r="B575" s="7">
        <v>0.6</v>
      </c>
      <c r="C575" s="7">
        <v>0.6</v>
      </c>
      <c r="D575" s="7">
        <v>0.6</v>
      </c>
      <c r="E575" s="7">
        <v>0.6</v>
      </c>
      <c r="F575" s="7">
        <v>0.6</v>
      </c>
      <c r="G575" s="7">
        <v>0.6</v>
      </c>
      <c r="H575" s="7">
        <v>0.6</v>
      </c>
      <c r="I575" s="7">
        <v>0.6</v>
      </c>
      <c r="J575" s="7">
        <v>0.6</v>
      </c>
      <c r="K575" s="7">
        <v>0.6</v>
      </c>
      <c r="L575" s="7">
        <v>0.6</v>
      </c>
      <c r="M575" s="7">
        <v>0.6</v>
      </c>
      <c r="N575" s="7">
        <v>0.6</v>
      </c>
      <c r="O575" s="7">
        <v>0.6</v>
      </c>
      <c r="P575" s="7">
        <v>0.6</v>
      </c>
      <c r="Q575" s="7">
        <v>0.6</v>
      </c>
    </row>
    <row r="576" spans="1:17">
      <c r="A576" s="2">
        <v>2524</v>
      </c>
      <c r="B576" s="7">
        <v>0.6</v>
      </c>
      <c r="C576" s="7">
        <v>0.6</v>
      </c>
      <c r="D576" s="7">
        <v>0.6</v>
      </c>
      <c r="E576" s="7">
        <v>0.6</v>
      </c>
      <c r="F576" s="7">
        <v>0.6</v>
      </c>
      <c r="G576" s="7">
        <v>0.6</v>
      </c>
      <c r="H576" s="7">
        <v>0.6</v>
      </c>
      <c r="I576" s="7">
        <v>0.6</v>
      </c>
      <c r="J576" s="7">
        <v>0.6</v>
      </c>
      <c r="K576" s="7">
        <v>0.6</v>
      </c>
      <c r="L576" s="7">
        <v>0.6</v>
      </c>
      <c r="M576" s="7">
        <v>0.6</v>
      </c>
      <c r="N576" s="7">
        <v>0.6</v>
      </c>
      <c r="O576" s="7">
        <v>0.6</v>
      </c>
      <c r="P576" s="7">
        <v>0.6</v>
      </c>
      <c r="Q576" s="7">
        <v>0.6</v>
      </c>
    </row>
    <row r="577" spans="1:17">
      <c r="A577" s="2">
        <v>2525</v>
      </c>
      <c r="B577" s="7">
        <v>0.6</v>
      </c>
      <c r="C577" s="7">
        <v>0.6</v>
      </c>
      <c r="D577" s="7">
        <v>0.6</v>
      </c>
      <c r="E577" s="7">
        <v>0.6</v>
      </c>
      <c r="F577" s="7">
        <v>0.6</v>
      </c>
      <c r="G577" s="7">
        <v>0.6</v>
      </c>
      <c r="H577" s="7">
        <v>0.6</v>
      </c>
      <c r="I577" s="7">
        <v>0.6</v>
      </c>
      <c r="J577" s="7">
        <v>0.6</v>
      </c>
      <c r="K577" s="7">
        <v>0.6</v>
      </c>
      <c r="L577" s="7">
        <v>0.6</v>
      </c>
      <c r="M577" s="7">
        <v>0.6</v>
      </c>
      <c r="N577" s="7">
        <v>0.6</v>
      </c>
      <c r="O577" s="7">
        <v>0.6</v>
      </c>
      <c r="P577" s="7">
        <v>0.6</v>
      </c>
      <c r="Q577" s="7">
        <v>0.6</v>
      </c>
    </row>
    <row r="578" spans="1:17">
      <c r="A578" s="2">
        <v>2526</v>
      </c>
      <c r="B578" s="7">
        <v>0.6</v>
      </c>
      <c r="C578" s="7">
        <v>0.6</v>
      </c>
      <c r="D578" s="7">
        <v>0.6</v>
      </c>
      <c r="E578" s="7">
        <v>0.6</v>
      </c>
      <c r="F578" s="7">
        <v>0.6</v>
      </c>
      <c r="G578" s="7">
        <v>0.6</v>
      </c>
      <c r="H578" s="7">
        <v>0.6</v>
      </c>
      <c r="I578" s="7">
        <v>0.6</v>
      </c>
      <c r="J578" s="7">
        <v>0.6</v>
      </c>
      <c r="K578" s="7">
        <v>0.6</v>
      </c>
      <c r="L578" s="7">
        <v>0.6</v>
      </c>
      <c r="M578" s="7">
        <v>0.6</v>
      </c>
      <c r="N578" s="7">
        <v>0.6</v>
      </c>
      <c r="O578" s="7">
        <v>0.6</v>
      </c>
      <c r="P578" s="7">
        <v>0.6</v>
      </c>
      <c r="Q578" s="7">
        <v>0.6</v>
      </c>
    </row>
    <row r="579" spans="1:17">
      <c r="A579" s="2">
        <v>2527</v>
      </c>
      <c r="B579" s="7">
        <v>0.6</v>
      </c>
      <c r="C579" s="7">
        <v>0.6</v>
      </c>
      <c r="D579" s="7">
        <v>0.6</v>
      </c>
      <c r="E579" s="7">
        <v>0.6</v>
      </c>
      <c r="F579" s="7">
        <v>0.6</v>
      </c>
      <c r="G579" s="7">
        <v>0.6</v>
      </c>
      <c r="H579" s="7">
        <v>0.6</v>
      </c>
      <c r="I579" s="7">
        <v>0.6</v>
      </c>
      <c r="J579" s="7">
        <v>0.6</v>
      </c>
      <c r="K579" s="7">
        <v>0.6</v>
      </c>
      <c r="L579" s="7">
        <v>0.6</v>
      </c>
      <c r="M579" s="7">
        <v>0.6</v>
      </c>
      <c r="N579" s="7">
        <v>0.6</v>
      </c>
      <c r="O579" s="7">
        <v>0.6</v>
      </c>
      <c r="P579" s="7">
        <v>0.6</v>
      </c>
      <c r="Q579" s="7">
        <v>0.6</v>
      </c>
    </row>
    <row r="580" spans="1:17">
      <c r="A580" s="2">
        <v>2528</v>
      </c>
      <c r="B580" s="7">
        <v>0.6</v>
      </c>
      <c r="C580" s="7">
        <v>0.6</v>
      </c>
      <c r="D580" s="7">
        <v>0.6</v>
      </c>
      <c r="E580" s="7">
        <v>0.6</v>
      </c>
      <c r="F580" s="7">
        <v>0.6</v>
      </c>
      <c r="G580" s="7">
        <v>0.6</v>
      </c>
      <c r="H580" s="7">
        <v>0.6</v>
      </c>
      <c r="I580" s="7">
        <v>0.6</v>
      </c>
      <c r="J580" s="7">
        <v>0.6</v>
      </c>
      <c r="K580" s="7">
        <v>0.6</v>
      </c>
      <c r="L580" s="7">
        <v>0.6</v>
      </c>
      <c r="M580" s="7">
        <v>0.6</v>
      </c>
      <c r="N580" s="7">
        <v>0.6</v>
      </c>
      <c r="O580" s="7">
        <v>0.6</v>
      </c>
      <c r="P580" s="7">
        <v>0.6</v>
      </c>
      <c r="Q580" s="7">
        <v>0.6</v>
      </c>
    </row>
    <row r="581" spans="1:17">
      <c r="A581" s="2">
        <v>2529</v>
      </c>
      <c r="B581" s="7">
        <v>0.6</v>
      </c>
      <c r="C581" s="7">
        <v>0.6</v>
      </c>
      <c r="D581" s="7">
        <v>0.6</v>
      </c>
      <c r="E581" s="7">
        <v>0.6</v>
      </c>
      <c r="F581" s="7">
        <v>0.6</v>
      </c>
      <c r="G581" s="7">
        <v>0.6</v>
      </c>
      <c r="H581" s="7">
        <v>0.6</v>
      </c>
      <c r="I581" s="7">
        <v>0.6</v>
      </c>
      <c r="J581" s="7">
        <v>0.6</v>
      </c>
      <c r="K581" s="7">
        <v>0.6</v>
      </c>
      <c r="L581" s="7">
        <v>0.6</v>
      </c>
      <c r="M581" s="7">
        <v>0.6</v>
      </c>
      <c r="N581" s="7">
        <v>0.6</v>
      </c>
      <c r="O581" s="7">
        <v>0.6</v>
      </c>
      <c r="P581" s="7">
        <v>0.6</v>
      </c>
      <c r="Q581" s="7">
        <v>0.6</v>
      </c>
    </row>
    <row r="582" spans="1:17">
      <c r="A582" s="2">
        <v>2530</v>
      </c>
      <c r="B582" s="7">
        <v>0.6</v>
      </c>
      <c r="C582" s="7">
        <v>0.6</v>
      </c>
      <c r="D582" s="7">
        <v>0.6</v>
      </c>
      <c r="E582" s="7">
        <v>0.6</v>
      </c>
      <c r="F582" s="7">
        <v>0.6</v>
      </c>
      <c r="G582" s="7">
        <v>0.6</v>
      </c>
      <c r="H582" s="7">
        <v>0.6</v>
      </c>
      <c r="I582" s="7">
        <v>0.6</v>
      </c>
      <c r="J582" s="7">
        <v>0.6</v>
      </c>
      <c r="K582" s="7">
        <v>0.6</v>
      </c>
      <c r="L582" s="7">
        <v>0.6</v>
      </c>
      <c r="M582" s="7">
        <v>0.6</v>
      </c>
      <c r="N582" s="7">
        <v>0.6</v>
      </c>
      <c r="O582" s="7">
        <v>0.6</v>
      </c>
      <c r="P582" s="7">
        <v>0.6</v>
      </c>
      <c r="Q582" s="7">
        <v>0.6</v>
      </c>
    </row>
    <row r="583" spans="1:17">
      <c r="A583" s="2">
        <v>2531</v>
      </c>
      <c r="B583" s="7">
        <v>0.6</v>
      </c>
      <c r="C583" s="7">
        <v>0.6</v>
      </c>
      <c r="D583" s="7">
        <v>0.6</v>
      </c>
      <c r="E583" s="7">
        <v>0.6</v>
      </c>
      <c r="F583" s="7">
        <v>0.6</v>
      </c>
      <c r="G583" s="7">
        <v>0.6</v>
      </c>
      <c r="H583" s="7">
        <v>0.6</v>
      </c>
      <c r="I583" s="7">
        <v>0.6</v>
      </c>
      <c r="J583" s="7">
        <v>0.6</v>
      </c>
      <c r="K583" s="7">
        <v>0.6</v>
      </c>
      <c r="L583" s="7">
        <v>0.6</v>
      </c>
      <c r="M583" s="7">
        <v>0.6</v>
      </c>
      <c r="N583" s="7">
        <v>0.6</v>
      </c>
      <c r="O583" s="7">
        <v>0.6</v>
      </c>
      <c r="P583" s="7">
        <v>0.6</v>
      </c>
      <c r="Q583" s="7">
        <v>0.6</v>
      </c>
    </row>
    <row r="584" spans="1:17">
      <c r="A584" s="2">
        <v>2532</v>
      </c>
      <c r="B584" s="7">
        <v>0.6</v>
      </c>
      <c r="C584" s="7">
        <v>0.6</v>
      </c>
      <c r="D584" s="7">
        <v>0.6</v>
      </c>
      <c r="E584" s="7">
        <v>0.6</v>
      </c>
      <c r="F584" s="7">
        <v>0.6</v>
      </c>
      <c r="G584" s="7">
        <v>0.6</v>
      </c>
      <c r="H584" s="7">
        <v>0.6</v>
      </c>
      <c r="I584" s="7">
        <v>0.6</v>
      </c>
      <c r="J584" s="7">
        <v>0.6</v>
      </c>
      <c r="K584" s="7">
        <v>0.6</v>
      </c>
      <c r="L584" s="7">
        <v>0.6</v>
      </c>
      <c r="M584" s="7">
        <v>0.6</v>
      </c>
      <c r="N584" s="7">
        <v>0.6</v>
      </c>
      <c r="O584" s="7">
        <v>0.6</v>
      </c>
      <c r="P584" s="7">
        <v>0.6</v>
      </c>
      <c r="Q584" s="7">
        <v>0.6</v>
      </c>
    </row>
    <row r="585" spans="1:17">
      <c r="A585" s="2">
        <v>2533</v>
      </c>
      <c r="B585" s="7">
        <v>0.6</v>
      </c>
      <c r="C585" s="7">
        <v>0.6</v>
      </c>
      <c r="D585" s="7">
        <v>0.6</v>
      </c>
      <c r="E585" s="7">
        <v>0.6</v>
      </c>
      <c r="F585" s="7">
        <v>0.6</v>
      </c>
      <c r="G585" s="7">
        <v>0.6</v>
      </c>
      <c r="H585" s="7">
        <v>0.6</v>
      </c>
      <c r="I585" s="7">
        <v>0.6</v>
      </c>
      <c r="J585" s="7">
        <v>0.6</v>
      </c>
      <c r="K585" s="7">
        <v>0.6</v>
      </c>
      <c r="L585" s="7">
        <v>0.6</v>
      </c>
      <c r="M585" s="7">
        <v>0.6</v>
      </c>
      <c r="N585" s="7">
        <v>0.6</v>
      </c>
      <c r="O585" s="7">
        <v>0.6</v>
      </c>
      <c r="P585" s="7">
        <v>0.6</v>
      </c>
      <c r="Q585" s="7">
        <v>0.6</v>
      </c>
    </row>
    <row r="586" spans="1:17">
      <c r="A586" s="2">
        <v>2534</v>
      </c>
      <c r="B586" s="7">
        <v>0.6</v>
      </c>
      <c r="C586" s="7">
        <v>0.6</v>
      </c>
      <c r="D586" s="7">
        <v>0.6</v>
      </c>
      <c r="E586" s="7">
        <v>0.6</v>
      </c>
      <c r="F586" s="7">
        <v>0.6</v>
      </c>
      <c r="G586" s="7">
        <v>0.6</v>
      </c>
      <c r="H586" s="7">
        <v>0.6</v>
      </c>
      <c r="I586" s="7">
        <v>0.6</v>
      </c>
      <c r="J586" s="7">
        <v>0.6</v>
      </c>
      <c r="K586" s="7">
        <v>0.6</v>
      </c>
      <c r="L586" s="7">
        <v>0.6</v>
      </c>
      <c r="M586" s="7">
        <v>0.6</v>
      </c>
      <c r="N586" s="7">
        <v>0.6</v>
      </c>
      <c r="O586" s="7">
        <v>0.6</v>
      </c>
      <c r="P586" s="7">
        <v>0.6</v>
      </c>
      <c r="Q586" s="7">
        <v>0.6</v>
      </c>
    </row>
    <row r="587" spans="1:17">
      <c r="A587" s="2">
        <v>2535</v>
      </c>
      <c r="B587" s="7">
        <v>0.6</v>
      </c>
      <c r="C587" s="7">
        <v>0.6</v>
      </c>
      <c r="D587" s="7">
        <v>0.6</v>
      </c>
      <c r="E587" s="7">
        <v>0.6</v>
      </c>
      <c r="F587" s="7">
        <v>0.6</v>
      </c>
      <c r="G587" s="7">
        <v>0.6</v>
      </c>
      <c r="H587" s="7">
        <v>0.6</v>
      </c>
      <c r="I587" s="7">
        <v>0.6</v>
      </c>
      <c r="J587" s="7">
        <v>0.6</v>
      </c>
      <c r="K587" s="7">
        <v>0.6</v>
      </c>
      <c r="L587" s="7">
        <v>0.6</v>
      </c>
      <c r="M587" s="7">
        <v>0.6</v>
      </c>
      <c r="N587" s="7">
        <v>0.6</v>
      </c>
      <c r="O587" s="7">
        <v>0.6</v>
      </c>
      <c r="P587" s="7">
        <v>0.6</v>
      </c>
      <c r="Q587" s="7">
        <v>0.6</v>
      </c>
    </row>
    <row r="588" spans="1:17">
      <c r="A588" s="2">
        <v>2536</v>
      </c>
      <c r="B588" s="7">
        <v>0.6</v>
      </c>
      <c r="C588" s="7">
        <v>0.6</v>
      </c>
      <c r="D588" s="7">
        <v>0.6</v>
      </c>
      <c r="E588" s="7">
        <v>0.6</v>
      </c>
      <c r="F588" s="7">
        <v>0.6</v>
      </c>
      <c r="G588" s="7">
        <v>0.6</v>
      </c>
      <c r="H588" s="7">
        <v>0.6</v>
      </c>
      <c r="I588" s="7">
        <v>0.6</v>
      </c>
      <c r="J588" s="7">
        <v>0.6</v>
      </c>
      <c r="K588" s="7">
        <v>0.6</v>
      </c>
      <c r="L588" s="7">
        <v>0.6</v>
      </c>
      <c r="M588" s="7">
        <v>0.6</v>
      </c>
      <c r="N588" s="7">
        <v>0.6</v>
      </c>
      <c r="O588" s="7">
        <v>0.6</v>
      </c>
      <c r="P588" s="7">
        <v>0.6</v>
      </c>
      <c r="Q588" s="7">
        <v>0.6</v>
      </c>
    </row>
    <row r="589" spans="1:17">
      <c r="A589" s="2">
        <v>2537</v>
      </c>
      <c r="B589" s="7">
        <v>0.6</v>
      </c>
      <c r="C589" s="7">
        <v>0.6</v>
      </c>
      <c r="D589" s="7">
        <v>0.6</v>
      </c>
      <c r="E589" s="7">
        <v>0.6</v>
      </c>
      <c r="F589" s="7">
        <v>0.6</v>
      </c>
      <c r="G589" s="7">
        <v>0.6</v>
      </c>
      <c r="H589" s="7">
        <v>0.6</v>
      </c>
      <c r="I589" s="7">
        <v>0.6</v>
      </c>
      <c r="J589" s="7">
        <v>0.6</v>
      </c>
      <c r="K589" s="7">
        <v>0.6</v>
      </c>
      <c r="L589" s="7">
        <v>0.6</v>
      </c>
      <c r="M589" s="7">
        <v>0.6</v>
      </c>
      <c r="N589" s="7">
        <v>0.6</v>
      </c>
      <c r="O589" s="7">
        <v>0.6</v>
      </c>
      <c r="P589" s="7">
        <v>0.6</v>
      </c>
      <c r="Q589" s="7">
        <v>0.6</v>
      </c>
    </row>
    <row r="590" spans="1:17">
      <c r="A590" s="2">
        <v>2538</v>
      </c>
      <c r="B590" s="7">
        <v>0.6</v>
      </c>
      <c r="C590" s="7">
        <v>0.6</v>
      </c>
      <c r="D590" s="7">
        <v>0.6</v>
      </c>
      <c r="E590" s="7">
        <v>0.6</v>
      </c>
      <c r="F590" s="7">
        <v>0.6</v>
      </c>
      <c r="G590" s="7">
        <v>0.6</v>
      </c>
      <c r="H590" s="7">
        <v>0.6</v>
      </c>
      <c r="I590" s="7">
        <v>0.6</v>
      </c>
      <c r="J590" s="7">
        <v>0.6</v>
      </c>
      <c r="K590" s="7">
        <v>0.6</v>
      </c>
      <c r="L590" s="7">
        <v>0.6</v>
      </c>
      <c r="M590" s="7">
        <v>0.6</v>
      </c>
      <c r="N590" s="7">
        <v>0.6</v>
      </c>
      <c r="O590" s="7">
        <v>0.6</v>
      </c>
      <c r="P590" s="7">
        <v>0.6</v>
      </c>
      <c r="Q590" s="7">
        <v>0.6</v>
      </c>
    </row>
    <row r="591" spans="1:17">
      <c r="A591" s="2">
        <v>2539</v>
      </c>
      <c r="B591" s="7">
        <v>0.6</v>
      </c>
      <c r="C591" s="7">
        <v>0.6</v>
      </c>
      <c r="D591" s="7">
        <v>0.6</v>
      </c>
      <c r="E591" s="7">
        <v>0.6</v>
      </c>
      <c r="F591" s="7">
        <v>0.6</v>
      </c>
      <c r="G591" s="7">
        <v>0.6</v>
      </c>
      <c r="H591" s="7">
        <v>0.6</v>
      </c>
      <c r="I591" s="7">
        <v>0.6</v>
      </c>
      <c r="J591" s="7">
        <v>0.6</v>
      </c>
      <c r="K591" s="7">
        <v>0.6</v>
      </c>
      <c r="L591" s="7">
        <v>0.6</v>
      </c>
      <c r="M591" s="7">
        <v>0.6</v>
      </c>
      <c r="N591" s="7">
        <v>0.6</v>
      </c>
      <c r="O591" s="7">
        <v>0.6</v>
      </c>
      <c r="P591" s="7">
        <v>0.6</v>
      </c>
      <c r="Q591" s="7">
        <v>0.6</v>
      </c>
    </row>
    <row r="592" spans="1:17">
      <c r="A592" s="2">
        <v>2540</v>
      </c>
      <c r="B592" s="7">
        <v>0.6</v>
      </c>
      <c r="C592" s="7">
        <v>0.6</v>
      </c>
      <c r="D592" s="7">
        <v>0.6</v>
      </c>
      <c r="E592" s="7">
        <v>0.6</v>
      </c>
      <c r="F592" s="7">
        <v>0.6</v>
      </c>
      <c r="G592" s="7">
        <v>0.6</v>
      </c>
      <c r="H592" s="7">
        <v>0.6</v>
      </c>
      <c r="I592" s="7">
        <v>0.6</v>
      </c>
      <c r="J592" s="7">
        <v>0.6</v>
      </c>
      <c r="K592" s="7">
        <v>0.6</v>
      </c>
      <c r="L592" s="7">
        <v>0.6</v>
      </c>
      <c r="M592" s="7">
        <v>0.6</v>
      </c>
      <c r="N592" s="7">
        <v>0.6</v>
      </c>
      <c r="O592" s="7">
        <v>0.6</v>
      </c>
      <c r="P592" s="7">
        <v>0.6</v>
      </c>
      <c r="Q592" s="7">
        <v>0.6</v>
      </c>
    </row>
    <row r="593" spans="1:17">
      <c r="A593" s="2">
        <v>2541</v>
      </c>
      <c r="B593" s="7">
        <v>0.6</v>
      </c>
      <c r="C593" s="7">
        <v>0.6</v>
      </c>
      <c r="D593" s="7">
        <v>0.6</v>
      </c>
      <c r="E593" s="7">
        <v>0.6</v>
      </c>
      <c r="F593" s="7">
        <v>0.6</v>
      </c>
      <c r="G593" s="7">
        <v>0.6</v>
      </c>
      <c r="H593" s="7">
        <v>0.6</v>
      </c>
      <c r="I593" s="7">
        <v>0.6</v>
      </c>
      <c r="J593" s="7">
        <v>0.6</v>
      </c>
      <c r="K593" s="7">
        <v>0.6</v>
      </c>
      <c r="L593" s="7">
        <v>0.6</v>
      </c>
      <c r="M593" s="7">
        <v>0.6</v>
      </c>
      <c r="N593" s="7">
        <v>0.6</v>
      </c>
      <c r="O593" s="7">
        <v>0.6</v>
      </c>
      <c r="P593" s="7">
        <v>0.6</v>
      </c>
      <c r="Q593" s="7">
        <v>0.6</v>
      </c>
    </row>
    <row r="594" spans="1:17">
      <c r="A594" s="2">
        <v>2542</v>
      </c>
      <c r="B594" s="7">
        <v>0.6</v>
      </c>
      <c r="C594" s="7">
        <v>0.6</v>
      </c>
      <c r="D594" s="7">
        <v>0.6</v>
      </c>
      <c r="E594" s="7">
        <v>0.6</v>
      </c>
      <c r="F594" s="7">
        <v>0.6</v>
      </c>
      <c r="G594" s="7">
        <v>0.6</v>
      </c>
      <c r="H594" s="7">
        <v>0.6</v>
      </c>
      <c r="I594" s="7">
        <v>0.6</v>
      </c>
      <c r="J594" s="7">
        <v>0.6</v>
      </c>
      <c r="K594" s="7">
        <v>0.6</v>
      </c>
      <c r="L594" s="7">
        <v>0.6</v>
      </c>
      <c r="M594" s="7">
        <v>0.6</v>
      </c>
      <c r="N594" s="7">
        <v>0.6</v>
      </c>
      <c r="O594" s="7">
        <v>0.6</v>
      </c>
      <c r="P594" s="7">
        <v>0.6</v>
      </c>
      <c r="Q594" s="7">
        <v>0.6</v>
      </c>
    </row>
    <row r="595" spans="1:17">
      <c r="A595" s="2">
        <v>2543</v>
      </c>
      <c r="B595" s="7">
        <v>0.6</v>
      </c>
      <c r="C595" s="7">
        <v>0.6</v>
      </c>
      <c r="D595" s="7">
        <v>0.6</v>
      </c>
      <c r="E595" s="7">
        <v>0.6</v>
      </c>
      <c r="F595" s="7">
        <v>0.6</v>
      </c>
      <c r="G595" s="7">
        <v>0.6</v>
      </c>
      <c r="H595" s="7">
        <v>0.6</v>
      </c>
      <c r="I595" s="7">
        <v>0.6</v>
      </c>
      <c r="J595" s="7">
        <v>0.6</v>
      </c>
      <c r="K595" s="7">
        <v>0.6</v>
      </c>
      <c r="L595" s="7">
        <v>0.6</v>
      </c>
      <c r="M595" s="7">
        <v>0.6</v>
      </c>
      <c r="N595" s="7">
        <v>0.6</v>
      </c>
      <c r="O595" s="7">
        <v>0.6</v>
      </c>
      <c r="P595" s="7">
        <v>0.6</v>
      </c>
      <c r="Q595" s="7">
        <v>0.6</v>
      </c>
    </row>
    <row r="596" spans="1:17">
      <c r="A596" s="2">
        <v>2544</v>
      </c>
      <c r="B596" s="7">
        <v>0.6</v>
      </c>
      <c r="C596" s="7">
        <v>0.6</v>
      </c>
      <c r="D596" s="7">
        <v>0.6</v>
      </c>
      <c r="E596" s="7">
        <v>0.6</v>
      </c>
      <c r="F596" s="7">
        <v>0.6</v>
      </c>
      <c r="G596" s="7">
        <v>0.6</v>
      </c>
      <c r="H596" s="7">
        <v>0.6</v>
      </c>
      <c r="I596" s="7">
        <v>0.6</v>
      </c>
      <c r="J596" s="7">
        <v>0.6</v>
      </c>
      <c r="K596" s="7">
        <v>0.6</v>
      </c>
      <c r="L596" s="7">
        <v>0.6</v>
      </c>
      <c r="M596" s="7">
        <v>0.6</v>
      </c>
      <c r="N596" s="7">
        <v>0.6</v>
      </c>
      <c r="O596" s="7">
        <v>0.6</v>
      </c>
      <c r="P596" s="7">
        <v>0.6</v>
      </c>
      <c r="Q596" s="7">
        <v>0.6</v>
      </c>
    </row>
    <row r="597" spans="1:17">
      <c r="A597" s="2">
        <v>2545</v>
      </c>
      <c r="B597" s="7">
        <v>0.6</v>
      </c>
      <c r="C597" s="7">
        <v>0.6</v>
      </c>
      <c r="D597" s="7">
        <v>0.6</v>
      </c>
      <c r="E597" s="7">
        <v>0.6</v>
      </c>
      <c r="F597" s="7">
        <v>0.6</v>
      </c>
      <c r="G597" s="7">
        <v>0.6</v>
      </c>
      <c r="H597" s="7">
        <v>0.6</v>
      </c>
      <c r="I597" s="7">
        <v>0.6</v>
      </c>
      <c r="J597" s="7">
        <v>0.6</v>
      </c>
      <c r="K597" s="7">
        <v>0.6</v>
      </c>
      <c r="L597" s="7">
        <v>0.6</v>
      </c>
      <c r="M597" s="7">
        <v>0.6</v>
      </c>
      <c r="N597" s="7">
        <v>0.6</v>
      </c>
      <c r="O597" s="7">
        <v>0.6</v>
      </c>
      <c r="P597" s="7">
        <v>0.6</v>
      </c>
      <c r="Q597" s="7">
        <v>0.6</v>
      </c>
    </row>
    <row r="598" spans="1:17">
      <c r="A598" s="2">
        <v>2546</v>
      </c>
      <c r="B598" s="7">
        <v>0.6</v>
      </c>
      <c r="C598" s="7">
        <v>0.6</v>
      </c>
      <c r="D598" s="7">
        <v>0.6</v>
      </c>
      <c r="E598" s="7">
        <v>0.6</v>
      </c>
      <c r="F598" s="7">
        <v>0.6</v>
      </c>
      <c r="G598" s="7">
        <v>0.6</v>
      </c>
      <c r="H598" s="7">
        <v>0.6</v>
      </c>
      <c r="I598" s="7">
        <v>0.6</v>
      </c>
      <c r="J598" s="7">
        <v>0.6</v>
      </c>
      <c r="K598" s="7">
        <v>0.6</v>
      </c>
      <c r="L598" s="7">
        <v>0.6</v>
      </c>
      <c r="M598" s="7">
        <v>0.6</v>
      </c>
      <c r="N598" s="7">
        <v>0.6</v>
      </c>
      <c r="O598" s="7">
        <v>0.6</v>
      </c>
      <c r="P598" s="7">
        <v>0.6</v>
      </c>
      <c r="Q598" s="7">
        <v>0.6</v>
      </c>
    </row>
    <row r="599" spans="1:17">
      <c r="A599" s="2">
        <v>2547</v>
      </c>
      <c r="B599" s="7">
        <v>0.6</v>
      </c>
      <c r="C599" s="7">
        <v>0.6</v>
      </c>
      <c r="D599" s="7">
        <v>0.6</v>
      </c>
      <c r="E599" s="7">
        <v>0.6</v>
      </c>
      <c r="F599" s="7">
        <v>0.6</v>
      </c>
      <c r="G599" s="7">
        <v>0.6</v>
      </c>
      <c r="H599" s="7">
        <v>0.6</v>
      </c>
      <c r="I599" s="7">
        <v>0.6</v>
      </c>
      <c r="J599" s="7">
        <v>0.6</v>
      </c>
      <c r="K599" s="7">
        <v>0.6</v>
      </c>
      <c r="L599" s="7">
        <v>0.6</v>
      </c>
      <c r="M599" s="7">
        <v>0.6</v>
      </c>
      <c r="N599" s="7">
        <v>0.6</v>
      </c>
      <c r="O599" s="7">
        <v>0.6</v>
      </c>
      <c r="P599" s="7">
        <v>0.6</v>
      </c>
      <c r="Q599" s="7">
        <v>0.6</v>
      </c>
    </row>
    <row r="600" spans="1:17">
      <c r="A600" s="2">
        <v>2548</v>
      </c>
      <c r="B600" s="7">
        <v>0.6</v>
      </c>
      <c r="C600" s="7">
        <v>0.6</v>
      </c>
      <c r="D600" s="7">
        <v>0.6</v>
      </c>
      <c r="E600" s="7">
        <v>0.6</v>
      </c>
      <c r="F600" s="7">
        <v>0.6</v>
      </c>
      <c r="G600" s="7">
        <v>0.6</v>
      </c>
      <c r="H600" s="7">
        <v>0.6</v>
      </c>
      <c r="I600" s="7">
        <v>0.6</v>
      </c>
      <c r="J600" s="7">
        <v>0.6</v>
      </c>
      <c r="K600" s="7">
        <v>0.6</v>
      </c>
      <c r="L600" s="7">
        <v>0.6</v>
      </c>
      <c r="M600" s="7">
        <v>0.6</v>
      </c>
      <c r="N600" s="7">
        <v>0.6</v>
      </c>
      <c r="O600" s="7">
        <v>0.6</v>
      </c>
      <c r="P600" s="7">
        <v>0.6</v>
      </c>
      <c r="Q600" s="7">
        <v>0.6</v>
      </c>
    </row>
    <row r="601" spans="1:17">
      <c r="A601" s="2">
        <v>2549</v>
      </c>
      <c r="B601" s="7">
        <v>0.6</v>
      </c>
      <c r="C601" s="7">
        <v>0.6</v>
      </c>
      <c r="D601" s="7">
        <v>0.6</v>
      </c>
      <c r="E601" s="7">
        <v>0.6</v>
      </c>
      <c r="F601" s="7">
        <v>0.6</v>
      </c>
      <c r="G601" s="7">
        <v>0.6</v>
      </c>
      <c r="H601" s="7">
        <v>0.6</v>
      </c>
      <c r="I601" s="7">
        <v>0.6</v>
      </c>
      <c r="J601" s="7">
        <v>0.6</v>
      </c>
      <c r="K601" s="7">
        <v>0.6</v>
      </c>
      <c r="L601" s="7">
        <v>0.6</v>
      </c>
      <c r="M601" s="7">
        <v>0.6</v>
      </c>
      <c r="N601" s="7">
        <v>0.6</v>
      </c>
      <c r="O601" s="7">
        <v>0.6</v>
      </c>
      <c r="P601" s="7">
        <v>0.6</v>
      </c>
      <c r="Q601" s="7">
        <v>0.6</v>
      </c>
    </row>
    <row r="602" spans="1:17">
      <c r="A602" s="2">
        <v>2550</v>
      </c>
      <c r="B602" s="7">
        <v>0.6</v>
      </c>
      <c r="C602" s="7">
        <v>0.6</v>
      </c>
      <c r="D602" s="7">
        <v>0.6</v>
      </c>
      <c r="E602" s="7">
        <v>0.6</v>
      </c>
      <c r="F602" s="7">
        <v>0.6</v>
      </c>
      <c r="G602" s="7">
        <v>0.6</v>
      </c>
      <c r="H602" s="7">
        <v>0.6</v>
      </c>
      <c r="I602" s="7">
        <v>0.6</v>
      </c>
      <c r="J602" s="7">
        <v>0.6</v>
      </c>
      <c r="K602" s="7">
        <v>0.6</v>
      </c>
      <c r="L602" s="7">
        <v>0.6</v>
      </c>
      <c r="M602" s="7">
        <v>0.6</v>
      </c>
      <c r="N602" s="7">
        <v>0.6</v>
      </c>
      <c r="O602" s="7">
        <v>0.6</v>
      </c>
      <c r="P602" s="7">
        <v>0.6</v>
      </c>
      <c r="Q602" s="7">
        <v>0.6</v>
      </c>
    </row>
    <row r="603" spans="1:17">
      <c r="A603" s="2">
        <v>2551</v>
      </c>
      <c r="B603" s="7">
        <v>0.6</v>
      </c>
      <c r="C603" s="7">
        <v>0.6</v>
      </c>
      <c r="D603" s="7">
        <v>0.6</v>
      </c>
      <c r="E603" s="7">
        <v>0.6</v>
      </c>
      <c r="F603" s="7">
        <v>0.6</v>
      </c>
      <c r="G603" s="7">
        <v>0.6</v>
      </c>
      <c r="H603" s="7">
        <v>0.6</v>
      </c>
      <c r="I603" s="7">
        <v>0.6</v>
      </c>
      <c r="J603" s="7">
        <v>0.6</v>
      </c>
      <c r="K603" s="7">
        <v>0.6</v>
      </c>
      <c r="L603" s="7">
        <v>0.6</v>
      </c>
      <c r="M603" s="7">
        <v>0.6</v>
      </c>
      <c r="N603" s="7">
        <v>0.6</v>
      </c>
      <c r="O603" s="7">
        <v>0.6</v>
      </c>
      <c r="P603" s="7">
        <v>0.6</v>
      </c>
      <c r="Q603" s="7">
        <v>0.6</v>
      </c>
    </row>
    <row r="604" spans="1:17">
      <c r="A604" s="2">
        <v>2552</v>
      </c>
      <c r="B604" s="7">
        <v>0.6</v>
      </c>
      <c r="C604" s="7">
        <v>0.6</v>
      </c>
      <c r="D604" s="7">
        <v>0.6</v>
      </c>
      <c r="E604" s="7">
        <v>0.6</v>
      </c>
      <c r="F604" s="7">
        <v>0.6</v>
      </c>
      <c r="G604" s="7">
        <v>0.6</v>
      </c>
      <c r="H604" s="7">
        <v>0.6</v>
      </c>
      <c r="I604" s="7">
        <v>0.6</v>
      </c>
      <c r="J604" s="7">
        <v>0.6</v>
      </c>
      <c r="K604" s="7">
        <v>0.6</v>
      </c>
      <c r="L604" s="7">
        <v>0.6</v>
      </c>
      <c r="M604" s="7">
        <v>0.6</v>
      </c>
      <c r="N604" s="7">
        <v>0.6</v>
      </c>
      <c r="O604" s="7">
        <v>0.6</v>
      </c>
      <c r="P604" s="7">
        <v>0.6</v>
      </c>
      <c r="Q604" s="7">
        <v>0.6</v>
      </c>
    </row>
    <row r="605" spans="1:17">
      <c r="A605" s="2">
        <v>2553</v>
      </c>
      <c r="B605" s="7">
        <v>0.6</v>
      </c>
      <c r="C605" s="7">
        <v>0.6</v>
      </c>
      <c r="D605" s="7">
        <v>0.6</v>
      </c>
      <c r="E605" s="7">
        <v>0.6</v>
      </c>
      <c r="F605" s="7">
        <v>0.6</v>
      </c>
      <c r="G605" s="7">
        <v>0.6</v>
      </c>
      <c r="H605" s="7">
        <v>0.6</v>
      </c>
      <c r="I605" s="7">
        <v>0.6</v>
      </c>
      <c r="J605" s="7">
        <v>0.6</v>
      </c>
      <c r="K605" s="7">
        <v>0.6</v>
      </c>
      <c r="L605" s="7">
        <v>0.6</v>
      </c>
      <c r="M605" s="7">
        <v>0.6</v>
      </c>
      <c r="N605" s="7">
        <v>0.6</v>
      </c>
      <c r="O605" s="7">
        <v>0.6</v>
      </c>
      <c r="P605" s="7">
        <v>0.6</v>
      </c>
      <c r="Q605" s="7">
        <v>0.6</v>
      </c>
    </row>
    <row r="606" spans="1:17">
      <c r="A606" s="2">
        <v>2554</v>
      </c>
      <c r="B606" s="7">
        <v>0.6</v>
      </c>
      <c r="C606" s="7">
        <v>0.6</v>
      </c>
      <c r="D606" s="7">
        <v>0.6</v>
      </c>
      <c r="E606" s="7">
        <v>0.6</v>
      </c>
      <c r="F606" s="7">
        <v>0.6</v>
      </c>
      <c r="G606" s="7">
        <v>0.6</v>
      </c>
      <c r="H606" s="7">
        <v>0.6</v>
      </c>
      <c r="I606" s="7">
        <v>0.6</v>
      </c>
      <c r="J606" s="7">
        <v>0.6</v>
      </c>
      <c r="K606" s="7">
        <v>0.6</v>
      </c>
      <c r="L606" s="7">
        <v>0.6</v>
      </c>
      <c r="M606" s="7">
        <v>0.6</v>
      </c>
      <c r="N606" s="7">
        <v>0.6</v>
      </c>
      <c r="O606" s="7">
        <v>0.6</v>
      </c>
      <c r="P606" s="7">
        <v>0.6</v>
      </c>
      <c r="Q606" s="7">
        <v>0.6</v>
      </c>
    </row>
    <row r="607" spans="1:17">
      <c r="A607" s="2">
        <v>2555</v>
      </c>
      <c r="B607" s="7">
        <v>0.6</v>
      </c>
      <c r="C607" s="7">
        <v>0.6</v>
      </c>
      <c r="D607" s="7">
        <v>0.6</v>
      </c>
      <c r="E607" s="7">
        <v>0.6</v>
      </c>
      <c r="F607" s="7">
        <v>0.6</v>
      </c>
      <c r="G607" s="7">
        <v>0.6</v>
      </c>
      <c r="H607" s="7">
        <v>0.6</v>
      </c>
      <c r="I607" s="7">
        <v>0.6</v>
      </c>
      <c r="J607" s="7">
        <v>0.6</v>
      </c>
      <c r="K607" s="7">
        <v>0.6</v>
      </c>
      <c r="L607" s="7">
        <v>0.6</v>
      </c>
      <c r="M607" s="7">
        <v>0.6</v>
      </c>
      <c r="N607" s="7">
        <v>0.6</v>
      </c>
      <c r="O607" s="7">
        <v>0.6</v>
      </c>
      <c r="P607" s="7">
        <v>0.6</v>
      </c>
      <c r="Q607" s="7">
        <v>0.6</v>
      </c>
    </row>
    <row r="608" spans="1:17">
      <c r="A608" s="2">
        <v>2556</v>
      </c>
      <c r="B608" s="7">
        <v>0.6</v>
      </c>
      <c r="C608" s="7">
        <v>0.6</v>
      </c>
      <c r="D608" s="7">
        <v>0.6</v>
      </c>
      <c r="E608" s="7">
        <v>0.6</v>
      </c>
      <c r="F608" s="7">
        <v>0.6</v>
      </c>
      <c r="G608" s="7">
        <v>0.6</v>
      </c>
      <c r="H608" s="7">
        <v>0.6</v>
      </c>
      <c r="I608" s="7">
        <v>0.6</v>
      </c>
      <c r="J608" s="7">
        <v>0.6</v>
      </c>
      <c r="K608" s="7">
        <v>0.6</v>
      </c>
      <c r="L608" s="7">
        <v>0.6</v>
      </c>
      <c r="M608" s="7">
        <v>0.6</v>
      </c>
      <c r="N608" s="7">
        <v>0.6</v>
      </c>
      <c r="O608" s="7">
        <v>0.6</v>
      </c>
      <c r="P608" s="7">
        <v>0.6</v>
      </c>
      <c r="Q608" s="7">
        <v>0.6</v>
      </c>
    </row>
    <row r="609" spans="1:17">
      <c r="A609" s="2">
        <v>2557</v>
      </c>
      <c r="B609" s="7">
        <v>0.6</v>
      </c>
      <c r="C609" s="7">
        <v>0.6</v>
      </c>
      <c r="D609" s="7">
        <v>0.6</v>
      </c>
      <c r="E609" s="7">
        <v>0.6</v>
      </c>
      <c r="F609" s="7">
        <v>0.6</v>
      </c>
      <c r="G609" s="7">
        <v>0.6</v>
      </c>
      <c r="H609" s="7">
        <v>0.6</v>
      </c>
      <c r="I609" s="7">
        <v>0.6</v>
      </c>
      <c r="J609" s="7">
        <v>0.6</v>
      </c>
      <c r="K609" s="7">
        <v>0.6</v>
      </c>
      <c r="L609" s="7">
        <v>0.6</v>
      </c>
      <c r="M609" s="7">
        <v>0.6</v>
      </c>
      <c r="N609" s="7">
        <v>0.6</v>
      </c>
      <c r="O609" s="7">
        <v>0.6</v>
      </c>
      <c r="P609" s="7">
        <v>0.6</v>
      </c>
      <c r="Q609" s="7">
        <v>0.6</v>
      </c>
    </row>
    <row r="610" spans="1:17">
      <c r="A610" s="2">
        <v>2558</v>
      </c>
      <c r="B610" s="7">
        <v>0.6</v>
      </c>
      <c r="C610" s="7">
        <v>0.6</v>
      </c>
      <c r="D610" s="7">
        <v>0.6</v>
      </c>
      <c r="E610" s="7">
        <v>0.6</v>
      </c>
      <c r="F610" s="7">
        <v>0.6</v>
      </c>
      <c r="G610" s="7">
        <v>0.6</v>
      </c>
      <c r="H610" s="7">
        <v>0.6</v>
      </c>
      <c r="I610" s="7">
        <v>0.6</v>
      </c>
      <c r="J610" s="7">
        <v>0.6</v>
      </c>
      <c r="K610" s="7">
        <v>0.6</v>
      </c>
      <c r="L610" s="7">
        <v>0.6</v>
      </c>
      <c r="M610" s="7">
        <v>0.6</v>
      </c>
      <c r="N610" s="7">
        <v>0.6</v>
      </c>
      <c r="O610" s="7">
        <v>0.6</v>
      </c>
      <c r="P610" s="7">
        <v>0.6</v>
      </c>
      <c r="Q610" s="7">
        <v>0.6</v>
      </c>
    </row>
    <row r="611" spans="1:17">
      <c r="A611" s="2">
        <v>2559</v>
      </c>
      <c r="B611" s="7">
        <v>0.6</v>
      </c>
      <c r="C611" s="7">
        <v>0.6</v>
      </c>
      <c r="D611" s="7">
        <v>0.6</v>
      </c>
      <c r="E611" s="7">
        <v>0.6</v>
      </c>
      <c r="F611" s="7">
        <v>0.6</v>
      </c>
      <c r="G611" s="7">
        <v>0.6</v>
      </c>
      <c r="H611" s="7">
        <v>0.6</v>
      </c>
      <c r="I611" s="7">
        <v>0.6</v>
      </c>
      <c r="J611" s="7">
        <v>0.6</v>
      </c>
      <c r="K611" s="7">
        <v>0.6</v>
      </c>
      <c r="L611" s="7">
        <v>0.6</v>
      </c>
      <c r="M611" s="7">
        <v>0.6</v>
      </c>
      <c r="N611" s="7">
        <v>0.6</v>
      </c>
      <c r="O611" s="7">
        <v>0.6</v>
      </c>
      <c r="P611" s="7">
        <v>0.6</v>
      </c>
      <c r="Q611" s="7">
        <v>0.6</v>
      </c>
    </row>
    <row r="612" spans="1:17">
      <c r="A612" s="2">
        <v>2560</v>
      </c>
      <c r="B612" s="7">
        <v>0.6</v>
      </c>
      <c r="C612" s="7">
        <v>0.6</v>
      </c>
      <c r="D612" s="7">
        <v>0.6</v>
      </c>
      <c r="E612" s="7">
        <v>0.6</v>
      </c>
      <c r="F612" s="7">
        <v>0.6</v>
      </c>
      <c r="G612" s="7">
        <v>0.6</v>
      </c>
      <c r="H612" s="7">
        <v>0.6</v>
      </c>
      <c r="I612" s="7">
        <v>0.6</v>
      </c>
      <c r="J612" s="7">
        <v>0.6</v>
      </c>
      <c r="K612" s="7">
        <v>0.6</v>
      </c>
      <c r="L612" s="7">
        <v>0.6</v>
      </c>
      <c r="M612" s="7">
        <v>0.6</v>
      </c>
      <c r="N612" s="7">
        <v>0.6</v>
      </c>
      <c r="O612" s="7">
        <v>0.6</v>
      </c>
      <c r="P612" s="7">
        <v>0.6</v>
      </c>
      <c r="Q612" s="7">
        <v>0.6</v>
      </c>
    </row>
    <row r="613" spans="1:17">
      <c r="A613" s="2">
        <v>2561</v>
      </c>
      <c r="B613" s="7">
        <v>0.6</v>
      </c>
      <c r="C613" s="7">
        <v>0.6</v>
      </c>
      <c r="D613" s="7">
        <v>0.6</v>
      </c>
      <c r="E613" s="7">
        <v>0.6</v>
      </c>
      <c r="F613" s="7">
        <v>0.6</v>
      </c>
      <c r="G613" s="7">
        <v>0.6</v>
      </c>
      <c r="H613" s="7">
        <v>0.6</v>
      </c>
      <c r="I613" s="7">
        <v>0.6</v>
      </c>
      <c r="J613" s="7">
        <v>0.6</v>
      </c>
      <c r="K613" s="7">
        <v>0.6</v>
      </c>
      <c r="L613" s="7">
        <v>0.6</v>
      </c>
      <c r="M613" s="7">
        <v>0.6</v>
      </c>
      <c r="N613" s="7">
        <v>0.6</v>
      </c>
      <c r="O613" s="7">
        <v>0.6</v>
      </c>
      <c r="P613" s="7">
        <v>0.6</v>
      </c>
      <c r="Q613" s="7">
        <v>0.6</v>
      </c>
    </row>
    <row r="614" spans="1:17">
      <c r="A614" s="2">
        <v>2562</v>
      </c>
      <c r="B614" s="7">
        <v>0.6</v>
      </c>
      <c r="C614" s="7">
        <v>0.6</v>
      </c>
      <c r="D614" s="7">
        <v>0.6</v>
      </c>
      <c r="E614" s="7">
        <v>0.6</v>
      </c>
      <c r="F614" s="7">
        <v>0.6</v>
      </c>
      <c r="G614" s="7">
        <v>0.6</v>
      </c>
      <c r="H614" s="7">
        <v>0.6</v>
      </c>
      <c r="I614" s="7">
        <v>0.6</v>
      </c>
      <c r="J614" s="7">
        <v>0.6</v>
      </c>
      <c r="K614" s="7">
        <v>0.6</v>
      </c>
      <c r="L614" s="7">
        <v>0.6</v>
      </c>
      <c r="M614" s="7">
        <v>0.6</v>
      </c>
      <c r="N614" s="7">
        <v>0.6</v>
      </c>
      <c r="O614" s="7">
        <v>0.6</v>
      </c>
      <c r="P614" s="7">
        <v>0.6</v>
      </c>
      <c r="Q614" s="7">
        <v>0.6</v>
      </c>
    </row>
    <row r="615" spans="1:17">
      <c r="A615" s="2">
        <v>2563</v>
      </c>
      <c r="B615" s="7">
        <v>0.6</v>
      </c>
      <c r="C615" s="7">
        <v>0.6</v>
      </c>
      <c r="D615" s="7">
        <v>0.6</v>
      </c>
      <c r="E615" s="7">
        <v>0.6</v>
      </c>
      <c r="F615" s="7">
        <v>0.6</v>
      </c>
      <c r="G615" s="7">
        <v>0.6</v>
      </c>
      <c r="H615" s="7">
        <v>0.6</v>
      </c>
      <c r="I615" s="7">
        <v>0.6</v>
      </c>
      <c r="J615" s="7">
        <v>0.6</v>
      </c>
      <c r="K615" s="7">
        <v>0.6</v>
      </c>
      <c r="L615" s="7">
        <v>0.6</v>
      </c>
      <c r="M615" s="7">
        <v>0.6</v>
      </c>
      <c r="N615" s="7">
        <v>0.6</v>
      </c>
      <c r="O615" s="7">
        <v>0.6</v>
      </c>
      <c r="P615" s="7">
        <v>0.6</v>
      </c>
      <c r="Q615" s="7">
        <v>0.6</v>
      </c>
    </row>
    <row r="616" spans="1:17">
      <c r="A616" s="2">
        <v>2564</v>
      </c>
      <c r="B616" s="7">
        <v>0.6</v>
      </c>
      <c r="C616" s="7">
        <v>0.6</v>
      </c>
      <c r="D616" s="7">
        <v>0.6</v>
      </c>
      <c r="E616" s="7">
        <v>0.6</v>
      </c>
      <c r="F616" s="7">
        <v>0.6</v>
      </c>
      <c r="G616" s="7">
        <v>0.6</v>
      </c>
      <c r="H616" s="7">
        <v>0.6</v>
      </c>
      <c r="I616" s="7">
        <v>0.6</v>
      </c>
      <c r="J616" s="7">
        <v>0.6</v>
      </c>
      <c r="K616" s="7">
        <v>0.6</v>
      </c>
      <c r="L616" s="7">
        <v>0.6</v>
      </c>
      <c r="M616" s="7">
        <v>0.6</v>
      </c>
      <c r="N616" s="7">
        <v>0.6</v>
      </c>
      <c r="O616" s="7">
        <v>0.6</v>
      </c>
      <c r="P616" s="7">
        <v>0.6</v>
      </c>
      <c r="Q616" s="7">
        <v>0.6</v>
      </c>
    </row>
    <row r="617" spans="1:17">
      <c r="A617" s="2">
        <v>2565</v>
      </c>
      <c r="B617" s="7">
        <v>0.6</v>
      </c>
      <c r="C617" s="7">
        <v>0.6</v>
      </c>
      <c r="D617" s="7">
        <v>0.6</v>
      </c>
      <c r="E617" s="7">
        <v>0.6</v>
      </c>
      <c r="F617" s="7">
        <v>0.6</v>
      </c>
      <c r="G617" s="7">
        <v>0.6</v>
      </c>
      <c r="H617" s="7">
        <v>0.6</v>
      </c>
      <c r="I617" s="7">
        <v>0.6</v>
      </c>
      <c r="J617" s="7">
        <v>0.6</v>
      </c>
      <c r="K617" s="7">
        <v>0.6</v>
      </c>
      <c r="L617" s="7">
        <v>0.6</v>
      </c>
      <c r="M617" s="7">
        <v>0.6</v>
      </c>
      <c r="N617" s="7">
        <v>0.6</v>
      </c>
      <c r="O617" s="7">
        <v>0.6</v>
      </c>
      <c r="P617" s="7">
        <v>0.6</v>
      </c>
      <c r="Q617" s="7">
        <v>0.6</v>
      </c>
    </row>
    <row r="618" spans="1:17">
      <c r="A618" s="2">
        <v>2566</v>
      </c>
      <c r="B618" s="7">
        <v>0.6</v>
      </c>
      <c r="C618" s="7">
        <v>0.6</v>
      </c>
      <c r="D618" s="7">
        <v>0.6</v>
      </c>
      <c r="E618" s="7">
        <v>0.6</v>
      </c>
      <c r="F618" s="7">
        <v>0.6</v>
      </c>
      <c r="G618" s="7">
        <v>0.6</v>
      </c>
      <c r="H618" s="7">
        <v>0.6</v>
      </c>
      <c r="I618" s="7">
        <v>0.6</v>
      </c>
      <c r="J618" s="7">
        <v>0.6</v>
      </c>
      <c r="K618" s="7">
        <v>0.6</v>
      </c>
      <c r="L618" s="7">
        <v>0.6</v>
      </c>
      <c r="M618" s="7">
        <v>0.6</v>
      </c>
      <c r="N618" s="7">
        <v>0.6</v>
      </c>
      <c r="O618" s="7">
        <v>0.6</v>
      </c>
      <c r="P618" s="7">
        <v>0.6</v>
      </c>
      <c r="Q618" s="7">
        <v>0.6</v>
      </c>
    </row>
    <row r="619" spans="1:17">
      <c r="A619" s="2">
        <v>2567</v>
      </c>
      <c r="B619" s="7">
        <v>0.6</v>
      </c>
      <c r="C619" s="7">
        <v>0.6</v>
      </c>
      <c r="D619" s="7">
        <v>0.6</v>
      </c>
      <c r="E619" s="7">
        <v>0.6</v>
      </c>
      <c r="F619" s="7">
        <v>0.6</v>
      </c>
      <c r="G619" s="7">
        <v>0.6</v>
      </c>
      <c r="H619" s="7">
        <v>0.6</v>
      </c>
      <c r="I619" s="7">
        <v>0.6</v>
      </c>
      <c r="J619" s="7">
        <v>0.6</v>
      </c>
      <c r="K619" s="7">
        <v>0.6</v>
      </c>
      <c r="L619" s="7">
        <v>0.6</v>
      </c>
      <c r="M619" s="7">
        <v>0.6</v>
      </c>
      <c r="N619" s="7">
        <v>0.6</v>
      </c>
      <c r="O619" s="7">
        <v>0.6</v>
      </c>
      <c r="P619" s="7">
        <v>0.6</v>
      </c>
      <c r="Q619" s="7">
        <v>0.6</v>
      </c>
    </row>
    <row r="620" spans="1:17">
      <c r="A620" s="2">
        <v>2568</v>
      </c>
      <c r="B620" s="7">
        <v>0.6</v>
      </c>
      <c r="C620" s="7">
        <v>0.6</v>
      </c>
      <c r="D620" s="7">
        <v>0.6</v>
      </c>
      <c r="E620" s="7">
        <v>0.6</v>
      </c>
      <c r="F620" s="7">
        <v>0.6</v>
      </c>
      <c r="G620" s="7">
        <v>0.6</v>
      </c>
      <c r="H620" s="7">
        <v>0.6</v>
      </c>
      <c r="I620" s="7">
        <v>0.6</v>
      </c>
      <c r="J620" s="7">
        <v>0.6</v>
      </c>
      <c r="K620" s="7">
        <v>0.6</v>
      </c>
      <c r="L620" s="7">
        <v>0.6</v>
      </c>
      <c r="M620" s="7">
        <v>0.6</v>
      </c>
      <c r="N620" s="7">
        <v>0.6</v>
      </c>
      <c r="O620" s="7">
        <v>0.6</v>
      </c>
      <c r="P620" s="7">
        <v>0.6</v>
      </c>
      <c r="Q620" s="7">
        <v>0.6</v>
      </c>
    </row>
    <row r="621" spans="1:17">
      <c r="A621" s="2">
        <v>2569</v>
      </c>
      <c r="B621" s="7">
        <v>0.6</v>
      </c>
      <c r="C621" s="7">
        <v>0.6</v>
      </c>
      <c r="D621" s="7">
        <v>0.6</v>
      </c>
      <c r="E621" s="7">
        <v>0.6</v>
      </c>
      <c r="F621" s="7">
        <v>0.6</v>
      </c>
      <c r="G621" s="7">
        <v>0.6</v>
      </c>
      <c r="H621" s="7">
        <v>0.6</v>
      </c>
      <c r="I621" s="7">
        <v>0.6</v>
      </c>
      <c r="J621" s="7">
        <v>0.6</v>
      </c>
      <c r="K621" s="7">
        <v>0.6</v>
      </c>
      <c r="L621" s="7">
        <v>0.6</v>
      </c>
      <c r="M621" s="7">
        <v>0.6</v>
      </c>
      <c r="N621" s="7">
        <v>0.6</v>
      </c>
      <c r="O621" s="7">
        <v>0.6</v>
      </c>
      <c r="P621" s="7">
        <v>0.6</v>
      </c>
      <c r="Q621" s="7">
        <v>0.6</v>
      </c>
    </row>
    <row r="622" spans="1:17">
      <c r="A622" s="2">
        <v>2570</v>
      </c>
      <c r="B622" s="7">
        <v>0.6</v>
      </c>
      <c r="C622" s="7">
        <v>0.6</v>
      </c>
      <c r="D622" s="7">
        <v>0.6</v>
      </c>
      <c r="E622" s="7">
        <v>0.6</v>
      </c>
      <c r="F622" s="7">
        <v>0.6</v>
      </c>
      <c r="G622" s="7">
        <v>0.6</v>
      </c>
      <c r="H622" s="7">
        <v>0.6</v>
      </c>
      <c r="I622" s="7">
        <v>0.6</v>
      </c>
      <c r="J622" s="7">
        <v>0.6</v>
      </c>
      <c r="K622" s="7">
        <v>0.6</v>
      </c>
      <c r="L622" s="7">
        <v>0.6</v>
      </c>
      <c r="M622" s="7">
        <v>0.6</v>
      </c>
      <c r="N622" s="7">
        <v>0.6</v>
      </c>
      <c r="O622" s="7">
        <v>0.6</v>
      </c>
      <c r="P622" s="7">
        <v>0.6</v>
      </c>
      <c r="Q622" s="7">
        <v>0.6</v>
      </c>
    </row>
    <row r="623" spans="1:17">
      <c r="A623" s="2">
        <v>2571</v>
      </c>
      <c r="B623" s="7">
        <v>0.6</v>
      </c>
      <c r="C623" s="7">
        <v>0.6</v>
      </c>
      <c r="D623" s="7">
        <v>0.6</v>
      </c>
      <c r="E623" s="7">
        <v>0.6</v>
      </c>
      <c r="F623" s="7">
        <v>0.6</v>
      </c>
      <c r="G623" s="7">
        <v>0.6</v>
      </c>
      <c r="H623" s="7">
        <v>0.6</v>
      </c>
      <c r="I623" s="7">
        <v>0.6</v>
      </c>
      <c r="J623" s="7">
        <v>0.6</v>
      </c>
      <c r="K623" s="7">
        <v>0.6</v>
      </c>
      <c r="L623" s="7">
        <v>0.6</v>
      </c>
      <c r="M623" s="7">
        <v>0.6</v>
      </c>
      <c r="N623" s="7">
        <v>0.6</v>
      </c>
      <c r="O623" s="7">
        <v>0.6</v>
      </c>
      <c r="P623" s="7">
        <v>0.6</v>
      </c>
      <c r="Q623" s="7">
        <v>0.6</v>
      </c>
    </row>
    <row r="624" spans="1:17">
      <c r="A624" s="2">
        <v>2572</v>
      </c>
      <c r="B624" s="7">
        <v>0.6</v>
      </c>
      <c r="C624" s="7">
        <v>0.6</v>
      </c>
      <c r="D624" s="7">
        <v>0.6</v>
      </c>
      <c r="E624" s="7">
        <v>0.6</v>
      </c>
      <c r="F624" s="7">
        <v>0.6</v>
      </c>
      <c r="G624" s="7">
        <v>0.6</v>
      </c>
      <c r="H624" s="7">
        <v>0.6</v>
      </c>
      <c r="I624" s="7">
        <v>0.6</v>
      </c>
      <c r="J624" s="7">
        <v>0.6</v>
      </c>
      <c r="K624" s="7">
        <v>0.6</v>
      </c>
      <c r="L624" s="7">
        <v>0.6</v>
      </c>
      <c r="M624" s="7">
        <v>0.6</v>
      </c>
      <c r="N624" s="7">
        <v>0.6</v>
      </c>
      <c r="O624" s="7">
        <v>0.6</v>
      </c>
      <c r="P624" s="7">
        <v>0.6</v>
      </c>
      <c r="Q624" s="7">
        <v>0.6</v>
      </c>
    </row>
    <row r="625" spans="1:17">
      <c r="A625" s="2">
        <v>2573</v>
      </c>
      <c r="B625" s="7">
        <v>0.6</v>
      </c>
      <c r="C625" s="7">
        <v>0.6</v>
      </c>
      <c r="D625" s="7">
        <v>0.6</v>
      </c>
      <c r="E625" s="7">
        <v>0.6</v>
      </c>
      <c r="F625" s="7">
        <v>0.6</v>
      </c>
      <c r="G625" s="7">
        <v>0.6</v>
      </c>
      <c r="H625" s="7">
        <v>0.6</v>
      </c>
      <c r="I625" s="7">
        <v>0.6</v>
      </c>
      <c r="J625" s="7">
        <v>0.6</v>
      </c>
      <c r="K625" s="7">
        <v>0.6</v>
      </c>
      <c r="L625" s="7">
        <v>0.6</v>
      </c>
      <c r="M625" s="7">
        <v>0.6</v>
      </c>
      <c r="N625" s="7">
        <v>0.6</v>
      </c>
      <c r="O625" s="7">
        <v>0.6</v>
      </c>
      <c r="P625" s="7">
        <v>0.6</v>
      </c>
      <c r="Q625" s="7">
        <v>0.6</v>
      </c>
    </row>
    <row r="626" spans="1:17">
      <c r="A626" s="2">
        <v>2574</v>
      </c>
      <c r="B626" s="7">
        <v>0.6</v>
      </c>
      <c r="C626" s="7">
        <v>0.6</v>
      </c>
      <c r="D626" s="7">
        <v>0.6</v>
      </c>
      <c r="E626" s="7">
        <v>0.6</v>
      </c>
      <c r="F626" s="7">
        <v>0.6</v>
      </c>
      <c r="G626" s="7">
        <v>0.6</v>
      </c>
      <c r="H626" s="7">
        <v>0.6</v>
      </c>
      <c r="I626" s="7">
        <v>0.6</v>
      </c>
      <c r="J626" s="7">
        <v>0.6</v>
      </c>
      <c r="K626" s="7">
        <v>0.6</v>
      </c>
      <c r="L626" s="7">
        <v>0.6</v>
      </c>
      <c r="M626" s="7">
        <v>0.6</v>
      </c>
      <c r="N626" s="7">
        <v>0.6</v>
      </c>
      <c r="O626" s="7">
        <v>0.6</v>
      </c>
      <c r="P626" s="7">
        <v>0.6</v>
      </c>
      <c r="Q626" s="7">
        <v>0.6</v>
      </c>
    </row>
    <row r="627" spans="1:17">
      <c r="A627" s="2">
        <v>2575</v>
      </c>
      <c r="B627" s="7">
        <v>0.6</v>
      </c>
      <c r="C627" s="7">
        <v>0.6</v>
      </c>
      <c r="D627" s="7">
        <v>0.6</v>
      </c>
      <c r="E627" s="7">
        <v>0.6</v>
      </c>
      <c r="F627" s="7">
        <v>0.6</v>
      </c>
      <c r="G627" s="7">
        <v>0.6</v>
      </c>
      <c r="H627" s="7">
        <v>0.6</v>
      </c>
      <c r="I627" s="7">
        <v>0.6</v>
      </c>
      <c r="J627" s="7">
        <v>0.6</v>
      </c>
      <c r="K627" s="7">
        <v>0.6</v>
      </c>
      <c r="L627" s="7">
        <v>0.6</v>
      </c>
      <c r="M627" s="7">
        <v>0.6</v>
      </c>
      <c r="N627" s="7">
        <v>0.6</v>
      </c>
      <c r="O627" s="7">
        <v>0.6</v>
      </c>
      <c r="P627" s="7">
        <v>0.6</v>
      </c>
      <c r="Q627" s="7">
        <v>0.6</v>
      </c>
    </row>
    <row r="628" spans="1:17">
      <c r="A628" s="2">
        <v>2576</v>
      </c>
      <c r="B628" s="7">
        <v>0.6</v>
      </c>
      <c r="C628" s="7">
        <v>0.6</v>
      </c>
      <c r="D628" s="7">
        <v>0.6</v>
      </c>
      <c r="E628" s="7">
        <v>0.6</v>
      </c>
      <c r="F628" s="7">
        <v>0.6</v>
      </c>
      <c r="G628" s="7">
        <v>0.6</v>
      </c>
      <c r="H628" s="7">
        <v>0.6</v>
      </c>
      <c r="I628" s="7">
        <v>0.6</v>
      </c>
      <c r="J628" s="7">
        <v>0.6</v>
      </c>
      <c r="K628" s="7">
        <v>0.6</v>
      </c>
      <c r="L628" s="7">
        <v>0.6</v>
      </c>
      <c r="M628" s="7">
        <v>0.6</v>
      </c>
      <c r="N628" s="7">
        <v>0.6</v>
      </c>
      <c r="O628" s="7">
        <v>0.6</v>
      </c>
      <c r="P628" s="7">
        <v>0.6</v>
      </c>
      <c r="Q628" s="7">
        <v>0.6</v>
      </c>
    </row>
    <row r="629" spans="1:17">
      <c r="A629" s="2">
        <v>2577</v>
      </c>
      <c r="B629" s="7">
        <v>0.6</v>
      </c>
      <c r="C629" s="7">
        <v>0.6</v>
      </c>
      <c r="D629" s="7">
        <v>0.6</v>
      </c>
      <c r="E629" s="7">
        <v>0.6</v>
      </c>
      <c r="F629" s="7">
        <v>0.6</v>
      </c>
      <c r="G629" s="7">
        <v>0.6</v>
      </c>
      <c r="H629" s="7">
        <v>0.6</v>
      </c>
      <c r="I629" s="7">
        <v>0.6</v>
      </c>
      <c r="J629" s="7">
        <v>0.6</v>
      </c>
      <c r="K629" s="7">
        <v>0.6</v>
      </c>
      <c r="L629" s="7">
        <v>0.6</v>
      </c>
      <c r="M629" s="7">
        <v>0.6</v>
      </c>
      <c r="N629" s="7">
        <v>0.6</v>
      </c>
      <c r="O629" s="7">
        <v>0.6</v>
      </c>
      <c r="P629" s="7">
        <v>0.6</v>
      </c>
      <c r="Q629" s="7">
        <v>0.6</v>
      </c>
    </row>
    <row r="630" spans="1:17">
      <c r="A630" s="2">
        <v>2578</v>
      </c>
      <c r="B630" s="7">
        <v>0.6</v>
      </c>
      <c r="C630" s="7">
        <v>0.6</v>
      </c>
      <c r="D630" s="7">
        <v>0.6</v>
      </c>
      <c r="E630" s="7">
        <v>0.6</v>
      </c>
      <c r="F630" s="7">
        <v>0.6</v>
      </c>
      <c r="G630" s="7">
        <v>0.6</v>
      </c>
      <c r="H630" s="7">
        <v>0.6</v>
      </c>
      <c r="I630" s="7">
        <v>0.6</v>
      </c>
      <c r="J630" s="7">
        <v>0.6</v>
      </c>
      <c r="K630" s="7">
        <v>0.6</v>
      </c>
      <c r="L630" s="7">
        <v>0.6</v>
      </c>
      <c r="M630" s="7">
        <v>0.6</v>
      </c>
      <c r="N630" s="7">
        <v>0.6</v>
      </c>
      <c r="O630" s="7">
        <v>0.6</v>
      </c>
      <c r="P630" s="7">
        <v>0.6</v>
      </c>
      <c r="Q630" s="7">
        <v>0.6</v>
      </c>
    </row>
    <row r="631" spans="1:17">
      <c r="A631" s="2">
        <v>2579</v>
      </c>
      <c r="B631" s="7">
        <v>0.6</v>
      </c>
      <c r="C631" s="7">
        <v>0.6</v>
      </c>
      <c r="D631" s="7">
        <v>0.6</v>
      </c>
      <c r="E631" s="7">
        <v>0.6</v>
      </c>
      <c r="F631" s="7">
        <v>0.6</v>
      </c>
      <c r="G631" s="7">
        <v>0.6</v>
      </c>
      <c r="H631" s="7">
        <v>0.6</v>
      </c>
      <c r="I631" s="7">
        <v>0.6</v>
      </c>
      <c r="J631" s="7">
        <v>0.6</v>
      </c>
      <c r="K631" s="7">
        <v>0.6</v>
      </c>
      <c r="L631" s="7">
        <v>0.6</v>
      </c>
      <c r="M631" s="7">
        <v>0.6</v>
      </c>
      <c r="N631" s="7">
        <v>0.6</v>
      </c>
      <c r="O631" s="7">
        <v>0.6</v>
      </c>
      <c r="P631" s="7">
        <v>0.6</v>
      </c>
      <c r="Q631" s="7">
        <v>0.6</v>
      </c>
    </row>
    <row r="632" spans="1:17">
      <c r="A632" s="2">
        <v>2580</v>
      </c>
      <c r="B632" s="7">
        <v>0.6</v>
      </c>
      <c r="C632" s="7">
        <v>0.6</v>
      </c>
      <c r="D632" s="7">
        <v>0.6</v>
      </c>
      <c r="E632" s="7">
        <v>0.6</v>
      </c>
      <c r="F632" s="7">
        <v>0.6</v>
      </c>
      <c r="G632" s="7">
        <v>0.6</v>
      </c>
      <c r="H632" s="7">
        <v>0.6</v>
      </c>
      <c r="I632" s="7">
        <v>0.6</v>
      </c>
      <c r="J632" s="7">
        <v>0.6</v>
      </c>
      <c r="K632" s="7">
        <v>0.6</v>
      </c>
      <c r="L632" s="7">
        <v>0.6</v>
      </c>
      <c r="M632" s="7">
        <v>0.6</v>
      </c>
      <c r="N632" s="7">
        <v>0.6</v>
      </c>
      <c r="O632" s="7">
        <v>0.6</v>
      </c>
      <c r="P632" s="7">
        <v>0.6</v>
      </c>
      <c r="Q632" s="7">
        <v>0.6</v>
      </c>
    </row>
    <row r="633" spans="1:17">
      <c r="A633" s="2">
        <v>2581</v>
      </c>
      <c r="B633" s="7">
        <v>0.6</v>
      </c>
      <c r="C633" s="7">
        <v>0.6</v>
      </c>
      <c r="D633" s="7">
        <v>0.6</v>
      </c>
      <c r="E633" s="7">
        <v>0.6</v>
      </c>
      <c r="F633" s="7">
        <v>0.6</v>
      </c>
      <c r="G633" s="7">
        <v>0.6</v>
      </c>
      <c r="H633" s="7">
        <v>0.6</v>
      </c>
      <c r="I633" s="7">
        <v>0.6</v>
      </c>
      <c r="J633" s="7">
        <v>0.6</v>
      </c>
      <c r="K633" s="7">
        <v>0.6</v>
      </c>
      <c r="L633" s="7">
        <v>0.6</v>
      </c>
      <c r="M633" s="7">
        <v>0.6</v>
      </c>
      <c r="N633" s="7">
        <v>0.6</v>
      </c>
      <c r="O633" s="7">
        <v>0.6</v>
      </c>
      <c r="P633" s="7">
        <v>0.6</v>
      </c>
      <c r="Q633" s="7">
        <v>0.6</v>
      </c>
    </row>
    <row r="634" spans="1:17">
      <c r="A634" s="2">
        <v>2582</v>
      </c>
      <c r="B634" s="7">
        <v>0.6</v>
      </c>
      <c r="C634" s="7">
        <v>0.6</v>
      </c>
      <c r="D634" s="7">
        <v>0.6</v>
      </c>
      <c r="E634" s="7">
        <v>0.6</v>
      </c>
      <c r="F634" s="7">
        <v>0.6</v>
      </c>
      <c r="G634" s="7">
        <v>0.6</v>
      </c>
      <c r="H634" s="7">
        <v>0.6</v>
      </c>
      <c r="I634" s="7">
        <v>0.6</v>
      </c>
      <c r="J634" s="7">
        <v>0.6</v>
      </c>
      <c r="K634" s="7">
        <v>0.6</v>
      </c>
      <c r="L634" s="7">
        <v>0.6</v>
      </c>
      <c r="M634" s="7">
        <v>0.6</v>
      </c>
      <c r="N634" s="7">
        <v>0.6</v>
      </c>
      <c r="O634" s="7">
        <v>0.6</v>
      </c>
      <c r="P634" s="7">
        <v>0.6</v>
      </c>
      <c r="Q634" s="7">
        <v>0.6</v>
      </c>
    </row>
    <row r="635" spans="1:17">
      <c r="A635" s="2">
        <v>2583</v>
      </c>
      <c r="B635" s="7">
        <v>0.6</v>
      </c>
      <c r="C635" s="7">
        <v>0.6</v>
      </c>
      <c r="D635" s="7">
        <v>0.6</v>
      </c>
      <c r="E635" s="7">
        <v>0.6</v>
      </c>
      <c r="F635" s="7">
        <v>0.6</v>
      </c>
      <c r="G635" s="7">
        <v>0.6</v>
      </c>
      <c r="H635" s="7">
        <v>0.6</v>
      </c>
      <c r="I635" s="7">
        <v>0.6</v>
      </c>
      <c r="J635" s="7">
        <v>0.6</v>
      </c>
      <c r="K635" s="7">
        <v>0.6</v>
      </c>
      <c r="L635" s="7">
        <v>0.6</v>
      </c>
      <c r="M635" s="7">
        <v>0.6</v>
      </c>
      <c r="N635" s="7">
        <v>0.6</v>
      </c>
      <c r="O635" s="7">
        <v>0.6</v>
      </c>
      <c r="P635" s="7">
        <v>0.6</v>
      </c>
      <c r="Q635" s="7">
        <v>0.6</v>
      </c>
    </row>
    <row r="636" spans="1:17">
      <c r="A636" s="2">
        <v>2584</v>
      </c>
      <c r="B636" s="7">
        <v>0.6</v>
      </c>
      <c r="C636" s="7">
        <v>0.6</v>
      </c>
      <c r="D636" s="7">
        <v>0.6</v>
      </c>
      <c r="E636" s="7">
        <v>0.6</v>
      </c>
      <c r="F636" s="7">
        <v>0.6</v>
      </c>
      <c r="G636" s="7">
        <v>0.6</v>
      </c>
      <c r="H636" s="7">
        <v>0.6</v>
      </c>
      <c r="I636" s="7">
        <v>0.6</v>
      </c>
      <c r="J636" s="7">
        <v>0.6</v>
      </c>
      <c r="K636" s="7">
        <v>0.6</v>
      </c>
      <c r="L636" s="7">
        <v>0.6</v>
      </c>
      <c r="M636" s="7">
        <v>0.6</v>
      </c>
      <c r="N636" s="7">
        <v>0.6</v>
      </c>
      <c r="O636" s="7">
        <v>0.6</v>
      </c>
      <c r="P636" s="7">
        <v>0.6</v>
      </c>
      <c r="Q636" s="7">
        <v>0.6</v>
      </c>
    </row>
    <row r="637" spans="1:17">
      <c r="A637" s="2">
        <v>2585</v>
      </c>
      <c r="B637" s="7">
        <v>0.6</v>
      </c>
      <c r="C637" s="7">
        <v>0.6</v>
      </c>
      <c r="D637" s="7">
        <v>0.6</v>
      </c>
      <c r="E637" s="7">
        <v>0.6</v>
      </c>
      <c r="F637" s="7">
        <v>0.6</v>
      </c>
      <c r="G637" s="7">
        <v>0.6</v>
      </c>
      <c r="H637" s="7">
        <v>0.6</v>
      </c>
      <c r="I637" s="7">
        <v>0.6</v>
      </c>
      <c r="J637" s="7">
        <v>0.6</v>
      </c>
      <c r="K637" s="7">
        <v>0.6</v>
      </c>
      <c r="L637" s="7">
        <v>0.6</v>
      </c>
      <c r="M637" s="7">
        <v>0.6</v>
      </c>
      <c r="N637" s="7">
        <v>0.6</v>
      </c>
      <c r="O637" s="7">
        <v>0.6</v>
      </c>
      <c r="P637" s="7">
        <v>0.6</v>
      </c>
      <c r="Q637" s="7">
        <v>0.6</v>
      </c>
    </row>
    <row r="638" spans="1:17">
      <c r="A638" s="2">
        <v>2586</v>
      </c>
      <c r="B638" s="7">
        <v>0.6</v>
      </c>
      <c r="C638" s="7">
        <v>0.6</v>
      </c>
      <c r="D638" s="7">
        <v>0.6</v>
      </c>
      <c r="E638" s="7">
        <v>0.6</v>
      </c>
      <c r="F638" s="7">
        <v>0.6</v>
      </c>
      <c r="G638" s="7">
        <v>0.6</v>
      </c>
      <c r="H638" s="7">
        <v>0.6</v>
      </c>
      <c r="I638" s="7">
        <v>0.6</v>
      </c>
      <c r="J638" s="7">
        <v>0.6</v>
      </c>
      <c r="K638" s="7">
        <v>0.6</v>
      </c>
      <c r="L638" s="7">
        <v>0.6</v>
      </c>
      <c r="M638" s="7">
        <v>0.6</v>
      </c>
      <c r="N638" s="7">
        <v>0.6</v>
      </c>
      <c r="O638" s="7">
        <v>0.6</v>
      </c>
      <c r="P638" s="7">
        <v>0.6</v>
      </c>
      <c r="Q638" s="7">
        <v>0.6</v>
      </c>
    </row>
    <row r="639" spans="1:17">
      <c r="A639" s="2">
        <v>2587</v>
      </c>
      <c r="B639" s="7">
        <v>0.6</v>
      </c>
      <c r="C639" s="7">
        <v>0.6</v>
      </c>
      <c r="D639" s="7">
        <v>0.6</v>
      </c>
      <c r="E639" s="7">
        <v>0.6</v>
      </c>
      <c r="F639" s="7">
        <v>0.6</v>
      </c>
      <c r="G639" s="7">
        <v>0.6</v>
      </c>
      <c r="H639" s="7">
        <v>0.6</v>
      </c>
      <c r="I639" s="7">
        <v>0.6</v>
      </c>
      <c r="J639" s="7">
        <v>0.6</v>
      </c>
      <c r="K639" s="7">
        <v>0.6</v>
      </c>
      <c r="L639" s="7">
        <v>0.6</v>
      </c>
      <c r="M639" s="7">
        <v>0.6</v>
      </c>
      <c r="N639" s="7">
        <v>0.6</v>
      </c>
      <c r="O639" s="7">
        <v>0.6</v>
      </c>
      <c r="P639" s="7">
        <v>0.6</v>
      </c>
      <c r="Q639" s="7">
        <v>0.6</v>
      </c>
    </row>
    <row r="640" spans="1:17">
      <c r="A640" s="2">
        <v>2588</v>
      </c>
      <c r="B640" s="7">
        <v>0.6</v>
      </c>
      <c r="C640" s="7">
        <v>0.6</v>
      </c>
      <c r="D640" s="7">
        <v>0.6</v>
      </c>
      <c r="E640" s="7">
        <v>0.6</v>
      </c>
      <c r="F640" s="7">
        <v>0.6</v>
      </c>
      <c r="G640" s="7">
        <v>0.6</v>
      </c>
      <c r="H640" s="7">
        <v>0.6</v>
      </c>
      <c r="I640" s="7">
        <v>0.6</v>
      </c>
      <c r="J640" s="7">
        <v>0.6</v>
      </c>
      <c r="K640" s="7">
        <v>0.6</v>
      </c>
      <c r="L640" s="7">
        <v>0.6</v>
      </c>
      <c r="M640" s="7">
        <v>0.6</v>
      </c>
      <c r="N640" s="7">
        <v>0.6</v>
      </c>
      <c r="O640" s="7">
        <v>0.6</v>
      </c>
      <c r="P640" s="7">
        <v>0.6</v>
      </c>
      <c r="Q640" s="7">
        <v>0.6</v>
      </c>
    </row>
    <row r="641" spans="1:17">
      <c r="A641" s="2">
        <v>2589</v>
      </c>
      <c r="B641" s="7">
        <v>0.6</v>
      </c>
      <c r="C641" s="7">
        <v>0.6</v>
      </c>
      <c r="D641" s="7">
        <v>0.6</v>
      </c>
      <c r="E641" s="7">
        <v>0.6</v>
      </c>
      <c r="F641" s="7">
        <v>0.6</v>
      </c>
      <c r="G641" s="7">
        <v>0.6</v>
      </c>
      <c r="H641" s="7">
        <v>0.6</v>
      </c>
      <c r="I641" s="7">
        <v>0.6</v>
      </c>
      <c r="J641" s="7">
        <v>0.6</v>
      </c>
      <c r="K641" s="7">
        <v>0.6</v>
      </c>
      <c r="L641" s="7">
        <v>0.6</v>
      </c>
      <c r="M641" s="7">
        <v>0.6</v>
      </c>
      <c r="N641" s="7">
        <v>0.6</v>
      </c>
      <c r="O641" s="7">
        <v>0.6</v>
      </c>
      <c r="P641" s="7">
        <v>0.6</v>
      </c>
      <c r="Q641" s="7">
        <v>0.6</v>
      </c>
    </row>
    <row r="642" spans="1:17">
      <c r="A642" s="2">
        <v>2590</v>
      </c>
      <c r="B642" s="7">
        <v>0.6</v>
      </c>
      <c r="C642" s="7">
        <v>0.6</v>
      </c>
      <c r="D642" s="7">
        <v>0.6</v>
      </c>
      <c r="E642" s="7">
        <v>0.6</v>
      </c>
      <c r="F642" s="7">
        <v>0.6</v>
      </c>
      <c r="G642" s="7">
        <v>0.6</v>
      </c>
      <c r="H642" s="7">
        <v>0.6</v>
      </c>
      <c r="I642" s="7">
        <v>0.6</v>
      </c>
      <c r="J642" s="7">
        <v>0.6</v>
      </c>
      <c r="K642" s="7">
        <v>0.6</v>
      </c>
      <c r="L642" s="7">
        <v>0.6</v>
      </c>
      <c r="M642" s="7">
        <v>0.6</v>
      </c>
      <c r="N642" s="7">
        <v>0.6</v>
      </c>
      <c r="O642" s="7">
        <v>0.6</v>
      </c>
      <c r="P642" s="7">
        <v>0.6</v>
      </c>
      <c r="Q642" s="7">
        <v>0.6</v>
      </c>
    </row>
    <row r="643" spans="1:17">
      <c r="A643" s="2">
        <v>2591</v>
      </c>
      <c r="B643" s="7">
        <v>0.6</v>
      </c>
      <c r="C643" s="7">
        <v>0.6</v>
      </c>
      <c r="D643" s="7">
        <v>0.6</v>
      </c>
      <c r="E643" s="7">
        <v>0.6</v>
      </c>
      <c r="F643" s="7">
        <v>0.6</v>
      </c>
      <c r="G643" s="7">
        <v>0.6</v>
      </c>
      <c r="H643" s="7">
        <v>0.6</v>
      </c>
      <c r="I643" s="7">
        <v>0.6</v>
      </c>
      <c r="J643" s="7">
        <v>0.6</v>
      </c>
      <c r="K643" s="7">
        <v>0.6</v>
      </c>
      <c r="L643" s="7">
        <v>0.6</v>
      </c>
      <c r="M643" s="7">
        <v>0.6</v>
      </c>
      <c r="N643" s="7">
        <v>0.6</v>
      </c>
      <c r="O643" s="7">
        <v>0.6</v>
      </c>
      <c r="P643" s="7">
        <v>0.6</v>
      </c>
      <c r="Q643" s="7">
        <v>0.6</v>
      </c>
    </row>
    <row r="644" spans="1:17">
      <c r="A644" s="2">
        <v>2592</v>
      </c>
      <c r="B644" s="7">
        <v>0.6</v>
      </c>
      <c r="C644" s="7">
        <v>0.6</v>
      </c>
      <c r="D644" s="7">
        <v>0.6</v>
      </c>
      <c r="E644" s="7">
        <v>0.6</v>
      </c>
      <c r="F644" s="7">
        <v>0.6</v>
      </c>
      <c r="G644" s="7">
        <v>0.6</v>
      </c>
      <c r="H644" s="7">
        <v>0.6</v>
      </c>
      <c r="I644" s="7">
        <v>0.6</v>
      </c>
      <c r="J644" s="7">
        <v>0.6</v>
      </c>
      <c r="K644" s="7">
        <v>0.6</v>
      </c>
      <c r="L644" s="7">
        <v>0.6</v>
      </c>
      <c r="M644" s="7">
        <v>0.6</v>
      </c>
      <c r="N644" s="7">
        <v>0.6</v>
      </c>
      <c r="O644" s="7">
        <v>0.6</v>
      </c>
      <c r="P644" s="7">
        <v>0.6</v>
      </c>
      <c r="Q644" s="7">
        <v>0.6</v>
      </c>
    </row>
    <row r="645" spans="1:17">
      <c r="A645" s="2">
        <v>2593</v>
      </c>
      <c r="B645" s="7">
        <v>0.6</v>
      </c>
      <c r="C645" s="7">
        <v>0.6</v>
      </c>
      <c r="D645" s="7">
        <v>0.6</v>
      </c>
      <c r="E645" s="7">
        <v>0.6</v>
      </c>
      <c r="F645" s="7">
        <v>0.6</v>
      </c>
      <c r="G645" s="7">
        <v>0.6</v>
      </c>
      <c r="H645" s="7">
        <v>0.6</v>
      </c>
      <c r="I645" s="7">
        <v>0.6</v>
      </c>
      <c r="J645" s="7">
        <v>0.6</v>
      </c>
      <c r="K645" s="7">
        <v>0.6</v>
      </c>
      <c r="L645" s="7">
        <v>0.6</v>
      </c>
      <c r="M645" s="7">
        <v>0.6</v>
      </c>
      <c r="N645" s="7">
        <v>0.6</v>
      </c>
      <c r="O645" s="7">
        <v>0.6</v>
      </c>
      <c r="P645" s="7">
        <v>0.6</v>
      </c>
      <c r="Q645" s="7">
        <v>0.6</v>
      </c>
    </row>
    <row r="646" spans="1:17">
      <c r="A646" s="2">
        <v>2594</v>
      </c>
      <c r="B646" s="7">
        <v>0.6</v>
      </c>
      <c r="C646" s="7">
        <v>0.6</v>
      </c>
      <c r="D646" s="7">
        <v>0.6</v>
      </c>
      <c r="E646" s="7">
        <v>0.6</v>
      </c>
      <c r="F646" s="7">
        <v>0.6</v>
      </c>
      <c r="G646" s="7">
        <v>0.6</v>
      </c>
      <c r="H646" s="7">
        <v>0.6</v>
      </c>
      <c r="I646" s="7">
        <v>0.6</v>
      </c>
      <c r="J646" s="7">
        <v>0.6</v>
      </c>
      <c r="K646" s="7">
        <v>0.6</v>
      </c>
      <c r="L646" s="7">
        <v>0.6</v>
      </c>
      <c r="M646" s="7">
        <v>0.6</v>
      </c>
      <c r="N646" s="7">
        <v>0.6</v>
      </c>
      <c r="O646" s="7">
        <v>0.6</v>
      </c>
      <c r="P646" s="7">
        <v>0.6</v>
      </c>
      <c r="Q646" s="7">
        <v>0.6</v>
      </c>
    </row>
    <row r="647" spans="1:17">
      <c r="A647" s="2">
        <v>2595</v>
      </c>
      <c r="B647" s="7">
        <v>0.6</v>
      </c>
      <c r="C647" s="7">
        <v>0.6</v>
      </c>
      <c r="D647" s="7">
        <v>0.6</v>
      </c>
      <c r="E647" s="7">
        <v>0.6</v>
      </c>
      <c r="F647" s="7">
        <v>0.6</v>
      </c>
      <c r="G647" s="7">
        <v>0.6</v>
      </c>
      <c r="H647" s="7">
        <v>0.6</v>
      </c>
      <c r="I647" s="7">
        <v>0.6</v>
      </c>
      <c r="J647" s="7">
        <v>0.6</v>
      </c>
      <c r="K647" s="7">
        <v>0.6</v>
      </c>
      <c r="L647" s="7">
        <v>0.6</v>
      </c>
      <c r="M647" s="7">
        <v>0.6</v>
      </c>
      <c r="N647" s="7">
        <v>0.6</v>
      </c>
      <c r="O647" s="7">
        <v>0.6</v>
      </c>
      <c r="P647" s="7">
        <v>0.6</v>
      </c>
      <c r="Q647" s="7">
        <v>0.6</v>
      </c>
    </row>
    <row r="648" spans="1:17">
      <c r="A648" s="2">
        <v>2596</v>
      </c>
      <c r="B648" s="7">
        <v>0.6</v>
      </c>
      <c r="C648" s="7">
        <v>0.6</v>
      </c>
      <c r="D648" s="7">
        <v>0.6</v>
      </c>
      <c r="E648" s="7">
        <v>0.6</v>
      </c>
      <c r="F648" s="7">
        <v>0.6</v>
      </c>
      <c r="G648" s="7">
        <v>0.6</v>
      </c>
      <c r="H648" s="7">
        <v>0.6</v>
      </c>
      <c r="I648" s="7">
        <v>0.6</v>
      </c>
      <c r="J648" s="7">
        <v>0.6</v>
      </c>
      <c r="K648" s="7">
        <v>0.6</v>
      </c>
      <c r="L648" s="7">
        <v>0.6</v>
      </c>
      <c r="M648" s="7">
        <v>0.6</v>
      </c>
      <c r="N648" s="7">
        <v>0.6</v>
      </c>
      <c r="O648" s="7">
        <v>0.6</v>
      </c>
      <c r="P648" s="7">
        <v>0.6</v>
      </c>
      <c r="Q648" s="7">
        <v>0.6</v>
      </c>
    </row>
    <row r="649" spans="1:17">
      <c r="A649" s="2">
        <v>2597</v>
      </c>
      <c r="B649" s="7">
        <v>0.6</v>
      </c>
      <c r="C649" s="7">
        <v>0.6</v>
      </c>
      <c r="D649" s="7">
        <v>0.6</v>
      </c>
      <c r="E649" s="7">
        <v>0.6</v>
      </c>
      <c r="F649" s="7">
        <v>0.6</v>
      </c>
      <c r="G649" s="7">
        <v>0.6</v>
      </c>
      <c r="H649" s="7">
        <v>0.6</v>
      </c>
      <c r="I649" s="7">
        <v>0.6</v>
      </c>
      <c r="J649" s="7">
        <v>0.6</v>
      </c>
      <c r="K649" s="7">
        <v>0.6</v>
      </c>
      <c r="L649" s="7">
        <v>0.6</v>
      </c>
      <c r="M649" s="7">
        <v>0.6</v>
      </c>
      <c r="N649" s="7">
        <v>0.6</v>
      </c>
      <c r="O649" s="7">
        <v>0.6</v>
      </c>
      <c r="P649" s="7">
        <v>0.6</v>
      </c>
      <c r="Q649" s="7">
        <v>0.6</v>
      </c>
    </row>
    <row r="650" spans="1:17">
      <c r="A650" s="2">
        <v>2598</v>
      </c>
      <c r="B650" s="7">
        <v>0.6</v>
      </c>
      <c r="C650" s="7">
        <v>0.6</v>
      </c>
      <c r="D650" s="7">
        <v>0.6</v>
      </c>
      <c r="E650" s="7">
        <v>0.6</v>
      </c>
      <c r="F650" s="7">
        <v>0.6</v>
      </c>
      <c r="G650" s="7">
        <v>0.6</v>
      </c>
      <c r="H650" s="7">
        <v>0.6</v>
      </c>
      <c r="I650" s="7">
        <v>0.6</v>
      </c>
      <c r="J650" s="7">
        <v>0.6</v>
      </c>
      <c r="K650" s="7">
        <v>0.6</v>
      </c>
      <c r="L650" s="7">
        <v>0.6</v>
      </c>
      <c r="M650" s="7">
        <v>0.6</v>
      </c>
      <c r="N650" s="7">
        <v>0.6</v>
      </c>
      <c r="O650" s="7">
        <v>0.6</v>
      </c>
      <c r="P650" s="7">
        <v>0.6</v>
      </c>
      <c r="Q650" s="7">
        <v>0.6</v>
      </c>
    </row>
    <row r="651" spans="1:17">
      <c r="A651" s="2">
        <v>2599</v>
      </c>
      <c r="B651" s="7">
        <v>0.6</v>
      </c>
      <c r="C651" s="7">
        <v>0.6</v>
      </c>
      <c r="D651" s="7">
        <v>0.6</v>
      </c>
      <c r="E651" s="7">
        <v>0.6</v>
      </c>
      <c r="F651" s="7">
        <v>0.6</v>
      </c>
      <c r="G651" s="7">
        <v>0.6</v>
      </c>
      <c r="H651" s="7">
        <v>0.6</v>
      </c>
      <c r="I651" s="7">
        <v>0.6</v>
      </c>
      <c r="J651" s="7">
        <v>0.6</v>
      </c>
      <c r="K651" s="7">
        <v>0.6</v>
      </c>
      <c r="L651" s="7">
        <v>0.6</v>
      </c>
      <c r="M651" s="7">
        <v>0.6</v>
      </c>
      <c r="N651" s="7">
        <v>0.6</v>
      </c>
      <c r="O651" s="7">
        <v>0.6</v>
      </c>
      <c r="P651" s="7">
        <v>0.6</v>
      </c>
      <c r="Q651" s="7">
        <v>0.6</v>
      </c>
    </row>
    <row r="652" spans="1:17">
      <c r="A652" s="2">
        <v>2600</v>
      </c>
      <c r="B652" s="7">
        <v>0.6</v>
      </c>
      <c r="C652" s="7">
        <v>0.6</v>
      </c>
      <c r="D652" s="7">
        <v>0.6</v>
      </c>
      <c r="E652" s="7">
        <v>0.6</v>
      </c>
      <c r="F652" s="7">
        <v>0.6</v>
      </c>
      <c r="G652" s="7">
        <v>0.6</v>
      </c>
      <c r="H652" s="7">
        <v>0.6</v>
      </c>
      <c r="I652" s="7">
        <v>0.6</v>
      </c>
      <c r="J652" s="7">
        <v>0.6</v>
      </c>
      <c r="K652" s="7">
        <v>0.6</v>
      </c>
      <c r="L652" s="7">
        <v>0.6</v>
      </c>
      <c r="M652" s="7">
        <v>0.6</v>
      </c>
      <c r="N652" s="7">
        <v>0.6</v>
      </c>
      <c r="O652" s="7">
        <v>0.6</v>
      </c>
      <c r="P652" s="7">
        <v>0.6</v>
      </c>
      <c r="Q652" s="7">
        <v>0.6</v>
      </c>
    </row>
    <row r="653" spans="1:17">
      <c r="A653" s="2">
        <v>2601</v>
      </c>
      <c r="B653" s="7">
        <v>0.6</v>
      </c>
      <c r="C653" s="7">
        <v>0.6</v>
      </c>
      <c r="D653" s="7">
        <v>0.6</v>
      </c>
      <c r="E653" s="7">
        <v>0.6</v>
      </c>
      <c r="F653" s="7">
        <v>0.6</v>
      </c>
      <c r="G653" s="7">
        <v>0.6</v>
      </c>
      <c r="H653" s="7">
        <v>0.6</v>
      </c>
      <c r="I653" s="7">
        <v>0.6</v>
      </c>
      <c r="J653" s="7">
        <v>0.6</v>
      </c>
      <c r="K653" s="7">
        <v>0.6</v>
      </c>
      <c r="L653" s="7">
        <v>0.6</v>
      </c>
      <c r="M653" s="7">
        <v>0.6</v>
      </c>
      <c r="N653" s="7">
        <v>0.6</v>
      </c>
      <c r="O653" s="7">
        <v>0.6</v>
      </c>
      <c r="P653" s="7">
        <v>0.6</v>
      </c>
      <c r="Q653" s="7">
        <v>0.6</v>
      </c>
    </row>
    <row r="654" spans="1:17">
      <c r="A654" s="2">
        <v>2602</v>
      </c>
      <c r="B654" s="7">
        <v>0.6</v>
      </c>
      <c r="C654" s="7">
        <v>0.6</v>
      </c>
      <c r="D654" s="7">
        <v>0.6</v>
      </c>
      <c r="E654" s="7">
        <v>0.6</v>
      </c>
      <c r="F654" s="7">
        <v>0.6</v>
      </c>
      <c r="G654" s="7">
        <v>0.6</v>
      </c>
      <c r="H654" s="7">
        <v>0.6</v>
      </c>
      <c r="I654" s="7">
        <v>0.6</v>
      </c>
      <c r="J654" s="7">
        <v>0.6</v>
      </c>
      <c r="K654" s="7">
        <v>0.6</v>
      </c>
      <c r="L654" s="7">
        <v>0.6</v>
      </c>
      <c r="M654" s="7">
        <v>0.6</v>
      </c>
      <c r="N654" s="7">
        <v>0.6</v>
      </c>
      <c r="O654" s="7">
        <v>0.6</v>
      </c>
      <c r="P654" s="7">
        <v>0.6</v>
      </c>
      <c r="Q654" s="7">
        <v>0.6</v>
      </c>
    </row>
    <row r="655" spans="1:17">
      <c r="A655" s="2">
        <v>2603</v>
      </c>
      <c r="B655" s="7">
        <v>0.6</v>
      </c>
      <c r="C655" s="7">
        <v>0.6</v>
      </c>
      <c r="D655" s="7">
        <v>0.6</v>
      </c>
      <c r="E655" s="7">
        <v>0.6</v>
      </c>
      <c r="F655" s="7">
        <v>0.6</v>
      </c>
      <c r="G655" s="7">
        <v>0.6</v>
      </c>
      <c r="H655" s="7">
        <v>0.6</v>
      </c>
      <c r="I655" s="7">
        <v>0.6</v>
      </c>
      <c r="J655" s="7">
        <v>0.6</v>
      </c>
      <c r="K655" s="7">
        <v>0.6</v>
      </c>
      <c r="L655" s="7">
        <v>0.6</v>
      </c>
      <c r="M655" s="7">
        <v>0.6</v>
      </c>
      <c r="N655" s="7">
        <v>0.6</v>
      </c>
      <c r="O655" s="7">
        <v>0.6</v>
      </c>
      <c r="P655" s="7">
        <v>0.6</v>
      </c>
      <c r="Q655" s="7">
        <v>0.6</v>
      </c>
    </row>
    <row r="656" spans="1:17">
      <c r="A656" s="2">
        <v>2604</v>
      </c>
      <c r="B656" s="7">
        <v>0.6</v>
      </c>
      <c r="C656" s="7">
        <v>0.6</v>
      </c>
      <c r="D656" s="7">
        <v>0.6</v>
      </c>
      <c r="E656" s="7">
        <v>0.6</v>
      </c>
      <c r="F656" s="7">
        <v>0.6</v>
      </c>
      <c r="G656" s="7">
        <v>0.6</v>
      </c>
      <c r="H656" s="7">
        <v>0.6</v>
      </c>
      <c r="I656" s="7">
        <v>0.6</v>
      </c>
      <c r="J656" s="7">
        <v>0.6</v>
      </c>
      <c r="K656" s="7">
        <v>0.6</v>
      </c>
      <c r="L656" s="7">
        <v>0.6</v>
      </c>
      <c r="M656" s="7">
        <v>0.6</v>
      </c>
      <c r="N656" s="7">
        <v>0.6</v>
      </c>
      <c r="O656" s="7">
        <v>0.6</v>
      </c>
      <c r="P656" s="7">
        <v>0.6</v>
      </c>
      <c r="Q656" s="7">
        <v>0.6</v>
      </c>
    </row>
    <row r="657" spans="1:17">
      <c r="A657" s="2">
        <v>2605</v>
      </c>
      <c r="B657" s="7">
        <v>0.6</v>
      </c>
      <c r="C657" s="7">
        <v>0.6</v>
      </c>
      <c r="D657" s="7">
        <v>0.6</v>
      </c>
      <c r="E657" s="7">
        <v>0.6</v>
      </c>
      <c r="F657" s="7">
        <v>0.6</v>
      </c>
      <c r="G657" s="7">
        <v>0.6</v>
      </c>
      <c r="H657" s="7">
        <v>0.6</v>
      </c>
      <c r="I657" s="7">
        <v>0.6</v>
      </c>
      <c r="J657" s="7">
        <v>0.6</v>
      </c>
      <c r="K657" s="7">
        <v>0.6</v>
      </c>
      <c r="L657" s="7">
        <v>0.6</v>
      </c>
      <c r="M657" s="7">
        <v>0.6</v>
      </c>
      <c r="N657" s="7">
        <v>0.6</v>
      </c>
      <c r="O657" s="7">
        <v>0.6</v>
      </c>
      <c r="P657" s="7">
        <v>0.6</v>
      </c>
      <c r="Q657" s="7">
        <v>0.6</v>
      </c>
    </row>
    <row r="658" spans="1:17">
      <c r="A658" s="2">
        <v>2606</v>
      </c>
      <c r="B658" s="7">
        <v>0.6</v>
      </c>
      <c r="C658" s="7">
        <v>0.6</v>
      </c>
      <c r="D658" s="7">
        <v>0.6</v>
      </c>
      <c r="E658" s="7">
        <v>0.6</v>
      </c>
      <c r="F658" s="7">
        <v>0.6</v>
      </c>
      <c r="G658" s="7">
        <v>0.6</v>
      </c>
      <c r="H658" s="7">
        <v>0.6</v>
      </c>
      <c r="I658" s="7">
        <v>0.6</v>
      </c>
      <c r="J658" s="7">
        <v>0.6</v>
      </c>
      <c r="K658" s="7">
        <v>0.6</v>
      </c>
      <c r="L658" s="7">
        <v>0.6</v>
      </c>
      <c r="M658" s="7">
        <v>0.6</v>
      </c>
      <c r="N658" s="7">
        <v>0.6</v>
      </c>
      <c r="O658" s="7">
        <v>0.6</v>
      </c>
      <c r="P658" s="7">
        <v>0.6</v>
      </c>
      <c r="Q658" s="7">
        <v>0.6</v>
      </c>
    </row>
    <row r="659" spans="1:17">
      <c r="A659" s="2">
        <v>2607</v>
      </c>
      <c r="B659" s="7">
        <v>0.6</v>
      </c>
      <c r="C659" s="7">
        <v>0.6</v>
      </c>
      <c r="D659" s="7">
        <v>0.6</v>
      </c>
      <c r="E659" s="7">
        <v>0.6</v>
      </c>
      <c r="F659" s="7">
        <v>0.6</v>
      </c>
      <c r="G659" s="7">
        <v>0.6</v>
      </c>
      <c r="H659" s="7">
        <v>0.6</v>
      </c>
      <c r="I659" s="7">
        <v>0.6</v>
      </c>
      <c r="J659" s="7">
        <v>0.6</v>
      </c>
      <c r="K659" s="7">
        <v>0.6</v>
      </c>
      <c r="L659" s="7">
        <v>0.6</v>
      </c>
      <c r="M659" s="7">
        <v>0.6</v>
      </c>
      <c r="N659" s="7">
        <v>0.6</v>
      </c>
      <c r="O659" s="7">
        <v>0.6</v>
      </c>
      <c r="P659" s="7">
        <v>0.6</v>
      </c>
      <c r="Q659" s="7">
        <v>0.6</v>
      </c>
    </row>
    <row r="660" spans="1:17">
      <c r="A660" s="2">
        <v>2608</v>
      </c>
      <c r="B660" s="7">
        <v>0.6</v>
      </c>
      <c r="C660" s="7">
        <v>0.6</v>
      </c>
      <c r="D660" s="7">
        <v>0.6</v>
      </c>
      <c r="E660" s="7">
        <v>0.6</v>
      </c>
      <c r="F660" s="7">
        <v>0.6</v>
      </c>
      <c r="G660" s="7">
        <v>0.6</v>
      </c>
      <c r="H660" s="7">
        <v>0.6</v>
      </c>
      <c r="I660" s="7">
        <v>0.6</v>
      </c>
      <c r="J660" s="7">
        <v>0.6</v>
      </c>
      <c r="K660" s="7">
        <v>0.6</v>
      </c>
      <c r="L660" s="7">
        <v>0.6</v>
      </c>
      <c r="M660" s="7">
        <v>0.6</v>
      </c>
      <c r="N660" s="7">
        <v>0.6</v>
      </c>
      <c r="O660" s="7">
        <v>0.6</v>
      </c>
      <c r="P660" s="7">
        <v>0.6</v>
      </c>
      <c r="Q660" s="7">
        <v>0.6</v>
      </c>
    </row>
    <row r="661" spans="1:17">
      <c r="A661" s="2">
        <v>2609</v>
      </c>
      <c r="B661" s="7">
        <v>0.6</v>
      </c>
      <c r="C661" s="7">
        <v>0.6</v>
      </c>
      <c r="D661" s="7">
        <v>0.6</v>
      </c>
      <c r="E661" s="7">
        <v>0.6</v>
      </c>
      <c r="F661" s="7">
        <v>0.6</v>
      </c>
      <c r="G661" s="7">
        <v>0.6</v>
      </c>
      <c r="H661" s="7">
        <v>0.6</v>
      </c>
      <c r="I661" s="7">
        <v>0.6</v>
      </c>
      <c r="J661" s="7">
        <v>0.6</v>
      </c>
      <c r="K661" s="7">
        <v>0.6</v>
      </c>
      <c r="L661" s="7">
        <v>0.6</v>
      </c>
      <c r="M661" s="7">
        <v>0.6</v>
      </c>
      <c r="N661" s="7">
        <v>0.6</v>
      </c>
      <c r="O661" s="7">
        <v>0.6</v>
      </c>
      <c r="P661" s="7">
        <v>0.6</v>
      </c>
      <c r="Q661" s="7">
        <v>0.6</v>
      </c>
    </row>
    <row r="662" spans="1:17">
      <c r="A662" s="2">
        <v>2610</v>
      </c>
      <c r="B662" s="7">
        <v>0.6</v>
      </c>
      <c r="C662" s="7">
        <v>0.6</v>
      </c>
      <c r="D662" s="7">
        <v>0.6</v>
      </c>
      <c r="E662" s="7">
        <v>0.6</v>
      </c>
      <c r="F662" s="7">
        <v>0.6</v>
      </c>
      <c r="G662" s="7">
        <v>0.6</v>
      </c>
      <c r="H662" s="7">
        <v>0.6</v>
      </c>
      <c r="I662" s="7">
        <v>0.6</v>
      </c>
      <c r="J662" s="7">
        <v>0.6</v>
      </c>
      <c r="K662" s="7">
        <v>0.6</v>
      </c>
      <c r="L662" s="7">
        <v>0.6</v>
      </c>
      <c r="M662" s="7">
        <v>0.6</v>
      </c>
      <c r="N662" s="7">
        <v>0.6</v>
      </c>
      <c r="O662" s="7">
        <v>0.6</v>
      </c>
      <c r="P662" s="7">
        <v>0.6</v>
      </c>
      <c r="Q662" s="7">
        <v>0.6</v>
      </c>
    </row>
    <row r="663" spans="1:17">
      <c r="A663" s="2">
        <v>2611</v>
      </c>
      <c r="B663" s="7">
        <v>0.6</v>
      </c>
      <c r="C663" s="7">
        <v>0.6</v>
      </c>
      <c r="D663" s="7">
        <v>0.6</v>
      </c>
      <c r="E663" s="7">
        <v>0.6</v>
      </c>
      <c r="F663" s="7">
        <v>0.6</v>
      </c>
      <c r="G663" s="7">
        <v>0.6</v>
      </c>
      <c r="H663" s="7">
        <v>0.6</v>
      </c>
      <c r="I663" s="7">
        <v>0.6</v>
      </c>
      <c r="J663" s="7">
        <v>0.6</v>
      </c>
      <c r="K663" s="7">
        <v>0.6</v>
      </c>
      <c r="L663" s="7">
        <v>0.6</v>
      </c>
      <c r="M663" s="7">
        <v>0.6</v>
      </c>
      <c r="N663" s="7">
        <v>0.6</v>
      </c>
      <c r="O663" s="7">
        <v>0.6</v>
      </c>
      <c r="P663" s="7">
        <v>0.6</v>
      </c>
      <c r="Q663" s="7">
        <v>0.6</v>
      </c>
    </row>
    <row r="664" spans="1:17">
      <c r="A664" s="2">
        <v>2612</v>
      </c>
      <c r="B664" s="7">
        <v>0.6</v>
      </c>
      <c r="C664" s="7">
        <v>0.6</v>
      </c>
      <c r="D664" s="7">
        <v>0.6</v>
      </c>
      <c r="E664" s="7">
        <v>0.6</v>
      </c>
      <c r="F664" s="7">
        <v>0.6</v>
      </c>
      <c r="G664" s="7">
        <v>0.6</v>
      </c>
      <c r="H664" s="7">
        <v>0.6</v>
      </c>
      <c r="I664" s="7">
        <v>0.6</v>
      </c>
      <c r="J664" s="7">
        <v>0.6</v>
      </c>
      <c r="K664" s="7">
        <v>0.6</v>
      </c>
      <c r="L664" s="7">
        <v>0.6</v>
      </c>
      <c r="M664" s="7">
        <v>0.6</v>
      </c>
      <c r="N664" s="7">
        <v>0.6</v>
      </c>
      <c r="O664" s="7">
        <v>0.6</v>
      </c>
      <c r="P664" s="7">
        <v>0.6</v>
      </c>
      <c r="Q664" s="7">
        <v>0.6</v>
      </c>
    </row>
    <row r="665" spans="1:17">
      <c r="A665" s="2">
        <v>2613</v>
      </c>
      <c r="B665" s="7">
        <v>0.6</v>
      </c>
      <c r="C665" s="7">
        <v>0.6</v>
      </c>
      <c r="D665" s="7">
        <v>0.6</v>
      </c>
      <c r="E665" s="7">
        <v>0.6</v>
      </c>
      <c r="F665" s="7">
        <v>0.6</v>
      </c>
      <c r="G665" s="7">
        <v>0.6</v>
      </c>
      <c r="H665" s="7">
        <v>0.6</v>
      </c>
      <c r="I665" s="7">
        <v>0.6</v>
      </c>
      <c r="J665" s="7">
        <v>0.6</v>
      </c>
      <c r="K665" s="7">
        <v>0.6</v>
      </c>
      <c r="L665" s="7">
        <v>0.6</v>
      </c>
      <c r="M665" s="7">
        <v>0.6</v>
      </c>
      <c r="N665" s="7">
        <v>0.6</v>
      </c>
      <c r="O665" s="7">
        <v>0.6</v>
      </c>
      <c r="P665" s="7">
        <v>0.6</v>
      </c>
      <c r="Q665" s="7">
        <v>0.6</v>
      </c>
    </row>
    <row r="666" spans="1:17">
      <c r="A666" s="2">
        <v>2614</v>
      </c>
      <c r="B666" s="7">
        <v>0.6</v>
      </c>
      <c r="C666" s="7">
        <v>0.6</v>
      </c>
      <c r="D666" s="7">
        <v>0.6</v>
      </c>
      <c r="E666" s="7">
        <v>0.6</v>
      </c>
      <c r="F666" s="7">
        <v>0.6</v>
      </c>
      <c r="G666" s="7">
        <v>0.6</v>
      </c>
      <c r="H666" s="7">
        <v>0.6</v>
      </c>
      <c r="I666" s="7">
        <v>0.6</v>
      </c>
      <c r="J666" s="7">
        <v>0.6</v>
      </c>
      <c r="K666" s="7">
        <v>0.6</v>
      </c>
      <c r="L666" s="7">
        <v>0.6</v>
      </c>
      <c r="M666" s="7">
        <v>0.6</v>
      </c>
      <c r="N666" s="7">
        <v>0.6</v>
      </c>
      <c r="O666" s="7">
        <v>0.6</v>
      </c>
      <c r="P666" s="7">
        <v>0.6</v>
      </c>
      <c r="Q666" s="7">
        <v>0.6</v>
      </c>
    </row>
    <row r="667" spans="1:17">
      <c r="A667" s="2">
        <v>2615</v>
      </c>
      <c r="B667" s="7">
        <v>0.6</v>
      </c>
      <c r="C667" s="7">
        <v>0.6</v>
      </c>
      <c r="D667" s="7">
        <v>0.6</v>
      </c>
      <c r="E667" s="7">
        <v>0.6</v>
      </c>
      <c r="F667" s="7">
        <v>0.6</v>
      </c>
      <c r="G667" s="7">
        <v>0.6</v>
      </c>
      <c r="H667" s="7">
        <v>0.6</v>
      </c>
      <c r="I667" s="7">
        <v>0.6</v>
      </c>
      <c r="J667" s="7">
        <v>0.6</v>
      </c>
      <c r="K667" s="7">
        <v>0.6</v>
      </c>
      <c r="L667" s="7">
        <v>0.6</v>
      </c>
      <c r="M667" s="7">
        <v>0.6</v>
      </c>
      <c r="N667" s="7">
        <v>0.6</v>
      </c>
      <c r="O667" s="7">
        <v>0.6</v>
      </c>
      <c r="P667" s="7">
        <v>0.6</v>
      </c>
      <c r="Q667" s="7">
        <v>0.6</v>
      </c>
    </row>
    <row r="668" spans="1:17">
      <c r="A668" s="2">
        <v>2616</v>
      </c>
      <c r="B668" s="7">
        <v>0.6</v>
      </c>
      <c r="C668" s="7">
        <v>0.6</v>
      </c>
      <c r="D668" s="7">
        <v>0.6</v>
      </c>
      <c r="E668" s="7">
        <v>0.6</v>
      </c>
      <c r="F668" s="7">
        <v>0.6</v>
      </c>
      <c r="G668" s="7">
        <v>0.6</v>
      </c>
      <c r="H668" s="7">
        <v>0.6</v>
      </c>
      <c r="I668" s="7">
        <v>0.6</v>
      </c>
      <c r="J668" s="7">
        <v>0.6</v>
      </c>
      <c r="K668" s="7">
        <v>0.6</v>
      </c>
      <c r="L668" s="7">
        <v>0.6</v>
      </c>
      <c r="M668" s="7">
        <v>0.6</v>
      </c>
      <c r="N668" s="7">
        <v>0.6</v>
      </c>
      <c r="O668" s="7">
        <v>0.6</v>
      </c>
      <c r="P668" s="7">
        <v>0.6</v>
      </c>
      <c r="Q668" s="7">
        <v>0.6</v>
      </c>
    </row>
    <row r="669" spans="1:17">
      <c r="A669" s="2">
        <v>2617</v>
      </c>
      <c r="B669" s="7">
        <v>0.6</v>
      </c>
      <c r="C669" s="7">
        <v>0.6</v>
      </c>
      <c r="D669" s="7">
        <v>0.6</v>
      </c>
      <c r="E669" s="7">
        <v>0.6</v>
      </c>
      <c r="F669" s="7">
        <v>0.6</v>
      </c>
      <c r="G669" s="7">
        <v>0.6</v>
      </c>
      <c r="H669" s="7">
        <v>0.6</v>
      </c>
      <c r="I669" s="7">
        <v>0.6</v>
      </c>
      <c r="J669" s="7">
        <v>0.6</v>
      </c>
      <c r="K669" s="7">
        <v>0.6</v>
      </c>
      <c r="L669" s="7">
        <v>0.6</v>
      </c>
      <c r="M669" s="7">
        <v>0.6</v>
      </c>
      <c r="N669" s="7">
        <v>0.6</v>
      </c>
      <c r="O669" s="7">
        <v>0.6</v>
      </c>
      <c r="P669" s="7">
        <v>0.6</v>
      </c>
      <c r="Q669" s="7">
        <v>0.6</v>
      </c>
    </row>
    <row r="670" spans="1:17">
      <c r="A670" s="2">
        <v>2618</v>
      </c>
      <c r="B670" s="7">
        <v>0.6</v>
      </c>
      <c r="C670" s="7">
        <v>0.6</v>
      </c>
      <c r="D670" s="7">
        <v>0.6</v>
      </c>
      <c r="E670" s="7">
        <v>0.6</v>
      </c>
      <c r="F670" s="7">
        <v>0.6</v>
      </c>
      <c r="G670" s="7">
        <v>0.6</v>
      </c>
      <c r="H670" s="7">
        <v>0.6</v>
      </c>
      <c r="I670" s="7">
        <v>0.6</v>
      </c>
      <c r="J670" s="7">
        <v>0.6</v>
      </c>
      <c r="K670" s="7">
        <v>0.6</v>
      </c>
      <c r="L670" s="7">
        <v>0.6</v>
      </c>
      <c r="M670" s="7">
        <v>0.6</v>
      </c>
      <c r="N670" s="7">
        <v>0.6</v>
      </c>
      <c r="O670" s="7">
        <v>0.6</v>
      </c>
      <c r="P670" s="7">
        <v>0.6</v>
      </c>
      <c r="Q670" s="7">
        <v>0.6</v>
      </c>
    </row>
    <row r="671" spans="1:17">
      <c r="A671" s="2">
        <v>2619</v>
      </c>
      <c r="B671" s="7">
        <v>0.6</v>
      </c>
      <c r="C671" s="7">
        <v>0.6</v>
      </c>
      <c r="D671" s="7">
        <v>0.6</v>
      </c>
      <c r="E671" s="7">
        <v>0.6</v>
      </c>
      <c r="F671" s="7">
        <v>0.6</v>
      </c>
      <c r="G671" s="7">
        <v>0.6</v>
      </c>
      <c r="H671" s="7">
        <v>0.6</v>
      </c>
      <c r="I671" s="7">
        <v>0.6</v>
      </c>
      <c r="J671" s="7">
        <v>0.6</v>
      </c>
      <c r="K671" s="7">
        <v>0.6</v>
      </c>
      <c r="L671" s="7">
        <v>0.6</v>
      </c>
      <c r="M671" s="7">
        <v>0.6</v>
      </c>
      <c r="N671" s="7">
        <v>0.6</v>
      </c>
      <c r="O671" s="7">
        <v>0.6</v>
      </c>
      <c r="P671" s="7">
        <v>0.6</v>
      </c>
      <c r="Q671" s="7">
        <v>0.6</v>
      </c>
    </row>
    <row r="672" spans="1:17">
      <c r="A672" s="2">
        <v>2620</v>
      </c>
      <c r="B672" s="7">
        <v>0.6</v>
      </c>
      <c r="C672" s="7">
        <v>0.6</v>
      </c>
      <c r="D672" s="7">
        <v>0.6</v>
      </c>
      <c r="E672" s="7">
        <v>0.6</v>
      </c>
      <c r="F672" s="7">
        <v>0.6</v>
      </c>
      <c r="G672" s="7">
        <v>0.6</v>
      </c>
      <c r="H672" s="7">
        <v>0.6</v>
      </c>
      <c r="I672" s="7">
        <v>0.6</v>
      </c>
      <c r="J672" s="7">
        <v>0.6</v>
      </c>
      <c r="K672" s="7">
        <v>0.6</v>
      </c>
      <c r="L672" s="7">
        <v>0.6</v>
      </c>
      <c r="M672" s="7">
        <v>0.6</v>
      </c>
      <c r="N672" s="7">
        <v>0.6</v>
      </c>
      <c r="O672" s="7">
        <v>0.6</v>
      </c>
      <c r="P672" s="7">
        <v>0.6</v>
      </c>
      <c r="Q672" s="7">
        <v>0.6</v>
      </c>
    </row>
    <row r="673" spans="1:17">
      <c r="A673" s="2">
        <v>2621</v>
      </c>
      <c r="B673" s="7">
        <v>0.6</v>
      </c>
      <c r="C673" s="7">
        <v>0.6</v>
      </c>
      <c r="D673" s="7">
        <v>0.6</v>
      </c>
      <c r="E673" s="7">
        <v>0.6</v>
      </c>
      <c r="F673" s="7">
        <v>0.6</v>
      </c>
      <c r="G673" s="7">
        <v>0.6</v>
      </c>
      <c r="H673" s="7">
        <v>0.6</v>
      </c>
      <c r="I673" s="7">
        <v>0.6</v>
      </c>
      <c r="J673" s="7">
        <v>0.6</v>
      </c>
      <c r="K673" s="7">
        <v>0.6</v>
      </c>
      <c r="L673" s="7">
        <v>0.6</v>
      </c>
      <c r="M673" s="7">
        <v>0.6</v>
      </c>
      <c r="N673" s="7">
        <v>0.6</v>
      </c>
      <c r="O673" s="7">
        <v>0.6</v>
      </c>
      <c r="P673" s="7">
        <v>0.6</v>
      </c>
      <c r="Q673" s="7">
        <v>0.6</v>
      </c>
    </row>
    <row r="674" spans="1:17">
      <c r="A674" s="2">
        <v>2622</v>
      </c>
      <c r="B674" s="7">
        <v>0.6</v>
      </c>
      <c r="C674" s="7">
        <v>0.6</v>
      </c>
      <c r="D674" s="7">
        <v>0.6</v>
      </c>
      <c r="E674" s="7">
        <v>0.6</v>
      </c>
      <c r="F674" s="7">
        <v>0.6</v>
      </c>
      <c r="G674" s="7">
        <v>0.6</v>
      </c>
      <c r="H674" s="7">
        <v>0.6</v>
      </c>
      <c r="I674" s="7">
        <v>0.6</v>
      </c>
      <c r="J674" s="7">
        <v>0.6</v>
      </c>
      <c r="K674" s="7">
        <v>0.6</v>
      </c>
      <c r="L674" s="7">
        <v>0.6</v>
      </c>
      <c r="M674" s="7">
        <v>0.6</v>
      </c>
      <c r="N674" s="7">
        <v>0.6</v>
      </c>
      <c r="O674" s="7">
        <v>0.6</v>
      </c>
      <c r="P674" s="7">
        <v>0.6</v>
      </c>
      <c r="Q674" s="7">
        <v>0.6</v>
      </c>
    </row>
    <row r="675" spans="1:17">
      <c r="A675" s="2">
        <v>2623</v>
      </c>
      <c r="B675" s="7">
        <v>0.6</v>
      </c>
      <c r="C675" s="7">
        <v>0.6</v>
      </c>
      <c r="D675" s="7">
        <v>0.6</v>
      </c>
      <c r="E675" s="7">
        <v>0.6</v>
      </c>
      <c r="F675" s="7">
        <v>0.6</v>
      </c>
      <c r="G675" s="7">
        <v>0.6</v>
      </c>
      <c r="H675" s="7">
        <v>0.6</v>
      </c>
      <c r="I675" s="7">
        <v>0.6</v>
      </c>
      <c r="J675" s="7">
        <v>0.6</v>
      </c>
      <c r="K675" s="7">
        <v>0.6</v>
      </c>
      <c r="L675" s="7">
        <v>0.6</v>
      </c>
      <c r="M675" s="7">
        <v>0.6</v>
      </c>
      <c r="N675" s="7">
        <v>0.6</v>
      </c>
      <c r="O675" s="7">
        <v>0.6</v>
      </c>
      <c r="P675" s="7">
        <v>0.6</v>
      </c>
      <c r="Q675" s="7">
        <v>0.6</v>
      </c>
    </row>
    <row r="676" spans="1:17">
      <c r="A676" s="2">
        <v>2624</v>
      </c>
      <c r="B676" s="7">
        <v>0.6</v>
      </c>
      <c r="C676" s="7">
        <v>0.6</v>
      </c>
      <c r="D676" s="7">
        <v>0.6</v>
      </c>
      <c r="E676" s="7">
        <v>0.6</v>
      </c>
      <c r="F676" s="7">
        <v>0.6</v>
      </c>
      <c r="G676" s="7">
        <v>0.6</v>
      </c>
      <c r="H676" s="7">
        <v>0.6</v>
      </c>
      <c r="I676" s="7">
        <v>0.6</v>
      </c>
      <c r="J676" s="7">
        <v>0.6</v>
      </c>
      <c r="K676" s="7">
        <v>0.6</v>
      </c>
      <c r="L676" s="7">
        <v>0.6</v>
      </c>
      <c r="M676" s="7">
        <v>0.6</v>
      </c>
      <c r="N676" s="7">
        <v>0.6</v>
      </c>
      <c r="O676" s="7">
        <v>0.6</v>
      </c>
      <c r="P676" s="7">
        <v>0.6</v>
      </c>
      <c r="Q676" s="7">
        <v>0.6</v>
      </c>
    </row>
    <row r="677" spans="1:17">
      <c r="A677" s="2">
        <v>2625</v>
      </c>
      <c r="B677" s="7">
        <v>0.6</v>
      </c>
      <c r="C677" s="7">
        <v>0.6</v>
      </c>
      <c r="D677" s="7">
        <v>0.6</v>
      </c>
      <c r="E677" s="7">
        <v>0.6</v>
      </c>
      <c r="F677" s="7">
        <v>0.6</v>
      </c>
      <c r="G677" s="7">
        <v>0.6</v>
      </c>
      <c r="H677" s="7">
        <v>0.6</v>
      </c>
      <c r="I677" s="7">
        <v>0.6</v>
      </c>
      <c r="J677" s="7">
        <v>0.6</v>
      </c>
      <c r="K677" s="7">
        <v>0.6</v>
      </c>
      <c r="L677" s="7">
        <v>0.6</v>
      </c>
      <c r="M677" s="7">
        <v>0.6</v>
      </c>
      <c r="N677" s="7">
        <v>0.6</v>
      </c>
      <c r="O677" s="7">
        <v>0.6</v>
      </c>
      <c r="P677" s="7">
        <v>0.6</v>
      </c>
      <c r="Q677" s="7">
        <v>0.6</v>
      </c>
    </row>
    <row r="678" spans="1:17">
      <c r="A678" s="2">
        <v>2626</v>
      </c>
      <c r="B678" s="7">
        <v>0.6</v>
      </c>
      <c r="C678" s="7">
        <v>0.6</v>
      </c>
      <c r="D678" s="7">
        <v>0.6</v>
      </c>
      <c r="E678" s="7">
        <v>0.6</v>
      </c>
      <c r="F678" s="7">
        <v>0.6</v>
      </c>
      <c r="G678" s="7">
        <v>0.6</v>
      </c>
      <c r="H678" s="7">
        <v>0.6</v>
      </c>
      <c r="I678" s="7">
        <v>0.6</v>
      </c>
      <c r="J678" s="7">
        <v>0.6</v>
      </c>
      <c r="K678" s="7">
        <v>0.6</v>
      </c>
      <c r="L678" s="7">
        <v>0.6</v>
      </c>
      <c r="M678" s="7">
        <v>0.6</v>
      </c>
      <c r="N678" s="7">
        <v>0.6</v>
      </c>
      <c r="O678" s="7">
        <v>0.6</v>
      </c>
      <c r="P678" s="7">
        <v>0.6</v>
      </c>
      <c r="Q678" s="7">
        <v>0.6</v>
      </c>
    </row>
    <row r="679" spans="1:17">
      <c r="A679" s="2">
        <v>2627</v>
      </c>
      <c r="B679" s="7">
        <v>0.6</v>
      </c>
      <c r="C679" s="7">
        <v>0.6</v>
      </c>
      <c r="D679" s="7">
        <v>0.6</v>
      </c>
      <c r="E679" s="7">
        <v>0.6</v>
      </c>
      <c r="F679" s="7">
        <v>0.6</v>
      </c>
      <c r="G679" s="7">
        <v>0.6</v>
      </c>
      <c r="H679" s="7">
        <v>0.6</v>
      </c>
      <c r="I679" s="7">
        <v>0.6</v>
      </c>
      <c r="J679" s="7">
        <v>0.6</v>
      </c>
      <c r="K679" s="7">
        <v>0.6</v>
      </c>
      <c r="L679" s="7">
        <v>0.6</v>
      </c>
      <c r="M679" s="7">
        <v>0.6</v>
      </c>
      <c r="N679" s="7">
        <v>0.6</v>
      </c>
      <c r="O679" s="7">
        <v>0.6</v>
      </c>
      <c r="P679" s="7">
        <v>0.6</v>
      </c>
      <c r="Q679" s="7">
        <v>0.6</v>
      </c>
    </row>
    <row r="680" spans="1:17">
      <c r="A680" s="2">
        <v>2628</v>
      </c>
      <c r="B680" s="7">
        <v>0.6</v>
      </c>
      <c r="C680" s="7">
        <v>0.6</v>
      </c>
      <c r="D680" s="7">
        <v>0.6</v>
      </c>
      <c r="E680" s="7">
        <v>0.6</v>
      </c>
      <c r="F680" s="7">
        <v>0.6</v>
      </c>
      <c r="G680" s="7">
        <v>0.6</v>
      </c>
      <c r="H680" s="7">
        <v>0.6</v>
      </c>
      <c r="I680" s="7">
        <v>0.6</v>
      </c>
      <c r="J680" s="7">
        <v>0.6</v>
      </c>
      <c r="K680" s="7">
        <v>0.6</v>
      </c>
      <c r="L680" s="7">
        <v>0.6</v>
      </c>
      <c r="M680" s="7">
        <v>0.6</v>
      </c>
      <c r="N680" s="7">
        <v>0.6</v>
      </c>
      <c r="O680" s="7">
        <v>0.6</v>
      </c>
      <c r="P680" s="7">
        <v>0.6</v>
      </c>
      <c r="Q680" s="7">
        <v>0.6</v>
      </c>
    </row>
    <row r="681" spans="1:17">
      <c r="A681" s="2">
        <v>2629</v>
      </c>
      <c r="B681" s="7">
        <v>0.6</v>
      </c>
      <c r="C681" s="7">
        <v>0.6</v>
      </c>
      <c r="D681" s="7">
        <v>0.6</v>
      </c>
      <c r="E681" s="7">
        <v>0.6</v>
      </c>
      <c r="F681" s="7">
        <v>0.6</v>
      </c>
      <c r="G681" s="7">
        <v>0.6</v>
      </c>
      <c r="H681" s="7">
        <v>0.6</v>
      </c>
      <c r="I681" s="7">
        <v>0.6</v>
      </c>
      <c r="J681" s="7">
        <v>0.6</v>
      </c>
      <c r="K681" s="7">
        <v>0.6</v>
      </c>
      <c r="L681" s="7">
        <v>0.6</v>
      </c>
      <c r="M681" s="7">
        <v>0.6</v>
      </c>
      <c r="N681" s="7">
        <v>0.6</v>
      </c>
      <c r="O681" s="7">
        <v>0.6</v>
      </c>
      <c r="P681" s="7">
        <v>0.6</v>
      </c>
      <c r="Q681" s="7">
        <v>0.6</v>
      </c>
    </row>
    <row r="682" spans="1:17">
      <c r="A682" s="2">
        <v>2630</v>
      </c>
      <c r="B682" s="7">
        <v>0.6</v>
      </c>
      <c r="C682" s="7">
        <v>0.6</v>
      </c>
      <c r="D682" s="7">
        <v>0.6</v>
      </c>
      <c r="E682" s="7">
        <v>0.6</v>
      </c>
      <c r="F682" s="7">
        <v>0.6</v>
      </c>
      <c r="G682" s="7">
        <v>0.6</v>
      </c>
      <c r="H682" s="7">
        <v>0.6</v>
      </c>
      <c r="I682" s="7">
        <v>0.6</v>
      </c>
      <c r="J682" s="7">
        <v>0.6</v>
      </c>
      <c r="K682" s="7">
        <v>0.6</v>
      </c>
      <c r="L682" s="7">
        <v>0.6</v>
      </c>
      <c r="M682" s="7">
        <v>0.6</v>
      </c>
      <c r="N682" s="7">
        <v>0.6</v>
      </c>
      <c r="O682" s="7">
        <v>0.6</v>
      </c>
      <c r="P682" s="7">
        <v>0.6</v>
      </c>
      <c r="Q682" s="7">
        <v>0.6</v>
      </c>
    </row>
    <row r="683" spans="1:17">
      <c r="A683" s="2">
        <v>2631</v>
      </c>
      <c r="B683" s="7">
        <v>0.6</v>
      </c>
      <c r="C683" s="7">
        <v>0.6</v>
      </c>
      <c r="D683" s="7">
        <v>0.6</v>
      </c>
      <c r="E683" s="7">
        <v>0.6</v>
      </c>
      <c r="F683" s="7">
        <v>0.6</v>
      </c>
      <c r="G683" s="7">
        <v>0.6</v>
      </c>
      <c r="H683" s="7">
        <v>0.6</v>
      </c>
      <c r="I683" s="7">
        <v>0.6</v>
      </c>
      <c r="J683" s="7">
        <v>0.6</v>
      </c>
      <c r="K683" s="7">
        <v>0.6</v>
      </c>
      <c r="L683" s="7">
        <v>0.6</v>
      </c>
      <c r="M683" s="7">
        <v>0.6</v>
      </c>
      <c r="N683" s="7">
        <v>0.6</v>
      </c>
      <c r="O683" s="7">
        <v>0.6</v>
      </c>
      <c r="P683" s="7">
        <v>0.6</v>
      </c>
      <c r="Q683" s="7">
        <v>0.6</v>
      </c>
    </row>
    <row r="684" spans="1:17">
      <c r="A684" s="2">
        <v>2632</v>
      </c>
      <c r="B684" s="7">
        <v>0.6</v>
      </c>
      <c r="C684" s="7">
        <v>0.6</v>
      </c>
      <c r="D684" s="7">
        <v>0.6</v>
      </c>
      <c r="E684" s="7">
        <v>0.6</v>
      </c>
      <c r="F684" s="7">
        <v>0.6</v>
      </c>
      <c r="G684" s="7">
        <v>0.6</v>
      </c>
      <c r="H684" s="7">
        <v>0.6</v>
      </c>
      <c r="I684" s="7">
        <v>0.6</v>
      </c>
      <c r="J684" s="7">
        <v>0.6</v>
      </c>
      <c r="K684" s="7">
        <v>0.6</v>
      </c>
      <c r="L684" s="7">
        <v>0.6</v>
      </c>
      <c r="M684" s="7">
        <v>0.6</v>
      </c>
      <c r="N684" s="7">
        <v>0.6</v>
      </c>
      <c r="O684" s="7">
        <v>0.6</v>
      </c>
      <c r="P684" s="7">
        <v>0.6</v>
      </c>
      <c r="Q684" s="7">
        <v>0.6</v>
      </c>
    </row>
    <row r="685" spans="1:17">
      <c r="A685" s="2">
        <v>2633</v>
      </c>
      <c r="B685" s="7">
        <v>0.6</v>
      </c>
      <c r="C685" s="7">
        <v>0.6</v>
      </c>
      <c r="D685" s="7">
        <v>0.6</v>
      </c>
      <c r="E685" s="7">
        <v>0.6</v>
      </c>
      <c r="F685" s="7">
        <v>0.6</v>
      </c>
      <c r="G685" s="7">
        <v>0.6</v>
      </c>
      <c r="H685" s="7">
        <v>0.6</v>
      </c>
      <c r="I685" s="7">
        <v>0.6</v>
      </c>
      <c r="J685" s="7">
        <v>0.6</v>
      </c>
      <c r="K685" s="7">
        <v>0.6</v>
      </c>
      <c r="L685" s="7">
        <v>0.6</v>
      </c>
      <c r="M685" s="7">
        <v>0.6</v>
      </c>
      <c r="N685" s="7">
        <v>0.6</v>
      </c>
      <c r="O685" s="7">
        <v>0.6</v>
      </c>
      <c r="P685" s="7">
        <v>0.6</v>
      </c>
      <c r="Q685" s="7">
        <v>0.6</v>
      </c>
    </row>
    <row r="686" spans="1:17">
      <c r="A686" s="2">
        <v>2634</v>
      </c>
      <c r="B686" s="7">
        <v>0.6</v>
      </c>
      <c r="C686" s="7">
        <v>0.6</v>
      </c>
      <c r="D686" s="7">
        <v>0.6</v>
      </c>
      <c r="E686" s="7">
        <v>0.6</v>
      </c>
      <c r="F686" s="7">
        <v>0.6</v>
      </c>
      <c r="G686" s="7">
        <v>0.6</v>
      </c>
      <c r="H686" s="7">
        <v>0.6</v>
      </c>
      <c r="I686" s="7">
        <v>0.6</v>
      </c>
      <c r="J686" s="7">
        <v>0.6</v>
      </c>
      <c r="K686" s="7">
        <v>0.6</v>
      </c>
      <c r="L686" s="7">
        <v>0.6</v>
      </c>
      <c r="M686" s="7">
        <v>0.6</v>
      </c>
      <c r="N686" s="7">
        <v>0.6</v>
      </c>
      <c r="O686" s="7">
        <v>0.6</v>
      </c>
      <c r="P686" s="7">
        <v>0.6</v>
      </c>
      <c r="Q686" s="7">
        <v>0.6</v>
      </c>
    </row>
    <row r="687" spans="1:17">
      <c r="A687" s="2">
        <v>2635</v>
      </c>
      <c r="B687" s="7">
        <v>0.6</v>
      </c>
      <c r="C687" s="7">
        <v>0.6</v>
      </c>
      <c r="D687" s="7">
        <v>0.6</v>
      </c>
      <c r="E687" s="7">
        <v>0.6</v>
      </c>
      <c r="F687" s="7">
        <v>0.6</v>
      </c>
      <c r="G687" s="7">
        <v>0.6</v>
      </c>
      <c r="H687" s="7">
        <v>0.6</v>
      </c>
      <c r="I687" s="7">
        <v>0.6</v>
      </c>
      <c r="J687" s="7">
        <v>0.6</v>
      </c>
      <c r="K687" s="7">
        <v>0.6</v>
      </c>
      <c r="L687" s="7">
        <v>0.6</v>
      </c>
      <c r="M687" s="7">
        <v>0.6</v>
      </c>
      <c r="N687" s="7">
        <v>0.6</v>
      </c>
      <c r="O687" s="7">
        <v>0.6</v>
      </c>
      <c r="P687" s="7">
        <v>0.6</v>
      </c>
      <c r="Q687" s="7">
        <v>0.6</v>
      </c>
    </row>
    <row r="688" spans="1:17">
      <c r="A688" s="2">
        <v>2636</v>
      </c>
      <c r="B688" s="7">
        <v>0.6</v>
      </c>
      <c r="C688" s="7">
        <v>0.6</v>
      </c>
      <c r="D688" s="7">
        <v>0.6</v>
      </c>
      <c r="E688" s="7">
        <v>0.6</v>
      </c>
      <c r="F688" s="7">
        <v>0.6</v>
      </c>
      <c r="G688" s="7">
        <v>0.6</v>
      </c>
      <c r="H688" s="7">
        <v>0.6</v>
      </c>
      <c r="I688" s="7">
        <v>0.6</v>
      </c>
      <c r="J688" s="7">
        <v>0.6</v>
      </c>
      <c r="K688" s="7">
        <v>0.6</v>
      </c>
      <c r="L688" s="7">
        <v>0.6</v>
      </c>
      <c r="M688" s="7">
        <v>0.6</v>
      </c>
      <c r="N688" s="7">
        <v>0.6</v>
      </c>
      <c r="O688" s="7">
        <v>0.6</v>
      </c>
      <c r="P688" s="7">
        <v>0.6</v>
      </c>
      <c r="Q688" s="7">
        <v>0.6</v>
      </c>
    </row>
    <row r="689" spans="1:17">
      <c r="A689" s="2">
        <v>2637</v>
      </c>
      <c r="B689" s="7">
        <v>0.6</v>
      </c>
      <c r="C689" s="7">
        <v>0.6</v>
      </c>
      <c r="D689" s="7">
        <v>0.6</v>
      </c>
      <c r="E689" s="7">
        <v>0.6</v>
      </c>
      <c r="F689" s="7">
        <v>0.6</v>
      </c>
      <c r="G689" s="7">
        <v>0.6</v>
      </c>
      <c r="H689" s="7">
        <v>0.6</v>
      </c>
      <c r="I689" s="7">
        <v>0.6</v>
      </c>
      <c r="J689" s="7">
        <v>0.6</v>
      </c>
      <c r="K689" s="7">
        <v>0.6</v>
      </c>
      <c r="L689" s="7">
        <v>0.6</v>
      </c>
      <c r="M689" s="7">
        <v>0.6</v>
      </c>
      <c r="N689" s="7">
        <v>0.6</v>
      </c>
      <c r="O689" s="7">
        <v>0.6</v>
      </c>
      <c r="P689" s="7">
        <v>0.6</v>
      </c>
      <c r="Q689" s="7">
        <v>0.6</v>
      </c>
    </row>
    <row r="690" spans="1:17">
      <c r="A690" s="2">
        <v>2638</v>
      </c>
      <c r="B690" s="7">
        <v>0.6</v>
      </c>
      <c r="C690" s="7">
        <v>0.6</v>
      </c>
      <c r="D690" s="7">
        <v>0.6</v>
      </c>
      <c r="E690" s="7">
        <v>0.6</v>
      </c>
      <c r="F690" s="7">
        <v>0.6</v>
      </c>
      <c r="G690" s="7">
        <v>0.6</v>
      </c>
      <c r="H690" s="7">
        <v>0.6</v>
      </c>
      <c r="I690" s="7">
        <v>0.6</v>
      </c>
      <c r="J690" s="7">
        <v>0.6</v>
      </c>
      <c r="K690" s="7">
        <v>0.6</v>
      </c>
      <c r="L690" s="7">
        <v>0.6</v>
      </c>
      <c r="M690" s="7">
        <v>0.6</v>
      </c>
      <c r="N690" s="7">
        <v>0.6</v>
      </c>
      <c r="O690" s="7">
        <v>0.6</v>
      </c>
      <c r="P690" s="7">
        <v>0.6</v>
      </c>
      <c r="Q690" s="7">
        <v>0.6</v>
      </c>
    </row>
    <row r="691" spans="1:17">
      <c r="A691" s="2">
        <v>2639</v>
      </c>
      <c r="B691" s="7">
        <v>0.6</v>
      </c>
      <c r="C691" s="7">
        <v>0.6</v>
      </c>
      <c r="D691" s="7">
        <v>0.6</v>
      </c>
      <c r="E691" s="7">
        <v>0.6</v>
      </c>
      <c r="F691" s="7">
        <v>0.6</v>
      </c>
      <c r="G691" s="7">
        <v>0.6</v>
      </c>
      <c r="H691" s="7">
        <v>0.6</v>
      </c>
      <c r="I691" s="7">
        <v>0.6</v>
      </c>
      <c r="J691" s="7">
        <v>0.6</v>
      </c>
      <c r="K691" s="7">
        <v>0.6</v>
      </c>
      <c r="L691" s="7">
        <v>0.6</v>
      </c>
      <c r="M691" s="7">
        <v>0.6</v>
      </c>
      <c r="N691" s="7">
        <v>0.6</v>
      </c>
      <c r="O691" s="7">
        <v>0.6</v>
      </c>
      <c r="P691" s="7">
        <v>0.6</v>
      </c>
      <c r="Q691" s="7">
        <v>0.6</v>
      </c>
    </row>
    <row r="692" spans="1:17">
      <c r="A692" s="2">
        <v>2640</v>
      </c>
      <c r="B692" s="7">
        <v>0.6</v>
      </c>
      <c r="C692" s="7">
        <v>0.6</v>
      </c>
      <c r="D692" s="7">
        <v>0.6</v>
      </c>
      <c r="E692" s="7">
        <v>0.6</v>
      </c>
      <c r="F692" s="7">
        <v>0.6</v>
      </c>
      <c r="G692" s="7">
        <v>0.6</v>
      </c>
      <c r="H692" s="7">
        <v>0.6</v>
      </c>
      <c r="I692" s="7">
        <v>0.6</v>
      </c>
      <c r="J692" s="7">
        <v>0.6</v>
      </c>
      <c r="K692" s="7">
        <v>0.6</v>
      </c>
      <c r="L692" s="7">
        <v>0.6</v>
      </c>
      <c r="M692" s="7">
        <v>0.6</v>
      </c>
      <c r="N692" s="7">
        <v>0.6</v>
      </c>
      <c r="O692" s="7">
        <v>0.6</v>
      </c>
      <c r="P692" s="7">
        <v>0.6</v>
      </c>
      <c r="Q692" s="7">
        <v>0.6</v>
      </c>
    </row>
    <row r="693" spans="1:17">
      <c r="A693" s="2">
        <v>2641</v>
      </c>
      <c r="B693" s="7">
        <v>0.6</v>
      </c>
      <c r="C693" s="7">
        <v>0.6</v>
      </c>
      <c r="D693" s="7">
        <v>0.6</v>
      </c>
      <c r="E693" s="7">
        <v>0.6</v>
      </c>
      <c r="F693" s="7">
        <v>0.6</v>
      </c>
      <c r="G693" s="7">
        <v>0.6</v>
      </c>
      <c r="H693" s="7">
        <v>0.6</v>
      </c>
      <c r="I693" s="7">
        <v>0.6</v>
      </c>
      <c r="J693" s="7">
        <v>0.6</v>
      </c>
      <c r="K693" s="7">
        <v>0.6</v>
      </c>
      <c r="L693" s="7">
        <v>0.6</v>
      </c>
      <c r="M693" s="7">
        <v>0.6</v>
      </c>
      <c r="N693" s="7">
        <v>0.6</v>
      </c>
      <c r="O693" s="7">
        <v>0.6</v>
      </c>
      <c r="P693" s="7">
        <v>0.6</v>
      </c>
      <c r="Q693" s="7">
        <v>0.6</v>
      </c>
    </row>
    <row r="694" spans="1:17">
      <c r="A694" s="2">
        <v>2642</v>
      </c>
      <c r="B694" s="7">
        <v>0.6</v>
      </c>
      <c r="C694" s="7">
        <v>0.6</v>
      </c>
      <c r="D694" s="7">
        <v>0.6</v>
      </c>
      <c r="E694" s="7">
        <v>0.6</v>
      </c>
      <c r="F694" s="7">
        <v>0.6</v>
      </c>
      <c r="G694" s="7">
        <v>0.6</v>
      </c>
      <c r="H694" s="7">
        <v>0.6</v>
      </c>
      <c r="I694" s="7">
        <v>0.6</v>
      </c>
      <c r="J694" s="7">
        <v>0.6</v>
      </c>
      <c r="K694" s="7">
        <v>0.6</v>
      </c>
      <c r="L694" s="7">
        <v>0.6</v>
      </c>
      <c r="M694" s="7">
        <v>0.6</v>
      </c>
      <c r="N694" s="7">
        <v>0.6</v>
      </c>
      <c r="O694" s="7">
        <v>0.6</v>
      </c>
      <c r="P694" s="7">
        <v>0.6</v>
      </c>
      <c r="Q694" s="7">
        <v>0.6</v>
      </c>
    </row>
    <row r="695" spans="1:17">
      <c r="A695" s="2">
        <v>2643</v>
      </c>
      <c r="B695" s="7">
        <v>0.6</v>
      </c>
      <c r="C695" s="7">
        <v>0.6</v>
      </c>
      <c r="D695" s="7">
        <v>0.6</v>
      </c>
      <c r="E695" s="7">
        <v>0.6</v>
      </c>
      <c r="F695" s="7">
        <v>0.6</v>
      </c>
      <c r="G695" s="7">
        <v>0.6</v>
      </c>
      <c r="H695" s="7">
        <v>0.6</v>
      </c>
      <c r="I695" s="7">
        <v>0.6</v>
      </c>
      <c r="J695" s="7">
        <v>0.6</v>
      </c>
      <c r="K695" s="7">
        <v>0.6</v>
      </c>
      <c r="L695" s="7">
        <v>0.6</v>
      </c>
      <c r="M695" s="7">
        <v>0.6</v>
      </c>
      <c r="N695" s="7">
        <v>0.6</v>
      </c>
      <c r="O695" s="7">
        <v>0.6</v>
      </c>
      <c r="P695" s="7">
        <v>0.6</v>
      </c>
      <c r="Q695" s="7">
        <v>0.6</v>
      </c>
    </row>
    <row r="696" spans="1:17">
      <c r="A696" s="2">
        <v>2644</v>
      </c>
      <c r="B696" s="7">
        <v>0.6</v>
      </c>
      <c r="C696" s="7">
        <v>0.6</v>
      </c>
      <c r="D696" s="7">
        <v>0.6</v>
      </c>
      <c r="E696" s="7">
        <v>0.6</v>
      </c>
      <c r="F696" s="7">
        <v>0.6</v>
      </c>
      <c r="G696" s="7">
        <v>0.6</v>
      </c>
      <c r="H696" s="7">
        <v>0.6</v>
      </c>
      <c r="I696" s="7">
        <v>0.6</v>
      </c>
      <c r="J696" s="7">
        <v>0.6</v>
      </c>
      <c r="K696" s="7">
        <v>0.6</v>
      </c>
      <c r="L696" s="7">
        <v>0.6</v>
      </c>
      <c r="M696" s="7">
        <v>0.6</v>
      </c>
      <c r="N696" s="7">
        <v>0.6</v>
      </c>
      <c r="O696" s="7">
        <v>0.6</v>
      </c>
      <c r="P696" s="7">
        <v>0.6</v>
      </c>
      <c r="Q696" s="7">
        <v>0.6</v>
      </c>
    </row>
    <row r="697" spans="1:17">
      <c r="A697" s="2">
        <v>2645</v>
      </c>
      <c r="B697" s="7">
        <v>0.6</v>
      </c>
      <c r="C697" s="7">
        <v>0.6</v>
      </c>
      <c r="D697" s="7">
        <v>0.6</v>
      </c>
      <c r="E697" s="7">
        <v>0.6</v>
      </c>
      <c r="F697" s="7">
        <v>0.6</v>
      </c>
      <c r="G697" s="7">
        <v>0.6</v>
      </c>
      <c r="H697" s="7">
        <v>0.6</v>
      </c>
      <c r="I697" s="7">
        <v>0.6</v>
      </c>
      <c r="J697" s="7">
        <v>0.6</v>
      </c>
      <c r="K697" s="7">
        <v>0.6</v>
      </c>
      <c r="L697" s="7">
        <v>0.6</v>
      </c>
      <c r="M697" s="7">
        <v>0.6</v>
      </c>
      <c r="N697" s="7">
        <v>0.6</v>
      </c>
      <c r="O697" s="7">
        <v>0.6</v>
      </c>
      <c r="P697" s="7">
        <v>0.6</v>
      </c>
      <c r="Q697" s="7">
        <v>0.6</v>
      </c>
    </row>
    <row r="698" spans="1:17">
      <c r="A698" s="2">
        <v>2646</v>
      </c>
      <c r="B698" s="7">
        <v>0.6</v>
      </c>
      <c r="C698" s="7">
        <v>0.6</v>
      </c>
      <c r="D698" s="7">
        <v>0.6</v>
      </c>
      <c r="E698" s="7">
        <v>0.6</v>
      </c>
      <c r="F698" s="7">
        <v>0.6</v>
      </c>
      <c r="G698" s="7">
        <v>0.6</v>
      </c>
      <c r="H698" s="7">
        <v>0.6</v>
      </c>
      <c r="I698" s="7">
        <v>0.6</v>
      </c>
      <c r="J698" s="7">
        <v>0.6</v>
      </c>
      <c r="K698" s="7">
        <v>0.6</v>
      </c>
      <c r="L698" s="7">
        <v>0.6</v>
      </c>
      <c r="M698" s="7">
        <v>0.6</v>
      </c>
      <c r="N698" s="7">
        <v>0.6</v>
      </c>
      <c r="O698" s="7">
        <v>0.6</v>
      </c>
      <c r="P698" s="7">
        <v>0.6</v>
      </c>
      <c r="Q698" s="7">
        <v>0.6</v>
      </c>
    </row>
    <row r="699" spans="1:17">
      <c r="A699" s="2">
        <v>2647</v>
      </c>
      <c r="B699" s="7">
        <v>0.6</v>
      </c>
      <c r="C699" s="7">
        <v>0.6</v>
      </c>
      <c r="D699" s="7">
        <v>0.6</v>
      </c>
      <c r="E699" s="7">
        <v>0.6</v>
      </c>
      <c r="F699" s="7">
        <v>0.6</v>
      </c>
      <c r="G699" s="7">
        <v>0.6</v>
      </c>
      <c r="H699" s="7">
        <v>0.6</v>
      </c>
      <c r="I699" s="7">
        <v>0.6</v>
      </c>
      <c r="J699" s="7">
        <v>0.6</v>
      </c>
      <c r="K699" s="7">
        <v>0.6</v>
      </c>
      <c r="L699" s="7">
        <v>0.6</v>
      </c>
      <c r="M699" s="7">
        <v>0.6</v>
      </c>
      <c r="N699" s="7">
        <v>0.6</v>
      </c>
      <c r="O699" s="7">
        <v>0.6</v>
      </c>
      <c r="P699" s="7">
        <v>0.6</v>
      </c>
      <c r="Q699" s="7">
        <v>0.6</v>
      </c>
    </row>
    <row r="700" spans="1:17">
      <c r="A700" s="2">
        <v>2648</v>
      </c>
      <c r="B700" s="7">
        <v>0.6</v>
      </c>
      <c r="C700" s="7">
        <v>0.6</v>
      </c>
      <c r="D700" s="7">
        <v>0.6</v>
      </c>
      <c r="E700" s="7">
        <v>0.6</v>
      </c>
      <c r="F700" s="7">
        <v>0.6</v>
      </c>
      <c r="G700" s="7">
        <v>0.6</v>
      </c>
      <c r="H700" s="7">
        <v>0.6</v>
      </c>
      <c r="I700" s="7">
        <v>0.6</v>
      </c>
      <c r="J700" s="7">
        <v>0.6</v>
      </c>
      <c r="K700" s="7">
        <v>0.6</v>
      </c>
      <c r="L700" s="7">
        <v>0.6</v>
      </c>
      <c r="M700" s="7">
        <v>0.6</v>
      </c>
      <c r="N700" s="7">
        <v>0.6</v>
      </c>
      <c r="O700" s="7">
        <v>0.6</v>
      </c>
      <c r="P700" s="7">
        <v>0.6</v>
      </c>
      <c r="Q700" s="7">
        <v>0.6</v>
      </c>
    </row>
    <row r="701" spans="1:17">
      <c r="A701" s="2">
        <v>2649</v>
      </c>
      <c r="B701" s="7">
        <v>0.6</v>
      </c>
      <c r="C701" s="7">
        <v>0.6</v>
      </c>
      <c r="D701" s="7">
        <v>0.6</v>
      </c>
      <c r="E701" s="7">
        <v>0.6</v>
      </c>
      <c r="F701" s="7">
        <v>0.6</v>
      </c>
      <c r="G701" s="7">
        <v>0.6</v>
      </c>
      <c r="H701" s="7">
        <v>0.6</v>
      </c>
      <c r="I701" s="7">
        <v>0.6</v>
      </c>
      <c r="J701" s="7">
        <v>0.6</v>
      </c>
      <c r="K701" s="7">
        <v>0.6</v>
      </c>
      <c r="L701" s="7">
        <v>0.6</v>
      </c>
      <c r="M701" s="7">
        <v>0.6</v>
      </c>
      <c r="N701" s="7">
        <v>0.6</v>
      </c>
      <c r="O701" s="7">
        <v>0.6</v>
      </c>
      <c r="P701" s="7">
        <v>0.6</v>
      </c>
      <c r="Q701" s="7">
        <v>0.6</v>
      </c>
    </row>
    <row r="702" spans="1:17">
      <c r="A702" s="2">
        <v>2650</v>
      </c>
      <c r="B702" s="7">
        <v>0.6</v>
      </c>
      <c r="C702" s="7">
        <v>0.6</v>
      </c>
      <c r="D702" s="7">
        <v>0.6</v>
      </c>
      <c r="E702" s="7">
        <v>0.6</v>
      </c>
      <c r="F702" s="7">
        <v>0.6</v>
      </c>
      <c r="G702" s="7">
        <v>0.6</v>
      </c>
      <c r="H702" s="7">
        <v>0.6</v>
      </c>
      <c r="I702" s="7">
        <v>0.6</v>
      </c>
      <c r="J702" s="7">
        <v>0.6</v>
      </c>
      <c r="K702" s="7">
        <v>0.6</v>
      </c>
      <c r="L702" s="7">
        <v>0.6</v>
      </c>
      <c r="M702" s="7">
        <v>0.6</v>
      </c>
      <c r="N702" s="7">
        <v>0.6</v>
      </c>
      <c r="O702" s="7">
        <v>0.6</v>
      </c>
      <c r="P702" s="7">
        <v>0.6</v>
      </c>
      <c r="Q702" s="7">
        <v>0.6</v>
      </c>
    </row>
    <row r="703" spans="1:17">
      <c r="A703" s="2">
        <v>2651</v>
      </c>
      <c r="B703" s="7">
        <v>0.6</v>
      </c>
      <c r="C703" s="7">
        <v>0.6</v>
      </c>
      <c r="D703" s="7">
        <v>0.6</v>
      </c>
      <c r="E703" s="7">
        <v>0.6</v>
      </c>
      <c r="F703" s="7">
        <v>0.6</v>
      </c>
      <c r="G703" s="7">
        <v>0.6</v>
      </c>
      <c r="H703" s="7">
        <v>0.6</v>
      </c>
      <c r="I703" s="7">
        <v>0.6</v>
      </c>
      <c r="J703" s="7">
        <v>0.6</v>
      </c>
      <c r="K703" s="7">
        <v>0.6</v>
      </c>
      <c r="L703" s="7">
        <v>0.6</v>
      </c>
      <c r="M703" s="7">
        <v>0.6</v>
      </c>
      <c r="N703" s="7">
        <v>0.6</v>
      </c>
      <c r="O703" s="7">
        <v>0.6</v>
      </c>
      <c r="P703" s="7">
        <v>0.6</v>
      </c>
      <c r="Q703" s="7">
        <v>0.6</v>
      </c>
    </row>
    <row r="704" spans="1:17">
      <c r="A704" s="2">
        <v>2652</v>
      </c>
      <c r="B704" s="7">
        <v>0.6</v>
      </c>
      <c r="C704" s="7">
        <v>0.6</v>
      </c>
      <c r="D704" s="7">
        <v>0.6</v>
      </c>
      <c r="E704" s="7">
        <v>0.6</v>
      </c>
      <c r="F704" s="7">
        <v>0.6</v>
      </c>
      <c r="G704" s="7">
        <v>0.6</v>
      </c>
      <c r="H704" s="7">
        <v>0.6</v>
      </c>
      <c r="I704" s="7">
        <v>0.6</v>
      </c>
      <c r="J704" s="7">
        <v>0.6</v>
      </c>
      <c r="K704" s="7">
        <v>0.6</v>
      </c>
      <c r="L704" s="7">
        <v>0.6</v>
      </c>
      <c r="M704" s="7">
        <v>0.6</v>
      </c>
      <c r="N704" s="7">
        <v>0.6</v>
      </c>
      <c r="O704" s="7">
        <v>0.6</v>
      </c>
      <c r="P704" s="7">
        <v>0.6</v>
      </c>
      <c r="Q704" s="7">
        <v>0.6</v>
      </c>
    </row>
    <row r="705" spans="1:17">
      <c r="A705" s="2">
        <v>2653</v>
      </c>
      <c r="B705" s="7">
        <v>0.6</v>
      </c>
      <c r="C705" s="7">
        <v>0.6</v>
      </c>
      <c r="D705" s="7">
        <v>0.6</v>
      </c>
      <c r="E705" s="7">
        <v>0.6</v>
      </c>
      <c r="F705" s="7">
        <v>0.6</v>
      </c>
      <c r="G705" s="7">
        <v>0.6</v>
      </c>
      <c r="H705" s="7">
        <v>0.6</v>
      </c>
      <c r="I705" s="7">
        <v>0.6</v>
      </c>
      <c r="J705" s="7">
        <v>0.6</v>
      </c>
      <c r="K705" s="7">
        <v>0.6</v>
      </c>
      <c r="L705" s="7">
        <v>0.6</v>
      </c>
      <c r="M705" s="7">
        <v>0.6</v>
      </c>
      <c r="N705" s="7">
        <v>0.6</v>
      </c>
      <c r="O705" s="7">
        <v>0.6</v>
      </c>
      <c r="P705" s="7">
        <v>0.6</v>
      </c>
      <c r="Q705" s="7">
        <v>0.6</v>
      </c>
    </row>
    <row r="706" spans="1:17">
      <c r="A706" s="2">
        <v>2654</v>
      </c>
      <c r="B706" s="7">
        <v>0.6</v>
      </c>
      <c r="C706" s="7">
        <v>0.6</v>
      </c>
      <c r="D706" s="7">
        <v>0.6</v>
      </c>
      <c r="E706" s="7">
        <v>0.6</v>
      </c>
      <c r="F706" s="7">
        <v>0.6</v>
      </c>
      <c r="G706" s="7">
        <v>0.6</v>
      </c>
      <c r="H706" s="7">
        <v>0.6</v>
      </c>
      <c r="I706" s="7">
        <v>0.6</v>
      </c>
      <c r="J706" s="7">
        <v>0.6</v>
      </c>
      <c r="K706" s="7">
        <v>0.6</v>
      </c>
      <c r="L706" s="7">
        <v>0.6</v>
      </c>
      <c r="M706" s="7">
        <v>0.6</v>
      </c>
      <c r="N706" s="7">
        <v>0.6</v>
      </c>
      <c r="O706" s="7">
        <v>0.6</v>
      </c>
      <c r="P706" s="7">
        <v>0.6</v>
      </c>
      <c r="Q706" s="7">
        <v>0.6</v>
      </c>
    </row>
    <row r="707" spans="1:17">
      <c r="A707" s="2">
        <v>2655</v>
      </c>
      <c r="B707" s="7">
        <v>0.6</v>
      </c>
      <c r="C707" s="7">
        <v>0.6</v>
      </c>
      <c r="D707" s="7">
        <v>0.6</v>
      </c>
      <c r="E707" s="7">
        <v>0.6</v>
      </c>
      <c r="F707" s="7">
        <v>0.6</v>
      </c>
      <c r="G707" s="7">
        <v>0.6</v>
      </c>
      <c r="H707" s="7">
        <v>0.6</v>
      </c>
      <c r="I707" s="7">
        <v>0.6</v>
      </c>
      <c r="J707" s="7">
        <v>0.6</v>
      </c>
      <c r="K707" s="7">
        <v>0.6</v>
      </c>
      <c r="L707" s="7">
        <v>0.6</v>
      </c>
      <c r="M707" s="7">
        <v>0.6</v>
      </c>
      <c r="N707" s="7">
        <v>0.6</v>
      </c>
      <c r="O707" s="7">
        <v>0.6</v>
      </c>
      <c r="P707" s="7">
        <v>0.6</v>
      </c>
      <c r="Q707" s="7">
        <v>0.6</v>
      </c>
    </row>
    <row r="708" spans="1:17">
      <c r="A708" s="2">
        <v>2656</v>
      </c>
      <c r="B708" s="7">
        <v>0.6</v>
      </c>
      <c r="C708" s="7">
        <v>0.6</v>
      </c>
      <c r="D708" s="7">
        <v>0.6</v>
      </c>
      <c r="E708" s="7">
        <v>0.6</v>
      </c>
      <c r="F708" s="7">
        <v>0.6</v>
      </c>
      <c r="G708" s="7">
        <v>0.6</v>
      </c>
      <c r="H708" s="7">
        <v>0.6</v>
      </c>
      <c r="I708" s="7">
        <v>0.6</v>
      </c>
      <c r="J708" s="7">
        <v>0.6</v>
      </c>
      <c r="K708" s="7">
        <v>0.6</v>
      </c>
      <c r="L708" s="7">
        <v>0.6</v>
      </c>
      <c r="M708" s="7">
        <v>0.6</v>
      </c>
      <c r="N708" s="7">
        <v>0.6</v>
      </c>
      <c r="O708" s="7">
        <v>0.6</v>
      </c>
      <c r="P708" s="7">
        <v>0.6</v>
      </c>
      <c r="Q708" s="7">
        <v>0.6</v>
      </c>
    </row>
    <row r="709" spans="1:17">
      <c r="A709" s="2">
        <v>2657</v>
      </c>
      <c r="B709" s="7">
        <v>0.6</v>
      </c>
      <c r="C709" s="7">
        <v>0.6</v>
      </c>
      <c r="D709" s="7">
        <v>0.6</v>
      </c>
      <c r="E709" s="7">
        <v>0.6</v>
      </c>
      <c r="F709" s="7">
        <v>0.6</v>
      </c>
      <c r="G709" s="7">
        <v>0.6</v>
      </c>
      <c r="H709" s="7">
        <v>0.6</v>
      </c>
      <c r="I709" s="7">
        <v>0.6</v>
      </c>
      <c r="J709" s="7">
        <v>0.6</v>
      </c>
      <c r="K709" s="7">
        <v>0.6</v>
      </c>
      <c r="L709" s="7">
        <v>0.6</v>
      </c>
      <c r="M709" s="7">
        <v>0.6</v>
      </c>
      <c r="N709" s="7">
        <v>0.6</v>
      </c>
      <c r="O709" s="7">
        <v>0.6</v>
      </c>
      <c r="P709" s="7">
        <v>0.6</v>
      </c>
      <c r="Q709" s="7">
        <v>0.6</v>
      </c>
    </row>
    <row r="710" spans="1:17">
      <c r="A710" s="2">
        <v>2658</v>
      </c>
      <c r="B710" s="7">
        <v>0.6</v>
      </c>
      <c r="C710" s="7">
        <v>0.6</v>
      </c>
      <c r="D710" s="7">
        <v>0.6</v>
      </c>
      <c r="E710" s="7">
        <v>0.6</v>
      </c>
      <c r="F710" s="7">
        <v>0.6</v>
      </c>
      <c r="G710" s="7">
        <v>0.6</v>
      </c>
      <c r="H710" s="7">
        <v>0.6</v>
      </c>
      <c r="I710" s="7">
        <v>0.6</v>
      </c>
      <c r="J710" s="7">
        <v>0.6</v>
      </c>
      <c r="K710" s="7">
        <v>0.6</v>
      </c>
      <c r="L710" s="7">
        <v>0.6</v>
      </c>
      <c r="M710" s="7">
        <v>0.6</v>
      </c>
      <c r="N710" s="7">
        <v>0.6</v>
      </c>
      <c r="O710" s="7">
        <v>0.6</v>
      </c>
      <c r="P710" s="7">
        <v>0.6</v>
      </c>
      <c r="Q710" s="7">
        <v>0.6</v>
      </c>
    </row>
    <row r="711" spans="1:17">
      <c r="A711" s="2">
        <v>2659</v>
      </c>
      <c r="B711" s="7">
        <v>0.6</v>
      </c>
      <c r="C711" s="7">
        <v>0.6</v>
      </c>
      <c r="D711" s="7">
        <v>0.6</v>
      </c>
      <c r="E711" s="7">
        <v>0.6</v>
      </c>
      <c r="F711" s="7">
        <v>0.6</v>
      </c>
      <c r="G711" s="7">
        <v>0.6</v>
      </c>
      <c r="H711" s="7">
        <v>0.6</v>
      </c>
      <c r="I711" s="7">
        <v>0.6</v>
      </c>
      <c r="J711" s="7">
        <v>0.6</v>
      </c>
      <c r="K711" s="7">
        <v>0.6</v>
      </c>
      <c r="L711" s="7">
        <v>0.6</v>
      </c>
      <c r="M711" s="7">
        <v>0.6</v>
      </c>
      <c r="N711" s="7">
        <v>0.6</v>
      </c>
      <c r="O711" s="7">
        <v>0.6</v>
      </c>
      <c r="P711" s="7">
        <v>0.6</v>
      </c>
      <c r="Q711" s="7">
        <v>0.6</v>
      </c>
    </row>
    <row r="712" spans="1:17">
      <c r="A712" s="2">
        <v>2660</v>
      </c>
      <c r="B712" s="7">
        <v>0.6</v>
      </c>
      <c r="C712" s="7">
        <v>0.6</v>
      </c>
      <c r="D712" s="7">
        <v>0.6</v>
      </c>
      <c r="E712" s="7">
        <v>0.6</v>
      </c>
      <c r="F712" s="7">
        <v>0.6</v>
      </c>
      <c r="G712" s="7">
        <v>0.6</v>
      </c>
      <c r="H712" s="7">
        <v>0.6</v>
      </c>
      <c r="I712" s="7">
        <v>0.6</v>
      </c>
      <c r="J712" s="7">
        <v>0.6</v>
      </c>
      <c r="K712" s="7">
        <v>0.6</v>
      </c>
      <c r="L712" s="7">
        <v>0.6</v>
      </c>
      <c r="M712" s="7">
        <v>0.6</v>
      </c>
      <c r="N712" s="7">
        <v>0.6</v>
      </c>
      <c r="O712" s="7">
        <v>0.6</v>
      </c>
      <c r="P712" s="7">
        <v>0.6</v>
      </c>
      <c r="Q712" s="7">
        <v>0.6</v>
      </c>
    </row>
    <row r="713" spans="1:17">
      <c r="A713" s="2">
        <v>2661</v>
      </c>
      <c r="B713" s="7">
        <v>0.6</v>
      </c>
      <c r="C713" s="7">
        <v>0.6</v>
      </c>
      <c r="D713" s="7">
        <v>0.6</v>
      </c>
      <c r="E713" s="7">
        <v>0.6</v>
      </c>
      <c r="F713" s="7">
        <v>0.6</v>
      </c>
      <c r="G713" s="7">
        <v>0.6</v>
      </c>
      <c r="H713" s="7">
        <v>0.6</v>
      </c>
      <c r="I713" s="7">
        <v>0.6</v>
      </c>
      <c r="J713" s="7">
        <v>0.6</v>
      </c>
      <c r="K713" s="7">
        <v>0.6</v>
      </c>
      <c r="L713" s="7">
        <v>0.6</v>
      </c>
      <c r="M713" s="7">
        <v>0.6</v>
      </c>
      <c r="N713" s="7">
        <v>0.6</v>
      </c>
      <c r="O713" s="7">
        <v>0.6</v>
      </c>
      <c r="P713" s="7">
        <v>0.6</v>
      </c>
      <c r="Q713" s="7">
        <v>0.6</v>
      </c>
    </row>
    <row r="714" spans="1:17">
      <c r="A714" s="2">
        <v>2662</v>
      </c>
      <c r="B714" s="7">
        <v>0.6</v>
      </c>
      <c r="C714" s="7">
        <v>0.6</v>
      </c>
      <c r="D714" s="7">
        <v>0.6</v>
      </c>
      <c r="E714" s="7">
        <v>0.6</v>
      </c>
      <c r="F714" s="7">
        <v>0.6</v>
      </c>
      <c r="G714" s="7">
        <v>0.6</v>
      </c>
      <c r="H714" s="7">
        <v>0.6</v>
      </c>
      <c r="I714" s="7">
        <v>0.6</v>
      </c>
      <c r="J714" s="7">
        <v>0.6</v>
      </c>
      <c r="K714" s="7">
        <v>0.6</v>
      </c>
      <c r="L714" s="7">
        <v>0.6</v>
      </c>
      <c r="M714" s="7">
        <v>0.6</v>
      </c>
      <c r="N714" s="7">
        <v>0.6</v>
      </c>
      <c r="O714" s="7">
        <v>0.6</v>
      </c>
      <c r="P714" s="7">
        <v>0.6</v>
      </c>
      <c r="Q714" s="7">
        <v>0.6</v>
      </c>
    </row>
    <row r="715" spans="1:17">
      <c r="A715" s="2">
        <v>2663</v>
      </c>
      <c r="B715" s="7">
        <v>0.6</v>
      </c>
      <c r="C715" s="7">
        <v>0.6</v>
      </c>
      <c r="D715" s="7">
        <v>0.6</v>
      </c>
      <c r="E715" s="7">
        <v>0.6</v>
      </c>
      <c r="F715" s="7">
        <v>0.6</v>
      </c>
      <c r="G715" s="7">
        <v>0.6</v>
      </c>
      <c r="H715" s="7">
        <v>0.6</v>
      </c>
      <c r="I715" s="7">
        <v>0.6</v>
      </c>
      <c r="J715" s="7">
        <v>0.6</v>
      </c>
      <c r="K715" s="7">
        <v>0.6</v>
      </c>
      <c r="L715" s="7">
        <v>0.6</v>
      </c>
      <c r="M715" s="7">
        <v>0.6</v>
      </c>
      <c r="N715" s="7">
        <v>0.6</v>
      </c>
      <c r="O715" s="7">
        <v>0.6</v>
      </c>
      <c r="P715" s="7">
        <v>0.6</v>
      </c>
      <c r="Q715" s="7">
        <v>0.6</v>
      </c>
    </row>
    <row r="716" spans="1:17">
      <c r="A716" s="2">
        <v>2664</v>
      </c>
      <c r="B716" s="7">
        <v>0.6</v>
      </c>
      <c r="C716" s="7">
        <v>0.6</v>
      </c>
      <c r="D716" s="7">
        <v>0.6</v>
      </c>
      <c r="E716" s="7">
        <v>0.6</v>
      </c>
      <c r="F716" s="7">
        <v>0.6</v>
      </c>
      <c r="G716" s="7">
        <v>0.6</v>
      </c>
      <c r="H716" s="7">
        <v>0.6</v>
      </c>
      <c r="I716" s="7">
        <v>0.6</v>
      </c>
      <c r="J716" s="7">
        <v>0.6</v>
      </c>
      <c r="K716" s="7">
        <v>0.6</v>
      </c>
      <c r="L716" s="7">
        <v>0.6</v>
      </c>
      <c r="M716" s="7">
        <v>0.6</v>
      </c>
      <c r="N716" s="7">
        <v>0.6</v>
      </c>
      <c r="O716" s="7">
        <v>0.6</v>
      </c>
      <c r="P716" s="7">
        <v>0.6</v>
      </c>
      <c r="Q716" s="7">
        <v>0.6</v>
      </c>
    </row>
    <row r="717" spans="1:17">
      <c r="A717" s="2">
        <v>2665</v>
      </c>
      <c r="B717" s="7">
        <v>0.6</v>
      </c>
      <c r="C717" s="7">
        <v>0.6</v>
      </c>
      <c r="D717" s="7">
        <v>0.6</v>
      </c>
      <c r="E717" s="7">
        <v>0.6</v>
      </c>
      <c r="F717" s="7">
        <v>0.6</v>
      </c>
      <c r="G717" s="7">
        <v>0.6</v>
      </c>
      <c r="H717" s="7">
        <v>0.6</v>
      </c>
      <c r="I717" s="7">
        <v>0.6</v>
      </c>
      <c r="J717" s="7">
        <v>0.6</v>
      </c>
      <c r="K717" s="7">
        <v>0.6</v>
      </c>
      <c r="L717" s="7">
        <v>0.6</v>
      </c>
      <c r="M717" s="7">
        <v>0.6</v>
      </c>
      <c r="N717" s="7">
        <v>0.6</v>
      </c>
      <c r="O717" s="7">
        <v>0.6</v>
      </c>
      <c r="P717" s="7">
        <v>0.6</v>
      </c>
      <c r="Q717" s="7">
        <v>0.6</v>
      </c>
    </row>
    <row r="718" spans="1:17">
      <c r="A718" s="2">
        <v>2666</v>
      </c>
      <c r="B718" s="7">
        <v>0.6</v>
      </c>
      <c r="C718" s="7">
        <v>0.6</v>
      </c>
      <c r="D718" s="7">
        <v>0.6</v>
      </c>
      <c r="E718" s="7">
        <v>0.6</v>
      </c>
      <c r="F718" s="7">
        <v>0.6</v>
      </c>
      <c r="G718" s="7">
        <v>0.6</v>
      </c>
      <c r="H718" s="7">
        <v>0.6</v>
      </c>
      <c r="I718" s="7">
        <v>0.6</v>
      </c>
      <c r="J718" s="7">
        <v>0.6</v>
      </c>
      <c r="K718" s="7">
        <v>0.6</v>
      </c>
      <c r="L718" s="7">
        <v>0.6</v>
      </c>
      <c r="M718" s="7">
        <v>0.6</v>
      </c>
      <c r="N718" s="7">
        <v>0.6</v>
      </c>
      <c r="O718" s="7">
        <v>0.6</v>
      </c>
      <c r="P718" s="7">
        <v>0.6</v>
      </c>
      <c r="Q718" s="7">
        <v>0.6</v>
      </c>
    </row>
    <row r="719" spans="1:17">
      <c r="A719" s="2">
        <v>2667</v>
      </c>
      <c r="B719" s="7">
        <v>0.6</v>
      </c>
      <c r="C719" s="7">
        <v>0.6</v>
      </c>
      <c r="D719" s="7">
        <v>0.6</v>
      </c>
      <c r="E719" s="7">
        <v>0.6</v>
      </c>
      <c r="F719" s="7">
        <v>0.6</v>
      </c>
      <c r="G719" s="7">
        <v>0.6</v>
      </c>
      <c r="H719" s="7">
        <v>0.6</v>
      </c>
      <c r="I719" s="7">
        <v>0.6</v>
      </c>
      <c r="J719" s="7">
        <v>0.6</v>
      </c>
      <c r="K719" s="7">
        <v>0.6</v>
      </c>
      <c r="L719" s="7">
        <v>0.6</v>
      </c>
      <c r="M719" s="7">
        <v>0.6</v>
      </c>
      <c r="N719" s="7">
        <v>0.6</v>
      </c>
      <c r="O719" s="7">
        <v>0.6</v>
      </c>
      <c r="P719" s="7">
        <v>0.6</v>
      </c>
      <c r="Q719" s="7">
        <v>0.6</v>
      </c>
    </row>
    <row r="720" spans="1:17">
      <c r="A720" s="2">
        <v>2668</v>
      </c>
      <c r="B720" s="7">
        <v>0.6</v>
      </c>
      <c r="C720" s="7">
        <v>0.6</v>
      </c>
      <c r="D720" s="7">
        <v>0.6</v>
      </c>
      <c r="E720" s="7">
        <v>0.6</v>
      </c>
      <c r="F720" s="7">
        <v>0.6</v>
      </c>
      <c r="G720" s="7">
        <v>0.6</v>
      </c>
      <c r="H720" s="7">
        <v>0.6</v>
      </c>
      <c r="I720" s="7">
        <v>0.6</v>
      </c>
      <c r="J720" s="7">
        <v>0.6</v>
      </c>
      <c r="K720" s="7">
        <v>0.6</v>
      </c>
      <c r="L720" s="7">
        <v>0.6</v>
      </c>
      <c r="M720" s="7">
        <v>0.6</v>
      </c>
      <c r="N720" s="7">
        <v>0.6</v>
      </c>
      <c r="O720" s="7">
        <v>0.6</v>
      </c>
      <c r="P720" s="7">
        <v>0.6</v>
      </c>
      <c r="Q720" s="7">
        <v>0.6</v>
      </c>
    </row>
    <row r="721" spans="1:17">
      <c r="A721" s="2">
        <v>2669</v>
      </c>
      <c r="B721" s="7">
        <v>0.6</v>
      </c>
      <c r="C721" s="7">
        <v>0.6</v>
      </c>
      <c r="D721" s="7">
        <v>0.6</v>
      </c>
      <c r="E721" s="7">
        <v>0.6</v>
      </c>
      <c r="F721" s="7">
        <v>0.6</v>
      </c>
      <c r="G721" s="7">
        <v>0.6</v>
      </c>
      <c r="H721" s="7">
        <v>0.6</v>
      </c>
      <c r="I721" s="7">
        <v>0.6</v>
      </c>
      <c r="J721" s="7">
        <v>0.6</v>
      </c>
      <c r="K721" s="7">
        <v>0.6</v>
      </c>
      <c r="L721" s="7">
        <v>0.6</v>
      </c>
      <c r="M721" s="7">
        <v>0.6</v>
      </c>
      <c r="N721" s="7">
        <v>0.6</v>
      </c>
      <c r="O721" s="7">
        <v>0.6</v>
      </c>
      <c r="P721" s="7">
        <v>0.6</v>
      </c>
      <c r="Q721" s="7">
        <v>0.6</v>
      </c>
    </row>
    <row r="722" spans="1:17">
      <c r="A722" s="2">
        <v>2670</v>
      </c>
      <c r="B722" s="7">
        <v>0.6</v>
      </c>
      <c r="C722" s="7">
        <v>0.6</v>
      </c>
      <c r="D722" s="7">
        <v>0.6</v>
      </c>
      <c r="E722" s="7">
        <v>0.6</v>
      </c>
      <c r="F722" s="7">
        <v>0.6</v>
      </c>
      <c r="G722" s="7">
        <v>0.6</v>
      </c>
      <c r="H722" s="7">
        <v>0.6</v>
      </c>
      <c r="I722" s="7">
        <v>0.6</v>
      </c>
      <c r="J722" s="7">
        <v>0.6</v>
      </c>
      <c r="K722" s="7">
        <v>0.6</v>
      </c>
      <c r="L722" s="7">
        <v>0.6</v>
      </c>
      <c r="M722" s="7">
        <v>0.6</v>
      </c>
      <c r="N722" s="7">
        <v>0.6</v>
      </c>
      <c r="O722" s="7">
        <v>0.6</v>
      </c>
      <c r="P722" s="7">
        <v>0.6</v>
      </c>
      <c r="Q722" s="7">
        <v>0.6</v>
      </c>
    </row>
    <row r="723" spans="1:17">
      <c r="A723" s="2">
        <v>2671</v>
      </c>
      <c r="B723" s="7">
        <v>0.6</v>
      </c>
      <c r="C723" s="7">
        <v>0.6</v>
      </c>
      <c r="D723" s="7">
        <v>0.6</v>
      </c>
      <c r="E723" s="7">
        <v>0.6</v>
      </c>
      <c r="F723" s="7">
        <v>0.6</v>
      </c>
      <c r="G723" s="7">
        <v>0.6</v>
      </c>
      <c r="H723" s="7">
        <v>0.6</v>
      </c>
      <c r="I723" s="7">
        <v>0.6</v>
      </c>
      <c r="J723" s="7">
        <v>0.6</v>
      </c>
      <c r="K723" s="7">
        <v>0.6</v>
      </c>
      <c r="L723" s="7">
        <v>0.6</v>
      </c>
      <c r="M723" s="7">
        <v>0.6</v>
      </c>
      <c r="N723" s="7">
        <v>0.6</v>
      </c>
      <c r="O723" s="7">
        <v>0.6</v>
      </c>
      <c r="P723" s="7">
        <v>0.6</v>
      </c>
      <c r="Q723" s="7">
        <v>0.6</v>
      </c>
    </row>
    <row r="724" spans="1:17">
      <c r="A724" s="2">
        <v>2672</v>
      </c>
      <c r="B724" s="7">
        <v>0.6</v>
      </c>
      <c r="C724" s="7">
        <v>0.6</v>
      </c>
      <c r="D724" s="7">
        <v>0.6</v>
      </c>
      <c r="E724" s="7">
        <v>0.6</v>
      </c>
      <c r="F724" s="7">
        <v>0.6</v>
      </c>
      <c r="G724" s="7">
        <v>0.6</v>
      </c>
      <c r="H724" s="7">
        <v>0.6</v>
      </c>
      <c r="I724" s="7">
        <v>0.6</v>
      </c>
      <c r="J724" s="7">
        <v>0.6</v>
      </c>
      <c r="K724" s="7">
        <v>0.6</v>
      </c>
      <c r="L724" s="7">
        <v>0.6</v>
      </c>
      <c r="M724" s="7">
        <v>0.6</v>
      </c>
      <c r="N724" s="7">
        <v>0.6</v>
      </c>
      <c r="O724" s="7">
        <v>0.6</v>
      </c>
      <c r="P724" s="7">
        <v>0.6</v>
      </c>
      <c r="Q724" s="7">
        <v>0.6</v>
      </c>
    </row>
    <row r="725" spans="1:17">
      <c r="A725" s="2">
        <v>2673</v>
      </c>
      <c r="B725" s="7">
        <v>0.6</v>
      </c>
      <c r="C725" s="7">
        <v>0.6</v>
      </c>
      <c r="D725" s="7">
        <v>0.6</v>
      </c>
      <c r="E725" s="7">
        <v>0.6</v>
      </c>
      <c r="F725" s="7">
        <v>0.6</v>
      </c>
      <c r="G725" s="7">
        <v>0.6</v>
      </c>
      <c r="H725" s="7">
        <v>0.6</v>
      </c>
      <c r="I725" s="7">
        <v>0.6</v>
      </c>
      <c r="J725" s="7">
        <v>0.6</v>
      </c>
      <c r="K725" s="7">
        <v>0.6</v>
      </c>
      <c r="L725" s="7">
        <v>0.6</v>
      </c>
      <c r="M725" s="7">
        <v>0.6</v>
      </c>
      <c r="N725" s="7">
        <v>0.6</v>
      </c>
      <c r="O725" s="7">
        <v>0.6</v>
      </c>
      <c r="P725" s="7">
        <v>0.6</v>
      </c>
      <c r="Q725" s="7">
        <v>0.6</v>
      </c>
    </row>
    <row r="726" spans="1:17">
      <c r="A726" s="2">
        <v>2674</v>
      </c>
      <c r="B726" s="7">
        <v>0.6</v>
      </c>
      <c r="C726" s="7">
        <v>0.6</v>
      </c>
      <c r="D726" s="7">
        <v>0.6</v>
      </c>
      <c r="E726" s="7">
        <v>0.6</v>
      </c>
      <c r="F726" s="7">
        <v>0.6</v>
      </c>
      <c r="G726" s="7">
        <v>0.6</v>
      </c>
      <c r="H726" s="7">
        <v>0.6</v>
      </c>
      <c r="I726" s="7">
        <v>0.6</v>
      </c>
      <c r="J726" s="7">
        <v>0.6</v>
      </c>
      <c r="K726" s="7">
        <v>0.6</v>
      </c>
      <c r="L726" s="7">
        <v>0.6</v>
      </c>
      <c r="M726" s="7">
        <v>0.6</v>
      </c>
      <c r="N726" s="7">
        <v>0.6</v>
      </c>
      <c r="O726" s="7">
        <v>0.6</v>
      </c>
      <c r="P726" s="7">
        <v>0.6</v>
      </c>
      <c r="Q726" s="7">
        <v>0.6</v>
      </c>
    </row>
    <row r="727" spans="1:17">
      <c r="A727" s="2">
        <v>2675</v>
      </c>
      <c r="B727" s="7">
        <v>0.6</v>
      </c>
      <c r="C727" s="7">
        <v>0.6</v>
      </c>
      <c r="D727" s="7">
        <v>0.6</v>
      </c>
      <c r="E727" s="7">
        <v>0.6</v>
      </c>
      <c r="F727" s="7">
        <v>0.6</v>
      </c>
      <c r="G727" s="7">
        <v>0.6</v>
      </c>
      <c r="H727" s="7">
        <v>0.6</v>
      </c>
      <c r="I727" s="7">
        <v>0.6</v>
      </c>
      <c r="J727" s="7">
        <v>0.6</v>
      </c>
      <c r="K727" s="7">
        <v>0.6</v>
      </c>
      <c r="L727" s="7">
        <v>0.6</v>
      </c>
      <c r="M727" s="7">
        <v>0.6</v>
      </c>
      <c r="N727" s="7">
        <v>0.6</v>
      </c>
      <c r="O727" s="7">
        <v>0.6</v>
      </c>
      <c r="P727" s="7">
        <v>0.6</v>
      </c>
      <c r="Q727" s="7">
        <v>0.6</v>
      </c>
    </row>
    <row r="728" spans="1:17">
      <c r="A728" s="2">
        <v>2676</v>
      </c>
      <c r="B728" s="7">
        <v>0.6</v>
      </c>
      <c r="C728" s="7">
        <v>0.6</v>
      </c>
      <c r="D728" s="7">
        <v>0.6</v>
      </c>
      <c r="E728" s="7">
        <v>0.6</v>
      </c>
      <c r="F728" s="7">
        <v>0.6</v>
      </c>
      <c r="G728" s="7">
        <v>0.6</v>
      </c>
      <c r="H728" s="7">
        <v>0.6</v>
      </c>
      <c r="I728" s="7">
        <v>0.6</v>
      </c>
      <c r="J728" s="7">
        <v>0.6</v>
      </c>
      <c r="K728" s="7">
        <v>0.6</v>
      </c>
      <c r="L728" s="7">
        <v>0.6</v>
      </c>
      <c r="M728" s="7">
        <v>0.6</v>
      </c>
      <c r="N728" s="7">
        <v>0.6</v>
      </c>
      <c r="O728" s="7">
        <v>0.6</v>
      </c>
      <c r="P728" s="7">
        <v>0.6</v>
      </c>
      <c r="Q728" s="7">
        <v>0.6</v>
      </c>
    </row>
    <row r="729" spans="1:17">
      <c r="A729" s="2">
        <v>2677</v>
      </c>
      <c r="B729" s="7">
        <v>0.6</v>
      </c>
      <c r="C729" s="7">
        <v>0.6</v>
      </c>
      <c r="D729" s="7">
        <v>0.6</v>
      </c>
      <c r="E729" s="7">
        <v>0.6</v>
      </c>
      <c r="F729" s="7">
        <v>0.6</v>
      </c>
      <c r="G729" s="7">
        <v>0.6</v>
      </c>
      <c r="H729" s="7">
        <v>0.6</v>
      </c>
      <c r="I729" s="7">
        <v>0.6</v>
      </c>
      <c r="J729" s="7">
        <v>0.6</v>
      </c>
      <c r="K729" s="7">
        <v>0.6</v>
      </c>
      <c r="L729" s="7">
        <v>0.6</v>
      </c>
      <c r="M729" s="7">
        <v>0.6</v>
      </c>
      <c r="N729" s="7">
        <v>0.6</v>
      </c>
      <c r="O729" s="7">
        <v>0.6</v>
      </c>
      <c r="P729" s="7">
        <v>0.6</v>
      </c>
      <c r="Q729" s="7">
        <v>0.6</v>
      </c>
    </row>
    <row r="730" spans="1:17">
      <c r="A730" s="2">
        <v>2678</v>
      </c>
      <c r="B730" s="7">
        <v>0.6</v>
      </c>
      <c r="C730" s="7">
        <v>0.6</v>
      </c>
      <c r="D730" s="7">
        <v>0.6</v>
      </c>
      <c r="E730" s="7">
        <v>0.6</v>
      </c>
      <c r="F730" s="7">
        <v>0.6</v>
      </c>
      <c r="G730" s="7">
        <v>0.6</v>
      </c>
      <c r="H730" s="7">
        <v>0.6</v>
      </c>
      <c r="I730" s="7">
        <v>0.6</v>
      </c>
      <c r="J730" s="7">
        <v>0.6</v>
      </c>
      <c r="K730" s="7">
        <v>0.6</v>
      </c>
      <c r="L730" s="7">
        <v>0.6</v>
      </c>
      <c r="M730" s="7">
        <v>0.6</v>
      </c>
      <c r="N730" s="7">
        <v>0.6</v>
      </c>
      <c r="O730" s="7">
        <v>0.6</v>
      </c>
      <c r="P730" s="7">
        <v>0.6</v>
      </c>
      <c r="Q730" s="7">
        <v>0.6</v>
      </c>
    </row>
    <row r="731" spans="1:17">
      <c r="A731" s="2">
        <v>2679</v>
      </c>
      <c r="B731" s="7">
        <v>0.6</v>
      </c>
      <c r="C731" s="7">
        <v>0.6</v>
      </c>
      <c r="D731" s="7">
        <v>0.6</v>
      </c>
      <c r="E731" s="7">
        <v>0.6</v>
      </c>
      <c r="F731" s="7">
        <v>0.6</v>
      </c>
      <c r="G731" s="7">
        <v>0.6</v>
      </c>
      <c r="H731" s="7">
        <v>0.6</v>
      </c>
      <c r="I731" s="7">
        <v>0.6</v>
      </c>
      <c r="J731" s="7">
        <v>0.6</v>
      </c>
      <c r="K731" s="7">
        <v>0.6</v>
      </c>
      <c r="L731" s="7">
        <v>0.6</v>
      </c>
      <c r="M731" s="7">
        <v>0.6</v>
      </c>
      <c r="N731" s="7">
        <v>0.6</v>
      </c>
      <c r="O731" s="7">
        <v>0.6</v>
      </c>
      <c r="P731" s="7">
        <v>0.6</v>
      </c>
      <c r="Q731" s="7">
        <v>0.6</v>
      </c>
    </row>
    <row r="732" spans="1:17">
      <c r="A732" s="2">
        <v>2680</v>
      </c>
      <c r="B732" s="7">
        <v>0.6</v>
      </c>
      <c r="C732" s="7">
        <v>0.6</v>
      </c>
      <c r="D732" s="7">
        <v>0.6</v>
      </c>
      <c r="E732" s="7">
        <v>0.6</v>
      </c>
      <c r="F732" s="7">
        <v>0.6</v>
      </c>
      <c r="G732" s="7">
        <v>0.6</v>
      </c>
      <c r="H732" s="7">
        <v>0.6</v>
      </c>
      <c r="I732" s="7">
        <v>0.6</v>
      </c>
      <c r="J732" s="7">
        <v>0.6</v>
      </c>
      <c r="K732" s="7">
        <v>0.6</v>
      </c>
      <c r="L732" s="7">
        <v>0.6</v>
      </c>
      <c r="M732" s="7">
        <v>0.6</v>
      </c>
      <c r="N732" s="7">
        <v>0.6</v>
      </c>
      <c r="O732" s="7">
        <v>0.6</v>
      </c>
      <c r="P732" s="7">
        <v>0.6</v>
      </c>
      <c r="Q732" s="7">
        <v>0.6</v>
      </c>
    </row>
    <row r="733" spans="1:17">
      <c r="A733" s="2">
        <v>2681</v>
      </c>
      <c r="B733" s="7">
        <v>0.6</v>
      </c>
      <c r="C733" s="7">
        <v>0.6</v>
      </c>
      <c r="D733" s="7">
        <v>0.6</v>
      </c>
      <c r="E733" s="7">
        <v>0.6</v>
      </c>
      <c r="F733" s="7">
        <v>0.6</v>
      </c>
      <c r="G733" s="7">
        <v>0.6</v>
      </c>
      <c r="H733" s="7">
        <v>0.6</v>
      </c>
      <c r="I733" s="7">
        <v>0.6</v>
      </c>
      <c r="J733" s="7">
        <v>0.6</v>
      </c>
      <c r="K733" s="7">
        <v>0.6</v>
      </c>
      <c r="L733" s="7">
        <v>0.6</v>
      </c>
      <c r="M733" s="7">
        <v>0.6</v>
      </c>
      <c r="N733" s="7">
        <v>0.6</v>
      </c>
      <c r="O733" s="7">
        <v>0.6</v>
      </c>
      <c r="P733" s="7">
        <v>0.6</v>
      </c>
      <c r="Q733" s="7">
        <v>0.6</v>
      </c>
    </row>
    <row r="734" spans="1:17">
      <c r="A734" s="2">
        <v>2682</v>
      </c>
      <c r="B734" s="7">
        <v>0.6</v>
      </c>
      <c r="C734" s="7">
        <v>0.6</v>
      </c>
      <c r="D734" s="7">
        <v>0.6</v>
      </c>
      <c r="E734" s="7">
        <v>0.6</v>
      </c>
      <c r="F734" s="7">
        <v>0.6</v>
      </c>
      <c r="G734" s="7">
        <v>0.6</v>
      </c>
      <c r="H734" s="7">
        <v>0.6</v>
      </c>
      <c r="I734" s="7">
        <v>0.6</v>
      </c>
      <c r="J734" s="7">
        <v>0.6</v>
      </c>
      <c r="K734" s="7">
        <v>0.6</v>
      </c>
      <c r="L734" s="7">
        <v>0.6</v>
      </c>
      <c r="M734" s="7">
        <v>0.6</v>
      </c>
      <c r="N734" s="7">
        <v>0.6</v>
      </c>
      <c r="O734" s="7">
        <v>0.6</v>
      </c>
      <c r="P734" s="7">
        <v>0.6</v>
      </c>
      <c r="Q734" s="7">
        <v>0.6</v>
      </c>
    </row>
    <row r="735" spans="1:17">
      <c r="A735" s="2">
        <v>2683</v>
      </c>
      <c r="B735" s="7">
        <v>0.6</v>
      </c>
      <c r="C735" s="7">
        <v>0.6</v>
      </c>
      <c r="D735" s="7">
        <v>0.6</v>
      </c>
      <c r="E735" s="7">
        <v>0.6</v>
      </c>
      <c r="F735" s="7">
        <v>0.6</v>
      </c>
      <c r="G735" s="7">
        <v>0.6</v>
      </c>
      <c r="H735" s="7">
        <v>0.6</v>
      </c>
      <c r="I735" s="7">
        <v>0.6</v>
      </c>
      <c r="J735" s="7">
        <v>0.6</v>
      </c>
      <c r="K735" s="7">
        <v>0.6</v>
      </c>
      <c r="L735" s="7">
        <v>0.6</v>
      </c>
      <c r="M735" s="7">
        <v>0.6</v>
      </c>
      <c r="N735" s="7">
        <v>0.6</v>
      </c>
      <c r="O735" s="7">
        <v>0.6</v>
      </c>
      <c r="P735" s="7">
        <v>0.6</v>
      </c>
      <c r="Q735" s="7">
        <v>0.6</v>
      </c>
    </row>
    <row r="736" spans="1:17">
      <c r="A736" s="2">
        <v>2684</v>
      </c>
      <c r="B736" s="7">
        <v>0.6</v>
      </c>
      <c r="C736" s="7">
        <v>0.6</v>
      </c>
      <c r="D736" s="7">
        <v>0.6</v>
      </c>
      <c r="E736" s="7">
        <v>0.6</v>
      </c>
      <c r="F736" s="7">
        <v>0.6</v>
      </c>
      <c r="G736" s="7">
        <v>0.6</v>
      </c>
      <c r="H736" s="7">
        <v>0.6</v>
      </c>
      <c r="I736" s="7">
        <v>0.6</v>
      </c>
      <c r="J736" s="7">
        <v>0.6</v>
      </c>
      <c r="K736" s="7">
        <v>0.6</v>
      </c>
      <c r="L736" s="7">
        <v>0.6</v>
      </c>
      <c r="M736" s="7">
        <v>0.6</v>
      </c>
      <c r="N736" s="7">
        <v>0.6</v>
      </c>
      <c r="O736" s="7">
        <v>0.6</v>
      </c>
      <c r="P736" s="7">
        <v>0.6</v>
      </c>
      <c r="Q736" s="7">
        <v>0.6</v>
      </c>
    </row>
    <row r="737" spans="1:17">
      <c r="A737" s="2">
        <v>2685</v>
      </c>
      <c r="B737" s="7">
        <v>0.6</v>
      </c>
      <c r="C737" s="7">
        <v>0.6</v>
      </c>
      <c r="D737" s="7">
        <v>0.6</v>
      </c>
      <c r="E737" s="7">
        <v>0.6</v>
      </c>
      <c r="F737" s="7">
        <v>0.6</v>
      </c>
      <c r="G737" s="7">
        <v>0.6</v>
      </c>
      <c r="H737" s="7">
        <v>0.6</v>
      </c>
      <c r="I737" s="7">
        <v>0.6</v>
      </c>
      <c r="J737" s="7">
        <v>0.6</v>
      </c>
      <c r="K737" s="7">
        <v>0.6</v>
      </c>
      <c r="L737" s="7">
        <v>0.6</v>
      </c>
      <c r="M737" s="7">
        <v>0.6</v>
      </c>
      <c r="N737" s="7">
        <v>0.6</v>
      </c>
      <c r="O737" s="7">
        <v>0.6</v>
      </c>
      <c r="P737" s="7">
        <v>0.6</v>
      </c>
      <c r="Q737" s="7">
        <v>0.6</v>
      </c>
    </row>
    <row r="738" spans="1:17">
      <c r="A738" s="2">
        <v>2686</v>
      </c>
      <c r="B738" s="7">
        <v>0.6</v>
      </c>
      <c r="C738" s="7">
        <v>0.6</v>
      </c>
      <c r="D738" s="7">
        <v>0.6</v>
      </c>
      <c r="E738" s="7">
        <v>0.6</v>
      </c>
      <c r="F738" s="7">
        <v>0.6</v>
      </c>
      <c r="G738" s="7">
        <v>0.6</v>
      </c>
      <c r="H738" s="7">
        <v>0.6</v>
      </c>
      <c r="I738" s="7">
        <v>0.6</v>
      </c>
      <c r="J738" s="7">
        <v>0.6</v>
      </c>
      <c r="K738" s="7">
        <v>0.6</v>
      </c>
      <c r="L738" s="7">
        <v>0.6</v>
      </c>
      <c r="M738" s="7">
        <v>0.6</v>
      </c>
      <c r="N738" s="7">
        <v>0.6</v>
      </c>
      <c r="O738" s="7">
        <v>0.6</v>
      </c>
      <c r="P738" s="7">
        <v>0.6</v>
      </c>
      <c r="Q738" s="7">
        <v>0.6</v>
      </c>
    </row>
    <row r="739" spans="1:17">
      <c r="A739" s="2">
        <v>2687</v>
      </c>
      <c r="B739" s="7">
        <v>0.6</v>
      </c>
      <c r="C739" s="7">
        <v>0.6</v>
      </c>
      <c r="D739" s="7">
        <v>0.6</v>
      </c>
      <c r="E739" s="7">
        <v>0.6</v>
      </c>
      <c r="F739" s="7">
        <v>0.6</v>
      </c>
      <c r="G739" s="7">
        <v>0.6</v>
      </c>
      <c r="H739" s="7">
        <v>0.6</v>
      </c>
      <c r="I739" s="7">
        <v>0.6</v>
      </c>
      <c r="J739" s="7">
        <v>0.6</v>
      </c>
      <c r="K739" s="7">
        <v>0.6</v>
      </c>
      <c r="L739" s="7">
        <v>0.6</v>
      </c>
      <c r="M739" s="7">
        <v>0.6</v>
      </c>
      <c r="N739" s="7">
        <v>0.6</v>
      </c>
      <c r="O739" s="7">
        <v>0.6</v>
      </c>
      <c r="P739" s="7">
        <v>0.6</v>
      </c>
      <c r="Q739" s="7">
        <v>0.6</v>
      </c>
    </row>
    <row r="740" spans="1:17">
      <c r="A740" s="2">
        <v>2688</v>
      </c>
      <c r="B740" s="7">
        <v>0.6</v>
      </c>
      <c r="C740" s="7">
        <v>0.6</v>
      </c>
      <c r="D740" s="7">
        <v>0.6</v>
      </c>
      <c r="E740" s="7">
        <v>0.6</v>
      </c>
      <c r="F740" s="7">
        <v>0.6</v>
      </c>
      <c r="G740" s="7">
        <v>0.6</v>
      </c>
      <c r="H740" s="7">
        <v>0.6</v>
      </c>
      <c r="I740" s="7">
        <v>0.6</v>
      </c>
      <c r="J740" s="7">
        <v>0.6</v>
      </c>
      <c r="K740" s="7">
        <v>0.6</v>
      </c>
      <c r="L740" s="7">
        <v>0.6</v>
      </c>
      <c r="M740" s="7">
        <v>0.6</v>
      </c>
      <c r="N740" s="7">
        <v>0.6</v>
      </c>
      <c r="O740" s="7">
        <v>0.6</v>
      </c>
      <c r="P740" s="7">
        <v>0.6</v>
      </c>
      <c r="Q740" s="7">
        <v>0.6</v>
      </c>
    </row>
    <row r="741" spans="1:17">
      <c r="A741" s="2">
        <v>2689</v>
      </c>
      <c r="B741" s="7">
        <v>0.6</v>
      </c>
      <c r="C741" s="7">
        <v>0.6</v>
      </c>
      <c r="D741" s="7">
        <v>0.6</v>
      </c>
      <c r="E741" s="7">
        <v>0.6</v>
      </c>
      <c r="F741" s="7">
        <v>0.6</v>
      </c>
      <c r="G741" s="7">
        <v>0.6</v>
      </c>
      <c r="H741" s="7">
        <v>0.6</v>
      </c>
      <c r="I741" s="7">
        <v>0.6</v>
      </c>
      <c r="J741" s="7">
        <v>0.6</v>
      </c>
      <c r="K741" s="7">
        <v>0.6</v>
      </c>
      <c r="L741" s="7">
        <v>0.6</v>
      </c>
      <c r="M741" s="7">
        <v>0.6</v>
      </c>
      <c r="N741" s="7">
        <v>0.6</v>
      </c>
      <c r="O741" s="7">
        <v>0.6</v>
      </c>
      <c r="P741" s="7">
        <v>0.6</v>
      </c>
      <c r="Q741" s="7">
        <v>0.6</v>
      </c>
    </row>
    <row r="742" spans="1:17">
      <c r="A742" s="2">
        <v>2690</v>
      </c>
      <c r="B742" s="7">
        <v>0.6</v>
      </c>
      <c r="C742" s="7">
        <v>0.6</v>
      </c>
      <c r="D742" s="7">
        <v>0.6</v>
      </c>
      <c r="E742" s="7">
        <v>0.6</v>
      </c>
      <c r="F742" s="7">
        <v>0.6</v>
      </c>
      <c r="G742" s="7">
        <v>0.6</v>
      </c>
      <c r="H742" s="7">
        <v>0.6</v>
      </c>
      <c r="I742" s="7">
        <v>0.6</v>
      </c>
      <c r="J742" s="7">
        <v>0.6</v>
      </c>
      <c r="K742" s="7">
        <v>0.6</v>
      </c>
      <c r="L742" s="7">
        <v>0.6</v>
      </c>
      <c r="M742" s="7">
        <v>0.6</v>
      </c>
      <c r="N742" s="7">
        <v>0.6</v>
      </c>
      <c r="O742" s="7">
        <v>0.6</v>
      </c>
      <c r="P742" s="7">
        <v>0.6</v>
      </c>
      <c r="Q742" s="7">
        <v>0.6</v>
      </c>
    </row>
    <row r="743" spans="1:17">
      <c r="A743" s="2">
        <v>2691</v>
      </c>
      <c r="B743" s="7">
        <v>0.6</v>
      </c>
      <c r="C743" s="7">
        <v>0.6</v>
      </c>
      <c r="D743" s="7">
        <v>0.6</v>
      </c>
      <c r="E743" s="7">
        <v>0.6</v>
      </c>
      <c r="F743" s="7">
        <v>0.6</v>
      </c>
      <c r="G743" s="7">
        <v>0.6</v>
      </c>
      <c r="H743" s="7">
        <v>0.6</v>
      </c>
      <c r="I743" s="7">
        <v>0.6</v>
      </c>
      <c r="J743" s="7">
        <v>0.6</v>
      </c>
      <c r="K743" s="7">
        <v>0.6</v>
      </c>
      <c r="L743" s="7">
        <v>0.6</v>
      </c>
      <c r="M743" s="7">
        <v>0.6</v>
      </c>
      <c r="N743" s="7">
        <v>0.6</v>
      </c>
      <c r="O743" s="7">
        <v>0.6</v>
      </c>
      <c r="P743" s="7">
        <v>0.6</v>
      </c>
      <c r="Q743" s="7">
        <v>0.6</v>
      </c>
    </row>
    <row r="744" spans="1:17">
      <c r="A744" s="2">
        <v>2692</v>
      </c>
      <c r="B744" s="7">
        <v>0.6</v>
      </c>
      <c r="C744" s="7">
        <v>0.6</v>
      </c>
      <c r="D744" s="7">
        <v>0.6</v>
      </c>
      <c r="E744" s="7">
        <v>0.6</v>
      </c>
      <c r="F744" s="7">
        <v>0.6</v>
      </c>
      <c r="G744" s="7">
        <v>0.6</v>
      </c>
      <c r="H744" s="7">
        <v>0.6</v>
      </c>
      <c r="I744" s="7">
        <v>0.6</v>
      </c>
      <c r="J744" s="7">
        <v>0.6</v>
      </c>
      <c r="K744" s="7">
        <v>0.6</v>
      </c>
      <c r="L744" s="7">
        <v>0.6</v>
      </c>
      <c r="M744" s="7">
        <v>0.6</v>
      </c>
      <c r="N744" s="7">
        <v>0.6</v>
      </c>
      <c r="O744" s="7">
        <v>0.6</v>
      </c>
      <c r="P744" s="7">
        <v>0.6</v>
      </c>
      <c r="Q744" s="7">
        <v>0.6</v>
      </c>
    </row>
    <row r="745" spans="1:17">
      <c r="A745" s="2">
        <v>2693</v>
      </c>
      <c r="B745" s="7">
        <v>0.6</v>
      </c>
      <c r="C745" s="7">
        <v>0.6</v>
      </c>
      <c r="D745" s="7">
        <v>0.6</v>
      </c>
      <c r="E745" s="7">
        <v>0.6</v>
      </c>
      <c r="F745" s="7">
        <v>0.6</v>
      </c>
      <c r="G745" s="7">
        <v>0.6</v>
      </c>
      <c r="H745" s="7">
        <v>0.6</v>
      </c>
      <c r="I745" s="7">
        <v>0.6</v>
      </c>
      <c r="J745" s="7">
        <v>0.6</v>
      </c>
      <c r="K745" s="7">
        <v>0.6</v>
      </c>
      <c r="L745" s="7">
        <v>0.6</v>
      </c>
      <c r="M745" s="7">
        <v>0.6</v>
      </c>
      <c r="N745" s="7">
        <v>0.6</v>
      </c>
      <c r="O745" s="7">
        <v>0.6</v>
      </c>
      <c r="P745" s="7">
        <v>0.6</v>
      </c>
      <c r="Q745" s="7">
        <v>0.6</v>
      </c>
    </row>
    <row r="746" spans="1:17">
      <c r="A746" s="2">
        <v>2694</v>
      </c>
      <c r="B746" s="7">
        <v>0.6</v>
      </c>
      <c r="C746" s="7">
        <v>0.6</v>
      </c>
      <c r="D746" s="7">
        <v>0.6</v>
      </c>
      <c r="E746" s="7">
        <v>0.6</v>
      </c>
      <c r="F746" s="7">
        <v>0.6</v>
      </c>
      <c r="G746" s="7">
        <v>0.6</v>
      </c>
      <c r="H746" s="7">
        <v>0.6</v>
      </c>
      <c r="I746" s="7">
        <v>0.6</v>
      </c>
      <c r="J746" s="7">
        <v>0.6</v>
      </c>
      <c r="K746" s="7">
        <v>0.6</v>
      </c>
      <c r="L746" s="7">
        <v>0.6</v>
      </c>
      <c r="M746" s="7">
        <v>0.6</v>
      </c>
      <c r="N746" s="7">
        <v>0.6</v>
      </c>
      <c r="O746" s="7">
        <v>0.6</v>
      </c>
      <c r="P746" s="7">
        <v>0.6</v>
      </c>
      <c r="Q746" s="7">
        <v>0.6</v>
      </c>
    </row>
    <row r="747" spans="1:17">
      <c r="A747" s="2">
        <v>2695</v>
      </c>
      <c r="B747" s="7">
        <v>0.6</v>
      </c>
      <c r="C747" s="7">
        <v>0.6</v>
      </c>
      <c r="D747" s="7">
        <v>0.6</v>
      </c>
      <c r="E747" s="7">
        <v>0.6</v>
      </c>
      <c r="F747" s="7">
        <v>0.6</v>
      </c>
      <c r="G747" s="7">
        <v>0.6</v>
      </c>
      <c r="H747" s="7">
        <v>0.6</v>
      </c>
      <c r="I747" s="7">
        <v>0.6</v>
      </c>
      <c r="J747" s="7">
        <v>0.6</v>
      </c>
      <c r="K747" s="7">
        <v>0.6</v>
      </c>
      <c r="L747" s="7">
        <v>0.6</v>
      </c>
      <c r="M747" s="7">
        <v>0.6</v>
      </c>
      <c r="N747" s="7">
        <v>0.6</v>
      </c>
      <c r="O747" s="7">
        <v>0.6</v>
      </c>
      <c r="P747" s="7">
        <v>0.6</v>
      </c>
      <c r="Q747" s="7">
        <v>0.6</v>
      </c>
    </row>
    <row r="748" spans="1:17">
      <c r="A748" s="2">
        <v>2696</v>
      </c>
      <c r="B748" s="7">
        <v>0.6</v>
      </c>
      <c r="C748" s="7">
        <v>0.6</v>
      </c>
      <c r="D748" s="7">
        <v>0.6</v>
      </c>
      <c r="E748" s="7">
        <v>0.6</v>
      </c>
      <c r="F748" s="7">
        <v>0.6</v>
      </c>
      <c r="G748" s="7">
        <v>0.6</v>
      </c>
      <c r="H748" s="7">
        <v>0.6</v>
      </c>
      <c r="I748" s="7">
        <v>0.6</v>
      </c>
      <c r="J748" s="7">
        <v>0.6</v>
      </c>
      <c r="K748" s="7">
        <v>0.6</v>
      </c>
      <c r="L748" s="7">
        <v>0.6</v>
      </c>
      <c r="M748" s="7">
        <v>0.6</v>
      </c>
      <c r="N748" s="7">
        <v>0.6</v>
      </c>
      <c r="O748" s="7">
        <v>0.6</v>
      </c>
      <c r="P748" s="7">
        <v>0.6</v>
      </c>
      <c r="Q748" s="7">
        <v>0.6</v>
      </c>
    </row>
    <row r="749" spans="1:17">
      <c r="A749" s="2">
        <v>2697</v>
      </c>
      <c r="B749" s="7">
        <v>0.6</v>
      </c>
      <c r="C749" s="7">
        <v>0.6</v>
      </c>
      <c r="D749" s="7">
        <v>0.6</v>
      </c>
      <c r="E749" s="7">
        <v>0.6</v>
      </c>
      <c r="F749" s="7">
        <v>0.6</v>
      </c>
      <c r="G749" s="7">
        <v>0.6</v>
      </c>
      <c r="H749" s="7">
        <v>0.6</v>
      </c>
      <c r="I749" s="7">
        <v>0.6</v>
      </c>
      <c r="J749" s="7">
        <v>0.6</v>
      </c>
      <c r="K749" s="7">
        <v>0.6</v>
      </c>
      <c r="L749" s="7">
        <v>0.6</v>
      </c>
      <c r="M749" s="7">
        <v>0.6</v>
      </c>
      <c r="N749" s="7">
        <v>0.6</v>
      </c>
      <c r="O749" s="7">
        <v>0.6</v>
      </c>
      <c r="P749" s="7">
        <v>0.6</v>
      </c>
      <c r="Q749" s="7">
        <v>0.6</v>
      </c>
    </row>
    <row r="750" spans="1:17">
      <c r="A750" s="2">
        <v>2698</v>
      </c>
      <c r="B750" s="7">
        <v>0.6</v>
      </c>
      <c r="C750" s="7">
        <v>0.6</v>
      </c>
      <c r="D750" s="7">
        <v>0.6</v>
      </c>
      <c r="E750" s="7">
        <v>0.6</v>
      </c>
      <c r="F750" s="7">
        <v>0.6</v>
      </c>
      <c r="G750" s="7">
        <v>0.6</v>
      </c>
      <c r="H750" s="7">
        <v>0.6</v>
      </c>
      <c r="I750" s="7">
        <v>0.6</v>
      </c>
      <c r="J750" s="7">
        <v>0.6</v>
      </c>
      <c r="K750" s="7">
        <v>0.6</v>
      </c>
      <c r="L750" s="7">
        <v>0.6</v>
      </c>
      <c r="M750" s="7">
        <v>0.6</v>
      </c>
      <c r="N750" s="7">
        <v>0.6</v>
      </c>
      <c r="O750" s="7">
        <v>0.6</v>
      </c>
      <c r="P750" s="7">
        <v>0.6</v>
      </c>
      <c r="Q750" s="7">
        <v>0.6</v>
      </c>
    </row>
    <row r="751" spans="1:17">
      <c r="A751" s="2">
        <v>2699</v>
      </c>
      <c r="B751" s="7">
        <v>0.6</v>
      </c>
      <c r="C751" s="7">
        <v>0.6</v>
      </c>
      <c r="D751" s="7">
        <v>0.6</v>
      </c>
      <c r="E751" s="7">
        <v>0.6</v>
      </c>
      <c r="F751" s="7">
        <v>0.6</v>
      </c>
      <c r="G751" s="7">
        <v>0.6</v>
      </c>
      <c r="H751" s="7">
        <v>0.6</v>
      </c>
      <c r="I751" s="7">
        <v>0.6</v>
      </c>
      <c r="J751" s="7">
        <v>0.6</v>
      </c>
      <c r="K751" s="7">
        <v>0.6</v>
      </c>
      <c r="L751" s="7">
        <v>0.6</v>
      </c>
      <c r="M751" s="7">
        <v>0.6</v>
      </c>
      <c r="N751" s="7">
        <v>0.6</v>
      </c>
      <c r="O751" s="7">
        <v>0.6</v>
      </c>
      <c r="P751" s="7">
        <v>0.6</v>
      </c>
      <c r="Q751" s="7">
        <v>0.6</v>
      </c>
    </row>
    <row r="752" spans="1:17">
      <c r="A752" s="2">
        <v>2700</v>
      </c>
      <c r="B752" s="7">
        <v>0.6</v>
      </c>
      <c r="C752" s="7">
        <v>0.6</v>
      </c>
      <c r="D752" s="7">
        <v>0.6</v>
      </c>
      <c r="E752" s="7">
        <v>0.6</v>
      </c>
      <c r="F752" s="7">
        <v>0.6</v>
      </c>
      <c r="G752" s="7">
        <v>0.6</v>
      </c>
      <c r="H752" s="7">
        <v>0.6</v>
      </c>
      <c r="I752" s="7">
        <v>0.6</v>
      </c>
      <c r="J752" s="7">
        <v>0.6</v>
      </c>
      <c r="K752" s="7">
        <v>0.6</v>
      </c>
      <c r="L752" s="7">
        <v>0.6</v>
      </c>
      <c r="M752" s="7">
        <v>0.6</v>
      </c>
      <c r="N752" s="7">
        <v>0.6</v>
      </c>
      <c r="O752" s="7">
        <v>0.6</v>
      </c>
      <c r="P752" s="7">
        <v>0.6</v>
      </c>
      <c r="Q752" s="7">
        <v>0.6</v>
      </c>
    </row>
    <row r="753" spans="1:17">
      <c r="A753" s="2">
        <v>2701</v>
      </c>
      <c r="B753" s="7">
        <v>0.6</v>
      </c>
      <c r="C753" s="7">
        <v>0.6</v>
      </c>
      <c r="D753" s="7">
        <v>0.6</v>
      </c>
      <c r="E753" s="7">
        <v>0.6</v>
      </c>
      <c r="F753" s="7">
        <v>0.6</v>
      </c>
      <c r="G753" s="7">
        <v>0.6</v>
      </c>
      <c r="H753" s="7">
        <v>0.6</v>
      </c>
      <c r="I753" s="7">
        <v>0.6</v>
      </c>
      <c r="J753" s="7">
        <v>0.6</v>
      </c>
      <c r="K753" s="7">
        <v>0.6</v>
      </c>
      <c r="L753" s="7">
        <v>0.6</v>
      </c>
      <c r="M753" s="7">
        <v>0.6</v>
      </c>
      <c r="N753" s="7">
        <v>0.6</v>
      </c>
      <c r="O753" s="7">
        <v>0.6</v>
      </c>
      <c r="P753" s="7">
        <v>0.6</v>
      </c>
      <c r="Q753" s="7">
        <v>0.6</v>
      </c>
    </row>
    <row r="754" spans="1:17">
      <c r="A754" s="2">
        <v>2702</v>
      </c>
      <c r="B754" s="7">
        <v>0.6</v>
      </c>
      <c r="C754" s="7">
        <v>0.6</v>
      </c>
      <c r="D754" s="7">
        <v>0.6</v>
      </c>
      <c r="E754" s="7">
        <v>0.6</v>
      </c>
      <c r="F754" s="7">
        <v>0.6</v>
      </c>
      <c r="G754" s="7">
        <v>0.6</v>
      </c>
      <c r="H754" s="7">
        <v>0.6</v>
      </c>
      <c r="I754" s="7">
        <v>0.6</v>
      </c>
      <c r="J754" s="7">
        <v>0.6</v>
      </c>
      <c r="K754" s="7">
        <v>0.6</v>
      </c>
      <c r="L754" s="7">
        <v>0.6</v>
      </c>
      <c r="M754" s="7">
        <v>0.6</v>
      </c>
      <c r="N754" s="7">
        <v>0.6</v>
      </c>
      <c r="O754" s="7">
        <v>0.6</v>
      </c>
      <c r="P754" s="7">
        <v>0.6</v>
      </c>
      <c r="Q754" s="7">
        <v>0.6</v>
      </c>
    </row>
    <row r="755" spans="1:17">
      <c r="A755" s="2">
        <v>2703</v>
      </c>
      <c r="B755" s="7">
        <v>0.6</v>
      </c>
      <c r="C755" s="7">
        <v>0.6</v>
      </c>
      <c r="D755" s="7">
        <v>0.6</v>
      </c>
      <c r="E755" s="7">
        <v>0.6</v>
      </c>
      <c r="F755" s="7">
        <v>0.6</v>
      </c>
      <c r="G755" s="7">
        <v>0.6</v>
      </c>
      <c r="H755" s="7">
        <v>0.6</v>
      </c>
      <c r="I755" s="7">
        <v>0.6</v>
      </c>
      <c r="J755" s="7">
        <v>0.6</v>
      </c>
      <c r="K755" s="7">
        <v>0.6</v>
      </c>
      <c r="L755" s="7">
        <v>0.6</v>
      </c>
      <c r="M755" s="7">
        <v>0.6</v>
      </c>
      <c r="N755" s="7">
        <v>0.6</v>
      </c>
      <c r="O755" s="7">
        <v>0.6</v>
      </c>
      <c r="P755" s="7">
        <v>0.6</v>
      </c>
      <c r="Q755" s="7">
        <v>0.6</v>
      </c>
    </row>
    <row r="756" spans="1:17">
      <c r="A756" s="2">
        <v>2704</v>
      </c>
      <c r="B756" s="7">
        <v>0.6</v>
      </c>
      <c r="C756" s="7">
        <v>0.6</v>
      </c>
      <c r="D756" s="7">
        <v>0.6</v>
      </c>
      <c r="E756" s="7">
        <v>0.6</v>
      </c>
      <c r="F756" s="7">
        <v>0.6</v>
      </c>
      <c r="G756" s="7">
        <v>0.6</v>
      </c>
      <c r="H756" s="7">
        <v>0.6</v>
      </c>
      <c r="I756" s="7">
        <v>0.6</v>
      </c>
      <c r="J756" s="7">
        <v>0.6</v>
      </c>
      <c r="K756" s="7">
        <v>0.6</v>
      </c>
      <c r="L756" s="7">
        <v>0.6</v>
      </c>
      <c r="M756" s="7">
        <v>0.6</v>
      </c>
      <c r="N756" s="7">
        <v>0.6</v>
      </c>
      <c r="O756" s="7">
        <v>0.6</v>
      </c>
      <c r="P756" s="7">
        <v>0.6</v>
      </c>
      <c r="Q756" s="7">
        <v>0.6</v>
      </c>
    </row>
    <row r="757" spans="1:17">
      <c r="A757" s="2">
        <v>2705</v>
      </c>
      <c r="B757" s="7">
        <v>0.6</v>
      </c>
      <c r="C757" s="7">
        <v>0.6</v>
      </c>
      <c r="D757" s="7">
        <v>0.6</v>
      </c>
      <c r="E757" s="7">
        <v>0.6</v>
      </c>
      <c r="F757" s="7">
        <v>0.6</v>
      </c>
      <c r="G757" s="7">
        <v>0.6</v>
      </c>
      <c r="H757" s="7">
        <v>0.6</v>
      </c>
      <c r="I757" s="7">
        <v>0.6</v>
      </c>
      <c r="J757" s="7">
        <v>0.6</v>
      </c>
      <c r="K757" s="7">
        <v>0.6</v>
      </c>
      <c r="L757" s="7">
        <v>0.6</v>
      </c>
      <c r="M757" s="7">
        <v>0.6</v>
      </c>
      <c r="N757" s="7">
        <v>0.6</v>
      </c>
      <c r="O757" s="7">
        <v>0.6</v>
      </c>
      <c r="P757" s="7">
        <v>0.6</v>
      </c>
      <c r="Q757" s="7">
        <v>0.6</v>
      </c>
    </row>
    <row r="758" spans="1:17">
      <c r="A758" s="2">
        <v>2706</v>
      </c>
      <c r="B758" s="7">
        <v>0.6</v>
      </c>
      <c r="C758" s="7">
        <v>0.6</v>
      </c>
      <c r="D758" s="7">
        <v>0.6</v>
      </c>
      <c r="E758" s="7">
        <v>0.6</v>
      </c>
      <c r="F758" s="7">
        <v>0.6</v>
      </c>
      <c r="G758" s="7">
        <v>0.6</v>
      </c>
      <c r="H758" s="7">
        <v>0.6</v>
      </c>
      <c r="I758" s="7">
        <v>0.6</v>
      </c>
      <c r="J758" s="7">
        <v>0.6</v>
      </c>
      <c r="K758" s="7">
        <v>0.6</v>
      </c>
      <c r="L758" s="7">
        <v>0.6</v>
      </c>
      <c r="M758" s="7">
        <v>0.6</v>
      </c>
      <c r="N758" s="7">
        <v>0.6</v>
      </c>
      <c r="O758" s="7">
        <v>0.6</v>
      </c>
      <c r="P758" s="7">
        <v>0.6</v>
      </c>
      <c r="Q758" s="7">
        <v>0.6</v>
      </c>
    </row>
    <row r="759" spans="1:17">
      <c r="A759" s="2">
        <v>2707</v>
      </c>
      <c r="B759" s="7">
        <v>0.6</v>
      </c>
      <c r="C759" s="7">
        <v>0.6</v>
      </c>
      <c r="D759" s="7">
        <v>0.6</v>
      </c>
      <c r="E759" s="7">
        <v>0.6</v>
      </c>
      <c r="F759" s="7">
        <v>0.6</v>
      </c>
      <c r="G759" s="7">
        <v>0.6</v>
      </c>
      <c r="H759" s="7">
        <v>0.6</v>
      </c>
      <c r="I759" s="7">
        <v>0.6</v>
      </c>
      <c r="J759" s="7">
        <v>0.6</v>
      </c>
      <c r="K759" s="7">
        <v>0.6</v>
      </c>
      <c r="L759" s="7">
        <v>0.6</v>
      </c>
      <c r="M759" s="7">
        <v>0.6</v>
      </c>
      <c r="N759" s="7">
        <v>0.6</v>
      </c>
      <c r="O759" s="7">
        <v>0.6</v>
      </c>
      <c r="P759" s="7">
        <v>0.6</v>
      </c>
      <c r="Q759" s="7">
        <v>0.6</v>
      </c>
    </row>
    <row r="760" spans="1:17">
      <c r="A760" s="2">
        <v>2708</v>
      </c>
      <c r="B760" s="7">
        <v>0.6</v>
      </c>
      <c r="C760" s="7">
        <v>0.6</v>
      </c>
      <c r="D760" s="7">
        <v>0.6</v>
      </c>
      <c r="E760" s="7">
        <v>0.6</v>
      </c>
      <c r="F760" s="7">
        <v>0.6</v>
      </c>
      <c r="G760" s="7">
        <v>0.6</v>
      </c>
      <c r="H760" s="7">
        <v>0.6</v>
      </c>
      <c r="I760" s="7">
        <v>0.6</v>
      </c>
      <c r="J760" s="7">
        <v>0.6</v>
      </c>
      <c r="K760" s="7">
        <v>0.6</v>
      </c>
      <c r="L760" s="7">
        <v>0.6</v>
      </c>
      <c r="M760" s="7">
        <v>0.6</v>
      </c>
      <c r="N760" s="7">
        <v>0.6</v>
      </c>
      <c r="O760" s="7">
        <v>0.6</v>
      </c>
      <c r="P760" s="7">
        <v>0.6</v>
      </c>
      <c r="Q760" s="7">
        <v>0.6</v>
      </c>
    </row>
    <row r="761" spans="1:17">
      <c r="A761" s="2">
        <v>2709</v>
      </c>
      <c r="B761" s="7">
        <v>0.6</v>
      </c>
      <c r="C761" s="7">
        <v>0.6</v>
      </c>
      <c r="D761" s="7">
        <v>0.6</v>
      </c>
      <c r="E761" s="7">
        <v>0.6</v>
      </c>
      <c r="F761" s="7">
        <v>0.6</v>
      </c>
      <c r="G761" s="7">
        <v>0.6</v>
      </c>
      <c r="H761" s="7">
        <v>0.6</v>
      </c>
      <c r="I761" s="7">
        <v>0.6</v>
      </c>
      <c r="J761" s="7">
        <v>0.6</v>
      </c>
      <c r="K761" s="7">
        <v>0.6</v>
      </c>
      <c r="L761" s="7">
        <v>0.6</v>
      </c>
      <c r="M761" s="7">
        <v>0.6</v>
      </c>
      <c r="N761" s="7">
        <v>0.6</v>
      </c>
      <c r="O761" s="7">
        <v>0.6</v>
      </c>
      <c r="P761" s="7">
        <v>0.6</v>
      </c>
      <c r="Q761" s="7">
        <v>0.6</v>
      </c>
    </row>
    <row r="762" spans="1:17">
      <c r="A762" s="2">
        <v>2710</v>
      </c>
      <c r="B762" s="7">
        <v>0.6</v>
      </c>
      <c r="C762" s="7">
        <v>0.6</v>
      </c>
      <c r="D762" s="7">
        <v>0.6</v>
      </c>
      <c r="E762" s="7">
        <v>0.6</v>
      </c>
      <c r="F762" s="7">
        <v>0.6</v>
      </c>
      <c r="G762" s="7">
        <v>0.6</v>
      </c>
      <c r="H762" s="7">
        <v>0.6</v>
      </c>
      <c r="I762" s="7">
        <v>0.6</v>
      </c>
      <c r="J762" s="7">
        <v>0.6</v>
      </c>
      <c r="K762" s="7">
        <v>0.6</v>
      </c>
      <c r="L762" s="7">
        <v>0.6</v>
      </c>
      <c r="M762" s="7">
        <v>0.6</v>
      </c>
      <c r="N762" s="7">
        <v>0.6</v>
      </c>
      <c r="O762" s="7">
        <v>0.6</v>
      </c>
      <c r="P762" s="7">
        <v>0.6</v>
      </c>
      <c r="Q762" s="7">
        <v>0.6</v>
      </c>
    </row>
    <row r="763" spans="1:17">
      <c r="A763" s="2">
        <v>2711</v>
      </c>
      <c r="B763" s="7">
        <v>0.6</v>
      </c>
      <c r="C763" s="7">
        <v>0.6</v>
      </c>
      <c r="D763" s="7">
        <v>0.6</v>
      </c>
      <c r="E763" s="7">
        <v>0.6</v>
      </c>
      <c r="F763" s="7">
        <v>0.6</v>
      </c>
      <c r="G763" s="7">
        <v>0.6</v>
      </c>
      <c r="H763" s="7">
        <v>0.6</v>
      </c>
      <c r="I763" s="7">
        <v>0.6</v>
      </c>
      <c r="J763" s="7">
        <v>0.6</v>
      </c>
      <c r="K763" s="7">
        <v>0.6</v>
      </c>
      <c r="L763" s="7">
        <v>0.6</v>
      </c>
      <c r="M763" s="7">
        <v>0.6</v>
      </c>
      <c r="N763" s="7">
        <v>0.6</v>
      </c>
      <c r="O763" s="7">
        <v>0.6</v>
      </c>
      <c r="P763" s="7">
        <v>0.6</v>
      </c>
      <c r="Q763" s="7">
        <v>0.6</v>
      </c>
    </row>
    <row r="764" spans="1:17">
      <c r="A764" s="2">
        <v>2712</v>
      </c>
      <c r="B764" s="7">
        <v>0.6</v>
      </c>
      <c r="C764" s="7">
        <v>0.6</v>
      </c>
      <c r="D764" s="7">
        <v>0.6</v>
      </c>
      <c r="E764" s="7">
        <v>0.6</v>
      </c>
      <c r="F764" s="7">
        <v>0.6</v>
      </c>
      <c r="G764" s="7">
        <v>0.6</v>
      </c>
      <c r="H764" s="7">
        <v>0.6</v>
      </c>
      <c r="I764" s="7">
        <v>0.6</v>
      </c>
      <c r="J764" s="7">
        <v>0.6</v>
      </c>
      <c r="K764" s="7">
        <v>0.6</v>
      </c>
      <c r="L764" s="7">
        <v>0.6</v>
      </c>
      <c r="M764" s="7">
        <v>0.6</v>
      </c>
      <c r="N764" s="7">
        <v>0.6</v>
      </c>
      <c r="O764" s="7">
        <v>0.6</v>
      </c>
      <c r="P764" s="7">
        <v>0.6</v>
      </c>
      <c r="Q764" s="7">
        <v>0.6</v>
      </c>
    </row>
    <row r="765" spans="1:17">
      <c r="A765" s="2">
        <v>2713</v>
      </c>
      <c r="B765" s="7">
        <v>0.6</v>
      </c>
      <c r="C765" s="7">
        <v>0.6</v>
      </c>
      <c r="D765" s="7">
        <v>0.6</v>
      </c>
      <c r="E765" s="7">
        <v>0.6</v>
      </c>
      <c r="F765" s="7">
        <v>0.6</v>
      </c>
      <c r="G765" s="7">
        <v>0.6</v>
      </c>
      <c r="H765" s="7">
        <v>0.6</v>
      </c>
      <c r="I765" s="7">
        <v>0.6</v>
      </c>
      <c r="J765" s="7">
        <v>0.6</v>
      </c>
      <c r="K765" s="7">
        <v>0.6</v>
      </c>
      <c r="L765" s="7">
        <v>0.6</v>
      </c>
      <c r="M765" s="7">
        <v>0.6</v>
      </c>
      <c r="N765" s="7">
        <v>0.6</v>
      </c>
      <c r="O765" s="7">
        <v>0.6</v>
      </c>
      <c r="P765" s="7">
        <v>0.6</v>
      </c>
      <c r="Q765" s="7">
        <v>0.6</v>
      </c>
    </row>
    <row r="766" spans="1:17">
      <c r="A766" s="2">
        <v>2714</v>
      </c>
      <c r="B766" s="7">
        <v>0.6</v>
      </c>
      <c r="C766" s="7">
        <v>0.6</v>
      </c>
      <c r="D766" s="7">
        <v>0.6</v>
      </c>
      <c r="E766" s="7">
        <v>0.6</v>
      </c>
      <c r="F766" s="7">
        <v>0.6</v>
      </c>
      <c r="G766" s="7">
        <v>0.6</v>
      </c>
      <c r="H766" s="7">
        <v>0.6</v>
      </c>
      <c r="I766" s="7">
        <v>0.6</v>
      </c>
      <c r="J766" s="7">
        <v>0.6</v>
      </c>
      <c r="K766" s="7">
        <v>0.6</v>
      </c>
      <c r="L766" s="7">
        <v>0.6</v>
      </c>
      <c r="M766" s="7">
        <v>0.6</v>
      </c>
      <c r="N766" s="7">
        <v>0.6</v>
      </c>
      <c r="O766" s="7">
        <v>0.6</v>
      </c>
      <c r="P766" s="7">
        <v>0.6</v>
      </c>
      <c r="Q766" s="7">
        <v>0.6</v>
      </c>
    </row>
    <row r="767" spans="1:17">
      <c r="A767" s="2">
        <v>2715</v>
      </c>
      <c r="B767" s="7">
        <v>0.6</v>
      </c>
      <c r="C767" s="7">
        <v>0.6</v>
      </c>
      <c r="D767" s="7">
        <v>0.6</v>
      </c>
      <c r="E767" s="7">
        <v>0.6</v>
      </c>
      <c r="F767" s="7">
        <v>0.6</v>
      </c>
      <c r="G767" s="7">
        <v>0.6</v>
      </c>
      <c r="H767" s="7">
        <v>0.6</v>
      </c>
      <c r="I767" s="7">
        <v>0.6</v>
      </c>
      <c r="J767" s="7">
        <v>0.6</v>
      </c>
      <c r="K767" s="7">
        <v>0.6</v>
      </c>
      <c r="L767" s="7">
        <v>0.6</v>
      </c>
      <c r="M767" s="7">
        <v>0.6</v>
      </c>
      <c r="N767" s="7">
        <v>0.6</v>
      </c>
      <c r="O767" s="7">
        <v>0.6</v>
      </c>
      <c r="P767" s="7">
        <v>0.6</v>
      </c>
      <c r="Q767" s="7">
        <v>0.6</v>
      </c>
    </row>
    <row r="768" spans="1:17">
      <c r="A768" s="2">
        <v>2716</v>
      </c>
      <c r="B768" s="7">
        <v>0.6</v>
      </c>
      <c r="C768" s="7">
        <v>0.6</v>
      </c>
      <c r="D768" s="7">
        <v>0.6</v>
      </c>
      <c r="E768" s="7">
        <v>0.6</v>
      </c>
      <c r="F768" s="7">
        <v>0.6</v>
      </c>
      <c r="G768" s="7">
        <v>0.6</v>
      </c>
      <c r="H768" s="7">
        <v>0.6</v>
      </c>
      <c r="I768" s="7">
        <v>0.6</v>
      </c>
      <c r="J768" s="7">
        <v>0.6</v>
      </c>
      <c r="K768" s="7">
        <v>0.6</v>
      </c>
      <c r="L768" s="7">
        <v>0.6</v>
      </c>
      <c r="M768" s="7">
        <v>0.6</v>
      </c>
      <c r="N768" s="7">
        <v>0.6</v>
      </c>
      <c r="O768" s="7">
        <v>0.6</v>
      </c>
      <c r="P768" s="7">
        <v>0.6</v>
      </c>
      <c r="Q768" s="7">
        <v>0.6</v>
      </c>
    </row>
    <row r="769" spans="1:17">
      <c r="A769" s="2">
        <v>2717</v>
      </c>
      <c r="B769" s="7">
        <v>0.6</v>
      </c>
      <c r="C769" s="7">
        <v>0.6</v>
      </c>
      <c r="D769" s="7">
        <v>0.6</v>
      </c>
      <c r="E769" s="7">
        <v>0.6</v>
      </c>
      <c r="F769" s="7">
        <v>0.6</v>
      </c>
      <c r="G769" s="7">
        <v>0.6</v>
      </c>
      <c r="H769" s="7">
        <v>0.6</v>
      </c>
      <c r="I769" s="7">
        <v>0.6</v>
      </c>
      <c r="J769" s="7">
        <v>0.6</v>
      </c>
      <c r="K769" s="7">
        <v>0.6</v>
      </c>
      <c r="L769" s="7">
        <v>0.6</v>
      </c>
      <c r="M769" s="7">
        <v>0.6</v>
      </c>
      <c r="N769" s="7">
        <v>0.6</v>
      </c>
      <c r="O769" s="7">
        <v>0.6</v>
      </c>
      <c r="P769" s="7">
        <v>0.6</v>
      </c>
      <c r="Q769" s="7">
        <v>0.6</v>
      </c>
    </row>
    <row r="770" spans="1:17">
      <c r="A770" s="2">
        <v>2718</v>
      </c>
      <c r="B770" s="7">
        <v>0.6</v>
      </c>
      <c r="C770" s="7">
        <v>0.6</v>
      </c>
      <c r="D770" s="7">
        <v>0.6</v>
      </c>
      <c r="E770" s="7">
        <v>0.6</v>
      </c>
      <c r="F770" s="7">
        <v>0.6</v>
      </c>
      <c r="G770" s="7">
        <v>0.6</v>
      </c>
      <c r="H770" s="7">
        <v>0.6</v>
      </c>
      <c r="I770" s="7">
        <v>0.6</v>
      </c>
      <c r="J770" s="7">
        <v>0.6</v>
      </c>
      <c r="K770" s="7">
        <v>0.6</v>
      </c>
      <c r="L770" s="7">
        <v>0.6</v>
      </c>
      <c r="M770" s="7">
        <v>0.6</v>
      </c>
      <c r="N770" s="7">
        <v>0.6</v>
      </c>
      <c r="O770" s="7">
        <v>0.6</v>
      </c>
      <c r="P770" s="7">
        <v>0.6</v>
      </c>
      <c r="Q770" s="7">
        <v>0.6</v>
      </c>
    </row>
    <row r="771" spans="1:17">
      <c r="A771" s="2">
        <v>2719</v>
      </c>
      <c r="B771" s="7">
        <v>0.6</v>
      </c>
      <c r="C771" s="7">
        <v>0.6</v>
      </c>
      <c r="D771" s="7">
        <v>0.6</v>
      </c>
      <c r="E771" s="7">
        <v>0.6</v>
      </c>
      <c r="F771" s="7">
        <v>0.6</v>
      </c>
      <c r="G771" s="7">
        <v>0.6</v>
      </c>
      <c r="H771" s="7">
        <v>0.6</v>
      </c>
      <c r="I771" s="7">
        <v>0.6</v>
      </c>
      <c r="J771" s="7">
        <v>0.6</v>
      </c>
      <c r="K771" s="7">
        <v>0.6</v>
      </c>
      <c r="L771" s="7">
        <v>0.6</v>
      </c>
      <c r="M771" s="7">
        <v>0.6</v>
      </c>
      <c r="N771" s="7">
        <v>0.6</v>
      </c>
      <c r="O771" s="7">
        <v>0.6</v>
      </c>
      <c r="P771" s="7">
        <v>0.6</v>
      </c>
      <c r="Q771" s="7">
        <v>0.6</v>
      </c>
    </row>
    <row r="772" spans="1:17">
      <c r="A772" s="2">
        <v>2720</v>
      </c>
      <c r="B772" s="7">
        <v>0.6</v>
      </c>
      <c r="C772" s="7">
        <v>0.6</v>
      </c>
      <c r="D772" s="7">
        <v>0.6</v>
      </c>
      <c r="E772" s="7">
        <v>0.6</v>
      </c>
      <c r="F772" s="7">
        <v>0.6</v>
      </c>
      <c r="G772" s="7">
        <v>0.6</v>
      </c>
      <c r="H772" s="7">
        <v>0.6</v>
      </c>
      <c r="I772" s="7">
        <v>0.6</v>
      </c>
      <c r="J772" s="7">
        <v>0.6</v>
      </c>
      <c r="K772" s="7">
        <v>0.6</v>
      </c>
      <c r="L772" s="7">
        <v>0.6</v>
      </c>
      <c r="M772" s="7">
        <v>0.6</v>
      </c>
      <c r="N772" s="7">
        <v>0.6</v>
      </c>
      <c r="O772" s="7">
        <v>0.6</v>
      </c>
      <c r="P772" s="7">
        <v>0.6</v>
      </c>
      <c r="Q772" s="7">
        <v>0.6</v>
      </c>
    </row>
    <row r="773" spans="1:17">
      <c r="A773" s="2">
        <v>2721</v>
      </c>
      <c r="B773" s="7">
        <v>0.6</v>
      </c>
      <c r="C773" s="7">
        <v>0.6</v>
      </c>
      <c r="D773" s="7">
        <v>0.6</v>
      </c>
      <c r="E773" s="7">
        <v>0.6</v>
      </c>
      <c r="F773" s="7">
        <v>0.6</v>
      </c>
      <c r="G773" s="7">
        <v>0.6</v>
      </c>
      <c r="H773" s="7">
        <v>0.6</v>
      </c>
      <c r="I773" s="7">
        <v>0.6</v>
      </c>
      <c r="J773" s="7">
        <v>0.6</v>
      </c>
      <c r="K773" s="7">
        <v>0.6</v>
      </c>
      <c r="L773" s="7">
        <v>0.6</v>
      </c>
      <c r="M773" s="7">
        <v>0.6</v>
      </c>
      <c r="N773" s="7">
        <v>0.6</v>
      </c>
      <c r="O773" s="7">
        <v>0.6</v>
      </c>
      <c r="P773" s="7">
        <v>0.6</v>
      </c>
      <c r="Q773" s="7">
        <v>0.6</v>
      </c>
    </row>
    <row r="774" spans="1:17">
      <c r="A774" s="2">
        <v>2722</v>
      </c>
      <c r="B774" s="7">
        <v>0.6</v>
      </c>
      <c r="C774" s="7">
        <v>0.6</v>
      </c>
      <c r="D774" s="7">
        <v>0.6</v>
      </c>
      <c r="E774" s="7">
        <v>0.6</v>
      </c>
      <c r="F774" s="7">
        <v>0.6</v>
      </c>
      <c r="G774" s="7">
        <v>0.6</v>
      </c>
      <c r="H774" s="7">
        <v>0.6</v>
      </c>
      <c r="I774" s="7">
        <v>0.6</v>
      </c>
      <c r="J774" s="7">
        <v>0.6</v>
      </c>
      <c r="K774" s="7">
        <v>0.6</v>
      </c>
      <c r="L774" s="7">
        <v>0.6</v>
      </c>
      <c r="M774" s="7">
        <v>0.6</v>
      </c>
      <c r="N774" s="7">
        <v>0.6</v>
      </c>
      <c r="O774" s="7">
        <v>0.6</v>
      </c>
      <c r="P774" s="7">
        <v>0.6</v>
      </c>
      <c r="Q774" s="7">
        <v>0.6</v>
      </c>
    </row>
    <row r="775" spans="1:17">
      <c r="A775" s="2">
        <v>2723</v>
      </c>
      <c r="B775" s="7">
        <v>0.6</v>
      </c>
      <c r="C775" s="7">
        <v>0.6</v>
      </c>
      <c r="D775" s="7">
        <v>0.6</v>
      </c>
      <c r="E775" s="7">
        <v>0.6</v>
      </c>
      <c r="F775" s="7">
        <v>0.6</v>
      </c>
      <c r="G775" s="7">
        <v>0.6</v>
      </c>
      <c r="H775" s="7">
        <v>0.6</v>
      </c>
      <c r="I775" s="7">
        <v>0.6</v>
      </c>
      <c r="J775" s="7">
        <v>0.6</v>
      </c>
      <c r="K775" s="7">
        <v>0.6</v>
      </c>
      <c r="L775" s="7">
        <v>0.6</v>
      </c>
      <c r="M775" s="7">
        <v>0.6</v>
      </c>
      <c r="N775" s="7">
        <v>0.6</v>
      </c>
      <c r="O775" s="7">
        <v>0.6</v>
      </c>
      <c r="P775" s="7">
        <v>0.6</v>
      </c>
      <c r="Q775" s="7">
        <v>0.6</v>
      </c>
    </row>
    <row r="776" spans="1:17">
      <c r="A776" s="2">
        <v>2724</v>
      </c>
      <c r="B776" s="7">
        <v>0.6</v>
      </c>
      <c r="C776" s="7">
        <v>0.6</v>
      </c>
      <c r="D776" s="7">
        <v>0.6</v>
      </c>
      <c r="E776" s="7">
        <v>0.6</v>
      </c>
      <c r="F776" s="7">
        <v>0.6</v>
      </c>
      <c r="G776" s="7">
        <v>0.6</v>
      </c>
      <c r="H776" s="7">
        <v>0.6</v>
      </c>
      <c r="I776" s="7">
        <v>0.6</v>
      </c>
      <c r="J776" s="7">
        <v>0.6</v>
      </c>
      <c r="K776" s="7">
        <v>0.6</v>
      </c>
      <c r="L776" s="7">
        <v>0.6</v>
      </c>
      <c r="M776" s="7">
        <v>0.6</v>
      </c>
      <c r="N776" s="7">
        <v>0.6</v>
      </c>
      <c r="O776" s="7">
        <v>0.6</v>
      </c>
      <c r="P776" s="7">
        <v>0.6</v>
      </c>
      <c r="Q776" s="7">
        <v>0.6</v>
      </c>
    </row>
    <row r="777" spans="1:17">
      <c r="A777" s="2">
        <v>2725</v>
      </c>
      <c r="B777" s="7">
        <v>0.6</v>
      </c>
      <c r="C777" s="7">
        <v>0.6</v>
      </c>
      <c r="D777" s="7">
        <v>0.6</v>
      </c>
      <c r="E777" s="7">
        <v>0.6</v>
      </c>
      <c r="F777" s="7">
        <v>0.6</v>
      </c>
      <c r="G777" s="7">
        <v>0.6</v>
      </c>
      <c r="H777" s="7">
        <v>0.6</v>
      </c>
      <c r="I777" s="7">
        <v>0.6</v>
      </c>
      <c r="J777" s="7">
        <v>0.6</v>
      </c>
      <c r="K777" s="7">
        <v>0.6</v>
      </c>
      <c r="L777" s="7">
        <v>0.6</v>
      </c>
      <c r="M777" s="7">
        <v>0.6</v>
      </c>
      <c r="N777" s="7">
        <v>0.6</v>
      </c>
      <c r="O777" s="7">
        <v>0.6</v>
      </c>
      <c r="P777" s="7">
        <v>0.6</v>
      </c>
      <c r="Q777" s="7">
        <v>0.6</v>
      </c>
    </row>
    <row r="778" spans="1:17">
      <c r="A778" s="2">
        <v>2726</v>
      </c>
      <c r="B778" s="7">
        <v>0.6</v>
      </c>
      <c r="C778" s="7">
        <v>0.6</v>
      </c>
      <c r="D778" s="7">
        <v>0.6</v>
      </c>
      <c r="E778" s="7">
        <v>0.6</v>
      </c>
      <c r="F778" s="7">
        <v>0.6</v>
      </c>
      <c r="G778" s="7">
        <v>0.6</v>
      </c>
      <c r="H778" s="7">
        <v>0.6</v>
      </c>
      <c r="I778" s="7">
        <v>0.6</v>
      </c>
      <c r="J778" s="7">
        <v>0.6</v>
      </c>
      <c r="K778" s="7">
        <v>0.6</v>
      </c>
      <c r="L778" s="7">
        <v>0.6</v>
      </c>
      <c r="M778" s="7">
        <v>0.6</v>
      </c>
      <c r="N778" s="7">
        <v>0.6</v>
      </c>
      <c r="O778" s="7">
        <v>0.6</v>
      </c>
      <c r="P778" s="7">
        <v>0.6</v>
      </c>
      <c r="Q778" s="7">
        <v>0.6</v>
      </c>
    </row>
    <row r="779" spans="1:17">
      <c r="A779" s="2">
        <v>2727</v>
      </c>
      <c r="B779" s="7">
        <v>0.6</v>
      </c>
      <c r="C779" s="7">
        <v>0.6</v>
      </c>
      <c r="D779" s="7">
        <v>0.6</v>
      </c>
      <c r="E779" s="7">
        <v>0.6</v>
      </c>
      <c r="F779" s="7">
        <v>0.6</v>
      </c>
      <c r="G779" s="7">
        <v>0.6</v>
      </c>
      <c r="H779" s="7">
        <v>0.6</v>
      </c>
      <c r="I779" s="7">
        <v>0.6</v>
      </c>
      <c r="J779" s="7">
        <v>0.6</v>
      </c>
      <c r="K779" s="7">
        <v>0.6</v>
      </c>
      <c r="L779" s="7">
        <v>0.6</v>
      </c>
      <c r="M779" s="7">
        <v>0.6</v>
      </c>
      <c r="N779" s="7">
        <v>0.6</v>
      </c>
      <c r="O779" s="7">
        <v>0.6</v>
      </c>
      <c r="P779" s="7">
        <v>0.6</v>
      </c>
      <c r="Q779" s="7">
        <v>0.6</v>
      </c>
    </row>
    <row r="780" spans="1:17">
      <c r="A780" s="2">
        <v>2728</v>
      </c>
      <c r="B780" s="7">
        <v>0.6</v>
      </c>
      <c r="C780" s="7">
        <v>0.6</v>
      </c>
      <c r="D780" s="7">
        <v>0.6</v>
      </c>
      <c r="E780" s="7">
        <v>0.6</v>
      </c>
      <c r="F780" s="7">
        <v>0.6</v>
      </c>
      <c r="G780" s="7">
        <v>0.6</v>
      </c>
      <c r="H780" s="7">
        <v>0.6</v>
      </c>
      <c r="I780" s="7">
        <v>0.6</v>
      </c>
      <c r="J780" s="7">
        <v>0.6</v>
      </c>
      <c r="K780" s="7">
        <v>0.6</v>
      </c>
      <c r="L780" s="7">
        <v>0.6</v>
      </c>
      <c r="M780" s="7">
        <v>0.6</v>
      </c>
      <c r="N780" s="7">
        <v>0.6</v>
      </c>
      <c r="O780" s="7">
        <v>0.6</v>
      </c>
      <c r="P780" s="7">
        <v>0.6</v>
      </c>
      <c r="Q780" s="7">
        <v>0.6</v>
      </c>
    </row>
    <row r="781" spans="1:17">
      <c r="A781" s="2">
        <v>2729</v>
      </c>
      <c r="B781" s="7">
        <v>0.6</v>
      </c>
      <c r="C781" s="7">
        <v>0.6</v>
      </c>
      <c r="D781" s="7">
        <v>0.6</v>
      </c>
      <c r="E781" s="7">
        <v>0.6</v>
      </c>
      <c r="F781" s="7">
        <v>0.6</v>
      </c>
      <c r="G781" s="7">
        <v>0.6</v>
      </c>
      <c r="H781" s="7">
        <v>0.6</v>
      </c>
      <c r="I781" s="7">
        <v>0.6</v>
      </c>
      <c r="J781" s="7">
        <v>0.6</v>
      </c>
      <c r="K781" s="7">
        <v>0.6</v>
      </c>
      <c r="L781" s="7">
        <v>0.6</v>
      </c>
      <c r="M781" s="7">
        <v>0.6</v>
      </c>
      <c r="N781" s="7">
        <v>0.6</v>
      </c>
      <c r="O781" s="7">
        <v>0.6</v>
      </c>
      <c r="P781" s="7">
        <v>0.6</v>
      </c>
      <c r="Q781" s="7">
        <v>0.6</v>
      </c>
    </row>
    <row r="782" spans="1:17">
      <c r="A782" s="2">
        <v>2730</v>
      </c>
      <c r="B782" s="7">
        <v>0.6</v>
      </c>
      <c r="C782" s="7">
        <v>0.6</v>
      </c>
      <c r="D782" s="7">
        <v>0.6</v>
      </c>
      <c r="E782" s="7">
        <v>0.6</v>
      </c>
      <c r="F782" s="7">
        <v>0.6</v>
      </c>
      <c r="G782" s="7">
        <v>0.6</v>
      </c>
      <c r="H782" s="7">
        <v>0.6</v>
      </c>
      <c r="I782" s="7">
        <v>0.6</v>
      </c>
      <c r="J782" s="7">
        <v>0.6</v>
      </c>
      <c r="K782" s="7">
        <v>0.6</v>
      </c>
      <c r="L782" s="7">
        <v>0.6</v>
      </c>
      <c r="M782" s="7">
        <v>0.6</v>
      </c>
      <c r="N782" s="7">
        <v>0.6</v>
      </c>
      <c r="O782" s="7">
        <v>0.6</v>
      </c>
      <c r="P782" s="7">
        <v>0.6</v>
      </c>
      <c r="Q782" s="7">
        <v>0.6</v>
      </c>
    </row>
    <row r="783" spans="1:17">
      <c r="A783" s="2">
        <v>2731</v>
      </c>
      <c r="B783" s="7">
        <v>0.6</v>
      </c>
      <c r="C783" s="7">
        <v>0.6</v>
      </c>
      <c r="D783" s="7">
        <v>0.6</v>
      </c>
      <c r="E783" s="7">
        <v>0.6</v>
      </c>
      <c r="F783" s="7">
        <v>0.6</v>
      </c>
      <c r="G783" s="7">
        <v>0.6</v>
      </c>
      <c r="H783" s="7">
        <v>0.6</v>
      </c>
      <c r="I783" s="7">
        <v>0.6</v>
      </c>
      <c r="J783" s="7">
        <v>0.6</v>
      </c>
      <c r="K783" s="7">
        <v>0.6</v>
      </c>
      <c r="L783" s="7">
        <v>0.6</v>
      </c>
      <c r="M783" s="7">
        <v>0.6</v>
      </c>
      <c r="N783" s="7">
        <v>0.6</v>
      </c>
      <c r="O783" s="7">
        <v>0.6</v>
      </c>
      <c r="P783" s="7">
        <v>0.6</v>
      </c>
      <c r="Q783" s="7">
        <v>0.6</v>
      </c>
    </row>
    <row r="784" spans="1:17">
      <c r="A784" s="2">
        <v>2732</v>
      </c>
      <c r="B784" s="7">
        <v>0.6</v>
      </c>
      <c r="C784" s="7">
        <v>0.6</v>
      </c>
      <c r="D784" s="7">
        <v>0.6</v>
      </c>
      <c r="E784" s="7">
        <v>0.6</v>
      </c>
      <c r="F784" s="7">
        <v>0.6</v>
      </c>
      <c r="G784" s="7">
        <v>0.6</v>
      </c>
      <c r="H784" s="7">
        <v>0.6</v>
      </c>
      <c r="I784" s="7">
        <v>0.6</v>
      </c>
      <c r="J784" s="7">
        <v>0.6</v>
      </c>
      <c r="K784" s="7">
        <v>0.6</v>
      </c>
      <c r="L784" s="7">
        <v>0.6</v>
      </c>
      <c r="M784" s="7">
        <v>0.6</v>
      </c>
      <c r="N784" s="7">
        <v>0.6</v>
      </c>
      <c r="O784" s="7">
        <v>0.6</v>
      </c>
      <c r="P784" s="7">
        <v>0.6</v>
      </c>
      <c r="Q784" s="7">
        <v>0.6</v>
      </c>
    </row>
    <row r="785" spans="1:17">
      <c r="A785" s="2">
        <v>2733</v>
      </c>
      <c r="B785" s="7">
        <v>0.6</v>
      </c>
      <c r="C785" s="7">
        <v>0.6</v>
      </c>
      <c r="D785" s="7">
        <v>0.6</v>
      </c>
      <c r="E785" s="7">
        <v>0.6</v>
      </c>
      <c r="F785" s="7">
        <v>0.6</v>
      </c>
      <c r="G785" s="7">
        <v>0.6</v>
      </c>
      <c r="H785" s="7">
        <v>0.6</v>
      </c>
      <c r="I785" s="7">
        <v>0.6</v>
      </c>
      <c r="J785" s="7">
        <v>0.6</v>
      </c>
      <c r="K785" s="7">
        <v>0.6</v>
      </c>
      <c r="L785" s="7">
        <v>0.6</v>
      </c>
      <c r="M785" s="7">
        <v>0.6</v>
      </c>
      <c r="N785" s="7">
        <v>0.6</v>
      </c>
      <c r="O785" s="7">
        <v>0.6</v>
      </c>
      <c r="P785" s="7">
        <v>0.6</v>
      </c>
      <c r="Q785" s="7">
        <v>0.6</v>
      </c>
    </row>
    <row r="786" spans="1:17">
      <c r="A786" s="2">
        <v>2734</v>
      </c>
      <c r="B786" s="7">
        <v>0.6</v>
      </c>
      <c r="C786" s="7">
        <v>0.6</v>
      </c>
      <c r="D786" s="7">
        <v>0.6</v>
      </c>
      <c r="E786" s="7">
        <v>0.6</v>
      </c>
      <c r="F786" s="7">
        <v>0.6</v>
      </c>
      <c r="G786" s="7">
        <v>0.6</v>
      </c>
      <c r="H786" s="7">
        <v>0.6</v>
      </c>
      <c r="I786" s="7">
        <v>0.6</v>
      </c>
      <c r="J786" s="7">
        <v>0.6</v>
      </c>
      <c r="K786" s="7">
        <v>0.6</v>
      </c>
      <c r="L786" s="7">
        <v>0.6</v>
      </c>
      <c r="M786" s="7">
        <v>0.6</v>
      </c>
      <c r="N786" s="7">
        <v>0.6</v>
      </c>
      <c r="O786" s="7">
        <v>0.6</v>
      </c>
      <c r="P786" s="7">
        <v>0.6</v>
      </c>
      <c r="Q786" s="7">
        <v>0.6</v>
      </c>
    </row>
    <row r="787" spans="1:17">
      <c r="A787" s="2">
        <v>2735</v>
      </c>
      <c r="B787" s="7">
        <v>0.6</v>
      </c>
      <c r="C787" s="7">
        <v>0.6</v>
      </c>
      <c r="D787" s="7">
        <v>0.6</v>
      </c>
      <c r="E787" s="7">
        <v>0.6</v>
      </c>
      <c r="F787" s="7">
        <v>0.6</v>
      </c>
      <c r="G787" s="7">
        <v>0.6</v>
      </c>
      <c r="H787" s="7">
        <v>0.6</v>
      </c>
      <c r="I787" s="7">
        <v>0.6</v>
      </c>
      <c r="J787" s="7">
        <v>0.6</v>
      </c>
      <c r="K787" s="7">
        <v>0.6</v>
      </c>
      <c r="L787" s="7">
        <v>0.6</v>
      </c>
      <c r="M787" s="7">
        <v>0.6</v>
      </c>
      <c r="N787" s="7">
        <v>0.6</v>
      </c>
      <c r="O787" s="7">
        <v>0.6</v>
      </c>
      <c r="P787" s="7">
        <v>0.6</v>
      </c>
      <c r="Q787" s="7">
        <v>0.6</v>
      </c>
    </row>
    <row r="788" spans="1:17">
      <c r="A788" s="2">
        <v>2736</v>
      </c>
      <c r="B788" s="7">
        <v>0.6</v>
      </c>
      <c r="C788" s="7">
        <v>0.6</v>
      </c>
      <c r="D788" s="7">
        <v>0.6</v>
      </c>
      <c r="E788" s="7">
        <v>0.6</v>
      </c>
      <c r="F788" s="7">
        <v>0.6</v>
      </c>
      <c r="G788" s="7">
        <v>0.6</v>
      </c>
      <c r="H788" s="7">
        <v>0.6</v>
      </c>
      <c r="I788" s="7">
        <v>0.6</v>
      </c>
      <c r="J788" s="7">
        <v>0.6</v>
      </c>
      <c r="K788" s="7">
        <v>0.6</v>
      </c>
      <c r="L788" s="7">
        <v>0.6</v>
      </c>
      <c r="M788" s="7">
        <v>0.6</v>
      </c>
      <c r="N788" s="7">
        <v>0.6</v>
      </c>
      <c r="O788" s="7">
        <v>0.6</v>
      </c>
      <c r="P788" s="7">
        <v>0.6</v>
      </c>
      <c r="Q788" s="7">
        <v>0.6</v>
      </c>
    </row>
    <row r="789" spans="1:17">
      <c r="A789" s="2">
        <v>2737</v>
      </c>
      <c r="B789" s="7">
        <v>0.6</v>
      </c>
      <c r="C789" s="7">
        <v>0.6</v>
      </c>
      <c r="D789" s="7">
        <v>0.6</v>
      </c>
      <c r="E789" s="7">
        <v>0.6</v>
      </c>
      <c r="F789" s="7">
        <v>0.6</v>
      </c>
      <c r="G789" s="7">
        <v>0.6</v>
      </c>
      <c r="H789" s="7">
        <v>0.6</v>
      </c>
      <c r="I789" s="7">
        <v>0.6</v>
      </c>
      <c r="J789" s="7">
        <v>0.6</v>
      </c>
      <c r="K789" s="7">
        <v>0.6</v>
      </c>
      <c r="L789" s="7">
        <v>0.6</v>
      </c>
      <c r="M789" s="7">
        <v>0.6</v>
      </c>
      <c r="N789" s="7">
        <v>0.6</v>
      </c>
      <c r="O789" s="7">
        <v>0.6</v>
      </c>
      <c r="P789" s="7">
        <v>0.6</v>
      </c>
      <c r="Q789" s="7">
        <v>0.6</v>
      </c>
    </row>
    <row r="790" spans="1:17">
      <c r="A790" s="2">
        <v>2738</v>
      </c>
      <c r="B790" s="7">
        <v>0.6</v>
      </c>
      <c r="C790" s="7">
        <v>0.6</v>
      </c>
      <c r="D790" s="7">
        <v>0.6</v>
      </c>
      <c r="E790" s="7">
        <v>0.6</v>
      </c>
      <c r="F790" s="7">
        <v>0.6</v>
      </c>
      <c r="G790" s="7">
        <v>0.6</v>
      </c>
      <c r="H790" s="7">
        <v>0.6</v>
      </c>
      <c r="I790" s="7">
        <v>0.6</v>
      </c>
      <c r="J790" s="7">
        <v>0.6</v>
      </c>
      <c r="K790" s="7">
        <v>0.6</v>
      </c>
      <c r="L790" s="7">
        <v>0.6</v>
      </c>
      <c r="M790" s="7">
        <v>0.6</v>
      </c>
      <c r="N790" s="7">
        <v>0.6</v>
      </c>
      <c r="O790" s="7">
        <v>0.6</v>
      </c>
      <c r="P790" s="7">
        <v>0.6</v>
      </c>
      <c r="Q790" s="7">
        <v>0.6</v>
      </c>
    </row>
    <row r="791" spans="1:17">
      <c r="A791" s="2">
        <v>2739</v>
      </c>
      <c r="B791" s="7">
        <v>0.6</v>
      </c>
      <c r="C791" s="7">
        <v>0.6</v>
      </c>
      <c r="D791" s="7">
        <v>0.6</v>
      </c>
      <c r="E791" s="7">
        <v>0.6</v>
      </c>
      <c r="F791" s="7">
        <v>0.6</v>
      </c>
      <c r="G791" s="7">
        <v>0.6</v>
      </c>
      <c r="H791" s="7">
        <v>0.6</v>
      </c>
      <c r="I791" s="7">
        <v>0.6</v>
      </c>
      <c r="J791" s="7">
        <v>0.6</v>
      </c>
      <c r="K791" s="7">
        <v>0.6</v>
      </c>
      <c r="L791" s="7">
        <v>0.6</v>
      </c>
      <c r="M791" s="7">
        <v>0.6</v>
      </c>
      <c r="N791" s="7">
        <v>0.6</v>
      </c>
      <c r="O791" s="7">
        <v>0.6</v>
      </c>
      <c r="P791" s="7">
        <v>0.6</v>
      </c>
      <c r="Q791" s="7">
        <v>0.6</v>
      </c>
    </row>
    <row r="792" spans="1:17">
      <c r="A792" s="2">
        <v>2740</v>
      </c>
      <c r="B792" s="7">
        <v>0.6</v>
      </c>
      <c r="C792" s="7">
        <v>0.6</v>
      </c>
      <c r="D792" s="7">
        <v>0.6</v>
      </c>
      <c r="E792" s="7">
        <v>0.6</v>
      </c>
      <c r="F792" s="7">
        <v>0.6</v>
      </c>
      <c r="G792" s="7">
        <v>0.6</v>
      </c>
      <c r="H792" s="7">
        <v>0.6</v>
      </c>
      <c r="I792" s="7">
        <v>0.6</v>
      </c>
      <c r="J792" s="7">
        <v>0.6</v>
      </c>
      <c r="K792" s="7">
        <v>0.6</v>
      </c>
      <c r="L792" s="7">
        <v>0.6</v>
      </c>
      <c r="M792" s="7">
        <v>0.6</v>
      </c>
      <c r="N792" s="7">
        <v>0.6</v>
      </c>
      <c r="O792" s="7">
        <v>0.6</v>
      </c>
      <c r="P792" s="7">
        <v>0.6</v>
      </c>
      <c r="Q792" s="7">
        <v>0.6</v>
      </c>
    </row>
    <row r="793" spans="1:17">
      <c r="A793" s="2">
        <v>2741</v>
      </c>
      <c r="B793" s="7">
        <v>0.6</v>
      </c>
      <c r="C793" s="7">
        <v>0.6</v>
      </c>
      <c r="D793" s="7">
        <v>0.6</v>
      </c>
      <c r="E793" s="7">
        <v>0.6</v>
      </c>
      <c r="F793" s="7">
        <v>0.6</v>
      </c>
      <c r="G793" s="7">
        <v>0.6</v>
      </c>
      <c r="H793" s="7">
        <v>0.6</v>
      </c>
      <c r="I793" s="7">
        <v>0.6</v>
      </c>
      <c r="J793" s="7">
        <v>0.6</v>
      </c>
      <c r="K793" s="7">
        <v>0.6</v>
      </c>
      <c r="L793" s="7">
        <v>0.6</v>
      </c>
      <c r="M793" s="7">
        <v>0.6</v>
      </c>
      <c r="N793" s="7">
        <v>0.6</v>
      </c>
      <c r="O793" s="7">
        <v>0.6</v>
      </c>
      <c r="P793" s="7">
        <v>0.6</v>
      </c>
      <c r="Q793" s="7">
        <v>0.6</v>
      </c>
    </row>
    <row r="794" spans="1:17">
      <c r="A794" s="2">
        <v>2742</v>
      </c>
      <c r="B794" s="7">
        <v>0.6</v>
      </c>
      <c r="C794" s="7">
        <v>0.6</v>
      </c>
      <c r="D794" s="7">
        <v>0.6</v>
      </c>
      <c r="E794" s="7">
        <v>0.6</v>
      </c>
      <c r="F794" s="7">
        <v>0.6</v>
      </c>
      <c r="G794" s="7">
        <v>0.6</v>
      </c>
      <c r="H794" s="7">
        <v>0.6</v>
      </c>
      <c r="I794" s="7">
        <v>0.6</v>
      </c>
      <c r="J794" s="7">
        <v>0.6</v>
      </c>
      <c r="K794" s="7">
        <v>0.6</v>
      </c>
      <c r="L794" s="7">
        <v>0.6</v>
      </c>
      <c r="M794" s="7">
        <v>0.6</v>
      </c>
      <c r="N794" s="7">
        <v>0.6</v>
      </c>
      <c r="O794" s="7">
        <v>0.6</v>
      </c>
      <c r="P794" s="7">
        <v>0.6</v>
      </c>
      <c r="Q794" s="7">
        <v>0.6</v>
      </c>
    </row>
    <row r="795" spans="1:17">
      <c r="A795" s="2">
        <v>2743</v>
      </c>
      <c r="B795" s="7">
        <v>0.6</v>
      </c>
      <c r="C795" s="7">
        <v>0.6</v>
      </c>
      <c r="D795" s="7">
        <v>0.6</v>
      </c>
      <c r="E795" s="7">
        <v>0.6</v>
      </c>
      <c r="F795" s="7">
        <v>0.6</v>
      </c>
      <c r="G795" s="7">
        <v>0.6</v>
      </c>
      <c r="H795" s="7">
        <v>0.6</v>
      </c>
      <c r="I795" s="7">
        <v>0.6</v>
      </c>
      <c r="J795" s="7">
        <v>0.6</v>
      </c>
      <c r="K795" s="7">
        <v>0.6</v>
      </c>
      <c r="L795" s="7">
        <v>0.6</v>
      </c>
      <c r="M795" s="7">
        <v>0.6</v>
      </c>
      <c r="N795" s="7">
        <v>0.6</v>
      </c>
      <c r="O795" s="7">
        <v>0.6</v>
      </c>
      <c r="P795" s="7">
        <v>0.6</v>
      </c>
      <c r="Q795" s="7">
        <v>0.6</v>
      </c>
    </row>
    <row r="796" spans="1:17">
      <c r="A796" s="2">
        <v>2744</v>
      </c>
      <c r="B796" s="7">
        <v>0.6</v>
      </c>
      <c r="C796" s="7">
        <v>0.6</v>
      </c>
      <c r="D796" s="7">
        <v>0.6</v>
      </c>
      <c r="E796" s="7">
        <v>0.6</v>
      </c>
      <c r="F796" s="7">
        <v>0.6</v>
      </c>
      <c r="G796" s="7">
        <v>0.6</v>
      </c>
      <c r="H796" s="7">
        <v>0.6</v>
      </c>
      <c r="I796" s="7">
        <v>0.6</v>
      </c>
      <c r="J796" s="7">
        <v>0.6</v>
      </c>
      <c r="K796" s="7">
        <v>0.6</v>
      </c>
      <c r="L796" s="7">
        <v>0.6</v>
      </c>
      <c r="M796" s="7">
        <v>0.6</v>
      </c>
      <c r="N796" s="7">
        <v>0.6</v>
      </c>
      <c r="O796" s="7">
        <v>0.6</v>
      </c>
      <c r="P796" s="7">
        <v>0.6</v>
      </c>
      <c r="Q796" s="7">
        <v>0.6</v>
      </c>
    </row>
    <row r="797" spans="1:17">
      <c r="A797" s="2">
        <v>2745</v>
      </c>
      <c r="B797" s="7">
        <v>0.6</v>
      </c>
      <c r="C797" s="7">
        <v>0.6</v>
      </c>
      <c r="D797" s="7">
        <v>0.6</v>
      </c>
      <c r="E797" s="7">
        <v>0.6</v>
      </c>
      <c r="F797" s="7">
        <v>0.6</v>
      </c>
      <c r="G797" s="7">
        <v>0.6</v>
      </c>
      <c r="H797" s="7">
        <v>0.6</v>
      </c>
      <c r="I797" s="7">
        <v>0.6</v>
      </c>
      <c r="J797" s="7">
        <v>0.6</v>
      </c>
      <c r="K797" s="7">
        <v>0.6</v>
      </c>
      <c r="L797" s="7">
        <v>0.6</v>
      </c>
      <c r="M797" s="7">
        <v>0.6</v>
      </c>
      <c r="N797" s="7">
        <v>0.6</v>
      </c>
      <c r="O797" s="7">
        <v>0.6</v>
      </c>
      <c r="P797" s="7">
        <v>0.6</v>
      </c>
      <c r="Q797" s="7">
        <v>0.6</v>
      </c>
    </row>
    <row r="798" spans="1:17">
      <c r="A798" s="2">
        <v>2746</v>
      </c>
      <c r="B798" s="7">
        <v>0.6</v>
      </c>
      <c r="C798" s="7">
        <v>0.6</v>
      </c>
      <c r="D798" s="7">
        <v>0.6</v>
      </c>
      <c r="E798" s="7">
        <v>0.6</v>
      </c>
      <c r="F798" s="7">
        <v>0.6</v>
      </c>
      <c r="G798" s="7">
        <v>0.6</v>
      </c>
      <c r="H798" s="7">
        <v>0.6</v>
      </c>
      <c r="I798" s="7">
        <v>0.6</v>
      </c>
      <c r="J798" s="7">
        <v>0.6</v>
      </c>
      <c r="K798" s="7">
        <v>0.6</v>
      </c>
      <c r="L798" s="7">
        <v>0.6</v>
      </c>
      <c r="M798" s="7">
        <v>0.6</v>
      </c>
      <c r="N798" s="7">
        <v>0.6</v>
      </c>
      <c r="O798" s="7">
        <v>0.6</v>
      </c>
      <c r="P798" s="7">
        <v>0.6</v>
      </c>
      <c r="Q798" s="7">
        <v>0.6</v>
      </c>
    </row>
    <row r="799" spans="1:17">
      <c r="A799" s="2">
        <v>2747</v>
      </c>
      <c r="B799" s="7">
        <v>0.6</v>
      </c>
      <c r="C799" s="7">
        <v>0.6</v>
      </c>
      <c r="D799" s="7">
        <v>0.6</v>
      </c>
      <c r="E799" s="7">
        <v>0.6</v>
      </c>
      <c r="F799" s="7">
        <v>0.6</v>
      </c>
      <c r="G799" s="7">
        <v>0.6</v>
      </c>
      <c r="H799" s="7">
        <v>0.6</v>
      </c>
      <c r="I799" s="7">
        <v>0.6</v>
      </c>
      <c r="J799" s="7">
        <v>0.6</v>
      </c>
      <c r="K799" s="7">
        <v>0.6</v>
      </c>
      <c r="L799" s="7">
        <v>0.6</v>
      </c>
      <c r="M799" s="7">
        <v>0.6</v>
      </c>
      <c r="N799" s="7">
        <v>0.6</v>
      </c>
      <c r="O799" s="7">
        <v>0.6</v>
      </c>
      <c r="P799" s="7">
        <v>0.6</v>
      </c>
      <c r="Q799" s="7">
        <v>0.6</v>
      </c>
    </row>
    <row r="800" spans="1:17">
      <c r="A800" s="2">
        <v>2748</v>
      </c>
      <c r="B800" s="7">
        <v>0.6</v>
      </c>
      <c r="C800" s="7">
        <v>0.6</v>
      </c>
      <c r="D800" s="7">
        <v>0.6</v>
      </c>
      <c r="E800" s="7">
        <v>0.6</v>
      </c>
      <c r="F800" s="7">
        <v>0.6</v>
      </c>
      <c r="G800" s="7">
        <v>0.6</v>
      </c>
      <c r="H800" s="7">
        <v>0.6</v>
      </c>
      <c r="I800" s="7">
        <v>0.6</v>
      </c>
      <c r="J800" s="7">
        <v>0.6</v>
      </c>
      <c r="K800" s="7">
        <v>0.6</v>
      </c>
      <c r="L800" s="7">
        <v>0.6</v>
      </c>
      <c r="M800" s="7">
        <v>0.6</v>
      </c>
      <c r="N800" s="7">
        <v>0.6</v>
      </c>
      <c r="O800" s="7">
        <v>0.6</v>
      </c>
      <c r="P800" s="7">
        <v>0.6</v>
      </c>
      <c r="Q800" s="7">
        <v>0.6</v>
      </c>
    </row>
    <row r="801" spans="1:17">
      <c r="A801" s="2">
        <v>2749</v>
      </c>
      <c r="B801" s="7">
        <v>0.6</v>
      </c>
      <c r="C801" s="7">
        <v>0.6</v>
      </c>
      <c r="D801" s="7">
        <v>0.6</v>
      </c>
      <c r="E801" s="7">
        <v>0.6</v>
      </c>
      <c r="F801" s="7">
        <v>0.6</v>
      </c>
      <c r="G801" s="7">
        <v>0.6</v>
      </c>
      <c r="H801" s="7">
        <v>0.6</v>
      </c>
      <c r="I801" s="7">
        <v>0.6</v>
      </c>
      <c r="J801" s="7">
        <v>0.6</v>
      </c>
      <c r="K801" s="7">
        <v>0.6</v>
      </c>
      <c r="L801" s="7">
        <v>0.6</v>
      </c>
      <c r="M801" s="7">
        <v>0.6</v>
      </c>
      <c r="N801" s="7">
        <v>0.6</v>
      </c>
      <c r="O801" s="7">
        <v>0.6</v>
      </c>
      <c r="P801" s="7">
        <v>0.6</v>
      </c>
      <c r="Q801" s="7">
        <v>0.6</v>
      </c>
    </row>
    <row r="802" spans="1:17">
      <c r="A802" s="2">
        <v>2750</v>
      </c>
      <c r="B802" s="7">
        <v>0.6</v>
      </c>
      <c r="C802" s="7">
        <v>0.6</v>
      </c>
      <c r="D802" s="7">
        <v>0.6</v>
      </c>
      <c r="E802" s="7">
        <v>0.6</v>
      </c>
      <c r="F802" s="7">
        <v>0.6</v>
      </c>
      <c r="G802" s="7">
        <v>0.6</v>
      </c>
      <c r="H802" s="7">
        <v>0.6</v>
      </c>
      <c r="I802" s="7">
        <v>0.6</v>
      </c>
      <c r="J802" s="7">
        <v>0.6</v>
      </c>
      <c r="K802" s="7">
        <v>0.6</v>
      </c>
      <c r="L802" s="7">
        <v>0.6</v>
      </c>
      <c r="M802" s="7">
        <v>0.6</v>
      </c>
      <c r="N802" s="7">
        <v>0.6</v>
      </c>
      <c r="O802" s="7">
        <v>0.6</v>
      </c>
      <c r="P802" s="7">
        <v>0.6</v>
      </c>
      <c r="Q802" s="7">
        <v>0.6</v>
      </c>
    </row>
    <row r="803" spans="1:17">
      <c r="A803" s="2">
        <v>2751</v>
      </c>
      <c r="B803" s="7">
        <v>0.6</v>
      </c>
      <c r="C803" s="7">
        <v>0.6</v>
      </c>
      <c r="D803" s="7">
        <v>0.6</v>
      </c>
      <c r="E803" s="7">
        <v>0.6</v>
      </c>
      <c r="F803" s="7">
        <v>0.6</v>
      </c>
      <c r="G803" s="7">
        <v>0.6</v>
      </c>
      <c r="H803" s="7">
        <v>0.6</v>
      </c>
      <c r="I803" s="7">
        <v>0.6</v>
      </c>
      <c r="J803" s="7">
        <v>0.6</v>
      </c>
      <c r="K803" s="7">
        <v>0.6</v>
      </c>
      <c r="L803" s="7">
        <v>0.6</v>
      </c>
      <c r="M803" s="7">
        <v>0.6</v>
      </c>
      <c r="N803" s="7">
        <v>0.6</v>
      </c>
      <c r="O803" s="7">
        <v>0.6</v>
      </c>
      <c r="P803" s="7">
        <v>0.6</v>
      </c>
      <c r="Q803" s="7">
        <v>0.6</v>
      </c>
    </row>
    <row r="804" spans="1:17">
      <c r="A804" s="2">
        <v>2752</v>
      </c>
      <c r="B804" s="7">
        <v>0.6</v>
      </c>
      <c r="C804" s="7">
        <v>0.6</v>
      </c>
      <c r="D804" s="7">
        <v>0.6</v>
      </c>
      <c r="E804" s="7">
        <v>0.6</v>
      </c>
      <c r="F804" s="7">
        <v>0.6</v>
      </c>
      <c r="G804" s="7">
        <v>0.6</v>
      </c>
      <c r="H804" s="7">
        <v>0.6</v>
      </c>
      <c r="I804" s="7">
        <v>0.6</v>
      </c>
      <c r="J804" s="7">
        <v>0.6</v>
      </c>
      <c r="K804" s="7">
        <v>0.6</v>
      </c>
      <c r="L804" s="7">
        <v>0.6</v>
      </c>
      <c r="M804" s="7">
        <v>0.6</v>
      </c>
      <c r="N804" s="7">
        <v>0.6</v>
      </c>
      <c r="O804" s="7">
        <v>0.6</v>
      </c>
      <c r="P804" s="7">
        <v>0.6</v>
      </c>
      <c r="Q804" s="7">
        <v>0.6</v>
      </c>
    </row>
    <row r="805" spans="1:17">
      <c r="A805" s="2">
        <v>2753</v>
      </c>
      <c r="B805" s="7">
        <v>0.6</v>
      </c>
      <c r="C805" s="7">
        <v>0.6</v>
      </c>
      <c r="D805" s="7">
        <v>0.6</v>
      </c>
      <c r="E805" s="7">
        <v>0.6</v>
      </c>
      <c r="F805" s="7">
        <v>0.6</v>
      </c>
      <c r="G805" s="7">
        <v>0.6</v>
      </c>
      <c r="H805" s="7">
        <v>0.6</v>
      </c>
      <c r="I805" s="7">
        <v>0.6</v>
      </c>
      <c r="J805" s="7">
        <v>0.6</v>
      </c>
      <c r="K805" s="7">
        <v>0.6</v>
      </c>
      <c r="L805" s="7">
        <v>0.6</v>
      </c>
      <c r="M805" s="7">
        <v>0.6</v>
      </c>
      <c r="N805" s="7">
        <v>0.6</v>
      </c>
      <c r="O805" s="7">
        <v>0.6</v>
      </c>
      <c r="P805" s="7">
        <v>0.6</v>
      </c>
      <c r="Q805" s="7">
        <v>0.6</v>
      </c>
    </row>
    <row r="806" spans="1:17">
      <c r="A806" s="2">
        <v>2754</v>
      </c>
      <c r="B806" s="7">
        <v>0.6</v>
      </c>
      <c r="C806" s="7">
        <v>0.6</v>
      </c>
      <c r="D806" s="7">
        <v>0.6</v>
      </c>
      <c r="E806" s="7">
        <v>0.6</v>
      </c>
      <c r="F806" s="7">
        <v>0.6</v>
      </c>
      <c r="G806" s="7">
        <v>0.6</v>
      </c>
      <c r="H806" s="7">
        <v>0.6</v>
      </c>
      <c r="I806" s="7">
        <v>0.6</v>
      </c>
      <c r="J806" s="7">
        <v>0.6</v>
      </c>
      <c r="K806" s="7">
        <v>0.6</v>
      </c>
      <c r="L806" s="7">
        <v>0.6</v>
      </c>
      <c r="M806" s="7">
        <v>0.6</v>
      </c>
      <c r="N806" s="7">
        <v>0.6</v>
      </c>
      <c r="O806" s="7">
        <v>0.6</v>
      </c>
      <c r="P806" s="7">
        <v>0.6</v>
      </c>
      <c r="Q806" s="7">
        <v>0.6</v>
      </c>
    </row>
    <row r="807" spans="1:17">
      <c r="A807" s="2">
        <v>2755</v>
      </c>
      <c r="B807" s="7">
        <v>0.6</v>
      </c>
      <c r="C807" s="7">
        <v>0.6</v>
      </c>
      <c r="D807" s="7">
        <v>0.6</v>
      </c>
      <c r="E807" s="7">
        <v>0.6</v>
      </c>
      <c r="F807" s="7">
        <v>0.6</v>
      </c>
      <c r="G807" s="7">
        <v>0.6</v>
      </c>
      <c r="H807" s="7">
        <v>0.6</v>
      </c>
      <c r="I807" s="7">
        <v>0.6</v>
      </c>
      <c r="J807" s="7">
        <v>0.6</v>
      </c>
      <c r="K807" s="7">
        <v>0.6</v>
      </c>
      <c r="L807" s="7">
        <v>0.6</v>
      </c>
      <c r="M807" s="7">
        <v>0.6</v>
      </c>
      <c r="N807" s="7">
        <v>0.6</v>
      </c>
      <c r="O807" s="7">
        <v>0.6</v>
      </c>
      <c r="P807" s="7">
        <v>0.6</v>
      </c>
      <c r="Q807" s="7">
        <v>0.6</v>
      </c>
    </row>
    <row r="808" spans="1:17">
      <c r="A808" s="2">
        <v>2756</v>
      </c>
      <c r="B808" s="7">
        <v>0.6</v>
      </c>
      <c r="C808" s="7">
        <v>0.6</v>
      </c>
      <c r="D808" s="7">
        <v>0.6</v>
      </c>
      <c r="E808" s="7">
        <v>0.6</v>
      </c>
      <c r="F808" s="7">
        <v>0.6</v>
      </c>
      <c r="G808" s="7">
        <v>0.6</v>
      </c>
      <c r="H808" s="7">
        <v>0.6</v>
      </c>
      <c r="I808" s="7">
        <v>0.6</v>
      </c>
      <c r="J808" s="7">
        <v>0.6</v>
      </c>
      <c r="K808" s="7">
        <v>0.6</v>
      </c>
      <c r="L808" s="7">
        <v>0.6</v>
      </c>
      <c r="M808" s="7">
        <v>0.6</v>
      </c>
      <c r="N808" s="7">
        <v>0.6</v>
      </c>
      <c r="O808" s="7">
        <v>0.6</v>
      </c>
      <c r="P808" s="7">
        <v>0.6</v>
      </c>
      <c r="Q808" s="7">
        <v>0.6</v>
      </c>
    </row>
    <row r="809" spans="1:17">
      <c r="A809" s="2">
        <v>2757</v>
      </c>
      <c r="B809" s="7">
        <v>0.6</v>
      </c>
      <c r="C809" s="7">
        <v>0.6</v>
      </c>
      <c r="D809" s="7">
        <v>0.6</v>
      </c>
      <c r="E809" s="7">
        <v>0.6</v>
      </c>
      <c r="F809" s="7">
        <v>0.6</v>
      </c>
      <c r="G809" s="7">
        <v>0.6</v>
      </c>
      <c r="H809" s="7">
        <v>0.6</v>
      </c>
      <c r="I809" s="7">
        <v>0.6</v>
      </c>
      <c r="J809" s="7">
        <v>0.6</v>
      </c>
      <c r="K809" s="7">
        <v>0.6</v>
      </c>
      <c r="L809" s="7">
        <v>0.6</v>
      </c>
      <c r="M809" s="7">
        <v>0.6</v>
      </c>
      <c r="N809" s="7">
        <v>0.6</v>
      </c>
      <c r="O809" s="7">
        <v>0.6</v>
      </c>
      <c r="P809" s="7">
        <v>0.6</v>
      </c>
      <c r="Q809" s="7">
        <v>0.6</v>
      </c>
    </row>
    <row r="810" spans="1:17">
      <c r="A810" s="2">
        <v>2758</v>
      </c>
      <c r="B810" s="7">
        <v>0.6</v>
      </c>
      <c r="C810" s="7">
        <v>0.6</v>
      </c>
      <c r="D810" s="7">
        <v>0.6</v>
      </c>
      <c r="E810" s="7">
        <v>0.6</v>
      </c>
      <c r="F810" s="7">
        <v>0.6</v>
      </c>
      <c r="G810" s="7">
        <v>0.6</v>
      </c>
      <c r="H810" s="7">
        <v>0.6</v>
      </c>
      <c r="I810" s="7">
        <v>0.6</v>
      </c>
      <c r="J810" s="7">
        <v>0.6</v>
      </c>
      <c r="K810" s="7">
        <v>0.6</v>
      </c>
      <c r="L810" s="7">
        <v>0.6</v>
      </c>
      <c r="M810" s="7">
        <v>0.6</v>
      </c>
      <c r="N810" s="7">
        <v>0.6</v>
      </c>
      <c r="O810" s="7">
        <v>0.6</v>
      </c>
      <c r="P810" s="7">
        <v>0.6</v>
      </c>
      <c r="Q810" s="7">
        <v>0.6</v>
      </c>
    </row>
    <row r="811" spans="1:17">
      <c r="A811" s="2">
        <v>2759</v>
      </c>
      <c r="B811" s="7">
        <v>0.6</v>
      </c>
      <c r="C811" s="7">
        <v>0.6</v>
      </c>
      <c r="D811" s="7">
        <v>0.6</v>
      </c>
      <c r="E811" s="7">
        <v>0.6</v>
      </c>
      <c r="F811" s="7">
        <v>0.6</v>
      </c>
      <c r="G811" s="7">
        <v>0.6</v>
      </c>
      <c r="H811" s="7">
        <v>0.6</v>
      </c>
      <c r="I811" s="7">
        <v>0.6</v>
      </c>
      <c r="J811" s="7">
        <v>0.6</v>
      </c>
      <c r="K811" s="7">
        <v>0.6</v>
      </c>
      <c r="L811" s="7">
        <v>0.6</v>
      </c>
      <c r="M811" s="7">
        <v>0.6</v>
      </c>
      <c r="N811" s="7">
        <v>0.6</v>
      </c>
      <c r="O811" s="7">
        <v>0.6</v>
      </c>
      <c r="P811" s="7">
        <v>0.6</v>
      </c>
      <c r="Q811" s="7">
        <v>0.6</v>
      </c>
    </row>
    <row r="812" spans="1:17">
      <c r="A812" s="2">
        <v>2760</v>
      </c>
      <c r="B812" s="7">
        <v>0.6</v>
      </c>
      <c r="C812" s="7">
        <v>0.6</v>
      </c>
      <c r="D812" s="7">
        <v>0.6</v>
      </c>
      <c r="E812" s="7">
        <v>0.6</v>
      </c>
      <c r="F812" s="7">
        <v>0.6</v>
      </c>
      <c r="G812" s="7">
        <v>0.6</v>
      </c>
      <c r="H812" s="7">
        <v>0.6</v>
      </c>
      <c r="I812" s="7">
        <v>0.6</v>
      </c>
      <c r="J812" s="7">
        <v>0.6</v>
      </c>
      <c r="K812" s="7">
        <v>0.6</v>
      </c>
      <c r="L812" s="7">
        <v>0.6</v>
      </c>
      <c r="M812" s="7">
        <v>0.6</v>
      </c>
      <c r="N812" s="7">
        <v>0.6</v>
      </c>
      <c r="O812" s="7">
        <v>0.6</v>
      </c>
      <c r="P812" s="7">
        <v>0.6</v>
      </c>
      <c r="Q812" s="7">
        <v>0.6</v>
      </c>
    </row>
    <row r="813" spans="1:17">
      <c r="A813" s="2">
        <v>2761</v>
      </c>
      <c r="B813" s="7">
        <v>0.6</v>
      </c>
      <c r="C813" s="7">
        <v>0.6</v>
      </c>
      <c r="D813" s="7">
        <v>0.6</v>
      </c>
      <c r="E813" s="7">
        <v>0.6</v>
      </c>
      <c r="F813" s="7">
        <v>0.6</v>
      </c>
      <c r="G813" s="7">
        <v>0.6</v>
      </c>
      <c r="H813" s="7">
        <v>0.6</v>
      </c>
      <c r="I813" s="7">
        <v>0.6</v>
      </c>
      <c r="J813" s="7">
        <v>0.6</v>
      </c>
      <c r="K813" s="7">
        <v>0.6</v>
      </c>
      <c r="L813" s="7">
        <v>0.6</v>
      </c>
      <c r="M813" s="7">
        <v>0.6</v>
      </c>
      <c r="N813" s="7">
        <v>0.6</v>
      </c>
      <c r="O813" s="7">
        <v>0.6</v>
      </c>
      <c r="P813" s="7">
        <v>0.6</v>
      </c>
      <c r="Q813" s="7">
        <v>0.6</v>
      </c>
    </row>
    <row r="814" spans="1:17">
      <c r="A814" s="2">
        <v>2762</v>
      </c>
      <c r="B814" s="7">
        <v>0.6</v>
      </c>
      <c r="C814" s="7">
        <v>0.6</v>
      </c>
      <c r="D814" s="7">
        <v>0.6</v>
      </c>
      <c r="E814" s="7">
        <v>0.6</v>
      </c>
      <c r="F814" s="7">
        <v>0.6</v>
      </c>
      <c r="G814" s="7">
        <v>0.6</v>
      </c>
      <c r="H814" s="7">
        <v>0.6</v>
      </c>
      <c r="I814" s="7">
        <v>0.6</v>
      </c>
      <c r="J814" s="7">
        <v>0.6</v>
      </c>
      <c r="K814" s="7">
        <v>0.6</v>
      </c>
      <c r="L814" s="7">
        <v>0.6</v>
      </c>
      <c r="M814" s="7">
        <v>0.6</v>
      </c>
      <c r="N814" s="7">
        <v>0.6</v>
      </c>
      <c r="O814" s="7">
        <v>0.6</v>
      </c>
      <c r="P814" s="7">
        <v>0.6</v>
      </c>
      <c r="Q814" s="7">
        <v>0.6</v>
      </c>
    </row>
    <row r="815" spans="1:17">
      <c r="A815" s="2">
        <v>2763</v>
      </c>
      <c r="B815" s="7">
        <v>0.6</v>
      </c>
      <c r="C815" s="7">
        <v>0.6</v>
      </c>
      <c r="D815" s="7">
        <v>0.6</v>
      </c>
      <c r="E815" s="7">
        <v>0.6</v>
      </c>
      <c r="F815" s="7">
        <v>0.6</v>
      </c>
      <c r="G815" s="7">
        <v>0.6</v>
      </c>
      <c r="H815" s="7">
        <v>0.6</v>
      </c>
      <c r="I815" s="7">
        <v>0.6</v>
      </c>
      <c r="J815" s="7">
        <v>0.6</v>
      </c>
      <c r="K815" s="7">
        <v>0.6</v>
      </c>
      <c r="L815" s="7">
        <v>0.6</v>
      </c>
      <c r="M815" s="7">
        <v>0.6</v>
      </c>
      <c r="N815" s="7">
        <v>0.6</v>
      </c>
      <c r="O815" s="7">
        <v>0.6</v>
      </c>
      <c r="P815" s="7">
        <v>0.6</v>
      </c>
      <c r="Q815" s="7">
        <v>0.6</v>
      </c>
    </row>
    <row r="816" spans="1:17">
      <c r="A816" s="2">
        <v>2764</v>
      </c>
      <c r="B816" s="7">
        <v>0.6</v>
      </c>
      <c r="C816" s="7">
        <v>0.6</v>
      </c>
      <c r="D816" s="7">
        <v>0.6</v>
      </c>
      <c r="E816" s="7">
        <v>0.6</v>
      </c>
      <c r="F816" s="7">
        <v>0.6</v>
      </c>
      <c r="G816" s="7">
        <v>0.6</v>
      </c>
      <c r="H816" s="7">
        <v>0.6</v>
      </c>
      <c r="I816" s="7">
        <v>0.6</v>
      </c>
      <c r="J816" s="7">
        <v>0.6</v>
      </c>
      <c r="K816" s="7">
        <v>0.6</v>
      </c>
      <c r="L816" s="7">
        <v>0.6</v>
      </c>
      <c r="M816" s="7">
        <v>0.6</v>
      </c>
      <c r="N816" s="7">
        <v>0.6</v>
      </c>
      <c r="O816" s="7">
        <v>0.6</v>
      </c>
      <c r="P816" s="7">
        <v>0.6</v>
      </c>
      <c r="Q816" s="7">
        <v>0.6</v>
      </c>
    </row>
    <row r="817" spans="1:17">
      <c r="A817" s="2">
        <v>2765</v>
      </c>
      <c r="B817" s="7">
        <v>0.6</v>
      </c>
      <c r="C817" s="7">
        <v>0.6</v>
      </c>
      <c r="D817" s="7">
        <v>0.6</v>
      </c>
      <c r="E817" s="7">
        <v>0.6</v>
      </c>
      <c r="F817" s="7">
        <v>0.6</v>
      </c>
      <c r="G817" s="7">
        <v>0.6</v>
      </c>
      <c r="H817" s="7">
        <v>0.6</v>
      </c>
      <c r="I817" s="7">
        <v>0.6</v>
      </c>
      <c r="J817" s="7">
        <v>0.6</v>
      </c>
      <c r="K817" s="7">
        <v>0.6</v>
      </c>
      <c r="L817" s="7">
        <v>0.6</v>
      </c>
      <c r="M817" s="7">
        <v>0.6</v>
      </c>
      <c r="N817" s="7">
        <v>0.6</v>
      </c>
      <c r="O817" s="7">
        <v>0.6</v>
      </c>
      <c r="P817" s="7">
        <v>0.6</v>
      </c>
      <c r="Q817" s="7">
        <v>0.6</v>
      </c>
    </row>
    <row r="818" spans="1:17">
      <c r="A818" s="2">
        <v>2766</v>
      </c>
      <c r="B818" s="7">
        <v>0.6</v>
      </c>
      <c r="C818" s="7">
        <v>0.6</v>
      </c>
      <c r="D818" s="7">
        <v>0.6</v>
      </c>
      <c r="E818" s="7">
        <v>0.6</v>
      </c>
      <c r="F818" s="7">
        <v>0.6</v>
      </c>
      <c r="G818" s="7">
        <v>0.6</v>
      </c>
      <c r="H818" s="7">
        <v>0.6</v>
      </c>
      <c r="I818" s="7">
        <v>0.6</v>
      </c>
      <c r="J818" s="7">
        <v>0.6</v>
      </c>
      <c r="K818" s="7">
        <v>0.6</v>
      </c>
      <c r="L818" s="7">
        <v>0.6</v>
      </c>
      <c r="M818" s="7">
        <v>0.6</v>
      </c>
      <c r="N818" s="7">
        <v>0.6</v>
      </c>
      <c r="O818" s="7">
        <v>0.6</v>
      </c>
      <c r="P818" s="7">
        <v>0.6</v>
      </c>
      <c r="Q818" s="7">
        <v>0.6</v>
      </c>
    </row>
    <row r="819" spans="1:17">
      <c r="A819" s="2">
        <v>2767</v>
      </c>
      <c r="B819" s="7">
        <v>0.6</v>
      </c>
      <c r="C819" s="7">
        <v>0.6</v>
      </c>
      <c r="D819" s="7">
        <v>0.6</v>
      </c>
      <c r="E819" s="7">
        <v>0.6</v>
      </c>
      <c r="F819" s="7">
        <v>0.6</v>
      </c>
      <c r="G819" s="7">
        <v>0.6</v>
      </c>
      <c r="H819" s="7">
        <v>0.6</v>
      </c>
      <c r="I819" s="7">
        <v>0.6</v>
      </c>
      <c r="J819" s="7">
        <v>0.6</v>
      </c>
      <c r="K819" s="7">
        <v>0.6</v>
      </c>
      <c r="L819" s="7">
        <v>0.6</v>
      </c>
      <c r="M819" s="7">
        <v>0.6</v>
      </c>
      <c r="N819" s="7">
        <v>0.6</v>
      </c>
      <c r="O819" s="7">
        <v>0.6</v>
      </c>
      <c r="P819" s="7">
        <v>0.6</v>
      </c>
      <c r="Q819" s="7">
        <v>0.6</v>
      </c>
    </row>
    <row r="820" spans="1:17">
      <c r="A820" s="2">
        <v>2768</v>
      </c>
      <c r="B820" s="7">
        <v>0.6</v>
      </c>
      <c r="C820" s="7">
        <v>0.6</v>
      </c>
      <c r="D820" s="7">
        <v>0.6</v>
      </c>
      <c r="E820" s="7">
        <v>0.6</v>
      </c>
      <c r="F820" s="7">
        <v>0.6</v>
      </c>
      <c r="G820" s="7">
        <v>0.6</v>
      </c>
      <c r="H820" s="7">
        <v>0.6</v>
      </c>
      <c r="I820" s="7">
        <v>0.6</v>
      </c>
      <c r="J820" s="7">
        <v>0.6</v>
      </c>
      <c r="K820" s="7">
        <v>0.6</v>
      </c>
      <c r="L820" s="7">
        <v>0.6</v>
      </c>
      <c r="M820" s="7">
        <v>0.6</v>
      </c>
      <c r="N820" s="7">
        <v>0.6</v>
      </c>
      <c r="O820" s="7">
        <v>0.6</v>
      </c>
      <c r="P820" s="7">
        <v>0.6</v>
      </c>
      <c r="Q820" s="7">
        <v>0.6</v>
      </c>
    </row>
    <row r="821" spans="1:17">
      <c r="A821" s="2">
        <v>2769</v>
      </c>
      <c r="B821" s="7">
        <v>0.6</v>
      </c>
      <c r="C821" s="7">
        <v>0.6</v>
      </c>
      <c r="D821" s="7">
        <v>0.6</v>
      </c>
      <c r="E821" s="7">
        <v>0.6</v>
      </c>
      <c r="F821" s="7">
        <v>0.6</v>
      </c>
      <c r="G821" s="7">
        <v>0.6</v>
      </c>
      <c r="H821" s="7">
        <v>0.6</v>
      </c>
      <c r="I821" s="7">
        <v>0.6</v>
      </c>
      <c r="J821" s="7">
        <v>0.6</v>
      </c>
      <c r="K821" s="7">
        <v>0.6</v>
      </c>
      <c r="L821" s="7">
        <v>0.6</v>
      </c>
      <c r="M821" s="7">
        <v>0.6</v>
      </c>
      <c r="N821" s="7">
        <v>0.6</v>
      </c>
      <c r="O821" s="7">
        <v>0.6</v>
      </c>
      <c r="P821" s="7">
        <v>0.6</v>
      </c>
      <c r="Q821" s="7">
        <v>0.6</v>
      </c>
    </row>
    <row r="822" spans="1:17">
      <c r="A822" s="2">
        <v>2770</v>
      </c>
      <c r="B822" s="7">
        <v>0.6</v>
      </c>
      <c r="C822" s="7">
        <v>0.6</v>
      </c>
      <c r="D822" s="7">
        <v>0.6</v>
      </c>
      <c r="E822" s="7">
        <v>0.6</v>
      </c>
      <c r="F822" s="7">
        <v>0.6</v>
      </c>
      <c r="G822" s="7">
        <v>0.6</v>
      </c>
      <c r="H822" s="7">
        <v>0.6</v>
      </c>
      <c r="I822" s="7">
        <v>0.6</v>
      </c>
      <c r="J822" s="7">
        <v>0.6</v>
      </c>
      <c r="K822" s="7">
        <v>0.6</v>
      </c>
      <c r="L822" s="7">
        <v>0.6</v>
      </c>
      <c r="M822" s="7">
        <v>0.6</v>
      </c>
      <c r="N822" s="7">
        <v>0.6</v>
      </c>
      <c r="O822" s="7">
        <v>0.6</v>
      </c>
      <c r="P822" s="7">
        <v>0.6</v>
      </c>
      <c r="Q822" s="7">
        <v>0.6</v>
      </c>
    </row>
    <row r="823" spans="1:17">
      <c r="A823" s="2">
        <v>2771</v>
      </c>
      <c r="B823" s="7">
        <v>0.6</v>
      </c>
      <c r="C823" s="7">
        <v>0.6</v>
      </c>
      <c r="D823" s="7">
        <v>0.6</v>
      </c>
      <c r="E823" s="7">
        <v>0.6</v>
      </c>
      <c r="F823" s="7">
        <v>0.6</v>
      </c>
      <c r="G823" s="7">
        <v>0.6</v>
      </c>
      <c r="H823" s="7">
        <v>0.6</v>
      </c>
      <c r="I823" s="7">
        <v>0.6</v>
      </c>
      <c r="J823" s="7">
        <v>0.6</v>
      </c>
      <c r="K823" s="7">
        <v>0.6</v>
      </c>
      <c r="L823" s="7">
        <v>0.6</v>
      </c>
      <c r="M823" s="7">
        <v>0.6</v>
      </c>
      <c r="N823" s="7">
        <v>0.6</v>
      </c>
      <c r="O823" s="7">
        <v>0.6</v>
      </c>
      <c r="P823" s="7">
        <v>0.6</v>
      </c>
      <c r="Q823" s="7">
        <v>0.6</v>
      </c>
    </row>
    <row r="824" spans="1:17">
      <c r="A824" s="2">
        <v>2772</v>
      </c>
      <c r="B824" s="7">
        <v>0.6</v>
      </c>
      <c r="C824" s="7">
        <v>0.6</v>
      </c>
      <c r="D824" s="7">
        <v>0.6</v>
      </c>
      <c r="E824" s="7">
        <v>0.6</v>
      </c>
      <c r="F824" s="7">
        <v>0.6</v>
      </c>
      <c r="G824" s="7">
        <v>0.6</v>
      </c>
      <c r="H824" s="7">
        <v>0.6</v>
      </c>
      <c r="I824" s="7">
        <v>0.6</v>
      </c>
      <c r="J824" s="7">
        <v>0.6</v>
      </c>
      <c r="K824" s="7">
        <v>0.6</v>
      </c>
      <c r="L824" s="7">
        <v>0.6</v>
      </c>
      <c r="M824" s="7">
        <v>0.6</v>
      </c>
      <c r="N824" s="7">
        <v>0.6</v>
      </c>
      <c r="O824" s="7">
        <v>0.6</v>
      </c>
      <c r="P824" s="7">
        <v>0.6</v>
      </c>
      <c r="Q824" s="7">
        <v>0.6</v>
      </c>
    </row>
    <row r="825" spans="1:17">
      <c r="A825" s="2">
        <v>2773</v>
      </c>
      <c r="B825" s="7">
        <v>0.6</v>
      </c>
      <c r="C825" s="7">
        <v>0.6</v>
      </c>
      <c r="D825" s="7">
        <v>0.6</v>
      </c>
      <c r="E825" s="7">
        <v>0.6</v>
      </c>
      <c r="F825" s="7">
        <v>0.6</v>
      </c>
      <c r="G825" s="7">
        <v>0.6</v>
      </c>
      <c r="H825" s="7">
        <v>0.6</v>
      </c>
      <c r="I825" s="7">
        <v>0.6</v>
      </c>
      <c r="J825" s="7">
        <v>0.6</v>
      </c>
      <c r="K825" s="7">
        <v>0.6</v>
      </c>
      <c r="L825" s="7">
        <v>0.6</v>
      </c>
      <c r="M825" s="7">
        <v>0.6</v>
      </c>
      <c r="N825" s="7">
        <v>0.6</v>
      </c>
      <c r="O825" s="7">
        <v>0.6</v>
      </c>
      <c r="P825" s="7">
        <v>0.6</v>
      </c>
      <c r="Q825" s="7">
        <v>0.6</v>
      </c>
    </row>
    <row r="826" spans="1:17">
      <c r="A826" s="2">
        <v>2774</v>
      </c>
      <c r="B826" s="7">
        <v>0.6</v>
      </c>
      <c r="C826" s="7">
        <v>0.6</v>
      </c>
      <c r="D826" s="7">
        <v>0.6</v>
      </c>
      <c r="E826" s="7">
        <v>0.6</v>
      </c>
      <c r="F826" s="7">
        <v>0.6</v>
      </c>
      <c r="G826" s="7">
        <v>0.6</v>
      </c>
      <c r="H826" s="7">
        <v>0.6</v>
      </c>
      <c r="I826" s="7">
        <v>0.6</v>
      </c>
      <c r="J826" s="7">
        <v>0.6</v>
      </c>
      <c r="K826" s="7">
        <v>0.6</v>
      </c>
      <c r="L826" s="7">
        <v>0.6</v>
      </c>
      <c r="M826" s="7">
        <v>0.6</v>
      </c>
      <c r="N826" s="7">
        <v>0.6</v>
      </c>
      <c r="O826" s="7">
        <v>0.6</v>
      </c>
      <c r="P826" s="7">
        <v>0.6</v>
      </c>
      <c r="Q826" s="7">
        <v>0.6</v>
      </c>
    </row>
    <row r="827" spans="1:17">
      <c r="A827" s="2">
        <v>2775</v>
      </c>
      <c r="B827" s="7">
        <v>0.6</v>
      </c>
      <c r="C827" s="7">
        <v>0.6</v>
      </c>
      <c r="D827" s="7">
        <v>0.6</v>
      </c>
      <c r="E827" s="7">
        <v>0.6</v>
      </c>
      <c r="F827" s="7">
        <v>0.6</v>
      </c>
      <c r="G827" s="7">
        <v>0.6</v>
      </c>
      <c r="H827" s="7">
        <v>0.6</v>
      </c>
      <c r="I827" s="7">
        <v>0.6</v>
      </c>
      <c r="J827" s="7">
        <v>0.6</v>
      </c>
      <c r="K827" s="7">
        <v>0.6</v>
      </c>
      <c r="L827" s="7">
        <v>0.6</v>
      </c>
      <c r="M827" s="7">
        <v>0.6</v>
      </c>
      <c r="N827" s="7">
        <v>0.6</v>
      </c>
      <c r="O827" s="7">
        <v>0.6</v>
      </c>
      <c r="P827" s="7">
        <v>0.6</v>
      </c>
      <c r="Q827" s="7">
        <v>0.6</v>
      </c>
    </row>
    <row r="828" spans="1:17">
      <c r="A828" s="2">
        <v>2776</v>
      </c>
      <c r="B828" s="7">
        <v>0.6</v>
      </c>
      <c r="C828" s="7">
        <v>0.6</v>
      </c>
      <c r="D828" s="7">
        <v>0.6</v>
      </c>
      <c r="E828" s="7">
        <v>0.6</v>
      </c>
      <c r="F828" s="7">
        <v>0.6</v>
      </c>
      <c r="G828" s="7">
        <v>0.6</v>
      </c>
      <c r="H828" s="7">
        <v>0.6</v>
      </c>
      <c r="I828" s="7">
        <v>0.6</v>
      </c>
      <c r="J828" s="7">
        <v>0.6</v>
      </c>
      <c r="K828" s="7">
        <v>0.6</v>
      </c>
      <c r="L828" s="7">
        <v>0.6</v>
      </c>
      <c r="M828" s="7">
        <v>0.6</v>
      </c>
      <c r="N828" s="7">
        <v>0.6</v>
      </c>
      <c r="O828" s="7">
        <v>0.6</v>
      </c>
      <c r="P828" s="7">
        <v>0.6</v>
      </c>
      <c r="Q828" s="7">
        <v>0.6</v>
      </c>
    </row>
    <row r="829" spans="1:17">
      <c r="A829" s="2">
        <v>2777</v>
      </c>
      <c r="B829" s="7">
        <v>0.6</v>
      </c>
      <c r="C829" s="7">
        <v>0.6</v>
      </c>
      <c r="D829" s="7">
        <v>0.6</v>
      </c>
      <c r="E829" s="7">
        <v>0.6</v>
      </c>
      <c r="F829" s="7">
        <v>0.6</v>
      </c>
      <c r="G829" s="7">
        <v>0.6</v>
      </c>
      <c r="H829" s="7">
        <v>0.6</v>
      </c>
      <c r="I829" s="7">
        <v>0.6</v>
      </c>
      <c r="J829" s="7">
        <v>0.6</v>
      </c>
      <c r="K829" s="7">
        <v>0.6</v>
      </c>
      <c r="L829" s="7">
        <v>0.6</v>
      </c>
      <c r="M829" s="7">
        <v>0.6</v>
      </c>
      <c r="N829" s="7">
        <v>0.6</v>
      </c>
      <c r="O829" s="7">
        <v>0.6</v>
      </c>
      <c r="P829" s="7">
        <v>0.6</v>
      </c>
      <c r="Q829" s="7">
        <v>0.6</v>
      </c>
    </row>
    <row r="830" spans="1:17">
      <c r="A830" s="2">
        <v>2778</v>
      </c>
      <c r="B830" s="7">
        <v>0.6</v>
      </c>
      <c r="C830" s="7">
        <v>0.6</v>
      </c>
      <c r="D830" s="7">
        <v>0.6</v>
      </c>
      <c r="E830" s="7">
        <v>0.6</v>
      </c>
      <c r="F830" s="7">
        <v>0.6</v>
      </c>
      <c r="G830" s="7">
        <v>0.6</v>
      </c>
      <c r="H830" s="7">
        <v>0.6</v>
      </c>
      <c r="I830" s="7">
        <v>0.6</v>
      </c>
      <c r="J830" s="7">
        <v>0.6</v>
      </c>
      <c r="K830" s="7">
        <v>0.6</v>
      </c>
      <c r="L830" s="7">
        <v>0.6</v>
      </c>
      <c r="M830" s="7">
        <v>0.6</v>
      </c>
      <c r="N830" s="7">
        <v>0.6</v>
      </c>
      <c r="O830" s="7">
        <v>0.6</v>
      </c>
      <c r="P830" s="7">
        <v>0.6</v>
      </c>
      <c r="Q830" s="7">
        <v>0.6</v>
      </c>
    </row>
    <row r="831" spans="1:17">
      <c r="A831" s="2">
        <v>2779</v>
      </c>
      <c r="B831" s="7">
        <v>0.6</v>
      </c>
      <c r="C831" s="7">
        <v>0.6</v>
      </c>
      <c r="D831" s="7">
        <v>0.6</v>
      </c>
      <c r="E831" s="7">
        <v>0.6</v>
      </c>
      <c r="F831" s="7">
        <v>0.6</v>
      </c>
      <c r="G831" s="7">
        <v>0.6</v>
      </c>
      <c r="H831" s="7">
        <v>0.6</v>
      </c>
      <c r="I831" s="7">
        <v>0.6</v>
      </c>
      <c r="J831" s="7">
        <v>0.6</v>
      </c>
      <c r="K831" s="7">
        <v>0.6</v>
      </c>
      <c r="L831" s="7">
        <v>0.6</v>
      </c>
      <c r="M831" s="7">
        <v>0.6</v>
      </c>
      <c r="N831" s="7">
        <v>0.6</v>
      </c>
      <c r="O831" s="7">
        <v>0.6</v>
      </c>
      <c r="P831" s="7">
        <v>0.6</v>
      </c>
      <c r="Q831" s="7">
        <v>0.6</v>
      </c>
    </row>
    <row r="832" spans="1:17">
      <c r="A832" s="2">
        <v>2780</v>
      </c>
      <c r="B832" s="7">
        <v>0.6</v>
      </c>
      <c r="C832" s="7">
        <v>0.6</v>
      </c>
      <c r="D832" s="7">
        <v>0.6</v>
      </c>
      <c r="E832" s="7">
        <v>0.6</v>
      </c>
      <c r="F832" s="7">
        <v>0.6</v>
      </c>
      <c r="G832" s="7">
        <v>0.6</v>
      </c>
      <c r="H832" s="7">
        <v>0.6</v>
      </c>
      <c r="I832" s="7">
        <v>0.6</v>
      </c>
      <c r="J832" s="7">
        <v>0.6</v>
      </c>
      <c r="K832" s="7">
        <v>0.6</v>
      </c>
      <c r="L832" s="7">
        <v>0.6</v>
      </c>
      <c r="M832" s="7">
        <v>0.6</v>
      </c>
      <c r="N832" s="7">
        <v>0.6</v>
      </c>
      <c r="O832" s="7">
        <v>0.6</v>
      </c>
      <c r="P832" s="7">
        <v>0.6</v>
      </c>
      <c r="Q832" s="7">
        <v>0.6</v>
      </c>
    </row>
    <row r="833" spans="1:17">
      <c r="A833" s="2">
        <v>2781</v>
      </c>
      <c r="B833" s="7">
        <v>0.6</v>
      </c>
      <c r="C833" s="7">
        <v>0.6</v>
      </c>
      <c r="D833" s="7">
        <v>0.6</v>
      </c>
      <c r="E833" s="7">
        <v>0.6</v>
      </c>
      <c r="F833" s="7">
        <v>0.6</v>
      </c>
      <c r="G833" s="7">
        <v>0.6</v>
      </c>
      <c r="H833" s="7">
        <v>0.6</v>
      </c>
      <c r="I833" s="7">
        <v>0.6</v>
      </c>
      <c r="J833" s="7">
        <v>0.6</v>
      </c>
      <c r="K833" s="7">
        <v>0.6</v>
      </c>
      <c r="L833" s="7">
        <v>0.6</v>
      </c>
      <c r="M833" s="7">
        <v>0.6</v>
      </c>
      <c r="N833" s="7">
        <v>0.6</v>
      </c>
      <c r="O833" s="7">
        <v>0.6</v>
      </c>
      <c r="P833" s="7">
        <v>0.6</v>
      </c>
      <c r="Q833" s="7">
        <v>0.6</v>
      </c>
    </row>
    <row r="834" spans="1:17">
      <c r="A834" s="2">
        <v>2782</v>
      </c>
      <c r="B834" s="7">
        <v>0.6</v>
      </c>
      <c r="C834" s="7">
        <v>0.6</v>
      </c>
      <c r="D834" s="7">
        <v>0.6</v>
      </c>
      <c r="E834" s="7">
        <v>0.6</v>
      </c>
      <c r="F834" s="7">
        <v>0.6</v>
      </c>
      <c r="G834" s="7">
        <v>0.6</v>
      </c>
      <c r="H834" s="7">
        <v>0.6</v>
      </c>
      <c r="I834" s="7">
        <v>0.6</v>
      </c>
      <c r="J834" s="7">
        <v>0.6</v>
      </c>
      <c r="K834" s="7">
        <v>0.6</v>
      </c>
      <c r="L834" s="7">
        <v>0.6</v>
      </c>
      <c r="M834" s="7">
        <v>0.6</v>
      </c>
      <c r="N834" s="7">
        <v>0.6</v>
      </c>
      <c r="O834" s="7">
        <v>0.6</v>
      </c>
      <c r="P834" s="7">
        <v>0.6</v>
      </c>
      <c r="Q834" s="7">
        <v>0.6</v>
      </c>
    </row>
    <row r="835" spans="1:17">
      <c r="A835" s="2">
        <v>2783</v>
      </c>
      <c r="B835" s="7">
        <v>0.6</v>
      </c>
      <c r="C835" s="7">
        <v>0.6</v>
      </c>
      <c r="D835" s="7">
        <v>0.6</v>
      </c>
      <c r="E835" s="7">
        <v>0.6</v>
      </c>
      <c r="F835" s="7">
        <v>0.6</v>
      </c>
      <c r="G835" s="7">
        <v>0.6</v>
      </c>
      <c r="H835" s="7">
        <v>0.6</v>
      </c>
      <c r="I835" s="7">
        <v>0.6</v>
      </c>
      <c r="J835" s="7">
        <v>0.6</v>
      </c>
      <c r="K835" s="7">
        <v>0.6</v>
      </c>
      <c r="L835" s="7">
        <v>0.6</v>
      </c>
      <c r="M835" s="7">
        <v>0.6</v>
      </c>
      <c r="N835" s="7">
        <v>0.6</v>
      </c>
      <c r="O835" s="7">
        <v>0.6</v>
      </c>
      <c r="P835" s="7">
        <v>0.6</v>
      </c>
      <c r="Q835" s="7">
        <v>0.6</v>
      </c>
    </row>
    <row r="836" spans="1:17">
      <c r="A836" s="2">
        <v>2784</v>
      </c>
      <c r="B836" s="7">
        <v>0.6</v>
      </c>
      <c r="C836" s="7">
        <v>0.6</v>
      </c>
      <c r="D836" s="7">
        <v>0.6</v>
      </c>
      <c r="E836" s="7">
        <v>0.6</v>
      </c>
      <c r="F836" s="7">
        <v>0.6</v>
      </c>
      <c r="G836" s="7">
        <v>0.6</v>
      </c>
      <c r="H836" s="7">
        <v>0.6</v>
      </c>
      <c r="I836" s="7">
        <v>0.6</v>
      </c>
      <c r="J836" s="7">
        <v>0.6</v>
      </c>
      <c r="K836" s="7">
        <v>0.6</v>
      </c>
      <c r="L836" s="7">
        <v>0.6</v>
      </c>
      <c r="M836" s="7">
        <v>0.6</v>
      </c>
      <c r="N836" s="7">
        <v>0.6</v>
      </c>
      <c r="O836" s="7">
        <v>0.6</v>
      </c>
      <c r="P836" s="7">
        <v>0.6</v>
      </c>
      <c r="Q836" s="7">
        <v>0.6</v>
      </c>
    </row>
    <row r="837" spans="1:17">
      <c r="A837" s="2">
        <v>2785</v>
      </c>
      <c r="B837" s="7">
        <v>0.6</v>
      </c>
      <c r="C837" s="7">
        <v>0.6</v>
      </c>
      <c r="D837" s="7">
        <v>0.6</v>
      </c>
      <c r="E837" s="7">
        <v>0.6</v>
      </c>
      <c r="F837" s="7">
        <v>0.6</v>
      </c>
      <c r="G837" s="7">
        <v>0.6</v>
      </c>
      <c r="H837" s="7">
        <v>0.6</v>
      </c>
      <c r="I837" s="7">
        <v>0.6</v>
      </c>
      <c r="J837" s="7">
        <v>0.6</v>
      </c>
      <c r="K837" s="7">
        <v>0.6</v>
      </c>
      <c r="L837" s="7">
        <v>0.6</v>
      </c>
      <c r="M837" s="7">
        <v>0.6</v>
      </c>
      <c r="N837" s="7">
        <v>0.6</v>
      </c>
      <c r="O837" s="7">
        <v>0.6</v>
      </c>
      <c r="P837" s="7">
        <v>0.6</v>
      </c>
      <c r="Q837" s="7">
        <v>0.6</v>
      </c>
    </row>
    <row r="838" spans="1:17">
      <c r="A838" s="2">
        <v>2786</v>
      </c>
      <c r="B838" s="7">
        <v>0.6</v>
      </c>
      <c r="C838" s="7">
        <v>0.6</v>
      </c>
      <c r="D838" s="7">
        <v>0.6</v>
      </c>
      <c r="E838" s="7">
        <v>0.6</v>
      </c>
      <c r="F838" s="7">
        <v>0.6</v>
      </c>
      <c r="G838" s="7">
        <v>0.6</v>
      </c>
      <c r="H838" s="7">
        <v>0.6</v>
      </c>
      <c r="I838" s="7">
        <v>0.6</v>
      </c>
      <c r="J838" s="7">
        <v>0.6</v>
      </c>
      <c r="K838" s="7">
        <v>0.6</v>
      </c>
      <c r="L838" s="7">
        <v>0.6</v>
      </c>
      <c r="M838" s="7">
        <v>0.6</v>
      </c>
      <c r="N838" s="7">
        <v>0.6</v>
      </c>
      <c r="O838" s="7">
        <v>0.6</v>
      </c>
      <c r="P838" s="7">
        <v>0.6</v>
      </c>
      <c r="Q838" s="7">
        <v>0.6</v>
      </c>
    </row>
    <row r="839" spans="1:17">
      <c r="A839" s="2">
        <v>2787</v>
      </c>
      <c r="B839" s="7">
        <v>0.6</v>
      </c>
      <c r="C839" s="7">
        <v>0.6</v>
      </c>
      <c r="D839" s="7">
        <v>0.6</v>
      </c>
      <c r="E839" s="7">
        <v>0.6</v>
      </c>
      <c r="F839" s="7">
        <v>0.6</v>
      </c>
      <c r="G839" s="7">
        <v>0.6</v>
      </c>
      <c r="H839" s="7">
        <v>0.6</v>
      </c>
      <c r="I839" s="7">
        <v>0.6</v>
      </c>
      <c r="J839" s="7">
        <v>0.6</v>
      </c>
      <c r="K839" s="7">
        <v>0.6</v>
      </c>
      <c r="L839" s="7">
        <v>0.6</v>
      </c>
      <c r="M839" s="7">
        <v>0.6</v>
      </c>
      <c r="N839" s="7">
        <v>0.6</v>
      </c>
      <c r="O839" s="7">
        <v>0.6</v>
      </c>
      <c r="P839" s="7">
        <v>0.6</v>
      </c>
      <c r="Q839" s="7">
        <v>0.6</v>
      </c>
    </row>
    <row r="840" spans="1:17">
      <c r="A840" s="2">
        <v>2788</v>
      </c>
      <c r="B840" s="7">
        <v>0.6</v>
      </c>
      <c r="C840" s="7">
        <v>0.6</v>
      </c>
      <c r="D840" s="7">
        <v>0.6</v>
      </c>
      <c r="E840" s="7">
        <v>0.6</v>
      </c>
      <c r="F840" s="7">
        <v>0.6</v>
      </c>
      <c r="G840" s="7">
        <v>0.6</v>
      </c>
      <c r="H840" s="7">
        <v>0.6</v>
      </c>
      <c r="I840" s="7">
        <v>0.6</v>
      </c>
      <c r="J840" s="7">
        <v>0.6</v>
      </c>
      <c r="K840" s="7">
        <v>0.6</v>
      </c>
      <c r="L840" s="7">
        <v>0.6</v>
      </c>
      <c r="M840" s="7">
        <v>0.6</v>
      </c>
      <c r="N840" s="7">
        <v>0.6</v>
      </c>
      <c r="O840" s="7">
        <v>0.6</v>
      </c>
      <c r="P840" s="7">
        <v>0.6</v>
      </c>
      <c r="Q840" s="7">
        <v>0.6</v>
      </c>
    </row>
    <row r="841" spans="1:17">
      <c r="A841" s="2">
        <v>2789</v>
      </c>
      <c r="B841" s="7">
        <v>0.6</v>
      </c>
      <c r="C841" s="7">
        <v>0.6</v>
      </c>
      <c r="D841" s="7">
        <v>0.6</v>
      </c>
      <c r="E841" s="7">
        <v>0.6</v>
      </c>
      <c r="F841" s="7">
        <v>0.6</v>
      </c>
      <c r="G841" s="7">
        <v>0.6</v>
      </c>
      <c r="H841" s="7">
        <v>0.6</v>
      </c>
      <c r="I841" s="7">
        <v>0.6</v>
      </c>
      <c r="J841" s="7">
        <v>0.6</v>
      </c>
      <c r="K841" s="7">
        <v>0.6</v>
      </c>
      <c r="L841" s="7">
        <v>0.6</v>
      </c>
      <c r="M841" s="7">
        <v>0.6</v>
      </c>
      <c r="N841" s="7">
        <v>0.6</v>
      </c>
      <c r="O841" s="7">
        <v>0.6</v>
      </c>
      <c r="P841" s="7">
        <v>0.6</v>
      </c>
      <c r="Q841" s="7">
        <v>0.6</v>
      </c>
    </row>
    <row r="842" spans="1:17">
      <c r="A842" s="2">
        <v>2790</v>
      </c>
      <c r="B842" s="7">
        <v>0.6</v>
      </c>
      <c r="C842" s="7">
        <v>0.6</v>
      </c>
      <c r="D842" s="7">
        <v>0.6</v>
      </c>
      <c r="E842" s="7">
        <v>0.6</v>
      </c>
      <c r="F842" s="7">
        <v>0.6</v>
      </c>
      <c r="G842" s="7">
        <v>0.6</v>
      </c>
      <c r="H842" s="7">
        <v>0.6</v>
      </c>
      <c r="I842" s="7">
        <v>0.6</v>
      </c>
      <c r="J842" s="7">
        <v>0.6</v>
      </c>
      <c r="K842" s="7">
        <v>0.6</v>
      </c>
      <c r="L842" s="7">
        <v>0.6</v>
      </c>
      <c r="M842" s="7">
        <v>0.6</v>
      </c>
      <c r="N842" s="7">
        <v>0.6</v>
      </c>
      <c r="O842" s="7">
        <v>0.6</v>
      </c>
      <c r="P842" s="7">
        <v>0.6</v>
      </c>
      <c r="Q842" s="7">
        <v>0.6</v>
      </c>
    </row>
    <row r="843" spans="1:17">
      <c r="A843" s="2">
        <v>2791</v>
      </c>
      <c r="B843" s="7">
        <v>0.6</v>
      </c>
      <c r="C843" s="7">
        <v>0.6</v>
      </c>
      <c r="D843" s="7">
        <v>0.6</v>
      </c>
      <c r="E843" s="7">
        <v>0.6</v>
      </c>
      <c r="F843" s="7">
        <v>0.6</v>
      </c>
      <c r="G843" s="7">
        <v>0.6</v>
      </c>
      <c r="H843" s="7">
        <v>0.6</v>
      </c>
      <c r="I843" s="7">
        <v>0.6</v>
      </c>
      <c r="J843" s="7">
        <v>0.6</v>
      </c>
      <c r="K843" s="7">
        <v>0.6</v>
      </c>
      <c r="L843" s="7">
        <v>0.6</v>
      </c>
      <c r="M843" s="7">
        <v>0.6</v>
      </c>
      <c r="N843" s="7">
        <v>0.6</v>
      </c>
      <c r="O843" s="7">
        <v>0.6</v>
      </c>
      <c r="P843" s="7">
        <v>0.6</v>
      </c>
      <c r="Q843" s="7">
        <v>0.6</v>
      </c>
    </row>
    <row r="844" spans="1:17">
      <c r="A844" s="2">
        <v>2792</v>
      </c>
      <c r="B844" s="7">
        <v>0.6</v>
      </c>
      <c r="C844" s="7">
        <v>0.6</v>
      </c>
      <c r="D844" s="7">
        <v>0.6</v>
      </c>
      <c r="E844" s="7">
        <v>0.6</v>
      </c>
      <c r="F844" s="7">
        <v>0.6</v>
      </c>
      <c r="G844" s="7">
        <v>0.6</v>
      </c>
      <c r="H844" s="7">
        <v>0.6</v>
      </c>
      <c r="I844" s="7">
        <v>0.6</v>
      </c>
      <c r="J844" s="7">
        <v>0.6</v>
      </c>
      <c r="K844" s="7">
        <v>0.6</v>
      </c>
      <c r="L844" s="7">
        <v>0.6</v>
      </c>
      <c r="M844" s="7">
        <v>0.6</v>
      </c>
      <c r="N844" s="7">
        <v>0.6</v>
      </c>
      <c r="O844" s="7">
        <v>0.6</v>
      </c>
      <c r="P844" s="7">
        <v>0.6</v>
      </c>
      <c r="Q844" s="7">
        <v>0.6</v>
      </c>
    </row>
    <row r="845" spans="1:17">
      <c r="A845" s="2">
        <v>2793</v>
      </c>
      <c r="B845" s="7">
        <v>0.6</v>
      </c>
      <c r="C845" s="7">
        <v>0.6</v>
      </c>
      <c r="D845" s="7">
        <v>0.6</v>
      </c>
      <c r="E845" s="7">
        <v>0.6</v>
      </c>
      <c r="F845" s="7">
        <v>0.6</v>
      </c>
      <c r="G845" s="7">
        <v>0.6</v>
      </c>
      <c r="H845" s="7">
        <v>0.6</v>
      </c>
      <c r="I845" s="7">
        <v>0.6</v>
      </c>
      <c r="J845" s="7">
        <v>0.6</v>
      </c>
      <c r="K845" s="7">
        <v>0.6</v>
      </c>
      <c r="L845" s="7">
        <v>0.6</v>
      </c>
      <c r="M845" s="7">
        <v>0.6</v>
      </c>
      <c r="N845" s="7">
        <v>0.6</v>
      </c>
      <c r="O845" s="7">
        <v>0.6</v>
      </c>
      <c r="P845" s="7">
        <v>0.6</v>
      </c>
      <c r="Q845" s="7">
        <v>0.6</v>
      </c>
    </row>
    <row r="846" spans="1:17">
      <c r="A846" s="2">
        <v>2794</v>
      </c>
      <c r="B846" s="7">
        <v>0.6</v>
      </c>
      <c r="C846" s="7">
        <v>0.6</v>
      </c>
      <c r="D846" s="7">
        <v>0.6</v>
      </c>
      <c r="E846" s="7">
        <v>0.6</v>
      </c>
      <c r="F846" s="7">
        <v>0.6</v>
      </c>
      <c r="G846" s="7">
        <v>0.6</v>
      </c>
      <c r="H846" s="7">
        <v>0.6</v>
      </c>
      <c r="I846" s="7">
        <v>0.6</v>
      </c>
      <c r="J846" s="7">
        <v>0.6</v>
      </c>
      <c r="K846" s="7">
        <v>0.6</v>
      </c>
      <c r="L846" s="7">
        <v>0.6</v>
      </c>
      <c r="M846" s="7">
        <v>0.6</v>
      </c>
      <c r="N846" s="7">
        <v>0.6</v>
      </c>
      <c r="O846" s="7">
        <v>0.6</v>
      </c>
      <c r="P846" s="7">
        <v>0.6</v>
      </c>
      <c r="Q846" s="7">
        <v>0.6</v>
      </c>
    </row>
    <row r="847" spans="1:17">
      <c r="A847" s="2">
        <v>2795</v>
      </c>
      <c r="B847" s="7">
        <v>0.6</v>
      </c>
      <c r="C847" s="7">
        <v>0.6</v>
      </c>
      <c r="D847" s="7">
        <v>0.6</v>
      </c>
      <c r="E847" s="7">
        <v>0.6</v>
      </c>
      <c r="F847" s="7">
        <v>0.6</v>
      </c>
      <c r="G847" s="7">
        <v>0.6</v>
      </c>
      <c r="H847" s="7">
        <v>0.6</v>
      </c>
      <c r="I847" s="7">
        <v>0.6</v>
      </c>
      <c r="J847" s="7">
        <v>0.6</v>
      </c>
      <c r="K847" s="7">
        <v>0.6</v>
      </c>
      <c r="L847" s="7">
        <v>0.6</v>
      </c>
      <c r="M847" s="7">
        <v>0.6</v>
      </c>
      <c r="N847" s="7">
        <v>0.6</v>
      </c>
      <c r="O847" s="7">
        <v>0.6</v>
      </c>
      <c r="P847" s="7">
        <v>0.6</v>
      </c>
      <c r="Q847" s="7">
        <v>0.6</v>
      </c>
    </row>
    <row r="848" spans="1:17">
      <c r="A848" s="2">
        <v>2796</v>
      </c>
      <c r="B848" s="7">
        <v>0.6</v>
      </c>
      <c r="C848" s="7">
        <v>0.6</v>
      </c>
      <c r="D848" s="7">
        <v>0.6</v>
      </c>
      <c r="E848" s="7">
        <v>0.6</v>
      </c>
      <c r="F848" s="7">
        <v>0.6</v>
      </c>
      <c r="G848" s="7">
        <v>0.6</v>
      </c>
      <c r="H848" s="7">
        <v>0.6</v>
      </c>
      <c r="I848" s="7">
        <v>0.6</v>
      </c>
      <c r="J848" s="7">
        <v>0.6</v>
      </c>
      <c r="K848" s="7">
        <v>0.6</v>
      </c>
      <c r="L848" s="7">
        <v>0.6</v>
      </c>
      <c r="M848" s="7">
        <v>0.6</v>
      </c>
      <c r="N848" s="7">
        <v>0.6</v>
      </c>
      <c r="O848" s="7">
        <v>0.6</v>
      </c>
      <c r="P848" s="7">
        <v>0.6</v>
      </c>
      <c r="Q848" s="7">
        <v>0.6</v>
      </c>
    </row>
    <row r="849" spans="1:17">
      <c r="A849" s="2">
        <v>2797</v>
      </c>
      <c r="B849" s="7">
        <v>0.6</v>
      </c>
      <c r="C849" s="7">
        <v>0.6</v>
      </c>
      <c r="D849" s="7">
        <v>0.6</v>
      </c>
      <c r="E849" s="7">
        <v>0.6</v>
      </c>
      <c r="F849" s="7">
        <v>0.6</v>
      </c>
      <c r="G849" s="7">
        <v>0.6</v>
      </c>
      <c r="H849" s="7">
        <v>0.6</v>
      </c>
      <c r="I849" s="7">
        <v>0.6</v>
      </c>
      <c r="J849" s="7">
        <v>0.6</v>
      </c>
      <c r="K849" s="7">
        <v>0.6</v>
      </c>
      <c r="L849" s="7">
        <v>0.6</v>
      </c>
      <c r="M849" s="7">
        <v>0.6</v>
      </c>
      <c r="N849" s="7">
        <v>0.6</v>
      </c>
      <c r="O849" s="7">
        <v>0.6</v>
      </c>
      <c r="P849" s="7">
        <v>0.6</v>
      </c>
      <c r="Q849" s="7">
        <v>0.6</v>
      </c>
    </row>
    <row r="850" spans="1:17">
      <c r="A850" s="2">
        <v>2798</v>
      </c>
      <c r="B850" s="7">
        <v>0.6</v>
      </c>
      <c r="C850" s="7">
        <v>0.6</v>
      </c>
      <c r="D850" s="7">
        <v>0.6</v>
      </c>
      <c r="E850" s="7">
        <v>0.6</v>
      </c>
      <c r="F850" s="7">
        <v>0.6</v>
      </c>
      <c r="G850" s="7">
        <v>0.6</v>
      </c>
      <c r="H850" s="7">
        <v>0.6</v>
      </c>
      <c r="I850" s="7">
        <v>0.6</v>
      </c>
      <c r="J850" s="7">
        <v>0.6</v>
      </c>
      <c r="K850" s="7">
        <v>0.6</v>
      </c>
      <c r="L850" s="7">
        <v>0.6</v>
      </c>
      <c r="M850" s="7">
        <v>0.6</v>
      </c>
      <c r="N850" s="7">
        <v>0.6</v>
      </c>
      <c r="O850" s="7">
        <v>0.6</v>
      </c>
      <c r="P850" s="7">
        <v>0.6</v>
      </c>
      <c r="Q850" s="7">
        <v>0.6</v>
      </c>
    </row>
    <row r="851" spans="1:17">
      <c r="A851" s="2">
        <v>2799</v>
      </c>
      <c r="B851" s="7">
        <v>0.6</v>
      </c>
      <c r="C851" s="7">
        <v>0.6</v>
      </c>
      <c r="D851" s="7">
        <v>0.6</v>
      </c>
      <c r="E851" s="7">
        <v>0.6</v>
      </c>
      <c r="F851" s="7">
        <v>0.6</v>
      </c>
      <c r="G851" s="7">
        <v>0.6</v>
      </c>
      <c r="H851" s="7">
        <v>0.6</v>
      </c>
      <c r="I851" s="7">
        <v>0.6</v>
      </c>
      <c r="J851" s="7">
        <v>0.6</v>
      </c>
      <c r="K851" s="7">
        <v>0.6</v>
      </c>
      <c r="L851" s="7">
        <v>0.6</v>
      </c>
      <c r="M851" s="7">
        <v>0.6</v>
      </c>
      <c r="N851" s="7">
        <v>0.6</v>
      </c>
      <c r="O851" s="7">
        <v>0.6</v>
      </c>
      <c r="P851" s="7">
        <v>0.6</v>
      </c>
      <c r="Q851" s="7">
        <v>0.6</v>
      </c>
    </row>
    <row r="852" spans="1:17">
      <c r="A852" s="2">
        <v>2800</v>
      </c>
      <c r="B852" s="7">
        <v>0.6</v>
      </c>
      <c r="C852" s="7">
        <v>0.6</v>
      </c>
      <c r="D852" s="7">
        <v>0.6</v>
      </c>
      <c r="E852" s="7">
        <v>0.6</v>
      </c>
      <c r="F852" s="7">
        <v>0.6</v>
      </c>
      <c r="G852" s="7">
        <v>0.6</v>
      </c>
      <c r="H852" s="7">
        <v>0.6</v>
      </c>
      <c r="I852" s="7">
        <v>0.6</v>
      </c>
      <c r="J852" s="7">
        <v>0.6</v>
      </c>
      <c r="K852" s="7">
        <v>0.6</v>
      </c>
      <c r="L852" s="7">
        <v>0.6</v>
      </c>
      <c r="M852" s="7">
        <v>0.6</v>
      </c>
      <c r="N852" s="7">
        <v>0.6</v>
      </c>
      <c r="O852" s="7">
        <v>0.6</v>
      </c>
      <c r="P852" s="7">
        <v>0.6</v>
      </c>
      <c r="Q852" s="7">
        <v>0.6</v>
      </c>
    </row>
    <row r="853" spans="1:17">
      <c r="A853" s="2">
        <v>2801</v>
      </c>
      <c r="B853" s="7">
        <v>0.6</v>
      </c>
      <c r="C853" s="7">
        <v>0.6</v>
      </c>
      <c r="D853" s="7">
        <v>0.6</v>
      </c>
      <c r="E853" s="7">
        <v>0.6</v>
      </c>
      <c r="F853" s="7">
        <v>0.6</v>
      </c>
      <c r="G853" s="7">
        <v>0.6</v>
      </c>
      <c r="H853" s="7">
        <v>0.6</v>
      </c>
      <c r="I853" s="7">
        <v>0.6</v>
      </c>
      <c r="J853" s="7">
        <v>0.6</v>
      </c>
      <c r="K853" s="7">
        <v>0.6</v>
      </c>
      <c r="L853" s="7">
        <v>0.6</v>
      </c>
      <c r="M853" s="7">
        <v>0.6</v>
      </c>
      <c r="N853" s="7">
        <v>0.6</v>
      </c>
      <c r="O853" s="7">
        <v>0.6</v>
      </c>
      <c r="P853" s="7">
        <v>0.6</v>
      </c>
      <c r="Q853" s="7">
        <v>0.6</v>
      </c>
    </row>
    <row r="854" spans="1:17">
      <c r="A854" s="2">
        <v>2802</v>
      </c>
      <c r="B854" s="7">
        <v>0.6</v>
      </c>
      <c r="C854" s="7">
        <v>0.6</v>
      </c>
      <c r="D854" s="7">
        <v>0.6</v>
      </c>
      <c r="E854" s="7">
        <v>0.6</v>
      </c>
      <c r="F854" s="7">
        <v>0.6</v>
      </c>
      <c r="G854" s="7">
        <v>0.6</v>
      </c>
      <c r="H854" s="7">
        <v>0.6</v>
      </c>
      <c r="I854" s="7">
        <v>0.6</v>
      </c>
      <c r="J854" s="7">
        <v>0.6</v>
      </c>
      <c r="K854" s="7">
        <v>0.6</v>
      </c>
      <c r="L854" s="7">
        <v>0.6</v>
      </c>
      <c r="M854" s="7">
        <v>0.6</v>
      </c>
      <c r="N854" s="7">
        <v>0.6</v>
      </c>
      <c r="O854" s="7">
        <v>0.6</v>
      </c>
      <c r="P854" s="7">
        <v>0.6</v>
      </c>
      <c r="Q854" s="7">
        <v>0.6</v>
      </c>
    </row>
    <row r="855" spans="1:17">
      <c r="A855" s="2">
        <v>2803</v>
      </c>
      <c r="B855" s="7">
        <v>0.6</v>
      </c>
      <c r="C855" s="7">
        <v>0.6</v>
      </c>
      <c r="D855" s="7">
        <v>0.6</v>
      </c>
      <c r="E855" s="7">
        <v>0.6</v>
      </c>
      <c r="F855" s="7">
        <v>0.6</v>
      </c>
      <c r="G855" s="7">
        <v>0.6</v>
      </c>
      <c r="H855" s="7">
        <v>0.6</v>
      </c>
      <c r="I855" s="7">
        <v>0.6</v>
      </c>
      <c r="J855" s="7">
        <v>0.6</v>
      </c>
      <c r="K855" s="7">
        <v>0.6</v>
      </c>
      <c r="L855" s="7">
        <v>0.6</v>
      </c>
      <c r="M855" s="7">
        <v>0.6</v>
      </c>
      <c r="N855" s="7">
        <v>0.6</v>
      </c>
      <c r="O855" s="7">
        <v>0.6</v>
      </c>
      <c r="P855" s="7">
        <v>0.6</v>
      </c>
      <c r="Q855" s="7">
        <v>0.6</v>
      </c>
    </row>
    <row r="856" spans="1:17">
      <c r="A856" s="2">
        <v>2804</v>
      </c>
      <c r="B856" s="7">
        <v>0.6</v>
      </c>
      <c r="C856" s="7">
        <v>0.6</v>
      </c>
      <c r="D856" s="7">
        <v>0.6</v>
      </c>
      <c r="E856" s="7">
        <v>0.6</v>
      </c>
      <c r="F856" s="7">
        <v>0.6</v>
      </c>
      <c r="G856" s="7">
        <v>0.6</v>
      </c>
      <c r="H856" s="7">
        <v>0.6</v>
      </c>
      <c r="I856" s="7">
        <v>0.6</v>
      </c>
      <c r="J856" s="7">
        <v>0.6</v>
      </c>
      <c r="K856" s="7">
        <v>0.6</v>
      </c>
      <c r="L856" s="7">
        <v>0.6</v>
      </c>
      <c r="M856" s="7">
        <v>0.6</v>
      </c>
      <c r="N856" s="7">
        <v>0.6</v>
      </c>
      <c r="O856" s="7">
        <v>0.6</v>
      </c>
      <c r="P856" s="7">
        <v>0.6</v>
      </c>
      <c r="Q856" s="7">
        <v>0.6</v>
      </c>
    </row>
    <row r="857" spans="1:17">
      <c r="A857" s="2">
        <v>2805</v>
      </c>
      <c r="B857" s="7">
        <v>0.6</v>
      </c>
      <c r="C857" s="7">
        <v>0.6</v>
      </c>
      <c r="D857" s="7">
        <v>0.6</v>
      </c>
      <c r="E857" s="7">
        <v>0.6</v>
      </c>
      <c r="F857" s="7">
        <v>0.6</v>
      </c>
      <c r="G857" s="7">
        <v>0.6</v>
      </c>
      <c r="H857" s="7">
        <v>0.6</v>
      </c>
      <c r="I857" s="7">
        <v>0.6</v>
      </c>
      <c r="J857" s="7">
        <v>0.6</v>
      </c>
      <c r="K857" s="7">
        <v>0.6</v>
      </c>
      <c r="L857" s="7">
        <v>0.6</v>
      </c>
      <c r="M857" s="7">
        <v>0.6</v>
      </c>
      <c r="N857" s="7">
        <v>0.6</v>
      </c>
      <c r="O857" s="7">
        <v>0.6</v>
      </c>
      <c r="P857" s="7">
        <v>0.6</v>
      </c>
      <c r="Q857" s="7">
        <v>0.6</v>
      </c>
    </row>
    <row r="858" spans="1:17">
      <c r="A858" s="2">
        <v>2806</v>
      </c>
      <c r="B858" s="7">
        <v>0.6</v>
      </c>
      <c r="C858" s="7">
        <v>0.6</v>
      </c>
      <c r="D858" s="7">
        <v>0.6</v>
      </c>
      <c r="E858" s="7">
        <v>0.6</v>
      </c>
      <c r="F858" s="7">
        <v>0.6</v>
      </c>
      <c r="G858" s="7">
        <v>0.6</v>
      </c>
      <c r="H858" s="7">
        <v>0.6</v>
      </c>
      <c r="I858" s="7">
        <v>0.6</v>
      </c>
      <c r="J858" s="7">
        <v>0.6</v>
      </c>
      <c r="K858" s="7">
        <v>0.6</v>
      </c>
      <c r="L858" s="7">
        <v>0.6</v>
      </c>
      <c r="M858" s="7">
        <v>0.6</v>
      </c>
      <c r="N858" s="7">
        <v>0.6</v>
      </c>
      <c r="O858" s="7">
        <v>0.6</v>
      </c>
      <c r="P858" s="7">
        <v>0.6</v>
      </c>
      <c r="Q858" s="7">
        <v>0.6</v>
      </c>
    </row>
    <row r="859" spans="1:17">
      <c r="A859" s="2">
        <v>2807</v>
      </c>
      <c r="B859" s="7">
        <v>0.6</v>
      </c>
      <c r="C859" s="7">
        <v>0.6</v>
      </c>
      <c r="D859" s="7">
        <v>0.6</v>
      </c>
      <c r="E859" s="7">
        <v>0.6</v>
      </c>
      <c r="F859" s="7">
        <v>0.6</v>
      </c>
      <c r="G859" s="7">
        <v>0.6</v>
      </c>
      <c r="H859" s="7">
        <v>0.6</v>
      </c>
      <c r="I859" s="7">
        <v>0.6</v>
      </c>
      <c r="J859" s="7">
        <v>0.6</v>
      </c>
      <c r="K859" s="7">
        <v>0.6</v>
      </c>
      <c r="L859" s="7">
        <v>0.6</v>
      </c>
      <c r="M859" s="7">
        <v>0.6</v>
      </c>
      <c r="N859" s="7">
        <v>0.6</v>
      </c>
      <c r="O859" s="7">
        <v>0.6</v>
      </c>
      <c r="P859" s="7">
        <v>0.6</v>
      </c>
      <c r="Q859" s="7">
        <v>0.6</v>
      </c>
    </row>
    <row r="860" spans="1:17">
      <c r="A860" s="2">
        <v>2808</v>
      </c>
      <c r="B860" s="7">
        <v>0.6</v>
      </c>
      <c r="C860" s="7">
        <v>0.6</v>
      </c>
      <c r="D860" s="7">
        <v>0.6</v>
      </c>
      <c r="E860" s="7">
        <v>0.6</v>
      </c>
      <c r="F860" s="7">
        <v>0.6</v>
      </c>
      <c r="G860" s="7">
        <v>0.6</v>
      </c>
      <c r="H860" s="7">
        <v>0.6</v>
      </c>
      <c r="I860" s="7">
        <v>0.6</v>
      </c>
      <c r="J860" s="7">
        <v>0.6</v>
      </c>
      <c r="K860" s="7">
        <v>0.6</v>
      </c>
      <c r="L860" s="7">
        <v>0.6</v>
      </c>
      <c r="M860" s="7">
        <v>0.6</v>
      </c>
      <c r="N860" s="7">
        <v>0.6</v>
      </c>
      <c r="O860" s="7">
        <v>0.6</v>
      </c>
      <c r="P860" s="7">
        <v>0.6</v>
      </c>
      <c r="Q860" s="7">
        <v>0.6</v>
      </c>
    </row>
    <row r="861" spans="1:17">
      <c r="A861" s="2">
        <v>2809</v>
      </c>
      <c r="B861" s="7">
        <v>0.6</v>
      </c>
      <c r="C861" s="7">
        <v>0.6</v>
      </c>
      <c r="D861" s="7">
        <v>0.6</v>
      </c>
      <c r="E861" s="7">
        <v>0.6</v>
      </c>
      <c r="F861" s="7">
        <v>0.6</v>
      </c>
      <c r="G861" s="7">
        <v>0.6</v>
      </c>
      <c r="H861" s="7">
        <v>0.6</v>
      </c>
      <c r="I861" s="7">
        <v>0.6</v>
      </c>
      <c r="J861" s="7">
        <v>0.6</v>
      </c>
      <c r="K861" s="7">
        <v>0.6</v>
      </c>
      <c r="L861" s="7">
        <v>0.6</v>
      </c>
      <c r="M861" s="7">
        <v>0.6</v>
      </c>
      <c r="N861" s="7">
        <v>0.6</v>
      </c>
      <c r="O861" s="7">
        <v>0.6</v>
      </c>
      <c r="P861" s="7">
        <v>0.6</v>
      </c>
      <c r="Q861" s="7">
        <v>0.6</v>
      </c>
    </row>
    <row r="862" spans="1:17">
      <c r="A862" s="2">
        <v>2810</v>
      </c>
      <c r="B862" s="7">
        <v>0.6</v>
      </c>
      <c r="C862" s="7">
        <v>0.6</v>
      </c>
      <c r="D862" s="7">
        <v>0.6</v>
      </c>
      <c r="E862" s="7">
        <v>0.6</v>
      </c>
      <c r="F862" s="7">
        <v>0.6</v>
      </c>
      <c r="G862" s="7">
        <v>0.6</v>
      </c>
      <c r="H862" s="7">
        <v>0.6</v>
      </c>
      <c r="I862" s="7">
        <v>0.6</v>
      </c>
      <c r="J862" s="7">
        <v>0.6</v>
      </c>
      <c r="K862" s="7">
        <v>0.6</v>
      </c>
      <c r="L862" s="7">
        <v>0.6</v>
      </c>
      <c r="M862" s="7">
        <v>0.6</v>
      </c>
      <c r="N862" s="7">
        <v>0.6</v>
      </c>
      <c r="O862" s="7">
        <v>0.6</v>
      </c>
      <c r="P862" s="7">
        <v>0.6</v>
      </c>
      <c r="Q862" s="7">
        <v>0.6</v>
      </c>
    </row>
    <row r="863" spans="1:17">
      <c r="A863" s="2">
        <v>2811</v>
      </c>
      <c r="B863" s="7">
        <v>0.6</v>
      </c>
      <c r="C863" s="7">
        <v>0.6</v>
      </c>
      <c r="D863" s="7">
        <v>0.6</v>
      </c>
      <c r="E863" s="7">
        <v>0.6</v>
      </c>
      <c r="F863" s="7">
        <v>0.6</v>
      </c>
      <c r="G863" s="7">
        <v>0.6</v>
      </c>
      <c r="H863" s="7">
        <v>0.6</v>
      </c>
      <c r="I863" s="7">
        <v>0.6</v>
      </c>
      <c r="J863" s="7">
        <v>0.6</v>
      </c>
      <c r="K863" s="7">
        <v>0.6</v>
      </c>
      <c r="L863" s="7">
        <v>0.6</v>
      </c>
      <c r="M863" s="7">
        <v>0.6</v>
      </c>
      <c r="N863" s="7">
        <v>0.6</v>
      </c>
      <c r="O863" s="7">
        <v>0.6</v>
      </c>
      <c r="P863" s="7">
        <v>0.6</v>
      </c>
      <c r="Q863" s="7">
        <v>0.6</v>
      </c>
    </row>
    <row r="864" spans="1:17">
      <c r="A864" s="2">
        <v>2812</v>
      </c>
      <c r="B864" s="7">
        <v>0.6</v>
      </c>
      <c r="C864" s="7">
        <v>0.6</v>
      </c>
      <c r="D864" s="7">
        <v>0.6</v>
      </c>
      <c r="E864" s="7">
        <v>0.6</v>
      </c>
      <c r="F864" s="7">
        <v>0.6</v>
      </c>
      <c r="G864" s="7">
        <v>0.6</v>
      </c>
      <c r="H864" s="7">
        <v>0.6</v>
      </c>
      <c r="I864" s="7">
        <v>0.6</v>
      </c>
      <c r="J864" s="7">
        <v>0.6</v>
      </c>
      <c r="K864" s="7">
        <v>0.6</v>
      </c>
      <c r="L864" s="7">
        <v>0.6</v>
      </c>
      <c r="M864" s="7">
        <v>0.6</v>
      </c>
      <c r="N864" s="7">
        <v>0.6</v>
      </c>
      <c r="O864" s="7">
        <v>0.6</v>
      </c>
      <c r="P864" s="7">
        <v>0.6</v>
      </c>
      <c r="Q864" s="7">
        <v>0.6</v>
      </c>
    </row>
    <row r="865" spans="1:17">
      <c r="A865" s="2">
        <v>2813</v>
      </c>
      <c r="B865" s="7">
        <v>0.6</v>
      </c>
      <c r="C865" s="7">
        <v>0.6</v>
      </c>
      <c r="D865" s="7">
        <v>0.6</v>
      </c>
      <c r="E865" s="7">
        <v>0.6</v>
      </c>
      <c r="F865" s="7">
        <v>0.6</v>
      </c>
      <c r="G865" s="7">
        <v>0.6</v>
      </c>
      <c r="H865" s="7">
        <v>0.6</v>
      </c>
      <c r="I865" s="7">
        <v>0.6</v>
      </c>
      <c r="J865" s="7">
        <v>0.6</v>
      </c>
      <c r="K865" s="7">
        <v>0.6</v>
      </c>
      <c r="L865" s="7">
        <v>0.6</v>
      </c>
      <c r="M865" s="7">
        <v>0.6</v>
      </c>
      <c r="N865" s="7">
        <v>0.6</v>
      </c>
      <c r="O865" s="7">
        <v>0.6</v>
      </c>
      <c r="P865" s="7">
        <v>0.6</v>
      </c>
      <c r="Q865" s="7">
        <v>0.6</v>
      </c>
    </row>
    <row r="866" spans="1:17">
      <c r="A866" s="2">
        <v>2814</v>
      </c>
      <c r="B866" s="7">
        <v>0.6</v>
      </c>
      <c r="C866" s="7">
        <v>0.6</v>
      </c>
      <c r="D866" s="7">
        <v>0.6</v>
      </c>
      <c r="E866" s="7">
        <v>0.6</v>
      </c>
      <c r="F866" s="7">
        <v>0.6</v>
      </c>
      <c r="G866" s="7">
        <v>0.6</v>
      </c>
      <c r="H866" s="7">
        <v>0.6</v>
      </c>
      <c r="I866" s="7">
        <v>0.6</v>
      </c>
      <c r="J866" s="7">
        <v>0.6</v>
      </c>
      <c r="K866" s="7">
        <v>0.6</v>
      </c>
      <c r="L866" s="7">
        <v>0.6</v>
      </c>
      <c r="M866" s="7">
        <v>0.6</v>
      </c>
      <c r="N866" s="7">
        <v>0.6</v>
      </c>
      <c r="O866" s="7">
        <v>0.6</v>
      </c>
      <c r="P866" s="7">
        <v>0.6</v>
      </c>
      <c r="Q866" s="7">
        <v>0.6</v>
      </c>
    </row>
    <row r="867" spans="1:17">
      <c r="A867" s="2">
        <v>2815</v>
      </c>
      <c r="B867" s="7">
        <v>0.6</v>
      </c>
      <c r="C867" s="7">
        <v>0.6</v>
      </c>
      <c r="D867" s="7">
        <v>0.6</v>
      </c>
      <c r="E867" s="7">
        <v>0.6</v>
      </c>
      <c r="F867" s="7">
        <v>0.6</v>
      </c>
      <c r="G867" s="7">
        <v>0.6</v>
      </c>
      <c r="H867" s="7">
        <v>0.6</v>
      </c>
      <c r="I867" s="7">
        <v>0.6</v>
      </c>
      <c r="J867" s="7">
        <v>0.6</v>
      </c>
      <c r="K867" s="7">
        <v>0.6</v>
      </c>
      <c r="L867" s="7">
        <v>0.6</v>
      </c>
      <c r="M867" s="7">
        <v>0.6</v>
      </c>
      <c r="N867" s="7">
        <v>0.6</v>
      </c>
      <c r="O867" s="7">
        <v>0.6</v>
      </c>
      <c r="P867" s="7">
        <v>0.6</v>
      </c>
      <c r="Q867" s="7">
        <v>0.6</v>
      </c>
    </row>
    <row r="868" spans="1:17">
      <c r="A868" s="2">
        <v>2816</v>
      </c>
      <c r="B868" s="7">
        <v>0.6</v>
      </c>
      <c r="C868" s="7">
        <v>0.6</v>
      </c>
      <c r="D868" s="7">
        <v>0.6</v>
      </c>
      <c r="E868" s="7">
        <v>0.6</v>
      </c>
      <c r="F868" s="7">
        <v>0.6</v>
      </c>
      <c r="G868" s="7">
        <v>0.6</v>
      </c>
      <c r="H868" s="7">
        <v>0.6</v>
      </c>
      <c r="I868" s="7">
        <v>0.6</v>
      </c>
      <c r="J868" s="7">
        <v>0.6</v>
      </c>
      <c r="K868" s="7">
        <v>0.6</v>
      </c>
      <c r="L868" s="7">
        <v>0.6</v>
      </c>
      <c r="M868" s="7">
        <v>0.6</v>
      </c>
      <c r="N868" s="7">
        <v>0.6</v>
      </c>
      <c r="O868" s="7">
        <v>0.6</v>
      </c>
      <c r="P868" s="7">
        <v>0.6</v>
      </c>
      <c r="Q868" s="7">
        <v>0.6</v>
      </c>
    </row>
    <row r="869" spans="1:17">
      <c r="A869" s="2">
        <v>2817</v>
      </c>
      <c r="B869" s="7">
        <v>0.6</v>
      </c>
      <c r="C869" s="7">
        <v>0.6</v>
      </c>
      <c r="D869" s="7">
        <v>0.6</v>
      </c>
      <c r="E869" s="7">
        <v>0.6</v>
      </c>
      <c r="F869" s="7">
        <v>0.6</v>
      </c>
      <c r="G869" s="7">
        <v>0.6</v>
      </c>
      <c r="H869" s="7">
        <v>0.6</v>
      </c>
      <c r="I869" s="7">
        <v>0.6</v>
      </c>
      <c r="J869" s="7">
        <v>0.6</v>
      </c>
      <c r="K869" s="7">
        <v>0.6</v>
      </c>
      <c r="L869" s="7">
        <v>0.6</v>
      </c>
      <c r="M869" s="7">
        <v>0.6</v>
      </c>
      <c r="N869" s="7">
        <v>0.6</v>
      </c>
      <c r="O869" s="7">
        <v>0.6</v>
      </c>
      <c r="P869" s="7">
        <v>0.6</v>
      </c>
      <c r="Q869" s="7">
        <v>0.6</v>
      </c>
    </row>
    <row r="870" spans="1:17">
      <c r="A870" s="2">
        <v>2818</v>
      </c>
      <c r="B870" s="7">
        <v>0.6</v>
      </c>
      <c r="C870" s="7">
        <v>0.6</v>
      </c>
      <c r="D870" s="7">
        <v>0.6</v>
      </c>
      <c r="E870" s="7">
        <v>0.6</v>
      </c>
      <c r="F870" s="7">
        <v>0.6</v>
      </c>
      <c r="G870" s="7">
        <v>0.6</v>
      </c>
      <c r="H870" s="7">
        <v>0.6</v>
      </c>
      <c r="I870" s="7">
        <v>0.6</v>
      </c>
      <c r="J870" s="7">
        <v>0.6</v>
      </c>
      <c r="K870" s="7">
        <v>0.6</v>
      </c>
      <c r="L870" s="7">
        <v>0.6</v>
      </c>
      <c r="M870" s="7">
        <v>0.6</v>
      </c>
      <c r="N870" s="7">
        <v>0.6</v>
      </c>
      <c r="O870" s="7">
        <v>0.6</v>
      </c>
      <c r="P870" s="7">
        <v>0.6</v>
      </c>
      <c r="Q870" s="7">
        <v>0.6</v>
      </c>
    </row>
    <row r="871" spans="1:17">
      <c r="A871" s="2">
        <v>2819</v>
      </c>
      <c r="B871" s="7">
        <v>0.6</v>
      </c>
      <c r="C871" s="7">
        <v>0.6</v>
      </c>
      <c r="D871" s="7">
        <v>0.6</v>
      </c>
      <c r="E871" s="7">
        <v>0.6</v>
      </c>
      <c r="F871" s="7">
        <v>0.6</v>
      </c>
      <c r="G871" s="7">
        <v>0.6</v>
      </c>
      <c r="H871" s="7">
        <v>0.6</v>
      </c>
      <c r="I871" s="7">
        <v>0.6</v>
      </c>
      <c r="J871" s="7">
        <v>0.6</v>
      </c>
      <c r="K871" s="7">
        <v>0.6</v>
      </c>
      <c r="L871" s="7">
        <v>0.6</v>
      </c>
      <c r="M871" s="7">
        <v>0.6</v>
      </c>
      <c r="N871" s="7">
        <v>0.6</v>
      </c>
      <c r="O871" s="7">
        <v>0.6</v>
      </c>
      <c r="P871" s="7">
        <v>0.6</v>
      </c>
      <c r="Q871" s="7">
        <v>0.6</v>
      </c>
    </row>
    <row r="872" spans="1:17">
      <c r="A872" s="2">
        <v>2820</v>
      </c>
      <c r="B872" s="7">
        <v>0.6</v>
      </c>
      <c r="C872" s="7">
        <v>0.6</v>
      </c>
      <c r="D872" s="7">
        <v>0.6</v>
      </c>
      <c r="E872" s="7">
        <v>0.6</v>
      </c>
      <c r="F872" s="7">
        <v>0.6</v>
      </c>
      <c r="G872" s="7">
        <v>0.6</v>
      </c>
      <c r="H872" s="7">
        <v>0.6</v>
      </c>
      <c r="I872" s="7">
        <v>0.6</v>
      </c>
      <c r="J872" s="7">
        <v>0.6</v>
      </c>
      <c r="K872" s="7">
        <v>0.6</v>
      </c>
      <c r="L872" s="7">
        <v>0.6</v>
      </c>
      <c r="M872" s="7">
        <v>0.6</v>
      </c>
      <c r="N872" s="7">
        <v>0.6</v>
      </c>
      <c r="O872" s="7">
        <v>0.6</v>
      </c>
      <c r="P872" s="7">
        <v>0.6</v>
      </c>
      <c r="Q872" s="7">
        <v>0.6</v>
      </c>
    </row>
    <row r="873" spans="1:17">
      <c r="A873" s="2">
        <v>2821</v>
      </c>
      <c r="B873" s="7">
        <v>0.6</v>
      </c>
      <c r="C873" s="7">
        <v>0.6</v>
      </c>
      <c r="D873" s="7">
        <v>0.6</v>
      </c>
      <c r="E873" s="7">
        <v>0.6</v>
      </c>
      <c r="F873" s="7">
        <v>0.6</v>
      </c>
      <c r="G873" s="7">
        <v>0.6</v>
      </c>
      <c r="H873" s="7">
        <v>0.6</v>
      </c>
      <c r="I873" s="7">
        <v>0.6</v>
      </c>
      <c r="J873" s="7">
        <v>0.6</v>
      </c>
      <c r="K873" s="7">
        <v>0.6</v>
      </c>
      <c r="L873" s="7">
        <v>0.6</v>
      </c>
      <c r="M873" s="7">
        <v>0.6</v>
      </c>
      <c r="N873" s="7">
        <v>0.6</v>
      </c>
      <c r="O873" s="7">
        <v>0.6</v>
      </c>
      <c r="P873" s="7">
        <v>0.6</v>
      </c>
      <c r="Q873" s="7">
        <v>0.6</v>
      </c>
    </row>
    <row r="874" spans="1:17">
      <c r="A874" s="2">
        <v>2822</v>
      </c>
      <c r="B874" s="7">
        <v>0.6</v>
      </c>
      <c r="C874" s="7">
        <v>0.6</v>
      </c>
      <c r="D874" s="7">
        <v>0.6</v>
      </c>
      <c r="E874" s="7">
        <v>0.6</v>
      </c>
      <c r="F874" s="7">
        <v>0.6</v>
      </c>
      <c r="G874" s="7">
        <v>0.6</v>
      </c>
      <c r="H874" s="7">
        <v>0.6</v>
      </c>
      <c r="I874" s="7">
        <v>0.6</v>
      </c>
      <c r="J874" s="7">
        <v>0.6</v>
      </c>
      <c r="K874" s="7">
        <v>0.6</v>
      </c>
      <c r="L874" s="7">
        <v>0.6</v>
      </c>
      <c r="M874" s="7">
        <v>0.6</v>
      </c>
      <c r="N874" s="7">
        <v>0.6</v>
      </c>
      <c r="O874" s="7">
        <v>0.6</v>
      </c>
      <c r="P874" s="7">
        <v>0.6</v>
      </c>
      <c r="Q874" s="7">
        <v>0.6</v>
      </c>
    </row>
    <row r="875" spans="1:17">
      <c r="A875" s="2">
        <v>2823</v>
      </c>
      <c r="B875" s="7">
        <v>0.6</v>
      </c>
      <c r="C875" s="7">
        <v>0.6</v>
      </c>
      <c r="D875" s="7">
        <v>0.6</v>
      </c>
      <c r="E875" s="7">
        <v>0.6</v>
      </c>
      <c r="F875" s="7">
        <v>0.6</v>
      </c>
      <c r="G875" s="7">
        <v>0.6</v>
      </c>
      <c r="H875" s="7">
        <v>0.6</v>
      </c>
      <c r="I875" s="7">
        <v>0.6</v>
      </c>
      <c r="J875" s="7">
        <v>0.6</v>
      </c>
      <c r="K875" s="7">
        <v>0.6</v>
      </c>
      <c r="L875" s="7">
        <v>0.6</v>
      </c>
      <c r="M875" s="7">
        <v>0.6</v>
      </c>
      <c r="N875" s="7">
        <v>0.6</v>
      </c>
      <c r="O875" s="7">
        <v>0.6</v>
      </c>
      <c r="P875" s="7">
        <v>0.6</v>
      </c>
      <c r="Q875" s="7">
        <v>0.6</v>
      </c>
    </row>
    <row r="876" spans="1:17">
      <c r="A876" s="2">
        <v>2824</v>
      </c>
      <c r="B876" s="7">
        <v>0.6</v>
      </c>
      <c r="C876" s="7">
        <v>0.6</v>
      </c>
      <c r="D876" s="7">
        <v>0.6</v>
      </c>
      <c r="E876" s="7">
        <v>0.6</v>
      </c>
      <c r="F876" s="7">
        <v>0.6</v>
      </c>
      <c r="G876" s="7">
        <v>0.6</v>
      </c>
      <c r="H876" s="7">
        <v>0.6</v>
      </c>
      <c r="I876" s="7">
        <v>0.6</v>
      </c>
      <c r="J876" s="7">
        <v>0.6</v>
      </c>
      <c r="K876" s="7">
        <v>0.6</v>
      </c>
      <c r="L876" s="7">
        <v>0.6</v>
      </c>
      <c r="M876" s="7">
        <v>0.6</v>
      </c>
      <c r="N876" s="7">
        <v>0.6</v>
      </c>
      <c r="O876" s="7">
        <v>0.6</v>
      </c>
      <c r="P876" s="7">
        <v>0.6</v>
      </c>
      <c r="Q876" s="7">
        <v>0.6</v>
      </c>
    </row>
    <row r="877" spans="1:17">
      <c r="A877" s="2">
        <v>2825</v>
      </c>
      <c r="B877" s="7">
        <v>0.6</v>
      </c>
      <c r="C877" s="7">
        <v>0.6</v>
      </c>
      <c r="D877" s="7">
        <v>0.6</v>
      </c>
      <c r="E877" s="7">
        <v>0.6</v>
      </c>
      <c r="F877" s="7">
        <v>0.6</v>
      </c>
      <c r="G877" s="7">
        <v>0.6</v>
      </c>
      <c r="H877" s="7">
        <v>0.6</v>
      </c>
      <c r="I877" s="7">
        <v>0.6</v>
      </c>
      <c r="J877" s="7">
        <v>0.6</v>
      </c>
      <c r="K877" s="7">
        <v>0.6</v>
      </c>
      <c r="L877" s="7">
        <v>0.6</v>
      </c>
      <c r="M877" s="7">
        <v>0.6</v>
      </c>
      <c r="N877" s="7">
        <v>0.6</v>
      </c>
      <c r="O877" s="7">
        <v>0.6</v>
      </c>
      <c r="P877" s="7">
        <v>0.6</v>
      </c>
      <c r="Q877" s="7">
        <v>0.6</v>
      </c>
    </row>
    <row r="878" spans="1:17">
      <c r="A878" s="2">
        <v>2826</v>
      </c>
      <c r="B878" s="7">
        <v>0.6</v>
      </c>
      <c r="C878" s="7">
        <v>0.6</v>
      </c>
      <c r="D878" s="7">
        <v>0.6</v>
      </c>
      <c r="E878" s="7">
        <v>0.6</v>
      </c>
      <c r="F878" s="7">
        <v>0.6</v>
      </c>
      <c r="G878" s="7">
        <v>0.6</v>
      </c>
      <c r="H878" s="7">
        <v>0.6</v>
      </c>
      <c r="I878" s="7">
        <v>0.6</v>
      </c>
      <c r="J878" s="7">
        <v>0.6</v>
      </c>
      <c r="K878" s="7">
        <v>0.6</v>
      </c>
      <c r="L878" s="7">
        <v>0.6</v>
      </c>
      <c r="M878" s="7">
        <v>0.6</v>
      </c>
      <c r="N878" s="7">
        <v>0.6</v>
      </c>
      <c r="O878" s="7">
        <v>0.6</v>
      </c>
      <c r="P878" s="7">
        <v>0.6</v>
      </c>
      <c r="Q878" s="7">
        <v>0.6</v>
      </c>
    </row>
    <row r="879" spans="1:17">
      <c r="A879" s="2">
        <v>2827</v>
      </c>
      <c r="B879" s="7">
        <v>0.6</v>
      </c>
      <c r="C879" s="7">
        <v>0.6</v>
      </c>
      <c r="D879" s="7">
        <v>0.6</v>
      </c>
      <c r="E879" s="7">
        <v>0.6</v>
      </c>
      <c r="F879" s="7">
        <v>0.6</v>
      </c>
      <c r="G879" s="7">
        <v>0.6</v>
      </c>
      <c r="H879" s="7">
        <v>0.6</v>
      </c>
      <c r="I879" s="7">
        <v>0.6</v>
      </c>
      <c r="J879" s="7">
        <v>0.6</v>
      </c>
      <c r="K879" s="7">
        <v>0.6</v>
      </c>
      <c r="L879" s="7">
        <v>0.6</v>
      </c>
      <c r="M879" s="7">
        <v>0.6</v>
      </c>
      <c r="N879" s="7">
        <v>0.6</v>
      </c>
      <c r="O879" s="7">
        <v>0.6</v>
      </c>
      <c r="P879" s="7">
        <v>0.6</v>
      </c>
      <c r="Q879" s="7">
        <v>0.6</v>
      </c>
    </row>
    <row r="880" spans="1:17">
      <c r="A880" s="2">
        <v>2828</v>
      </c>
      <c r="B880" s="7">
        <v>0.6</v>
      </c>
      <c r="C880" s="7">
        <v>0.6</v>
      </c>
      <c r="D880" s="7">
        <v>0.6</v>
      </c>
      <c r="E880" s="7">
        <v>0.6</v>
      </c>
      <c r="F880" s="7">
        <v>0.6</v>
      </c>
      <c r="G880" s="7">
        <v>0.6</v>
      </c>
      <c r="H880" s="7">
        <v>0.6</v>
      </c>
      <c r="I880" s="7">
        <v>0.6</v>
      </c>
      <c r="J880" s="7">
        <v>0.6</v>
      </c>
      <c r="K880" s="7">
        <v>0.6</v>
      </c>
      <c r="L880" s="7">
        <v>0.6</v>
      </c>
      <c r="M880" s="7">
        <v>0.6</v>
      </c>
      <c r="N880" s="7">
        <v>0.6</v>
      </c>
      <c r="O880" s="7">
        <v>0.6</v>
      </c>
      <c r="P880" s="7">
        <v>0.6</v>
      </c>
      <c r="Q880" s="7">
        <v>0.6</v>
      </c>
    </row>
    <row r="881" spans="1:17">
      <c r="A881" s="2">
        <v>2829</v>
      </c>
      <c r="B881" s="7">
        <v>0.6</v>
      </c>
      <c r="C881" s="7">
        <v>0.6</v>
      </c>
      <c r="D881" s="7">
        <v>0.6</v>
      </c>
      <c r="E881" s="7">
        <v>0.6</v>
      </c>
      <c r="F881" s="7">
        <v>0.6</v>
      </c>
      <c r="G881" s="7">
        <v>0.6</v>
      </c>
      <c r="H881" s="7">
        <v>0.6</v>
      </c>
      <c r="I881" s="7">
        <v>0.6</v>
      </c>
      <c r="J881" s="7">
        <v>0.6</v>
      </c>
      <c r="K881" s="7">
        <v>0.6</v>
      </c>
      <c r="L881" s="7">
        <v>0.6</v>
      </c>
      <c r="M881" s="7">
        <v>0.6</v>
      </c>
      <c r="N881" s="7">
        <v>0.6</v>
      </c>
      <c r="O881" s="7">
        <v>0.6</v>
      </c>
      <c r="P881" s="7">
        <v>0.6</v>
      </c>
      <c r="Q881" s="7">
        <v>0.6</v>
      </c>
    </row>
    <row r="882" spans="1:17">
      <c r="A882" s="2">
        <v>2830</v>
      </c>
      <c r="B882" s="7">
        <v>0.6</v>
      </c>
      <c r="C882" s="7">
        <v>0.6</v>
      </c>
      <c r="D882" s="7">
        <v>0.6</v>
      </c>
      <c r="E882" s="7">
        <v>0.6</v>
      </c>
      <c r="F882" s="7">
        <v>0.6</v>
      </c>
      <c r="G882" s="7">
        <v>0.6</v>
      </c>
      <c r="H882" s="7">
        <v>0.6</v>
      </c>
      <c r="I882" s="7">
        <v>0.6</v>
      </c>
      <c r="J882" s="7">
        <v>0.6</v>
      </c>
      <c r="K882" s="7">
        <v>0.6</v>
      </c>
      <c r="L882" s="7">
        <v>0.6</v>
      </c>
      <c r="M882" s="7">
        <v>0.6</v>
      </c>
      <c r="N882" s="7">
        <v>0.6</v>
      </c>
      <c r="O882" s="7">
        <v>0.6</v>
      </c>
      <c r="P882" s="7">
        <v>0.6</v>
      </c>
      <c r="Q882" s="7">
        <v>0.6</v>
      </c>
    </row>
    <row r="883" spans="1:17">
      <c r="A883" s="2">
        <v>2831</v>
      </c>
      <c r="B883" s="7">
        <v>0.6</v>
      </c>
      <c r="C883" s="7">
        <v>0.6</v>
      </c>
      <c r="D883" s="7">
        <v>0.6</v>
      </c>
      <c r="E883" s="7">
        <v>0.6</v>
      </c>
      <c r="F883" s="7">
        <v>0.6</v>
      </c>
      <c r="G883" s="7">
        <v>0.6</v>
      </c>
      <c r="H883" s="7">
        <v>0.6</v>
      </c>
      <c r="I883" s="7">
        <v>0.6</v>
      </c>
      <c r="J883" s="7">
        <v>0.6</v>
      </c>
      <c r="K883" s="7">
        <v>0.6</v>
      </c>
      <c r="L883" s="7">
        <v>0.6</v>
      </c>
      <c r="M883" s="7">
        <v>0.6</v>
      </c>
      <c r="N883" s="7">
        <v>0.6</v>
      </c>
      <c r="O883" s="7">
        <v>0.6</v>
      </c>
      <c r="P883" s="7">
        <v>0.6</v>
      </c>
      <c r="Q883" s="7">
        <v>0.6</v>
      </c>
    </row>
    <row r="884" spans="1:17">
      <c r="A884" s="2">
        <v>2832</v>
      </c>
      <c r="B884" s="7">
        <v>0.6</v>
      </c>
      <c r="C884" s="7">
        <v>0.6</v>
      </c>
      <c r="D884" s="7">
        <v>0.6</v>
      </c>
      <c r="E884" s="7">
        <v>0.6</v>
      </c>
      <c r="F884" s="7">
        <v>0.6</v>
      </c>
      <c r="G884" s="7">
        <v>0.6</v>
      </c>
      <c r="H884" s="7">
        <v>0.6</v>
      </c>
      <c r="I884" s="7">
        <v>0.6</v>
      </c>
      <c r="J884" s="7">
        <v>0.6</v>
      </c>
      <c r="K884" s="7">
        <v>0.6</v>
      </c>
      <c r="L884" s="7">
        <v>0.6</v>
      </c>
      <c r="M884" s="7">
        <v>0.6</v>
      </c>
      <c r="N884" s="7">
        <v>0.6</v>
      </c>
      <c r="O884" s="7">
        <v>0.6</v>
      </c>
      <c r="P884" s="7">
        <v>0.6</v>
      </c>
      <c r="Q884" s="7">
        <v>0.6</v>
      </c>
    </row>
    <row r="885" spans="1:17">
      <c r="A885" s="2">
        <v>2833</v>
      </c>
      <c r="B885" s="7">
        <v>0.6</v>
      </c>
      <c r="C885" s="7">
        <v>0.6</v>
      </c>
      <c r="D885" s="7">
        <v>0.6</v>
      </c>
      <c r="E885" s="7">
        <v>0.6</v>
      </c>
      <c r="F885" s="7">
        <v>0.6</v>
      </c>
      <c r="G885" s="7">
        <v>0.6</v>
      </c>
      <c r="H885" s="7">
        <v>0.6</v>
      </c>
      <c r="I885" s="7">
        <v>0.6</v>
      </c>
      <c r="J885" s="7">
        <v>0.6</v>
      </c>
      <c r="K885" s="7">
        <v>0.6</v>
      </c>
      <c r="L885" s="7">
        <v>0.6</v>
      </c>
      <c r="M885" s="7">
        <v>0.6</v>
      </c>
      <c r="N885" s="7">
        <v>0.6</v>
      </c>
      <c r="O885" s="7">
        <v>0.6</v>
      </c>
      <c r="P885" s="7">
        <v>0.6</v>
      </c>
      <c r="Q885" s="7">
        <v>0.6</v>
      </c>
    </row>
    <row r="886" spans="1:17">
      <c r="A886" s="2">
        <v>2834</v>
      </c>
      <c r="B886" s="7">
        <v>0.6</v>
      </c>
      <c r="C886" s="7">
        <v>0.6</v>
      </c>
      <c r="D886" s="7">
        <v>0.6</v>
      </c>
      <c r="E886" s="7">
        <v>0.6</v>
      </c>
      <c r="F886" s="7">
        <v>0.6</v>
      </c>
      <c r="G886" s="7">
        <v>0.6</v>
      </c>
      <c r="H886" s="7">
        <v>0.6</v>
      </c>
      <c r="I886" s="7">
        <v>0.6</v>
      </c>
      <c r="J886" s="7">
        <v>0.6</v>
      </c>
      <c r="K886" s="7">
        <v>0.6</v>
      </c>
      <c r="L886" s="7">
        <v>0.6</v>
      </c>
      <c r="M886" s="7">
        <v>0.6</v>
      </c>
      <c r="N886" s="7">
        <v>0.6</v>
      </c>
      <c r="O886" s="7">
        <v>0.6</v>
      </c>
      <c r="P886" s="7">
        <v>0.6</v>
      </c>
      <c r="Q886" s="7">
        <v>0.6</v>
      </c>
    </row>
    <row r="887" spans="1:17">
      <c r="A887" s="2">
        <v>2835</v>
      </c>
      <c r="B887" s="7">
        <v>0.6</v>
      </c>
      <c r="C887" s="7">
        <v>0.6</v>
      </c>
      <c r="D887" s="7">
        <v>0.6</v>
      </c>
      <c r="E887" s="7">
        <v>0.6</v>
      </c>
      <c r="F887" s="7">
        <v>0.6</v>
      </c>
      <c r="G887" s="7">
        <v>0.6</v>
      </c>
      <c r="H887" s="7">
        <v>0.6</v>
      </c>
      <c r="I887" s="7">
        <v>0.6</v>
      </c>
      <c r="J887" s="7">
        <v>0.6</v>
      </c>
      <c r="K887" s="7">
        <v>0.6</v>
      </c>
      <c r="L887" s="7">
        <v>0.6</v>
      </c>
      <c r="M887" s="7">
        <v>0.6</v>
      </c>
      <c r="N887" s="7">
        <v>0.6</v>
      </c>
      <c r="O887" s="7">
        <v>0.6</v>
      </c>
      <c r="P887" s="7">
        <v>0.6</v>
      </c>
      <c r="Q887" s="7">
        <v>0.6</v>
      </c>
    </row>
    <row r="888" spans="1:17">
      <c r="A888" s="2">
        <v>2836</v>
      </c>
      <c r="B888" s="7">
        <v>0.6</v>
      </c>
      <c r="C888" s="7">
        <v>0.6</v>
      </c>
      <c r="D888" s="7">
        <v>0.6</v>
      </c>
      <c r="E888" s="7">
        <v>0.6</v>
      </c>
      <c r="F888" s="7">
        <v>0.6</v>
      </c>
      <c r="G888" s="7">
        <v>0.6</v>
      </c>
      <c r="H888" s="7">
        <v>0.6</v>
      </c>
      <c r="I888" s="7">
        <v>0.6</v>
      </c>
      <c r="J888" s="7">
        <v>0.6</v>
      </c>
      <c r="K888" s="7">
        <v>0.6</v>
      </c>
      <c r="L888" s="7">
        <v>0.6</v>
      </c>
      <c r="M888" s="7">
        <v>0.6</v>
      </c>
      <c r="N888" s="7">
        <v>0.6</v>
      </c>
      <c r="O888" s="7">
        <v>0.6</v>
      </c>
      <c r="P888" s="7">
        <v>0.6</v>
      </c>
      <c r="Q888" s="7">
        <v>0.6</v>
      </c>
    </row>
    <row r="889" spans="1:17">
      <c r="A889" s="2">
        <v>2837</v>
      </c>
      <c r="B889" s="7">
        <v>0.6</v>
      </c>
      <c r="C889" s="7">
        <v>0.6</v>
      </c>
      <c r="D889" s="7">
        <v>0.6</v>
      </c>
      <c r="E889" s="7">
        <v>0.6</v>
      </c>
      <c r="F889" s="7">
        <v>0.6</v>
      </c>
      <c r="G889" s="7">
        <v>0.6</v>
      </c>
      <c r="H889" s="7">
        <v>0.6</v>
      </c>
      <c r="I889" s="7">
        <v>0.6</v>
      </c>
      <c r="J889" s="7">
        <v>0.6</v>
      </c>
      <c r="K889" s="7">
        <v>0.6</v>
      </c>
      <c r="L889" s="7">
        <v>0.6</v>
      </c>
      <c r="M889" s="7">
        <v>0.6</v>
      </c>
      <c r="N889" s="7">
        <v>0.6</v>
      </c>
      <c r="O889" s="7">
        <v>0.6</v>
      </c>
      <c r="P889" s="7">
        <v>0.6</v>
      </c>
      <c r="Q889" s="7">
        <v>0.6</v>
      </c>
    </row>
    <row r="890" spans="1:17">
      <c r="A890" s="2">
        <v>2838</v>
      </c>
      <c r="B890" s="7">
        <v>0.6</v>
      </c>
      <c r="C890" s="7">
        <v>0.6</v>
      </c>
      <c r="D890" s="7">
        <v>0.6</v>
      </c>
      <c r="E890" s="7">
        <v>0.6</v>
      </c>
      <c r="F890" s="7">
        <v>0.6</v>
      </c>
      <c r="G890" s="7">
        <v>0.6</v>
      </c>
      <c r="H890" s="7">
        <v>0.6</v>
      </c>
      <c r="I890" s="7">
        <v>0.6</v>
      </c>
      <c r="J890" s="7">
        <v>0.6</v>
      </c>
      <c r="K890" s="7">
        <v>0.6</v>
      </c>
      <c r="L890" s="7">
        <v>0.6</v>
      </c>
      <c r="M890" s="7">
        <v>0.6</v>
      </c>
      <c r="N890" s="7">
        <v>0.6</v>
      </c>
      <c r="O890" s="7">
        <v>0.6</v>
      </c>
      <c r="P890" s="7">
        <v>0.6</v>
      </c>
      <c r="Q890" s="7">
        <v>0.6</v>
      </c>
    </row>
    <row r="891" spans="1:17">
      <c r="A891" s="2">
        <v>2839</v>
      </c>
      <c r="B891" s="7">
        <v>0.6</v>
      </c>
      <c r="C891" s="7">
        <v>0.6</v>
      </c>
      <c r="D891" s="7">
        <v>0.6</v>
      </c>
      <c r="E891" s="7">
        <v>0.6</v>
      </c>
      <c r="F891" s="7">
        <v>0.6</v>
      </c>
      <c r="G891" s="7">
        <v>0.6</v>
      </c>
      <c r="H891" s="7">
        <v>0.6</v>
      </c>
      <c r="I891" s="7">
        <v>0.6</v>
      </c>
      <c r="J891" s="7">
        <v>0.6</v>
      </c>
      <c r="K891" s="7">
        <v>0.6</v>
      </c>
      <c r="L891" s="7">
        <v>0.6</v>
      </c>
      <c r="M891" s="7">
        <v>0.6</v>
      </c>
      <c r="N891" s="7">
        <v>0.6</v>
      </c>
      <c r="O891" s="7">
        <v>0.6</v>
      </c>
      <c r="P891" s="7">
        <v>0.6</v>
      </c>
      <c r="Q891" s="7">
        <v>0.6</v>
      </c>
    </row>
    <row r="892" spans="1:17">
      <c r="A892" s="2">
        <v>2840</v>
      </c>
      <c r="B892" s="7">
        <v>0.6</v>
      </c>
      <c r="C892" s="7">
        <v>0.6</v>
      </c>
      <c r="D892" s="7">
        <v>0.6</v>
      </c>
      <c r="E892" s="7">
        <v>0.6</v>
      </c>
      <c r="F892" s="7">
        <v>0.6</v>
      </c>
      <c r="G892" s="7">
        <v>0.6</v>
      </c>
      <c r="H892" s="7">
        <v>0.6</v>
      </c>
      <c r="I892" s="7">
        <v>0.6</v>
      </c>
      <c r="J892" s="7">
        <v>0.6</v>
      </c>
      <c r="K892" s="7">
        <v>0.6</v>
      </c>
      <c r="L892" s="7">
        <v>0.6</v>
      </c>
      <c r="M892" s="7">
        <v>0.6</v>
      </c>
      <c r="N892" s="7">
        <v>0.6</v>
      </c>
      <c r="O892" s="7">
        <v>0.6</v>
      </c>
      <c r="P892" s="7">
        <v>0.6</v>
      </c>
      <c r="Q892" s="7">
        <v>0.6</v>
      </c>
    </row>
    <row r="893" spans="1:17">
      <c r="A893" s="2">
        <v>2841</v>
      </c>
      <c r="B893" s="7">
        <v>0.6</v>
      </c>
      <c r="C893" s="7">
        <v>0.6</v>
      </c>
      <c r="D893" s="7">
        <v>0.6</v>
      </c>
      <c r="E893" s="7">
        <v>0.6</v>
      </c>
      <c r="F893" s="7">
        <v>0.6</v>
      </c>
      <c r="G893" s="7">
        <v>0.6</v>
      </c>
      <c r="H893" s="7">
        <v>0.6</v>
      </c>
      <c r="I893" s="7">
        <v>0.6</v>
      </c>
      <c r="J893" s="7">
        <v>0.6</v>
      </c>
      <c r="K893" s="7">
        <v>0.6</v>
      </c>
      <c r="L893" s="7">
        <v>0.6</v>
      </c>
      <c r="M893" s="7">
        <v>0.6</v>
      </c>
      <c r="N893" s="7">
        <v>0.6</v>
      </c>
      <c r="O893" s="7">
        <v>0.6</v>
      </c>
      <c r="P893" s="7">
        <v>0.6</v>
      </c>
      <c r="Q893" s="7">
        <v>0.6</v>
      </c>
    </row>
    <row r="894" spans="1:17">
      <c r="A894" s="2">
        <v>2842</v>
      </c>
      <c r="B894" s="7">
        <v>0.6</v>
      </c>
      <c r="C894" s="7">
        <v>0.6</v>
      </c>
      <c r="D894" s="7">
        <v>0.6</v>
      </c>
      <c r="E894" s="7">
        <v>0.6</v>
      </c>
      <c r="F894" s="7">
        <v>0.6</v>
      </c>
      <c r="G894" s="7">
        <v>0.6</v>
      </c>
      <c r="H894" s="7">
        <v>0.6</v>
      </c>
      <c r="I894" s="7">
        <v>0.6</v>
      </c>
      <c r="J894" s="7">
        <v>0.6</v>
      </c>
      <c r="K894" s="7">
        <v>0.6</v>
      </c>
      <c r="L894" s="7">
        <v>0.6</v>
      </c>
      <c r="M894" s="7">
        <v>0.6</v>
      </c>
      <c r="N894" s="7">
        <v>0.6</v>
      </c>
      <c r="O894" s="7">
        <v>0.6</v>
      </c>
      <c r="P894" s="7">
        <v>0.6</v>
      </c>
      <c r="Q894" s="7">
        <v>0.6</v>
      </c>
    </row>
    <row r="895" spans="1:17">
      <c r="A895" s="2">
        <v>2843</v>
      </c>
      <c r="B895" s="7">
        <v>0.6</v>
      </c>
      <c r="C895" s="7">
        <v>0.6</v>
      </c>
      <c r="D895" s="7">
        <v>0.6</v>
      </c>
      <c r="E895" s="7">
        <v>0.6</v>
      </c>
      <c r="F895" s="7">
        <v>0.6</v>
      </c>
      <c r="G895" s="7">
        <v>0.6</v>
      </c>
      <c r="H895" s="7">
        <v>0.6</v>
      </c>
      <c r="I895" s="7">
        <v>0.6</v>
      </c>
      <c r="J895" s="7">
        <v>0.6</v>
      </c>
      <c r="K895" s="7">
        <v>0.6</v>
      </c>
      <c r="L895" s="7">
        <v>0.6</v>
      </c>
      <c r="M895" s="7">
        <v>0.6</v>
      </c>
      <c r="N895" s="7">
        <v>0.6</v>
      </c>
      <c r="O895" s="7">
        <v>0.6</v>
      </c>
      <c r="P895" s="7">
        <v>0.6</v>
      </c>
      <c r="Q895" s="7">
        <v>0.6</v>
      </c>
    </row>
    <row r="896" spans="1:17">
      <c r="A896" s="2">
        <v>2844</v>
      </c>
      <c r="B896" s="7">
        <v>0.6</v>
      </c>
      <c r="C896" s="7">
        <v>0.6</v>
      </c>
      <c r="D896" s="7">
        <v>0.6</v>
      </c>
      <c r="E896" s="7">
        <v>0.6</v>
      </c>
      <c r="F896" s="7">
        <v>0.6</v>
      </c>
      <c r="G896" s="7">
        <v>0.6</v>
      </c>
      <c r="H896" s="7">
        <v>0.6</v>
      </c>
      <c r="I896" s="7">
        <v>0.6</v>
      </c>
      <c r="J896" s="7">
        <v>0.6</v>
      </c>
      <c r="K896" s="7">
        <v>0.6</v>
      </c>
      <c r="L896" s="7">
        <v>0.6</v>
      </c>
      <c r="M896" s="7">
        <v>0.6</v>
      </c>
      <c r="N896" s="7">
        <v>0.6</v>
      </c>
      <c r="O896" s="7">
        <v>0.6</v>
      </c>
      <c r="P896" s="7">
        <v>0.6</v>
      </c>
      <c r="Q896" s="7">
        <v>0.6</v>
      </c>
    </row>
    <row r="897" spans="1:17">
      <c r="A897" s="2">
        <v>2845</v>
      </c>
      <c r="B897" s="7">
        <v>0.6</v>
      </c>
      <c r="C897" s="7">
        <v>0.6</v>
      </c>
      <c r="D897" s="7">
        <v>0.6</v>
      </c>
      <c r="E897" s="7">
        <v>0.6</v>
      </c>
      <c r="F897" s="7">
        <v>0.6</v>
      </c>
      <c r="G897" s="7">
        <v>0.6</v>
      </c>
      <c r="H897" s="7">
        <v>0.6</v>
      </c>
      <c r="I897" s="7">
        <v>0.6</v>
      </c>
      <c r="J897" s="7">
        <v>0.6</v>
      </c>
      <c r="K897" s="7">
        <v>0.6</v>
      </c>
      <c r="L897" s="7">
        <v>0.6</v>
      </c>
      <c r="M897" s="7">
        <v>0.6</v>
      </c>
      <c r="N897" s="7">
        <v>0.6</v>
      </c>
      <c r="O897" s="7">
        <v>0.6</v>
      </c>
      <c r="P897" s="7">
        <v>0.6</v>
      </c>
      <c r="Q897" s="7">
        <v>0.6</v>
      </c>
    </row>
    <row r="898" spans="1:17">
      <c r="A898" s="2">
        <v>2846</v>
      </c>
      <c r="B898" s="7">
        <v>0.6</v>
      </c>
      <c r="C898" s="7">
        <v>0.6</v>
      </c>
      <c r="D898" s="7">
        <v>0.6</v>
      </c>
      <c r="E898" s="7">
        <v>0.6</v>
      </c>
      <c r="F898" s="7">
        <v>0.6</v>
      </c>
      <c r="G898" s="7">
        <v>0.6</v>
      </c>
      <c r="H898" s="7">
        <v>0.6</v>
      </c>
      <c r="I898" s="7">
        <v>0.6</v>
      </c>
      <c r="J898" s="7">
        <v>0.6</v>
      </c>
      <c r="K898" s="7">
        <v>0.6</v>
      </c>
      <c r="L898" s="7">
        <v>0.6</v>
      </c>
      <c r="M898" s="7">
        <v>0.6</v>
      </c>
      <c r="N898" s="7">
        <v>0.6</v>
      </c>
      <c r="O898" s="7">
        <v>0.6</v>
      </c>
      <c r="P898" s="7">
        <v>0.6</v>
      </c>
      <c r="Q898" s="7">
        <v>0.6</v>
      </c>
    </row>
    <row r="899" spans="1:17">
      <c r="A899" s="2">
        <v>2847</v>
      </c>
      <c r="B899" s="7">
        <v>0.6</v>
      </c>
      <c r="C899" s="7">
        <v>0.6</v>
      </c>
      <c r="D899" s="7">
        <v>0.6</v>
      </c>
      <c r="E899" s="7">
        <v>0.6</v>
      </c>
      <c r="F899" s="7">
        <v>0.6</v>
      </c>
      <c r="G899" s="7">
        <v>0.6</v>
      </c>
      <c r="H899" s="7">
        <v>0.6</v>
      </c>
      <c r="I899" s="7">
        <v>0.6</v>
      </c>
      <c r="J899" s="7">
        <v>0.6</v>
      </c>
      <c r="K899" s="7">
        <v>0.6</v>
      </c>
      <c r="L899" s="7">
        <v>0.6</v>
      </c>
      <c r="M899" s="7">
        <v>0.6</v>
      </c>
      <c r="N899" s="7">
        <v>0.6</v>
      </c>
      <c r="O899" s="7">
        <v>0.6</v>
      </c>
      <c r="P899" s="7">
        <v>0.6</v>
      </c>
      <c r="Q899" s="7">
        <v>0.6</v>
      </c>
    </row>
    <row r="900" spans="1:17">
      <c r="A900" s="2">
        <v>2848</v>
      </c>
      <c r="B900" s="7">
        <v>0.6</v>
      </c>
      <c r="C900" s="7">
        <v>0.6</v>
      </c>
      <c r="D900" s="7">
        <v>0.6</v>
      </c>
      <c r="E900" s="7">
        <v>0.6</v>
      </c>
      <c r="F900" s="7">
        <v>0.6</v>
      </c>
      <c r="G900" s="7">
        <v>0.6</v>
      </c>
      <c r="H900" s="7">
        <v>0.6</v>
      </c>
      <c r="I900" s="7">
        <v>0.6</v>
      </c>
      <c r="J900" s="7">
        <v>0.6</v>
      </c>
      <c r="K900" s="7">
        <v>0.6</v>
      </c>
      <c r="L900" s="7">
        <v>0.6</v>
      </c>
      <c r="M900" s="7">
        <v>0.6</v>
      </c>
      <c r="N900" s="7">
        <v>0.6</v>
      </c>
      <c r="O900" s="7">
        <v>0.6</v>
      </c>
      <c r="P900" s="7">
        <v>0.6</v>
      </c>
      <c r="Q900" s="7">
        <v>0.6</v>
      </c>
    </row>
    <row r="901" spans="1:17">
      <c r="A901" s="2">
        <v>2849</v>
      </c>
      <c r="B901" s="7">
        <v>0.6</v>
      </c>
      <c r="C901" s="7">
        <v>0.6</v>
      </c>
      <c r="D901" s="7">
        <v>0.6</v>
      </c>
      <c r="E901" s="7">
        <v>0.6</v>
      </c>
      <c r="F901" s="7">
        <v>0.6</v>
      </c>
      <c r="G901" s="7">
        <v>0.6</v>
      </c>
      <c r="H901" s="7">
        <v>0.6</v>
      </c>
      <c r="I901" s="7">
        <v>0.6</v>
      </c>
      <c r="J901" s="7">
        <v>0.6</v>
      </c>
      <c r="K901" s="7">
        <v>0.6</v>
      </c>
      <c r="L901" s="7">
        <v>0.6</v>
      </c>
      <c r="M901" s="7">
        <v>0.6</v>
      </c>
      <c r="N901" s="7">
        <v>0.6</v>
      </c>
      <c r="O901" s="7">
        <v>0.6</v>
      </c>
      <c r="P901" s="7">
        <v>0.6</v>
      </c>
      <c r="Q901" s="7">
        <v>0.6</v>
      </c>
    </row>
    <row r="902" spans="1:17">
      <c r="A902" s="2">
        <v>2850</v>
      </c>
      <c r="B902" s="7">
        <v>0.6</v>
      </c>
      <c r="C902" s="7">
        <v>0.6</v>
      </c>
      <c r="D902" s="7">
        <v>0.6</v>
      </c>
      <c r="E902" s="7">
        <v>0.6</v>
      </c>
      <c r="F902" s="7">
        <v>0.6</v>
      </c>
      <c r="G902" s="7">
        <v>0.6</v>
      </c>
      <c r="H902" s="7">
        <v>0.6</v>
      </c>
      <c r="I902" s="7">
        <v>0.6</v>
      </c>
      <c r="J902" s="7">
        <v>0.6</v>
      </c>
      <c r="K902" s="7">
        <v>0.6</v>
      </c>
      <c r="L902" s="7">
        <v>0.6</v>
      </c>
      <c r="M902" s="7">
        <v>0.6</v>
      </c>
      <c r="N902" s="7">
        <v>0.6</v>
      </c>
      <c r="O902" s="7">
        <v>0.6</v>
      </c>
      <c r="P902" s="7">
        <v>0.6</v>
      </c>
      <c r="Q902" s="7">
        <v>0.6</v>
      </c>
    </row>
    <row r="903" spans="1:17">
      <c r="A903" s="2">
        <v>2851</v>
      </c>
      <c r="B903" s="7">
        <v>0.6</v>
      </c>
      <c r="C903" s="7">
        <v>0.6</v>
      </c>
      <c r="D903" s="7">
        <v>0.6</v>
      </c>
      <c r="E903" s="7">
        <v>0.6</v>
      </c>
      <c r="F903" s="7">
        <v>0.6</v>
      </c>
      <c r="G903" s="7">
        <v>0.6</v>
      </c>
      <c r="H903" s="7">
        <v>0.6</v>
      </c>
      <c r="I903" s="7">
        <v>0.6</v>
      </c>
      <c r="J903" s="7">
        <v>0.6</v>
      </c>
      <c r="K903" s="7">
        <v>0.6</v>
      </c>
      <c r="L903" s="7">
        <v>0.6</v>
      </c>
      <c r="M903" s="7">
        <v>0.6</v>
      </c>
      <c r="N903" s="7">
        <v>0.6</v>
      </c>
      <c r="O903" s="7">
        <v>0.6</v>
      </c>
      <c r="P903" s="7">
        <v>0.6</v>
      </c>
      <c r="Q903" s="7">
        <v>0.6</v>
      </c>
    </row>
    <row r="904" spans="1:17">
      <c r="A904" s="2">
        <v>2852</v>
      </c>
      <c r="B904" s="7">
        <v>0.6</v>
      </c>
      <c r="C904" s="7">
        <v>0.6</v>
      </c>
      <c r="D904" s="7">
        <v>0.6</v>
      </c>
      <c r="E904" s="7">
        <v>0.6</v>
      </c>
      <c r="F904" s="7">
        <v>0.6</v>
      </c>
      <c r="G904" s="7">
        <v>0.6</v>
      </c>
      <c r="H904" s="7">
        <v>0.6</v>
      </c>
      <c r="I904" s="7">
        <v>0.6</v>
      </c>
      <c r="J904" s="7">
        <v>0.6</v>
      </c>
      <c r="K904" s="7">
        <v>0.6</v>
      </c>
      <c r="L904" s="7">
        <v>0.6</v>
      </c>
      <c r="M904" s="7">
        <v>0.6</v>
      </c>
      <c r="N904" s="7">
        <v>0.6</v>
      </c>
      <c r="O904" s="7">
        <v>0.6</v>
      </c>
      <c r="P904" s="7">
        <v>0.6</v>
      </c>
      <c r="Q904" s="7">
        <v>0.6</v>
      </c>
    </row>
    <row r="905" spans="1:17">
      <c r="A905" s="2">
        <v>2853</v>
      </c>
      <c r="B905" s="7">
        <v>0.6</v>
      </c>
      <c r="C905" s="7">
        <v>0.6</v>
      </c>
      <c r="D905" s="7">
        <v>0.6</v>
      </c>
      <c r="E905" s="7">
        <v>0.6</v>
      </c>
      <c r="F905" s="7">
        <v>0.6</v>
      </c>
      <c r="G905" s="7">
        <v>0.6</v>
      </c>
      <c r="H905" s="7">
        <v>0.6</v>
      </c>
      <c r="I905" s="7">
        <v>0.6</v>
      </c>
      <c r="J905" s="7">
        <v>0.6</v>
      </c>
      <c r="K905" s="7">
        <v>0.6</v>
      </c>
      <c r="L905" s="7">
        <v>0.6</v>
      </c>
      <c r="M905" s="7">
        <v>0.6</v>
      </c>
      <c r="N905" s="7">
        <v>0.6</v>
      </c>
      <c r="O905" s="7">
        <v>0.6</v>
      </c>
      <c r="P905" s="7">
        <v>0.6</v>
      </c>
      <c r="Q905" s="7">
        <v>0.6</v>
      </c>
    </row>
    <row r="906" spans="1:17">
      <c r="A906" s="2">
        <v>2854</v>
      </c>
      <c r="B906" s="7">
        <v>0.6</v>
      </c>
      <c r="C906" s="7">
        <v>0.6</v>
      </c>
      <c r="D906" s="7">
        <v>0.6</v>
      </c>
      <c r="E906" s="7">
        <v>0.6</v>
      </c>
      <c r="F906" s="7">
        <v>0.6</v>
      </c>
      <c r="G906" s="7">
        <v>0.6</v>
      </c>
      <c r="H906" s="7">
        <v>0.6</v>
      </c>
      <c r="I906" s="7">
        <v>0.6</v>
      </c>
      <c r="J906" s="7">
        <v>0.6</v>
      </c>
      <c r="K906" s="7">
        <v>0.6</v>
      </c>
      <c r="L906" s="7">
        <v>0.6</v>
      </c>
      <c r="M906" s="7">
        <v>0.6</v>
      </c>
      <c r="N906" s="7">
        <v>0.6</v>
      </c>
      <c r="O906" s="7">
        <v>0.6</v>
      </c>
      <c r="P906" s="7">
        <v>0.6</v>
      </c>
      <c r="Q906" s="7">
        <v>0.6</v>
      </c>
    </row>
    <row r="907" spans="1:17">
      <c r="A907" s="2">
        <v>2855</v>
      </c>
      <c r="B907" s="7">
        <v>0.6</v>
      </c>
      <c r="C907" s="7">
        <v>0.6</v>
      </c>
      <c r="D907" s="7">
        <v>0.6</v>
      </c>
      <c r="E907" s="7">
        <v>0.6</v>
      </c>
      <c r="F907" s="7">
        <v>0.6</v>
      </c>
      <c r="G907" s="7">
        <v>0.6</v>
      </c>
      <c r="H907" s="7">
        <v>0.6</v>
      </c>
      <c r="I907" s="7">
        <v>0.6</v>
      </c>
      <c r="J907" s="7">
        <v>0.6</v>
      </c>
      <c r="K907" s="7">
        <v>0.6</v>
      </c>
      <c r="L907" s="7">
        <v>0.6</v>
      </c>
      <c r="M907" s="7">
        <v>0.6</v>
      </c>
      <c r="N907" s="7">
        <v>0.6</v>
      </c>
      <c r="O907" s="7">
        <v>0.6</v>
      </c>
      <c r="P907" s="7">
        <v>0.6</v>
      </c>
      <c r="Q907" s="7">
        <v>0.6</v>
      </c>
    </row>
    <row r="908" spans="1:17">
      <c r="A908" s="2">
        <v>2856</v>
      </c>
      <c r="B908" s="7">
        <v>0.6</v>
      </c>
      <c r="C908" s="7">
        <v>0.6</v>
      </c>
      <c r="D908" s="7">
        <v>0.6</v>
      </c>
      <c r="E908" s="7">
        <v>0.6</v>
      </c>
      <c r="F908" s="7">
        <v>0.6</v>
      </c>
      <c r="G908" s="7">
        <v>0.6</v>
      </c>
      <c r="H908" s="7">
        <v>0.6</v>
      </c>
      <c r="I908" s="7">
        <v>0.6</v>
      </c>
      <c r="J908" s="7">
        <v>0.6</v>
      </c>
      <c r="K908" s="7">
        <v>0.6</v>
      </c>
      <c r="L908" s="7">
        <v>0.6</v>
      </c>
      <c r="M908" s="7">
        <v>0.6</v>
      </c>
      <c r="N908" s="7">
        <v>0.6</v>
      </c>
      <c r="O908" s="7">
        <v>0.6</v>
      </c>
      <c r="P908" s="7">
        <v>0.6</v>
      </c>
      <c r="Q908" s="7">
        <v>0.6</v>
      </c>
    </row>
    <row r="909" spans="1:17">
      <c r="A909" s="2">
        <v>2857</v>
      </c>
      <c r="B909" s="7">
        <v>0.6</v>
      </c>
      <c r="C909" s="7">
        <v>0.6</v>
      </c>
      <c r="D909" s="7">
        <v>0.6</v>
      </c>
      <c r="E909" s="7">
        <v>0.6</v>
      </c>
      <c r="F909" s="7">
        <v>0.6</v>
      </c>
      <c r="G909" s="7">
        <v>0.6</v>
      </c>
      <c r="H909" s="7">
        <v>0.6</v>
      </c>
      <c r="I909" s="7">
        <v>0.6</v>
      </c>
      <c r="J909" s="7">
        <v>0.6</v>
      </c>
      <c r="K909" s="7">
        <v>0.6</v>
      </c>
      <c r="L909" s="7">
        <v>0.6</v>
      </c>
      <c r="M909" s="7">
        <v>0.6</v>
      </c>
      <c r="N909" s="7">
        <v>0.6</v>
      </c>
      <c r="O909" s="7">
        <v>0.6</v>
      </c>
      <c r="P909" s="7">
        <v>0.6</v>
      </c>
      <c r="Q909" s="7">
        <v>0.6</v>
      </c>
    </row>
    <row r="910" spans="1:17">
      <c r="A910" s="2">
        <v>2858</v>
      </c>
      <c r="B910" s="7">
        <v>0.6</v>
      </c>
      <c r="C910" s="7">
        <v>0.6</v>
      </c>
      <c r="D910" s="7">
        <v>0.6</v>
      </c>
      <c r="E910" s="7">
        <v>0.6</v>
      </c>
      <c r="F910" s="7">
        <v>0.6</v>
      </c>
      <c r="G910" s="7">
        <v>0.6</v>
      </c>
      <c r="H910" s="7">
        <v>0.6</v>
      </c>
      <c r="I910" s="7">
        <v>0.6</v>
      </c>
      <c r="J910" s="7">
        <v>0.6</v>
      </c>
      <c r="K910" s="7">
        <v>0.6</v>
      </c>
      <c r="L910" s="7">
        <v>0.6</v>
      </c>
      <c r="M910" s="7">
        <v>0.6</v>
      </c>
      <c r="N910" s="7">
        <v>0.6</v>
      </c>
      <c r="O910" s="7">
        <v>0.6</v>
      </c>
      <c r="P910" s="7">
        <v>0.6</v>
      </c>
      <c r="Q910" s="7">
        <v>0.6</v>
      </c>
    </row>
    <row r="911" spans="1:17">
      <c r="A911" s="2">
        <v>2859</v>
      </c>
      <c r="B911" s="7">
        <v>0.6</v>
      </c>
      <c r="C911" s="7">
        <v>0.6</v>
      </c>
      <c r="D911" s="7">
        <v>0.6</v>
      </c>
      <c r="E911" s="7">
        <v>0.6</v>
      </c>
      <c r="F911" s="7">
        <v>0.6</v>
      </c>
      <c r="G911" s="7">
        <v>0.6</v>
      </c>
      <c r="H911" s="7">
        <v>0.6</v>
      </c>
      <c r="I911" s="7">
        <v>0.6</v>
      </c>
      <c r="J911" s="7">
        <v>0.6</v>
      </c>
      <c r="K911" s="7">
        <v>0.6</v>
      </c>
      <c r="L911" s="7">
        <v>0.6</v>
      </c>
      <c r="M911" s="7">
        <v>0.6</v>
      </c>
      <c r="N911" s="7">
        <v>0.6</v>
      </c>
      <c r="O911" s="7">
        <v>0.6</v>
      </c>
      <c r="P911" s="7">
        <v>0.6</v>
      </c>
      <c r="Q911" s="7">
        <v>0.6</v>
      </c>
    </row>
    <row r="912" spans="1:17">
      <c r="A912" s="2">
        <v>2860</v>
      </c>
      <c r="B912" s="7">
        <v>0.6</v>
      </c>
      <c r="C912" s="7">
        <v>0.6</v>
      </c>
      <c r="D912" s="7">
        <v>0.6</v>
      </c>
      <c r="E912" s="7">
        <v>0.6</v>
      </c>
      <c r="F912" s="7">
        <v>0.6</v>
      </c>
      <c r="G912" s="7">
        <v>0.6</v>
      </c>
      <c r="H912" s="7">
        <v>0.6</v>
      </c>
      <c r="I912" s="7">
        <v>0.6</v>
      </c>
      <c r="J912" s="7">
        <v>0.6</v>
      </c>
      <c r="K912" s="7">
        <v>0.6</v>
      </c>
      <c r="L912" s="7">
        <v>0.6</v>
      </c>
      <c r="M912" s="7">
        <v>0.6</v>
      </c>
      <c r="N912" s="7">
        <v>0.6</v>
      </c>
      <c r="O912" s="7">
        <v>0.6</v>
      </c>
      <c r="P912" s="7">
        <v>0.6</v>
      </c>
      <c r="Q912" s="7">
        <v>0.6</v>
      </c>
    </row>
    <row r="913" spans="1:17">
      <c r="A913" s="2">
        <v>2861</v>
      </c>
      <c r="B913" s="7">
        <v>0.6</v>
      </c>
      <c r="C913" s="7">
        <v>0.6</v>
      </c>
      <c r="D913" s="7">
        <v>0.6</v>
      </c>
      <c r="E913" s="7">
        <v>0.6</v>
      </c>
      <c r="F913" s="7">
        <v>0.6</v>
      </c>
      <c r="G913" s="7">
        <v>0.6</v>
      </c>
      <c r="H913" s="7">
        <v>0.6</v>
      </c>
      <c r="I913" s="7">
        <v>0.6</v>
      </c>
      <c r="J913" s="7">
        <v>0.6</v>
      </c>
      <c r="K913" s="7">
        <v>0.6</v>
      </c>
      <c r="L913" s="7">
        <v>0.6</v>
      </c>
      <c r="M913" s="7">
        <v>0.6</v>
      </c>
      <c r="N913" s="7">
        <v>0.6</v>
      </c>
      <c r="O913" s="7">
        <v>0.6</v>
      </c>
      <c r="P913" s="7">
        <v>0.6</v>
      </c>
      <c r="Q913" s="7">
        <v>0.6</v>
      </c>
    </row>
    <row r="914" spans="1:17">
      <c r="A914" s="2">
        <v>2862</v>
      </c>
      <c r="B914" s="7">
        <v>0.6</v>
      </c>
      <c r="C914" s="7">
        <v>0.6</v>
      </c>
      <c r="D914" s="7">
        <v>0.6</v>
      </c>
      <c r="E914" s="7">
        <v>0.6</v>
      </c>
      <c r="F914" s="7">
        <v>0.6</v>
      </c>
      <c r="G914" s="7">
        <v>0.6</v>
      </c>
      <c r="H914" s="7">
        <v>0.6</v>
      </c>
      <c r="I914" s="7">
        <v>0.6</v>
      </c>
      <c r="J914" s="7">
        <v>0.6</v>
      </c>
      <c r="K914" s="7">
        <v>0.6</v>
      </c>
      <c r="L914" s="7">
        <v>0.6</v>
      </c>
      <c r="M914" s="7">
        <v>0.6</v>
      </c>
      <c r="N914" s="7">
        <v>0.6</v>
      </c>
      <c r="O914" s="7">
        <v>0.6</v>
      </c>
      <c r="P914" s="7">
        <v>0.6</v>
      </c>
      <c r="Q914" s="7">
        <v>0.6</v>
      </c>
    </row>
    <row r="915" spans="1:17">
      <c r="A915" s="2">
        <v>2863</v>
      </c>
      <c r="B915" s="7">
        <v>0.6</v>
      </c>
      <c r="C915" s="7">
        <v>0.6</v>
      </c>
      <c r="D915" s="7">
        <v>0.6</v>
      </c>
      <c r="E915" s="7">
        <v>0.6</v>
      </c>
      <c r="F915" s="7">
        <v>0.6</v>
      </c>
      <c r="G915" s="7">
        <v>0.6</v>
      </c>
      <c r="H915" s="7">
        <v>0.6</v>
      </c>
      <c r="I915" s="7">
        <v>0.6</v>
      </c>
      <c r="J915" s="7">
        <v>0.6</v>
      </c>
      <c r="K915" s="7">
        <v>0.6</v>
      </c>
      <c r="L915" s="7">
        <v>0.6</v>
      </c>
      <c r="M915" s="7">
        <v>0.6</v>
      </c>
      <c r="N915" s="7">
        <v>0.6</v>
      </c>
      <c r="O915" s="7">
        <v>0.6</v>
      </c>
      <c r="P915" s="7">
        <v>0.6</v>
      </c>
      <c r="Q915" s="7">
        <v>0.6</v>
      </c>
    </row>
    <row r="916" spans="1:17">
      <c r="A916" s="2">
        <v>2864</v>
      </c>
      <c r="B916" s="7">
        <v>0.6</v>
      </c>
      <c r="C916" s="7">
        <v>0.6</v>
      </c>
      <c r="D916" s="7">
        <v>0.6</v>
      </c>
      <c r="E916" s="7">
        <v>0.6</v>
      </c>
      <c r="F916" s="7">
        <v>0.6</v>
      </c>
      <c r="G916" s="7">
        <v>0.6</v>
      </c>
      <c r="H916" s="7">
        <v>0.6</v>
      </c>
      <c r="I916" s="7">
        <v>0.6</v>
      </c>
      <c r="J916" s="7">
        <v>0.6</v>
      </c>
      <c r="K916" s="7">
        <v>0.6</v>
      </c>
      <c r="L916" s="7">
        <v>0.6</v>
      </c>
      <c r="M916" s="7">
        <v>0.6</v>
      </c>
      <c r="N916" s="7">
        <v>0.6</v>
      </c>
      <c r="O916" s="7">
        <v>0.6</v>
      </c>
      <c r="P916" s="7">
        <v>0.6</v>
      </c>
      <c r="Q916" s="7">
        <v>0.6</v>
      </c>
    </row>
    <row r="917" spans="1:17">
      <c r="A917" s="2">
        <v>2865</v>
      </c>
      <c r="B917" s="7">
        <v>0.6</v>
      </c>
      <c r="C917" s="7">
        <v>0.6</v>
      </c>
      <c r="D917" s="7">
        <v>0.6</v>
      </c>
      <c r="E917" s="7">
        <v>0.6</v>
      </c>
      <c r="F917" s="7">
        <v>0.6</v>
      </c>
      <c r="G917" s="7">
        <v>0.6</v>
      </c>
      <c r="H917" s="7">
        <v>0.6</v>
      </c>
      <c r="I917" s="7">
        <v>0.6</v>
      </c>
      <c r="J917" s="7">
        <v>0.6</v>
      </c>
      <c r="K917" s="7">
        <v>0.6</v>
      </c>
      <c r="L917" s="7">
        <v>0.6</v>
      </c>
      <c r="M917" s="7">
        <v>0.6</v>
      </c>
      <c r="N917" s="7">
        <v>0.6</v>
      </c>
      <c r="O917" s="7">
        <v>0.6</v>
      </c>
      <c r="P917" s="7">
        <v>0.6</v>
      </c>
      <c r="Q917" s="7">
        <v>0.6</v>
      </c>
    </row>
    <row r="918" spans="1:17">
      <c r="A918" s="2">
        <v>2866</v>
      </c>
      <c r="B918" s="7">
        <v>0.6</v>
      </c>
      <c r="C918" s="7">
        <v>0.6</v>
      </c>
      <c r="D918" s="7">
        <v>0.6</v>
      </c>
      <c r="E918" s="7">
        <v>0.6</v>
      </c>
      <c r="F918" s="7">
        <v>0.6</v>
      </c>
      <c r="G918" s="7">
        <v>0.6</v>
      </c>
      <c r="H918" s="7">
        <v>0.6</v>
      </c>
      <c r="I918" s="7">
        <v>0.6</v>
      </c>
      <c r="J918" s="7">
        <v>0.6</v>
      </c>
      <c r="K918" s="7">
        <v>0.6</v>
      </c>
      <c r="L918" s="7">
        <v>0.6</v>
      </c>
      <c r="M918" s="7">
        <v>0.6</v>
      </c>
      <c r="N918" s="7">
        <v>0.6</v>
      </c>
      <c r="O918" s="7">
        <v>0.6</v>
      </c>
      <c r="P918" s="7">
        <v>0.6</v>
      </c>
      <c r="Q918" s="7">
        <v>0.6</v>
      </c>
    </row>
    <row r="919" spans="1:17">
      <c r="A919" s="2">
        <v>2867</v>
      </c>
      <c r="B919" s="7">
        <v>0.6</v>
      </c>
      <c r="C919" s="7">
        <v>0.6</v>
      </c>
      <c r="D919" s="7">
        <v>0.6</v>
      </c>
      <c r="E919" s="7">
        <v>0.6</v>
      </c>
      <c r="F919" s="7">
        <v>0.6</v>
      </c>
      <c r="G919" s="7">
        <v>0.6</v>
      </c>
      <c r="H919" s="7">
        <v>0.6</v>
      </c>
      <c r="I919" s="7">
        <v>0.6</v>
      </c>
      <c r="J919" s="7">
        <v>0.6</v>
      </c>
      <c r="K919" s="7">
        <v>0.6</v>
      </c>
      <c r="L919" s="7">
        <v>0.6</v>
      </c>
      <c r="M919" s="7">
        <v>0.6</v>
      </c>
      <c r="N919" s="7">
        <v>0.6</v>
      </c>
      <c r="O919" s="7">
        <v>0.6</v>
      </c>
      <c r="P919" s="7">
        <v>0.6</v>
      </c>
      <c r="Q919" s="7">
        <v>0.6</v>
      </c>
    </row>
    <row r="920" spans="1:17">
      <c r="A920" s="2">
        <v>2868</v>
      </c>
      <c r="B920" s="7">
        <v>0.6</v>
      </c>
      <c r="C920" s="7">
        <v>0.6</v>
      </c>
      <c r="D920" s="7">
        <v>0.6</v>
      </c>
      <c r="E920" s="7">
        <v>0.6</v>
      </c>
      <c r="F920" s="7">
        <v>0.6</v>
      </c>
      <c r="G920" s="7">
        <v>0.6</v>
      </c>
      <c r="H920" s="7">
        <v>0.6</v>
      </c>
      <c r="I920" s="7">
        <v>0.6</v>
      </c>
      <c r="J920" s="7">
        <v>0.6</v>
      </c>
      <c r="K920" s="7">
        <v>0.6</v>
      </c>
      <c r="L920" s="7">
        <v>0.6</v>
      </c>
      <c r="M920" s="7">
        <v>0.6</v>
      </c>
      <c r="N920" s="7">
        <v>0.6</v>
      </c>
      <c r="O920" s="7">
        <v>0.6</v>
      </c>
      <c r="P920" s="7">
        <v>0.6</v>
      </c>
      <c r="Q920" s="7">
        <v>0.6</v>
      </c>
    </row>
    <row r="921" spans="1:17">
      <c r="A921" s="2">
        <v>2869</v>
      </c>
      <c r="B921" s="7">
        <v>0.6</v>
      </c>
      <c r="C921" s="7">
        <v>0.6</v>
      </c>
      <c r="D921" s="7">
        <v>0.6</v>
      </c>
      <c r="E921" s="7">
        <v>0.6</v>
      </c>
      <c r="F921" s="7">
        <v>0.6</v>
      </c>
      <c r="G921" s="7">
        <v>0.6</v>
      </c>
      <c r="H921" s="7">
        <v>0.6</v>
      </c>
      <c r="I921" s="7">
        <v>0.6</v>
      </c>
      <c r="J921" s="7">
        <v>0.6</v>
      </c>
      <c r="K921" s="7">
        <v>0.6</v>
      </c>
      <c r="L921" s="7">
        <v>0.6</v>
      </c>
      <c r="M921" s="7">
        <v>0.6</v>
      </c>
      <c r="N921" s="7">
        <v>0.6</v>
      </c>
      <c r="O921" s="7">
        <v>0.6</v>
      </c>
      <c r="P921" s="7">
        <v>0.6</v>
      </c>
      <c r="Q921" s="7">
        <v>0.6</v>
      </c>
    </row>
    <row r="922" spans="1:17">
      <c r="A922" s="2">
        <v>2870</v>
      </c>
      <c r="B922" s="7">
        <v>0.6</v>
      </c>
      <c r="C922" s="7">
        <v>0.6</v>
      </c>
      <c r="D922" s="7">
        <v>0.6</v>
      </c>
      <c r="E922" s="7">
        <v>0.6</v>
      </c>
      <c r="F922" s="7">
        <v>0.6</v>
      </c>
      <c r="G922" s="7">
        <v>0.6</v>
      </c>
      <c r="H922" s="7">
        <v>0.6</v>
      </c>
      <c r="I922" s="7">
        <v>0.6</v>
      </c>
      <c r="J922" s="7">
        <v>0.6</v>
      </c>
      <c r="K922" s="7">
        <v>0.6</v>
      </c>
      <c r="L922" s="7">
        <v>0.6</v>
      </c>
      <c r="M922" s="7">
        <v>0.6</v>
      </c>
      <c r="N922" s="7">
        <v>0.6</v>
      </c>
      <c r="O922" s="7">
        <v>0.6</v>
      </c>
      <c r="P922" s="7">
        <v>0.6</v>
      </c>
      <c r="Q922" s="7">
        <v>0.6</v>
      </c>
    </row>
    <row r="923" spans="1:17">
      <c r="A923" s="2">
        <v>2871</v>
      </c>
      <c r="B923" s="7">
        <v>0.6</v>
      </c>
      <c r="C923" s="7">
        <v>0.6</v>
      </c>
      <c r="D923" s="7">
        <v>0.6</v>
      </c>
      <c r="E923" s="7">
        <v>0.6</v>
      </c>
      <c r="F923" s="7">
        <v>0.6</v>
      </c>
      <c r="G923" s="7">
        <v>0.6</v>
      </c>
      <c r="H923" s="7">
        <v>0.6</v>
      </c>
      <c r="I923" s="7">
        <v>0.6</v>
      </c>
      <c r="J923" s="7">
        <v>0.6</v>
      </c>
      <c r="K923" s="7">
        <v>0.6</v>
      </c>
      <c r="L923" s="7">
        <v>0.6</v>
      </c>
      <c r="M923" s="7">
        <v>0.6</v>
      </c>
      <c r="N923" s="7">
        <v>0.6</v>
      </c>
      <c r="O923" s="7">
        <v>0.6</v>
      </c>
      <c r="P923" s="7">
        <v>0.6</v>
      </c>
      <c r="Q923" s="7">
        <v>0.6</v>
      </c>
    </row>
    <row r="924" spans="1:17">
      <c r="A924" s="2">
        <v>2872</v>
      </c>
      <c r="B924" s="7">
        <v>0.6</v>
      </c>
      <c r="C924" s="7">
        <v>0.6</v>
      </c>
      <c r="D924" s="7">
        <v>0.6</v>
      </c>
      <c r="E924" s="7">
        <v>0.6</v>
      </c>
      <c r="F924" s="7">
        <v>0.6</v>
      </c>
      <c r="G924" s="7">
        <v>0.6</v>
      </c>
      <c r="H924" s="7">
        <v>0.6</v>
      </c>
      <c r="I924" s="7">
        <v>0.6</v>
      </c>
      <c r="J924" s="7">
        <v>0.6</v>
      </c>
      <c r="K924" s="7">
        <v>0.6</v>
      </c>
      <c r="L924" s="7">
        <v>0.6</v>
      </c>
      <c r="M924" s="7">
        <v>0.6</v>
      </c>
      <c r="N924" s="7">
        <v>0.6</v>
      </c>
      <c r="O924" s="7">
        <v>0.6</v>
      </c>
      <c r="P924" s="7">
        <v>0.6</v>
      </c>
      <c r="Q924" s="7">
        <v>0.6</v>
      </c>
    </row>
    <row r="925" spans="1:17">
      <c r="A925" s="2">
        <v>2873</v>
      </c>
      <c r="B925" s="7">
        <v>0.6</v>
      </c>
      <c r="C925" s="7">
        <v>0.6</v>
      </c>
      <c r="D925" s="7">
        <v>0.6</v>
      </c>
      <c r="E925" s="7">
        <v>0.6</v>
      </c>
      <c r="F925" s="7">
        <v>0.6</v>
      </c>
      <c r="G925" s="7">
        <v>0.6</v>
      </c>
      <c r="H925" s="7">
        <v>0.6</v>
      </c>
      <c r="I925" s="7">
        <v>0.6</v>
      </c>
      <c r="J925" s="7">
        <v>0.6</v>
      </c>
      <c r="K925" s="7">
        <v>0.6</v>
      </c>
      <c r="L925" s="7">
        <v>0.6</v>
      </c>
      <c r="M925" s="7">
        <v>0.6</v>
      </c>
      <c r="N925" s="7">
        <v>0.6</v>
      </c>
      <c r="O925" s="7">
        <v>0.6</v>
      </c>
      <c r="P925" s="7">
        <v>0.6</v>
      </c>
      <c r="Q925" s="7">
        <v>0.6</v>
      </c>
    </row>
    <row r="926" spans="1:17">
      <c r="A926" s="2">
        <v>2874</v>
      </c>
      <c r="B926" s="7">
        <v>0.6</v>
      </c>
      <c r="C926" s="7">
        <v>0.6</v>
      </c>
      <c r="D926" s="7">
        <v>0.6</v>
      </c>
      <c r="E926" s="7">
        <v>0.6</v>
      </c>
      <c r="F926" s="7">
        <v>0.6</v>
      </c>
      <c r="G926" s="7">
        <v>0.6</v>
      </c>
      <c r="H926" s="7">
        <v>0.6</v>
      </c>
      <c r="I926" s="7">
        <v>0.6</v>
      </c>
      <c r="J926" s="7">
        <v>0.6</v>
      </c>
      <c r="K926" s="7">
        <v>0.6</v>
      </c>
      <c r="L926" s="7">
        <v>0.6</v>
      </c>
      <c r="M926" s="7">
        <v>0.6</v>
      </c>
      <c r="N926" s="7">
        <v>0.6</v>
      </c>
      <c r="O926" s="7">
        <v>0.6</v>
      </c>
      <c r="P926" s="7">
        <v>0.6</v>
      </c>
      <c r="Q926" s="7">
        <v>0.6</v>
      </c>
    </row>
    <row r="927" spans="1:17">
      <c r="A927" s="2">
        <v>2875</v>
      </c>
      <c r="B927" s="7">
        <v>0.6</v>
      </c>
      <c r="C927" s="7">
        <v>0.6</v>
      </c>
      <c r="D927" s="7">
        <v>0.6</v>
      </c>
      <c r="E927" s="7">
        <v>0.6</v>
      </c>
      <c r="F927" s="7">
        <v>0.6</v>
      </c>
      <c r="G927" s="7">
        <v>0.6</v>
      </c>
      <c r="H927" s="7">
        <v>0.6</v>
      </c>
      <c r="I927" s="7">
        <v>0.6</v>
      </c>
      <c r="J927" s="7">
        <v>0.6</v>
      </c>
      <c r="K927" s="7">
        <v>0.6</v>
      </c>
      <c r="L927" s="7">
        <v>0.6</v>
      </c>
      <c r="M927" s="7">
        <v>0.6</v>
      </c>
      <c r="N927" s="7">
        <v>0.6</v>
      </c>
      <c r="O927" s="7">
        <v>0.6</v>
      </c>
      <c r="P927" s="7">
        <v>0.6</v>
      </c>
      <c r="Q927" s="7">
        <v>0.6</v>
      </c>
    </row>
    <row r="928" spans="1:17">
      <c r="A928" s="2">
        <v>2876</v>
      </c>
      <c r="B928" s="7">
        <v>0.6</v>
      </c>
      <c r="C928" s="7">
        <v>0.6</v>
      </c>
      <c r="D928" s="7">
        <v>0.6</v>
      </c>
      <c r="E928" s="7">
        <v>0.6</v>
      </c>
      <c r="F928" s="7">
        <v>0.6</v>
      </c>
      <c r="G928" s="7">
        <v>0.6</v>
      </c>
      <c r="H928" s="7">
        <v>0.6</v>
      </c>
      <c r="I928" s="7">
        <v>0.6</v>
      </c>
      <c r="J928" s="7">
        <v>0.6</v>
      </c>
      <c r="K928" s="7">
        <v>0.6</v>
      </c>
      <c r="L928" s="7">
        <v>0.6</v>
      </c>
      <c r="M928" s="7">
        <v>0.6</v>
      </c>
      <c r="N928" s="7">
        <v>0.6</v>
      </c>
      <c r="O928" s="7">
        <v>0.6</v>
      </c>
      <c r="P928" s="7">
        <v>0.6</v>
      </c>
      <c r="Q928" s="7">
        <v>0.6</v>
      </c>
    </row>
    <row r="929" spans="1:17">
      <c r="A929" s="2">
        <v>2877</v>
      </c>
      <c r="B929" s="7">
        <v>0.6</v>
      </c>
      <c r="C929" s="7">
        <v>0.6</v>
      </c>
      <c r="D929" s="7">
        <v>0.6</v>
      </c>
      <c r="E929" s="7">
        <v>0.6</v>
      </c>
      <c r="F929" s="7">
        <v>0.6</v>
      </c>
      <c r="G929" s="7">
        <v>0.6</v>
      </c>
      <c r="H929" s="7">
        <v>0.6</v>
      </c>
      <c r="I929" s="7">
        <v>0.6</v>
      </c>
      <c r="J929" s="7">
        <v>0.6</v>
      </c>
      <c r="K929" s="7">
        <v>0.6</v>
      </c>
      <c r="L929" s="7">
        <v>0.6</v>
      </c>
      <c r="M929" s="7">
        <v>0.6</v>
      </c>
      <c r="N929" s="7">
        <v>0.6</v>
      </c>
      <c r="O929" s="7">
        <v>0.6</v>
      </c>
      <c r="P929" s="7">
        <v>0.6</v>
      </c>
      <c r="Q929" s="7">
        <v>0.6</v>
      </c>
    </row>
    <row r="930" spans="1:17">
      <c r="A930" s="2">
        <v>2878</v>
      </c>
      <c r="B930" s="7">
        <v>0.6</v>
      </c>
      <c r="C930" s="7">
        <v>0.6</v>
      </c>
      <c r="D930" s="7">
        <v>0.6</v>
      </c>
      <c r="E930" s="7">
        <v>0.6</v>
      </c>
      <c r="F930" s="7">
        <v>0.6</v>
      </c>
      <c r="G930" s="7">
        <v>0.6</v>
      </c>
      <c r="H930" s="7">
        <v>0.6</v>
      </c>
      <c r="I930" s="7">
        <v>0.6</v>
      </c>
      <c r="J930" s="7">
        <v>0.6</v>
      </c>
      <c r="K930" s="7">
        <v>0.6</v>
      </c>
      <c r="L930" s="7">
        <v>0.6</v>
      </c>
      <c r="M930" s="7">
        <v>0.6</v>
      </c>
      <c r="N930" s="7">
        <v>0.6</v>
      </c>
      <c r="O930" s="7">
        <v>0.6</v>
      </c>
      <c r="P930" s="7">
        <v>0.6</v>
      </c>
      <c r="Q930" s="7">
        <v>0.6</v>
      </c>
    </row>
    <row r="931" spans="1:17">
      <c r="A931" s="2">
        <v>2879</v>
      </c>
      <c r="B931" s="7">
        <v>0.6</v>
      </c>
      <c r="C931" s="7">
        <v>0.6</v>
      </c>
      <c r="D931" s="7">
        <v>0.6</v>
      </c>
      <c r="E931" s="7">
        <v>0.6</v>
      </c>
      <c r="F931" s="7">
        <v>0.6</v>
      </c>
      <c r="G931" s="7">
        <v>0.6</v>
      </c>
      <c r="H931" s="7">
        <v>0.6</v>
      </c>
      <c r="I931" s="7">
        <v>0.6</v>
      </c>
      <c r="J931" s="7">
        <v>0.6</v>
      </c>
      <c r="K931" s="7">
        <v>0.6</v>
      </c>
      <c r="L931" s="7">
        <v>0.6</v>
      </c>
      <c r="M931" s="7">
        <v>0.6</v>
      </c>
      <c r="N931" s="7">
        <v>0.6</v>
      </c>
      <c r="O931" s="7">
        <v>0.6</v>
      </c>
      <c r="P931" s="7">
        <v>0.6</v>
      </c>
      <c r="Q931" s="7">
        <v>0.6</v>
      </c>
    </row>
    <row r="932" spans="1:17">
      <c r="A932" s="2">
        <v>2880</v>
      </c>
      <c r="B932" s="7">
        <v>0.6</v>
      </c>
      <c r="C932" s="7">
        <v>0.6</v>
      </c>
      <c r="D932" s="7">
        <v>0.6</v>
      </c>
      <c r="E932" s="7">
        <v>0.6</v>
      </c>
      <c r="F932" s="7">
        <v>0.6</v>
      </c>
      <c r="G932" s="7">
        <v>0.6</v>
      </c>
      <c r="H932" s="7">
        <v>0.6</v>
      </c>
      <c r="I932" s="7">
        <v>0.6</v>
      </c>
      <c r="J932" s="7">
        <v>0.6</v>
      </c>
      <c r="K932" s="7">
        <v>0.6</v>
      </c>
      <c r="L932" s="7">
        <v>0.6</v>
      </c>
      <c r="M932" s="7">
        <v>0.6</v>
      </c>
      <c r="N932" s="7">
        <v>0.6</v>
      </c>
      <c r="O932" s="7">
        <v>0.6</v>
      </c>
      <c r="P932" s="7">
        <v>0.6</v>
      </c>
      <c r="Q932" s="7">
        <v>0.6</v>
      </c>
    </row>
    <row r="933" spans="1:17">
      <c r="A933" s="2">
        <v>2881</v>
      </c>
      <c r="B933" s="7">
        <v>0.6</v>
      </c>
      <c r="C933" s="7">
        <v>0.6</v>
      </c>
      <c r="D933" s="7">
        <v>0.6</v>
      </c>
      <c r="E933" s="7">
        <v>0.6</v>
      </c>
      <c r="F933" s="7">
        <v>0.6</v>
      </c>
      <c r="G933" s="7">
        <v>0.6</v>
      </c>
      <c r="H933" s="7">
        <v>0.6</v>
      </c>
      <c r="I933" s="7">
        <v>0.6</v>
      </c>
      <c r="J933" s="7">
        <v>0.6</v>
      </c>
      <c r="K933" s="7">
        <v>0.6</v>
      </c>
      <c r="L933" s="7">
        <v>0.6</v>
      </c>
      <c r="M933" s="7">
        <v>0.6</v>
      </c>
      <c r="N933" s="7">
        <v>0.6</v>
      </c>
      <c r="O933" s="7">
        <v>0.6</v>
      </c>
      <c r="P933" s="7">
        <v>0.6</v>
      </c>
      <c r="Q933" s="7">
        <v>0.6</v>
      </c>
    </row>
    <row r="934" spans="1:17">
      <c r="A934" s="2">
        <v>2882</v>
      </c>
      <c r="B934" s="7">
        <v>0.6</v>
      </c>
      <c r="C934" s="7">
        <v>0.6</v>
      </c>
      <c r="D934" s="7">
        <v>0.6</v>
      </c>
      <c r="E934" s="7">
        <v>0.6</v>
      </c>
      <c r="F934" s="7">
        <v>0.6</v>
      </c>
      <c r="G934" s="7">
        <v>0.6</v>
      </c>
      <c r="H934" s="7">
        <v>0.6</v>
      </c>
      <c r="I934" s="7">
        <v>0.6</v>
      </c>
      <c r="J934" s="7">
        <v>0.6</v>
      </c>
      <c r="K934" s="7">
        <v>0.6</v>
      </c>
      <c r="L934" s="7">
        <v>0.6</v>
      </c>
      <c r="M934" s="7">
        <v>0.6</v>
      </c>
      <c r="N934" s="7">
        <v>0.6</v>
      </c>
      <c r="O934" s="7">
        <v>0.6</v>
      </c>
      <c r="P934" s="7">
        <v>0.6</v>
      </c>
      <c r="Q934" s="7">
        <v>0.6</v>
      </c>
    </row>
    <row r="935" spans="1:17">
      <c r="A935" s="2">
        <v>2883</v>
      </c>
      <c r="B935" s="7">
        <v>0.6</v>
      </c>
      <c r="C935" s="7">
        <v>0.6</v>
      </c>
      <c r="D935" s="7">
        <v>0.6</v>
      </c>
      <c r="E935" s="7">
        <v>0.6</v>
      </c>
      <c r="F935" s="7">
        <v>0.6</v>
      </c>
      <c r="G935" s="7">
        <v>0.6</v>
      </c>
      <c r="H935" s="7">
        <v>0.6</v>
      </c>
      <c r="I935" s="7">
        <v>0.6</v>
      </c>
      <c r="J935" s="7">
        <v>0.6</v>
      </c>
      <c r="K935" s="7">
        <v>0.6</v>
      </c>
      <c r="L935" s="7">
        <v>0.6</v>
      </c>
      <c r="M935" s="7">
        <v>0.6</v>
      </c>
      <c r="N935" s="7">
        <v>0.6</v>
      </c>
      <c r="O935" s="7">
        <v>0.6</v>
      </c>
      <c r="P935" s="7">
        <v>0.6</v>
      </c>
      <c r="Q935" s="7">
        <v>0.6</v>
      </c>
    </row>
    <row r="936" spans="1:17">
      <c r="A936" s="2">
        <v>2884</v>
      </c>
      <c r="B936" s="7">
        <v>0.6</v>
      </c>
      <c r="C936" s="7">
        <v>0.6</v>
      </c>
      <c r="D936" s="7">
        <v>0.6</v>
      </c>
      <c r="E936" s="7">
        <v>0.6</v>
      </c>
      <c r="F936" s="7">
        <v>0.6</v>
      </c>
      <c r="G936" s="7">
        <v>0.6</v>
      </c>
      <c r="H936" s="7">
        <v>0.6</v>
      </c>
      <c r="I936" s="7">
        <v>0.6</v>
      </c>
      <c r="J936" s="7">
        <v>0.6</v>
      </c>
      <c r="K936" s="7">
        <v>0.6</v>
      </c>
      <c r="L936" s="7">
        <v>0.6</v>
      </c>
      <c r="M936" s="7">
        <v>0.6</v>
      </c>
      <c r="N936" s="7">
        <v>0.6</v>
      </c>
      <c r="O936" s="7">
        <v>0.6</v>
      </c>
      <c r="P936" s="7">
        <v>0.6</v>
      </c>
      <c r="Q936" s="7">
        <v>0.6</v>
      </c>
    </row>
    <row r="937" spans="1:17">
      <c r="A937" s="2">
        <v>2885</v>
      </c>
      <c r="B937" s="7">
        <v>0.6</v>
      </c>
      <c r="C937" s="7">
        <v>0.6</v>
      </c>
      <c r="D937" s="7">
        <v>0.6</v>
      </c>
      <c r="E937" s="7">
        <v>0.6</v>
      </c>
      <c r="F937" s="7">
        <v>0.6</v>
      </c>
      <c r="G937" s="7">
        <v>0.6</v>
      </c>
      <c r="H937" s="7">
        <v>0.6</v>
      </c>
      <c r="I937" s="7">
        <v>0.6</v>
      </c>
      <c r="J937" s="7">
        <v>0.6</v>
      </c>
      <c r="K937" s="7">
        <v>0.6</v>
      </c>
      <c r="L937" s="7">
        <v>0.6</v>
      </c>
      <c r="M937" s="7">
        <v>0.6</v>
      </c>
      <c r="N937" s="7">
        <v>0.6</v>
      </c>
      <c r="O937" s="7">
        <v>0.6</v>
      </c>
      <c r="P937" s="7">
        <v>0.6</v>
      </c>
      <c r="Q937" s="7">
        <v>0.6</v>
      </c>
    </row>
    <row r="938" spans="1:17">
      <c r="A938" s="2">
        <v>2886</v>
      </c>
      <c r="B938" s="7">
        <v>0.6</v>
      </c>
      <c r="C938" s="7">
        <v>0.6</v>
      </c>
      <c r="D938" s="7">
        <v>0.6</v>
      </c>
      <c r="E938" s="7">
        <v>0.6</v>
      </c>
      <c r="F938" s="7">
        <v>0.6</v>
      </c>
      <c r="G938" s="7">
        <v>0.6</v>
      </c>
      <c r="H938" s="7">
        <v>0.6</v>
      </c>
      <c r="I938" s="7">
        <v>0.6</v>
      </c>
      <c r="J938" s="7">
        <v>0.6</v>
      </c>
      <c r="K938" s="7">
        <v>0.6</v>
      </c>
      <c r="L938" s="7">
        <v>0.6</v>
      </c>
      <c r="M938" s="7">
        <v>0.6</v>
      </c>
      <c r="N938" s="7">
        <v>0.6</v>
      </c>
      <c r="O938" s="7">
        <v>0.6</v>
      </c>
      <c r="P938" s="7">
        <v>0.6</v>
      </c>
      <c r="Q938" s="7">
        <v>0.6</v>
      </c>
    </row>
    <row r="939" spans="1:17">
      <c r="A939" s="2">
        <v>2887</v>
      </c>
      <c r="B939" s="7">
        <v>0.6</v>
      </c>
      <c r="C939" s="7">
        <v>0.6</v>
      </c>
      <c r="D939" s="7">
        <v>0.6</v>
      </c>
      <c r="E939" s="7">
        <v>0.6</v>
      </c>
      <c r="F939" s="7">
        <v>0.6</v>
      </c>
      <c r="G939" s="7">
        <v>0.6</v>
      </c>
      <c r="H939" s="7">
        <v>0.6</v>
      </c>
      <c r="I939" s="7">
        <v>0.6</v>
      </c>
      <c r="J939" s="7">
        <v>0.6</v>
      </c>
      <c r="K939" s="7">
        <v>0.6</v>
      </c>
      <c r="L939" s="7">
        <v>0.6</v>
      </c>
      <c r="M939" s="7">
        <v>0.6</v>
      </c>
      <c r="N939" s="7">
        <v>0.6</v>
      </c>
      <c r="O939" s="7">
        <v>0.6</v>
      </c>
      <c r="P939" s="7">
        <v>0.6</v>
      </c>
      <c r="Q939" s="7">
        <v>0.6</v>
      </c>
    </row>
    <row r="940" spans="1:17">
      <c r="A940" s="2">
        <v>2888</v>
      </c>
      <c r="B940" s="7">
        <v>0.6</v>
      </c>
      <c r="C940" s="7">
        <v>0.6</v>
      </c>
      <c r="D940" s="7">
        <v>0.6</v>
      </c>
      <c r="E940" s="7">
        <v>0.6</v>
      </c>
      <c r="F940" s="7">
        <v>0.6</v>
      </c>
      <c r="G940" s="7">
        <v>0.6</v>
      </c>
      <c r="H940" s="7">
        <v>0.6</v>
      </c>
      <c r="I940" s="7">
        <v>0.6</v>
      </c>
      <c r="J940" s="7">
        <v>0.6</v>
      </c>
      <c r="K940" s="7">
        <v>0.6</v>
      </c>
      <c r="L940" s="7">
        <v>0.6</v>
      </c>
      <c r="M940" s="7">
        <v>0.6</v>
      </c>
      <c r="N940" s="7">
        <v>0.6</v>
      </c>
      <c r="O940" s="7">
        <v>0.6</v>
      </c>
      <c r="P940" s="7">
        <v>0.6</v>
      </c>
      <c r="Q940" s="7">
        <v>0.6</v>
      </c>
    </row>
    <row r="941" spans="1:17">
      <c r="A941" s="2">
        <v>2889</v>
      </c>
      <c r="B941" s="7">
        <v>0.6</v>
      </c>
      <c r="C941" s="7">
        <v>0.6</v>
      </c>
      <c r="D941" s="7">
        <v>0.6</v>
      </c>
      <c r="E941" s="7">
        <v>0.6</v>
      </c>
      <c r="F941" s="7">
        <v>0.6</v>
      </c>
      <c r="G941" s="7">
        <v>0.6</v>
      </c>
      <c r="H941" s="7">
        <v>0.6</v>
      </c>
      <c r="I941" s="7">
        <v>0.6</v>
      </c>
      <c r="J941" s="7">
        <v>0.6</v>
      </c>
      <c r="K941" s="7">
        <v>0.6</v>
      </c>
      <c r="L941" s="7">
        <v>0.6</v>
      </c>
      <c r="M941" s="7">
        <v>0.6</v>
      </c>
      <c r="N941" s="7">
        <v>0.6</v>
      </c>
      <c r="O941" s="7">
        <v>0.6</v>
      </c>
      <c r="P941" s="7">
        <v>0.6</v>
      </c>
      <c r="Q941" s="7">
        <v>0.6</v>
      </c>
    </row>
    <row r="942" spans="1:17">
      <c r="A942" s="2">
        <v>2890</v>
      </c>
      <c r="B942" s="7">
        <v>0.6</v>
      </c>
      <c r="C942" s="7">
        <v>0.6</v>
      </c>
      <c r="D942" s="7">
        <v>0.6</v>
      </c>
      <c r="E942" s="7">
        <v>0.6</v>
      </c>
      <c r="F942" s="7">
        <v>0.6</v>
      </c>
      <c r="G942" s="7">
        <v>0.6</v>
      </c>
      <c r="H942" s="7">
        <v>0.6</v>
      </c>
      <c r="I942" s="7">
        <v>0.6</v>
      </c>
      <c r="J942" s="7">
        <v>0.6</v>
      </c>
      <c r="K942" s="7">
        <v>0.6</v>
      </c>
      <c r="L942" s="7">
        <v>0.6</v>
      </c>
      <c r="M942" s="7">
        <v>0.6</v>
      </c>
      <c r="N942" s="7">
        <v>0.6</v>
      </c>
      <c r="O942" s="7">
        <v>0.6</v>
      </c>
      <c r="P942" s="7">
        <v>0.6</v>
      </c>
      <c r="Q942" s="7">
        <v>0.6</v>
      </c>
    </row>
    <row r="943" spans="1:17">
      <c r="A943" s="2">
        <v>2891</v>
      </c>
      <c r="B943" s="7">
        <v>0.6</v>
      </c>
      <c r="C943" s="7">
        <v>0.6</v>
      </c>
      <c r="D943" s="7">
        <v>0.6</v>
      </c>
      <c r="E943" s="7">
        <v>0.6</v>
      </c>
      <c r="F943" s="7">
        <v>0.6</v>
      </c>
      <c r="G943" s="7">
        <v>0.6</v>
      </c>
      <c r="H943" s="7">
        <v>0.6</v>
      </c>
      <c r="I943" s="7">
        <v>0.6</v>
      </c>
      <c r="J943" s="7">
        <v>0.6</v>
      </c>
      <c r="K943" s="7">
        <v>0.6</v>
      </c>
      <c r="L943" s="7">
        <v>0.6</v>
      </c>
      <c r="M943" s="7">
        <v>0.6</v>
      </c>
      <c r="N943" s="7">
        <v>0.6</v>
      </c>
      <c r="O943" s="7">
        <v>0.6</v>
      </c>
      <c r="P943" s="7">
        <v>0.6</v>
      </c>
      <c r="Q943" s="7">
        <v>0.6</v>
      </c>
    </row>
    <row r="944" spans="1:17">
      <c r="A944" s="2">
        <v>2892</v>
      </c>
      <c r="B944" s="7">
        <v>0.6</v>
      </c>
      <c r="C944" s="7">
        <v>0.6</v>
      </c>
      <c r="D944" s="7">
        <v>0.6</v>
      </c>
      <c r="E944" s="7">
        <v>0.6</v>
      </c>
      <c r="F944" s="7">
        <v>0.6</v>
      </c>
      <c r="G944" s="7">
        <v>0.6</v>
      </c>
      <c r="H944" s="7">
        <v>0.6</v>
      </c>
      <c r="I944" s="7">
        <v>0.6</v>
      </c>
      <c r="J944" s="7">
        <v>0.6</v>
      </c>
      <c r="K944" s="7">
        <v>0.6</v>
      </c>
      <c r="L944" s="7">
        <v>0.6</v>
      </c>
      <c r="M944" s="7">
        <v>0.6</v>
      </c>
      <c r="N944" s="7">
        <v>0.6</v>
      </c>
      <c r="O944" s="7">
        <v>0.6</v>
      </c>
      <c r="P944" s="7">
        <v>0.6</v>
      </c>
      <c r="Q944" s="7">
        <v>0.6</v>
      </c>
    </row>
    <row r="945" spans="1:17">
      <c r="A945" s="2">
        <v>2893</v>
      </c>
      <c r="B945" s="7">
        <v>0.6</v>
      </c>
      <c r="C945" s="7">
        <v>0.6</v>
      </c>
      <c r="D945" s="7">
        <v>0.6</v>
      </c>
      <c r="E945" s="7">
        <v>0.6</v>
      </c>
      <c r="F945" s="7">
        <v>0.6</v>
      </c>
      <c r="G945" s="7">
        <v>0.6</v>
      </c>
      <c r="H945" s="7">
        <v>0.6</v>
      </c>
      <c r="I945" s="7">
        <v>0.6</v>
      </c>
      <c r="J945" s="7">
        <v>0.6</v>
      </c>
      <c r="K945" s="7">
        <v>0.6</v>
      </c>
      <c r="L945" s="7">
        <v>0.6</v>
      </c>
      <c r="M945" s="7">
        <v>0.6</v>
      </c>
      <c r="N945" s="7">
        <v>0.6</v>
      </c>
      <c r="O945" s="7">
        <v>0.6</v>
      </c>
      <c r="P945" s="7">
        <v>0.6</v>
      </c>
      <c r="Q945" s="7">
        <v>0.6</v>
      </c>
    </row>
    <row r="946" spans="1:17">
      <c r="A946" s="2">
        <v>2894</v>
      </c>
      <c r="B946" s="7">
        <v>0.6</v>
      </c>
      <c r="C946" s="7">
        <v>0.6</v>
      </c>
      <c r="D946" s="7">
        <v>0.6</v>
      </c>
      <c r="E946" s="7">
        <v>0.6</v>
      </c>
      <c r="F946" s="7">
        <v>0.6</v>
      </c>
      <c r="G946" s="7">
        <v>0.6</v>
      </c>
      <c r="H946" s="7">
        <v>0.6</v>
      </c>
      <c r="I946" s="7">
        <v>0.6</v>
      </c>
      <c r="J946" s="7">
        <v>0.6</v>
      </c>
      <c r="K946" s="7">
        <v>0.6</v>
      </c>
      <c r="L946" s="7">
        <v>0.6</v>
      </c>
      <c r="M946" s="7">
        <v>0.6</v>
      </c>
      <c r="N946" s="7">
        <v>0.6</v>
      </c>
      <c r="O946" s="7">
        <v>0.6</v>
      </c>
      <c r="P946" s="7">
        <v>0.6</v>
      </c>
      <c r="Q946" s="7">
        <v>0.6</v>
      </c>
    </row>
    <row r="947" spans="1:17">
      <c r="A947" s="2">
        <v>2895</v>
      </c>
      <c r="B947" s="7">
        <v>0.6</v>
      </c>
      <c r="C947" s="7">
        <v>0.6</v>
      </c>
      <c r="D947" s="7">
        <v>0.6</v>
      </c>
      <c r="E947" s="7">
        <v>0.6</v>
      </c>
      <c r="F947" s="7">
        <v>0.6</v>
      </c>
      <c r="G947" s="7">
        <v>0.6</v>
      </c>
      <c r="H947" s="7">
        <v>0.6</v>
      </c>
      <c r="I947" s="7">
        <v>0.6</v>
      </c>
      <c r="J947" s="7">
        <v>0.6</v>
      </c>
      <c r="K947" s="7">
        <v>0.6</v>
      </c>
      <c r="L947" s="7">
        <v>0.6</v>
      </c>
      <c r="M947" s="7">
        <v>0.6</v>
      </c>
      <c r="N947" s="7">
        <v>0.6</v>
      </c>
      <c r="O947" s="7">
        <v>0.6</v>
      </c>
      <c r="P947" s="7">
        <v>0.6</v>
      </c>
      <c r="Q947" s="7">
        <v>0.6</v>
      </c>
    </row>
    <row r="948" spans="1:17">
      <c r="A948" s="2">
        <v>2896</v>
      </c>
      <c r="B948" s="7">
        <v>0.6</v>
      </c>
      <c r="C948" s="7">
        <v>0.6</v>
      </c>
      <c r="D948" s="7">
        <v>0.6</v>
      </c>
      <c r="E948" s="7">
        <v>0.6</v>
      </c>
      <c r="F948" s="7">
        <v>0.6</v>
      </c>
      <c r="G948" s="7">
        <v>0.6</v>
      </c>
      <c r="H948" s="7">
        <v>0.6</v>
      </c>
      <c r="I948" s="7">
        <v>0.6</v>
      </c>
      <c r="J948" s="7">
        <v>0.6</v>
      </c>
      <c r="K948" s="7">
        <v>0.6</v>
      </c>
      <c r="L948" s="7">
        <v>0.6</v>
      </c>
      <c r="M948" s="7">
        <v>0.6</v>
      </c>
      <c r="N948" s="7">
        <v>0.6</v>
      </c>
      <c r="O948" s="7">
        <v>0.6</v>
      </c>
      <c r="P948" s="7">
        <v>0.6</v>
      </c>
      <c r="Q948" s="7">
        <v>0.6</v>
      </c>
    </row>
    <row r="949" spans="1:17">
      <c r="A949" s="2">
        <v>2897</v>
      </c>
      <c r="B949" s="7">
        <v>0.6</v>
      </c>
      <c r="C949" s="7">
        <v>0.6</v>
      </c>
      <c r="D949" s="7">
        <v>0.6</v>
      </c>
      <c r="E949" s="7">
        <v>0.6</v>
      </c>
      <c r="F949" s="7">
        <v>0.6</v>
      </c>
      <c r="G949" s="7">
        <v>0.6</v>
      </c>
      <c r="H949" s="7">
        <v>0.6</v>
      </c>
      <c r="I949" s="7">
        <v>0.6</v>
      </c>
      <c r="J949" s="7">
        <v>0.6</v>
      </c>
      <c r="K949" s="7">
        <v>0.6</v>
      </c>
      <c r="L949" s="7">
        <v>0.6</v>
      </c>
      <c r="M949" s="7">
        <v>0.6</v>
      </c>
      <c r="N949" s="7">
        <v>0.6</v>
      </c>
      <c r="O949" s="7">
        <v>0.6</v>
      </c>
      <c r="P949" s="7">
        <v>0.6</v>
      </c>
      <c r="Q949" s="7">
        <v>0.6</v>
      </c>
    </row>
    <row r="950" spans="1:17">
      <c r="A950" s="2">
        <v>2898</v>
      </c>
      <c r="B950" s="7">
        <v>0.6</v>
      </c>
      <c r="C950" s="7">
        <v>0.6</v>
      </c>
      <c r="D950" s="7">
        <v>0.6</v>
      </c>
      <c r="E950" s="7">
        <v>0.6</v>
      </c>
      <c r="F950" s="7">
        <v>0.6</v>
      </c>
      <c r="G950" s="7">
        <v>0.6</v>
      </c>
      <c r="H950" s="7">
        <v>0.6</v>
      </c>
      <c r="I950" s="7">
        <v>0.6</v>
      </c>
      <c r="J950" s="7">
        <v>0.6</v>
      </c>
      <c r="K950" s="7">
        <v>0.6</v>
      </c>
      <c r="L950" s="7">
        <v>0.6</v>
      </c>
      <c r="M950" s="7">
        <v>0.6</v>
      </c>
      <c r="N950" s="7">
        <v>0.6</v>
      </c>
      <c r="O950" s="7">
        <v>0.6</v>
      </c>
      <c r="P950" s="7">
        <v>0.6</v>
      </c>
      <c r="Q950" s="7">
        <v>0.6</v>
      </c>
    </row>
    <row r="951" spans="1:17">
      <c r="A951" s="2">
        <v>2899</v>
      </c>
      <c r="B951" s="7">
        <v>0.6</v>
      </c>
      <c r="C951" s="7">
        <v>0.6</v>
      </c>
      <c r="D951" s="7">
        <v>0.6</v>
      </c>
      <c r="E951" s="7">
        <v>0.6</v>
      </c>
      <c r="F951" s="7">
        <v>0.6</v>
      </c>
      <c r="G951" s="7">
        <v>0.6</v>
      </c>
      <c r="H951" s="7">
        <v>0.6</v>
      </c>
      <c r="I951" s="7">
        <v>0.6</v>
      </c>
      <c r="J951" s="7">
        <v>0.6</v>
      </c>
      <c r="K951" s="7">
        <v>0.6</v>
      </c>
      <c r="L951" s="7">
        <v>0.6</v>
      </c>
      <c r="M951" s="7">
        <v>0.6</v>
      </c>
      <c r="N951" s="7">
        <v>0.6</v>
      </c>
      <c r="O951" s="7">
        <v>0.6</v>
      </c>
      <c r="P951" s="7">
        <v>0.6</v>
      </c>
      <c r="Q951" s="7">
        <v>0.6</v>
      </c>
    </row>
    <row r="952" spans="1:17">
      <c r="A952" s="2">
        <v>2900</v>
      </c>
      <c r="B952" s="7">
        <v>0.6</v>
      </c>
      <c r="C952" s="7">
        <v>0.6</v>
      </c>
      <c r="D952" s="7">
        <v>0.6</v>
      </c>
      <c r="E952" s="7">
        <v>0.6</v>
      </c>
      <c r="F952" s="7">
        <v>0.6</v>
      </c>
      <c r="G952" s="7">
        <v>0.6</v>
      </c>
      <c r="H952" s="7">
        <v>0.6</v>
      </c>
      <c r="I952" s="7">
        <v>0.6</v>
      </c>
      <c r="J952" s="7">
        <v>0.6</v>
      </c>
      <c r="K952" s="7">
        <v>0.6</v>
      </c>
      <c r="L952" s="7">
        <v>0.6</v>
      </c>
      <c r="M952" s="7">
        <v>0.6</v>
      </c>
      <c r="N952" s="7">
        <v>0.6</v>
      </c>
      <c r="O952" s="7">
        <v>0.6</v>
      </c>
      <c r="P952" s="7">
        <v>0.6</v>
      </c>
      <c r="Q952" s="7">
        <v>0.6</v>
      </c>
    </row>
    <row r="953" spans="1:17">
      <c r="A953" s="2">
        <v>2901</v>
      </c>
      <c r="B953" s="7">
        <v>0.6</v>
      </c>
      <c r="C953" s="7">
        <v>0.6</v>
      </c>
      <c r="D953" s="7">
        <v>0.6</v>
      </c>
      <c r="E953" s="7">
        <v>0.6</v>
      </c>
      <c r="F953" s="7">
        <v>0.6</v>
      </c>
      <c r="G953" s="7">
        <v>0.6</v>
      </c>
      <c r="H953" s="7">
        <v>0.6</v>
      </c>
      <c r="I953" s="7">
        <v>0.6</v>
      </c>
      <c r="J953" s="7">
        <v>0.6</v>
      </c>
      <c r="K953" s="7">
        <v>0.6</v>
      </c>
      <c r="L953" s="7">
        <v>0.6</v>
      </c>
      <c r="M953" s="7">
        <v>0.6</v>
      </c>
      <c r="N953" s="7">
        <v>0.6</v>
      </c>
      <c r="O953" s="7">
        <v>0.6</v>
      </c>
      <c r="P953" s="7">
        <v>0.6</v>
      </c>
      <c r="Q953" s="7">
        <v>0.6</v>
      </c>
    </row>
    <row r="954" spans="1:17">
      <c r="A954" s="2">
        <v>2902</v>
      </c>
      <c r="B954" s="7">
        <v>0.6</v>
      </c>
      <c r="C954" s="7">
        <v>0.6</v>
      </c>
      <c r="D954" s="7">
        <v>0.6</v>
      </c>
      <c r="E954" s="7">
        <v>0.6</v>
      </c>
      <c r="F954" s="7">
        <v>0.6</v>
      </c>
      <c r="G954" s="7">
        <v>0.6</v>
      </c>
      <c r="H954" s="7">
        <v>0.6</v>
      </c>
      <c r="I954" s="7">
        <v>0.6</v>
      </c>
      <c r="J954" s="7">
        <v>0.6</v>
      </c>
      <c r="K954" s="7">
        <v>0.6</v>
      </c>
      <c r="L954" s="7">
        <v>0.6</v>
      </c>
      <c r="M954" s="7">
        <v>0.6</v>
      </c>
      <c r="N954" s="7">
        <v>0.6</v>
      </c>
      <c r="O954" s="7">
        <v>0.6</v>
      </c>
      <c r="P954" s="7">
        <v>0.6</v>
      </c>
      <c r="Q954" s="7">
        <v>0.6</v>
      </c>
    </row>
    <row r="955" spans="1:17">
      <c r="A955" s="2">
        <v>2903</v>
      </c>
      <c r="B955" s="7">
        <v>0.6</v>
      </c>
      <c r="C955" s="7">
        <v>0.6</v>
      </c>
      <c r="D955" s="7">
        <v>0.6</v>
      </c>
      <c r="E955" s="7">
        <v>0.6</v>
      </c>
      <c r="F955" s="7">
        <v>0.6</v>
      </c>
      <c r="G955" s="7">
        <v>0.6</v>
      </c>
      <c r="H955" s="7">
        <v>0.6</v>
      </c>
      <c r="I955" s="7">
        <v>0.6</v>
      </c>
      <c r="J955" s="7">
        <v>0.6</v>
      </c>
      <c r="K955" s="7">
        <v>0.6</v>
      </c>
      <c r="L955" s="7">
        <v>0.6</v>
      </c>
      <c r="M955" s="7">
        <v>0.6</v>
      </c>
      <c r="N955" s="7">
        <v>0.6</v>
      </c>
      <c r="O955" s="7">
        <v>0.6</v>
      </c>
      <c r="P955" s="7">
        <v>0.6</v>
      </c>
      <c r="Q955" s="7">
        <v>0.6</v>
      </c>
    </row>
    <row r="956" spans="1:17">
      <c r="A956" s="2">
        <v>2904</v>
      </c>
      <c r="B956" s="7">
        <v>0.6</v>
      </c>
      <c r="C956" s="7">
        <v>0.6</v>
      </c>
      <c r="D956" s="7">
        <v>0.6</v>
      </c>
      <c r="E956" s="7">
        <v>0.6</v>
      </c>
      <c r="F956" s="7">
        <v>0.6</v>
      </c>
      <c r="G956" s="7">
        <v>0.6</v>
      </c>
      <c r="H956" s="7">
        <v>0.6</v>
      </c>
      <c r="I956" s="7">
        <v>0.6</v>
      </c>
      <c r="J956" s="7">
        <v>0.6</v>
      </c>
      <c r="K956" s="7">
        <v>0.6</v>
      </c>
      <c r="L956" s="7">
        <v>0.6</v>
      </c>
      <c r="M956" s="7">
        <v>0.6</v>
      </c>
      <c r="N956" s="7">
        <v>0.6</v>
      </c>
      <c r="O956" s="7">
        <v>0.6</v>
      </c>
      <c r="P956" s="7">
        <v>0.6</v>
      </c>
      <c r="Q956" s="7">
        <v>0.6</v>
      </c>
    </row>
    <row r="957" spans="1:17">
      <c r="A957" s="2">
        <v>2905</v>
      </c>
      <c r="B957" s="7">
        <v>0.6</v>
      </c>
      <c r="C957" s="7">
        <v>0.6</v>
      </c>
      <c r="D957" s="7">
        <v>0.6</v>
      </c>
      <c r="E957" s="7">
        <v>0.6</v>
      </c>
      <c r="F957" s="7">
        <v>0.6</v>
      </c>
      <c r="G957" s="7">
        <v>0.6</v>
      </c>
      <c r="H957" s="7">
        <v>0.6</v>
      </c>
      <c r="I957" s="7">
        <v>0.6</v>
      </c>
      <c r="J957" s="7">
        <v>0.6</v>
      </c>
      <c r="K957" s="7">
        <v>0.6</v>
      </c>
      <c r="L957" s="7">
        <v>0.6</v>
      </c>
      <c r="M957" s="7">
        <v>0.6</v>
      </c>
      <c r="N957" s="7">
        <v>0.6</v>
      </c>
      <c r="O957" s="7">
        <v>0.6</v>
      </c>
      <c r="P957" s="7">
        <v>0.6</v>
      </c>
      <c r="Q957" s="7">
        <v>0.6</v>
      </c>
    </row>
    <row r="958" spans="1:17">
      <c r="A958" s="2">
        <v>2906</v>
      </c>
      <c r="B958" s="7">
        <v>0.6</v>
      </c>
      <c r="C958" s="7">
        <v>0.6</v>
      </c>
      <c r="D958" s="7">
        <v>0.6</v>
      </c>
      <c r="E958" s="7">
        <v>0.6</v>
      </c>
      <c r="F958" s="7">
        <v>0.6</v>
      </c>
      <c r="G958" s="7">
        <v>0.6</v>
      </c>
      <c r="H958" s="7">
        <v>0.6</v>
      </c>
      <c r="I958" s="7">
        <v>0.6</v>
      </c>
      <c r="J958" s="7">
        <v>0.6</v>
      </c>
      <c r="K958" s="7">
        <v>0.6</v>
      </c>
      <c r="L958" s="7">
        <v>0.6</v>
      </c>
      <c r="M958" s="7">
        <v>0.6</v>
      </c>
      <c r="N958" s="7">
        <v>0.6</v>
      </c>
      <c r="O958" s="7">
        <v>0.6</v>
      </c>
      <c r="P958" s="7">
        <v>0.6</v>
      </c>
      <c r="Q958" s="7">
        <v>0.6</v>
      </c>
    </row>
    <row r="959" spans="1:17">
      <c r="A959" s="2">
        <v>2907</v>
      </c>
      <c r="B959" s="7">
        <v>0.6</v>
      </c>
      <c r="C959" s="7">
        <v>0.6</v>
      </c>
      <c r="D959" s="7">
        <v>0.6</v>
      </c>
      <c r="E959" s="7">
        <v>0.6</v>
      </c>
      <c r="F959" s="7">
        <v>0.6</v>
      </c>
      <c r="G959" s="7">
        <v>0.6</v>
      </c>
      <c r="H959" s="7">
        <v>0.6</v>
      </c>
      <c r="I959" s="7">
        <v>0.6</v>
      </c>
      <c r="J959" s="7">
        <v>0.6</v>
      </c>
      <c r="K959" s="7">
        <v>0.6</v>
      </c>
      <c r="L959" s="7">
        <v>0.6</v>
      </c>
      <c r="M959" s="7">
        <v>0.6</v>
      </c>
      <c r="N959" s="7">
        <v>0.6</v>
      </c>
      <c r="O959" s="7">
        <v>0.6</v>
      </c>
      <c r="P959" s="7">
        <v>0.6</v>
      </c>
      <c r="Q959" s="7">
        <v>0.6</v>
      </c>
    </row>
    <row r="960" spans="1:17">
      <c r="A960" s="2">
        <v>2908</v>
      </c>
      <c r="B960" s="7">
        <v>0.6</v>
      </c>
      <c r="C960" s="7">
        <v>0.6</v>
      </c>
      <c r="D960" s="7">
        <v>0.6</v>
      </c>
      <c r="E960" s="7">
        <v>0.6</v>
      </c>
      <c r="F960" s="7">
        <v>0.6</v>
      </c>
      <c r="G960" s="7">
        <v>0.6</v>
      </c>
      <c r="H960" s="7">
        <v>0.6</v>
      </c>
      <c r="I960" s="7">
        <v>0.6</v>
      </c>
      <c r="J960" s="7">
        <v>0.6</v>
      </c>
      <c r="K960" s="7">
        <v>0.6</v>
      </c>
      <c r="L960" s="7">
        <v>0.6</v>
      </c>
      <c r="M960" s="7">
        <v>0.6</v>
      </c>
      <c r="N960" s="7">
        <v>0.6</v>
      </c>
      <c r="O960" s="7">
        <v>0.6</v>
      </c>
      <c r="P960" s="7">
        <v>0.6</v>
      </c>
      <c r="Q960" s="7">
        <v>0.6</v>
      </c>
    </row>
    <row r="961" spans="1:17">
      <c r="A961" s="2">
        <v>2909</v>
      </c>
      <c r="B961" s="7">
        <v>0.6</v>
      </c>
      <c r="C961" s="7">
        <v>0.6</v>
      </c>
      <c r="D961" s="7">
        <v>0.6</v>
      </c>
      <c r="E961" s="7">
        <v>0.6</v>
      </c>
      <c r="F961" s="7">
        <v>0.6</v>
      </c>
      <c r="G961" s="7">
        <v>0.6</v>
      </c>
      <c r="H961" s="7">
        <v>0.6</v>
      </c>
      <c r="I961" s="7">
        <v>0.6</v>
      </c>
      <c r="J961" s="7">
        <v>0.6</v>
      </c>
      <c r="K961" s="7">
        <v>0.6</v>
      </c>
      <c r="L961" s="7">
        <v>0.6</v>
      </c>
      <c r="M961" s="7">
        <v>0.6</v>
      </c>
      <c r="N961" s="7">
        <v>0.6</v>
      </c>
      <c r="O961" s="7">
        <v>0.6</v>
      </c>
      <c r="P961" s="7">
        <v>0.6</v>
      </c>
      <c r="Q961" s="7">
        <v>0.6</v>
      </c>
    </row>
    <row r="962" spans="1:17">
      <c r="A962" s="2">
        <v>2910</v>
      </c>
      <c r="B962" s="7">
        <v>0.6</v>
      </c>
      <c r="C962" s="7">
        <v>0.6</v>
      </c>
      <c r="D962" s="7">
        <v>0.6</v>
      </c>
      <c r="E962" s="7">
        <v>0.6</v>
      </c>
      <c r="F962" s="7">
        <v>0.6</v>
      </c>
      <c r="G962" s="7">
        <v>0.6</v>
      </c>
      <c r="H962" s="7">
        <v>0.6</v>
      </c>
      <c r="I962" s="7">
        <v>0.6</v>
      </c>
      <c r="J962" s="7">
        <v>0.6</v>
      </c>
      <c r="K962" s="7">
        <v>0.6</v>
      </c>
      <c r="L962" s="7">
        <v>0.6</v>
      </c>
      <c r="M962" s="7">
        <v>0.6</v>
      </c>
      <c r="N962" s="7">
        <v>0.6</v>
      </c>
      <c r="O962" s="7">
        <v>0.6</v>
      </c>
      <c r="P962" s="7">
        <v>0.6</v>
      </c>
      <c r="Q962" s="7">
        <v>0.6</v>
      </c>
    </row>
    <row r="963" spans="1:17">
      <c r="A963" s="2">
        <v>2911</v>
      </c>
      <c r="B963" s="7">
        <v>0.6</v>
      </c>
      <c r="C963" s="7">
        <v>0.6</v>
      </c>
      <c r="D963" s="7">
        <v>0.6</v>
      </c>
      <c r="E963" s="7">
        <v>0.6</v>
      </c>
      <c r="F963" s="7">
        <v>0.6</v>
      </c>
      <c r="G963" s="7">
        <v>0.6</v>
      </c>
      <c r="H963" s="7">
        <v>0.6</v>
      </c>
      <c r="I963" s="7">
        <v>0.6</v>
      </c>
      <c r="J963" s="7">
        <v>0.6</v>
      </c>
      <c r="K963" s="7">
        <v>0.6</v>
      </c>
      <c r="L963" s="7">
        <v>0.6</v>
      </c>
      <c r="M963" s="7">
        <v>0.6</v>
      </c>
      <c r="N963" s="7">
        <v>0.6</v>
      </c>
      <c r="O963" s="7">
        <v>0.6</v>
      </c>
      <c r="P963" s="7">
        <v>0.6</v>
      </c>
      <c r="Q963" s="7">
        <v>0.6</v>
      </c>
    </row>
    <row r="964" spans="1:17">
      <c r="A964" s="2">
        <v>2912</v>
      </c>
      <c r="B964" s="7">
        <v>0.6</v>
      </c>
      <c r="C964" s="7">
        <v>0.6</v>
      </c>
      <c r="D964" s="7">
        <v>0.6</v>
      </c>
      <c r="E964" s="7">
        <v>0.6</v>
      </c>
      <c r="F964" s="7">
        <v>0.6</v>
      </c>
      <c r="G964" s="7">
        <v>0.6</v>
      </c>
      <c r="H964" s="7">
        <v>0.6</v>
      </c>
      <c r="I964" s="7">
        <v>0.6</v>
      </c>
      <c r="J964" s="7">
        <v>0.6</v>
      </c>
      <c r="K964" s="7">
        <v>0.6</v>
      </c>
      <c r="L964" s="7">
        <v>0.6</v>
      </c>
      <c r="M964" s="7">
        <v>0.6</v>
      </c>
      <c r="N964" s="7">
        <v>0.6</v>
      </c>
      <c r="O964" s="7">
        <v>0.6</v>
      </c>
      <c r="P964" s="7">
        <v>0.6</v>
      </c>
      <c r="Q964" s="7">
        <v>0.6</v>
      </c>
    </row>
    <row r="965" spans="1:17">
      <c r="A965" s="2">
        <v>2913</v>
      </c>
      <c r="B965" s="7">
        <v>0.6</v>
      </c>
      <c r="C965" s="7">
        <v>0.6</v>
      </c>
      <c r="D965" s="7">
        <v>0.6</v>
      </c>
      <c r="E965" s="7">
        <v>0.6</v>
      </c>
      <c r="F965" s="7">
        <v>0.6</v>
      </c>
      <c r="G965" s="7">
        <v>0.6</v>
      </c>
      <c r="H965" s="7">
        <v>0.6</v>
      </c>
      <c r="I965" s="7">
        <v>0.6</v>
      </c>
      <c r="J965" s="7">
        <v>0.6</v>
      </c>
      <c r="K965" s="7">
        <v>0.6</v>
      </c>
      <c r="L965" s="7">
        <v>0.6</v>
      </c>
      <c r="M965" s="7">
        <v>0.6</v>
      </c>
      <c r="N965" s="7">
        <v>0.6</v>
      </c>
      <c r="O965" s="7">
        <v>0.6</v>
      </c>
      <c r="P965" s="7">
        <v>0.6</v>
      </c>
      <c r="Q965" s="7">
        <v>0.6</v>
      </c>
    </row>
    <row r="966" spans="1:17">
      <c r="A966" s="2">
        <v>2914</v>
      </c>
      <c r="B966" s="7">
        <v>0.6</v>
      </c>
      <c r="C966" s="7">
        <v>0.6</v>
      </c>
      <c r="D966" s="7">
        <v>0.6</v>
      </c>
      <c r="E966" s="7">
        <v>0.6</v>
      </c>
      <c r="F966" s="7">
        <v>0.6</v>
      </c>
      <c r="G966" s="7">
        <v>0.6</v>
      </c>
      <c r="H966" s="7">
        <v>0.6</v>
      </c>
      <c r="I966" s="7">
        <v>0.6</v>
      </c>
      <c r="J966" s="7">
        <v>0.6</v>
      </c>
      <c r="K966" s="7">
        <v>0.6</v>
      </c>
      <c r="L966" s="7">
        <v>0.6</v>
      </c>
      <c r="M966" s="7">
        <v>0.6</v>
      </c>
      <c r="N966" s="7">
        <v>0.6</v>
      </c>
      <c r="O966" s="7">
        <v>0.6</v>
      </c>
      <c r="P966" s="7">
        <v>0.6</v>
      </c>
      <c r="Q966" s="7">
        <v>0.6</v>
      </c>
    </row>
    <row r="967" spans="1:17">
      <c r="A967" s="2">
        <v>2915</v>
      </c>
      <c r="B967" s="7">
        <v>0.6</v>
      </c>
      <c r="C967" s="7">
        <v>0.6</v>
      </c>
      <c r="D967" s="7">
        <v>0.6</v>
      </c>
      <c r="E967" s="7">
        <v>0.6</v>
      </c>
      <c r="F967" s="7">
        <v>0.6</v>
      </c>
      <c r="G967" s="7">
        <v>0.6</v>
      </c>
      <c r="H967" s="7">
        <v>0.6</v>
      </c>
      <c r="I967" s="7">
        <v>0.6</v>
      </c>
      <c r="J967" s="7">
        <v>0.6</v>
      </c>
      <c r="K967" s="7">
        <v>0.6</v>
      </c>
      <c r="L967" s="7">
        <v>0.6</v>
      </c>
      <c r="M967" s="7">
        <v>0.6</v>
      </c>
      <c r="N967" s="7">
        <v>0.6</v>
      </c>
      <c r="O967" s="7">
        <v>0.6</v>
      </c>
      <c r="P967" s="7">
        <v>0.6</v>
      </c>
      <c r="Q967" s="7">
        <v>0.6</v>
      </c>
    </row>
    <row r="968" spans="1:17">
      <c r="A968" s="2">
        <v>2916</v>
      </c>
      <c r="B968" s="7">
        <v>0.6</v>
      </c>
      <c r="C968" s="7">
        <v>0.6</v>
      </c>
      <c r="D968" s="7">
        <v>0.6</v>
      </c>
      <c r="E968" s="7">
        <v>0.6</v>
      </c>
      <c r="F968" s="7">
        <v>0.6</v>
      </c>
      <c r="G968" s="7">
        <v>0.6</v>
      </c>
      <c r="H968" s="7">
        <v>0.6</v>
      </c>
      <c r="I968" s="7">
        <v>0.6</v>
      </c>
      <c r="J968" s="7">
        <v>0.6</v>
      </c>
      <c r="K968" s="7">
        <v>0.6</v>
      </c>
      <c r="L968" s="7">
        <v>0.6</v>
      </c>
      <c r="M968" s="7">
        <v>0.6</v>
      </c>
      <c r="N968" s="7">
        <v>0.6</v>
      </c>
      <c r="O968" s="7">
        <v>0.6</v>
      </c>
      <c r="P968" s="7">
        <v>0.6</v>
      </c>
      <c r="Q968" s="7">
        <v>0.6</v>
      </c>
    </row>
    <row r="969" spans="1:17">
      <c r="A969" s="2">
        <v>2917</v>
      </c>
      <c r="B969" s="7">
        <v>0.6</v>
      </c>
      <c r="C969" s="7">
        <v>0.6</v>
      </c>
      <c r="D969" s="7">
        <v>0.6</v>
      </c>
      <c r="E969" s="7">
        <v>0.6</v>
      </c>
      <c r="F969" s="7">
        <v>0.6</v>
      </c>
      <c r="G969" s="7">
        <v>0.6</v>
      </c>
      <c r="H969" s="7">
        <v>0.6</v>
      </c>
      <c r="I969" s="7">
        <v>0.6</v>
      </c>
      <c r="J969" s="7">
        <v>0.6</v>
      </c>
      <c r="K969" s="7">
        <v>0.6</v>
      </c>
      <c r="L969" s="7">
        <v>0.6</v>
      </c>
      <c r="M969" s="7">
        <v>0.6</v>
      </c>
      <c r="N969" s="7">
        <v>0.6</v>
      </c>
      <c r="O969" s="7">
        <v>0.6</v>
      </c>
      <c r="P969" s="7">
        <v>0.6</v>
      </c>
      <c r="Q969" s="7">
        <v>0.6</v>
      </c>
    </row>
    <row r="970" spans="1:17">
      <c r="A970" s="2">
        <v>2918</v>
      </c>
      <c r="B970" s="7">
        <v>0.6</v>
      </c>
      <c r="C970" s="7">
        <v>0.6</v>
      </c>
      <c r="D970" s="7">
        <v>0.6</v>
      </c>
      <c r="E970" s="7">
        <v>0.6</v>
      </c>
      <c r="F970" s="7">
        <v>0.6</v>
      </c>
      <c r="G970" s="7">
        <v>0.6</v>
      </c>
      <c r="H970" s="7">
        <v>0.6</v>
      </c>
      <c r="I970" s="7">
        <v>0.6</v>
      </c>
      <c r="J970" s="7">
        <v>0.6</v>
      </c>
      <c r="K970" s="7">
        <v>0.6</v>
      </c>
      <c r="L970" s="7">
        <v>0.6</v>
      </c>
      <c r="M970" s="7">
        <v>0.6</v>
      </c>
      <c r="N970" s="7">
        <v>0.6</v>
      </c>
      <c r="O970" s="7">
        <v>0.6</v>
      </c>
      <c r="P970" s="7">
        <v>0.6</v>
      </c>
      <c r="Q970" s="7">
        <v>0.6</v>
      </c>
    </row>
    <row r="971" spans="1:17">
      <c r="A971" s="2">
        <v>2919</v>
      </c>
      <c r="B971" s="7">
        <v>0.6</v>
      </c>
      <c r="C971" s="7">
        <v>0.6</v>
      </c>
      <c r="D971" s="7">
        <v>0.6</v>
      </c>
      <c r="E971" s="7">
        <v>0.6</v>
      </c>
      <c r="F971" s="7">
        <v>0.6</v>
      </c>
      <c r="G971" s="7">
        <v>0.6</v>
      </c>
      <c r="H971" s="7">
        <v>0.6</v>
      </c>
      <c r="I971" s="7">
        <v>0.6</v>
      </c>
      <c r="J971" s="7">
        <v>0.6</v>
      </c>
      <c r="K971" s="7">
        <v>0.6</v>
      </c>
      <c r="L971" s="7">
        <v>0.6</v>
      </c>
      <c r="M971" s="7">
        <v>0.6</v>
      </c>
      <c r="N971" s="7">
        <v>0.6</v>
      </c>
      <c r="O971" s="7">
        <v>0.6</v>
      </c>
      <c r="P971" s="7">
        <v>0.6</v>
      </c>
      <c r="Q971" s="7">
        <v>0.6</v>
      </c>
    </row>
    <row r="972" spans="1:17">
      <c r="A972" s="2">
        <v>2920</v>
      </c>
      <c r="B972" s="7">
        <v>0.6</v>
      </c>
      <c r="C972" s="7">
        <v>0.6</v>
      </c>
      <c r="D972" s="7">
        <v>0.6</v>
      </c>
      <c r="E972" s="7">
        <v>0.6</v>
      </c>
      <c r="F972" s="7">
        <v>0.6</v>
      </c>
      <c r="G972" s="7">
        <v>0.6</v>
      </c>
      <c r="H972" s="7">
        <v>0.6</v>
      </c>
      <c r="I972" s="7">
        <v>0.6</v>
      </c>
      <c r="J972" s="7">
        <v>0.6</v>
      </c>
      <c r="K972" s="7">
        <v>0.6</v>
      </c>
      <c r="L972" s="7">
        <v>0.6</v>
      </c>
      <c r="M972" s="7">
        <v>0.6</v>
      </c>
      <c r="N972" s="7">
        <v>0.6</v>
      </c>
      <c r="O972" s="7">
        <v>0.6</v>
      </c>
      <c r="P972" s="7">
        <v>0.6</v>
      </c>
      <c r="Q972" s="7">
        <v>0.6</v>
      </c>
    </row>
    <row r="973" spans="1:17">
      <c r="A973" s="2">
        <v>2921</v>
      </c>
      <c r="B973" s="7">
        <v>0.6</v>
      </c>
      <c r="C973" s="7">
        <v>0.6</v>
      </c>
      <c r="D973" s="7">
        <v>0.6</v>
      </c>
      <c r="E973" s="7">
        <v>0.6</v>
      </c>
      <c r="F973" s="7">
        <v>0.6</v>
      </c>
      <c r="G973" s="7">
        <v>0.6</v>
      </c>
      <c r="H973" s="7">
        <v>0.6</v>
      </c>
      <c r="I973" s="7">
        <v>0.6</v>
      </c>
      <c r="J973" s="7">
        <v>0.6</v>
      </c>
      <c r="K973" s="7">
        <v>0.6</v>
      </c>
      <c r="L973" s="7">
        <v>0.6</v>
      </c>
      <c r="M973" s="7">
        <v>0.6</v>
      </c>
      <c r="N973" s="7">
        <v>0.6</v>
      </c>
      <c r="O973" s="7">
        <v>0.6</v>
      </c>
      <c r="P973" s="7">
        <v>0.6</v>
      </c>
      <c r="Q973" s="7">
        <v>0.6</v>
      </c>
    </row>
    <row r="974" spans="1:17">
      <c r="A974" s="2">
        <v>2922</v>
      </c>
      <c r="B974" s="7">
        <v>0.6</v>
      </c>
      <c r="C974" s="7">
        <v>0.6</v>
      </c>
      <c r="D974" s="7">
        <v>0.6</v>
      </c>
      <c r="E974" s="7">
        <v>0.6</v>
      </c>
      <c r="F974" s="7">
        <v>0.6</v>
      </c>
      <c r="G974" s="7">
        <v>0.6</v>
      </c>
      <c r="H974" s="7">
        <v>0.6</v>
      </c>
      <c r="I974" s="7">
        <v>0.6</v>
      </c>
      <c r="J974" s="7">
        <v>0.6</v>
      </c>
      <c r="K974" s="7">
        <v>0.6</v>
      </c>
      <c r="L974" s="7">
        <v>0.6</v>
      </c>
      <c r="M974" s="7">
        <v>0.6</v>
      </c>
      <c r="N974" s="7">
        <v>0.6</v>
      </c>
      <c r="O974" s="7">
        <v>0.6</v>
      </c>
      <c r="P974" s="7">
        <v>0.6</v>
      </c>
      <c r="Q974" s="7">
        <v>0.6</v>
      </c>
    </row>
    <row r="975" spans="1:17">
      <c r="A975" s="2">
        <v>2923</v>
      </c>
      <c r="B975" s="7">
        <v>0.6</v>
      </c>
      <c r="C975" s="7">
        <v>0.6</v>
      </c>
      <c r="D975" s="7">
        <v>0.6</v>
      </c>
      <c r="E975" s="7">
        <v>0.6</v>
      </c>
      <c r="F975" s="7">
        <v>0.6</v>
      </c>
      <c r="G975" s="7">
        <v>0.6</v>
      </c>
      <c r="H975" s="7">
        <v>0.6</v>
      </c>
      <c r="I975" s="7">
        <v>0.6</v>
      </c>
      <c r="J975" s="7">
        <v>0.6</v>
      </c>
      <c r="K975" s="7">
        <v>0.6</v>
      </c>
      <c r="L975" s="7">
        <v>0.6</v>
      </c>
      <c r="M975" s="7">
        <v>0.6</v>
      </c>
      <c r="N975" s="7">
        <v>0.6</v>
      </c>
      <c r="O975" s="7">
        <v>0.6</v>
      </c>
      <c r="P975" s="7">
        <v>0.6</v>
      </c>
      <c r="Q975" s="7">
        <v>0.6</v>
      </c>
    </row>
    <row r="976" spans="1:17">
      <c r="A976" s="2">
        <v>2924</v>
      </c>
      <c r="B976" s="7">
        <v>0.6</v>
      </c>
      <c r="C976" s="7">
        <v>0.6</v>
      </c>
      <c r="D976" s="7">
        <v>0.6</v>
      </c>
      <c r="E976" s="7">
        <v>0.6</v>
      </c>
      <c r="F976" s="7">
        <v>0.6</v>
      </c>
      <c r="G976" s="7">
        <v>0.6</v>
      </c>
      <c r="H976" s="7">
        <v>0.6</v>
      </c>
      <c r="I976" s="7">
        <v>0.6</v>
      </c>
      <c r="J976" s="7">
        <v>0.6</v>
      </c>
      <c r="K976" s="7">
        <v>0.6</v>
      </c>
      <c r="L976" s="7">
        <v>0.6</v>
      </c>
      <c r="M976" s="7">
        <v>0.6</v>
      </c>
      <c r="N976" s="7">
        <v>0.6</v>
      </c>
      <c r="O976" s="7">
        <v>0.6</v>
      </c>
      <c r="P976" s="7">
        <v>0.6</v>
      </c>
      <c r="Q976" s="7">
        <v>0.6</v>
      </c>
    </row>
    <row r="977" spans="1:17">
      <c r="A977" s="2">
        <v>2925</v>
      </c>
      <c r="B977" s="7">
        <v>0.6</v>
      </c>
      <c r="C977" s="7">
        <v>0.6</v>
      </c>
      <c r="D977" s="7">
        <v>0.6</v>
      </c>
      <c r="E977" s="7">
        <v>0.6</v>
      </c>
      <c r="F977" s="7">
        <v>0.6</v>
      </c>
      <c r="G977" s="7">
        <v>0.6</v>
      </c>
      <c r="H977" s="7">
        <v>0.6</v>
      </c>
      <c r="I977" s="7">
        <v>0.6</v>
      </c>
      <c r="J977" s="7">
        <v>0.6</v>
      </c>
      <c r="K977" s="7">
        <v>0.6</v>
      </c>
      <c r="L977" s="7">
        <v>0.6</v>
      </c>
      <c r="M977" s="7">
        <v>0.6</v>
      </c>
      <c r="N977" s="7">
        <v>0.6</v>
      </c>
      <c r="O977" s="7">
        <v>0.6</v>
      </c>
      <c r="P977" s="7">
        <v>0.6</v>
      </c>
      <c r="Q977" s="7">
        <v>0.6</v>
      </c>
    </row>
    <row r="978" spans="1:17">
      <c r="A978" s="2">
        <v>2926</v>
      </c>
      <c r="B978" s="7">
        <v>0.6</v>
      </c>
      <c r="C978" s="7">
        <v>0.6</v>
      </c>
      <c r="D978" s="7">
        <v>0.6</v>
      </c>
      <c r="E978" s="7">
        <v>0.6</v>
      </c>
      <c r="F978" s="7">
        <v>0.6</v>
      </c>
      <c r="G978" s="7">
        <v>0.6</v>
      </c>
      <c r="H978" s="7">
        <v>0.6</v>
      </c>
      <c r="I978" s="7">
        <v>0.6</v>
      </c>
      <c r="J978" s="7">
        <v>0.6</v>
      </c>
      <c r="K978" s="7">
        <v>0.6</v>
      </c>
      <c r="L978" s="7">
        <v>0.6</v>
      </c>
      <c r="M978" s="7">
        <v>0.6</v>
      </c>
      <c r="N978" s="7">
        <v>0.6</v>
      </c>
      <c r="O978" s="7">
        <v>0.6</v>
      </c>
      <c r="P978" s="7">
        <v>0.6</v>
      </c>
      <c r="Q978" s="7">
        <v>0.6</v>
      </c>
    </row>
    <row r="979" spans="1:17">
      <c r="A979" s="2">
        <v>2927</v>
      </c>
      <c r="B979" s="7">
        <v>0.6</v>
      </c>
      <c r="C979" s="7">
        <v>0.6</v>
      </c>
      <c r="D979" s="7">
        <v>0.6</v>
      </c>
      <c r="E979" s="7">
        <v>0.6</v>
      </c>
      <c r="F979" s="7">
        <v>0.6</v>
      </c>
      <c r="G979" s="7">
        <v>0.6</v>
      </c>
      <c r="H979" s="7">
        <v>0.6</v>
      </c>
      <c r="I979" s="7">
        <v>0.6</v>
      </c>
      <c r="J979" s="7">
        <v>0.6</v>
      </c>
      <c r="K979" s="7">
        <v>0.6</v>
      </c>
      <c r="L979" s="7">
        <v>0.6</v>
      </c>
      <c r="M979" s="7">
        <v>0.6</v>
      </c>
      <c r="N979" s="7">
        <v>0.6</v>
      </c>
      <c r="O979" s="7">
        <v>0.6</v>
      </c>
      <c r="P979" s="7">
        <v>0.6</v>
      </c>
      <c r="Q979" s="7">
        <v>0.6</v>
      </c>
    </row>
    <row r="980" spans="1:17">
      <c r="A980" s="2">
        <v>2928</v>
      </c>
      <c r="B980" s="7">
        <v>0.6</v>
      </c>
      <c r="C980" s="7">
        <v>0.6</v>
      </c>
      <c r="D980" s="7">
        <v>0.6</v>
      </c>
      <c r="E980" s="7">
        <v>0.6</v>
      </c>
      <c r="F980" s="7">
        <v>0.6</v>
      </c>
      <c r="G980" s="7">
        <v>0.6</v>
      </c>
      <c r="H980" s="7">
        <v>0.6</v>
      </c>
      <c r="I980" s="7">
        <v>0.6</v>
      </c>
      <c r="J980" s="7">
        <v>0.6</v>
      </c>
      <c r="K980" s="7">
        <v>0.6</v>
      </c>
      <c r="L980" s="7">
        <v>0.6</v>
      </c>
      <c r="M980" s="7">
        <v>0.6</v>
      </c>
      <c r="N980" s="7">
        <v>0.6</v>
      </c>
      <c r="O980" s="7">
        <v>0.6</v>
      </c>
      <c r="P980" s="7">
        <v>0.6</v>
      </c>
      <c r="Q980" s="7">
        <v>0.6</v>
      </c>
    </row>
    <row r="981" spans="1:17">
      <c r="A981" s="2">
        <v>2929</v>
      </c>
      <c r="B981" s="7">
        <v>0.6</v>
      </c>
      <c r="C981" s="7">
        <v>0.6</v>
      </c>
      <c r="D981" s="7">
        <v>0.6</v>
      </c>
      <c r="E981" s="7">
        <v>0.6</v>
      </c>
      <c r="F981" s="7">
        <v>0.6</v>
      </c>
      <c r="G981" s="7">
        <v>0.6</v>
      </c>
      <c r="H981" s="7">
        <v>0.6</v>
      </c>
      <c r="I981" s="7">
        <v>0.6</v>
      </c>
      <c r="J981" s="7">
        <v>0.6</v>
      </c>
      <c r="K981" s="7">
        <v>0.6</v>
      </c>
      <c r="L981" s="7">
        <v>0.6</v>
      </c>
      <c r="M981" s="7">
        <v>0.6</v>
      </c>
      <c r="N981" s="7">
        <v>0.6</v>
      </c>
      <c r="O981" s="7">
        <v>0.6</v>
      </c>
      <c r="P981" s="7">
        <v>0.6</v>
      </c>
      <c r="Q981" s="7">
        <v>0.6</v>
      </c>
    </row>
    <row r="982" spans="1:17">
      <c r="A982" s="2">
        <v>2930</v>
      </c>
      <c r="B982" s="7">
        <v>0.6</v>
      </c>
      <c r="C982" s="7">
        <v>0.6</v>
      </c>
      <c r="D982" s="7">
        <v>0.6</v>
      </c>
      <c r="E982" s="7">
        <v>0.6</v>
      </c>
      <c r="F982" s="7">
        <v>0.6</v>
      </c>
      <c r="G982" s="7">
        <v>0.6</v>
      </c>
      <c r="H982" s="7">
        <v>0.6</v>
      </c>
      <c r="I982" s="7">
        <v>0.6</v>
      </c>
      <c r="J982" s="7">
        <v>0.6</v>
      </c>
      <c r="K982" s="7">
        <v>0.6</v>
      </c>
      <c r="L982" s="7">
        <v>0.6</v>
      </c>
      <c r="M982" s="7">
        <v>0.6</v>
      </c>
      <c r="N982" s="7">
        <v>0.6</v>
      </c>
      <c r="O982" s="7">
        <v>0.6</v>
      </c>
      <c r="P982" s="7">
        <v>0.6</v>
      </c>
      <c r="Q982" s="7">
        <v>0.6</v>
      </c>
    </row>
    <row r="983" spans="1:17">
      <c r="A983" s="2">
        <v>2931</v>
      </c>
      <c r="B983" s="7">
        <v>0.6</v>
      </c>
      <c r="C983" s="7">
        <v>0.6</v>
      </c>
      <c r="D983" s="7">
        <v>0.6</v>
      </c>
      <c r="E983" s="7">
        <v>0.6</v>
      </c>
      <c r="F983" s="7">
        <v>0.6</v>
      </c>
      <c r="G983" s="7">
        <v>0.6</v>
      </c>
      <c r="H983" s="7">
        <v>0.6</v>
      </c>
      <c r="I983" s="7">
        <v>0.6</v>
      </c>
      <c r="J983" s="7">
        <v>0.6</v>
      </c>
      <c r="K983" s="7">
        <v>0.6</v>
      </c>
      <c r="L983" s="7">
        <v>0.6</v>
      </c>
      <c r="M983" s="7">
        <v>0.6</v>
      </c>
      <c r="N983" s="7">
        <v>0.6</v>
      </c>
      <c r="O983" s="7">
        <v>0.6</v>
      </c>
      <c r="P983" s="7">
        <v>0.6</v>
      </c>
      <c r="Q983" s="7">
        <v>0.6</v>
      </c>
    </row>
    <row r="984" spans="1:17">
      <c r="A984" s="2">
        <v>2932</v>
      </c>
      <c r="B984" s="7">
        <v>0.6</v>
      </c>
      <c r="C984" s="7">
        <v>0.6</v>
      </c>
      <c r="D984" s="7">
        <v>0.6</v>
      </c>
      <c r="E984" s="7">
        <v>0.6</v>
      </c>
      <c r="F984" s="7">
        <v>0.6</v>
      </c>
      <c r="G984" s="7">
        <v>0.6</v>
      </c>
      <c r="H984" s="7">
        <v>0.6</v>
      </c>
      <c r="I984" s="7">
        <v>0.6</v>
      </c>
      <c r="J984" s="7">
        <v>0.6</v>
      </c>
      <c r="K984" s="7">
        <v>0.6</v>
      </c>
      <c r="L984" s="7">
        <v>0.6</v>
      </c>
      <c r="M984" s="7">
        <v>0.6</v>
      </c>
      <c r="N984" s="7">
        <v>0.6</v>
      </c>
      <c r="O984" s="7">
        <v>0.6</v>
      </c>
      <c r="P984" s="7">
        <v>0.6</v>
      </c>
      <c r="Q984" s="7">
        <v>0.6</v>
      </c>
    </row>
    <row r="985" spans="1:17">
      <c r="A985" s="2">
        <v>2933</v>
      </c>
      <c r="B985" s="7">
        <v>0.6</v>
      </c>
      <c r="C985" s="7">
        <v>0.6</v>
      </c>
      <c r="D985" s="7">
        <v>0.6</v>
      </c>
      <c r="E985" s="7">
        <v>0.6</v>
      </c>
      <c r="F985" s="7">
        <v>0.6</v>
      </c>
      <c r="G985" s="7">
        <v>0.6</v>
      </c>
      <c r="H985" s="7">
        <v>0.6</v>
      </c>
      <c r="I985" s="7">
        <v>0.6</v>
      </c>
      <c r="J985" s="7">
        <v>0.6</v>
      </c>
      <c r="K985" s="7">
        <v>0.6</v>
      </c>
      <c r="L985" s="7">
        <v>0.6</v>
      </c>
      <c r="M985" s="7">
        <v>0.6</v>
      </c>
      <c r="N985" s="7">
        <v>0.6</v>
      </c>
      <c r="O985" s="7">
        <v>0.6</v>
      </c>
      <c r="P985" s="7">
        <v>0.6</v>
      </c>
      <c r="Q985" s="7">
        <v>0.6</v>
      </c>
    </row>
    <row r="986" spans="1:17">
      <c r="A986" s="2">
        <v>2934</v>
      </c>
      <c r="B986" s="7">
        <v>0.6</v>
      </c>
      <c r="C986" s="7">
        <v>0.6</v>
      </c>
      <c r="D986" s="7">
        <v>0.6</v>
      </c>
      <c r="E986" s="7">
        <v>0.6</v>
      </c>
      <c r="F986" s="7">
        <v>0.6</v>
      </c>
      <c r="G986" s="7">
        <v>0.6</v>
      </c>
      <c r="H986" s="7">
        <v>0.6</v>
      </c>
      <c r="I986" s="7">
        <v>0.6</v>
      </c>
      <c r="J986" s="7">
        <v>0.6</v>
      </c>
      <c r="K986" s="7">
        <v>0.6</v>
      </c>
      <c r="L986" s="7">
        <v>0.6</v>
      </c>
      <c r="M986" s="7">
        <v>0.6</v>
      </c>
      <c r="N986" s="7">
        <v>0.6</v>
      </c>
      <c r="O986" s="7">
        <v>0.6</v>
      </c>
      <c r="P986" s="7">
        <v>0.6</v>
      </c>
      <c r="Q986" s="7">
        <v>0.6</v>
      </c>
    </row>
    <row r="987" spans="1:17">
      <c r="A987" s="2">
        <v>2935</v>
      </c>
      <c r="B987" s="7">
        <v>0.6</v>
      </c>
      <c r="C987" s="7">
        <v>0.6</v>
      </c>
      <c r="D987" s="7">
        <v>0.6</v>
      </c>
      <c r="E987" s="7">
        <v>0.6</v>
      </c>
      <c r="F987" s="7">
        <v>0.6</v>
      </c>
      <c r="G987" s="7">
        <v>0.6</v>
      </c>
      <c r="H987" s="7">
        <v>0.6</v>
      </c>
      <c r="I987" s="7">
        <v>0.6</v>
      </c>
      <c r="J987" s="7">
        <v>0.6</v>
      </c>
      <c r="K987" s="7">
        <v>0.6</v>
      </c>
      <c r="L987" s="7">
        <v>0.6</v>
      </c>
      <c r="M987" s="7">
        <v>0.6</v>
      </c>
      <c r="N987" s="7">
        <v>0.6</v>
      </c>
      <c r="O987" s="7">
        <v>0.6</v>
      </c>
      <c r="P987" s="7">
        <v>0.6</v>
      </c>
      <c r="Q987" s="7">
        <v>0.6</v>
      </c>
    </row>
    <row r="988" spans="1:17">
      <c r="A988" s="2">
        <v>2936</v>
      </c>
      <c r="B988" s="7">
        <v>0.6</v>
      </c>
      <c r="C988" s="7">
        <v>0.6</v>
      </c>
      <c r="D988" s="7">
        <v>0.6</v>
      </c>
      <c r="E988" s="7">
        <v>0.6</v>
      </c>
      <c r="F988" s="7">
        <v>0.6</v>
      </c>
      <c r="G988" s="7">
        <v>0.6</v>
      </c>
      <c r="H988" s="7">
        <v>0.6</v>
      </c>
      <c r="I988" s="7">
        <v>0.6</v>
      </c>
      <c r="J988" s="7">
        <v>0.6</v>
      </c>
      <c r="K988" s="7">
        <v>0.6</v>
      </c>
      <c r="L988" s="7">
        <v>0.6</v>
      </c>
      <c r="M988" s="7">
        <v>0.6</v>
      </c>
      <c r="N988" s="7">
        <v>0.6</v>
      </c>
      <c r="O988" s="7">
        <v>0.6</v>
      </c>
      <c r="P988" s="7">
        <v>0.6</v>
      </c>
      <c r="Q988" s="7">
        <v>0.6</v>
      </c>
    </row>
    <row r="989" spans="1:17">
      <c r="A989" s="2">
        <v>2937</v>
      </c>
      <c r="B989" s="7">
        <v>0.6</v>
      </c>
      <c r="C989" s="7">
        <v>0.6</v>
      </c>
      <c r="D989" s="7">
        <v>0.6</v>
      </c>
      <c r="E989" s="7">
        <v>0.6</v>
      </c>
      <c r="F989" s="7">
        <v>0.6</v>
      </c>
      <c r="G989" s="7">
        <v>0.6</v>
      </c>
      <c r="H989" s="7">
        <v>0.6</v>
      </c>
      <c r="I989" s="7">
        <v>0.6</v>
      </c>
      <c r="J989" s="7">
        <v>0.6</v>
      </c>
      <c r="K989" s="7">
        <v>0.6</v>
      </c>
      <c r="L989" s="7">
        <v>0.6</v>
      </c>
      <c r="M989" s="7">
        <v>0.6</v>
      </c>
      <c r="N989" s="7">
        <v>0.6</v>
      </c>
      <c r="O989" s="7">
        <v>0.6</v>
      </c>
      <c r="P989" s="7">
        <v>0.6</v>
      </c>
      <c r="Q989" s="7">
        <v>0.6</v>
      </c>
    </row>
    <row r="990" spans="1:17">
      <c r="A990" s="2">
        <v>2938</v>
      </c>
      <c r="B990" s="7">
        <v>0.6</v>
      </c>
      <c r="C990" s="7">
        <v>0.6</v>
      </c>
      <c r="D990" s="7">
        <v>0.6</v>
      </c>
      <c r="E990" s="7">
        <v>0.6</v>
      </c>
      <c r="F990" s="7">
        <v>0.6</v>
      </c>
      <c r="G990" s="7">
        <v>0.6</v>
      </c>
      <c r="H990" s="7">
        <v>0.6</v>
      </c>
      <c r="I990" s="7">
        <v>0.6</v>
      </c>
      <c r="J990" s="7">
        <v>0.6</v>
      </c>
      <c r="K990" s="7">
        <v>0.6</v>
      </c>
      <c r="L990" s="7">
        <v>0.6</v>
      </c>
      <c r="M990" s="7">
        <v>0.6</v>
      </c>
      <c r="N990" s="7">
        <v>0.6</v>
      </c>
      <c r="O990" s="7">
        <v>0.6</v>
      </c>
      <c r="P990" s="7">
        <v>0.6</v>
      </c>
      <c r="Q990" s="7">
        <v>0.6</v>
      </c>
    </row>
    <row r="991" spans="1:17">
      <c r="A991" s="2">
        <v>2939</v>
      </c>
      <c r="B991" s="7">
        <v>0.6</v>
      </c>
      <c r="C991" s="7">
        <v>0.6</v>
      </c>
      <c r="D991" s="7">
        <v>0.6</v>
      </c>
      <c r="E991" s="7">
        <v>0.6</v>
      </c>
      <c r="F991" s="7">
        <v>0.6</v>
      </c>
      <c r="G991" s="7">
        <v>0.6</v>
      </c>
      <c r="H991" s="7">
        <v>0.6</v>
      </c>
      <c r="I991" s="7">
        <v>0.6</v>
      </c>
      <c r="J991" s="7">
        <v>0.6</v>
      </c>
      <c r="K991" s="7">
        <v>0.6</v>
      </c>
      <c r="L991" s="7">
        <v>0.6</v>
      </c>
      <c r="M991" s="7">
        <v>0.6</v>
      </c>
      <c r="N991" s="7">
        <v>0.6</v>
      </c>
      <c r="O991" s="7">
        <v>0.6</v>
      </c>
      <c r="P991" s="7">
        <v>0.6</v>
      </c>
      <c r="Q991" s="7">
        <v>0.6</v>
      </c>
    </row>
    <row r="992" spans="1:17">
      <c r="A992" s="2">
        <v>2940</v>
      </c>
      <c r="B992" s="7">
        <v>0.6</v>
      </c>
      <c r="C992" s="7">
        <v>0.6</v>
      </c>
      <c r="D992" s="7">
        <v>0.6</v>
      </c>
      <c r="E992" s="7">
        <v>0.6</v>
      </c>
      <c r="F992" s="7">
        <v>0.6</v>
      </c>
      <c r="G992" s="7">
        <v>0.6</v>
      </c>
      <c r="H992" s="7">
        <v>0.6</v>
      </c>
      <c r="I992" s="7">
        <v>0.6</v>
      </c>
      <c r="J992" s="7">
        <v>0.6</v>
      </c>
      <c r="K992" s="7">
        <v>0.6</v>
      </c>
      <c r="L992" s="7">
        <v>0.6</v>
      </c>
      <c r="M992" s="7">
        <v>0.6</v>
      </c>
      <c r="N992" s="7">
        <v>0.6</v>
      </c>
      <c r="O992" s="7">
        <v>0.6</v>
      </c>
      <c r="P992" s="7">
        <v>0.6</v>
      </c>
      <c r="Q992" s="7">
        <v>0.6</v>
      </c>
    </row>
    <row r="993" spans="1:17">
      <c r="A993" s="2">
        <v>2941</v>
      </c>
      <c r="B993" s="7">
        <v>0.6</v>
      </c>
      <c r="C993" s="7">
        <v>0.6</v>
      </c>
      <c r="D993" s="7">
        <v>0.6</v>
      </c>
      <c r="E993" s="7">
        <v>0.6</v>
      </c>
      <c r="F993" s="7">
        <v>0.6</v>
      </c>
      <c r="G993" s="7">
        <v>0.6</v>
      </c>
      <c r="H993" s="7">
        <v>0.6</v>
      </c>
      <c r="I993" s="7">
        <v>0.6</v>
      </c>
      <c r="J993" s="7">
        <v>0.6</v>
      </c>
      <c r="K993" s="7">
        <v>0.6</v>
      </c>
      <c r="L993" s="7">
        <v>0.6</v>
      </c>
      <c r="M993" s="7">
        <v>0.6</v>
      </c>
      <c r="N993" s="7">
        <v>0.6</v>
      </c>
      <c r="O993" s="7">
        <v>0.6</v>
      </c>
      <c r="P993" s="7">
        <v>0.6</v>
      </c>
      <c r="Q993" s="7">
        <v>0.6</v>
      </c>
    </row>
    <row r="994" spans="1:17">
      <c r="A994" s="2">
        <v>2942</v>
      </c>
      <c r="B994" s="7">
        <v>0.6</v>
      </c>
      <c r="C994" s="7">
        <v>0.6</v>
      </c>
      <c r="D994" s="7">
        <v>0.6</v>
      </c>
      <c r="E994" s="7">
        <v>0.6</v>
      </c>
      <c r="F994" s="7">
        <v>0.6</v>
      </c>
      <c r="G994" s="7">
        <v>0.6</v>
      </c>
      <c r="H994" s="7">
        <v>0.6</v>
      </c>
      <c r="I994" s="7">
        <v>0.6</v>
      </c>
      <c r="J994" s="7">
        <v>0.6</v>
      </c>
      <c r="K994" s="7">
        <v>0.6</v>
      </c>
      <c r="L994" s="7">
        <v>0.6</v>
      </c>
      <c r="M994" s="7">
        <v>0.6</v>
      </c>
      <c r="N994" s="7">
        <v>0.6</v>
      </c>
      <c r="O994" s="7">
        <v>0.6</v>
      </c>
      <c r="P994" s="7">
        <v>0.6</v>
      </c>
      <c r="Q994" s="7">
        <v>0.6</v>
      </c>
    </row>
    <row r="995" spans="1:17">
      <c r="A995" s="2">
        <v>2943</v>
      </c>
      <c r="B995" s="7">
        <v>0.6</v>
      </c>
      <c r="C995" s="7">
        <v>0.6</v>
      </c>
      <c r="D995" s="7">
        <v>0.6</v>
      </c>
      <c r="E995" s="7">
        <v>0.6</v>
      </c>
      <c r="F995" s="7">
        <v>0.6</v>
      </c>
      <c r="G995" s="7">
        <v>0.6</v>
      </c>
      <c r="H995" s="7">
        <v>0.6</v>
      </c>
      <c r="I995" s="7">
        <v>0.6</v>
      </c>
      <c r="J995" s="7">
        <v>0.6</v>
      </c>
      <c r="K995" s="7">
        <v>0.6</v>
      </c>
      <c r="L995" s="7">
        <v>0.6</v>
      </c>
      <c r="M995" s="7">
        <v>0.6</v>
      </c>
      <c r="N995" s="7">
        <v>0.6</v>
      </c>
      <c r="O995" s="7">
        <v>0.6</v>
      </c>
      <c r="P995" s="7">
        <v>0.6</v>
      </c>
      <c r="Q995" s="7">
        <v>0.6</v>
      </c>
    </row>
    <row r="996" spans="1:17">
      <c r="A996" s="2">
        <v>2944</v>
      </c>
      <c r="B996" s="7">
        <v>0.6</v>
      </c>
      <c r="C996" s="7">
        <v>0.6</v>
      </c>
      <c r="D996" s="7">
        <v>0.6</v>
      </c>
      <c r="E996" s="7">
        <v>0.6</v>
      </c>
      <c r="F996" s="7">
        <v>0.6</v>
      </c>
      <c r="G996" s="7">
        <v>0.6</v>
      </c>
      <c r="H996" s="7">
        <v>0.6</v>
      </c>
      <c r="I996" s="7">
        <v>0.6</v>
      </c>
      <c r="J996" s="7">
        <v>0.6</v>
      </c>
      <c r="K996" s="7">
        <v>0.6</v>
      </c>
      <c r="L996" s="7">
        <v>0.6</v>
      </c>
      <c r="M996" s="7">
        <v>0.6</v>
      </c>
      <c r="N996" s="7">
        <v>0.6</v>
      </c>
      <c r="O996" s="7">
        <v>0.6</v>
      </c>
      <c r="P996" s="7">
        <v>0.6</v>
      </c>
      <c r="Q996" s="7">
        <v>0.6</v>
      </c>
    </row>
    <row r="997" spans="1:17">
      <c r="A997" s="2">
        <v>2945</v>
      </c>
      <c r="B997" s="7">
        <v>0.6</v>
      </c>
      <c r="C997" s="7">
        <v>0.6</v>
      </c>
      <c r="D997" s="7">
        <v>0.6</v>
      </c>
      <c r="E997" s="7">
        <v>0.6</v>
      </c>
      <c r="F997" s="7">
        <v>0.6</v>
      </c>
      <c r="G997" s="7">
        <v>0.6</v>
      </c>
      <c r="H997" s="7">
        <v>0.6</v>
      </c>
      <c r="I997" s="7">
        <v>0.6</v>
      </c>
      <c r="J997" s="7">
        <v>0.6</v>
      </c>
      <c r="K997" s="7">
        <v>0.6</v>
      </c>
      <c r="L997" s="7">
        <v>0.6</v>
      </c>
      <c r="M997" s="7">
        <v>0.6</v>
      </c>
      <c r="N997" s="7">
        <v>0.6</v>
      </c>
      <c r="O997" s="7">
        <v>0.6</v>
      </c>
      <c r="P997" s="7">
        <v>0.6</v>
      </c>
      <c r="Q997" s="7">
        <v>0.6</v>
      </c>
    </row>
    <row r="998" spans="1:17">
      <c r="A998" s="2">
        <v>2946</v>
      </c>
      <c r="B998" s="7">
        <v>0.6</v>
      </c>
      <c r="C998" s="7">
        <v>0.6</v>
      </c>
      <c r="D998" s="7">
        <v>0.6</v>
      </c>
      <c r="E998" s="7">
        <v>0.6</v>
      </c>
      <c r="F998" s="7">
        <v>0.6</v>
      </c>
      <c r="G998" s="7">
        <v>0.6</v>
      </c>
      <c r="H998" s="7">
        <v>0.6</v>
      </c>
      <c r="I998" s="7">
        <v>0.6</v>
      </c>
      <c r="J998" s="7">
        <v>0.6</v>
      </c>
      <c r="K998" s="7">
        <v>0.6</v>
      </c>
      <c r="L998" s="7">
        <v>0.6</v>
      </c>
      <c r="M998" s="7">
        <v>0.6</v>
      </c>
      <c r="N998" s="7">
        <v>0.6</v>
      </c>
      <c r="O998" s="7">
        <v>0.6</v>
      </c>
      <c r="P998" s="7">
        <v>0.6</v>
      </c>
      <c r="Q998" s="7">
        <v>0.6</v>
      </c>
    </row>
    <row r="999" spans="1:17">
      <c r="A999" s="2">
        <v>2947</v>
      </c>
      <c r="B999" s="7">
        <v>0.6</v>
      </c>
      <c r="C999" s="7">
        <v>0.6</v>
      </c>
      <c r="D999" s="7">
        <v>0.6</v>
      </c>
      <c r="E999" s="7">
        <v>0.6</v>
      </c>
      <c r="F999" s="7">
        <v>0.6</v>
      </c>
      <c r="G999" s="7">
        <v>0.6</v>
      </c>
      <c r="H999" s="7">
        <v>0.6</v>
      </c>
      <c r="I999" s="7">
        <v>0.6</v>
      </c>
      <c r="J999" s="7">
        <v>0.6</v>
      </c>
      <c r="K999" s="7">
        <v>0.6</v>
      </c>
      <c r="L999" s="7">
        <v>0.6</v>
      </c>
      <c r="M999" s="7">
        <v>0.6</v>
      </c>
      <c r="N999" s="7">
        <v>0.6</v>
      </c>
      <c r="O999" s="7">
        <v>0.6</v>
      </c>
      <c r="P999" s="7">
        <v>0.6</v>
      </c>
      <c r="Q999" s="7">
        <v>0.6</v>
      </c>
    </row>
    <row r="1000" spans="1:17">
      <c r="A1000" s="2">
        <v>2948</v>
      </c>
      <c r="B1000" s="7">
        <v>0.6</v>
      </c>
      <c r="C1000" s="7">
        <v>0.6</v>
      </c>
      <c r="D1000" s="7">
        <v>0.6</v>
      </c>
      <c r="E1000" s="7">
        <v>0.6</v>
      </c>
      <c r="F1000" s="7">
        <v>0.6</v>
      </c>
      <c r="G1000" s="7">
        <v>0.6</v>
      </c>
      <c r="H1000" s="7">
        <v>0.6</v>
      </c>
      <c r="I1000" s="7">
        <v>0.6</v>
      </c>
      <c r="J1000" s="7">
        <v>0.6</v>
      </c>
      <c r="K1000" s="7">
        <v>0.6</v>
      </c>
      <c r="L1000" s="7">
        <v>0.6</v>
      </c>
      <c r="M1000" s="7">
        <v>0.6</v>
      </c>
      <c r="N1000" s="7">
        <v>0.6</v>
      </c>
      <c r="O1000" s="7">
        <v>0.6</v>
      </c>
      <c r="P1000" s="7">
        <v>0.6</v>
      </c>
      <c r="Q1000" s="7">
        <v>0.6</v>
      </c>
    </row>
    <row r="1001" spans="1:17">
      <c r="A1001" s="2">
        <v>2949</v>
      </c>
      <c r="B1001" s="7">
        <v>0.6</v>
      </c>
      <c r="C1001" s="7">
        <v>0.6</v>
      </c>
      <c r="D1001" s="7">
        <v>0.6</v>
      </c>
      <c r="E1001" s="7">
        <v>0.6</v>
      </c>
      <c r="F1001" s="7">
        <v>0.6</v>
      </c>
      <c r="G1001" s="7">
        <v>0.6</v>
      </c>
      <c r="H1001" s="7">
        <v>0.6</v>
      </c>
      <c r="I1001" s="7">
        <v>0.6</v>
      </c>
      <c r="J1001" s="7">
        <v>0.6</v>
      </c>
      <c r="K1001" s="7">
        <v>0.6</v>
      </c>
      <c r="L1001" s="7">
        <v>0.6</v>
      </c>
      <c r="M1001" s="7">
        <v>0.6</v>
      </c>
      <c r="N1001" s="7">
        <v>0.6</v>
      </c>
      <c r="O1001" s="7">
        <v>0.6</v>
      </c>
      <c r="P1001" s="7">
        <v>0.6</v>
      </c>
      <c r="Q1001" s="7">
        <v>0.6</v>
      </c>
    </row>
    <row r="1002" spans="1:17">
      <c r="A1002" s="2">
        <v>2950</v>
      </c>
      <c r="B1002" s="7">
        <v>0.6</v>
      </c>
      <c r="C1002" s="7">
        <v>0.6</v>
      </c>
      <c r="D1002" s="7">
        <v>0.6</v>
      </c>
      <c r="E1002" s="7">
        <v>0.6</v>
      </c>
      <c r="F1002" s="7">
        <v>0.6</v>
      </c>
      <c r="G1002" s="7">
        <v>0.6</v>
      </c>
      <c r="H1002" s="7">
        <v>0.6</v>
      </c>
      <c r="I1002" s="7">
        <v>0.6</v>
      </c>
      <c r="J1002" s="7">
        <v>0.6</v>
      </c>
      <c r="K1002" s="7">
        <v>0.6</v>
      </c>
      <c r="L1002" s="7">
        <v>0.6</v>
      </c>
      <c r="M1002" s="7">
        <v>0.6</v>
      </c>
      <c r="N1002" s="7">
        <v>0.6</v>
      </c>
      <c r="O1002" s="7">
        <v>0.6</v>
      </c>
      <c r="P1002" s="7">
        <v>0.6</v>
      </c>
      <c r="Q1002" s="7">
        <v>0.6</v>
      </c>
    </row>
    <row r="1003" spans="1:17">
      <c r="A1003" s="2">
        <v>2951</v>
      </c>
      <c r="B1003" s="7">
        <v>0.6</v>
      </c>
      <c r="C1003" s="7">
        <v>0.6</v>
      </c>
      <c r="D1003" s="7">
        <v>0.6</v>
      </c>
      <c r="E1003" s="7">
        <v>0.6</v>
      </c>
      <c r="F1003" s="7">
        <v>0.6</v>
      </c>
      <c r="G1003" s="7">
        <v>0.6</v>
      </c>
      <c r="H1003" s="7">
        <v>0.6</v>
      </c>
      <c r="I1003" s="7">
        <v>0.6</v>
      </c>
      <c r="J1003" s="7">
        <v>0.6</v>
      </c>
      <c r="K1003" s="7">
        <v>0.6</v>
      </c>
      <c r="L1003" s="7">
        <v>0.6</v>
      </c>
      <c r="M1003" s="7">
        <v>0.6</v>
      </c>
      <c r="N1003" s="7">
        <v>0.6</v>
      </c>
      <c r="O1003" s="7">
        <v>0.6</v>
      </c>
      <c r="P1003" s="7">
        <v>0.6</v>
      </c>
      <c r="Q1003" s="7">
        <v>0.6</v>
      </c>
    </row>
    <row r="1004" spans="1:17">
      <c r="A1004" s="2">
        <v>2952</v>
      </c>
      <c r="B1004" s="7">
        <v>0.6</v>
      </c>
      <c r="C1004" s="7">
        <v>0.6</v>
      </c>
      <c r="D1004" s="7">
        <v>0.6</v>
      </c>
      <c r="E1004" s="7">
        <v>0.6</v>
      </c>
      <c r="F1004" s="7">
        <v>0.6</v>
      </c>
      <c r="G1004" s="7">
        <v>0.6</v>
      </c>
      <c r="H1004" s="7">
        <v>0.6</v>
      </c>
      <c r="I1004" s="7">
        <v>0.6</v>
      </c>
      <c r="J1004" s="7">
        <v>0.6</v>
      </c>
      <c r="K1004" s="7">
        <v>0.6</v>
      </c>
      <c r="L1004" s="7">
        <v>0.6</v>
      </c>
      <c r="M1004" s="7">
        <v>0.6</v>
      </c>
      <c r="N1004" s="7">
        <v>0.6</v>
      </c>
      <c r="O1004" s="7">
        <v>0.6</v>
      </c>
      <c r="P1004" s="7">
        <v>0.6</v>
      </c>
      <c r="Q1004" s="7">
        <v>0.6</v>
      </c>
    </row>
    <row r="1005" spans="1:17">
      <c r="A1005" s="2">
        <v>2953</v>
      </c>
      <c r="B1005" s="7">
        <v>0.6</v>
      </c>
      <c r="C1005" s="7">
        <v>0.6</v>
      </c>
      <c r="D1005" s="7">
        <v>0.6</v>
      </c>
      <c r="E1005" s="7">
        <v>0.6</v>
      </c>
      <c r="F1005" s="7">
        <v>0.6</v>
      </c>
      <c r="G1005" s="7">
        <v>0.6</v>
      </c>
      <c r="H1005" s="7">
        <v>0.6</v>
      </c>
      <c r="I1005" s="7">
        <v>0.6</v>
      </c>
      <c r="J1005" s="7">
        <v>0.6</v>
      </c>
      <c r="K1005" s="7">
        <v>0.6</v>
      </c>
      <c r="L1005" s="7">
        <v>0.6</v>
      </c>
      <c r="M1005" s="7">
        <v>0.6</v>
      </c>
      <c r="N1005" s="7">
        <v>0.6</v>
      </c>
      <c r="O1005" s="7">
        <v>0.6</v>
      </c>
      <c r="P1005" s="7">
        <v>0.6</v>
      </c>
      <c r="Q1005" s="7">
        <v>0.6</v>
      </c>
    </row>
    <row r="1006" spans="1:17">
      <c r="A1006" s="2">
        <v>2954</v>
      </c>
      <c r="B1006" s="7">
        <v>0.6</v>
      </c>
      <c r="C1006" s="7">
        <v>0.6</v>
      </c>
      <c r="D1006" s="7">
        <v>0.6</v>
      </c>
      <c r="E1006" s="7">
        <v>0.6</v>
      </c>
      <c r="F1006" s="7">
        <v>0.6</v>
      </c>
      <c r="G1006" s="7">
        <v>0.6</v>
      </c>
      <c r="H1006" s="7">
        <v>0.6</v>
      </c>
      <c r="I1006" s="7">
        <v>0.6</v>
      </c>
      <c r="J1006" s="7">
        <v>0.6</v>
      </c>
      <c r="K1006" s="7">
        <v>0.6</v>
      </c>
      <c r="L1006" s="7">
        <v>0.6</v>
      </c>
      <c r="M1006" s="7">
        <v>0.6</v>
      </c>
      <c r="N1006" s="7">
        <v>0.6</v>
      </c>
      <c r="O1006" s="7">
        <v>0.6</v>
      </c>
      <c r="P1006" s="7">
        <v>0.6</v>
      </c>
      <c r="Q1006" s="7">
        <v>0.6</v>
      </c>
    </row>
    <row r="1007" spans="1:17">
      <c r="A1007" s="2">
        <v>2955</v>
      </c>
      <c r="B1007" s="7">
        <v>0.6</v>
      </c>
      <c r="C1007" s="7">
        <v>0.6</v>
      </c>
      <c r="D1007" s="7">
        <v>0.6</v>
      </c>
      <c r="E1007" s="7">
        <v>0.6</v>
      </c>
      <c r="F1007" s="7">
        <v>0.6</v>
      </c>
      <c r="G1007" s="7">
        <v>0.6</v>
      </c>
      <c r="H1007" s="7">
        <v>0.6</v>
      </c>
      <c r="I1007" s="7">
        <v>0.6</v>
      </c>
      <c r="J1007" s="7">
        <v>0.6</v>
      </c>
      <c r="K1007" s="7">
        <v>0.6</v>
      </c>
      <c r="L1007" s="7">
        <v>0.6</v>
      </c>
      <c r="M1007" s="7">
        <v>0.6</v>
      </c>
      <c r="N1007" s="7">
        <v>0.6</v>
      </c>
      <c r="O1007" s="7">
        <v>0.6</v>
      </c>
      <c r="P1007" s="7">
        <v>0.6</v>
      </c>
      <c r="Q1007" s="7">
        <v>0.6</v>
      </c>
    </row>
    <row r="1008" spans="1:17">
      <c r="A1008" s="2">
        <v>2956</v>
      </c>
      <c r="B1008" s="7">
        <v>0.6</v>
      </c>
      <c r="C1008" s="7">
        <v>0.6</v>
      </c>
      <c r="D1008" s="7">
        <v>0.6</v>
      </c>
      <c r="E1008" s="7">
        <v>0.6</v>
      </c>
      <c r="F1008" s="7">
        <v>0.6</v>
      </c>
      <c r="G1008" s="7">
        <v>0.6</v>
      </c>
      <c r="H1008" s="7">
        <v>0.6</v>
      </c>
      <c r="I1008" s="7">
        <v>0.6</v>
      </c>
      <c r="J1008" s="7">
        <v>0.6</v>
      </c>
      <c r="K1008" s="7">
        <v>0.6</v>
      </c>
      <c r="L1008" s="7">
        <v>0.6</v>
      </c>
      <c r="M1008" s="7">
        <v>0.6</v>
      </c>
      <c r="N1008" s="7">
        <v>0.6</v>
      </c>
      <c r="O1008" s="7">
        <v>0.6</v>
      </c>
      <c r="P1008" s="7">
        <v>0.6</v>
      </c>
      <c r="Q1008" s="7">
        <v>0.6</v>
      </c>
    </row>
    <row r="1009" spans="1:17">
      <c r="A1009" s="2">
        <v>2957</v>
      </c>
      <c r="B1009" s="7">
        <v>0.6</v>
      </c>
      <c r="C1009" s="7">
        <v>0.6</v>
      </c>
      <c r="D1009" s="7">
        <v>0.6</v>
      </c>
      <c r="E1009" s="7">
        <v>0.6</v>
      </c>
      <c r="F1009" s="7">
        <v>0.6</v>
      </c>
      <c r="G1009" s="7">
        <v>0.6</v>
      </c>
      <c r="H1009" s="7">
        <v>0.6</v>
      </c>
      <c r="I1009" s="7">
        <v>0.6</v>
      </c>
      <c r="J1009" s="7">
        <v>0.6</v>
      </c>
      <c r="K1009" s="7">
        <v>0.6</v>
      </c>
      <c r="L1009" s="7">
        <v>0.6</v>
      </c>
      <c r="M1009" s="7">
        <v>0.6</v>
      </c>
      <c r="N1009" s="7">
        <v>0.6</v>
      </c>
      <c r="O1009" s="7">
        <v>0.6</v>
      </c>
      <c r="P1009" s="7">
        <v>0.6</v>
      </c>
      <c r="Q1009" s="7">
        <v>0.6</v>
      </c>
    </row>
    <row r="1010" spans="1:17">
      <c r="A1010" s="2">
        <v>2958</v>
      </c>
      <c r="B1010" s="7">
        <v>0.6</v>
      </c>
      <c r="C1010" s="7">
        <v>0.6</v>
      </c>
      <c r="D1010" s="7">
        <v>0.6</v>
      </c>
      <c r="E1010" s="7">
        <v>0.6</v>
      </c>
      <c r="F1010" s="7">
        <v>0.6</v>
      </c>
      <c r="G1010" s="7">
        <v>0.6</v>
      </c>
      <c r="H1010" s="7">
        <v>0.6</v>
      </c>
      <c r="I1010" s="7">
        <v>0.6</v>
      </c>
      <c r="J1010" s="7">
        <v>0.6</v>
      </c>
      <c r="K1010" s="7">
        <v>0.6</v>
      </c>
      <c r="L1010" s="7">
        <v>0.6</v>
      </c>
      <c r="M1010" s="7">
        <v>0.6</v>
      </c>
      <c r="N1010" s="7">
        <v>0.6</v>
      </c>
      <c r="O1010" s="7">
        <v>0.6</v>
      </c>
      <c r="P1010" s="7">
        <v>0.6</v>
      </c>
      <c r="Q1010" s="7">
        <v>0.6</v>
      </c>
    </row>
    <row r="1011" spans="1:17">
      <c r="A1011" s="2">
        <v>2959</v>
      </c>
      <c r="B1011" s="7">
        <v>0.6</v>
      </c>
      <c r="C1011" s="7">
        <v>0.6</v>
      </c>
      <c r="D1011" s="7">
        <v>0.6</v>
      </c>
      <c r="E1011" s="7">
        <v>0.6</v>
      </c>
      <c r="F1011" s="7">
        <v>0.6</v>
      </c>
      <c r="G1011" s="7">
        <v>0.6</v>
      </c>
      <c r="H1011" s="7">
        <v>0.6</v>
      </c>
      <c r="I1011" s="7">
        <v>0.6</v>
      </c>
      <c r="J1011" s="7">
        <v>0.6</v>
      </c>
      <c r="K1011" s="7">
        <v>0.6</v>
      </c>
      <c r="L1011" s="7">
        <v>0.6</v>
      </c>
      <c r="M1011" s="7">
        <v>0.6</v>
      </c>
      <c r="N1011" s="7">
        <v>0.6</v>
      </c>
      <c r="O1011" s="7">
        <v>0.6</v>
      </c>
      <c r="P1011" s="7">
        <v>0.6</v>
      </c>
      <c r="Q1011" s="7">
        <v>0.6</v>
      </c>
    </row>
    <row r="1012" spans="1:17">
      <c r="A1012" s="2">
        <v>2960</v>
      </c>
      <c r="B1012" s="7">
        <v>0.6</v>
      </c>
      <c r="C1012" s="7">
        <v>0.6</v>
      </c>
      <c r="D1012" s="7">
        <v>0.6</v>
      </c>
      <c r="E1012" s="7">
        <v>0.6</v>
      </c>
      <c r="F1012" s="7">
        <v>0.6</v>
      </c>
      <c r="G1012" s="7">
        <v>0.6</v>
      </c>
      <c r="H1012" s="7">
        <v>0.6</v>
      </c>
      <c r="I1012" s="7">
        <v>0.6</v>
      </c>
      <c r="J1012" s="7">
        <v>0.6</v>
      </c>
      <c r="K1012" s="7">
        <v>0.6</v>
      </c>
      <c r="L1012" s="7">
        <v>0.6</v>
      </c>
      <c r="M1012" s="7">
        <v>0.6</v>
      </c>
      <c r="N1012" s="7">
        <v>0.6</v>
      </c>
      <c r="O1012" s="7">
        <v>0.6</v>
      </c>
      <c r="P1012" s="7">
        <v>0.6</v>
      </c>
      <c r="Q1012" s="7">
        <v>0.6</v>
      </c>
    </row>
    <row r="1013" spans="1:17">
      <c r="A1013" s="2">
        <v>2961</v>
      </c>
      <c r="B1013" s="7">
        <v>0.6</v>
      </c>
      <c r="C1013" s="7">
        <v>0.6</v>
      </c>
      <c r="D1013" s="7">
        <v>0.6</v>
      </c>
      <c r="E1013" s="7">
        <v>0.6</v>
      </c>
      <c r="F1013" s="7">
        <v>0.6</v>
      </c>
      <c r="G1013" s="7">
        <v>0.6</v>
      </c>
      <c r="H1013" s="7">
        <v>0.6</v>
      </c>
      <c r="I1013" s="7">
        <v>0.6</v>
      </c>
      <c r="J1013" s="7">
        <v>0.6</v>
      </c>
      <c r="K1013" s="7">
        <v>0.6</v>
      </c>
      <c r="L1013" s="7">
        <v>0.6</v>
      </c>
      <c r="M1013" s="7">
        <v>0.6</v>
      </c>
      <c r="N1013" s="7">
        <v>0.6</v>
      </c>
      <c r="O1013" s="7">
        <v>0.6</v>
      </c>
      <c r="P1013" s="7">
        <v>0.6</v>
      </c>
      <c r="Q1013" s="7">
        <v>0.6</v>
      </c>
    </row>
    <row r="1014" spans="1:17">
      <c r="A1014" s="2">
        <v>2962</v>
      </c>
      <c r="B1014" s="7">
        <v>0.6</v>
      </c>
      <c r="C1014" s="7">
        <v>0.6</v>
      </c>
      <c r="D1014" s="7">
        <v>0.6</v>
      </c>
      <c r="E1014" s="7">
        <v>0.6</v>
      </c>
      <c r="F1014" s="7">
        <v>0.6</v>
      </c>
      <c r="G1014" s="7">
        <v>0.6</v>
      </c>
      <c r="H1014" s="7">
        <v>0.6</v>
      </c>
      <c r="I1014" s="7">
        <v>0.6</v>
      </c>
      <c r="J1014" s="7">
        <v>0.6</v>
      </c>
      <c r="K1014" s="7">
        <v>0.6</v>
      </c>
      <c r="L1014" s="7">
        <v>0.6</v>
      </c>
      <c r="M1014" s="7">
        <v>0.6</v>
      </c>
      <c r="N1014" s="7">
        <v>0.6</v>
      </c>
      <c r="O1014" s="7">
        <v>0.6</v>
      </c>
      <c r="P1014" s="7">
        <v>0.6</v>
      </c>
      <c r="Q1014" s="7">
        <v>0.6</v>
      </c>
    </row>
    <row r="1015" spans="1:17">
      <c r="A1015" s="2">
        <v>2963</v>
      </c>
      <c r="B1015" s="7">
        <v>0.6</v>
      </c>
      <c r="C1015" s="7">
        <v>0.6</v>
      </c>
      <c r="D1015" s="7">
        <v>0.6</v>
      </c>
      <c r="E1015" s="7">
        <v>0.6</v>
      </c>
      <c r="F1015" s="7">
        <v>0.6</v>
      </c>
      <c r="G1015" s="7">
        <v>0.6</v>
      </c>
      <c r="H1015" s="7">
        <v>0.6</v>
      </c>
      <c r="I1015" s="7">
        <v>0.6</v>
      </c>
      <c r="J1015" s="7">
        <v>0.6</v>
      </c>
      <c r="K1015" s="7">
        <v>0.6</v>
      </c>
      <c r="L1015" s="7">
        <v>0.6</v>
      </c>
      <c r="M1015" s="7">
        <v>0.6</v>
      </c>
      <c r="N1015" s="7">
        <v>0.6</v>
      </c>
      <c r="O1015" s="7">
        <v>0.6</v>
      </c>
      <c r="P1015" s="7">
        <v>0.6</v>
      </c>
      <c r="Q1015" s="7">
        <v>0.6</v>
      </c>
    </row>
    <row r="1016" spans="1:17">
      <c r="A1016" s="2">
        <v>2964</v>
      </c>
      <c r="B1016" s="7">
        <v>0.6</v>
      </c>
      <c r="C1016" s="7">
        <v>0.6</v>
      </c>
      <c r="D1016" s="7">
        <v>0.6</v>
      </c>
      <c r="E1016" s="7">
        <v>0.6</v>
      </c>
      <c r="F1016" s="7">
        <v>0.6</v>
      </c>
      <c r="G1016" s="7">
        <v>0.6</v>
      </c>
      <c r="H1016" s="7">
        <v>0.6</v>
      </c>
      <c r="I1016" s="7">
        <v>0.6</v>
      </c>
      <c r="J1016" s="7">
        <v>0.6</v>
      </c>
      <c r="K1016" s="7">
        <v>0.6</v>
      </c>
      <c r="L1016" s="7">
        <v>0.6</v>
      </c>
      <c r="M1016" s="7">
        <v>0.6</v>
      </c>
      <c r="N1016" s="7">
        <v>0.6</v>
      </c>
      <c r="O1016" s="7">
        <v>0.6</v>
      </c>
      <c r="P1016" s="7">
        <v>0.6</v>
      </c>
      <c r="Q1016" s="7">
        <v>0.6</v>
      </c>
    </row>
    <row r="1017" spans="1:17">
      <c r="A1017" s="2">
        <v>2965</v>
      </c>
      <c r="B1017" s="7">
        <v>0.6</v>
      </c>
      <c r="C1017" s="7">
        <v>0.6</v>
      </c>
      <c r="D1017" s="7">
        <v>0.6</v>
      </c>
      <c r="E1017" s="7">
        <v>0.6</v>
      </c>
      <c r="F1017" s="7">
        <v>0.6</v>
      </c>
      <c r="G1017" s="7">
        <v>0.6</v>
      </c>
      <c r="H1017" s="7">
        <v>0.6</v>
      </c>
      <c r="I1017" s="7">
        <v>0.6</v>
      </c>
      <c r="J1017" s="7">
        <v>0.6</v>
      </c>
      <c r="K1017" s="7">
        <v>0.6</v>
      </c>
      <c r="L1017" s="7">
        <v>0.6</v>
      </c>
      <c r="M1017" s="7">
        <v>0.6</v>
      </c>
      <c r="N1017" s="7">
        <v>0.6</v>
      </c>
      <c r="O1017" s="7">
        <v>0.6</v>
      </c>
      <c r="P1017" s="7">
        <v>0.6</v>
      </c>
      <c r="Q1017" s="7">
        <v>0.6</v>
      </c>
    </row>
    <row r="1018" spans="1:17">
      <c r="A1018" s="2">
        <v>2966</v>
      </c>
      <c r="B1018" s="7">
        <v>0.6</v>
      </c>
      <c r="C1018" s="7">
        <v>0.6</v>
      </c>
      <c r="D1018" s="7">
        <v>0.6</v>
      </c>
      <c r="E1018" s="7">
        <v>0.6</v>
      </c>
      <c r="F1018" s="7">
        <v>0.6</v>
      </c>
      <c r="G1018" s="7">
        <v>0.6</v>
      </c>
      <c r="H1018" s="7">
        <v>0.6</v>
      </c>
      <c r="I1018" s="7">
        <v>0.6</v>
      </c>
      <c r="J1018" s="7">
        <v>0.6</v>
      </c>
      <c r="K1018" s="7">
        <v>0.6</v>
      </c>
      <c r="L1018" s="7">
        <v>0.6</v>
      </c>
      <c r="M1018" s="7">
        <v>0.6</v>
      </c>
      <c r="N1018" s="7">
        <v>0.6</v>
      </c>
      <c r="O1018" s="7">
        <v>0.6</v>
      </c>
      <c r="P1018" s="7">
        <v>0.6</v>
      </c>
      <c r="Q1018" s="7">
        <v>0.6</v>
      </c>
    </row>
    <row r="1019" spans="1:17">
      <c r="A1019" s="2">
        <v>2967</v>
      </c>
      <c r="B1019" s="7">
        <v>0.6</v>
      </c>
      <c r="C1019" s="7">
        <v>0.6</v>
      </c>
      <c r="D1019" s="7">
        <v>0.6</v>
      </c>
      <c r="E1019" s="7">
        <v>0.6</v>
      </c>
      <c r="F1019" s="7">
        <v>0.6</v>
      </c>
      <c r="G1019" s="7">
        <v>0.6</v>
      </c>
      <c r="H1019" s="7">
        <v>0.6</v>
      </c>
      <c r="I1019" s="7">
        <v>0.6</v>
      </c>
      <c r="J1019" s="7">
        <v>0.6</v>
      </c>
      <c r="K1019" s="7">
        <v>0.6</v>
      </c>
      <c r="L1019" s="7">
        <v>0.6</v>
      </c>
      <c r="M1019" s="7">
        <v>0.6</v>
      </c>
      <c r="N1019" s="7">
        <v>0.6</v>
      </c>
      <c r="O1019" s="7">
        <v>0.6</v>
      </c>
      <c r="P1019" s="7">
        <v>0.6</v>
      </c>
      <c r="Q1019" s="7">
        <v>0.6</v>
      </c>
    </row>
    <row r="1020" spans="1:17">
      <c r="A1020" s="2">
        <v>2968</v>
      </c>
      <c r="B1020" s="7">
        <v>0.6</v>
      </c>
      <c r="C1020" s="7">
        <v>0.6</v>
      </c>
      <c r="D1020" s="7">
        <v>0.6</v>
      </c>
      <c r="E1020" s="7">
        <v>0.6</v>
      </c>
      <c r="F1020" s="7">
        <v>0.6</v>
      </c>
      <c r="G1020" s="7">
        <v>0.6</v>
      </c>
      <c r="H1020" s="7">
        <v>0.6</v>
      </c>
      <c r="I1020" s="7">
        <v>0.6</v>
      </c>
      <c r="J1020" s="7">
        <v>0.6</v>
      </c>
      <c r="K1020" s="7">
        <v>0.6</v>
      </c>
      <c r="L1020" s="7">
        <v>0.6</v>
      </c>
      <c r="M1020" s="7">
        <v>0.6</v>
      </c>
      <c r="N1020" s="7">
        <v>0.6</v>
      </c>
      <c r="O1020" s="7">
        <v>0.6</v>
      </c>
      <c r="P1020" s="7">
        <v>0.6</v>
      </c>
      <c r="Q1020" s="7">
        <v>0.6</v>
      </c>
    </row>
    <row r="1021" spans="1:17">
      <c r="A1021" s="2">
        <v>2969</v>
      </c>
      <c r="B1021" s="7">
        <v>0.6</v>
      </c>
      <c r="C1021" s="7">
        <v>0.6</v>
      </c>
      <c r="D1021" s="7">
        <v>0.6</v>
      </c>
      <c r="E1021" s="7">
        <v>0.6</v>
      </c>
      <c r="F1021" s="7">
        <v>0.6</v>
      </c>
      <c r="G1021" s="7">
        <v>0.6</v>
      </c>
      <c r="H1021" s="7">
        <v>0.6</v>
      </c>
      <c r="I1021" s="7">
        <v>0.6</v>
      </c>
      <c r="J1021" s="7">
        <v>0.6</v>
      </c>
      <c r="K1021" s="7">
        <v>0.6</v>
      </c>
      <c r="L1021" s="7">
        <v>0.6</v>
      </c>
      <c r="M1021" s="7">
        <v>0.6</v>
      </c>
      <c r="N1021" s="7">
        <v>0.6</v>
      </c>
      <c r="O1021" s="7">
        <v>0.6</v>
      </c>
      <c r="P1021" s="7">
        <v>0.6</v>
      </c>
      <c r="Q1021" s="7">
        <v>0.6</v>
      </c>
    </row>
    <row r="1022" spans="1:17">
      <c r="A1022" s="2">
        <v>2970</v>
      </c>
      <c r="B1022" s="7">
        <v>0.6</v>
      </c>
      <c r="C1022" s="7">
        <v>0.6</v>
      </c>
      <c r="D1022" s="7">
        <v>0.6</v>
      </c>
      <c r="E1022" s="7">
        <v>0.6</v>
      </c>
      <c r="F1022" s="7">
        <v>0.6</v>
      </c>
      <c r="G1022" s="7">
        <v>0.6</v>
      </c>
      <c r="H1022" s="7">
        <v>0.6</v>
      </c>
      <c r="I1022" s="7">
        <v>0.6</v>
      </c>
      <c r="J1022" s="7">
        <v>0.6</v>
      </c>
      <c r="K1022" s="7">
        <v>0.6</v>
      </c>
      <c r="L1022" s="7">
        <v>0.6</v>
      </c>
      <c r="M1022" s="7">
        <v>0.6</v>
      </c>
      <c r="N1022" s="7">
        <v>0.6</v>
      </c>
      <c r="O1022" s="7">
        <v>0.6</v>
      </c>
      <c r="P1022" s="7">
        <v>0.6</v>
      </c>
      <c r="Q1022" s="7">
        <v>0.6</v>
      </c>
    </row>
    <row r="1023" spans="1:17">
      <c r="A1023" s="2">
        <v>2971</v>
      </c>
      <c r="B1023" s="7">
        <v>0.6</v>
      </c>
      <c r="C1023" s="7">
        <v>0.6</v>
      </c>
      <c r="D1023" s="7">
        <v>0.6</v>
      </c>
      <c r="E1023" s="7">
        <v>0.6</v>
      </c>
      <c r="F1023" s="7">
        <v>0.6</v>
      </c>
      <c r="G1023" s="7">
        <v>0.6</v>
      </c>
      <c r="H1023" s="7">
        <v>0.6</v>
      </c>
      <c r="I1023" s="7">
        <v>0.6</v>
      </c>
      <c r="J1023" s="7">
        <v>0.6</v>
      </c>
      <c r="K1023" s="7">
        <v>0.6</v>
      </c>
      <c r="L1023" s="7">
        <v>0.6</v>
      </c>
      <c r="M1023" s="7">
        <v>0.6</v>
      </c>
      <c r="N1023" s="7">
        <v>0.6</v>
      </c>
      <c r="O1023" s="7">
        <v>0.6</v>
      </c>
      <c r="P1023" s="7">
        <v>0.6</v>
      </c>
      <c r="Q1023" s="7">
        <v>0.6</v>
      </c>
    </row>
    <row r="1024" spans="1:17">
      <c r="A1024" s="2">
        <v>2972</v>
      </c>
      <c r="B1024" s="7">
        <v>0.6</v>
      </c>
      <c r="C1024" s="7">
        <v>0.6</v>
      </c>
      <c r="D1024" s="7">
        <v>0.6</v>
      </c>
      <c r="E1024" s="7">
        <v>0.6</v>
      </c>
      <c r="F1024" s="7">
        <v>0.6</v>
      </c>
      <c r="G1024" s="7">
        <v>0.6</v>
      </c>
      <c r="H1024" s="7">
        <v>0.6</v>
      </c>
      <c r="I1024" s="7">
        <v>0.6</v>
      </c>
      <c r="J1024" s="7">
        <v>0.6</v>
      </c>
      <c r="K1024" s="7">
        <v>0.6</v>
      </c>
      <c r="L1024" s="7">
        <v>0.6</v>
      </c>
      <c r="M1024" s="7">
        <v>0.6</v>
      </c>
      <c r="N1024" s="7">
        <v>0.6</v>
      </c>
      <c r="O1024" s="7">
        <v>0.6</v>
      </c>
      <c r="P1024" s="7">
        <v>0.6</v>
      </c>
      <c r="Q1024" s="7">
        <v>0.6</v>
      </c>
    </row>
    <row r="1025" spans="1:17">
      <c r="A1025" s="2">
        <v>2973</v>
      </c>
      <c r="B1025" s="7">
        <v>0.6</v>
      </c>
      <c r="C1025" s="7">
        <v>0.6</v>
      </c>
      <c r="D1025" s="7">
        <v>0.6</v>
      </c>
      <c r="E1025" s="7">
        <v>0.6</v>
      </c>
      <c r="F1025" s="7">
        <v>0.6</v>
      </c>
      <c r="G1025" s="7">
        <v>0.6</v>
      </c>
      <c r="H1025" s="7">
        <v>0.6</v>
      </c>
      <c r="I1025" s="7">
        <v>0.6</v>
      </c>
      <c r="J1025" s="7">
        <v>0.6</v>
      </c>
      <c r="K1025" s="7">
        <v>0.6</v>
      </c>
      <c r="L1025" s="7">
        <v>0.6</v>
      </c>
      <c r="M1025" s="7">
        <v>0.6</v>
      </c>
      <c r="N1025" s="7">
        <v>0.6</v>
      </c>
      <c r="O1025" s="7">
        <v>0.6</v>
      </c>
      <c r="P1025" s="7">
        <v>0.6</v>
      </c>
      <c r="Q1025" s="7">
        <v>0.6</v>
      </c>
    </row>
    <row r="1026" spans="1:17">
      <c r="A1026" s="2">
        <v>2974</v>
      </c>
      <c r="B1026" s="7">
        <v>0.6</v>
      </c>
      <c r="C1026" s="7">
        <v>0.6</v>
      </c>
      <c r="D1026" s="7">
        <v>0.6</v>
      </c>
      <c r="E1026" s="7">
        <v>0.6</v>
      </c>
      <c r="F1026" s="7">
        <v>0.6</v>
      </c>
      <c r="G1026" s="7">
        <v>0.6</v>
      </c>
      <c r="H1026" s="7">
        <v>0.6</v>
      </c>
      <c r="I1026" s="7">
        <v>0.6</v>
      </c>
      <c r="J1026" s="7">
        <v>0.6</v>
      </c>
      <c r="K1026" s="7">
        <v>0.6</v>
      </c>
      <c r="L1026" s="7">
        <v>0.6</v>
      </c>
      <c r="M1026" s="7">
        <v>0.6</v>
      </c>
      <c r="N1026" s="7">
        <v>0.6</v>
      </c>
      <c r="O1026" s="7">
        <v>0.6</v>
      </c>
      <c r="P1026" s="7">
        <v>0.6</v>
      </c>
      <c r="Q1026" s="7">
        <v>0.6</v>
      </c>
    </row>
    <row r="1027" spans="1:17">
      <c r="A1027" s="2">
        <v>2975</v>
      </c>
      <c r="B1027" s="7">
        <v>0.6</v>
      </c>
      <c r="C1027" s="7">
        <v>0.6</v>
      </c>
      <c r="D1027" s="7">
        <v>0.6</v>
      </c>
      <c r="E1027" s="7">
        <v>0.6</v>
      </c>
      <c r="F1027" s="7">
        <v>0.6</v>
      </c>
      <c r="G1027" s="7">
        <v>0.6</v>
      </c>
      <c r="H1027" s="7">
        <v>0.6</v>
      </c>
      <c r="I1027" s="7">
        <v>0.6</v>
      </c>
      <c r="J1027" s="7">
        <v>0.6</v>
      </c>
      <c r="K1027" s="7">
        <v>0.6</v>
      </c>
      <c r="L1027" s="7">
        <v>0.6</v>
      </c>
      <c r="M1027" s="7">
        <v>0.6</v>
      </c>
      <c r="N1027" s="7">
        <v>0.6</v>
      </c>
      <c r="O1027" s="7">
        <v>0.6</v>
      </c>
      <c r="P1027" s="7">
        <v>0.6</v>
      </c>
      <c r="Q1027" s="7">
        <v>0.6</v>
      </c>
    </row>
    <row r="1028" spans="1:17">
      <c r="A1028" s="2">
        <v>2976</v>
      </c>
      <c r="B1028" s="7">
        <v>0.6</v>
      </c>
      <c r="C1028" s="7">
        <v>0.6</v>
      </c>
      <c r="D1028" s="7">
        <v>0.6</v>
      </c>
      <c r="E1028" s="7">
        <v>0.6</v>
      </c>
      <c r="F1028" s="7">
        <v>0.6</v>
      </c>
      <c r="G1028" s="7">
        <v>0.6</v>
      </c>
      <c r="H1028" s="7">
        <v>0.6</v>
      </c>
      <c r="I1028" s="7">
        <v>0.6</v>
      </c>
      <c r="J1028" s="7">
        <v>0.6</v>
      </c>
      <c r="K1028" s="7">
        <v>0.6</v>
      </c>
      <c r="L1028" s="7">
        <v>0.6</v>
      </c>
      <c r="M1028" s="7">
        <v>0.6</v>
      </c>
      <c r="N1028" s="7">
        <v>0.6</v>
      </c>
      <c r="O1028" s="7">
        <v>0.6</v>
      </c>
      <c r="P1028" s="7">
        <v>0.6</v>
      </c>
      <c r="Q1028" s="7">
        <v>0.6</v>
      </c>
    </row>
    <row r="1029" spans="1:17">
      <c r="A1029" s="2">
        <v>2977</v>
      </c>
      <c r="B1029" s="7">
        <v>0.6</v>
      </c>
      <c r="C1029" s="7">
        <v>0.6</v>
      </c>
      <c r="D1029" s="7">
        <v>0.6</v>
      </c>
      <c r="E1029" s="7">
        <v>0.6</v>
      </c>
      <c r="F1029" s="7">
        <v>0.6</v>
      </c>
      <c r="G1029" s="7">
        <v>0.6</v>
      </c>
      <c r="H1029" s="7">
        <v>0.6</v>
      </c>
      <c r="I1029" s="7">
        <v>0.6</v>
      </c>
      <c r="J1029" s="7">
        <v>0.6</v>
      </c>
      <c r="K1029" s="7">
        <v>0.6</v>
      </c>
      <c r="L1029" s="7">
        <v>0.6</v>
      </c>
      <c r="M1029" s="7">
        <v>0.6</v>
      </c>
      <c r="N1029" s="7">
        <v>0.6</v>
      </c>
      <c r="O1029" s="7">
        <v>0.6</v>
      </c>
      <c r="P1029" s="7">
        <v>0.6</v>
      </c>
      <c r="Q1029" s="7">
        <v>0.6</v>
      </c>
    </row>
    <row r="1030" spans="1:17">
      <c r="A1030" s="2">
        <v>2978</v>
      </c>
      <c r="B1030" s="7">
        <v>0.6</v>
      </c>
      <c r="C1030" s="7">
        <v>0.6</v>
      </c>
      <c r="D1030" s="7">
        <v>0.6</v>
      </c>
      <c r="E1030" s="7">
        <v>0.6</v>
      </c>
      <c r="F1030" s="7">
        <v>0.6</v>
      </c>
      <c r="G1030" s="7">
        <v>0.6</v>
      </c>
      <c r="H1030" s="7">
        <v>0.6</v>
      </c>
      <c r="I1030" s="7">
        <v>0.6</v>
      </c>
      <c r="J1030" s="7">
        <v>0.6</v>
      </c>
      <c r="K1030" s="7">
        <v>0.6</v>
      </c>
      <c r="L1030" s="7">
        <v>0.6</v>
      </c>
      <c r="M1030" s="7">
        <v>0.6</v>
      </c>
      <c r="N1030" s="7">
        <v>0.6</v>
      </c>
      <c r="O1030" s="7">
        <v>0.6</v>
      </c>
      <c r="P1030" s="7">
        <v>0.6</v>
      </c>
      <c r="Q1030" s="7">
        <v>0.6</v>
      </c>
    </row>
    <row r="1031" spans="1:17">
      <c r="A1031" s="2">
        <v>2979</v>
      </c>
      <c r="B1031" s="7">
        <v>0.6</v>
      </c>
      <c r="C1031" s="7">
        <v>0.6</v>
      </c>
      <c r="D1031" s="7">
        <v>0.6</v>
      </c>
      <c r="E1031" s="7">
        <v>0.6</v>
      </c>
      <c r="F1031" s="7">
        <v>0.6</v>
      </c>
      <c r="G1031" s="7">
        <v>0.6</v>
      </c>
      <c r="H1031" s="7">
        <v>0.6</v>
      </c>
      <c r="I1031" s="7">
        <v>0.6</v>
      </c>
      <c r="J1031" s="7">
        <v>0.6</v>
      </c>
      <c r="K1031" s="7">
        <v>0.6</v>
      </c>
      <c r="L1031" s="7">
        <v>0.6</v>
      </c>
      <c r="M1031" s="7">
        <v>0.6</v>
      </c>
      <c r="N1031" s="7">
        <v>0.6</v>
      </c>
      <c r="O1031" s="7">
        <v>0.6</v>
      </c>
      <c r="P1031" s="7">
        <v>0.6</v>
      </c>
      <c r="Q1031" s="7">
        <v>0.6</v>
      </c>
    </row>
    <row r="1032" spans="1:17">
      <c r="A1032" s="2">
        <v>2980</v>
      </c>
      <c r="B1032" s="7">
        <v>0.6</v>
      </c>
      <c r="C1032" s="7">
        <v>0.6</v>
      </c>
      <c r="D1032" s="7">
        <v>0.6</v>
      </c>
      <c r="E1032" s="7">
        <v>0.6</v>
      </c>
      <c r="F1032" s="7">
        <v>0.6</v>
      </c>
      <c r="G1032" s="7">
        <v>0.6</v>
      </c>
      <c r="H1032" s="7">
        <v>0.6</v>
      </c>
      <c r="I1032" s="7">
        <v>0.6</v>
      </c>
      <c r="J1032" s="7">
        <v>0.6</v>
      </c>
      <c r="K1032" s="7">
        <v>0.6</v>
      </c>
      <c r="L1032" s="7">
        <v>0.6</v>
      </c>
      <c r="M1032" s="7">
        <v>0.6</v>
      </c>
      <c r="N1032" s="7">
        <v>0.6</v>
      </c>
      <c r="O1032" s="7">
        <v>0.6</v>
      </c>
      <c r="P1032" s="7">
        <v>0.6</v>
      </c>
      <c r="Q1032" s="7">
        <v>0.6</v>
      </c>
    </row>
    <row r="1033" spans="1:17">
      <c r="A1033" s="2">
        <v>2981</v>
      </c>
      <c r="B1033" s="7">
        <v>0.6</v>
      </c>
      <c r="C1033" s="7">
        <v>0.6</v>
      </c>
      <c r="D1033" s="7">
        <v>0.6</v>
      </c>
      <c r="E1033" s="7">
        <v>0.6</v>
      </c>
      <c r="F1033" s="7">
        <v>0.6</v>
      </c>
      <c r="G1033" s="7">
        <v>0.6</v>
      </c>
      <c r="H1033" s="7">
        <v>0.6</v>
      </c>
      <c r="I1033" s="7">
        <v>0.6</v>
      </c>
      <c r="J1033" s="7">
        <v>0.6</v>
      </c>
      <c r="K1033" s="7">
        <v>0.6</v>
      </c>
      <c r="L1033" s="7">
        <v>0.6</v>
      </c>
      <c r="M1033" s="7">
        <v>0.6</v>
      </c>
      <c r="N1033" s="7">
        <v>0.6</v>
      </c>
      <c r="O1033" s="7">
        <v>0.6</v>
      </c>
      <c r="P1033" s="7">
        <v>0.6</v>
      </c>
      <c r="Q1033" s="7">
        <v>0.6</v>
      </c>
    </row>
    <row r="1034" spans="1:17">
      <c r="A1034" s="2">
        <v>2982</v>
      </c>
      <c r="B1034" s="7">
        <v>0.6</v>
      </c>
      <c r="C1034" s="7">
        <v>0.6</v>
      </c>
      <c r="D1034" s="7">
        <v>0.6</v>
      </c>
      <c r="E1034" s="7">
        <v>0.6</v>
      </c>
      <c r="F1034" s="7">
        <v>0.6</v>
      </c>
      <c r="G1034" s="7">
        <v>0.6</v>
      </c>
      <c r="H1034" s="7">
        <v>0.6</v>
      </c>
      <c r="I1034" s="7">
        <v>0.6</v>
      </c>
      <c r="J1034" s="7">
        <v>0.6</v>
      </c>
      <c r="K1034" s="7">
        <v>0.6</v>
      </c>
      <c r="L1034" s="7">
        <v>0.6</v>
      </c>
      <c r="M1034" s="7">
        <v>0.6</v>
      </c>
      <c r="N1034" s="7">
        <v>0.6</v>
      </c>
      <c r="O1034" s="7">
        <v>0.6</v>
      </c>
      <c r="P1034" s="7">
        <v>0.6</v>
      </c>
      <c r="Q1034" s="7">
        <v>0.6</v>
      </c>
    </row>
    <row r="1035" spans="1:17">
      <c r="A1035" s="2">
        <v>2983</v>
      </c>
      <c r="B1035" s="7">
        <v>0.6</v>
      </c>
      <c r="C1035" s="7">
        <v>0.6</v>
      </c>
      <c r="D1035" s="7">
        <v>0.6</v>
      </c>
      <c r="E1035" s="7">
        <v>0.6</v>
      </c>
      <c r="F1035" s="7">
        <v>0.6</v>
      </c>
      <c r="G1035" s="7">
        <v>0.6</v>
      </c>
      <c r="H1035" s="7">
        <v>0.6</v>
      </c>
      <c r="I1035" s="7">
        <v>0.6</v>
      </c>
      <c r="J1035" s="7">
        <v>0.6</v>
      </c>
      <c r="K1035" s="7">
        <v>0.6</v>
      </c>
      <c r="L1035" s="7">
        <v>0.6</v>
      </c>
      <c r="M1035" s="7">
        <v>0.6</v>
      </c>
      <c r="N1035" s="7">
        <v>0.6</v>
      </c>
      <c r="O1035" s="7">
        <v>0.6</v>
      </c>
      <c r="P1035" s="7">
        <v>0.6</v>
      </c>
      <c r="Q1035" s="7">
        <v>0.6</v>
      </c>
    </row>
    <row r="1036" spans="1:17">
      <c r="A1036" s="2">
        <v>2984</v>
      </c>
      <c r="B1036" s="7">
        <v>0.6</v>
      </c>
      <c r="C1036" s="7">
        <v>0.6</v>
      </c>
      <c r="D1036" s="7">
        <v>0.6</v>
      </c>
      <c r="E1036" s="7">
        <v>0.6</v>
      </c>
      <c r="F1036" s="7">
        <v>0.6</v>
      </c>
      <c r="G1036" s="7">
        <v>0.6</v>
      </c>
      <c r="H1036" s="7">
        <v>0.6</v>
      </c>
      <c r="I1036" s="7">
        <v>0.6</v>
      </c>
      <c r="J1036" s="7">
        <v>0.6</v>
      </c>
      <c r="K1036" s="7">
        <v>0.6</v>
      </c>
      <c r="L1036" s="7">
        <v>0.6</v>
      </c>
      <c r="M1036" s="7">
        <v>0.6</v>
      </c>
      <c r="N1036" s="7">
        <v>0.6</v>
      </c>
      <c r="O1036" s="7">
        <v>0.6</v>
      </c>
      <c r="P1036" s="7">
        <v>0.6</v>
      </c>
      <c r="Q1036" s="7">
        <v>0.6</v>
      </c>
    </row>
    <row r="1037" spans="1:17">
      <c r="A1037" s="2">
        <v>2985</v>
      </c>
      <c r="B1037" s="7">
        <v>0.6</v>
      </c>
      <c r="C1037" s="7">
        <v>0.6</v>
      </c>
      <c r="D1037" s="7">
        <v>0.6</v>
      </c>
      <c r="E1037" s="7">
        <v>0.6</v>
      </c>
      <c r="F1037" s="7">
        <v>0.6</v>
      </c>
      <c r="G1037" s="7">
        <v>0.6</v>
      </c>
      <c r="H1037" s="7">
        <v>0.6</v>
      </c>
      <c r="I1037" s="7">
        <v>0.6</v>
      </c>
      <c r="J1037" s="7">
        <v>0.6</v>
      </c>
      <c r="K1037" s="7">
        <v>0.6</v>
      </c>
      <c r="L1037" s="7">
        <v>0.6</v>
      </c>
      <c r="M1037" s="7">
        <v>0.6</v>
      </c>
      <c r="N1037" s="7">
        <v>0.6</v>
      </c>
      <c r="O1037" s="7">
        <v>0.6</v>
      </c>
      <c r="P1037" s="7">
        <v>0.6</v>
      </c>
      <c r="Q1037" s="7">
        <v>0.6</v>
      </c>
    </row>
    <row r="1038" spans="1:17">
      <c r="A1038" s="2">
        <v>2986</v>
      </c>
      <c r="B1038" s="7">
        <v>0.6</v>
      </c>
      <c r="C1038" s="7">
        <v>0.6</v>
      </c>
      <c r="D1038" s="7">
        <v>0.6</v>
      </c>
      <c r="E1038" s="7">
        <v>0.6</v>
      </c>
      <c r="F1038" s="7">
        <v>0.6</v>
      </c>
      <c r="G1038" s="7">
        <v>0.6</v>
      </c>
      <c r="H1038" s="7">
        <v>0.6</v>
      </c>
      <c r="I1038" s="7">
        <v>0.6</v>
      </c>
      <c r="J1038" s="7">
        <v>0.6</v>
      </c>
      <c r="K1038" s="7">
        <v>0.6</v>
      </c>
      <c r="L1038" s="7">
        <v>0.6</v>
      </c>
      <c r="M1038" s="7">
        <v>0.6</v>
      </c>
      <c r="N1038" s="7">
        <v>0.6</v>
      </c>
      <c r="O1038" s="7">
        <v>0.6</v>
      </c>
      <c r="P1038" s="7">
        <v>0.6</v>
      </c>
      <c r="Q1038" s="7">
        <v>0.6</v>
      </c>
    </row>
    <row r="1039" spans="1:17">
      <c r="A1039" s="2">
        <v>2987</v>
      </c>
      <c r="B1039" s="7">
        <v>0.6</v>
      </c>
      <c r="C1039" s="7">
        <v>0.6</v>
      </c>
      <c r="D1039" s="7">
        <v>0.6</v>
      </c>
      <c r="E1039" s="7">
        <v>0.6</v>
      </c>
      <c r="F1039" s="7">
        <v>0.6</v>
      </c>
      <c r="G1039" s="7">
        <v>0.6</v>
      </c>
      <c r="H1039" s="7">
        <v>0.6</v>
      </c>
      <c r="I1039" s="7">
        <v>0.6</v>
      </c>
      <c r="J1039" s="7">
        <v>0.6</v>
      </c>
      <c r="K1039" s="7">
        <v>0.6</v>
      </c>
      <c r="L1039" s="7">
        <v>0.6</v>
      </c>
      <c r="M1039" s="7">
        <v>0.6</v>
      </c>
      <c r="N1039" s="7">
        <v>0.6</v>
      </c>
      <c r="O1039" s="7">
        <v>0.6</v>
      </c>
      <c r="P1039" s="7">
        <v>0.6</v>
      </c>
      <c r="Q1039" s="7">
        <v>0.6</v>
      </c>
    </row>
    <row r="1040" spans="1:17">
      <c r="A1040" s="2">
        <v>2988</v>
      </c>
      <c r="B1040" s="7">
        <v>0.6</v>
      </c>
      <c r="C1040" s="7">
        <v>0.6</v>
      </c>
      <c r="D1040" s="7">
        <v>0.6</v>
      </c>
      <c r="E1040" s="7">
        <v>0.6</v>
      </c>
      <c r="F1040" s="7">
        <v>0.6</v>
      </c>
      <c r="G1040" s="7">
        <v>0.6</v>
      </c>
      <c r="H1040" s="7">
        <v>0.6</v>
      </c>
      <c r="I1040" s="7">
        <v>0.6</v>
      </c>
      <c r="J1040" s="7">
        <v>0.6</v>
      </c>
      <c r="K1040" s="7">
        <v>0.6</v>
      </c>
      <c r="L1040" s="7">
        <v>0.6</v>
      </c>
      <c r="M1040" s="7">
        <v>0.6</v>
      </c>
      <c r="N1040" s="7">
        <v>0.6</v>
      </c>
      <c r="O1040" s="7">
        <v>0.6</v>
      </c>
      <c r="P1040" s="7">
        <v>0.6</v>
      </c>
      <c r="Q1040" s="7">
        <v>0.6</v>
      </c>
    </row>
    <row r="1041" spans="1:17">
      <c r="A1041" s="2">
        <v>2989</v>
      </c>
      <c r="B1041" s="7">
        <v>0.6</v>
      </c>
      <c r="C1041" s="7">
        <v>0.6</v>
      </c>
      <c r="D1041" s="7">
        <v>0.6</v>
      </c>
      <c r="E1041" s="7">
        <v>0.6</v>
      </c>
      <c r="F1041" s="7">
        <v>0.6</v>
      </c>
      <c r="G1041" s="7">
        <v>0.6</v>
      </c>
      <c r="H1041" s="7">
        <v>0.6</v>
      </c>
      <c r="I1041" s="7">
        <v>0.6</v>
      </c>
      <c r="J1041" s="7">
        <v>0.6</v>
      </c>
      <c r="K1041" s="7">
        <v>0.6</v>
      </c>
      <c r="L1041" s="7">
        <v>0.6</v>
      </c>
      <c r="M1041" s="7">
        <v>0.6</v>
      </c>
      <c r="N1041" s="7">
        <v>0.6</v>
      </c>
      <c r="O1041" s="7">
        <v>0.6</v>
      </c>
      <c r="P1041" s="7">
        <v>0.6</v>
      </c>
      <c r="Q1041" s="7">
        <v>0.6</v>
      </c>
    </row>
    <row r="1042" spans="1:17">
      <c r="A1042" s="2">
        <v>2990</v>
      </c>
      <c r="B1042" s="7">
        <v>0.6</v>
      </c>
      <c r="C1042" s="7">
        <v>0.6</v>
      </c>
      <c r="D1042" s="7">
        <v>0.6</v>
      </c>
      <c r="E1042" s="7">
        <v>0.6</v>
      </c>
      <c r="F1042" s="7">
        <v>0.6</v>
      </c>
      <c r="G1042" s="7">
        <v>0.6</v>
      </c>
      <c r="H1042" s="7">
        <v>0.6</v>
      </c>
      <c r="I1042" s="7">
        <v>0.6</v>
      </c>
      <c r="J1042" s="7">
        <v>0.6</v>
      </c>
      <c r="K1042" s="7">
        <v>0.6</v>
      </c>
      <c r="L1042" s="7">
        <v>0.6</v>
      </c>
      <c r="M1042" s="7">
        <v>0.6</v>
      </c>
      <c r="N1042" s="7">
        <v>0.6</v>
      </c>
      <c r="O1042" s="7">
        <v>0.6</v>
      </c>
      <c r="P1042" s="7">
        <v>0.6</v>
      </c>
      <c r="Q1042" s="7">
        <v>0.6</v>
      </c>
    </row>
    <row r="1043" spans="1:17">
      <c r="A1043" s="2">
        <v>2991</v>
      </c>
      <c r="B1043" s="7">
        <v>0.6</v>
      </c>
      <c r="C1043" s="7">
        <v>0.6</v>
      </c>
      <c r="D1043" s="7">
        <v>0.6</v>
      </c>
      <c r="E1043" s="7">
        <v>0.6</v>
      </c>
      <c r="F1043" s="7">
        <v>0.6</v>
      </c>
      <c r="G1043" s="7">
        <v>0.6</v>
      </c>
      <c r="H1043" s="7">
        <v>0.6</v>
      </c>
      <c r="I1043" s="7">
        <v>0.6</v>
      </c>
      <c r="J1043" s="7">
        <v>0.6</v>
      </c>
      <c r="K1043" s="7">
        <v>0.6</v>
      </c>
      <c r="L1043" s="7">
        <v>0.6</v>
      </c>
      <c r="M1043" s="7">
        <v>0.6</v>
      </c>
      <c r="N1043" s="7">
        <v>0.6</v>
      </c>
      <c r="O1043" s="7">
        <v>0.6</v>
      </c>
      <c r="P1043" s="7">
        <v>0.6</v>
      </c>
      <c r="Q1043" s="7">
        <v>0.6</v>
      </c>
    </row>
    <row r="1044" spans="1:17">
      <c r="A1044" s="2">
        <v>2992</v>
      </c>
      <c r="B1044" s="7">
        <v>0.6</v>
      </c>
      <c r="C1044" s="7">
        <v>0.6</v>
      </c>
      <c r="D1044" s="7">
        <v>0.6</v>
      </c>
      <c r="E1044" s="7">
        <v>0.6</v>
      </c>
      <c r="F1044" s="7">
        <v>0.6</v>
      </c>
      <c r="G1044" s="7">
        <v>0.6</v>
      </c>
      <c r="H1044" s="7">
        <v>0.6</v>
      </c>
      <c r="I1044" s="7">
        <v>0.6</v>
      </c>
      <c r="J1044" s="7">
        <v>0.6</v>
      </c>
      <c r="K1044" s="7">
        <v>0.6</v>
      </c>
      <c r="L1044" s="7">
        <v>0.6</v>
      </c>
      <c r="M1044" s="7">
        <v>0.6</v>
      </c>
      <c r="N1044" s="7">
        <v>0.6</v>
      </c>
      <c r="O1044" s="7">
        <v>0.6</v>
      </c>
      <c r="P1044" s="7">
        <v>0.6</v>
      </c>
      <c r="Q1044" s="7">
        <v>0.6</v>
      </c>
    </row>
    <row r="1045" spans="1:17">
      <c r="A1045" s="2">
        <v>2993</v>
      </c>
      <c r="B1045" s="7">
        <v>0.6</v>
      </c>
      <c r="C1045" s="7">
        <v>0.6</v>
      </c>
      <c r="D1045" s="7">
        <v>0.6</v>
      </c>
      <c r="E1045" s="7">
        <v>0.6</v>
      </c>
      <c r="F1045" s="7">
        <v>0.6</v>
      </c>
      <c r="G1045" s="7">
        <v>0.6</v>
      </c>
      <c r="H1045" s="7">
        <v>0.6</v>
      </c>
      <c r="I1045" s="7">
        <v>0.6</v>
      </c>
      <c r="J1045" s="7">
        <v>0.6</v>
      </c>
      <c r="K1045" s="7">
        <v>0.6</v>
      </c>
      <c r="L1045" s="7">
        <v>0.6</v>
      </c>
      <c r="M1045" s="7">
        <v>0.6</v>
      </c>
      <c r="N1045" s="7">
        <v>0.6</v>
      </c>
      <c r="O1045" s="7">
        <v>0.6</v>
      </c>
      <c r="P1045" s="7">
        <v>0.6</v>
      </c>
      <c r="Q1045" s="7">
        <v>0.6</v>
      </c>
    </row>
    <row r="1046" spans="1:17">
      <c r="A1046" s="2">
        <v>2994</v>
      </c>
      <c r="B1046" s="7">
        <v>0.6</v>
      </c>
      <c r="C1046" s="7">
        <v>0.6</v>
      </c>
      <c r="D1046" s="7">
        <v>0.6</v>
      </c>
      <c r="E1046" s="7">
        <v>0.6</v>
      </c>
      <c r="F1046" s="7">
        <v>0.6</v>
      </c>
      <c r="G1046" s="7">
        <v>0.6</v>
      </c>
      <c r="H1046" s="7">
        <v>0.6</v>
      </c>
      <c r="I1046" s="7">
        <v>0.6</v>
      </c>
      <c r="J1046" s="7">
        <v>0.6</v>
      </c>
      <c r="K1046" s="7">
        <v>0.6</v>
      </c>
      <c r="L1046" s="7">
        <v>0.6</v>
      </c>
      <c r="M1046" s="7">
        <v>0.6</v>
      </c>
      <c r="N1046" s="7">
        <v>0.6</v>
      </c>
      <c r="O1046" s="7">
        <v>0.6</v>
      </c>
      <c r="P1046" s="7">
        <v>0.6</v>
      </c>
      <c r="Q1046" s="7">
        <v>0.6</v>
      </c>
    </row>
    <row r="1047" spans="1:17">
      <c r="A1047" s="2">
        <v>2995</v>
      </c>
      <c r="B1047" s="7">
        <v>0.6</v>
      </c>
      <c r="C1047" s="7">
        <v>0.6</v>
      </c>
      <c r="D1047" s="7">
        <v>0.6</v>
      </c>
      <c r="E1047" s="7">
        <v>0.6</v>
      </c>
      <c r="F1047" s="7">
        <v>0.6</v>
      </c>
      <c r="G1047" s="7">
        <v>0.6</v>
      </c>
      <c r="H1047" s="7">
        <v>0.6</v>
      </c>
      <c r="I1047" s="7">
        <v>0.6</v>
      </c>
      <c r="J1047" s="7">
        <v>0.6</v>
      </c>
      <c r="K1047" s="7">
        <v>0.6</v>
      </c>
      <c r="L1047" s="7">
        <v>0.6</v>
      </c>
      <c r="M1047" s="7">
        <v>0.6</v>
      </c>
      <c r="N1047" s="7">
        <v>0.6</v>
      </c>
      <c r="O1047" s="7">
        <v>0.6</v>
      </c>
      <c r="P1047" s="7">
        <v>0.6</v>
      </c>
      <c r="Q1047" s="7">
        <v>0.6</v>
      </c>
    </row>
    <row r="1048" spans="1:17">
      <c r="A1048" s="2">
        <v>2996</v>
      </c>
      <c r="B1048" s="7">
        <v>0.6</v>
      </c>
      <c r="C1048" s="7">
        <v>0.6</v>
      </c>
      <c r="D1048" s="7">
        <v>0.6</v>
      </c>
      <c r="E1048" s="7">
        <v>0.6</v>
      </c>
      <c r="F1048" s="7">
        <v>0.6</v>
      </c>
      <c r="G1048" s="7">
        <v>0.6</v>
      </c>
      <c r="H1048" s="7">
        <v>0.6</v>
      </c>
      <c r="I1048" s="7">
        <v>0.6</v>
      </c>
      <c r="J1048" s="7">
        <v>0.6</v>
      </c>
      <c r="K1048" s="7">
        <v>0.6</v>
      </c>
      <c r="L1048" s="7">
        <v>0.6</v>
      </c>
      <c r="M1048" s="7">
        <v>0.6</v>
      </c>
      <c r="N1048" s="7">
        <v>0.6</v>
      </c>
      <c r="O1048" s="7">
        <v>0.6</v>
      </c>
      <c r="P1048" s="7">
        <v>0.6</v>
      </c>
      <c r="Q1048" s="7">
        <v>0.6</v>
      </c>
    </row>
    <row r="1049" spans="1:17">
      <c r="A1049" s="2">
        <v>2997</v>
      </c>
      <c r="B1049" s="7">
        <v>0.6</v>
      </c>
      <c r="C1049" s="7">
        <v>0.6</v>
      </c>
      <c r="D1049" s="7">
        <v>0.6</v>
      </c>
      <c r="E1049" s="7">
        <v>0.6</v>
      </c>
      <c r="F1049" s="7">
        <v>0.6</v>
      </c>
      <c r="G1049" s="7">
        <v>0.6</v>
      </c>
      <c r="H1049" s="7">
        <v>0.6</v>
      </c>
      <c r="I1049" s="7">
        <v>0.6</v>
      </c>
      <c r="J1049" s="7">
        <v>0.6</v>
      </c>
      <c r="K1049" s="7">
        <v>0.6</v>
      </c>
      <c r="L1049" s="7">
        <v>0.6</v>
      </c>
      <c r="M1049" s="7">
        <v>0.6</v>
      </c>
      <c r="N1049" s="7">
        <v>0.6</v>
      </c>
      <c r="O1049" s="7">
        <v>0.6</v>
      </c>
      <c r="P1049" s="7">
        <v>0.6</v>
      </c>
      <c r="Q1049" s="7">
        <v>0.6</v>
      </c>
    </row>
    <row r="1050" spans="1:17">
      <c r="A1050" s="2">
        <v>2998</v>
      </c>
      <c r="B1050" s="7">
        <v>0.6</v>
      </c>
      <c r="C1050" s="7">
        <v>0.6</v>
      </c>
      <c r="D1050" s="7">
        <v>0.6</v>
      </c>
      <c r="E1050" s="7">
        <v>0.6</v>
      </c>
      <c r="F1050" s="7">
        <v>0.6</v>
      </c>
      <c r="G1050" s="7">
        <v>0.6</v>
      </c>
      <c r="H1050" s="7">
        <v>0.6</v>
      </c>
      <c r="I1050" s="7">
        <v>0.6</v>
      </c>
      <c r="J1050" s="7">
        <v>0.6</v>
      </c>
      <c r="K1050" s="7">
        <v>0.6</v>
      </c>
      <c r="L1050" s="7">
        <v>0.6</v>
      </c>
      <c r="M1050" s="7">
        <v>0.6</v>
      </c>
      <c r="N1050" s="7">
        <v>0.6</v>
      </c>
      <c r="O1050" s="7">
        <v>0.6</v>
      </c>
      <c r="P1050" s="7">
        <v>0.6</v>
      </c>
      <c r="Q1050" s="7">
        <v>0.6</v>
      </c>
    </row>
    <row r="1051" spans="1:17">
      <c r="A1051" s="2">
        <v>2999</v>
      </c>
      <c r="B1051" s="7">
        <v>0.6</v>
      </c>
      <c r="C1051" s="7">
        <v>0.6</v>
      </c>
      <c r="D1051" s="7">
        <v>0.6</v>
      </c>
      <c r="E1051" s="7">
        <v>0.6</v>
      </c>
      <c r="F1051" s="7">
        <v>0.6</v>
      </c>
      <c r="G1051" s="7">
        <v>0.6</v>
      </c>
      <c r="H1051" s="7">
        <v>0.6</v>
      </c>
      <c r="I1051" s="7">
        <v>0.6</v>
      </c>
      <c r="J1051" s="7">
        <v>0.6</v>
      </c>
      <c r="K1051" s="7">
        <v>0.6</v>
      </c>
      <c r="L1051" s="7">
        <v>0.6</v>
      </c>
      <c r="M1051" s="7">
        <v>0.6</v>
      </c>
      <c r="N1051" s="7">
        <v>0.6</v>
      </c>
      <c r="O1051" s="7">
        <v>0.6</v>
      </c>
      <c r="P1051" s="7">
        <v>0.6</v>
      </c>
      <c r="Q1051" s="7">
        <v>0.6</v>
      </c>
    </row>
    <row r="1052" spans="1:17">
      <c r="A1052" s="2">
        <v>3000</v>
      </c>
      <c r="B1052" s="7">
        <v>0.6</v>
      </c>
      <c r="C1052" s="7">
        <v>0.6</v>
      </c>
      <c r="D1052" s="7">
        <v>0.6</v>
      </c>
      <c r="E1052" s="7">
        <v>0.6</v>
      </c>
      <c r="F1052" s="7">
        <v>0.6</v>
      </c>
      <c r="G1052" s="7">
        <v>0.6</v>
      </c>
      <c r="H1052" s="7">
        <v>0.6</v>
      </c>
      <c r="I1052" s="7">
        <v>0.6</v>
      </c>
      <c r="J1052" s="7">
        <v>0.6</v>
      </c>
      <c r="K1052" s="7">
        <v>0.6</v>
      </c>
      <c r="L1052" s="7">
        <v>0.6</v>
      </c>
      <c r="M1052" s="7">
        <v>0.6</v>
      </c>
      <c r="N1052" s="7">
        <v>0.6</v>
      </c>
      <c r="O1052" s="7">
        <v>0.6</v>
      </c>
      <c r="P1052" s="7">
        <v>0.6</v>
      </c>
      <c r="Q1052" s="7">
        <v>0.6</v>
      </c>
    </row>
  </sheetData>
  <phoneticPr fontId="2" type="noConversion"/>
  <pageMargins left="0.78740157499999996" right="0.78740157499999996" top="0.984251969" bottom="0.984251969" header="0.4921259845" footer="0.492125984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>
  <sheetPr codeName="Tabelle8"/>
  <dimension ref="A1:Q1052"/>
  <sheetViews>
    <sheetView workbookViewId="0">
      <pane xSplit="1" ySplit="1" topLeftCell="B114" activePane="bottomRight" state="frozen"/>
      <selection pane="topRight" activeCell="B1" sqref="B1"/>
      <selection pane="bottomLeft" activeCell="A2" sqref="A2"/>
      <selection pane="bottomRight" activeCell="B127" sqref="B127:Q127"/>
    </sheetView>
  </sheetViews>
  <sheetFormatPr defaultColWidth="11.42578125" defaultRowHeight="12.75"/>
  <cols>
    <col min="1" max="1" width="5.140625" style="2" customWidth="1"/>
    <col min="2" max="4" width="6.5703125" style="2" bestFit="1" customWidth="1"/>
    <col min="5" max="6" width="7" style="2" bestFit="1" customWidth="1"/>
    <col min="7" max="9" width="6.5703125" style="2" bestFit="1" customWidth="1"/>
    <col min="10" max="14" width="7" style="2" bestFit="1" customWidth="1"/>
    <col min="15" max="16" width="6.5703125" style="2" bestFit="1" customWidth="1"/>
    <col min="17" max="17" width="7" style="2" bestFit="1" customWidth="1"/>
    <col min="18" max="16384" width="11.42578125" style="2"/>
  </cols>
  <sheetData>
    <row r="1" spans="1:17" s="1" customFormat="1">
      <c r="A1" s="1" t="s">
        <v>4</v>
      </c>
      <c r="B1" s="1" t="s">
        <v>2</v>
      </c>
      <c r="C1" s="1" t="s">
        <v>3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</row>
    <row r="2" spans="1:17">
      <c r="A2" s="3">
        <v>1950</v>
      </c>
      <c r="B2" s="6">
        <v>1.0369999999999999</v>
      </c>
      <c r="C2" s="6">
        <v>1.5569999999999999</v>
      </c>
      <c r="D2" s="6">
        <v>-8.8999999999999996E-2</v>
      </c>
      <c r="E2" s="6">
        <v>-2.0209999999999999</v>
      </c>
      <c r="F2" s="6">
        <v>0.17100000000000001</v>
      </c>
      <c r="G2" s="6">
        <v>-1.2549999999999999</v>
      </c>
      <c r="H2" s="6">
        <v>-1.5629999999999999</v>
      </c>
      <c r="I2" s="6">
        <v>-3.548</v>
      </c>
      <c r="J2" s="6">
        <v>-0.42299999999999999</v>
      </c>
      <c r="K2" s="6">
        <v>9.5000000000000001E-2</v>
      </c>
      <c r="L2" s="6">
        <v>-1.52</v>
      </c>
      <c r="M2" s="6">
        <v>-2.1539999999999999</v>
      </c>
      <c r="N2" s="6">
        <v>-9.3520000000000003</v>
      </c>
      <c r="O2" s="6">
        <v>0.70199999999999996</v>
      </c>
      <c r="P2" s="6">
        <v>-1.1850000000000001</v>
      </c>
      <c r="Q2" s="6">
        <v>-2.04</v>
      </c>
    </row>
    <row r="3" spans="1:17">
      <c r="A3" s="2">
        <v>1951</v>
      </c>
      <c r="B3" s="6">
        <v>1.0369999999999999</v>
      </c>
      <c r="C3" s="6">
        <v>1.5569999999999999</v>
      </c>
      <c r="D3" s="6">
        <v>-8.8999999999999996E-2</v>
      </c>
      <c r="E3" s="6">
        <v>-2.0209999999999999</v>
      </c>
      <c r="F3" s="6">
        <v>0.17100000000000001</v>
      </c>
      <c r="G3" s="6">
        <v>-1.2549999999999999</v>
      </c>
      <c r="H3" s="6">
        <v>-1.5629999999999999</v>
      </c>
      <c r="I3" s="6">
        <v>-3.548</v>
      </c>
      <c r="J3" s="6">
        <v>-0.42299999999999999</v>
      </c>
      <c r="K3" s="6">
        <v>9.5000000000000001E-2</v>
      </c>
      <c r="L3" s="6">
        <v>-1.52</v>
      </c>
      <c r="M3" s="6">
        <v>-2.1539999999999999</v>
      </c>
      <c r="N3" s="6">
        <v>-9.3520000000000003</v>
      </c>
      <c r="O3" s="6">
        <v>0.70199999999999996</v>
      </c>
      <c r="P3" s="6">
        <v>-1.1850000000000001</v>
      </c>
      <c r="Q3" s="6">
        <v>-2.04</v>
      </c>
    </row>
    <row r="4" spans="1:17">
      <c r="A4" s="2">
        <v>1952</v>
      </c>
      <c r="B4" s="6">
        <v>1.0369999999999999</v>
      </c>
      <c r="C4" s="6">
        <v>1.5569999999999999</v>
      </c>
      <c r="D4" s="6">
        <v>-8.8999999999999996E-2</v>
      </c>
      <c r="E4" s="6">
        <v>-2.0209999999999999</v>
      </c>
      <c r="F4" s="6">
        <v>0.17100000000000001</v>
      </c>
      <c r="G4" s="6">
        <v>-1.2549999999999999</v>
      </c>
      <c r="H4" s="6">
        <v>-1.5629999999999999</v>
      </c>
      <c r="I4" s="6">
        <v>-3.548</v>
      </c>
      <c r="J4" s="6">
        <v>-0.42299999999999999</v>
      </c>
      <c r="K4" s="6">
        <v>9.5000000000000001E-2</v>
      </c>
      <c r="L4" s="6">
        <v>-1.52</v>
      </c>
      <c r="M4" s="6">
        <v>-2.1539999999999999</v>
      </c>
      <c r="N4" s="6">
        <v>-9.3520000000000003</v>
      </c>
      <c r="O4" s="6">
        <v>0.70199999999999996</v>
      </c>
      <c r="P4" s="6">
        <v>-1.1850000000000001</v>
      </c>
      <c r="Q4" s="6">
        <v>-2.04</v>
      </c>
    </row>
    <row r="5" spans="1:17">
      <c r="A5" s="2">
        <v>1953</v>
      </c>
      <c r="B5" s="6">
        <v>1.0369999999999999</v>
      </c>
      <c r="C5" s="6">
        <v>1.5569999999999999</v>
      </c>
      <c r="D5" s="6">
        <v>-8.8999999999999996E-2</v>
      </c>
      <c r="E5" s="6">
        <v>-2.0209999999999999</v>
      </c>
      <c r="F5" s="6">
        <v>0.17100000000000001</v>
      </c>
      <c r="G5" s="6">
        <v>-1.2549999999999999</v>
      </c>
      <c r="H5" s="6">
        <v>-1.5629999999999999</v>
      </c>
      <c r="I5" s="6">
        <v>-3.548</v>
      </c>
      <c r="J5" s="6">
        <v>-0.42299999999999999</v>
      </c>
      <c r="K5" s="6">
        <v>9.5000000000000001E-2</v>
      </c>
      <c r="L5" s="6">
        <v>-1.52</v>
      </c>
      <c r="M5" s="6">
        <v>-2.1539999999999999</v>
      </c>
      <c r="N5" s="6">
        <v>-9.3520000000000003</v>
      </c>
      <c r="O5" s="6">
        <v>0.70199999999999996</v>
      </c>
      <c r="P5" s="6">
        <v>-1.1850000000000001</v>
      </c>
      <c r="Q5" s="6">
        <v>-2.04</v>
      </c>
    </row>
    <row r="6" spans="1:17">
      <c r="A6" s="2">
        <v>1954</v>
      </c>
      <c r="B6" s="6">
        <v>1.0369999999999999</v>
      </c>
      <c r="C6" s="6">
        <v>1.5569999999999999</v>
      </c>
      <c r="D6" s="6">
        <v>-8.8999999999999996E-2</v>
      </c>
      <c r="E6" s="6">
        <v>-2.0209999999999999</v>
      </c>
      <c r="F6" s="6">
        <v>0.17100000000000001</v>
      </c>
      <c r="G6" s="6">
        <v>-1.2549999999999999</v>
      </c>
      <c r="H6" s="6">
        <v>-1.5629999999999999</v>
      </c>
      <c r="I6" s="6">
        <v>-3.548</v>
      </c>
      <c r="J6" s="6">
        <v>-0.42299999999999999</v>
      </c>
      <c r="K6" s="6">
        <v>9.5000000000000001E-2</v>
      </c>
      <c r="L6" s="6">
        <v>-1.52</v>
      </c>
      <c r="M6" s="6">
        <v>-2.1539999999999999</v>
      </c>
      <c r="N6" s="6">
        <v>-9.3520000000000003</v>
      </c>
      <c r="O6" s="6">
        <v>0.70199999999999996</v>
      </c>
      <c r="P6" s="6">
        <v>-1.1850000000000001</v>
      </c>
      <c r="Q6" s="6">
        <v>-2.04</v>
      </c>
    </row>
    <row r="7" spans="1:17">
      <c r="A7" s="2">
        <v>1955</v>
      </c>
      <c r="B7" s="6">
        <v>1.0369999999999999</v>
      </c>
      <c r="C7" s="6">
        <v>1.5569999999999999</v>
      </c>
      <c r="D7" s="6">
        <v>-8.8999999999999996E-2</v>
      </c>
      <c r="E7" s="6">
        <v>-2.0209999999999999</v>
      </c>
      <c r="F7" s="6">
        <v>0.17100000000000001</v>
      </c>
      <c r="G7" s="6">
        <v>-1.2549999999999999</v>
      </c>
      <c r="H7" s="6">
        <v>-1.5629999999999999</v>
      </c>
      <c r="I7" s="6">
        <v>-3.548</v>
      </c>
      <c r="J7" s="6">
        <v>-0.42299999999999999</v>
      </c>
      <c r="K7" s="6">
        <v>9.5000000000000001E-2</v>
      </c>
      <c r="L7" s="6">
        <v>-1.52</v>
      </c>
      <c r="M7" s="6">
        <v>-2.1539999999999999</v>
      </c>
      <c r="N7" s="6">
        <v>-9.3520000000000003</v>
      </c>
      <c r="O7" s="6">
        <v>0.70199999999999996</v>
      </c>
      <c r="P7" s="6">
        <v>-1.1850000000000001</v>
      </c>
      <c r="Q7" s="6">
        <v>-2.04</v>
      </c>
    </row>
    <row r="8" spans="1:17">
      <c r="A8" s="2">
        <v>1956</v>
      </c>
      <c r="B8" s="6">
        <v>1.0369999999999999</v>
      </c>
      <c r="C8" s="6">
        <v>1.5569999999999999</v>
      </c>
      <c r="D8" s="6">
        <v>-8.8999999999999996E-2</v>
      </c>
      <c r="E8" s="6">
        <v>-2.0209999999999999</v>
      </c>
      <c r="F8" s="6">
        <v>0.17100000000000001</v>
      </c>
      <c r="G8" s="6">
        <v>-1.2549999999999999</v>
      </c>
      <c r="H8" s="6">
        <v>-1.5629999999999999</v>
      </c>
      <c r="I8" s="6">
        <v>-3.548</v>
      </c>
      <c r="J8" s="6">
        <v>-0.42299999999999999</v>
      </c>
      <c r="K8" s="6">
        <v>9.5000000000000001E-2</v>
      </c>
      <c r="L8" s="6">
        <v>-1.52</v>
      </c>
      <c r="M8" s="6">
        <v>-2.1539999999999999</v>
      </c>
      <c r="N8" s="6">
        <v>-9.3520000000000003</v>
      </c>
      <c r="O8" s="6">
        <v>0.70199999999999996</v>
      </c>
      <c r="P8" s="6">
        <v>-1.1850000000000001</v>
      </c>
      <c r="Q8" s="6">
        <v>-2.04</v>
      </c>
    </row>
    <row r="9" spans="1:17">
      <c r="A9" s="2">
        <v>1957</v>
      </c>
      <c r="B9" s="6">
        <v>1.0369999999999999</v>
      </c>
      <c r="C9" s="6">
        <v>1.5569999999999999</v>
      </c>
      <c r="D9" s="6">
        <v>-8.8999999999999996E-2</v>
      </c>
      <c r="E9" s="6">
        <v>-2.0209999999999999</v>
      </c>
      <c r="F9" s="6">
        <v>0.17100000000000001</v>
      </c>
      <c r="G9" s="6">
        <v>-1.2549999999999999</v>
      </c>
      <c r="H9" s="6">
        <v>-1.5629999999999999</v>
      </c>
      <c r="I9" s="6">
        <v>-3.548</v>
      </c>
      <c r="J9" s="6">
        <v>-0.42299999999999999</v>
      </c>
      <c r="K9" s="6">
        <v>9.5000000000000001E-2</v>
      </c>
      <c r="L9" s="6">
        <v>-1.52</v>
      </c>
      <c r="M9" s="6">
        <v>-2.1539999999999999</v>
      </c>
      <c r="N9" s="6">
        <v>-9.3520000000000003</v>
      </c>
      <c r="O9" s="6">
        <v>0.70199999999999996</v>
      </c>
      <c r="P9" s="6">
        <v>-1.1850000000000001</v>
      </c>
      <c r="Q9" s="6">
        <v>-2.04</v>
      </c>
    </row>
    <row r="10" spans="1:17">
      <c r="A10" s="2">
        <v>1958</v>
      </c>
      <c r="B10" s="6">
        <v>1.0369999999999999</v>
      </c>
      <c r="C10" s="6">
        <v>1.5569999999999999</v>
      </c>
      <c r="D10" s="6">
        <v>-8.8999999999999996E-2</v>
      </c>
      <c r="E10" s="6">
        <v>-2.0209999999999999</v>
      </c>
      <c r="F10" s="6">
        <v>0.17100000000000001</v>
      </c>
      <c r="G10" s="6">
        <v>-1.2549999999999999</v>
      </c>
      <c r="H10" s="6">
        <v>-1.5629999999999999</v>
      </c>
      <c r="I10" s="6">
        <v>-3.548</v>
      </c>
      <c r="J10" s="6">
        <v>-0.42299999999999999</v>
      </c>
      <c r="K10" s="6">
        <v>9.5000000000000001E-2</v>
      </c>
      <c r="L10" s="6">
        <v>-1.52</v>
      </c>
      <c r="M10" s="6">
        <v>-2.1539999999999999</v>
      </c>
      <c r="N10" s="6">
        <v>-9.3520000000000003</v>
      </c>
      <c r="O10" s="6">
        <v>0.70199999999999996</v>
      </c>
      <c r="P10" s="6">
        <v>-1.1850000000000001</v>
      </c>
      <c r="Q10" s="6">
        <v>-2.04</v>
      </c>
    </row>
    <row r="11" spans="1:17">
      <c r="A11" s="2">
        <v>1959</v>
      </c>
      <c r="B11" s="6">
        <v>1.0369999999999999</v>
      </c>
      <c r="C11" s="6">
        <v>1.5569999999999999</v>
      </c>
      <c r="D11" s="6">
        <v>-8.8999999999999996E-2</v>
      </c>
      <c r="E11" s="6">
        <v>-2.0209999999999999</v>
      </c>
      <c r="F11" s="6">
        <v>0.17100000000000001</v>
      </c>
      <c r="G11" s="6">
        <v>-1.2549999999999999</v>
      </c>
      <c r="H11" s="6">
        <v>-1.5629999999999999</v>
      </c>
      <c r="I11" s="6">
        <v>-3.548</v>
      </c>
      <c r="J11" s="6">
        <v>-0.42299999999999999</v>
      </c>
      <c r="K11" s="6">
        <v>9.5000000000000001E-2</v>
      </c>
      <c r="L11" s="6">
        <v>-1.52</v>
      </c>
      <c r="M11" s="6">
        <v>-2.1539999999999999</v>
      </c>
      <c r="N11" s="6">
        <v>-9.3520000000000003</v>
      </c>
      <c r="O11" s="6">
        <v>0.70199999999999996</v>
      </c>
      <c r="P11" s="6">
        <v>-1.1850000000000001</v>
      </c>
      <c r="Q11" s="6">
        <v>-2.04</v>
      </c>
    </row>
    <row r="12" spans="1:17">
      <c r="A12" s="2">
        <v>1960</v>
      </c>
      <c r="B12" s="6">
        <v>-0.315</v>
      </c>
      <c r="C12" s="6">
        <v>-0.39900000000000002</v>
      </c>
      <c r="D12" s="6">
        <v>-8.0000000000000002E-3</v>
      </c>
      <c r="E12" s="6">
        <v>-3.7250000000000001</v>
      </c>
      <c r="F12" s="6">
        <v>0.39700000000000002</v>
      </c>
      <c r="G12" s="6">
        <v>-0.755</v>
      </c>
      <c r="H12" s="6">
        <v>-0.314</v>
      </c>
      <c r="I12" s="6">
        <v>-3.004</v>
      </c>
      <c r="J12" s="6">
        <v>0.64</v>
      </c>
      <c r="K12" s="6">
        <v>0.36499999999999999</v>
      </c>
      <c r="L12" s="6">
        <v>-0.85299999999999998</v>
      </c>
      <c r="M12" s="6">
        <v>-2.5219999999999998</v>
      </c>
      <c r="N12" s="6">
        <v>2.899</v>
      </c>
      <c r="O12" s="6">
        <v>-2.1589999999999998</v>
      </c>
      <c r="P12" s="6">
        <v>-1.51</v>
      </c>
      <c r="Q12" s="6">
        <v>-1.62</v>
      </c>
    </row>
    <row r="13" spans="1:17">
      <c r="A13" s="2">
        <v>1961</v>
      </c>
      <c r="B13" s="6">
        <v>-0.315</v>
      </c>
      <c r="C13" s="6">
        <v>-0.39900000000000002</v>
      </c>
      <c r="D13" s="6">
        <v>-8.0000000000000002E-3</v>
      </c>
      <c r="E13" s="6">
        <v>-3.7250000000000001</v>
      </c>
      <c r="F13" s="6">
        <v>0.39700000000000002</v>
      </c>
      <c r="G13" s="6">
        <v>-0.755</v>
      </c>
      <c r="H13" s="6">
        <v>-0.314</v>
      </c>
      <c r="I13" s="6">
        <v>-3.004</v>
      </c>
      <c r="J13" s="6">
        <v>0.64</v>
      </c>
      <c r="K13" s="6">
        <v>0.36499999999999999</v>
      </c>
      <c r="L13" s="6">
        <v>-0.85299999999999998</v>
      </c>
      <c r="M13" s="6">
        <v>-2.5219999999999998</v>
      </c>
      <c r="N13" s="6">
        <v>2.899</v>
      </c>
      <c r="O13" s="6">
        <v>-2.1589999999999998</v>
      </c>
      <c r="P13" s="6">
        <v>-1.51</v>
      </c>
      <c r="Q13" s="6">
        <v>-1.62</v>
      </c>
    </row>
    <row r="14" spans="1:17">
      <c r="A14" s="2">
        <v>1962</v>
      </c>
      <c r="B14" s="6">
        <v>-0.315</v>
      </c>
      <c r="C14" s="6">
        <v>-0.39900000000000002</v>
      </c>
      <c r="D14" s="6">
        <v>-8.0000000000000002E-3</v>
      </c>
      <c r="E14" s="6">
        <v>-3.7250000000000001</v>
      </c>
      <c r="F14" s="6">
        <v>0.39700000000000002</v>
      </c>
      <c r="G14" s="6">
        <v>-0.755</v>
      </c>
      <c r="H14" s="6">
        <v>-0.314</v>
      </c>
      <c r="I14" s="6">
        <v>-3.004</v>
      </c>
      <c r="J14" s="6">
        <v>0.64</v>
      </c>
      <c r="K14" s="6">
        <v>0.36499999999999999</v>
      </c>
      <c r="L14" s="6">
        <v>-0.85299999999999998</v>
      </c>
      <c r="M14" s="6">
        <v>-2.5219999999999998</v>
      </c>
      <c r="N14" s="6">
        <v>2.899</v>
      </c>
      <c r="O14" s="6">
        <v>-2.1589999999999998</v>
      </c>
      <c r="P14" s="6">
        <v>-1.51</v>
      </c>
      <c r="Q14" s="6">
        <v>-1.62</v>
      </c>
    </row>
    <row r="15" spans="1:17">
      <c r="A15" s="2">
        <v>1963</v>
      </c>
      <c r="B15" s="6">
        <v>-0.315</v>
      </c>
      <c r="C15" s="6">
        <v>-0.39900000000000002</v>
      </c>
      <c r="D15" s="6">
        <v>-8.0000000000000002E-3</v>
      </c>
      <c r="E15" s="6">
        <v>-3.7250000000000001</v>
      </c>
      <c r="F15" s="6">
        <v>0.39700000000000002</v>
      </c>
      <c r="G15" s="6">
        <v>-0.755</v>
      </c>
      <c r="H15" s="6">
        <v>-0.314</v>
      </c>
      <c r="I15" s="6">
        <v>-3.004</v>
      </c>
      <c r="J15" s="6">
        <v>0.64</v>
      </c>
      <c r="K15" s="6">
        <v>0.36499999999999999</v>
      </c>
      <c r="L15" s="6">
        <v>-0.85299999999999998</v>
      </c>
      <c r="M15" s="6">
        <v>-2.5219999999999998</v>
      </c>
      <c r="N15" s="6">
        <v>2.899</v>
      </c>
      <c r="O15" s="6">
        <v>-2.1589999999999998</v>
      </c>
      <c r="P15" s="6">
        <v>-1.51</v>
      </c>
      <c r="Q15" s="6">
        <v>-1.62</v>
      </c>
    </row>
    <row r="16" spans="1:17">
      <c r="A16" s="2">
        <v>1964</v>
      </c>
      <c r="B16" s="6">
        <v>-0.315</v>
      </c>
      <c r="C16" s="6">
        <v>-0.39900000000000002</v>
      </c>
      <c r="D16" s="6">
        <v>-8.0000000000000002E-3</v>
      </c>
      <c r="E16" s="6">
        <v>-3.7250000000000001</v>
      </c>
      <c r="F16" s="6">
        <v>0.39700000000000002</v>
      </c>
      <c r="G16" s="6">
        <v>-0.755</v>
      </c>
      <c r="H16" s="6">
        <v>-0.314</v>
      </c>
      <c r="I16" s="6">
        <v>-3.004</v>
      </c>
      <c r="J16" s="6">
        <v>0.64</v>
      </c>
      <c r="K16" s="6">
        <v>0.36499999999999999</v>
      </c>
      <c r="L16" s="6">
        <v>-0.85299999999999998</v>
      </c>
      <c r="M16" s="6">
        <v>-2.5219999999999998</v>
      </c>
      <c r="N16" s="6">
        <v>2.899</v>
      </c>
      <c r="O16" s="6">
        <v>-2.1589999999999998</v>
      </c>
      <c r="P16" s="6">
        <v>-1.51</v>
      </c>
      <c r="Q16" s="6">
        <v>-1.62</v>
      </c>
    </row>
    <row r="17" spans="1:17">
      <c r="A17" s="2">
        <v>1965</v>
      </c>
      <c r="B17" s="6">
        <v>-0.315</v>
      </c>
      <c r="C17" s="6">
        <v>-0.39900000000000002</v>
      </c>
      <c r="D17" s="6">
        <v>-8.0000000000000002E-3</v>
      </c>
      <c r="E17" s="6">
        <v>-3.7250000000000001</v>
      </c>
      <c r="F17" s="6">
        <v>0.39700000000000002</v>
      </c>
      <c r="G17" s="6">
        <v>-0.755</v>
      </c>
      <c r="H17" s="6">
        <v>-0.314</v>
      </c>
      <c r="I17" s="6">
        <v>-3.004</v>
      </c>
      <c r="J17" s="6">
        <v>0.64</v>
      </c>
      <c r="K17" s="6">
        <v>0.36499999999999999</v>
      </c>
      <c r="L17" s="6">
        <v>-0.85299999999999998</v>
      </c>
      <c r="M17" s="6">
        <v>-2.5219999999999998</v>
      </c>
      <c r="N17" s="6">
        <v>2.899</v>
      </c>
      <c r="O17" s="6">
        <v>-2.1589999999999998</v>
      </c>
      <c r="P17" s="6">
        <v>-1.51</v>
      </c>
      <c r="Q17" s="6">
        <v>-1.62</v>
      </c>
    </row>
    <row r="18" spans="1:17">
      <c r="A18" s="2">
        <v>1966</v>
      </c>
      <c r="B18" s="6">
        <v>-0.315</v>
      </c>
      <c r="C18" s="6">
        <v>-0.39900000000000002</v>
      </c>
      <c r="D18" s="6">
        <v>-8.0000000000000002E-3</v>
      </c>
      <c r="E18" s="6">
        <v>-3.7250000000000001</v>
      </c>
      <c r="F18" s="6">
        <v>0.39700000000000002</v>
      </c>
      <c r="G18" s="6">
        <v>-0.755</v>
      </c>
      <c r="H18" s="6">
        <v>-0.314</v>
      </c>
      <c r="I18" s="6">
        <v>-3.004</v>
      </c>
      <c r="J18" s="6">
        <v>0.64</v>
      </c>
      <c r="K18" s="6">
        <v>0.36499999999999999</v>
      </c>
      <c r="L18" s="6">
        <v>-0.85299999999999998</v>
      </c>
      <c r="M18" s="6">
        <v>-2.5219999999999998</v>
      </c>
      <c r="N18" s="6">
        <v>2.899</v>
      </c>
      <c r="O18" s="6">
        <v>-2.1589999999999998</v>
      </c>
      <c r="P18" s="6">
        <v>-1.51</v>
      </c>
      <c r="Q18" s="6">
        <v>-1.62</v>
      </c>
    </row>
    <row r="19" spans="1:17">
      <c r="A19" s="2">
        <v>1967</v>
      </c>
      <c r="B19" s="6">
        <v>-0.315</v>
      </c>
      <c r="C19" s="6">
        <v>-0.39900000000000002</v>
      </c>
      <c r="D19" s="6">
        <v>-8.0000000000000002E-3</v>
      </c>
      <c r="E19" s="6">
        <v>-3.7250000000000001</v>
      </c>
      <c r="F19" s="6">
        <v>0.39700000000000002</v>
      </c>
      <c r="G19" s="6">
        <v>-0.755</v>
      </c>
      <c r="H19" s="6">
        <v>-0.314</v>
      </c>
      <c r="I19" s="6">
        <v>-3.004</v>
      </c>
      <c r="J19" s="6">
        <v>0.64</v>
      </c>
      <c r="K19" s="6">
        <v>0.36499999999999999</v>
      </c>
      <c r="L19" s="6">
        <v>-0.85299999999999998</v>
      </c>
      <c r="M19" s="6">
        <v>-2.5219999999999998</v>
      </c>
      <c r="N19" s="6">
        <v>2.899</v>
      </c>
      <c r="O19" s="6">
        <v>-2.1589999999999998</v>
      </c>
      <c r="P19" s="6">
        <v>-1.51</v>
      </c>
      <c r="Q19" s="6">
        <v>-1.62</v>
      </c>
    </row>
    <row r="20" spans="1:17">
      <c r="A20" s="2">
        <v>1968</v>
      </c>
      <c r="B20" s="6">
        <v>-0.315</v>
      </c>
      <c r="C20" s="6">
        <v>-0.39900000000000002</v>
      </c>
      <c r="D20" s="6">
        <v>-8.0000000000000002E-3</v>
      </c>
      <c r="E20" s="6">
        <v>-3.7250000000000001</v>
      </c>
      <c r="F20" s="6">
        <v>0.39700000000000002</v>
      </c>
      <c r="G20" s="6">
        <v>-0.755</v>
      </c>
      <c r="H20" s="6">
        <v>-0.314</v>
      </c>
      <c r="I20" s="6">
        <v>-3.004</v>
      </c>
      <c r="J20" s="6">
        <v>0.64</v>
      </c>
      <c r="K20" s="6">
        <v>0.36499999999999999</v>
      </c>
      <c r="L20" s="6">
        <v>-0.85299999999999998</v>
      </c>
      <c r="M20" s="6">
        <v>-2.5219999999999998</v>
      </c>
      <c r="N20" s="6">
        <v>2.899</v>
      </c>
      <c r="O20" s="6">
        <v>-2.1589999999999998</v>
      </c>
      <c r="P20" s="6">
        <v>-1.51</v>
      </c>
      <c r="Q20" s="6">
        <v>-1.62</v>
      </c>
    </row>
    <row r="21" spans="1:17">
      <c r="A21" s="2">
        <v>1969</v>
      </c>
      <c r="B21" s="6">
        <v>-0.315</v>
      </c>
      <c r="C21" s="6">
        <v>-0.39900000000000002</v>
      </c>
      <c r="D21" s="6">
        <v>-8.0000000000000002E-3</v>
      </c>
      <c r="E21" s="6">
        <v>-3.7250000000000001</v>
      </c>
      <c r="F21" s="6">
        <v>0.39700000000000002</v>
      </c>
      <c r="G21" s="6">
        <v>-0.755</v>
      </c>
      <c r="H21" s="6">
        <v>-0.314</v>
      </c>
      <c r="I21" s="6">
        <v>-3.004</v>
      </c>
      <c r="J21" s="6">
        <v>0.64</v>
      </c>
      <c r="K21" s="6">
        <v>0.36499999999999999</v>
      </c>
      <c r="L21" s="6">
        <v>-0.85299999999999998</v>
      </c>
      <c r="M21" s="6">
        <v>-2.5219999999999998</v>
      </c>
      <c r="N21" s="6">
        <v>2.899</v>
      </c>
      <c r="O21" s="6">
        <v>-2.1589999999999998</v>
      </c>
      <c r="P21" s="6">
        <v>-1.51</v>
      </c>
      <c r="Q21" s="6">
        <v>-1.62</v>
      </c>
    </row>
    <row r="22" spans="1:17">
      <c r="A22" s="2">
        <v>1970</v>
      </c>
      <c r="B22" s="6">
        <v>0.97399999999999998</v>
      </c>
      <c r="C22" s="6">
        <v>0.81799999999999995</v>
      </c>
      <c r="D22" s="6">
        <v>0.97299999999999998</v>
      </c>
      <c r="E22" s="6">
        <v>0.83199999999999996</v>
      </c>
      <c r="F22" s="6">
        <v>-4.0000000000000001E-3</v>
      </c>
      <c r="G22" s="6">
        <v>0.14299999999999999</v>
      </c>
      <c r="H22" s="6">
        <v>-0.10199999999999999</v>
      </c>
      <c r="I22" s="6">
        <v>-0.51200000000000001</v>
      </c>
      <c r="J22" s="6">
        <v>-1.0249999999999999</v>
      </c>
      <c r="K22" s="6">
        <v>0.70499999999999996</v>
      </c>
      <c r="L22" s="6">
        <v>-1.9139999999999999</v>
      </c>
      <c r="M22" s="6">
        <v>0.53</v>
      </c>
      <c r="N22" s="6">
        <v>-0.22500000000000001</v>
      </c>
      <c r="O22" s="6">
        <v>-0.61799999999999999</v>
      </c>
      <c r="P22" s="6">
        <v>-0.60499999999999998</v>
      </c>
      <c r="Q22" s="6">
        <v>-0.255</v>
      </c>
    </row>
    <row r="23" spans="1:17">
      <c r="A23" s="2">
        <v>1971</v>
      </c>
      <c r="B23" s="6">
        <v>0.97399999999999998</v>
      </c>
      <c r="C23" s="6">
        <v>0.81799999999999995</v>
      </c>
      <c r="D23" s="6">
        <v>0.97299999999999998</v>
      </c>
      <c r="E23" s="6">
        <v>0.83199999999999996</v>
      </c>
      <c r="F23" s="6">
        <v>-4.0000000000000001E-3</v>
      </c>
      <c r="G23" s="6">
        <v>0.14299999999999999</v>
      </c>
      <c r="H23" s="6">
        <v>-0.10199999999999999</v>
      </c>
      <c r="I23" s="6">
        <v>-0.51200000000000001</v>
      </c>
      <c r="J23" s="6">
        <v>-1.0249999999999999</v>
      </c>
      <c r="K23" s="6">
        <v>0.70499999999999996</v>
      </c>
      <c r="L23" s="6">
        <v>-1.9139999999999999</v>
      </c>
      <c r="M23" s="6">
        <v>0.53</v>
      </c>
      <c r="N23" s="6">
        <v>-0.22500000000000001</v>
      </c>
      <c r="O23" s="6">
        <v>-0.61799999999999999</v>
      </c>
      <c r="P23" s="6">
        <v>-0.60499999999999998</v>
      </c>
      <c r="Q23" s="6">
        <v>-0.255</v>
      </c>
    </row>
    <row r="24" spans="1:17">
      <c r="A24" s="2">
        <v>1972</v>
      </c>
      <c r="B24" s="6">
        <v>0.97399999999999998</v>
      </c>
      <c r="C24" s="6">
        <v>0.81799999999999995</v>
      </c>
      <c r="D24" s="6">
        <v>0.97299999999999998</v>
      </c>
      <c r="E24" s="6">
        <v>0.83199999999999996</v>
      </c>
      <c r="F24" s="6">
        <v>-4.0000000000000001E-3</v>
      </c>
      <c r="G24" s="6">
        <v>0.14299999999999999</v>
      </c>
      <c r="H24" s="6">
        <v>-0.10199999999999999</v>
      </c>
      <c r="I24" s="6">
        <v>-0.51200000000000001</v>
      </c>
      <c r="J24" s="6">
        <v>-1.0249999999999999</v>
      </c>
      <c r="K24" s="6">
        <v>0.70499999999999996</v>
      </c>
      <c r="L24" s="6">
        <v>-1.9139999999999999</v>
      </c>
      <c r="M24" s="6">
        <v>0.53</v>
      </c>
      <c r="N24" s="6">
        <v>-0.22500000000000001</v>
      </c>
      <c r="O24" s="6">
        <v>-0.61799999999999999</v>
      </c>
      <c r="P24" s="6">
        <v>-0.60499999999999998</v>
      </c>
      <c r="Q24" s="6">
        <v>-0.255</v>
      </c>
    </row>
    <row r="25" spans="1:17">
      <c r="A25" s="2">
        <v>1973</v>
      </c>
      <c r="B25" s="6">
        <v>0.97399999999999998</v>
      </c>
      <c r="C25" s="6">
        <v>0.81799999999999995</v>
      </c>
      <c r="D25" s="6">
        <v>0.97299999999999998</v>
      </c>
      <c r="E25" s="6">
        <v>0.83199999999999996</v>
      </c>
      <c r="F25" s="6">
        <v>-4.0000000000000001E-3</v>
      </c>
      <c r="G25" s="6">
        <v>0.14299999999999999</v>
      </c>
      <c r="H25" s="6">
        <v>-0.10199999999999999</v>
      </c>
      <c r="I25" s="6">
        <v>-0.51200000000000001</v>
      </c>
      <c r="J25" s="6">
        <v>-1.0249999999999999</v>
      </c>
      <c r="K25" s="6">
        <v>0.70499999999999996</v>
      </c>
      <c r="L25" s="6">
        <v>-1.9139999999999999</v>
      </c>
      <c r="M25" s="6">
        <v>0.53</v>
      </c>
      <c r="N25" s="6">
        <v>-0.22500000000000001</v>
      </c>
      <c r="O25" s="6">
        <v>-0.61799999999999999</v>
      </c>
      <c r="P25" s="6">
        <v>-0.60499999999999998</v>
      </c>
      <c r="Q25" s="6">
        <v>-0.255</v>
      </c>
    </row>
    <row r="26" spans="1:17">
      <c r="A26" s="2">
        <v>1974</v>
      </c>
      <c r="B26" s="6">
        <v>0.97399999999999998</v>
      </c>
      <c r="C26" s="6">
        <v>0.81799999999999995</v>
      </c>
      <c r="D26" s="6">
        <v>0.97299999999999998</v>
      </c>
      <c r="E26" s="6">
        <v>0.83199999999999996</v>
      </c>
      <c r="F26" s="6">
        <v>-4.0000000000000001E-3</v>
      </c>
      <c r="G26" s="6">
        <v>0.14299999999999999</v>
      </c>
      <c r="H26" s="6">
        <v>-0.10199999999999999</v>
      </c>
      <c r="I26" s="6">
        <v>-0.51200000000000001</v>
      </c>
      <c r="J26" s="6">
        <v>-1.0249999999999999</v>
      </c>
      <c r="K26" s="6">
        <v>0.70499999999999996</v>
      </c>
      <c r="L26" s="6">
        <v>-1.9139999999999999</v>
      </c>
      <c r="M26" s="6">
        <v>0.53</v>
      </c>
      <c r="N26" s="6">
        <v>-0.22500000000000001</v>
      </c>
      <c r="O26" s="6">
        <v>-0.61799999999999999</v>
      </c>
      <c r="P26" s="6">
        <v>-0.60499999999999998</v>
      </c>
      <c r="Q26" s="6">
        <v>-0.255</v>
      </c>
    </row>
    <row r="27" spans="1:17">
      <c r="A27" s="2">
        <v>1975</v>
      </c>
      <c r="B27" s="6">
        <v>0.97399999999999998</v>
      </c>
      <c r="C27" s="6">
        <v>0.81799999999999995</v>
      </c>
      <c r="D27" s="6">
        <v>0.97299999999999998</v>
      </c>
      <c r="E27" s="6">
        <v>0.83199999999999996</v>
      </c>
      <c r="F27" s="6">
        <v>-4.0000000000000001E-3</v>
      </c>
      <c r="G27" s="6">
        <v>0.14299999999999999</v>
      </c>
      <c r="H27" s="6">
        <v>-0.10199999999999999</v>
      </c>
      <c r="I27" s="6">
        <v>-0.51200000000000001</v>
      </c>
      <c r="J27" s="6">
        <v>-1.0249999999999999</v>
      </c>
      <c r="K27" s="6">
        <v>0.70499999999999996</v>
      </c>
      <c r="L27" s="6">
        <v>-1.9139999999999999</v>
      </c>
      <c r="M27" s="6">
        <v>0.53</v>
      </c>
      <c r="N27" s="6">
        <v>-0.22500000000000001</v>
      </c>
      <c r="O27" s="6">
        <v>-0.61799999999999999</v>
      </c>
      <c r="P27" s="6">
        <v>-0.60499999999999998</v>
      </c>
      <c r="Q27" s="6">
        <v>-0.255</v>
      </c>
    </row>
    <row r="28" spans="1:17">
      <c r="A28" s="2">
        <v>1976</v>
      </c>
      <c r="B28" s="6">
        <v>0.97399999999999998</v>
      </c>
      <c r="C28" s="6">
        <v>0.81799999999999995</v>
      </c>
      <c r="D28" s="6">
        <v>0.97299999999999998</v>
      </c>
      <c r="E28" s="6">
        <v>0.83199999999999996</v>
      </c>
      <c r="F28" s="6">
        <v>-4.0000000000000001E-3</v>
      </c>
      <c r="G28" s="6">
        <v>0.14299999999999999</v>
      </c>
      <c r="H28" s="6">
        <v>-0.10199999999999999</v>
      </c>
      <c r="I28" s="6">
        <v>-0.51200000000000001</v>
      </c>
      <c r="J28" s="6">
        <v>-1.0249999999999999</v>
      </c>
      <c r="K28" s="6">
        <v>0.70499999999999996</v>
      </c>
      <c r="L28" s="6">
        <v>-1.9139999999999999</v>
      </c>
      <c r="M28" s="6">
        <v>0.53</v>
      </c>
      <c r="N28" s="6">
        <v>-0.22500000000000001</v>
      </c>
      <c r="O28" s="6">
        <v>-0.61799999999999999</v>
      </c>
      <c r="P28" s="6">
        <v>-0.60499999999999998</v>
      </c>
      <c r="Q28" s="6">
        <v>-0.255</v>
      </c>
    </row>
    <row r="29" spans="1:17">
      <c r="A29" s="2">
        <v>1977</v>
      </c>
      <c r="B29" s="6">
        <v>0.97399999999999998</v>
      </c>
      <c r="C29" s="6">
        <v>0.81799999999999995</v>
      </c>
      <c r="D29" s="6">
        <v>0.97299999999999998</v>
      </c>
      <c r="E29" s="6">
        <v>0.83199999999999996</v>
      </c>
      <c r="F29" s="6">
        <v>-4.0000000000000001E-3</v>
      </c>
      <c r="G29" s="6">
        <v>0.14299999999999999</v>
      </c>
      <c r="H29" s="6">
        <v>-0.10199999999999999</v>
      </c>
      <c r="I29" s="6">
        <v>-0.51200000000000001</v>
      </c>
      <c r="J29" s="6">
        <v>-1.0249999999999999</v>
      </c>
      <c r="K29" s="6">
        <v>0.70499999999999996</v>
      </c>
      <c r="L29" s="6">
        <v>-1.9139999999999999</v>
      </c>
      <c r="M29" s="6">
        <v>0.53</v>
      </c>
      <c r="N29" s="6">
        <v>-0.22500000000000001</v>
      </c>
      <c r="O29" s="6">
        <v>-0.61799999999999999</v>
      </c>
      <c r="P29" s="6">
        <v>-0.60499999999999998</v>
      </c>
      <c r="Q29" s="6">
        <v>-0.255</v>
      </c>
    </row>
    <row r="30" spans="1:17">
      <c r="A30" s="2">
        <v>1978</v>
      </c>
      <c r="B30" s="6">
        <v>0.97399999999999998</v>
      </c>
      <c r="C30" s="6">
        <v>0.81799999999999995</v>
      </c>
      <c r="D30" s="6">
        <v>0.97299999999999998</v>
      </c>
      <c r="E30" s="6">
        <v>0.83199999999999996</v>
      </c>
      <c r="F30" s="6">
        <v>-4.0000000000000001E-3</v>
      </c>
      <c r="G30" s="6">
        <v>0.14299999999999999</v>
      </c>
      <c r="H30" s="6">
        <v>-0.10199999999999999</v>
      </c>
      <c r="I30" s="6">
        <v>-0.51200000000000001</v>
      </c>
      <c r="J30" s="6">
        <v>-1.0249999999999999</v>
      </c>
      <c r="K30" s="6">
        <v>0.70499999999999996</v>
      </c>
      <c r="L30" s="6">
        <v>-1.9139999999999999</v>
      </c>
      <c r="M30" s="6">
        <v>0.53</v>
      </c>
      <c r="N30" s="6">
        <v>-0.22500000000000001</v>
      </c>
      <c r="O30" s="6">
        <v>-0.61799999999999999</v>
      </c>
      <c r="P30" s="6">
        <v>-0.60499999999999998</v>
      </c>
      <c r="Q30" s="6">
        <v>-0.255</v>
      </c>
    </row>
    <row r="31" spans="1:17">
      <c r="A31" s="2">
        <v>1979</v>
      </c>
      <c r="B31" s="6">
        <v>0.97399999999999998</v>
      </c>
      <c r="C31" s="6">
        <v>0.81799999999999995</v>
      </c>
      <c r="D31" s="6">
        <v>0.97299999999999998</v>
      </c>
      <c r="E31" s="6">
        <v>0.83199999999999996</v>
      </c>
      <c r="F31" s="6">
        <v>-4.0000000000000001E-3</v>
      </c>
      <c r="G31" s="6">
        <v>0.14299999999999999</v>
      </c>
      <c r="H31" s="6">
        <v>-0.10199999999999999</v>
      </c>
      <c r="I31" s="6">
        <v>-0.51200000000000001</v>
      </c>
      <c r="J31" s="6">
        <v>-1.0249999999999999</v>
      </c>
      <c r="K31" s="6">
        <v>0.70499999999999996</v>
      </c>
      <c r="L31" s="6">
        <v>-1.9139999999999999</v>
      </c>
      <c r="M31" s="6">
        <v>0.53</v>
      </c>
      <c r="N31" s="6">
        <v>-0.22500000000000001</v>
      </c>
      <c r="O31" s="6">
        <v>-0.61799999999999999</v>
      </c>
      <c r="P31" s="6">
        <v>-0.60499999999999998</v>
      </c>
      <c r="Q31" s="6">
        <v>-0.255</v>
      </c>
    </row>
    <row r="32" spans="1:17">
      <c r="A32" s="2">
        <v>1980</v>
      </c>
      <c r="B32" s="6">
        <v>2.0019999999999998</v>
      </c>
      <c r="C32" s="6">
        <v>2.9449999999999998</v>
      </c>
      <c r="D32" s="6">
        <v>3.2469999999999999</v>
      </c>
      <c r="E32" s="6">
        <v>1.8540000000000001</v>
      </c>
      <c r="F32" s="6">
        <v>-1.2150000000000001</v>
      </c>
      <c r="G32" s="6">
        <v>2.629</v>
      </c>
      <c r="H32" s="6">
        <v>1.8959999999999999</v>
      </c>
      <c r="I32" s="6">
        <v>-2.0390000000000001</v>
      </c>
      <c r="J32" s="6">
        <v>-0.22900000000000001</v>
      </c>
      <c r="K32" s="6">
        <v>-0.4</v>
      </c>
      <c r="L32" s="6">
        <v>-1.109</v>
      </c>
      <c r="M32" s="6">
        <v>0.20499999999999999</v>
      </c>
      <c r="N32" s="6">
        <v>2.956</v>
      </c>
      <c r="O32" s="6">
        <v>0.47199999999999998</v>
      </c>
      <c r="P32" s="6">
        <v>-1.0149999999999999</v>
      </c>
      <c r="Q32" s="6">
        <v>2.27</v>
      </c>
    </row>
    <row r="33" spans="1:17">
      <c r="A33" s="2">
        <v>1981</v>
      </c>
      <c r="B33" s="6">
        <v>2.0019999999999998</v>
      </c>
      <c r="C33" s="6">
        <v>2.9449999999999998</v>
      </c>
      <c r="D33" s="6">
        <v>3.2469999999999999</v>
      </c>
      <c r="E33" s="6">
        <v>1.8540000000000001</v>
      </c>
      <c r="F33" s="6">
        <v>-1.2150000000000001</v>
      </c>
      <c r="G33" s="6">
        <v>2.629</v>
      </c>
      <c r="H33" s="6">
        <v>1.8959999999999999</v>
      </c>
      <c r="I33" s="6">
        <v>-2.0390000000000001</v>
      </c>
      <c r="J33" s="6">
        <v>-0.22900000000000001</v>
      </c>
      <c r="K33" s="6">
        <v>-0.4</v>
      </c>
      <c r="L33" s="6">
        <v>-1.109</v>
      </c>
      <c r="M33" s="6">
        <v>0.20499999999999999</v>
      </c>
      <c r="N33" s="6">
        <v>2.956</v>
      </c>
      <c r="O33" s="6">
        <v>0.47199999999999998</v>
      </c>
      <c r="P33" s="6">
        <v>-1.0149999999999999</v>
      </c>
      <c r="Q33" s="6">
        <v>2.27</v>
      </c>
    </row>
    <row r="34" spans="1:17">
      <c r="A34" s="2">
        <v>1982</v>
      </c>
      <c r="B34" s="6">
        <v>2.0019999999999998</v>
      </c>
      <c r="C34" s="6">
        <v>2.9449999999999998</v>
      </c>
      <c r="D34" s="6">
        <v>3.2469999999999999</v>
      </c>
      <c r="E34" s="6">
        <v>1.8540000000000001</v>
      </c>
      <c r="F34" s="6">
        <v>-1.2150000000000001</v>
      </c>
      <c r="G34" s="6">
        <v>2.629</v>
      </c>
      <c r="H34" s="6">
        <v>1.8959999999999999</v>
      </c>
      <c r="I34" s="6">
        <v>-2.0390000000000001</v>
      </c>
      <c r="J34" s="6">
        <v>-0.22900000000000001</v>
      </c>
      <c r="K34" s="6">
        <v>-0.4</v>
      </c>
      <c r="L34" s="6">
        <v>-1.109</v>
      </c>
      <c r="M34" s="6">
        <v>0.20499999999999999</v>
      </c>
      <c r="N34" s="6">
        <v>2.956</v>
      </c>
      <c r="O34" s="6">
        <v>0.47199999999999998</v>
      </c>
      <c r="P34" s="6">
        <v>-1.0149999999999999</v>
      </c>
      <c r="Q34" s="6">
        <v>2.27</v>
      </c>
    </row>
    <row r="35" spans="1:17">
      <c r="A35" s="2">
        <v>1983</v>
      </c>
      <c r="B35" s="6">
        <v>2.0019999999999998</v>
      </c>
      <c r="C35" s="6">
        <v>2.9449999999999998</v>
      </c>
      <c r="D35" s="6">
        <v>3.2469999999999999</v>
      </c>
      <c r="E35" s="6">
        <v>1.8540000000000001</v>
      </c>
      <c r="F35" s="6">
        <v>-1.2150000000000001</v>
      </c>
      <c r="G35" s="6">
        <v>2.629</v>
      </c>
      <c r="H35" s="6">
        <v>1.8959999999999999</v>
      </c>
      <c r="I35" s="6">
        <v>-2.0390000000000001</v>
      </c>
      <c r="J35" s="6">
        <v>-0.22900000000000001</v>
      </c>
      <c r="K35" s="6">
        <v>-0.4</v>
      </c>
      <c r="L35" s="6">
        <v>-1.109</v>
      </c>
      <c r="M35" s="6">
        <v>0.20499999999999999</v>
      </c>
      <c r="N35" s="6">
        <v>2.956</v>
      </c>
      <c r="O35" s="6">
        <v>0.47199999999999998</v>
      </c>
      <c r="P35" s="6">
        <v>-1.0149999999999999</v>
      </c>
      <c r="Q35" s="6">
        <v>2.27</v>
      </c>
    </row>
    <row r="36" spans="1:17">
      <c r="A36" s="2">
        <v>1984</v>
      </c>
      <c r="B36" s="6">
        <v>2.0019999999999998</v>
      </c>
      <c r="C36" s="6">
        <v>2.9449999999999998</v>
      </c>
      <c r="D36" s="6">
        <v>3.2469999999999999</v>
      </c>
      <c r="E36" s="6">
        <v>1.8540000000000001</v>
      </c>
      <c r="F36" s="6">
        <v>-1.2150000000000001</v>
      </c>
      <c r="G36" s="6">
        <v>2.629</v>
      </c>
      <c r="H36" s="6">
        <v>1.8959999999999999</v>
      </c>
      <c r="I36" s="6">
        <v>-2.0390000000000001</v>
      </c>
      <c r="J36" s="6">
        <v>-0.22900000000000001</v>
      </c>
      <c r="K36" s="6">
        <v>-0.4</v>
      </c>
      <c r="L36" s="6">
        <v>-1.109</v>
      </c>
      <c r="M36" s="6">
        <v>0.20499999999999999</v>
      </c>
      <c r="N36" s="6">
        <v>2.956</v>
      </c>
      <c r="O36" s="6">
        <v>0.47199999999999998</v>
      </c>
      <c r="P36" s="6">
        <v>-1.0149999999999999</v>
      </c>
      <c r="Q36" s="6">
        <v>2.27</v>
      </c>
    </row>
    <row r="37" spans="1:17">
      <c r="A37" s="2">
        <v>1985</v>
      </c>
      <c r="B37" s="6">
        <v>2.0019999999999998</v>
      </c>
      <c r="C37" s="6">
        <v>2.9449999999999998</v>
      </c>
      <c r="D37" s="6">
        <v>3.2469999999999999</v>
      </c>
      <c r="E37" s="6">
        <v>1.8540000000000001</v>
      </c>
      <c r="F37" s="6">
        <v>-1.2150000000000001</v>
      </c>
      <c r="G37" s="6">
        <v>2.629</v>
      </c>
      <c r="H37" s="6">
        <v>1.8959999999999999</v>
      </c>
      <c r="I37" s="6">
        <v>-2.0390000000000001</v>
      </c>
      <c r="J37" s="6">
        <v>-0.22900000000000001</v>
      </c>
      <c r="K37" s="6">
        <v>-0.4</v>
      </c>
      <c r="L37" s="6">
        <v>-1.109</v>
      </c>
      <c r="M37" s="6">
        <v>0.20499999999999999</v>
      </c>
      <c r="N37" s="6">
        <v>2.956</v>
      </c>
      <c r="O37" s="6">
        <v>0.47199999999999998</v>
      </c>
      <c r="P37" s="6">
        <v>-1.0149999999999999</v>
      </c>
      <c r="Q37" s="6">
        <v>2.27</v>
      </c>
    </row>
    <row r="38" spans="1:17">
      <c r="A38" s="2">
        <v>1986</v>
      </c>
      <c r="B38" s="6">
        <v>2.0019999999999998</v>
      </c>
      <c r="C38" s="6">
        <v>2.9449999999999998</v>
      </c>
      <c r="D38" s="6">
        <v>3.2469999999999999</v>
      </c>
      <c r="E38" s="6">
        <v>1.8540000000000001</v>
      </c>
      <c r="F38" s="6">
        <v>-1.2150000000000001</v>
      </c>
      <c r="G38" s="6">
        <v>2.629</v>
      </c>
      <c r="H38" s="6">
        <v>1.8959999999999999</v>
      </c>
      <c r="I38" s="6">
        <v>-2.0390000000000001</v>
      </c>
      <c r="J38" s="6">
        <v>-0.22900000000000001</v>
      </c>
      <c r="K38" s="6">
        <v>-0.4</v>
      </c>
      <c r="L38" s="6">
        <v>-1.109</v>
      </c>
      <c r="M38" s="6">
        <v>0.20499999999999999</v>
      </c>
      <c r="N38" s="6">
        <v>2.956</v>
      </c>
      <c r="O38" s="6">
        <v>0.47199999999999998</v>
      </c>
      <c r="P38" s="6">
        <v>-1.0149999999999999</v>
      </c>
      <c r="Q38" s="6">
        <v>2.27</v>
      </c>
    </row>
    <row r="39" spans="1:17">
      <c r="A39" s="2">
        <v>1987</v>
      </c>
      <c r="B39" s="6">
        <v>2.0019999999999998</v>
      </c>
      <c r="C39" s="6">
        <v>2.9449999999999998</v>
      </c>
      <c r="D39" s="6">
        <v>3.2469999999999999</v>
      </c>
      <c r="E39" s="6">
        <v>1.8540000000000001</v>
      </c>
      <c r="F39" s="6">
        <v>-1.2150000000000001</v>
      </c>
      <c r="G39" s="6">
        <v>2.629</v>
      </c>
      <c r="H39" s="6">
        <v>1.8959999999999999</v>
      </c>
      <c r="I39" s="6">
        <v>-2.0390000000000001</v>
      </c>
      <c r="J39" s="6">
        <v>-0.22900000000000001</v>
      </c>
      <c r="K39" s="6">
        <v>-0.4</v>
      </c>
      <c r="L39" s="6">
        <v>-1.109</v>
      </c>
      <c r="M39" s="6">
        <v>0.20499999999999999</v>
      </c>
      <c r="N39" s="6">
        <v>2.956</v>
      </c>
      <c r="O39" s="6">
        <v>0.47199999999999998</v>
      </c>
      <c r="P39" s="6">
        <v>-1.0149999999999999</v>
      </c>
      <c r="Q39" s="6">
        <v>2.27</v>
      </c>
    </row>
    <row r="40" spans="1:17">
      <c r="A40" s="2">
        <v>1988</v>
      </c>
      <c r="B40" s="6">
        <v>2.0019999999999998</v>
      </c>
      <c r="C40" s="6">
        <v>2.9449999999999998</v>
      </c>
      <c r="D40" s="6">
        <v>3.2469999999999999</v>
      </c>
      <c r="E40" s="6">
        <v>1.8540000000000001</v>
      </c>
      <c r="F40" s="6">
        <v>-1.2150000000000001</v>
      </c>
      <c r="G40" s="6">
        <v>2.629</v>
      </c>
      <c r="H40" s="6">
        <v>1.8959999999999999</v>
      </c>
      <c r="I40" s="6">
        <v>-2.0390000000000001</v>
      </c>
      <c r="J40" s="6">
        <v>-0.22900000000000001</v>
      </c>
      <c r="K40" s="6">
        <v>-0.4</v>
      </c>
      <c r="L40" s="6">
        <v>-1.109</v>
      </c>
      <c r="M40" s="6">
        <v>0.20499999999999999</v>
      </c>
      <c r="N40" s="6">
        <v>2.956</v>
      </c>
      <c r="O40" s="6">
        <v>0.47199999999999998</v>
      </c>
      <c r="P40" s="6">
        <v>-1.0149999999999999</v>
      </c>
      <c r="Q40" s="6">
        <v>2.27</v>
      </c>
    </row>
    <row r="41" spans="1:17">
      <c r="A41" s="2">
        <v>1989</v>
      </c>
      <c r="B41" s="6">
        <v>2.0019999999999998</v>
      </c>
      <c r="C41" s="6">
        <v>2.9449999999999998</v>
      </c>
      <c r="D41" s="6">
        <v>3.2469999999999999</v>
      </c>
      <c r="E41" s="6">
        <v>1.8540000000000001</v>
      </c>
      <c r="F41" s="6">
        <v>-1.2150000000000001</v>
      </c>
      <c r="G41" s="6">
        <v>2.629</v>
      </c>
      <c r="H41" s="6">
        <v>1.8959999999999999</v>
      </c>
      <c r="I41" s="6">
        <v>-2.0390000000000001</v>
      </c>
      <c r="J41" s="6">
        <v>-0.22900000000000001</v>
      </c>
      <c r="K41" s="6">
        <v>-0.4</v>
      </c>
      <c r="L41" s="6">
        <v>-1.109</v>
      </c>
      <c r="M41" s="6">
        <v>0.20499999999999999</v>
      </c>
      <c r="N41" s="6">
        <v>2.956</v>
      </c>
      <c r="O41" s="6">
        <v>0.47199999999999998</v>
      </c>
      <c r="P41" s="6">
        <v>-1.0149999999999999</v>
      </c>
      <c r="Q41" s="6">
        <v>2.27</v>
      </c>
    </row>
    <row r="42" spans="1:17">
      <c r="A42" s="2">
        <v>1990</v>
      </c>
      <c r="B42" s="6">
        <v>0.35499999999999998</v>
      </c>
      <c r="C42" s="6">
        <v>0.128</v>
      </c>
      <c r="D42" s="6">
        <v>1.0920000000000001</v>
      </c>
      <c r="E42" s="6">
        <v>-0.50900000000000001</v>
      </c>
      <c r="F42" s="6">
        <v>0.126</v>
      </c>
      <c r="G42" s="6">
        <v>1.635</v>
      </c>
      <c r="H42" s="6">
        <v>-2.0739999999999998</v>
      </c>
      <c r="I42" s="6">
        <v>-1.01</v>
      </c>
      <c r="J42" s="6">
        <v>-0.23400000000000001</v>
      </c>
      <c r="K42" s="6">
        <v>-0.56100000000000005</v>
      </c>
      <c r="L42" s="6">
        <v>-0.34200000000000003</v>
      </c>
      <c r="M42" s="6">
        <v>-1.2210000000000001</v>
      </c>
      <c r="N42" s="6">
        <v>2.3149999999999999</v>
      </c>
      <c r="O42" s="6">
        <v>-0.56000000000000005</v>
      </c>
      <c r="P42" s="6">
        <v>0</v>
      </c>
      <c r="Q42" s="6">
        <v>-0.70499999999999996</v>
      </c>
    </row>
    <row r="43" spans="1:17">
      <c r="A43" s="2">
        <v>1991</v>
      </c>
      <c r="B43" s="6">
        <v>0.35499999999999998</v>
      </c>
      <c r="C43" s="6">
        <v>0.128</v>
      </c>
      <c r="D43" s="6">
        <v>1.0920000000000001</v>
      </c>
      <c r="E43" s="6">
        <v>-0.50900000000000001</v>
      </c>
      <c r="F43" s="6">
        <v>0.126</v>
      </c>
      <c r="G43" s="6">
        <v>1.635</v>
      </c>
      <c r="H43" s="6">
        <v>-2.0739999999999998</v>
      </c>
      <c r="I43" s="6">
        <v>-1.01</v>
      </c>
      <c r="J43" s="6">
        <v>-0.23400000000000001</v>
      </c>
      <c r="K43" s="6">
        <v>-0.56100000000000005</v>
      </c>
      <c r="L43" s="6">
        <v>-0.34200000000000003</v>
      </c>
      <c r="M43" s="6">
        <v>-1.2210000000000001</v>
      </c>
      <c r="N43" s="6">
        <v>2.3149999999999999</v>
      </c>
      <c r="O43" s="6">
        <v>-0.56000000000000005</v>
      </c>
      <c r="P43" s="6">
        <v>0</v>
      </c>
      <c r="Q43" s="6">
        <v>-0.70499999999999996</v>
      </c>
    </row>
    <row r="44" spans="1:17">
      <c r="A44" s="2">
        <v>1992</v>
      </c>
      <c r="B44" s="6">
        <v>0.35499999999999998</v>
      </c>
      <c r="C44" s="6">
        <v>0.128</v>
      </c>
      <c r="D44" s="6">
        <v>1.0920000000000001</v>
      </c>
      <c r="E44" s="6">
        <v>-0.50900000000000001</v>
      </c>
      <c r="F44" s="6">
        <v>0.126</v>
      </c>
      <c r="G44" s="6">
        <v>1.635</v>
      </c>
      <c r="H44" s="6">
        <v>-2.0739999999999998</v>
      </c>
      <c r="I44" s="6">
        <v>-1.01</v>
      </c>
      <c r="J44" s="6">
        <v>-0.23400000000000001</v>
      </c>
      <c r="K44" s="6">
        <v>-0.56100000000000005</v>
      </c>
      <c r="L44" s="6">
        <v>-0.34200000000000003</v>
      </c>
      <c r="M44" s="6">
        <v>-1.2210000000000001</v>
      </c>
      <c r="N44" s="6">
        <v>2.3149999999999999</v>
      </c>
      <c r="O44" s="6">
        <v>-0.56000000000000005</v>
      </c>
      <c r="P44" s="6">
        <v>0</v>
      </c>
      <c r="Q44" s="6">
        <v>-0.70499999999999996</v>
      </c>
    </row>
    <row r="45" spans="1:17">
      <c r="A45" s="2">
        <v>1993</v>
      </c>
      <c r="B45" s="6">
        <v>0.35499999999999998</v>
      </c>
      <c r="C45" s="6">
        <v>0.128</v>
      </c>
      <c r="D45" s="6">
        <v>1.0920000000000001</v>
      </c>
      <c r="E45" s="6">
        <v>-0.50900000000000001</v>
      </c>
      <c r="F45" s="6">
        <v>0.126</v>
      </c>
      <c r="G45" s="6">
        <v>1.635</v>
      </c>
      <c r="H45" s="6">
        <v>-2.0739999999999998</v>
      </c>
      <c r="I45" s="6">
        <v>-1.01</v>
      </c>
      <c r="J45" s="6">
        <v>-0.23400000000000001</v>
      </c>
      <c r="K45" s="6">
        <v>-0.56100000000000005</v>
      </c>
      <c r="L45" s="6">
        <v>-0.34200000000000003</v>
      </c>
      <c r="M45" s="6">
        <v>-1.2210000000000001</v>
      </c>
      <c r="N45" s="6">
        <v>2.3149999999999999</v>
      </c>
      <c r="O45" s="6">
        <v>-0.56000000000000005</v>
      </c>
      <c r="P45" s="6">
        <v>0</v>
      </c>
      <c r="Q45" s="6">
        <v>-0.70499999999999996</v>
      </c>
    </row>
    <row r="46" spans="1:17">
      <c r="A46" s="2">
        <v>1994</v>
      </c>
      <c r="B46" s="6">
        <v>0.35499999999999998</v>
      </c>
      <c r="C46" s="6">
        <v>0.128</v>
      </c>
      <c r="D46" s="6">
        <v>1.0920000000000001</v>
      </c>
      <c r="E46" s="6">
        <v>-0.50900000000000001</v>
      </c>
      <c r="F46" s="6">
        <v>0.126</v>
      </c>
      <c r="G46" s="6">
        <v>1.635</v>
      </c>
      <c r="H46" s="6">
        <v>-2.0739999999999998</v>
      </c>
      <c r="I46" s="6">
        <v>-1.01</v>
      </c>
      <c r="J46" s="6">
        <v>-0.23400000000000001</v>
      </c>
      <c r="K46" s="6">
        <v>-0.56100000000000005</v>
      </c>
      <c r="L46" s="6">
        <v>-0.34200000000000003</v>
      </c>
      <c r="M46" s="6">
        <v>-1.2210000000000001</v>
      </c>
      <c r="N46" s="6">
        <v>2.3149999999999999</v>
      </c>
      <c r="O46" s="6">
        <v>-0.56000000000000005</v>
      </c>
      <c r="P46" s="6">
        <v>0</v>
      </c>
      <c r="Q46" s="6">
        <v>-0.70499999999999996</v>
      </c>
    </row>
    <row r="47" spans="1:17">
      <c r="A47" s="2">
        <v>1995</v>
      </c>
      <c r="B47" s="6">
        <v>0.38600000000000001</v>
      </c>
      <c r="C47" s="6">
        <v>0.182</v>
      </c>
      <c r="D47" s="6">
        <v>1.0549999999999999</v>
      </c>
      <c r="E47" s="6">
        <v>-0.41499999999999998</v>
      </c>
      <c r="F47" s="6">
        <v>0.18</v>
      </c>
      <c r="G47" s="6">
        <v>1.5640000000000001</v>
      </c>
      <c r="H47" s="6">
        <v>-1.881</v>
      </c>
      <c r="I47" s="6">
        <v>-0.85299999999999998</v>
      </c>
      <c r="J47" s="6">
        <v>-0.157</v>
      </c>
      <c r="K47" s="6">
        <v>-0.46400000000000002</v>
      </c>
      <c r="L47" s="6">
        <v>-0.24299999999999999</v>
      </c>
      <c r="M47" s="6">
        <v>-1.0669999999999999</v>
      </c>
      <c r="N47" s="6">
        <v>2.2010000000000001</v>
      </c>
      <c r="O47" s="6">
        <v>-0.38500000000000001</v>
      </c>
      <c r="P47" s="6">
        <v>0.14099999999999999</v>
      </c>
      <c r="Q47" s="6">
        <v>-0.60499999999999998</v>
      </c>
    </row>
    <row r="48" spans="1:17">
      <c r="A48" s="2">
        <v>1996</v>
      </c>
      <c r="B48" s="6">
        <v>0.41699999999999998</v>
      </c>
      <c r="C48" s="6">
        <v>0.23699999999999999</v>
      </c>
      <c r="D48" s="6">
        <v>1.018</v>
      </c>
      <c r="E48" s="6">
        <v>-0.32100000000000001</v>
      </c>
      <c r="F48" s="6">
        <v>0.23499999999999999</v>
      </c>
      <c r="G48" s="6">
        <v>1.4930000000000001</v>
      </c>
      <c r="H48" s="6">
        <v>-1.6890000000000001</v>
      </c>
      <c r="I48" s="6">
        <v>-0.69599999999999995</v>
      </c>
      <c r="J48" s="6">
        <v>-0.08</v>
      </c>
      <c r="K48" s="6">
        <v>-0.36599999999999999</v>
      </c>
      <c r="L48" s="6">
        <v>-0.14299999999999999</v>
      </c>
      <c r="M48" s="6">
        <v>-0.91300000000000003</v>
      </c>
      <c r="N48" s="6">
        <v>2.0880000000000001</v>
      </c>
      <c r="O48" s="6">
        <v>-0.20899999999999999</v>
      </c>
      <c r="P48" s="6">
        <v>0.28100000000000003</v>
      </c>
      <c r="Q48" s="6">
        <v>-0.504</v>
      </c>
    </row>
    <row r="49" spans="1:17">
      <c r="A49" s="2">
        <v>1997</v>
      </c>
      <c r="B49" s="6">
        <v>0.44800000000000001</v>
      </c>
      <c r="C49" s="6">
        <v>0.29099999999999998</v>
      </c>
      <c r="D49" s="6">
        <v>0.98099999999999998</v>
      </c>
      <c r="E49" s="6">
        <v>-0.22600000000000001</v>
      </c>
      <c r="F49" s="6">
        <v>0.28999999999999998</v>
      </c>
      <c r="G49" s="6">
        <v>1.4219999999999999</v>
      </c>
      <c r="H49" s="6">
        <v>-1.4970000000000001</v>
      </c>
      <c r="I49" s="6">
        <v>-0.53900000000000003</v>
      </c>
      <c r="J49" s="6">
        <v>-3.0000000000000001E-3</v>
      </c>
      <c r="K49" s="6">
        <v>-0.26800000000000002</v>
      </c>
      <c r="L49" s="6">
        <v>-4.3999999999999997E-2</v>
      </c>
      <c r="M49" s="6">
        <v>-0.75800000000000001</v>
      </c>
      <c r="N49" s="6">
        <v>1.974</v>
      </c>
      <c r="O49" s="6">
        <v>-3.3000000000000002E-2</v>
      </c>
      <c r="P49" s="6">
        <v>0.42199999999999999</v>
      </c>
      <c r="Q49" s="6">
        <v>-0.40400000000000003</v>
      </c>
    </row>
    <row r="50" spans="1:17">
      <c r="A50" s="2">
        <v>1998</v>
      </c>
      <c r="B50" s="6">
        <v>0.47899999999999998</v>
      </c>
      <c r="C50" s="6">
        <v>0.34599999999999997</v>
      </c>
      <c r="D50" s="6">
        <v>0.94399999999999995</v>
      </c>
      <c r="E50" s="6">
        <v>-0.13200000000000001</v>
      </c>
      <c r="F50" s="6">
        <v>0.34399999999999997</v>
      </c>
      <c r="G50" s="6">
        <v>1.351</v>
      </c>
      <c r="H50" s="6">
        <v>-1.3049999999999999</v>
      </c>
      <c r="I50" s="6">
        <v>-0.38200000000000001</v>
      </c>
      <c r="J50" s="6">
        <v>7.3999999999999996E-2</v>
      </c>
      <c r="K50" s="6">
        <v>-0.17100000000000001</v>
      </c>
      <c r="L50" s="6">
        <v>5.6000000000000001E-2</v>
      </c>
      <c r="M50" s="6">
        <v>-0.60399999999999998</v>
      </c>
      <c r="N50" s="6">
        <v>1.861</v>
      </c>
      <c r="O50" s="6">
        <v>0.14199999999999999</v>
      </c>
      <c r="P50" s="6">
        <v>0.56299999999999994</v>
      </c>
      <c r="Q50" s="6">
        <v>-0.30399999999999999</v>
      </c>
    </row>
    <row r="51" spans="1:17">
      <c r="A51" s="2">
        <v>1999</v>
      </c>
      <c r="B51" s="6">
        <v>0.51</v>
      </c>
      <c r="C51" s="6">
        <v>0.4</v>
      </c>
      <c r="D51" s="6">
        <v>0.90700000000000003</v>
      </c>
      <c r="E51" s="6">
        <v>-3.7999999999999999E-2</v>
      </c>
      <c r="F51" s="6">
        <v>0.39900000000000002</v>
      </c>
      <c r="G51" s="6">
        <v>1.28</v>
      </c>
      <c r="H51" s="6">
        <v>-1.113</v>
      </c>
      <c r="I51" s="6">
        <v>-0.22600000000000001</v>
      </c>
      <c r="J51" s="6">
        <v>0.152</v>
      </c>
      <c r="K51" s="6">
        <v>-7.2999999999999995E-2</v>
      </c>
      <c r="L51" s="6">
        <v>0.155</v>
      </c>
      <c r="M51" s="6">
        <v>-0.44900000000000001</v>
      </c>
      <c r="N51" s="6">
        <v>1.748</v>
      </c>
      <c r="O51" s="6">
        <v>0.318</v>
      </c>
      <c r="P51" s="6">
        <v>0.70299999999999996</v>
      </c>
      <c r="Q51" s="6">
        <v>-0.20300000000000001</v>
      </c>
    </row>
    <row r="52" spans="1:17">
      <c r="A52" s="2">
        <v>2000</v>
      </c>
      <c r="B52" s="6">
        <v>0.54100000000000004</v>
      </c>
      <c r="C52" s="6">
        <v>0.45500000000000002</v>
      </c>
      <c r="D52" s="6">
        <v>0.87</v>
      </c>
      <c r="E52" s="6">
        <v>5.7000000000000002E-2</v>
      </c>
      <c r="F52" s="6">
        <v>0.45400000000000001</v>
      </c>
      <c r="G52" s="6">
        <v>1.2090000000000001</v>
      </c>
      <c r="H52" s="6">
        <v>-0.92100000000000004</v>
      </c>
      <c r="I52" s="6">
        <v>-6.9000000000000006E-2</v>
      </c>
      <c r="J52" s="6">
        <v>0.22900000000000001</v>
      </c>
      <c r="K52" s="6">
        <v>2.4E-2</v>
      </c>
      <c r="L52" s="6">
        <v>0.255</v>
      </c>
      <c r="M52" s="6">
        <v>-0.29499999999999998</v>
      </c>
      <c r="N52" s="6">
        <v>1.6339999999999999</v>
      </c>
      <c r="O52" s="6">
        <v>0.49399999999999999</v>
      </c>
      <c r="P52" s="6">
        <v>0.84399999999999997</v>
      </c>
      <c r="Q52" s="6">
        <v>-0.10299999999999999</v>
      </c>
    </row>
    <row r="53" spans="1:17">
      <c r="A53" s="2">
        <v>2001</v>
      </c>
      <c r="B53" s="6">
        <v>0.57199999999999995</v>
      </c>
      <c r="C53" s="6">
        <v>0.50900000000000001</v>
      </c>
      <c r="D53" s="6">
        <v>0.83299999999999996</v>
      </c>
      <c r="E53" s="6">
        <v>0.151</v>
      </c>
      <c r="F53" s="6">
        <v>0.50800000000000001</v>
      </c>
      <c r="G53" s="6">
        <v>1.1379999999999999</v>
      </c>
      <c r="H53" s="6">
        <v>-0.72899999999999998</v>
      </c>
      <c r="I53" s="6">
        <v>8.7999999999999995E-2</v>
      </c>
      <c r="J53" s="6">
        <v>0.30599999999999999</v>
      </c>
      <c r="K53" s="6">
        <v>0.122</v>
      </c>
      <c r="L53" s="6">
        <v>0.35399999999999998</v>
      </c>
      <c r="M53" s="6">
        <v>-0.14000000000000001</v>
      </c>
      <c r="N53" s="6">
        <v>1.5209999999999999</v>
      </c>
      <c r="O53" s="6">
        <v>0.66900000000000004</v>
      </c>
      <c r="P53" s="6">
        <v>0.98399999999999999</v>
      </c>
      <c r="Q53" s="6">
        <v>-3.0000000000000001E-3</v>
      </c>
    </row>
    <row r="54" spans="1:17">
      <c r="A54" s="2">
        <v>2002</v>
      </c>
      <c r="B54" s="6">
        <v>0.60299999999999998</v>
      </c>
      <c r="C54" s="6">
        <v>0.56399999999999995</v>
      </c>
      <c r="D54" s="6">
        <v>0.79600000000000004</v>
      </c>
      <c r="E54" s="6">
        <v>0.245</v>
      </c>
      <c r="F54" s="6">
        <v>0.56299999999999994</v>
      </c>
      <c r="G54" s="6">
        <v>1.0669999999999999</v>
      </c>
      <c r="H54" s="6">
        <v>-0.53700000000000003</v>
      </c>
      <c r="I54" s="6">
        <v>0.245</v>
      </c>
      <c r="J54" s="6">
        <v>0.38300000000000001</v>
      </c>
      <c r="K54" s="6">
        <v>0.219</v>
      </c>
      <c r="L54" s="6">
        <v>0.45400000000000001</v>
      </c>
      <c r="M54" s="6">
        <v>1.4E-2</v>
      </c>
      <c r="N54" s="6">
        <v>1.407</v>
      </c>
      <c r="O54" s="6">
        <v>0.84499999999999997</v>
      </c>
      <c r="P54" s="6">
        <v>1.125</v>
      </c>
      <c r="Q54" s="6">
        <v>9.8000000000000004E-2</v>
      </c>
    </row>
    <row r="55" spans="1:17">
      <c r="A55" s="2">
        <v>2003</v>
      </c>
      <c r="B55" s="6">
        <v>0.63300000000000001</v>
      </c>
      <c r="C55" s="6">
        <v>0.61799999999999999</v>
      </c>
      <c r="D55" s="6">
        <v>0.75900000000000001</v>
      </c>
      <c r="E55" s="6">
        <v>0.34</v>
      </c>
      <c r="F55" s="6">
        <v>0.61699999999999999</v>
      </c>
      <c r="G55" s="6">
        <v>0.997</v>
      </c>
      <c r="H55" s="6">
        <v>-0.34499999999999997</v>
      </c>
      <c r="I55" s="6">
        <v>0.40200000000000002</v>
      </c>
      <c r="J55" s="6">
        <v>0.46</v>
      </c>
      <c r="K55" s="6">
        <v>0.317</v>
      </c>
      <c r="L55" s="6">
        <v>0.55300000000000005</v>
      </c>
      <c r="M55" s="6">
        <v>0.16900000000000001</v>
      </c>
      <c r="N55" s="6">
        <v>1.294</v>
      </c>
      <c r="O55" s="6">
        <v>1.0209999999999999</v>
      </c>
      <c r="P55" s="6">
        <v>1.266</v>
      </c>
      <c r="Q55" s="6">
        <v>0.19800000000000001</v>
      </c>
    </row>
    <row r="56" spans="1:17">
      <c r="A56" s="2">
        <v>2004</v>
      </c>
      <c r="B56" s="6">
        <v>0.66400000000000003</v>
      </c>
      <c r="C56" s="6">
        <v>0.67300000000000004</v>
      </c>
      <c r="D56" s="6">
        <v>0.72199999999999998</v>
      </c>
      <c r="E56" s="6">
        <v>0.434</v>
      </c>
      <c r="F56" s="6">
        <v>0.67200000000000004</v>
      </c>
      <c r="G56" s="6">
        <v>0.92600000000000005</v>
      </c>
      <c r="H56" s="6">
        <v>-0.153</v>
      </c>
      <c r="I56" s="6">
        <v>0.55900000000000005</v>
      </c>
      <c r="J56" s="6">
        <v>0.53700000000000003</v>
      </c>
      <c r="K56" s="6">
        <v>0.41499999999999998</v>
      </c>
      <c r="L56" s="6">
        <v>0.65300000000000002</v>
      </c>
      <c r="M56" s="6">
        <v>0.32300000000000001</v>
      </c>
      <c r="N56" s="6">
        <v>1.18</v>
      </c>
      <c r="O56" s="6">
        <v>1.196</v>
      </c>
      <c r="P56" s="6">
        <v>1.4059999999999999</v>
      </c>
      <c r="Q56" s="6">
        <v>0.29799999999999999</v>
      </c>
    </row>
    <row r="57" spans="1:17">
      <c r="A57" s="2">
        <v>2005</v>
      </c>
      <c r="B57" s="6">
        <v>0.69499999999999995</v>
      </c>
      <c r="C57" s="6">
        <v>0.72699999999999998</v>
      </c>
      <c r="D57" s="6">
        <v>0.68500000000000005</v>
      </c>
      <c r="E57" s="6">
        <v>0.52800000000000002</v>
      </c>
      <c r="F57" s="6">
        <v>0.72699999999999998</v>
      </c>
      <c r="G57" s="6">
        <v>0.85499999999999998</v>
      </c>
      <c r="H57" s="6">
        <v>0.04</v>
      </c>
      <c r="I57" s="6">
        <v>0.71599999999999997</v>
      </c>
      <c r="J57" s="6">
        <v>0.61399999999999999</v>
      </c>
      <c r="K57" s="6">
        <v>0.51200000000000001</v>
      </c>
      <c r="L57" s="6">
        <v>0.752</v>
      </c>
      <c r="M57" s="6">
        <v>0.47799999999999998</v>
      </c>
      <c r="N57" s="6">
        <v>1.0669999999999999</v>
      </c>
      <c r="O57" s="6">
        <v>1.3720000000000001</v>
      </c>
      <c r="P57" s="6">
        <v>1.5469999999999999</v>
      </c>
      <c r="Q57" s="6">
        <v>0.39800000000000002</v>
      </c>
    </row>
    <row r="58" spans="1:17">
      <c r="A58" s="2">
        <v>2006</v>
      </c>
      <c r="B58" s="6">
        <v>0.72599999999999998</v>
      </c>
      <c r="C58" s="6">
        <v>0.78200000000000003</v>
      </c>
      <c r="D58" s="6">
        <v>0.64800000000000002</v>
      </c>
      <c r="E58" s="6">
        <v>0.623</v>
      </c>
      <c r="F58" s="6">
        <v>0.78100000000000003</v>
      </c>
      <c r="G58" s="6">
        <v>0.78400000000000003</v>
      </c>
      <c r="H58" s="6">
        <v>0.23200000000000001</v>
      </c>
      <c r="I58" s="6">
        <v>0.873</v>
      </c>
      <c r="J58" s="6">
        <v>0.69099999999999995</v>
      </c>
      <c r="K58" s="6">
        <v>0.61</v>
      </c>
      <c r="L58" s="6">
        <v>0.85199999999999998</v>
      </c>
      <c r="M58" s="6">
        <v>0.63200000000000001</v>
      </c>
      <c r="N58" s="6">
        <v>0.95399999999999996</v>
      </c>
      <c r="O58" s="6">
        <v>1.5469999999999999</v>
      </c>
      <c r="P58" s="6">
        <v>1.6879999999999999</v>
      </c>
      <c r="Q58" s="6">
        <v>0.499</v>
      </c>
    </row>
    <row r="59" spans="1:17">
      <c r="A59" s="2">
        <v>2007</v>
      </c>
      <c r="B59" s="6">
        <v>0.75700000000000001</v>
      </c>
      <c r="C59" s="6">
        <v>0.83599999999999997</v>
      </c>
      <c r="D59" s="6">
        <v>0.61099999999999999</v>
      </c>
      <c r="E59" s="6">
        <v>0.71699999999999997</v>
      </c>
      <c r="F59" s="6">
        <v>0.83599999999999997</v>
      </c>
      <c r="G59" s="6">
        <v>0.71299999999999997</v>
      </c>
      <c r="H59" s="6">
        <v>0.42399999999999999</v>
      </c>
      <c r="I59" s="6">
        <v>1.0289999999999999</v>
      </c>
      <c r="J59" s="6">
        <v>0.76900000000000002</v>
      </c>
      <c r="K59" s="6">
        <v>0.70699999999999996</v>
      </c>
      <c r="L59" s="6">
        <v>0.95099999999999996</v>
      </c>
      <c r="M59" s="6">
        <v>0.78700000000000003</v>
      </c>
      <c r="N59" s="6">
        <v>0.84</v>
      </c>
      <c r="O59" s="6">
        <v>1.7230000000000001</v>
      </c>
      <c r="P59" s="6">
        <v>1.8280000000000001</v>
      </c>
      <c r="Q59" s="6">
        <v>0.59899999999999998</v>
      </c>
    </row>
    <row r="60" spans="1:17">
      <c r="A60" s="2">
        <v>2008</v>
      </c>
      <c r="B60" s="6">
        <v>0.78800000000000003</v>
      </c>
      <c r="C60" s="6">
        <v>0.89100000000000001</v>
      </c>
      <c r="D60" s="6">
        <v>0.57399999999999995</v>
      </c>
      <c r="E60" s="6">
        <v>0.81100000000000005</v>
      </c>
      <c r="F60" s="6">
        <v>0.89100000000000001</v>
      </c>
      <c r="G60" s="6">
        <v>0.64200000000000002</v>
      </c>
      <c r="H60" s="6">
        <v>0.61599999999999999</v>
      </c>
      <c r="I60" s="6">
        <v>1.1859999999999999</v>
      </c>
      <c r="J60" s="6">
        <v>0.84599999999999997</v>
      </c>
      <c r="K60" s="6">
        <v>0.80500000000000005</v>
      </c>
      <c r="L60" s="6">
        <v>1.0509999999999999</v>
      </c>
      <c r="M60" s="6">
        <v>0.94099999999999995</v>
      </c>
      <c r="N60" s="6">
        <v>0.72699999999999998</v>
      </c>
      <c r="O60" s="6">
        <v>1.899</v>
      </c>
      <c r="P60" s="6">
        <v>1.9690000000000001</v>
      </c>
      <c r="Q60" s="6">
        <v>0.69899999999999995</v>
      </c>
    </row>
    <row r="61" spans="1:17">
      <c r="A61" s="2">
        <v>2009</v>
      </c>
      <c r="B61" s="6">
        <v>0.81899999999999995</v>
      </c>
      <c r="C61" s="6">
        <v>0.94499999999999995</v>
      </c>
      <c r="D61" s="6">
        <v>0.53700000000000003</v>
      </c>
      <c r="E61" s="6">
        <v>0.90600000000000003</v>
      </c>
      <c r="F61" s="6">
        <v>0.94499999999999995</v>
      </c>
      <c r="G61" s="6">
        <v>0.57099999999999995</v>
      </c>
      <c r="H61" s="6">
        <v>0.80800000000000005</v>
      </c>
      <c r="I61" s="6">
        <v>1.343</v>
      </c>
      <c r="J61" s="6">
        <v>0.92300000000000004</v>
      </c>
      <c r="K61" s="6">
        <v>0.90200000000000002</v>
      </c>
      <c r="L61" s="6">
        <v>1.1499999999999999</v>
      </c>
      <c r="M61" s="6">
        <v>1.0960000000000001</v>
      </c>
      <c r="N61" s="6">
        <v>0.61299999999999999</v>
      </c>
      <c r="O61" s="6">
        <v>2.0739999999999998</v>
      </c>
      <c r="P61" s="6">
        <v>2.109</v>
      </c>
      <c r="Q61" s="6">
        <v>0.8</v>
      </c>
    </row>
    <row r="62" spans="1:17">
      <c r="A62" s="2">
        <v>2010</v>
      </c>
      <c r="B62" s="6">
        <v>0.85</v>
      </c>
      <c r="C62" s="6">
        <v>1</v>
      </c>
      <c r="D62" s="6">
        <v>0.5</v>
      </c>
      <c r="E62" s="6">
        <v>1</v>
      </c>
      <c r="F62" s="6">
        <v>1</v>
      </c>
      <c r="G62" s="6">
        <v>0.5</v>
      </c>
      <c r="H62" s="6">
        <v>1</v>
      </c>
      <c r="I62" s="6">
        <v>1.5</v>
      </c>
      <c r="J62" s="6">
        <v>1</v>
      </c>
      <c r="K62" s="6">
        <v>1</v>
      </c>
      <c r="L62" s="6">
        <v>1.25</v>
      </c>
      <c r="M62" s="6">
        <v>1.25</v>
      </c>
      <c r="N62" s="6">
        <v>0.5</v>
      </c>
      <c r="O62" s="6">
        <v>2.25</v>
      </c>
      <c r="P62" s="6">
        <v>2.25</v>
      </c>
      <c r="Q62" s="6">
        <v>0.9</v>
      </c>
    </row>
    <row r="63" spans="1:17">
      <c r="A63" s="2">
        <v>2011</v>
      </c>
      <c r="B63" s="6">
        <v>0.79500000000000004</v>
      </c>
      <c r="C63" s="6">
        <v>0.93500000000000005</v>
      </c>
      <c r="D63" s="6">
        <v>0.46800000000000003</v>
      </c>
      <c r="E63" s="6">
        <v>0.95799999999999996</v>
      </c>
      <c r="F63" s="6">
        <v>0.95799999999999996</v>
      </c>
      <c r="G63" s="6">
        <v>0.46800000000000003</v>
      </c>
      <c r="H63" s="6">
        <v>0.93500000000000005</v>
      </c>
      <c r="I63" s="6">
        <v>1.4830000000000001</v>
      </c>
      <c r="J63" s="6">
        <v>0.97499999999999998</v>
      </c>
      <c r="K63" s="6">
        <v>0.97499999999999998</v>
      </c>
      <c r="L63" s="6">
        <v>1.2250000000000001</v>
      </c>
      <c r="M63" s="6">
        <v>1.2250000000000001</v>
      </c>
      <c r="N63" s="6">
        <v>0.49199999999999999</v>
      </c>
      <c r="O63" s="6">
        <v>2.2000000000000002</v>
      </c>
      <c r="P63" s="6">
        <v>2.2000000000000002</v>
      </c>
      <c r="Q63" s="6">
        <v>0.88200000000000001</v>
      </c>
    </row>
    <row r="64" spans="1:17">
      <c r="A64" s="2">
        <v>2012</v>
      </c>
      <c r="B64" s="6">
        <v>0.74</v>
      </c>
      <c r="C64" s="6">
        <v>0.87</v>
      </c>
      <c r="D64" s="6">
        <v>0.437</v>
      </c>
      <c r="E64" s="6">
        <v>0.91700000000000004</v>
      </c>
      <c r="F64" s="6">
        <v>0.91700000000000004</v>
      </c>
      <c r="G64" s="6">
        <v>0.437</v>
      </c>
      <c r="H64" s="6">
        <v>0.87</v>
      </c>
      <c r="I64" s="6">
        <v>1.4670000000000001</v>
      </c>
      <c r="J64" s="6">
        <v>0.95</v>
      </c>
      <c r="K64" s="6">
        <v>0.95</v>
      </c>
      <c r="L64" s="6">
        <v>1.2</v>
      </c>
      <c r="M64" s="6">
        <v>1.2</v>
      </c>
      <c r="N64" s="6">
        <v>0.48299999999999998</v>
      </c>
      <c r="O64" s="6">
        <v>2.15</v>
      </c>
      <c r="P64" s="6">
        <v>2.15</v>
      </c>
      <c r="Q64" s="6">
        <v>0.86299999999999999</v>
      </c>
    </row>
    <row r="65" spans="1:17">
      <c r="A65" s="2">
        <v>2013</v>
      </c>
      <c r="B65" s="6">
        <v>0.68500000000000005</v>
      </c>
      <c r="C65" s="6">
        <v>0.80500000000000005</v>
      </c>
      <c r="D65" s="6">
        <v>0.40500000000000003</v>
      </c>
      <c r="E65" s="6">
        <v>0.875</v>
      </c>
      <c r="F65" s="6">
        <v>0.875</v>
      </c>
      <c r="G65" s="6">
        <v>0.40500000000000003</v>
      </c>
      <c r="H65" s="6">
        <v>0.80500000000000005</v>
      </c>
      <c r="I65" s="6">
        <v>1.45</v>
      </c>
      <c r="J65" s="6">
        <v>0.92500000000000004</v>
      </c>
      <c r="K65" s="6">
        <v>0.92500000000000004</v>
      </c>
      <c r="L65" s="6">
        <v>1.175</v>
      </c>
      <c r="M65" s="6">
        <v>1.175</v>
      </c>
      <c r="N65" s="6">
        <v>0.47499999999999998</v>
      </c>
      <c r="O65" s="6">
        <v>2.1</v>
      </c>
      <c r="P65" s="6">
        <v>2.1</v>
      </c>
      <c r="Q65" s="6">
        <v>0.84499999999999997</v>
      </c>
    </row>
    <row r="66" spans="1:17">
      <c r="A66" s="2">
        <v>2014</v>
      </c>
      <c r="B66" s="6">
        <v>0.63</v>
      </c>
      <c r="C66" s="6">
        <v>0.74</v>
      </c>
      <c r="D66" s="6">
        <v>0.373</v>
      </c>
      <c r="E66" s="6">
        <v>0.83299999999999996</v>
      </c>
      <c r="F66" s="6">
        <v>0.83299999999999996</v>
      </c>
      <c r="G66" s="6">
        <v>0.373</v>
      </c>
      <c r="H66" s="6">
        <v>0.74</v>
      </c>
      <c r="I66" s="6">
        <v>1.4330000000000001</v>
      </c>
      <c r="J66" s="6">
        <v>0.9</v>
      </c>
      <c r="K66" s="6">
        <v>0.9</v>
      </c>
      <c r="L66" s="6">
        <v>1.1499999999999999</v>
      </c>
      <c r="M66" s="6">
        <v>1.1499999999999999</v>
      </c>
      <c r="N66" s="6">
        <v>0.46700000000000003</v>
      </c>
      <c r="O66" s="6">
        <v>2.0499999999999998</v>
      </c>
      <c r="P66" s="6">
        <v>2.0499999999999998</v>
      </c>
      <c r="Q66" s="6">
        <v>0.82699999999999996</v>
      </c>
    </row>
    <row r="67" spans="1:17">
      <c r="A67" s="2">
        <v>2015</v>
      </c>
      <c r="B67" s="6">
        <v>0.57499999999999996</v>
      </c>
      <c r="C67" s="6">
        <v>0.67500000000000004</v>
      </c>
      <c r="D67" s="6">
        <v>0.34200000000000003</v>
      </c>
      <c r="E67" s="6">
        <v>0.79200000000000004</v>
      </c>
      <c r="F67" s="6">
        <v>0.79200000000000004</v>
      </c>
      <c r="G67" s="6">
        <v>0.34200000000000003</v>
      </c>
      <c r="H67" s="6">
        <v>0.67500000000000004</v>
      </c>
      <c r="I67" s="6">
        <v>1.417</v>
      </c>
      <c r="J67" s="6">
        <v>0.875</v>
      </c>
      <c r="K67" s="6">
        <v>0.875</v>
      </c>
      <c r="L67" s="6">
        <v>1.125</v>
      </c>
      <c r="M67" s="6">
        <v>1.125</v>
      </c>
      <c r="N67" s="6">
        <v>0.45800000000000002</v>
      </c>
      <c r="O67" s="6">
        <v>2</v>
      </c>
      <c r="P67" s="6">
        <v>2</v>
      </c>
      <c r="Q67" s="6">
        <v>0.80800000000000005</v>
      </c>
    </row>
    <row r="68" spans="1:17">
      <c r="A68" s="2">
        <v>2016</v>
      </c>
      <c r="B68" s="6">
        <v>0.52</v>
      </c>
      <c r="C68" s="6">
        <v>0.61</v>
      </c>
      <c r="D68" s="6">
        <v>0.31</v>
      </c>
      <c r="E68" s="6">
        <v>0.75</v>
      </c>
      <c r="F68" s="6">
        <v>0.75</v>
      </c>
      <c r="G68" s="6">
        <v>0.31</v>
      </c>
      <c r="H68" s="6">
        <v>0.61</v>
      </c>
      <c r="I68" s="6">
        <v>1.4</v>
      </c>
      <c r="J68" s="6">
        <v>0.85</v>
      </c>
      <c r="K68" s="6">
        <v>0.85</v>
      </c>
      <c r="L68" s="6">
        <v>1.1000000000000001</v>
      </c>
      <c r="M68" s="6">
        <v>1.1000000000000001</v>
      </c>
      <c r="N68" s="6">
        <v>0.45</v>
      </c>
      <c r="O68" s="6">
        <v>1.95</v>
      </c>
      <c r="P68" s="6">
        <v>1.95</v>
      </c>
      <c r="Q68" s="6">
        <v>0.79</v>
      </c>
    </row>
    <row r="69" spans="1:17">
      <c r="A69" s="2">
        <v>2017</v>
      </c>
      <c r="B69" s="6">
        <v>0.46500000000000002</v>
      </c>
      <c r="C69" s="6">
        <v>0.54500000000000004</v>
      </c>
      <c r="D69" s="6">
        <v>0.27800000000000002</v>
      </c>
      <c r="E69" s="6">
        <v>0.70799999999999996</v>
      </c>
      <c r="F69" s="6">
        <v>0.70799999999999996</v>
      </c>
      <c r="G69" s="6">
        <v>0.27800000000000002</v>
      </c>
      <c r="H69" s="6">
        <v>0.54500000000000004</v>
      </c>
      <c r="I69" s="6">
        <v>1.383</v>
      </c>
      <c r="J69" s="6">
        <v>0.82499999999999996</v>
      </c>
      <c r="K69" s="6">
        <v>0.82499999999999996</v>
      </c>
      <c r="L69" s="6">
        <v>1.075</v>
      </c>
      <c r="M69" s="6">
        <v>1.075</v>
      </c>
      <c r="N69" s="6">
        <v>0.442</v>
      </c>
      <c r="O69" s="6">
        <v>1.9</v>
      </c>
      <c r="P69" s="6">
        <v>1.9</v>
      </c>
      <c r="Q69" s="6">
        <v>0.77200000000000002</v>
      </c>
    </row>
    <row r="70" spans="1:17">
      <c r="A70" s="2">
        <v>2018</v>
      </c>
      <c r="B70" s="6">
        <v>0.41</v>
      </c>
      <c r="C70" s="6">
        <v>0.48</v>
      </c>
      <c r="D70" s="6">
        <v>0.247</v>
      </c>
      <c r="E70" s="6">
        <v>0.66700000000000004</v>
      </c>
      <c r="F70" s="6">
        <v>0.66700000000000004</v>
      </c>
      <c r="G70" s="6">
        <v>0.247</v>
      </c>
      <c r="H70" s="6">
        <v>0.48</v>
      </c>
      <c r="I70" s="6">
        <v>1.367</v>
      </c>
      <c r="J70" s="6">
        <v>0.8</v>
      </c>
      <c r="K70" s="6">
        <v>0.8</v>
      </c>
      <c r="L70" s="6">
        <v>1.05</v>
      </c>
      <c r="M70" s="6">
        <v>1.05</v>
      </c>
      <c r="N70" s="6">
        <v>0.433</v>
      </c>
      <c r="O70" s="6">
        <v>1.85</v>
      </c>
      <c r="P70" s="6">
        <v>1.85</v>
      </c>
      <c r="Q70" s="6">
        <v>0.753</v>
      </c>
    </row>
    <row r="71" spans="1:17">
      <c r="A71" s="2">
        <v>2019</v>
      </c>
      <c r="B71" s="6">
        <v>0.35499999999999998</v>
      </c>
      <c r="C71" s="6">
        <v>0.41499999999999998</v>
      </c>
      <c r="D71" s="6">
        <v>0.215</v>
      </c>
      <c r="E71" s="6">
        <v>0.625</v>
      </c>
      <c r="F71" s="6">
        <v>0.625</v>
      </c>
      <c r="G71" s="6">
        <v>0.215</v>
      </c>
      <c r="H71" s="6">
        <v>0.41499999999999998</v>
      </c>
      <c r="I71" s="6">
        <v>1.35</v>
      </c>
      <c r="J71" s="6">
        <v>0.77500000000000002</v>
      </c>
      <c r="K71" s="6">
        <v>0.77500000000000002</v>
      </c>
      <c r="L71" s="6">
        <v>1.0249999999999999</v>
      </c>
      <c r="M71" s="6">
        <v>1.0249999999999999</v>
      </c>
      <c r="N71" s="6">
        <v>0.42499999999999999</v>
      </c>
      <c r="O71" s="6">
        <v>1.8</v>
      </c>
      <c r="P71" s="6">
        <v>1.8</v>
      </c>
      <c r="Q71" s="6">
        <v>0.73499999999999999</v>
      </c>
    </row>
    <row r="72" spans="1:17">
      <c r="A72" s="2">
        <v>2020</v>
      </c>
      <c r="B72" s="6">
        <v>0.3</v>
      </c>
      <c r="C72" s="6">
        <v>0.35</v>
      </c>
      <c r="D72" s="6">
        <v>0.183</v>
      </c>
      <c r="E72" s="6">
        <v>0.58299999999999996</v>
      </c>
      <c r="F72" s="6">
        <v>0.58299999999999996</v>
      </c>
      <c r="G72" s="6">
        <v>0.183</v>
      </c>
      <c r="H72" s="6">
        <v>0.35</v>
      </c>
      <c r="I72" s="6">
        <v>1.333</v>
      </c>
      <c r="J72" s="6">
        <v>0.75</v>
      </c>
      <c r="K72" s="6">
        <v>0.75</v>
      </c>
      <c r="L72" s="6">
        <v>1</v>
      </c>
      <c r="M72" s="6">
        <v>1</v>
      </c>
      <c r="N72" s="6">
        <v>0.41699999999999998</v>
      </c>
      <c r="O72" s="6">
        <v>1.75</v>
      </c>
      <c r="P72" s="6">
        <v>1.75</v>
      </c>
      <c r="Q72" s="6">
        <v>0.71699999999999997</v>
      </c>
    </row>
    <row r="73" spans="1:17">
      <c r="A73" s="2">
        <v>2021</v>
      </c>
      <c r="B73" s="6">
        <v>0.245</v>
      </c>
      <c r="C73" s="6">
        <v>0.28499999999999998</v>
      </c>
      <c r="D73" s="6">
        <v>0.152</v>
      </c>
      <c r="E73" s="6">
        <v>0.54200000000000004</v>
      </c>
      <c r="F73" s="6">
        <v>0.54200000000000004</v>
      </c>
      <c r="G73" s="6">
        <v>0.152</v>
      </c>
      <c r="H73" s="6">
        <v>0.28499999999999998</v>
      </c>
      <c r="I73" s="6">
        <v>1.3169999999999999</v>
      </c>
      <c r="J73" s="6">
        <v>0.72499999999999998</v>
      </c>
      <c r="K73" s="6">
        <v>0.72499999999999998</v>
      </c>
      <c r="L73" s="6">
        <v>0.97499999999999998</v>
      </c>
      <c r="M73" s="6">
        <v>0.97499999999999998</v>
      </c>
      <c r="N73" s="6">
        <v>0.40799999999999997</v>
      </c>
      <c r="O73" s="6">
        <v>1.7</v>
      </c>
      <c r="P73" s="6">
        <v>1.7</v>
      </c>
      <c r="Q73" s="6">
        <v>0.69799999999999995</v>
      </c>
    </row>
    <row r="74" spans="1:17">
      <c r="A74" s="2">
        <v>2022</v>
      </c>
      <c r="B74" s="6">
        <v>0.19</v>
      </c>
      <c r="C74" s="6">
        <v>0.22</v>
      </c>
      <c r="D74" s="6">
        <v>0.12</v>
      </c>
      <c r="E74" s="6">
        <v>0.5</v>
      </c>
      <c r="F74" s="6">
        <v>0.5</v>
      </c>
      <c r="G74" s="6">
        <v>0.12</v>
      </c>
      <c r="H74" s="6">
        <v>0.22</v>
      </c>
      <c r="I74" s="6">
        <v>1.3</v>
      </c>
      <c r="J74" s="6">
        <v>0.7</v>
      </c>
      <c r="K74" s="6">
        <v>0.7</v>
      </c>
      <c r="L74" s="6">
        <v>0.95</v>
      </c>
      <c r="M74" s="6">
        <v>0.95</v>
      </c>
      <c r="N74" s="6">
        <v>0.4</v>
      </c>
      <c r="O74" s="6">
        <v>1.65</v>
      </c>
      <c r="P74" s="6">
        <v>1.65</v>
      </c>
      <c r="Q74" s="6">
        <v>0.68</v>
      </c>
    </row>
    <row r="75" spans="1:17">
      <c r="A75" s="2">
        <v>2023</v>
      </c>
      <c r="B75" s="6">
        <v>0.13500000000000001</v>
      </c>
      <c r="C75" s="6">
        <v>0.155</v>
      </c>
      <c r="D75" s="6">
        <v>8.7999999999999995E-2</v>
      </c>
      <c r="E75" s="6">
        <v>0.45800000000000002</v>
      </c>
      <c r="F75" s="6">
        <v>0.45800000000000002</v>
      </c>
      <c r="G75" s="6">
        <v>8.7999999999999995E-2</v>
      </c>
      <c r="H75" s="6">
        <v>0.155</v>
      </c>
      <c r="I75" s="6">
        <v>1.2829999999999999</v>
      </c>
      <c r="J75" s="6">
        <v>0.67500000000000004</v>
      </c>
      <c r="K75" s="6">
        <v>0.67500000000000004</v>
      </c>
      <c r="L75" s="6">
        <v>0.92500000000000004</v>
      </c>
      <c r="M75" s="6">
        <v>0.92500000000000004</v>
      </c>
      <c r="N75" s="6">
        <v>0.39200000000000002</v>
      </c>
      <c r="O75" s="6">
        <v>1.6</v>
      </c>
      <c r="P75" s="6">
        <v>1.6</v>
      </c>
      <c r="Q75" s="6">
        <v>0.66200000000000003</v>
      </c>
    </row>
    <row r="76" spans="1:17">
      <c r="A76" s="2">
        <v>2024</v>
      </c>
      <c r="B76" s="6">
        <v>0.08</v>
      </c>
      <c r="C76" s="6">
        <v>0.09</v>
      </c>
      <c r="D76" s="6">
        <v>5.7000000000000002E-2</v>
      </c>
      <c r="E76" s="6">
        <v>0.41699999999999998</v>
      </c>
      <c r="F76" s="6">
        <v>0.41699999999999998</v>
      </c>
      <c r="G76" s="6">
        <v>5.7000000000000002E-2</v>
      </c>
      <c r="H76" s="6">
        <v>0.09</v>
      </c>
      <c r="I76" s="6">
        <v>1.2669999999999999</v>
      </c>
      <c r="J76" s="6">
        <v>0.65</v>
      </c>
      <c r="K76" s="6">
        <v>0.65</v>
      </c>
      <c r="L76" s="6">
        <v>0.9</v>
      </c>
      <c r="M76" s="6">
        <v>0.9</v>
      </c>
      <c r="N76" s="6">
        <v>0.38300000000000001</v>
      </c>
      <c r="O76" s="6">
        <v>1.55</v>
      </c>
      <c r="P76" s="6">
        <v>1.55</v>
      </c>
      <c r="Q76" s="6">
        <v>0.64300000000000002</v>
      </c>
    </row>
    <row r="77" spans="1:17">
      <c r="A77" s="2">
        <v>2025</v>
      </c>
      <c r="B77" s="6">
        <v>2.5000000000000001E-2</v>
      </c>
      <c r="C77" s="6">
        <v>2.5000000000000001E-2</v>
      </c>
      <c r="D77" s="6">
        <v>2.5000000000000001E-2</v>
      </c>
      <c r="E77" s="6">
        <v>0.375</v>
      </c>
      <c r="F77" s="6">
        <v>0.375</v>
      </c>
      <c r="G77" s="6">
        <v>2.5000000000000001E-2</v>
      </c>
      <c r="H77" s="6">
        <v>2.5000000000000001E-2</v>
      </c>
      <c r="I77" s="6">
        <v>1.25</v>
      </c>
      <c r="J77" s="6">
        <v>0.625</v>
      </c>
      <c r="K77" s="6">
        <v>0.625</v>
      </c>
      <c r="L77" s="6">
        <v>0.875</v>
      </c>
      <c r="M77" s="6">
        <v>0.875</v>
      </c>
      <c r="N77" s="6">
        <v>0.375</v>
      </c>
      <c r="O77" s="6">
        <v>1.5</v>
      </c>
      <c r="P77" s="6">
        <v>1.5</v>
      </c>
      <c r="Q77" s="6">
        <v>0.625</v>
      </c>
    </row>
    <row r="78" spans="1:17">
      <c r="A78" s="2">
        <v>2026</v>
      </c>
      <c r="B78" s="6">
        <v>0.02</v>
      </c>
      <c r="C78" s="6">
        <v>0.02</v>
      </c>
      <c r="D78" s="6">
        <v>0.02</v>
      </c>
      <c r="E78" s="6">
        <v>0.35</v>
      </c>
      <c r="F78" s="6">
        <v>0.35</v>
      </c>
      <c r="G78" s="6">
        <v>0.02</v>
      </c>
      <c r="H78" s="6">
        <v>0.02</v>
      </c>
      <c r="I78" s="6">
        <v>1.2</v>
      </c>
      <c r="J78" s="6">
        <v>0.6</v>
      </c>
      <c r="K78" s="6">
        <v>0.6</v>
      </c>
      <c r="L78" s="6">
        <v>0.85</v>
      </c>
      <c r="M78" s="6">
        <v>0.85</v>
      </c>
      <c r="N78" s="6">
        <v>0.35</v>
      </c>
      <c r="O78" s="6">
        <v>1.45</v>
      </c>
      <c r="P78" s="6">
        <v>1.45</v>
      </c>
      <c r="Q78" s="6">
        <v>0.6</v>
      </c>
    </row>
    <row r="79" spans="1:17">
      <c r="A79" s="2">
        <v>2027</v>
      </c>
      <c r="B79" s="6">
        <v>1.4999999999999999E-2</v>
      </c>
      <c r="C79" s="6">
        <v>1.4999999999999999E-2</v>
      </c>
      <c r="D79" s="6">
        <v>1.4999999999999999E-2</v>
      </c>
      <c r="E79" s="6">
        <v>0.32500000000000001</v>
      </c>
      <c r="F79" s="6">
        <v>0.32500000000000001</v>
      </c>
      <c r="G79" s="6">
        <v>1.4999999999999999E-2</v>
      </c>
      <c r="H79" s="6">
        <v>1.4999999999999999E-2</v>
      </c>
      <c r="I79" s="6">
        <v>1.1499999999999999</v>
      </c>
      <c r="J79" s="6">
        <v>0.57499999999999996</v>
      </c>
      <c r="K79" s="6">
        <v>0.57499999999999996</v>
      </c>
      <c r="L79" s="6">
        <v>0.82499999999999996</v>
      </c>
      <c r="M79" s="6">
        <v>0.82499999999999996</v>
      </c>
      <c r="N79" s="6">
        <v>0.32500000000000001</v>
      </c>
      <c r="O79" s="6">
        <v>1.4</v>
      </c>
      <c r="P79" s="6">
        <v>1.4</v>
      </c>
      <c r="Q79" s="6">
        <v>0.57499999999999996</v>
      </c>
    </row>
    <row r="80" spans="1:17">
      <c r="A80" s="2">
        <v>2028</v>
      </c>
      <c r="B80" s="6">
        <v>0.01</v>
      </c>
      <c r="C80" s="6">
        <v>0.01</v>
      </c>
      <c r="D80" s="6">
        <v>0.01</v>
      </c>
      <c r="E80" s="6">
        <v>0.3</v>
      </c>
      <c r="F80" s="6">
        <v>0.3</v>
      </c>
      <c r="G80" s="6">
        <v>0.01</v>
      </c>
      <c r="H80" s="6">
        <v>0.01</v>
      </c>
      <c r="I80" s="6">
        <v>1.1000000000000001</v>
      </c>
      <c r="J80" s="6">
        <v>0.55000000000000004</v>
      </c>
      <c r="K80" s="6">
        <v>0.55000000000000004</v>
      </c>
      <c r="L80" s="6">
        <v>0.8</v>
      </c>
      <c r="M80" s="6">
        <v>0.8</v>
      </c>
      <c r="N80" s="6">
        <v>0.3</v>
      </c>
      <c r="O80" s="6">
        <v>1.35</v>
      </c>
      <c r="P80" s="6">
        <v>1.35</v>
      </c>
      <c r="Q80" s="6">
        <v>0.55000000000000004</v>
      </c>
    </row>
    <row r="81" spans="1:17">
      <c r="A81" s="2">
        <v>2029</v>
      </c>
      <c r="B81" s="6">
        <v>5.0000000000000001E-3</v>
      </c>
      <c r="C81" s="6">
        <v>5.0000000000000001E-3</v>
      </c>
      <c r="D81" s="6">
        <v>5.0000000000000001E-3</v>
      </c>
      <c r="E81" s="6">
        <v>0.27500000000000002</v>
      </c>
      <c r="F81" s="6">
        <v>0.27500000000000002</v>
      </c>
      <c r="G81" s="6">
        <v>5.0000000000000001E-3</v>
      </c>
      <c r="H81" s="6">
        <v>5.0000000000000001E-3</v>
      </c>
      <c r="I81" s="6">
        <v>1.05</v>
      </c>
      <c r="J81" s="6">
        <v>0.52500000000000002</v>
      </c>
      <c r="K81" s="6">
        <v>0.52500000000000002</v>
      </c>
      <c r="L81" s="6">
        <v>0.77500000000000002</v>
      </c>
      <c r="M81" s="6">
        <v>0.77500000000000002</v>
      </c>
      <c r="N81" s="6">
        <v>0.27500000000000002</v>
      </c>
      <c r="O81" s="6">
        <v>1.3</v>
      </c>
      <c r="P81" s="6">
        <v>1.3</v>
      </c>
      <c r="Q81" s="6">
        <v>0.52500000000000002</v>
      </c>
    </row>
    <row r="82" spans="1:17">
      <c r="A82" s="2">
        <v>2030</v>
      </c>
      <c r="B82" s="6">
        <v>0</v>
      </c>
      <c r="C82" s="6">
        <v>0</v>
      </c>
      <c r="D82" s="6">
        <v>0</v>
      </c>
      <c r="E82" s="6">
        <v>0.25</v>
      </c>
      <c r="F82" s="6">
        <v>0.25</v>
      </c>
      <c r="G82" s="6">
        <v>0</v>
      </c>
      <c r="H82" s="6">
        <v>0</v>
      </c>
      <c r="I82" s="6">
        <v>1</v>
      </c>
      <c r="J82" s="6">
        <v>0.5</v>
      </c>
      <c r="K82" s="6">
        <v>0.5</v>
      </c>
      <c r="L82" s="6">
        <v>0.75</v>
      </c>
      <c r="M82" s="6">
        <v>0.75</v>
      </c>
      <c r="N82" s="6">
        <v>0.25</v>
      </c>
      <c r="O82" s="6">
        <v>1.25</v>
      </c>
      <c r="P82" s="6">
        <v>1.25</v>
      </c>
      <c r="Q82" s="6">
        <v>0.5</v>
      </c>
    </row>
    <row r="83" spans="1:17">
      <c r="A83" s="2">
        <v>2031</v>
      </c>
      <c r="B83" s="6">
        <v>0</v>
      </c>
      <c r="C83" s="6">
        <v>0</v>
      </c>
      <c r="D83" s="6">
        <v>0</v>
      </c>
      <c r="E83" s="6">
        <v>0.24249999999999999</v>
      </c>
      <c r="F83" s="6">
        <v>0.24249999999999999</v>
      </c>
      <c r="G83" s="6">
        <v>0</v>
      </c>
      <c r="H83" s="6">
        <v>0</v>
      </c>
      <c r="I83" s="6">
        <v>0.97499999999999998</v>
      </c>
      <c r="J83" s="6">
        <v>0.48749999999999999</v>
      </c>
      <c r="K83" s="6">
        <v>0.48749999999999999</v>
      </c>
      <c r="L83" s="6">
        <v>0.73750000000000004</v>
      </c>
      <c r="M83" s="6">
        <v>0.73750000000000004</v>
      </c>
      <c r="N83" s="6">
        <v>0.24249999999999999</v>
      </c>
      <c r="O83" s="6">
        <v>1.2250000000000001</v>
      </c>
      <c r="P83" s="6">
        <v>1.2250000000000001</v>
      </c>
      <c r="Q83" s="6">
        <v>0.48749999999999999</v>
      </c>
    </row>
    <row r="84" spans="1:17">
      <c r="A84" s="2">
        <v>2032</v>
      </c>
      <c r="B84" s="6">
        <v>0</v>
      </c>
      <c r="C84" s="6">
        <v>0</v>
      </c>
      <c r="D84" s="6">
        <v>0</v>
      </c>
      <c r="E84" s="6">
        <v>0.23499999999999999</v>
      </c>
      <c r="F84" s="6">
        <v>0.23499999999999999</v>
      </c>
      <c r="G84" s="6">
        <v>0</v>
      </c>
      <c r="H84" s="6">
        <v>0</v>
      </c>
      <c r="I84" s="6">
        <v>0.95</v>
      </c>
      <c r="J84" s="6">
        <v>0.47499999999999998</v>
      </c>
      <c r="K84" s="6">
        <v>0.47499999999999998</v>
      </c>
      <c r="L84" s="6">
        <v>0.72499999999999998</v>
      </c>
      <c r="M84" s="6">
        <v>0.72499999999999998</v>
      </c>
      <c r="N84" s="6">
        <v>0.23499999999999999</v>
      </c>
      <c r="O84" s="6">
        <v>1.2</v>
      </c>
      <c r="P84" s="6">
        <v>1.2</v>
      </c>
      <c r="Q84" s="6">
        <v>0.47499999999999998</v>
      </c>
    </row>
    <row r="85" spans="1:17">
      <c r="A85" s="2">
        <v>2033</v>
      </c>
      <c r="B85" s="6">
        <v>0</v>
      </c>
      <c r="C85" s="6">
        <v>0</v>
      </c>
      <c r="D85" s="6">
        <v>0</v>
      </c>
      <c r="E85" s="6">
        <v>0.22750000000000001</v>
      </c>
      <c r="F85" s="6">
        <v>0.22750000000000001</v>
      </c>
      <c r="G85" s="6">
        <v>0</v>
      </c>
      <c r="H85" s="6">
        <v>0</v>
      </c>
      <c r="I85" s="6">
        <v>0.92500000000000004</v>
      </c>
      <c r="J85" s="6">
        <v>0.46250000000000002</v>
      </c>
      <c r="K85" s="6">
        <v>0.46250000000000002</v>
      </c>
      <c r="L85" s="6">
        <v>0.71250000000000002</v>
      </c>
      <c r="M85" s="6">
        <v>0.71250000000000002</v>
      </c>
      <c r="N85" s="6">
        <v>0.22750000000000001</v>
      </c>
      <c r="O85" s="6">
        <v>1.175</v>
      </c>
      <c r="P85" s="6">
        <v>1.175</v>
      </c>
      <c r="Q85" s="6">
        <v>0.46250000000000002</v>
      </c>
    </row>
    <row r="86" spans="1:17">
      <c r="A86" s="2">
        <v>2034</v>
      </c>
      <c r="B86" s="6">
        <v>0</v>
      </c>
      <c r="C86" s="6">
        <v>0</v>
      </c>
      <c r="D86" s="6">
        <v>0</v>
      </c>
      <c r="E86" s="6">
        <v>0.22</v>
      </c>
      <c r="F86" s="6">
        <v>0.22</v>
      </c>
      <c r="G86" s="6">
        <v>0</v>
      </c>
      <c r="H86" s="6">
        <v>0</v>
      </c>
      <c r="I86" s="6">
        <v>0.9</v>
      </c>
      <c r="J86" s="6">
        <v>0.45</v>
      </c>
      <c r="K86" s="6">
        <v>0.45</v>
      </c>
      <c r="L86" s="6">
        <v>0.7</v>
      </c>
      <c r="M86" s="6">
        <v>0.7</v>
      </c>
      <c r="N86" s="6">
        <v>0.22</v>
      </c>
      <c r="O86" s="6">
        <v>1.1499999999999999</v>
      </c>
      <c r="P86" s="6">
        <v>1.1499999999999999</v>
      </c>
      <c r="Q86" s="6">
        <v>0.45</v>
      </c>
    </row>
    <row r="87" spans="1:17">
      <c r="A87" s="2">
        <v>2035</v>
      </c>
      <c r="B87" s="6">
        <v>0</v>
      </c>
      <c r="C87" s="6">
        <v>0</v>
      </c>
      <c r="D87" s="6">
        <v>0</v>
      </c>
      <c r="E87" s="6">
        <v>0.21249999999999999</v>
      </c>
      <c r="F87" s="6">
        <v>0.21249999999999999</v>
      </c>
      <c r="G87" s="6">
        <v>0</v>
      </c>
      <c r="H87" s="6">
        <v>0</v>
      </c>
      <c r="I87" s="6">
        <v>0.875</v>
      </c>
      <c r="J87" s="6">
        <v>0.4375</v>
      </c>
      <c r="K87" s="6">
        <v>0.4375</v>
      </c>
      <c r="L87" s="6">
        <v>0.6875</v>
      </c>
      <c r="M87" s="6">
        <v>0.6875</v>
      </c>
      <c r="N87" s="6">
        <v>0.21249999999999999</v>
      </c>
      <c r="O87" s="6">
        <v>1.125</v>
      </c>
      <c r="P87" s="6">
        <v>1.125</v>
      </c>
      <c r="Q87" s="6">
        <v>0.4375</v>
      </c>
    </row>
    <row r="88" spans="1:17">
      <c r="A88" s="2">
        <v>2036</v>
      </c>
      <c r="B88" s="6">
        <v>0</v>
      </c>
      <c r="C88" s="6">
        <v>0</v>
      </c>
      <c r="D88" s="6">
        <v>0</v>
      </c>
      <c r="E88" s="6">
        <v>0.20499999999999999</v>
      </c>
      <c r="F88" s="6">
        <v>0.20499999999999999</v>
      </c>
      <c r="G88" s="6">
        <v>0</v>
      </c>
      <c r="H88" s="6">
        <v>0</v>
      </c>
      <c r="I88" s="6">
        <v>0.85</v>
      </c>
      <c r="J88" s="6">
        <v>0.42499999999999999</v>
      </c>
      <c r="K88" s="6">
        <v>0.42499999999999999</v>
      </c>
      <c r="L88" s="6">
        <v>0.67500000000000004</v>
      </c>
      <c r="M88" s="6">
        <v>0.67500000000000004</v>
      </c>
      <c r="N88" s="6">
        <v>0.20499999999999999</v>
      </c>
      <c r="O88" s="6">
        <v>1.1000000000000001</v>
      </c>
      <c r="P88" s="6">
        <v>1.1000000000000001</v>
      </c>
      <c r="Q88" s="6">
        <v>0.42499999999999999</v>
      </c>
    </row>
    <row r="89" spans="1:17">
      <c r="A89" s="2">
        <v>2037</v>
      </c>
      <c r="B89" s="6">
        <v>0</v>
      </c>
      <c r="C89" s="6">
        <v>0</v>
      </c>
      <c r="D89" s="6">
        <v>0</v>
      </c>
      <c r="E89" s="6">
        <v>0.19750000000000001</v>
      </c>
      <c r="F89" s="6">
        <v>0.19750000000000001</v>
      </c>
      <c r="G89" s="6">
        <v>0</v>
      </c>
      <c r="H89" s="6">
        <v>0</v>
      </c>
      <c r="I89" s="6">
        <v>0.82499999999999996</v>
      </c>
      <c r="J89" s="6">
        <v>0.41249999999999998</v>
      </c>
      <c r="K89" s="6">
        <v>0.41249999999999998</v>
      </c>
      <c r="L89" s="6">
        <v>0.66249999999999998</v>
      </c>
      <c r="M89" s="6">
        <v>0.66249999999999998</v>
      </c>
      <c r="N89" s="6">
        <v>0.19750000000000001</v>
      </c>
      <c r="O89" s="6">
        <v>1.075</v>
      </c>
      <c r="P89" s="6">
        <v>1.075</v>
      </c>
      <c r="Q89" s="6">
        <v>0.41249999999999998</v>
      </c>
    </row>
    <row r="90" spans="1:17">
      <c r="A90" s="2">
        <v>2038</v>
      </c>
      <c r="B90" s="6">
        <v>0</v>
      </c>
      <c r="C90" s="6">
        <v>0</v>
      </c>
      <c r="D90" s="6">
        <v>0</v>
      </c>
      <c r="E90" s="6">
        <v>0.19</v>
      </c>
      <c r="F90" s="6">
        <v>0.19</v>
      </c>
      <c r="G90" s="6">
        <v>0</v>
      </c>
      <c r="H90" s="6">
        <v>0</v>
      </c>
      <c r="I90" s="6">
        <v>0.8</v>
      </c>
      <c r="J90" s="6">
        <v>0.4</v>
      </c>
      <c r="K90" s="6">
        <v>0.4</v>
      </c>
      <c r="L90" s="6">
        <v>0.65</v>
      </c>
      <c r="M90" s="6">
        <v>0.65</v>
      </c>
      <c r="N90" s="6">
        <v>0.19</v>
      </c>
      <c r="O90" s="6">
        <v>1.05</v>
      </c>
      <c r="P90" s="6">
        <v>1.05</v>
      </c>
      <c r="Q90" s="6">
        <v>0.4</v>
      </c>
    </row>
    <row r="91" spans="1:17">
      <c r="A91" s="2">
        <v>2039</v>
      </c>
      <c r="B91" s="6">
        <v>0</v>
      </c>
      <c r="C91" s="6">
        <v>0</v>
      </c>
      <c r="D91" s="6">
        <v>0</v>
      </c>
      <c r="E91" s="6">
        <v>0.1825</v>
      </c>
      <c r="F91" s="6">
        <v>0.1825</v>
      </c>
      <c r="G91" s="6">
        <v>0</v>
      </c>
      <c r="H91" s="6">
        <v>0</v>
      </c>
      <c r="I91" s="6">
        <v>0.77500000000000002</v>
      </c>
      <c r="J91" s="6">
        <v>0.38750000000000001</v>
      </c>
      <c r="K91" s="6">
        <v>0.38750000000000001</v>
      </c>
      <c r="L91" s="6">
        <v>0.63749999999999996</v>
      </c>
      <c r="M91" s="6">
        <v>0.63749999999999996</v>
      </c>
      <c r="N91" s="6">
        <v>0.1825</v>
      </c>
      <c r="O91" s="6">
        <v>1.0249999999999999</v>
      </c>
      <c r="P91" s="6">
        <v>1.0249999999999999</v>
      </c>
      <c r="Q91" s="6">
        <v>0.38750000000000001</v>
      </c>
    </row>
    <row r="92" spans="1:17">
      <c r="A92" s="2">
        <v>2040</v>
      </c>
      <c r="B92" s="6">
        <v>0</v>
      </c>
      <c r="C92" s="6">
        <v>0</v>
      </c>
      <c r="D92" s="6">
        <v>0</v>
      </c>
      <c r="E92" s="6">
        <v>0.17499999999999999</v>
      </c>
      <c r="F92" s="6">
        <v>0.17499999999999999</v>
      </c>
      <c r="G92" s="6">
        <v>0</v>
      </c>
      <c r="H92" s="6">
        <v>0</v>
      </c>
      <c r="I92" s="6">
        <v>0.75</v>
      </c>
      <c r="J92" s="6">
        <v>0.375</v>
      </c>
      <c r="K92" s="6">
        <v>0.375</v>
      </c>
      <c r="L92" s="6">
        <v>0.625</v>
      </c>
      <c r="M92" s="6">
        <v>0.625</v>
      </c>
      <c r="N92" s="6">
        <v>0.17499999999999999</v>
      </c>
      <c r="O92" s="6">
        <v>1</v>
      </c>
      <c r="P92" s="6">
        <v>1</v>
      </c>
      <c r="Q92" s="6">
        <v>0.375</v>
      </c>
    </row>
    <row r="93" spans="1:17">
      <c r="A93" s="2">
        <v>2041</v>
      </c>
      <c r="B93" s="6">
        <v>0</v>
      </c>
      <c r="C93" s="6">
        <v>0</v>
      </c>
      <c r="D93" s="6">
        <v>0</v>
      </c>
      <c r="E93" s="6">
        <v>0.16750000000000001</v>
      </c>
      <c r="F93" s="6">
        <v>0.16750000000000001</v>
      </c>
      <c r="G93" s="6">
        <v>0</v>
      </c>
      <c r="H93" s="6">
        <v>0</v>
      </c>
      <c r="I93" s="6">
        <v>0.72499999999999998</v>
      </c>
      <c r="J93" s="6">
        <v>0.36249999999999999</v>
      </c>
      <c r="K93" s="6">
        <v>0.36249999999999999</v>
      </c>
      <c r="L93" s="6">
        <v>0.61250000000000004</v>
      </c>
      <c r="M93" s="6">
        <v>0.61250000000000004</v>
      </c>
      <c r="N93" s="6">
        <v>0.16750000000000001</v>
      </c>
      <c r="O93" s="6">
        <v>0.97499999999999998</v>
      </c>
      <c r="P93" s="6">
        <v>0.97499999999999998</v>
      </c>
      <c r="Q93" s="6">
        <v>0.36249999999999999</v>
      </c>
    </row>
    <row r="94" spans="1:17">
      <c r="A94" s="2">
        <v>2042</v>
      </c>
      <c r="B94" s="6">
        <v>0</v>
      </c>
      <c r="C94" s="6">
        <v>0</v>
      </c>
      <c r="D94" s="6">
        <v>0</v>
      </c>
      <c r="E94" s="6">
        <v>0.16</v>
      </c>
      <c r="F94" s="6">
        <v>0.16</v>
      </c>
      <c r="G94" s="6">
        <v>0</v>
      </c>
      <c r="H94" s="6">
        <v>0</v>
      </c>
      <c r="I94" s="6">
        <v>0.7</v>
      </c>
      <c r="J94" s="6">
        <v>0.35</v>
      </c>
      <c r="K94" s="6">
        <v>0.35</v>
      </c>
      <c r="L94" s="6">
        <v>0.6</v>
      </c>
      <c r="M94" s="6">
        <v>0.6</v>
      </c>
      <c r="N94" s="6">
        <v>0.16</v>
      </c>
      <c r="O94" s="6">
        <v>0.95</v>
      </c>
      <c r="P94" s="6">
        <v>0.95</v>
      </c>
      <c r="Q94" s="6">
        <v>0.35</v>
      </c>
    </row>
    <row r="95" spans="1:17">
      <c r="A95" s="2">
        <v>2043</v>
      </c>
      <c r="B95" s="6">
        <v>0</v>
      </c>
      <c r="C95" s="6">
        <v>0</v>
      </c>
      <c r="D95" s="6">
        <v>0</v>
      </c>
      <c r="E95" s="6">
        <v>0.1525</v>
      </c>
      <c r="F95" s="6">
        <v>0.1525</v>
      </c>
      <c r="G95" s="6">
        <v>0</v>
      </c>
      <c r="H95" s="6">
        <v>0</v>
      </c>
      <c r="I95" s="6">
        <v>0.67500000000000004</v>
      </c>
      <c r="J95" s="6">
        <v>0.33750000000000002</v>
      </c>
      <c r="K95" s="6">
        <v>0.33750000000000002</v>
      </c>
      <c r="L95" s="6">
        <v>0.58750000000000002</v>
      </c>
      <c r="M95" s="6">
        <v>0.58750000000000002</v>
      </c>
      <c r="N95" s="6">
        <v>0.1525</v>
      </c>
      <c r="O95" s="6">
        <v>0.92500000000000004</v>
      </c>
      <c r="P95" s="6">
        <v>0.92500000000000004</v>
      </c>
      <c r="Q95" s="6">
        <v>0.33750000000000002</v>
      </c>
    </row>
    <row r="96" spans="1:17">
      <c r="A96" s="2">
        <v>2044</v>
      </c>
      <c r="B96" s="6">
        <v>0</v>
      </c>
      <c r="C96" s="6">
        <v>0</v>
      </c>
      <c r="D96" s="6">
        <v>0</v>
      </c>
      <c r="E96" s="6">
        <v>0.14499999999999999</v>
      </c>
      <c r="F96" s="6">
        <v>0.14499999999999999</v>
      </c>
      <c r="G96" s="6">
        <v>0</v>
      </c>
      <c r="H96" s="6">
        <v>0</v>
      </c>
      <c r="I96" s="6">
        <v>0.65</v>
      </c>
      <c r="J96" s="6">
        <v>0.32500000000000001</v>
      </c>
      <c r="K96" s="6">
        <v>0.32500000000000001</v>
      </c>
      <c r="L96" s="6">
        <v>0.57499999999999996</v>
      </c>
      <c r="M96" s="6">
        <v>0.57499999999999996</v>
      </c>
      <c r="N96" s="6">
        <v>0.14499999999999999</v>
      </c>
      <c r="O96" s="6">
        <v>0.9</v>
      </c>
      <c r="P96" s="6">
        <v>0.9</v>
      </c>
      <c r="Q96" s="6">
        <v>0.32500000000000001</v>
      </c>
    </row>
    <row r="97" spans="1:17">
      <c r="A97" s="2">
        <v>2045</v>
      </c>
      <c r="B97" s="6">
        <v>0</v>
      </c>
      <c r="C97" s="6">
        <v>0</v>
      </c>
      <c r="D97" s="6">
        <v>0</v>
      </c>
      <c r="E97" s="6">
        <v>0.13750000000000001</v>
      </c>
      <c r="F97" s="6">
        <v>0.13750000000000001</v>
      </c>
      <c r="G97" s="6">
        <v>0</v>
      </c>
      <c r="H97" s="6">
        <v>0</v>
      </c>
      <c r="I97" s="6">
        <v>0.625</v>
      </c>
      <c r="J97" s="6">
        <v>0.3125</v>
      </c>
      <c r="K97" s="6">
        <v>0.3125</v>
      </c>
      <c r="L97" s="6">
        <v>0.5625</v>
      </c>
      <c r="M97" s="6">
        <v>0.5625</v>
      </c>
      <c r="N97" s="6">
        <v>0.13750000000000001</v>
      </c>
      <c r="O97" s="6">
        <v>0.875</v>
      </c>
      <c r="P97" s="6">
        <v>0.875</v>
      </c>
      <c r="Q97" s="6">
        <v>0.3125</v>
      </c>
    </row>
    <row r="98" spans="1:17">
      <c r="A98" s="2">
        <v>2046</v>
      </c>
      <c r="B98" s="6">
        <v>0</v>
      </c>
      <c r="C98" s="6">
        <v>0</v>
      </c>
      <c r="D98" s="6">
        <v>0</v>
      </c>
      <c r="E98" s="6">
        <v>0.13</v>
      </c>
      <c r="F98" s="6">
        <v>0.13</v>
      </c>
      <c r="G98" s="6">
        <v>0</v>
      </c>
      <c r="H98" s="6">
        <v>0</v>
      </c>
      <c r="I98" s="6">
        <v>0.6</v>
      </c>
      <c r="J98" s="6">
        <v>0.3</v>
      </c>
      <c r="K98" s="6">
        <v>0.3</v>
      </c>
      <c r="L98" s="6">
        <v>0.55000000000000004</v>
      </c>
      <c r="M98" s="6">
        <v>0.55000000000000004</v>
      </c>
      <c r="N98" s="6">
        <v>0.13</v>
      </c>
      <c r="O98" s="6">
        <v>0.85</v>
      </c>
      <c r="P98" s="6">
        <v>0.85</v>
      </c>
      <c r="Q98" s="6">
        <v>0.3</v>
      </c>
    </row>
    <row r="99" spans="1:17">
      <c r="A99" s="2">
        <v>2047</v>
      </c>
      <c r="B99" s="6">
        <v>0</v>
      </c>
      <c r="C99" s="6">
        <v>0</v>
      </c>
      <c r="D99" s="6">
        <v>0</v>
      </c>
      <c r="E99" s="6">
        <v>0.1225</v>
      </c>
      <c r="F99" s="6">
        <v>0.1225</v>
      </c>
      <c r="G99" s="6">
        <v>0</v>
      </c>
      <c r="H99" s="6">
        <v>0</v>
      </c>
      <c r="I99" s="6">
        <v>0.57499999999999996</v>
      </c>
      <c r="J99" s="6">
        <v>0.28749999999999998</v>
      </c>
      <c r="K99" s="6">
        <v>0.28749999999999998</v>
      </c>
      <c r="L99" s="6">
        <v>0.53749999999999998</v>
      </c>
      <c r="M99" s="6">
        <v>0.53749999999999998</v>
      </c>
      <c r="N99" s="6">
        <v>0.1225</v>
      </c>
      <c r="O99" s="6">
        <v>0.82499999999999996</v>
      </c>
      <c r="P99" s="6">
        <v>0.82499999999999996</v>
      </c>
      <c r="Q99" s="6">
        <v>0.28749999999999998</v>
      </c>
    </row>
    <row r="100" spans="1:17">
      <c r="A100" s="2">
        <v>2048</v>
      </c>
      <c r="B100" s="6">
        <v>0</v>
      </c>
      <c r="C100" s="6">
        <v>0</v>
      </c>
      <c r="D100" s="6">
        <v>0</v>
      </c>
      <c r="E100" s="6">
        <v>0.115</v>
      </c>
      <c r="F100" s="6">
        <v>0.115</v>
      </c>
      <c r="G100" s="6">
        <v>0</v>
      </c>
      <c r="H100" s="6">
        <v>0</v>
      </c>
      <c r="I100" s="6">
        <v>0.55000000000000004</v>
      </c>
      <c r="J100" s="6">
        <v>0.27500000000000002</v>
      </c>
      <c r="K100" s="6">
        <v>0.27500000000000002</v>
      </c>
      <c r="L100" s="6">
        <v>0.52500000000000002</v>
      </c>
      <c r="M100" s="6">
        <v>0.52500000000000002</v>
      </c>
      <c r="N100" s="6">
        <v>0.115</v>
      </c>
      <c r="O100" s="6">
        <v>0.8</v>
      </c>
      <c r="P100" s="6">
        <v>0.8</v>
      </c>
      <c r="Q100" s="6">
        <v>0.27500000000000002</v>
      </c>
    </row>
    <row r="101" spans="1:17">
      <c r="A101" s="2">
        <v>2049</v>
      </c>
      <c r="B101" s="6">
        <v>0</v>
      </c>
      <c r="C101" s="6">
        <v>0</v>
      </c>
      <c r="D101" s="6">
        <v>0</v>
      </c>
      <c r="E101" s="6">
        <v>0.1075</v>
      </c>
      <c r="F101" s="6">
        <v>0.1075</v>
      </c>
      <c r="G101" s="6">
        <v>0</v>
      </c>
      <c r="H101" s="6">
        <v>0</v>
      </c>
      <c r="I101" s="6">
        <v>0.52500000000000002</v>
      </c>
      <c r="J101" s="6">
        <v>0.26250000000000001</v>
      </c>
      <c r="K101" s="6">
        <v>0.26250000000000001</v>
      </c>
      <c r="L101" s="6">
        <v>0.51249999999999996</v>
      </c>
      <c r="M101" s="6">
        <v>0.51249999999999996</v>
      </c>
      <c r="N101" s="6">
        <v>0.1075</v>
      </c>
      <c r="O101" s="6">
        <v>0.77500000000000002</v>
      </c>
      <c r="P101" s="6">
        <v>0.77500000000000002</v>
      </c>
      <c r="Q101" s="6">
        <v>0.26250000000000001</v>
      </c>
    </row>
    <row r="102" spans="1:17">
      <c r="A102" s="2">
        <v>2050</v>
      </c>
      <c r="B102" s="6">
        <v>0</v>
      </c>
      <c r="C102" s="6">
        <v>0</v>
      </c>
      <c r="D102" s="6">
        <v>0</v>
      </c>
      <c r="E102" s="6">
        <v>0.1</v>
      </c>
      <c r="F102" s="6">
        <v>0.1</v>
      </c>
      <c r="G102" s="6">
        <v>0</v>
      </c>
      <c r="H102" s="6">
        <v>0</v>
      </c>
      <c r="I102" s="6">
        <v>0.5</v>
      </c>
      <c r="J102" s="6">
        <v>0.25</v>
      </c>
      <c r="K102" s="6">
        <v>0.25</v>
      </c>
      <c r="L102" s="6">
        <v>0.5</v>
      </c>
      <c r="M102" s="6">
        <v>0.5</v>
      </c>
      <c r="N102" s="6">
        <v>0.1</v>
      </c>
      <c r="O102" s="6">
        <v>0.75</v>
      </c>
      <c r="P102" s="6">
        <v>0.75</v>
      </c>
      <c r="Q102" s="6">
        <v>0.25</v>
      </c>
    </row>
    <row r="103" spans="1:17">
      <c r="A103" s="2">
        <v>2051</v>
      </c>
      <c r="B103" s="6">
        <v>4.0000000000000001E-3</v>
      </c>
      <c r="C103" s="6">
        <v>4.0000000000000001E-3</v>
      </c>
      <c r="D103" s="6">
        <v>4.0000000000000001E-3</v>
      </c>
      <c r="E103" s="6">
        <v>0.10199999999999999</v>
      </c>
      <c r="F103" s="6">
        <v>0.10199999999999999</v>
      </c>
      <c r="G103" s="6">
        <v>4.0000000000000001E-3</v>
      </c>
      <c r="H103" s="6">
        <v>4.0000000000000001E-3</v>
      </c>
      <c r="I103" s="6">
        <v>0.49399999999999999</v>
      </c>
      <c r="J103" s="6">
        <v>0.249</v>
      </c>
      <c r="K103" s="6">
        <v>0.249</v>
      </c>
      <c r="L103" s="6">
        <v>0.49399999999999999</v>
      </c>
      <c r="M103" s="6">
        <v>0.49399999999999999</v>
      </c>
      <c r="N103" s="6">
        <v>0.10199999999999999</v>
      </c>
      <c r="O103" s="6">
        <v>0.73899999999999999</v>
      </c>
      <c r="P103" s="6">
        <v>0.73899999999999999</v>
      </c>
      <c r="Q103" s="6">
        <v>0.249</v>
      </c>
    </row>
    <row r="104" spans="1:17">
      <c r="A104" s="2">
        <v>2052</v>
      </c>
      <c r="B104" s="6">
        <v>8.0000000000000002E-3</v>
      </c>
      <c r="C104" s="6">
        <v>8.0000000000000002E-3</v>
      </c>
      <c r="D104" s="6">
        <v>8.0000000000000002E-3</v>
      </c>
      <c r="E104" s="6">
        <v>0.104</v>
      </c>
      <c r="F104" s="6">
        <v>0.104</v>
      </c>
      <c r="G104" s="6">
        <v>8.0000000000000002E-3</v>
      </c>
      <c r="H104" s="6">
        <v>8.0000000000000002E-3</v>
      </c>
      <c r="I104" s="6">
        <v>0.48799999999999999</v>
      </c>
      <c r="J104" s="6">
        <v>0.248</v>
      </c>
      <c r="K104" s="6">
        <v>0.248</v>
      </c>
      <c r="L104" s="6">
        <v>0.48799999999999999</v>
      </c>
      <c r="M104" s="6">
        <v>0.48799999999999999</v>
      </c>
      <c r="N104" s="6">
        <v>0.104</v>
      </c>
      <c r="O104" s="6">
        <v>0.72799999999999998</v>
      </c>
      <c r="P104" s="6">
        <v>0.72799999999999998</v>
      </c>
      <c r="Q104" s="6">
        <v>0.248</v>
      </c>
    </row>
    <row r="105" spans="1:17">
      <c r="A105" s="2">
        <v>2053</v>
      </c>
      <c r="B105" s="6">
        <v>1.2E-2</v>
      </c>
      <c r="C105" s="6">
        <v>1.2E-2</v>
      </c>
      <c r="D105" s="6">
        <v>1.2E-2</v>
      </c>
      <c r="E105" s="6">
        <v>0.106</v>
      </c>
      <c r="F105" s="6">
        <v>0.106</v>
      </c>
      <c r="G105" s="6">
        <v>1.2E-2</v>
      </c>
      <c r="H105" s="6">
        <v>1.2E-2</v>
      </c>
      <c r="I105" s="6">
        <v>0.48199999999999998</v>
      </c>
      <c r="J105" s="6">
        <v>0.247</v>
      </c>
      <c r="K105" s="6">
        <v>0.247</v>
      </c>
      <c r="L105" s="6">
        <v>0.48199999999999998</v>
      </c>
      <c r="M105" s="6">
        <v>0.48199999999999998</v>
      </c>
      <c r="N105" s="6">
        <v>0.106</v>
      </c>
      <c r="O105" s="6">
        <v>0.71699999999999997</v>
      </c>
      <c r="P105" s="6">
        <v>0.71699999999999997</v>
      </c>
      <c r="Q105" s="6">
        <v>0.247</v>
      </c>
    </row>
    <row r="106" spans="1:17">
      <c r="A106" s="2">
        <v>2054</v>
      </c>
      <c r="B106" s="6">
        <v>1.6E-2</v>
      </c>
      <c r="C106" s="6">
        <v>1.6E-2</v>
      </c>
      <c r="D106" s="6">
        <v>1.6E-2</v>
      </c>
      <c r="E106" s="6">
        <v>0.108</v>
      </c>
      <c r="F106" s="6">
        <v>0.108</v>
      </c>
      <c r="G106" s="6">
        <v>1.6E-2</v>
      </c>
      <c r="H106" s="6">
        <v>1.6E-2</v>
      </c>
      <c r="I106" s="6">
        <v>0.47599999999999998</v>
      </c>
      <c r="J106" s="6">
        <v>0.246</v>
      </c>
      <c r="K106" s="6">
        <v>0.246</v>
      </c>
      <c r="L106" s="6">
        <v>0.47599999999999998</v>
      </c>
      <c r="M106" s="6">
        <v>0.47599999999999998</v>
      </c>
      <c r="N106" s="6">
        <v>0.108</v>
      </c>
      <c r="O106" s="6">
        <v>0.70599999999999996</v>
      </c>
      <c r="P106" s="6">
        <v>0.70599999999999996</v>
      </c>
      <c r="Q106" s="6">
        <v>0.246</v>
      </c>
    </row>
    <row r="107" spans="1:17">
      <c r="A107" s="2">
        <v>2055</v>
      </c>
      <c r="B107" s="6">
        <v>0.02</v>
      </c>
      <c r="C107" s="6">
        <v>0.02</v>
      </c>
      <c r="D107" s="6">
        <v>0.02</v>
      </c>
      <c r="E107" s="6">
        <v>0.11</v>
      </c>
      <c r="F107" s="6">
        <v>0.11</v>
      </c>
      <c r="G107" s="6">
        <v>0.02</v>
      </c>
      <c r="H107" s="6">
        <v>0.02</v>
      </c>
      <c r="I107" s="6">
        <v>0.47</v>
      </c>
      <c r="J107" s="6">
        <v>0.245</v>
      </c>
      <c r="K107" s="6">
        <v>0.245</v>
      </c>
      <c r="L107" s="6">
        <v>0.47</v>
      </c>
      <c r="M107" s="6">
        <v>0.47</v>
      </c>
      <c r="N107" s="6">
        <v>0.11</v>
      </c>
      <c r="O107" s="6">
        <v>0.69499999999999995</v>
      </c>
      <c r="P107" s="6">
        <v>0.69499999999999995</v>
      </c>
      <c r="Q107" s="6">
        <v>0.245</v>
      </c>
    </row>
    <row r="108" spans="1:17">
      <c r="A108" s="2">
        <v>2056</v>
      </c>
      <c r="B108" s="6">
        <v>2.4E-2</v>
      </c>
      <c r="C108" s="6">
        <v>2.4E-2</v>
      </c>
      <c r="D108" s="6">
        <v>2.4E-2</v>
      </c>
      <c r="E108" s="6">
        <v>0.112</v>
      </c>
      <c r="F108" s="6">
        <v>0.112</v>
      </c>
      <c r="G108" s="6">
        <v>2.4E-2</v>
      </c>
      <c r="H108" s="6">
        <v>2.4E-2</v>
      </c>
      <c r="I108" s="6">
        <v>0.46400000000000002</v>
      </c>
      <c r="J108" s="6">
        <v>0.24399999999999999</v>
      </c>
      <c r="K108" s="6">
        <v>0.24399999999999999</v>
      </c>
      <c r="L108" s="6">
        <v>0.46400000000000002</v>
      </c>
      <c r="M108" s="6">
        <v>0.46400000000000002</v>
      </c>
      <c r="N108" s="6">
        <v>0.112</v>
      </c>
      <c r="O108" s="6">
        <v>0.68400000000000005</v>
      </c>
      <c r="P108" s="6">
        <v>0.68400000000000005</v>
      </c>
      <c r="Q108" s="6">
        <v>0.24399999999999999</v>
      </c>
    </row>
    <row r="109" spans="1:17">
      <c r="A109" s="2">
        <v>2057</v>
      </c>
      <c r="B109" s="6">
        <v>2.8000000000000001E-2</v>
      </c>
      <c r="C109" s="6">
        <v>2.8000000000000001E-2</v>
      </c>
      <c r="D109" s="6">
        <v>2.8000000000000001E-2</v>
      </c>
      <c r="E109" s="6">
        <v>0.114</v>
      </c>
      <c r="F109" s="6">
        <v>0.114</v>
      </c>
      <c r="G109" s="6">
        <v>2.8000000000000001E-2</v>
      </c>
      <c r="H109" s="6">
        <v>2.8000000000000001E-2</v>
      </c>
      <c r="I109" s="6">
        <v>0.45800000000000002</v>
      </c>
      <c r="J109" s="6">
        <v>0.24299999999999999</v>
      </c>
      <c r="K109" s="6">
        <v>0.24299999999999999</v>
      </c>
      <c r="L109" s="6">
        <v>0.45800000000000002</v>
      </c>
      <c r="M109" s="6">
        <v>0.45800000000000002</v>
      </c>
      <c r="N109" s="6">
        <v>0.114</v>
      </c>
      <c r="O109" s="6">
        <v>0.67300000000000004</v>
      </c>
      <c r="P109" s="6">
        <v>0.67300000000000004</v>
      </c>
      <c r="Q109" s="6">
        <v>0.24299999999999999</v>
      </c>
    </row>
    <row r="110" spans="1:17">
      <c r="A110" s="2">
        <v>2058</v>
      </c>
      <c r="B110" s="6">
        <v>3.2000000000000001E-2</v>
      </c>
      <c r="C110" s="6">
        <v>3.2000000000000001E-2</v>
      </c>
      <c r="D110" s="6">
        <v>3.2000000000000001E-2</v>
      </c>
      <c r="E110" s="6">
        <v>0.11600000000000001</v>
      </c>
      <c r="F110" s="6">
        <v>0.11600000000000001</v>
      </c>
      <c r="G110" s="6">
        <v>3.2000000000000001E-2</v>
      </c>
      <c r="H110" s="6">
        <v>3.2000000000000001E-2</v>
      </c>
      <c r="I110" s="6">
        <v>0.45200000000000001</v>
      </c>
      <c r="J110" s="6">
        <v>0.24199999999999999</v>
      </c>
      <c r="K110" s="6">
        <v>0.24199999999999999</v>
      </c>
      <c r="L110" s="6">
        <v>0.45200000000000001</v>
      </c>
      <c r="M110" s="6">
        <v>0.45200000000000001</v>
      </c>
      <c r="N110" s="6">
        <v>0.11600000000000001</v>
      </c>
      <c r="O110" s="6">
        <v>0.66200000000000003</v>
      </c>
      <c r="P110" s="6">
        <v>0.66200000000000003</v>
      </c>
      <c r="Q110" s="6">
        <v>0.24199999999999999</v>
      </c>
    </row>
    <row r="111" spans="1:17">
      <c r="A111" s="2">
        <v>2059</v>
      </c>
      <c r="B111" s="6">
        <v>3.5999999999999997E-2</v>
      </c>
      <c r="C111" s="6">
        <v>3.5999999999999997E-2</v>
      </c>
      <c r="D111" s="6">
        <v>3.5999999999999997E-2</v>
      </c>
      <c r="E111" s="6">
        <v>0.11799999999999999</v>
      </c>
      <c r="F111" s="6">
        <v>0.11799999999999999</v>
      </c>
      <c r="G111" s="6">
        <v>3.5999999999999997E-2</v>
      </c>
      <c r="H111" s="6">
        <v>3.5999999999999997E-2</v>
      </c>
      <c r="I111" s="6">
        <v>0.44600000000000001</v>
      </c>
      <c r="J111" s="6">
        <v>0.24099999999999999</v>
      </c>
      <c r="K111" s="6">
        <v>0.24099999999999999</v>
      </c>
      <c r="L111" s="6">
        <v>0.44600000000000001</v>
      </c>
      <c r="M111" s="6">
        <v>0.44600000000000001</v>
      </c>
      <c r="N111" s="6">
        <v>0.11799999999999999</v>
      </c>
      <c r="O111" s="6">
        <v>0.65100000000000002</v>
      </c>
      <c r="P111" s="6">
        <v>0.65100000000000002</v>
      </c>
      <c r="Q111" s="6">
        <v>0.24099999999999999</v>
      </c>
    </row>
    <row r="112" spans="1:17">
      <c r="A112" s="2">
        <v>2060</v>
      </c>
      <c r="B112" s="6">
        <v>0.04</v>
      </c>
      <c r="C112" s="6">
        <v>0.04</v>
      </c>
      <c r="D112" s="6">
        <v>0.04</v>
      </c>
      <c r="E112" s="6">
        <v>0.12</v>
      </c>
      <c r="F112" s="6">
        <v>0.12</v>
      </c>
      <c r="G112" s="6">
        <v>0.04</v>
      </c>
      <c r="H112" s="6">
        <v>0.04</v>
      </c>
      <c r="I112" s="6">
        <v>0.44</v>
      </c>
      <c r="J112" s="6">
        <v>0.24</v>
      </c>
      <c r="K112" s="6">
        <v>0.24</v>
      </c>
      <c r="L112" s="6">
        <v>0.44</v>
      </c>
      <c r="M112" s="6">
        <v>0.44</v>
      </c>
      <c r="N112" s="6">
        <v>0.12</v>
      </c>
      <c r="O112" s="6">
        <v>0.64</v>
      </c>
      <c r="P112" s="6">
        <v>0.64</v>
      </c>
      <c r="Q112" s="6">
        <v>0.24</v>
      </c>
    </row>
    <row r="113" spans="1:17">
      <c r="A113" s="2">
        <v>2061</v>
      </c>
      <c r="B113" s="6">
        <v>4.3999999999999997E-2</v>
      </c>
      <c r="C113" s="6">
        <v>4.3999999999999997E-2</v>
      </c>
      <c r="D113" s="6">
        <v>4.3999999999999997E-2</v>
      </c>
      <c r="E113" s="6">
        <v>0.122</v>
      </c>
      <c r="F113" s="6">
        <v>0.122</v>
      </c>
      <c r="G113" s="6">
        <v>4.3999999999999997E-2</v>
      </c>
      <c r="H113" s="6">
        <v>4.3999999999999997E-2</v>
      </c>
      <c r="I113" s="6">
        <v>0.434</v>
      </c>
      <c r="J113" s="6">
        <v>0.23899999999999999</v>
      </c>
      <c r="K113" s="6">
        <v>0.23899999999999999</v>
      </c>
      <c r="L113" s="6">
        <v>0.434</v>
      </c>
      <c r="M113" s="6">
        <v>0.434</v>
      </c>
      <c r="N113" s="6">
        <v>0.122</v>
      </c>
      <c r="O113" s="6">
        <v>0.629</v>
      </c>
      <c r="P113" s="6">
        <v>0.629</v>
      </c>
      <c r="Q113" s="6">
        <v>0.23899999999999999</v>
      </c>
    </row>
    <row r="114" spans="1:17">
      <c r="A114" s="2">
        <v>2062</v>
      </c>
      <c r="B114" s="6">
        <v>4.8000000000000001E-2</v>
      </c>
      <c r="C114" s="6">
        <v>4.8000000000000001E-2</v>
      </c>
      <c r="D114" s="6">
        <v>4.8000000000000001E-2</v>
      </c>
      <c r="E114" s="6">
        <v>0.124</v>
      </c>
      <c r="F114" s="6">
        <v>0.124</v>
      </c>
      <c r="G114" s="6">
        <v>4.8000000000000001E-2</v>
      </c>
      <c r="H114" s="6">
        <v>4.8000000000000001E-2</v>
      </c>
      <c r="I114" s="6">
        <v>0.42799999999999999</v>
      </c>
      <c r="J114" s="6">
        <v>0.23799999999999999</v>
      </c>
      <c r="K114" s="6">
        <v>0.23799999999999999</v>
      </c>
      <c r="L114" s="6">
        <v>0.42799999999999999</v>
      </c>
      <c r="M114" s="6">
        <v>0.42799999999999999</v>
      </c>
      <c r="N114" s="6">
        <v>0.124</v>
      </c>
      <c r="O114" s="6">
        <v>0.61799999999999999</v>
      </c>
      <c r="P114" s="6">
        <v>0.61799999999999999</v>
      </c>
      <c r="Q114" s="6">
        <v>0.23799999999999999</v>
      </c>
    </row>
    <row r="115" spans="1:17">
      <c r="A115" s="2">
        <v>2063</v>
      </c>
      <c r="B115" s="6">
        <v>5.1999999999999998E-2</v>
      </c>
      <c r="C115" s="6">
        <v>5.1999999999999998E-2</v>
      </c>
      <c r="D115" s="6">
        <v>5.1999999999999998E-2</v>
      </c>
      <c r="E115" s="6">
        <v>0.126</v>
      </c>
      <c r="F115" s="6">
        <v>0.126</v>
      </c>
      <c r="G115" s="6">
        <v>5.1999999999999998E-2</v>
      </c>
      <c r="H115" s="6">
        <v>5.1999999999999998E-2</v>
      </c>
      <c r="I115" s="6">
        <v>0.42199999999999999</v>
      </c>
      <c r="J115" s="6">
        <v>0.23699999999999999</v>
      </c>
      <c r="K115" s="6">
        <v>0.23699999999999999</v>
      </c>
      <c r="L115" s="6">
        <v>0.42199999999999999</v>
      </c>
      <c r="M115" s="6">
        <v>0.42199999999999999</v>
      </c>
      <c r="N115" s="6">
        <v>0.126</v>
      </c>
      <c r="O115" s="6">
        <v>0.60699999999999998</v>
      </c>
      <c r="P115" s="6">
        <v>0.60699999999999998</v>
      </c>
      <c r="Q115" s="6">
        <v>0.23699999999999999</v>
      </c>
    </row>
    <row r="116" spans="1:17">
      <c r="A116" s="2">
        <v>2064</v>
      </c>
      <c r="B116" s="6">
        <v>5.6000000000000001E-2</v>
      </c>
      <c r="C116" s="6">
        <v>5.6000000000000001E-2</v>
      </c>
      <c r="D116" s="6">
        <v>5.6000000000000001E-2</v>
      </c>
      <c r="E116" s="6">
        <v>0.128</v>
      </c>
      <c r="F116" s="6">
        <v>0.128</v>
      </c>
      <c r="G116" s="6">
        <v>5.6000000000000001E-2</v>
      </c>
      <c r="H116" s="6">
        <v>5.6000000000000001E-2</v>
      </c>
      <c r="I116" s="6">
        <v>0.41599999999999998</v>
      </c>
      <c r="J116" s="6">
        <v>0.23599999999999999</v>
      </c>
      <c r="K116" s="6">
        <v>0.23599999999999999</v>
      </c>
      <c r="L116" s="6">
        <v>0.41599999999999998</v>
      </c>
      <c r="M116" s="6">
        <v>0.41599999999999998</v>
      </c>
      <c r="N116" s="6">
        <v>0.128</v>
      </c>
      <c r="O116" s="6">
        <v>0.59599999999999997</v>
      </c>
      <c r="P116" s="6">
        <v>0.59599999999999997</v>
      </c>
      <c r="Q116" s="6">
        <v>0.23599999999999999</v>
      </c>
    </row>
    <row r="117" spans="1:17">
      <c r="A117" s="2">
        <v>2065</v>
      </c>
      <c r="B117" s="6">
        <v>0.06</v>
      </c>
      <c r="C117" s="6">
        <v>0.06</v>
      </c>
      <c r="D117" s="6">
        <v>0.06</v>
      </c>
      <c r="E117" s="6">
        <v>0.13</v>
      </c>
      <c r="F117" s="6">
        <v>0.13</v>
      </c>
      <c r="G117" s="6">
        <v>0.06</v>
      </c>
      <c r="H117" s="6">
        <v>0.06</v>
      </c>
      <c r="I117" s="6">
        <v>0.41</v>
      </c>
      <c r="J117" s="6">
        <v>0.23499999999999999</v>
      </c>
      <c r="K117" s="6">
        <v>0.23499999999999999</v>
      </c>
      <c r="L117" s="6">
        <v>0.41</v>
      </c>
      <c r="M117" s="6">
        <v>0.41</v>
      </c>
      <c r="N117" s="6">
        <v>0.13</v>
      </c>
      <c r="O117" s="6">
        <v>0.58499999999999996</v>
      </c>
      <c r="P117" s="6">
        <v>0.58499999999999996</v>
      </c>
      <c r="Q117" s="6">
        <v>0.23499999999999999</v>
      </c>
    </row>
    <row r="118" spans="1:17">
      <c r="A118" s="2">
        <v>2066</v>
      </c>
      <c r="B118" s="6">
        <v>6.4000000000000001E-2</v>
      </c>
      <c r="C118" s="6">
        <v>6.4000000000000001E-2</v>
      </c>
      <c r="D118" s="6">
        <v>6.4000000000000001E-2</v>
      </c>
      <c r="E118" s="6">
        <v>0.13200000000000001</v>
      </c>
      <c r="F118" s="6">
        <v>0.13200000000000001</v>
      </c>
      <c r="G118" s="6">
        <v>6.4000000000000001E-2</v>
      </c>
      <c r="H118" s="6">
        <v>6.4000000000000001E-2</v>
      </c>
      <c r="I118" s="6">
        <v>0.40400000000000003</v>
      </c>
      <c r="J118" s="6">
        <v>0.23400000000000001</v>
      </c>
      <c r="K118" s="6">
        <v>0.23400000000000001</v>
      </c>
      <c r="L118" s="6">
        <v>0.40400000000000003</v>
      </c>
      <c r="M118" s="6">
        <v>0.40400000000000003</v>
      </c>
      <c r="N118" s="6">
        <v>0.13200000000000001</v>
      </c>
      <c r="O118" s="6">
        <v>0.57399999999999995</v>
      </c>
      <c r="P118" s="6">
        <v>0.57399999999999995</v>
      </c>
      <c r="Q118" s="6">
        <v>0.23400000000000001</v>
      </c>
    </row>
    <row r="119" spans="1:17">
      <c r="A119" s="2">
        <v>2067</v>
      </c>
      <c r="B119" s="6">
        <v>6.8000000000000005E-2</v>
      </c>
      <c r="C119" s="6">
        <v>6.8000000000000005E-2</v>
      </c>
      <c r="D119" s="6">
        <v>6.8000000000000005E-2</v>
      </c>
      <c r="E119" s="6">
        <v>0.13400000000000001</v>
      </c>
      <c r="F119" s="6">
        <v>0.13400000000000001</v>
      </c>
      <c r="G119" s="6">
        <v>6.8000000000000005E-2</v>
      </c>
      <c r="H119" s="6">
        <v>6.8000000000000005E-2</v>
      </c>
      <c r="I119" s="6">
        <v>0.39800000000000002</v>
      </c>
      <c r="J119" s="6">
        <v>0.23300000000000001</v>
      </c>
      <c r="K119" s="6">
        <v>0.23300000000000001</v>
      </c>
      <c r="L119" s="6">
        <v>0.39800000000000002</v>
      </c>
      <c r="M119" s="6">
        <v>0.39800000000000002</v>
      </c>
      <c r="N119" s="6">
        <v>0.13400000000000001</v>
      </c>
      <c r="O119" s="6">
        <v>0.56299999999999994</v>
      </c>
      <c r="P119" s="6">
        <v>0.56299999999999994</v>
      </c>
      <c r="Q119" s="6">
        <v>0.23300000000000001</v>
      </c>
    </row>
    <row r="120" spans="1:17">
      <c r="A120" s="2">
        <v>2068</v>
      </c>
      <c r="B120" s="6">
        <v>7.1999999999999995E-2</v>
      </c>
      <c r="C120" s="6">
        <v>7.1999999999999995E-2</v>
      </c>
      <c r="D120" s="6">
        <v>7.1999999999999995E-2</v>
      </c>
      <c r="E120" s="6">
        <v>0.13600000000000001</v>
      </c>
      <c r="F120" s="6">
        <v>0.13600000000000001</v>
      </c>
      <c r="G120" s="6">
        <v>7.1999999999999995E-2</v>
      </c>
      <c r="H120" s="6">
        <v>7.1999999999999995E-2</v>
      </c>
      <c r="I120" s="6">
        <v>0.39200000000000002</v>
      </c>
      <c r="J120" s="6">
        <v>0.23200000000000001</v>
      </c>
      <c r="K120" s="6">
        <v>0.23200000000000001</v>
      </c>
      <c r="L120" s="6">
        <v>0.39200000000000002</v>
      </c>
      <c r="M120" s="6">
        <v>0.39200000000000002</v>
      </c>
      <c r="N120" s="6">
        <v>0.13600000000000001</v>
      </c>
      <c r="O120" s="6">
        <v>0.55200000000000005</v>
      </c>
      <c r="P120" s="6">
        <v>0.55200000000000005</v>
      </c>
      <c r="Q120" s="6">
        <v>0.23200000000000001</v>
      </c>
    </row>
    <row r="121" spans="1:17">
      <c r="A121" s="2">
        <v>2069</v>
      </c>
      <c r="B121" s="6">
        <v>7.5999999999999998E-2</v>
      </c>
      <c r="C121" s="6">
        <v>7.5999999999999998E-2</v>
      </c>
      <c r="D121" s="6">
        <v>7.5999999999999998E-2</v>
      </c>
      <c r="E121" s="6">
        <v>0.13800000000000001</v>
      </c>
      <c r="F121" s="6">
        <v>0.13800000000000001</v>
      </c>
      <c r="G121" s="6">
        <v>7.5999999999999998E-2</v>
      </c>
      <c r="H121" s="6">
        <v>7.5999999999999998E-2</v>
      </c>
      <c r="I121" s="6">
        <v>0.38600000000000001</v>
      </c>
      <c r="J121" s="6">
        <v>0.23100000000000001</v>
      </c>
      <c r="K121" s="6">
        <v>0.23100000000000001</v>
      </c>
      <c r="L121" s="6">
        <v>0.38600000000000001</v>
      </c>
      <c r="M121" s="6">
        <v>0.38600000000000001</v>
      </c>
      <c r="N121" s="6">
        <v>0.13800000000000001</v>
      </c>
      <c r="O121" s="6">
        <v>0.54100000000000004</v>
      </c>
      <c r="P121" s="6">
        <v>0.54100000000000004</v>
      </c>
      <c r="Q121" s="6">
        <v>0.23100000000000001</v>
      </c>
    </row>
    <row r="122" spans="1:17">
      <c r="A122" s="2">
        <v>2070</v>
      </c>
      <c r="B122" s="6">
        <v>0.08</v>
      </c>
      <c r="C122" s="6">
        <v>0.08</v>
      </c>
      <c r="D122" s="6">
        <v>0.08</v>
      </c>
      <c r="E122" s="6">
        <v>0.14000000000000001</v>
      </c>
      <c r="F122" s="6">
        <v>0.14000000000000001</v>
      </c>
      <c r="G122" s="6">
        <v>0.08</v>
      </c>
      <c r="H122" s="6">
        <v>0.08</v>
      </c>
      <c r="I122" s="6">
        <v>0.38</v>
      </c>
      <c r="J122" s="6">
        <v>0.23</v>
      </c>
      <c r="K122" s="6">
        <v>0.23</v>
      </c>
      <c r="L122" s="6">
        <v>0.38</v>
      </c>
      <c r="M122" s="6">
        <v>0.38</v>
      </c>
      <c r="N122" s="6">
        <v>0.14000000000000001</v>
      </c>
      <c r="O122" s="6">
        <v>0.53</v>
      </c>
      <c r="P122" s="6">
        <v>0.53</v>
      </c>
      <c r="Q122" s="6">
        <v>0.23</v>
      </c>
    </row>
    <row r="123" spans="1:17">
      <c r="A123" s="2">
        <v>2071</v>
      </c>
      <c r="B123" s="6">
        <v>8.4000000000000005E-2</v>
      </c>
      <c r="C123" s="6">
        <v>8.4000000000000005E-2</v>
      </c>
      <c r="D123" s="6">
        <v>8.4000000000000005E-2</v>
      </c>
      <c r="E123" s="6">
        <v>0.14199999999999999</v>
      </c>
      <c r="F123" s="6">
        <v>0.14199999999999999</v>
      </c>
      <c r="G123" s="6">
        <v>8.4000000000000005E-2</v>
      </c>
      <c r="H123" s="6">
        <v>8.4000000000000005E-2</v>
      </c>
      <c r="I123" s="6">
        <v>0.374</v>
      </c>
      <c r="J123" s="6">
        <v>0.22900000000000001</v>
      </c>
      <c r="K123" s="6">
        <v>0.22900000000000001</v>
      </c>
      <c r="L123" s="6">
        <v>0.374</v>
      </c>
      <c r="M123" s="6">
        <v>0.374</v>
      </c>
      <c r="N123" s="6">
        <v>0.14199999999999999</v>
      </c>
      <c r="O123" s="6">
        <v>0.51900000000000002</v>
      </c>
      <c r="P123" s="6">
        <v>0.51900000000000002</v>
      </c>
      <c r="Q123" s="6">
        <v>0.22900000000000001</v>
      </c>
    </row>
    <row r="124" spans="1:17">
      <c r="A124" s="2">
        <v>2072</v>
      </c>
      <c r="B124" s="6">
        <v>8.7999999999999995E-2</v>
      </c>
      <c r="C124" s="6">
        <v>8.7999999999999995E-2</v>
      </c>
      <c r="D124" s="6">
        <v>8.7999999999999995E-2</v>
      </c>
      <c r="E124" s="6">
        <v>0.14399999999999999</v>
      </c>
      <c r="F124" s="6">
        <v>0.14399999999999999</v>
      </c>
      <c r="G124" s="6">
        <v>8.7999999999999995E-2</v>
      </c>
      <c r="H124" s="6">
        <v>8.7999999999999995E-2</v>
      </c>
      <c r="I124" s="6">
        <v>0.36799999999999999</v>
      </c>
      <c r="J124" s="6">
        <v>0.22800000000000001</v>
      </c>
      <c r="K124" s="6">
        <v>0.22800000000000001</v>
      </c>
      <c r="L124" s="6">
        <v>0.36799999999999999</v>
      </c>
      <c r="M124" s="6">
        <v>0.36799999999999999</v>
      </c>
      <c r="N124" s="6">
        <v>0.14399999999999999</v>
      </c>
      <c r="O124" s="6">
        <v>0.50800000000000001</v>
      </c>
      <c r="P124" s="6">
        <v>0.50800000000000001</v>
      </c>
      <c r="Q124" s="6">
        <v>0.22800000000000001</v>
      </c>
    </row>
    <row r="125" spans="1:17">
      <c r="A125" s="2">
        <v>2073</v>
      </c>
      <c r="B125" s="6">
        <v>9.1999999999999998E-2</v>
      </c>
      <c r="C125" s="6">
        <v>9.1999999999999998E-2</v>
      </c>
      <c r="D125" s="6">
        <v>9.1999999999999998E-2</v>
      </c>
      <c r="E125" s="6">
        <v>0.14599999999999999</v>
      </c>
      <c r="F125" s="6">
        <v>0.14599999999999999</v>
      </c>
      <c r="G125" s="6">
        <v>9.1999999999999998E-2</v>
      </c>
      <c r="H125" s="6">
        <v>9.1999999999999998E-2</v>
      </c>
      <c r="I125" s="6">
        <v>0.36199999999999999</v>
      </c>
      <c r="J125" s="6">
        <v>0.22700000000000001</v>
      </c>
      <c r="K125" s="6">
        <v>0.22700000000000001</v>
      </c>
      <c r="L125" s="6">
        <v>0.36199999999999999</v>
      </c>
      <c r="M125" s="6">
        <v>0.36199999999999999</v>
      </c>
      <c r="N125" s="6">
        <v>0.14599999999999999</v>
      </c>
      <c r="O125" s="6">
        <v>0.497</v>
      </c>
      <c r="P125" s="6">
        <v>0.497</v>
      </c>
      <c r="Q125" s="6">
        <v>0.22700000000000001</v>
      </c>
    </row>
    <row r="126" spans="1:17">
      <c r="A126" s="2">
        <v>2074</v>
      </c>
      <c r="B126" s="6">
        <v>9.6000000000000002E-2</v>
      </c>
      <c r="C126" s="6">
        <v>9.6000000000000002E-2</v>
      </c>
      <c r="D126" s="6">
        <v>9.6000000000000002E-2</v>
      </c>
      <c r="E126" s="6">
        <v>0.14799999999999999</v>
      </c>
      <c r="F126" s="6">
        <v>0.14799999999999999</v>
      </c>
      <c r="G126" s="6">
        <v>9.6000000000000002E-2</v>
      </c>
      <c r="H126" s="6">
        <v>9.6000000000000002E-2</v>
      </c>
      <c r="I126" s="6">
        <v>0.35599999999999998</v>
      </c>
      <c r="J126" s="6">
        <v>0.22600000000000001</v>
      </c>
      <c r="K126" s="6">
        <v>0.22600000000000001</v>
      </c>
      <c r="L126" s="6">
        <v>0.35599999999999998</v>
      </c>
      <c r="M126" s="6">
        <v>0.35599999999999998</v>
      </c>
      <c r="N126" s="6">
        <v>0.14799999999999999</v>
      </c>
      <c r="O126" s="6">
        <v>0.48599999999999999</v>
      </c>
      <c r="P126" s="6">
        <v>0.48599999999999999</v>
      </c>
      <c r="Q126" s="6">
        <v>0.22600000000000001</v>
      </c>
    </row>
    <row r="127" spans="1:17">
      <c r="A127" s="2">
        <v>2075</v>
      </c>
      <c r="B127" s="6">
        <v>0.1</v>
      </c>
      <c r="C127" s="6">
        <v>0.1</v>
      </c>
      <c r="D127" s="6">
        <v>0.1</v>
      </c>
      <c r="E127" s="6">
        <v>0.15</v>
      </c>
      <c r="F127" s="6">
        <v>0.15</v>
      </c>
      <c r="G127" s="6">
        <v>0.1</v>
      </c>
      <c r="H127" s="6">
        <v>0.1</v>
      </c>
      <c r="I127" s="6">
        <v>0.35</v>
      </c>
      <c r="J127" s="6">
        <v>0.22500000000000001</v>
      </c>
      <c r="K127" s="6">
        <v>0.22500000000000001</v>
      </c>
      <c r="L127" s="6">
        <v>0.35</v>
      </c>
      <c r="M127" s="6">
        <v>0.35</v>
      </c>
      <c r="N127" s="6">
        <v>0.15</v>
      </c>
      <c r="O127" s="6">
        <v>0.47499999999999998</v>
      </c>
      <c r="P127" s="6">
        <v>0.47499999999999998</v>
      </c>
      <c r="Q127" s="6">
        <v>0.22500000000000001</v>
      </c>
    </row>
    <row r="128" spans="1:17">
      <c r="A128" s="2">
        <v>2076</v>
      </c>
      <c r="B128" s="6">
        <v>0.104</v>
      </c>
      <c r="C128" s="6">
        <v>0.104</v>
      </c>
      <c r="D128" s="6">
        <v>0.104</v>
      </c>
      <c r="E128" s="6">
        <v>0.152</v>
      </c>
      <c r="F128" s="6">
        <v>0.152</v>
      </c>
      <c r="G128" s="6">
        <v>0.104</v>
      </c>
      <c r="H128" s="6">
        <v>0.104</v>
      </c>
      <c r="I128" s="6">
        <v>0.34399999999999997</v>
      </c>
      <c r="J128" s="6">
        <v>0.224</v>
      </c>
      <c r="K128" s="6">
        <v>0.224</v>
      </c>
      <c r="L128" s="6">
        <v>0.34399999999999997</v>
      </c>
      <c r="M128" s="6">
        <v>0.34399999999999997</v>
      </c>
      <c r="N128" s="6">
        <v>0.152</v>
      </c>
      <c r="O128" s="6">
        <v>0.46400000000000002</v>
      </c>
      <c r="P128" s="6">
        <v>0.46400000000000002</v>
      </c>
      <c r="Q128" s="6">
        <v>0.224</v>
      </c>
    </row>
    <row r="129" spans="1:17">
      <c r="A129" s="2">
        <v>2077</v>
      </c>
      <c r="B129" s="6">
        <v>0.108</v>
      </c>
      <c r="C129" s="6">
        <v>0.108</v>
      </c>
      <c r="D129" s="6">
        <v>0.108</v>
      </c>
      <c r="E129" s="6">
        <v>0.154</v>
      </c>
      <c r="F129" s="6">
        <v>0.154</v>
      </c>
      <c r="G129" s="6">
        <v>0.108</v>
      </c>
      <c r="H129" s="6">
        <v>0.108</v>
      </c>
      <c r="I129" s="6">
        <v>0.33800000000000002</v>
      </c>
      <c r="J129" s="6">
        <v>0.223</v>
      </c>
      <c r="K129" s="6">
        <v>0.223</v>
      </c>
      <c r="L129" s="6">
        <v>0.33800000000000002</v>
      </c>
      <c r="M129" s="6">
        <v>0.33800000000000002</v>
      </c>
      <c r="N129" s="6">
        <v>0.154</v>
      </c>
      <c r="O129" s="6">
        <v>0.45300000000000001</v>
      </c>
      <c r="P129" s="6">
        <v>0.45300000000000001</v>
      </c>
      <c r="Q129" s="6">
        <v>0.223</v>
      </c>
    </row>
    <row r="130" spans="1:17">
      <c r="A130" s="2">
        <v>2078</v>
      </c>
      <c r="B130" s="6">
        <v>0.112</v>
      </c>
      <c r="C130" s="6">
        <v>0.112</v>
      </c>
      <c r="D130" s="6">
        <v>0.112</v>
      </c>
      <c r="E130" s="6">
        <v>0.156</v>
      </c>
      <c r="F130" s="6">
        <v>0.156</v>
      </c>
      <c r="G130" s="6">
        <v>0.112</v>
      </c>
      <c r="H130" s="6">
        <v>0.112</v>
      </c>
      <c r="I130" s="6">
        <v>0.33200000000000002</v>
      </c>
      <c r="J130" s="6">
        <v>0.222</v>
      </c>
      <c r="K130" s="6">
        <v>0.222</v>
      </c>
      <c r="L130" s="6">
        <v>0.33200000000000002</v>
      </c>
      <c r="M130" s="6">
        <v>0.33200000000000002</v>
      </c>
      <c r="N130" s="6">
        <v>0.156</v>
      </c>
      <c r="O130" s="6">
        <v>0.442</v>
      </c>
      <c r="P130" s="6">
        <v>0.442</v>
      </c>
      <c r="Q130" s="6">
        <v>0.222</v>
      </c>
    </row>
    <row r="131" spans="1:17">
      <c r="A131" s="2">
        <v>2079</v>
      </c>
      <c r="B131" s="6">
        <v>0.11600000000000001</v>
      </c>
      <c r="C131" s="6">
        <v>0.11600000000000001</v>
      </c>
      <c r="D131" s="6">
        <v>0.11600000000000001</v>
      </c>
      <c r="E131" s="6">
        <v>0.158</v>
      </c>
      <c r="F131" s="6">
        <v>0.158</v>
      </c>
      <c r="G131" s="6">
        <v>0.11600000000000001</v>
      </c>
      <c r="H131" s="6">
        <v>0.11600000000000001</v>
      </c>
      <c r="I131" s="6">
        <v>0.32600000000000001</v>
      </c>
      <c r="J131" s="6">
        <v>0.221</v>
      </c>
      <c r="K131" s="6">
        <v>0.221</v>
      </c>
      <c r="L131" s="6">
        <v>0.32600000000000001</v>
      </c>
      <c r="M131" s="6">
        <v>0.32600000000000001</v>
      </c>
      <c r="N131" s="6">
        <v>0.158</v>
      </c>
      <c r="O131" s="6">
        <v>0.43099999999999999</v>
      </c>
      <c r="P131" s="6">
        <v>0.43099999999999999</v>
      </c>
      <c r="Q131" s="6">
        <v>0.221</v>
      </c>
    </row>
    <row r="132" spans="1:17">
      <c r="A132" s="2">
        <v>2080</v>
      </c>
      <c r="B132" s="6">
        <v>0.12</v>
      </c>
      <c r="C132" s="6">
        <v>0.12</v>
      </c>
      <c r="D132" s="6">
        <v>0.12</v>
      </c>
      <c r="E132" s="6">
        <v>0.16</v>
      </c>
      <c r="F132" s="6">
        <v>0.16</v>
      </c>
      <c r="G132" s="6">
        <v>0.12</v>
      </c>
      <c r="H132" s="6">
        <v>0.12</v>
      </c>
      <c r="I132" s="6">
        <v>0.32</v>
      </c>
      <c r="J132" s="6">
        <v>0.22</v>
      </c>
      <c r="K132" s="6">
        <v>0.22</v>
      </c>
      <c r="L132" s="6">
        <v>0.32</v>
      </c>
      <c r="M132" s="6">
        <v>0.32</v>
      </c>
      <c r="N132" s="6">
        <v>0.16</v>
      </c>
      <c r="O132" s="6">
        <v>0.42</v>
      </c>
      <c r="P132" s="6">
        <v>0.42</v>
      </c>
      <c r="Q132" s="6">
        <v>0.22</v>
      </c>
    </row>
    <row r="133" spans="1:17">
      <c r="A133" s="2">
        <v>2081</v>
      </c>
      <c r="B133" s="6">
        <v>0.124</v>
      </c>
      <c r="C133" s="6">
        <v>0.124</v>
      </c>
      <c r="D133" s="6">
        <v>0.124</v>
      </c>
      <c r="E133" s="6">
        <v>0.16200000000000001</v>
      </c>
      <c r="F133" s="6">
        <v>0.16200000000000001</v>
      </c>
      <c r="G133" s="6">
        <v>0.124</v>
      </c>
      <c r="H133" s="6">
        <v>0.124</v>
      </c>
      <c r="I133" s="6">
        <v>0.314</v>
      </c>
      <c r="J133" s="6">
        <v>0.219</v>
      </c>
      <c r="K133" s="6">
        <v>0.219</v>
      </c>
      <c r="L133" s="6">
        <v>0.314</v>
      </c>
      <c r="M133" s="6">
        <v>0.314</v>
      </c>
      <c r="N133" s="6">
        <v>0.16200000000000001</v>
      </c>
      <c r="O133" s="6">
        <v>0.40899999999999997</v>
      </c>
      <c r="P133" s="6">
        <v>0.40899999999999997</v>
      </c>
      <c r="Q133" s="6">
        <v>0.219</v>
      </c>
    </row>
    <row r="134" spans="1:17">
      <c r="A134" s="2">
        <v>2082</v>
      </c>
      <c r="B134" s="6">
        <v>0.128</v>
      </c>
      <c r="C134" s="6">
        <v>0.128</v>
      </c>
      <c r="D134" s="6">
        <v>0.128</v>
      </c>
      <c r="E134" s="6">
        <v>0.16400000000000001</v>
      </c>
      <c r="F134" s="6">
        <v>0.16400000000000001</v>
      </c>
      <c r="G134" s="6">
        <v>0.128</v>
      </c>
      <c r="H134" s="6">
        <v>0.128</v>
      </c>
      <c r="I134" s="6">
        <v>0.308</v>
      </c>
      <c r="J134" s="6">
        <v>0.218</v>
      </c>
      <c r="K134" s="6">
        <v>0.218</v>
      </c>
      <c r="L134" s="6">
        <v>0.308</v>
      </c>
      <c r="M134" s="6">
        <v>0.308</v>
      </c>
      <c r="N134" s="6">
        <v>0.16400000000000001</v>
      </c>
      <c r="O134" s="6">
        <v>0.39800000000000002</v>
      </c>
      <c r="P134" s="6">
        <v>0.39800000000000002</v>
      </c>
      <c r="Q134" s="6">
        <v>0.218</v>
      </c>
    </row>
    <row r="135" spans="1:17">
      <c r="A135" s="2">
        <v>2083</v>
      </c>
      <c r="B135" s="6">
        <v>0.13200000000000001</v>
      </c>
      <c r="C135" s="6">
        <v>0.13200000000000001</v>
      </c>
      <c r="D135" s="6">
        <v>0.13200000000000001</v>
      </c>
      <c r="E135" s="6">
        <v>0.16600000000000001</v>
      </c>
      <c r="F135" s="6">
        <v>0.16600000000000001</v>
      </c>
      <c r="G135" s="6">
        <v>0.13200000000000001</v>
      </c>
      <c r="H135" s="6">
        <v>0.13200000000000001</v>
      </c>
      <c r="I135" s="6">
        <v>0.30199999999999999</v>
      </c>
      <c r="J135" s="6">
        <v>0.217</v>
      </c>
      <c r="K135" s="6">
        <v>0.217</v>
      </c>
      <c r="L135" s="6">
        <v>0.30199999999999999</v>
      </c>
      <c r="M135" s="6">
        <v>0.30199999999999999</v>
      </c>
      <c r="N135" s="6">
        <v>0.16600000000000001</v>
      </c>
      <c r="O135" s="6">
        <v>0.38700000000000001</v>
      </c>
      <c r="P135" s="6">
        <v>0.38700000000000001</v>
      </c>
      <c r="Q135" s="6">
        <v>0.217</v>
      </c>
    </row>
    <row r="136" spans="1:17">
      <c r="A136" s="2">
        <v>2084</v>
      </c>
      <c r="B136" s="6">
        <v>0.13600000000000001</v>
      </c>
      <c r="C136" s="6">
        <v>0.13600000000000001</v>
      </c>
      <c r="D136" s="6">
        <v>0.13600000000000001</v>
      </c>
      <c r="E136" s="6">
        <v>0.16800000000000001</v>
      </c>
      <c r="F136" s="6">
        <v>0.16800000000000001</v>
      </c>
      <c r="G136" s="6">
        <v>0.13600000000000001</v>
      </c>
      <c r="H136" s="6">
        <v>0.13600000000000001</v>
      </c>
      <c r="I136" s="6">
        <v>0.29599999999999999</v>
      </c>
      <c r="J136" s="6">
        <v>0.216</v>
      </c>
      <c r="K136" s="6">
        <v>0.216</v>
      </c>
      <c r="L136" s="6">
        <v>0.29599999999999999</v>
      </c>
      <c r="M136" s="6">
        <v>0.29599999999999999</v>
      </c>
      <c r="N136" s="6">
        <v>0.16800000000000001</v>
      </c>
      <c r="O136" s="6">
        <v>0.376</v>
      </c>
      <c r="P136" s="6">
        <v>0.376</v>
      </c>
      <c r="Q136" s="6">
        <v>0.216</v>
      </c>
    </row>
    <row r="137" spans="1:17">
      <c r="A137" s="2">
        <v>2085</v>
      </c>
      <c r="B137" s="6">
        <v>0.14000000000000001</v>
      </c>
      <c r="C137" s="6">
        <v>0.14000000000000001</v>
      </c>
      <c r="D137" s="6">
        <v>0.14000000000000001</v>
      </c>
      <c r="E137" s="6">
        <v>0.17</v>
      </c>
      <c r="F137" s="6">
        <v>0.17</v>
      </c>
      <c r="G137" s="6">
        <v>0.14000000000000001</v>
      </c>
      <c r="H137" s="6">
        <v>0.14000000000000001</v>
      </c>
      <c r="I137" s="6">
        <v>0.28999999999999998</v>
      </c>
      <c r="J137" s="6">
        <v>0.215</v>
      </c>
      <c r="K137" s="6">
        <v>0.215</v>
      </c>
      <c r="L137" s="6">
        <v>0.28999999999999998</v>
      </c>
      <c r="M137" s="6">
        <v>0.28999999999999998</v>
      </c>
      <c r="N137" s="6">
        <v>0.17</v>
      </c>
      <c r="O137" s="6">
        <v>0.36499999999999999</v>
      </c>
      <c r="P137" s="6">
        <v>0.36499999999999999</v>
      </c>
      <c r="Q137" s="6">
        <v>0.215</v>
      </c>
    </row>
    <row r="138" spans="1:17">
      <c r="A138" s="2">
        <v>2086</v>
      </c>
      <c r="B138" s="6">
        <v>0.14399999999999999</v>
      </c>
      <c r="C138" s="6">
        <v>0.14399999999999999</v>
      </c>
      <c r="D138" s="6">
        <v>0.14399999999999999</v>
      </c>
      <c r="E138" s="6">
        <v>0.17199999999999999</v>
      </c>
      <c r="F138" s="6">
        <v>0.17199999999999999</v>
      </c>
      <c r="G138" s="6">
        <v>0.14399999999999999</v>
      </c>
      <c r="H138" s="6">
        <v>0.14399999999999999</v>
      </c>
      <c r="I138" s="6">
        <v>0.28399999999999997</v>
      </c>
      <c r="J138" s="6">
        <v>0.214</v>
      </c>
      <c r="K138" s="6">
        <v>0.214</v>
      </c>
      <c r="L138" s="6">
        <v>0.28399999999999997</v>
      </c>
      <c r="M138" s="6">
        <v>0.28399999999999997</v>
      </c>
      <c r="N138" s="6">
        <v>0.17199999999999999</v>
      </c>
      <c r="O138" s="6">
        <v>0.35399999999999998</v>
      </c>
      <c r="P138" s="6">
        <v>0.35399999999999998</v>
      </c>
      <c r="Q138" s="6">
        <v>0.214</v>
      </c>
    </row>
    <row r="139" spans="1:17">
      <c r="A139" s="2">
        <v>2087</v>
      </c>
      <c r="B139" s="6">
        <v>0.14799999999999999</v>
      </c>
      <c r="C139" s="6">
        <v>0.14799999999999999</v>
      </c>
      <c r="D139" s="6">
        <v>0.14799999999999999</v>
      </c>
      <c r="E139" s="6">
        <v>0.17399999999999999</v>
      </c>
      <c r="F139" s="6">
        <v>0.17399999999999999</v>
      </c>
      <c r="G139" s="6">
        <v>0.14799999999999999</v>
      </c>
      <c r="H139" s="6">
        <v>0.14799999999999999</v>
      </c>
      <c r="I139" s="6">
        <v>0.27800000000000002</v>
      </c>
      <c r="J139" s="6">
        <v>0.21299999999999999</v>
      </c>
      <c r="K139" s="6">
        <v>0.21299999999999999</v>
      </c>
      <c r="L139" s="6">
        <v>0.27800000000000002</v>
      </c>
      <c r="M139" s="6">
        <v>0.27800000000000002</v>
      </c>
      <c r="N139" s="6">
        <v>0.17399999999999999</v>
      </c>
      <c r="O139" s="6">
        <v>0.34300000000000003</v>
      </c>
      <c r="P139" s="6">
        <v>0.34300000000000003</v>
      </c>
      <c r="Q139" s="6">
        <v>0.21299999999999999</v>
      </c>
    </row>
    <row r="140" spans="1:17">
      <c r="A140" s="2">
        <v>2088</v>
      </c>
      <c r="B140" s="6">
        <v>0.152</v>
      </c>
      <c r="C140" s="6">
        <v>0.152</v>
      </c>
      <c r="D140" s="6">
        <v>0.152</v>
      </c>
      <c r="E140" s="6">
        <v>0.17599999999999999</v>
      </c>
      <c r="F140" s="6">
        <v>0.17599999999999999</v>
      </c>
      <c r="G140" s="6">
        <v>0.152</v>
      </c>
      <c r="H140" s="6">
        <v>0.152</v>
      </c>
      <c r="I140" s="6">
        <v>0.27200000000000002</v>
      </c>
      <c r="J140" s="6">
        <v>0.21199999999999999</v>
      </c>
      <c r="K140" s="6">
        <v>0.21199999999999999</v>
      </c>
      <c r="L140" s="6">
        <v>0.27200000000000002</v>
      </c>
      <c r="M140" s="6">
        <v>0.27200000000000002</v>
      </c>
      <c r="N140" s="6">
        <v>0.17599999999999999</v>
      </c>
      <c r="O140" s="6">
        <v>0.33200000000000002</v>
      </c>
      <c r="P140" s="6">
        <v>0.33200000000000002</v>
      </c>
      <c r="Q140" s="6">
        <v>0.21199999999999999</v>
      </c>
    </row>
    <row r="141" spans="1:17">
      <c r="A141" s="2">
        <v>2089</v>
      </c>
      <c r="B141" s="6">
        <v>0.156</v>
      </c>
      <c r="C141" s="6">
        <v>0.156</v>
      </c>
      <c r="D141" s="6">
        <v>0.156</v>
      </c>
      <c r="E141" s="6">
        <v>0.17799999999999999</v>
      </c>
      <c r="F141" s="6">
        <v>0.17799999999999999</v>
      </c>
      <c r="G141" s="6">
        <v>0.156</v>
      </c>
      <c r="H141" s="6">
        <v>0.156</v>
      </c>
      <c r="I141" s="6">
        <v>0.26600000000000001</v>
      </c>
      <c r="J141" s="6">
        <v>0.21099999999999999</v>
      </c>
      <c r="K141" s="6">
        <v>0.21099999999999999</v>
      </c>
      <c r="L141" s="6">
        <v>0.26600000000000001</v>
      </c>
      <c r="M141" s="6">
        <v>0.26600000000000001</v>
      </c>
      <c r="N141" s="6">
        <v>0.17799999999999999</v>
      </c>
      <c r="O141" s="6">
        <v>0.32100000000000001</v>
      </c>
      <c r="P141" s="6">
        <v>0.32100000000000001</v>
      </c>
      <c r="Q141" s="6">
        <v>0.21099999999999999</v>
      </c>
    </row>
    <row r="142" spans="1:17">
      <c r="A142" s="2">
        <v>2090</v>
      </c>
      <c r="B142" s="6">
        <v>0.16</v>
      </c>
      <c r="C142" s="6">
        <v>0.16</v>
      </c>
      <c r="D142" s="6">
        <v>0.16</v>
      </c>
      <c r="E142" s="6">
        <v>0.18</v>
      </c>
      <c r="F142" s="6">
        <v>0.18</v>
      </c>
      <c r="G142" s="6">
        <v>0.16</v>
      </c>
      <c r="H142" s="6">
        <v>0.16</v>
      </c>
      <c r="I142" s="6">
        <v>0.26</v>
      </c>
      <c r="J142" s="6">
        <v>0.21</v>
      </c>
      <c r="K142" s="6">
        <v>0.21</v>
      </c>
      <c r="L142" s="6">
        <v>0.26</v>
      </c>
      <c r="M142" s="6">
        <v>0.26</v>
      </c>
      <c r="N142" s="6">
        <v>0.18</v>
      </c>
      <c r="O142" s="6">
        <v>0.31</v>
      </c>
      <c r="P142" s="6">
        <v>0.31</v>
      </c>
      <c r="Q142" s="6">
        <v>0.21</v>
      </c>
    </row>
    <row r="143" spans="1:17">
      <c r="A143" s="2">
        <v>2091</v>
      </c>
      <c r="B143" s="6">
        <v>0.16400000000000001</v>
      </c>
      <c r="C143" s="6">
        <v>0.16400000000000001</v>
      </c>
      <c r="D143" s="6">
        <v>0.16400000000000001</v>
      </c>
      <c r="E143" s="6">
        <v>0.182</v>
      </c>
      <c r="F143" s="6">
        <v>0.182</v>
      </c>
      <c r="G143" s="6">
        <v>0.16400000000000001</v>
      </c>
      <c r="H143" s="6">
        <v>0.16400000000000001</v>
      </c>
      <c r="I143" s="6">
        <v>0.254</v>
      </c>
      <c r="J143" s="6">
        <v>0.20899999999999999</v>
      </c>
      <c r="K143" s="6">
        <v>0.20899999999999999</v>
      </c>
      <c r="L143" s="6">
        <v>0.254</v>
      </c>
      <c r="M143" s="6">
        <v>0.254</v>
      </c>
      <c r="N143" s="6">
        <v>0.182</v>
      </c>
      <c r="O143" s="6">
        <v>0.29899999999999999</v>
      </c>
      <c r="P143" s="6">
        <v>0.29899999999999999</v>
      </c>
      <c r="Q143" s="6">
        <v>0.20899999999999999</v>
      </c>
    </row>
    <row r="144" spans="1:17">
      <c r="A144" s="2">
        <v>2092</v>
      </c>
      <c r="B144" s="6">
        <v>0.16800000000000001</v>
      </c>
      <c r="C144" s="6">
        <v>0.16800000000000001</v>
      </c>
      <c r="D144" s="6">
        <v>0.16800000000000001</v>
      </c>
      <c r="E144" s="6">
        <v>0.184</v>
      </c>
      <c r="F144" s="6">
        <v>0.184</v>
      </c>
      <c r="G144" s="6">
        <v>0.16800000000000001</v>
      </c>
      <c r="H144" s="6">
        <v>0.16800000000000001</v>
      </c>
      <c r="I144" s="6">
        <v>0.248</v>
      </c>
      <c r="J144" s="6">
        <v>0.20799999999999999</v>
      </c>
      <c r="K144" s="6">
        <v>0.20799999999999999</v>
      </c>
      <c r="L144" s="6">
        <v>0.248</v>
      </c>
      <c r="M144" s="6">
        <v>0.248</v>
      </c>
      <c r="N144" s="6">
        <v>0.184</v>
      </c>
      <c r="O144" s="6">
        <v>0.28799999999999998</v>
      </c>
      <c r="P144" s="6">
        <v>0.28799999999999998</v>
      </c>
      <c r="Q144" s="6">
        <v>0.20799999999999999</v>
      </c>
    </row>
    <row r="145" spans="1:17">
      <c r="A145" s="2">
        <v>2093</v>
      </c>
      <c r="B145" s="6">
        <v>0.17199999999999999</v>
      </c>
      <c r="C145" s="6">
        <v>0.17199999999999999</v>
      </c>
      <c r="D145" s="6">
        <v>0.17199999999999999</v>
      </c>
      <c r="E145" s="6">
        <v>0.186</v>
      </c>
      <c r="F145" s="6">
        <v>0.186</v>
      </c>
      <c r="G145" s="6">
        <v>0.17199999999999999</v>
      </c>
      <c r="H145" s="6">
        <v>0.17199999999999999</v>
      </c>
      <c r="I145" s="6">
        <v>0.24199999999999999</v>
      </c>
      <c r="J145" s="6">
        <v>0.20699999999999999</v>
      </c>
      <c r="K145" s="6">
        <v>0.20699999999999999</v>
      </c>
      <c r="L145" s="6">
        <v>0.24199999999999999</v>
      </c>
      <c r="M145" s="6">
        <v>0.24199999999999999</v>
      </c>
      <c r="N145" s="6">
        <v>0.186</v>
      </c>
      <c r="O145" s="6">
        <v>0.27700000000000002</v>
      </c>
      <c r="P145" s="6">
        <v>0.27700000000000002</v>
      </c>
      <c r="Q145" s="6">
        <v>0.20699999999999999</v>
      </c>
    </row>
    <row r="146" spans="1:17">
      <c r="A146" s="2">
        <v>2094</v>
      </c>
      <c r="B146" s="6">
        <v>0.17599999999999999</v>
      </c>
      <c r="C146" s="6">
        <v>0.17599999999999999</v>
      </c>
      <c r="D146" s="6">
        <v>0.17599999999999999</v>
      </c>
      <c r="E146" s="6">
        <v>0.188</v>
      </c>
      <c r="F146" s="6">
        <v>0.188</v>
      </c>
      <c r="G146" s="6">
        <v>0.17599999999999999</v>
      </c>
      <c r="H146" s="6">
        <v>0.17599999999999999</v>
      </c>
      <c r="I146" s="6">
        <v>0.23599999999999999</v>
      </c>
      <c r="J146" s="6">
        <v>0.20599999999999999</v>
      </c>
      <c r="K146" s="6">
        <v>0.20599999999999999</v>
      </c>
      <c r="L146" s="6">
        <v>0.23599999999999999</v>
      </c>
      <c r="M146" s="6">
        <v>0.23599999999999999</v>
      </c>
      <c r="N146" s="6">
        <v>0.188</v>
      </c>
      <c r="O146" s="6">
        <v>0.26600000000000001</v>
      </c>
      <c r="P146" s="6">
        <v>0.26600000000000001</v>
      </c>
      <c r="Q146" s="6">
        <v>0.20599999999999999</v>
      </c>
    </row>
    <row r="147" spans="1:17">
      <c r="A147" s="2">
        <v>2095</v>
      </c>
      <c r="B147" s="6">
        <v>0.18</v>
      </c>
      <c r="C147" s="6">
        <v>0.18</v>
      </c>
      <c r="D147" s="6">
        <v>0.18</v>
      </c>
      <c r="E147" s="6">
        <v>0.19</v>
      </c>
      <c r="F147" s="6">
        <v>0.19</v>
      </c>
      <c r="G147" s="6">
        <v>0.18</v>
      </c>
      <c r="H147" s="6">
        <v>0.18</v>
      </c>
      <c r="I147" s="6">
        <v>0.23</v>
      </c>
      <c r="J147" s="6">
        <v>0.20499999999999999</v>
      </c>
      <c r="K147" s="6">
        <v>0.20499999999999999</v>
      </c>
      <c r="L147" s="6">
        <v>0.23</v>
      </c>
      <c r="M147" s="6">
        <v>0.23</v>
      </c>
      <c r="N147" s="6">
        <v>0.19</v>
      </c>
      <c r="O147" s="6">
        <v>0.255</v>
      </c>
      <c r="P147" s="6">
        <v>0.255</v>
      </c>
      <c r="Q147" s="6">
        <v>0.20499999999999999</v>
      </c>
    </row>
    <row r="148" spans="1:17">
      <c r="A148" s="2">
        <v>2096</v>
      </c>
      <c r="B148" s="6">
        <v>0.184</v>
      </c>
      <c r="C148" s="6">
        <v>0.184</v>
      </c>
      <c r="D148" s="6">
        <v>0.184</v>
      </c>
      <c r="E148" s="6">
        <v>0.192</v>
      </c>
      <c r="F148" s="6">
        <v>0.192</v>
      </c>
      <c r="G148" s="6">
        <v>0.184</v>
      </c>
      <c r="H148" s="6">
        <v>0.184</v>
      </c>
      <c r="I148" s="6">
        <v>0.224</v>
      </c>
      <c r="J148" s="6">
        <v>0.20399999999999999</v>
      </c>
      <c r="K148" s="6">
        <v>0.20399999999999999</v>
      </c>
      <c r="L148" s="6">
        <v>0.224</v>
      </c>
      <c r="M148" s="6">
        <v>0.224</v>
      </c>
      <c r="N148" s="6">
        <v>0.192</v>
      </c>
      <c r="O148" s="6">
        <v>0.24399999999999999</v>
      </c>
      <c r="P148" s="6">
        <v>0.24399999999999999</v>
      </c>
      <c r="Q148" s="6">
        <v>0.20399999999999999</v>
      </c>
    </row>
    <row r="149" spans="1:17">
      <c r="A149" s="2">
        <v>2097</v>
      </c>
      <c r="B149" s="6">
        <v>0.188</v>
      </c>
      <c r="C149" s="6">
        <v>0.188</v>
      </c>
      <c r="D149" s="6">
        <v>0.188</v>
      </c>
      <c r="E149" s="6">
        <v>0.19400000000000001</v>
      </c>
      <c r="F149" s="6">
        <v>0.19400000000000001</v>
      </c>
      <c r="G149" s="6">
        <v>0.188</v>
      </c>
      <c r="H149" s="6">
        <v>0.188</v>
      </c>
      <c r="I149" s="6">
        <v>0.218</v>
      </c>
      <c r="J149" s="6">
        <v>0.20300000000000001</v>
      </c>
      <c r="K149" s="6">
        <v>0.20300000000000001</v>
      </c>
      <c r="L149" s="6">
        <v>0.218</v>
      </c>
      <c r="M149" s="6">
        <v>0.218</v>
      </c>
      <c r="N149" s="6">
        <v>0.19400000000000001</v>
      </c>
      <c r="O149" s="6">
        <v>0.23300000000000001</v>
      </c>
      <c r="P149" s="6">
        <v>0.23300000000000001</v>
      </c>
      <c r="Q149" s="6">
        <v>0.20300000000000001</v>
      </c>
    </row>
    <row r="150" spans="1:17">
      <c r="A150" s="2">
        <v>2098</v>
      </c>
      <c r="B150" s="6">
        <v>0.192</v>
      </c>
      <c r="C150" s="6">
        <v>0.192</v>
      </c>
      <c r="D150" s="6">
        <v>0.192</v>
      </c>
      <c r="E150" s="6">
        <v>0.19600000000000001</v>
      </c>
      <c r="F150" s="6">
        <v>0.19600000000000001</v>
      </c>
      <c r="G150" s="6">
        <v>0.192</v>
      </c>
      <c r="H150" s="6">
        <v>0.192</v>
      </c>
      <c r="I150" s="6">
        <v>0.21199999999999999</v>
      </c>
      <c r="J150" s="6">
        <v>0.20200000000000001</v>
      </c>
      <c r="K150" s="6">
        <v>0.20200000000000001</v>
      </c>
      <c r="L150" s="6">
        <v>0.21199999999999999</v>
      </c>
      <c r="M150" s="6">
        <v>0.21199999999999999</v>
      </c>
      <c r="N150" s="6">
        <v>0.19600000000000001</v>
      </c>
      <c r="O150" s="6">
        <v>0.222</v>
      </c>
      <c r="P150" s="6">
        <v>0.222</v>
      </c>
      <c r="Q150" s="6">
        <v>0.20200000000000001</v>
      </c>
    </row>
    <row r="151" spans="1:17">
      <c r="A151" s="2">
        <v>2099</v>
      </c>
      <c r="B151" s="6">
        <v>0.19600000000000001</v>
      </c>
      <c r="C151" s="6">
        <v>0.19600000000000001</v>
      </c>
      <c r="D151" s="6">
        <v>0.19600000000000001</v>
      </c>
      <c r="E151" s="6">
        <v>0.19800000000000001</v>
      </c>
      <c r="F151" s="6">
        <v>0.19800000000000001</v>
      </c>
      <c r="G151" s="6">
        <v>0.19600000000000001</v>
      </c>
      <c r="H151" s="6">
        <v>0.19600000000000001</v>
      </c>
      <c r="I151" s="6">
        <v>0.20599999999999999</v>
      </c>
      <c r="J151" s="6">
        <v>0.20100000000000001</v>
      </c>
      <c r="K151" s="6">
        <v>0.20100000000000001</v>
      </c>
      <c r="L151" s="6">
        <v>0.20599999999999999</v>
      </c>
      <c r="M151" s="6">
        <v>0.20599999999999999</v>
      </c>
      <c r="N151" s="6">
        <v>0.19800000000000001</v>
      </c>
      <c r="O151" s="6">
        <v>0.21099999999999999</v>
      </c>
      <c r="P151" s="6">
        <v>0.21099999999999999</v>
      </c>
      <c r="Q151" s="6">
        <v>0.20100000000000001</v>
      </c>
    </row>
    <row r="152" spans="1:17">
      <c r="A152" s="2">
        <v>2100</v>
      </c>
      <c r="B152" s="6">
        <v>0.2</v>
      </c>
      <c r="C152" s="6">
        <v>0.2</v>
      </c>
      <c r="D152" s="6">
        <v>0.2</v>
      </c>
      <c r="E152" s="6">
        <v>0.2</v>
      </c>
      <c r="F152" s="6">
        <v>0.2</v>
      </c>
      <c r="G152" s="6">
        <v>0.2</v>
      </c>
      <c r="H152" s="6">
        <v>0.2</v>
      </c>
      <c r="I152" s="6">
        <v>0.2</v>
      </c>
      <c r="J152" s="6">
        <v>0.2</v>
      </c>
      <c r="K152" s="6">
        <v>0.2</v>
      </c>
      <c r="L152" s="6">
        <v>0.2</v>
      </c>
      <c r="M152" s="6">
        <v>0.2</v>
      </c>
      <c r="N152" s="6">
        <v>0.2</v>
      </c>
      <c r="O152" s="6">
        <v>0.2</v>
      </c>
      <c r="P152" s="6">
        <v>0.2</v>
      </c>
      <c r="Q152" s="6">
        <v>0.2</v>
      </c>
    </row>
    <row r="153" spans="1:17">
      <c r="A153" s="2">
        <v>2101</v>
      </c>
      <c r="B153" s="6">
        <v>0.23799999999999999</v>
      </c>
      <c r="C153" s="6">
        <v>0.23799999999999999</v>
      </c>
      <c r="D153" s="6">
        <v>0.23799999999999999</v>
      </c>
      <c r="E153" s="6">
        <v>0.23799999999999999</v>
      </c>
      <c r="F153" s="6">
        <v>0.23799999999999999</v>
      </c>
      <c r="G153" s="6">
        <v>0.23799999999999999</v>
      </c>
      <c r="H153" s="6">
        <v>0.23799999999999999</v>
      </c>
      <c r="I153" s="6">
        <v>0.23799999999999999</v>
      </c>
      <c r="J153" s="6">
        <v>0.23799999999999999</v>
      </c>
      <c r="K153" s="6">
        <v>0.23799999999999999</v>
      </c>
      <c r="L153" s="6">
        <v>0.23799999999999999</v>
      </c>
      <c r="M153" s="6">
        <v>0.23799999999999999</v>
      </c>
      <c r="N153" s="6">
        <v>0.23799999999999999</v>
      </c>
      <c r="O153" s="6">
        <v>0.23799999999999999</v>
      </c>
      <c r="P153" s="6">
        <v>0.23799999999999999</v>
      </c>
      <c r="Q153" s="6">
        <v>0.23799999999999999</v>
      </c>
    </row>
    <row r="154" spans="1:17">
      <c r="A154" s="2">
        <v>2102</v>
      </c>
      <c r="B154" s="6">
        <v>0.27600000000000002</v>
      </c>
      <c r="C154" s="6">
        <v>0.27600000000000002</v>
      </c>
      <c r="D154" s="6">
        <v>0.27600000000000002</v>
      </c>
      <c r="E154" s="6">
        <v>0.27600000000000002</v>
      </c>
      <c r="F154" s="6">
        <v>0.27600000000000002</v>
      </c>
      <c r="G154" s="6">
        <v>0.27600000000000002</v>
      </c>
      <c r="H154" s="6">
        <v>0.27600000000000002</v>
      </c>
      <c r="I154" s="6">
        <v>0.27600000000000002</v>
      </c>
      <c r="J154" s="6">
        <v>0.27600000000000002</v>
      </c>
      <c r="K154" s="6">
        <v>0.27600000000000002</v>
      </c>
      <c r="L154" s="6">
        <v>0.27600000000000002</v>
      </c>
      <c r="M154" s="6">
        <v>0.27600000000000002</v>
      </c>
      <c r="N154" s="6">
        <v>0.27600000000000002</v>
      </c>
      <c r="O154" s="6">
        <v>0.27600000000000002</v>
      </c>
      <c r="P154" s="6">
        <v>0.27600000000000002</v>
      </c>
      <c r="Q154" s="6">
        <v>0.27600000000000002</v>
      </c>
    </row>
    <row r="155" spans="1:17">
      <c r="A155" s="2">
        <v>2103</v>
      </c>
      <c r="B155" s="6">
        <v>0.314</v>
      </c>
      <c r="C155" s="6">
        <v>0.314</v>
      </c>
      <c r="D155" s="6">
        <v>0.314</v>
      </c>
      <c r="E155" s="6">
        <v>0.314</v>
      </c>
      <c r="F155" s="6">
        <v>0.314</v>
      </c>
      <c r="G155" s="6">
        <v>0.314</v>
      </c>
      <c r="H155" s="6">
        <v>0.314</v>
      </c>
      <c r="I155" s="6">
        <v>0.314</v>
      </c>
      <c r="J155" s="6">
        <v>0.314</v>
      </c>
      <c r="K155" s="6">
        <v>0.314</v>
      </c>
      <c r="L155" s="6">
        <v>0.314</v>
      </c>
      <c r="M155" s="6">
        <v>0.314</v>
      </c>
      <c r="N155" s="6">
        <v>0.314</v>
      </c>
      <c r="O155" s="6">
        <v>0.314</v>
      </c>
      <c r="P155" s="6">
        <v>0.314</v>
      </c>
      <c r="Q155" s="6">
        <v>0.314</v>
      </c>
    </row>
    <row r="156" spans="1:17">
      <c r="A156" s="2">
        <v>2104</v>
      </c>
      <c r="B156" s="6">
        <v>0.35199999999999998</v>
      </c>
      <c r="C156" s="6">
        <v>0.35199999999999998</v>
      </c>
      <c r="D156" s="6">
        <v>0.35199999999999998</v>
      </c>
      <c r="E156" s="6">
        <v>0.35199999999999998</v>
      </c>
      <c r="F156" s="6">
        <v>0.35199999999999998</v>
      </c>
      <c r="G156" s="6">
        <v>0.35199999999999998</v>
      </c>
      <c r="H156" s="6">
        <v>0.35199999999999998</v>
      </c>
      <c r="I156" s="6">
        <v>0.35199999999999998</v>
      </c>
      <c r="J156" s="6">
        <v>0.35199999999999998</v>
      </c>
      <c r="K156" s="6">
        <v>0.35199999999999998</v>
      </c>
      <c r="L156" s="6">
        <v>0.35199999999999998</v>
      </c>
      <c r="M156" s="6">
        <v>0.35199999999999998</v>
      </c>
      <c r="N156" s="6">
        <v>0.35199999999999998</v>
      </c>
      <c r="O156" s="6">
        <v>0.35199999999999998</v>
      </c>
      <c r="P156" s="6">
        <v>0.35199999999999998</v>
      </c>
      <c r="Q156" s="6">
        <v>0.35199999999999998</v>
      </c>
    </row>
    <row r="157" spans="1:17">
      <c r="A157" s="2">
        <v>2105</v>
      </c>
      <c r="B157" s="6">
        <v>0.39</v>
      </c>
      <c r="C157" s="6">
        <v>0.39</v>
      </c>
      <c r="D157" s="6">
        <v>0.39</v>
      </c>
      <c r="E157" s="6">
        <v>0.39</v>
      </c>
      <c r="F157" s="6">
        <v>0.39</v>
      </c>
      <c r="G157" s="6">
        <v>0.39</v>
      </c>
      <c r="H157" s="6">
        <v>0.39</v>
      </c>
      <c r="I157" s="6">
        <v>0.39</v>
      </c>
      <c r="J157" s="6">
        <v>0.39</v>
      </c>
      <c r="K157" s="6">
        <v>0.39</v>
      </c>
      <c r="L157" s="6">
        <v>0.39</v>
      </c>
      <c r="M157" s="6">
        <v>0.39</v>
      </c>
      <c r="N157" s="6">
        <v>0.39</v>
      </c>
      <c r="O157" s="6">
        <v>0.39</v>
      </c>
      <c r="P157" s="6">
        <v>0.39</v>
      </c>
      <c r="Q157" s="6">
        <v>0.39</v>
      </c>
    </row>
    <row r="158" spans="1:17">
      <c r="A158" s="2">
        <v>2106</v>
      </c>
      <c r="B158" s="6">
        <v>0.42799999999999999</v>
      </c>
      <c r="C158" s="6">
        <v>0.42799999999999999</v>
      </c>
      <c r="D158" s="6">
        <v>0.42799999999999999</v>
      </c>
      <c r="E158" s="6">
        <v>0.42799999999999999</v>
      </c>
      <c r="F158" s="6">
        <v>0.42799999999999999</v>
      </c>
      <c r="G158" s="6">
        <v>0.42799999999999999</v>
      </c>
      <c r="H158" s="6">
        <v>0.42799999999999999</v>
      </c>
      <c r="I158" s="6">
        <v>0.42799999999999999</v>
      </c>
      <c r="J158" s="6">
        <v>0.42799999999999999</v>
      </c>
      <c r="K158" s="6">
        <v>0.42799999999999999</v>
      </c>
      <c r="L158" s="6">
        <v>0.42799999999999999</v>
      </c>
      <c r="M158" s="6">
        <v>0.42799999999999999</v>
      </c>
      <c r="N158" s="6">
        <v>0.42799999999999999</v>
      </c>
      <c r="O158" s="6">
        <v>0.42799999999999999</v>
      </c>
      <c r="P158" s="6">
        <v>0.42799999999999999</v>
      </c>
      <c r="Q158" s="6">
        <v>0.42799999999999999</v>
      </c>
    </row>
    <row r="159" spans="1:17">
      <c r="A159" s="2">
        <v>2107</v>
      </c>
      <c r="B159" s="6">
        <v>0.46600000000000003</v>
      </c>
      <c r="C159" s="6">
        <v>0.46600000000000003</v>
      </c>
      <c r="D159" s="6">
        <v>0.46600000000000003</v>
      </c>
      <c r="E159" s="6">
        <v>0.46600000000000003</v>
      </c>
      <c r="F159" s="6">
        <v>0.46600000000000003</v>
      </c>
      <c r="G159" s="6">
        <v>0.46600000000000003</v>
      </c>
      <c r="H159" s="6">
        <v>0.46600000000000003</v>
      </c>
      <c r="I159" s="6">
        <v>0.46600000000000003</v>
      </c>
      <c r="J159" s="6">
        <v>0.46600000000000003</v>
      </c>
      <c r="K159" s="6">
        <v>0.46600000000000003</v>
      </c>
      <c r="L159" s="6">
        <v>0.46600000000000003</v>
      </c>
      <c r="M159" s="6">
        <v>0.46600000000000003</v>
      </c>
      <c r="N159" s="6">
        <v>0.46600000000000003</v>
      </c>
      <c r="O159" s="6">
        <v>0.46600000000000003</v>
      </c>
      <c r="P159" s="6">
        <v>0.46600000000000003</v>
      </c>
      <c r="Q159" s="6">
        <v>0.46600000000000003</v>
      </c>
    </row>
    <row r="160" spans="1:17">
      <c r="A160" s="2">
        <v>2108</v>
      </c>
      <c r="B160" s="6">
        <v>0.504</v>
      </c>
      <c r="C160" s="6">
        <v>0.504</v>
      </c>
      <c r="D160" s="6">
        <v>0.504</v>
      </c>
      <c r="E160" s="6">
        <v>0.504</v>
      </c>
      <c r="F160" s="6">
        <v>0.504</v>
      </c>
      <c r="G160" s="6">
        <v>0.504</v>
      </c>
      <c r="H160" s="6">
        <v>0.504</v>
      </c>
      <c r="I160" s="6">
        <v>0.504</v>
      </c>
      <c r="J160" s="6">
        <v>0.504</v>
      </c>
      <c r="K160" s="6">
        <v>0.504</v>
      </c>
      <c r="L160" s="6">
        <v>0.504</v>
      </c>
      <c r="M160" s="6">
        <v>0.504</v>
      </c>
      <c r="N160" s="6">
        <v>0.504</v>
      </c>
      <c r="O160" s="6">
        <v>0.504</v>
      </c>
      <c r="P160" s="6">
        <v>0.504</v>
      </c>
      <c r="Q160" s="6">
        <v>0.504</v>
      </c>
    </row>
    <row r="161" spans="1:17">
      <c r="A161" s="2">
        <v>2109</v>
      </c>
      <c r="B161" s="6">
        <v>0.54200000000000004</v>
      </c>
      <c r="C161" s="6">
        <v>0.54200000000000004</v>
      </c>
      <c r="D161" s="6">
        <v>0.54200000000000004</v>
      </c>
      <c r="E161" s="6">
        <v>0.54200000000000004</v>
      </c>
      <c r="F161" s="6">
        <v>0.54200000000000004</v>
      </c>
      <c r="G161" s="6">
        <v>0.54200000000000004</v>
      </c>
      <c r="H161" s="6">
        <v>0.54200000000000004</v>
      </c>
      <c r="I161" s="6">
        <v>0.54200000000000004</v>
      </c>
      <c r="J161" s="6">
        <v>0.54200000000000004</v>
      </c>
      <c r="K161" s="6">
        <v>0.54200000000000004</v>
      </c>
      <c r="L161" s="6">
        <v>0.54200000000000004</v>
      </c>
      <c r="M161" s="6">
        <v>0.54200000000000004</v>
      </c>
      <c r="N161" s="6">
        <v>0.54200000000000004</v>
      </c>
      <c r="O161" s="6">
        <v>0.54200000000000004</v>
      </c>
      <c r="P161" s="6">
        <v>0.54200000000000004</v>
      </c>
      <c r="Q161" s="6">
        <v>0.54200000000000004</v>
      </c>
    </row>
    <row r="162" spans="1:17">
      <c r="A162" s="2">
        <v>2110</v>
      </c>
      <c r="B162" s="6">
        <v>0.57999999999999996</v>
      </c>
      <c r="C162" s="6">
        <v>0.57999999999999996</v>
      </c>
      <c r="D162" s="6">
        <v>0.57999999999999996</v>
      </c>
      <c r="E162" s="6">
        <v>0.57999999999999996</v>
      </c>
      <c r="F162" s="6">
        <v>0.57999999999999996</v>
      </c>
      <c r="G162" s="6">
        <v>0.57999999999999996</v>
      </c>
      <c r="H162" s="6">
        <v>0.57999999999999996</v>
      </c>
      <c r="I162" s="6">
        <v>0.57999999999999996</v>
      </c>
      <c r="J162" s="6">
        <v>0.57999999999999996</v>
      </c>
      <c r="K162" s="6">
        <v>0.57999999999999996</v>
      </c>
      <c r="L162" s="6">
        <v>0.57999999999999996</v>
      </c>
      <c r="M162" s="6">
        <v>0.57999999999999996</v>
      </c>
      <c r="N162" s="6">
        <v>0.57999999999999996</v>
      </c>
      <c r="O162" s="6">
        <v>0.57999999999999996</v>
      </c>
      <c r="P162" s="6">
        <v>0.57999999999999996</v>
      </c>
      <c r="Q162" s="6">
        <v>0.57999999999999996</v>
      </c>
    </row>
    <row r="163" spans="1:17">
      <c r="A163" s="2">
        <v>2111</v>
      </c>
      <c r="B163" s="6">
        <v>0.61799999999999999</v>
      </c>
      <c r="C163" s="6">
        <v>0.61799999999999999</v>
      </c>
      <c r="D163" s="6">
        <v>0.61799999999999999</v>
      </c>
      <c r="E163" s="6">
        <v>0.61799999999999999</v>
      </c>
      <c r="F163" s="6">
        <v>0.61799999999999999</v>
      </c>
      <c r="G163" s="6">
        <v>0.61799999999999999</v>
      </c>
      <c r="H163" s="6">
        <v>0.61799999999999999</v>
      </c>
      <c r="I163" s="6">
        <v>0.61799999999999999</v>
      </c>
      <c r="J163" s="6">
        <v>0.61799999999999999</v>
      </c>
      <c r="K163" s="6">
        <v>0.61799999999999999</v>
      </c>
      <c r="L163" s="6">
        <v>0.61799999999999999</v>
      </c>
      <c r="M163" s="6">
        <v>0.61799999999999999</v>
      </c>
      <c r="N163" s="6">
        <v>0.61799999999999999</v>
      </c>
      <c r="O163" s="6">
        <v>0.61799999999999999</v>
      </c>
      <c r="P163" s="6">
        <v>0.61799999999999999</v>
      </c>
      <c r="Q163" s="6">
        <v>0.61799999999999999</v>
      </c>
    </row>
    <row r="164" spans="1:17">
      <c r="A164" s="2">
        <v>2112</v>
      </c>
      <c r="B164" s="6">
        <v>0.65600000000000003</v>
      </c>
      <c r="C164" s="6">
        <v>0.65600000000000003</v>
      </c>
      <c r="D164" s="6">
        <v>0.65600000000000003</v>
      </c>
      <c r="E164" s="6">
        <v>0.65600000000000003</v>
      </c>
      <c r="F164" s="6">
        <v>0.65600000000000003</v>
      </c>
      <c r="G164" s="6">
        <v>0.65600000000000003</v>
      </c>
      <c r="H164" s="6">
        <v>0.65600000000000003</v>
      </c>
      <c r="I164" s="6">
        <v>0.65600000000000003</v>
      </c>
      <c r="J164" s="6">
        <v>0.65600000000000003</v>
      </c>
      <c r="K164" s="6">
        <v>0.65600000000000003</v>
      </c>
      <c r="L164" s="6">
        <v>0.65600000000000003</v>
      </c>
      <c r="M164" s="6">
        <v>0.65600000000000003</v>
      </c>
      <c r="N164" s="6">
        <v>0.65600000000000003</v>
      </c>
      <c r="O164" s="6">
        <v>0.65600000000000003</v>
      </c>
      <c r="P164" s="6">
        <v>0.65600000000000003</v>
      </c>
      <c r="Q164" s="6">
        <v>0.65600000000000003</v>
      </c>
    </row>
    <row r="165" spans="1:17">
      <c r="A165" s="2">
        <v>2113</v>
      </c>
      <c r="B165" s="6">
        <v>0.69399999999999995</v>
      </c>
      <c r="C165" s="6">
        <v>0.69399999999999995</v>
      </c>
      <c r="D165" s="6">
        <v>0.69399999999999995</v>
      </c>
      <c r="E165" s="6">
        <v>0.69399999999999995</v>
      </c>
      <c r="F165" s="6">
        <v>0.69399999999999995</v>
      </c>
      <c r="G165" s="6">
        <v>0.69399999999999995</v>
      </c>
      <c r="H165" s="6">
        <v>0.69399999999999995</v>
      </c>
      <c r="I165" s="6">
        <v>0.69399999999999995</v>
      </c>
      <c r="J165" s="6">
        <v>0.69399999999999995</v>
      </c>
      <c r="K165" s="6">
        <v>0.69399999999999995</v>
      </c>
      <c r="L165" s="6">
        <v>0.69399999999999995</v>
      </c>
      <c r="M165" s="6">
        <v>0.69399999999999995</v>
      </c>
      <c r="N165" s="6">
        <v>0.69399999999999995</v>
      </c>
      <c r="O165" s="6">
        <v>0.69399999999999995</v>
      </c>
      <c r="P165" s="6">
        <v>0.69399999999999995</v>
      </c>
      <c r="Q165" s="6">
        <v>0.69399999999999995</v>
      </c>
    </row>
    <row r="166" spans="1:17">
      <c r="A166" s="2">
        <v>2114</v>
      </c>
      <c r="B166" s="6">
        <v>0.73199999999999998</v>
      </c>
      <c r="C166" s="6">
        <v>0.73199999999999998</v>
      </c>
      <c r="D166" s="6">
        <v>0.73199999999999998</v>
      </c>
      <c r="E166" s="6">
        <v>0.73199999999999998</v>
      </c>
      <c r="F166" s="6">
        <v>0.73199999999999998</v>
      </c>
      <c r="G166" s="6">
        <v>0.73199999999999998</v>
      </c>
      <c r="H166" s="6">
        <v>0.73199999999999998</v>
      </c>
      <c r="I166" s="6">
        <v>0.73199999999999998</v>
      </c>
      <c r="J166" s="6">
        <v>0.73199999999999998</v>
      </c>
      <c r="K166" s="6">
        <v>0.73199999999999998</v>
      </c>
      <c r="L166" s="6">
        <v>0.73199999999999998</v>
      </c>
      <c r="M166" s="6">
        <v>0.73199999999999998</v>
      </c>
      <c r="N166" s="6">
        <v>0.73199999999999998</v>
      </c>
      <c r="O166" s="6">
        <v>0.73199999999999998</v>
      </c>
      <c r="P166" s="6">
        <v>0.73199999999999998</v>
      </c>
      <c r="Q166" s="6">
        <v>0.73199999999999998</v>
      </c>
    </row>
    <row r="167" spans="1:17">
      <c r="A167" s="2">
        <v>2115</v>
      </c>
      <c r="B167" s="6">
        <v>0.77</v>
      </c>
      <c r="C167" s="6">
        <v>0.77</v>
      </c>
      <c r="D167" s="6">
        <v>0.77</v>
      </c>
      <c r="E167" s="6">
        <v>0.77</v>
      </c>
      <c r="F167" s="6">
        <v>0.77</v>
      </c>
      <c r="G167" s="6">
        <v>0.77</v>
      </c>
      <c r="H167" s="6">
        <v>0.77</v>
      </c>
      <c r="I167" s="6">
        <v>0.77</v>
      </c>
      <c r="J167" s="6">
        <v>0.77</v>
      </c>
      <c r="K167" s="6">
        <v>0.77</v>
      </c>
      <c r="L167" s="6">
        <v>0.77</v>
      </c>
      <c r="M167" s="6">
        <v>0.77</v>
      </c>
      <c r="N167" s="6">
        <v>0.77</v>
      </c>
      <c r="O167" s="6">
        <v>0.77</v>
      </c>
      <c r="P167" s="6">
        <v>0.77</v>
      </c>
      <c r="Q167" s="6">
        <v>0.77</v>
      </c>
    </row>
    <row r="168" spans="1:17">
      <c r="A168" s="2">
        <v>2116</v>
      </c>
      <c r="B168" s="6">
        <v>0.80800000000000005</v>
      </c>
      <c r="C168" s="6">
        <v>0.80800000000000005</v>
      </c>
      <c r="D168" s="6">
        <v>0.80800000000000005</v>
      </c>
      <c r="E168" s="6">
        <v>0.80800000000000005</v>
      </c>
      <c r="F168" s="6">
        <v>0.80800000000000005</v>
      </c>
      <c r="G168" s="6">
        <v>0.80800000000000005</v>
      </c>
      <c r="H168" s="6">
        <v>0.80800000000000005</v>
      </c>
      <c r="I168" s="6">
        <v>0.80800000000000005</v>
      </c>
      <c r="J168" s="6">
        <v>0.80800000000000005</v>
      </c>
      <c r="K168" s="6">
        <v>0.80800000000000005</v>
      </c>
      <c r="L168" s="6">
        <v>0.80800000000000005</v>
      </c>
      <c r="M168" s="6">
        <v>0.80800000000000005</v>
      </c>
      <c r="N168" s="6">
        <v>0.80800000000000005</v>
      </c>
      <c r="O168" s="6">
        <v>0.80800000000000005</v>
      </c>
      <c r="P168" s="6">
        <v>0.80800000000000005</v>
      </c>
      <c r="Q168" s="6">
        <v>0.80800000000000005</v>
      </c>
    </row>
    <row r="169" spans="1:17">
      <c r="A169" s="2">
        <v>2117</v>
      </c>
      <c r="B169" s="6">
        <v>0.84599999999999997</v>
      </c>
      <c r="C169" s="6">
        <v>0.84599999999999997</v>
      </c>
      <c r="D169" s="6">
        <v>0.84599999999999997</v>
      </c>
      <c r="E169" s="6">
        <v>0.84599999999999997</v>
      </c>
      <c r="F169" s="6">
        <v>0.84599999999999997</v>
      </c>
      <c r="G169" s="6">
        <v>0.84599999999999997</v>
      </c>
      <c r="H169" s="6">
        <v>0.84599999999999997</v>
      </c>
      <c r="I169" s="6">
        <v>0.84599999999999997</v>
      </c>
      <c r="J169" s="6">
        <v>0.84599999999999997</v>
      </c>
      <c r="K169" s="6">
        <v>0.84599999999999997</v>
      </c>
      <c r="L169" s="6">
        <v>0.84599999999999997</v>
      </c>
      <c r="M169" s="6">
        <v>0.84599999999999997</v>
      </c>
      <c r="N169" s="6">
        <v>0.84599999999999997</v>
      </c>
      <c r="O169" s="6">
        <v>0.84599999999999997</v>
      </c>
      <c r="P169" s="6">
        <v>0.84599999999999997</v>
      </c>
      <c r="Q169" s="6">
        <v>0.84599999999999997</v>
      </c>
    </row>
    <row r="170" spans="1:17">
      <c r="A170" s="2">
        <v>2118</v>
      </c>
      <c r="B170" s="6">
        <v>0.88400000000000001</v>
      </c>
      <c r="C170" s="6">
        <v>0.88400000000000001</v>
      </c>
      <c r="D170" s="6">
        <v>0.88400000000000001</v>
      </c>
      <c r="E170" s="6">
        <v>0.88400000000000001</v>
      </c>
      <c r="F170" s="6">
        <v>0.88400000000000001</v>
      </c>
      <c r="G170" s="6">
        <v>0.88400000000000001</v>
      </c>
      <c r="H170" s="6">
        <v>0.88400000000000001</v>
      </c>
      <c r="I170" s="6">
        <v>0.88400000000000001</v>
      </c>
      <c r="J170" s="6">
        <v>0.88400000000000001</v>
      </c>
      <c r="K170" s="6">
        <v>0.88400000000000001</v>
      </c>
      <c r="L170" s="6">
        <v>0.88400000000000001</v>
      </c>
      <c r="M170" s="6">
        <v>0.88400000000000001</v>
      </c>
      <c r="N170" s="6">
        <v>0.88400000000000001</v>
      </c>
      <c r="O170" s="6">
        <v>0.88400000000000001</v>
      </c>
      <c r="P170" s="6">
        <v>0.88400000000000001</v>
      </c>
      <c r="Q170" s="6">
        <v>0.88400000000000001</v>
      </c>
    </row>
    <row r="171" spans="1:17">
      <c r="A171" s="2">
        <v>2119</v>
      </c>
      <c r="B171" s="6">
        <v>0.92200000000000004</v>
      </c>
      <c r="C171" s="6">
        <v>0.92200000000000004</v>
      </c>
      <c r="D171" s="6">
        <v>0.92200000000000004</v>
      </c>
      <c r="E171" s="6">
        <v>0.92200000000000004</v>
      </c>
      <c r="F171" s="6">
        <v>0.92200000000000004</v>
      </c>
      <c r="G171" s="6">
        <v>0.92200000000000004</v>
      </c>
      <c r="H171" s="6">
        <v>0.92200000000000004</v>
      </c>
      <c r="I171" s="6">
        <v>0.92200000000000004</v>
      </c>
      <c r="J171" s="6">
        <v>0.92200000000000004</v>
      </c>
      <c r="K171" s="6">
        <v>0.92200000000000004</v>
      </c>
      <c r="L171" s="6">
        <v>0.92200000000000004</v>
      </c>
      <c r="M171" s="6">
        <v>0.92200000000000004</v>
      </c>
      <c r="N171" s="6">
        <v>0.92200000000000004</v>
      </c>
      <c r="O171" s="6">
        <v>0.92200000000000004</v>
      </c>
      <c r="P171" s="6">
        <v>0.92200000000000004</v>
      </c>
      <c r="Q171" s="6">
        <v>0.92200000000000004</v>
      </c>
    </row>
    <row r="172" spans="1:17">
      <c r="A172" s="2">
        <v>2120</v>
      </c>
      <c r="B172" s="6">
        <v>0.96</v>
      </c>
      <c r="C172" s="6">
        <v>0.96</v>
      </c>
      <c r="D172" s="6">
        <v>0.96</v>
      </c>
      <c r="E172" s="6">
        <v>0.96</v>
      </c>
      <c r="F172" s="6">
        <v>0.96</v>
      </c>
      <c r="G172" s="6">
        <v>0.96</v>
      </c>
      <c r="H172" s="6">
        <v>0.96</v>
      </c>
      <c r="I172" s="6">
        <v>0.96</v>
      </c>
      <c r="J172" s="6">
        <v>0.96</v>
      </c>
      <c r="K172" s="6">
        <v>0.96</v>
      </c>
      <c r="L172" s="6">
        <v>0.96</v>
      </c>
      <c r="M172" s="6">
        <v>0.96</v>
      </c>
      <c r="N172" s="6">
        <v>0.96</v>
      </c>
      <c r="O172" s="6">
        <v>0.96</v>
      </c>
      <c r="P172" s="6">
        <v>0.96</v>
      </c>
      <c r="Q172" s="6">
        <v>0.96</v>
      </c>
    </row>
    <row r="173" spans="1:17">
      <c r="A173" s="2">
        <v>2121</v>
      </c>
      <c r="B173" s="6">
        <v>0.998</v>
      </c>
      <c r="C173" s="6">
        <v>0.998</v>
      </c>
      <c r="D173" s="6">
        <v>0.998</v>
      </c>
      <c r="E173" s="6">
        <v>0.998</v>
      </c>
      <c r="F173" s="6">
        <v>0.998</v>
      </c>
      <c r="G173" s="6">
        <v>0.998</v>
      </c>
      <c r="H173" s="6">
        <v>0.998</v>
      </c>
      <c r="I173" s="6">
        <v>0.998</v>
      </c>
      <c r="J173" s="6">
        <v>0.998</v>
      </c>
      <c r="K173" s="6">
        <v>0.998</v>
      </c>
      <c r="L173" s="6">
        <v>0.998</v>
      </c>
      <c r="M173" s="6">
        <v>0.998</v>
      </c>
      <c r="N173" s="6">
        <v>0.998</v>
      </c>
      <c r="O173" s="6">
        <v>0.998</v>
      </c>
      <c r="P173" s="6">
        <v>0.998</v>
      </c>
      <c r="Q173" s="6">
        <v>0.998</v>
      </c>
    </row>
    <row r="174" spans="1:17">
      <c r="A174" s="2">
        <v>2122</v>
      </c>
      <c r="B174" s="6">
        <v>1.036</v>
      </c>
      <c r="C174" s="6">
        <v>1.036</v>
      </c>
      <c r="D174" s="6">
        <v>1.036</v>
      </c>
      <c r="E174" s="6">
        <v>1.036</v>
      </c>
      <c r="F174" s="6">
        <v>1.036</v>
      </c>
      <c r="G174" s="6">
        <v>1.036</v>
      </c>
      <c r="H174" s="6">
        <v>1.036</v>
      </c>
      <c r="I174" s="6">
        <v>1.036</v>
      </c>
      <c r="J174" s="6">
        <v>1.036</v>
      </c>
      <c r="K174" s="6">
        <v>1.036</v>
      </c>
      <c r="L174" s="6">
        <v>1.036</v>
      </c>
      <c r="M174" s="6">
        <v>1.036</v>
      </c>
      <c r="N174" s="6">
        <v>1.036</v>
      </c>
      <c r="O174" s="6">
        <v>1.036</v>
      </c>
      <c r="P174" s="6">
        <v>1.036</v>
      </c>
      <c r="Q174" s="6">
        <v>1.036</v>
      </c>
    </row>
    <row r="175" spans="1:17">
      <c r="A175" s="2">
        <v>2123</v>
      </c>
      <c r="B175" s="6">
        <v>1.0740000000000001</v>
      </c>
      <c r="C175" s="6">
        <v>1.0740000000000001</v>
      </c>
      <c r="D175" s="6">
        <v>1.0740000000000001</v>
      </c>
      <c r="E175" s="6">
        <v>1.0740000000000001</v>
      </c>
      <c r="F175" s="6">
        <v>1.0740000000000001</v>
      </c>
      <c r="G175" s="6">
        <v>1.0740000000000001</v>
      </c>
      <c r="H175" s="6">
        <v>1.0740000000000001</v>
      </c>
      <c r="I175" s="6">
        <v>1.0740000000000001</v>
      </c>
      <c r="J175" s="6">
        <v>1.0740000000000001</v>
      </c>
      <c r="K175" s="6">
        <v>1.0740000000000001</v>
      </c>
      <c r="L175" s="6">
        <v>1.0740000000000001</v>
      </c>
      <c r="M175" s="6">
        <v>1.0740000000000001</v>
      </c>
      <c r="N175" s="6">
        <v>1.0740000000000001</v>
      </c>
      <c r="O175" s="6">
        <v>1.0740000000000001</v>
      </c>
      <c r="P175" s="6">
        <v>1.0740000000000001</v>
      </c>
      <c r="Q175" s="6">
        <v>1.0740000000000001</v>
      </c>
    </row>
    <row r="176" spans="1:17">
      <c r="A176" s="2">
        <v>2124</v>
      </c>
      <c r="B176" s="6">
        <v>1.1120000000000001</v>
      </c>
      <c r="C176" s="6">
        <v>1.1120000000000001</v>
      </c>
      <c r="D176" s="6">
        <v>1.1120000000000001</v>
      </c>
      <c r="E176" s="6">
        <v>1.1120000000000001</v>
      </c>
      <c r="F176" s="6">
        <v>1.1120000000000001</v>
      </c>
      <c r="G176" s="6">
        <v>1.1120000000000001</v>
      </c>
      <c r="H176" s="6">
        <v>1.1120000000000001</v>
      </c>
      <c r="I176" s="6">
        <v>1.1120000000000001</v>
      </c>
      <c r="J176" s="6">
        <v>1.1120000000000001</v>
      </c>
      <c r="K176" s="6">
        <v>1.1120000000000001</v>
      </c>
      <c r="L176" s="6">
        <v>1.1120000000000001</v>
      </c>
      <c r="M176" s="6">
        <v>1.1120000000000001</v>
      </c>
      <c r="N176" s="6">
        <v>1.1120000000000001</v>
      </c>
      <c r="O176" s="6">
        <v>1.1120000000000001</v>
      </c>
      <c r="P176" s="6">
        <v>1.1120000000000001</v>
      </c>
      <c r="Q176" s="6">
        <v>1.1120000000000001</v>
      </c>
    </row>
    <row r="177" spans="1:17">
      <c r="A177" s="2">
        <v>2125</v>
      </c>
      <c r="B177" s="6">
        <v>1.1499999999999999</v>
      </c>
      <c r="C177" s="6">
        <v>1.1499999999999999</v>
      </c>
      <c r="D177" s="6">
        <v>1.1499999999999999</v>
      </c>
      <c r="E177" s="6">
        <v>1.1499999999999999</v>
      </c>
      <c r="F177" s="6">
        <v>1.1499999999999999</v>
      </c>
      <c r="G177" s="6">
        <v>1.1499999999999999</v>
      </c>
      <c r="H177" s="6">
        <v>1.1499999999999999</v>
      </c>
      <c r="I177" s="6">
        <v>1.1499999999999999</v>
      </c>
      <c r="J177" s="6">
        <v>1.1499999999999999</v>
      </c>
      <c r="K177" s="6">
        <v>1.1499999999999999</v>
      </c>
      <c r="L177" s="6">
        <v>1.1499999999999999</v>
      </c>
      <c r="M177" s="6">
        <v>1.1499999999999999</v>
      </c>
      <c r="N177" s="6">
        <v>1.1499999999999999</v>
      </c>
      <c r="O177" s="6">
        <v>1.1499999999999999</v>
      </c>
      <c r="P177" s="6">
        <v>1.1499999999999999</v>
      </c>
      <c r="Q177" s="6">
        <v>1.1499999999999999</v>
      </c>
    </row>
    <row r="178" spans="1:17">
      <c r="A178" s="2">
        <v>2126</v>
      </c>
      <c r="B178" s="6">
        <v>1.1879999999999999</v>
      </c>
      <c r="C178" s="6">
        <v>1.1879999999999999</v>
      </c>
      <c r="D178" s="6">
        <v>1.1879999999999999</v>
      </c>
      <c r="E178" s="6">
        <v>1.1879999999999999</v>
      </c>
      <c r="F178" s="6">
        <v>1.1879999999999999</v>
      </c>
      <c r="G178" s="6">
        <v>1.1879999999999999</v>
      </c>
      <c r="H178" s="6">
        <v>1.1879999999999999</v>
      </c>
      <c r="I178" s="6">
        <v>1.1879999999999999</v>
      </c>
      <c r="J178" s="6">
        <v>1.1879999999999999</v>
      </c>
      <c r="K178" s="6">
        <v>1.1879999999999999</v>
      </c>
      <c r="L178" s="6">
        <v>1.1879999999999999</v>
      </c>
      <c r="M178" s="6">
        <v>1.1879999999999999</v>
      </c>
      <c r="N178" s="6">
        <v>1.1879999999999999</v>
      </c>
      <c r="O178" s="6">
        <v>1.1879999999999999</v>
      </c>
      <c r="P178" s="6">
        <v>1.1879999999999999</v>
      </c>
      <c r="Q178" s="6">
        <v>1.1879999999999999</v>
      </c>
    </row>
    <row r="179" spans="1:17">
      <c r="A179" s="2">
        <v>2127</v>
      </c>
      <c r="B179" s="6">
        <v>1.226</v>
      </c>
      <c r="C179" s="6">
        <v>1.226</v>
      </c>
      <c r="D179" s="6">
        <v>1.226</v>
      </c>
      <c r="E179" s="6">
        <v>1.226</v>
      </c>
      <c r="F179" s="6">
        <v>1.226</v>
      </c>
      <c r="G179" s="6">
        <v>1.226</v>
      </c>
      <c r="H179" s="6">
        <v>1.226</v>
      </c>
      <c r="I179" s="6">
        <v>1.226</v>
      </c>
      <c r="J179" s="6">
        <v>1.226</v>
      </c>
      <c r="K179" s="6">
        <v>1.226</v>
      </c>
      <c r="L179" s="6">
        <v>1.226</v>
      </c>
      <c r="M179" s="6">
        <v>1.226</v>
      </c>
      <c r="N179" s="6">
        <v>1.226</v>
      </c>
      <c r="O179" s="6">
        <v>1.226</v>
      </c>
      <c r="P179" s="6">
        <v>1.226</v>
      </c>
      <c r="Q179" s="6">
        <v>1.226</v>
      </c>
    </row>
    <row r="180" spans="1:17">
      <c r="A180" s="2">
        <v>2128</v>
      </c>
      <c r="B180" s="6">
        <v>1.264</v>
      </c>
      <c r="C180" s="6">
        <v>1.264</v>
      </c>
      <c r="D180" s="6">
        <v>1.264</v>
      </c>
      <c r="E180" s="6">
        <v>1.264</v>
      </c>
      <c r="F180" s="6">
        <v>1.264</v>
      </c>
      <c r="G180" s="6">
        <v>1.264</v>
      </c>
      <c r="H180" s="6">
        <v>1.264</v>
      </c>
      <c r="I180" s="6">
        <v>1.264</v>
      </c>
      <c r="J180" s="6">
        <v>1.264</v>
      </c>
      <c r="K180" s="6">
        <v>1.264</v>
      </c>
      <c r="L180" s="6">
        <v>1.264</v>
      </c>
      <c r="M180" s="6">
        <v>1.264</v>
      </c>
      <c r="N180" s="6">
        <v>1.264</v>
      </c>
      <c r="O180" s="6">
        <v>1.264</v>
      </c>
      <c r="P180" s="6">
        <v>1.264</v>
      </c>
      <c r="Q180" s="6">
        <v>1.264</v>
      </c>
    </row>
    <row r="181" spans="1:17">
      <c r="A181" s="2">
        <v>2129</v>
      </c>
      <c r="B181" s="6">
        <v>1.302</v>
      </c>
      <c r="C181" s="6">
        <v>1.302</v>
      </c>
      <c r="D181" s="6">
        <v>1.302</v>
      </c>
      <c r="E181" s="6">
        <v>1.302</v>
      </c>
      <c r="F181" s="6">
        <v>1.302</v>
      </c>
      <c r="G181" s="6">
        <v>1.302</v>
      </c>
      <c r="H181" s="6">
        <v>1.302</v>
      </c>
      <c r="I181" s="6">
        <v>1.302</v>
      </c>
      <c r="J181" s="6">
        <v>1.302</v>
      </c>
      <c r="K181" s="6">
        <v>1.302</v>
      </c>
      <c r="L181" s="6">
        <v>1.302</v>
      </c>
      <c r="M181" s="6">
        <v>1.302</v>
      </c>
      <c r="N181" s="6">
        <v>1.302</v>
      </c>
      <c r="O181" s="6">
        <v>1.302</v>
      </c>
      <c r="P181" s="6">
        <v>1.302</v>
      </c>
      <c r="Q181" s="6">
        <v>1.302</v>
      </c>
    </row>
    <row r="182" spans="1:17">
      <c r="A182" s="2">
        <v>2130</v>
      </c>
      <c r="B182" s="6">
        <v>1.34</v>
      </c>
      <c r="C182" s="6">
        <v>1.34</v>
      </c>
      <c r="D182" s="6">
        <v>1.34</v>
      </c>
      <c r="E182" s="6">
        <v>1.34</v>
      </c>
      <c r="F182" s="6">
        <v>1.34</v>
      </c>
      <c r="G182" s="6">
        <v>1.34</v>
      </c>
      <c r="H182" s="6">
        <v>1.34</v>
      </c>
      <c r="I182" s="6">
        <v>1.34</v>
      </c>
      <c r="J182" s="6">
        <v>1.34</v>
      </c>
      <c r="K182" s="6">
        <v>1.34</v>
      </c>
      <c r="L182" s="6">
        <v>1.34</v>
      </c>
      <c r="M182" s="6">
        <v>1.34</v>
      </c>
      <c r="N182" s="6">
        <v>1.34</v>
      </c>
      <c r="O182" s="6">
        <v>1.34</v>
      </c>
      <c r="P182" s="6">
        <v>1.34</v>
      </c>
      <c r="Q182" s="6">
        <v>1.34</v>
      </c>
    </row>
    <row r="183" spans="1:17">
      <c r="A183" s="2">
        <v>2131</v>
      </c>
      <c r="B183" s="6">
        <v>1.3779999999999999</v>
      </c>
      <c r="C183" s="6">
        <v>1.3779999999999999</v>
      </c>
      <c r="D183" s="6">
        <v>1.3779999999999999</v>
      </c>
      <c r="E183" s="6">
        <v>1.3779999999999999</v>
      </c>
      <c r="F183" s="6">
        <v>1.3779999999999999</v>
      </c>
      <c r="G183" s="6">
        <v>1.3779999999999999</v>
      </c>
      <c r="H183" s="6">
        <v>1.3779999999999999</v>
      </c>
      <c r="I183" s="6">
        <v>1.3779999999999999</v>
      </c>
      <c r="J183" s="6">
        <v>1.3779999999999999</v>
      </c>
      <c r="K183" s="6">
        <v>1.3779999999999999</v>
      </c>
      <c r="L183" s="6">
        <v>1.3779999999999999</v>
      </c>
      <c r="M183" s="6">
        <v>1.3779999999999999</v>
      </c>
      <c r="N183" s="6">
        <v>1.3779999999999999</v>
      </c>
      <c r="O183" s="6">
        <v>1.3779999999999999</v>
      </c>
      <c r="P183" s="6">
        <v>1.3779999999999999</v>
      </c>
      <c r="Q183" s="6">
        <v>1.3779999999999999</v>
      </c>
    </row>
    <row r="184" spans="1:17">
      <c r="A184" s="2">
        <v>2132</v>
      </c>
      <c r="B184" s="6">
        <v>1.4159999999999999</v>
      </c>
      <c r="C184" s="6">
        <v>1.4159999999999999</v>
      </c>
      <c r="D184" s="6">
        <v>1.4159999999999999</v>
      </c>
      <c r="E184" s="6">
        <v>1.4159999999999999</v>
      </c>
      <c r="F184" s="6">
        <v>1.4159999999999999</v>
      </c>
      <c r="G184" s="6">
        <v>1.4159999999999999</v>
      </c>
      <c r="H184" s="6">
        <v>1.4159999999999999</v>
      </c>
      <c r="I184" s="6">
        <v>1.4159999999999999</v>
      </c>
      <c r="J184" s="6">
        <v>1.4159999999999999</v>
      </c>
      <c r="K184" s="6">
        <v>1.4159999999999999</v>
      </c>
      <c r="L184" s="6">
        <v>1.4159999999999999</v>
      </c>
      <c r="M184" s="6">
        <v>1.4159999999999999</v>
      </c>
      <c r="N184" s="6">
        <v>1.4159999999999999</v>
      </c>
      <c r="O184" s="6">
        <v>1.4159999999999999</v>
      </c>
      <c r="P184" s="6">
        <v>1.4159999999999999</v>
      </c>
      <c r="Q184" s="6">
        <v>1.4159999999999999</v>
      </c>
    </row>
    <row r="185" spans="1:17">
      <c r="A185" s="2">
        <v>2133</v>
      </c>
      <c r="B185" s="6">
        <v>1.454</v>
      </c>
      <c r="C185" s="6">
        <v>1.454</v>
      </c>
      <c r="D185" s="6">
        <v>1.454</v>
      </c>
      <c r="E185" s="6">
        <v>1.454</v>
      </c>
      <c r="F185" s="6">
        <v>1.454</v>
      </c>
      <c r="G185" s="6">
        <v>1.454</v>
      </c>
      <c r="H185" s="6">
        <v>1.454</v>
      </c>
      <c r="I185" s="6">
        <v>1.454</v>
      </c>
      <c r="J185" s="6">
        <v>1.454</v>
      </c>
      <c r="K185" s="6">
        <v>1.454</v>
      </c>
      <c r="L185" s="6">
        <v>1.454</v>
      </c>
      <c r="M185" s="6">
        <v>1.454</v>
      </c>
      <c r="N185" s="6">
        <v>1.454</v>
      </c>
      <c r="O185" s="6">
        <v>1.454</v>
      </c>
      <c r="P185" s="6">
        <v>1.454</v>
      </c>
      <c r="Q185" s="6">
        <v>1.454</v>
      </c>
    </row>
    <row r="186" spans="1:17">
      <c r="A186" s="2">
        <v>2134</v>
      </c>
      <c r="B186" s="6">
        <v>1.492</v>
      </c>
      <c r="C186" s="6">
        <v>1.492</v>
      </c>
      <c r="D186" s="6">
        <v>1.492</v>
      </c>
      <c r="E186" s="6">
        <v>1.492</v>
      </c>
      <c r="F186" s="6">
        <v>1.492</v>
      </c>
      <c r="G186" s="6">
        <v>1.492</v>
      </c>
      <c r="H186" s="6">
        <v>1.492</v>
      </c>
      <c r="I186" s="6">
        <v>1.492</v>
      </c>
      <c r="J186" s="6">
        <v>1.492</v>
      </c>
      <c r="K186" s="6">
        <v>1.492</v>
      </c>
      <c r="L186" s="6">
        <v>1.492</v>
      </c>
      <c r="M186" s="6">
        <v>1.492</v>
      </c>
      <c r="N186" s="6">
        <v>1.492</v>
      </c>
      <c r="O186" s="6">
        <v>1.492</v>
      </c>
      <c r="P186" s="6">
        <v>1.492</v>
      </c>
      <c r="Q186" s="6">
        <v>1.492</v>
      </c>
    </row>
    <row r="187" spans="1:17">
      <c r="A187" s="2">
        <v>2135</v>
      </c>
      <c r="B187" s="6">
        <v>1.53</v>
      </c>
      <c r="C187" s="6">
        <v>1.53</v>
      </c>
      <c r="D187" s="6">
        <v>1.53</v>
      </c>
      <c r="E187" s="6">
        <v>1.53</v>
      </c>
      <c r="F187" s="6">
        <v>1.53</v>
      </c>
      <c r="G187" s="6">
        <v>1.53</v>
      </c>
      <c r="H187" s="6">
        <v>1.53</v>
      </c>
      <c r="I187" s="6">
        <v>1.53</v>
      </c>
      <c r="J187" s="6">
        <v>1.53</v>
      </c>
      <c r="K187" s="6">
        <v>1.53</v>
      </c>
      <c r="L187" s="6">
        <v>1.53</v>
      </c>
      <c r="M187" s="6">
        <v>1.53</v>
      </c>
      <c r="N187" s="6">
        <v>1.53</v>
      </c>
      <c r="O187" s="6">
        <v>1.53</v>
      </c>
      <c r="P187" s="6">
        <v>1.53</v>
      </c>
      <c r="Q187" s="6">
        <v>1.53</v>
      </c>
    </row>
    <row r="188" spans="1:17">
      <c r="A188" s="2">
        <v>2136</v>
      </c>
      <c r="B188" s="6">
        <v>1.5680000000000001</v>
      </c>
      <c r="C188" s="6">
        <v>1.5680000000000001</v>
      </c>
      <c r="D188" s="6">
        <v>1.5680000000000001</v>
      </c>
      <c r="E188" s="6">
        <v>1.5680000000000001</v>
      </c>
      <c r="F188" s="6">
        <v>1.5680000000000001</v>
      </c>
      <c r="G188" s="6">
        <v>1.5680000000000001</v>
      </c>
      <c r="H188" s="6">
        <v>1.5680000000000001</v>
      </c>
      <c r="I188" s="6">
        <v>1.5680000000000001</v>
      </c>
      <c r="J188" s="6">
        <v>1.5680000000000001</v>
      </c>
      <c r="K188" s="6">
        <v>1.5680000000000001</v>
      </c>
      <c r="L188" s="6">
        <v>1.5680000000000001</v>
      </c>
      <c r="M188" s="6">
        <v>1.5680000000000001</v>
      </c>
      <c r="N188" s="6">
        <v>1.5680000000000001</v>
      </c>
      <c r="O188" s="6">
        <v>1.5680000000000001</v>
      </c>
      <c r="P188" s="6">
        <v>1.5680000000000001</v>
      </c>
      <c r="Q188" s="6">
        <v>1.5680000000000001</v>
      </c>
    </row>
    <row r="189" spans="1:17">
      <c r="A189" s="2">
        <v>2137</v>
      </c>
      <c r="B189" s="6">
        <v>1.6060000000000001</v>
      </c>
      <c r="C189" s="6">
        <v>1.6060000000000001</v>
      </c>
      <c r="D189" s="6">
        <v>1.6060000000000001</v>
      </c>
      <c r="E189" s="6">
        <v>1.6060000000000001</v>
      </c>
      <c r="F189" s="6">
        <v>1.6060000000000001</v>
      </c>
      <c r="G189" s="6">
        <v>1.6060000000000001</v>
      </c>
      <c r="H189" s="6">
        <v>1.6060000000000001</v>
      </c>
      <c r="I189" s="6">
        <v>1.6060000000000001</v>
      </c>
      <c r="J189" s="6">
        <v>1.6060000000000001</v>
      </c>
      <c r="K189" s="6">
        <v>1.6060000000000001</v>
      </c>
      <c r="L189" s="6">
        <v>1.6060000000000001</v>
      </c>
      <c r="M189" s="6">
        <v>1.6060000000000001</v>
      </c>
      <c r="N189" s="6">
        <v>1.6060000000000001</v>
      </c>
      <c r="O189" s="6">
        <v>1.6060000000000001</v>
      </c>
      <c r="P189" s="6">
        <v>1.6060000000000001</v>
      </c>
      <c r="Q189" s="6">
        <v>1.6060000000000001</v>
      </c>
    </row>
    <row r="190" spans="1:17">
      <c r="A190" s="2">
        <v>2138</v>
      </c>
      <c r="B190" s="6">
        <v>1.6439999999999999</v>
      </c>
      <c r="C190" s="6">
        <v>1.6439999999999999</v>
      </c>
      <c r="D190" s="6">
        <v>1.6439999999999999</v>
      </c>
      <c r="E190" s="6">
        <v>1.6439999999999999</v>
      </c>
      <c r="F190" s="6">
        <v>1.6439999999999999</v>
      </c>
      <c r="G190" s="6">
        <v>1.6439999999999999</v>
      </c>
      <c r="H190" s="6">
        <v>1.6439999999999999</v>
      </c>
      <c r="I190" s="6">
        <v>1.6439999999999999</v>
      </c>
      <c r="J190" s="6">
        <v>1.6439999999999999</v>
      </c>
      <c r="K190" s="6">
        <v>1.6439999999999999</v>
      </c>
      <c r="L190" s="6">
        <v>1.6439999999999999</v>
      </c>
      <c r="M190" s="6">
        <v>1.6439999999999999</v>
      </c>
      <c r="N190" s="6">
        <v>1.6439999999999999</v>
      </c>
      <c r="O190" s="6">
        <v>1.6439999999999999</v>
      </c>
      <c r="P190" s="6">
        <v>1.6439999999999999</v>
      </c>
      <c r="Q190" s="6">
        <v>1.6439999999999999</v>
      </c>
    </row>
    <row r="191" spans="1:17">
      <c r="A191" s="2">
        <v>2139</v>
      </c>
      <c r="B191" s="6">
        <v>1.6819999999999999</v>
      </c>
      <c r="C191" s="6">
        <v>1.6819999999999999</v>
      </c>
      <c r="D191" s="6">
        <v>1.6819999999999999</v>
      </c>
      <c r="E191" s="6">
        <v>1.6819999999999999</v>
      </c>
      <c r="F191" s="6">
        <v>1.6819999999999999</v>
      </c>
      <c r="G191" s="6">
        <v>1.6819999999999999</v>
      </c>
      <c r="H191" s="6">
        <v>1.6819999999999999</v>
      </c>
      <c r="I191" s="6">
        <v>1.6819999999999999</v>
      </c>
      <c r="J191" s="6">
        <v>1.6819999999999999</v>
      </c>
      <c r="K191" s="6">
        <v>1.6819999999999999</v>
      </c>
      <c r="L191" s="6">
        <v>1.6819999999999999</v>
      </c>
      <c r="M191" s="6">
        <v>1.6819999999999999</v>
      </c>
      <c r="N191" s="6">
        <v>1.6819999999999999</v>
      </c>
      <c r="O191" s="6">
        <v>1.6819999999999999</v>
      </c>
      <c r="P191" s="6">
        <v>1.6819999999999999</v>
      </c>
      <c r="Q191" s="6">
        <v>1.6819999999999999</v>
      </c>
    </row>
    <row r="192" spans="1:17">
      <c r="A192" s="2">
        <v>2140</v>
      </c>
      <c r="B192" s="6">
        <v>1.72</v>
      </c>
      <c r="C192" s="6">
        <v>1.72</v>
      </c>
      <c r="D192" s="6">
        <v>1.72</v>
      </c>
      <c r="E192" s="6">
        <v>1.72</v>
      </c>
      <c r="F192" s="6">
        <v>1.72</v>
      </c>
      <c r="G192" s="6">
        <v>1.72</v>
      </c>
      <c r="H192" s="6">
        <v>1.72</v>
      </c>
      <c r="I192" s="6">
        <v>1.72</v>
      </c>
      <c r="J192" s="6">
        <v>1.72</v>
      </c>
      <c r="K192" s="6">
        <v>1.72</v>
      </c>
      <c r="L192" s="6">
        <v>1.72</v>
      </c>
      <c r="M192" s="6">
        <v>1.72</v>
      </c>
      <c r="N192" s="6">
        <v>1.72</v>
      </c>
      <c r="O192" s="6">
        <v>1.72</v>
      </c>
      <c r="P192" s="6">
        <v>1.72</v>
      </c>
      <c r="Q192" s="6">
        <v>1.72</v>
      </c>
    </row>
    <row r="193" spans="1:17">
      <c r="A193" s="2">
        <v>2141</v>
      </c>
      <c r="B193" s="6">
        <v>1.758</v>
      </c>
      <c r="C193" s="6">
        <v>1.758</v>
      </c>
      <c r="D193" s="6">
        <v>1.758</v>
      </c>
      <c r="E193" s="6">
        <v>1.758</v>
      </c>
      <c r="F193" s="6">
        <v>1.758</v>
      </c>
      <c r="G193" s="6">
        <v>1.758</v>
      </c>
      <c r="H193" s="6">
        <v>1.758</v>
      </c>
      <c r="I193" s="6">
        <v>1.758</v>
      </c>
      <c r="J193" s="6">
        <v>1.758</v>
      </c>
      <c r="K193" s="6">
        <v>1.758</v>
      </c>
      <c r="L193" s="6">
        <v>1.758</v>
      </c>
      <c r="M193" s="6">
        <v>1.758</v>
      </c>
      <c r="N193" s="6">
        <v>1.758</v>
      </c>
      <c r="O193" s="6">
        <v>1.758</v>
      </c>
      <c r="P193" s="6">
        <v>1.758</v>
      </c>
      <c r="Q193" s="6">
        <v>1.758</v>
      </c>
    </row>
    <row r="194" spans="1:17">
      <c r="A194" s="2">
        <v>2142</v>
      </c>
      <c r="B194" s="6">
        <v>1.796</v>
      </c>
      <c r="C194" s="6">
        <v>1.796</v>
      </c>
      <c r="D194" s="6">
        <v>1.796</v>
      </c>
      <c r="E194" s="6">
        <v>1.796</v>
      </c>
      <c r="F194" s="6">
        <v>1.796</v>
      </c>
      <c r="G194" s="6">
        <v>1.796</v>
      </c>
      <c r="H194" s="6">
        <v>1.796</v>
      </c>
      <c r="I194" s="6">
        <v>1.796</v>
      </c>
      <c r="J194" s="6">
        <v>1.796</v>
      </c>
      <c r="K194" s="6">
        <v>1.796</v>
      </c>
      <c r="L194" s="6">
        <v>1.796</v>
      </c>
      <c r="M194" s="6">
        <v>1.796</v>
      </c>
      <c r="N194" s="6">
        <v>1.796</v>
      </c>
      <c r="O194" s="6">
        <v>1.796</v>
      </c>
      <c r="P194" s="6">
        <v>1.796</v>
      </c>
      <c r="Q194" s="6">
        <v>1.796</v>
      </c>
    </row>
    <row r="195" spans="1:17">
      <c r="A195" s="2">
        <v>2143</v>
      </c>
      <c r="B195" s="6">
        <v>1.8340000000000001</v>
      </c>
      <c r="C195" s="6">
        <v>1.8340000000000001</v>
      </c>
      <c r="D195" s="6">
        <v>1.8340000000000001</v>
      </c>
      <c r="E195" s="6">
        <v>1.8340000000000001</v>
      </c>
      <c r="F195" s="6">
        <v>1.8340000000000001</v>
      </c>
      <c r="G195" s="6">
        <v>1.8340000000000001</v>
      </c>
      <c r="H195" s="6">
        <v>1.8340000000000001</v>
      </c>
      <c r="I195" s="6">
        <v>1.8340000000000001</v>
      </c>
      <c r="J195" s="6">
        <v>1.8340000000000001</v>
      </c>
      <c r="K195" s="6">
        <v>1.8340000000000001</v>
      </c>
      <c r="L195" s="6">
        <v>1.8340000000000001</v>
      </c>
      <c r="M195" s="6">
        <v>1.8340000000000001</v>
      </c>
      <c r="N195" s="6">
        <v>1.8340000000000001</v>
      </c>
      <c r="O195" s="6">
        <v>1.8340000000000001</v>
      </c>
      <c r="P195" s="6">
        <v>1.8340000000000001</v>
      </c>
      <c r="Q195" s="6">
        <v>1.8340000000000001</v>
      </c>
    </row>
    <row r="196" spans="1:17">
      <c r="A196" s="2">
        <v>2144</v>
      </c>
      <c r="B196" s="6">
        <v>1.8720000000000001</v>
      </c>
      <c r="C196" s="6">
        <v>1.8720000000000001</v>
      </c>
      <c r="D196" s="6">
        <v>1.8720000000000001</v>
      </c>
      <c r="E196" s="6">
        <v>1.8720000000000001</v>
      </c>
      <c r="F196" s="6">
        <v>1.8720000000000001</v>
      </c>
      <c r="G196" s="6">
        <v>1.8720000000000001</v>
      </c>
      <c r="H196" s="6">
        <v>1.8720000000000001</v>
      </c>
      <c r="I196" s="6">
        <v>1.8720000000000001</v>
      </c>
      <c r="J196" s="6">
        <v>1.8720000000000001</v>
      </c>
      <c r="K196" s="6">
        <v>1.8720000000000001</v>
      </c>
      <c r="L196" s="6">
        <v>1.8720000000000001</v>
      </c>
      <c r="M196" s="6">
        <v>1.8720000000000001</v>
      </c>
      <c r="N196" s="6">
        <v>1.8720000000000001</v>
      </c>
      <c r="O196" s="6">
        <v>1.8720000000000001</v>
      </c>
      <c r="P196" s="6">
        <v>1.8720000000000001</v>
      </c>
      <c r="Q196" s="6">
        <v>1.8720000000000001</v>
      </c>
    </row>
    <row r="197" spans="1:17">
      <c r="A197" s="2">
        <v>2145</v>
      </c>
      <c r="B197" s="6">
        <v>1.91</v>
      </c>
      <c r="C197" s="6">
        <v>1.91</v>
      </c>
      <c r="D197" s="6">
        <v>1.91</v>
      </c>
      <c r="E197" s="6">
        <v>1.91</v>
      </c>
      <c r="F197" s="6">
        <v>1.91</v>
      </c>
      <c r="G197" s="6">
        <v>1.91</v>
      </c>
      <c r="H197" s="6">
        <v>1.91</v>
      </c>
      <c r="I197" s="6">
        <v>1.91</v>
      </c>
      <c r="J197" s="6">
        <v>1.91</v>
      </c>
      <c r="K197" s="6">
        <v>1.91</v>
      </c>
      <c r="L197" s="6">
        <v>1.91</v>
      </c>
      <c r="M197" s="6">
        <v>1.91</v>
      </c>
      <c r="N197" s="6">
        <v>1.91</v>
      </c>
      <c r="O197" s="6">
        <v>1.91</v>
      </c>
      <c r="P197" s="6">
        <v>1.91</v>
      </c>
      <c r="Q197" s="6">
        <v>1.91</v>
      </c>
    </row>
    <row r="198" spans="1:17">
      <c r="A198" s="2">
        <v>2146</v>
      </c>
      <c r="B198" s="6">
        <v>1.948</v>
      </c>
      <c r="C198" s="6">
        <v>1.948</v>
      </c>
      <c r="D198" s="6">
        <v>1.948</v>
      </c>
      <c r="E198" s="6">
        <v>1.948</v>
      </c>
      <c r="F198" s="6">
        <v>1.948</v>
      </c>
      <c r="G198" s="6">
        <v>1.948</v>
      </c>
      <c r="H198" s="6">
        <v>1.948</v>
      </c>
      <c r="I198" s="6">
        <v>1.948</v>
      </c>
      <c r="J198" s="6">
        <v>1.948</v>
      </c>
      <c r="K198" s="6">
        <v>1.948</v>
      </c>
      <c r="L198" s="6">
        <v>1.948</v>
      </c>
      <c r="M198" s="6">
        <v>1.948</v>
      </c>
      <c r="N198" s="6">
        <v>1.948</v>
      </c>
      <c r="O198" s="6">
        <v>1.948</v>
      </c>
      <c r="P198" s="6">
        <v>1.948</v>
      </c>
      <c r="Q198" s="6">
        <v>1.948</v>
      </c>
    </row>
    <row r="199" spans="1:17">
      <c r="A199" s="2">
        <v>2147</v>
      </c>
      <c r="B199" s="6">
        <v>1.986</v>
      </c>
      <c r="C199" s="6">
        <v>1.986</v>
      </c>
      <c r="D199" s="6">
        <v>1.986</v>
      </c>
      <c r="E199" s="6">
        <v>1.986</v>
      </c>
      <c r="F199" s="6">
        <v>1.986</v>
      </c>
      <c r="G199" s="6">
        <v>1.986</v>
      </c>
      <c r="H199" s="6">
        <v>1.986</v>
      </c>
      <c r="I199" s="6">
        <v>1.986</v>
      </c>
      <c r="J199" s="6">
        <v>1.986</v>
      </c>
      <c r="K199" s="6">
        <v>1.986</v>
      </c>
      <c r="L199" s="6">
        <v>1.986</v>
      </c>
      <c r="M199" s="6">
        <v>1.986</v>
      </c>
      <c r="N199" s="6">
        <v>1.986</v>
      </c>
      <c r="O199" s="6">
        <v>1.986</v>
      </c>
      <c r="P199" s="6">
        <v>1.986</v>
      </c>
      <c r="Q199" s="6">
        <v>1.986</v>
      </c>
    </row>
    <row r="200" spans="1:17">
      <c r="A200" s="2">
        <v>2148</v>
      </c>
      <c r="B200" s="6">
        <v>2.024</v>
      </c>
      <c r="C200" s="6">
        <v>2.024</v>
      </c>
      <c r="D200" s="6">
        <v>2.024</v>
      </c>
      <c r="E200" s="6">
        <v>2.024</v>
      </c>
      <c r="F200" s="6">
        <v>2.024</v>
      </c>
      <c r="G200" s="6">
        <v>2.024</v>
      </c>
      <c r="H200" s="6">
        <v>2.024</v>
      </c>
      <c r="I200" s="6">
        <v>2.024</v>
      </c>
      <c r="J200" s="6">
        <v>2.024</v>
      </c>
      <c r="K200" s="6">
        <v>2.024</v>
      </c>
      <c r="L200" s="6">
        <v>2.024</v>
      </c>
      <c r="M200" s="6">
        <v>2.024</v>
      </c>
      <c r="N200" s="6">
        <v>2.024</v>
      </c>
      <c r="O200" s="6">
        <v>2.024</v>
      </c>
      <c r="P200" s="6">
        <v>2.024</v>
      </c>
      <c r="Q200" s="6">
        <v>2.024</v>
      </c>
    </row>
    <row r="201" spans="1:17">
      <c r="A201" s="2">
        <v>2149</v>
      </c>
      <c r="B201" s="6">
        <v>2.0619999999999998</v>
      </c>
      <c r="C201" s="6">
        <v>2.0619999999999998</v>
      </c>
      <c r="D201" s="6">
        <v>2.0619999999999998</v>
      </c>
      <c r="E201" s="6">
        <v>2.0619999999999998</v>
      </c>
      <c r="F201" s="6">
        <v>2.0619999999999998</v>
      </c>
      <c r="G201" s="6">
        <v>2.0619999999999998</v>
      </c>
      <c r="H201" s="6">
        <v>2.0619999999999998</v>
      </c>
      <c r="I201" s="6">
        <v>2.0619999999999998</v>
      </c>
      <c r="J201" s="6">
        <v>2.0619999999999998</v>
      </c>
      <c r="K201" s="6">
        <v>2.0619999999999998</v>
      </c>
      <c r="L201" s="6">
        <v>2.0619999999999998</v>
      </c>
      <c r="M201" s="6">
        <v>2.0619999999999998</v>
      </c>
      <c r="N201" s="6">
        <v>2.0619999999999998</v>
      </c>
      <c r="O201" s="6">
        <v>2.0619999999999998</v>
      </c>
      <c r="P201" s="6">
        <v>2.0619999999999998</v>
      </c>
      <c r="Q201" s="6">
        <v>2.0619999999999998</v>
      </c>
    </row>
    <row r="202" spans="1:17">
      <c r="A202" s="2">
        <v>2150</v>
      </c>
      <c r="B202" s="6">
        <v>2.1</v>
      </c>
      <c r="C202" s="6">
        <v>2.1</v>
      </c>
      <c r="D202" s="6">
        <v>2.1</v>
      </c>
      <c r="E202" s="6">
        <v>2.1</v>
      </c>
      <c r="F202" s="6">
        <v>2.1</v>
      </c>
      <c r="G202" s="6">
        <v>2.1</v>
      </c>
      <c r="H202" s="6">
        <v>2.1</v>
      </c>
      <c r="I202" s="6">
        <v>2.1</v>
      </c>
      <c r="J202" s="6">
        <v>2.1</v>
      </c>
      <c r="K202" s="6">
        <v>2.1</v>
      </c>
      <c r="L202" s="6">
        <v>2.1</v>
      </c>
      <c r="M202" s="6">
        <v>2.1</v>
      </c>
      <c r="N202" s="6">
        <v>2.1</v>
      </c>
      <c r="O202" s="6">
        <v>2.1</v>
      </c>
      <c r="P202" s="6">
        <v>2.1</v>
      </c>
      <c r="Q202" s="6">
        <v>2.1</v>
      </c>
    </row>
    <row r="203" spans="1:17">
      <c r="A203" s="2">
        <v>2151</v>
      </c>
      <c r="B203" s="6">
        <v>2.1379999999999999</v>
      </c>
      <c r="C203" s="6">
        <v>2.1379999999999999</v>
      </c>
      <c r="D203" s="6">
        <v>2.1379999999999999</v>
      </c>
      <c r="E203" s="6">
        <v>2.1379999999999999</v>
      </c>
      <c r="F203" s="6">
        <v>2.1379999999999999</v>
      </c>
      <c r="G203" s="6">
        <v>2.1379999999999999</v>
      </c>
      <c r="H203" s="6">
        <v>2.1379999999999999</v>
      </c>
      <c r="I203" s="6">
        <v>2.1379999999999999</v>
      </c>
      <c r="J203" s="6">
        <v>2.1379999999999999</v>
      </c>
      <c r="K203" s="6">
        <v>2.1379999999999999</v>
      </c>
      <c r="L203" s="6">
        <v>2.1379999999999999</v>
      </c>
      <c r="M203" s="6">
        <v>2.1379999999999999</v>
      </c>
      <c r="N203" s="6">
        <v>2.1379999999999999</v>
      </c>
      <c r="O203" s="6">
        <v>2.1379999999999999</v>
      </c>
      <c r="P203" s="6">
        <v>2.1379999999999999</v>
      </c>
      <c r="Q203" s="6">
        <v>2.1379999999999999</v>
      </c>
    </row>
    <row r="204" spans="1:17">
      <c r="A204" s="2">
        <v>2152</v>
      </c>
      <c r="B204" s="6">
        <v>2.1760000000000002</v>
      </c>
      <c r="C204" s="6">
        <v>2.1760000000000002</v>
      </c>
      <c r="D204" s="6">
        <v>2.1760000000000002</v>
      </c>
      <c r="E204" s="6">
        <v>2.1760000000000002</v>
      </c>
      <c r="F204" s="6">
        <v>2.1760000000000002</v>
      </c>
      <c r="G204" s="6">
        <v>2.1760000000000002</v>
      </c>
      <c r="H204" s="6">
        <v>2.1760000000000002</v>
      </c>
      <c r="I204" s="6">
        <v>2.1760000000000002</v>
      </c>
      <c r="J204" s="6">
        <v>2.1760000000000002</v>
      </c>
      <c r="K204" s="6">
        <v>2.1760000000000002</v>
      </c>
      <c r="L204" s="6">
        <v>2.1760000000000002</v>
      </c>
      <c r="M204" s="6">
        <v>2.1760000000000002</v>
      </c>
      <c r="N204" s="6">
        <v>2.1760000000000002</v>
      </c>
      <c r="O204" s="6">
        <v>2.1760000000000002</v>
      </c>
      <c r="P204" s="6">
        <v>2.1760000000000002</v>
      </c>
      <c r="Q204" s="6">
        <v>2.1760000000000002</v>
      </c>
    </row>
    <row r="205" spans="1:17">
      <c r="A205" s="2">
        <v>2153</v>
      </c>
      <c r="B205" s="6">
        <v>2.214</v>
      </c>
      <c r="C205" s="6">
        <v>2.214</v>
      </c>
      <c r="D205" s="6">
        <v>2.214</v>
      </c>
      <c r="E205" s="6">
        <v>2.214</v>
      </c>
      <c r="F205" s="6">
        <v>2.214</v>
      </c>
      <c r="G205" s="6">
        <v>2.214</v>
      </c>
      <c r="H205" s="6">
        <v>2.214</v>
      </c>
      <c r="I205" s="6">
        <v>2.214</v>
      </c>
      <c r="J205" s="6">
        <v>2.214</v>
      </c>
      <c r="K205" s="6">
        <v>2.214</v>
      </c>
      <c r="L205" s="6">
        <v>2.214</v>
      </c>
      <c r="M205" s="6">
        <v>2.214</v>
      </c>
      <c r="N205" s="6">
        <v>2.214</v>
      </c>
      <c r="O205" s="6">
        <v>2.214</v>
      </c>
      <c r="P205" s="6">
        <v>2.214</v>
      </c>
      <c r="Q205" s="6">
        <v>2.214</v>
      </c>
    </row>
    <row r="206" spans="1:17">
      <c r="A206" s="2">
        <v>2154</v>
      </c>
      <c r="B206" s="6">
        <v>2.2519999999999998</v>
      </c>
      <c r="C206" s="6">
        <v>2.2519999999999998</v>
      </c>
      <c r="D206" s="6">
        <v>2.2519999999999998</v>
      </c>
      <c r="E206" s="6">
        <v>2.2519999999999998</v>
      </c>
      <c r="F206" s="6">
        <v>2.2519999999999998</v>
      </c>
      <c r="G206" s="6">
        <v>2.2519999999999998</v>
      </c>
      <c r="H206" s="6">
        <v>2.2519999999999998</v>
      </c>
      <c r="I206" s="6">
        <v>2.2519999999999998</v>
      </c>
      <c r="J206" s="6">
        <v>2.2519999999999998</v>
      </c>
      <c r="K206" s="6">
        <v>2.2519999999999998</v>
      </c>
      <c r="L206" s="6">
        <v>2.2519999999999998</v>
      </c>
      <c r="M206" s="6">
        <v>2.2519999999999998</v>
      </c>
      <c r="N206" s="6">
        <v>2.2519999999999998</v>
      </c>
      <c r="O206" s="6">
        <v>2.2519999999999998</v>
      </c>
      <c r="P206" s="6">
        <v>2.2519999999999998</v>
      </c>
      <c r="Q206" s="6">
        <v>2.2519999999999998</v>
      </c>
    </row>
    <row r="207" spans="1:17">
      <c r="A207" s="2">
        <v>2155</v>
      </c>
      <c r="B207" s="6">
        <v>2.29</v>
      </c>
      <c r="C207" s="6">
        <v>2.29</v>
      </c>
      <c r="D207" s="6">
        <v>2.29</v>
      </c>
      <c r="E207" s="6">
        <v>2.29</v>
      </c>
      <c r="F207" s="6">
        <v>2.29</v>
      </c>
      <c r="G207" s="6">
        <v>2.29</v>
      </c>
      <c r="H207" s="6">
        <v>2.29</v>
      </c>
      <c r="I207" s="6">
        <v>2.29</v>
      </c>
      <c r="J207" s="6">
        <v>2.29</v>
      </c>
      <c r="K207" s="6">
        <v>2.29</v>
      </c>
      <c r="L207" s="6">
        <v>2.29</v>
      </c>
      <c r="M207" s="6">
        <v>2.29</v>
      </c>
      <c r="N207" s="6">
        <v>2.29</v>
      </c>
      <c r="O207" s="6">
        <v>2.29</v>
      </c>
      <c r="P207" s="6">
        <v>2.29</v>
      </c>
      <c r="Q207" s="6">
        <v>2.29</v>
      </c>
    </row>
    <row r="208" spans="1:17">
      <c r="A208" s="2">
        <v>2156</v>
      </c>
      <c r="B208" s="6">
        <v>2.3279999999999998</v>
      </c>
      <c r="C208" s="6">
        <v>2.3279999999999998</v>
      </c>
      <c r="D208" s="6">
        <v>2.3279999999999998</v>
      </c>
      <c r="E208" s="6">
        <v>2.3279999999999998</v>
      </c>
      <c r="F208" s="6">
        <v>2.3279999999999998</v>
      </c>
      <c r="G208" s="6">
        <v>2.3279999999999998</v>
      </c>
      <c r="H208" s="6">
        <v>2.3279999999999998</v>
      </c>
      <c r="I208" s="6">
        <v>2.3279999999999998</v>
      </c>
      <c r="J208" s="6">
        <v>2.3279999999999998</v>
      </c>
      <c r="K208" s="6">
        <v>2.3279999999999998</v>
      </c>
      <c r="L208" s="6">
        <v>2.3279999999999998</v>
      </c>
      <c r="M208" s="6">
        <v>2.3279999999999998</v>
      </c>
      <c r="N208" s="6">
        <v>2.3279999999999998</v>
      </c>
      <c r="O208" s="6">
        <v>2.3279999999999998</v>
      </c>
      <c r="P208" s="6">
        <v>2.3279999999999998</v>
      </c>
      <c r="Q208" s="6">
        <v>2.3279999999999998</v>
      </c>
    </row>
    <row r="209" spans="1:17">
      <c r="A209" s="2">
        <v>2157</v>
      </c>
      <c r="B209" s="6">
        <v>2.3660000000000001</v>
      </c>
      <c r="C209" s="6">
        <v>2.3660000000000001</v>
      </c>
      <c r="D209" s="6">
        <v>2.3660000000000001</v>
      </c>
      <c r="E209" s="6">
        <v>2.3660000000000001</v>
      </c>
      <c r="F209" s="6">
        <v>2.3660000000000001</v>
      </c>
      <c r="G209" s="6">
        <v>2.3660000000000001</v>
      </c>
      <c r="H209" s="6">
        <v>2.3660000000000001</v>
      </c>
      <c r="I209" s="6">
        <v>2.3660000000000001</v>
      </c>
      <c r="J209" s="6">
        <v>2.3660000000000001</v>
      </c>
      <c r="K209" s="6">
        <v>2.3660000000000001</v>
      </c>
      <c r="L209" s="6">
        <v>2.3660000000000001</v>
      </c>
      <c r="M209" s="6">
        <v>2.3660000000000001</v>
      </c>
      <c r="N209" s="6">
        <v>2.3660000000000001</v>
      </c>
      <c r="O209" s="6">
        <v>2.3660000000000001</v>
      </c>
      <c r="P209" s="6">
        <v>2.3660000000000001</v>
      </c>
      <c r="Q209" s="6">
        <v>2.3660000000000001</v>
      </c>
    </row>
    <row r="210" spans="1:17">
      <c r="A210" s="2">
        <v>2158</v>
      </c>
      <c r="B210" s="6">
        <v>2.4039999999999999</v>
      </c>
      <c r="C210" s="6">
        <v>2.4039999999999999</v>
      </c>
      <c r="D210" s="6">
        <v>2.4039999999999999</v>
      </c>
      <c r="E210" s="6">
        <v>2.4039999999999999</v>
      </c>
      <c r="F210" s="6">
        <v>2.4039999999999999</v>
      </c>
      <c r="G210" s="6">
        <v>2.4039999999999999</v>
      </c>
      <c r="H210" s="6">
        <v>2.4039999999999999</v>
      </c>
      <c r="I210" s="6">
        <v>2.4039999999999999</v>
      </c>
      <c r="J210" s="6">
        <v>2.4039999999999999</v>
      </c>
      <c r="K210" s="6">
        <v>2.4039999999999999</v>
      </c>
      <c r="L210" s="6">
        <v>2.4039999999999999</v>
      </c>
      <c r="M210" s="6">
        <v>2.4039999999999999</v>
      </c>
      <c r="N210" s="6">
        <v>2.4039999999999999</v>
      </c>
      <c r="O210" s="6">
        <v>2.4039999999999999</v>
      </c>
      <c r="P210" s="6">
        <v>2.4039999999999999</v>
      </c>
      <c r="Q210" s="6">
        <v>2.4039999999999999</v>
      </c>
    </row>
    <row r="211" spans="1:17">
      <c r="A211" s="2">
        <v>2159</v>
      </c>
      <c r="B211" s="6">
        <v>2.4420000000000002</v>
      </c>
      <c r="C211" s="6">
        <v>2.4420000000000002</v>
      </c>
      <c r="D211" s="6">
        <v>2.4420000000000002</v>
      </c>
      <c r="E211" s="6">
        <v>2.4420000000000002</v>
      </c>
      <c r="F211" s="6">
        <v>2.4420000000000002</v>
      </c>
      <c r="G211" s="6">
        <v>2.4420000000000002</v>
      </c>
      <c r="H211" s="6">
        <v>2.4420000000000002</v>
      </c>
      <c r="I211" s="6">
        <v>2.4420000000000002</v>
      </c>
      <c r="J211" s="6">
        <v>2.4420000000000002</v>
      </c>
      <c r="K211" s="6">
        <v>2.4420000000000002</v>
      </c>
      <c r="L211" s="6">
        <v>2.4420000000000002</v>
      </c>
      <c r="M211" s="6">
        <v>2.4420000000000002</v>
      </c>
      <c r="N211" s="6">
        <v>2.4420000000000002</v>
      </c>
      <c r="O211" s="6">
        <v>2.4420000000000002</v>
      </c>
      <c r="P211" s="6">
        <v>2.4420000000000002</v>
      </c>
      <c r="Q211" s="6">
        <v>2.4420000000000002</v>
      </c>
    </row>
    <row r="212" spans="1:17">
      <c r="A212" s="2">
        <v>2160</v>
      </c>
      <c r="B212" s="6">
        <v>2.48</v>
      </c>
      <c r="C212" s="6">
        <v>2.48</v>
      </c>
      <c r="D212" s="6">
        <v>2.48</v>
      </c>
      <c r="E212" s="6">
        <v>2.48</v>
      </c>
      <c r="F212" s="6">
        <v>2.48</v>
      </c>
      <c r="G212" s="6">
        <v>2.48</v>
      </c>
      <c r="H212" s="6">
        <v>2.48</v>
      </c>
      <c r="I212" s="6">
        <v>2.48</v>
      </c>
      <c r="J212" s="6">
        <v>2.48</v>
      </c>
      <c r="K212" s="6">
        <v>2.48</v>
      </c>
      <c r="L212" s="6">
        <v>2.48</v>
      </c>
      <c r="M212" s="6">
        <v>2.48</v>
      </c>
      <c r="N212" s="6">
        <v>2.48</v>
      </c>
      <c r="O212" s="6">
        <v>2.48</v>
      </c>
      <c r="P212" s="6">
        <v>2.48</v>
      </c>
      <c r="Q212" s="6">
        <v>2.48</v>
      </c>
    </row>
    <row r="213" spans="1:17">
      <c r="A213" s="2">
        <v>2161</v>
      </c>
      <c r="B213" s="6">
        <v>2.5179999999999998</v>
      </c>
      <c r="C213" s="6">
        <v>2.5179999999999998</v>
      </c>
      <c r="D213" s="6">
        <v>2.5179999999999998</v>
      </c>
      <c r="E213" s="6">
        <v>2.5179999999999998</v>
      </c>
      <c r="F213" s="6">
        <v>2.5179999999999998</v>
      </c>
      <c r="G213" s="6">
        <v>2.5179999999999998</v>
      </c>
      <c r="H213" s="6">
        <v>2.5179999999999998</v>
      </c>
      <c r="I213" s="6">
        <v>2.5179999999999998</v>
      </c>
      <c r="J213" s="6">
        <v>2.5179999999999998</v>
      </c>
      <c r="K213" s="6">
        <v>2.5179999999999998</v>
      </c>
      <c r="L213" s="6">
        <v>2.5179999999999998</v>
      </c>
      <c r="M213" s="6">
        <v>2.5179999999999998</v>
      </c>
      <c r="N213" s="6">
        <v>2.5179999999999998</v>
      </c>
      <c r="O213" s="6">
        <v>2.5179999999999998</v>
      </c>
      <c r="P213" s="6">
        <v>2.5179999999999998</v>
      </c>
      <c r="Q213" s="6">
        <v>2.5179999999999998</v>
      </c>
    </row>
    <row r="214" spans="1:17">
      <c r="A214" s="2">
        <v>2162</v>
      </c>
      <c r="B214" s="6">
        <v>2.556</v>
      </c>
      <c r="C214" s="6">
        <v>2.556</v>
      </c>
      <c r="D214" s="6">
        <v>2.556</v>
      </c>
      <c r="E214" s="6">
        <v>2.556</v>
      </c>
      <c r="F214" s="6">
        <v>2.556</v>
      </c>
      <c r="G214" s="6">
        <v>2.556</v>
      </c>
      <c r="H214" s="6">
        <v>2.556</v>
      </c>
      <c r="I214" s="6">
        <v>2.556</v>
      </c>
      <c r="J214" s="6">
        <v>2.556</v>
      </c>
      <c r="K214" s="6">
        <v>2.556</v>
      </c>
      <c r="L214" s="6">
        <v>2.556</v>
      </c>
      <c r="M214" s="6">
        <v>2.556</v>
      </c>
      <c r="N214" s="6">
        <v>2.556</v>
      </c>
      <c r="O214" s="6">
        <v>2.556</v>
      </c>
      <c r="P214" s="6">
        <v>2.556</v>
      </c>
      <c r="Q214" s="6">
        <v>2.556</v>
      </c>
    </row>
    <row r="215" spans="1:17">
      <c r="A215" s="2">
        <v>2163</v>
      </c>
      <c r="B215" s="6">
        <v>2.5939999999999999</v>
      </c>
      <c r="C215" s="6">
        <v>2.5939999999999999</v>
      </c>
      <c r="D215" s="6">
        <v>2.5939999999999999</v>
      </c>
      <c r="E215" s="6">
        <v>2.5939999999999999</v>
      </c>
      <c r="F215" s="6">
        <v>2.5939999999999999</v>
      </c>
      <c r="G215" s="6">
        <v>2.5939999999999999</v>
      </c>
      <c r="H215" s="6">
        <v>2.5939999999999999</v>
      </c>
      <c r="I215" s="6">
        <v>2.5939999999999999</v>
      </c>
      <c r="J215" s="6">
        <v>2.5939999999999999</v>
      </c>
      <c r="K215" s="6">
        <v>2.5939999999999999</v>
      </c>
      <c r="L215" s="6">
        <v>2.5939999999999999</v>
      </c>
      <c r="M215" s="6">
        <v>2.5939999999999999</v>
      </c>
      <c r="N215" s="6">
        <v>2.5939999999999999</v>
      </c>
      <c r="O215" s="6">
        <v>2.5939999999999999</v>
      </c>
      <c r="P215" s="6">
        <v>2.5939999999999999</v>
      </c>
      <c r="Q215" s="6">
        <v>2.5939999999999999</v>
      </c>
    </row>
    <row r="216" spans="1:17">
      <c r="A216" s="2">
        <v>2164</v>
      </c>
      <c r="B216" s="6">
        <v>2.6320000000000001</v>
      </c>
      <c r="C216" s="6">
        <v>2.6320000000000001</v>
      </c>
      <c r="D216" s="6">
        <v>2.6320000000000001</v>
      </c>
      <c r="E216" s="6">
        <v>2.6320000000000001</v>
      </c>
      <c r="F216" s="6">
        <v>2.6320000000000001</v>
      </c>
      <c r="G216" s="6">
        <v>2.6320000000000001</v>
      </c>
      <c r="H216" s="6">
        <v>2.6320000000000001</v>
      </c>
      <c r="I216" s="6">
        <v>2.6320000000000001</v>
      </c>
      <c r="J216" s="6">
        <v>2.6320000000000001</v>
      </c>
      <c r="K216" s="6">
        <v>2.6320000000000001</v>
      </c>
      <c r="L216" s="6">
        <v>2.6320000000000001</v>
      </c>
      <c r="M216" s="6">
        <v>2.6320000000000001</v>
      </c>
      <c r="N216" s="6">
        <v>2.6320000000000001</v>
      </c>
      <c r="O216" s="6">
        <v>2.6320000000000001</v>
      </c>
      <c r="P216" s="6">
        <v>2.6320000000000001</v>
      </c>
      <c r="Q216" s="6">
        <v>2.6320000000000001</v>
      </c>
    </row>
    <row r="217" spans="1:17">
      <c r="A217" s="2">
        <v>2165</v>
      </c>
      <c r="B217" s="6">
        <v>2.67</v>
      </c>
      <c r="C217" s="6">
        <v>2.67</v>
      </c>
      <c r="D217" s="6">
        <v>2.67</v>
      </c>
      <c r="E217" s="6">
        <v>2.67</v>
      </c>
      <c r="F217" s="6">
        <v>2.67</v>
      </c>
      <c r="G217" s="6">
        <v>2.67</v>
      </c>
      <c r="H217" s="6">
        <v>2.67</v>
      </c>
      <c r="I217" s="6">
        <v>2.67</v>
      </c>
      <c r="J217" s="6">
        <v>2.67</v>
      </c>
      <c r="K217" s="6">
        <v>2.67</v>
      </c>
      <c r="L217" s="6">
        <v>2.67</v>
      </c>
      <c r="M217" s="6">
        <v>2.67</v>
      </c>
      <c r="N217" s="6">
        <v>2.67</v>
      </c>
      <c r="O217" s="6">
        <v>2.67</v>
      </c>
      <c r="P217" s="6">
        <v>2.67</v>
      </c>
      <c r="Q217" s="6">
        <v>2.67</v>
      </c>
    </row>
    <row r="218" spans="1:17">
      <c r="A218" s="2">
        <v>2166</v>
      </c>
      <c r="B218" s="6">
        <v>2.7080000000000002</v>
      </c>
      <c r="C218" s="6">
        <v>2.7080000000000002</v>
      </c>
      <c r="D218" s="6">
        <v>2.7080000000000002</v>
      </c>
      <c r="E218" s="6">
        <v>2.7080000000000002</v>
      </c>
      <c r="F218" s="6">
        <v>2.7080000000000002</v>
      </c>
      <c r="G218" s="6">
        <v>2.7080000000000002</v>
      </c>
      <c r="H218" s="6">
        <v>2.7080000000000002</v>
      </c>
      <c r="I218" s="6">
        <v>2.7080000000000002</v>
      </c>
      <c r="J218" s="6">
        <v>2.7080000000000002</v>
      </c>
      <c r="K218" s="6">
        <v>2.7080000000000002</v>
      </c>
      <c r="L218" s="6">
        <v>2.7080000000000002</v>
      </c>
      <c r="M218" s="6">
        <v>2.7080000000000002</v>
      </c>
      <c r="N218" s="6">
        <v>2.7080000000000002</v>
      </c>
      <c r="O218" s="6">
        <v>2.7080000000000002</v>
      </c>
      <c r="P218" s="6">
        <v>2.7080000000000002</v>
      </c>
      <c r="Q218" s="6">
        <v>2.7080000000000002</v>
      </c>
    </row>
    <row r="219" spans="1:17">
      <c r="A219" s="2">
        <v>2167</v>
      </c>
      <c r="B219" s="6">
        <v>2.746</v>
      </c>
      <c r="C219" s="6">
        <v>2.746</v>
      </c>
      <c r="D219" s="6">
        <v>2.746</v>
      </c>
      <c r="E219" s="6">
        <v>2.746</v>
      </c>
      <c r="F219" s="6">
        <v>2.746</v>
      </c>
      <c r="G219" s="6">
        <v>2.746</v>
      </c>
      <c r="H219" s="6">
        <v>2.746</v>
      </c>
      <c r="I219" s="6">
        <v>2.746</v>
      </c>
      <c r="J219" s="6">
        <v>2.746</v>
      </c>
      <c r="K219" s="6">
        <v>2.746</v>
      </c>
      <c r="L219" s="6">
        <v>2.746</v>
      </c>
      <c r="M219" s="6">
        <v>2.746</v>
      </c>
      <c r="N219" s="6">
        <v>2.746</v>
      </c>
      <c r="O219" s="6">
        <v>2.746</v>
      </c>
      <c r="P219" s="6">
        <v>2.746</v>
      </c>
      <c r="Q219" s="6">
        <v>2.746</v>
      </c>
    </row>
    <row r="220" spans="1:17">
      <c r="A220" s="2">
        <v>2168</v>
      </c>
      <c r="B220" s="6">
        <v>2.7839999999999998</v>
      </c>
      <c r="C220" s="6">
        <v>2.7839999999999998</v>
      </c>
      <c r="D220" s="6">
        <v>2.7839999999999998</v>
      </c>
      <c r="E220" s="6">
        <v>2.7839999999999998</v>
      </c>
      <c r="F220" s="6">
        <v>2.7839999999999998</v>
      </c>
      <c r="G220" s="6">
        <v>2.7839999999999998</v>
      </c>
      <c r="H220" s="6">
        <v>2.7839999999999998</v>
      </c>
      <c r="I220" s="6">
        <v>2.7839999999999998</v>
      </c>
      <c r="J220" s="6">
        <v>2.7839999999999998</v>
      </c>
      <c r="K220" s="6">
        <v>2.7839999999999998</v>
      </c>
      <c r="L220" s="6">
        <v>2.7839999999999998</v>
      </c>
      <c r="M220" s="6">
        <v>2.7839999999999998</v>
      </c>
      <c r="N220" s="6">
        <v>2.7839999999999998</v>
      </c>
      <c r="O220" s="6">
        <v>2.7839999999999998</v>
      </c>
      <c r="P220" s="6">
        <v>2.7839999999999998</v>
      </c>
      <c r="Q220" s="6">
        <v>2.7839999999999998</v>
      </c>
    </row>
    <row r="221" spans="1:17">
      <c r="A221" s="2">
        <v>2169</v>
      </c>
      <c r="B221" s="6">
        <v>2.8220000000000001</v>
      </c>
      <c r="C221" s="6">
        <v>2.8220000000000001</v>
      </c>
      <c r="D221" s="6">
        <v>2.8220000000000001</v>
      </c>
      <c r="E221" s="6">
        <v>2.8220000000000001</v>
      </c>
      <c r="F221" s="6">
        <v>2.8220000000000001</v>
      </c>
      <c r="G221" s="6">
        <v>2.8220000000000001</v>
      </c>
      <c r="H221" s="6">
        <v>2.8220000000000001</v>
      </c>
      <c r="I221" s="6">
        <v>2.8220000000000001</v>
      </c>
      <c r="J221" s="6">
        <v>2.8220000000000001</v>
      </c>
      <c r="K221" s="6">
        <v>2.8220000000000001</v>
      </c>
      <c r="L221" s="6">
        <v>2.8220000000000001</v>
      </c>
      <c r="M221" s="6">
        <v>2.8220000000000001</v>
      </c>
      <c r="N221" s="6">
        <v>2.8220000000000001</v>
      </c>
      <c r="O221" s="6">
        <v>2.8220000000000001</v>
      </c>
      <c r="P221" s="6">
        <v>2.8220000000000001</v>
      </c>
      <c r="Q221" s="6">
        <v>2.8220000000000001</v>
      </c>
    </row>
    <row r="222" spans="1:17">
      <c r="A222" s="2">
        <v>2170</v>
      </c>
      <c r="B222" s="6">
        <v>2.86</v>
      </c>
      <c r="C222" s="6">
        <v>2.86</v>
      </c>
      <c r="D222" s="6">
        <v>2.86</v>
      </c>
      <c r="E222" s="6">
        <v>2.86</v>
      </c>
      <c r="F222" s="6">
        <v>2.86</v>
      </c>
      <c r="G222" s="6">
        <v>2.86</v>
      </c>
      <c r="H222" s="6">
        <v>2.86</v>
      </c>
      <c r="I222" s="6">
        <v>2.86</v>
      </c>
      <c r="J222" s="6">
        <v>2.86</v>
      </c>
      <c r="K222" s="6">
        <v>2.86</v>
      </c>
      <c r="L222" s="6">
        <v>2.86</v>
      </c>
      <c r="M222" s="6">
        <v>2.86</v>
      </c>
      <c r="N222" s="6">
        <v>2.86</v>
      </c>
      <c r="O222" s="6">
        <v>2.86</v>
      </c>
      <c r="P222" s="6">
        <v>2.86</v>
      </c>
      <c r="Q222" s="6">
        <v>2.86</v>
      </c>
    </row>
    <row r="223" spans="1:17">
      <c r="A223" s="2">
        <v>2171</v>
      </c>
      <c r="B223" s="6">
        <v>2.8980000000000001</v>
      </c>
      <c r="C223" s="6">
        <v>2.8980000000000001</v>
      </c>
      <c r="D223" s="6">
        <v>2.8980000000000001</v>
      </c>
      <c r="E223" s="6">
        <v>2.8980000000000001</v>
      </c>
      <c r="F223" s="6">
        <v>2.8980000000000001</v>
      </c>
      <c r="G223" s="6">
        <v>2.8980000000000001</v>
      </c>
      <c r="H223" s="6">
        <v>2.8980000000000001</v>
      </c>
      <c r="I223" s="6">
        <v>2.8980000000000001</v>
      </c>
      <c r="J223" s="6">
        <v>2.8980000000000001</v>
      </c>
      <c r="K223" s="6">
        <v>2.8980000000000001</v>
      </c>
      <c r="L223" s="6">
        <v>2.8980000000000001</v>
      </c>
      <c r="M223" s="6">
        <v>2.8980000000000001</v>
      </c>
      <c r="N223" s="6">
        <v>2.8980000000000001</v>
      </c>
      <c r="O223" s="6">
        <v>2.8980000000000001</v>
      </c>
      <c r="P223" s="6">
        <v>2.8980000000000001</v>
      </c>
      <c r="Q223" s="6">
        <v>2.8980000000000001</v>
      </c>
    </row>
    <row r="224" spans="1:17">
      <c r="A224" s="2">
        <v>2172</v>
      </c>
      <c r="B224" s="6">
        <v>2.9359999999999999</v>
      </c>
      <c r="C224" s="6">
        <v>2.9359999999999999</v>
      </c>
      <c r="D224" s="6">
        <v>2.9359999999999999</v>
      </c>
      <c r="E224" s="6">
        <v>2.9359999999999999</v>
      </c>
      <c r="F224" s="6">
        <v>2.9359999999999999</v>
      </c>
      <c r="G224" s="6">
        <v>2.9359999999999999</v>
      </c>
      <c r="H224" s="6">
        <v>2.9359999999999999</v>
      </c>
      <c r="I224" s="6">
        <v>2.9359999999999999</v>
      </c>
      <c r="J224" s="6">
        <v>2.9359999999999999</v>
      </c>
      <c r="K224" s="6">
        <v>2.9359999999999999</v>
      </c>
      <c r="L224" s="6">
        <v>2.9359999999999999</v>
      </c>
      <c r="M224" s="6">
        <v>2.9359999999999999</v>
      </c>
      <c r="N224" s="6">
        <v>2.9359999999999999</v>
      </c>
      <c r="O224" s="6">
        <v>2.9359999999999999</v>
      </c>
      <c r="P224" s="6">
        <v>2.9359999999999999</v>
      </c>
      <c r="Q224" s="6">
        <v>2.9359999999999999</v>
      </c>
    </row>
    <row r="225" spans="1:17">
      <c r="A225" s="2">
        <v>2173</v>
      </c>
      <c r="B225" s="6">
        <v>2.9740000000000002</v>
      </c>
      <c r="C225" s="6">
        <v>2.9740000000000002</v>
      </c>
      <c r="D225" s="6">
        <v>2.9740000000000002</v>
      </c>
      <c r="E225" s="6">
        <v>2.9740000000000002</v>
      </c>
      <c r="F225" s="6">
        <v>2.9740000000000002</v>
      </c>
      <c r="G225" s="6">
        <v>2.9740000000000002</v>
      </c>
      <c r="H225" s="6">
        <v>2.9740000000000002</v>
      </c>
      <c r="I225" s="6">
        <v>2.9740000000000002</v>
      </c>
      <c r="J225" s="6">
        <v>2.9740000000000002</v>
      </c>
      <c r="K225" s="6">
        <v>2.9740000000000002</v>
      </c>
      <c r="L225" s="6">
        <v>2.9740000000000002</v>
      </c>
      <c r="M225" s="6">
        <v>2.9740000000000002</v>
      </c>
      <c r="N225" s="6">
        <v>2.9740000000000002</v>
      </c>
      <c r="O225" s="6">
        <v>2.9740000000000002</v>
      </c>
      <c r="P225" s="6">
        <v>2.9740000000000002</v>
      </c>
      <c r="Q225" s="6">
        <v>2.9740000000000002</v>
      </c>
    </row>
    <row r="226" spans="1:17">
      <c r="A226" s="2">
        <v>2174</v>
      </c>
      <c r="B226" s="6">
        <v>3.012</v>
      </c>
      <c r="C226" s="6">
        <v>3.012</v>
      </c>
      <c r="D226" s="6">
        <v>3.012</v>
      </c>
      <c r="E226" s="6">
        <v>3.012</v>
      </c>
      <c r="F226" s="6">
        <v>3.012</v>
      </c>
      <c r="G226" s="6">
        <v>3.012</v>
      </c>
      <c r="H226" s="6">
        <v>3.012</v>
      </c>
      <c r="I226" s="6">
        <v>3.012</v>
      </c>
      <c r="J226" s="6">
        <v>3.012</v>
      </c>
      <c r="K226" s="6">
        <v>3.012</v>
      </c>
      <c r="L226" s="6">
        <v>3.012</v>
      </c>
      <c r="M226" s="6">
        <v>3.012</v>
      </c>
      <c r="N226" s="6">
        <v>3.012</v>
      </c>
      <c r="O226" s="6">
        <v>3.012</v>
      </c>
      <c r="P226" s="6">
        <v>3.012</v>
      </c>
      <c r="Q226" s="6">
        <v>3.012</v>
      </c>
    </row>
    <row r="227" spans="1:17">
      <c r="A227" s="2">
        <v>2175</v>
      </c>
      <c r="B227" s="6">
        <v>3.05</v>
      </c>
      <c r="C227" s="6">
        <v>3.05</v>
      </c>
      <c r="D227" s="6">
        <v>3.05</v>
      </c>
      <c r="E227" s="6">
        <v>3.05</v>
      </c>
      <c r="F227" s="6">
        <v>3.05</v>
      </c>
      <c r="G227" s="6">
        <v>3.05</v>
      </c>
      <c r="H227" s="6">
        <v>3.05</v>
      </c>
      <c r="I227" s="6">
        <v>3.05</v>
      </c>
      <c r="J227" s="6">
        <v>3.05</v>
      </c>
      <c r="K227" s="6">
        <v>3.05</v>
      </c>
      <c r="L227" s="6">
        <v>3.05</v>
      </c>
      <c r="M227" s="6">
        <v>3.05</v>
      </c>
      <c r="N227" s="6">
        <v>3.05</v>
      </c>
      <c r="O227" s="6">
        <v>3.05</v>
      </c>
      <c r="P227" s="6">
        <v>3.05</v>
      </c>
      <c r="Q227" s="6">
        <v>3.05</v>
      </c>
    </row>
    <row r="228" spans="1:17">
      <c r="A228" s="2">
        <v>2176</v>
      </c>
      <c r="B228" s="6">
        <v>3.0880000000000001</v>
      </c>
      <c r="C228" s="6">
        <v>3.0880000000000001</v>
      </c>
      <c r="D228" s="6">
        <v>3.0880000000000001</v>
      </c>
      <c r="E228" s="6">
        <v>3.0880000000000001</v>
      </c>
      <c r="F228" s="6">
        <v>3.0880000000000001</v>
      </c>
      <c r="G228" s="6">
        <v>3.0880000000000001</v>
      </c>
      <c r="H228" s="6">
        <v>3.0880000000000001</v>
      </c>
      <c r="I228" s="6">
        <v>3.0880000000000001</v>
      </c>
      <c r="J228" s="6">
        <v>3.0880000000000001</v>
      </c>
      <c r="K228" s="6">
        <v>3.0880000000000001</v>
      </c>
      <c r="L228" s="6">
        <v>3.0880000000000001</v>
      </c>
      <c r="M228" s="6">
        <v>3.0880000000000001</v>
      </c>
      <c r="N228" s="6">
        <v>3.0880000000000001</v>
      </c>
      <c r="O228" s="6">
        <v>3.0880000000000001</v>
      </c>
      <c r="P228" s="6">
        <v>3.0880000000000001</v>
      </c>
      <c r="Q228" s="6">
        <v>3.0880000000000001</v>
      </c>
    </row>
    <row r="229" spans="1:17">
      <c r="A229" s="2">
        <v>2177</v>
      </c>
      <c r="B229" s="6">
        <v>3.1259999999999999</v>
      </c>
      <c r="C229" s="6">
        <v>3.1259999999999999</v>
      </c>
      <c r="D229" s="6">
        <v>3.1259999999999999</v>
      </c>
      <c r="E229" s="6">
        <v>3.1259999999999999</v>
      </c>
      <c r="F229" s="6">
        <v>3.1259999999999999</v>
      </c>
      <c r="G229" s="6">
        <v>3.1259999999999999</v>
      </c>
      <c r="H229" s="6">
        <v>3.1259999999999999</v>
      </c>
      <c r="I229" s="6">
        <v>3.1259999999999999</v>
      </c>
      <c r="J229" s="6">
        <v>3.1259999999999999</v>
      </c>
      <c r="K229" s="6">
        <v>3.1259999999999999</v>
      </c>
      <c r="L229" s="6">
        <v>3.1259999999999999</v>
      </c>
      <c r="M229" s="6">
        <v>3.1259999999999999</v>
      </c>
      <c r="N229" s="6">
        <v>3.1259999999999999</v>
      </c>
      <c r="O229" s="6">
        <v>3.1259999999999999</v>
      </c>
      <c r="P229" s="6">
        <v>3.1259999999999999</v>
      </c>
      <c r="Q229" s="6">
        <v>3.1259999999999999</v>
      </c>
    </row>
    <row r="230" spans="1:17">
      <c r="A230" s="2">
        <v>2178</v>
      </c>
      <c r="B230" s="6">
        <v>3.1640000000000001</v>
      </c>
      <c r="C230" s="6">
        <v>3.1640000000000001</v>
      </c>
      <c r="D230" s="6">
        <v>3.1640000000000001</v>
      </c>
      <c r="E230" s="6">
        <v>3.1640000000000001</v>
      </c>
      <c r="F230" s="6">
        <v>3.1640000000000001</v>
      </c>
      <c r="G230" s="6">
        <v>3.1640000000000001</v>
      </c>
      <c r="H230" s="6">
        <v>3.1640000000000001</v>
      </c>
      <c r="I230" s="6">
        <v>3.1640000000000001</v>
      </c>
      <c r="J230" s="6">
        <v>3.1640000000000001</v>
      </c>
      <c r="K230" s="6">
        <v>3.1640000000000001</v>
      </c>
      <c r="L230" s="6">
        <v>3.1640000000000001</v>
      </c>
      <c r="M230" s="6">
        <v>3.1640000000000001</v>
      </c>
      <c r="N230" s="6">
        <v>3.1640000000000001</v>
      </c>
      <c r="O230" s="6">
        <v>3.1640000000000001</v>
      </c>
      <c r="P230" s="6">
        <v>3.1640000000000001</v>
      </c>
      <c r="Q230" s="6">
        <v>3.1640000000000001</v>
      </c>
    </row>
    <row r="231" spans="1:17">
      <c r="A231" s="2">
        <v>2179</v>
      </c>
      <c r="B231" s="6">
        <v>3.202</v>
      </c>
      <c r="C231" s="6">
        <v>3.202</v>
      </c>
      <c r="D231" s="6">
        <v>3.202</v>
      </c>
      <c r="E231" s="6">
        <v>3.202</v>
      </c>
      <c r="F231" s="6">
        <v>3.202</v>
      </c>
      <c r="G231" s="6">
        <v>3.202</v>
      </c>
      <c r="H231" s="6">
        <v>3.202</v>
      </c>
      <c r="I231" s="6">
        <v>3.202</v>
      </c>
      <c r="J231" s="6">
        <v>3.202</v>
      </c>
      <c r="K231" s="6">
        <v>3.202</v>
      </c>
      <c r="L231" s="6">
        <v>3.202</v>
      </c>
      <c r="M231" s="6">
        <v>3.202</v>
      </c>
      <c r="N231" s="6">
        <v>3.202</v>
      </c>
      <c r="O231" s="6">
        <v>3.202</v>
      </c>
      <c r="P231" s="6">
        <v>3.202</v>
      </c>
      <c r="Q231" s="6">
        <v>3.202</v>
      </c>
    </row>
    <row r="232" spans="1:17">
      <c r="A232" s="2">
        <v>2180</v>
      </c>
      <c r="B232" s="6">
        <v>3.24</v>
      </c>
      <c r="C232" s="6">
        <v>3.24</v>
      </c>
      <c r="D232" s="6">
        <v>3.24</v>
      </c>
      <c r="E232" s="6">
        <v>3.24</v>
      </c>
      <c r="F232" s="6">
        <v>3.24</v>
      </c>
      <c r="G232" s="6">
        <v>3.24</v>
      </c>
      <c r="H232" s="6">
        <v>3.24</v>
      </c>
      <c r="I232" s="6">
        <v>3.24</v>
      </c>
      <c r="J232" s="6">
        <v>3.24</v>
      </c>
      <c r="K232" s="6">
        <v>3.24</v>
      </c>
      <c r="L232" s="6">
        <v>3.24</v>
      </c>
      <c r="M232" s="6">
        <v>3.24</v>
      </c>
      <c r="N232" s="6">
        <v>3.24</v>
      </c>
      <c r="O232" s="6">
        <v>3.24</v>
      </c>
      <c r="P232" s="6">
        <v>3.24</v>
      </c>
      <c r="Q232" s="6">
        <v>3.24</v>
      </c>
    </row>
    <row r="233" spans="1:17">
      <c r="A233" s="2">
        <v>2181</v>
      </c>
      <c r="B233" s="6">
        <v>3.278</v>
      </c>
      <c r="C233" s="6">
        <v>3.278</v>
      </c>
      <c r="D233" s="6">
        <v>3.278</v>
      </c>
      <c r="E233" s="6">
        <v>3.278</v>
      </c>
      <c r="F233" s="6">
        <v>3.278</v>
      </c>
      <c r="G233" s="6">
        <v>3.278</v>
      </c>
      <c r="H233" s="6">
        <v>3.278</v>
      </c>
      <c r="I233" s="6">
        <v>3.278</v>
      </c>
      <c r="J233" s="6">
        <v>3.278</v>
      </c>
      <c r="K233" s="6">
        <v>3.278</v>
      </c>
      <c r="L233" s="6">
        <v>3.278</v>
      </c>
      <c r="M233" s="6">
        <v>3.278</v>
      </c>
      <c r="N233" s="6">
        <v>3.278</v>
      </c>
      <c r="O233" s="6">
        <v>3.278</v>
      </c>
      <c r="P233" s="6">
        <v>3.278</v>
      </c>
      <c r="Q233" s="6">
        <v>3.278</v>
      </c>
    </row>
    <row r="234" spans="1:17">
      <c r="A234" s="2">
        <v>2182</v>
      </c>
      <c r="B234" s="6">
        <v>3.3159999999999998</v>
      </c>
      <c r="C234" s="6">
        <v>3.3159999999999998</v>
      </c>
      <c r="D234" s="6">
        <v>3.3159999999999998</v>
      </c>
      <c r="E234" s="6">
        <v>3.3159999999999998</v>
      </c>
      <c r="F234" s="6">
        <v>3.3159999999999998</v>
      </c>
      <c r="G234" s="6">
        <v>3.3159999999999998</v>
      </c>
      <c r="H234" s="6">
        <v>3.3159999999999998</v>
      </c>
      <c r="I234" s="6">
        <v>3.3159999999999998</v>
      </c>
      <c r="J234" s="6">
        <v>3.3159999999999998</v>
      </c>
      <c r="K234" s="6">
        <v>3.3159999999999998</v>
      </c>
      <c r="L234" s="6">
        <v>3.3159999999999998</v>
      </c>
      <c r="M234" s="6">
        <v>3.3159999999999998</v>
      </c>
      <c r="N234" s="6">
        <v>3.3159999999999998</v>
      </c>
      <c r="O234" s="6">
        <v>3.3159999999999998</v>
      </c>
      <c r="P234" s="6">
        <v>3.3159999999999998</v>
      </c>
      <c r="Q234" s="6">
        <v>3.3159999999999998</v>
      </c>
    </row>
    <row r="235" spans="1:17">
      <c r="A235" s="2">
        <v>2183</v>
      </c>
      <c r="B235" s="6">
        <v>3.3540000000000001</v>
      </c>
      <c r="C235" s="6">
        <v>3.3540000000000001</v>
      </c>
      <c r="D235" s="6">
        <v>3.3540000000000001</v>
      </c>
      <c r="E235" s="6">
        <v>3.3540000000000001</v>
      </c>
      <c r="F235" s="6">
        <v>3.3540000000000001</v>
      </c>
      <c r="G235" s="6">
        <v>3.3540000000000001</v>
      </c>
      <c r="H235" s="6">
        <v>3.3540000000000001</v>
      </c>
      <c r="I235" s="6">
        <v>3.3540000000000001</v>
      </c>
      <c r="J235" s="6">
        <v>3.3540000000000001</v>
      </c>
      <c r="K235" s="6">
        <v>3.3540000000000001</v>
      </c>
      <c r="L235" s="6">
        <v>3.3540000000000001</v>
      </c>
      <c r="M235" s="6">
        <v>3.3540000000000001</v>
      </c>
      <c r="N235" s="6">
        <v>3.3540000000000001</v>
      </c>
      <c r="O235" s="6">
        <v>3.3540000000000001</v>
      </c>
      <c r="P235" s="6">
        <v>3.3540000000000001</v>
      </c>
      <c r="Q235" s="6">
        <v>3.3540000000000001</v>
      </c>
    </row>
    <row r="236" spans="1:17">
      <c r="A236" s="2">
        <v>2184</v>
      </c>
      <c r="B236" s="6">
        <v>3.3919999999999999</v>
      </c>
      <c r="C236" s="6">
        <v>3.3919999999999999</v>
      </c>
      <c r="D236" s="6">
        <v>3.3919999999999999</v>
      </c>
      <c r="E236" s="6">
        <v>3.3919999999999999</v>
      </c>
      <c r="F236" s="6">
        <v>3.3919999999999999</v>
      </c>
      <c r="G236" s="6">
        <v>3.3919999999999999</v>
      </c>
      <c r="H236" s="6">
        <v>3.3919999999999999</v>
      </c>
      <c r="I236" s="6">
        <v>3.3919999999999999</v>
      </c>
      <c r="J236" s="6">
        <v>3.3919999999999999</v>
      </c>
      <c r="K236" s="6">
        <v>3.3919999999999999</v>
      </c>
      <c r="L236" s="6">
        <v>3.3919999999999999</v>
      </c>
      <c r="M236" s="6">
        <v>3.3919999999999999</v>
      </c>
      <c r="N236" s="6">
        <v>3.3919999999999999</v>
      </c>
      <c r="O236" s="6">
        <v>3.3919999999999999</v>
      </c>
      <c r="P236" s="6">
        <v>3.3919999999999999</v>
      </c>
      <c r="Q236" s="6">
        <v>3.3919999999999999</v>
      </c>
    </row>
    <row r="237" spans="1:17">
      <c r="A237" s="2">
        <v>2185</v>
      </c>
      <c r="B237" s="6">
        <v>3.43</v>
      </c>
      <c r="C237" s="6">
        <v>3.43</v>
      </c>
      <c r="D237" s="6">
        <v>3.43</v>
      </c>
      <c r="E237" s="6">
        <v>3.43</v>
      </c>
      <c r="F237" s="6">
        <v>3.43</v>
      </c>
      <c r="G237" s="6">
        <v>3.43</v>
      </c>
      <c r="H237" s="6">
        <v>3.43</v>
      </c>
      <c r="I237" s="6">
        <v>3.43</v>
      </c>
      <c r="J237" s="6">
        <v>3.43</v>
      </c>
      <c r="K237" s="6">
        <v>3.43</v>
      </c>
      <c r="L237" s="6">
        <v>3.43</v>
      </c>
      <c r="M237" s="6">
        <v>3.43</v>
      </c>
      <c r="N237" s="6">
        <v>3.43</v>
      </c>
      <c r="O237" s="6">
        <v>3.43</v>
      </c>
      <c r="P237" s="6">
        <v>3.43</v>
      </c>
      <c r="Q237" s="6">
        <v>3.43</v>
      </c>
    </row>
    <row r="238" spans="1:17">
      <c r="A238" s="2">
        <v>2186</v>
      </c>
      <c r="B238" s="6">
        <v>3.468</v>
      </c>
      <c r="C238" s="6">
        <v>3.468</v>
      </c>
      <c r="D238" s="6">
        <v>3.468</v>
      </c>
      <c r="E238" s="6">
        <v>3.468</v>
      </c>
      <c r="F238" s="6">
        <v>3.468</v>
      </c>
      <c r="G238" s="6">
        <v>3.468</v>
      </c>
      <c r="H238" s="6">
        <v>3.468</v>
      </c>
      <c r="I238" s="6">
        <v>3.468</v>
      </c>
      <c r="J238" s="6">
        <v>3.468</v>
      </c>
      <c r="K238" s="6">
        <v>3.468</v>
      </c>
      <c r="L238" s="6">
        <v>3.468</v>
      </c>
      <c r="M238" s="6">
        <v>3.468</v>
      </c>
      <c r="N238" s="6">
        <v>3.468</v>
      </c>
      <c r="O238" s="6">
        <v>3.468</v>
      </c>
      <c r="P238" s="6">
        <v>3.468</v>
      </c>
      <c r="Q238" s="6">
        <v>3.468</v>
      </c>
    </row>
    <row r="239" spans="1:17">
      <c r="A239" s="2">
        <v>2187</v>
      </c>
      <c r="B239" s="6">
        <v>3.5059999999999998</v>
      </c>
      <c r="C239" s="6">
        <v>3.5059999999999998</v>
      </c>
      <c r="D239" s="6">
        <v>3.5059999999999998</v>
      </c>
      <c r="E239" s="6">
        <v>3.5059999999999998</v>
      </c>
      <c r="F239" s="6">
        <v>3.5059999999999998</v>
      </c>
      <c r="G239" s="6">
        <v>3.5059999999999998</v>
      </c>
      <c r="H239" s="6">
        <v>3.5059999999999998</v>
      </c>
      <c r="I239" s="6">
        <v>3.5059999999999998</v>
      </c>
      <c r="J239" s="6">
        <v>3.5059999999999998</v>
      </c>
      <c r="K239" s="6">
        <v>3.5059999999999998</v>
      </c>
      <c r="L239" s="6">
        <v>3.5059999999999998</v>
      </c>
      <c r="M239" s="6">
        <v>3.5059999999999998</v>
      </c>
      <c r="N239" s="6">
        <v>3.5059999999999998</v>
      </c>
      <c r="O239" s="6">
        <v>3.5059999999999998</v>
      </c>
      <c r="P239" s="6">
        <v>3.5059999999999998</v>
      </c>
      <c r="Q239" s="6">
        <v>3.5059999999999998</v>
      </c>
    </row>
    <row r="240" spans="1:17">
      <c r="A240" s="2">
        <v>2188</v>
      </c>
      <c r="B240" s="6">
        <v>3.544</v>
      </c>
      <c r="C240" s="6">
        <v>3.544</v>
      </c>
      <c r="D240" s="6">
        <v>3.544</v>
      </c>
      <c r="E240" s="6">
        <v>3.544</v>
      </c>
      <c r="F240" s="6">
        <v>3.544</v>
      </c>
      <c r="G240" s="6">
        <v>3.544</v>
      </c>
      <c r="H240" s="6">
        <v>3.544</v>
      </c>
      <c r="I240" s="6">
        <v>3.544</v>
      </c>
      <c r="J240" s="6">
        <v>3.544</v>
      </c>
      <c r="K240" s="6">
        <v>3.544</v>
      </c>
      <c r="L240" s="6">
        <v>3.544</v>
      </c>
      <c r="M240" s="6">
        <v>3.544</v>
      </c>
      <c r="N240" s="6">
        <v>3.544</v>
      </c>
      <c r="O240" s="6">
        <v>3.544</v>
      </c>
      <c r="P240" s="6">
        <v>3.544</v>
      </c>
      <c r="Q240" s="6">
        <v>3.544</v>
      </c>
    </row>
    <row r="241" spans="1:17">
      <c r="A241" s="2">
        <v>2189</v>
      </c>
      <c r="B241" s="6">
        <v>3.5819999999999999</v>
      </c>
      <c r="C241" s="6">
        <v>3.5819999999999999</v>
      </c>
      <c r="D241" s="6">
        <v>3.5819999999999999</v>
      </c>
      <c r="E241" s="6">
        <v>3.5819999999999999</v>
      </c>
      <c r="F241" s="6">
        <v>3.5819999999999999</v>
      </c>
      <c r="G241" s="6">
        <v>3.5819999999999999</v>
      </c>
      <c r="H241" s="6">
        <v>3.5819999999999999</v>
      </c>
      <c r="I241" s="6">
        <v>3.5819999999999999</v>
      </c>
      <c r="J241" s="6">
        <v>3.5819999999999999</v>
      </c>
      <c r="K241" s="6">
        <v>3.5819999999999999</v>
      </c>
      <c r="L241" s="6">
        <v>3.5819999999999999</v>
      </c>
      <c r="M241" s="6">
        <v>3.5819999999999999</v>
      </c>
      <c r="N241" s="6">
        <v>3.5819999999999999</v>
      </c>
      <c r="O241" s="6">
        <v>3.5819999999999999</v>
      </c>
      <c r="P241" s="6">
        <v>3.5819999999999999</v>
      </c>
      <c r="Q241" s="6">
        <v>3.5819999999999999</v>
      </c>
    </row>
    <row r="242" spans="1:17">
      <c r="A242" s="2">
        <v>2190</v>
      </c>
      <c r="B242" s="6">
        <v>3.62</v>
      </c>
      <c r="C242" s="6">
        <v>3.62</v>
      </c>
      <c r="D242" s="6">
        <v>3.62</v>
      </c>
      <c r="E242" s="6">
        <v>3.62</v>
      </c>
      <c r="F242" s="6">
        <v>3.62</v>
      </c>
      <c r="G242" s="6">
        <v>3.62</v>
      </c>
      <c r="H242" s="6">
        <v>3.62</v>
      </c>
      <c r="I242" s="6">
        <v>3.62</v>
      </c>
      <c r="J242" s="6">
        <v>3.62</v>
      </c>
      <c r="K242" s="6">
        <v>3.62</v>
      </c>
      <c r="L242" s="6">
        <v>3.62</v>
      </c>
      <c r="M242" s="6">
        <v>3.62</v>
      </c>
      <c r="N242" s="6">
        <v>3.62</v>
      </c>
      <c r="O242" s="6">
        <v>3.62</v>
      </c>
      <c r="P242" s="6">
        <v>3.62</v>
      </c>
      <c r="Q242" s="6">
        <v>3.62</v>
      </c>
    </row>
    <row r="243" spans="1:17">
      <c r="A243" s="2">
        <v>2191</v>
      </c>
      <c r="B243" s="6">
        <v>3.6579999999999999</v>
      </c>
      <c r="C243" s="6">
        <v>3.6579999999999999</v>
      </c>
      <c r="D243" s="6">
        <v>3.6579999999999999</v>
      </c>
      <c r="E243" s="6">
        <v>3.6579999999999999</v>
      </c>
      <c r="F243" s="6">
        <v>3.6579999999999999</v>
      </c>
      <c r="G243" s="6">
        <v>3.6579999999999999</v>
      </c>
      <c r="H243" s="6">
        <v>3.6579999999999999</v>
      </c>
      <c r="I243" s="6">
        <v>3.6579999999999999</v>
      </c>
      <c r="J243" s="6">
        <v>3.6579999999999999</v>
      </c>
      <c r="K243" s="6">
        <v>3.6579999999999999</v>
      </c>
      <c r="L243" s="6">
        <v>3.6579999999999999</v>
      </c>
      <c r="M243" s="6">
        <v>3.6579999999999999</v>
      </c>
      <c r="N243" s="6">
        <v>3.6579999999999999</v>
      </c>
      <c r="O243" s="6">
        <v>3.6579999999999999</v>
      </c>
      <c r="P243" s="6">
        <v>3.6579999999999999</v>
      </c>
      <c r="Q243" s="6">
        <v>3.6579999999999999</v>
      </c>
    </row>
    <row r="244" spans="1:17">
      <c r="A244" s="2">
        <v>2192</v>
      </c>
      <c r="B244" s="6">
        <v>3.6960000000000002</v>
      </c>
      <c r="C244" s="6">
        <v>3.6960000000000002</v>
      </c>
      <c r="D244" s="6">
        <v>3.6960000000000002</v>
      </c>
      <c r="E244" s="6">
        <v>3.6960000000000002</v>
      </c>
      <c r="F244" s="6">
        <v>3.6960000000000002</v>
      </c>
      <c r="G244" s="6">
        <v>3.6960000000000002</v>
      </c>
      <c r="H244" s="6">
        <v>3.6960000000000002</v>
      </c>
      <c r="I244" s="6">
        <v>3.6960000000000002</v>
      </c>
      <c r="J244" s="6">
        <v>3.6960000000000002</v>
      </c>
      <c r="K244" s="6">
        <v>3.6960000000000002</v>
      </c>
      <c r="L244" s="6">
        <v>3.6960000000000002</v>
      </c>
      <c r="M244" s="6">
        <v>3.6960000000000002</v>
      </c>
      <c r="N244" s="6">
        <v>3.6960000000000002</v>
      </c>
      <c r="O244" s="6">
        <v>3.6960000000000002</v>
      </c>
      <c r="P244" s="6">
        <v>3.6960000000000002</v>
      </c>
      <c r="Q244" s="6">
        <v>3.6960000000000002</v>
      </c>
    </row>
    <row r="245" spans="1:17">
      <c r="A245" s="2">
        <v>2193</v>
      </c>
      <c r="B245" s="6">
        <v>3.734</v>
      </c>
      <c r="C245" s="6">
        <v>3.734</v>
      </c>
      <c r="D245" s="6">
        <v>3.734</v>
      </c>
      <c r="E245" s="6">
        <v>3.734</v>
      </c>
      <c r="F245" s="6">
        <v>3.734</v>
      </c>
      <c r="G245" s="6">
        <v>3.734</v>
      </c>
      <c r="H245" s="6">
        <v>3.734</v>
      </c>
      <c r="I245" s="6">
        <v>3.734</v>
      </c>
      <c r="J245" s="6">
        <v>3.734</v>
      </c>
      <c r="K245" s="6">
        <v>3.734</v>
      </c>
      <c r="L245" s="6">
        <v>3.734</v>
      </c>
      <c r="M245" s="6">
        <v>3.734</v>
      </c>
      <c r="N245" s="6">
        <v>3.734</v>
      </c>
      <c r="O245" s="6">
        <v>3.734</v>
      </c>
      <c r="P245" s="6">
        <v>3.734</v>
      </c>
      <c r="Q245" s="6">
        <v>3.734</v>
      </c>
    </row>
    <row r="246" spans="1:17">
      <c r="A246" s="2">
        <v>2194</v>
      </c>
      <c r="B246" s="6">
        <v>3.7719999999999998</v>
      </c>
      <c r="C246" s="6">
        <v>3.7719999999999998</v>
      </c>
      <c r="D246" s="6">
        <v>3.7719999999999998</v>
      </c>
      <c r="E246" s="6">
        <v>3.7719999999999998</v>
      </c>
      <c r="F246" s="6">
        <v>3.7719999999999998</v>
      </c>
      <c r="G246" s="6">
        <v>3.7719999999999998</v>
      </c>
      <c r="H246" s="6">
        <v>3.7719999999999998</v>
      </c>
      <c r="I246" s="6">
        <v>3.7719999999999998</v>
      </c>
      <c r="J246" s="6">
        <v>3.7719999999999998</v>
      </c>
      <c r="K246" s="6">
        <v>3.7719999999999998</v>
      </c>
      <c r="L246" s="6">
        <v>3.7719999999999998</v>
      </c>
      <c r="M246" s="6">
        <v>3.7719999999999998</v>
      </c>
      <c r="N246" s="6">
        <v>3.7719999999999998</v>
      </c>
      <c r="O246" s="6">
        <v>3.7719999999999998</v>
      </c>
      <c r="P246" s="6">
        <v>3.7719999999999998</v>
      </c>
      <c r="Q246" s="6">
        <v>3.7719999999999998</v>
      </c>
    </row>
    <row r="247" spans="1:17">
      <c r="A247" s="2">
        <v>2195</v>
      </c>
      <c r="B247" s="6">
        <v>3.81</v>
      </c>
      <c r="C247" s="6">
        <v>3.81</v>
      </c>
      <c r="D247" s="6">
        <v>3.81</v>
      </c>
      <c r="E247" s="6">
        <v>3.81</v>
      </c>
      <c r="F247" s="6">
        <v>3.81</v>
      </c>
      <c r="G247" s="6">
        <v>3.81</v>
      </c>
      <c r="H247" s="6">
        <v>3.81</v>
      </c>
      <c r="I247" s="6">
        <v>3.81</v>
      </c>
      <c r="J247" s="6">
        <v>3.81</v>
      </c>
      <c r="K247" s="6">
        <v>3.81</v>
      </c>
      <c r="L247" s="6">
        <v>3.81</v>
      </c>
      <c r="M247" s="6">
        <v>3.81</v>
      </c>
      <c r="N247" s="6">
        <v>3.81</v>
      </c>
      <c r="O247" s="6">
        <v>3.81</v>
      </c>
      <c r="P247" s="6">
        <v>3.81</v>
      </c>
      <c r="Q247" s="6">
        <v>3.81</v>
      </c>
    </row>
    <row r="248" spans="1:17">
      <c r="A248" s="2">
        <v>2196</v>
      </c>
      <c r="B248" s="6">
        <v>3.8479999999999999</v>
      </c>
      <c r="C248" s="6">
        <v>3.8479999999999999</v>
      </c>
      <c r="D248" s="6">
        <v>3.8479999999999999</v>
      </c>
      <c r="E248" s="6">
        <v>3.8479999999999999</v>
      </c>
      <c r="F248" s="6">
        <v>3.8479999999999999</v>
      </c>
      <c r="G248" s="6">
        <v>3.8479999999999999</v>
      </c>
      <c r="H248" s="6">
        <v>3.8479999999999999</v>
      </c>
      <c r="I248" s="6">
        <v>3.8479999999999999</v>
      </c>
      <c r="J248" s="6">
        <v>3.8479999999999999</v>
      </c>
      <c r="K248" s="6">
        <v>3.8479999999999999</v>
      </c>
      <c r="L248" s="6">
        <v>3.8479999999999999</v>
      </c>
      <c r="M248" s="6">
        <v>3.8479999999999999</v>
      </c>
      <c r="N248" s="6">
        <v>3.8479999999999999</v>
      </c>
      <c r="O248" s="6">
        <v>3.8479999999999999</v>
      </c>
      <c r="P248" s="6">
        <v>3.8479999999999999</v>
      </c>
      <c r="Q248" s="6">
        <v>3.8479999999999999</v>
      </c>
    </row>
    <row r="249" spans="1:17">
      <c r="A249" s="2">
        <v>2197</v>
      </c>
      <c r="B249" s="6">
        <v>3.8860000000000001</v>
      </c>
      <c r="C249" s="6">
        <v>3.8860000000000001</v>
      </c>
      <c r="D249" s="6">
        <v>3.8860000000000001</v>
      </c>
      <c r="E249" s="6">
        <v>3.8860000000000001</v>
      </c>
      <c r="F249" s="6">
        <v>3.8860000000000001</v>
      </c>
      <c r="G249" s="6">
        <v>3.8860000000000001</v>
      </c>
      <c r="H249" s="6">
        <v>3.8860000000000001</v>
      </c>
      <c r="I249" s="6">
        <v>3.8860000000000001</v>
      </c>
      <c r="J249" s="6">
        <v>3.8860000000000001</v>
      </c>
      <c r="K249" s="6">
        <v>3.8860000000000001</v>
      </c>
      <c r="L249" s="6">
        <v>3.8860000000000001</v>
      </c>
      <c r="M249" s="6">
        <v>3.8860000000000001</v>
      </c>
      <c r="N249" s="6">
        <v>3.8860000000000001</v>
      </c>
      <c r="O249" s="6">
        <v>3.8860000000000001</v>
      </c>
      <c r="P249" s="6">
        <v>3.8860000000000001</v>
      </c>
      <c r="Q249" s="6">
        <v>3.8860000000000001</v>
      </c>
    </row>
    <row r="250" spans="1:17">
      <c r="A250" s="2">
        <v>2198</v>
      </c>
      <c r="B250" s="6">
        <v>3.9239999999999999</v>
      </c>
      <c r="C250" s="6">
        <v>3.9239999999999999</v>
      </c>
      <c r="D250" s="6">
        <v>3.9239999999999999</v>
      </c>
      <c r="E250" s="6">
        <v>3.9239999999999999</v>
      </c>
      <c r="F250" s="6">
        <v>3.9239999999999999</v>
      </c>
      <c r="G250" s="6">
        <v>3.9239999999999999</v>
      </c>
      <c r="H250" s="6">
        <v>3.9239999999999999</v>
      </c>
      <c r="I250" s="6">
        <v>3.9239999999999999</v>
      </c>
      <c r="J250" s="6">
        <v>3.9239999999999999</v>
      </c>
      <c r="K250" s="6">
        <v>3.9239999999999999</v>
      </c>
      <c r="L250" s="6">
        <v>3.9239999999999999</v>
      </c>
      <c r="M250" s="6">
        <v>3.9239999999999999</v>
      </c>
      <c r="N250" s="6">
        <v>3.9239999999999999</v>
      </c>
      <c r="O250" s="6">
        <v>3.9239999999999999</v>
      </c>
      <c r="P250" s="6">
        <v>3.9239999999999999</v>
      </c>
      <c r="Q250" s="6">
        <v>3.9239999999999999</v>
      </c>
    </row>
    <row r="251" spans="1:17">
      <c r="A251" s="2">
        <v>2199</v>
      </c>
      <c r="B251" s="6">
        <v>3.9620000000000002</v>
      </c>
      <c r="C251" s="6">
        <v>3.9620000000000002</v>
      </c>
      <c r="D251" s="6">
        <v>3.9620000000000002</v>
      </c>
      <c r="E251" s="6">
        <v>3.9620000000000002</v>
      </c>
      <c r="F251" s="6">
        <v>3.9620000000000002</v>
      </c>
      <c r="G251" s="6">
        <v>3.9620000000000002</v>
      </c>
      <c r="H251" s="6">
        <v>3.9620000000000002</v>
      </c>
      <c r="I251" s="6">
        <v>3.9620000000000002</v>
      </c>
      <c r="J251" s="6">
        <v>3.9620000000000002</v>
      </c>
      <c r="K251" s="6">
        <v>3.9620000000000002</v>
      </c>
      <c r="L251" s="6">
        <v>3.9620000000000002</v>
      </c>
      <c r="M251" s="6">
        <v>3.9620000000000002</v>
      </c>
      <c r="N251" s="6">
        <v>3.9620000000000002</v>
      </c>
      <c r="O251" s="6">
        <v>3.9620000000000002</v>
      </c>
      <c r="P251" s="6">
        <v>3.9620000000000002</v>
      </c>
      <c r="Q251" s="6">
        <v>3.9620000000000002</v>
      </c>
    </row>
    <row r="252" spans="1:17">
      <c r="A252" s="2">
        <v>2200</v>
      </c>
      <c r="B252" s="6">
        <v>4</v>
      </c>
      <c r="C252" s="6">
        <v>4</v>
      </c>
      <c r="D252" s="6">
        <v>4</v>
      </c>
      <c r="E252" s="6">
        <v>4</v>
      </c>
      <c r="F252" s="6">
        <v>4</v>
      </c>
      <c r="G252" s="6">
        <v>4</v>
      </c>
      <c r="H252" s="6">
        <v>4</v>
      </c>
      <c r="I252" s="6">
        <v>4</v>
      </c>
      <c r="J252" s="6">
        <v>4</v>
      </c>
      <c r="K252" s="6">
        <v>4</v>
      </c>
      <c r="L252" s="6">
        <v>4</v>
      </c>
      <c r="M252" s="6">
        <v>4</v>
      </c>
      <c r="N252" s="6">
        <v>4</v>
      </c>
      <c r="O252" s="6">
        <v>4</v>
      </c>
      <c r="P252" s="6">
        <v>4</v>
      </c>
      <c r="Q252" s="6">
        <v>4</v>
      </c>
    </row>
    <row r="253" spans="1:17">
      <c r="A253" s="2">
        <v>2201</v>
      </c>
      <c r="B253" s="6">
        <v>3.96</v>
      </c>
      <c r="C253" s="6">
        <v>3.96</v>
      </c>
      <c r="D253" s="6">
        <v>3.96</v>
      </c>
      <c r="E253" s="6">
        <v>3.96</v>
      </c>
      <c r="F253" s="6">
        <v>3.96</v>
      </c>
      <c r="G253" s="6">
        <v>3.96</v>
      </c>
      <c r="H253" s="6">
        <v>3.96</v>
      </c>
      <c r="I253" s="6">
        <v>3.96</v>
      </c>
      <c r="J253" s="6">
        <v>3.96</v>
      </c>
      <c r="K253" s="6">
        <v>3.96</v>
      </c>
      <c r="L253" s="6">
        <v>3.96</v>
      </c>
      <c r="M253" s="6">
        <v>3.96</v>
      </c>
      <c r="N253" s="6">
        <v>3.96</v>
      </c>
      <c r="O253" s="6">
        <v>3.96</v>
      </c>
      <c r="P253" s="6">
        <v>3.96</v>
      </c>
      <c r="Q253" s="6">
        <v>3.96</v>
      </c>
    </row>
    <row r="254" spans="1:17">
      <c r="A254" s="2">
        <v>2202</v>
      </c>
      <c r="B254" s="6">
        <v>3.92</v>
      </c>
      <c r="C254" s="6">
        <v>3.92</v>
      </c>
      <c r="D254" s="6">
        <v>3.92</v>
      </c>
      <c r="E254" s="6">
        <v>3.92</v>
      </c>
      <c r="F254" s="6">
        <v>3.92</v>
      </c>
      <c r="G254" s="6">
        <v>3.92</v>
      </c>
      <c r="H254" s="6">
        <v>3.92</v>
      </c>
      <c r="I254" s="6">
        <v>3.92</v>
      </c>
      <c r="J254" s="6">
        <v>3.92</v>
      </c>
      <c r="K254" s="6">
        <v>3.92</v>
      </c>
      <c r="L254" s="6">
        <v>3.92</v>
      </c>
      <c r="M254" s="6">
        <v>3.92</v>
      </c>
      <c r="N254" s="6">
        <v>3.92</v>
      </c>
      <c r="O254" s="6">
        <v>3.92</v>
      </c>
      <c r="P254" s="6">
        <v>3.92</v>
      </c>
      <c r="Q254" s="6">
        <v>3.92</v>
      </c>
    </row>
    <row r="255" spans="1:17">
      <c r="A255" s="2">
        <v>2203</v>
      </c>
      <c r="B255" s="6">
        <v>3.88</v>
      </c>
      <c r="C255" s="6">
        <v>3.88</v>
      </c>
      <c r="D255" s="6">
        <v>3.88</v>
      </c>
      <c r="E255" s="6">
        <v>3.88</v>
      </c>
      <c r="F255" s="6">
        <v>3.88</v>
      </c>
      <c r="G255" s="6">
        <v>3.88</v>
      </c>
      <c r="H255" s="6">
        <v>3.88</v>
      </c>
      <c r="I255" s="6">
        <v>3.88</v>
      </c>
      <c r="J255" s="6">
        <v>3.88</v>
      </c>
      <c r="K255" s="6">
        <v>3.88</v>
      </c>
      <c r="L255" s="6">
        <v>3.88</v>
      </c>
      <c r="M255" s="6">
        <v>3.88</v>
      </c>
      <c r="N255" s="6">
        <v>3.88</v>
      </c>
      <c r="O255" s="6">
        <v>3.88</v>
      </c>
      <c r="P255" s="6">
        <v>3.88</v>
      </c>
      <c r="Q255" s="6">
        <v>3.88</v>
      </c>
    </row>
    <row r="256" spans="1:17">
      <c r="A256" s="2">
        <v>2204</v>
      </c>
      <c r="B256" s="6">
        <v>3.84</v>
      </c>
      <c r="C256" s="6">
        <v>3.84</v>
      </c>
      <c r="D256" s="6">
        <v>3.84</v>
      </c>
      <c r="E256" s="6">
        <v>3.84</v>
      </c>
      <c r="F256" s="6">
        <v>3.84</v>
      </c>
      <c r="G256" s="6">
        <v>3.84</v>
      </c>
      <c r="H256" s="6">
        <v>3.84</v>
      </c>
      <c r="I256" s="6">
        <v>3.84</v>
      </c>
      <c r="J256" s="6">
        <v>3.84</v>
      </c>
      <c r="K256" s="6">
        <v>3.84</v>
      </c>
      <c r="L256" s="6">
        <v>3.84</v>
      </c>
      <c r="M256" s="6">
        <v>3.84</v>
      </c>
      <c r="N256" s="6">
        <v>3.84</v>
      </c>
      <c r="O256" s="6">
        <v>3.84</v>
      </c>
      <c r="P256" s="6">
        <v>3.84</v>
      </c>
      <c r="Q256" s="6">
        <v>3.84</v>
      </c>
    </row>
    <row r="257" spans="1:17">
      <c r="A257" s="2">
        <v>2205</v>
      </c>
      <c r="B257" s="6">
        <v>3.8</v>
      </c>
      <c r="C257" s="6">
        <v>3.8</v>
      </c>
      <c r="D257" s="6">
        <v>3.8</v>
      </c>
      <c r="E257" s="6">
        <v>3.8</v>
      </c>
      <c r="F257" s="6">
        <v>3.8</v>
      </c>
      <c r="G257" s="6">
        <v>3.8</v>
      </c>
      <c r="H257" s="6">
        <v>3.8</v>
      </c>
      <c r="I257" s="6">
        <v>3.8</v>
      </c>
      <c r="J257" s="6">
        <v>3.8</v>
      </c>
      <c r="K257" s="6">
        <v>3.8</v>
      </c>
      <c r="L257" s="6">
        <v>3.8</v>
      </c>
      <c r="M257" s="6">
        <v>3.8</v>
      </c>
      <c r="N257" s="6">
        <v>3.8</v>
      </c>
      <c r="O257" s="6">
        <v>3.8</v>
      </c>
      <c r="P257" s="6">
        <v>3.8</v>
      </c>
      <c r="Q257" s="6">
        <v>3.8</v>
      </c>
    </row>
    <row r="258" spans="1:17">
      <c r="A258" s="2">
        <v>2206</v>
      </c>
      <c r="B258" s="6">
        <v>3.76</v>
      </c>
      <c r="C258" s="6">
        <v>3.76</v>
      </c>
      <c r="D258" s="6">
        <v>3.76</v>
      </c>
      <c r="E258" s="6">
        <v>3.76</v>
      </c>
      <c r="F258" s="6">
        <v>3.76</v>
      </c>
      <c r="G258" s="6">
        <v>3.76</v>
      </c>
      <c r="H258" s="6">
        <v>3.76</v>
      </c>
      <c r="I258" s="6">
        <v>3.76</v>
      </c>
      <c r="J258" s="6">
        <v>3.76</v>
      </c>
      <c r="K258" s="6">
        <v>3.76</v>
      </c>
      <c r="L258" s="6">
        <v>3.76</v>
      </c>
      <c r="M258" s="6">
        <v>3.76</v>
      </c>
      <c r="N258" s="6">
        <v>3.76</v>
      </c>
      <c r="O258" s="6">
        <v>3.76</v>
      </c>
      <c r="P258" s="6">
        <v>3.76</v>
      </c>
      <c r="Q258" s="6">
        <v>3.76</v>
      </c>
    </row>
    <row r="259" spans="1:17">
      <c r="A259" s="2">
        <v>2207</v>
      </c>
      <c r="B259" s="6">
        <v>3.72</v>
      </c>
      <c r="C259" s="6">
        <v>3.72</v>
      </c>
      <c r="D259" s="6">
        <v>3.72</v>
      </c>
      <c r="E259" s="6">
        <v>3.72</v>
      </c>
      <c r="F259" s="6">
        <v>3.72</v>
      </c>
      <c r="G259" s="6">
        <v>3.72</v>
      </c>
      <c r="H259" s="6">
        <v>3.72</v>
      </c>
      <c r="I259" s="6">
        <v>3.72</v>
      </c>
      <c r="J259" s="6">
        <v>3.72</v>
      </c>
      <c r="K259" s="6">
        <v>3.72</v>
      </c>
      <c r="L259" s="6">
        <v>3.72</v>
      </c>
      <c r="M259" s="6">
        <v>3.72</v>
      </c>
      <c r="N259" s="6">
        <v>3.72</v>
      </c>
      <c r="O259" s="6">
        <v>3.72</v>
      </c>
      <c r="P259" s="6">
        <v>3.72</v>
      </c>
      <c r="Q259" s="6">
        <v>3.72</v>
      </c>
    </row>
    <row r="260" spans="1:17">
      <c r="A260" s="2">
        <v>2208</v>
      </c>
      <c r="B260" s="6">
        <v>3.68</v>
      </c>
      <c r="C260" s="6">
        <v>3.68</v>
      </c>
      <c r="D260" s="6">
        <v>3.68</v>
      </c>
      <c r="E260" s="6">
        <v>3.68</v>
      </c>
      <c r="F260" s="6">
        <v>3.68</v>
      </c>
      <c r="G260" s="6">
        <v>3.68</v>
      </c>
      <c r="H260" s="6">
        <v>3.68</v>
      </c>
      <c r="I260" s="6">
        <v>3.68</v>
      </c>
      <c r="J260" s="6">
        <v>3.68</v>
      </c>
      <c r="K260" s="6">
        <v>3.68</v>
      </c>
      <c r="L260" s="6">
        <v>3.68</v>
      </c>
      <c r="M260" s="6">
        <v>3.68</v>
      </c>
      <c r="N260" s="6">
        <v>3.68</v>
      </c>
      <c r="O260" s="6">
        <v>3.68</v>
      </c>
      <c r="P260" s="6">
        <v>3.68</v>
      </c>
      <c r="Q260" s="6">
        <v>3.68</v>
      </c>
    </row>
    <row r="261" spans="1:17">
      <c r="A261" s="2">
        <v>2209</v>
      </c>
      <c r="B261" s="6">
        <v>3.64</v>
      </c>
      <c r="C261" s="6">
        <v>3.64</v>
      </c>
      <c r="D261" s="6">
        <v>3.64</v>
      </c>
      <c r="E261" s="6">
        <v>3.64</v>
      </c>
      <c r="F261" s="6">
        <v>3.64</v>
      </c>
      <c r="G261" s="6">
        <v>3.64</v>
      </c>
      <c r="H261" s="6">
        <v>3.64</v>
      </c>
      <c r="I261" s="6">
        <v>3.64</v>
      </c>
      <c r="J261" s="6">
        <v>3.64</v>
      </c>
      <c r="K261" s="6">
        <v>3.64</v>
      </c>
      <c r="L261" s="6">
        <v>3.64</v>
      </c>
      <c r="M261" s="6">
        <v>3.64</v>
      </c>
      <c r="N261" s="6">
        <v>3.64</v>
      </c>
      <c r="O261" s="6">
        <v>3.64</v>
      </c>
      <c r="P261" s="6">
        <v>3.64</v>
      </c>
      <c r="Q261" s="6">
        <v>3.64</v>
      </c>
    </row>
    <row r="262" spans="1:17">
      <c r="A262" s="2">
        <v>2210</v>
      </c>
      <c r="B262" s="6">
        <v>3.6</v>
      </c>
      <c r="C262" s="6">
        <v>3.6</v>
      </c>
      <c r="D262" s="6">
        <v>3.6</v>
      </c>
      <c r="E262" s="6">
        <v>3.6</v>
      </c>
      <c r="F262" s="6">
        <v>3.6</v>
      </c>
      <c r="G262" s="6">
        <v>3.6</v>
      </c>
      <c r="H262" s="6">
        <v>3.6</v>
      </c>
      <c r="I262" s="6">
        <v>3.6</v>
      </c>
      <c r="J262" s="6">
        <v>3.6</v>
      </c>
      <c r="K262" s="6">
        <v>3.6</v>
      </c>
      <c r="L262" s="6">
        <v>3.6</v>
      </c>
      <c r="M262" s="6">
        <v>3.6</v>
      </c>
      <c r="N262" s="6">
        <v>3.6</v>
      </c>
      <c r="O262" s="6">
        <v>3.6</v>
      </c>
      <c r="P262" s="6">
        <v>3.6</v>
      </c>
      <c r="Q262" s="6">
        <v>3.6</v>
      </c>
    </row>
    <row r="263" spans="1:17">
      <c r="A263" s="2">
        <v>2211</v>
      </c>
      <c r="B263" s="6">
        <v>3.56</v>
      </c>
      <c r="C263" s="6">
        <v>3.56</v>
      </c>
      <c r="D263" s="6">
        <v>3.56</v>
      </c>
      <c r="E263" s="6">
        <v>3.56</v>
      </c>
      <c r="F263" s="6">
        <v>3.56</v>
      </c>
      <c r="G263" s="6">
        <v>3.56</v>
      </c>
      <c r="H263" s="6">
        <v>3.56</v>
      </c>
      <c r="I263" s="6">
        <v>3.56</v>
      </c>
      <c r="J263" s="6">
        <v>3.56</v>
      </c>
      <c r="K263" s="6">
        <v>3.56</v>
      </c>
      <c r="L263" s="6">
        <v>3.56</v>
      </c>
      <c r="M263" s="6">
        <v>3.56</v>
      </c>
      <c r="N263" s="6">
        <v>3.56</v>
      </c>
      <c r="O263" s="6">
        <v>3.56</v>
      </c>
      <c r="P263" s="6">
        <v>3.56</v>
      </c>
      <c r="Q263" s="6">
        <v>3.56</v>
      </c>
    </row>
    <row r="264" spans="1:17">
      <c r="A264" s="2">
        <v>2212</v>
      </c>
      <c r="B264" s="6">
        <v>3.52</v>
      </c>
      <c r="C264" s="6">
        <v>3.52</v>
      </c>
      <c r="D264" s="6">
        <v>3.52</v>
      </c>
      <c r="E264" s="6">
        <v>3.52</v>
      </c>
      <c r="F264" s="6">
        <v>3.52</v>
      </c>
      <c r="G264" s="6">
        <v>3.52</v>
      </c>
      <c r="H264" s="6">
        <v>3.52</v>
      </c>
      <c r="I264" s="6">
        <v>3.52</v>
      </c>
      <c r="J264" s="6">
        <v>3.52</v>
      </c>
      <c r="K264" s="6">
        <v>3.52</v>
      </c>
      <c r="L264" s="6">
        <v>3.52</v>
      </c>
      <c r="M264" s="6">
        <v>3.52</v>
      </c>
      <c r="N264" s="6">
        <v>3.52</v>
      </c>
      <c r="O264" s="6">
        <v>3.52</v>
      </c>
      <c r="P264" s="6">
        <v>3.52</v>
      </c>
      <c r="Q264" s="6">
        <v>3.52</v>
      </c>
    </row>
    <row r="265" spans="1:17">
      <c r="A265" s="2">
        <v>2213</v>
      </c>
      <c r="B265" s="6">
        <v>3.48</v>
      </c>
      <c r="C265" s="6">
        <v>3.48</v>
      </c>
      <c r="D265" s="6">
        <v>3.48</v>
      </c>
      <c r="E265" s="6">
        <v>3.48</v>
      </c>
      <c r="F265" s="6">
        <v>3.48</v>
      </c>
      <c r="G265" s="6">
        <v>3.48</v>
      </c>
      <c r="H265" s="6">
        <v>3.48</v>
      </c>
      <c r="I265" s="6">
        <v>3.48</v>
      </c>
      <c r="J265" s="6">
        <v>3.48</v>
      </c>
      <c r="K265" s="6">
        <v>3.48</v>
      </c>
      <c r="L265" s="6">
        <v>3.48</v>
      </c>
      <c r="M265" s="6">
        <v>3.48</v>
      </c>
      <c r="N265" s="6">
        <v>3.48</v>
      </c>
      <c r="O265" s="6">
        <v>3.48</v>
      </c>
      <c r="P265" s="6">
        <v>3.48</v>
      </c>
      <c r="Q265" s="6">
        <v>3.48</v>
      </c>
    </row>
    <row r="266" spans="1:17">
      <c r="A266" s="2">
        <v>2214</v>
      </c>
      <c r="B266" s="6">
        <v>3.44</v>
      </c>
      <c r="C266" s="6">
        <v>3.44</v>
      </c>
      <c r="D266" s="6">
        <v>3.44</v>
      </c>
      <c r="E266" s="6">
        <v>3.44</v>
      </c>
      <c r="F266" s="6">
        <v>3.44</v>
      </c>
      <c r="G266" s="6">
        <v>3.44</v>
      </c>
      <c r="H266" s="6">
        <v>3.44</v>
      </c>
      <c r="I266" s="6">
        <v>3.44</v>
      </c>
      <c r="J266" s="6">
        <v>3.44</v>
      </c>
      <c r="K266" s="6">
        <v>3.44</v>
      </c>
      <c r="L266" s="6">
        <v>3.44</v>
      </c>
      <c r="M266" s="6">
        <v>3.44</v>
      </c>
      <c r="N266" s="6">
        <v>3.44</v>
      </c>
      <c r="O266" s="6">
        <v>3.44</v>
      </c>
      <c r="P266" s="6">
        <v>3.44</v>
      </c>
      <c r="Q266" s="6">
        <v>3.44</v>
      </c>
    </row>
    <row r="267" spans="1:17">
      <c r="A267" s="2">
        <v>2215</v>
      </c>
      <c r="B267" s="6">
        <v>3.4</v>
      </c>
      <c r="C267" s="6">
        <v>3.4</v>
      </c>
      <c r="D267" s="6">
        <v>3.4</v>
      </c>
      <c r="E267" s="6">
        <v>3.4</v>
      </c>
      <c r="F267" s="6">
        <v>3.4</v>
      </c>
      <c r="G267" s="6">
        <v>3.4</v>
      </c>
      <c r="H267" s="6">
        <v>3.4</v>
      </c>
      <c r="I267" s="6">
        <v>3.4</v>
      </c>
      <c r="J267" s="6">
        <v>3.4</v>
      </c>
      <c r="K267" s="6">
        <v>3.4</v>
      </c>
      <c r="L267" s="6">
        <v>3.4</v>
      </c>
      <c r="M267" s="6">
        <v>3.4</v>
      </c>
      <c r="N267" s="6">
        <v>3.4</v>
      </c>
      <c r="O267" s="6">
        <v>3.4</v>
      </c>
      <c r="P267" s="6">
        <v>3.4</v>
      </c>
      <c r="Q267" s="6">
        <v>3.4</v>
      </c>
    </row>
    <row r="268" spans="1:17">
      <c r="A268" s="2">
        <v>2216</v>
      </c>
      <c r="B268" s="6">
        <v>3.36</v>
      </c>
      <c r="C268" s="6">
        <v>3.36</v>
      </c>
      <c r="D268" s="6">
        <v>3.36</v>
      </c>
      <c r="E268" s="6">
        <v>3.36</v>
      </c>
      <c r="F268" s="6">
        <v>3.36</v>
      </c>
      <c r="G268" s="6">
        <v>3.36</v>
      </c>
      <c r="H268" s="6">
        <v>3.36</v>
      </c>
      <c r="I268" s="6">
        <v>3.36</v>
      </c>
      <c r="J268" s="6">
        <v>3.36</v>
      </c>
      <c r="K268" s="6">
        <v>3.36</v>
      </c>
      <c r="L268" s="6">
        <v>3.36</v>
      </c>
      <c r="M268" s="6">
        <v>3.36</v>
      </c>
      <c r="N268" s="6">
        <v>3.36</v>
      </c>
      <c r="O268" s="6">
        <v>3.36</v>
      </c>
      <c r="P268" s="6">
        <v>3.36</v>
      </c>
      <c r="Q268" s="6">
        <v>3.36</v>
      </c>
    </row>
    <row r="269" spans="1:17">
      <c r="A269" s="2">
        <v>2217</v>
      </c>
      <c r="B269" s="6">
        <v>3.32</v>
      </c>
      <c r="C269" s="6">
        <v>3.32</v>
      </c>
      <c r="D269" s="6">
        <v>3.32</v>
      </c>
      <c r="E269" s="6">
        <v>3.32</v>
      </c>
      <c r="F269" s="6">
        <v>3.32</v>
      </c>
      <c r="G269" s="6">
        <v>3.32</v>
      </c>
      <c r="H269" s="6">
        <v>3.32</v>
      </c>
      <c r="I269" s="6">
        <v>3.32</v>
      </c>
      <c r="J269" s="6">
        <v>3.32</v>
      </c>
      <c r="K269" s="6">
        <v>3.32</v>
      </c>
      <c r="L269" s="6">
        <v>3.32</v>
      </c>
      <c r="M269" s="6">
        <v>3.32</v>
      </c>
      <c r="N269" s="6">
        <v>3.32</v>
      </c>
      <c r="O269" s="6">
        <v>3.32</v>
      </c>
      <c r="P269" s="6">
        <v>3.32</v>
      </c>
      <c r="Q269" s="6">
        <v>3.32</v>
      </c>
    </row>
    <row r="270" spans="1:17">
      <c r="A270" s="2">
        <v>2218</v>
      </c>
      <c r="B270" s="6">
        <v>3.28</v>
      </c>
      <c r="C270" s="6">
        <v>3.28</v>
      </c>
      <c r="D270" s="6">
        <v>3.28</v>
      </c>
      <c r="E270" s="6">
        <v>3.28</v>
      </c>
      <c r="F270" s="6">
        <v>3.28</v>
      </c>
      <c r="G270" s="6">
        <v>3.28</v>
      </c>
      <c r="H270" s="6">
        <v>3.28</v>
      </c>
      <c r="I270" s="6">
        <v>3.28</v>
      </c>
      <c r="J270" s="6">
        <v>3.28</v>
      </c>
      <c r="K270" s="6">
        <v>3.28</v>
      </c>
      <c r="L270" s="6">
        <v>3.28</v>
      </c>
      <c r="M270" s="6">
        <v>3.28</v>
      </c>
      <c r="N270" s="6">
        <v>3.28</v>
      </c>
      <c r="O270" s="6">
        <v>3.28</v>
      </c>
      <c r="P270" s="6">
        <v>3.28</v>
      </c>
      <c r="Q270" s="6">
        <v>3.28</v>
      </c>
    </row>
    <row r="271" spans="1:17">
      <c r="A271" s="2">
        <v>2219</v>
      </c>
      <c r="B271" s="6">
        <v>3.24</v>
      </c>
      <c r="C271" s="6">
        <v>3.24</v>
      </c>
      <c r="D271" s="6">
        <v>3.24</v>
      </c>
      <c r="E271" s="6">
        <v>3.24</v>
      </c>
      <c r="F271" s="6">
        <v>3.24</v>
      </c>
      <c r="G271" s="6">
        <v>3.24</v>
      </c>
      <c r="H271" s="6">
        <v>3.24</v>
      </c>
      <c r="I271" s="6">
        <v>3.24</v>
      </c>
      <c r="J271" s="6">
        <v>3.24</v>
      </c>
      <c r="K271" s="6">
        <v>3.24</v>
      </c>
      <c r="L271" s="6">
        <v>3.24</v>
      </c>
      <c r="M271" s="6">
        <v>3.24</v>
      </c>
      <c r="N271" s="6">
        <v>3.24</v>
      </c>
      <c r="O271" s="6">
        <v>3.24</v>
      </c>
      <c r="P271" s="6">
        <v>3.24</v>
      </c>
      <c r="Q271" s="6">
        <v>3.24</v>
      </c>
    </row>
    <row r="272" spans="1:17">
      <c r="A272" s="2">
        <v>2220</v>
      </c>
      <c r="B272" s="6">
        <v>3.2</v>
      </c>
      <c r="C272" s="6">
        <v>3.2</v>
      </c>
      <c r="D272" s="6">
        <v>3.2</v>
      </c>
      <c r="E272" s="6">
        <v>3.2</v>
      </c>
      <c r="F272" s="6">
        <v>3.2</v>
      </c>
      <c r="G272" s="6">
        <v>3.2</v>
      </c>
      <c r="H272" s="6">
        <v>3.2</v>
      </c>
      <c r="I272" s="6">
        <v>3.2</v>
      </c>
      <c r="J272" s="6">
        <v>3.2</v>
      </c>
      <c r="K272" s="6">
        <v>3.2</v>
      </c>
      <c r="L272" s="6">
        <v>3.2</v>
      </c>
      <c r="M272" s="6">
        <v>3.2</v>
      </c>
      <c r="N272" s="6">
        <v>3.2</v>
      </c>
      <c r="O272" s="6">
        <v>3.2</v>
      </c>
      <c r="P272" s="6">
        <v>3.2</v>
      </c>
      <c r="Q272" s="6">
        <v>3.2</v>
      </c>
    </row>
    <row r="273" spans="1:17">
      <c r="A273" s="2">
        <v>2221</v>
      </c>
      <c r="B273" s="6">
        <v>3.16</v>
      </c>
      <c r="C273" s="6">
        <v>3.16</v>
      </c>
      <c r="D273" s="6">
        <v>3.16</v>
      </c>
      <c r="E273" s="6">
        <v>3.16</v>
      </c>
      <c r="F273" s="6">
        <v>3.16</v>
      </c>
      <c r="G273" s="6">
        <v>3.16</v>
      </c>
      <c r="H273" s="6">
        <v>3.16</v>
      </c>
      <c r="I273" s="6">
        <v>3.16</v>
      </c>
      <c r="J273" s="6">
        <v>3.16</v>
      </c>
      <c r="K273" s="6">
        <v>3.16</v>
      </c>
      <c r="L273" s="6">
        <v>3.16</v>
      </c>
      <c r="M273" s="6">
        <v>3.16</v>
      </c>
      <c r="N273" s="6">
        <v>3.16</v>
      </c>
      <c r="O273" s="6">
        <v>3.16</v>
      </c>
      <c r="P273" s="6">
        <v>3.16</v>
      </c>
      <c r="Q273" s="6">
        <v>3.16</v>
      </c>
    </row>
    <row r="274" spans="1:17">
      <c r="A274" s="2">
        <v>2222</v>
      </c>
      <c r="B274" s="6">
        <v>3.12</v>
      </c>
      <c r="C274" s="6">
        <v>3.12</v>
      </c>
      <c r="D274" s="6">
        <v>3.12</v>
      </c>
      <c r="E274" s="6">
        <v>3.12</v>
      </c>
      <c r="F274" s="6">
        <v>3.12</v>
      </c>
      <c r="G274" s="6">
        <v>3.12</v>
      </c>
      <c r="H274" s="6">
        <v>3.12</v>
      </c>
      <c r="I274" s="6">
        <v>3.12</v>
      </c>
      <c r="J274" s="6">
        <v>3.12</v>
      </c>
      <c r="K274" s="6">
        <v>3.12</v>
      </c>
      <c r="L274" s="6">
        <v>3.12</v>
      </c>
      <c r="M274" s="6">
        <v>3.12</v>
      </c>
      <c r="N274" s="6">
        <v>3.12</v>
      </c>
      <c r="O274" s="6">
        <v>3.12</v>
      </c>
      <c r="P274" s="6">
        <v>3.12</v>
      </c>
      <c r="Q274" s="6">
        <v>3.12</v>
      </c>
    </row>
    <row r="275" spans="1:17">
      <c r="A275" s="2">
        <v>2223</v>
      </c>
      <c r="B275" s="6">
        <v>3.08</v>
      </c>
      <c r="C275" s="6">
        <v>3.08</v>
      </c>
      <c r="D275" s="6">
        <v>3.08</v>
      </c>
      <c r="E275" s="6">
        <v>3.08</v>
      </c>
      <c r="F275" s="6">
        <v>3.08</v>
      </c>
      <c r="G275" s="6">
        <v>3.08</v>
      </c>
      <c r="H275" s="6">
        <v>3.08</v>
      </c>
      <c r="I275" s="6">
        <v>3.08</v>
      </c>
      <c r="J275" s="6">
        <v>3.08</v>
      </c>
      <c r="K275" s="6">
        <v>3.08</v>
      </c>
      <c r="L275" s="6">
        <v>3.08</v>
      </c>
      <c r="M275" s="6">
        <v>3.08</v>
      </c>
      <c r="N275" s="6">
        <v>3.08</v>
      </c>
      <c r="O275" s="6">
        <v>3.08</v>
      </c>
      <c r="P275" s="6">
        <v>3.08</v>
      </c>
      <c r="Q275" s="6">
        <v>3.08</v>
      </c>
    </row>
    <row r="276" spans="1:17">
      <c r="A276" s="2">
        <v>2224</v>
      </c>
      <c r="B276" s="6">
        <v>3.04</v>
      </c>
      <c r="C276" s="6">
        <v>3.04</v>
      </c>
      <c r="D276" s="6">
        <v>3.04</v>
      </c>
      <c r="E276" s="6">
        <v>3.04</v>
      </c>
      <c r="F276" s="6">
        <v>3.04</v>
      </c>
      <c r="G276" s="6">
        <v>3.04</v>
      </c>
      <c r="H276" s="6">
        <v>3.04</v>
      </c>
      <c r="I276" s="6">
        <v>3.04</v>
      </c>
      <c r="J276" s="6">
        <v>3.04</v>
      </c>
      <c r="K276" s="6">
        <v>3.04</v>
      </c>
      <c r="L276" s="6">
        <v>3.04</v>
      </c>
      <c r="M276" s="6">
        <v>3.04</v>
      </c>
      <c r="N276" s="6">
        <v>3.04</v>
      </c>
      <c r="O276" s="6">
        <v>3.04</v>
      </c>
      <c r="P276" s="6">
        <v>3.04</v>
      </c>
      <c r="Q276" s="6">
        <v>3.04</v>
      </c>
    </row>
    <row r="277" spans="1:17">
      <c r="A277" s="2">
        <v>2225</v>
      </c>
      <c r="B277" s="6">
        <v>3</v>
      </c>
      <c r="C277" s="6">
        <v>3</v>
      </c>
      <c r="D277" s="6">
        <v>3</v>
      </c>
      <c r="E277" s="6">
        <v>3</v>
      </c>
      <c r="F277" s="6">
        <v>3</v>
      </c>
      <c r="G277" s="6">
        <v>3</v>
      </c>
      <c r="H277" s="6">
        <v>3</v>
      </c>
      <c r="I277" s="6">
        <v>3</v>
      </c>
      <c r="J277" s="6">
        <v>3</v>
      </c>
      <c r="K277" s="6">
        <v>3</v>
      </c>
      <c r="L277" s="6">
        <v>3</v>
      </c>
      <c r="M277" s="6">
        <v>3</v>
      </c>
      <c r="N277" s="6">
        <v>3</v>
      </c>
      <c r="O277" s="6">
        <v>3</v>
      </c>
      <c r="P277" s="6">
        <v>3</v>
      </c>
      <c r="Q277" s="6">
        <v>3</v>
      </c>
    </row>
    <row r="278" spans="1:17">
      <c r="A278" s="2">
        <v>2226</v>
      </c>
      <c r="B278" s="6">
        <v>2.96</v>
      </c>
      <c r="C278" s="6">
        <v>2.96</v>
      </c>
      <c r="D278" s="6">
        <v>2.96</v>
      </c>
      <c r="E278" s="6">
        <v>2.96</v>
      </c>
      <c r="F278" s="6">
        <v>2.96</v>
      </c>
      <c r="G278" s="6">
        <v>2.96</v>
      </c>
      <c r="H278" s="6">
        <v>2.96</v>
      </c>
      <c r="I278" s="6">
        <v>2.96</v>
      </c>
      <c r="J278" s="6">
        <v>2.96</v>
      </c>
      <c r="K278" s="6">
        <v>2.96</v>
      </c>
      <c r="L278" s="6">
        <v>2.96</v>
      </c>
      <c r="M278" s="6">
        <v>2.96</v>
      </c>
      <c r="N278" s="6">
        <v>2.96</v>
      </c>
      <c r="O278" s="6">
        <v>2.96</v>
      </c>
      <c r="P278" s="6">
        <v>2.96</v>
      </c>
      <c r="Q278" s="6">
        <v>2.96</v>
      </c>
    </row>
    <row r="279" spans="1:17">
      <c r="A279" s="2">
        <v>2227</v>
      </c>
      <c r="B279" s="6">
        <v>2.92</v>
      </c>
      <c r="C279" s="6">
        <v>2.92</v>
      </c>
      <c r="D279" s="6">
        <v>2.92</v>
      </c>
      <c r="E279" s="6">
        <v>2.92</v>
      </c>
      <c r="F279" s="6">
        <v>2.92</v>
      </c>
      <c r="G279" s="6">
        <v>2.92</v>
      </c>
      <c r="H279" s="6">
        <v>2.92</v>
      </c>
      <c r="I279" s="6">
        <v>2.92</v>
      </c>
      <c r="J279" s="6">
        <v>2.92</v>
      </c>
      <c r="K279" s="6">
        <v>2.92</v>
      </c>
      <c r="L279" s="6">
        <v>2.92</v>
      </c>
      <c r="M279" s="6">
        <v>2.92</v>
      </c>
      <c r="N279" s="6">
        <v>2.92</v>
      </c>
      <c r="O279" s="6">
        <v>2.92</v>
      </c>
      <c r="P279" s="6">
        <v>2.92</v>
      </c>
      <c r="Q279" s="6">
        <v>2.92</v>
      </c>
    </row>
    <row r="280" spans="1:17">
      <c r="A280" s="2">
        <v>2228</v>
      </c>
      <c r="B280" s="6">
        <v>2.88</v>
      </c>
      <c r="C280" s="6">
        <v>2.88</v>
      </c>
      <c r="D280" s="6">
        <v>2.88</v>
      </c>
      <c r="E280" s="6">
        <v>2.88</v>
      </c>
      <c r="F280" s="6">
        <v>2.88</v>
      </c>
      <c r="G280" s="6">
        <v>2.88</v>
      </c>
      <c r="H280" s="6">
        <v>2.88</v>
      </c>
      <c r="I280" s="6">
        <v>2.88</v>
      </c>
      <c r="J280" s="6">
        <v>2.88</v>
      </c>
      <c r="K280" s="6">
        <v>2.88</v>
      </c>
      <c r="L280" s="6">
        <v>2.88</v>
      </c>
      <c r="M280" s="6">
        <v>2.88</v>
      </c>
      <c r="N280" s="6">
        <v>2.88</v>
      </c>
      <c r="O280" s="6">
        <v>2.88</v>
      </c>
      <c r="P280" s="6">
        <v>2.88</v>
      </c>
      <c r="Q280" s="6">
        <v>2.88</v>
      </c>
    </row>
    <row r="281" spans="1:17">
      <c r="A281" s="2">
        <v>2229</v>
      </c>
      <c r="B281" s="6">
        <v>2.84</v>
      </c>
      <c r="C281" s="6">
        <v>2.84</v>
      </c>
      <c r="D281" s="6">
        <v>2.84</v>
      </c>
      <c r="E281" s="6">
        <v>2.84</v>
      </c>
      <c r="F281" s="6">
        <v>2.84</v>
      </c>
      <c r="G281" s="6">
        <v>2.84</v>
      </c>
      <c r="H281" s="6">
        <v>2.84</v>
      </c>
      <c r="I281" s="6">
        <v>2.84</v>
      </c>
      <c r="J281" s="6">
        <v>2.84</v>
      </c>
      <c r="K281" s="6">
        <v>2.84</v>
      </c>
      <c r="L281" s="6">
        <v>2.84</v>
      </c>
      <c r="M281" s="6">
        <v>2.84</v>
      </c>
      <c r="N281" s="6">
        <v>2.84</v>
      </c>
      <c r="O281" s="6">
        <v>2.84</v>
      </c>
      <c r="P281" s="6">
        <v>2.84</v>
      </c>
      <c r="Q281" s="6">
        <v>2.84</v>
      </c>
    </row>
    <row r="282" spans="1:17">
      <c r="A282" s="2">
        <v>2230</v>
      </c>
      <c r="B282" s="6">
        <v>2.8</v>
      </c>
      <c r="C282" s="6">
        <v>2.8</v>
      </c>
      <c r="D282" s="6">
        <v>2.8</v>
      </c>
      <c r="E282" s="6">
        <v>2.8</v>
      </c>
      <c r="F282" s="6">
        <v>2.8</v>
      </c>
      <c r="G282" s="6">
        <v>2.8</v>
      </c>
      <c r="H282" s="6">
        <v>2.8</v>
      </c>
      <c r="I282" s="6">
        <v>2.8</v>
      </c>
      <c r="J282" s="6">
        <v>2.8</v>
      </c>
      <c r="K282" s="6">
        <v>2.8</v>
      </c>
      <c r="L282" s="6">
        <v>2.8</v>
      </c>
      <c r="M282" s="6">
        <v>2.8</v>
      </c>
      <c r="N282" s="6">
        <v>2.8</v>
      </c>
      <c r="O282" s="6">
        <v>2.8</v>
      </c>
      <c r="P282" s="6">
        <v>2.8</v>
      </c>
      <c r="Q282" s="6">
        <v>2.8</v>
      </c>
    </row>
    <row r="283" spans="1:17">
      <c r="A283" s="2">
        <v>2231</v>
      </c>
      <c r="B283" s="6">
        <v>2.76</v>
      </c>
      <c r="C283" s="6">
        <v>2.76</v>
      </c>
      <c r="D283" s="6">
        <v>2.76</v>
      </c>
      <c r="E283" s="6">
        <v>2.76</v>
      </c>
      <c r="F283" s="6">
        <v>2.76</v>
      </c>
      <c r="G283" s="6">
        <v>2.76</v>
      </c>
      <c r="H283" s="6">
        <v>2.76</v>
      </c>
      <c r="I283" s="6">
        <v>2.76</v>
      </c>
      <c r="J283" s="6">
        <v>2.76</v>
      </c>
      <c r="K283" s="6">
        <v>2.76</v>
      </c>
      <c r="L283" s="6">
        <v>2.76</v>
      </c>
      <c r="M283" s="6">
        <v>2.76</v>
      </c>
      <c r="N283" s="6">
        <v>2.76</v>
      </c>
      <c r="O283" s="6">
        <v>2.76</v>
      </c>
      <c r="P283" s="6">
        <v>2.76</v>
      </c>
      <c r="Q283" s="6">
        <v>2.76</v>
      </c>
    </row>
    <row r="284" spans="1:17">
      <c r="A284" s="2">
        <v>2232</v>
      </c>
      <c r="B284" s="6">
        <v>2.72</v>
      </c>
      <c r="C284" s="6">
        <v>2.72</v>
      </c>
      <c r="D284" s="6">
        <v>2.72</v>
      </c>
      <c r="E284" s="6">
        <v>2.72</v>
      </c>
      <c r="F284" s="6">
        <v>2.72</v>
      </c>
      <c r="G284" s="6">
        <v>2.72</v>
      </c>
      <c r="H284" s="6">
        <v>2.72</v>
      </c>
      <c r="I284" s="6">
        <v>2.72</v>
      </c>
      <c r="J284" s="6">
        <v>2.72</v>
      </c>
      <c r="K284" s="6">
        <v>2.72</v>
      </c>
      <c r="L284" s="6">
        <v>2.72</v>
      </c>
      <c r="M284" s="6">
        <v>2.72</v>
      </c>
      <c r="N284" s="6">
        <v>2.72</v>
      </c>
      <c r="O284" s="6">
        <v>2.72</v>
      </c>
      <c r="P284" s="6">
        <v>2.72</v>
      </c>
      <c r="Q284" s="6">
        <v>2.72</v>
      </c>
    </row>
    <row r="285" spans="1:17">
      <c r="A285" s="2">
        <v>2233</v>
      </c>
      <c r="B285" s="6">
        <v>2.68</v>
      </c>
      <c r="C285" s="6">
        <v>2.68</v>
      </c>
      <c r="D285" s="6">
        <v>2.68</v>
      </c>
      <c r="E285" s="6">
        <v>2.68</v>
      </c>
      <c r="F285" s="6">
        <v>2.68</v>
      </c>
      <c r="G285" s="6">
        <v>2.68</v>
      </c>
      <c r="H285" s="6">
        <v>2.68</v>
      </c>
      <c r="I285" s="6">
        <v>2.68</v>
      </c>
      <c r="J285" s="6">
        <v>2.68</v>
      </c>
      <c r="K285" s="6">
        <v>2.68</v>
      </c>
      <c r="L285" s="6">
        <v>2.68</v>
      </c>
      <c r="M285" s="6">
        <v>2.68</v>
      </c>
      <c r="N285" s="6">
        <v>2.68</v>
      </c>
      <c r="O285" s="6">
        <v>2.68</v>
      </c>
      <c r="P285" s="6">
        <v>2.68</v>
      </c>
      <c r="Q285" s="6">
        <v>2.68</v>
      </c>
    </row>
    <row r="286" spans="1:17">
      <c r="A286" s="2">
        <v>2234</v>
      </c>
      <c r="B286" s="6">
        <v>2.64</v>
      </c>
      <c r="C286" s="6">
        <v>2.64</v>
      </c>
      <c r="D286" s="6">
        <v>2.64</v>
      </c>
      <c r="E286" s="6">
        <v>2.64</v>
      </c>
      <c r="F286" s="6">
        <v>2.64</v>
      </c>
      <c r="G286" s="6">
        <v>2.64</v>
      </c>
      <c r="H286" s="6">
        <v>2.64</v>
      </c>
      <c r="I286" s="6">
        <v>2.64</v>
      </c>
      <c r="J286" s="6">
        <v>2.64</v>
      </c>
      <c r="K286" s="6">
        <v>2.64</v>
      </c>
      <c r="L286" s="6">
        <v>2.64</v>
      </c>
      <c r="M286" s="6">
        <v>2.64</v>
      </c>
      <c r="N286" s="6">
        <v>2.64</v>
      </c>
      <c r="O286" s="6">
        <v>2.64</v>
      </c>
      <c r="P286" s="6">
        <v>2.64</v>
      </c>
      <c r="Q286" s="6">
        <v>2.64</v>
      </c>
    </row>
    <row r="287" spans="1:17">
      <c r="A287" s="2">
        <v>2235</v>
      </c>
      <c r="B287" s="6">
        <v>2.6</v>
      </c>
      <c r="C287" s="6">
        <v>2.6</v>
      </c>
      <c r="D287" s="6">
        <v>2.6</v>
      </c>
      <c r="E287" s="6">
        <v>2.6</v>
      </c>
      <c r="F287" s="6">
        <v>2.6</v>
      </c>
      <c r="G287" s="6">
        <v>2.6</v>
      </c>
      <c r="H287" s="6">
        <v>2.6</v>
      </c>
      <c r="I287" s="6">
        <v>2.6</v>
      </c>
      <c r="J287" s="6">
        <v>2.6</v>
      </c>
      <c r="K287" s="6">
        <v>2.6</v>
      </c>
      <c r="L287" s="6">
        <v>2.6</v>
      </c>
      <c r="M287" s="6">
        <v>2.6</v>
      </c>
      <c r="N287" s="6">
        <v>2.6</v>
      </c>
      <c r="O287" s="6">
        <v>2.6</v>
      </c>
      <c r="P287" s="6">
        <v>2.6</v>
      </c>
      <c r="Q287" s="6">
        <v>2.6</v>
      </c>
    </row>
    <row r="288" spans="1:17">
      <c r="A288" s="2">
        <v>2236</v>
      </c>
      <c r="B288" s="6">
        <v>2.56</v>
      </c>
      <c r="C288" s="6">
        <v>2.56</v>
      </c>
      <c r="D288" s="6">
        <v>2.56</v>
      </c>
      <c r="E288" s="6">
        <v>2.56</v>
      </c>
      <c r="F288" s="6">
        <v>2.56</v>
      </c>
      <c r="G288" s="6">
        <v>2.56</v>
      </c>
      <c r="H288" s="6">
        <v>2.56</v>
      </c>
      <c r="I288" s="6">
        <v>2.56</v>
      </c>
      <c r="J288" s="6">
        <v>2.56</v>
      </c>
      <c r="K288" s="6">
        <v>2.56</v>
      </c>
      <c r="L288" s="6">
        <v>2.56</v>
      </c>
      <c r="M288" s="6">
        <v>2.56</v>
      </c>
      <c r="N288" s="6">
        <v>2.56</v>
      </c>
      <c r="O288" s="6">
        <v>2.56</v>
      </c>
      <c r="P288" s="6">
        <v>2.56</v>
      </c>
      <c r="Q288" s="6">
        <v>2.56</v>
      </c>
    </row>
    <row r="289" spans="1:17">
      <c r="A289" s="2">
        <v>2237</v>
      </c>
      <c r="B289" s="6">
        <v>2.52</v>
      </c>
      <c r="C289" s="6">
        <v>2.52</v>
      </c>
      <c r="D289" s="6">
        <v>2.52</v>
      </c>
      <c r="E289" s="6">
        <v>2.52</v>
      </c>
      <c r="F289" s="6">
        <v>2.52</v>
      </c>
      <c r="G289" s="6">
        <v>2.52</v>
      </c>
      <c r="H289" s="6">
        <v>2.52</v>
      </c>
      <c r="I289" s="6">
        <v>2.52</v>
      </c>
      <c r="J289" s="6">
        <v>2.52</v>
      </c>
      <c r="K289" s="6">
        <v>2.52</v>
      </c>
      <c r="L289" s="6">
        <v>2.52</v>
      </c>
      <c r="M289" s="6">
        <v>2.52</v>
      </c>
      <c r="N289" s="6">
        <v>2.52</v>
      </c>
      <c r="O289" s="6">
        <v>2.52</v>
      </c>
      <c r="P289" s="6">
        <v>2.52</v>
      </c>
      <c r="Q289" s="6">
        <v>2.52</v>
      </c>
    </row>
    <row r="290" spans="1:17">
      <c r="A290" s="2">
        <v>2238</v>
      </c>
      <c r="B290" s="6">
        <v>2.48</v>
      </c>
      <c r="C290" s="6">
        <v>2.48</v>
      </c>
      <c r="D290" s="6">
        <v>2.48</v>
      </c>
      <c r="E290" s="6">
        <v>2.48</v>
      </c>
      <c r="F290" s="6">
        <v>2.48</v>
      </c>
      <c r="G290" s="6">
        <v>2.48</v>
      </c>
      <c r="H290" s="6">
        <v>2.48</v>
      </c>
      <c r="I290" s="6">
        <v>2.48</v>
      </c>
      <c r="J290" s="6">
        <v>2.48</v>
      </c>
      <c r="K290" s="6">
        <v>2.48</v>
      </c>
      <c r="L290" s="6">
        <v>2.48</v>
      </c>
      <c r="M290" s="6">
        <v>2.48</v>
      </c>
      <c r="N290" s="6">
        <v>2.48</v>
      </c>
      <c r="O290" s="6">
        <v>2.48</v>
      </c>
      <c r="P290" s="6">
        <v>2.48</v>
      </c>
      <c r="Q290" s="6">
        <v>2.48</v>
      </c>
    </row>
    <row r="291" spans="1:17">
      <c r="A291" s="2">
        <v>2239</v>
      </c>
      <c r="B291" s="6">
        <v>2.44</v>
      </c>
      <c r="C291" s="6">
        <v>2.44</v>
      </c>
      <c r="D291" s="6">
        <v>2.44</v>
      </c>
      <c r="E291" s="6">
        <v>2.44</v>
      </c>
      <c r="F291" s="6">
        <v>2.44</v>
      </c>
      <c r="G291" s="6">
        <v>2.44</v>
      </c>
      <c r="H291" s="6">
        <v>2.44</v>
      </c>
      <c r="I291" s="6">
        <v>2.44</v>
      </c>
      <c r="J291" s="6">
        <v>2.44</v>
      </c>
      <c r="K291" s="6">
        <v>2.44</v>
      </c>
      <c r="L291" s="6">
        <v>2.44</v>
      </c>
      <c r="M291" s="6">
        <v>2.44</v>
      </c>
      <c r="N291" s="6">
        <v>2.44</v>
      </c>
      <c r="O291" s="6">
        <v>2.44</v>
      </c>
      <c r="P291" s="6">
        <v>2.44</v>
      </c>
      <c r="Q291" s="6">
        <v>2.44</v>
      </c>
    </row>
    <row r="292" spans="1:17">
      <c r="A292" s="2">
        <v>2240</v>
      </c>
      <c r="B292" s="6">
        <v>2.4</v>
      </c>
      <c r="C292" s="6">
        <v>2.4</v>
      </c>
      <c r="D292" s="6">
        <v>2.4</v>
      </c>
      <c r="E292" s="6">
        <v>2.4</v>
      </c>
      <c r="F292" s="6">
        <v>2.4</v>
      </c>
      <c r="G292" s="6">
        <v>2.4</v>
      </c>
      <c r="H292" s="6">
        <v>2.4</v>
      </c>
      <c r="I292" s="6">
        <v>2.4</v>
      </c>
      <c r="J292" s="6">
        <v>2.4</v>
      </c>
      <c r="K292" s="6">
        <v>2.4</v>
      </c>
      <c r="L292" s="6">
        <v>2.4</v>
      </c>
      <c r="M292" s="6">
        <v>2.4</v>
      </c>
      <c r="N292" s="6">
        <v>2.4</v>
      </c>
      <c r="O292" s="6">
        <v>2.4</v>
      </c>
      <c r="P292" s="6">
        <v>2.4</v>
      </c>
      <c r="Q292" s="6">
        <v>2.4</v>
      </c>
    </row>
    <row r="293" spans="1:17">
      <c r="A293" s="2">
        <v>2241</v>
      </c>
      <c r="B293" s="6">
        <v>2.36</v>
      </c>
      <c r="C293" s="6">
        <v>2.36</v>
      </c>
      <c r="D293" s="6">
        <v>2.36</v>
      </c>
      <c r="E293" s="6">
        <v>2.36</v>
      </c>
      <c r="F293" s="6">
        <v>2.36</v>
      </c>
      <c r="G293" s="6">
        <v>2.36</v>
      </c>
      <c r="H293" s="6">
        <v>2.36</v>
      </c>
      <c r="I293" s="6">
        <v>2.36</v>
      </c>
      <c r="J293" s="6">
        <v>2.36</v>
      </c>
      <c r="K293" s="6">
        <v>2.36</v>
      </c>
      <c r="L293" s="6">
        <v>2.36</v>
      </c>
      <c r="M293" s="6">
        <v>2.36</v>
      </c>
      <c r="N293" s="6">
        <v>2.36</v>
      </c>
      <c r="O293" s="6">
        <v>2.36</v>
      </c>
      <c r="P293" s="6">
        <v>2.36</v>
      </c>
      <c r="Q293" s="6">
        <v>2.36</v>
      </c>
    </row>
    <row r="294" spans="1:17">
      <c r="A294" s="2">
        <v>2242</v>
      </c>
      <c r="B294" s="6">
        <v>2.3199999999999998</v>
      </c>
      <c r="C294" s="6">
        <v>2.3199999999999998</v>
      </c>
      <c r="D294" s="6">
        <v>2.3199999999999998</v>
      </c>
      <c r="E294" s="6">
        <v>2.3199999999999998</v>
      </c>
      <c r="F294" s="6">
        <v>2.3199999999999998</v>
      </c>
      <c r="G294" s="6">
        <v>2.3199999999999998</v>
      </c>
      <c r="H294" s="6">
        <v>2.3199999999999998</v>
      </c>
      <c r="I294" s="6">
        <v>2.3199999999999998</v>
      </c>
      <c r="J294" s="6">
        <v>2.3199999999999998</v>
      </c>
      <c r="K294" s="6">
        <v>2.3199999999999998</v>
      </c>
      <c r="L294" s="6">
        <v>2.3199999999999998</v>
      </c>
      <c r="M294" s="6">
        <v>2.3199999999999998</v>
      </c>
      <c r="N294" s="6">
        <v>2.3199999999999998</v>
      </c>
      <c r="O294" s="6">
        <v>2.3199999999999998</v>
      </c>
      <c r="P294" s="6">
        <v>2.3199999999999998</v>
      </c>
      <c r="Q294" s="6">
        <v>2.3199999999999998</v>
      </c>
    </row>
    <row r="295" spans="1:17">
      <c r="A295" s="2">
        <v>2243</v>
      </c>
      <c r="B295" s="6">
        <v>2.2799999999999998</v>
      </c>
      <c r="C295" s="6">
        <v>2.2799999999999998</v>
      </c>
      <c r="D295" s="6">
        <v>2.2799999999999998</v>
      </c>
      <c r="E295" s="6">
        <v>2.2799999999999998</v>
      </c>
      <c r="F295" s="6">
        <v>2.2799999999999998</v>
      </c>
      <c r="G295" s="6">
        <v>2.2799999999999998</v>
      </c>
      <c r="H295" s="6">
        <v>2.2799999999999998</v>
      </c>
      <c r="I295" s="6">
        <v>2.2799999999999998</v>
      </c>
      <c r="J295" s="6">
        <v>2.2799999999999998</v>
      </c>
      <c r="K295" s="6">
        <v>2.2799999999999998</v>
      </c>
      <c r="L295" s="6">
        <v>2.2799999999999998</v>
      </c>
      <c r="M295" s="6">
        <v>2.2799999999999998</v>
      </c>
      <c r="N295" s="6">
        <v>2.2799999999999998</v>
      </c>
      <c r="O295" s="6">
        <v>2.2799999999999998</v>
      </c>
      <c r="P295" s="6">
        <v>2.2799999999999998</v>
      </c>
      <c r="Q295" s="6">
        <v>2.2799999999999998</v>
      </c>
    </row>
    <row r="296" spans="1:17">
      <c r="A296" s="2">
        <v>2244</v>
      </c>
      <c r="B296" s="6">
        <v>2.2400000000000002</v>
      </c>
      <c r="C296" s="6">
        <v>2.2400000000000002</v>
      </c>
      <c r="D296" s="6">
        <v>2.2400000000000002</v>
      </c>
      <c r="E296" s="6">
        <v>2.2400000000000002</v>
      </c>
      <c r="F296" s="6">
        <v>2.2400000000000002</v>
      </c>
      <c r="G296" s="6">
        <v>2.2400000000000002</v>
      </c>
      <c r="H296" s="6">
        <v>2.2400000000000002</v>
      </c>
      <c r="I296" s="6">
        <v>2.2400000000000002</v>
      </c>
      <c r="J296" s="6">
        <v>2.2400000000000002</v>
      </c>
      <c r="K296" s="6">
        <v>2.2400000000000002</v>
      </c>
      <c r="L296" s="6">
        <v>2.2400000000000002</v>
      </c>
      <c r="M296" s="6">
        <v>2.2400000000000002</v>
      </c>
      <c r="N296" s="6">
        <v>2.2400000000000002</v>
      </c>
      <c r="O296" s="6">
        <v>2.2400000000000002</v>
      </c>
      <c r="P296" s="6">
        <v>2.2400000000000002</v>
      </c>
      <c r="Q296" s="6">
        <v>2.2400000000000002</v>
      </c>
    </row>
    <row r="297" spans="1:17">
      <c r="A297" s="2">
        <v>2245</v>
      </c>
      <c r="B297" s="6">
        <v>2.2000000000000002</v>
      </c>
      <c r="C297" s="6">
        <v>2.2000000000000002</v>
      </c>
      <c r="D297" s="6">
        <v>2.2000000000000002</v>
      </c>
      <c r="E297" s="6">
        <v>2.2000000000000002</v>
      </c>
      <c r="F297" s="6">
        <v>2.2000000000000002</v>
      </c>
      <c r="G297" s="6">
        <v>2.2000000000000002</v>
      </c>
      <c r="H297" s="6">
        <v>2.2000000000000002</v>
      </c>
      <c r="I297" s="6">
        <v>2.2000000000000002</v>
      </c>
      <c r="J297" s="6">
        <v>2.2000000000000002</v>
      </c>
      <c r="K297" s="6">
        <v>2.2000000000000002</v>
      </c>
      <c r="L297" s="6">
        <v>2.2000000000000002</v>
      </c>
      <c r="M297" s="6">
        <v>2.2000000000000002</v>
      </c>
      <c r="N297" s="6">
        <v>2.2000000000000002</v>
      </c>
      <c r="O297" s="6">
        <v>2.2000000000000002</v>
      </c>
      <c r="P297" s="6">
        <v>2.2000000000000002</v>
      </c>
      <c r="Q297" s="6">
        <v>2.2000000000000002</v>
      </c>
    </row>
    <row r="298" spans="1:17">
      <c r="A298" s="2">
        <v>2246</v>
      </c>
      <c r="B298" s="6">
        <v>2.16</v>
      </c>
      <c r="C298" s="6">
        <v>2.16</v>
      </c>
      <c r="D298" s="6">
        <v>2.16</v>
      </c>
      <c r="E298" s="6">
        <v>2.16</v>
      </c>
      <c r="F298" s="6">
        <v>2.16</v>
      </c>
      <c r="G298" s="6">
        <v>2.16</v>
      </c>
      <c r="H298" s="6">
        <v>2.16</v>
      </c>
      <c r="I298" s="6">
        <v>2.16</v>
      </c>
      <c r="J298" s="6">
        <v>2.16</v>
      </c>
      <c r="K298" s="6">
        <v>2.16</v>
      </c>
      <c r="L298" s="6">
        <v>2.16</v>
      </c>
      <c r="M298" s="6">
        <v>2.16</v>
      </c>
      <c r="N298" s="6">
        <v>2.16</v>
      </c>
      <c r="O298" s="6">
        <v>2.16</v>
      </c>
      <c r="P298" s="6">
        <v>2.16</v>
      </c>
      <c r="Q298" s="6">
        <v>2.16</v>
      </c>
    </row>
    <row r="299" spans="1:17">
      <c r="A299" s="2">
        <v>2247</v>
      </c>
      <c r="B299" s="6">
        <v>2.12</v>
      </c>
      <c r="C299" s="6">
        <v>2.12</v>
      </c>
      <c r="D299" s="6">
        <v>2.12</v>
      </c>
      <c r="E299" s="6">
        <v>2.12</v>
      </c>
      <c r="F299" s="6">
        <v>2.12</v>
      </c>
      <c r="G299" s="6">
        <v>2.12</v>
      </c>
      <c r="H299" s="6">
        <v>2.12</v>
      </c>
      <c r="I299" s="6">
        <v>2.12</v>
      </c>
      <c r="J299" s="6">
        <v>2.12</v>
      </c>
      <c r="K299" s="6">
        <v>2.12</v>
      </c>
      <c r="L299" s="6">
        <v>2.12</v>
      </c>
      <c r="M299" s="6">
        <v>2.12</v>
      </c>
      <c r="N299" s="6">
        <v>2.12</v>
      </c>
      <c r="O299" s="6">
        <v>2.12</v>
      </c>
      <c r="P299" s="6">
        <v>2.12</v>
      </c>
      <c r="Q299" s="6">
        <v>2.12</v>
      </c>
    </row>
    <row r="300" spans="1:17">
      <c r="A300" s="2">
        <v>2248</v>
      </c>
      <c r="B300" s="6">
        <v>2.08</v>
      </c>
      <c r="C300" s="6">
        <v>2.08</v>
      </c>
      <c r="D300" s="6">
        <v>2.08</v>
      </c>
      <c r="E300" s="6">
        <v>2.08</v>
      </c>
      <c r="F300" s="6">
        <v>2.08</v>
      </c>
      <c r="G300" s="6">
        <v>2.08</v>
      </c>
      <c r="H300" s="6">
        <v>2.08</v>
      </c>
      <c r="I300" s="6">
        <v>2.08</v>
      </c>
      <c r="J300" s="6">
        <v>2.08</v>
      </c>
      <c r="K300" s="6">
        <v>2.08</v>
      </c>
      <c r="L300" s="6">
        <v>2.08</v>
      </c>
      <c r="M300" s="6">
        <v>2.08</v>
      </c>
      <c r="N300" s="6">
        <v>2.08</v>
      </c>
      <c r="O300" s="6">
        <v>2.08</v>
      </c>
      <c r="P300" s="6">
        <v>2.08</v>
      </c>
      <c r="Q300" s="6">
        <v>2.08</v>
      </c>
    </row>
    <row r="301" spans="1:17">
      <c r="A301" s="2">
        <v>2249</v>
      </c>
      <c r="B301" s="6">
        <v>2.04</v>
      </c>
      <c r="C301" s="6">
        <v>2.04</v>
      </c>
      <c r="D301" s="6">
        <v>2.04</v>
      </c>
      <c r="E301" s="6">
        <v>2.04</v>
      </c>
      <c r="F301" s="6">
        <v>2.04</v>
      </c>
      <c r="G301" s="6">
        <v>2.04</v>
      </c>
      <c r="H301" s="6">
        <v>2.04</v>
      </c>
      <c r="I301" s="6">
        <v>2.04</v>
      </c>
      <c r="J301" s="6">
        <v>2.04</v>
      </c>
      <c r="K301" s="6">
        <v>2.04</v>
      </c>
      <c r="L301" s="6">
        <v>2.04</v>
      </c>
      <c r="M301" s="6">
        <v>2.04</v>
      </c>
      <c r="N301" s="6">
        <v>2.04</v>
      </c>
      <c r="O301" s="6">
        <v>2.04</v>
      </c>
      <c r="P301" s="6">
        <v>2.04</v>
      </c>
      <c r="Q301" s="6">
        <v>2.04</v>
      </c>
    </row>
    <row r="302" spans="1:17">
      <c r="A302" s="2">
        <v>2250</v>
      </c>
      <c r="B302" s="6">
        <v>2</v>
      </c>
      <c r="C302" s="6">
        <v>2</v>
      </c>
      <c r="D302" s="6">
        <v>2</v>
      </c>
      <c r="E302" s="6">
        <v>2</v>
      </c>
      <c r="F302" s="6">
        <v>2</v>
      </c>
      <c r="G302" s="6">
        <v>2</v>
      </c>
      <c r="H302" s="6">
        <v>2</v>
      </c>
      <c r="I302" s="6">
        <v>2</v>
      </c>
      <c r="J302" s="6">
        <v>2</v>
      </c>
      <c r="K302" s="6">
        <v>2</v>
      </c>
      <c r="L302" s="6">
        <v>2</v>
      </c>
      <c r="M302" s="6">
        <v>2</v>
      </c>
      <c r="N302" s="6">
        <v>2</v>
      </c>
      <c r="O302" s="6">
        <v>2</v>
      </c>
      <c r="P302" s="6">
        <v>2</v>
      </c>
      <c r="Q302" s="6">
        <v>2</v>
      </c>
    </row>
    <row r="303" spans="1:17">
      <c r="A303" s="2">
        <v>2251</v>
      </c>
      <c r="B303" s="6">
        <v>1.96</v>
      </c>
      <c r="C303" s="6">
        <v>1.96</v>
      </c>
      <c r="D303" s="6">
        <v>1.96</v>
      </c>
      <c r="E303" s="6">
        <v>1.96</v>
      </c>
      <c r="F303" s="6">
        <v>1.96</v>
      </c>
      <c r="G303" s="6">
        <v>1.96</v>
      </c>
      <c r="H303" s="6">
        <v>1.96</v>
      </c>
      <c r="I303" s="6">
        <v>1.96</v>
      </c>
      <c r="J303" s="6">
        <v>1.96</v>
      </c>
      <c r="K303" s="6">
        <v>1.96</v>
      </c>
      <c r="L303" s="6">
        <v>1.96</v>
      </c>
      <c r="M303" s="6">
        <v>1.96</v>
      </c>
      <c r="N303" s="6">
        <v>1.96</v>
      </c>
      <c r="O303" s="6">
        <v>1.96</v>
      </c>
      <c r="P303" s="6">
        <v>1.96</v>
      </c>
      <c r="Q303" s="6">
        <v>1.96</v>
      </c>
    </row>
    <row r="304" spans="1:17">
      <c r="A304" s="2">
        <v>2252</v>
      </c>
      <c r="B304" s="6">
        <v>1.92</v>
      </c>
      <c r="C304" s="6">
        <v>1.92</v>
      </c>
      <c r="D304" s="6">
        <v>1.92</v>
      </c>
      <c r="E304" s="6">
        <v>1.92</v>
      </c>
      <c r="F304" s="6">
        <v>1.92</v>
      </c>
      <c r="G304" s="6">
        <v>1.92</v>
      </c>
      <c r="H304" s="6">
        <v>1.92</v>
      </c>
      <c r="I304" s="6">
        <v>1.92</v>
      </c>
      <c r="J304" s="6">
        <v>1.92</v>
      </c>
      <c r="K304" s="6">
        <v>1.92</v>
      </c>
      <c r="L304" s="6">
        <v>1.92</v>
      </c>
      <c r="M304" s="6">
        <v>1.92</v>
      </c>
      <c r="N304" s="6">
        <v>1.92</v>
      </c>
      <c r="O304" s="6">
        <v>1.92</v>
      </c>
      <c r="P304" s="6">
        <v>1.92</v>
      </c>
      <c r="Q304" s="6">
        <v>1.92</v>
      </c>
    </row>
    <row r="305" spans="1:17">
      <c r="A305" s="2">
        <v>2253</v>
      </c>
      <c r="B305" s="6">
        <v>1.88</v>
      </c>
      <c r="C305" s="6">
        <v>1.88</v>
      </c>
      <c r="D305" s="6">
        <v>1.88</v>
      </c>
      <c r="E305" s="6">
        <v>1.88</v>
      </c>
      <c r="F305" s="6">
        <v>1.88</v>
      </c>
      <c r="G305" s="6">
        <v>1.88</v>
      </c>
      <c r="H305" s="6">
        <v>1.88</v>
      </c>
      <c r="I305" s="6">
        <v>1.88</v>
      </c>
      <c r="J305" s="6">
        <v>1.88</v>
      </c>
      <c r="K305" s="6">
        <v>1.88</v>
      </c>
      <c r="L305" s="6">
        <v>1.88</v>
      </c>
      <c r="M305" s="6">
        <v>1.88</v>
      </c>
      <c r="N305" s="6">
        <v>1.88</v>
      </c>
      <c r="O305" s="6">
        <v>1.88</v>
      </c>
      <c r="P305" s="6">
        <v>1.88</v>
      </c>
      <c r="Q305" s="6">
        <v>1.88</v>
      </c>
    </row>
    <row r="306" spans="1:17">
      <c r="A306" s="2">
        <v>2254</v>
      </c>
      <c r="B306" s="6">
        <v>1.84</v>
      </c>
      <c r="C306" s="6">
        <v>1.84</v>
      </c>
      <c r="D306" s="6">
        <v>1.84</v>
      </c>
      <c r="E306" s="6">
        <v>1.84</v>
      </c>
      <c r="F306" s="6">
        <v>1.84</v>
      </c>
      <c r="G306" s="6">
        <v>1.84</v>
      </c>
      <c r="H306" s="6">
        <v>1.84</v>
      </c>
      <c r="I306" s="6">
        <v>1.84</v>
      </c>
      <c r="J306" s="6">
        <v>1.84</v>
      </c>
      <c r="K306" s="6">
        <v>1.84</v>
      </c>
      <c r="L306" s="6">
        <v>1.84</v>
      </c>
      <c r="M306" s="6">
        <v>1.84</v>
      </c>
      <c r="N306" s="6">
        <v>1.84</v>
      </c>
      <c r="O306" s="6">
        <v>1.84</v>
      </c>
      <c r="P306" s="6">
        <v>1.84</v>
      </c>
      <c r="Q306" s="6">
        <v>1.84</v>
      </c>
    </row>
    <row r="307" spans="1:17">
      <c r="A307" s="2">
        <v>2255</v>
      </c>
      <c r="B307" s="6">
        <v>1.8</v>
      </c>
      <c r="C307" s="6">
        <v>1.8</v>
      </c>
      <c r="D307" s="6">
        <v>1.8</v>
      </c>
      <c r="E307" s="6">
        <v>1.8</v>
      </c>
      <c r="F307" s="6">
        <v>1.8</v>
      </c>
      <c r="G307" s="6">
        <v>1.8</v>
      </c>
      <c r="H307" s="6">
        <v>1.8</v>
      </c>
      <c r="I307" s="6">
        <v>1.8</v>
      </c>
      <c r="J307" s="6">
        <v>1.8</v>
      </c>
      <c r="K307" s="6">
        <v>1.8</v>
      </c>
      <c r="L307" s="6">
        <v>1.8</v>
      </c>
      <c r="M307" s="6">
        <v>1.8</v>
      </c>
      <c r="N307" s="6">
        <v>1.8</v>
      </c>
      <c r="O307" s="6">
        <v>1.8</v>
      </c>
      <c r="P307" s="6">
        <v>1.8</v>
      </c>
      <c r="Q307" s="6">
        <v>1.8</v>
      </c>
    </row>
    <row r="308" spans="1:17">
      <c r="A308" s="2">
        <v>2256</v>
      </c>
      <c r="B308" s="6">
        <v>1.76</v>
      </c>
      <c r="C308" s="6">
        <v>1.76</v>
      </c>
      <c r="D308" s="6">
        <v>1.76</v>
      </c>
      <c r="E308" s="6">
        <v>1.76</v>
      </c>
      <c r="F308" s="6">
        <v>1.76</v>
      </c>
      <c r="G308" s="6">
        <v>1.76</v>
      </c>
      <c r="H308" s="6">
        <v>1.76</v>
      </c>
      <c r="I308" s="6">
        <v>1.76</v>
      </c>
      <c r="J308" s="6">
        <v>1.76</v>
      </c>
      <c r="K308" s="6">
        <v>1.76</v>
      </c>
      <c r="L308" s="6">
        <v>1.76</v>
      </c>
      <c r="M308" s="6">
        <v>1.76</v>
      </c>
      <c r="N308" s="6">
        <v>1.76</v>
      </c>
      <c r="O308" s="6">
        <v>1.76</v>
      </c>
      <c r="P308" s="6">
        <v>1.76</v>
      </c>
      <c r="Q308" s="6">
        <v>1.76</v>
      </c>
    </row>
    <row r="309" spans="1:17">
      <c r="A309" s="2">
        <v>2257</v>
      </c>
      <c r="B309" s="6">
        <v>1.72</v>
      </c>
      <c r="C309" s="6">
        <v>1.72</v>
      </c>
      <c r="D309" s="6">
        <v>1.72</v>
      </c>
      <c r="E309" s="6">
        <v>1.72</v>
      </c>
      <c r="F309" s="6">
        <v>1.72</v>
      </c>
      <c r="G309" s="6">
        <v>1.72</v>
      </c>
      <c r="H309" s="6">
        <v>1.72</v>
      </c>
      <c r="I309" s="6">
        <v>1.72</v>
      </c>
      <c r="J309" s="6">
        <v>1.72</v>
      </c>
      <c r="K309" s="6">
        <v>1.72</v>
      </c>
      <c r="L309" s="6">
        <v>1.72</v>
      </c>
      <c r="M309" s="6">
        <v>1.72</v>
      </c>
      <c r="N309" s="6">
        <v>1.72</v>
      </c>
      <c r="O309" s="6">
        <v>1.72</v>
      </c>
      <c r="P309" s="6">
        <v>1.72</v>
      </c>
      <c r="Q309" s="6">
        <v>1.72</v>
      </c>
    </row>
    <row r="310" spans="1:17">
      <c r="A310" s="2">
        <v>2258</v>
      </c>
      <c r="B310" s="6">
        <v>1.68</v>
      </c>
      <c r="C310" s="6">
        <v>1.68</v>
      </c>
      <c r="D310" s="6">
        <v>1.68</v>
      </c>
      <c r="E310" s="6">
        <v>1.68</v>
      </c>
      <c r="F310" s="6">
        <v>1.68</v>
      </c>
      <c r="G310" s="6">
        <v>1.68</v>
      </c>
      <c r="H310" s="6">
        <v>1.68</v>
      </c>
      <c r="I310" s="6">
        <v>1.68</v>
      </c>
      <c r="J310" s="6">
        <v>1.68</v>
      </c>
      <c r="K310" s="6">
        <v>1.68</v>
      </c>
      <c r="L310" s="6">
        <v>1.68</v>
      </c>
      <c r="M310" s="6">
        <v>1.68</v>
      </c>
      <c r="N310" s="6">
        <v>1.68</v>
      </c>
      <c r="O310" s="6">
        <v>1.68</v>
      </c>
      <c r="P310" s="6">
        <v>1.68</v>
      </c>
      <c r="Q310" s="6">
        <v>1.68</v>
      </c>
    </row>
    <row r="311" spans="1:17">
      <c r="A311" s="2">
        <v>2259</v>
      </c>
      <c r="B311" s="6">
        <v>1.64</v>
      </c>
      <c r="C311" s="6">
        <v>1.64</v>
      </c>
      <c r="D311" s="6">
        <v>1.64</v>
      </c>
      <c r="E311" s="6">
        <v>1.64</v>
      </c>
      <c r="F311" s="6">
        <v>1.64</v>
      </c>
      <c r="G311" s="6">
        <v>1.64</v>
      </c>
      <c r="H311" s="6">
        <v>1.64</v>
      </c>
      <c r="I311" s="6">
        <v>1.64</v>
      </c>
      <c r="J311" s="6">
        <v>1.64</v>
      </c>
      <c r="K311" s="6">
        <v>1.64</v>
      </c>
      <c r="L311" s="6">
        <v>1.64</v>
      </c>
      <c r="M311" s="6">
        <v>1.64</v>
      </c>
      <c r="N311" s="6">
        <v>1.64</v>
      </c>
      <c r="O311" s="6">
        <v>1.64</v>
      </c>
      <c r="P311" s="6">
        <v>1.64</v>
      </c>
      <c r="Q311" s="6">
        <v>1.64</v>
      </c>
    </row>
    <row r="312" spans="1:17">
      <c r="A312" s="2">
        <v>2260</v>
      </c>
      <c r="B312" s="6">
        <v>1.6</v>
      </c>
      <c r="C312" s="6">
        <v>1.6</v>
      </c>
      <c r="D312" s="6">
        <v>1.6</v>
      </c>
      <c r="E312" s="6">
        <v>1.6</v>
      </c>
      <c r="F312" s="6">
        <v>1.6</v>
      </c>
      <c r="G312" s="6">
        <v>1.6</v>
      </c>
      <c r="H312" s="6">
        <v>1.6</v>
      </c>
      <c r="I312" s="6">
        <v>1.6</v>
      </c>
      <c r="J312" s="6">
        <v>1.6</v>
      </c>
      <c r="K312" s="6">
        <v>1.6</v>
      </c>
      <c r="L312" s="6">
        <v>1.6</v>
      </c>
      <c r="M312" s="6">
        <v>1.6</v>
      </c>
      <c r="N312" s="6">
        <v>1.6</v>
      </c>
      <c r="O312" s="6">
        <v>1.6</v>
      </c>
      <c r="P312" s="6">
        <v>1.6</v>
      </c>
      <c r="Q312" s="6">
        <v>1.6</v>
      </c>
    </row>
    <row r="313" spans="1:17">
      <c r="A313" s="2">
        <v>2261</v>
      </c>
      <c r="B313" s="6">
        <v>1.56</v>
      </c>
      <c r="C313" s="6">
        <v>1.56</v>
      </c>
      <c r="D313" s="6">
        <v>1.56</v>
      </c>
      <c r="E313" s="6">
        <v>1.56</v>
      </c>
      <c r="F313" s="6">
        <v>1.56</v>
      </c>
      <c r="G313" s="6">
        <v>1.56</v>
      </c>
      <c r="H313" s="6">
        <v>1.56</v>
      </c>
      <c r="I313" s="6">
        <v>1.56</v>
      </c>
      <c r="J313" s="6">
        <v>1.56</v>
      </c>
      <c r="K313" s="6">
        <v>1.56</v>
      </c>
      <c r="L313" s="6">
        <v>1.56</v>
      </c>
      <c r="M313" s="6">
        <v>1.56</v>
      </c>
      <c r="N313" s="6">
        <v>1.56</v>
      </c>
      <c r="O313" s="6">
        <v>1.56</v>
      </c>
      <c r="P313" s="6">
        <v>1.56</v>
      </c>
      <c r="Q313" s="6">
        <v>1.56</v>
      </c>
    </row>
    <row r="314" spans="1:17">
      <c r="A314" s="2">
        <v>2262</v>
      </c>
      <c r="B314" s="6">
        <v>1.52</v>
      </c>
      <c r="C314" s="6">
        <v>1.52</v>
      </c>
      <c r="D314" s="6">
        <v>1.52</v>
      </c>
      <c r="E314" s="6">
        <v>1.52</v>
      </c>
      <c r="F314" s="6">
        <v>1.52</v>
      </c>
      <c r="G314" s="6">
        <v>1.52</v>
      </c>
      <c r="H314" s="6">
        <v>1.52</v>
      </c>
      <c r="I314" s="6">
        <v>1.52</v>
      </c>
      <c r="J314" s="6">
        <v>1.52</v>
      </c>
      <c r="K314" s="6">
        <v>1.52</v>
      </c>
      <c r="L314" s="6">
        <v>1.52</v>
      </c>
      <c r="M314" s="6">
        <v>1.52</v>
      </c>
      <c r="N314" s="6">
        <v>1.52</v>
      </c>
      <c r="O314" s="6">
        <v>1.52</v>
      </c>
      <c r="P314" s="6">
        <v>1.52</v>
      </c>
      <c r="Q314" s="6">
        <v>1.52</v>
      </c>
    </row>
    <row r="315" spans="1:17">
      <c r="A315" s="2">
        <v>2263</v>
      </c>
      <c r="B315" s="6">
        <v>1.48</v>
      </c>
      <c r="C315" s="6">
        <v>1.48</v>
      </c>
      <c r="D315" s="6">
        <v>1.48</v>
      </c>
      <c r="E315" s="6">
        <v>1.48</v>
      </c>
      <c r="F315" s="6">
        <v>1.48</v>
      </c>
      <c r="G315" s="6">
        <v>1.48</v>
      </c>
      <c r="H315" s="6">
        <v>1.48</v>
      </c>
      <c r="I315" s="6">
        <v>1.48</v>
      </c>
      <c r="J315" s="6">
        <v>1.48</v>
      </c>
      <c r="K315" s="6">
        <v>1.48</v>
      </c>
      <c r="L315" s="6">
        <v>1.48</v>
      </c>
      <c r="M315" s="6">
        <v>1.48</v>
      </c>
      <c r="N315" s="6">
        <v>1.48</v>
      </c>
      <c r="O315" s="6">
        <v>1.48</v>
      </c>
      <c r="P315" s="6">
        <v>1.48</v>
      </c>
      <c r="Q315" s="6">
        <v>1.48</v>
      </c>
    </row>
    <row r="316" spans="1:17">
      <c r="A316" s="2">
        <v>2264</v>
      </c>
      <c r="B316" s="6">
        <v>1.44</v>
      </c>
      <c r="C316" s="6">
        <v>1.44</v>
      </c>
      <c r="D316" s="6">
        <v>1.44</v>
      </c>
      <c r="E316" s="6">
        <v>1.44</v>
      </c>
      <c r="F316" s="6">
        <v>1.44</v>
      </c>
      <c r="G316" s="6">
        <v>1.44</v>
      </c>
      <c r="H316" s="6">
        <v>1.44</v>
      </c>
      <c r="I316" s="6">
        <v>1.44</v>
      </c>
      <c r="J316" s="6">
        <v>1.44</v>
      </c>
      <c r="K316" s="6">
        <v>1.44</v>
      </c>
      <c r="L316" s="6">
        <v>1.44</v>
      </c>
      <c r="M316" s="6">
        <v>1.44</v>
      </c>
      <c r="N316" s="6">
        <v>1.44</v>
      </c>
      <c r="O316" s="6">
        <v>1.44</v>
      </c>
      <c r="P316" s="6">
        <v>1.44</v>
      </c>
      <c r="Q316" s="6">
        <v>1.44</v>
      </c>
    </row>
    <row r="317" spans="1:17">
      <c r="A317" s="2">
        <v>2265</v>
      </c>
      <c r="B317" s="6">
        <v>1.4</v>
      </c>
      <c r="C317" s="6">
        <v>1.4</v>
      </c>
      <c r="D317" s="6">
        <v>1.4</v>
      </c>
      <c r="E317" s="6">
        <v>1.4</v>
      </c>
      <c r="F317" s="6">
        <v>1.4</v>
      </c>
      <c r="G317" s="6">
        <v>1.4</v>
      </c>
      <c r="H317" s="6">
        <v>1.4</v>
      </c>
      <c r="I317" s="6">
        <v>1.4</v>
      </c>
      <c r="J317" s="6">
        <v>1.4</v>
      </c>
      <c r="K317" s="6">
        <v>1.4</v>
      </c>
      <c r="L317" s="6">
        <v>1.4</v>
      </c>
      <c r="M317" s="6">
        <v>1.4</v>
      </c>
      <c r="N317" s="6">
        <v>1.4</v>
      </c>
      <c r="O317" s="6">
        <v>1.4</v>
      </c>
      <c r="P317" s="6">
        <v>1.4</v>
      </c>
      <c r="Q317" s="6">
        <v>1.4</v>
      </c>
    </row>
    <row r="318" spans="1:17">
      <c r="A318" s="2">
        <v>2266</v>
      </c>
      <c r="B318" s="6">
        <v>1.36</v>
      </c>
      <c r="C318" s="6">
        <v>1.36</v>
      </c>
      <c r="D318" s="6">
        <v>1.36</v>
      </c>
      <c r="E318" s="6">
        <v>1.36</v>
      </c>
      <c r="F318" s="6">
        <v>1.36</v>
      </c>
      <c r="G318" s="6">
        <v>1.36</v>
      </c>
      <c r="H318" s="6">
        <v>1.36</v>
      </c>
      <c r="I318" s="6">
        <v>1.36</v>
      </c>
      <c r="J318" s="6">
        <v>1.36</v>
      </c>
      <c r="K318" s="6">
        <v>1.36</v>
      </c>
      <c r="L318" s="6">
        <v>1.36</v>
      </c>
      <c r="M318" s="6">
        <v>1.36</v>
      </c>
      <c r="N318" s="6">
        <v>1.36</v>
      </c>
      <c r="O318" s="6">
        <v>1.36</v>
      </c>
      <c r="P318" s="6">
        <v>1.36</v>
      </c>
      <c r="Q318" s="6">
        <v>1.36</v>
      </c>
    </row>
    <row r="319" spans="1:17">
      <c r="A319" s="2">
        <v>2267</v>
      </c>
      <c r="B319" s="6">
        <v>1.32</v>
      </c>
      <c r="C319" s="6">
        <v>1.32</v>
      </c>
      <c r="D319" s="6">
        <v>1.32</v>
      </c>
      <c r="E319" s="6">
        <v>1.32</v>
      </c>
      <c r="F319" s="6">
        <v>1.32</v>
      </c>
      <c r="G319" s="6">
        <v>1.32</v>
      </c>
      <c r="H319" s="6">
        <v>1.32</v>
      </c>
      <c r="I319" s="6">
        <v>1.32</v>
      </c>
      <c r="J319" s="6">
        <v>1.32</v>
      </c>
      <c r="K319" s="6">
        <v>1.32</v>
      </c>
      <c r="L319" s="6">
        <v>1.32</v>
      </c>
      <c r="M319" s="6">
        <v>1.32</v>
      </c>
      <c r="N319" s="6">
        <v>1.32</v>
      </c>
      <c r="O319" s="6">
        <v>1.32</v>
      </c>
      <c r="P319" s="6">
        <v>1.32</v>
      </c>
      <c r="Q319" s="6">
        <v>1.32</v>
      </c>
    </row>
    <row r="320" spans="1:17">
      <c r="A320" s="2">
        <v>2268</v>
      </c>
      <c r="B320" s="6">
        <v>1.28</v>
      </c>
      <c r="C320" s="6">
        <v>1.28</v>
      </c>
      <c r="D320" s="6">
        <v>1.28</v>
      </c>
      <c r="E320" s="6">
        <v>1.28</v>
      </c>
      <c r="F320" s="6">
        <v>1.28</v>
      </c>
      <c r="G320" s="6">
        <v>1.28</v>
      </c>
      <c r="H320" s="6">
        <v>1.28</v>
      </c>
      <c r="I320" s="6">
        <v>1.28</v>
      </c>
      <c r="J320" s="6">
        <v>1.28</v>
      </c>
      <c r="K320" s="6">
        <v>1.28</v>
      </c>
      <c r="L320" s="6">
        <v>1.28</v>
      </c>
      <c r="M320" s="6">
        <v>1.28</v>
      </c>
      <c r="N320" s="6">
        <v>1.28</v>
      </c>
      <c r="O320" s="6">
        <v>1.28</v>
      </c>
      <c r="P320" s="6">
        <v>1.28</v>
      </c>
      <c r="Q320" s="6">
        <v>1.28</v>
      </c>
    </row>
    <row r="321" spans="1:17">
      <c r="A321" s="2">
        <v>2269</v>
      </c>
      <c r="B321" s="6">
        <v>1.24</v>
      </c>
      <c r="C321" s="6">
        <v>1.24</v>
      </c>
      <c r="D321" s="6">
        <v>1.24</v>
      </c>
      <c r="E321" s="6">
        <v>1.24</v>
      </c>
      <c r="F321" s="6">
        <v>1.24</v>
      </c>
      <c r="G321" s="6">
        <v>1.24</v>
      </c>
      <c r="H321" s="6">
        <v>1.24</v>
      </c>
      <c r="I321" s="6">
        <v>1.24</v>
      </c>
      <c r="J321" s="6">
        <v>1.24</v>
      </c>
      <c r="K321" s="6">
        <v>1.24</v>
      </c>
      <c r="L321" s="6">
        <v>1.24</v>
      </c>
      <c r="M321" s="6">
        <v>1.24</v>
      </c>
      <c r="N321" s="6">
        <v>1.24</v>
      </c>
      <c r="O321" s="6">
        <v>1.24</v>
      </c>
      <c r="P321" s="6">
        <v>1.24</v>
      </c>
      <c r="Q321" s="6">
        <v>1.24</v>
      </c>
    </row>
    <row r="322" spans="1:17">
      <c r="A322" s="2">
        <v>2270</v>
      </c>
      <c r="B322" s="6">
        <v>1.2</v>
      </c>
      <c r="C322" s="6">
        <v>1.2</v>
      </c>
      <c r="D322" s="6">
        <v>1.2</v>
      </c>
      <c r="E322" s="6">
        <v>1.2</v>
      </c>
      <c r="F322" s="6">
        <v>1.2</v>
      </c>
      <c r="G322" s="6">
        <v>1.2</v>
      </c>
      <c r="H322" s="6">
        <v>1.2</v>
      </c>
      <c r="I322" s="6">
        <v>1.2</v>
      </c>
      <c r="J322" s="6">
        <v>1.2</v>
      </c>
      <c r="K322" s="6">
        <v>1.2</v>
      </c>
      <c r="L322" s="6">
        <v>1.2</v>
      </c>
      <c r="M322" s="6">
        <v>1.2</v>
      </c>
      <c r="N322" s="6">
        <v>1.2</v>
      </c>
      <c r="O322" s="6">
        <v>1.2</v>
      </c>
      <c r="P322" s="6">
        <v>1.2</v>
      </c>
      <c r="Q322" s="6">
        <v>1.2</v>
      </c>
    </row>
    <row r="323" spans="1:17">
      <c r="A323" s="2">
        <v>2271</v>
      </c>
      <c r="B323" s="6">
        <v>1.1599999999999999</v>
      </c>
      <c r="C323" s="6">
        <v>1.1599999999999999</v>
      </c>
      <c r="D323" s="6">
        <v>1.1599999999999999</v>
      </c>
      <c r="E323" s="6">
        <v>1.1599999999999999</v>
      </c>
      <c r="F323" s="6">
        <v>1.1599999999999999</v>
      </c>
      <c r="G323" s="6">
        <v>1.1599999999999999</v>
      </c>
      <c r="H323" s="6">
        <v>1.1599999999999999</v>
      </c>
      <c r="I323" s="6">
        <v>1.1599999999999999</v>
      </c>
      <c r="J323" s="6">
        <v>1.1599999999999999</v>
      </c>
      <c r="K323" s="6">
        <v>1.1599999999999999</v>
      </c>
      <c r="L323" s="6">
        <v>1.1599999999999999</v>
      </c>
      <c r="M323" s="6">
        <v>1.1599999999999999</v>
      </c>
      <c r="N323" s="6">
        <v>1.1599999999999999</v>
      </c>
      <c r="O323" s="6">
        <v>1.1599999999999999</v>
      </c>
      <c r="P323" s="6">
        <v>1.1599999999999999</v>
      </c>
      <c r="Q323" s="6">
        <v>1.1599999999999999</v>
      </c>
    </row>
    <row r="324" spans="1:17">
      <c r="A324" s="2">
        <v>2272</v>
      </c>
      <c r="B324" s="6">
        <v>1.1200000000000001</v>
      </c>
      <c r="C324" s="6">
        <v>1.1200000000000001</v>
      </c>
      <c r="D324" s="6">
        <v>1.1200000000000001</v>
      </c>
      <c r="E324" s="6">
        <v>1.1200000000000001</v>
      </c>
      <c r="F324" s="6">
        <v>1.1200000000000001</v>
      </c>
      <c r="G324" s="6">
        <v>1.1200000000000001</v>
      </c>
      <c r="H324" s="6">
        <v>1.1200000000000001</v>
      </c>
      <c r="I324" s="6">
        <v>1.1200000000000001</v>
      </c>
      <c r="J324" s="6">
        <v>1.1200000000000001</v>
      </c>
      <c r="K324" s="6">
        <v>1.1200000000000001</v>
      </c>
      <c r="L324" s="6">
        <v>1.1200000000000001</v>
      </c>
      <c r="M324" s="6">
        <v>1.1200000000000001</v>
      </c>
      <c r="N324" s="6">
        <v>1.1200000000000001</v>
      </c>
      <c r="O324" s="6">
        <v>1.1200000000000001</v>
      </c>
      <c r="P324" s="6">
        <v>1.1200000000000001</v>
      </c>
      <c r="Q324" s="6">
        <v>1.1200000000000001</v>
      </c>
    </row>
    <row r="325" spans="1:17">
      <c r="A325" s="2">
        <v>2273</v>
      </c>
      <c r="B325" s="6">
        <v>1.08</v>
      </c>
      <c r="C325" s="6">
        <v>1.08</v>
      </c>
      <c r="D325" s="6">
        <v>1.08</v>
      </c>
      <c r="E325" s="6">
        <v>1.08</v>
      </c>
      <c r="F325" s="6">
        <v>1.08</v>
      </c>
      <c r="G325" s="6">
        <v>1.08</v>
      </c>
      <c r="H325" s="6">
        <v>1.08</v>
      </c>
      <c r="I325" s="6">
        <v>1.08</v>
      </c>
      <c r="J325" s="6">
        <v>1.08</v>
      </c>
      <c r="K325" s="6">
        <v>1.08</v>
      </c>
      <c r="L325" s="6">
        <v>1.08</v>
      </c>
      <c r="M325" s="6">
        <v>1.08</v>
      </c>
      <c r="N325" s="6">
        <v>1.08</v>
      </c>
      <c r="O325" s="6">
        <v>1.08</v>
      </c>
      <c r="P325" s="6">
        <v>1.08</v>
      </c>
      <c r="Q325" s="6">
        <v>1.08</v>
      </c>
    </row>
    <row r="326" spans="1:17">
      <c r="A326" s="2">
        <v>2274</v>
      </c>
      <c r="B326" s="6">
        <v>1.04</v>
      </c>
      <c r="C326" s="6">
        <v>1.04</v>
      </c>
      <c r="D326" s="6">
        <v>1.04</v>
      </c>
      <c r="E326" s="6">
        <v>1.04</v>
      </c>
      <c r="F326" s="6">
        <v>1.04</v>
      </c>
      <c r="G326" s="6">
        <v>1.04</v>
      </c>
      <c r="H326" s="6">
        <v>1.04</v>
      </c>
      <c r="I326" s="6">
        <v>1.04</v>
      </c>
      <c r="J326" s="6">
        <v>1.04</v>
      </c>
      <c r="K326" s="6">
        <v>1.04</v>
      </c>
      <c r="L326" s="6">
        <v>1.04</v>
      </c>
      <c r="M326" s="6">
        <v>1.04</v>
      </c>
      <c r="N326" s="6">
        <v>1.04</v>
      </c>
      <c r="O326" s="6">
        <v>1.04</v>
      </c>
      <c r="P326" s="6">
        <v>1.04</v>
      </c>
      <c r="Q326" s="6">
        <v>1.04</v>
      </c>
    </row>
    <row r="327" spans="1:17">
      <c r="A327" s="2">
        <v>2275</v>
      </c>
      <c r="B327" s="6">
        <v>1</v>
      </c>
      <c r="C327" s="6">
        <v>1</v>
      </c>
      <c r="D327" s="6">
        <v>1</v>
      </c>
      <c r="E327" s="6">
        <v>1</v>
      </c>
      <c r="F327" s="6">
        <v>1</v>
      </c>
      <c r="G327" s="6">
        <v>1</v>
      </c>
      <c r="H327" s="6">
        <v>1</v>
      </c>
      <c r="I327" s="6">
        <v>1</v>
      </c>
      <c r="J327" s="6">
        <v>1</v>
      </c>
      <c r="K327" s="6">
        <v>1</v>
      </c>
      <c r="L327" s="6">
        <v>1</v>
      </c>
      <c r="M327" s="6">
        <v>1</v>
      </c>
      <c r="N327" s="6">
        <v>1</v>
      </c>
      <c r="O327" s="6">
        <v>1</v>
      </c>
      <c r="P327" s="6">
        <v>1</v>
      </c>
      <c r="Q327" s="6">
        <v>1</v>
      </c>
    </row>
    <row r="328" spans="1:17">
      <c r="A328" s="2">
        <v>2276</v>
      </c>
      <c r="B328" s="6">
        <v>0.96</v>
      </c>
      <c r="C328" s="6">
        <v>0.96</v>
      </c>
      <c r="D328" s="6">
        <v>0.96</v>
      </c>
      <c r="E328" s="6">
        <v>0.96</v>
      </c>
      <c r="F328" s="6">
        <v>0.96</v>
      </c>
      <c r="G328" s="6">
        <v>0.96</v>
      </c>
      <c r="H328" s="6">
        <v>0.96</v>
      </c>
      <c r="I328" s="6">
        <v>0.96</v>
      </c>
      <c r="J328" s="6">
        <v>0.96</v>
      </c>
      <c r="K328" s="6">
        <v>0.96</v>
      </c>
      <c r="L328" s="6">
        <v>0.96</v>
      </c>
      <c r="M328" s="6">
        <v>0.96</v>
      </c>
      <c r="N328" s="6">
        <v>0.96</v>
      </c>
      <c r="O328" s="6">
        <v>0.96</v>
      </c>
      <c r="P328" s="6">
        <v>0.96</v>
      </c>
      <c r="Q328" s="6">
        <v>0.96</v>
      </c>
    </row>
    <row r="329" spans="1:17">
      <c r="A329" s="2">
        <v>2277</v>
      </c>
      <c r="B329" s="6">
        <v>0.92</v>
      </c>
      <c r="C329" s="6">
        <v>0.92</v>
      </c>
      <c r="D329" s="6">
        <v>0.92</v>
      </c>
      <c r="E329" s="6">
        <v>0.92</v>
      </c>
      <c r="F329" s="6">
        <v>0.92</v>
      </c>
      <c r="G329" s="6">
        <v>0.92</v>
      </c>
      <c r="H329" s="6">
        <v>0.92</v>
      </c>
      <c r="I329" s="6">
        <v>0.92</v>
      </c>
      <c r="J329" s="6">
        <v>0.92</v>
      </c>
      <c r="K329" s="6">
        <v>0.92</v>
      </c>
      <c r="L329" s="6">
        <v>0.92</v>
      </c>
      <c r="M329" s="6">
        <v>0.92</v>
      </c>
      <c r="N329" s="6">
        <v>0.92</v>
      </c>
      <c r="O329" s="6">
        <v>0.92</v>
      </c>
      <c r="P329" s="6">
        <v>0.92</v>
      </c>
      <c r="Q329" s="6">
        <v>0.92</v>
      </c>
    </row>
    <row r="330" spans="1:17">
      <c r="A330" s="2">
        <v>2278</v>
      </c>
      <c r="B330" s="6">
        <v>0.88</v>
      </c>
      <c r="C330" s="6">
        <v>0.88</v>
      </c>
      <c r="D330" s="6">
        <v>0.88</v>
      </c>
      <c r="E330" s="6">
        <v>0.88</v>
      </c>
      <c r="F330" s="6">
        <v>0.88</v>
      </c>
      <c r="G330" s="6">
        <v>0.88</v>
      </c>
      <c r="H330" s="6">
        <v>0.88</v>
      </c>
      <c r="I330" s="6">
        <v>0.88</v>
      </c>
      <c r="J330" s="6">
        <v>0.88</v>
      </c>
      <c r="K330" s="6">
        <v>0.88</v>
      </c>
      <c r="L330" s="6">
        <v>0.88</v>
      </c>
      <c r="M330" s="6">
        <v>0.88</v>
      </c>
      <c r="N330" s="6">
        <v>0.88</v>
      </c>
      <c r="O330" s="6">
        <v>0.88</v>
      </c>
      <c r="P330" s="6">
        <v>0.88</v>
      </c>
      <c r="Q330" s="6">
        <v>0.88</v>
      </c>
    </row>
    <row r="331" spans="1:17">
      <c r="A331" s="2">
        <v>2279</v>
      </c>
      <c r="B331" s="6">
        <v>0.84</v>
      </c>
      <c r="C331" s="6">
        <v>0.84</v>
      </c>
      <c r="D331" s="6">
        <v>0.84</v>
      </c>
      <c r="E331" s="6">
        <v>0.84</v>
      </c>
      <c r="F331" s="6">
        <v>0.84</v>
      </c>
      <c r="G331" s="6">
        <v>0.84</v>
      </c>
      <c r="H331" s="6">
        <v>0.84</v>
      </c>
      <c r="I331" s="6">
        <v>0.84</v>
      </c>
      <c r="J331" s="6">
        <v>0.84</v>
      </c>
      <c r="K331" s="6">
        <v>0.84</v>
      </c>
      <c r="L331" s="6">
        <v>0.84</v>
      </c>
      <c r="M331" s="6">
        <v>0.84</v>
      </c>
      <c r="N331" s="6">
        <v>0.84</v>
      </c>
      <c r="O331" s="6">
        <v>0.84</v>
      </c>
      <c r="P331" s="6">
        <v>0.84</v>
      </c>
      <c r="Q331" s="6">
        <v>0.84</v>
      </c>
    </row>
    <row r="332" spans="1:17">
      <c r="A332" s="2">
        <v>2280</v>
      </c>
      <c r="B332" s="6">
        <v>0.8</v>
      </c>
      <c r="C332" s="6">
        <v>0.8</v>
      </c>
      <c r="D332" s="6">
        <v>0.8</v>
      </c>
      <c r="E332" s="6">
        <v>0.8</v>
      </c>
      <c r="F332" s="6">
        <v>0.8</v>
      </c>
      <c r="G332" s="6">
        <v>0.8</v>
      </c>
      <c r="H332" s="6">
        <v>0.8</v>
      </c>
      <c r="I332" s="6">
        <v>0.8</v>
      </c>
      <c r="J332" s="6">
        <v>0.8</v>
      </c>
      <c r="K332" s="6">
        <v>0.8</v>
      </c>
      <c r="L332" s="6">
        <v>0.8</v>
      </c>
      <c r="M332" s="6">
        <v>0.8</v>
      </c>
      <c r="N332" s="6">
        <v>0.8</v>
      </c>
      <c r="O332" s="6">
        <v>0.8</v>
      </c>
      <c r="P332" s="6">
        <v>0.8</v>
      </c>
      <c r="Q332" s="6">
        <v>0.8</v>
      </c>
    </row>
    <row r="333" spans="1:17">
      <c r="A333" s="2">
        <v>2281</v>
      </c>
      <c r="B333" s="6">
        <v>0.76</v>
      </c>
      <c r="C333" s="6">
        <v>0.76</v>
      </c>
      <c r="D333" s="6">
        <v>0.76</v>
      </c>
      <c r="E333" s="6">
        <v>0.76</v>
      </c>
      <c r="F333" s="6">
        <v>0.76</v>
      </c>
      <c r="G333" s="6">
        <v>0.76</v>
      </c>
      <c r="H333" s="6">
        <v>0.76</v>
      </c>
      <c r="I333" s="6">
        <v>0.76</v>
      </c>
      <c r="J333" s="6">
        <v>0.76</v>
      </c>
      <c r="K333" s="6">
        <v>0.76</v>
      </c>
      <c r="L333" s="6">
        <v>0.76</v>
      </c>
      <c r="M333" s="6">
        <v>0.76</v>
      </c>
      <c r="N333" s="6">
        <v>0.76</v>
      </c>
      <c r="O333" s="6">
        <v>0.76</v>
      </c>
      <c r="P333" s="6">
        <v>0.76</v>
      </c>
      <c r="Q333" s="6">
        <v>0.76</v>
      </c>
    </row>
    <row r="334" spans="1:17">
      <c r="A334" s="2">
        <v>2282</v>
      </c>
      <c r="B334" s="6">
        <v>0.72</v>
      </c>
      <c r="C334" s="6">
        <v>0.72</v>
      </c>
      <c r="D334" s="6">
        <v>0.72</v>
      </c>
      <c r="E334" s="6">
        <v>0.72</v>
      </c>
      <c r="F334" s="6">
        <v>0.72</v>
      </c>
      <c r="G334" s="6">
        <v>0.72</v>
      </c>
      <c r="H334" s="6">
        <v>0.72</v>
      </c>
      <c r="I334" s="6">
        <v>0.72</v>
      </c>
      <c r="J334" s="6">
        <v>0.72</v>
      </c>
      <c r="K334" s="6">
        <v>0.72</v>
      </c>
      <c r="L334" s="6">
        <v>0.72</v>
      </c>
      <c r="M334" s="6">
        <v>0.72</v>
      </c>
      <c r="N334" s="6">
        <v>0.72</v>
      </c>
      <c r="O334" s="6">
        <v>0.72</v>
      </c>
      <c r="P334" s="6">
        <v>0.72</v>
      </c>
      <c r="Q334" s="6">
        <v>0.72</v>
      </c>
    </row>
    <row r="335" spans="1:17">
      <c r="A335" s="2">
        <v>2283</v>
      </c>
      <c r="B335" s="6">
        <v>0.68</v>
      </c>
      <c r="C335" s="6">
        <v>0.68</v>
      </c>
      <c r="D335" s="6">
        <v>0.68</v>
      </c>
      <c r="E335" s="6">
        <v>0.68</v>
      </c>
      <c r="F335" s="6">
        <v>0.68</v>
      </c>
      <c r="G335" s="6">
        <v>0.68</v>
      </c>
      <c r="H335" s="6">
        <v>0.68</v>
      </c>
      <c r="I335" s="6">
        <v>0.68</v>
      </c>
      <c r="J335" s="6">
        <v>0.68</v>
      </c>
      <c r="K335" s="6">
        <v>0.68</v>
      </c>
      <c r="L335" s="6">
        <v>0.68</v>
      </c>
      <c r="M335" s="6">
        <v>0.68</v>
      </c>
      <c r="N335" s="6">
        <v>0.68</v>
      </c>
      <c r="O335" s="6">
        <v>0.68</v>
      </c>
      <c r="P335" s="6">
        <v>0.68</v>
      </c>
      <c r="Q335" s="6">
        <v>0.68</v>
      </c>
    </row>
    <row r="336" spans="1:17">
      <c r="A336" s="2">
        <v>2284</v>
      </c>
      <c r="B336" s="6">
        <v>0.64</v>
      </c>
      <c r="C336" s="6">
        <v>0.64</v>
      </c>
      <c r="D336" s="6">
        <v>0.64</v>
      </c>
      <c r="E336" s="6">
        <v>0.64</v>
      </c>
      <c r="F336" s="6">
        <v>0.64</v>
      </c>
      <c r="G336" s="6">
        <v>0.64</v>
      </c>
      <c r="H336" s="6">
        <v>0.64</v>
      </c>
      <c r="I336" s="6">
        <v>0.64</v>
      </c>
      <c r="J336" s="6">
        <v>0.64</v>
      </c>
      <c r="K336" s="6">
        <v>0.64</v>
      </c>
      <c r="L336" s="6">
        <v>0.64</v>
      </c>
      <c r="M336" s="6">
        <v>0.64</v>
      </c>
      <c r="N336" s="6">
        <v>0.64</v>
      </c>
      <c r="O336" s="6">
        <v>0.64</v>
      </c>
      <c r="P336" s="6">
        <v>0.64</v>
      </c>
      <c r="Q336" s="6">
        <v>0.64</v>
      </c>
    </row>
    <row r="337" spans="1:17">
      <c r="A337" s="2">
        <v>2285</v>
      </c>
      <c r="B337" s="6">
        <v>0.6</v>
      </c>
      <c r="C337" s="6">
        <v>0.6</v>
      </c>
      <c r="D337" s="6">
        <v>0.6</v>
      </c>
      <c r="E337" s="6">
        <v>0.6</v>
      </c>
      <c r="F337" s="6">
        <v>0.6</v>
      </c>
      <c r="G337" s="6">
        <v>0.6</v>
      </c>
      <c r="H337" s="6">
        <v>0.6</v>
      </c>
      <c r="I337" s="6">
        <v>0.6</v>
      </c>
      <c r="J337" s="6">
        <v>0.6</v>
      </c>
      <c r="K337" s="6">
        <v>0.6</v>
      </c>
      <c r="L337" s="6">
        <v>0.6</v>
      </c>
      <c r="M337" s="6">
        <v>0.6</v>
      </c>
      <c r="N337" s="6">
        <v>0.6</v>
      </c>
      <c r="O337" s="6">
        <v>0.6</v>
      </c>
      <c r="P337" s="6">
        <v>0.6</v>
      </c>
      <c r="Q337" s="6">
        <v>0.6</v>
      </c>
    </row>
    <row r="338" spans="1:17">
      <c r="A338" s="2">
        <v>2286</v>
      </c>
      <c r="B338" s="6">
        <v>0.56000000000000005</v>
      </c>
      <c r="C338" s="6">
        <v>0.56000000000000005</v>
      </c>
      <c r="D338" s="6">
        <v>0.56000000000000005</v>
      </c>
      <c r="E338" s="6">
        <v>0.56000000000000005</v>
      </c>
      <c r="F338" s="6">
        <v>0.56000000000000005</v>
      </c>
      <c r="G338" s="6">
        <v>0.56000000000000005</v>
      </c>
      <c r="H338" s="6">
        <v>0.56000000000000005</v>
      </c>
      <c r="I338" s="6">
        <v>0.56000000000000005</v>
      </c>
      <c r="J338" s="6">
        <v>0.56000000000000005</v>
      </c>
      <c r="K338" s="6">
        <v>0.56000000000000005</v>
      </c>
      <c r="L338" s="6">
        <v>0.56000000000000005</v>
      </c>
      <c r="M338" s="6">
        <v>0.56000000000000005</v>
      </c>
      <c r="N338" s="6">
        <v>0.56000000000000005</v>
      </c>
      <c r="O338" s="6">
        <v>0.56000000000000005</v>
      </c>
      <c r="P338" s="6">
        <v>0.56000000000000005</v>
      </c>
      <c r="Q338" s="6">
        <v>0.56000000000000005</v>
      </c>
    </row>
    <row r="339" spans="1:17">
      <c r="A339" s="2">
        <v>2287</v>
      </c>
      <c r="B339" s="6">
        <v>0.52</v>
      </c>
      <c r="C339" s="6">
        <v>0.52</v>
      </c>
      <c r="D339" s="6">
        <v>0.52</v>
      </c>
      <c r="E339" s="6">
        <v>0.52</v>
      </c>
      <c r="F339" s="6">
        <v>0.52</v>
      </c>
      <c r="G339" s="6">
        <v>0.52</v>
      </c>
      <c r="H339" s="6">
        <v>0.52</v>
      </c>
      <c r="I339" s="6">
        <v>0.52</v>
      </c>
      <c r="J339" s="6">
        <v>0.52</v>
      </c>
      <c r="K339" s="6">
        <v>0.52</v>
      </c>
      <c r="L339" s="6">
        <v>0.52</v>
      </c>
      <c r="M339" s="6">
        <v>0.52</v>
      </c>
      <c r="N339" s="6">
        <v>0.52</v>
      </c>
      <c r="O339" s="6">
        <v>0.52</v>
      </c>
      <c r="P339" s="6">
        <v>0.52</v>
      </c>
      <c r="Q339" s="6">
        <v>0.52</v>
      </c>
    </row>
    <row r="340" spans="1:17">
      <c r="A340" s="2">
        <v>2288</v>
      </c>
      <c r="B340" s="6">
        <v>0.48</v>
      </c>
      <c r="C340" s="6">
        <v>0.48</v>
      </c>
      <c r="D340" s="6">
        <v>0.48</v>
      </c>
      <c r="E340" s="6">
        <v>0.48</v>
      </c>
      <c r="F340" s="6">
        <v>0.48</v>
      </c>
      <c r="G340" s="6">
        <v>0.48</v>
      </c>
      <c r="H340" s="6">
        <v>0.48</v>
      </c>
      <c r="I340" s="6">
        <v>0.48</v>
      </c>
      <c r="J340" s="6">
        <v>0.48</v>
      </c>
      <c r="K340" s="6">
        <v>0.48</v>
      </c>
      <c r="L340" s="6">
        <v>0.48</v>
      </c>
      <c r="M340" s="6">
        <v>0.48</v>
      </c>
      <c r="N340" s="6">
        <v>0.48</v>
      </c>
      <c r="O340" s="6">
        <v>0.48</v>
      </c>
      <c r="P340" s="6">
        <v>0.48</v>
      </c>
      <c r="Q340" s="6">
        <v>0.48</v>
      </c>
    </row>
    <row r="341" spans="1:17">
      <c r="A341" s="2">
        <v>2289</v>
      </c>
      <c r="B341" s="6">
        <v>0.44</v>
      </c>
      <c r="C341" s="6">
        <v>0.44</v>
      </c>
      <c r="D341" s="6">
        <v>0.44</v>
      </c>
      <c r="E341" s="6">
        <v>0.44</v>
      </c>
      <c r="F341" s="6">
        <v>0.44</v>
      </c>
      <c r="G341" s="6">
        <v>0.44</v>
      </c>
      <c r="H341" s="6">
        <v>0.44</v>
      </c>
      <c r="I341" s="6">
        <v>0.44</v>
      </c>
      <c r="J341" s="6">
        <v>0.44</v>
      </c>
      <c r="K341" s="6">
        <v>0.44</v>
      </c>
      <c r="L341" s="6">
        <v>0.44</v>
      </c>
      <c r="M341" s="6">
        <v>0.44</v>
      </c>
      <c r="N341" s="6">
        <v>0.44</v>
      </c>
      <c r="O341" s="6">
        <v>0.44</v>
      </c>
      <c r="P341" s="6">
        <v>0.44</v>
      </c>
      <c r="Q341" s="6">
        <v>0.44</v>
      </c>
    </row>
    <row r="342" spans="1:17">
      <c r="A342" s="2">
        <v>2290</v>
      </c>
      <c r="B342" s="6">
        <v>0.4</v>
      </c>
      <c r="C342" s="6">
        <v>0.4</v>
      </c>
      <c r="D342" s="6">
        <v>0.4</v>
      </c>
      <c r="E342" s="6">
        <v>0.4</v>
      </c>
      <c r="F342" s="6">
        <v>0.4</v>
      </c>
      <c r="G342" s="6">
        <v>0.4</v>
      </c>
      <c r="H342" s="6">
        <v>0.4</v>
      </c>
      <c r="I342" s="6">
        <v>0.4</v>
      </c>
      <c r="J342" s="6">
        <v>0.4</v>
      </c>
      <c r="K342" s="6">
        <v>0.4</v>
      </c>
      <c r="L342" s="6">
        <v>0.4</v>
      </c>
      <c r="M342" s="6">
        <v>0.4</v>
      </c>
      <c r="N342" s="6">
        <v>0.4</v>
      </c>
      <c r="O342" s="6">
        <v>0.4</v>
      </c>
      <c r="P342" s="6">
        <v>0.4</v>
      </c>
      <c r="Q342" s="6">
        <v>0.4</v>
      </c>
    </row>
    <row r="343" spans="1:17">
      <c r="A343" s="2">
        <v>2291</v>
      </c>
      <c r="B343" s="6">
        <v>0.36</v>
      </c>
      <c r="C343" s="6">
        <v>0.36</v>
      </c>
      <c r="D343" s="6">
        <v>0.36</v>
      </c>
      <c r="E343" s="6">
        <v>0.36</v>
      </c>
      <c r="F343" s="6">
        <v>0.36</v>
      </c>
      <c r="G343" s="6">
        <v>0.36</v>
      </c>
      <c r="H343" s="6">
        <v>0.36</v>
      </c>
      <c r="I343" s="6">
        <v>0.36</v>
      </c>
      <c r="J343" s="6">
        <v>0.36</v>
      </c>
      <c r="K343" s="6">
        <v>0.36</v>
      </c>
      <c r="L343" s="6">
        <v>0.36</v>
      </c>
      <c r="M343" s="6">
        <v>0.36</v>
      </c>
      <c r="N343" s="6">
        <v>0.36</v>
      </c>
      <c r="O343" s="6">
        <v>0.36</v>
      </c>
      <c r="P343" s="6">
        <v>0.36</v>
      </c>
      <c r="Q343" s="6">
        <v>0.36</v>
      </c>
    </row>
    <row r="344" spans="1:17">
      <c r="A344" s="2">
        <v>2292</v>
      </c>
      <c r="B344" s="6">
        <v>0.32</v>
      </c>
      <c r="C344" s="6">
        <v>0.32</v>
      </c>
      <c r="D344" s="6">
        <v>0.32</v>
      </c>
      <c r="E344" s="6">
        <v>0.32</v>
      </c>
      <c r="F344" s="6">
        <v>0.32</v>
      </c>
      <c r="G344" s="6">
        <v>0.32</v>
      </c>
      <c r="H344" s="6">
        <v>0.32</v>
      </c>
      <c r="I344" s="6">
        <v>0.32</v>
      </c>
      <c r="J344" s="6">
        <v>0.32</v>
      </c>
      <c r="K344" s="6">
        <v>0.32</v>
      </c>
      <c r="L344" s="6">
        <v>0.32</v>
      </c>
      <c r="M344" s="6">
        <v>0.32</v>
      </c>
      <c r="N344" s="6">
        <v>0.32</v>
      </c>
      <c r="O344" s="6">
        <v>0.32</v>
      </c>
      <c r="P344" s="6">
        <v>0.32</v>
      </c>
      <c r="Q344" s="6">
        <v>0.32</v>
      </c>
    </row>
    <row r="345" spans="1:17">
      <c r="A345" s="2">
        <v>2293</v>
      </c>
      <c r="B345" s="6">
        <v>0.28000000000000003</v>
      </c>
      <c r="C345" s="6">
        <v>0.28000000000000003</v>
      </c>
      <c r="D345" s="6">
        <v>0.28000000000000003</v>
      </c>
      <c r="E345" s="6">
        <v>0.28000000000000003</v>
      </c>
      <c r="F345" s="6">
        <v>0.28000000000000003</v>
      </c>
      <c r="G345" s="6">
        <v>0.28000000000000003</v>
      </c>
      <c r="H345" s="6">
        <v>0.28000000000000003</v>
      </c>
      <c r="I345" s="6">
        <v>0.28000000000000003</v>
      </c>
      <c r="J345" s="6">
        <v>0.28000000000000003</v>
      </c>
      <c r="K345" s="6">
        <v>0.28000000000000003</v>
      </c>
      <c r="L345" s="6">
        <v>0.28000000000000003</v>
      </c>
      <c r="M345" s="6">
        <v>0.28000000000000003</v>
      </c>
      <c r="N345" s="6">
        <v>0.28000000000000003</v>
      </c>
      <c r="O345" s="6">
        <v>0.28000000000000003</v>
      </c>
      <c r="P345" s="6">
        <v>0.28000000000000003</v>
      </c>
      <c r="Q345" s="6">
        <v>0.28000000000000003</v>
      </c>
    </row>
    <row r="346" spans="1:17">
      <c r="A346" s="2">
        <v>2294</v>
      </c>
      <c r="B346" s="6">
        <v>0.24</v>
      </c>
      <c r="C346" s="6">
        <v>0.24</v>
      </c>
      <c r="D346" s="6">
        <v>0.24</v>
      </c>
      <c r="E346" s="6">
        <v>0.24</v>
      </c>
      <c r="F346" s="6">
        <v>0.24</v>
      </c>
      <c r="G346" s="6">
        <v>0.24</v>
      </c>
      <c r="H346" s="6">
        <v>0.24</v>
      </c>
      <c r="I346" s="6">
        <v>0.24</v>
      </c>
      <c r="J346" s="6">
        <v>0.24</v>
      </c>
      <c r="K346" s="6">
        <v>0.24</v>
      </c>
      <c r="L346" s="6">
        <v>0.24</v>
      </c>
      <c r="M346" s="6">
        <v>0.24</v>
      </c>
      <c r="N346" s="6">
        <v>0.24</v>
      </c>
      <c r="O346" s="6">
        <v>0.24</v>
      </c>
      <c r="P346" s="6">
        <v>0.24</v>
      </c>
      <c r="Q346" s="6">
        <v>0.24</v>
      </c>
    </row>
    <row r="347" spans="1:17">
      <c r="A347" s="2">
        <v>2295</v>
      </c>
      <c r="B347" s="6">
        <v>0.2</v>
      </c>
      <c r="C347" s="6">
        <v>0.2</v>
      </c>
      <c r="D347" s="6">
        <v>0.2</v>
      </c>
      <c r="E347" s="6">
        <v>0.2</v>
      </c>
      <c r="F347" s="6">
        <v>0.2</v>
      </c>
      <c r="G347" s="6">
        <v>0.2</v>
      </c>
      <c r="H347" s="6">
        <v>0.2</v>
      </c>
      <c r="I347" s="6">
        <v>0.2</v>
      </c>
      <c r="J347" s="6">
        <v>0.2</v>
      </c>
      <c r="K347" s="6">
        <v>0.2</v>
      </c>
      <c r="L347" s="6">
        <v>0.2</v>
      </c>
      <c r="M347" s="6">
        <v>0.2</v>
      </c>
      <c r="N347" s="6">
        <v>0.2</v>
      </c>
      <c r="O347" s="6">
        <v>0.2</v>
      </c>
      <c r="P347" s="6">
        <v>0.2</v>
      </c>
      <c r="Q347" s="6">
        <v>0.2</v>
      </c>
    </row>
    <row r="348" spans="1:17">
      <c r="A348" s="2">
        <v>2296</v>
      </c>
      <c r="B348" s="6">
        <v>0.16</v>
      </c>
      <c r="C348" s="6">
        <v>0.16</v>
      </c>
      <c r="D348" s="6">
        <v>0.16</v>
      </c>
      <c r="E348" s="6">
        <v>0.16</v>
      </c>
      <c r="F348" s="6">
        <v>0.16</v>
      </c>
      <c r="G348" s="6">
        <v>0.16</v>
      </c>
      <c r="H348" s="6">
        <v>0.16</v>
      </c>
      <c r="I348" s="6">
        <v>0.16</v>
      </c>
      <c r="J348" s="6">
        <v>0.16</v>
      </c>
      <c r="K348" s="6">
        <v>0.16</v>
      </c>
      <c r="L348" s="6">
        <v>0.16</v>
      </c>
      <c r="M348" s="6">
        <v>0.16</v>
      </c>
      <c r="N348" s="6">
        <v>0.16</v>
      </c>
      <c r="O348" s="6">
        <v>0.16</v>
      </c>
      <c r="P348" s="6">
        <v>0.16</v>
      </c>
      <c r="Q348" s="6">
        <v>0.16</v>
      </c>
    </row>
    <row r="349" spans="1:17">
      <c r="A349" s="2">
        <v>2297</v>
      </c>
      <c r="B349" s="6">
        <v>0.12</v>
      </c>
      <c r="C349" s="6">
        <v>0.12</v>
      </c>
      <c r="D349" s="6">
        <v>0.12</v>
      </c>
      <c r="E349" s="6">
        <v>0.12</v>
      </c>
      <c r="F349" s="6">
        <v>0.12</v>
      </c>
      <c r="G349" s="6">
        <v>0.12</v>
      </c>
      <c r="H349" s="6">
        <v>0.12</v>
      </c>
      <c r="I349" s="6">
        <v>0.12</v>
      </c>
      <c r="J349" s="6">
        <v>0.12</v>
      </c>
      <c r="K349" s="6">
        <v>0.12</v>
      </c>
      <c r="L349" s="6">
        <v>0.12</v>
      </c>
      <c r="M349" s="6">
        <v>0.12</v>
      </c>
      <c r="N349" s="6">
        <v>0.12</v>
      </c>
      <c r="O349" s="6">
        <v>0.12</v>
      </c>
      <c r="P349" s="6">
        <v>0.12</v>
      </c>
      <c r="Q349" s="6">
        <v>0.12</v>
      </c>
    </row>
    <row r="350" spans="1:17">
      <c r="A350" s="2">
        <v>2298</v>
      </c>
      <c r="B350" s="6">
        <v>0.08</v>
      </c>
      <c r="C350" s="6">
        <v>0.08</v>
      </c>
      <c r="D350" s="6">
        <v>0.08</v>
      </c>
      <c r="E350" s="6">
        <v>0.08</v>
      </c>
      <c r="F350" s="6">
        <v>0.08</v>
      </c>
      <c r="G350" s="6">
        <v>0.08</v>
      </c>
      <c r="H350" s="6">
        <v>0.08</v>
      </c>
      <c r="I350" s="6">
        <v>0.08</v>
      </c>
      <c r="J350" s="6">
        <v>0.08</v>
      </c>
      <c r="K350" s="6">
        <v>0.08</v>
      </c>
      <c r="L350" s="6">
        <v>0.08</v>
      </c>
      <c r="M350" s="6">
        <v>0.08</v>
      </c>
      <c r="N350" s="6">
        <v>0.08</v>
      </c>
      <c r="O350" s="6">
        <v>0.08</v>
      </c>
      <c r="P350" s="6">
        <v>0.08</v>
      </c>
      <c r="Q350" s="6">
        <v>0.08</v>
      </c>
    </row>
    <row r="351" spans="1:17">
      <c r="A351" s="2">
        <v>2299</v>
      </c>
      <c r="B351" s="6">
        <v>0.04</v>
      </c>
      <c r="C351" s="6">
        <v>0.04</v>
      </c>
      <c r="D351" s="6">
        <v>0.04</v>
      </c>
      <c r="E351" s="6">
        <v>0.04</v>
      </c>
      <c r="F351" s="6">
        <v>0.04</v>
      </c>
      <c r="G351" s="6">
        <v>0.04</v>
      </c>
      <c r="H351" s="6">
        <v>0.04</v>
      </c>
      <c r="I351" s="6">
        <v>0.04</v>
      </c>
      <c r="J351" s="6">
        <v>0.04</v>
      </c>
      <c r="K351" s="6">
        <v>0.04</v>
      </c>
      <c r="L351" s="6">
        <v>0.04</v>
      </c>
      <c r="M351" s="6">
        <v>0.04</v>
      </c>
      <c r="N351" s="6">
        <v>0.04</v>
      </c>
      <c r="O351" s="6">
        <v>0.04</v>
      </c>
      <c r="P351" s="6">
        <v>0.04</v>
      </c>
      <c r="Q351" s="6">
        <v>0.04</v>
      </c>
    </row>
    <row r="352" spans="1:17">
      <c r="A352" s="2">
        <v>2300</v>
      </c>
      <c r="B352" s="6">
        <v>0</v>
      </c>
      <c r="C352" s="6">
        <v>0</v>
      </c>
      <c r="D352" s="6">
        <v>0</v>
      </c>
      <c r="E352" s="6">
        <v>0</v>
      </c>
      <c r="F352" s="6">
        <v>0</v>
      </c>
      <c r="G352" s="6">
        <v>0</v>
      </c>
      <c r="H352" s="6">
        <v>0</v>
      </c>
      <c r="I352" s="6">
        <v>0</v>
      </c>
      <c r="J352" s="6">
        <v>0</v>
      </c>
      <c r="K352" s="6">
        <v>0</v>
      </c>
      <c r="L352" s="6">
        <v>0</v>
      </c>
      <c r="M352" s="6">
        <v>0</v>
      </c>
      <c r="N352" s="6">
        <v>0</v>
      </c>
      <c r="O352" s="6">
        <v>0</v>
      </c>
      <c r="P352" s="6">
        <v>0</v>
      </c>
      <c r="Q352" s="6">
        <v>0</v>
      </c>
    </row>
    <row r="353" spans="1:17">
      <c r="A353" s="2">
        <v>2301</v>
      </c>
      <c r="B353" s="6">
        <v>0.1</v>
      </c>
      <c r="C353" s="6">
        <v>0.1</v>
      </c>
      <c r="D353" s="6">
        <v>0.1</v>
      </c>
      <c r="E353" s="6">
        <v>0.1</v>
      </c>
      <c r="F353" s="6">
        <v>0.1</v>
      </c>
      <c r="G353" s="6">
        <v>0.1</v>
      </c>
      <c r="H353" s="6">
        <v>0.1</v>
      </c>
      <c r="I353" s="6">
        <v>0.1</v>
      </c>
      <c r="J353" s="6">
        <v>0.1</v>
      </c>
      <c r="K353" s="6">
        <v>0.1</v>
      </c>
      <c r="L353" s="6">
        <v>0.1</v>
      </c>
      <c r="M353" s="6">
        <v>0.1</v>
      </c>
      <c r="N353" s="6">
        <v>0.1</v>
      </c>
      <c r="O353" s="6">
        <v>0.1</v>
      </c>
      <c r="P353" s="6">
        <v>0.1</v>
      </c>
      <c r="Q353" s="6">
        <v>0.1</v>
      </c>
    </row>
    <row r="354" spans="1:17">
      <c r="A354" s="2">
        <v>2302</v>
      </c>
      <c r="B354" s="6">
        <v>0.1</v>
      </c>
      <c r="C354" s="6">
        <v>0.1</v>
      </c>
      <c r="D354" s="6">
        <v>0.1</v>
      </c>
      <c r="E354" s="6">
        <v>0.1</v>
      </c>
      <c r="F354" s="6">
        <v>0.1</v>
      </c>
      <c r="G354" s="6">
        <v>0.1</v>
      </c>
      <c r="H354" s="6">
        <v>0.1</v>
      </c>
      <c r="I354" s="6">
        <v>0.1</v>
      </c>
      <c r="J354" s="6">
        <v>0.1</v>
      </c>
      <c r="K354" s="6">
        <v>0.1</v>
      </c>
      <c r="L354" s="6">
        <v>0.1</v>
      </c>
      <c r="M354" s="6">
        <v>0.1</v>
      </c>
      <c r="N354" s="6">
        <v>0.1</v>
      </c>
      <c r="O354" s="6">
        <v>0.1</v>
      </c>
      <c r="P354" s="6">
        <v>0.1</v>
      </c>
      <c r="Q354" s="6">
        <v>0.1</v>
      </c>
    </row>
    <row r="355" spans="1:17">
      <c r="A355" s="2">
        <v>2303</v>
      </c>
      <c r="B355" s="6">
        <v>0.1</v>
      </c>
      <c r="C355" s="6">
        <v>0.1</v>
      </c>
      <c r="D355" s="6">
        <v>0.1</v>
      </c>
      <c r="E355" s="6">
        <v>0.1</v>
      </c>
      <c r="F355" s="6">
        <v>0.1</v>
      </c>
      <c r="G355" s="6">
        <v>0.1</v>
      </c>
      <c r="H355" s="6">
        <v>0.1</v>
      </c>
      <c r="I355" s="6">
        <v>0.1</v>
      </c>
      <c r="J355" s="6">
        <v>0.1</v>
      </c>
      <c r="K355" s="6">
        <v>0.1</v>
      </c>
      <c r="L355" s="6">
        <v>0.1</v>
      </c>
      <c r="M355" s="6">
        <v>0.1</v>
      </c>
      <c r="N355" s="6">
        <v>0.1</v>
      </c>
      <c r="O355" s="6">
        <v>0.1</v>
      </c>
      <c r="P355" s="6">
        <v>0.1</v>
      </c>
      <c r="Q355" s="6">
        <v>0.1</v>
      </c>
    </row>
    <row r="356" spans="1:17">
      <c r="A356" s="2">
        <v>2304</v>
      </c>
      <c r="B356" s="6">
        <v>0.1</v>
      </c>
      <c r="C356" s="6">
        <v>0.1</v>
      </c>
      <c r="D356" s="6">
        <v>0.1</v>
      </c>
      <c r="E356" s="6">
        <v>0.1</v>
      </c>
      <c r="F356" s="6">
        <v>0.1</v>
      </c>
      <c r="G356" s="6">
        <v>0.1</v>
      </c>
      <c r="H356" s="6">
        <v>0.1</v>
      </c>
      <c r="I356" s="6">
        <v>0.1</v>
      </c>
      <c r="J356" s="6">
        <v>0.1</v>
      </c>
      <c r="K356" s="6">
        <v>0.1</v>
      </c>
      <c r="L356" s="6">
        <v>0.1</v>
      </c>
      <c r="M356" s="6">
        <v>0.1</v>
      </c>
      <c r="N356" s="6">
        <v>0.1</v>
      </c>
      <c r="O356" s="6">
        <v>0.1</v>
      </c>
      <c r="P356" s="6">
        <v>0.1</v>
      </c>
      <c r="Q356" s="6">
        <v>0.1</v>
      </c>
    </row>
    <row r="357" spans="1:17">
      <c r="A357" s="2">
        <v>2305</v>
      </c>
      <c r="B357" s="6">
        <v>0.1</v>
      </c>
      <c r="C357" s="6">
        <v>0.1</v>
      </c>
      <c r="D357" s="6">
        <v>0.1</v>
      </c>
      <c r="E357" s="6">
        <v>0.1</v>
      </c>
      <c r="F357" s="6">
        <v>0.1</v>
      </c>
      <c r="G357" s="6">
        <v>0.1</v>
      </c>
      <c r="H357" s="6">
        <v>0.1</v>
      </c>
      <c r="I357" s="6">
        <v>0.1</v>
      </c>
      <c r="J357" s="6">
        <v>0.1</v>
      </c>
      <c r="K357" s="6">
        <v>0.1</v>
      </c>
      <c r="L357" s="6">
        <v>0.1</v>
      </c>
      <c r="M357" s="6">
        <v>0.1</v>
      </c>
      <c r="N357" s="6">
        <v>0.1</v>
      </c>
      <c r="O357" s="6">
        <v>0.1</v>
      </c>
      <c r="P357" s="6">
        <v>0.1</v>
      </c>
      <c r="Q357" s="6">
        <v>0.1</v>
      </c>
    </row>
    <row r="358" spans="1:17">
      <c r="A358" s="2">
        <v>2306</v>
      </c>
      <c r="B358" s="6">
        <v>0.1</v>
      </c>
      <c r="C358" s="6">
        <v>0.1</v>
      </c>
      <c r="D358" s="6">
        <v>0.1</v>
      </c>
      <c r="E358" s="6">
        <v>0.1</v>
      </c>
      <c r="F358" s="6">
        <v>0.1</v>
      </c>
      <c r="G358" s="6">
        <v>0.1</v>
      </c>
      <c r="H358" s="6">
        <v>0.1</v>
      </c>
      <c r="I358" s="6">
        <v>0.1</v>
      </c>
      <c r="J358" s="6">
        <v>0.1</v>
      </c>
      <c r="K358" s="6">
        <v>0.1</v>
      </c>
      <c r="L358" s="6">
        <v>0.1</v>
      </c>
      <c r="M358" s="6">
        <v>0.1</v>
      </c>
      <c r="N358" s="6">
        <v>0.1</v>
      </c>
      <c r="O358" s="6">
        <v>0.1</v>
      </c>
      <c r="P358" s="6">
        <v>0.1</v>
      </c>
      <c r="Q358" s="6">
        <v>0.1</v>
      </c>
    </row>
    <row r="359" spans="1:17">
      <c r="A359" s="2">
        <v>2307</v>
      </c>
      <c r="B359" s="6">
        <v>0.1</v>
      </c>
      <c r="C359" s="6">
        <v>0.1</v>
      </c>
      <c r="D359" s="6">
        <v>0.1</v>
      </c>
      <c r="E359" s="6">
        <v>0.1</v>
      </c>
      <c r="F359" s="6">
        <v>0.1</v>
      </c>
      <c r="G359" s="6">
        <v>0.1</v>
      </c>
      <c r="H359" s="6">
        <v>0.1</v>
      </c>
      <c r="I359" s="6">
        <v>0.1</v>
      </c>
      <c r="J359" s="6">
        <v>0.1</v>
      </c>
      <c r="K359" s="6">
        <v>0.1</v>
      </c>
      <c r="L359" s="6">
        <v>0.1</v>
      </c>
      <c r="M359" s="6">
        <v>0.1</v>
      </c>
      <c r="N359" s="6">
        <v>0.1</v>
      </c>
      <c r="O359" s="6">
        <v>0.1</v>
      </c>
      <c r="P359" s="6">
        <v>0.1</v>
      </c>
      <c r="Q359" s="6">
        <v>0.1</v>
      </c>
    </row>
    <row r="360" spans="1:17">
      <c r="A360" s="2">
        <v>2308</v>
      </c>
      <c r="B360" s="6">
        <v>0.1</v>
      </c>
      <c r="C360" s="6">
        <v>0.1</v>
      </c>
      <c r="D360" s="6">
        <v>0.1</v>
      </c>
      <c r="E360" s="6">
        <v>0.1</v>
      </c>
      <c r="F360" s="6">
        <v>0.1</v>
      </c>
      <c r="G360" s="6">
        <v>0.1</v>
      </c>
      <c r="H360" s="6">
        <v>0.1</v>
      </c>
      <c r="I360" s="6">
        <v>0.1</v>
      </c>
      <c r="J360" s="6">
        <v>0.1</v>
      </c>
      <c r="K360" s="6">
        <v>0.1</v>
      </c>
      <c r="L360" s="6">
        <v>0.1</v>
      </c>
      <c r="M360" s="6">
        <v>0.1</v>
      </c>
      <c r="N360" s="6">
        <v>0.1</v>
      </c>
      <c r="O360" s="6">
        <v>0.1</v>
      </c>
      <c r="P360" s="6">
        <v>0.1</v>
      </c>
      <c r="Q360" s="6">
        <v>0.1</v>
      </c>
    </row>
    <row r="361" spans="1:17">
      <c r="A361" s="2">
        <v>2309</v>
      </c>
      <c r="B361" s="6">
        <v>0.1</v>
      </c>
      <c r="C361" s="6">
        <v>0.1</v>
      </c>
      <c r="D361" s="6">
        <v>0.1</v>
      </c>
      <c r="E361" s="6">
        <v>0.1</v>
      </c>
      <c r="F361" s="6">
        <v>0.1</v>
      </c>
      <c r="G361" s="6">
        <v>0.1</v>
      </c>
      <c r="H361" s="6">
        <v>0.1</v>
      </c>
      <c r="I361" s="6">
        <v>0.1</v>
      </c>
      <c r="J361" s="6">
        <v>0.1</v>
      </c>
      <c r="K361" s="6">
        <v>0.1</v>
      </c>
      <c r="L361" s="6">
        <v>0.1</v>
      </c>
      <c r="M361" s="6">
        <v>0.1</v>
      </c>
      <c r="N361" s="6">
        <v>0.1</v>
      </c>
      <c r="O361" s="6">
        <v>0.1</v>
      </c>
      <c r="P361" s="6">
        <v>0.1</v>
      </c>
      <c r="Q361" s="6">
        <v>0.1</v>
      </c>
    </row>
    <row r="362" spans="1:17">
      <c r="A362" s="2">
        <v>2310</v>
      </c>
      <c r="B362" s="6">
        <v>0.1</v>
      </c>
      <c r="C362" s="6">
        <v>0.1</v>
      </c>
      <c r="D362" s="6">
        <v>0.1</v>
      </c>
      <c r="E362" s="6">
        <v>0.1</v>
      </c>
      <c r="F362" s="6">
        <v>0.1</v>
      </c>
      <c r="G362" s="6">
        <v>0.1</v>
      </c>
      <c r="H362" s="6">
        <v>0.1</v>
      </c>
      <c r="I362" s="6">
        <v>0.1</v>
      </c>
      <c r="J362" s="6">
        <v>0.1</v>
      </c>
      <c r="K362" s="6">
        <v>0.1</v>
      </c>
      <c r="L362" s="6">
        <v>0.1</v>
      </c>
      <c r="M362" s="6">
        <v>0.1</v>
      </c>
      <c r="N362" s="6">
        <v>0.1</v>
      </c>
      <c r="O362" s="6">
        <v>0.1</v>
      </c>
      <c r="P362" s="6">
        <v>0.1</v>
      </c>
      <c r="Q362" s="6">
        <v>0.1</v>
      </c>
    </row>
    <row r="363" spans="1:17">
      <c r="A363" s="2">
        <v>2311</v>
      </c>
      <c r="B363" s="6">
        <v>0.1</v>
      </c>
      <c r="C363" s="6">
        <v>0.1</v>
      </c>
      <c r="D363" s="6">
        <v>0.1</v>
      </c>
      <c r="E363" s="6">
        <v>0.1</v>
      </c>
      <c r="F363" s="6">
        <v>0.1</v>
      </c>
      <c r="G363" s="6">
        <v>0.1</v>
      </c>
      <c r="H363" s="6">
        <v>0.1</v>
      </c>
      <c r="I363" s="6">
        <v>0.1</v>
      </c>
      <c r="J363" s="6">
        <v>0.1</v>
      </c>
      <c r="K363" s="6">
        <v>0.1</v>
      </c>
      <c r="L363" s="6">
        <v>0.1</v>
      </c>
      <c r="M363" s="6">
        <v>0.1</v>
      </c>
      <c r="N363" s="6">
        <v>0.1</v>
      </c>
      <c r="O363" s="6">
        <v>0.1</v>
      </c>
      <c r="P363" s="6">
        <v>0.1</v>
      </c>
      <c r="Q363" s="6">
        <v>0.1</v>
      </c>
    </row>
    <row r="364" spans="1:17">
      <c r="A364" s="2">
        <v>2312</v>
      </c>
      <c r="B364" s="6">
        <v>0.1</v>
      </c>
      <c r="C364" s="6">
        <v>0.1</v>
      </c>
      <c r="D364" s="6">
        <v>0.1</v>
      </c>
      <c r="E364" s="6">
        <v>0.1</v>
      </c>
      <c r="F364" s="6">
        <v>0.1</v>
      </c>
      <c r="G364" s="6">
        <v>0.1</v>
      </c>
      <c r="H364" s="6">
        <v>0.1</v>
      </c>
      <c r="I364" s="6">
        <v>0.1</v>
      </c>
      <c r="J364" s="6">
        <v>0.1</v>
      </c>
      <c r="K364" s="6">
        <v>0.1</v>
      </c>
      <c r="L364" s="6">
        <v>0.1</v>
      </c>
      <c r="M364" s="6">
        <v>0.1</v>
      </c>
      <c r="N364" s="6">
        <v>0.1</v>
      </c>
      <c r="O364" s="6">
        <v>0.1</v>
      </c>
      <c r="P364" s="6">
        <v>0.1</v>
      </c>
      <c r="Q364" s="6">
        <v>0.1</v>
      </c>
    </row>
    <row r="365" spans="1:17">
      <c r="A365" s="2">
        <v>2313</v>
      </c>
      <c r="B365" s="6">
        <v>0.1</v>
      </c>
      <c r="C365" s="6">
        <v>0.1</v>
      </c>
      <c r="D365" s="6">
        <v>0.1</v>
      </c>
      <c r="E365" s="6">
        <v>0.1</v>
      </c>
      <c r="F365" s="6">
        <v>0.1</v>
      </c>
      <c r="G365" s="6">
        <v>0.1</v>
      </c>
      <c r="H365" s="6">
        <v>0.1</v>
      </c>
      <c r="I365" s="6">
        <v>0.1</v>
      </c>
      <c r="J365" s="6">
        <v>0.1</v>
      </c>
      <c r="K365" s="6">
        <v>0.1</v>
      </c>
      <c r="L365" s="6">
        <v>0.1</v>
      </c>
      <c r="M365" s="6">
        <v>0.1</v>
      </c>
      <c r="N365" s="6">
        <v>0.1</v>
      </c>
      <c r="O365" s="6">
        <v>0.1</v>
      </c>
      <c r="P365" s="6">
        <v>0.1</v>
      </c>
      <c r="Q365" s="6">
        <v>0.1</v>
      </c>
    </row>
    <row r="366" spans="1:17">
      <c r="A366" s="2">
        <v>2314</v>
      </c>
      <c r="B366" s="6">
        <v>0.1</v>
      </c>
      <c r="C366" s="6">
        <v>0.1</v>
      </c>
      <c r="D366" s="6">
        <v>0.1</v>
      </c>
      <c r="E366" s="6">
        <v>0.1</v>
      </c>
      <c r="F366" s="6">
        <v>0.1</v>
      </c>
      <c r="G366" s="6">
        <v>0.1</v>
      </c>
      <c r="H366" s="6">
        <v>0.1</v>
      </c>
      <c r="I366" s="6">
        <v>0.1</v>
      </c>
      <c r="J366" s="6">
        <v>0.1</v>
      </c>
      <c r="K366" s="6">
        <v>0.1</v>
      </c>
      <c r="L366" s="6">
        <v>0.1</v>
      </c>
      <c r="M366" s="6">
        <v>0.1</v>
      </c>
      <c r="N366" s="6">
        <v>0.1</v>
      </c>
      <c r="O366" s="6">
        <v>0.1</v>
      </c>
      <c r="P366" s="6">
        <v>0.1</v>
      </c>
      <c r="Q366" s="6">
        <v>0.1</v>
      </c>
    </row>
    <row r="367" spans="1:17">
      <c r="A367" s="2">
        <v>2315</v>
      </c>
      <c r="B367" s="6">
        <v>0.1</v>
      </c>
      <c r="C367" s="6">
        <v>0.1</v>
      </c>
      <c r="D367" s="6">
        <v>0.1</v>
      </c>
      <c r="E367" s="6">
        <v>0.1</v>
      </c>
      <c r="F367" s="6">
        <v>0.1</v>
      </c>
      <c r="G367" s="6">
        <v>0.1</v>
      </c>
      <c r="H367" s="6">
        <v>0.1</v>
      </c>
      <c r="I367" s="6">
        <v>0.1</v>
      </c>
      <c r="J367" s="6">
        <v>0.1</v>
      </c>
      <c r="K367" s="6">
        <v>0.1</v>
      </c>
      <c r="L367" s="6">
        <v>0.1</v>
      </c>
      <c r="M367" s="6">
        <v>0.1</v>
      </c>
      <c r="N367" s="6">
        <v>0.1</v>
      </c>
      <c r="O367" s="6">
        <v>0.1</v>
      </c>
      <c r="P367" s="6">
        <v>0.1</v>
      </c>
      <c r="Q367" s="6">
        <v>0.1</v>
      </c>
    </row>
    <row r="368" spans="1:17">
      <c r="A368" s="2">
        <v>2316</v>
      </c>
      <c r="B368" s="6">
        <v>0.1</v>
      </c>
      <c r="C368" s="6">
        <v>0.1</v>
      </c>
      <c r="D368" s="6">
        <v>0.1</v>
      </c>
      <c r="E368" s="6">
        <v>0.1</v>
      </c>
      <c r="F368" s="6">
        <v>0.1</v>
      </c>
      <c r="G368" s="6">
        <v>0.1</v>
      </c>
      <c r="H368" s="6">
        <v>0.1</v>
      </c>
      <c r="I368" s="6">
        <v>0.1</v>
      </c>
      <c r="J368" s="6">
        <v>0.1</v>
      </c>
      <c r="K368" s="6">
        <v>0.1</v>
      </c>
      <c r="L368" s="6">
        <v>0.1</v>
      </c>
      <c r="M368" s="6">
        <v>0.1</v>
      </c>
      <c r="N368" s="6">
        <v>0.1</v>
      </c>
      <c r="O368" s="6">
        <v>0.1</v>
      </c>
      <c r="P368" s="6">
        <v>0.1</v>
      </c>
      <c r="Q368" s="6">
        <v>0.1</v>
      </c>
    </row>
    <row r="369" spans="1:17">
      <c r="A369" s="2">
        <v>2317</v>
      </c>
      <c r="B369" s="6">
        <v>0.1</v>
      </c>
      <c r="C369" s="6">
        <v>0.1</v>
      </c>
      <c r="D369" s="6">
        <v>0.1</v>
      </c>
      <c r="E369" s="6">
        <v>0.1</v>
      </c>
      <c r="F369" s="6">
        <v>0.1</v>
      </c>
      <c r="G369" s="6">
        <v>0.1</v>
      </c>
      <c r="H369" s="6">
        <v>0.1</v>
      </c>
      <c r="I369" s="6">
        <v>0.1</v>
      </c>
      <c r="J369" s="6">
        <v>0.1</v>
      </c>
      <c r="K369" s="6">
        <v>0.1</v>
      </c>
      <c r="L369" s="6">
        <v>0.1</v>
      </c>
      <c r="M369" s="6">
        <v>0.1</v>
      </c>
      <c r="N369" s="6">
        <v>0.1</v>
      </c>
      <c r="O369" s="6">
        <v>0.1</v>
      </c>
      <c r="P369" s="6">
        <v>0.1</v>
      </c>
      <c r="Q369" s="6">
        <v>0.1</v>
      </c>
    </row>
    <row r="370" spans="1:17">
      <c r="A370" s="2">
        <v>2318</v>
      </c>
      <c r="B370" s="6">
        <v>0.1</v>
      </c>
      <c r="C370" s="6">
        <v>0.1</v>
      </c>
      <c r="D370" s="6">
        <v>0.1</v>
      </c>
      <c r="E370" s="6">
        <v>0.1</v>
      </c>
      <c r="F370" s="6">
        <v>0.1</v>
      </c>
      <c r="G370" s="6">
        <v>0.1</v>
      </c>
      <c r="H370" s="6">
        <v>0.1</v>
      </c>
      <c r="I370" s="6">
        <v>0.1</v>
      </c>
      <c r="J370" s="6">
        <v>0.1</v>
      </c>
      <c r="K370" s="6">
        <v>0.1</v>
      </c>
      <c r="L370" s="6">
        <v>0.1</v>
      </c>
      <c r="M370" s="6">
        <v>0.1</v>
      </c>
      <c r="N370" s="6">
        <v>0.1</v>
      </c>
      <c r="O370" s="6">
        <v>0.1</v>
      </c>
      <c r="P370" s="6">
        <v>0.1</v>
      </c>
      <c r="Q370" s="6">
        <v>0.1</v>
      </c>
    </row>
    <row r="371" spans="1:17">
      <c r="A371" s="2">
        <v>2319</v>
      </c>
      <c r="B371" s="6">
        <v>0.1</v>
      </c>
      <c r="C371" s="6">
        <v>0.1</v>
      </c>
      <c r="D371" s="6">
        <v>0.1</v>
      </c>
      <c r="E371" s="6">
        <v>0.1</v>
      </c>
      <c r="F371" s="6">
        <v>0.1</v>
      </c>
      <c r="G371" s="6">
        <v>0.1</v>
      </c>
      <c r="H371" s="6">
        <v>0.1</v>
      </c>
      <c r="I371" s="6">
        <v>0.1</v>
      </c>
      <c r="J371" s="6">
        <v>0.1</v>
      </c>
      <c r="K371" s="6">
        <v>0.1</v>
      </c>
      <c r="L371" s="6">
        <v>0.1</v>
      </c>
      <c r="M371" s="6">
        <v>0.1</v>
      </c>
      <c r="N371" s="6">
        <v>0.1</v>
      </c>
      <c r="O371" s="6">
        <v>0.1</v>
      </c>
      <c r="P371" s="6">
        <v>0.1</v>
      </c>
      <c r="Q371" s="6">
        <v>0.1</v>
      </c>
    </row>
    <row r="372" spans="1:17">
      <c r="A372" s="2">
        <v>2320</v>
      </c>
      <c r="B372" s="6">
        <v>0.1</v>
      </c>
      <c r="C372" s="6">
        <v>0.1</v>
      </c>
      <c r="D372" s="6">
        <v>0.1</v>
      </c>
      <c r="E372" s="6">
        <v>0.1</v>
      </c>
      <c r="F372" s="6">
        <v>0.1</v>
      </c>
      <c r="G372" s="6">
        <v>0.1</v>
      </c>
      <c r="H372" s="6">
        <v>0.1</v>
      </c>
      <c r="I372" s="6">
        <v>0.1</v>
      </c>
      <c r="J372" s="6">
        <v>0.1</v>
      </c>
      <c r="K372" s="6">
        <v>0.1</v>
      </c>
      <c r="L372" s="6">
        <v>0.1</v>
      </c>
      <c r="M372" s="6">
        <v>0.1</v>
      </c>
      <c r="N372" s="6">
        <v>0.1</v>
      </c>
      <c r="O372" s="6">
        <v>0.1</v>
      </c>
      <c r="P372" s="6">
        <v>0.1</v>
      </c>
      <c r="Q372" s="6">
        <v>0.1</v>
      </c>
    </row>
    <row r="373" spans="1:17">
      <c r="A373" s="2">
        <v>2321</v>
      </c>
      <c r="B373" s="6">
        <v>0.1</v>
      </c>
      <c r="C373" s="6">
        <v>0.1</v>
      </c>
      <c r="D373" s="6">
        <v>0.1</v>
      </c>
      <c r="E373" s="6">
        <v>0.1</v>
      </c>
      <c r="F373" s="6">
        <v>0.1</v>
      </c>
      <c r="G373" s="6">
        <v>0.1</v>
      </c>
      <c r="H373" s="6">
        <v>0.1</v>
      </c>
      <c r="I373" s="6">
        <v>0.1</v>
      </c>
      <c r="J373" s="6">
        <v>0.1</v>
      </c>
      <c r="K373" s="6">
        <v>0.1</v>
      </c>
      <c r="L373" s="6">
        <v>0.1</v>
      </c>
      <c r="M373" s="6">
        <v>0.1</v>
      </c>
      <c r="N373" s="6">
        <v>0.1</v>
      </c>
      <c r="O373" s="6">
        <v>0.1</v>
      </c>
      <c r="P373" s="6">
        <v>0.1</v>
      </c>
      <c r="Q373" s="6">
        <v>0.1</v>
      </c>
    </row>
    <row r="374" spans="1:17">
      <c r="A374" s="2">
        <v>2322</v>
      </c>
      <c r="B374" s="6">
        <v>0.1</v>
      </c>
      <c r="C374" s="6">
        <v>0.1</v>
      </c>
      <c r="D374" s="6">
        <v>0.1</v>
      </c>
      <c r="E374" s="6">
        <v>0.1</v>
      </c>
      <c r="F374" s="6">
        <v>0.1</v>
      </c>
      <c r="G374" s="6">
        <v>0.1</v>
      </c>
      <c r="H374" s="6">
        <v>0.1</v>
      </c>
      <c r="I374" s="6">
        <v>0.1</v>
      </c>
      <c r="J374" s="6">
        <v>0.1</v>
      </c>
      <c r="K374" s="6">
        <v>0.1</v>
      </c>
      <c r="L374" s="6">
        <v>0.1</v>
      </c>
      <c r="M374" s="6">
        <v>0.1</v>
      </c>
      <c r="N374" s="6">
        <v>0.1</v>
      </c>
      <c r="O374" s="6">
        <v>0.1</v>
      </c>
      <c r="P374" s="6">
        <v>0.1</v>
      </c>
      <c r="Q374" s="6">
        <v>0.1</v>
      </c>
    </row>
    <row r="375" spans="1:17">
      <c r="A375" s="2">
        <v>2323</v>
      </c>
      <c r="B375" s="6">
        <v>0.1</v>
      </c>
      <c r="C375" s="6">
        <v>0.1</v>
      </c>
      <c r="D375" s="6">
        <v>0.1</v>
      </c>
      <c r="E375" s="6">
        <v>0.1</v>
      </c>
      <c r="F375" s="6">
        <v>0.1</v>
      </c>
      <c r="G375" s="6">
        <v>0.1</v>
      </c>
      <c r="H375" s="6">
        <v>0.1</v>
      </c>
      <c r="I375" s="6">
        <v>0.1</v>
      </c>
      <c r="J375" s="6">
        <v>0.1</v>
      </c>
      <c r="K375" s="6">
        <v>0.1</v>
      </c>
      <c r="L375" s="6">
        <v>0.1</v>
      </c>
      <c r="M375" s="6">
        <v>0.1</v>
      </c>
      <c r="N375" s="6">
        <v>0.1</v>
      </c>
      <c r="O375" s="6">
        <v>0.1</v>
      </c>
      <c r="P375" s="6">
        <v>0.1</v>
      </c>
      <c r="Q375" s="6">
        <v>0.1</v>
      </c>
    </row>
    <row r="376" spans="1:17">
      <c r="A376" s="2">
        <v>2324</v>
      </c>
      <c r="B376" s="6">
        <v>0.1</v>
      </c>
      <c r="C376" s="6">
        <v>0.1</v>
      </c>
      <c r="D376" s="6">
        <v>0.1</v>
      </c>
      <c r="E376" s="6">
        <v>0.1</v>
      </c>
      <c r="F376" s="6">
        <v>0.1</v>
      </c>
      <c r="G376" s="6">
        <v>0.1</v>
      </c>
      <c r="H376" s="6">
        <v>0.1</v>
      </c>
      <c r="I376" s="6">
        <v>0.1</v>
      </c>
      <c r="J376" s="6">
        <v>0.1</v>
      </c>
      <c r="K376" s="6">
        <v>0.1</v>
      </c>
      <c r="L376" s="6">
        <v>0.1</v>
      </c>
      <c r="M376" s="6">
        <v>0.1</v>
      </c>
      <c r="N376" s="6">
        <v>0.1</v>
      </c>
      <c r="O376" s="6">
        <v>0.1</v>
      </c>
      <c r="P376" s="6">
        <v>0.1</v>
      </c>
      <c r="Q376" s="6">
        <v>0.1</v>
      </c>
    </row>
    <row r="377" spans="1:17">
      <c r="A377" s="2">
        <v>2325</v>
      </c>
      <c r="B377" s="6">
        <v>0.1</v>
      </c>
      <c r="C377" s="6">
        <v>0.1</v>
      </c>
      <c r="D377" s="6">
        <v>0.1</v>
      </c>
      <c r="E377" s="6">
        <v>0.1</v>
      </c>
      <c r="F377" s="6">
        <v>0.1</v>
      </c>
      <c r="G377" s="6">
        <v>0.1</v>
      </c>
      <c r="H377" s="6">
        <v>0.1</v>
      </c>
      <c r="I377" s="6">
        <v>0.1</v>
      </c>
      <c r="J377" s="6">
        <v>0.1</v>
      </c>
      <c r="K377" s="6">
        <v>0.1</v>
      </c>
      <c r="L377" s="6">
        <v>0.1</v>
      </c>
      <c r="M377" s="6">
        <v>0.1</v>
      </c>
      <c r="N377" s="6">
        <v>0.1</v>
      </c>
      <c r="O377" s="6">
        <v>0.1</v>
      </c>
      <c r="P377" s="6">
        <v>0.1</v>
      </c>
      <c r="Q377" s="6">
        <v>0.1</v>
      </c>
    </row>
    <row r="378" spans="1:17">
      <c r="A378" s="2">
        <v>2326</v>
      </c>
      <c r="B378" s="6">
        <v>0.1</v>
      </c>
      <c r="C378" s="6">
        <v>0.1</v>
      </c>
      <c r="D378" s="6">
        <v>0.1</v>
      </c>
      <c r="E378" s="6">
        <v>0.1</v>
      </c>
      <c r="F378" s="6">
        <v>0.1</v>
      </c>
      <c r="G378" s="6">
        <v>0.1</v>
      </c>
      <c r="H378" s="6">
        <v>0.1</v>
      </c>
      <c r="I378" s="6">
        <v>0.1</v>
      </c>
      <c r="J378" s="6">
        <v>0.1</v>
      </c>
      <c r="K378" s="6">
        <v>0.1</v>
      </c>
      <c r="L378" s="6">
        <v>0.1</v>
      </c>
      <c r="M378" s="6">
        <v>0.1</v>
      </c>
      <c r="N378" s="6">
        <v>0.1</v>
      </c>
      <c r="O378" s="6">
        <v>0.1</v>
      </c>
      <c r="P378" s="6">
        <v>0.1</v>
      </c>
      <c r="Q378" s="6">
        <v>0.1</v>
      </c>
    </row>
    <row r="379" spans="1:17">
      <c r="A379" s="2">
        <v>2327</v>
      </c>
      <c r="B379" s="6">
        <v>0.1</v>
      </c>
      <c r="C379" s="6">
        <v>0.1</v>
      </c>
      <c r="D379" s="6">
        <v>0.1</v>
      </c>
      <c r="E379" s="6">
        <v>0.1</v>
      </c>
      <c r="F379" s="6">
        <v>0.1</v>
      </c>
      <c r="G379" s="6">
        <v>0.1</v>
      </c>
      <c r="H379" s="6">
        <v>0.1</v>
      </c>
      <c r="I379" s="6">
        <v>0.1</v>
      </c>
      <c r="J379" s="6">
        <v>0.1</v>
      </c>
      <c r="K379" s="6">
        <v>0.1</v>
      </c>
      <c r="L379" s="6">
        <v>0.1</v>
      </c>
      <c r="M379" s="6">
        <v>0.1</v>
      </c>
      <c r="N379" s="6">
        <v>0.1</v>
      </c>
      <c r="O379" s="6">
        <v>0.1</v>
      </c>
      <c r="P379" s="6">
        <v>0.1</v>
      </c>
      <c r="Q379" s="6">
        <v>0.1</v>
      </c>
    </row>
    <row r="380" spans="1:17">
      <c r="A380" s="2">
        <v>2328</v>
      </c>
      <c r="B380" s="6">
        <v>0.1</v>
      </c>
      <c r="C380" s="6">
        <v>0.1</v>
      </c>
      <c r="D380" s="6">
        <v>0.1</v>
      </c>
      <c r="E380" s="6">
        <v>0.1</v>
      </c>
      <c r="F380" s="6">
        <v>0.1</v>
      </c>
      <c r="G380" s="6">
        <v>0.1</v>
      </c>
      <c r="H380" s="6">
        <v>0.1</v>
      </c>
      <c r="I380" s="6">
        <v>0.1</v>
      </c>
      <c r="J380" s="6">
        <v>0.1</v>
      </c>
      <c r="K380" s="6">
        <v>0.1</v>
      </c>
      <c r="L380" s="6">
        <v>0.1</v>
      </c>
      <c r="M380" s="6">
        <v>0.1</v>
      </c>
      <c r="N380" s="6">
        <v>0.1</v>
      </c>
      <c r="O380" s="6">
        <v>0.1</v>
      </c>
      <c r="P380" s="6">
        <v>0.1</v>
      </c>
      <c r="Q380" s="6">
        <v>0.1</v>
      </c>
    </row>
    <row r="381" spans="1:17">
      <c r="A381" s="2">
        <v>2329</v>
      </c>
      <c r="B381" s="6">
        <v>0.1</v>
      </c>
      <c r="C381" s="6">
        <v>0.1</v>
      </c>
      <c r="D381" s="6">
        <v>0.1</v>
      </c>
      <c r="E381" s="6">
        <v>0.1</v>
      </c>
      <c r="F381" s="6">
        <v>0.1</v>
      </c>
      <c r="G381" s="6">
        <v>0.1</v>
      </c>
      <c r="H381" s="6">
        <v>0.1</v>
      </c>
      <c r="I381" s="6">
        <v>0.1</v>
      </c>
      <c r="J381" s="6">
        <v>0.1</v>
      </c>
      <c r="K381" s="6">
        <v>0.1</v>
      </c>
      <c r="L381" s="6">
        <v>0.1</v>
      </c>
      <c r="M381" s="6">
        <v>0.1</v>
      </c>
      <c r="N381" s="6">
        <v>0.1</v>
      </c>
      <c r="O381" s="6">
        <v>0.1</v>
      </c>
      <c r="P381" s="6">
        <v>0.1</v>
      </c>
      <c r="Q381" s="6">
        <v>0.1</v>
      </c>
    </row>
    <row r="382" spans="1:17">
      <c r="A382" s="2">
        <v>2330</v>
      </c>
      <c r="B382" s="6">
        <v>0.1</v>
      </c>
      <c r="C382" s="6">
        <v>0.1</v>
      </c>
      <c r="D382" s="6">
        <v>0.1</v>
      </c>
      <c r="E382" s="6">
        <v>0.1</v>
      </c>
      <c r="F382" s="6">
        <v>0.1</v>
      </c>
      <c r="G382" s="6">
        <v>0.1</v>
      </c>
      <c r="H382" s="6">
        <v>0.1</v>
      </c>
      <c r="I382" s="6">
        <v>0.1</v>
      </c>
      <c r="J382" s="6">
        <v>0.1</v>
      </c>
      <c r="K382" s="6">
        <v>0.1</v>
      </c>
      <c r="L382" s="6">
        <v>0.1</v>
      </c>
      <c r="M382" s="6">
        <v>0.1</v>
      </c>
      <c r="N382" s="6">
        <v>0.1</v>
      </c>
      <c r="O382" s="6">
        <v>0.1</v>
      </c>
      <c r="P382" s="6">
        <v>0.1</v>
      </c>
      <c r="Q382" s="6">
        <v>0.1</v>
      </c>
    </row>
    <row r="383" spans="1:17">
      <c r="A383" s="2">
        <v>2331</v>
      </c>
      <c r="B383" s="6">
        <v>0.1</v>
      </c>
      <c r="C383" s="6">
        <v>0.1</v>
      </c>
      <c r="D383" s="6">
        <v>0.1</v>
      </c>
      <c r="E383" s="6">
        <v>0.1</v>
      </c>
      <c r="F383" s="6">
        <v>0.1</v>
      </c>
      <c r="G383" s="6">
        <v>0.1</v>
      </c>
      <c r="H383" s="6">
        <v>0.1</v>
      </c>
      <c r="I383" s="6">
        <v>0.1</v>
      </c>
      <c r="J383" s="6">
        <v>0.1</v>
      </c>
      <c r="K383" s="6">
        <v>0.1</v>
      </c>
      <c r="L383" s="6">
        <v>0.1</v>
      </c>
      <c r="M383" s="6">
        <v>0.1</v>
      </c>
      <c r="N383" s="6">
        <v>0.1</v>
      </c>
      <c r="O383" s="6">
        <v>0.1</v>
      </c>
      <c r="P383" s="6">
        <v>0.1</v>
      </c>
      <c r="Q383" s="6">
        <v>0.1</v>
      </c>
    </row>
    <row r="384" spans="1:17">
      <c r="A384" s="2">
        <v>2332</v>
      </c>
      <c r="B384" s="6">
        <v>0.1</v>
      </c>
      <c r="C384" s="6">
        <v>0.1</v>
      </c>
      <c r="D384" s="6">
        <v>0.1</v>
      </c>
      <c r="E384" s="6">
        <v>0.1</v>
      </c>
      <c r="F384" s="6">
        <v>0.1</v>
      </c>
      <c r="G384" s="6">
        <v>0.1</v>
      </c>
      <c r="H384" s="6">
        <v>0.1</v>
      </c>
      <c r="I384" s="6">
        <v>0.1</v>
      </c>
      <c r="J384" s="6">
        <v>0.1</v>
      </c>
      <c r="K384" s="6">
        <v>0.1</v>
      </c>
      <c r="L384" s="6">
        <v>0.1</v>
      </c>
      <c r="M384" s="6">
        <v>0.1</v>
      </c>
      <c r="N384" s="6">
        <v>0.1</v>
      </c>
      <c r="O384" s="6">
        <v>0.1</v>
      </c>
      <c r="P384" s="6">
        <v>0.1</v>
      </c>
      <c r="Q384" s="6">
        <v>0.1</v>
      </c>
    </row>
    <row r="385" spans="1:17">
      <c r="A385" s="2">
        <v>2333</v>
      </c>
      <c r="B385" s="6">
        <v>0.1</v>
      </c>
      <c r="C385" s="6">
        <v>0.1</v>
      </c>
      <c r="D385" s="6">
        <v>0.1</v>
      </c>
      <c r="E385" s="6">
        <v>0.1</v>
      </c>
      <c r="F385" s="6">
        <v>0.1</v>
      </c>
      <c r="G385" s="6">
        <v>0.1</v>
      </c>
      <c r="H385" s="6">
        <v>0.1</v>
      </c>
      <c r="I385" s="6">
        <v>0.1</v>
      </c>
      <c r="J385" s="6">
        <v>0.1</v>
      </c>
      <c r="K385" s="6">
        <v>0.1</v>
      </c>
      <c r="L385" s="6">
        <v>0.1</v>
      </c>
      <c r="M385" s="6">
        <v>0.1</v>
      </c>
      <c r="N385" s="6">
        <v>0.1</v>
      </c>
      <c r="O385" s="6">
        <v>0.1</v>
      </c>
      <c r="P385" s="6">
        <v>0.1</v>
      </c>
      <c r="Q385" s="6">
        <v>0.1</v>
      </c>
    </row>
    <row r="386" spans="1:17">
      <c r="A386" s="2">
        <v>2334</v>
      </c>
      <c r="B386" s="6">
        <v>0.1</v>
      </c>
      <c r="C386" s="6">
        <v>0.1</v>
      </c>
      <c r="D386" s="6">
        <v>0.1</v>
      </c>
      <c r="E386" s="6">
        <v>0.1</v>
      </c>
      <c r="F386" s="6">
        <v>0.1</v>
      </c>
      <c r="G386" s="6">
        <v>0.1</v>
      </c>
      <c r="H386" s="6">
        <v>0.1</v>
      </c>
      <c r="I386" s="6">
        <v>0.1</v>
      </c>
      <c r="J386" s="6">
        <v>0.1</v>
      </c>
      <c r="K386" s="6">
        <v>0.1</v>
      </c>
      <c r="L386" s="6">
        <v>0.1</v>
      </c>
      <c r="M386" s="6">
        <v>0.1</v>
      </c>
      <c r="N386" s="6">
        <v>0.1</v>
      </c>
      <c r="O386" s="6">
        <v>0.1</v>
      </c>
      <c r="P386" s="6">
        <v>0.1</v>
      </c>
      <c r="Q386" s="6">
        <v>0.1</v>
      </c>
    </row>
    <row r="387" spans="1:17">
      <c r="A387" s="2">
        <v>2335</v>
      </c>
      <c r="B387" s="6">
        <v>0.1</v>
      </c>
      <c r="C387" s="6">
        <v>0.1</v>
      </c>
      <c r="D387" s="6">
        <v>0.1</v>
      </c>
      <c r="E387" s="6">
        <v>0.1</v>
      </c>
      <c r="F387" s="6">
        <v>0.1</v>
      </c>
      <c r="G387" s="6">
        <v>0.1</v>
      </c>
      <c r="H387" s="6">
        <v>0.1</v>
      </c>
      <c r="I387" s="6">
        <v>0.1</v>
      </c>
      <c r="J387" s="6">
        <v>0.1</v>
      </c>
      <c r="K387" s="6">
        <v>0.1</v>
      </c>
      <c r="L387" s="6">
        <v>0.1</v>
      </c>
      <c r="M387" s="6">
        <v>0.1</v>
      </c>
      <c r="N387" s="6">
        <v>0.1</v>
      </c>
      <c r="O387" s="6">
        <v>0.1</v>
      </c>
      <c r="P387" s="6">
        <v>0.1</v>
      </c>
      <c r="Q387" s="6">
        <v>0.1</v>
      </c>
    </row>
    <row r="388" spans="1:17">
      <c r="A388" s="2">
        <v>2336</v>
      </c>
      <c r="B388" s="6">
        <v>0.1</v>
      </c>
      <c r="C388" s="6">
        <v>0.1</v>
      </c>
      <c r="D388" s="6">
        <v>0.1</v>
      </c>
      <c r="E388" s="6">
        <v>0.1</v>
      </c>
      <c r="F388" s="6">
        <v>0.1</v>
      </c>
      <c r="G388" s="6">
        <v>0.1</v>
      </c>
      <c r="H388" s="6">
        <v>0.1</v>
      </c>
      <c r="I388" s="6">
        <v>0.1</v>
      </c>
      <c r="J388" s="6">
        <v>0.1</v>
      </c>
      <c r="K388" s="6">
        <v>0.1</v>
      </c>
      <c r="L388" s="6">
        <v>0.1</v>
      </c>
      <c r="M388" s="6">
        <v>0.1</v>
      </c>
      <c r="N388" s="6">
        <v>0.1</v>
      </c>
      <c r="O388" s="6">
        <v>0.1</v>
      </c>
      <c r="P388" s="6">
        <v>0.1</v>
      </c>
      <c r="Q388" s="6">
        <v>0.1</v>
      </c>
    </row>
    <row r="389" spans="1:17">
      <c r="A389" s="2">
        <v>2337</v>
      </c>
      <c r="B389" s="6">
        <v>0.1</v>
      </c>
      <c r="C389" s="6">
        <v>0.1</v>
      </c>
      <c r="D389" s="6">
        <v>0.1</v>
      </c>
      <c r="E389" s="6">
        <v>0.1</v>
      </c>
      <c r="F389" s="6">
        <v>0.1</v>
      </c>
      <c r="G389" s="6">
        <v>0.1</v>
      </c>
      <c r="H389" s="6">
        <v>0.1</v>
      </c>
      <c r="I389" s="6">
        <v>0.1</v>
      </c>
      <c r="J389" s="6">
        <v>0.1</v>
      </c>
      <c r="K389" s="6">
        <v>0.1</v>
      </c>
      <c r="L389" s="6">
        <v>0.1</v>
      </c>
      <c r="M389" s="6">
        <v>0.1</v>
      </c>
      <c r="N389" s="6">
        <v>0.1</v>
      </c>
      <c r="O389" s="6">
        <v>0.1</v>
      </c>
      <c r="P389" s="6">
        <v>0.1</v>
      </c>
      <c r="Q389" s="6">
        <v>0.1</v>
      </c>
    </row>
    <row r="390" spans="1:17">
      <c r="A390" s="2">
        <v>2338</v>
      </c>
      <c r="B390" s="6">
        <v>0.1</v>
      </c>
      <c r="C390" s="6">
        <v>0.1</v>
      </c>
      <c r="D390" s="6">
        <v>0.1</v>
      </c>
      <c r="E390" s="6">
        <v>0.1</v>
      </c>
      <c r="F390" s="6">
        <v>0.1</v>
      </c>
      <c r="G390" s="6">
        <v>0.1</v>
      </c>
      <c r="H390" s="6">
        <v>0.1</v>
      </c>
      <c r="I390" s="6">
        <v>0.1</v>
      </c>
      <c r="J390" s="6">
        <v>0.1</v>
      </c>
      <c r="K390" s="6">
        <v>0.1</v>
      </c>
      <c r="L390" s="6">
        <v>0.1</v>
      </c>
      <c r="M390" s="6">
        <v>0.1</v>
      </c>
      <c r="N390" s="6">
        <v>0.1</v>
      </c>
      <c r="O390" s="6">
        <v>0.1</v>
      </c>
      <c r="P390" s="6">
        <v>0.1</v>
      </c>
      <c r="Q390" s="6">
        <v>0.1</v>
      </c>
    </row>
    <row r="391" spans="1:17">
      <c r="A391" s="2">
        <v>2339</v>
      </c>
      <c r="B391" s="6">
        <v>0.1</v>
      </c>
      <c r="C391" s="6">
        <v>0.1</v>
      </c>
      <c r="D391" s="6">
        <v>0.1</v>
      </c>
      <c r="E391" s="6">
        <v>0.1</v>
      </c>
      <c r="F391" s="6">
        <v>0.1</v>
      </c>
      <c r="G391" s="6">
        <v>0.1</v>
      </c>
      <c r="H391" s="6">
        <v>0.1</v>
      </c>
      <c r="I391" s="6">
        <v>0.1</v>
      </c>
      <c r="J391" s="6">
        <v>0.1</v>
      </c>
      <c r="K391" s="6">
        <v>0.1</v>
      </c>
      <c r="L391" s="6">
        <v>0.1</v>
      </c>
      <c r="M391" s="6">
        <v>0.1</v>
      </c>
      <c r="N391" s="6">
        <v>0.1</v>
      </c>
      <c r="O391" s="6">
        <v>0.1</v>
      </c>
      <c r="P391" s="6">
        <v>0.1</v>
      </c>
      <c r="Q391" s="6">
        <v>0.1</v>
      </c>
    </row>
    <row r="392" spans="1:17">
      <c r="A392" s="2">
        <v>2340</v>
      </c>
      <c r="B392" s="6">
        <v>0.1</v>
      </c>
      <c r="C392" s="6">
        <v>0.1</v>
      </c>
      <c r="D392" s="6">
        <v>0.1</v>
      </c>
      <c r="E392" s="6">
        <v>0.1</v>
      </c>
      <c r="F392" s="6">
        <v>0.1</v>
      </c>
      <c r="G392" s="6">
        <v>0.1</v>
      </c>
      <c r="H392" s="6">
        <v>0.1</v>
      </c>
      <c r="I392" s="6">
        <v>0.1</v>
      </c>
      <c r="J392" s="6">
        <v>0.1</v>
      </c>
      <c r="K392" s="6">
        <v>0.1</v>
      </c>
      <c r="L392" s="6">
        <v>0.1</v>
      </c>
      <c r="M392" s="6">
        <v>0.1</v>
      </c>
      <c r="N392" s="6">
        <v>0.1</v>
      </c>
      <c r="O392" s="6">
        <v>0.1</v>
      </c>
      <c r="P392" s="6">
        <v>0.1</v>
      </c>
      <c r="Q392" s="6">
        <v>0.1</v>
      </c>
    </row>
    <row r="393" spans="1:17">
      <c r="A393" s="2">
        <v>2341</v>
      </c>
      <c r="B393" s="6">
        <v>0.1</v>
      </c>
      <c r="C393" s="6">
        <v>0.1</v>
      </c>
      <c r="D393" s="6">
        <v>0.1</v>
      </c>
      <c r="E393" s="6">
        <v>0.1</v>
      </c>
      <c r="F393" s="6">
        <v>0.1</v>
      </c>
      <c r="G393" s="6">
        <v>0.1</v>
      </c>
      <c r="H393" s="6">
        <v>0.1</v>
      </c>
      <c r="I393" s="6">
        <v>0.1</v>
      </c>
      <c r="J393" s="6">
        <v>0.1</v>
      </c>
      <c r="K393" s="6">
        <v>0.1</v>
      </c>
      <c r="L393" s="6">
        <v>0.1</v>
      </c>
      <c r="M393" s="6">
        <v>0.1</v>
      </c>
      <c r="N393" s="6">
        <v>0.1</v>
      </c>
      <c r="O393" s="6">
        <v>0.1</v>
      </c>
      <c r="P393" s="6">
        <v>0.1</v>
      </c>
      <c r="Q393" s="6">
        <v>0.1</v>
      </c>
    </row>
    <row r="394" spans="1:17">
      <c r="A394" s="2">
        <v>2342</v>
      </c>
      <c r="B394" s="6">
        <v>0.1</v>
      </c>
      <c r="C394" s="6">
        <v>0.1</v>
      </c>
      <c r="D394" s="6">
        <v>0.1</v>
      </c>
      <c r="E394" s="6">
        <v>0.1</v>
      </c>
      <c r="F394" s="6">
        <v>0.1</v>
      </c>
      <c r="G394" s="6">
        <v>0.1</v>
      </c>
      <c r="H394" s="6">
        <v>0.1</v>
      </c>
      <c r="I394" s="6">
        <v>0.1</v>
      </c>
      <c r="J394" s="6">
        <v>0.1</v>
      </c>
      <c r="K394" s="6">
        <v>0.1</v>
      </c>
      <c r="L394" s="6">
        <v>0.1</v>
      </c>
      <c r="M394" s="6">
        <v>0.1</v>
      </c>
      <c r="N394" s="6">
        <v>0.1</v>
      </c>
      <c r="O394" s="6">
        <v>0.1</v>
      </c>
      <c r="P394" s="6">
        <v>0.1</v>
      </c>
      <c r="Q394" s="6">
        <v>0.1</v>
      </c>
    </row>
    <row r="395" spans="1:17">
      <c r="A395" s="2">
        <v>2343</v>
      </c>
      <c r="B395" s="6">
        <v>0.1</v>
      </c>
      <c r="C395" s="6">
        <v>0.1</v>
      </c>
      <c r="D395" s="6">
        <v>0.1</v>
      </c>
      <c r="E395" s="6">
        <v>0.1</v>
      </c>
      <c r="F395" s="6">
        <v>0.1</v>
      </c>
      <c r="G395" s="6">
        <v>0.1</v>
      </c>
      <c r="H395" s="6">
        <v>0.1</v>
      </c>
      <c r="I395" s="6">
        <v>0.1</v>
      </c>
      <c r="J395" s="6">
        <v>0.1</v>
      </c>
      <c r="K395" s="6">
        <v>0.1</v>
      </c>
      <c r="L395" s="6">
        <v>0.1</v>
      </c>
      <c r="M395" s="6">
        <v>0.1</v>
      </c>
      <c r="N395" s="6">
        <v>0.1</v>
      </c>
      <c r="O395" s="6">
        <v>0.1</v>
      </c>
      <c r="P395" s="6">
        <v>0.1</v>
      </c>
      <c r="Q395" s="6">
        <v>0.1</v>
      </c>
    </row>
    <row r="396" spans="1:17">
      <c r="A396" s="2">
        <v>2344</v>
      </c>
      <c r="B396" s="6">
        <v>0.1</v>
      </c>
      <c r="C396" s="6">
        <v>0.1</v>
      </c>
      <c r="D396" s="6">
        <v>0.1</v>
      </c>
      <c r="E396" s="6">
        <v>0.1</v>
      </c>
      <c r="F396" s="6">
        <v>0.1</v>
      </c>
      <c r="G396" s="6">
        <v>0.1</v>
      </c>
      <c r="H396" s="6">
        <v>0.1</v>
      </c>
      <c r="I396" s="6">
        <v>0.1</v>
      </c>
      <c r="J396" s="6">
        <v>0.1</v>
      </c>
      <c r="K396" s="6">
        <v>0.1</v>
      </c>
      <c r="L396" s="6">
        <v>0.1</v>
      </c>
      <c r="M396" s="6">
        <v>0.1</v>
      </c>
      <c r="N396" s="6">
        <v>0.1</v>
      </c>
      <c r="O396" s="6">
        <v>0.1</v>
      </c>
      <c r="P396" s="6">
        <v>0.1</v>
      </c>
      <c r="Q396" s="6">
        <v>0.1</v>
      </c>
    </row>
    <row r="397" spans="1:17">
      <c r="A397" s="2">
        <v>2345</v>
      </c>
      <c r="B397" s="6">
        <v>0.1</v>
      </c>
      <c r="C397" s="6">
        <v>0.1</v>
      </c>
      <c r="D397" s="6">
        <v>0.1</v>
      </c>
      <c r="E397" s="6">
        <v>0.1</v>
      </c>
      <c r="F397" s="6">
        <v>0.1</v>
      </c>
      <c r="G397" s="6">
        <v>0.1</v>
      </c>
      <c r="H397" s="6">
        <v>0.1</v>
      </c>
      <c r="I397" s="6">
        <v>0.1</v>
      </c>
      <c r="J397" s="6">
        <v>0.1</v>
      </c>
      <c r="K397" s="6">
        <v>0.1</v>
      </c>
      <c r="L397" s="6">
        <v>0.1</v>
      </c>
      <c r="M397" s="6">
        <v>0.1</v>
      </c>
      <c r="N397" s="6">
        <v>0.1</v>
      </c>
      <c r="O397" s="6">
        <v>0.1</v>
      </c>
      <c r="P397" s="6">
        <v>0.1</v>
      </c>
      <c r="Q397" s="6">
        <v>0.1</v>
      </c>
    </row>
    <row r="398" spans="1:17">
      <c r="A398" s="2">
        <v>2346</v>
      </c>
      <c r="B398" s="6">
        <v>0.1</v>
      </c>
      <c r="C398" s="6">
        <v>0.1</v>
      </c>
      <c r="D398" s="6">
        <v>0.1</v>
      </c>
      <c r="E398" s="6">
        <v>0.1</v>
      </c>
      <c r="F398" s="6">
        <v>0.1</v>
      </c>
      <c r="G398" s="6">
        <v>0.1</v>
      </c>
      <c r="H398" s="6">
        <v>0.1</v>
      </c>
      <c r="I398" s="6">
        <v>0.1</v>
      </c>
      <c r="J398" s="6">
        <v>0.1</v>
      </c>
      <c r="K398" s="6">
        <v>0.1</v>
      </c>
      <c r="L398" s="6">
        <v>0.1</v>
      </c>
      <c r="M398" s="6">
        <v>0.1</v>
      </c>
      <c r="N398" s="6">
        <v>0.1</v>
      </c>
      <c r="O398" s="6">
        <v>0.1</v>
      </c>
      <c r="P398" s="6">
        <v>0.1</v>
      </c>
      <c r="Q398" s="6">
        <v>0.1</v>
      </c>
    </row>
    <row r="399" spans="1:17">
      <c r="A399" s="2">
        <v>2347</v>
      </c>
      <c r="B399" s="6">
        <v>0.1</v>
      </c>
      <c r="C399" s="6">
        <v>0.1</v>
      </c>
      <c r="D399" s="6">
        <v>0.1</v>
      </c>
      <c r="E399" s="6">
        <v>0.1</v>
      </c>
      <c r="F399" s="6">
        <v>0.1</v>
      </c>
      <c r="G399" s="6">
        <v>0.1</v>
      </c>
      <c r="H399" s="6">
        <v>0.1</v>
      </c>
      <c r="I399" s="6">
        <v>0.1</v>
      </c>
      <c r="J399" s="6">
        <v>0.1</v>
      </c>
      <c r="K399" s="6">
        <v>0.1</v>
      </c>
      <c r="L399" s="6">
        <v>0.1</v>
      </c>
      <c r="M399" s="6">
        <v>0.1</v>
      </c>
      <c r="N399" s="6">
        <v>0.1</v>
      </c>
      <c r="O399" s="6">
        <v>0.1</v>
      </c>
      <c r="P399" s="6">
        <v>0.1</v>
      </c>
      <c r="Q399" s="6">
        <v>0.1</v>
      </c>
    </row>
    <row r="400" spans="1:17">
      <c r="A400" s="2">
        <v>2348</v>
      </c>
      <c r="B400" s="6">
        <v>0.1</v>
      </c>
      <c r="C400" s="6">
        <v>0.1</v>
      </c>
      <c r="D400" s="6">
        <v>0.1</v>
      </c>
      <c r="E400" s="6">
        <v>0.1</v>
      </c>
      <c r="F400" s="6">
        <v>0.1</v>
      </c>
      <c r="G400" s="6">
        <v>0.1</v>
      </c>
      <c r="H400" s="6">
        <v>0.1</v>
      </c>
      <c r="I400" s="6">
        <v>0.1</v>
      </c>
      <c r="J400" s="6">
        <v>0.1</v>
      </c>
      <c r="K400" s="6">
        <v>0.1</v>
      </c>
      <c r="L400" s="6">
        <v>0.1</v>
      </c>
      <c r="M400" s="6">
        <v>0.1</v>
      </c>
      <c r="N400" s="6">
        <v>0.1</v>
      </c>
      <c r="O400" s="6">
        <v>0.1</v>
      </c>
      <c r="P400" s="6">
        <v>0.1</v>
      </c>
      <c r="Q400" s="6">
        <v>0.1</v>
      </c>
    </row>
    <row r="401" spans="1:17">
      <c r="A401" s="2">
        <v>2349</v>
      </c>
      <c r="B401" s="6">
        <v>0.1</v>
      </c>
      <c r="C401" s="6">
        <v>0.1</v>
      </c>
      <c r="D401" s="6">
        <v>0.1</v>
      </c>
      <c r="E401" s="6">
        <v>0.1</v>
      </c>
      <c r="F401" s="6">
        <v>0.1</v>
      </c>
      <c r="G401" s="6">
        <v>0.1</v>
      </c>
      <c r="H401" s="6">
        <v>0.1</v>
      </c>
      <c r="I401" s="6">
        <v>0.1</v>
      </c>
      <c r="J401" s="6">
        <v>0.1</v>
      </c>
      <c r="K401" s="6">
        <v>0.1</v>
      </c>
      <c r="L401" s="6">
        <v>0.1</v>
      </c>
      <c r="M401" s="6">
        <v>0.1</v>
      </c>
      <c r="N401" s="6">
        <v>0.1</v>
      </c>
      <c r="O401" s="6">
        <v>0.1</v>
      </c>
      <c r="P401" s="6">
        <v>0.1</v>
      </c>
      <c r="Q401" s="6">
        <v>0.1</v>
      </c>
    </row>
    <row r="402" spans="1:17">
      <c r="A402" s="2">
        <v>2350</v>
      </c>
      <c r="B402" s="6">
        <v>0.1</v>
      </c>
      <c r="C402" s="6">
        <v>0.1</v>
      </c>
      <c r="D402" s="6">
        <v>0.1</v>
      </c>
      <c r="E402" s="6">
        <v>0.1</v>
      </c>
      <c r="F402" s="6">
        <v>0.1</v>
      </c>
      <c r="G402" s="6">
        <v>0.1</v>
      </c>
      <c r="H402" s="6">
        <v>0.1</v>
      </c>
      <c r="I402" s="6">
        <v>0.1</v>
      </c>
      <c r="J402" s="6">
        <v>0.1</v>
      </c>
      <c r="K402" s="6">
        <v>0.1</v>
      </c>
      <c r="L402" s="6">
        <v>0.1</v>
      </c>
      <c r="M402" s="6">
        <v>0.1</v>
      </c>
      <c r="N402" s="6">
        <v>0.1</v>
      </c>
      <c r="O402" s="6">
        <v>0.1</v>
      </c>
      <c r="P402" s="6">
        <v>0.1</v>
      </c>
      <c r="Q402" s="6">
        <v>0.1</v>
      </c>
    </row>
    <row r="403" spans="1:17">
      <c r="A403" s="2">
        <v>2351</v>
      </c>
      <c r="B403" s="6">
        <v>0.1</v>
      </c>
      <c r="C403" s="6">
        <v>0.1</v>
      </c>
      <c r="D403" s="6">
        <v>0.1</v>
      </c>
      <c r="E403" s="6">
        <v>0.1</v>
      </c>
      <c r="F403" s="6">
        <v>0.1</v>
      </c>
      <c r="G403" s="6">
        <v>0.1</v>
      </c>
      <c r="H403" s="6">
        <v>0.1</v>
      </c>
      <c r="I403" s="6">
        <v>0.1</v>
      </c>
      <c r="J403" s="6">
        <v>0.1</v>
      </c>
      <c r="K403" s="6">
        <v>0.1</v>
      </c>
      <c r="L403" s="6">
        <v>0.1</v>
      </c>
      <c r="M403" s="6">
        <v>0.1</v>
      </c>
      <c r="N403" s="6">
        <v>0.1</v>
      </c>
      <c r="O403" s="6">
        <v>0.1</v>
      </c>
      <c r="P403" s="6">
        <v>0.1</v>
      </c>
      <c r="Q403" s="6">
        <v>0.1</v>
      </c>
    </row>
    <row r="404" spans="1:17">
      <c r="A404" s="2">
        <v>2352</v>
      </c>
      <c r="B404" s="6">
        <v>0.1</v>
      </c>
      <c r="C404" s="6">
        <v>0.1</v>
      </c>
      <c r="D404" s="6">
        <v>0.1</v>
      </c>
      <c r="E404" s="6">
        <v>0.1</v>
      </c>
      <c r="F404" s="6">
        <v>0.1</v>
      </c>
      <c r="G404" s="6">
        <v>0.1</v>
      </c>
      <c r="H404" s="6">
        <v>0.1</v>
      </c>
      <c r="I404" s="6">
        <v>0.1</v>
      </c>
      <c r="J404" s="6">
        <v>0.1</v>
      </c>
      <c r="K404" s="6">
        <v>0.1</v>
      </c>
      <c r="L404" s="6">
        <v>0.1</v>
      </c>
      <c r="M404" s="6">
        <v>0.1</v>
      </c>
      <c r="N404" s="6">
        <v>0.1</v>
      </c>
      <c r="O404" s="6">
        <v>0.1</v>
      </c>
      <c r="P404" s="6">
        <v>0.1</v>
      </c>
      <c r="Q404" s="6">
        <v>0.1</v>
      </c>
    </row>
    <row r="405" spans="1:17">
      <c r="A405" s="2">
        <v>2353</v>
      </c>
      <c r="B405" s="6">
        <v>0.1</v>
      </c>
      <c r="C405" s="6">
        <v>0.1</v>
      </c>
      <c r="D405" s="6">
        <v>0.1</v>
      </c>
      <c r="E405" s="6">
        <v>0.1</v>
      </c>
      <c r="F405" s="6">
        <v>0.1</v>
      </c>
      <c r="G405" s="6">
        <v>0.1</v>
      </c>
      <c r="H405" s="6">
        <v>0.1</v>
      </c>
      <c r="I405" s="6">
        <v>0.1</v>
      </c>
      <c r="J405" s="6">
        <v>0.1</v>
      </c>
      <c r="K405" s="6">
        <v>0.1</v>
      </c>
      <c r="L405" s="6">
        <v>0.1</v>
      </c>
      <c r="M405" s="6">
        <v>0.1</v>
      </c>
      <c r="N405" s="6">
        <v>0.1</v>
      </c>
      <c r="O405" s="6">
        <v>0.1</v>
      </c>
      <c r="P405" s="6">
        <v>0.1</v>
      </c>
      <c r="Q405" s="6">
        <v>0.1</v>
      </c>
    </row>
    <row r="406" spans="1:17">
      <c r="A406" s="2">
        <v>2354</v>
      </c>
      <c r="B406" s="6">
        <v>0.1</v>
      </c>
      <c r="C406" s="6">
        <v>0.1</v>
      </c>
      <c r="D406" s="6">
        <v>0.1</v>
      </c>
      <c r="E406" s="6">
        <v>0.1</v>
      </c>
      <c r="F406" s="6">
        <v>0.1</v>
      </c>
      <c r="G406" s="6">
        <v>0.1</v>
      </c>
      <c r="H406" s="6">
        <v>0.1</v>
      </c>
      <c r="I406" s="6">
        <v>0.1</v>
      </c>
      <c r="J406" s="6">
        <v>0.1</v>
      </c>
      <c r="K406" s="6">
        <v>0.1</v>
      </c>
      <c r="L406" s="6">
        <v>0.1</v>
      </c>
      <c r="M406" s="6">
        <v>0.1</v>
      </c>
      <c r="N406" s="6">
        <v>0.1</v>
      </c>
      <c r="O406" s="6">
        <v>0.1</v>
      </c>
      <c r="P406" s="6">
        <v>0.1</v>
      </c>
      <c r="Q406" s="6">
        <v>0.1</v>
      </c>
    </row>
    <row r="407" spans="1:17">
      <c r="A407" s="2">
        <v>2355</v>
      </c>
      <c r="B407" s="6">
        <v>0.1</v>
      </c>
      <c r="C407" s="6">
        <v>0.1</v>
      </c>
      <c r="D407" s="6">
        <v>0.1</v>
      </c>
      <c r="E407" s="6">
        <v>0.1</v>
      </c>
      <c r="F407" s="6">
        <v>0.1</v>
      </c>
      <c r="G407" s="6">
        <v>0.1</v>
      </c>
      <c r="H407" s="6">
        <v>0.1</v>
      </c>
      <c r="I407" s="6">
        <v>0.1</v>
      </c>
      <c r="J407" s="6">
        <v>0.1</v>
      </c>
      <c r="K407" s="6">
        <v>0.1</v>
      </c>
      <c r="L407" s="6">
        <v>0.1</v>
      </c>
      <c r="M407" s="6">
        <v>0.1</v>
      </c>
      <c r="N407" s="6">
        <v>0.1</v>
      </c>
      <c r="O407" s="6">
        <v>0.1</v>
      </c>
      <c r="P407" s="6">
        <v>0.1</v>
      </c>
      <c r="Q407" s="6">
        <v>0.1</v>
      </c>
    </row>
    <row r="408" spans="1:17">
      <c r="A408" s="2">
        <v>2356</v>
      </c>
      <c r="B408" s="6">
        <v>0.1</v>
      </c>
      <c r="C408" s="6">
        <v>0.1</v>
      </c>
      <c r="D408" s="6">
        <v>0.1</v>
      </c>
      <c r="E408" s="6">
        <v>0.1</v>
      </c>
      <c r="F408" s="6">
        <v>0.1</v>
      </c>
      <c r="G408" s="6">
        <v>0.1</v>
      </c>
      <c r="H408" s="6">
        <v>0.1</v>
      </c>
      <c r="I408" s="6">
        <v>0.1</v>
      </c>
      <c r="J408" s="6">
        <v>0.1</v>
      </c>
      <c r="K408" s="6">
        <v>0.1</v>
      </c>
      <c r="L408" s="6">
        <v>0.1</v>
      </c>
      <c r="M408" s="6">
        <v>0.1</v>
      </c>
      <c r="N408" s="6">
        <v>0.1</v>
      </c>
      <c r="O408" s="6">
        <v>0.1</v>
      </c>
      <c r="P408" s="6">
        <v>0.1</v>
      </c>
      <c r="Q408" s="6">
        <v>0.1</v>
      </c>
    </row>
    <row r="409" spans="1:17">
      <c r="A409" s="2">
        <v>2357</v>
      </c>
      <c r="B409" s="6">
        <v>0.1</v>
      </c>
      <c r="C409" s="6">
        <v>0.1</v>
      </c>
      <c r="D409" s="6">
        <v>0.1</v>
      </c>
      <c r="E409" s="6">
        <v>0.1</v>
      </c>
      <c r="F409" s="6">
        <v>0.1</v>
      </c>
      <c r="G409" s="6">
        <v>0.1</v>
      </c>
      <c r="H409" s="6">
        <v>0.1</v>
      </c>
      <c r="I409" s="6">
        <v>0.1</v>
      </c>
      <c r="J409" s="6">
        <v>0.1</v>
      </c>
      <c r="K409" s="6">
        <v>0.1</v>
      </c>
      <c r="L409" s="6">
        <v>0.1</v>
      </c>
      <c r="M409" s="6">
        <v>0.1</v>
      </c>
      <c r="N409" s="6">
        <v>0.1</v>
      </c>
      <c r="O409" s="6">
        <v>0.1</v>
      </c>
      <c r="P409" s="6">
        <v>0.1</v>
      </c>
      <c r="Q409" s="6">
        <v>0.1</v>
      </c>
    </row>
    <row r="410" spans="1:17">
      <c r="A410" s="2">
        <v>2358</v>
      </c>
      <c r="B410" s="6">
        <v>0.1</v>
      </c>
      <c r="C410" s="6">
        <v>0.1</v>
      </c>
      <c r="D410" s="6">
        <v>0.1</v>
      </c>
      <c r="E410" s="6">
        <v>0.1</v>
      </c>
      <c r="F410" s="6">
        <v>0.1</v>
      </c>
      <c r="G410" s="6">
        <v>0.1</v>
      </c>
      <c r="H410" s="6">
        <v>0.1</v>
      </c>
      <c r="I410" s="6">
        <v>0.1</v>
      </c>
      <c r="J410" s="6">
        <v>0.1</v>
      </c>
      <c r="K410" s="6">
        <v>0.1</v>
      </c>
      <c r="L410" s="6">
        <v>0.1</v>
      </c>
      <c r="M410" s="6">
        <v>0.1</v>
      </c>
      <c r="N410" s="6">
        <v>0.1</v>
      </c>
      <c r="O410" s="6">
        <v>0.1</v>
      </c>
      <c r="P410" s="6">
        <v>0.1</v>
      </c>
      <c r="Q410" s="6">
        <v>0.1</v>
      </c>
    </row>
    <row r="411" spans="1:17">
      <c r="A411" s="2">
        <v>2359</v>
      </c>
      <c r="B411" s="6">
        <v>0.1</v>
      </c>
      <c r="C411" s="6">
        <v>0.1</v>
      </c>
      <c r="D411" s="6">
        <v>0.1</v>
      </c>
      <c r="E411" s="6">
        <v>0.1</v>
      </c>
      <c r="F411" s="6">
        <v>0.1</v>
      </c>
      <c r="G411" s="6">
        <v>0.1</v>
      </c>
      <c r="H411" s="6">
        <v>0.1</v>
      </c>
      <c r="I411" s="6">
        <v>0.1</v>
      </c>
      <c r="J411" s="6">
        <v>0.1</v>
      </c>
      <c r="K411" s="6">
        <v>0.1</v>
      </c>
      <c r="L411" s="6">
        <v>0.1</v>
      </c>
      <c r="M411" s="6">
        <v>0.1</v>
      </c>
      <c r="N411" s="6">
        <v>0.1</v>
      </c>
      <c r="O411" s="6">
        <v>0.1</v>
      </c>
      <c r="P411" s="6">
        <v>0.1</v>
      </c>
      <c r="Q411" s="6">
        <v>0.1</v>
      </c>
    </row>
    <row r="412" spans="1:17">
      <c r="A412" s="2">
        <v>2360</v>
      </c>
      <c r="B412" s="6">
        <v>0.1</v>
      </c>
      <c r="C412" s="6">
        <v>0.1</v>
      </c>
      <c r="D412" s="6">
        <v>0.1</v>
      </c>
      <c r="E412" s="6">
        <v>0.1</v>
      </c>
      <c r="F412" s="6">
        <v>0.1</v>
      </c>
      <c r="G412" s="6">
        <v>0.1</v>
      </c>
      <c r="H412" s="6">
        <v>0.1</v>
      </c>
      <c r="I412" s="6">
        <v>0.1</v>
      </c>
      <c r="J412" s="6">
        <v>0.1</v>
      </c>
      <c r="K412" s="6">
        <v>0.1</v>
      </c>
      <c r="L412" s="6">
        <v>0.1</v>
      </c>
      <c r="M412" s="6">
        <v>0.1</v>
      </c>
      <c r="N412" s="6">
        <v>0.1</v>
      </c>
      <c r="O412" s="6">
        <v>0.1</v>
      </c>
      <c r="P412" s="6">
        <v>0.1</v>
      </c>
      <c r="Q412" s="6">
        <v>0.1</v>
      </c>
    </row>
    <row r="413" spans="1:17">
      <c r="A413" s="2">
        <v>2361</v>
      </c>
      <c r="B413" s="6">
        <v>0.1</v>
      </c>
      <c r="C413" s="6">
        <v>0.1</v>
      </c>
      <c r="D413" s="6">
        <v>0.1</v>
      </c>
      <c r="E413" s="6">
        <v>0.1</v>
      </c>
      <c r="F413" s="6">
        <v>0.1</v>
      </c>
      <c r="G413" s="6">
        <v>0.1</v>
      </c>
      <c r="H413" s="6">
        <v>0.1</v>
      </c>
      <c r="I413" s="6">
        <v>0.1</v>
      </c>
      <c r="J413" s="6">
        <v>0.1</v>
      </c>
      <c r="K413" s="6">
        <v>0.1</v>
      </c>
      <c r="L413" s="6">
        <v>0.1</v>
      </c>
      <c r="M413" s="6">
        <v>0.1</v>
      </c>
      <c r="N413" s="6">
        <v>0.1</v>
      </c>
      <c r="O413" s="6">
        <v>0.1</v>
      </c>
      <c r="P413" s="6">
        <v>0.1</v>
      </c>
      <c r="Q413" s="6">
        <v>0.1</v>
      </c>
    </row>
    <row r="414" spans="1:17">
      <c r="A414" s="2">
        <v>2362</v>
      </c>
      <c r="B414" s="6">
        <v>0.1</v>
      </c>
      <c r="C414" s="6">
        <v>0.1</v>
      </c>
      <c r="D414" s="6">
        <v>0.1</v>
      </c>
      <c r="E414" s="6">
        <v>0.1</v>
      </c>
      <c r="F414" s="6">
        <v>0.1</v>
      </c>
      <c r="G414" s="6">
        <v>0.1</v>
      </c>
      <c r="H414" s="6">
        <v>0.1</v>
      </c>
      <c r="I414" s="6">
        <v>0.1</v>
      </c>
      <c r="J414" s="6">
        <v>0.1</v>
      </c>
      <c r="K414" s="6">
        <v>0.1</v>
      </c>
      <c r="L414" s="6">
        <v>0.1</v>
      </c>
      <c r="M414" s="6">
        <v>0.1</v>
      </c>
      <c r="N414" s="6">
        <v>0.1</v>
      </c>
      <c r="O414" s="6">
        <v>0.1</v>
      </c>
      <c r="P414" s="6">
        <v>0.1</v>
      </c>
      <c r="Q414" s="6">
        <v>0.1</v>
      </c>
    </row>
    <row r="415" spans="1:17">
      <c r="A415" s="2">
        <v>2363</v>
      </c>
      <c r="B415" s="6">
        <v>0.1</v>
      </c>
      <c r="C415" s="6">
        <v>0.1</v>
      </c>
      <c r="D415" s="6">
        <v>0.1</v>
      </c>
      <c r="E415" s="6">
        <v>0.1</v>
      </c>
      <c r="F415" s="6">
        <v>0.1</v>
      </c>
      <c r="G415" s="6">
        <v>0.1</v>
      </c>
      <c r="H415" s="6">
        <v>0.1</v>
      </c>
      <c r="I415" s="6">
        <v>0.1</v>
      </c>
      <c r="J415" s="6">
        <v>0.1</v>
      </c>
      <c r="K415" s="6">
        <v>0.1</v>
      </c>
      <c r="L415" s="6">
        <v>0.1</v>
      </c>
      <c r="M415" s="6">
        <v>0.1</v>
      </c>
      <c r="N415" s="6">
        <v>0.1</v>
      </c>
      <c r="O415" s="6">
        <v>0.1</v>
      </c>
      <c r="P415" s="6">
        <v>0.1</v>
      </c>
      <c r="Q415" s="6">
        <v>0.1</v>
      </c>
    </row>
    <row r="416" spans="1:17">
      <c r="A416" s="2">
        <v>2364</v>
      </c>
      <c r="B416" s="6">
        <v>0.1</v>
      </c>
      <c r="C416" s="6">
        <v>0.1</v>
      </c>
      <c r="D416" s="6">
        <v>0.1</v>
      </c>
      <c r="E416" s="6">
        <v>0.1</v>
      </c>
      <c r="F416" s="6">
        <v>0.1</v>
      </c>
      <c r="G416" s="6">
        <v>0.1</v>
      </c>
      <c r="H416" s="6">
        <v>0.1</v>
      </c>
      <c r="I416" s="6">
        <v>0.1</v>
      </c>
      <c r="J416" s="6">
        <v>0.1</v>
      </c>
      <c r="K416" s="6">
        <v>0.1</v>
      </c>
      <c r="L416" s="6">
        <v>0.1</v>
      </c>
      <c r="M416" s="6">
        <v>0.1</v>
      </c>
      <c r="N416" s="6">
        <v>0.1</v>
      </c>
      <c r="O416" s="6">
        <v>0.1</v>
      </c>
      <c r="P416" s="6">
        <v>0.1</v>
      </c>
      <c r="Q416" s="6">
        <v>0.1</v>
      </c>
    </row>
    <row r="417" spans="1:17">
      <c r="A417" s="2">
        <v>2365</v>
      </c>
      <c r="B417" s="6">
        <v>0.1</v>
      </c>
      <c r="C417" s="6">
        <v>0.1</v>
      </c>
      <c r="D417" s="6">
        <v>0.1</v>
      </c>
      <c r="E417" s="6">
        <v>0.1</v>
      </c>
      <c r="F417" s="6">
        <v>0.1</v>
      </c>
      <c r="G417" s="6">
        <v>0.1</v>
      </c>
      <c r="H417" s="6">
        <v>0.1</v>
      </c>
      <c r="I417" s="6">
        <v>0.1</v>
      </c>
      <c r="J417" s="6">
        <v>0.1</v>
      </c>
      <c r="K417" s="6">
        <v>0.1</v>
      </c>
      <c r="L417" s="6">
        <v>0.1</v>
      </c>
      <c r="M417" s="6">
        <v>0.1</v>
      </c>
      <c r="N417" s="6">
        <v>0.1</v>
      </c>
      <c r="O417" s="6">
        <v>0.1</v>
      </c>
      <c r="P417" s="6">
        <v>0.1</v>
      </c>
      <c r="Q417" s="6">
        <v>0.1</v>
      </c>
    </row>
    <row r="418" spans="1:17">
      <c r="A418" s="2">
        <v>2366</v>
      </c>
      <c r="B418" s="6">
        <v>0.1</v>
      </c>
      <c r="C418" s="6">
        <v>0.1</v>
      </c>
      <c r="D418" s="6">
        <v>0.1</v>
      </c>
      <c r="E418" s="6">
        <v>0.1</v>
      </c>
      <c r="F418" s="6">
        <v>0.1</v>
      </c>
      <c r="G418" s="6">
        <v>0.1</v>
      </c>
      <c r="H418" s="6">
        <v>0.1</v>
      </c>
      <c r="I418" s="6">
        <v>0.1</v>
      </c>
      <c r="J418" s="6">
        <v>0.1</v>
      </c>
      <c r="K418" s="6">
        <v>0.1</v>
      </c>
      <c r="L418" s="6">
        <v>0.1</v>
      </c>
      <c r="M418" s="6">
        <v>0.1</v>
      </c>
      <c r="N418" s="6">
        <v>0.1</v>
      </c>
      <c r="O418" s="6">
        <v>0.1</v>
      </c>
      <c r="P418" s="6">
        <v>0.1</v>
      </c>
      <c r="Q418" s="6">
        <v>0.1</v>
      </c>
    </row>
    <row r="419" spans="1:17">
      <c r="A419" s="2">
        <v>2367</v>
      </c>
      <c r="B419" s="6">
        <v>0.1</v>
      </c>
      <c r="C419" s="6">
        <v>0.1</v>
      </c>
      <c r="D419" s="6">
        <v>0.1</v>
      </c>
      <c r="E419" s="6">
        <v>0.1</v>
      </c>
      <c r="F419" s="6">
        <v>0.1</v>
      </c>
      <c r="G419" s="6">
        <v>0.1</v>
      </c>
      <c r="H419" s="6">
        <v>0.1</v>
      </c>
      <c r="I419" s="6">
        <v>0.1</v>
      </c>
      <c r="J419" s="6">
        <v>0.1</v>
      </c>
      <c r="K419" s="6">
        <v>0.1</v>
      </c>
      <c r="L419" s="6">
        <v>0.1</v>
      </c>
      <c r="M419" s="6">
        <v>0.1</v>
      </c>
      <c r="N419" s="6">
        <v>0.1</v>
      </c>
      <c r="O419" s="6">
        <v>0.1</v>
      </c>
      <c r="P419" s="6">
        <v>0.1</v>
      </c>
      <c r="Q419" s="6">
        <v>0.1</v>
      </c>
    </row>
    <row r="420" spans="1:17">
      <c r="A420" s="2">
        <v>2368</v>
      </c>
      <c r="B420" s="6">
        <v>0.1</v>
      </c>
      <c r="C420" s="6">
        <v>0.1</v>
      </c>
      <c r="D420" s="6">
        <v>0.1</v>
      </c>
      <c r="E420" s="6">
        <v>0.1</v>
      </c>
      <c r="F420" s="6">
        <v>0.1</v>
      </c>
      <c r="G420" s="6">
        <v>0.1</v>
      </c>
      <c r="H420" s="6">
        <v>0.1</v>
      </c>
      <c r="I420" s="6">
        <v>0.1</v>
      </c>
      <c r="J420" s="6">
        <v>0.1</v>
      </c>
      <c r="K420" s="6">
        <v>0.1</v>
      </c>
      <c r="L420" s="6">
        <v>0.1</v>
      </c>
      <c r="M420" s="6">
        <v>0.1</v>
      </c>
      <c r="N420" s="6">
        <v>0.1</v>
      </c>
      <c r="O420" s="6">
        <v>0.1</v>
      </c>
      <c r="P420" s="6">
        <v>0.1</v>
      </c>
      <c r="Q420" s="6">
        <v>0.1</v>
      </c>
    </row>
    <row r="421" spans="1:17">
      <c r="A421" s="2">
        <v>2369</v>
      </c>
      <c r="B421" s="6">
        <v>0.1</v>
      </c>
      <c r="C421" s="6">
        <v>0.1</v>
      </c>
      <c r="D421" s="6">
        <v>0.1</v>
      </c>
      <c r="E421" s="6">
        <v>0.1</v>
      </c>
      <c r="F421" s="6">
        <v>0.1</v>
      </c>
      <c r="G421" s="6">
        <v>0.1</v>
      </c>
      <c r="H421" s="6">
        <v>0.1</v>
      </c>
      <c r="I421" s="6">
        <v>0.1</v>
      </c>
      <c r="J421" s="6">
        <v>0.1</v>
      </c>
      <c r="K421" s="6">
        <v>0.1</v>
      </c>
      <c r="L421" s="6">
        <v>0.1</v>
      </c>
      <c r="M421" s="6">
        <v>0.1</v>
      </c>
      <c r="N421" s="6">
        <v>0.1</v>
      </c>
      <c r="O421" s="6">
        <v>0.1</v>
      </c>
      <c r="P421" s="6">
        <v>0.1</v>
      </c>
      <c r="Q421" s="6">
        <v>0.1</v>
      </c>
    </row>
    <row r="422" spans="1:17">
      <c r="A422" s="2">
        <v>2370</v>
      </c>
      <c r="B422" s="6">
        <v>0.1</v>
      </c>
      <c r="C422" s="6">
        <v>0.1</v>
      </c>
      <c r="D422" s="6">
        <v>0.1</v>
      </c>
      <c r="E422" s="6">
        <v>0.1</v>
      </c>
      <c r="F422" s="6">
        <v>0.1</v>
      </c>
      <c r="G422" s="6">
        <v>0.1</v>
      </c>
      <c r="H422" s="6">
        <v>0.1</v>
      </c>
      <c r="I422" s="6">
        <v>0.1</v>
      </c>
      <c r="J422" s="6">
        <v>0.1</v>
      </c>
      <c r="K422" s="6">
        <v>0.1</v>
      </c>
      <c r="L422" s="6">
        <v>0.1</v>
      </c>
      <c r="M422" s="6">
        <v>0.1</v>
      </c>
      <c r="N422" s="6">
        <v>0.1</v>
      </c>
      <c r="O422" s="6">
        <v>0.1</v>
      </c>
      <c r="P422" s="6">
        <v>0.1</v>
      </c>
      <c r="Q422" s="6">
        <v>0.1</v>
      </c>
    </row>
    <row r="423" spans="1:17">
      <c r="A423" s="2">
        <v>2371</v>
      </c>
      <c r="B423" s="6">
        <v>0.1</v>
      </c>
      <c r="C423" s="6">
        <v>0.1</v>
      </c>
      <c r="D423" s="6">
        <v>0.1</v>
      </c>
      <c r="E423" s="6">
        <v>0.1</v>
      </c>
      <c r="F423" s="6">
        <v>0.1</v>
      </c>
      <c r="G423" s="6">
        <v>0.1</v>
      </c>
      <c r="H423" s="6">
        <v>0.1</v>
      </c>
      <c r="I423" s="6">
        <v>0.1</v>
      </c>
      <c r="J423" s="6">
        <v>0.1</v>
      </c>
      <c r="K423" s="6">
        <v>0.1</v>
      </c>
      <c r="L423" s="6">
        <v>0.1</v>
      </c>
      <c r="M423" s="6">
        <v>0.1</v>
      </c>
      <c r="N423" s="6">
        <v>0.1</v>
      </c>
      <c r="O423" s="6">
        <v>0.1</v>
      </c>
      <c r="P423" s="6">
        <v>0.1</v>
      </c>
      <c r="Q423" s="6">
        <v>0.1</v>
      </c>
    </row>
    <row r="424" spans="1:17">
      <c r="A424" s="2">
        <v>2372</v>
      </c>
      <c r="B424" s="6">
        <v>0.1</v>
      </c>
      <c r="C424" s="6">
        <v>0.1</v>
      </c>
      <c r="D424" s="6">
        <v>0.1</v>
      </c>
      <c r="E424" s="6">
        <v>0.1</v>
      </c>
      <c r="F424" s="6">
        <v>0.1</v>
      </c>
      <c r="G424" s="6">
        <v>0.1</v>
      </c>
      <c r="H424" s="6">
        <v>0.1</v>
      </c>
      <c r="I424" s="6">
        <v>0.1</v>
      </c>
      <c r="J424" s="6">
        <v>0.1</v>
      </c>
      <c r="K424" s="6">
        <v>0.1</v>
      </c>
      <c r="L424" s="6">
        <v>0.1</v>
      </c>
      <c r="M424" s="6">
        <v>0.1</v>
      </c>
      <c r="N424" s="6">
        <v>0.1</v>
      </c>
      <c r="O424" s="6">
        <v>0.1</v>
      </c>
      <c r="P424" s="6">
        <v>0.1</v>
      </c>
      <c r="Q424" s="6">
        <v>0.1</v>
      </c>
    </row>
    <row r="425" spans="1:17">
      <c r="A425" s="2">
        <v>2373</v>
      </c>
      <c r="B425" s="6">
        <v>0.1</v>
      </c>
      <c r="C425" s="6">
        <v>0.1</v>
      </c>
      <c r="D425" s="6">
        <v>0.1</v>
      </c>
      <c r="E425" s="6">
        <v>0.1</v>
      </c>
      <c r="F425" s="6">
        <v>0.1</v>
      </c>
      <c r="G425" s="6">
        <v>0.1</v>
      </c>
      <c r="H425" s="6">
        <v>0.1</v>
      </c>
      <c r="I425" s="6">
        <v>0.1</v>
      </c>
      <c r="J425" s="6">
        <v>0.1</v>
      </c>
      <c r="K425" s="6">
        <v>0.1</v>
      </c>
      <c r="L425" s="6">
        <v>0.1</v>
      </c>
      <c r="M425" s="6">
        <v>0.1</v>
      </c>
      <c r="N425" s="6">
        <v>0.1</v>
      </c>
      <c r="O425" s="6">
        <v>0.1</v>
      </c>
      <c r="P425" s="6">
        <v>0.1</v>
      </c>
      <c r="Q425" s="6">
        <v>0.1</v>
      </c>
    </row>
    <row r="426" spans="1:17">
      <c r="A426" s="2">
        <v>2374</v>
      </c>
      <c r="B426" s="6">
        <v>0.1</v>
      </c>
      <c r="C426" s="6">
        <v>0.1</v>
      </c>
      <c r="D426" s="6">
        <v>0.1</v>
      </c>
      <c r="E426" s="6">
        <v>0.1</v>
      </c>
      <c r="F426" s="6">
        <v>0.1</v>
      </c>
      <c r="G426" s="6">
        <v>0.1</v>
      </c>
      <c r="H426" s="6">
        <v>0.1</v>
      </c>
      <c r="I426" s="6">
        <v>0.1</v>
      </c>
      <c r="J426" s="6">
        <v>0.1</v>
      </c>
      <c r="K426" s="6">
        <v>0.1</v>
      </c>
      <c r="L426" s="6">
        <v>0.1</v>
      </c>
      <c r="M426" s="6">
        <v>0.1</v>
      </c>
      <c r="N426" s="6">
        <v>0.1</v>
      </c>
      <c r="O426" s="6">
        <v>0.1</v>
      </c>
      <c r="P426" s="6">
        <v>0.1</v>
      </c>
      <c r="Q426" s="6">
        <v>0.1</v>
      </c>
    </row>
    <row r="427" spans="1:17">
      <c r="A427" s="2">
        <v>2375</v>
      </c>
      <c r="B427" s="6">
        <v>0.1</v>
      </c>
      <c r="C427" s="6">
        <v>0.1</v>
      </c>
      <c r="D427" s="6">
        <v>0.1</v>
      </c>
      <c r="E427" s="6">
        <v>0.1</v>
      </c>
      <c r="F427" s="6">
        <v>0.1</v>
      </c>
      <c r="G427" s="6">
        <v>0.1</v>
      </c>
      <c r="H427" s="6">
        <v>0.1</v>
      </c>
      <c r="I427" s="6">
        <v>0.1</v>
      </c>
      <c r="J427" s="6">
        <v>0.1</v>
      </c>
      <c r="K427" s="6">
        <v>0.1</v>
      </c>
      <c r="L427" s="6">
        <v>0.1</v>
      </c>
      <c r="M427" s="6">
        <v>0.1</v>
      </c>
      <c r="N427" s="6">
        <v>0.1</v>
      </c>
      <c r="O427" s="6">
        <v>0.1</v>
      </c>
      <c r="P427" s="6">
        <v>0.1</v>
      </c>
      <c r="Q427" s="6">
        <v>0.1</v>
      </c>
    </row>
    <row r="428" spans="1:17">
      <c r="A428" s="2">
        <v>2376</v>
      </c>
      <c r="B428" s="6">
        <v>0.1</v>
      </c>
      <c r="C428" s="6">
        <v>0.1</v>
      </c>
      <c r="D428" s="6">
        <v>0.1</v>
      </c>
      <c r="E428" s="6">
        <v>0.1</v>
      </c>
      <c r="F428" s="6">
        <v>0.1</v>
      </c>
      <c r="G428" s="6">
        <v>0.1</v>
      </c>
      <c r="H428" s="6">
        <v>0.1</v>
      </c>
      <c r="I428" s="6">
        <v>0.1</v>
      </c>
      <c r="J428" s="6">
        <v>0.1</v>
      </c>
      <c r="K428" s="6">
        <v>0.1</v>
      </c>
      <c r="L428" s="6">
        <v>0.1</v>
      </c>
      <c r="M428" s="6">
        <v>0.1</v>
      </c>
      <c r="N428" s="6">
        <v>0.1</v>
      </c>
      <c r="O428" s="6">
        <v>0.1</v>
      </c>
      <c r="P428" s="6">
        <v>0.1</v>
      </c>
      <c r="Q428" s="6">
        <v>0.1</v>
      </c>
    </row>
    <row r="429" spans="1:17">
      <c r="A429" s="2">
        <v>2377</v>
      </c>
      <c r="B429" s="6">
        <v>0.1</v>
      </c>
      <c r="C429" s="6">
        <v>0.1</v>
      </c>
      <c r="D429" s="6">
        <v>0.1</v>
      </c>
      <c r="E429" s="6">
        <v>0.1</v>
      </c>
      <c r="F429" s="6">
        <v>0.1</v>
      </c>
      <c r="G429" s="6">
        <v>0.1</v>
      </c>
      <c r="H429" s="6">
        <v>0.1</v>
      </c>
      <c r="I429" s="6">
        <v>0.1</v>
      </c>
      <c r="J429" s="6">
        <v>0.1</v>
      </c>
      <c r="K429" s="6">
        <v>0.1</v>
      </c>
      <c r="L429" s="6">
        <v>0.1</v>
      </c>
      <c r="M429" s="6">
        <v>0.1</v>
      </c>
      <c r="N429" s="6">
        <v>0.1</v>
      </c>
      <c r="O429" s="6">
        <v>0.1</v>
      </c>
      <c r="P429" s="6">
        <v>0.1</v>
      </c>
      <c r="Q429" s="6">
        <v>0.1</v>
      </c>
    </row>
    <row r="430" spans="1:17">
      <c r="A430" s="2">
        <v>2378</v>
      </c>
      <c r="B430" s="6">
        <v>0.1</v>
      </c>
      <c r="C430" s="6">
        <v>0.1</v>
      </c>
      <c r="D430" s="6">
        <v>0.1</v>
      </c>
      <c r="E430" s="6">
        <v>0.1</v>
      </c>
      <c r="F430" s="6">
        <v>0.1</v>
      </c>
      <c r="G430" s="6">
        <v>0.1</v>
      </c>
      <c r="H430" s="6">
        <v>0.1</v>
      </c>
      <c r="I430" s="6">
        <v>0.1</v>
      </c>
      <c r="J430" s="6">
        <v>0.1</v>
      </c>
      <c r="K430" s="6">
        <v>0.1</v>
      </c>
      <c r="L430" s="6">
        <v>0.1</v>
      </c>
      <c r="M430" s="6">
        <v>0.1</v>
      </c>
      <c r="N430" s="6">
        <v>0.1</v>
      </c>
      <c r="O430" s="6">
        <v>0.1</v>
      </c>
      <c r="P430" s="6">
        <v>0.1</v>
      </c>
      <c r="Q430" s="6">
        <v>0.1</v>
      </c>
    </row>
    <row r="431" spans="1:17">
      <c r="A431" s="2">
        <v>2379</v>
      </c>
      <c r="B431" s="6">
        <v>0.1</v>
      </c>
      <c r="C431" s="6">
        <v>0.1</v>
      </c>
      <c r="D431" s="6">
        <v>0.1</v>
      </c>
      <c r="E431" s="6">
        <v>0.1</v>
      </c>
      <c r="F431" s="6">
        <v>0.1</v>
      </c>
      <c r="G431" s="6">
        <v>0.1</v>
      </c>
      <c r="H431" s="6">
        <v>0.1</v>
      </c>
      <c r="I431" s="6">
        <v>0.1</v>
      </c>
      <c r="J431" s="6">
        <v>0.1</v>
      </c>
      <c r="K431" s="6">
        <v>0.1</v>
      </c>
      <c r="L431" s="6">
        <v>0.1</v>
      </c>
      <c r="M431" s="6">
        <v>0.1</v>
      </c>
      <c r="N431" s="6">
        <v>0.1</v>
      </c>
      <c r="O431" s="6">
        <v>0.1</v>
      </c>
      <c r="P431" s="6">
        <v>0.1</v>
      </c>
      <c r="Q431" s="6">
        <v>0.1</v>
      </c>
    </row>
    <row r="432" spans="1:17">
      <c r="A432" s="2">
        <v>2380</v>
      </c>
      <c r="B432" s="6">
        <v>0.1</v>
      </c>
      <c r="C432" s="6">
        <v>0.1</v>
      </c>
      <c r="D432" s="6">
        <v>0.1</v>
      </c>
      <c r="E432" s="6">
        <v>0.1</v>
      </c>
      <c r="F432" s="6">
        <v>0.1</v>
      </c>
      <c r="G432" s="6">
        <v>0.1</v>
      </c>
      <c r="H432" s="6">
        <v>0.1</v>
      </c>
      <c r="I432" s="6">
        <v>0.1</v>
      </c>
      <c r="J432" s="6">
        <v>0.1</v>
      </c>
      <c r="K432" s="6">
        <v>0.1</v>
      </c>
      <c r="L432" s="6">
        <v>0.1</v>
      </c>
      <c r="M432" s="6">
        <v>0.1</v>
      </c>
      <c r="N432" s="6">
        <v>0.1</v>
      </c>
      <c r="O432" s="6">
        <v>0.1</v>
      </c>
      <c r="P432" s="6">
        <v>0.1</v>
      </c>
      <c r="Q432" s="6">
        <v>0.1</v>
      </c>
    </row>
    <row r="433" spans="1:17">
      <c r="A433" s="2">
        <v>2381</v>
      </c>
      <c r="B433" s="6">
        <v>0.1</v>
      </c>
      <c r="C433" s="6">
        <v>0.1</v>
      </c>
      <c r="D433" s="6">
        <v>0.1</v>
      </c>
      <c r="E433" s="6">
        <v>0.1</v>
      </c>
      <c r="F433" s="6">
        <v>0.1</v>
      </c>
      <c r="G433" s="6">
        <v>0.1</v>
      </c>
      <c r="H433" s="6">
        <v>0.1</v>
      </c>
      <c r="I433" s="6">
        <v>0.1</v>
      </c>
      <c r="J433" s="6">
        <v>0.1</v>
      </c>
      <c r="K433" s="6">
        <v>0.1</v>
      </c>
      <c r="L433" s="6">
        <v>0.1</v>
      </c>
      <c r="M433" s="6">
        <v>0.1</v>
      </c>
      <c r="N433" s="6">
        <v>0.1</v>
      </c>
      <c r="O433" s="6">
        <v>0.1</v>
      </c>
      <c r="P433" s="6">
        <v>0.1</v>
      </c>
      <c r="Q433" s="6">
        <v>0.1</v>
      </c>
    </row>
    <row r="434" spans="1:17">
      <c r="A434" s="2">
        <v>2382</v>
      </c>
      <c r="B434" s="6">
        <v>0.1</v>
      </c>
      <c r="C434" s="6">
        <v>0.1</v>
      </c>
      <c r="D434" s="6">
        <v>0.1</v>
      </c>
      <c r="E434" s="6">
        <v>0.1</v>
      </c>
      <c r="F434" s="6">
        <v>0.1</v>
      </c>
      <c r="G434" s="6">
        <v>0.1</v>
      </c>
      <c r="H434" s="6">
        <v>0.1</v>
      </c>
      <c r="I434" s="6">
        <v>0.1</v>
      </c>
      <c r="J434" s="6">
        <v>0.1</v>
      </c>
      <c r="K434" s="6">
        <v>0.1</v>
      </c>
      <c r="L434" s="6">
        <v>0.1</v>
      </c>
      <c r="M434" s="6">
        <v>0.1</v>
      </c>
      <c r="N434" s="6">
        <v>0.1</v>
      </c>
      <c r="O434" s="6">
        <v>0.1</v>
      </c>
      <c r="P434" s="6">
        <v>0.1</v>
      </c>
      <c r="Q434" s="6">
        <v>0.1</v>
      </c>
    </row>
    <row r="435" spans="1:17">
      <c r="A435" s="2">
        <v>2383</v>
      </c>
      <c r="B435" s="6">
        <v>0.1</v>
      </c>
      <c r="C435" s="6">
        <v>0.1</v>
      </c>
      <c r="D435" s="6">
        <v>0.1</v>
      </c>
      <c r="E435" s="6">
        <v>0.1</v>
      </c>
      <c r="F435" s="6">
        <v>0.1</v>
      </c>
      <c r="G435" s="6">
        <v>0.1</v>
      </c>
      <c r="H435" s="6">
        <v>0.1</v>
      </c>
      <c r="I435" s="6">
        <v>0.1</v>
      </c>
      <c r="J435" s="6">
        <v>0.1</v>
      </c>
      <c r="K435" s="6">
        <v>0.1</v>
      </c>
      <c r="L435" s="6">
        <v>0.1</v>
      </c>
      <c r="M435" s="6">
        <v>0.1</v>
      </c>
      <c r="N435" s="6">
        <v>0.1</v>
      </c>
      <c r="O435" s="6">
        <v>0.1</v>
      </c>
      <c r="P435" s="6">
        <v>0.1</v>
      </c>
      <c r="Q435" s="6">
        <v>0.1</v>
      </c>
    </row>
    <row r="436" spans="1:17">
      <c r="A436" s="2">
        <v>2384</v>
      </c>
      <c r="B436" s="6">
        <v>0.1</v>
      </c>
      <c r="C436" s="6">
        <v>0.1</v>
      </c>
      <c r="D436" s="6">
        <v>0.1</v>
      </c>
      <c r="E436" s="6">
        <v>0.1</v>
      </c>
      <c r="F436" s="6">
        <v>0.1</v>
      </c>
      <c r="G436" s="6">
        <v>0.1</v>
      </c>
      <c r="H436" s="6">
        <v>0.1</v>
      </c>
      <c r="I436" s="6">
        <v>0.1</v>
      </c>
      <c r="J436" s="6">
        <v>0.1</v>
      </c>
      <c r="K436" s="6">
        <v>0.1</v>
      </c>
      <c r="L436" s="6">
        <v>0.1</v>
      </c>
      <c r="M436" s="6">
        <v>0.1</v>
      </c>
      <c r="N436" s="6">
        <v>0.1</v>
      </c>
      <c r="O436" s="6">
        <v>0.1</v>
      </c>
      <c r="P436" s="6">
        <v>0.1</v>
      </c>
      <c r="Q436" s="6">
        <v>0.1</v>
      </c>
    </row>
    <row r="437" spans="1:17">
      <c r="A437" s="2">
        <v>2385</v>
      </c>
      <c r="B437" s="6">
        <v>0.1</v>
      </c>
      <c r="C437" s="6">
        <v>0.1</v>
      </c>
      <c r="D437" s="6">
        <v>0.1</v>
      </c>
      <c r="E437" s="6">
        <v>0.1</v>
      </c>
      <c r="F437" s="6">
        <v>0.1</v>
      </c>
      <c r="G437" s="6">
        <v>0.1</v>
      </c>
      <c r="H437" s="6">
        <v>0.1</v>
      </c>
      <c r="I437" s="6">
        <v>0.1</v>
      </c>
      <c r="J437" s="6">
        <v>0.1</v>
      </c>
      <c r="K437" s="6">
        <v>0.1</v>
      </c>
      <c r="L437" s="6">
        <v>0.1</v>
      </c>
      <c r="M437" s="6">
        <v>0.1</v>
      </c>
      <c r="N437" s="6">
        <v>0.1</v>
      </c>
      <c r="O437" s="6">
        <v>0.1</v>
      </c>
      <c r="P437" s="6">
        <v>0.1</v>
      </c>
      <c r="Q437" s="6">
        <v>0.1</v>
      </c>
    </row>
    <row r="438" spans="1:17">
      <c r="A438" s="2">
        <v>2386</v>
      </c>
      <c r="B438" s="6">
        <v>0.1</v>
      </c>
      <c r="C438" s="6">
        <v>0.1</v>
      </c>
      <c r="D438" s="6">
        <v>0.1</v>
      </c>
      <c r="E438" s="6">
        <v>0.1</v>
      </c>
      <c r="F438" s="6">
        <v>0.1</v>
      </c>
      <c r="G438" s="6">
        <v>0.1</v>
      </c>
      <c r="H438" s="6">
        <v>0.1</v>
      </c>
      <c r="I438" s="6">
        <v>0.1</v>
      </c>
      <c r="J438" s="6">
        <v>0.1</v>
      </c>
      <c r="K438" s="6">
        <v>0.1</v>
      </c>
      <c r="L438" s="6">
        <v>0.1</v>
      </c>
      <c r="M438" s="6">
        <v>0.1</v>
      </c>
      <c r="N438" s="6">
        <v>0.1</v>
      </c>
      <c r="O438" s="6">
        <v>0.1</v>
      </c>
      <c r="P438" s="6">
        <v>0.1</v>
      </c>
      <c r="Q438" s="6">
        <v>0.1</v>
      </c>
    </row>
    <row r="439" spans="1:17">
      <c r="A439" s="2">
        <v>2387</v>
      </c>
      <c r="B439" s="6">
        <v>0.1</v>
      </c>
      <c r="C439" s="6">
        <v>0.1</v>
      </c>
      <c r="D439" s="6">
        <v>0.1</v>
      </c>
      <c r="E439" s="6">
        <v>0.1</v>
      </c>
      <c r="F439" s="6">
        <v>0.1</v>
      </c>
      <c r="G439" s="6">
        <v>0.1</v>
      </c>
      <c r="H439" s="6">
        <v>0.1</v>
      </c>
      <c r="I439" s="6">
        <v>0.1</v>
      </c>
      <c r="J439" s="6">
        <v>0.1</v>
      </c>
      <c r="K439" s="6">
        <v>0.1</v>
      </c>
      <c r="L439" s="6">
        <v>0.1</v>
      </c>
      <c r="M439" s="6">
        <v>0.1</v>
      </c>
      <c r="N439" s="6">
        <v>0.1</v>
      </c>
      <c r="O439" s="6">
        <v>0.1</v>
      </c>
      <c r="P439" s="6">
        <v>0.1</v>
      </c>
      <c r="Q439" s="6">
        <v>0.1</v>
      </c>
    </row>
    <row r="440" spans="1:17">
      <c r="A440" s="2">
        <v>2388</v>
      </c>
      <c r="B440" s="6">
        <v>0.1</v>
      </c>
      <c r="C440" s="6">
        <v>0.1</v>
      </c>
      <c r="D440" s="6">
        <v>0.1</v>
      </c>
      <c r="E440" s="6">
        <v>0.1</v>
      </c>
      <c r="F440" s="6">
        <v>0.1</v>
      </c>
      <c r="G440" s="6">
        <v>0.1</v>
      </c>
      <c r="H440" s="6">
        <v>0.1</v>
      </c>
      <c r="I440" s="6">
        <v>0.1</v>
      </c>
      <c r="J440" s="6">
        <v>0.1</v>
      </c>
      <c r="K440" s="6">
        <v>0.1</v>
      </c>
      <c r="L440" s="6">
        <v>0.1</v>
      </c>
      <c r="M440" s="6">
        <v>0.1</v>
      </c>
      <c r="N440" s="6">
        <v>0.1</v>
      </c>
      <c r="O440" s="6">
        <v>0.1</v>
      </c>
      <c r="P440" s="6">
        <v>0.1</v>
      </c>
      <c r="Q440" s="6">
        <v>0.1</v>
      </c>
    </row>
    <row r="441" spans="1:17">
      <c r="A441" s="2">
        <v>2389</v>
      </c>
      <c r="B441" s="6">
        <v>0.1</v>
      </c>
      <c r="C441" s="6">
        <v>0.1</v>
      </c>
      <c r="D441" s="6">
        <v>0.1</v>
      </c>
      <c r="E441" s="6">
        <v>0.1</v>
      </c>
      <c r="F441" s="6">
        <v>0.1</v>
      </c>
      <c r="G441" s="6">
        <v>0.1</v>
      </c>
      <c r="H441" s="6">
        <v>0.1</v>
      </c>
      <c r="I441" s="6">
        <v>0.1</v>
      </c>
      <c r="J441" s="6">
        <v>0.1</v>
      </c>
      <c r="K441" s="6">
        <v>0.1</v>
      </c>
      <c r="L441" s="6">
        <v>0.1</v>
      </c>
      <c r="M441" s="6">
        <v>0.1</v>
      </c>
      <c r="N441" s="6">
        <v>0.1</v>
      </c>
      <c r="O441" s="6">
        <v>0.1</v>
      </c>
      <c r="P441" s="6">
        <v>0.1</v>
      </c>
      <c r="Q441" s="6">
        <v>0.1</v>
      </c>
    </row>
    <row r="442" spans="1:17">
      <c r="A442" s="2">
        <v>2390</v>
      </c>
      <c r="B442" s="6">
        <v>0.1</v>
      </c>
      <c r="C442" s="6">
        <v>0.1</v>
      </c>
      <c r="D442" s="6">
        <v>0.1</v>
      </c>
      <c r="E442" s="6">
        <v>0.1</v>
      </c>
      <c r="F442" s="6">
        <v>0.1</v>
      </c>
      <c r="G442" s="6">
        <v>0.1</v>
      </c>
      <c r="H442" s="6">
        <v>0.1</v>
      </c>
      <c r="I442" s="6">
        <v>0.1</v>
      </c>
      <c r="J442" s="6">
        <v>0.1</v>
      </c>
      <c r="K442" s="6">
        <v>0.1</v>
      </c>
      <c r="L442" s="6">
        <v>0.1</v>
      </c>
      <c r="M442" s="6">
        <v>0.1</v>
      </c>
      <c r="N442" s="6">
        <v>0.1</v>
      </c>
      <c r="O442" s="6">
        <v>0.1</v>
      </c>
      <c r="P442" s="6">
        <v>0.1</v>
      </c>
      <c r="Q442" s="6">
        <v>0.1</v>
      </c>
    </row>
    <row r="443" spans="1:17">
      <c r="A443" s="2">
        <v>2391</v>
      </c>
      <c r="B443" s="6">
        <v>0.1</v>
      </c>
      <c r="C443" s="6">
        <v>0.1</v>
      </c>
      <c r="D443" s="6">
        <v>0.1</v>
      </c>
      <c r="E443" s="6">
        <v>0.1</v>
      </c>
      <c r="F443" s="6">
        <v>0.1</v>
      </c>
      <c r="G443" s="6">
        <v>0.1</v>
      </c>
      <c r="H443" s="6">
        <v>0.1</v>
      </c>
      <c r="I443" s="6">
        <v>0.1</v>
      </c>
      <c r="J443" s="6">
        <v>0.1</v>
      </c>
      <c r="K443" s="6">
        <v>0.1</v>
      </c>
      <c r="L443" s="6">
        <v>0.1</v>
      </c>
      <c r="M443" s="6">
        <v>0.1</v>
      </c>
      <c r="N443" s="6">
        <v>0.1</v>
      </c>
      <c r="O443" s="6">
        <v>0.1</v>
      </c>
      <c r="P443" s="6">
        <v>0.1</v>
      </c>
      <c r="Q443" s="6">
        <v>0.1</v>
      </c>
    </row>
    <row r="444" spans="1:17">
      <c r="A444" s="2">
        <v>2392</v>
      </c>
      <c r="B444" s="6">
        <v>0.1</v>
      </c>
      <c r="C444" s="6">
        <v>0.1</v>
      </c>
      <c r="D444" s="6">
        <v>0.1</v>
      </c>
      <c r="E444" s="6">
        <v>0.1</v>
      </c>
      <c r="F444" s="6">
        <v>0.1</v>
      </c>
      <c r="G444" s="6">
        <v>0.1</v>
      </c>
      <c r="H444" s="6">
        <v>0.1</v>
      </c>
      <c r="I444" s="6">
        <v>0.1</v>
      </c>
      <c r="J444" s="6">
        <v>0.1</v>
      </c>
      <c r="K444" s="6">
        <v>0.1</v>
      </c>
      <c r="L444" s="6">
        <v>0.1</v>
      </c>
      <c r="M444" s="6">
        <v>0.1</v>
      </c>
      <c r="N444" s="6">
        <v>0.1</v>
      </c>
      <c r="O444" s="6">
        <v>0.1</v>
      </c>
      <c r="P444" s="6">
        <v>0.1</v>
      </c>
      <c r="Q444" s="6">
        <v>0.1</v>
      </c>
    </row>
    <row r="445" spans="1:17">
      <c r="A445" s="2">
        <v>2393</v>
      </c>
      <c r="B445" s="6">
        <v>0.1</v>
      </c>
      <c r="C445" s="6">
        <v>0.1</v>
      </c>
      <c r="D445" s="6">
        <v>0.1</v>
      </c>
      <c r="E445" s="6">
        <v>0.1</v>
      </c>
      <c r="F445" s="6">
        <v>0.1</v>
      </c>
      <c r="G445" s="6">
        <v>0.1</v>
      </c>
      <c r="H445" s="6">
        <v>0.1</v>
      </c>
      <c r="I445" s="6">
        <v>0.1</v>
      </c>
      <c r="J445" s="6">
        <v>0.1</v>
      </c>
      <c r="K445" s="6">
        <v>0.1</v>
      </c>
      <c r="L445" s="6">
        <v>0.1</v>
      </c>
      <c r="M445" s="6">
        <v>0.1</v>
      </c>
      <c r="N445" s="6">
        <v>0.1</v>
      </c>
      <c r="O445" s="6">
        <v>0.1</v>
      </c>
      <c r="P445" s="6">
        <v>0.1</v>
      </c>
      <c r="Q445" s="6">
        <v>0.1</v>
      </c>
    </row>
    <row r="446" spans="1:17">
      <c r="A446" s="2">
        <v>2394</v>
      </c>
      <c r="B446" s="6">
        <v>0.1</v>
      </c>
      <c r="C446" s="6">
        <v>0.1</v>
      </c>
      <c r="D446" s="6">
        <v>0.1</v>
      </c>
      <c r="E446" s="6">
        <v>0.1</v>
      </c>
      <c r="F446" s="6">
        <v>0.1</v>
      </c>
      <c r="G446" s="6">
        <v>0.1</v>
      </c>
      <c r="H446" s="6">
        <v>0.1</v>
      </c>
      <c r="I446" s="6">
        <v>0.1</v>
      </c>
      <c r="J446" s="6">
        <v>0.1</v>
      </c>
      <c r="K446" s="6">
        <v>0.1</v>
      </c>
      <c r="L446" s="6">
        <v>0.1</v>
      </c>
      <c r="M446" s="6">
        <v>0.1</v>
      </c>
      <c r="N446" s="6">
        <v>0.1</v>
      </c>
      <c r="O446" s="6">
        <v>0.1</v>
      </c>
      <c r="P446" s="6">
        <v>0.1</v>
      </c>
      <c r="Q446" s="6">
        <v>0.1</v>
      </c>
    </row>
    <row r="447" spans="1:17">
      <c r="A447" s="2">
        <v>2395</v>
      </c>
      <c r="B447" s="6">
        <v>0.1</v>
      </c>
      <c r="C447" s="6">
        <v>0.1</v>
      </c>
      <c r="D447" s="6">
        <v>0.1</v>
      </c>
      <c r="E447" s="6">
        <v>0.1</v>
      </c>
      <c r="F447" s="6">
        <v>0.1</v>
      </c>
      <c r="G447" s="6">
        <v>0.1</v>
      </c>
      <c r="H447" s="6">
        <v>0.1</v>
      </c>
      <c r="I447" s="6">
        <v>0.1</v>
      </c>
      <c r="J447" s="6">
        <v>0.1</v>
      </c>
      <c r="K447" s="6">
        <v>0.1</v>
      </c>
      <c r="L447" s="6">
        <v>0.1</v>
      </c>
      <c r="M447" s="6">
        <v>0.1</v>
      </c>
      <c r="N447" s="6">
        <v>0.1</v>
      </c>
      <c r="O447" s="6">
        <v>0.1</v>
      </c>
      <c r="P447" s="6">
        <v>0.1</v>
      </c>
      <c r="Q447" s="6">
        <v>0.1</v>
      </c>
    </row>
    <row r="448" spans="1:17">
      <c r="A448" s="2">
        <v>2396</v>
      </c>
      <c r="B448" s="6">
        <v>0.1</v>
      </c>
      <c r="C448" s="6">
        <v>0.1</v>
      </c>
      <c r="D448" s="6">
        <v>0.1</v>
      </c>
      <c r="E448" s="6">
        <v>0.1</v>
      </c>
      <c r="F448" s="6">
        <v>0.1</v>
      </c>
      <c r="G448" s="6">
        <v>0.1</v>
      </c>
      <c r="H448" s="6">
        <v>0.1</v>
      </c>
      <c r="I448" s="6">
        <v>0.1</v>
      </c>
      <c r="J448" s="6">
        <v>0.1</v>
      </c>
      <c r="K448" s="6">
        <v>0.1</v>
      </c>
      <c r="L448" s="6">
        <v>0.1</v>
      </c>
      <c r="M448" s="6">
        <v>0.1</v>
      </c>
      <c r="N448" s="6">
        <v>0.1</v>
      </c>
      <c r="O448" s="6">
        <v>0.1</v>
      </c>
      <c r="P448" s="6">
        <v>0.1</v>
      </c>
      <c r="Q448" s="6">
        <v>0.1</v>
      </c>
    </row>
    <row r="449" spans="1:17">
      <c r="A449" s="2">
        <v>2397</v>
      </c>
      <c r="B449" s="6">
        <v>0.1</v>
      </c>
      <c r="C449" s="6">
        <v>0.1</v>
      </c>
      <c r="D449" s="6">
        <v>0.1</v>
      </c>
      <c r="E449" s="6">
        <v>0.1</v>
      </c>
      <c r="F449" s="6">
        <v>0.1</v>
      </c>
      <c r="G449" s="6">
        <v>0.1</v>
      </c>
      <c r="H449" s="6">
        <v>0.1</v>
      </c>
      <c r="I449" s="6">
        <v>0.1</v>
      </c>
      <c r="J449" s="6">
        <v>0.1</v>
      </c>
      <c r="K449" s="6">
        <v>0.1</v>
      </c>
      <c r="L449" s="6">
        <v>0.1</v>
      </c>
      <c r="M449" s="6">
        <v>0.1</v>
      </c>
      <c r="N449" s="6">
        <v>0.1</v>
      </c>
      <c r="O449" s="6">
        <v>0.1</v>
      </c>
      <c r="P449" s="6">
        <v>0.1</v>
      </c>
      <c r="Q449" s="6">
        <v>0.1</v>
      </c>
    </row>
    <row r="450" spans="1:17">
      <c r="A450" s="2">
        <v>2398</v>
      </c>
      <c r="B450" s="6">
        <v>0.1</v>
      </c>
      <c r="C450" s="6">
        <v>0.1</v>
      </c>
      <c r="D450" s="6">
        <v>0.1</v>
      </c>
      <c r="E450" s="6">
        <v>0.1</v>
      </c>
      <c r="F450" s="6">
        <v>0.1</v>
      </c>
      <c r="G450" s="6">
        <v>0.1</v>
      </c>
      <c r="H450" s="6">
        <v>0.1</v>
      </c>
      <c r="I450" s="6">
        <v>0.1</v>
      </c>
      <c r="J450" s="6">
        <v>0.1</v>
      </c>
      <c r="K450" s="6">
        <v>0.1</v>
      </c>
      <c r="L450" s="6">
        <v>0.1</v>
      </c>
      <c r="M450" s="6">
        <v>0.1</v>
      </c>
      <c r="N450" s="6">
        <v>0.1</v>
      </c>
      <c r="O450" s="6">
        <v>0.1</v>
      </c>
      <c r="P450" s="6">
        <v>0.1</v>
      </c>
      <c r="Q450" s="6">
        <v>0.1</v>
      </c>
    </row>
    <row r="451" spans="1:17">
      <c r="A451" s="2">
        <v>2399</v>
      </c>
      <c r="B451" s="6">
        <v>0.1</v>
      </c>
      <c r="C451" s="6">
        <v>0.1</v>
      </c>
      <c r="D451" s="6">
        <v>0.1</v>
      </c>
      <c r="E451" s="6">
        <v>0.1</v>
      </c>
      <c r="F451" s="6">
        <v>0.1</v>
      </c>
      <c r="G451" s="6">
        <v>0.1</v>
      </c>
      <c r="H451" s="6">
        <v>0.1</v>
      </c>
      <c r="I451" s="6">
        <v>0.1</v>
      </c>
      <c r="J451" s="6">
        <v>0.1</v>
      </c>
      <c r="K451" s="6">
        <v>0.1</v>
      </c>
      <c r="L451" s="6">
        <v>0.1</v>
      </c>
      <c r="M451" s="6">
        <v>0.1</v>
      </c>
      <c r="N451" s="6">
        <v>0.1</v>
      </c>
      <c r="O451" s="6">
        <v>0.1</v>
      </c>
      <c r="P451" s="6">
        <v>0.1</v>
      </c>
      <c r="Q451" s="6">
        <v>0.1</v>
      </c>
    </row>
    <row r="452" spans="1:17">
      <c r="A452" s="2">
        <v>2400</v>
      </c>
      <c r="B452" s="6">
        <v>0.1</v>
      </c>
      <c r="C452" s="6">
        <v>0.1</v>
      </c>
      <c r="D452" s="6">
        <v>0.1</v>
      </c>
      <c r="E452" s="6">
        <v>0.1</v>
      </c>
      <c r="F452" s="6">
        <v>0.1</v>
      </c>
      <c r="G452" s="6">
        <v>0.1</v>
      </c>
      <c r="H452" s="6">
        <v>0.1</v>
      </c>
      <c r="I452" s="6">
        <v>0.1</v>
      </c>
      <c r="J452" s="6">
        <v>0.1</v>
      </c>
      <c r="K452" s="6">
        <v>0.1</v>
      </c>
      <c r="L452" s="6">
        <v>0.1</v>
      </c>
      <c r="M452" s="6">
        <v>0.1</v>
      </c>
      <c r="N452" s="6">
        <v>0.1</v>
      </c>
      <c r="O452" s="6">
        <v>0.1</v>
      </c>
      <c r="P452" s="6">
        <v>0.1</v>
      </c>
      <c r="Q452" s="6">
        <v>0.1</v>
      </c>
    </row>
    <row r="453" spans="1:17">
      <c r="A453" s="2">
        <v>2401</v>
      </c>
      <c r="B453" s="6">
        <v>0.1</v>
      </c>
      <c r="C453" s="6">
        <v>0.1</v>
      </c>
      <c r="D453" s="6">
        <v>0.1</v>
      </c>
      <c r="E453" s="6">
        <v>0.1</v>
      </c>
      <c r="F453" s="6">
        <v>0.1</v>
      </c>
      <c r="G453" s="6">
        <v>0.1</v>
      </c>
      <c r="H453" s="6">
        <v>0.1</v>
      </c>
      <c r="I453" s="6">
        <v>0.1</v>
      </c>
      <c r="J453" s="6">
        <v>0.1</v>
      </c>
      <c r="K453" s="6">
        <v>0.1</v>
      </c>
      <c r="L453" s="6">
        <v>0.1</v>
      </c>
      <c r="M453" s="6">
        <v>0.1</v>
      </c>
      <c r="N453" s="6">
        <v>0.1</v>
      </c>
      <c r="O453" s="6">
        <v>0.1</v>
      </c>
      <c r="P453" s="6">
        <v>0.1</v>
      </c>
      <c r="Q453" s="6">
        <v>0.1</v>
      </c>
    </row>
    <row r="454" spans="1:17">
      <c r="A454" s="2">
        <v>2402</v>
      </c>
      <c r="B454" s="6">
        <v>0.1</v>
      </c>
      <c r="C454" s="6">
        <v>0.1</v>
      </c>
      <c r="D454" s="6">
        <v>0.1</v>
      </c>
      <c r="E454" s="6">
        <v>0.1</v>
      </c>
      <c r="F454" s="6">
        <v>0.1</v>
      </c>
      <c r="G454" s="6">
        <v>0.1</v>
      </c>
      <c r="H454" s="6">
        <v>0.1</v>
      </c>
      <c r="I454" s="6">
        <v>0.1</v>
      </c>
      <c r="J454" s="6">
        <v>0.1</v>
      </c>
      <c r="K454" s="6">
        <v>0.1</v>
      </c>
      <c r="L454" s="6">
        <v>0.1</v>
      </c>
      <c r="M454" s="6">
        <v>0.1</v>
      </c>
      <c r="N454" s="6">
        <v>0.1</v>
      </c>
      <c r="O454" s="6">
        <v>0.1</v>
      </c>
      <c r="P454" s="6">
        <v>0.1</v>
      </c>
      <c r="Q454" s="6">
        <v>0.1</v>
      </c>
    </row>
    <row r="455" spans="1:17">
      <c r="A455" s="2">
        <v>2403</v>
      </c>
      <c r="B455" s="6">
        <v>0.1</v>
      </c>
      <c r="C455" s="6">
        <v>0.1</v>
      </c>
      <c r="D455" s="6">
        <v>0.1</v>
      </c>
      <c r="E455" s="6">
        <v>0.1</v>
      </c>
      <c r="F455" s="6">
        <v>0.1</v>
      </c>
      <c r="G455" s="6">
        <v>0.1</v>
      </c>
      <c r="H455" s="6">
        <v>0.1</v>
      </c>
      <c r="I455" s="6">
        <v>0.1</v>
      </c>
      <c r="J455" s="6">
        <v>0.1</v>
      </c>
      <c r="K455" s="6">
        <v>0.1</v>
      </c>
      <c r="L455" s="6">
        <v>0.1</v>
      </c>
      <c r="M455" s="6">
        <v>0.1</v>
      </c>
      <c r="N455" s="6">
        <v>0.1</v>
      </c>
      <c r="O455" s="6">
        <v>0.1</v>
      </c>
      <c r="P455" s="6">
        <v>0.1</v>
      </c>
      <c r="Q455" s="6">
        <v>0.1</v>
      </c>
    </row>
    <row r="456" spans="1:17">
      <c r="A456" s="2">
        <v>2404</v>
      </c>
      <c r="B456" s="6">
        <v>0.1</v>
      </c>
      <c r="C456" s="6">
        <v>0.1</v>
      </c>
      <c r="D456" s="6">
        <v>0.1</v>
      </c>
      <c r="E456" s="6">
        <v>0.1</v>
      </c>
      <c r="F456" s="6">
        <v>0.1</v>
      </c>
      <c r="G456" s="6">
        <v>0.1</v>
      </c>
      <c r="H456" s="6">
        <v>0.1</v>
      </c>
      <c r="I456" s="6">
        <v>0.1</v>
      </c>
      <c r="J456" s="6">
        <v>0.1</v>
      </c>
      <c r="K456" s="6">
        <v>0.1</v>
      </c>
      <c r="L456" s="6">
        <v>0.1</v>
      </c>
      <c r="M456" s="6">
        <v>0.1</v>
      </c>
      <c r="N456" s="6">
        <v>0.1</v>
      </c>
      <c r="O456" s="6">
        <v>0.1</v>
      </c>
      <c r="P456" s="6">
        <v>0.1</v>
      </c>
      <c r="Q456" s="6">
        <v>0.1</v>
      </c>
    </row>
    <row r="457" spans="1:17">
      <c r="A457" s="2">
        <v>2405</v>
      </c>
      <c r="B457" s="6">
        <v>0.1</v>
      </c>
      <c r="C457" s="6">
        <v>0.1</v>
      </c>
      <c r="D457" s="6">
        <v>0.1</v>
      </c>
      <c r="E457" s="6">
        <v>0.1</v>
      </c>
      <c r="F457" s="6">
        <v>0.1</v>
      </c>
      <c r="G457" s="6">
        <v>0.1</v>
      </c>
      <c r="H457" s="6">
        <v>0.1</v>
      </c>
      <c r="I457" s="6">
        <v>0.1</v>
      </c>
      <c r="J457" s="6">
        <v>0.1</v>
      </c>
      <c r="K457" s="6">
        <v>0.1</v>
      </c>
      <c r="L457" s="6">
        <v>0.1</v>
      </c>
      <c r="M457" s="6">
        <v>0.1</v>
      </c>
      <c r="N457" s="6">
        <v>0.1</v>
      </c>
      <c r="O457" s="6">
        <v>0.1</v>
      </c>
      <c r="P457" s="6">
        <v>0.1</v>
      </c>
      <c r="Q457" s="6">
        <v>0.1</v>
      </c>
    </row>
    <row r="458" spans="1:17">
      <c r="A458" s="2">
        <v>2406</v>
      </c>
      <c r="B458" s="6">
        <v>0.1</v>
      </c>
      <c r="C458" s="6">
        <v>0.1</v>
      </c>
      <c r="D458" s="6">
        <v>0.1</v>
      </c>
      <c r="E458" s="6">
        <v>0.1</v>
      </c>
      <c r="F458" s="6">
        <v>0.1</v>
      </c>
      <c r="G458" s="6">
        <v>0.1</v>
      </c>
      <c r="H458" s="6">
        <v>0.1</v>
      </c>
      <c r="I458" s="6">
        <v>0.1</v>
      </c>
      <c r="J458" s="6">
        <v>0.1</v>
      </c>
      <c r="K458" s="6">
        <v>0.1</v>
      </c>
      <c r="L458" s="6">
        <v>0.1</v>
      </c>
      <c r="M458" s="6">
        <v>0.1</v>
      </c>
      <c r="N458" s="6">
        <v>0.1</v>
      </c>
      <c r="O458" s="6">
        <v>0.1</v>
      </c>
      <c r="P458" s="6">
        <v>0.1</v>
      </c>
      <c r="Q458" s="6">
        <v>0.1</v>
      </c>
    </row>
    <row r="459" spans="1:17">
      <c r="A459" s="2">
        <v>2407</v>
      </c>
      <c r="B459" s="6">
        <v>0.1</v>
      </c>
      <c r="C459" s="6">
        <v>0.1</v>
      </c>
      <c r="D459" s="6">
        <v>0.1</v>
      </c>
      <c r="E459" s="6">
        <v>0.1</v>
      </c>
      <c r="F459" s="6">
        <v>0.1</v>
      </c>
      <c r="G459" s="6">
        <v>0.1</v>
      </c>
      <c r="H459" s="6">
        <v>0.1</v>
      </c>
      <c r="I459" s="6">
        <v>0.1</v>
      </c>
      <c r="J459" s="6">
        <v>0.1</v>
      </c>
      <c r="K459" s="6">
        <v>0.1</v>
      </c>
      <c r="L459" s="6">
        <v>0.1</v>
      </c>
      <c r="M459" s="6">
        <v>0.1</v>
      </c>
      <c r="N459" s="6">
        <v>0.1</v>
      </c>
      <c r="O459" s="6">
        <v>0.1</v>
      </c>
      <c r="P459" s="6">
        <v>0.1</v>
      </c>
      <c r="Q459" s="6">
        <v>0.1</v>
      </c>
    </row>
    <row r="460" spans="1:17">
      <c r="A460" s="2">
        <v>2408</v>
      </c>
      <c r="B460" s="6">
        <v>0.1</v>
      </c>
      <c r="C460" s="6">
        <v>0.1</v>
      </c>
      <c r="D460" s="6">
        <v>0.1</v>
      </c>
      <c r="E460" s="6">
        <v>0.1</v>
      </c>
      <c r="F460" s="6">
        <v>0.1</v>
      </c>
      <c r="G460" s="6">
        <v>0.1</v>
      </c>
      <c r="H460" s="6">
        <v>0.1</v>
      </c>
      <c r="I460" s="6">
        <v>0.1</v>
      </c>
      <c r="J460" s="6">
        <v>0.1</v>
      </c>
      <c r="K460" s="6">
        <v>0.1</v>
      </c>
      <c r="L460" s="6">
        <v>0.1</v>
      </c>
      <c r="M460" s="6">
        <v>0.1</v>
      </c>
      <c r="N460" s="6">
        <v>0.1</v>
      </c>
      <c r="O460" s="6">
        <v>0.1</v>
      </c>
      <c r="P460" s="6">
        <v>0.1</v>
      </c>
      <c r="Q460" s="6">
        <v>0.1</v>
      </c>
    </row>
    <row r="461" spans="1:17">
      <c r="A461" s="2">
        <v>2409</v>
      </c>
      <c r="B461" s="6">
        <v>0.1</v>
      </c>
      <c r="C461" s="6">
        <v>0.1</v>
      </c>
      <c r="D461" s="6">
        <v>0.1</v>
      </c>
      <c r="E461" s="6">
        <v>0.1</v>
      </c>
      <c r="F461" s="6">
        <v>0.1</v>
      </c>
      <c r="G461" s="6">
        <v>0.1</v>
      </c>
      <c r="H461" s="6">
        <v>0.1</v>
      </c>
      <c r="I461" s="6">
        <v>0.1</v>
      </c>
      <c r="J461" s="6">
        <v>0.1</v>
      </c>
      <c r="K461" s="6">
        <v>0.1</v>
      </c>
      <c r="L461" s="6">
        <v>0.1</v>
      </c>
      <c r="M461" s="6">
        <v>0.1</v>
      </c>
      <c r="N461" s="6">
        <v>0.1</v>
      </c>
      <c r="O461" s="6">
        <v>0.1</v>
      </c>
      <c r="P461" s="6">
        <v>0.1</v>
      </c>
      <c r="Q461" s="6">
        <v>0.1</v>
      </c>
    </row>
    <row r="462" spans="1:17">
      <c r="A462" s="2">
        <v>2410</v>
      </c>
      <c r="B462" s="6">
        <v>0.1</v>
      </c>
      <c r="C462" s="6">
        <v>0.1</v>
      </c>
      <c r="D462" s="6">
        <v>0.1</v>
      </c>
      <c r="E462" s="6">
        <v>0.1</v>
      </c>
      <c r="F462" s="6">
        <v>0.1</v>
      </c>
      <c r="G462" s="6">
        <v>0.1</v>
      </c>
      <c r="H462" s="6">
        <v>0.1</v>
      </c>
      <c r="I462" s="6">
        <v>0.1</v>
      </c>
      <c r="J462" s="6">
        <v>0.1</v>
      </c>
      <c r="K462" s="6">
        <v>0.1</v>
      </c>
      <c r="L462" s="6">
        <v>0.1</v>
      </c>
      <c r="M462" s="6">
        <v>0.1</v>
      </c>
      <c r="N462" s="6">
        <v>0.1</v>
      </c>
      <c r="O462" s="6">
        <v>0.1</v>
      </c>
      <c r="P462" s="6">
        <v>0.1</v>
      </c>
      <c r="Q462" s="6">
        <v>0.1</v>
      </c>
    </row>
    <row r="463" spans="1:17">
      <c r="A463" s="2">
        <v>2411</v>
      </c>
      <c r="B463" s="6">
        <v>0.1</v>
      </c>
      <c r="C463" s="6">
        <v>0.1</v>
      </c>
      <c r="D463" s="6">
        <v>0.1</v>
      </c>
      <c r="E463" s="6">
        <v>0.1</v>
      </c>
      <c r="F463" s="6">
        <v>0.1</v>
      </c>
      <c r="G463" s="6">
        <v>0.1</v>
      </c>
      <c r="H463" s="6">
        <v>0.1</v>
      </c>
      <c r="I463" s="6">
        <v>0.1</v>
      </c>
      <c r="J463" s="6">
        <v>0.1</v>
      </c>
      <c r="K463" s="6">
        <v>0.1</v>
      </c>
      <c r="L463" s="6">
        <v>0.1</v>
      </c>
      <c r="M463" s="6">
        <v>0.1</v>
      </c>
      <c r="N463" s="6">
        <v>0.1</v>
      </c>
      <c r="O463" s="6">
        <v>0.1</v>
      </c>
      <c r="P463" s="6">
        <v>0.1</v>
      </c>
      <c r="Q463" s="6">
        <v>0.1</v>
      </c>
    </row>
    <row r="464" spans="1:17">
      <c r="A464" s="2">
        <v>2412</v>
      </c>
      <c r="B464" s="6">
        <v>0.1</v>
      </c>
      <c r="C464" s="6">
        <v>0.1</v>
      </c>
      <c r="D464" s="6">
        <v>0.1</v>
      </c>
      <c r="E464" s="6">
        <v>0.1</v>
      </c>
      <c r="F464" s="6">
        <v>0.1</v>
      </c>
      <c r="G464" s="6">
        <v>0.1</v>
      </c>
      <c r="H464" s="6">
        <v>0.1</v>
      </c>
      <c r="I464" s="6">
        <v>0.1</v>
      </c>
      <c r="J464" s="6">
        <v>0.1</v>
      </c>
      <c r="K464" s="6">
        <v>0.1</v>
      </c>
      <c r="L464" s="6">
        <v>0.1</v>
      </c>
      <c r="M464" s="6">
        <v>0.1</v>
      </c>
      <c r="N464" s="6">
        <v>0.1</v>
      </c>
      <c r="O464" s="6">
        <v>0.1</v>
      </c>
      <c r="P464" s="6">
        <v>0.1</v>
      </c>
      <c r="Q464" s="6">
        <v>0.1</v>
      </c>
    </row>
    <row r="465" spans="1:17">
      <c r="A465" s="2">
        <v>2413</v>
      </c>
      <c r="B465" s="6">
        <v>0.1</v>
      </c>
      <c r="C465" s="6">
        <v>0.1</v>
      </c>
      <c r="D465" s="6">
        <v>0.1</v>
      </c>
      <c r="E465" s="6">
        <v>0.1</v>
      </c>
      <c r="F465" s="6">
        <v>0.1</v>
      </c>
      <c r="G465" s="6">
        <v>0.1</v>
      </c>
      <c r="H465" s="6">
        <v>0.1</v>
      </c>
      <c r="I465" s="6">
        <v>0.1</v>
      </c>
      <c r="J465" s="6">
        <v>0.1</v>
      </c>
      <c r="K465" s="6">
        <v>0.1</v>
      </c>
      <c r="L465" s="6">
        <v>0.1</v>
      </c>
      <c r="M465" s="6">
        <v>0.1</v>
      </c>
      <c r="N465" s="6">
        <v>0.1</v>
      </c>
      <c r="O465" s="6">
        <v>0.1</v>
      </c>
      <c r="P465" s="6">
        <v>0.1</v>
      </c>
      <c r="Q465" s="6">
        <v>0.1</v>
      </c>
    </row>
    <row r="466" spans="1:17">
      <c r="A466" s="2">
        <v>2414</v>
      </c>
      <c r="B466" s="6">
        <v>0.1</v>
      </c>
      <c r="C466" s="6">
        <v>0.1</v>
      </c>
      <c r="D466" s="6">
        <v>0.1</v>
      </c>
      <c r="E466" s="6">
        <v>0.1</v>
      </c>
      <c r="F466" s="6">
        <v>0.1</v>
      </c>
      <c r="G466" s="6">
        <v>0.1</v>
      </c>
      <c r="H466" s="6">
        <v>0.1</v>
      </c>
      <c r="I466" s="6">
        <v>0.1</v>
      </c>
      <c r="J466" s="6">
        <v>0.1</v>
      </c>
      <c r="K466" s="6">
        <v>0.1</v>
      </c>
      <c r="L466" s="6">
        <v>0.1</v>
      </c>
      <c r="M466" s="6">
        <v>0.1</v>
      </c>
      <c r="N466" s="6">
        <v>0.1</v>
      </c>
      <c r="O466" s="6">
        <v>0.1</v>
      </c>
      <c r="P466" s="6">
        <v>0.1</v>
      </c>
      <c r="Q466" s="6">
        <v>0.1</v>
      </c>
    </row>
    <row r="467" spans="1:17">
      <c r="A467" s="2">
        <v>2415</v>
      </c>
      <c r="B467" s="6">
        <v>0.1</v>
      </c>
      <c r="C467" s="6">
        <v>0.1</v>
      </c>
      <c r="D467" s="6">
        <v>0.1</v>
      </c>
      <c r="E467" s="6">
        <v>0.1</v>
      </c>
      <c r="F467" s="6">
        <v>0.1</v>
      </c>
      <c r="G467" s="6">
        <v>0.1</v>
      </c>
      <c r="H467" s="6">
        <v>0.1</v>
      </c>
      <c r="I467" s="6">
        <v>0.1</v>
      </c>
      <c r="J467" s="6">
        <v>0.1</v>
      </c>
      <c r="K467" s="6">
        <v>0.1</v>
      </c>
      <c r="L467" s="6">
        <v>0.1</v>
      </c>
      <c r="M467" s="6">
        <v>0.1</v>
      </c>
      <c r="N467" s="6">
        <v>0.1</v>
      </c>
      <c r="O467" s="6">
        <v>0.1</v>
      </c>
      <c r="P467" s="6">
        <v>0.1</v>
      </c>
      <c r="Q467" s="6">
        <v>0.1</v>
      </c>
    </row>
    <row r="468" spans="1:17">
      <c r="A468" s="2">
        <v>2416</v>
      </c>
      <c r="B468" s="6">
        <v>0.1</v>
      </c>
      <c r="C468" s="6">
        <v>0.1</v>
      </c>
      <c r="D468" s="6">
        <v>0.1</v>
      </c>
      <c r="E468" s="6">
        <v>0.1</v>
      </c>
      <c r="F468" s="6">
        <v>0.1</v>
      </c>
      <c r="G468" s="6">
        <v>0.1</v>
      </c>
      <c r="H468" s="6">
        <v>0.1</v>
      </c>
      <c r="I468" s="6">
        <v>0.1</v>
      </c>
      <c r="J468" s="6">
        <v>0.1</v>
      </c>
      <c r="K468" s="6">
        <v>0.1</v>
      </c>
      <c r="L468" s="6">
        <v>0.1</v>
      </c>
      <c r="M468" s="6">
        <v>0.1</v>
      </c>
      <c r="N468" s="6">
        <v>0.1</v>
      </c>
      <c r="O468" s="6">
        <v>0.1</v>
      </c>
      <c r="P468" s="6">
        <v>0.1</v>
      </c>
      <c r="Q468" s="6">
        <v>0.1</v>
      </c>
    </row>
    <row r="469" spans="1:17">
      <c r="A469" s="2">
        <v>2417</v>
      </c>
      <c r="B469" s="6">
        <v>0.1</v>
      </c>
      <c r="C469" s="6">
        <v>0.1</v>
      </c>
      <c r="D469" s="6">
        <v>0.1</v>
      </c>
      <c r="E469" s="6">
        <v>0.1</v>
      </c>
      <c r="F469" s="6">
        <v>0.1</v>
      </c>
      <c r="G469" s="6">
        <v>0.1</v>
      </c>
      <c r="H469" s="6">
        <v>0.1</v>
      </c>
      <c r="I469" s="6">
        <v>0.1</v>
      </c>
      <c r="J469" s="6">
        <v>0.1</v>
      </c>
      <c r="K469" s="6">
        <v>0.1</v>
      </c>
      <c r="L469" s="6">
        <v>0.1</v>
      </c>
      <c r="M469" s="6">
        <v>0.1</v>
      </c>
      <c r="N469" s="6">
        <v>0.1</v>
      </c>
      <c r="O469" s="6">
        <v>0.1</v>
      </c>
      <c r="P469" s="6">
        <v>0.1</v>
      </c>
      <c r="Q469" s="6">
        <v>0.1</v>
      </c>
    </row>
    <row r="470" spans="1:17">
      <c r="A470" s="2">
        <v>2418</v>
      </c>
      <c r="B470" s="6">
        <v>0.1</v>
      </c>
      <c r="C470" s="6">
        <v>0.1</v>
      </c>
      <c r="D470" s="6">
        <v>0.1</v>
      </c>
      <c r="E470" s="6">
        <v>0.1</v>
      </c>
      <c r="F470" s="6">
        <v>0.1</v>
      </c>
      <c r="G470" s="6">
        <v>0.1</v>
      </c>
      <c r="H470" s="6">
        <v>0.1</v>
      </c>
      <c r="I470" s="6">
        <v>0.1</v>
      </c>
      <c r="J470" s="6">
        <v>0.1</v>
      </c>
      <c r="K470" s="6">
        <v>0.1</v>
      </c>
      <c r="L470" s="6">
        <v>0.1</v>
      </c>
      <c r="M470" s="6">
        <v>0.1</v>
      </c>
      <c r="N470" s="6">
        <v>0.1</v>
      </c>
      <c r="O470" s="6">
        <v>0.1</v>
      </c>
      <c r="P470" s="6">
        <v>0.1</v>
      </c>
      <c r="Q470" s="6">
        <v>0.1</v>
      </c>
    </row>
    <row r="471" spans="1:17">
      <c r="A471" s="2">
        <v>2419</v>
      </c>
      <c r="B471" s="6">
        <v>0.1</v>
      </c>
      <c r="C471" s="6">
        <v>0.1</v>
      </c>
      <c r="D471" s="6">
        <v>0.1</v>
      </c>
      <c r="E471" s="6">
        <v>0.1</v>
      </c>
      <c r="F471" s="6">
        <v>0.1</v>
      </c>
      <c r="G471" s="6">
        <v>0.1</v>
      </c>
      <c r="H471" s="6">
        <v>0.1</v>
      </c>
      <c r="I471" s="6">
        <v>0.1</v>
      </c>
      <c r="J471" s="6">
        <v>0.1</v>
      </c>
      <c r="K471" s="6">
        <v>0.1</v>
      </c>
      <c r="L471" s="6">
        <v>0.1</v>
      </c>
      <c r="M471" s="6">
        <v>0.1</v>
      </c>
      <c r="N471" s="6">
        <v>0.1</v>
      </c>
      <c r="O471" s="6">
        <v>0.1</v>
      </c>
      <c r="P471" s="6">
        <v>0.1</v>
      </c>
      <c r="Q471" s="6">
        <v>0.1</v>
      </c>
    </row>
    <row r="472" spans="1:17">
      <c r="A472" s="2">
        <v>2420</v>
      </c>
      <c r="B472" s="6">
        <v>0.1</v>
      </c>
      <c r="C472" s="6">
        <v>0.1</v>
      </c>
      <c r="D472" s="6">
        <v>0.1</v>
      </c>
      <c r="E472" s="6">
        <v>0.1</v>
      </c>
      <c r="F472" s="6">
        <v>0.1</v>
      </c>
      <c r="G472" s="6">
        <v>0.1</v>
      </c>
      <c r="H472" s="6">
        <v>0.1</v>
      </c>
      <c r="I472" s="6">
        <v>0.1</v>
      </c>
      <c r="J472" s="6">
        <v>0.1</v>
      </c>
      <c r="K472" s="6">
        <v>0.1</v>
      </c>
      <c r="L472" s="6">
        <v>0.1</v>
      </c>
      <c r="M472" s="6">
        <v>0.1</v>
      </c>
      <c r="N472" s="6">
        <v>0.1</v>
      </c>
      <c r="O472" s="6">
        <v>0.1</v>
      </c>
      <c r="P472" s="6">
        <v>0.1</v>
      </c>
      <c r="Q472" s="6">
        <v>0.1</v>
      </c>
    </row>
    <row r="473" spans="1:17">
      <c r="A473" s="2">
        <v>2421</v>
      </c>
      <c r="B473" s="6">
        <v>0.1</v>
      </c>
      <c r="C473" s="6">
        <v>0.1</v>
      </c>
      <c r="D473" s="6">
        <v>0.1</v>
      </c>
      <c r="E473" s="6">
        <v>0.1</v>
      </c>
      <c r="F473" s="6">
        <v>0.1</v>
      </c>
      <c r="G473" s="6">
        <v>0.1</v>
      </c>
      <c r="H473" s="6">
        <v>0.1</v>
      </c>
      <c r="I473" s="6">
        <v>0.1</v>
      </c>
      <c r="J473" s="6">
        <v>0.1</v>
      </c>
      <c r="K473" s="6">
        <v>0.1</v>
      </c>
      <c r="L473" s="6">
        <v>0.1</v>
      </c>
      <c r="M473" s="6">
        <v>0.1</v>
      </c>
      <c r="N473" s="6">
        <v>0.1</v>
      </c>
      <c r="O473" s="6">
        <v>0.1</v>
      </c>
      <c r="P473" s="6">
        <v>0.1</v>
      </c>
      <c r="Q473" s="6">
        <v>0.1</v>
      </c>
    </row>
    <row r="474" spans="1:17">
      <c r="A474" s="2">
        <v>2422</v>
      </c>
      <c r="B474" s="6">
        <v>0.1</v>
      </c>
      <c r="C474" s="6">
        <v>0.1</v>
      </c>
      <c r="D474" s="6">
        <v>0.1</v>
      </c>
      <c r="E474" s="6">
        <v>0.1</v>
      </c>
      <c r="F474" s="6">
        <v>0.1</v>
      </c>
      <c r="G474" s="6">
        <v>0.1</v>
      </c>
      <c r="H474" s="6">
        <v>0.1</v>
      </c>
      <c r="I474" s="6">
        <v>0.1</v>
      </c>
      <c r="J474" s="6">
        <v>0.1</v>
      </c>
      <c r="K474" s="6">
        <v>0.1</v>
      </c>
      <c r="L474" s="6">
        <v>0.1</v>
      </c>
      <c r="M474" s="6">
        <v>0.1</v>
      </c>
      <c r="N474" s="6">
        <v>0.1</v>
      </c>
      <c r="O474" s="6">
        <v>0.1</v>
      </c>
      <c r="P474" s="6">
        <v>0.1</v>
      </c>
      <c r="Q474" s="6">
        <v>0.1</v>
      </c>
    </row>
    <row r="475" spans="1:17">
      <c r="A475" s="2">
        <v>2423</v>
      </c>
      <c r="B475" s="6">
        <v>0.1</v>
      </c>
      <c r="C475" s="6">
        <v>0.1</v>
      </c>
      <c r="D475" s="6">
        <v>0.1</v>
      </c>
      <c r="E475" s="6">
        <v>0.1</v>
      </c>
      <c r="F475" s="6">
        <v>0.1</v>
      </c>
      <c r="G475" s="6">
        <v>0.1</v>
      </c>
      <c r="H475" s="6">
        <v>0.1</v>
      </c>
      <c r="I475" s="6">
        <v>0.1</v>
      </c>
      <c r="J475" s="6">
        <v>0.1</v>
      </c>
      <c r="K475" s="6">
        <v>0.1</v>
      </c>
      <c r="L475" s="6">
        <v>0.1</v>
      </c>
      <c r="M475" s="6">
        <v>0.1</v>
      </c>
      <c r="N475" s="6">
        <v>0.1</v>
      </c>
      <c r="O475" s="6">
        <v>0.1</v>
      </c>
      <c r="P475" s="6">
        <v>0.1</v>
      </c>
      <c r="Q475" s="6">
        <v>0.1</v>
      </c>
    </row>
    <row r="476" spans="1:17">
      <c r="A476" s="2">
        <v>2424</v>
      </c>
      <c r="B476" s="6">
        <v>0.1</v>
      </c>
      <c r="C476" s="6">
        <v>0.1</v>
      </c>
      <c r="D476" s="6">
        <v>0.1</v>
      </c>
      <c r="E476" s="6">
        <v>0.1</v>
      </c>
      <c r="F476" s="6">
        <v>0.1</v>
      </c>
      <c r="G476" s="6">
        <v>0.1</v>
      </c>
      <c r="H476" s="6">
        <v>0.1</v>
      </c>
      <c r="I476" s="6">
        <v>0.1</v>
      </c>
      <c r="J476" s="6">
        <v>0.1</v>
      </c>
      <c r="K476" s="6">
        <v>0.1</v>
      </c>
      <c r="L476" s="6">
        <v>0.1</v>
      </c>
      <c r="M476" s="6">
        <v>0.1</v>
      </c>
      <c r="N476" s="6">
        <v>0.1</v>
      </c>
      <c r="O476" s="6">
        <v>0.1</v>
      </c>
      <c r="P476" s="6">
        <v>0.1</v>
      </c>
      <c r="Q476" s="6">
        <v>0.1</v>
      </c>
    </row>
    <row r="477" spans="1:17">
      <c r="A477" s="2">
        <v>2425</v>
      </c>
      <c r="B477" s="6">
        <v>0.1</v>
      </c>
      <c r="C477" s="6">
        <v>0.1</v>
      </c>
      <c r="D477" s="6">
        <v>0.1</v>
      </c>
      <c r="E477" s="6">
        <v>0.1</v>
      </c>
      <c r="F477" s="6">
        <v>0.1</v>
      </c>
      <c r="G477" s="6">
        <v>0.1</v>
      </c>
      <c r="H477" s="6">
        <v>0.1</v>
      </c>
      <c r="I477" s="6">
        <v>0.1</v>
      </c>
      <c r="J477" s="6">
        <v>0.1</v>
      </c>
      <c r="K477" s="6">
        <v>0.1</v>
      </c>
      <c r="L477" s="6">
        <v>0.1</v>
      </c>
      <c r="M477" s="6">
        <v>0.1</v>
      </c>
      <c r="N477" s="6">
        <v>0.1</v>
      </c>
      <c r="O477" s="6">
        <v>0.1</v>
      </c>
      <c r="P477" s="6">
        <v>0.1</v>
      </c>
      <c r="Q477" s="6">
        <v>0.1</v>
      </c>
    </row>
    <row r="478" spans="1:17">
      <c r="A478" s="2">
        <v>2426</v>
      </c>
      <c r="B478" s="6">
        <v>0.1</v>
      </c>
      <c r="C478" s="6">
        <v>0.1</v>
      </c>
      <c r="D478" s="6">
        <v>0.1</v>
      </c>
      <c r="E478" s="6">
        <v>0.1</v>
      </c>
      <c r="F478" s="6">
        <v>0.1</v>
      </c>
      <c r="G478" s="6">
        <v>0.1</v>
      </c>
      <c r="H478" s="6">
        <v>0.1</v>
      </c>
      <c r="I478" s="6">
        <v>0.1</v>
      </c>
      <c r="J478" s="6">
        <v>0.1</v>
      </c>
      <c r="K478" s="6">
        <v>0.1</v>
      </c>
      <c r="L478" s="6">
        <v>0.1</v>
      </c>
      <c r="M478" s="6">
        <v>0.1</v>
      </c>
      <c r="N478" s="6">
        <v>0.1</v>
      </c>
      <c r="O478" s="6">
        <v>0.1</v>
      </c>
      <c r="P478" s="6">
        <v>0.1</v>
      </c>
      <c r="Q478" s="6">
        <v>0.1</v>
      </c>
    </row>
    <row r="479" spans="1:17">
      <c r="A479" s="2">
        <v>2427</v>
      </c>
      <c r="B479" s="6">
        <v>0.1</v>
      </c>
      <c r="C479" s="6">
        <v>0.1</v>
      </c>
      <c r="D479" s="6">
        <v>0.1</v>
      </c>
      <c r="E479" s="6">
        <v>0.1</v>
      </c>
      <c r="F479" s="6">
        <v>0.1</v>
      </c>
      <c r="G479" s="6">
        <v>0.1</v>
      </c>
      <c r="H479" s="6">
        <v>0.1</v>
      </c>
      <c r="I479" s="6">
        <v>0.1</v>
      </c>
      <c r="J479" s="6">
        <v>0.1</v>
      </c>
      <c r="K479" s="6">
        <v>0.1</v>
      </c>
      <c r="L479" s="6">
        <v>0.1</v>
      </c>
      <c r="M479" s="6">
        <v>0.1</v>
      </c>
      <c r="N479" s="6">
        <v>0.1</v>
      </c>
      <c r="O479" s="6">
        <v>0.1</v>
      </c>
      <c r="P479" s="6">
        <v>0.1</v>
      </c>
      <c r="Q479" s="6">
        <v>0.1</v>
      </c>
    </row>
    <row r="480" spans="1:17">
      <c r="A480" s="2">
        <v>2428</v>
      </c>
      <c r="B480" s="6">
        <v>0.1</v>
      </c>
      <c r="C480" s="6">
        <v>0.1</v>
      </c>
      <c r="D480" s="6">
        <v>0.1</v>
      </c>
      <c r="E480" s="6">
        <v>0.1</v>
      </c>
      <c r="F480" s="6">
        <v>0.1</v>
      </c>
      <c r="G480" s="6">
        <v>0.1</v>
      </c>
      <c r="H480" s="6">
        <v>0.1</v>
      </c>
      <c r="I480" s="6">
        <v>0.1</v>
      </c>
      <c r="J480" s="6">
        <v>0.1</v>
      </c>
      <c r="K480" s="6">
        <v>0.1</v>
      </c>
      <c r="L480" s="6">
        <v>0.1</v>
      </c>
      <c r="M480" s="6">
        <v>0.1</v>
      </c>
      <c r="N480" s="6">
        <v>0.1</v>
      </c>
      <c r="O480" s="6">
        <v>0.1</v>
      </c>
      <c r="P480" s="6">
        <v>0.1</v>
      </c>
      <c r="Q480" s="6">
        <v>0.1</v>
      </c>
    </row>
    <row r="481" spans="1:17">
      <c r="A481" s="2">
        <v>2429</v>
      </c>
      <c r="B481" s="6">
        <v>0.1</v>
      </c>
      <c r="C481" s="6">
        <v>0.1</v>
      </c>
      <c r="D481" s="6">
        <v>0.1</v>
      </c>
      <c r="E481" s="6">
        <v>0.1</v>
      </c>
      <c r="F481" s="6">
        <v>0.1</v>
      </c>
      <c r="G481" s="6">
        <v>0.1</v>
      </c>
      <c r="H481" s="6">
        <v>0.1</v>
      </c>
      <c r="I481" s="6">
        <v>0.1</v>
      </c>
      <c r="J481" s="6">
        <v>0.1</v>
      </c>
      <c r="K481" s="6">
        <v>0.1</v>
      </c>
      <c r="L481" s="6">
        <v>0.1</v>
      </c>
      <c r="M481" s="6">
        <v>0.1</v>
      </c>
      <c r="N481" s="6">
        <v>0.1</v>
      </c>
      <c r="O481" s="6">
        <v>0.1</v>
      </c>
      <c r="P481" s="6">
        <v>0.1</v>
      </c>
      <c r="Q481" s="6">
        <v>0.1</v>
      </c>
    </row>
    <row r="482" spans="1:17">
      <c r="A482" s="2">
        <v>2430</v>
      </c>
      <c r="B482" s="6">
        <v>0.1</v>
      </c>
      <c r="C482" s="6">
        <v>0.1</v>
      </c>
      <c r="D482" s="6">
        <v>0.1</v>
      </c>
      <c r="E482" s="6">
        <v>0.1</v>
      </c>
      <c r="F482" s="6">
        <v>0.1</v>
      </c>
      <c r="G482" s="6">
        <v>0.1</v>
      </c>
      <c r="H482" s="6">
        <v>0.1</v>
      </c>
      <c r="I482" s="6">
        <v>0.1</v>
      </c>
      <c r="J482" s="6">
        <v>0.1</v>
      </c>
      <c r="K482" s="6">
        <v>0.1</v>
      </c>
      <c r="L482" s="6">
        <v>0.1</v>
      </c>
      <c r="M482" s="6">
        <v>0.1</v>
      </c>
      <c r="N482" s="6">
        <v>0.1</v>
      </c>
      <c r="O482" s="6">
        <v>0.1</v>
      </c>
      <c r="P482" s="6">
        <v>0.1</v>
      </c>
      <c r="Q482" s="6">
        <v>0.1</v>
      </c>
    </row>
    <row r="483" spans="1:17">
      <c r="A483" s="2">
        <v>2431</v>
      </c>
      <c r="B483" s="6">
        <v>0.1</v>
      </c>
      <c r="C483" s="6">
        <v>0.1</v>
      </c>
      <c r="D483" s="6">
        <v>0.1</v>
      </c>
      <c r="E483" s="6">
        <v>0.1</v>
      </c>
      <c r="F483" s="6">
        <v>0.1</v>
      </c>
      <c r="G483" s="6">
        <v>0.1</v>
      </c>
      <c r="H483" s="6">
        <v>0.1</v>
      </c>
      <c r="I483" s="6">
        <v>0.1</v>
      </c>
      <c r="J483" s="6">
        <v>0.1</v>
      </c>
      <c r="K483" s="6">
        <v>0.1</v>
      </c>
      <c r="L483" s="6">
        <v>0.1</v>
      </c>
      <c r="M483" s="6">
        <v>0.1</v>
      </c>
      <c r="N483" s="6">
        <v>0.1</v>
      </c>
      <c r="O483" s="6">
        <v>0.1</v>
      </c>
      <c r="P483" s="6">
        <v>0.1</v>
      </c>
      <c r="Q483" s="6">
        <v>0.1</v>
      </c>
    </row>
    <row r="484" spans="1:17">
      <c r="A484" s="2">
        <v>2432</v>
      </c>
      <c r="B484" s="6">
        <v>0.1</v>
      </c>
      <c r="C484" s="6">
        <v>0.1</v>
      </c>
      <c r="D484" s="6">
        <v>0.1</v>
      </c>
      <c r="E484" s="6">
        <v>0.1</v>
      </c>
      <c r="F484" s="6">
        <v>0.1</v>
      </c>
      <c r="G484" s="6">
        <v>0.1</v>
      </c>
      <c r="H484" s="6">
        <v>0.1</v>
      </c>
      <c r="I484" s="6">
        <v>0.1</v>
      </c>
      <c r="J484" s="6">
        <v>0.1</v>
      </c>
      <c r="K484" s="6">
        <v>0.1</v>
      </c>
      <c r="L484" s="6">
        <v>0.1</v>
      </c>
      <c r="M484" s="6">
        <v>0.1</v>
      </c>
      <c r="N484" s="6">
        <v>0.1</v>
      </c>
      <c r="O484" s="6">
        <v>0.1</v>
      </c>
      <c r="P484" s="6">
        <v>0.1</v>
      </c>
      <c r="Q484" s="6">
        <v>0.1</v>
      </c>
    </row>
    <row r="485" spans="1:17">
      <c r="A485" s="2">
        <v>2433</v>
      </c>
      <c r="B485" s="6">
        <v>0.1</v>
      </c>
      <c r="C485" s="6">
        <v>0.1</v>
      </c>
      <c r="D485" s="6">
        <v>0.1</v>
      </c>
      <c r="E485" s="6">
        <v>0.1</v>
      </c>
      <c r="F485" s="6">
        <v>0.1</v>
      </c>
      <c r="G485" s="6">
        <v>0.1</v>
      </c>
      <c r="H485" s="6">
        <v>0.1</v>
      </c>
      <c r="I485" s="6">
        <v>0.1</v>
      </c>
      <c r="J485" s="6">
        <v>0.1</v>
      </c>
      <c r="K485" s="6">
        <v>0.1</v>
      </c>
      <c r="L485" s="6">
        <v>0.1</v>
      </c>
      <c r="M485" s="6">
        <v>0.1</v>
      </c>
      <c r="N485" s="6">
        <v>0.1</v>
      </c>
      <c r="O485" s="6">
        <v>0.1</v>
      </c>
      <c r="P485" s="6">
        <v>0.1</v>
      </c>
      <c r="Q485" s="6">
        <v>0.1</v>
      </c>
    </row>
    <row r="486" spans="1:17">
      <c r="A486" s="2">
        <v>2434</v>
      </c>
      <c r="B486" s="6">
        <v>0.1</v>
      </c>
      <c r="C486" s="6">
        <v>0.1</v>
      </c>
      <c r="D486" s="6">
        <v>0.1</v>
      </c>
      <c r="E486" s="6">
        <v>0.1</v>
      </c>
      <c r="F486" s="6">
        <v>0.1</v>
      </c>
      <c r="G486" s="6">
        <v>0.1</v>
      </c>
      <c r="H486" s="6">
        <v>0.1</v>
      </c>
      <c r="I486" s="6">
        <v>0.1</v>
      </c>
      <c r="J486" s="6">
        <v>0.1</v>
      </c>
      <c r="K486" s="6">
        <v>0.1</v>
      </c>
      <c r="L486" s="6">
        <v>0.1</v>
      </c>
      <c r="M486" s="6">
        <v>0.1</v>
      </c>
      <c r="N486" s="6">
        <v>0.1</v>
      </c>
      <c r="O486" s="6">
        <v>0.1</v>
      </c>
      <c r="P486" s="6">
        <v>0.1</v>
      </c>
      <c r="Q486" s="6">
        <v>0.1</v>
      </c>
    </row>
    <row r="487" spans="1:17">
      <c r="A487" s="2">
        <v>2435</v>
      </c>
      <c r="B487" s="6">
        <v>0.1</v>
      </c>
      <c r="C487" s="6">
        <v>0.1</v>
      </c>
      <c r="D487" s="6">
        <v>0.1</v>
      </c>
      <c r="E487" s="6">
        <v>0.1</v>
      </c>
      <c r="F487" s="6">
        <v>0.1</v>
      </c>
      <c r="G487" s="6">
        <v>0.1</v>
      </c>
      <c r="H487" s="6">
        <v>0.1</v>
      </c>
      <c r="I487" s="6">
        <v>0.1</v>
      </c>
      <c r="J487" s="6">
        <v>0.1</v>
      </c>
      <c r="K487" s="6">
        <v>0.1</v>
      </c>
      <c r="L487" s="6">
        <v>0.1</v>
      </c>
      <c r="M487" s="6">
        <v>0.1</v>
      </c>
      <c r="N487" s="6">
        <v>0.1</v>
      </c>
      <c r="O487" s="6">
        <v>0.1</v>
      </c>
      <c r="P487" s="6">
        <v>0.1</v>
      </c>
      <c r="Q487" s="6">
        <v>0.1</v>
      </c>
    </row>
    <row r="488" spans="1:17">
      <c r="A488" s="2">
        <v>2436</v>
      </c>
      <c r="B488" s="6">
        <v>0.1</v>
      </c>
      <c r="C488" s="6">
        <v>0.1</v>
      </c>
      <c r="D488" s="6">
        <v>0.1</v>
      </c>
      <c r="E488" s="6">
        <v>0.1</v>
      </c>
      <c r="F488" s="6">
        <v>0.1</v>
      </c>
      <c r="G488" s="6">
        <v>0.1</v>
      </c>
      <c r="H488" s="6">
        <v>0.1</v>
      </c>
      <c r="I488" s="6">
        <v>0.1</v>
      </c>
      <c r="J488" s="6">
        <v>0.1</v>
      </c>
      <c r="K488" s="6">
        <v>0.1</v>
      </c>
      <c r="L488" s="6">
        <v>0.1</v>
      </c>
      <c r="M488" s="6">
        <v>0.1</v>
      </c>
      <c r="N488" s="6">
        <v>0.1</v>
      </c>
      <c r="O488" s="6">
        <v>0.1</v>
      </c>
      <c r="P488" s="6">
        <v>0.1</v>
      </c>
      <c r="Q488" s="6">
        <v>0.1</v>
      </c>
    </row>
    <row r="489" spans="1:17">
      <c r="A489" s="2">
        <v>2437</v>
      </c>
      <c r="B489" s="6">
        <v>0.1</v>
      </c>
      <c r="C489" s="6">
        <v>0.1</v>
      </c>
      <c r="D489" s="6">
        <v>0.1</v>
      </c>
      <c r="E489" s="6">
        <v>0.1</v>
      </c>
      <c r="F489" s="6">
        <v>0.1</v>
      </c>
      <c r="G489" s="6">
        <v>0.1</v>
      </c>
      <c r="H489" s="6">
        <v>0.1</v>
      </c>
      <c r="I489" s="6">
        <v>0.1</v>
      </c>
      <c r="J489" s="6">
        <v>0.1</v>
      </c>
      <c r="K489" s="6">
        <v>0.1</v>
      </c>
      <c r="L489" s="6">
        <v>0.1</v>
      </c>
      <c r="M489" s="6">
        <v>0.1</v>
      </c>
      <c r="N489" s="6">
        <v>0.1</v>
      </c>
      <c r="O489" s="6">
        <v>0.1</v>
      </c>
      <c r="P489" s="6">
        <v>0.1</v>
      </c>
      <c r="Q489" s="6">
        <v>0.1</v>
      </c>
    </row>
    <row r="490" spans="1:17">
      <c r="A490" s="2">
        <v>2438</v>
      </c>
      <c r="B490" s="6">
        <v>0.1</v>
      </c>
      <c r="C490" s="6">
        <v>0.1</v>
      </c>
      <c r="D490" s="6">
        <v>0.1</v>
      </c>
      <c r="E490" s="6">
        <v>0.1</v>
      </c>
      <c r="F490" s="6">
        <v>0.1</v>
      </c>
      <c r="G490" s="6">
        <v>0.1</v>
      </c>
      <c r="H490" s="6">
        <v>0.1</v>
      </c>
      <c r="I490" s="6">
        <v>0.1</v>
      </c>
      <c r="J490" s="6">
        <v>0.1</v>
      </c>
      <c r="K490" s="6">
        <v>0.1</v>
      </c>
      <c r="L490" s="6">
        <v>0.1</v>
      </c>
      <c r="M490" s="6">
        <v>0.1</v>
      </c>
      <c r="N490" s="6">
        <v>0.1</v>
      </c>
      <c r="O490" s="6">
        <v>0.1</v>
      </c>
      <c r="P490" s="6">
        <v>0.1</v>
      </c>
      <c r="Q490" s="6">
        <v>0.1</v>
      </c>
    </row>
    <row r="491" spans="1:17">
      <c r="A491" s="2">
        <v>2439</v>
      </c>
      <c r="B491" s="6">
        <v>0.1</v>
      </c>
      <c r="C491" s="6">
        <v>0.1</v>
      </c>
      <c r="D491" s="6">
        <v>0.1</v>
      </c>
      <c r="E491" s="6">
        <v>0.1</v>
      </c>
      <c r="F491" s="6">
        <v>0.1</v>
      </c>
      <c r="G491" s="6">
        <v>0.1</v>
      </c>
      <c r="H491" s="6">
        <v>0.1</v>
      </c>
      <c r="I491" s="6">
        <v>0.1</v>
      </c>
      <c r="J491" s="6">
        <v>0.1</v>
      </c>
      <c r="K491" s="6">
        <v>0.1</v>
      </c>
      <c r="L491" s="6">
        <v>0.1</v>
      </c>
      <c r="M491" s="6">
        <v>0.1</v>
      </c>
      <c r="N491" s="6">
        <v>0.1</v>
      </c>
      <c r="O491" s="6">
        <v>0.1</v>
      </c>
      <c r="P491" s="6">
        <v>0.1</v>
      </c>
      <c r="Q491" s="6">
        <v>0.1</v>
      </c>
    </row>
    <row r="492" spans="1:17">
      <c r="A492" s="2">
        <v>2440</v>
      </c>
      <c r="B492" s="6">
        <v>0.1</v>
      </c>
      <c r="C492" s="6">
        <v>0.1</v>
      </c>
      <c r="D492" s="6">
        <v>0.1</v>
      </c>
      <c r="E492" s="6">
        <v>0.1</v>
      </c>
      <c r="F492" s="6">
        <v>0.1</v>
      </c>
      <c r="G492" s="6">
        <v>0.1</v>
      </c>
      <c r="H492" s="6">
        <v>0.1</v>
      </c>
      <c r="I492" s="6">
        <v>0.1</v>
      </c>
      <c r="J492" s="6">
        <v>0.1</v>
      </c>
      <c r="K492" s="6">
        <v>0.1</v>
      </c>
      <c r="L492" s="6">
        <v>0.1</v>
      </c>
      <c r="M492" s="6">
        <v>0.1</v>
      </c>
      <c r="N492" s="6">
        <v>0.1</v>
      </c>
      <c r="O492" s="6">
        <v>0.1</v>
      </c>
      <c r="P492" s="6">
        <v>0.1</v>
      </c>
      <c r="Q492" s="6">
        <v>0.1</v>
      </c>
    </row>
    <row r="493" spans="1:17">
      <c r="A493" s="2">
        <v>2441</v>
      </c>
      <c r="B493" s="6">
        <v>0.1</v>
      </c>
      <c r="C493" s="6">
        <v>0.1</v>
      </c>
      <c r="D493" s="6">
        <v>0.1</v>
      </c>
      <c r="E493" s="6">
        <v>0.1</v>
      </c>
      <c r="F493" s="6">
        <v>0.1</v>
      </c>
      <c r="G493" s="6">
        <v>0.1</v>
      </c>
      <c r="H493" s="6">
        <v>0.1</v>
      </c>
      <c r="I493" s="6">
        <v>0.1</v>
      </c>
      <c r="J493" s="6">
        <v>0.1</v>
      </c>
      <c r="K493" s="6">
        <v>0.1</v>
      </c>
      <c r="L493" s="6">
        <v>0.1</v>
      </c>
      <c r="M493" s="6">
        <v>0.1</v>
      </c>
      <c r="N493" s="6">
        <v>0.1</v>
      </c>
      <c r="O493" s="6">
        <v>0.1</v>
      </c>
      <c r="P493" s="6">
        <v>0.1</v>
      </c>
      <c r="Q493" s="6">
        <v>0.1</v>
      </c>
    </row>
    <row r="494" spans="1:17">
      <c r="A494" s="2">
        <v>2442</v>
      </c>
      <c r="B494" s="6">
        <v>0.1</v>
      </c>
      <c r="C494" s="6">
        <v>0.1</v>
      </c>
      <c r="D494" s="6">
        <v>0.1</v>
      </c>
      <c r="E494" s="6">
        <v>0.1</v>
      </c>
      <c r="F494" s="6">
        <v>0.1</v>
      </c>
      <c r="G494" s="6">
        <v>0.1</v>
      </c>
      <c r="H494" s="6">
        <v>0.1</v>
      </c>
      <c r="I494" s="6">
        <v>0.1</v>
      </c>
      <c r="J494" s="6">
        <v>0.1</v>
      </c>
      <c r="K494" s="6">
        <v>0.1</v>
      </c>
      <c r="L494" s="6">
        <v>0.1</v>
      </c>
      <c r="M494" s="6">
        <v>0.1</v>
      </c>
      <c r="N494" s="6">
        <v>0.1</v>
      </c>
      <c r="O494" s="6">
        <v>0.1</v>
      </c>
      <c r="P494" s="6">
        <v>0.1</v>
      </c>
      <c r="Q494" s="6">
        <v>0.1</v>
      </c>
    </row>
    <row r="495" spans="1:17">
      <c r="A495" s="2">
        <v>2443</v>
      </c>
      <c r="B495" s="6">
        <v>0.1</v>
      </c>
      <c r="C495" s="6">
        <v>0.1</v>
      </c>
      <c r="D495" s="6">
        <v>0.1</v>
      </c>
      <c r="E495" s="6">
        <v>0.1</v>
      </c>
      <c r="F495" s="6">
        <v>0.1</v>
      </c>
      <c r="G495" s="6">
        <v>0.1</v>
      </c>
      <c r="H495" s="6">
        <v>0.1</v>
      </c>
      <c r="I495" s="6">
        <v>0.1</v>
      </c>
      <c r="J495" s="6">
        <v>0.1</v>
      </c>
      <c r="K495" s="6">
        <v>0.1</v>
      </c>
      <c r="L495" s="6">
        <v>0.1</v>
      </c>
      <c r="M495" s="6">
        <v>0.1</v>
      </c>
      <c r="N495" s="6">
        <v>0.1</v>
      </c>
      <c r="O495" s="6">
        <v>0.1</v>
      </c>
      <c r="P495" s="6">
        <v>0.1</v>
      </c>
      <c r="Q495" s="6">
        <v>0.1</v>
      </c>
    </row>
    <row r="496" spans="1:17">
      <c r="A496" s="2">
        <v>2444</v>
      </c>
      <c r="B496" s="6">
        <v>0.1</v>
      </c>
      <c r="C496" s="6">
        <v>0.1</v>
      </c>
      <c r="D496" s="6">
        <v>0.1</v>
      </c>
      <c r="E496" s="6">
        <v>0.1</v>
      </c>
      <c r="F496" s="6">
        <v>0.1</v>
      </c>
      <c r="G496" s="6">
        <v>0.1</v>
      </c>
      <c r="H496" s="6">
        <v>0.1</v>
      </c>
      <c r="I496" s="6">
        <v>0.1</v>
      </c>
      <c r="J496" s="6">
        <v>0.1</v>
      </c>
      <c r="K496" s="6">
        <v>0.1</v>
      </c>
      <c r="L496" s="6">
        <v>0.1</v>
      </c>
      <c r="M496" s="6">
        <v>0.1</v>
      </c>
      <c r="N496" s="6">
        <v>0.1</v>
      </c>
      <c r="O496" s="6">
        <v>0.1</v>
      </c>
      <c r="P496" s="6">
        <v>0.1</v>
      </c>
      <c r="Q496" s="6">
        <v>0.1</v>
      </c>
    </row>
    <row r="497" spans="1:17">
      <c r="A497" s="2">
        <v>2445</v>
      </c>
      <c r="B497" s="6">
        <v>0.1</v>
      </c>
      <c r="C497" s="6">
        <v>0.1</v>
      </c>
      <c r="D497" s="6">
        <v>0.1</v>
      </c>
      <c r="E497" s="6">
        <v>0.1</v>
      </c>
      <c r="F497" s="6">
        <v>0.1</v>
      </c>
      <c r="G497" s="6">
        <v>0.1</v>
      </c>
      <c r="H497" s="6">
        <v>0.1</v>
      </c>
      <c r="I497" s="6">
        <v>0.1</v>
      </c>
      <c r="J497" s="6">
        <v>0.1</v>
      </c>
      <c r="K497" s="6">
        <v>0.1</v>
      </c>
      <c r="L497" s="6">
        <v>0.1</v>
      </c>
      <c r="M497" s="6">
        <v>0.1</v>
      </c>
      <c r="N497" s="6">
        <v>0.1</v>
      </c>
      <c r="O497" s="6">
        <v>0.1</v>
      </c>
      <c r="P497" s="6">
        <v>0.1</v>
      </c>
      <c r="Q497" s="6">
        <v>0.1</v>
      </c>
    </row>
    <row r="498" spans="1:17">
      <c r="A498" s="2">
        <v>2446</v>
      </c>
      <c r="B498" s="6">
        <v>0.1</v>
      </c>
      <c r="C498" s="6">
        <v>0.1</v>
      </c>
      <c r="D498" s="6">
        <v>0.1</v>
      </c>
      <c r="E498" s="6">
        <v>0.1</v>
      </c>
      <c r="F498" s="6">
        <v>0.1</v>
      </c>
      <c r="G498" s="6">
        <v>0.1</v>
      </c>
      <c r="H498" s="6">
        <v>0.1</v>
      </c>
      <c r="I498" s="6">
        <v>0.1</v>
      </c>
      <c r="J498" s="6">
        <v>0.1</v>
      </c>
      <c r="K498" s="6">
        <v>0.1</v>
      </c>
      <c r="L498" s="6">
        <v>0.1</v>
      </c>
      <c r="M498" s="6">
        <v>0.1</v>
      </c>
      <c r="N498" s="6">
        <v>0.1</v>
      </c>
      <c r="O498" s="6">
        <v>0.1</v>
      </c>
      <c r="P498" s="6">
        <v>0.1</v>
      </c>
      <c r="Q498" s="6">
        <v>0.1</v>
      </c>
    </row>
    <row r="499" spans="1:17">
      <c r="A499" s="2">
        <v>2447</v>
      </c>
      <c r="B499" s="6">
        <v>0.1</v>
      </c>
      <c r="C499" s="6">
        <v>0.1</v>
      </c>
      <c r="D499" s="6">
        <v>0.1</v>
      </c>
      <c r="E499" s="6">
        <v>0.1</v>
      </c>
      <c r="F499" s="6">
        <v>0.1</v>
      </c>
      <c r="G499" s="6">
        <v>0.1</v>
      </c>
      <c r="H499" s="6">
        <v>0.1</v>
      </c>
      <c r="I499" s="6">
        <v>0.1</v>
      </c>
      <c r="J499" s="6">
        <v>0.1</v>
      </c>
      <c r="K499" s="6">
        <v>0.1</v>
      </c>
      <c r="L499" s="6">
        <v>0.1</v>
      </c>
      <c r="M499" s="6">
        <v>0.1</v>
      </c>
      <c r="N499" s="6">
        <v>0.1</v>
      </c>
      <c r="O499" s="6">
        <v>0.1</v>
      </c>
      <c r="P499" s="6">
        <v>0.1</v>
      </c>
      <c r="Q499" s="6">
        <v>0.1</v>
      </c>
    </row>
    <row r="500" spans="1:17">
      <c r="A500" s="2">
        <v>2448</v>
      </c>
      <c r="B500" s="6">
        <v>0.1</v>
      </c>
      <c r="C500" s="6">
        <v>0.1</v>
      </c>
      <c r="D500" s="6">
        <v>0.1</v>
      </c>
      <c r="E500" s="6">
        <v>0.1</v>
      </c>
      <c r="F500" s="6">
        <v>0.1</v>
      </c>
      <c r="G500" s="6">
        <v>0.1</v>
      </c>
      <c r="H500" s="6">
        <v>0.1</v>
      </c>
      <c r="I500" s="6">
        <v>0.1</v>
      </c>
      <c r="J500" s="6">
        <v>0.1</v>
      </c>
      <c r="K500" s="6">
        <v>0.1</v>
      </c>
      <c r="L500" s="6">
        <v>0.1</v>
      </c>
      <c r="M500" s="6">
        <v>0.1</v>
      </c>
      <c r="N500" s="6">
        <v>0.1</v>
      </c>
      <c r="O500" s="6">
        <v>0.1</v>
      </c>
      <c r="P500" s="6">
        <v>0.1</v>
      </c>
      <c r="Q500" s="6">
        <v>0.1</v>
      </c>
    </row>
    <row r="501" spans="1:17">
      <c r="A501" s="2">
        <v>2449</v>
      </c>
      <c r="B501" s="6">
        <v>0.1</v>
      </c>
      <c r="C501" s="6">
        <v>0.1</v>
      </c>
      <c r="D501" s="6">
        <v>0.1</v>
      </c>
      <c r="E501" s="6">
        <v>0.1</v>
      </c>
      <c r="F501" s="6">
        <v>0.1</v>
      </c>
      <c r="G501" s="6">
        <v>0.1</v>
      </c>
      <c r="H501" s="6">
        <v>0.1</v>
      </c>
      <c r="I501" s="6">
        <v>0.1</v>
      </c>
      <c r="J501" s="6">
        <v>0.1</v>
      </c>
      <c r="K501" s="6">
        <v>0.1</v>
      </c>
      <c r="L501" s="6">
        <v>0.1</v>
      </c>
      <c r="M501" s="6">
        <v>0.1</v>
      </c>
      <c r="N501" s="6">
        <v>0.1</v>
      </c>
      <c r="O501" s="6">
        <v>0.1</v>
      </c>
      <c r="P501" s="6">
        <v>0.1</v>
      </c>
      <c r="Q501" s="6">
        <v>0.1</v>
      </c>
    </row>
    <row r="502" spans="1:17">
      <c r="A502" s="2">
        <v>2450</v>
      </c>
      <c r="B502" s="6">
        <v>0.1</v>
      </c>
      <c r="C502" s="6">
        <v>0.1</v>
      </c>
      <c r="D502" s="6">
        <v>0.1</v>
      </c>
      <c r="E502" s="6">
        <v>0.1</v>
      </c>
      <c r="F502" s="6">
        <v>0.1</v>
      </c>
      <c r="G502" s="6">
        <v>0.1</v>
      </c>
      <c r="H502" s="6">
        <v>0.1</v>
      </c>
      <c r="I502" s="6">
        <v>0.1</v>
      </c>
      <c r="J502" s="6">
        <v>0.1</v>
      </c>
      <c r="K502" s="6">
        <v>0.1</v>
      </c>
      <c r="L502" s="6">
        <v>0.1</v>
      </c>
      <c r="M502" s="6">
        <v>0.1</v>
      </c>
      <c r="N502" s="6">
        <v>0.1</v>
      </c>
      <c r="O502" s="6">
        <v>0.1</v>
      </c>
      <c r="P502" s="6">
        <v>0.1</v>
      </c>
      <c r="Q502" s="6">
        <v>0.1</v>
      </c>
    </row>
    <row r="503" spans="1:17">
      <c r="A503" s="2">
        <v>2451</v>
      </c>
      <c r="B503" s="6">
        <v>0.1</v>
      </c>
      <c r="C503" s="6">
        <v>0.1</v>
      </c>
      <c r="D503" s="6">
        <v>0.1</v>
      </c>
      <c r="E503" s="6">
        <v>0.1</v>
      </c>
      <c r="F503" s="6">
        <v>0.1</v>
      </c>
      <c r="G503" s="6">
        <v>0.1</v>
      </c>
      <c r="H503" s="6">
        <v>0.1</v>
      </c>
      <c r="I503" s="6">
        <v>0.1</v>
      </c>
      <c r="J503" s="6">
        <v>0.1</v>
      </c>
      <c r="K503" s="6">
        <v>0.1</v>
      </c>
      <c r="L503" s="6">
        <v>0.1</v>
      </c>
      <c r="M503" s="6">
        <v>0.1</v>
      </c>
      <c r="N503" s="6">
        <v>0.1</v>
      </c>
      <c r="O503" s="6">
        <v>0.1</v>
      </c>
      <c r="P503" s="6">
        <v>0.1</v>
      </c>
      <c r="Q503" s="6">
        <v>0.1</v>
      </c>
    </row>
    <row r="504" spans="1:17">
      <c r="A504" s="2">
        <v>2452</v>
      </c>
      <c r="B504" s="6">
        <v>0.1</v>
      </c>
      <c r="C504" s="6">
        <v>0.1</v>
      </c>
      <c r="D504" s="6">
        <v>0.1</v>
      </c>
      <c r="E504" s="6">
        <v>0.1</v>
      </c>
      <c r="F504" s="6">
        <v>0.1</v>
      </c>
      <c r="G504" s="6">
        <v>0.1</v>
      </c>
      <c r="H504" s="6">
        <v>0.1</v>
      </c>
      <c r="I504" s="6">
        <v>0.1</v>
      </c>
      <c r="J504" s="6">
        <v>0.1</v>
      </c>
      <c r="K504" s="6">
        <v>0.1</v>
      </c>
      <c r="L504" s="6">
        <v>0.1</v>
      </c>
      <c r="M504" s="6">
        <v>0.1</v>
      </c>
      <c r="N504" s="6">
        <v>0.1</v>
      </c>
      <c r="O504" s="6">
        <v>0.1</v>
      </c>
      <c r="P504" s="6">
        <v>0.1</v>
      </c>
      <c r="Q504" s="6">
        <v>0.1</v>
      </c>
    </row>
    <row r="505" spans="1:17">
      <c r="A505" s="2">
        <v>2453</v>
      </c>
      <c r="B505" s="6">
        <v>0.1</v>
      </c>
      <c r="C505" s="6">
        <v>0.1</v>
      </c>
      <c r="D505" s="6">
        <v>0.1</v>
      </c>
      <c r="E505" s="6">
        <v>0.1</v>
      </c>
      <c r="F505" s="6">
        <v>0.1</v>
      </c>
      <c r="G505" s="6">
        <v>0.1</v>
      </c>
      <c r="H505" s="6">
        <v>0.1</v>
      </c>
      <c r="I505" s="6">
        <v>0.1</v>
      </c>
      <c r="J505" s="6">
        <v>0.1</v>
      </c>
      <c r="K505" s="6">
        <v>0.1</v>
      </c>
      <c r="L505" s="6">
        <v>0.1</v>
      </c>
      <c r="M505" s="6">
        <v>0.1</v>
      </c>
      <c r="N505" s="6">
        <v>0.1</v>
      </c>
      <c r="O505" s="6">
        <v>0.1</v>
      </c>
      <c r="P505" s="6">
        <v>0.1</v>
      </c>
      <c r="Q505" s="6">
        <v>0.1</v>
      </c>
    </row>
    <row r="506" spans="1:17">
      <c r="A506" s="2">
        <v>2454</v>
      </c>
      <c r="B506" s="6">
        <v>0.1</v>
      </c>
      <c r="C506" s="6">
        <v>0.1</v>
      </c>
      <c r="D506" s="6">
        <v>0.1</v>
      </c>
      <c r="E506" s="6">
        <v>0.1</v>
      </c>
      <c r="F506" s="6">
        <v>0.1</v>
      </c>
      <c r="G506" s="6">
        <v>0.1</v>
      </c>
      <c r="H506" s="6">
        <v>0.1</v>
      </c>
      <c r="I506" s="6">
        <v>0.1</v>
      </c>
      <c r="J506" s="6">
        <v>0.1</v>
      </c>
      <c r="K506" s="6">
        <v>0.1</v>
      </c>
      <c r="L506" s="6">
        <v>0.1</v>
      </c>
      <c r="M506" s="6">
        <v>0.1</v>
      </c>
      <c r="N506" s="6">
        <v>0.1</v>
      </c>
      <c r="O506" s="6">
        <v>0.1</v>
      </c>
      <c r="P506" s="6">
        <v>0.1</v>
      </c>
      <c r="Q506" s="6">
        <v>0.1</v>
      </c>
    </row>
    <row r="507" spans="1:17">
      <c r="A507" s="2">
        <v>2455</v>
      </c>
      <c r="B507" s="6">
        <v>0.1</v>
      </c>
      <c r="C507" s="6">
        <v>0.1</v>
      </c>
      <c r="D507" s="6">
        <v>0.1</v>
      </c>
      <c r="E507" s="6">
        <v>0.1</v>
      </c>
      <c r="F507" s="6">
        <v>0.1</v>
      </c>
      <c r="G507" s="6">
        <v>0.1</v>
      </c>
      <c r="H507" s="6">
        <v>0.1</v>
      </c>
      <c r="I507" s="6">
        <v>0.1</v>
      </c>
      <c r="J507" s="6">
        <v>0.1</v>
      </c>
      <c r="K507" s="6">
        <v>0.1</v>
      </c>
      <c r="L507" s="6">
        <v>0.1</v>
      </c>
      <c r="M507" s="6">
        <v>0.1</v>
      </c>
      <c r="N507" s="6">
        <v>0.1</v>
      </c>
      <c r="O507" s="6">
        <v>0.1</v>
      </c>
      <c r="P507" s="6">
        <v>0.1</v>
      </c>
      <c r="Q507" s="6">
        <v>0.1</v>
      </c>
    </row>
    <row r="508" spans="1:17">
      <c r="A508" s="2">
        <v>2456</v>
      </c>
      <c r="B508" s="6">
        <v>0.1</v>
      </c>
      <c r="C508" s="6">
        <v>0.1</v>
      </c>
      <c r="D508" s="6">
        <v>0.1</v>
      </c>
      <c r="E508" s="6">
        <v>0.1</v>
      </c>
      <c r="F508" s="6">
        <v>0.1</v>
      </c>
      <c r="G508" s="6">
        <v>0.1</v>
      </c>
      <c r="H508" s="6">
        <v>0.1</v>
      </c>
      <c r="I508" s="6">
        <v>0.1</v>
      </c>
      <c r="J508" s="6">
        <v>0.1</v>
      </c>
      <c r="K508" s="6">
        <v>0.1</v>
      </c>
      <c r="L508" s="6">
        <v>0.1</v>
      </c>
      <c r="M508" s="6">
        <v>0.1</v>
      </c>
      <c r="N508" s="6">
        <v>0.1</v>
      </c>
      <c r="O508" s="6">
        <v>0.1</v>
      </c>
      <c r="P508" s="6">
        <v>0.1</v>
      </c>
      <c r="Q508" s="6">
        <v>0.1</v>
      </c>
    </row>
    <row r="509" spans="1:17">
      <c r="A509" s="2">
        <v>2457</v>
      </c>
      <c r="B509" s="6">
        <v>0.1</v>
      </c>
      <c r="C509" s="6">
        <v>0.1</v>
      </c>
      <c r="D509" s="6">
        <v>0.1</v>
      </c>
      <c r="E509" s="6">
        <v>0.1</v>
      </c>
      <c r="F509" s="6">
        <v>0.1</v>
      </c>
      <c r="G509" s="6">
        <v>0.1</v>
      </c>
      <c r="H509" s="6">
        <v>0.1</v>
      </c>
      <c r="I509" s="6">
        <v>0.1</v>
      </c>
      <c r="J509" s="6">
        <v>0.1</v>
      </c>
      <c r="K509" s="6">
        <v>0.1</v>
      </c>
      <c r="L509" s="6">
        <v>0.1</v>
      </c>
      <c r="M509" s="6">
        <v>0.1</v>
      </c>
      <c r="N509" s="6">
        <v>0.1</v>
      </c>
      <c r="O509" s="6">
        <v>0.1</v>
      </c>
      <c r="P509" s="6">
        <v>0.1</v>
      </c>
      <c r="Q509" s="6">
        <v>0.1</v>
      </c>
    </row>
    <row r="510" spans="1:17">
      <c r="A510" s="2">
        <v>2458</v>
      </c>
      <c r="B510" s="6">
        <v>0.1</v>
      </c>
      <c r="C510" s="6">
        <v>0.1</v>
      </c>
      <c r="D510" s="6">
        <v>0.1</v>
      </c>
      <c r="E510" s="6">
        <v>0.1</v>
      </c>
      <c r="F510" s="6">
        <v>0.1</v>
      </c>
      <c r="G510" s="6">
        <v>0.1</v>
      </c>
      <c r="H510" s="6">
        <v>0.1</v>
      </c>
      <c r="I510" s="6">
        <v>0.1</v>
      </c>
      <c r="J510" s="6">
        <v>0.1</v>
      </c>
      <c r="K510" s="6">
        <v>0.1</v>
      </c>
      <c r="L510" s="6">
        <v>0.1</v>
      </c>
      <c r="M510" s="6">
        <v>0.1</v>
      </c>
      <c r="N510" s="6">
        <v>0.1</v>
      </c>
      <c r="O510" s="6">
        <v>0.1</v>
      </c>
      <c r="P510" s="6">
        <v>0.1</v>
      </c>
      <c r="Q510" s="6">
        <v>0.1</v>
      </c>
    </row>
    <row r="511" spans="1:17">
      <c r="A511" s="2">
        <v>2459</v>
      </c>
      <c r="B511" s="6">
        <v>0.1</v>
      </c>
      <c r="C511" s="6">
        <v>0.1</v>
      </c>
      <c r="D511" s="6">
        <v>0.1</v>
      </c>
      <c r="E511" s="6">
        <v>0.1</v>
      </c>
      <c r="F511" s="6">
        <v>0.1</v>
      </c>
      <c r="G511" s="6">
        <v>0.1</v>
      </c>
      <c r="H511" s="6">
        <v>0.1</v>
      </c>
      <c r="I511" s="6">
        <v>0.1</v>
      </c>
      <c r="J511" s="6">
        <v>0.1</v>
      </c>
      <c r="K511" s="6">
        <v>0.1</v>
      </c>
      <c r="L511" s="6">
        <v>0.1</v>
      </c>
      <c r="M511" s="6">
        <v>0.1</v>
      </c>
      <c r="N511" s="6">
        <v>0.1</v>
      </c>
      <c r="O511" s="6">
        <v>0.1</v>
      </c>
      <c r="P511" s="6">
        <v>0.1</v>
      </c>
      <c r="Q511" s="6">
        <v>0.1</v>
      </c>
    </row>
    <row r="512" spans="1:17">
      <c r="A512" s="2">
        <v>2460</v>
      </c>
      <c r="B512" s="6">
        <v>0.1</v>
      </c>
      <c r="C512" s="6">
        <v>0.1</v>
      </c>
      <c r="D512" s="6">
        <v>0.1</v>
      </c>
      <c r="E512" s="6">
        <v>0.1</v>
      </c>
      <c r="F512" s="6">
        <v>0.1</v>
      </c>
      <c r="G512" s="6">
        <v>0.1</v>
      </c>
      <c r="H512" s="6">
        <v>0.1</v>
      </c>
      <c r="I512" s="6">
        <v>0.1</v>
      </c>
      <c r="J512" s="6">
        <v>0.1</v>
      </c>
      <c r="K512" s="6">
        <v>0.1</v>
      </c>
      <c r="L512" s="6">
        <v>0.1</v>
      </c>
      <c r="M512" s="6">
        <v>0.1</v>
      </c>
      <c r="N512" s="6">
        <v>0.1</v>
      </c>
      <c r="O512" s="6">
        <v>0.1</v>
      </c>
      <c r="P512" s="6">
        <v>0.1</v>
      </c>
      <c r="Q512" s="6">
        <v>0.1</v>
      </c>
    </row>
    <row r="513" spans="1:17">
      <c r="A513" s="2">
        <v>2461</v>
      </c>
      <c r="B513" s="6">
        <v>0.1</v>
      </c>
      <c r="C513" s="6">
        <v>0.1</v>
      </c>
      <c r="D513" s="6">
        <v>0.1</v>
      </c>
      <c r="E513" s="6">
        <v>0.1</v>
      </c>
      <c r="F513" s="6">
        <v>0.1</v>
      </c>
      <c r="G513" s="6">
        <v>0.1</v>
      </c>
      <c r="H513" s="6">
        <v>0.1</v>
      </c>
      <c r="I513" s="6">
        <v>0.1</v>
      </c>
      <c r="J513" s="6">
        <v>0.1</v>
      </c>
      <c r="K513" s="6">
        <v>0.1</v>
      </c>
      <c r="L513" s="6">
        <v>0.1</v>
      </c>
      <c r="M513" s="6">
        <v>0.1</v>
      </c>
      <c r="N513" s="6">
        <v>0.1</v>
      </c>
      <c r="O513" s="6">
        <v>0.1</v>
      </c>
      <c r="P513" s="6">
        <v>0.1</v>
      </c>
      <c r="Q513" s="6">
        <v>0.1</v>
      </c>
    </row>
    <row r="514" spans="1:17">
      <c r="A514" s="2">
        <v>2462</v>
      </c>
      <c r="B514" s="6">
        <v>0.1</v>
      </c>
      <c r="C514" s="6">
        <v>0.1</v>
      </c>
      <c r="D514" s="6">
        <v>0.1</v>
      </c>
      <c r="E514" s="6">
        <v>0.1</v>
      </c>
      <c r="F514" s="6">
        <v>0.1</v>
      </c>
      <c r="G514" s="6">
        <v>0.1</v>
      </c>
      <c r="H514" s="6">
        <v>0.1</v>
      </c>
      <c r="I514" s="6">
        <v>0.1</v>
      </c>
      <c r="J514" s="6">
        <v>0.1</v>
      </c>
      <c r="K514" s="6">
        <v>0.1</v>
      </c>
      <c r="L514" s="6">
        <v>0.1</v>
      </c>
      <c r="M514" s="6">
        <v>0.1</v>
      </c>
      <c r="N514" s="6">
        <v>0.1</v>
      </c>
      <c r="O514" s="6">
        <v>0.1</v>
      </c>
      <c r="P514" s="6">
        <v>0.1</v>
      </c>
      <c r="Q514" s="6">
        <v>0.1</v>
      </c>
    </row>
    <row r="515" spans="1:17">
      <c r="A515" s="2">
        <v>2463</v>
      </c>
      <c r="B515" s="6">
        <v>0.1</v>
      </c>
      <c r="C515" s="6">
        <v>0.1</v>
      </c>
      <c r="D515" s="6">
        <v>0.1</v>
      </c>
      <c r="E515" s="6">
        <v>0.1</v>
      </c>
      <c r="F515" s="6">
        <v>0.1</v>
      </c>
      <c r="G515" s="6">
        <v>0.1</v>
      </c>
      <c r="H515" s="6">
        <v>0.1</v>
      </c>
      <c r="I515" s="6">
        <v>0.1</v>
      </c>
      <c r="J515" s="6">
        <v>0.1</v>
      </c>
      <c r="K515" s="6">
        <v>0.1</v>
      </c>
      <c r="L515" s="6">
        <v>0.1</v>
      </c>
      <c r="M515" s="6">
        <v>0.1</v>
      </c>
      <c r="N515" s="6">
        <v>0.1</v>
      </c>
      <c r="O515" s="6">
        <v>0.1</v>
      </c>
      <c r="P515" s="6">
        <v>0.1</v>
      </c>
      <c r="Q515" s="6">
        <v>0.1</v>
      </c>
    </row>
    <row r="516" spans="1:17">
      <c r="A516" s="2">
        <v>2464</v>
      </c>
      <c r="B516" s="6">
        <v>0.1</v>
      </c>
      <c r="C516" s="6">
        <v>0.1</v>
      </c>
      <c r="D516" s="6">
        <v>0.1</v>
      </c>
      <c r="E516" s="6">
        <v>0.1</v>
      </c>
      <c r="F516" s="6">
        <v>0.1</v>
      </c>
      <c r="G516" s="6">
        <v>0.1</v>
      </c>
      <c r="H516" s="6">
        <v>0.1</v>
      </c>
      <c r="I516" s="6">
        <v>0.1</v>
      </c>
      <c r="J516" s="6">
        <v>0.1</v>
      </c>
      <c r="K516" s="6">
        <v>0.1</v>
      </c>
      <c r="L516" s="6">
        <v>0.1</v>
      </c>
      <c r="M516" s="6">
        <v>0.1</v>
      </c>
      <c r="N516" s="6">
        <v>0.1</v>
      </c>
      <c r="O516" s="6">
        <v>0.1</v>
      </c>
      <c r="P516" s="6">
        <v>0.1</v>
      </c>
      <c r="Q516" s="6">
        <v>0.1</v>
      </c>
    </row>
    <row r="517" spans="1:17">
      <c r="A517" s="2">
        <v>2465</v>
      </c>
      <c r="B517" s="6">
        <v>0.1</v>
      </c>
      <c r="C517" s="6">
        <v>0.1</v>
      </c>
      <c r="D517" s="6">
        <v>0.1</v>
      </c>
      <c r="E517" s="6">
        <v>0.1</v>
      </c>
      <c r="F517" s="6">
        <v>0.1</v>
      </c>
      <c r="G517" s="6">
        <v>0.1</v>
      </c>
      <c r="H517" s="6">
        <v>0.1</v>
      </c>
      <c r="I517" s="6">
        <v>0.1</v>
      </c>
      <c r="J517" s="6">
        <v>0.1</v>
      </c>
      <c r="K517" s="6">
        <v>0.1</v>
      </c>
      <c r="L517" s="6">
        <v>0.1</v>
      </c>
      <c r="M517" s="6">
        <v>0.1</v>
      </c>
      <c r="N517" s="6">
        <v>0.1</v>
      </c>
      <c r="O517" s="6">
        <v>0.1</v>
      </c>
      <c r="P517" s="6">
        <v>0.1</v>
      </c>
      <c r="Q517" s="6">
        <v>0.1</v>
      </c>
    </row>
    <row r="518" spans="1:17">
      <c r="A518" s="2">
        <v>2466</v>
      </c>
      <c r="B518" s="6">
        <v>0.1</v>
      </c>
      <c r="C518" s="6">
        <v>0.1</v>
      </c>
      <c r="D518" s="6">
        <v>0.1</v>
      </c>
      <c r="E518" s="6">
        <v>0.1</v>
      </c>
      <c r="F518" s="6">
        <v>0.1</v>
      </c>
      <c r="G518" s="6">
        <v>0.1</v>
      </c>
      <c r="H518" s="6">
        <v>0.1</v>
      </c>
      <c r="I518" s="6">
        <v>0.1</v>
      </c>
      <c r="J518" s="6">
        <v>0.1</v>
      </c>
      <c r="K518" s="6">
        <v>0.1</v>
      </c>
      <c r="L518" s="6">
        <v>0.1</v>
      </c>
      <c r="M518" s="6">
        <v>0.1</v>
      </c>
      <c r="N518" s="6">
        <v>0.1</v>
      </c>
      <c r="O518" s="6">
        <v>0.1</v>
      </c>
      <c r="P518" s="6">
        <v>0.1</v>
      </c>
      <c r="Q518" s="6">
        <v>0.1</v>
      </c>
    </row>
    <row r="519" spans="1:17">
      <c r="A519" s="2">
        <v>2467</v>
      </c>
      <c r="B519" s="6">
        <v>0.1</v>
      </c>
      <c r="C519" s="6">
        <v>0.1</v>
      </c>
      <c r="D519" s="6">
        <v>0.1</v>
      </c>
      <c r="E519" s="6">
        <v>0.1</v>
      </c>
      <c r="F519" s="6">
        <v>0.1</v>
      </c>
      <c r="G519" s="6">
        <v>0.1</v>
      </c>
      <c r="H519" s="6">
        <v>0.1</v>
      </c>
      <c r="I519" s="6">
        <v>0.1</v>
      </c>
      <c r="J519" s="6">
        <v>0.1</v>
      </c>
      <c r="K519" s="6">
        <v>0.1</v>
      </c>
      <c r="L519" s="6">
        <v>0.1</v>
      </c>
      <c r="M519" s="6">
        <v>0.1</v>
      </c>
      <c r="N519" s="6">
        <v>0.1</v>
      </c>
      <c r="O519" s="6">
        <v>0.1</v>
      </c>
      <c r="P519" s="6">
        <v>0.1</v>
      </c>
      <c r="Q519" s="6">
        <v>0.1</v>
      </c>
    </row>
    <row r="520" spans="1:17">
      <c r="A520" s="2">
        <v>2468</v>
      </c>
      <c r="B520" s="6">
        <v>0.1</v>
      </c>
      <c r="C520" s="6">
        <v>0.1</v>
      </c>
      <c r="D520" s="6">
        <v>0.1</v>
      </c>
      <c r="E520" s="6">
        <v>0.1</v>
      </c>
      <c r="F520" s="6">
        <v>0.1</v>
      </c>
      <c r="G520" s="6">
        <v>0.1</v>
      </c>
      <c r="H520" s="6">
        <v>0.1</v>
      </c>
      <c r="I520" s="6">
        <v>0.1</v>
      </c>
      <c r="J520" s="6">
        <v>0.1</v>
      </c>
      <c r="K520" s="6">
        <v>0.1</v>
      </c>
      <c r="L520" s="6">
        <v>0.1</v>
      </c>
      <c r="M520" s="6">
        <v>0.1</v>
      </c>
      <c r="N520" s="6">
        <v>0.1</v>
      </c>
      <c r="O520" s="6">
        <v>0.1</v>
      </c>
      <c r="P520" s="6">
        <v>0.1</v>
      </c>
      <c r="Q520" s="6">
        <v>0.1</v>
      </c>
    </row>
    <row r="521" spans="1:17">
      <c r="A521" s="2">
        <v>2469</v>
      </c>
      <c r="B521" s="6">
        <v>0.1</v>
      </c>
      <c r="C521" s="6">
        <v>0.1</v>
      </c>
      <c r="D521" s="6">
        <v>0.1</v>
      </c>
      <c r="E521" s="6">
        <v>0.1</v>
      </c>
      <c r="F521" s="6">
        <v>0.1</v>
      </c>
      <c r="G521" s="6">
        <v>0.1</v>
      </c>
      <c r="H521" s="6">
        <v>0.1</v>
      </c>
      <c r="I521" s="6">
        <v>0.1</v>
      </c>
      <c r="J521" s="6">
        <v>0.1</v>
      </c>
      <c r="K521" s="6">
        <v>0.1</v>
      </c>
      <c r="L521" s="6">
        <v>0.1</v>
      </c>
      <c r="M521" s="6">
        <v>0.1</v>
      </c>
      <c r="N521" s="6">
        <v>0.1</v>
      </c>
      <c r="O521" s="6">
        <v>0.1</v>
      </c>
      <c r="P521" s="6">
        <v>0.1</v>
      </c>
      <c r="Q521" s="6">
        <v>0.1</v>
      </c>
    </row>
    <row r="522" spans="1:17">
      <c r="A522" s="2">
        <v>2470</v>
      </c>
      <c r="B522" s="6">
        <v>0.1</v>
      </c>
      <c r="C522" s="6">
        <v>0.1</v>
      </c>
      <c r="D522" s="6">
        <v>0.1</v>
      </c>
      <c r="E522" s="6">
        <v>0.1</v>
      </c>
      <c r="F522" s="6">
        <v>0.1</v>
      </c>
      <c r="G522" s="6">
        <v>0.1</v>
      </c>
      <c r="H522" s="6">
        <v>0.1</v>
      </c>
      <c r="I522" s="6">
        <v>0.1</v>
      </c>
      <c r="J522" s="6">
        <v>0.1</v>
      </c>
      <c r="K522" s="6">
        <v>0.1</v>
      </c>
      <c r="L522" s="6">
        <v>0.1</v>
      </c>
      <c r="M522" s="6">
        <v>0.1</v>
      </c>
      <c r="N522" s="6">
        <v>0.1</v>
      </c>
      <c r="O522" s="6">
        <v>0.1</v>
      </c>
      <c r="P522" s="6">
        <v>0.1</v>
      </c>
      <c r="Q522" s="6">
        <v>0.1</v>
      </c>
    </row>
    <row r="523" spans="1:17">
      <c r="A523" s="2">
        <v>2471</v>
      </c>
      <c r="B523" s="6">
        <v>0.1</v>
      </c>
      <c r="C523" s="6">
        <v>0.1</v>
      </c>
      <c r="D523" s="6">
        <v>0.1</v>
      </c>
      <c r="E523" s="6">
        <v>0.1</v>
      </c>
      <c r="F523" s="6">
        <v>0.1</v>
      </c>
      <c r="G523" s="6">
        <v>0.1</v>
      </c>
      <c r="H523" s="6">
        <v>0.1</v>
      </c>
      <c r="I523" s="6">
        <v>0.1</v>
      </c>
      <c r="J523" s="6">
        <v>0.1</v>
      </c>
      <c r="K523" s="6">
        <v>0.1</v>
      </c>
      <c r="L523" s="6">
        <v>0.1</v>
      </c>
      <c r="M523" s="6">
        <v>0.1</v>
      </c>
      <c r="N523" s="6">
        <v>0.1</v>
      </c>
      <c r="O523" s="6">
        <v>0.1</v>
      </c>
      <c r="P523" s="6">
        <v>0.1</v>
      </c>
      <c r="Q523" s="6">
        <v>0.1</v>
      </c>
    </row>
    <row r="524" spans="1:17">
      <c r="A524" s="2">
        <v>2472</v>
      </c>
      <c r="B524" s="6">
        <v>0.1</v>
      </c>
      <c r="C524" s="6">
        <v>0.1</v>
      </c>
      <c r="D524" s="6">
        <v>0.1</v>
      </c>
      <c r="E524" s="6">
        <v>0.1</v>
      </c>
      <c r="F524" s="6">
        <v>0.1</v>
      </c>
      <c r="G524" s="6">
        <v>0.1</v>
      </c>
      <c r="H524" s="6">
        <v>0.1</v>
      </c>
      <c r="I524" s="6">
        <v>0.1</v>
      </c>
      <c r="J524" s="6">
        <v>0.1</v>
      </c>
      <c r="K524" s="6">
        <v>0.1</v>
      </c>
      <c r="L524" s="6">
        <v>0.1</v>
      </c>
      <c r="M524" s="6">
        <v>0.1</v>
      </c>
      <c r="N524" s="6">
        <v>0.1</v>
      </c>
      <c r="O524" s="6">
        <v>0.1</v>
      </c>
      <c r="P524" s="6">
        <v>0.1</v>
      </c>
      <c r="Q524" s="6">
        <v>0.1</v>
      </c>
    </row>
    <row r="525" spans="1:17">
      <c r="A525" s="2">
        <v>2473</v>
      </c>
      <c r="B525" s="6">
        <v>0.1</v>
      </c>
      <c r="C525" s="6">
        <v>0.1</v>
      </c>
      <c r="D525" s="6">
        <v>0.1</v>
      </c>
      <c r="E525" s="6">
        <v>0.1</v>
      </c>
      <c r="F525" s="6">
        <v>0.1</v>
      </c>
      <c r="G525" s="6">
        <v>0.1</v>
      </c>
      <c r="H525" s="6">
        <v>0.1</v>
      </c>
      <c r="I525" s="6">
        <v>0.1</v>
      </c>
      <c r="J525" s="6">
        <v>0.1</v>
      </c>
      <c r="K525" s="6">
        <v>0.1</v>
      </c>
      <c r="L525" s="6">
        <v>0.1</v>
      </c>
      <c r="M525" s="6">
        <v>0.1</v>
      </c>
      <c r="N525" s="6">
        <v>0.1</v>
      </c>
      <c r="O525" s="6">
        <v>0.1</v>
      </c>
      <c r="P525" s="6">
        <v>0.1</v>
      </c>
      <c r="Q525" s="6">
        <v>0.1</v>
      </c>
    </row>
    <row r="526" spans="1:17">
      <c r="A526" s="2">
        <v>2474</v>
      </c>
      <c r="B526" s="6">
        <v>0.1</v>
      </c>
      <c r="C526" s="6">
        <v>0.1</v>
      </c>
      <c r="D526" s="6">
        <v>0.1</v>
      </c>
      <c r="E526" s="6">
        <v>0.1</v>
      </c>
      <c r="F526" s="6">
        <v>0.1</v>
      </c>
      <c r="G526" s="6">
        <v>0.1</v>
      </c>
      <c r="H526" s="6">
        <v>0.1</v>
      </c>
      <c r="I526" s="6">
        <v>0.1</v>
      </c>
      <c r="J526" s="6">
        <v>0.1</v>
      </c>
      <c r="K526" s="6">
        <v>0.1</v>
      </c>
      <c r="L526" s="6">
        <v>0.1</v>
      </c>
      <c r="M526" s="6">
        <v>0.1</v>
      </c>
      <c r="N526" s="6">
        <v>0.1</v>
      </c>
      <c r="O526" s="6">
        <v>0.1</v>
      </c>
      <c r="P526" s="6">
        <v>0.1</v>
      </c>
      <c r="Q526" s="6">
        <v>0.1</v>
      </c>
    </row>
    <row r="527" spans="1:17">
      <c r="A527" s="2">
        <v>2475</v>
      </c>
      <c r="B527" s="6">
        <v>0.1</v>
      </c>
      <c r="C527" s="6">
        <v>0.1</v>
      </c>
      <c r="D527" s="6">
        <v>0.1</v>
      </c>
      <c r="E527" s="6">
        <v>0.1</v>
      </c>
      <c r="F527" s="6">
        <v>0.1</v>
      </c>
      <c r="G527" s="6">
        <v>0.1</v>
      </c>
      <c r="H527" s="6">
        <v>0.1</v>
      </c>
      <c r="I527" s="6">
        <v>0.1</v>
      </c>
      <c r="J527" s="6">
        <v>0.1</v>
      </c>
      <c r="K527" s="6">
        <v>0.1</v>
      </c>
      <c r="L527" s="6">
        <v>0.1</v>
      </c>
      <c r="M527" s="6">
        <v>0.1</v>
      </c>
      <c r="N527" s="6">
        <v>0.1</v>
      </c>
      <c r="O527" s="6">
        <v>0.1</v>
      </c>
      <c r="P527" s="6">
        <v>0.1</v>
      </c>
      <c r="Q527" s="6">
        <v>0.1</v>
      </c>
    </row>
    <row r="528" spans="1:17">
      <c r="A528" s="2">
        <v>2476</v>
      </c>
      <c r="B528" s="6">
        <v>0.1</v>
      </c>
      <c r="C528" s="6">
        <v>0.1</v>
      </c>
      <c r="D528" s="6">
        <v>0.1</v>
      </c>
      <c r="E528" s="6">
        <v>0.1</v>
      </c>
      <c r="F528" s="6">
        <v>0.1</v>
      </c>
      <c r="G528" s="6">
        <v>0.1</v>
      </c>
      <c r="H528" s="6">
        <v>0.1</v>
      </c>
      <c r="I528" s="6">
        <v>0.1</v>
      </c>
      <c r="J528" s="6">
        <v>0.1</v>
      </c>
      <c r="K528" s="6">
        <v>0.1</v>
      </c>
      <c r="L528" s="6">
        <v>0.1</v>
      </c>
      <c r="M528" s="6">
        <v>0.1</v>
      </c>
      <c r="N528" s="6">
        <v>0.1</v>
      </c>
      <c r="O528" s="6">
        <v>0.1</v>
      </c>
      <c r="P528" s="6">
        <v>0.1</v>
      </c>
      <c r="Q528" s="6">
        <v>0.1</v>
      </c>
    </row>
    <row r="529" spans="1:17">
      <c r="A529" s="2">
        <v>2477</v>
      </c>
      <c r="B529" s="6">
        <v>0.1</v>
      </c>
      <c r="C529" s="6">
        <v>0.1</v>
      </c>
      <c r="D529" s="6">
        <v>0.1</v>
      </c>
      <c r="E529" s="6">
        <v>0.1</v>
      </c>
      <c r="F529" s="6">
        <v>0.1</v>
      </c>
      <c r="G529" s="6">
        <v>0.1</v>
      </c>
      <c r="H529" s="6">
        <v>0.1</v>
      </c>
      <c r="I529" s="6">
        <v>0.1</v>
      </c>
      <c r="J529" s="6">
        <v>0.1</v>
      </c>
      <c r="K529" s="6">
        <v>0.1</v>
      </c>
      <c r="L529" s="6">
        <v>0.1</v>
      </c>
      <c r="M529" s="6">
        <v>0.1</v>
      </c>
      <c r="N529" s="6">
        <v>0.1</v>
      </c>
      <c r="O529" s="6">
        <v>0.1</v>
      </c>
      <c r="P529" s="6">
        <v>0.1</v>
      </c>
      <c r="Q529" s="6">
        <v>0.1</v>
      </c>
    </row>
    <row r="530" spans="1:17">
      <c r="A530" s="2">
        <v>2478</v>
      </c>
      <c r="B530" s="6">
        <v>0.1</v>
      </c>
      <c r="C530" s="6">
        <v>0.1</v>
      </c>
      <c r="D530" s="6">
        <v>0.1</v>
      </c>
      <c r="E530" s="6">
        <v>0.1</v>
      </c>
      <c r="F530" s="6">
        <v>0.1</v>
      </c>
      <c r="G530" s="6">
        <v>0.1</v>
      </c>
      <c r="H530" s="6">
        <v>0.1</v>
      </c>
      <c r="I530" s="6">
        <v>0.1</v>
      </c>
      <c r="J530" s="6">
        <v>0.1</v>
      </c>
      <c r="K530" s="6">
        <v>0.1</v>
      </c>
      <c r="L530" s="6">
        <v>0.1</v>
      </c>
      <c r="M530" s="6">
        <v>0.1</v>
      </c>
      <c r="N530" s="6">
        <v>0.1</v>
      </c>
      <c r="O530" s="6">
        <v>0.1</v>
      </c>
      <c r="P530" s="6">
        <v>0.1</v>
      </c>
      <c r="Q530" s="6">
        <v>0.1</v>
      </c>
    </row>
    <row r="531" spans="1:17">
      <c r="A531" s="2">
        <v>2479</v>
      </c>
      <c r="B531" s="6">
        <v>0.1</v>
      </c>
      <c r="C531" s="6">
        <v>0.1</v>
      </c>
      <c r="D531" s="6">
        <v>0.1</v>
      </c>
      <c r="E531" s="6">
        <v>0.1</v>
      </c>
      <c r="F531" s="6">
        <v>0.1</v>
      </c>
      <c r="G531" s="6">
        <v>0.1</v>
      </c>
      <c r="H531" s="6">
        <v>0.1</v>
      </c>
      <c r="I531" s="6">
        <v>0.1</v>
      </c>
      <c r="J531" s="6">
        <v>0.1</v>
      </c>
      <c r="K531" s="6">
        <v>0.1</v>
      </c>
      <c r="L531" s="6">
        <v>0.1</v>
      </c>
      <c r="M531" s="6">
        <v>0.1</v>
      </c>
      <c r="N531" s="6">
        <v>0.1</v>
      </c>
      <c r="O531" s="6">
        <v>0.1</v>
      </c>
      <c r="P531" s="6">
        <v>0.1</v>
      </c>
      <c r="Q531" s="6">
        <v>0.1</v>
      </c>
    </row>
    <row r="532" spans="1:17">
      <c r="A532" s="2">
        <v>2480</v>
      </c>
      <c r="B532" s="6">
        <v>0.1</v>
      </c>
      <c r="C532" s="6">
        <v>0.1</v>
      </c>
      <c r="D532" s="6">
        <v>0.1</v>
      </c>
      <c r="E532" s="6">
        <v>0.1</v>
      </c>
      <c r="F532" s="6">
        <v>0.1</v>
      </c>
      <c r="G532" s="6">
        <v>0.1</v>
      </c>
      <c r="H532" s="6">
        <v>0.1</v>
      </c>
      <c r="I532" s="6">
        <v>0.1</v>
      </c>
      <c r="J532" s="6">
        <v>0.1</v>
      </c>
      <c r="K532" s="6">
        <v>0.1</v>
      </c>
      <c r="L532" s="6">
        <v>0.1</v>
      </c>
      <c r="M532" s="6">
        <v>0.1</v>
      </c>
      <c r="N532" s="6">
        <v>0.1</v>
      </c>
      <c r="O532" s="6">
        <v>0.1</v>
      </c>
      <c r="P532" s="6">
        <v>0.1</v>
      </c>
      <c r="Q532" s="6">
        <v>0.1</v>
      </c>
    </row>
    <row r="533" spans="1:17">
      <c r="A533" s="2">
        <v>2481</v>
      </c>
      <c r="B533" s="6">
        <v>0.1</v>
      </c>
      <c r="C533" s="6">
        <v>0.1</v>
      </c>
      <c r="D533" s="6">
        <v>0.1</v>
      </c>
      <c r="E533" s="6">
        <v>0.1</v>
      </c>
      <c r="F533" s="6">
        <v>0.1</v>
      </c>
      <c r="G533" s="6">
        <v>0.1</v>
      </c>
      <c r="H533" s="6">
        <v>0.1</v>
      </c>
      <c r="I533" s="6">
        <v>0.1</v>
      </c>
      <c r="J533" s="6">
        <v>0.1</v>
      </c>
      <c r="K533" s="6">
        <v>0.1</v>
      </c>
      <c r="L533" s="6">
        <v>0.1</v>
      </c>
      <c r="M533" s="6">
        <v>0.1</v>
      </c>
      <c r="N533" s="6">
        <v>0.1</v>
      </c>
      <c r="O533" s="6">
        <v>0.1</v>
      </c>
      <c r="P533" s="6">
        <v>0.1</v>
      </c>
      <c r="Q533" s="6">
        <v>0.1</v>
      </c>
    </row>
    <row r="534" spans="1:17">
      <c r="A534" s="2">
        <v>2482</v>
      </c>
      <c r="B534" s="6">
        <v>0.1</v>
      </c>
      <c r="C534" s="6">
        <v>0.1</v>
      </c>
      <c r="D534" s="6">
        <v>0.1</v>
      </c>
      <c r="E534" s="6">
        <v>0.1</v>
      </c>
      <c r="F534" s="6">
        <v>0.1</v>
      </c>
      <c r="G534" s="6">
        <v>0.1</v>
      </c>
      <c r="H534" s="6">
        <v>0.1</v>
      </c>
      <c r="I534" s="6">
        <v>0.1</v>
      </c>
      <c r="J534" s="6">
        <v>0.1</v>
      </c>
      <c r="K534" s="6">
        <v>0.1</v>
      </c>
      <c r="L534" s="6">
        <v>0.1</v>
      </c>
      <c r="M534" s="6">
        <v>0.1</v>
      </c>
      <c r="N534" s="6">
        <v>0.1</v>
      </c>
      <c r="O534" s="6">
        <v>0.1</v>
      </c>
      <c r="P534" s="6">
        <v>0.1</v>
      </c>
      <c r="Q534" s="6">
        <v>0.1</v>
      </c>
    </row>
    <row r="535" spans="1:17">
      <c r="A535" s="2">
        <v>2483</v>
      </c>
      <c r="B535" s="6">
        <v>0.1</v>
      </c>
      <c r="C535" s="6">
        <v>0.1</v>
      </c>
      <c r="D535" s="6">
        <v>0.1</v>
      </c>
      <c r="E535" s="6">
        <v>0.1</v>
      </c>
      <c r="F535" s="6">
        <v>0.1</v>
      </c>
      <c r="G535" s="6">
        <v>0.1</v>
      </c>
      <c r="H535" s="6">
        <v>0.1</v>
      </c>
      <c r="I535" s="6">
        <v>0.1</v>
      </c>
      <c r="J535" s="6">
        <v>0.1</v>
      </c>
      <c r="K535" s="6">
        <v>0.1</v>
      </c>
      <c r="L535" s="6">
        <v>0.1</v>
      </c>
      <c r="M535" s="6">
        <v>0.1</v>
      </c>
      <c r="N535" s="6">
        <v>0.1</v>
      </c>
      <c r="O535" s="6">
        <v>0.1</v>
      </c>
      <c r="P535" s="6">
        <v>0.1</v>
      </c>
      <c r="Q535" s="6">
        <v>0.1</v>
      </c>
    </row>
    <row r="536" spans="1:17">
      <c r="A536" s="2">
        <v>2484</v>
      </c>
      <c r="B536" s="6">
        <v>0.1</v>
      </c>
      <c r="C536" s="6">
        <v>0.1</v>
      </c>
      <c r="D536" s="6">
        <v>0.1</v>
      </c>
      <c r="E536" s="6">
        <v>0.1</v>
      </c>
      <c r="F536" s="6">
        <v>0.1</v>
      </c>
      <c r="G536" s="6">
        <v>0.1</v>
      </c>
      <c r="H536" s="6">
        <v>0.1</v>
      </c>
      <c r="I536" s="6">
        <v>0.1</v>
      </c>
      <c r="J536" s="6">
        <v>0.1</v>
      </c>
      <c r="K536" s="6">
        <v>0.1</v>
      </c>
      <c r="L536" s="6">
        <v>0.1</v>
      </c>
      <c r="M536" s="6">
        <v>0.1</v>
      </c>
      <c r="N536" s="6">
        <v>0.1</v>
      </c>
      <c r="O536" s="6">
        <v>0.1</v>
      </c>
      <c r="P536" s="6">
        <v>0.1</v>
      </c>
      <c r="Q536" s="6">
        <v>0.1</v>
      </c>
    </row>
    <row r="537" spans="1:17">
      <c r="A537" s="2">
        <v>2485</v>
      </c>
      <c r="B537" s="6">
        <v>0.1</v>
      </c>
      <c r="C537" s="6">
        <v>0.1</v>
      </c>
      <c r="D537" s="6">
        <v>0.1</v>
      </c>
      <c r="E537" s="6">
        <v>0.1</v>
      </c>
      <c r="F537" s="6">
        <v>0.1</v>
      </c>
      <c r="G537" s="6">
        <v>0.1</v>
      </c>
      <c r="H537" s="6">
        <v>0.1</v>
      </c>
      <c r="I537" s="6">
        <v>0.1</v>
      </c>
      <c r="J537" s="6">
        <v>0.1</v>
      </c>
      <c r="K537" s="6">
        <v>0.1</v>
      </c>
      <c r="L537" s="6">
        <v>0.1</v>
      </c>
      <c r="M537" s="6">
        <v>0.1</v>
      </c>
      <c r="N537" s="6">
        <v>0.1</v>
      </c>
      <c r="O537" s="6">
        <v>0.1</v>
      </c>
      <c r="P537" s="6">
        <v>0.1</v>
      </c>
      <c r="Q537" s="6">
        <v>0.1</v>
      </c>
    </row>
    <row r="538" spans="1:17">
      <c r="A538" s="2">
        <v>2486</v>
      </c>
      <c r="B538" s="6">
        <v>0.1</v>
      </c>
      <c r="C538" s="6">
        <v>0.1</v>
      </c>
      <c r="D538" s="6">
        <v>0.1</v>
      </c>
      <c r="E538" s="6">
        <v>0.1</v>
      </c>
      <c r="F538" s="6">
        <v>0.1</v>
      </c>
      <c r="G538" s="6">
        <v>0.1</v>
      </c>
      <c r="H538" s="6">
        <v>0.1</v>
      </c>
      <c r="I538" s="6">
        <v>0.1</v>
      </c>
      <c r="J538" s="6">
        <v>0.1</v>
      </c>
      <c r="K538" s="6">
        <v>0.1</v>
      </c>
      <c r="L538" s="6">
        <v>0.1</v>
      </c>
      <c r="M538" s="6">
        <v>0.1</v>
      </c>
      <c r="N538" s="6">
        <v>0.1</v>
      </c>
      <c r="O538" s="6">
        <v>0.1</v>
      </c>
      <c r="P538" s="6">
        <v>0.1</v>
      </c>
      <c r="Q538" s="6">
        <v>0.1</v>
      </c>
    </row>
    <row r="539" spans="1:17">
      <c r="A539" s="2">
        <v>2487</v>
      </c>
      <c r="B539" s="6">
        <v>0.1</v>
      </c>
      <c r="C539" s="6">
        <v>0.1</v>
      </c>
      <c r="D539" s="6">
        <v>0.1</v>
      </c>
      <c r="E539" s="6">
        <v>0.1</v>
      </c>
      <c r="F539" s="6">
        <v>0.1</v>
      </c>
      <c r="G539" s="6">
        <v>0.1</v>
      </c>
      <c r="H539" s="6">
        <v>0.1</v>
      </c>
      <c r="I539" s="6">
        <v>0.1</v>
      </c>
      <c r="J539" s="6">
        <v>0.1</v>
      </c>
      <c r="K539" s="6">
        <v>0.1</v>
      </c>
      <c r="L539" s="6">
        <v>0.1</v>
      </c>
      <c r="M539" s="6">
        <v>0.1</v>
      </c>
      <c r="N539" s="6">
        <v>0.1</v>
      </c>
      <c r="O539" s="6">
        <v>0.1</v>
      </c>
      <c r="P539" s="6">
        <v>0.1</v>
      </c>
      <c r="Q539" s="6">
        <v>0.1</v>
      </c>
    </row>
    <row r="540" spans="1:17">
      <c r="A540" s="2">
        <v>2488</v>
      </c>
      <c r="B540" s="6">
        <v>0.1</v>
      </c>
      <c r="C540" s="6">
        <v>0.1</v>
      </c>
      <c r="D540" s="6">
        <v>0.1</v>
      </c>
      <c r="E540" s="6">
        <v>0.1</v>
      </c>
      <c r="F540" s="6">
        <v>0.1</v>
      </c>
      <c r="G540" s="6">
        <v>0.1</v>
      </c>
      <c r="H540" s="6">
        <v>0.1</v>
      </c>
      <c r="I540" s="6">
        <v>0.1</v>
      </c>
      <c r="J540" s="6">
        <v>0.1</v>
      </c>
      <c r="K540" s="6">
        <v>0.1</v>
      </c>
      <c r="L540" s="6">
        <v>0.1</v>
      </c>
      <c r="M540" s="6">
        <v>0.1</v>
      </c>
      <c r="N540" s="6">
        <v>0.1</v>
      </c>
      <c r="O540" s="6">
        <v>0.1</v>
      </c>
      <c r="P540" s="6">
        <v>0.1</v>
      </c>
      <c r="Q540" s="6">
        <v>0.1</v>
      </c>
    </row>
    <row r="541" spans="1:17">
      <c r="A541" s="2">
        <v>2489</v>
      </c>
      <c r="B541" s="6">
        <v>0.1</v>
      </c>
      <c r="C541" s="6">
        <v>0.1</v>
      </c>
      <c r="D541" s="6">
        <v>0.1</v>
      </c>
      <c r="E541" s="6">
        <v>0.1</v>
      </c>
      <c r="F541" s="6">
        <v>0.1</v>
      </c>
      <c r="G541" s="6">
        <v>0.1</v>
      </c>
      <c r="H541" s="6">
        <v>0.1</v>
      </c>
      <c r="I541" s="6">
        <v>0.1</v>
      </c>
      <c r="J541" s="6">
        <v>0.1</v>
      </c>
      <c r="K541" s="6">
        <v>0.1</v>
      </c>
      <c r="L541" s="6">
        <v>0.1</v>
      </c>
      <c r="M541" s="6">
        <v>0.1</v>
      </c>
      <c r="N541" s="6">
        <v>0.1</v>
      </c>
      <c r="O541" s="6">
        <v>0.1</v>
      </c>
      <c r="P541" s="6">
        <v>0.1</v>
      </c>
      <c r="Q541" s="6">
        <v>0.1</v>
      </c>
    </row>
    <row r="542" spans="1:17">
      <c r="A542" s="2">
        <v>2490</v>
      </c>
      <c r="B542" s="6">
        <v>0.1</v>
      </c>
      <c r="C542" s="6">
        <v>0.1</v>
      </c>
      <c r="D542" s="6">
        <v>0.1</v>
      </c>
      <c r="E542" s="6">
        <v>0.1</v>
      </c>
      <c r="F542" s="6">
        <v>0.1</v>
      </c>
      <c r="G542" s="6">
        <v>0.1</v>
      </c>
      <c r="H542" s="6">
        <v>0.1</v>
      </c>
      <c r="I542" s="6">
        <v>0.1</v>
      </c>
      <c r="J542" s="6">
        <v>0.1</v>
      </c>
      <c r="K542" s="6">
        <v>0.1</v>
      </c>
      <c r="L542" s="6">
        <v>0.1</v>
      </c>
      <c r="M542" s="6">
        <v>0.1</v>
      </c>
      <c r="N542" s="6">
        <v>0.1</v>
      </c>
      <c r="O542" s="6">
        <v>0.1</v>
      </c>
      <c r="P542" s="6">
        <v>0.1</v>
      </c>
      <c r="Q542" s="6">
        <v>0.1</v>
      </c>
    </row>
    <row r="543" spans="1:17">
      <c r="A543" s="2">
        <v>2491</v>
      </c>
      <c r="B543" s="6">
        <v>0.1</v>
      </c>
      <c r="C543" s="6">
        <v>0.1</v>
      </c>
      <c r="D543" s="6">
        <v>0.1</v>
      </c>
      <c r="E543" s="6">
        <v>0.1</v>
      </c>
      <c r="F543" s="6">
        <v>0.1</v>
      </c>
      <c r="G543" s="6">
        <v>0.1</v>
      </c>
      <c r="H543" s="6">
        <v>0.1</v>
      </c>
      <c r="I543" s="6">
        <v>0.1</v>
      </c>
      <c r="J543" s="6">
        <v>0.1</v>
      </c>
      <c r="K543" s="6">
        <v>0.1</v>
      </c>
      <c r="L543" s="6">
        <v>0.1</v>
      </c>
      <c r="M543" s="6">
        <v>0.1</v>
      </c>
      <c r="N543" s="6">
        <v>0.1</v>
      </c>
      <c r="O543" s="6">
        <v>0.1</v>
      </c>
      <c r="P543" s="6">
        <v>0.1</v>
      </c>
      <c r="Q543" s="6">
        <v>0.1</v>
      </c>
    </row>
    <row r="544" spans="1:17">
      <c r="A544" s="2">
        <v>2492</v>
      </c>
      <c r="B544" s="6">
        <v>0.1</v>
      </c>
      <c r="C544" s="6">
        <v>0.1</v>
      </c>
      <c r="D544" s="6">
        <v>0.1</v>
      </c>
      <c r="E544" s="6">
        <v>0.1</v>
      </c>
      <c r="F544" s="6">
        <v>0.1</v>
      </c>
      <c r="G544" s="6">
        <v>0.1</v>
      </c>
      <c r="H544" s="6">
        <v>0.1</v>
      </c>
      <c r="I544" s="6">
        <v>0.1</v>
      </c>
      <c r="J544" s="6">
        <v>0.1</v>
      </c>
      <c r="K544" s="6">
        <v>0.1</v>
      </c>
      <c r="L544" s="6">
        <v>0.1</v>
      </c>
      <c r="M544" s="6">
        <v>0.1</v>
      </c>
      <c r="N544" s="6">
        <v>0.1</v>
      </c>
      <c r="O544" s="6">
        <v>0.1</v>
      </c>
      <c r="P544" s="6">
        <v>0.1</v>
      </c>
      <c r="Q544" s="6">
        <v>0.1</v>
      </c>
    </row>
    <row r="545" spans="1:17">
      <c r="A545" s="2">
        <v>2493</v>
      </c>
      <c r="B545" s="6">
        <v>0.1</v>
      </c>
      <c r="C545" s="6">
        <v>0.1</v>
      </c>
      <c r="D545" s="6">
        <v>0.1</v>
      </c>
      <c r="E545" s="6">
        <v>0.1</v>
      </c>
      <c r="F545" s="6">
        <v>0.1</v>
      </c>
      <c r="G545" s="6">
        <v>0.1</v>
      </c>
      <c r="H545" s="6">
        <v>0.1</v>
      </c>
      <c r="I545" s="6">
        <v>0.1</v>
      </c>
      <c r="J545" s="6">
        <v>0.1</v>
      </c>
      <c r="K545" s="6">
        <v>0.1</v>
      </c>
      <c r="L545" s="6">
        <v>0.1</v>
      </c>
      <c r="M545" s="6">
        <v>0.1</v>
      </c>
      <c r="N545" s="6">
        <v>0.1</v>
      </c>
      <c r="O545" s="6">
        <v>0.1</v>
      </c>
      <c r="P545" s="6">
        <v>0.1</v>
      </c>
      <c r="Q545" s="6">
        <v>0.1</v>
      </c>
    </row>
    <row r="546" spans="1:17">
      <c r="A546" s="2">
        <v>2494</v>
      </c>
      <c r="B546" s="6">
        <v>0.1</v>
      </c>
      <c r="C546" s="6">
        <v>0.1</v>
      </c>
      <c r="D546" s="6">
        <v>0.1</v>
      </c>
      <c r="E546" s="6">
        <v>0.1</v>
      </c>
      <c r="F546" s="6">
        <v>0.1</v>
      </c>
      <c r="G546" s="6">
        <v>0.1</v>
      </c>
      <c r="H546" s="6">
        <v>0.1</v>
      </c>
      <c r="I546" s="6">
        <v>0.1</v>
      </c>
      <c r="J546" s="6">
        <v>0.1</v>
      </c>
      <c r="K546" s="6">
        <v>0.1</v>
      </c>
      <c r="L546" s="6">
        <v>0.1</v>
      </c>
      <c r="M546" s="6">
        <v>0.1</v>
      </c>
      <c r="N546" s="6">
        <v>0.1</v>
      </c>
      <c r="O546" s="6">
        <v>0.1</v>
      </c>
      <c r="P546" s="6">
        <v>0.1</v>
      </c>
      <c r="Q546" s="6">
        <v>0.1</v>
      </c>
    </row>
    <row r="547" spans="1:17">
      <c r="A547" s="2">
        <v>2495</v>
      </c>
      <c r="B547" s="6">
        <v>0.1</v>
      </c>
      <c r="C547" s="6">
        <v>0.1</v>
      </c>
      <c r="D547" s="6">
        <v>0.1</v>
      </c>
      <c r="E547" s="6">
        <v>0.1</v>
      </c>
      <c r="F547" s="6">
        <v>0.1</v>
      </c>
      <c r="G547" s="6">
        <v>0.1</v>
      </c>
      <c r="H547" s="6">
        <v>0.1</v>
      </c>
      <c r="I547" s="6">
        <v>0.1</v>
      </c>
      <c r="J547" s="6">
        <v>0.1</v>
      </c>
      <c r="K547" s="6">
        <v>0.1</v>
      </c>
      <c r="L547" s="6">
        <v>0.1</v>
      </c>
      <c r="M547" s="6">
        <v>0.1</v>
      </c>
      <c r="N547" s="6">
        <v>0.1</v>
      </c>
      <c r="O547" s="6">
        <v>0.1</v>
      </c>
      <c r="P547" s="6">
        <v>0.1</v>
      </c>
      <c r="Q547" s="6">
        <v>0.1</v>
      </c>
    </row>
    <row r="548" spans="1:17">
      <c r="A548" s="2">
        <v>2496</v>
      </c>
      <c r="B548" s="6">
        <v>0.1</v>
      </c>
      <c r="C548" s="6">
        <v>0.1</v>
      </c>
      <c r="D548" s="6">
        <v>0.1</v>
      </c>
      <c r="E548" s="6">
        <v>0.1</v>
      </c>
      <c r="F548" s="6">
        <v>0.1</v>
      </c>
      <c r="G548" s="6">
        <v>0.1</v>
      </c>
      <c r="H548" s="6">
        <v>0.1</v>
      </c>
      <c r="I548" s="6">
        <v>0.1</v>
      </c>
      <c r="J548" s="6">
        <v>0.1</v>
      </c>
      <c r="K548" s="6">
        <v>0.1</v>
      </c>
      <c r="L548" s="6">
        <v>0.1</v>
      </c>
      <c r="M548" s="6">
        <v>0.1</v>
      </c>
      <c r="N548" s="6">
        <v>0.1</v>
      </c>
      <c r="O548" s="6">
        <v>0.1</v>
      </c>
      <c r="P548" s="6">
        <v>0.1</v>
      </c>
      <c r="Q548" s="6">
        <v>0.1</v>
      </c>
    </row>
    <row r="549" spans="1:17">
      <c r="A549" s="2">
        <v>2497</v>
      </c>
      <c r="B549" s="6">
        <v>0.1</v>
      </c>
      <c r="C549" s="6">
        <v>0.1</v>
      </c>
      <c r="D549" s="6">
        <v>0.1</v>
      </c>
      <c r="E549" s="6">
        <v>0.1</v>
      </c>
      <c r="F549" s="6">
        <v>0.1</v>
      </c>
      <c r="G549" s="6">
        <v>0.1</v>
      </c>
      <c r="H549" s="6">
        <v>0.1</v>
      </c>
      <c r="I549" s="6">
        <v>0.1</v>
      </c>
      <c r="J549" s="6">
        <v>0.1</v>
      </c>
      <c r="K549" s="6">
        <v>0.1</v>
      </c>
      <c r="L549" s="6">
        <v>0.1</v>
      </c>
      <c r="M549" s="6">
        <v>0.1</v>
      </c>
      <c r="N549" s="6">
        <v>0.1</v>
      </c>
      <c r="O549" s="6">
        <v>0.1</v>
      </c>
      <c r="P549" s="6">
        <v>0.1</v>
      </c>
      <c r="Q549" s="6">
        <v>0.1</v>
      </c>
    </row>
    <row r="550" spans="1:17">
      <c r="A550" s="2">
        <v>2498</v>
      </c>
      <c r="B550" s="6">
        <v>0.1</v>
      </c>
      <c r="C550" s="6">
        <v>0.1</v>
      </c>
      <c r="D550" s="6">
        <v>0.1</v>
      </c>
      <c r="E550" s="6">
        <v>0.1</v>
      </c>
      <c r="F550" s="6">
        <v>0.1</v>
      </c>
      <c r="G550" s="6">
        <v>0.1</v>
      </c>
      <c r="H550" s="6">
        <v>0.1</v>
      </c>
      <c r="I550" s="6">
        <v>0.1</v>
      </c>
      <c r="J550" s="6">
        <v>0.1</v>
      </c>
      <c r="K550" s="6">
        <v>0.1</v>
      </c>
      <c r="L550" s="6">
        <v>0.1</v>
      </c>
      <c r="M550" s="6">
        <v>0.1</v>
      </c>
      <c r="N550" s="6">
        <v>0.1</v>
      </c>
      <c r="O550" s="6">
        <v>0.1</v>
      </c>
      <c r="P550" s="6">
        <v>0.1</v>
      </c>
      <c r="Q550" s="6">
        <v>0.1</v>
      </c>
    </row>
    <row r="551" spans="1:17">
      <c r="A551" s="2">
        <v>2499</v>
      </c>
      <c r="B551" s="6">
        <v>0.1</v>
      </c>
      <c r="C551" s="6">
        <v>0.1</v>
      </c>
      <c r="D551" s="6">
        <v>0.1</v>
      </c>
      <c r="E551" s="6">
        <v>0.1</v>
      </c>
      <c r="F551" s="6">
        <v>0.1</v>
      </c>
      <c r="G551" s="6">
        <v>0.1</v>
      </c>
      <c r="H551" s="6">
        <v>0.1</v>
      </c>
      <c r="I551" s="6">
        <v>0.1</v>
      </c>
      <c r="J551" s="6">
        <v>0.1</v>
      </c>
      <c r="K551" s="6">
        <v>0.1</v>
      </c>
      <c r="L551" s="6">
        <v>0.1</v>
      </c>
      <c r="M551" s="6">
        <v>0.1</v>
      </c>
      <c r="N551" s="6">
        <v>0.1</v>
      </c>
      <c r="O551" s="6">
        <v>0.1</v>
      </c>
      <c r="P551" s="6">
        <v>0.1</v>
      </c>
      <c r="Q551" s="6">
        <v>0.1</v>
      </c>
    </row>
    <row r="552" spans="1:17">
      <c r="A552" s="2">
        <v>2500</v>
      </c>
      <c r="B552" s="6">
        <v>0.1</v>
      </c>
      <c r="C552" s="6">
        <v>0.1</v>
      </c>
      <c r="D552" s="6">
        <v>0.1</v>
      </c>
      <c r="E552" s="6">
        <v>0.1</v>
      </c>
      <c r="F552" s="6">
        <v>0.1</v>
      </c>
      <c r="G552" s="6">
        <v>0.1</v>
      </c>
      <c r="H552" s="6">
        <v>0.1</v>
      </c>
      <c r="I552" s="6">
        <v>0.1</v>
      </c>
      <c r="J552" s="6">
        <v>0.1</v>
      </c>
      <c r="K552" s="6">
        <v>0.1</v>
      </c>
      <c r="L552" s="6">
        <v>0.1</v>
      </c>
      <c r="M552" s="6">
        <v>0.1</v>
      </c>
      <c r="N552" s="6">
        <v>0.1</v>
      </c>
      <c r="O552" s="6">
        <v>0.1</v>
      </c>
      <c r="P552" s="6">
        <v>0.1</v>
      </c>
      <c r="Q552" s="6">
        <v>0.1</v>
      </c>
    </row>
    <row r="553" spans="1:17">
      <c r="A553" s="2">
        <v>2501</v>
      </c>
      <c r="B553" s="6">
        <v>0.1</v>
      </c>
      <c r="C553" s="6">
        <v>0.1</v>
      </c>
      <c r="D553" s="6">
        <v>0.1</v>
      </c>
      <c r="E553" s="6">
        <v>0.1</v>
      </c>
      <c r="F553" s="6">
        <v>0.1</v>
      </c>
      <c r="G553" s="6">
        <v>0.1</v>
      </c>
      <c r="H553" s="6">
        <v>0.1</v>
      </c>
      <c r="I553" s="6">
        <v>0.1</v>
      </c>
      <c r="J553" s="6">
        <v>0.1</v>
      </c>
      <c r="K553" s="6">
        <v>0.1</v>
      </c>
      <c r="L553" s="6">
        <v>0.1</v>
      </c>
      <c r="M553" s="6">
        <v>0.1</v>
      </c>
      <c r="N553" s="6">
        <v>0.1</v>
      </c>
      <c r="O553" s="6">
        <v>0.1</v>
      </c>
      <c r="P553" s="6">
        <v>0.1</v>
      </c>
      <c r="Q553" s="6">
        <v>0.1</v>
      </c>
    </row>
    <row r="554" spans="1:17">
      <c r="A554" s="2">
        <v>2502</v>
      </c>
      <c r="B554" s="6">
        <v>0.1</v>
      </c>
      <c r="C554" s="6">
        <v>0.1</v>
      </c>
      <c r="D554" s="6">
        <v>0.1</v>
      </c>
      <c r="E554" s="6">
        <v>0.1</v>
      </c>
      <c r="F554" s="6">
        <v>0.1</v>
      </c>
      <c r="G554" s="6">
        <v>0.1</v>
      </c>
      <c r="H554" s="6">
        <v>0.1</v>
      </c>
      <c r="I554" s="6">
        <v>0.1</v>
      </c>
      <c r="J554" s="6">
        <v>0.1</v>
      </c>
      <c r="K554" s="6">
        <v>0.1</v>
      </c>
      <c r="L554" s="6">
        <v>0.1</v>
      </c>
      <c r="M554" s="6">
        <v>0.1</v>
      </c>
      <c r="N554" s="6">
        <v>0.1</v>
      </c>
      <c r="O554" s="6">
        <v>0.1</v>
      </c>
      <c r="P554" s="6">
        <v>0.1</v>
      </c>
      <c r="Q554" s="6">
        <v>0.1</v>
      </c>
    </row>
    <row r="555" spans="1:17">
      <c r="A555" s="2">
        <v>2503</v>
      </c>
      <c r="B555" s="6">
        <v>0.1</v>
      </c>
      <c r="C555" s="6">
        <v>0.1</v>
      </c>
      <c r="D555" s="6">
        <v>0.1</v>
      </c>
      <c r="E555" s="6">
        <v>0.1</v>
      </c>
      <c r="F555" s="6">
        <v>0.1</v>
      </c>
      <c r="G555" s="6">
        <v>0.1</v>
      </c>
      <c r="H555" s="6">
        <v>0.1</v>
      </c>
      <c r="I555" s="6">
        <v>0.1</v>
      </c>
      <c r="J555" s="6">
        <v>0.1</v>
      </c>
      <c r="K555" s="6">
        <v>0.1</v>
      </c>
      <c r="L555" s="6">
        <v>0.1</v>
      </c>
      <c r="M555" s="6">
        <v>0.1</v>
      </c>
      <c r="N555" s="6">
        <v>0.1</v>
      </c>
      <c r="O555" s="6">
        <v>0.1</v>
      </c>
      <c r="P555" s="6">
        <v>0.1</v>
      </c>
      <c r="Q555" s="6">
        <v>0.1</v>
      </c>
    </row>
    <row r="556" spans="1:17">
      <c r="A556" s="2">
        <v>2504</v>
      </c>
      <c r="B556" s="6">
        <v>0.1</v>
      </c>
      <c r="C556" s="6">
        <v>0.1</v>
      </c>
      <c r="D556" s="6">
        <v>0.1</v>
      </c>
      <c r="E556" s="6">
        <v>0.1</v>
      </c>
      <c r="F556" s="6">
        <v>0.1</v>
      </c>
      <c r="G556" s="6">
        <v>0.1</v>
      </c>
      <c r="H556" s="6">
        <v>0.1</v>
      </c>
      <c r="I556" s="6">
        <v>0.1</v>
      </c>
      <c r="J556" s="6">
        <v>0.1</v>
      </c>
      <c r="K556" s="6">
        <v>0.1</v>
      </c>
      <c r="L556" s="6">
        <v>0.1</v>
      </c>
      <c r="M556" s="6">
        <v>0.1</v>
      </c>
      <c r="N556" s="6">
        <v>0.1</v>
      </c>
      <c r="O556" s="6">
        <v>0.1</v>
      </c>
      <c r="P556" s="6">
        <v>0.1</v>
      </c>
      <c r="Q556" s="6">
        <v>0.1</v>
      </c>
    </row>
    <row r="557" spans="1:17">
      <c r="A557" s="2">
        <v>2505</v>
      </c>
      <c r="B557" s="6">
        <v>0.1</v>
      </c>
      <c r="C557" s="6">
        <v>0.1</v>
      </c>
      <c r="D557" s="6">
        <v>0.1</v>
      </c>
      <c r="E557" s="6">
        <v>0.1</v>
      </c>
      <c r="F557" s="6">
        <v>0.1</v>
      </c>
      <c r="G557" s="6">
        <v>0.1</v>
      </c>
      <c r="H557" s="6">
        <v>0.1</v>
      </c>
      <c r="I557" s="6">
        <v>0.1</v>
      </c>
      <c r="J557" s="6">
        <v>0.1</v>
      </c>
      <c r="K557" s="6">
        <v>0.1</v>
      </c>
      <c r="L557" s="6">
        <v>0.1</v>
      </c>
      <c r="M557" s="6">
        <v>0.1</v>
      </c>
      <c r="N557" s="6">
        <v>0.1</v>
      </c>
      <c r="O557" s="6">
        <v>0.1</v>
      </c>
      <c r="P557" s="6">
        <v>0.1</v>
      </c>
      <c r="Q557" s="6">
        <v>0.1</v>
      </c>
    </row>
    <row r="558" spans="1:17">
      <c r="A558" s="2">
        <v>2506</v>
      </c>
      <c r="B558" s="6">
        <v>0.1</v>
      </c>
      <c r="C558" s="6">
        <v>0.1</v>
      </c>
      <c r="D558" s="6">
        <v>0.1</v>
      </c>
      <c r="E558" s="6">
        <v>0.1</v>
      </c>
      <c r="F558" s="6">
        <v>0.1</v>
      </c>
      <c r="G558" s="6">
        <v>0.1</v>
      </c>
      <c r="H558" s="6">
        <v>0.1</v>
      </c>
      <c r="I558" s="6">
        <v>0.1</v>
      </c>
      <c r="J558" s="6">
        <v>0.1</v>
      </c>
      <c r="K558" s="6">
        <v>0.1</v>
      </c>
      <c r="L558" s="6">
        <v>0.1</v>
      </c>
      <c r="M558" s="6">
        <v>0.1</v>
      </c>
      <c r="N558" s="6">
        <v>0.1</v>
      </c>
      <c r="O558" s="6">
        <v>0.1</v>
      </c>
      <c r="P558" s="6">
        <v>0.1</v>
      </c>
      <c r="Q558" s="6">
        <v>0.1</v>
      </c>
    </row>
    <row r="559" spans="1:17">
      <c r="A559" s="2">
        <v>2507</v>
      </c>
      <c r="B559" s="6">
        <v>0.1</v>
      </c>
      <c r="C559" s="6">
        <v>0.1</v>
      </c>
      <c r="D559" s="6">
        <v>0.1</v>
      </c>
      <c r="E559" s="6">
        <v>0.1</v>
      </c>
      <c r="F559" s="6">
        <v>0.1</v>
      </c>
      <c r="G559" s="6">
        <v>0.1</v>
      </c>
      <c r="H559" s="6">
        <v>0.1</v>
      </c>
      <c r="I559" s="6">
        <v>0.1</v>
      </c>
      <c r="J559" s="6">
        <v>0.1</v>
      </c>
      <c r="K559" s="6">
        <v>0.1</v>
      </c>
      <c r="L559" s="6">
        <v>0.1</v>
      </c>
      <c r="M559" s="6">
        <v>0.1</v>
      </c>
      <c r="N559" s="6">
        <v>0.1</v>
      </c>
      <c r="O559" s="6">
        <v>0.1</v>
      </c>
      <c r="P559" s="6">
        <v>0.1</v>
      </c>
      <c r="Q559" s="6">
        <v>0.1</v>
      </c>
    </row>
    <row r="560" spans="1:17">
      <c r="A560" s="2">
        <v>2508</v>
      </c>
      <c r="B560" s="6">
        <v>0.1</v>
      </c>
      <c r="C560" s="6">
        <v>0.1</v>
      </c>
      <c r="D560" s="6">
        <v>0.1</v>
      </c>
      <c r="E560" s="6">
        <v>0.1</v>
      </c>
      <c r="F560" s="6">
        <v>0.1</v>
      </c>
      <c r="G560" s="6">
        <v>0.1</v>
      </c>
      <c r="H560" s="6">
        <v>0.1</v>
      </c>
      <c r="I560" s="6">
        <v>0.1</v>
      </c>
      <c r="J560" s="6">
        <v>0.1</v>
      </c>
      <c r="K560" s="6">
        <v>0.1</v>
      </c>
      <c r="L560" s="6">
        <v>0.1</v>
      </c>
      <c r="M560" s="6">
        <v>0.1</v>
      </c>
      <c r="N560" s="6">
        <v>0.1</v>
      </c>
      <c r="O560" s="6">
        <v>0.1</v>
      </c>
      <c r="P560" s="6">
        <v>0.1</v>
      </c>
      <c r="Q560" s="6">
        <v>0.1</v>
      </c>
    </row>
    <row r="561" spans="1:17">
      <c r="A561" s="2">
        <v>2509</v>
      </c>
      <c r="B561" s="6">
        <v>0.1</v>
      </c>
      <c r="C561" s="6">
        <v>0.1</v>
      </c>
      <c r="D561" s="6">
        <v>0.1</v>
      </c>
      <c r="E561" s="6">
        <v>0.1</v>
      </c>
      <c r="F561" s="6">
        <v>0.1</v>
      </c>
      <c r="G561" s="6">
        <v>0.1</v>
      </c>
      <c r="H561" s="6">
        <v>0.1</v>
      </c>
      <c r="I561" s="6">
        <v>0.1</v>
      </c>
      <c r="J561" s="6">
        <v>0.1</v>
      </c>
      <c r="K561" s="6">
        <v>0.1</v>
      </c>
      <c r="L561" s="6">
        <v>0.1</v>
      </c>
      <c r="M561" s="6">
        <v>0.1</v>
      </c>
      <c r="N561" s="6">
        <v>0.1</v>
      </c>
      <c r="O561" s="6">
        <v>0.1</v>
      </c>
      <c r="P561" s="6">
        <v>0.1</v>
      </c>
      <c r="Q561" s="6">
        <v>0.1</v>
      </c>
    </row>
    <row r="562" spans="1:17">
      <c r="A562" s="2">
        <v>2510</v>
      </c>
      <c r="B562" s="6">
        <v>0.1</v>
      </c>
      <c r="C562" s="6">
        <v>0.1</v>
      </c>
      <c r="D562" s="6">
        <v>0.1</v>
      </c>
      <c r="E562" s="6">
        <v>0.1</v>
      </c>
      <c r="F562" s="6">
        <v>0.1</v>
      </c>
      <c r="G562" s="6">
        <v>0.1</v>
      </c>
      <c r="H562" s="6">
        <v>0.1</v>
      </c>
      <c r="I562" s="6">
        <v>0.1</v>
      </c>
      <c r="J562" s="6">
        <v>0.1</v>
      </c>
      <c r="K562" s="6">
        <v>0.1</v>
      </c>
      <c r="L562" s="6">
        <v>0.1</v>
      </c>
      <c r="M562" s="6">
        <v>0.1</v>
      </c>
      <c r="N562" s="6">
        <v>0.1</v>
      </c>
      <c r="O562" s="6">
        <v>0.1</v>
      </c>
      <c r="P562" s="6">
        <v>0.1</v>
      </c>
      <c r="Q562" s="6">
        <v>0.1</v>
      </c>
    </row>
    <row r="563" spans="1:17">
      <c r="A563" s="2">
        <v>2511</v>
      </c>
      <c r="B563" s="6">
        <v>0.1</v>
      </c>
      <c r="C563" s="6">
        <v>0.1</v>
      </c>
      <c r="D563" s="6">
        <v>0.1</v>
      </c>
      <c r="E563" s="6">
        <v>0.1</v>
      </c>
      <c r="F563" s="6">
        <v>0.1</v>
      </c>
      <c r="G563" s="6">
        <v>0.1</v>
      </c>
      <c r="H563" s="6">
        <v>0.1</v>
      </c>
      <c r="I563" s="6">
        <v>0.1</v>
      </c>
      <c r="J563" s="6">
        <v>0.1</v>
      </c>
      <c r="K563" s="6">
        <v>0.1</v>
      </c>
      <c r="L563" s="6">
        <v>0.1</v>
      </c>
      <c r="M563" s="6">
        <v>0.1</v>
      </c>
      <c r="N563" s="6">
        <v>0.1</v>
      </c>
      <c r="O563" s="6">
        <v>0.1</v>
      </c>
      <c r="P563" s="6">
        <v>0.1</v>
      </c>
      <c r="Q563" s="6">
        <v>0.1</v>
      </c>
    </row>
    <row r="564" spans="1:17">
      <c r="A564" s="2">
        <v>2512</v>
      </c>
      <c r="B564" s="6">
        <v>0.1</v>
      </c>
      <c r="C564" s="6">
        <v>0.1</v>
      </c>
      <c r="D564" s="6">
        <v>0.1</v>
      </c>
      <c r="E564" s="6">
        <v>0.1</v>
      </c>
      <c r="F564" s="6">
        <v>0.1</v>
      </c>
      <c r="G564" s="6">
        <v>0.1</v>
      </c>
      <c r="H564" s="6">
        <v>0.1</v>
      </c>
      <c r="I564" s="6">
        <v>0.1</v>
      </c>
      <c r="J564" s="6">
        <v>0.1</v>
      </c>
      <c r="K564" s="6">
        <v>0.1</v>
      </c>
      <c r="L564" s="6">
        <v>0.1</v>
      </c>
      <c r="M564" s="6">
        <v>0.1</v>
      </c>
      <c r="N564" s="6">
        <v>0.1</v>
      </c>
      <c r="O564" s="6">
        <v>0.1</v>
      </c>
      <c r="P564" s="6">
        <v>0.1</v>
      </c>
      <c r="Q564" s="6">
        <v>0.1</v>
      </c>
    </row>
    <row r="565" spans="1:17">
      <c r="A565" s="2">
        <v>2513</v>
      </c>
      <c r="B565" s="6">
        <v>0.1</v>
      </c>
      <c r="C565" s="6">
        <v>0.1</v>
      </c>
      <c r="D565" s="6">
        <v>0.1</v>
      </c>
      <c r="E565" s="6">
        <v>0.1</v>
      </c>
      <c r="F565" s="6">
        <v>0.1</v>
      </c>
      <c r="G565" s="6">
        <v>0.1</v>
      </c>
      <c r="H565" s="6">
        <v>0.1</v>
      </c>
      <c r="I565" s="6">
        <v>0.1</v>
      </c>
      <c r="J565" s="6">
        <v>0.1</v>
      </c>
      <c r="K565" s="6">
        <v>0.1</v>
      </c>
      <c r="L565" s="6">
        <v>0.1</v>
      </c>
      <c r="M565" s="6">
        <v>0.1</v>
      </c>
      <c r="N565" s="6">
        <v>0.1</v>
      </c>
      <c r="O565" s="6">
        <v>0.1</v>
      </c>
      <c r="P565" s="6">
        <v>0.1</v>
      </c>
      <c r="Q565" s="6">
        <v>0.1</v>
      </c>
    </row>
    <row r="566" spans="1:17">
      <c r="A566" s="2">
        <v>2514</v>
      </c>
      <c r="B566" s="6">
        <v>0.1</v>
      </c>
      <c r="C566" s="6">
        <v>0.1</v>
      </c>
      <c r="D566" s="6">
        <v>0.1</v>
      </c>
      <c r="E566" s="6">
        <v>0.1</v>
      </c>
      <c r="F566" s="6">
        <v>0.1</v>
      </c>
      <c r="G566" s="6">
        <v>0.1</v>
      </c>
      <c r="H566" s="6">
        <v>0.1</v>
      </c>
      <c r="I566" s="6">
        <v>0.1</v>
      </c>
      <c r="J566" s="6">
        <v>0.1</v>
      </c>
      <c r="K566" s="6">
        <v>0.1</v>
      </c>
      <c r="L566" s="6">
        <v>0.1</v>
      </c>
      <c r="M566" s="6">
        <v>0.1</v>
      </c>
      <c r="N566" s="6">
        <v>0.1</v>
      </c>
      <c r="O566" s="6">
        <v>0.1</v>
      </c>
      <c r="P566" s="6">
        <v>0.1</v>
      </c>
      <c r="Q566" s="6">
        <v>0.1</v>
      </c>
    </row>
    <row r="567" spans="1:17">
      <c r="A567" s="2">
        <v>2515</v>
      </c>
      <c r="B567" s="6">
        <v>0.1</v>
      </c>
      <c r="C567" s="6">
        <v>0.1</v>
      </c>
      <c r="D567" s="6">
        <v>0.1</v>
      </c>
      <c r="E567" s="6">
        <v>0.1</v>
      </c>
      <c r="F567" s="6">
        <v>0.1</v>
      </c>
      <c r="G567" s="6">
        <v>0.1</v>
      </c>
      <c r="H567" s="6">
        <v>0.1</v>
      </c>
      <c r="I567" s="6">
        <v>0.1</v>
      </c>
      <c r="J567" s="6">
        <v>0.1</v>
      </c>
      <c r="K567" s="6">
        <v>0.1</v>
      </c>
      <c r="L567" s="6">
        <v>0.1</v>
      </c>
      <c r="M567" s="6">
        <v>0.1</v>
      </c>
      <c r="N567" s="6">
        <v>0.1</v>
      </c>
      <c r="O567" s="6">
        <v>0.1</v>
      </c>
      <c r="P567" s="6">
        <v>0.1</v>
      </c>
      <c r="Q567" s="6">
        <v>0.1</v>
      </c>
    </row>
    <row r="568" spans="1:17">
      <c r="A568" s="2">
        <v>2516</v>
      </c>
      <c r="B568" s="6">
        <v>0.1</v>
      </c>
      <c r="C568" s="6">
        <v>0.1</v>
      </c>
      <c r="D568" s="6">
        <v>0.1</v>
      </c>
      <c r="E568" s="6">
        <v>0.1</v>
      </c>
      <c r="F568" s="6">
        <v>0.1</v>
      </c>
      <c r="G568" s="6">
        <v>0.1</v>
      </c>
      <c r="H568" s="6">
        <v>0.1</v>
      </c>
      <c r="I568" s="6">
        <v>0.1</v>
      </c>
      <c r="J568" s="6">
        <v>0.1</v>
      </c>
      <c r="K568" s="6">
        <v>0.1</v>
      </c>
      <c r="L568" s="6">
        <v>0.1</v>
      </c>
      <c r="M568" s="6">
        <v>0.1</v>
      </c>
      <c r="N568" s="6">
        <v>0.1</v>
      </c>
      <c r="O568" s="6">
        <v>0.1</v>
      </c>
      <c r="P568" s="6">
        <v>0.1</v>
      </c>
      <c r="Q568" s="6">
        <v>0.1</v>
      </c>
    </row>
    <row r="569" spans="1:17">
      <c r="A569" s="2">
        <v>2517</v>
      </c>
      <c r="B569" s="6">
        <v>0.1</v>
      </c>
      <c r="C569" s="6">
        <v>0.1</v>
      </c>
      <c r="D569" s="6">
        <v>0.1</v>
      </c>
      <c r="E569" s="6">
        <v>0.1</v>
      </c>
      <c r="F569" s="6">
        <v>0.1</v>
      </c>
      <c r="G569" s="6">
        <v>0.1</v>
      </c>
      <c r="H569" s="6">
        <v>0.1</v>
      </c>
      <c r="I569" s="6">
        <v>0.1</v>
      </c>
      <c r="J569" s="6">
        <v>0.1</v>
      </c>
      <c r="K569" s="6">
        <v>0.1</v>
      </c>
      <c r="L569" s="6">
        <v>0.1</v>
      </c>
      <c r="M569" s="6">
        <v>0.1</v>
      </c>
      <c r="N569" s="6">
        <v>0.1</v>
      </c>
      <c r="O569" s="6">
        <v>0.1</v>
      </c>
      <c r="P569" s="6">
        <v>0.1</v>
      </c>
      <c r="Q569" s="6">
        <v>0.1</v>
      </c>
    </row>
    <row r="570" spans="1:17">
      <c r="A570" s="2">
        <v>2518</v>
      </c>
      <c r="B570" s="6">
        <v>0.1</v>
      </c>
      <c r="C570" s="6">
        <v>0.1</v>
      </c>
      <c r="D570" s="6">
        <v>0.1</v>
      </c>
      <c r="E570" s="6">
        <v>0.1</v>
      </c>
      <c r="F570" s="6">
        <v>0.1</v>
      </c>
      <c r="G570" s="6">
        <v>0.1</v>
      </c>
      <c r="H570" s="6">
        <v>0.1</v>
      </c>
      <c r="I570" s="6">
        <v>0.1</v>
      </c>
      <c r="J570" s="6">
        <v>0.1</v>
      </c>
      <c r="K570" s="6">
        <v>0.1</v>
      </c>
      <c r="L570" s="6">
        <v>0.1</v>
      </c>
      <c r="M570" s="6">
        <v>0.1</v>
      </c>
      <c r="N570" s="6">
        <v>0.1</v>
      </c>
      <c r="O570" s="6">
        <v>0.1</v>
      </c>
      <c r="P570" s="6">
        <v>0.1</v>
      </c>
      <c r="Q570" s="6">
        <v>0.1</v>
      </c>
    </row>
    <row r="571" spans="1:17">
      <c r="A571" s="2">
        <v>2519</v>
      </c>
      <c r="B571" s="6">
        <v>0.1</v>
      </c>
      <c r="C571" s="6">
        <v>0.1</v>
      </c>
      <c r="D571" s="6">
        <v>0.1</v>
      </c>
      <c r="E571" s="6">
        <v>0.1</v>
      </c>
      <c r="F571" s="6">
        <v>0.1</v>
      </c>
      <c r="G571" s="6">
        <v>0.1</v>
      </c>
      <c r="H571" s="6">
        <v>0.1</v>
      </c>
      <c r="I571" s="6">
        <v>0.1</v>
      </c>
      <c r="J571" s="6">
        <v>0.1</v>
      </c>
      <c r="K571" s="6">
        <v>0.1</v>
      </c>
      <c r="L571" s="6">
        <v>0.1</v>
      </c>
      <c r="M571" s="6">
        <v>0.1</v>
      </c>
      <c r="N571" s="6">
        <v>0.1</v>
      </c>
      <c r="O571" s="6">
        <v>0.1</v>
      </c>
      <c r="P571" s="6">
        <v>0.1</v>
      </c>
      <c r="Q571" s="6">
        <v>0.1</v>
      </c>
    </row>
    <row r="572" spans="1:17">
      <c r="A572" s="2">
        <v>2520</v>
      </c>
      <c r="B572" s="6">
        <v>0.1</v>
      </c>
      <c r="C572" s="6">
        <v>0.1</v>
      </c>
      <c r="D572" s="6">
        <v>0.1</v>
      </c>
      <c r="E572" s="6">
        <v>0.1</v>
      </c>
      <c r="F572" s="6">
        <v>0.1</v>
      </c>
      <c r="G572" s="6">
        <v>0.1</v>
      </c>
      <c r="H572" s="6">
        <v>0.1</v>
      </c>
      <c r="I572" s="6">
        <v>0.1</v>
      </c>
      <c r="J572" s="6">
        <v>0.1</v>
      </c>
      <c r="K572" s="6">
        <v>0.1</v>
      </c>
      <c r="L572" s="6">
        <v>0.1</v>
      </c>
      <c r="M572" s="6">
        <v>0.1</v>
      </c>
      <c r="N572" s="6">
        <v>0.1</v>
      </c>
      <c r="O572" s="6">
        <v>0.1</v>
      </c>
      <c r="P572" s="6">
        <v>0.1</v>
      </c>
      <c r="Q572" s="6">
        <v>0.1</v>
      </c>
    </row>
    <row r="573" spans="1:17">
      <c r="A573" s="2">
        <v>2521</v>
      </c>
      <c r="B573" s="6">
        <v>0.1</v>
      </c>
      <c r="C573" s="6">
        <v>0.1</v>
      </c>
      <c r="D573" s="6">
        <v>0.1</v>
      </c>
      <c r="E573" s="6">
        <v>0.1</v>
      </c>
      <c r="F573" s="6">
        <v>0.1</v>
      </c>
      <c r="G573" s="6">
        <v>0.1</v>
      </c>
      <c r="H573" s="6">
        <v>0.1</v>
      </c>
      <c r="I573" s="6">
        <v>0.1</v>
      </c>
      <c r="J573" s="6">
        <v>0.1</v>
      </c>
      <c r="K573" s="6">
        <v>0.1</v>
      </c>
      <c r="L573" s="6">
        <v>0.1</v>
      </c>
      <c r="M573" s="6">
        <v>0.1</v>
      </c>
      <c r="N573" s="6">
        <v>0.1</v>
      </c>
      <c r="O573" s="6">
        <v>0.1</v>
      </c>
      <c r="P573" s="6">
        <v>0.1</v>
      </c>
      <c r="Q573" s="6">
        <v>0.1</v>
      </c>
    </row>
    <row r="574" spans="1:17">
      <c r="A574" s="2">
        <v>2522</v>
      </c>
      <c r="B574" s="6">
        <v>0.1</v>
      </c>
      <c r="C574" s="6">
        <v>0.1</v>
      </c>
      <c r="D574" s="6">
        <v>0.1</v>
      </c>
      <c r="E574" s="6">
        <v>0.1</v>
      </c>
      <c r="F574" s="6">
        <v>0.1</v>
      </c>
      <c r="G574" s="6">
        <v>0.1</v>
      </c>
      <c r="H574" s="6">
        <v>0.1</v>
      </c>
      <c r="I574" s="6">
        <v>0.1</v>
      </c>
      <c r="J574" s="6">
        <v>0.1</v>
      </c>
      <c r="K574" s="6">
        <v>0.1</v>
      </c>
      <c r="L574" s="6">
        <v>0.1</v>
      </c>
      <c r="M574" s="6">
        <v>0.1</v>
      </c>
      <c r="N574" s="6">
        <v>0.1</v>
      </c>
      <c r="O574" s="6">
        <v>0.1</v>
      </c>
      <c r="P574" s="6">
        <v>0.1</v>
      </c>
      <c r="Q574" s="6">
        <v>0.1</v>
      </c>
    </row>
    <row r="575" spans="1:17">
      <c r="A575" s="2">
        <v>2523</v>
      </c>
      <c r="B575" s="6">
        <v>0.1</v>
      </c>
      <c r="C575" s="6">
        <v>0.1</v>
      </c>
      <c r="D575" s="6">
        <v>0.1</v>
      </c>
      <c r="E575" s="6">
        <v>0.1</v>
      </c>
      <c r="F575" s="6">
        <v>0.1</v>
      </c>
      <c r="G575" s="6">
        <v>0.1</v>
      </c>
      <c r="H575" s="6">
        <v>0.1</v>
      </c>
      <c r="I575" s="6">
        <v>0.1</v>
      </c>
      <c r="J575" s="6">
        <v>0.1</v>
      </c>
      <c r="K575" s="6">
        <v>0.1</v>
      </c>
      <c r="L575" s="6">
        <v>0.1</v>
      </c>
      <c r="M575" s="6">
        <v>0.1</v>
      </c>
      <c r="N575" s="6">
        <v>0.1</v>
      </c>
      <c r="O575" s="6">
        <v>0.1</v>
      </c>
      <c r="P575" s="6">
        <v>0.1</v>
      </c>
      <c r="Q575" s="6">
        <v>0.1</v>
      </c>
    </row>
    <row r="576" spans="1:17">
      <c r="A576" s="2">
        <v>2524</v>
      </c>
      <c r="B576" s="6">
        <v>0.1</v>
      </c>
      <c r="C576" s="6">
        <v>0.1</v>
      </c>
      <c r="D576" s="6">
        <v>0.1</v>
      </c>
      <c r="E576" s="6">
        <v>0.1</v>
      </c>
      <c r="F576" s="6">
        <v>0.1</v>
      </c>
      <c r="G576" s="6">
        <v>0.1</v>
      </c>
      <c r="H576" s="6">
        <v>0.1</v>
      </c>
      <c r="I576" s="6">
        <v>0.1</v>
      </c>
      <c r="J576" s="6">
        <v>0.1</v>
      </c>
      <c r="K576" s="6">
        <v>0.1</v>
      </c>
      <c r="L576" s="6">
        <v>0.1</v>
      </c>
      <c r="M576" s="6">
        <v>0.1</v>
      </c>
      <c r="N576" s="6">
        <v>0.1</v>
      </c>
      <c r="O576" s="6">
        <v>0.1</v>
      </c>
      <c r="P576" s="6">
        <v>0.1</v>
      </c>
      <c r="Q576" s="6">
        <v>0.1</v>
      </c>
    </row>
    <row r="577" spans="1:17">
      <c r="A577" s="2">
        <v>2525</v>
      </c>
      <c r="B577" s="6">
        <v>0.1</v>
      </c>
      <c r="C577" s="6">
        <v>0.1</v>
      </c>
      <c r="D577" s="6">
        <v>0.1</v>
      </c>
      <c r="E577" s="6">
        <v>0.1</v>
      </c>
      <c r="F577" s="6">
        <v>0.1</v>
      </c>
      <c r="G577" s="6">
        <v>0.1</v>
      </c>
      <c r="H577" s="6">
        <v>0.1</v>
      </c>
      <c r="I577" s="6">
        <v>0.1</v>
      </c>
      <c r="J577" s="6">
        <v>0.1</v>
      </c>
      <c r="K577" s="6">
        <v>0.1</v>
      </c>
      <c r="L577" s="6">
        <v>0.1</v>
      </c>
      <c r="M577" s="6">
        <v>0.1</v>
      </c>
      <c r="N577" s="6">
        <v>0.1</v>
      </c>
      <c r="O577" s="6">
        <v>0.1</v>
      </c>
      <c r="P577" s="6">
        <v>0.1</v>
      </c>
      <c r="Q577" s="6">
        <v>0.1</v>
      </c>
    </row>
    <row r="578" spans="1:17">
      <c r="A578" s="2">
        <v>2526</v>
      </c>
      <c r="B578" s="6">
        <v>0.1</v>
      </c>
      <c r="C578" s="6">
        <v>0.1</v>
      </c>
      <c r="D578" s="6">
        <v>0.1</v>
      </c>
      <c r="E578" s="6">
        <v>0.1</v>
      </c>
      <c r="F578" s="6">
        <v>0.1</v>
      </c>
      <c r="G578" s="6">
        <v>0.1</v>
      </c>
      <c r="H578" s="6">
        <v>0.1</v>
      </c>
      <c r="I578" s="6">
        <v>0.1</v>
      </c>
      <c r="J578" s="6">
        <v>0.1</v>
      </c>
      <c r="K578" s="6">
        <v>0.1</v>
      </c>
      <c r="L578" s="6">
        <v>0.1</v>
      </c>
      <c r="M578" s="6">
        <v>0.1</v>
      </c>
      <c r="N578" s="6">
        <v>0.1</v>
      </c>
      <c r="O578" s="6">
        <v>0.1</v>
      </c>
      <c r="P578" s="6">
        <v>0.1</v>
      </c>
      <c r="Q578" s="6">
        <v>0.1</v>
      </c>
    </row>
    <row r="579" spans="1:17">
      <c r="A579" s="2">
        <v>2527</v>
      </c>
      <c r="B579" s="6">
        <v>0.1</v>
      </c>
      <c r="C579" s="6">
        <v>0.1</v>
      </c>
      <c r="D579" s="6">
        <v>0.1</v>
      </c>
      <c r="E579" s="6">
        <v>0.1</v>
      </c>
      <c r="F579" s="6">
        <v>0.1</v>
      </c>
      <c r="G579" s="6">
        <v>0.1</v>
      </c>
      <c r="H579" s="6">
        <v>0.1</v>
      </c>
      <c r="I579" s="6">
        <v>0.1</v>
      </c>
      <c r="J579" s="6">
        <v>0.1</v>
      </c>
      <c r="K579" s="6">
        <v>0.1</v>
      </c>
      <c r="L579" s="6">
        <v>0.1</v>
      </c>
      <c r="M579" s="6">
        <v>0.1</v>
      </c>
      <c r="N579" s="6">
        <v>0.1</v>
      </c>
      <c r="O579" s="6">
        <v>0.1</v>
      </c>
      <c r="P579" s="6">
        <v>0.1</v>
      </c>
      <c r="Q579" s="6">
        <v>0.1</v>
      </c>
    </row>
    <row r="580" spans="1:17">
      <c r="A580" s="2">
        <v>2528</v>
      </c>
      <c r="B580" s="6">
        <v>0.1</v>
      </c>
      <c r="C580" s="6">
        <v>0.1</v>
      </c>
      <c r="D580" s="6">
        <v>0.1</v>
      </c>
      <c r="E580" s="6">
        <v>0.1</v>
      </c>
      <c r="F580" s="6">
        <v>0.1</v>
      </c>
      <c r="G580" s="6">
        <v>0.1</v>
      </c>
      <c r="H580" s="6">
        <v>0.1</v>
      </c>
      <c r="I580" s="6">
        <v>0.1</v>
      </c>
      <c r="J580" s="6">
        <v>0.1</v>
      </c>
      <c r="K580" s="6">
        <v>0.1</v>
      </c>
      <c r="L580" s="6">
        <v>0.1</v>
      </c>
      <c r="M580" s="6">
        <v>0.1</v>
      </c>
      <c r="N580" s="6">
        <v>0.1</v>
      </c>
      <c r="O580" s="6">
        <v>0.1</v>
      </c>
      <c r="P580" s="6">
        <v>0.1</v>
      </c>
      <c r="Q580" s="6">
        <v>0.1</v>
      </c>
    </row>
    <row r="581" spans="1:17">
      <c r="A581" s="2">
        <v>2529</v>
      </c>
      <c r="B581" s="6">
        <v>0.1</v>
      </c>
      <c r="C581" s="6">
        <v>0.1</v>
      </c>
      <c r="D581" s="6">
        <v>0.1</v>
      </c>
      <c r="E581" s="6">
        <v>0.1</v>
      </c>
      <c r="F581" s="6">
        <v>0.1</v>
      </c>
      <c r="G581" s="6">
        <v>0.1</v>
      </c>
      <c r="H581" s="6">
        <v>0.1</v>
      </c>
      <c r="I581" s="6">
        <v>0.1</v>
      </c>
      <c r="J581" s="6">
        <v>0.1</v>
      </c>
      <c r="K581" s="6">
        <v>0.1</v>
      </c>
      <c r="L581" s="6">
        <v>0.1</v>
      </c>
      <c r="M581" s="6">
        <v>0.1</v>
      </c>
      <c r="N581" s="6">
        <v>0.1</v>
      </c>
      <c r="O581" s="6">
        <v>0.1</v>
      </c>
      <c r="P581" s="6">
        <v>0.1</v>
      </c>
      <c r="Q581" s="6">
        <v>0.1</v>
      </c>
    </row>
    <row r="582" spans="1:17">
      <c r="A582" s="2">
        <v>2530</v>
      </c>
      <c r="B582" s="6">
        <v>0.1</v>
      </c>
      <c r="C582" s="6">
        <v>0.1</v>
      </c>
      <c r="D582" s="6">
        <v>0.1</v>
      </c>
      <c r="E582" s="6">
        <v>0.1</v>
      </c>
      <c r="F582" s="6">
        <v>0.1</v>
      </c>
      <c r="G582" s="6">
        <v>0.1</v>
      </c>
      <c r="H582" s="6">
        <v>0.1</v>
      </c>
      <c r="I582" s="6">
        <v>0.1</v>
      </c>
      <c r="J582" s="6">
        <v>0.1</v>
      </c>
      <c r="K582" s="6">
        <v>0.1</v>
      </c>
      <c r="L582" s="6">
        <v>0.1</v>
      </c>
      <c r="M582" s="6">
        <v>0.1</v>
      </c>
      <c r="N582" s="6">
        <v>0.1</v>
      </c>
      <c r="O582" s="6">
        <v>0.1</v>
      </c>
      <c r="P582" s="6">
        <v>0.1</v>
      </c>
      <c r="Q582" s="6">
        <v>0.1</v>
      </c>
    </row>
    <row r="583" spans="1:17">
      <c r="A583" s="2">
        <v>2531</v>
      </c>
      <c r="B583" s="6">
        <v>0.1</v>
      </c>
      <c r="C583" s="6">
        <v>0.1</v>
      </c>
      <c r="D583" s="6">
        <v>0.1</v>
      </c>
      <c r="E583" s="6">
        <v>0.1</v>
      </c>
      <c r="F583" s="6">
        <v>0.1</v>
      </c>
      <c r="G583" s="6">
        <v>0.1</v>
      </c>
      <c r="H583" s="6">
        <v>0.1</v>
      </c>
      <c r="I583" s="6">
        <v>0.1</v>
      </c>
      <c r="J583" s="6">
        <v>0.1</v>
      </c>
      <c r="K583" s="6">
        <v>0.1</v>
      </c>
      <c r="L583" s="6">
        <v>0.1</v>
      </c>
      <c r="M583" s="6">
        <v>0.1</v>
      </c>
      <c r="N583" s="6">
        <v>0.1</v>
      </c>
      <c r="O583" s="6">
        <v>0.1</v>
      </c>
      <c r="P583" s="6">
        <v>0.1</v>
      </c>
      <c r="Q583" s="6">
        <v>0.1</v>
      </c>
    </row>
    <row r="584" spans="1:17">
      <c r="A584" s="2">
        <v>2532</v>
      </c>
      <c r="B584" s="6">
        <v>0.1</v>
      </c>
      <c r="C584" s="6">
        <v>0.1</v>
      </c>
      <c r="D584" s="6">
        <v>0.1</v>
      </c>
      <c r="E584" s="6">
        <v>0.1</v>
      </c>
      <c r="F584" s="6">
        <v>0.1</v>
      </c>
      <c r="G584" s="6">
        <v>0.1</v>
      </c>
      <c r="H584" s="6">
        <v>0.1</v>
      </c>
      <c r="I584" s="6">
        <v>0.1</v>
      </c>
      <c r="J584" s="6">
        <v>0.1</v>
      </c>
      <c r="K584" s="6">
        <v>0.1</v>
      </c>
      <c r="L584" s="6">
        <v>0.1</v>
      </c>
      <c r="M584" s="6">
        <v>0.1</v>
      </c>
      <c r="N584" s="6">
        <v>0.1</v>
      </c>
      <c r="O584" s="6">
        <v>0.1</v>
      </c>
      <c r="P584" s="6">
        <v>0.1</v>
      </c>
      <c r="Q584" s="6">
        <v>0.1</v>
      </c>
    </row>
    <row r="585" spans="1:17">
      <c r="A585" s="2">
        <v>2533</v>
      </c>
      <c r="B585" s="6">
        <v>0.1</v>
      </c>
      <c r="C585" s="6">
        <v>0.1</v>
      </c>
      <c r="D585" s="6">
        <v>0.1</v>
      </c>
      <c r="E585" s="6">
        <v>0.1</v>
      </c>
      <c r="F585" s="6">
        <v>0.1</v>
      </c>
      <c r="G585" s="6">
        <v>0.1</v>
      </c>
      <c r="H585" s="6">
        <v>0.1</v>
      </c>
      <c r="I585" s="6">
        <v>0.1</v>
      </c>
      <c r="J585" s="6">
        <v>0.1</v>
      </c>
      <c r="K585" s="6">
        <v>0.1</v>
      </c>
      <c r="L585" s="6">
        <v>0.1</v>
      </c>
      <c r="M585" s="6">
        <v>0.1</v>
      </c>
      <c r="N585" s="6">
        <v>0.1</v>
      </c>
      <c r="O585" s="6">
        <v>0.1</v>
      </c>
      <c r="P585" s="6">
        <v>0.1</v>
      </c>
      <c r="Q585" s="6">
        <v>0.1</v>
      </c>
    </row>
    <row r="586" spans="1:17">
      <c r="A586" s="2">
        <v>2534</v>
      </c>
      <c r="B586" s="6">
        <v>0.1</v>
      </c>
      <c r="C586" s="6">
        <v>0.1</v>
      </c>
      <c r="D586" s="6">
        <v>0.1</v>
      </c>
      <c r="E586" s="6">
        <v>0.1</v>
      </c>
      <c r="F586" s="6">
        <v>0.1</v>
      </c>
      <c r="G586" s="6">
        <v>0.1</v>
      </c>
      <c r="H586" s="6">
        <v>0.1</v>
      </c>
      <c r="I586" s="6">
        <v>0.1</v>
      </c>
      <c r="J586" s="6">
        <v>0.1</v>
      </c>
      <c r="K586" s="6">
        <v>0.1</v>
      </c>
      <c r="L586" s="6">
        <v>0.1</v>
      </c>
      <c r="M586" s="6">
        <v>0.1</v>
      </c>
      <c r="N586" s="6">
        <v>0.1</v>
      </c>
      <c r="O586" s="6">
        <v>0.1</v>
      </c>
      <c r="P586" s="6">
        <v>0.1</v>
      </c>
      <c r="Q586" s="6">
        <v>0.1</v>
      </c>
    </row>
    <row r="587" spans="1:17">
      <c r="A587" s="2">
        <v>2535</v>
      </c>
      <c r="B587" s="6">
        <v>0.1</v>
      </c>
      <c r="C587" s="6">
        <v>0.1</v>
      </c>
      <c r="D587" s="6">
        <v>0.1</v>
      </c>
      <c r="E587" s="6">
        <v>0.1</v>
      </c>
      <c r="F587" s="6">
        <v>0.1</v>
      </c>
      <c r="G587" s="6">
        <v>0.1</v>
      </c>
      <c r="H587" s="6">
        <v>0.1</v>
      </c>
      <c r="I587" s="6">
        <v>0.1</v>
      </c>
      <c r="J587" s="6">
        <v>0.1</v>
      </c>
      <c r="K587" s="6">
        <v>0.1</v>
      </c>
      <c r="L587" s="6">
        <v>0.1</v>
      </c>
      <c r="M587" s="6">
        <v>0.1</v>
      </c>
      <c r="N587" s="6">
        <v>0.1</v>
      </c>
      <c r="O587" s="6">
        <v>0.1</v>
      </c>
      <c r="P587" s="6">
        <v>0.1</v>
      </c>
      <c r="Q587" s="6">
        <v>0.1</v>
      </c>
    </row>
    <row r="588" spans="1:17">
      <c r="A588" s="2">
        <v>2536</v>
      </c>
      <c r="B588" s="6">
        <v>0.1</v>
      </c>
      <c r="C588" s="6">
        <v>0.1</v>
      </c>
      <c r="D588" s="6">
        <v>0.1</v>
      </c>
      <c r="E588" s="6">
        <v>0.1</v>
      </c>
      <c r="F588" s="6">
        <v>0.1</v>
      </c>
      <c r="G588" s="6">
        <v>0.1</v>
      </c>
      <c r="H588" s="6">
        <v>0.1</v>
      </c>
      <c r="I588" s="6">
        <v>0.1</v>
      </c>
      <c r="J588" s="6">
        <v>0.1</v>
      </c>
      <c r="K588" s="6">
        <v>0.1</v>
      </c>
      <c r="L588" s="6">
        <v>0.1</v>
      </c>
      <c r="M588" s="6">
        <v>0.1</v>
      </c>
      <c r="N588" s="6">
        <v>0.1</v>
      </c>
      <c r="O588" s="6">
        <v>0.1</v>
      </c>
      <c r="P588" s="6">
        <v>0.1</v>
      </c>
      <c r="Q588" s="6">
        <v>0.1</v>
      </c>
    </row>
    <row r="589" spans="1:17">
      <c r="A589" s="2">
        <v>2537</v>
      </c>
      <c r="B589" s="6">
        <v>0.1</v>
      </c>
      <c r="C589" s="6">
        <v>0.1</v>
      </c>
      <c r="D589" s="6">
        <v>0.1</v>
      </c>
      <c r="E589" s="6">
        <v>0.1</v>
      </c>
      <c r="F589" s="6">
        <v>0.1</v>
      </c>
      <c r="G589" s="6">
        <v>0.1</v>
      </c>
      <c r="H589" s="6">
        <v>0.1</v>
      </c>
      <c r="I589" s="6">
        <v>0.1</v>
      </c>
      <c r="J589" s="6">
        <v>0.1</v>
      </c>
      <c r="K589" s="6">
        <v>0.1</v>
      </c>
      <c r="L589" s="6">
        <v>0.1</v>
      </c>
      <c r="M589" s="6">
        <v>0.1</v>
      </c>
      <c r="N589" s="6">
        <v>0.1</v>
      </c>
      <c r="O589" s="6">
        <v>0.1</v>
      </c>
      <c r="P589" s="6">
        <v>0.1</v>
      </c>
      <c r="Q589" s="6">
        <v>0.1</v>
      </c>
    </row>
    <row r="590" spans="1:17">
      <c r="A590" s="2">
        <v>2538</v>
      </c>
      <c r="B590" s="6">
        <v>0.1</v>
      </c>
      <c r="C590" s="6">
        <v>0.1</v>
      </c>
      <c r="D590" s="6">
        <v>0.1</v>
      </c>
      <c r="E590" s="6">
        <v>0.1</v>
      </c>
      <c r="F590" s="6">
        <v>0.1</v>
      </c>
      <c r="G590" s="6">
        <v>0.1</v>
      </c>
      <c r="H590" s="6">
        <v>0.1</v>
      </c>
      <c r="I590" s="6">
        <v>0.1</v>
      </c>
      <c r="J590" s="6">
        <v>0.1</v>
      </c>
      <c r="K590" s="6">
        <v>0.1</v>
      </c>
      <c r="L590" s="6">
        <v>0.1</v>
      </c>
      <c r="M590" s="6">
        <v>0.1</v>
      </c>
      <c r="N590" s="6">
        <v>0.1</v>
      </c>
      <c r="O590" s="6">
        <v>0.1</v>
      </c>
      <c r="P590" s="6">
        <v>0.1</v>
      </c>
      <c r="Q590" s="6">
        <v>0.1</v>
      </c>
    </row>
    <row r="591" spans="1:17">
      <c r="A591" s="2">
        <v>2539</v>
      </c>
      <c r="B591" s="6">
        <v>0.1</v>
      </c>
      <c r="C591" s="6">
        <v>0.1</v>
      </c>
      <c r="D591" s="6">
        <v>0.1</v>
      </c>
      <c r="E591" s="6">
        <v>0.1</v>
      </c>
      <c r="F591" s="6">
        <v>0.1</v>
      </c>
      <c r="G591" s="6">
        <v>0.1</v>
      </c>
      <c r="H591" s="6">
        <v>0.1</v>
      </c>
      <c r="I591" s="6">
        <v>0.1</v>
      </c>
      <c r="J591" s="6">
        <v>0.1</v>
      </c>
      <c r="K591" s="6">
        <v>0.1</v>
      </c>
      <c r="L591" s="6">
        <v>0.1</v>
      </c>
      <c r="M591" s="6">
        <v>0.1</v>
      </c>
      <c r="N591" s="6">
        <v>0.1</v>
      </c>
      <c r="O591" s="6">
        <v>0.1</v>
      </c>
      <c r="P591" s="6">
        <v>0.1</v>
      </c>
      <c r="Q591" s="6">
        <v>0.1</v>
      </c>
    </row>
    <row r="592" spans="1:17">
      <c r="A592" s="2">
        <v>2540</v>
      </c>
      <c r="B592" s="6">
        <v>0.1</v>
      </c>
      <c r="C592" s="6">
        <v>0.1</v>
      </c>
      <c r="D592" s="6">
        <v>0.1</v>
      </c>
      <c r="E592" s="6">
        <v>0.1</v>
      </c>
      <c r="F592" s="6">
        <v>0.1</v>
      </c>
      <c r="G592" s="6">
        <v>0.1</v>
      </c>
      <c r="H592" s="6">
        <v>0.1</v>
      </c>
      <c r="I592" s="6">
        <v>0.1</v>
      </c>
      <c r="J592" s="6">
        <v>0.1</v>
      </c>
      <c r="K592" s="6">
        <v>0.1</v>
      </c>
      <c r="L592" s="6">
        <v>0.1</v>
      </c>
      <c r="M592" s="6">
        <v>0.1</v>
      </c>
      <c r="N592" s="6">
        <v>0.1</v>
      </c>
      <c r="O592" s="6">
        <v>0.1</v>
      </c>
      <c r="P592" s="6">
        <v>0.1</v>
      </c>
      <c r="Q592" s="6">
        <v>0.1</v>
      </c>
    </row>
    <row r="593" spans="1:17">
      <c r="A593" s="2">
        <v>2541</v>
      </c>
      <c r="B593" s="6">
        <v>0.1</v>
      </c>
      <c r="C593" s="6">
        <v>0.1</v>
      </c>
      <c r="D593" s="6">
        <v>0.1</v>
      </c>
      <c r="E593" s="6">
        <v>0.1</v>
      </c>
      <c r="F593" s="6">
        <v>0.1</v>
      </c>
      <c r="G593" s="6">
        <v>0.1</v>
      </c>
      <c r="H593" s="6">
        <v>0.1</v>
      </c>
      <c r="I593" s="6">
        <v>0.1</v>
      </c>
      <c r="J593" s="6">
        <v>0.1</v>
      </c>
      <c r="K593" s="6">
        <v>0.1</v>
      </c>
      <c r="L593" s="6">
        <v>0.1</v>
      </c>
      <c r="M593" s="6">
        <v>0.1</v>
      </c>
      <c r="N593" s="6">
        <v>0.1</v>
      </c>
      <c r="O593" s="6">
        <v>0.1</v>
      </c>
      <c r="P593" s="6">
        <v>0.1</v>
      </c>
      <c r="Q593" s="6">
        <v>0.1</v>
      </c>
    </row>
    <row r="594" spans="1:17">
      <c r="A594" s="2">
        <v>2542</v>
      </c>
      <c r="B594" s="6">
        <v>0.1</v>
      </c>
      <c r="C594" s="6">
        <v>0.1</v>
      </c>
      <c r="D594" s="6">
        <v>0.1</v>
      </c>
      <c r="E594" s="6">
        <v>0.1</v>
      </c>
      <c r="F594" s="6">
        <v>0.1</v>
      </c>
      <c r="G594" s="6">
        <v>0.1</v>
      </c>
      <c r="H594" s="6">
        <v>0.1</v>
      </c>
      <c r="I594" s="6">
        <v>0.1</v>
      </c>
      <c r="J594" s="6">
        <v>0.1</v>
      </c>
      <c r="K594" s="6">
        <v>0.1</v>
      </c>
      <c r="L594" s="6">
        <v>0.1</v>
      </c>
      <c r="M594" s="6">
        <v>0.1</v>
      </c>
      <c r="N594" s="6">
        <v>0.1</v>
      </c>
      <c r="O594" s="6">
        <v>0.1</v>
      </c>
      <c r="P594" s="6">
        <v>0.1</v>
      </c>
      <c r="Q594" s="6">
        <v>0.1</v>
      </c>
    </row>
    <row r="595" spans="1:17">
      <c r="A595" s="2">
        <v>2543</v>
      </c>
      <c r="B595" s="6">
        <v>0.1</v>
      </c>
      <c r="C595" s="6">
        <v>0.1</v>
      </c>
      <c r="D595" s="6">
        <v>0.1</v>
      </c>
      <c r="E595" s="6">
        <v>0.1</v>
      </c>
      <c r="F595" s="6">
        <v>0.1</v>
      </c>
      <c r="G595" s="6">
        <v>0.1</v>
      </c>
      <c r="H595" s="6">
        <v>0.1</v>
      </c>
      <c r="I595" s="6">
        <v>0.1</v>
      </c>
      <c r="J595" s="6">
        <v>0.1</v>
      </c>
      <c r="K595" s="6">
        <v>0.1</v>
      </c>
      <c r="L595" s="6">
        <v>0.1</v>
      </c>
      <c r="M595" s="6">
        <v>0.1</v>
      </c>
      <c r="N595" s="6">
        <v>0.1</v>
      </c>
      <c r="O595" s="6">
        <v>0.1</v>
      </c>
      <c r="P595" s="6">
        <v>0.1</v>
      </c>
      <c r="Q595" s="6">
        <v>0.1</v>
      </c>
    </row>
    <row r="596" spans="1:17">
      <c r="A596" s="2">
        <v>2544</v>
      </c>
      <c r="B596" s="6">
        <v>0.1</v>
      </c>
      <c r="C596" s="6">
        <v>0.1</v>
      </c>
      <c r="D596" s="6">
        <v>0.1</v>
      </c>
      <c r="E596" s="6">
        <v>0.1</v>
      </c>
      <c r="F596" s="6">
        <v>0.1</v>
      </c>
      <c r="G596" s="6">
        <v>0.1</v>
      </c>
      <c r="H596" s="6">
        <v>0.1</v>
      </c>
      <c r="I596" s="6">
        <v>0.1</v>
      </c>
      <c r="J596" s="6">
        <v>0.1</v>
      </c>
      <c r="K596" s="6">
        <v>0.1</v>
      </c>
      <c r="L596" s="6">
        <v>0.1</v>
      </c>
      <c r="M596" s="6">
        <v>0.1</v>
      </c>
      <c r="N596" s="6">
        <v>0.1</v>
      </c>
      <c r="O596" s="6">
        <v>0.1</v>
      </c>
      <c r="P596" s="6">
        <v>0.1</v>
      </c>
      <c r="Q596" s="6">
        <v>0.1</v>
      </c>
    </row>
    <row r="597" spans="1:17">
      <c r="A597" s="2">
        <v>2545</v>
      </c>
      <c r="B597" s="6">
        <v>0.1</v>
      </c>
      <c r="C597" s="6">
        <v>0.1</v>
      </c>
      <c r="D597" s="6">
        <v>0.1</v>
      </c>
      <c r="E597" s="6">
        <v>0.1</v>
      </c>
      <c r="F597" s="6">
        <v>0.1</v>
      </c>
      <c r="G597" s="6">
        <v>0.1</v>
      </c>
      <c r="H597" s="6">
        <v>0.1</v>
      </c>
      <c r="I597" s="6">
        <v>0.1</v>
      </c>
      <c r="J597" s="6">
        <v>0.1</v>
      </c>
      <c r="K597" s="6">
        <v>0.1</v>
      </c>
      <c r="L597" s="6">
        <v>0.1</v>
      </c>
      <c r="M597" s="6">
        <v>0.1</v>
      </c>
      <c r="N597" s="6">
        <v>0.1</v>
      </c>
      <c r="O597" s="6">
        <v>0.1</v>
      </c>
      <c r="P597" s="6">
        <v>0.1</v>
      </c>
      <c r="Q597" s="6">
        <v>0.1</v>
      </c>
    </row>
    <row r="598" spans="1:17">
      <c r="A598" s="2">
        <v>2546</v>
      </c>
      <c r="B598" s="6">
        <v>0.1</v>
      </c>
      <c r="C598" s="6">
        <v>0.1</v>
      </c>
      <c r="D598" s="6">
        <v>0.1</v>
      </c>
      <c r="E598" s="6">
        <v>0.1</v>
      </c>
      <c r="F598" s="6">
        <v>0.1</v>
      </c>
      <c r="G598" s="6">
        <v>0.1</v>
      </c>
      <c r="H598" s="6">
        <v>0.1</v>
      </c>
      <c r="I598" s="6">
        <v>0.1</v>
      </c>
      <c r="J598" s="6">
        <v>0.1</v>
      </c>
      <c r="K598" s="6">
        <v>0.1</v>
      </c>
      <c r="L598" s="6">
        <v>0.1</v>
      </c>
      <c r="M598" s="6">
        <v>0.1</v>
      </c>
      <c r="N598" s="6">
        <v>0.1</v>
      </c>
      <c r="O598" s="6">
        <v>0.1</v>
      </c>
      <c r="P598" s="6">
        <v>0.1</v>
      </c>
      <c r="Q598" s="6">
        <v>0.1</v>
      </c>
    </row>
    <row r="599" spans="1:17">
      <c r="A599" s="2">
        <v>2547</v>
      </c>
      <c r="B599" s="6">
        <v>0.1</v>
      </c>
      <c r="C599" s="6">
        <v>0.1</v>
      </c>
      <c r="D599" s="6">
        <v>0.1</v>
      </c>
      <c r="E599" s="6">
        <v>0.1</v>
      </c>
      <c r="F599" s="6">
        <v>0.1</v>
      </c>
      <c r="G599" s="6">
        <v>0.1</v>
      </c>
      <c r="H599" s="6">
        <v>0.1</v>
      </c>
      <c r="I599" s="6">
        <v>0.1</v>
      </c>
      <c r="J599" s="6">
        <v>0.1</v>
      </c>
      <c r="K599" s="6">
        <v>0.1</v>
      </c>
      <c r="L599" s="6">
        <v>0.1</v>
      </c>
      <c r="M599" s="6">
        <v>0.1</v>
      </c>
      <c r="N599" s="6">
        <v>0.1</v>
      </c>
      <c r="O599" s="6">
        <v>0.1</v>
      </c>
      <c r="P599" s="6">
        <v>0.1</v>
      </c>
      <c r="Q599" s="6">
        <v>0.1</v>
      </c>
    </row>
    <row r="600" spans="1:17">
      <c r="A600" s="2">
        <v>2548</v>
      </c>
      <c r="B600" s="6">
        <v>0.1</v>
      </c>
      <c r="C600" s="6">
        <v>0.1</v>
      </c>
      <c r="D600" s="6">
        <v>0.1</v>
      </c>
      <c r="E600" s="6">
        <v>0.1</v>
      </c>
      <c r="F600" s="6">
        <v>0.1</v>
      </c>
      <c r="G600" s="6">
        <v>0.1</v>
      </c>
      <c r="H600" s="6">
        <v>0.1</v>
      </c>
      <c r="I600" s="6">
        <v>0.1</v>
      </c>
      <c r="J600" s="6">
        <v>0.1</v>
      </c>
      <c r="K600" s="6">
        <v>0.1</v>
      </c>
      <c r="L600" s="6">
        <v>0.1</v>
      </c>
      <c r="M600" s="6">
        <v>0.1</v>
      </c>
      <c r="N600" s="6">
        <v>0.1</v>
      </c>
      <c r="O600" s="6">
        <v>0.1</v>
      </c>
      <c r="P600" s="6">
        <v>0.1</v>
      </c>
      <c r="Q600" s="6">
        <v>0.1</v>
      </c>
    </row>
    <row r="601" spans="1:17">
      <c r="A601" s="2">
        <v>2549</v>
      </c>
      <c r="B601" s="6">
        <v>0.1</v>
      </c>
      <c r="C601" s="6">
        <v>0.1</v>
      </c>
      <c r="D601" s="6">
        <v>0.1</v>
      </c>
      <c r="E601" s="6">
        <v>0.1</v>
      </c>
      <c r="F601" s="6">
        <v>0.1</v>
      </c>
      <c r="G601" s="6">
        <v>0.1</v>
      </c>
      <c r="H601" s="6">
        <v>0.1</v>
      </c>
      <c r="I601" s="6">
        <v>0.1</v>
      </c>
      <c r="J601" s="6">
        <v>0.1</v>
      </c>
      <c r="K601" s="6">
        <v>0.1</v>
      </c>
      <c r="L601" s="6">
        <v>0.1</v>
      </c>
      <c r="M601" s="6">
        <v>0.1</v>
      </c>
      <c r="N601" s="6">
        <v>0.1</v>
      </c>
      <c r="O601" s="6">
        <v>0.1</v>
      </c>
      <c r="P601" s="6">
        <v>0.1</v>
      </c>
      <c r="Q601" s="6">
        <v>0.1</v>
      </c>
    </row>
    <row r="602" spans="1:17">
      <c r="A602" s="2">
        <v>2550</v>
      </c>
      <c r="B602" s="6">
        <v>0.1</v>
      </c>
      <c r="C602" s="6">
        <v>0.1</v>
      </c>
      <c r="D602" s="6">
        <v>0.1</v>
      </c>
      <c r="E602" s="6">
        <v>0.1</v>
      </c>
      <c r="F602" s="6">
        <v>0.1</v>
      </c>
      <c r="G602" s="6">
        <v>0.1</v>
      </c>
      <c r="H602" s="6">
        <v>0.1</v>
      </c>
      <c r="I602" s="6">
        <v>0.1</v>
      </c>
      <c r="J602" s="6">
        <v>0.1</v>
      </c>
      <c r="K602" s="6">
        <v>0.1</v>
      </c>
      <c r="L602" s="6">
        <v>0.1</v>
      </c>
      <c r="M602" s="6">
        <v>0.1</v>
      </c>
      <c r="N602" s="6">
        <v>0.1</v>
      </c>
      <c r="O602" s="6">
        <v>0.1</v>
      </c>
      <c r="P602" s="6">
        <v>0.1</v>
      </c>
      <c r="Q602" s="6">
        <v>0.1</v>
      </c>
    </row>
    <row r="603" spans="1:17">
      <c r="A603" s="2">
        <v>2551</v>
      </c>
      <c r="B603" s="6">
        <v>0.1</v>
      </c>
      <c r="C603" s="6">
        <v>0.1</v>
      </c>
      <c r="D603" s="6">
        <v>0.1</v>
      </c>
      <c r="E603" s="6">
        <v>0.1</v>
      </c>
      <c r="F603" s="6">
        <v>0.1</v>
      </c>
      <c r="G603" s="6">
        <v>0.1</v>
      </c>
      <c r="H603" s="6">
        <v>0.1</v>
      </c>
      <c r="I603" s="6">
        <v>0.1</v>
      </c>
      <c r="J603" s="6">
        <v>0.1</v>
      </c>
      <c r="K603" s="6">
        <v>0.1</v>
      </c>
      <c r="L603" s="6">
        <v>0.1</v>
      </c>
      <c r="M603" s="6">
        <v>0.1</v>
      </c>
      <c r="N603" s="6">
        <v>0.1</v>
      </c>
      <c r="O603" s="6">
        <v>0.1</v>
      </c>
      <c r="P603" s="6">
        <v>0.1</v>
      </c>
      <c r="Q603" s="6">
        <v>0.1</v>
      </c>
    </row>
    <row r="604" spans="1:17">
      <c r="A604" s="2">
        <v>2552</v>
      </c>
      <c r="B604" s="6">
        <v>0.1</v>
      </c>
      <c r="C604" s="6">
        <v>0.1</v>
      </c>
      <c r="D604" s="6">
        <v>0.1</v>
      </c>
      <c r="E604" s="6">
        <v>0.1</v>
      </c>
      <c r="F604" s="6">
        <v>0.1</v>
      </c>
      <c r="G604" s="6">
        <v>0.1</v>
      </c>
      <c r="H604" s="6">
        <v>0.1</v>
      </c>
      <c r="I604" s="6">
        <v>0.1</v>
      </c>
      <c r="J604" s="6">
        <v>0.1</v>
      </c>
      <c r="K604" s="6">
        <v>0.1</v>
      </c>
      <c r="L604" s="6">
        <v>0.1</v>
      </c>
      <c r="M604" s="6">
        <v>0.1</v>
      </c>
      <c r="N604" s="6">
        <v>0.1</v>
      </c>
      <c r="O604" s="6">
        <v>0.1</v>
      </c>
      <c r="P604" s="6">
        <v>0.1</v>
      </c>
      <c r="Q604" s="6">
        <v>0.1</v>
      </c>
    </row>
    <row r="605" spans="1:17">
      <c r="A605" s="2">
        <v>2553</v>
      </c>
      <c r="B605" s="6">
        <v>0.1</v>
      </c>
      <c r="C605" s="6">
        <v>0.1</v>
      </c>
      <c r="D605" s="6">
        <v>0.1</v>
      </c>
      <c r="E605" s="6">
        <v>0.1</v>
      </c>
      <c r="F605" s="6">
        <v>0.1</v>
      </c>
      <c r="G605" s="6">
        <v>0.1</v>
      </c>
      <c r="H605" s="6">
        <v>0.1</v>
      </c>
      <c r="I605" s="6">
        <v>0.1</v>
      </c>
      <c r="J605" s="6">
        <v>0.1</v>
      </c>
      <c r="K605" s="6">
        <v>0.1</v>
      </c>
      <c r="L605" s="6">
        <v>0.1</v>
      </c>
      <c r="M605" s="6">
        <v>0.1</v>
      </c>
      <c r="N605" s="6">
        <v>0.1</v>
      </c>
      <c r="O605" s="6">
        <v>0.1</v>
      </c>
      <c r="P605" s="6">
        <v>0.1</v>
      </c>
      <c r="Q605" s="6">
        <v>0.1</v>
      </c>
    </row>
    <row r="606" spans="1:17">
      <c r="A606" s="2">
        <v>2554</v>
      </c>
      <c r="B606" s="6">
        <v>0.1</v>
      </c>
      <c r="C606" s="6">
        <v>0.1</v>
      </c>
      <c r="D606" s="6">
        <v>0.1</v>
      </c>
      <c r="E606" s="6">
        <v>0.1</v>
      </c>
      <c r="F606" s="6">
        <v>0.1</v>
      </c>
      <c r="G606" s="6">
        <v>0.1</v>
      </c>
      <c r="H606" s="6">
        <v>0.1</v>
      </c>
      <c r="I606" s="6">
        <v>0.1</v>
      </c>
      <c r="J606" s="6">
        <v>0.1</v>
      </c>
      <c r="K606" s="6">
        <v>0.1</v>
      </c>
      <c r="L606" s="6">
        <v>0.1</v>
      </c>
      <c r="M606" s="6">
        <v>0.1</v>
      </c>
      <c r="N606" s="6">
        <v>0.1</v>
      </c>
      <c r="O606" s="6">
        <v>0.1</v>
      </c>
      <c r="P606" s="6">
        <v>0.1</v>
      </c>
      <c r="Q606" s="6">
        <v>0.1</v>
      </c>
    </row>
    <row r="607" spans="1:17">
      <c r="A607" s="2">
        <v>2555</v>
      </c>
      <c r="B607" s="6">
        <v>0.1</v>
      </c>
      <c r="C607" s="6">
        <v>0.1</v>
      </c>
      <c r="D607" s="6">
        <v>0.1</v>
      </c>
      <c r="E607" s="6">
        <v>0.1</v>
      </c>
      <c r="F607" s="6">
        <v>0.1</v>
      </c>
      <c r="G607" s="6">
        <v>0.1</v>
      </c>
      <c r="H607" s="6">
        <v>0.1</v>
      </c>
      <c r="I607" s="6">
        <v>0.1</v>
      </c>
      <c r="J607" s="6">
        <v>0.1</v>
      </c>
      <c r="K607" s="6">
        <v>0.1</v>
      </c>
      <c r="L607" s="6">
        <v>0.1</v>
      </c>
      <c r="M607" s="6">
        <v>0.1</v>
      </c>
      <c r="N607" s="6">
        <v>0.1</v>
      </c>
      <c r="O607" s="6">
        <v>0.1</v>
      </c>
      <c r="P607" s="6">
        <v>0.1</v>
      </c>
      <c r="Q607" s="6">
        <v>0.1</v>
      </c>
    </row>
    <row r="608" spans="1:17">
      <c r="A608" s="2">
        <v>2556</v>
      </c>
      <c r="B608" s="6">
        <v>0.1</v>
      </c>
      <c r="C608" s="6">
        <v>0.1</v>
      </c>
      <c r="D608" s="6">
        <v>0.1</v>
      </c>
      <c r="E608" s="6">
        <v>0.1</v>
      </c>
      <c r="F608" s="6">
        <v>0.1</v>
      </c>
      <c r="G608" s="6">
        <v>0.1</v>
      </c>
      <c r="H608" s="6">
        <v>0.1</v>
      </c>
      <c r="I608" s="6">
        <v>0.1</v>
      </c>
      <c r="J608" s="6">
        <v>0.1</v>
      </c>
      <c r="K608" s="6">
        <v>0.1</v>
      </c>
      <c r="L608" s="6">
        <v>0.1</v>
      </c>
      <c r="M608" s="6">
        <v>0.1</v>
      </c>
      <c r="N608" s="6">
        <v>0.1</v>
      </c>
      <c r="O608" s="6">
        <v>0.1</v>
      </c>
      <c r="P608" s="6">
        <v>0.1</v>
      </c>
      <c r="Q608" s="6">
        <v>0.1</v>
      </c>
    </row>
    <row r="609" spans="1:17">
      <c r="A609" s="2">
        <v>2557</v>
      </c>
      <c r="B609" s="6">
        <v>0.1</v>
      </c>
      <c r="C609" s="6">
        <v>0.1</v>
      </c>
      <c r="D609" s="6">
        <v>0.1</v>
      </c>
      <c r="E609" s="6">
        <v>0.1</v>
      </c>
      <c r="F609" s="6">
        <v>0.1</v>
      </c>
      <c r="G609" s="6">
        <v>0.1</v>
      </c>
      <c r="H609" s="6">
        <v>0.1</v>
      </c>
      <c r="I609" s="6">
        <v>0.1</v>
      </c>
      <c r="J609" s="6">
        <v>0.1</v>
      </c>
      <c r="K609" s="6">
        <v>0.1</v>
      </c>
      <c r="L609" s="6">
        <v>0.1</v>
      </c>
      <c r="M609" s="6">
        <v>0.1</v>
      </c>
      <c r="N609" s="6">
        <v>0.1</v>
      </c>
      <c r="O609" s="6">
        <v>0.1</v>
      </c>
      <c r="P609" s="6">
        <v>0.1</v>
      </c>
      <c r="Q609" s="6">
        <v>0.1</v>
      </c>
    </row>
    <row r="610" spans="1:17">
      <c r="A610" s="2">
        <v>2558</v>
      </c>
      <c r="B610" s="6">
        <v>0.1</v>
      </c>
      <c r="C610" s="6">
        <v>0.1</v>
      </c>
      <c r="D610" s="6">
        <v>0.1</v>
      </c>
      <c r="E610" s="6">
        <v>0.1</v>
      </c>
      <c r="F610" s="6">
        <v>0.1</v>
      </c>
      <c r="G610" s="6">
        <v>0.1</v>
      </c>
      <c r="H610" s="6">
        <v>0.1</v>
      </c>
      <c r="I610" s="6">
        <v>0.1</v>
      </c>
      <c r="J610" s="6">
        <v>0.1</v>
      </c>
      <c r="K610" s="6">
        <v>0.1</v>
      </c>
      <c r="L610" s="6">
        <v>0.1</v>
      </c>
      <c r="M610" s="6">
        <v>0.1</v>
      </c>
      <c r="N610" s="6">
        <v>0.1</v>
      </c>
      <c r="O610" s="6">
        <v>0.1</v>
      </c>
      <c r="P610" s="6">
        <v>0.1</v>
      </c>
      <c r="Q610" s="6">
        <v>0.1</v>
      </c>
    </row>
    <row r="611" spans="1:17">
      <c r="A611" s="2">
        <v>2559</v>
      </c>
      <c r="B611" s="6">
        <v>0.1</v>
      </c>
      <c r="C611" s="6">
        <v>0.1</v>
      </c>
      <c r="D611" s="6">
        <v>0.1</v>
      </c>
      <c r="E611" s="6">
        <v>0.1</v>
      </c>
      <c r="F611" s="6">
        <v>0.1</v>
      </c>
      <c r="G611" s="6">
        <v>0.1</v>
      </c>
      <c r="H611" s="6">
        <v>0.1</v>
      </c>
      <c r="I611" s="6">
        <v>0.1</v>
      </c>
      <c r="J611" s="6">
        <v>0.1</v>
      </c>
      <c r="K611" s="6">
        <v>0.1</v>
      </c>
      <c r="L611" s="6">
        <v>0.1</v>
      </c>
      <c r="M611" s="6">
        <v>0.1</v>
      </c>
      <c r="N611" s="6">
        <v>0.1</v>
      </c>
      <c r="O611" s="6">
        <v>0.1</v>
      </c>
      <c r="P611" s="6">
        <v>0.1</v>
      </c>
      <c r="Q611" s="6">
        <v>0.1</v>
      </c>
    </row>
    <row r="612" spans="1:17">
      <c r="A612" s="2">
        <v>2560</v>
      </c>
      <c r="B612" s="6">
        <v>0.1</v>
      </c>
      <c r="C612" s="6">
        <v>0.1</v>
      </c>
      <c r="D612" s="6">
        <v>0.1</v>
      </c>
      <c r="E612" s="6">
        <v>0.1</v>
      </c>
      <c r="F612" s="6">
        <v>0.1</v>
      </c>
      <c r="G612" s="6">
        <v>0.1</v>
      </c>
      <c r="H612" s="6">
        <v>0.1</v>
      </c>
      <c r="I612" s="6">
        <v>0.1</v>
      </c>
      <c r="J612" s="6">
        <v>0.1</v>
      </c>
      <c r="K612" s="6">
        <v>0.1</v>
      </c>
      <c r="L612" s="6">
        <v>0.1</v>
      </c>
      <c r="M612" s="6">
        <v>0.1</v>
      </c>
      <c r="N612" s="6">
        <v>0.1</v>
      </c>
      <c r="O612" s="6">
        <v>0.1</v>
      </c>
      <c r="P612" s="6">
        <v>0.1</v>
      </c>
      <c r="Q612" s="6">
        <v>0.1</v>
      </c>
    </row>
    <row r="613" spans="1:17">
      <c r="A613" s="2">
        <v>2561</v>
      </c>
      <c r="B613" s="6">
        <v>0.1</v>
      </c>
      <c r="C613" s="6">
        <v>0.1</v>
      </c>
      <c r="D613" s="6">
        <v>0.1</v>
      </c>
      <c r="E613" s="6">
        <v>0.1</v>
      </c>
      <c r="F613" s="6">
        <v>0.1</v>
      </c>
      <c r="G613" s="6">
        <v>0.1</v>
      </c>
      <c r="H613" s="6">
        <v>0.1</v>
      </c>
      <c r="I613" s="6">
        <v>0.1</v>
      </c>
      <c r="J613" s="6">
        <v>0.1</v>
      </c>
      <c r="K613" s="6">
        <v>0.1</v>
      </c>
      <c r="L613" s="6">
        <v>0.1</v>
      </c>
      <c r="M613" s="6">
        <v>0.1</v>
      </c>
      <c r="N613" s="6">
        <v>0.1</v>
      </c>
      <c r="O613" s="6">
        <v>0.1</v>
      </c>
      <c r="P613" s="6">
        <v>0.1</v>
      </c>
      <c r="Q613" s="6">
        <v>0.1</v>
      </c>
    </row>
    <row r="614" spans="1:17">
      <c r="A614" s="2">
        <v>2562</v>
      </c>
      <c r="B614" s="6">
        <v>0.1</v>
      </c>
      <c r="C614" s="6">
        <v>0.1</v>
      </c>
      <c r="D614" s="6">
        <v>0.1</v>
      </c>
      <c r="E614" s="6">
        <v>0.1</v>
      </c>
      <c r="F614" s="6">
        <v>0.1</v>
      </c>
      <c r="G614" s="6">
        <v>0.1</v>
      </c>
      <c r="H614" s="6">
        <v>0.1</v>
      </c>
      <c r="I614" s="6">
        <v>0.1</v>
      </c>
      <c r="J614" s="6">
        <v>0.1</v>
      </c>
      <c r="K614" s="6">
        <v>0.1</v>
      </c>
      <c r="L614" s="6">
        <v>0.1</v>
      </c>
      <c r="M614" s="6">
        <v>0.1</v>
      </c>
      <c r="N614" s="6">
        <v>0.1</v>
      </c>
      <c r="O614" s="6">
        <v>0.1</v>
      </c>
      <c r="P614" s="6">
        <v>0.1</v>
      </c>
      <c r="Q614" s="6">
        <v>0.1</v>
      </c>
    </row>
    <row r="615" spans="1:17">
      <c r="A615" s="2">
        <v>2563</v>
      </c>
      <c r="B615" s="6">
        <v>0.1</v>
      </c>
      <c r="C615" s="6">
        <v>0.1</v>
      </c>
      <c r="D615" s="6">
        <v>0.1</v>
      </c>
      <c r="E615" s="6">
        <v>0.1</v>
      </c>
      <c r="F615" s="6">
        <v>0.1</v>
      </c>
      <c r="G615" s="6">
        <v>0.1</v>
      </c>
      <c r="H615" s="6">
        <v>0.1</v>
      </c>
      <c r="I615" s="6">
        <v>0.1</v>
      </c>
      <c r="J615" s="6">
        <v>0.1</v>
      </c>
      <c r="K615" s="6">
        <v>0.1</v>
      </c>
      <c r="L615" s="6">
        <v>0.1</v>
      </c>
      <c r="M615" s="6">
        <v>0.1</v>
      </c>
      <c r="N615" s="6">
        <v>0.1</v>
      </c>
      <c r="O615" s="6">
        <v>0.1</v>
      </c>
      <c r="P615" s="6">
        <v>0.1</v>
      </c>
      <c r="Q615" s="6">
        <v>0.1</v>
      </c>
    </row>
    <row r="616" spans="1:17">
      <c r="A616" s="2">
        <v>2564</v>
      </c>
      <c r="B616" s="6">
        <v>0.1</v>
      </c>
      <c r="C616" s="6">
        <v>0.1</v>
      </c>
      <c r="D616" s="6">
        <v>0.1</v>
      </c>
      <c r="E616" s="6">
        <v>0.1</v>
      </c>
      <c r="F616" s="6">
        <v>0.1</v>
      </c>
      <c r="G616" s="6">
        <v>0.1</v>
      </c>
      <c r="H616" s="6">
        <v>0.1</v>
      </c>
      <c r="I616" s="6">
        <v>0.1</v>
      </c>
      <c r="J616" s="6">
        <v>0.1</v>
      </c>
      <c r="K616" s="6">
        <v>0.1</v>
      </c>
      <c r="L616" s="6">
        <v>0.1</v>
      </c>
      <c r="M616" s="6">
        <v>0.1</v>
      </c>
      <c r="N616" s="6">
        <v>0.1</v>
      </c>
      <c r="O616" s="6">
        <v>0.1</v>
      </c>
      <c r="P616" s="6">
        <v>0.1</v>
      </c>
      <c r="Q616" s="6">
        <v>0.1</v>
      </c>
    </row>
    <row r="617" spans="1:17">
      <c r="A617" s="2">
        <v>2565</v>
      </c>
      <c r="B617" s="6">
        <v>0.1</v>
      </c>
      <c r="C617" s="6">
        <v>0.1</v>
      </c>
      <c r="D617" s="6">
        <v>0.1</v>
      </c>
      <c r="E617" s="6">
        <v>0.1</v>
      </c>
      <c r="F617" s="6">
        <v>0.1</v>
      </c>
      <c r="G617" s="6">
        <v>0.1</v>
      </c>
      <c r="H617" s="6">
        <v>0.1</v>
      </c>
      <c r="I617" s="6">
        <v>0.1</v>
      </c>
      <c r="J617" s="6">
        <v>0.1</v>
      </c>
      <c r="K617" s="6">
        <v>0.1</v>
      </c>
      <c r="L617" s="6">
        <v>0.1</v>
      </c>
      <c r="M617" s="6">
        <v>0.1</v>
      </c>
      <c r="N617" s="6">
        <v>0.1</v>
      </c>
      <c r="O617" s="6">
        <v>0.1</v>
      </c>
      <c r="P617" s="6">
        <v>0.1</v>
      </c>
      <c r="Q617" s="6">
        <v>0.1</v>
      </c>
    </row>
    <row r="618" spans="1:17">
      <c r="A618" s="2">
        <v>2566</v>
      </c>
      <c r="B618" s="6">
        <v>0.1</v>
      </c>
      <c r="C618" s="6">
        <v>0.1</v>
      </c>
      <c r="D618" s="6">
        <v>0.1</v>
      </c>
      <c r="E618" s="6">
        <v>0.1</v>
      </c>
      <c r="F618" s="6">
        <v>0.1</v>
      </c>
      <c r="G618" s="6">
        <v>0.1</v>
      </c>
      <c r="H618" s="6">
        <v>0.1</v>
      </c>
      <c r="I618" s="6">
        <v>0.1</v>
      </c>
      <c r="J618" s="6">
        <v>0.1</v>
      </c>
      <c r="K618" s="6">
        <v>0.1</v>
      </c>
      <c r="L618" s="6">
        <v>0.1</v>
      </c>
      <c r="M618" s="6">
        <v>0.1</v>
      </c>
      <c r="N618" s="6">
        <v>0.1</v>
      </c>
      <c r="O618" s="6">
        <v>0.1</v>
      </c>
      <c r="P618" s="6">
        <v>0.1</v>
      </c>
      <c r="Q618" s="6">
        <v>0.1</v>
      </c>
    </row>
    <row r="619" spans="1:17">
      <c r="A619" s="2">
        <v>2567</v>
      </c>
      <c r="B619" s="6">
        <v>0.1</v>
      </c>
      <c r="C619" s="6">
        <v>0.1</v>
      </c>
      <c r="D619" s="6">
        <v>0.1</v>
      </c>
      <c r="E619" s="6">
        <v>0.1</v>
      </c>
      <c r="F619" s="6">
        <v>0.1</v>
      </c>
      <c r="G619" s="6">
        <v>0.1</v>
      </c>
      <c r="H619" s="6">
        <v>0.1</v>
      </c>
      <c r="I619" s="6">
        <v>0.1</v>
      </c>
      <c r="J619" s="6">
        <v>0.1</v>
      </c>
      <c r="K619" s="6">
        <v>0.1</v>
      </c>
      <c r="L619" s="6">
        <v>0.1</v>
      </c>
      <c r="M619" s="6">
        <v>0.1</v>
      </c>
      <c r="N619" s="6">
        <v>0.1</v>
      </c>
      <c r="O619" s="6">
        <v>0.1</v>
      </c>
      <c r="P619" s="6">
        <v>0.1</v>
      </c>
      <c r="Q619" s="6">
        <v>0.1</v>
      </c>
    </row>
    <row r="620" spans="1:17">
      <c r="A620" s="2">
        <v>2568</v>
      </c>
      <c r="B620" s="6">
        <v>0.1</v>
      </c>
      <c r="C620" s="6">
        <v>0.1</v>
      </c>
      <c r="D620" s="6">
        <v>0.1</v>
      </c>
      <c r="E620" s="6">
        <v>0.1</v>
      </c>
      <c r="F620" s="6">
        <v>0.1</v>
      </c>
      <c r="G620" s="6">
        <v>0.1</v>
      </c>
      <c r="H620" s="6">
        <v>0.1</v>
      </c>
      <c r="I620" s="6">
        <v>0.1</v>
      </c>
      <c r="J620" s="6">
        <v>0.1</v>
      </c>
      <c r="K620" s="6">
        <v>0.1</v>
      </c>
      <c r="L620" s="6">
        <v>0.1</v>
      </c>
      <c r="M620" s="6">
        <v>0.1</v>
      </c>
      <c r="N620" s="6">
        <v>0.1</v>
      </c>
      <c r="O620" s="6">
        <v>0.1</v>
      </c>
      <c r="P620" s="6">
        <v>0.1</v>
      </c>
      <c r="Q620" s="6">
        <v>0.1</v>
      </c>
    </row>
    <row r="621" spans="1:17">
      <c r="A621" s="2">
        <v>2569</v>
      </c>
      <c r="B621" s="6">
        <v>0.1</v>
      </c>
      <c r="C621" s="6">
        <v>0.1</v>
      </c>
      <c r="D621" s="6">
        <v>0.1</v>
      </c>
      <c r="E621" s="6">
        <v>0.1</v>
      </c>
      <c r="F621" s="6">
        <v>0.1</v>
      </c>
      <c r="G621" s="6">
        <v>0.1</v>
      </c>
      <c r="H621" s="6">
        <v>0.1</v>
      </c>
      <c r="I621" s="6">
        <v>0.1</v>
      </c>
      <c r="J621" s="6">
        <v>0.1</v>
      </c>
      <c r="K621" s="6">
        <v>0.1</v>
      </c>
      <c r="L621" s="6">
        <v>0.1</v>
      </c>
      <c r="M621" s="6">
        <v>0.1</v>
      </c>
      <c r="N621" s="6">
        <v>0.1</v>
      </c>
      <c r="O621" s="6">
        <v>0.1</v>
      </c>
      <c r="P621" s="6">
        <v>0.1</v>
      </c>
      <c r="Q621" s="6">
        <v>0.1</v>
      </c>
    </row>
    <row r="622" spans="1:17">
      <c r="A622" s="2">
        <v>2570</v>
      </c>
      <c r="B622" s="6">
        <v>0.1</v>
      </c>
      <c r="C622" s="6">
        <v>0.1</v>
      </c>
      <c r="D622" s="6">
        <v>0.1</v>
      </c>
      <c r="E622" s="6">
        <v>0.1</v>
      </c>
      <c r="F622" s="6">
        <v>0.1</v>
      </c>
      <c r="G622" s="6">
        <v>0.1</v>
      </c>
      <c r="H622" s="6">
        <v>0.1</v>
      </c>
      <c r="I622" s="6">
        <v>0.1</v>
      </c>
      <c r="J622" s="6">
        <v>0.1</v>
      </c>
      <c r="K622" s="6">
        <v>0.1</v>
      </c>
      <c r="L622" s="6">
        <v>0.1</v>
      </c>
      <c r="M622" s="6">
        <v>0.1</v>
      </c>
      <c r="N622" s="6">
        <v>0.1</v>
      </c>
      <c r="O622" s="6">
        <v>0.1</v>
      </c>
      <c r="P622" s="6">
        <v>0.1</v>
      </c>
      <c r="Q622" s="6">
        <v>0.1</v>
      </c>
    </row>
    <row r="623" spans="1:17">
      <c r="A623" s="2">
        <v>2571</v>
      </c>
      <c r="B623" s="6">
        <v>0.1</v>
      </c>
      <c r="C623" s="6">
        <v>0.1</v>
      </c>
      <c r="D623" s="6">
        <v>0.1</v>
      </c>
      <c r="E623" s="6">
        <v>0.1</v>
      </c>
      <c r="F623" s="6">
        <v>0.1</v>
      </c>
      <c r="G623" s="6">
        <v>0.1</v>
      </c>
      <c r="H623" s="6">
        <v>0.1</v>
      </c>
      <c r="I623" s="6">
        <v>0.1</v>
      </c>
      <c r="J623" s="6">
        <v>0.1</v>
      </c>
      <c r="K623" s="6">
        <v>0.1</v>
      </c>
      <c r="L623" s="6">
        <v>0.1</v>
      </c>
      <c r="M623" s="6">
        <v>0.1</v>
      </c>
      <c r="N623" s="6">
        <v>0.1</v>
      </c>
      <c r="O623" s="6">
        <v>0.1</v>
      </c>
      <c r="P623" s="6">
        <v>0.1</v>
      </c>
      <c r="Q623" s="6">
        <v>0.1</v>
      </c>
    </row>
    <row r="624" spans="1:17">
      <c r="A624" s="2">
        <v>2572</v>
      </c>
      <c r="B624" s="6">
        <v>0.1</v>
      </c>
      <c r="C624" s="6">
        <v>0.1</v>
      </c>
      <c r="D624" s="6">
        <v>0.1</v>
      </c>
      <c r="E624" s="6">
        <v>0.1</v>
      </c>
      <c r="F624" s="6">
        <v>0.1</v>
      </c>
      <c r="G624" s="6">
        <v>0.1</v>
      </c>
      <c r="H624" s="6">
        <v>0.1</v>
      </c>
      <c r="I624" s="6">
        <v>0.1</v>
      </c>
      <c r="J624" s="6">
        <v>0.1</v>
      </c>
      <c r="K624" s="6">
        <v>0.1</v>
      </c>
      <c r="L624" s="6">
        <v>0.1</v>
      </c>
      <c r="M624" s="6">
        <v>0.1</v>
      </c>
      <c r="N624" s="6">
        <v>0.1</v>
      </c>
      <c r="O624" s="6">
        <v>0.1</v>
      </c>
      <c r="P624" s="6">
        <v>0.1</v>
      </c>
      <c r="Q624" s="6">
        <v>0.1</v>
      </c>
    </row>
    <row r="625" spans="1:17">
      <c r="A625" s="2">
        <v>2573</v>
      </c>
      <c r="B625" s="6">
        <v>0.1</v>
      </c>
      <c r="C625" s="6">
        <v>0.1</v>
      </c>
      <c r="D625" s="6">
        <v>0.1</v>
      </c>
      <c r="E625" s="6">
        <v>0.1</v>
      </c>
      <c r="F625" s="6">
        <v>0.1</v>
      </c>
      <c r="G625" s="6">
        <v>0.1</v>
      </c>
      <c r="H625" s="6">
        <v>0.1</v>
      </c>
      <c r="I625" s="6">
        <v>0.1</v>
      </c>
      <c r="J625" s="6">
        <v>0.1</v>
      </c>
      <c r="K625" s="6">
        <v>0.1</v>
      </c>
      <c r="L625" s="6">
        <v>0.1</v>
      </c>
      <c r="M625" s="6">
        <v>0.1</v>
      </c>
      <c r="N625" s="6">
        <v>0.1</v>
      </c>
      <c r="O625" s="6">
        <v>0.1</v>
      </c>
      <c r="P625" s="6">
        <v>0.1</v>
      </c>
      <c r="Q625" s="6">
        <v>0.1</v>
      </c>
    </row>
    <row r="626" spans="1:17">
      <c r="A626" s="2">
        <v>2574</v>
      </c>
      <c r="B626" s="6">
        <v>0.1</v>
      </c>
      <c r="C626" s="6">
        <v>0.1</v>
      </c>
      <c r="D626" s="6">
        <v>0.1</v>
      </c>
      <c r="E626" s="6">
        <v>0.1</v>
      </c>
      <c r="F626" s="6">
        <v>0.1</v>
      </c>
      <c r="G626" s="6">
        <v>0.1</v>
      </c>
      <c r="H626" s="6">
        <v>0.1</v>
      </c>
      <c r="I626" s="6">
        <v>0.1</v>
      </c>
      <c r="J626" s="6">
        <v>0.1</v>
      </c>
      <c r="K626" s="6">
        <v>0.1</v>
      </c>
      <c r="L626" s="6">
        <v>0.1</v>
      </c>
      <c r="M626" s="6">
        <v>0.1</v>
      </c>
      <c r="N626" s="6">
        <v>0.1</v>
      </c>
      <c r="O626" s="6">
        <v>0.1</v>
      </c>
      <c r="P626" s="6">
        <v>0.1</v>
      </c>
      <c r="Q626" s="6">
        <v>0.1</v>
      </c>
    </row>
    <row r="627" spans="1:17">
      <c r="A627" s="2">
        <v>2575</v>
      </c>
      <c r="B627" s="6">
        <v>0.1</v>
      </c>
      <c r="C627" s="6">
        <v>0.1</v>
      </c>
      <c r="D627" s="6">
        <v>0.1</v>
      </c>
      <c r="E627" s="6">
        <v>0.1</v>
      </c>
      <c r="F627" s="6">
        <v>0.1</v>
      </c>
      <c r="G627" s="6">
        <v>0.1</v>
      </c>
      <c r="H627" s="6">
        <v>0.1</v>
      </c>
      <c r="I627" s="6">
        <v>0.1</v>
      </c>
      <c r="J627" s="6">
        <v>0.1</v>
      </c>
      <c r="K627" s="6">
        <v>0.1</v>
      </c>
      <c r="L627" s="6">
        <v>0.1</v>
      </c>
      <c r="M627" s="6">
        <v>0.1</v>
      </c>
      <c r="N627" s="6">
        <v>0.1</v>
      </c>
      <c r="O627" s="6">
        <v>0.1</v>
      </c>
      <c r="P627" s="6">
        <v>0.1</v>
      </c>
      <c r="Q627" s="6">
        <v>0.1</v>
      </c>
    </row>
    <row r="628" spans="1:17">
      <c r="A628" s="2">
        <v>2576</v>
      </c>
      <c r="B628" s="6">
        <v>0.1</v>
      </c>
      <c r="C628" s="6">
        <v>0.1</v>
      </c>
      <c r="D628" s="6">
        <v>0.1</v>
      </c>
      <c r="E628" s="6">
        <v>0.1</v>
      </c>
      <c r="F628" s="6">
        <v>0.1</v>
      </c>
      <c r="G628" s="6">
        <v>0.1</v>
      </c>
      <c r="H628" s="6">
        <v>0.1</v>
      </c>
      <c r="I628" s="6">
        <v>0.1</v>
      </c>
      <c r="J628" s="6">
        <v>0.1</v>
      </c>
      <c r="K628" s="6">
        <v>0.1</v>
      </c>
      <c r="L628" s="6">
        <v>0.1</v>
      </c>
      <c r="M628" s="6">
        <v>0.1</v>
      </c>
      <c r="N628" s="6">
        <v>0.1</v>
      </c>
      <c r="O628" s="6">
        <v>0.1</v>
      </c>
      <c r="P628" s="6">
        <v>0.1</v>
      </c>
      <c r="Q628" s="6">
        <v>0.1</v>
      </c>
    </row>
    <row r="629" spans="1:17">
      <c r="A629" s="2">
        <v>2577</v>
      </c>
      <c r="B629" s="6">
        <v>0.1</v>
      </c>
      <c r="C629" s="6">
        <v>0.1</v>
      </c>
      <c r="D629" s="6">
        <v>0.1</v>
      </c>
      <c r="E629" s="6">
        <v>0.1</v>
      </c>
      <c r="F629" s="6">
        <v>0.1</v>
      </c>
      <c r="G629" s="6">
        <v>0.1</v>
      </c>
      <c r="H629" s="6">
        <v>0.1</v>
      </c>
      <c r="I629" s="6">
        <v>0.1</v>
      </c>
      <c r="J629" s="6">
        <v>0.1</v>
      </c>
      <c r="K629" s="6">
        <v>0.1</v>
      </c>
      <c r="L629" s="6">
        <v>0.1</v>
      </c>
      <c r="M629" s="6">
        <v>0.1</v>
      </c>
      <c r="N629" s="6">
        <v>0.1</v>
      </c>
      <c r="O629" s="6">
        <v>0.1</v>
      </c>
      <c r="P629" s="6">
        <v>0.1</v>
      </c>
      <c r="Q629" s="6">
        <v>0.1</v>
      </c>
    </row>
    <row r="630" spans="1:17">
      <c r="A630" s="2">
        <v>2578</v>
      </c>
      <c r="B630" s="6">
        <v>0.1</v>
      </c>
      <c r="C630" s="6">
        <v>0.1</v>
      </c>
      <c r="D630" s="6">
        <v>0.1</v>
      </c>
      <c r="E630" s="6">
        <v>0.1</v>
      </c>
      <c r="F630" s="6">
        <v>0.1</v>
      </c>
      <c r="G630" s="6">
        <v>0.1</v>
      </c>
      <c r="H630" s="6">
        <v>0.1</v>
      </c>
      <c r="I630" s="6">
        <v>0.1</v>
      </c>
      <c r="J630" s="6">
        <v>0.1</v>
      </c>
      <c r="K630" s="6">
        <v>0.1</v>
      </c>
      <c r="L630" s="6">
        <v>0.1</v>
      </c>
      <c r="M630" s="6">
        <v>0.1</v>
      </c>
      <c r="N630" s="6">
        <v>0.1</v>
      </c>
      <c r="O630" s="6">
        <v>0.1</v>
      </c>
      <c r="P630" s="6">
        <v>0.1</v>
      </c>
      <c r="Q630" s="6">
        <v>0.1</v>
      </c>
    </row>
    <row r="631" spans="1:17">
      <c r="A631" s="2">
        <v>2579</v>
      </c>
      <c r="B631" s="6">
        <v>0.1</v>
      </c>
      <c r="C631" s="6">
        <v>0.1</v>
      </c>
      <c r="D631" s="6">
        <v>0.1</v>
      </c>
      <c r="E631" s="6">
        <v>0.1</v>
      </c>
      <c r="F631" s="6">
        <v>0.1</v>
      </c>
      <c r="G631" s="6">
        <v>0.1</v>
      </c>
      <c r="H631" s="6">
        <v>0.1</v>
      </c>
      <c r="I631" s="6">
        <v>0.1</v>
      </c>
      <c r="J631" s="6">
        <v>0.1</v>
      </c>
      <c r="K631" s="6">
        <v>0.1</v>
      </c>
      <c r="L631" s="6">
        <v>0.1</v>
      </c>
      <c r="M631" s="6">
        <v>0.1</v>
      </c>
      <c r="N631" s="6">
        <v>0.1</v>
      </c>
      <c r="O631" s="6">
        <v>0.1</v>
      </c>
      <c r="P631" s="6">
        <v>0.1</v>
      </c>
      <c r="Q631" s="6">
        <v>0.1</v>
      </c>
    </row>
    <row r="632" spans="1:17">
      <c r="A632" s="2">
        <v>2580</v>
      </c>
      <c r="B632" s="6">
        <v>0.1</v>
      </c>
      <c r="C632" s="6">
        <v>0.1</v>
      </c>
      <c r="D632" s="6">
        <v>0.1</v>
      </c>
      <c r="E632" s="6">
        <v>0.1</v>
      </c>
      <c r="F632" s="6">
        <v>0.1</v>
      </c>
      <c r="G632" s="6">
        <v>0.1</v>
      </c>
      <c r="H632" s="6">
        <v>0.1</v>
      </c>
      <c r="I632" s="6">
        <v>0.1</v>
      </c>
      <c r="J632" s="6">
        <v>0.1</v>
      </c>
      <c r="K632" s="6">
        <v>0.1</v>
      </c>
      <c r="L632" s="6">
        <v>0.1</v>
      </c>
      <c r="M632" s="6">
        <v>0.1</v>
      </c>
      <c r="N632" s="6">
        <v>0.1</v>
      </c>
      <c r="O632" s="6">
        <v>0.1</v>
      </c>
      <c r="P632" s="6">
        <v>0.1</v>
      </c>
      <c r="Q632" s="6">
        <v>0.1</v>
      </c>
    </row>
    <row r="633" spans="1:17">
      <c r="A633" s="2">
        <v>2581</v>
      </c>
      <c r="B633" s="6">
        <v>0.1</v>
      </c>
      <c r="C633" s="6">
        <v>0.1</v>
      </c>
      <c r="D633" s="6">
        <v>0.1</v>
      </c>
      <c r="E633" s="6">
        <v>0.1</v>
      </c>
      <c r="F633" s="6">
        <v>0.1</v>
      </c>
      <c r="G633" s="6">
        <v>0.1</v>
      </c>
      <c r="H633" s="6">
        <v>0.1</v>
      </c>
      <c r="I633" s="6">
        <v>0.1</v>
      </c>
      <c r="J633" s="6">
        <v>0.1</v>
      </c>
      <c r="K633" s="6">
        <v>0.1</v>
      </c>
      <c r="L633" s="6">
        <v>0.1</v>
      </c>
      <c r="M633" s="6">
        <v>0.1</v>
      </c>
      <c r="N633" s="6">
        <v>0.1</v>
      </c>
      <c r="O633" s="6">
        <v>0.1</v>
      </c>
      <c r="P633" s="6">
        <v>0.1</v>
      </c>
      <c r="Q633" s="6">
        <v>0.1</v>
      </c>
    </row>
    <row r="634" spans="1:17">
      <c r="A634" s="2">
        <v>2582</v>
      </c>
      <c r="B634" s="6">
        <v>0.1</v>
      </c>
      <c r="C634" s="6">
        <v>0.1</v>
      </c>
      <c r="D634" s="6">
        <v>0.1</v>
      </c>
      <c r="E634" s="6">
        <v>0.1</v>
      </c>
      <c r="F634" s="6">
        <v>0.1</v>
      </c>
      <c r="G634" s="6">
        <v>0.1</v>
      </c>
      <c r="H634" s="6">
        <v>0.1</v>
      </c>
      <c r="I634" s="6">
        <v>0.1</v>
      </c>
      <c r="J634" s="6">
        <v>0.1</v>
      </c>
      <c r="K634" s="6">
        <v>0.1</v>
      </c>
      <c r="L634" s="6">
        <v>0.1</v>
      </c>
      <c r="M634" s="6">
        <v>0.1</v>
      </c>
      <c r="N634" s="6">
        <v>0.1</v>
      </c>
      <c r="O634" s="6">
        <v>0.1</v>
      </c>
      <c r="P634" s="6">
        <v>0.1</v>
      </c>
      <c r="Q634" s="6">
        <v>0.1</v>
      </c>
    </row>
    <row r="635" spans="1:17">
      <c r="A635" s="2">
        <v>2583</v>
      </c>
      <c r="B635" s="6">
        <v>0.1</v>
      </c>
      <c r="C635" s="6">
        <v>0.1</v>
      </c>
      <c r="D635" s="6">
        <v>0.1</v>
      </c>
      <c r="E635" s="6">
        <v>0.1</v>
      </c>
      <c r="F635" s="6">
        <v>0.1</v>
      </c>
      <c r="G635" s="6">
        <v>0.1</v>
      </c>
      <c r="H635" s="6">
        <v>0.1</v>
      </c>
      <c r="I635" s="6">
        <v>0.1</v>
      </c>
      <c r="J635" s="6">
        <v>0.1</v>
      </c>
      <c r="K635" s="6">
        <v>0.1</v>
      </c>
      <c r="L635" s="6">
        <v>0.1</v>
      </c>
      <c r="M635" s="6">
        <v>0.1</v>
      </c>
      <c r="N635" s="6">
        <v>0.1</v>
      </c>
      <c r="O635" s="6">
        <v>0.1</v>
      </c>
      <c r="P635" s="6">
        <v>0.1</v>
      </c>
      <c r="Q635" s="6">
        <v>0.1</v>
      </c>
    </row>
    <row r="636" spans="1:17">
      <c r="A636" s="2">
        <v>2584</v>
      </c>
      <c r="B636" s="6">
        <v>0.1</v>
      </c>
      <c r="C636" s="6">
        <v>0.1</v>
      </c>
      <c r="D636" s="6">
        <v>0.1</v>
      </c>
      <c r="E636" s="6">
        <v>0.1</v>
      </c>
      <c r="F636" s="6">
        <v>0.1</v>
      </c>
      <c r="G636" s="6">
        <v>0.1</v>
      </c>
      <c r="H636" s="6">
        <v>0.1</v>
      </c>
      <c r="I636" s="6">
        <v>0.1</v>
      </c>
      <c r="J636" s="6">
        <v>0.1</v>
      </c>
      <c r="K636" s="6">
        <v>0.1</v>
      </c>
      <c r="L636" s="6">
        <v>0.1</v>
      </c>
      <c r="M636" s="6">
        <v>0.1</v>
      </c>
      <c r="N636" s="6">
        <v>0.1</v>
      </c>
      <c r="O636" s="6">
        <v>0.1</v>
      </c>
      <c r="P636" s="6">
        <v>0.1</v>
      </c>
      <c r="Q636" s="6">
        <v>0.1</v>
      </c>
    </row>
    <row r="637" spans="1:17">
      <c r="A637" s="2">
        <v>2585</v>
      </c>
      <c r="B637" s="6">
        <v>0.1</v>
      </c>
      <c r="C637" s="6">
        <v>0.1</v>
      </c>
      <c r="D637" s="6">
        <v>0.1</v>
      </c>
      <c r="E637" s="6">
        <v>0.1</v>
      </c>
      <c r="F637" s="6">
        <v>0.1</v>
      </c>
      <c r="G637" s="6">
        <v>0.1</v>
      </c>
      <c r="H637" s="6">
        <v>0.1</v>
      </c>
      <c r="I637" s="6">
        <v>0.1</v>
      </c>
      <c r="J637" s="6">
        <v>0.1</v>
      </c>
      <c r="K637" s="6">
        <v>0.1</v>
      </c>
      <c r="L637" s="6">
        <v>0.1</v>
      </c>
      <c r="M637" s="6">
        <v>0.1</v>
      </c>
      <c r="N637" s="6">
        <v>0.1</v>
      </c>
      <c r="O637" s="6">
        <v>0.1</v>
      </c>
      <c r="P637" s="6">
        <v>0.1</v>
      </c>
      <c r="Q637" s="6">
        <v>0.1</v>
      </c>
    </row>
    <row r="638" spans="1:17">
      <c r="A638" s="2">
        <v>2586</v>
      </c>
      <c r="B638" s="6">
        <v>0.1</v>
      </c>
      <c r="C638" s="6">
        <v>0.1</v>
      </c>
      <c r="D638" s="6">
        <v>0.1</v>
      </c>
      <c r="E638" s="6">
        <v>0.1</v>
      </c>
      <c r="F638" s="6">
        <v>0.1</v>
      </c>
      <c r="G638" s="6">
        <v>0.1</v>
      </c>
      <c r="H638" s="6">
        <v>0.1</v>
      </c>
      <c r="I638" s="6">
        <v>0.1</v>
      </c>
      <c r="J638" s="6">
        <v>0.1</v>
      </c>
      <c r="K638" s="6">
        <v>0.1</v>
      </c>
      <c r="L638" s="6">
        <v>0.1</v>
      </c>
      <c r="M638" s="6">
        <v>0.1</v>
      </c>
      <c r="N638" s="6">
        <v>0.1</v>
      </c>
      <c r="O638" s="6">
        <v>0.1</v>
      </c>
      <c r="P638" s="6">
        <v>0.1</v>
      </c>
      <c r="Q638" s="6">
        <v>0.1</v>
      </c>
    </row>
    <row r="639" spans="1:17">
      <c r="A639" s="2">
        <v>2587</v>
      </c>
      <c r="B639" s="6">
        <v>0.1</v>
      </c>
      <c r="C639" s="6">
        <v>0.1</v>
      </c>
      <c r="D639" s="6">
        <v>0.1</v>
      </c>
      <c r="E639" s="6">
        <v>0.1</v>
      </c>
      <c r="F639" s="6">
        <v>0.1</v>
      </c>
      <c r="G639" s="6">
        <v>0.1</v>
      </c>
      <c r="H639" s="6">
        <v>0.1</v>
      </c>
      <c r="I639" s="6">
        <v>0.1</v>
      </c>
      <c r="J639" s="6">
        <v>0.1</v>
      </c>
      <c r="K639" s="6">
        <v>0.1</v>
      </c>
      <c r="L639" s="6">
        <v>0.1</v>
      </c>
      <c r="M639" s="6">
        <v>0.1</v>
      </c>
      <c r="N639" s="6">
        <v>0.1</v>
      </c>
      <c r="O639" s="6">
        <v>0.1</v>
      </c>
      <c r="P639" s="6">
        <v>0.1</v>
      </c>
      <c r="Q639" s="6">
        <v>0.1</v>
      </c>
    </row>
    <row r="640" spans="1:17">
      <c r="A640" s="2">
        <v>2588</v>
      </c>
      <c r="B640" s="6">
        <v>0.1</v>
      </c>
      <c r="C640" s="6">
        <v>0.1</v>
      </c>
      <c r="D640" s="6">
        <v>0.1</v>
      </c>
      <c r="E640" s="6">
        <v>0.1</v>
      </c>
      <c r="F640" s="6">
        <v>0.1</v>
      </c>
      <c r="G640" s="6">
        <v>0.1</v>
      </c>
      <c r="H640" s="6">
        <v>0.1</v>
      </c>
      <c r="I640" s="6">
        <v>0.1</v>
      </c>
      <c r="J640" s="6">
        <v>0.1</v>
      </c>
      <c r="K640" s="6">
        <v>0.1</v>
      </c>
      <c r="L640" s="6">
        <v>0.1</v>
      </c>
      <c r="M640" s="6">
        <v>0.1</v>
      </c>
      <c r="N640" s="6">
        <v>0.1</v>
      </c>
      <c r="O640" s="6">
        <v>0.1</v>
      </c>
      <c r="P640" s="6">
        <v>0.1</v>
      </c>
      <c r="Q640" s="6">
        <v>0.1</v>
      </c>
    </row>
    <row r="641" spans="1:17">
      <c r="A641" s="2">
        <v>2589</v>
      </c>
      <c r="B641" s="6">
        <v>0.1</v>
      </c>
      <c r="C641" s="6">
        <v>0.1</v>
      </c>
      <c r="D641" s="6">
        <v>0.1</v>
      </c>
      <c r="E641" s="6">
        <v>0.1</v>
      </c>
      <c r="F641" s="6">
        <v>0.1</v>
      </c>
      <c r="G641" s="6">
        <v>0.1</v>
      </c>
      <c r="H641" s="6">
        <v>0.1</v>
      </c>
      <c r="I641" s="6">
        <v>0.1</v>
      </c>
      <c r="J641" s="6">
        <v>0.1</v>
      </c>
      <c r="K641" s="6">
        <v>0.1</v>
      </c>
      <c r="L641" s="6">
        <v>0.1</v>
      </c>
      <c r="M641" s="6">
        <v>0.1</v>
      </c>
      <c r="N641" s="6">
        <v>0.1</v>
      </c>
      <c r="O641" s="6">
        <v>0.1</v>
      </c>
      <c r="P641" s="6">
        <v>0.1</v>
      </c>
      <c r="Q641" s="6">
        <v>0.1</v>
      </c>
    </row>
    <row r="642" spans="1:17">
      <c r="A642" s="2">
        <v>2590</v>
      </c>
      <c r="B642" s="6">
        <v>0.1</v>
      </c>
      <c r="C642" s="6">
        <v>0.1</v>
      </c>
      <c r="D642" s="6">
        <v>0.1</v>
      </c>
      <c r="E642" s="6">
        <v>0.1</v>
      </c>
      <c r="F642" s="6">
        <v>0.1</v>
      </c>
      <c r="G642" s="6">
        <v>0.1</v>
      </c>
      <c r="H642" s="6">
        <v>0.1</v>
      </c>
      <c r="I642" s="6">
        <v>0.1</v>
      </c>
      <c r="J642" s="6">
        <v>0.1</v>
      </c>
      <c r="K642" s="6">
        <v>0.1</v>
      </c>
      <c r="L642" s="6">
        <v>0.1</v>
      </c>
      <c r="M642" s="6">
        <v>0.1</v>
      </c>
      <c r="N642" s="6">
        <v>0.1</v>
      </c>
      <c r="O642" s="6">
        <v>0.1</v>
      </c>
      <c r="P642" s="6">
        <v>0.1</v>
      </c>
      <c r="Q642" s="6">
        <v>0.1</v>
      </c>
    </row>
    <row r="643" spans="1:17">
      <c r="A643" s="2">
        <v>2591</v>
      </c>
      <c r="B643" s="6">
        <v>0.1</v>
      </c>
      <c r="C643" s="6">
        <v>0.1</v>
      </c>
      <c r="D643" s="6">
        <v>0.1</v>
      </c>
      <c r="E643" s="6">
        <v>0.1</v>
      </c>
      <c r="F643" s="6">
        <v>0.1</v>
      </c>
      <c r="G643" s="6">
        <v>0.1</v>
      </c>
      <c r="H643" s="6">
        <v>0.1</v>
      </c>
      <c r="I643" s="6">
        <v>0.1</v>
      </c>
      <c r="J643" s="6">
        <v>0.1</v>
      </c>
      <c r="K643" s="6">
        <v>0.1</v>
      </c>
      <c r="L643" s="6">
        <v>0.1</v>
      </c>
      <c r="M643" s="6">
        <v>0.1</v>
      </c>
      <c r="N643" s="6">
        <v>0.1</v>
      </c>
      <c r="O643" s="6">
        <v>0.1</v>
      </c>
      <c r="P643" s="6">
        <v>0.1</v>
      </c>
      <c r="Q643" s="6">
        <v>0.1</v>
      </c>
    </row>
    <row r="644" spans="1:17">
      <c r="A644" s="2">
        <v>2592</v>
      </c>
      <c r="B644" s="6">
        <v>0.1</v>
      </c>
      <c r="C644" s="6">
        <v>0.1</v>
      </c>
      <c r="D644" s="6">
        <v>0.1</v>
      </c>
      <c r="E644" s="6">
        <v>0.1</v>
      </c>
      <c r="F644" s="6">
        <v>0.1</v>
      </c>
      <c r="G644" s="6">
        <v>0.1</v>
      </c>
      <c r="H644" s="6">
        <v>0.1</v>
      </c>
      <c r="I644" s="6">
        <v>0.1</v>
      </c>
      <c r="J644" s="6">
        <v>0.1</v>
      </c>
      <c r="K644" s="6">
        <v>0.1</v>
      </c>
      <c r="L644" s="6">
        <v>0.1</v>
      </c>
      <c r="M644" s="6">
        <v>0.1</v>
      </c>
      <c r="N644" s="6">
        <v>0.1</v>
      </c>
      <c r="O644" s="6">
        <v>0.1</v>
      </c>
      <c r="P644" s="6">
        <v>0.1</v>
      </c>
      <c r="Q644" s="6">
        <v>0.1</v>
      </c>
    </row>
    <row r="645" spans="1:17">
      <c r="A645" s="2">
        <v>2593</v>
      </c>
      <c r="B645" s="6">
        <v>0.1</v>
      </c>
      <c r="C645" s="6">
        <v>0.1</v>
      </c>
      <c r="D645" s="6">
        <v>0.1</v>
      </c>
      <c r="E645" s="6">
        <v>0.1</v>
      </c>
      <c r="F645" s="6">
        <v>0.1</v>
      </c>
      <c r="G645" s="6">
        <v>0.1</v>
      </c>
      <c r="H645" s="6">
        <v>0.1</v>
      </c>
      <c r="I645" s="6">
        <v>0.1</v>
      </c>
      <c r="J645" s="6">
        <v>0.1</v>
      </c>
      <c r="K645" s="6">
        <v>0.1</v>
      </c>
      <c r="L645" s="6">
        <v>0.1</v>
      </c>
      <c r="M645" s="6">
        <v>0.1</v>
      </c>
      <c r="N645" s="6">
        <v>0.1</v>
      </c>
      <c r="O645" s="6">
        <v>0.1</v>
      </c>
      <c r="P645" s="6">
        <v>0.1</v>
      </c>
      <c r="Q645" s="6">
        <v>0.1</v>
      </c>
    </row>
    <row r="646" spans="1:17">
      <c r="A646" s="2">
        <v>2594</v>
      </c>
      <c r="B646" s="6">
        <v>0.1</v>
      </c>
      <c r="C646" s="6">
        <v>0.1</v>
      </c>
      <c r="D646" s="6">
        <v>0.1</v>
      </c>
      <c r="E646" s="6">
        <v>0.1</v>
      </c>
      <c r="F646" s="6">
        <v>0.1</v>
      </c>
      <c r="G646" s="6">
        <v>0.1</v>
      </c>
      <c r="H646" s="6">
        <v>0.1</v>
      </c>
      <c r="I646" s="6">
        <v>0.1</v>
      </c>
      <c r="J646" s="6">
        <v>0.1</v>
      </c>
      <c r="K646" s="6">
        <v>0.1</v>
      </c>
      <c r="L646" s="6">
        <v>0.1</v>
      </c>
      <c r="M646" s="6">
        <v>0.1</v>
      </c>
      <c r="N646" s="6">
        <v>0.1</v>
      </c>
      <c r="O646" s="6">
        <v>0.1</v>
      </c>
      <c r="P646" s="6">
        <v>0.1</v>
      </c>
      <c r="Q646" s="6">
        <v>0.1</v>
      </c>
    </row>
    <row r="647" spans="1:17">
      <c r="A647" s="2">
        <v>2595</v>
      </c>
      <c r="B647" s="6">
        <v>0.1</v>
      </c>
      <c r="C647" s="6">
        <v>0.1</v>
      </c>
      <c r="D647" s="6">
        <v>0.1</v>
      </c>
      <c r="E647" s="6">
        <v>0.1</v>
      </c>
      <c r="F647" s="6">
        <v>0.1</v>
      </c>
      <c r="G647" s="6">
        <v>0.1</v>
      </c>
      <c r="H647" s="6">
        <v>0.1</v>
      </c>
      <c r="I647" s="6">
        <v>0.1</v>
      </c>
      <c r="J647" s="6">
        <v>0.1</v>
      </c>
      <c r="K647" s="6">
        <v>0.1</v>
      </c>
      <c r="L647" s="6">
        <v>0.1</v>
      </c>
      <c r="M647" s="6">
        <v>0.1</v>
      </c>
      <c r="N647" s="6">
        <v>0.1</v>
      </c>
      <c r="O647" s="6">
        <v>0.1</v>
      </c>
      <c r="P647" s="6">
        <v>0.1</v>
      </c>
      <c r="Q647" s="6">
        <v>0.1</v>
      </c>
    </row>
    <row r="648" spans="1:17">
      <c r="A648" s="2">
        <v>2596</v>
      </c>
      <c r="B648" s="6">
        <v>0.1</v>
      </c>
      <c r="C648" s="6">
        <v>0.1</v>
      </c>
      <c r="D648" s="6">
        <v>0.1</v>
      </c>
      <c r="E648" s="6">
        <v>0.1</v>
      </c>
      <c r="F648" s="6">
        <v>0.1</v>
      </c>
      <c r="G648" s="6">
        <v>0.1</v>
      </c>
      <c r="H648" s="6">
        <v>0.1</v>
      </c>
      <c r="I648" s="6">
        <v>0.1</v>
      </c>
      <c r="J648" s="6">
        <v>0.1</v>
      </c>
      <c r="K648" s="6">
        <v>0.1</v>
      </c>
      <c r="L648" s="6">
        <v>0.1</v>
      </c>
      <c r="M648" s="6">
        <v>0.1</v>
      </c>
      <c r="N648" s="6">
        <v>0.1</v>
      </c>
      <c r="O648" s="6">
        <v>0.1</v>
      </c>
      <c r="P648" s="6">
        <v>0.1</v>
      </c>
      <c r="Q648" s="6">
        <v>0.1</v>
      </c>
    </row>
    <row r="649" spans="1:17">
      <c r="A649" s="2">
        <v>2597</v>
      </c>
      <c r="B649" s="6">
        <v>0.1</v>
      </c>
      <c r="C649" s="6">
        <v>0.1</v>
      </c>
      <c r="D649" s="6">
        <v>0.1</v>
      </c>
      <c r="E649" s="6">
        <v>0.1</v>
      </c>
      <c r="F649" s="6">
        <v>0.1</v>
      </c>
      <c r="G649" s="6">
        <v>0.1</v>
      </c>
      <c r="H649" s="6">
        <v>0.1</v>
      </c>
      <c r="I649" s="6">
        <v>0.1</v>
      </c>
      <c r="J649" s="6">
        <v>0.1</v>
      </c>
      <c r="K649" s="6">
        <v>0.1</v>
      </c>
      <c r="L649" s="6">
        <v>0.1</v>
      </c>
      <c r="M649" s="6">
        <v>0.1</v>
      </c>
      <c r="N649" s="6">
        <v>0.1</v>
      </c>
      <c r="O649" s="6">
        <v>0.1</v>
      </c>
      <c r="P649" s="6">
        <v>0.1</v>
      </c>
      <c r="Q649" s="6">
        <v>0.1</v>
      </c>
    </row>
    <row r="650" spans="1:17">
      <c r="A650" s="2">
        <v>2598</v>
      </c>
      <c r="B650" s="6">
        <v>0.1</v>
      </c>
      <c r="C650" s="6">
        <v>0.1</v>
      </c>
      <c r="D650" s="6">
        <v>0.1</v>
      </c>
      <c r="E650" s="6">
        <v>0.1</v>
      </c>
      <c r="F650" s="6">
        <v>0.1</v>
      </c>
      <c r="G650" s="6">
        <v>0.1</v>
      </c>
      <c r="H650" s="6">
        <v>0.1</v>
      </c>
      <c r="I650" s="6">
        <v>0.1</v>
      </c>
      <c r="J650" s="6">
        <v>0.1</v>
      </c>
      <c r="K650" s="6">
        <v>0.1</v>
      </c>
      <c r="L650" s="6">
        <v>0.1</v>
      </c>
      <c r="M650" s="6">
        <v>0.1</v>
      </c>
      <c r="N650" s="6">
        <v>0.1</v>
      </c>
      <c r="O650" s="6">
        <v>0.1</v>
      </c>
      <c r="P650" s="6">
        <v>0.1</v>
      </c>
      <c r="Q650" s="6">
        <v>0.1</v>
      </c>
    </row>
    <row r="651" spans="1:17">
      <c r="A651" s="2">
        <v>2599</v>
      </c>
      <c r="B651" s="6">
        <v>0.1</v>
      </c>
      <c r="C651" s="6">
        <v>0.1</v>
      </c>
      <c r="D651" s="6">
        <v>0.1</v>
      </c>
      <c r="E651" s="6">
        <v>0.1</v>
      </c>
      <c r="F651" s="6">
        <v>0.1</v>
      </c>
      <c r="G651" s="6">
        <v>0.1</v>
      </c>
      <c r="H651" s="6">
        <v>0.1</v>
      </c>
      <c r="I651" s="6">
        <v>0.1</v>
      </c>
      <c r="J651" s="6">
        <v>0.1</v>
      </c>
      <c r="K651" s="6">
        <v>0.1</v>
      </c>
      <c r="L651" s="6">
        <v>0.1</v>
      </c>
      <c r="M651" s="6">
        <v>0.1</v>
      </c>
      <c r="N651" s="6">
        <v>0.1</v>
      </c>
      <c r="O651" s="6">
        <v>0.1</v>
      </c>
      <c r="P651" s="6">
        <v>0.1</v>
      </c>
      <c r="Q651" s="6">
        <v>0.1</v>
      </c>
    </row>
    <row r="652" spans="1:17">
      <c r="A652" s="2">
        <v>2600</v>
      </c>
      <c r="B652" s="6">
        <v>0.1</v>
      </c>
      <c r="C652" s="6">
        <v>0.1</v>
      </c>
      <c r="D652" s="6">
        <v>0.1</v>
      </c>
      <c r="E652" s="6">
        <v>0.1</v>
      </c>
      <c r="F652" s="6">
        <v>0.1</v>
      </c>
      <c r="G652" s="6">
        <v>0.1</v>
      </c>
      <c r="H652" s="6">
        <v>0.1</v>
      </c>
      <c r="I652" s="6">
        <v>0.1</v>
      </c>
      <c r="J652" s="6">
        <v>0.1</v>
      </c>
      <c r="K652" s="6">
        <v>0.1</v>
      </c>
      <c r="L652" s="6">
        <v>0.1</v>
      </c>
      <c r="M652" s="6">
        <v>0.1</v>
      </c>
      <c r="N652" s="6">
        <v>0.1</v>
      </c>
      <c r="O652" s="6">
        <v>0.1</v>
      </c>
      <c r="P652" s="6">
        <v>0.1</v>
      </c>
      <c r="Q652" s="6">
        <v>0.1</v>
      </c>
    </row>
    <row r="653" spans="1:17">
      <c r="A653" s="2">
        <v>2601</v>
      </c>
      <c r="B653" s="6">
        <v>0.1</v>
      </c>
      <c r="C653" s="6">
        <v>0.1</v>
      </c>
      <c r="D653" s="6">
        <v>0.1</v>
      </c>
      <c r="E653" s="6">
        <v>0.1</v>
      </c>
      <c r="F653" s="6">
        <v>0.1</v>
      </c>
      <c r="G653" s="6">
        <v>0.1</v>
      </c>
      <c r="H653" s="6">
        <v>0.1</v>
      </c>
      <c r="I653" s="6">
        <v>0.1</v>
      </c>
      <c r="J653" s="6">
        <v>0.1</v>
      </c>
      <c r="K653" s="6">
        <v>0.1</v>
      </c>
      <c r="L653" s="6">
        <v>0.1</v>
      </c>
      <c r="M653" s="6">
        <v>0.1</v>
      </c>
      <c r="N653" s="6">
        <v>0.1</v>
      </c>
      <c r="O653" s="6">
        <v>0.1</v>
      </c>
      <c r="P653" s="6">
        <v>0.1</v>
      </c>
      <c r="Q653" s="6">
        <v>0.1</v>
      </c>
    </row>
    <row r="654" spans="1:17">
      <c r="A654" s="2">
        <v>2602</v>
      </c>
      <c r="B654" s="6">
        <v>0.1</v>
      </c>
      <c r="C654" s="6">
        <v>0.1</v>
      </c>
      <c r="D654" s="6">
        <v>0.1</v>
      </c>
      <c r="E654" s="6">
        <v>0.1</v>
      </c>
      <c r="F654" s="6">
        <v>0.1</v>
      </c>
      <c r="G654" s="6">
        <v>0.1</v>
      </c>
      <c r="H654" s="6">
        <v>0.1</v>
      </c>
      <c r="I654" s="6">
        <v>0.1</v>
      </c>
      <c r="J654" s="6">
        <v>0.1</v>
      </c>
      <c r="K654" s="6">
        <v>0.1</v>
      </c>
      <c r="L654" s="6">
        <v>0.1</v>
      </c>
      <c r="M654" s="6">
        <v>0.1</v>
      </c>
      <c r="N654" s="6">
        <v>0.1</v>
      </c>
      <c r="O654" s="6">
        <v>0.1</v>
      </c>
      <c r="P654" s="6">
        <v>0.1</v>
      </c>
      <c r="Q654" s="6">
        <v>0.1</v>
      </c>
    </row>
    <row r="655" spans="1:17">
      <c r="A655" s="2">
        <v>2603</v>
      </c>
      <c r="B655" s="6">
        <v>0.1</v>
      </c>
      <c r="C655" s="6">
        <v>0.1</v>
      </c>
      <c r="D655" s="6">
        <v>0.1</v>
      </c>
      <c r="E655" s="6">
        <v>0.1</v>
      </c>
      <c r="F655" s="6">
        <v>0.1</v>
      </c>
      <c r="G655" s="6">
        <v>0.1</v>
      </c>
      <c r="H655" s="6">
        <v>0.1</v>
      </c>
      <c r="I655" s="6">
        <v>0.1</v>
      </c>
      <c r="J655" s="6">
        <v>0.1</v>
      </c>
      <c r="K655" s="6">
        <v>0.1</v>
      </c>
      <c r="L655" s="6">
        <v>0.1</v>
      </c>
      <c r="M655" s="6">
        <v>0.1</v>
      </c>
      <c r="N655" s="6">
        <v>0.1</v>
      </c>
      <c r="O655" s="6">
        <v>0.1</v>
      </c>
      <c r="P655" s="6">
        <v>0.1</v>
      </c>
      <c r="Q655" s="6">
        <v>0.1</v>
      </c>
    </row>
    <row r="656" spans="1:17">
      <c r="A656" s="2">
        <v>2604</v>
      </c>
      <c r="B656" s="6">
        <v>0.1</v>
      </c>
      <c r="C656" s="6">
        <v>0.1</v>
      </c>
      <c r="D656" s="6">
        <v>0.1</v>
      </c>
      <c r="E656" s="6">
        <v>0.1</v>
      </c>
      <c r="F656" s="6">
        <v>0.1</v>
      </c>
      <c r="G656" s="6">
        <v>0.1</v>
      </c>
      <c r="H656" s="6">
        <v>0.1</v>
      </c>
      <c r="I656" s="6">
        <v>0.1</v>
      </c>
      <c r="J656" s="6">
        <v>0.1</v>
      </c>
      <c r="K656" s="6">
        <v>0.1</v>
      </c>
      <c r="L656" s="6">
        <v>0.1</v>
      </c>
      <c r="M656" s="6">
        <v>0.1</v>
      </c>
      <c r="N656" s="6">
        <v>0.1</v>
      </c>
      <c r="O656" s="6">
        <v>0.1</v>
      </c>
      <c r="P656" s="6">
        <v>0.1</v>
      </c>
      <c r="Q656" s="6">
        <v>0.1</v>
      </c>
    </row>
    <row r="657" spans="1:17">
      <c r="A657" s="2">
        <v>2605</v>
      </c>
      <c r="B657" s="6">
        <v>0.1</v>
      </c>
      <c r="C657" s="6">
        <v>0.1</v>
      </c>
      <c r="D657" s="6">
        <v>0.1</v>
      </c>
      <c r="E657" s="6">
        <v>0.1</v>
      </c>
      <c r="F657" s="6">
        <v>0.1</v>
      </c>
      <c r="G657" s="6">
        <v>0.1</v>
      </c>
      <c r="H657" s="6">
        <v>0.1</v>
      </c>
      <c r="I657" s="6">
        <v>0.1</v>
      </c>
      <c r="J657" s="6">
        <v>0.1</v>
      </c>
      <c r="K657" s="6">
        <v>0.1</v>
      </c>
      <c r="L657" s="6">
        <v>0.1</v>
      </c>
      <c r="M657" s="6">
        <v>0.1</v>
      </c>
      <c r="N657" s="6">
        <v>0.1</v>
      </c>
      <c r="O657" s="6">
        <v>0.1</v>
      </c>
      <c r="P657" s="6">
        <v>0.1</v>
      </c>
      <c r="Q657" s="6">
        <v>0.1</v>
      </c>
    </row>
    <row r="658" spans="1:17">
      <c r="A658" s="2">
        <v>2606</v>
      </c>
      <c r="B658" s="6">
        <v>0.1</v>
      </c>
      <c r="C658" s="6">
        <v>0.1</v>
      </c>
      <c r="D658" s="6">
        <v>0.1</v>
      </c>
      <c r="E658" s="6">
        <v>0.1</v>
      </c>
      <c r="F658" s="6">
        <v>0.1</v>
      </c>
      <c r="G658" s="6">
        <v>0.1</v>
      </c>
      <c r="H658" s="6">
        <v>0.1</v>
      </c>
      <c r="I658" s="6">
        <v>0.1</v>
      </c>
      <c r="J658" s="6">
        <v>0.1</v>
      </c>
      <c r="K658" s="6">
        <v>0.1</v>
      </c>
      <c r="L658" s="6">
        <v>0.1</v>
      </c>
      <c r="M658" s="6">
        <v>0.1</v>
      </c>
      <c r="N658" s="6">
        <v>0.1</v>
      </c>
      <c r="O658" s="6">
        <v>0.1</v>
      </c>
      <c r="P658" s="6">
        <v>0.1</v>
      </c>
      <c r="Q658" s="6">
        <v>0.1</v>
      </c>
    </row>
    <row r="659" spans="1:17">
      <c r="A659" s="2">
        <v>2607</v>
      </c>
      <c r="B659" s="6">
        <v>0.1</v>
      </c>
      <c r="C659" s="6">
        <v>0.1</v>
      </c>
      <c r="D659" s="6">
        <v>0.1</v>
      </c>
      <c r="E659" s="6">
        <v>0.1</v>
      </c>
      <c r="F659" s="6">
        <v>0.1</v>
      </c>
      <c r="G659" s="6">
        <v>0.1</v>
      </c>
      <c r="H659" s="6">
        <v>0.1</v>
      </c>
      <c r="I659" s="6">
        <v>0.1</v>
      </c>
      <c r="J659" s="6">
        <v>0.1</v>
      </c>
      <c r="K659" s="6">
        <v>0.1</v>
      </c>
      <c r="L659" s="6">
        <v>0.1</v>
      </c>
      <c r="M659" s="6">
        <v>0.1</v>
      </c>
      <c r="N659" s="6">
        <v>0.1</v>
      </c>
      <c r="O659" s="6">
        <v>0.1</v>
      </c>
      <c r="P659" s="6">
        <v>0.1</v>
      </c>
      <c r="Q659" s="6">
        <v>0.1</v>
      </c>
    </row>
    <row r="660" spans="1:17">
      <c r="A660" s="2">
        <v>2608</v>
      </c>
      <c r="B660" s="6">
        <v>0.1</v>
      </c>
      <c r="C660" s="6">
        <v>0.1</v>
      </c>
      <c r="D660" s="6">
        <v>0.1</v>
      </c>
      <c r="E660" s="6">
        <v>0.1</v>
      </c>
      <c r="F660" s="6">
        <v>0.1</v>
      </c>
      <c r="G660" s="6">
        <v>0.1</v>
      </c>
      <c r="H660" s="6">
        <v>0.1</v>
      </c>
      <c r="I660" s="6">
        <v>0.1</v>
      </c>
      <c r="J660" s="6">
        <v>0.1</v>
      </c>
      <c r="K660" s="6">
        <v>0.1</v>
      </c>
      <c r="L660" s="6">
        <v>0.1</v>
      </c>
      <c r="M660" s="6">
        <v>0.1</v>
      </c>
      <c r="N660" s="6">
        <v>0.1</v>
      </c>
      <c r="O660" s="6">
        <v>0.1</v>
      </c>
      <c r="P660" s="6">
        <v>0.1</v>
      </c>
      <c r="Q660" s="6">
        <v>0.1</v>
      </c>
    </row>
    <row r="661" spans="1:17">
      <c r="A661" s="2">
        <v>2609</v>
      </c>
      <c r="B661" s="6">
        <v>0.1</v>
      </c>
      <c r="C661" s="6">
        <v>0.1</v>
      </c>
      <c r="D661" s="6">
        <v>0.1</v>
      </c>
      <c r="E661" s="6">
        <v>0.1</v>
      </c>
      <c r="F661" s="6">
        <v>0.1</v>
      </c>
      <c r="G661" s="6">
        <v>0.1</v>
      </c>
      <c r="H661" s="6">
        <v>0.1</v>
      </c>
      <c r="I661" s="6">
        <v>0.1</v>
      </c>
      <c r="J661" s="6">
        <v>0.1</v>
      </c>
      <c r="K661" s="6">
        <v>0.1</v>
      </c>
      <c r="L661" s="6">
        <v>0.1</v>
      </c>
      <c r="M661" s="6">
        <v>0.1</v>
      </c>
      <c r="N661" s="6">
        <v>0.1</v>
      </c>
      <c r="O661" s="6">
        <v>0.1</v>
      </c>
      <c r="P661" s="6">
        <v>0.1</v>
      </c>
      <c r="Q661" s="6">
        <v>0.1</v>
      </c>
    </row>
    <row r="662" spans="1:17">
      <c r="A662" s="2">
        <v>2610</v>
      </c>
      <c r="B662" s="6">
        <v>0.1</v>
      </c>
      <c r="C662" s="6">
        <v>0.1</v>
      </c>
      <c r="D662" s="6">
        <v>0.1</v>
      </c>
      <c r="E662" s="6">
        <v>0.1</v>
      </c>
      <c r="F662" s="6">
        <v>0.1</v>
      </c>
      <c r="G662" s="6">
        <v>0.1</v>
      </c>
      <c r="H662" s="6">
        <v>0.1</v>
      </c>
      <c r="I662" s="6">
        <v>0.1</v>
      </c>
      <c r="J662" s="6">
        <v>0.1</v>
      </c>
      <c r="K662" s="6">
        <v>0.1</v>
      </c>
      <c r="L662" s="6">
        <v>0.1</v>
      </c>
      <c r="M662" s="6">
        <v>0.1</v>
      </c>
      <c r="N662" s="6">
        <v>0.1</v>
      </c>
      <c r="O662" s="6">
        <v>0.1</v>
      </c>
      <c r="P662" s="6">
        <v>0.1</v>
      </c>
      <c r="Q662" s="6">
        <v>0.1</v>
      </c>
    </row>
    <row r="663" spans="1:17">
      <c r="A663" s="2">
        <v>2611</v>
      </c>
      <c r="B663" s="6">
        <v>0.1</v>
      </c>
      <c r="C663" s="6">
        <v>0.1</v>
      </c>
      <c r="D663" s="6">
        <v>0.1</v>
      </c>
      <c r="E663" s="6">
        <v>0.1</v>
      </c>
      <c r="F663" s="6">
        <v>0.1</v>
      </c>
      <c r="G663" s="6">
        <v>0.1</v>
      </c>
      <c r="H663" s="6">
        <v>0.1</v>
      </c>
      <c r="I663" s="6">
        <v>0.1</v>
      </c>
      <c r="J663" s="6">
        <v>0.1</v>
      </c>
      <c r="K663" s="6">
        <v>0.1</v>
      </c>
      <c r="L663" s="6">
        <v>0.1</v>
      </c>
      <c r="M663" s="6">
        <v>0.1</v>
      </c>
      <c r="N663" s="6">
        <v>0.1</v>
      </c>
      <c r="O663" s="6">
        <v>0.1</v>
      </c>
      <c r="P663" s="6">
        <v>0.1</v>
      </c>
      <c r="Q663" s="6">
        <v>0.1</v>
      </c>
    </row>
    <row r="664" spans="1:17">
      <c r="A664" s="2">
        <v>2612</v>
      </c>
      <c r="B664" s="6">
        <v>0.1</v>
      </c>
      <c r="C664" s="6">
        <v>0.1</v>
      </c>
      <c r="D664" s="6">
        <v>0.1</v>
      </c>
      <c r="E664" s="6">
        <v>0.1</v>
      </c>
      <c r="F664" s="6">
        <v>0.1</v>
      </c>
      <c r="G664" s="6">
        <v>0.1</v>
      </c>
      <c r="H664" s="6">
        <v>0.1</v>
      </c>
      <c r="I664" s="6">
        <v>0.1</v>
      </c>
      <c r="J664" s="6">
        <v>0.1</v>
      </c>
      <c r="K664" s="6">
        <v>0.1</v>
      </c>
      <c r="L664" s="6">
        <v>0.1</v>
      </c>
      <c r="M664" s="6">
        <v>0.1</v>
      </c>
      <c r="N664" s="6">
        <v>0.1</v>
      </c>
      <c r="O664" s="6">
        <v>0.1</v>
      </c>
      <c r="P664" s="6">
        <v>0.1</v>
      </c>
      <c r="Q664" s="6">
        <v>0.1</v>
      </c>
    </row>
    <row r="665" spans="1:17">
      <c r="A665" s="2">
        <v>2613</v>
      </c>
      <c r="B665" s="6">
        <v>0.1</v>
      </c>
      <c r="C665" s="6">
        <v>0.1</v>
      </c>
      <c r="D665" s="6">
        <v>0.1</v>
      </c>
      <c r="E665" s="6">
        <v>0.1</v>
      </c>
      <c r="F665" s="6">
        <v>0.1</v>
      </c>
      <c r="G665" s="6">
        <v>0.1</v>
      </c>
      <c r="H665" s="6">
        <v>0.1</v>
      </c>
      <c r="I665" s="6">
        <v>0.1</v>
      </c>
      <c r="J665" s="6">
        <v>0.1</v>
      </c>
      <c r="K665" s="6">
        <v>0.1</v>
      </c>
      <c r="L665" s="6">
        <v>0.1</v>
      </c>
      <c r="M665" s="6">
        <v>0.1</v>
      </c>
      <c r="N665" s="6">
        <v>0.1</v>
      </c>
      <c r="O665" s="6">
        <v>0.1</v>
      </c>
      <c r="P665" s="6">
        <v>0.1</v>
      </c>
      <c r="Q665" s="6">
        <v>0.1</v>
      </c>
    </row>
    <row r="666" spans="1:17">
      <c r="A666" s="2">
        <v>2614</v>
      </c>
      <c r="B666" s="6">
        <v>0.1</v>
      </c>
      <c r="C666" s="6">
        <v>0.1</v>
      </c>
      <c r="D666" s="6">
        <v>0.1</v>
      </c>
      <c r="E666" s="6">
        <v>0.1</v>
      </c>
      <c r="F666" s="6">
        <v>0.1</v>
      </c>
      <c r="G666" s="6">
        <v>0.1</v>
      </c>
      <c r="H666" s="6">
        <v>0.1</v>
      </c>
      <c r="I666" s="6">
        <v>0.1</v>
      </c>
      <c r="J666" s="6">
        <v>0.1</v>
      </c>
      <c r="K666" s="6">
        <v>0.1</v>
      </c>
      <c r="L666" s="6">
        <v>0.1</v>
      </c>
      <c r="M666" s="6">
        <v>0.1</v>
      </c>
      <c r="N666" s="6">
        <v>0.1</v>
      </c>
      <c r="O666" s="6">
        <v>0.1</v>
      </c>
      <c r="P666" s="6">
        <v>0.1</v>
      </c>
      <c r="Q666" s="6">
        <v>0.1</v>
      </c>
    </row>
    <row r="667" spans="1:17">
      <c r="A667" s="2">
        <v>2615</v>
      </c>
      <c r="B667" s="6">
        <v>0.1</v>
      </c>
      <c r="C667" s="6">
        <v>0.1</v>
      </c>
      <c r="D667" s="6">
        <v>0.1</v>
      </c>
      <c r="E667" s="6">
        <v>0.1</v>
      </c>
      <c r="F667" s="6">
        <v>0.1</v>
      </c>
      <c r="G667" s="6">
        <v>0.1</v>
      </c>
      <c r="H667" s="6">
        <v>0.1</v>
      </c>
      <c r="I667" s="6">
        <v>0.1</v>
      </c>
      <c r="J667" s="6">
        <v>0.1</v>
      </c>
      <c r="K667" s="6">
        <v>0.1</v>
      </c>
      <c r="L667" s="6">
        <v>0.1</v>
      </c>
      <c r="M667" s="6">
        <v>0.1</v>
      </c>
      <c r="N667" s="6">
        <v>0.1</v>
      </c>
      <c r="O667" s="6">
        <v>0.1</v>
      </c>
      <c r="P667" s="6">
        <v>0.1</v>
      </c>
      <c r="Q667" s="6">
        <v>0.1</v>
      </c>
    </row>
    <row r="668" spans="1:17">
      <c r="A668" s="2">
        <v>2616</v>
      </c>
      <c r="B668" s="6">
        <v>0.1</v>
      </c>
      <c r="C668" s="6">
        <v>0.1</v>
      </c>
      <c r="D668" s="6">
        <v>0.1</v>
      </c>
      <c r="E668" s="6">
        <v>0.1</v>
      </c>
      <c r="F668" s="6">
        <v>0.1</v>
      </c>
      <c r="G668" s="6">
        <v>0.1</v>
      </c>
      <c r="H668" s="6">
        <v>0.1</v>
      </c>
      <c r="I668" s="6">
        <v>0.1</v>
      </c>
      <c r="J668" s="6">
        <v>0.1</v>
      </c>
      <c r="K668" s="6">
        <v>0.1</v>
      </c>
      <c r="L668" s="6">
        <v>0.1</v>
      </c>
      <c r="M668" s="6">
        <v>0.1</v>
      </c>
      <c r="N668" s="6">
        <v>0.1</v>
      </c>
      <c r="O668" s="6">
        <v>0.1</v>
      </c>
      <c r="P668" s="6">
        <v>0.1</v>
      </c>
      <c r="Q668" s="6">
        <v>0.1</v>
      </c>
    </row>
    <row r="669" spans="1:17">
      <c r="A669" s="2">
        <v>2617</v>
      </c>
      <c r="B669" s="6">
        <v>0.1</v>
      </c>
      <c r="C669" s="6">
        <v>0.1</v>
      </c>
      <c r="D669" s="6">
        <v>0.1</v>
      </c>
      <c r="E669" s="6">
        <v>0.1</v>
      </c>
      <c r="F669" s="6">
        <v>0.1</v>
      </c>
      <c r="G669" s="6">
        <v>0.1</v>
      </c>
      <c r="H669" s="6">
        <v>0.1</v>
      </c>
      <c r="I669" s="6">
        <v>0.1</v>
      </c>
      <c r="J669" s="6">
        <v>0.1</v>
      </c>
      <c r="K669" s="6">
        <v>0.1</v>
      </c>
      <c r="L669" s="6">
        <v>0.1</v>
      </c>
      <c r="M669" s="6">
        <v>0.1</v>
      </c>
      <c r="N669" s="6">
        <v>0.1</v>
      </c>
      <c r="O669" s="6">
        <v>0.1</v>
      </c>
      <c r="P669" s="6">
        <v>0.1</v>
      </c>
      <c r="Q669" s="6">
        <v>0.1</v>
      </c>
    </row>
    <row r="670" spans="1:17">
      <c r="A670" s="2">
        <v>2618</v>
      </c>
      <c r="B670" s="6">
        <v>0.1</v>
      </c>
      <c r="C670" s="6">
        <v>0.1</v>
      </c>
      <c r="D670" s="6">
        <v>0.1</v>
      </c>
      <c r="E670" s="6">
        <v>0.1</v>
      </c>
      <c r="F670" s="6">
        <v>0.1</v>
      </c>
      <c r="G670" s="6">
        <v>0.1</v>
      </c>
      <c r="H670" s="6">
        <v>0.1</v>
      </c>
      <c r="I670" s="6">
        <v>0.1</v>
      </c>
      <c r="J670" s="6">
        <v>0.1</v>
      </c>
      <c r="K670" s="6">
        <v>0.1</v>
      </c>
      <c r="L670" s="6">
        <v>0.1</v>
      </c>
      <c r="M670" s="6">
        <v>0.1</v>
      </c>
      <c r="N670" s="6">
        <v>0.1</v>
      </c>
      <c r="O670" s="6">
        <v>0.1</v>
      </c>
      <c r="P670" s="6">
        <v>0.1</v>
      </c>
      <c r="Q670" s="6">
        <v>0.1</v>
      </c>
    </row>
    <row r="671" spans="1:17">
      <c r="A671" s="2">
        <v>2619</v>
      </c>
      <c r="B671" s="6">
        <v>0.1</v>
      </c>
      <c r="C671" s="6">
        <v>0.1</v>
      </c>
      <c r="D671" s="6">
        <v>0.1</v>
      </c>
      <c r="E671" s="6">
        <v>0.1</v>
      </c>
      <c r="F671" s="6">
        <v>0.1</v>
      </c>
      <c r="G671" s="6">
        <v>0.1</v>
      </c>
      <c r="H671" s="6">
        <v>0.1</v>
      </c>
      <c r="I671" s="6">
        <v>0.1</v>
      </c>
      <c r="J671" s="6">
        <v>0.1</v>
      </c>
      <c r="K671" s="6">
        <v>0.1</v>
      </c>
      <c r="L671" s="6">
        <v>0.1</v>
      </c>
      <c r="M671" s="6">
        <v>0.1</v>
      </c>
      <c r="N671" s="6">
        <v>0.1</v>
      </c>
      <c r="O671" s="6">
        <v>0.1</v>
      </c>
      <c r="P671" s="6">
        <v>0.1</v>
      </c>
      <c r="Q671" s="6">
        <v>0.1</v>
      </c>
    </row>
    <row r="672" spans="1:17">
      <c r="A672" s="2">
        <v>2620</v>
      </c>
      <c r="B672" s="6">
        <v>0.1</v>
      </c>
      <c r="C672" s="6">
        <v>0.1</v>
      </c>
      <c r="D672" s="6">
        <v>0.1</v>
      </c>
      <c r="E672" s="6">
        <v>0.1</v>
      </c>
      <c r="F672" s="6">
        <v>0.1</v>
      </c>
      <c r="G672" s="6">
        <v>0.1</v>
      </c>
      <c r="H672" s="6">
        <v>0.1</v>
      </c>
      <c r="I672" s="6">
        <v>0.1</v>
      </c>
      <c r="J672" s="6">
        <v>0.1</v>
      </c>
      <c r="K672" s="6">
        <v>0.1</v>
      </c>
      <c r="L672" s="6">
        <v>0.1</v>
      </c>
      <c r="M672" s="6">
        <v>0.1</v>
      </c>
      <c r="N672" s="6">
        <v>0.1</v>
      </c>
      <c r="O672" s="6">
        <v>0.1</v>
      </c>
      <c r="P672" s="6">
        <v>0.1</v>
      </c>
      <c r="Q672" s="6">
        <v>0.1</v>
      </c>
    </row>
    <row r="673" spans="1:17">
      <c r="A673" s="2">
        <v>2621</v>
      </c>
      <c r="B673" s="6">
        <v>0.1</v>
      </c>
      <c r="C673" s="6">
        <v>0.1</v>
      </c>
      <c r="D673" s="6">
        <v>0.1</v>
      </c>
      <c r="E673" s="6">
        <v>0.1</v>
      </c>
      <c r="F673" s="6">
        <v>0.1</v>
      </c>
      <c r="G673" s="6">
        <v>0.1</v>
      </c>
      <c r="H673" s="6">
        <v>0.1</v>
      </c>
      <c r="I673" s="6">
        <v>0.1</v>
      </c>
      <c r="J673" s="6">
        <v>0.1</v>
      </c>
      <c r="K673" s="6">
        <v>0.1</v>
      </c>
      <c r="L673" s="6">
        <v>0.1</v>
      </c>
      <c r="M673" s="6">
        <v>0.1</v>
      </c>
      <c r="N673" s="6">
        <v>0.1</v>
      </c>
      <c r="O673" s="6">
        <v>0.1</v>
      </c>
      <c r="P673" s="6">
        <v>0.1</v>
      </c>
      <c r="Q673" s="6">
        <v>0.1</v>
      </c>
    </row>
    <row r="674" spans="1:17">
      <c r="A674" s="2">
        <v>2622</v>
      </c>
      <c r="B674" s="6">
        <v>0.1</v>
      </c>
      <c r="C674" s="6">
        <v>0.1</v>
      </c>
      <c r="D674" s="6">
        <v>0.1</v>
      </c>
      <c r="E674" s="6">
        <v>0.1</v>
      </c>
      <c r="F674" s="6">
        <v>0.1</v>
      </c>
      <c r="G674" s="6">
        <v>0.1</v>
      </c>
      <c r="H674" s="6">
        <v>0.1</v>
      </c>
      <c r="I674" s="6">
        <v>0.1</v>
      </c>
      <c r="J674" s="6">
        <v>0.1</v>
      </c>
      <c r="K674" s="6">
        <v>0.1</v>
      </c>
      <c r="L674" s="6">
        <v>0.1</v>
      </c>
      <c r="M674" s="6">
        <v>0.1</v>
      </c>
      <c r="N674" s="6">
        <v>0.1</v>
      </c>
      <c r="O674" s="6">
        <v>0.1</v>
      </c>
      <c r="P674" s="6">
        <v>0.1</v>
      </c>
      <c r="Q674" s="6">
        <v>0.1</v>
      </c>
    </row>
    <row r="675" spans="1:17">
      <c r="A675" s="2">
        <v>2623</v>
      </c>
      <c r="B675" s="6">
        <v>0.1</v>
      </c>
      <c r="C675" s="6">
        <v>0.1</v>
      </c>
      <c r="D675" s="6">
        <v>0.1</v>
      </c>
      <c r="E675" s="6">
        <v>0.1</v>
      </c>
      <c r="F675" s="6">
        <v>0.1</v>
      </c>
      <c r="G675" s="6">
        <v>0.1</v>
      </c>
      <c r="H675" s="6">
        <v>0.1</v>
      </c>
      <c r="I675" s="6">
        <v>0.1</v>
      </c>
      <c r="J675" s="6">
        <v>0.1</v>
      </c>
      <c r="K675" s="6">
        <v>0.1</v>
      </c>
      <c r="L675" s="6">
        <v>0.1</v>
      </c>
      <c r="M675" s="6">
        <v>0.1</v>
      </c>
      <c r="N675" s="6">
        <v>0.1</v>
      </c>
      <c r="O675" s="6">
        <v>0.1</v>
      </c>
      <c r="P675" s="6">
        <v>0.1</v>
      </c>
      <c r="Q675" s="6">
        <v>0.1</v>
      </c>
    </row>
    <row r="676" spans="1:17">
      <c r="A676" s="2">
        <v>2624</v>
      </c>
      <c r="B676" s="6">
        <v>0.1</v>
      </c>
      <c r="C676" s="6">
        <v>0.1</v>
      </c>
      <c r="D676" s="6">
        <v>0.1</v>
      </c>
      <c r="E676" s="6">
        <v>0.1</v>
      </c>
      <c r="F676" s="6">
        <v>0.1</v>
      </c>
      <c r="G676" s="6">
        <v>0.1</v>
      </c>
      <c r="H676" s="6">
        <v>0.1</v>
      </c>
      <c r="I676" s="6">
        <v>0.1</v>
      </c>
      <c r="J676" s="6">
        <v>0.1</v>
      </c>
      <c r="K676" s="6">
        <v>0.1</v>
      </c>
      <c r="L676" s="6">
        <v>0.1</v>
      </c>
      <c r="M676" s="6">
        <v>0.1</v>
      </c>
      <c r="N676" s="6">
        <v>0.1</v>
      </c>
      <c r="O676" s="6">
        <v>0.1</v>
      </c>
      <c r="P676" s="6">
        <v>0.1</v>
      </c>
      <c r="Q676" s="6">
        <v>0.1</v>
      </c>
    </row>
    <row r="677" spans="1:17">
      <c r="A677" s="2">
        <v>2625</v>
      </c>
      <c r="B677" s="6">
        <v>0.1</v>
      </c>
      <c r="C677" s="6">
        <v>0.1</v>
      </c>
      <c r="D677" s="6">
        <v>0.1</v>
      </c>
      <c r="E677" s="6">
        <v>0.1</v>
      </c>
      <c r="F677" s="6">
        <v>0.1</v>
      </c>
      <c r="G677" s="6">
        <v>0.1</v>
      </c>
      <c r="H677" s="6">
        <v>0.1</v>
      </c>
      <c r="I677" s="6">
        <v>0.1</v>
      </c>
      <c r="J677" s="6">
        <v>0.1</v>
      </c>
      <c r="K677" s="6">
        <v>0.1</v>
      </c>
      <c r="L677" s="6">
        <v>0.1</v>
      </c>
      <c r="M677" s="6">
        <v>0.1</v>
      </c>
      <c r="N677" s="6">
        <v>0.1</v>
      </c>
      <c r="O677" s="6">
        <v>0.1</v>
      </c>
      <c r="P677" s="6">
        <v>0.1</v>
      </c>
      <c r="Q677" s="6">
        <v>0.1</v>
      </c>
    </row>
    <row r="678" spans="1:17">
      <c r="A678" s="2">
        <v>2626</v>
      </c>
      <c r="B678" s="6">
        <v>0.1</v>
      </c>
      <c r="C678" s="6">
        <v>0.1</v>
      </c>
      <c r="D678" s="6">
        <v>0.1</v>
      </c>
      <c r="E678" s="6">
        <v>0.1</v>
      </c>
      <c r="F678" s="6">
        <v>0.1</v>
      </c>
      <c r="G678" s="6">
        <v>0.1</v>
      </c>
      <c r="H678" s="6">
        <v>0.1</v>
      </c>
      <c r="I678" s="6">
        <v>0.1</v>
      </c>
      <c r="J678" s="6">
        <v>0.1</v>
      </c>
      <c r="K678" s="6">
        <v>0.1</v>
      </c>
      <c r="L678" s="6">
        <v>0.1</v>
      </c>
      <c r="M678" s="6">
        <v>0.1</v>
      </c>
      <c r="N678" s="6">
        <v>0.1</v>
      </c>
      <c r="O678" s="6">
        <v>0.1</v>
      </c>
      <c r="P678" s="6">
        <v>0.1</v>
      </c>
      <c r="Q678" s="6">
        <v>0.1</v>
      </c>
    </row>
    <row r="679" spans="1:17">
      <c r="A679" s="2">
        <v>2627</v>
      </c>
      <c r="B679" s="6">
        <v>0.1</v>
      </c>
      <c r="C679" s="6">
        <v>0.1</v>
      </c>
      <c r="D679" s="6">
        <v>0.1</v>
      </c>
      <c r="E679" s="6">
        <v>0.1</v>
      </c>
      <c r="F679" s="6">
        <v>0.1</v>
      </c>
      <c r="G679" s="6">
        <v>0.1</v>
      </c>
      <c r="H679" s="6">
        <v>0.1</v>
      </c>
      <c r="I679" s="6">
        <v>0.1</v>
      </c>
      <c r="J679" s="6">
        <v>0.1</v>
      </c>
      <c r="K679" s="6">
        <v>0.1</v>
      </c>
      <c r="L679" s="6">
        <v>0.1</v>
      </c>
      <c r="M679" s="6">
        <v>0.1</v>
      </c>
      <c r="N679" s="6">
        <v>0.1</v>
      </c>
      <c r="O679" s="6">
        <v>0.1</v>
      </c>
      <c r="P679" s="6">
        <v>0.1</v>
      </c>
      <c r="Q679" s="6">
        <v>0.1</v>
      </c>
    </row>
    <row r="680" spans="1:17">
      <c r="A680" s="2">
        <v>2628</v>
      </c>
      <c r="B680" s="6">
        <v>0.1</v>
      </c>
      <c r="C680" s="6">
        <v>0.1</v>
      </c>
      <c r="D680" s="6">
        <v>0.1</v>
      </c>
      <c r="E680" s="6">
        <v>0.1</v>
      </c>
      <c r="F680" s="6">
        <v>0.1</v>
      </c>
      <c r="G680" s="6">
        <v>0.1</v>
      </c>
      <c r="H680" s="6">
        <v>0.1</v>
      </c>
      <c r="I680" s="6">
        <v>0.1</v>
      </c>
      <c r="J680" s="6">
        <v>0.1</v>
      </c>
      <c r="K680" s="6">
        <v>0.1</v>
      </c>
      <c r="L680" s="6">
        <v>0.1</v>
      </c>
      <c r="M680" s="6">
        <v>0.1</v>
      </c>
      <c r="N680" s="6">
        <v>0.1</v>
      </c>
      <c r="O680" s="6">
        <v>0.1</v>
      </c>
      <c r="P680" s="6">
        <v>0.1</v>
      </c>
      <c r="Q680" s="6">
        <v>0.1</v>
      </c>
    </row>
    <row r="681" spans="1:17">
      <c r="A681" s="2">
        <v>2629</v>
      </c>
      <c r="B681" s="6">
        <v>0.1</v>
      </c>
      <c r="C681" s="6">
        <v>0.1</v>
      </c>
      <c r="D681" s="6">
        <v>0.1</v>
      </c>
      <c r="E681" s="6">
        <v>0.1</v>
      </c>
      <c r="F681" s="6">
        <v>0.1</v>
      </c>
      <c r="G681" s="6">
        <v>0.1</v>
      </c>
      <c r="H681" s="6">
        <v>0.1</v>
      </c>
      <c r="I681" s="6">
        <v>0.1</v>
      </c>
      <c r="J681" s="6">
        <v>0.1</v>
      </c>
      <c r="K681" s="6">
        <v>0.1</v>
      </c>
      <c r="L681" s="6">
        <v>0.1</v>
      </c>
      <c r="M681" s="6">
        <v>0.1</v>
      </c>
      <c r="N681" s="6">
        <v>0.1</v>
      </c>
      <c r="O681" s="6">
        <v>0.1</v>
      </c>
      <c r="P681" s="6">
        <v>0.1</v>
      </c>
      <c r="Q681" s="6">
        <v>0.1</v>
      </c>
    </row>
    <row r="682" spans="1:17">
      <c r="A682" s="2">
        <v>2630</v>
      </c>
      <c r="B682" s="6">
        <v>0.1</v>
      </c>
      <c r="C682" s="6">
        <v>0.1</v>
      </c>
      <c r="D682" s="6">
        <v>0.1</v>
      </c>
      <c r="E682" s="6">
        <v>0.1</v>
      </c>
      <c r="F682" s="6">
        <v>0.1</v>
      </c>
      <c r="G682" s="6">
        <v>0.1</v>
      </c>
      <c r="H682" s="6">
        <v>0.1</v>
      </c>
      <c r="I682" s="6">
        <v>0.1</v>
      </c>
      <c r="J682" s="6">
        <v>0.1</v>
      </c>
      <c r="K682" s="6">
        <v>0.1</v>
      </c>
      <c r="L682" s="6">
        <v>0.1</v>
      </c>
      <c r="M682" s="6">
        <v>0.1</v>
      </c>
      <c r="N682" s="6">
        <v>0.1</v>
      </c>
      <c r="O682" s="6">
        <v>0.1</v>
      </c>
      <c r="P682" s="6">
        <v>0.1</v>
      </c>
      <c r="Q682" s="6">
        <v>0.1</v>
      </c>
    </row>
    <row r="683" spans="1:17">
      <c r="A683" s="2">
        <v>2631</v>
      </c>
      <c r="B683" s="6">
        <v>0.1</v>
      </c>
      <c r="C683" s="6">
        <v>0.1</v>
      </c>
      <c r="D683" s="6">
        <v>0.1</v>
      </c>
      <c r="E683" s="6">
        <v>0.1</v>
      </c>
      <c r="F683" s="6">
        <v>0.1</v>
      </c>
      <c r="G683" s="6">
        <v>0.1</v>
      </c>
      <c r="H683" s="6">
        <v>0.1</v>
      </c>
      <c r="I683" s="6">
        <v>0.1</v>
      </c>
      <c r="J683" s="6">
        <v>0.1</v>
      </c>
      <c r="K683" s="6">
        <v>0.1</v>
      </c>
      <c r="L683" s="6">
        <v>0.1</v>
      </c>
      <c r="M683" s="6">
        <v>0.1</v>
      </c>
      <c r="N683" s="6">
        <v>0.1</v>
      </c>
      <c r="O683" s="6">
        <v>0.1</v>
      </c>
      <c r="P683" s="6">
        <v>0.1</v>
      </c>
      <c r="Q683" s="6">
        <v>0.1</v>
      </c>
    </row>
    <row r="684" spans="1:17">
      <c r="A684" s="2">
        <v>2632</v>
      </c>
      <c r="B684" s="6">
        <v>0.1</v>
      </c>
      <c r="C684" s="6">
        <v>0.1</v>
      </c>
      <c r="D684" s="6">
        <v>0.1</v>
      </c>
      <c r="E684" s="6">
        <v>0.1</v>
      </c>
      <c r="F684" s="6">
        <v>0.1</v>
      </c>
      <c r="G684" s="6">
        <v>0.1</v>
      </c>
      <c r="H684" s="6">
        <v>0.1</v>
      </c>
      <c r="I684" s="6">
        <v>0.1</v>
      </c>
      <c r="J684" s="6">
        <v>0.1</v>
      </c>
      <c r="K684" s="6">
        <v>0.1</v>
      </c>
      <c r="L684" s="6">
        <v>0.1</v>
      </c>
      <c r="M684" s="6">
        <v>0.1</v>
      </c>
      <c r="N684" s="6">
        <v>0.1</v>
      </c>
      <c r="O684" s="6">
        <v>0.1</v>
      </c>
      <c r="P684" s="6">
        <v>0.1</v>
      </c>
      <c r="Q684" s="6">
        <v>0.1</v>
      </c>
    </row>
    <row r="685" spans="1:17">
      <c r="A685" s="2">
        <v>2633</v>
      </c>
      <c r="B685" s="6">
        <v>0.1</v>
      </c>
      <c r="C685" s="6">
        <v>0.1</v>
      </c>
      <c r="D685" s="6">
        <v>0.1</v>
      </c>
      <c r="E685" s="6">
        <v>0.1</v>
      </c>
      <c r="F685" s="6">
        <v>0.1</v>
      </c>
      <c r="G685" s="6">
        <v>0.1</v>
      </c>
      <c r="H685" s="6">
        <v>0.1</v>
      </c>
      <c r="I685" s="6">
        <v>0.1</v>
      </c>
      <c r="J685" s="6">
        <v>0.1</v>
      </c>
      <c r="K685" s="6">
        <v>0.1</v>
      </c>
      <c r="L685" s="6">
        <v>0.1</v>
      </c>
      <c r="M685" s="6">
        <v>0.1</v>
      </c>
      <c r="N685" s="6">
        <v>0.1</v>
      </c>
      <c r="O685" s="6">
        <v>0.1</v>
      </c>
      <c r="P685" s="6">
        <v>0.1</v>
      </c>
      <c r="Q685" s="6">
        <v>0.1</v>
      </c>
    </row>
    <row r="686" spans="1:17">
      <c r="A686" s="2">
        <v>2634</v>
      </c>
      <c r="B686" s="6">
        <v>0.1</v>
      </c>
      <c r="C686" s="6">
        <v>0.1</v>
      </c>
      <c r="D686" s="6">
        <v>0.1</v>
      </c>
      <c r="E686" s="6">
        <v>0.1</v>
      </c>
      <c r="F686" s="6">
        <v>0.1</v>
      </c>
      <c r="G686" s="6">
        <v>0.1</v>
      </c>
      <c r="H686" s="6">
        <v>0.1</v>
      </c>
      <c r="I686" s="6">
        <v>0.1</v>
      </c>
      <c r="J686" s="6">
        <v>0.1</v>
      </c>
      <c r="K686" s="6">
        <v>0.1</v>
      </c>
      <c r="L686" s="6">
        <v>0.1</v>
      </c>
      <c r="M686" s="6">
        <v>0.1</v>
      </c>
      <c r="N686" s="6">
        <v>0.1</v>
      </c>
      <c r="O686" s="6">
        <v>0.1</v>
      </c>
      <c r="P686" s="6">
        <v>0.1</v>
      </c>
      <c r="Q686" s="6">
        <v>0.1</v>
      </c>
    </row>
    <row r="687" spans="1:17">
      <c r="A687" s="2">
        <v>2635</v>
      </c>
      <c r="B687" s="6">
        <v>0.1</v>
      </c>
      <c r="C687" s="6">
        <v>0.1</v>
      </c>
      <c r="D687" s="6">
        <v>0.1</v>
      </c>
      <c r="E687" s="6">
        <v>0.1</v>
      </c>
      <c r="F687" s="6">
        <v>0.1</v>
      </c>
      <c r="G687" s="6">
        <v>0.1</v>
      </c>
      <c r="H687" s="6">
        <v>0.1</v>
      </c>
      <c r="I687" s="6">
        <v>0.1</v>
      </c>
      <c r="J687" s="6">
        <v>0.1</v>
      </c>
      <c r="K687" s="6">
        <v>0.1</v>
      </c>
      <c r="L687" s="6">
        <v>0.1</v>
      </c>
      <c r="M687" s="6">
        <v>0.1</v>
      </c>
      <c r="N687" s="6">
        <v>0.1</v>
      </c>
      <c r="O687" s="6">
        <v>0.1</v>
      </c>
      <c r="P687" s="6">
        <v>0.1</v>
      </c>
      <c r="Q687" s="6">
        <v>0.1</v>
      </c>
    </row>
    <row r="688" spans="1:17">
      <c r="A688" s="2">
        <v>2636</v>
      </c>
      <c r="B688" s="6">
        <v>0.1</v>
      </c>
      <c r="C688" s="6">
        <v>0.1</v>
      </c>
      <c r="D688" s="6">
        <v>0.1</v>
      </c>
      <c r="E688" s="6">
        <v>0.1</v>
      </c>
      <c r="F688" s="6">
        <v>0.1</v>
      </c>
      <c r="G688" s="6">
        <v>0.1</v>
      </c>
      <c r="H688" s="6">
        <v>0.1</v>
      </c>
      <c r="I688" s="6">
        <v>0.1</v>
      </c>
      <c r="J688" s="6">
        <v>0.1</v>
      </c>
      <c r="K688" s="6">
        <v>0.1</v>
      </c>
      <c r="L688" s="6">
        <v>0.1</v>
      </c>
      <c r="M688" s="6">
        <v>0.1</v>
      </c>
      <c r="N688" s="6">
        <v>0.1</v>
      </c>
      <c r="O688" s="6">
        <v>0.1</v>
      </c>
      <c r="P688" s="6">
        <v>0.1</v>
      </c>
      <c r="Q688" s="6">
        <v>0.1</v>
      </c>
    </row>
    <row r="689" spans="1:17">
      <c r="A689" s="2">
        <v>2637</v>
      </c>
      <c r="B689" s="6">
        <v>0.1</v>
      </c>
      <c r="C689" s="6">
        <v>0.1</v>
      </c>
      <c r="D689" s="6">
        <v>0.1</v>
      </c>
      <c r="E689" s="6">
        <v>0.1</v>
      </c>
      <c r="F689" s="6">
        <v>0.1</v>
      </c>
      <c r="G689" s="6">
        <v>0.1</v>
      </c>
      <c r="H689" s="6">
        <v>0.1</v>
      </c>
      <c r="I689" s="6">
        <v>0.1</v>
      </c>
      <c r="J689" s="6">
        <v>0.1</v>
      </c>
      <c r="K689" s="6">
        <v>0.1</v>
      </c>
      <c r="L689" s="6">
        <v>0.1</v>
      </c>
      <c r="M689" s="6">
        <v>0.1</v>
      </c>
      <c r="N689" s="6">
        <v>0.1</v>
      </c>
      <c r="O689" s="6">
        <v>0.1</v>
      </c>
      <c r="P689" s="6">
        <v>0.1</v>
      </c>
      <c r="Q689" s="6">
        <v>0.1</v>
      </c>
    </row>
    <row r="690" spans="1:17">
      <c r="A690" s="2">
        <v>2638</v>
      </c>
      <c r="B690" s="6">
        <v>0.1</v>
      </c>
      <c r="C690" s="6">
        <v>0.1</v>
      </c>
      <c r="D690" s="6">
        <v>0.1</v>
      </c>
      <c r="E690" s="6">
        <v>0.1</v>
      </c>
      <c r="F690" s="6">
        <v>0.1</v>
      </c>
      <c r="G690" s="6">
        <v>0.1</v>
      </c>
      <c r="H690" s="6">
        <v>0.1</v>
      </c>
      <c r="I690" s="6">
        <v>0.1</v>
      </c>
      <c r="J690" s="6">
        <v>0.1</v>
      </c>
      <c r="K690" s="6">
        <v>0.1</v>
      </c>
      <c r="L690" s="6">
        <v>0.1</v>
      </c>
      <c r="M690" s="6">
        <v>0.1</v>
      </c>
      <c r="N690" s="6">
        <v>0.1</v>
      </c>
      <c r="O690" s="6">
        <v>0.1</v>
      </c>
      <c r="P690" s="6">
        <v>0.1</v>
      </c>
      <c r="Q690" s="6">
        <v>0.1</v>
      </c>
    </row>
    <row r="691" spans="1:17">
      <c r="A691" s="2">
        <v>2639</v>
      </c>
      <c r="B691" s="6">
        <v>0.1</v>
      </c>
      <c r="C691" s="6">
        <v>0.1</v>
      </c>
      <c r="D691" s="6">
        <v>0.1</v>
      </c>
      <c r="E691" s="6">
        <v>0.1</v>
      </c>
      <c r="F691" s="6">
        <v>0.1</v>
      </c>
      <c r="G691" s="6">
        <v>0.1</v>
      </c>
      <c r="H691" s="6">
        <v>0.1</v>
      </c>
      <c r="I691" s="6">
        <v>0.1</v>
      </c>
      <c r="J691" s="6">
        <v>0.1</v>
      </c>
      <c r="K691" s="6">
        <v>0.1</v>
      </c>
      <c r="L691" s="6">
        <v>0.1</v>
      </c>
      <c r="M691" s="6">
        <v>0.1</v>
      </c>
      <c r="N691" s="6">
        <v>0.1</v>
      </c>
      <c r="O691" s="6">
        <v>0.1</v>
      </c>
      <c r="P691" s="6">
        <v>0.1</v>
      </c>
      <c r="Q691" s="6">
        <v>0.1</v>
      </c>
    </row>
    <row r="692" spans="1:17">
      <c r="A692" s="2">
        <v>2640</v>
      </c>
      <c r="B692" s="6">
        <v>0.1</v>
      </c>
      <c r="C692" s="6">
        <v>0.1</v>
      </c>
      <c r="D692" s="6">
        <v>0.1</v>
      </c>
      <c r="E692" s="6">
        <v>0.1</v>
      </c>
      <c r="F692" s="6">
        <v>0.1</v>
      </c>
      <c r="G692" s="6">
        <v>0.1</v>
      </c>
      <c r="H692" s="6">
        <v>0.1</v>
      </c>
      <c r="I692" s="6">
        <v>0.1</v>
      </c>
      <c r="J692" s="6">
        <v>0.1</v>
      </c>
      <c r="K692" s="6">
        <v>0.1</v>
      </c>
      <c r="L692" s="6">
        <v>0.1</v>
      </c>
      <c r="M692" s="6">
        <v>0.1</v>
      </c>
      <c r="N692" s="6">
        <v>0.1</v>
      </c>
      <c r="O692" s="6">
        <v>0.1</v>
      </c>
      <c r="P692" s="6">
        <v>0.1</v>
      </c>
      <c r="Q692" s="6">
        <v>0.1</v>
      </c>
    </row>
    <row r="693" spans="1:17">
      <c r="A693" s="2">
        <v>2641</v>
      </c>
      <c r="B693" s="6">
        <v>0.1</v>
      </c>
      <c r="C693" s="6">
        <v>0.1</v>
      </c>
      <c r="D693" s="6">
        <v>0.1</v>
      </c>
      <c r="E693" s="6">
        <v>0.1</v>
      </c>
      <c r="F693" s="6">
        <v>0.1</v>
      </c>
      <c r="G693" s="6">
        <v>0.1</v>
      </c>
      <c r="H693" s="6">
        <v>0.1</v>
      </c>
      <c r="I693" s="6">
        <v>0.1</v>
      </c>
      <c r="J693" s="6">
        <v>0.1</v>
      </c>
      <c r="K693" s="6">
        <v>0.1</v>
      </c>
      <c r="L693" s="6">
        <v>0.1</v>
      </c>
      <c r="M693" s="6">
        <v>0.1</v>
      </c>
      <c r="N693" s="6">
        <v>0.1</v>
      </c>
      <c r="O693" s="6">
        <v>0.1</v>
      </c>
      <c r="P693" s="6">
        <v>0.1</v>
      </c>
      <c r="Q693" s="6">
        <v>0.1</v>
      </c>
    </row>
    <row r="694" spans="1:17">
      <c r="A694" s="2">
        <v>2642</v>
      </c>
      <c r="B694" s="6">
        <v>0.1</v>
      </c>
      <c r="C694" s="6">
        <v>0.1</v>
      </c>
      <c r="D694" s="6">
        <v>0.1</v>
      </c>
      <c r="E694" s="6">
        <v>0.1</v>
      </c>
      <c r="F694" s="6">
        <v>0.1</v>
      </c>
      <c r="G694" s="6">
        <v>0.1</v>
      </c>
      <c r="H694" s="6">
        <v>0.1</v>
      </c>
      <c r="I694" s="6">
        <v>0.1</v>
      </c>
      <c r="J694" s="6">
        <v>0.1</v>
      </c>
      <c r="K694" s="6">
        <v>0.1</v>
      </c>
      <c r="L694" s="6">
        <v>0.1</v>
      </c>
      <c r="M694" s="6">
        <v>0.1</v>
      </c>
      <c r="N694" s="6">
        <v>0.1</v>
      </c>
      <c r="O694" s="6">
        <v>0.1</v>
      </c>
      <c r="P694" s="6">
        <v>0.1</v>
      </c>
      <c r="Q694" s="6">
        <v>0.1</v>
      </c>
    </row>
    <row r="695" spans="1:17">
      <c r="A695" s="2">
        <v>2643</v>
      </c>
      <c r="B695" s="6">
        <v>0.1</v>
      </c>
      <c r="C695" s="6">
        <v>0.1</v>
      </c>
      <c r="D695" s="6">
        <v>0.1</v>
      </c>
      <c r="E695" s="6">
        <v>0.1</v>
      </c>
      <c r="F695" s="6">
        <v>0.1</v>
      </c>
      <c r="G695" s="6">
        <v>0.1</v>
      </c>
      <c r="H695" s="6">
        <v>0.1</v>
      </c>
      <c r="I695" s="6">
        <v>0.1</v>
      </c>
      <c r="J695" s="6">
        <v>0.1</v>
      </c>
      <c r="K695" s="6">
        <v>0.1</v>
      </c>
      <c r="L695" s="6">
        <v>0.1</v>
      </c>
      <c r="M695" s="6">
        <v>0.1</v>
      </c>
      <c r="N695" s="6">
        <v>0.1</v>
      </c>
      <c r="O695" s="6">
        <v>0.1</v>
      </c>
      <c r="P695" s="6">
        <v>0.1</v>
      </c>
      <c r="Q695" s="6">
        <v>0.1</v>
      </c>
    </row>
    <row r="696" spans="1:17">
      <c r="A696" s="2">
        <v>2644</v>
      </c>
      <c r="B696" s="6">
        <v>0.1</v>
      </c>
      <c r="C696" s="6">
        <v>0.1</v>
      </c>
      <c r="D696" s="6">
        <v>0.1</v>
      </c>
      <c r="E696" s="6">
        <v>0.1</v>
      </c>
      <c r="F696" s="6">
        <v>0.1</v>
      </c>
      <c r="G696" s="6">
        <v>0.1</v>
      </c>
      <c r="H696" s="6">
        <v>0.1</v>
      </c>
      <c r="I696" s="6">
        <v>0.1</v>
      </c>
      <c r="J696" s="6">
        <v>0.1</v>
      </c>
      <c r="K696" s="6">
        <v>0.1</v>
      </c>
      <c r="L696" s="6">
        <v>0.1</v>
      </c>
      <c r="M696" s="6">
        <v>0.1</v>
      </c>
      <c r="N696" s="6">
        <v>0.1</v>
      </c>
      <c r="O696" s="6">
        <v>0.1</v>
      </c>
      <c r="P696" s="6">
        <v>0.1</v>
      </c>
      <c r="Q696" s="6">
        <v>0.1</v>
      </c>
    </row>
    <row r="697" spans="1:17">
      <c r="A697" s="2">
        <v>2645</v>
      </c>
      <c r="B697" s="6">
        <v>0.1</v>
      </c>
      <c r="C697" s="6">
        <v>0.1</v>
      </c>
      <c r="D697" s="6">
        <v>0.1</v>
      </c>
      <c r="E697" s="6">
        <v>0.1</v>
      </c>
      <c r="F697" s="6">
        <v>0.1</v>
      </c>
      <c r="G697" s="6">
        <v>0.1</v>
      </c>
      <c r="H697" s="6">
        <v>0.1</v>
      </c>
      <c r="I697" s="6">
        <v>0.1</v>
      </c>
      <c r="J697" s="6">
        <v>0.1</v>
      </c>
      <c r="K697" s="6">
        <v>0.1</v>
      </c>
      <c r="L697" s="6">
        <v>0.1</v>
      </c>
      <c r="M697" s="6">
        <v>0.1</v>
      </c>
      <c r="N697" s="6">
        <v>0.1</v>
      </c>
      <c r="O697" s="6">
        <v>0.1</v>
      </c>
      <c r="P697" s="6">
        <v>0.1</v>
      </c>
      <c r="Q697" s="6">
        <v>0.1</v>
      </c>
    </row>
    <row r="698" spans="1:17">
      <c r="A698" s="2">
        <v>2646</v>
      </c>
      <c r="B698" s="6">
        <v>0.1</v>
      </c>
      <c r="C698" s="6">
        <v>0.1</v>
      </c>
      <c r="D698" s="6">
        <v>0.1</v>
      </c>
      <c r="E698" s="6">
        <v>0.1</v>
      </c>
      <c r="F698" s="6">
        <v>0.1</v>
      </c>
      <c r="G698" s="6">
        <v>0.1</v>
      </c>
      <c r="H698" s="6">
        <v>0.1</v>
      </c>
      <c r="I698" s="6">
        <v>0.1</v>
      </c>
      <c r="J698" s="6">
        <v>0.1</v>
      </c>
      <c r="K698" s="6">
        <v>0.1</v>
      </c>
      <c r="L698" s="6">
        <v>0.1</v>
      </c>
      <c r="M698" s="6">
        <v>0.1</v>
      </c>
      <c r="N698" s="6">
        <v>0.1</v>
      </c>
      <c r="O698" s="6">
        <v>0.1</v>
      </c>
      <c r="P698" s="6">
        <v>0.1</v>
      </c>
      <c r="Q698" s="6">
        <v>0.1</v>
      </c>
    </row>
    <row r="699" spans="1:17">
      <c r="A699" s="2">
        <v>2647</v>
      </c>
      <c r="B699" s="6">
        <v>0.1</v>
      </c>
      <c r="C699" s="6">
        <v>0.1</v>
      </c>
      <c r="D699" s="6">
        <v>0.1</v>
      </c>
      <c r="E699" s="6">
        <v>0.1</v>
      </c>
      <c r="F699" s="6">
        <v>0.1</v>
      </c>
      <c r="G699" s="6">
        <v>0.1</v>
      </c>
      <c r="H699" s="6">
        <v>0.1</v>
      </c>
      <c r="I699" s="6">
        <v>0.1</v>
      </c>
      <c r="J699" s="6">
        <v>0.1</v>
      </c>
      <c r="K699" s="6">
        <v>0.1</v>
      </c>
      <c r="L699" s="6">
        <v>0.1</v>
      </c>
      <c r="M699" s="6">
        <v>0.1</v>
      </c>
      <c r="N699" s="6">
        <v>0.1</v>
      </c>
      <c r="O699" s="6">
        <v>0.1</v>
      </c>
      <c r="P699" s="6">
        <v>0.1</v>
      </c>
      <c r="Q699" s="6">
        <v>0.1</v>
      </c>
    </row>
    <row r="700" spans="1:17">
      <c r="A700" s="2">
        <v>2648</v>
      </c>
      <c r="B700" s="6">
        <v>0.1</v>
      </c>
      <c r="C700" s="6">
        <v>0.1</v>
      </c>
      <c r="D700" s="6">
        <v>0.1</v>
      </c>
      <c r="E700" s="6">
        <v>0.1</v>
      </c>
      <c r="F700" s="6">
        <v>0.1</v>
      </c>
      <c r="G700" s="6">
        <v>0.1</v>
      </c>
      <c r="H700" s="6">
        <v>0.1</v>
      </c>
      <c r="I700" s="6">
        <v>0.1</v>
      </c>
      <c r="J700" s="6">
        <v>0.1</v>
      </c>
      <c r="K700" s="6">
        <v>0.1</v>
      </c>
      <c r="L700" s="6">
        <v>0.1</v>
      </c>
      <c r="M700" s="6">
        <v>0.1</v>
      </c>
      <c r="N700" s="6">
        <v>0.1</v>
      </c>
      <c r="O700" s="6">
        <v>0.1</v>
      </c>
      <c r="P700" s="6">
        <v>0.1</v>
      </c>
      <c r="Q700" s="6">
        <v>0.1</v>
      </c>
    </row>
    <row r="701" spans="1:17">
      <c r="A701" s="2">
        <v>2649</v>
      </c>
      <c r="B701" s="6">
        <v>0.1</v>
      </c>
      <c r="C701" s="6">
        <v>0.1</v>
      </c>
      <c r="D701" s="6">
        <v>0.1</v>
      </c>
      <c r="E701" s="6">
        <v>0.1</v>
      </c>
      <c r="F701" s="6">
        <v>0.1</v>
      </c>
      <c r="G701" s="6">
        <v>0.1</v>
      </c>
      <c r="H701" s="6">
        <v>0.1</v>
      </c>
      <c r="I701" s="6">
        <v>0.1</v>
      </c>
      <c r="J701" s="6">
        <v>0.1</v>
      </c>
      <c r="K701" s="6">
        <v>0.1</v>
      </c>
      <c r="L701" s="6">
        <v>0.1</v>
      </c>
      <c r="M701" s="6">
        <v>0.1</v>
      </c>
      <c r="N701" s="6">
        <v>0.1</v>
      </c>
      <c r="O701" s="6">
        <v>0.1</v>
      </c>
      <c r="P701" s="6">
        <v>0.1</v>
      </c>
      <c r="Q701" s="6">
        <v>0.1</v>
      </c>
    </row>
    <row r="702" spans="1:17">
      <c r="A702" s="2">
        <v>2650</v>
      </c>
      <c r="B702" s="6">
        <v>0.1</v>
      </c>
      <c r="C702" s="6">
        <v>0.1</v>
      </c>
      <c r="D702" s="6">
        <v>0.1</v>
      </c>
      <c r="E702" s="6">
        <v>0.1</v>
      </c>
      <c r="F702" s="6">
        <v>0.1</v>
      </c>
      <c r="G702" s="6">
        <v>0.1</v>
      </c>
      <c r="H702" s="6">
        <v>0.1</v>
      </c>
      <c r="I702" s="6">
        <v>0.1</v>
      </c>
      <c r="J702" s="6">
        <v>0.1</v>
      </c>
      <c r="K702" s="6">
        <v>0.1</v>
      </c>
      <c r="L702" s="6">
        <v>0.1</v>
      </c>
      <c r="M702" s="6">
        <v>0.1</v>
      </c>
      <c r="N702" s="6">
        <v>0.1</v>
      </c>
      <c r="O702" s="6">
        <v>0.1</v>
      </c>
      <c r="P702" s="6">
        <v>0.1</v>
      </c>
      <c r="Q702" s="6">
        <v>0.1</v>
      </c>
    </row>
    <row r="703" spans="1:17">
      <c r="A703" s="2">
        <v>2651</v>
      </c>
      <c r="B703" s="6">
        <v>0.1</v>
      </c>
      <c r="C703" s="6">
        <v>0.1</v>
      </c>
      <c r="D703" s="6">
        <v>0.1</v>
      </c>
      <c r="E703" s="6">
        <v>0.1</v>
      </c>
      <c r="F703" s="6">
        <v>0.1</v>
      </c>
      <c r="G703" s="6">
        <v>0.1</v>
      </c>
      <c r="H703" s="6">
        <v>0.1</v>
      </c>
      <c r="I703" s="6">
        <v>0.1</v>
      </c>
      <c r="J703" s="6">
        <v>0.1</v>
      </c>
      <c r="K703" s="6">
        <v>0.1</v>
      </c>
      <c r="L703" s="6">
        <v>0.1</v>
      </c>
      <c r="M703" s="6">
        <v>0.1</v>
      </c>
      <c r="N703" s="6">
        <v>0.1</v>
      </c>
      <c r="O703" s="6">
        <v>0.1</v>
      </c>
      <c r="P703" s="6">
        <v>0.1</v>
      </c>
      <c r="Q703" s="6">
        <v>0.1</v>
      </c>
    </row>
    <row r="704" spans="1:17">
      <c r="A704" s="2">
        <v>2652</v>
      </c>
      <c r="B704" s="6">
        <v>0.1</v>
      </c>
      <c r="C704" s="6">
        <v>0.1</v>
      </c>
      <c r="D704" s="6">
        <v>0.1</v>
      </c>
      <c r="E704" s="6">
        <v>0.1</v>
      </c>
      <c r="F704" s="6">
        <v>0.1</v>
      </c>
      <c r="G704" s="6">
        <v>0.1</v>
      </c>
      <c r="H704" s="6">
        <v>0.1</v>
      </c>
      <c r="I704" s="6">
        <v>0.1</v>
      </c>
      <c r="J704" s="6">
        <v>0.1</v>
      </c>
      <c r="K704" s="6">
        <v>0.1</v>
      </c>
      <c r="L704" s="6">
        <v>0.1</v>
      </c>
      <c r="M704" s="6">
        <v>0.1</v>
      </c>
      <c r="N704" s="6">
        <v>0.1</v>
      </c>
      <c r="O704" s="6">
        <v>0.1</v>
      </c>
      <c r="P704" s="6">
        <v>0.1</v>
      </c>
      <c r="Q704" s="6">
        <v>0.1</v>
      </c>
    </row>
    <row r="705" spans="1:17">
      <c r="A705" s="2">
        <v>2653</v>
      </c>
      <c r="B705" s="6">
        <v>0.1</v>
      </c>
      <c r="C705" s="6">
        <v>0.1</v>
      </c>
      <c r="D705" s="6">
        <v>0.1</v>
      </c>
      <c r="E705" s="6">
        <v>0.1</v>
      </c>
      <c r="F705" s="6">
        <v>0.1</v>
      </c>
      <c r="G705" s="6">
        <v>0.1</v>
      </c>
      <c r="H705" s="6">
        <v>0.1</v>
      </c>
      <c r="I705" s="6">
        <v>0.1</v>
      </c>
      <c r="J705" s="6">
        <v>0.1</v>
      </c>
      <c r="K705" s="6">
        <v>0.1</v>
      </c>
      <c r="L705" s="6">
        <v>0.1</v>
      </c>
      <c r="M705" s="6">
        <v>0.1</v>
      </c>
      <c r="N705" s="6">
        <v>0.1</v>
      </c>
      <c r="O705" s="6">
        <v>0.1</v>
      </c>
      <c r="P705" s="6">
        <v>0.1</v>
      </c>
      <c r="Q705" s="6">
        <v>0.1</v>
      </c>
    </row>
    <row r="706" spans="1:17">
      <c r="A706" s="2">
        <v>2654</v>
      </c>
      <c r="B706" s="6">
        <v>0.1</v>
      </c>
      <c r="C706" s="6">
        <v>0.1</v>
      </c>
      <c r="D706" s="6">
        <v>0.1</v>
      </c>
      <c r="E706" s="6">
        <v>0.1</v>
      </c>
      <c r="F706" s="6">
        <v>0.1</v>
      </c>
      <c r="G706" s="6">
        <v>0.1</v>
      </c>
      <c r="H706" s="6">
        <v>0.1</v>
      </c>
      <c r="I706" s="6">
        <v>0.1</v>
      </c>
      <c r="J706" s="6">
        <v>0.1</v>
      </c>
      <c r="K706" s="6">
        <v>0.1</v>
      </c>
      <c r="L706" s="6">
        <v>0.1</v>
      </c>
      <c r="M706" s="6">
        <v>0.1</v>
      </c>
      <c r="N706" s="6">
        <v>0.1</v>
      </c>
      <c r="O706" s="6">
        <v>0.1</v>
      </c>
      <c r="P706" s="6">
        <v>0.1</v>
      </c>
      <c r="Q706" s="6">
        <v>0.1</v>
      </c>
    </row>
    <row r="707" spans="1:17">
      <c r="A707" s="2">
        <v>2655</v>
      </c>
      <c r="B707" s="6">
        <v>0.1</v>
      </c>
      <c r="C707" s="6">
        <v>0.1</v>
      </c>
      <c r="D707" s="6">
        <v>0.1</v>
      </c>
      <c r="E707" s="6">
        <v>0.1</v>
      </c>
      <c r="F707" s="6">
        <v>0.1</v>
      </c>
      <c r="G707" s="6">
        <v>0.1</v>
      </c>
      <c r="H707" s="6">
        <v>0.1</v>
      </c>
      <c r="I707" s="6">
        <v>0.1</v>
      </c>
      <c r="J707" s="6">
        <v>0.1</v>
      </c>
      <c r="K707" s="6">
        <v>0.1</v>
      </c>
      <c r="L707" s="6">
        <v>0.1</v>
      </c>
      <c r="M707" s="6">
        <v>0.1</v>
      </c>
      <c r="N707" s="6">
        <v>0.1</v>
      </c>
      <c r="O707" s="6">
        <v>0.1</v>
      </c>
      <c r="P707" s="6">
        <v>0.1</v>
      </c>
      <c r="Q707" s="6">
        <v>0.1</v>
      </c>
    </row>
    <row r="708" spans="1:17">
      <c r="A708" s="2">
        <v>2656</v>
      </c>
      <c r="B708" s="6">
        <v>0.1</v>
      </c>
      <c r="C708" s="6">
        <v>0.1</v>
      </c>
      <c r="D708" s="6">
        <v>0.1</v>
      </c>
      <c r="E708" s="6">
        <v>0.1</v>
      </c>
      <c r="F708" s="6">
        <v>0.1</v>
      </c>
      <c r="G708" s="6">
        <v>0.1</v>
      </c>
      <c r="H708" s="6">
        <v>0.1</v>
      </c>
      <c r="I708" s="6">
        <v>0.1</v>
      </c>
      <c r="J708" s="6">
        <v>0.1</v>
      </c>
      <c r="K708" s="6">
        <v>0.1</v>
      </c>
      <c r="L708" s="6">
        <v>0.1</v>
      </c>
      <c r="M708" s="6">
        <v>0.1</v>
      </c>
      <c r="N708" s="6">
        <v>0.1</v>
      </c>
      <c r="O708" s="6">
        <v>0.1</v>
      </c>
      <c r="P708" s="6">
        <v>0.1</v>
      </c>
      <c r="Q708" s="6">
        <v>0.1</v>
      </c>
    </row>
    <row r="709" spans="1:17">
      <c r="A709" s="2">
        <v>2657</v>
      </c>
      <c r="B709" s="6">
        <v>0.1</v>
      </c>
      <c r="C709" s="6">
        <v>0.1</v>
      </c>
      <c r="D709" s="6">
        <v>0.1</v>
      </c>
      <c r="E709" s="6">
        <v>0.1</v>
      </c>
      <c r="F709" s="6">
        <v>0.1</v>
      </c>
      <c r="G709" s="6">
        <v>0.1</v>
      </c>
      <c r="H709" s="6">
        <v>0.1</v>
      </c>
      <c r="I709" s="6">
        <v>0.1</v>
      </c>
      <c r="J709" s="6">
        <v>0.1</v>
      </c>
      <c r="K709" s="6">
        <v>0.1</v>
      </c>
      <c r="L709" s="6">
        <v>0.1</v>
      </c>
      <c r="M709" s="6">
        <v>0.1</v>
      </c>
      <c r="N709" s="6">
        <v>0.1</v>
      </c>
      <c r="O709" s="6">
        <v>0.1</v>
      </c>
      <c r="P709" s="6">
        <v>0.1</v>
      </c>
      <c r="Q709" s="6">
        <v>0.1</v>
      </c>
    </row>
    <row r="710" spans="1:17">
      <c r="A710" s="2">
        <v>2658</v>
      </c>
      <c r="B710" s="6">
        <v>0.1</v>
      </c>
      <c r="C710" s="6">
        <v>0.1</v>
      </c>
      <c r="D710" s="6">
        <v>0.1</v>
      </c>
      <c r="E710" s="6">
        <v>0.1</v>
      </c>
      <c r="F710" s="6">
        <v>0.1</v>
      </c>
      <c r="G710" s="6">
        <v>0.1</v>
      </c>
      <c r="H710" s="6">
        <v>0.1</v>
      </c>
      <c r="I710" s="6">
        <v>0.1</v>
      </c>
      <c r="J710" s="6">
        <v>0.1</v>
      </c>
      <c r="K710" s="6">
        <v>0.1</v>
      </c>
      <c r="L710" s="6">
        <v>0.1</v>
      </c>
      <c r="M710" s="6">
        <v>0.1</v>
      </c>
      <c r="N710" s="6">
        <v>0.1</v>
      </c>
      <c r="O710" s="6">
        <v>0.1</v>
      </c>
      <c r="P710" s="6">
        <v>0.1</v>
      </c>
      <c r="Q710" s="6">
        <v>0.1</v>
      </c>
    </row>
    <row r="711" spans="1:17">
      <c r="A711" s="2">
        <v>2659</v>
      </c>
      <c r="B711" s="6">
        <v>0.1</v>
      </c>
      <c r="C711" s="6">
        <v>0.1</v>
      </c>
      <c r="D711" s="6">
        <v>0.1</v>
      </c>
      <c r="E711" s="6">
        <v>0.1</v>
      </c>
      <c r="F711" s="6">
        <v>0.1</v>
      </c>
      <c r="G711" s="6">
        <v>0.1</v>
      </c>
      <c r="H711" s="6">
        <v>0.1</v>
      </c>
      <c r="I711" s="6">
        <v>0.1</v>
      </c>
      <c r="J711" s="6">
        <v>0.1</v>
      </c>
      <c r="K711" s="6">
        <v>0.1</v>
      </c>
      <c r="L711" s="6">
        <v>0.1</v>
      </c>
      <c r="M711" s="6">
        <v>0.1</v>
      </c>
      <c r="N711" s="6">
        <v>0.1</v>
      </c>
      <c r="O711" s="6">
        <v>0.1</v>
      </c>
      <c r="P711" s="6">
        <v>0.1</v>
      </c>
      <c r="Q711" s="6">
        <v>0.1</v>
      </c>
    </row>
    <row r="712" spans="1:17">
      <c r="A712" s="2">
        <v>2660</v>
      </c>
      <c r="B712" s="6">
        <v>0.1</v>
      </c>
      <c r="C712" s="6">
        <v>0.1</v>
      </c>
      <c r="D712" s="6">
        <v>0.1</v>
      </c>
      <c r="E712" s="6">
        <v>0.1</v>
      </c>
      <c r="F712" s="6">
        <v>0.1</v>
      </c>
      <c r="G712" s="6">
        <v>0.1</v>
      </c>
      <c r="H712" s="6">
        <v>0.1</v>
      </c>
      <c r="I712" s="6">
        <v>0.1</v>
      </c>
      <c r="J712" s="6">
        <v>0.1</v>
      </c>
      <c r="K712" s="6">
        <v>0.1</v>
      </c>
      <c r="L712" s="6">
        <v>0.1</v>
      </c>
      <c r="M712" s="6">
        <v>0.1</v>
      </c>
      <c r="N712" s="6">
        <v>0.1</v>
      </c>
      <c r="O712" s="6">
        <v>0.1</v>
      </c>
      <c r="P712" s="6">
        <v>0.1</v>
      </c>
      <c r="Q712" s="6">
        <v>0.1</v>
      </c>
    </row>
    <row r="713" spans="1:17">
      <c r="A713" s="2">
        <v>2661</v>
      </c>
      <c r="B713" s="6">
        <v>0.1</v>
      </c>
      <c r="C713" s="6">
        <v>0.1</v>
      </c>
      <c r="D713" s="6">
        <v>0.1</v>
      </c>
      <c r="E713" s="6">
        <v>0.1</v>
      </c>
      <c r="F713" s="6">
        <v>0.1</v>
      </c>
      <c r="G713" s="6">
        <v>0.1</v>
      </c>
      <c r="H713" s="6">
        <v>0.1</v>
      </c>
      <c r="I713" s="6">
        <v>0.1</v>
      </c>
      <c r="J713" s="6">
        <v>0.1</v>
      </c>
      <c r="K713" s="6">
        <v>0.1</v>
      </c>
      <c r="L713" s="6">
        <v>0.1</v>
      </c>
      <c r="M713" s="6">
        <v>0.1</v>
      </c>
      <c r="N713" s="6">
        <v>0.1</v>
      </c>
      <c r="O713" s="6">
        <v>0.1</v>
      </c>
      <c r="P713" s="6">
        <v>0.1</v>
      </c>
      <c r="Q713" s="6">
        <v>0.1</v>
      </c>
    </row>
    <row r="714" spans="1:17">
      <c r="A714" s="2">
        <v>2662</v>
      </c>
      <c r="B714" s="6">
        <v>0.1</v>
      </c>
      <c r="C714" s="6">
        <v>0.1</v>
      </c>
      <c r="D714" s="6">
        <v>0.1</v>
      </c>
      <c r="E714" s="6">
        <v>0.1</v>
      </c>
      <c r="F714" s="6">
        <v>0.1</v>
      </c>
      <c r="G714" s="6">
        <v>0.1</v>
      </c>
      <c r="H714" s="6">
        <v>0.1</v>
      </c>
      <c r="I714" s="6">
        <v>0.1</v>
      </c>
      <c r="J714" s="6">
        <v>0.1</v>
      </c>
      <c r="K714" s="6">
        <v>0.1</v>
      </c>
      <c r="L714" s="6">
        <v>0.1</v>
      </c>
      <c r="M714" s="6">
        <v>0.1</v>
      </c>
      <c r="N714" s="6">
        <v>0.1</v>
      </c>
      <c r="O714" s="6">
        <v>0.1</v>
      </c>
      <c r="P714" s="6">
        <v>0.1</v>
      </c>
      <c r="Q714" s="6">
        <v>0.1</v>
      </c>
    </row>
    <row r="715" spans="1:17">
      <c r="A715" s="2">
        <v>2663</v>
      </c>
      <c r="B715" s="6">
        <v>0.1</v>
      </c>
      <c r="C715" s="6">
        <v>0.1</v>
      </c>
      <c r="D715" s="6">
        <v>0.1</v>
      </c>
      <c r="E715" s="6">
        <v>0.1</v>
      </c>
      <c r="F715" s="6">
        <v>0.1</v>
      </c>
      <c r="G715" s="6">
        <v>0.1</v>
      </c>
      <c r="H715" s="6">
        <v>0.1</v>
      </c>
      <c r="I715" s="6">
        <v>0.1</v>
      </c>
      <c r="J715" s="6">
        <v>0.1</v>
      </c>
      <c r="K715" s="6">
        <v>0.1</v>
      </c>
      <c r="L715" s="6">
        <v>0.1</v>
      </c>
      <c r="M715" s="6">
        <v>0.1</v>
      </c>
      <c r="N715" s="6">
        <v>0.1</v>
      </c>
      <c r="O715" s="6">
        <v>0.1</v>
      </c>
      <c r="P715" s="6">
        <v>0.1</v>
      </c>
      <c r="Q715" s="6">
        <v>0.1</v>
      </c>
    </row>
    <row r="716" spans="1:17">
      <c r="A716" s="2">
        <v>2664</v>
      </c>
      <c r="B716" s="6">
        <v>0.1</v>
      </c>
      <c r="C716" s="6">
        <v>0.1</v>
      </c>
      <c r="D716" s="6">
        <v>0.1</v>
      </c>
      <c r="E716" s="6">
        <v>0.1</v>
      </c>
      <c r="F716" s="6">
        <v>0.1</v>
      </c>
      <c r="G716" s="6">
        <v>0.1</v>
      </c>
      <c r="H716" s="6">
        <v>0.1</v>
      </c>
      <c r="I716" s="6">
        <v>0.1</v>
      </c>
      <c r="J716" s="6">
        <v>0.1</v>
      </c>
      <c r="K716" s="6">
        <v>0.1</v>
      </c>
      <c r="L716" s="6">
        <v>0.1</v>
      </c>
      <c r="M716" s="6">
        <v>0.1</v>
      </c>
      <c r="N716" s="6">
        <v>0.1</v>
      </c>
      <c r="O716" s="6">
        <v>0.1</v>
      </c>
      <c r="P716" s="6">
        <v>0.1</v>
      </c>
      <c r="Q716" s="6">
        <v>0.1</v>
      </c>
    </row>
    <row r="717" spans="1:17">
      <c r="A717" s="2">
        <v>2665</v>
      </c>
      <c r="B717" s="6">
        <v>0.1</v>
      </c>
      <c r="C717" s="6">
        <v>0.1</v>
      </c>
      <c r="D717" s="6">
        <v>0.1</v>
      </c>
      <c r="E717" s="6">
        <v>0.1</v>
      </c>
      <c r="F717" s="6">
        <v>0.1</v>
      </c>
      <c r="G717" s="6">
        <v>0.1</v>
      </c>
      <c r="H717" s="6">
        <v>0.1</v>
      </c>
      <c r="I717" s="6">
        <v>0.1</v>
      </c>
      <c r="J717" s="6">
        <v>0.1</v>
      </c>
      <c r="K717" s="6">
        <v>0.1</v>
      </c>
      <c r="L717" s="6">
        <v>0.1</v>
      </c>
      <c r="M717" s="6">
        <v>0.1</v>
      </c>
      <c r="N717" s="6">
        <v>0.1</v>
      </c>
      <c r="O717" s="6">
        <v>0.1</v>
      </c>
      <c r="P717" s="6">
        <v>0.1</v>
      </c>
      <c r="Q717" s="6">
        <v>0.1</v>
      </c>
    </row>
    <row r="718" spans="1:17">
      <c r="A718" s="2">
        <v>2666</v>
      </c>
      <c r="B718" s="6">
        <v>0.1</v>
      </c>
      <c r="C718" s="6">
        <v>0.1</v>
      </c>
      <c r="D718" s="6">
        <v>0.1</v>
      </c>
      <c r="E718" s="6">
        <v>0.1</v>
      </c>
      <c r="F718" s="6">
        <v>0.1</v>
      </c>
      <c r="G718" s="6">
        <v>0.1</v>
      </c>
      <c r="H718" s="6">
        <v>0.1</v>
      </c>
      <c r="I718" s="6">
        <v>0.1</v>
      </c>
      <c r="J718" s="6">
        <v>0.1</v>
      </c>
      <c r="K718" s="6">
        <v>0.1</v>
      </c>
      <c r="L718" s="6">
        <v>0.1</v>
      </c>
      <c r="M718" s="6">
        <v>0.1</v>
      </c>
      <c r="N718" s="6">
        <v>0.1</v>
      </c>
      <c r="O718" s="6">
        <v>0.1</v>
      </c>
      <c r="P718" s="6">
        <v>0.1</v>
      </c>
      <c r="Q718" s="6">
        <v>0.1</v>
      </c>
    </row>
    <row r="719" spans="1:17">
      <c r="A719" s="2">
        <v>2667</v>
      </c>
      <c r="B719" s="6">
        <v>0.1</v>
      </c>
      <c r="C719" s="6">
        <v>0.1</v>
      </c>
      <c r="D719" s="6">
        <v>0.1</v>
      </c>
      <c r="E719" s="6">
        <v>0.1</v>
      </c>
      <c r="F719" s="6">
        <v>0.1</v>
      </c>
      <c r="G719" s="6">
        <v>0.1</v>
      </c>
      <c r="H719" s="6">
        <v>0.1</v>
      </c>
      <c r="I719" s="6">
        <v>0.1</v>
      </c>
      <c r="J719" s="6">
        <v>0.1</v>
      </c>
      <c r="K719" s="6">
        <v>0.1</v>
      </c>
      <c r="L719" s="6">
        <v>0.1</v>
      </c>
      <c r="M719" s="6">
        <v>0.1</v>
      </c>
      <c r="N719" s="6">
        <v>0.1</v>
      </c>
      <c r="O719" s="6">
        <v>0.1</v>
      </c>
      <c r="P719" s="6">
        <v>0.1</v>
      </c>
      <c r="Q719" s="6">
        <v>0.1</v>
      </c>
    </row>
    <row r="720" spans="1:17">
      <c r="A720" s="2">
        <v>2668</v>
      </c>
      <c r="B720" s="6">
        <v>0.1</v>
      </c>
      <c r="C720" s="6">
        <v>0.1</v>
      </c>
      <c r="D720" s="6">
        <v>0.1</v>
      </c>
      <c r="E720" s="6">
        <v>0.1</v>
      </c>
      <c r="F720" s="6">
        <v>0.1</v>
      </c>
      <c r="G720" s="6">
        <v>0.1</v>
      </c>
      <c r="H720" s="6">
        <v>0.1</v>
      </c>
      <c r="I720" s="6">
        <v>0.1</v>
      </c>
      <c r="J720" s="6">
        <v>0.1</v>
      </c>
      <c r="K720" s="6">
        <v>0.1</v>
      </c>
      <c r="L720" s="6">
        <v>0.1</v>
      </c>
      <c r="M720" s="6">
        <v>0.1</v>
      </c>
      <c r="N720" s="6">
        <v>0.1</v>
      </c>
      <c r="O720" s="6">
        <v>0.1</v>
      </c>
      <c r="P720" s="6">
        <v>0.1</v>
      </c>
      <c r="Q720" s="6">
        <v>0.1</v>
      </c>
    </row>
    <row r="721" spans="1:17">
      <c r="A721" s="2">
        <v>2669</v>
      </c>
      <c r="B721" s="6">
        <v>0.1</v>
      </c>
      <c r="C721" s="6">
        <v>0.1</v>
      </c>
      <c r="D721" s="6">
        <v>0.1</v>
      </c>
      <c r="E721" s="6">
        <v>0.1</v>
      </c>
      <c r="F721" s="6">
        <v>0.1</v>
      </c>
      <c r="G721" s="6">
        <v>0.1</v>
      </c>
      <c r="H721" s="6">
        <v>0.1</v>
      </c>
      <c r="I721" s="6">
        <v>0.1</v>
      </c>
      <c r="J721" s="6">
        <v>0.1</v>
      </c>
      <c r="K721" s="6">
        <v>0.1</v>
      </c>
      <c r="L721" s="6">
        <v>0.1</v>
      </c>
      <c r="M721" s="6">
        <v>0.1</v>
      </c>
      <c r="N721" s="6">
        <v>0.1</v>
      </c>
      <c r="O721" s="6">
        <v>0.1</v>
      </c>
      <c r="P721" s="6">
        <v>0.1</v>
      </c>
      <c r="Q721" s="6">
        <v>0.1</v>
      </c>
    </row>
    <row r="722" spans="1:17">
      <c r="A722" s="2">
        <v>2670</v>
      </c>
      <c r="B722" s="6">
        <v>0.1</v>
      </c>
      <c r="C722" s="6">
        <v>0.1</v>
      </c>
      <c r="D722" s="6">
        <v>0.1</v>
      </c>
      <c r="E722" s="6">
        <v>0.1</v>
      </c>
      <c r="F722" s="6">
        <v>0.1</v>
      </c>
      <c r="G722" s="6">
        <v>0.1</v>
      </c>
      <c r="H722" s="6">
        <v>0.1</v>
      </c>
      <c r="I722" s="6">
        <v>0.1</v>
      </c>
      <c r="J722" s="6">
        <v>0.1</v>
      </c>
      <c r="K722" s="6">
        <v>0.1</v>
      </c>
      <c r="L722" s="6">
        <v>0.1</v>
      </c>
      <c r="M722" s="6">
        <v>0.1</v>
      </c>
      <c r="N722" s="6">
        <v>0.1</v>
      </c>
      <c r="O722" s="6">
        <v>0.1</v>
      </c>
      <c r="P722" s="6">
        <v>0.1</v>
      </c>
      <c r="Q722" s="6">
        <v>0.1</v>
      </c>
    </row>
    <row r="723" spans="1:17">
      <c r="A723" s="2">
        <v>2671</v>
      </c>
      <c r="B723" s="6">
        <v>0.1</v>
      </c>
      <c r="C723" s="6">
        <v>0.1</v>
      </c>
      <c r="D723" s="6">
        <v>0.1</v>
      </c>
      <c r="E723" s="6">
        <v>0.1</v>
      </c>
      <c r="F723" s="6">
        <v>0.1</v>
      </c>
      <c r="G723" s="6">
        <v>0.1</v>
      </c>
      <c r="H723" s="6">
        <v>0.1</v>
      </c>
      <c r="I723" s="6">
        <v>0.1</v>
      </c>
      <c r="J723" s="6">
        <v>0.1</v>
      </c>
      <c r="K723" s="6">
        <v>0.1</v>
      </c>
      <c r="L723" s="6">
        <v>0.1</v>
      </c>
      <c r="M723" s="6">
        <v>0.1</v>
      </c>
      <c r="N723" s="6">
        <v>0.1</v>
      </c>
      <c r="O723" s="6">
        <v>0.1</v>
      </c>
      <c r="P723" s="6">
        <v>0.1</v>
      </c>
      <c r="Q723" s="6">
        <v>0.1</v>
      </c>
    </row>
    <row r="724" spans="1:17">
      <c r="A724" s="2">
        <v>2672</v>
      </c>
      <c r="B724" s="6">
        <v>0.1</v>
      </c>
      <c r="C724" s="6">
        <v>0.1</v>
      </c>
      <c r="D724" s="6">
        <v>0.1</v>
      </c>
      <c r="E724" s="6">
        <v>0.1</v>
      </c>
      <c r="F724" s="6">
        <v>0.1</v>
      </c>
      <c r="G724" s="6">
        <v>0.1</v>
      </c>
      <c r="H724" s="6">
        <v>0.1</v>
      </c>
      <c r="I724" s="6">
        <v>0.1</v>
      </c>
      <c r="J724" s="6">
        <v>0.1</v>
      </c>
      <c r="K724" s="6">
        <v>0.1</v>
      </c>
      <c r="L724" s="6">
        <v>0.1</v>
      </c>
      <c r="M724" s="6">
        <v>0.1</v>
      </c>
      <c r="N724" s="6">
        <v>0.1</v>
      </c>
      <c r="O724" s="6">
        <v>0.1</v>
      </c>
      <c r="P724" s="6">
        <v>0.1</v>
      </c>
      <c r="Q724" s="6">
        <v>0.1</v>
      </c>
    </row>
    <row r="725" spans="1:17">
      <c r="A725" s="2">
        <v>2673</v>
      </c>
      <c r="B725" s="6">
        <v>0.1</v>
      </c>
      <c r="C725" s="6">
        <v>0.1</v>
      </c>
      <c r="D725" s="6">
        <v>0.1</v>
      </c>
      <c r="E725" s="6">
        <v>0.1</v>
      </c>
      <c r="F725" s="6">
        <v>0.1</v>
      </c>
      <c r="G725" s="6">
        <v>0.1</v>
      </c>
      <c r="H725" s="6">
        <v>0.1</v>
      </c>
      <c r="I725" s="6">
        <v>0.1</v>
      </c>
      <c r="J725" s="6">
        <v>0.1</v>
      </c>
      <c r="K725" s="6">
        <v>0.1</v>
      </c>
      <c r="L725" s="6">
        <v>0.1</v>
      </c>
      <c r="M725" s="6">
        <v>0.1</v>
      </c>
      <c r="N725" s="6">
        <v>0.1</v>
      </c>
      <c r="O725" s="6">
        <v>0.1</v>
      </c>
      <c r="P725" s="6">
        <v>0.1</v>
      </c>
      <c r="Q725" s="6">
        <v>0.1</v>
      </c>
    </row>
    <row r="726" spans="1:17">
      <c r="A726" s="2">
        <v>2674</v>
      </c>
      <c r="B726" s="6">
        <v>0.1</v>
      </c>
      <c r="C726" s="6">
        <v>0.1</v>
      </c>
      <c r="D726" s="6">
        <v>0.1</v>
      </c>
      <c r="E726" s="6">
        <v>0.1</v>
      </c>
      <c r="F726" s="6">
        <v>0.1</v>
      </c>
      <c r="G726" s="6">
        <v>0.1</v>
      </c>
      <c r="H726" s="6">
        <v>0.1</v>
      </c>
      <c r="I726" s="6">
        <v>0.1</v>
      </c>
      <c r="J726" s="6">
        <v>0.1</v>
      </c>
      <c r="K726" s="6">
        <v>0.1</v>
      </c>
      <c r="L726" s="6">
        <v>0.1</v>
      </c>
      <c r="M726" s="6">
        <v>0.1</v>
      </c>
      <c r="N726" s="6">
        <v>0.1</v>
      </c>
      <c r="O726" s="6">
        <v>0.1</v>
      </c>
      <c r="P726" s="6">
        <v>0.1</v>
      </c>
      <c r="Q726" s="6">
        <v>0.1</v>
      </c>
    </row>
    <row r="727" spans="1:17">
      <c r="A727" s="2">
        <v>2675</v>
      </c>
      <c r="B727" s="6">
        <v>0.1</v>
      </c>
      <c r="C727" s="6">
        <v>0.1</v>
      </c>
      <c r="D727" s="6">
        <v>0.1</v>
      </c>
      <c r="E727" s="6">
        <v>0.1</v>
      </c>
      <c r="F727" s="6">
        <v>0.1</v>
      </c>
      <c r="G727" s="6">
        <v>0.1</v>
      </c>
      <c r="H727" s="6">
        <v>0.1</v>
      </c>
      <c r="I727" s="6">
        <v>0.1</v>
      </c>
      <c r="J727" s="6">
        <v>0.1</v>
      </c>
      <c r="K727" s="6">
        <v>0.1</v>
      </c>
      <c r="L727" s="6">
        <v>0.1</v>
      </c>
      <c r="M727" s="6">
        <v>0.1</v>
      </c>
      <c r="N727" s="6">
        <v>0.1</v>
      </c>
      <c r="O727" s="6">
        <v>0.1</v>
      </c>
      <c r="P727" s="6">
        <v>0.1</v>
      </c>
      <c r="Q727" s="6">
        <v>0.1</v>
      </c>
    </row>
    <row r="728" spans="1:17">
      <c r="A728" s="2">
        <v>2676</v>
      </c>
      <c r="B728" s="6">
        <v>0.1</v>
      </c>
      <c r="C728" s="6">
        <v>0.1</v>
      </c>
      <c r="D728" s="6">
        <v>0.1</v>
      </c>
      <c r="E728" s="6">
        <v>0.1</v>
      </c>
      <c r="F728" s="6">
        <v>0.1</v>
      </c>
      <c r="G728" s="6">
        <v>0.1</v>
      </c>
      <c r="H728" s="6">
        <v>0.1</v>
      </c>
      <c r="I728" s="6">
        <v>0.1</v>
      </c>
      <c r="J728" s="6">
        <v>0.1</v>
      </c>
      <c r="K728" s="6">
        <v>0.1</v>
      </c>
      <c r="L728" s="6">
        <v>0.1</v>
      </c>
      <c r="M728" s="6">
        <v>0.1</v>
      </c>
      <c r="N728" s="6">
        <v>0.1</v>
      </c>
      <c r="O728" s="6">
        <v>0.1</v>
      </c>
      <c r="P728" s="6">
        <v>0.1</v>
      </c>
      <c r="Q728" s="6">
        <v>0.1</v>
      </c>
    </row>
    <row r="729" spans="1:17">
      <c r="A729" s="2">
        <v>2677</v>
      </c>
      <c r="B729" s="6">
        <v>0.1</v>
      </c>
      <c r="C729" s="6">
        <v>0.1</v>
      </c>
      <c r="D729" s="6">
        <v>0.1</v>
      </c>
      <c r="E729" s="6">
        <v>0.1</v>
      </c>
      <c r="F729" s="6">
        <v>0.1</v>
      </c>
      <c r="G729" s="6">
        <v>0.1</v>
      </c>
      <c r="H729" s="6">
        <v>0.1</v>
      </c>
      <c r="I729" s="6">
        <v>0.1</v>
      </c>
      <c r="J729" s="6">
        <v>0.1</v>
      </c>
      <c r="K729" s="6">
        <v>0.1</v>
      </c>
      <c r="L729" s="6">
        <v>0.1</v>
      </c>
      <c r="M729" s="6">
        <v>0.1</v>
      </c>
      <c r="N729" s="6">
        <v>0.1</v>
      </c>
      <c r="O729" s="6">
        <v>0.1</v>
      </c>
      <c r="P729" s="6">
        <v>0.1</v>
      </c>
      <c r="Q729" s="6">
        <v>0.1</v>
      </c>
    </row>
    <row r="730" spans="1:17">
      <c r="A730" s="2">
        <v>2678</v>
      </c>
      <c r="B730" s="6">
        <v>0.1</v>
      </c>
      <c r="C730" s="6">
        <v>0.1</v>
      </c>
      <c r="D730" s="6">
        <v>0.1</v>
      </c>
      <c r="E730" s="6">
        <v>0.1</v>
      </c>
      <c r="F730" s="6">
        <v>0.1</v>
      </c>
      <c r="G730" s="6">
        <v>0.1</v>
      </c>
      <c r="H730" s="6">
        <v>0.1</v>
      </c>
      <c r="I730" s="6">
        <v>0.1</v>
      </c>
      <c r="J730" s="6">
        <v>0.1</v>
      </c>
      <c r="K730" s="6">
        <v>0.1</v>
      </c>
      <c r="L730" s="6">
        <v>0.1</v>
      </c>
      <c r="M730" s="6">
        <v>0.1</v>
      </c>
      <c r="N730" s="6">
        <v>0.1</v>
      </c>
      <c r="O730" s="6">
        <v>0.1</v>
      </c>
      <c r="P730" s="6">
        <v>0.1</v>
      </c>
      <c r="Q730" s="6">
        <v>0.1</v>
      </c>
    </row>
    <row r="731" spans="1:17">
      <c r="A731" s="2">
        <v>2679</v>
      </c>
      <c r="B731" s="6">
        <v>0.1</v>
      </c>
      <c r="C731" s="6">
        <v>0.1</v>
      </c>
      <c r="D731" s="6">
        <v>0.1</v>
      </c>
      <c r="E731" s="6">
        <v>0.1</v>
      </c>
      <c r="F731" s="6">
        <v>0.1</v>
      </c>
      <c r="G731" s="6">
        <v>0.1</v>
      </c>
      <c r="H731" s="6">
        <v>0.1</v>
      </c>
      <c r="I731" s="6">
        <v>0.1</v>
      </c>
      <c r="J731" s="6">
        <v>0.1</v>
      </c>
      <c r="K731" s="6">
        <v>0.1</v>
      </c>
      <c r="L731" s="6">
        <v>0.1</v>
      </c>
      <c r="M731" s="6">
        <v>0.1</v>
      </c>
      <c r="N731" s="6">
        <v>0.1</v>
      </c>
      <c r="O731" s="6">
        <v>0.1</v>
      </c>
      <c r="P731" s="6">
        <v>0.1</v>
      </c>
      <c r="Q731" s="6">
        <v>0.1</v>
      </c>
    </row>
    <row r="732" spans="1:17">
      <c r="A732" s="2">
        <v>2680</v>
      </c>
      <c r="B732" s="6">
        <v>0.1</v>
      </c>
      <c r="C732" s="6">
        <v>0.1</v>
      </c>
      <c r="D732" s="6">
        <v>0.1</v>
      </c>
      <c r="E732" s="6">
        <v>0.1</v>
      </c>
      <c r="F732" s="6">
        <v>0.1</v>
      </c>
      <c r="G732" s="6">
        <v>0.1</v>
      </c>
      <c r="H732" s="6">
        <v>0.1</v>
      </c>
      <c r="I732" s="6">
        <v>0.1</v>
      </c>
      <c r="J732" s="6">
        <v>0.1</v>
      </c>
      <c r="K732" s="6">
        <v>0.1</v>
      </c>
      <c r="L732" s="6">
        <v>0.1</v>
      </c>
      <c r="M732" s="6">
        <v>0.1</v>
      </c>
      <c r="N732" s="6">
        <v>0.1</v>
      </c>
      <c r="O732" s="6">
        <v>0.1</v>
      </c>
      <c r="P732" s="6">
        <v>0.1</v>
      </c>
      <c r="Q732" s="6">
        <v>0.1</v>
      </c>
    </row>
    <row r="733" spans="1:17">
      <c r="A733" s="2">
        <v>2681</v>
      </c>
      <c r="B733" s="6">
        <v>0.1</v>
      </c>
      <c r="C733" s="6">
        <v>0.1</v>
      </c>
      <c r="D733" s="6">
        <v>0.1</v>
      </c>
      <c r="E733" s="6">
        <v>0.1</v>
      </c>
      <c r="F733" s="6">
        <v>0.1</v>
      </c>
      <c r="G733" s="6">
        <v>0.1</v>
      </c>
      <c r="H733" s="6">
        <v>0.1</v>
      </c>
      <c r="I733" s="6">
        <v>0.1</v>
      </c>
      <c r="J733" s="6">
        <v>0.1</v>
      </c>
      <c r="K733" s="6">
        <v>0.1</v>
      </c>
      <c r="L733" s="6">
        <v>0.1</v>
      </c>
      <c r="M733" s="6">
        <v>0.1</v>
      </c>
      <c r="N733" s="6">
        <v>0.1</v>
      </c>
      <c r="O733" s="6">
        <v>0.1</v>
      </c>
      <c r="P733" s="6">
        <v>0.1</v>
      </c>
      <c r="Q733" s="6">
        <v>0.1</v>
      </c>
    </row>
    <row r="734" spans="1:17">
      <c r="A734" s="2">
        <v>2682</v>
      </c>
      <c r="B734" s="6">
        <v>0.1</v>
      </c>
      <c r="C734" s="6">
        <v>0.1</v>
      </c>
      <c r="D734" s="6">
        <v>0.1</v>
      </c>
      <c r="E734" s="6">
        <v>0.1</v>
      </c>
      <c r="F734" s="6">
        <v>0.1</v>
      </c>
      <c r="G734" s="6">
        <v>0.1</v>
      </c>
      <c r="H734" s="6">
        <v>0.1</v>
      </c>
      <c r="I734" s="6">
        <v>0.1</v>
      </c>
      <c r="J734" s="6">
        <v>0.1</v>
      </c>
      <c r="K734" s="6">
        <v>0.1</v>
      </c>
      <c r="L734" s="6">
        <v>0.1</v>
      </c>
      <c r="M734" s="6">
        <v>0.1</v>
      </c>
      <c r="N734" s="6">
        <v>0.1</v>
      </c>
      <c r="O734" s="6">
        <v>0.1</v>
      </c>
      <c r="P734" s="6">
        <v>0.1</v>
      </c>
      <c r="Q734" s="6">
        <v>0.1</v>
      </c>
    </row>
    <row r="735" spans="1:17">
      <c r="A735" s="2">
        <v>2683</v>
      </c>
      <c r="B735" s="6">
        <v>0.1</v>
      </c>
      <c r="C735" s="6">
        <v>0.1</v>
      </c>
      <c r="D735" s="6">
        <v>0.1</v>
      </c>
      <c r="E735" s="6">
        <v>0.1</v>
      </c>
      <c r="F735" s="6">
        <v>0.1</v>
      </c>
      <c r="G735" s="6">
        <v>0.1</v>
      </c>
      <c r="H735" s="6">
        <v>0.1</v>
      </c>
      <c r="I735" s="6">
        <v>0.1</v>
      </c>
      <c r="J735" s="6">
        <v>0.1</v>
      </c>
      <c r="K735" s="6">
        <v>0.1</v>
      </c>
      <c r="L735" s="6">
        <v>0.1</v>
      </c>
      <c r="M735" s="6">
        <v>0.1</v>
      </c>
      <c r="N735" s="6">
        <v>0.1</v>
      </c>
      <c r="O735" s="6">
        <v>0.1</v>
      </c>
      <c r="P735" s="6">
        <v>0.1</v>
      </c>
      <c r="Q735" s="6">
        <v>0.1</v>
      </c>
    </row>
    <row r="736" spans="1:17">
      <c r="A736" s="2">
        <v>2684</v>
      </c>
      <c r="B736" s="6">
        <v>0.1</v>
      </c>
      <c r="C736" s="6">
        <v>0.1</v>
      </c>
      <c r="D736" s="6">
        <v>0.1</v>
      </c>
      <c r="E736" s="6">
        <v>0.1</v>
      </c>
      <c r="F736" s="6">
        <v>0.1</v>
      </c>
      <c r="G736" s="6">
        <v>0.1</v>
      </c>
      <c r="H736" s="6">
        <v>0.1</v>
      </c>
      <c r="I736" s="6">
        <v>0.1</v>
      </c>
      <c r="J736" s="6">
        <v>0.1</v>
      </c>
      <c r="K736" s="6">
        <v>0.1</v>
      </c>
      <c r="L736" s="6">
        <v>0.1</v>
      </c>
      <c r="M736" s="6">
        <v>0.1</v>
      </c>
      <c r="N736" s="6">
        <v>0.1</v>
      </c>
      <c r="O736" s="6">
        <v>0.1</v>
      </c>
      <c r="P736" s="6">
        <v>0.1</v>
      </c>
      <c r="Q736" s="6">
        <v>0.1</v>
      </c>
    </row>
    <row r="737" spans="1:17">
      <c r="A737" s="2">
        <v>2685</v>
      </c>
      <c r="B737" s="6">
        <v>0.1</v>
      </c>
      <c r="C737" s="6">
        <v>0.1</v>
      </c>
      <c r="D737" s="6">
        <v>0.1</v>
      </c>
      <c r="E737" s="6">
        <v>0.1</v>
      </c>
      <c r="F737" s="6">
        <v>0.1</v>
      </c>
      <c r="G737" s="6">
        <v>0.1</v>
      </c>
      <c r="H737" s="6">
        <v>0.1</v>
      </c>
      <c r="I737" s="6">
        <v>0.1</v>
      </c>
      <c r="J737" s="6">
        <v>0.1</v>
      </c>
      <c r="K737" s="6">
        <v>0.1</v>
      </c>
      <c r="L737" s="6">
        <v>0.1</v>
      </c>
      <c r="M737" s="6">
        <v>0.1</v>
      </c>
      <c r="N737" s="6">
        <v>0.1</v>
      </c>
      <c r="O737" s="6">
        <v>0.1</v>
      </c>
      <c r="P737" s="6">
        <v>0.1</v>
      </c>
      <c r="Q737" s="6">
        <v>0.1</v>
      </c>
    </row>
    <row r="738" spans="1:17">
      <c r="A738" s="2">
        <v>2686</v>
      </c>
      <c r="B738" s="6">
        <v>0.1</v>
      </c>
      <c r="C738" s="6">
        <v>0.1</v>
      </c>
      <c r="D738" s="6">
        <v>0.1</v>
      </c>
      <c r="E738" s="6">
        <v>0.1</v>
      </c>
      <c r="F738" s="6">
        <v>0.1</v>
      </c>
      <c r="G738" s="6">
        <v>0.1</v>
      </c>
      <c r="H738" s="6">
        <v>0.1</v>
      </c>
      <c r="I738" s="6">
        <v>0.1</v>
      </c>
      <c r="J738" s="6">
        <v>0.1</v>
      </c>
      <c r="K738" s="6">
        <v>0.1</v>
      </c>
      <c r="L738" s="6">
        <v>0.1</v>
      </c>
      <c r="M738" s="6">
        <v>0.1</v>
      </c>
      <c r="N738" s="6">
        <v>0.1</v>
      </c>
      <c r="O738" s="6">
        <v>0.1</v>
      </c>
      <c r="P738" s="6">
        <v>0.1</v>
      </c>
      <c r="Q738" s="6">
        <v>0.1</v>
      </c>
    </row>
    <row r="739" spans="1:17">
      <c r="A739" s="2">
        <v>2687</v>
      </c>
      <c r="B739" s="6">
        <v>0.1</v>
      </c>
      <c r="C739" s="6">
        <v>0.1</v>
      </c>
      <c r="D739" s="6">
        <v>0.1</v>
      </c>
      <c r="E739" s="6">
        <v>0.1</v>
      </c>
      <c r="F739" s="6">
        <v>0.1</v>
      </c>
      <c r="G739" s="6">
        <v>0.1</v>
      </c>
      <c r="H739" s="6">
        <v>0.1</v>
      </c>
      <c r="I739" s="6">
        <v>0.1</v>
      </c>
      <c r="J739" s="6">
        <v>0.1</v>
      </c>
      <c r="K739" s="6">
        <v>0.1</v>
      </c>
      <c r="L739" s="6">
        <v>0.1</v>
      </c>
      <c r="M739" s="6">
        <v>0.1</v>
      </c>
      <c r="N739" s="6">
        <v>0.1</v>
      </c>
      <c r="O739" s="6">
        <v>0.1</v>
      </c>
      <c r="P739" s="6">
        <v>0.1</v>
      </c>
      <c r="Q739" s="6">
        <v>0.1</v>
      </c>
    </row>
    <row r="740" spans="1:17">
      <c r="A740" s="2">
        <v>2688</v>
      </c>
      <c r="B740" s="6">
        <v>0.1</v>
      </c>
      <c r="C740" s="6">
        <v>0.1</v>
      </c>
      <c r="D740" s="6">
        <v>0.1</v>
      </c>
      <c r="E740" s="6">
        <v>0.1</v>
      </c>
      <c r="F740" s="6">
        <v>0.1</v>
      </c>
      <c r="G740" s="6">
        <v>0.1</v>
      </c>
      <c r="H740" s="6">
        <v>0.1</v>
      </c>
      <c r="I740" s="6">
        <v>0.1</v>
      </c>
      <c r="J740" s="6">
        <v>0.1</v>
      </c>
      <c r="K740" s="6">
        <v>0.1</v>
      </c>
      <c r="L740" s="6">
        <v>0.1</v>
      </c>
      <c r="M740" s="6">
        <v>0.1</v>
      </c>
      <c r="N740" s="6">
        <v>0.1</v>
      </c>
      <c r="O740" s="6">
        <v>0.1</v>
      </c>
      <c r="P740" s="6">
        <v>0.1</v>
      </c>
      <c r="Q740" s="6">
        <v>0.1</v>
      </c>
    </row>
    <row r="741" spans="1:17">
      <c r="A741" s="2">
        <v>2689</v>
      </c>
      <c r="B741" s="6">
        <v>0.1</v>
      </c>
      <c r="C741" s="6">
        <v>0.1</v>
      </c>
      <c r="D741" s="6">
        <v>0.1</v>
      </c>
      <c r="E741" s="6">
        <v>0.1</v>
      </c>
      <c r="F741" s="6">
        <v>0.1</v>
      </c>
      <c r="G741" s="6">
        <v>0.1</v>
      </c>
      <c r="H741" s="6">
        <v>0.1</v>
      </c>
      <c r="I741" s="6">
        <v>0.1</v>
      </c>
      <c r="J741" s="6">
        <v>0.1</v>
      </c>
      <c r="K741" s="6">
        <v>0.1</v>
      </c>
      <c r="L741" s="6">
        <v>0.1</v>
      </c>
      <c r="M741" s="6">
        <v>0.1</v>
      </c>
      <c r="N741" s="6">
        <v>0.1</v>
      </c>
      <c r="O741" s="6">
        <v>0.1</v>
      </c>
      <c r="P741" s="6">
        <v>0.1</v>
      </c>
      <c r="Q741" s="6">
        <v>0.1</v>
      </c>
    </row>
    <row r="742" spans="1:17">
      <c r="A742" s="2">
        <v>2690</v>
      </c>
      <c r="B742" s="6">
        <v>0.1</v>
      </c>
      <c r="C742" s="6">
        <v>0.1</v>
      </c>
      <c r="D742" s="6">
        <v>0.1</v>
      </c>
      <c r="E742" s="6">
        <v>0.1</v>
      </c>
      <c r="F742" s="6">
        <v>0.1</v>
      </c>
      <c r="G742" s="6">
        <v>0.1</v>
      </c>
      <c r="H742" s="6">
        <v>0.1</v>
      </c>
      <c r="I742" s="6">
        <v>0.1</v>
      </c>
      <c r="J742" s="6">
        <v>0.1</v>
      </c>
      <c r="K742" s="6">
        <v>0.1</v>
      </c>
      <c r="L742" s="6">
        <v>0.1</v>
      </c>
      <c r="M742" s="6">
        <v>0.1</v>
      </c>
      <c r="N742" s="6">
        <v>0.1</v>
      </c>
      <c r="O742" s="6">
        <v>0.1</v>
      </c>
      <c r="P742" s="6">
        <v>0.1</v>
      </c>
      <c r="Q742" s="6">
        <v>0.1</v>
      </c>
    </row>
    <row r="743" spans="1:17">
      <c r="A743" s="2">
        <v>2691</v>
      </c>
      <c r="B743" s="6">
        <v>0.1</v>
      </c>
      <c r="C743" s="6">
        <v>0.1</v>
      </c>
      <c r="D743" s="6">
        <v>0.1</v>
      </c>
      <c r="E743" s="6">
        <v>0.1</v>
      </c>
      <c r="F743" s="6">
        <v>0.1</v>
      </c>
      <c r="G743" s="6">
        <v>0.1</v>
      </c>
      <c r="H743" s="6">
        <v>0.1</v>
      </c>
      <c r="I743" s="6">
        <v>0.1</v>
      </c>
      <c r="J743" s="6">
        <v>0.1</v>
      </c>
      <c r="K743" s="6">
        <v>0.1</v>
      </c>
      <c r="L743" s="6">
        <v>0.1</v>
      </c>
      <c r="M743" s="6">
        <v>0.1</v>
      </c>
      <c r="N743" s="6">
        <v>0.1</v>
      </c>
      <c r="O743" s="6">
        <v>0.1</v>
      </c>
      <c r="P743" s="6">
        <v>0.1</v>
      </c>
      <c r="Q743" s="6">
        <v>0.1</v>
      </c>
    </row>
    <row r="744" spans="1:17">
      <c r="A744" s="2">
        <v>2692</v>
      </c>
      <c r="B744" s="6">
        <v>0.1</v>
      </c>
      <c r="C744" s="6">
        <v>0.1</v>
      </c>
      <c r="D744" s="6">
        <v>0.1</v>
      </c>
      <c r="E744" s="6">
        <v>0.1</v>
      </c>
      <c r="F744" s="6">
        <v>0.1</v>
      </c>
      <c r="G744" s="6">
        <v>0.1</v>
      </c>
      <c r="H744" s="6">
        <v>0.1</v>
      </c>
      <c r="I744" s="6">
        <v>0.1</v>
      </c>
      <c r="J744" s="6">
        <v>0.1</v>
      </c>
      <c r="K744" s="6">
        <v>0.1</v>
      </c>
      <c r="L744" s="6">
        <v>0.1</v>
      </c>
      <c r="M744" s="6">
        <v>0.1</v>
      </c>
      <c r="N744" s="6">
        <v>0.1</v>
      </c>
      <c r="O744" s="6">
        <v>0.1</v>
      </c>
      <c r="P744" s="6">
        <v>0.1</v>
      </c>
      <c r="Q744" s="6">
        <v>0.1</v>
      </c>
    </row>
    <row r="745" spans="1:17">
      <c r="A745" s="2">
        <v>2693</v>
      </c>
      <c r="B745" s="6">
        <v>0.1</v>
      </c>
      <c r="C745" s="6">
        <v>0.1</v>
      </c>
      <c r="D745" s="6">
        <v>0.1</v>
      </c>
      <c r="E745" s="6">
        <v>0.1</v>
      </c>
      <c r="F745" s="6">
        <v>0.1</v>
      </c>
      <c r="G745" s="6">
        <v>0.1</v>
      </c>
      <c r="H745" s="6">
        <v>0.1</v>
      </c>
      <c r="I745" s="6">
        <v>0.1</v>
      </c>
      <c r="J745" s="6">
        <v>0.1</v>
      </c>
      <c r="K745" s="6">
        <v>0.1</v>
      </c>
      <c r="L745" s="6">
        <v>0.1</v>
      </c>
      <c r="M745" s="6">
        <v>0.1</v>
      </c>
      <c r="N745" s="6">
        <v>0.1</v>
      </c>
      <c r="O745" s="6">
        <v>0.1</v>
      </c>
      <c r="P745" s="6">
        <v>0.1</v>
      </c>
      <c r="Q745" s="6">
        <v>0.1</v>
      </c>
    </row>
    <row r="746" spans="1:17">
      <c r="A746" s="2">
        <v>2694</v>
      </c>
      <c r="B746" s="6">
        <v>0.1</v>
      </c>
      <c r="C746" s="6">
        <v>0.1</v>
      </c>
      <c r="D746" s="6">
        <v>0.1</v>
      </c>
      <c r="E746" s="6">
        <v>0.1</v>
      </c>
      <c r="F746" s="6">
        <v>0.1</v>
      </c>
      <c r="G746" s="6">
        <v>0.1</v>
      </c>
      <c r="H746" s="6">
        <v>0.1</v>
      </c>
      <c r="I746" s="6">
        <v>0.1</v>
      </c>
      <c r="J746" s="6">
        <v>0.1</v>
      </c>
      <c r="K746" s="6">
        <v>0.1</v>
      </c>
      <c r="L746" s="6">
        <v>0.1</v>
      </c>
      <c r="M746" s="6">
        <v>0.1</v>
      </c>
      <c r="N746" s="6">
        <v>0.1</v>
      </c>
      <c r="O746" s="6">
        <v>0.1</v>
      </c>
      <c r="P746" s="6">
        <v>0.1</v>
      </c>
      <c r="Q746" s="6">
        <v>0.1</v>
      </c>
    </row>
    <row r="747" spans="1:17">
      <c r="A747" s="2">
        <v>2695</v>
      </c>
      <c r="B747" s="6">
        <v>0.1</v>
      </c>
      <c r="C747" s="6">
        <v>0.1</v>
      </c>
      <c r="D747" s="6">
        <v>0.1</v>
      </c>
      <c r="E747" s="6">
        <v>0.1</v>
      </c>
      <c r="F747" s="6">
        <v>0.1</v>
      </c>
      <c r="G747" s="6">
        <v>0.1</v>
      </c>
      <c r="H747" s="6">
        <v>0.1</v>
      </c>
      <c r="I747" s="6">
        <v>0.1</v>
      </c>
      <c r="J747" s="6">
        <v>0.1</v>
      </c>
      <c r="K747" s="6">
        <v>0.1</v>
      </c>
      <c r="L747" s="6">
        <v>0.1</v>
      </c>
      <c r="M747" s="6">
        <v>0.1</v>
      </c>
      <c r="N747" s="6">
        <v>0.1</v>
      </c>
      <c r="O747" s="6">
        <v>0.1</v>
      </c>
      <c r="P747" s="6">
        <v>0.1</v>
      </c>
      <c r="Q747" s="6">
        <v>0.1</v>
      </c>
    </row>
    <row r="748" spans="1:17">
      <c r="A748" s="2">
        <v>2696</v>
      </c>
      <c r="B748" s="6">
        <v>0.1</v>
      </c>
      <c r="C748" s="6">
        <v>0.1</v>
      </c>
      <c r="D748" s="6">
        <v>0.1</v>
      </c>
      <c r="E748" s="6">
        <v>0.1</v>
      </c>
      <c r="F748" s="6">
        <v>0.1</v>
      </c>
      <c r="G748" s="6">
        <v>0.1</v>
      </c>
      <c r="H748" s="6">
        <v>0.1</v>
      </c>
      <c r="I748" s="6">
        <v>0.1</v>
      </c>
      <c r="J748" s="6">
        <v>0.1</v>
      </c>
      <c r="K748" s="6">
        <v>0.1</v>
      </c>
      <c r="L748" s="6">
        <v>0.1</v>
      </c>
      <c r="M748" s="6">
        <v>0.1</v>
      </c>
      <c r="N748" s="6">
        <v>0.1</v>
      </c>
      <c r="O748" s="6">
        <v>0.1</v>
      </c>
      <c r="P748" s="6">
        <v>0.1</v>
      </c>
      <c r="Q748" s="6">
        <v>0.1</v>
      </c>
    </row>
    <row r="749" spans="1:17">
      <c r="A749" s="2">
        <v>2697</v>
      </c>
      <c r="B749" s="6">
        <v>0.1</v>
      </c>
      <c r="C749" s="6">
        <v>0.1</v>
      </c>
      <c r="D749" s="6">
        <v>0.1</v>
      </c>
      <c r="E749" s="6">
        <v>0.1</v>
      </c>
      <c r="F749" s="6">
        <v>0.1</v>
      </c>
      <c r="G749" s="6">
        <v>0.1</v>
      </c>
      <c r="H749" s="6">
        <v>0.1</v>
      </c>
      <c r="I749" s="6">
        <v>0.1</v>
      </c>
      <c r="J749" s="6">
        <v>0.1</v>
      </c>
      <c r="K749" s="6">
        <v>0.1</v>
      </c>
      <c r="L749" s="6">
        <v>0.1</v>
      </c>
      <c r="M749" s="6">
        <v>0.1</v>
      </c>
      <c r="N749" s="6">
        <v>0.1</v>
      </c>
      <c r="O749" s="6">
        <v>0.1</v>
      </c>
      <c r="P749" s="6">
        <v>0.1</v>
      </c>
      <c r="Q749" s="6">
        <v>0.1</v>
      </c>
    </row>
    <row r="750" spans="1:17">
      <c r="A750" s="2">
        <v>2698</v>
      </c>
      <c r="B750" s="6">
        <v>0.1</v>
      </c>
      <c r="C750" s="6">
        <v>0.1</v>
      </c>
      <c r="D750" s="6">
        <v>0.1</v>
      </c>
      <c r="E750" s="6">
        <v>0.1</v>
      </c>
      <c r="F750" s="6">
        <v>0.1</v>
      </c>
      <c r="G750" s="6">
        <v>0.1</v>
      </c>
      <c r="H750" s="6">
        <v>0.1</v>
      </c>
      <c r="I750" s="6">
        <v>0.1</v>
      </c>
      <c r="J750" s="6">
        <v>0.1</v>
      </c>
      <c r="K750" s="6">
        <v>0.1</v>
      </c>
      <c r="L750" s="6">
        <v>0.1</v>
      </c>
      <c r="M750" s="6">
        <v>0.1</v>
      </c>
      <c r="N750" s="6">
        <v>0.1</v>
      </c>
      <c r="O750" s="6">
        <v>0.1</v>
      </c>
      <c r="P750" s="6">
        <v>0.1</v>
      </c>
      <c r="Q750" s="6">
        <v>0.1</v>
      </c>
    </row>
    <row r="751" spans="1:17">
      <c r="A751" s="2">
        <v>2699</v>
      </c>
      <c r="B751" s="6">
        <v>0.1</v>
      </c>
      <c r="C751" s="6">
        <v>0.1</v>
      </c>
      <c r="D751" s="6">
        <v>0.1</v>
      </c>
      <c r="E751" s="6">
        <v>0.1</v>
      </c>
      <c r="F751" s="6">
        <v>0.1</v>
      </c>
      <c r="G751" s="6">
        <v>0.1</v>
      </c>
      <c r="H751" s="6">
        <v>0.1</v>
      </c>
      <c r="I751" s="6">
        <v>0.1</v>
      </c>
      <c r="J751" s="6">
        <v>0.1</v>
      </c>
      <c r="K751" s="6">
        <v>0.1</v>
      </c>
      <c r="L751" s="6">
        <v>0.1</v>
      </c>
      <c r="M751" s="6">
        <v>0.1</v>
      </c>
      <c r="N751" s="6">
        <v>0.1</v>
      </c>
      <c r="O751" s="6">
        <v>0.1</v>
      </c>
      <c r="P751" s="6">
        <v>0.1</v>
      </c>
      <c r="Q751" s="6">
        <v>0.1</v>
      </c>
    </row>
    <row r="752" spans="1:17">
      <c r="A752" s="2">
        <v>2700</v>
      </c>
      <c r="B752" s="6">
        <v>0.1</v>
      </c>
      <c r="C752" s="6">
        <v>0.1</v>
      </c>
      <c r="D752" s="6">
        <v>0.1</v>
      </c>
      <c r="E752" s="6">
        <v>0.1</v>
      </c>
      <c r="F752" s="6">
        <v>0.1</v>
      </c>
      <c r="G752" s="6">
        <v>0.1</v>
      </c>
      <c r="H752" s="6">
        <v>0.1</v>
      </c>
      <c r="I752" s="6">
        <v>0.1</v>
      </c>
      <c r="J752" s="6">
        <v>0.1</v>
      </c>
      <c r="K752" s="6">
        <v>0.1</v>
      </c>
      <c r="L752" s="6">
        <v>0.1</v>
      </c>
      <c r="M752" s="6">
        <v>0.1</v>
      </c>
      <c r="N752" s="6">
        <v>0.1</v>
      </c>
      <c r="O752" s="6">
        <v>0.1</v>
      </c>
      <c r="P752" s="6">
        <v>0.1</v>
      </c>
      <c r="Q752" s="6">
        <v>0.1</v>
      </c>
    </row>
    <row r="753" spans="1:17">
      <c r="A753" s="2">
        <v>2701</v>
      </c>
      <c r="B753" s="6">
        <v>0.1</v>
      </c>
      <c r="C753" s="6">
        <v>0.1</v>
      </c>
      <c r="D753" s="6">
        <v>0.1</v>
      </c>
      <c r="E753" s="6">
        <v>0.1</v>
      </c>
      <c r="F753" s="6">
        <v>0.1</v>
      </c>
      <c r="G753" s="6">
        <v>0.1</v>
      </c>
      <c r="H753" s="6">
        <v>0.1</v>
      </c>
      <c r="I753" s="6">
        <v>0.1</v>
      </c>
      <c r="J753" s="6">
        <v>0.1</v>
      </c>
      <c r="K753" s="6">
        <v>0.1</v>
      </c>
      <c r="L753" s="6">
        <v>0.1</v>
      </c>
      <c r="M753" s="6">
        <v>0.1</v>
      </c>
      <c r="N753" s="6">
        <v>0.1</v>
      </c>
      <c r="O753" s="6">
        <v>0.1</v>
      </c>
      <c r="P753" s="6">
        <v>0.1</v>
      </c>
      <c r="Q753" s="6">
        <v>0.1</v>
      </c>
    </row>
    <row r="754" spans="1:17">
      <c r="A754" s="2">
        <v>2702</v>
      </c>
      <c r="B754" s="6">
        <v>0.1</v>
      </c>
      <c r="C754" s="6">
        <v>0.1</v>
      </c>
      <c r="D754" s="6">
        <v>0.1</v>
      </c>
      <c r="E754" s="6">
        <v>0.1</v>
      </c>
      <c r="F754" s="6">
        <v>0.1</v>
      </c>
      <c r="G754" s="6">
        <v>0.1</v>
      </c>
      <c r="H754" s="6">
        <v>0.1</v>
      </c>
      <c r="I754" s="6">
        <v>0.1</v>
      </c>
      <c r="J754" s="6">
        <v>0.1</v>
      </c>
      <c r="K754" s="6">
        <v>0.1</v>
      </c>
      <c r="L754" s="6">
        <v>0.1</v>
      </c>
      <c r="M754" s="6">
        <v>0.1</v>
      </c>
      <c r="N754" s="6">
        <v>0.1</v>
      </c>
      <c r="O754" s="6">
        <v>0.1</v>
      </c>
      <c r="P754" s="6">
        <v>0.1</v>
      </c>
      <c r="Q754" s="6">
        <v>0.1</v>
      </c>
    </row>
    <row r="755" spans="1:17">
      <c r="A755" s="2">
        <v>2703</v>
      </c>
      <c r="B755" s="6">
        <v>0.1</v>
      </c>
      <c r="C755" s="6">
        <v>0.1</v>
      </c>
      <c r="D755" s="6">
        <v>0.1</v>
      </c>
      <c r="E755" s="6">
        <v>0.1</v>
      </c>
      <c r="F755" s="6">
        <v>0.1</v>
      </c>
      <c r="G755" s="6">
        <v>0.1</v>
      </c>
      <c r="H755" s="6">
        <v>0.1</v>
      </c>
      <c r="I755" s="6">
        <v>0.1</v>
      </c>
      <c r="J755" s="6">
        <v>0.1</v>
      </c>
      <c r="K755" s="6">
        <v>0.1</v>
      </c>
      <c r="L755" s="6">
        <v>0.1</v>
      </c>
      <c r="M755" s="6">
        <v>0.1</v>
      </c>
      <c r="N755" s="6">
        <v>0.1</v>
      </c>
      <c r="O755" s="6">
        <v>0.1</v>
      </c>
      <c r="P755" s="6">
        <v>0.1</v>
      </c>
      <c r="Q755" s="6">
        <v>0.1</v>
      </c>
    </row>
    <row r="756" spans="1:17">
      <c r="A756" s="2">
        <v>2704</v>
      </c>
      <c r="B756" s="6">
        <v>0.1</v>
      </c>
      <c r="C756" s="6">
        <v>0.1</v>
      </c>
      <c r="D756" s="6">
        <v>0.1</v>
      </c>
      <c r="E756" s="6">
        <v>0.1</v>
      </c>
      <c r="F756" s="6">
        <v>0.1</v>
      </c>
      <c r="G756" s="6">
        <v>0.1</v>
      </c>
      <c r="H756" s="6">
        <v>0.1</v>
      </c>
      <c r="I756" s="6">
        <v>0.1</v>
      </c>
      <c r="J756" s="6">
        <v>0.1</v>
      </c>
      <c r="K756" s="6">
        <v>0.1</v>
      </c>
      <c r="L756" s="6">
        <v>0.1</v>
      </c>
      <c r="M756" s="6">
        <v>0.1</v>
      </c>
      <c r="N756" s="6">
        <v>0.1</v>
      </c>
      <c r="O756" s="6">
        <v>0.1</v>
      </c>
      <c r="P756" s="6">
        <v>0.1</v>
      </c>
      <c r="Q756" s="6">
        <v>0.1</v>
      </c>
    </row>
    <row r="757" spans="1:17">
      <c r="A757" s="2">
        <v>2705</v>
      </c>
      <c r="B757" s="6">
        <v>0.1</v>
      </c>
      <c r="C757" s="6">
        <v>0.1</v>
      </c>
      <c r="D757" s="6">
        <v>0.1</v>
      </c>
      <c r="E757" s="6">
        <v>0.1</v>
      </c>
      <c r="F757" s="6">
        <v>0.1</v>
      </c>
      <c r="G757" s="6">
        <v>0.1</v>
      </c>
      <c r="H757" s="6">
        <v>0.1</v>
      </c>
      <c r="I757" s="6">
        <v>0.1</v>
      </c>
      <c r="J757" s="6">
        <v>0.1</v>
      </c>
      <c r="K757" s="6">
        <v>0.1</v>
      </c>
      <c r="L757" s="6">
        <v>0.1</v>
      </c>
      <c r="M757" s="6">
        <v>0.1</v>
      </c>
      <c r="N757" s="6">
        <v>0.1</v>
      </c>
      <c r="O757" s="6">
        <v>0.1</v>
      </c>
      <c r="P757" s="6">
        <v>0.1</v>
      </c>
      <c r="Q757" s="6">
        <v>0.1</v>
      </c>
    </row>
    <row r="758" spans="1:17">
      <c r="A758" s="2">
        <v>2706</v>
      </c>
      <c r="B758" s="6">
        <v>0.1</v>
      </c>
      <c r="C758" s="6">
        <v>0.1</v>
      </c>
      <c r="D758" s="6">
        <v>0.1</v>
      </c>
      <c r="E758" s="6">
        <v>0.1</v>
      </c>
      <c r="F758" s="6">
        <v>0.1</v>
      </c>
      <c r="G758" s="6">
        <v>0.1</v>
      </c>
      <c r="H758" s="6">
        <v>0.1</v>
      </c>
      <c r="I758" s="6">
        <v>0.1</v>
      </c>
      <c r="J758" s="6">
        <v>0.1</v>
      </c>
      <c r="K758" s="6">
        <v>0.1</v>
      </c>
      <c r="L758" s="6">
        <v>0.1</v>
      </c>
      <c r="M758" s="6">
        <v>0.1</v>
      </c>
      <c r="N758" s="6">
        <v>0.1</v>
      </c>
      <c r="O758" s="6">
        <v>0.1</v>
      </c>
      <c r="P758" s="6">
        <v>0.1</v>
      </c>
      <c r="Q758" s="6">
        <v>0.1</v>
      </c>
    </row>
    <row r="759" spans="1:17">
      <c r="A759" s="2">
        <v>2707</v>
      </c>
      <c r="B759" s="6">
        <v>0.1</v>
      </c>
      <c r="C759" s="6">
        <v>0.1</v>
      </c>
      <c r="D759" s="6">
        <v>0.1</v>
      </c>
      <c r="E759" s="6">
        <v>0.1</v>
      </c>
      <c r="F759" s="6">
        <v>0.1</v>
      </c>
      <c r="G759" s="6">
        <v>0.1</v>
      </c>
      <c r="H759" s="6">
        <v>0.1</v>
      </c>
      <c r="I759" s="6">
        <v>0.1</v>
      </c>
      <c r="J759" s="6">
        <v>0.1</v>
      </c>
      <c r="K759" s="6">
        <v>0.1</v>
      </c>
      <c r="L759" s="6">
        <v>0.1</v>
      </c>
      <c r="M759" s="6">
        <v>0.1</v>
      </c>
      <c r="N759" s="6">
        <v>0.1</v>
      </c>
      <c r="O759" s="6">
        <v>0.1</v>
      </c>
      <c r="P759" s="6">
        <v>0.1</v>
      </c>
      <c r="Q759" s="6">
        <v>0.1</v>
      </c>
    </row>
    <row r="760" spans="1:17">
      <c r="A760" s="2">
        <v>2708</v>
      </c>
      <c r="B760" s="6">
        <v>0.1</v>
      </c>
      <c r="C760" s="6">
        <v>0.1</v>
      </c>
      <c r="D760" s="6">
        <v>0.1</v>
      </c>
      <c r="E760" s="6">
        <v>0.1</v>
      </c>
      <c r="F760" s="6">
        <v>0.1</v>
      </c>
      <c r="G760" s="6">
        <v>0.1</v>
      </c>
      <c r="H760" s="6">
        <v>0.1</v>
      </c>
      <c r="I760" s="6">
        <v>0.1</v>
      </c>
      <c r="J760" s="6">
        <v>0.1</v>
      </c>
      <c r="K760" s="6">
        <v>0.1</v>
      </c>
      <c r="L760" s="6">
        <v>0.1</v>
      </c>
      <c r="M760" s="6">
        <v>0.1</v>
      </c>
      <c r="N760" s="6">
        <v>0.1</v>
      </c>
      <c r="O760" s="6">
        <v>0.1</v>
      </c>
      <c r="P760" s="6">
        <v>0.1</v>
      </c>
      <c r="Q760" s="6">
        <v>0.1</v>
      </c>
    </row>
    <row r="761" spans="1:17">
      <c r="A761" s="2">
        <v>2709</v>
      </c>
      <c r="B761" s="6">
        <v>0.1</v>
      </c>
      <c r="C761" s="6">
        <v>0.1</v>
      </c>
      <c r="D761" s="6">
        <v>0.1</v>
      </c>
      <c r="E761" s="6">
        <v>0.1</v>
      </c>
      <c r="F761" s="6">
        <v>0.1</v>
      </c>
      <c r="G761" s="6">
        <v>0.1</v>
      </c>
      <c r="H761" s="6">
        <v>0.1</v>
      </c>
      <c r="I761" s="6">
        <v>0.1</v>
      </c>
      <c r="J761" s="6">
        <v>0.1</v>
      </c>
      <c r="K761" s="6">
        <v>0.1</v>
      </c>
      <c r="L761" s="6">
        <v>0.1</v>
      </c>
      <c r="M761" s="6">
        <v>0.1</v>
      </c>
      <c r="N761" s="6">
        <v>0.1</v>
      </c>
      <c r="O761" s="6">
        <v>0.1</v>
      </c>
      <c r="P761" s="6">
        <v>0.1</v>
      </c>
      <c r="Q761" s="6">
        <v>0.1</v>
      </c>
    </row>
    <row r="762" spans="1:17">
      <c r="A762" s="2">
        <v>2710</v>
      </c>
      <c r="B762" s="6">
        <v>0.1</v>
      </c>
      <c r="C762" s="6">
        <v>0.1</v>
      </c>
      <c r="D762" s="6">
        <v>0.1</v>
      </c>
      <c r="E762" s="6">
        <v>0.1</v>
      </c>
      <c r="F762" s="6">
        <v>0.1</v>
      </c>
      <c r="G762" s="6">
        <v>0.1</v>
      </c>
      <c r="H762" s="6">
        <v>0.1</v>
      </c>
      <c r="I762" s="6">
        <v>0.1</v>
      </c>
      <c r="J762" s="6">
        <v>0.1</v>
      </c>
      <c r="K762" s="6">
        <v>0.1</v>
      </c>
      <c r="L762" s="6">
        <v>0.1</v>
      </c>
      <c r="M762" s="6">
        <v>0.1</v>
      </c>
      <c r="N762" s="6">
        <v>0.1</v>
      </c>
      <c r="O762" s="6">
        <v>0.1</v>
      </c>
      <c r="P762" s="6">
        <v>0.1</v>
      </c>
      <c r="Q762" s="6">
        <v>0.1</v>
      </c>
    </row>
    <row r="763" spans="1:17">
      <c r="A763" s="2">
        <v>2711</v>
      </c>
      <c r="B763" s="6">
        <v>0.1</v>
      </c>
      <c r="C763" s="6">
        <v>0.1</v>
      </c>
      <c r="D763" s="6">
        <v>0.1</v>
      </c>
      <c r="E763" s="6">
        <v>0.1</v>
      </c>
      <c r="F763" s="6">
        <v>0.1</v>
      </c>
      <c r="G763" s="6">
        <v>0.1</v>
      </c>
      <c r="H763" s="6">
        <v>0.1</v>
      </c>
      <c r="I763" s="6">
        <v>0.1</v>
      </c>
      <c r="J763" s="6">
        <v>0.1</v>
      </c>
      <c r="K763" s="6">
        <v>0.1</v>
      </c>
      <c r="L763" s="6">
        <v>0.1</v>
      </c>
      <c r="M763" s="6">
        <v>0.1</v>
      </c>
      <c r="N763" s="6">
        <v>0.1</v>
      </c>
      <c r="O763" s="6">
        <v>0.1</v>
      </c>
      <c r="P763" s="6">
        <v>0.1</v>
      </c>
      <c r="Q763" s="6">
        <v>0.1</v>
      </c>
    </row>
    <row r="764" spans="1:17">
      <c r="A764" s="2">
        <v>2712</v>
      </c>
      <c r="B764" s="6">
        <v>0.1</v>
      </c>
      <c r="C764" s="6">
        <v>0.1</v>
      </c>
      <c r="D764" s="6">
        <v>0.1</v>
      </c>
      <c r="E764" s="6">
        <v>0.1</v>
      </c>
      <c r="F764" s="6">
        <v>0.1</v>
      </c>
      <c r="G764" s="6">
        <v>0.1</v>
      </c>
      <c r="H764" s="6">
        <v>0.1</v>
      </c>
      <c r="I764" s="6">
        <v>0.1</v>
      </c>
      <c r="J764" s="6">
        <v>0.1</v>
      </c>
      <c r="K764" s="6">
        <v>0.1</v>
      </c>
      <c r="L764" s="6">
        <v>0.1</v>
      </c>
      <c r="M764" s="6">
        <v>0.1</v>
      </c>
      <c r="N764" s="6">
        <v>0.1</v>
      </c>
      <c r="O764" s="6">
        <v>0.1</v>
      </c>
      <c r="P764" s="6">
        <v>0.1</v>
      </c>
      <c r="Q764" s="6">
        <v>0.1</v>
      </c>
    </row>
    <row r="765" spans="1:17">
      <c r="A765" s="2">
        <v>2713</v>
      </c>
      <c r="B765" s="6">
        <v>0.1</v>
      </c>
      <c r="C765" s="6">
        <v>0.1</v>
      </c>
      <c r="D765" s="6">
        <v>0.1</v>
      </c>
      <c r="E765" s="6">
        <v>0.1</v>
      </c>
      <c r="F765" s="6">
        <v>0.1</v>
      </c>
      <c r="G765" s="6">
        <v>0.1</v>
      </c>
      <c r="H765" s="6">
        <v>0.1</v>
      </c>
      <c r="I765" s="6">
        <v>0.1</v>
      </c>
      <c r="J765" s="6">
        <v>0.1</v>
      </c>
      <c r="K765" s="6">
        <v>0.1</v>
      </c>
      <c r="L765" s="6">
        <v>0.1</v>
      </c>
      <c r="M765" s="6">
        <v>0.1</v>
      </c>
      <c r="N765" s="6">
        <v>0.1</v>
      </c>
      <c r="O765" s="6">
        <v>0.1</v>
      </c>
      <c r="P765" s="6">
        <v>0.1</v>
      </c>
      <c r="Q765" s="6">
        <v>0.1</v>
      </c>
    </row>
    <row r="766" spans="1:17">
      <c r="A766" s="2">
        <v>2714</v>
      </c>
      <c r="B766" s="6">
        <v>0.1</v>
      </c>
      <c r="C766" s="6">
        <v>0.1</v>
      </c>
      <c r="D766" s="6">
        <v>0.1</v>
      </c>
      <c r="E766" s="6">
        <v>0.1</v>
      </c>
      <c r="F766" s="6">
        <v>0.1</v>
      </c>
      <c r="G766" s="6">
        <v>0.1</v>
      </c>
      <c r="H766" s="6">
        <v>0.1</v>
      </c>
      <c r="I766" s="6">
        <v>0.1</v>
      </c>
      <c r="J766" s="6">
        <v>0.1</v>
      </c>
      <c r="K766" s="6">
        <v>0.1</v>
      </c>
      <c r="L766" s="6">
        <v>0.1</v>
      </c>
      <c r="M766" s="6">
        <v>0.1</v>
      </c>
      <c r="N766" s="6">
        <v>0.1</v>
      </c>
      <c r="O766" s="6">
        <v>0.1</v>
      </c>
      <c r="P766" s="6">
        <v>0.1</v>
      </c>
      <c r="Q766" s="6">
        <v>0.1</v>
      </c>
    </row>
    <row r="767" spans="1:17">
      <c r="A767" s="2">
        <v>2715</v>
      </c>
      <c r="B767" s="6">
        <v>0.1</v>
      </c>
      <c r="C767" s="6">
        <v>0.1</v>
      </c>
      <c r="D767" s="6">
        <v>0.1</v>
      </c>
      <c r="E767" s="6">
        <v>0.1</v>
      </c>
      <c r="F767" s="6">
        <v>0.1</v>
      </c>
      <c r="G767" s="6">
        <v>0.1</v>
      </c>
      <c r="H767" s="6">
        <v>0.1</v>
      </c>
      <c r="I767" s="6">
        <v>0.1</v>
      </c>
      <c r="J767" s="6">
        <v>0.1</v>
      </c>
      <c r="K767" s="6">
        <v>0.1</v>
      </c>
      <c r="L767" s="6">
        <v>0.1</v>
      </c>
      <c r="M767" s="6">
        <v>0.1</v>
      </c>
      <c r="N767" s="6">
        <v>0.1</v>
      </c>
      <c r="O767" s="6">
        <v>0.1</v>
      </c>
      <c r="P767" s="6">
        <v>0.1</v>
      </c>
      <c r="Q767" s="6">
        <v>0.1</v>
      </c>
    </row>
    <row r="768" spans="1:17">
      <c r="A768" s="2">
        <v>2716</v>
      </c>
      <c r="B768" s="6">
        <v>0.1</v>
      </c>
      <c r="C768" s="6">
        <v>0.1</v>
      </c>
      <c r="D768" s="6">
        <v>0.1</v>
      </c>
      <c r="E768" s="6">
        <v>0.1</v>
      </c>
      <c r="F768" s="6">
        <v>0.1</v>
      </c>
      <c r="G768" s="6">
        <v>0.1</v>
      </c>
      <c r="H768" s="6">
        <v>0.1</v>
      </c>
      <c r="I768" s="6">
        <v>0.1</v>
      </c>
      <c r="J768" s="6">
        <v>0.1</v>
      </c>
      <c r="K768" s="6">
        <v>0.1</v>
      </c>
      <c r="L768" s="6">
        <v>0.1</v>
      </c>
      <c r="M768" s="6">
        <v>0.1</v>
      </c>
      <c r="N768" s="6">
        <v>0.1</v>
      </c>
      <c r="O768" s="6">
        <v>0.1</v>
      </c>
      <c r="P768" s="6">
        <v>0.1</v>
      </c>
      <c r="Q768" s="6">
        <v>0.1</v>
      </c>
    </row>
    <row r="769" spans="1:17">
      <c r="A769" s="2">
        <v>2717</v>
      </c>
      <c r="B769" s="6">
        <v>0.1</v>
      </c>
      <c r="C769" s="6">
        <v>0.1</v>
      </c>
      <c r="D769" s="6">
        <v>0.1</v>
      </c>
      <c r="E769" s="6">
        <v>0.1</v>
      </c>
      <c r="F769" s="6">
        <v>0.1</v>
      </c>
      <c r="G769" s="6">
        <v>0.1</v>
      </c>
      <c r="H769" s="6">
        <v>0.1</v>
      </c>
      <c r="I769" s="6">
        <v>0.1</v>
      </c>
      <c r="J769" s="6">
        <v>0.1</v>
      </c>
      <c r="K769" s="6">
        <v>0.1</v>
      </c>
      <c r="L769" s="6">
        <v>0.1</v>
      </c>
      <c r="M769" s="6">
        <v>0.1</v>
      </c>
      <c r="N769" s="6">
        <v>0.1</v>
      </c>
      <c r="O769" s="6">
        <v>0.1</v>
      </c>
      <c r="P769" s="6">
        <v>0.1</v>
      </c>
      <c r="Q769" s="6">
        <v>0.1</v>
      </c>
    </row>
    <row r="770" spans="1:17">
      <c r="A770" s="2">
        <v>2718</v>
      </c>
      <c r="B770" s="6">
        <v>0.1</v>
      </c>
      <c r="C770" s="6">
        <v>0.1</v>
      </c>
      <c r="D770" s="6">
        <v>0.1</v>
      </c>
      <c r="E770" s="6">
        <v>0.1</v>
      </c>
      <c r="F770" s="6">
        <v>0.1</v>
      </c>
      <c r="G770" s="6">
        <v>0.1</v>
      </c>
      <c r="H770" s="6">
        <v>0.1</v>
      </c>
      <c r="I770" s="6">
        <v>0.1</v>
      </c>
      <c r="J770" s="6">
        <v>0.1</v>
      </c>
      <c r="K770" s="6">
        <v>0.1</v>
      </c>
      <c r="L770" s="6">
        <v>0.1</v>
      </c>
      <c r="M770" s="6">
        <v>0.1</v>
      </c>
      <c r="N770" s="6">
        <v>0.1</v>
      </c>
      <c r="O770" s="6">
        <v>0.1</v>
      </c>
      <c r="P770" s="6">
        <v>0.1</v>
      </c>
      <c r="Q770" s="6">
        <v>0.1</v>
      </c>
    </row>
    <row r="771" spans="1:17">
      <c r="A771" s="2">
        <v>2719</v>
      </c>
      <c r="B771" s="6">
        <v>0.1</v>
      </c>
      <c r="C771" s="6">
        <v>0.1</v>
      </c>
      <c r="D771" s="6">
        <v>0.1</v>
      </c>
      <c r="E771" s="6">
        <v>0.1</v>
      </c>
      <c r="F771" s="6">
        <v>0.1</v>
      </c>
      <c r="G771" s="6">
        <v>0.1</v>
      </c>
      <c r="H771" s="6">
        <v>0.1</v>
      </c>
      <c r="I771" s="6">
        <v>0.1</v>
      </c>
      <c r="J771" s="6">
        <v>0.1</v>
      </c>
      <c r="K771" s="6">
        <v>0.1</v>
      </c>
      <c r="L771" s="6">
        <v>0.1</v>
      </c>
      <c r="M771" s="6">
        <v>0.1</v>
      </c>
      <c r="N771" s="6">
        <v>0.1</v>
      </c>
      <c r="O771" s="6">
        <v>0.1</v>
      </c>
      <c r="P771" s="6">
        <v>0.1</v>
      </c>
      <c r="Q771" s="6">
        <v>0.1</v>
      </c>
    </row>
    <row r="772" spans="1:17">
      <c r="A772" s="2">
        <v>2720</v>
      </c>
      <c r="B772" s="6">
        <v>0.1</v>
      </c>
      <c r="C772" s="6">
        <v>0.1</v>
      </c>
      <c r="D772" s="6">
        <v>0.1</v>
      </c>
      <c r="E772" s="6">
        <v>0.1</v>
      </c>
      <c r="F772" s="6">
        <v>0.1</v>
      </c>
      <c r="G772" s="6">
        <v>0.1</v>
      </c>
      <c r="H772" s="6">
        <v>0.1</v>
      </c>
      <c r="I772" s="6">
        <v>0.1</v>
      </c>
      <c r="J772" s="6">
        <v>0.1</v>
      </c>
      <c r="K772" s="6">
        <v>0.1</v>
      </c>
      <c r="L772" s="6">
        <v>0.1</v>
      </c>
      <c r="M772" s="6">
        <v>0.1</v>
      </c>
      <c r="N772" s="6">
        <v>0.1</v>
      </c>
      <c r="O772" s="6">
        <v>0.1</v>
      </c>
      <c r="P772" s="6">
        <v>0.1</v>
      </c>
      <c r="Q772" s="6">
        <v>0.1</v>
      </c>
    </row>
    <row r="773" spans="1:17">
      <c r="A773" s="2">
        <v>2721</v>
      </c>
      <c r="B773" s="6">
        <v>0.1</v>
      </c>
      <c r="C773" s="6">
        <v>0.1</v>
      </c>
      <c r="D773" s="6">
        <v>0.1</v>
      </c>
      <c r="E773" s="6">
        <v>0.1</v>
      </c>
      <c r="F773" s="6">
        <v>0.1</v>
      </c>
      <c r="G773" s="6">
        <v>0.1</v>
      </c>
      <c r="H773" s="6">
        <v>0.1</v>
      </c>
      <c r="I773" s="6">
        <v>0.1</v>
      </c>
      <c r="J773" s="6">
        <v>0.1</v>
      </c>
      <c r="K773" s="6">
        <v>0.1</v>
      </c>
      <c r="L773" s="6">
        <v>0.1</v>
      </c>
      <c r="M773" s="6">
        <v>0.1</v>
      </c>
      <c r="N773" s="6">
        <v>0.1</v>
      </c>
      <c r="O773" s="6">
        <v>0.1</v>
      </c>
      <c r="P773" s="6">
        <v>0.1</v>
      </c>
      <c r="Q773" s="6">
        <v>0.1</v>
      </c>
    </row>
    <row r="774" spans="1:17">
      <c r="A774" s="2">
        <v>2722</v>
      </c>
      <c r="B774" s="6">
        <v>0.1</v>
      </c>
      <c r="C774" s="6">
        <v>0.1</v>
      </c>
      <c r="D774" s="6">
        <v>0.1</v>
      </c>
      <c r="E774" s="6">
        <v>0.1</v>
      </c>
      <c r="F774" s="6">
        <v>0.1</v>
      </c>
      <c r="G774" s="6">
        <v>0.1</v>
      </c>
      <c r="H774" s="6">
        <v>0.1</v>
      </c>
      <c r="I774" s="6">
        <v>0.1</v>
      </c>
      <c r="J774" s="6">
        <v>0.1</v>
      </c>
      <c r="K774" s="6">
        <v>0.1</v>
      </c>
      <c r="L774" s="6">
        <v>0.1</v>
      </c>
      <c r="M774" s="6">
        <v>0.1</v>
      </c>
      <c r="N774" s="6">
        <v>0.1</v>
      </c>
      <c r="O774" s="6">
        <v>0.1</v>
      </c>
      <c r="P774" s="6">
        <v>0.1</v>
      </c>
      <c r="Q774" s="6">
        <v>0.1</v>
      </c>
    </row>
    <row r="775" spans="1:17">
      <c r="A775" s="2">
        <v>2723</v>
      </c>
      <c r="B775" s="6">
        <v>0.1</v>
      </c>
      <c r="C775" s="6">
        <v>0.1</v>
      </c>
      <c r="D775" s="6">
        <v>0.1</v>
      </c>
      <c r="E775" s="6">
        <v>0.1</v>
      </c>
      <c r="F775" s="6">
        <v>0.1</v>
      </c>
      <c r="G775" s="6">
        <v>0.1</v>
      </c>
      <c r="H775" s="6">
        <v>0.1</v>
      </c>
      <c r="I775" s="6">
        <v>0.1</v>
      </c>
      <c r="J775" s="6">
        <v>0.1</v>
      </c>
      <c r="K775" s="6">
        <v>0.1</v>
      </c>
      <c r="L775" s="6">
        <v>0.1</v>
      </c>
      <c r="M775" s="6">
        <v>0.1</v>
      </c>
      <c r="N775" s="6">
        <v>0.1</v>
      </c>
      <c r="O775" s="6">
        <v>0.1</v>
      </c>
      <c r="P775" s="6">
        <v>0.1</v>
      </c>
      <c r="Q775" s="6">
        <v>0.1</v>
      </c>
    </row>
    <row r="776" spans="1:17">
      <c r="A776" s="2">
        <v>2724</v>
      </c>
      <c r="B776" s="6">
        <v>0.1</v>
      </c>
      <c r="C776" s="6">
        <v>0.1</v>
      </c>
      <c r="D776" s="6">
        <v>0.1</v>
      </c>
      <c r="E776" s="6">
        <v>0.1</v>
      </c>
      <c r="F776" s="6">
        <v>0.1</v>
      </c>
      <c r="G776" s="6">
        <v>0.1</v>
      </c>
      <c r="H776" s="6">
        <v>0.1</v>
      </c>
      <c r="I776" s="6">
        <v>0.1</v>
      </c>
      <c r="J776" s="6">
        <v>0.1</v>
      </c>
      <c r="K776" s="6">
        <v>0.1</v>
      </c>
      <c r="L776" s="6">
        <v>0.1</v>
      </c>
      <c r="M776" s="6">
        <v>0.1</v>
      </c>
      <c r="N776" s="6">
        <v>0.1</v>
      </c>
      <c r="O776" s="6">
        <v>0.1</v>
      </c>
      <c r="P776" s="6">
        <v>0.1</v>
      </c>
      <c r="Q776" s="6">
        <v>0.1</v>
      </c>
    </row>
    <row r="777" spans="1:17">
      <c r="A777" s="2">
        <v>2725</v>
      </c>
      <c r="B777" s="6">
        <v>0.1</v>
      </c>
      <c r="C777" s="6">
        <v>0.1</v>
      </c>
      <c r="D777" s="6">
        <v>0.1</v>
      </c>
      <c r="E777" s="6">
        <v>0.1</v>
      </c>
      <c r="F777" s="6">
        <v>0.1</v>
      </c>
      <c r="G777" s="6">
        <v>0.1</v>
      </c>
      <c r="H777" s="6">
        <v>0.1</v>
      </c>
      <c r="I777" s="6">
        <v>0.1</v>
      </c>
      <c r="J777" s="6">
        <v>0.1</v>
      </c>
      <c r="K777" s="6">
        <v>0.1</v>
      </c>
      <c r="L777" s="6">
        <v>0.1</v>
      </c>
      <c r="M777" s="6">
        <v>0.1</v>
      </c>
      <c r="N777" s="6">
        <v>0.1</v>
      </c>
      <c r="O777" s="6">
        <v>0.1</v>
      </c>
      <c r="P777" s="6">
        <v>0.1</v>
      </c>
      <c r="Q777" s="6">
        <v>0.1</v>
      </c>
    </row>
    <row r="778" spans="1:17">
      <c r="A778" s="2">
        <v>2726</v>
      </c>
      <c r="B778" s="6">
        <v>0.1</v>
      </c>
      <c r="C778" s="6">
        <v>0.1</v>
      </c>
      <c r="D778" s="6">
        <v>0.1</v>
      </c>
      <c r="E778" s="6">
        <v>0.1</v>
      </c>
      <c r="F778" s="6">
        <v>0.1</v>
      </c>
      <c r="G778" s="6">
        <v>0.1</v>
      </c>
      <c r="H778" s="6">
        <v>0.1</v>
      </c>
      <c r="I778" s="6">
        <v>0.1</v>
      </c>
      <c r="J778" s="6">
        <v>0.1</v>
      </c>
      <c r="K778" s="6">
        <v>0.1</v>
      </c>
      <c r="L778" s="6">
        <v>0.1</v>
      </c>
      <c r="M778" s="6">
        <v>0.1</v>
      </c>
      <c r="N778" s="6">
        <v>0.1</v>
      </c>
      <c r="O778" s="6">
        <v>0.1</v>
      </c>
      <c r="P778" s="6">
        <v>0.1</v>
      </c>
      <c r="Q778" s="6">
        <v>0.1</v>
      </c>
    </row>
    <row r="779" spans="1:17">
      <c r="A779" s="2">
        <v>2727</v>
      </c>
      <c r="B779" s="6">
        <v>0.1</v>
      </c>
      <c r="C779" s="6">
        <v>0.1</v>
      </c>
      <c r="D779" s="6">
        <v>0.1</v>
      </c>
      <c r="E779" s="6">
        <v>0.1</v>
      </c>
      <c r="F779" s="6">
        <v>0.1</v>
      </c>
      <c r="G779" s="6">
        <v>0.1</v>
      </c>
      <c r="H779" s="6">
        <v>0.1</v>
      </c>
      <c r="I779" s="6">
        <v>0.1</v>
      </c>
      <c r="J779" s="6">
        <v>0.1</v>
      </c>
      <c r="K779" s="6">
        <v>0.1</v>
      </c>
      <c r="L779" s="6">
        <v>0.1</v>
      </c>
      <c r="M779" s="6">
        <v>0.1</v>
      </c>
      <c r="N779" s="6">
        <v>0.1</v>
      </c>
      <c r="O779" s="6">
        <v>0.1</v>
      </c>
      <c r="P779" s="6">
        <v>0.1</v>
      </c>
      <c r="Q779" s="6">
        <v>0.1</v>
      </c>
    </row>
    <row r="780" spans="1:17">
      <c r="A780" s="2">
        <v>2728</v>
      </c>
      <c r="B780" s="6">
        <v>0.1</v>
      </c>
      <c r="C780" s="6">
        <v>0.1</v>
      </c>
      <c r="D780" s="6">
        <v>0.1</v>
      </c>
      <c r="E780" s="6">
        <v>0.1</v>
      </c>
      <c r="F780" s="6">
        <v>0.1</v>
      </c>
      <c r="G780" s="6">
        <v>0.1</v>
      </c>
      <c r="H780" s="6">
        <v>0.1</v>
      </c>
      <c r="I780" s="6">
        <v>0.1</v>
      </c>
      <c r="J780" s="6">
        <v>0.1</v>
      </c>
      <c r="K780" s="6">
        <v>0.1</v>
      </c>
      <c r="L780" s="6">
        <v>0.1</v>
      </c>
      <c r="M780" s="6">
        <v>0.1</v>
      </c>
      <c r="N780" s="6">
        <v>0.1</v>
      </c>
      <c r="O780" s="6">
        <v>0.1</v>
      </c>
      <c r="P780" s="6">
        <v>0.1</v>
      </c>
      <c r="Q780" s="6">
        <v>0.1</v>
      </c>
    </row>
    <row r="781" spans="1:17">
      <c r="A781" s="2">
        <v>2729</v>
      </c>
      <c r="B781" s="6">
        <v>0.1</v>
      </c>
      <c r="C781" s="6">
        <v>0.1</v>
      </c>
      <c r="D781" s="6">
        <v>0.1</v>
      </c>
      <c r="E781" s="6">
        <v>0.1</v>
      </c>
      <c r="F781" s="6">
        <v>0.1</v>
      </c>
      <c r="G781" s="6">
        <v>0.1</v>
      </c>
      <c r="H781" s="6">
        <v>0.1</v>
      </c>
      <c r="I781" s="6">
        <v>0.1</v>
      </c>
      <c r="J781" s="6">
        <v>0.1</v>
      </c>
      <c r="K781" s="6">
        <v>0.1</v>
      </c>
      <c r="L781" s="6">
        <v>0.1</v>
      </c>
      <c r="M781" s="6">
        <v>0.1</v>
      </c>
      <c r="N781" s="6">
        <v>0.1</v>
      </c>
      <c r="O781" s="6">
        <v>0.1</v>
      </c>
      <c r="P781" s="6">
        <v>0.1</v>
      </c>
      <c r="Q781" s="6">
        <v>0.1</v>
      </c>
    </row>
    <row r="782" spans="1:17">
      <c r="A782" s="2">
        <v>2730</v>
      </c>
      <c r="B782" s="6">
        <v>0.1</v>
      </c>
      <c r="C782" s="6">
        <v>0.1</v>
      </c>
      <c r="D782" s="6">
        <v>0.1</v>
      </c>
      <c r="E782" s="6">
        <v>0.1</v>
      </c>
      <c r="F782" s="6">
        <v>0.1</v>
      </c>
      <c r="G782" s="6">
        <v>0.1</v>
      </c>
      <c r="H782" s="6">
        <v>0.1</v>
      </c>
      <c r="I782" s="6">
        <v>0.1</v>
      </c>
      <c r="J782" s="6">
        <v>0.1</v>
      </c>
      <c r="K782" s="6">
        <v>0.1</v>
      </c>
      <c r="L782" s="6">
        <v>0.1</v>
      </c>
      <c r="M782" s="6">
        <v>0.1</v>
      </c>
      <c r="N782" s="6">
        <v>0.1</v>
      </c>
      <c r="O782" s="6">
        <v>0.1</v>
      </c>
      <c r="P782" s="6">
        <v>0.1</v>
      </c>
      <c r="Q782" s="6">
        <v>0.1</v>
      </c>
    </row>
    <row r="783" spans="1:17">
      <c r="A783" s="2">
        <v>2731</v>
      </c>
      <c r="B783" s="6">
        <v>0.1</v>
      </c>
      <c r="C783" s="6">
        <v>0.1</v>
      </c>
      <c r="D783" s="6">
        <v>0.1</v>
      </c>
      <c r="E783" s="6">
        <v>0.1</v>
      </c>
      <c r="F783" s="6">
        <v>0.1</v>
      </c>
      <c r="G783" s="6">
        <v>0.1</v>
      </c>
      <c r="H783" s="6">
        <v>0.1</v>
      </c>
      <c r="I783" s="6">
        <v>0.1</v>
      </c>
      <c r="J783" s="6">
        <v>0.1</v>
      </c>
      <c r="K783" s="6">
        <v>0.1</v>
      </c>
      <c r="L783" s="6">
        <v>0.1</v>
      </c>
      <c r="M783" s="6">
        <v>0.1</v>
      </c>
      <c r="N783" s="6">
        <v>0.1</v>
      </c>
      <c r="O783" s="6">
        <v>0.1</v>
      </c>
      <c r="P783" s="6">
        <v>0.1</v>
      </c>
      <c r="Q783" s="6">
        <v>0.1</v>
      </c>
    </row>
    <row r="784" spans="1:17">
      <c r="A784" s="2">
        <v>2732</v>
      </c>
      <c r="B784" s="6">
        <v>0.1</v>
      </c>
      <c r="C784" s="6">
        <v>0.1</v>
      </c>
      <c r="D784" s="6">
        <v>0.1</v>
      </c>
      <c r="E784" s="6">
        <v>0.1</v>
      </c>
      <c r="F784" s="6">
        <v>0.1</v>
      </c>
      <c r="G784" s="6">
        <v>0.1</v>
      </c>
      <c r="H784" s="6">
        <v>0.1</v>
      </c>
      <c r="I784" s="6">
        <v>0.1</v>
      </c>
      <c r="J784" s="6">
        <v>0.1</v>
      </c>
      <c r="K784" s="6">
        <v>0.1</v>
      </c>
      <c r="L784" s="6">
        <v>0.1</v>
      </c>
      <c r="M784" s="6">
        <v>0.1</v>
      </c>
      <c r="N784" s="6">
        <v>0.1</v>
      </c>
      <c r="O784" s="6">
        <v>0.1</v>
      </c>
      <c r="P784" s="6">
        <v>0.1</v>
      </c>
      <c r="Q784" s="6">
        <v>0.1</v>
      </c>
    </row>
    <row r="785" spans="1:17">
      <c r="A785" s="2">
        <v>2733</v>
      </c>
      <c r="B785" s="6">
        <v>0.1</v>
      </c>
      <c r="C785" s="6">
        <v>0.1</v>
      </c>
      <c r="D785" s="6">
        <v>0.1</v>
      </c>
      <c r="E785" s="6">
        <v>0.1</v>
      </c>
      <c r="F785" s="6">
        <v>0.1</v>
      </c>
      <c r="G785" s="6">
        <v>0.1</v>
      </c>
      <c r="H785" s="6">
        <v>0.1</v>
      </c>
      <c r="I785" s="6">
        <v>0.1</v>
      </c>
      <c r="J785" s="6">
        <v>0.1</v>
      </c>
      <c r="K785" s="6">
        <v>0.1</v>
      </c>
      <c r="L785" s="6">
        <v>0.1</v>
      </c>
      <c r="M785" s="6">
        <v>0.1</v>
      </c>
      <c r="N785" s="6">
        <v>0.1</v>
      </c>
      <c r="O785" s="6">
        <v>0.1</v>
      </c>
      <c r="P785" s="6">
        <v>0.1</v>
      </c>
      <c r="Q785" s="6">
        <v>0.1</v>
      </c>
    </row>
    <row r="786" spans="1:17">
      <c r="A786" s="2">
        <v>2734</v>
      </c>
      <c r="B786" s="6">
        <v>0.1</v>
      </c>
      <c r="C786" s="6">
        <v>0.1</v>
      </c>
      <c r="D786" s="6">
        <v>0.1</v>
      </c>
      <c r="E786" s="6">
        <v>0.1</v>
      </c>
      <c r="F786" s="6">
        <v>0.1</v>
      </c>
      <c r="G786" s="6">
        <v>0.1</v>
      </c>
      <c r="H786" s="6">
        <v>0.1</v>
      </c>
      <c r="I786" s="6">
        <v>0.1</v>
      </c>
      <c r="J786" s="6">
        <v>0.1</v>
      </c>
      <c r="K786" s="6">
        <v>0.1</v>
      </c>
      <c r="L786" s="6">
        <v>0.1</v>
      </c>
      <c r="M786" s="6">
        <v>0.1</v>
      </c>
      <c r="N786" s="6">
        <v>0.1</v>
      </c>
      <c r="O786" s="6">
        <v>0.1</v>
      </c>
      <c r="P786" s="6">
        <v>0.1</v>
      </c>
      <c r="Q786" s="6">
        <v>0.1</v>
      </c>
    </row>
    <row r="787" spans="1:17">
      <c r="A787" s="2">
        <v>2735</v>
      </c>
      <c r="B787" s="6">
        <v>0.1</v>
      </c>
      <c r="C787" s="6">
        <v>0.1</v>
      </c>
      <c r="D787" s="6">
        <v>0.1</v>
      </c>
      <c r="E787" s="6">
        <v>0.1</v>
      </c>
      <c r="F787" s="6">
        <v>0.1</v>
      </c>
      <c r="G787" s="6">
        <v>0.1</v>
      </c>
      <c r="H787" s="6">
        <v>0.1</v>
      </c>
      <c r="I787" s="6">
        <v>0.1</v>
      </c>
      <c r="J787" s="6">
        <v>0.1</v>
      </c>
      <c r="K787" s="6">
        <v>0.1</v>
      </c>
      <c r="L787" s="6">
        <v>0.1</v>
      </c>
      <c r="M787" s="6">
        <v>0.1</v>
      </c>
      <c r="N787" s="6">
        <v>0.1</v>
      </c>
      <c r="O787" s="6">
        <v>0.1</v>
      </c>
      <c r="P787" s="6">
        <v>0.1</v>
      </c>
      <c r="Q787" s="6">
        <v>0.1</v>
      </c>
    </row>
    <row r="788" spans="1:17">
      <c r="A788" s="2">
        <v>2736</v>
      </c>
      <c r="B788" s="6">
        <v>0.1</v>
      </c>
      <c r="C788" s="6">
        <v>0.1</v>
      </c>
      <c r="D788" s="6">
        <v>0.1</v>
      </c>
      <c r="E788" s="6">
        <v>0.1</v>
      </c>
      <c r="F788" s="6">
        <v>0.1</v>
      </c>
      <c r="G788" s="6">
        <v>0.1</v>
      </c>
      <c r="H788" s="6">
        <v>0.1</v>
      </c>
      <c r="I788" s="6">
        <v>0.1</v>
      </c>
      <c r="J788" s="6">
        <v>0.1</v>
      </c>
      <c r="K788" s="6">
        <v>0.1</v>
      </c>
      <c r="L788" s="6">
        <v>0.1</v>
      </c>
      <c r="M788" s="6">
        <v>0.1</v>
      </c>
      <c r="N788" s="6">
        <v>0.1</v>
      </c>
      <c r="O788" s="6">
        <v>0.1</v>
      </c>
      <c r="P788" s="6">
        <v>0.1</v>
      </c>
      <c r="Q788" s="6">
        <v>0.1</v>
      </c>
    </row>
    <row r="789" spans="1:17">
      <c r="A789" s="2">
        <v>2737</v>
      </c>
      <c r="B789" s="6">
        <v>0.1</v>
      </c>
      <c r="C789" s="6">
        <v>0.1</v>
      </c>
      <c r="D789" s="6">
        <v>0.1</v>
      </c>
      <c r="E789" s="6">
        <v>0.1</v>
      </c>
      <c r="F789" s="6">
        <v>0.1</v>
      </c>
      <c r="G789" s="6">
        <v>0.1</v>
      </c>
      <c r="H789" s="6">
        <v>0.1</v>
      </c>
      <c r="I789" s="6">
        <v>0.1</v>
      </c>
      <c r="J789" s="6">
        <v>0.1</v>
      </c>
      <c r="K789" s="6">
        <v>0.1</v>
      </c>
      <c r="L789" s="6">
        <v>0.1</v>
      </c>
      <c r="M789" s="6">
        <v>0.1</v>
      </c>
      <c r="N789" s="6">
        <v>0.1</v>
      </c>
      <c r="O789" s="6">
        <v>0.1</v>
      </c>
      <c r="P789" s="6">
        <v>0.1</v>
      </c>
      <c r="Q789" s="6">
        <v>0.1</v>
      </c>
    </row>
    <row r="790" spans="1:17">
      <c r="A790" s="2">
        <v>2738</v>
      </c>
      <c r="B790" s="6">
        <v>0.1</v>
      </c>
      <c r="C790" s="6">
        <v>0.1</v>
      </c>
      <c r="D790" s="6">
        <v>0.1</v>
      </c>
      <c r="E790" s="6">
        <v>0.1</v>
      </c>
      <c r="F790" s="6">
        <v>0.1</v>
      </c>
      <c r="G790" s="6">
        <v>0.1</v>
      </c>
      <c r="H790" s="6">
        <v>0.1</v>
      </c>
      <c r="I790" s="6">
        <v>0.1</v>
      </c>
      <c r="J790" s="6">
        <v>0.1</v>
      </c>
      <c r="K790" s="6">
        <v>0.1</v>
      </c>
      <c r="L790" s="6">
        <v>0.1</v>
      </c>
      <c r="M790" s="6">
        <v>0.1</v>
      </c>
      <c r="N790" s="6">
        <v>0.1</v>
      </c>
      <c r="O790" s="6">
        <v>0.1</v>
      </c>
      <c r="P790" s="6">
        <v>0.1</v>
      </c>
      <c r="Q790" s="6">
        <v>0.1</v>
      </c>
    </row>
    <row r="791" spans="1:17">
      <c r="A791" s="2">
        <v>2739</v>
      </c>
      <c r="B791" s="6">
        <v>0.1</v>
      </c>
      <c r="C791" s="6">
        <v>0.1</v>
      </c>
      <c r="D791" s="6">
        <v>0.1</v>
      </c>
      <c r="E791" s="6">
        <v>0.1</v>
      </c>
      <c r="F791" s="6">
        <v>0.1</v>
      </c>
      <c r="G791" s="6">
        <v>0.1</v>
      </c>
      <c r="H791" s="6">
        <v>0.1</v>
      </c>
      <c r="I791" s="6">
        <v>0.1</v>
      </c>
      <c r="J791" s="6">
        <v>0.1</v>
      </c>
      <c r="K791" s="6">
        <v>0.1</v>
      </c>
      <c r="L791" s="6">
        <v>0.1</v>
      </c>
      <c r="M791" s="6">
        <v>0.1</v>
      </c>
      <c r="N791" s="6">
        <v>0.1</v>
      </c>
      <c r="O791" s="6">
        <v>0.1</v>
      </c>
      <c r="P791" s="6">
        <v>0.1</v>
      </c>
      <c r="Q791" s="6">
        <v>0.1</v>
      </c>
    </row>
    <row r="792" spans="1:17">
      <c r="A792" s="2">
        <v>2740</v>
      </c>
      <c r="B792" s="6">
        <v>0.1</v>
      </c>
      <c r="C792" s="6">
        <v>0.1</v>
      </c>
      <c r="D792" s="6">
        <v>0.1</v>
      </c>
      <c r="E792" s="6">
        <v>0.1</v>
      </c>
      <c r="F792" s="6">
        <v>0.1</v>
      </c>
      <c r="G792" s="6">
        <v>0.1</v>
      </c>
      <c r="H792" s="6">
        <v>0.1</v>
      </c>
      <c r="I792" s="6">
        <v>0.1</v>
      </c>
      <c r="J792" s="6">
        <v>0.1</v>
      </c>
      <c r="K792" s="6">
        <v>0.1</v>
      </c>
      <c r="L792" s="6">
        <v>0.1</v>
      </c>
      <c r="M792" s="6">
        <v>0.1</v>
      </c>
      <c r="N792" s="6">
        <v>0.1</v>
      </c>
      <c r="O792" s="6">
        <v>0.1</v>
      </c>
      <c r="P792" s="6">
        <v>0.1</v>
      </c>
      <c r="Q792" s="6">
        <v>0.1</v>
      </c>
    </row>
    <row r="793" spans="1:17">
      <c r="A793" s="2">
        <v>2741</v>
      </c>
      <c r="B793" s="6">
        <v>0.1</v>
      </c>
      <c r="C793" s="6">
        <v>0.1</v>
      </c>
      <c r="D793" s="6">
        <v>0.1</v>
      </c>
      <c r="E793" s="6">
        <v>0.1</v>
      </c>
      <c r="F793" s="6">
        <v>0.1</v>
      </c>
      <c r="G793" s="6">
        <v>0.1</v>
      </c>
      <c r="H793" s="6">
        <v>0.1</v>
      </c>
      <c r="I793" s="6">
        <v>0.1</v>
      </c>
      <c r="J793" s="6">
        <v>0.1</v>
      </c>
      <c r="K793" s="6">
        <v>0.1</v>
      </c>
      <c r="L793" s="6">
        <v>0.1</v>
      </c>
      <c r="M793" s="6">
        <v>0.1</v>
      </c>
      <c r="N793" s="6">
        <v>0.1</v>
      </c>
      <c r="O793" s="6">
        <v>0.1</v>
      </c>
      <c r="P793" s="6">
        <v>0.1</v>
      </c>
      <c r="Q793" s="6">
        <v>0.1</v>
      </c>
    </row>
    <row r="794" spans="1:17">
      <c r="A794" s="2">
        <v>2742</v>
      </c>
      <c r="B794" s="6">
        <v>0.1</v>
      </c>
      <c r="C794" s="6">
        <v>0.1</v>
      </c>
      <c r="D794" s="6">
        <v>0.1</v>
      </c>
      <c r="E794" s="6">
        <v>0.1</v>
      </c>
      <c r="F794" s="6">
        <v>0.1</v>
      </c>
      <c r="G794" s="6">
        <v>0.1</v>
      </c>
      <c r="H794" s="6">
        <v>0.1</v>
      </c>
      <c r="I794" s="6">
        <v>0.1</v>
      </c>
      <c r="J794" s="6">
        <v>0.1</v>
      </c>
      <c r="K794" s="6">
        <v>0.1</v>
      </c>
      <c r="L794" s="6">
        <v>0.1</v>
      </c>
      <c r="M794" s="6">
        <v>0.1</v>
      </c>
      <c r="N794" s="6">
        <v>0.1</v>
      </c>
      <c r="O794" s="6">
        <v>0.1</v>
      </c>
      <c r="P794" s="6">
        <v>0.1</v>
      </c>
      <c r="Q794" s="6">
        <v>0.1</v>
      </c>
    </row>
    <row r="795" spans="1:17">
      <c r="A795" s="2">
        <v>2743</v>
      </c>
      <c r="B795" s="6">
        <v>0.1</v>
      </c>
      <c r="C795" s="6">
        <v>0.1</v>
      </c>
      <c r="D795" s="6">
        <v>0.1</v>
      </c>
      <c r="E795" s="6">
        <v>0.1</v>
      </c>
      <c r="F795" s="6">
        <v>0.1</v>
      </c>
      <c r="G795" s="6">
        <v>0.1</v>
      </c>
      <c r="H795" s="6">
        <v>0.1</v>
      </c>
      <c r="I795" s="6">
        <v>0.1</v>
      </c>
      <c r="J795" s="6">
        <v>0.1</v>
      </c>
      <c r="K795" s="6">
        <v>0.1</v>
      </c>
      <c r="L795" s="6">
        <v>0.1</v>
      </c>
      <c r="M795" s="6">
        <v>0.1</v>
      </c>
      <c r="N795" s="6">
        <v>0.1</v>
      </c>
      <c r="O795" s="6">
        <v>0.1</v>
      </c>
      <c r="P795" s="6">
        <v>0.1</v>
      </c>
      <c r="Q795" s="6">
        <v>0.1</v>
      </c>
    </row>
    <row r="796" spans="1:17">
      <c r="A796" s="2">
        <v>2744</v>
      </c>
      <c r="B796" s="6">
        <v>0.1</v>
      </c>
      <c r="C796" s="6">
        <v>0.1</v>
      </c>
      <c r="D796" s="6">
        <v>0.1</v>
      </c>
      <c r="E796" s="6">
        <v>0.1</v>
      </c>
      <c r="F796" s="6">
        <v>0.1</v>
      </c>
      <c r="G796" s="6">
        <v>0.1</v>
      </c>
      <c r="H796" s="6">
        <v>0.1</v>
      </c>
      <c r="I796" s="6">
        <v>0.1</v>
      </c>
      <c r="J796" s="6">
        <v>0.1</v>
      </c>
      <c r="K796" s="6">
        <v>0.1</v>
      </c>
      <c r="L796" s="6">
        <v>0.1</v>
      </c>
      <c r="M796" s="6">
        <v>0.1</v>
      </c>
      <c r="N796" s="6">
        <v>0.1</v>
      </c>
      <c r="O796" s="6">
        <v>0.1</v>
      </c>
      <c r="P796" s="6">
        <v>0.1</v>
      </c>
      <c r="Q796" s="6">
        <v>0.1</v>
      </c>
    </row>
    <row r="797" spans="1:17">
      <c r="A797" s="2">
        <v>2745</v>
      </c>
      <c r="B797" s="6">
        <v>0.1</v>
      </c>
      <c r="C797" s="6">
        <v>0.1</v>
      </c>
      <c r="D797" s="6">
        <v>0.1</v>
      </c>
      <c r="E797" s="6">
        <v>0.1</v>
      </c>
      <c r="F797" s="6">
        <v>0.1</v>
      </c>
      <c r="G797" s="6">
        <v>0.1</v>
      </c>
      <c r="H797" s="6">
        <v>0.1</v>
      </c>
      <c r="I797" s="6">
        <v>0.1</v>
      </c>
      <c r="J797" s="6">
        <v>0.1</v>
      </c>
      <c r="K797" s="6">
        <v>0.1</v>
      </c>
      <c r="L797" s="6">
        <v>0.1</v>
      </c>
      <c r="M797" s="6">
        <v>0.1</v>
      </c>
      <c r="N797" s="6">
        <v>0.1</v>
      </c>
      <c r="O797" s="6">
        <v>0.1</v>
      </c>
      <c r="P797" s="6">
        <v>0.1</v>
      </c>
      <c r="Q797" s="6">
        <v>0.1</v>
      </c>
    </row>
    <row r="798" spans="1:17">
      <c r="A798" s="2">
        <v>2746</v>
      </c>
      <c r="B798" s="6">
        <v>0.1</v>
      </c>
      <c r="C798" s="6">
        <v>0.1</v>
      </c>
      <c r="D798" s="6">
        <v>0.1</v>
      </c>
      <c r="E798" s="6">
        <v>0.1</v>
      </c>
      <c r="F798" s="6">
        <v>0.1</v>
      </c>
      <c r="G798" s="6">
        <v>0.1</v>
      </c>
      <c r="H798" s="6">
        <v>0.1</v>
      </c>
      <c r="I798" s="6">
        <v>0.1</v>
      </c>
      <c r="J798" s="6">
        <v>0.1</v>
      </c>
      <c r="K798" s="6">
        <v>0.1</v>
      </c>
      <c r="L798" s="6">
        <v>0.1</v>
      </c>
      <c r="M798" s="6">
        <v>0.1</v>
      </c>
      <c r="N798" s="6">
        <v>0.1</v>
      </c>
      <c r="O798" s="6">
        <v>0.1</v>
      </c>
      <c r="P798" s="6">
        <v>0.1</v>
      </c>
      <c r="Q798" s="6">
        <v>0.1</v>
      </c>
    </row>
    <row r="799" spans="1:17">
      <c r="A799" s="2">
        <v>2747</v>
      </c>
      <c r="B799" s="6">
        <v>0.1</v>
      </c>
      <c r="C799" s="6">
        <v>0.1</v>
      </c>
      <c r="D799" s="6">
        <v>0.1</v>
      </c>
      <c r="E799" s="6">
        <v>0.1</v>
      </c>
      <c r="F799" s="6">
        <v>0.1</v>
      </c>
      <c r="G799" s="6">
        <v>0.1</v>
      </c>
      <c r="H799" s="6">
        <v>0.1</v>
      </c>
      <c r="I799" s="6">
        <v>0.1</v>
      </c>
      <c r="J799" s="6">
        <v>0.1</v>
      </c>
      <c r="K799" s="6">
        <v>0.1</v>
      </c>
      <c r="L799" s="6">
        <v>0.1</v>
      </c>
      <c r="M799" s="6">
        <v>0.1</v>
      </c>
      <c r="N799" s="6">
        <v>0.1</v>
      </c>
      <c r="O799" s="6">
        <v>0.1</v>
      </c>
      <c r="P799" s="6">
        <v>0.1</v>
      </c>
      <c r="Q799" s="6">
        <v>0.1</v>
      </c>
    </row>
    <row r="800" spans="1:17">
      <c r="A800" s="2">
        <v>2748</v>
      </c>
      <c r="B800" s="6">
        <v>0.1</v>
      </c>
      <c r="C800" s="6">
        <v>0.1</v>
      </c>
      <c r="D800" s="6">
        <v>0.1</v>
      </c>
      <c r="E800" s="6">
        <v>0.1</v>
      </c>
      <c r="F800" s="6">
        <v>0.1</v>
      </c>
      <c r="G800" s="6">
        <v>0.1</v>
      </c>
      <c r="H800" s="6">
        <v>0.1</v>
      </c>
      <c r="I800" s="6">
        <v>0.1</v>
      </c>
      <c r="J800" s="6">
        <v>0.1</v>
      </c>
      <c r="K800" s="6">
        <v>0.1</v>
      </c>
      <c r="L800" s="6">
        <v>0.1</v>
      </c>
      <c r="M800" s="6">
        <v>0.1</v>
      </c>
      <c r="N800" s="6">
        <v>0.1</v>
      </c>
      <c r="O800" s="6">
        <v>0.1</v>
      </c>
      <c r="P800" s="6">
        <v>0.1</v>
      </c>
      <c r="Q800" s="6">
        <v>0.1</v>
      </c>
    </row>
    <row r="801" spans="1:17">
      <c r="A801" s="2">
        <v>2749</v>
      </c>
      <c r="B801" s="6">
        <v>0.1</v>
      </c>
      <c r="C801" s="6">
        <v>0.1</v>
      </c>
      <c r="D801" s="6">
        <v>0.1</v>
      </c>
      <c r="E801" s="6">
        <v>0.1</v>
      </c>
      <c r="F801" s="6">
        <v>0.1</v>
      </c>
      <c r="G801" s="6">
        <v>0.1</v>
      </c>
      <c r="H801" s="6">
        <v>0.1</v>
      </c>
      <c r="I801" s="6">
        <v>0.1</v>
      </c>
      <c r="J801" s="6">
        <v>0.1</v>
      </c>
      <c r="K801" s="6">
        <v>0.1</v>
      </c>
      <c r="L801" s="6">
        <v>0.1</v>
      </c>
      <c r="M801" s="6">
        <v>0.1</v>
      </c>
      <c r="N801" s="6">
        <v>0.1</v>
      </c>
      <c r="O801" s="6">
        <v>0.1</v>
      </c>
      <c r="P801" s="6">
        <v>0.1</v>
      </c>
      <c r="Q801" s="6">
        <v>0.1</v>
      </c>
    </row>
    <row r="802" spans="1:17">
      <c r="A802" s="2">
        <v>2750</v>
      </c>
      <c r="B802" s="6">
        <v>0.1</v>
      </c>
      <c r="C802" s="6">
        <v>0.1</v>
      </c>
      <c r="D802" s="6">
        <v>0.1</v>
      </c>
      <c r="E802" s="6">
        <v>0.1</v>
      </c>
      <c r="F802" s="6">
        <v>0.1</v>
      </c>
      <c r="G802" s="6">
        <v>0.1</v>
      </c>
      <c r="H802" s="6">
        <v>0.1</v>
      </c>
      <c r="I802" s="6">
        <v>0.1</v>
      </c>
      <c r="J802" s="6">
        <v>0.1</v>
      </c>
      <c r="K802" s="6">
        <v>0.1</v>
      </c>
      <c r="L802" s="6">
        <v>0.1</v>
      </c>
      <c r="M802" s="6">
        <v>0.1</v>
      </c>
      <c r="N802" s="6">
        <v>0.1</v>
      </c>
      <c r="O802" s="6">
        <v>0.1</v>
      </c>
      <c r="P802" s="6">
        <v>0.1</v>
      </c>
      <c r="Q802" s="6">
        <v>0.1</v>
      </c>
    </row>
    <row r="803" spans="1:17">
      <c r="A803" s="2">
        <v>2751</v>
      </c>
      <c r="B803" s="6">
        <v>0.1</v>
      </c>
      <c r="C803" s="6">
        <v>0.1</v>
      </c>
      <c r="D803" s="6">
        <v>0.1</v>
      </c>
      <c r="E803" s="6">
        <v>0.1</v>
      </c>
      <c r="F803" s="6">
        <v>0.1</v>
      </c>
      <c r="G803" s="6">
        <v>0.1</v>
      </c>
      <c r="H803" s="6">
        <v>0.1</v>
      </c>
      <c r="I803" s="6">
        <v>0.1</v>
      </c>
      <c r="J803" s="6">
        <v>0.1</v>
      </c>
      <c r="K803" s="6">
        <v>0.1</v>
      </c>
      <c r="L803" s="6">
        <v>0.1</v>
      </c>
      <c r="M803" s="6">
        <v>0.1</v>
      </c>
      <c r="N803" s="6">
        <v>0.1</v>
      </c>
      <c r="O803" s="6">
        <v>0.1</v>
      </c>
      <c r="P803" s="6">
        <v>0.1</v>
      </c>
      <c r="Q803" s="6">
        <v>0.1</v>
      </c>
    </row>
    <row r="804" spans="1:17">
      <c r="A804" s="2">
        <v>2752</v>
      </c>
      <c r="B804" s="6">
        <v>0.1</v>
      </c>
      <c r="C804" s="6">
        <v>0.1</v>
      </c>
      <c r="D804" s="6">
        <v>0.1</v>
      </c>
      <c r="E804" s="6">
        <v>0.1</v>
      </c>
      <c r="F804" s="6">
        <v>0.1</v>
      </c>
      <c r="G804" s="6">
        <v>0.1</v>
      </c>
      <c r="H804" s="6">
        <v>0.1</v>
      </c>
      <c r="I804" s="6">
        <v>0.1</v>
      </c>
      <c r="J804" s="6">
        <v>0.1</v>
      </c>
      <c r="K804" s="6">
        <v>0.1</v>
      </c>
      <c r="L804" s="6">
        <v>0.1</v>
      </c>
      <c r="M804" s="6">
        <v>0.1</v>
      </c>
      <c r="N804" s="6">
        <v>0.1</v>
      </c>
      <c r="O804" s="6">
        <v>0.1</v>
      </c>
      <c r="P804" s="6">
        <v>0.1</v>
      </c>
      <c r="Q804" s="6">
        <v>0.1</v>
      </c>
    </row>
    <row r="805" spans="1:17">
      <c r="A805" s="2">
        <v>2753</v>
      </c>
      <c r="B805" s="6">
        <v>0.1</v>
      </c>
      <c r="C805" s="6">
        <v>0.1</v>
      </c>
      <c r="D805" s="6">
        <v>0.1</v>
      </c>
      <c r="E805" s="6">
        <v>0.1</v>
      </c>
      <c r="F805" s="6">
        <v>0.1</v>
      </c>
      <c r="G805" s="6">
        <v>0.1</v>
      </c>
      <c r="H805" s="6">
        <v>0.1</v>
      </c>
      <c r="I805" s="6">
        <v>0.1</v>
      </c>
      <c r="J805" s="6">
        <v>0.1</v>
      </c>
      <c r="K805" s="6">
        <v>0.1</v>
      </c>
      <c r="L805" s="6">
        <v>0.1</v>
      </c>
      <c r="M805" s="6">
        <v>0.1</v>
      </c>
      <c r="N805" s="6">
        <v>0.1</v>
      </c>
      <c r="O805" s="6">
        <v>0.1</v>
      </c>
      <c r="P805" s="6">
        <v>0.1</v>
      </c>
      <c r="Q805" s="6">
        <v>0.1</v>
      </c>
    </row>
    <row r="806" spans="1:17">
      <c r="A806" s="2">
        <v>2754</v>
      </c>
      <c r="B806" s="6">
        <v>0.1</v>
      </c>
      <c r="C806" s="6">
        <v>0.1</v>
      </c>
      <c r="D806" s="6">
        <v>0.1</v>
      </c>
      <c r="E806" s="6">
        <v>0.1</v>
      </c>
      <c r="F806" s="6">
        <v>0.1</v>
      </c>
      <c r="G806" s="6">
        <v>0.1</v>
      </c>
      <c r="H806" s="6">
        <v>0.1</v>
      </c>
      <c r="I806" s="6">
        <v>0.1</v>
      </c>
      <c r="J806" s="6">
        <v>0.1</v>
      </c>
      <c r="K806" s="6">
        <v>0.1</v>
      </c>
      <c r="L806" s="6">
        <v>0.1</v>
      </c>
      <c r="M806" s="6">
        <v>0.1</v>
      </c>
      <c r="N806" s="6">
        <v>0.1</v>
      </c>
      <c r="O806" s="6">
        <v>0.1</v>
      </c>
      <c r="P806" s="6">
        <v>0.1</v>
      </c>
      <c r="Q806" s="6">
        <v>0.1</v>
      </c>
    </row>
    <row r="807" spans="1:17">
      <c r="A807" s="2">
        <v>2755</v>
      </c>
      <c r="B807" s="6">
        <v>0.1</v>
      </c>
      <c r="C807" s="6">
        <v>0.1</v>
      </c>
      <c r="D807" s="6">
        <v>0.1</v>
      </c>
      <c r="E807" s="6">
        <v>0.1</v>
      </c>
      <c r="F807" s="6">
        <v>0.1</v>
      </c>
      <c r="G807" s="6">
        <v>0.1</v>
      </c>
      <c r="H807" s="6">
        <v>0.1</v>
      </c>
      <c r="I807" s="6">
        <v>0.1</v>
      </c>
      <c r="J807" s="6">
        <v>0.1</v>
      </c>
      <c r="K807" s="6">
        <v>0.1</v>
      </c>
      <c r="L807" s="6">
        <v>0.1</v>
      </c>
      <c r="M807" s="6">
        <v>0.1</v>
      </c>
      <c r="N807" s="6">
        <v>0.1</v>
      </c>
      <c r="O807" s="6">
        <v>0.1</v>
      </c>
      <c r="P807" s="6">
        <v>0.1</v>
      </c>
      <c r="Q807" s="6">
        <v>0.1</v>
      </c>
    </row>
    <row r="808" spans="1:17">
      <c r="A808" s="2">
        <v>2756</v>
      </c>
      <c r="B808" s="6">
        <v>0.1</v>
      </c>
      <c r="C808" s="6">
        <v>0.1</v>
      </c>
      <c r="D808" s="6">
        <v>0.1</v>
      </c>
      <c r="E808" s="6">
        <v>0.1</v>
      </c>
      <c r="F808" s="6">
        <v>0.1</v>
      </c>
      <c r="G808" s="6">
        <v>0.1</v>
      </c>
      <c r="H808" s="6">
        <v>0.1</v>
      </c>
      <c r="I808" s="6">
        <v>0.1</v>
      </c>
      <c r="J808" s="6">
        <v>0.1</v>
      </c>
      <c r="K808" s="6">
        <v>0.1</v>
      </c>
      <c r="L808" s="6">
        <v>0.1</v>
      </c>
      <c r="M808" s="6">
        <v>0.1</v>
      </c>
      <c r="N808" s="6">
        <v>0.1</v>
      </c>
      <c r="O808" s="6">
        <v>0.1</v>
      </c>
      <c r="P808" s="6">
        <v>0.1</v>
      </c>
      <c r="Q808" s="6">
        <v>0.1</v>
      </c>
    </row>
    <row r="809" spans="1:17">
      <c r="A809" s="2">
        <v>2757</v>
      </c>
      <c r="B809" s="6">
        <v>0.1</v>
      </c>
      <c r="C809" s="6">
        <v>0.1</v>
      </c>
      <c r="D809" s="6">
        <v>0.1</v>
      </c>
      <c r="E809" s="6">
        <v>0.1</v>
      </c>
      <c r="F809" s="6">
        <v>0.1</v>
      </c>
      <c r="G809" s="6">
        <v>0.1</v>
      </c>
      <c r="H809" s="6">
        <v>0.1</v>
      </c>
      <c r="I809" s="6">
        <v>0.1</v>
      </c>
      <c r="J809" s="6">
        <v>0.1</v>
      </c>
      <c r="K809" s="6">
        <v>0.1</v>
      </c>
      <c r="L809" s="6">
        <v>0.1</v>
      </c>
      <c r="M809" s="6">
        <v>0.1</v>
      </c>
      <c r="N809" s="6">
        <v>0.1</v>
      </c>
      <c r="O809" s="6">
        <v>0.1</v>
      </c>
      <c r="P809" s="6">
        <v>0.1</v>
      </c>
      <c r="Q809" s="6">
        <v>0.1</v>
      </c>
    </row>
    <row r="810" spans="1:17">
      <c r="A810" s="2">
        <v>2758</v>
      </c>
      <c r="B810" s="6">
        <v>0.1</v>
      </c>
      <c r="C810" s="6">
        <v>0.1</v>
      </c>
      <c r="D810" s="6">
        <v>0.1</v>
      </c>
      <c r="E810" s="6">
        <v>0.1</v>
      </c>
      <c r="F810" s="6">
        <v>0.1</v>
      </c>
      <c r="G810" s="6">
        <v>0.1</v>
      </c>
      <c r="H810" s="6">
        <v>0.1</v>
      </c>
      <c r="I810" s="6">
        <v>0.1</v>
      </c>
      <c r="J810" s="6">
        <v>0.1</v>
      </c>
      <c r="K810" s="6">
        <v>0.1</v>
      </c>
      <c r="L810" s="6">
        <v>0.1</v>
      </c>
      <c r="M810" s="6">
        <v>0.1</v>
      </c>
      <c r="N810" s="6">
        <v>0.1</v>
      </c>
      <c r="O810" s="6">
        <v>0.1</v>
      </c>
      <c r="P810" s="6">
        <v>0.1</v>
      </c>
      <c r="Q810" s="6">
        <v>0.1</v>
      </c>
    </row>
    <row r="811" spans="1:17">
      <c r="A811" s="2">
        <v>2759</v>
      </c>
      <c r="B811" s="6">
        <v>0.1</v>
      </c>
      <c r="C811" s="6">
        <v>0.1</v>
      </c>
      <c r="D811" s="6">
        <v>0.1</v>
      </c>
      <c r="E811" s="6">
        <v>0.1</v>
      </c>
      <c r="F811" s="6">
        <v>0.1</v>
      </c>
      <c r="G811" s="6">
        <v>0.1</v>
      </c>
      <c r="H811" s="6">
        <v>0.1</v>
      </c>
      <c r="I811" s="6">
        <v>0.1</v>
      </c>
      <c r="J811" s="6">
        <v>0.1</v>
      </c>
      <c r="K811" s="6">
        <v>0.1</v>
      </c>
      <c r="L811" s="6">
        <v>0.1</v>
      </c>
      <c r="M811" s="6">
        <v>0.1</v>
      </c>
      <c r="N811" s="6">
        <v>0.1</v>
      </c>
      <c r="O811" s="6">
        <v>0.1</v>
      </c>
      <c r="P811" s="6">
        <v>0.1</v>
      </c>
      <c r="Q811" s="6">
        <v>0.1</v>
      </c>
    </row>
    <row r="812" spans="1:17">
      <c r="A812" s="2">
        <v>2760</v>
      </c>
      <c r="B812" s="6">
        <v>0.1</v>
      </c>
      <c r="C812" s="6">
        <v>0.1</v>
      </c>
      <c r="D812" s="6">
        <v>0.1</v>
      </c>
      <c r="E812" s="6">
        <v>0.1</v>
      </c>
      <c r="F812" s="6">
        <v>0.1</v>
      </c>
      <c r="G812" s="6">
        <v>0.1</v>
      </c>
      <c r="H812" s="6">
        <v>0.1</v>
      </c>
      <c r="I812" s="6">
        <v>0.1</v>
      </c>
      <c r="J812" s="6">
        <v>0.1</v>
      </c>
      <c r="K812" s="6">
        <v>0.1</v>
      </c>
      <c r="L812" s="6">
        <v>0.1</v>
      </c>
      <c r="M812" s="6">
        <v>0.1</v>
      </c>
      <c r="N812" s="6">
        <v>0.1</v>
      </c>
      <c r="O812" s="6">
        <v>0.1</v>
      </c>
      <c r="P812" s="6">
        <v>0.1</v>
      </c>
      <c r="Q812" s="6">
        <v>0.1</v>
      </c>
    </row>
    <row r="813" spans="1:17">
      <c r="A813" s="2">
        <v>2761</v>
      </c>
      <c r="B813" s="6">
        <v>0.1</v>
      </c>
      <c r="C813" s="6">
        <v>0.1</v>
      </c>
      <c r="D813" s="6">
        <v>0.1</v>
      </c>
      <c r="E813" s="6">
        <v>0.1</v>
      </c>
      <c r="F813" s="6">
        <v>0.1</v>
      </c>
      <c r="G813" s="6">
        <v>0.1</v>
      </c>
      <c r="H813" s="6">
        <v>0.1</v>
      </c>
      <c r="I813" s="6">
        <v>0.1</v>
      </c>
      <c r="J813" s="6">
        <v>0.1</v>
      </c>
      <c r="K813" s="6">
        <v>0.1</v>
      </c>
      <c r="L813" s="6">
        <v>0.1</v>
      </c>
      <c r="M813" s="6">
        <v>0.1</v>
      </c>
      <c r="N813" s="6">
        <v>0.1</v>
      </c>
      <c r="O813" s="6">
        <v>0.1</v>
      </c>
      <c r="P813" s="6">
        <v>0.1</v>
      </c>
      <c r="Q813" s="6">
        <v>0.1</v>
      </c>
    </row>
    <row r="814" spans="1:17">
      <c r="A814" s="2">
        <v>2762</v>
      </c>
      <c r="B814" s="6">
        <v>0.1</v>
      </c>
      <c r="C814" s="6">
        <v>0.1</v>
      </c>
      <c r="D814" s="6">
        <v>0.1</v>
      </c>
      <c r="E814" s="6">
        <v>0.1</v>
      </c>
      <c r="F814" s="6">
        <v>0.1</v>
      </c>
      <c r="G814" s="6">
        <v>0.1</v>
      </c>
      <c r="H814" s="6">
        <v>0.1</v>
      </c>
      <c r="I814" s="6">
        <v>0.1</v>
      </c>
      <c r="J814" s="6">
        <v>0.1</v>
      </c>
      <c r="K814" s="6">
        <v>0.1</v>
      </c>
      <c r="L814" s="6">
        <v>0.1</v>
      </c>
      <c r="M814" s="6">
        <v>0.1</v>
      </c>
      <c r="N814" s="6">
        <v>0.1</v>
      </c>
      <c r="O814" s="6">
        <v>0.1</v>
      </c>
      <c r="P814" s="6">
        <v>0.1</v>
      </c>
      <c r="Q814" s="6">
        <v>0.1</v>
      </c>
    </row>
    <row r="815" spans="1:17">
      <c r="A815" s="2">
        <v>2763</v>
      </c>
      <c r="B815" s="6">
        <v>0.1</v>
      </c>
      <c r="C815" s="6">
        <v>0.1</v>
      </c>
      <c r="D815" s="6">
        <v>0.1</v>
      </c>
      <c r="E815" s="6">
        <v>0.1</v>
      </c>
      <c r="F815" s="6">
        <v>0.1</v>
      </c>
      <c r="G815" s="6">
        <v>0.1</v>
      </c>
      <c r="H815" s="6">
        <v>0.1</v>
      </c>
      <c r="I815" s="6">
        <v>0.1</v>
      </c>
      <c r="J815" s="6">
        <v>0.1</v>
      </c>
      <c r="K815" s="6">
        <v>0.1</v>
      </c>
      <c r="L815" s="6">
        <v>0.1</v>
      </c>
      <c r="M815" s="6">
        <v>0.1</v>
      </c>
      <c r="N815" s="6">
        <v>0.1</v>
      </c>
      <c r="O815" s="6">
        <v>0.1</v>
      </c>
      <c r="P815" s="6">
        <v>0.1</v>
      </c>
      <c r="Q815" s="6">
        <v>0.1</v>
      </c>
    </row>
    <row r="816" spans="1:17">
      <c r="A816" s="2">
        <v>2764</v>
      </c>
      <c r="B816" s="6">
        <v>0.1</v>
      </c>
      <c r="C816" s="6">
        <v>0.1</v>
      </c>
      <c r="D816" s="6">
        <v>0.1</v>
      </c>
      <c r="E816" s="6">
        <v>0.1</v>
      </c>
      <c r="F816" s="6">
        <v>0.1</v>
      </c>
      <c r="G816" s="6">
        <v>0.1</v>
      </c>
      <c r="H816" s="6">
        <v>0.1</v>
      </c>
      <c r="I816" s="6">
        <v>0.1</v>
      </c>
      <c r="J816" s="6">
        <v>0.1</v>
      </c>
      <c r="K816" s="6">
        <v>0.1</v>
      </c>
      <c r="L816" s="6">
        <v>0.1</v>
      </c>
      <c r="M816" s="6">
        <v>0.1</v>
      </c>
      <c r="N816" s="6">
        <v>0.1</v>
      </c>
      <c r="O816" s="6">
        <v>0.1</v>
      </c>
      <c r="P816" s="6">
        <v>0.1</v>
      </c>
      <c r="Q816" s="6">
        <v>0.1</v>
      </c>
    </row>
    <row r="817" spans="1:17">
      <c r="A817" s="2">
        <v>2765</v>
      </c>
      <c r="B817" s="6">
        <v>0.1</v>
      </c>
      <c r="C817" s="6">
        <v>0.1</v>
      </c>
      <c r="D817" s="6">
        <v>0.1</v>
      </c>
      <c r="E817" s="6">
        <v>0.1</v>
      </c>
      <c r="F817" s="6">
        <v>0.1</v>
      </c>
      <c r="G817" s="6">
        <v>0.1</v>
      </c>
      <c r="H817" s="6">
        <v>0.1</v>
      </c>
      <c r="I817" s="6">
        <v>0.1</v>
      </c>
      <c r="J817" s="6">
        <v>0.1</v>
      </c>
      <c r="K817" s="6">
        <v>0.1</v>
      </c>
      <c r="L817" s="6">
        <v>0.1</v>
      </c>
      <c r="M817" s="6">
        <v>0.1</v>
      </c>
      <c r="N817" s="6">
        <v>0.1</v>
      </c>
      <c r="O817" s="6">
        <v>0.1</v>
      </c>
      <c r="P817" s="6">
        <v>0.1</v>
      </c>
      <c r="Q817" s="6">
        <v>0.1</v>
      </c>
    </row>
    <row r="818" spans="1:17">
      <c r="A818" s="2">
        <v>2766</v>
      </c>
      <c r="B818" s="6">
        <v>0.1</v>
      </c>
      <c r="C818" s="6">
        <v>0.1</v>
      </c>
      <c r="D818" s="6">
        <v>0.1</v>
      </c>
      <c r="E818" s="6">
        <v>0.1</v>
      </c>
      <c r="F818" s="6">
        <v>0.1</v>
      </c>
      <c r="G818" s="6">
        <v>0.1</v>
      </c>
      <c r="H818" s="6">
        <v>0.1</v>
      </c>
      <c r="I818" s="6">
        <v>0.1</v>
      </c>
      <c r="J818" s="6">
        <v>0.1</v>
      </c>
      <c r="K818" s="6">
        <v>0.1</v>
      </c>
      <c r="L818" s="6">
        <v>0.1</v>
      </c>
      <c r="M818" s="6">
        <v>0.1</v>
      </c>
      <c r="N818" s="6">
        <v>0.1</v>
      </c>
      <c r="O818" s="6">
        <v>0.1</v>
      </c>
      <c r="P818" s="6">
        <v>0.1</v>
      </c>
      <c r="Q818" s="6">
        <v>0.1</v>
      </c>
    </row>
    <row r="819" spans="1:17">
      <c r="A819" s="2">
        <v>2767</v>
      </c>
      <c r="B819" s="6">
        <v>0.1</v>
      </c>
      <c r="C819" s="6">
        <v>0.1</v>
      </c>
      <c r="D819" s="6">
        <v>0.1</v>
      </c>
      <c r="E819" s="6">
        <v>0.1</v>
      </c>
      <c r="F819" s="6">
        <v>0.1</v>
      </c>
      <c r="G819" s="6">
        <v>0.1</v>
      </c>
      <c r="H819" s="6">
        <v>0.1</v>
      </c>
      <c r="I819" s="6">
        <v>0.1</v>
      </c>
      <c r="J819" s="6">
        <v>0.1</v>
      </c>
      <c r="K819" s="6">
        <v>0.1</v>
      </c>
      <c r="L819" s="6">
        <v>0.1</v>
      </c>
      <c r="M819" s="6">
        <v>0.1</v>
      </c>
      <c r="N819" s="6">
        <v>0.1</v>
      </c>
      <c r="O819" s="6">
        <v>0.1</v>
      </c>
      <c r="P819" s="6">
        <v>0.1</v>
      </c>
      <c r="Q819" s="6">
        <v>0.1</v>
      </c>
    </row>
    <row r="820" spans="1:17">
      <c r="A820" s="2">
        <v>2768</v>
      </c>
      <c r="B820" s="6">
        <v>0.1</v>
      </c>
      <c r="C820" s="6">
        <v>0.1</v>
      </c>
      <c r="D820" s="6">
        <v>0.1</v>
      </c>
      <c r="E820" s="6">
        <v>0.1</v>
      </c>
      <c r="F820" s="6">
        <v>0.1</v>
      </c>
      <c r="G820" s="6">
        <v>0.1</v>
      </c>
      <c r="H820" s="6">
        <v>0.1</v>
      </c>
      <c r="I820" s="6">
        <v>0.1</v>
      </c>
      <c r="J820" s="6">
        <v>0.1</v>
      </c>
      <c r="K820" s="6">
        <v>0.1</v>
      </c>
      <c r="L820" s="6">
        <v>0.1</v>
      </c>
      <c r="M820" s="6">
        <v>0.1</v>
      </c>
      <c r="N820" s="6">
        <v>0.1</v>
      </c>
      <c r="O820" s="6">
        <v>0.1</v>
      </c>
      <c r="P820" s="6">
        <v>0.1</v>
      </c>
      <c r="Q820" s="6">
        <v>0.1</v>
      </c>
    </row>
    <row r="821" spans="1:17">
      <c r="A821" s="2">
        <v>2769</v>
      </c>
      <c r="B821" s="6">
        <v>0.1</v>
      </c>
      <c r="C821" s="6">
        <v>0.1</v>
      </c>
      <c r="D821" s="6">
        <v>0.1</v>
      </c>
      <c r="E821" s="6">
        <v>0.1</v>
      </c>
      <c r="F821" s="6">
        <v>0.1</v>
      </c>
      <c r="G821" s="6">
        <v>0.1</v>
      </c>
      <c r="H821" s="6">
        <v>0.1</v>
      </c>
      <c r="I821" s="6">
        <v>0.1</v>
      </c>
      <c r="J821" s="6">
        <v>0.1</v>
      </c>
      <c r="K821" s="6">
        <v>0.1</v>
      </c>
      <c r="L821" s="6">
        <v>0.1</v>
      </c>
      <c r="M821" s="6">
        <v>0.1</v>
      </c>
      <c r="N821" s="6">
        <v>0.1</v>
      </c>
      <c r="O821" s="6">
        <v>0.1</v>
      </c>
      <c r="P821" s="6">
        <v>0.1</v>
      </c>
      <c r="Q821" s="6">
        <v>0.1</v>
      </c>
    </row>
    <row r="822" spans="1:17">
      <c r="A822" s="2">
        <v>2770</v>
      </c>
      <c r="B822" s="6">
        <v>0.1</v>
      </c>
      <c r="C822" s="6">
        <v>0.1</v>
      </c>
      <c r="D822" s="6">
        <v>0.1</v>
      </c>
      <c r="E822" s="6">
        <v>0.1</v>
      </c>
      <c r="F822" s="6">
        <v>0.1</v>
      </c>
      <c r="G822" s="6">
        <v>0.1</v>
      </c>
      <c r="H822" s="6">
        <v>0.1</v>
      </c>
      <c r="I822" s="6">
        <v>0.1</v>
      </c>
      <c r="J822" s="6">
        <v>0.1</v>
      </c>
      <c r="K822" s="6">
        <v>0.1</v>
      </c>
      <c r="L822" s="6">
        <v>0.1</v>
      </c>
      <c r="M822" s="6">
        <v>0.1</v>
      </c>
      <c r="N822" s="6">
        <v>0.1</v>
      </c>
      <c r="O822" s="6">
        <v>0.1</v>
      </c>
      <c r="P822" s="6">
        <v>0.1</v>
      </c>
      <c r="Q822" s="6">
        <v>0.1</v>
      </c>
    </row>
    <row r="823" spans="1:17">
      <c r="A823" s="2">
        <v>2771</v>
      </c>
      <c r="B823" s="6">
        <v>0.1</v>
      </c>
      <c r="C823" s="6">
        <v>0.1</v>
      </c>
      <c r="D823" s="6">
        <v>0.1</v>
      </c>
      <c r="E823" s="6">
        <v>0.1</v>
      </c>
      <c r="F823" s="6">
        <v>0.1</v>
      </c>
      <c r="G823" s="6">
        <v>0.1</v>
      </c>
      <c r="H823" s="6">
        <v>0.1</v>
      </c>
      <c r="I823" s="6">
        <v>0.1</v>
      </c>
      <c r="J823" s="6">
        <v>0.1</v>
      </c>
      <c r="K823" s="6">
        <v>0.1</v>
      </c>
      <c r="L823" s="6">
        <v>0.1</v>
      </c>
      <c r="M823" s="6">
        <v>0.1</v>
      </c>
      <c r="N823" s="6">
        <v>0.1</v>
      </c>
      <c r="O823" s="6">
        <v>0.1</v>
      </c>
      <c r="P823" s="6">
        <v>0.1</v>
      </c>
      <c r="Q823" s="6">
        <v>0.1</v>
      </c>
    </row>
    <row r="824" spans="1:17">
      <c r="A824" s="2">
        <v>2772</v>
      </c>
      <c r="B824" s="6">
        <v>0.1</v>
      </c>
      <c r="C824" s="6">
        <v>0.1</v>
      </c>
      <c r="D824" s="6">
        <v>0.1</v>
      </c>
      <c r="E824" s="6">
        <v>0.1</v>
      </c>
      <c r="F824" s="6">
        <v>0.1</v>
      </c>
      <c r="G824" s="6">
        <v>0.1</v>
      </c>
      <c r="H824" s="6">
        <v>0.1</v>
      </c>
      <c r="I824" s="6">
        <v>0.1</v>
      </c>
      <c r="J824" s="6">
        <v>0.1</v>
      </c>
      <c r="K824" s="6">
        <v>0.1</v>
      </c>
      <c r="L824" s="6">
        <v>0.1</v>
      </c>
      <c r="M824" s="6">
        <v>0.1</v>
      </c>
      <c r="N824" s="6">
        <v>0.1</v>
      </c>
      <c r="O824" s="6">
        <v>0.1</v>
      </c>
      <c r="P824" s="6">
        <v>0.1</v>
      </c>
      <c r="Q824" s="6">
        <v>0.1</v>
      </c>
    </row>
    <row r="825" spans="1:17">
      <c r="A825" s="2">
        <v>2773</v>
      </c>
      <c r="B825" s="6">
        <v>0.1</v>
      </c>
      <c r="C825" s="6">
        <v>0.1</v>
      </c>
      <c r="D825" s="6">
        <v>0.1</v>
      </c>
      <c r="E825" s="6">
        <v>0.1</v>
      </c>
      <c r="F825" s="6">
        <v>0.1</v>
      </c>
      <c r="G825" s="6">
        <v>0.1</v>
      </c>
      <c r="H825" s="6">
        <v>0.1</v>
      </c>
      <c r="I825" s="6">
        <v>0.1</v>
      </c>
      <c r="J825" s="6">
        <v>0.1</v>
      </c>
      <c r="K825" s="6">
        <v>0.1</v>
      </c>
      <c r="L825" s="6">
        <v>0.1</v>
      </c>
      <c r="M825" s="6">
        <v>0.1</v>
      </c>
      <c r="N825" s="6">
        <v>0.1</v>
      </c>
      <c r="O825" s="6">
        <v>0.1</v>
      </c>
      <c r="P825" s="6">
        <v>0.1</v>
      </c>
      <c r="Q825" s="6">
        <v>0.1</v>
      </c>
    </row>
    <row r="826" spans="1:17">
      <c r="A826" s="2">
        <v>2774</v>
      </c>
      <c r="B826" s="6">
        <v>0.1</v>
      </c>
      <c r="C826" s="6">
        <v>0.1</v>
      </c>
      <c r="D826" s="6">
        <v>0.1</v>
      </c>
      <c r="E826" s="6">
        <v>0.1</v>
      </c>
      <c r="F826" s="6">
        <v>0.1</v>
      </c>
      <c r="G826" s="6">
        <v>0.1</v>
      </c>
      <c r="H826" s="6">
        <v>0.1</v>
      </c>
      <c r="I826" s="6">
        <v>0.1</v>
      </c>
      <c r="J826" s="6">
        <v>0.1</v>
      </c>
      <c r="K826" s="6">
        <v>0.1</v>
      </c>
      <c r="L826" s="6">
        <v>0.1</v>
      </c>
      <c r="M826" s="6">
        <v>0.1</v>
      </c>
      <c r="N826" s="6">
        <v>0.1</v>
      </c>
      <c r="O826" s="6">
        <v>0.1</v>
      </c>
      <c r="P826" s="6">
        <v>0.1</v>
      </c>
      <c r="Q826" s="6">
        <v>0.1</v>
      </c>
    </row>
    <row r="827" spans="1:17">
      <c r="A827" s="2">
        <v>2775</v>
      </c>
      <c r="B827" s="6">
        <v>0.1</v>
      </c>
      <c r="C827" s="6">
        <v>0.1</v>
      </c>
      <c r="D827" s="6">
        <v>0.1</v>
      </c>
      <c r="E827" s="6">
        <v>0.1</v>
      </c>
      <c r="F827" s="6">
        <v>0.1</v>
      </c>
      <c r="G827" s="6">
        <v>0.1</v>
      </c>
      <c r="H827" s="6">
        <v>0.1</v>
      </c>
      <c r="I827" s="6">
        <v>0.1</v>
      </c>
      <c r="J827" s="6">
        <v>0.1</v>
      </c>
      <c r="K827" s="6">
        <v>0.1</v>
      </c>
      <c r="L827" s="6">
        <v>0.1</v>
      </c>
      <c r="M827" s="6">
        <v>0.1</v>
      </c>
      <c r="N827" s="6">
        <v>0.1</v>
      </c>
      <c r="O827" s="6">
        <v>0.1</v>
      </c>
      <c r="P827" s="6">
        <v>0.1</v>
      </c>
      <c r="Q827" s="6">
        <v>0.1</v>
      </c>
    </row>
    <row r="828" spans="1:17">
      <c r="A828" s="2">
        <v>2776</v>
      </c>
      <c r="B828" s="6">
        <v>0.1</v>
      </c>
      <c r="C828" s="6">
        <v>0.1</v>
      </c>
      <c r="D828" s="6">
        <v>0.1</v>
      </c>
      <c r="E828" s="6">
        <v>0.1</v>
      </c>
      <c r="F828" s="6">
        <v>0.1</v>
      </c>
      <c r="G828" s="6">
        <v>0.1</v>
      </c>
      <c r="H828" s="6">
        <v>0.1</v>
      </c>
      <c r="I828" s="6">
        <v>0.1</v>
      </c>
      <c r="J828" s="6">
        <v>0.1</v>
      </c>
      <c r="K828" s="6">
        <v>0.1</v>
      </c>
      <c r="L828" s="6">
        <v>0.1</v>
      </c>
      <c r="M828" s="6">
        <v>0.1</v>
      </c>
      <c r="N828" s="6">
        <v>0.1</v>
      </c>
      <c r="O828" s="6">
        <v>0.1</v>
      </c>
      <c r="P828" s="6">
        <v>0.1</v>
      </c>
      <c r="Q828" s="6">
        <v>0.1</v>
      </c>
    </row>
    <row r="829" spans="1:17">
      <c r="A829" s="2">
        <v>2777</v>
      </c>
      <c r="B829" s="6">
        <v>0.1</v>
      </c>
      <c r="C829" s="6">
        <v>0.1</v>
      </c>
      <c r="D829" s="6">
        <v>0.1</v>
      </c>
      <c r="E829" s="6">
        <v>0.1</v>
      </c>
      <c r="F829" s="6">
        <v>0.1</v>
      </c>
      <c r="G829" s="6">
        <v>0.1</v>
      </c>
      <c r="H829" s="6">
        <v>0.1</v>
      </c>
      <c r="I829" s="6">
        <v>0.1</v>
      </c>
      <c r="J829" s="6">
        <v>0.1</v>
      </c>
      <c r="K829" s="6">
        <v>0.1</v>
      </c>
      <c r="L829" s="6">
        <v>0.1</v>
      </c>
      <c r="M829" s="6">
        <v>0.1</v>
      </c>
      <c r="N829" s="6">
        <v>0.1</v>
      </c>
      <c r="O829" s="6">
        <v>0.1</v>
      </c>
      <c r="P829" s="6">
        <v>0.1</v>
      </c>
      <c r="Q829" s="6">
        <v>0.1</v>
      </c>
    </row>
    <row r="830" spans="1:17">
      <c r="A830" s="2">
        <v>2778</v>
      </c>
      <c r="B830" s="6">
        <v>0.1</v>
      </c>
      <c r="C830" s="6">
        <v>0.1</v>
      </c>
      <c r="D830" s="6">
        <v>0.1</v>
      </c>
      <c r="E830" s="6">
        <v>0.1</v>
      </c>
      <c r="F830" s="6">
        <v>0.1</v>
      </c>
      <c r="G830" s="6">
        <v>0.1</v>
      </c>
      <c r="H830" s="6">
        <v>0.1</v>
      </c>
      <c r="I830" s="6">
        <v>0.1</v>
      </c>
      <c r="J830" s="6">
        <v>0.1</v>
      </c>
      <c r="K830" s="6">
        <v>0.1</v>
      </c>
      <c r="L830" s="6">
        <v>0.1</v>
      </c>
      <c r="M830" s="6">
        <v>0.1</v>
      </c>
      <c r="N830" s="6">
        <v>0.1</v>
      </c>
      <c r="O830" s="6">
        <v>0.1</v>
      </c>
      <c r="P830" s="6">
        <v>0.1</v>
      </c>
      <c r="Q830" s="6">
        <v>0.1</v>
      </c>
    </row>
    <row r="831" spans="1:17">
      <c r="A831" s="2">
        <v>2779</v>
      </c>
      <c r="B831" s="6">
        <v>0.1</v>
      </c>
      <c r="C831" s="6">
        <v>0.1</v>
      </c>
      <c r="D831" s="6">
        <v>0.1</v>
      </c>
      <c r="E831" s="6">
        <v>0.1</v>
      </c>
      <c r="F831" s="6">
        <v>0.1</v>
      </c>
      <c r="G831" s="6">
        <v>0.1</v>
      </c>
      <c r="H831" s="6">
        <v>0.1</v>
      </c>
      <c r="I831" s="6">
        <v>0.1</v>
      </c>
      <c r="J831" s="6">
        <v>0.1</v>
      </c>
      <c r="K831" s="6">
        <v>0.1</v>
      </c>
      <c r="L831" s="6">
        <v>0.1</v>
      </c>
      <c r="M831" s="6">
        <v>0.1</v>
      </c>
      <c r="N831" s="6">
        <v>0.1</v>
      </c>
      <c r="O831" s="6">
        <v>0.1</v>
      </c>
      <c r="P831" s="6">
        <v>0.1</v>
      </c>
      <c r="Q831" s="6">
        <v>0.1</v>
      </c>
    </row>
    <row r="832" spans="1:17">
      <c r="A832" s="2">
        <v>2780</v>
      </c>
      <c r="B832" s="6">
        <v>0.1</v>
      </c>
      <c r="C832" s="6">
        <v>0.1</v>
      </c>
      <c r="D832" s="6">
        <v>0.1</v>
      </c>
      <c r="E832" s="6">
        <v>0.1</v>
      </c>
      <c r="F832" s="6">
        <v>0.1</v>
      </c>
      <c r="G832" s="6">
        <v>0.1</v>
      </c>
      <c r="H832" s="6">
        <v>0.1</v>
      </c>
      <c r="I832" s="6">
        <v>0.1</v>
      </c>
      <c r="J832" s="6">
        <v>0.1</v>
      </c>
      <c r="K832" s="6">
        <v>0.1</v>
      </c>
      <c r="L832" s="6">
        <v>0.1</v>
      </c>
      <c r="M832" s="6">
        <v>0.1</v>
      </c>
      <c r="N832" s="6">
        <v>0.1</v>
      </c>
      <c r="O832" s="6">
        <v>0.1</v>
      </c>
      <c r="P832" s="6">
        <v>0.1</v>
      </c>
      <c r="Q832" s="6">
        <v>0.1</v>
      </c>
    </row>
    <row r="833" spans="1:17">
      <c r="A833" s="2">
        <v>2781</v>
      </c>
      <c r="B833" s="6">
        <v>0.1</v>
      </c>
      <c r="C833" s="6">
        <v>0.1</v>
      </c>
      <c r="D833" s="6">
        <v>0.1</v>
      </c>
      <c r="E833" s="6">
        <v>0.1</v>
      </c>
      <c r="F833" s="6">
        <v>0.1</v>
      </c>
      <c r="G833" s="6">
        <v>0.1</v>
      </c>
      <c r="H833" s="6">
        <v>0.1</v>
      </c>
      <c r="I833" s="6">
        <v>0.1</v>
      </c>
      <c r="J833" s="6">
        <v>0.1</v>
      </c>
      <c r="K833" s="6">
        <v>0.1</v>
      </c>
      <c r="L833" s="6">
        <v>0.1</v>
      </c>
      <c r="M833" s="6">
        <v>0.1</v>
      </c>
      <c r="N833" s="6">
        <v>0.1</v>
      </c>
      <c r="O833" s="6">
        <v>0.1</v>
      </c>
      <c r="P833" s="6">
        <v>0.1</v>
      </c>
      <c r="Q833" s="6">
        <v>0.1</v>
      </c>
    </row>
    <row r="834" spans="1:17">
      <c r="A834" s="2">
        <v>2782</v>
      </c>
      <c r="B834" s="6">
        <v>0.1</v>
      </c>
      <c r="C834" s="6">
        <v>0.1</v>
      </c>
      <c r="D834" s="6">
        <v>0.1</v>
      </c>
      <c r="E834" s="6">
        <v>0.1</v>
      </c>
      <c r="F834" s="6">
        <v>0.1</v>
      </c>
      <c r="G834" s="6">
        <v>0.1</v>
      </c>
      <c r="H834" s="6">
        <v>0.1</v>
      </c>
      <c r="I834" s="6">
        <v>0.1</v>
      </c>
      <c r="J834" s="6">
        <v>0.1</v>
      </c>
      <c r="K834" s="6">
        <v>0.1</v>
      </c>
      <c r="L834" s="6">
        <v>0.1</v>
      </c>
      <c r="M834" s="6">
        <v>0.1</v>
      </c>
      <c r="N834" s="6">
        <v>0.1</v>
      </c>
      <c r="O834" s="6">
        <v>0.1</v>
      </c>
      <c r="P834" s="6">
        <v>0.1</v>
      </c>
      <c r="Q834" s="6">
        <v>0.1</v>
      </c>
    </row>
    <row r="835" spans="1:17">
      <c r="A835" s="2">
        <v>2783</v>
      </c>
      <c r="B835" s="6">
        <v>0.1</v>
      </c>
      <c r="C835" s="6">
        <v>0.1</v>
      </c>
      <c r="D835" s="6">
        <v>0.1</v>
      </c>
      <c r="E835" s="6">
        <v>0.1</v>
      </c>
      <c r="F835" s="6">
        <v>0.1</v>
      </c>
      <c r="G835" s="6">
        <v>0.1</v>
      </c>
      <c r="H835" s="6">
        <v>0.1</v>
      </c>
      <c r="I835" s="6">
        <v>0.1</v>
      </c>
      <c r="J835" s="6">
        <v>0.1</v>
      </c>
      <c r="K835" s="6">
        <v>0.1</v>
      </c>
      <c r="L835" s="6">
        <v>0.1</v>
      </c>
      <c r="M835" s="6">
        <v>0.1</v>
      </c>
      <c r="N835" s="6">
        <v>0.1</v>
      </c>
      <c r="O835" s="6">
        <v>0.1</v>
      </c>
      <c r="P835" s="6">
        <v>0.1</v>
      </c>
      <c r="Q835" s="6">
        <v>0.1</v>
      </c>
    </row>
    <row r="836" spans="1:17">
      <c r="A836" s="2">
        <v>2784</v>
      </c>
      <c r="B836" s="6">
        <v>0.1</v>
      </c>
      <c r="C836" s="6">
        <v>0.1</v>
      </c>
      <c r="D836" s="6">
        <v>0.1</v>
      </c>
      <c r="E836" s="6">
        <v>0.1</v>
      </c>
      <c r="F836" s="6">
        <v>0.1</v>
      </c>
      <c r="G836" s="6">
        <v>0.1</v>
      </c>
      <c r="H836" s="6">
        <v>0.1</v>
      </c>
      <c r="I836" s="6">
        <v>0.1</v>
      </c>
      <c r="J836" s="6">
        <v>0.1</v>
      </c>
      <c r="K836" s="6">
        <v>0.1</v>
      </c>
      <c r="L836" s="6">
        <v>0.1</v>
      </c>
      <c r="M836" s="6">
        <v>0.1</v>
      </c>
      <c r="N836" s="6">
        <v>0.1</v>
      </c>
      <c r="O836" s="6">
        <v>0.1</v>
      </c>
      <c r="P836" s="6">
        <v>0.1</v>
      </c>
      <c r="Q836" s="6">
        <v>0.1</v>
      </c>
    </row>
    <row r="837" spans="1:17">
      <c r="A837" s="2">
        <v>2785</v>
      </c>
      <c r="B837" s="6">
        <v>0.1</v>
      </c>
      <c r="C837" s="6">
        <v>0.1</v>
      </c>
      <c r="D837" s="6">
        <v>0.1</v>
      </c>
      <c r="E837" s="6">
        <v>0.1</v>
      </c>
      <c r="F837" s="6">
        <v>0.1</v>
      </c>
      <c r="G837" s="6">
        <v>0.1</v>
      </c>
      <c r="H837" s="6">
        <v>0.1</v>
      </c>
      <c r="I837" s="6">
        <v>0.1</v>
      </c>
      <c r="J837" s="6">
        <v>0.1</v>
      </c>
      <c r="K837" s="6">
        <v>0.1</v>
      </c>
      <c r="L837" s="6">
        <v>0.1</v>
      </c>
      <c r="M837" s="6">
        <v>0.1</v>
      </c>
      <c r="N837" s="6">
        <v>0.1</v>
      </c>
      <c r="O837" s="6">
        <v>0.1</v>
      </c>
      <c r="P837" s="6">
        <v>0.1</v>
      </c>
      <c r="Q837" s="6">
        <v>0.1</v>
      </c>
    </row>
    <row r="838" spans="1:17">
      <c r="A838" s="2">
        <v>2786</v>
      </c>
      <c r="B838" s="6">
        <v>0.1</v>
      </c>
      <c r="C838" s="6">
        <v>0.1</v>
      </c>
      <c r="D838" s="6">
        <v>0.1</v>
      </c>
      <c r="E838" s="6">
        <v>0.1</v>
      </c>
      <c r="F838" s="6">
        <v>0.1</v>
      </c>
      <c r="G838" s="6">
        <v>0.1</v>
      </c>
      <c r="H838" s="6">
        <v>0.1</v>
      </c>
      <c r="I838" s="6">
        <v>0.1</v>
      </c>
      <c r="J838" s="6">
        <v>0.1</v>
      </c>
      <c r="K838" s="6">
        <v>0.1</v>
      </c>
      <c r="L838" s="6">
        <v>0.1</v>
      </c>
      <c r="M838" s="6">
        <v>0.1</v>
      </c>
      <c r="N838" s="6">
        <v>0.1</v>
      </c>
      <c r="O838" s="6">
        <v>0.1</v>
      </c>
      <c r="P838" s="6">
        <v>0.1</v>
      </c>
      <c r="Q838" s="6">
        <v>0.1</v>
      </c>
    </row>
    <row r="839" spans="1:17">
      <c r="A839" s="2">
        <v>2787</v>
      </c>
      <c r="B839" s="6">
        <v>0.1</v>
      </c>
      <c r="C839" s="6">
        <v>0.1</v>
      </c>
      <c r="D839" s="6">
        <v>0.1</v>
      </c>
      <c r="E839" s="6">
        <v>0.1</v>
      </c>
      <c r="F839" s="6">
        <v>0.1</v>
      </c>
      <c r="G839" s="6">
        <v>0.1</v>
      </c>
      <c r="H839" s="6">
        <v>0.1</v>
      </c>
      <c r="I839" s="6">
        <v>0.1</v>
      </c>
      <c r="J839" s="6">
        <v>0.1</v>
      </c>
      <c r="K839" s="6">
        <v>0.1</v>
      </c>
      <c r="L839" s="6">
        <v>0.1</v>
      </c>
      <c r="M839" s="6">
        <v>0.1</v>
      </c>
      <c r="N839" s="6">
        <v>0.1</v>
      </c>
      <c r="O839" s="6">
        <v>0.1</v>
      </c>
      <c r="P839" s="6">
        <v>0.1</v>
      </c>
      <c r="Q839" s="6">
        <v>0.1</v>
      </c>
    </row>
    <row r="840" spans="1:17">
      <c r="A840" s="2">
        <v>2788</v>
      </c>
      <c r="B840" s="6">
        <v>0.1</v>
      </c>
      <c r="C840" s="6">
        <v>0.1</v>
      </c>
      <c r="D840" s="6">
        <v>0.1</v>
      </c>
      <c r="E840" s="6">
        <v>0.1</v>
      </c>
      <c r="F840" s="6">
        <v>0.1</v>
      </c>
      <c r="G840" s="6">
        <v>0.1</v>
      </c>
      <c r="H840" s="6">
        <v>0.1</v>
      </c>
      <c r="I840" s="6">
        <v>0.1</v>
      </c>
      <c r="J840" s="6">
        <v>0.1</v>
      </c>
      <c r="K840" s="6">
        <v>0.1</v>
      </c>
      <c r="L840" s="6">
        <v>0.1</v>
      </c>
      <c r="M840" s="6">
        <v>0.1</v>
      </c>
      <c r="N840" s="6">
        <v>0.1</v>
      </c>
      <c r="O840" s="6">
        <v>0.1</v>
      </c>
      <c r="P840" s="6">
        <v>0.1</v>
      </c>
      <c r="Q840" s="6">
        <v>0.1</v>
      </c>
    </row>
    <row r="841" spans="1:17">
      <c r="A841" s="2">
        <v>2789</v>
      </c>
      <c r="B841" s="6">
        <v>0.1</v>
      </c>
      <c r="C841" s="6">
        <v>0.1</v>
      </c>
      <c r="D841" s="6">
        <v>0.1</v>
      </c>
      <c r="E841" s="6">
        <v>0.1</v>
      </c>
      <c r="F841" s="6">
        <v>0.1</v>
      </c>
      <c r="G841" s="6">
        <v>0.1</v>
      </c>
      <c r="H841" s="6">
        <v>0.1</v>
      </c>
      <c r="I841" s="6">
        <v>0.1</v>
      </c>
      <c r="J841" s="6">
        <v>0.1</v>
      </c>
      <c r="K841" s="6">
        <v>0.1</v>
      </c>
      <c r="L841" s="6">
        <v>0.1</v>
      </c>
      <c r="M841" s="6">
        <v>0.1</v>
      </c>
      <c r="N841" s="6">
        <v>0.1</v>
      </c>
      <c r="O841" s="6">
        <v>0.1</v>
      </c>
      <c r="P841" s="6">
        <v>0.1</v>
      </c>
      <c r="Q841" s="6">
        <v>0.1</v>
      </c>
    </row>
    <row r="842" spans="1:17">
      <c r="A842" s="2">
        <v>2790</v>
      </c>
      <c r="B842" s="6">
        <v>0.1</v>
      </c>
      <c r="C842" s="6">
        <v>0.1</v>
      </c>
      <c r="D842" s="6">
        <v>0.1</v>
      </c>
      <c r="E842" s="6">
        <v>0.1</v>
      </c>
      <c r="F842" s="6">
        <v>0.1</v>
      </c>
      <c r="G842" s="6">
        <v>0.1</v>
      </c>
      <c r="H842" s="6">
        <v>0.1</v>
      </c>
      <c r="I842" s="6">
        <v>0.1</v>
      </c>
      <c r="J842" s="6">
        <v>0.1</v>
      </c>
      <c r="K842" s="6">
        <v>0.1</v>
      </c>
      <c r="L842" s="6">
        <v>0.1</v>
      </c>
      <c r="M842" s="6">
        <v>0.1</v>
      </c>
      <c r="N842" s="6">
        <v>0.1</v>
      </c>
      <c r="O842" s="6">
        <v>0.1</v>
      </c>
      <c r="P842" s="6">
        <v>0.1</v>
      </c>
      <c r="Q842" s="6">
        <v>0.1</v>
      </c>
    </row>
    <row r="843" spans="1:17">
      <c r="A843" s="2">
        <v>2791</v>
      </c>
      <c r="B843" s="6">
        <v>0.1</v>
      </c>
      <c r="C843" s="6">
        <v>0.1</v>
      </c>
      <c r="D843" s="6">
        <v>0.1</v>
      </c>
      <c r="E843" s="6">
        <v>0.1</v>
      </c>
      <c r="F843" s="6">
        <v>0.1</v>
      </c>
      <c r="G843" s="6">
        <v>0.1</v>
      </c>
      <c r="H843" s="6">
        <v>0.1</v>
      </c>
      <c r="I843" s="6">
        <v>0.1</v>
      </c>
      <c r="J843" s="6">
        <v>0.1</v>
      </c>
      <c r="K843" s="6">
        <v>0.1</v>
      </c>
      <c r="L843" s="6">
        <v>0.1</v>
      </c>
      <c r="M843" s="6">
        <v>0.1</v>
      </c>
      <c r="N843" s="6">
        <v>0.1</v>
      </c>
      <c r="O843" s="6">
        <v>0.1</v>
      </c>
      <c r="P843" s="6">
        <v>0.1</v>
      </c>
      <c r="Q843" s="6">
        <v>0.1</v>
      </c>
    </row>
    <row r="844" spans="1:17">
      <c r="A844" s="2">
        <v>2792</v>
      </c>
      <c r="B844" s="6">
        <v>0.1</v>
      </c>
      <c r="C844" s="6">
        <v>0.1</v>
      </c>
      <c r="D844" s="6">
        <v>0.1</v>
      </c>
      <c r="E844" s="6">
        <v>0.1</v>
      </c>
      <c r="F844" s="6">
        <v>0.1</v>
      </c>
      <c r="G844" s="6">
        <v>0.1</v>
      </c>
      <c r="H844" s="6">
        <v>0.1</v>
      </c>
      <c r="I844" s="6">
        <v>0.1</v>
      </c>
      <c r="J844" s="6">
        <v>0.1</v>
      </c>
      <c r="K844" s="6">
        <v>0.1</v>
      </c>
      <c r="L844" s="6">
        <v>0.1</v>
      </c>
      <c r="M844" s="6">
        <v>0.1</v>
      </c>
      <c r="N844" s="6">
        <v>0.1</v>
      </c>
      <c r="O844" s="6">
        <v>0.1</v>
      </c>
      <c r="P844" s="6">
        <v>0.1</v>
      </c>
      <c r="Q844" s="6">
        <v>0.1</v>
      </c>
    </row>
    <row r="845" spans="1:17">
      <c r="A845" s="2">
        <v>2793</v>
      </c>
      <c r="B845" s="6">
        <v>0.1</v>
      </c>
      <c r="C845" s="6">
        <v>0.1</v>
      </c>
      <c r="D845" s="6">
        <v>0.1</v>
      </c>
      <c r="E845" s="6">
        <v>0.1</v>
      </c>
      <c r="F845" s="6">
        <v>0.1</v>
      </c>
      <c r="G845" s="6">
        <v>0.1</v>
      </c>
      <c r="H845" s="6">
        <v>0.1</v>
      </c>
      <c r="I845" s="6">
        <v>0.1</v>
      </c>
      <c r="J845" s="6">
        <v>0.1</v>
      </c>
      <c r="K845" s="6">
        <v>0.1</v>
      </c>
      <c r="L845" s="6">
        <v>0.1</v>
      </c>
      <c r="M845" s="6">
        <v>0.1</v>
      </c>
      <c r="N845" s="6">
        <v>0.1</v>
      </c>
      <c r="O845" s="6">
        <v>0.1</v>
      </c>
      <c r="P845" s="6">
        <v>0.1</v>
      </c>
      <c r="Q845" s="6">
        <v>0.1</v>
      </c>
    </row>
    <row r="846" spans="1:17">
      <c r="A846" s="2">
        <v>2794</v>
      </c>
      <c r="B846" s="6">
        <v>0.1</v>
      </c>
      <c r="C846" s="6">
        <v>0.1</v>
      </c>
      <c r="D846" s="6">
        <v>0.1</v>
      </c>
      <c r="E846" s="6">
        <v>0.1</v>
      </c>
      <c r="F846" s="6">
        <v>0.1</v>
      </c>
      <c r="G846" s="6">
        <v>0.1</v>
      </c>
      <c r="H846" s="6">
        <v>0.1</v>
      </c>
      <c r="I846" s="6">
        <v>0.1</v>
      </c>
      <c r="J846" s="6">
        <v>0.1</v>
      </c>
      <c r="K846" s="6">
        <v>0.1</v>
      </c>
      <c r="L846" s="6">
        <v>0.1</v>
      </c>
      <c r="M846" s="6">
        <v>0.1</v>
      </c>
      <c r="N846" s="6">
        <v>0.1</v>
      </c>
      <c r="O846" s="6">
        <v>0.1</v>
      </c>
      <c r="P846" s="6">
        <v>0.1</v>
      </c>
      <c r="Q846" s="6">
        <v>0.1</v>
      </c>
    </row>
    <row r="847" spans="1:17">
      <c r="A847" s="2">
        <v>2795</v>
      </c>
      <c r="B847" s="6">
        <v>0.1</v>
      </c>
      <c r="C847" s="6">
        <v>0.1</v>
      </c>
      <c r="D847" s="6">
        <v>0.1</v>
      </c>
      <c r="E847" s="6">
        <v>0.1</v>
      </c>
      <c r="F847" s="6">
        <v>0.1</v>
      </c>
      <c r="G847" s="6">
        <v>0.1</v>
      </c>
      <c r="H847" s="6">
        <v>0.1</v>
      </c>
      <c r="I847" s="6">
        <v>0.1</v>
      </c>
      <c r="J847" s="6">
        <v>0.1</v>
      </c>
      <c r="K847" s="6">
        <v>0.1</v>
      </c>
      <c r="L847" s="6">
        <v>0.1</v>
      </c>
      <c r="M847" s="6">
        <v>0.1</v>
      </c>
      <c r="N847" s="6">
        <v>0.1</v>
      </c>
      <c r="O847" s="6">
        <v>0.1</v>
      </c>
      <c r="P847" s="6">
        <v>0.1</v>
      </c>
      <c r="Q847" s="6">
        <v>0.1</v>
      </c>
    </row>
    <row r="848" spans="1:17">
      <c r="A848" s="2">
        <v>2796</v>
      </c>
      <c r="B848" s="6">
        <v>0.1</v>
      </c>
      <c r="C848" s="6">
        <v>0.1</v>
      </c>
      <c r="D848" s="6">
        <v>0.1</v>
      </c>
      <c r="E848" s="6">
        <v>0.1</v>
      </c>
      <c r="F848" s="6">
        <v>0.1</v>
      </c>
      <c r="G848" s="6">
        <v>0.1</v>
      </c>
      <c r="H848" s="6">
        <v>0.1</v>
      </c>
      <c r="I848" s="6">
        <v>0.1</v>
      </c>
      <c r="J848" s="6">
        <v>0.1</v>
      </c>
      <c r="K848" s="6">
        <v>0.1</v>
      </c>
      <c r="L848" s="6">
        <v>0.1</v>
      </c>
      <c r="M848" s="6">
        <v>0.1</v>
      </c>
      <c r="N848" s="6">
        <v>0.1</v>
      </c>
      <c r="O848" s="6">
        <v>0.1</v>
      </c>
      <c r="P848" s="6">
        <v>0.1</v>
      </c>
      <c r="Q848" s="6">
        <v>0.1</v>
      </c>
    </row>
    <row r="849" spans="1:17">
      <c r="A849" s="2">
        <v>2797</v>
      </c>
      <c r="B849" s="6">
        <v>0.1</v>
      </c>
      <c r="C849" s="6">
        <v>0.1</v>
      </c>
      <c r="D849" s="6">
        <v>0.1</v>
      </c>
      <c r="E849" s="6">
        <v>0.1</v>
      </c>
      <c r="F849" s="6">
        <v>0.1</v>
      </c>
      <c r="G849" s="6">
        <v>0.1</v>
      </c>
      <c r="H849" s="6">
        <v>0.1</v>
      </c>
      <c r="I849" s="6">
        <v>0.1</v>
      </c>
      <c r="J849" s="6">
        <v>0.1</v>
      </c>
      <c r="K849" s="6">
        <v>0.1</v>
      </c>
      <c r="L849" s="6">
        <v>0.1</v>
      </c>
      <c r="M849" s="6">
        <v>0.1</v>
      </c>
      <c r="N849" s="6">
        <v>0.1</v>
      </c>
      <c r="O849" s="6">
        <v>0.1</v>
      </c>
      <c r="P849" s="6">
        <v>0.1</v>
      </c>
      <c r="Q849" s="6">
        <v>0.1</v>
      </c>
    </row>
    <row r="850" spans="1:17">
      <c r="A850" s="2">
        <v>2798</v>
      </c>
      <c r="B850" s="6">
        <v>0.1</v>
      </c>
      <c r="C850" s="6">
        <v>0.1</v>
      </c>
      <c r="D850" s="6">
        <v>0.1</v>
      </c>
      <c r="E850" s="6">
        <v>0.1</v>
      </c>
      <c r="F850" s="6">
        <v>0.1</v>
      </c>
      <c r="G850" s="6">
        <v>0.1</v>
      </c>
      <c r="H850" s="6">
        <v>0.1</v>
      </c>
      <c r="I850" s="6">
        <v>0.1</v>
      </c>
      <c r="J850" s="6">
        <v>0.1</v>
      </c>
      <c r="K850" s="6">
        <v>0.1</v>
      </c>
      <c r="L850" s="6">
        <v>0.1</v>
      </c>
      <c r="M850" s="6">
        <v>0.1</v>
      </c>
      <c r="N850" s="6">
        <v>0.1</v>
      </c>
      <c r="O850" s="6">
        <v>0.1</v>
      </c>
      <c r="P850" s="6">
        <v>0.1</v>
      </c>
      <c r="Q850" s="6">
        <v>0.1</v>
      </c>
    </row>
    <row r="851" spans="1:17">
      <c r="A851" s="2">
        <v>2799</v>
      </c>
      <c r="B851" s="6">
        <v>0.1</v>
      </c>
      <c r="C851" s="6">
        <v>0.1</v>
      </c>
      <c r="D851" s="6">
        <v>0.1</v>
      </c>
      <c r="E851" s="6">
        <v>0.1</v>
      </c>
      <c r="F851" s="6">
        <v>0.1</v>
      </c>
      <c r="G851" s="6">
        <v>0.1</v>
      </c>
      <c r="H851" s="6">
        <v>0.1</v>
      </c>
      <c r="I851" s="6">
        <v>0.1</v>
      </c>
      <c r="J851" s="6">
        <v>0.1</v>
      </c>
      <c r="K851" s="6">
        <v>0.1</v>
      </c>
      <c r="L851" s="6">
        <v>0.1</v>
      </c>
      <c r="M851" s="6">
        <v>0.1</v>
      </c>
      <c r="N851" s="6">
        <v>0.1</v>
      </c>
      <c r="O851" s="6">
        <v>0.1</v>
      </c>
      <c r="P851" s="6">
        <v>0.1</v>
      </c>
      <c r="Q851" s="6">
        <v>0.1</v>
      </c>
    </row>
    <row r="852" spans="1:17">
      <c r="A852" s="2">
        <v>2800</v>
      </c>
      <c r="B852" s="6">
        <v>0.1</v>
      </c>
      <c r="C852" s="6">
        <v>0.1</v>
      </c>
      <c r="D852" s="6">
        <v>0.1</v>
      </c>
      <c r="E852" s="6">
        <v>0.1</v>
      </c>
      <c r="F852" s="6">
        <v>0.1</v>
      </c>
      <c r="G852" s="6">
        <v>0.1</v>
      </c>
      <c r="H852" s="6">
        <v>0.1</v>
      </c>
      <c r="I852" s="6">
        <v>0.1</v>
      </c>
      <c r="J852" s="6">
        <v>0.1</v>
      </c>
      <c r="K852" s="6">
        <v>0.1</v>
      </c>
      <c r="L852" s="6">
        <v>0.1</v>
      </c>
      <c r="M852" s="6">
        <v>0.1</v>
      </c>
      <c r="N852" s="6">
        <v>0.1</v>
      </c>
      <c r="O852" s="6">
        <v>0.1</v>
      </c>
      <c r="P852" s="6">
        <v>0.1</v>
      </c>
      <c r="Q852" s="6">
        <v>0.1</v>
      </c>
    </row>
    <row r="853" spans="1:17">
      <c r="A853" s="2">
        <v>2801</v>
      </c>
      <c r="B853" s="6">
        <v>0.1</v>
      </c>
      <c r="C853" s="6">
        <v>0.1</v>
      </c>
      <c r="D853" s="6">
        <v>0.1</v>
      </c>
      <c r="E853" s="6">
        <v>0.1</v>
      </c>
      <c r="F853" s="6">
        <v>0.1</v>
      </c>
      <c r="G853" s="6">
        <v>0.1</v>
      </c>
      <c r="H853" s="6">
        <v>0.1</v>
      </c>
      <c r="I853" s="6">
        <v>0.1</v>
      </c>
      <c r="J853" s="6">
        <v>0.1</v>
      </c>
      <c r="K853" s="6">
        <v>0.1</v>
      </c>
      <c r="L853" s="6">
        <v>0.1</v>
      </c>
      <c r="M853" s="6">
        <v>0.1</v>
      </c>
      <c r="N853" s="6">
        <v>0.1</v>
      </c>
      <c r="O853" s="6">
        <v>0.1</v>
      </c>
      <c r="P853" s="6">
        <v>0.1</v>
      </c>
      <c r="Q853" s="6">
        <v>0.1</v>
      </c>
    </row>
    <row r="854" spans="1:17">
      <c r="A854" s="2">
        <v>2802</v>
      </c>
      <c r="B854" s="6">
        <v>0.1</v>
      </c>
      <c r="C854" s="6">
        <v>0.1</v>
      </c>
      <c r="D854" s="6">
        <v>0.1</v>
      </c>
      <c r="E854" s="6">
        <v>0.1</v>
      </c>
      <c r="F854" s="6">
        <v>0.1</v>
      </c>
      <c r="G854" s="6">
        <v>0.1</v>
      </c>
      <c r="H854" s="6">
        <v>0.1</v>
      </c>
      <c r="I854" s="6">
        <v>0.1</v>
      </c>
      <c r="J854" s="6">
        <v>0.1</v>
      </c>
      <c r="K854" s="6">
        <v>0.1</v>
      </c>
      <c r="L854" s="6">
        <v>0.1</v>
      </c>
      <c r="M854" s="6">
        <v>0.1</v>
      </c>
      <c r="N854" s="6">
        <v>0.1</v>
      </c>
      <c r="O854" s="6">
        <v>0.1</v>
      </c>
      <c r="P854" s="6">
        <v>0.1</v>
      </c>
      <c r="Q854" s="6">
        <v>0.1</v>
      </c>
    </row>
    <row r="855" spans="1:17">
      <c r="A855" s="2">
        <v>2803</v>
      </c>
      <c r="B855" s="6">
        <v>0.1</v>
      </c>
      <c r="C855" s="6">
        <v>0.1</v>
      </c>
      <c r="D855" s="6">
        <v>0.1</v>
      </c>
      <c r="E855" s="6">
        <v>0.1</v>
      </c>
      <c r="F855" s="6">
        <v>0.1</v>
      </c>
      <c r="G855" s="6">
        <v>0.1</v>
      </c>
      <c r="H855" s="6">
        <v>0.1</v>
      </c>
      <c r="I855" s="6">
        <v>0.1</v>
      </c>
      <c r="J855" s="6">
        <v>0.1</v>
      </c>
      <c r="K855" s="6">
        <v>0.1</v>
      </c>
      <c r="L855" s="6">
        <v>0.1</v>
      </c>
      <c r="M855" s="6">
        <v>0.1</v>
      </c>
      <c r="N855" s="6">
        <v>0.1</v>
      </c>
      <c r="O855" s="6">
        <v>0.1</v>
      </c>
      <c r="P855" s="6">
        <v>0.1</v>
      </c>
      <c r="Q855" s="6">
        <v>0.1</v>
      </c>
    </row>
    <row r="856" spans="1:17">
      <c r="A856" s="2">
        <v>2804</v>
      </c>
      <c r="B856" s="6">
        <v>0.1</v>
      </c>
      <c r="C856" s="6">
        <v>0.1</v>
      </c>
      <c r="D856" s="6">
        <v>0.1</v>
      </c>
      <c r="E856" s="6">
        <v>0.1</v>
      </c>
      <c r="F856" s="6">
        <v>0.1</v>
      </c>
      <c r="G856" s="6">
        <v>0.1</v>
      </c>
      <c r="H856" s="6">
        <v>0.1</v>
      </c>
      <c r="I856" s="6">
        <v>0.1</v>
      </c>
      <c r="J856" s="6">
        <v>0.1</v>
      </c>
      <c r="K856" s="6">
        <v>0.1</v>
      </c>
      <c r="L856" s="6">
        <v>0.1</v>
      </c>
      <c r="M856" s="6">
        <v>0.1</v>
      </c>
      <c r="N856" s="6">
        <v>0.1</v>
      </c>
      <c r="O856" s="6">
        <v>0.1</v>
      </c>
      <c r="P856" s="6">
        <v>0.1</v>
      </c>
      <c r="Q856" s="6">
        <v>0.1</v>
      </c>
    </row>
    <row r="857" spans="1:17">
      <c r="A857" s="2">
        <v>2805</v>
      </c>
      <c r="B857" s="6">
        <v>0.1</v>
      </c>
      <c r="C857" s="6">
        <v>0.1</v>
      </c>
      <c r="D857" s="6">
        <v>0.1</v>
      </c>
      <c r="E857" s="6">
        <v>0.1</v>
      </c>
      <c r="F857" s="6">
        <v>0.1</v>
      </c>
      <c r="G857" s="6">
        <v>0.1</v>
      </c>
      <c r="H857" s="6">
        <v>0.1</v>
      </c>
      <c r="I857" s="6">
        <v>0.1</v>
      </c>
      <c r="J857" s="6">
        <v>0.1</v>
      </c>
      <c r="K857" s="6">
        <v>0.1</v>
      </c>
      <c r="L857" s="6">
        <v>0.1</v>
      </c>
      <c r="M857" s="6">
        <v>0.1</v>
      </c>
      <c r="N857" s="6">
        <v>0.1</v>
      </c>
      <c r="O857" s="6">
        <v>0.1</v>
      </c>
      <c r="P857" s="6">
        <v>0.1</v>
      </c>
      <c r="Q857" s="6">
        <v>0.1</v>
      </c>
    </row>
    <row r="858" spans="1:17">
      <c r="A858" s="2">
        <v>2806</v>
      </c>
      <c r="B858" s="6">
        <v>0.1</v>
      </c>
      <c r="C858" s="6">
        <v>0.1</v>
      </c>
      <c r="D858" s="6">
        <v>0.1</v>
      </c>
      <c r="E858" s="6">
        <v>0.1</v>
      </c>
      <c r="F858" s="6">
        <v>0.1</v>
      </c>
      <c r="G858" s="6">
        <v>0.1</v>
      </c>
      <c r="H858" s="6">
        <v>0.1</v>
      </c>
      <c r="I858" s="6">
        <v>0.1</v>
      </c>
      <c r="J858" s="6">
        <v>0.1</v>
      </c>
      <c r="K858" s="6">
        <v>0.1</v>
      </c>
      <c r="L858" s="6">
        <v>0.1</v>
      </c>
      <c r="M858" s="6">
        <v>0.1</v>
      </c>
      <c r="N858" s="6">
        <v>0.1</v>
      </c>
      <c r="O858" s="6">
        <v>0.1</v>
      </c>
      <c r="P858" s="6">
        <v>0.1</v>
      </c>
      <c r="Q858" s="6">
        <v>0.1</v>
      </c>
    </row>
    <row r="859" spans="1:17">
      <c r="A859" s="2">
        <v>2807</v>
      </c>
      <c r="B859" s="6">
        <v>0.1</v>
      </c>
      <c r="C859" s="6">
        <v>0.1</v>
      </c>
      <c r="D859" s="6">
        <v>0.1</v>
      </c>
      <c r="E859" s="6">
        <v>0.1</v>
      </c>
      <c r="F859" s="6">
        <v>0.1</v>
      </c>
      <c r="G859" s="6">
        <v>0.1</v>
      </c>
      <c r="H859" s="6">
        <v>0.1</v>
      </c>
      <c r="I859" s="6">
        <v>0.1</v>
      </c>
      <c r="J859" s="6">
        <v>0.1</v>
      </c>
      <c r="K859" s="6">
        <v>0.1</v>
      </c>
      <c r="L859" s="6">
        <v>0.1</v>
      </c>
      <c r="M859" s="6">
        <v>0.1</v>
      </c>
      <c r="N859" s="6">
        <v>0.1</v>
      </c>
      <c r="O859" s="6">
        <v>0.1</v>
      </c>
      <c r="P859" s="6">
        <v>0.1</v>
      </c>
      <c r="Q859" s="6">
        <v>0.1</v>
      </c>
    </row>
    <row r="860" spans="1:17">
      <c r="A860" s="2">
        <v>2808</v>
      </c>
      <c r="B860" s="6">
        <v>0.1</v>
      </c>
      <c r="C860" s="6">
        <v>0.1</v>
      </c>
      <c r="D860" s="6">
        <v>0.1</v>
      </c>
      <c r="E860" s="6">
        <v>0.1</v>
      </c>
      <c r="F860" s="6">
        <v>0.1</v>
      </c>
      <c r="G860" s="6">
        <v>0.1</v>
      </c>
      <c r="H860" s="6">
        <v>0.1</v>
      </c>
      <c r="I860" s="6">
        <v>0.1</v>
      </c>
      <c r="J860" s="6">
        <v>0.1</v>
      </c>
      <c r="K860" s="6">
        <v>0.1</v>
      </c>
      <c r="L860" s="6">
        <v>0.1</v>
      </c>
      <c r="M860" s="6">
        <v>0.1</v>
      </c>
      <c r="N860" s="6">
        <v>0.1</v>
      </c>
      <c r="O860" s="6">
        <v>0.1</v>
      </c>
      <c r="P860" s="6">
        <v>0.1</v>
      </c>
      <c r="Q860" s="6">
        <v>0.1</v>
      </c>
    </row>
    <row r="861" spans="1:17">
      <c r="A861" s="2">
        <v>2809</v>
      </c>
      <c r="B861" s="6">
        <v>0.1</v>
      </c>
      <c r="C861" s="6">
        <v>0.1</v>
      </c>
      <c r="D861" s="6">
        <v>0.1</v>
      </c>
      <c r="E861" s="6">
        <v>0.1</v>
      </c>
      <c r="F861" s="6">
        <v>0.1</v>
      </c>
      <c r="G861" s="6">
        <v>0.1</v>
      </c>
      <c r="H861" s="6">
        <v>0.1</v>
      </c>
      <c r="I861" s="6">
        <v>0.1</v>
      </c>
      <c r="J861" s="6">
        <v>0.1</v>
      </c>
      <c r="K861" s="6">
        <v>0.1</v>
      </c>
      <c r="L861" s="6">
        <v>0.1</v>
      </c>
      <c r="M861" s="6">
        <v>0.1</v>
      </c>
      <c r="N861" s="6">
        <v>0.1</v>
      </c>
      <c r="O861" s="6">
        <v>0.1</v>
      </c>
      <c r="P861" s="6">
        <v>0.1</v>
      </c>
      <c r="Q861" s="6">
        <v>0.1</v>
      </c>
    </row>
    <row r="862" spans="1:17">
      <c r="A862" s="2">
        <v>2810</v>
      </c>
      <c r="B862" s="6">
        <v>0.1</v>
      </c>
      <c r="C862" s="6">
        <v>0.1</v>
      </c>
      <c r="D862" s="6">
        <v>0.1</v>
      </c>
      <c r="E862" s="6">
        <v>0.1</v>
      </c>
      <c r="F862" s="6">
        <v>0.1</v>
      </c>
      <c r="G862" s="6">
        <v>0.1</v>
      </c>
      <c r="H862" s="6">
        <v>0.1</v>
      </c>
      <c r="I862" s="6">
        <v>0.1</v>
      </c>
      <c r="J862" s="6">
        <v>0.1</v>
      </c>
      <c r="K862" s="6">
        <v>0.1</v>
      </c>
      <c r="L862" s="6">
        <v>0.1</v>
      </c>
      <c r="M862" s="6">
        <v>0.1</v>
      </c>
      <c r="N862" s="6">
        <v>0.1</v>
      </c>
      <c r="O862" s="6">
        <v>0.1</v>
      </c>
      <c r="P862" s="6">
        <v>0.1</v>
      </c>
      <c r="Q862" s="6">
        <v>0.1</v>
      </c>
    </row>
    <row r="863" spans="1:17">
      <c r="A863" s="2">
        <v>2811</v>
      </c>
      <c r="B863" s="6">
        <v>0.1</v>
      </c>
      <c r="C863" s="6">
        <v>0.1</v>
      </c>
      <c r="D863" s="6">
        <v>0.1</v>
      </c>
      <c r="E863" s="6">
        <v>0.1</v>
      </c>
      <c r="F863" s="6">
        <v>0.1</v>
      </c>
      <c r="G863" s="6">
        <v>0.1</v>
      </c>
      <c r="H863" s="6">
        <v>0.1</v>
      </c>
      <c r="I863" s="6">
        <v>0.1</v>
      </c>
      <c r="J863" s="6">
        <v>0.1</v>
      </c>
      <c r="K863" s="6">
        <v>0.1</v>
      </c>
      <c r="L863" s="6">
        <v>0.1</v>
      </c>
      <c r="M863" s="6">
        <v>0.1</v>
      </c>
      <c r="N863" s="6">
        <v>0.1</v>
      </c>
      <c r="O863" s="6">
        <v>0.1</v>
      </c>
      <c r="P863" s="6">
        <v>0.1</v>
      </c>
      <c r="Q863" s="6">
        <v>0.1</v>
      </c>
    </row>
    <row r="864" spans="1:17">
      <c r="A864" s="2">
        <v>2812</v>
      </c>
      <c r="B864" s="6">
        <v>0.1</v>
      </c>
      <c r="C864" s="6">
        <v>0.1</v>
      </c>
      <c r="D864" s="6">
        <v>0.1</v>
      </c>
      <c r="E864" s="6">
        <v>0.1</v>
      </c>
      <c r="F864" s="6">
        <v>0.1</v>
      </c>
      <c r="G864" s="6">
        <v>0.1</v>
      </c>
      <c r="H864" s="6">
        <v>0.1</v>
      </c>
      <c r="I864" s="6">
        <v>0.1</v>
      </c>
      <c r="J864" s="6">
        <v>0.1</v>
      </c>
      <c r="K864" s="6">
        <v>0.1</v>
      </c>
      <c r="L864" s="6">
        <v>0.1</v>
      </c>
      <c r="M864" s="6">
        <v>0.1</v>
      </c>
      <c r="N864" s="6">
        <v>0.1</v>
      </c>
      <c r="O864" s="6">
        <v>0.1</v>
      </c>
      <c r="P864" s="6">
        <v>0.1</v>
      </c>
      <c r="Q864" s="6">
        <v>0.1</v>
      </c>
    </row>
    <row r="865" spans="1:17">
      <c r="A865" s="2">
        <v>2813</v>
      </c>
      <c r="B865" s="6">
        <v>0.1</v>
      </c>
      <c r="C865" s="6">
        <v>0.1</v>
      </c>
      <c r="D865" s="6">
        <v>0.1</v>
      </c>
      <c r="E865" s="6">
        <v>0.1</v>
      </c>
      <c r="F865" s="6">
        <v>0.1</v>
      </c>
      <c r="G865" s="6">
        <v>0.1</v>
      </c>
      <c r="H865" s="6">
        <v>0.1</v>
      </c>
      <c r="I865" s="6">
        <v>0.1</v>
      </c>
      <c r="J865" s="6">
        <v>0.1</v>
      </c>
      <c r="K865" s="6">
        <v>0.1</v>
      </c>
      <c r="L865" s="6">
        <v>0.1</v>
      </c>
      <c r="M865" s="6">
        <v>0.1</v>
      </c>
      <c r="N865" s="6">
        <v>0.1</v>
      </c>
      <c r="O865" s="6">
        <v>0.1</v>
      </c>
      <c r="P865" s="6">
        <v>0.1</v>
      </c>
      <c r="Q865" s="6">
        <v>0.1</v>
      </c>
    </row>
    <row r="866" spans="1:17">
      <c r="A866" s="2">
        <v>2814</v>
      </c>
      <c r="B866" s="6">
        <v>0.1</v>
      </c>
      <c r="C866" s="6">
        <v>0.1</v>
      </c>
      <c r="D866" s="6">
        <v>0.1</v>
      </c>
      <c r="E866" s="6">
        <v>0.1</v>
      </c>
      <c r="F866" s="6">
        <v>0.1</v>
      </c>
      <c r="G866" s="6">
        <v>0.1</v>
      </c>
      <c r="H866" s="6">
        <v>0.1</v>
      </c>
      <c r="I866" s="6">
        <v>0.1</v>
      </c>
      <c r="J866" s="6">
        <v>0.1</v>
      </c>
      <c r="K866" s="6">
        <v>0.1</v>
      </c>
      <c r="L866" s="6">
        <v>0.1</v>
      </c>
      <c r="M866" s="6">
        <v>0.1</v>
      </c>
      <c r="N866" s="6">
        <v>0.1</v>
      </c>
      <c r="O866" s="6">
        <v>0.1</v>
      </c>
      <c r="P866" s="6">
        <v>0.1</v>
      </c>
      <c r="Q866" s="6">
        <v>0.1</v>
      </c>
    </row>
    <row r="867" spans="1:17">
      <c r="A867" s="2">
        <v>2815</v>
      </c>
      <c r="B867" s="6">
        <v>0.1</v>
      </c>
      <c r="C867" s="6">
        <v>0.1</v>
      </c>
      <c r="D867" s="6">
        <v>0.1</v>
      </c>
      <c r="E867" s="6">
        <v>0.1</v>
      </c>
      <c r="F867" s="6">
        <v>0.1</v>
      </c>
      <c r="G867" s="6">
        <v>0.1</v>
      </c>
      <c r="H867" s="6">
        <v>0.1</v>
      </c>
      <c r="I867" s="6">
        <v>0.1</v>
      </c>
      <c r="J867" s="6">
        <v>0.1</v>
      </c>
      <c r="K867" s="6">
        <v>0.1</v>
      </c>
      <c r="L867" s="6">
        <v>0.1</v>
      </c>
      <c r="M867" s="6">
        <v>0.1</v>
      </c>
      <c r="N867" s="6">
        <v>0.1</v>
      </c>
      <c r="O867" s="6">
        <v>0.1</v>
      </c>
      <c r="P867" s="6">
        <v>0.1</v>
      </c>
      <c r="Q867" s="6">
        <v>0.1</v>
      </c>
    </row>
    <row r="868" spans="1:17">
      <c r="A868" s="2">
        <v>2816</v>
      </c>
      <c r="B868" s="6">
        <v>0.1</v>
      </c>
      <c r="C868" s="6">
        <v>0.1</v>
      </c>
      <c r="D868" s="6">
        <v>0.1</v>
      </c>
      <c r="E868" s="6">
        <v>0.1</v>
      </c>
      <c r="F868" s="6">
        <v>0.1</v>
      </c>
      <c r="G868" s="6">
        <v>0.1</v>
      </c>
      <c r="H868" s="6">
        <v>0.1</v>
      </c>
      <c r="I868" s="6">
        <v>0.1</v>
      </c>
      <c r="J868" s="6">
        <v>0.1</v>
      </c>
      <c r="K868" s="6">
        <v>0.1</v>
      </c>
      <c r="L868" s="6">
        <v>0.1</v>
      </c>
      <c r="M868" s="6">
        <v>0.1</v>
      </c>
      <c r="N868" s="6">
        <v>0.1</v>
      </c>
      <c r="O868" s="6">
        <v>0.1</v>
      </c>
      <c r="P868" s="6">
        <v>0.1</v>
      </c>
      <c r="Q868" s="6">
        <v>0.1</v>
      </c>
    </row>
    <row r="869" spans="1:17">
      <c r="A869" s="2">
        <v>2817</v>
      </c>
      <c r="B869" s="6">
        <v>0.1</v>
      </c>
      <c r="C869" s="6">
        <v>0.1</v>
      </c>
      <c r="D869" s="6">
        <v>0.1</v>
      </c>
      <c r="E869" s="6">
        <v>0.1</v>
      </c>
      <c r="F869" s="6">
        <v>0.1</v>
      </c>
      <c r="G869" s="6">
        <v>0.1</v>
      </c>
      <c r="H869" s="6">
        <v>0.1</v>
      </c>
      <c r="I869" s="6">
        <v>0.1</v>
      </c>
      <c r="J869" s="6">
        <v>0.1</v>
      </c>
      <c r="K869" s="6">
        <v>0.1</v>
      </c>
      <c r="L869" s="6">
        <v>0.1</v>
      </c>
      <c r="M869" s="6">
        <v>0.1</v>
      </c>
      <c r="N869" s="6">
        <v>0.1</v>
      </c>
      <c r="O869" s="6">
        <v>0.1</v>
      </c>
      <c r="P869" s="6">
        <v>0.1</v>
      </c>
      <c r="Q869" s="6">
        <v>0.1</v>
      </c>
    </row>
    <row r="870" spans="1:17">
      <c r="A870" s="2">
        <v>2818</v>
      </c>
      <c r="B870" s="6">
        <v>0.1</v>
      </c>
      <c r="C870" s="6">
        <v>0.1</v>
      </c>
      <c r="D870" s="6">
        <v>0.1</v>
      </c>
      <c r="E870" s="6">
        <v>0.1</v>
      </c>
      <c r="F870" s="6">
        <v>0.1</v>
      </c>
      <c r="G870" s="6">
        <v>0.1</v>
      </c>
      <c r="H870" s="6">
        <v>0.1</v>
      </c>
      <c r="I870" s="6">
        <v>0.1</v>
      </c>
      <c r="J870" s="6">
        <v>0.1</v>
      </c>
      <c r="K870" s="6">
        <v>0.1</v>
      </c>
      <c r="L870" s="6">
        <v>0.1</v>
      </c>
      <c r="M870" s="6">
        <v>0.1</v>
      </c>
      <c r="N870" s="6">
        <v>0.1</v>
      </c>
      <c r="O870" s="6">
        <v>0.1</v>
      </c>
      <c r="P870" s="6">
        <v>0.1</v>
      </c>
      <c r="Q870" s="6">
        <v>0.1</v>
      </c>
    </row>
    <row r="871" spans="1:17">
      <c r="A871" s="2">
        <v>2819</v>
      </c>
      <c r="B871" s="6">
        <v>0.1</v>
      </c>
      <c r="C871" s="6">
        <v>0.1</v>
      </c>
      <c r="D871" s="6">
        <v>0.1</v>
      </c>
      <c r="E871" s="6">
        <v>0.1</v>
      </c>
      <c r="F871" s="6">
        <v>0.1</v>
      </c>
      <c r="G871" s="6">
        <v>0.1</v>
      </c>
      <c r="H871" s="6">
        <v>0.1</v>
      </c>
      <c r="I871" s="6">
        <v>0.1</v>
      </c>
      <c r="J871" s="6">
        <v>0.1</v>
      </c>
      <c r="K871" s="6">
        <v>0.1</v>
      </c>
      <c r="L871" s="6">
        <v>0.1</v>
      </c>
      <c r="M871" s="6">
        <v>0.1</v>
      </c>
      <c r="N871" s="6">
        <v>0.1</v>
      </c>
      <c r="O871" s="6">
        <v>0.1</v>
      </c>
      <c r="P871" s="6">
        <v>0.1</v>
      </c>
      <c r="Q871" s="6">
        <v>0.1</v>
      </c>
    </row>
    <row r="872" spans="1:17">
      <c r="A872" s="2">
        <v>2820</v>
      </c>
      <c r="B872" s="6">
        <v>0.1</v>
      </c>
      <c r="C872" s="6">
        <v>0.1</v>
      </c>
      <c r="D872" s="6">
        <v>0.1</v>
      </c>
      <c r="E872" s="6">
        <v>0.1</v>
      </c>
      <c r="F872" s="6">
        <v>0.1</v>
      </c>
      <c r="G872" s="6">
        <v>0.1</v>
      </c>
      <c r="H872" s="6">
        <v>0.1</v>
      </c>
      <c r="I872" s="6">
        <v>0.1</v>
      </c>
      <c r="J872" s="6">
        <v>0.1</v>
      </c>
      <c r="K872" s="6">
        <v>0.1</v>
      </c>
      <c r="L872" s="6">
        <v>0.1</v>
      </c>
      <c r="M872" s="6">
        <v>0.1</v>
      </c>
      <c r="N872" s="6">
        <v>0.1</v>
      </c>
      <c r="O872" s="6">
        <v>0.1</v>
      </c>
      <c r="P872" s="6">
        <v>0.1</v>
      </c>
      <c r="Q872" s="6">
        <v>0.1</v>
      </c>
    </row>
    <row r="873" spans="1:17">
      <c r="A873" s="2">
        <v>2821</v>
      </c>
      <c r="B873" s="6">
        <v>0.1</v>
      </c>
      <c r="C873" s="6">
        <v>0.1</v>
      </c>
      <c r="D873" s="6">
        <v>0.1</v>
      </c>
      <c r="E873" s="6">
        <v>0.1</v>
      </c>
      <c r="F873" s="6">
        <v>0.1</v>
      </c>
      <c r="G873" s="6">
        <v>0.1</v>
      </c>
      <c r="H873" s="6">
        <v>0.1</v>
      </c>
      <c r="I873" s="6">
        <v>0.1</v>
      </c>
      <c r="J873" s="6">
        <v>0.1</v>
      </c>
      <c r="K873" s="6">
        <v>0.1</v>
      </c>
      <c r="L873" s="6">
        <v>0.1</v>
      </c>
      <c r="M873" s="6">
        <v>0.1</v>
      </c>
      <c r="N873" s="6">
        <v>0.1</v>
      </c>
      <c r="O873" s="6">
        <v>0.1</v>
      </c>
      <c r="P873" s="6">
        <v>0.1</v>
      </c>
      <c r="Q873" s="6">
        <v>0.1</v>
      </c>
    </row>
    <row r="874" spans="1:17">
      <c r="A874" s="2">
        <v>2822</v>
      </c>
      <c r="B874" s="6">
        <v>0.1</v>
      </c>
      <c r="C874" s="6">
        <v>0.1</v>
      </c>
      <c r="D874" s="6">
        <v>0.1</v>
      </c>
      <c r="E874" s="6">
        <v>0.1</v>
      </c>
      <c r="F874" s="6">
        <v>0.1</v>
      </c>
      <c r="G874" s="6">
        <v>0.1</v>
      </c>
      <c r="H874" s="6">
        <v>0.1</v>
      </c>
      <c r="I874" s="6">
        <v>0.1</v>
      </c>
      <c r="J874" s="6">
        <v>0.1</v>
      </c>
      <c r="K874" s="6">
        <v>0.1</v>
      </c>
      <c r="L874" s="6">
        <v>0.1</v>
      </c>
      <c r="M874" s="6">
        <v>0.1</v>
      </c>
      <c r="N874" s="6">
        <v>0.1</v>
      </c>
      <c r="O874" s="6">
        <v>0.1</v>
      </c>
      <c r="P874" s="6">
        <v>0.1</v>
      </c>
      <c r="Q874" s="6">
        <v>0.1</v>
      </c>
    </row>
    <row r="875" spans="1:17">
      <c r="A875" s="2">
        <v>2823</v>
      </c>
      <c r="B875" s="6">
        <v>0.1</v>
      </c>
      <c r="C875" s="6">
        <v>0.1</v>
      </c>
      <c r="D875" s="6">
        <v>0.1</v>
      </c>
      <c r="E875" s="6">
        <v>0.1</v>
      </c>
      <c r="F875" s="6">
        <v>0.1</v>
      </c>
      <c r="G875" s="6">
        <v>0.1</v>
      </c>
      <c r="H875" s="6">
        <v>0.1</v>
      </c>
      <c r="I875" s="6">
        <v>0.1</v>
      </c>
      <c r="J875" s="6">
        <v>0.1</v>
      </c>
      <c r="K875" s="6">
        <v>0.1</v>
      </c>
      <c r="L875" s="6">
        <v>0.1</v>
      </c>
      <c r="M875" s="6">
        <v>0.1</v>
      </c>
      <c r="N875" s="6">
        <v>0.1</v>
      </c>
      <c r="O875" s="6">
        <v>0.1</v>
      </c>
      <c r="P875" s="6">
        <v>0.1</v>
      </c>
      <c r="Q875" s="6">
        <v>0.1</v>
      </c>
    </row>
    <row r="876" spans="1:17">
      <c r="A876" s="2">
        <v>2824</v>
      </c>
      <c r="B876" s="6">
        <v>0.1</v>
      </c>
      <c r="C876" s="6">
        <v>0.1</v>
      </c>
      <c r="D876" s="6">
        <v>0.1</v>
      </c>
      <c r="E876" s="6">
        <v>0.1</v>
      </c>
      <c r="F876" s="6">
        <v>0.1</v>
      </c>
      <c r="G876" s="6">
        <v>0.1</v>
      </c>
      <c r="H876" s="6">
        <v>0.1</v>
      </c>
      <c r="I876" s="6">
        <v>0.1</v>
      </c>
      <c r="J876" s="6">
        <v>0.1</v>
      </c>
      <c r="K876" s="6">
        <v>0.1</v>
      </c>
      <c r="L876" s="6">
        <v>0.1</v>
      </c>
      <c r="M876" s="6">
        <v>0.1</v>
      </c>
      <c r="N876" s="6">
        <v>0.1</v>
      </c>
      <c r="O876" s="6">
        <v>0.1</v>
      </c>
      <c r="P876" s="6">
        <v>0.1</v>
      </c>
      <c r="Q876" s="6">
        <v>0.1</v>
      </c>
    </row>
    <row r="877" spans="1:17">
      <c r="A877" s="2">
        <v>2825</v>
      </c>
      <c r="B877" s="6">
        <v>0.1</v>
      </c>
      <c r="C877" s="6">
        <v>0.1</v>
      </c>
      <c r="D877" s="6">
        <v>0.1</v>
      </c>
      <c r="E877" s="6">
        <v>0.1</v>
      </c>
      <c r="F877" s="6">
        <v>0.1</v>
      </c>
      <c r="G877" s="6">
        <v>0.1</v>
      </c>
      <c r="H877" s="6">
        <v>0.1</v>
      </c>
      <c r="I877" s="6">
        <v>0.1</v>
      </c>
      <c r="J877" s="6">
        <v>0.1</v>
      </c>
      <c r="K877" s="6">
        <v>0.1</v>
      </c>
      <c r="L877" s="6">
        <v>0.1</v>
      </c>
      <c r="M877" s="6">
        <v>0.1</v>
      </c>
      <c r="N877" s="6">
        <v>0.1</v>
      </c>
      <c r="O877" s="6">
        <v>0.1</v>
      </c>
      <c r="P877" s="6">
        <v>0.1</v>
      </c>
      <c r="Q877" s="6">
        <v>0.1</v>
      </c>
    </row>
    <row r="878" spans="1:17">
      <c r="A878" s="2">
        <v>2826</v>
      </c>
      <c r="B878" s="6">
        <v>0.1</v>
      </c>
      <c r="C878" s="6">
        <v>0.1</v>
      </c>
      <c r="D878" s="6">
        <v>0.1</v>
      </c>
      <c r="E878" s="6">
        <v>0.1</v>
      </c>
      <c r="F878" s="6">
        <v>0.1</v>
      </c>
      <c r="G878" s="6">
        <v>0.1</v>
      </c>
      <c r="H878" s="6">
        <v>0.1</v>
      </c>
      <c r="I878" s="6">
        <v>0.1</v>
      </c>
      <c r="J878" s="6">
        <v>0.1</v>
      </c>
      <c r="K878" s="6">
        <v>0.1</v>
      </c>
      <c r="L878" s="6">
        <v>0.1</v>
      </c>
      <c r="M878" s="6">
        <v>0.1</v>
      </c>
      <c r="N878" s="6">
        <v>0.1</v>
      </c>
      <c r="O878" s="6">
        <v>0.1</v>
      </c>
      <c r="P878" s="6">
        <v>0.1</v>
      </c>
      <c r="Q878" s="6">
        <v>0.1</v>
      </c>
    </row>
    <row r="879" spans="1:17">
      <c r="A879" s="2">
        <v>2827</v>
      </c>
      <c r="B879" s="6">
        <v>0.1</v>
      </c>
      <c r="C879" s="6">
        <v>0.1</v>
      </c>
      <c r="D879" s="6">
        <v>0.1</v>
      </c>
      <c r="E879" s="6">
        <v>0.1</v>
      </c>
      <c r="F879" s="6">
        <v>0.1</v>
      </c>
      <c r="G879" s="6">
        <v>0.1</v>
      </c>
      <c r="H879" s="6">
        <v>0.1</v>
      </c>
      <c r="I879" s="6">
        <v>0.1</v>
      </c>
      <c r="J879" s="6">
        <v>0.1</v>
      </c>
      <c r="K879" s="6">
        <v>0.1</v>
      </c>
      <c r="L879" s="6">
        <v>0.1</v>
      </c>
      <c r="M879" s="6">
        <v>0.1</v>
      </c>
      <c r="N879" s="6">
        <v>0.1</v>
      </c>
      <c r="O879" s="6">
        <v>0.1</v>
      </c>
      <c r="P879" s="6">
        <v>0.1</v>
      </c>
      <c r="Q879" s="6">
        <v>0.1</v>
      </c>
    </row>
    <row r="880" spans="1:17">
      <c r="A880" s="2">
        <v>2828</v>
      </c>
      <c r="B880" s="6">
        <v>0.1</v>
      </c>
      <c r="C880" s="6">
        <v>0.1</v>
      </c>
      <c r="D880" s="6">
        <v>0.1</v>
      </c>
      <c r="E880" s="6">
        <v>0.1</v>
      </c>
      <c r="F880" s="6">
        <v>0.1</v>
      </c>
      <c r="G880" s="6">
        <v>0.1</v>
      </c>
      <c r="H880" s="6">
        <v>0.1</v>
      </c>
      <c r="I880" s="6">
        <v>0.1</v>
      </c>
      <c r="J880" s="6">
        <v>0.1</v>
      </c>
      <c r="K880" s="6">
        <v>0.1</v>
      </c>
      <c r="L880" s="6">
        <v>0.1</v>
      </c>
      <c r="M880" s="6">
        <v>0.1</v>
      </c>
      <c r="N880" s="6">
        <v>0.1</v>
      </c>
      <c r="O880" s="6">
        <v>0.1</v>
      </c>
      <c r="P880" s="6">
        <v>0.1</v>
      </c>
      <c r="Q880" s="6">
        <v>0.1</v>
      </c>
    </row>
    <row r="881" spans="1:17">
      <c r="A881" s="2">
        <v>2829</v>
      </c>
      <c r="B881" s="6">
        <v>0.1</v>
      </c>
      <c r="C881" s="6">
        <v>0.1</v>
      </c>
      <c r="D881" s="6">
        <v>0.1</v>
      </c>
      <c r="E881" s="6">
        <v>0.1</v>
      </c>
      <c r="F881" s="6">
        <v>0.1</v>
      </c>
      <c r="G881" s="6">
        <v>0.1</v>
      </c>
      <c r="H881" s="6">
        <v>0.1</v>
      </c>
      <c r="I881" s="6">
        <v>0.1</v>
      </c>
      <c r="J881" s="6">
        <v>0.1</v>
      </c>
      <c r="K881" s="6">
        <v>0.1</v>
      </c>
      <c r="L881" s="6">
        <v>0.1</v>
      </c>
      <c r="M881" s="6">
        <v>0.1</v>
      </c>
      <c r="N881" s="6">
        <v>0.1</v>
      </c>
      <c r="O881" s="6">
        <v>0.1</v>
      </c>
      <c r="P881" s="6">
        <v>0.1</v>
      </c>
      <c r="Q881" s="6">
        <v>0.1</v>
      </c>
    </row>
    <row r="882" spans="1:17">
      <c r="A882" s="2">
        <v>2830</v>
      </c>
      <c r="B882" s="6">
        <v>0.1</v>
      </c>
      <c r="C882" s="6">
        <v>0.1</v>
      </c>
      <c r="D882" s="6">
        <v>0.1</v>
      </c>
      <c r="E882" s="6">
        <v>0.1</v>
      </c>
      <c r="F882" s="6">
        <v>0.1</v>
      </c>
      <c r="G882" s="6">
        <v>0.1</v>
      </c>
      <c r="H882" s="6">
        <v>0.1</v>
      </c>
      <c r="I882" s="6">
        <v>0.1</v>
      </c>
      <c r="J882" s="6">
        <v>0.1</v>
      </c>
      <c r="K882" s="6">
        <v>0.1</v>
      </c>
      <c r="L882" s="6">
        <v>0.1</v>
      </c>
      <c r="M882" s="6">
        <v>0.1</v>
      </c>
      <c r="N882" s="6">
        <v>0.1</v>
      </c>
      <c r="O882" s="6">
        <v>0.1</v>
      </c>
      <c r="P882" s="6">
        <v>0.1</v>
      </c>
      <c r="Q882" s="6">
        <v>0.1</v>
      </c>
    </row>
    <row r="883" spans="1:17">
      <c r="A883" s="2">
        <v>2831</v>
      </c>
      <c r="B883" s="6">
        <v>0.1</v>
      </c>
      <c r="C883" s="6">
        <v>0.1</v>
      </c>
      <c r="D883" s="6">
        <v>0.1</v>
      </c>
      <c r="E883" s="6">
        <v>0.1</v>
      </c>
      <c r="F883" s="6">
        <v>0.1</v>
      </c>
      <c r="G883" s="6">
        <v>0.1</v>
      </c>
      <c r="H883" s="6">
        <v>0.1</v>
      </c>
      <c r="I883" s="6">
        <v>0.1</v>
      </c>
      <c r="J883" s="6">
        <v>0.1</v>
      </c>
      <c r="K883" s="6">
        <v>0.1</v>
      </c>
      <c r="L883" s="6">
        <v>0.1</v>
      </c>
      <c r="M883" s="6">
        <v>0.1</v>
      </c>
      <c r="N883" s="6">
        <v>0.1</v>
      </c>
      <c r="O883" s="6">
        <v>0.1</v>
      </c>
      <c r="P883" s="6">
        <v>0.1</v>
      </c>
      <c r="Q883" s="6">
        <v>0.1</v>
      </c>
    </row>
    <row r="884" spans="1:17">
      <c r="A884" s="2">
        <v>2832</v>
      </c>
      <c r="B884" s="6">
        <v>0.1</v>
      </c>
      <c r="C884" s="6">
        <v>0.1</v>
      </c>
      <c r="D884" s="6">
        <v>0.1</v>
      </c>
      <c r="E884" s="6">
        <v>0.1</v>
      </c>
      <c r="F884" s="6">
        <v>0.1</v>
      </c>
      <c r="G884" s="6">
        <v>0.1</v>
      </c>
      <c r="H884" s="6">
        <v>0.1</v>
      </c>
      <c r="I884" s="6">
        <v>0.1</v>
      </c>
      <c r="J884" s="6">
        <v>0.1</v>
      </c>
      <c r="K884" s="6">
        <v>0.1</v>
      </c>
      <c r="L884" s="6">
        <v>0.1</v>
      </c>
      <c r="M884" s="6">
        <v>0.1</v>
      </c>
      <c r="N884" s="6">
        <v>0.1</v>
      </c>
      <c r="O884" s="6">
        <v>0.1</v>
      </c>
      <c r="P884" s="6">
        <v>0.1</v>
      </c>
      <c r="Q884" s="6">
        <v>0.1</v>
      </c>
    </row>
    <row r="885" spans="1:17">
      <c r="A885" s="2">
        <v>2833</v>
      </c>
      <c r="B885" s="6">
        <v>0.1</v>
      </c>
      <c r="C885" s="6">
        <v>0.1</v>
      </c>
      <c r="D885" s="6">
        <v>0.1</v>
      </c>
      <c r="E885" s="6">
        <v>0.1</v>
      </c>
      <c r="F885" s="6">
        <v>0.1</v>
      </c>
      <c r="G885" s="6">
        <v>0.1</v>
      </c>
      <c r="H885" s="6">
        <v>0.1</v>
      </c>
      <c r="I885" s="6">
        <v>0.1</v>
      </c>
      <c r="J885" s="6">
        <v>0.1</v>
      </c>
      <c r="K885" s="6">
        <v>0.1</v>
      </c>
      <c r="L885" s="6">
        <v>0.1</v>
      </c>
      <c r="M885" s="6">
        <v>0.1</v>
      </c>
      <c r="N885" s="6">
        <v>0.1</v>
      </c>
      <c r="O885" s="6">
        <v>0.1</v>
      </c>
      <c r="P885" s="6">
        <v>0.1</v>
      </c>
      <c r="Q885" s="6">
        <v>0.1</v>
      </c>
    </row>
    <row r="886" spans="1:17">
      <c r="A886" s="2">
        <v>2834</v>
      </c>
      <c r="B886" s="6">
        <v>0.1</v>
      </c>
      <c r="C886" s="6">
        <v>0.1</v>
      </c>
      <c r="D886" s="6">
        <v>0.1</v>
      </c>
      <c r="E886" s="6">
        <v>0.1</v>
      </c>
      <c r="F886" s="6">
        <v>0.1</v>
      </c>
      <c r="G886" s="6">
        <v>0.1</v>
      </c>
      <c r="H886" s="6">
        <v>0.1</v>
      </c>
      <c r="I886" s="6">
        <v>0.1</v>
      </c>
      <c r="J886" s="6">
        <v>0.1</v>
      </c>
      <c r="K886" s="6">
        <v>0.1</v>
      </c>
      <c r="L886" s="6">
        <v>0.1</v>
      </c>
      <c r="M886" s="6">
        <v>0.1</v>
      </c>
      <c r="N886" s="6">
        <v>0.1</v>
      </c>
      <c r="O886" s="6">
        <v>0.1</v>
      </c>
      <c r="P886" s="6">
        <v>0.1</v>
      </c>
      <c r="Q886" s="6">
        <v>0.1</v>
      </c>
    </row>
    <row r="887" spans="1:17">
      <c r="A887" s="2">
        <v>2835</v>
      </c>
      <c r="B887" s="6">
        <v>0.1</v>
      </c>
      <c r="C887" s="6">
        <v>0.1</v>
      </c>
      <c r="D887" s="6">
        <v>0.1</v>
      </c>
      <c r="E887" s="6">
        <v>0.1</v>
      </c>
      <c r="F887" s="6">
        <v>0.1</v>
      </c>
      <c r="G887" s="6">
        <v>0.1</v>
      </c>
      <c r="H887" s="6">
        <v>0.1</v>
      </c>
      <c r="I887" s="6">
        <v>0.1</v>
      </c>
      <c r="J887" s="6">
        <v>0.1</v>
      </c>
      <c r="K887" s="6">
        <v>0.1</v>
      </c>
      <c r="L887" s="6">
        <v>0.1</v>
      </c>
      <c r="M887" s="6">
        <v>0.1</v>
      </c>
      <c r="N887" s="6">
        <v>0.1</v>
      </c>
      <c r="O887" s="6">
        <v>0.1</v>
      </c>
      <c r="P887" s="6">
        <v>0.1</v>
      </c>
      <c r="Q887" s="6">
        <v>0.1</v>
      </c>
    </row>
    <row r="888" spans="1:17">
      <c r="A888" s="2">
        <v>2836</v>
      </c>
      <c r="B888" s="6">
        <v>0.1</v>
      </c>
      <c r="C888" s="6">
        <v>0.1</v>
      </c>
      <c r="D888" s="6">
        <v>0.1</v>
      </c>
      <c r="E888" s="6">
        <v>0.1</v>
      </c>
      <c r="F888" s="6">
        <v>0.1</v>
      </c>
      <c r="G888" s="6">
        <v>0.1</v>
      </c>
      <c r="H888" s="6">
        <v>0.1</v>
      </c>
      <c r="I888" s="6">
        <v>0.1</v>
      </c>
      <c r="J888" s="6">
        <v>0.1</v>
      </c>
      <c r="K888" s="6">
        <v>0.1</v>
      </c>
      <c r="L888" s="6">
        <v>0.1</v>
      </c>
      <c r="M888" s="6">
        <v>0.1</v>
      </c>
      <c r="N888" s="6">
        <v>0.1</v>
      </c>
      <c r="O888" s="6">
        <v>0.1</v>
      </c>
      <c r="P888" s="6">
        <v>0.1</v>
      </c>
      <c r="Q888" s="6">
        <v>0.1</v>
      </c>
    </row>
    <row r="889" spans="1:17">
      <c r="A889" s="2">
        <v>2837</v>
      </c>
      <c r="B889" s="6">
        <v>0.1</v>
      </c>
      <c r="C889" s="6">
        <v>0.1</v>
      </c>
      <c r="D889" s="6">
        <v>0.1</v>
      </c>
      <c r="E889" s="6">
        <v>0.1</v>
      </c>
      <c r="F889" s="6">
        <v>0.1</v>
      </c>
      <c r="G889" s="6">
        <v>0.1</v>
      </c>
      <c r="H889" s="6">
        <v>0.1</v>
      </c>
      <c r="I889" s="6">
        <v>0.1</v>
      </c>
      <c r="J889" s="6">
        <v>0.1</v>
      </c>
      <c r="K889" s="6">
        <v>0.1</v>
      </c>
      <c r="L889" s="6">
        <v>0.1</v>
      </c>
      <c r="M889" s="6">
        <v>0.1</v>
      </c>
      <c r="N889" s="6">
        <v>0.1</v>
      </c>
      <c r="O889" s="6">
        <v>0.1</v>
      </c>
      <c r="P889" s="6">
        <v>0.1</v>
      </c>
      <c r="Q889" s="6">
        <v>0.1</v>
      </c>
    </row>
    <row r="890" spans="1:17">
      <c r="A890" s="2">
        <v>2838</v>
      </c>
      <c r="B890" s="6">
        <v>0.1</v>
      </c>
      <c r="C890" s="6">
        <v>0.1</v>
      </c>
      <c r="D890" s="6">
        <v>0.1</v>
      </c>
      <c r="E890" s="6">
        <v>0.1</v>
      </c>
      <c r="F890" s="6">
        <v>0.1</v>
      </c>
      <c r="G890" s="6">
        <v>0.1</v>
      </c>
      <c r="H890" s="6">
        <v>0.1</v>
      </c>
      <c r="I890" s="6">
        <v>0.1</v>
      </c>
      <c r="J890" s="6">
        <v>0.1</v>
      </c>
      <c r="K890" s="6">
        <v>0.1</v>
      </c>
      <c r="L890" s="6">
        <v>0.1</v>
      </c>
      <c r="M890" s="6">
        <v>0.1</v>
      </c>
      <c r="N890" s="6">
        <v>0.1</v>
      </c>
      <c r="O890" s="6">
        <v>0.1</v>
      </c>
      <c r="P890" s="6">
        <v>0.1</v>
      </c>
      <c r="Q890" s="6">
        <v>0.1</v>
      </c>
    </row>
    <row r="891" spans="1:17">
      <c r="A891" s="2">
        <v>2839</v>
      </c>
      <c r="B891" s="6">
        <v>0.1</v>
      </c>
      <c r="C891" s="6">
        <v>0.1</v>
      </c>
      <c r="D891" s="6">
        <v>0.1</v>
      </c>
      <c r="E891" s="6">
        <v>0.1</v>
      </c>
      <c r="F891" s="6">
        <v>0.1</v>
      </c>
      <c r="G891" s="6">
        <v>0.1</v>
      </c>
      <c r="H891" s="6">
        <v>0.1</v>
      </c>
      <c r="I891" s="6">
        <v>0.1</v>
      </c>
      <c r="J891" s="6">
        <v>0.1</v>
      </c>
      <c r="K891" s="6">
        <v>0.1</v>
      </c>
      <c r="L891" s="6">
        <v>0.1</v>
      </c>
      <c r="M891" s="6">
        <v>0.1</v>
      </c>
      <c r="N891" s="6">
        <v>0.1</v>
      </c>
      <c r="O891" s="6">
        <v>0.1</v>
      </c>
      <c r="P891" s="6">
        <v>0.1</v>
      </c>
      <c r="Q891" s="6">
        <v>0.1</v>
      </c>
    </row>
    <row r="892" spans="1:17">
      <c r="A892" s="2">
        <v>2840</v>
      </c>
      <c r="B892" s="6">
        <v>0.1</v>
      </c>
      <c r="C892" s="6">
        <v>0.1</v>
      </c>
      <c r="D892" s="6">
        <v>0.1</v>
      </c>
      <c r="E892" s="6">
        <v>0.1</v>
      </c>
      <c r="F892" s="6">
        <v>0.1</v>
      </c>
      <c r="G892" s="6">
        <v>0.1</v>
      </c>
      <c r="H892" s="6">
        <v>0.1</v>
      </c>
      <c r="I892" s="6">
        <v>0.1</v>
      </c>
      <c r="J892" s="6">
        <v>0.1</v>
      </c>
      <c r="K892" s="6">
        <v>0.1</v>
      </c>
      <c r="L892" s="6">
        <v>0.1</v>
      </c>
      <c r="M892" s="6">
        <v>0.1</v>
      </c>
      <c r="N892" s="6">
        <v>0.1</v>
      </c>
      <c r="O892" s="6">
        <v>0.1</v>
      </c>
      <c r="P892" s="6">
        <v>0.1</v>
      </c>
      <c r="Q892" s="6">
        <v>0.1</v>
      </c>
    </row>
    <row r="893" spans="1:17">
      <c r="A893" s="2">
        <v>2841</v>
      </c>
      <c r="B893" s="6">
        <v>0.1</v>
      </c>
      <c r="C893" s="6">
        <v>0.1</v>
      </c>
      <c r="D893" s="6">
        <v>0.1</v>
      </c>
      <c r="E893" s="6">
        <v>0.1</v>
      </c>
      <c r="F893" s="6">
        <v>0.1</v>
      </c>
      <c r="G893" s="6">
        <v>0.1</v>
      </c>
      <c r="H893" s="6">
        <v>0.1</v>
      </c>
      <c r="I893" s="6">
        <v>0.1</v>
      </c>
      <c r="J893" s="6">
        <v>0.1</v>
      </c>
      <c r="K893" s="6">
        <v>0.1</v>
      </c>
      <c r="L893" s="6">
        <v>0.1</v>
      </c>
      <c r="M893" s="6">
        <v>0.1</v>
      </c>
      <c r="N893" s="6">
        <v>0.1</v>
      </c>
      <c r="O893" s="6">
        <v>0.1</v>
      </c>
      <c r="P893" s="6">
        <v>0.1</v>
      </c>
      <c r="Q893" s="6">
        <v>0.1</v>
      </c>
    </row>
    <row r="894" spans="1:17">
      <c r="A894" s="2">
        <v>2842</v>
      </c>
      <c r="B894" s="6">
        <v>0.1</v>
      </c>
      <c r="C894" s="6">
        <v>0.1</v>
      </c>
      <c r="D894" s="6">
        <v>0.1</v>
      </c>
      <c r="E894" s="6">
        <v>0.1</v>
      </c>
      <c r="F894" s="6">
        <v>0.1</v>
      </c>
      <c r="G894" s="6">
        <v>0.1</v>
      </c>
      <c r="H894" s="6">
        <v>0.1</v>
      </c>
      <c r="I894" s="6">
        <v>0.1</v>
      </c>
      <c r="J894" s="6">
        <v>0.1</v>
      </c>
      <c r="K894" s="6">
        <v>0.1</v>
      </c>
      <c r="L894" s="6">
        <v>0.1</v>
      </c>
      <c r="M894" s="6">
        <v>0.1</v>
      </c>
      <c r="N894" s="6">
        <v>0.1</v>
      </c>
      <c r="O894" s="6">
        <v>0.1</v>
      </c>
      <c r="P894" s="6">
        <v>0.1</v>
      </c>
      <c r="Q894" s="6">
        <v>0.1</v>
      </c>
    </row>
    <row r="895" spans="1:17">
      <c r="A895" s="2">
        <v>2843</v>
      </c>
      <c r="B895" s="6">
        <v>0.1</v>
      </c>
      <c r="C895" s="6">
        <v>0.1</v>
      </c>
      <c r="D895" s="6">
        <v>0.1</v>
      </c>
      <c r="E895" s="6">
        <v>0.1</v>
      </c>
      <c r="F895" s="6">
        <v>0.1</v>
      </c>
      <c r="G895" s="6">
        <v>0.1</v>
      </c>
      <c r="H895" s="6">
        <v>0.1</v>
      </c>
      <c r="I895" s="6">
        <v>0.1</v>
      </c>
      <c r="J895" s="6">
        <v>0.1</v>
      </c>
      <c r="K895" s="6">
        <v>0.1</v>
      </c>
      <c r="L895" s="6">
        <v>0.1</v>
      </c>
      <c r="M895" s="6">
        <v>0.1</v>
      </c>
      <c r="N895" s="6">
        <v>0.1</v>
      </c>
      <c r="O895" s="6">
        <v>0.1</v>
      </c>
      <c r="P895" s="6">
        <v>0.1</v>
      </c>
      <c r="Q895" s="6">
        <v>0.1</v>
      </c>
    </row>
    <row r="896" spans="1:17">
      <c r="A896" s="2">
        <v>2844</v>
      </c>
      <c r="B896" s="6">
        <v>0.1</v>
      </c>
      <c r="C896" s="6">
        <v>0.1</v>
      </c>
      <c r="D896" s="6">
        <v>0.1</v>
      </c>
      <c r="E896" s="6">
        <v>0.1</v>
      </c>
      <c r="F896" s="6">
        <v>0.1</v>
      </c>
      <c r="G896" s="6">
        <v>0.1</v>
      </c>
      <c r="H896" s="6">
        <v>0.1</v>
      </c>
      <c r="I896" s="6">
        <v>0.1</v>
      </c>
      <c r="J896" s="6">
        <v>0.1</v>
      </c>
      <c r="K896" s="6">
        <v>0.1</v>
      </c>
      <c r="L896" s="6">
        <v>0.1</v>
      </c>
      <c r="M896" s="6">
        <v>0.1</v>
      </c>
      <c r="N896" s="6">
        <v>0.1</v>
      </c>
      <c r="O896" s="6">
        <v>0.1</v>
      </c>
      <c r="P896" s="6">
        <v>0.1</v>
      </c>
      <c r="Q896" s="6">
        <v>0.1</v>
      </c>
    </row>
    <row r="897" spans="1:17">
      <c r="A897" s="2">
        <v>2845</v>
      </c>
      <c r="B897" s="6">
        <v>0.1</v>
      </c>
      <c r="C897" s="6">
        <v>0.1</v>
      </c>
      <c r="D897" s="6">
        <v>0.1</v>
      </c>
      <c r="E897" s="6">
        <v>0.1</v>
      </c>
      <c r="F897" s="6">
        <v>0.1</v>
      </c>
      <c r="G897" s="6">
        <v>0.1</v>
      </c>
      <c r="H897" s="6">
        <v>0.1</v>
      </c>
      <c r="I897" s="6">
        <v>0.1</v>
      </c>
      <c r="J897" s="6">
        <v>0.1</v>
      </c>
      <c r="K897" s="6">
        <v>0.1</v>
      </c>
      <c r="L897" s="6">
        <v>0.1</v>
      </c>
      <c r="M897" s="6">
        <v>0.1</v>
      </c>
      <c r="N897" s="6">
        <v>0.1</v>
      </c>
      <c r="O897" s="6">
        <v>0.1</v>
      </c>
      <c r="P897" s="6">
        <v>0.1</v>
      </c>
      <c r="Q897" s="6">
        <v>0.1</v>
      </c>
    </row>
    <row r="898" spans="1:17">
      <c r="A898" s="2">
        <v>2846</v>
      </c>
      <c r="B898" s="6">
        <v>0.1</v>
      </c>
      <c r="C898" s="6">
        <v>0.1</v>
      </c>
      <c r="D898" s="6">
        <v>0.1</v>
      </c>
      <c r="E898" s="6">
        <v>0.1</v>
      </c>
      <c r="F898" s="6">
        <v>0.1</v>
      </c>
      <c r="G898" s="6">
        <v>0.1</v>
      </c>
      <c r="H898" s="6">
        <v>0.1</v>
      </c>
      <c r="I898" s="6">
        <v>0.1</v>
      </c>
      <c r="J898" s="6">
        <v>0.1</v>
      </c>
      <c r="K898" s="6">
        <v>0.1</v>
      </c>
      <c r="L898" s="6">
        <v>0.1</v>
      </c>
      <c r="M898" s="6">
        <v>0.1</v>
      </c>
      <c r="N898" s="6">
        <v>0.1</v>
      </c>
      <c r="O898" s="6">
        <v>0.1</v>
      </c>
      <c r="P898" s="6">
        <v>0.1</v>
      </c>
      <c r="Q898" s="6">
        <v>0.1</v>
      </c>
    </row>
    <row r="899" spans="1:17">
      <c r="A899" s="2">
        <v>2847</v>
      </c>
      <c r="B899" s="6">
        <v>0.1</v>
      </c>
      <c r="C899" s="6">
        <v>0.1</v>
      </c>
      <c r="D899" s="6">
        <v>0.1</v>
      </c>
      <c r="E899" s="6">
        <v>0.1</v>
      </c>
      <c r="F899" s="6">
        <v>0.1</v>
      </c>
      <c r="G899" s="6">
        <v>0.1</v>
      </c>
      <c r="H899" s="6">
        <v>0.1</v>
      </c>
      <c r="I899" s="6">
        <v>0.1</v>
      </c>
      <c r="J899" s="6">
        <v>0.1</v>
      </c>
      <c r="K899" s="6">
        <v>0.1</v>
      </c>
      <c r="L899" s="6">
        <v>0.1</v>
      </c>
      <c r="M899" s="6">
        <v>0.1</v>
      </c>
      <c r="N899" s="6">
        <v>0.1</v>
      </c>
      <c r="O899" s="6">
        <v>0.1</v>
      </c>
      <c r="P899" s="6">
        <v>0.1</v>
      </c>
      <c r="Q899" s="6">
        <v>0.1</v>
      </c>
    </row>
    <row r="900" spans="1:17">
      <c r="A900" s="2">
        <v>2848</v>
      </c>
      <c r="B900" s="6">
        <v>0.1</v>
      </c>
      <c r="C900" s="6">
        <v>0.1</v>
      </c>
      <c r="D900" s="6">
        <v>0.1</v>
      </c>
      <c r="E900" s="6">
        <v>0.1</v>
      </c>
      <c r="F900" s="6">
        <v>0.1</v>
      </c>
      <c r="G900" s="6">
        <v>0.1</v>
      </c>
      <c r="H900" s="6">
        <v>0.1</v>
      </c>
      <c r="I900" s="6">
        <v>0.1</v>
      </c>
      <c r="J900" s="6">
        <v>0.1</v>
      </c>
      <c r="K900" s="6">
        <v>0.1</v>
      </c>
      <c r="L900" s="6">
        <v>0.1</v>
      </c>
      <c r="M900" s="6">
        <v>0.1</v>
      </c>
      <c r="N900" s="6">
        <v>0.1</v>
      </c>
      <c r="O900" s="6">
        <v>0.1</v>
      </c>
      <c r="P900" s="6">
        <v>0.1</v>
      </c>
      <c r="Q900" s="6">
        <v>0.1</v>
      </c>
    </row>
    <row r="901" spans="1:17">
      <c r="A901" s="2">
        <v>2849</v>
      </c>
      <c r="B901" s="6">
        <v>0.1</v>
      </c>
      <c r="C901" s="6">
        <v>0.1</v>
      </c>
      <c r="D901" s="6">
        <v>0.1</v>
      </c>
      <c r="E901" s="6">
        <v>0.1</v>
      </c>
      <c r="F901" s="6">
        <v>0.1</v>
      </c>
      <c r="G901" s="6">
        <v>0.1</v>
      </c>
      <c r="H901" s="6">
        <v>0.1</v>
      </c>
      <c r="I901" s="6">
        <v>0.1</v>
      </c>
      <c r="J901" s="6">
        <v>0.1</v>
      </c>
      <c r="K901" s="6">
        <v>0.1</v>
      </c>
      <c r="L901" s="6">
        <v>0.1</v>
      </c>
      <c r="M901" s="6">
        <v>0.1</v>
      </c>
      <c r="N901" s="6">
        <v>0.1</v>
      </c>
      <c r="O901" s="6">
        <v>0.1</v>
      </c>
      <c r="P901" s="6">
        <v>0.1</v>
      </c>
      <c r="Q901" s="6">
        <v>0.1</v>
      </c>
    </row>
    <row r="902" spans="1:17">
      <c r="A902" s="2">
        <v>2850</v>
      </c>
      <c r="B902" s="6">
        <v>0.1</v>
      </c>
      <c r="C902" s="6">
        <v>0.1</v>
      </c>
      <c r="D902" s="6">
        <v>0.1</v>
      </c>
      <c r="E902" s="6">
        <v>0.1</v>
      </c>
      <c r="F902" s="6">
        <v>0.1</v>
      </c>
      <c r="G902" s="6">
        <v>0.1</v>
      </c>
      <c r="H902" s="6">
        <v>0.1</v>
      </c>
      <c r="I902" s="6">
        <v>0.1</v>
      </c>
      <c r="J902" s="6">
        <v>0.1</v>
      </c>
      <c r="K902" s="6">
        <v>0.1</v>
      </c>
      <c r="L902" s="6">
        <v>0.1</v>
      </c>
      <c r="M902" s="6">
        <v>0.1</v>
      </c>
      <c r="N902" s="6">
        <v>0.1</v>
      </c>
      <c r="O902" s="6">
        <v>0.1</v>
      </c>
      <c r="P902" s="6">
        <v>0.1</v>
      </c>
      <c r="Q902" s="6">
        <v>0.1</v>
      </c>
    </row>
    <row r="903" spans="1:17">
      <c r="A903" s="2">
        <v>2851</v>
      </c>
      <c r="B903" s="6">
        <v>0.1</v>
      </c>
      <c r="C903" s="6">
        <v>0.1</v>
      </c>
      <c r="D903" s="6">
        <v>0.1</v>
      </c>
      <c r="E903" s="6">
        <v>0.1</v>
      </c>
      <c r="F903" s="6">
        <v>0.1</v>
      </c>
      <c r="G903" s="6">
        <v>0.1</v>
      </c>
      <c r="H903" s="6">
        <v>0.1</v>
      </c>
      <c r="I903" s="6">
        <v>0.1</v>
      </c>
      <c r="J903" s="6">
        <v>0.1</v>
      </c>
      <c r="K903" s="6">
        <v>0.1</v>
      </c>
      <c r="L903" s="6">
        <v>0.1</v>
      </c>
      <c r="M903" s="6">
        <v>0.1</v>
      </c>
      <c r="N903" s="6">
        <v>0.1</v>
      </c>
      <c r="O903" s="6">
        <v>0.1</v>
      </c>
      <c r="P903" s="6">
        <v>0.1</v>
      </c>
      <c r="Q903" s="6">
        <v>0.1</v>
      </c>
    </row>
    <row r="904" spans="1:17">
      <c r="A904" s="2">
        <v>2852</v>
      </c>
      <c r="B904" s="6">
        <v>0.1</v>
      </c>
      <c r="C904" s="6">
        <v>0.1</v>
      </c>
      <c r="D904" s="6">
        <v>0.1</v>
      </c>
      <c r="E904" s="6">
        <v>0.1</v>
      </c>
      <c r="F904" s="6">
        <v>0.1</v>
      </c>
      <c r="G904" s="6">
        <v>0.1</v>
      </c>
      <c r="H904" s="6">
        <v>0.1</v>
      </c>
      <c r="I904" s="6">
        <v>0.1</v>
      </c>
      <c r="J904" s="6">
        <v>0.1</v>
      </c>
      <c r="K904" s="6">
        <v>0.1</v>
      </c>
      <c r="L904" s="6">
        <v>0.1</v>
      </c>
      <c r="M904" s="6">
        <v>0.1</v>
      </c>
      <c r="N904" s="6">
        <v>0.1</v>
      </c>
      <c r="O904" s="6">
        <v>0.1</v>
      </c>
      <c r="P904" s="6">
        <v>0.1</v>
      </c>
      <c r="Q904" s="6">
        <v>0.1</v>
      </c>
    </row>
    <row r="905" spans="1:17">
      <c r="A905" s="2">
        <v>2853</v>
      </c>
      <c r="B905" s="6">
        <v>0.1</v>
      </c>
      <c r="C905" s="6">
        <v>0.1</v>
      </c>
      <c r="D905" s="6">
        <v>0.1</v>
      </c>
      <c r="E905" s="6">
        <v>0.1</v>
      </c>
      <c r="F905" s="6">
        <v>0.1</v>
      </c>
      <c r="G905" s="6">
        <v>0.1</v>
      </c>
      <c r="H905" s="6">
        <v>0.1</v>
      </c>
      <c r="I905" s="6">
        <v>0.1</v>
      </c>
      <c r="J905" s="6">
        <v>0.1</v>
      </c>
      <c r="K905" s="6">
        <v>0.1</v>
      </c>
      <c r="L905" s="6">
        <v>0.1</v>
      </c>
      <c r="M905" s="6">
        <v>0.1</v>
      </c>
      <c r="N905" s="6">
        <v>0.1</v>
      </c>
      <c r="O905" s="6">
        <v>0.1</v>
      </c>
      <c r="P905" s="6">
        <v>0.1</v>
      </c>
      <c r="Q905" s="6">
        <v>0.1</v>
      </c>
    </row>
    <row r="906" spans="1:17">
      <c r="A906" s="2">
        <v>2854</v>
      </c>
      <c r="B906" s="6">
        <v>0.1</v>
      </c>
      <c r="C906" s="6">
        <v>0.1</v>
      </c>
      <c r="D906" s="6">
        <v>0.1</v>
      </c>
      <c r="E906" s="6">
        <v>0.1</v>
      </c>
      <c r="F906" s="6">
        <v>0.1</v>
      </c>
      <c r="G906" s="6">
        <v>0.1</v>
      </c>
      <c r="H906" s="6">
        <v>0.1</v>
      </c>
      <c r="I906" s="6">
        <v>0.1</v>
      </c>
      <c r="J906" s="6">
        <v>0.1</v>
      </c>
      <c r="K906" s="6">
        <v>0.1</v>
      </c>
      <c r="L906" s="6">
        <v>0.1</v>
      </c>
      <c r="M906" s="6">
        <v>0.1</v>
      </c>
      <c r="N906" s="6">
        <v>0.1</v>
      </c>
      <c r="O906" s="6">
        <v>0.1</v>
      </c>
      <c r="P906" s="6">
        <v>0.1</v>
      </c>
      <c r="Q906" s="6">
        <v>0.1</v>
      </c>
    </row>
    <row r="907" spans="1:17">
      <c r="A907" s="2">
        <v>2855</v>
      </c>
      <c r="B907" s="6">
        <v>0.1</v>
      </c>
      <c r="C907" s="6">
        <v>0.1</v>
      </c>
      <c r="D907" s="6">
        <v>0.1</v>
      </c>
      <c r="E907" s="6">
        <v>0.1</v>
      </c>
      <c r="F907" s="6">
        <v>0.1</v>
      </c>
      <c r="G907" s="6">
        <v>0.1</v>
      </c>
      <c r="H907" s="6">
        <v>0.1</v>
      </c>
      <c r="I907" s="6">
        <v>0.1</v>
      </c>
      <c r="J907" s="6">
        <v>0.1</v>
      </c>
      <c r="K907" s="6">
        <v>0.1</v>
      </c>
      <c r="L907" s="6">
        <v>0.1</v>
      </c>
      <c r="M907" s="6">
        <v>0.1</v>
      </c>
      <c r="N907" s="6">
        <v>0.1</v>
      </c>
      <c r="O907" s="6">
        <v>0.1</v>
      </c>
      <c r="P907" s="6">
        <v>0.1</v>
      </c>
      <c r="Q907" s="6">
        <v>0.1</v>
      </c>
    </row>
    <row r="908" spans="1:17">
      <c r="A908" s="2">
        <v>2856</v>
      </c>
      <c r="B908" s="6">
        <v>0.1</v>
      </c>
      <c r="C908" s="6">
        <v>0.1</v>
      </c>
      <c r="D908" s="6">
        <v>0.1</v>
      </c>
      <c r="E908" s="6">
        <v>0.1</v>
      </c>
      <c r="F908" s="6">
        <v>0.1</v>
      </c>
      <c r="G908" s="6">
        <v>0.1</v>
      </c>
      <c r="H908" s="6">
        <v>0.1</v>
      </c>
      <c r="I908" s="6">
        <v>0.1</v>
      </c>
      <c r="J908" s="6">
        <v>0.1</v>
      </c>
      <c r="K908" s="6">
        <v>0.1</v>
      </c>
      <c r="L908" s="6">
        <v>0.1</v>
      </c>
      <c r="M908" s="6">
        <v>0.1</v>
      </c>
      <c r="N908" s="6">
        <v>0.1</v>
      </c>
      <c r="O908" s="6">
        <v>0.1</v>
      </c>
      <c r="P908" s="6">
        <v>0.1</v>
      </c>
      <c r="Q908" s="6">
        <v>0.1</v>
      </c>
    </row>
    <row r="909" spans="1:17">
      <c r="A909" s="2">
        <v>2857</v>
      </c>
      <c r="B909" s="6">
        <v>0.1</v>
      </c>
      <c r="C909" s="6">
        <v>0.1</v>
      </c>
      <c r="D909" s="6">
        <v>0.1</v>
      </c>
      <c r="E909" s="6">
        <v>0.1</v>
      </c>
      <c r="F909" s="6">
        <v>0.1</v>
      </c>
      <c r="G909" s="6">
        <v>0.1</v>
      </c>
      <c r="H909" s="6">
        <v>0.1</v>
      </c>
      <c r="I909" s="6">
        <v>0.1</v>
      </c>
      <c r="J909" s="6">
        <v>0.1</v>
      </c>
      <c r="K909" s="6">
        <v>0.1</v>
      </c>
      <c r="L909" s="6">
        <v>0.1</v>
      </c>
      <c r="M909" s="6">
        <v>0.1</v>
      </c>
      <c r="N909" s="6">
        <v>0.1</v>
      </c>
      <c r="O909" s="6">
        <v>0.1</v>
      </c>
      <c r="P909" s="6">
        <v>0.1</v>
      </c>
      <c r="Q909" s="6">
        <v>0.1</v>
      </c>
    </row>
    <row r="910" spans="1:17">
      <c r="A910" s="2">
        <v>2858</v>
      </c>
      <c r="B910" s="6">
        <v>0.1</v>
      </c>
      <c r="C910" s="6">
        <v>0.1</v>
      </c>
      <c r="D910" s="6">
        <v>0.1</v>
      </c>
      <c r="E910" s="6">
        <v>0.1</v>
      </c>
      <c r="F910" s="6">
        <v>0.1</v>
      </c>
      <c r="G910" s="6">
        <v>0.1</v>
      </c>
      <c r="H910" s="6">
        <v>0.1</v>
      </c>
      <c r="I910" s="6">
        <v>0.1</v>
      </c>
      <c r="J910" s="6">
        <v>0.1</v>
      </c>
      <c r="K910" s="6">
        <v>0.1</v>
      </c>
      <c r="L910" s="6">
        <v>0.1</v>
      </c>
      <c r="M910" s="6">
        <v>0.1</v>
      </c>
      <c r="N910" s="6">
        <v>0.1</v>
      </c>
      <c r="O910" s="6">
        <v>0.1</v>
      </c>
      <c r="P910" s="6">
        <v>0.1</v>
      </c>
      <c r="Q910" s="6">
        <v>0.1</v>
      </c>
    </row>
    <row r="911" spans="1:17">
      <c r="A911" s="2">
        <v>2859</v>
      </c>
      <c r="B911" s="6">
        <v>0.1</v>
      </c>
      <c r="C911" s="6">
        <v>0.1</v>
      </c>
      <c r="D911" s="6">
        <v>0.1</v>
      </c>
      <c r="E911" s="6">
        <v>0.1</v>
      </c>
      <c r="F911" s="6">
        <v>0.1</v>
      </c>
      <c r="G911" s="6">
        <v>0.1</v>
      </c>
      <c r="H911" s="6">
        <v>0.1</v>
      </c>
      <c r="I911" s="6">
        <v>0.1</v>
      </c>
      <c r="J911" s="6">
        <v>0.1</v>
      </c>
      <c r="K911" s="6">
        <v>0.1</v>
      </c>
      <c r="L911" s="6">
        <v>0.1</v>
      </c>
      <c r="M911" s="6">
        <v>0.1</v>
      </c>
      <c r="N911" s="6">
        <v>0.1</v>
      </c>
      <c r="O911" s="6">
        <v>0.1</v>
      </c>
      <c r="P911" s="6">
        <v>0.1</v>
      </c>
      <c r="Q911" s="6">
        <v>0.1</v>
      </c>
    </row>
    <row r="912" spans="1:17">
      <c r="A912" s="2">
        <v>2860</v>
      </c>
      <c r="B912" s="6">
        <v>0.1</v>
      </c>
      <c r="C912" s="6">
        <v>0.1</v>
      </c>
      <c r="D912" s="6">
        <v>0.1</v>
      </c>
      <c r="E912" s="6">
        <v>0.1</v>
      </c>
      <c r="F912" s="6">
        <v>0.1</v>
      </c>
      <c r="G912" s="6">
        <v>0.1</v>
      </c>
      <c r="H912" s="6">
        <v>0.1</v>
      </c>
      <c r="I912" s="6">
        <v>0.1</v>
      </c>
      <c r="J912" s="6">
        <v>0.1</v>
      </c>
      <c r="K912" s="6">
        <v>0.1</v>
      </c>
      <c r="L912" s="6">
        <v>0.1</v>
      </c>
      <c r="M912" s="6">
        <v>0.1</v>
      </c>
      <c r="N912" s="6">
        <v>0.1</v>
      </c>
      <c r="O912" s="6">
        <v>0.1</v>
      </c>
      <c r="P912" s="6">
        <v>0.1</v>
      </c>
      <c r="Q912" s="6">
        <v>0.1</v>
      </c>
    </row>
    <row r="913" spans="1:17">
      <c r="A913" s="2">
        <v>2861</v>
      </c>
      <c r="B913" s="6">
        <v>0.1</v>
      </c>
      <c r="C913" s="6">
        <v>0.1</v>
      </c>
      <c r="D913" s="6">
        <v>0.1</v>
      </c>
      <c r="E913" s="6">
        <v>0.1</v>
      </c>
      <c r="F913" s="6">
        <v>0.1</v>
      </c>
      <c r="G913" s="6">
        <v>0.1</v>
      </c>
      <c r="H913" s="6">
        <v>0.1</v>
      </c>
      <c r="I913" s="6">
        <v>0.1</v>
      </c>
      <c r="J913" s="6">
        <v>0.1</v>
      </c>
      <c r="K913" s="6">
        <v>0.1</v>
      </c>
      <c r="L913" s="6">
        <v>0.1</v>
      </c>
      <c r="M913" s="6">
        <v>0.1</v>
      </c>
      <c r="N913" s="6">
        <v>0.1</v>
      </c>
      <c r="O913" s="6">
        <v>0.1</v>
      </c>
      <c r="P913" s="6">
        <v>0.1</v>
      </c>
      <c r="Q913" s="6">
        <v>0.1</v>
      </c>
    </row>
    <row r="914" spans="1:17">
      <c r="A914" s="2">
        <v>2862</v>
      </c>
      <c r="B914" s="6">
        <v>0.1</v>
      </c>
      <c r="C914" s="6">
        <v>0.1</v>
      </c>
      <c r="D914" s="6">
        <v>0.1</v>
      </c>
      <c r="E914" s="6">
        <v>0.1</v>
      </c>
      <c r="F914" s="6">
        <v>0.1</v>
      </c>
      <c r="G914" s="6">
        <v>0.1</v>
      </c>
      <c r="H914" s="6">
        <v>0.1</v>
      </c>
      <c r="I914" s="6">
        <v>0.1</v>
      </c>
      <c r="J914" s="6">
        <v>0.1</v>
      </c>
      <c r="K914" s="6">
        <v>0.1</v>
      </c>
      <c r="L914" s="6">
        <v>0.1</v>
      </c>
      <c r="M914" s="6">
        <v>0.1</v>
      </c>
      <c r="N914" s="6">
        <v>0.1</v>
      </c>
      <c r="O914" s="6">
        <v>0.1</v>
      </c>
      <c r="P914" s="6">
        <v>0.1</v>
      </c>
      <c r="Q914" s="6">
        <v>0.1</v>
      </c>
    </row>
    <row r="915" spans="1:17">
      <c r="A915" s="2">
        <v>2863</v>
      </c>
      <c r="B915" s="6">
        <v>0.1</v>
      </c>
      <c r="C915" s="6">
        <v>0.1</v>
      </c>
      <c r="D915" s="6">
        <v>0.1</v>
      </c>
      <c r="E915" s="6">
        <v>0.1</v>
      </c>
      <c r="F915" s="6">
        <v>0.1</v>
      </c>
      <c r="G915" s="6">
        <v>0.1</v>
      </c>
      <c r="H915" s="6">
        <v>0.1</v>
      </c>
      <c r="I915" s="6">
        <v>0.1</v>
      </c>
      <c r="J915" s="6">
        <v>0.1</v>
      </c>
      <c r="K915" s="6">
        <v>0.1</v>
      </c>
      <c r="L915" s="6">
        <v>0.1</v>
      </c>
      <c r="M915" s="6">
        <v>0.1</v>
      </c>
      <c r="N915" s="6">
        <v>0.1</v>
      </c>
      <c r="O915" s="6">
        <v>0.1</v>
      </c>
      <c r="P915" s="6">
        <v>0.1</v>
      </c>
      <c r="Q915" s="6">
        <v>0.1</v>
      </c>
    </row>
    <row r="916" spans="1:17">
      <c r="A916" s="2">
        <v>2864</v>
      </c>
      <c r="B916" s="6">
        <v>0.1</v>
      </c>
      <c r="C916" s="6">
        <v>0.1</v>
      </c>
      <c r="D916" s="6">
        <v>0.1</v>
      </c>
      <c r="E916" s="6">
        <v>0.1</v>
      </c>
      <c r="F916" s="6">
        <v>0.1</v>
      </c>
      <c r="G916" s="6">
        <v>0.1</v>
      </c>
      <c r="H916" s="6">
        <v>0.1</v>
      </c>
      <c r="I916" s="6">
        <v>0.1</v>
      </c>
      <c r="J916" s="6">
        <v>0.1</v>
      </c>
      <c r="K916" s="6">
        <v>0.1</v>
      </c>
      <c r="L916" s="6">
        <v>0.1</v>
      </c>
      <c r="M916" s="6">
        <v>0.1</v>
      </c>
      <c r="N916" s="6">
        <v>0.1</v>
      </c>
      <c r="O916" s="6">
        <v>0.1</v>
      </c>
      <c r="P916" s="6">
        <v>0.1</v>
      </c>
      <c r="Q916" s="6">
        <v>0.1</v>
      </c>
    </row>
    <row r="917" spans="1:17">
      <c r="A917" s="2">
        <v>2865</v>
      </c>
      <c r="B917" s="6">
        <v>0.1</v>
      </c>
      <c r="C917" s="6">
        <v>0.1</v>
      </c>
      <c r="D917" s="6">
        <v>0.1</v>
      </c>
      <c r="E917" s="6">
        <v>0.1</v>
      </c>
      <c r="F917" s="6">
        <v>0.1</v>
      </c>
      <c r="G917" s="6">
        <v>0.1</v>
      </c>
      <c r="H917" s="6">
        <v>0.1</v>
      </c>
      <c r="I917" s="6">
        <v>0.1</v>
      </c>
      <c r="J917" s="6">
        <v>0.1</v>
      </c>
      <c r="K917" s="6">
        <v>0.1</v>
      </c>
      <c r="L917" s="6">
        <v>0.1</v>
      </c>
      <c r="M917" s="6">
        <v>0.1</v>
      </c>
      <c r="N917" s="6">
        <v>0.1</v>
      </c>
      <c r="O917" s="6">
        <v>0.1</v>
      </c>
      <c r="P917" s="6">
        <v>0.1</v>
      </c>
      <c r="Q917" s="6">
        <v>0.1</v>
      </c>
    </row>
    <row r="918" spans="1:17">
      <c r="A918" s="2">
        <v>2866</v>
      </c>
      <c r="B918" s="6">
        <v>0.1</v>
      </c>
      <c r="C918" s="6">
        <v>0.1</v>
      </c>
      <c r="D918" s="6">
        <v>0.1</v>
      </c>
      <c r="E918" s="6">
        <v>0.1</v>
      </c>
      <c r="F918" s="6">
        <v>0.1</v>
      </c>
      <c r="G918" s="6">
        <v>0.1</v>
      </c>
      <c r="H918" s="6">
        <v>0.1</v>
      </c>
      <c r="I918" s="6">
        <v>0.1</v>
      </c>
      <c r="J918" s="6">
        <v>0.1</v>
      </c>
      <c r="K918" s="6">
        <v>0.1</v>
      </c>
      <c r="L918" s="6">
        <v>0.1</v>
      </c>
      <c r="M918" s="6">
        <v>0.1</v>
      </c>
      <c r="N918" s="6">
        <v>0.1</v>
      </c>
      <c r="O918" s="6">
        <v>0.1</v>
      </c>
      <c r="P918" s="6">
        <v>0.1</v>
      </c>
      <c r="Q918" s="6">
        <v>0.1</v>
      </c>
    </row>
    <row r="919" spans="1:17">
      <c r="A919" s="2">
        <v>2867</v>
      </c>
      <c r="B919" s="6">
        <v>0.1</v>
      </c>
      <c r="C919" s="6">
        <v>0.1</v>
      </c>
      <c r="D919" s="6">
        <v>0.1</v>
      </c>
      <c r="E919" s="6">
        <v>0.1</v>
      </c>
      <c r="F919" s="6">
        <v>0.1</v>
      </c>
      <c r="G919" s="6">
        <v>0.1</v>
      </c>
      <c r="H919" s="6">
        <v>0.1</v>
      </c>
      <c r="I919" s="6">
        <v>0.1</v>
      </c>
      <c r="J919" s="6">
        <v>0.1</v>
      </c>
      <c r="K919" s="6">
        <v>0.1</v>
      </c>
      <c r="L919" s="6">
        <v>0.1</v>
      </c>
      <c r="M919" s="6">
        <v>0.1</v>
      </c>
      <c r="N919" s="6">
        <v>0.1</v>
      </c>
      <c r="O919" s="6">
        <v>0.1</v>
      </c>
      <c r="P919" s="6">
        <v>0.1</v>
      </c>
      <c r="Q919" s="6">
        <v>0.1</v>
      </c>
    </row>
    <row r="920" spans="1:17">
      <c r="A920" s="2">
        <v>2868</v>
      </c>
      <c r="B920" s="6">
        <v>0.1</v>
      </c>
      <c r="C920" s="6">
        <v>0.1</v>
      </c>
      <c r="D920" s="6">
        <v>0.1</v>
      </c>
      <c r="E920" s="6">
        <v>0.1</v>
      </c>
      <c r="F920" s="6">
        <v>0.1</v>
      </c>
      <c r="G920" s="6">
        <v>0.1</v>
      </c>
      <c r="H920" s="6">
        <v>0.1</v>
      </c>
      <c r="I920" s="6">
        <v>0.1</v>
      </c>
      <c r="J920" s="6">
        <v>0.1</v>
      </c>
      <c r="K920" s="6">
        <v>0.1</v>
      </c>
      <c r="L920" s="6">
        <v>0.1</v>
      </c>
      <c r="M920" s="6">
        <v>0.1</v>
      </c>
      <c r="N920" s="6">
        <v>0.1</v>
      </c>
      <c r="O920" s="6">
        <v>0.1</v>
      </c>
      <c r="P920" s="6">
        <v>0.1</v>
      </c>
      <c r="Q920" s="6">
        <v>0.1</v>
      </c>
    </row>
    <row r="921" spans="1:17">
      <c r="A921" s="2">
        <v>2869</v>
      </c>
      <c r="B921" s="6">
        <v>0.1</v>
      </c>
      <c r="C921" s="6">
        <v>0.1</v>
      </c>
      <c r="D921" s="6">
        <v>0.1</v>
      </c>
      <c r="E921" s="6">
        <v>0.1</v>
      </c>
      <c r="F921" s="6">
        <v>0.1</v>
      </c>
      <c r="G921" s="6">
        <v>0.1</v>
      </c>
      <c r="H921" s="6">
        <v>0.1</v>
      </c>
      <c r="I921" s="6">
        <v>0.1</v>
      </c>
      <c r="J921" s="6">
        <v>0.1</v>
      </c>
      <c r="K921" s="6">
        <v>0.1</v>
      </c>
      <c r="L921" s="6">
        <v>0.1</v>
      </c>
      <c r="M921" s="6">
        <v>0.1</v>
      </c>
      <c r="N921" s="6">
        <v>0.1</v>
      </c>
      <c r="O921" s="6">
        <v>0.1</v>
      </c>
      <c r="P921" s="6">
        <v>0.1</v>
      </c>
      <c r="Q921" s="6">
        <v>0.1</v>
      </c>
    </row>
    <row r="922" spans="1:17">
      <c r="A922" s="2">
        <v>2870</v>
      </c>
      <c r="B922" s="6">
        <v>0.1</v>
      </c>
      <c r="C922" s="6">
        <v>0.1</v>
      </c>
      <c r="D922" s="6">
        <v>0.1</v>
      </c>
      <c r="E922" s="6">
        <v>0.1</v>
      </c>
      <c r="F922" s="6">
        <v>0.1</v>
      </c>
      <c r="G922" s="6">
        <v>0.1</v>
      </c>
      <c r="H922" s="6">
        <v>0.1</v>
      </c>
      <c r="I922" s="6">
        <v>0.1</v>
      </c>
      <c r="J922" s="6">
        <v>0.1</v>
      </c>
      <c r="K922" s="6">
        <v>0.1</v>
      </c>
      <c r="L922" s="6">
        <v>0.1</v>
      </c>
      <c r="M922" s="6">
        <v>0.1</v>
      </c>
      <c r="N922" s="6">
        <v>0.1</v>
      </c>
      <c r="O922" s="6">
        <v>0.1</v>
      </c>
      <c r="P922" s="6">
        <v>0.1</v>
      </c>
      <c r="Q922" s="6">
        <v>0.1</v>
      </c>
    </row>
    <row r="923" spans="1:17">
      <c r="A923" s="2">
        <v>2871</v>
      </c>
      <c r="B923" s="6">
        <v>0.1</v>
      </c>
      <c r="C923" s="6">
        <v>0.1</v>
      </c>
      <c r="D923" s="6">
        <v>0.1</v>
      </c>
      <c r="E923" s="6">
        <v>0.1</v>
      </c>
      <c r="F923" s="6">
        <v>0.1</v>
      </c>
      <c r="G923" s="6">
        <v>0.1</v>
      </c>
      <c r="H923" s="6">
        <v>0.1</v>
      </c>
      <c r="I923" s="6">
        <v>0.1</v>
      </c>
      <c r="J923" s="6">
        <v>0.1</v>
      </c>
      <c r="K923" s="6">
        <v>0.1</v>
      </c>
      <c r="L923" s="6">
        <v>0.1</v>
      </c>
      <c r="M923" s="6">
        <v>0.1</v>
      </c>
      <c r="N923" s="6">
        <v>0.1</v>
      </c>
      <c r="O923" s="6">
        <v>0.1</v>
      </c>
      <c r="P923" s="6">
        <v>0.1</v>
      </c>
      <c r="Q923" s="6">
        <v>0.1</v>
      </c>
    </row>
    <row r="924" spans="1:17">
      <c r="A924" s="2">
        <v>2872</v>
      </c>
      <c r="B924" s="6">
        <v>0.1</v>
      </c>
      <c r="C924" s="6">
        <v>0.1</v>
      </c>
      <c r="D924" s="6">
        <v>0.1</v>
      </c>
      <c r="E924" s="6">
        <v>0.1</v>
      </c>
      <c r="F924" s="6">
        <v>0.1</v>
      </c>
      <c r="G924" s="6">
        <v>0.1</v>
      </c>
      <c r="H924" s="6">
        <v>0.1</v>
      </c>
      <c r="I924" s="6">
        <v>0.1</v>
      </c>
      <c r="J924" s="6">
        <v>0.1</v>
      </c>
      <c r="K924" s="6">
        <v>0.1</v>
      </c>
      <c r="L924" s="6">
        <v>0.1</v>
      </c>
      <c r="M924" s="6">
        <v>0.1</v>
      </c>
      <c r="N924" s="6">
        <v>0.1</v>
      </c>
      <c r="O924" s="6">
        <v>0.1</v>
      </c>
      <c r="P924" s="6">
        <v>0.1</v>
      </c>
      <c r="Q924" s="6">
        <v>0.1</v>
      </c>
    </row>
    <row r="925" spans="1:17">
      <c r="A925" s="2">
        <v>2873</v>
      </c>
      <c r="B925" s="6">
        <v>0.1</v>
      </c>
      <c r="C925" s="6">
        <v>0.1</v>
      </c>
      <c r="D925" s="6">
        <v>0.1</v>
      </c>
      <c r="E925" s="6">
        <v>0.1</v>
      </c>
      <c r="F925" s="6">
        <v>0.1</v>
      </c>
      <c r="G925" s="6">
        <v>0.1</v>
      </c>
      <c r="H925" s="6">
        <v>0.1</v>
      </c>
      <c r="I925" s="6">
        <v>0.1</v>
      </c>
      <c r="J925" s="6">
        <v>0.1</v>
      </c>
      <c r="K925" s="6">
        <v>0.1</v>
      </c>
      <c r="L925" s="6">
        <v>0.1</v>
      </c>
      <c r="M925" s="6">
        <v>0.1</v>
      </c>
      <c r="N925" s="6">
        <v>0.1</v>
      </c>
      <c r="O925" s="6">
        <v>0.1</v>
      </c>
      <c r="P925" s="6">
        <v>0.1</v>
      </c>
      <c r="Q925" s="6">
        <v>0.1</v>
      </c>
    </row>
    <row r="926" spans="1:17">
      <c r="A926" s="2">
        <v>2874</v>
      </c>
      <c r="B926" s="6">
        <v>0.1</v>
      </c>
      <c r="C926" s="6">
        <v>0.1</v>
      </c>
      <c r="D926" s="6">
        <v>0.1</v>
      </c>
      <c r="E926" s="6">
        <v>0.1</v>
      </c>
      <c r="F926" s="6">
        <v>0.1</v>
      </c>
      <c r="G926" s="6">
        <v>0.1</v>
      </c>
      <c r="H926" s="6">
        <v>0.1</v>
      </c>
      <c r="I926" s="6">
        <v>0.1</v>
      </c>
      <c r="J926" s="6">
        <v>0.1</v>
      </c>
      <c r="K926" s="6">
        <v>0.1</v>
      </c>
      <c r="L926" s="6">
        <v>0.1</v>
      </c>
      <c r="M926" s="6">
        <v>0.1</v>
      </c>
      <c r="N926" s="6">
        <v>0.1</v>
      </c>
      <c r="O926" s="6">
        <v>0.1</v>
      </c>
      <c r="P926" s="6">
        <v>0.1</v>
      </c>
      <c r="Q926" s="6">
        <v>0.1</v>
      </c>
    </row>
    <row r="927" spans="1:17">
      <c r="A927" s="2">
        <v>2875</v>
      </c>
      <c r="B927" s="6">
        <v>0.1</v>
      </c>
      <c r="C927" s="6">
        <v>0.1</v>
      </c>
      <c r="D927" s="6">
        <v>0.1</v>
      </c>
      <c r="E927" s="6">
        <v>0.1</v>
      </c>
      <c r="F927" s="6">
        <v>0.1</v>
      </c>
      <c r="G927" s="6">
        <v>0.1</v>
      </c>
      <c r="H927" s="6">
        <v>0.1</v>
      </c>
      <c r="I927" s="6">
        <v>0.1</v>
      </c>
      <c r="J927" s="6">
        <v>0.1</v>
      </c>
      <c r="K927" s="6">
        <v>0.1</v>
      </c>
      <c r="L927" s="6">
        <v>0.1</v>
      </c>
      <c r="M927" s="6">
        <v>0.1</v>
      </c>
      <c r="N927" s="6">
        <v>0.1</v>
      </c>
      <c r="O927" s="6">
        <v>0.1</v>
      </c>
      <c r="P927" s="6">
        <v>0.1</v>
      </c>
      <c r="Q927" s="6">
        <v>0.1</v>
      </c>
    </row>
    <row r="928" spans="1:17">
      <c r="A928" s="2">
        <v>2876</v>
      </c>
      <c r="B928" s="6">
        <v>0.1</v>
      </c>
      <c r="C928" s="6">
        <v>0.1</v>
      </c>
      <c r="D928" s="6">
        <v>0.1</v>
      </c>
      <c r="E928" s="6">
        <v>0.1</v>
      </c>
      <c r="F928" s="6">
        <v>0.1</v>
      </c>
      <c r="G928" s="6">
        <v>0.1</v>
      </c>
      <c r="H928" s="6">
        <v>0.1</v>
      </c>
      <c r="I928" s="6">
        <v>0.1</v>
      </c>
      <c r="J928" s="6">
        <v>0.1</v>
      </c>
      <c r="K928" s="6">
        <v>0.1</v>
      </c>
      <c r="L928" s="6">
        <v>0.1</v>
      </c>
      <c r="M928" s="6">
        <v>0.1</v>
      </c>
      <c r="N928" s="6">
        <v>0.1</v>
      </c>
      <c r="O928" s="6">
        <v>0.1</v>
      </c>
      <c r="P928" s="6">
        <v>0.1</v>
      </c>
      <c r="Q928" s="6">
        <v>0.1</v>
      </c>
    </row>
    <row r="929" spans="1:17">
      <c r="A929" s="2">
        <v>2877</v>
      </c>
      <c r="B929" s="6">
        <v>0.1</v>
      </c>
      <c r="C929" s="6">
        <v>0.1</v>
      </c>
      <c r="D929" s="6">
        <v>0.1</v>
      </c>
      <c r="E929" s="6">
        <v>0.1</v>
      </c>
      <c r="F929" s="6">
        <v>0.1</v>
      </c>
      <c r="G929" s="6">
        <v>0.1</v>
      </c>
      <c r="H929" s="6">
        <v>0.1</v>
      </c>
      <c r="I929" s="6">
        <v>0.1</v>
      </c>
      <c r="J929" s="6">
        <v>0.1</v>
      </c>
      <c r="K929" s="6">
        <v>0.1</v>
      </c>
      <c r="L929" s="6">
        <v>0.1</v>
      </c>
      <c r="M929" s="6">
        <v>0.1</v>
      </c>
      <c r="N929" s="6">
        <v>0.1</v>
      </c>
      <c r="O929" s="6">
        <v>0.1</v>
      </c>
      <c r="P929" s="6">
        <v>0.1</v>
      </c>
      <c r="Q929" s="6">
        <v>0.1</v>
      </c>
    </row>
    <row r="930" spans="1:17">
      <c r="A930" s="2">
        <v>2878</v>
      </c>
      <c r="B930" s="6">
        <v>0.1</v>
      </c>
      <c r="C930" s="6">
        <v>0.1</v>
      </c>
      <c r="D930" s="6">
        <v>0.1</v>
      </c>
      <c r="E930" s="6">
        <v>0.1</v>
      </c>
      <c r="F930" s="6">
        <v>0.1</v>
      </c>
      <c r="G930" s="6">
        <v>0.1</v>
      </c>
      <c r="H930" s="6">
        <v>0.1</v>
      </c>
      <c r="I930" s="6">
        <v>0.1</v>
      </c>
      <c r="J930" s="6">
        <v>0.1</v>
      </c>
      <c r="K930" s="6">
        <v>0.1</v>
      </c>
      <c r="L930" s="6">
        <v>0.1</v>
      </c>
      <c r="M930" s="6">
        <v>0.1</v>
      </c>
      <c r="N930" s="6">
        <v>0.1</v>
      </c>
      <c r="O930" s="6">
        <v>0.1</v>
      </c>
      <c r="P930" s="6">
        <v>0.1</v>
      </c>
      <c r="Q930" s="6">
        <v>0.1</v>
      </c>
    </row>
    <row r="931" spans="1:17">
      <c r="A931" s="2">
        <v>2879</v>
      </c>
      <c r="B931" s="6">
        <v>0.1</v>
      </c>
      <c r="C931" s="6">
        <v>0.1</v>
      </c>
      <c r="D931" s="6">
        <v>0.1</v>
      </c>
      <c r="E931" s="6">
        <v>0.1</v>
      </c>
      <c r="F931" s="6">
        <v>0.1</v>
      </c>
      <c r="G931" s="6">
        <v>0.1</v>
      </c>
      <c r="H931" s="6">
        <v>0.1</v>
      </c>
      <c r="I931" s="6">
        <v>0.1</v>
      </c>
      <c r="J931" s="6">
        <v>0.1</v>
      </c>
      <c r="K931" s="6">
        <v>0.1</v>
      </c>
      <c r="L931" s="6">
        <v>0.1</v>
      </c>
      <c r="M931" s="6">
        <v>0.1</v>
      </c>
      <c r="N931" s="6">
        <v>0.1</v>
      </c>
      <c r="O931" s="6">
        <v>0.1</v>
      </c>
      <c r="P931" s="6">
        <v>0.1</v>
      </c>
      <c r="Q931" s="6">
        <v>0.1</v>
      </c>
    </row>
    <row r="932" spans="1:17">
      <c r="A932" s="2">
        <v>2880</v>
      </c>
      <c r="B932" s="6">
        <v>0.1</v>
      </c>
      <c r="C932" s="6">
        <v>0.1</v>
      </c>
      <c r="D932" s="6">
        <v>0.1</v>
      </c>
      <c r="E932" s="6">
        <v>0.1</v>
      </c>
      <c r="F932" s="6">
        <v>0.1</v>
      </c>
      <c r="G932" s="6">
        <v>0.1</v>
      </c>
      <c r="H932" s="6">
        <v>0.1</v>
      </c>
      <c r="I932" s="6">
        <v>0.1</v>
      </c>
      <c r="J932" s="6">
        <v>0.1</v>
      </c>
      <c r="K932" s="6">
        <v>0.1</v>
      </c>
      <c r="L932" s="6">
        <v>0.1</v>
      </c>
      <c r="M932" s="6">
        <v>0.1</v>
      </c>
      <c r="N932" s="6">
        <v>0.1</v>
      </c>
      <c r="O932" s="6">
        <v>0.1</v>
      </c>
      <c r="P932" s="6">
        <v>0.1</v>
      </c>
      <c r="Q932" s="6">
        <v>0.1</v>
      </c>
    </row>
    <row r="933" spans="1:17">
      <c r="A933" s="2">
        <v>2881</v>
      </c>
      <c r="B933" s="6">
        <v>0.1</v>
      </c>
      <c r="C933" s="6">
        <v>0.1</v>
      </c>
      <c r="D933" s="6">
        <v>0.1</v>
      </c>
      <c r="E933" s="6">
        <v>0.1</v>
      </c>
      <c r="F933" s="6">
        <v>0.1</v>
      </c>
      <c r="G933" s="6">
        <v>0.1</v>
      </c>
      <c r="H933" s="6">
        <v>0.1</v>
      </c>
      <c r="I933" s="6">
        <v>0.1</v>
      </c>
      <c r="J933" s="6">
        <v>0.1</v>
      </c>
      <c r="K933" s="6">
        <v>0.1</v>
      </c>
      <c r="L933" s="6">
        <v>0.1</v>
      </c>
      <c r="M933" s="6">
        <v>0.1</v>
      </c>
      <c r="N933" s="6">
        <v>0.1</v>
      </c>
      <c r="O933" s="6">
        <v>0.1</v>
      </c>
      <c r="P933" s="6">
        <v>0.1</v>
      </c>
      <c r="Q933" s="6">
        <v>0.1</v>
      </c>
    </row>
    <row r="934" spans="1:17">
      <c r="A934" s="2">
        <v>2882</v>
      </c>
      <c r="B934" s="6">
        <v>0.1</v>
      </c>
      <c r="C934" s="6">
        <v>0.1</v>
      </c>
      <c r="D934" s="6">
        <v>0.1</v>
      </c>
      <c r="E934" s="6">
        <v>0.1</v>
      </c>
      <c r="F934" s="6">
        <v>0.1</v>
      </c>
      <c r="G934" s="6">
        <v>0.1</v>
      </c>
      <c r="H934" s="6">
        <v>0.1</v>
      </c>
      <c r="I934" s="6">
        <v>0.1</v>
      </c>
      <c r="J934" s="6">
        <v>0.1</v>
      </c>
      <c r="K934" s="6">
        <v>0.1</v>
      </c>
      <c r="L934" s="6">
        <v>0.1</v>
      </c>
      <c r="M934" s="6">
        <v>0.1</v>
      </c>
      <c r="N934" s="6">
        <v>0.1</v>
      </c>
      <c r="O934" s="6">
        <v>0.1</v>
      </c>
      <c r="P934" s="6">
        <v>0.1</v>
      </c>
      <c r="Q934" s="6">
        <v>0.1</v>
      </c>
    </row>
    <row r="935" spans="1:17">
      <c r="A935" s="2">
        <v>2883</v>
      </c>
      <c r="B935" s="6">
        <v>0.1</v>
      </c>
      <c r="C935" s="6">
        <v>0.1</v>
      </c>
      <c r="D935" s="6">
        <v>0.1</v>
      </c>
      <c r="E935" s="6">
        <v>0.1</v>
      </c>
      <c r="F935" s="6">
        <v>0.1</v>
      </c>
      <c r="G935" s="6">
        <v>0.1</v>
      </c>
      <c r="H935" s="6">
        <v>0.1</v>
      </c>
      <c r="I935" s="6">
        <v>0.1</v>
      </c>
      <c r="J935" s="6">
        <v>0.1</v>
      </c>
      <c r="K935" s="6">
        <v>0.1</v>
      </c>
      <c r="L935" s="6">
        <v>0.1</v>
      </c>
      <c r="M935" s="6">
        <v>0.1</v>
      </c>
      <c r="N935" s="6">
        <v>0.1</v>
      </c>
      <c r="O935" s="6">
        <v>0.1</v>
      </c>
      <c r="P935" s="6">
        <v>0.1</v>
      </c>
      <c r="Q935" s="6">
        <v>0.1</v>
      </c>
    </row>
    <row r="936" spans="1:17">
      <c r="A936" s="2">
        <v>2884</v>
      </c>
      <c r="B936" s="6">
        <v>0.1</v>
      </c>
      <c r="C936" s="6">
        <v>0.1</v>
      </c>
      <c r="D936" s="6">
        <v>0.1</v>
      </c>
      <c r="E936" s="6">
        <v>0.1</v>
      </c>
      <c r="F936" s="6">
        <v>0.1</v>
      </c>
      <c r="G936" s="6">
        <v>0.1</v>
      </c>
      <c r="H936" s="6">
        <v>0.1</v>
      </c>
      <c r="I936" s="6">
        <v>0.1</v>
      </c>
      <c r="J936" s="6">
        <v>0.1</v>
      </c>
      <c r="K936" s="6">
        <v>0.1</v>
      </c>
      <c r="L936" s="6">
        <v>0.1</v>
      </c>
      <c r="M936" s="6">
        <v>0.1</v>
      </c>
      <c r="N936" s="6">
        <v>0.1</v>
      </c>
      <c r="O936" s="6">
        <v>0.1</v>
      </c>
      <c r="P936" s="6">
        <v>0.1</v>
      </c>
      <c r="Q936" s="6">
        <v>0.1</v>
      </c>
    </row>
    <row r="937" spans="1:17">
      <c r="A937" s="2">
        <v>2885</v>
      </c>
      <c r="B937" s="6">
        <v>0.1</v>
      </c>
      <c r="C937" s="6">
        <v>0.1</v>
      </c>
      <c r="D937" s="6">
        <v>0.1</v>
      </c>
      <c r="E937" s="6">
        <v>0.1</v>
      </c>
      <c r="F937" s="6">
        <v>0.1</v>
      </c>
      <c r="G937" s="6">
        <v>0.1</v>
      </c>
      <c r="H937" s="6">
        <v>0.1</v>
      </c>
      <c r="I937" s="6">
        <v>0.1</v>
      </c>
      <c r="J937" s="6">
        <v>0.1</v>
      </c>
      <c r="K937" s="6">
        <v>0.1</v>
      </c>
      <c r="L937" s="6">
        <v>0.1</v>
      </c>
      <c r="M937" s="6">
        <v>0.1</v>
      </c>
      <c r="N937" s="6">
        <v>0.1</v>
      </c>
      <c r="O937" s="6">
        <v>0.1</v>
      </c>
      <c r="P937" s="6">
        <v>0.1</v>
      </c>
      <c r="Q937" s="6">
        <v>0.1</v>
      </c>
    </row>
    <row r="938" spans="1:17">
      <c r="A938" s="2">
        <v>2886</v>
      </c>
      <c r="B938" s="6">
        <v>0.1</v>
      </c>
      <c r="C938" s="6">
        <v>0.1</v>
      </c>
      <c r="D938" s="6">
        <v>0.1</v>
      </c>
      <c r="E938" s="6">
        <v>0.1</v>
      </c>
      <c r="F938" s="6">
        <v>0.1</v>
      </c>
      <c r="G938" s="6">
        <v>0.1</v>
      </c>
      <c r="H938" s="6">
        <v>0.1</v>
      </c>
      <c r="I938" s="6">
        <v>0.1</v>
      </c>
      <c r="J938" s="6">
        <v>0.1</v>
      </c>
      <c r="K938" s="6">
        <v>0.1</v>
      </c>
      <c r="L938" s="6">
        <v>0.1</v>
      </c>
      <c r="M938" s="6">
        <v>0.1</v>
      </c>
      <c r="N938" s="6">
        <v>0.1</v>
      </c>
      <c r="O938" s="6">
        <v>0.1</v>
      </c>
      <c r="P938" s="6">
        <v>0.1</v>
      </c>
      <c r="Q938" s="6">
        <v>0.1</v>
      </c>
    </row>
    <row r="939" spans="1:17">
      <c r="A939" s="2">
        <v>2887</v>
      </c>
      <c r="B939" s="6">
        <v>0.1</v>
      </c>
      <c r="C939" s="6">
        <v>0.1</v>
      </c>
      <c r="D939" s="6">
        <v>0.1</v>
      </c>
      <c r="E939" s="6">
        <v>0.1</v>
      </c>
      <c r="F939" s="6">
        <v>0.1</v>
      </c>
      <c r="G939" s="6">
        <v>0.1</v>
      </c>
      <c r="H939" s="6">
        <v>0.1</v>
      </c>
      <c r="I939" s="6">
        <v>0.1</v>
      </c>
      <c r="J939" s="6">
        <v>0.1</v>
      </c>
      <c r="K939" s="6">
        <v>0.1</v>
      </c>
      <c r="L939" s="6">
        <v>0.1</v>
      </c>
      <c r="M939" s="6">
        <v>0.1</v>
      </c>
      <c r="N939" s="6">
        <v>0.1</v>
      </c>
      <c r="O939" s="6">
        <v>0.1</v>
      </c>
      <c r="P939" s="6">
        <v>0.1</v>
      </c>
      <c r="Q939" s="6">
        <v>0.1</v>
      </c>
    </row>
    <row r="940" spans="1:17">
      <c r="A940" s="2">
        <v>2888</v>
      </c>
      <c r="B940" s="6">
        <v>0.1</v>
      </c>
      <c r="C940" s="6">
        <v>0.1</v>
      </c>
      <c r="D940" s="6">
        <v>0.1</v>
      </c>
      <c r="E940" s="6">
        <v>0.1</v>
      </c>
      <c r="F940" s="6">
        <v>0.1</v>
      </c>
      <c r="G940" s="6">
        <v>0.1</v>
      </c>
      <c r="H940" s="6">
        <v>0.1</v>
      </c>
      <c r="I940" s="6">
        <v>0.1</v>
      </c>
      <c r="J940" s="6">
        <v>0.1</v>
      </c>
      <c r="K940" s="6">
        <v>0.1</v>
      </c>
      <c r="L940" s="6">
        <v>0.1</v>
      </c>
      <c r="M940" s="6">
        <v>0.1</v>
      </c>
      <c r="N940" s="6">
        <v>0.1</v>
      </c>
      <c r="O940" s="6">
        <v>0.1</v>
      </c>
      <c r="P940" s="6">
        <v>0.1</v>
      </c>
      <c r="Q940" s="6">
        <v>0.1</v>
      </c>
    </row>
    <row r="941" spans="1:17">
      <c r="A941" s="2">
        <v>2889</v>
      </c>
      <c r="B941" s="6">
        <v>0.1</v>
      </c>
      <c r="C941" s="6">
        <v>0.1</v>
      </c>
      <c r="D941" s="6">
        <v>0.1</v>
      </c>
      <c r="E941" s="6">
        <v>0.1</v>
      </c>
      <c r="F941" s="6">
        <v>0.1</v>
      </c>
      <c r="G941" s="6">
        <v>0.1</v>
      </c>
      <c r="H941" s="6">
        <v>0.1</v>
      </c>
      <c r="I941" s="6">
        <v>0.1</v>
      </c>
      <c r="J941" s="6">
        <v>0.1</v>
      </c>
      <c r="K941" s="6">
        <v>0.1</v>
      </c>
      <c r="L941" s="6">
        <v>0.1</v>
      </c>
      <c r="M941" s="6">
        <v>0.1</v>
      </c>
      <c r="N941" s="6">
        <v>0.1</v>
      </c>
      <c r="O941" s="6">
        <v>0.1</v>
      </c>
      <c r="P941" s="6">
        <v>0.1</v>
      </c>
      <c r="Q941" s="6">
        <v>0.1</v>
      </c>
    </row>
    <row r="942" spans="1:17">
      <c r="A942" s="2">
        <v>2890</v>
      </c>
      <c r="B942" s="6">
        <v>0.1</v>
      </c>
      <c r="C942" s="6">
        <v>0.1</v>
      </c>
      <c r="D942" s="6">
        <v>0.1</v>
      </c>
      <c r="E942" s="6">
        <v>0.1</v>
      </c>
      <c r="F942" s="6">
        <v>0.1</v>
      </c>
      <c r="G942" s="6">
        <v>0.1</v>
      </c>
      <c r="H942" s="6">
        <v>0.1</v>
      </c>
      <c r="I942" s="6">
        <v>0.1</v>
      </c>
      <c r="J942" s="6">
        <v>0.1</v>
      </c>
      <c r="K942" s="6">
        <v>0.1</v>
      </c>
      <c r="L942" s="6">
        <v>0.1</v>
      </c>
      <c r="M942" s="6">
        <v>0.1</v>
      </c>
      <c r="N942" s="6">
        <v>0.1</v>
      </c>
      <c r="O942" s="6">
        <v>0.1</v>
      </c>
      <c r="P942" s="6">
        <v>0.1</v>
      </c>
      <c r="Q942" s="6">
        <v>0.1</v>
      </c>
    </row>
    <row r="943" spans="1:17">
      <c r="A943" s="2">
        <v>2891</v>
      </c>
      <c r="B943" s="6">
        <v>0.1</v>
      </c>
      <c r="C943" s="6">
        <v>0.1</v>
      </c>
      <c r="D943" s="6">
        <v>0.1</v>
      </c>
      <c r="E943" s="6">
        <v>0.1</v>
      </c>
      <c r="F943" s="6">
        <v>0.1</v>
      </c>
      <c r="G943" s="6">
        <v>0.1</v>
      </c>
      <c r="H943" s="6">
        <v>0.1</v>
      </c>
      <c r="I943" s="6">
        <v>0.1</v>
      </c>
      <c r="J943" s="6">
        <v>0.1</v>
      </c>
      <c r="K943" s="6">
        <v>0.1</v>
      </c>
      <c r="L943" s="6">
        <v>0.1</v>
      </c>
      <c r="M943" s="6">
        <v>0.1</v>
      </c>
      <c r="N943" s="6">
        <v>0.1</v>
      </c>
      <c r="O943" s="6">
        <v>0.1</v>
      </c>
      <c r="P943" s="6">
        <v>0.1</v>
      </c>
      <c r="Q943" s="6">
        <v>0.1</v>
      </c>
    </row>
    <row r="944" spans="1:17">
      <c r="A944" s="2">
        <v>2892</v>
      </c>
      <c r="B944" s="6">
        <v>0.1</v>
      </c>
      <c r="C944" s="6">
        <v>0.1</v>
      </c>
      <c r="D944" s="6">
        <v>0.1</v>
      </c>
      <c r="E944" s="6">
        <v>0.1</v>
      </c>
      <c r="F944" s="6">
        <v>0.1</v>
      </c>
      <c r="G944" s="6">
        <v>0.1</v>
      </c>
      <c r="H944" s="6">
        <v>0.1</v>
      </c>
      <c r="I944" s="6">
        <v>0.1</v>
      </c>
      <c r="J944" s="6">
        <v>0.1</v>
      </c>
      <c r="K944" s="6">
        <v>0.1</v>
      </c>
      <c r="L944" s="6">
        <v>0.1</v>
      </c>
      <c r="M944" s="6">
        <v>0.1</v>
      </c>
      <c r="N944" s="6">
        <v>0.1</v>
      </c>
      <c r="O944" s="6">
        <v>0.1</v>
      </c>
      <c r="P944" s="6">
        <v>0.1</v>
      </c>
      <c r="Q944" s="6">
        <v>0.1</v>
      </c>
    </row>
    <row r="945" spans="1:17">
      <c r="A945" s="2">
        <v>2893</v>
      </c>
      <c r="B945" s="6">
        <v>0.1</v>
      </c>
      <c r="C945" s="6">
        <v>0.1</v>
      </c>
      <c r="D945" s="6">
        <v>0.1</v>
      </c>
      <c r="E945" s="6">
        <v>0.1</v>
      </c>
      <c r="F945" s="6">
        <v>0.1</v>
      </c>
      <c r="G945" s="6">
        <v>0.1</v>
      </c>
      <c r="H945" s="6">
        <v>0.1</v>
      </c>
      <c r="I945" s="6">
        <v>0.1</v>
      </c>
      <c r="J945" s="6">
        <v>0.1</v>
      </c>
      <c r="K945" s="6">
        <v>0.1</v>
      </c>
      <c r="L945" s="6">
        <v>0.1</v>
      </c>
      <c r="M945" s="6">
        <v>0.1</v>
      </c>
      <c r="N945" s="6">
        <v>0.1</v>
      </c>
      <c r="O945" s="6">
        <v>0.1</v>
      </c>
      <c r="P945" s="6">
        <v>0.1</v>
      </c>
      <c r="Q945" s="6">
        <v>0.1</v>
      </c>
    </row>
    <row r="946" spans="1:17">
      <c r="A946" s="2">
        <v>2894</v>
      </c>
      <c r="B946" s="6">
        <v>0.1</v>
      </c>
      <c r="C946" s="6">
        <v>0.1</v>
      </c>
      <c r="D946" s="6">
        <v>0.1</v>
      </c>
      <c r="E946" s="6">
        <v>0.1</v>
      </c>
      <c r="F946" s="6">
        <v>0.1</v>
      </c>
      <c r="G946" s="6">
        <v>0.1</v>
      </c>
      <c r="H946" s="6">
        <v>0.1</v>
      </c>
      <c r="I946" s="6">
        <v>0.1</v>
      </c>
      <c r="J946" s="6">
        <v>0.1</v>
      </c>
      <c r="K946" s="6">
        <v>0.1</v>
      </c>
      <c r="L946" s="6">
        <v>0.1</v>
      </c>
      <c r="M946" s="6">
        <v>0.1</v>
      </c>
      <c r="N946" s="6">
        <v>0.1</v>
      </c>
      <c r="O946" s="6">
        <v>0.1</v>
      </c>
      <c r="P946" s="6">
        <v>0.1</v>
      </c>
      <c r="Q946" s="6">
        <v>0.1</v>
      </c>
    </row>
    <row r="947" spans="1:17">
      <c r="A947" s="2">
        <v>2895</v>
      </c>
      <c r="B947" s="6">
        <v>0.1</v>
      </c>
      <c r="C947" s="6">
        <v>0.1</v>
      </c>
      <c r="D947" s="6">
        <v>0.1</v>
      </c>
      <c r="E947" s="6">
        <v>0.1</v>
      </c>
      <c r="F947" s="6">
        <v>0.1</v>
      </c>
      <c r="G947" s="6">
        <v>0.1</v>
      </c>
      <c r="H947" s="6">
        <v>0.1</v>
      </c>
      <c r="I947" s="6">
        <v>0.1</v>
      </c>
      <c r="J947" s="6">
        <v>0.1</v>
      </c>
      <c r="K947" s="6">
        <v>0.1</v>
      </c>
      <c r="L947" s="6">
        <v>0.1</v>
      </c>
      <c r="M947" s="6">
        <v>0.1</v>
      </c>
      <c r="N947" s="6">
        <v>0.1</v>
      </c>
      <c r="O947" s="6">
        <v>0.1</v>
      </c>
      <c r="P947" s="6">
        <v>0.1</v>
      </c>
      <c r="Q947" s="6">
        <v>0.1</v>
      </c>
    </row>
    <row r="948" spans="1:17">
      <c r="A948" s="2">
        <v>2896</v>
      </c>
      <c r="B948" s="6">
        <v>0.1</v>
      </c>
      <c r="C948" s="6">
        <v>0.1</v>
      </c>
      <c r="D948" s="6">
        <v>0.1</v>
      </c>
      <c r="E948" s="6">
        <v>0.1</v>
      </c>
      <c r="F948" s="6">
        <v>0.1</v>
      </c>
      <c r="G948" s="6">
        <v>0.1</v>
      </c>
      <c r="H948" s="6">
        <v>0.1</v>
      </c>
      <c r="I948" s="6">
        <v>0.1</v>
      </c>
      <c r="J948" s="6">
        <v>0.1</v>
      </c>
      <c r="K948" s="6">
        <v>0.1</v>
      </c>
      <c r="L948" s="6">
        <v>0.1</v>
      </c>
      <c r="M948" s="6">
        <v>0.1</v>
      </c>
      <c r="N948" s="6">
        <v>0.1</v>
      </c>
      <c r="O948" s="6">
        <v>0.1</v>
      </c>
      <c r="P948" s="6">
        <v>0.1</v>
      </c>
      <c r="Q948" s="6">
        <v>0.1</v>
      </c>
    </row>
    <row r="949" spans="1:17">
      <c r="A949" s="2">
        <v>2897</v>
      </c>
      <c r="B949" s="6">
        <v>0.1</v>
      </c>
      <c r="C949" s="6">
        <v>0.1</v>
      </c>
      <c r="D949" s="6">
        <v>0.1</v>
      </c>
      <c r="E949" s="6">
        <v>0.1</v>
      </c>
      <c r="F949" s="6">
        <v>0.1</v>
      </c>
      <c r="G949" s="6">
        <v>0.1</v>
      </c>
      <c r="H949" s="6">
        <v>0.1</v>
      </c>
      <c r="I949" s="6">
        <v>0.1</v>
      </c>
      <c r="J949" s="6">
        <v>0.1</v>
      </c>
      <c r="K949" s="6">
        <v>0.1</v>
      </c>
      <c r="L949" s="6">
        <v>0.1</v>
      </c>
      <c r="M949" s="6">
        <v>0.1</v>
      </c>
      <c r="N949" s="6">
        <v>0.1</v>
      </c>
      <c r="O949" s="6">
        <v>0.1</v>
      </c>
      <c r="P949" s="6">
        <v>0.1</v>
      </c>
      <c r="Q949" s="6">
        <v>0.1</v>
      </c>
    </row>
    <row r="950" spans="1:17">
      <c r="A950" s="2">
        <v>2898</v>
      </c>
      <c r="B950" s="6">
        <v>0.1</v>
      </c>
      <c r="C950" s="6">
        <v>0.1</v>
      </c>
      <c r="D950" s="6">
        <v>0.1</v>
      </c>
      <c r="E950" s="6">
        <v>0.1</v>
      </c>
      <c r="F950" s="6">
        <v>0.1</v>
      </c>
      <c r="G950" s="6">
        <v>0.1</v>
      </c>
      <c r="H950" s="6">
        <v>0.1</v>
      </c>
      <c r="I950" s="6">
        <v>0.1</v>
      </c>
      <c r="J950" s="6">
        <v>0.1</v>
      </c>
      <c r="K950" s="6">
        <v>0.1</v>
      </c>
      <c r="L950" s="6">
        <v>0.1</v>
      </c>
      <c r="M950" s="6">
        <v>0.1</v>
      </c>
      <c r="N950" s="6">
        <v>0.1</v>
      </c>
      <c r="O950" s="6">
        <v>0.1</v>
      </c>
      <c r="P950" s="6">
        <v>0.1</v>
      </c>
      <c r="Q950" s="6">
        <v>0.1</v>
      </c>
    </row>
    <row r="951" spans="1:17">
      <c r="A951" s="2">
        <v>2899</v>
      </c>
      <c r="B951" s="6">
        <v>0.1</v>
      </c>
      <c r="C951" s="6">
        <v>0.1</v>
      </c>
      <c r="D951" s="6">
        <v>0.1</v>
      </c>
      <c r="E951" s="6">
        <v>0.1</v>
      </c>
      <c r="F951" s="6">
        <v>0.1</v>
      </c>
      <c r="G951" s="6">
        <v>0.1</v>
      </c>
      <c r="H951" s="6">
        <v>0.1</v>
      </c>
      <c r="I951" s="6">
        <v>0.1</v>
      </c>
      <c r="J951" s="6">
        <v>0.1</v>
      </c>
      <c r="K951" s="6">
        <v>0.1</v>
      </c>
      <c r="L951" s="6">
        <v>0.1</v>
      </c>
      <c r="M951" s="6">
        <v>0.1</v>
      </c>
      <c r="N951" s="6">
        <v>0.1</v>
      </c>
      <c r="O951" s="6">
        <v>0.1</v>
      </c>
      <c r="P951" s="6">
        <v>0.1</v>
      </c>
      <c r="Q951" s="6">
        <v>0.1</v>
      </c>
    </row>
    <row r="952" spans="1:17">
      <c r="A952" s="2">
        <v>2900</v>
      </c>
      <c r="B952" s="6">
        <v>0.1</v>
      </c>
      <c r="C952" s="6">
        <v>0.1</v>
      </c>
      <c r="D952" s="6">
        <v>0.1</v>
      </c>
      <c r="E952" s="6">
        <v>0.1</v>
      </c>
      <c r="F952" s="6">
        <v>0.1</v>
      </c>
      <c r="G952" s="6">
        <v>0.1</v>
      </c>
      <c r="H952" s="6">
        <v>0.1</v>
      </c>
      <c r="I952" s="6">
        <v>0.1</v>
      </c>
      <c r="J952" s="6">
        <v>0.1</v>
      </c>
      <c r="K952" s="6">
        <v>0.1</v>
      </c>
      <c r="L952" s="6">
        <v>0.1</v>
      </c>
      <c r="M952" s="6">
        <v>0.1</v>
      </c>
      <c r="N952" s="6">
        <v>0.1</v>
      </c>
      <c r="O952" s="6">
        <v>0.1</v>
      </c>
      <c r="P952" s="6">
        <v>0.1</v>
      </c>
      <c r="Q952" s="6">
        <v>0.1</v>
      </c>
    </row>
    <row r="953" spans="1:17">
      <c r="A953" s="2">
        <v>2901</v>
      </c>
      <c r="B953" s="6">
        <v>0.1</v>
      </c>
      <c r="C953" s="6">
        <v>0.1</v>
      </c>
      <c r="D953" s="6">
        <v>0.1</v>
      </c>
      <c r="E953" s="6">
        <v>0.1</v>
      </c>
      <c r="F953" s="6">
        <v>0.1</v>
      </c>
      <c r="G953" s="6">
        <v>0.1</v>
      </c>
      <c r="H953" s="6">
        <v>0.1</v>
      </c>
      <c r="I953" s="6">
        <v>0.1</v>
      </c>
      <c r="J953" s="6">
        <v>0.1</v>
      </c>
      <c r="K953" s="6">
        <v>0.1</v>
      </c>
      <c r="L953" s="6">
        <v>0.1</v>
      </c>
      <c r="M953" s="6">
        <v>0.1</v>
      </c>
      <c r="N953" s="6">
        <v>0.1</v>
      </c>
      <c r="O953" s="6">
        <v>0.1</v>
      </c>
      <c r="P953" s="6">
        <v>0.1</v>
      </c>
      <c r="Q953" s="6">
        <v>0.1</v>
      </c>
    </row>
    <row r="954" spans="1:17">
      <c r="A954" s="2">
        <v>2902</v>
      </c>
      <c r="B954" s="6">
        <v>0.1</v>
      </c>
      <c r="C954" s="6">
        <v>0.1</v>
      </c>
      <c r="D954" s="6">
        <v>0.1</v>
      </c>
      <c r="E954" s="6">
        <v>0.1</v>
      </c>
      <c r="F954" s="6">
        <v>0.1</v>
      </c>
      <c r="G954" s="6">
        <v>0.1</v>
      </c>
      <c r="H954" s="6">
        <v>0.1</v>
      </c>
      <c r="I954" s="6">
        <v>0.1</v>
      </c>
      <c r="J954" s="6">
        <v>0.1</v>
      </c>
      <c r="K954" s="6">
        <v>0.1</v>
      </c>
      <c r="L954" s="6">
        <v>0.1</v>
      </c>
      <c r="M954" s="6">
        <v>0.1</v>
      </c>
      <c r="N954" s="6">
        <v>0.1</v>
      </c>
      <c r="O954" s="6">
        <v>0.1</v>
      </c>
      <c r="P954" s="6">
        <v>0.1</v>
      </c>
      <c r="Q954" s="6">
        <v>0.1</v>
      </c>
    </row>
    <row r="955" spans="1:17">
      <c r="A955" s="2">
        <v>2903</v>
      </c>
      <c r="B955" s="6">
        <v>0.1</v>
      </c>
      <c r="C955" s="6">
        <v>0.1</v>
      </c>
      <c r="D955" s="6">
        <v>0.1</v>
      </c>
      <c r="E955" s="6">
        <v>0.1</v>
      </c>
      <c r="F955" s="6">
        <v>0.1</v>
      </c>
      <c r="G955" s="6">
        <v>0.1</v>
      </c>
      <c r="H955" s="6">
        <v>0.1</v>
      </c>
      <c r="I955" s="6">
        <v>0.1</v>
      </c>
      <c r="J955" s="6">
        <v>0.1</v>
      </c>
      <c r="K955" s="6">
        <v>0.1</v>
      </c>
      <c r="L955" s="6">
        <v>0.1</v>
      </c>
      <c r="M955" s="6">
        <v>0.1</v>
      </c>
      <c r="N955" s="6">
        <v>0.1</v>
      </c>
      <c r="O955" s="6">
        <v>0.1</v>
      </c>
      <c r="P955" s="6">
        <v>0.1</v>
      </c>
      <c r="Q955" s="6">
        <v>0.1</v>
      </c>
    </row>
    <row r="956" spans="1:17">
      <c r="A956" s="2">
        <v>2904</v>
      </c>
      <c r="B956" s="6">
        <v>0.1</v>
      </c>
      <c r="C956" s="6">
        <v>0.1</v>
      </c>
      <c r="D956" s="6">
        <v>0.1</v>
      </c>
      <c r="E956" s="6">
        <v>0.1</v>
      </c>
      <c r="F956" s="6">
        <v>0.1</v>
      </c>
      <c r="G956" s="6">
        <v>0.1</v>
      </c>
      <c r="H956" s="6">
        <v>0.1</v>
      </c>
      <c r="I956" s="6">
        <v>0.1</v>
      </c>
      <c r="J956" s="6">
        <v>0.1</v>
      </c>
      <c r="K956" s="6">
        <v>0.1</v>
      </c>
      <c r="L956" s="6">
        <v>0.1</v>
      </c>
      <c r="M956" s="6">
        <v>0.1</v>
      </c>
      <c r="N956" s="6">
        <v>0.1</v>
      </c>
      <c r="O956" s="6">
        <v>0.1</v>
      </c>
      <c r="P956" s="6">
        <v>0.1</v>
      </c>
      <c r="Q956" s="6">
        <v>0.1</v>
      </c>
    </row>
    <row r="957" spans="1:17">
      <c r="A957" s="2">
        <v>2905</v>
      </c>
      <c r="B957" s="6">
        <v>0.1</v>
      </c>
      <c r="C957" s="6">
        <v>0.1</v>
      </c>
      <c r="D957" s="6">
        <v>0.1</v>
      </c>
      <c r="E957" s="6">
        <v>0.1</v>
      </c>
      <c r="F957" s="6">
        <v>0.1</v>
      </c>
      <c r="G957" s="6">
        <v>0.1</v>
      </c>
      <c r="H957" s="6">
        <v>0.1</v>
      </c>
      <c r="I957" s="6">
        <v>0.1</v>
      </c>
      <c r="J957" s="6">
        <v>0.1</v>
      </c>
      <c r="K957" s="6">
        <v>0.1</v>
      </c>
      <c r="L957" s="6">
        <v>0.1</v>
      </c>
      <c r="M957" s="6">
        <v>0.1</v>
      </c>
      <c r="N957" s="6">
        <v>0.1</v>
      </c>
      <c r="O957" s="6">
        <v>0.1</v>
      </c>
      <c r="P957" s="6">
        <v>0.1</v>
      </c>
      <c r="Q957" s="6">
        <v>0.1</v>
      </c>
    </row>
    <row r="958" spans="1:17">
      <c r="A958" s="2">
        <v>2906</v>
      </c>
      <c r="B958" s="6">
        <v>0.1</v>
      </c>
      <c r="C958" s="6">
        <v>0.1</v>
      </c>
      <c r="D958" s="6">
        <v>0.1</v>
      </c>
      <c r="E958" s="6">
        <v>0.1</v>
      </c>
      <c r="F958" s="6">
        <v>0.1</v>
      </c>
      <c r="G958" s="6">
        <v>0.1</v>
      </c>
      <c r="H958" s="6">
        <v>0.1</v>
      </c>
      <c r="I958" s="6">
        <v>0.1</v>
      </c>
      <c r="J958" s="6">
        <v>0.1</v>
      </c>
      <c r="K958" s="6">
        <v>0.1</v>
      </c>
      <c r="L958" s="6">
        <v>0.1</v>
      </c>
      <c r="M958" s="6">
        <v>0.1</v>
      </c>
      <c r="N958" s="6">
        <v>0.1</v>
      </c>
      <c r="O958" s="6">
        <v>0.1</v>
      </c>
      <c r="P958" s="6">
        <v>0.1</v>
      </c>
      <c r="Q958" s="6">
        <v>0.1</v>
      </c>
    </row>
    <row r="959" spans="1:17">
      <c r="A959" s="2">
        <v>2907</v>
      </c>
      <c r="B959" s="6">
        <v>0.1</v>
      </c>
      <c r="C959" s="6">
        <v>0.1</v>
      </c>
      <c r="D959" s="6">
        <v>0.1</v>
      </c>
      <c r="E959" s="6">
        <v>0.1</v>
      </c>
      <c r="F959" s="6">
        <v>0.1</v>
      </c>
      <c r="G959" s="6">
        <v>0.1</v>
      </c>
      <c r="H959" s="6">
        <v>0.1</v>
      </c>
      <c r="I959" s="6">
        <v>0.1</v>
      </c>
      <c r="J959" s="6">
        <v>0.1</v>
      </c>
      <c r="K959" s="6">
        <v>0.1</v>
      </c>
      <c r="L959" s="6">
        <v>0.1</v>
      </c>
      <c r="M959" s="6">
        <v>0.1</v>
      </c>
      <c r="N959" s="6">
        <v>0.1</v>
      </c>
      <c r="O959" s="6">
        <v>0.1</v>
      </c>
      <c r="P959" s="6">
        <v>0.1</v>
      </c>
      <c r="Q959" s="6">
        <v>0.1</v>
      </c>
    </row>
    <row r="960" spans="1:17">
      <c r="A960" s="2">
        <v>2908</v>
      </c>
      <c r="B960" s="6">
        <v>0.1</v>
      </c>
      <c r="C960" s="6">
        <v>0.1</v>
      </c>
      <c r="D960" s="6">
        <v>0.1</v>
      </c>
      <c r="E960" s="6">
        <v>0.1</v>
      </c>
      <c r="F960" s="6">
        <v>0.1</v>
      </c>
      <c r="G960" s="6">
        <v>0.1</v>
      </c>
      <c r="H960" s="6">
        <v>0.1</v>
      </c>
      <c r="I960" s="6">
        <v>0.1</v>
      </c>
      <c r="J960" s="6">
        <v>0.1</v>
      </c>
      <c r="K960" s="6">
        <v>0.1</v>
      </c>
      <c r="L960" s="6">
        <v>0.1</v>
      </c>
      <c r="M960" s="6">
        <v>0.1</v>
      </c>
      <c r="N960" s="6">
        <v>0.1</v>
      </c>
      <c r="O960" s="6">
        <v>0.1</v>
      </c>
      <c r="P960" s="6">
        <v>0.1</v>
      </c>
      <c r="Q960" s="6">
        <v>0.1</v>
      </c>
    </row>
    <row r="961" spans="1:17">
      <c r="A961" s="2">
        <v>2909</v>
      </c>
      <c r="B961" s="6">
        <v>0.1</v>
      </c>
      <c r="C961" s="6">
        <v>0.1</v>
      </c>
      <c r="D961" s="6">
        <v>0.1</v>
      </c>
      <c r="E961" s="6">
        <v>0.1</v>
      </c>
      <c r="F961" s="6">
        <v>0.1</v>
      </c>
      <c r="G961" s="6">
        <v>0.1</v>
      </c>
      <c r="H961" s="6">
        <v>0.1</v>
      </c>
      <c r="I961" s="6">
        <v>0.1</v>
      </c>
      <c r="J961" s="6">
        <v>0.1</v>
      </c>
      <c r="K961" s="6">
        <v>0.1</v>
      </c>
      <c r="L961" s="6">
        <v>0.1</v>
      </c>
      <c r="M961" s="6">
        <v>0.1</v>
      </c>
      <c r="N961" s="6">
        <v>0.1</v>
      </c>
      <c r="O961" s="6">
        <v>0.1</v>
      </c>
      <c r="P961" s="6">
        <v>0.1</v>
      </c>
      <c r="Q961" s="6">
        <v>0.1</v>
      </c>
    </row>
    <row r="962" spans="1:17">
      <c r="A962" s="2">
        <v>2910</v>
      </c>
      <c r="B962" s="6">
        <v>0.1</v>
      </c>
      <c r="C962" s="6">
        <v>0.1</v>
      </c>
      <c r="D962" s="6">
        <v>0.1</v>
      </c>
      <c r="E962" s="6">
        <v>0.1</v>
      </c>
      <c r="F962" s="6">
        <v>0.1</v>
      </c>
      <c r="G962" s="6">
        <v>0.1</v>
      </c>
      <c r="H962" s="6">
        <v>0.1</v>
      </c>
      <c r="I962" s="6">
        <v>0.1</v>
      </c>
      <c r="J962" s="6">
        <v>0.1</v>
      </c>
      <c r="K962" s="6">
        <v>0.1</v>
      </c>
      <c r="L962" s="6">
        <v>0.1</v>
      </c>
      <c r="M962" s="6">
        <v>0.1</v>
      </c>
      <c r="N962" s="6">
        <v>0.1</v>
      </c>
      <c r="O962" s="6">
        <v>0.1</v>
      </c>
      <c r="P962" s="6">
        <v>0.1</v>
      </c>
      <c r="Q962" s="6">
        <v>0.1</v>
      </c>
    </row>
    <row r="963" spans="1:17">
      <c r="A963" s="2">
        <v>2911</v>
      </c>
      <c r="B963" s="6">
        <v>0.1</v>
      </c>
      <c r="C963" s="6">
        <v>0.1</v>
      </c>
      <c r="D963" s="6">
        <v>0.1</v>
      </c>
      <c r="E963" s="6">
        <v>0.1</v>
      </c>
      <c r="F963" s="6">
        <v>0.1</v>
      </c>
      <c r="G963" s="6">
        <v>0.1</v>
      </c>
      <c r="H963" s="6">
        <v>0.1</v>
      </c>
      <c r="I963" s="6">
        <v>0.1</v>
      </c>
      <c r="J963" s="6">
        <v>0.1</v>
      </c>
      <c r="K963" s="6">
        <v>0.1</v>
      </c>
      <c r="L963" s="6">
        <v>0.1</v>
      </c>
      <c r="M963" s="6">
        <v>0.1</v>
      </c>
      <c r="N963" s="6">
        <v>0.1</v>
      </c>
      <c r="O963" s="6">
        <v>0.1</v>
      </c>
      <c r="P963" s="6">
        <v>0.1</v>
      </c>
      <c r="Q963" s="6">
        <v>0.1</v>
      </c>
    </row>
    <row r="964" spans="1:17">
      <c r="A964" s="2">
        <v>2912</v>
      </c>
      <c r="B964" s="6">
        <v>0.1</v>
      </c>
      <c r="C964" s="6">
        <v>0.1</v>
      </c>
      <c r="D964" s="6">
        <v>0.1</v>
      </c>
      <c r="E964" s="6">
        <v>0.1</v>
      </c>
      <c r="F964" s="6">
        <v>0.1</v>
      </c>
      <c r="G964" s="6">
        <v>0.1</v>
      </c>
      <c r="H964" s="6">
        <v>0.1</v>
      </c>
      <c r="I964" s="6">
        <v>0.1</v>
      </c>
      <c r="J964" s="6">
        <v>0.1</v>
      </c>
      <c r="K964" s="6">
        <v>0.1</v>
      </c>
      <c r="L964" s="6">
        <v>0.1</v>
      </c>
      <c r="M964" s="6">
        <v>0.1</v>
      </c>
      <c r="N964" s="6">
        <v>0.1</v>
      </c>
      <c r="O964" s="6">
        <v>0.1</v>
      </c>
      <c r="P964" s="6">
        <v>0.1</v>
      </c>
      <c r="Q964" s="6">
        <v>0.1</v>
      </c>
    </row>
    <row r="965" spans="1:17">
      <c r="A965" s="2">
        <v>2913</v>
      </c>
      <c r="B965" s="6">
        <v>0.1</v>
      </c>
      <c r="C965" s="6">
        <v>0.1</v>
      </c>
      <c r="D965" s="6">
        <v>0.1</v>
      </c>
      <c r="E965" s="6">
        <v>0.1</v>
      </c>
      <c r="F965" s="6">
        <v>0.1</v>
      </c>
      <c r="G965" s="6">
        <v>0.1</v>
      </c>
      <c r="H965" s="6">
        <v>0.1</v>
      </c>
      <c r="I965" s="6">
        <v>0.1</v>
      </c>
      <c r="J965" s="6">
        <v>0.1</v>
      </c>
      <c r="K965" s="6">
        <v>0.1</v>
      </c>
      <c r="L965" s="6">
        <v>0.1</v>
      </c>
      <c r="M965" s="6">
        <v>0.1</v>
      </c>
      <c r="N965" s="6">
        <v>0.1</v>
      </c>
      <c r="O965" s="6">
        <v>0.1</v>
      </c>
      <c r="P965" s="6">
        <v>0.1</v>
      </c>
      <c r="Q965" s="6">
        <v>0.1</v>
      </c>
    </row>
    <row r="966" spans="1:17">
      <c r="A966" s="2">
        <v>2914</v>
      </c>
      <c r="B966" s="6">
        <v>0.1</v>
      </c>
      <c r="C966" s="6">
        <v>0.1</v>
      </c>
      <c r="D966" s="6">
        <v>0.1</v>
      </c>
      <c r="E966" s="6">
        <v>0.1</v>
      </c>
      <c r="F966" s="6">
        <v>0.1</v>
      </c>
      <c r="G966" s="6">
        <v>0.1</v>
      </c>
      <c r="H966" s="6">
        <v>0.1</v>
      </c>
      <c r="I966" s="6">
        <v>0.1</v>
      </c>
      <c r="J966" s="6">
        <v>0.1</v>
      </c>
      <c r="K966" s="6">
        <v>0.1</v>
      </c>
      <c r="L966" s="6">
        <v>0.1</v>
      </c>
      <c r="M966" s="6">
        <v>0.1</v>
      </c>
      <c r="N966" s="6">
        <v>0.1</v>
      </c>
      <c r="O966" s="6">
        <v>0.1</v>
      </c>
      <c r="P966" s="6">
        <v>0.1</v>
      </c>
      <c r="Q966" s="6">
        <v>0.1</v>
      </c>
    </row>
    <row r="967" spans="1:17">
      <c r="A967" s="2">
        <v>2915</v>
      </c>
      <c r="B967" s="6">
        <v>0.1</v>
      </c>
      <c r="C967" s="6">
        <v>0.1</v>
      </c>
      <c r="D967" s="6">
        <v>0.1</v>
      </c>
      <c r="E967" s="6">
        <v>0.1</v>
      </c>
      <c r="F967" s="6">
        <v>0.1</v>
      </c>
      <c r="G967" s="6">
        <v>0.1</v>
      </c>
      <c r="H967" s="6">
        <v>0.1</v>
      </c>
      <c r="I967" s="6">
        <v>0.1</v>
      </c>
      <c r="J967" s="6">
        <v>0.1</v>
      </c>
      <c r="K967" s="6">
        <v>0.1</v>
      </c>
      <c r="L967" s="6">
        <v>0.1</v>
      </c>
      <c r="M967" s="6">
        <v>0.1</v>
      </c>
      <c r="N967" s="6">
        <v>0.1</v>
      </c>
      <c r="O967" s="6">
        <v>0.1</v>
      </c>
      <c r="P967" s="6">
        <v>0.1</v>
      </c>
      <c r="Q967" s="6">
        <v>0.1</v>
      </c>
    </row>
    <row r="968" spans="1:17">
      <c r="A968" s="2">
        <v>2916</v>
      </c>
      <c r="B968" s="6">
        <v>0.1</v>
      </c>
      <c r="C968" s="6">
        <v>0.1</v>
      </c>
      <c r="D968" s="6">
        <v>0.1</v>
      </c>
      <c r="E968" s="6">
        <v>0.1</v>
      </c>
      <c r="F968" s="6">
        <v>0.1</v>
      </c>
      <c r="G968" s="6">
        <v>0.1</v>
      </c>
      <c r="H968" s="6">
        <v>0.1</v>
      </c>
      <c r="I968" s="6">
        <v>0.1</v>
      </c>
      <c r="J968" s="6">
        <v>0.1</v>
      </c>
      <c r="K968" s="6">
        <v>0.1</v>
      </c>
      <c r="L968" s="6">
        <v>0.1</v>
      </c>
      <c r="M968" s="6">
        <v>0.1</v>
      </c>
      <c r="N968" s="6">
        <v>0.1</v>
      </c>
      <c r="O968" s="6">
        <v>0.1</v>
      </c>
      <c r="P968" s="6">
        <v>0.1</v>
      </c>
      <c r="Q968" s="6">
        <v>0.1</v>
      </c>
    </row>
    <row r="969" spans="1:17">
      <c r="A969" s="2">
        <v>2917</v>
      </c>
      <c r="B969" s="6">
        <v>0.1</v>
      </c>
      <c r="C969" s="6">
        <v>0.1</v>
      </c>
      <c r="D969" s="6">
        <v>0.1</v>
      </c>
      <c r="E969" s="6">
        <v>0.1</v>
      </c>
      <c r="F969" s="6">
        <v>0.1</v>
      </c>
      <c r="G969" s="6">
        <v>0.1</v>
      </c>
      <c r="H969" s="6">
        <v>0.1</v>
      </c>
      <c r="I969" s="6">
        <v>0.1</v>
      </c>
      <c r="J969" s="6">
        <v>0.1</v>
      </c>
      <c r="K969" s="6">
        <v>0.1</v>
      </c>
      <c r="L969" s="6">
        <v>0.1</v>
      </c>
      <c r="M969" s="6">
        <v>0.1</v>
      </c>
      <c r="N969" s="6">
        <v>0.1</v>
      </c>
      <c r="O969" s="6">
        <v>0.1</v>
      </c>
      <c r="P969" s="6">
        <v>0.1</v>
      </c>
      <c r="Q969" s="6">
        <v>0.1</v>
      </c>
    </row>
    <row r="970" spans="1:17">
      <c r="A970" s="2">
        <v>2918</v>
      </c>
      <c r="B970" s="6">
        <v>0.1</v>
      </c>
      <c r="C970" s="6">
        <v>0.1</v>
      </c>
      <c r="D970" s="6">
        <v>0.1</v>
      </c>
      <c r="E970" s="6">
        <v>0.1</v>
      </c>
      <c r="F970" s="6">
        <v>0.1</v>
      </c>
      <c r="G970" s="6">
        <v>0.1</v>
      </c>
      <c r="H970" s="6">
        <v>0.1</v>
      </c>
      <c r="I970" s="6">
        <v>0.1</v>
      </c>
      <c r="J970" s="6">
        <v>0.1</v>
      </c>
      <c r="K970" s="6">
        <v>0.1</v>
      </c>
      <c r="L970" s="6">
        <v>0.1</v>
      </c>
      <c r="M970" s="6">
        <v>0.1</v>
      </c>
      <c r="N970" s="6">
        <v>0.1</v>
      </c>
      <c r="O970" s="6">
        <v>0.1</v>
      </c>
      <c r="P970" s="6">
        <v>0.1</v>
      </c>
      <c r="Q970" s="6">
        <v>0.1</v>
      </c>
    </row>
    <row r="971" spans="1:17">
      <c r="A971" s="2">
        <v>2919</v>
      </c>
      <c r="B971" s="6">
        <v>0.1</v>
      </c>
      <c r="C971" s="6">
        <v>0.1</v>
      </c>
      <c r="D971" s="6">
        <v>0.1</v>
      </c>
      <c r="E971" s="6">
        <v>0.1</v>
      </c>
      <c r="F971" s="6">
        <v>0.1</v>
      </c>
      <c r="G971" s="6">
        <v>0.1</v>
      </c>
      <c r="H971" s="6">
        <v>0.1</v>
      </c>
      <c r="I971" s="6">
        <v>0.1</v>
      </c>
      <c r="J971" s="6">
        <v>0.1</v>
      </c>
      <c r="K971" s="6">
        <v>0.1</v>
      </c>
      <c r="L971" s="6">
        <v>0.1</v>
      </c>
      <c r="M971" s="6">
        <v>0.1</v>
      </c>
      <c r="N971" s="6">
        <v>0.1</v>
      </c>
      <c r="O971" s="6">
        <v>0.1</v>
      </c>
      <c r="P971" s="6">
        <v>0.1</v>
      </c>
      <c r="Q971" s="6">
        <v>0.1</v>
      </c>
    </row>
    <row r="972" spans="1:17">
      <c r="A972" s="2">
        <v>2920</v>
      </c>
      <c r="B972" s="6">
        <v>0.1</v>
      </c>
      <c r="C972" s="6">
        <v>0.1</v>
      </c>
      <c r="D972" s="6">
        <v>0.1</v>
      </c>
      <c r="E972" s="6">
        <v>0.1</v>
      </c>
      <c r="F972" s="6">
        <v>0.1</v>
      </c>
      <c r="G972" s="6">
        <v>0.1</v>
      </c>
      <c r="H972" s="6">
        <v>0.1</v>
      </c>
      <c r="I972" s="6">
        <v>0.1</v>
      </c>
      <c r="J972" s="6">
        <v>0.1</v>
      </c>
      <c r="K972" s="6">
        <v>0.1</v>
      </c>
      <c r="L972" s="6">
        <v>0.1</v>
      </c>
      <c r="M972" s="6">
        <v>0.1</v>
      </c>
      <c r="N972" s="6">
        <v>0.1</v>
      </c>
      <c r="O972" s="6">
        <v>0.1</v>
      </c>
      <c r="P972" s="6">
        <v>0.1</v>
      </c>
      <c r="Q972" s="6">
        <v>0.1</v>
      </c>
    </row>
    <row r="973" spans="1:17">
      <c r="A973" s="2">
        <v>2921</v>
      </c>
      <c r="B973" s="6">
        <v>0.1</v>
      </c>
      <c r="C973" s="6">
        <v>0.1</v>
      </c>
      <c r="D973" s="6">
        <v>0.1</v>
      </c>
      <c r="E973" s="6">
        <v>0.1</v>
      </c>
      <c r="F973" s="6">
        <v>0.1</v>
      </c>
      <c r="G973" s="6">
        <v>0.1</v>
      </c>
      <c r="H973" s="6">
        <v>0.1</v>
      </c>
      <c r="I973" s="6">
        <v>0.1</v>
      </c>
      <c r="J973" s="6">
        <v>0.1</v>
      </c>
      <c r="K973" s="6">
        <v>0.1</v>
      </c>
      <c r="L973" s="6">
        <v>0.1</v>
      </c>
      <c r="M973" s="6">
        <v>0.1</v>
      </c>
      <c r="N973" s="6">
        <v>0.1</v>
      </c>
      <c r="O973" s="6">
        <v>0.1</v>
      </c>
      <c r="P973" s="6">
        <v>0.1</v>
      </c>
      <c r="Q973" s="6">
        <v>0.1</v>
      </c>
    </row>
    <row r="974" spans="1:17">
      <c r="A974" s="2">
        <v>2922</v>
      </c>
      <c r="B974" s="6">
        <v>0.1</v>
      </c>
      <c r="C974" s="6">
        <v>0.1</v>
      </c>
      <c r="D974" s="6">
        <v>0.1</v>
      </c>
      <c r="E974" s="6">
        <v>0.1</v>
      </c>
      <c r="F974" s="6">
        <v>0.1</v>
      </c>
      <c r="G974" s="6">
        <v>0.1</v>
      </c>
      <c r="H974" s="6">
        <v>0.1</v>
      </c>
      <c r="I974" s="6">
        <v>0.1</v>
      </c>
      <c r="J974" s="6">
        <v>0.1</v>
      </c>
      <c r="K974" s="6">
        <v>0.1</v>
      </c>
      <c r="L974" s="6">
        <v>0.1</v>
      </c>
      <c r="M974" s="6">
        <v>0.1</v>
      </c>
      <c r="N974" s="6">
        <v>0.1</v>
      </c>
      <c r="O974" s="6">
        <v>0.1</v>
      </c>
      <c r="P974" s="6">
        <v>0.1</v>
      </c>
      <c r="Q974" s="6">
        <v>0.1</v>
      </c>
    </row>
    <row r="975" spans="1:17">
      <c r="A975" s="2">
        <v>2923</v>
      </c>
      <c r="B975" s="6">
        <v>0.1</v>
      </c>
      <c r="C975" s="6">
        <v>0.1</v>
      </c>
      <c r="D975" s="6">
        <v>0.1</v>
      </c>
      <c r="E975" s="6">
        <v>0.1</v>
      </c>
      <c r="F975" s="6">
        <v>0.1</v>
      </c>
      <c r="G975" s="6">
        <v>0.1</v>
      </c>
      <c r="H975" s="6">
        <v>0.1</v>
      </c>
      <c r="I975" s="6">
        <v>0.1</v>
      </c>
      <c r="J975" s="6">
        <v>0.1</v>
      </c>
      <c r="K975" s="6">
        <v>0.1</v>
      </c>
      <c r="L975" s="6">
        <v>0.1</v>
      </c>
      <c r="M975" s="6">
        <v>0.1</v>
      </c>
      <c r="N975" s="6">
        <v>0.1</v>
      </c>
      <c r="O975" s="6">
        <v>0.1</v>
      </c>
      <c r="P975" s="6">
        <v>0.1</v>
      </c>
      <c r="Q975" s="6">
        <v>0.1</v>
      </c>
    </row>
    <row r="976" spans="1:17">
      <c r="A976" s="2">
        <v>2924</v>
      </c>
      <c r="B976" s="6">
        <v>0.1</v>
      </c>
      <c r="C976" s="6">
        <v>0.1</v>
      </c>
      <c r="D976" s="6">
        <v>0.1</v>
      </c>
      <c r="E976" s="6">
        <v>0.1</v>
      </c>
      <c r="F976" s="6">
        <v>0.1</v>
      </c>
      <c r="G976" s="6">
        <v>0.1</v>
      </c>
      <c r="H976" s="6">
        <v>0.1</v>
      </c>
      <c r="I976" s="6">
        <v>0.1</v>
      </c>
      <c r="J976" s="6">
        <v>0.1</v>
      </c>
      <c r="K976" s="6">
        <v>0.1</v>
      </c>
      <c r="L976" s="6">
        <v>0.1</v>
      </c>
      <c r="M976" s="6">
        <v>0.1</v>
      </c>
      <c r="N976" s="6">
        <v>0.1</v>
      </c>
      <c r="O976" s="6">
        <v>0.1</v>
      </c>
      <c r="P976" s="6">
        <v>0.1</v>
      </c>
      <c r="Q976" s="6">
        <v>0.1</v>
      </c>
    </row>
    <row r="977" spans="1:17">
      <c r="A977" s="2">
        <v>2925</v>
      </c>
      <c r="B977" s="6">
        <v>0.1</v>
      </c>
      <c r="C977" s="6">
        <v>0.1</v>
      </c>
      <c r="D977" s="6">
        <v>0.1</v>
      </c>
      <c r="E977" s="6">
        <v>0.1</v>
      </c>
      <c r="F977" s="6">
        <v>0.1</v>
      </c>
      <c r="G977" s="6">
        <v>0.1</v>
      </c>
      <c r="H977" s="6">
        <v>0.1</v>
      </c>
      <c r="I977" s="6">
        <v>0.1</v>
      </c>
      <c r="J977" s="6">
        <v>0.1</v>
      </c>
      <c r="K977" s="6">
        <v>0.1</v>
      </c>
      <c r="L977" s="6">
        <v>0.1</v>
      </c>
      <c r="M977" s="6">
        <v>0.1</v>
      </c>
      <c r="N977" s="6">
        <v>0.1</v>
      </c>
      <c r="O977" s="6">
        <v>0.1</v>
      </c>
      <c r="P977" s="6">
        <v>0.1</v>
      </c>
      <c r="Q977" s="6">
        <v>0.1</v>
      </c>
    </row>
    <row r="978" spans="1:17">
      <c r="A978" s="2">
        <v>2926</v>
      </c>
      <c r="B978" s="6">
        <v>0.1</v>
      </c>
      <c r="C978" s="6">
        <v>0.1</v>
      </c>
      <c r="D978" s="6">
        <v>0.1</v>
      </c>
      <c r="E978" s="6">
        <v>0.1</v>
      </c>
      <c r="F978" s="6">
        <v>0.1</v>
      </c>
      <c r="G978" s="6">
        <v>0.1</v>
      </c>
      <c r="H978" s="6">
        <v>0.1</v>
      </c>
      <c r="I978" s="6">
        <v>0.1</v>
      </c>
      <c r="J978" s="6">
        <v>0.1</v>
      </c>
      <c r="K978" s="6">
        <v>0.1</v>
      </c>
      <c r="L978" s="6">
        <v>0.1</v>
      </c>
      <c r="M978" s="6">
        <v>0.1</v>
      </c>
      <c r="N978" s="6">
        <v>0.1</v>
      </c>
      <c r="O978" s="6">
        <v>0.1</v>
      </c>
      <c r="P978" s="6">
        <v>0.1</v>
      </c>
      <c r="Q978" s="6">
        <v>0.1</v>
      </c>
    </row>
    <row r="979" spans="1:17">
      <c r="A979" s="2">
        <v>2927</v>
      </c>
      <c r="B979" s="6">
        <v>0.1</v>
      </c>
      <c r="C979" s="6">
        <v>0.1</v>
      </c>
      <c r="D979" s="6">
        <v>0.1</v>
      </c>
      <c r="E979" s="6">
        <v>0.1</v>
      </c>
      <c r="F979" s="6">
        <v>0.1</v>
      </c>
      <c r="G979" s="6">
        <v>0.1</v>
      </c>
      <c r="H979" s="6">
        <v>0.1</v>
      </c>
      <c r="I979" s="6">
        <v>0.1</v>
      </c>
      <c r="J979" s="6">
        <v>0.1</v>
      </c>
      <c r="K979" s="6">
        <v>0.1</v>
      </c>
      <c r="L979" s="6">
        <v>0.1</v>
      </c>
      <c r="M979" s="6">
        <v>0.1</v>
      </c>
      <c r="N979" s="6">
        <v>0.1</v>
      </c>
      <c r="O979" s="6">
        <v>0.1</v>
      </c>
      <c r="P979" s="6">
        <v>0.1</v>
      </c>
      <c r="Q979" s="6">
        <v>0.1</v>
      </c>
    </row>
    <row r="980" spans="1:17">
      <c r="A980" s="2">
        <v>2928</v>
      </c>
      <c r="B980" s="6">
        <v>0.1</v>
      </c>
      <c r="C980" s="6">
        <v>0.1</v>
      </c>
      <c r="D980" s="6">
        <v>0.1</v>
      </c>
      <c r="E980" s="6">
        <v>0.1</v>
      </c>
      <c r="F980" s="6">
        <v>0.1</v>
      </c>
      <c r="G980" s="6">
        <v>0.1</v>
      </c>
      <c r="H980" s="6">
        <v>0.1</v>
      </c>
      <c r="I980" s="6">
        <v>0.1</v>
      </c>
      <c r="J980" s="6">
        <v>0.1</v>
      </c>
      <c r="K980" s="6">
        <v>0.1</v>
      </c>
      <c r="L980" s="6">
        <v>0.1</v>
      </c>
      <c r="M980" s="6">
        <v>0.1</v>
      </c>
      <c r="N980" s="6">
        <v>0.1</v>
      </c>
      <c r="O980" s="6">
        <v>0.1</v>
      </c>
      <c r="P980" s="6">
        <v>0.1</v>
      </c>
      <c r="Q980" s="6">
        <v>0.1</v>
      </c>
    </row>
    <row r="981" spans="1:17">
      <c r="A981" s="2">
        <v>2929</v>
      </c>
      <c r="B981" s="6">
        <v>0.1</v>
      </c>
      <c r="C981" s="6">
        <v>0.1</v>
      </c>
      <c r="D981" s="6">
        <v>0.1</v>
      </c>
      <c r="E981" s="6">
        <v>0.1</v>
      </c>
      <c r="F981" s="6">
        <v>0.1</v>
      </c>
      <c r="G981" s="6">
        <v>0.1</v>
      </c>
      <c r="H981" s="6">
        <v>0.1</v>
      </c>
      <c r="I981" s="6">
        <v>0.1</v>
      </c>
      <c r="J981" s="6">
        <v>0.1</v>
      </c>
      <c r="K981" s="6">
        <v>0.1</v>
      </c>
      <c r="L981" s="6">
        <v>0.1</v>
      </c>
      <c r="M981" s="6">
        <v>0.1</v>
      </c>
      <c r="N981" s="6">
        <v>0.1</v>
      </c>
      <c r="O981" s="6">
        <v>0.1</v>
      </c>
      <c r="P981" s="6">
        <v>0.1</v>
      </c>
      <c r="Q981" s="6">
        <v>0.1</v>
      </c>
    </row>
    <row r="982" spans="1:17">
      <c r="A982" s="2">
        <v>2930</v>
      </c>
      <c r="B982" s="6">
        <v>0.1</v>
      </c>
      <c r="C982" s="6">
        <v>0.1</v>
      </c>
      <c r="D982" s="6">
        <v>0.1</v>
      </c>
      <c r="E982" s="6">
        <v>0.1</v>
      </c>
      <c r="F982" s="6">
        <v>0.1</v>
      </c>
      <c r="G982" s="6">
        <v>0.1</v>
      </c>
      <c r="H982" s="6">
        <v>0.1</v>
      </c>
      <c r="I982" s="6">
        <v>0.1</v>
      </c>
      <c r="J982" s="6">
        <v>0.1</v>
      </c>
      <c r="K982" s="6">
        <v>0.1</v>
      </c>
      <c r="L982" s="6">
        <v>0.1</v>
      </c>
      <c r="M982" s="6">
        <v>0.1</v>
      </c>
      <c r="N982" s="6">
        <v>0.1</v>
      </c>
      <c r="O982" s="6">
        <v>0.1</v>
      </c>
      <c r="P982" s="6">
        <v>0.1</v>
      </c>
      <c r="Q982" s="6">
        <v>0.1</v>
      </c>
    </row>
    <row r="983" spans="1:17">
      <c r="A983" s="2">
        <v>2931</v>
      </c>
      <c r="B983" s="6">
        <v>0.1</v>
      </c>
      <c r="C983" s="6">
        <v>0.1</v>
      </c>
      <c r="D983" s="6">
        <v>0.1</v>
      </c>
      <c r="E983" s="6">
        <v>0.1</v>
      </c>
      <c r="F983" s="6">
        <v>0.1</v>
      </c>
      <c r="G983" s="6">
        <v>0.1</v>
      </c>
      <c r="H983" s="6">
        <v>0.1</v>
      </c>
      <c r="I983" s="6">
        <v>0.1</v>
      </c>
      <c r="J983" s="6">
        <v>0.1</v>
      </c>
      <c r="K983" s="6">
        <v>0.1</v>
      </c>
      <c r="L983" s="6">
        <v>0.1</v>
      </c>
      <c r="M983" s="6">
        <v>0.1</v>
      </c>
      <c r="N983" s="6">
        <v>0.1</v>
      </c>
      <c r="O983" s="6">
        <v>0.1</v>
      </c>
      <c r="P983" s="6">
        <v>0.1</v>
      </c>
      <c r="Q983" s="6">
        <v>0.1</v>
      </c>
    </row>
    <row r="984" spans="1:17">
      <c r="A984" s="2">
        <v>2932</v>
      </c>
      <c r="B984" s="6">
        <v>0.1</v>
      </c>
      <c r="C984" s="6">
        <v>0.1</v>
      </c>
      <c r="D984" s="6">
        <v>0.1</v>
      </c>
      <c r="E984" s="6">
        <v>0.1</v>
      </c>
      <c r="F984" s="6">
        <v>0.1</v>
      </c>
      <c r="G984" s="6">
        <v>0.1</v>
      </c>
      <c r="H984" s="6">
        <v>0.1</v>
      </c>
      <c r="I984" s="6">
        <v>0.1</v>
      </c>
      <c r="J984" s="6">
        <v>0.1</v>
      </c>
      <c r="K984" s="6">
        <v>0.1</v>
      </c>
      <c r="L984" s="6">
        <v>0.1</v>
      </c>
      <c r="M984" s="6">
        <v>0.1</v>
      </c>
      <c r="N984" s="6">
        <v>0.1</v>
      </c>
      <c r="O984" s="6">
        <v>0.1</v>
      </c>
      <c r="P984" s="6">
        <v>0.1</v>
      </c>
      <c r="Q984" s="6">
        <v>0.1</v>
      </c>
    </row>
    <row r="985" spans="1:17">
      <c r="A985" s="2">
        <v>2933</v>
      </c>
      <c r="B985" s="6">
        <v>0.1</v>
      </c>
      <c r="C985" s="6">
        <v>0.1</v>
      </c>
      <c r="D985" s="6">
        <v>0.1</v>
      </c>
      <c r="E985" s="6">
        <v>0.1</v>
      </c>
      <c r="F985" s="6">
        <v>0.1</v>
      </c>
      <c r="G985" s="6">
        <v>0.1</v>
      </c>
      <c r="H985" s="6">
        <v>0.1</v>
      </c>
      <c r="I985" s="6">
        <v>0.1</v>
      </c>
      <c r="J985" s="6">
        <v>0.1</v>
      </c>
      <c r="K985" s="6">
        <v>0.1</v>
      </c>
      <c r="L985" s="6">
        <v>0.1</v>
      </c>
      <c r="M985" s="6">
        <v>0.1</v>
      </c>
      <c r="N985" s="6">
        <v>0.1</v>
      </c>
      <c r="O985" s="6">
        <v>0.1</v>
      </c>
      <c r="P985" s="6">
        <v>0.1</v>
      </c>
      <c r="Q985" s="6">
        <v>0.1</v>
      </c>
    </row>
    <row r="986" spans="1:17">
      <c r="A986" s="2">
        <v>2934</v>
      </c>
      <c r="B986" s="6">
        <v>0.1</v>
      </c>
      <c r="C986" s="6">
        <v>0.1</v>
      </c>
      <c r="D986" s="6">
        <v>0.1</v>
      </c>
      <c r="E986" s="6">
        <v>0.1</v>
      </c>
      <c r="F986" s="6">
        <v>0.1</v>
      </c>
      <c r="G986" s="6">
        <v>0.1</v>
      </c>
      <c r="H986" s="6">
        <v>0.1</v>
      </c>
      <c r="I986" s="6">
        <v>0.1</v>
      </c>
      <c r="J986" s="6">
        <v>0.1</v>
      </c>
      <c r="K986" s="6">
        <v>0.1</v>
      </c>
      <c r="L986" s="6">
        <v>0.1</v>
      </c>
      <c r="M986" s="6">
        <v>0.1</v>
      </c>
      <c r="N986" s="6">
        <v>0.1</v>
      </c>
      <c r="O986" s="6">
        <v>0.1</v>
      </c>
      <c r="P986" s="6">
        <v>0.1</v>
      </c>
      <c r="Q986" s="6">
        <v>0.1</v>
      </c>
    </row>
    <row r="987" spans="1:17">
      <c r="A987" s="2">
        <v>2935</v>
      </c>
      <c r="B987" s="6">
        <v>0.1</v>
      </c>
      <c r="C987" s="6">
        <v>0.1</v>
      </c>
      <c r="D987" s="6">
        <v>0.1</v>
      </c>
      <c r="E987" s="6">
        <v>0.1</v>
      </c>
      <c r="F987" s="6">
        <v>0.1</v>
      </c>
      <c r="G987" s="6">
        <v>0.1</v>
      </c>
      <c r="H987" s="6">
        <v>0.1</v>
      </c>
      <c r="I987" s="6">
        <v>0.1</v>
      </c>
      <c r="J987" s="6">
        <v>0.1</v>
      </c>
      <c r="K987" s="6">
        <v>0.1</v>
      </c>
      <c r="L987" s="6">
        <v>0.1</v>
      </c>
      <c r="M987" s="6">
        <v>0.1</v>
      </c>
      <c r="N987" s="6">
        <v>0.1</v>
      </c>
      <c r="O987" s="6">
        <v>0.1</v>
      </c>
      <c r="P987" s="6">
        <v>0.1</v>
      </c>
      <c r="Q987" s="6">
        <v>0.1</v>
      </c>
    </row>
    <row r="988" spans="1:17">
      <c r="A988" s="2">
        <v>2936</v>
      </c>
      <c r="B988" s="6">
        <v>0.1</v>
      </c>
      <c r="C988" s="6">
        <v>0.1</v>
      </c>
      <c r="D988" s="6">
        <v>0.1</v>
      </c>
      <c r="E988" s="6">
        <v>0.1</v>
      </c>
      <c r="F988" s="6">
        <v>0.1</v>
      </c>
      <c r="G988" s="6">
        <v>0.1</v>
      </c>
      <c r="H988" s="6">
        <v>0.1</v>
      </c>
      <c r="I988" s="6">
        <v>0.1</v>
      </c>
      <c r="J988" s="6">
        <v>0.1</v>
      </c>
      <c r="K988" s="6">
        <v>0.1</v>
      </c>
      <c r="L988" s="6">
        <v>0.1</v>
      </c>
      <c r="M988" s="6">
        <v>0.1</v>
      </c>
      <c r="N988" s="6">
        <v>0.1</v>
      </c>
      <c r="O988" s="6">
        <v>0.1</v>
      </c>
      <c r="P988" s="6">
        <v>0.1</v>
      </c>
      <c r="Q988" s="6">
        <v>0.1</v>
      </c>
    </row>
    <row r="989" spans="1:17">
      <c r="A989" s="2">
        <v>2937</v>
      </c>
      <c r="B989" s="6">
        <v>0.1</v>
      </c>
      <c r="C989" s="6">
        <v>0.1</v>
      </c>
      <c r="D989" s="6">
        <v>0.1</v>
      </c>
      <c r="E989" s="6">
        <v>0.1</v>
      </c>
      <c r="F989" s="6">
        <v>0.1</v>
      </c>
      <c r="G989" s="6">
        <v>0.1</v>
      </c>
      <c r="H989" s="6">
        <v>0.1</v>
      </c>
      <c r="I989" s="6">
        <v>0.1</v>
      </c>
      <c r="J989" s="6">
        <v>0.1</v>
      </c>
      <c r="K989" s="6">
        <v>0.1</v>
      </c>
      <c r="L989" s="6">
        <v>0.1</v>
      </c>
      <c r="M989" s="6">
        <v>0.1</v>
      </c>
      <c r="N989" s="6">
        <v>0.1</v>
      </c>
      <c r="O989" s="6">
        <v>0.1</v>
      </c>
      <c r="P989" s="6">
        <v>0.1</v>
      </c>
      <c r="Q989" s="6">
        <v>0.1</v>
      </c>
    </row>
    <row r="990" spans="1:17">
      <c r="A990" s="2">
        <v>2938</v>
      </c>
      <c r="B990" s="6">
        <v>0.1</v>
      </c>
      <c r="C990" s="6">
        <v>0.1</v>
      </c>
      <c r="D990" s="6">
        <v>0.1</v>
      </c>
      <c r="E990" s="6">
        <v>0.1</v>
      </c>
      <c r="F990" s="6">
        <v>0.1</v>
      </c>
      <c r="G990" s="6">
        <v>0.1</v>
      </c>
      <c r="H990" s="6">
        <v>0.1</v>
      </c>
      <c r="I990" s="6">
        <v>0.1</v>
      </c>
      <c r="J990" s="6">
        <v>0.1</v>
      </c>
      <c r="K990" s="6">
        <v>0.1</v>
      </c>
      <c r="L990" s="6">
        <v>0.1</v>
      </c>
      <c r="M990" s="6">
        <v>0.1</v>
      </c>
      <c r="N990" s="6">
        <v>0.1</v>
      </c>
      <c r="O990" s="6">
        <v>0.1</v>
      </c>
      <c r="P990" s="6">
        <v>0.1</v>
      </c>
      <c r="Q990" s="6">
        <v>0.1</v>
      </c>
    </row>
    <row r="991" spans="1:17">
      <c r="A991" s="2">
        <v>2939</v>
      </c>
      <c r="B991" s="6">
        <v>0.1</v>
      </c>
      <c r="C991" s="6">
        <v>0.1</v>
      </c>
      <c r="D991" s="6">
        <v>0.1</v>
      </c>
      <c r="E991" s="6">
        <v>0.1</v>
      </c>
      <c r="F991" s="6">
        <v>0.1</v>
      </c>
      <c r="G991" s="6">
        <v>0.1</v>
      </c>
      <c r="H991" s="6">
        <v>0.1</v>
      </c>
      <c r="I991" s="6">
        <v>0.1</v>
      </c>
      <c r="J991" s="6">
        <v>0.1</v>
      </c>
      <c r="K991" s="6">
        <v>0.1</v>
      </c>
      <c r="L991" s="6">
        <v>0.1</v>
      </c>
      <c r="M991" s="6">
        <v>0.1</v>
      </c>
      <c r="N991" s="6">
        <v>0.1</v>
      </c>
      <c r="O991" s="6">
        <v>0.1</v>
      </c>
      <c r="P991" s="6">
        <v>0.1</v>
      </c>
      <c r="Q991" s="6">
        <v>0.1</v>
      </c>
    </row>
    <row r="992" spans="1:17">
      <c r="A992" s="2">
        <v>2940</v>
      </c>
      <c r="B992" s="6">
        <v>0.1</v>
      </c>
      <c r="C992" s="6">
        <v>0.1</v>
      </c>
      <c r="D992" s="6">
        <v>0.1</v>
      </c>
      <c r="E992" s="6">
        <v>0.1</v>
      </c>
      <c r="F992" s="6">
        <v>0.1</v>
      </c>
      <c r="G992" s="6">
        <v>0.1</v>
      </c>
      <c r="H992" s="6">
        <v>0.1</v>
      </c>
      <c r="I992" s="6">
        <v>0.1</v>
      </c>
      <c r="J992" s="6">
        <v>0.1</v>
      </c>
      <c r="K992" s="6">
        <v>0.1</v>
      </c>
      <c r="L992" s="6">
        <v>0.1</v>
      </c>
      <c r="M992" s="6">
        <v>0.1</v>
      </c>
      <c r="N992" s="6">
        <v>0.1</v>
      </c>
      <c r="O992" s="6">
        <v>0.1</v>
      </c>
      <c r="P992" s="6">
        <v>0.1</v>
      </c>
      <c r="Q992" s="6">
        <v>0.1</v>
      </c>
    </row>
    <row r="993" spans="1:17">
      <c r="A993" s="2">
        <v>2941</v>
      </c>
      <c r="B993" s="6">
        <v>0.1</v>
      </c>
      <c r="C993" s="6">
        <v>0.1</v>
      </c>
      <c r="D993" s="6">
        <v>0.1</v>
      </c>
      <c r="E993" s="6">
        <v>0.1</v>
      </c>
      <c r="F993" s="6">
        <v>0.1</v>
      </c>
      <c r="G993" s="6">
        <v>0.1</v>
      </c>
      <c r="H993" s="6">
        <v>0.1</v>
      </c>
      <c r="I993" s="6">
        <v>0.1</v>
      </c>
      <c r="J993" s="6">
        <v>0.1</v>
      </c>
      <c r="K993" s="6">
        <v>0.1</v>
      </c>
      <c r="L993" s="6">
        <v>0.1</v>
      </c>
      <c r="M993" s="6">
        <v>0.1</v>
      </c>
      <c r="N993" s="6">
        <v>0.1</v>
      </c>
      <c r="O993" s="6">
        <v>0.1</v>
      </c>
      <c r="P993" s="6">
        <v>0.1</v>
      </c>
      <c r="Q993" s="6">
        <v>0.1</v>
      </c>
    </row>
    <row r="994" spans="1:17">
      <c r="A994" s="2">
        <v>2942</v>
      </c>
      <c r="B994" s="6">
        <v>0.1</v>
      </c>
      <c r="C994" s="6">
        <v>0.1</v>
      </c>
      <c r="D994" s="6">
        <v>0.1</v>
      </c>
      <c r="E994" s="6">
        <v>0.1</v>
      </c>
      <c r="F994" s="6">
        <v>0.1</v>
      </c>
      <c r="G994" s="6">
        <v>0.1</v>
      </c>
      <c r="H994" s="6">
        <v>0.1</v>
      </c>
      <c r="I994" s="6">
        <v>0.1</v>
      </c>
      <c r="J994" s="6">
        <v>0.1</v>
      </c>
      <c r="K994" s="6">
        <v>0.1</v>
      </c>
      <c r="L994" s="6">
        <v>0.1</v>
      </c>
      <c r="M994" s="6">
        <v>0.1</v>
      </c>
      <c r="N994" s="6">
        <v>0.1</v>
      </c>
      <c r="O994" s="6">
        <v>0.1</v>
      </c>
      <c r="P994" s="6">
        <v>0.1</v>
      </c>
      <c r="Q994" s="6">
        <v>0.1</v>
      </c>
    </row>
    <row r="995" spans="1:17">
      <c r="A995" s="2">
        <v>2943</v>
      </c>
      <c r="B995" s="6">
        <v>0.1</v>
      </c>
      <c r="C995" s="6">
        <v>0.1</v>
      </c>
      <c r="D995" s="6">
        <v>0.1</v>
      </c>
      <c r="E995" s="6">
        <v>0.1</v>
      </c>
      <c r="F995" s="6">
        <v>0.1</v>
      </c>
      <c r="G995" s="6">
        <v>0.1</v>
      </c>
      <c r="H995" s="6">
        <v>0.1</v>
      </c>
      <c r="I995" s="6">
        <v>0.1</v>
      </c>
      <c r="J995" s="6">
        <v>0.1</v>
      </c>
      <c r="K995" s="6">
        <v>0.1</v>
      </c>
      <c r="L995" s="6">
        <v>0.1</v>
      </c>
      <c r="M995" s="6">
        <v>0.1</v>
      </c>
      <c r="N995" s="6">
        <v>0.1</v>
      </c>
      <c r="O995" s="6">
        <v>0.1</v>
      </c>
      <c r="P995" s="6">
        <v>0.1</v>
      </c>
      <c r="Q995" s="6">
        <v>0.1</v>
      </c>
    </row>
    <row r="996" spans="1:17">
      <c r="A996" s="2">
        <v>2944</v>
      </c>
      <c r="B996" s="6">
        <v>0.1</v>
      </c>
      <c r="C996" s="6">
        <v>0.1</v>
      </c>
      <c r="D996" s="6">
        <v>0.1</v>
      </c>
      <c r="E996" s="6">
        <v>0.1</v>
      </c>
      <c r="F996" s="6">
        <v>0.1</v>
      </c>
      <c r="G996" s="6">
        <v>0.1</v>
      </c>
      <c r="H996" s="6">
        <v>0.1</v>
      </c>
      <c r="I996" s="6">
        <v>0.1</v>
      </c>
      <c r="J996" s="6">
        <v>0.1</v>
      </c>
      <c r="K996" s="6">
        <v>0.1</v>
      </c>
      <c r="L996" s="6">
        <v>0.1</v>
      </c>
      <c r="M996" s="6">
        <v>0.1</v>
      </c>
      <c r="N996" s="6">
        <v>0.1</v>
      </c>
      <c r="O996" s="6">
        <v>0.1</v>
      </c>
      <c r="P996" s="6">
        <v>0.1</v>
      </c>
      <c r="Q996" s="6">
        <v>0.1</v>
      </c>
    </row>
    <row r="997" spans="1:17">
      <c r="A997" s="2">
        <v>2945</v>
      </c>
      <c r="B997" s="6">
        <v>0.1</v>
      </c>
      <c r="C997" s="6">
        <v>0.1</v>
      </c>
      <c r="D997" s="6">
        <v>0.1</v>
      </c>
      <c r="E997" s="6">
        <v>0.1</v>
      </c>
      <c r="F997" s="6">
        <v>0.1</v>
      </c>
      <c r="G997" s="6">
        <v>0.1</v>
      </c>
      <c r="H997" s="6">
        <v>0.1</v>
      </c>
      <c r="I997" s="6">
        <v>0.1</v>
      </c>
      <c r="J997" s="6">
        <v>0.1</v>
      </c>
      <c r="K997" s="6">
        <v>0.1</v>
      </c>
      <c r="L997" s="6">
        <v>0.1</v>
      </c>
      <c r="M997" s="6">
        <v>0.1</v>
      </c>
      <c r="N997" s="6">
        <v>0.1</v>
      </c>
      <c r="O997" s="6">
        <v>0.1</v>
      </c>
      <c r="P997" s="6">
        <v>0.1</v>
      </c>
      <c r="Q997" s="6">
        <v>0.1</v>
      </c>
    </row>
    <row r="998" spans="1:17">
      <c r="A998" s="2">
        <v>2946</v>
      </c>
      <c r="B998" s="6">
        <v>0.1</v>
      </c>
      <c r="C998" s="6">
        <v>0.1</v>
      </c>
      <c r="D998" s="6">
        <v>0.1</v>
      </c>
      <c r="E998" s="6">
        <v>0.1</v>
      </c>
      <c r="F998" s="6">
        <v>0.1</v>
      </c>
      <c r="G998" s="6">
        <v>0.1</v>
      </c>
      <c r="H998" s="6">
        <v>0.1</v>
      </c>
      <c r="I998" s="6">
        <v>0.1</v>
      </c>
      <c r="J998" s="6">
        <v>0.1</v>
      </c>
      <c r="K998" s="6">
        <v>0.1</v>
      </c>
      <c r="L998" s="6">
        <v>0.1</v>
      </c>
      <c r="M998" s="6">
        <v>0.1</v>
      </c>
      <c r="N998" s="6">
        <v>0.1</v>
      </c>
      <c r="O998" s="6">
        <v>0.1</v>
      </c>
      <c r="P998" s="6">
        <v>0.1</v>
      </c>
      <c r="Q998" s="6">
        <v>0.1</v>
      </c>
    </row>
    <row r="999" spans="1:17">
      <c r="A999" s="2">
        <v>2947</v>
      </c>
      <c r="B999" s="6">
        <v>0.1</v>
      </c>
      <c r="C999" s="6">
        <v>0.1</v>
      </c>
      <c r="D999" s="6">
        <v>0.1</v>
      </c>
      <c r="E999" s="6">
        <v>0.1</v>
      </c>
      <c r="F999" s="6">
        <v>0.1</v>
      </c>
      <c r="G999" s="6">
        <v>0.1</v>
      </c>
      <c r="H999" s="6">
        <v>0.1</v>
      </c>
      <c r="I999" s="6">
        <v>0.1</v>
      </c>
      <c r="J999" s="6">
        <v>0.1</v>
      </c>
      <c r="K999" s="6">
        <v>0.1</v>
      </c>
      <c r="L999" s="6">
        <v>0.1</v>
      </c>
      <c r="M999" s="6">
        <v>0.1</v>
      </c>
      <c r="N999" s="6">
        <v>0.1</v>
      </c>
      <c r="O999" s="6">
        <v>0.1</v>
      </c>
      <c r="P999" s="6">
        <v>0.1</v>
      </c>
      <c r="Q999" s="6">
        <v>0.1</v>
      </c>
    </row>
    <row r="1000" spans="1:17">
      <c r="A1000" s="2">
        <v>2948</v>
      </c>
      <c r="B1000" s="6">
        <v>0.1</v>
      </c>
      <c r="C1000" s="6">
        <v>0.1</v>
      </c>
      <c r="D1000" s="6">
        <v>0.1</v>
      </c>
      <c r="E1000" s="6">
        <v>0.1</v>
      </c>
      <c r="F1000" s="6">
        <v>0.1</v>
      </c>
      <c r="G1000" s="6">
        <v>0.1</v>
      </c>
      <c r="H1000" s="6">
        <v>0.1</v>
      </c>
      <c r="I1000" s="6">
        <v>0.1</v>
      </c>
      <c r="J1000" s="6">
        <v>0.1</v>
      </c>
      <c r="K1000" s="6">
        <v>0.1</v>
      </c>
      <c r="L1000" s="6">
        <v>0.1</v>
      </c>
      <c r="M1000" s="6">
        <v>0.1</v>
      </c>
      <c r="N1000" s="6">
        <v>0.1</v>
      </c>
      <c r="O1000" s="6">
        <v>0.1</v>
      </c>
      <c r="P1000" s="6">
        <v>0.1</v>
      </c>
      <c r="Q1000" s="6">
        <v>0.1</v>
      </c>
    </row>
    <row r="1001" spans="1:17">
      <c r="A1001" s="2">
        <v>2949</v>
      </c>
      <c r="B1001" s="6">
        <v>0.1</v>
      </c>
      <c r="C1001" s="6">
        <v>0.1</v>
      </c>
      <c r="D1001" s="6">
        <v>0.1</v>
      </c>
      <c r="E1001" s="6">
        <v>0.1</v>
      </c>
      <c r="F1001" s="6">
        <v>0.1</v>
      </c>
      <c r="G1001" s="6">
        <v>0.1</v>
      </c>
      <c r="H1001" s="6">
        <v>0.1</v>
      </c>
      <c r="I1001" s="6">
        <v>0.1</v>
      </c>
      <c r="J1001" s="6">
        <v>0.1</v>
      </c>
      <c r="K1001" s="6">
        <v>0.1</v>
      </c>
      <c r="L1001" s="6">
        <v>0.1</v>
      </c>
      <c r="M1001" s="6">
        <v>0.1</v>
      </c>
      <c r="N1001" s="6">
        <v>0.1</v>
      </c>
      <c r="O1001" s="6">
        <v>0.1</v>
      </c>
      <c r="P1001" s="6">
        <v>0.1</v>
      </c>
      <c r="Q1001" s="6">
        <v>0.1</v>
      </c>
    </row>
    <row r="1002" spans="1:17">
      <c r="A1002" s="2">
        <v>2950</v>
      </c>
      <c r="B1002" s="6">
        <v>0.1</v>
      </c>
      <c r="C1002" s="6">
        <v>0.1</v>
      </c>
      <c r="D1002" s="6">
        <v>0.1</v>
      </c>
      <c r="E1002" s="6">
        <v>0.1</v>
      </c>
      <c r="F1002" s="6">
        <v>0.1</v>
      </c>
      <c r="G1002" s="6">
        <v>0.1</v>
      </c>
      <c r="H1002" s="6">
        <v>0.1</v>
      </c>
      <c r="I1002" s="6">
        <v>0.1</v>
      </c>
      <c r="J1002" s="6">
        <v>0.1</v>
      </c>
      <c r="K1002" s="6">
        <v>0.1</v>
      </c>
      <c r="L1002" s="6">
        <v>0.1</v>
      </c>
      <c r="M1002" s="6">
        <v>0.1</v>
      </c>
      <c r="N1002" s="6">
        <v>0.1</v>
      </c>
      <c r="O1002" s="6">
        <v>0.1</v>
      </c>
      <c r="P1002" s="6">
        <v>0.1</v>
      </c>
      <c r="Q1002" s="6">
        <v>0.1</v>
      </c>
    </row>
    <row r="1003" spans="1:17">
      <c r="A1003" s="2">
        <v>2951</v>
      </c>
      <c r="B1003" s="6">
        <v>0.1</v>
      </c>
      <c r="C1003" s="6">
        <v>0.1</v>
      </c>
      <c r="D1003" s="6">
        <v>0.1</v>
      </c>
      <c r="E1003" s="6">
        <v>0.1</v>
      </c>
      <c r="F1003" s="6">
        <v>0.1</v>
      </c>
      <c r="G1003" s="6">
        <v>0.1</v>
      </c>
      <c r="H1003" s="6">
        <v>0.1</v>
      </c>
      <c r="I1003" s="6">
        <v>0.1</v>
      </c>
      <c r="J1003" s="6">
        <v>0.1</v>
      </c>
      <c r="K1003" s="6">
        <v>0.1</v>
      </c>
      <c r="L1003" s="6">
        <v>0.1</v>
      </c>
      <c r="M1003" s="6">
        <v>0.1</v>
      </c>
      <c r="N1003" s="6">
        <v>0.1</v>
      </c>
      <c r="O1003" s="6">
        <v>0.1</v>
      </c>
      <c r="P1003" s="6">
        <v>0.1</v>
      </c>
      <c r="Q1003" s="6">
        <v>0.1</v>
      </c>
    </row>
    <row r="1004" spans="1:17">
      <c r="A1004" s="2">
        <v>2952</v>
      </c>
      <c r="B1004" s="6">
        <v>0.1</v>
      </c>
      <c r="C1004" s="6">
        <v>0.1</v>
      </c>
      <c r="D1004" s="6">
        <v>0.1</v>
      </c>
      <c r="E1004" s="6">
        <v>0.1</v>
      </c>
      <c r="F1004" s="6">
        <v>0.1</v>
      </c>
      <c r="G1004" s="6">
        <v>0.1</v>
      </c>
      <c r="H1004" s="6">
        <v>0.1</v>
      </c>
      <c r="I1004" s="6">
        <v>0.1</v>
      </c>
      <c r="J1004" s="6">
        <v>0.1</v>
      </c>
      <c r="K1004" s="6">
        <v>0.1</v>
      </c>
      <c r="L1004" s="6">
        <v>0.1</v>
      </c>
      <c r="M1004" s="6">
        <v>0.1</v>
      </c>
      <c r="N1004" s="6">
        <v>0.1</v>
      </c>
      <c r="O1004" s="6">
        <v>0.1</v>
      </c>
      <c r="P1004" s="6">
        <v>0.1</v>
      </c>
      <c r="Q1004" s="6">
        <v>0.1</v>
      </c>
    </row>
    <row r="1005" spans="1:17">
      <c r="A1005" s="2">
        <v>2953</v>
      </c>
      <c r="B1005" s="6">
        <v>0.1</v>
      </c>
      <c r="C1005" s="6">
        <v>0.1</v>
      </c>
      <c r="D1005" s="6">
        <v>0.1</v>
      </c>
      <c r="E1005" s="6">
        <v>0.1</v>
      </c>
      <c r="F1005" s="6">
        <v>0.1</v>
      </c>
      <c r="G1005" s="6">
        <v>0.1</v>
      </c>
      <c r="H1005" s="6">
        <v>0.1</v>
      </c>
      <c r="I1005" s="6">
        <v>0.1</v>
      </c>
      <c r="J1005" s="6">
        <v>0.1</v>
      </c>
      <c r="K1005" s="6">
        <v>0.1</v>
      </c>
      <c r="L1005" s="6">
        <v>0.1</v>
      </c>
      <c r="M1005" s="6">
        <v>0.1</v>
      </c>
      <c r="N1005" s="6">
        <v>0.1</v>
      </c>
      <c r="O1005" s="6">
        <v>0.1</v>
      </c>
      <c r="P1005" s="6">
        <v>0.1</v>
      </c>
      <c r="Q1005" s="6">
        <v>0.1</v>
      </c>
    </row>
    <row r="1006" spans="1:17">
      <c r="A1006" s="2">
        <v>2954</v>
      </c>
      <c r="B1006" s="6">
        <v>0.1</v>
      </c>
      <c r="C1006" s="6">
        <v>0.1</v>
      </c>
      <c r="D1006" s="6">
        <v>0.1</v>
      </c>
      <c r="E1006" s="6">
        <v>0.1</v>
      </c>
      <c r="F1006" s="6">
        <v>0.1</v>
      </c>
      <c r="G1006" s="6">
        <v>0.1</v>
      </c>
      <c r="H1006" s="6">
        <v>0.1</v>
      </c>
      <c r="I1006" s="6">
        <v>0.1</v>
      </c>
      <c r="J1006" s="6">
        <v>0.1</v>
      </c>
      <c r="K1006" s="6">
        <v>0.1</v>
      </c>
      <c r="L1006" s="6">
        <v>0.1</v>
      </c>
      <c r="M1006" s="6">
        <v>0.1</v>
      </c>
      <c r="N1006" s="6">
        <v>0.1</v>
      </c>
      <c r="O1006" s="6">
        <v>0.1</v>
      </c>
      <c r="P1006" s="6">
        <v>0.1</v>
      </c>
      <c r="Q1006" s="6">
        <v>0.1</v>
      </c>
    </row>
    <row r="1007" spans="1:17">
      <c r="A1007" s="2">
        <v>2955</v>
      </c>
      <c r="B1007" s="6">
        <v>0.1</v>
      </c>
      <c r="C1007" s="6">
        <v>0.1</v>
      </c>
      <c r="D1007" s="6">
        <v>0.1</v>
      </c>
      <c r="E1007" s="6">
        <v>0.1</v>
      </c>
      <c r="F1007" s="6">
        <v>0.1</v>
      </c>
      <c r="G1007" s="6">
        <v>0.1</v>
      </c>
      <c r="H1007" s="6">
        <v>0.1</v>
      </c>
      <c r="I1007" s="6">
        <v>0.1</v>
      </c>
      <c r="J1007" s="6">
        <v>0.1</v>
      </c>
      <c r="K1007" s="6">
        <v>0.1</v>
      </c>
      <c r="L1007" s="6">
        <v>0.1</v>
      </c>
      <c r="M1007" s="6">
        <v>0.1</v>
      </c>
      <c r="N1007" s="6">
        <v>0.1</v>
      </c>
      <c r="O1007" s="6">
        <v>0.1</v>
      </c>
      <c r="P1007" s="6">
        <v>0.1</v>
      </c>
      <c r="Q1007" s="6">
        <v>0.1</v>
      </c>
    </row>
    <row r="1008" spans="1:17">
      <c r="A1008" s="2">
        <v>2956</v>
      </c>
      <c r="B1008" s="6">
        <v>0.1</v>
      </c>
      <c r="C1008" s="6">
        <v>0.1</v>
      </c>
      <c r="D1008" s="6">
        <v>0.1</v>
      </c>
      <c r="E1008" s="6">
        <v>0.1</v>
      </c>
      <c r="F1008" s="6">
        <v>0.1</v>
      </c>
      <c r="G1008" s="6">
        <v>0.1</v>
      </c>
      <c r="H1008" s="6">
        <v>0.1</v>
      </c>
      <c r="I1008" s="6">
        <v>0.1</v>
      </c>
      <c r="J1008" s="6">
        <v>0.1</v>
      </c>
      <c r="K1008" s="6">
        <v>0.1</v>
      </c>
      <c r="L1008" s="6">
        <v>0.1</v>
      </c>
      <c r="M1008" s="6">
        <v>0.1</v>
      </c>
      <c r="N1008" s="6">
        <v>0.1</v>
      </c>
      <c r="O1008" s="6">
        <v>0.1</v>
      </c>
      <c r="P1008" s="6">
        <v>0.1</v>
      </c>
      <c r="Q1008" s="6">
        <v>0.1</v>
      </c>
    </row>
    <row r="1009" spans="1:17">
      <c r="A1009" s="2">
        <v>2957</v>
      </c>
      <c r="B1009" s="6">
        <v>0.1</v>
      </c>
      <c r="C1009" s="6">
        <v>0.1</v>
      </c>
      <c r="D1009" s="6">
        <v>0.1</v>
      </c>
      <c r="E1009" s="6">
        <v>0.1</v>
      </c>
      <c r="F1009" s="6">
        <v>0.1</v>
      </c>
      <c r="G1009" s="6">
        <v>0.1</v>
      </c>
      <c r="H1009" s="6">
        <v>0.1</v>
      </c>
      <c r="I1009" s="6">
        <v>0.1</v>
      </c>
      <c r="J1009" s="6">
        <v>0.1</v>
      </c>
      <c r="K1009" s="6">
        <v>0.1</v>
      </c>
      <c r="L1009" s="6">
        <v>0.1</v>
      </c>
      <c r="M1009" s="6">
        <v>0.1</v>
      </c>
      <c r="N1009" s="6">
        <v>0.1</v>
      </c>
      <c r="O1009" s="6">
        <v>0.1</v>
      </c>
      <c r="P1009" s="6">
        <v>0.1</v>
      </c>
      <c r="Q1009" s="6">
        <v>0.1</v>
      </c>
    </row>
    <row r="1010" spans="1:17">
      <c r="A1010" s="2">
        <v>2958</v>
      </c>
      <c r="B1010" s="6">
        <v>0.1</v>
      </c>
      <c r="C1010" s="6">
        <v>0.1</v>
      </c>
      <c r="D1010" s="6">
        <v>0.1</v>
      </c>
      <c r="E1010" s="6">
        <v>0.1</v>
      </c>
      <c r="F1010" s="6">
        <v>0.1</v>
      </c>
      <c r="G1010" s="6">
        <v>0.1</v>
      </c>
      <c r="H1010" s="6">
        <v>0.1</v>
      </c>
      <c r="I1010" s="6">
        <v>0.1</v>
      </c>
      <c r="J1010" s="6">
        <v>0.1</v>
      </c>
      <c r="K1010" s="6">
        <v>0.1</v>
      </c>
      <c r="L1010" s="6">
        <v>0.1</v>
      </c>
      <c r="M1010" s="6">
        <v>0.1</v>
      </c>
      <c r="N1010" s="6">
        <v>0.1</v>
      </c>
      <c r="O1010" s="6">
        <v>0.1</v>
      </c>
      <c r="P1010" s="6">
        <v>0.1</v>
      </c>
      <c r="Q1010" s="6">
        <v>0.1</v>
      </c>
    </row>
    <row r="1011" spans="1:17">
      <c r="A1011" s="2">
        <v>2959</v>
      </c>
      <c r="B1011" s="6">
        <v>0.1</v>
      </c>
      <c r="C1011" s="6">
        <v>0.1</v>
      </c>
      <c r="D1011" s="6">
        <v>0.1</v>
      </c>
      <c r="E1011" s="6">
        <v>0.1</v>
      </c>
      <c r="F1011" s="6">
        <v>0.1</v>
      </c>
      <c r="G1011" s="6">
        <v>0.1</v>
      </c>
      <c r="H1011" s="6">
        <v>0.1</v>
      </c>
      <c r="I1011" s="6">
        <v>0.1</v>
      </c>
      <c r="J1011" s="6">
        <v>0.1</v>
      </c>
      <c r="K1011" s="6">
        <v>0.1</v>
      </c>
      <c r="L1011" s="6">
        <v>0.1</v>
      </c>
      <c r="M1011" s="6">
        <v>0.1</v>
      </c>
      <c r="N1011" s="6">
        <v>0.1</v>
      </c>
      <c r="O1011" s="6">
        <v>0.1</v>
      </c>
      <c r="P1011" s="6">
        <v>0.1</v>
      </c>
      <c r="Q1011" s="6">
        <v>0.1</v>
      </c>
    </row>
    <row r="1012" spans="1:17">
      <c r="A1012" s="2">
        <v>2960</v>
      </c>
      <c r="B1012" s="6">
        <v>0.1</v>
      </c>
      <c r="C1012" s="6">
        <v>0.1</v>
      </c>
      <c r="D1012" s="6">
        <v>0.1</v>
      </c>
      <c r="E1012" s="6">
        <v>0.1</v>
      </c>
      <c r="F1012" s="6">
        <v>0.1</v>
      </c>
      <c r="G1012" s="6">
        <v>0.1</v>
      </c>
      <c r="H1012" s="6">
        <v>0.1</v>
      </c>
      <c r="I1012" s="6">
        <v>0.1</v>
      </c>
      <c r="J1012" s="6">
        <v>0.1</v>
      </c>
      <c r="K1012" s="6">
        <v>0.1</v>
      </c>
      <c r="L1012" s="6">
        <v>0.1</v>
      </c>
      <c r="M1012" s="6">
        <v>0.1</v>
      </c>
      <c r="N1012" s="6">
        <v>0.1</v>
      </c>
      <c r="O1012" s="6">
        <v>0.1</v>
      </c>
      <c r="P1012" s="6">
        <v>0.1</v>
      </c>
      <c r="Q1012" s="6">
        <v>0.1</v>
      </c>
    </row>
    <row r="1013" spans="1:17">
      <c r="A1013" s="2">
        <v>2961</v>
      </c>
      <c r="B1013" s="6">
        <v>0.1</v>
      </c>
      <c r="C1013" s="6">
        <v>0.1</v>
      </c>
      <c r="D1013" s="6">
        <v>0.1</v>
      </c>
      <c r="E1013" s="6">
        <v>0.1</v>
      </c>
      <c r="F1013" s="6">
        <v>0.1</v>
      </c>
      <c r="G1013" s="6">
        <v>0.1</v>
      </c>
      <c r="H1013" s="6">
        <v>0.1</v>
      </c>
      <c r="I1013" s="6">
        <v>0.1</v>
      </c>
      <c r="J1013" s="6">
        <v>0.1</v>
      </c>
      <c r="K1013" s="6">
        <v>0.1</v>
      </c>
      <c r="L1013" s="6">
        <v>0.1</v>
      </c>
      <c r="M1013" s="6">
        <v>0.1</v>
      </c>
      <c r="N1013" s="6">
        <v>0.1</v>
      </c>
      <c r="O1013" s="6">
        <v>0.1</v>
      </c>
      <c r="P1013" s="6">
        <v>0.1</v>
      </c>
      <c r="Q1013" s="6">
        <v>0.1</v>
      </c>
    </row>
    <row r="1014" spans="1:17">
      <c r="A1014" s="2">
        <v>2962</v>
      </c>
      <c r="B1014" s="6">
        <v>0.1</v>
      </c>
      <c r="C1014" s="6">
        <v>0.1</v>
      </c>
      <c r="D1014" s="6">
        <v>0.1</v>
      </c>
      <c r="E1014" s="6">
        <v>0.1</v>
      </c>
      <c r="F1014" s="6">
        <v>0.1</v>
      </c>
      <c r="G1014" s="6">
        <v>0.1</v>
      </c>
      <c r="H1014" s="6">
        <v>0.1</v>
      </c>
      <c r="I1014" s="6">
        <v>0.1</v>
      </c>
      <c r="J1014" s="6">
        <v>0.1</v>
      </c>
      <c r="K1014" s="6">
        <v>0.1</v>
      </c>
      <c r="L1014" s="6">
        <v>0.1</v>
      </c>
      <c r="M1014" s="6">
        <v>0.1</v>
      </c>
      <c r="N1014" s="6">
        <v>0.1</v>
      </c>
      <c r="O1014" s="6">
        <v>0.1</v>
      </c>
      <c r="P1014" s="6">
        <v>0.1</v>
      </c>
      <c r="Q1014" s="6">
        <v>0.1</v>
      </c>
    </row>
    <row r="1015" spans="1:17">
      <c r="A1015" s="2">
        <v>2963</v>
      </c>
      <c r="B1015" s="6">
        <v>0.1</v>
      </c>
      <c r="C1015" s="6">
        <v>0.1</v>
      </c>
      <c r="D1015" s="6">
        <v>0.1</v>
      </c>
      <c r="E1015" s="6">
        <v>0.1</v>
      </c>
      <c r="F1015" s="6">
        <v>0.1</v>
      </c>
      <c r="G1015" s="6">
        <v>0.1</v>
      </c>
      <c r="H1015" s="6">
        <v>0.1</v>
      </c>
      <c r="I1015" s="6">
        <v>0.1</v>
      </c>
      <c r="J1015" s="6">
        <v>0.1</v>
      </c>
      <c r="K1015" s="6">
        <v>0.1</v>
      </c>
      <c r="L1015" s="6">
        <v>0.1</v>
      </c>
      <c r="M1015" s="6">
        <v>0.1</v>
      </c>
      <c r="N1015" s="6">
        <v>0.1</v>
      </c>
      <c r="O1015" s="6">
        <v>0.1</v>
      </c>
      <c r="P1015" s="6">
        <v>0.1</v>
      </c>
      <c r="Q1015" s="6">
        <v>0.1</v>
      </c>
    </row>
    <row r="1016" spans="1:17">
      <c r="A1016" s="2">
        <v>2964</v>
      </c>
      <c r="B1016" s="6">
        <v>0.1</v>
      </c>
      <c r="C1016" s="6">
        <v>0.1</v>
      </c>
      <c r="D1016" s="6">
        <v>0.1</v>
      </c>
      <c r="E1016" s="6">
        <v>0.1</v>
      </c>
      <c r="F1016" s="6">
        <v>0.1</v>
      </c>
      <c r="G1016" s="6">
        <v>0.1</v>
      </c>
      <c r="H1016" s="6">
        <v>0.1</v>
      </c>
      <c r="I1016" s="6">
        <v>0.1</v>
      </c>
      <c r="J1016" s="6">
        <v>0.1</v>
      </c>
      <c r="K1016" s="6">
        <v>0.1</v>
      </c>
      <c r="L1016" s="6">
        <v>0.1</v>
      </c>
      <c r="M1016" s="6">
        <v>0.1</v>
      </c>
      <c r="N1016" s="6">
        <v>0.1</v>
      </c>
      <c r="O1016" s="6">
        <v>0.1</v>
      </c>
      <c r="P1016" s="6">
        <v>0.1</v>
      </c>
      <c r="Q1016" s="6">
        <v>0.1</v>
      </c>
    </row>
    <row r="1017" spans="1:17">
      <c r="A1017" s="2">
        <v>2965</v>
      </c>
      <c r="B1017" s="6">
        <v>0.1</v>
      </c>
      <c r="C1017" s="6">
        <v>0.1</v>
      </c>
      <c r="D1017" s="6">
        <v>0.1</v>
      </c>
      <c r="E1017" s="6">
        <v>0.1</v>
      </c>
      <c r="F1017" s="6">
        <v>0.1</v>
      </c>
      <c r="G1017" s="6">
        <v>0.1</v>
      </c>
      <c r="H1017" s="6">
        <v>0.1</v>
      </c>
      <c r="I1017" s="6">
        <v>0.1</v>
      </c>
      <c r="J1017" s="6">
        <v>0.1</v>
      </c>
      <c r="K1017" s="6">
        <v>0.1</v>
      </c>
      <c r="L1017" s="6">
        <v>0.1</v>
      </c>
      <c r="M1017" s="6">
        <v>0.1</v>
      </c>
      <c r="N1017" s="6">
        <v>0.1</v>
      </c>
      <c r="O1017" s="6">
        <v>0.1</v>
      </c>
      <c r="P1017" s="6">
        <v>0.1</v>
      </c>
      <c r="Q1017" s="6">
        <v>0.1</v>
      </c>
    </row>
    <row r="1018" spans="1:17">
      <c r="A1018" s="2">
        <v>2966</v>
      </c>
      <c r="B1018" s="6">
        <v>0.1</v>
      </c>
      <c r="C1018" s="6">
        <v>0.1</v>
      </c>
      <c r="D1018" s="6">
        <v>0.1</v>
      </c>
      <c r="E1018" s="6">
        <v>0.1</v>
      </c>
      <c r="F1018" s="6">
        <v>0.1</v>
      </c>
      <c r="G1018" s="6">
        <v>0.1</v>
      </c>
      <c r="H1018" s="6">
        <v>0.1</v>
      </c>
      <c r="I1018" s="6">
        <v>0.1</v>
      </c>
      <c r="J1018" s="6">
        <v>0.1</v>
      </c>
      <c r="K1018" s="6">
        <v>0.1</v>
      </c>
      <c r="L1018" s="6">
        <v>0.1</v>
      </c>
      <c r="M1018" s="6">
        <v>0.1</v>
      </c>
      <c r="N1018" s="6">
        <v>0.1</v>
      </c>
      <c r="O1018" s="6">
        <v>0.1</v>
      </c>
      <c r="P1018" s="6">
        <v>0.1</v>
      </c>
      <c r="Q1018" s="6">
        <v>0.1</v>
      </c>
    </row>
    <row r="1019" spans="1:17">
      <c r="A1019" s="2">
        <v>2967</v>
      </c>
      <c r="B1019" s="6">
        <v>0.1</v>
      </c>
      <c r="C1019" s="6">
        <v>0.1</v>
      </c>
      <c r="D1019" s="6">
        <v>0.1</v>
      </c>
      <c r="E1019" s="6">
        <v>0.1</v>
      </c>
      <c r="F1019" s="6">
        <v>0.1</v>
      </c>
      <c r="G1019" s="6">
        <v>0.1</v>
      </c>
      <c r="H1019" s="6">
        <v>0.1</v>
      </c>
      <c r="I1019" s="6">
        <v>0.1</v>
      </c>
      <c r="J1019" s="6">
        <v>0.1</v>
      </c>
      <c r="K1019" s="6">
        <v>0.1</v>
      </c>
      <c r="L1019" s="6">
        <v>0.1</v>
      </c>
      <c r="M1019" s="6">
        <v>0.1</v>
      </c>
      <c r="N1019" s="6">
        <v>0.1</v>
      </c>
      <c r="O1019" s="6">
        <v>0.1</v>
      </c>
      <c r="P1019" s="6">
        <v>0.1</v>
      </c>
      <c r="Q1019" s="6">
        <v>0.1</v>
      </c>
    </row>
    <row r="1020" spans="1:17">
      <c r="A1020" s="2">
        <v>2968</v>
      </c>
      <c r="B1020" s="6">
        <v>0.1</v>
      </c>
      <c r="C1020" s="6">
        <v>0.1</v>
      </c>
      <c r="D1020" s="6">
        <v>0.1</v>
      </c>
      <c r="E1020" s="6">
        <v>0.1</v>
      </c>
      <c r="F1020" s="6">
        <v>0.1</v>
      </c>
      <c r="G1020" s="6">
        <v>0.1</v>
      </c>
      <c r="H1020" s="6">
        <v>0.1</v>
      </c>
      <c r="I1020" s="6">
        <v>0.1</v>
      </c>
      <c r="J1020" s="6">
        <v>0.1</v>
      </c>
      <c r="K1020" s="6">
        <v>0.1</v>
      </c>
      <c r="L1020" s="6">
        <v>0.1</v>
      </c>
      <c r="M1020" s="6">
        <v>0.1</v>
      </c>
      <c r="N1020" s="6">
        <v>0.1</v>
      </c>
      <c r="O1020" s="6">
        <v>0.1</v>
      </c>
      <c r="P1020" s="6">
        <v>0.1</v>
      </c>
      <c r="Q1020" s="6">
        <v>0.1</v>
      </c>
    </row>
    <row r="1021" spans="1:17">
      <c r="A1021" s="2">
        <v>2969</v>
      </c>
      <c r="B1021" s="6">
        <v>0.1</v>
      </c>
      <c r="C1021" s="6">
        <v>0.1</v>
      </c>
      <c r="D1021" s="6">
        <v>0.1</v>
      </c>
      <c r="E1021" s="6">
        <v>0.1</v>
      </c>
      <c r="F1021" s="6">
        <v>0.1</v>
      </c>
      <c r="G1021" s="6">
        <v>0.1</v>
      </c>
      <c r="H1021" s="6">
        <v>0.1</v>
      </c>
      <c r="I1021" s="6">
        <v>0.1</v>
      </c>
      <c r="J1021" s="6">
        <v>0.1</v>
      </c>
      <c r="K1021" s="6">
        <v>0.1</v>
      </c>
      <c r="L1021" s="6">
        <v>0.1</v>
      </c>
      <c r="M1021" s="6">
        <v>0.1</v>
      </c>
      <c r="N1021" s="6">
        <v>0.1</v>
      </c>
      <c r="O1021" s="6">
        <v>0.1</v>
      </c>
      <c r="P1021" s="6">
        <v>0.1</v>
      </c>
      <c r="Q1021" s="6">
        <v>0.1</v>
      </c>
    </row>
    <row r="1022" spans="1:17">
      <c r="A1022" s="2">
        <v>2970</v>
      </c>
      <c r="B1022" s="6">
        <v>0.1</v>
      </c>
      <c r="C1022" s="6">
        <v>0.1</v>
      </c>
      <c r="D1022" s="6">
        <v>0.1</v>
      </c>
      <c r="E1022" s="6">
        <v>0.1</v>
      </c>
      <c r="F1022" s="6">
        <v>0.1</v>
      </c>
      <c r="G1022" s="6">
        <v>0.1</v>
      </c>
      <c r="H1022" s="6">
        <v>0.1</v>
      </c>
      <c r="I1022" s="6">
        <v>0.1</v>
      </c>
      <c r="J1022" s="6">
        <v>0.1</v>
      </c>
      <c r="K1022" s="6">
        <v>0.1</v>
      </c>
      <c r="L1022" s="6">
        <v>0.1</v>
      </c>
      <c r="M1022" s="6">
        <v>0.1</v>
      </c>
      <c r="N1022" s="6">
        <v>0.1</v>
      </c>
      <c r="O1022" s="6">
        <v>0.1</v>
      </c>
      <c r="P1022" s="6">
        <v>0.1</v>
      </c>
      <c r="Q1022" s="6">
        <v>0.1</v>
      </c>
    </row>
    <row r="1023" spans="1:17">
      <c r="A1023" s="2">
        <v>2971</v>
      </c>
      <c r="B1023" s="6">
        <v>0.1</v>
      </c>
      <c r="C1023" s="6">
        <v>0.1</v>
      </c>
      <c r="D1023" s="6">
        <v>0.1</v>
      </c>
      <c r="E1023" s="6">
        <v>0.1</v>
      </c>
      <c r="F1023" s="6">
        <v>0.1</v>
      </c>
      <c r="G1023" s="6">
        <v>0.1</v>
      </c>
      <c r="H1023" s="6">
        <v>0.1</v>
      </c>
      <c r="I1023" s="6">
        <v>0.1</v>
      </c>
      <c r="J1023" s="6">
        <v>0.1</v>
      </c>
      <c r="K1023" s="6">
        <v>0.1</v>
      </c>
      <c r="L1023" s="6">
        <v>0.1</v>
      </c>
      <c r="M1023" s="6">
        <v>0.1</v>
      </c>
      <c r="N1023" s="6">
        <v>0.1</v>
      </c>
      <c r="O1023" s="6">
        <v>0.1</v>
      </c>
      <c r="P1023" s="6">
        <v>0.1</v>
      </c>
      <c r="Q1023" s="6">
        <v>0.1</v>
      </c>
    </row>
    <row r="1024" spans="1:17">
      <c r="A1024" s="2">
        <v>2972</v>
      </c>
      <c r="B1024" s="6">
        <v>0.1</v>
      </c>
      <c r="C1024" s="6">
        <v>0.1</v>
      </c>
      <c r="D1024" s="6">
        <v>0.1</v>
      </c>
      <c r="E1024" s="6">
        <v>0.1</v>
      </c>
      <c r="F1024" s="6">
        <v>0.1</v>
      </c>
      <c r="G1024" s="6">
        <v>0.1</v>
      </c>
      <c r="H1024" s="6">
        <v>0.1</v>
      </c>
      <c r="I1024" s="6">
        <v>0.1</v>
      </c>
      <c r="J1024" s="6">
        <v>0.1</v>
      </c>
      <c r="K1024" s="6">
        <v>0.1</v>
      </c>
      <c r="L1024" s="6">
        <v>0.1</v>
      </c>
      <c r="M1024" s="6">
        <v>0.1</v>
      </c>
      <c r="N1024" s="6">
        <v>0.1</v>
      </c>
      <c r="O1024" s="6">
        <v>0.1</v>
      </c>
      <c r="P1024" s="6">
        <v>0.1</v>
      </c>
      <c r="Q1024" s="6">
        <v>0.1</v>
      </c>
    </row>
    <row r="1025" spans="1:17">
      <c r="A1025" s="2">
        <v>2973</v>
      </c>
      <c r="B1025" s="6">
        <v>0.1</v>
      </c>
      <c r="C1025" s="6">
        <v>0.1</v>
      </c>
      <c r="D1025" s="6">
        <v>0.1</v>
      </c>
      <c r="E1025" s="6">
        <v>0.1</v>
      </c>
      <c r="F1025" s="6">
        <v>0.1</v>
      </c>
      <c r="G1025" s="6">
        <v>0.1</v>
      </c>
      <c r="H1025" s="6">
        <v>0.1</v>
      </c>
      <c r="I1025" s="6">
        <v>0.1</v>
      </c>
      <c r="J1025" s="6">
        <v>0.1</v>
      </c>
      <c r="K1025" s="6">
        <v>0.1</v>
      </c>
      <c r="L1025" s="6">
        <v>0.1</v>
      </c>
      <c r="M1025" s="6">
        <v>0.1</v>
      </c>
      <c r="N1025" s="6">
        <v>0.1</v>
      </c>
      <c r="O1025" s="6">
        <v>0.1</v>
      </c>
      <c r="P1025" s="6">
        <v>0.1</v>
      </c>
      <c r="Q1025" s="6">
        <v>0.1</v>
      </c>
    </row>
    <row r="1026" spans="1:17">
      <c r="A1026" s="2">
        <v>2974</v>
      </c>
      <c r="B1026" s="6">
        <v>0.1</v>
      </c>
      <c r="C1026" s="6">
        <v>0.1</v>
      </c>
      <c r="D1026" s="6">
        <v>0.1</v>
      </c>
      <c r="E1026" s="6">
        <v>0.1</v>
      </c>
      <c r="F1026" s="6">
        <v>0.1</v>
      </c>
      <c r="G1026" s="6">
        <v>0.1</v>
      </c>
      <c r="H1026" s="6">
        <v>0.1</v>
      </c>
      <c r="I1026" s="6">
        <v>0.1</v>
      </c>
      <c r="J1026" s="6">
        <v>0.1</v>
      </c>
      <c r="K1026" s="6">
        <v>0.1</v>
      </c>
      <c r="L1026" s="6">
        <v>0.1</v>
      </c>
      <c r="M1026" s="6">
        <v>0.1</v>
      </c>
      <c r="N1026" s="6">
        <v>0.1</v>
      </c>
      <c r="O1026" s="6">
        <v>0.1</v>
      </c>
      <c r="P1026" s="6">
        <v>0.1</v>
      </c>
      <c r="Q1026" s="6">
        <v>0.1</v>
      </c>
    </row>
    <row r="1027" spans="1:17">
      <c r="A1027" s="2">
        <v>2975</v>
      </c>
      <c r="B1027" s="6">
        <v>0.1</v>
      </c>
      <c r="C1027" s="6">
        <v>0.1</v>
      </c>
      <c r="D1027" s="6">
        <v>0.1</v>
      </c>
      <c r="E1027" s="6">
        <v>0.1</v>
      </c>
      <c r="F1027" s="6">
        <v>0.1</v>
      </c>
      <c r="G1027" s="6">
        <v>0.1</v>
      </c>
      <c r="H1027" s="6">
        <v>0.1</v>
      </c>
      <c r="I1027" s="6">
        <v>0.1</v>
      </c>
      <c r="J1027" s="6">
        <v>0.1</v>
      </c>
      <c r="K1027" s="6">
        <v>0.1</v>
      </c>
      <c r="L1027" s="6">
        <v>0.1</v>
      </c>
      <c r="M1027" s="6">
        <v>0.1</v>
      </c>
      <c r="N1027" s="6">
        <v>0.1</v>
      </c>
      <c r="O1027" s="6">
        <v>0.1</v>
      </c>
      <c r="P1027" s="6">
        <v>0.1</v>
      </c>
      <c r="Q1027" s="6">
        <v>0.1</v>
      </c>
    </row>
    <row r="1028" spans="1:17">
      <c r="A1028" s="2">
        <v>2976</v>
      </c>
      <c r="B1028" s="6">
        <v>0.1</v>
      </c>
      <c r="C1028" s="6">
        <v>0.1</v>
      </c>
      <c r="D1028" s="6">
        <v>0.1</v>
      </c>
      <c r="E1028" s="6">
        <v>0.1</v>
      </c>
      <c r="F1028" s="6">
        <v>0.1</v>
      </c>
      <c r="G1028" s="6">
        <v>0.1</v>
      </c>
      <c r="H1028" s="6">
        <v>0.1</v>
      </c>
      <c r="I1028" s="6">
        <v>0.1</v>
      </c>
      <c r="J1028" s="6">
        <v>0.1</v>
      </c>
      <c r="K1028" s="6">
        <v>0.1</v>
      </c>
      <c r="L1028" s="6">
        <v>0.1</v>
      </c>
      <c r="M1028" s="6">
        <v>0.1</v>
      </c>
      <c r="N1028" s="6">
        <v>0.1</v>
      </c>
      <c r="O1028" s="6">
        <v>0.1</v>
      </c>
      <c r="P1028" s="6">
        <v>0.1</v>
      </c>
      <c r="Q1028" s="6">
        <v>0.1</v>
      </c>
    </row>
    <row r="1029" spans="1:17">
      <c r="A1029" s="2">
        <v>2977</v>
      </c>
      <c r="B1029" s="6">
        <v>0.1</v>
      </c>
      <c r="C1029" s="6">
        <v>0.1</v>
      </c>
      <c r="D1029" s="6">
        <v>0.1</v>
      </c>
      <c r="E1029" s="6">
        <v>0.1</v>
      </c>
      <c r="F1029" s="6">
        <v>0.1</v>
      </c>
      <c r="G1029" s="6">
        <v>0.1</v>
      </c>
      <c r="H1029" s="6">
        <v>0.1</v>
      </c>
      <c r="I1029" s="6">
        <v>0.1</v>
      </c>
      <c r="J1029" s="6">
        <v>0.1</v>
      </c>
      <c r="K1029" s="6">
        <v>0.1</v>
      </c>
      <c r="L1029" s="6">
        <v>0.1</v>
      </c>
      <c r="M1029" s="6">
        <v>0.1</v>
      </c>
      <c r="N1029" s="6">
        <v>0.1</v>
      </c>
      <c r="O1029" s="6">
        <v>0.1</v>
      </c>
      <c r="P1029" s="6">
        <v>0.1</v>
      </c>
      <c r="Q1029" s="6">
        <v>0.1</v>
      </c>
    </row>
    <row r="1030" spans="1:17">
      <c r="A1030" s="2">
        <v>2978</v>
      </c>
      <c r="B1030" s="6">
        <v>0.1</v>
      </c>
      <c r="C1030" s="6">
        <v>0.1</v>
      </c>
      <c r="D1030" s="6">
        <v>0.1</v>
      </c>
      <c r="E1030" s="6">
        <v>0.1</v>
      </c>
      <c r="F1030" s="6">
        <v>0.1</v>
      </c>
      <c r="G1030" s="6">
        <v>0.1</v>
      </c>
      <c r="H1030" s="6">
        <v>0.1</v>
      </c>
      <c r="I1030" s="6">
        <v>0.1</v>
      </c>
      <c r="J1030" s="6">
        <v>0.1</v>
      </c>
      <c r="K1030" s="6">
        <v>0.1</v>
      </c>
      <c r="L1030" s="6">
        <v>0.1</v>
      </c>
      <c r="M1030" s="6">
        <v>0.1</v>
      </c>
      <c r="N1030" s="6">
        <v>0.1</v>
      </c>
      <c r="O1030" s="6">
        <v>0.1</v>
      </c>
      <c r="P1030" s="6">
        <v>0.1</v>
      </c>
      <c r="Q1030" s="6">
        <v>0.1</v>
      </c>
    </row>
    <row r="1031" spans="1:17">
      <c r="A1031" s="2">
        <v>2979</v>
      </c>
      <c r="B1031" s="6">
        <v>0.1</v>
      </c>
      <c r="C1031" s="6">
        <v>0.1</v>
      </c>
      <c r="D1031" s="6">
        <v>0.1</v>
      </c>
      <c r="E1031" s="6">
        <v>0.1</v>
      </c>
      <c r="F1031" s="6">
        <v>0.1</v>
      </c>
      <c r="G1031" s="6">
        <v>0.1</v>
      </c>
      <c r="H1031" s="6">
        <v>0.1</v>
      </c>
      <c r="I1031" s="6">
        <v>0.1</v>
      </c>
      <c r="J1031" s="6">
        <v>0.1</v>
      </c>
      <c r="K1031" s="6">
        <v>0.1</v>
      </c>
      <c r="L1031" s="6">
        <v>0.1</v>
      </c>
      <c r="M1031" s="6">
        <v>0.1</v>
      </c>
      <c r="N1031" s="6">
        <v>0.1</v>
      </c>
      <c r="O1031" s="6">
        <v>0.1</v>
      </c>
      <c r="P1031" s="6">
        <v>0.1</v>
      </c>
      <c r="Q1031" s="6">
        <v>0.1</v>
      </c>
    </row>
    <row r="1032" spans="1:17">
      <c r="A1032" s="2">
        <v>2980</v>
      </c>
      <c r="B1032" s="6">
        <v>0.1</v>
      </c>
      <c r="C1032" s="6">
        <v>0.1</v>
      </c>
      <c r="D1032" s="6">
        <v>0.1</v>
      </c>
      <c r="E1032" s="6">
        <v>0.1</v>
      </c>
      <c r="F1032" s="6">
        <v>0.1</v>
      </c>
      <c r="G1032" s="6">
        <v>0.1</v>
      </c>
      <c r="H1032" s="6">
        <v>0.1</v>
      </c>
      <c r="I1032" s="6">
        <v>0.1</v>
      </c>
      <c r="J1032" s="6">
        <v>0.1</v>
      </c>
      <c r="K1032" s="6">
        <v>0.1</v>
      </c>
      <c r="L1032" s="6">
        <v>0.1</v>
      </c>
      <c r="M1032" s="6">
        <v>0.1</v>
      </c>
      <c r="N1032" s="6">
        <v>0.1</v>
      </c>
      <c r="O1032" s="6">
        <v>0.1</v>
      </c>
      <c r="P1032" s="6">
        <v>0.1</v>
      </c>
      <c r="Q1032" s="6">
        <v>0.1</v>
      </c>
    </row>
    <row r="1033" spans="1:17">
      <c r="A1033" s="2">
        <v>2981</v>
      </c>
      <c r="B1033" s="6">
        <v>0.1</v>
      </c>
      <c r="C1033" s="6">
        <v>0.1</v>
      </c>
      <c r="D1033" s="6">
        <v>0.1</v>
      </c>
      <c r="E1033" s="6">
        <v>0.1</v>
      </c>
      <c r="F1033" s="6">
        <v>0.1</v>
      </c>
      <c r="G1033" s="6">
        <v>0.1</v>
      </c>
      <c r="H1033" s="6">
        <v>0.1</v>
      </c>
      <c r="I1033" s="6">
        <v>0.1</v>
      </c>
      <c r="J1033" s="6">
        <v>0.1</v>
      </c>
      <c r="K1033" s="6">
        <v>0.1</v>
      </c>
      <c r="L1033" s="6">
        <v>0.1</v>
      </c>
      <c r="M1033" s="6">
        <v>0.1</v>
      </c>
      <c r="N1033" s="6">
        <v>0.1</v>
      </c>
      <c r="O1033" s="6">
        <v>0.1</v>
      </c>
      <c r="P1033" s="6">
        <v>0.1</v>
      </c>
      <c r="Q1033" s="6">
        <v>0.1</v>
      </c>
    </row>
    <row r="1034" spans="1:17">
      <c r="A1034" s="2">
        <v>2982</v>
      </c>
      <c r="B1034" s="6">
        <v>0.1</v>
      </c>
      <c r="C1034" s="6">
        <v>0.1</v>
      </c>
      <c r="D1034" s="6">
        <v>0.1</v>
      </c>
      <c r="E1034" s="6">
        <v>0.1</v>
      </c>
      <c r="F1034" s="6">
        <v>0.1</v>
      </c>
      <c r="G1034" s="6">
        <v>0.1</v>
      </c>
      <c r="H1034" s="6">
        <v>0.1</v>
      </c>
      <c r="I1034" s="6">
        <v>0.1</v>
      </c>
      <c r="J1034" s="6">
        <v>0.1</v>
      </c>
      <c r="K1034" s="6">
        <v>0.1</v>
      </c>
      <c r="L1034" s="6">
        <v>0.1</v>
      </c>
      <c r="M1034" s="6">
        <v>0.1</v>
      </c>
      <c r="N1034" s="6">
        <v>0.1</v>
      </c>
      <c r="O1034" s="6">
        <v>0.1</v>
      </c>
      <c r="P1034" s="6">
        <v>0.1</v>
      </c>
      <c r="Q1034" s="6">
        <v>0.1</v>
      </c>
    </row>
    <row r="1035" spans="1:17">
      <c r="A1035" s="2">
        <v>2983</v>
      </c>
      <c r="B1035" s="6">
        <v>0.1</v>
      </c>
      <c r="C1035" s="6">
        <v>0.1</v>
      </c>
      <c r="D1035" s="6">
        <v>0.1</v>
      </c>
      <c r="E1035" s="6">
        <v>0.1</v>
      </c>
      <c r="F1035" s="6">
        <v>0.1</v>
      </c>
      <c r="G1035" s="6">
        <v>0.1</v>
      </c>
      <c r="H1035" s="6">
        <v>0.1</v>
      </c>
      <c r="I1035" s="6">
        <v>0.1</v>
      </c>
      <c r="J1035" s="6">
        <v>0.1</v>
      </c>
      <c r="K1035" s="6">
        <v>0.1</v>
      </c>
      <c r="L1035" s="6">
        <v>0.1</v>
      </c>
      <c r="M1035" s="6">
        <v>0.1</v>
      </c>
      <c r="N1035" s="6">
        <v>0.1</v>
      </c>
      <c r="O1035" s="6">
        <v>0.1</v>
      </c>
      <c r="P1035" s="6">
        <v>0.1</v>
      </c>
      <c r="Q1035" s="6">
        <v>0.1</v>
      </c>
    </row>
    <row r="1036" spans="1:17">
      <c r="A1036" s="2">
        <v>2984</v>
      </c>
      <c r="B1036" s="6">
        <v>0.1</v>
      </c>
      <c r="C1036" s="6">
        <v>0.1</v>
      </c>
      <c r="D1036" s="6">
        <v>0.1</v>
      </c>
      <c r="E1036" s="6">
        <v>0.1</v>
      </c>
      <c r="F1036" s="6">
        <v>0.1</v>
      </c>
      <c r="G1036" s="6">
        <v>0.1</v>
      </c>
      <c r="H1036" s="6">
        <v>0.1</v>
      </c>
      <c r="I1036" s="6">
        <v>0.1</v>
      </c>
      <c r="J1036" s="6">
        <v>0.1</v>
      </c>
      <c r="K1036" s="6">
        <v>0.1</v>
      </c>
      <c r="L1036" s="6">
        <v>0.1</v>
      </c>
      <c r="M1036" s="6">
        <v>0.1</v>
      </c>
      <c r="N1036" s="6">
        <v>0.1</v>
      </c>
      <c r="O1036" s="6">
        <v>0.1</v>
      </c>
      <c r="P1036" s="6">
        <v>0.1</v>
      </c>
      <c r="Q1036" s="6">
        <v>0.1</v>
      </c>
    </row>
    <row r="1037" spans="1:17">
      <c r="A1037" s="2">
        <v>2985</v>
      </c>
      <c r="B1037" s="6">
        <v>0.1</v>
      </c>
      <c r="C1037" s="6">
        <v>0.1</v>
      </c>
      <c r="D1037" s="6">
        <v>0.1</v>
      </c>
      <c r="E1037" s="6">
        <v>0.1</v>
      </c>
      <c r="F1037" s="6">
        <v>0.1</v>
      </c>
      <c r="G1037" s="6">
        <v>0.1</v>
      </c>
      <c r="H1037" s="6">
        <v>0.1</v>
      </c>
      <c r="I1037" s="6">
        <v>0.1</v>
      </c>
      <c r="J1037" s="6">
        <v>0.1</v>
      </c>
      <c r="K1037" s="6">
        <v>0.1</v>
      </c>
      <c r="L1037" s="6">
        <v>0.1</v>
      </c>
      <c r="M1037" s="6">
        <v>0.1</v>
      </c>
      <c r="N1037" s="6">
        <v>0.1</v>
      </c>
      <c r="O1037" s="6">
        <v>0.1</v>
      </c>
      <c r="P1037" s="6">
        <v>0.1</v>
      </c>
      <c r="Q1037" s="6">
        <v>0.1</v>
      </c>
    </row>
    <row r="1038" spans="1:17">
      <c r="A1038" s="2">
        <v>2986</v>
      </c>
      <c r="B1038" s="6">
        <v>0.1</v>
      </c>
      <c r="C1038" s="6">
        <v>0.1</v>
      </c>
      <c r="D1038" s="6">
        <v>0.1</v>
      </c>
      <c r="E1038" s="6">
        <v>0.1</v>
      </c>
      <c r="F1038" s="6">
        <v>0.1</v>
      </c>
      <c r="G1038" s="6">
        <v>0.1</v>
      </c>
      <c r="H1038" s="6">
        <v>0.1</v>
      </c>
      <c r="I1038" s="6">
        <v>0.1</v>
      </c>
      <c r="J1038" s="6">
        <v>0.1</v>
      </c>
      <c r="K1038" s="6">
        <v>0.1</v>
      </c>
      <c r="L1038" s="6">
        <v>0.1</v>
      </c>
      <c r="M1038" s="6">
        <v>0.1</v>
      </c>
      <c r="N1038" s="6">
        <v>0.1</v>
      </c>
      <c r="O1038" s="6">
        <v>0.1</v>
      </c>
      <c r="P1038" s="6">
        <v>0.1</v>
      </c>
      <c r="Q1038" s="6">
        <v>0.1</v>
      </c>
    </row>
    <row r="1039" spans="1:17">
      <c r="A1039" s="2">
        <v>2987</v>
      </c>
      <c r="B1039" s="6">
        <v>0.1</v>
      </c>
      <c r="C1039" s="6">
        <v>0.1</v>
      </c>
      <c r="D1039" s="6">
        <v>0.1</v>
      </c>
      <c r="E1039" s="6">
        <v>0.1</v>
      </c>
      <c r="F1039" s="6">
        <v>0.1</v>
      </c>
      <c r="G1039" s="6">
        <v>0.1</v>
      </c>
      <c r="H1039" s="6">
        <v>0.1</v>
      </c>
      <c r="I1039" s="6">
        <v>0.1</v>
      </c>
      <c r="J1039" s="6">
        <v>0.1</v>
      </c>
      <c r="K1039" s="6">
        <v>0.1</v>
      </c>
      <c r="L1039" s="6">
        <v>0.1</v>
      </c>
      <c r="M1039" s="6">
        <v>0.1</v>
      </c>
      <c r="N1039" s="6">
        <v>0.1</v>
      </c>
      <c r="O1039" s="6">
        <v>0.1</v>
      </c>
      <c r="P1039" s="6">
        <v>0.1</v>
      </c>
      <c r="Q1039" s="6">
        <v>0.1</v>
      </c>
    </row>
    <row r="1040" spans="1:17">
      <c r="A1040" s="2">
        <v>2988</v>
      </c>
      <c r="B1040" s="6">
        <v>0.1</v>
      </c>
      <c r="C1040" s="6">
        <v>0.1</v>
      </c>
      <c r="D1040" s="6">
        <v>0.1</v>
      </c>
      <c r="E1040" s="6">
        <v>0.1</v>
      </c>
      <c r="F1040" s="6">
        <v>0.1</v>
      </c>
      <c r="G1040" s="6">
        <v>0.1</v>
      </c>
      <c r="H1040" s="6">
        <v>0.1</v>
      </c>
      <c r="I1040" s="6">
        <v>0.1</v>
      </c>
      <c r="J1040" s="6">
        <v>0.1</v>
      </c>
      <c r="K1040" s="6">
        <v>0.1</v>
      </c>
      <c r="L1040" s="6">
        <v>0.1</v>
      </c>
      <c r="M1040" s="6">
        <v>0.1</v>
      </c>
      <c r="N1040" s="6">
        <v>0.1</v>
      </c>
      <c r="O1040" s="6">
        <v>0.1</v>
      </c>
      <c r="P1040" s="6">
        <v>0.1</v>
      </c>
      <c r="Q1040" s="6">
        <v>0.1</v>
      </c>
    </row>
    <row r="1041" spans="1:17">
      <c r="A1041" s="2">
        <v>2989</v>
      </c>
      <c r="B1041" s="6">
        <v>0.1</v>
      </c>
      <c r="C1041" s="6">
        <v>0.1</v>
      </c>
      <c r="D1041" s="6">
        <v>0.1</v>
      </c>
      <c r="E1041" s="6">
        <v>0.1</v>
      </c>
      <c r="F1041" s="6">
        <v>0.1</v>
      </c>
      <c r="G1041" s="6">
        <v>0.1</v>
      </c>
      <c r="H1041" s="6">
        <v>0.1</v>
      </c>
      <c r="I1041" s="6">
        <v>0.1</v>
      </c>
      <c r="J1041" s="6">
        <v>0.1</v>
      </c>
      <c r="K1041" s="6">
        <v>0.1</v>
      </c>
      <c r="L1041" s="6">
        <v>0.1</v>
      </c>
      <c r="M1041" s="6">
        <v>0.1</v>
      </c>
      <c r="N1041" s="6">
        <v>0.1</v>
      </c>
      <c r="O1041" s="6">
        <v>0.1</v>
      </c>
      <c r="P1041" s="6">
        <v>0.1</v>
      </c>
      <c r="Q1041" s="6">
        <v>0.1</v>
      </c>
    </row>
    <row r="1042" spans="1:17">
      <c r="A1042" s="2">
        <v>2990</v>
      </c>
      <c r="B1042" s="6">
        <v>0.1</v>
      </c>
      <c r="C1042" s="6">
        <v>0.1</v>
      </c>
      <c r="D1042" s="6">
        <v>0.1</v>
      </c>
      <c r="E1042" s="6">
        <v>0.1</v>
      </c>
      <c r="F1042" s="6">
        <v>0.1</v>
      </c>
      <c r="G1042" s="6">
        <v>0.1</v>
      </c>
      <c r="H1042" s="6">
        <v>0.1</v>
      </c>
      <c r="I1042" s="6">
        <v>0.1</v>
      </c>
      <c r="J1042" s="6">
        <v>0.1</v>
      </c>
      <c r="K1042" s="6">
        <v>0.1</v>
      </c>
      <c r="L1042" s="6">
        <v>0.1</v>
      </c>
      <c r="M1042" s="6">
        <v>0.1</v>
      </c>
      <c r="N1042" s="6">
        <v>0.1</v>
      </c>
      <c r="O1042" s="6">
        <v>0.1</v>
      </c>
      <c r="P1042" s="6">
        <v>0.1</v>
      </c>
      <c r="Q1042" s="6">
        <v>0.1</v>
      </c>
    </row>
    <row r="1043" spans="1:17">
      <c r="A1043" s="2">
        <v>2991</v>
      </c>
      <c r="B1043" s="6">
        <v>0.1</v>
      </c>
      <c r="C1043" s="6">
        <v>0.1</v>
      </c>
      <c r="D1043" s="6">
        <v>0.1</v>
      </c>
      <c r="E1043" s="6">
        <v>0.1</v>
      </c>
      <c r="F1043" s="6">
        <v>0.1</v>
      </c>
      <c r="G1043" s="6">
        <v>0.1</v>
      </c>
      <c r="H1043" s="6">
        <v>0.1</v>
      </c>
      <c r="I1043" s="6">
        <v>0.1</v>
      </c>
      <c r="J1043" s="6">
        <v>0.1</v>
      </c>
      <c r="K1043" s="6">
        <v>0.1</v>
      </c>
      <c r="L1043" s="6">
        <v>0.1</v>
      </c>
      <c r="M1043" s="6">
        <v>0.1</v>
      </c>
      <c r="N1043" s="6">
        <v>0.1</v>
      </c>
      <c r="O1043" s="6">
        <v>0.1</v>
      </c>
      <c r="P1043" s="6">
        <v>0.1</v>
      </c>
      <c r="Q1043" s="6">
        <v>0.1</v>
      </c>
    </row>
    <row r="1044" spans="1:17">
      <c r="A1044" s="2">
        <v>2992</v>
      </c>
      <c r="B1044" s="6">
        <v>0.1</v>
      </c>
      <c r="C1044" s="6">
        <v>0.1</v>
      </c>
      <c r="D1044" s="6">
        <v>0.1</v>
      </c>
      <c r="E1044" s="6">
        <v>0.1</v>
      </c>
      <c r="F1044" s="6">
        <v>0.1</v>
      </c>
      <c r="G1044" s="6">
        <v>0.1</v>
      </c>
      <c r="H1044" s="6">
        <v>0.1</v>
      </c>
      <c r="I1044" s="6">
        <v>0.1</v>
      </c>
      <c r="J1044" s="6">
        <v>0.1</v>
      </c>
      <c r="K1044" s="6">
        <v>0.1</v>
      </c>
      <c r="L1044" s="6">
        <v>0.1</v>
      </c>
      <c r="M1044" s="6">
        <v>0.1</v>
      </c>
      <c r="N1044" s="6">
        <v>0.1</v>
      </c>
      <c r="O1044" s="6">
        <v>0.1</v>
      </c>
      <c r="P1044" s="6">
        <v>0.1</v>
      </c>
      <c r="Q1044" s="6">
        <v>0.1</v>
      </c>
    </row>
    <row r="1045" spans="1:17">
      <c r="A1045" s="2">
        <v>2993</v>
      </c>
      <c r="B1045" s="6">
        <v>0.1</v>
      </c>
      <c r="C1045" s="6">
        <v>0.1</v>
      </c>
      <c r="D1045" s="6">
        <v>0.1</v>
      </c>
      <c r="E1045" s="6">
        <v>0.1</v>
      </c>
      <c r="F1045" s="6">
        <v>0.1</v>
      </c>
      <c r="G1045" s="6">
        <v>0.1</v>
      </c>
      <c r="H1045" s="6">
        <v>0.1</v>
      </c>
      <c r="I1045" s="6">
        <v>0.1</v>
      </c>
      <c r="J1045" s="6">
        <v>0.1</v>
      </c>
      <c r="K1045" s="6">
        <v>0.1</v>
      </c>
      <c r="L1045" s="6">
        <v>0.1</v>
      </c>
      <c r="M1045" s="6">
        <v>0.1</v>
      </c>
      <c r="N1045" s="6">
        <v>0.1</v>
      </c>
      <c r="O1045" s="6">
        <v>0.1</v>
      </c>
      <c r="P1045" s="6">
        <v>0.1</v>
      </c>
      <c r="Q1045" s="6">
        <v>0.1</v>
      </c>
    </row>
    <row r="1046" spans="1:17">
      <c r="A1046" s="2">
        <v>2994</v>
      </c>
      <c r="B1046" s="6">
        <v>0.1</v>
      </c>
      <c r="C1046" s="6">
        <v>0.1</v>
      </c>
      <c r="D1046" s="6">
        <v>0.1</v>
      </c>
      <c r="E1046" s="6">
        <v>0.1</v>
      </c>
      <c r="F1046" s="6">
        <v>0.1</v>
      </c>
      <c r="G1046" s="6">
        <v>0.1</v>
      </c>
      <c r="H1046" s="6">
        <v>0.1</v>
      </c>
      <c r="I1046" s="6">
        <v>0.1</v>
      </c>
      <c r="J1046" s="6">
        <v>0.1</v>
      </c>
      <c r="K1046" s="6">
        <v>0.1</v>
      </c>
      <c r="L1046" s="6">
        <v>0.1</v>
      </c>
      <c r="M1046" s="6">
        <v>0.1</v>
      </c>
      <c r="N1046" s="6">
        <v>0.1</v>
      </c>
      <c r="O1046" s="6">
        <v>0.1</v>
      </c>
      <c r="P1046" s="6">
        <v>0.1</v>
      </c>
      <c r="Q1046" s="6">
        <v>0.1</v>
      </c>
    </row>
    <row r="1047" spans="1:17">
      <c r="A1047" s="2">
        <v>2995</v>
      </c>
      <c r="B1047" s="6">
        <v>0.1</v>
      </c>
      <c r="C1047" s="6">
        <v>0.1</v>
      </c>
      <c r="D1047" s="6">
        <v>0.1</v>
      </c>
      <c r="E1047" s="6">
        <v>0.1</v>
      </c>
      <c r="F1047" s="6">
        <v>0.1</v>
      </c>
      <c r="G1047" s="6">
        <v>0.1</v>
      </c>
      <c r="H1047" s="6">
        <v>0.1</v>
      </c>
      <c r="I1047" s="6">
        <v>0.1</v>
      </c>
      <c r="J1047" s="6">
        <v>0.1</v>
      </c>
      <c r="K1047" s="6">
        <v>0.1</v>
      </c>
      <c r="L1047" s="6">
        <v>0.1</v>
      </c>
      <c r="M1047" s="6">
        <v>0.1</v>
      </c>
      <c r="N1047" s="6">
        <v>0.1</v>
      </c>
      <c r="O1047" s="6">
        <v>0.1</v>
      </c>
      <c r="P1047" s="6">
        <v>0.1</v>
      </c>
      <c r="Q1047" s="6">
        <v>0.1</v>
      </c>
    </row>
    <row r="1048" spans="1:17">
      <c r="A1048" s="2">
        <v>2996</v>
      </c>
      <c r="B1048" s="6">
        <v>0.1</v>
      </c>
      <c r="C1048" s="6">
        <v>0.1</v>
      </c>
      <c r="D1048" s="6">
        <v>0.1</v>
      </c>
      <c r="E1048" s="6">
        <v>0.1</v>
      </c>
      <c r="F1048" s="6">
        <v>0.1</v>
      </c>
      <c r="G1048" s="6">
        <v>0.1</v>
      </c>
      <c r="H1048" s="6">
        <v>0.1</v>
      </c>
      <c r="I1048" s="6">
        <v>0.1</v>
      </c>
      <c r="J1048" s="6">
        <v>0.1</v>
      </c>
      <c r="K1048" s="6">
        <v>0.1</v>
      </c>
      <c r="L1048" s="6">
        <v>0.1</v>
      </c>
      <c r="M1048" s="6">
        <v>0.1</v>
      </c>
      <c r="N1048" s="6">
        <v>0.1</v>
      </c>
      <c r="O1048" s="6">
        <v>0.1</v>
      </c>
      <c r="P1048" s="6">
        <v>0.1</v>
      </c>
      <c r="Q1048" s="6">
        <v>0.1</v>
      </c>
    </row>
    <row r="1049" spans="1:17">
      <c r="A1049" s="2">
        <v>2997</v>
      </c>
      <c r="B1049" s="6">
        <v>0.1</v>
      </c>
      <c r="C1049" s="6">
        <v>0.1</v>
      </c>
      <c r="D1049" s="6">
        <v>0.1</v>
      </c>
      <c r="E1049" s="6">
        <v>0.1</v>
      </c>
      <c r="F1049" s="6">
        <v>0.1</v>
      </c>
      <c r="G1049" s="6">
        <v>0.1</v>
      </c>
      <c r="H1049" s="6">
        <v>0.1</v>
      </c>
      <c r="I1049" s="6">
        <v>0.1</v>
      </c>
      <c r="J1049" s="6">
        <v>0.1</v>
      </c>
      <c r="K1049" s="6">
        <v>0.1</v>
      </c>
      <c r="L1049" s="6">
        <v>0.1</v>
      </c>
      <c r="M1049" s="6">
        <v>0.1</v>
      </c>
      <c r="N1049" s="6">
        <v>0.1</v>
      </c>
      <c r="O1049" s="6">
        <v>0.1</v>
      </c>
      <c r="P1049" s="6">
        <v>0.1</v>
      </c>
      <c r="Q1049" s="6">
        <v>0.1</v>
      </c>
    </row>
    <row r="1050" spans="1:17">
      <c r="A1050" s="2">
        <v>2998</v>
      </c>
      <c r="B1050" s="6">
        <v>0.1</v>
      </c>
      <c r="C1050" s="6">
        <v>0.1</v>
      </c>
      <c r="D1050" s="6">
        <v>0.1</v>
      </c>
      <c r="E1050" s="6">
        <v>0.1</v>
      </c>
      <c r="F1050" s="6">
        <v>0.1</v>
      </c>
      <c r="G1050" s="6">
        <v>0.1</v>
      </c>
      <c r="H1050" s="6">
        <v>0.1</v>
      </c>
      <c r="I1050" s="6">
        <v>0.1</v>
      </c>
      <c r="J1050" s="6">
        <v>0.1</v>
      </c>
      <c r="K1050" s="6">
        <v>0.1</v>
      </c>
      <c r="L1050" s="6">
        <v>0.1</v>
      </c>
      <c r="M1050" s="6">
        <v>0.1</v>
      </c>
      <c r="N1050" s="6">
        <v>0.1</v>
      </c>
      <c r="O1050" s="6">
        <v>0.1</v>
      </c>
      <c r="P1050" s="6">
        <v>0.1</v>
      </c>
      <c r="Q1050" s="6">
        <v>0.1</v>
      </c>
    </row>
    <row r="1051" spans="1:17">
      <c r="A1051" s="2">
        <v>2999</v>
      </c>
      <c r="B1051" s="6">
        <v>0.1</v>
      </c>
      <c r="C1051" s="6">
        <v>0.1</v>
      </c>
      <c r="D1051" s="6">
        <v>0.1</v>
      </c>
      <c r="E1051" s="6">
        <v>0.1</v>
      </c>
      <c r="F1051" s="6">
        <v>0.1</v>
      </c>
      <c r="G1051" s="6">
        <v>0.1</v>
      </c>
      <c r="H1051" s="6">
        <v>0.1</v>
      </c>
      <c r="I1051" s="6">
        <v>0.1</v>
      </c>
      <c r="J1051" s="6">
        <v>0.1</v>
      </c>
      <c r="K1051" s="6">
        <v>0.1</v>
      </c>
      <c r="L1051" s="6">
        <v>0.1</v>
      </c>
      <c r="M1051" s="6">
        <v>0.1</v>
      </c>
      <c r="N1051" s="6">
        <v>0.1</v>
      </c>
      <c r="O1051" s="6">
        <v>0.1</v>
      </c>
      <c r="P1051" s="6">
        <v>0.1</v>
      </c>
      <c r="Q1051" s="6">
        <v>0.1</v>
      </c>
    </row>
    <row r="1052" spans="1:17">
      <c r="A1052" s="2">
        <v>3000</v>
      </c>
      <c r="B1052" s="6">
        <v>0.1</v>
      </c>
      <c r="C1052" s="6">
        <v>0.1</v>
      </c>
      <c r="D1052" s="6">
        <v>0.1</v>
      </c>
      <c r="E1052" s="6">
        <v>0.1</v>
      </c>
      <c r="F1052" s="6">
        <v>0.1</v>
      </c>
      <c r="G1052" s="6">
        <v>0.1</v>
      </c>
      <c r="H1052" s="6">
        <v>0.1</v>
      </c>
      <c r="I1052" s="6">
        <v>0.1</v>
      </c>
      <c r="J1052" s="6">
        <v>0.1</v>
      </c>
      <c r="K1052" s="6">
        <v>0.1</v>
      </c>
      <c r="L1052" s="6">
        <v>0.1</v>
      </c>
      <c r="M1052" s="6">
        <v>0.1</v>
      </c>
      <c r="N1052" s="6">
        <v>0.1</v>
      </c>
      <c r="O1052" s="6">
        <v>0.1</v>
      </c>
      <c r="P1052" s="6">
        <v>0.1</v>
      </c>
      <c r="Q1052" s="6">
        <v>0.1</v>
      </c>
    </row>
  </sheetData>
  <phoneticPr fontId="2" type="noConversion"/>
  <pageMargins left="0.78740157499999996" right="0.78740157499999996" top="0.984251969" bottom="0.984251969" header="0.4921259845" footer="0.492125984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>
  <sheetPr codeName="Tabelle12"/>
  <dimension ref="A1:Q1052"/>
  <sheetViews>
    <sheetView workbookViewId="0">
      <pane xSplit="1" ySplit="1" topLeftCell="H1027" activePane="bottomRight" state="frozen"/>
      <selection pane="topRight" activeCell="B1" sqref="B1"/>
      <selection pane="bottomLeft" activeCell="A2" sqref="A2"/>
      <selection pane="bottomRight" activeCell="J1041" sqref="J1041"/>
    </sheetView>
  </sheetViews>
  <sheetFormatPr defaultColWidth="11.42578125" defaultRowHeight="12.75"/>
  <cols>
    <col min="1" max="1" width="5.140625" style="2" customWidth="1"/>
    <col min="2" max="17" width="11.5703125" style="2" bestFit="1" customWidth="1"/>
    <col min="18" max="16384" width="11.42578125" style="2"/>
  </cols>
  <sheetData>
    <row r="1" spans="1:17" s="1" customFormat="1">
      <c r="A1" s="1" t="s">
        <v>4</v>
      </c>
      <c r="B1" s="1" t="s">
        <v>2</v>
      </c>
      <c r="C1" s="1" t="s">
        <v>3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</row>
    <row r="2" spans="1:17">
      <c r="A2" s="3">
        <v>1950</v>
      </c>
      <c r="B2" s="7">
        <v>0</v>
      </c>
      <c r="C2" s="7">
        <v>0</v>
      </c>
      <c r="D2" s="7">
        <v>0</v>
      </c>
      <c r="E2" s="7">
        <v>0</v>
      </c>
      <c r="F2" s="7">
        <v>0</v>
      </c>
      <c r="G2" s="7">
        <v>0</v>
      </c>
      <c r="H2" s="7">
        <v>0</v>
      </c>
      <c r="I2" s="7">
        <v>0</v>
      </c>
      <c r="J2" s="7">
        <v>0</v>
      </c>
      <c r="K2" s="7">
        <v>0</v>
      </c>
      <c r="L2" s="7">
        <v>0</v>
      </c>
      <c r="M2" s="7">
        <v>0</v>
      </c>
      <c r="N2" s="7">
        <v>0</v>
      </c>
      <c r="O2" s="7">
        <v>0</v>
      </c>
      <c r="P2" s="7">
        <v>0</v>
      </c>
      <c r="Q2" s="7">
        <v>0</v>
      </c>
    </row>
    <row r="3" spans="1:17">
      <c r="A3" s="2">
        <v>1951</v>
      </c>
      <c r="B3" s="7">
        <v>0</v>
      </c>
      <c r="C3" s="7">
        <v>0</v>
      </c>
      <c r="D3" s="7">
        <v>0</v>
      </c>
      <c r="E3" s="7">
        <v>0</v>
      </c>
      <c r="F3" s="7">
        <v>0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</row>
    <row r="4" spans="1:17">
      <c r="A4" s="2">
        <v>1952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</row>
    <row r="5" spans="1:17">
      <c r="A5" s="2">
        <v>1953</v>
      </c>
      <c r="B5" s="7">
        <v>0</v>
      </c>
      <c r="C5" s="7">
        <v>0</v>
      </c>
      <c r="D5" s="7">
        <v>0</v>
      </c>
      <c r="E5" s="7">
        <v>0</v>
      </c>
      <c r="F5" s="7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  <c r="Q5" s="7">
        <v>0</v>
      </c>
    </row>
    <row r="6" spans="1:17">
      <c r="A6" s="2">
        <v>1954</v>
      </c>
      <c r="B6" s="7">
        <v>0</v>
      </c>
      <c r="C6" s="7">
        <v>0</v>
      </c>
      <c r="D6" s="7">
        <v>0</v>
      </c>
      <c r="E6" s="7">
        <v>0</v>
      </c>
      <c r="F6" s="7">
        <v>0</v>
      </c>
      <c r="G6" s="7">
        <v>0</v>
      </c>
      <c r="H6" s="7">
        <v>0</v>
      </c>
      <c r="I6" s="7">
        <v>0</v>
      </c>
      <c r="J6" s="7">
        <v>0</v>
      </c>
      <c r="K6" s="7">
        <v>0</v>
      </c>
      <c r="L6" s="7">
        <v>0</v>
      </c>
      <c r="M6" s="7">
        <v>0</v>
      </c>
      <c r="N6" s="7">
        <v>0</v>
      </c>
      <c r="O6" s="7">
        <v>0</v>
      </c>
      <c r="P6" s="7">
        <v>0</v>
      </c>
      <c r="Q6" s="7">
        <v>0</v>
      </c>
    </row>
    <row r="7" spans="1:17">
      <c r="A7" s="2">
        <v>1955</v>
      </c>
      <c r="B7" s="7">
        <v>0</v>
      </c>
      <c r="C7" s="7">
        <v>0</v>
      </c>
      <c r="D7" s="7">
        <v>0</v>
      </c>
      <c r="E7" s="7">
        <v>0</v>
      </c>
      <c r="F7" s="7">
        <v>0</v>
      </c>
      <c r="G7" s="7">
        <v>0</v>
      </c>
      <c r="H7" s="7">
        <v>0</v>
      </c>
      <c r="I7" s="7">
        <v>0</v>
      </c>
      <c r="J7" s="7">
        <v>0</v>
      </c>
      <c r="K7" s="7">
        <v>0</v>
      </c>
      <c r="L7" s="7">
        <v>0</v>
      </c>
      <c r="M7" s="7">
        <v>0</v>
      </c>
      <c r="N7" s="7">
        <v>0</v>
      </c>
      <c r="O7" s="7">
        <v>0</v>
      </c>
      <c r="P7" s="7">
        <v>0</v>
      </c>
      <c r="Q7" s="7">
        <v>0</v>
      </c>
    </row>
    <row r="8" spans="1:17">
      <c r="A8" s="2">
        <v>1956</v>
      </c>
      <c r="B8" s="7">
        <v>0</v>
      </c>
      <c r="C8" s="7">
        <v>0</v>
      </c>
      <c r="D8" s="7">
        <v>0</v>
      </c>
      <c r="E8" s="7">
        <v>0</v>
      </c>
      <c r="F8" s="7">
        <v>0</v>
      </c>
      <c r="G8" s="7">
        <v>0</v>
      </c>
      <c r="H8" s="7">
        <v>0</v>
      </c>
      <c r="I8" s="7">
        <v>0</v>
      </c>
      <c r="J8" s="7">
        <v>0</v>
      </c>
      <c r="K8" s="7">
        <v>0</v>
      </c>
      <c r="L8" s="7">
        <v>0</v>
      </c>
      <c r="M8" s="7">
        <v>0</v>
      </c>
      <c r="N8" s="7">
        <v>0</v>
      </c>
      <c r="O8" s="7">
        <v>0</v>
      </c>
      <c r="P8" s="7">
        <v>0</v>
      </c>
      <c r="Q8" s="7">
        <v>0</v>
      </c>
    </row>
    <row r="9" spans="1:17">
      <c r="A9" s="2">
        <v>1957</v>
      </c>
      <c r="B9" s="7">
        <v>0</v>
      </c>
      <c r="C9" s="7">
        <v>0</v>
      </c>
      <c r="D9" s="7">
        <v>0</v>
      </c>
      <c r="E9" s="7">
        <v>0</v>
      </c>
      <c r="F9" s="7">
        <v>0</v>
      </c>
      <c r="G9" s="7">
        <v>0</v>
      </c>
      <c r="H9" s="7">
        <v>0</v>
      </c>
      <c r="I9" s="7">
        <v>0</v>
      </c>
      <c r="J9" s="7">
        <v>0</v>
      </c>
      <c r="K9" s="7">
        <v>0</v>
      </c>
      <c r="L9" s="7">
        <v>0</v>
      </c>
      <c r="M9" s="7">
        <v>0</v>
      </c>
      <c r="N9" s="7">
        <v>0</v>
      </c>
      <c r="O9" s="7">
        <v>0</v>
      </c>
      <c r="P9" s="7">
        <v>0</v>
      </c>
      <c r="Q9" s="7">
        <v>0</v>
      </c>
    </row>
    <row r="10" spans="1:17">
      <c r="A10" s="2">
        <v>1958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</row>
    <row r="11" spans="1:17">
      <c r="A11" s="2">
        <v>1959</v>
      </c>
      <c r="B11" s="7">
        <v>0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</row>
    <row r="12" spans="1:17">
      <c r="A12" s="2">
        <v>1960</v>
      </c>
      <c r="B12" s="7">
        <v>0</v>
      </c>
      <c r="C12" s="7">
        <v>0</v>
      </c>
      <c r="D12" s="7">
        <v>0</v>
      </c>
      <c r="E12" s="7">
        <v>0</v>
      </c>
      <c r="F12" s="7">
        <v>0</v>
      </c>
      <c r="G12" s="7">
        <v>0</v>
      </c>
      <c r="H12" s="7">
        <v>0</v>
      </c>
      <c r="I12" s="7">
        <v>0</v>
      </c>
      <c r="J12" s="7">
        <v>0</v>
      </c>
      <c r="K12" s="7">
        <v>0</v>
      </c>
      <c r="L12" s="7">
        <v>0</v>
      </c>
      <c r="M12" s="7">
        <v>0</v>
      </c>
      <c r="N12" s="7">
        <v>0</v>
      </c>
      <c r="O12" s="7">
        <v>0</v>
      </c>
      <c r="P12" s="7">
        <v>0</v>
      </c>
      <c r="Q12" s="7">
        <v>0</v>
      </c>
    </row>
    <row r="13" spans="1:17">
      <c r="A13" s="2">
        <v>1961</v>
      </c>
      <c r="B13" s="7">
        <v>0</v>
      </c>
      <c r="C13" s="7">
        <v>0</v>
      </c>
      <c r="D13" s="7">
        <v>0</v>
      </c>
      <c r="E13" s="7">
        <v>0</v>
      </c>
      <c r="F13" s="7">
        <v>0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  <c r="N13" s="7">
        <v>0</v>
      </c>
      <c r="O13" s="7">
        <v>0</v>
      </c>
      <c r="P13" s="7">
        <v>0</v>
      </c>
      <c r="Q13" s="7">
        <v>0</v>
      </c>
    </row>
    <row r="14" spans="1:17">
      <c r="A14" s="2">
        <v>1962</v>
      </c>
      <c r="B14" s="7">
        <v>0</v>
      </c>
      <c r="C14" s="7">
        <v>0</v>
      </c>
      <c r="D14" s="7">
        <v>0</v>
      </c>
      <c r="E14" s="7">
        <v>0</v>
      </c>
      <c r="F14" s="7">
        <v>0</v>
      </c>
      <c r="G14" s="7">
        <v>0</v>
      </c>
      <c r="H14" s="7">
        <v>0</v>
      </c>
      <c r="I14" s="7">
        <v>0</v>
      </c>
      <c r="J14" s="7">
        <v>0</v>
      </c>
      <c r="K14" s="7">
        <v>0</v>
      </c>
      <c r="L14" s="7">
        <v>0</v>
      </c>
      <c r="M14" s="7">
        <v>0</v>
      </c>
      <c r="N14" s="7">
        <v>0</v>
      </c>
      <c r="O14" s="7">
        <v>0</v>
      </c>
      <c r="P14" s="7">
        <v>0</v>
      </c>
      <c r="Q14" s="7">
        <v>0</v>
      </c>
    </row>
    <row r="15" spans="1:17">
      <c r="A15" s="2">
        <v>1963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</row>
    <row r="16" spans="1:17">
      <c r="A16" s="2">
        <v>1964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</row>
    <row r="17" spans="1:17">
      <c r="A17" s="2">
        <v>1965</v>
      </c>
      <c r="B17" s="7">
        <v>0</v>
      </c>
      <c r="C17" s="7">
        <v>0</v>
      </c>
      <c r="D17" s="7">
        <v>0</v>
      </c>
      <c r="E17" s="7">
        <v>0</v>
      </c>
      <c r="F17" s="7">
        <v>0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</row>
    <row r="18" spans="1:17">
      <c r="A18" s="2">
        <v>1966</v>
      </c>
      <c r="B18" s="7">
        <v>0</v>
      </c>
      <c r="C18" s="7">
        <v>0</v>
      </c>
      <c r="D18" s="7">
        <v>0</v>
      </c>
      <c r="E18" s="7">
        <v>0</v>
      </c>
      <c r="F18" s="7">
        <v>0</v>
      </c>
      <c r="G18" s="7">
        <v>0</v>
      </c>
      <c r="H18" s="7">
        <v>0</v>
      </c>
      <c r="I18" s="7">
        <v>0</v>
      </c>
      <c r="J18" s="7">
        <v>0</v>
      </c>
      <c r="K18" s="7">
        <v>0</v>
      </c>
      <c r="L18" s="7">
        <v>0</v>
      </c>
      <c r="M18" s="7">
        <v>0</v>
      </c>
      <c r="N18" s="7">
        <v>0</v>
      </c>
      <c r="O18" s="7">
        <v>0</v>
      </c>
      <c r="P18" s="7">
        <v>0</v>
      </c>
      <c r="Q18" s="7">
        <v>0</v>
      </c>
    </row>
    <row r="19" spans="1:17">
      <c r="A19" s="2">
        <v>1967</v>
      </c>
      <c r="B19" s="7">
        <v>0</v>
      </c>
      <c r="C19" s="7">
        <v>0</v>
      </c>
      <c r="D19" s="7">
        <v>0</v>
      </c>
      <c r="E19" s="7">
        <v>0</v>
      </c>
      <c r="F19" s="7">
        <v>0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  <c r="O19" s="7">
        <v>0</v>
      </c>
      <c r="P19" s="7">
        <v>0</v>
      </c>
      <c r="Q19" s="7">
        <v>0</v>
      </c>
    </row>
    <row r="20" spans="1:17">
      <c r="A20" s="2">
        <v>1968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 s="7">
        <v>0</v>
      </c>
      <c r="M20" s="7">
        <v>0</v>
      </c>
      <c r="N20" s="7">
        <v>0</v>
      </c>
      <c r="O20" s="7">
        <v>0</v>
      </c>
      <c r="P20" s="7">
        <v>0</v>
      </c>
      <c r="Q20" s="7">
        <v>0</v>
      </c>
    </row>
    <row r="21" spans="1:17">
      <c r="A21" s="2">
        <v>1969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</row>
    <row r="22" spans="1:17">
      <c r="A22" s="2">
        <v>1970</v>
      </c>
      <c r="B22" s="7">
        <v>0</v>
      </c>
      <c r="C22" s="7">
        <v>0</v>
      </c>
      <c r="D22" s="7">
        <v>0</v>
      </c>
      <c r="E22" s="7">
        <v>0</v>
      </c>
      <c r="F22" s="7">
        <v>0</v>
      </c>
      <c r="G22" s="7">
        <v>0</v>
      </c>
      <c r="H22" s="7">
        <v>0</v>
      </c>
      <c r="I22" s="7">
        <v>0</v>
      </c>
      <c r="J22" s="7">
        <v>0</v>
      </c>
      <c r="K22" s="7">
        <v>0</v>
      </c>
      <c r="L22" s="7">
        <v>0</v>
      </c>
      <c r="M22" s="7">
        <v>0</v>
      </c>
      <c r="N22" s="7">
        <v>0</v>
      </c>
      <c r="O22" s="7">
        <v>0</v>
      </c>
      <c r="P22" s="7">
        <v>0</v>
      </c>
      <c r="Q22" s="7">
        <v>0</v>
      </c>
    </row>
    <row r="23" spans="1:17">
      <c r="A23" s="2">
        <v>1971</v>
      </c>
      <c r="B23" s="7">
        <v>0</v>
      </c>
      <c r="C23" s="7">
        <v>0</v>
      </c>
      <c r="D23" s="7">
        <v>0</v>
      </c>
      <c r="E23" s="7">
        <v>0</v>
      </c>
      <c r="F23" s="7">
        <v>0</v>
      </c>
      <c r="G23" s="7">
        <v>0</v>
      </c>
      <c r="H23" s="7">
        <v>0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</row>
    <row r="24" spans="1:17">
      <c r="A24" s="2">
        <v>1972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</row>
    <row r="25" spans="1:17">
      <c r="A25" s="2">
        <v>1973</v>
      </c>
      <c r="B25" s="7">
        <v>0</v>
      </c>
      <c r="C25" s="7">
        <v>0</v>
      </c>
      <c r="D25" s="7">
        <v>0</v>
      </c>
      <c r="E25" s="7">
        <v>0</v>
      </c>
      <c r="F25" s="7">
        <v>0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 s="7">
        <v>0</v>
      </c>
      <c r="M25" s="7">
        <v>0</v>
      </c>
      <c r="N25" s="7">
        <v>0</v>
      </c>
      <c r="O25" s="7">
        <v>0</v>
      </c>
      <c r="P25" s="7">
        <v>0</v>
      </c>
      <c r="Q25" s="7">
        <v>0</v>
      </c>
    </row>
    <row r="26" spans="1:17">
      <c r="A26" s="2">
        <v>1974</v>
      </c>
      <c r="B26" s="7">
        <v>0</v>
      </c>
      <c r="C26" s="7">
        <v>0</v>
      </c>
      <c r="D26" s="7">
        <v>0</v>
      </c>
      <c r="E26" s="7">
        <v>0</v>
      </c>
      <c r="F26" s="7">
        <v>0</v>
      </c>
      <c r="G26" s="7">
        <v>0</v>
      </c>
      <c r="H26" s="7">
        <v>0</v>
      </c>
      <c r="I26" s="7">
        <v>0</v>
      </c>
      <c r="J26" s="7">
        <v>0</v>
      </c>
      <c r="K26" s="7">
        <v>0</v>
      </c>
      <c r="L26" s="7">
        <v>0</v>
      </c>
      <c r="M26" s="7">
        <v>0</v>
      </c>
      <c r="N26" s="7">
        <v>0</v>
      </c>
      <c r="O26" s="7">
        <v>0</v>
      </c>
      <c r="P26" s="7">
        <v>0</v>
      </c>
      <c r="Q26" s="7">
        <v>0</v>
      </c>
    </row>
    <row r="27" spans="1:17">
      <c r="A27" s="2">
        <v>1975</v>
      </c>
      <c r="B27" s="7">
        <v>0</v>
      </c>
      <c r="C27" s="7">
        <v>0</v>
      </c>
      <c r="D27" s="7">
        <v>0</v>
      </c>
      <c r="E27" s="7">
        <v>0</v>
      </c>
      <c r="F27" s="7">
        <v>0</v>
      </c>
      <c r="G27" s="7">
        <v>0</v>
      </c>
      <c r="H27" s="7">
        <v>0</v>
      </c>
      <c r="I27" s="7">
        <v>0</v>
      </c>
      <c r="J27" s="7">
        <v>0</v>
      </c>
      <c r="K27" s="7">
        <v>0</v>
      </c>
      <c r="L27" s="7">
        <v>0</v>
      </c>
      <c r="M27" s="7">
        <v>0</v>
      </c>
      <c r="N27" s="7">
        <v>0</v>
      </c>
      <c r="O27" s="7">
        <v>0</v>
      </c>
      <c r="P27" s="7">
        <v>0</v>
      </c>
      <c r="Q27" s="7">
        <v>0</v>
      </c>
    </row>
    <row r="28" spans="1:17">
      <c r="A28" s="2">
        <v>1976</v>
      </c>
      <c r="B28" s="7">
        <v>0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</row>
    <row r="29" spans="1:17">
      <c r="A29" s="2">
        <v>1977</v>
      </c>
      <c r="B29" s="7">
        <v>0</v>
      </c>
      <c r="C29" s="7">
        <v>0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</row>
    <row r="30" spans="1:17">
      <c r="A30" s="2">
        <v>1978</v>
      </c>
      <c r="B30" s="7">
        <v>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</row>
    <row r="31" spans="1:17">
      <c r="A31" s="2">
        <v>1979</v>
      </c>
      <c r="B31" s="7">
        <v>0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</row>
    <row r="32" spans="1:17">
      <c r="A32" s="2">
        <v>1980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</row>
    <row r="33" spans="1:17">
      <c r="A33" s="2">
        <v>1981</v>
      </c>
      <c r="B33" s="7">
        <v>0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</row>
    <row r="34" spans="1:17">
      <c r="A34" s="2">
        <v>1982</v>
      </c>
      <c r="B34" s="7">
        <v>0</v>
      </c>
      <c r="C34" s="7">
        <v>0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</row>
    <row r="35" spans="1:17">
      <c r="A35" s="2">
        <v>1983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</row>
    <row r="36" spans="1:17">
      <c r="A36" s="2">
        <v>1984</v>
      </c>
      <c r="B36" s="7">
        <v>0</v>
      </c>
      <c r="C36" s="7">
        <v>0</v>
      </c>
      <c r="D36" s="7">
        <v>0</v>
      </c>
      <c r="E36" s="7">
        <v>0</v>
      </c>
      <c r="F36" s="7">
        <v>0</v>
      </c>
      <c r="G36" s="7">
        <v>0</v>
      </c>
      <c r="H36" s="7">
        <v>0</v>
      </c>
      <c r="I36" s="7">
        <v>0</v>
      </c>
      <c r="J36" s="7">
        <v>0</v>
      </c>
      <c r="K36" s="7">
        <v>0</v>
      </c>
      <c r="L36" s="7">
        <v>0</v>
      </c>
      <c r="M36" s="7">
        <v>0</v>
      </c>
      <c r="N36" s="7">
        <v>0</v>
      </c>
      <c r="O36" s="7">
        <v>0</v>
      </c>
      <c r="P36" s="7">
        <v>0</v>
      </c>
      <c r="Q36" s="7">
        <v>0</v>
      </c>
    </row>
    <row r="37" spans="1:17">
      <c r="A37" s="2">
        <v>1985</v>
      </c>
      <c r="B37" s="7">
        <v>0</v>
      </c>
      <c r="C37" s="7">
        <v>0</v>
      </c>
      <c r="D37" s="7">
        <v>0</v>
      </c>
      <c r="E37" s="7">
        <v>0</v>
      </c>
      <c r="F37" s="7">
        <v>0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</row>
    <row r="38" spans="1:17">
      <c r="A38" s="2">
        <v>1986</v>
      </c>
      <c r="B38" s="7">
        <v>0</v>
      </c>
      <c r="C38" s="7">
        <v>0</v>
      </c>
      <c r="D38" s="7">
        <v>0</v>
      </c>
      <c r="E38" s="7">
        <v>0</v>
      </c>
      <c r="F38" s="7">
        <v>0</v>
      </c>
      <c r="G38" s="7">
        <v>0</v>
      </c>
      <c r="H38" s="7">
        <v>0</v>
      </c>
      <c r="I38" s="7">
        <v>0</v>
      </c>
      <c r="J38" s="7">
        <v>0</v>
      </c>
      <c r="K38" s="7">
        <v>0</v>
      </c>
      <c r="L38" s="7">
        <v>0</v>
      </c>
      <c r="M38" s="7">
        <v>0</v>
      </c>
      <c r="N38" s="7">
        <v>0</v>
      </c>
      <c r="O38" s="7">
        <v>0</v>
      </c>
      <c r="P38" s="7">
        <v>0</v>
      </c>
      <c r="Q38" s="7">
        <v>0</v>
      </c>
    </row>
    <row r="39" spans="1:17">
      <c r="A39" s="2">
        <v>1987</v>
      </c>
      <c r="B39" s="7">
        <v>0</v>
      </c>
      <c r="C39" s="7">
        <v>0</v>
      </c>
      <c r="D39" s="7">
        <v>0</v>
      </c>
      <c r="E39" s="7">
        <v>0</v>
      </c>
      <c r="F39" s="7">
        <v>0</v>
      </c>
      <c r="G39" s="7">
        <v>0</v>
      </c>
      <c r="H39" s="7">
        <v>0</v>
      </c>
      <c r="I39" s="7">
        <v>0</v>
      </c>
      <c r="J39" s="7">
        <v>0</v>
      </c>
      <c r="K39" s="7">
        <v>0</v>
      </c>
      <c r="L39" s="7">
        <v>0</v>
      </c>
      <c r="M39" s="7">
        <v>0</v>
      </c>
      <c r="N39" s="7">
        <v>0</v>
      </c>
      <c r="O39" s="7">
        <v>0</v>
      </c>
      <c r="P39" s="7">
        <v>0</v>
      </c>
      <c r="Q39" s="7">
        <v>0</v>
      </c>
    </row>
    <row r="40" spans="1:17">
      <c r="A40" s="2">
        <v>1988</v>
      </c>
      <c r="B40" s="7">
        <v>0</v>
      </c>
      <c r="C40" s="7">
        <v>0</v>
      </c>
      <c r="D40" s="7">
        <v>0</v>
      </c>
      <c r="E40" s="7">
        <v>0</v>
      </c>
      <c r="F40" s="7">
        <v>0</v>
      </c>
      <c r="G40" s="7">
        <v>0</v>
      </c>
      <c r="H40" s="7">
        <v>0</v>
      </c>
      <c r="I40" s="7">
        <v>0</v>
      </c>
      <c r="J40" s="7">
        <v>0</v>
      </c>
      <c r="K40" s="7">
        <v>0</v>
      </c>
      <c r="L40" s="7">
        <v>0</v>
      </c>
      <c r="M40" s="7">
        <v>0</v>
      </c>
      <c r="N40" s="7">
        <v>0</v>
      </c>
      <c r="O40" s="7">
        <v>0</v>
      </c>
      <c r="P40" s="7">
        <v>0</v>
      </c>
      <c r="Q40" s="7">
        <v>0</v>
      </c>
    </row>
    <row r="41" spans="1:17">
      <c r="A41" s="2">
        <v>1989</v>
      </c>
      <c r="B41" s="7">
        <v>0</v>
      </c>
      <c r="C41" s="7">
        <v>0</v>
      </c>
      <c r="D41" s="7">
        <v>0</v>
      </c>
      <c r="E41" s="7">
        <v>0</v>
      </c>
      <c r="F41" s="7">
        <v>0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7">
        <v>0</v>
      </c>
      <c r="M41" s="7">
        <v>0</v>
      </c>
      <c r="N41" s="7">
        <v>0</v>
      </c>
      <c r="O41" s="7">
        <v>0</v>
      </c>
      <c r="P41" s="7">
        <v>0</v>
      </c>
      <c r="Q41" s="7">
        <v>0</v>
      </c>
    </row>
    <row r="42" spans="1:17">
      <c r="A42" s="2">
        <v>1990</v>
      </c>
      <c r="B42" s="7">
        <v>0</v>
      </c>
      <c r="C42" s="7">
        <v>0</v>
      </c>
      <c r="D42" s="7">
        <v>0</v>
      </c>
      <c r="E42" s="7">
        <v>0</v>
      </c>
      <c r="F42" s="7">
        <v>0</v>
      </c>
      <c r="G42" s="7">
        <v>0</v>
      </c>
      <c r="H42" s="7">
        <v>0</v>
      </c>
      <c r="I42" s="7">
        <v>0</v>
      </c>
      <c r="J42" s="7">
        <v>0</v>
      </c>
      <c r="K42" s="7">
        <v>0</v>
      </c>
      <c r="L42" s="7">
        <v>0</v>
      </c>
      <c r="M42" s="7">
        <v>0</v>
      </c>
      <c r="N42" s="7">
        <v>0</v>
      </c>
      <c r="O42" s="7">
        <v>0</v>
      </c>
      <c r="P42" s="7">
        <v>0</v>
      </c>
      <c r="Q42" s="7">
        <v>0</v>
      </c>
    </row>
    <row r="43" spans="1:17">
      <c r="A43" s="2">
        <v>1991</v>
      </c>
      <c r="B43" s="7">
        <v>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</row>
    <row r="44" spans="1:17">
      <c r="A44" s="2">
        <v>1992</v>
      </c>
      <c r="B44" s="7">
        <v>0</v>
      </c>
      <c r="C44" s="7">
        <v>0</v>
      </c>
      <c r="D44" s="7">
        <v>0</v>
      </c>
      <c r="E44" s="7">
        <v>0</v>
      </c>
      <c r="F44" s="7">
        <v>0</v>
      </c>
      <c r="G44" s="7">
        <v>0</v>
      </c>
      <c r="H44" s="7">
        <v>0</v>
      </c>
      <c r="I44" s="7">
        <v>0</v>
      </c>
      <c r="J44" s="7">
        <v>0</v>
      </c>
      <c r="K44" s="7">
        <v>0</v>
      </c>
      <c r="L44" s="7">
        <v>0</v>
      </c>
      <c r="M44" s="7">
        <v>0</v>
      </c>
      <c r="N44" s="7">
        <v>0</v>
      </c>
      <c r="O44" s="7">
        <v>0</v>
      </c>
      <c r="P44" s="7">
        <v>0</v>
      </c>
      <c r="Q44" s="7">
        <v>0</v>
      </c>
    </row>
    <row r="45" spans="1:17">
      <c r="A45" s="2">
        <v>1993</v>
      </c>
      <c r="B45" s="7">
        <v>0</v>
      </c>
      <c r="C45" s="7">
        <v>0</v>
      </c>
      <c r="D45" s="7">
        <v>0</v>
      </c>
      <c r="E45" s="7">
        <v>0</v>
      </c>
      <c r="F45" s="7">
        <v>0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 s="7">
        <v>0</v>
      </c>
      <c r="M45" s="7">
        <v>0</v>
      </c>
      <c r="N45" s="7">
        <v>0</v>
      </c>
      <c r="O45" s="7">
        <v>0</v>
      </c>
      <c r="P45" s="7">
        <v>0</v>
      </c>
      <c r="Q45" s="7">
        <v>0</v>
      </c>
    </row>
    <row r="46" spans="1:17">
      <c r="A46" s="2">
        <v>1994</v>
      </c>
      <c r="B46" s="7">
        <v>0</v>
      </c>
      <c r="C46" s="7">
        <v>0</v>
      </c>
      <c r="D46" s="7">
        <v>0</v>
      </c>
      <c r="E46" s="7">
        <v>0</v>
      </c>
      <c r="F46" s="7">
        <v>0</v>
      </c>
      <c r="G46" s="7">
        <v>0</v>
      </c>
      <c r="H46" s="7">
        <v>0</v>
      </c>
      <c r="I46" s="7">
        <v>0</v>
      </c>
      <c r="J46" s="7">
        <v>0</v>
      </c>
      <c r="K46" s="7">
        <v>0</v>
      </c>
      <c r="L46" s="7">
        <v>0</v>
      </c>
      <c r="M46" s="7">
        <v>0</v>
      </c>
      <c r="N46" s="7">
        <v>0</v>
      </c>
      <c r="O46" s="7">
        <v>0</v>
      </c>
      <c r="P46" s="7">
        <v>0</v>
      </c>
      <c r="Q46" s="7">
        <v>0</v>
      </c>
    </row>
    <row r="47" spans="1:17">
      <c r="A47" s="2">
        <v>1995</v>
      </c>
      <c r="B47" s="7">
        <v>0</v>
      </c>
      <c r="C47" s="7">
        <v>0</v>
      </c>
      <c r="D47" s="7">
        <v>0</v>
      </c>
      <c r="E47" s="7">
        <v>0</v>
      </c>
      <c r="F47" s="7">
        <v>0</v>
      </c>
      <c r="G47" s="7">
        <v>0</v>
      </c>
      <c r="H47" s="7">
        <v>0</v>
      </c>
      <c r="I47" s="7">
        <v>0</v>
      </c>
      <c r="J47" s="7">
        <v>0</v>
      </c>
      <c r="K47" s="7">
        <v>0</v>
      </c>
      <c r="L47" s="7">
        <v>0</v>
      </c>
      <c r="M47" s="7">
        <v>0</v>
      </c>
      <c r="N47" s="7">
        <v>0</v>
      </c>
      <c r="O47" s="7">
        <v>0</v>
      </c>
      <c r="P47" s="7">
        <v>0</v>
      </c>
      <c r="Q47" s="7">
        <v>0</v>
      </c>
    </row>
    <row r="48" spans="1:17">
      <c r="A48" s="2">
        <v>1996</v>
      </c>
      <c r="B48" s="7">
        <v>0</v>
      </c>
      <c r="C48" s="7">
        <v>0</v>
      </c>
      <c r="D48" s="7">
        <v>0</v>
      </c>
      <c r="E48" s="7">
        <v>0</v>
      </c>
      <c r="F48" s="7">
        <v>0</v>
      </c>
      <c r="G48" s="7">
        <v>0</v>
      </c>
      <c r="H48" s="7">
        <v>0</v>
      </c>
      <c r="I48" s="7">
        <v>0</v>
      </c>
      <c r="J48" s="7">
        <v>0</v>
      </c>
      <c r="K48" s="7">
        <v>0</v>
      </c>
      <c r="L48" s="7">
        <v>0</v>
      </c>
      <c r="M48" s="7">
        <v>0</v>
      </c>
      <c r="N48" s="7">
        <v>0</v>
      </c>
      <c r="O48" s="7">
        <v>0</v>
      </c>
      <c r="P48" s="7">
        <v>0</v>
      </c>
      <c r="Q48" s="7">
        <v>0</v>
      </c>
    </row>
    <row r="49" spans="1:17">
      <c r="A49" s="2">
        <v>1997</v>
      </c>
      <c r="B49" s="7">
        <v>0</v>
      </c>
      <c r="C49" s="7">
        <v>0</v>
      </c>
      <c r="D49" s="7">
        <v>0</v>
      </c>
      <c r="E49" s="7">
        <v>0</v>
      </c>
      <c r="F49" s="7">
        <v>0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 s="7">
        <v>0</v>
      </c>
      <c r="M49" s="7">
        <v>0</v>
      </c>
      <c r="N49" s="7">
        <v>0</v>
      </c>
      <c r="O49" s="7">
        <v>0</v>
      </c>
      <c r="P49" s="7">
        <v>0</v>
      </c>
      <c r="Q49" s="7">
        <v>0</v>
      </c>
    </row>
    <row r="50" spans="1:17">
      <c r="A50" s="2">
        <v>1998</v>
      </c>
      <c r="B50" s="7">
        <v>0</v>
      </c>
      <c r="C50" s="7">
        <v>0</v>
      </c>
      <c r="D50" s="7">
        <v>0</v>
      </c>
      <c r="E50" s="7">
        <v>0</v>
      </c>
      <c r="F50" s="7">
        <v>0</v>
      </c>
      <c r="G50" s="7">
        <v>0</v>
      </c>
      <c r="H50" s="7">
        <v>0</v>
      </c>
      <c r="I50" s="7">
        <v>0</v>
      </c>
      <c r="J50" s="7">
        <v>0</v>
      </c>
      <c r="K50" s="7">
        <v>0</v>
      </c>
      <c r="L50" s="7">
        <v>0</v>
      </c>
      <c r="M50" s="7">
        <v>0</v>
      </c>
      <c r="N50" s="7">
        <v>0</v>
      </c>
      <c r="O50" s="7">
        <v>0</v>
      </c>
      <c r="P50" s="7">
        <v>0</v>
      </c>
      <c r="Q50" s="7">
        <v>0</v>
      </c>
    </row>
    <row r="51" spans="1:17">
      <c r="A51" s="2">
        <v>1999</v>
      </c>
      <c r="B51" s="7">
        <v>0</v>
      </c>
      <c r="C51" s="7">
        <v>0</v>
      </c>
      <c r="D51" s="7">
        <v>0</v>
      </c>
      <c r="E51" s="7">
        <v>0</v>
      </c>
      <c r="F51" s="7">
        <v>0</v>
      </c>
      <c r="G51" s="7">
        <v>0</v>
      </c>
      <c r="H51" s="7">
        <v>0</v>
      </c>
      <c r="I51" s="7">
        <v>0</v>
      </c>
      <c r="J51" s="7">
        <v>0</v>
      </c>
      <c r="K51" s="7">
        <v>0</v>
      </c>
      <c r="L51" s="7">
        <v>0</v>
      </c>
      <c r="M51" s="7">
        <v>0</v>
      </c>
      <c r="N51" s="7">
        <v>0</v>
      </c>
      <c r="O51" s="7">
        <v>0</v>
      </c>
      <c r="P51" s="7">
        <v>0</v>
      </c>
      <c r="Q51" s="7">
        <v>0</v>
      </c>
    </row>
    <row r="52" spans="1:17">
      <c r="A52" s="2">
        <v>2000</v>
      </c>
      <c r="B52" s="7">
        <v>0</v>
      </c>
      <c r="C52" s="7">
        <v>0</v>
      </c>
      <c r="D52" s="7">
        <v>0</v>
      </c>
      <c r="E52" s="7">
        <v>0</v>
      </c>
      <c r="F52" s="7">
        <v>0</v>
      </c>
      <c r="G52" s="7">
        <v>0</v>
      </c>
      <c r="H52" s="7">
        <v>0</v>
      </c>
      <c r="I52" s="7">
        <v>0</v>
      </c>
      <c r="J52" s="7">
        <v>0</v>
      </c>
      <c r="K52" s="7">
        <v>0</v>
      </c>
      <c r="L52" s="7">
        <v>0</v>
      </c>
      <c r="M52" s="7">
        <v>0</v>
      </c>
      <c r="N52" s="7">
        <v>0</v>
      </c>
      <c r="O52" s="7">
        <v>0</v>
      </c>
      <c r="P52" s="7">
        <v>0</v>
      </c>
      <c r="Q52" s="7">
        <v>0</v>
      </c>
    </row>
    <row r="53" spans="1:17">
      <c r="A53" s="2">
        <v>2001</v>
      </c>
      <c r="B53" s="7">
        <v>0</v>
      </c>
      <c r="C53" s="7">
        <v>0</v>
      </c>
      <c r="D53" s="7">
        <v>0</v>
      </c>
      <c r="E53" s="7">
        <v>0</v>
      </c>
      <c r="F53" s="7">
        <v>0</v>
      </c>
      <c r="G53" s="7">
        <v>0</v>
      </c>
      <c r="H53" s="7">
        <v>0</v>
      </c>
      <c r="I53" s="7">
        <v>0</v>
      </c>
      <c r="J53" s="7">
        <v>0</v>
      </c>
      <c r="K53" s="7">
        <v>0</v>
      </c>
      <c r="L53" s="7">
        <v>0</v>
      </c>
      <c r="M53" s="7">
        <v>0</v>
      </c>
      <c r="N53" s="7">
        <v>0</v>
      </c>
      <c r="O53" s="7">
        <v>0</v>
      </c>
      <c r="P53" s="7">
        <v>0</v>
      </c>
      <c r="Q53" s="7">
        <v>0</v>
      </c>
    </row>
    <row r="54" spans="1:17">
      <c r="A54" s="2">
        <v>2002</v>
      </c>
      <c r="B54" s="7">
        <v>0</v>
      </c>
      <c r="C54" s="7">
        <v>0</v>
      </c>
      <c r="D54" s="7">
        <v>0</v>
      </c>
      <c r="E54" s="7">
        <v>0</v>
      </c>
      <c r="F54" s="7">
        <v>0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L54" s="7">
        <v>0</v>
      </c>
      <c r="M54" s="7">
        <v>0</v>
      </c>
      <c r="N54" s="7">
        <v>0</v>
      </c>
      <c r="O54" s="7">
        <v>0</v>
      </c>
      <c r="P54" s="7">
        <v>0</v>
      </c>
      <c r="Q54" s="7">
        <v>0</v>
      </c>
    </row>
    <row r="55" spans="1:17">
      <c r="A55" s="2">
        <v>2003</v>
      </c>
      <c r="B55" s="7">
        <v>0</v>
      </c>
      <c r="C55" s="7">
        <v>0</v>
      </c>
      <c r="D55" s="7">
        <v>0</v>
      </c>
      <c r="E55" s="7">
        <v>0</v>
      </c>
      <c r="F55" s="7">
        <v>0</v>
      </c>
      <c r="G55" s="7">
        <v>0</v>
      </c>
      <c r="H55" s="7">
        <v>0</v>
      </c>
      <c r="I55" s="7">
        <v>0</v>
      </c>
      <c r="J55" s="7">
        <v>0</v>
      </c>
      <c r="K55" s="7">
        <v>0</v>
      </c>
      <c r="L55" s="7">
        <v>0</v>
      </c>
      <c r="M55" s="7">
        <v>0</v>
      </c>
      <c r="N55" s="7">
        <v>0</v>
      </c>
      <c r="O55" s="7">
        <v>0</v>
      </c>
      <c r="P55" s="7">
        <v>0</v>
      </c>
      <c r="Q55" s="7">
        <v>0</v>
      </c>
    </row>
    <row r="56" spans="1:17">
      <c r="A56" s="2">
        <v>2004</v>
      </c>
      <c r="B56" s="7">
        <v>0</v>
      </c>
      <c r="C56" s="7">
        <v>0</v>
      </c>
      <c r="D56" s="7">
        <v>0</v>
      </c>
      <c r="E56" s="7">
        <v>0</v>
      </c>
      <c r="F56" s="7">
        <v>0</v>
      </c>
      <c r="G56" s="7">
        <v>0</v>
      </c>
      <c r="H56" s="7">
        <v>0</v>
      </c>
      <c r="I56" s="7">
        <v>0</v>
      </c>
      <c r="J56" s="7">
        <v>0</v>
      </c>
      <c r="K56" s="7">
        <v>0</v>
      </c>
      <c r="L56" s="7">
        <v>0</v>
      </c>
      <c r="M56" s="7">
        <v>0</v>
      </c>
      <c r="N56" s="7">
        <v>0</v>
      </c>
      <c r="O56" s="7">
        <v>0</v>
      </c>
      <c r="P56" s="7">
        <v>0</v>
      </c>
      <c r="Q56" s="7">
        <v>0</v>
      </c>
    </row>
    <row r="57" spans="1:17">
      <c r="A57" s="2">
        <v>2005</v>
      </c>
      <c r="B57" s="7">
        <v>0</v>
      </c>
      <c r="C57" s="7">
        <v>0</v>
      </c>
      <c r="D57" s="7">
        <v>0</v>
      </c>
      <c r="E57" s="7">
        <v>0</v>
      </c>
      <c r="F57" s="7">
        <v>0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 s="7">
        <v>0</v>
      </c>
      <c r="M57" s="7">
        <v>0</v>
      </c>
      <c r="N57" s="7">
        <v>0</v>
      </c>
      <c r="O57" s="7">
        <v>0</v>
      </c>
      <c r="P57" s="7">
        <v>0</v>
      </c>
      <c r="Q57" s="7">
        <v>0</v>
      </c>
    </row>
    <row r="58" spans="1:17">
      <c r="A58" s="2">
        <v>2006</v>
      </c>
      <c r="B58" s="7">
        <v>0</v>
      </c>
      <c r="C58" s="7">
        <v>0</v>
      </c>
      <c r="D58" s="7">
        <v>0</v>
      </c>
      <c r="E58" s="7">
        <v>0</v>
      </c>
      <c r="F58" s="7">
        <v>0</v>
      </c>
      <c r="G58" s="7">
        <v>0</v>
      </c>
      <c r="H58" s="7">
        <v>0</v>
      </c>
      <c r="I58" s="7">
        <v>0</v>
      </c>
      <c r="J58" s="7">
        <v>0</v>
      </c>
      <c r="K58" s="7">
        <v>0</v>
      </c>
      <c r="L58" s="7">
        <v>0</v>
      </c>
      <c r="M58" s="7">
        <v>0</v>
      </c>
      <c r="N58" s="7">
        <v>0</v>
      </c>
      <c r="O58" s="7">
        <v>0</v>
      </c>
      <c r="P58" s="7">
        <v>0</v>
      </c>
      <c r="Q58" s="7">
        <v>0</v>
      </c>
    </row>
    <row r="59" spans="1:17">
      <c r="A59" s="2">
        <v>2007</v>
      </c>
      <c r="B59" s="7">
        <v>0</v>
      </c>
      <c r="C59" s="7">
        <v>0</v>
      </c>
      <c r="D59" s="7">
        <v>0</v>
      </c>
      <c r="E59" s="7">
        <v>0</v>
      </c>
      <c r="F59" s="7">
        <v>0</v>
      </c>
      <c r="G59" s="7">
        <v>0</v>
      </c>
      <c r="H59" s="7">
        <v>0</v>
      </c>
      <c r="I59" s="7">
        <v>0</v>
      </c>
      <c r="J59" s="7">
        <v>0</v>
      </c>
      <c r="K59" s="7">
        <v>0</v>
      </c>
      <c r="L59" s="7">
        <v>0</v>
      </c>
      <c r="M59" s="7">
        <v>0</v>
      </c>
      <c r="N59" s="7">
        <v>0</v>
      </c>
      <c r="O59" s="7">
        <v>0</v>
      </c>
      <c r="P59" s="7">
        <v>0</v>
      </c>
      <c r="Q59" s="7">
        <v>0</v>
      </c>
    </row>
    <row r="60" spans="1:17">
      <c r="A60" s="2">
        <v>2008</v>
      </c>
      <c r="B60" s="7">
        <v>0</v>
      </c>
      <c r="C60" s="7">
        <v>0</v>
      </c>
      <c r="D60" s="7">
        <v>0</v>
      </c>
      <c r="E60" s="7">
        <v>0</v>
      </c>
      <c r="F60" s="7">
        <v>0</v>
      </c>
      <c r="G60" s="7">
        <v>0</v>
      </c>
      <c r="H60" s="7">
        <v>0</v>
      </c>
      <c r="I60" s="7">
        <v>0</v>
      </c>
      <c r="J60" s="7">
        <v>0</v>
      </c>
      <c r="K60" s="7">
        <v>0</v>
      </c>
      <c r="L60" s="7">
        <v>0</v>
      </c>
      <c r="M60" s="7">
        <v>0</v>
      </c>
      <c r="N60" s="7">
        <v>0</v>
      </c>
      <c r="O60" s="7">
        <v>0</v>
      </c>
      <c r="P60" s="7">
        <v>0</v>
      </c>
      <c r="Q60" s="7">
        <v>0</v>
      </c>
    </row>
    <row r="61" spans="1:17">
      <c r="A61" s="2">
        <v>2009</v>
      </c>
      <c r="B61" s="7">
        <v>0</v>
      </c>
      <c r="C61" s="7">
        <v>0</v>
      </c>
      <c r="D61" s="7">
        <v>0</v>
      </c>
      <c r="E61" s="7">
        <v>0</v>
      </c>
      <c r="F61" s="7">
        <v>0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 s="7">
        <v>0</v>
      </c>
      <c r="M61" s="7">
        <v>0</v>
      </c>
      <c r="N61" s="7">
        <v>0</v>
      </c>
      <c r="O61" s="7">
        <v>0</v>
      </c>
      <c r="P61" s="7">
        <v>0</v>
      </c>
      <c r="Q61" s="7">
        <v>0</v>
      </c>
    </row>
    <row r="62" spans="1:17">
      <c r="A62" s="2">
        <v>2010</v>
      </c>
      <c r="B62" s="7">
        <v>0</v>
      </c>
      <c r="C62" s="7">
        <v>0</v>
      </c>
      <c r="D62" s="7">
        <v>0</v>
      </c>
      <c r="E62" s="7">
        <v>0</v>
      </c>
      <c r="F62" s="7">
        <v>0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</row>
    <row r="63" spans="1:17">
      <c r="A63" s="2">
        <v>2011</v>
      </c>
      <c r="B63" s="7">
        <v>0</v>
      </c>
      <c r="C63" s="7">
        <v>0</v>
      </c>
      <c r="D63" s="7">
        <v>0</v>
      </c>
      <c r="E63" s="7">
        <v>0</v>
      </c>
      <c r="F63" s="7">
        <v>0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</row>
    <row r="64" spans="1:17">
      <c r="A64" s="2">
        <v>2012</v>
      </c>
      <c r="B64" s="7">
        <v>0</v>
      </c>
      <c r="C64" s="7">
        <v>0</v>
      </c>
      <c r="D64" s="7">
        <v>0</v>
      </c>
      <c r="E64" s="7">
        <v>0</v>
      </c>
      <c r="F64" s="7">
        <v>0</v>
      </c>
      <c r="G64" s="7">
        <v>0</v>
      </c>
      <c r="H64" s="7">
        <v>0</v>
      </c>
      <c r="I64" s="7">
        <v>0</v>
      </c>
      <c r="J64" s="7">
        <v>0</v>
      </c>
      <c r="K64" s="7">
        <v>0</v>
      </c>
      <c r="L64" s="7">
        <v>0</v>
      </c>
      <c r="M64" s="7">
        <v>0</v>
      </c>
      <c r="N64" s="7">
        <v>0</v>
      </c>
      <c r="O64" s="7">
        <v>0</v>
      </c>
      <c r="P64" s="7">
        <v>0</v>
      </c>
      <c r="Q64" s="7">
        <v>0</v>
      </c>
    </row>
    <row r="65" spans="1:17">
      <c r="A65" s="2">
        <v>2013</v>
      </c>
      <c r="B65" s="7">
        <v>0</v>
      </c>
      <c r="C65" s="7">
        <v>0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</row>
    <row r="66" spans="1:17">
      <c r="A66" s="2">
        <v>2014</v>
      </c>
      <c r="B66" s="7">
        <v>0</v>
      </c>
      <c r="C66" s="7">
        <v>0</v>
      </c>
      <c r="D66" s="7">
        <v>0</v>
      </c>
      <c r="E66" s="7">
        <v>0</v>
      </c>
      <c r="F66" s="7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</row>
    <row r="67" spans="1:17">
      <c r="A67" s="2">
        <v>2015</v>
      </c>
      <c r="B67" s="7">
        <v>0</v>
      </c>
      <c r="C67" s="7">
        <v>0</v>
      </c>
      <c r="D67" s="7">
        <v>0</v>
      </c>
      <c r="E67" s="7">
        <v>0</v>
      </c>
      <c r="F67" s="7">
        <v>0</v>
      </c>
      <c r="G67" s="7">
        <v>0</v>
      </c>
      <c r="H67" s="7">
        <v>0</v>
      </c>
      <c r="I67" s="7">
        <v>0</v>
      </c>
      <c r="J67" s="7">
        <v>0</v>
      </c>
      <c r="K67" s="7">
        <v>0</v>
      </c>
      <c r="L67" s="7">
        <v>0</v>
      </c>
      <c r="M67" s="7">
        <v>0</v>
      </c>
      <c r="N67" s="7">
        <v>0</v>
      </c>
      <c r="O67" s="7">
        <v>0</v>
      </c>
      <c r="P67" s="7">
        <v>0</v>
      </c>
      <c r="Q67" s="7">
        <v>0</v>
      </c>
    </row>
    <row r="68" spans="1:17">
      <c r="A68" s="2">
        <v>2016</v>
      </c>
      <c r="B68" s="7">
        <v>0</v>
      </c>
      <c r="C68" s="7">
        <v>0</v>
      </c>
      <c r="D68" s="7">
        <v>0</v>
      </c>
      <c r="E68" s="7">
        <v>0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</row>
    <row r="69" spans="1:17">
      <c r="A69" s="2">
        <v>2017</v>
      </c>
      <c r="B69" s="7">
        <v>0</v>
      </c>
      <c r="C69" s="7">
        <v>0</v>
      </c>
      <c r="D69" s="7">
        <v>0</v>
      </c>
      <c r="E69" s="7">
        <v>0</v>
      </c>
      <c r="F69" s="7">
        <v>0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 s="7">
        <v>0</v>
      </c>
      <c r="M69" s="7">
        <v>0</v>
      </c>
      <c r="N69" s="7">
        <v>0</v>
      </c>
      <c r="O69" s="7">
        <v>0</v>
      </c>
      <c r="P69" s="7">
        <v>0</v>
      </c>
      <c r="Q69" s="7">
        <v>0</v>
      </c>
    </row>
    <row r="70" spans="1:17">
      <c r="A70" s="2">
        <v>2018</v>
      </c>
      <c r="B70" s="7">
        <v>0</v>
      </c>
      <c r="C70" s="7">
        <v>0</v>
      </c>
      <c r="D70" s="7">
        <v>0</v>
      </c>
      <c r="E70" s="7">
        <v>0</v>
      </c>
      <c r="F70" s="7">
        <v>0</v>
      </c>
      <c r="G70" s="7">
        <v>0</v>
      </c>
      <c r="H70" s="7">
        <v>0</v>
      </c>
      <c r="I70" s="7">
        <v>0</v>
      </c>
      <c r="J70" s="7">
        <v>0</v>
      </c>
      <c r="K70" s="7">
        <v>0</v>
      </c>
      <c r="L70" s="7">
        <v>0</v>
      </c>
      <c r="M70" s="7">
        <v>0</v>
      </c>
      <c r="N70" s="7">
        <v>0</v>
      </c>
      <c r="O70" s="7">
        <v>0</v>
      </c>
      <c r="P70" s="7">
        <v>0</v>
      </c>
      <c r="Q70" s="7">
        <v>0</v>
      </c>
    </row>
    <row r="71" spans="1:17">
      <c r="A71" s="2">
        <v>2019</v>
      </c>
      <c r="B71" s="7">
        <v>0</v>
      </c>
      <c r="C71" s="7">
        <v>0</v>
      </c>
      <c r="D71" s="7">
        <v>0</v>
      </c>
      <c r="E71" s="7">
        <v>0</v>
      </c>
      <c r="F71" s="7">
        <v>0</v>
      </c>
      <c r="G71" s="7">
        <v>0</v>
      </c>
      <c r="H71" s="7">
        <v>0</v>
      </c>
      <c r="I71" s="7">
        <v>0</v>
      </c>
      <c r="J71" s="7">
        <v>0</v>
      </c>
      <c r="K71" s="7">
        <v>0</v>
      </c>
      <c r="L71" s="7">
        <v>0</v>
      </c>
      <c r="M71" s="7">
        <v>0</v>
      </c>
      <c r="N71" s="7">
        <v>0</v>
      </c>
      <c r="O71" s="7">
        <v>0</v>
      </c>
      <c r="P71" s="7">
        <v>0</v>
      </c>
      <c r="Q71" s="7">
        <v>0</v>
      </c>
    </row>
    <row r="72" spans="1:17">
      <c r="A72" s="2">
        <v>2020</v>
      </c>
      <c r="B72" s="7">
        <v>0</v>
      </c>
      <c r="C72" s="7">
        <v>0</v>
      </c>
      <c r="D72" s="7">
        <v>0</v>
      </c>
      <c r="E72" s="7">
        <v>0</v>
      </c>
      <c r="F72" s="7">
        <v>0</v>
      </c>
      <c r="G72" s="7">
        <v>0</v>
      </c>
      <c r="H72" s="7">
        <v>0</v>
      </c>
      <c r="I72" s="7">
        <v>0</v>
      </c>
      <c r="J72" s="7">
        <v>0</v>
      </c>
      <c r="K72" s="7">
        <v>0</v>
      </c>
      <c r="L72" s="7">
        <v>0</v>
      </c>
      <c r="M72" s="7">
        <v>0</v>
      </c>
      <c r="N72" s="7">
        <v>0</v>
      </c>
      <c r="O72" s="7">
        <v>0</v>
      </c>
      <c r="P72" s="7">
        <v>0</v>
      </c>
      <c r="Q72" s="7">
        <v>0</v>
      </c>
    </row>
    <row r="73" spans="1:17">
      <c r="A73" s="2">
        <v>2021</v>
      </c>
      <c r="B73" s="7">
        <v>0</v>
      </c>
      <c r="C73" s="7">
        <v>0</v>
      </c>
      <c r="D73" s="7">
        <v>0</v>
      </c>
      <c r="E73" s="7">
        <v>0</v>
      </c>
      <c r="F73" s="7">
        <v>0</v>
      </c>
      <c r="G73" s="7">
        <v>0</v>
      </c>
      <c r="H73" s="7">
        <v>0</v>
      </c>
      <c r="I73" s="7">
        <v>0</v>
      </c>
      <c r="J73" s="7">
        <v>0</v>
      </c>
      <c r="K73" s="7">
        <v>0</v>
      </c>
      <c r="L73" s="7">
        <v>0</v>
      </c>
      <c r="M73" s="7">
        <v>0</v>
      </c>
      <c r="N73" s="7">
        <v>0</v>
      </c>
      <c r="O73" s="7">
        <v>0</v>
      </c>
      <c r="P73" s="7">
        <v>0</v>
      </c>
      <c r="Q73" s="7">
        <v>0</v>
      </c>
    </row>
    <row r="74" spans="1:17">
      <c r="A74" s="2">
        <v>2022</v>
      </c>
      <c r="B74" s="7">
        <v>0</v>
      </c>
      <c r="C74" s="7">
        <v>0</v>
      </c>
      <c r="D74" s="7">
        <v>0</v>
      </c>
      <c r="E74" s="7">
        <v>0</v>
      </c>
      <c r="F74" s="7">
        <v>0</v>
      </c>
      <c r="G74" s="7">
        <v>0</v>
      </c>
      <c r="H74" s="7">
        <v>0</v>
      </c>
      <c r="I74" s="7">
        <v>0</v>
      </c>
      <c r="J74" s="7">
        <v>0</v>
      </c>
      <c r="K74" s="7">
        <v>0</v>
      </c>
      <c r="L74" s="7">
        <v>0</v>
      </c>
      <c r="M74" s="7">
        <v>0</v>
      </c>
      <c r="N74" s="7">
        <v>0</v>
      </c>
      <c r="O74" s="7">
        <v>0</v>
      </c>
      <c r="P74" s="7">
        <v>0</v>
      </c>
      <c r="Q74" s="7">
        <v>0</v>
      </c>
    </row>
    <row r="75" spans="1:17">
      <c r="A75" s="2">
        <v>2023</v>
      </c>
      <c r="B75" s="7">
        <v>0</v>
      </c>
      <c r="C75" s="7">
        <v>0</v>
      </c>
      <c r="D75" s="7">
        <v>0</v>
      </c>
      <c r="E75" s="7">
        <v>0</v>
      </c>
      <c r="F75" s="7">
        <v>0</v>
      </c>
      <c r="G75" s="7">
        <v>0</v>
      </c>
      <c r="H75" s="7">
        <v>0</v>
      </c>
      <c r="I75" s="7">
        <v>0</v>
      </c>
      <c r="J75" s="7">
        <v>0</v>
      </c>
      <c r="K75" s="7">
        <v>0</v>
      </c>
      <c r="L75" s="7">
        <v>0</v>
      </c>
      <c r="M75" s="7">
        <v>0</v>
      </c>
      <c r="N75" s="7">
        <v>0</v>
      </c>
      <c r="O75" s="7">
        <v>0</v>
      </c>
      <c r="P75" s="7">
        <v>0</v>
      </c>
      <c r="Q75" s="7">
        <v>0</v>
      </c>
    </row>
    <row r="76" spans="1:17">
      <c r="A76" s="2">
        <v>2024</v>
      </c>
      <c r="B76" s="7">
        <v>0</v>
      </c>
      <c r="C76" s="7">
        <v>0</v>
      </c>
      <c r="D76" s="7">
        <v>0</v>
      </c>
      <c r="E76" s="7">
        <v>0</v>
      </c>
      <c r="F76" s="7">
        <v>0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L76" s="7">
        <v>0</v>
      </c>
      <c r="M76" s="7">
        <v>0</v>
      </c>
      <c r="N76" s="7">
        <v>0</v>
      </c>
      <c r="O76" s="7">
        <v>0</v>
      </c>
      <c r="P76" s="7">
        <v>0</v>
      </c>
      <c r="Q76" s="7">
        <v>0</v>
      </c>
    </row>
    <row r="77" spans="1:17">
      <c r="A77" s="2">
        <v>2025</v>
      </c>
      <c r="B77" s="7">
        <v>0</v>
      </c>
      <c r="C77" s="7">
        <v>0</v>
      </c>
      <c r="D77" s="7">
        <v>0</v>
      </c>
      <c r="E77" s="7">
        <v>0</v>
      </c>
      <c r="F77" s="7">
        <v>0</v>
      </c>
      <c r="G77" s="7">
        <v>0</v>
      </c>
      <c r="H77" s="7">
        <v>0</v>
      </c>
      <c r="I77" s="7">
        <v>0</v>
      </c>
      <c r="J77" s="7">
        <v>0</v>
      </c>
      <c r="K77" s="7">
        <v>0</v>
      </c>
      <c r="L77" s="7">
        <v>0</v>
      </c>
      <c r="M77" s="7">
        <v>0</v>
      </c>
      <c r="N77" s="7">
        <v>0</v>
      </c>
      <c r="O77" s="7">
        <v>0</v>
      </c>
      <c r="P77" s="7">
        <v>0</v>
      </c>
      <c r="Q77" s="7">
        <v>0</v>
      </c>
    </row>
    <row r="78" spans="1:17">
      <c r="A78" s="2">
        <v>2026</v>
      </c>
      <c r="B78" s="7">
        <v>0</v>
      </c>
      <c r="C78" s="7">
        <v>0</v>
      </c>
      <c r="D78" s="7">
        <v>0</v>
      </c>
      <c r="E78" s="7">
        <v>0</v>
      </c>
      <c r="F78" s="7">
        <v>0</v>
      </c>
      <c r="G78" s="7">
        <v>0</v>
      </c>
      <c r="H78" s="7">
        <v>0</v>
      </c>
      <c r="I78" s="7">
        <v>0</v>
      </c>
      <c r="J78" s="7">
        <v>0</v>
      </c>
      <c r="K78" s="7">
        <v>0</v>
      </c>
      <c r="L78" s="7">
        <v>0</v>
      </c>
      <c r="M78" s="7">
        <v>0</v>
      </c>
      <c r="N78" s="7">
        <v>0</v>
      </c>
      <c r="O78" s="7">
        <v>0</v>
      </c>
      <c r="P78" s="7">
        <v>0</v>
      </c>
      <c r="Q78" s="7">
        <v>0</v>
      </c>
    </row>
    <row r="79" spans="1:17">
      <c r="A79" s="2">
        <v>2027</v>
      </c>
      <c r="B79" s="7">
        <v>0</v>
      </c>
      <c r="C79" s="7">
        <v>0</v>
      </c>
      <c r="D79" s="7">
        <v>0</v>
      </c>
      <c r="E79" s="7">
        <v>0</v>
      </c>
      <c r="F79" s="7">
        <v>0</v>
      </c>
      <c r="G79" s="7">
        <v>0</v>
      </c>
      <c r="H79" s="7">
        <v>0</v>
      </c>
      <c r="I79" s="7">
        <v>0</v>
      </c>
      <c r="J79" s="7">
        <v>0</v>
      </c>
      <c r="K79" s="7">
        <v>0</v>
      </c>
      <c r="L79" s="7">
        <v>0</v>
      </c>
      <c r="M79" s="7">
        <v>0</v>
      </c>
      <c r="N79" s="7">
        <v>0</v>
      </c>
      <c r="O79" s="7">
        <v>0</v>
      </c>
      <c r="P79" s="7">
        <v>0</v>
      </c>
      <c r="Q79" s="7">
        <v>0</v>
      </c>
    </row>
    <row r="80" spans="1:17">
      <c r="A80" s="2">
        <v>2028</v>
      </c>
      <c r="B80" s="7">
        <v>0</v>
      </c>
      <c r="C80" s="7">
        <v>0</v>
      </c>
      <c r="D80" s="7">
        <v>0</v>
      </c>
      <c r="E80" s="7">
        <v>0</v>
      </c>
      <c r="F80" s="7">
        <v>0</v>
      </c>
      <c r="G80" s="7">
        <v>0</v>
      </c>
      <c r="H80" s="7">
        <v>0</v>
      </c>
      <c r="I80" s="7">
        <v>0</v>
      </c>
      <c r="J80" s="7">
        <v>0</v>
      </c>
      <c r="K80" s="7">
        <v>0</v>
      </c>
      <c r="L80" s="7">
        <v>0</v>
      </c>
      <c r="M80" s="7">
        <v>0</v>
      </c>
      <c r="N80" s="7">
        <v>0</v>
      </c>
      <c r="O80" s="7">
        <v>0</v>
      </c>
      <c r="P80" s="7">
        <v>0</v>
      </c>
      <c r="Q80" s="7">
        <v>0</v>
      </c>
    </row>
    <row r="81" spans="1:17">
      <c r="A81" s="2">
        <v>2029</v>
      </c>
      <c r="B81" s="7">
        <v>0</v>
      </c>
      <c r="C81" s="7">
        <v>0</v>
      </c>
      <c r="D81" s="7">
        <v>0</v>
      </c>
      <c r="E81" s="7">
        <v>0</v>
      </c>
      <c r="F81" s="7">
        <v>0</v>
      </c>
      <c r="G81" s="7">
        <v>0</v>
      </c>
      <c r="H81" s="7">
        <v>0</v>
      </c>
      <c r="I81" s="7">
        <v>0</v>
      </c>
      <c r="J81" s="7">
        <v>0</v>
      </c>
      <c r="K81" s="7">
        <v>0</v>
      </c>
      <c r="L81" s="7">
        <v>0</v>
      </c>
      <c r="M81" s="7">
        <v>0</v>
      </c>
      <c r="N81" s="7">
        <v>0</v>
      </c>
      <c r="O81" s="7">
        <v>0</v>
      </c>
      <c r="P81" s="7">
        <v>0</v>
      </c>
      <c r="Q81" s="7">
        <v>0</v>
      </c>
    </row>
    <row r="82" spans="1:17">
      <c r="A82" s="2">
        <v>2030</v>
      </c>
      <c r="B82" s="7">
        <v>0</v>
      </c>
      <c r="C82" s="7">
        <v>0</v>
      </c>
      <c r="D82" s="7">
        <v>0</v>
      </c>
      <c r="E82" s="7">
        <v>0</v>
      </c>
      <c r="F82" s="7">
        <v>0</v>
      </c>
      <c r="G82" s="7">
        <v>0</v>
      </c>
      <c r="H82" s="7">
        <v>0</v>
      </c>
      <c r="I82" s="7">
        <v>0</v>
      </c>
      <c r="J82" s="7">
        <v>0</v>
      </c>
      <c r="K82" s="7">
        <v>0</v>
      </c>
      <c r="L82" s="7">
        <v>0</v>
      </c>
      <c r="M82" s="7">
        <v>0</v>
      </c>
      <c r="N82" s="7">
        <v>0</v>
      </c>
      <c r="O82" s="7">
        <v>0</v>
      </c>
      <c r="P82" s="7">
        <v>0</v>
      </c>
      <c r="Q82" s="7">
        <v>0</v>
      </c>
    </row>
    <row r="83" spans="1:17">
      <c r="A83" s="2">
        <v>2031</v>
      </c>
      <c r="B83" s="7">
        <v>0</v>
      </c>
      <c r="C83" s="7">
        <v>0</v>
      </c>
      <c r="D83" s="7">
        <v>0</v>
      </c>
      <c r="E83" s="7">
        <v>0</v>
      </c>
      <c r="F83" s="7">
        <v>0</v>
      </c>
      <c r="G83" s="7">
        <v>0</v>
      </c>
      <c r="H83" s="7">
        <v>0</v>
      </c>
      <c r="I83" s="7">
        <v>0</v>
      </c>
      <c r="J83" s="7">
        <v>0</v>
      </c>
      <c r="K83" s="7">
        <v>0</v>
      </c>
      <c r="L83" s="7">
        <v>0</v>
      </c>
      <c r="M83" s="7">
        <v>0</v>
      </c>
      <c r="N83" s="7">
        <v>0</v>
      </c>
      <c r="O83" s="7">
        <v>0</v>
      </c>
      <c r="P83" s="7">
        <v>0</v>
      </c>
      <c r="Q83" s="7">
        <v>0</v>
      </c>
    </row>
    <row r="84" spans="1:17">
      <c r="A84" s="2">
        <v>2032</v>
      </c>
      <c r="B84" s="7">
        <v>0</v>
      </c>
      <c r="C84" s="7">
        <v>0</v>
      </c>
      <c r="D84" s="7">
        <v>0</v>
      </c>
      <c r="E84" s="7">
        <v>0</v>
      </c>
      <c r="F84" s="7">
        <v>0</v>
      </c>
      <c r="G84" s="7">
        <v>0</v>
      </c>
      <c r="H84" s="7">
        <v>0</v>
      </c>
      <c r="I84" s="7">
        <v>0</v>
      </c>
      <c r="J84" s="7">
        <v>0</v>
      </c>
      <c r="K84" s="7">
        <v>0</v>
      </c>
      <c r="L84" s="7">
        <v>0</v>
      </c>
      <c r="M84" s="7">
        <v>0</v>
      </c>
      <c r="N84" s="7">
        <v>0</v>
      </c>
      <c r="O84" s="7">
        <v>0</v>
      </c>
      <c r="P84" s="7">
        <v>0</v>
      </c>
      <c r="Q84" s="7">
        <v>0</v>
      </c>
    </row>
    <row r="85" spans="1:17">
      <c r="A85" s="2">
        <v>2033</v>
      </c>
      <c r="B85" s="7">
        <v>0</v>
      </c>
      <c r="C85" s="7">
        <v>0</v>
      </c>
      <c r="D85" s="7">
        <v>0</v>
      </c>
      <c r="E85" s="7">
        <v>0</v>
      </c>
      <c r="F85" s="7">
        <v>0</v>
      </c>
      <c r="G85" s="7">
        <v>0</v>
      </c>
      <c r="H85" s="7">
        <v>0</v>
      </c>
      <c r="I85" s="7">
        <v>0</v>
      </c>
      <c r="J85" s="7">
        <v>0</v>
      </c>
      <c r="K85" s="7">
        <v>0</v>
      </c>
      <c r="L85" s="7">
        <v>0</v>
      </c>
      <c r="M85" s="7">
        <v>0</v>
      </c>
      <c r="N85" s="7">
        <v>0</v>
      </c>
      <c r="O85" s="7">
        <v>0</v>
      </c>
      <c r="P85" s="7">
        <v>0</v>
      </c>
      <c r="Q85" s="7">
        <v>0</v>
      </c>
    </row>
    <row r="86" spans="1:17">
      <c r="A86" s="2">
        <v>2034</v>
      </c>
      <c r="B86" s="7">
        <v>0</v>
      </c>
      <c r="C86" s="7">
        <v>0</v>
      </c>
      <c r="D86" s="7">
        <v>0</v>
      </c>
      <c r="E86" s="7">
        <v>0</v>
      </c>
      <c r="F86" s="7">
        <v>0</v>
      </c>
      <c r="G86" s="7">
        <v>0</v>
      </c>
      <c r="H86" s="7">
        <v>0</v>
      </c>
      <c r="I86" s="7">
        <v>0</v>
      </c>
      <c r="J86" s="7">
        <v>0</v>
      </c>
      <c r="K86" s="7">
        <v>0</v>
      </c>
      <c r="L86" s="7">
        <v>0</v>
      </c>
      <c r="M86" s="7">
        <v>0</v>
      </c>
      <c r="N86" s="7">
        <v>0</v>
      </c>
      <c r="O86" s="7">
        <v>0</v>
      </c>
      <c r="P86" s="7">
        <v>0</v>
      </c>
      <c r="Q86" s="7">
        <v>0</v>
      </c>
    </row>
    <row r="87" spans="1:17">
      <c r="A87" s="2">
        <v>2035</v>
      </c>
      <c r="B87" s="7">
        <v>0</v>
      </c>
      <c r="C87" s="7">
        <v>0</v>
      </c>
      <c r="D87" s="7">
        <v>0</v>
      </c>
      <c r="E87" s="7">
        <v>0</v>
      </c>
      <c r="F87" s="7">
        <v>0</v>
      </c>
      <c r="G87" s="7">
        <v>0</v>
      </c>
      <c r="H87" s="7">
        <v>0</v>
      </c>
      <c r="I87" s="7">
        <v>0</v>
      </c>
      <c r="J87" s="7">
        <v>0</v>
      </c>
      <c r="K87" s="7">
        <v>0</v>
      </c>
      <c r="L87" s="7">
        <v>0</v>
      </c>
      <c r="M87" s="7">
        <v>0</v>
      </c>
      <c r="N87" s="7">
        <v>0</v>
      </c>
      <c r="O87" s="7">
        <v>0</v>
      </c>
      <c r="P87" s="7">
        <v>0</v>
      </c>
      <c r="Q87" s="7">
        <v>0</v>
      </c>
    </row>
    <row r="88" spans="1:17">
      <c r="A88" s="2">
        <v>2036</v>
      </c>
      <c r="B88" s="7">
        <v>0</v>
      </c>
      <c r="C88" s="7">
        <v>0</v>
      </c>
      <c r="D88" s="7">
        <v>0</v>
      </c>
      <c r="E88" s="7">
        <v>0</v>
      </c>
      <c r="F88" s="7">
        <v>0</v>
      </c>
      <c r="G88" s="7">
        <v>0</v>
      </c>
      <c r="H88" s="7">
        <v>0</v>
      </c>
      <c r="I88" s="7">
        <v>0</v>
      </c>
      <c r="J88" s="7">
        <v>0</v>
      </c>
      <c r="K88" s="7">
        <v>0</v>
      </c>
      <c r="L88" s="7">
        <v>0</v>
      </c>
      <c r="M88" s="7">
        <v>0</v>
      </c>
      <c r="N88" s="7">
        <v>0</v>
      </c>
      <c r="O88" s="7">
        <v>0</v>
      </c>
      <c r="P88" s="7">
        <v>0</v>
      </c>
      <c r="Q88" s="7">
        <v>0</v>
      </c>
    </row>
    <row r="89" spans="1:17">
      <c r="A89" s="2">
        <v>2037</v>
      </c>
      <c r="B89" s="7">
        <v>0</v>
      </c>
      <c r="C89" s="7">
        <v>0</v>
      </c>
      <c r="D89" s="7">
        <v>0</v>
      </c>
      <c r="E89" s="7">
        <v>0</v>
      </c>
      <c r="F89" s="7">
        <v>0</v>
      </c>
      <c r="G89" s="7">
        <v>0</v>
      </c>
      <c r="H89" s="7">
        <v>0</v>
      </c>
      <c r="I89" s="7">
        <v>0</v>
      </c>
      <c r="J89" s="7">
        <v>0</v>
      </c>
      <c r="K89" s="7">
        <v>0</v>
      </c>
      <c r="L89" s="7">
        <v>0</v>
      </c>
      <c r="M89" s="7">
        <v>0</v>
      </c>
      <c r="N89" s="7">
        <v>0</v>
      </c>
      <c r="O89" s="7">
        <v>0</v>
      </c>
      <c r="P89" s="7">
        <v>0</v>
      </c>
      <c r="Q89" s="7">
        <v>0</v>
      </c>
    </row>
    <row r="90" spans="1:17">
      <c r="A90" s="2">
        <v>2038</v>
      </c>
      <c r="B90" s="7">
        <v>0</v>
      </c>
      <c r="C90" s="7">
        <v>0</v>
      </c>
      <c r="D90" s="7">
        <v>0</v>
      </c>
      <c r="E90" s="7">
        <v>0</v>
      </c>
      <c r="F90" s="7">
        <v>0</v>
      </c>
      <c r="G90" s="7">
        <v>0</v>
      </c>
      <c r="H90" s="7">
        <v>0</v>
      </c>
      <c r="I90" s="7">
        <v>0</v>
      </c>
      <c r="J90" s="7">
        <v>0</v>
      </c>
      <c r="K90" s="7">
        <v>0</v>
      </c>
      <c r="L90" s="7">
        <v>0</v>
      </c>
      <c r="M90" s="7">
        <v>0</v>
      </c>
      <c r="N90" s="7">
        <v>0</v>
      </c>
      <c r="O90" s="7">
        <v>0</v>
      </c>
      <c r="P90" s="7">
        <v>0</v>
      </c>
      <c r="Q90" s="7">
        <v>0</v>
      </c>
    </row>
    <row r="91" spans="1:17">
      <c r="A91" s="2">
        <v>2039</v>
      </c>
      <c r="B91" s="7">
        <v>0</v>
      </c>
      <c r="C91" s="7">
        <v>0</v>
      </c>
      <c r="D91" s="7">
        <v>0</v>
      </c>
      <c r="E91" s="7">
        <v>0</v>
      </c>
      <c r="F91" s="7">
        <v>0</v>
      </c>
      <c r="G91" s="7">
        <v>0</v>
      </c>
      <c r="H91" s="7">
        <v>0</v>
      </c>
      <c r="I91" s="7">
        <v>0</v>
      </c>
      <c r="J91" s="7">
        <v>0</v>
      </c>
      <c r="K91" s="7">
        <v>0</v>
      </c>
      <c r="L91" s="7">
        <v>0</v>
      </c>
      <c r="M91" s="7">
        <v>0</v>
      </c>
      <c r="N91" s="7">
        <v>0</v>
      </c>
      <c r="O91" s="7">
        <v>0</v>
      </c>
      <c r="P91" s="7">
        <v>0</v>
      </c>
      <c r="Q91" s="7">
        <v>0</v>
      </c>
    </row>
    <row r="92" spans="1:17">
      <c r="A92" s="2">
        <v>2040</v>
      </c>
      <c r="B92" s="7">
        <v>0</v>
      </c>
      <c r="C92" s="7">
        <v>0</v>
      </c>
      <c r="D92" s="7">
        <v>0</v>
      </c>
      <c r="E92" s="7">
        <v>0</v>
      </c>
      <c r="F92" s="7">
        <v>0</v>
      </c>
      <c r="G92" s="7">
        <v>0</v>
      </c>
      <c r="H92" s="7">
        <v>0</v>
      </c>
      <c r="I92" s="7">
        <v>0</v>
      </c>
      <c r="J92" s="7">
        <v>0</v>
      </c>
      <c r="K92" s="7">
        <v>0</v>
      </c>
      <c r="L92" s="7">
        <v>0</v>
      </c>
      <c r="M92" s="7">
        <v>0</v>
      </c>
      <c r="N92" s="7">
        <v>0</v>
      </c>
      <c r="O92" s="7">
        <v>0</v>
      </c>
      <c r="P92" s="7">
        <v>0</v>
      </c>
      <c r="Q92" s="7">
        <v>0</v>
      </c>
    </row>
    <row r="93" spans="1:17">
      <c r="A93" s="2">
        <v>2041</v>
      </c>
      <c r="B93" s="7">
        <v>0</v>
      </c>
      <c r="C93" s="7">
        <v>0</v>
      </c>
      <c r="D93" s="7">
        <v>0</v>
      </c>
      <c r="E93" s="7">
        <v>0</v>
      </c>
      <c r="F93" s="7">
        <v>0</v>
      </c>
      <c r="G93" s="7">
        <v>0</v>
      </c>
      <c r="H93" s="7">
        <v>0</v>
      </c>
      <c r="I93" s="7">
        <v>0</v>
      </c>
      <c r="J93" s="7">
        <v>0</v>
      </c>
      <c r="K93" s="7">
        <v>0</v>
      </c>
      <c r="L93" s="7">
        <v>0</v>
      </c>
      <c r="M93" s="7">
        <v>0</v>
      </c>
      <c r="N93" s="7">
        <v>0</v>
      </c>
      <c r="O93" s="7">
        <v>0</v>
      </c>
      <c r="P93" s="7">
        <v>0</v>
      </c>
      <c r="Q93" s="7">
        <v>0</v>
      </c>
    </row>
    <row r="94" spans="1:17">
      <c r="A94" s="2">
        <v>2042</v>
      </c>
      <c r="B94" s="7">
        <v>0</v>
      </c>
      <c r="C94" s="7">
        <v>0</v>
      </c>
      <c r="D94" s="7">
        <v>0</v>
      </c>
      <c r="E94" s="7">
        <v>0</v>
      </c>
      <c r="F94" s="7">
        <v>0</v>
      </c>
      <c r="G94" s="7">
        <v>0</v>
      </c>
      <c r="H94" s="7">
        <v>0</v>
      </c>
      <c r="I94" s="7">
        <v>0</v>
      </c>
      <c r="J94" s="7">
        <v>0</v>
      </c>
      <c r="K94" s="7">
        <v>0</v>
      </c>
      <c r="L94" s="7">
        <v>0</v>
      </c>
      <c r="M94" s="7">
        <v>0</v>
      </c>
      <c r="N94" s="7">
        <v>0</v>
      </c>
      <c r="O94" s="7">
        <v>0</v>
      </c>
      <c r="P94" s="7">
        <v>0</v>
      </c>
      <c r="Q94" s="7">
        <v>0</v>
      </c>
    </row>
    <row r="95" spans="1:17">
      <c r="A95" s="2">
        <v>2043</v>
      </c>
      <c r="B95" s="7">
        <v>0</v>
      </c>
      <c r="C95" s="7">
        <v>0</v>
      </c>
      <c r="D95" s="7">
        <v>0</v>
      </c>
      <c r="E95" s="7">
        <v>0</v>
      </c>
      <c r="F95" s="7">
        <v>0</v>
      </c>
      <c r="G95" s="7">
        <v>0</v>
      </c>
      <c r="H95" s="7">
        <v>0</v>
      </c>
      <c r="I95" s="7">
        <v>0</v>
      </c>
      <c r="J95" s="7">
        <v>0</v>
      </c>
      <c r="K95" s="7">
        <v>0</v>
      </c>
      <c r="L95" s="7">
        <v>0</v>
      </c>
      <c r="M95" s="7">
        <v>0</v>
      </c>
      <c r="N95" s="7">
        <v>0</v>
      </c>
      <c r="O95" s="7">
        <v>0</v>
      </c>
      <c r="P95" s="7">
        <v>0</v>
      </c>
      <c r="Q95" s="7">
        <v>0</v>
      </c>
    </row>
    <row r="96" spans="1:17">
      <c r="A96" s="2">
        <v>2044</v>
      </c>
      <c r="B96" s="7">
        <v>0</v>
      </c>
      <c r="C96" s="7">
        <v>0</v>
      </c>
      <c r="D96" s="7">
        <v>0</v>
      </c>
      <c r="E96" s="7">
        <v>0</v>
      </c>
      <c r="F96" s="7">
        <v>0</v>
      </c>
      <c r="G96" s="7">
        <v>0</v>
      </c>
      <c r="H96" s="7">
        <v>0</v>
      </c>
      <c r="I96" s="7">
        <v>0</v>
      </c>
      <c r="J96" s="7">
        <v>0</v>
      </c>
      <c r="K96" s="7">
        <v>0</v>
      </c>
      <c r="L96" s="7">
        <v>0</v>
      </c>
      <c r="M96" s="7">
        <v>0</v>
      </c>
      <c r="N96" s="7">
        <v>0</v>
      </c>
      <c r="O96" s="7">
        <v>0</v>
      </c>
      <c r="P96" s="7">
        <v>0</v>
      </c>
      <c r="Q96" s="7">
        <v>0</v>
      </c>
    </row>
    <row r="97" spans="1:17">
      <c r="A97" s="2">
        <v>2045</v>
      </c>
      <c r="B97" s="7">
        <v>0</v>
      </c>
      <c r="C97" s="7">
        <v>0</v>
      </c>
      <c r="D97" s="7">
        <v>0</v>
      </c>
      <c r="E97" s="7">
        <v>0</v>
      </c>
      <c r="F97" s="7">
        <v>0</v>
      </c>
      <c r="G97" s="7">
        <v>0</v>
      </c>
      <c r="H97" s="7">
        <v>0</v>
      </c>
      <c r="I97" s="7">
        <v>0</v>
      </c>
      <c r="J97" s="7">
        <v>0</v>
      </c>
      <c r="K97" s="7">
        <v>0</v>
      </c>
      <c r="L97" s="7">
        <v>0</v>
      </c>
      <c r="M97" s="7">
        <v>0</v>
      </c>
      <c r="N97" s="7">
        <v>0</v>
      </c>
      <c r="O97" s="7">
        <v>0</v>
      </c>
      <c r="P97" s="7">
        <v>0</v>
      </c>
      <c r="Q97" s="7">
        <v>0</v>
      </c>
    </row>
    <row r="98" spans="1:17">
      <c r="A98" s="2">
        <v>2046</v>
      </c>
      <c r="B98" s="7">
        <v>0</v>
      </c>
      <c r="C98" s="7">
        <v>0</v>
      </c>
      <c r="D98" s="7">
        <v>0</v>
      </c>
      <c r="E98" s="7">
        <v>0</v>
      </c>
      <c r="F98" s="7">
        <v>0</v>
      </c>
      <c r="G98" s="7">
        <v>0</v>
      </c>
      <c r="H98" s="7">
        <v>0</v>
      </c>
      <c r="I98" s="7">
        <v>0</v>
      </c>
      <c r="J98" s="7">
        <v>0</v>
      </c>
      <c r="K98" s="7">
        <v>0</v>
      </c>
      <c r="L98" s="7">
        <v>0</v>
      </c>
      <c r="M98" s="7">
        <v>0</v>
      </c>
      <c r="N98" s="7">
        <v>0</v>
      </c>
      <c r="O98" s="7">
        <v>0</v>
      </c>
      <c r="P98" s="7">
        <v>0</v>
      </c>
      <c r="Q98" s="7">
        <v>0</v>
      </c>
    </row>
    <row r="99" spans="1:17">
      <c r="A99" s="2">
        <v>2047</v>
      </c>
      <c r="B99" s="7">
        <v>0</v>
      </c>
      <c r="C99" s="7">
        <v>0</v>
      </c>
      <c r="D99" s="7">
        <v>0</v>
      </c>
      <c r="E99" s="7">
        <v>0</v>
      </c>
      <c r="F99" s="7">
        <v>0</v>
      </c>
      <c r="G99" s="7">
        <v>0</v>
      </c>
      <c r="H99" s="7">
        <v>0</v>
      </c>
      <c r="I99" s="7">
        <v>0</v>
      </c>
      <c r="J99" s="7">
        <v>0</v>
      </c>
      <c r="K99" s="7">
        <v>0</v>
      </c>
      <c r="L99" s="7">
        <v>0</v>
      </c>
      <c r="M99" s="7">
        <v>0</v>
      </c>
      <c r="N99" s="7">
        <v>0</v>
      </c>
      <c r="O99" s="7">
        <v>0</v>
      </c>
      <c r="P99" s="7">
        <v>0</v>
      </c>
      <c r="Q99" s="7">
        <v>0</v>
      </c>
    </row>
    <row r="100" spans="1:17">
      <c r="A100" s="2">
        <v>2048</v>
      </c>
      <c r="B100" s="7">
        <v>0</v>
      </c>
      <c r="C100" s="7">
        <v>0</v>
      </c>
      <c r="D100" s="7">
        <v>0</v>
      </c>
      <c r="E100" s="7">
        <v>0</v>
      </c>
      <c r="F100" s="7">
        <v>0</v>
      </c>
      <c r="G100" s="7">
        <v>0</v>
      </c>
      <c r="H100" s="7">
        <v>0</v>
      </c>
      <c r="I100" s="7">
        <v>0</v>
      </c>
      <c r="J100" s="7">
        <v>0</v>
      </c>
      <c r="K100" s="7">
        <v>0</v>
      </c>
      <c r="L100" s="7">
        <v>0</v>
      </c>
      <c r="M100" s="7">
        <v>0</v>
      </c>
      <c r="N100" s="7">
        <v>0</v>
      </c>
      <c r="O100" s="7">
        <v>0</v>
      </c>
      <c r="P100" s="7">
        <v>0</v>
      </c>
      <c r="Q100" s="7">
        <v>0</v>
      </c>
    </row>
    <row r="101" spans="1:17">
      <c r="A101" s="2">
        <v>2049</v>
      </c>
      <c r="B101" s="7">
        <v>0</v>
      </c>
      <c r="C101" s="7">
        <v>0</v>
      </c>
      <c r="D101" s="7">
        <v>0</v>
      </c>
      <c r="E101" s="7">
        <v>0</v>
      </c>
      <c r="F101" s="7">
        <v>0</v>
      </c>
      <c r="G101" s="7">
        <v>0</v>
      </c>
      <c r="H101" s="7">
        <v>0</v>
      </c>
      <c r="I101" s="7">
        <v>0</v>
      </c>
      <c r="J101" s="7">
        <v>0</v>
      </c>
      <c r="K101" s="7">
        <v>0</v>
      </c>
      <c r="L101" s="7">
        <v>0</v>
      </c>
      <c r="M101" s="7">
        <v>0</v>
      </c>
      <c r="N101" s="7">
        <v>0</v>
      </c>
      <c r="O101" s="7">
        <v>0</v>
      </c>
      <c r="P101" s="7">
        <v>0</v>
      </c>
      <c r="Q101" s="7">
        <v>0</v>
      </c>
    </row>
    <row r="102" spans="1:17">
      <c r="A102" s="2">
        <v>2050</v>
      </c>
      <c r="B102" s="7">
        <v>0</v>
      </c>
      <c r="C102" s="7">
        <v>0</v>
      </c>
      <c r="D102" s="7">
        <v>0</v>
      </c>
      <c r="E102" s="7">
        <v>0</v>
      </c>
      <c r="F102" s="7">
        <v>0</v>
      </c>
      <c r="G102" s="7">
        <v>0</v>
      </c>
      <c r="H102" s="7">
        <v>0</v>
      </c>
      <c r="I102" s="7">
        <v>0</v>
      </c>
      <c r="J102" s="7">
        <v>0</v>
      </c>
      <c r="K102" s="7">
        <v>0</v>
      </c>
      <c r="L102" s="7">
        <v>0</v>
      </c>
      <c r="M102" s="7">
        <v>0</v>
      </c>
      <c r="N102" s="7">
        <v>0</v>
      </c>
      <c r="O102" s="7">
        <v>0</v>
      </c>
      <c r="P102" s="7">
        <v>0</v>
      </c>
      <c r="Q102" s="7">
        <v>0</v>
      </c>
    </row>
    <row r="103" spans="1:17">
      <c r="A103" s="2">
        <v>2051</v>
      </c>
      <c r="B103" s="7">
        <v>0</v>
      </c>
      <c r="C103" s="7">
        <v>0</v>
      </c>
      <c r="D103" s="7">
        <v>0</v>
      </c>
      <c r="E103" s="7">
        <v>0</v>
      </c>
      <c r="F103" s="7">
        <v>0</v>
      </c>
      <c r="G103" s="7">
        <v>0</v>
      </c>
      <c r="H103" s="7">
        <v>0</v>
      </c>
      <c r="I103" s="7">
        <v>0</v>
      </c>
      <c r="J103" s="7">
        <v>0</v>
      </c>
      <c r="K103" s="7">
        <v>0</v>
      </c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</row>
    <row r="104" spans="1:17">
      <c r="A104" s="2">
        <v>2052</v>
      </c>
      <c r="B104" s="7">
        <v>0</v>
      </c>
      <c r="C104" s="7">
        <v>0</v>
      </c>
      <c r="D104" s="7">
        <v>0</v>
      </c>
      <c r="E104" s="7">
        <v>0</v>
      </c>
      <c r="F104" s="7">
        <v>0</v>
      </c>
      <c r="G104" s="7">
        <v>0</v>
      </c>
      <c r="H104" s="7">
        <v>0</v>
      </c>
      <c r="I104" s="7">
        <v>0</v>
      </c>
      <c r="J104" s="7">
        <v>0</v>
      </c>
      <c r="K104" s="7">
        <v>0</v>
      </c>
      <c r="L104" s="7">
        <v>0</v>
      </c>
      <c r="M104" s="7">
        <v>0</v>
      </c>
      <c r="N104" s="7">
        <v>0</v>
      </c>
      <c r="O104" s="7">
        <v>0</v>
      </c>
      <c r="P104" s="7">
        <v>0</v>
      </c>
      <c r="Q104" s="7">
        <v>0</v>
      </c>
    </row>
    <row r="105" spans="1:17">
      <c r="A105" s="2">
        <v>2053</v>
      </c>
      <c r="B105" s="7">
        <v>0</v>
      </c>
      <c r="C105" s="7">
        <v>0</v>
      </c>
      <c r="D105" s="7">
        <v>0</v>
      </c>
      <c r="E105" s="7">
        <v>0</v>
      </c>
      <c r="F105" s="7">
        <v>0</v>
      </c>
      <c r="G105" s="7">
        <v>0</v>
      </c>
      <c r="H105" s="7">
        <v>0</v>
      </c>
      <c r="I105" s="7">
        <v>0</v>
      </c>
      <c r="J105" s="7">
        <v>0</v>
      </c>
      <c r="K105" s="7">
        <v>0</v>
      </c>
      <c r="L105" s="7">
        <v>0</v>
      </c>
      <c r="M105" s="7">
        <v>0</v>
      </c>
      <c r="N105" s="7">
        <v>0</v>
      </c>
      <c r="O105" s="7">
        <v>0</v>
      </c>
      <c r="P105" s="7">
        <v>0</v>
      </c>
      <c r="Q105" s="7">
        <v>0</v>
      </c>
    </row>
    <row r="106" spans="1:17">
      <c r="A106" s="2">
        <v>2054</v>
      </c>
      <c r="B106" s="7">
        <v>0</v>
      </c>
      <c r="C106" s="7">
        <v>0</v>
      </c>
      <c r="D106" s="7">
        <v>0</v>
      </c>
      <c r="E106" s="7">
        <v>0</v>
      </c>
      <c r="F106" s="7">
        <v>0</v>
      </c>
      <c r="G106" s="7">
        <v>0</v>
      </c>
      <c r="H106" s="7">
        <v>0</v>
      </c>
      <c r="I106" s="7">
        <v>0</v>
      </c>
      <c r="J106" s="7">
        <v>0</v>
      </c>
      <c r="K106" s="7">
        <v>0</v>
      </c>
      <c r="L106" s="7">
        <v>0</v>
      </c>
      <c r="M106" s="7">
        <v>0</v>
      </c>
      <c r="N106" s="7">
        <v>0</v>
      </c>
      <c r="O106" s="7">
        <v>0</v>
      </c>
      <c r="P106" s="7">
        <v>0</v>
      </c>
      <c r="Q106" s="7">
        <v>0</v>
      </c>
    </row>
    <row r="107" spans="1:17">
      <c r="A107" s="2">
        <v>2055</v>
      </c>
      <c r="B107" s="7">
        <v>0</v>
      </c>
      <c r="C107" s="7">
        <v>0</v>
      </c>
      <c r="D107" s="7">
        <v>0</v>
      </c>
      <c r="E107" s="7">
        <v>0</v>
      </c>
      <c r="F107" s="7">
        <v>0</v>
      </c>
      <c r="G107" s="7">
        <v>0</v>
      </c>
      <c r="H107" s="7">
        <v>0</v>
      </c>
      <c r="I107" s="7">
        <v>0</v>
      </c>
      <c r="J107" s="7">
        <v>0</v>
      </c>
      <c r="K107" s="7">
        <v>0</v>
      </c>
      <c r="L107" s="7">
        <v>0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</row>
    <row r="108" spans="1:17">
      <c r="A108" s="2">
        <v>2056</v>
      </c>
      <c r="B108" s="7">
        <v>0</v>
      </c>
      <c r="C108" s="7">
        <v>0</v>
      </c>
      <c r="D108" s="7">
        <v>0</v>
      </c>
      <c r="E108" s="7">
        <v>0</v>
      </c>
      <c r="F108" s="7">
        <v>0</v>
      </c>
      <c r="G108" s="7">
        <v>0</v>
      </c>
      <c r="H108" s="7">
        <v>0</v>
      </c>
      <c r="I108" s="7">
        <v>0</v>
      </c>
      <c r="J108" s="7">
        <v>0</v>
      </c>
      <c r="K108" s="7">
        <v>0</v>
      </c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</row>
    <row r="109" spans="1:17">
      <c r="A109" s="2">
        <v>2057</v>
      </c>
      <c r="B109" s="7">
        <v>0</v>
      </c>
      <c r="C109" s="7">
        <v>0</v>
      </c>
      <c r="D109" s="7">
        <v>0</v>
      </c>
      <c r="E109" s="7">
        <v>0</v>
      </c>
      <c r="F109" s="7">
        <v>0</v>
      </c>
      <c r="G109" s="7">
        <v>0</v>
      </c>
      <c r="H109" s="7">
        <v>0</v>
      </c>
      <c r="I109" s="7">
        <v>0</v>
      </c>
      <c r="J109" s="7">
        <v>0</v>
      </c>
      <c r="K109" s="7">
        <v>0</v>
      </c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</row>
    <row r="110" spans="1:17">
      <c r="A110" s="2">
        <v>2058</v>
      </c>
      <c r="B110" s="7">
        <v>0</v>
      </c>
      <c r="C110" s="7">
        <v>0</v>
      </c>
      <c r="D110" s="7">
        <v>0</v>
      </c>
      <c r="E110" s="7">
        <v>0</v>
      </c>
      <c r="F110" s="7">
        <v>0</v>
      </c>
      <c r="G110" s="7">
        <v>0</v>
      </c>
      <c r="H110" s="7">
        <v>0</v>
      </c>
      <c r="I110" s="7">
        <v>0</v>
      </c>
      <c r="J110" s="7">
        <v>0</v>
      </c>
      <c r="K110" s="7">
        <v>0</v>
      </c>
      <c r="L110" s="7">
        <v>0</v>
      </c>
      <c r="M110" s="7">
        <v>0</v>
      </c>
      <c r="N110" s="7">
        <v>0</v>
      </c>
      <c r="O110" s="7">
        <v>0</v>
      </c>
      <c r="P110" s="7">
        <v>0</v>
      </c>
      <c r="Q110" s="7">
        <v>0</v>
      </c>
    </row>
    <row r="111" spans="1:17">
      <c r="A111" s="2">
        <v>2059</v>
      </c>
      <c r="B111" s="7">
        <v>0</v>
      </c>
      <c r="C111" s="7">
        <v>0</v>
      </c>
      <c r="D111" s="7">
        <v>0</v>
      </c>
      <c r="E111" s="7">
        <v>0</v>
      </c>
      <c r="F111" s="7">
        <v>0</v>
      </c>
      <c r="G111" s="7">
        <v>0</v>
      </c>
      <c r="H111" s="7">
        <v>0</v>
      </c>
      <c r="I111" s="7">
        <v>0</v>
      </c>
      <c r="J111" s="7">
        <v>0</v>
      </c>
      <c r="K111" s="7">
        <v>0</v>
      </c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</row>
    <row r="112" spans="1:17">
      <c r="A112" s="2">
        <v>2060</v>
      </c>
      <c r="B112" s="7">
        <v>0</v>
      </c>
      <c r="C112" s="7">
        <v>0</v>
      </c>
      <c r="D112" s="7">
        <v>0</v>
      </c>
      <c r="E112" s="7">
        <v>0</v>
      </c>
      <c r="F112" s="7">
        <v>0</v>
      </c>
      <c r="G112" s="7">
        <v>0</v>
      </c>
      <c r="H112" s="7">
        <v>0</v>
      </c>
      <c r="I112" s="7">
        <v>0</v>
      </c>
      <c r="J112" s="7">
        <v>0</v>
      </c>
      <c r="K112" s="7">
        <v>0</v>
      </c>
      <c r="L112" s="7">
        <v>0</v>
      </c>
      <c r="M112" s="7">
        <v>0</v>
      </c>
      <c r="N112" s="7">
        <v>0</v>
      </c>
      <c r="O112" s="7">
        <v>0</v>
      </c>
      <c r="P112" s="7">
        <v>0</v>
      </c>
      <c r="Q112" s="7">
        <v>0</v>
      </c>
    </row>
    <row r="113" spans="1:17">
      <c r="A113" s="2">
        <v>2061</v>
      </c>
      <c r="B113" s="7">
        <v>0</v>
      </c>
      <c r="C113" s="7">
        <v>0</v>
      </c>
      <c r="D113" s="7">
        <v>0</v>
      </c>
      <c r="E113" s="7">
        <v>0</v>
      </c>
      <c r="F113" s="7">
        <v>0</v>
      </c>
      <c r="G113" s="7">
        <v>0</v>
      </c>
      <c r="H113" s="7">
        <v>0</v>
      </c>
      <c r="I113" s="7">
        <v>0</v>
      </c>
      <c r="J113" s="7">
        <v>0</v>
      </c>
      <c r="K113" s="7">
        <v>0</v>
      </c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</row>
    <row r="114" spans="1:17">
      <c r="A114" s="2">
        <v>2062</v>
      </c>
      <c r="B114" s="7">
        <v>0</v>
      </c>
      <c r="C114" s="7">
        <v>0</v>
      </c>
      <c r="D114" s="7">
        <v>0</v>
      </c>
      <c r="E114" s="7">
        <v>0</v>
      </c>
      <c r="F114" s="7">
        <v>0</v>
      </c>
      <c r="G114" s="7">
        <v>0</v>
      </c>
      <c r="H114" s="7">
        <v>0</v>
      </c>
      <c r="I114" s="7">
        <v>0</v>
      </c>
      <c r="J114" s="7">
        <v>0</v>
      </c>
      <c r="K114" s="7">
        <v>0</v>
      </c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</row>
    <row r="115" spans="1:17">
      <c r="A115" s="2">
        <v>2063</v>
      </c>
      <c r="B115" s="7">
        <v>0</v>
      </c>
      <c r="C115" s="7">
        <v>0</v>
      </c>
      <c r="D115" s="7">
        <v>0</v>
      </c>
      <c r="E115" s="7">
        <v>0</v>
      </c>
      <c r="F115" s="7">
        <v>0</v>
      </c>
      <c r="G115" s="7">
        <v>0</v>
      </c>
      <c r="H115" s="7">
        <v>0</v>
      </c>
      <c r="I115" s="7">
        <v>0</v>
      </c>
      <c r="J115" s="7">
        <v>0</v>
      </c>
      <c r="K115" s="7">
        <v>0</v>
      </c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</row>
    <row r="116" spans="1:17">
      <c r="A116" s="2">
        <v>2064</v>
      </c>
      <c r="B116" s="7">
        <v>0</v>
      </c>
      <c r="C116" s="7">
        <v>0</v>
      </c>
      <c r="D116" s="7">
        <v>0</v>
      </c>
      <c r="E116" s="7">
        <v>0</v>
      </c>
      <c r="F116" s="7">
        <v>0</v>
      </c>
      <c r="G116" s="7">
        <v>0</v>
      </c>
      <c r="H116" s="7">
        <v>0</v>
      </c>
      <c r="I116" s="7">
        <v>0</v>
      </c>
      <c r="J116" s="7">
        <v>0</v>
      </c>
      <c r="K116" s="7">
        <v>0</v>
      </c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</row>
    <row r="117" spans="1:17">
      <c r="A117" s="2">
        <v>2065</v>
      </c>
      <c r="B117" s="7">
        <v>0</v>
      </c>
      <c r="C117" s="7">
        <v>0</v>
      </c>
      <c r="D117" s="7">
        <v>0</v>
      </c>
      <c r="E117" s="7">
        <v>0</v>
      </c>
      <c r="F117" s="7">
        <v>0</v>
      </c>
      <c r="G117" s="7">
        <v>0</v>
      </c>
      <c r="H117" s="7">
        <v>0</v>
      </c>
      <c r="I117" s="7">
        <v>0</v>
      </c>
      <c r="J117" s="7">
        <v>0</v>
      </c>
      <c r="K117" s="7">
        <v>0</v>
      </c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</row>
    <row r="118" spans="1:17">
      <c r="A118" s="2">
        <v>2066</v>
      </c>
      <c r="B118" s="7">
        <v>0</v>
      </c>
      <c r="C118" s="7">
        <v>0</v>
      </c>
      <c r="D118" s="7">
        <v>0</v>
      </c>
      <c r="E118" s="7">
        <v>0</v>
      </c>
      <c r="F118" s="7">
        <v>0</v>
      </c>
      <c r="G118" s="7">
        <v>0</v>
      </c>
      <c r="H118" s="7">
        <v>0</v>
      </c>
      <c r="I118" s="7">
        <v>0</v>
      </c>
      <c r="J118" s="7">
        <v>0</v>
      </c>
      <c r="K118" s="7">
        <v>0</v>
      </c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</row>
    <row r="119" spans="1:17">
      <c r="A119" s="2">
        <v>2067</v>
      </c>
      <c r="B119" s="7">
        <v>0</v>
      </c>
      <c r="C119" s="7">
        <v>0</v>
      </c>
      <c r="D119" s="7">
        <v>0</v>
      </c>
      <c r="E119" s="7">
        <v>0</v>
      </c>
      <c r="F119" s="7">
        <v>0</v>
      </c>
      <c r="G119" s="7">
        <v>0</v>
      </c>
      <c r="H119" s="7">
        <v>0</v>
      </c>
      <c r="I119" s="7">
        <v>0</v>
      </c>
      <c r="J119" s="7">
        <v>0</v>
      </c>
      <c r="K119" s="7">
        <v>0</v>
      </c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</row>
    <row r="120" spans="1:17">
      <c r="A120" s="2">
        <v>2068</v>
      </c>
      <c r="B120" s="7">
        <v>0</v>
      </c>
      <c r="C120" s="7">
        <v>0</v>
      </c>
      <c r="D120" s="7">
        <v>0</v>
      </c>
      <c r="E120" s="7">
        <v>0</v>
      </c>
      <c r="F120" s="7">
        <v>0</v>
      </c>
      <c r="G120" s="7">
        <v>0</v>
      </c>
      <c r="H120" s="7">
        <v>0</v>
      </c>
      <c r="I120" s="7">
        <v>0</v>
      </c>
      <c r="J120" s="7">
        <v>0</v>
      </c>
      <c r="K120" s="7">
        <v>0</v>
      </c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</row>
    <row r="121" spans="1:17">
      <c r="A121" s="2">
        <v>2069</v>
      </c>
      <c r="B121" s="7">
        <v>0</v>
      </c>
      <c r="C121" s="7">
        <v>0</v>
      </c>
      <c r="D121" s="7">
        <v>0</v>
      </c>
      <c r="E121" s="7">
        <v>0</v>
      </c>
      <c r="F121" s="7">
        <v>0</v>
      </c>
      <c r="G121" s="7">
        <v>0</v>
      </c>
      <c r="H121" s="7">
        <v>0</v>
      </c>
      <c r="I121" s="7">
        <v>0</v>
      </c>
      <c r="J121" s="7">
        <v>0</v>
      </c>
      <c r="K121" s="7">
        <v>0</v>
      </c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</row>
    <row r="122" spans="1:17">
      <c r="A122" s="2">
        <v>2070</v>
      </c>
      <c r="B122" s="7">
        <v>0</v>
      </c>
      <c r="C122" s="7">
        <v>0</v>
      </c>
      <c r="D122" s="7">
        <v>0</v>
      </c>
      <c r="E122" s="7">
        <v>0</v>
      </c>
      <c r="F122" s="7">
        <v>0</v>
      </c>
      <c r="G122" s="7">
        <v>0</v>
      </c>
      <c r="H122" s="7">
        <v>0</v>
      </c>
      <c r="I122" s="7">
        <v>0</v>
      </c>
      <c r="J122" s="7">
        <v>0</v>
      </c>
      <c r="K122" s="7">
        <v>0</v>
      </c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</row>
    <row r="123" spans="1:17">
      <c r="A123" s="2">
        <v>2071</v>
      </c>
      <c r="B123" s="7">
        <v>0</v>
      </c>
      <c r="C123" s="7">
        <v>0</v>
      </c>
      <c r="D123" s="7">
        <v>0</v>
      </c>
      <c r="E123" s="7">
        <v>0</v>
      </c>
      <c r="F123" s="7">
        <v>0</v>
      </c>
      <c r="G123" s="7">
        <v>0</v>
      </c>
      <c r="H123" s="7">
        <v>0</v>
      </c>
      <c r="I123" s="7">
        <v>0</v>
      </c>
      <c r="J123" s="7">
        <v>0</v>
      </c>
      <c r="K123" s="7">
        <v>0</v>
      </c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</row>
    <row r="124" spans="1:17">
      <c r="A124" s="2">
        <v>2072</v>
      </c>
      <c r="B124" s="7">
        <v>0</v>
      </c>
      <c r="C124" s="7">
        <v>0</v>
      </c>
      <c r="D124" s="7">
        <v>0</v>
      </c>
      <c r="E124" s="7">
        <v>0</v>
      </c>
      <c r="F124" s="7">
        <v>0</v>
      </c>
      <c r="G124" s="7">
        <v>0</v>
      </c>
      <c r="H124" s="7">
        <v>0</v>
      </c>
      <c r="I124" s="7">
        <v>0</v>
      </c>
      <c r="J124" s="7">
        <v>0</v>
      </c>
      <c r="K124" s="7">
        <v>0</v>
      </c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</row>
    <row r="125" spans="1:17">
      <c r="A125" s="2">
        <v>2073</v>
      </c>
      <c r="B125" s="7">
        <v>0</v>
      </c>
      <c r="C125" s="7">
        <v>0</v>
      </c>
      <c r="D125" s="7">
        <v>0</v>
      </c>
      <c r="E125" s="7">
        <v>0</v>
      </c>
      <c r="F125" s="7">
        <v>0</v>
      </c>
      <c r="G125" s="7">
        <v>0</v>
      </c>
      <c r="H125" s="7">
        <v>0</v>
      </c>
      <c r="I125" s="7">
        <v>0</v>
      </c>
      <c r="J125" s="7">
        <v>0</v>
      </c>
      <c r="K125" s="7">
        <v>0</v>
      </c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</row>
    <row r="126" spans="1:17">
      <c r="A126" s="2">
        <v>2074</v>
      </c>
      <c r="B126" s="7">
        <v>0</v>
      </c>
      <c r="C126" s="7">
        <v>0</v>
      </c>
      <c r="D126" s="7">
        <v>0</v>
      </c>
      <c r="E126" s="7">
        <v>0</v>
      </c>
      <c r="F126" s="7">
        <v>0</v>
      </c>
      <c r="G126" s="7">
        <v>0</v>
      </c>
      <c r="H126" s="7">
        <v>0</v>
      </c>
      <c r="I126" s="7">
        <v>0</v>
      </c>
      <c r="J126" s="7">
        <v>0</v>
      </c>
      <c r="K126" s="7">
        <v>0</v>
      </c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</row>
    <row r="127" spans="1:17">
      <c r="A127" s="2">
        <v>2075</v>
      </c>
      <c r="B127" s="7">
        <v>0</v>
      </c>
      <c r="C127" s="7">
        <v>0</v>
      </c>
      <c r="D127" s="7">
        <v>0</v>
      </c>
      <c r="E127" s="7">
        <v>0</v>
      </c>
      <c r="F127" s="7">
        <v>0</v>
      </c>
      <c r="G127" s="7">
        <v>0</v>
      </c>
      <c r="H127" s="7">
        <v>0</v>
      </c>
      <c r="I127" s="7">
        <v>0</v>
      </c>
      <c r="J127" s="7">
        <v>0</v>
      </c>
      <c r="K127" s="7">
        <v>0</v>
      </c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</row>
    <row r="128" spans="1:17">
      <c r="A128" s="2">
        <v>2076</v>
      </c>
      <c r="B128" s="7">
        <v>0</v>
      </c>
      <c r="C128" s="7">
        <v>0</v>
      </c>
      <c r="D128" s="7">
        <v>0</v>
      </c>
      <c r="E128" s="7">
        <v>0</v>
      </c>
      <c r="F128" s="7">
        <v>0</v>
      </c>
      <c r="G128" s="7">
        <v>0</v>
      </c>
      <c r="H128" s="7">
        <v>0</v>
      </c>
      <c r="I128" s="7">
        <v>0</v>
      </c>
      <c r="J128" s="7">
        <v>0</v>
      </c>
      <c r="K128" s="7">
        <v>0</v>
      </c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</row>
    <row r="129" spans="1:17">
      <c r="A129" s="2">
        <v>2077</v>
      </c>
      <c r="B129" s="7">
        <v>0</v>
      </c>
      <c r="C129" s="7">
        <v>0</v>
      </c>
      <c r="D129" s="7">
        <v>0</v>
      </c>
      <c r="E129" s="7">
        <v>0</v>
      </c>
      <c r="F129" s="7">
        <v>0</v>
      </c>
      <c r="G129" s="7">
        <v>0</v>
      </c>
      <c r="H129" s="7">
        <v>0</v>
      </c>
      <c r="I129" s="7">
        <v>0</v>
      </c>
      <c r="J129" s="7">
        <v>0</v>
      </c>
      <c r="K129" s="7">
        <v>0</v>
      </c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</row>
    <row r="130" spans="1:17">
      <c r="A130" s="2">
        <v>2078</v>
      </c>
      <c r="B130" s="7">
        <v>0</v>
      </c>
      <c r="C130" s="7">
        <v>0</v>
      </c>
      <c r="D130" s="7">
        <v>0</v>
      </c>
      <c r="E130" s="7">
        <v>0</v>
      </c>
      <c r="F130" s="7">
        <v>0</v>
      </c>
      <c r="G130" s="7">
        <v>0</v>
      </c>
      <c r="H130" s="7">
        <v>0</v>
      </c>
      <c r="I130" s="7">
        <v>0</v>
      </c>
      <c r="J130" s="7">
        <v>0</v>
      </c>
      <c r="K130" s="7">
        <v>0</v>
      </c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</row>
    <row r="131" spans="1:17">
      <c r="A131" s="2">
        <v>2079</v>
      </c>
      <c r="B131" s="7">
        <v>0</v>
      </c>
      <c r="C131" s="7">
        <v>0</v>
      </c>
      <c r="D131" s="7">
        <v>0</v>
      </c>
      <c r="E131" s="7">
        <v>0</v>
      </c>
      <c r="F131" s="7">
        <v>0</v>
      </c>
      <c r="G131" s="7">
        <v>0</v>
      </c>
      <c r="H131" s="7">
        <v>0</v>
      </c>
      <c r="I131" s="7">
        <v>0</v>
      </c>
      <c r="J131" s="7">
        <v>0</v>
      </c>
      <c r="K131" s="7">
        <v>0</v>
      </c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</row>
    <row r="132" spans="1:17">
      <c r="A132" s="2">
        <v>2080</v>
      </c>
      <c r="B132" s="7">
        <v>0</v>
      </c>
      <c r="C132" s="7">
        <v>0</v>
      </c>
      <c r="D132" s="7">
        <v>0</v>
      </c>
      <c r="E132" s="7">
        <v>0</v>
      </c>
      <c r="F132" s="7">
        <v>0</v>
      </c>
      <c r="G132" s="7">
        <v>0</v>
      </c>
      <c r="H132" s="7">
        <v>0</v>
      </c>
      <c r="I132" s="7">
        <v>0</v>
      </c>
      <c r="J132" s="7">
        <v>0</v>
      </c>
      <c r="K132" s="7">
        <v>0</v>
      </c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</row>
    <row r="133" spans="1:17">
      <c r="A133" s="2">
        <v>2081</v>
      </c>
      <c r="B133" s="7">
        <v>0</v>
      </c>
      <c r="C133" s="7">
        <v>0</v>
      </c>
      <c r="D133" s="7">
        <v>0</v>
      </c>
      <c r="E133" s="7">
        <v>0</v>
      </c>
      <c r="F133" s="7">
        <v>0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</row>
    <row r="134" spans="1:17">
      <c r="A134" s="2">
        <v>2082</v>
      </c>
      <c r="B134" s="7">
        <v>0</v>
      </c>
      <c r="C134" s="7">
        <v>0</v>
      </c>
      <c r="D134" s="7">
        <v>0</v>
      </c>
      <c r="E134" s="7">
        <v>0</v>
      </c>
      <c r="F134" s="7">
        <v>0</v>
      </c>
      <c r="G134" s="7">
        <v>0</v>
      </c>
      <c r="H134" s="7">
        <v>0</v>
      </c>
      <c r="I134" s="7">
        <v>0</v>
      </c>
      <c r="J134" s="7">
        <v>0</v>
      </c>
      <c r="K134" s="7">
        <v>0</v>
      </c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</row>
    <row r="135" spans="1:17">
      <c r="A135" s="2">
        <v>2083</v>
      </c>
      <c r="B135" s="7">
        <v>0</v>
      </c>
      <c r="C135" s="7">
        <v>0</v>
      </c>
      <c r="D135" s="7">
        <v>0</v>
      </c>
      <c r="E135" s="7">
        <v>0</v>
      </c>
      <c r="F135" s="7">
        <v>0</v>
      </c>
      <c r="G135" s="7">
        <v>0</v>
      </c>
      <c r="H135" s="7">
        <v>0</v>
      </c>
      <c r="I135" s="7">
        <v>0</v>
      </c>
      <c r="J135" s="7">
        <v>0</v>
      </c>
      <c r="K135" s="7">
        <v>0</v>
      </c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</row>
    <row r="136" spans="1:17">
      <c r="A136" s="2">
        <v>2084</v>
      </c>
      <c r="B136" s="7">
        <v>0</v>
      </c>
      <c r="C136" s="7">
        <v>0</v>
      </c>
      <c r="D136" s="7">
        <v>0</v>
      </c>
      <c r="E136" s="7">
        <v>0</v>
      </c>
      <c r="F136" s="7">
        <v>0</v>
      </c>
      <c r="G136" s="7">
        <v>0</v>
      </c>
      <c r="H136" s="7">
        <v>0</v>
      </c>
      <c r="I136" s="7">
        <v>0</v>
      </c>
      <c r="J136" s="7">
        <v>0</v>
      </c>
      <c r="K136" s="7">
        <v>0</v>
      </c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</row>
    <row r="137" spans="1:17">
      <c r="A137" s="2">
        <v>2085</v>
      </c>
      <c r="B137" s="7">
        <v>0</v>
      </c>
      <c r="C137" s="7">
        <v>0</v>
      </c>
      <c r="D137" s="7">
        <v>0</v>
      </c>
      <c r="E137" s="7">
        <v>0</v>
      </c>
      <c r="F137" s="7">
        <v>0</v>
      </c>
      <c r="G137" s="7">
        <v>0</v>
      </c>
      <c r="H137" s="7">
        <v>0</v>
      </c>
      <c r="I137" s="7">
        <v>0</v>
      </c>
      <c r="J137" s="7">
        <v>0</v>
      </c>
      <c r="K137" s="7">
        <v>0</v>
      </c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</row>
    <row r="138" spans="1:17">
      <c r="A138" s="2">
        <v>2086</v>
      </c>
      <c r="B138" s="7">
        <v>0</v>
      </c>
      <c r="C138" s="7">
        <v>0</v>
      </c>
      <c r="D138" s="7">
        <v>0</v>
      </c>
      <c r="E138" s="7">
        <v>0</v>
      </c>
      <c r="F138" s="7">
        <v>0</v>
      </c>
      <c r="G138" s="7">
        <v>0</v>
      </c>
      <c r="H138" s="7">
        <v>0</v>
      </c>
      <c r="I138" s="7">
        <v>0</v>
      </c>
      <c r="J138" s="7">
        <v>0</v>
      </c>
      <c r="K138" s="7">
        <v>0</v>
      </c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</row>
    <row r="139" spans="1:17">
      <c r="A139" s="2">
        <v>2087</v>
      </c>
      <c r="B139" s="7">
        <v>0</v>
      </c>
      <c r="C139" s="7">
        <v>0</v>
      </c>
      <c r="D139" s="7">
        <v>0</v>
      </c>
      <c r="E139" s="7">
        <v>0</v>
      </c>
      <c r="F139" s="7">
        <v>0</v>
      </c>
      <c r="G139" s="7">
        <v>0</v>
      </c>
      <c r="H139" s="7">
        <v>0</v>
      </c>
      <c r="I139" s="7">
        <v>0</v>
      </c>
      <c r="J139" s="7">
        <v>0</v>
      </c>
      <c r="K139" s="7">
        <v>0</v>
      </c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</row>
    <row r="140" spans="1:17">
      <c r="A140" s="2">
        <v>2088</v>
      </c>
      <c r="B140" s="7">
        <v>0</v>
      </c>
      <c r="C140" s="7">
        <v>0</v>
      </c>
      <c r="D140" s="7">
        <v>0</v>
      </c>
      <c r="E140" s="7">
        <v>0</v>
      </c>
      <c r="F140" s="7">
        <v>0</v>
      </c>
      <c r="G140" s="7">
        <v>0</v>
      </c>
      <c r="H140" s="7">
        <v>0</v>
      </c>
      <c r="I140" s="7">
        <v>0</v>
      </c>
      <c r="J140" s="7">
        <v>0</v>
      </c>
      <c r="K140" s="7">
        <v>0</v>
      </c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</row>
    <row r="141" spans="1:17">
      <c r="A141" s="2">
        <v>2089</v>
      </c>
      <c r="B141" s="7">
        <v>0</v>
      </c>
      <c r="C141" s="7">
        <v>0</v>
      </c>
      <c r="D141" s="7">
        <v>0</v>
      </c>
      <c r="E141" s="7">
        <v>0</v>
      </c>
      <c r="F141" s="7">
        <v>0</v>
      </c>
      <c r="G141" s="7">
        <v>0</v>
      </c>
      <c r="H141" s="7">
        <v>0</v>
      </c>
      <c r="I141" s="7">
        <v>0</v>
      </c>
      <c r="J141" s="7">
        <v>0</v>
      </c>
      <c r="K141" s="7">
        <v>0</v>
      </c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</row>
    <row r="142" spans="1:17">
      <c r="A142" s="2">
        <v>2090</v>
      </c>
      <c r="B142" s="7">
        <v>0</v>
      </c>
      <c r="C142" s="7">
        <v>0</v>
      </c>
      <c r="D142" s="7">
        <v>0</v>
      </c>
      <c r="E142" s="7">
        <v>0</v>
      </c>
      <c r="F142" s="7">
        <v>0</v>
      </c>
      <c r="G142" s="7">
        <v>0</v>
      </c>
      <c r="H142" s="7">
        <v>0</v>
      </c>
      <c r="I142" s="7">
        <v>0</v>
      </c>
      <c r="J142" s="7">
        <v>0</v>
      </c>
      <c r="K142" s="7">
        <v>0</v>
      </c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</row>
    <row r="143" spans="1:17">
      <c r="A143" s="2">
        <v>2091</v>
      </c>
      <c r="B143" s="7">
        <v>0</v>
      </c>
      <c r="C143" s="7">
        <v>0</v>
      </c>
      <c r="D143" s="7">
        <v>0</v>
      </c>
      <c r="E143" s="7">
        <v>0</v>
      </c>
      <c r="F143" s="7">
        <v>0</v>
      </c>
      <c r="G143" s="7">
        <v>0</v>
      </c>
      <c r="H143" s="7">
        <v>0</v>
      </c>
      <c r="I143" s="7">
        <v>0</v>
      </c>
      <c r="J143" s="7">
        <v>0</v>
      </c>
      <c r="K143" s="7">
        <v>0</v>
      </c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</row>
    <row r="144" spans="1:17">
      <c r="A144" s="2">
        <v>2092</v>
      </c>
      <c r="B144" s="7">
        <v>0</v>
      </c>
      <c r="C144" s="7">
        <v>0</v>
      </c>
      <c r="D144" s="7">
        <v>0</v>
      </c>
      <c r="E144" s="7">
        <v>0</v>
      </c>
      <c r="F144" s="7">
        <v>0</v>
      </c>
      <c r="G144" s="7">
        <v>0</v>
      </c>
      <c r="H144" s="7">
        <v>0</v>
      </c>
      <c r="I144" s="7">
        <v>0</v>
      </c>
      <c r="J144" s="7">
        <v>0</v>
      </c>
      <c r="K144" s="7">
        <v>0</v>
      </c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</row>
    <row r="145" spans="1:17">
      <c r="A145" s="2">
        <v>2093</v>
      </c>
      <c r="B145" s="7">
        <v>0</v>
      </c>
      <c r="C145" s="7">
        <v>0</v>
      </c>
      <c r="D145" s="7">
        <v>0</v>
      </c>
      <c r="E145" s="7">
        <v>0</v>
      </c>
      <c r="F145" s="7">
        <v>0</v>
      </c>
      <c r="G145" s="7">
        <v>0</v>
      </c>
      <c r="H145" s="7">
        <v>0</v>
      </c>
      <c r="I145" s="7">
        <v>0</v>
      </c>
      <c r="J145" s="7">
        <v>0</v>
      </c>
      <c r="K145" s="7">
        <v>0</v>
      </c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</row>
    <row r="146" spans="1:17">
      <c r="A146" s="2">
        <v>2094</v>
      </c>
      <c r="B146" s="7">
        <v>0</v>
      </c>
      <c r="C146" s="7">
        <v>0</v>
      </c>
      <c r="D146" s="7">
        <v>0</v>
      </c>
      <c r="E146" s="7">
        <v>0</v>
      </c>
      <c r="F146" s="7">
        <v>0</v>
      </c>
      <c r="G146" s="7">
        <v>0</v>
      </c>
      <c r="H146" s="7">
        <v>0</v>
      </c>
      <c r="I146" s="7">
        <v>0</v>
      </c>
      <c r="J146" s="7">
        <v>0</v>
      </c>
      <c r="K146" s="7">
        <v>0</v>
      </c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</row>
    <row r="147" spans="1:17">
      <c r="A147" s="2">
        <v>2095</v>
      </c>
      <c r="B147" s="7">
        <v>0</v>
      </c>
      <c r="C147" s="7">
        <v>0</v>
      </c>
      <c r="D147" s="7">
        <v>0</v>
      </c>
      <c r="E147" s="7">
        <v>0</v>
      </c>
      <c r="F147" s="7">
        <v>0</v>
      </c>
      <c r="G147" s="7">
        <v>0</v>
      </c>
      <c r="H147" s="7">
        <v>0</v>
      </c>
      <c r="I147" s="7">
        <v>0</v>
      </c>
      <c r="J147" s="7">
        <v>0</v>
      </c>
      <c r="K147" s="7">
        <v>0</v>
      </c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</row>
    <row r="148" spans="1:17">
      <c r="A148" s="2">
        <v>2096</v>
      </c>
      <c r="B148" s="7">
        <v>0</v>
      </c>
      <c r="C148" s="7">
        <v>0</v>
      </c>
      <c r="D148" s="7">
        <v>0</v>
      </c>
      <c r="E148" s="7">
        <v>0</v>
      </c>
      <c r="F148" s="7">
        <v>0</v>
      </c>
      <c r="G148" s="7">
        <v>0</v>
      </c>
      <c r="H148" s="7">
        <v>0</v>
      </c>
      <c r="I148" s="7">
        <v>0</v>
      </c>
      <c r="J148" s="7">
        <v>0</v>
      </c>
      <c r="K148" s="7">
        <v>0</v>
      </c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</row>
    <row r="149" spans="1:17">
      <c r="A149" s="2">
        <v>2097</v>
      </c>
      <c r="B149" s="7">
        <v>0</v>
      </c>
      <c r="C149" s="7">
        <v>0</v>
      </c>
      <c r="D149" s="7">
        <v>0</v>
      </c>
      <c r="E149" s="7">
        <v>0</v>
      </c>
      <c r="F149" s="7">
        <v>0</v>
      </c>
      <c r="G149" s="7">
        <v>0</v>
      </c>
      <c r="H149" s="7">
        <v>0</v>
      </c>
      <c r="I149" s="7">
        <v>0</v>
      </c>
      <c r="J149" s="7">
        <v>0</v>
      </c>
      <c r="K149" s="7">
        <v>0</v>
      </c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</row>
    <row r="150" spans="1:17">
      <c r="A150" s="2">
        <v>2098</v>
      </c>
      <c r="B150" s="7">
        <v>0</v>
      </c>
      <c r="C150" s="7">
        <v>0</v>
      </c>
      <c r="D150" s="7">
        <v>0</v>
      </c>
      <c r="E150" s="7">
        <v>0</v>
      </c>
      <c r="F150" s="7">
        <v>0</v>
      </c>
      <c r="G150" s="7">
        <v>0</v>
      </c>
      <c r="H150" s="7">
        <v>0</v>
      </c>
      <c r="I150" s="7">
        <v>0</v>
      </c>
      <c r="J150" s="7">
        <v>0</v>
      </c>
      <c r="K150" s="7">
        <v>0</v>
      </c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</row>
    <row r="151" spans="1:17">
      <c r="A151" s="2">
        <v>2099</v>
      </c>
      <c r="B151" s="7">
        <v>0</v>
      </c>
      <c r="C151" s="7">
        <v>0</v>
      </c>
      <c r="D151" s="7">
        <v>0</v>
      </c>
      <c r="E151" s="7">
        <v>0</v>
      </c>
      <c r="F151" s="7">
        <v>0</v>
      </c>
      <c r="G151" s="7">
        <v>0</v>
      </c>
      <c r="H151" s="7">
        <v>0</v>
      </c>
      <c r="I151" s="7">
        <v>0</v>
      </c>
      <c r="J151" s="7">
        <v>0</v>
      </c>
      <c r="K151" s="7">
        <v>0</v>
      </c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</row>
    <row r="152" spans="1:17">
      <c r="A152" s="2">
        <v>2100</v>
      </c>
      <c r="B152" s="7">
        <v>0</v>
      </c>
      <c r="C152" s="7">
        <v>0</v>
      </c>
      <c r="D152" s="7">
        <v>0</v>
      </c>
      <c r="E152" s="7">
        <v>0</v>
      </c>
      <c r="F152" s="7">
        <v>0</v>
      </c>
      <c r="G152" s="7">
        <v>0</v>
      </c>
      <c r="H152" s="7">
        <v>0</v>
      </c>
      <c r="I152" s="7">
        <v>0</v>
      </c>
      <c r="J152" s="7">
        <v>0</v>
      </c>
      <c r="K152" s="7">
        <v>0</v>
      </c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</row>
    <row r="153" spans="1:17">
      <c r="A153" s="2">
        <v>2101</v>
      </c>
      <c r="B153" s="7">
        <v>0</v>
      </c>
      <c r="C153" s="7">
        <v>0</v>
      </c>
      <c r="D153" s="7">
        <v>0</v>
      </c>
      <c r="E153" s="7">
        <v>0</v>
      </c>
      <c r="F153" s="7">
        <v>0</v>
      </c>
      <c r="G153" s="7">
        <v>0</v>
      </c>
      <c r="H153" s="7">
        <v>0</v>
      </c>
      <c r="I153" s="7">
        <v>0</v>
      </c>
      <c r="J153" s="7">
        <v>0</v>
      </c>
      <c r="K153" s="7">
        <v>0</v>
      </c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</row>
    <row r="154" spans="1:17">
      <c r="A154" s="2">
        <v>2102</v>
      </c>
      <c r="B154" s="7">
        <v>0</v>
      </c>
      <c r="C154" s="7">
        <v>0</v>
      </c>
      <c r="D154" s="7">
        <v>0</v>
      </c>
      <c r="E154" s="7">
        <v>0</v>
      </c>
      <c r="F154" s="7">
        <v>0</v>
      </c>
      <c r="G154" s="7">
        <v>0</v>
      </c>
      <c r="H154" s="7">
        <v>0</v>
      </c>
      <c r="I154" s="7">
        <v>0</v>
      </c>
      <c r="J154" s="7">
        <v>0</v>
      </c>
      <c r="K154" s="7">
        <v>0</v>
      </c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</row>
    <row r="155" spans="1:17">
      <c r="A155" s="2">
        <v>2103</v>
      </c>
      <c r="B155" s="7">
        <v>0</v>
      </c>
      <c r="C155" s="7">
        <v>0</v>
      </c>
      <c r="D155" s="7">
        <v>0</v>
      </c>
      <c r="E155" s="7">
        <v>0</v>
      </c>
      <c r="F155" s="7">
        <v>0</v>
      </c>
      <c r="G155" s="7">
        <v>0</v>
      </c>
      <c r="H155" s="7">
        <v>0</v>
      </c>
      <c r="I155" s="7">
        <v>0</v>
      </c>
      <c r="J155" s="7">
        <v>0</v>
      </c>
      <c r="K155" s="7">
        <v>0</v>
      </c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</row>
    <row r="156" spans="1:17">
      <c r="A156" s="2">
        <v>2104</v>
      </c>
      <c r="B156" s="7">
        <v>0</v>
      </c>
      <c r="C156" s="7">
        <v>0</v>
      </c>
      <c r="D156" s="7">
        <v>0</v>
      </c>
      <c r="E156" s="7">
        <v>0</v>
      </c>
      <c r="F156" s="7">
        <v>0</v>
      </c>
      <c r="G156" s="7">
        <v>0</v>
      </c>
      <c r="H156" s="7">
        <v>0</v>
      </c>
      <c r="I156" s="7">
        <v>0</v>
      </c>
      <c r="J156" s="7">
        <v>0</v>
      </c>
      <c r="K156" s="7">
        <v>0</v>
      </c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</row>
    <row r="157" spans="1:17">
      <c r="A157" s="2">
        <v>2105</v>
      </c>
      <c r="B157" s="7">
        <v>0</v>
      </c>
      <c r="C157" s="7">
        <v>0</v>
      </c>
      <c r="D157" s="7">
        <v>0</v>
      </c>
      <c r="E157" s="7">
        <v>0</v>
      </c>
      <c r="F157" s="7">
        <v>0</v>
      </c>
      <c r="G157" s="7">
        <v>0</v>
      </c>
      <c r="H157" s="7">
        <v>0</v>
      </c>
      <c r="I157" s="7">
        <v>0</v>
      </c>
      <c r="J157" s="7">
        <v>0</v>
      </c>
      <c r="K157" s="7">
        <v>0</v>
      </c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</row>
    <row r="158" spans="1:17">
      <c r="A158" s="2">
        <v>2106</v>
      </c>
      <c r="B158" s="7">
        <v>0</v>
      </c>
      <c r="C158" s="7">
        <v>0</v>
      </c>
      <c r="D158" s="7">
        <v>0</v>
      </c>
      <c r="E158" s="7">
        <v>0</v>
      </c>
      <c r="F158" s="7">
        <v>0</v>
      </c>
      <c r="G158" s="7">
        <v>0</v>
      </c>
      <c r="H158" s="7">
        <v>0</v>
      </c>
      <c r="I158" s="7">
        <v>0</v>
      </c>
      <c r="J158" s="7">
        <v>0</v>
      </c>
      <c r="K158" s="7">
        <v>0</v>
      </c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</row>
    <row r="159" spans="1:17">
      <c r="A159" s="2">
        <v>2107</v>
      </c>
      <c r="B159" s="7">
        <v>0</v>
      </c>
      <c r="C159" s="7">
        <v>0</v>
      </c>
      <c r="D159" s="7">
        <v>0</v>
      </c>
      <c r="E159" s="7">
        <v>0</v>
      </c>
      <c r="F159" s="7">
        <v>0</v>
      </c>
      <c r="G159" s="7">
        <v>0</v>
      </c>
      <c r="H159" s="7">
        <v>0</v>
      </c>
      <c r="I159" s="7">
        <v>0</v>
      </c>
      <c r="J159" s="7">
        <v>0</v>
      </c>
      <c r="K159" s="7">
        <v>0</v>
      </c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</row>
    <row r="160" spans="1:17">
      <c r="A160" s="2">
        <v>2108</v>
      </c>
      <c r="B160" s="7">
        <v>0</v>
      </c>
      <c r="C160" s="7">
        <v>0</v>
      </c>
      <c r="D160" s="7">
        <v>0</v>
      </c>
      <c r="E160" s="7">
        <v>0</v>
      </c>
      <c r="F160" s="7">
        <v>0</v>
      </c>
      <c r="G160" s="7">
        <v>0</v>
      </c>
      <c r="H160" s="7">
        <v>0</v>
      </c>
      <c r="I160" s="7">
        <v>0</v>
      </c>
      <c r="J160" s="7">
        <v>0</v>
      </c>
      <c r="K160" s="7">
        <v>0</v>
      </c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</row>
    <row r="161" spans="1:17">
      <c r="A161" s="2">
        <v>2109</v>
      </c>
      <c r="B161" s="7">
        <v>0</v>
      </c>
      <c r="C161" s="7">
        <v>0</v>
      </c>
      <c r="D161" s="7">
        <v>0</v>
      </c>
      <c r="E161" s="7">
        <v>0</v>
      </c>
      <c r="F161" s="7">
        <v>0</v>
      </c>
      <c r="G161" s="7">
        <v>0</v>
      </c>
      <c r="H161" s="7">
        <v>0</v>
      </c>
      <c r="I161" s="7">
        <v>0</v>
      </c>
      <c r="J161" s="7">
        <v>0</v>
      </c>
      <c r="K161" s="7">
        <v>0</v>
      </c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</row>
    <row r="162" spans="1:17">
      <c r="A162" s="2">
        <v>2110</v>
      </c>
      <c r="B162" s="7">
        <v>0</v>
      </c>
      <c r="C162" s="7">
        <v>0</v>
      </c>
      <c r="D162" s="7">
        <v>0</v>
      </c>
      <c r="E162" s="7">
        <v>0</v>
      </c>
      <c r="F162" s="7">
        <v>0</v>
      </c>
      <c r="G162" s="7">
        <v>0</v>
      </c>
      <c r="H162" s="7">
        <v>0</v>
      </c>
      <c r="I162" s="7">
        <v>0</v>
      </c>
      <c r="J162" s="7">
        <v>0</v>
      </c>
      <c r="K162" s="7">
        <v>0</v>
      </c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</row>
    <row r="163" spans="1:17">
      <c r="A163" s="2">
        <v>2111</v>
      </c>
      <c r="B163" s="7">
        <v>0</v>
      </c>
      <c r="C163" s="7">
        <v>0</v>
      </c>
      <c r="D163" s="7">
        <v>0</v>
      </c>
      <c r="E163" s="7">
        <v>0</v>
      </c>
      <c r="F163" s="7">
        <v>0</v>
      </c>
      <c r="G163" s="7">
        <v>0</v>
      </c>
      <c r="H163" s="7">
        <v>0</v>
      </c>
      <c r="I163" s="7">
        <v>0</v>
      </c>
      <c r="J163" s="7">
        <v>0</v>
      </c>
      <c r="K163" s="7">
        <v>0</v>
      </c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</row>
    <row r="164" spans="1:17">
      <c r="A164" s="2">
        <v>2112</v>
      </c>
      <c r="B164" s="7">
        <v>0</v>
      </c>
      <c r="C164" s="7">
        <v>0</v>
      </c>
      <c r="D164" s="7">
        <v>0</v>
      </c>
      <c r="E164" s="7">
        <v>0</v>
      </c>
      <c r="F164" s="7">
        <v>0</v>
      </c>
      <c r="G164" s="7">
        <v>0</v>
      </c>
      <c r="H164" s="7">
        <v>0</v>
      </c>
      <c r="I164" s="7">
        <v>0</v>
      </c>
      <c r="J164" s="7">
        <v>0</v>
      </c>
      <c r="K164" s="7">
        <v>0</v>
      </c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</row>
    <row r="165" spans="1:17">
      <c r="A165" s="2">
        <v>2113</v>
      </c>
      <c r="B165" s="7">
        <v>0</v>
      </c>
      <c r="C165" s="7">
        <v>0</v>
      </c>
      <c r="D165" s="7">
        <v>0</v>
      </c>
      <c r="E165" s="7">
        <v>0</v>
      </c>
      <c r="F165" s="7">
        <v>0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</row>
    <row r="166" spans="1:17">
      <c r="A166" s="2">
        <v>2114</v>
      </c>
      <c r="B166" s="7">
        <v>0</v>
      </c>
      <c r="C166" s="7">
        <v>0</v>
      </c>
      <c r="D166" s="7">
        <v>0</v>
      </c>
      <c r="E166" s="7">
        <v>0</v>
      </c>
      <c r="F166" s="7">
        <v>0</v>
      </c>
      <c r="G166" s="7">
        <v>0</v>
      </c>
      <c r="H166" s="7">
        <v>0</v>
      </c>
      <c r="I166" s="7">
        <v>0</v>
      </c>
      <c r="J166" s="7">
        <v>0</v>
      </c>
      <c r="K166" s="7">
        <v>0</v>
      </c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</row>
    <row r="167" spans="1:17">
      <c r="A167" s="2">
        <v>2115</v>
      </c>
      <c r="B167" s="7">
        <v>0</v>
      </c>
      <c r="C167" s="7">
        <v>0</v>
      </c>
      <c r="D167" s="7">
        <v>0</v>
      </c>
      <c r="E167" s="7">
        <v>0</v>
      </c>
      <c r="F167" s="7">
        <v>0</v>
      </c>
      <c r="G167" s="7">
        <v>0</v>
      </c>
      <c r="H167" s="7">
        <v>0</v>
      </c>
      <c r="I167" s="7">
        <v>0</v>
      </c>
      <c r="J167" s="7">
        <v>0</v>
      </c>
      <c r="K167" s="7">
        <v>0</v>
      </c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</row>
    <row r="168" spans="1:17">
      <c r="A168" s="2">
        <v>2116</v>
      </c>
      <c r="B168" s="7">
        <v>0</v>
      </c>
      <c r="C168" s="7">
        <v>0</v>
      </c>
      <c r="D168" s="7">
        <v>0</v>
      </c>
      <c r="E168" s="7">
        <v>0</v>
      </c>
      <c r="F168" s="7">
        <v>0</v>
      </c>
      <c r="G168" s="7">
        <v>0</v>
      </c>
      <c r="H168" s="7">
        <v>0</v>
      </c>
      <c r="I168" s="7">
        <v>0</v>
      </c>
      <c r="J168" s="7">
        <v>0</v>
      </c>
      <c r="K168" s="7">
        <v>0</v>
      </c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</row>
    <row r="169" spans="1:17">
      <c r="A169" s="2">
        <v>2117</v>
      </c>
      <c r="B169" s="7">
        <v>0</v>
      </c>
      <c r="C169" s="7">
        <v>0</v>
      </c>
      <c r="D169" s="7">
        <v>0</v>
      </c>
      <c r="E169" s="7">
        <v>0</v>
      </c>
      <c r="F169" s="7">
        <v>0</v>
      </c>
      <c r="G169" s="7">
        <v>0</v>
      </c>
      <c r="H169" s="7">
        <v>0</v>
      </c>
      <c r="I169" s="7">
        <v>0</v>
      </c>
      <c r="J169" s="7">
        <v>0</v>
      </c>
      <c r="K169" s="7">
        <v>0</v>
      </c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</row>
    <row r="170" spans="1:17">
      <c r="A170" s="2">
        <v>2118</v>
      </c>
      <c r="B170" s="7">
        <v>0</v>
      </c>
      <c r="C170" s="7">
        <v>0</v>
      </c>
      <c r="D170" s="7">
        <v>0</v>
      </c>
      <c r="E170" s="7">
        <v>0</v>
      </c>
      <c r="F170" s="7">
        <v>0</v>
      </c>
      <c r="G170" s="7">
        <v>0</v>
      </c>
      <c r="H170" s="7">
        <v>0</v>
      </c>
      <c r="I170" s="7">
        <v>0</v>
      </c>
      <c r="J170" s="7">
        <v>0</v>
      </c>
      <c r="K170" s="7">
        <v>0</v>
      </c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</row>
    <row r="171" spans="1:17">
      <c r="A171" s="2">
        <v>2119</v>
      </c>
      <c r="B171" s="7">
        <v>0</v>
      </c>
      <c r="C171" s="7">
        <v>0</v>
      </c>
      <c r="D171" s="7">
        <v>0</v>
      </c>
      <c r="E171" s="7">
        <v>0</v>
      </c>
      <c r="F171" s="7">
        <v>0</v>
      </c>
      <c r="G171" s="7">
        <v>0</v>
      </c>
      <c r="H171" s="7">
        <v>0</v>
      </c>
      <c r="I171" s="7">
        <v>0</v>
      </c>
      <c r="J171" s="7">
        <v>0</v>
      </c>
      <c r="K171" s="7">
        <v>0</v>
      </c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</row>
    <row r="172" spans="1:17">
      <c r="A172" s="2">
        <v>2120</v>
      </c>
      <c r="B172" s="7">
        <v>0</v>
      </c>
      <c r="C172" s="7">
        <v>0</v>
      </c>
      <c r="D172" s="7">
        <v>0</v>
      </c>
      <c r="E172" s="7">
        <v>0</v>
      </c>
      <c r="F172" s="7">
        <v>0</v>
      </c>
      <c r="G172" s="7">
        <v>0</v>
      </c>
      <c r="H172" s="7">
        <v>0</v>
      </c>
      <c r="I172" s="7">
        <v>0</v>
      </c>
      <c r="J172" s="7">
        <v>0</v>
      </c>
      <c r="K172" s="7">
        <v>0</v>
      </c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</row>
    <row r="173" spans="1:17">
      <c r="A173" s="2">
        <v>2121</v>
      </c>
      <c r="B173" s="7">
        <v>0</v>
      </c>
      <c r="C173" s="7">
        <v>0</v>
      </c>
      <c r="D173" s="7">
        <v>0</v>
      </c>
      <c r="E173" s="7">
        <v>0</v>
      </c>
      <c r="F173" s="7">
        <v>0</v>
      </c>
      <c r="G173" s="7">
        <v>0</v>
      </c>
      <c r="H173" s="7">
        <v>0</v>
      </c>
      <c r="I173" s="7">
        <v>0</v>
      </c>
      <c r="J173" s="7">
        <v>0</v>
      </c>
      <c r="K173" s="7">
        <v>0</v>
      </c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</row>
    <row r="174" spans="1:17">
      <c r="A174" s="2">
        <v>2122</v>
      </c>
      <c r="B174" s="7">
        <v>0</v>
      </c>
      <c r="C174" s="7">
        <v>0</v>
      </c>
      <c r="D174" s="7">
        <v>0</v>
      </c>
      <c r="E174" s="7">
        <v>0</v>
      </c>
      <c r="F174" s="7">
        <v>0</v>
      </c>
      <c r="G174" s="7">
        <v>0</v>
      </c>
      <c r="H174" s="7">
        <v>0</v>
      </c>
      <c r="I174" s="7">
        <v>0</v>
      </c>
      <c r="J174" s="7">
        <v>0</v>
      </c>
      <c r="K174" s="7">
        <v>0</v>
      </c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</row>
    <row r="175" spans="1:17">
      <c r="A175" s="2">
        <v>2123</v>
      </c>
      <c r="B175" s="7">
        <v>0</v>
      </c>
      <c r="C175" s="7">
        <v>0</v>
      </c>
      <c r="D175" s="7">
        <v>0</v>
      </c>
      <c r="E175" s="7">
        <v>0</v>
      </c>
      <c r="F175" s="7">
        <v>0</v>
      </c>
      <c r="G175" s="7">
        <v>0</v>
      </c>
      <c r="H175" s="7">
        <v>0</v>
      </c>
      <c r="I175" s="7">
        <v>0</v>
      </c>
      <c r="J175" s="7">
        <v>0</v>
      </c>
      <c r="K175" s="7">
        <v>0</v>
      </c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</row>
    <row r="176" spans="1:17">
      <c r="A176" s="2">
        <v>2124</v>
      </c>
      <c r="B176" s="7">
        <v>0</v>
      </c>
      <c r="C176" s="7">
        <v>0</v>
      </c>
      <c r="D176" s="7">
        <v>0</v>
      </c>
      <c r="E176" s="7">
        <v>0</v>
      </c>
      <c r="F176" s="7">
        <v>0</v>
      </c>
      <c r="G176" s="7">
        <v>0</v>
      </c>
      <c r="H176" s="7">
        <v>0</v>
      </c>
      <c r="I176" s="7">
        <v>0</v>
      </c>
      <c r="J176" s="7">
        <v>0</v>
      </c>
      <c r="K176" s="7">
        <v>0</v>
      </c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</row>
    <row r="177" spans="1:17">
      <c r="A177" s="2">
        <v>2125</v>
      </c>
      <c r="B177" s="7">
        <v>0</v>
      </c>
      <c r="C177" s="7">
        <v>0</v>
      </c>
      <c r="D177" s="7">
        <v>0</v>
      </c>
      <c r="E177" s="7">
        <v>0</v>
      </c>
      <c r="F177" s="7">
        <v>0</v>
      </c>
      <c r="G177" s="7">
        <v>0</v>
      </c>
      <c r="H177" s="7">
        <v>0</v>
      </c>
      <c r="I177" s="7">
        <v>0</v>
      </c>
      <c r="J177" s="7">
        <v>0</v>
      </c>
      <c r="K177" s="7">
        <v>0</v>
      </c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</row>
    <row r="178" spans="1:17">
      <c r="A178" s="2">
        <v>2126</v>
      </c>
      <c r="B178" s="7">
        <v>0</v>
      </c>
      <c r="C178" s="7">
        <v>0</v>
      </c>
      <c r="D178" s="7">
        <v>0</v>
      </c>
      <c r="E178" s="7">
        <v>0</v>
      </c>
      <c r="F178" s="7">
        <v>0</v>
      </c>
      <c r="G178" s="7">
        <v>0</v>
      </c>
      <c r="H178" s="7">
        <v>0</v>
      </c>
      <c r="I178" s="7">
        <v>0</v>
      </c>
      <c r="J178" s="7">
        <v>0</v>
      </c>
      <c r="K178" s="7">
        <v>0</v>
      </c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</row>
    <row r="179" spans="1:17">
      <c r="A179" s="2">
        <v>2127</v>
      </c>
      <c r="B179" s="7">
        <v>0</v>
      </c>
      <c r="C179" s="7">
        <v>0</v>
      </c>
      <c r="D179" s="7">
        <v>0</v>
      </c>
      <c r="E179" s="7">
        <v>0</v>
      </c>
      <c r="F179" s="7">
        <v>0</v>
      </c>
      <c r="G179" s="7">
        <v>0</v>
      </c>
      <c r="H179" s="7">
        <v>0</v>
      </c>
      <c r="I179" s="7">
        <v>0</v>
      </c>
      <c r="J179" s="7">
        <v>0</v>
      </c>
      <c r="K179" s="7">
        <v>0</v>
      </c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</row>
    <row r="180" spans="1:17">
      <c r="A180" s="2">
        <v>2128</v>
      </c>
      <c r="B180" s="7">
        <v>0</v>
      </c>
      <c r="C180" s="7">
        <v>0</v>
      </c>
      <c r="D180" s="7">
        <v>0</v>
      </c>
      <c r="E180" s="7">
        <v>0</v>
      </c>
      <c r="F180" s="7">
        <v>0</v>
      </c>
      <c r="G180" s="7">
        <v>0</v>
      </c>
      <c r="H180" s="7">
        <v>0</v>
      </c>
      <c r="I180" s="7">
        <v>0</v>
      </c>
      <c r="J180" s="7">
        <v>0</v>
      </c>
      <c r="K180" s="7">
        <v>0</v>
      </c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</row>
    <row r="181" spans="1:17">
      <c r="A181" s="2">
        <v>2129</v>
      </c>
      <c r="B181" s="7">
        <v>0</v>
      </c>
      <c r="C181" s="7">
        <v>0</v>
      </c>
      <c r="D181" s="7">
        <v>0</v>
      </c>
      <c r="E181" s="7">
        <v>0</v>
      </c>
      <c r="F181" s="7">
        <v>0</v>
      </c>
      <c r="G181" s="7">
        <v>0</v>
      </c>
      <c r="H181" s="7">
        <v>0</v>
      </c>
      <c r="I181" s="7">
        <v>0</v>
      </c>
      <c r="J181" s="7">
        <v>0</v>
      </c>
      <c r="K181" s="7">
        <v>0</v>
      </c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</row>
    <row r="182" spans="1:17">
      <c r="A182" s="2">
        <v>2130</v>
      </c>
      <c r="B182" s="7">
        <v>0</v>
      </c>
      <c r="C182" s="7">
        <v>0</v>
      </c>
      <c r="D182" s="7">
        <v>0</v>
      </c>
      <c r="E182" s="7">
        <v>0</v>
      </c>
      <c r="F182" s="7">
        <v>0</v>
      </c>
      <c r="G182" s="7">
        <v>0</v>
      </c>
      <c r="H182" s="7">
        <v>0</v>
      </c>
      <c r="I182" s="7">
        <v>0</v>
      </c>
      <c r="J182" s="7">
        <v>0</v>
      </c>
      <c r="K182" s="7">
        <v>0</v>
      </c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</row>
    <row r="183" spans="1:17">
      <c r="A183" s="2">
        <v>2131</v>
      </c>
      <c r="B183" s="7">
        <v>0</v>
      </c>
      <c r="C183" s="7">
        <v>0</v>
      </c>
      <c r="D183" s="7">
        <v>0</v>
      </c>
      <c r="E183" s="7">
        <v>0</v>
      </c>
      <c r="F183" s="7">
        <v>0</v>
      </c>
      <c r="G183" s="7">
        <v>0</v>
      </c>
      <c r="H183" s="7">
        <v>0</v>
      </c>
      <c r="I183" s="7">
        <v>0</v>
      </c>
      <c r="J183" s="7">
        <v>0</v>
      </c>
      <c r="K183" s="7">
        <v>0</v>
      </c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</row>
    <row r="184" spans="1:17">
      <c r="A184" s="2">
        <v>2132</v>
      </c>
      <c r="B184" s="7">
        <v>0</v>
      </c>
      <c r="C184" s="7">
        <v>0</v>
      </c>
      <c r="D184" s="7">
        <v>0</v>
      </c>
      <c r="E184" s="7">
        <v>0</v>
      </c>
      <c r="F184" s="7">
        <v>0</v>
      </c>
      <c r="G184" s="7">
        <v>0</v>
      </c>
      <c r="H184" s="7">
        <v>0</v>
      </c>
      <c r="I184" s="7">
        <v>0</v>
      </c>
      <c r="J184" s="7">
        <v>0</v>
      </c>
      <c r="K184" s="7">
        <v>0</v>
      </c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</row>
    <row r="185" spans="1:17">
      <c r="A185" s="2">
        <v>2133</v>
      </c>
      <c r="B185" s="7">
        <v>0</v>
      </c>
      <c r="C185" s="7">
        <v>0</v>
      </c>
      <c r="D185" s="7">
        <v>0</v>
      </c>
      <c r="E185" s="7">
        <v>0</v>
      </c>
      <c r="F185" s="7">
        <v>0</v>
      </c>
      <c r="G185" s="7">
        <v>0</v>
      </c>
      <c r="H185" s="7">
        <v>0</v>
      </c>
      <c r="I185" s="7">
        <v>0</v>
      </c>
      <c r="J185" s="7">
        <v>0</v>
      </c>
      <c r="K185" s="7">
        <v>0</v>
      </c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</row>
    <row r="186" spans="1:17">
      <c r="A186" s="2">
        <v>2134</v>
      </c>
      <c r="B186" s="7">
        <v>0</v>
      </c>
      <c r="C186" s="7">
        <v>0</v>
      </c>
      <c r="D186" s="7">
        <v>0</v>
      </c>
      <c r="E186" s="7">
        <v>0</v>
      </c>
      <c r="F186" s="7">
        <v>0</v>
      </c>
      <c r="G186" s="7">
        <v>0</v>
      </c>
      <c r="H186" s="7">
        <v>0</v>
      </c>
      <c r="I186" s="7">
        <v>0</v>
      </c>
      <c r="J186" s="7">
        <v>0</v>
      </c>
      <c r="K186" s="7">
        <v>0</v>
      </c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</row>
    <row r="187" spans="1:17">
      <c r="A187" s="2">
        <v>2135</v>
      </c>
      <c r="B187" s="7">
        <v>0</v>
      </c>
      <c r="C187" s="7">
        <v>0</v>
      </c>
      <c r="D187" s="7">
        <v>0</v>
      </c>
      <c r="E187" s="7">
        <v>0</v>
      </c>
      <c r="F187" s="7">
        <v>0</v>
      </c>
      <c r="G187" s="7">
        <v>0</v>
      </c>
      <c r="H187" s="7">
        <v>0</v>
      </c>
      <c r="I187" s="7">
        <v>0</v>
      </c>
      <c r="J187" s="7">
        <v>0</v>
      </c>
      <c r="K187" s="7">
        <v>0</v>
      </c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</row>
    <row r="188" spans="1:17">
      <c r="A188" s="2">
        <v>2136</v>
      </c>
      <c r="B188" s="7">
        <v>0</v>
      </c>
      <c r="C188" s="7">
        <v>0</v>
      </c>
      <c r="D188" s="7">
        <v>0</v>
      </c>
      <c r="E188" s="7">
        <v>0</v>
      </c>
      <c r="F188" s="7">
        <v>0</v>
      </c>
      <c r="G188" s="7">
        <v>0</v>
      </c>
      <c r="H188" s="7">
        <v>0</v>
      </c>
      <c r="I188" s="7">
        <v>0</v>
      </c>
      <c r="J188" s="7">
        <v>0</v>
      </c>
      <c r="K188" s="7">
        <v>0</v>
      </c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</row>
    <row r="189" spans="1:17">
      <c r="A189" s="2">
        <v>2137</v>
      </c>
      <c r="B189" s="7">
        <v>0</v>
      </c>
      <c r="C189" s="7">
        <v>0</v>
      </c>
      <c r="D189" s="7">
        <v>0</v>
      </c>
      <c r="E189" s="7">
        <v>0</v>
      </c>
      <c r="F189" s="7">
        <v>0</v>
      </c>
      <c r="G189" s="7">
        <v>0</v>
      </c>
      <c r="H189" s="7">
        <v>0</v>
      </c>
      <c r="I189" s="7">
        <v>0</v>
      </c>
      <c r="J189" s="7">
        <v>0</v>
      </c>
      <c r="K189" s="7">
        <v>0</v>
      </c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</row>
    <row r="190" spans="1:17">
      <c r="A190" s="2">
        <v>2138</v>
      </c>
      <c r="B190" s="7">
        <v>0</v>
      </c>
      <c r="C190" s="7">
        <v>0</v>
      </c>
      <c r="D190" s="7">
        <v>0</v>
      </c>
      <c r="E190" s="7">
        <v>0</v>
      </c>
      <c r="F190" s="7">
        <v>0</v>
      </c>
      <c r="G190" s="7">
        <v>0</v>
      </c>
      <c r="H190" s="7">
        <v>0</v>
      </c>
      <c r="I190" s="7">
        <v>0</v>
      </c>
      <c r="J190" s="7">
        <v>0</v>
      </c>
      <c r="K190" s="7">
        <v>0</v>
      </c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</row>
    <row r="191" spans="1:17">
      <c r="A191" s="2">
        <v>2139</v>
      </c>
      <c r="B191" s="7">
        <v>0</v>
      </c>
      <c r="C191" s="7">
        <v>0</v>
      </c>
      <c r="D191" s="7">
        <v>0</v>
      </c>
      <c r="E191" s="7">
        <v>0</v>
      </c>
      <c r="F191" s="7">
        <v>0</v>
      </c>
      <c r="G191" s="7">
        <v>0</v>
      </c>
      <c r="H191" s="7">
        <v>0</v>
      </c>
      <c r="I191" s="7">
        <v>0</v>
      </c>
      <c r="J191" s="7">
        <v>0</v>
      </c>
      <c r="K191" s="7">
        <v>0</v>
      </c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</row>
    <row r="192" spans="1:17">
      <c r="A192" s="2">
        <v>2140</v>
      </c>
      <c r="B192" s="7">
        <v>0</v>
      </c>
      <c r="C192" s="7">
        <v>0</v>
      </c>
      <c r="D192" s="7">
        <v>0</v>
      </c>
      <c r="E192" s="7">
        <v>0</v>
      </c>
      <c r="F192" s="7">
        <v>0</v>
      </c>
      <c r="G192" s="7">
        <v>0</v>
      </c>
      <c r="H192" s="7">
        <v>0</v>
      </c>
      <c r="I192" s="7">
        <v>0</v>
      </c>
      <c r="J192" s="7">
        <v>0</v>
      </c>
      <c r="K192" s="7">
        <v>0</v>
      </c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</row>
    <row r="193" spans="1:17">
      <c r="A193" s="2">
        <v>2141</v>
      </c>
      <c r="B193" s="7">
        <v>0</v>
      </c>
      <c r="C193" s="7">
        <v>0</v>
      </c>
      <c r="D193" s="7">
        <v>0</v>
      </c>
      <c r="E193" s="7">
        <v>0</v>
      </c>
      <c r="F193" s="7">
        <v>0</v>
      </c>
      <c r="G193" s="7">
        <v>0</v>
      </c>
      <c r="H193" s="7">
        <v>0</v>
      </c>
      <c r="I193" s="7">
        <v>0</v>
      </c>
      <c r="J193" s="7">
        <v>0</v>
      </c>
      <c r="K193" s="7">
        <v>0</v>
      </c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</row>
    <row r="194" spans="1:17">
      <c r="A194" s="2">
        <v>2142</v>
      </c>
      <c r="B194" s="7">
        <v>0</v>
      </c>
      <c r="C194" s="7">
        <v>0</v>
      </c>
      <c r="D194" s="7">
        <v>0</v>
      </c>
      <c r="E194" s="7">
        <v>0</v>
      </c>
      <c r="F194" s="7">
        <v>0</v>
      </c>
      <c r="G194" s="7">
        <v>0</v>
      </c>
      <c r="H194" s="7">
        <v>0</v>
      </c>
      <c r="I194" s="7">
        <v>0</v>
      </c>
      <c r="J194" s="7">
        <v>0</v>
      </c>
      <c r="K194" s="7">
        <v>0</v>
      </c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</row>
    <row r="195" spans="1:17">
      <c r="A195" s="2">
        <v>2143</v>
      </c>
      <c r="B195" s="7">
        <v>0</v>
      </c>
      <c r="C195" s="7">
        <v>0</v>
      </c>
      <c r="D195" s="7">
        <v>0</v>
      </c>
      <c r="E195" s="7">
        <v>0</v>
      </c>
      <c r="F195" s="7">
        <v>0</v>
      </c>
      <c r="G195" s="7">
        <v>0</v>
      </c>
      <c r="H195" s="7">
        <v>0</v>
      </c>
      <c r="I195" s="7">
        <v>0</v>
      </c>
      <c r="J195" s="7">
        <v>0</v>
      </c>
      <c r="K195" s="7">
        <v>0</v>
      </c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</row>
    <row r="196" spans="1:17">
      <c r="A196" s="2">
        <v>2144</v>
      </c>
      <c r="B196" s="7">
        <v>0</v>
      </c>
      <c r="C196" s="7">
        <v>0</v>
      </c>
      <c r="D196" s="7">
        <v>0</v>
      </c>
      <c r="E196" s="7">
        <v>0</v>
      </c>
      <c r="F196" s="7">
        <v>0</v>
      </c>
      <c r="G196" s="7">
        <v>0</v>
      </c>
      <c r="H196" s="7">
        <v>0</v>
      </c>
      <c r="I196" s="7">
        <v>0</v>
      </c>
      <c r="J196" s="7">
        <v>0</v>
      </c>
      <c r="K196" s="7">
        <v>0</v>
      </c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</row>
    <row r="197" spans="1:17">
      <c r="A197" s="2">
        <v>2145</v>
      </c>
      <c r="B197" s="7">
        <v>0</v>
      </c>
      <c r="C197" s="7">
        <v>0</v>
      </c>
      <c r="D197" s="7">
        <v>0</v>
      </c>
      <c r="E197" s="7">
        <v>0</v>
      </c>
      <c r="F197" s="7">
        <v>0</v>
      </c>
      <c r="G197" s="7">
        <v>0</v>
      </c>
      <c r="H197" s="7">
        <v>0</v>
      </c>
      <c r="I197" s="7">
        <v>0</v>
      </c>
      <c r="J197" s="7">
        <v>0</v>
      </c>
      <c r="K197" s="7">
        <v>0</v>
      </c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</row>
    <row r="198" spans="1:17">
      <c r="A198" s="2">
        <v>2146</v>
      </c>
      <c r="B198" s="7">
        <v>0</v>
      </c>
      <c r="C198" s="7">
        <v>0</v>
      </c>
      <c r="D198" s="7">
        <v>0</v>
      </c>
      <c r="E198" s="7">
        <v>0</v>
      </c>
      <c r="F198" s="7">
        <v>0</v>
      </c>
      <c r="G198" s="7">
        <v>0</v>
      </c>
      <c r="H198" s="7">
        <v>0</v>
      </c>
      <c r="I198" s="7">
        <v>0</v>
      </c>
      <c r="J198" s="7">
        <v>0</v>
      </c>
      <c r="K198" s="7">
        <v>0</v>
      </c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</row>
    <row r="199" spans="1:17">
      <c r="A199" s="2">
        <v>2147</v>
      </c>
      <c r="B199" s="7">
        <v>0</v>
      </c>
      <c r="C199" s="7">
        <v>0</v>
      </c>
      <c r="D199" s="7">
        <v>0</v>
      </c>
      <c r="E199" s="7">
        <v>0</v>
      </c>
      <c r="F199" s="7">
        <v>0</v>
      </c>
      <c r="G199" s="7">
        <v>0</v>
      </c>
      <c r="H199" s="7">
        <v>0</v>
      </c>
      <c r="I199" s="7">
        <v>0</v>
      </c>
      <c r="J199" s="7">
        <v>0</v>
      </c>
      <c r="K199" s="7">
        <v>0</v>
      </c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</row>
    <row r="200" spans="1:17">
      <c r="A200" s="2">
        <v>2148</v>
      </c>
      <c r="B200" s="7">
        <v>0</v>
      </c>
      <c r="C200" s="7">
        <v>0</v>
      </c>
      <c r="D200" s="7">
        <v>0</v>
      </c>
      <c r="E200" s="7">
        <v>0</v>
      </c>
      <c r="F200" s="7">
        <v>0</v>
      </c>
      <c r="G200" s="7">
        <v>0</v>
      </c>
      <c r="H200" s="7">
        <v>0</v>
      </c>
      <c r="I200" s="7">
        <v>0</v>
      </c>
      <c r="J200" s="7">
        <v>0</v>
      </c>
      <c r="K200" s="7">
        <v>0</v>
      </c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</row>
    <row r="201" spans="1:17">
      <c r="A201" s="2">
        <v>2149</v>
      </c>
      <c r="B201" s="7">
        <v>0</v>
      </c>
      <c r="C201" s="7">
        <v>0</v>
      </c>
      <c r="D201" s="7">
        <v>0</v>
      </c>
      <c r="E201" s="7">
        <v>0</v>
      </c>
      <c r="F201" s="7">
        <v>0</v>
      </c>
      <c r="G201" s="7">
        <v>0</v>
      </c>
      <c r="H201" s="7">
        <v>0</v>
      </c>
      <c r="I201" s="7">
        <v>0</v>
      </c>
      <c r="J201" s="7">
        <v>0</v>
      </c>
      <c r="K201" s="7">
        <v>0</v>
      </c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</row>
    <row r="202" spans="1:17">
      <c r="A202" s="2">
        <v>2150</v>
      </c>
      <c r="B202" s="7">
        <v>0</v>
      </c>
      <c r="C202" s="7">
        <v>0</v>
      </c>
      <c r="D202" s="7">
        <v>0</v>
      </c>
      <c r="E202" s="7">
        <v>0</v>
      </c>
      <c r="F202" s="7">
        <v>0</v>
      </c>
      <c r="G202" s="7">
        <v>0</v>
      </c>
      <c r="H202" s="7">
        <v>0</v>
      </c>
      <c r="I202" s="7">
        <v>0</v>
      </c>
      <c r="J202" s="7">
        <v>0</v>
      </c>
      <c r="K202" s="7">
        <v>0</v>
      </c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</row>
    <row r="203" spans="1:17">
      <c r="A203" s="2">
        <v>2151</v>
      </c>
      <c r="B203" s="7">
        <v>0</v>
      </c>
      <c r="C203" s="7">
        <v>0</v>
      </c>
      <c r="D203" s="7">
        <v>0</v>
      </c>
      <c r="E203" s="7">
        <v>0</v>
      </c>
      <c r="F203" s="7">
        <v>0</v>
      </c>
      <c r="G203" s="7">
        <v>0</v>
      </c>
      <c r="H203" s="7">
        <v>0</v>
      </c>
      <c r="I203" s="7">
        <v>0</v>
      </c>
      <c r="J203" s="7">
        <v>0</v>
      </c>
      <c r="K203" s="7">
        <v>0</v>
      </c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</row>
    <row r="204" spans="1:17">
      <c r="A204" s="2">
        <v>2152</v>
      </c>
      <c r="B204" s="7">
        <v>0</v>
      </c>
      <c r="C204" s="7">
        <v>0</v>
      </c>
      <c r="D204" s="7">
        <v>0</v>
      </c>
      <c r="E204" s="7">
        <v>0</v>
      </c>
      <c r="F204" s="7">
        <v>0</v>
      </c>
      <c r="G204" s="7">
        <v>0</v>
      </c>
      <c r="H204" s="7">
        <v>0</v>
      </c>
      <c r="I204" s="7">
        <v>0</v>
      </c>
      <c r="J204" s="7">
        <v>0</v>
      </c>
      <c r="K204" s="7">
        <v>0</v>
      </c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</row>
    <row r="205" spans="1:17">
      <c r="A205" s="2">
        <v>2153</v>
      </c>
      <c r="B205" s="7">
        <v>0</v>
      </c>
      <c r="C205" s="7">
        <v>0</v>
      </c>
      <c r="D205" s="7">
        <v>0</v>
      </c>
      <c r="E205" s="7">
        <v>0</v>
      </c>
      <c r="F205" s="7">
        <v>0</v>
      </c>
      <c r="G205" s="7">
        <v>0</v>
      </c>
      <c r="H205" s="7">
        <v>0</v>
      </c>
      <c r="I205" s="7">
        <v>0</v>
      </c>
      <c r="J205" s="7">
        <v>0</v>
      </c>
      <c r="K205" s="7">
        <v>0</v>
      </c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</row>
    <row r="206" spans="1:17">
      <c r="A206" s="2">
        <v>2154</v>
      </c>
      <c r="B206" s="7">
        <v>0</v>
      </c>
      <c r="C206" s="7">
        <v>0</v>
      </c>
      <c r="D206" s="7">
        <v>0</v>
      </c>
      <c r="E206" s="7">
        <v>0</v>
      </c>
      <c r="F206" s="7">
        <v>0</v>
      </c>
      <c r="G206" s="7">
        <v>0</v>
      </c>
      <c r="H206" s="7">
        <v>0</v>
      </c>
      <c r="I206" s="7">
        <v>0</v>
      </c>
      <c r="J206" s="7">
        <v>0</v>
      </c>
      <c r="K206" s="7">
        <v>0</v>
      </c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</row>
    <row r="207" spans="1:17">
      <c r="A207" s="2">
        <v>2155</v>
      </c>
      <c r="B207" s="7">
        <v>0</v>
      </c>
      <c r="C207" s="7">
        <v>0</v>
      </c>
      <c r="D207" s="7">
        <v>0</v>
      </c>
      <c r="E207" s="7">
        <v>0</v>
      </c>
      <c r="F207" s="7">
        <v>0</v>
      </c>
      <c r="G207" s="7">
        <v>0</v>
      </c>
      <c r="H207" s="7">
        <v>0</v>
      </c>
      <c r="I207" s="7">
        <v>0</v>
      </c>
      <c r="J207" s="7">
        <v>0</v>
      </c>
      <c r="K207" s="7">
        <v>0</v>
      </c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</row>
    <row r="208" spans="1:17">
      <c r="A208" s="2">
        <v>2156</v>
      </c>
      <c r="B208" s="7">
        <v>0</v>
      </c>
      <c r="C208" s="7">
        <v>0</v>
      </c>
      <c r="D208" s="7">
        <v>0</v>
      </c>
      <c r="E208" s="7">
        <v>0</v>
      </c>
      <c r="F208" s="7">
        <v>0</v>
      </c>
      <c r="G208" s="7">
        <v>0</v>
      </c>
      <c r="H208" s="7">
        <v>0</v>
      </c>
      <c r="I208" s="7">
        <v>0</v>
      </c>
      <c r="J208" s="7">
        <v>0</v>
      </c>
      <c r="K208" s="7">
        <v>0</v>
      </c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</row>
    <row r="209" spans="1:17">
      <c r="A209" s="2">
        <v>2157</v>
      </c>
      <c r="B209" s="7">
        <v>0</v>
      </c>
      <c r="C209" s="7">
        <v>0</v>
      </c>
      <c r="D209" s="7">
        <v>0</v>
      </c>
      <c r="E209" s="7">
        <v>0</v>
      </c>
      <c r="F209" s="7">
        <v>0</v>
      </c>
      <c r="G209" s="7">
        <v>0</v>
      </c>
      <c r="H209" s="7">
        <v>0</v>
      </c>
      <c r="I209" s="7">
        <v>0</v>
      </c>
      <c r="J209" s="7">
        <v>0</v>
      </c>
      <c r="K209" s="7">
        <v>0</v>
      </c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</row>
    <row r="210" spans="1:17">
      <c r="A210" s="2">
        <v>2158</v>
      </c>
      <c r="B210" s="7">
        <v>0</v>
      </c>
      <c r="C210" s="7">
        <v>0</v>
      </c>
      <c r="D210" s="7">
        <v>0</v>
      </c>
      <c r="E210" s="7">
        <v>0</v>
      </c>
      <c r="F210" s="7">
        <v>0</v>
      </c>
      <c r="G210" s="7">
        <v>0</v>
      </c>
      <c r="H210" s="7">
        <v>0</v>
      </c>
      <c r="I210" s="7">
        <v>0</v>
      </c>
      <c r="J210" s="7">
        <v>0</v>
      </c>
      <c r="K210" s="7">
        <v>0</v>
      </c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</row>
    <row r="211" spans="1:17">
      <c r="A211" s="2">
        <v>2159</v>
      </c>
      <c r="B211" s="7">
        <v>0</v>
      </c>
      <c r="C211" s="7">
        <v>0</v>
      </c>
      <c r="D211" s="7">
        <v>0</v>
      </c>
      <c r="E211" s="7">
        <v>0</v>
      </c>
      <c r="F211" s="7">
        <v>0</v>
      </c>
      <c r="G211" s="7">
        <v>0</v>
      </c>
      <c r="H211" s="7">
        <v>0</v>
      </c>
      <c r="I211" s="7">
        <v>0</v>
      </c>
      <c r="J211" s="7">
        <v>0</v>
      </c>
      <c r="K211" s="7">
        <v>0</v>
      </c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</row>
    <row r="212" spans="1:17">
      <c r="A212" s="2">
        <v>2160</v>
      </c>
      <c r="B212" s="7">
        <v>0</v>
      </c>
      <c r="C212" s="7">
        <v>0</v>
      </c>
      <c r="D212" s="7">
        <v>0</v>
      </c>
      <c r="E212" s="7">
        <v>0</v>
      </c>
      <c r="F212" s="7">
        <v>0</v>
      </c>
      <c r="G212" s="7">
        <v>0</v>
      </c>
      <c r="H212" s="7">
        <v>0</v>
      </c>
      <c r="I212" s="7">
        <v>0</v>
      </c>
      <c r="J212" s="7">
        <v>0</v>
      </c>
      <c r="K212" s="7">
        <v>0</v>
      </c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</row>
    <row r="213" spans="1:17">
      <c r="A213" s="2">
        <v>2161</v>
      </c>
      <c r="B213" s="7">
        <v>0</v>
      </c>
      <c r="C213" s="7">
        <v>0</v>
      </c>
      <c r="D213" s="7">
        <v>0</v>
      </c>
      <c r="E213" s="7">
        <v>0</v>
      </c>
      <c r="F213" s="7">
        <v>0</v>
      </c>
      <c r="G213" s="7">
        <v>0</v>
      </c>
      <c r="H213" s="7">
        <v>0</v>
      </c>
      <c r="I213" s="7">
        <v>0</v>
      </c>
      <c r="J213" s="7">
        <v>0</v>
      </c>
      <c r="K213" s="7">
        <v>0</v>
      </c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</row>
    <row r="214" spans="1:17">
      <c r="A214" s="2">
        <v>2162</v>
      </c>
      <c r="B214" s="7">
        <v>0</v>
      </c>
      <c r="C214" s="7">
        <v>0</v>
      </c>
      <c r="D214" s="7">
        <v>0</v>
      </c>
      <c r="E214" s="7">
        <v>0</v>
      </c>
      <c r="F214" s="7">
        <v>0</v>
      </c>
      <c r="G214" s="7">
        <v>0</v>
      </c>
      <c r="H214" s="7">
        <v>0</v>
      </c>
      <c r="I214" s="7">
        <v>0</v>
      </c>
      <c r="J214" s="7">
        <v>0</v>
      </c>
      <c r="K214" s="7">
        <v>0</v>
      </c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</row>
    <row r="215" spans="1:17">
      <c r="A215" s="2">
        <v>2163</v>
      </c>
      <c r="B215" s="7">
        <v>0</v>
      </c>
      <c r="C215" s="7">
        <v>0</v>
      </c>
      <c r="D215" s="7">
        <v>0</v>
      </c>
      <c r="E215" s="7">
        <v>0</v>
      </c>
      <c r="F215" s="7">
        <v>0</v>
      </c>
      <c r="G215" s="7">
        <v>0</v>
      </c>
      <c r="H215" s="7">
        <v>0</v>
      </c>
      <c r="I215" s="7">
        <v>0</v>
      </c>
      <c r="J215" s="7">
        <v>0</v>
      </c>
      <c r="K215" s="7">
        <v>0</v>
      </c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</row>
    <row r="216" spans="1:17">
      <c r="A216" s="2">
        <v>2164</v>
      </c>
      <c r="B216" s="7">
        <v>0</v>
      </c>
      <c r="C216" s="7">
        <v>0</v>
      </c>
      <c r="D216" s="7">
        <v>0</v>
      </c>
      <c r="E216" s="7">
        <v>0</v>
      </c>
      <c r="F216" s="7">
        <v>0</v>
      </c>
      <c r="G216" s="7">
        <v>0</v>
      </c>
      <c r="H216" s="7">
        <v>0</v>
      </c>
      <c r="I216" s="7">
        <v>0</v>
      </c>
      <c r="J216" s="7">
        <v>0</v>
      </c>
      <c r="K216" s="7">
        <v>0</v>
      </c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</row>
    <row r="217" spans="1:17">
      <c r="A217" s="2">
        <v>2165</v>
      </c>
      <c r="B217" s="7">
        <v>0</v>
      </c>
      <c r="C217" s="7">
        <v>0</v>
      </c>
      <c r="D217" s="7">
        <v>0</v>
      </c>
      <c r="E217" s="7">
        <v>0</v>
      </c>
      <c r="F217" s="7">
        <v>0</v>
      </c>
      <c r="G217" s="7">
        <v>0</v>
      </c>
      <c r="H217" s="7">
        <v>0</v>
      </c>
      <c r="I217" s="7">
        <v>0</v>
      </c>
      <c r="J217" s="7">
        <v>0</v>
      </c>
      <c r="K217" s="7">
        <v>0</v>
      </c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</row>
    <row r="218" spans="1:17">
      <c r="A218" s="2">
        <v>2166</v>
      </c>
      <c r="B218" s="7">
        <v>0</v>
      </c>
      <c r="C218" s="7">
        <v>0</v>
      </c>
      <c r="D218" s="7">
        <v>0</v>
      </c>
      <c r="E218" s="7">
        <v>0</v>
      </c>
      <c r="F218" s="7">
        <v>0</v>
      </c>
      <c r="G218" s="7">
        <v>0</v>
      </c>
      <c r="H218" s="7">
        <v>0</v>
      </c>
      <c r="I218" s="7">
        <v>0</v>
      </c>
      <c r="J218" s="7">
        <v>0</v>
      </c>
      <c r="K218" s="7">
        <v>0</v>
      </c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</row>
    <row r="219" spans="1:17">
      <c r="A219" s="2">
        <v>2167</v>
      </c>
      <c r="B219" s="7">
        <v>0</v>
      </c>
      <c r="C219" s="7">
        <v>0</v>
      </c>
      <c r="D219" s="7">
        <v>0</v>
      </c>
      <c r="E219" s="7">
        <v>0</v>
      </c>
      <c r="F219" s="7">
        <v>0</v>
      </c>
      <c r="G219" s="7">
        <v>0</v>
      </c>
      <c r="H219" s="7">
        <v>0</v>
      </c>
      <c r="I219" s="7">
        <v>0</v>
      </c>
      <c r="J219" s="7">
        <v>0</v>
      </c>
      <c r="K219" s="7">
        <v>0</v>
      </c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</row>
    <row r="220" spans="1:17">
      <c r="A220" s="2">
        <v>2168</v>
      </c>
      <c r="B220" s="7">
        <v>0</v>
      </c>
      <c r="C220" s="7">
        <v>0</v>
      </c>
      <c r="D220" s="7">
        <v>0</v>
      </c>
      <c r="E220" s="7">
        <v>0</v>
      </c>
      <c r="F220" s="7">
        <v>0</v>
      </c>
      <c r="G220" s="7">
        <v>0</v>
      </c>
      <c r="H220" s="7">
        <v>0</v>
      </c>
      <c r="I220" s="7">
        <v>0</v>
      </c>
      <c r="J220" s="7">
        <v>0</v>
      </c>
      <c r="K220" s="7">
        <v>0</v>
      </c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</row>
    <row r="221" spans="1:17">
      <c r="A221" s="2">
        <v>2169</v>
      </c>
      <c r="B221" s="7">
        <v>0</v>
      </c>
      <c r="C221" s="7">
        <v>0</v>
      </c>
      <c r="D221" s="7">
        <v>0</v>
      </c>
      <c r="E221" s="7">
        <v>0</v>
      </c>
      <c r="F221" s="7">
        <v>0</v>
      </c>
      <c r="G221" s="7">
        <v>0</v>
      </c>
      <c r="H221" s="7">
        <v>0</v>
      </c>
      <c r="I221" s="7">
        <v>0</v>
      </c>
      <c r="J221" s="7">
        <v>0</v>
      </c>
      <c r="K221" s="7">
        <v>0</v>
      </c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</row>
    <row r="222" spans="1:17">
      <c r="A222" s="2">
        <v>2170</v>
      </c>
      <c r="B222" s="7">
        <v>0</v>
      </c>
      <c r="C222" s="7">
        <v>0</v>
      </c>
      <c r="D222" s="7">
        <v>0</v>
      </c>
      <c r="E222" s="7">
        <v>0</v>
      </c>
      <c r="F222" s="7">
        <v>0</v>
      </c>
      <c r="G222" s="7">
        <v>0</v>
      </c>
      <c r="H222" s="7">
        <v>0</v>
      </c>
      <c r="I222" s="7">
        <v>0</v>
      </c>
      <c r="J222" s="7">
        <v>0</v>
      </c>
      <c r="K222" s="7">
        <v>0</v>
      </c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</row>
    <row r="223" spans="1:17">
      <c r="A223" s="2">
        <v>2171</v>
      </c>
      <c r="B223" s="7">
        <v>0</v>
      </c>
      <c r="C223" s="7">
        <v>0</v>
      </c>
      <c r="D223" s="7">
        <v>0</v>
      </c>
      <c r="E223" s="7">
        <v>0</v>
      </c>
      <c r="F223" s="7">
        <v>0</v>
      </c>
      <c r="G223" s="7">
        <v>0</v>
      </c>
      <c r="H223" s="7">
        <v>0</v>
      </c>
      <c r="I223" s="7">
        <v>0</v>
      </c>
      <c r="J223" s="7">
        <v>0</v>
      </c>
      <c r="K223" s="7">
        <v>0</v>
      </c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</row>
    <row r="224" spans="1:17">
      <c r="A224" s="2">
        <v>2172</v>
      </c>
      <c r="B224" s="7">
        <v>0</v>
      </c>
      <c r="C224" s="7">
        <v>0</v>
      </c>
      <c r="D224" s="7">
        <v>0</v>
      </c>
      <c r="E224" s="7">
        <v>0</v>
      </c>
      <c r="F224" s="7">
        <v>0</v>
      </c>
      <c r="G224" s="7">
        <v>0</v>
      </c>
      <c r="H224" s="7">
        <v>0</v>
      </c>
      <c r="I224" s="7">
        <v>0</v>
      </c>
      <c r="J224" s="7">
        <v>0</v>
      </c>
      <c r="K224" s="7">
        <v>0</v>
      </c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</row>
    <row r="225" spans="1:17">
      <c r="A225" s="2">
        <v>2173</v>
      </c>
      <c r="B225" s="7">
        <v>0</v>
      </c>
      <c r="C225" s="7">
        <v>0</v>
      </c>
      <c r="D225" s="7">
        <v>0</v>
      </c>
      <c r="E225" s="7">
        <v>0</v>
      </c>
      <c r="F225" s="7">
        <v>0</v>
      </c>
      <c r="G225" s="7">
        <v>0</v>
      </c>
      <c r="H225" s="7">
        <v>0</v>
      </c>
      <c r="I225" s="7">
        <v>0</v>
      </c>
      <c r="J225" s="7">
        <v>0</v>
      </c>
      <c r="K225" s="7">
        <v>0</v>
      </c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</row>
    <row r="226" spans="1:17">
      <c r="A226" s="2">
        <v>2174</v>
      </c>
      <c r="B226" s="7">
        <v>0</v>
      </c>
      <c r="C226" s="7">
        <v>0</v>
      </c>
      <c r="D226" s="7">
        <v>0</v>
      </c>
      <c r="E226" s="7">
        <v>0</v>
      </c>
      <c r="F226" s="7">
        <v>0</v>
      </c>
      <c r="G226" s="7">
        <v>0</v>
      </c>
      <c r="H226" s="7">
        <v>0</v>
      </c>
      <c r="I226" s="7">
        <v>0</v>
      </c>
      <c r="J226" s="7">
        <v>0</v>
      </c>
      <c r="K226" s="7">
        <v>0</v>
      </c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</row>
    <row r="227" spans="1:17">
      <c r="A227" s="2">
        <v>2175</v>
      </c>
      <c r="B227" s="7">
        <v>0</v>
      </c>
      <c r="C227" s="7">
        <v>0</v>
      </c>
      <c r="D227" s="7">
        <v>0</v>
      </c>
      <c r="E227" s="7">
        <v>0</v>
      </c>
      <c r="F227" s="7">
        <v>0</v>
      </c>
      <c r="G227" s="7">
        <v>0</v>
      </c>
      <c r="H227" s="7">
        <v>0</v>
      </c>
      <c r="I227" s="7">
        <v>0</v>
      </c>
      <c r="J227" s="7">
        <v>0</v>
      </c>
      <c r="K227" s="7">
        <v>0</v>
      </c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</row>
    <row r="228" spans="1:17">
      <c r="A228" s="2">
        <v>2176</v>
      </c>
      <c r="B228" s="7">
        <v>0</v>
      </c>
      <c r="C228" s="7">
        <v>0</v>
      </c>
      <c r="D228" s="7">
        <v>0</v>
      </c>
      <c r="E228" s="7">
        <v>0</v>
      </c>
      <c r="F228" s="7">
        <v>0</v>
      </c>
      <c r="G228" s="7">
        <v>0</v>
      </c>
      <c r="H228" s="7">
        <v>0</v>
      </c>
      <c r="I228" s="7">
        <v>0</v>
      </c>
      <c r="J228" s="7">
        <v>0</v>
      </c>
      <c r="K228" s="7">
        <v>0</v>
      </c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</row>
    <row r="229" spans="1:17">
      <c r="A229" s="2">
        <v>2177</v>
      </c>
      <c r="B229" s="7">
        <v>0</v>
      </c>
      <c r="C229" s="7">
        <v>0</v>
      </c>
      <c r="D229" s="7">
        <v>0</v>
      </c>
      <c r="E229" s="7">
        <v>0</v>
      </c>
      <c r="F229" s="7">
        <v>0</v>
      </c>
      <c r="G229" s="7">
        <v>0</v>
      </c>
      <c r="H229" s="7">
        <v>0</v>
      </c>
      <c r="I229" s="7">
        <v>0</v>
      </c>
      <c r="J229" s="7">
        <v>0</v>
      </c>
      <c r="K229" s="7">
        <v>0</v>
      </c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</row>
    <row r="230" spans="1:17">
      <c r="A230" s="2">
        <v>2178</v>
      </c>
      <c r="B230" s="7">
        <v>0</v>
      </c>
      <c r="C230" s="7">
        <v>0</v>
      </c>
      <c r="D230" s="7">
        <v>0</v>
      </c>
      <c r="E230" s="7">
        <v>0</v>
      </c>
      <c r="F230" s="7">
        <v>0</v>
      </c>
      <c r="G230" s="7">
        <v>0</v>
      </c>
      <c r="H230" s="7">
        <v>0</v>
      </c>
      <c r="I230" s="7">
        <v>0</v>
      </c>
      <c r="J230" s="7">
        <v>0</v>
      </c>
      <c r="K230" s="7">
        <v>0</v>
      </c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</row>
    <row r="231" spans="1:17">
      <c r="A231" s="2">
        <v>2179</v>
      </c>
      <c r="B231" s="7">
        <v>0</v>
      </c>
      <c r="C231" s="7">
        <v>0</v>
      </c>
      <c r="D231" s="7">
        <v>0</v>
      </c>
      <c r="E231" s="7">
        <v>0</v>
      </c>
      <c r="F231" s="7">
        <v>0</v>
      </c>
      <c r="G231" s="7">
        <v>0</v>
      </c>
      <c r="H231" s="7">
        <v>0</v>
      </c>
      <c r="I231" s="7">
        <v>0</v>
      </c>
      <c r="J231" s="7">
        <v>0</v>
      </c>
      <c r="K231" s="7">
        <v>0</v>
      </c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</row>
    <row r="232" spans="1:17">
      <c r="A232" s="2">
        <v>2180</v>
      </c>
      <c r="B232" s="7">
        <v>0</v>
      </c>
      <c r="C232" s="7">
        <v>0</v>
      </c>
      <c r="D232" s="7">
        <v>0</v>
      </c>
      <c r="E232" s="7">
        <v>0</v>
      </c>
      <c r="F232" s="7">
        <v>0</v>
      </c>
      <c r="G232" s="7">
        <v>0</v>
      </c>
      <c r="H232" s="7">
        <v>0</v>
      </c>
      <c r="I232" s="7">
        <v>0</v>
      </c>
      <c r="J232" s="7">
        <v>0</v>
      </c>
      <c r="K232" s="7">
        <v>0</v>
      </c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</row>
    <row r="233" spans="1:17">
      <c r="A233" s="2">
        <v>2181</v>
      </c>
      <c r="B233" s="7">
        <v>0</v>
      </c>
      <c r="C233" s="7">
        <v>0</v>
      </c>
      <c r="D233" s="7">
        <v>0</v>
      </c>
      <c r="E233" s="7">
        <v>0</v>
      </c>
      <c r="F233" s="7">
        <v>0</v>
      </c>
      <c r="G233" s="7">
        <v>0</v>
      </c>
      <c r="H233" s="7">
        <v>0</v>
      </c>
      <c r="I233" s="7">
        <v>0</v>
      </c>
      <c r="J233" s="7">
        <v>0</v>
      </c>
      <c r="K233" s="7">
        <v>0</v>
      </c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</row>
    <row r="234" spans="1:17">
      <c r="A234" s="2">
        <v>2182</v>
      </c>
      <c r="B234" s="7">
        <v>0</v>
      </c>
      <c r="C234" s="7">
        <v>0</v>
      </c>
      <c r="D234" s="7">
        <v>0</v>
      </c>
      <c r="E234" s="7">
        <v>0</v>
      </c>
      <c r="F234" s="7">
        <v>0</v>
      </c>
      <c r="G234" s="7">
        <v>0</v>
      </c>
      <c r="H234" s="7">
        <v>0</v>
      </c>
      <c r="I234" s="7">
        <v>0</v>
      </c>
      <c r="J234" s="7">
        <v>0</v>
      </c>
      <c r="K234" s="7">
        <v>0</v>
      </c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</row>
    <row r="235" spans="1:17">
      <c r="A235" s="2">
        <v>2183</v>
      </c>
      <c r="B235" s="7">
        <v>0</v>
      </c>
      <c r="C235" s="7">
        <v>0</v>
      </c>
      <c r="D235" s="7">
        <v>0</v>
      </c>
      <c r="E235" s="7">
        <v>0</v>
      </c>
      <c r="F235" s="7">
        <v>0</v>
      </c>
      <c r="G235" s="7">
        <v>0</v>
      </c>
      <c r="H235" s="7">
        <v>0</v>
      </c>
      <c r="I235" s="7">
        <v>0</v>
      </c>
      <c r="J235" s="7">
        <v>0</v>
      </c>
      <c r="K235" s="7">
        <v>0</v>
      </c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</row>
    <row r="236" spans="1:17">
      <c r="A236" s="2">
        <v>2184</v>
      </c>
      <c r="B236" s="7">
        <v>0</v>
      </c>
      <c r="C236" s="7">
        <v>0</v>
      </c>
      <c r="D236" s="7">
        <v>0</v>
      </c>
      <c r="E236" s="7">
        <v>0</v>
      </c>
      <c r="F236" s="7">
        <v>0</v>
      </c>
      <c r="G236" s="7">
        <v>0</v>
      </c>
      <c r="H236" s="7">
        <v>0</v>
      </c>
      <c r="I236" s="7">
        <v>0</v>
      </c>
      <c r="J236" s="7">
        <v>0</v>
      </c>
      <c r="K236" s="7">
        <v>0</v>
      </c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</row>
    <row r="237" spans="1:17">
      <c r="A237" s="2">
        <v>2185</v>
      </c>
      <c r="B237" s="7">
        <v>0</v>
      </c>
      <c r="C237" s="7">
        <v>0</v>
      </c>
      <c r="D237" s="7">
        <v>0</v>
      </c>
      <c r="E237" s="7">
        <v>0</v>
      </c>
      <c r="F237" s="7">
        <v>0</v>
      </c>
      <c r="G237" s="7">
        <v>0</v>
      </c>
      <c r="H237" s="7">
        <v>0</v>
      </c>
      <c r="I237" s="7">
        <v>0</v>
      </c>
      <c r="J237" s="7">
        <v>0</v>
      </c>
      <c r="K237" s="7">
        <v>0</v>
      </c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</row>
    <row r="238" spans="1:17">
      <c r="A238" s="2">
        <v>2186</v>
      </c>
      <c r="B238" s="7">
        <v>0</v>
      </c>
      <c r="C238" s="7">
        <v>0</v>
      </c>
      <c r="D238" s="7">
        <v>0</v>
      </c>
      <c r="E238" s="7">
        <v>0</v>
      </c>
      <c r="F238" s="7">
        <v>0</v>
      </c>
      <c r="G238" s="7">
        <v>0</v>
      </c>
      <c r="H238" s="7">
        <v>0</v>
      </c>
      <c r="I238" s="7">
        <v>0</v>
      </c>
      <c r="J238" s="7">
        <v>0</v>
      </c>
      <c r="K238" s="7">
        <v>0</v>
      </c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</row>
    <row r="239" spans="1:17">
      <c r="A239" s="2">
        <v>2187</v>
      </c>
      <c r="B239" s="7">
        <v>0</v>
      </c>
      <c r="C239" s="7">
        <v>0</v>
      </c>
      <c r="D239" s="7">
        <v>0</v>
      </c>
      <c r="E239" s="7">
        <v>0</v>
      </c>
      <c r="F239" s="7">
        <v>0</v>
      </c>
      <c r="G239" s="7">
        <v>0</v>
      </c>
      <c r="H239" s="7">
        <v>0</v>
      </c>
      <c r="I239" s="7">
        <v>0</v>
      </c>
      <c r="J239" s="7">
        <v>0</v>
      </c>
      <c r="K239" s="7">
        <v>0</v>
      </c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</row>
    <row r="240" spans="1:17">
      <c r="A240" s="2">
        <v>2188</v>
      </c>
      <c r="B240" s="7">
        <v>0</v>
      </c>
      <c r="C240" s="7">
        <v>0</v>
      </c>
      <c r="D240" s="7">
        <v>0</v>
      </c>
      <c r="E240" s="7">
        <v>0</v>
      </c>
      <c r="F240" s="7">
        <v>0</v>
      </c>
      <c r="G240" s="7">
        <v>0</v>
      </c>
      <c r="H240" s="7">
        <v>0</v>
      </c>
      <c r="I240" s="7">
        <v>0</v>
      </c>
      <c r="J240" s="7">
        <v>0</v>
      </c>
      <c r="K240" s="7">
        <v>0</v>
      </c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</row>
    <row r="241" spans="1:17">
      <c r="A241" s="2">
        <v>2189</v>
      </c>
      <c r="B241" s="7">
        <v>0</v>
      </c>
      <c r="C241" s="7">
        <v>0</v>
      </c>
      <c r="D241" s="7">
        <v>0</v>
      </c>
      <c r="E241" s="7">
        <v>0</v>
      </c>
      <c r="F241" s="7">
        <v>0</v>
      </c>
      <c r="G241" s="7">
        <v>0</v>
      </c>
      <c r="H241" s="7">
        <v>0</v>
      </c>
      <c r="I241" s="7">
        <v>0</v>
      </c>
      <c r="J241" s="7">
        <v>0</v>
      </c>
      <c r="K241" s="7">
        <v>0</v>
      </c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</row>
    <row r="242" spans="1:17">
      <c r="A242" s="2">
        <v>2190</v>
      </c>
      <c r="B242" s="7">
        <v>0</v>
      </c>
      <c r="C242" s="7">
        <v>0</v>
      </c>
      <c r="D242" s="7">
        <v>0</v>
      </c>
      <c r="E242" s="7">
        <v>0</v>
      </c>
      <c r="F242" s="7">
        <v>0</v>
      </c>
      <c r="G242" s="7">
        <v>0</v>
      </c>
      <c r="H242" s="7">
        <v>0</v>
      </c>
      <c r="I242" s="7">
        <v>0</v>
      </c>
      <c r="J242" s="7">
        <v>0</v>
      </c>
      <c r="K242" s="7">
        <v>0</v>
      </c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</row>
    <row r="243" spans="1:17">
      <c r="A243" s="2">
        <v>2191</v>
      </c>
      <c r="B243" s="7">
        <v>0</v>
      </c>
      <c r="C243" s="7">
        <v>0</v>
      </c>
      <c r="D243" s="7">
        <v>0</v>
      </c>
      <c r="E243" s="7">
        <v>0</v>
      </c>
      <c r="F243" s="7">
        <v>0</v>
      </c>
      <c r="G243" s="7">
        <v>0</v>
      </c>
      <c r="H243" s="7">
        <v>0</v>
      </c>
      <c r="I243" s="7">
        <v>0</v>
      </c>
      <c r="J243" s="7">
        <v>0</v>
      </c>
      <c r="K243" s="7">
        <v>0</v>
      </c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</row>
    <row r="244" spans="1:17">
      <c r="A244" s="2">
        <v>2192</v>
      </c>
      <c r="B244" s="7">
        <v>0</v>
      </c>
      <c r="C244" s="7">
        <v>0</v>
      </c>
      <c r="D244" s="7">
        <v>0</v>
      </c>
      <c r="E244" s="7">
        <v>0</v>
      </c>
      <c r="F244" s="7">
        <v>0</v>
      </c>
      <c r="G244" s="7">
        <v>0</v>
      </c>
      <c r="H244" s="7">
        <v>0</v>
      </c>
      <c r="I244" s="7">
        <v>0</v>
      </c>
      <c r="J244" s="7">
        <v>0</v>
      </c>
      <c r="K244" s="7">
        <v>0</v>
      </c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</row>
    <row r="245" spans="1:17">
      <c r="A245" s="2">
        <v>2193</v>
      </c>
      <c r="B245" s="7">
        <v>0</v>
      </c>
      <c r="C245" s="7">
        <v>0</v>
      </c>
      <c r="D245" s="7">
        <v>0</v>
      </c>
      <c r="E245" s="7">
        <v>0</v>
      </c>
      <c r="F245" s="7">
        <v>0</v>
      </c>
      <c r="G245" s="7">
        <v>0</v>
      </c>
      <c r="H245" s="7">
        <v>0</v>
      </c>
      <c r="I245" s="7">
        <v>0</v>
      </c>
      <c r="J245" s="7">
        <v>0</v>
      </c>
      <c r="K245" s="7">
        <v>0</v>
      </c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</row>
    <row r="246" spans="1:17">
      <c r="A246" s="2">
        <v>2194</v>
      </c>
      <c r="B246" s="7">
        <v>0</v>
      </c>
      <c r="C246" s="7">
        <v>0</v>
      </c>
      <c r="D246" s="7">
        <v>0</v>
      </c>
      <c r="E246" s="7">
        <v>0</v>
      </c>
      <c r="F246" s="7">
        <v>0</v>
      </c>
      <c r="G246" s="7">
        <v>0</v>
      </c>
      <c r="H246" s="7">
        <v>0</v>
      </c>
      <c r="I246" s="7">
        <v>0</v>
      </c>
      <c r="J246" s="7">
        <v>0</v>
      </c>
      <c r="K246" s="7">
        <v>0</v>
      </c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</row>
    <row r="247" spans="1:17">
      <c r="A247" s="2">
        <v>2195</v>
      </c>
      <c r="B247" s="7">
        <v>0</v>
      </c>
      <c r="C247" s="7">
        <v>0</v>
      </c>
      <c r="D247" s="7">
        <v>0</v>
      </c>
      <c r="E247" s="7">
        <v>0</v>
      </c>
      <c r="F247" s="7">
        <v>0</v>
      </c>
      <c r="G247" s="7">
        <v>0</v>
      </c>
      <c r="H247" s="7">
        <v>0</v>
      </c>
      <c r="I247" s="7">
        <v>0</v>
      </c>
      <c r="J247" s="7">
        <v>0</v>
      </c>
      <c r="K247" s="7">
        <v>0</v>
      </c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</row>
    <row r="248" spans="1:17">
      <c r="A248" s="2">
        <v>2196</v>
      </c>
      <c r="B248" s="7">
        <v>0</v>
      </c>
      <c r="C248" s="7">
        <v>0</v>
      </c>
      <c r="D248" s="7">
        <v>0</v>
      </c>
      <c r="E248" s="7">
        <v>0</v>
      </c>
      <c r="F248" s="7">
        <v>0</v>
      </c>
      <c r="G248" s="7">
        <v>0</v>
      </c>
      <c r="H248" s="7">
        <v>0</v>
      </c>
      <c r="I248" s="7">
        <v>0</v>
      </c>
      <c r="J248" s="7">
        <v>0</v>
      </c>
      <c r="K248" s="7">
        <v>0</v>
      </c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</row>
    <row r="249" spans="1:17">
      <c r="A249" s="2">
        <v>2197</v>
      </c>
      <c r="B249" s="7">
        <v>0</v>
      </c>
      <c r="C249" s="7">
        <v>0</v>
      </c>
      <c r="D249" s="7">
        <v>0</v>
      </c>
      <c r="E249" s="7">
        <v>0</v>
      </c>
      <c r="F249" s="7">
        <v>0</v>
      </c>
      <c r="G249" s="7">
        <v>0</v>
      </c>
      <c r="H249" s="7">
        <v>0</v>
      </c>
      <c r="I249" s="7">
        <v>0</v>
      </c>
      <c r="J249" s="7">
        <v>0</v>
      </c>
      <c r="K249" s="7">
        <v>0</v>
      </c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</row>
    <row r="250" spans="1:17">
      <c r="A250" s="2">
        <v>2198</v>
      </c>
      <c r="B250" s="7">
        <v>0</v>
      </c>
      <c r="C250" s="7">
        <v>0</v>
      </c>
      <c r="D250" s="7">
        <v>0</v>
      </c>
      <c r="E250" s="7">
        <v>0</v>
      </c>
      <c r="F250" s="7">
        <v>0</v>
      </c>
      <c r="G250" s="7">
        <v>0</v>
      </c>
      <c r="H250" s="7">
        <v>0</v>
      </c>
      <c r="I250" s="7">
        <v>0</v>
      </c>
      <c r="J250" s="7">
        <v>0</v>
      </c>
      <c r="K250" s="7">
        <v>0</v>
      </c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</row>
    <row r="251" spans="1:17">
      <c r="A251" s="2">
        <v>2199</v>
      </c>
      <c r="B251" s="7">
        <v>0</v>
      </c>
      <c r="C251" s="7">
        <v>0</v>
      </c>
      <c r="D251" s="7">
        <v>0</v>
      </c>
      <c r="E251" s="7">
        <v>0</v>
      </c>
      <c r="F251" s="7">
        <v>0</v>
      </c>
      <c r="G251" s="7">
        <v>0</v>
      </c>
      <c r="H251" s="7">
        <v>0</v>
      </c>
      <c r="I251" s="7">
        <v>0</v>
      </c>
      <c r="J251" s="7">
        <v>0</v>
      </c>
      <c r="K251" s="7">
        <v>0</v>
      </c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</row>
    <row r="252" spans="1:17">
      <c r="A252" s="2">
        <v>2200</v>
      </c>
      <c r="B252" s="7">
        <v>0</v>
      </c>
      <c r="C252" s="7">
        <v>0</v>
      </c>
      <c r="D252" s="7">
        <v>0</v>
      </c>
      <c r="E252" s="7">
        <v>0</v>
      </c>
      <c r="F252" s="7">
        <v>0</v>
      </c>
      <c r="G252" s="7">
        <v>0</v>
      </c>
      <c r="H252" s="7">
        <v>0</v>
      </c>
      <c r="I252" s="7">
        <v>0</v>
      </c>
      <c r="J252" s="7">
        <v>0</v>
      </c>
      <c r="K252" s="7">
        <v>0</v>
      </c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</row>
    <row r="253" spans="1:17">
      <c r="A253" s="2">
        <v>2201</v>
      </c>
      <c r="B253" s="7">
        <v>0</v>
      </c>
      <c r="C253" s="7">
        <v>0</v>
      </c>
      <c r="D253" s="7">
        <v>0</v>
      </c>
      <c r="E253" s="7">
        <v>0</v>
      </c>
      <c r="F253" s="7">
        <v>0</v>
      </c>
      <c r="G253" s="7">
        <v>0</v>
      </c>
      <c r="H253" s="7">
        <v>0</v>
      </c>
      <c r="I253" s="7">
        <v>0</v>
      </c>
      <c r="J253" s="7">
        <v>0</v>
      </c>
      <c r="K253" s="7">
        <v>0</v>
      </c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</row>
    <row r="254" spans="1:17">
      <c r="A254" s="2">
        <v>2202</v>
      </c>
      <c r="B254" s="7">
        <v>0</v>
      </c>
      <c r="C254" s="7">
        <v>0</v>
      </c>
      <c r="D254" s="7">
        <v>0</v>
      </c>
      <c r="E254" s="7">
        <v>0</v>
      </c>
      <c r="F254" s="7">
        <v>0</v>
      </c>
      <c r="G254" s="7">
        <v>0</v>
      </c>
      <c r="H254" s="7">
        <v>0</v>
      </c>
      <c r="I254" s="7">
        <v>0</v>
      </c>
      <c r="J254" s="7">
        <v>0</v>
      </c>
      <c r="K254" s="7">
        <v>0</v>
      </c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</row>
    <row r="255" spans="1:17">
      <c r="A255" s="2">
        <v>2203</v>
      </c>
      <c r="B255" s="7">
        <v>0</v>
      </c>
      <c r="C255" s="7">
        <v>0</v>
      </c>
      <c r="D255" s="7">
        <v>0</v>
      </c>
      <c r="E255" s="7">
        <v>0</v>
      </c>
      <c r="F255" s="7">
        <v>0</v>
      </c>
      <c r="G255" s="7">
        <v>0</v>
      </c>
      <c r="H255" s="7">
        <v>0</v>
      </c>
      <c r="I255" s="7">
        <v>0</v>
      </c>
      <c r="J255" s="7">
        <v>0</v>
      </c>
      <c r="K255" s="7">
        <v>0</v>
      </c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</row>
    <row r="256" spans="1:17">
      <c r="A256" s="2">
        <v>2204</v>
      </c>
      <c r="B256" s="7">
        <v>0</v>
      </c>
      <c r="C256" s="7">
        <v>0</v>
      </c>
      <c r="D256" s="7">
        <v>0</v>
      </c>
      <c r="E256" s="7">
        <v>0</v>
      </c>
      <c r="F256" s="7">
        <v>0</v>
      </c>
      <c r="G256" s="7">
        <v>0</v>
      </c>
      <c r="H256" s="7">
        <v>0</v>
      </c>
      <c r="I256" s="7">
        <v>0</v>
      </c>
      <c r="J256" s="7">
        <v>0</v>
      </c>
      <c r="K256" s="7">
        <v>0</v>
      </c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</row>
    <row r="257" spans="1:17">
      <c r="A257" s="2">
        <v>2205</v>
      </c>
      <c r="B257" s="7">
        <v>0</v>
      </c>
      <c r="C257" s="7">
        <v>0</v>
      </c>
      <c r="D257" s="7">
        <v>0</v>
      </c>
      <c r="E257" s="7">
        <v>0</v>
      </c>
      <c r="F257" s="7">
        <v>0</v>
      </c>
      <c r="G257" s="7">
        <v>0</v>
      </c>
      <c r="H257" s="7">
        <v>0</v>
      </c>
      <c r="I257" s="7">
        <v>0</v>
      </c>
      <c r="J257" s="7">
        <v>0</v>
      </c>
      <c r="K257" s="7">
        <v>0</v>
      </c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</row>
    <row r="258" spans="1:17">
      <c r="A258" s="2">
        <v>2206</v>
      </c>
      <c r="B258" s="7">
        <v>0</v>
      </c>
      <c r="C258" s="7">
        <v>0</v>
      </c>
      <c r="D258" s="7">
        <v>0</v>
      </c>
      <c r="E258" s="7">
        <v>0</v>
      </c>
      <c r="F258" s="7">
        <v>0</v>
      </c>
      <c r="G258" s="7">
        <v>0</v>
      </c>
      <c r="H258" s="7">
        <v>0</v>
      </c>
      <c r="I258" s="7">
        <v>0</v>
      </c>
      <c r="J258" s="7">
        <v>0</v>
      </c>
      <c r="K258" s="7">
        <v>0</v>
      </c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</row>
    <row r="259" spans="1:17">
      <c r="A259" s="2">
        <v>2207</v>
      </c>
      <c r="B259" s="7">
        <v>0</v>
      </c>
      <c r="C259" s="7">
        <v>0</v>
      </c>
      <c r="D259" s="7">
        <v>0</v>
      </c>
      <c r="E259" s="7">
        <v>0</v>
      </c>
      <c r="F259" s="7">
        <v>0</v>
      </c>
      <c r="G259" s="7">
        <v>0</v>
      </c>
      <c r="H259" s="7">
        <v>0</v>
      </c>
      <c r="I259" s="7">
        <v>0</v>
      </c>
      <c r="J259" s="7">
        <v>0</v>
      </c>
      <c r="K259" s="7">
        <v>0</v>
      </c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</row>
    <row r="260" spans="1:17">
      <c r="A260" s="2">
        <v>2208</v>
      </c>
      <c r="B260" s="7">
        <v>0</v>
      </c>
      <c r="C260" s="7">
        <v>0</v>
      </c>
      <c r="D260" s="7">
        <v>0</v>
      </c>
      <c r="E260" s="7">
        <v>0</v>
      </c>
      <c r="F260" s="7">
        <v>0</v>
      </c>
      <c r="G260" s="7">
        <v>0</v>
      </c>
      <c r="H260" s="7">
        <v>0</v>
      </c>
      <c r="I260" s="7">
        <v>0</v>
      </c>
      <c r="J260" s="7">
        <v>0</v>
      </c>
      <c r="K260" s="7">
        <v>0</v>
      </c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</row>
    <row r="261" spans="1:17">
      <c r="A261" s="2">
        <v>2209</v>
      </c>
      <c r="B261" s="7">
        <v>0</v>
      </c>
      <c r="C261" s="7">
        <v>0</v>
      </c>
      <c r="D261" s="7">
        <v>0</v>
      </c>
      <c r="E261" s="7">
        <v>0</v>
      </c>
      <c r="F261" s="7">
        <v>0</v>
      </c>
      <c r="G261" s="7">
        <v>0</v>
      </c>
      <c r="H261" s="7">
        <v>0</v>
      </c>
      <c r="I261" s="7">
        <v>0</v>
      </c>
      <c r="J261" s="7">
        <v>0</v>
      </c>
      <c r="K261" s="7">
        <v>0</v>
      </c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</row>
    <row r="262" spans="1:17">
      <c r="A262" s="2">
        <v>2210</v>
      </c>
      <c r="B262" s="7">
        <v>0</v>
      </c>
      <c r="C262" s="7">
        <v>0</v>
      </c>
      <c r="D262" s="7">
        <v>0</v>
      </c>
      <c r="E262" s="7">
        <v>0</v>
      </c>
      <c r="F262" s="7">
        <v>0</v>
      </c>
      <c r="G262" s="7">
        <v>0</v>
      </c>
      <c r="H262" s="7">
        <v>0</v>
      </c>
      <c r="I262" s="7">
        <v>0</v>
      </c>
      <c r="J262" s="7">
        <v>0</v>
      </c>
      <c r="K262" s="7">
        <v>0</v>
      </c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</row>
    <row r="263" spans="1:17">
      <c r="A263" s="2">
        <v>2211</v>
      </c>
      <c r="B263" s="7">
        <v>0</v>
      </c>
      <c r="C263" s="7">
        <v>0</v>
      </c>
      <c r="D263" s="7">
        <v>0</v>
      </c>
      <c r="E263" s="7">
        <v>0</v>
      </c>
      <c r="F263" s="7">
        <v>0</v>
      </c>
      <c r="G263" s="7">
        <v>0</v>
      </c>
      <c r="H263" s="7">
        <v>0</v>
      </c>
      <c r="I263" s="7">
        <v>0</v>
      </c>
      <c r="J263" s="7">
        <v>0</v>
      </c>
      <c r="K263" s="7">
        <v>0</v>
      </c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</row>
    <row r="264" spans="1:17">
      <c r="A264" s="2">
        <v>2212</v>
      </c>
      <c r="B264" s="7">
        <v>0</v>
      </c>
      <c r="C264" s="7">
        <v>0</v>
      </c>
      <c r="D264" s="7">
        <v>0</v>
      </c>
      <c r="E264" s="7">
        <v>0</v>
      </c>
      <c r="F264" s="7">
        <v>0</v>
      </c>
      <c r="G264" s="7">
        <v>0</v>
      </c>
      <c r="H264" s="7">
        <v>0</v>
      </c>
      <c r="I264" s="7">
        <v>0</v>
      </c>
      <c r="J264" s="7">
        <v>0</v>
      </c>
      <c r="K264" s="7">
        <v>0</v>
      </c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</row>
    <row r="265" spans="1:17">
      <c r="A265" s="2">
        <v>2213</v>
      </c>
      <c r="B265" s="7">
        <v>0</v>
      </c>
      <c r="C265" s="7">
        <v>0</v>
      </c>
      <c r="D265" s="7">
        <v>0</v>
      </c>
      <c r="E265" s="7">
        <v>0</v>
      </c>
      <c r="F265" s="7">
        <v>0</v>
      </c>
      <c r="G265" s="7">
        <v>0</v>
      </c>
      <c r="H265" s="7">
        <v>0</v>
      </c>
      <c r="I265" s="7">
        <v>0</v>
      </c>
      <c r="J265" s="7">
        <v>0</v>
      </c>
      <c r="K265" s="7">
        <v>0</v>
      </c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</row>
    <row r="266" spans="1:17">
      <c r="A266" s="2">
        <v>2214</v>
      </c>
      <c r="B266" s="7">
        <v>0</v>
      </c>
      <c r="C266" s="7">
        <v>0</v>
      </c>
      <c r="D266" s="7">
        <v>0</v>
      </c>
      <c r="E266" s="7">
        <v>0</v>
      </c>
      <c r="F266" s="7">
        <v>0</v>
      </c>
      <c r="G266" s="7">
        <v>0</v>
      </c>
      <c r="H266" s="7">
        <v>0</v>
      </c>
      <c r="I266" s="7">
        <v>0</v>
      </c>
      <c r="J266" s="7">
        <v>0</v>
      </c>
      <c r="K266" s="7">
        <v>0</v>
      </c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</row>
    <row r="267" spans="1:17">
      <c r="A267" s="2">
        <v>2215</v>
      </c>
      <c r="B267" s="7">
        <v>0</v>
      </c>
      <c r="C267" s="7">
        <v>0</v>
      </c>
      <c r="D267" s="7">
        <v>0</v>
      </c>
      <c r="E267" s="7">
        <v>0</v>
      </c>
      <c r="F267" s="7">
        <v>0</v>
      </c>
      <c r="G267" s="7">
        <v>0</v>
      </c>
      <c r="H267" s="7">
        <v>0</v>
      </c>
      <c r="I267" s="7">
        <v>0</v>
      </c>
      <c r="J267" s="7">
        <v>0</v>
      </c>
      <c r="K267" s="7">
        <v>0</v>
      </c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</row>
    <row r="268" spans="1:17">
      <c r="A268" s="2">
        <v>2216</v>
      </c>
      <c r="B268" s="7">
        <v>0</v>
      </c>
      <c r="C268" s="7">
        <v>0</v>
      </c>
      <c r="D268" s="7">
        <v>0</v>
      </c>
      <c r="E268" s="7">
        <v>0</v>
      </c>
      <c r="F268" s="7">
        <v>0</v>
      </c>
      <c r="G268" s="7">
        <v>0</v>
      </c>
      <c r="H268" s="7">
        <v>0</v>
      </c>
      <c r="I268" s="7">
        <v>0</v>
      </c>
      <c r="J268" s="7">
        <v>0</v>
      </c>
      <c r="K268" s="7">
        <v>0</v>
      </c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</row>
    <row r="269" spans="1:17">
      <c r="A269" s="2">
        <v>2217</v>
      </c>
      <c r="B269" s="7">
        <v>0</v>
      </c>
      <c r="C269" s="7">
        <v>0</v>
      </c>
      <c r="D269" s="7">
        <v>0</v>
      </c>
      <c r="E269" s="7">
        <v>0</v>
      </c>
      <c r="F269" s="7">
        <v>0</v>
      </c>
      <c r="G269" s="7">
        <v>0</v>
      </c>
      <c r="H269" s="7">
        <v>0</v>
      </c>
      <c r="I269" s="7">
        <v>0</v>
      </c>
      <c r="J269" s="7">
        <v>0</v>
      </c>
      <c r="K269" s="7">
        <v>0</v>
      </c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</row>
    <row r="270" spans="1:17">
      <c r="A270" s="2">
        <v>2218</v>
      </c>
      <c r="B270" s="7">
        <v>0</v>
      </c>
      <c r="C270" s="7">
        <v>0</v>
      </c>
      <c r="D270" s="7">
        <v>0</v>
      </c>
      <c r="E270" s="7">
        <v>0</v>
      </c>
      <c r="F270" s="7">
        <v>0</v>
      </c>
      <c r="G270" s="7">
        <v>0</v>
      </c>
      <c r="H270" s="7">
        <v>0</v>
      </c>
      <c r="I270" s="7">
        <v>0</v>
      </c>
      <c r="J270" s="7">
        <v>0</v>
      </c>
      <c r="K270" s="7">
        <v>0</v>
      </c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</row>
    <row r="271" spans="1:17">
      <c r="A271" s="2">
        <v>2219</v>
      </c>
      <c r="B271" s="7">
        <v>0</v>
      </c>
      <c r="C271" s="7">
        <v>0</v>
      </c>
      <c r="D271" s="7">
        <v>0</v>
      </c>
      <c r="E271" s="7">
        <v>0</v>
      </c>
      <c r="F271" s="7">
        <v>0</v>
      </c>
      <c r="G271" s="7">
        <v>0</v>
      </c>
      <c r="H271" s="7">
        <v>0</v>
      </c>
      <c r="I271" s="7">
        <v>0</v>
      </c>
      <c r="J271" s="7">
        <v>0</v>
      </c>
      <c r="K271" s="7">
        <v>0</v>
      </c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</row>
    <row r="272" spans="1:17">
      <c r="A272" s="2">
        <v>2220</v>
      </c>
      <c r="B272" s="7">
        <v>0</v>
      </c>
      <c r="C272" s="7">
        <v>0</v>
      </c>
      <c r="D272" s="7">
        <v>0</v>
      </c>
      <c r="E272" s="7">
        <v>0</v>
      </c>
      <c r="F272" s="7">
        <v>0</v>
      </c>
      <c r="G272" s="7">
        <v>0</v>
      </c>
      <c r="H272" s="7">
        <v>0</v>
      </c>
      <c r="I272" s="7">
        <v>0</v>
      </c>
      <c r="J272" s="7">
        <v>0</v>
      </c>
      <c r="K272" s="7">
        <v>0</v>
      </c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</row>
    <row r="273" spans="1:17">
      <c r="A273" s="2">
        <v>2221</v>
      </c>
      <c r="B273" s="7">
        <v>0</v>
      </c>
      <c r="C273" s="7">
        <v>0</v>
      </c>
      <c r="D273" s="7">
        <v>0</v>
      </c>
      <c r="E273" s="7">
        <v>0</v>
      </c>
      <c r="F273" s="7">
        <v>0</v>
      </c>
      <c r="G273" s="7">
        <v>0</v>
      </c>
      <c r="H273" s="7">
        <v>0</v>
      </c>
      <c r="I273" s="7">
        <v>0</v>
      </c>
      <c r="J273" s="7">
        <v>0</v>
      </c>
      <c r="K273" s="7">
        <v>0</v>
      </c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</row>
    <row r="274" spans="1:17">
      <c r="A274" s="2">
        <v>2222</v>
      </c>
      <c r="B274" s="7">
        <v>0</v>
      </c>
      <c r="C274" s="7">
        <v>0</v>
      </c>
      <c r="D274" s="7">
        <v>0</v>
      </c>
      <c r="E274" s="7">
        <v>0</v>
      </c>
      <c r="F274" s="7">
        <v>0</v>
      </c>
      <c r="G274" s="7">
        <v>0</v>
      </c>
      <c r="H274" s="7">
        <v>0</v>
      </c>
      <c r="I274" s="7">
        <v>0</v>
      </c>
      <c r="J274" s="7">
        <v>0</v>
      </c>
      <c r="K274" s="7">
        <v>0</v>
      </c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</row>
    <row r="275" spans="1:17">
      <c r="A275" s="2">
        <v>2223</v>
      </c>
      <c r="B275" s="7">
        <v>0</v>
      </c>
      <c r="C275" s="7">
        <v>0</v>
      </c>
      <c r="D275" s="7">
        <v>0</v>
      </c>
      <c r="E275" s="7">
        <v>0</v>
      </c>
      <c r="F275" s="7">
        <v>0</v>
      </c>
      <c r="G275" s="7">
        <v>0</v>
      </c>
      <c r="H275" s="7">
        <v>0</v>
      </c>
      <c r="I275" s="7">
        <v>0</v>
      </c>
      <c r="J275" s="7">
        <v>0</v>
      </c>
      <c r="K275" s="7">
        <v>0</v>
      </c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</row>
    <row r="276" spans="1:17">
      <c r="A276" s="2">
        <v>2224</v>
      </c>
      <c r="B276" s="7">
        <v>0</v>
      </c>
      <c r="C276" s="7">
        <v>0</v>
      </c>
      <c r="D276" s="7">
        <v>0</v>
      </c>
      <c r="E276" s="7">
        <v>0</v>
      </c>
      <c r="F276" s="7">
        <v>0</v>
      </c>
      <c r="G276" s="7">
        <v>0</v>
      </c>
      <c r="H276" s="7">
        <v>0</v>
      </c>
      <c r="I276" s="7">
        <v>0</v>
      </c>
      <c r="J276" s="7">
        <v>0</v>
      </c>
      <c r="K276" s="7">
        <v>0</v>
      </c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</row>
    <row r="277" spans="1:17">
      <c r="A277" s="2">
        <v>2225</v>
      </c>
      <c r="B277" s="7">
        <v>0</v>
      </c>
      <c r="C277" s="7">
        <v>0</v>
      </c>
      <c r="D277" s="7">
        <v>0</v>
      </c>
      <c r="E277" s="7">
        <v>0</v>
      </c>
      <c r="F277" s="7">
        <v>0</v>
      </c>
      <c r="G277" s="7">
        <v>0</v>
      </c>
      <c r="H277" s="7">
        <v>0</v>
      </c>
      <c r="I277" s="7">
        <v>0</v>
      </c>
      <c r="J277" s="7">
        <v>0</v>
      </c>
      <c r="K277" s="7">
        <v>0</v>
      </c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</row>
    <row r="278" spans="1:17">
      <c r="A278" s="2">
        <v>2226</v>
      </c>
      <c r="B278" s="7">
        <v>0</v>
      </c>
      <c r="C278" s="7">
        <v>0</v>
      </c>
      <c r="D278" s="7">
        <v>0</v>
      </c>
      <c r="E278" s="7">
        <v>0</v>
      </c>
      <c r="F278" s="7">
        <v>0</v>
      </c>
      <c r="G278" s="7">
        <v>0</v>
      </c>
      <c r="H278" s="7">
        <v>0</v>
      </c>
      <c r="I278" s="7">
        <v>0</v>
      </c>
      <c r="J278" s="7">
        <v>0</v>
      </c>
      <c r="K278" s="7">
        <v>0</v>
      </c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</row>
    <row r="279" spans="1:17">
      <c r="A279" s="2">
        <v>2227</v>
      </c>
      <c r="B279" s="7">
        <v>0</v>
      </c>
      <c r="C279" s="7">
        <v>0</v>
      </c>
      <c r="D279" s="7">
        <v>0</v>
      </c>
      <c r="E279" s="7">
        <v>0</v>
      </c>
      <c r="F279" s="7">
        <v>0</v>
      </c>
      <c r="G279" s="7">
        <v>0</v>
      </c>
      <c r="H279" s="7">
        <v>0</v>
      </c>
      <c r="I279" s="7">
        <v>0</v>
      </c>
      <c r="J279" s="7">
        <v>0</v>
      </c>
      <c r="K279" s="7">
        <v>0</v>
      </c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</row>
    <row r="280" spans="1:17">
      <c r="A280" s="2">
        <v>2228</v>
      </c>
      <c r="B280" s="7">
        <v>0</v>
      </c>
      <c r="C280" s="7">
        <v>0</v>
      </c>
      <c r="D280" s="7">
        <v>0</v>
      </c>
      <c r="E280" s="7">
        <v>0</v>
      </c>
      <c r="F280" s="7">
        <v>0</v>
      </c>
      <c r="G280" s="7">
        <v>0</v>
      </c>
      <c r="H280" s="7">
        <v>0</v>
      </c>
      <c r="I280" s="7">
        <v>0</v>
      </c>
      <c r="J280" s="7">
        <v>0</v>
      </c>
      <c r="K280" s="7">
        <v>0</v>
      </c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</row>
    <row r="281" spans="1:17">
      <c r="A281" s="2">
        <v>2229</v>
      </c>
      <c r="B281" s="7">
        <v>0</v>
      </c>
      <c r="C281" s="7">
        <v>0</v>
      </c>
      <c r="D281" s="7">
        <v>0</v>
      </c>
      <c r="E281" s="7">
        <v>0</v>
      </c>
      <c r="F281" s="7">
        <v>0</v>
      </c>
      <c r="G281" s="7">
        <v>0</v>
      </c>
      <c r="H281" s="7">
        <v>0</v>
      </c>
      <c r="I281" s="7">
        <v>0</v>
      </c>
      <c r="J281" s="7">
        <v>0</v>
      </c>
      <c r="K281" s="7">
        <v>0</v>
      </c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</row>
    <row r="282" spans="1:17">
      <c r="A282" s="2">
        <v>2230</v>
      </c>
      <c r="B282" s="7">
        <v>0</v>
      </c>
      <c r="C282" s="7">
        <v>0</v>
      </c>
      <c r="D282" s="7">
        <v>0</v>
      </c>
      <c r="E282" s="7">
        <v>0</v>
      </c>
      <c r="F282" s="7">
        <v>0</v>
      </c>
      <c r="G282" s="7">
        <v>0</v>
      </c>
      <c r="H282" s="7">
        <v>0</v>
      </c>
      <c r="I282" s="7">
        <v>0</v>
      </c>
      <c r="J282" s="7">
        <v>0</v>
      </c>
      <c r="K282" s="7">
        <v>0</v>
      </c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</row>
    <row r="283" spans="1:17">
      <c r="A283" s="2">
        <v>2231</v>
      </c>
      <c r="B283" s="7">
        <v>0</v>
      </c>
      <c r="C283" s="7">
        <v>0</v>
      </c>
      <c r="D283" s="7">
        <v>0</v>
      </c>
      <c r="E283" s="7">
        <v>0</v>
      </c>
      <c r="F283" s="7">
        <v>0</v>
      </c>
      <c r="G283" s="7">
        <v>0</v>
      </c>
      <c r="H283" s="7">
        <v>0</v>
      </c>
      <c r="I283" s="7">
        <v>0</v>
      </c>
      <c r="J283" s="7">
        <v>0</v>
      </c>
      <c r="K283" s="7">
        <v>0</v>
      </c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</row>
    <row r="284" spans="1:17">
      <c r="A284" s="2">
        <v>2232</v>
      </c>
      <c r="B284" s="7">
        <v>0</v>
      </c>
      <c r="C284" s="7">
        <v>0</v>
      </c>
      <c r="D284" s="7">
        <v>0</v>
      </c>
      <c r="E284" s="7">
        <v>0</v>
      </c>
      <c r="F284" s="7">
        <v>0</v>
      </c>
      <c r="G284" s="7">
        <v>0</v>
      </c>
      <c r="H284" s="7">
        <v>0</v>
      </c>
      <c r="I284" s="7">
        <v>0</v>
      </c>
      <c r="J284" s="7">
        <v>0</v>
      </c>
      <c r="K284" s="7">
        <v>0</v>
      </c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</row>
    <row r="285" spans="1:17">
      <c r="A285" s="2">
        <v>2233</v>
      </c>
      <c r="B285" s="7">
        <v>0</v>
      </c>
      <c r="C285" s="7">
        <v>0</v>
      </c>
      <c r="D285" s="7">
        <v>0</v>
      </c>
      <c r="E285" s="7">
        <v>0</v>
      </c>
      <c r="F285" s="7">
        <v>0</v>
      </c>
      <c r="G285" s="7">
        <v>0</v>
      </c>
      <c r="H285" s="7">
        <v>0</v>
      </c>
      <c r="I285" s="7">
        <v>0</v>
      </c>
      <c r="J285" s="7">
        <v>0</v>
      </c>
      <c r="K285" s="7">
        <v>0</v>
      </c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</row>
    <row r="286" spans="1:17">
      <c r="A286" s="2">
        <v>2234</v>
      </c>
      <c r="B286" s="7">
        <v>0</v>
      </c>
      <c r="C286" s="7">
        <v>0</v>
      </c>
      <c r="D286" s="7">
        <v>0</v>
      </c>
      <c r="E286" s="7">
        <v>0</v>
      </c>
      <c r="F286" s="7">
        <v>0</v>
      </c>
      <c r="G286" s="7">
        <v>0</v>
      </c>
      <c r="H286" s="7">
        <v>0</v>
      </c>
      <c r="I286" s="7">
        <v>0</v>
      </c>
      <c r="J286" s="7">
        <v>0</v>
      </c>
      <c r="K286" s="7">
        <v>0</v>
      </c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</row>
    <row r="287" spans="1:17">
      <c r="A287" s="2">
        <v>2235</v>
      </c>
      <c r="B287" s="7">
        <v>0</v>
      </c>
      <c r="C287" s="7">
        <v>0</v>
      </c>
      <c r="D287" s="7">
        <v>0</v>
      </c>
      <c r="E287" s="7">
        <v>0</v>
      </c>
      <c r="F287" s="7">
        <v>0</v>
      </c>
      <c r="G287" s="7">
        <v>0</v>
      </c>
      <c r="H287" s="7">
        <v>0</v>
      </c>
      <c r="I287" s="7">
        <v>0</v>
      </c>
      <c r="J287" s="7">
        <v>0</v>
      </c>
      <c r="K287" s="7">
        <v>0</v>
      </c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</row>
    <row r="288" spans="1:17">
      <c r="A288" s="2">
        <v>2236</v>
      </c>
      <c r="B288" s="7">
        <v>0</v>
      </c>
      <c r="C288" s="7">
        <v>0</v>
      </c>
      <c r="D288" s="7">
        <v>0</v>
      </c>
      <c r="E288" s="7">
        <v>0</v>
      </c>
      <c r="F288" s="7">
        <v>0</v>
      </c>
      <c r="G288" s="7">
        <v>0</v>
      </c>
      <c r="H288" s="7">
        <v>0</v>
      </c>
      <c r="I288" s="7">
        <v>0</v>
      </c>
      <c r="J288" s="7">
        <v>0</v>
      </c>
      <c r="K288" s="7">
        <v>0</v>
      </c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</row>
    <row r="289" spans="1:17">
      <c r="A289" s="2">
        <v>2237</v>
      </c>
      <c r="B289" s="7">
        <v>0</v>
      </c>
      <c r="C289" s="7">
        <v>0</v>
      </c>
      <c r="D289" s="7">
        <v>0</v>
      </c>
      <c r="E289" s="7">
        <v>0</v>
      </c>
      <c r="F289" s="7">
        <v>0</v>
      </c>
      <c r="G289" s="7">
        <v>0</v>
      </c>
      <c r="H289" s="7">
        <v>0</v>
      </c>
      <c r="I289" s="7">
        <v>0</v>
      </c>
      <c r="J289" s="7">
        <v>0</v>
      </c>
      <c r="K289" s="7">
        <v>0</v>
      </c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</row>
    <row r="290" spans="1:17">
      <c r="A290" s="2">
        <v>2238</v>
      </c>
      <c r="B290" s="7">
        <v>0</v>
      </c>
      <c r="C290" s="7">
        <v>0</v>
      </c>
      <c r="D290" s="7">
        <v>0</v>
      </c>
      <c r="E290" s="7">
        <v>0</v>
      </c>
      <c r="F290" s="7">
        <v>0</v>
      </c>
      <c r="G290" s="7">
        <v>0</v>
      </c>
      <c r="H290" s="7">
        <v>0</v>
      </c>
      <c r="I290" s="7">
        <v>0</v>
      </c>
      <c r="J290" s="7">
        <v>0</v>
      </c>
      <c r="K290" s="7">
        <v>0</v>
      </c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</row>
    <row r="291" spans="1:17">
      <c r="A291" s="2">
        <v>2239</v>
      </c>
      <c r="B291" s="7">
        <v>0</v>
      </c>
      <c r="C291" s="7">
        <v>0</v>
      </c>
      <c r="D291" s="7">
        <v>0</v>
      </c>
      <c r="E291" s="7">
        <v>0</v>
      </c>
      <c r="F291" s="7">
        <v>0</v>
      </c>
      <c r="G291" s="7">
        <v>0</v>
      </c>
      <c r="H291" s="7">
        <v>0</v>
      </c>
      <c r="I291" s="7">
        <v>0</v>
      </c>
      <c r="J291" s="7">
        <v>0</v>
      </c>
      <c r="K291" s="7">
        <v>0</v>
      </c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</row>
    <row r="292" spans="1:17">
      <c r="A292" s="2">
        <v>2240</v>
      </c>
      <c r="B292" s="7">
        <v>0</v>
      </c>
      <c r="C292" s="7">
        <v>0</v>
      </c>
      <c r="D292" s="7">
        <v>0</v>
      </c>
      <c r="E292" s="7">
        <v>0</v>
      </c>
      <c r="F292" s="7">
        <v>0</v>
      </c>
      <c r="G292" s="7">
        <v>0</v>
      </c>
      <c r="H292" s="7">
        <v>0</v>
      </c>
      <c r="I292" s="7">
        <v>0</v>
      </c>
      <c r="J292" s="7">
        <v>0</v>
      </c>
      <c r="K292" s="7">
        <v>0</v>
      </c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</row>
    <row r="293" spans="1:17">
      <c r="A293" s="2">
        <v>2241</v>
      </c>
      <c r="B293" s="7">
        <v>0</v>
      </c>
      <c r="C293" s="7">
        <v>0</v>
      </c>
      <c r="D293" s="7">
        <v>0</v>
      </c>
      <c r="E293" s="7">
        <v>0</v>
      </c>
      <c r="F293" s="7">
        <v>0</v>
      </c>
      <c r="G293" s="7">
        <v>0</v>
      </c>
      <c r="H293" s="7">
        <v>0</v>
      </c>
      <c r="I293" s="7">
        <v>0</v>
      </c>
      <c r="J293" s="7">
        <v>0</v>
      </c>
      <c r="K293" s="7">
        <v>0</v>
      </c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</row>
    <row r="294" spans="1:17">
      <c r="A294" s="2">
        <v>2242</v>
      </c>
      <c r="B294" s="7">
        <v>0</v>
      </c>
      <c r="C294" s="7">
        <v>0</v>
      </c>
      <c r="D294" s="7">
        <v>0</v>
      </c>
      <c r="E294" s="7">
        <v>0</v>
      </c>
      <c r="F294" s="7">
        <v>0</v>
      </c>
      <c r="G294" s="7">
        <v>0</v>
      </c>
      <c r="H294" s="7">
        <v>0</v>
      </c>
      <c r="I294" s="7">
        <v>0</v>
      </c>
      <c r="J294" s="7">
        <v>0</v>
      </c>
      <c r="K294" s="7">
        <v>0</v>
      </c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</row>
    <row r="295" spans="1:17">
      <c r="A295" s="2">
        <v>2243</v>
      </c>
      <c r="B295" s="7">
        <v>0</v>
      </c>
      <c r="C295" s="7">
        <v>0</v>
      </c>
      <c r="D295" s="7">
        <v>0</v>
      </c>
      <c r="E295" s="7">
        <v>0</v>
      </c>
      <c r="F295" s="7">
        <v>0</v>
      </c>
      <c r="G295" s="7">
        <v>0</v>
      </c>
      <c r="H295" s="7">
        <v>0</v>
      </c>
      <c r="I295" s="7">
        <v>0</v>
      </c>
      <c r="J295" s="7">
        <v>0</v>
      </c>
      <c r="K295" s="7">
        <v>0</v>
      </c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</row>
    <row r="296" spans="1:17">
      <c r="A296" s="2">
        <v>2244</v>
      </c>
      <c r="B296" s="7">
        <v>0</v>
      </c>
      <c r="C296" s="7">
        <v>0</v>
      </c>
      <c r="D296" s="7">
        <v>0</v>
      </c>
      <c r="E296" s="7">
        <v>0</v>
      </c>
      <c r="F296" s="7">
        <v>0</v>
      </c>
      <c r="G296" s="7">
        <v>0</v>
      </c>
      <c r="H296" s="7">
        <v>0</v>
      </c>
      <c r="I296" s="7">
        <v>0</v>
      </c>
      <c r="J296" s="7">
        <v>0</v>
      </c>
      <c r="K296" s="7">
        <v>0</v>
      </c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</row>
    <row r="297" spans="1:17">
      <c r="A297" s="2">
        <v>2245</v>
      </c>
      <c r="B297" s="7">
        <v>0</v>
      </c>
      <c r="C297" s="7">
        <v>0</v>
      </c>
      <c r="D297" s="7">
        <v>0</v>
      </c>
      <c r="E297" s="7">
        <v>0</v>
      </c>
      <c r="F297" s="7">
        <v>0</v>
      </c>
      <c r="G297" s="7">
        <v>0</v>
      </c>
      <c r="H297" s="7">
        <v>0</v>
      </c>
      <c r="I297" s="7">
        <v>0</v>
      </c>
      <c r="J297" s="7">
        <v>0</v>
      </c>
      <c r="K297" s="7">
        <v>0</v>
      </c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</row>
    <row r="298" spans="1:17">
      <c r="A298" s="2">
        <v>2246</v>
      </c>
      <c r="B298" s="7">
        <v>0</v>
      </c>
      <c r="C298" s="7">
        <v>0</v>
      </c>
      <c r="D298" s="7">
        <v>0</v>
      </c>
      <c r="E298" s="7">
        <v>0</v>
      </c>
      <c r="F298" s="7">
        <v>0</v>
      </c>
      <c r="G298" s="7">
        <v>0</v>
      </c>
      <c r="H298" s="7">
        <v>0</v>
      </c>
      <c r="I298" s="7">
        <v>0</v>
      </c>
      <c r="J298" s="7">
        <v>0</v>
      </c>
      <c r="K298" s="7">
        <v>0</v>
      </c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</row>
    <row r="299" spans="1:17">
      <c r="A299" s="2">
        <v>2247</v>
      </c>
      <c r="B299" s="7">
        <v>0</v>
      </c>
      <c r="C299" s="7">
        <v>0</v>
      </c>
      <c r="D299" s="7">
        <v>0</v>
      </c>
      <c r="E299" s="7">
        <v>0</v>
      </c>
      <c r="F299" s="7">
        <v>0</v>
      </c>
      <c r="G299" s="7">
        <v>0</v>
      </c>
      <c r="H299" s="7">
        <v>0</v>
      </c>
      <c r="I299" s="7">
        <v>0</v>
      </c>
      <c r="J299" s="7">
        <v>0</v>
      </c>
      <c r="K299" s="7">
        <v>0</v>
      </c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</row>
    <row r="300" spans="1:17">
      <c r="A300" s="2">
        <v>2248</v>
      </c>
      <c r="B300" s="7">
        <v>0</v>
      </c>
      <c r="C300" s="7">
        <v>0</v>
      </c>
      <c r="D300" s="7">
        <v>0</v>
      </c>
      <c r="E300" s="7">
        <v>0</v>
      </c>
      <c r="F300" s="7">
        <v>0</v>
      </c>
      <c r="G300" s="7">
        <v>0</v>
      </c>
      <c r="H300" s="7">
        <v>0</v>
      </c>
      <c r="I300" s="7">
        <v>0</v>
      </c>
      <c r="J300" s="7">
        <v>0</v>
      </c>
      <c r="K300" s="7">
        <v>0</v>
      </c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</row>
    <row r="301" spans="1:17">
      <c r="A301" s="2">
        <v>2249</v>
      </c>
      <c r="B301" s="7">
        <v>0</v>
      </c>
      <c r="C301" s="7">
        <v>0</v>
      </c>
      <c r="D301" s="7">
        <v>0</v>
      </c>
      <c r="E301" s="7">
        <v>0</v>
      </c>
      <c r="F301" s="7">
        <v>0</v>
      </c>
      <c r="G301" s="7">
        <v>0</v>
      </c>
      <c r="H301" s="7">
        <v>0</v>
      </c>
      <c r="I301" s="7">
        <v>0</v>
      </c>
      <c r="J301" s="7">
        <v>0</v>
      </c>
      <c r="K301" s="7">
        <v>0</v>
      </c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</row>
    <row r="302" spans="1:17">
      <c r="A302" s="2">
        <v>2250</v>
      </c>
      <c r="B302" s="7">
        <v>0</v>
      </c>
      <c r="C302" s="7">
        <v>0</v>
      </c>
      <c r="D302" s="7">
        <v>0</v>
      </c>
      <c r="E302" s="7">
        <v>0</v>
      </c>
      <c r="F302" s="7">
        <v>0</v>
      </c>
      <c r="G302" s="7">
        <v>0</v>
      </c>
      <c r="H302" s="7">
        <v>0</v>
      </c>
      <c r="I302" s="7">
        <v>0</v>
      </c>
      <c r="J302" s="7">
        <v>0</v>
      </c>
      <c r="K302" s="7">
        <v>0</v>
      </c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</row>
    <row r="303" spans="1:17">
      <c r="A303" s="2">
        <v>2251</v>
      </c>
      <c r="B303" s="7">
        <v>0</v>
      </c>
      <c r="C303" s="7">
        <v>0</v>
      </c>
      <c r="D303" s="7">
        <v>0</v>
      </c>
      <c r="E303" s="7">
        <v>0</v>
      </c>
      <c r="F303" s="7">
        <v>0</v>
      </c>
      <c r="G303" s="7">
        <v>0</v>
      </c>
      <c r="H303" s="7">
        <v>0</v>
      </c>
      <c r="I303" s="7">
        <v>0</v>
      </c>
      <c r="J303" s="7">
        <v>0</v>
      </c>
      <c r="K303" s="7">
        <v>0</v>
      </c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</row>
    <row r="304" spans="1:17">
      <c r="A304" s="2">
        <v>2252</v>
      </c>
      <c r="B304" s="7">
        <v>0</v>
      </c>
      <c r="C304" s="7">
        <v>0</v>
      </c>
      <c r="D304" s="7">
        <v>0</v>
      </c>
      <c r="E304" s="7">
        <v>0</v>
      </c>
      <c r="F304" s="7">
        <v>0</v>
      </c>
      <c r="G304" s="7">
        <v>0</v>
      </c>
      <c r="H304" s="7">
        <v>0</v>
      </c>
      <c r="I304" s="7">
        <v>0</v>
      </c>
      <c r="J304" s="7">
        <v>0</v>
      </c>
      <c r="K304" s="7">
        <v>0</v>
      </c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</row>
    <row r="305" spans="1:17">
      <c r="A305" s="2">
        <v>2253</v>
      </c>
      <c r="B305" s="7">
        <v>0</v>
      </c>
      <c r="C305" s="7">
        <v>0</v>
      </c>
      <c r="D305" s="7">
        <v>0</v>
      </c>
      <c r="E305" s="7">
        <v>0</v>
      </c>
      <c r="F305" s="7">
        <v>0</v>
      </c>
      <c r="G305" s="7">
        <v>0</v>
      </c>
      <c r="H305" s="7">
        <v>0</v>
      </c>
      <c r="I305" s="7">
        <v>0</v>
      </c>
      <c r="J305" s="7">
        <v>0</v>
      </c>
      <c r="K305" s="7">
        <v>0</v>
      </c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</row>
    <row r="306" spans="1:17">
      <c r="A306" s="2">
        <v>2254</v>
      </c>
      <c r="B306" s="7">
        <v>0</v>
      </c>
      <c r="C306" s="7">
        <v>0</v>
      </c>
      <c r="D306" s="7">
        <v>0</v>
      </c>
      <c r="E306" s="7">
        <v>0</v>
      </c>
      <c r="F306" s="7">
        <v>0</v>
      </c>
      <c r="G306" s="7">
        <v>0</v>
      </c>
      <c r="H306" s="7">
        <v>0</v>
      </c>
      <c r="I306" s="7">
        <v>0</v>
      </c>
      <c r="J306" s="7">
        <v>0</v>
      </c>
      <c r="K306" s="7">
        <v>0</v>
      </c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</row>
    <row r="307" spans="1:17">
      <c r="A307" s="2">
        <v>2255</v>
      </c>
      <c r="B307" s="7">
        <v>0</v>
      </c>
      <c r="C307" s="7">
        <v>0</v>
      </c>
      <c r="D307" s="7">
        <v>0</v>
      </c>
      <c r="E307" s="7">
        <v>0</v>
      </c>
      <c r="F307" s="7">
        <v>0</v>
      </c>
      <c r="G307" s="7">
        <v>0</v>
      </c>
      <c r="H307" s="7">
        <v>0</v>
      </c>
      <c r="I307" s="7">
        <v>0</v>
      </c>
      <c r="J307" s="7">
        <v>0</v>
      </c>
      <c r="K307" s="7">
        <v>0</v>
      </c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</row>
    <row r="308" spans="1:17">
      <c r="A308" s="2">
        <v>2256</v>
      </c>
      <c r="B308" s="7">
        <v>0</v>
      </c>
      <c r="C308" s="7">
        <v>0</v>
      </c>
      <c r="D308" s="7">
        <v>0</v>
      </c>
      <c r="E308" s="7">
        <v>0</v>
      </c>
      <c r="F308" s="7">
        <v>0</v>
      </c>
      <c r="G308" s="7">
        <v>0</v>
      </c>
      <c r="H308" s="7">
        <v>0</v>
      </c>
      <c r="I308" s="7">
        <v>0</v>
      </c>
      <c r="J308" s="7">
        <v>0</v>
      </c>
      <c r="K308" s="7">
        <v>0</v>
      </c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</row>
    <row r="309" spans="1:17">
      <c r="A309" s="2">
        <v>2257</v>
      </c>
      <c r="B309" s="7">
        <v>0</v>
      </c>
      <c r="C309" s="7">
        <v>0</v>
      </c>
      <c r="D309" s="7">
        <v>0</v>
      </c>
      <c r="E309" s="7">
        <v>0</v>
      </c>
      <c r="F309" s="7">
        <v>0</v>
      </c>
      <c r="G309" s="7">
        <v>0</v>
      </c>
      <c r="H309" s="7">
        <v>0</v>
      </c>
      <c r="I309" s="7">
        <v>0</v>
      </c>
      <c r="J309" s="7">
        <v>0</v>
      </c>
      <c r="K309" s="7">
        <v>0</v>
      </c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</row>
    <row r="310" spans="1:17">
      <c r="A310" s="2">
        <v>2258</v>
      </c>
      <c r="B310" s="7">
        <v>0</v>
      </c>
      <c r="C310" s="7">
        <v>0</v>
      </c>
      <c r="D310" s="7">
        <v>0</v>
      </c>
      <c r="E310" s="7">
        <v>0</v>
      </c>
      <c r="F310" s="7">
        <v>0</v>
      </c>
      <c r="G310" s="7">
        <v>0</v>
      </c>
      <c r="H310" s="7">
        <v>0</v>
      </c>
      <c r="I310" s="7">
        <v>0</v>
      </c>
      <c r="J310" s="7">
        <v>0</v>
      </c>
      <c r="K310" s="7">
        <v>0</v>
      </c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</row>
    <row r="311" spans="1:17">
      <c r="A311" s="2">
        <v>2259</v>
      </c>
      <c r="B311" s="7">
        <v>0</v>
      </c>
      <c r="C311" s="7">
        <v>0</v>
      </c>
      <c r="D311" s="7">
        <v>0</v>
      </c>
      <c r="E311" s="7">
        <v>0</v>
      </c>
      <c r="F311" s="7">
        <v>0</v>
      </c>
      <c r="G311" s="7">
        <v>0</v>
      </c>
      <c r="H311" s="7">
        <v>0</v>
      </c>
      <c r="I311" s="7">
        <v>0</v>
      </c>
      <c r="J311" s="7">
        <v>0</v>
      </c>
      <c r="K311" s="7">
        <v>0</v>
      </c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</row>
    <row r="312" spans="1:17">
      <c r="A312" s="2">
        <v>2260</v>
      </c>
      <c r="B312" s="7">
        <v>0</v>
      </c>
      <c r="C312" s="7">
        <v>0</v>
      </c>
      <c r="D312" s="7">
        <v>0</v>
      </c>
      <c r="E312" s="7">
        <v>0</v>
      </c>
      <c r="F312" s="7">
        <v>0</v>
      </c>
      <c r="G312" s="7">
        <v>0</v>
      </c>
      <c r="H312" s="7">
        <v>0</v>
      </c>
      <c r="I312" s="7">
        <v>0</v>
      </c>
      <c r="J312" s="7">
        <v>0</v>
      </c>
      <c r="K312" s="7">
        <v>0</v>
      </c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</row>
    <row r="313" spans="1:17">
      <c r="A313" s="2">
        <v>2261</v>
      </c>
      <c r="B313" s="7">
        <v>0</v>
      </c>
      <c r="C313" s="7">
        <v>0</v>
      </c>
      <c r="D313" s="7">
        <v>0</v>
      </c>
      <c r="E313" s="7">
        <v>0</v>
      </c>
      <c r="F313" s="7">
        <v>0</v>
      </c>
      <c r="G313" s="7">
        <v>0</v>
      </c>
      <c r="H313" s="7">
        <v>0</v>
      </c>
      <c r="I313" s="7">
        <v>0</v>
      </c>
      <c r="J313" s="7">
        <v>0</v>
      </c>
      <c r="K313" s="7">
        <v>0</v>
      </c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</row>
    <row r="314" spans="1:17">
      <c r="A314" s="2">
        <v>2262</v>
      </c>
      <c r="B314" s="7">
        <v>0</v>
      </c>
      <c r="C314" s="7">
        <v>0</v>
      </c>
      <c r="D314" s="7">
        <v>0</v>
      </c>
      <c r="E314" s="7">
        <v>0</v>
      </c>
      <c r="F314" s="7">
        <v>0</v>
      </c>
      <c r="G314" s="7">
        <v>0</v>
      </c>
      <c r="H314" s="7">
        <v>0</v>
      </c>
      <c r="I314" s="7">
        <v>0</v>
      </c>
      <c r="J314" s="7">
        <v>0</v>
      </c>
      <c r="K314" s="7">
        <v>0</v>
      </c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</row>
    <row r="315" spans="1:17">
      <c r="A315" s="2">
        <v>2263</v>
      </c>
      <c r="B315" s="7">
        <v>0</v>
      </c>
      <c r="C315" s="7">
        <v>0</v>
      </c>
      <c r="D315" s="7">
        <v>0</v>
      </c>
      <c r="E315" s="7">
        <v>0</v>
      </c>
      <c r="F315" s="7">
        <v>0</v>
      </c>
      <c r="G315" s="7">
        <v>0</v>
      </c>
      <c r="H315" s="7">
        <v>0</v>
      </c>
      <c r="I315" s="7">
        <v>0</v>
      </c>
      <c r="J315" s="7">
        <v>0</v>
      </c>
      <c r="K315" s="7">
        <v>0</v>
      </c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</row>
    <row r="316" spans="1:17">
      <c r="A316" s="2">
        <v>2264</v>
      </c>
      <c r="B316" s="7">
        <v>0</v>
      </c>
      <c r="C316" s="7">
        <v>0</v>
      </c>
      <c r="D316" s="7">
        <v>0</v>
      </c>
      <c r="E316" s="7">
        <v>0</v>
      </c>
      <c r="F316" s="7">
        <v>0</v>
      </c>
      <c r="G316" s="7">
        <v>0</v>
      </c>
      <c r="H316" s="7">
        <v>0</v>
      </c>
      <c r="I316" s="7">
        <v>0</v>
      </c>
      <c r="J316" s="7">
        <v>0</v>
      </c>
      <c r="K316" s="7">
        <v>0</v>
      </c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</row>
    <row r="317" spans="1:17">
      <c r="A317" s="2">
        <v>2265</v>
      </c>
      <c r="B317" s="7">
        <v>0</v>
      </c>
      <c r="C317" s="7">
        <v>0</v>
      </c>
      <c r="D317" s="7">
        <v>0</v>
      </c>
      <c r="E317" s="7">
        <v>0</v>
      </c>
      <c r="F317" s="7">
        <v>0</v>
      </c>
      <c r="G317" s="7">
        <v>0</v>
      </c>
      <c r="H317" s="7">
        <v>0</v>
      </c>
      <c r="I317" s="7">
        <v>0</v>
      </c>
      <c r="J317" s="7">
        <v>0</v>
      </c>
      <c r="K317" s="7">
        <v>0</v>
      </c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</row>
    <row r="318" spans="1:17">
      <c r="A318" s="2">
        <v>2266</v>
      </c>
      <c r="B318" s="7">
        <v>0</v>
      </c>
      <c r="C318" s="7">
        <v>0</v>
      </c>
      <c r="D318" s="7">
        <v>0</v>
      </c>
      <c r="E318" s="7">
        <v>0</v>
      </c>
      <c r="F318" s="7">
        <v>0</v>
      </c>
      <c r="G318" s="7">
        <v>0</v>
      </c>
      <c r="H318" s="7">
        <v>0</v>
      </c>
      <c r="I318" s="7">
        <v>0</v>
      </c>
      <c r="J318" s="7">
        <v>0</v>
      </c>
      <c r="K318" s="7">
        <v>0</v>
      </c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</row>
    <row r="319" spans="1:17">
      <c r="A319" s="2">
        <v>2267</v>
      </c>
      <c r="B319" s="7">
        <v>0</v>
      </c>
      <c r="C319" s="7">
        <v>0</v>
      </c>
      <c r="D319" s="7">
        <v>0</v>
      </c>
      <c r="E319" s="7">
        <v>0</v>
      </c>
      <c r="F319" s="7">
        <v>0</v>
      </c>
      <c r="G319" s="7">
        <v>0</v>
      </c>
      <c r="H319" s="7">
        <v>0</v>
      </c>
      <c r="I319" s="7">
        <v>0</v>
      </c>
      <c r="J319" s="7">
        <v>0</v>
      </c>
      <c r="K319" s="7">
        <v>0</v>
      </c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</row>
    <row r="320" spans="1:17">
      <c r="A320" s="2">
        <v>2268</v>
      </c>
      <c r="B320" s="7">
        <v>0</v>
      </c>
      <c r="C320" s="7">
        <v>0</v>
      </c>
      <c r="D320" s="7">
        <v>0</v>
      </c>
      <c r="E320" s="7">
        <v>0</v>
      </c>
      <c r="F320" s="7">
        <v>0</v>
      </c>
      <c r="G320" s="7">
        <v>0</v>
      </c>
      <c r="H320" s="7">
        <v>0</v>
      </c>
      <c r="I320" s="7">
        <v>0</v>
      </c>
      <c r="J320" s="7">
        <v>0</v>
      </c>
      <c r="K320" s="7">
        <v>0</v>
      </c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</row>
    <row r="321" spans="1:17">
      <c r="A321" s="2">
        <v>2269</v>
      </c>
      <c r="B321" s="7">
        <v>0</v>
      </c>
      <c r="C321" s="7">
        <v>0</v>
      </c>
      <c r="D321" s="7">
        <v>0</v>
      </c>
      <c r="E321" s="7">
        <v>0</v>
      </c>
      <c r="F321" s="7">
        <v>0</v>
      </c>
      <c r="G321" s="7">
        <v>0</v>
      </c>
      <c r="H321" s="7">
        <v>0</v>
      </c>
      <c r="I321" s="7">
        <v>0</v>
      </c>
      <c r="J321" s="7">
        <v>0</v>
      </c>
      <c r="K321" s="7">
        <v>0</v>
      </c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</row>
    <row r="322" spans="1:17">
      <c r="A322" s="2">
        <v>2270</v>
      </c>
      <c r="B322" s="7">
        <v>0</v>
      </c>
      <c r="C322" s="7">
        <v>0</v>
      </c>
      <c r="D322" s="7">
        <v>0</v>
      </c>
      <c r="E322" s="7">
        <v>0</v>
      </c>
      <c r="F322" s="7">
        <v>0</v>
      </c>
      <c r="G322" s="7">
        <v>0</v>
      </c>
      <c r="H322" s="7">
        <v>0</v>
      </c>
      <c r="I322" s="7">
        <v>0</v>
      </c>
      <c r="J322" s="7">
        <v>0</v>
      </c>
      <c r="K322" s="7">
        <v>0</v>
      </c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</row>
    <row r="323" spans="1:17">
      <c r="A323" s="2">
        <v>2271</v>
      </c>
      <c r="B323" s="7">
        <v>0</v>
      </c>
      <c r="C323" s="7">
        <v>0</v>
      </c>
      <c r="D323" s="7">
        <v>0</v>
      </c>
      <c r="E323" s="7">
        <v>0</v>
      </c>
      <c r="F323" s="7">
        <v>0</v>
      </c>
      <c r="G323" s="7">
        <v>0</v>
      </c>
      <c r="H323" s="7">
        <v>0</v>
      </c>
      <c r="I323" s="7">
        <v>0</v>
      </c>
      <c r="J323" s="7">
        <v>0</v>
      </c>
      <c r="K323" s="7">
        <v>0</v>
      </c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</row>
    <row r="324" spans="1:17">
      <c r="A324" s="2">
        <v>2272</v>
      </c>
      <c r="B324" s="7">
        <v>0</v>
      </c>
      <c r="C324" s="7">
        <v>0</v>
      </c>
      <c r="D324" s="7">
        <v>0</v>
      </c>
      <c r="E324" s="7">
        <v>0</v>
      </c>
      <c r="F324" s="7">
        <v>0</v>
      </c>
      <c r="G324" s="7">
        <v>0</v>
      </c>
      <c r="H324" s="7">
        <v>0</v>
      </c>
      <c r="I324" s="7">
        <v>0</v>
      </c>
      <c r="J324" s="7">
        <v>0</v>
      </c>
      <c r="K324" s="7">
        <v>0</v>
      </c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</row>
    <row r="325" spans="1:17">
      <c r="A325" s="2">
        <v>2273</v>
      </c>
      <c r="B325" s="7">
        <v>0</v>
      </c>
      <c r="C325" s="7">
        <v>0</v>
      </c>
      <c r="D325" s="7">
        <v>0</v>
      </c>
      <c r="E325" s="7">
        <v>0</v>
      </c>
      <c r="F325" s="7">
        <v>0</v>
      </c>
      <c r="G325" s="7">
        <v>0</v>
      </c>
      <c r="H325" s="7">
        <v>0</v>
      </c>
      <c r="I325" s="7">
        <v>0</v>
      </c>
      <c r="J325" s="7">
        <v>0</v>
      </c>
      <c r="K325" s="7">
        <v>0</v>
      </c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</row>
    <row r="326" spans="1:17">
      <c r="A326" s="2">
        <v>2274</v>
      </c>
      <c r="B326" s="7">
        <v>0</v>
      </c>
      <c r="C326" s="7">
        <v>0</v>
      </c>
      <c r="D326" s="7">
        <v>0</v>
      </c>
      <c r="E326" s="7">
        <v>0</v>
      </c>
      <c r="F326" s="7">
        <v>0</v>
      </c>
      <c r="G326" s="7">
        <v>0</v>
      </c>
      <c r="H326" s="7">
        <v>0</v>
      </c>
      <c r="I326" s="7">
        <v>0</v>
      </c>
      <c r="J326" s="7">
        <v>0</v>
      </c>
      <c r="K326" s="7">
        <v>0</v>
      </c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</row>
    <row r="327" spans="1:17">
      <c r="A327" s="2">
        <v>2275</v>
      </c>
      <c r="B327" s="7">
        <v>0</v>
      </c>
      <c r="C327" s="7">
        <v>0</v>
      </c>
      <c r="D327" s="7">
        <v>0</v>
      </c>
      <c r="E327" s="7">
        <v>0</v>
      </c>
      <c r="F327" s="7">
        <v>0</v>
      </c>
      <c r="G327" s="7">
        <v>0</v>
      </c>
      <c r="H327" s="7">
        <v>0</v>
      </c>
      <c r="I327" s="7">
        <v>0</v>
      </c>
      <c r="J327" s="7">
        <v>0</v>
      </c>
      <c r="K327" s="7">
        <v>0</v>
      </c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</row>
    <row r="328" spans="1:17">
      <c r="A328" s="2">
        <v>2276</v>
      </c>
      <c r="B328" s="7">
        <v>0</v>
      </c>
      <c r="C328" s="7">
        <v>0</v>
      </c>
      <c r="D328" s="7">
        <v>0</v>
      </c>
      <c r="E328" s="7">
        <v>0</v>
      </c>
      <c r="F328" s="7">
        <v>0</v>
      </c>
      <c r="G328" s="7">
        <v>0</v>
      </c>
      <c r="H328" s="7">
        <v>0</v>
      </c>
      <c r="I328" s="7">
        <v>0</v>
      </c>
      <c r="J328" s="7">
        <v>0</v>
      </c>
      <c r="K328" s="7">
        <v>0</v>
      </c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</row>
    <row r="329" spans="1:17">
      <c r="A329" s="2">
        <v>2277</v>
      </c>
      <c r="B329" s="7">
        <v>0</v>
      </c>
      <c r="C329" s="7">
        <v>0</v>
      </c>
      <c r="D329" s="7">
        <v>0</v>
      </c>
      <c r="E329" s="7">
        <v>0</v>
      </c>
      <c r="F329" s="7">
        <v>0</v>
      </c>
      <c r="G329" s="7">
        <v>0</v>
      </c>
      <c r="H329" s="7">
        <v>0</v>
      </c>
      <c r="I329" s="7">
        <v>0</v>
      </c>
      <c r="J329" s="7">
        <v>0</v>
      </c>
      <c r="K329" s="7">
        <v>0</v>
      </c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</row>
    <row r="330" spans="1:17">
      <c r="A330" s="2">
        <v>2278</v>
      </c>
      <c r="B330" s="7">
        <v>0</v>
      </c>
      <c r="C330" s="7">
        <v>0</v>
      </c>
      <c r="D330" s="7">
        <v>0</v>
      </c>
      <c r="E330" s="7">
        <v>0</v>
      </c>
      <c r="F330" s="7">
        <v>0</v>
      </c>
      <c r="G330" s="7">
        <v>0</v>
      </c>
      <c r="H330" s="7">
        <v>0</v>
      </c>
      <c r="I330" s="7">
        <v>0</v>
      </c>
      <c r="J330" s="7">
        <v>0</v>
      </c>
      <c r="K330" s="7">
        <v>0</v>
      </c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</row>
    <row r="331" spans="1:17">
      <c r="A331" s="2">
        <v>2279</v>
      </c>
      <c r="B331" s="7">
        <v>0</v>
      </c>
      <c r="C331" s="7">
        <v>0</v>
      </c>
      <c r="D331" s="7">
        <v>0</v>
      </c>
      <c r="E331" s="7">
        <v>0</v>
      </c>
      <c r="F331" s="7">
        <v>0</v>
      </c>
      <c r="G331" s="7">
        <v>0</v>
      </c>
      <c r="H331" s="7">
        <v>0</v>
      </c>
      <c r="I331" s="7">
        <v>0</v>
      </c>
      <c r="J331" s="7">
        <v>0</v>
      </c>
      <c r="K331" s="7">
        <v>0</v>
      </c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</row>
    <row r="332" spans="1:17">
      <c r="A332" s="2">
        <v>2280</v>
      </c>
      <c r="B332" s="7">
        <v>0</v>
      </c>
      <c r="C332" s="7">
        <v>0</v>
      </c>
      <c r="D332" s="7">
        <v>0</v>
      </c>
      <c r="E332" s="7">
        <v>0</v>
      </c>
      <c r="F332" s="7">
        <v>0</v>
      </c>
      <c r="G332" s="7">
        <v>0</v>
      </c>
      <c r="H332" s="7">
        <v>0</v>
      </c>
      <c r="I332" s="7">
        <v>0</v>
      </c>
      <c r="J332" s="7">
        <v>0</v>
      </c>
      <c r="K332" s="7">
        <v>0</v>
      </c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</row>
    <row r="333" spans="1:17">
      <c r="A333" s="2">
        <v>2281</v>
      </c>
      <c r="B333" s="7">
        <v>0</v>
      </c>
      <c r="C333" s="7">
        <v>0</v>
      </c>
      <c r="D333" s="7">
        <v>0</v>
      </c>
      <c r="E333" s="7">
        <v>0</v>
      </c>
      <c r="F333" s="7">
        <v>0</v>
      </c>
      <c r="G333" s="7">
        <v>0</v>
      </c>
      <c r="H333" s="7">
        <v>0</v>
      </c>
      <c r="I333" s="7">
        <v>0</v>
      </c>
      <c r="J333" s="7">
        <v>0</v>
      </c>
      <c r="K333" s="7">
        <v>0</v>
      </c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</row>
    <row r="334" spans="1:17">
      <c r="A334" s="2">
        <v>2282</v>
      </c>
      <c r="B334" s="7">
        <v>0</v>
      </c>
      <c r="C334" s="7">
        <v>0</v>
      </c>
      <c r="D334" s="7">
        <v>0</v>
      </c>
      <c r="E334" s="7">
        <v>0</v>
      </c>
      <c r="F334" s="7">
        <v>0</v>
      </c>
      <c r="G334" s="7">
        <v>0</v>
      </c>
      <c r="H334" s="7">
        <v>0</v>
      </c>
      <c r="I334" s="7">
        <v>0</v>
      </c>
      <c r="J334" s="7">
        <v>0</v>
      </c>
      <c r="K334" s="7">
        <v>0</v>
      </c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</row>
    <row r="335" spans="1:17">
      <c r="A335" s="2">
        <v>2283</v>
      </c>
      <c r="B335" s="7">
        <v>0</v>
      </c>
      <c r="C335" s="7">
        <v>0</v>
      </c>
      <c r="D335" s="7">
        <v>0</v>
      </c>
      <c r="E335" s="7">
        <v>0</v>
      </c>
      <c r="F335" s="7">
        <v>0</v>
      </c>
      <c r="G335" s="7">
        <v>0</v>
      </c>
      <c r="H335" s="7">
        <v>0</v>
      </c>
      <c r="I335" s="7">
        <v>0</v>
      </c>
      <c r="J335" s="7">
        <v>0</v>
      </c>
      <c r="K335" s="7">
        <v>0</v>
      </c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</row>
    <row r="336" spans="1:17">
      <c r="A336" s="2">
        <v>2284</v>
      </c>
      <c r="B336" s="7">
        <v>0</v>
      </c>
      <c r="C336" s="7">
        <v>0</v>
      </c>
      <c r="D336" s="7">
        <v>0</v>
      </c>
      <c r="E336" s="7">
        <v>0</v>
      </c>
      <c r="F336" s="7">
        <v>0</v>
      </c>
      <c r="G336" s="7">
        <v>0</v>
      </c>
      <c r="H336" s="7">
        <v>0</v>
      </c>
      <c r="I336" s="7">
        <v>0</v>
      </c>
      <c r="J336" s="7">
        <v>0</v>
      </c>
      <c r="K336" s="7">
        <v>0</v>
      </c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</row>
    <row r="337" spans="1:17">
      <c r="A337" s="2">
        <v>2285</v>
      </c>
      <c r="B337" s="7">
        <v>0</v>
      </c>
      <c r="C337" s="7">
        <v>0</v>
      </c>
      <c r="D337" s="7">
        <v>0</v>
      </c>
      <c r="E337" s="7">
        <v>0</v>
      </c>
      <c r="F337" s="7">
        <v>0</v>
      </c>
      <c r="G337" s="7">
        <v>0</v>
      </c>
      <c r="H337" s="7">
        <v>0</v>
      </c>
      <c r="I337" s="7">
        <v>0</v>
      </c>
      <c r="J337" s="7">
        <v>0</v>
      </c>
      <c r="K337" s="7">
        <v>0</v>
      </c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</row>
    <row r="338" spans="1:17">
      <c r="A338" s="2">
        <v>2286</v>
      </c>
      <c r="B338" s="7">
        <v>0</v>
      </c>
      <c r="C338" s="7">
        <v>0</v>
      </c>
      <c r="D338" s="7">
        <v>0</v>
      </c>
      <c r="E338" s="7">
        <v>0</v>
      </c>
      <c r="F338" s="7">
        <v>0</v>
      </c>
      <c r="G338" s="7">
        <v>0</v>
      </c>
      <c r="H338" s="7">
        <v>0</v>
      </c>
      <c r="I338" s="7">
        <v>0</v>
      </c>
      <c r="J338" s="7">
        <v>0</v>
      </c>
      <c r="K338" s="7">
        <v>0</v>
      </c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</row>
    <row r="339" spans="1:17">
      <c r="A339" s="2">
        <v>2287</v>
      </c>
      <c r="B339" s="7">
        <v>0</v>
      </c>
      <c r="C339" s="7">
        <v>0</v>
      </c>
      <c r="D339" s="7">
        <v>0</v>
      </c>
      <c r="E339" s="7">
        <v>0</v>
      </c>
      <c r="F339" s="7">
        <v>0</v>
      </c>
      <c r="G339" s="7">
        <v>0</v>
      </c>
      <c r="H339" s="7">
        <v>0</v>
      </c>
      <c r="I339" s="7">
        <v>0</v>
      </c>
      <c r="J339" s="7">
        <v>0</v>
      </c>
      <c r="K339" s="7">
        <v>0</v>
      </c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</row>
    <row r="340" spans="1:17">
      <c r="A340" s="2">
        <v>2288</v>
      </c>
      <c r="B340" s="7">
        <v>0</v>
      </c>
      <c r="C340" s="7">
        <v>0</v>
      </c>
      <c r="D340" s="7">
        <v>0</v>
      </c>
      <c r="E340" s="7">
        <v>0</v>
      </c>
      <c r="F340" s="7">
        <v>0</v>
      </c>
      <c r="G340" s="7">
        <v>0</v>
      </c>
      <c r="H340" s="7">
        <v>0</v>
      </c>
      <c r="I340" s="7">
        <v>0</v>
      </c>
      <c r="J340" s="7">
        <v>0</v>
      </c>
      <c r="K340" s="7">
        <v>0</v>
      </c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</row>
    <row r="341" spans="1:17">
      <c r="A341" s="2">
        <v>2289</v>
      </c>
      <c r="B341" s="7">
        <v>0</v>
      </c>
      <c r="C341" s="7">
        <v>0</v>
      </c>
      <c r="D341" s="7">
        <v>0</v>
      </c>
      <c r="E341" s="7">
        <v>0</v>
      </c>
      <c r="F341" s="7">
        <v>0</v>
      </c>
      <c r="G341" s="7">
        <v>0</v>
      </c>
      <c r="H341" s="7">
        <v>0</v>
      </c>
      <c r="I341" s="7">
        <v>0</v>
      </c>
      <c r="J341" s="7">
        <v>0</v>
      </c>
      <c r="K341" s="7">
        <v>0</v>
      </c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</row>
    <row r="342" spans="1:17">
      <c r="A342" s="2">
        <v>2290</v>
      </c>
      <c r="B342" s="7">
        <v>0</v>
      </c>
      <c r="C342" s="7">
        <v>0</v>
      </c>
      <c r="D342" s="7">
        <v>0</v>
      </c>
      <c r="E342" s="7">
        <v>0</v>
      </c>
      <c r="F342" s="7">
        <v>0</v>
      </c>
      <c r="G342" s="7">
        <v>0</v>
      </c>
      <c r="H342" s="7">
        <v>0</v>
      </c>
      <c r="I342" s="7">
        <v>0</v>
      </c>
      <c r="J342" s="7">
        <v>0</v>
      </c>
      <c r="K342" s="7">
        <v>0</v>
      </c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</row>
    <row r="343" spans="1:17">
      <c r="A343" s="2">
        <v>2291</v>
      </c>
      <c r="B343" s="7">
        <v>0</v>
      </c>
      <c r="C343" s="7">
        <v>0</v>
      </c>
      <c r="D343" s="7">
        <v>0</v>
      </c>
      <c r="E343" s="7">
        <v>0</v>
      </c>
      <c r="F343" s="7">
        <v>0</v>
      </c>
      <c r="G343" s="7">
        <v>0</v>
      </c>
      <c r="H343" s="7">
        <v>0</v>
      </c>
      <c r="I343" s="7">
        <v>0</v>
      </c>
      <c r="J343" s="7">
        <v>0</v>
      </c>
      <c r="K343" s="7">
        <v>0</v>
      </c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</row>
    <row r="344" spans="1:17">
      <c r="A344" s="2">
        <v>2292</v>
      </c>
      <c r="B344" s="7">
        <v>0</v>
      </c>
      <c r="C344" s="7">
        <v>0</v>
      </c>
      <c r="D344" s="7">
        <v>0</v>
      </c>
      <c r="E344" s="7">
        <v>0</v>
      </c>
      <c r="F344" s="7">
        <v>0</v>
      </c>
      <c r="G344" s="7">
        <v>0</v>
      </c>
      <c r="H344" s="7">
        <v>0</v>
      </c>
      <c r="I344" s="7">
        <v>0</v>
      </c>
      <c r="J344" s="7">
        <v>0</v>
      </c>
      <c r="K344" s="7">
        <v>0</v>
      </c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</row>
    <row r="345" spans="1:17">
      <c r="A345" s="2">
        <v>2293</v>
      </c>
      <c r="B345" s="7">
        <v>0</v>
      </c>
      <c r="C345" s="7">
        <v>0</v>
      </c>
      <c r="D345" s="7">
        <v>0</v>
      </c>
      <c r="E345" s="7">
        <v>0</v>
      </c>
      <c r="F345" s="7">
        <v>0</v>
      </c>
      <c r="G345" s="7">
        <v>0</v>
      </c>
      <c r="H345" s="7">
        <v>0</v>
      </c>
      <c r="I345" s="7">
        <v>0</v>
      </c>
      <c r="J345" s="7">
        <v>0</v>
      </c>
      <c r="K345" s="7">
        <v>0</v>
      </c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</row>
    <row r="346" spans="1:17">
      <c r="A346" s="2">
        <v>2294</v>
      </c>
      <c r="B346" s="7">
        <v>0</v>
      </c>
      <c r="C346" s="7">
        <v>0</v>
      </c>
      <c r="D346" s="7">
        <v>0</v>
      </c>
      <c r="E346" s="7">
        <v>0</v>
      </c>
      <c r="F346" s="7">
        <v>0</v>
      </c>
      <c r="G346" s="7">
        <v>0</v>
      </c>
      <c r="H346" s="7">
        <v>0</v>
      </c>
      <c r="I346" s="7">
        <v>0</v>
      </c>
      <c r="J346" s="7">
        <v>0</v>
      </c>
      <c r="K346" s="7">
        <v>0</v>
      </c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</row>
    <row r="347" spans="1:17">
      <c r="A347" s="2">
        <v>2295</v>
      </c>
      <c r="B347" s="7">
        <v>0</v>
      </c>
      <c r="C347" s="7">
        <v>0</v>
      </c>
      <c r="D347" s="7">
        <v>0</v>
      </c>
      <c r="E347" s="7">
        <v>0</v>
      </c>
      <c r="F347" s="7">
        <v>0</v>
      </c>
      <c r="G347" s="7">
        <v>0</v>
      </c>
      <c r="H347" s="7">
        <v>0</v>
      </c>
      <c r="I347" s="7">
        <v>0</v>
      </c>
      <c r="J347" s="7">
        <v>0</v>
      </c>
      <c r="K347" s="7">
        <v>0</v>
      </c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</row>
    <row r="348" spans="1:17">
      <c r="A348" s="2">
        <v>2296</v>
      </c>
      <c r="B348" s="7">
        <v>0</v>
      </c>
      <c r="C348" s="7">
        <v>0</v>
      </c>
      <c r="D348" s="7">
        <v>0</v>
      </c>
      <c r="E348" s="7">
        <v>0</v>
      </c>
      <c r="F348" s="7">
        <v>0</v>
      </c>
      <c r="G348" s="7">
        <v>0</v>
      </c>
      <c r="H348" s="7">
        <v>0</v>
      </c>
      <c r="I348" s="7">
        <v>0</v>
      </c>
      <c r="J348" s="7">
        <v>0</v>
      </c>
      <c r="K348" s="7">
        <v>0</v>
      </c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</row>
    <row r="349" spans="1:17">
      <c r="A349" s="2">
        <v>2297</v>
      </c>
      <c r="B349" s="7">
        <v>0</v>
      </c>
      <c r="C349" s="7">
        <v>0</v>
      </c>
      <c r="D349" s="7">
        <v>0</v>
      </c>
      <c r="E349" s="7">
        <v>0</v>
      </c>
      <c r="F349" s="7">
        <v>0</v>
      </c>
      <c r="G349" s="7">
        <v>0</v>
      </c>
      <c r="H349" s="7">
        <v>0</v>
      </c>
      <c r="I349" s="7">
        <v>0</v>
      </c>
      <c r="J349" s="7">
        <v>0</v>
      </c>
      <c r="K349" s="7">
        <v>0</v>
      </c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</row>
    <row r="350" spans="1:17">
      <c r="A350" s="2">
        <v>2298</v>
      </c>
      <c r="B350" s="7">
        <v>0</v>
      </c>
      <c r="C350" s="7">
        <v>0</v>
      </c>
      <c r="D350" s="7">
        <v>0</v>
      </c>
      <c r="E350" s="7">
        <v>0</v>
      </c>
      <c r="F350" s="7">
        <v>0</v>
      </c>
      <c r="G350" s="7">
        <v>0</v>
      </c>
      <c r="H350" s="7">
        <v>0</v>
      </c>
      <c r="I350" s="7">
        <v>0</v>
      </c>
      <c r="J350" s="7">
        <v>0</v>
      </c>
      <c r="K350" s="7">
        <v>0</v>
      </c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</row>
    <row r="351" spans="1:17">
      <c r="A351" s="2">
        <v>2299</v>
      </c>
      <c r="B351" s="7">
        <v>0</v>
      </c>
      <c r="C351" s="7">
        <v>0</v>
      </c>
      <c r="D351" s="7">
        <v>0</v>
      </c>
      <c r="E351" s="7">
        <v>0</v>
      </c>
      <c r="F351" s="7">
        <v>0</v>
      </c>
      <c r="G351" s="7">
        <v>0</v>
      </c>
      <c r="H351" s="7">
        <v>0</v>
      </c>
      <c r="I351" s="7">
        <v>0</v>
      </c>
      <c r="J351" s="7">
        <v>0</v>
      </c>
      <c r="K351" s="7">
        <v>0</v>
      </c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</row>
    <row r="352" spans="1:17">
      <c r="A352" s="2">
        <v>2300</v>
      </c>
      <c r="B352" s="7">
        <v>0</v>
      </c>
      <c r="C352" s="7">
        <v>0</v>
      </c>
      <c r="D352" s="7">
        <v>0</v>
      </c>
      <c r="E352" s="7">
        <v>0</v>
      </c>
      <c r="F352" s="7">
        <v>0</v>
      </c>
      <c r="G352" s="7">
        <v>0</v>
      </c>
      <c r="H352" s="7">
        <v>0</v>
      </c>
      <c r="I352" s="7">
        <v>0</v>
      </c>
      <c r="J352" s="7">
        <v>0</v>
      </c>
      <c r="K352" s="7">
        <v>0</v>
      </c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</row>
    <row r="353" spans="1:17">
      <c r="A353" s="2">
        <v>2301</v>
      </c>
      <c r="B353" s="7">
        <v>0</v>
      </c>
      <c r="C353" s="7">
        <v>0</v>
      </c>
      <c r="D353" s="7">
        <v>0</v>
      </c>
      <c r="E353" s="7">
        <v>0</v>
      </c>
      <c r="F353" s="7">
        <v>0</v>
      </c>
      <c r="G353" s="7">
        <v>0</v>
      </c>
      <c r="H353" s="7">
        <v>0</v>
      </c>
      <c r="I353" s="7">
        <v>0</v>
      </c>
      <c r="J353" s="7">
        <v>0</v>
      </c>
      <c r="K353" s="7">
        <v>0</v>
      </c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</row>
    <row r="354" spans="1:17">
      <c r="A354" s="2">
        <v>2302</v>
      </c>
      <c r="B354" s="7">
        <v>0</v>
      </c>
      <c r="C354" s="7">
        <v>0</v>
      </c>
      <c r="D354" s="7">
        <v>0</v>
      </c>
      <c r="E354" s="7">
        <v>0</v>
      </c>
      <c r="F354" s="7">
        <v>0</v>
      </c>
      <c r="G354" s="7">
        <v>0</v>
      </c>
      <c r="H354" s="7">
        <v>0</v>
      </c>
      <c r="I354" s="7">
        <v>0</v>
      </c>
      <c r="J354" s="7">
        <v>0</v>
      </c>
      <c r="K354" s="7">
        <v>0</v>
      </c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</row>
    <row r="355" spans="1:17">
      <c r="A355" s="2">
        <v>2303</v>
      </c>
      <c r="B355" s="7">
        <v>0</v>
      </c>
      <c r="C355" s="7">
        <v>0</v>
      </c>
      <c r="D355" s="7">
        <v>0</v>
      </c>
      <c r="E355" s="7">
        <v>0</v>
      </c>
      <c r="F355" s="7">
        <v>0</v>
      </c>
      <c r="G355" s="7">
        <v>0</v>
      </c>
      <c r="H355" s="7">
        <v>0</v>
      </c>
      <c r="I355" s="7">
        <v>0</v>
      </c>
      <c r="J355" s="7">
        <v>0</v>
      </c>
      <c r="K355" s="7">
        <v>0</v>
      </c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</row>
    <row r="356" spans="1:17">
      <c r="A356" s="2">
        <v>2304</v>
      </c>
      <c r="B356" s="7">
        <v>0</v>
      </c>
      <c r="C356" s="7">
        <v>0</v>
      </c>
      <c r="D356" s="7">
        <v>0</v>
      </c>
      <c r="E356" s="7">
        <v>0</v>
      </c>
      <c r="F356" s="7">
        <v>0</v>
      </c>
      <c r="G356" s="7">
        <v>0</v>
      </c>
      <c r="H356" s="7">
        <v>0</v>
      </c>
      <c r="I356" s="7">
        <v>0</v>
      </c>
      <c r="J356" s="7">
        <v>0</v>
      </c>
      <c r="K356" s="7">
        <v>0</v>
      </c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</row>
    <row r="357" spans="1:17">
      <c r="A357" s="2">
        <v>2305</v>
      </c>
      <c r="B357" s="7">
        <v>0</v>
      </c>
      <c r="C357" s="7">
        <v>0</v>
      </c>
      <c r="D357" s="7">
        <v>0</v>
      </c>
      <c r="E357" s="7">
        <v>0</v>
      </c>
      <c r="F357" s="7">
        <v>0</v>
      </c>
      <c r="G357" s="7">
        <v>0</v>
      </c>
      <c r="H357" s="7">
        <v>0</v>
      </c>
      <c r="I357" s="7">
        <v>0</v>
      </c>
      <c r="J357" s="7">
        <v>0</v>
      </c>
      <c r="K357" s="7">
        <v>0</v>
      </c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</row>
    <row r="358" spans="1:17">
      <c r="A358" s="2">
        <v>2306</v>
      </c>
      <c r="B358" s="7">
        <v>0</v>
      </c>
      <c r="C358" s="7">
        <v>0</v>
      </c>
      <c r="D358" s="7">
        <v>0</v>
      </c>
      <c r="E358" s="7">
        <v>0</v>
      </c>
      <c r="F358" s="7">
        <v>0</v>
      </c>
      <c r="G358" s="7">
        <v>0</v>
      </c>
      <c r="H358" s="7">
        <v>0</v>
      </c>
      <c r="I358" s="7">
        <v>0</v>
      </c>
      <c r="J358" s="7">
        <v>0</v>
      </c>
      <c r="K358" s="7">
        <v>0</v>
      </c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</row>
    <row r="359" spans="1:17">
      <c r="A359" s="2">
        <v>2307</v>
      </c>
      <c r="B359" s="7">
        <v>0</v>
      </c>
      <c r="C359" s="7">
        <v>0</v>
      </c>
      <c r="D359" s="7">
        <v>0</v>
      </c>
      <c r="E359" s="7">
        <v>0</v>
      </c>
      <c r="F359" s="7">
        <v>0</v>
      </c>
      <c r="G359" s="7">
        <v>0</v>
      </c>
      <c r="H359" s="7">
        <v>0</v>
      </c>
      <c r="I359" s="7">
        <v>0</v>
      </c>
      <c r="J359" s="7">
        <v>0</v>
      </c>
      <c r="K359" s="7">
        <v>0</v>
      </c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</row>
    <row r="360" spans="1:17">
      <c r="A360" s="2">
        <v>2308</v>
      </c>
      <c r="B360" s="7">
        <v>0</v>
      </c>
      <c r="C360" s="7">
        <v>0</v>
      </c>
      <c r="D360" s="7">
        <v>0</v>
      </c>
      <c r="E360" s="7">
        <v>0</v>
      </c>
      <c r="F360" s="7">
        <v>0</v>
      </c>
      <c r="G360" s="7">
        <v>0</v>
      </c>
      <c r="H360" s="7">
        <v>0</v>
      </c>
      <c r="I360" s="7">
        <v>0</v>
      </c>
      <c r="J360" s="7">
        <v>0</v>
      </c>
      <c r="K360" s="7">
        <v>0</v>
      </c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</row>
    <row r="361" spans="1:17">
      <c r="A361" s="2">
        <v>2309</v>
      </c>
      <c r="B361" s="7">
        <v>0</v>
      </c>
      <c r="C361" s="7">
        <v>0</v>
      </c>
      <c r="D361" s="7">
        <v>0</v>
      </c>
      <c r="E361" s="7">
        <v>0</v>
      </c>
      <c r="F361" s="7">
        <v>0</v>
      </c>
      <c r="G361" s="7">
        <v>0</v>
      </c>
      <c r="H361" s="7">
        <v>0</v>
      </c>
      <c r="I361" s="7">
        <v>0</v>
      </c>
      <c r="J361" s="7">
        <v>0</v>
      </c>
      <c r="K361" s="7">
        <v>0</v>
      </c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</row>
    <row r="362" spans="1:17">
      <c r="A362" s="2">
        <v>2310</v>
      </c>
      <c r="B362" s="7">
        <v>0</v>
      </c>
      <c r="C362" s="7">
        <v>0</v>
      </c>
      <c r="D362" s="7">
        <v>0</v>
      </c>
      <c r="E362" s="7">
        <v>0</v>
      </c>
      <c r="F362" s="7">
        <v>0</v>
      </c>
      <c r="G362" s="7">
        <v>0</v>
      </c>
      <c r="H362" s="7">
        <v>0</v>
      </c>
      <c r="I362" s="7">
        <v>0</v>
      </c>
      <c r="J362" s="7">
        <v>0</v>
      </c>
      <c r="K362" s="7">
        <v>0</v>
      </c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</row>
    <row r="363" spans="1:17">
      <c r="A363" s="2">
        <v>2311</v>
      </c>
      <c r="B363" s="7">
        <v>0</v>
      </c>
      <c r="C363" s="7">
        <v>0</v>
      </c>
      <c r="D363" s="7">
        <v>0</v>
      </c>
      <c r="E363" s="7">
        <v>0</v>
      </c>
      <c r="F363" s="7">
        <v>0</v>
      </c>
      <c r="G363" s="7">
        <v>0</v>
      </c>
      <c r="H363" s="7">
        <v>0</v>
      </c>
      <c r="I363" s="7">
        <v>0</v>
      </c>
      <c r="J363" s="7">
        <v>0</v>
      </c>
      <c r="K363" s="7">
        <v>0</v>
      </c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</row>
    <row r="364" spans="1:17">
      <c r="A364" s="2">
        <v>2312</v>
      </c>
      <c r="B364" s="7">
        <v>0</v>
      </c>
      <c r="C364" s="7">
        <v>0</v>
      </c>
      <c r="D364" s="7">
        <v>0</v>
      </c>
      <c r="E364" s="7">
        <v>0</v>
      </c>
      <c r="F364" s="7">
        <v>0</v>
      </c>
      <c r="G364" s="7">
        <v>0</v>
      </c>
      <c r="H364" s="7">
        <v>0</v>
      </c>
      <c r="I364" s="7">
        <v>0</v>
      </c>
      <c r="J364" s="7">
        <v>0</v>
      </c>
      <c r="K364" s="7">
        <v>0</v>
      </c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</row>
    <row r="365" spans="1:17">
      <c r="A365" s="2">
        <v>2313</v>
      </c>
      <c r="B365" s="7">
        <v>0</v>
      </c>
      <c r="C365" s="7">
        <v>0</v>
      </c>
      <c r="D365" s="7">
        <v>0</v>
      </c>
      <c r="E365" s="7">
        <v>0</v>
      </c>
      <c r="F365" s="7">
        <v>0</v>
      </c>
      <c r="G365" s="7">
        <v>0</v>
      </c>
      <c r="H365" s="7">
        <v>0</v>
      </c>
      <c r="I365" s="7">
        <v>0</v>
      </c>
      <c r="J365" s="7">
        <v>0</v>
      </c>
      <c r="K365" s="7">
        <v>0</v>
      </c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</row>
    <row r="366" spans="1:17">
      <c r="A366" s="2">
        <v>2314</v>
      </c>
      <c r="B366" s="7">
        <v>0</v>
      </c>
      <c r="C366" s="7">
        <v>0</v>
      </c>
      <c r="D366" s="7">
        <v>0</v>
      </c>
      <c r="E366" s="7">
        <v>0</v>
      </c>
      <c r="F366" s="7">
        <v>0</v>
      </c>
      <c r="G366" s="7">
        <v>0</v>
      </c>
      <c r="H366" s="7">
        <v>0</v>
      </c>
      <c r="I366" s="7">
        <v>0</v>
      </c>
      <c r="J366" s="7">
        <v>0</v>
      </c>
      <c r="K366" s="7">
        <v>0</v>
      </c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</row>
    <row r="367" spans="1:17">
      <c r="A367" s="2">
        <v>2315</v>
      </c>
      <c r="B367" s="7">
        <v>0</v>
      </c>
      <c r="C367" s="7">
        <v>0</v>
      </c>
      <c r="D367" s="7">
        <v>0</v>
      </c>
      <c r="E367" s="7">
        <v>0</v>
      </c>
      <c r="F367" s="7">
        <v>0</v>
      </c>
      <c r="G367" s="7">
        <v>0</v>
      </c>
      <c r="H367" s="7">
        <v>0</v>
      </c>
      <c r="I367" s="7">
        <v>0</v>
      </c>
      <c r="J367" s="7">
        <v>0</v>
      </c>
      <c r="K367" s="7">
        <v>0</v>
      </c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</row>
    <row r="368" spans="1:17">
      <c r="A368" s="2">
        <v>2316</v>
      </c>
      <c r="B368" s="7">
        <v>0</v>
      </c>
      <c r="C368" s="7">
        <v>0</v>
      </c>
      <c r="D368" s="7">
        <v>0</v>
      </c>
      <c r="E368" s="7">
        <v>0</v>
      </c>
      <c r="F368" s="7">
        <v>0</v>
      </c>
      <c r="G368" s="7">
        <v>0</v>
      </c>
      <c r="H368" s="7">
        <v>0</v>
      </c>
      <c r="I368" s="7">
        <v>0</v>
      </c>
      <c r="J368" s="7">
        <v>0</v>
      </c>
      <c r="K368" s="7">
        <v>0</v>
      </c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</row>
    <row r="369" spans="1:17">
      <c r="A369" s="2">
        <v>2317</v>
      </c>
      <c r="B369" s="7">
        <v>0</v>
      </c>
      <c r="C369" s="7">
        <v>0</v>
      </c>
      <c r="D369" s="7">
        <v>0</v>
      </c>
      <c r="E369" s="7">
        <v>0</v>
      </c>
      <c r="F369" s="7">
        <v>0</v>
      </c>
      <c r="G369" s="7">
        <v>0</v>
      </c>
      <c r="H369" s="7">
        <v>0</v>
      </c>
      <c r="I369" s="7">
        <v>0</v>
      </c>
      <c r="J369" s="7">
        <v>0</v>
      </c>
      <c r="K369" s="7">
        <v>0</v>
      </c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</row>
    <row r="370" spans="1:17">
      <c r="A370" s="2">
        <v>2318</v>
      </c>
      <c r="B370" s="7">
        <v>0</v>
      </c>
      <c r="C370" s="7">
        <v>0</v>
      </c>
      <c r="D370" s="7">
        <v>0</v>
      </c>
      <c r="E370" s="7">
        <v>0</v>
      </c>
      <c r="F370" s="7">
        <v>0</v>
      </c>
      <c r="G370" s="7">
        <v>0</v>
      </c>
      <c r="H370" s="7">
        <v>0</v>
      </c>
      <c r="I370" s="7">
        <v>0</v>
      </c>
      <c r="J370" s="7">
        <v>0</v>
      </c>
      <c r="K370" s="7">
        <v>0</v>
      </c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</row>
    <row r="371" spans="1:17">
      <c r="A371" s="2">
        <v>2319</v>
      </c>
      <c r="B371" s="7">
        <v>0</v>
      </c>
      <c r="C371" s="7">
        <v>0</v>
      </c>
      <c r="D371" s="7">
        <v>0</v>
      </c>
      <c r="E371" s="7">
        <v>0</v>
      </c>
      <c r="F371" s="7">
        <v>0</v>
      </c>
      <c r="G371" s="7">
        <v>0</v>
      </c>
      <c r="H371" s="7">
        <v>0</v>
      </c>
      <c r="I371" s="7">
        <v>0</v>
      </c>
      <c r="J371" s="7">
        <v>0</v>
      </c>
      <c r="K371" s="7">
        <v>0</v>
      </c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</row>
    <row r="372" spans="1:17">
      <c r="A372" s="2">
        <v>2320</v>
      </c>
      <c r="B372" s="7">
        <v>0</v>
      </c>
      <c r="C372" s="7">
        <v>0</v>
      </c>
      <c r="D372" s="7">
        <v>0</v>
      </c>
      <c r="E372" s="7">
        <v>0</v>
      </c>
      <c r="F372" s="7">
        <v>0</v>
      </c>
      <c r="G372" s="7">
        <v>0</v>
      </c>
      <c r="H372" s="7">
        <v>0</v>
      </c>
      <c r="I372" s="7">
        <v>0</v>
      </c>
      <c r="J372" s="7">
        <v>0</v>
      </c>
      <c r="K372" s="7">
        <v>0</v>
      </c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</row>
    <row r="373" spans="1:17">
      <c r="A373" s="2">
        <v>2321</v>
      </c>
      <c r="B373" s="7">
        <v>0</v>
      </c>
      <c r="C373" s="7">
        <v>0</v>
      </c>
      <c r="D373" s="7">
        <v>0</v>
      </c>
      <c r="E373" s="7">
        <v>0</v>
      </c>
      <c r="F373" s="7">
        <v>0</v>
      </c>
      <c r="G373" s="7">
        <v>0</v>
      </c>
      <c r="H373" s="7">
        <v>0</v>
      </c>
      <c r="I373" s="7">
        <v>0</v>
      </c>
      <c r="J373" s="7">
        <v>0</v>
      </c>
      <c r="K373" s="7">
        <v>0</v>
      </c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</row>
    <row r="374" spans="1:17">
      <c r="A374" s="2">
        <v>2322</v>
      </c>
      <c r="B374" s="7">
        <v>0</v>
      </c>
      <c r="C374" s="7">
        <v>0</v>
      </c>
      <c r="D374" s="7">
        <v>0</v>
      </c>
      <c r="E374" s="7">
        <v>0</v>
      </c>
      <c r="F374" s="7">
        <v>0</v>
      </c>
      <c r="G374" s="7">
        <v>0</v>
      </c>
      <c r="H374" s="7">
        <v>0</v>
      </c>
      <c r="I374" s="7">
        <v>0</v>
      </c>
      <c r="J374" s="7">
        <v>0</v>
      </c>
      <c r="K374" s="7">
        <v>0</v>
      </c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</row>
    <row r="375" spans="1:17">
      <c r="A375" s="2">
        <v>2323</v>
      </c>
      <c r="B375" s="7">
        <v>0</v>
      </c>
      <c r="C375" s="7">
        <v>0</v>
      </c>
      <c r="D375" s="7">
        <v>0</v>
      </c>
      <c r="E375" s="7">
        <v>0</v>
      </c>
      <c r="F375" s="7">
        <v>0</v>
      </c>
      <c r="G375" s="7">
        <v>0</v>
      </c>
      <c r="H375" s="7">
        <v>0</v>
      </c>
      <c r="I375" s="7">
        <v>0</v>
      </c>
      <c r="J375" s="7">
        <v>0</v>
      </c>
      <c r="K375" s="7">
        <v>0</v>
      </c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</row>
    <row r="376" spans="1:17">
      <c r="A376" s="2">
        <v>2324</v>
      </c>
      <c r="B376" s="7">
        <v>0</v>
      </c>
      <c r="C376" s="7">
        <v>0</v>
      </c>
      <c r="D376" s="7">
        <v>0</v>
      </c>
      <c r="E376" s="7">
        <v>0</v>
      </c>
      <c r="F376" s="7">
        <v>0</v>
      </c>
      <c r="G376" s="7">
        <v>0</v>
      </c>
      <c r="H376" s="7">
        <v>0</v>
      </c>
      <c r="I376" s="7">
        <v>0</v>
      </c>
      <c r="J376" s="7">
        <v>0</v>
      </c>
      <c r="K376" s="7">
        <v>0</v>
      </c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</row>
    <row r="377" spans="1:17">
      <c r="A377" s="2">
        <v>2325</v>
      </c>
      <c r="B377" s="7">
        <v>0</v>
      </c>
      <c r="C377" s="7">
        <v>0</v>
      </c>
      <c r="D377" s="7">
        <v>0</v>
      </c>
      <c r="E377" s="7">
        <v>0</v>
      </c>
      <c r="F377" s="7">
        <v>0</v>
      </c>
      <c r="G377" s="7">
        <v>0</v>
      </c>
      <c r="H377" s="7">
        <v>0</v>
      </c>
      <c r="I377" s="7">
        <v>0</v>
      </c>
      <c r="J377" s="7">
        <v>0</v>
      </c>
      <c r="K377" s="7">
        <v>0</v>
      </c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</row>
    <row r="378" spans="1:17">
      <c r="A378" s="2">
        <v>2326</v>
      </c>
      <c r="B378" s="7">
        <v>0</v>
      </c>
      <c r="C378" s="7">
        <v>0</v>
      </c>
      <c r="D378" s="7">
        <v>0</v>
      </c>
      <c r="E378" s="7">
        <v>0</v>
      </c>
      <c r="F378" s="7">
        <v>0</v>
      </c>
      <c r="G378" s="7">
        <v>0</v>
      </c>
      <c r="H378" s="7">
        <v>0</v>
      </c>
      <c r="I378" s="7">
        <v>0</v>
      </c>
      <c r="J378" s="7">
        <v>0</v>
      </c>
      <c r="K378" s="7">
        <v>0</v>
      </c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</row>
    <row r="379" spans="1:17">
      <c r="A379" s="2">
        <v>2327</v>
      </c>
      <c r="B379" s="7">
        <v>0</v>
      </c>
      <c r="C379" s="7">
        <v>0</v>
      </c>
      <c r="D379" s="7">
        <v>0</v>
      </c>
      <c r="E379" s="7">
        <v>0</v>
      </c>
      <c r="F379" s="7">
        <v>0</v>
      </c>
      <c r="G379" s="7">
        <v>0</v>
      </c>
      <c r="H379" s="7">
        <v>0</v>
      </c>
      <c r="I379" s="7">
        <v>0</v>
      </c>
      <c r="J379" s="7">
        <v>0</v>
      </c>
      <c r="K379" s="7">
        <v>0</v>
      </c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</row>
    <row r="380" spans="1:17">
      <c r="A380" s="2">
        <v>2328</v>
      </c>
      <c r="B380" s="7">
        <v>0</v>
      </c>
      <c r="C380" s="7">
        <v>0</v>
      </c>
      <c r="D380" s="7">
        <v>0</v>
      </c>
      <c r="E380" s="7">
        <v>0</v>
      </c>
      <c r="F380" s="7">
        <v>0</v>
      </c>
      <c r="G380" s="7">
        <v>0</v>
      </c>
      <c r="H380" s="7">
        <v>0</v>
      </c>
      <c r="I380" s="7">
        <v>0</v>
      </c>
      <c r="J380" s="7">
        <v>0</v>
      </c>
      <c r="K380" s="7">
        <v>0</v>
      </c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</row>
    <row r="381" spans="1:17">
      <c r="A381" s="2">
        <v>2329</v>
      </c>
      <c r="B381" s="7">
        <v>0</v>
      </c>
      <c r="C381" s="7">
        <v>0</v>
      </c>
      <c r="D381" s="7">
        <v>0</v>
      </c>
      <c r="E381" s="7">
        <v>0</v>
      </c>
      <c r="F381" s="7">
        <v>0</v>
      </c>
      <c r="G381" s="7">
        <v>0</v>
      </c>
      <c r="H381" s="7">
        <v>0</v>
      </c>
      <c r="I381" s="7">
        <v>0</v>
      </c>
      <c r="J381" s="7">
        <v>0</v>
      </c>
      <c r="K381" s="7">
        <v>0</v>
      </c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</row>
    <row r="382" spans="1:17">
      <c r="A382" s="2">
        <v>2330</v>
      </c>
      <c r="B382" s="7">
        <v>0</v>
      </c>
      <c r="C382" s="7">
        <v>0</v>
      </c>
      <c r="D382" s="7">
        <v>0</v>
      </c>
      <c r="E382" s="7">
        <v>0</v>
      </c>
      <c r="F382" s="7">
        <v>0</v>
      </c>
      <c r="G382" s="7">
        <v>0</v>
      </c>
      <c r="H382" s="7">
        <v>0</v>
      </c>
      <c r="I382" s="7">
        <v>0</v>
      </c>
      <c r="J382" s="7">
        <v>0</v>
      </c>
      <c r="K382" s="7">
        <v>0</v>
      </c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</row>
    <row r="383" spans="1:17">
      <c r="A383" s="2">
        <v>2331</v>
      </c>
      <c r="B383" s="7">
        <v>0</v>
      </c>
      <c r="C383" s="7">
        <v>0</v>
      </c>
      <c r="D383" s="7">
        <v>0</v>
      </c>
      <c r="E383" s="7">
        <v>0</v>
      </c>
      <c r="F383" s="7">
        <v>0</v>
      </c>
      <c r="G383" s="7">
        <v>0</v>
      </c>
      <c r="H383" s="7">
        <v>0</v>
      </c>
      <c r="I383" s="7">
        <v>0</v>
      </c>
      <c r="J383" s="7">
        <v>0</v>
      </c>
      <c r="K383" s="7">
        <v>0</v>
      </c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</row>
    <row r="384" spans="1:17">
      <c r="A384" s="2">
        <v>2332</v>
      </c>
      <c r="B384" s="7">
        <v>0</v>
      </c>
      <c r="C384" s="7">
        <v>0</v>
      </c>
      <c r="D384" s="7">
        <v>0</v>
      </c>
      <c r="E384" s="7">
        <v>0</v>
      </c>
      <c r="F384" s="7">
        <v>0</v>
      </c>
      <c r="G384" s="7">
        <v>0</v>
      </c>
      <c r="H384" s="7">
        <v>0</v>
      </c>
      <c r="I384" s="7">
        <v>0</v>
      </c>
      <c r="J384" s="7">
        <v>0</v>
      </c>
      <c r="K384" s="7">
        <v>0</v>
      </c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</row>
    <row r="385" spans="1:17">
      <c r="A385" s="2">
        <v>2333</v>
      </c>
      <c r="B385" s="7">
        <v>0</v>
      </c>
      <c r="C385" s="7">
        <v>0</v>
      </c>
      <c r="D385" s="7">
        <v>0</v>
      </c>
      <c r="E385" s="7">
        <v>0</v>
      </c>
      <c r="F385" s="7">
        <v>0</v>
      </c>
      <c r="G385" s="7">
        <v>0</v>
      </c>
      <c r="H385" s="7">
        <v>0</v>
      </c>
      <c r="I385" s="7">
        <v>0</v>
      </c>
      <c r="J385" s="7">
        <v>0</v>
      </c>
      <c r="K385" s="7">
        <v>0</v>
      </c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</row>
    <row r="386" spans="1:17">
      <c r="A386" s="2">
        <v>2334</v>
      </c>
      <c r="B386" s="7">
        <v>0</v>
      </c>
      <c r="C386" s="7">
        <v>0</v>
      </c>
      <c r="D386" s="7">
        <v>0</v>
      </c>
      <c r="E386" s="7">
        <v>0</v>
      </c>
      <c r="F386" s="7">
        <v>0</v>
      </c>
      <c r="G386" s="7">
        <v>0</v>
      </c>
      <c r="H386" s="7">
        <v>0</v>
      </c>
      <c r="I386" s="7">
        <v>0</v>
      </c>
      <c r="J386" s="7">
        <v>0</v>
      </c>
      <c r="K386" s="7">
        <v>0</v>
      </c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</row>
    <row r="387" spans="1:17">
      <c r="A387" s="2">
        <v>2335</v>
      </c>
      <c r="B387" s="7">
        <v>0</v>
      </c>
      <c r="C387" s="7">
        <v>0</v>
      </c>
      <c r="D387" s="7">
        <v>0</v>
      </c>
      <c r="E387" s="7">
        <v>0</v>
      </c>
      <c r="F387" s="7">
        <v>0</v>
      </c>
      <c r="G387" s="7">
        <v>0</v>
      </c>
      <c r="H387" s="7">
        <v>0</v>
      </c>
      <c r="I387" s="7">
        <v>0</v>
      </c>
      <c r="J387" s="7">
        <v>0</v>
      </c>
      <c r="K387" s="7">
        <v>0</v>
      </c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</row>
    <row r="388" spans="1:17">
      <c r="A388" s="2">
        <v>2336</v>
      </c>
      <c r="B388" s="7">
        <v>0</v>
      </c>
      <c r="C388" s="7">
        <v>0</v>
      </c>
      <c r="D388" s="7">
        <v>0</v>
      </c>
      <c r="E388" s="7">
        <v>0</v>
      </c>
      <c r="F388" s="7">
        <v>0</v>
      </c>
      <c r="G388" s="7">
        <v>0</v>
      </c>
      <c r="H388" s="7">
        <v>0</v>
      </c>
      <c r="I388" s="7">
        <v>0</v>
      </c>
      <c r="J388" s="7">
        <v>0</v>
      </c>
      <c r="K388" s="7">
        <v>0</v>
      </c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</row>
    <row r="389" spans="1:17">
      <c r="A389" s="2">
        <v>2337</v>
      </c>
      <c r="B389" s="7">
        <v>0</v>
      </c>
      <c r="C389" s="7">
        <v>0</v>
      </c>
      <c r="D389" s="7">
        <v>0</v>
      </c>
      <c r="E389" s="7">
        <v>0</v>
      </c>
      <c r="F389" s="7">
        <v>0</v>
      </c>
      <c r="G389" s="7">
        <v>0</v>
      </c>
      <c r="H389" s="7">
        <v>0</v>
      </c>
      <c r="I389" s="7">
        <v>0</v>
      </c>
      <c r="J389" s="7">
        <v>0</v>
      </c>
      <c r="K389" s="7">
        <v>0</v>
      </c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</row>
    <row r="390" spans="1:17">
      <c r="A390" s="2">
        <v>2338</v>
      </c>
      <c r="B390" s="7">
        <v>0</v>
      </c>
      <c r="C390" s="7">
        <v>0</v>
      </c>
      <c r="D390" s="7">
        <v>0</v>
      </c>
      <c r="E390" s="7">
        <v>0</v>
      </c>
      <c r="F390" s="7">
        <v>0</v>
      </c>
      <c r="G390" s="7">
        <v>0</v>
      </c>
      <c r="H390" s="7">
        <v>0</v>
      </c>
      <c r="I390" s="7">
        <v>0</v>
      </c>
      <c r="J390" s="7">
        <v>0</v>
      </c>
      <c r="K390" s="7">
        <v>0</v>
      </c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</row>
    <row r="391" spans="1:17">
      <c r="A391" s="2">
        <v>2339</v>
      </c>
      <c r="B391" s="7">
        <v>0</v>
      </c>
      <c r="C391" s="7">
        <v>0</v>
      </c>
      <c r="D391" s="7">
        <v>0</v>
      </c>
      <c r="E391" s="7">
        <v>0</v>
      </c>
      <c r="F391" s="7">
        <v>0</v>
      </c>
      <c r="G391" s="7">
        <v>0</v>
      </c>
      <c r="H391" s="7">
        <v>0</v>
      </c>
      <c r="I391" s="7">
        <v>0</v>
      </c>
      <c r="J391" s="7">
        <v>0</v>
      </c>
      <c r="K391" s="7">
        <v>0</v>
      </c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</row>
    <row r="392" spans="1:17">
      <c r="A392" s="2">
        <v>2340</v>
      </c>
      <c r="B392" s="7">
        <v>0</v>
      </c>
      <c r="C392" s="7">
        <v>0</v>
      </c>
      <c r="D392" s="7">
        <v>0</v>
      </c>
      <c r="E392" s="7">
        <v>0</v>
      </c>
      <c r="F392" s="7">
        <v>0</v>
      </c>
      <c r="G392" s="7">
        <v>0</v>
      </c>
      <c r="H392" s="7">
        <v>0</v>
      </c>
      <c r="I392" s="7">
        <v>0</v>
      </c>
      <c r="J392" s="7">
        <v>0</v>
      </c>
      <c r="K392" s="7">
        <v>0</v>
      </c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</row>
    <row r="393" spans="1:17">
      <c r="A393" s="2">
        <v>2341</v>
      </c>
      <c r="B393" s="7">
        <v>0</v>
      </c>
      <c r="C393" s="7">
        <v>0</v>
      </c>
      <c r="D393" s="7">
        <v>0</v>
      </c>
      <c r="E393" s="7">
        <v>0</v>
      </c>
      <c r="F393" s="7">
        <v>0</v>
      </c>
      <c r="G393" s="7">
        <v>0</v>
      </c>
      <c r="H393" s="7">
        <v>0</v>
      </c>
      <c r="I393" s="7">
        <v>0</v>
      </c>
      <c r="J393" s="7">
        <v>0</v>
      </c>
      <c r="K393" s="7">
        <v>0</v>
      </c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</row>
    <row r="394" spans="1:17">
      <c r="A394" s="2">
        <v>2342</v>
      </c>
      <c r="B394" s="7">
        <v>0</v>
      </c>
      <c r="C394" s="7">
        <v>0</v>
      </c>
      <c r="D394" s="7">
        <v>0</v>
      </c>
      <c r="E394" s="7">
        <v>0</v>
      </c>
      <c r="F394" s="7">
        <v>0</v>
      </c>
      <c r="G394" s="7">
        <v>0</v>
      </c>
      <c r="H394" s="7">
        <v>0</v>
      </c>
      <c r="I394" s="7">
        <v>0</v>
      </c>
      <c r="J394" s="7">
        <v>0</v>
      </c>
      <c r="K394" s="7">
        <v>0</v>
      </c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</row>
    <row r="395" spans="1:17">
      <c r="A395" s="2">
        <v>2343</v>
      </c>
      <c r="B395" s="7">
        <v>0</v>
      </c>
      <c r="C395" s="7">
        <v>0</v>
      </c>
      <c r="D395" s="7">
        <v>0</v>
      </c>
      <c r="E395" s="7">
        <v>0</v>
      </c>
      <c r="F395" s="7">
        <v>0</v>
      </c>
      <c r="G395" s="7">
        <v>0</v>
      </c>
      <c r="H395" s="7">
        <v>0</v>
      </c>
      <c r="I395" s="7">
        <v>0</v>
      </c>
      <c r="J395" s="7">
        <v>0</v>
      </c>
      <c r="K395" s="7">
        <v>0</v>
      </c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</row>
    <row r="396" spans="1:17">
      <c r="A396" s="2">
        <v>2344</v>
      </c>
      <c r="B396" s="7">
        <v>0</v>
      </c>
      <c r="C396" s="7">
        <v>0</v>
      </c>
      <c r="D396" s="7">
        <v>0</v>
      </c>
      <c r="E396" s="7">
        <v>0</v>
      </c>
      <c r="F396" s="7">
        <v>0</v>
      </c>
      <c r="G396" s="7">
        <v>0</v>
      </c>
      <c r="H396" s="7">
        <v>0</v>
      </c>
      <c r="I396" s="7">
        <v>0</v>
      </c>
      <c r="J396" s="7">
        <v>0</v>
      </c>
      <c r="K396" s="7">
        <v>0</v>
      </c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</row>
    <row r="397" spans="1:17">
      <c r="A397" s="2">
        <v>2345</v>
      </c>
      <c r="B397" s="7">
        <v>0</v>
      </c>
      <c r="C397" s="7">
        <v>0</v>
      </c>
      <c r="D397" s="7">
        <v>0</v>
      </c>
      <c r="E397" s="7">
        <v>0</v>
      </c>
      <c r="F397" s="7">
        <v>0</v>
      </c>
      <c r="G397" s="7">
        <v>0</v>
      </c>
      <c r="H397" s="7">
        <v>0</v>
      </c>
      <c r="I397" s="7">
        <v>0</v>
      </c>
      <c r="J397" s="7">
        <v>0</v>
      </c>
      <c r="K397" s="7">
        <v>0</v>
      </c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</row>
    <row r="398" spans="1:17">
      <c r="A398" s="2">
        <v>2346</v>
      </c>
      <c r="B398" s="7">
        <v>0</v>
      </c>
      <c r="C398" s="7">
        <v>0</v>
      </c>
      <c r="D398" s="7">
        <v>0</v>
      </c>
      <c r="E398" s="7">
        <v>0</v>
      </c>
      <c r="F398" s="7">
        <v>0</v>
      </c>
      <c r="G398" s="7">
        <v>0</v>
      </c>
      <c r="H398" s="7">
        <v>0</v>
      </c>
      <c r="I398" s="7">
        <v>0</v>
      </c>
      <c r="J398" s="7">
        <v>0</v>
      </c>
      <c r="K398" s="7">
        <v>0</v>
      </c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</row>
    <row r="399" spans="1:17">
      <c r="A399" s="2">
        <v>2347</v>
      </c>
      <c r="B399" s="7">
        <v>0</v>
      </c>
      <c r="C399" s="7">
        <v>0</v>
      </c>
      <c r="D399" s="7">
        <v>0</v>
      </c>
      <c r="E399" s="7">
        <v>0</v>
      </c>
      <c r="F399" s="7">
        <v>0</v>
      </c>
      <c r="G399" s="7">
        <v>0</v>
      </c>
      <c r="H399" s="7">
        <v>0</v>
      </c>
      <c r="I399" s="7">
        <v>0</v>
      </c>
      <c r="J399" s="7">
        <v>0</v>
      </c>
      <c r="K399" s="7">
        <v>0</v>
      </c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</row>
    <row r="400" spans="1:17">
      <c r="A400" s="2">
        <v>2348</v>
      </c>
      <c r="B400" s="7">
        <v>0</v>
      </c>
      <c r="C400" s="7">
        <v>0</v>
      </c>
      <c r="D400" s="7">
        <v>0</v>
      </c>
      <c r="E400" s="7">
        <v>0</v>
      </c>
      <c r="F400" s="7">
        <v>0</v>
      </c>
      <c r="G400" s="7">
        <v>0</v>
      </c>
      <c r="H400" s="7">
        <v>0</v>
      </c>
      <c r="I400" s="7">
        <v>0</v>
      </c>
      <c r="J400" s="7">
        <v>0</v>
      </c>
      <c r="K400" s="7">
        <v>0</v>
      </c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</row>
    <row r="401" spans="1:17">
      <c r="A401" s="2">
        <v>2349</v>
      </c>
      <c r="B401" s="7">
        <v>0</v>
      </c>
      <c r="C401" s="7">
        <v>0</v>
      </c>
      <c r="D401" s="7">
        <v>0</v>
      </c>
      <c r="E401" s="7">
        <v>0</v>
      </c>
      <c r="F401" s="7">
        <v>0</v>
      </c>
      <c r="G401" s="7">
        <v>0</v>
      </c>
      <c r="H401" s="7">
        <v>0</v>
      </c>
      <c r="I401" s="7">
        <v>0</v>
      </c>
      <c r="J401" s="7">
        <v>0</v>
      </c>
      <c r="K401" s="7">
        <v>0</v>
      </c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</row>
    <row r="402" spans="1:17">
      <c r="A402" s="2">
        <v>2350</v>
      </c>
      <c r="B402" s="7">
        <v>0</v>
      </c>
      <c r="C402" s="7">
        <v>0</v>
      </c>
      <c r="D402" s="7">
        <v>0</v>
      </c>
      <c r="E402" s="7">
        <v>0</v>
      </c>
      <c r="F402" s="7">
        <v>0</v>
      </c>
      <c r="G402" s="7">
        <v>0</v>
      </c>
      <c r="H402" s="7">
        <v>0</v>
      </c>
      <c r="I402" s="7">
        <v>0</v>
      </c>
      <c r="J402" s="7">
        <v>0</v>
      </c>
      <c r="K402" s="7">
        <v>0</v>
      </c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</row>
    <row r="403" spans="1:17">
      <c r="A403" s="2">
        <v>2351</v>
      </c>
      <c r="B403" s="7">
        <v>0</v>
      </c>
      <c r="C403" s="7">
        <v>0</v>
      </c>
      <c r="D403" s="7">
        <v>0</v>
      </c>
      <c r="E403" s="7">
        <v>0</v>
      </c>
      <c r="F403" s="7">
        <v>0</v>
      </c>
      <c r="G403" s="7">
        <v>0</v>
      </c>
      <c r="H403" s="7">
        <v>0</v>
      </c>
      <c r="I403" s="7">
        <v>0</v>
      </c>
      <c r="J403" s="7">
        <v>0</v>
      </c>
      <c r="K403" s="7">
        <v>0</v>
      </c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</row>
    <row r="404" spans="1:17">
      <c r="A404" s="2">
        <v>2352</v>
      </c>
      <c r="B404" s="7">
        <v>0</v>
      </c>
      <c r="C404" s="7">
        <v>0</v>
      </c>
      <c r="D404" s="7">
        <v>0</v>
      </c>
      <c r="E404" s="7">
        <v>0</v>
      </c>
      <c r="F404" s="7">
        <v>0</v>
      </c>
      <c r="G404" s="7">
        <v>0</v>
      </c>
      <c r="H404" s="7">
        <v>0</v>
      </c>
      <c r="I404" s="7">
        <v>0</v>
      </c>
      <c r="J404" s="7">
        <v>0</v>
      </c>
      <c r="K404" s="7">
        <v>0</v>
      </c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</row>
    <row r="405" spans="1:17">
      <c r="A405" s="2">
        <v>2353</v>
      </c>
      <c r="B405" s="7">
        <v>0</v>
      </c>
      <c r="C405" s="7">
        <v>0</v>
      </c>
      <c r="D405" s="7">
        <v>0</v>
      </c>
      <c r="E405" s="7">
        <v>0</v>
      </c>
      <c r="F405" s="7">
        <v>0</v>
      </c>
      <c r="G405" s="7">
        <v>0</v>
      </c>
      <c r="H405" s="7">
        <v>0</v>
      </c>
      <c r="I405" s="7">
        <v>0</v>
      </c>
      <c r="J405" s="7">
        <v>0</v>
      </c>
      <c r="K405" s="7">
        <v>0</v>
      </c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</row>
    <row r="406" spans="1:17">
      <c r="A406" s="2">
        <v>2354</v>
      </c>
      <c r="B406" s="7">
        <v>0</v>
      </c>
      <c r="C406" s="7">
        <v>0</v>
      </c>
      <c r="D406" s="7">
        <v>0</v>
      </c>
      <c r="E406" s="7">
        <v>0</v>
      </c>
      <c r="F406" s="7">
        <v>0</v>
      </c>
      <c r="G406" s="7">
        <v>0</v>
      </c>
      <c r="H406" s="7">
        <v>0</v>
      </c>
      <c r="I406" s="7">
        <v>0</v>
      </c>
      <c r="J406" s="7">
        <v>0</v>
      </c>
      <c r="K406" s="7">
        <v>0</v>
      </c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</row>
    <row r="407" spans="1:17">
      <c r="A407" s="2">
        <v>2355</v>
      </c>
      <c r="B407" s="7">
        <v>0</v>
      </c>
      <c r="C407" s="7">
        <v>0</v>
      </c>
      <c r="D407" s="7">
        <v>0</v>
      </c>
      <c r="E407" s="7">
        <v>0</v>
      </c>
      <c r="F407" s="7">
        <v>0</v>
      </c>
      <c r="G407" s="7">
        <v>0</v>
      </c>
      <c r="H407" s="7">
        <v>0</v>
      </c>
      <c r="I407" s="7">
        <v>0</v>
      </c>
      <c r="J407" s="7">
        <v>0</v>
      </c>
      <c r="K407" s="7">
        <v>0</v>
      </c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</row>
    <row r="408" spans="1:17">
      <c r="A408" s="2">
        <v>2356</v>
      </c>
      <c r="B408" s="7">
        <v>0</v>
      </c>
      <c r="C408" s="7">
        <v>0</v>
      </c>
      <c r="D408" s="7">
        <v>0</v>
      </c>
      <c r="E408" s="7">
        <v>0</v>
      </c>
      <c r="F408" s="7">
        <v>0</v>
      </c>
      <c r="G408" s="7">
        <v>0</v>
      </c>
      <c r="H408" s="7">
        <v>0</v>
      </c>
      <c r="I408" s="7">
        <v>0</v>
      </c>
      <c r="J408" s="7">
        <v>0</v>
      </c>
      <c r="K408" s="7">
        <v>0</v>
      </c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</row>
    <row r="409" spans="1:17">
      <c r="A409" s="2">
        <v>2357</v>
      </c>
      <c r="B409" s="7">
        <v>0</v>
      </c>
      <c r="C409" s="7">
        <v>0</v>
      </c>
      <c r="D409" s="7">
        <v>0</v>
      </c>
      <c r="E409" s="7">
        <v>0</v>
      </c>
      <c r="F409" s="7">
        <v>0</v>
      </c>
      <c r="G409" s="7">
        <v>0</v>
      </c>
      <c r="H409" s="7">
        <v>0</v>
      </c>
      <c r="I409" s="7">
        <v>0</v>
      </c>
      <c r="J409" s="7">
        <v>0</v>
      </c>
      <c r="K409" s="7">
        <v>0</v>
      </c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</row>
    <row r="410" spans="1:17">
      <c r="A410" s="2">
        <v>2358</v>
      </c>
      <c r="B410" s="7">
        <v>0</v>
      </c>
      <c r="C410" s="7">
        <v>0</v>
      </c>
      <c r="D410" s="7">
        <v>0</v>
      </c>
      <c r="E410" s="7">
        <v>0</v>
      </c>
      <c r="F410" s="7">
        <v>0</v>
      </c>
      <c r="G410" s="7">
        <v>0</v>
      </c>
      <c r="H410" s="7">
        <v>0</v>
      </c>
      <c r="I410" s="7">
        <v>0</v>
      </c>
      <c r="J410" s="7">
        <v>0</v>
      </c>
      <c r="K410" s="7">
        <v>0</v>
      </c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</row>
    <row r="411" spans="1:17">
      <c r="A411" s="2">
        <v>2359</v>
      </c>
      <c r="B411" s="7">
        <v>0</v>
      </c>
      <c r="C411" s="7">
        <v>0</v>
      </c>
      <c r="D411" s="7">
        <v>0</v>
      </c>
      <c r="E411" s="7">
        <v>0</v>
      </c>
      <c r="F411" s="7">
        <v>0</v>
      </c>
      <c r="G411" s="7">
        <v>0</v>
      </c>
      <c r="H411" s="7">
        <v>0</v>
      </c>
      <c r="I411" s="7">
        <v>0</v>
      </c>
      <c r="J411" s="7">
        <v>0</v>
      </c>
      <c r="K411" s="7">
        <v>0</v>
      </c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</row>
    <row r="412" spans="1:17">
      <c r="A412" s="2">
        <v>2360</v>
      </c>
      <c r="B412" s="7">
        <v>0</v>
      </c>
      <c r="C412" s="7">
        <v>0</v>
      </c>
      <c r="D412" s="7">
        <v>0</v>
      </c>
      <c r="E412" s="7">
        <v>0</v>
      </c>
      <c r="F412" s="7">
        <v>0</v>
      </c>
      <c r="G412" s="7">
        <v>0</v>
      </c>
      <c r="H412" s="7">
        <v>0</v>
      </c>
      <c r="I412" s="7">
        <v>0</v>
      </c>
      <c r="J412" s="7">
        <v>0</v>
      </c>
      <c r="K412" s="7">
        <v>0</v>
      </c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</row>
    <row r="413" spans="1:17">
      <c r="A413" s="2">
        <v>2361</v>
      </c>
      <c r="B413" s="7">
        <v>0</v>
      </c>
      <c r="C413" s="7">
        <v>0</v>
      </c>
      <c r="D413" s="7">
        <v>0</v>
      </c>
      <c r="E413" s="7">
        <v>0</v>
      </c>
      <c r="F413" s="7">
        <v>0</v>
      </c>
      <c r="G413" s="7">
        <v>0</v>
      </c>
      <c r="H413" s="7">
        <v>0</v>
      </c>
      <c r="I413" s="7">
        <v>0</v>
      </c>
      <c r="J413" s="7">
        <v>0</v>
      </c>
      <c r="K413" s="7">
        <v>0</v>
      </c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</row>
    <row r="414" spans="1:17">
      <c r="A414" s="2">
        <v>2362</v>
      </c>
      <c r="B414" s="7">
        <v>0</v>
      </c>
      <c r="C414" s="7">
        <v>0</v>
      </c>
      <c r="D414" s="7">
        <v>0</v>
      </c>
      <c r="E414" s="7">
        <v>0</v>
      </c>
      <c r="F414" s="7">
        <v>0</v>
      </c>
      <c r="G414" s="7">
        <v>0</v>
      </c>
      <c r="H414" s="7">
        <v>0</v>
      </c>
      <c r="I414" s="7">
        <v>0</v>
      </c>
      <c r="J414" s="7">
        <v>0</v>
      </c>
      <c r="K414" s="7">
        <v>0</v>
      </c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</row>
    <row r="415" spans="1:17">
      <c r="A415" s="2">
        <v>2363</v>
      </c>
      <c r="B415" s="7">
        <v>0</v>
      </c>
      <c r="C415" s="7">
        <v>0</v>
      </c>
      <c r="D415" s="7">
        <v>0</v>
      </c>
      <c r="E415" s="7">
        <v>0</v>
      </c>
      <c r="F415" s="7">
        <v>0</v>
      </c>
      <c r="G415" s="7">
        <v>0</v>
      </c>
      <c r="H415" s="7">
        <v>0</v>
      </c>
      <c r="I415" s="7">
        <v>0</v>
      </c>
      <c r="J415" s="7">
        <v>0</v>
      </c>
      <c r="K415" s="7">
        <v>0</v>
      </c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</row>
    <row r="416" spans="1:17">
      <c r="A416" s="2">
        <v>2364</v>
      </c>
      <c r="B416" s="7">
        <v>0</v>
      </c>
      <c r="C416" s="7">
        <v>0</v>
      </c>
      <c r="D416" s="7">
        <v>0</v>
      </c>
      <c r="E416" s="7">
        <v>0</v>
      </c>
      <c r="F416" s="7">
        <v>0</v>
      </c>
      <c r="G416" s="7">
        <v>0</v>
      </c>
      <c r="H416" s="7">
        <v>0</v>
      </c>
      <c r="I416" s="7">
        <v>0</v>
      </c>
      <c r="J416" s="7">
        <v>0</v>
      </c>
      <c r="K416" s="7">
        <v>0</v>
      </c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</row>
    <row r="417" spans="1:17">
      <c r="A417" s="2">
        <v>2365</v>
      </c>
      <c r="B417" s="7">
        <v>0</v>
      </c>
      <c r="C417" s="7">
        <v>0</v>
      </c>
      <c r="D417" s="7">
        <v>0</v>
      </c>
      <c r="E417" s="7">
        <v>0</v>
      </c>
      <c r="F417" s="7">
        <v>0</v>
      </c>
      <c r="G417" s="7">
        <v>0</v>
      </c>
      <c r="H417" s="7">
        <v>0</v>
      </c>
      <c r="I417" s="7">
        <v>0</v>
      </c>
      <c r="J417" s="7">
        <v>0</v>
      </c>
      <c r="K417" s="7">
        <v>0</v>
      </c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</row>
    <row r="418" spans="1:17">
      <c r="A418" s="2">
        <v>2366</v>
      </c>
      <c r="B418" s="7">
        <v>0</v>
      </c>
      <c r="C418" s="7">
        <v>0</v>
      </c>
      <c r="D418" s="7">
        <v>0</v>
      </c>
      <c r="E418" s="7">
        <v>0</v>
      </c>
      <c r="F418" s="7">
        <v>0</v>
      </c>
      <c r="G418" s="7">
        <v>0</v>
      </c>
      <c r="H418" s="7">
        <v>0</v>
      </c>
      <c r="I418" s="7">
        <v>0</v>
      </c>
      <c r="J418" s="7">
        <v>0</v>
      </c>
      <c r="K418" s="7">
        <v>0</v>
      </c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</row>
    <row r="419" spans="1:17">
      <c r="A419" s="2">
        <v>2367</v>
      </c>
      <c r="B419" s="7">
        <v>0</v>
      </c>
      <c r="C419" s="7">
        <v>0</v>
      </c>
      <c r="D419" s="7">
        <v>0</v>
      </c>
      <c r="E419" s="7">
        <v>0</v>
      </c>
      <c r="F419" s="7">
        <v>0</v>
      </c>
      <c r="G419" s="7">
        <v>0</v>
      </c>
      <c r="H419" s="7">
        <v>0</v>
      </c>
      <c r="I419" s="7">
        <v>0</v>
      </c>
      <c r="J419" s="7">
        <v>0</v>
      </c>
      <c r="K419" s="7">
        <v>0</v>
      </c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</row>
    <row r="420" spans="1:17">
      <c r="A420" s="2">
        <v>2368</v>
      </c>
      <c r="B420" s="7">
        <v>0</v>
      </c>
      <c r="C420" s="7">
        <v>0</v>
      </c>
      <c r="D420" s="7">
        <v>0</v>
      </c>
      <c r="E420" s="7">
        <v>0</v>
      </c>
      <c r="F420" s="7">
        <v>0</v>
      </c>
      <c r="G420" s="7">
        <v>0</v>
      </c>
      <c r="H420" s="7">
        <v>0</v>
      </c>
      <c r="I420" s="7">
        <v>0</v>
      </c>
      <c r="J420" s="7">
        <v>0</v>
      </c>
      <c r="K420" s="7">
        <v>0</v>
      </c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</row>
    <row r="421" spans="1:17">
      <c r="A421" s="2">
        <v>2369</v>
      </c>
      <c r="B421" s="7">
        <v>0</v>
      </c>
      <c r="C421" s="7">
        <v>0</v>
      </c>
      <c r="D421" s="7">
        <v>0</v>
      </c>
      <c r="E421" s="7">
        <v>0</v>
      </c>
      <c r="F421" s="7">
        <v>0</v>
      </c>
      <c r="G421" s="7">
        <v>0</v>
      </c>
      <c r="H421" s="7">
        <v>0</v>
      </c>
      <c r="I421" s="7">
        <v>0</v>
      </c>
      <c r="J421" s="7">
        <v>0</v>
      </c>
      <c r="K421" s="7">
        <v>0</v>
      </c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</row>
    <row r="422" spans="1:17">
      <c r="A422" s="2">
        <v>2370</v>
      </c>
      <c r="B422" s="7">
        <v>0</v>
      </c>
      <c r="C422" s="7">
        <v>0</v>
      </c>
      <c r="D422" s="7">
        <v>0</v>
      </c>
      <c r="E422" s="7">
        <v>0</v>
      </c>
      <c r="F422" s="7">
        <v>0</v>
      </c>
      <c r="G422" s="7">
        <v>0</v>
      </c>
      <c r="H422" s="7">
        <v>0</v>
      </c>
      <c r="I422" s="7">
        <v>0</v>
      </c>
      <c r="J422" s="7">
        <v>0</v>
      </c>
      <c r="K422" s="7">
        <v>0</v>
      </c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</row>
    <row r="423" spans="1:17">
      <c r="A423" s="2">
        <v>2371</v>
      </c>
      <c r="B423" s="7">
        <v>0</v>
      </c>
      <c r="C423" s="7">
        <v>0</v>
      </c>
      <c r="D423" s="7">
        <v>0</v>
      </c>
      <c r="E423" s="7">
        <v>0</v>
      </c>
      <c r="F423" s="7">
        <v>0</v>
      </c>
      <c r="G423" s="7">
        <v>0</v>
      </c>
      <c r="H423" s="7">
        <v>0</v>
      </c>
      <c r="I423" s="7">
        <v>0</v>
      </c>
      <c r="J423" s="7">
        <v>0</v>
      </c>
      <c r="K423" s="7">
        <v>0</v>
      </c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</row>
    <row r="424" spans="1:17">
      <c r="A424" s="2">
        <v>2372</v>
      </c>
      <c r="B424" s="7">
        <v>0</v>
      </c>
      <c r="C424" s="7">
        <v>0</v>
      </c>
      <c r="D424" s="7">
        <v>0</v>
      </c>
      <c r="E424" s="7">
        <v>0</v>
      </c>
      <c r="F424" s="7">
        <v>0</v>
      </c>
      <c r="G424" s="7">
        <v>0</v>
      </c>
      <c r="H424" s="7">
        <v>0</v>
      </c>
      <c r="I424" s="7">
        <v>0</v>
      </c>
      <c r="J424" s="7">
        <v>0</v>
      </c>
      <c r="K424" s="7">
        <v>0</v>
      </c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</row>
    <row r="425" spans="1:17">
      <c r="A425" s="2">
        <v>2373</v>
      </c>
      <c r="B425" s="7">
        <v>0</v>
      </c>
      <c r="C425" s="7">
        <v>0</v>
      </c>
      <c r="D425" s="7">
        <v>0</v>
      </c>
      <c r="E425" s="7">
        <v>0</v>
      </c>
      <c r="F425" s="7">
        <v>0</v>
      </c>
      <c r="G425" s="7">
        <v>0</v>
      </c>
      <c r="H425" s="7">
        <v>0</v>
      </c>
      <c r="I425" s="7">
        <v>0</v>
      </c>
      <c r="J425" s="7">
        <v>0</v>
      </c>
      <c r="K425" s="7">
        <v>0</v>
      </c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</row>
    <row r="426" spans="1:17">
      <c r="A426" s="2">
        <v>2374</v>
      </c>
      <c r="B426" s="7">
        <v>0</v>
      </c>
      <c r="C426" s="7">
        <v>0</v>
      </c>
      <c r="D426" s="7">
        <v>0</v>
      </c>
      <c r="E426" s="7">
        <v>0</v>
      </c>
      <c r="F426" s="7">
        <v>0</v>
      </c>
      <c r="G426" s="7">
        <v>0</v>
      </c>
      <c r="H426" s="7">
        <v>0</v>
      </c>
      <c r="I426" s="7">
        <v>0</v>
      </c>
      <c r="J426" s="7">
        <v>0</v>
      </c>
      <c r="K426" s="7">
        <v>0</v>
      </c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</row>
    <row r="427" spans="1:17">
      <c r="A427" s="2">
        <v>2375</v>
      </c>
      <c r="B427" s="7">
        <v>0</v>
      </c>
      <c r="C427" s="7">
        <v>0</v>
      </c>
      <c r="D427" s="7">
        <v>0</v>
      </c>
      <c r="E427" s="7">
        <v>0</v>
      </c>
      <c r="F427" s="7">
        <v>0</v>
      </c>
      <c r="G427" s="7">
        <v>0</v>
      </c>
      <c r="H427" s="7">
        <v>0</v>
      </c>
      <c r="I427" s="7">
        <v>0</v>
      </c>
      <c r="J427" s="7">
        <v>0</v>
      </c>
      <c r="K427" s="7">
        <v>0</v>
      </c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</row>
    <row r="428" spans="1:17">
      <c r="A428" s="2">
        <v>2376</v>
      </c>
      <c r="B428" s="7">
        <v>0</v>
      </c>
      <c r="C428" s="7">
        <v>0</v>
      </c>
      <c r="D428" s="7">
        <v>0</v>
      </c>
      <c r="E428" s="7">
        <v>0</v>
      </c>
      <c r="F428" s="7">
        <v>0</v>
      </c>
      <c r="G428" s="7">
        <v>0</v>
      </c>
      <c r="H428" s="7">
        <v>0</v>
      </c>
      <c r="I428" s="7">
        <v>0</v>
      </c>
      <c r="J428" s="7">
        <v>0</v>
      </c>
      <c r="K428" s="7">
        <v>0</v>
      </c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</row>
    <row r="429" spans="1:17">
      <c r="A429" s="2">
        <v>2377</v>
      </c>
      <c r="B429" s="7">
        <v>0</v>
      </c>
      <c r="C429" s="7">
        <v>0</v>
      </c>
      <c r="D429" s="7">
        <v>0</v>
      </c>
      <c r="E429" s="7">
        <v>0</v>
      </c>
      <c r="F429" s="7">
        <v>0</v>
      </c>
      <c r="G429" s="7">
        <v>0</v>
      </c>
      <c r="H429" s="7">
        <v>0</v>
      </c>
      <c r="I429" s="7">
        <v>0</v>
      </c>
      <c r="J429" s="7">
        <v>0</v>
      </c>
      <c r="K429" s="7">
        <v>0</v>
      </c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</row>
    <row r="430" spans="1:17">
      <c r="A430" s="2">
        <v>2378</v>
      </c>
      <c r="B430" s="7">
        <v>0</v>
      </c>
      <c r="C430" s="7">
        <v>0</v>
      </c>
      <c r="D430" s="7">
        <v>0</v>
      </c>
      <c r="E430" s="7">
        <v>0</v>
      </c>
      <c r="F430" s="7">
        <v>0</v>
      </c>
      <c r="G430" s="7">
        <v>0</v>
      </c>
      <c r="H430" s="7">
        <v>0</v>
      </c>
      <c r="I430" s="7">
        <v>0</v>
      </c>
      <c r="J430" s="7">
        <v>0</v>
      </c>
      <c r="K430" s="7">
        <v>0</v>
      </c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</row>
    <row r="431" spans="1:17">
      <c r="A431" s="2">
        <v>2379</v>
      </c>
      <c r="B431" s="7">
        <v>0</v>
      </c>
      <c r="C431" s="7">
        <v>0</v>
      </c>
      <c r="D431" s="7">
        <v>0</v>
      </c>
      <c r="E431" s="7">
        <v>0</v>
      </c>
      <c r="F431" s="7">
        <v>0</v>
      </c>
      <c r="G431" s="7">
        <v>0</v>
      </c>
      <c r="H431" s="7">
        <v>0</v>
      </c>
      <c r="I431" s="7">
        <v>0</v>
      </c>
      <c r="J431" s="7">
        <v>0</v>
      </c>
      <c r="K431" s="7">
        <v>0</v>
      </c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</row>
    <row r="432" spans="1:17">
      <c r="A432" s="2">
        <v>2380</v>
      </c>
      <c r="B432" s="7">
        <v>0</v>
      </c>
      <c r="C432" s="7">
        <v>0</v>
      </c>
      <c r="D432" s="7">
        <v>0</v>
      </c>
      <c r="E432" s="7">
        <v>0</v>
      </c>
      <c r="F432" s="7">
        <v>0</v>
      </c>
      <c r="G432" s="7">
        <v>0</v>
      </c>
      <c r="H432" s="7">
        <v>0</v>
      </c>
      <c r="I432" s="7">
        <v>0</v>
      </c>
      <c r="J432" s="7">
        <v>0</v>
      </c>
      <c r="K432" s="7">
        <v>0</v>
      </c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</row>
    <row r="433" spans="1:17">
      <c r="A433" s="2">
        <v>2381</v>
      </c>
      <c r="B433" s="7">
        <v>0</v>
      </c>
      <c r="C433" s="7">
        <v>0</v>
      </c>
      <c r="D433" s="7">
        <v>0</v>
      </c>
      <c r="E433" s="7">
        <v>0</v>
      </c>
      <c r="F433" s="7">
        <v>0</v>
      </c>
      <c r="G433" s="7">
        <v>0</v>
      </c>
      <c r="H433" s="7">
        <v>0</v>
      </c>
      <c r="I433" s="7">
        <v>0</v>
      </c>
      <c r="J433" s="7">
        <v>0</v>
      </c>
      <c r="K433" s="7">
        <v>0</v>
      </c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</row>
    <row r="434" spans="1:17">
      <c r="A434" s="2">
        <v>2382</v>
      </c>
      <c r="B434" s="7">
        <v>0</v>
      </c>
      <c r="C434" s="7">
        <v>0</v>
      </c>
      <c r="D434" s="7">
        <v>0</v>
      </c>
      <c r="E434" s="7">
        <v>0</v>
      </c>
      <c r="F434" s="7">
        <v>0</v>
      </c>
      <c r="G434" s="7">
        <v>0</v>
      </c>
      <c r="H434" s="7">
        <v>0</v>
      </c>
      <c r="I434" s="7">
        <v>0</v>
      </c>
      <c r="J434" s="7">
        <v>0</v>
      </c>
      <c r="K434" s="7">
        <v>0</v>
      </c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</row>
    <row r="435" spans="1:17">
      <c r="A435" s="2">
        <v>2383</v>
      </c>
      <c r="B435" s="7">
        <v>0</v>
      </c>
      <c r="C435" s="7">
        <v>0</v>
      </c>
      <c r="D435" s="7">
        <v>0</v>
      </c>
      <c r="E435" s="7">
        <v>0</v>
      </c>
      <c r="F435" s="7">
        <v>0</v>
      </c>
      <c r="G435" s="7">
        <v>0</v>
      </c>
      <c r="H435" s="7">
        <v>0</v>
      </c>
      <c r="I435" s="7">
        <v>0</v>
      </c>
      <c r="J435" s="7">
        <v>0</v>
      </c>
      <c r="K435" s="7">
        <v>0</v>
      </c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</row>
    <row r="436" spans="1:17">
      <c r="A436" s="2">
        <v>2384</v>
      </c>
      <c r="B436" s="7">
        <v>0</v>
      </c>
      <c r="C436" s="7">
        <v>0</v>
      </c>
      <c r="D436" s="7">
        <v>0</v>
      </c>
      <c r="E436" s="7">
        <v>0</v>
      </c>
      <c r="F436" s="7">
        <v>0</v>
      </c>
      <c r="G436" s="7">
        <v>0</v>
      </c>
      <c r="H436" s="7">
        <v>0</v>
      </c>
      <c r="I436" s="7">
        <v>0</v>
      </c>
      <c r="J436" s="7">
        <v>0</v>
      </c>
      <c r="K436" s="7">
        <v>0</v>
      </c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</row>
    <row r="437" spans="1:17">
      <c r="A437" s="2">
        <v>2385</v>
      </c>
      <c r="B437" s="7">
        <v>0</v>
      </c>
      <c r="C437" s="7">
        <v>0</v>
      </c>
      <c r="D437" s="7">
        <v>0</v>
      </c>
      <c r="E437" s="7">
        <v>0</v>
      </c>
      <c r="F437" s="7">
        <v>0</v>
      </c>
      <c r="G437" s="7">
        <v>0</v>
      </c>
      <c r="H437" s="7">
        <v>0</v>
      </c>
      <c r="I437" s="7">
        <v>0</v>
      </c>
      <c r="J437" s="7">
        <v>0</v>
      </c>
      <c r="K437" s="7">
        <v>0</v>
      </c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</row>
    <row r="438" spans="1:17">
      <c r="A438" s="2">
        <v>2386</v>
      </c>
      <c r="B438" s="7">
        <v>0</v>
      </c>
      <c r="C438" s="7">
        <v>0</v>
      </c>
      <c r="D438" s="7">
        <v>0</v>
      </c>
      <c r="E438" s="7">
        <v>0</v>
      </c>
      <c r="F438" s="7">
        <v>0</v>
      </c>
      <c r="G438" s="7">
        <v>0</v>
      </c>
      <c r="H438" s="7">
        <v>0</v>
      </c>
      <c r="I438" s="7">
        <v>0</v>
      </c>
      <c r="J438" s="7">
        <v>0</v>
      </c>
      <c r="K438" s="7">
        <v>0</v>
      </c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</row>
    <row r="439" spans="1:17">
      <c r="A439" s="2">
        <v>2387</v>
      </c>
      <c r="B439" s="7">
        <v>0</v>
      </c>
      <c r="C439" s="7">
        <v>0</v>
      </c>
      <c r="D439" s="7">
        <v>0</v>
      </c>
      <c r="E439" s="7">
        <v>0</v>
      </c>
      <c r="F439" s="7">
        <v>0</v>
      </c>
      <c r="G439" s="7">
        <v>0</v>
      </c>
      <c r="H439" s="7">
        <v>0</v>
      </c>
      <c r="I439" s="7">
        <v>0</v>
      </c>
      <c r="J439" s="7">
        <v>0</v>
      </c>
      <c r="K439" s="7">
        <v>0</v>
      </c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</row>
    <row r="440" spans="1:17">
      <c r="A440" s="2">
        <v>2388</v>
      </c>
      <c r="B440" s="7">
        <v>0</v>
      </c>
      <c r="C440" s="7">
        <v>0</v>
      </c>
      <c r="D440" s="7">
        <v>0</v>
      </c>
      <c r="E440" s="7">
        <v>0</v>
      </c>
      <c r="F440" s="7">
        <v>0</v>
      </c>
      <c r="G440" s="7">
        <v>0</v>
      </c>
      <c r="H440" s="7">
        <v>0</v>
      </c>
      <c r="I440" s="7">
        <v>0</v>
      </c>
      <c r="J440" s="7">
        <v>0</v>
      </c>
      <c r="K440" s="7">
        <v>0</v>
      </c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</row>
    <row r="441" spans="1:17">
      <c r="A441" s="2">
        <v>2389</v>
      </c>
      <c r="B441" s="7">
        <v>0</v>
      </c>
      <c r="C441" s="7">
        <v>0</v>
      </c>
      <c r="D441" s="7">
        <v>0</v>
      </c>
      <c r="E441" s="7">
        <v>0</v>
      </c>
      <c r="F441" s="7">
        <v>0</v>
      </c>
      <c r="G441" s="7">
        <v>0</v>
      </c>
      <c r="H441" s="7">
        <v>0</v>
      </c>
      <c r="I441" s="7">
        <v>0</v>
      </c>
      <c r="J441" s="7">
        <v>0</v>
      </c>
      <c r="K441" s="7">
        <v>0</v>
      </c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</row>
    <row r="442" spans="1:17">
      <c r="A442" s="2">
        <v>2390</v>
      </c>
      <c r="B442" s="7">
        <v>0</v>
      </c>
      <c r="C442" s="7">
        <v>0</v>
      </c>
      <c r="D442" s="7">
        <v>0</v>
      </c>
      <c r="E442" s="7">
        <v>0</v>
      </c>
      <c r="F442" s="7">
        <v>0</v>
      </c>
      <c r="G442" s="7">
        <v>0</v>
      </c>
      <c r="H442" s="7">
        <v>0</v>
      </c>
      <c r="I442" s="7">
        <v>0</v>
      </c>
      <c r="J442" s="7">
        <v>0</v>
      </c>
      <c r="K442" s="7">
        <v>0</v>
      </c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</row>
    <row r="443" spans="1:17">
      <c r="A443" s="2">
        <v>2391</v>
      </c>
      <c r="B443" s="7">
        <v>0</v>
      </c>
      <c r="C443" s="7">
        <v>0</v>
      </c>
      <c r="D443" s="7">
        <v>0</v>
      </c>
      <c r="E443" s="7">
        <v>0</v>
      </c>
      <c r="F443" s="7">
        <v>0</v>
      </c>
      <c r="G443" s="7">
        <v>0</v>
      </c>
      <c r="H443" s="7">
        <v>0</v>
      </c>
      <c r="I443" s="7">
        <v>0</v>
      </c>
      <c r="J443" s="7">
        <v>0</v>
      </c>
      <c r="K443" s="7">
        <v>0</v>
      </c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</row>
    <row r="444" spans="1:17">
      <c r="A444" s="2">
        <v>2392</v>
      </c>
      <c r="B444" s="7">
        <v>0</v>
      </c>
      <c r="C444" s="7">
        <v>0</v>
      </c>
      <c r="D444" s="7">
        <v>0</v>
      </c>
      <c r="E444" s="7">
        <v>0</v>
      </c>
      <c r="F444" s="7">
        <v>0</v>
      </c>
      <c r="G444" s="7">
        <v>0</v>
      </c>
      <c r="H444" s="7">
        <v>0</v>
      </c>
      <c r="I444" s="7">
        <v>0</v>
      </c>
      <c r="J444" s="7">
        <v>0</v>
      </c>
      <c r="K444" s="7">
        <v>0</v>
      </c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</row>
    <row r="445" spans="1:17">
      <c r="A445" s="2">
        <v>2393</v>
      </c>
      <c r="B445" s="7">
        <v>0</v>
      </c>
      <c r="C445" s="7">
        <v>0</v>
      </c>
      <c r="D445" s="7">
        <v>0</v>
      </c>
      <c r="E445" s="7">
        <v>0</v>
      </c>
      <c r="F445" s="7">
        <v>0</v>
      </c>
      <c r="G445" s="7">
        <v>0</v>
      </c>
      <c r="H445" s="7">
        <v>0</v>
      </c>
      <c r="I445" s="7">
        <v>0</v>
      </c>
      <c r="J445" s="7">
        <v>0</v>
      </c>
      <c r="K445" s="7">
        <v>0</v>
      </c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</row>
    <row r="446" spans="1:17">
      <c r="A446" s="2">
        <v>2394</v>
      </c>
      <c r="B446" s="7">
        <v>0</v>
      </c>
      <c r="C446" s="7">
        <v>0</v>
      </c>
      <c r="D446" s="7">
        <v>0</v>
      </c>
      <c r="E446" s="7">
        <v>0</v>
      </c>
      <c r="F446" s="7">
        <v>0</v>
      </c>
      <c r="G446" s="7">
        <v>0</v>
      </c>
      <c r="H446" s="7">
        <v>0</v>
      </c>
      <c r="I446" s="7">
        <v>0</v>
      </c>
      <c r="J446" s="7">
        <v>0</v>
      </c>
      <c r="K446" s="7">
        <v>0</v>
      </c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</row>
    <row r="447" spans="1:17">
      <c r="A447" s="2">
        <v>2395</v>
      </c>
      <c r="B447" s="7">
        <v>0</v>
      </c>
      <c r="C447" s="7">
        <v>0</v>
      </c>
      <c r="D447" s="7">
        <v>0</v>
      </c>
      <c r="E447" s="7">
        <v>0</v>
      </c>
      <c r="F447" s="7">
        <v>0</v>
      </c>
      <c r="G447" s="7">
        <v>0</v>
      </c>
      <c r="H447" s="7">
        <v>0</v>
      </c>
      <c r="I447" s="7">
        <v>0</v>
      </c>
      <c r="J447" s="7">
        <v>0</v>
      </c>
      <c r="K447" s="7">
        <v>0</v>
      </c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</row>
    <row r="448" spans="1:17">
      <c r="A448" s="2">
        <v>2396</v>
      </c>
      <c r="B448" s="7">
        <v>0</v>
      </c>
      <c r="C448" s="7">
        <v>0</v>
      </c>
      <c r="D448" s="7">
        <v>0</v>
      </c>
      <c r="E448" s="7">
        <v>0</v>
      </c>
      <c r="F448" s="7">
        <v>0</v>
      </c>
      <c r="G448" s="7">
        <v>0</v>
      </c>
      <c r="H448" s="7">
        <v>0</v>
      </c>
      <c r="I448" s="7">
        <v>0</v>
      </c>
      <c r="J448" s="7">
        <v>0</v>
      </c>
      <c r="K448" s="7">
        <v>0</v>
      </c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</row>
    <row r="449" spans="1:17">
      <c r="A449" s="2">
        <v>2397</v>
      </c>
      <c r="B449" s="7">
        <v>0</v>
      </c>
      <c r="C449" s="7">
        <v>0</v>
      </c>
      <c r="D449" s="7">
        <v>0</v>
      </c>
      <c r="E449" s="7">
        <v>0</v>
      </c>
      <c r="F449" s="7">
        <v>0</v>
      </c>
      <c r="G449" s="7">
        <v>0</v>
      </c>
      <c r="H449" s="7">
        <v>0</v>
      </c>
      <c r="I449" s="7">
        <v>0</v>
      </c>
      <c r="J449" s="7">
        <v>0</v>
      </c>
      <c r="K449" s="7">
        <v>0</v>
      </c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</row>
    <row r="450" spans="1:17">
      <c r="A450" s="2">
        <v>2398</v>
      </c>
      <c r="B450" s="7">
        <v>0</v>
      </c>
      <c r="C450" s="7">
        <v>0</v>
      </c>
      <c r="D450" s="7">
        <v>0</v>
      </c>
      <c r="E450" s="7">
        <v>0</v>
      </c>
      <c r="F450" s="7">
        <v>0</v>
      </c>
      <c r="G450" s="7">
        <v>0</v>
      </c>
      <c r="H450" s="7">
        <v>0</v>
      </c>
      <c r="I450" s="7">
        <v>0</v>
      </c>
      <c r="J450" s="7">
        <v>0</v>
      </c>
      <c r="K450" s="7">
        <v>0</v>
      </c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</row>
    <row r="451" spans="1:17">
      <c r="A451" s="2">
        <v>2399</v>
      </c>
      <c r="B451" s="7">
        <v>0</v>
      </c>
      <c r="C451" s="7">
        <v>0</v>
      </c>
      <c r="D451" s="7">
        <v>0</v>
      </c>
      <c r="E451" s="7">
        <v>0</v>
      </c>
      <c r="F451" s="7">
        <v>0</v>
      </c>
      <c r="G451" s="7">
        <v>0</v>
      </c>
      <c r="H451" s="7">
        <v>0</v>
      </c>
      <c r="I451" s="7">
        <v>0</v>
      </c>
      <c r="J451" s="7">
        <v>0</v>
      </c>
      <c r="K451" s="7">
        <v>0</v>
      </c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</row>
    <row r="452" spans="1:17">
      <c r="A452" s="2">
        <v>2400</v>
      </c>
      <c r="B452" s="7">
        <v>0</v>
      </c>
      <c r="C452" s="7">
        <v>0</v>
      </c>
      <c r="D452" s="7">
        <v>0</v>
      </c>
      <c r="E452" s="7">
        <v>0</v>
      </c>
      <c r="F452" s="7">
        <v>0</v>
      </c>
      <c r="G452" s="7">
        <v>0</v>
      </c>
      <c r="H452" s="7">
        <v>0</v>
      </c>
      <c r="I452" s="7">
        <v>0</v>
      </c>
      <c r="J452" s="7">
        <v>0</v>
      </c>
      <c r="K452" s="7">
        <v>0</v>
      </c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</row>
    <row r="453" spans="1:17">
      <c r="A453" s="2">
        <v>2401</v>
      </c>
      <c r="B453" s="7">
        <v>0</v>
      </c>
      <c r="C453" s="7">
        <v>0</v>
      </c>
      <c r="D453" s="7">
        <v>0</v>
      </c>
      <c r="E453" s="7">
        <v>0</v>
      </c>
      <c r="F453" s="7">
        <v>0</v>
      </c>
      <c r="G453" s="7">
        <v>0</v>
      </c>
      <c r="H453" s="7">
        <v>0</v>
      </c>
      <c r="I453" s="7">
        <v>0</v>
      </c>
      <c r="J453" s="7">
        <v>0</v>
      </c>
      <c r="K453" s="7">
        <v>0</v>
      </c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</row>
    <row r="454" spans="1:17">
      <c r="A454" s="2">
        <v>2402</v>
      </c>
      <c r="B454" s="7">
        <v>0</v>
      </c>
      <c r="C454" s="7">
        <v>0</v>
      </c>
      <c r="D454" s="7">
        <v>0</v>
      </c>
      <c r="E454" s="7">
        <v>0</v>
      </c>
      <c r="F454" s="7">
        <v>0</v>
      </c>
      <c r="G454" s="7">
        <v>0</v>
      </c>
      <c r="H454" s="7">
        <v>0</v>
      </c>
      <c r="I454" s="7">
        <v>0</v>
      </c>
      <c r="J454" s="7">
        <v>0</v>
      </c>
      <c r="K454" s="7">
        <v>0</v>
      </c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</row>
    <row r="455" spans="1:17">
      <c r="A455" s="2">
        <v>2403</v>
      </c>
      <c r="B455" s="7">
        <v>0</v>
      </c>
      <c r="C455" s="7">
        <v>0</v>
      </c>
      <c r="D455" s="7">
        <v>0</v>
      </c>
      <c r="E455" s="7">
        <v>0</v>
      </c>
      <c r="F455" s="7">
        <v>0</v>
      </c>
      <c r="G455" s="7">
        <v>0</v>
      </c>
      <c r="H455" s="7">
        <v>0</v>
      </c>
      <c r="I455" s="7">
        <v>0</v>
      </c>
      <c r="J455" s="7">
        <v>0</v>
      </c>
      <c r="K455" s="7">
        <v>0</v>
      </c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</row>
    <row r="456" spans="1:17">
      <c r="A456" s="2">
        <v>2404</v>
      </c>
      <c r="B456" s="7">
        <v>0</v>
      </c>
      <c r="C456" s="7">
        <v>0</v>
      </c>
      <c r="D456" s="7">
        <v>0</v>
      </c>
      <c r="E456" s="7">
        <v>0</v>
      </c>
      <c r="F456" s="7">
        <v>0</v>
      </c>
      <c r="G456" s="7">
        <v>0</v>
      </c>
      <c r="H456" s="7">
        <v>0</v>
      </c>
      <c r="I456" s="7">
        <v>0</v>
      </c>
      <c r="J456" s="7">
        <v>0</v>
      </c>
      <c r="K456" s="7">
        <v>0</v>
      </c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</row>
    <row r="457" spans="1:17">
      <c r="A457" s="2">
        <v>2405</v>
      </c>
      <c r="B457" s="7">
        <v>0</v>
      </c>
      <c r="C457" s="7">
        <v>0</v>
      </c>
      <c r="D457" s="7">
        <v>0</v>
      </c>
      <c r="E457" s="7">
        <v>0</v>
      </c>
      <c r="F457" s="7">
        <v>0</v>
      </c>
      <c r="G457" s="7">
        <v>0</v>
      </c>
      <c r="H457" s="7">
        <v>0</v>
      </c>
      <c r="I457" s="7">
        <v>0</v>
      </c>
      <c r="J457" s="7">
        <v>0</v>
      </c>
      <c r="K457" s="7">
        <v>0</v>
      </c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</row>
    <row r="458" spans="1:17">
      <c r="A458" s="2">
        <v>2406</v>
      </c>
      <c r="B458" s="7">
        <v>0</v>
      </c>
      <c r="C458" s="7">
        <v>0</v>
      </c>
      <c r="D458" s="7">
        <v>0</v>
      </c>
      <c r="E458" s="7">
        <v>0</v>
      </c>
      <c r="F458" s="7">
        <v>0</v>
      </c>
      <c r="G458" s="7">
        <v>0</v>
      </c>
      <c r="H458" s="7">
        <v>0</v>
      </c>
      <c r="I458" s="7">
        <v>0</v>
      </c>
      <c r="J458" s="7">
        <v>0</v>
      </c>
      <c r="K458" s="7">
        <v>0</v>
      </c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</row>
    <row r="459" spans="1:17">
      <c r="A459" s="2">
        <v>2407</v>
      </c>
      <c r="B459" s="7">
        <v>0</v>
      </c>
      <c r="C459" s="7">
        <v>0</v>
      </c>
      <c r="D459" s="7">
        <v>0</v>
      </c>
      <c r="E459" s="7">
        <v>0</v>
      </c>
      <c r="F459" s="7">
        <v>0</v>
      </c>
      <c r="G459" s="7">
        <v>0</v>
      </c>
      <c r="H459" s="7">
        <v>0</v>
      </c>
      <c r="I459" s="7">
        <v>0</v>
      </c>
      <c r="J459" s="7">
        <v>0</v>
      </c>
      <c r="K459" s="7">
        <v>0</v>
      </c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</row>
    <row r="460" spans="1:17">
      <c r="A460" s="2">
        <v>2408</v>
      </c>
      <c r="B460" s="7">
        <v>0</v>
      </c>
      <c r="C460" s="7">
        <v>0</v>
      </c>
      <c r="D460" s="7">
        <v>0</v>
      </c>
      <c r="E460" s="7">
        <v>0</v>
      </c>
      <c r="F460" s="7">
        <v>0</v>
      </c>
      <c r="G460" s="7">
        <v>0</v>
      </c>
      <c r="H460" s="7">
        <v>0</v>
      </c>
      <c r="I460" s="7">
        <v>0</v>
      </c>
      <c r="J460" s="7">
        <v>0</v>
      </c>
      <c r="K460" s="7">
        <v>0</v>
      </c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</row>
    <row r="461" spans="1:17">
      <c r="A461" s="2">
        <v>2409</v>
      </c>
      <c r="B461" s="7">
        <v>0</v>
      </c>
      <c r="C461" s="7">
        <v>0</v>
      </c>
      <c r="D461" s="7">
        <v>0</v>
      </c>
      <c r="E461" s="7">
        <v>0</v>
      </c>
      <c r="F461" s="7">
        <v>0</v>
      </c>
      <c r="G461" s="7">
        <v>0</v>
      </c>
      <c r="H461" s="7">
        <v>0</v>
      </c>
      <c r="I461" s="7">
        <v>0</v>
      </c>
      <c r="J461" s="7">
        <v>0</v>
      </c>
      <c r="K461" s="7">
        <v>0</v>
      </c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</row>
    <row r="462" spans="1:17">
      <c r="A462" s="2">
        <v>2410</v>
      </c>
      <c r="B462" s="7">
        <v>0</v>
      </c>
      <c r="C462" s="7">
        <v>0</v>
      </c>
      <c r="D462" s="7">
        <v>0</v>
      </c>
      <c r="E462" s="7">
        <v>0</v>
      </c>
      <c r="F462" s="7">
        <v>0</v>
      </c>
      <c r="G462" s="7">
        <v>0</v>
      </c>
      <c r="H462" s="7">
        <v>0</v>
      </c>
      <c r="I462" s="7">
        <v>0</v>
      </c>
      <c r="J462" s="7">
        <v>0</v>
      </c>
      <c r="K462" s="7">
        <v>0</v>
      </c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</row>
    <row r="463" spans="1:17">
      <c r="A463" s="2">
        <v>2411</v>
      </c>
      <c r="B463" s="7">
        <v>0</v>
      </c>
      <c r="C463" s="7">
        <v>0</v>
      </c>
      <c r="D463" s="7">
        <v>0</v>
      </c>
      <c r="E463" s="7">
        <v>0</v>
      </c>
      <c r="F463" s="7">
        <v>0</v>
      </c>
      <c r="G463" s="7">
        <v>0</v>
      </c>
      <c r="H463" s="7">
        <v>0</v>
      </c>
      <c r="I463" s="7">
        <v>0</v>
      </c>
      <c r="J463" s="7">
        <v>0</v>
      </c>
      <c r="K463" s="7">
        <v>0</v>
      </c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</row>
    <row r="464" spans="1:17">
      <c r="A464" s="2">
        <v>2412</v>
      </c>
      <c r="B464" s="7">
        <v>0</v>
      </c>
      <c r="C464" s="7">
        <v>0</v>
      </c>
      <c r="D464" s="7">
        <v>0</v>
      </c>
      <c r="E464" s="7">
        <v>0</v>
      </c>
      <c r="F464" s="7">
        <v>0</v>
      </c>
      <c r="G464" s="7">
        <v>0</v>
      </c>
      <c r="H464" s="7">
        <v>0</v>
      </c>
      <c r="I464" s="7">
        <v>0</v>
      </c>
      <c r="J464" s="7">
        <v>0</v>
      </c>
      <c r="K464" s="7">
        <v>0</v>
      </c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</row>
    <row r="465" spans="1:17">
      <c r="A465" s="2">
        <v>2413</v>
      </c>
      <c r="B465" s="7">
        <v>0</v>
      </c>
      <c r="C465" s="7">
        <v>0</v>
      </c>
      <c r="D465" s="7">
        <v>0</v>
      </c>
      <c r="E465" s="7">
        <v>0</v>
      </c>
      <c r="F465" s="7">
        <v>0</v>
      </c>
      <c r="G465" s="7">
        <v>0</v>
      </c>
      <c r="H465" s="7">
        <v>0</v>
      </c>
      <c r="I465" s="7">
        <v>0</v>
      </c>
      <c r="J465" s="7">
        <v>0</v>
      </c>
      <c r="K465" s="7">
        <v>0</v>
      </c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</row>
    <row r="466" spans="1:17">
      <c r="A466" s="2">
        <v>2414</v>
      </c>
      <c r="B466" s="7">
        <v>0</v>
      </c>
      <c r="C466" s="7">
        <v>0</v>
      </c>
      <c r="D466" s="7">
        <v>0</v>
      </c>
      <c r="E466" s="7">
        <v>0</v>
      </c>
      <c r="F466" s="7">
        <v>0</v>
      </c>
      <c r="G466" s="7">
        <v>0</v>
      </c>
      <c r="H466" s="7">
        <v>0</v>
      </c>
      <c r="I466" s="7">
        <v>0</v>
      </c>
      <c r="J466" s="7">
        <v>0</v>
      </c>
      <c r="K466" s="7">
        <v>0</v>
      </c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</row>
    <row r="467" spans="1:17">
      <c r="A467" s="2">
        <v>2415</v>
      </c>
      <c r="B467" s="7">
        <v>0</v>
      </c>
      <c r="C467" s="7">
        <v>0</v>
      </c>
      <c r="D467" s="7">
        <v>0</v>
      </c>
      <c r="E467" s="7">
        <v>0</v>
      </c>
      <c r="F467" s="7">
        <v>0</v>
      </c>
      <c r="G467" s="7">
        <v>0</v>
      </c>
      <c r="H467" s="7">
        <v>0</v>
      </c>
      <c r="I467" s="7">
        <v>0</v>
      </c>
      <c r="J467" s="7">
        <v>0</v>
      </c>
      <c r="K467" s="7">
        <v>0</v>
      </c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</row>
    <row r="468" spans="1:17">
      <c r="A468" s="2">
        <v>2416</v>
      </c>
      <c r="B468" s="7">
        <v>0</v>
      </c>
      <c r="C468" s="7">
        <v>0</v>
      </c>
      <c r="D468" s="7">
        <v>0</v>
      </c>
      <c r="E468" s="7">
        <v>0</v>
      </c>
      <c r="F468" s="7">
        <v>0</v>
      </c>
      <c r="G468" s="7">
        <v>0</v>
      </c>
      <c r="H468" s="7">
        <v>0</v>
      </c>
      <c r="I468" s="7">
        <v>0</v>
      </c>
      <c r="J468" s="7">
        <v>0</v>
      </c>
      <c r="K468" s="7">
        <v>0</v>
      </c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</row>
    <row r="469" spans="1:17">
      <c r="A469" s="2">
        <v>2417</v>
      </c>
      <c r="B469" s="7">
        <v>0</v>
      </c>
      <c r="C469" s="7">
        <v>0</v>
      </c>
      <c r="D469" s="7">
        <v>0</v>
      </c>
      <c r="E469" s="7">
        <v>0</v>
      </c>
      <c r="F469" s="7">
        <v>0</v>
      </c>
      <c r="G469" s="7">
        <v>0</v>
      </c>
      <c r="H469" s="7">
        <v>0</v>
      </c>
      <c r="I469" s="7">
        <v>0</v>
      </c>
      <c r="J469" s="7">
        <v>0</v>
      </c>
      <c r="K469" s="7">
        <v>0</v>
      </c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</row>
    <row r="470" spans="1:17">
      <c r="A470" s="2">
        <v>2418</v>
      </c>
      <c r="B470" s="7">
        <v>0</v>
      </c>
      <c r="C470" s="7">
        <v>0</v>
      </c>
      <c r="D470" s="7">
        <v>0</v>
      </c>
      <c r="E470" s="7">
        <v>0</v>
      </c>
      <c r="F470" s="7">
        <v>0</v>
      </c>
      <c r="G470" s="7">
        <v>0</v>
      </c>
      <c r="H470" s="7">
        <v>0</v>
      </c>
      <c r="I470" s="7">
        <v>0</v>
      </c>
      <c r="J470" s="7">
        <v>0</v>
      </c>
      <c r="K470" s="7">
        <v>0</v>
      </c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</row>
    <row r="471" spans="1:17">
      <c r="A471" s="2">
        <v>2419</v>
      </c>
      <c r="B471" s="7">
        <v>0</v>
      </c>
      <c r="C471" s="7">
        <v>0</v>
      </c>
      <c r="D471" s="7">
        <v>0</v>
      </c>
      <c r="E471" s="7">
        <v>0</v>
      </c>
      <c r="F471" s="7">
        <v>0</v>
      </c>
      <c r="G471" s="7">
        <v>0</v>
      </c>
      <c r="H471" s="7">
        <v>0</v>
      </c>
      <c r="I471" s="7">
        <v>0</v>
      </c>
      <c r="J471" s="7">
        <v>0</v>
      </c>
      <c r="K471" s="7">
        <v>0</v>
      </c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</row>
    <row r="472" spans="1:17">
      <c r="A472" s="2">
        <v>2420</v>
      </c>
      <c r="B472" s="7">
        <v>0</v>
      </c>
      <c r="C472" s="7">
        <v>0</v>
      </c>
      <c r="D472" s="7">
        <v>0</v>
      </c>
      <c r="E472" s="7">
        <v>0</v>
      </c>
      <c r="F472" s="7">
        <v>0</v>
      </c>
      <c r="G472" s="7">
        <v>0</v>
      </c>
      <c r="H472" s="7">
        <v>0</v>
      </c>
      <c r="I472" s="7">
        <v>0</v>
      </c>
      <c r="J472" s="7">
        <v>0</v>
      </c>
      <c r="K472" s="7">
        <v>0</v>
      </c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</row>
    <row r="473" spans="1:17">
      <c r="A473" s="2">
        <v>2421</v>
      </c>
      <c r="B473" s="7">
        <v>0</v>
      </c>
      <c r="C473" s="7">
        <v>0</v>
      </c>
      <c r="D473" s="7">
        <v>0</v>
      </c>
      <c r="E473" s="7">
        <v>0</v>
      </c>
      <c r="F473" s="7">
        <v>0</v>
      </c>
      <c r="G473" s="7">
        <v>0</v>
      </c>
      <c r="H473" s="7">
        <v>0</v>
      </c>
      <c r="I473" s="7">
        <v>0</v>
      </c>
      <c r="J473" s="7">
        <v>0</v>
      </c>
      <c r="K473" s="7">
        <v>0</v>
      </c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</row>
    <row r="474" spans="1:17">
      <c r="A474" s="2">
        <v>2422</v>
      </c>
      <c r="B474" s="7">
        <v>0</v>
      </c>
      <c r="C474" s="7">
        <v>0</v>
      </c>
      <c r="D474" s="7">
        <v>0</v>
      </c>
      <c r="E474" s="7">
        <v>0</v>
      </c>
      <c r="F474" s="7">
        <v>0</v>
      </c>
      <c r="G474" s="7">
        <v>0</v>
      </c>
      <c r="H474" s="7">
        <v>0</v>
      </c>
      <c r="I474" s="7">
        <v>0</v>
      </c>
      <c r="J474" s="7">
        <v>0</v>
      </c>
      <c r="K474" s="7">
        <v>0</v>
      </c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</row>
    <row r="475" spans="1:17">
      <c r="A475" s="2">
        <v>2423</v>
      </c>
      <c r="B475" s="7">
        <v>0</v>
      </c>
      <c r="C475" s="7">
        <v>0</v>
      </c>
      <c r="D475" s="7">
        <v>0</v>
      </c>
      <c r="E475" s="7">
        <v>0</v>
      </c>
      <c r="F475" s="7">
        <v>0</v>
      </c>
      <c r="G475" s="7">
        <v>0</v>
      </c>
      <c r="H475" s="7">
        <v>0</v>
      </c>
      <c r="I475" s="7">
        <v>0</v>
      </c>
      <c r="J475" s="7">
        <v>0</v>
      </c>
      <c r="K475" s="7">
        <v>0</v>
      </c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</row>
    <row r="476" spans="1:17">
      <c r="A476" s="2">
        <v>2424</v>
      </c>
      <c r="B476" s="7">
        <v>0</v>
      </c>
      <c r="C476" s="7">
        <v>0</v>
      </c>
      <c r="D476" s="7">
        <v>0</v>
      </c>
      <c r="E476" s="7">
        <v>0</v>
      </c>
      <c r="F476" s="7">
        <v>0</v>
      </c>
      <c r="G476" s="7">
        <v>0</v>
      </c>
      <c r="H476" s="7">
        <v>0</v>
      </c>
      <c r="I476" s="7">
        <v>0</v>
      </c>
      <c r="J476" s="7">
        <v>0</v>
      </c>
      <c r="K476" s="7">
        <v>0</v>
      </c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</row>
    <row r="477" spans="1:17">
      <c r="A477" s="2">
        <v>2425</v>
      </c>
      <c r="B477" s="7">
        <v>0</v>
      </c>
      <c r="C477" s="7">
        <v>0</v>
      </c>
      <c r="D477" s="7">
        <v>0</v>
      </c>
      <c r="E477" s="7">
        <v>0</v>
      </c>
      <c r="F477" s="7">
        <v>0</v>
      </c>
      <c r="G477" s="7">
        <v>0</v>
      </c>
      <c r="H477" s="7">
        <v>0</v>
      </c>
      <c r="I477" s="7">
        <v>0</v>
      </c>
      <c r="J477" s="7">
        <v>0</v>
      </c>
      <c r="K477" s="7">
        <v>0</v>
      </c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</row>
    <row r="478" spans="1:17">
      <c r="A478" s="2">
        <v>2426</v>
      </c>
      <c r="B478" s="7">
        <v>0</v>
      </c>
      <c r="C478" s="7">
        <v>0</v>
      </c>
      <c r="D478" s="7">
        <v>0</v>
      </c>
      <c r="E478" s="7">
        <v>0</v>
      </c>
      <c r="F478" s="7">
        <v>0</v>
      </c>
      <c r="G478" s="7">
        <v>0</v>
      </c>
      <c r="H478" s="7">
        <v>0</v>
      </c>
      <c r="I478" s="7">
        <v>0</v>
      </c>
      <c r="J478" s="7">
        <v>0</v>
      </c>
      <c r="K478" s="7">
        <v>0</v>
      </c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</row>
    <row r="479" spans="1:17">
      <c r="A479" s="2">
        <v>2427</v>
      </c>
      <c r="B479" s="7">
        <v>0</v>
      </c>
      <c r="C479" s="7">
        <v>0</v>
      </c>
      <c r="D479" s="7">
        <v>0</v>
      </c>
      <c r="E479" s="7">
        <v>0</v>
      </c>
      <c r="F479" s="7">
        <v>0</v>
      </c>
      <c r="G479" s="7">
        <v>0</v>
      </c>
      <c r="H479" s="7">
        <v>0</v>
      </c>
      <c r="I479" s="7">
        <v>0</v>
      </c>
      <c r="J479" s="7">
        <v>0</v>
      </c>
      <c r="K479" s="7">
        <v>0</v>
      </c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</row>
    <row r="480" spans="1:17">
      <c r="A480" s="2">
        <v>2428</v>
      </c>
      <c r="B480" s="7">
        <v>0</v>
      </c>
      <c r="C480" s="7">
        <v>0</v>
      </c>
      <c r="D480" s="7">
        <v>0</v>
      </c>
      <c r="E480" s="7">
        <v>0</v>
      </c>
      <c r="F480" s="7">
        <v>0</v>
      </c>
      <c r="G480" s="7">
        <v>0</v>
      </c>
      <c r="H480" s="7">
        <v>0</v>
      </c>
      <c r="I480" s="7">
        <v>0</v>
      </c>
      <c r="J480" s="7">
        <v>0</v>
      </c>
      <c r="K480" s="7">
        <v>0</v>
      </c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</row>
    <row r="481" spans="1:17">
      <c r="A481" s="2">
        <v>2429</v>
      </c>
      <c r="B481" s="7">
        <v>0</v>
      </c>
      <c r="C481" s="7">
        <v>0</v>
      </c>
      <c r="D481" s="7">
        <v>0</v>
      </c>
      <c r="E481" s="7">
        <v>0</v>
      </c>
      <c r="F481" s="7">
        <v>0</v>
      </c>
      <c r="G481" s="7">
        <v>0</v>
      </c>
      <c r="H481" s="7">
        <v>0</v>
      </c>
      <c r="I481" s="7">
        <v>0</v>
      </c>
      <c r="J481" s="7">
        <v>0</v>
      </c>
      <c r="K481" s="7">
        <v>0</v>
      </c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</row>
    <row r="482" spans="1:17">
      <c r="A482" s="2">
        <v>2430</v>
      </c>
      <c r="B482" s="7">
        <v>0</v>
      </c>
      <c r="C482" s="7">
        <v>0</v>
      </c>
      <c r="D482" s="7">
        <v>0</v>
      </c>
      <c r="E482" s="7">
        <v>0</v>
      </c>
      <c r="F482" s="7">
        <v>0</v>
      </c>
      <c r="G482" s="7">
        <v>0</v>
      </c>
      <c r="H482" s="7">
        <v>0</v>
      </c>
      <c r="I482" s="7">
        <v>0</v>
      </c>
      <c r="J482" s="7">
        <v>0</v>
      </c>
      <c r="K482" s="7">
        <v>0</v>
      </c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</row>
    <row r="483" spans="1:17">
      <c r="A483" s="2">
        <v>2431</v>
      </c>
      <c r="B483" s="7">
        <v>0</v>
      </c>
      <c r="C483" s="7">
        <v>0</v>
      </c>
      <c r="D483" s="7">
        <v>0</v>
      </c>
      <c r="E483" s="7">
        <v>0</v>
      </c>
      <c r="F483" s="7">
        <v>0</v>
      </c>
      <c r="G483" s="7">
        <v>0</v>
      </c>
      <c r="H483" s="7">
        <v>0</v>
      </c>
      <c r="I483" s="7">
        <v>0</v>
      </c>
      <c r="J483" s="7">
        <v>0</v>
      </c>
      <c r="K483" s="7">
        <v>0</v>
      </c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</row>
    <row r="484" spans="1:17">
      <c r="A484" s="2">
        <v>2432</v>
      </c>
      <c r="B484" s="7">
        <v>0</v>
      </c>
      <c r="C484" s="7">
        <v>0</v>
      </c>
      <c r="D484" s="7">
        <v>0</v>
      </c>
      <c r="E484" s="7">
        <v>0</v>
      </c>
      <c r="F484" s="7">
        <v>0</v>
      </c>
      <c r="G484" s="7">
        <v>0</v>
      </c>
      <c r="H484" s="7">
        <v>0</v>
      </c>
      <c r="I484" s="7">
        <v>0</v>
      </c>
      <c r="J484" s="7">
        <v>0</v>
      </c>
      <c r="K484" s="7">
        <v>0</v>
      </c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</row>
    <row r="485" spans="1:17">
      <c r="A485" s="2">
        <v>2433</v>
      </c>
      <c r="B485" s="7">
        <v>0</v>
      </c>
      <c r="C485" s="7">
        <v>0</v>
      </c>
      <c r="D485" s="7">
        <v>0</v>
      </c>
      <c r="E485" s="7">
        <v>0</v>
      </c>
      <c r="F485" s="7">
        <v>0</v>
      </c>
      <c r="G485" s="7">
        <v>0</v>
      </c>
      <c r="H485" s="7">
        <v>0</v>
      </c>
      <c r="I485" s="7">
        <v>0</v>
      </c>
      <c r="J485" s="7">
        <v>0</v>
      </c>
      <c r="K485" s="7">
        <v>0</v>
      </c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</row>
    <row r="486" spans="1:17">
      <c r="A486" s="2">
        <v>2434</v>
      </c>
      <c r="B486" s="7">
        <v>0</v>
      </c>
      <c r="C486" s="7">
        <v>0</v>
      </c>
      <c r="D486" s="7">
        <v>0</v>
      </c>
      <c r="E486" s="7">
        <v>0</v>
      </c>
      <c r="F486" s="7">
        <v>0</v>
      </c>
      <c r="G486" s="7">
        <v>0</v>
      </c>
      <c r="H486" s="7">
        <v>0</v>
      </c>
      <c r="I486" s="7">
        <v>0</v>
      </c>
      <c r="J486" s="7">
        <v>0</v>
      </c>
      <c r="K486" s="7">
        <v>0</v>
      </c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</row>
    <row r="487" spans="1:17">
      <c r="A487" s="2">
        <v>2435</v>
      </c>
      <c r="B487" s="7">
        <v>0</v>
      </c>
      <c r="C487" s="7">
        <v>0</v>
      </c>
      <c r="D487" s="7">
        <v>0</v>
      </c>
      <c r="E487" s="7">
        <v>0</v>
      </c>
      <c r="F487" s="7">
        <v>0</v>
      </c>
      <c r="G487" s="7">
        <v>0</v>
      </c>
      <c r="H487" s="7">
        <v>0</v>
      </c>
      <c r="I487" s="7">
        <v>0</v>
      </c>
      <c r="J487" s="7">
        <v>0</v>
      </c>
      <c r="K487" s="7">
        <v>0</v>
      </c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</row>
    <row r="488" spans="1:17">
      <c r="A488" s="2">
        <v>2436</v>
      </c>
      <c r="B488" s="7">
        <v>0</v>
      </c>
      <c r="C488" s="7">
        <v>0</v>
      </c>
      <c r="D488" s="7">
        <v>0</v>
      </c>
      <c r="E488" s="7">
        <v>0</v>
      </c>
      <c r="F488" s="7">
        <v>0</v>
      </c>
      <c r="G488" s="7">
        <v>0</v>
      </c>
      <c r="H488" s="7">
        <v>0</v>
      </c>
      <c r="I488" s="7">
        <v>0</v>
      </c>
      <c r="J488" s="7">
        <v>0</v>
      </c>
      <c r="K488" s="7">
        <v>0</v>
      </c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</row>
    <row r="489" spans="1:17">
      <c r="A489" s="2">
        <v>2437</v>
      </c>
      <c r="B489" s="7">
        <v>0</v>
      </c>
      <c r="C489" s="7">
        <v>0</v>
      </c>
      <c r="D489" s="7">
        <v>0</v>
      </c>
      <c r="E489" s="7">
        <v>0</v>
      </c>
      <c r="F489" s="7">
        <v>0</v>
      </c>
      <c r="G489" s="7">
        <v>0</v>
      </c>
      <c r="H489" s="7">
        <v>0</v>
      </c>
      <c r="I489" s="7">
        <v>0</v>
      </c>
      <c r="J489" s="7">
        <v>0</v>
      </c>
      <c r="K489" s="7">
        <v>0</v>
      </c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</row>
    <row r="490" spans="1:17">
      <c r="A490" s="2">
        <v>2438</v>
      </c>
      <c r="B490" s="7">
        <v>0</v>
      </c>
      <c r="C490" s="7">
        <v>0</v>
      </c>
      <c r="D490" s="7">
        <v>0</v>
      </c>
      <c r="E490" s="7">
        <v>0</v>
      </c>
      <c r="F490" s="7">
        <v>0</v>
      </c>
      <c r="G490" s="7">
        <v>0</v>
      </c>
      <c r="H490" s="7">
        <v>0</v>
      </c>
      <c r="I490" s="7">
        <v>0</v>
      </c>
      <c r="J490" s="7">
        <v>0</v>
      </c>
      <c r="K490" s="7">
        <v>0</v>
      </c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</row>
    <row r="491" spans="1:17">
      <c r="A491" s="2">
        <v>2439</v>
      </c>
      <c r="B491" s="7">
        <v>0</v>
      </c>
      <c r="C491" s="7">
        <v>0</v>
      </c>
      <c r="D491" s="7">
        <v>0</v>
      </c>
      <c r="E491" s="7">
        <v>0</v>
      </c>
      <c r="F491" s="7">
        <v>0</v>
      </c>
      <c r="G491" s="7">
        <v>0</v>
      </c>
      <c r="H491" s="7">
        <v>0</v>
      </c>
      <c r="I491" s="7">
        <v>0</v>
      </c>
      <c r="J491" s="7">
        <v>0</v>
      </c>
      <c r="K491" s="7">
        <v>0</v>
      </c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</row>
    <row r="492" spans="1:17">
      <c r="A492" s="2">
        <v>2440</v>
      </c>
      <c r="B492" s="7">
        <v>0</v>
      </c>
      <c r="C492" s="7">
        <v>0</v>
      </c>
      <c r="D492" s="7">
        <v>0</v>
      </c>
      <c r="E492" s="7">
        <v>0</v>
      </c>
      <c r="F492" s="7">
        <v>0</v>
      </c>
      <c r="G492" s="7">
        <v>0</v>
      </c>
      <c r="H492" s="7">
        <v>0</v>
      </c>
      <c r="I492" s="7">
        <v>0</v>
      </c>
      <c r="J492" s="7">
        <v>0</v>
      </c>
      <c r="K492" s="7">
        <v>0</v>
      </c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</row>
    <row r="493" spans="1:17">
      <c r="A493" s="2">
        <v>2441</v>
      </c>
      <c r="B493" s="7">
        <v>0</v>
      </c>
      <c r="C493" s="7">
        <v>0</v>
      </c>
      <c r="D493" s="7">
        <v>0</v>
      </c>
      <c r="E493" s="7">
        <v>0</v>
      </c>
      <c r="F493" s="7">
        <v>0</v>
      </c>
      <c r="G493" s="7">
        <v>0</v>
      </c>
      <c r="H493" s="7">
        <v>0</v>
      </c>
      <c r="I493" s="7">
        <v>0</v>
      </c>
      <c r="J493" s="7">
        <v>0</v>
      </c>
      <c r="K493" s="7">
        <v>0</v>
      </c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</row>
    <row r="494" spans="1:17">
      <c r="A494" s="2">
        <v>2442</v>
      </c>
      <c r="B494" s="7">
        <v>0</v>
      </c>
      <c r="C494" s="7">
        <v>0</v>
      </c>
      <c r="D494" s="7">
        <v>0</v>
      </c>
      <c r="E494" s="7">
        <v>0</v>
      </c>
      <c r="F494" s="7">
        <v>0</v>
      </c>
      <c r="G494" s="7">
        <v>0</v>
      </c>
      <c r="H494" s="7">
        <v>0</v>
      </c>
      <c r="I494" s="7">
        <v>0</v>
      </c>
      <c r="J494" s="7">
        <v>0</v>
      </c>
      <c r="K494" s="7">
        <v>0</v>
      </c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</row>
    <row r="495" spans="1:17">
      <c r="A495" s="2">
        <v>2443</v>
      </c>
      <c r="B495" s="7">
        <v>0</v>
      </c>
      <c r="C495" s="7">
        <v>0</v>
      </c>
      <c r="D495" s="7">
        <v>0</v>
      </c>
      <c r="E495" s="7">
        <v>0</v>
      </c>
      <c r="F495" s="7">
        <v>0</v>
      </c>
      <c r="G495" s="7">
        <v>0</v>
      </c>
      <c r="H495" s="7">
        <v>0</v>
      </c>
      <c r="I495" s="7">
        <v>0</v>
      </c>
      <c r="J495" s="7">
        <v>0</v>
      </c>
      <c r="K495" s="7">
        <v>0</v>
      </c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</row>
    <row r="496" spans="1:17">
      <c r="A496" s="2">
        <v>2444</v>
      </c>
      <c r="B496" s="7">
        <v>0</v>
      </c>
      <c r="C496" s="7">
        <v>0</v>
      </c>
      <c r="D496" s="7">
        <v>0</v>
      </c>
      <c r="E496" s="7">
        <v>0</v>
      </c>
      <c r="F496" s="7">
        <v>0</v>
      </c>
      <c r="G496" s="7">
        <v>0</v>
      </c>
      <c r="H496" s="7">
        <v>0</v>
      </c>
      <c r="I496" s="7">
        <v>0</v>
      </c>
      <c r="J496" s="7">
        <v>0</v>
      </c>
      <c r="K496" s="7">
        <v>0</v>
      </c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</row>
    <row r="497" spans="1:17">
      <c r="A497" s="2">
        <v>2445</v>
      </c>
      <c r="B497" s="7">
        <v>0</v>
      </c>
      <c r="C497" s="7">
        <v>0</v>
      </c>
      <c r="D497" s="7">
        <v>0</v>
      </c>
      <c r="E497" s="7">
        <v>0</v>
      </c>
      <c r="F497" s="7">
        <v>0</v>
      </c>
      <c r="G497" s="7">
        <v>0</v>
      </c>
      <c r="H497" s="7">
        <v>0</v>
      </c>
      <c r="I497" s="7">
        <v>0</v>
      </c>
      <c r="J497" s="7">
        <v>0</v>
      </c>
      <c r="K497" s="7">
        <v>0</v>
      </c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</row>
    <row r="498" spans="1:17">
      <c r="A498" s="2">
        <v>2446</v>
      </c>
      <c r="B498" s="7">
        <v>0</v>
      </c>
      <c r="C498" s="7">
        <v>0</v>
      </c>
      <c r="D498" s="7">
        <v>0</v>
      </c>
      <c r="E498" s="7">
        <v>0</v>
      </c>
      <c r="F498" s="7">
        <v>0</v>
      </c>
      <c r="G498" s="7">
        <v>0</v>
      </c>
      <c r="H498" s="7">
        <v>0</v>
      </c>
      <c r="I498" s="7">
        <v>0</v>
      </c>
      <c r="J498" s="7">
        <v>0</v>
      </c>
      <c r="K498" s="7">
        <v>0</v>
      </c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</row>
    <row r="499" spans="1:17">
      <c r="A499" s="2">
        <v>2447</v>
      </c>
      <c r="B499" s="7">
        <v>0</v>
      </c>
      <c r="C499" s="7">
        <v>0</v>
      </c>
      <c r="D499" s="7">
        <v>0</v>
      </c>
      <c r="E499" s="7">
        <v>0</v>
      </c>
      <c r="F499" s="7">
        <v>0</v>
      </c>
      <c r="G499" s="7">
        <v>0</v>
      </c>
      <c r="H499" s="7">
        <v>0</v>
      </c>
      <c r="I499" s="7">
        <v>0</v>
      </c>
      <c r="J499" s="7">
        <v>0</v>
      </c>
      <c r="K499" s="7">
        <v>0</v>
      </c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</row>
    <row r="500" spans="1:17">
      <c r="A500" s="2">
        <v>2448</v>
      </c>
      <c r="B500" s="7">
        <v>0</v>
      </c>
      <c r="C500" s="7">
        <v>0</v>
      </c>
      <c r="D500" s="7">
        <v>0</v>
      </c>
      <c r="E500" s="7">
        <v>0</v>
      </c>
      <c r="F500" s="7">
        <v>0</v>
      </c>
      <c r="G500" s="7">
        <v>0</v>
      </c>
      <c r="H500" s="7">
        <v>0</v>
      </c>
      <c r="I500" s="7">
        <v>0</v>
      </c>
      <c r="J500" s="7">
        <v>0</v>
      </c>
      <c r="K500" s="7">
        <v>0</v>
      </c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</row>
    <row r="501" spans="1:17">
      <c r="A501" s="2">
        <v>2449</v>
      </c>
      <c r="B501" s="7">
        <v>0</v>
      </c>
      <c r="C501" s="7">
        <v>0</v>
      </c>
      <c r="D501" s="7">
        <v>0</v>
      </c>
      <c r="E501" s="7">
        <v>0</v>
      </c>
      <c r="F501" s="7">
        <v>0</v>
      </c>
      <c r="G501" s="7">
        <v>0</v>
      </c>
      <c r="H501" s="7">
        <v>0</v>
      </c>
      <c r="I501" s="7">
        <v>0</v>
      </c>
      <c r="J501" s="7">
        <v>0</v>
      </c>
      <c r="K501" s="7">
        <v>0</v>
      </c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</row>
    <row r="502" spans="1:17">
      <c r="A502" s="2">
        <v>2450</v>
      </c>
      <c r="B502" s="7">
        <v>0</v>
      </c>
      <c r="C502" s="7">
        <v>0</v>
      </c>
      <c r="D502" s="7">
        <v>0</v>
      </c>
      <c r="E502" s="7">
        <v>0</v>
      </c>
      <c r="F502" s="7">
        <v>0</v>
      </c>
      <c r="G502" s="7">
        <v>0</v>
      </c>
      <c r="H502" s="7">
        <v>0</v>
      </c>
      <c r="I502" s="7">
        <v>0</v>
      </c>
      <c r="J502" s="7">
        <v>0</v>
      </c>
      <c r="K502" s="7">
        <v>0</v>
      </c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</row>
    <row r="503" spans="1:17">
      <c r="A503" s="2">
        <v>2451</v>
      </c>
      <c r="B503" s="7">
        <v>0</v>
      </c>
      <c r="C503" s="7">
        <v>0</v>
      </c>
      <c r="D503" s="7">
        <v>0</v>
      </c>
      <c r="E503" s="7">
        <v>0</v>
      </c>
      <c r="F503" s="7">
        <v>0</v>
      </c>
      <c r="G503" s="7">
        <v>0</v>
      </c>
      <c r="H503" s="7">
        <v>0</v>
      </c>
      <c r="I503" s="7">
        <v>0</v>
      </c>
      <c r="J503" s="7">
        <v>0</v>
      </c>
      <c r="K503" s="7">
        <v>0</v>
      </c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</row>
    <row r="504" spans="1:17">
      <c r="A504" s="2">
        <v>2452</v>
      </c>
      <c r="B504" s="7">
        <v>0</v>
      </c>
      <c r="C504" s="7">
        <v>0</v>
      </c>
      <c r="D504" s="7">
        <v>0</v>
      </c>
      <c r="E504" s="7">
        <v>0</v>
      </c>
      <c r="F504" s="7">
        <v>0</v>
      </c>
      <c r="G504" s="7">
        <v>0</v>
      </c>
      <c r="H504" s="7">
        <v>0</v>
      </c>
      <c r="I504" s="7">
        <v>0</v>
      </c>
      <c r="J504" s="7">
        <v>0</v>
      </c>
      <c r="K504" s="7">
        <v>0</v>
      </c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</row>
    <row r="505" spans="1:17">
      <c r="A505" s="2">
        <v>2453</v>
      </c>
      <c r="B505" s="7">
        <v>0</v>
      </c>
      <c r="C505" s="7">
        <v>0</v>
      </c>
      <c r="D505" s="7">
        <v>0</v>
      </c>
      <c r="E505" s="7">
        <v>0</v>
      </c>
      <c r="F505" s="7">
        <v>0</v>
      </c>
      <c r="G505" s="7">
        <v>0</v>
      </c>
      <c r="H505" s="7">
        <v>0</v>
      </c>
      <c r="I505" s="7">
        <v>0</v>
      </c>
      <c r="J505" s="7">
        <v>0</v>
      </c>
      <c r="K505" s="7">
        <v>0</v>
      </c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</row>
    <row r="506" spans="1:17">
      <c r="A506" s="2">
        <v>2454</v>
      </c>
      <c r="B506" s="7">
        <v>0</v>
      </c>
      <c r="C506" s="7">
        <v>0</v>
      </c>
      <c r="D506" s="7">
        <v>0</v>
      </c>
      <c r="E506" s="7">
        <v>0</v>
      </c>
      <c r="F506" s="7">
        <v>0</v>
      </c>
      <c r="G506" s="7">
        <v>0</v>
      </c>
      <c r="H506" s="7">
        <v>0</v>
      </c>
      <c r="I506" s="7">
        <v>0</v>
      </c>
      <c r="J506" s="7">
        <v>0</v>
      </c>
      <c r="K506" s="7">
        <v>0</v>
      </c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</row>
    <row r="507" spans="1:17">
      <c r="A507" s="2">
        <v>2455</v>
      </c>
      <c r="B507" s="7">
        <v>0</v>
      </c>
      <c r="C507" s="7">
        <v>0</v>
      </c>
      <c r="D507" s="7">
        <v>0</v>
      </c>
      <c r="E507" s="7">
        <v>0</v>
      </c>
      <c r="F507" s="7">
        <v>0</v>
      </c>
      <c r="G507" s="7">
        <v>0</v>
      </c>
      <c r="H507" s="7">
        <v>0</v>
      </c>
      <c r="I507" s="7">
        <v>0</v>
      </c>
      <c r="J507" s="7">
        <v>0</v>
      </c>
      <c r="K507" s="7">
        <v>0</v>
      </c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</row>
    <row r="508" spans="1:17">
      <c r="A508" s="2">
        <v>2456</v>
      </c>
      <c r="B508" s="7">
        <v>0</v>
      </c>
      <c r="C508" s="7">
        <v>0</v>
      </c>
      <c r="D508" s="7">
        <v>0</v>
      </c>
      <c r="E508" s="7">
        <v>0</v>
      </c>
      <c r="F508" s="7">
        <v>0</v>
      </c>
      <c r="G508" s="7">
        <v>0</v>
      </c>
      <c r="H508" s="7">
        <v>0</v>
      </c>
      <c r="I508" s="7">
        <v>0</v>
      </c>
      <c r="J508" s="7">
        <v>0</v>
      </c>
      <c r="K508" s="7">
        <v>0</v>
      </c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</row>
    <row r="509" spans="1:17">
      <c r="A509" s="2">
        <v>2457</v>
      </c>
      <c r="B509" s="7">
        <v>0</v>
      </c>
      <c r="C509" s="7">
        <v>0</v>
      </c>
      <c r="D509" s="7">
        <v>0</v>
      </c>
      <c r="E509" s="7">
        <v>0</v>
      </c>
      <c r="F509" s="7">
        <v>0</v>
      </c>
      <c r="G509" s="7">
        <v>0</v>
      </c>
      <c r="H509" s="7">
        <v>0</v>
      </c>
      <c r="I509" s="7">
        <v>0</v>
      </c>
      <c r="J509" s="7">
        <v>0</v>
      </c>
      <c r="K509" s="7">
        <v>0</v>
      </c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</row>
    <row r="510" spans="1:17">
      <c r="A510" s="2">
        <v>2458</v>
      </c>
      <c r="B510" s="7">
        <v>0</v>
      </c>
      <c r="C510" s="7">
        <v>0</v>
      </c>
      <c r="D510" s="7">
        <v>0</v>
      </c>
      <c r="E510" s="7">
        <v>0</v>
      </c>
      <c r="F510" s="7">
        <v>0</v>
      </c>
      <c r="G510" s="7">
        <v>0</v>
      </c>
      <c r="H510" s="7">
        <v>0</v>
      </c>
      <c r="I510" s="7">
        <v>0</v>
      </c>
      <c r="J510" s="7">
        <v>0</v>
      </c>
      <c r="K510" s="7">
        <v>0</v>
      </c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</row>
    <row r="511" spans="1:17">
      <c r="A511" s="2">
        <v>2459</v>
      </c>
      <c r="B511" s="7">
        <v>0</v>
      </c>
      <c r="C511" s="7">
        <v>0</v>
      </c>
      <c r="D511" s="7">
        <v>0</v>
      </c>
      <c r="E511" s="7">
        <v>0</v>
      </c>
      <c r="F511" s="7">
        <v>0</v>
      </c>
      <c r="G511" s="7">
        <v>0</v>
      </c>
      <c r="H511" s="7">
        <v>0</v>
      </c>
      <c r="I511" s="7">
        <v>0</v>
      </c>
      <c r="J511" s="7">
        <v>0</v>
      </c>
      <c r="K511" s="7">
        <v>0</v>
      </c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</row>
    <row r="512" spans="1:17">
      <c r="A512" s="2">
        <v>2460</v>
      </c>
      <c r="B512" s="7">
        <v>0</v>
      </c>
      <c r="C512" s="7">
        <v>0</v>
      </c>
      <c r="D512" s="7">
        <v>0</v>
      </c>
      <c r="E512" s="7">
        <v>0</v>
      </c>
      <c r="F512" s="7">
        <v>0</v>
      </c>
      <c r="G512" s="7">
        <v>0</v>
      </c>
      <c r="H512" s="7">
        <v>0</v>
      </c>
      <c r="I512" s="7">
        <v>0</v>
      </c>
      <c r="J512" s="7">
        <v>0</v>
      </c>
      <c r="K512" s="7">
        <v>0</v>
      </c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</row>
    <row r="513" spans="1:17">
      <c r="A513" s="2">
        <v>2461</v>
      </c>
      <c r="B513" s="7">
        <v>0</v>
      </c>
      <c r="C513" s="7">
        <v>0</v>
      </c>
      <c r="D513" s="7">
        <v>0</v>
      </c>
      <c r="E513" s="7">
        <v>0</v>
      </c>
      <c r="F513" s="7">
        <v>0</v>
      </c>
      <c r="G513" s="7">
        <v>0</v>
      </c>
      <c r="H513" s="7">
        <v>0</v>
      </c>
      <c r="I513" s="7">
        <v>0</v>
      </c>
      <c r="J513" s="7">
        <v>0</v>
      </c>
      <c r="K513" s="7">
        <v>0</v>
      </c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</row>
    <row r="514" spans="1:17">
      <c r="A514" s="2">
        <v>2462</v>
      </c>
      <c r="B514" s="7">
        <v>0</v>
      </c>
      <c r="C514" s="7">
        <v>0</v>
      </c>
      <c r="D514" s="7">
        <v>0</v>
      </c>
      <c r="E514" s="7">
        <v>0</v>
      </c>
      <c r="F514" s="7">
        <v>0</v>
      </c>
      <c r="G514" s="7">
        <v>0</v>
      </c>
      <c r="H514" s="7">
        <v>0</v>
      </c>
      <c r="I514" s="7">
        <v>0</v>
      </c>
      <c r="J514" s="7">
        <v>0</v>
      </c>
      <c r="K514" s="7">
        <v>0</v>
      </c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</row>
    <row r="515" spans="1:17">
      <c r="A515" s="2">
        <v>2463</v>
      </c>
      <c r="B515" s="7">
        <v>0</v>
      </c>
      <c r="C515" s="7">
        <v>0</v>
      </c>
      <c r="D515" s="7">
        <v>0</v>
      </c>
      <c r="E515" s="7">
        <v>0</v>
      </c>
      <c r="F515" s="7">
        <v>0</v>
      </c>
      <c r="G515" s="7">
        <v>0</v>
      </c>
      <c r="H515" s="7">
        <v>0</v>
      </c>
      <c r="I515" s="7">
        <v>0</v>
      </c>
      <c r="J515" s="7">
        <v>0</v>
      </c>
      <c r="K515" s="7">
        <v>0</v>
      </c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</row>
    <row r="516" spans="1:17">
      <c r="A516" s="2">
        <v>2464</v>
      </c>
      <c r="B516" s="7">
        <v>0</v>
      </c>
      <c r="C516" s="7">
        <v>0</v>
      </c>
      <c r="D516" s="7">
        <v>0</v>
      </c>
      <c r="E516" s="7">
        <v>0</v>
      </c>
      <c r="F516" s="7">
        <v>0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</row>
    <row r="517" spans="1:17">
      <c r="A517" s="2">
        <v>2465</v>
      </c>
      <c r="B517" s="7">
        <v>0</v>
      </c>
      <c r="C517" s="7">
        <v>0</v>
      </c>
      <c r="D517" s="7">
        <v>0</v>
      </c>
      <c r="E517" s="7">
        <v>0</v>
      </c>
      <c r="F517" s="7">
        <v>0</v>
      </c>
      <c r="G517" s="7">
        <v>0</v>
      </c>
      <c r="H517" s="7">
        <v>0</v>
      </c>
      <c r="I517" s="7">
        <v>0</v>
      </c>
      <c r="J517" s="7">
        <v>0</v>
      </c>
      <c r="K517" s="7">
        <v>0</v>
      </c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</row>
    <row r="518" spans="1:17">
      <c r="A518" s="2">
        <v>2466</v>
      </c>
      <c r="B518" s="7">
        <v>0</v>
      </c>
      <c r="C518" s="7">
        <v>0</v>
      </c>
      <c r="D518" s="7">
        <v>0</v>
      </c>
      <c r="E518" s="7">
        <v>0</v>
      </c>
      <c r="F518" s="7">
        <v>0</v>
      </c>
      <c r="G518" s="7">
        <v>0</v>
      </c>
      <c r="H518" s="7">
        <v>0</v>
      </c>
      <c r="I518" s="7">
        <v>0</v>
      </c>
      <c r="J518" s="7">
        <v>0</v>
      </c>
      <c r="K518" s="7">
        <v>0</v>
      </c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</row>
    <row r="519" spans="1:17">
      <c r="A519" s="2">
        <v>2467</v>
      </c>
      <c r="B519" s="7">
        <v>0</v>
      </c>
      <c r="C519" s="7">
        <v>0</v>
      </c>
      <c r="D519" s="7">
        <v>0</v>
      </c>
      <c r="E519" s="7">
        <v>0</v>
      </c>
      <c r="F519" s="7">
        <v>0</v>
      </c>
      <c r="G519" s="7">
        <v>0</v>
      </c>
      <c r="H519" s="7">
        <v>0</v>
      </c>
      <c r="I519" s="7">
        <v>0</v>
      </c>
      <c r="J519" s="7">
        <v>0</v>
      </c>
      <c r="K519" s="7">
        <v>0</v>
      </c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</row>
    <row r="520" spans="1:17">
      <c r="A520" s="2">
        <v>2468</v>
      </c>
      <c r="B520" s="7">
        <v>0</v>
      </c>
      <c r="C520" s="7">
        <v>0</v>
      </c>
      <c r="D520" s="7">
        <v>0</v>
      </c>
      <c r="E520" s="7">
        <v>0</v>
      </c>
      <c r="F520" s="7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</row>
    <row r="521" spans="1:17">
      <c r="A521" s="2">
        <v>2469</v>
      </c>
      <c r="B521" s="7">
        <v>0</v>
      </c>
      <c r="C521" s="7">
        <v>0</v>
      </c>
      <c r="D521" s="7">
        <v>0</v>
      </c>
      <c r="E521" s="7">
        <v>0</v>
      </c>
      <c r="F521" s="7">
        <v>0</v>
      </c>
      <c r="G521" s="7">
        <v>0</v>
      </c>
      <c r="H521" s="7">
        <v>0</v>
      </c>
      <c r="I521" s="7">
        <v>0</v>
      </c>
      <c r="J521" s="7">
        <v>0</v>
      </c>
      <c r="K521" s="7">
        <v>0</v>
      </c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</row>
    <row r="522" spans="1:17">
      <c r="A522" s="2">
        <v>2470</v>
      </c>
      <c r="B522" s="7">
        <v>0</v>
      </c>
      <c r="C522" s="7">
        <v>0</v>
      </c>
      <c r="D522" s="7">
        <v>0</v>
      </c>
      <c r="E522" s="7">
        <v>0</v>
      </c>
      <c r="F522" s="7">
        <v>0</v>
      </c>
      <c r="G522" s="7">
        <v>0</v>
      </c>
      <c r="H522" s="7">
        <v>0</v>
      </c>
      <c r="I522" s="7">
        <v>0</v>
      </c>
      <c r="J522" s="7">
        <v>0</v>
      </c>
      <c r="K522" s="7">
        <v>0</v>
      </c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</row>
    <row r="523" spans="1:17">
      <c r="A523" s="2">
        <v>2471</v>
      </c>
      <c r="B523" s="7">
        <v>0</v>
      </c>
      <c r="C523" s="7">
        <v>0</v>
      </c>
      <c r="D523" s="7">
        <v>0</v>
      </c>
      <c r="E523" s="7">
        <v>0</v>
      </c>
      <c r="F523" s="7">
        <v>0</v>
      </c>
      <c r="G523" s="7">
        <v>0</v>
      </c>
      <c r="H523" s="7">
        <v>0</v>
      </c>
      <c r="I523" s="7">
        <v>0</v>
      </c>
      <c r="J523" s="7">
        <v>0</v>
      </c>
      <c r="K523" s="7">
        <v>0</v>
      </c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</row>
    <row r="524" spans="1:17">
      <c r="A524" s="2">
        <v>2472</v>
      </c>
      <c r="B524" s="7">
        <v>0</v>
      </c>
      <c r="C524" s="7">
        <v>0</v>
      </c>
      <c r="D524" s="7">
        <v>0</v>
      </c>
      <c r="E524" s="7">
        <v>0</v>
      </c>
      <c r="F524" s="7">
        <v>0</v>
      </c>
      <c r="G524" s="7">
        <v>0</v>
      </c>
      <c r="H524" s="7">
        <v>0</v>
      </c>
      <c r="I524" s="7">
        <v>0</v>
      </c>
      <c r="J524" s="7">
        <v>0</v>
      </c>
      <c r="K524" s="7">
        <v>0</v>
      </c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</row>
    <row r="525" spans="1:17">
      <c r="A525" s="2">
        <v>2473</v>
      </c>
      <c r="B525" s="7">
        <v>0</v>
      </c>
      <c r="C525" s="7">
        <v>0</v>
      </c>
      <c r="D525" s="7">
        <v>0</v>
      </c>
      <c r="E525" s="7">
        <v>0</v>
      </c>
      <c r="F525" s="7">
        <v>0</v>
      </c>
      <c r="G525" s="7">
        <v>0</v>
      </c>
      <c r="H525" s="7">
        <v>0</v>
      </c>
      <c r="I525" s="7">
        <v>0</v>
      </c>
      <c r="J525" s="7">
        <v>0</v>
      </c>
      <c r="K525" s="7">
        <v>0</v>
      </c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</row>
    <row r="526" spans="1:17">
      <c r="A526" s="2">
        <v>2474</v>
      </c>
      <c r="B526" s="7">
        <v>0</v>
      </c>
      <c r="C526" s="7">
        <v>0</v>
      </c>
      <c r="D526" s="7">
        <v>0</v>
      </c>
      <c r="E526" s="7">
        <v>0</v>
      </c>
      <c r="F526" s="7">
        <v>0</v>
      </c>
      <c r="G526" s="7">
        <v>0</v>
      </c>
      <c r="H526" s="7">
        <v>0</v>
      </c>
      <c r="I526" s="7">
        <v>0</v>
      </c>
      <c r="J526" s="7">
        <v>0</v>
      </c>
      <c r="K526" s="7">
        <v>0</v>
      </c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</row>
    <row r="527" spans="1:17">
      <c r="A527" s="2">
        <v>2475</v>
      </c>
      <c r="B527" s="7">
        <v>0</v>
      </c>
      <c r="C527" s="7">
        <v>0</v>
      </c>
      <c r="D527" s="7">
        <v>0</v>
      </c>
      <c r="E527" s="7">
        <v>0</v>
      </c>
      <c r="F527" s="7">
        <v>0</v>
      </c>
      <c r="G527" s="7">
        <v>0</v>
      </c>
      <c r="H527" s="7">
        <v>0</v>
      </c>
      <c r="I527" s="7">
        <v>0</v>
      </c>
      <c r="J527" s="7">
        <v>0</v>
      </c>
      <c r="K527" s="7">
        <v>0</v>
      </c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</row>
    <row r="528" spans="1:17">
      <c r="A528" s="2">
        <v>2476</v>
      </c>
      <c r="B528" s="7">
        <v>0</v>
      </c>
      <c r="C528" s="7">
        <v>0</v>
      </c>
      <c r="D528" s="7">
        <v>0</v>
      </c>
      <c r="E528" s="7">
        <v>0</v>
      </c>
      <c r="F528" s="7">
        <v>0</v>
      </c>
      <c r="G528" s="7">
        <v>0</v>
      </c>
      <c r="H528" s="7">
        <v>0</v>
      </c>
      <c r="I528" s="7">
        <v>0</v>
      </c>
      <c r="J528" s="7">
        <v>0</v>
      </c>
      <c r="K528" s="7">
        <v>0</v>
      </c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</row>
    <row r="529" spans="1:17">
      <c r="A529" s="2">
        <v>2477</v>
      </c>
      <c r="B529" s="7">
        <v>0</v>
      </c>
      <c r="C529" s="7">
        <v>0</v>
      </c>
      <c r="D529" s="7">
        <v>0</v>
      </c>
      <c r="E529" s="7">
        <v>0</v>
      </c>
      <c r="F529" s="7">
        <v>0</v>
      </c>
      <c r="G529" s="7">
        <v>0</v>
      </c>
      <c r="H529" s="7">
        <v>0</v>
      </c>
      <c r="I529" s="7">
        <v>0</v>
      </c>
      <c r="J529" s="7">
        <v>0</v>
      </c>
      <c r="K529" s="7">
        <v>0</v>
      </c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</row>
    <row r="530" spans="1:17">
      <c r="A530" s="2">
        <v>2478</v>
      </c>
      <c r="B530" s="7">
        <v>0</v>
      </c>
      <c r="C530" s="7">
        <v>0</v>
      </c>
      <c r="D530" s="7">
        <v>0</v>
      </c>
      <c r="E530" s="7">
        <v>0</v>
      </c>
      <c r="F530" s="7">
        <v>0</v>
      </c>
      <c r="G530" s="7">
        <v>0</v>
      </c>
      <c r="H530" s="7">
        <v>0</v>
      </c>
      <c r="I530" s="7">
        <v>0</v>
      </c>
      <c r="J530" s="7">
        <v>0</v>
      </c>
      <c r="K530" s="7">
        <v>0</v>
      </c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</row>
    <row r="531" spans="1:17">
      <c r="A531" s="2">
        <v>2479</v>
      </c>
      <c r="B531" s="7">
        <v>0</v>
      </c>
      <c r="C531" s="7">
        <v>0</v>
      </c>
      <c r="D531" s="7">
        <v>0</v>
      </c>
      <c r="E531" s="7">
        <v>0</v>
      </c>
      <c r="F531" s="7">
        <v>0</v>
      </c>
      <c r="G531" s="7">
        <v>0</v>
      </c>
      <c r="H531" s="7">
        <v>0</v>
      </c>
      <c r="I531" s="7">
        <v>0</v>
      </c>
      <c r="J531" s="7">
        <v>0</v>
      </c>
      <c r="K531" s="7">
        <v>0</v>
      </c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</row>
    <row r="532" spans="1:17">
      <c r="A532" s="2">
        <v>2480</v>
      </c>
      <c r="B532" s="7">
        <v>0</v>
      </c>
      <c r="C532" s="7">
        <v>0</v>
      </c>
      <c r="D532" s="7">
        <v>0</v>
      </c>
      <c r="E532" s="7">
        <v>0</v>
      </c>
      <c r="F532" s="7">
        <v>0</v>
      </c>
      <c r="G532" s="7">
        <v>0</v>
      </c>
      <c r="H532" s="7">
        <v>0</v>
      </c>
      <c r="I532" s="7">
        <v>0</v>
      </c>
      <c r="J532" s="7">
        <v>0</v>
      </c>
      <c r="K532" s="7">
        <v>0</v>
      </c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</row>
    <row r="533" spans="1:17">
      <c r="A533" s="2">
        <v>2481</v>
      </c>
      <c r="B533" s="7">
        <v>0</v>
      </c>
      <c r="C533" s="7">
        <v>0</v>
      </c>
      <c r="D533" s="7">
        <v>0</v>
      </c>
      <c r="E533" s="7">
        <v>0</v>
      </c>
      <c r="F533" s="7">
        <v>0</v>
      </c>
      <c r="G533" s="7">
        <v>0</v>
      </c>
      <c r="H533" s="7">
        <v>0</v>
      </c>
      <c r="I533" s="7">
        <v>0</v>
      </c>
      <c r="J533" s="7">
        <v>0</v>
      </c>
      <c r="K533" s="7">
        <v>0</v>
      </c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</row>
    <row r="534" spans="1:17">
      <c r="A534" s="2">
        <v>2482</v>
      </c>
      <c r="B534" s="7">
        <v>0</v>
      </c>
      <c r="C534" s="7">
        <v>0</v>
      </c>
      <c r="D534" s="7">
        <v>0</v>
      </c>
      <c r="E534" s="7">
        <v>0</v>
      </c>
      <c r="F534" s="7">
        <v>0</v>
      </c>
      <c r="G534" s="7">
        <v>0</v>
      </c>
      <c r="H534" s="7">
        <v>0</v>
      </c>
      <c r="I534" s="7">
        <v>0</v>
      </c>
      <c r="J534" s="7">
        <v>0</v>
      </c>
      <c r="K534" s="7">
        <v>0</v>
      </c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</row>
    <row r="535" spans="1:17">
      <c r="A535" s="2">
        <v>2483</v>
      </c>
      <c r="B535" s="7">
        <v>0</v>
      </c>
      <c r="C535" s="7">
        <v>0</v>
      </c>
      <c r="D535" s="7">
        <v>0</v>
      </c>
      <c r="E535" s="7">
        <v>0</v>
      </c>
      <c r="F535" s="7">
        <v>0</v>
      </c>
      <c r="G535" s="7">
        <v>0</v>
      </c>
      <c r="H535" s="7">
        <v>0</v>
      </c>
      <c r="I535" s="7">
        <v>0</v>
      </c>
      <c r="J535" s="7">
        <v>0</v>
      </c>
      <c r="K535" s="7">
        <v>0</v>
      </c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</row>
    <row r="536" spans="1:17">
      <c r="A536" s="2">
        <v>2484</v>
      </c>
      <c r="B536" s="7">
        <v>0</v>
      </c>
      <c r="C536" s="7">
        <v>0</v>
      </c>
      <c r="D536" s="7">
        <v>0</v>
      </c>
      <c r="E536" s="7">
        <v>0</v>
      </c>
      <c r="F536" s="7">
        <v>0</v>
      </c>
      <c r="G536" s="7">
        <v>0</v>
      </c>
      <c r="H536" s="7">
        <v>0</v>
      </c>
      <c r="I536" s="7">
        <v>0</v>
      </c>
      <c r="J536" s="7">
        <v>0</v>
      </c>
      <c r="K536" s="7">
        <v>0</v>
      </c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</row>
    <row r="537" spans="1:17">
      <c r="A537" s="2">
        <v>2485</v>
      </c>
      <c r="B537" s="7">
        <v>0</v>
      </c>
      <c r="C537" s="7">
        <v>0</v>
      </c>
      <c r="D537" s="7">
        <v>0</v>
      </c>
      <c r="E537" s="7">
        <v>0</v>
      </c>
      <c r="F537" s="7">
        <v>0</v>
      </c>
      <c r="G537" s="7">
        <v>0</v>
      </c>
      <c r="H537" s="7">
        <v>0</v>
      </c>
      <c r="I537" s="7">
        <v>0</v>
      </c>
      <c r="J537" s="7">
        <v>0</v>
      </c>
      <c r="K537" s="7">
        <v>0</v>
      </c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</row>
    <row r="538" spans="1:17">
      <c r="A538" s="2">
        <v>2486</v>
      </c>
      <c r="B538" s="7">
        <v>0</v>
      </c>
      <c r="C538" s="7">
        <v>0</v>
      </c>
      <c r="D538" s="7">
        <v>0</v>
      </c>
      <c r="E538" s="7">
        <v>0</v>
      </c>
      <c r="F538" s="7">
        <v>0</v>
      </c>
      <c r="G538" s="7">
        <v>0</v>
      </c>
      <c r="H538" s="7">
        <v>0</v>
      </c>
      <c r="I538" s="7">
        <v>0</v>
      </c>
      <c r="J538" s="7">
        <v>0</v>
      </c>
      <c r="K538" s="7">
        <v>0</v>
      </c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</row>
    <row r="539" spans="1:17">
      <c r="A539" s="2">
        <v>2487</v>
      </c>
      <c r="B539" s="7">
        <v>0</v>
      </c>
      <c r="C539" s="7">
        <v>0</v>
      </c>
      <c r="D539" s="7">
        <v>0</v>
      </c>
      <c r="E539" s="7">
        <v>0</v>
      </c>
      <c r="F539" s="7">
        <v>0</v>
      </c>
      <c r="G539" s="7">
        <v>0</v>
      </c>
      <c r="H539" s="7">
        <v>0</v>
      </c>
      <c r="I539" s="7">
        <v>0</v>
      </c>
      <c r="J539" s="7">
        <v>0</v>
      </c>
      <c r="K539" s="7">
        <v>0</v>
      </c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</row>
    <row r="540" spans="1:17">
      <c r="A540" s="2">
        <v>2488</v>
      </c>
      <c r="B540" s="7">
        <v>0</v>
      </c>
      <c r="C540" s="7">
        <v>0</v>
      </c>
      <c r="D540" s="7">
        <v>0</v>
      </c>
      <c r="E540" s="7">
        <v>0</v>
      </c>
      <c r="F540" s="7">
        <v>0</v>
      </c>
      <c r="G540" s="7">
        <v>0</v>
      </c>
      <c r="H540" s="7">
        <v>0</v>
      </c>
      <c r="I540" s="7">
        <v>0</v>
      </c>
      <c r="J540" s="7">
        <v>0</v>
      </c>
      <c r="K540" s="7">
        <v>0</v>
      </c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</row>
    <row r="541" spans="1:17">
      <c r="A541" s="2">
        <v>2489</v>
      </c>
      <c r="B541" s="7">
        <v>0</v>
      </c>
      <c r="C541" s="7">
        <v>0</v>
      </c>
      <c r="D541" s="7">
        <v>0</v>
      </c>
      <c r="E541" s="7">
        <v>0</v>
      </c>
      <c r="F541" s="7">
        <v>0</v>
      </c>
      <c r="G541" s="7">
        <v>0</v>
      </c>
      <c r="H541" s="7">
        <v>0</v>
      </c>
      <c r="I541" s="7">
        <v>0</v>
      </c>
      <c r="J541" s="7">
        <v>0</v>
      </c>
      <c r="K541" s="7">
        <v>0</v>
      </c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</row>
    <row r="542" spans="1:17">
      <c r="A542" s="2">
        <v>2490</v>
      </c>
      <c r="B542" s="7">
        <v>0</v>
      </c>
      <c r="C542" s="7">
        <v>0</v>
      </c>
      <c r="D542" s="7">
        <v>0</v>
      </c>
      <c r="E542" s="7">
        <v>0</v>
      </c>
      <c r="F542" s="7">
        <v>0</v>
      </c>
      <c r="G542" s="7">
        <v>0</v>
      </c>
      <c r="H542" s="7">
        <v>0</v>
      </c>
      <c r="I542" s="7">
        <v>0</v>
      </c>
      <c r="J542" s="7">
        <v>0</v>
      </c>
      <c r="K542" s="7">
        <v>0</v>
      </c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</row>
    <row r="543" spans="1:17">
      <c r="A543" s="2">
        <v>2491</v>
      </c>
      <c r="B543" s="7">
        <v>0</v>
      </c>
      <c r="C543" s="7">
        <v>0</v>
      </c>
      <c r="D543" s="7">
        <v>0</v>
      </c>
      <c r="E543" s="7">
        <v>0</v>
      </c>
      <c r="F543" s="7">
        <v>0</v>
      </c>
      <c r="G543" s="7">
        <v>0</v>
      </c>
      <c r="H543" s="7">
        <v>0</v>
      </c>
      <c r="I543" s="7">
        <v>0</v>
      </c>
      <c r="J543" s="7">
        <v>0</v>
      </c>
      <c r="K543" s="7">
        <v>0</v>
      </c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</row>
    <row r="544" spans="1:17">
      <c r="A544" s="2">
        <v>2492</v>
      </c>
      <c r="B544" s="7">
        <v>0</v>
      </c>
      <c r="C544" s="7">
        <v>0</v>
      </c>
      <c r="D544" s="7">
        <v>0</v>
      </c>
      <c r="E544" s="7">
        <v>0</v>
      </c>
      <c r="F544" s="7">
        <v>0</v>
      </c>
      <c r="G544" s="7">
        <v>0</v>
      </c>
      <c r="H544" s="7">
        <v>0</v>
      </c>
      <c r="I544" s="7">
        <v>0</v>
      </c>
      <c r="J544" s="7">
        <v>0</v>
      </c>
      <c r="K544" s="7">
        <v>0</v>
      </c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</row>
    <row r="545" spans="1:17">
      <c r="A545" s="2">
        <v>2493</v>
      </c>
      <c r="B545" s="7">
        <v>0</v>
      </c>
      <c r="C545" s="7">
        <v>0</v>
      </c>
      <c r="D545" s="7">
        <v>0</v>
      </c>
      <c r="E545" s="7">
        <v>0</v>
      </c>
      <c r="F545" s="7">
        <v>0</v>
      </c>
      <c r="G545" s="7">
        <v>0</v>
      </c>
      <c r="H545" s="7">
        <v>0</v>
      </c>
      <c r="I545" s="7">
        <v>0</v>
      </c>
      <c r="J545" s="7">
        <v>0</v>
      </c>
      <c r="K545" s="7">
        <v>0</v>
      </c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</row>
    <row r="546" spans="1:17">
      <c r="A546" s="2">
        <v>2494</v>
      </c>
      <c r="B546" s="7">
        <v>0</v>
      </c>
      <c r="C546" s="7">
        <v>0</v>
      </c>
      <c r="D546" s="7">
        <v>0</v>
      </c>
      <c r="E546" s="7">
        <v>0</v>
      </c>
      <c r="F546" s="7">
        <v>0</v>
      </c>
      <c r="G546" s="7">
        <v>0</v>
      </c>
      <c r="H546" s="7">
        <v>0</v>
      </c>
      <c r="I546" s="7">
        <v>0</v>
      </c>
      <c r="J546" s="7">
        <v>0</v>
      </c>
      <c r="K546" s="7">
        <v>0</v>
      </c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</row>
    <row r="547" spans="1:17">
      <c r="A547" s="2">
        <v>2495</v>
      </c>
      <c r="B547" s="7">
        <v>0</v>
      </c>
      <c r="C547" s="7">
        <v>0</v>
      </c>
      <c r="D547" s="7">
        <v>0</v>
      </c>
      <c r="E547" s="7">
        <v>0</v>
      </c>
      <c r="F547" s="7">
        <v>0</v>
      </c>
      <c r="G547" s="7">
        <v>0</v>
      </c>
      <c r="H547" s="7">
        <v>0</v>
      </c>
      <c r="I547" s="7">
        <v>0</v>
      </c>
      <c r="J547" s="7">
        <v>0</v>
      </c>
      <c r="K547" s="7">
        <v>0</v>
      </c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</row>
    <row r="548" spans="1:17">
      <c r="A548" s="2">
        <v>2496</v>
      </c>
      <c r="B548" s="7">
        <v>0</v>
      </c>
      <c r="C548" s="7">
        <v>0</v>
      </c>
      <c r="D548" s="7">
        <v>0</v>
      </c>
      <c r="E548" s="7">
        <v>0</v>
      </c>
      <c r="F548" s="7">
        <v>0</v>
      </c>
      <c r="G548" s="7">
        <v>0</v>
      </c>
      <c r="H548" s="7">
        <v>0</v>
      </c>
      <c r="I548" s="7">
        <v>0</v>
      </c>
      <c r="J548" s="7">
        <v>0</v>
      </c>
      <c r="K548" s="7">
        <v>0</v>
      </c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</row>
    <row r="549" spans="1:17">
      <c r="A549" s="2">
        <v>2497</v>
      </c>
      <c r="B549" s="7">
        <v>0</v>
      </c>
      <c r="C549" s="7">
        <v>0</v>
      </c>
      <c r="D549" s="7">
        <v>0</v>
      </c>
      <c r="E549" s="7">
        <v>0</v>
      </c>
      <c r="F549" s="7">
        <v>0</v>
      </c>
      <c r="G549" s="7">
        <v>0</v>
      </c>
      <c r="H549" s="7">
        <v>0</v>
      </c>
      <c r="I549" s="7">
        <v>0</v>
      </c>
      <c r="J549" s="7">
        <v>0</v>
      </c>
      <c r="K549" s="7">
        <v>0</v>
      </c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</row>
    <row r="550" spans="1:17">
      <c r="A550" s="2">
        <v>2498</v>
      </c>
      <c r="B550" s="7">
        <v>0</v>
      </c>
      <c r="C550" s="7">
        <v>0</v>
      </c>
      <c r="D550" s="7">
        <v>0</v>
      </c>
      <c r="E550" s="7">
        <v>0</v>
      </c>
      <c r="F550" s="7">
        <v>0</v>
      </c>
      <c r="G550" s="7">
        <v>0</v>
      </c>
      <c r="H550" s="7">
        <v>0</v>
      </c>
      <c r="I550" s="7">
        <v>0</v>
      </c>
      <c r="J550" s="7">
        <v>0</v>
      </c>
      <c r="K550" s="7">
        <v>0</v>
      </c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</row>
    <row r="551" spans="1:17">
      <c r="A551" s="2">
        <v>2499</v>
      </c>
      <c r="B551" s="7">
        <v>0</v>
      </c>
      <c r="C551" s="7">
        <v>0</v>
      </c>
      <c r="D551" s="7">
        <v>0</v>
      </c>
      <c r="E551" s="7">
        <v>0</v>
      </c>
      <c r="F551" s="7">
        <v>0</v>
      </c>
      <c r="G551" s="7">
        <v>0</v>
      </c>
      <c r="H551" s="7">
        <v>0</v>
      </c>
      <c r="I551" s="7">
        <v>0</v>
      </c>
      <c r="J551" s="7">
        <v>0</v>
      </c>
      <c r="K551" s="7">
        <v>0</v>
      </c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</row>
    <row r="552" spans="1:17">
      <c r="A552" s="2">
        <v>2500</v>
      </c>
      <c r="B552" s="7">
        <v>0</v>
      </c>
      <c r="C552" s="7">
        <v>0</v>
      </c>
      <c r="D552" s="7">
        <v>0</v>
      </c>
      <c r="E552" s="7">
        <v>0</v>
      </c>
      <c r="F552" s="7">
        <v>0</v>
      </c>
      <c r="G552" s="7">
        <v>0</v>
      </c>
      <c r="H552" s="7">
        <v>0</v>
      </c>
      <c r="I552" s="7">
        <v>0</v>
      </c>
      <c r="J552" s="7">
        <v>0</v>
      </c>
      <c r="K552" s="7">
        <v>0</v>
      </c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</row>
    <row r="553" spans="1:17">
      <c r="A553" s="2">
        <v>2501</v>
      </c>
      <c r="B553" s="7">
        <v>0</v>
      </c>
      <c r="C553" s="7">
        <v>0</v>
      </c>
      <c r="D553" s="7">
        <v>0</v>
      </c>
      <c r="E553" s="7">
        <v>0</v>
      </c>
      <c r="F553" s="7">
        <v>0</v>
      </c>
      <c r="G553" s="7">
        <v>0</v>
      </c>
      <c r="H553" s="7">
        <v>0</v>
      </c>
      <c r="I553" s="7">
        <v>0</v>
      </c>
      <c r="J553" s="7">
        <v>0</v>
      </c>
      <c r="K553" s="7">
        <v>0</v>
      </c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</row>
    <row r="554" spans="1:17">
      <c r="A554" s="2">
        <v>2502</v>
      </c>
      <c r="B554" s="7">
        <v>0</v>
      </c>
      <c r="C554" s="7">
        <v>0</v>
      </c>
      <c r="D554" s="7">
        <v>0</v>
      </c>
      <c r="E554" s="7">
        <v>0</v>
      </c>
      <c r="F554" s="7">
        <v>0</v>
      </c>
      <c r="G554" s="7">
        <v>0</v>
      </c>
      <c r="H554" s="7">
        <v>0</v>
      </c>
      <c r="I554" s="7">
        <v>0</v>
      </c>
      <c r="J554" s="7">
        <v>0</v>
      </c>
      <c r="K554" s="7">
        <v>0</v>
      </c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</row>
    <row r="555" spans="1:17">
      <c r="A555" s="2">
        <v>2503</v>
      </c>
      <c r="B555" s="7">
        <v>0</v>
      </c>
      <c r="C555" s="7">
        <v>0</v>
      </c>
      <c r="D555" s="7">
        <v>0</v>
      </c>
      <c r="E555" s="7">
        <v>0</v>
      </c>
      <c r="F555" s="7">
        <v>0</v>
      </c>
      <c r="G555" s="7">
        <v>0</v>
      </c>
      <c r="H555" s="7">
        <v>0</v>
      </c>
      <c r="I555" s="7">
        <v>0</v>
      </c>
      <c r="J555" s="7">
        <v>0</v>
      </c>
      <c r="K555" s="7">
        <v>0</v>
      </c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</row>
    <row r="556" spans="1:17">
      <c r="A556" s="2">
        <v>2504</v>
      </c>
      <c r="B556" s="7">
        <v>0</v>
      </c>
      <c r="C556" s="7">
        <v>0</v>
      </c>
      <c r="D556" s="7">
        <v>0</v>
      </c>
      <c r="E556" s="7">
        <v>0</v>
      </c>
      <c r="F556" s="7">
        <v>0</v>
      </c>
      <c r="G556" s="7">
        <v>0</v>
      </c>
      <c r="H556" s="7">
        <v>0</v>
      </c>
      <c r="I556" s="7">
        <v>0</v>
      </c>
      <c r="J556" s="7">
        <v>0</v>
      </c>
      <c r="K556" s="7">
        <v>0</v>
      </c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</row>
    <row r="557" spans="1:17">
      <c r="A557" s="2">
        <v>2505</v>
      </c>
      <c r="B557" s="7">
        <v>0</v>
      </c>
      <c r="C557" s="7">
        <v>0</v>
      </c>
      <c r="D557" s="7">
        <v>0</v>
      </c>
      <c r="E557" s="7">
        <v>0</v>
      </c>
      <c r="F557" s="7">
        <v>0</v>
      </c>
      <c r="G557" s="7">
        <v>0</v>
      </c>
      <c r="H557" s="7">
        <v>0</v>
      </c>
      <c r="I557" s="7">
        <v>0</v>
      </c>
      <c r="J557" s="7">
        <v>0</v>
      </c>
      <c r="K557" s="7">
        <v>0</v>
      </c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</row>
    <row r="558" spans="1:17">
      <c r="A558" s="2">
        <v>2506</v>
      </c>
      <c r="B558" s="7">
        <v>0</v>
      </c>
      <c r="C558" s="7">
        <v>0</v>
      </c>
      <c r="D558" s="7">
        <v>0</v>
      </c>
      <c r="E558" s="7">
        <v>0</v>
      </c>
      <c r="F558" s="7">
        <v>0</v>
      </c>
      <c r="G558" s="7">
        <v>0</v>
      </c>
      <c r="H558" s="7">
        <v>0</v>
      </c>
      <c r="I558" s="7">
        <v>0</v>
      </c>
      <c r="J558" s="7">
        <v>0</v>
      </c>
      <c r="K558" s="7">
        <v>0</v>
      </c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</row>
    <row r="559" spans="1:17">
      <c r="A559" s="2">
        <v>2507</v>
      </c>
      <c r="B559" s="7">
        <v>0</v>
      </c>
      <c r="C559" s="7">
        <v>0</v>
      </c>
      <c r="D559" s="7">
        <v>0</v>
      </c>
      <c r="E559" s="7">
        <v>0</v>
      </c>
      <c r="F559" s="7">
        <v>0</v>
      </c>
      <c r="G559" s="7">
        <v>0</v>
      </c>
      <c r="H559" s="7">
        <v>0</v>
      </c>
      <c r="I559" s="7">
        <v>0</v>
      </c>
      <c r="J559" s="7">
        <v>0</v>
      </c>
      <c r="K559" s="7">
        <v>0</v>
      </c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</row>
    <row r="560" spans="1:17">
      <c r="A560" s="2">
        <v>2508</v>
      </c>
      <c r="B560" s="7">
        <v>0</v>
      </c>
      <c r="C560" s="7">
        <v>0</v>
      </c>
      <c r="D560" s="7">
        <v>0</v>
      </c>
      <c r="E560" s="7">
        <v>0</v>
      </c>
      <c r="F560" s="7">
        <v>0</v>
      </c>
      <c r="G560" s="7">
        <v>0</v>
      </c>
      <c r="H560" s="7">
        <v>0</v>
      </c>
      <c r="I560" s="7">
        <v>0</v>
      </c>
      <c r="J560" s="7">
        <v>0</v>
      </c>
      <c r="K560" s="7">
        <v>0</v>
      </c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</row>
    <row r="561" spans="1:17">
      <c r="A561" s="2">
        <v>2509</v>
      </c>
      <c r="B561" s="7">
        <v>0</v>
      </c>
      <c r="C561" s="7">
        <v>0</v>
      </c>
      <c r="D561" s="7">
        <v>0</v>
      </c>
      <c r="E561" s="7">
        <v>0</v>
      </c>
      <c r="F561" s="7">
        <v>0</v>
      </c>
      <c r="G561" s="7">
        <v>0</v>
      </c>
      <c r="H561" s="7">
        <v>0</v>
      </c>
      <c r="I561" s="7">
        <v>0</v>
      </c>
      <c r="J561" s="7">
        <v>0</v>
      </c>
      <c r="K561" s="7">
        <v>0</v>
      </c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</row>
    <row r="562" spans="1:17">
      <c r="A562" s="2">
        <v>2510</v>
      </c>
      <c r="B562" s="7">
        <v>0</v>
      </c>
      <c r="C562" s="7">
        <v>0</v>
      </c>
      <c r="D562" s="7">
        <v>0</v>
      </c>
      <c r="E562" s="7">
        <v>0</v>
      </c>
      <c r="F562" s="7">
        <v>0</v>
      </c>
      <c r="G562" s="7">
        <v>0</v>
      </c>
      <c r="H562" s="7">
        <v>0</v>
      </c>
      <c r="I562" s="7">
        <v>0</v>
      </c>
      <c r="J562" s="7">
        <v>0</v>
      </c>
      <c r="K562" s="7">
        <v>0</v>
      </c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</row>
    <row r="563" spans="1:17">
      <c r="A563" s="2">
        <v>2511</v>
      </c>
      <c r="B563" s="7">
        <v>0</v>
      </c>
      <c r="C563" s="7">
        <v>0</v>
      </c>
      <c r="D563" s="7">
        <v>0</v>
      </c>
      <c r="E563" s="7">
        <v>0</v>
      </c>
      <c r="F563" s="7">
        <v>0</v>
      </c>
      <c r="G563" s="7">
        <v>0</v>
      </c>
      <c r="H563" s="7">
        <v>0</v>
      </c>
      <c r="I563" s="7">
        <v>0</v>
      </c>
      <c r="J563" s="7">
        <v>0</v>
      </c>
      <c r="K563" s="7">
        <v>0</v>
      </c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</row>
    <row r="564" spans="1:17">
      <c r="A564" s="2">
        <v>2512</v>
      </c>
      <c r="B564" s="7">
        <v>0</v>
      </c>
      <c r="C564" s="7">
        <v>0</v>
      </c>
      <c r="D564" s="7">
        <v>0</v>
      </c>
      <c r="E564" s="7">
        <v>0</v>
      </c>
      <c r="F564" s="7">
        <v>0</v>
      </c>
      <c r="G564" s="7">
        <v>0</v>
      </c>
      <c r="H564" s="7">
        <v>0</v>
      </c>
      <c r="I564" s="7">
        <v>0</v>
      </c>
      <c r="J564" s="7">
        <v>0</v>
      </c>
      <c r="K564" s="7">
        <v>0</v>
      </c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</row>
    <row r="565" spans="1:17">
      <c r="A565" s="2">
        <v>2513</v>
      </c>
      <c r="B565" s="7">
        <v>0</v>
      </c>
      <c r="C565" s="7">
        <v>0</v>
      </c>
      <c r="D565" s="7">
        <v>0</v>
      </c>
      <c r="E565" s="7">
        <v>0</v>
      </c>
      <c r="F565" s="7">
        <v>0</v>
      </c>
      <c r="G565" s="7">
        <v>0</v>
      </c>
      <c r="H565" s="7">
        <v>0</v>
      </c>
      <c r="I565" s="7">
        <v>0</v>
      </c>
      <c r="J565" s="7">
        <v>0</v>
      </c>
      <c r="K565" s="7">
        <v>0</v>
      </c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</row>
    <row r="566" spans="1:17">
      <c r="A566" s="2">
        <v>2514</v>
      </c>
      <c r="B566" s="7">
        <v>0</v>
      </c>
      <c r="C566" s="7">
        <v>0</v>
      </c>
      <c r="D566" s="7">
        <v>0</v>
      </c>
      <c r="E566" s="7">
        <v>0</v>
      </c>
      <c r="F566" s="7">
        <v>0</v>
      </c>
      <c r="G566" s="7">
        <v>0</v>
      </c>
      <c r="H566" s="7">
        <v>0</v>
      </c>
      <c r="I566" s="7">
        <v>0</v>
      </c>
      <c r="J566" s="7">
        <v>0</v>
      </c>
      <c r="K566" s="7">
        <v>0</v>
      </c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</row>
    <row r="567" spans="1:17">
      <c r="A567" s="2">
        <v>2515</v>
      </c>
      <c r="B567" s="7">
        <v>0</v>
      </c>
      <c r="C567" s="7">
        <v>0</v>
      </c>
      <c r="D567" s="7">
        <v>0</v>
      </c>
      <c r="E567" s="7">
        <v>0</v>
      </c>
      <c r="F567" s="7">
        <v>0</v>
      </c>
      <c r="G567" s="7">
        <v>0</v>
      </c>
      <c r="H567" s="7">
        <v>0</v>
      </c>
      <c r="I567" s="7">
        <v>0</v>
      </c>
      <c r="J567" s="7">
        <v>0</v>
      </c>
      <c r="K567" s="7">
        <v>0</v>
      </c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</row>
    <row r="568" spans="1:17">
      <c r="A568" s="2">
        <v>2516</v>
      </c>
      <c r="B568" s="7">
        <v>0</v>
      </c>
      <c r="C568" s="7">
        <v>0</v>
      </c>
      <c r="D568" s="7">
        <v>0</v>
      </c>
      <c r="E568" s="7">
        <v>0</v>
      </c>
      <c r="F568" s="7">
        <v>0</v>
      </c>
      <c r="G568" s="7">
        <v>0</v>
      </c>
      <c r="H568" s="7">
        <v>0</v>
      </c>
      <c r="I568" s="7">
        <v>0</v>
      </c>
      <c r="J568" s="7">
        <v>0</v>
      </c>
      <c r="K568" s="7">
        <v>0</v>
      </c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</row>
    <row r="569" spans="1:17">
      <c r="A569" s="2">
        <v>2517</v>
      </c>
      <c r="B569" s="7">
        <v>0</v>
      </c>
      <c r="C569" s="7">
        <v>0</v>
      </c>
      <c r="D569" s="7">
        <v>0</v>
      </c>
      <c r="E569" s="7">
        <v>0</v>
      </c>
      <c r="F569" s="7">
        <v>0</v>
      </c>
      <c r="G569" s="7">
        <v>0</v>
      </c>
      <c r="H569" s="7">
        <v>0</v>
      </c>
      <c r="I569" s="7">
        <v>0</v>
      </c>
      <c r="J569" s="7">
        <v>0</v>
      </c>
      <c r="K569" s="7">
        <v>0</v>
      </c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</row>
    <row r="570" spans="1:17">
      <c r="A570" s="2">
        <v>2518</v>
      </c>
      <c r="B570" s="7">
        <v>0</v>
      </c>
      <c r="C570" s="7">
        <v>0</v>
      </c>
      <c r="D570" s="7">
        <v>0</v>
      </c>
      <c r="E570" s="7">
        <v>0</v>
      </c>
      <c r="F570" s="7">
        <v>0</v>
      </c>
      <c r="G570" s="7">
        <v>0</v>
      </c>
      <c r="H570" s="7">
        <v>0</v>
      </c>
      <c r="I570" s="7">
        <v>0</v>
      </c>
      <c r="J570" s="7">
        <v>0</v>
      </c>
      <c r="K570" s="7">
        <v>0</v>
      </c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</row>
    <row r="571" spans="1:17">
      <c r="A571" s="2">
        <v>2519</v>
      </c>
      <c r="B571" s="7">
        <v>0</v>
      </c>
      <c r="C571" s="7">
        <v>0</v>
      </c>
      <c r="D571" s="7">
        <v>0</v>
      </c>
      <c r="E571" s="7">
        <v>0</v>
      </c>
      <c r="F571" s="7">
        <v>0</v>
      </c>
      <c r="G571" s="7">
        <v>0</v>
      </c>
      <c r="H571" s="7">
        <v>0</v>
      </c>
      <c r="I571" s="7">
        <v>0</v>
      </c>
      <c r="J571" s="7">
        <v>0</v>
      </c>
      <c r="K571" s="7">
        <v>0</v>
      </c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</row>
    <row r="572" spans="1:17">
      <c r="A572" s="2">
        <v>2520</v>
      </c>
      <c r="B572" s="7">
        <v>0</v>
      </c>
      <c r="C572" s="7">
        <v>0</v>
      </c>
      <c r="D572" s="7">
        <v>0</v>
      </c>
      <c r="E572" s="7">
        <v>0</v>
      </c>
      <c r="F572" s="7">
        <v>0</v>
      </c>
      <c r="G572" s="7">
        <v>0</v>
      </c>
      <c r="H572" s="7">
        <v>0</v>
      </c>
      <c r="I572" s="7">
        <v>0</v>
      </c>
      <c r="J572" s="7">
        <v>0</v>
      </c>
      <c r="K572" s="7">
        <v>0</v>
      </c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</row>
    <row r="573" spans="1:17">
      <c r="A573" s="2">
        <v>2521</v>
      </c>
      <c r="B573" s="7">
        <v>0</v>
      </c>
      <c r="C573" s="7">
        <v>0</v>
      </c>
      <c r="D573" s="7">
        <v>0</v>
      </c>
      <c r="E573" s="7">
        <v>0</v>
      </c>
      <c r="F573" s="7">
        <v>0</v>
      </c>
      <c r="G573" s="7">
        <v>0</v>
      </c>
      <c r="H573" s="7">
        <v>0</v>
      </c>
      <c r="I573" s="7">
        <v>0</v>
      </c>
      <c r="J573" s="7">
        <v>0</v>
      </c>
      <c r="K573" s="7">
        <v>0</v>
      </c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</row>
    <row r="574" spans="1:17">
      <c r="A574" s="2">
        <v>2522</v>
      </c>
      <c r="B574" s="7">
        <v>0</v>
      </c>
      <c r="C574" s="7">
        <v>0</v>
      </c>
      <c r="D574" s="7">
        <v>0</v>
      </c>
      <c r="E574" s="7">
        <v>0</v>
      </c>
      <c r="F574" s="7">
        <v>0</v>
      </c>
      <c r="G574" s="7">
        <v>0</v>
      </c>
      <c r="H574" s="7">
        <v>0</v>
      </c>
      <c r="I574" s="7">
        <v>0</v>
      </c>
      <c r="J574" s="7">
        <v>0</v>
      </c>
      <c r="K574" s="7">
        <v>0</v>
      </c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</row>
    <row r="575" spans="1:17">
      <c r="A575" s="2">
        <v>2523</v>
      </c>
      <c r="B575" s="7">
        <v>0</v>
      </c>
      <c r="C575" s="7">
        <v>0</v>
      </c>
      <c r="D575" s="7">
        <v>0</v>
      </c>
      <c r="E575" s="7">
        <v>0</v>
      </c>
      <c r="F575" s="7">
        <v>0</v>
      </c>
      <c r="G575" s="7">
        <v>0</v>
      </c>
      <c r="H575" s="7">
        <v>0</v>
      </c>
      <c r="I575" s="7">
        <v>0</v>
      </c>
      <c r="J575" s="7">
        <v>0</v>
      </c>
      <c r="K575" s="7">
        <v>0</v>
      </c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</row>
    <row r="576" spans="1:17">
      <c r="A576" s="2">
        <v>2524</v>
      </c>
      <c r="B576" s="7">
        <v>0</v>
      </c>
      <c r="C576" s="7">
        <v>0</v>
      </c>
      <c r="D576" s="7">
        <v>0</v>
      </c>
      <c r="E576" s="7">
        <v>0</v>
      </c>
      <c r="F576" s="7">
        <v>0</v>
      </c>
      <c r="G576" s="7">
        <v>0</v>
      </c>
      <c r="H576" s="7">
        <v>0</v>
      </c>
      <c r="I576" s="7">
        <v>0</v>
      </c>
      <c r="J576" s="7">
        <v>0</v>
      </c>
      <c r="K576" s="7">
        <v>0</v>
      </c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</row>
    <row r="577" spans="1:17">
      <c r="A577" s="2">
        <v>2525</v>
      </c>
      <c r="B577" s="7">
        <v>0</v>
      </c>
      <c r="C577" s="7">
        <v>0</v>
      </c>
      <c r="D577" s="7">
        <v>0</v>
      </c>
      <c r="E577" s="7">
        <v>0</v>
      </c>
      <c r="F577" s="7">
        <v>0</v>
      </c>
      <c r="G577" s="7">
        <v>0</v>
      </c>
      <c r="H577" s="7">
        <v>0</v>
      </c>
      <c r="I577" s="7">
        <v>0</v>
      </c>
      <c r="J577" s="7">
        <v>0</v>
      </c>
      <c r="K577" s="7">
        <v>0</v>
      </c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</row>
    <row r="578" spans="1:17">
      <c r="A578" s="2">
        <v>2526</v>
      </c>
      <c r="B578" s="7">
        <v>0</v>
      </c>
      <c r="C578" s="7">
        <v>0</v>
      </c>
      <c r="D578" s="7">
        <v>0</v>
      </c>
      <c r="E578" s="7">
        <v>0</v>
      </c>
      <c r="F578" s="7">
        <v>0</v>
      </c>
      <c r="G578" s="7">
        <v>0</v>
      </c>
      <c r="H578" s="7">
        <v>0</v>
      </c>
      <c r="I578" s="7">
        <v>0</v>
      </c>
      <c r="J578" s="7">
        <v>0</v>
      </c>
      <c r="K578" s="7">
        <v>0</v>
      </c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</row>
    <row r="579" spans="1:17">
      <c r="A579" s="2">
        <v>2527</v>
      </c>
      <c r="B579" s="7">
        <v>0</v>
      </c>
      <c r="C579" s="7">
        <v>0</v>
      </c>
      <c r="D579" s="7">
        <v>0</v>
      </c>
      <c r="E579" s="7">
        <v>0</v>
      </c>
      <c r="F579" s="7">
        <v>0</v>
      </c>
      <c r="G579" s="7">
        <v>0</v>
      </c>
      <c r="H579" s="7">
        <v>0</v>
      </c>
      <c r="I579" s="7">
        <v>0</v>
      </c>
      <c r="J579" s="7">
        <v>0</v>
      </c>
      <c r="K579" s="7">
        <v>0</v>
      </c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</row>
    <row r="580" spans="1:17">
      <c r="A580" s="2">
        <v>2528</v>
      </c>
      <c r="B580" s="7">
        <v>0</v>
      </c>
      <c r="C580" s="7">
        <v>0</v>
      </c>
      <c r="D580" s="7">
        <v>0</v>
      </c>
      <c r="E580" s="7">
        <v>0</v>
      </c>
      <c r="F580" s="7">
        <v>0</v>
      </c>
      <c r="G580" s="7">
        <v>0</v>
      </c>
      <c r="H580" s="7">
        <v>0</v>
      </c>
      <c r="I580" s="7">
        <v>0</v>
      </c>
      <c r="J580" s="7">
        <v>0</v>
      </c>
      <c r="K580" s="7">
        <v>0</v>
      </c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</row>
    <row r="581" spans="1:17">
      <c r="A581" s="2">
        <v>2529</v>
      </c>
      <c r="B581" s="7">
        <v>0</v>
      </c>
      <c r="C581" s="7">
        <v>0</v>
      </c>
      <c r="D581" s="7">
        <v>0</v>
      </c>
      <c r="E581" s="7">
        <v>0</v>
      </c>
      <c r="F581" s="7">
        <v>0</v>
      </c>
      <c r="G581" s="7">
        <v>0</v>
      </c>
      <c r="H581" s="7">
        <v>0</v>
      </c>
      <c r="I581" s="7">
        <v>0</v>
      </c>
      <c r="J581" s="7">
        <v>0</v>
      </c>
      <c r="K581" s="7">
        <v>0</v>
      </c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</row>
    <row r="582" spans="1:17">
      <c r="A582" s="2">
        <v>2530</v>
      </c>
      <c r="B582" s="7">
        <v>0</v>
      </c>
      <c r="C582" s="7">
        <v>0</v>
      </c>
      <c r="D582" s="7">
        <v>0</v>
      </c>
      <c r="E582" s="7">
        <v>0</v>
      </c>
      <c r="F582" s="7">
        <v>0</v>
      </c>
      <c r="G582" s="7">
        <v>0</v>
      </c>
      <c r="H582" s="7">
        <v>0</v>
      </c>
      <c r="I582" s="7">
        <v>0</v>
      </c>
      <c r="J582" s="7">
        <v>0</v>
      </c>
      <c r="K582" s="7">
        <v>0</v>
      </c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</row>
    <row r="583" spans="1:17">
      <c r="A583" s="2">
        <v>2531</v>
      </c>
      <c r="B583" s="7">
        <v>0</v>
      </c>
      <c r="C583" s="7">
        <v>0</v>
      </c>
      <c r="D583" s="7">
        <v>0</v>
      </c>
      <c r="E583" s="7">
        <v>0</v>
      </c>
      <c r="F583" s="7">
        <v>0</v>
      </c>
      <c r="G583" s="7">
        <v>0</v>
      </c>
      <c r="H583" s="7">
        <v>0</v>
      </c>
      <c r="I583" s="7">
        <v>0</v>
      </c>
      <c r="J583" s="7">
        <v>0</v>
      </c>
      <c r="K583" s="7">
        <v>0</v>
      </c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</row>
    <row r="584" spans="1:17">
      <c r="A584" s="2">
        <v>2532</v>
      </c>
      <c r="B584" s="7">
        <v>0</v>
      </c>
      <c r="C584" s="7">
        <v>0</v>
      </c>
      <c r="D584" s="7">
        <v>0</v>
      </c>
      <c r="E584" s="7">
        <v>0</v>
      </c>
      <c r="F584" s="7">
        <v>0</v>
      </c>
      <c r="G584" s="7">
        <v>0</v>
      </c>
      <c r="H584" s="7">
        <v>0</v>
      </c>
      <c r="I584" s="7">
        <v>0</v>
      </c>
      <c r="J584" s="7">
        <v>0</v>
      </c>
      <c r="K584" s="7">
        <v>0</v>
      </c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</row>
    <row r="585" spans="1:17">
      <c r="A585" s="2">
        <v>2533</v>
      </c>
      <c r="B585" s="7">
        <v>0</v>
      </c>
      <c r="C585" s="7">
        <v>0</v>
      </c>
      <c r="D585" s="7">
        <v>0</v>
      </c>
      <c r="E585" s="7">
        <v>0</v>
      </c>
      <c r="F585" s="7">
        <v>0</v>
      </c>
      <c r="G585" s="7">
        <v>0</v>
      </c>
      <c r="H585" s="7">
        <v>0</v>
      </c>
      <c r="I585" s="7">
        <v>0</v>
      </c>
      <c r="J585" s="7">
        <v>0</v>
      </c>
      <c r="K585" s="7">
        <v>0</v>
      </c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</row>
    <row r="586" spans="1:17">
      <c r="A586" s="2">
        <v>2534</v>
      </c>
      <c r="B586" s="7">
        <v>0</v>
      </c>
      <c r="C586" s="7">
        <v>0</v>
      </c>
      <c r="D586" s="7">
        <v>0</v>
      </c>
      <c r="E586" s="7">
        <v>0</v>
      </c>
      <c r="F586" s="7">
        <v>0</v>
      </c>
      <c r="G586" s="7">
        <v>0</v>
      </c>
      <c r="H586" s="7">
        <v>0</v>
      </c>
      <c r="I586" s="7">
        <v>0</v>
      </c>
      <c r="J586" s="7">
        <v>0</v>
      </c>
      <c r="K586" s="7">
        <v>0</v>
      </c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</row>
    <row r="587" spans="1:17">
      <c r="A587" s="2">
        <v>2535</v>
      </c>
      <c r="B587" s="7">
        <v>0</v>
      </c>
      <c r="C587" s="7">
        <v>0</v>
      </c>
      <c r="D587" s="7">
        <v>0</v>
      </c>
      <c r="E587" s="7">
        <v>0</v>
      </c>
      <c r="F587" s="7">
        <v>0</v>
      </c>
      <c r="G587" s="7">
        <v>0</v>
      </c>
      <c r="H587" s="7">
        <v>0</v>
      </c>
      <c r="I587" s="7">
        <v>0</v>
      </c>
      <c r="J587" s="7">
        <v>0</v>
      </c>
      <c r="K587" s="7">
        <v>0</v>
      </c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</row>
    <row r="588" spans="1:17">
      <c r="A588" s="2">
        <v>2536</v>
      </c>
      <c r="B588" s="7">
        <v>0</v>
      </c>
      <c r="C588" s="7">
        <v>0</v>
      </c>
      <c r="D588" s="7">
        <v>0</v>
      </c>
      <c r="E588" s="7">
        <v>0</v>
      </c>
      <c r="F588" s="7">
        <v>0</v>
      </c>
      <c r="G588" s="7">
        <v>0</v>
      </c>
      <c r="H588" s="7">
        <v>0</v>
      </c>
      <c r="I588" s="7">
        <v>0</v>
      </c>
      <c r="J588" s="7">
        <v>0</v>
      </c>
      <c r="K588" s="7">
        <v>0</v>
      </c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</row>
    <row r="589" spans="1:17">
      <c r="A589" s="2">
        <v>2537</v>
      </c>
      <c r="B589" s="7">
        <v>0</v>
      </c>
      <c r="C589" s="7">
        <v>0</v>
      </c>
      <c r="D589" s="7">
        <v>0</v>
      </c>
      <c r="E589" s="7">
        <v>0</v>
      </c>
      <c r="F589" s="7">
        <v>0</v>
      </c>
      <c r="G589" s="7">
        <v>0</v>
      </c>
      <c r="H589" s="7">
        <v>0</v>
      </c>
      <c r="I589" s="7">
        <v>0</v>
      </c>
      <c r="J589" s="7">
        <v>0</v>
      </c>
      <c r="K589" s="7">
        <v>0</v>
      </c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</row>
    <row r="590" spans="1:17">
      <c r="A590" s="2">
        <v>2538</v>
      </c>
      <c r="B590" s="7">
        <v>0</v>
      </c>
      <c r="C590" s="7">
        <v>0</v>
      </c>
      <c r="D590" s="7">
        <v>0</v>
      </c>
      <c r="E590" s="7">
        <v>0</v>
      </c>
      <c r="F590" s="7">
        <v>0</v>
      </c>
      <c r="G590" s="7">
        <v>0</v>
      </c>
      <c r="H590" s="7">
        <v>0</v>
      </c>
      <c r="I590" s="7">
        <v>0</v>
      </c>
      <c r="J590" s="7">
        <v>0</v>
      </c>
      <c r="K590" s="7">
        <v>0</v>
      </c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</row>
    <row r="591" spans="1:17">
      <c r="A591" s="2">
        <v>2539</v>
      </c>
      <c r="B591" s="7">
        <v>0</v>
      </c>
      <c r="C591" s="7">
        <v>0</v>
      </c>
      <c r="D591" s="7">
        <v>0</v>
      </c>
      <c r="E591" s="7">
        <v>0</v>
      </c>
      <c r="F591" s="7">
        <v>0</v>
      </c>
      <c r="G591" s="7">
        <v>0</v>
      </c>
      <c r="H591" s="7">
        <v>0</v>
      </c>
      <c r="I591" s="7">
        <v>0</v>
      </c>
      <c r="J591" s="7">
        <v>0</v>
      </c>
      <c r="K591" s="7">
        <v>0</v>
      </c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</row>
    <row r="592" spans="1:17">
      <c r="A592" s="2">
        <v>2540</v>
      </c>
      <c r="B592" s="7">
        <v>0</v>
      </c>
      <c r="C592" s="7">
        <v>0</v>
      </c>
      <c r="D592" s="7">
        <v>0</v>
      </c>
      <c r="E592" s="7">
        <v>0</v>
      </c>
      <c r="F592" s="7">
        <v>0</v>
      </c>
      <c r="G592" s="7">
        <v>0</v>
      </c>
      <c r="H592" s="7">
        <v>0</v>
      </c>
      <c r="I592" s="7">
        <v>0</v>
      </c>
      <c r="J592" s="7">
        <v>0</v>
      </c>
      <c r="K592" s="7">
        <v>0</v>
      </c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</row>
    <row r="593" spans="1:17">
      <c r="A593" s="2">
        <v>2541</v>
      </c>
      <c r="B593" s="7">
        <v>0</v>
      </c>
      <c r="C593" s="7">
        <v>0</v>
      </c>
      <c r="D593" s="7">
        <v>0</v>
      </c>
      <c r="E593" s="7">
        <v>0</v>
      </c>
      <c r="F593" s="7">
        <v>0</v>
      </c>
      <c r="G593" s="7">
        <v>0</v>
      </c>
      <c r="H593" s="7">
        <v>0</v>
      </c>
      <c r="I593" s="7">
        <v>0</v>
      </c>
      <c r="J593" s="7">
        <v>0</v>
      </c>
      <c r="K593" s="7">
        <v>0</v>
      </c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</row>
    <row r="594" spans="1:17">
      <c r="A594" s="2">
        <v>2542</v>
      </c>
      <c r="B594" s="7">
        <v>0</v>
      </c>
      <c r="C594" s="7">
        <v>0</v>
      </c>
      <c r="D594" s="7">
        <v>0</v>
      </c>
      <c r="E594" s="7">
        <v>0</v>
      </c>
      <c r="F594" s="7">
        <v>0</v>
      </c>
      <c r="G594" s="7">
        <v>0</v>
      </c>
      <c r="H594" s="7">
        <v>0</v>
      </c>
      <c r="I594" s="7">
        <v>0</v>
      </c>
      <c r="J594" s="7">
        <v>0</v>
      </c>
      <c r="K594" s="7">
        <v>0</v>
      </c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</row>
    <row r="595" spans="1:17">
      <c r="A595" s="2">
        <v>2543</v>
      </c>
      <c r="B595" s="7">
        <v>0</v>
      </c>
      <c r="C595" s="7">
        <v>0</v>
      </c>
      <c r="D595" s="7">
        <v>0</v>
      </c>
      <c r="E595" s="7">
        <v>0</v>
      </c>
      <c r="F595" s="7">
        <v>0</v>
      </c>
      <c r="G595" s="7">
        <v>0</v>
      </c>
      <c r="H595" s="7">
        <v>0</v>
      </c>
      <c r="I595" s="7">
        <v>0</v>
      </c>
      <c r="J595" s="7">
        <v>0</v>
      </c>
      <c r="K595" s="7">
        <v>0</v>
      </c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</row>
    <row r="596" spans="1:17">
      <c r="A596" s="2">
        <v>2544</v>
      </c>
      <c r="B596" s="7">
        <v>0</v>
      </c>
      <c r="C596" s="7">
        <v>0</v>
      </c>
      <c r="D596" s="7">
        <v>0</v>
      </c>
      <c r="E596" s="7">
        <v>0</v>
      </c>
      <c r="F596" s="7">
        <v>0</v>
      </c>
      <c r="G596" s="7">
        <v>0</v>
      </c>
      <c r="H596" s="7">
        <v>0</v>
      </c>
      <c r="I596" s="7">
        <v>0</v>
      </c>
      <c r="J596" s="7">
        <v>0</v>
      </c>
      <c r="K596" s="7">
        <v>0</v>
      </c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</row>
    <row r="597" spans="1:17">
      <c r="A597" s="2">
        <v>2545</v>
      </c>
      <c r="B597" s="7">
        <v>0</v>
      </c>
      <c r="C597" s="7">
        <v>0</v>
      </c>
      <c r="D597" s="7">
        <v>0</v>
      </c>
      <c r="E597" s="7">
        <v>0</v>
      </c>
      <c r="F597" s="7">
        <v>0</v>
      </c>
      <c r="G597" s="7">
        <v>0</v>
      </c>
      <c r="H597" s="7">
        <v>0</v>
      </c>
      <c r="I597" s="7">
        <v>0</v>
      </c>
      <c r="J597" s="7">
        <v>0</v>
      </c>
      <c r="K597" s="7">
        <v>0</v>
      </c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</row>
    <row r="598" spans="1:17">
      <c r="A598" s="2">
        <v>2546</v>
      </c>
      <c r="B598" s="7">
        <v>0</v>
      </c>
      <c r="C598" s="7">
        <v>0</v>
      </c>
      <c r="D598" s="7">
        <v>0</v>
      </c>
      <c r="E598" s="7">
        <v>0</v>
      </c>
      <c r="F598" s="7">
        <v>0</v>
      </c>
      <c r="G598" s="7">
        <v>0</v>
      </c>
      <c r="H598" s="7">
        <v>0</v>
      </c>
      <c r="I598" s="7">
        <v>0</v>
      </c>
      <c r="J598" s="7">
        <v>0</v>
      </c>
      <c r="K598" s="7">
        <v>0</v>
      </c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</row>
    <row r="599" spans="1:17">
      <c r="A599" s="2">
        <v>2547</v>
      </c>
      <c r="B599" s="7">
        <v>0</v>
      </c>
      <c r="C599" s="7">
        <v>0</v>
      </c>
      <c r="D599" s="7">
        <v>0</v>
      </c>
      <c r="E599" s="7">
        <v>0</v>
      </c>
      <c r="F599" s="7">
        <v>0</v>
      </c>
      <c r="G599" s="7">
        <v>0</v>
      </c>
      <c r="H599" s="7">
        <v>0</v>
      </c>
      <c r="I599" s="7">
        <v>0</v>
      </c>
      <c r="J599" s="7">
        <v>0</v>
      </c>
      <c r="K599" s="7">
        <v>0</v>
      </c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</row>
    <row r="600" spans="1:17">
      <c r="A600" s="2">
        <v>2548</v>
      </c>
      <c r="B600" s="7">
        <v>0</v>
      </c>
      <c r="C600" s="7">
        <v>0</v>
      </c>
      <c r="D600" s="7">
        <v>0</v>
      </c>
      <c r="E600" s="7">
        <v>0</v>
      </c>
      <c r="F600" s="7">
        <v>0</v>
      </c>
      <c r="G600" s="7">
        <v>0</v>
      </c>
      <c r="H600" s="7">
        <v>0</v>
      </c>
      <c r="I600" s="7">
        <v>0</v>
      </c>
      <c r="J600" s="7">
        <v>0</v>
      </c>
      <c r="K600" s="7">
        <v>0</v>
      </c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</row>
    <row r="601" spans="1:17">
      <c r="A601" s="2">
        <v>2549</v>
      </c>
      <c r="B601" s="7">
        <v>0</v>
      </c>
      <c r="C601" s="7">
        <v>0</v>
      </c>
      <c r="D601" s="7">
        <v>0</v>
      </c>
      <c r="E601" s="7">
        <v>0</v>
      </c>
      <c r="F601" s="7">
        <v>0</v>
      </c>
      <c r="G601" s="7">
        <v>0</v>
      </c>
      <c r="H601" s="7">
        <v>0</v>
      </c>
      <c r="I601" s="7">
        <v>0</v>
      </c>
      <c r="J601" s="7">
        <v>0</v>
      </c>
      <c r="K601" s="7">
        <v>0</v>
      </c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</row>
    <row r="602" spans="1:17">
      <c r="A602" s="2">
        <v>2550</v>
      </c>
      <c r="B602" s="7">
        <v>0</v>
      </c>
      <c r="C602" s="7">
        <v>0</v>
      </c>
      <c r="D602" s="7">
        <v>0</v>
      </c>
      <c r="E602" s="7">
        <v>0</v>
      </c>
      <c r="F602" s="7">
        <v>0</v>
      </c>
      <c r="G602" s="7">
        <v>0</v>
      </c>
      <c r="H602" s="7">
        <v>0</v>
      </c>
      <c r="I602" s="7">
        <v>0</v>
      </c>
      <c r="J602" s="7">
        <v>0</v>
      </c>
      <c r="K602" s="7">
        <v>0</v>
      </c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</row>
    <row r="603" spans="1:17">
      <c r="A603" s="2">
        <v>2551</v>
      </c>
      <c r="B603" s="7">
        <v>0</v>
      </c>
      <c r="C603" s="7">
        <v>0</v>
      </c>
      <c r="D603" s="7">
        <v>0</v>
      </c>
      <c r="E603" s="7">
        <v>0</v>
      </c>
      <c r="F603" s="7">
        <v>0</v>
      </c>
      <c r="G603" s="7">
        <v>0</v>
      </c>
      <c r="H603" s="7">
        <v>0</v>
      </c>
      <c r="I603" s="7">
        <v>0</v>
      </c>
      <c r="J603" s="7">
        <v>0</v>
      </c>
      <c r="K603" s="7">
        <v>0</v>
      </c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</row>
    <row r="604" spans="1:17">
      <c r="A604" s="2">
        <v>2552</v>
      </c>
      <c r="B604" s="7">
        <v>0</v>
      </c>
      <c r="C604" s="7">
        <v>0</v>
      </c>
      <c r="D604" s="7">
        <v>0</v>
      </c>
      <c r="E604" s="7">
        <v>0</v>
      </c>
      <c r="F604" s="7">
        <v>0</v>
      </c>
      <c r="G604" s="7">
        <v>0</v>
      </c>
      <c r="H604" s="7">
        <v>0</v>
      </c>
      <c r="I604" s="7">
        <v>0</v>
      </c>
      <c r="J604" s="7">
        <v>0</v>
      </c>
      <c r="K604" s="7">
        <v>0</v>
      </c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</row>
    <row r="605" spans="1:17">
      <c r="A605" s="2">
        <v>2553</v>
      </c>
      <c r="B605" s="7">
        <v>0</v>
      </c>
      <c r="C605" s="7">
        <v>0</v>
      </c>
      <c r="D605" s="7">
        <v>0</v>
      </c>
      <c r="E605" s="7">
        <v>0</v>
      </c>
      <c r="F605" s="7">
        <v>0</v>
      </c>
      <c r="G605" s="7">
        <v>0</v>
      </c>
      <c r="H605" s="7">
        <v>0</v>
      </c>
      <c r="I605" s="7">
        <v>0</v>
      </c>
      <c r="J605" s="7">
        <v>0</v>
      </c>
      <c r="K605" s="7">
        <v>0</v>
      </c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</row>
    <row r="606" spans="1:17">
      <c r="A606" s="2">
        <v>2554</v>
      </c>
      <c r="B606" s="7">
        <v>0</v>
      </c>
      <c r="C606" s="7">
        <v>0</v>
      </c>
      <c r="D606" s="7">
        <v>0</v>
      </c>
      <c r="E606" s="7">
        <v>0</v>
      </c>
      <c r="F606" s="7">
        <v>0</v>
      </c>
      <c r="G606" s="7">
        <v>0</v>
      </c>
      <c r="H606" s="7">
        <v>0</v>
      </c>
      <c r="I606" s="7">
        <v>0</v>
      </c>
      <c r="J606" s="7">
        <v>0</v>
      </c>
      <c r="K606" s="7">
        <v>0</v>
      </c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</row>
    <row r="607" spans="1:17">
      <c r="A607" s="2">
        <v>2555</v>
      </c>
      <c r="B607" s="7">
        <v>0</v>
      </c>
      <c r="C607" s="7">
        <v>0</v>
      </c>
      <c r="D607" s="7">
        <v>0</v>
      </c>
      <c r="E607" s="7">
        <v>0</v>
      </c>
      <c r="F607" s="7">
        <v>0</v>
      </c>
      <c r="G607" s="7">
        <v>0</v>
      </c>
      <c r="H607" s="7">
        <v>0</v>
      </c>
      <c r="I607" s="7">
        <v>0</v>
      </c>
      <c r="J607" s="7">
        <v>0</v>
      </c>
      <c r="K607" s="7">
        <v>0</v>
      </c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</row>
    <row r="608" spans="1:17">
      <c r="A608" s="2">
        <v>2556</v>
      </c>
      <c r="B608" s="7">
        <v>0</v>
      </c>
      <c r="C608" s="7">
        <v>0</v>
      </c>
      <c r="D608" s="7">
        <v>0</v>
      </c>
      <c r="E608" s="7">
        <v>0</v>
      </c>
      <c r="F608" s="7">
        <v>0</v>
      </c>
      <c r="G608" s="7">
        <v>0</v>
      </c>
      <c r="H608" s="7">
        <v>0</v>
      </c>
      <c r="I608" s="7">
        <v>0</v>
      </c>
      <c r="J608" s="7">
        <v>0</v>
      </c>
      <c r="K608" s="7">
        <v>0</v>
      </c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</row>
    <row r="609" spans="1:17">
      <c r="A609" s="2">
        <v>2557</v>
      </c>
      <c r="B609" s="7">
        <v>0</v>
      </c>
      <c r="C609" s="7">
        <v>0</v>
      </c>
      <c r="D609" s="7">
        <v>0</v>
      </c>
      <c r="E609" s="7">
        <v>0</v>
      </c>
      <c r="F609" s="7">
        <v>0</v>
      </c>
      <c r="G609" s="7">
        <v>0</v>
      </c>
      <c r="H609" s="7">
        <v>0</v>
      </c>
      <c r="I609" s="7">
        <v>0</v>
      </c>
      <c r="J609" s="7">
        <v>0</v>
      </c>
      <c r="K609" s="7">
        <v>0</v>
      </c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</row>
    <row r="610" spans="1:17">
      <c r="A610" s="2">
        <v>2558</v>
      </c>
      <c r="B610" s="7">
        <v>0</v>
      </c>
      <c r="C610" s="7">
        <v>0</v>
      </c>
      <c r="D610" s="7">
        <v>0</v>
      </c>
      <c r="E610" s="7">
        <v>0</v>
      </c>
      <c r="F610" s="7">
        <v>0</v>
      </c>
      <c r="G610" s="7">
        <v>0</v>
      </c>
      <c r="H610" s="7">
        <v>0</v>
      </c>
      <c r="I610" s="7">
        <v>0</v>
      </c>
      <c r="J610" s="7">
        <v>0</v>
      </c>
      <c r="K610" s="7">
        <v>0</v>
      </c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</row>
    <row r="611" spans="1:17">
      <c r="A611" s="2">
        <v>2559</v>
      </c>
      <c r="B611" s="7">
        <v>0</v>
      </c>
      <c r="C611" s="7">
        <v>0</v>
      </c>
      <c r="D611" s="7">
        <v>0</v>
      </c>
      <c r="E611" s="7">
        <v>0</v>
      </c>
      <c r="F611" s="7">
        <v>0</v>
      </c>
      <c r="G611" s="7">
        <v>0</v>
      </c>
      <c r="H611" s="7">
        <v>0</v>
      </c>
      <c r="I611" s="7">
        <v>0</v>
      </c>
      <c r="J611" s="7">
        <v>0</v>
      </c>
      <c r="K611" s="7">
        <v>0</v>
      </c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</row>
    <row r="612" spans="1:17">
      <c r="A612" s="2">
        <v>2560</v>
      </c>
      <c r="B612" s="7">
        <v>0</v>
      </c>
      <c r="C612" s="7">
        <v>0</v>
      </c>
      <c r="D612" s="7">
        <v>0</v>
      </c>
      <c r="E612" s="7">
        <v>0</v>
      </c>
      <c r="F612" s="7">
        <v>0</v>
      </c>
      <c r="G612" s="7">
        <v>0</v>
      </c>
      <c r="H612" s="7">
        <v>0</v>
      </c>
      <c r="I612" s="7">
        <v>0</v>
      </c>
      <c r="J612" s="7">
        <v>0</v>
      </c>
      <c r="K612" s="7">
        <v>0</v>
      </c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</row>
    <row r="613" spans="1:17">
      <c r="A613" s="2">
        <v>2561</v>
      </c>
      <c r="B613" s="7">
        <v>0</v>
      </c>
      <c r="C613" s="7">
        <v>0</v>
      </c>
      <c r="D613" s="7">
        <v>0</v>
      </c>
      <c r="E613" s="7">
        <v>0</v>
      </c>
      <c r="F613" s="7">
        <v>0</v>
      </c>
      <c r="G613" s="7">
        <v>0</v>
      </c>
      <c r="H613" s="7">
        <v>0</v>
      </c>
      <c r="I613" s="7">
        <v>0</v>
      </c>
      <c r="J613" s="7">
        <v>0</v>
      </c>
      <c r="K613" s="7">
        <v>0</v>
      </c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</row>
    <row r="614" spans="1:17">
      <c r="A614" s="2">
        <v>2562</v>
      </c>
      <c r="B614" s="7">
        <v>0</v>
      </c>
      <c r="C614" s="7">
        <v>0</v>
      </c>
      <c r="D614" s="7">
        <v>0</v>
      </c>
      <c r="E614" s="7">
        <v>0</v>
      </c>
      <c r="F614" s="7">
        <v>0</v>
      </c>
      <c r="G614" s="7">
        <v>0</v>
      </c>
      <c r="H614" s="7">
        <v>0</v>
      </c>
      <c r="I614" s="7">
        <v>0</v>
      </c>
      <c r="J614" s="7">
        <v>0</v>
      </c>
      <c r="K614" s="7">
        <v>0</v>
      </c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</row>
    <row r="615" spans="1:17">
      <c r="A615" s="2">
        <v>2563</v>
      </c>
      <c r="B615" s="7">
        <v>0</v>
      </c>
      <c r="C615" s="7">
        <v>0</v>
      </c>
      <c r="D615" s="7">
        <v>0</v>
      </c>
      <c r="E615" s="7">
        <v>0</v>
      </c>
      <c r="F615" s="7">
        <v>0</v>
      </c>
      <c r="G615" s="7">
        <v>0</v>
      </c>
      <c r="H615" s="7">
        <v>0</v>
      </c>
      <c r="I615" s="7">
        <v>0</v>
      </c>
      <c r="J615" s="7">
        <v>0</v>
      </c>
      <c r="K615" s="7">
        <v>0</v>
      </c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</row>
    <row r="616" spans="1:17">
      <c r="A616" s="2">
        <v>2564</v>
      </c>
      <c r="B616" s="7">
        <v>0</v>
      </c>
      <c r="C616" s="7">
        <v>0</v>
      </c>
      <c r="D616" s="7">
        <v>0</v>
      </c>
      <c r="E616" s="7">
        <v>0</v>
      </c>
      <c r="F616" s="7">
        <v>0</v>
      </c>
      <c r="G616" s="7">
        <v>0</v>
      </c>
      <c r="H616" s="7">
        <v>0</v>
      </c>
      <c r="I616" s="7">
        <v>0</v>
      </c>
      <c r="J616" s="7">
        <v>0</v>
      </c>
      <c r="K616" s="7">
        <v>0</v>
      </c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</row>
    <row r="617" spans="1:17">
      <c r="A617" s="2">
        <v>2565</v>
      </c>
      <c r="B617" s="7">
        <v>0</v>
      </c>
      <c r="C617" s="7">
        <v>0</v>
      </c>
      <c r="D617" s="7">
        <v>0</v>
      </c>
      <c r="E617" s="7">
        <v>0</v>
      </c>
      <c r="F617" s="7">
        <v>0</v>
      </c>
      <c r="G617" s="7">
        <v>0</v>
      </c>
      <c r="H617" s="7">
        <v>0</v>
      </c>
      <c r="I617" s="7">
        <v>0</v>
      </c>
      <c r="J617" s="7">
        <v>0</v>
      </c>
      <c r="K617" s="7">
        <v>0</v>
      </c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</row>
    <row r="618" spans="1:17">
      <c r="A618" s="2">
        <v>2566</v>
      </c>
      <c r="B618" s="7">
        <v>0</v>
      </c>
      <c r="C618" s="7">
        <v>0</v>
      </c>
      <c r="D618" s="7">
        <v>0</v>
      </c>
      <c r="E618" s="7">
        <v>0</v>
      </c>
      <c r="F618" s="7">
        <v>0</v>
      </c>
      <c r="G618" s="7">
        <v>0</v>
      </c>
      <c r="H618" s="7">
        <v>0</v>
      </c>
      <c r="I618" s="7">
        <v>0</v>
      </c>
      <c r="J618" s="7">
        <v>0</v>
      </c>
      <c r="K618" s="7">
        <v>0</v>
      </c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</row>
    <row r="619" spans="1:17">
      <c r="A619" s="2">
        <v>2567</v>
      </c>
      <c r="B619" s="7">
        <v>0</v>
      </c>
      <c r="C619" s="7">
        <v>0</v>
      </c>
      <c r="D619" s="7">
        <v>0</v>
      </c>
      <c r="E619" s="7">
        <v>0</v>
      </c>
      <c r="F619" s="7">
        <v>0</v>
      </c>
      <c r="G619" s="7">
        <v>0</v>
      </c>
      <c r="H619" s="7">
        <v>0</v>
      </c>
      <c r="I619" s="7">
        <v>0</v>
      </c>
      <c r="J619" s="7">
        <v>0</v>
      </c>
      <c r="K619" s="7">
        <v>0</v>
      </c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</row>
    <row r="620" spans="1:17">
      <c r="A620" s="2">
        <v>2568</v>
      </c>
      <c r="B620" s="7">
        <v>0</v>
      </c>
      <c r="C620" s="7">
        <v>0</v>
      </c>
      <c r="D620" s="7">
        <v>0</v>
      </c>
      <c r="E620" s="7">
        <v>0</v>
      </c>
      <c r="F620" s="7">
        <v>0</v>
      </c>
      <c r="G620" s="7">
        <v>0</v>
      </c>
      <c r="H620" s="7">
        <v>0</v>
      </c>
      <c r="I620" s="7">
        <v>0</v>
      </c>
      <c r="J620" s="7">
        <v>0</v>
      </c>
      <c r="K620" s="7">
        <v>0</v>
      </c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</row>
    <row r="621" spans="1:17">
      <c r="A621" s="2">
        <v>2569</v>
      </c>
      <c r="B621" s="7">
        <v>0</v>
      </c>
      <c r="C621" s="7">
        <v>0</v>
      </c>
      <c r="D621" s="7">
        <v>0</v>
      </c>
      <c r="E621" s="7">
        <v>0</v>
      </c>
      <c r="F621" s="7">
        <v>0</v>
      </c>
      <c r="G621" s="7">
        <v>0</v>
      </c>
      <c r="H621" s="7">
        <v>0</v>
      </c>
      <c r="I621" s="7">
        <v>0</v>
      </c>
      <c r="J621" s="7">
        <v>0</v>
      </c>
      <c r="K621" s="7">
        <v>0</v>
      </c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</row>
    <row r="622" spans="1:17">
      <c r="A622" s="2">
        <v>2570</v>
      </c>
      <c r="B622" s="7">
        <v>0</v>
      </c>
      <c r="C622" s="7">
        <v>0</v>
      </c>
      <c r="D622" s="7">
        <v>0</v>
      </c>
      <c r="E622" s="7">
        <v>0</v>
      </c>
      <c r="F622" s="7">
        <v>0</v>
      </c>
      <c r="G622" s="7">
        <v>0</v>
      </c>
      <c r="H622" s="7">
        <v>0</v>
      </c>
      <c r="I622" s="7">
        <v>0</v>
      </c>
      <c r="J622" s="7">
        <v>0</v>
      </c>
      <c r="K622" s="7">
        <v>0</v>
      </c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</row>
    <row r="623" spans="1:17">
      <c r="A623" s="2">
        <v>2571</v>
      </c>
      <c r="B623" s="7">
        <v>0</v>
      </c>
      <c r="C623" s="7">
        <v>0</v>
      </c>
      <c r="D623" s="7">
        <v>0</v>
      </c>
      <c r="E623" s="7">
        <v>0</v>
      </c>
      <c r="F623" s="7">
        <v>0</v>
      </c>
      <c r="G623" s="7">
        <v>0</v>
      </c>
      <c r="H623" s="7">
        <v>0</v>
      </c>
      <c r="I623" s="7">
        <v>0</v>
      </c>
      <c r="J623" s="7">
        <v>0</v>
      </c>
      <c r="K623" s="7">
        <v>0</v>
      </c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</row>
    <row r="624" spans="1:17">
      <c r="A624" s="2">
        <v>2572</v>
      </c>
      <c r="B624" s="7">
        <v>0</v>
      </c>
      <c r="C624" s="7">
        <v>0</v>
      </c>
      <c r="D624" s="7">
        <v>0</v>
      </c>
      <c r="E624" s="7">
        <v>0</v>
      </c>
      <c r="F624" s="7">
        <v>0</v>
      </c>
      <c r="G624" s="7">
        <v>0</v>
      </c>
      <c r="H624" s="7">
        <v>0</v>
      </c>
      <c r="I624" s="7">
        <v>0</v>
      </c>
      <c r="J624" s="7">
        <v>0</v>
      </c>
      <c r="K624" s="7">
        <v>0</v>
      </c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</row>
    <row r="625" spans="1:17">
      <c r="A625" s="2">
        <v>2573</v>
      </c>
      <c r="B625" s="7">
        <v>0</v>
      </c>
      <c r="C625" s="7">
        <v>0</v>
      </c>
      <c r="D625" s="7">
        <v>0</v>
      </c>
      <c r="E625" s="7">
        <v>0</v>
      </c>
      <c r="F625" s="7">
        <v>0</v>
      </c>
      <c r="G625" s="7">
        <v>0</v>
      </c>
      <c r="H625" s="7">
        <v>0</v>
      </c>
      <c r="I625" s="7">
        <v>0</v>
      </c>
      <c r="J625" s="7">
        <v>0</v>
      </c>
      <c r="K625" s="7">
        <v>0</v>
      </c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</row>
    <row r="626" spans="1:17">
      <c r="A626" s="2">
        <v>2574</v>
      </c>
      <c r="B626" s="7">
        <v>0</v>
      </c>
      <c r="C626" s="7">
        <v>0</v>
      </c>
      <c r="D626" s="7">
        <v>0</v>
      </c>
      <c r="E626" s="7">
        <v>0</v>
      </c>
      <c r="F626" s="7">
        <v>0</v>
      </c>
      <c r="G626" s="7">
        <v>0</v>
      </c>
      <c r="H626" s="7">
        <v>0</v>
      </c>
      <c r="I626" s="7">
        <v>0</v>
      </c>
      <c r="J626" s="7">
        <v>0</v>
      </c>
      <c r="K626" s="7">
        <v>0</v>
      </c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</row>
    <row r="627" spans="1:17">
      <c r="A627" s="2">
        <v>2575</v>
      </c>
      <c r="B627" s="7">
        <v>0</v>
      </c>
      <c r="C627" s="7">
        <v>0</v>
      </c>
      <c r="D627" s="7">
        <v>0</v>
      </c>
      <c r="E627" s="7">
        <v>0</v>
      </c>
      <c r="F627" s="7">
        <v>0</v>
      </c>
      <c r="G627" s="7">
        <v>0</v>
      </c>
      <c r="H627" s="7">
        <v>0</v>
      </c>
      <c r="I627" s="7">
        <v>0</v>
      </c>
      <c r="J627" s="7">
        <v>0</v>
      </c>
      <c r="K627" s="7">
        <v>0</v>
      </c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</row>
    <row r="628" spans="1:17">
      <c r="A628" s="2">
        <v>2576</v>
      </c>
      <c r="B628" s="7">
        <v>0</v>
      </c>
      <c r="C628" s="7">
        <v>0</v>
      </c>
      <c r="D628" s="7">
        <v>0</v>
      </c>
      <c r="E628" s="7">
        <v>0</v>
      </c>
      <c r="F628" s="7">
        <v>0</v>
      </c>
      <c r="G628" s="7">
        <v>0</v>
      </c>
      <c r="H628" s="7">
        <v>0</v>
      </c>
      <c r="I628" s="7">
        <v>0</v>
      </c>
      <c r="J628" s="7">
        <v>0</v>
      </c>
      <c r="K628" s="7">
        <v>0</v>
      </c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</row>
    <row r="629" spans="1:17">
      <c r="A629" s="2">
        <v>2577</v>
      </c>
      <c r="B629" s="7">
        <v>0</v>
      </c>
      <c r="C629" s="7">
        <v>0</v>
      </c>
      <c r="D629" s="7">
        <v>0</v>
      </c>
      <c r="E629" s="7">
        <v>0</v>
      </c>
      <c r="F629" s="7">
        <v>0</v>
      </c>
      <c r="G629" s="7">
        <v>0</v>
      </c>
      <c r="H629" s="7">
        <v>0</v>
      </c>
      <c r="I629" s="7">
        <v>0</v>
      </c>
      <c r="J629" s="7">
        <v>0</v>
      </c>
      <c r="K629" s="7">
        <v>0</v>
      </c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</row>
    <row r="630" spans="1:17">
      <c r="A630" s="2">
        <v>2578</v>
      </c>
      <c r="B630" s="7">
        <v>0</v>
      </c>
      <c r="C630" s="7">
        <v>0</v>
      </c>
      <c r="D630" s="7">
        <v>0</v>
      </c>
      <c r="E630" s="7">
        <v>0</v>
      </c>
      <c r="F630" s="7">
        <v>0</v>
      </c>
      <c r="G630" s="7">
        <v>0</v>
      </c>
      <c r="H630" s="7">
        <v>0</v>
      </c>
      <c r="I630" s="7">
        <v>0</v>
      </c>
      <c r="J630" s="7">
        <v>0</v>
      </c>
      <c r="K630" s="7">
        <v>0</v>
      </c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</row>
    <row r="631" spans="1:17">
      <c r="A631" s="2">
        <v>2579</v>
      </c>
      <c r="B631" s="7">
        <v>0</v>
      </c>
      <c r="C631" s="7">
        <v>0</v>
      </c>
      <c r="D631" s="7">
        <v>0</v>
      </c>
      <c r="E631" s="7">
        <v>0</v>
      </c>
      <c r="F631" s="7">
        <v>0</v>
      </c>
      <c r="G631" s="7">
        <v>0</v>
      </c>
      <c r="H631" s="7">
        <v>0</v>
      </c>
      <c r="I631" s="7">
        <v>0</v>
      </c>
      <c r="J631" s="7">
        <v>0</v>
      </c>
      <c r="K631" s="7">
        <v>0</v>
      </c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</row>
    <row r="632" spans="1:17">
      <c r="A632" s="2">
        <v>2580</v>
      </c>
      <c r="B632" s="7">
        <v>0</v>
      </c>
      <c r="C632" s="7">
        <v>0</v>
      </c>
      <c r="D632" s="7">
        <v>0</v>
      </c>
      <c r="E632" s="7">
        <v>0</v>
      </c>
      <c r="F632" s="7">
        <v>0</v>
      </c>
      <c r="G632" s="7">
        <v>0</v>
      </c>
      <c r="H632" s="7">
        <v>0</v>
      </c>
      <c r="I632" s="7">
        <v>0</v>
      </c>
      <c r="J632" s="7">
        <v>0</v>
      </c>
      <c r="K632" s="7">
        <v>0</v>
      </c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</row>
    <row r="633" spans="1:17">
      <c r="A633" s="2">
        <v>2581</v>
      </c>
      <c r="B633" s="7">
        <v>0</v>
      </c>
      <c r="C633" s="7">
        <v>0</v>
      </c>
      <c r="D633" s="7">
        <v>0</v>
      </c>
      <c r="E633" s="7">
        <v>0</v>
      </c>
      <c r="F633" s="7">
        <v>0</v>
      </c>
      <c r="G633" s="7">
        <v>0</v>
      </c>
      <c r="H633" s="7">
        <v>0</v>
      </c>
      <c r="I633" s="7">
        <v>0</v>
      </c>
      <c r="J633" s="7">
        <v>0</v>
      </c>
      <c r="K633" s="7">
        <v>0</v>
      </c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</row>
    <row r="634" spans="1:17">
      <c r="A634" s="2">
        <v>2582</v>
      </c>
      <c r="B634" s="7">
        <v>0</v>
      </c>
      <c r="C634" s="7">
        <v>0</v>
      </c>
      <c r="D634" s="7">
        <v>0</v>
      </c>
      <c r="E634" s="7">
        <v>0</v>
      </c>
      <c r="F634" s="7">
        <v>0</v>
      </c>
      <c r="G634" s="7">
        <v>0</v>
      </c>
      <c r="H634" s="7">
        <v>0</v>
      </c>
      <c r="I634" s="7">
        <v>0</v>
      </c>
      <c r="J634" s="7">
        <v>0</v>
      </c>
      <c r="K634" s="7">
        <v>0</v>
      </c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</row>
    <row r="635" spans="1:17">
      <c r="A635" s="2">
        <v>2583</v>
      </c>
      <c r="B635" s="7">
        <v>0</v>
      </c>
      <c r="C635" s="7">
        <v>0</v>
      </c>
      <c r="D635" s="7">
        <v>0</v>
      </c>
      <c r="E635" s="7">
        <v>0</v>
      </c>
      <c r="F635" s="7">
        <v>0</v>
      </c>
      <c r="G635" s="7">
        <v>0</v>
      </c>
      <c r="H635" s="7">
        <v>0</v>
      </c>
      <c r="I635" s="7">
        <v>0</v>
      </c>
      <c r="J635" s="7">
        <v>0</v>
      </c>
      <c r="K635" s="7">
        <v>0</v>
      </c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</row>
    <row r="636" spans="1:17">
      <c r="A636" s="2">
        <v>2584</v>
      </c>
      <c r="B636" s="7">
        <v>0</v>
      </c>
      <c r="C636" s="7">
        <v>0</v>
      </c>
      <c r="D636" s="7">
        <v>0</v>
      </c>
      <c r="E636" s="7">
        <v>0</v>
      </c>
      <c r="F636" s="7">
        <v>0</v>
      </c>
      <c r="G636" s="7">
        <v>0</v>
      </c>
      <c r="H636" s="7">
        <v>0</v>
      </c>
      <c r="I636" s="7">
        <v>0</v>
      </c>
      <c r="J636" s="7">
        <v>0</v>
      </c>
      <c r="K636" s="7">
        <v>0</v>
      </c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</row>
    <row r="637" spans="1:17">
      <c r="A637" s="2">
        <v>2585</v>
      </c>
      <c r="B637" s="7">
        <v>0</v>
      </c>
      <c r="C637" s="7">
        <v>0</v>
      </c>
      <c r="D637" s="7">
        <v>0</v>
      </c>
      <c r="E637" s="7">
        <v>0</v>
      </c>
      <c r="F637" s="7">
        <v>0</v>
      </c>
      <c r="G637" s="7">
        <v>0</v>
      </c>
      <c r="H637" s="7">
        <v>0</v>
      </c>
      <c r="I637" s="7">
        <v>0</v>
      </c>
      <c r="J637" s="7">
        <v>0</v>
      </c>
      <c r="K637" s="7">
        <v>0</v>
      </c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</row>
    <row r="638" spans="1:17">
      <c r="A638" s="2">
        <v>2586</v>
      </c>
      <c r="B638" s="7">
        <v>0</v>
      </c>
      <c r="C638" s="7">
        <v>0</v>
      </c>
      <c r="D638" s="7">
        <v>0</v>
      </c>
      <c r="E638" s="7">
        <v>0</v>
      </c>
      <c r="F638" s="7">
        <v>0</v>
      </c>
      <c r="G638" s="7">
        <v>0</v>
      </c>
      <c r="H638" s="7">
        <v>0</v>
      </c>
      <c r="I638" s="7">
        <v>0</v>
      </c>
      <c r="J638" s="7">
        <v>0</v>
      </c>
      <c r="K638" s="7">
        <v>0</v>
      </c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</row>
    <row r="639" spans="1:17">
      <c r="A639" s="2">
        <v>2587</v>
      </c>
      <c r="B639" s="7">
        <v>0</v>
      </c>
      <c r="C639" s="7">
        <v>0</v>
      </c>
      <c r="D639" s="7">
        <v>0</v>
      </c>
      <c r="E639" s="7">
        <v>0</v>
      </c>
      <c r="F639" s="7">
        <v>0</v>
      </c>
      <c r="G639" s="7">
        <v>0</v>
      </c>
      <c r="H639" s="7">
        <v>0</v>
      </c>
      <c r="I639" s="7">
        <v>0</v>
      </c>
      <c r="J639" s="7">
        <v>0</v>
      </c>
      <c r="K639" s="7">
        <v>0</v>
      </c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</row>
    <row r="640" spans="1:17">
      <c r="A640" s="2">
        <v>2588</v>
      </c>
      <c r="B640" s="7">
        <v>0</v>
      </c>
      <c r="C640" s="7">
        <v>0</v>
      </c>
      <c r="D640" s="7">
        <v>0</v>
      </c>
      <c r="E640" s="7">
        <v>0</v>
      </c>
      <c r="F640" s="7">
        <v>0</v>
      </c>
      <c r="G640" s="7">
        <v>0</v>
      </c>
      <c r="H640" s="7">
        <v>0</v>
      </c>
      <c r="I640" s="7">
        <v>0</v>
      </c>
      <c r="J640" s="7">
        <v>0</v>
      </c>
      <c r="K640" s="7">
        <v>0</v>
      </c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</row>
    <row r="641" spans="1:17">
      <c r="A641" s="2">
        <v>2589</v>
      </c>
      <c r="B641" s="7">
        <v>0</v>
      </c>
      <c r="C641" s="7">
        <v>0</v>
      </c>
      <c r="D641" s="7">
        <v>0</v>
      </c>
      <c r="E641" s="7">
        <v>0</v>
      </c>
      <c r="F641" s="7">
        <v>0</v>
      </c>
      <c r="G641" s="7">
        <v>0</v>
      </c>
      <c r="H641" s="7">
        <v>0</v>
      </c>
      <c r="I641" s="7">
        <v>0</v>
      </c>
      <c r="J641" s="7">
        <v>0</v>
      </c>
      <c r="K641" s="7">
        <v>0</v>
      </c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</row>
    <row r="642" spans="1:17">
      <c r="A642" s="2">
        <v>2590</v>
      </c>
      <c r="B642" s="7">
        <v>0</v>
      </c>
      <c r="C642" s="7">
        <v>0</v>
      </c>
      <c r="D642" s="7">
        <v>0</v>
      </c>
      <c r="E642" s="7">
        <v>0</v>
      </c>
      <c r="F642" s="7">
        <v>0</v>
      </c>
      <c r="G642" s="7">
        <v>0</v>
      </c>
      <c r="H642" s="7">
        <v>0</v>
      </c>
      <c r="I642" s="7">
        <v>0</v>
      </c>
      <c r="J642" s="7">
        <v>0</v>
      </c>
      <c r="K642" s="7">
        <v>0</v>
      </c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</row>
    <row r="643" spans="1:17">
      <c r="A643" s="2">
        <v>2591</v>
      </c>
      <c r="B643" s="7">
        <v>0</v>
      </c>
      <c r="C643" s="7">
        <v>0</v>
      </c>
      <c r="D643" s="7">
        <v>0</v>
      </c>
      <c r="E643" s="7">
        <v>0</v>
      </c>
      <c r="F643" s="7">
        <v>0</v>
      </c>
      <c r="G643" s="7">
        <v>0</v>
      </c>
      <c r="H643" s="7">
        <v>0</v>
      </c>
      <c r="I643" s="7">
        <v>0</v>
      </c>
      <c r="J643" s="7">
        <v>0</v>
      </c>
      <c r="K643" s="7">
        <v>0</v>
      </c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</row>
    <row r="644" spans="1:17">
      <c r="A644" s="2">
        <v>2592</v>
      </c>
      <c r="B644" s="7">
        <v>0</v>
      </c>
      <c r="C644" s="7">
        <v>0</v>
      </c>
      <c r="D644" s="7">
        <v>0</v>
      </c>
      <c r="E644" s="7">
        <v>0</v>
      </c>
      <c r="F644" s="7">
        <v>0</v>
      </c>
      <c r="G644" s="7">
        <v>0</v>
      </c>
      <c r="H644" s="7">
        <v>0</v>
      </c>
      <c r="I644" s="7">
        <v>0</v>
      </c>
      <c r="J644" s="7">
        <v>0</v>
      </c>
      <c r="K644" s="7">
        <v>0</v>
      </c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</row>
    <row r="645" spans="1:17">
      <c r="A645" s="2">
        <v>2593</v>
      </c>
      <c r="B645" s="7">
        <v>0</v>
      </c>
      <c r="C645" s="7">
        <v>0</v>
      </c>
      <c r="D645" s="7">
        <v>0</v>
      </c>
      <c r="E645" s="7">
        <v>0</v>
      </c>
      <c r="F645" s="7">
        <v>0</v>
      </c>
      <c r="G645" s="7">
        <v>0</v>
      </c>
      <c r="H645" s="7">
        <v>0</v>
      </c>
      <c r="I645" s="7">
        <v>0</v>
      </c>
      <c r="J645" s="7">
        <v>0</v>
      </c>
      <c r="K645" s="7">
        <v>0</v>
      </c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</row>
    <row r="646" spans="1:17">
      <c r="A646" s="2">
        <v>2594</v>
      </c>
      <c r="B646" s="7">
        <v>0</v>
      </c>
      <c r="C646" s="7">
        <v>0</v>
      </c>
      <c r="D646" s="7">
        <v>0</v>
      </c>
      <c r="E646" s="7">
        <v>0</v>
      </c>
      <c r="F646" s="7">
        <v>0</v>
      </c>
      <c r="G646" s="7">
        <v>0</v>
      </c>
      <c r="H646" s="7">
        <v>0</v>
      </c>
      <c r="I646" s="7">
        <v>0</v>
      </c>
      <c r="J646" s="7">
        <v>0</v>
      </c>
      <c r="K646" s="7">
        <v>0</v>
      </c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</row>
    <row r="647" spans="1:17">
      <c r="A647" s="2">
        <v>2595</v>
      </c>
      <c r="B647" s="7">
        <v>0</v>
      </c>
      <c r="C647" s="7">
        <v>0</v>
      </c>
      <c r="D647" s="7">
        <v>0</v>
      </c>
      <c r="E647" s="7">
        <v>0</v>
      </c>
      <c r="F647" s="7">
        <v>0</v>
      </c>
      <c r="G647" s="7">
        <v>0</v>
      </c>
      <c r="H647" s="7">
        <v>0</v>
      </c>
      <c r="I647" s="7">
        <v>0</v>
      </c>
      <c r="J647" s="7">
        <v>0</v>
      </c>
      <c r="K647" s="7">
        <v>0</v>
      </c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</row>
    <row r="648" spans="1:17">
      <c r="A648" s="2">
        <v>2596</v>
      </c>
      <c r="B648" s="7">
        <v>0</v>
      </c>
      <c r="C648" s="7">
        <v>0</v>
      </c>
      <c r="D648" s="7">
        <v>0</v>
      </c>
      <c r="E648" s="7">
        <v>0</v>
      </c>
      <c r="F648" s="7">
        <v>0</v>
      </c>
      <c r="G648" s="7">
        <v>0</v>
      </c>
      <c r="H648" s="7">
        <v>0</v>
      </c>
      <c r="I648" s="7">
        <v>0</v>
      </c>
      <c r="J648" s="7">
        <v>0</v>
      </c>
      <c r="K648" s="7">
        <v>0</v>
      </c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</row>
    <row r="649" spans="1:17">
      <c r="A649" s="2">
        <v>2597</v>
      </c>
      <c r="B649" s="7">
        <v>0</v>
      </c>
      <c r="C649" s="7">
        <v>0</v>
      </c>
      <c r="D649" s="7">
        <v>0</v>
      </c>
      <c r="E649" s="7">
        <v>0</v>
      </c>
      <c r="F649" s="7">
        <v>0</v>
      </c>
      <c r="G649" s="7">
        <v>0</v>
      </c>
      <c r="H649" s="7">
        <v>0</v>
      </c>
      <c r="I649" s="7">
        <v>0</v>
      </c>
      <c r="J649" s="7">
        <v>0</v>
      </c>
      <c r="K649" s="7">
        <v>0</v>
      </c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</row>
    <row r="650" spans="1:17">
      <c r="A650" s="2">
        <v>2598</v>
      </c>
      <c r="B650" s="7">
        <v>0</v>
      </c>
      <c r="C650" s="7">
        <v>0</v>
      </c>
      <c r="D650" s="7">
        <v>0</v>
      </c>
      <c r="E650" s="7">
        <v>0</v>
      </c>
      <c r="F650" s="7">
        <v>0</v>
      </c>
      <c r="G650" s="7">
        <v>0</v>
      </c>
      <c r="H650" s="7">
        <v>0</v>
      </c>
      <c r="I650" s="7">
        <v>0</v>
      </c>
      <c r="J650" s="7">
        <v>0</v>
      </c>
      <c r="K650" s="7">
        <v>0</v>
      </c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</row>
    <row r="651" spans="1:17">
      <c r="A651" s="2">
        <v>2599</v>
      </c>
      <c r="B651" s="7">
        <v>0</v>
      </c>
      <c r="C651" s="7">
        <v>0</v>
      </c>
      <c r="D651" s="7">
        <v>0</v>
      </c>
      <c r="E651" s="7">
        <v>0</v>
      </c>
      <c r="F651" s="7">
        <v>0</v>
      </c>
      <c r="G651" s="7">
        <v>0</v>
      </c>
      <c r="H651" s="7">
        <v>0</v>
      </c>
      <c r="I651" s="7">
        <v>0</v>
      </c>
      <c r="J651" s="7">
        <v>0</v>
      </c>
      <c r="K651" s="7">
        <v>0</v>
      </c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</row>
    <row r="652" spans="1:17">
      <c r="A652" s="2">
        <v>2600</v>
      </c>
      <c r="B652" s="7">
        <v>0</v>
      </c>
      <c r="C652" s="7">
        <v>0</v>
      </c>
      <c r="D652" s="7">
        <v>0</v>
      </c>
      <c r="E652" s="7">
        <v>0</v>
      </c>
      <c r="F652" s="7">
        <v>0</v>
      </c>
      <c r="G652" s="7">
        <v>0</v>
      </c>
      <c r="H652" s="7">
        <v>0</v>
      </c>
      <c r="I652" s="7">
        <v>0</v>
      </c>
      <c r="J652" s="7">
        <v>0</v>
      </c>
      <c r="K652" s="7">
        <v>0</v>
      </c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</row>
    <row r="653" spans="1:17">
      <c r="A653" s="2">
        <v>2601</v>
      </c>
      <c r="B653" s="7">
        <v>0</v>
      </c>
      <c r="C653" s="7">
        <v>0</v>
      </c>
      <c r="D653" s="7">
        <v>0</v>
      </c>
      <c r="E653" s="7">
        <v>0</v>
      </c>
      <c r="F653" s="7">
        <v>0</v>
      </c>
      <c r="G653" s="7">
        <v>0</v>
      </c>
      <c r="H653" s="7">
        <v>0</v>
      </c>
      <c r="I653" s="7">
        <v>0</v>
      </c>
      <c r="J653" s="7">
        <v>0</v>
      </c>
      <c r="K653" s="7">
        <v>0</v>
      </c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</row>
    <row r="654" spans="1:17">
      <c r="A654" s="2">
        <v>2602</v>
      </c>
      <c r="B654" s="7">
        <v>0</v>
      </c>
      <c r="C654" s="7">
        <v>0</v>
      </c>
      <c r="D654" s="7">
        <v>0</v>
      </c>
      <c r="E654" s="7">
        <v>0</v>
      </c>
      <c r="F654" s="7">
        <v>0</v>
      </c>
      <c r="G654" s="7">
        <v>0</v>
      </c>
      <c r="H654" s="7">
        <v>0</v>
      </c>
      <c r="I654" s="7">
        <v>0</v>
      </c>
      <c r="J654" s="7">
        <v>0</v>
      </c>
      <c r="K654" s="7">
        <v>0</v>
      </c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</row>
    <row r="655" spans="1:17">
      <c r="A655" s="2">
        <v>2603</v>
      </c>
      <c r="B655" s="7">
        <v>0</v>
      </c>
      <c r="C655" s="7">
        <v>0</v>
      </c>
      <c r="D655" s="7">
        <v>0</v>
      </c>
      <c r="E655" s="7">
        <v>0</v>
      </c>
      <c r="F655" s="7">
        <v>0</v>
      </c>
      <c r="G655" s="7">
        <v>0</v>
      </c>
      <c r="H655" s="7">
        <v>0</v>
      </c>
      <c r="I655" s="7">
        <v>0</v>
      </c>
      <c r="J655" s="7">
        <v>0</v>
      </c>
      <c r="K655" s="7">
        <v>0</v>
      </c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</row>
    <row r="656" spans="1:17">
      <c r="A656" s="2">
        <v>2604</v>
      </c>
      <c r="B656" s="7">
        <v>0</v>
      </c>
      <c r="C656" s="7">
        <v>0</v>
      </c>
      <c r="D656" s="7">
        <v>0</v>
      </c>
      <c r="E656" s="7">
        <v>0</v>
      </c>
      <c r="F656" s="7">
        <v>0</v>
      </c>
      <c r="G656" s="7">
        <v>0</v>
      </c>
      <c r="H656" s="7">
        <v>0</v>
      </c>
      <c r="I656" s="7">
        <v>0</v>
      </c>
      <c r="J656" s="7">
        <v>0</v>
      </c>
      <c r="K656" s="7">
        <v>0</v>
      </c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</row>
    <row r="657" spans="1:17">
      <c r="A657" s="2">
        <v>2605</v>
      </c>
      <c r="B657" s="7">
        <v>0</v>
      </c>
      <c r="C657" s="7">
        <v>0</v>
      </c>
      <c r="D657" s="7">
        <v>0</v>
      </c>
      <c r="E657" s="7">
        <v>0</v>
      </c>
      <c r="F657" s="7">
        <v>0</v>
      </c>
      <c r="G657" s="7">
        <v>0</v>
      </c>
      <c r="H657" s="7">
        <v>0</v>
      </c>
      <c r="I657" s="7">
        <v>0</v>
      </c>
      <c r="J657" s="7">
        <v>0</v>
      </c>
      <c r="K657" s="7">
        <v>0</v>
      </c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</row>
    <row r="658" spans="1:17">
      <c r="A658" s="2">
        <v>2606</v>
      </c>
      <c r="B658" s="7">
        <v>0</v>
      </c>
      <c r="C658" s="7">
        <v>0</v>
      </c>
      <c r="D658" s="7">
        <v>0</v>
      </c>
      <c r="E658" s="7">
        <v>0</v>
      </c>
      <c r="F658" s="7">
        <v>0</v>
      </c>
      <c r="G658" s="7">
        <v>0</v>
      </c>
      <c r="H658" s="7">
        <v>0</v>
      </c>
      <c r="I658" s="7">
        <v>0</v>
      </c>
      <c r="J658" s="7">
        <v>0</v>
      </c>
      <c r="K658" s="7">
        <v>0</v>
      </c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</row>
    <row r="659" spans="1:17">
      <c r="A659" s="2">
        <v>2607</v>
      </c>
      <c r="B659" s="7">
        <v>0</v>
      </c>
      <c r="C659" s="7">
        <v>0</v>
      </c>
      <c r="D659" s="7">
        <v>0</v>
      </c>
      <c r="E659" s="7">
        <v>0</v>
      </c>
      <c r="F659" s="7">
        <v>0</v>
      </c>
      <c r="G659" s="7">
        <v>0</v>
      </c>
      <c r="H659" s="7">
        <v>0</v>
      </c>
      <c r="I659" s="7">
        <v>0</v>
      </c>
      <c r="J659" s="7">
        <v>0</v>
      </c>
      <c r="K659" s="7">
        <v>0</v>
      </c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</row>
    <row r="660" spans="1:17">
      <c r="A660" s="2">
        <v>2608</v>
      </c>
      <c r="B660" s="7">
        <v>0</v>
      </c>
      <c r="C660" s="7">
        <v>0</v>
      </c>
      <c r="D660" s="7">
        <v>0</v>
      </c>
      <c r="E660" s="7">
        <v>0</v>
      </c>
      <c r="F660" s="7">
        <v>0</v>
      </c>
      <c r="G660" s="7">
        <v>0</v>
      </c>
      <c r="H660" s="7">
        <v>0</v>
      </c>
      <c r="I660" s="7">
        <v>0</v>
      </c>
      <c r="J660" s="7">
        <v>0</v>
      </c>
      <c r="K660" s="7">
        <v>0</v>
      </c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</row>
    <row r="661" spans="1:17">
      <c r="A661" s="2">
        <v>2609</v>
      </c>
      <c r="B661" s="7">
        <v>0</v>
      </c>
      <c r="C661" s="7">
        <v>0</v>
      </c>
      <c r="D661" s="7">
        <v>0</v>
      </c>
      <c r="E661" s="7">
        <v>0</v>
      </c>
      <c r="F661" s="7">
        <v>0</v>
      </c>
      <c r="G661" s="7">
        <v>0</v>
      </c>
      <c r="H661" s="7">
        <v>0</v>
      </c>
      <c r="I661" s="7">
        <v>0</v>
      </c>
      <c r="J661" s="7">
        <v>0</v>
      </c>
      <c r="K661" s="7">
        <v>0</v>
      </c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</row>
    <row r="662" spans="1:17">
      <c r="A662" s="2">
        <v>2610</v>
      </c>
      <c r="B662" s="7">
        <v>0</v>
      </c>
      <c r="C662" s="7">
        <v>0</v>
      </c>
      <c r="D662" s="7">
        <v>0</v>
      </c>
      <c r="E662" s="7">
        <v>0</v>
      </c>
      <c r="F662" s="7">
        <v>0</v>
      </c>
      <c r="G662" s="7">
        <v>0</v>
      </c>
      <c r="H662" s="7">
        <v>0</v>
      </c>
      <c r="I662" s="7">
        <v>0</v>
      </c>
      <c r="J662" s="7">
        <v>0</v>
      </c>
      <c r="K662" s="7">
        <v>0</v>
      </c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</row>
    <row r="663" spans="1:17">
      <c r="A663" s="2">
        <v>2611</v>
      </c>
      <c r="B663" s="7">
        <v>0</v>
      </c>
      <c r="C663" s="7">
        <v>0</v>
      </c>
      <c r="D663" s="7">
        <v>0</v>
      </c>
      <c r="E663" s="7">
        <v>0</v>
      </c>
      <c r="F663" s="7">
        <v>0</v>
      </c>
      <c r="G663" s="7">
        <v>0</v>
      </c>
      <c r="H663" s="7">
        <v>0</v>
      </c>
      <c r="I663" s="7">
        <v>0</v>
      </c>
      <c r="J663" s="7">
        <v>0</v>
      </c>
      <c r="K663" s="7">
        <v>0</v>
      </c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</row>
    <row r="664" spans="1:17">
      <c r="A664" s="2">
        <v>2612</v>
      </c>
      <c r="B664" s="7">
        <v>0</v>
      </c>
      <c r="C664" s="7">
        <v>0</v>
      </c>
      <c r="D664" s="7">
        <v>0</v>
      </c>
      <c r="E664" s="7">
        <v>0</v>
      </c>
      <c r="F664" s="7">
        <v>0</v>
      </c>
      <c r="G664" s="7">
        <v>0</v>
      </c>
      <c r="H664" s="7">
        <v>0</v>
      </c>
      <c r="I664" s="7">
        <v>0</v>
      </c>
      <c r="J664" s="7">
        <v>0</v>
      </c>
      <c r="K664" s="7">
        <v>0</v>
      </c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</row>
    <row r="665" spans="1:17">
      <c r="A665" s="2">
        <v>2613</v>
      </c>
      <c r="B665" s="7">
        <v>0</v>
      </c>
      <c r="C665" s="7">
        <v>0</v>
      </c>
      <c r="D665" s="7">
        <v>0</v>
      </c>
      <c r="E665" s="7">
        <v>0</v>
      </c>
      <c r="F665" s="7">
        <v>0</v>
      </c>
      <c r="G665" s="7">
        <v>0</v>
      </c>
      <c r="H665" s="7">
        <v>0</v>
      </c>
      <c r="I665" s="7">
        <v>0</v>
      </c>
      <c r="J665" s="7">
        <v>0</v>
      </c>
      <c r="K665" s="7">
        <v>0</v>
      </c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</row>
    <row r="666" spans="1:17">
      <c r="A666" s="2">
        <v>2614</v>
      </c>
      <c r="B666" s="7">
        <v>0</v>
      </c>
      <c r="C666" s="7">
        <v>0</v>
      </c>
      <c r="D666" s="7">
        <v>0</v>
      </c>
      <c r="E666" s="7">
        <v>0</v>
      </c>
      <c r="F666" s="7">
        <v>0</v>
      </c>
      <c r="G666" s="7">
        <v>0</v>
      </c>
      <c r="H666" s="7">
        <v>0</v>
      </c>
      <c r="I666" s="7">
        <v>0</v>
      </c>
      <c r="J666" s="7">
        <v>0</v>
      </c>
      <c r="K666" s="7">
        <v>0</v>
      </c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</row>
    <row r="667" spans="1:17">
      <c r="A667" s="2">
        <v>2615</v>
      </c>
      <c r="B667" s="7">
        <v>0</v>
      </c>
      <c r="C667" s="7">
        <v>0</v>
      </c>
      <c r="D667" s="7">
        <v>0</v>
      </c>
      <c r="E667" s="7">
        <v>0</v>
      </c>
      <c r="F667" s="7">
        <v>0</v>
      </c>
      <c r="G667" s="7">
        <v>0</v>
      </c>
      <c r="H667" s="7">
        <v>0</v>
      </c>
      <c r="I667" s="7">
        <v>0</v>
      </c>
      <c r="J667" s="7">
        <v>0</v>
      </c>
      <c r="K667" s="7">
        <v>0</v>
      </c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</row>
    <row r="668" spans="1:17">
      <c r="A668" s="2">
        <v>2616</v>
      </c>
      <c r="B668" s="7">
        <v>0</v>
      </c>
      <c r="C668" s="7">
        <v>0</v>
      </c>
      <c r="D668" s="7">
        <v>0</v>
      </c>
      <c r="E668" s="7">
        <v>0</v>
      </c>
      <c r="F668" s="7">
        <v>0</v>
      </c>
      <c r="G668" s="7">
        <v>0</v>
      </c>
      <c r="H668" s="7">
        <v>0</v>
      </c>
      <c r="I668" s="7">
        <v>0</v>
      </c>
      <c r="J668" s="7">
        <v>0</v>
      </c>
      <c r="K668" s="7">
        <v>0</v>
      </c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</row>
    <row r="669" spans="1:17">
      <c r="A669" s="2">
        <v>2617</v>
      </c>
      <c r="B669" s="7">
        <v>0</v>
      </c>
      <c r="C669" s="7">
        <v>0</v>
      </c>
      <c r="D669" s="7">
        <v>0</v>
      </c>
      <c r="E669" s="7">
        <v>0</v>
      </c>
      <c r="F669" s="7">
        <v>0</v>
      </c>
      <c r="G669" s="7">
        <v>0</v>
      </c>
      <c r="H669" s="7">
        <v>0</v>
      </c>
      <c r="I669" s="7">
        <v>0</v>
      </c>
      <c r="J669" s="7">
        <v>0</v>
      </c>
      <c r="K669" s="7">
        <v>0</v>
      </c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</row>
    <row r="670" spans="1:17">
      <c r="A670" s="2">
        <v>2618</v>
      </c>
      <c r="B670" s="7">
        <v>0</v>
      </c>
      <c r="C670" s="7">
        <v>0</v>
      </c>
      <c r="D670" s="7">
        <v>0</v>
      </c>
      <c r="E670" s="7">
        <v>0</v>
      </c>
      <c r="F670" s="7">
        <v>0</v>
      </c>
      <c r="G670" s="7">
        <v>0</v>
      </c>
      <c r="H670" s="7">
        <v>0</v>
      </c>
      <c r="I670" s="7">
        <v>0</v>
      </c>
      <c r="J670" s="7">
        <v>0</v>
      </c>
      <c r="K670" s="7">
        <v>0</v>
      </c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</row>
    <row r="671" spans="1:17">
      <c r="A671" s="2">
        <v>2619</v>
      </c>
      <c r="B671" s="7">
        <v>0</v>
      </c>
      <c r="C671" s="7">
        <v>0</v>
      </c>
      <c r="D671" s="7">
        <v>0</v>
      </c>
      <c r="E671" s="7">
        <v>0</v>
      </c>
      <c r="F671" s="7">
        <v>0</v>
      </c>
      <c r="G671" s="7">
        <v>0</v>
      </c>
      <c r="H671" s="7">
        <v>0</v>
      </c>
      <c r="I671" s="7">
        <v>0</v>
      </c>
      <c r="J671" s="7">
        <v>0</v>
      </c>
      <c r="K671" s="7">
        <v>0</v>
      </c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</row>
    <row r="672" spans="1:17">
      <c r="A672" s="2">
        <v>2620</v>
      </c>
      <c r="B672" s="7">
        <v>0</v>
      </c>
      <c r="C672" s="7">
        <v>0</v>
      </c>
      <c r="D672" s="7">
        <v>0</v>
      </c>
      <c r="E672" s="7">
        <v>0</v>
      </c>
      <c r="F672" s="7">
        <v>0</v>
      </c>
      <c r="G672" s="7">
        <v>0</v>
      </c>
      <c r="H672" s="7">
        <v>0</v>
      </c>
      <c r="I672" s="7">
        <v>0</v>
      </c>
      <c r="J672" s="7">
        <v>0</v>
      </c>
      <c r="K672" s="7">
        <v>0</v>
      </c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</row>
    <row r="673" spans="1:17">
      <c r="A673" s="2">
        <v>2621</v>
      </c>
      <c r="B673" s="7">
        <v>0</v>
      </c>
      <c r="C673" s="7">
        <v>0</v>
      </c>
      <c r="D673" s="7">
        <v>0</v>
      </c>
      <c r="E673" s="7">
        <v>0</v>
      </c>
      <c r="F673" s="7">
        <v>0</v>
      </c>
      <c r="G673" s="7">
        <v>0</v>
      </c>
      <c r="H673" s="7">
        <v>0</v>
      </c>
      <c r="I673" s="7">
        <v>0</v>
      </c>
      <c r="J673" s="7">
        <v>0</v>
      </c>
      <c r="K673" s="7">
        <v>0</v>
      </c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</row>
    <row r="674" spans="1:17">
      <c r="A674" s="2">
        <v>2622</v>
      </c>
      <c r="B674" s="7">
        <v>0</v>
      </c>
      <c r="C674" s="7">
        <v>0</v>
      </c>
      <c r="D674" s="7">
        <v>0</v>
      </c>
      <c r="E674" s="7">
        <v>0</v>
      </c>
      <c r="F674" s="7">
        <v>0</v>
      </c>
      <c r="G674" s="7">
        <v>0</v>
      </c>
      <c r="H674" s="7">
        <v>0</v>
      </c>
      <c r="I674" s="7">
        <v>0</v>
      </c>
      <c r="J674" s="7">
        <v>0</v>
      </c>
      <c r="K674" s="7">
        <v>0</v>
      </c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</row>
    <row r="675" spans="1:17">
      <c r="A675" s="2">
        <v>2623</v>
      </c>
      <c r="B675" s="7">
        <v>0</v>
      </c>
      <c r="C675" s="7">
        <v>0</v>
      </c>
      <c r="D675" s="7">
        <v>0</v>
      </c>
      <c r="E675" s="7">
        <v>0</v>
      </c>
      <c r="F675" s="7">
        <v>0</v>
      </c>
      <c r="G675" s="7">
        <v>0</v>
      </c>
      <c r="H675" s="7">
        <v>0</v>
      </c>
      <c r="I675" s="7">
        <v>0</v>
      </c>
      <c r="J675" s="7">
        <v>0</v>
      </c>
      <c r="K675" s="7">
        <v>0</v>
      </c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</row>
    <row r="676" spans="1:17">
      <c r="A676" s="2">
        <v>2624</v>
      </c>
      <c r="B676" s="7">
        <v>0</v>
      </c>
      <c r="C676" s="7">
        <v>0</v>
      </c>
      <c r="D676" s="7">
        <v>0</v>
      </c>
      <c r="E676" s="7">
        <v>0</v>
      </c>
      <c r="F676" s="7">
        <v>0</v>
      </c>
      <c r="G676" s="7">
        <v>0</v>
      </c>
      <c r="H676" s="7">
        <v>0</v>
      </c>
      <c r="I676" s="7">
        <v>0</v>
      </c>
      <c r="J676" s="7">
        <v>0</v>
      </c>
      <c r="K676" s="7">
        <v>0</v>
      </c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</row>
    <row r="677" spans="1:17">
      <c r="A677" s="2">
        <v>2625</v>
      </c>
      <c r="B677" s="7">
        <v>0</v>
      </c>
      <c r="C677" s="7">
        <v>0</v>
      </c>
      <c r="D677" s="7">
        <v>0</v>
      </c>
      <c r="E677" s="7">
        <v>0</v>
      </c>
      <c r="F677" s="7">
        <v>0</v>
      </c>
      <c r="G677" s="7">
        <v>0</v>
      </c>
      <c r="H677" s="7">
        <v>0</v>
      </c>
      <c r="I677" s="7">
        <v>0</v>
      </c>
      <c r="J677" s="7">
        <v>0</v>
      </c>
      <c r="K677" s="7">
        <v>0</v>
      </c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</row>
    <row r="678" spans="1:17">
      <c r="A678" s="2">
        <v>2626</v>
      </c>
      <c r="B678" s="7">
        <v>0</v>
      </c>
      <c r="C678" s="7">
        <v>0</v>
      </c>
      <c r="D678" s="7">
        <v>0</v>
      </c>
      <c r="E678" s="7">
        <v>0</v>
      </c>
      <c r="F678" s="7">
        <v>0</v>
      </c>
      <c r="G678" s="7">
        <v>0</v>
      </c>
      <c r="H678" s="7">
        <v>0</v>
      </c>
      <c r="I678" s="7">
        <v>0</v>
      </c>
      <c r="J678" s="7">
        <v>0</v>
      </c>
      <c r="K678" s="7">
        <v>0</v>
      </c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</row>
    <row r="679" spans="1:17">
      <c r="A679" s="2">
        <v>2627</v>
      </c>
      <c r="B679" s="7">
        <v>0</v>
      </c>
      <c r="C679" s="7">
        <v>0</v>
      </c>
      <c r="D679" s="7">
        <v>0</v>
      </c>
      <c r="E679" s="7">
        <v>0</v>
      </c>
      <c r="F679" s="7">
        <v>0</v>
      </c>
      <c r="G679" s="7">
        <v>0</v>
      </c>
      <c r="H679" s="7">
        <v>0</v>
      </c>
      <c r="I679" s="7">
        <v>0</v>
      </c>
      <c r="J679" s="7">
        <v>0</v>
      </c>
      <c r="K679" s="7">
        <v>0</v>
      </c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</row>
    <row r="680" spans="1:17">
      <c r="A680" s="2">
        <v>2628</v>
      </c>
      <c r="B680" s="7">
        <v>0</v>
      </c>
      <c r="C680" s="7">
        <v>0</v>
      </c>
      <c r="D680" s="7">
        <v>0</v>
      </c>
      <c r="E680" s="7">
        <v>0</v>
      </c>
      <c r="F680" s="7">
        <v>0</v>
      </c>
      <c r="G680" s="7">
        <v>0</v>
      </c>
      <c r="H680" s="7">
        <v>0</v>
      </c>
      <c r="I680" s="7">
        <v>0</v>
      </c>
      <c r="J680" s="7">
        <v>0</v>
      </c>
      <c r="K680" s="7">
        <v>0</v>
      </c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</row>
    <row r="681" spans="1:17">
      <c r="A681" s="2">
        <v>2629</v>
      </c>
      <c r="B681" s="7">
        <v>0</v>
      </c>
      <c r="C681" s="7">
        <v>0</v>
      </c>
      <c r="D681" s="7">
        <v>0</v>
      </c>
      <c r="E681" s="7">
        <v>0</v>
      </c>
      <c r="F681" s="7">
        <v>0</v>
      </c>
      <c r="G681" s="7">
        <v>0</v>
      </c>
      <c r="H681" s="7">
        <v>0</v>
      </c>
      <c r="I681" s="7">
        <v>0</v>
      </c>
      <c r="J681" s="7">
        <v>0</v>
      </c>
      <c r="K681" s="7">
        <v>0</v>
      </c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</row>
    <row r="682" spans="1:17">
      <c r="A682" s="2">
        <v>2630</v>
      </c>
      <c r="B682" s="7">
        <v>0</v>
      </c>
      <c r="C682" s="7">
        <v>0</v>
      </c>
      <c r="D682" s="7">
        <v>0</v>
      </c>
      <c r="E682" s="7">
        <v>0</v>
      </c>
      <c r="F682" s="7">
        <v>0</v>
      </c>
      <c r="G682" s="7">
        <v>0</v>
      </c>
      <c r="H682" s="7">
        <v>0</v>
      </c>
      <c r="I682" s="7">
        <v>0</v>
      </c>
      <c r="J682" s="7">
        <v>0</v>
      </c>
      <c r="K682" s="7">
        <v>0</v>
      </c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</row>
    <row r="683" spans="1:17">
      <c r="A683" s="2">
        <v>2631</v>
      </c>
      <c r="B683" s="7">
        <v>0</v>
      </c>
      <c r="C683" s="7">
        <v>0</v>
      </c>
      <c r="D683" s="7">
        <v>0</v>
      </c>
      <c r="E683" s="7">
        <v>0</v>
      </c>
      <c r="F683" s="7">
        <v>0</v>
      </c>
      <c r="G683" s="7">
        <v>0</v>
      </c>
      <c r="H683" s="7">
        <v>0</v>
      </c>
      <c r="I683" s="7">
        <v>0</v>
      </c>
      <c r="J683" s="7">
        <v>0</v>
      </c>
      <c r="K683" s="7">
        <v>0</v>
      </c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</row>
    <row r="684" spans="1:17">
      <c r="A684" s="2">
        <v>2632</v>
      </c>
      <c r="B684" s="7">
        <v>0</v>
      </c>
      <c r="C684" s="7">
        <v>0</v>
      </c>
      <c r="D684" s="7">
        <v>0</v>
      </c>
      <c r="E684" s="7">
        <v>0</v>
      </c>
      <c r="F684" s="7">
        <v>0</v>
      </c>
      <c r="G684" s="7">
        <v>0</v>
      </c>
      <c r="H684" s="7">
        <v>0</v>
      </c>
      <c r="I684" s="7">
        <v>0</v>
      </c>
      <c r="J684" s="7">
        <v>0</v>
      </c>
      <c r="K684" s="7">
        <v>0</v>
      </c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</row>
    <row r="685" spans="1:17">
      <c r="A685" s="2">
        <v>2633</v>
      </c>
      <c r="B685" s="7">
        <v>0</v>
      </c>
      <c r="C685" s="7">
        <v>0</v>
      </c>
      <c r="D685" s="7">
        <v>0</v>
      </c>
      <c r="E685" s="7">
        <v>0</v>
      </c>
      <c r="F685" s="7">
        <v>0</v>
      </c>
      <c r="G685" s="7">
        <v>0</v>
      </c>
      <c r="H685" s="7">
        <v>0</v>
      </c>
      <c r="I685" s="7">
        <v>0</v>
      </c>
      <c r="J685" s="7">
        <v>0</v>
      </c>
      <c r="K685" s="7">
        <v>0</v>
      </c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</row>
    <row r="686" spans="1:17">
      <c r="A686" s="2">
        <v>2634</v>
      </c>
      <c r="B686" s="7">
        <v>0</v>
      </c>
      <c r="C686" s="7">
        <v>0</v>
      </c>
      <c r="D686" s="7">
        <v>0</v>
      </c>
      <c r="E686" s="7">
        <v>0</v>
      </c>
      <c r="F686" s="7">
        <v>0</v>
      </c>
      <c r="G686" s="7">
        <v>0</v>
      </c>
      <c r="H686" s="7">
        <v>0</v>
      </c>
      <c r="I686" s="7">
        <v>0</v>
      </c>
      <c r="J686" s="7">
        <v>0</v>
      </c>
      <c r="K686" s="7">
        <v>0</v>
      </c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</row>
    <row r="687" spans="1:17">
      <c r="A687" s="2">
        <v>2635</v>
      </c>
      <c r="B687" s="7">
        <v>0</v>
      </c>
      <c r="C687" s="7">
        <v>0</v>
      </c>
      <c r="D687" s="7">
        <v>0</v>
      </c>
      <c r="E687" s="7">
        <v>0</v>
      </c>
      <c r="F687" s="7">
        <v>0</v>
      </c>
      <c r="G687" s="7">
        <v>0</v>
      </c>
      <c r="H687" s="7">
        <v>0</v>
      </c>
      <c r="I687" s="7">
        <v>0</v>
      </c>
      <c r="J687" s="7">
        <v>0</v>
      </c>
      <c r="K687" s="7">
        <v>0</v>
      </c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</row>
    <row r="688" spans="1:17">
      <c r="A688" s="2">
        <v>2636</v>
      </c>
      <c r="B688" s="7">
        <v>0</v>
      </c>
      <c r="C688" s="7">
        <v>0</v>
      </c>
      <c r="D688" s="7">
        <v>0</v>
      </c>
      <c r="E688" s="7">
        <v>0</v>
      </c>
      <c r="F688" s="7">
        <v>0</v>
      </c>
      <c r="G688" s="7">
        <v>0</v>
      </c>
      <c r="H688" s="7">
        <v>0</v>
      </c>
      <c r="I688" s="7">
        <v>0</v>
      </c>
      <c r="J688" s="7">
        <v>0</v>
      </c>
      <c r="K688" s="7">
        <v>0</v>
      </c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</row>
    <row r="689" spans="1:17">
      <c r="A689" s="2">
        <v>2637</v>
      </c>
      <c r="B689" s="7">
        <v>0</v>
      </c>
      <c r="C689" s="7">
        <v>0</v>
      </c>
      <c r="D689" s="7">
        <v>0</v>
      </c>
      <c r="E689" s="7">
        <v>0</v>
      </c>
      <c r="F689" s="7">
        <v>0</v>
      </c>
      <c r="G689" s="7">
        <v>0</v>
      </c>
      <c r="H689" s="7">
        <v>0</v>
      </c>
      <c r="I689" s="7">
        <v>0</v>
      </c>
      <c r="J689" s="7">
        <v>0</v>
      </c>
      <c r="K689" s="7">
        <v>0</v>
      </c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</row>
    <row r="690" spans="1:17">
      <c r="A690" s="2">
        <v>2638</v>
      </c>
      <c r="B690" s="7">
        <v>0</v>
      </c>
      <c r="C690" s="7">
        <v>0</v>
      </c>
      <c r="D690" s="7">
        <v>0</v>
      </c>
      <c r="E690" s="7">
        <v>0</v>
      </c>
      <c r="F690" s="7">
        <v>0</v>
      </c>
      <c r="G690" s="7">
        <v>0</v>
      </c>
      <c r="H690" s="7">
        <v>0</v>
      </c>
      <c r="I690" s="7">
        <v>0</v>
      </c>
      <c r="J690" s="7">
        <v>0</v>
      </c>
      <c r="K690" s="7">
        <v>0</v>
      </c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</row>
    <row r="691" spans="1:17">
      <c r="A691" s="2">
        <v>2639</v>
      </c>
      <c r="B691" s="7">
        <v>0</v>
      </c>
      <c r="C691" s="7">
        <v>0</v>
      </c>
      <c r="D691" s="7">
        <v>0</v>
      </c>
      <c r="E691" s="7">
        <v>0</v>
      </c>
      <c r="F691" s="7">
        <v>0</v>
      </c>
      <c r="G691" s="7">
        <v>0</v>
      </c>
      <c r="H691" s="7">
        <v>0</v>
      </c>
      <c r="I691" s="7">
        <v>0</v>
      </c>
      <c r="J691" s="7">
        <v>0</v>
      </c>
      <c r="K691" s="7">
        <v>0</v>
      </c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</row>
    <row r="692" spans="1:17">
      <c r="A692" s="2">
        <v>2640</v>
      </c>
      <c r="B692" s="7">
        <v>0</v>
      </c>
      <c r="C692" s="7">
        <v>0</v>
      </c>
      <c r="D692" s="7">
        <v>0</v>
      </c>
      <c r="E692" s="7">
        <v>0</v>
      </c>
      <c r="F692" s="7">
        <v>0</v>
      </c>
      <c r="G692" s="7">
        <v>0</v>
      </c>
      <c r="H692" s="7">
        <v>0</v>
      </c>
      <c r="I692" s="7">
        <v>0</v>
      </c>
      <c r="J692" s="7">
        <v>0</v>
      </c>
      <c r="K692" s="7">
        <v>0</v>
      </c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</row>
    <row r="693" spans="1:17">
      <c r="A693" s="2">
        <v>2641</v>
      </c>
      <c r="B693" s="7">
        <v>0</v>
      </c>
      <c r="C693" s="7">
        <v>0</v>
      </c>
      <c r="D693" s="7">
        <v>0</v>
      </c>
      <c r="E693" s="7">
        <v>0</v>
      </c>
      <c r="F693" s="7">
        <v>0</v>
      </c>
      <c r="G693" s="7">
        <v>0</v>
      </c>
      <c r="H693" s="7">
        <v>0</v>
      </c>
      <c r="I693" s="7">
        <v>0</v>
      </c>
      <c r="J693" s="7">
        <v>0</v>
      </c>
      <c r="K693" s="7">
        <v>0</v>
      </c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</row>
    <row r="694" spans="1:17">
      <c r="A694" s="2">
        <v>2642</v>
      </c>
      <c r="B694" s="7">
        <v>0</v>
      </c>
      <c r="C694" s="7">
        <v>0</v>
      </c>
      <c r="D694" s="7">
        <v>0</v>
      </c>
      <c r="E694" s="7">
        <v>0</v>
      </c>
      <c r="F694" s="7">
        <v>0</v>
      </c>
      <c r="G694" s="7">
        <v>0</v>
      </c>
      <c r="H694" s="7">
        <v>0</v>
      </c>
      <c r="I694" s="7">
        <v>0</v>
      </c>
      <c r="J694" s="7">
        <v>0</v>
      </c>
      <c r="K694" s="7">
        <v>0</v>
      </c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</row>
    <row r="695" spans="1:17">
      <c r="A695" s="2">
        <v>2643</v>
      </c>
      <c r="B695" s="7">
        <v>0</v>
      </c>
      <c r="C695" s="7">
        <v>0</v>
      </c>
      <c r="D695" s="7">
        <v>0</v>
      </c>
      <c r="E695" s="7">
        <v>0</v>
      </c>
      <c r="F695" s="7">
        <v>0</v>
      </c>
      <c r="G695" s="7">
        <v>0</v>
      </c>
      <c r="H695" s="7">
        <v>0</v>
      </c>
      <c r="I695" s="7">
        <v>0</v>
      </c>
      <c r="J695" s="7">
        <v>0</v>
      </c>
      <c r="K695" s="7">
        <v>0</v>
      </c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</row>
    <row r="696" spans="1:17">
      <c r="A696" s="2">
        <v>2644</v>
      </c>
      <c r="B696" s="7">
        <v>0</v>
      </c>
      <c r="C696" s="7">
        <v>0</v>
      </c>
      <c r="D696" s="7">
        <v>0</v>
      </c>
      <c r="E696" s="7">
        <v>0</v>
      </c>
      <c r="F696" s="7">
        <v>0</v>
      </c>
      <c r="G696" s="7">
        <v>0</v>
      </c>
      <c r="H696" s="7">
        <v>0</v>
      </c>
      <c r="I696" s="7">
        <v>0</v>
      </c>
      <c r="J696" s="7">
        <v>0</v>
      </c>
      <c r="K696" s="7">
        <v>0</v>
      </c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</row>
    <row r="697" spans="1:17">
      <c r="A697" s="2">
        <v>2645</v>
      </c>
      <c r="B697" s="7">
        <v>0</v>
      </c>
      <c r="C697" s="7">
        <v>0</v>
      </c>
      <c r="D697" s="7">
        <v>0</v>
      </c>
      <c r="E697" s="7">
        <v>0</v>
      </c>
      <c r="F697" s="7">
        <v>0</v>
      </c>
      <c r="G697" s="7">
        <v>0</v>
      </c>
      <c r="H697" s="7">
        <v>0</v>
      </c>
      <c r="I697" s="7">
        <v>0</v>
      </c>
      <c r="J697" s="7">
        <v>0</v>
      </c>
      <c r="K697" s="7">
        <v>0</v>
      </c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</row>
    <row r="698" spans="1:17">
      <c r="A698" s="2">
        <v>2646</v>
      </c>
      <c r="B698" s="7">
        <v>0</v>
      </c>
      <c r="C698" s="7">
        <v>0</v>
      </c>
      <c r="D698" s="7">
        <v>0</v>
      </c>
      <c r="E698" s="7">
        <v>0</v>
      </c>
      <c r="F698" s="7">
        <v>0</v>
      </c>
      <c r="G698" s="7">
        <v>0</v>
      </c>
      <c r="H698" s="7">
        <v>0</v>
      </c>
      <c r="I698" s="7">
        <v>0</v>
      </c>
      <c r="J698" s="7">
        <v>0</v>
      </c>
      <c r="K698" s="7">
        <v>0</v>
      </c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</row>
    <row r="699" spans="1:17">
      <c r="A699" s="2">
        <v>2647</v>
      </c>
      <c r="B699" s="7">
        <v>0</v>
      </c>
      <c r="C699" s="7">
        <v>0</v>
      </c>
      <c r="D699" s="7">
        <v>0</v>
      </c>
      <c r="E699" s="7">
        <v>0</v>
      </c>
      <c r="F699" s="7">
        <v>0</v>
      </c>
      <c r="G699" s="7">
        <v>0</v>
      </c>
      <c r="H699" s="7">
        <v>0</v>
      </c>
      <c r="I699" s="7">
        <v>0</v>
      </c>
      <c r="J699" s="7">
        <v>0</v>
      </c>
      <c r="K699" s="7">
        <v>0</v>
      </c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</row>
    <row r="700" spans="1:17">
      <c r="A700" s="2">
        <v>2648</v>
      </c>
      <c r="B700" s="7">
        <v>0</v>
      </c>
      <c r="C700" s="7">
        <v>0</v>
      </c>
      <c r="D700" s="7">
        <v>0</v>
      </c>
      <c r="E700" s="7">
        <v>0</v>
      </c>
      <c r="F700" s="7">
        <v>0</v>
      </c>
      <c r="G700" s="7">
        <v>0</v>
      </c>
      <c r="H700" s="7">
        <v>0</v>
      </c>
      <c r="I700" s="7">
        <v>0</v>
      </c>
      <c r="J700" s="7">
        <v>0</v>
      </c>
      <c r="K700" s="7">
        <v>0</v>
      </c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</row>
    <row r="701" spans="1:17">
      <c r="A701" s="2">
        <v>2649</v>
      </c>
      <c r="B701" s="7">
        <v>0</v>
      </c>
      <c r="C701" s="7">
        <v>0</v>
      </c>
      <c r="D701" s="7">
        <v>0</v>
      </c>
      <c r="E701" s="7">
        <v>0</v>
      </c>
      <c r="F701" s="7">
        <v>0</v>
      </c>
      <c r="G701" s="7">
        <v>0</v>
      </c>
      <c r="H701" s="7">
        <v>0</v>
      </c>
      <c r="I701" s="7">
        <v>0</v>
      </c>
      <c r="J701" s="7">
        <v>0</v>
      </c>
      <c r="K701" s="7">
        <v>0</v>
      </c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</row>
    <row r="702" spans="1:17">
      <c r="A702" s="2">
        <v>2650</v>
      </c>
      <c r="B702" s="7">
        <v>0</v>
      </c>
      <c r="C702" s="7">
        <v>0</v>
      </c>
      <c r="D702" s="7">
        <v>0</v>
      </c>
      <c r="E702" s="7">
        <v>0</v>
      </c>
      <c r="F702" s="7">
        <v>0</v>
      </c>
      <c r="G702" s="7">
        <v>0</v>
      </c>
      <c r="H702" s="7">
        <v>0</v>
      </c>
      <c r="I702" s="7">
        <v>0</v>
      </c>
      <c r="J702" s="7">
        <v>0</v>
      </c>
      <c r="K702" s="7">
        <v>0</v>
      </c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</row>
    <row r="703" spans="1:17">
      <c r="A703" s="2">
        <v>2651</v>
      </c>
      <c r="B703" s="7">
        <v>0</v>
      </c>
      <c r="C703" s="7">
        <v>0</v>
      </c>
      <c r="D703" s="7">
        <v>0</v>
      </c>
      <c r="E703" s="7">
        <v>0</v>
      </c>
      <c r="F703" s="7">
        <v>0</v>
      </c>
      <c r="G703" s="7">
        <v>0</v>
      </c>
      <c r="H703" s="7">
        <v>0</v>
      </c>
      <c r="I703" s="7">
        <v>0</v>
      </c>
      <c r="J703" s="7">
        <v>0</v>
      </c>
      <c r="K703" s="7">
        <v>0</v>
      </c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</row>
    <row r="704" spans="1:17">
      <c r="A704" s="2">
        <v>2652</v>
      </c>
      <c r="B704" s="7">
        <v>0</v>
      </c>
      <c r="C704" s="7">
        <v>0</v>
      </c>
      <c r="D704" s="7">
        <v>0</v>
      </c>
      <c r="E704" s="7">
        <v>0</v>
      </c>
      <c r="F704" s="7">
        <v>0</v>
      </c>
      <c r="G704" s="7">
        <v>0</v>
      </c>
      <c r="H704" s="7">
        <v>0</v>
      </c>
      <c r="I704" s="7">
        <v>0</v>
      </c>
      <c r="J704" s="7">
        <v>0</v>
      </c>
      <c r="K704" s="7">
        <v>0</v>
      </c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</row>
    <row r="705" spans="1:17">
      <c r="A705" s="2">
        <v>2653</v>
      </c>
      <c r="B705" s="7">
        <v>0</v>
      </c>
      <c r="C705" s="7">
        <v>0</v>
      </c>
      <c r="D705" s="7">
        <v>0</v>
      </c>
      <c r="E705" s="7">
        <v>0</v>
      </c>
      <c r="F705" s="7">
        <v>0</v>
      </c>
      <c r="G705" s="7">
        <v>0</v>
      </c>
      <c r="H705" s="7">
        <v>0</v>
      </c>
      <c r="I705" s="7">
        <v>0</v>
      </c>
      <c r="J705" s="7">
        <v>0</v>
      </c>
      <c r="K705" s="7">
        <v>0</v>
      </c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</row>
    <row r="706" spans="1:17">
      <c r="A706" s="2">
        <v>2654</v>
      </c>
      <c r="B706" s="7">
        <v>0</v>
      </c>
      <c r="C706" s="7">
        <v>0</v>
      </c>
      <c r="D706" s="7">
        <v>0</v>
      </c>
      <c r="E706" s="7">
        <v>0</v>
      </c>
      <c r="F706" s="7">
        <v>0</v>
      </c>
      <c r="G706" s="7">
        <v>0</v>
      </c>
      <c r="H706" s="7">
        <v>0</v>
      </c>
      <c r="I706" s="7">
        <v>0</v>
      </c>
      <c r="J706" s="7">
        <v>0</v>
      </c>
      <c r="K706" s="7">
        <v>0</v>
      </c>
      <c r="L706" s="7">
        <v>0</v>
      </c>
      <c r="M706" s="7">
        <v>0</v>
      </c>
      <c r="N706" s="7">
        <v>0</v>
      </c>
      <c r="O706" s="7">
        <v>0</v>
      </c>
      <c r="P706" s="7">
        <v>0</v>
      </c>
      <c r="Q706" s="7">
        <v>0</v>
      </c>
    </row>
    <row r="707" spans="1:17">
      <c r="A707" s="2">
        <v>2655</v>
      </c>
      <c r="B707" s="7">
        <v>0</v>
      </c>
      <c r="C707" s="7">
        <v>0</v>
      </c>
      <c r="D707" s="7">
        <v>0</v>
      </c>
      <c r="E707" s="7">
        <v>0</v>
      </c>
      <c r="F707" s="7">
        <v>0</v>
      </c>
      <c r="G707" s="7">
        <v>0</v>
      </c>
      <c r="H707" s="7">
        <v>0</v>
      </c>
      <c r="I707" s="7">
        <v>0</v>
      </c>
      <c r="J707" s="7">
        <v>0</v>
      </c>
      <c r="K707" s="7">
        <v>0</v>
      </c>
      <c r="L707" s="7">
        <v>0</v>
      </c>
      <c r="M707" s="7">
        <v>0</v>
      </c>
      <c r="N707" s="7">
        <v>0</v>
      </c>
      <c r="O707" s="7">
        <v>0</v>
      </c>
      <c r="P707" s="7">
        <v>0</v>
      </c>
      <c r="Q707" s="7">
        <v>0</v>
      </c>
    </row>
    <row r="708" spans="1:17">
      <c r="A708" s="2">
        <v>2656</v>
      </c>
      <c r="B708" s="7">
        <v>0</v>
      </c>
      <c r="C708" s="7">
        <v>0</v>
      </c>
      <c r="D708" s="7">
        <v>0</v>
      </c>
      <c r="E708" s="7">
        <v>0</v>
      </c>
      <c r="F708" s="7">
        <v>0</v>
      </c>
      <c r="G708" s="7">
        <v>0</v>
      </c>
      <c r="H708" s="7">
        <v>0</v>
      </c>
      <c r="I708" s="7">
        <v>0</v>
      </c>
      <c r="J708" s="7">
        <v>0</v>
      </c>
      <c r="K708" s="7">
        <v>0</v>
      </c>
      <c r="L708" s="7">
        <v>0</v>
      </c>
      <c r="M708" s="7">
        <v>0</v>
      </c>
      <c r="N708" s="7">
        <v>0</v>
      </c>
      <c r="O708" s="7">
        <v>0</v>
      </c>
      <c r="P708" s="7">
        <v>0</v>
      </c>
      <c r="Q708" s="7">
        <v>0</v>
      </c>
    </row>
    <row r="709" spans="1:17">
      <c r="A709" s="2">
        <v>2657</v>
      </c>
      <c r="B709" s="7">
        <v>0</v>
      </c>
      <c r="C709" s="7">
        <v>0</v>
      </c>
      <c r="D709" s="7">
        <v>0</v>
      </c>
      <c r="E709" s="7">
        <v>0</v>
      </c>
      <c r="F709" s="7">
        <v>0</v>
      </c>
      <c r="G709" s="7">
        <v>0</v>
      </c>
      <c r="H709" s="7">
        <v>0</v>
      </c>
      <c r="I709" s="7">
        <v>0</v>
      </c>
      <c r="J709" s="7">
        <v>0</v>
      </c>
      <c r="K709" s="7">
        <v>0</v>
      </c>
      <c r="L709" s="7">
        <v>0</v>
      </c>
      <c r="M709" s="7">
        <v>0</v>
      </c>
      <c r="N709" s="7">
        <v>0</v>
      </c>
      <c r="O709" s="7">
        <v>0</v>
      </c>
      <c r="P709" s="7">
        <v>0</v>
      </c>
      <c r="Q709" s="7">
        <v>0</v>
      </c>
    </row>
    <row r="710" spans="1:17">
      <c r="A710" s="2">
        <v>2658</v>
      </c>
      <c r="B710" s="7">
        <v>0</v>
      </c>
      <c r="C710" s="7">
        <v>0</v>
      </c>
      <c r="D710" s="7">
        <v>0</v>
      </c>
      <c r="E710" s="7">
        <v>0</v>
      </c>
      <c r="F710" s="7">
        <v>0</v>
      </c>
      <c r="G710" s="7">
        <v>0</v>
      </c>
      <c r="H710" s="7">
        <v>0</v>
      </c>
      <c r="I710" s="7">
        <v>0</v>
      </c>
      <c r="J710" s="7">
        <v>0</v>
      </c>
      <c r="K710" s="7">
        <v>0</v>
      </c>
      <c r="L710" s="7">
        <v>0</v>
      </c>
      <c r="M710" s="7">
        <v>0</v>
      </c>
      <c r="N710" s="7">
        <v>0</v>
      </c>
      <c r="O710" s="7">
        <v>0</v>
      </c>
      <c r="P710" s="7">
        <v>0</v>
      </c>
      <c r="Q710" s="7">
        <v>0</v>
      </c>
    </row>
    <row r="711" spans="1:17">
      <c r="A711" s="2">
        <v>2659</v>
      </c>
      <c r="B711" s="7">
        <v>0</v>
      </c>
      <c r="C711" s="7">
        <v>0</v>
      </c>
      <c r="D711" s="7">
        <v>0</v>
      </c>
      <c r="E711" s="7">
        <v>0</v>
      </c>
      <c r="F711" s="7">
        <v>0</v>
      </c>
      <c r="G711" s="7">
        <v>0</v>
      </c>
      <c r="H711" s="7">
        <v>0</v>
      </c>
      <c r="I711" s="7">
        <v>0</v>
      </c>
      <c r="J711" s="7">
        <v>0</v>
      </c>
      <c r="K711" s="7">
        <v>0</v>
      </c>
      <c r="L711" s="7">
        <v>0</v>
      </c>
      <c r="M711" s="7">
        <v>0</v>
      </c>
      <c r="N711" s="7">
        <v>0</v>
      </c>
      <c r="O711" s="7">
        <v>0</v>
      </c>
      <c r="P711" s="7">
        <v>0</v>
      </c>
      <c r="Q711" s="7">
        <v>0</v>
      </c>
    </row>
    <row r="712" spans="1:17">
      <c r="A712" s="2">
        <v>2660</v>
      </c>
      <c r="B712" s="7">
        <v>0</v>
      </c>
      <c r="C712" s="7">
        <v>0</v>
      </c>
      <c r="D712" s="7">
        <v>0</v>
      </c>
      <c r="E712" s="7">
        <v>0</v>
      </c>
      <c r="F712" s="7">
        <v>0</v>
      </c>
      <c r="G712" s="7">
        <v>0</v>
      </c>
      <c r="H712" s="7">
        <v>0</v>
      </c>
      <c r="I712" s="7">
        <v>0</v>
      </c>
      <c r="J712" s="7">
        <v>0</v>
      </c>
      <c r="K712" s="7">
        <v>0</v>
      </c>
      <c r="L712" s="7">
        <v>0</v>
      </c>
      <c r="M712" s="7">
        <v>0</v>
      </c>
      <c r="N712" s="7">
        <v>0</v>
      </c>
      <c r="O712" s="7">
        <v>0</v>
      </c>
      <c r="P712" s="7">
        <v>0</v>
      </c>
      <c r="Q712" s="7">
        <v>0</v>
      </c>
    </row>
    <row r="713" spans="1:17">
      <c r="A713" s="2">
        <v>2661</v>
      </c>
      <c r="B713" s="7">
        <v>0</v>
      </c>
      <c r="C713" s="7">
        <v>0</v>
      </c>
      <c r="D713" s="7">
        <v>0</v>
      </c>
      <c r="E713" s="7">
        <v>0</v>
      </c>
      <c r="F713" s="7">
        <v>0</v>
      </c>
      <c r="G713" s="7">
        <v>0</v>
      </c>
      <c r="H713" s="7">
        <v>0</v>
      </c>
      <c r="I713" s="7">
        <v>0</v>
      </c>
      <c r="J713" s="7">
        <v>0</v>
      </c>
      <c r="K713" s="7">
        <v>0</v>
      </c>
      <c r="L713" s="7">
        <v>0</v>
      </c>
      <c r="M713" s="7">
        <v>0</v>
      </c>
      <c r="N713" s="7">
        <v>0</v>
      </c>
      <c r="O713" s="7">
        <v>0</v>
      </c>
      <c r="P713" s="7">
        <v>0</v>
      </c>
      <c r="Q713" s="7">
        <v>0</v>
      </c>
    </row>
    <row r="714" spans="1:17">
      <c r="A714" s="2">
        <v>2662</v>
      </c>
      <c r="B714" s="7">
        <v>0</v>
      </c>
      <c r="C714" s="7">
        <v>0</v>
      </c>
      <c r="D714" s="7">
        <v>0</v>
      </c>
      <c r="E714" s="7">
        <v>0</v>
      </c>
      <c r="F714" s="7">
        <v>0</v>
      </c>
      <c r="G714" s="7">
        <v>0</v>
      </c>
      <c r="H714" s="7">
        <v>0</v>
      </c>
      <c r="I714" s="7">
        <v>0</v>
      </c>
      <c r="J714" s="7">
        <v>0</v>
      </c>
      <c r="K714" s="7">
        <v>0</v>
      </c>
      <c r="L714" s="7">
        <v>0</v>
      </c>
      <c r="M714" s="7">
        <v>0</v>
      </c>
      <c r="N714" s="7">
        <v>0</v>
      </c>
      <c r="O714" s="7">
        <v>0</v>
      </c>
      <c r="P714" s="7">
        <v>0</v>
      </c>
      <c r="Q714" s="7">
        <v>0</v>
      </c>
    </row>
    <row r="715" spans="1:17">
      <c r="A715" s="2">
        <v>2663</v>
      </c>
      <c r="B715" s="7">
        <v>0</v>
      </c>
      <c r="C715" s="7">
        <v>0</v>
      </c>
      <c r="D715" s="7">
        <v>0</v>
      </c>
      <c r="E715" s="7">
        <v>0</v>
      </c>
      <c r="F715" s="7">
        <v>0</v>
      </c>
      <c r="G715" s="7">
        <v>0</v>
      </c>
      <c r="H715" s="7">
        <v>0</v>
      </c>
      <c r="I715" s="7">
        <v>0</v>
      </c>
      <c r="J715" s="7">
        <v>0</v>
      </c>
      <c r="K715" s="7">
        <v>0</v>
      </c>
      <c r="L715" s="7">
        <v>0</v>
      </c>
      <c r="M715" s="7">
        <v>0</v>
      </c>
      <c r="N715" s="7">
        <v>0</v>
      </c>
      <c r="O715" s="7">
        <v>0</v>
      </c>
      <c r="P715" s="7">
        <v>0</v>
      </c>
      <c r="Q715" s="7">
        <v>0</v>
      </c>
    </row>
    <row r="716" spans="1:17">
      <c r="A716" s="2">
        <v>2664</v>
      </c>
      <c r="B716" s="7">
        <v>0</v>
      </c>
      <c r="C716" s="7">
        <v>0</v>
      </c>
      <c r="D716" s="7">
        <v>0</v>
      </c>
      <c r="E716" s="7">
        <v>0</v>
      </c>
      <c r="F716" s="7">
        <v>0</v>
      </c>
      <c r="G716" s="7">
        <v>0</v>
      </c>
      <c r="H716" s="7">
        <v>0</v>
      </c>
      <c r="I716" s="7">
        <v>0</v>
      </c>
      <c r="J716" s="7">
        <v>0</v>
      </c>
      <c r="K716" s="7">
        <v>0</v>
      </c>
      <c r="L716" s="7">
        <v>0</v>
      </c>
      <c r="M716" s="7">
        <v>0</v>
      </c>
      <c r="N716" s="7">
        <v>0</v>
      </c>
      <c r="O716" s="7">
        <v>0</v>
      </c>
      <c r="P716" s="7">
        <v>0</v>
      </c>
      <c r="Q716" s="7">
        <v>0</v>
      </c>
    </row>
    <row r="717" spans="1:17">
      <c r="A717" s="2">
        <v>2665</v>
      </c>
      <c r="B717" s="7">
        <v>0</v>
      </c>
      <c r="C717" s="7">
        <v>0</v>
      </c>
      <c r="D717" s="7">
        <v>0</v>
      </c>
      <c r="E717" s="7">
        <v>0</v>
      </c>
      <c r="F717" s="7">
        <v>0</v>
      </c>
      <c r="G717" s="7">
        <v>0</v>
      </c>
      <c r="H717" s="7">
        <v>0</v>
      </c>
      <c r="I717" s="7">
        <v>0</v>
      </c>
      <c r="J717" s="7">
        <v>0</v>
      </c>
      <c r="K717" s="7">
        <v>0</v>
      </c>
      <c r="L717" s="7">
        <v>0</v>
      </c>
      <c r="M717" s="7">
        <v>0</v>
      </c>
      <c r="N717" s="7">
        <v>0</v>
      </c>
      <c r="O717" s="7">
        <v>0</v>
      </c>
      <c r="P717" s="7">
        <v>0</v>
      </c>
      <c r="Q717" s="7">
        <v>0</v>
      </c>
    </row>
    <row r="718" spans="1:17">
      <c r="A718" s="2">
        <v>2666</v>
      </c>
      <c r="B718" s="7">
        <v>0</v>
      </c>
      <c r="C718" s="7">
        <v>0</v>
      </c>
      <c r="D718" s="7">
        <v>0</v>
      </c>
      <c r="E718" s="7">
        <v>0</v>
      </c>
      <c r="F718" s="7">
        <v>0</v>
      </c>
      <c r="G718" s="7">
        <v>0</v>
      </c>
      <c r="H718" s="7">
        <v>0</v>
      </c>
      <c r="I718" s="7">
        <v>0</v>
      </c>
      <c r="J718" s="7">
        <v>0</v>
      </c>
      <c r="K718" s="7">
        <v>0</v>
      </c>
      <c r="L718" s="7">
        <v>0</v>
      </c>
      <c r="M718" s="7">
        <v>0</v>
      </c>
      <c r="N718" s="7">
        <v>0</v>
      </c>
      <c r="O718" s="7">
        <v>0</v>
      </c>
      <c r="P718" s="7">
        <v>0</v>
      </c>
      <c r="Q718" s="7">
        <v>0</v>
      </c>
    </row>
    <row r="719" spans="1:17">
      <c r="A719" s="2">
        <v>2667</v>
      </c>
      <c r="B719" s="7">
        <v>0</v>
      </c>
      <c r="C719" s="7">
        <v>0</v>
      </c>
      <c r="D719" s="7">
        <v>0</v>
      </c>
      <c r="E719" s="7">
        <v>0</v>
      </c>
      <c r="F719" s="7">
        <v>0</v>
      </c>
      <c r="G719" s="7">
        <v>0</v>
      </c>
      <c r="H719" s="7">
        <v>0</v>
      </c>
      <c r="I719" s="7">
        <v>0</v>
      </c>
      <c r="J719" s="7">
        <v>0</v>
      </c>
      <c r="K719" s="7">
        <v>0</v>
      </c>
      <c r="L719" s="7">
        <v>0</v>
      </c>
      <c r="M719" s="7">
        <v>0</v>
      </c>
      <c r="N719" s="7">
        <v>0</v>
      </c>
      <c r="O719" s="7">
        <v>0</v>
      </c>
      <c r="P719" s="7">
        <v>0</v>
      </c>
      <c r="Q719" s="7">
        <v>0</v>
      </c>
    </row>
    <row r="720" spans="1:17">
      <c r="A720" s="2">
        <v>2668</v>
      </c>
      <c r="B720" s="7">
        <v>0</v>
      </c>
      <c r="C720" s="7">
        <v>0</v>
      </c>
      <c r="D720" s="7">
        <v>0</v>
      </c>
      <c r="E720" s="7">
        <v>0</v>
      </c>
      <c r="F720" s="7">
        <v>0</v>
      </c>
      <c r="G720" s="7">
        <v>0</v>
      </c>
      <c r="H720" s="7">
        <v>0</v>
      </c>
      <c r="I720" s="7">
        <v>0</v>
      </c>
      <c r="J720" s="7">
        <v>0</v>
      </c>
      <c r="K720" s="7">
        <v>0</v>
      </c>
      <c r="L720" s="7">
        <v>0</v>
      </c>
      <c r="M720" s="7">
        <v>0</v>
      </c>
      <c r="N720" s="7">
        <v>0</v>
      </c>
      <c r="O720" s="7">
        <v>0</v>
      </c>
      <c r="P720" s="7">
        <v>0</v>
      </c>
      <c r="Q720" s="7">
        <v>0</v>
      </c>
    </row>
    <row r="721" spans="1:17">
      <c r="A721" s="2">
        <v>2669</v>
      </c>
      <c r="B721" s="7">
        <v>0</v>
      </c>
      <c r="C721" s="7">
        <v>0</v>
      </c>
      <c r="D721" s="7">
        <v>0</v>
      </c>
      <c r="E721" s="7">
        <v>0</v>
      </c>
      <c r="F721" s="7">
        <v>0</v>
      </c>
      <c r="G721" s="7">
        <v>0</v>
      </c>
      <c r="H721" s="7">
        <v>0</v>
      </c>
      <c r="I721" s="7">
        <v>0</v>
      </c>
      <c r="J721" s="7">
        <v>0</v>
      </c>
      <c r="K721" s="7">
        <v>0</v>
      </c>
      <c r="L721" s="7">
        <v>0</v>
      </c>
      <c r="M721" s="7">
        <v>0</v>
      </c>
      <c r="N721" s="7">
        <v>0</v>
      </c>
      <c r="O721" s="7">
        <v>0</v>
      </c>
      <c r="P721" s="7">
        <v>0</v>
      </c>
      <c r="Q721" s="7">
        <v>0</v>
      </c>
    </row>
    <row r="722" spans="1:17">
      <c r="A722" s="2">
        <v>2670</v>
      </c>
      <c r="B722" s="7">
        <v>0</v>
      </c>
      <c r="C722" s="7">
        <v>0</v>
      </c>
      <c r="D722" s="7">
        <v>0</v>
      </c>
      <c r="E722" s="7">
        <v>0</v>
      </c>
      <c r="F722" s="7">
        <v>0</v>
      </c>
      <c r="G722" s="7">
        <v>0</v>
      </c>
      <c r="H722" s="7">
        <v>0</v>
      </c>
      <c r="I722" s="7">
        <v>0</v>
      </c>
      <c r="J722" s="7">
        <v>0</v>
      </c>
      <c r="K722" s="7">
        <v>0</v>
      </c>
      <c r="L722" s="7">
        <v>0</v>
      </c>
      <c r="M722" s="7">
        <v>0</v>
      </c>
      <c r="N722" s="7">
        <v>0</v>
      </c>
      <c r="O722" s="7">
        <v>0</v>
      </c>
      <c r="P722" s="7">
        <v>0</v>
      </c>
      <c r="Q722" s="7">
        <v>0</v>
      </c>
    </row>
    <row r="723" spans="1:17">
      <c r="A723" s="2">
        <v>2671</v>
      </c>
      <c r="B723" s="7">
        <v>0</v>
      </c>
      <c r="C723" s="7">
        <v>0</v>
      </c>
      <c r="D723" s="7">
        <v>0</v>
      </c>
      <c r="E723" s="7">
        <v>0</v>
      </c>
      <c r="F723" s="7">
        <v>0</v>
      </c>
      <c r="G723" s="7">
        <v>0</v>
      </c>
      <c r="H723" s="7">
        <v>0</v>
      </c>
      <c r="I723" s="7">
        <v>0</v>
      </c>
      <c r="J723" s="7">
        <v>0</v>
      </c>
      <c r="K723" s="7">
        <v>0</v>
      </c>
      <c r="L723" s="7">
        <v>0</v>
      </c>
      <c r="M723" s="7">
        <v>0</v>
      </c>
      <c r="N723" s="7">
        <v>0</v>
      </c>
      <c r="O723" s="7">
        <v>0</v>
      </c>
      <c r="P723" s="7">
        <v>0</v>
      </c>
      <c r="Q723" s="7">
        <v>0</v>
      </c>
    </row>
    <row r="724" spans="1:17">
      <c r="A724" s="2">
        <v>2672</v>
      </c>
      <c r="B724" s="7">
        <v>0</v>
      </c>
      <c r="C724" s="7">
        <v>0</v>
      </c>
      <c r="D724" s="7">
        <v>0</v>
      </c>
      <c r="E724" s="7">
        <v>0</v>
      </c>
      <c r="F724" s="7">
        <v>0</v>
      </c>
      <c r="G724" s="7">
        <v>0</v>
      </c>
      <c r="H724" s="7">
        <v>0</v>
      </c>
      <c r="I724" s="7">
        <v>0</v>
      </c>
      <c r="J724" s="7">
        <v>0</v>
      </c>
      <c r="K724" s="7">
        <v>0</v>
      </c>
      <c r="L724" s="7">
        <v>0</v>
      </c>
      <c r="M724" s="7">
        <v>0</v>
      </c>
      <c r="N724" s="7">
        <v>0</v>
      </c>
      <c r="O724" s="7">
        <v>0</v>
      </c>
      <c r="P724" s="7">
        <v>0</v>
      </c>
      <c r="Q724" s="7">
        <v>0</v>
      </c>
    </row>
    <row r="725" spans="1:17">
      <c r="A725" s="2">
        <v>2673</v>
      </c>
      <c r="B725" s="7">
        <v>0</v>
      </c>
      <c r="C725" s="7">
        <v>0</v>
      </c>
      <c r="D725" s="7">
        <v>0</v>
      </c>
      <c r="E725" s="7">
        <v>0</v>
      </c>
      <c r="F725" s="7">
        <v>0</v>
      </c>
      <c r="G725" s="7">
        <v>0</v>
      </c>
      <c r="H725" s="7">
        <v>0</v>
      </c>
      <c r="I725" s="7">
        <v>0</v>
      </c>
      <c r="J725" s="7">
        <v>0</v>
      </c>
      <c r="K725" s="7">
        <v>0</v>
      </c>
      <c r="L725" s="7">
        <v>0</v>
      </c>
      <c r="M725" s="7">
        <v>0</v>
      </c>
      <c r="N725" s="7">
        <v>0</v>
      </c>
      <c r="O725" s="7">
        <v>0</v>
      </c>
      <c r="P725" s="7">
        <v>0</v>
      </c>
      <c r="Q725" s="7">
        <v>0</v>
      </c>
    </row>
    <row r="726" spans="1:17">
      <c r="A726" s="2">
        <v>2674</v>
      </c>
      <c r="B726" s="7">
        <v>0</v>
      </c>
      <c r="C726" s="7">
        <v>0</v>
      </c>
      <c r="D726" s="7">
        <v>0</v>
      </c>
      <c r="E726" s="7">
        <v>0</v>
      </c>
      <c r="F726" s="7">
        <v>0</v>
      </c>
      <c r="G726" s="7">
        <v>0</v>
      </c>
      <c r="H726" s="7">
        <v>0</v>
      </c>
      <c r="I726" s="7">
        <v>0</v>
      </c>
      <c r="J726" s="7">
        <v>0</v>
      </c>
      <c r="K726" s="7">
        <v>0</v>
      </c>
      <c r="L726" s="7">
        <v>0</v>
      </c>
      <c r="M726" s="7">
        <v>0</v>
      </c>
      <c r="N726" s="7">
        <v>0</v>
      </c>
      <c r="O726" s="7">
        <v>0</v>
      </c>
      <c r="P726" s="7">
        <v>0</v>
      </c>
      <c r="Q726" s="7">
        <v>0</v>
      </c>
    </row>
    <row r="727" spans="1:17">
      <c r="A727" s="2">
        <v>2675</v>
      </c>
      <c r="B727" s="7">
        <v>0</v>
      </c>
      <c r="C727" s="7">
        <v>0</v>
      </c>
      <c r="D727" s="7">
        <v>0</v>
      </c>
      <c r="E727" s="7">
        <v>0</v>
      </c>
      <c r="F727" s="7">
        <v>0</v>
      </c>
      <c r="G727" s="7">
        <v>0</v>
      </c>
      <c r="H727" s="7">
        <v>0</v>
      </c>
      <c r="I727" s="7">
        <v>0</v>
      </c>
      <c r="J727" s="7">
        <v>0</v>
      </c>
      <c r="K727" s="7">
        <v>0</v>
      </c>
      <c r="L727" s="7">
        <v>0</v>
      </c>
      <c r="M727" s="7">
        <v>0</v>
      </c>
      <c r="N727" s="7">
        <v>0</v>
      </c>
      <c r="O727" s="7">
        <v>0</v>
      </c>
      <c r="P727" s="7">
        <v>0</v>
      </c>
      <c r="Q727" s="7">
        <v>0</v>
      </c>
    </row>
    <row r="728" spans="1:17">
      <c r="A728" s="2">
        <v>2676</v>
      </c>
      <c r="B728" s="7">
        <v>0</v>
      </c>
      <c r="C728" s="7">
        <v>0</v>
      </c>
      <c r="D728" s="7">
        <v>0</v>
      </c>
      <c r="E728" s="7">
        <v>0</v>
      </c>
      <c r="F728" s="7">
        <v>0</v>
      </c>
      <c r="G728" s="7">
        <v>0</v>
      </c>
      <c r="H728" s="7">
        <v>0</v>
      </c>
      <c r="I728" s="7">
        <v>0</v>
      </c>
      <c r="J728" s="7">
        <v>0</v>
      </c>
      <c r="K728" s="7">
        <v>0</v>
      </c>
      <c r="L728" s="7">
        <v>0</v>
      </c>
      <c r="M728" s="7">
        <v>0</v>
      </c>
      <c r="N728" s="7">
        <v>0</v>
      </c>
      <c r="O728" s="7">
        <v>0</v>
      </c>
      <c r="P728" s="7">
        <v>0</v>
      </c>
      <c r="Q728" s="7">
        <v>0</v>
      </c>
    </row>
    <row r="729" spans="1:17">
      <c r="A729" s="2">
        <v>2677</v>
      </c>
      <c r="B729" s="7">
        <v>0</v>
      </c>
      <c r="C729" s="7">
        <v>0</v>
      </c>
      <c r="D729" s="7">
        <v>0</v>
      </c>
      <c r="E729" s="7">
        <v>0</v>
      </c>
      <c r="F729" s="7">
        <v>0</v>
      </c>
      <c r="G729" s="7">
        <v>0</v>
      </c>
      <c r="H729" s="7">
        <v>0</v>
      </c>
      <c r="I729" s="7">
        <v>0</v>
      </c>
      <c r="J729" s="7">
        <v>0</v>
      </c>
      <c r="K729" s="7">
        <v>0</v>
      </c>
      <c r="L729" s="7">
        <v>0</v>
      </c>
      <c r="M729" s="7">
        <v>0</v>
      </c>
      <c r="N729" s="7">
        <v>0</v>
      </c>
      <c r="O729" s="7">
        <v>0</v>
      </c>
      <c r="P729" s="7">
        <v>0</v>
      </c>
      <c r="Q729" s="7">
        <v>0</v>
      </c>
    </row>
    <row r="730" spans="1:17">
      <c r="A730" s="2">
        <v>2678</v>
      </c>
      <c r="B730" s="7">
        <v>0</v>
      </c>
      <c r="C730" s="7">
        <v>0</v>
      </c>
      <c r="D730" s="7">
        <v>0</v>
      </c>
      <c r="E730" s="7">
        <v>0</v>
      </c>
      <c r="F730" s="7">
        <v>0</v>
      </c>
      <c r="G730" s="7">
        <v>0</v>
      </c>
      <c r="H730" s="7">
        <v>0</v>
      </c>
      <c r="I730" s="7">
        <v>0</v>
      </c>
      <c r="J730" s="7">
        <v>0</v>
      </c>
      <c r="K730" s="7">
        <v>0</v>
      </c>
      <c r="L730" s="7">
        <v>0</v>
      </c>
      <c r="M730" s="7">
        <v>0</v>
      </c>
      <c r="N730" s="7">
        <v>0</v>
      </c>
      <c r="O730" s="7">
        <v>0</v>
      </c>
      <c r="P730" s="7">
        <v>0</v>
      </c>
      <c r="Q730" s="7">
        <v>0</v>
      </c>
    </row>
    <row r="731" spans="1:17">
      <c r="A731" s="2">
        <v>2679</v>
      </c>
      <c r="B731" s="7">
        <v>0</v>
      </c>
      <c r="C731" s="7">
        <v>0</v>
      </c>
      <c r="D731" s="7">
        <v>0</v>
      </c>
      <c r="E731" s="7">
        <v>0</v>
      </c>
      <c r="F731" s="7">
        <v>0</v>
      </c>
      <c r="G731" s="7">
        <v>0</v>
      </c>
      <c r="H731" s="7">
        <v>0</v>
      </c>
      <c r="I731" s="7">
        <v>0</v>
      </c>
      <c r="J731" s="7">
        <v>0</v>
      </c>
      <c r="K731" s="7">
        <v>0</v>
      </c>
      <c r="L731" s="7">
        <v>0</v>
      </c>
      <c r="M731" s="7">
        <v>0</v>
      </c>
      <c r="N731" s="7">
        <v>0</v>
      </c>
      <c r="O731" s="7">
        <v>0</v>
      </c>
      <c r="P731" s="7">
        <v>0</v>
      </c>
      <c r="Q731" s="7">
        <v>0</v>
      </c>
    </row>
    <row r="732" spans="1:17">
      <c r="A732" s="2">
        <v>2680</v>
      </c>
      <c r="B732" s="7">
        <v>0</v>
      </c>
      <c r="C732" s="7">
        <v>0</v>
      </c>
      <c r="D732" s="7">
        <v>0</v>
      </c>
      <c r="E732" s="7">
        <v>0</v>
      </c>
      <c r="F732" s="7">
        <v>0</v>
      </c>
      <c r="G732" s="7">
        <v>0</v>
      </c>
      <c r="H732" s="7">
        <v>0</v>
      </c>
      <c r="I732" s="7">
        <v>0</v>
      </c>
      <c r="J732" s="7">
        <v>0</v>
      </c>
      <c r="K732" s="7">
        <v>0</v>
      </c>
      <c r="L732" s="7">
        <v>0</v>
      </c>
      <c r="M732" s="7">
        <v>0</v>
      </c>
      <c r="N732" s="7">
        <v>0</v>
      </c>
      <c r="O732" s="7">
        <v>0</v>
      </c>
      <c r="P732" s="7">
        <v>0</v>
      </c>
      <c r="Q732" s="7">
        <v>0</v>
      </c>
    </row>
    <row r="733" spans="1:17">
      <c r="A733" s="2">
        <v>2681</v>
      </c>
      <c r="B733" s="7">
        <v>0</v>
      </c>
      <c r="C733" s="7">
        <v>0</v>
      </c>
      <c r="D733" s="7">
        <v>0</v>
      </c>
      <c r="E733" s="7">
        <v>0</v>
      </c>
      <c r="F733" s="7">
        <v>0</v>
      </c>
      <c r="G733" s="7">
        <v>0</v>
      </c>
      <c r="H733" s="7">
        <v>0</v>
      </c>
      <c r="I733" s="7">
        <v>0</v>
      </c>
      <c r="J733" s="7">
        <v>0</v>
      </c>
      <c r="K733" s="7">
        <v>0</v>
      </c>
      <c r="L733" s="7">
        <v>0</v>
      </c>
      <c r="M733" s="7">
        <v>0</v>
      </c>
      <c r="N733" s="7">
        <v>0</v>
      </c>
      <c r="O733" s="7">
        <v>0</v>
      </c>
      <c r="P733" s="7">
        <v>0</v>
      </c>
      <c r="Q733" s="7">
        <v>0</v>
      </c>
    </row>
    <row r="734" spans="1:17">
      <c r="A734" s="2">
        <v>2682</v>
      </c>
      <c r="B734" s="7">
        <v>0</v>
      </c>
      <c r="C734" s="7">
        <v>0</v>
      </c>
      <c r="D734" s="7">
        <v>0</v>
      </c>
      <c r="E734" s="7">
        <v>0</v>
      </c>
      <c r="F734" s="7">
        <v>0</v>
      </c>
      <c r="G734" s="7">
        <v>0</v>
      </c>
      <c r="H734" s="7">
        <v>0</v>
      </c>
      <c r="I734" s="7">
        <v>0</v>
      </c>
      <c r="J734" s="7">
        <v>0</v>
      </c>
      <c r="K734" s="7">
        <v>0</v>
      </c>
      <c r="L734" s="7">
        <v>0</v>
      </c>
      <c r="M734" s="7">
        <v>0</v>
      </c>
      <c r="N734" s="7">
        <v>0</v>
      </c>
      <c r="O734" s="7">
        <v>0</v>
      </c>
      <c r="P734" s="7">
        <v>0</v>
      </c>
      <c r="Q734" s="7">
        <v>0</v>
      </c>
    </row>
    <row r="735" spans="1:17">
      <c r="A735" s="2">
        <v>2683</v>
      </c>
      <c r="B735" s="7">
        <v>0</v>
      </c>
      <c r="C735" s="7">
        <v>0</v>
      </c>
      <c r="D735" s="7">
        <v>0</v>
      </c>
      <c r="E735" s="7">
        <v>0</v>
      </c>
      <c r="F735" s="7">
        <v>0</v>
      </c>
      <c r="G735" s="7">
        <v>0</v>
      </c>
      <c r="H735" s="7">
        <v>0</v>
      </c>
      <c r="I735" s="7">
        <v>0</v>
      </c>
      <c r="J735" s="7">
        <v>0</v>
      </c>
      <c r="K735" s="7">
        <v>0</v>
      </c>
      <c r="L735" s="7">
        <v>0</v>
      </c>
      <c r="M735" s="7">
        <v>0</v>
      </c>
      <c r="N735" s="7">
        <v>0</v>
      </c>
      <c r="O735" s="7">
        <v>0</v>
      </c>
      <c r="P735" s="7">
        <v>0</v>
      </c>
      <c r="Q735" s="7">
        <v>0</v>
      </c>
    </row>
    <row r="736" spans="1:17">
      <c r="A736" s="2">
        <v>2684</v>
      </c>
      <c r="B736" s="7">
        <v>0</v>
      </c>
      <c r="C736" s="7">
        <v>0</v>
      </c>
      <c r="D736" s="7">
        <v>0</v>
      </c>
      <c r="E736" s="7">
        <v>0</v>
      </c>
      <c r="F736" s="7">
        <v>0</v>
      </c>
      <c r="G736" s="7">
        <v>0</v>
      </c>
      <c r="H736" s="7">
        <v>0</v>
      </c>
      <c r="I736" s="7">
        <v>0</v>
      </c>
      <c r="J736" s="7">
        <v>0</v>
      </c>
      <c r="K736" s="7">
        <v>0</v>
      </c>
      <c r="L736" s="7">
        <v>0</v>
      </c>
      <c r="M736" s="7">
        <v>0</v>
      </c>
      <c r="N736" s="7">
        <v>0</v>
      </c>
      <c r="O736" s="7">
        <v>0</v>
      </c>
      <c r="P736" s="7">
        <v>0</v>
      </c>
      <c r="Q736" s="7">
        <v>0</v>
      </c>
    </row>
    <row r="737" spans="1:17">
      <c r="A737" s="2">
        <v>2685</v>
      </c>
      <c r="B737" s="7">
        <v>0</v>
      </c>
      <c r="C737" s="7">
        <v>0</v>
      </c>
      <c r="D737" s="7">
        <v>0</v>
      </c>
      <c r="E737" s="7">
        <v>0</v>
      </c>
      <c r="F737" s="7">
        <v>0</v>
      </c>
      <c r="G737" s="7">
        <v>0</v>
      </c>
      <c r="H737" s="7">
        <v>0</v>
      </c>
      <c r="I737" s="7">
        <v>0</v>
      </c>
      <c r="J737" s="7">
        <v>0</v>
      </c>
      <c r="K737" s="7">
        <v>0</v>
      </c>
      <c r="L737" s="7">
        <v>0</v>
      </c>
      <c r="M737" s="7">
        <v>0</v>
      </c>
      <c r="N737" s="7">
        <v>0</v>
      </c>
      <c r="O737" s="7">
        <v>0</v>
      </c>
      <c r="P737" s="7">
        <v>0</v>
      </c>
      <c r="Q737" s="7">
        <v>0</v>
      </c>
    </row>
    <row r="738" spans="1:17">
      <c r="A738" s="2">
        <v>2686</v>
      </c>
      <c r="B738" s="7">
        <v>0</v>
      </c>
      <c r="C738" s="7">
        <v>0</v>
      </c>
      <c r="D738" s="7">
        <v>0</v>
      </c>
      <c r="E738" s="7">
        <v>0</v>
      </c>
      <c r="F738" s="7">
        <v>0</v>
      </c>
      <c r="G738" s="7">
        <v>0</v>
      </c>
      <c r="H738" s="7">
        <v>0</v>
      </c>
      <c r="I738" s="7">
        <v>0</v>
      </c>
      <c r="J738" s="7">
        <v>0</v>
      </c>
      <c r="K738" s="7">
        <v>0</v>
      </c>
      <c r="L738" s="7">
        <v>0</v>
      </c>
      <c r="M738" s="7">
        <v>0</v>
      </c>
      <c r="N738" s="7">
        <v>0</v>
      </c>
      <c r="O738" s="7">
        <v>0</v>
      </c>
      <c r="P738" s="7">
        <v>0</v>
      </c>
      <c r="Q738" s="7">
        <v>0</v>
      </c>
    </row>
    <row r="739" spans="1:17">
      <c r="A739" s="2">
        <v>2687</v>
      </c>
      <c r="B739" s="7">
        <v>0</v>
      </c>
      <c r="C739" s="7">
        <v>0</v>
      </c>
      <c r="D739" s="7">
        <v>0</v>
      </c>
      <c r="E739" s="7">
        <v>0</v>
      </c>
      <c r="F739" s="7">
        <v>0</v>
      </c>
      <c r="G739" s="7">
        <v>0</v>
      </c>
      <c r="H739" s="7">
        <v>0</v>
      </c>
      <c r="I739" s="7">
        <v>0</v>
      </c>
      <c r="J739" s="7">
        <v>0</v>
      </c>
      <c r="K739" s="7">
        <v>0</v>
      </c>
      <c r="L739" s="7">
        <v>0</v>
      </c>
      <c r="M739" s="7">
        <v>0</v>
      </c>
      <c r="N739" s="7">
        <v>0</v>
      </c>
      <c r="O739" s="7">
        <v>0</v>
      </c>
      <c r="P739" s="7">
        <v>0</v>
      </c>
      <c r="Q739" s="7">
        <v>0</v>
      </c>
    </row>
    <row r="740" spans="1:17">
      <c r="A740" s="2">
        <v>2688</v>
      </c>
      <c r="B740" s="7">
        <v>0</v>
      </c>
      <c r="C740" s="7">
        <v>0</v>
      </c>
      <c r="D740" s="7">
        <v>0</v>
      </c>
      <c r="E740" s="7">
        <v>0</v>
      </c>
      <c r="F740" s="7">
        <v>0</v>
      </c>
      <c r="G740" s="7">
        <v>0</v>
      </c>
      <c r="H740" s="7">
        <v>0</v>
      </c>
      <c r="I740" s="7">
        <v>0</v>
      </c>
      <c r="J740" s="7">
        <v>0</v>
      </c>
      <c r="K740" s="7">
        <v>0</v>
      </c>
      <c r="L740" s="7">
        <v>0</v>
      </c>
      <c r="M740" s="7">
        <v>0</v>
      </c>
      <c r="N740" s="7">
        <v>0</v>
      </c>
      <c r="O740" s="7">
        <v>0</v>
      </c>
      <c r="P740" s="7">
        <v>0</v>
      </c>
      <c r="Q740" s="7">
        <v>0</v>
      </c>
    </row>
    <row r="741" spans="1:17">
      <c r="A741" s="2">
        <v>2689</v>
      </c>
      <c r="B741" s="7">
        <v>0</v>
      </c>
      <c r="C741" s="7">
        <v>0</v>
      </c>
      <c r="D741" s="7">
        <v>0</v>
      </c>
      <c r="E741" s="7">
        <v>0</v>
      </c>
      <c r="F741" s="7">
        <v>0</v>
      </c>
      <c r="G741" s="7">
        <v>0</v>
      </c>
      <c r="H741" s="7">
        <v>0</v>
      </c>
      <c r="I741" s="7">
        <v>0</v>
      </c>
      <c r="J741" s="7">
        <v>0</v>
      </c>
      <c r="K741" s="7">
        <v>0</v>
      </c>
      <c r="L741" s="7">
        <v>0</v>
      </c>
      <c r="M741" s="7">
        <v>0</v>
      </c>
      <c r="N741" s="7">
        <v>0</v>
      </c>
      <c r="O741" s="7">
        <v>0</v>
      </c>
      <c r="P741" s="7">
        <v>0</v>
      </c>
      <c r="Q741" s="7">
        <v>0</v>
      </c>
    </row>
    <row r="742" spans="1:17">
      <c r="A742" s="2">
        <v>2690</v>
      </c>
      <c r="B742" s="7">
        <v>0</v>
      </c>
      <c r="C742" s="7">
        <v>0</v>
      </c>
      <c r="D742" s="7">
        <v>0</v>
      </c>
      <c r="E742" s="7">
        <v>0</v>
      </c>
      <c r="F742" s="7">
        <v>0</v>
      </c>
      <c r="G742" s="7">
        <v>0</v>
      </c>
      <c r="H742" s="7">
        <v>0</v>
      </c>
      <c r="I742" s="7">
        <v>0</v>
      </c>
      <c r="J742" s="7">
        <v>0</v>
      </c>
      <c r="K742" s="7">
        <v>0</v>
      </c>
      <c r="L742" s="7">
        <v>0</v>
      </c>
      <c r="M742" s="7">
        <v>0</v>
      </c>
      <c r="N742" s="7">
        <v>0</v>
      </c>
      <c r="O742" s="7">
        <v>0</v>
      </c>
      <c r="P742" s="7">
        <v>0</v>
      </c>
      <c r="Q742" s="7">
        <v>0</v>
      </c>
    </row>
    <row r="743" spans="1:17">
      <c r="A743" s="2">
        <v>2691</v>
      </c>
      <c r="B743" s="7">
        <v>0</v>
      </c>
      <c r="C743" s="7">
        <v>0</v>
      </c>
      <c r="D743" s="7">
        <v>0</v>
      </c>
      <c r="E743" s="7">
        <v>0</v>
      </c>
      <c r="F743" s="7">
        <v>0</v>
      </c>
      <c r="G743" s="7">
        <v>0</v>
      </c>
      <c r="H743" s="7">
        <v>0</v>
      </c>
      <c r="I743" s="7">
        <v>0</v>
      </c>
      <c r="J743" s="7">
        <v>0</v>
      </c>
      <c r="K743" s="7">
        <v>0</v>
      </c>
      <c r="L743" s="7">
        <v>0</v>
      </c>
      <c r="M743" s="7">
        <v>0</v>
      </c>
      <c r="N743" s="7">
        <v>0</v>
      </c>
      <c r="O743" s="7">
        <v>0</v>
      </c>
      <c r="P743" s="7">
        <v>0</v>
      </c>
      <c r="Q743" s="7">
        <v>0</v>
      </c>
    </row>
    <row r="744" spans="1:17">
      <c r="A744" s="2">
        <v>2692</v>
      </c>
      <c r="B744" s="7">
        <v>0</v>
      </c>
      <c r="C744" s="7">
        <v>0</v>
      </c>
      <c r="D744" s="7">
        <v>0</v>
      </c>
      <c r="E744" s="7">
        <v>0</v>
      </c>
      <c r="F744" s="7">
        <v>0</v>
      </c>
      <c r="G744" s="7">
        <v>0</v>
      </c>
      <c r="H744" s="7">
        <v>0</v>
      </c>
      <c r="I744" s="7">
        <v>0</v>
      </c>
      <c r="J744" s="7">
        <v>0</v>
      </c>
      <c r="K744" s="7">
        <v>0</v>
      </c>
      <c r="L744" s="7">
        <v>0</v>
      </c>
      <c r="M744" s="7">
        <v>0</v>
      </c>
      <c r="N744" s="7">
        <v>0</v>
      </c>
      <c r="O744" s="7">
        <v>0</v>
      </c>
      <c r="P744" s="7">
        <v>0</v>
      </c>
      <c r="Q744" s="7">
        <v>0</v>
      </c>
    </row>
    <row r="745" spans="1:17">
      <c r="A745" s="2">
        <v>2693</v>
      </c>
      <c r="B745" s="7">
        <v>0</v>
      </c>
      <c r="C745" s="7">
        <v>0</v>
      </c>
      <c r="D745" s="7">
        <v>0</v>
      </c>
      <c r="E745" s="7">
        <v>0</v>
      </c>
      <c r="F745" s="7">
        <v>0</v>
      </c>
      <c r="G745" s="7">
        <v>0</v>
      </c>
      <c r="H745" s="7">
        <v>0</v>
      </c>
      <c r="I745" s="7">
        <v>0</v>
      </c>
      <c r="J745" s="7">
        <v>0</v>
      </c>
      <c r="K745" s="7">
        <v>0</v>
      </c>
      <c r="L745" s="7">
        <v>0</v>
      </c>
      <c r="M745" s="7">
        <v>0</v>
      </c>
      <c r="N745" s="7">
        <v>0</v>
      </c>
      <c r="O745" s="7">
        <v>0</v>
      </c>
      <c r="P745" s="7">
        <v>0</v>
      </c>
      <c r="Q745" s="7">
        <v>0</v>
      </c>
    </row>
    <row r="746" spans="1:17">
      <c r="A746" s="2">
        <v>2694</v>
      </c>
      <c r="B746" s="7">
        <v>0</v>
      </c>
      <c r="C746" s="7">
        <v>0</v>
      </c>
      <c r="D746" s="7">
        <v>0</v>
      </c>
      <c r="E746" s="7">
        <v>0</v>
      </c>
      <c r="F746" s="7">
        <v>0</v>
      </c>
      <c r="G746" s="7">
        <v>0</v>
      </c>
      <c r="H746" s="7">
        <v>0</v>
      </c>
      <c r="I746" s="7">
        <v>0</v>
      </c>
      <c r="J746" s="7">
        <v>0</v>
      </c>
      <c r="K746" s="7">
        <v>0</v>
      </c>
      <c r="L746" s="7">
        <v>0</v>
      </c>
      <c r="M746" s="7">
        <v>0</v>
      </c>
      <c r="N746" s="7">
        <v>0</v>
      </c>
      <c r="O746" s="7">
        <v>0</v>
      </c>
      <c r="P746" s="7">
        <v>0</v>
      </c>
      <c r="Q746" s="7">
        <v>0</v>
      </c>
    </row>
    <row r="747" spans="1:17">
      <c r="A747" s="2">
        <v>2695</v>
      </c>
      <c r="B747" s="7">
        <v>0</v>
      </c>
      <c r="C747" s="7">
        <v>0</v>
      </c>
      <c r="D747" s="7">
        <v>0</v>
      </c>
      <c r="E747" s="7">
        <v>0</v>
      </c>
      <c r="F747" s="7">
        <v>0</v>
      </c>
      <c r="G747" s="7">
        <v>0</v>
      </c>
      <c r="H747" s="7">
        <v>0</v>
      </c>
      <c r="I747" s="7">
        <v>0</v>
      </c>
      <c r="J747" s="7">
        <v>0</v>
      </c>
      <c r="K747" s="7">
        <v>0</v>
      </c>
      <c r="L747" s="7">
        <v>0</v>
      </c>
      <c r="M747" s="7">
        <v>0</v>
      </c>
      <c r="N747" s="7">
        <v>0</v>
      </c>
      <c r="O747" s="7">
        <v>0</v>
      </c>
      <c r="P747" s="7">
        <v>0</v>
      </c>
      <c r="Q747" s="7">
        <v>0</v>
      </c>
    </row>
    <row r="748" spans="1:17">
      <c r="A748" s="2">
        <v>2696</v>
      </c>
      <c r="B748" s="7">
        <v>0</v>
      </c>
      <c r="C748" s="7">
        <v>0</v>
      </c>
      <c r="D748" s="7">
        <v>0</v>
      </c>
      <c r="E748" s="7">
        <v>0</v>
      </c>
      <c r="F748" s="7">
        <v>0</v>
      </c>
      <c r="G748" s="7">
        <v>0</v>
      </c>
      <c r="H748" s="7">
        <v>0</v>
      </c>
      <c r="I748" s="7">
        <v>0</v>
      </c>
      <c r="J748" s="7">
        <v>0</v>
      </c>
      <c r="K748" s="7">
        <v>0</v>
      </c>
      <c r="L748" s="7">
        <v>0</v>
      </c>
      <c r="M748" s="7">
        <v>0</v>
      </c>
      <c r="N748" s="7">
        <v>0</v>
      </c>
      <c r="O748" s="7">
        <v>0</v>
      </c>
      <c r="P748" s="7">
        <v>0</v>
      </c>
      <c r="Q748" s="7">
        <v>0</v>
      </c>
    </row>
    <row r="749" spans="1:17">
      <c r="A749" s="2">
        <v>2697</v>
      </c>
      <c r="B749" s="7">
        <v>0</v>
      </c>
      <c r="C749" s="7">
        <v>0</v>
      </c>
      <c r="D749" s="7">
        <v>0</v>
      </c>
      <c r="E749" s="7">
        <v>0</v>
      </c>
      <c r="F749" s="7">
        <v>0</v>
      </c>
      <c r="G749" s="7">
        <v>0</v>
      </c>
      <c r="H749" s="7">
        <v>0</v>
      </c>
      <c r="I749" s="7">
        <v>0</v>
      </c>
      <c r="J749" s="7">
        <v>0</v>
      </c>
      <c r="K749" s="7">
        <v>0</v>
      </c>
      <c r="L749" s="7">
        <v>0</v>
      </c>
      <c r="M749" s="7">
        <v>0</v>
      </c>
      <c r="N749" s="7">
        <v>0</v>
      </c>
      <c r="O749" s="7">
        <v>0</v>
      </c>
      <c r="P749" s="7">
        <v>0</v>
      </c>
      <c r="Q749" s="7">
        <v>0</v>
      </c>
    </row>
    <row r="750" spans="1:17">
      <c r="A750" s="2">
        <v>2698</v>
      </c>
      <c r="B750" s="7">
        <v>0</v>
      </c>
      <c r="C750" s="7">
        <v>0</v>
      </c>
      <c r="D750" s="7">
        <v>0</v>
      </c>
      <c r="E750" s="7">
        <v>0</v>
      </c>
      <c r="F750" s="7">
        <v>0</v>
      </c>
      <c r="G750" s="7">
        <v>0</v>
      </c>
      <c r="H750" s="7">
        <v>0</v>
      </c>
      <c r="I750" s="7">
        <v>0</v>
      </c>
      <c r="J750" s="7">
        <v>0</v>
      </c>
      <c r="K750" s="7">
        <v>0</v>
      </c>
      <c r="L750" s="7">
        <v>0</v>
      </c>
      <c r="M750" s="7">
        <v>0</v>
      </c>
      <c r="N750" s="7">
        <v>0</v>
      </c>
      <c r="O750" s="7">
        <v>0</v>
      </c>
      <c r="P750" s="7">
        <v>0</v>
      </c>
      <c r="Q750" s="7">
        <v>0</v>
      </c>
    </row>
    <row r="751" spans="1:17">
      <c r="A751" s="2">
        <v>2699</v>
      </c>
      <c r="B751" s="7">
        <v>0</v>
      </c>
      <c r="C751" s="7">
        <v>0</v>
      </c>
      <c r="D751" s="7">
        <v>0</v>
      </c>
      <c r="E751" s="7">
        <v>0</v>
      </c>
      <c r="F751" s="7">
        <v>0</v>
      </c>
      <c r="G751" s="7">
        <v>0</v>
      </c>
      <c r="H751" s="7">
        <v>0</v>
      </c>
      <c r="I751" s="7">
        <v>0</v>
      </c>
      <c r="J751" s="7">
        <v>0</v>
      </c>
      <c r="K751" s="7">
        <v>0</v>
      </c>
      <c r="L751" s="7">
        <v>0</v>
      </c>
      <c r="M751" s="7">
        <v>0</v>
      </c>
      <c r="N751" s="7">
        <v>0</v>
      </c>
      <c r="O751" s="7">
        <v>0</v>
      </c>
      <c r="P751" s="7">
        <v>0</v>
      </c>
      <c r="Q751" s="7">
        <v>0</v>
      </c>
    </row>
    <row r="752" spans="1:17">
      <c r="A752" s="2">
        <v>2700</v>
      </c>
      <c r="B752" s="7">
        <v>0</v>
      </c>
      <c r="C752" s="7">
        <v>0</v>
      </c>
      <c r="D752" s="7">
        <v>0</v>
      </c>
      <c r="E752" s="7">
        <v>0</v>
      </c>
      <c r="F752" s="7">
        <v>0</v>
      </c>
      <c r="G752" s="7">
        <v>0</v>
      </c>
      <c r="H752" s="7">
        <v>0</v>
      </c>
      <c r="I752" s="7">
        <v>0</v>
      </c>
      <c r="J752" s="7">
        <v>0</v>
      </c>
      <c r="K752" s="7">
        <v>0</v>
      </c>
      <c r="L752" s="7">
        <v>0</v>
      </c>
      <c r="M752" s="7">
        <v>0</v>
      </c>
      <c r="N752" s="7">
        <v>0</v>
      </c>
      <c r="O752" s="7">
        <v>0</v>
      </c>
      <c r="P752" s="7">
        <v>0</v>
      </c>
      <c r="Q752" s="7">
        <v>0</v>
      </c>
    </row>
    <row r="753" spans="1:17">
      <c r="A753" s="2">
        <v>2701</v>
      </c>
      <c r="B753" s="7">
        <v>0</v>
      </c>
      <c r="C753" s="7">
        <v>0</v>
      </c>
      <c r="D753" s="7">
        <v>0</v>
      </c>
      <c r="E753" s="7">
        <v>0</v>
      </c>
      <c r="F753" s="7">
        <v>0</v>
      </c>
      <c r="G753" s="7">
        <v>0</v>
      </c>
      <c r="H753" s="7">
        <v>0</v>
      </c>
      <c r="I753" s="7">
        <v>0</v>
      </c>
      <c r="J753" s="7">
        <v>0</v>
      </c>
      <c r="K753" s="7">
        <v>0</v>
      </c>
      <c r="L753" s="7">
        <v>0</v>
      </c>
      <c r="M753" s="7">
        <v>0</v>
      </c>
      <c r="N753" s="7">
        <v>0</v>
      </c>
      <c r="O753" s="7">
        <v>0</v>
      </c>
      <c r="P753" s="7">
        <v>0</v>
      </c>
      <c r="Q753" s="7">
        <v>0</v>
      </c>
    </row>
    <row r="754" spans="1:17">
      <c r="A754" s="2">
        <v>2702</v>
      </c>
      <c r="B754" s="7">
        <v>0</v>
      </c>
      <c r="C754" s="7">
        <v>0</v>
      </c>
      <c r="D754" s="7">
        <v>0</v>
      </c>
      <c r="E754" s="7">
        <v>0</v>
      </c>
      <c r="F754" s="7">
        <v>0</v>
      </c>
      <c r="G754" s="7">
        <v>0</v>
      </c>
      <c r="H754" s="7">
        <v>0</v>
      </c>
      <c r="I754" s="7">
        <v>0</v>
      </c>
      <c r="J754" s="7">
        <v>0</v>
      </c>
      <c r="K754" s="7">
        <v>0</v>
      </c>
      <c r="L754" s="7">
        <v>0</v>
      </c>
      <c r="M754" s="7">
        <v>0</v>
      </c>
      <c r="N754" s="7">
        <v>0</v>
      </c>
      <c r="O754" s="7">
        <v>0</v>
      </c>
      <c r="P754" s="7">
        <v>0</v>
      </c>
      <c r="Q754" s="7">
        <v>0</v>
      </c>
    </row>
    <row r="755" spans="1:17">
      <c r="A755" s="2">
        <v>2703</v>
      </c>
      <c r="B755" s="7">
        <v>0</v>
      </c>
      <c r="C755" s="7">
        <v>0</v>
      </c>
      <c r="D755" s="7">
        <v>0</v>
      </c>
      <c r="E755" s="7">
        <v>0</v>
      </c>
      <c r="F755" s="7">
        <v>0</v>
      </c>
      <c r="G755" s="7">
        <v>0</v>
      </c>
      <c r="H755" s="7">
        <v>0</v>
      </c>
      <c r="I755" s="7">
        <v>0</v>
      </c>
      <c r="J755" s="7">
        <v>0</v>
      </c>
      <c r="K755" s="7">
        <v>0</v>
      </c>
      <c r="L755" s="7">
        <v>0</v>
      </c>
      <c r="M755" s="7">
        <v>0</v>
      </c>
      <c r="N755" s="7">
        <v>0</v>
      </c>
      <c r="O755" s="7">
        <v>0</v>
      </c>
      <c r="P755" s="7">
        <v>0</v>
      </c>
      <c r="Q755" s="7">
        <v>0</v>
      </c>
    </row>
    <row r="756" spans="1:17">
      <c r="A756" s="2">
        <v>2704</v>
      </c>
      <c r="B756" s="7">
        <v>0</v>
      </c>
      <c r="C756" s="7">
        <v>0</v>
      </c>
      <c r="D756" s="7">
        <v>0</v>
      </c>
      <c r="E756" s="7">
        <v>0</v>
      </c>
      <c r="F756" s="7">
        <v>0</v>
      </c>
      <c r="G756" s="7">
        <v>0</v>
      </c>
      <c r="H756" s="7">
        <v>0</v>
      </c>
      <c r="I756" s="7">
        <v>0</v>
      </c>
      <c r="J756" s="7">
        <v>0</v>
      </c>
      <c r="K756" s="7">
        <v>0</v>
      </c>
      <c r="L756" s="7">
        <v>0</v>
      </c>
      <c r="M756" s="7">
        <v>0</v>
      </c>
      <c r="N756" s="7">
        <v>0</v>
      </c>
      <c r="O756" s="7">
        <v>0</v>
      </c>
      <c r="P756" s="7">
        <v>0</v>
      </c>
      <c r="Q756" s="7">
        <v>0</v>
      </c>
    </row>
    <row r="757" spans="1:17">
      <c r="A757" s="2">
        <v>2705</v>
      </c>
      <c r="B757" s="7">
        <v>0</v>
      </c>
      <c r="C757" s="7">
        <v>0</v>
      </c>
      <c r="D757" s="7">
        <v>0</v>
      </c>
      <c r="E757" s="7">
        <v>0</v>
      </c>
      <c r="F757" s="7">
        <v>0</v>
      </c>
      <c r="G757" s="7">
        <v>0</v>
      </c>
      <c r="H757" s="7">
        <v>0</v>
      </c>
      <c r="I757" s="7">
        <v>0</v>
      </c>
      <c r="J757" s="7">
        <v>0</v>
      </c>
      <c r="K757" s="7">
        <v>0</v>
      </c>
      <c r="L757" s="7">
        <v>0</v>
      </c>
      <c r="M757" s="7">
        <v>0</v>
      </c>
      <c r="N757" s="7">
        <v>0</v>
      </c>
      <c r="O757" s="7">
        <v>0</v>
      </c>
      <c r="P757" s="7">
        <v>0</v>
      </c>
      <c r="Q757" s="7">
        <v>0</v>
      </c>
    </row>
    <row r="758" spans="1:17">
      <c r="A758" s="2">
        <v>2706</v>
      </c>
      <c r="B758" s="7">
        <v>0</v>
      </c>
      <c r="C758" s="7">
        <v>0</v>
      </c>
      <c r="D758" s="7">
        <v>0</v>
      </c>
      <c r="E758" s="7">
        <v>0</v>
      </c>
      <c r="F758" s="7">
        <v>0</v>
      </c>
      <c r="G758" s="7">
        <v>0</v>
      </c>
      <c r="H758" s="7">
        <v>0</v>
      </c>
      <c r="I758" s="7">
        <v>0</v>
      </c>
      <c r="J758" s="7">
        <v>0</v>
      </c>
      <c r="K758" s="7">
        <v>0</v>
      </c>
      <c r="L758" s="7">
        <v>0</v>
      </c>
      <c r="M758" s="7">
        <v>0</v>
      </c>
      <c r="N758" s="7">
        <v>0</v>
      </c>
      <c r="O758" s="7">
        <v>0</v>
      </c>
      <c r="P758" s="7">
        <v>0</v>
      </c>
      <c r="Q758" s="7">
        <v>0</v>
      </c>
    </row>
    <row r="759" spans="1:17">
      <c r="A759" s="2">
        <v>2707</v>
      </c>
      <c r="B759" s="7">
        <v>0</v>
      </c>
      <c r="C759" s="7">
        <v>0</v>
      </c>
      <c r="D759" s="7">
        <v>0</v>
      </c>
      <c r="E759" s="7">
        <v>0</v>
      </c>
      <c r="F759" s="7">
        <v>0</v>
      </c>
      <c r="G759" s="7">
        <v>0</v>
      </c>
      <c r="H759" s="7">
        <v>0</v>
      </c>
      <c r="I759" s="7">
        <v>0</v>
      </c>
      <c r="J759" s="7">
        <v>0</v>
      </c>
      <c r="K759" s="7">
        <v>0</v>
      </c>
      <c r="L759" s="7">
        <v>0</v>
      </c>
      <c r="M759" s="7">
        <v>0</v>
      </c>
      <c r="N759" s="7">
        <v>0</v>
      </c>
      <c r="O759" s="7">
        <v>0</v>
      </c>
      <c r="P759" s="7">
        <v>0</v>
      </c>
      <c r="Q759" s="7">
        <v>0</v>
      </c>
    </row>
    <row r="760" spans="1:17">
      <c r="A760" s="2">
        <v>2708</v>
      </c>
      <c r="B760" s="7">
        <v>0</v>
      </c>
      <c r="C760" s="7">
        <v>0</v>
      </c>
      <c r="D760" s="7">
        <v>0</v>
      </c>
      <c r="E760" s="7">
        <v>0</v>
      </c>
      <c r="F760" s="7">
        <v>0</v>
      </c>
      <c r="G760" s="7">
        <v>0</v>
      </c>
      <c r="H760" s="7">
        <v>0</v>
      </c>
      <c r="I760" s="7">
        <v>0</v>
      </c>
      <c r="J760" s="7">
        <v>0</v>
      </c>
      <c r="K760" s="7">
        <v>0</v>
      </c>
      <c r="L760" s="7">
        <v>0</v>
      </c>
      <c r="M760" s="7">
        <v>0</v>
      </c>
      <c r="N760" s="7">
        <v>0</v>
      </c>
      <c r="O760" s="7">
        <v>0</v>
      </c>
      <c r="P760" s="7">
        <v>0</v>
      </c>
      <c r="Q760" s="7">
        <v>0</v>
      </c>
    </row>
    <row r="761" spans="1:17">
      <c r="A761" s="2">
        <v>2709</v>
      </c>
      <c r="B761" s="7">
        <v>0</v>
      </c>
      <c r="C761" s="7">
        <v>0</v>
      </c>
      <c r="D761" s="7">
        <v>0</v>
      </c>
      <c r="E761" s="7">
        <v>0</v>
      </c>
      <c r="F761" s="7">
        <v>0</v>
      </c>
      <c r="G761" s="7">
        <v>0</v>
      </c>
      <c r="H761" s="7">
        <v>0</v>
      </c>
      <c r="I761" s="7">
        <v>0</v>
      </c>
      <c r="J761" s="7">
        <v>0</v>
      </c>
      <c r="K761" s="7">
        <v>0</v>
      </c>
      <c r="L761" s="7">
        <v>0</v>
      </c>
      <c r="M761" s="7">
        <v>0</v>
      </c>
      <c r="N761" s="7">
        <v>0</v>
      </c>
      <c r="O761" s="7">
        <v>0</v>
      </c>
      <c r="P761" s="7">
        <v>0</v>
      </c>
      <c r="Q761" s="7">
        <v>0</v>
      </c>
    </row>
    <row r="762" spans="1:17">
      <c r="A762" s="2">
        <v>2710</v>
      </c>
      <c r="B762" s="7">
        <v>0</v>
      </c>
      <c r="C762" s="7">
        <v>0</v>
      </c>
      <c r="D762" s="7">
        <v>0</v>
      </c>
      <c r="E762" s="7">
        <v>0</v>
      </c>
      <c r="F762" s="7">
        <v>0</v>
      </c>
      <c r="G762" s="7">
        <v>0</v>
      </c>
      <c r="H762" s="7">
        <v>0</v>
      </c>
      <c r="I762" s="7">
        <v>0</v>
      </c>
      <c r="J762" s="7">
        <v>0</v>
      </c>
      <c r="K762" s="7">
        <v>0</v>
      </c>
      <c r="L762" s="7">
        <v>0</v>
      </c>
      <c r="M762" s="7">
        <v>0</v>
      </c>
      <c r="N762" s="7">
        <v>0</v>
      </c>
      <c r="O762" s="7">
        <v>0</v>
      </c>
      <c r="P762" s="7">
        <v>0</v>
      </c>
      <c r="Q762" s="7">
        <v>0</v>
      </c>
    </row>
    <row r="763" spans="1:17">
      <c r="A763" s="2">
        <v>2711</v>
      </c>
      <c r="B763" s="7">
        <v>0</v>
      </c>
      <c r="C763" s="7">
        <v>0</v>
      </c>
      <c r="D763" s="7">
        <v>0</v>
      </c>
      <c r="E763" s="7">
        <v>0</v>
      </c>
      <c r="F763" s="7">
        <v>0</v>
      </c>
      <c r="G763" s="7">
        <v>0</v>
      </c>
      <c r="H763" s="7">
        <v>0</v>
      </c>
      <c r="I763" s="7">
        <v>0</v>
      </c>
      <c r="J763" s="7">
        <v>0</v>
      </c>
      <c r="K763" s="7">
        <v>0</v>
      </c>
      <c r="L763" s="7">
        <v>0</v>
      </c>
      <c r="M763" s="7">
        <v>0</v>
      </c>
      <c r="N763" s="7">
        <v>0</v>
      </c>
      <c r="O763" s="7">
        <v>0</v>
      </c>
      <c r="P763" s="7">
        <v>0</v>
      </c>
      <c r="Q763" s="7">
        <v>0</v>
      </c>
    </row>
    <row r="764" spans="1:17">
      <c r="A764" s="2">
        <v>2712</v>
      </c>
      <c r="B764" s="7">
        <v>0</v>
      </c>
      <c r="C764" s="7">
        <v>0</v>
      </c>
      <c r="D764" s="7">
        <v>0</v>
      </c>
      <c r="E764" s="7">
        <v>0</v>
      </c>
      <c r="F764" s="7">
        <v>0</v>
      </c>
      <c r="G764" s="7">
        <v>0</v>
      </c>
      <c r="H764" s="7">
        <v>0</v>
      </c>
      <c r="I764" s="7">
        <v>0</v>
      </c>
      <c r="J764" s="7">
        <v>0</v>
      </c>
      <c r="K764" s="7">
        <v>0</v>
      </c>
      <c r="L764" s="7">
        <v>0</v>
      </c>
      <c r="M764" s="7">
        <v>0</v>
      </c>
      <c r="N764" s="7">
        <v>0</v>
      </c>
      <c r="O764" s="7">
        <v>0</v>
      </c>
      <c r="P764" s="7">
        <v>0</v>
      </c>
      <c r="Q764" s="7">
        <v>0</v>
      </c>
    </row>
    <row r="765" spans="1:17">
      <c r="A765" s="2">
        <v>2713</v>
      </c>
      <c r="B765" s="7">
        <v>0</v>
      </c>
      <c r="C765" s="7">
        <v>0</v>
      </c>
      <c r="D765" s="7">
        <v>0</v>
      </c>
      <c r="E765" s="7">
        <v>0</v>
      </c>
      <c r="F765" s="7">
        <v>0</v>
      </c>
      <c r="G765" s="7">
        <v>0</v>
      </c>
      <c r="H765" s="7">
        <v>0</v>
      </c>
      <c r="I765" s="7">
        <v>0</v>
      </c>
      <c r="J765" s="7">
        <v>0</v>
      </c>
      <c r="K765" s="7">
        <v>0</v>
      </c>
      <c r="L765" s="7">
        <v>0</v>
      </c>
      <c r="M765" s="7">
        <v>0</v>
      </c>
      <c r="N765" s="7">
        <v>0</v>
      </c>
      <c r="O765" s="7">
        <v>0</v>
      </c>
      <c r="P765" s="7">
        <v>0</v>
      </c>
      <c r="Q765" s="7">
        <v>0</v>
      </c>
    </row>
    <row r="766" spans="1:17">
      <c r="A766" s="2">
        <v>2714</v>
      </c>
      <c r="B766" s="7">
        <v>0</v>
      </c>
      <c r="C766" s="7">
        <v>0</v>
      </c>
      <c r="D766" s="7">
        <v>0</v>
      </c>
      <c r="E766" s="7">
        <v>0</v>
      </c>
      <c r="F766" s="7">
        <v>0</v>
      </c>
      <c r="G766" s="7">
        <v>0</v>
      </c>
      <c r="H766" s="7">
        <v>0</v>
      </c>
      <c r="I766" s="7">
        <v>0</v>
      </c>
      <c r="J766" s="7">
        <v>0</v>
      </c>
      <c r="K766" s="7">
        <v>0</v>
      </c>
      <c r="L766" s="7">
        <v>0</v>
      </c>
      <c r="M766" s="7">
        <v>0</v>
      </c>
      <c r="N766" s="7">
        <v>0</v>
      </c>
      <c r="O766" s="7">
        <v>0</v>
      </c>
      <c r="P766" s="7">
        <v>0</v>
      </c>
      <c r="Q766" s="7">
        <v>0</v>
      </c>
    </row>
    <row r="767" spans="1:17">
      <c r="A767" s="2">
        <v>2715</v>
      </c>
      <c r="B767" s="7">
        <v>0</v>
      </c>
      <c r="C767" s="7">
        <v>0</v>
      </c>
      <c r="D767" s="7">
        <v>0</v>
      </c>
      <c r="E767" s="7">
        <v>0</v>
      </c>
      <c r="F767" s="7">
        <v>0</v>
      </c>
      <c r="G767" s="7">
        <v>0</v>
      </c>
      <c r="H767" s="7">
        <v>0</v>
      </c>
      <c r="I767" s="7">
        <v>0</v>
      </c>
      <c r="J767" s="7">
        <v>0</v>
      </c>
      <c r="K767" s="7">
        <v>0</v>
      </c>
      <c r="L767" s="7">
        <v>0</v>
      </c>
      <c r="M767" s="7">
        <v>0</v>
      </c>
      <c r="N767" s="7">
        <v>0</v>
      </c>
      <c r="O767" s="7">
        <v>0</v>
      </c>
      <c r="P767" s="7">
        <v>0</v>
      </c>
      <c r="Q767" s="7">
        <v>0</v>
      </c>
    </row>
    <row r="768" spans="1:17">
      <c r="A768" s="2">
        <v>2716</v>
      </c>
      <c r="B768" s="7">
        <v>0</v>
      </c>
      <c r="C768" s="7">
        <v>0</v>
      </c>
      <c r="D768" s="7">
        <v>0</v>
      </c>
      <c r="E768" s="7">
        <v>0</v>
      </c>
      <c r="F768" s="7">
        <v>0</v>
      </c>
      <c r="G768" s="7">
        <v>0</v>
      </c>
      <c r="H768" s="7">
        <v>0</v>
      </c>
      <c r="I768" s="7">
        <v>0</v>
      </c>
      <c r="J768" s="7">
        <v>0</v>
      </c>
      <c r="K768" s="7">
        <v>0</v>
      </c>
      <c r="L768" s="7">
        <v>0</v>
      </c>
      <c r="M768" s="7">
        <v>0</v>
      </c>
      <c r="N768" s="7">
        <v>0</v>
      </c>
      <c r="O768" s="7">
        <v>0</v>
      </c>
      <c r="P768" s="7">
        <v>0</v>
      </c>
      <c r="Q768" s="7">
        <v>0</v>
      </c>
    </row>
    <row r="769" spans="1:17">
      <c r="A769" s="2">
        <v>2717</v>
      </c>
      <c r="B769" s="7">
        <v>0</v>
      </c>
      <c r="C769" s="7">
        <v>0</v>
      </c>
      <c r="D769" s="7">
        <v>0</v>
      </c>
      <c r="E769" s="7">
        <v>0</v>
      </c>
      <c r="F769" s="7">
        <v>0</v>
      </c>
      <c r="G769" s="7">
        <v>0</v>
      </c>
      <c r="H769" s="7">
        <v>0</v>
      </c>
      <c r="I769" s="7">
        <v>0</v>
      </c>
      <c r="J769" s="7">
        <v>0</v>
      </c>
      <c r="K769" s="7">
        <v>0</v>
      </c>
      <c r="L769" s="7">
        <v>0</v>
      </c>
      <c r="M769" s="7">
        <v>0</v>
      </c>
      <c r="N769" s="7">
        <v>0</v>
      </c>
      <c r="O769" s="7">
        <v>0</v>
      </c>
      <c r="P769" s="7">
        <v>0</v>
      </c>
      <c r="Q769" s="7">
        <v>0</v>
      </c>
    </row>
    <row r="770" spans="1:17">
      <c r="A770" s="2">
        <v>2718</v>
      </c>
      <c r="B770" s="7">
        <v>0</v>
      </c>
      <c r="C770" s="7">
        <v>0</v>
      </c>
      <c r="D770" s="7">
        <v>0</v>
      </c>
      <c r="E770" s="7">
        <v>0</v>
      </c>
      <c r="F770" s="7">
        <v>0</v>
      </c>
      <c r="G770" s="7">
        <v>0</v>
      </c>
      <c r="H770" s="7">
        <v>0</v>
      </c>
      <c r="I770" s="7">
        <v>0</v>
      </c>
      <c r="J770" s="7">
        <v>0</v>
      </c>
      <c r="K770" s="7">
        <v>0</v>
      </c>
      <c r="L770" s="7">
        <v>0</v>
      </c>
      <c r="M770" s="7">
        <v>0</v>
      </c>
      <c r="N770" s="7">
        <v>0</v>
      </c>
      <c r="O770" s="7">
        <v>0</v>
      </c>
      <c r="P770" s="7">
        <v>0</v>
      </c>
      <c r="Q770" s="7">
        <v>0</v>
      </c>
    </row>
    <row r="771" spans="1:17">
      <c r="A771" s="2">
        <v>2719</v>
      </c>
      <c r="B771" s="7">
        <v>0</v>
      </c>
      <c r="C771" s="7">
        <v>0</v>
      </c>
      <c r="D771" s="7">
        <v>0</v>
      </c>
      <c r="E771" s="7">
        <v>0</v>
      </c>
      <c r="F771" s="7">
        <v>0</v>
      </c>
      <c r="G771" s="7">
        <v>0</v>
      </c>
      <c r="H771" s="7">
        <v>0</v>
      </c>
      <c r="I771" s="7">
        <v>0</v>
      </c>
      <c r="J771" s="7">
        <v>0</v>
      </c>
      <c r="K771" s="7">
        <v>0</v>
      </c>
      <c r="L771" s="7">
        <v>0</v>
      </c>
      <c r="M771" s="7">
        <v>0</v>
      </c>
      <c r="N771" s="7">
        <v>0</v>
      </c>
      <c r="O771" s="7">
        <v>0</v>
      </c>
      <c r="P771" s="7">
        <v>0</v>
      </c>
      <c r="Q771" s="7">
        <v>0</v>
      </c>
    </row>
    <row r="772" spans="1:17">
      <c r="A772" s="2">
        <v>2720</v>
      </c>
      <c r="B772" s="7">
        <v>0</v>
      </c>
      <c r="C772" s="7">
        <v>0</v>
      </c>
      <c r="D772" s="7">
        <v>0</v>
      </c>
      <c r="E772" s="7">
        <v>0</v>
      </c>
      <c r="F772" s="7">
        <v>0</v>
      </c>
      <c r="G772" s="7">
        <v>0</v>
      </c>
      <c r="H772" s="7">
        <v>0</v>
      </c>
      <c r="I772" s="7">
        <v>0</v>
      </c>
      <c r="J772" s="7">
        <v>0</v>
      </c>
      <c r="K772" s="7">
        <v>0</v>
      </c>
      <c r="L772" s="7">
        <v>0</v>
      </c>
      <c r="M772" s="7">
        <v>0</v>
      </c>
      <c r="N772" s="7">
        <v>0</v>
      </c>
      <c r="O772" s="7">
        <v>0</v>
      </c>
      <c r="P772" s="7">
        <v>0</v>
      </c>
      <c r="Q772" s="7">
        <v>0</v>
      </c>
    </row>
    <row r="773" spans="1:17">
      <c r="A773" s="2">
        <v>2721</v>
      </c>
      <c r="B773" s="7">
        <v>0</v>
      </c>
      <c r="C773" s="7">
        <v>0</v>
      </c>
      <c r="D773" s="7">
        <v>0</v>
      </c>
      <c r="E773" s="7">
        <v>0</v>
      </c>
      <c r="F773" s="7">
        <v>0</v>
      </c>
      <c r="G773" s="7">
        <v>0</v>
      </c>
      <c r="H773" s="7">
        <v>0</v>
      </c>
      <c r="I773" s="7">
        <v>0</v>
      </c>
      <c r="J773" s="7">
        <v>0</v>
      </c>
      <c r="K773" s="7">
        <v>0</v>
      </c>
      <c r="L773" s="7">
        <v>0</v>
      </c>
      <c r="M773" s="7">
        <v>0</v>
      </c>
      <c r="N773" s="7">
        <v>0</v>
      </c>
      <c r="O773" s="7">
        <v>0</v>
      </c>
      <c r="P773" s="7">
        <v>0</v>
      </c>
      <c r="Q773" s="7">
        <v>0</v>
      </c>
    </row>
    <row r="774" spans="1:17">
      <c r="A774" s="2">
        <v>2722</v>
      </c>
      <c r="B774" s="7">
        <v>0</v>
      </c>
      <c r="C774" s="7">
        <v>0</v>
      </c>
      <c r="D774" s="7">
        <v>0</v>
      </c>
      <c r="E774" s="7">
        <v>0</v>
      </c>
      <c r="F774" s="7">
        <v>0</v>
      </c>
      <c r="G774" s="7">
        <v>0</v>
      </c>
      <c r="H774" s="7">
        <v>0</v>
      </c>
      <c r="I774" s="7">
        <v>0</v>
      </c>
      <c r="J774" s="7">
        <v>0</v>
      </c>
      <c r="K774" s="7">
        <v>0</v>
      </c>
      <c r="L774" s="7">
        <v>0</v>
      </c>
      <c r="M774" s="7">
        <v>0</v>
      </c>
      <c r="N774" s="7">
        <v>0</v>
      </c>
      <c r="O774" s="7">
        <v>0</v>
      </c>
      <c r="P774" s="7">
        <v>0</v>
      </c>
      <c r="Q774" s="7">
        <v>0</v>
      </c>
    </row>
    <row r="775" spans="1:17">
      <c r="A775" s="2">
        <v>2723</v>
      </c>
      <c r="B775" s="7">
        <v>0</v>
      </c>
      <c r="C775" s="7">
        <v>0</v>
      </c>
      <c r="D775" s="7">
        <v>0</v>
      </c>
      <c r="E775" s="7">
        <v>0</v>
      </c>
      <c r="F775" s="7">
        <v>0</v>
      </c>
      <c r="G775" s="7">
        <v>0</v>
      </c>
      <c r="H775" s="7">
        <v>0</v>
      </c>
      <c r="I775" s="7">
        <v>0</v>
      </c>
      <c r="J775" s="7">
        <v>0</v>
      </c>
      <c r="K775" s="7">
        <v>0</v>
      </c>
      <c r="L775" s="7">
        <v>0</v>
      </c>
      <c r="M775" s="7">
        <v>0</v>
      </c>
      <c r="N775" s="7">
        <v>0</v>
      </c>
      <c r="O775" s="7">
        <v>0</v>
      </c>
      <c r="P775" s="7">
        <v>0</v>
      </c>
      <c r="Q775" s="7">
        <v>0</v>
      </c>
    </row>
    <row r="776" spans="1:17">
      <c r="A776" s="2">
        <v>2724</v>
      </c>
      <c r="B776" s="7">
        <v>0</v>
      </c>
      <c r="C776" s="7">
        <v>0</v>
      </c>
      <c r="D776" s="7">
        <v>0</v>
      </c>
      <c r="E776" s="7">
        <v>0</v>
      </c>
      <c r="F776" s="7">
        <v>0</v>
      </c>
      <c r="G776" s="7">
        <v>0</v>
      </c>
      <c r="H776" s="7">
        <v>0</v>
      </c>
      <c r="I776" s="7">
        <v>0</v>
      </c>
      <c r="J776" s="7">
        <v>0</v>
      </c>
      <c r="K776" s="7">
        <v>0</v>
      </c>
      <c r="L776" s="7">
        <v>0</v>
      </c>
      <c r="M776" s="7">
        <v>0</v>
      </c>
      <c r="N776" s="7">
        <v>0</v>
      </c>
      <c r="O776" s="7">
        <v>0</v>
      </c>
      <c r="P776" s="7">
        <v>0</v>
      </c>
      <c r="Q776" s="7">
        <v>0</v>
      </c>
    </row>
    <row r="777" spans="1:17">
      <c r="A777" s="2">
        <v>2725</v>
      </c>
      <c r="B777" s="7">
        <v>0</v>
      </c>
      <c r="C777" s="7">
        <v>0</v>
      </c>
      <c r="D777" s="7">
        <v>0</v>
      </c>
      <c r="E777" s="7">
        <v>0</v>
      </c>
      <c r="F777" s="7">
        <v>0</v>
      </c>
      <c r="G777" s="7">
        <v>0</v>
      </c>
      <c r="H777" s="7">
        <v>0</v>
      </c>
      <c r="I777" s="7">
        <v>0</v>
      </c>
      <c r="J777" s="7">
        <v>0</v>
      </c>
      <c r="K777" s="7">
        <v>0</v>
      </c>
      <c r="L777" s="7">
        <v>0</v>
      </c>
      <c r="M777" s="7">
        <v>0</v>
      </c>
      <c r="N777" s="7">
        <v>0</v>
      </c>
      <c r="O777" s="7">
        <v>0</v>
      </c>
      <c r="P777" s="7">
        <v>0</v>
      </c>
      <c r="Q777" s="7">
        <v>0</v>
      </c>
    </row>
    <row r="778" spans="1:17">
      <c r="A778" s="2">
        <v>2726</v>
      </c>
      <c r="B778" s="7">
        <v>0</v>
      </c>
      <c r="C778" s="7">
        <v>0</v>
      </c>
      <c r="D778" s="7">
        <v>0</v>
      </c>
      <c r="E778" s="7">
        <v>0</v>
      </c>
      <c r="F778" s="7">
        <v>0</v>
      </c>
      <c r="G778" s="7">
        <v>0</v>
      </c>
      <c r="H778" s="7">
        <v>0</v>
      </c>
      <c r="I778" s="7">
        <v>0</v>
      </c>
      <c r="J778" s="7">
        <v>0</v>
      </c>
      <c r="K778" s="7">
        <v>0</v>
      </c>
      <c r="L778" s="7">
        <v>0</v>
      </c>
      <c r="M778" s="7">
        <v>0</v>
      </c>
      <c r="N778" s="7">
        <v>0</v>
      </c>
      <c r="O778" s="7">
        <v>0</v>
      </c>
      <c r="P778" s="7">
        <v>0</v>
      </c>
      <c r="Q778" s="7">
        <v>0</v>
      </c>
    </row>
    <row r="779" spans="1:17">
      <c r="A779" s="2">
        <v>2727</v>
      </c>
      <c r="B779" s="7">
        <v>0</v>
      </c>
      <c r="C779" s="7">
        <v>0</v>
      </c>
      <c r="D779" s="7">
        <v>0</v>
      </c>
      <c r="E779" s="7">
        <v>0</v>
      </c>
      <c r="F779" s="7">
        <v>0</v>
      </c>
      <c r="G779" s="7">
        <v>0</v>
      </c>
      <c r="H779" s="7">
        <v>0</v>
      </c>
      <c r="I779" s="7">
        <v>0</v>
      </c>
      <c r="J779" s="7">
        <v>0</v>
      </c>
      <c r="K779" s="7">
        <v>0</v>
      </c>
      <c r="L779" s="7">
        <v>0</v>
      </c>
      <c r="M779" s="7">
        <v>0</v>
      </c>
      <c r="N779" s="7">
        <v>0</v>
      </c>
      <c r="O779" s="7">
        <v>0</v>
      </c>
      <c r="P779" s="7">
        <v>0</v>
      </c>
      <c r="Q779" s="7">
        <v>0</v>
      </c>
    </row>
    <row r="780" spans="1:17">
      <c r="A780" s="2">
        <v>2728</v>
      </c>
      <c r="B780" s="7">
        <v>0</v>
      </c>
      <c r="C780" s="7">
        <v>0</v>
      </c>
      <c r="D780" s="7">
        <v>0</v>
      </c>
      <c r="E780" s="7">
        <v>0</v>
      </c>
      <c r="F780" s="7">
        <v>0</v>
      </c>
      <c r="G780" s="7">
        <v>0</v>
      </c>
      <c r="H780" s="7">
        <v>0</v>
      </c>
      <c r="I780" s="7">
        <v>0</v>
      </c>
      <c r="J780" s="7">
        <v>0</v>
      </c>
      <c r="K780" s="7">
        <v>0</v>
      </c>
      <c r="L780" s="7">
        <v>0</v>
      </c>
      <c r="M780" s="7">
        <v>0</v>
      </c>
      <c r="N780" s="7">
        <v>0</v>
      </c>
      <c r="O780" s="7">
        <v>0</v>
      </c>
      <c r="P780" s="7">
        <v>0</v>
      </c>
      <c r="Q780" s="7">
        <v>0</v>
      </c>
    </row>
    <row r="781" spans="1:17">
      <c r="A781" s="2">
        <v>2729</v>
      </c>
      <c r="B781" s="7">
        <v>0</v>
      </c>
      <c r="C781" s="7">
        <v>0</v>
      </c>
      <c r="D781" s="7">
        <v>0</v>
      </c>
      <c r="E781" s="7">
        <v>0</v>
      </c>
      <c r="F781" s="7">
        <v>0</v>
      </c>
      <c r="G781" s="7">
        <v>0</v>
      </c>
      <c r="H781" s="7">
        <v>0</v>
      </c>
      <c r="I781" s="7">
        <v>0</v>
      </c>
      <c r="J781" s="7">
        <v>0</v>
      </c>
      <c r="K781" s="7">
        <v>0</v>
      </c>
      <c r="L781" s="7">
        <v>0</v>
      </c>
      <c r="M781" s="7">
        <v>0</v>
      </c>
      <c r="N781" s="7">
        <v>0</v>
      </c>
      <c r="O781" s="7">
        <v>0</v>
      </c>
      <c r="P781" s="7">
        <v>0</v>
      </c>
      <c r="Q781" s="7">
        <v>0</v>
      </c>
    </row>
    <row r="782" spans="1:17">
      <c r="A782" s="2">
        <v>2730</v>
      </c>
      <c r="B782" s="7">
        <v>0</v>
      </c>
      <c r="C782" s="7">
        <v>0</v>
      </c>
      <c r="D782" s="7">
        <v>0</v>
      </c>
      <c r="E782" s="7">
        <v>0</v>
      </c>
      <c r="F782" s="7">
        <v>0</v>
      </c>
      <c r="G782" s="7">
        <v>0</v>
      </c>
      <c r="H782" s="7">
        <v>0</v>
      </c>
      <c r="I782" s="7">
        <v>0</v>
      </c>
      <c r="J782" s="7">
        <v>0</v>
      </c>
      <c r="K782" s="7">
        <v>0</v>
      </c>
      <c r="L782" s="7">
        <v>0</v>
      </c>
      <c r="M782" s="7">
        <v>0</v>
      </c>
      <c r="N782" s="7">
        <v>0</v>
      </c>
      <c r="O782" s="7">
        <v>0</v>
      </c>
      <c r="P782" s="7">
        <v>0</v>
      </c>
      <c r="Q782" s="7">
        <v>0</v>
      </c>
    </row>
    <row r="783" spans="1:17">
      <c r="A783" s="2">
        <v>2731</v>
      </c>
      <c r="B783" s="7">
        <v>0</v>
      </c>
      <c r="C783" s="7">
        <v>0</v>
      </c>
      <c r="D783" s="7">
        <v>0</v>
      </c>
      <c r="E783" s="7">
        <v>0</v>
      </c>
      <c r="F783" s="7">
        <v>0</v>
      </c>
      <c r="G783" s="7">
        <v>0</v>
      </c>
      <c r="H783" s="7">
        <v>0</v>
      </c>
      <c r="I783" s="7">
        <v>0</v>
      </c>
      <c r="J783" s="7">
        <v>0</v>
      </c>
      <c r="K783" s="7">
        <v>0</v>
      </c>
      <c r="L783" s="7">
        <v>0</v>
      </c>
      <c r="M783" s="7">
        <v>0</v>
      </c>
      <c r="N783" s="7">
        <v>0</v>
      </c>
      <c r="O783" s="7">
        <v>0</v>
      </c>
      <c r="P783" s="7">
        <v>0</v>
      </c>
      <c r="Q783" s="7">
        <v>0</v>
      </c>
    </row>
    <row r="784" spans="1:17">
      <c r="A784" s="2">
        <v>2732</v>
      </c>
      <c r="B784" s="7">
        <v>0</v>
      </c>
      <c r="C784" s="7">
        <v>0</v>
      </c>
      <c r="D784" s="7">
        <v>0</v>
      </c>
      <c r="E784" s="7">
        <v>0</v>
      </c>
      <c r="F784" s="7">
        <v>0</v>
      </c>
      <c r="G784" s="7">
        <v>0</v>
      </c>
      <c r="H784" s="7">
        <v>0</v>
      </c>
      <c r="I784" s="7">
        <v>0</v>
      </c>
      <c r="J784" s="7">
        <v>0</v>
      </c>
      <c r="K784" s="7">
        <v>0</v>
      </c>
      <c r="L784" s="7">
        <v>0</v>
      </c>
      <c r="M784" s="7">
        <v>0</v>
      </c>
      <c r="N784" s="7">
        <v>0</v>
      </c>
      <c r="O784" s="7">
        <v>0</v>
      </c>
      <c r="P784" s="7">
        <v>0</v>
      </c>
      <c r="Q784" s="7">
        <v>0</v>
      </c>
    </row>
    <row r="785" spans="1:17">
      <c r="A785" s="2">
        <v>2733</v>
      </c>
      <c r="B785" s="7">
        <v>0</v>
      </c>
      <c r="C785" s="7">
        <v>0</v>
      </c>
      <c r="D785" s="7">
        <v>0</v>
      </c>
      <c r="E785" s="7">
        <v>0</v>
      </c>
      <c r="F785" s="7">
        <v>0</v>
      </c>
      <c r="G785" s="7">
        <v>0</v>
      </c>
      <c r="H785" s="7">
        <v>0</v>
      </c>
      <c r="I785" s="7">
        <v>0</v>
      </c>
      <c r="J785" s="7">
        <v>0</v>
      </c>
      <c r="K785" s="7">
        <v>0</v>
      </c>
      <c r="L785" s="7">
        <v>0</v>
      </c>
      <c r="M785" s="7">
        <v>0</v>
      </c>
      <c r="N785" s="7">
        <v>0</v>
      </c>
      <c r="O785" s="7">
        <v>0</v>
      </c>
      <c r="P785" s="7">
        <v>0</v>
      </c>
      <c r="Q785" s="7">
        <v>0</v>
      </c>
    </row>
    <row r="786" spans="1:17">
      <c r="A786" s="2">
        <v>2734</v>
      </c>
      <c r="B786" s="7">
        <v>0</v>
      </c>
      <c r="C786" s="7">
        <v>0</v>
      </c>
      <c r="D786" s="7">
        <v>0</v>
      </c>
      <c r="E786" s="7">
        <v>0</v>
      </c>
      <c r="F786" s="7">
        <v>0</v>
      </c>
      <c r="G786" s="7">
        <v>0</v>
      </c>
      <c r="H786" s="7">
        <v>0</v>
      </c>
      <c r="I786" s="7">
        <v>0</v>
      </c>
      <c r="J786" s="7">
        <v>0</v>
      </c>
      <c r="K786" s="7">
        <v>0</v>
      </c>
      <c r="L786" s="7">
        <v>0</v>
      </c>
      <c r="M786" s="7">
        <v>0</v>
      </c>
      <c r="N786" s="7">
        <v>0</v>
      </c>
      <c r="O786" s="7">
        <v>0</v>
      </c>
      <c r="P786" s="7">
        <v>0</v>
      </c>
      <c r="Q786" s="7">
        <v>0</v>
      </c>
    </row>
    <row r="787" spans="1:17">
      <c r="A787" s="2">
        <v>2735</v>
      </c>
      <c r="B787" s="7">
        <v>0</v>
      </c>
      <c r="C787" s="7">
        <v>0</v>
      </c>
      <c r="D787" s="7">
        <v>0</v>
      </c>
      <c r="E787" s="7">
        <v>0</v>
      </c>
      <c r="F787" s="7">
        <v>0</v>
      </c>
      <c r="G787" s="7">
        <v>0</v>
      </c>
      <c r="H787" s="7">
        <v>0</v>
      </c>
      <c r="I787" s="7">
        <v>0</v>
      </c>
      <c r="J787" s="7">
        <v>0</v>
      </c>
      <c r="K787" s="7">
        <v>0</v>
      </c>
      <c r="L787" s="7">
        <v>0</v>
      </c>
      <c r="M787" s="7">
        <v>0</v>
      </c>
      <c r="N787" s="7">
        <v>0</v>
      </c>
      <c r="O787" s="7">
        <v>0</v>
      </c>
      <c r="P787" s="7">
        <v>0</v>
      </c>
      <c r="Q787" s="7">
        <v>0</v>
      </c>
    </row>
    <row r="788" spans="1:17">
      <c r="A788" s="2">
        <v>2736</v>
      </c>
      <c r="B788" s="7">
        <v>0</v>
      </c>
      <c r="C788" s="7">
        <v>0</v>
      </c>
      <c r="D788" s="7">
        <v>0</v>
      </c>
      <c r="E788" s="7">
        <v>0</v>
      </c>
      <c r="F788" s="7">
        <v>0</v>
      </c>
      <c r="G788" s="7">
        <v>0</v>
      </c>
      <c r="H788" s="7">
        <v>0</v>
      </c>
      <c r="I788" s="7">
        <v>0</v>
      </c>
      <c r="J788" s="7">
        <v>0</v>
      </c>
      <c r="K788" s="7">
        <v>0</v>
      </c>
      <c r="L788" s="7">
        <v>0</v>
      </c>
      <c r="M788" s="7">
        <v>0</v>
      </c>
      <c r="N788" s="7">
        <v>0</v>
      </c>
      <c r="O788" s="7">
        <v>0</v>
      </c>
      <c r="P788" s="7">
        <v>0</v>
      </c>
      <c r="Q788" s="7">
        <v>0</v>
      </c>
    </row>
    <row r="789" spans="1:17">
      <c r="A789" s="2">
        <v>2737</v>
      </c>
      <c r="B789" s="7">
        <v>0</v>
      </c>
      <c r="C789" s="7">
        <v>0</v>
      </c>
      <c r="D789" s="7">
        <v>0</v>
      </c>
      <c r="E789" s="7">
        <v>0</v>
      </c>
      <c r="F789" s="7">
        <v>0</v>
      </c>
      <c r="G789" s="7">
        <v>0</v>
      </c>
      <c r="H789" s="7">
        <v>0</v>
      </c>
      <c r="I789" s="7">
        <v>0</v>
      </c>
      <c r="J789" s="7">
        <v>0</v>
      </c>
      <c r="K789" s="7">
        <v>0</v>
      </c>
      <c r="L789" s="7">
        <v>0</v>
      </c>
      <c r="M789" s="7">
        <v>0</v>
      </c>
      <c r="N789" s="7">
        <v>0</v>
      </c>
      <c r="O789" s="7">
        <v>0</v>
      </c>
      <c r="P789" s="7">
        <v>0</v>
      </c>
      <c r="Q789" s="7">
        <v>0</v>
      </c>
    </row>
    <row r="790" spans="1:17">
      <c r="A790" s="2">
        <v>2738</v>
      </c>
      <c r="B790" s="7">
        <v>0</v>
      </c>
      <c r="C790" s="7">
        <v>0</v>
      </c>
      <c r="D790" s="7">
        <v>0</v>
      </c>
      <c r="E790" s="7">
        <v>0</v>
      </c>
      <c r="F790" s="7">
        <v>0</v>
      </c>
      <c r="G790" s="7">
        <v>0</v>
      </c>
      <c r="H790" s="7">
        <v>0</v>
      </c>
      <c r="I790" s="7">
        <v>0</v>
      </c>
      <c r="J790" s="7">
        <v>0</v>
      </c>
      <c r="K790" s="7">
        <v>0</v>
      </c>
      <c r="L790" s="7">
        <v>0</v>
      </c>
      <c r="M790" s="7">
        <v>0</v>
      </c>
      <c r="N790" s="7">
        <v>0</v>
      </c>
      <c r="O790" s="7">
        <v>0</v>
      </c>
      <c r="P790" s="7">
        <v>0</v>
      </c>
      <c r="Q790" s="7">
        <v>0</v>
      </c>
    </row>
    <row r="791" spans="1:17">
      <c r="A791" s="2">
        <v>2739</v>
      </c>
      <c r="B791" s="7">
        <v>0</v>
      </c>
      <c r="C791" s="7">
        <v>0</v>
      </c>
      <c r="D791" s="7">
        <v>0</v>
      </c>
      <c r="E791" s="7">
        <v>0</v>
      </c>
      <c r="F791" s="7">
        <v>0</v>
      </c>
      <c r="G791" s="7">
        <v>0</v>
      </c>
      <c r="H791" s="7">
        <v>0</v>
      </c>
      <c r="I791" s="7">
        <v>0</v>
      </c>
      <c r="J791" s="7">
        <v>0</v>
      </c>
      <c r="K791" s="7">
        <v>0</v>
      </c>
      <c r="L791" s="7">
        <v>0</v>
      </c>
      <c r="M791" s="7">
        <v>0</v>
      </c>
      <c r="N791" s="7">
        <v>0</v>
      </c>
      <c r="O791" s="7">
        <v>0</v>
      </c>
      <c r="P791" s="7">
        <v>0</v>
      </c>
      <c r="Q791" s="7">
        <v>0</v>
      </c>
    </row>
    <row r="792" spans="1:17">
      <c r="A792" s="2">
        <v>2740</v>
      </c>
      <c r="B792" s="7">
        <v>0</v>
      </c>
      <c r="C792" s="7">
        <v>0</v>
      </c>
      <c r="D792" s="7">
        <v>0</v>
      </c>
      <c r="E792" s="7">
        <v>0</v>
      </c>
      <c r="F792" s="7">
        <v>0</v>
      </c>
      <c r="G792" s="7">
        <v>0</v>
      </c>
      <c r="H792" s="7">
        <v>0</v>
      </c>
      <c r="I792" s="7">
        <v>0</v>
      </c>
      <c r="J792" s="7">
        <v>0</v>
      </c>
      <c r="K792" s="7">
        <v>0</v>
      </c>
      <c r="L792" s="7">
        <v>0</v>
      </c>
      <c r="M792" s="7">
        <v>0</v>
      </c>
      <c r="N792" s="7">
        <v>0</v>
      </c>
      <c r="O792" s="7">
        <v>0</v>
      </c>
      <c r="P792" s="7">
        <v>0</v>
      </c>
      <c r="Q792" s="7">
        <v>0</v>
      </c>
    </row>
    <row r="793" spans="1:17">
      <c r="A793" s="2">
        <v>2741</v>
      </c>
      <c r="B793" s="7">
        <v>0</v>
      </c>
      <c r="C793" s="7">
        <v>0</v>
      </c>
      <c r="D793" s="7">
        <v>0</v>
      </c>
      <c r="E793" s="7">
        <v>0</v>
      </c>
      <c r="F793" s="7">
        <v>0</v>
      </c>
      <c r="G793" s="7">
        <v>0</v>
      </c>
      <c r="H793" s="7">
        <v>0</v>
      </c>
      <c r="I793" s="7">
        <v>0</v>
      </c>
      <c r="J793" s="7">
        <v>0</v>
      </c>
      <c r="K793" s="7">
        <v>0</v>
      </c>
      <c r="L793" s="7">
        <v>0</v>
      </c>
      <c r="M793" s="7">
        <v>0</v>
      </c>
      <c r="N793" s="7">
        <v>0</v>
      </c>
      <c r="O793" s="7">
        <v>0</v>
      </c>
      <c r="P793" s="7">
        <v>0</v>
      </c>
      <c r="Q793" s="7">
        <v>0</v>
      </c>
    </row>
    <row r="794" spans="1:17">
      <c r="A794" s="2">
        <v>2742</v>
      </c>
      <c r="B794" s="7">
        <v>0</v>
      </c>
      <c r="C794" s="7">
        <v>0</v>
      </c>
      <c r="D794" s="7">
        <v>0</v>
      </c>
      <c r="E794" s="7">
        <v>0</v>
      </c>
      <c r="F794" s="7">
        <v>0</v>
      </c>
      <c r="G794" s="7">
        <v>0</v>
      </c>
      <c r="H794" s="7">
        <v>0</v>
      </c>
      <c r="I794" s="7">
        <v>0</v>
      </c>
      <c r="J794" s="7">
        <v>0</v>
      </c>
      <c r="K794" s="7">
        <v>0</v>
      </c>
      <c r="L794" s="7">
        <v>0</v>
      </c>
      <c r="M794" s="7">
        <v>0</v>
      </c>
      <c r="N794" s="7">
        <v>0</v>
      </c>
      <c r="O794" s="7">
        <v>0</v>
      </c>
      <c r="P794" s="7">
        <v>0</v>
      </c>
      <c r="Q794" s="7">
        <v>0</v>
      </c>
    </row>
    <row r="795" spans="1:17">
      <c r="A795" s="2">
        <v>2743</v>
      </c>
      <c r="B795" s="7">
        <v>0</v>
      </c>
      <c r="C795" s="7">
        <v>0</v>
      </c>
      <c r="D795" s="7">
        <v>0</v>
      </c>
      <c r="E795" s="7">
        <v>0</v>
      </c>
      <c r="F795" s="7">
        <v>0</v>
      </c>
      <c r="G795" s="7">
        <v>0</v>
      </c>
      <c r="H795" s="7">
        <v>0</v>
      </c>
      <c r="I795" s="7">
        <v>0</v>
      </c>
      <c r="J795" s="7">
        <v>0</v>
      </c>
      <c r="K795" s="7">
        <v>0</v>
      </c>
      <c r="L795" s="7">
        <v>0</v>
      </c>
      <c r="M795" s="7">
        <v>0</v>
      </c>
      <c r="N795" s="7">
        <v>0</v>
      </c>
      <c r="O795" s="7">
        <v>0</v>
      </c>
      <c r="P795" s="7">
        <v>0</v>
      </c>
      <c r="Q795" s="7">
        <v>0</v>
      </c>
    </row>
    <row r="796" spans="1:17">
      <c r="A796" s="2">
        <v>2744</v>
      </c>
      <c r="B796" s="7">
        <v>0</v>
      </c>
      <c r="C796" s="7">
        <v>0</v>
      </c>
      <c r="D796" s="7">
        <v>0</v>
      </c>
      <c r="E796" s="7">
        <v>0</v>
      </c>
      <c r="F796" s="7">
        <v>0</v>
      </c>
      <c r="G796" s="7">
        <v>0</v>
      </c>
      <c r="H796" s="7">
        <v>0</v>
      </c>
      <c r="I796" s="7">
        <v>0</v>
      </c>
      <c r="J796" s="7">
        <v>0</v>
      </c>
      <c r="K796" s="7">
        <v>0</v>
      </c>
      <c r="L796" s="7">
        <v>0</v>
      </c>
      <c r="M796" s="7">
        <v>0</v>
      </c>
      <c r="N796" s="7">
        <v>0</v>
      </c>
      <c r="O796" s="7">
        <v>0</v>
      </c>
      <c r="P796" s="7">
        <v>0</v>
      </c>
      <c r="Q796" s="7">
        <v>0</v>
      </c>
    </row>
    <row r="797" spans="1:17">
      <c r="A797" s="2">
        <v>2745</v>
      </c>
      <c r="B797" s="7">
        <v>0</v>
      </c>
      <c r="C797" s="7">
        <v>0</v>
      </c>
      <c r="D797" s="7">
        <v>0</v>
      </c>
      <c r="E797" s="7">
        <v>0</v>
      </c>
      <c r="F797" s="7">
        <v>0</v>
      </c>
      <c r="G797" s="7">
        <v>0</v>
      </c>
      <c r="H797" s="7">
        <v>0</v>
      </c>
      <c r="I797" s="7">
        <v>0</v>
      </c>
      <c r="J797" s="7">
        <v>0</v>
      </c>
      <c r="K797" s="7">
        <v>0</v>
      </c>
      <c r="L797" s="7">
        <v>0</v>
      </c>
      <c r="M797" s="7">
        <v>0</v>
      </c>
      <c r="N797" s="7">
        <v>0</v>
      </c>
      <c r="O797" s="7">
        <v>0</v>
      </c>
      <c r="P797" s="7">
        <v>0</v>
      </c>
      <c r="Q797" s="7">
        <v>0</v>
      </c>
    </row>
    <row r="798" spans="1:17">
      <c r="A798" s="2">
        <v>2746</v>
      </c>
      <c r="B798" s="7">
        <v>0</v>
      </c>
      <c r="C798" s="7">
        <v>0</v>
      </c>
      <c r="D798" s="7">
        <v>0</v>
      </c>
      <c r="E798" s="7">
        <v>0</v>
      </c>
      <c r="F798" s="7">
        <v>0</v>
      </c>
      <c r="G798" s="7">
        <v>0</v>
      </c>
      <c r="H798" s="7">
        <v>0</v>
      </c>
      <c r="I798" s="7">
        <v>0</v>
      </c>
      <c r="J798" s="7">
        <v>0</v>
      </c>
      <c r="K798" s="7">
        <v>0</v>
      </c>
      <c r="L798" s="7">
        <v>0</v>
      </c>
      <c r="M798" s="7">
        <v>0</v>
      </c>
      <c r="N798" s="7">
        <v>0</v>
      </c>
      <c r="O798" s="7">
        <v>0</v>
      </c>
      <c r="P798" s="7">
        <v>0</v>
      </c>
      <c r="Q798" s="7">
        <v>0</v>
      </c>
    </row>
    <row r="799" spans="1:17">
      <c r="A799" s="2">
        <v>2747</v>
      </c>
      <c r="B799" s="7">
        <v>0</v>
      </c>
      <c r="C799" s="7">
        <v>0</v>
      </c>
      <c r="D799" s="7">
        <v>0</v>
      </c>
      <c r="E799" s="7">
        <v>0</v>
      </c>
      <c r="F799" s="7">
        <v>0</v>
      </c>
      <c r="G799" s="7">
        <v>0</v>
      </c>
      <c r="H799" s="7">
        <v>0</v>
      </c>
      <c r="I799" s="7">
        <v>0</v>
      </c>
      <c r="J799" s="7">
        <v>0</v>
      </c>
      <c r="K799" s="7">
        <v>0</v>
      </c>
      <c r="L799" s="7">
        <v>0</v>
      </c>
      <c r="M799" s="7">
        <v>0</v>
      </c>
      <c r="N799" s="7">
        <v>0</v>
      </c>
      <c r="O799" s="7">
        <v>0</v>
      </c>
      <c r="P799" s="7">
        <v>0</v>
      </c>
      <c r="Q799" s="7">
        <v>0</v>
      </c>
    </row>
    <row r="800" spans="1:17">
      <c r="A800" s="2">
        <v>2748</v>
      </c>
      <c r="B800" s="7">
        <v>0</v>
      </c>
      <c r="C800" s="7">
        <v>0</v>
      </c>
      <c r="D800" s="7">
        <v>0</v>
      </c>
      <c r="E800" s="7">
        <v>0</v>
      </c>
      <c r="F800" s="7">
        <v>0</v>
      </c>
      <c r="G800" s="7">
        <v>0</v>
      </c>
      <c r="H800" s="7">
        <v>0</v>
      </c>
      <c r="I800" s="7">
        <v>0</v>
      </c>
      <c r="J800" s="7">
        <v>0</v>
      </c>
      <c r="K800" s="7">
        <v>0</v>
      </c>
      <c r="L800" s="7">
        <v>0</v>
      </c>
      <c r="M800" s="7">
        <v>0</v>
      </c>
      <c r="N800" s="7">
        <v>0</v>
      </c>
      <c r="O800" s="7">
        <v>0</v>
      </c>
      <c r="P800" s="7">
        <v>0</v>
      </c>
      <c r="Q800" s="7">
        <v>0</v>
      </c>
    </row>
    <row r="801" spans="1:17">
      <c r="A801" s="2">
        <v>2749</v>
      </c>
      <c r="B801" s="7">
        <v>0</v>
      </c>
      <c r="C801" s="7">
        <v>0</v>
      </c>
      <c r="D801" s="7">
        <v>0</v>
      </c>
      <c r="E801" s="7">
        <v>0</v>
      </c>
      <c r="F801" s="7">
        <v>0</v>
      </c>
      <c r="G801" s="7">
        <v>0</v>
      </c>
      <c r="H801" s="7">
        <v>0</v>
      </c>
      <c r="I801" s="7">
        <v>0</v>
      </c>
      <c r="J801" s="7">
        <v>0</v>
      </c>
      <c r="K801" s="7">
        <v>0</v>
      </c>
      <c r="L801" s="7">
        <v>0</v>
      </c>
      <c r="M801" s="7">
        <v>0</v>
      </c>
      <c r="N801" s="7">
        <v>0</v>
      </c>
      <c r="O801" s="7">
        <v>0</v>
      </c>
      <c r="P801" s="7">
        <v>0</v>
      </c>
      <c r="Q801" s="7">
        <v>0</v>
      </c>
    </row>
    <row r="802" spans="1:17">
      <c r="A802" s="2">
        <v>2750</v>
      </c>
      <c r="B802" s="7">
        <v>0</v>
      </c>
      <c r="C802" s="7">
        <v>0</v>
      </c>
      <c r="D802" s="7">
        <v>0</v>
      </c>
      <c r="E802" s="7">
        <v>0</v>
      </c>
      <c r="F802" s="7">
        <v>0</v>
      </c>
      <c r="G802" s="7">
        <v>0</v>
      </c>
      <c r="H802" s="7">
        <v>0</v>
      </c>
      <c r="I802" s="7">
        <v>0</v>
      </c>
      <c r="J802" s="7">
        <v>0</v>
      </c>
      <c r="K802" s="7">
        <v>0</v>
      </c>
      <c r="L802" s="7">
        <v>0</v>
      </c>
      <c r="M802" s="7">
        <v>0</v>
      </c>
      <c r="N802" s="7">
        <v>0</v>
      </c>
      <c r="O802" s="7">
        <v>0</v>
      </c>
      <c r="P802" s="7">
        <v>0</v>
      </c>
      <c r="Q802" s="7">
        <v>0</v>
      </c>
    </row>
    <row r="803" spans="1:17">
      <c r="A803" s="2">
        <v>2751</v>
      </c>
      <c r="B803" s="7">
        <v>0</v>
      </c>
      <c r="C803" s="7">
        <v>0</v>
      </c>
      <c r="D803" s="7">
        <v>0</v>
      </c>
      <c r="E803" s="7">
        <v>0</v>
      </c>
      <c r="F803" s="7">
        <v>0</v>
      </c>
      <c r="G803" s="7">
        <v>0</v>
      </c>
      <c r="H803" s="7">
        <v>0</v>
      </c>
      <c r="I803" s="7">
        <v>0</v>
      </c>
      <c r="J803" s="7">
        <v>0</v>
      </c>
      <c r="K803" s="7">
        <v>0</v>
      </c>
      <c r="L803" s="7">
        <v>0</v>
      </c>
      <c r="M803" s="7">
        <v>0</v>
      </c>
      <c r="N803" s="7">
        <v>0</v>
      </c>
      <c r="O803" s="7">
        <v>0</v>
      </c>
      <c r="P803" s="7">
        <v>0</v>
      </c>
      <c r="Q803" s="7">
        <v>0</v>
      </c>
    </row>
    <row r="804" spans="1:17">
      <c r="A804" s="2">
        <v>2752</v>
      </c>
      <c r="B804" s="7">
        <v>0</v>
      </c>
      <c r="C804" s="7">
        <v>0</v>
      </c>
      <c r="D804" s="7">
        <v>0</v>
      </c>
      <c r="E804" s="7">
        <v>0</v>
      </c>
      <c r="F804" s="7">
        <v>0</v>
      </c>
      <c r="G804" s="7">
        <v>0</v>
      </c>
      <c r="H804" s="7">
        <v>0</v>
      </c>
      <c r="I804" s="7">
        <v>0</v>
      </c>
      <c r="J804" s="7">
        <v>0</v>
      </c>
      <c r="K804" s="7">
        <v>0</v>
      </c>
      <c r="L804" s="7">
        <v>0</v>
      </c>
      <c r="M804" s="7">
        <v>0</v>
      </c>
      <c r="N804" s="7">
        <v>0</v>
      </c>
      <c r="O804" s="7">
        <v>0</v>
      </c>
      <c r="P804" s="7">
        <v>0</v>
      </c>
      <c r="Q804" s="7">
        <v>0</v>
      </c>
    </row>
    <row r="805" spans="1:17">
      <c r="A805" s="2">
        <v>2753</v>
      </c>
      <c r="B805" s="7">
        <v>0</v>
      </c>
      <c r="C805" s="7">
        <v>0</v>
      </c>
      <c r="D805" s="7">
        <v>0</v>
      </c>
      <c r="E805" s="7">
        <v>0</v>
      </c>
      <c r="F805" s="7">
        <v>0</v>
      </c>
      <c r="G805" s="7">
        <v>0</v>
      </c>
      <c r="H805" s="7">
        <v>0</v>
      </c>
      <c r="I805" s="7">
        <v>0</v>
      </c>
      <c r="J805" s="7">
        <v>0</v>
      </c>
      <c r="K805" s="7">
        <v>0</v>
      </c>
      <c r="L805" s="7">
        <v>0</v>
      </c>
      <c r="M805" s="7">
        <v>0</v>
      </c>
      <c r="N805" s="7">
        <v>0</v>
      </c>
      <c r="O805" s="7">
        <v>0</v>
      </c>
      <c r="P805" s="7">
        <v>0</v>
      </c>
      <c r="Q805" s="7">
        <v>0</v>
      </c>
    </row>
    <row r="806" spans="1:17">
      <c r="A806" s="2">
        <v>2754</v>
      </c>
      <c r="B806" s="7">
        <v>0</v>
      </c>
      <c r="C806" s="7">
        <v>0</v>
      </c>
      <c r="D806" s="7">
        <v>0</v>
      </c>
      <c r="E806" s="7">
        <v>0</v>
      </c>
      <c r="F806" s="7">
        <v>0</v>
      </c>
      <c r="G806" s="7">
        <v>0</v>
      </c>
      <c r="H806" s="7">
        <v>0</v>
      </c>
      <c r="I806" s="7">
        <v>0</v>
      </c>
      <c r="J806" s="7">
        <v>0</v>
      </c>
      <c r="K806" s="7">
        <v>0</v>
      </c>
      <c r="L806" s="7">
        <v>0</v>
      </c>
      <c r="M806" s="7">
        <v>0</v>
      </c>
      <c r="N806" s="7">
        <v>0</v>
      </c>
      <c r="O806" s="7">
        <v>0</v>
      </c>
      <c r="P806" s="7">
        <v>0</v>
      </c>
      <c r="Q806" s="7">
        <v>0</v>
      </c>
    </row>
    <row r="807" spans="1:17">
      <c r="A807" s="2">
        <v>2755</v>
      </c>
      <c r="B807" s="7">
        <v>0</v>
      </c>
      <c r="C807" s="7">
        <v>0</v>
      </c>
      <c r="D807" s="7">
        <v>0</v>
      </c>
      <c r="E807" s="7">
        <v>0</v>
      </c>
      <c r="F807" s="7">
        <v>0</v>
      </c>
      <c r="G807" s="7">
        <v>0</v>
      </c>
      <c r="H807" s="7">
        <v>0</v>
      </c>
      <c r="I807" s="7">
        <v>0</v>
      </c>
      <c r="J807" s="7">
        <v>0</v>
      </c>
      <c r="K807" s="7">
        <v>0</v>
      </c>
      <c r="L807" s="7">
        <v>0</v>
      </c>
      <c r="M807" s="7">
        <v>0</v>
      </c>
      <c r="N807" s="7">
        <v>0</v>
      </c>
      <c r="O807" s="7">
        <v>0</v>
      </c>
      <c r="P807" s="7">
        <v>0</v>
      </c>
      <c r="Q807" s="7">
        <v>0</v>
      </c>
    </row>
    <row r="808" spans="1:17">
      <c r="A808" s="2">
        <v>2756</v>
      </c>
      <c r="B808" s="7">
        <v>0</v>
      </c>
      <c r="C808" s="7">
        <v>0</v>
      </c>
      <c r="D808" s="7">
        <v>0</v>
      </c>
      <c r="E808" s="7">
        <v>0</v>
      </c>
      <c r="F808" s="7">
        <v>0</v>
      </c>
      <c r="G808" s="7">
        <v>0</v>
      </c>
      <c r="H808" s="7">
        <v>0</v>
      </c>
      <c r="I808" s="7">
        <v>0</v>
      </c>
      <c r="J808" s="7">
        <v>0</v>
      </c>
      <c r="K808" s="7">
        <v>0</v>
      </c>
      <c r="L808" s="7">
        <v>0</v>
      </c>
      <c r="M808" s="7">
        <v>0</v>
      </c>
      <c r="N808" s="7">
        <v>0</v>
      </c>
      <c r="O808" s="7">
        <v>0</v>
      </c>
      <c r="P808" s="7">
        <v>0</v>
      </c>
      <c r="Q808" s="7">
        <v>0</v>
      </c>
    </row>
    <row r="809" spans="1:17">
      <c r="A809" s="2">
        <v>2757</v>
      </c>
      <c r="B809" s="7">
        <v>0</v>
      </c>
      <c r="C809" s="7">
        <v>0</v>
      </c>
      <c r="D809" s="7">
        <v>0</v>
      </c>
      <c r="E809" s="7">
        <v>0</v>
      </c>
      <c r="F809" s="7">
        <v>0</v>
      </c>
      <c r="G809" s="7">
        <v>0</v>
      </c>
      <c r="H809" s="7">
        <v>0</v>
      </c>
      <c r="I809" s="7">
        <v>0</v>
      </c>
      <c r="J809" s="7">
        <v>0</v>
      </c>
      <c r="K809" s="7">
        <v>0</v>
      </c>
      <c r="L809" s="7">
        <v>0</v>
      </c>
      <c r="M809" s="7">
        <v>0</v>
      </c>
      <c r="N809" s="7">
        <v>0</v>
      </c>
      <c r="O809" s="7">
        <v>0</v>
      </c>
      <c r="P809" s="7">
        <v>0</v>
      </c>
      <c r="Q809" s="7">
        <v>0</v>
      </c>
    </row>
    <row r="810" spans="1:17">
      <c r="A810" s="2">
        <v>2758</v>
      </c>
      <c r="B810" s="7">
        <v>0</v>
      </c>
      <c r="C810" s="7">
        <v>0</v>
      </c>
      <c r="D810" s="7">
        <v>0</v>
      </c>
      <c r="E810" s="7">
        <v>0</v>
      </c>
      <c r="F810" s="7">
        <v>0</v>
      </c>
      <c r="G810" s="7">
        <v>0</v>
      </c>
      <c r="H810" s="7">
        <v>0</v>
      </c>
      <c r="I810" s="7">
        <v>0</v>
      </c>
      <c r="J810" s="7">
        <v>0</v>
      </c>
      <c r="K810" s="7">
        <v>0</v>
      </c>
      <c r="L810" s="7">
        <v>0</v>
      </c>
      <c r="M810" s="7">
        <v>0</v>
      </c>
      <c r="N810" s="7">
        <v>0</v>
      </c>
      <c r="O810" s="7">
        <v>0</v>
      </c>
      <c r="P810" s="7">
        <v>0</v>
      </c>
      <c r="Q810" s="7">
        <v>0</v>
      </c>
    </row>
    <row r="811" spans="1:17">
      <c r="A811" s="2">
        <v>2759</v>
      </c>
      <c r="B811" s="7">
        <v>0</v>
      </c>
      <c r="C811" s="7">
        <v>0</v>
      </c>
      <c r="D811" s="7">
        <v>0</v>
      </c>
      <c r="E811" s="7">
        <v>0</v>
      </c>
      <c r="F811" s="7">
        <v>0</v>
      </c>
      <c r="G811" s="7">
        <v>0</v>
      </c>
      <c r="H811" s="7">
        <v>0</v>
      </c>
      <c r="I811" s="7">
        <v>0</v>
      </c>
      <c r="J811" s="7">
        <v>0</v>
      </c>
      <c r="K811" s="7">
        <v>0</v>
      </c>
      <c r="L811" s="7">
        <v>0</v>
      </c>
      <c r="M811" s="7">
        <v>0</v>
      </c>
      <c r="N811" s="7">
        <v>0</v>
      </c>
      <c r="O811" s="7">
        <v>0</v>
      </c>
      <c r="P811" s="7">
        <v>0</v>
      </c>
      <c r="Q811" s="7">
        <v>0</v>
      </c>
    </row>
    <row r="812" spans="1:17">
      <c r="A812" s="2">
        <v>2760</v>
      </c>
      <c r="B812" s="7">
        <v>0</v>
      </c>
      <c r="C812" s="7">
        <v>0</v>
      </c>
      <c r="D812" s="7">
        <v>0</v>
      </c>
      <c r="E812" s="7">
        <v>0</v>
      </c>
      <c r="F812" s="7">
        <v>0</v>
      </c>
      <c r="G812" s="7">
        <v>0</v>
      </c>
      <c r="H812" s="7">
        <v>0</v>
      </c>
      <c r="I812" s="7">
        <v>0</v>
      </c>
      <c r="J812" s="7">
        <v>0</v>
      </c>
      <c r="K812" s="7">
        <v>0</v>
      </c>
      <c r="L812" s="7">
        <v>0</v>
      </c>
      <c r="M812" s="7">
        <v>0</v>
      </c>
      <c r="N812" s="7">
        <v>0</v>
      </c>
      <c r="O812" s="7">
        <v>0</v>
      </c>
      <c r="P812" s="7">
        <v>0</v>
      </c>
      <c r="Q812" s="7">
        <v>0</v>
      </c>
    </row>
    <row r="813" spans="1:17">
      <c r="A813" s="2">
        <v>2761</v>
      </c>
      <c r="B813" s="7">
        <v>0</v>
      </c>
      <c r="C813" s="7">
        <v>0</v>
      </c>
      <c r="D813" s="7">
        <v>0</v>
      </c>
      <c r="E813" s="7">
        <v>0</v>
      </c>
      <c r="F813" s="7">
        <v>0</v>
      </c>
      <c r="G813" s="7">
        <v>0</v>
      </c>
      <c r="H813" s="7">
        <v>0</v>
      </c>
      <c r="I813" s="7">
        <v>0</v>
      </c>
      <c r="J813" s="7">
        <v>0</v>
      </c>
      <c r="K813" s="7">
        <v>0</v>
      </c>
      <c r="L813" s="7">
        <v>0</v>
      </c>
      <c r="M813" s="7">
        <v>0</v>
      </c>
      <c r="N813" s="7">
        <v>0</v>
      </c>
      <c r="O813" s="7">
        <v>0</v>
      </c>
      <c r="P813" s="7">
        <v>0</v>
      </c>
      <c r="Q813" s="7">
        <v>0</v>
      </c>
    </row>
    <row r="814" spans="1:17">
      <c r="A814" s="2">
        <v>2762</v>
      </c>
      <c r="B814" s="7">
        <v>0</v>
      </c>
      <c r="C814" s="7">
        <v>0</v>
      </c>
      <c r="D814" s="7">
        <v>0</v>
      </c>
      <c r="E814" s="7">
        <v>0</v>
      </c>
      <c r="F814" s="7">
        <v>0</v>
      </c>
      <c r="G814" s="7">
        <v>0</v>
      </c>
      <c r="H814" s="7">
        <v>0</v>
      </c>
      <c r="I814" s="7">
        <v>0</v>
      </c>
      <c r="J814" s="7">
        <v>0</v>
      </c>
      <c r="K814" s="7">
        <v>0</v>
      </c>
      <c r="L814" s="7">
        <v>0</v>
      </c>
      <c r="M814" s="7">
        <v>0</v>
      </c>
      <c r="N814" s="7">
        <v>0</v>
      </c>
      <c r="O814" s="7">
        <v>0</v>
      </c>
      <c r="P814" s="7">
        <v>0</v>
      </c>
      <c r="Q814" s="7">
        <v>0</v>
      </c>
    </row>
    <row r="815" spans="1:17">
      <c r="A815" s="2">
        <v>2763</v>
      </c>
      <c r="B815" s="7">
        <v>0</v>
      </c>
      <c r="C815" s="7">
        <v>0</v>
      </c>
      <c r="D815" s="7">
        <v>0</v>
      </c>
      <c r="E815" s="7">
        <v>0</v>
      </c>
      <c r="F815" s="7">
        <v>0</v>
      </c>
      <c r="G815" s="7">
        <v>0</v>
      </c>
      <c r="H815" s="7">
        <v>0</v>
      </c>
      <c r="I815" s="7">
        <v>0</v>
      </c>
      <c r="J815" s="7">
        <v>0</v>
      </c>
      <c r="K815" s="7">
        <v>0</v>
      </c>
      <c r="L815" s="7">
        <v>0</v>
      </c>
      <c r="M815" s="7">
        <v>0</v>
      </c>
      <c r="N815" s="7">
        <v>0</v>
      </c>
      <c r="O815" s="7">
        <v>0</v>
      </c>
      <c r="P815" s="7">
        <v>0</v>
      </c>
      <c r="Q815" s="7">
        <v>0</v>
      </c>
    </row>
    <row r="816" spans="1:17">
      <c r="A816" s="2">
        <v>2764</v>
      </c>
      <c r="B816" s="7">
        <v>0</v>
      </c>
      <c r="C816" s="7">
        <v>0</v>
      </c>
      <c r="D816" s="7">
        <v>0</v>
      </c>
      <c r="E816" s="7">
        <v>0</v>
      </c>
      <c r="F816" s="7">
        <v>0</v>
      </c>
      <c r="G816" s="7">
        <v>0</v>
      </c>
      <c r="H816" s="7">
        <v>0</v>
      </c>
      <c r="I816" s="7">
        <v>0</v>
      </c>
      <c r="J816" s="7">
        <v>0</v>
      </c>
      <c r="K816" s="7">
        <v>0</v>
      </c>
      <c r="L816" s="7">
        <v>0</v>
      </c>
      <c r="M816" s="7">
        <v>0</v>
      </c>
      <c r="N816" s="7">
        <v>0</v>
      </c>
      <c r="O816" s="7">
        <v>0</v>
      </c>
      <c r="P816" s="7">
        <v>0</v>
      </c>
      <c r="Q816" s="7">
        <v>0</v>
      </c>
    </row>
    <row r="817" spans="1:17">
      <c r="A817" s="2">
        <v>2765</v>
      </c>
      <c r="B817" s="7">
        <v>0</v>
      </c>
      <c r="C817" s="7">
        <v>0</v>
      </c>
      <c r="D817" s="7">
        <v>0</v>
      </c>
      <c r="E817" s="7">
        <v>0</v>
      </c>
      <c r="F817" s="7">
        <v>0</v>
      </c>
      <c r="G817" s="7">
        <v>0</v>
      </c>
      <c r="H817" s="7">
        <v>0</v>
      </c>
      <c r="I817" s="7">
        <v>0</v>
      </c>
      <c r="J817" s="7">
        <v>0</v>
      </c>
      <c r="K817" s="7">
        <v>0</v>
      </c>
      <c r="L817" s="7">
        <v>0</v>
      </c>
      <c r="M817" s="7">
        <v>0</v>
      </c>
      <c r="N817" s="7">
        <v>0</v>
      </c>
      <c r="O817" s="7">
        <v>0</v>
      </c>
      <c r="P817" s="7">
        <v>0</v>
      </c>
      <c r="Q817" s="7">
        <v>0</v>
      </c>
    </row>
    <row r="818" spans="1:17">
      <c r="A818" s="2">
        <v>2766</v>
      </c>
      <c r="B818" s="7">
        <v>0</v>
      </c>
      <c r="C818" s="7">
        <v>0</v>
      </c>
      <c r="D818" s="7">
        <v>0</v>
      </c>
      <c r="E818" s="7">
        <v>0</v>
      </c>
      <c r="F818" s="7">
        <v>0</v>
      </c>
      <c r="G818" s="7">
        <v>0</v>
      </c>
      <c r="H818" s="7">
        <v>0</v>
      </c>
      <c r="I818" s="7">
        <v>0</v>
      </c>
      <c r="J818" s="7">
        <v>0</v>
      </c>
      <c r="K818" s="7">
        <v>0</v>
      </c>
      <c r="L818" s="7">
        <v>0</v>
      </c>
      <c r="M818" s="7">
        <v>0</v>
      </c>
      <c r="N818" s="7">
        <v>0</v>
      </c>
      <c r="O818" s="7">
        <v>0</v>
      </c>
      <c r="P818" s="7">
        <v>0</v>
      </c>
      <c r="Q818" s="7">
        <v>0</v>
      </c>
    </row>
    <row r="819" spans="1:17">
      <c r="A819" s="2">
        <v>2767</v>
      </c>
      <c r="B819" s="7">
        <v>0</v>
      </c>
      <c r="C819" s="7">
        <v>0</v>
      </c>
      <c r="D819" s="7">
        <v>0</v>
      </c>
      <c r="E819" s="7">
        <v>0</v>
      </c>
      <c r="F819" s="7">
        <v>0</v>
      </c>
      <c r="G819" s="7">
        <v>0</v>
      </c>
      <c r="H819" s="7">
        <v>0</v>
      </c>
      <c r="I819" s="7">
        <v>0</v>
      </c>
      <c r="J819" s="7">
        <v>0</v>
      </c>
      <c r="K819" s="7">
        <v>0</v>
      </c>
      <c r="L819" s="7">
        <v>0</v>
      </c>
      <c r="M819" s="7">
        <v>0</v>
      </c>
      <c r="N819" s="7">
        <v>0</v>
      </c>
      <c r="O819" s="7">
        <v>0</v>
      </c>
      <c r="P819" s="7">
        <v>0</v>
      </c>
      <c r="Q819" s="7">
        <v>0</v>
      </c>
    </row>
    <row r="820" spans="1:17">
      <c r="A820" s="2">
        <v>2768</v>
      </c>
      <c r="B820" s="7">
        <v>0</v>
      </c>
      <c r="C820" s="7">
        <v>0</v>
      </c>
      <c r="D820" s="7">
        <v>0</v>
      </c>
      <c r="E820" s="7">
        <v>0</v>
      </c>
      <c r="F820" s="7">
        <v>0</v>
      </c>
      <c r="G820" s="7">
        <v>0</v>
      </c>
      <c r="H820" s="7">
        <v>0</v>
      </c>
      <c r="I820" s="7">
        <v>0</v>
      </c>
      <c r="J820" s="7">
        <v>0</v>
      </c>
      <c r="K820" s="7">
        <v>0</v>
      </c>
      <c r="L820" s="7">
        <v>0</v>
      </c>
      <c r="M820" s="7">
        <v>0</v>
      </c>
      <c r="N820" s="7">
        <v>0</v>
      </c>
      <c r="O820" s="7">
        <v>0</v>
      </c>
      <c r="P820" s="7">
        <v>0</v>
      </c>
      <c r="Q820" s="7">
        <v>0</v>
      </c>
    </row>
    <row r="821" spans="1:17">
      <c r="A821" s="2">
        <v>2769</v>
      </c>
      <c r="B821" s="7">
        <v>0</v>
      </c>
      <c r="C821" s="7">
        <v>0</v>
      </c>
      <c r="D821" s="7">
        <v>0</v>
      </c>
      <c r="E821" s="7">
        <v>0</v>
      </c>
      <c r="F821" s="7">
        <v>0</v>
      </c>
      <c r="G821" s="7">
        <v>0</v>
      </c>
      <c r="H821" s="7">
        <v>0</v>
      </c>
      <c r="I821" s="7">
        <v>0</v>
      </c>
      <c r="J821" s="7">
        <v>0</v>
      </c>
      <c r="K821" s="7">
        <v>0</v>
      </c>
      <c r="L821" s="7">
        <v>0</v>
      </c>
      <c r="M821" s="7">
        <v>0</v>
      </c>
      <c r="N821" s="7">
        <v>0</v>
      </c>
      <c r="O821" s="7">
        <v>0</v>
      </c>
      <c r="P821" s="7">
        <v>0</v>
      </c>
      <c r="Q821" s="7">
        <v>0</v>
      </c>
    </row>
    <row r="822" spans="1:17">
      <c r="A822" s="2">
        <v>2770</v>
      </c>
      <c r="B822" s="7">
        <v>0</v>
      </c>
      <c r="C822" s="7">
        <v>0</v>
      </c>
      <c r="D822" s="7">
        <v>0</v>
      </c>
      <c r="E822" s="7">
        <v>0</v>
      </c>
      <c r="F822" s="7">
        <v>0</v>
      </c>
      <c r="G822" s="7">
        <v>0</v>
      </c>
      <c r="H822" s="7">
        <v>0</v>
      </c>
      <c r="I822" s="7">
        <v>0</v>
      </c>
      <c r="J822" s="7">
        <v>0</v>
      </c>
      <c r="K822" s="7">
        <v>0</v>
      </c>
      <c r="L822" s="7">
        <v>0</v>
      </c>
      <c r="M822" s="7">
        <v>0</v>
      </c>
      <c r="N822" s="7">
        <v>0</v>
      </c>
      <c r="O822" s="7">
        <v>0</v>
      </c>
      <c r="P822" s="7">
        <v>0</v>
      </c>
      <c r="Q822" s="7">
        <v>0</v>
      </c>
    </row>
    <row r="823" spans="1:17">
      <c r="A823" s="2">
        <v>2771</v>
      </c>
      <c r="B823" s="7">
        <v>0</v>
      </c>
      <c r="C823" s="7">
        <v>0</v>
      </c>
      <c r="D823" s="7">
        <v>0</v>
      </c>
      <c r="E823" s="7">
        <v>0</v>
      </c>
      <c r="F823" s="7">
        <v>0</v>
      </c>
      <c r="G823" s="7">
        <v>0</v>
      </c>
      <c r="H823" s="7">
        <v>0</v>
      </c>
      <c r="I823" s="7">
        <v>0</v>
      </c>
      <c r="J823" s="7">
        <v>0</v>
      </c>
      <c r="K823" s="7">
        <v>0</v>
      </c>
      <c r="L823" s="7">
        <v>0</v>
      </c>
      <c r="M823" s="7">
        <v>0</v>
      </c>
      <c r="N823" s="7">
        <v>0</v>
      </c>
      <c r="O823" s="7">
        <v>0</v>
      </c>
      <c r="P823" s="7">
        <v>0</v>
      </c>
      <c r="Q823" s="7">
        <v>0</v>
      </c>
    </row>
    <row r="824" spans="1:17">
      <c r="A824" s="2">
        <v>2772</v>
      </c>
      <c r="B824" s="7">
        <v>0</v>
      </c>
      <c r="C824" s="7">
        <v>0</v>
      </c>
      <c r="D824" s="7">
        <v>0</v>
      </c>
      <c r="E824" s="7">
        <v>0</v>
      </c>
      <c r="F824" s="7">
        <v>0</v>
      </c>
      <c r="G824" s="7">
        <v>0</v>
      </c>
      <c r="H824" s="7">
        <v>0</v>
      </c>
      <c r="I824" s="7">
        <v>0</v>
      </c>
      <c r="J824" s="7">
        <v>0</v>
      </c>
      <c r="K824" s="7">
        <v>0</v>
      </c>
      <c r="L824" s="7">
        <v>0</v>
      </c>
      <c r="M824" s="7">
        <v>0</v>
      </c>
      <c r="N824" s="7">
        <v>0</v>
      </c>
      <c r="O824" s="7">
        <v>0</v>
      </c>
      <c r="P824" s="7">
        <v>0</v>
      </c>
      <c r="Q824" s="7">
        <v>0</v>
      </c>
    </row>
    <row r="825" spans="1:17">
      <c r="A825" s="2">
        <v>2773</v>
      </c>
      <c r="B825" s="7">
        <v>0</v>
      </c>
      <c r="C825" s="7">
        <v>0</v>
      </c>
      <c r="D825" s="7">
        <v>0</v>
      </c>
      <c r="E825" s="7">
        <v>0</v>
      </c>
      <c r="F825" s="7">
        <v>0</v>
      </c>
      <c r="G825" s="7">
        <v>0</v>
      </c>
      <c r="H825" s="7">
        <v>0</v>
      </c>
      <c r="I825" s="7">
        <v>0</v>
      </c>
      <c r="J825" s="7">
        <v>0</v>
      </c>
      <c r="K825" s="7">
        <v>0</v>
      </c>
      <c r="L825" s="7">
        <v>0</v>
      </c>
      <c r="M825" s="7">
        <v>0</v>
      </c>
      <c r="N825" s="7">
        <v>0</v>
      </c>
      <c r="O825" s="7">
        <v>0</v>
      </c>
      <c r="P825" s="7">
        <v>0</v>
      </c>
      <c r="Q825" s="7">
        <v>0</v>
      </c>
    </row>
    <row r="826" spans="1:17">
      <c r="A826" s="2">
        <v>2774</v>
      </c>
      <c r="B826" s="7">
        <v>0</v>
      </c>
      <c r="C826" s="7">
        <v>0</v>
      </c>
      <c r="D826" s="7">
        <v>0</v>
      </c>
      <c r="E826" s="7">
        <v>0</v>
      </c>
      <c r="F826" s="7">
        <v>0</v>
      </c>
      <c r="G826" s="7">
        <v>0</v>
      </c>
      <c r="H826" s="7">
        <v>0</v>
      </c>
      <c r="I826" s="7">
        <v>0</v>
      </c>
      <c r="J826" s="7">
        <v>0</v>
      </c>
      <c r="K826" s="7">
        <v>0</v>
      </c>
      <c r="L826" s="7">
        <v>0</v>
      </c>
      <c r="M826" s="7">
        <v>0</v>
      </c>
      <c r="N826" s="7">
        <v>0</v>
      </c>
      <c r="O826" s="7">
        <v>0</v>
      </c>
      <c r="P826" s="7">
        <v>0</v>
      </c>
      <c r="Q826" s="7">
        <v>0</v>
      </c>
    </row>
    <row r="827" spans="1:17">
      <c r="A827" s="2">
        <v>2775</v>
      </c>
      <c r="B827" s="7">
        <v>0</v>
      </c>
      <c r="C827" s="7">
        <v>0</v>
      </c>
      <c r="D827" s="7">
        <v>0</v>
      </c>
      <c r="E827" s="7">
        <v>0</v>
      </c>
      <c r="F827" s="7">
        <v>0</v>
      </c>
      <c r="G827" s="7">
        <v>0</v>
      </c>
      <c r="H827" s="7">
        <v>0</v>
      </c>
      <c r="I827" s="7">
        <v>0</v>
      </c>
      <c r="J827" s="7">
        <v>0</v>
      </c>
      <c r="K827" s="7">
        <v>0</v>
      </c>
      <c r="L827" s="7">
        <v>0</v>
      </c>
      <c r="M827" s="7">
        <v>0</v>
      </c>
      <c r="N827" s="7">
        <v>0</v>
      </c>
      <c r="O827" s="7">
        <v>0</v>
      </c>
      <c r="P827" s="7">
        <v>0</v>
      </c>
      <c r="Q827" s="7">
        <v>0</v>
      </c>
    </row>
    <row r="828" spans="1:17">
      <c r="A828" s="2">
        <v>2776</v>
      </c>
      <c r="B828" s="7">
        <v>0</v>
      </c>
      <c r="C828" s="7">
        <v>0</v>
      </c>
      <c r="D828" s="7">
        <v>0</v>
      </c>
      <c r="E828" s="7">
        <v>0</v>
      </c>
      <c r="F828" s="7">
        <v>0</v>
      </c>
      <c r="G828" s="7">
        <v>0</v>
      </c>
      <c r="H828" s="7">
        <v>0</v>
      </c>
      <c r="I828" s="7">
        <v>0</v>
      </c>
      <c r="J828" s="7">
        <v>0</v>
      </c>
      <c r="K828" s="7">
        <v>0</v>
      </c>
      <c r="L828" s="7">
        <v>0</v>
      </c>
      <c r="M828" s="7">
        <v>0</v>
      </c>
      <c r="N828" s="7">
        <v>0</v>
      </c>
      <c r="O828" s="7">
        <v>0</v>
      </c>
      <c r="P828" s="7">
        <v>0</v>
      </c>
      <c r="Q828" s="7">
        <v>0</v>
      </c>
    </row>
    <row r="829" spans="1:17">
      <c r="A829" s="2">
        <v>2777</v>
      </c>
      <c r="B829" s="7">
        <v>0</v>
      </c>
      <c r="C829" s="7">
        <v>0</v>
      </c>
      <c r="D829" s="7">
        <v>0</v>
      </c>
      <c r="E829" s="7">
        <v>0</v>
      </c>
      <c r="F829" s="7">
        <v>0</v>
      </c>
      <c r="G829" s="7">
        <v>0</v>
      </c>
      <c r="H829" s="7">
        <v>0</v>
      </c>
      <c r="I829" s="7">
        <v>0</v>
      </c>
      <c r="J829" s="7">
        <v>0</v>
      </c>
      <c r="K829" s="7">
        <v>0</v>
      </c>
      <c r="L829" s="7">
        <v>0</v>
      </c>
      <c r="M829" s="7">
        <v>0</v>
      </c>
      <c r="N829" s="7">
        <v>0</v>
      </c>
      <c r="O829" s="7">
        <v>0</v>
      </c>
      <c r="P829" s="7">
        <v>0</v>
      </c>
      <c r="Q829" s="7">
        <v>0</v>
      </c>
    </row>
    <row r="830" spans="1:17">
      <c r="A830" s="2">
        <v>2778</v>
      </c>
      <c r="B830" s="7">
        <v>0</v>
      </c>
      <c r="C830" s="7">
        <v>0</v>
      </c>
      <c r="D830" s="7">
        <v>0</v>
      </c>
      <c r="E830" s="7">
        <v>0</v>
      </c>
      <c r="F830" s="7">
        <v>0</v>
      </c>
      <c r="G830" s="7">
        <v>0</v>
      </c>
      <c r="H830" s="7">
        <v>0</v>
      </c>
      <c r="I830" s="7">
        <v>0</v>
      </c>
      <c r="J830" s="7">
        <v>0</v>
      </c>
      <c r="K830" s="7">
        <v>0</v>
      </c>
      <c r="L830" s="7">
        <v>0</v>
      </c>
      <c r="M830" s="7">
        <v>0</v>
      </c>
      <c r="N830" s="7">
        <v>0</v>
      </c>
      <c r="O830" s="7">
        <v>0</v>
      </c>
      <c r="P830" s="7">
        <v>0</v>
      </c>
      <c r="Q830" s="7">
        <v>0</v>
      </c>
    </row>
    <row r="831" spans="1:17">
      <c r="A831" s="2">
        <v>2779</v>
      </c>
      <c r="B831" s="7">
        <v>0</v>
      </c>
      <c r="C831" s="7">
        <v>0</v>
      </c>
      <c r="D831" s="7">
        <v>0</v>
      </c>
      <c r="E831" s="7">
        <v>0</v>
      </c>
      <c r="F831" s="7">
        <v>0</v>
      </c>
      <c r="G831" s="7">
        <v>0</v>
      </c>
      <c r="H831" s="7">
        <v>0</v>
      </c>
      <c r="I831" s="7">
        <v>0</v>
      </c>
      <c r="J831" s="7">
        <v>0</v>
      </c>
      <c r="K831" s="7">
        <v>0</v>
      </c>
      <c r="L831" s="7">
        <v>0</v>
      </c>
      <c r="M831" s="7">
        <v>0</v>
      </c>
      <c r="N831" s="7">
        <v>0</v>
      </c>
      <c r="O831" s="7">
        <v>0</v>
      </c>
      <c r="P831" s="7">
        <v>0</v>
      </c>
      <c r="Q831" s="7">
        <v>0</v>
      </c>
    </row>
    <row r="832" spans="1:17">
      <c r="A832" s="2">
        <v>2780</v>
      </c>
      <c r="B832" s="7">
        <v>0</v>
      </c>
      <c r="C832" s="7">
        <v>0</v>
      </c>
      <c r="D832" s="7">
        <v>0</v>
      </c>
      <c r="E832" s="7">
        <v>0</v>
      </c>
      <c r="F832" s="7">
        <v>0</v>
      </c>
      <c r="G832" s="7">
        <v>0</v>
      </c>
      <c r="H832" s="7">
        <v>0</v>
      </c>
      <c r="I832" s="7">
        <v>0</v>
      </c>
      <c r="J832" s="7">
        <v>0</v>
      </c>
      <c r="K832" s="7">
        <v>0</v>
      </c>
      <c r="L832" s="7">
        <v>0</v>
      </c>
      <c r="M832" s="7">
        <v>0</v>
      </c>
      <c r="N832" s="7">
        <v>0</v>
      </c>
      <c r="O832" s="7">
        <v>0</v>
      </c>
      <c r="P832" s="7">
        <v>0</v>
      </c>
      <c r="Q832" s="7">
        <v>0</v>
      </c>
    </row>
    <row r="833" spans="1:17">
      <c r="A833" s="2">
        <v>2781</v>
      </c>
      <c r="B833" s="7">
        <v>0</v>
      </c>
      <c r="C833" s="7">
        <v>0</v>
      </c>
      <c r="D833" s="7">
        <v>0</v>
      </c>
      <c r="E833" s="7">
        <v>0</v>
      </c>
      <c r="F833" s="7">
        <v>0</v>
      </c>
      <c r="G833" s="7">
        <v>0</v>
      </c>
      <c r="H833" s="7">
        <v>0</v>
      </c>
      <c r="I833" s="7">
        <v>0</v>
      </c>
      <c r="J833" s="7">
        <v>0</v>
      </c>
      <c r="K833" s="7">
        <v>0</v>
      </c>
      <c r="L833" s="7">
        <v>0</v>
      </c>
      <c r="M833" s="7">
        <v>0</v>
      </c>
      <c r="N833" s="7">
        <v>0</v>
      </c>
      <c r="O833" s="7">
        <v>0</v>
      </c>
      <c r="P833" s="7">
        <v>0</v>
      </c>
      <c r="Q833" s="7">
        <v>0</v>
      </c>
    </row>
    <row r="834" spans="1:17">
      <c r="A834" s="2">
        <v>2782</v>
      </c>
      <c r="B834" s="7">
        <v>0</v>
      </c>
      <c r="C834" s="7">
        <v>0</v>
      </c>
      <c r="D834" s="7">
        <v>0</v>
      </c>
      <c r="E834" s="7">
        <v>0</v>
      </c>
      <c r="F834" s="7">
        <v>0</v>
      </c>
      <c r="G834" s="7">
        <v>0</v>
      </c>
      <c r="H834" s="7">
        <v>0</v>
      </c>
      <c r="I834" s="7">
        <v>0</v>
      </c>
      <c r="J834" s="7">
        <v>0</v>
      </c>
      <c r="K834" s="7">
        <v>0</v>
      </c>
      <c r="L834" s="7">
        <v>0</v>
      </c>
      <c r="M834" s="7">
        <v>0</v>
      </c>
      <c r="N834" s="7">
        <v>0</v>
      </c>
      <c r="O834" s="7">
        <v>0</v>
      </c>
      <c r="P834" s="7">
        <v>0</v>
      </c>
      <c r="Q834" s="7">
        <v>0</v>
      </c>
    </row>
    <row r="835" spans="1:17">
      <c r="A835" s="2">
        <v>2783</v>
      </c>
      <c r="B835" s="7">
        <v>0</v>
      </c>
      <c r="C835" s="7">
        <v>0</v>
      </c>
      <c r="D835" s="7">
        <v>0</v>
      </c>
      <c r="E835" s="7">
        <v>0</v>
      </c>
      <c r="F835" s="7">
        <v>0</v>
      </c>
      <c r="G835" s="7">
        <v>0</v>
      </c>
      <c r="H835" s="7">
        <v>0</v>
      </c>
      <c r="I835" s="7">
        <v>0</v>
      </c>
      <c r="J835" s="7">
        <v>0</v>
      </c>
      <c r="K835" s="7">
        <v>0</v>
      </c>
      <c r="L835" s="7">
        <v>0</v>
      </c>
      <c r="M835" s="7">
        <v>0</v>
      </c>
      <c r="N835" s="7">
        <v>0</v>
      </c>
      <c r="O835" s="7">
        <v>0</v>
      </c>
      <c r="P835" s="7">
        <v>0</v>
      </c>
      <c r="Q835" s="7">
        <v>0</v>
      </c>
    </row>
    <row r="836" spans="1:17">
      <c r="A836" s="2">
        <v>2784</v>
      </c>
      <c r="B836" s="7">
        <v>0</v>
      </c>
      <c r="C836" s="7">
        <v>0</v>
      </c>
      <c r="D836" s="7">
        <v>0</v>
      </c>
      <c r="E836" s="7">
        <v>0</v>
      </c>
      <c r="F836" s="7">
        <v>0</v>
      </c>
      <c r="G836" s="7">
        <v>0</v>
      </c>
      <c r="H836" s="7">
        <v>0</v>
      </c>
      <c r="I836" s="7">
        <v>0</v>
      </c>
      <c r="J836" s="7">
        <v>0</v>
      </c>
      <c r="K836" s="7">
        <v>0</v>
      </c>
      <c r="L836" s="7">
        <v>0</v>
      </c>
      <c r="M836" s="7">
        <v>0</v>
      </c>
      <c r="N836" s="7">
        <v>0</v>
      </c>
      <c r="O836" s="7">
        <v>0</v>
      </c>
      <c r="P836" s="7">
        <v>0</v>
      </c>
      <c r="Q836" s="7">
        <v>0</v>
      </c>
    </row>
    <row r="837" spans="1:17">
      <c r="A837" s="2">
        <v>2785</v>
      </c>
      <c r="B837" s="7">
        <v>0</v>
      </c>
      <c r="C837" s="7">
        <v>0</v>
      </c>
      <c r="D837" s="7">
        <v>0</v>
      </c>
      <c r="E837" s="7">
        <v>0</v>
      </c>
      <c r="F837" s="7">
        <v>0</v>
      </c>
      <c r="G837" s="7">
        <v>0</v>
      </c>
      <c r="H837" s="7">
        <v>0</v>
      </c>
      <c r="I837" s="7">
        <v>0</v>
      </c>
      <c r="J837" s="7">
        <v>0</v>
      </c>
      <c r="K837" s="7">
        <v>0</v>
      </c>
      <c r="L837" s="7">
        <v>0</v>
      </c>
      <c r="M837" s="7">
        <v>0</v>
      </c>
      <c r="N837" s="7">
        <v>0</v>
      </c>
      <c r="O837" s="7">
        <v>0</v>
      </c>
      <c r="P837" s="7">
        <v>0</v>
      </c>
      <c r="Q837" s="7">
        <v>0</v>
      </c>
    </row>
    <row r="838" spans="1:17">
      <c r="A838" s="2">
        <v>2786</v>
      </c>
      <c r="B838" s="7">
        <v>0</v>
      </c>
      <c r="C838" s="7">
        <v>0</v>
      </c>
      <c r="D838" s="7">
        <v>0</v>
      </c>
      <c r="E838" s="7">
        <v>0</v>
      </c>
      <c r="F838" s="7">
        <v>0</v>
      </c>
      <c r="G838" s="7">
        <v>0</v>
      </c>
      <c r="H838" s="7">
        <v>0</v>
      </c>
      <c r="I838" s="7">
        <v>0</v>
      </c>
      <c r="J838" s="7">
        <v>0</v>
      </c>
      <c r="K838" s="7">
        <v>0</v>
      </c>
      <c r="L838" s="7">
        <v>0</v>
      </c>
      <c r="M838" s="7">
        <v>0</v>
      </c>
      <c r="N838" s="7">
        <v>0</v>
      </c>
      <c r="O838" s="7">
        <v>0</v>
      </c>
      <c r="P838" s="7">
        <v>0</v>
      </c>
      <c r="Q838" s="7">
        <v>0</v>
      </c>
    </row>
    <row r="839" spans="1:17">
      <c r="A839" s="2">
        <v>2787</v>
      </c>
      <c r="B839" s="7">
        <v>0</v>
      </c>
      <c r="C839" s="7">
        <v>0</v>
      </c>
      <c r="D839" s="7">
        <v>0</v>
      </c>
      <c r="E839" s="7">
        <v>0</v>
      </c>
      <c r="F839" s="7">
        <v>0</v>
      </c>
      <c r="G839" s="7">
        <v>0</v>
      </c>
      <c r="H839" s="7">
        <v>0</v>
      </c>
      <c r="I839" s="7">
        <v>0</v>
      </c>
      <c r="J839" s="7">
        <v>0</v>
      </c>
      <c r="K839" s="7">
        <v>0</v>
      </c>
      <c r="L839" s="7">
        <v>0</v>
      </c>
      <c r="M839" s="7">
        <v>0</v>
      </c>
      <c r="N839" s="7">
        <v>0</v>
      </c>
      <c r="O839" s="7">
        <v>0</v>
      </c>
      <c r="P839" s="7">
        <v>0</v>
      </c>
      <c r="Q839" s="7">
        <v>0</v>
      </c>
    </row>
    <row r="840" spans="1:17">
      <c r="A840" s="2">
        <v>2788</v>
      </c>
      <c r="B840" s="7">
        <v>0</v>
      </c>
      <c r="C840" s="7">
        <v>0</v>
      </c>
      <c r="D840" s="7">
        <v>0</v>
      </c>
      <c r="E840" s="7">
        <v>0</v>
      </c>
      <c r="F840" s="7">
        <v>0</v>
      </c>
      <c r="G840" s="7">
        <v>0</v>
      </c>
      <c r="H840" s="7">
        <v>0</v>
      </c>
      <c r="I840" s="7">
        <v>0</v>
      </c>
      <c r="J840" s="7">
        <v>0</v>
      </c>
      <c r="K840" s="7">
        <v>0</v>
      </c>
      <c r="L840" s="7">
        <v>0</v>
      </c>
      <c r="M840" s="7">
        <v>0</v>
      </c>
      <c r="N840" s="7">
        <v>0</v>
      </c>
      <c r="O840" s="7">
        <v>0</v>
      </c>
      <c r="P840" s="7">
        <v>0</v>
      </c>
      <c r="Q840" s="7">
        <v>0</v>
      </c>
    </row>
    <row r="841" spans="1:17">
      <c r="A841" s="2">
        <v>2789</v>
      </c>
      <c r="B841" s="7">
        <v>0</v>
      </c>
      <c r="C841" s="7">
        <v>0</v>
      </c>
      <c r="D841" s="7">
        <v>0</v>
      </c>
      <c r="E841" s="7">
        <v>0</v>
      </c>
      <c r="F841" s="7">
        <v>0</v>
      </c>
      <c r="G841" s="7">
        <v>0</v>
      </c>
      <c r="H841" s="7">
        <v>0</v>
      </c>
      <c r="I841" s="7">
        <v>0</v>
      </c>
      <c r="J841" s="7">
        <v>0</v>
      </c>
      <c r="K841" s="7">
        <v>0</v>
      </c>
      <c r="L841" s="7">
        <v>0</v>
      </c>
      <c r="M841" s="7">
        <v>0</v>
      </c>
      <c r="N841" s="7">
        <v>0</v>
      </c>
      <c r="O841" s="7">
        <v>0</v>
      </c>
      <c r="P841" s="7">
        <v>0</v>
      </c>
      <c r="Q841" s="7">
        <v>0</v>
      </c>
    </row>
    <row r="842" spans="1:17">
      <c r="A842" s="2">
        <v>2790</v>
      </c>
      <c r="B842" s="7">
        <v>0</v>
      </c>
      <c r="C842" s="7">
        <v>0</v>
      </c>
      <c r="D842" s="7">
        <v>0</v>
      </c>
      <c r="E842" s="7">
        <v>0</v>
      </c>
      <c r="F842" s="7">
        <v>0</v>
      </c>
      <c r="G842" s="7">
        <v>0</v>
      </c>
      <c r="H842" s="7">
        <v>0</v>
      </c>
      <c r="I842" s="7">
        <v>0</v>
      </c>
      <c r="J842" s="7">
        <v>0</v>
      </c>
      <c r="K842" s="7">
        <v>0</v>
      </c>
      <c r="L842" s="7">
        <v>0</v>
      </c>
      <c r="M842" s="7">
        <v>0</v>
      </c>
      <c r="N842" s="7">
        <v>0</v>
      </c>
      <c r="O842" s="7">
        <v>0</v>
      </c>
      <c r="P842" s="7">
        <v>0</v>
      </c>
      <c r="Q842" s="7">
        <v>0</v>
      </c>
    </row>
    <row r="843" spans="1:17">
      <c r="A843" s="2">
        <v>2791</v>
      </c>
      <c r="B843" s="7">
        <v>0</v>
      </c>
      <c r="C843" s="7">
        <v>0</v>
      </c>
      <c r="D843" s="7">
        <v>0</v>
      </c>
      <c r="E843" s="7">
        <v>0</v>
      </c>
      <c r="F843" s="7">
        <v>0</v>
      </c>
      <c r="G843" s="7">
        <v>0</v>
      </c>
      <c r="H843" s="7">
        <v>0</v>
      </c>
      <c r="I843" s="7">
        <v>0</v>
      </c>
      <c r="J843" s="7">
        <v>0</v>
      </c>
      <c r="K843" s="7">
        <v>0</v>
      </c>
      <c r="L843" s="7">
        <v>0</v>
      </c>
      <c r="M843" s="7">
        <v>0</v>
      </c>
      <c r="N843" s="7">
        <v>0</v>
      </c>
      <c r="O843" s="7">
        <v>0</v>
      </c>
      <c r="P843" s="7">
        <v>0</v>
      </c>
      <c r="Q843" s="7">
        <v>0</v>
      </c>
    </row>
    <row r="844" spans="1:17">
      <c r="A844" s="2">
        <v>2792</v>
      </c>
      <c r="B844" s="7">
        <v>0</v>
      </c>
      <c r="C844" s="7">
        <v>0</v>
      </c>
      <c r="D844" s="7">
        <v>0</v>
      </c>
      <c r="E844" s="7">
        <v>0</v>
      </c>
      <c r="F844" s="7">
        <v>0</v>
      </c>
      <c r="G844" s="7">
        <v>0</v>
      </c>
      <c r="H844" s="7">
        <v>0</v>
      </c>
      <c r="I844" s="7">
        <v>0</v>
      </c>
      <c r="J844" s="7">
        <v>0</v>
      </c>
      <c r="K844" s="7">
        <v>0</v>
      </c>
      <c r="L844" s="7">
        <v>0</v>
      </c>
      <c r="M844" s="7">
        <v>0</v>
      </c>
      <c r="N844" s="7">
        <v>0</v>
      </c>
      <c r="O844" s="7">
        <v>0</v>
      </c>
      <c r="P844" s="7">
        <v>0</v>
      </c>
      <c r="Q844" s="7">
        <v>0</v>
      </c>
    </row>
    <row r="845" spans="1:17">
      <c r="A845" s="2">
        <v>2793</v>
      </c>
      <c r="B845" s="7">
        <v>0</v>
      </c>
      <c r="C845" s="7">
        <v>0</v>
      </c>
      <c r="D845" s="7">
        <v>0</v>
      </c>
      <c r="E845" s="7">
        <v>0</v>
      </c>
      <c r="F845" s="7">
        <v>0</v>
      </c>
      <c r="G845" s="7">
        <v>0</v>
      </c>
      <c r="H845" s="7">
        <v>0</v>
      </c>
      <c r="I845" s="7">
        <v>0</v>
      </c>
      <c r="J845" s="7">
        <v>0</v>
      </c>
      <c r="K845" s="7">
        <v>0</v>
      </c>
      <c r="L845" s="7">
        <v>0</v>
      </c>
      <c r="M845" s="7">
        <v>0</v>
      </c>
      <c r="N845" s="7">
        <v>0</v>
      </c>
      <c r="O845" s="7">
        <v>0</v>
      </c>
      <c r="P845" s="7">
        <v>0</v>
      </c>
      <c r="Q845" s="7">
        <v>0</v>
      </c>
    </row>
    <row r="846" spans="1:17">
      <c r="A846" s="2">
        <v>2794</v>
      </c>
      <c r="B846" s="7">
        <v>0</v>
      </c>
      <c r="C846" s="7">
        <v>0</v>
      </c>
      <c r="D846" s="7">
        <v>0</v>
      </c>
      <c r="E846" s="7">
        <v>0</v>
      </c>
      <c r="F846" s="7">
        <v>0</v>
      </c>
      <c r="G846" s="7">
        <v>0</v>
      </c>
      <c r="H846" s="7">
        <v>0</v>
      </c>
      <c r="I846" s="7">
        <v>0</v>
      </c>
      <c r="J846" s="7">
        <v>0</v>
      </c>
      <c r="K846" s="7">
        <v>0</v>
      </c>
      <c r="L846" s="7">
        <v>0</v>
      </c>
      <c r="M846" s="7">
        <v>0</v>
      </c>
      <c r="N846" s="7">
        <v>0</v>
      </c>
      <c r="O846" s="7">
        <v>0</v>
      </c>
      <c r="P846" s="7">
        <v>0</v>
      </c>
      <c r="Q846" s="7">
        <v>0</v>
      </c>
    </row>
    <row r="847" spans="1:17">
      <c r="A847" s="2">
        <v>2795</v>
      </c>
      <c r="B847" s="7">
        <v>0</v>
      </c>
      <c r="C847" s="7">
        <v>0</v>
      </c>
      <c r="D847" s="7">
        <v>0</v>
      </c>
      <c r="E847" s="7">
        <v>0</v>
      </c>
      <c r="F847" s="7">
        <v>0</v>
      </c>
      <c r="G847" s="7">
        <v>0</v>
      </c>
      <c r="H847" s="7">
        <v>0</v>
      </c>
      <c r="I847" s="7">
        <v>0</v>
      </c>
      <c r="J847" s="7">
        <v>0</v>
      </c>
      <c r="K847" s="7">
        <v>0</v>
      </c>
      <c r="L847" s="7">
        <v>0</v>
      </c>
      <c r="M847" s="7">
        <v>0</v>
      </c>
      <c r="N847" s="7">
        <v>0</v>
      </c>
      <c r="O847" s="7">
        <v>0</v>
      </c>
      <c r="P847" s="7">
        <v>0</v>
      </c>
      <c r="Q847" s="7">
        <v>0</v>
      </c>
    </row>
    <row r="848" spans="1:17">
      <c r="A848" s="2">
        <v>2796</v>
      </c>
      <c r="B848" s="7">
        <v>0</v>
      </c>
      <c r="C848" s="7">
        <v>0</v>
      </c>
      <c r="D848" s="7">
        <v>0</v>
      </c>
      <c r="E848" s="7">
        <v>0</v>
      </c>
      <c r="F848" s="7">
        <v>0</v>
      </c>
      <c r="G848" s="7">
        <v>0</v>
      </c>
      <c r="H848" s="7">
        <v>0</v>
      </c>
      <c r="I848" s="7">
        <v>0</v>
      </c>
      <c r="J848" s="7">
        <v>0</v>
      </c>
      <c r="K848" s="7">
        <v>0</v>
      </c>
      <c r="L848" s="7">
        <v>0</v>
      </c>
      <c r="M848" s="7">
        <v>0</v>
      </c>
      <c r="N848" s="7">
        <v>0</v>
      </c>
      <c r="O848" s="7">
        <v>0</v>
      </c>
      <c r="P848" s="7">
        <v>0</v>
      </c>
      <c r="Q848" s="7">
        <v>0</v>
      </c>
    </row>
    <row r="849" spans="1:17">
      <c r="A849" s="2">
        <v>2797</v>
      </c>
      <c r="B849" s="7">
        <v>0</v>
      </c>
      <c r="C849" s="7">
        <v>0</v>
      </c>
      <c r="D849" s="7">
        <v>0</v>
      </c>
      <c r="E849" s="7">
        <v>0</v>
      </c>
      <c r="F849" s="7">
        <v>0</v>
      </c>
      <c r="G849" s="7">
        <v>0</v>
      </c>
      <c r="H849" s="7">
        <v>0</v>
      </c>
      <c r="I849" s="7">
        <v>0</v>
      </c>
      <c r="J849" s="7">
        <v>0</v>
      </c>
      <c r="K849" s="7">
        <v>0</v>
      </c>
      <c r="L849" s="7">
        <v>0</v>
      </c>
      <c r="M849" s="7">
        <v>0</v>
      </c>
      <c r="N849" s="7">
        <v>0</v>
      </c>
      <c r="O849" s="7">
        <v>0</v>
      </c>
      <c r="P849" s="7">
        <v>0</v>
      </c>
      <c r="Q849" s="7">
        <v>0</v>
      </c>
    </row>
    <row r="850" spans="1:17">
      <c r="A850" s="2">
        <v>2798</v>
      </c>
      <c r="B850" s="7">
        <v>0</v>
      </c>
      <c r="C850" s="7">
        <v>0</v>
      </c>
      <c r="D850" s="7">
        <v>0</v>
      </c>
      <c r="E850" s="7">
        <v>0</v>
      </c>
      <c r="F850" s="7">
        <v>0</v>
      </c>
      <c r="G850" s="7">
        <v>0</v>
      </c>
      <c r="H850" s="7">
        <v>0</v>
      </c>
      <c r="I850" s="7">
        <v>0</v>
      </c>
      <c r="J850" s="7">
        <v>0</v>
      </c>
      <c r="K850" s="7">
        <v>0</v>
      </c>
      <c r="L850" s="7">
        <v>0</v>
      </c>
      <c r="M850" s="7">
        <v>0</v>
      </c>
      <c r="N850" s="7">
        <v>0</v>
      </c>
      <c r="O850" s="7">
        <v>0</v>
      </c>
      <c r="P850" s="7">
        <v>0</v>
      </c>
      <c r="Q850" s="7">
        <v>0</v>
      </c>
    </row>
    <row r="851" spans="1:17">
      <c r="A851" s="2">
        <v>2799</v>
      </c>
      <c r="B851" s="7">
        <v>0</v>
      </c>
      <c r="C851" s="7">
        <v>0</v>
      </c>
      <c r="D851" s="7">
        <v>0</v>
      </c>
      <c r="E851" s="7">
        <v>0</v>
      </c>
      <c r="F851" s="7">
        <v>0</v>
      </c>
      <c r="G851" s="7">
        <v>0</v>
      </c>
      <c r="H851" s="7">
        <v>0</v>
      </c>
      <c r="I851" s="7">
        <v>0</v>
      </c>
      <c r="J851" s="7">
        <v>0</v>
      </c>
      <c r="K851" s="7">
        <v>0</v>
      </c>
      <c r="L851" s="7">
        <v>0</v>
      </c>
      <c r="M851" s="7">
        <v>0</v>
      </c>
      <c r="N851" s="7">
        <v>0</v>
      </c>
      <c r="O851" s="7">
        <v>0</v>
      </c>
      <c r="P851" s="7">
        <v>0</v>
      </c>
      <c r="Q851" s="7">
        <v>0</v>
      </c>
    </row>
    <row r="852" spans="1:17">
      <c r="A852" s="2">
        <v>2800</v>
      </c>
      <c r="B852" s="7">
        <v>0</v>
      </c>
      <c r="C852" s="7">
        <v>0</v>
      </c>
      <c r="D852" s="7">
        <v>0</v>
      </c>
      <c r="E852" s="7">
        <v>0</v>
      </c>
      <c r="F852" s="7">
        <v>0</v>
      </c>
      <c r="G852" s="7">
        <v>0</v>
      </c>
      <c r="H852" s="7">
        <v>0</v>
      </c>
      <c r="I852" s="7">
        <v>0</v>
      </c>
      <c r="J852" s="7">
        <v>0</v>
      </c>
      <c r="K852" s="7">
        <v>0</v>
      </c>
      <c r="L852" s="7">
        <v>0</v>
      </c>
      <c r="M852" s="7">
        <v>0</v>
      </c>
      <c r="N852" s="7">
        <v>0</v>
      </c>
      <c r="O852" s="7">
        <v>0</v>
      </c>
      <c r="P852" s="7">
        <v>0</v>
      </c>
      <c r="Q852" s="7">
        <v>0</v>
      </c>
    </row>
    <row r="853" spans="1:17">
      <c r="A853" s="2">
        <v>2801</v>
      </c>
      <c r="B853" s="7">
        <v>0</v>
      </c>
      <c r="C853" s="7">
        <v>0</v>
      </c>
      <c r="D853" s="7">
        <v>0</v>
      </c>
      <c r="E853" s="7">
        <v>0</v>
      </c>
      <c r="F853" s="7">
        <v>0</v>
      </c>
      <c r="G853" s="7">
        <v>0</v>
      </c>
      <c r="H853" s="7">
        <v>0</v>
      </c>
      <c r="I853" s="7">
        <v>0</v>
      </c>
      <c r="J853" s="7">
        <v>0</v>
      </c>
      <c r="K853" s="7">
        <v>0</v>
      </c>
      <c r="L853" s="7">
        <v>0</v>
      </c>
      <c r="M853" s="7">
        <v>0</v>
      </c>
      <c r="N853" s="7">
        <v>0</v>
      </c>
      <c r="O853" s="7">
        <v>0</v>
      </c>
      <c r="P853" s="7">
        <v>0</v>
      </c>
      <c r="Q853" s="7">
        <v>0</v>
      </c>
    </row>
    <row r="854" spans="1:17">
      <c r="A854" s="2">
        <v>2802</v>
      </c>
      <c r="B854" s="7">
        <v>0</v>
      </c>
      <c r="C854" s="7">
        <v>0</v>
      </c>
      <c r="D854" s="7">
        <v>0</v>
      </c>
      <c r="E854" s="7">
        <v>0</v>
      </c>
      <c r="F854" s="7">
        <v>0</v>
      </c>
      <c r="G854" s="7">
        <v>0</v>
      </c>
      <c r="H854" s="7">
        <v>0</v>
      </c>
      <c r="I854" s="7">
        <v>0</v>
      </c>
      <c r="J854" s="7">
        <v>0</v>
      </c>
      <c r="K854" s="7">
        <v>0</v>
      </c>
      <c r="L854" s="7">
        <v>0</v>
      </c>
      <c r="M854" s="7">
        <v>0</v>
      </c>
      <c r="N854" s="7">
        <v>0</v>
      </c>
      <c r="O854" s="7">
        <v>0</v>
      </c>
      <c r="P854" s="7">
        <v>0</v>
      </c>
      <c r="Q854" s="7">
        <v>0</v>
      </c>
    </row>
    <row r="855" spans="1:17">
      <c r="A855" s="2">
        <v>2803</v>
      </c>
      <c r="B855" s="7">
        <v>0</v>
      </c>
      <c r="C855" s="7">
        <v>0</v>
      </c>
      <c r="D855" s="7">
        <v>0</v>
      </c>
      <c r="E855" s="7">
        <v>0</v>
      </c>
      <c r="F855" s="7">
        <v>0</v>
      </c>
      <c r="G855" s="7">
        <v>0</v>
      </c>
      <c r="H855" s="7">
        <v>0</v>
      </c>
      <c r="I855" s="7">
        <v>0</v>
      </c>
      <c r="J855" s="7">
        <v>0</v>
      </c>
      <c r="K855" s="7">
        <v>0</v>
      </c>
      <c r="L855" s="7">
        <v>0</v>
      </c>
      <c r="M855" s="7">
        <v>0</v>
      </c>
      <c r="N855" s="7">
        <v>0</v>
      </c>
      <c r="O855" s="7">
        <v>0</v>
      </c>
      <c r="P855" s="7">
        <v>0</v>
      </c>
      <c r="Q855" s="7">
        <v>0</v>
      </c>
    </row>
    <row r="856" spans="1:17">
      <c r="A856" s="2">
        <v>2804</v>
      </c>
      <c r="B856" s="7">
        <v>0</v>
      </c>
      <c r="C856" s="7">
        <v>0</v>
      </c>
      <c r="D856" s="7">
        <v>0</v>
      </c>
      <c r="E856" s="7">
        <v>0</v>
      </c>
      <c r="F856" s="7">
        <v>0</v>
      </c>
      <c r="G856" s="7">
        <v>0</v>
      </c>
      <c r="H856" s="7">
        <v>0</v>
      </c>
      <c r="I856" s="7">
        <v>0</v>
      </c>
      <c r="J856" s="7">
        <v>0</v>
      </c>
      <c r="K856" s="7">
        <v>0</v>
      </c>
      <c r="L856" s="7">
        <v>0</v>
      </c>
      <c r="M856" s="7">
        <v>0</v>
      </c>
      <c r="N856" s="7">
        <v>0</v>
      </c>
      <c r="O856" s="7">
        <v>0</v>
      </c>
      <c r="P856" s="7">
        <v>0</v>
      </c>
      <c r="Q856" s="7">
        <v>0</v>
      </c>
    </row>
    <row r="857" spans="1:17">
      <c r="A857" s="2">
        <v>2805</v>
      </c>
      <c r="B857" s="7">
        <v>0</v>
      </c>
      <c r="C857" s="7">
        <v>0</v>
      </c>
      <c r="D857" s="7">
        <v>0</v>
      </c>
      <c r="E857" s="7">
        <v>0</v>
      </c>
      <c r="F857" s="7">
        <v>0</v>
      </c>
      <c r="G857" s="7">
        <v>0</v>
      </c>
      <c r="H857" s="7">
        <v>0</v>
      </c>
      <c r="I857" s="7">
        <v>0</v>
      </c>
      <c r="J857" s="7">
        <v>0</v>
      </c>
      <c r="K857" s="7">
        <v>0</v>
      </c>
      <c r="L857" s="7">
        <v>0</v>
      </c>
      <c r="M857" s="7">
        <v>0</v>
      </c>
      <c r="N857" s="7">
        <v>0</v>
      </c>
      <c r="O857" s="7">
        <v>0</v>
      </c>
      <c r="P857" s="7">
        <v>0</v>
      </c>
      <c r="Q857" s="7">
        <v>0</v>
      </c>
    </row>
    <row r="858" spans="1:17">
      <c r="A858" s="2">
        <v>2806</v>
      </c>
      <c r="B858" s="7">
        <v>0</v>
      </c>
      <c r="C858" s="7">
        <v>0</v>
      </c>
      <c r="D858" s="7">
        <v>0</v>
      </c>
      <c r="E858" s="7">
        <v>0</v>
      </c>
      <c r="F858" s="7">
        <v>0</v>
      </c>
      <c r="G858" s="7">
        <v>0</v>
      </c>
      <c r="H858" s="7">
        <v>0</v>
      </c>
      <c r="I858" s="7">
        <v>0</v>
      </c>
      <c r="J858" s="7">
        <v>0</v>
      </c>
      <c r="K858" s="7">
        <v>0</v>
      </c>
      <c r="L858" s="7">
        <v>0</v>
      </c>
      <c r="M858" s="7">
        <v>0</v>
      </c>
      <c r="N858" s="7">
        <v>0</v>
      </c>
      <c r="O858" s="7">
        <v>0</v>
      </c>
      <c r="P858" s="7">
        <v>0</v>
      </c>
      <c r="Q858" s="7">
        <v>0</v>
      </c>
    </row>
    <row r="859" spans="1:17">
      <c r="A859" s="2">
        <v>2807</v>
      </c>
      <c r="B859" s="7">
        <v>0</v>
      </c>
      <c r="C859" s="7">
        <v>0</v>
      </c>
      <c r="D859" s="7">
        <v>0</v>
      </c>
      <c r="E859" s="7">
        <v>0</v>
      </c>
      <c r="F859" s="7">
        <v>0</v>
      </c>
      <c r="G859" s="7">
        <v>0</v>
      </c>
      <c r="H859" s="7">
        <v>0</v>
      </c>
      <c r="I859" s="7">
        <v>0</v>
      </c>
      <c r="J859" s="7">
        <v>0</v>
      </c>
      <c r="K859" s="7">
        <v>0</v>
      </c>
      <c r="L859" s="7">
        <v>0</v>
      </c>
      <c r="M859" s="7">
        <v>0</v>
      </c>
      <c r="N859" s="7">
        <v>0</v>
      </c>
      <c r="O859" s="7">
        <v>0</v>
      </c>
      <c r="P859" s="7">
        <v>0</v>
      </c>
      <c r="Q859" s="7">
        <v>0</v>
      </c>
    </row>
    <row r="860" spans="1:17">
      <c r="A860" s="2">
        <v>2808</v>
      </c>
      <c r="B860" s="7">
        <v>0</v>
      </c>
      <c r="C860" s="7">
        <v>0</v>
      </c>
      <c r="D860" s="7">
        <v>0</v>
      </c>
      <c r="E860" s="7">
        <v>0</v>
      </c>
      <c r="F860" s="7">
        <v>0</v>
      </c>
      <c r="G860" s="7">
        <v>0</v>
      </c>
      <c r="H860" s="7">
        <v>0</v>
      </c>
      <c r="I860" s="7">
        <v>0</v>
      </c>
      <c r="J860" s="7">
        <v>0</v>
      </c>
      <c r="K860" s="7">
        <v>0</v>
      </c>
      <c r="L860" s="7">
        <v>0</v>
      </c>
      <c r="M860" s="7">
        <v>0</v>
      </c>
      <c r="N860" s="7">
        <v>0</v>
      </c>
      <c r="O860" s="7">
        <v>0</v>
      </c>
      <c r="P860" s="7">
        <v>0</v>
      </c>
      <c r="Q860" s="7">
        <v>0</v>
      </c>
    </row>
    <row r="861" spans="1:17">
      <c r="A861" s="2">
        <v>2809</v>
      </c>
      <c r="B861" s="7">
        <v>0</v>
      </c>
      <c r="C861" s="7">
        <v>0</v>
      </c>
      <c r="D861" s="7">
        <v>0</v>
      </c>
      <c r="E861" s="7">
        <v>0</v>
      </c>
      <c r="F861" s="7">
        <v>0</v>
      </c>
      <c r="G861" s="7">
        <v>0</v>
      </c>
      <c r="H861" s="7">
        <v>0</v>
      </c>
      <c r="I861" s="7">
        <v>0</v>
      </c>
      <c r="J861" s="7">
        <v>0</v>
      </c>
      <c r="K861" s="7">
        <v>0</v>
      </c>
      <c r="L861" s="7">
        <v>0</v>
      </c>
      <c r="M861" s="7">
        <v>0</v>
      </c>
      <c r="N861" s="7">
        <v>0</v>
      </c>
      <c r="O861" s="7">
        <v>0</v>
      </c>
      <c r="P861" s="7">
        <v>0</v>
      </c>
      <c r="Q861" s="7">
        <v>0</v>
      </c>
    </row>
    <row r="862" spans="1:17">
      <c r="A862" s="2">
        <v>2810</v>
      </c>
      <c r="B862" s="7">
        <v>0</v>
      </c>
      <c r="C862" s="7">
        <v>0</v>
      </c>
      <c r="D862" s="7">
        <v>0</v>
      </c>
      <c r="E862" s="7">
        <v>0</v>
      </c>
      <c r="F862" s="7">
        <v>0</v>
      </c>
      <c r="G862" s="7">
        <v>0</v>
      </c>
      <c r="H862" s="7">
        <v>0</v>
      </c>
      <c r="I862" s="7">
        <v>0</v>
      </c>
      <c r="J862" s="7">
        <v>0</v>
      </c>
      <c r="K862" s="7">
        <v>0</v>
      </c>
      <c r="L862" s="7">
        <v>0</v>
      </c>
      <c r="M862" s="7">
        <v>0</v>
      </c>
      <c r="N862" s="7">
        <v>0</v>
      </c>
      <c r="O862" s="7">
        <v>0</v>
      </c>
      <c r="P862" s="7">
        <v>0</v>
      </c>
      <c r="Q862" s="7">
        <v>0</v>
      </c>
    </row>
    <row r="863" spans="1:17">
      <c r="A863" s="2">
        <v>2811</v>
      </c>
      <c r="B863" s="7">
        <v>0</v>
      </c>
      <c r="C863" s="7">
        <v>0</v>
      </c>
      <c r="D863" s="7">
        <v>0</v>
      </c>
      <c r="E863" s="7">
        <v>0</v>
      </c>
      <c r="F863" s="7">
        <v>0</v>
      </c>
      <c r="G863" s="7">
        <v>0</v>
      </c>
      <c r="H863" s="7">
        <v>0</v>
      </c>
      <c r="I863" s="7">
        <v>0</v>
      </c>
      <c r="J863" s="7">
        <v>0</v>
      </c>
      <c r="K863" s="7">
        <v>0</v>
      </c>
      <c r="L863" s="7">
        <v>0</v>
      </c>
      <c r="M863" s="7">
        <v>0</v>
      </c>
      <c r="N863" s="7">
        <v>0</v>
      </c>
      <c r="O863" s="7">
        <v>0</v>
      </c>
      <c r="P863" s="7">
        <v>0</v>
      </c>
      <c r="Q863" s="7">
        <v>0</v>
      </c>
    </row>
    <row r="864" spans="1:17">
      <c r="A864" s="2">
        <v>2812</v>
      </c>
      <c r="B864" s="7">
        <v>0</v>
      </c>
      <c r="C864" s="7">
        <v>0</v>
      </c>
      <c r="D864" s="7">
        <v>0</v>
      </c>
      <c r="E864" s="7">
        <v>0</v>
      </c>
      <c r="F864" s="7">
        <v>0</v>
      </c>
      <c r="G864" s="7">
        <v>0</v>
      </c>
      <c r="H864" s="7">
        <v>0</v>
      </c>
      <c r="I864" s="7">
        <v>0</v>
      </c>
      <c r="J864" s="7">
        <v>0</v>
      </c>
      <c r="K864" s="7">
        <v>0</v>
      </c>
      <c r="L864" s="7">
        <v>0</v>
      </c>
      <c r="M864" s="7">
        <v>0</v>
      </c>
      <c r="N864" s="7">
        <v>0</v>
      </c>
      <c r="O864" s="7">
        <v>0</v>
      </c>
      <c r="P864" s="7">
        <v>0</v>
      </c>
      <c r="Q864" s="7">
        <v>0</v>
      </c>
    </row>
    <row r="865" spans="1:17">
      <c r="A865" s="2">
        <v>2813</v>
      </c>
      <c r="B865" s="7">
        <v>0</v>
      </c>
      <c r="C865" s="7">
        <v>0</v>
      </c>
      <c r="D865" s="7">
        <v>0</v>
      </c>
      <c r="E865" s="7">
        <v>0</v>
      </c>
      <c r="F865" s="7">
        <v>0</v>
      </c>
      <c r="G865" s="7">
        <v>0</v>
      </c>
      <c r="H865" s="7">
        <v>0</v>
      </c>
      <c r="I865" s="7">
        <v>0</v>
      </c>
      <c r="J865" s="7">
        <v>0</v>
      </c>
      <c r="K865" s="7">
        <v>0</v>
      </c>
      <c r="L865" s="7">
        <v>0</v>
      </c>
      <c r="M865" s="7">
        <v>0</v>
      </c>
      <c r="N865" s="7">
        <v>0</v>
      </c>
      <c r="O865" s="7">
        <v>0</v>
      </c>
      <c r="P865" s="7">
        <v>0</v>
      </c>
      <c r="Q865" s="7">
        <v>0</v>
      </c>
    </row>
    <row r="866" spans="1:17">
      <c r="A866" s="2">
        <v>2814</v>
      </c>
      <c r="B866" s="7">
        <v>0</v>
      </c>
      <c r="C866" s="7">
        <v>0</v>
      </c>
      <c r="D866" s="7">
        <v>0</v>
      </c>
      <c r="E866" s="7">
        <v>0</v>
      </c>
      <c r="F866" s="7">
        <v>0</v>
      </c>
      <c r="G866" s="7">
        <v>0</v>
      </c>
      <c r="H866" s="7">
        <v>0</v>
      </c>
      <c r="I866" s="7">
        <v>0</v>
      </c>
      <c r="J866" s="7">
        <v>0</v>
      </c>
      <c r="K866" s="7">
        <v>0</v>
      </c>
      <c r="L866" s="7">
        <v>0</v>
      </c>
      <c r="M866" s="7">
        <v>0</v>
      </c>
      <c r="N866" s="7">
        <v>0</v>
      </c>
      <c r="O866" s="7">
        <v>0</v>
      </c>
      <c r="P866" s="7">
        <v>0</v>
      </c>
      <c r="Q866" s="7">
        <v>0</v>
      </c>
    </row>
    <row r="867" spans="1:17">
      <c r="A867" s="2">
        <v>2815</v>
      </c>
      <c r="B867" s="7">
        <v>0</v>
      </c>
      <c r="C867" s="7">
        <v>0</v>
      </c>
      <c r="D867" s="7">
        <v>0</v>
      </c>
      <c r="E867" s="7">
        <v>0</v>
      </c>
      <c r="F867" s="7">
        <v>0</v>
      </c>
      <c r="G867" s="7">
        <v>0</v>
      </c>
      <c r="H867" s="7">
        <v>0</v>
      </c>
      <c r="I867" s="7">
        <v>0</v>
      </c>
      <c r="J867" s="7">
        <v>0</v>
      </c>
      <c r="K867" s="7">
        <v>0</v>
      </c>
      <c r="L867" s="7">
        <v>0</v>
      </c>
      <c r="M867" s="7">
        <v>0</v>
      </c>
      <c r="N867" s="7">
        <v>0</v>
      </c>
      <c r="O867" s="7">
        <v>0</v>
      </c>
      <c r="P867" s="7">
        <v>0</v>
      </c>
      <c r="Q867" s="7">
        <v>0</v>
      </c>
    </row>
    <row r="868" spans="1:17">
      <c r="A868" s="2">
        <v>2816</v>
      </c>
      <c r="B868" s="7">
        <v>0</v>
      </c>
      <c r="C868" s="7">
        <v>0</v>
      </c>
      <c r="D868" s="7">
        <v>0</v>
      </c>
      <c r="E868" s="7">
        <v>0</v>
      </c>
      <c r="F868" s="7">
        <v>0</v>
      </c>
      <c r="G868" s="7">
        <v>0</v>
      </c>
      <c r="H868" s="7">
        <v>0</v>
      </c>
      <c r="I868" s="7">
        <v>0</v>
      </c>
      <c r="J868" s="7">
        <v>0</v>
      </c>
      <c r="K868" s="7">
        <v>0</v>
      </c>
      <c r="L868" s="7">
        <v>0</v>
      </c>
      <c r="M868" s="7">
        <v>0</v>
      </c>
      <c r="N868" s="7">
        <v>0</v>
      </c>
      <c r="O868" s="7">
        <v>0</v>
      </c>
      <c r="P868" s="7">
        <v>0</v>
      </c>
      <c r="Q868" s="7">
        <v>0</v>
      </c>
    </row>
    <row r="869" spans="1:17">
      <c r="A869" s="2">
        <v>2817</v>
      </c>
      <c r="B869" s="7">
        <v>0</v>
      </c>
      <c r="C869" s="7">
        <v>0</v>
      </c>
      <c r="D869" s="7">
        <v>0</v>
      </c>
      <c r="E869" s="7">
        <v>0</v>
      </c>
      <c r="F869" s="7">
        <v>0</v>
      </c>
      <c r="G869" s="7">
        <v>0</v>
      </c>
      <c r="H869" s="7">
        <v>0</v>
      </c>
      <c r="I869" s="7">
        <v>0</v>
      </c>
      <c r="J869" s="7">
        <v>0</v>
      </c>
      <c r="K869" s="7">
        <v>0</v>
      </c>
      <c r="L869" s="7">
        <v>0</v>
      </c>
      <c r="M869" s="7">
        <v>0</v>
      </c>
      <c r="N869" s="7">
        <v>0</v>
      </c>
      <c r="O869" s="7">
        <v>0</v>
      </c>
      <c r="P869" s="7">
        <v>0</v>
      </c>
      <c r="Q869" s="7">
        <v>0</v>
      </c>
    </row>
    <row r="870" spans="1:17">
      <c r="A870" s="2">
        <v>2818</v>
      </c>
      <c r="B870" s="7">
        <v>0</v>
      </c>
      <c r="C870" s="7">
        <v>0</v>
      </c>
      <c r="D870" s="7">
        <v>0</v>
      </c>
      <c r="E870" s="7">
        <v>0</v>
      </c>
      <c r="F870" s="7">
        <v>0</v>
      </c>
      <c r="G870" s="7">
        <v>0</v>
      </c>
      <c r="H870" s="7">
        <v>0</v>
      </c>
      <c r="I870" s="7">
        <v>0</v>
      </c>
      <c r="J870" s="7">
        <v>0</v>
      </c>
      <c r="K870" s="7">
        <v>0</v>
      </c>
      <c r="L870" s="7">
        <v>0</v>
      </c>
      <c r="M870" s="7">
        <v>0</v>
      </c>
      <c r="N870" s="7">
        <v>0</v>
      </c>
      <c r="O870" s="7">
        <v>0</v>
      </c>
      <c r="P870" s="7">
        <v>0</v>
      </c>
      <c r="Q870" s="7">
        <v>0</v>
      </c>
    </row>
    <row r="871" spans="1:17">
      <c r="A871" s="2">
        <v>2819</v>
      </c>
      <c r="B871" s="7">
        <v>0</v>
      </c>
      <c r="C871" s="7">
        <v>0</v>
      </c>
      <c r="D871" s="7">
        <v>0</v>
      </c>
      <c r="E871" s="7">
        <v>0</v>
      </c>
      <c r="F871" s="7">
        <v>0</v>
      </c>
      <c r="G871" s="7">
        <v>0</v>
      </c>
      <c r="H871" s="7">
        <v>0</v>
      </c>
      <c r="I871" s="7">
        <v>0</v>
      </c>
      <c r="J871" s="7">
        <v>0</v>
      </c>
      <c r="K871" s="7">
        <v>0</v>
      </c>
      <c r="L871" s="7">
        <v>0</v>
      </c>
      <c r="M871" s="7">
        <v>0</v>
      </c>
      <c r="N871" s="7">
        <v>0</v>
      </c>
      <c r="O871" s="7">
        <v>0</v>
      </c>
      <c r="P871" s="7">
        <v>0</v>
      </c>
      <c r="Q871" s="7">
        <v>0</v>
      </c>
    </row>
    <row r="872" spans="1:17">
      <c r="A872" s="2">
        <v>2820</v>
      </c>
      <c r="B872" s="7">
        <v>0</v>
      </c>
      <c r="C872" s="7">
        <v>0</v>
      </c>
      <c r="D872" s="7">
        <v>0</v>
      </c>
      <c r="E872" s="7">
        <v>0</v>
      </c>
      <c r="F872" s="7">
        <v>0</v>
      </c>
      <c r="G872" s="7">
        <v>0</v>
      </c>
      <c r="H872" s="7">
        <v>0</v>
      </c>
      <c r="I872" s="7">
        <v>0</v>
      </c>
      <c r="J872" s="7">
        <v>0</v>
      </c>
      <c r="K872" s="7">
        <v>0</v>
      </c>
      <c r="L872" s="7">
        <v>0</v>
      </c>
      <c r="M872" s="7">
        <v>0</v>
      </c>
      <c r="N872" s="7">
        <v>0</v>
      </c>
      <c r="O872" s="7">
        <v>0</v>
      </c>
      <c r="P872" s="7">
        <v>0</v>
      </c>
      <c r="Q872" s="7">
        <v>0</v>
      </c>
    </row>
    <row r="873" spans="1:17">
      <c r="A873" s="2">
        <v>2821</v>
      </c>
      <c r="B873" s="7">
        <v>0</v>
      </c>
      <c r="C873" s="7">
        <v>0</v>
      </c>
      <c r="D873" s="7">
        <v>0</v>
      </c>
      <c r="E873" s="7">
        <v>0</v>
      </c>
      <c r="F873" s="7">
        <v>0</v>
      </c>
      <c r="G873" s="7">
        <v>0</v>
      </c>
      <c r="H873" s="7">
        <v>0</v>
      </c>
      <c r="I873" s="7">
        <v>0</v>
      </c>
      <c r="J873" s="7">
        <v>0</v>
      </c>
      <c r="K873" s="7">
        <v>0</v>
      </c>
      <c r="L873" s="7">
        <v>0</v>
      </c>
      <c r="M873" s="7">
        <v>0</v>
      </c>
      <c r="N873" s="7">
        <v>0</v>
      </c>
      <c r="O873" s="7">
        <v>0</v>
      </c>
      <c r="P873" s="7">
        <v>0</v>
      </c>
      <c r="Q873" s="7">
        <v>0</v>
      </c>
    </row>
    <row r="874" spans="1:17">
      <c r="A874" s="2">
        <v>2822</v>
      </c>
      <c r="B874" s="7">
        <v>0</v>
      </c>
      <c r="C874" s="7">
        <v>0</v>
      </c>
      <c r="D874" s="7">
        <v>0</v>
      </c>
      <c r="E874" s="7">
        <v>0</v>
      </c>
      <c r="F874" s="7">
        <v>0</v>
      </c>
      <c r="G874" s="7">
        <v>0</v>
      </c>
      <c r="H874" s="7">
        <v>0</v>
      </c>
      <c r="I874" s="7">
        <v>0</v>
      </c>
      <c r="J874" s="7">
        <v>0</v>
      </c>
      <c r="K874" s="7">
        <v>0</v>
      </c>
      <c r="L874" s="7">
        <v>0</v>
      </c>
      <c r="M874" s="7">
        <v>0</v>
      </c>
      <c r="N874" s="7">
        <v>0</v>
      </c>
      <c r="O874" s="7">
        <v>0</v>
      </c>
      <c r="P874" s="7">
        <v>0</v>
      </c>
      <c r="Q874" s="7">
        <v>0</v>
      </c>
    </row>
    <row r="875" spans="1:17">
      <c r="A875" s="2">
        <v>2823</v>
      </c>
      <c r="B875" s="7">
        <v>0</v>
      </c>
      <c r="C875" s="7">
        <v>0</v>
      </c>
      <c r="D875" s="7">
        <v>0</v>
      </c>
      <c r="E875" s="7">
        <v>0</v>
      </c>
      <c r="F875" s="7">
        <v>0</v>
      </c>
      <c r="G875" s="7">
        <v>0</v>
      </c>
      <c r="H875" s="7">
        <v>0</v>
      </c>
      <c r="I875" s="7">
        <v>0</v>
      </c>
      <c r="J875" s="7">
        <v>0</v>
      </c>
      <c r="K875" s="7">
        <v>0</v>
      </c>
      <c r="L875" s="7">
        <v>0</v>
      </c>
      <c r="M875" s="7">
        <v>0</v>
      </c>
      <c r="N875" s="7">
        <v>0</v>
      </c>
      <c r="O875" s="7">
        <v>0</v>
      </c>
      <c r="P875" s="7">
        <v>0</v>
      </c>
      <c r="Q875" s="7">
        <v>0</v>
      </c>
    </row>
    <row r="876" spans="1:17">
      <c r="A876" s="2">
        <v>2824</v>
      </c>
      <c r="B876" s="7">
        <v>0</v>
      </c>
      <c r="C876" s="7">
        <v>0</v>
      </c>
      <c r="D876" s="7">
        <v>0</v>
      </c>
      <c r="E876" s="7">
        <v>0</v>
      </c>
      <c r="F876" s="7">
        <v>0</v>
      </c>
      <c r="G876" s="7">
        <v>0</v>
      </c>
      <c r="H876" s="7">
        <v>0</v>
      </c>
      <c r="I876" s="7">
        <v>0</v>
      </c>
      <c r="J876" s="7">
        <v>0</v>
      </c>
      <c r="K876" s="7">
        <v>0</v>
      </c>
      <c r="L876" s="7">
        <v>0</v>
      </c>
      <c r="M876" s="7">
        <v>0</v>
      </c>
      <c r="N876" s="7">
        <v>0</v>
      </c>
      <c r="O876" s="7">
        <v>0</v>
      </c>
      <c r="P876" s="7">
        <v>0</v>
      </c>
      <c r="Q876" s="7">
        <v>0</v>
      </c>
    </row>
    <row r="877" spans="1:17">
      <c r="A877" s="2">
        <v>2825</v>
      </c>
      <c r="B877" s="7">
        <v>0</v>
      </c>
      <c r="C877" s="7">
        <v>0</v>
      </c>
      <c r="D877" s="7">
        <v>0</v>
      </c>
      <c r="E877" s="7">
        <v>0</v>
      </c>
      <c r="F877" s="7">
        <v>0</v>
      </c>
      <c r="G877" s="7">
        <v>0</v>
      </c>
      <c r="H877" s="7">
        <v>0</v>
      </c>
      <c r="I877" s="7">
        <v>0</v>
      </c>
      <c r="J877" s="7">
        <v>0</v>
      </c>
      <c r="K877" s="7">
        <v>0</v>
      </c>
      <c r="L877" s="7">
        <v>0</v>
      </c>
      <c r="M877" s="7">
        <v>0</v>
      </c>
      <c r="N877" s="7">
        <v>0</v>
      </c>
      <c r="O877" s="7">
        <v>0</v>
      </c>
      <c r="P877" s="7">
        <v>0</v>
      </c>
      <c r="Q877" s="7">
        <v>0</v>
      </c>
    </row>
    <row r="878" spans="1:17">
      <c r="A878" s="2">
        <v>2826</v>
      </c>
      <c r="B878" s="7">
        <v>0</v>
      </c>
      <c r="C878" s="7">
        <v>0</v>
      </c>
      <c r="D878" s="7">
        <v>0</v>
      </c>
      <c r="E878" s="7">
        <v>0</v>
      </c>
      <c r="F878" s="7">
        <v>0</v>
      </c>
      <c r="G878" s="7">
        <v>0</v>
      </c>
      <c r="H878" s="7">
        <v>0</v>
      </c>
      <c r="I878" s="7">
        <v>0</v>
      </c>
      <c r="J878" s="7">
        <v>0</v>
      </c>
      <c r="K878" s="7">
        <v>0</v>
      </c>
      <c r="L878" s="7">
        <v>0</v>
      </c>
      <c r="M878" s="7">
        <v>0</v>
      </c>
      <c r="N878" s="7">
        <v>0</v>
      </c>
      <c r="O878" s="7">
        <v>0</v>
      </c>
      <c r="P878" s="7">
        <v>0</v>
      </c>
      <c r="Q878" s="7">
        <v>0</v>
      </c>
    </row>
    <row r="879" spans="1:17">
      <c r="A879" s="2">
        <v>2827</v>
      </c>
      <c r="B879" s="7">
        <v>0</v>
      </c>
      <c r="C879" s="7">
        <v>0</v>
      </c>
      <c r="D879" s="7">
        <v>0</v>
      </c>
      <c r="E879" s="7">
        <v>0</v>
      </c>
      <c r="F879" s="7">
        <v>0</v>
      </c>
      <c r="G879" s="7">
        <v>0</v>
      </c>
      <c r="H879" s="7">
        <v>0</v>
      </c>
      <c r="I879" s="7">
        <v>0</v>
      </c>
      <c r="J879" s="7">
        <v>0</v>
      </c>
      <c r="K879" s="7">
        <v>0</v>
      </c>
      <c r="L879" s="7">
        <v>0</v>
      </c>
      <c r="M879" s="7">
        <v>0</v>
      </c>
      <c r="N879" s="7">
        <v>0</v>
      </c>
      <c r="O879" s="7">
        <v>0</v>
      </c>
      <c r="P879" s="7">
        <v>0</v>
      </c>
      <c r="Q879" s="7">
        <v>0</v>
      </c>
    </row>
    <row r="880" spans="1:17">
      <c r="A880" s="2">
        <v>2828</v>
      </c>
      <c r="B880" s="7">
        <v>0</v>
      </c>
      <c r="C880" s="7">
        <v>0</v>
      </c>
      <c r="D880" s="7">
        <v>0</v>
      </c>
      <c r="E880" s="7">
        <v>0</v>
      </c>
      <c r="F880" s="7">
        <v>0</v>
      </c>
      <c r="G880" s="7">
        <v>0</v>
      </c>
      <c r="H880" s="7">
        <v>0</v>
      </c>
      <c r="I880" s="7">
        <v>0</v>
      </c>
      <c r="J880" s="7">
        <v>0</v>
      </c>
      <c r="K880" s="7">
        <v>0</v>
      </c>
      <c r="L880" s="7">
        <v>0</v>
      </c>
      <c r="M880" s="7">
        <v>0</v>
      </c>
      <c r="N880" s="7">
        <v>0</v>
      </c>
      <c r="O880" s="7">
        <v>0</v>
      </c>
      <c r="P880" s="7">
        <v>0</v>
      </c>
      <c r="Q880" s="7">
        <v>0</v>
      </c>
    </row>
    <row r="881" spans="1:17">
      <c r="A881" s="2">
        <v>2829</v>
      </c>
      <c r="B881" s="7">
        <v>0</v>
      </c>
      <c r="C881" s="7">
        <v>0</v>
      </c>
      <c r="D881" s="7">
        <v>0</v>
      </c>
      <c r="E881" s="7">
        <v>0</v>
      </c>
      <c r="F881" s="7">
        <v>0</v>
      </c>
      <c r="G881" s="7">
        <v>0</v>
      </c>
      <c r="H881" s="7">
        <v>0</v>
      </c>
      <c r="I881" s="7">
        <v>0</v>
      </c>
      <c r="J881" s="7">
        <v>0</v>
      </c>
      <c r="K881" s="7">
        <v>0</v>
      </c>
      <c r="L881" s="7">
        <v>0</v>
      </c>
      <c r="M881" s="7">
        <v>0</v>
      </c>
      <c r="N881" s="7">
        <v>0</v>
      </c>
      <c r="O881" s="7">
        <v>0</v>
      </c>
      <c r="P881" s="7">
        <v>0</v>
      </c>
      <c r="Q881" s="7">
        <v>0</v>
      </c>
    </row>
    <row r="882" spans="1:17">
      <c r="A882" s="2">
        <v>2830</v>
      </c>
      <c r="B882" s="7">
        <v>0</v>
      </c>
      <c r="C882" s="7">
        <v>0</v>
      </c>
      <c r="D882" s="7">
        <v>0</v>
      </c>
      <c r="E882" s="7">
        <v>0</v>
      </c>
      <c r="F882" s="7">
        <v>0</v>
      </c>
      <c r="G882" s="7">
        <v>0</v>
      </c>
      <c r="H882" s="7">
        <v>0</v>
      </c>
      <c r="I882" s="7">
        <v>0</v>
      </c>
      <c r="J882" s="7">
        <v>0</v>
      </c>
      <c r="K882" s="7">
        <v>0</v>
      </c>
      <c r="L882" s="7">
        <v>0</v>
      </c>
      <c r="M882" s="7">
        <v>0</v>
      </c>
      <c r="N882" s="7">
        <v>0</v>
      </c>
      <c r="O882" s="7">
        <v>0</v>
      </c>
      <c r="P882" s="7">
        <v>0</v>
      </c>
      <c r="Q882" s="7">
        <v>0</v>
      </c>
    </row>
    <row r="883" spans="1:17">
      <c r="A883" s="2">
        <v>2831</v>
      </c>
      <c r="B883" s="7">
        <v>0</v>
      </c>
      <c r="C883" s="7">
        <v>0</v>
      </c>
      <c r="D883" s="7">
        <v>0</v>
      </c>
      <c r="E883" s="7">
        <v>0</v>
      </c>
      <c r="F883" s="7">
        <v>0</v>
      </c>
      <c r="G883" s="7">
        <v>0</v>
      </c>
      <c r="H883" s="7">
        <v>0</v>
      </c>
      <c r="I883" s="7">
        <v>0</v>
      </c>
      <c r="J883" s="7">
        <v>0</v>
      </c>
      <c r="K883" s="7">
        <v>0</v>
      </c>
      <c r="L883" s="7">
        <v>0</v>
      </c>
      <c r="M883" s="7">
        <v>0</v>
      </c>
      <c r="N883" s="7">
        <v>0</v>
      </c>
      <c r="O883" s="7">
        <v>0</v>
      </c>
      <c r="P883" s="7">
        <v>0</v>
      </c>
      <c r="Q883" s="7">
        <v>0</v>
      </c>
    </row>
    <row r="884" spans="1:17">
      <c r="A884" s="2">
        <v>2832</v>
      </c>
      <c r="B884" s="7">
        <v>0</v>
      </c>
      <c r="C884" s="7">
        <v>0</v>
      </c>
      <c r="D884" s="7">
        <v>0</v>
      </c>
      <c r="E884" s="7">
        <v>0</v>
      </c>
      <c r="F884" s="7">
        <v>0</v>
      </c>
      <c r="G884" s="7">
        <v>0</v>
      </c>
      <c r="H884" s="7">
        <v>0</v>
      </c>
      <c r="I884" s="7">
        <v>0</v>
      </c>
      <c r="J884" s="7">
        <v>0</v>
      </c>
      <c r="K884" s="7">
        <v>0</v>
      </c>
      <c r="L884" s="7">
        <v>0</v>
      </c>
      <c r="M884" s="7">
        <v>0</v>
      </c>
      <c r="N884" s="7">
        <v>0</v>
      </c>
      <c r="O884" s="7">
        <v>0</v>
      </c>
      <c r="P884" s="7">
        <v>0</v>
      </c>
      <c r="Q884" s="7">
        <v>0</v>
      </c>
    </row>
    <row r="885" spans="1:17">
      <c r="A885" s="2">
        <v>2833</v>
      </c>
      <c r="B885" s="7">
        <v>0</v>
      </c>
      <c r="C885" s="7">
        <v>0</v>
      </c>
      <c r="D885" s="7">
        <v>0</v>
      </c>
      <c r="E885" s="7">
        <v>0</v>
      </c>
      <c r="F885" s="7">
        <v>0</v>
      </c>
      <c r="G885" s="7">
        <v>0</v>
      </c>
      <c r="H885" s="7">
        <v>0</v>
      </c>
      <c r="I885" s="7">
        <v>0</v>
      </c>
      <c r="J885" s="7">
        <v>0</v>
      </c>
      <c r="K885" s="7">
        <v>0</v>
      </c>
      <c r="L885" s="7">
        <v>0</v>
      </c>
      <c r="M885" s="7">
        <v>0</v>
      </c>
      <c r="N885" s="7">
        <v>0</v>
      </c>
      <c r="O885" s="7">
        <v>0</v>
      </c>
      <c r="P885" s="7">
        <v>0</v>
      </c>
      <c r="Q885" s="7">
        <v>0</v>
      </c>
    </row>
    <row r="886" spans="1:17">
      <c r="A886" s="2">
        <v>2834</v>
      </c>
      <c r="B886" s="7">
        <v>0</v>
      </c>
      <c r="C886" s="7">
        <v>0</v>
      </c>
      <c r="D886" s="7">
        <v>0</v>
      </c>
      <c r="E886" s="7">
        <v>0</v>
      </c>
      <c r="F886" s="7">
        <v>0</v>
      </c>
      <c r="G886" s="7">
        <v>0</v>
      </c>
      <c r="H886" s="7">
        <v>0</v>
      </c>
      <c r="I886" s="7">
        <v>0</v>
      </c>
      <c r="J886" s="7">
        <v>0</v>
      </c>
      <c r="K886" s="7">
        <v>0</v>
      </c>
      <c r="L886" s="7">
        <v>0</v>
      </c>
      <c r="M886" s="7">
        <v>0</v>
      </c>
      <c r="N886" s="7">
        <v>0</v>
      </c>
      <c r="O886" s="7">
        <v>0</v>
      </c>
      <c r="P886" s="7">
        <v>0</v>
      </c>
      <c r="Q886" s="7">
        <v>0</v>
      </c>
    </row>
    <row r="887" spans="1:17">
      <c r="A887" s="2">
        <v>2835</v>
      </c>
      <c r="B887" s="7">
        <v>0</v>
      </c>
      <c r="C887" s="7">
        <v>0</v>
      </c>
      <c r="D887" s="7">
        <v>0</v>
      </c>
      <c r="E887" s="7">
        <v>0</v>
      </c>
      <c r="F887" s="7">
        <v>0</v>
      </c>
      <c r="G887" s="7">
        <v>0</v>
      </c>
      <c r="H887" s="7">
        <v>0</v>
      </c>
      <c r="I887" s="7">
        <v>0</v>
      </c>
      <c r="J887" s="7">
        <v>0</v>
      </c>
      <c r="K887" s="7">
        <v>0</v>
      </c>
      <c r="L887" s="7">
        <v>0</v>
      </c>
      <c r="M887" s="7">
        <v>0</v>
      </c>
      <c r="N887" s="7">
        <v>0</v>
      </c>
      <c r="O887" s="7">
        <v>0</v>
      </c>
      <c r="P887" s="7">
        <v>0</v>
      </c>
      <c r="Q887" s="7">
        <v>0</v>
      </c>
    </row>
    <row r="888" spans="1:17">
      <c r="A888" s="2">
        <v>2836</v>
      </c>
      <c r="B888" s="7">
        <v>0</v>
      </c>
      <c r="C888" s="7">
        <v>0</v>
      </c>
      <c r="D888" s="7">
        <v>0</v>
      </c>
      <c r="E888" s="7">
        <v>0</v>
      </c>
      <c r="F888" s="7">
        <v>0</v>
      </c>
      <c r="G888" s="7">
        <v>0</v>
      </c>
      <c r="H888" s="7">
        <v>0</v>
      </c>
      <c r="I888" s="7">
        <v>0</v>
      </c>
      <c r="J888" s="7">
        <v>0</v>
      </c>
      <c r="K888" s="7">
        <v>0</v>
      </c>
      <c r="L888" s="7">
        <v>0</v>
      </c>
      <c r="M888" s="7">
        <v>0</v>
      </c>
      <c r="N888" s="7">
        <v>0</v>
      </c>
      <c r="O888" s="7">
        <v>0</v>
      </c>
      <c r="P888" s="7">
        <v>0</v>
      </c>
      <c r="Q888" s="7">
        <v>0</v>
      </c>
    </row>
    <row r="889" spans="1:17">
      <c r="A889" s="2">
        <v>2837</v>
      </c>
      <c r="B889" s="7">
        <v>0</v>
      </c>
      <c r="C889" s="7">
        <v>0</v>
      </c>
      <c r="D889" s="7">
        <v>0</v>
      </c>
      <c r="E889" s="7">
        <v>0</v>
      </c>
      <c r="F889" s="7">
        <v>0</v>
      </c>
      <c r="G889" s="7">
        <v>0</v>
      </c>
      <c r="H889" s="7">
        <v>0</v>
      </c>
      <c r="I889" s="7">
        <v>0</v>
      </c>
      <c r="J889" s="7">
        <v>0</v>
      </c>
      <c r="K889" s="7">
        <v>0</v>
      </c>
      <c r="L889" s="7">
        <v>0</v>
      </c>
      <c r="M889" s="7">
        <v>0</v>
      </c>
      <c r="N889" s="7">
        <v>0</v>
      </c>
      <c r="O889" s="7">
        <v>0</v>
      </c>
      <c r="P889" s="7">
        <v>0</v>
      </c>
      <c r="Q889" s="7">
        <v>0</v>
      </c>
    </row>
    <row r="890" spans="1:17">
      <c r="A890" s="2">
        <v>2838</v>
      </c>
      <c r="B890" s="7">
        <v>0</v>
      </c>
      <c r="C890" s="7">
        <v>0</v>
      </c>
      <c r="D890" s="7">
        <v>0</v>
      </c>
      <c r="E890" s="7">
        <v>0</v>
      </c>
      <c r="F890" s="7">
        <v>0</v>
      </c>
      <c r="G890" s="7">
        <v>0</v>
      </c>
      <c r="H890" s="7">
        <v>0</v>
      </c>
      <c r="I890" s="7">
        <v>0</v>
      </c>
      <c r="J890" s="7">
        <v>0</v>
      </c>
      <c r="K890" s="7">
        <v>0</v>
      </c>
      <c r="L890" s="7">
        <v>0</v>
      </c>
      <c r="M890" s="7">
        <v>0</v>
      </c>
      <c r="N890" s="7">
        <v>0</v>
      </c>
      <c r="O890" s="7">
        <v>0</v>
      </c>
      <c r="P890" s="7">
        <v>0</v>
      </c>
      <c r="Q890" s="7">
        <v>0</v>
      </c>
    </row>
    <row r="891" spans="1:17">
      <c r="A891" s="2">
        <v>2839</v>
      </c>
      <c r="B891" s="7">
        <v>0</v>
      </c>
      <c r="C891" s="7">
        <v>0</v>
      </c>
      <c r="D891" s="7">
        <v>0</v>
      </c>
      <c r="E891" s="7">
        <v>0</v>
      </c>
      <c r="F891" s="7">
        <v>0</v>
      </c>
      <c r="G891" s="7">
        <v>0</v>
      </c>
      <c r="H891" s="7">
        <v>0</v>
      </c>
      <c r="I891" s="7">
        <v>0</v>
      </c>
      <c r="J891" s="7">
        <v>0</v>
      </c>
      <c r="K891" s="7">
        <v>0</v>
      </c>
      <c r="L891" s="7">
        <v>0</v>
      </c>
      <c r="M891" s="7">
        <v>0</v>
      </c>
      <c r="N891" s="7">
        <v>0</v>
      </c>
      <c r="O891" s="7">
        <v>0</v>
      </c>
      <c r="P891" s="7">
        <v>0</v>
      </c>
      <c r="Q891" s="7">
        <v>0</v>
      </c>
    </row>
    <row r="892" spans="1:17">
      <c r="A892" s="2">
        <v>2840</v>
      </c>
      <c r="B892" s="7">
        <v>0</v>
      </c>
      <c r="C892" s="7">
        <v>0</v>
      </c>
      <c r="D892" s="7">
        <v>0</v>
      </c>
      <c r="E892" s="7">
        <v>0</v>
      </c>
      <c r="F892" s="7">
        <v>0</v>
      </c>
      <c r="G892" s="7">
        <v>0</v>
      </c>
      <c r="H892" s="7">
        <v>0</v>
      </c>
      <c r="I892" s="7">
        <v>0</v>
      </c>
      <c r="J892" s="7">
        <v>0</v>
      </c>
      <c r="K892" s="7">
        <v>0</v>
      </c>
      <c r="L892" s="7">
        <v>0</v>
      </c>
      <c r="M892" s="7">
        <v>0</v>
      </c>
      <c r="N892" s="7">
        <v>0</v>
      </c>
      <c r="O892" s="7">
        <v>0</v>
      </c>
      <c r="P892" s="7">
        <v>0</v>
      </c>
      <c r="Q892" s="7">
        <v>0</v>
      </c>
    </row>
    <row r="893" spans="1:17">
      <c r="A893" s="2">
        <v>2841</v>
      </c>
      <c r="B893" s="7">
        <v>0</v>
      </c>
      <c r="C893" s="7">
        <v>0</v>
      </c>
      <c r="D893" s="7">
        <v>0</v>
      </c>
      <c r="E893" s="7">
        <v>0</v>
      </c>
      <c r="F893" s="7">
        <v>0</v>
      </c>
      <c r="G893" s="7">
        <v>0</v>
      </c>
      <c r="H893" s="7">
        <v>0</v>
      </c>
      <c r="I893" s="7">
        <v>0</v>
      </c>
      <c r="J893" s="7">
        <v>0</v>
      </c>
      <c r="K893" s="7">
        <v>0</v>
      </c>
      <c r="L893" s="7">
        <v>0</v>
      </c>
      <c r="M893" s="7">
        <v>0</v>
      </c>
      <c r="N893" s="7">
        <v>0</v>
      </c>
      <c r="O893" s="7">
        <v>0</v>
      </c>
      <c r="P893" s="7">
        <v>0</v>
      </c>
      <c r="Q893" s="7">
        <v>0</v>
      </c>
    </row>
    <row r="894" spans="1:17">
      <c r="A894" s="2">
        <v>2842</v>
      </c>
      <c r="B894" s="7">
        <v>0</v>
      </c>
      <c r="C894" s="7">
        <v>0</v>
      </c>
      <c r="D894" s="7">
        <v>0</v>
      </c>
      <c r="E894" s="7">
        <v>0</v>
      </c>
      <c r="F894" s="7">
        <v>0</v>
      </c>
      <c r="G894" s="7">
        <v>0</v>
      </c>
      <c r="H894" s="7">
        <v>0</v>
      </c>
      <c r="I894" s="7">
        <v>0</v>
      </c>
      <c r="J894" s="7">
        <v>0</v>
      </c>
      <c r="K894" s="7">
        <v>0</v>
      </c>
      <c r="L894" s="7">
        <v>0</v>
      </c>
      <c r="M894" s="7">
        <v>0</v>
      </c>
      <c r="N894" s="7">
        <v>0</v>
      </c>
      <c r="O894" s="7">
        <v>0</v>
      </c>
      <c r="P894" s="7">
        <v>0</v>
      </c>
      <c r="Q894" s="7">
        <v>0</v>
      </c>
    </row>
    <row r="895" spans="1:17">
      <c r="A895" s="2">
        <v>2843</v>
      </c>
      <c r="B895" s="7">
        <v>0</v>
      </c>
      <c r="C895" s="7">
        <v>0</v>
      </c>
      <c r="D895" s="7">
        <v>0</v>
      </c>
      <c r="E895" s="7">
        <v>0</v>
      </c>
      <c r="F895" s="7">
        <v>0</v>
      </c>
      <c r="G895" s="7">
        <v>0</v>
      </c>
      <c r="H895" s="7">
        <v>0</v>
      </c>
      <c r="I895" s="7">
        <v>0</v>
      </c>
      <c r="J895" s="7">
        <v>0</v>
      </c>
      <c r="K895" s="7">
        <v>0</v>
      </c>
      <c r="L895" s="7">
        <v>0</v>
      </c>
      <c r="M895" s="7">
        <v>0</v>
      </c>
      <c r="N895" s="7">
        <v>0</v>
      </c>
      <c r="O895" s="7">
        <v>0</v>
      </c>
      <c r="P895" s="7">
        <v>0</v>
      </c>
      <c r="Q895" s="7">
        <v>0</v>
      </c>
    </row>
    <row r="896" spans="1:17">
      <c r="A896" s="2">
        <v>2844</v>
      </c>
      <c r="B896" s="7">
        <v>0</v>
      </c>
      <c r="C896" s="7">
        <v>0</v>
      </c>
      <c r="D896" s="7">
        <v>0</v>
      </c>
      <c r="E896" s="7">
        <v>0</v>
      </c>
      <c r="F896" s="7">
        <v>0</v>
      </c>
      <c r="G896" s="7">
        <v>0</v>
      </c>
      <c r="H896" s="7">
        <v>0</v>
      </c>
      <c r="I896" s="7">
        <v>0</v>
      </c>
      <c r="J896" s="7">
        <v>0</v>
      </c>
      <c r="K896" s="7">
        <v>0</v>
      </c>
      <c r="L896" s="7">
        <v>0</v>
      </c>
      <c r="M896" s="7">
        <v>0</v>
      </c>
      <c r="N896" s="7">
        <v>0</v>
      </c>
      <c r="O896" s="7">
        <v>0</v>
      </c>
      <c r="P896" s="7">
        <v>0</v>
      </c>
      <c r="Q896" s="7">
        <v>0</v>
      </c>
    </row>
    <row r="897" spans="1:17">
      <c r="A897" s="2">
        <v>2845</v>
      </c>
      <c r="B897" s="7">
        <v>0</v>
      </c>
      <c r="C897" s="7">
        <v>0</v>
      </c>
      <c r="D897" s="7">
        <v>0</v>
      </c>
      <c r="E897" s="7">
        <v>0</v>
      </c>
      <c r="F897" s="7">
        <v>0</v>
      </c>
      <c r="G897" s="7">
        <v>0</v>
      </c>
      <c r="H897" s="7">
        <v>0</v>
      </c>
      <c r="I897" s="7">
        <v>0</v>
      </c>
      <c r="J897" s="7">
        <v>0</v>
      </c>
      <c r="K897" s="7">
        <v>0</v>
      </c>
      <c r="L897" s="7">
        <v>0</v>
      </c>
      <c r="M897" s="7">
        <v>0</v>
      </c>
      <c r="N897" s="7">
        <v>0</v>
      </c>
      <c r="O897" s="7">
        <v>0</v>
      </c>
      <c r="P897" s="7">
        <v>0</v>
      </c>
      <c r="Q897" s="7">
        <v>0</v>
      </c>
    </row>
    <row r="898" spans="1:17">
      <c r="A898" s="2">
        <v>2846</v>
      </c>
      <c r="B898" s="7">
        <v>0</v>
      </c>
      <c r="C898" s="7">
        <v>0</v>
      </c>
      <c r="D898" s="7">
        <v>0</v>
      </c>
      <c r="E898" s="7">
        <v>0</v>
      </c>
      <c r="F898" s="7">
        <v>0</v>
      </c>
      <c r="G898" s="7">
        <v>0</v>
      </c>
      <c r="H898" s="7">
        <v>0</v>
      </c>
      <c r="I898" s="7">
        <v>0</v>
      </c>
      <c r="J898" s="7">
        <v>0</v>
      </c>
      <c r="K898" s="7">
        <v>0</v>
      </c>
      <c r="L898" s="7">
        <v>0</v>
      </c>
      <c r="M898" s="7">
        <v>0</v>
      </c>
      <c r="N898" s="7">
        <v>0</v>
      </c>
      <c r="O898" s="7">
        <v>0</v>
      </c>
      <c r="P898" s="7">
        <v>0</v>
      </c>
      <c r="Q898" s="7">
        <v>0</v>
      </c>
    </row>
    <row r="899" spans="1:17">
      <c r="A899" s="2">
        <v>2847</v>
      </c>
      <c r="B899" s="7">
        <v>0</v>
      </c>
      <c r="C899" s="7">
        <v>0</v>
      </c>
      <c r="D899" s="7">
        <v>0</v>
      </c>
      <c r="E899" s="7">
        <v>0</v>
      </c>
      <c r="F899" s="7">
        <v>0</v>
      </c>
      <c r="G899" s="7">
        <v>0</v>
      </c>
      <c r="H899" s="7">
        <v>0</v>
      </c>
      <c r="I899" s="7">
        <v>0</v>
      </c>
      <c r="J899" s="7">
        <v>0</v>
      </c>
      <c r="K899" s="7">
        <v>0</v>
      </c>
      <c r="L899" s="7">
        <v>0</v>
      </c>
      <c r="M899" s="7">
        <v>0</v>
      </c>
      <c r="N899" s="7">
        <v>0</v>
      </c>
      <c r="O899" s="7">
        <v>0</v>
      </c>
      <c r="P899" s="7">
        <v>0</v>
      </c>
      <c r="Q899" s="7">
        <v>0</v>
      </c>
    </row>
    <row r="900" spans="1:17">
      <c r="A900" s="2">
        <v>2848</v>
      </c>
      <c r="B900" s="7">
        <v>0</v>
      </c>
      <c r="C900" s="7">
        <v>0</v>
      </c>
      <c r="D900" s="7">
        <v>0</v>
      </c>
      <c r="E900" s="7">
        <v>0</v>
      </c>
      <c r="F900" s="7">
        <v>0</v>
      </c>
      <c r="G900" s="7">
        <v>0</v>
      </c>
      <c r="H900" s="7">
        <v>0</v>
      </c>
      <c r="I900" s="7">
        <v>0</v>
      </c>
      <c r="J900" s="7">
        <v>0</v>
      </c>
      <c r="K900" s="7">
        <v>0</v>
      </c>
      <c r="L900" s="7">
        <v>0</v>
      </c>
      <c r="M900" s="7">
        <v>0</v>
      </c>
      <c r="N900" s="7">
        <v>0</v>
      </c>
      <c r="O900" s="7">
        <v>0</v>
      </c>
      <c r="P900" s="7">
        <v>0</v>
      </c>
      <c r="Q900" s="7">
        <v>0</v>
      </c>
    </row>
    <row r="901" spans="1:17">
      <c r="A901" s="2">
        <v>2849</v>
      </c>
      <c r="B901" s="7">
        <v>0</v>
      </c>
      <c r="C901" s="7">
        <v>0</v>
      </c>
      <c r="D901" s="7">
        <v>0</v>
      </c>
      <c r="E901" s="7">
        <v>0</v>
      </c>
      <c r="F901" s="7">
        <v>0</v>
      </c>
      <c r="G901" s="7">
        <v>0</v>
      </c>
      <c r="H901" s="7">
        <v>0</v>
      </c>
      <c r="I901" s="7">
        <v>0</v>
      </c>
      <c r="J901" s="7">
        <v>0</v>
      </c>
      <c r="K901" s="7">
        <v>0</v>
      </c>
      <c r="L901" s="7">
        <v>0</v>
      </c>
      <c r="M901" s="7">
        <v>0</v>
      </c>
      <c r="N901" s="7">
        <v>0</v>
      </c>
      <c r="O901" s="7">
        <v>0</v>
      </c>
      <c r="P901" s="7">
        <v>0</v>
      </c>
      <c r="Q901" s="7">
        <v>0</v>
      </c>
    </row>
    <row r="902" spans="1:17">
      <c r="A902" s="2">
        <v>2850</v>
      </c>
      <c r="B902" s="7">
        <v>0</v>
      </c>
      <c r="C902" s="7">
        <v>0</v>
      </c>
      <c r="D902" s="7">
        <v>0</v>
      </c>
      <c r="E902" s="7">
        <v>0</v>
      </c>
      <c r="F902" s="7">
        <v>0</v>
      </c>
      <c r="G902" s="7">
        <v>0</v>
      </c>
      <c r="H902" s="7">
        <v>0</v>
      </c>
      <c r="I902" s="7">
        <v>0</v>
      </c>
      <c r="J902" s="7">
        <v>0</v>
      </c>
      <c r="K902" s="7">
        <v>0</v>
      </c>
      <c r="L902" s="7">
        <v>0</v>
      </c>
      <c r="M902" s="7">
        <v>0</v>
      </c>
      <c r="N902" s="7">
        <v>0</v>
      </c>
      <c r="O902" s="7">
        <v>0</v>
      </c>
      <c r="P902" s="7">
        <v>0</v>
      </c>
      <c r="Q902" s="7">
        <v>0</v>
      </c>
    </row>
    <row r="903" spans="1:17">
      <c r="A903" s="2">
        <v>2851</v>
      </c>
      <c r="B903" s="7">
        <v>0</v>
      </c>
      <c r="C903" s="7">
        <v>0</v>
      </c>
      <c r="D903" s="7">
        <v>0</v>
      </c>
      <c r="E903" s="7">
        <v>0</v>
      </c>
      <c r="F903" s="7">
        <v>0</v>
      </c>
      <c r="G903" s="7">
        <v>0</v>
      </c>
      <c r="H903" s="7">
        <v>0</v>
      </c>
      <c r="I903" s="7">
        <v>0</v>
      </c>
      <c r="J903" s="7">
        <v>0</v>
      </c>
      <c r="K903" s="7">
        <v>0</v>
      </c>
      <c r="L903" s="7">
        <v>0</v>
      </c>
      <c r="M903" s="7">
        <v>0</v>
      </c>
      <c r="N903" s="7">
        <v>0</v>
      </c>
      <c r="O903" s="7">
        <v>0</v>
      </c>
      <c r="P903" s="7">
        <v>0</v>
      </c>
      <c r="Q903" s="7">
        <v>0</v>
      </c>
    </row>
    <row r="904" spans="1:17">
      <c r="A904" s="2">
        <v>2852</v>
      </c>
      <c r="B904" s="7">
        <v>0</v>
      </c>
      <c r="C904" s="7">
        <v>0</v>
      </c>
      <c r="D904" s="7">
        <v>0</v>
      </c>
      <c r="E904" s="7">
        <v>0</v>
      </c>
      <c r="F904" s="7">
        <v>0</v>
      </c>
      <c r="G904" s="7">
        <v>0</v>
      </c>
      <c r="H904" s="7">
        <v>0</v>
      </c>
      <c r="I904" s="7">
        <v>0</v>
      </c>
      <c r="J904" s="7">
        <v>0</v>
      </c>
      <c r="K904" s="7">
        <v>0</v>
      </c>
      <c r="L904" s="7">
        <v>0</v>
      </c>
      <c r="M904" s="7">
        <v>0</v>
      </c>
      <c r="N904" s="7">
        <v>0</v>
      </c>
      <c r="O904" s="7">
        <v>0</v>
      </c>
      <c r="P904" s="7">
        <v>0</v>
      </c>
      <c r="Q904" s="7">
        <v>0</v>
      </c>
    </row>
    <row r="905" spans="1:17">
      <c r="A905" s="2">
        <v>2853</v>
      </c>
      <c r="B905" s="7">
        <v>0</v>
      </c>
      <c r="C905" s="7">
        <v>0</v>
      </c>
      <c r="D905" s="7">
        <v>0</v>
      </c>
      <c r="E905" s="7">
        <v>0</v>
      </c>
      <c r="F905" s="7">
        <v>0</v>
      </c>
      <c r="G905" s="7">
        <v>0</v>
      </c>
      <c r="H905" s="7">
        <v>0</v>
      </c>
      <c r="I905" s="7">
        <v>0</v>
      </c>
      <c r="J905" s="7">
        <v>0</v>
      </c>
      <c r="K905" s="7">
        <v>0</v>
      </c>
      <c r="L905" s="7">
        <v>0</v>
      </c>
      <c r="M905" s="7">
        <v>0</v>
      </c>
      <c r="N905" s="7">
        <v>0</v>
      </c>
      <c r="O905" s="7">
        <v>0</v>
      </c>
      <c r="P905" s="7">
        <v>0</v>
      </c>
      <c r="Q905" s="7">
        <v>0</v>
      </c>
    </row>
    <row r="906" spans="1:17">
      <c r="A906" s="2">
        <v>2854</v>
      </c>
      <c r="B906" s="7">
        <v>0</v>
      </c>
      <c r="C906" s="7">
        <v>0</v>
      </c>
      <c r="D906" s="7">
        <v>0</v>
      </c>
      <c r="E906" s="7">
        <v>0</v>
      </c>
      <c r="F906" s="7">
        <v>0</v>
      </c>
      <c r="G906" s="7">
        <v>0</v>
      </c>
      <c r="H906" s="7">
        <v>0</v>
      </c>
      <c r="I906" s="7">
        <v>0</v>
      </c>
      <c r="J906" s="7">
        <v>0</v>
      </c>
      <c r="K906" s="7">
        <v>0</v>
      </c>
      <c r="L906" s="7">
        <v>0</v>
      </c>
      <c r="M906" s="7">
        <v>0</v>
      </c>
      <c r="N906" s="7">
        <v>0</v>
      </c>
      <c r="O906" s="7">
        <v>0</v>
      </c>
      <c r="P906" s="7">
        <v>0</v>
      </c>
      <c r="Q906" s="7">
        <v>0</v>
      </c>
    </row>
    <row r="907" spans="1:17">
      <c r="A907" s="2">
        <v>2855</v>
      </c>
      <c r="B907" s="7">
        <v>0</v>
      </c>
      <c r="C907" s="7">
        <v>0</v>
      </c>
      <c r="D907" s="7">
        <v>0</v>
      </c>
      <c r="E907" s="7">
        <v>0</v>
      </c>
      <c r="F907" s="7">
        <v>0</v>
      </c>
      <c r="G907" s="7">
        <v>0</v>
      </c>
      <c r="H907" s="7">
        <v>0</v>
      </c>
      <c r="I907" s="7">
        <v>0</v>
      </c>
      <c r="J907" s="7">
        <v>0</v>
      </c>
      <c r="K907" s="7">
        <v>0</v>
      </c>
      <c r="L907" s="7">
        <v>0</v>
      </c>
      <c r="M907" s="7">
        <v>0</v>
      </c>
      <c r="N907" s="7">
        <v>0</v>
      </c>
      <c r="O907" s="7">
        <v>0</v>
      </c>
      <c r="P907" s="7">
        <v>0</v>
      </c>
      <c r="Q907" s="7">
        <v>0</v>
      </c>
    </row>
    <row r="908" spans="1:17">
      <c r="A908" s="2">
        <v>2856</v>
      </c>
      <c r="B908" s="7">
        <v>0</v>
      </c>
      <c r="C908" s="7">
        <v>0</v>
      </c>
      <c r="D908" s="7">
        <v>0</v>
      </c>
      <c r="E908" s="7">
        <v>0</v>
      </c>
      <c r="F908" s="7">
        <v>0</v>
      </c>
      <c r="G908" s="7">
        <v>0</v>
      </c>
      <c r="H908" s="7">
        <v>0</v>
      </c>
      <c r="I908" s="7">
        <v>0</v>
      </c>
      <c r="J908" s="7">
        <v>0</v>
      </c>
      <c r="K908" s="7">
        <v>0</v>
      </c>
      <c r="L908" s="7">
        <v>0</v>
      </c>
      <c r="M908" s="7">
        <v>0</v>
      </c>
      <c r="N908" s="7">
        <v>0</v>
      </c>
      <c r="O908" s="7">
        <v>0</v>
      </c>
      <c r="P908" s="7">
        <v>0</v>
      </c>
      <c r="Q908" s="7">
        <v>0</v>
      </c>
    </row>
    <row r="909" spans="1:17">
      <c r="A909" s="2">
        <v>2857</v>
      </c>
      <c r="B909" s="7">
        <v>0</v>
      </c>
      <c r="C909" s="7">
        <v>0</v>
      </c>
      <c r="D909" s="7">
        <v>0</v>
      </c>
      <c r="E909" s="7">
        <v>0</v>
      </c>
      <c r="F909" s="7">
        <v>0</v>
      </c>
      <c r="G909" s="7">
        <v>0</v>
      </c>
      <c r="H909" s="7">
        <v>0</v>
      </c>
      <c r="I909" s="7">
        <v>0</v>
      </c>
      <c r="J909" s="7">
        <v>0</v>
      </c>
      <c r="K909" s="7">
        <v>0</v>
      </c>
      <c r="L909" s="7">
        <v>0</v>
      </c>
      <c r="M909" s="7">
        <v>0</v>
      </c>
      <c r="N909" s="7">
        <v>0</v>
      </c>
      <c r="O909" s="7">
        <v>0</v>
      </c>
      <c r="P909" s="7">
        <v>0</v>
      </c>
      <c r="Q909" s="7">
        <v>0</v>
      </c>
    </row>
    <row r="910" spans="1:17">
      <c r="A910" s="2">
        <v>2858</v>
      </c>
      <c r="B910" s="7">
        <v>0</v>
      </c>
      <c r="C910" s="7">
        <v>0</v>
      </c>
      <c r="D910" s="7">
        <v>0</v>
      </c>
      <c r="E910" s="7">
        <v>0</v>
      </c>
      <c r="F910" s="7">
        <v>0</v>
      </c>
      <c r="G910" s="7">
        <v>0</v>
      </c>
      <c r="H910" s="7">
        <v>0</v>
      </c>
      <c r="I910" s="7">
        <v>0</v>
      </c>
      <c r="J910" s="7">
        <v>0</v>
      </c>
      <c r="K910" s="7">
        <v>0</v>
      </c>
      <c r="L910" s="7">
        <v>0</v>
      </c>
      <c r="M910" s="7">
        <v>0</v>
      </c>
      <c r="N910" s="7">
        <v>0</v>
      </c>
      <c r="O910" s="7">
        <v>0</v>
      </c>
      <c r="P910" s="7">
        <v>0</v>
      </c>
      <c r="Q910" s="7">
        <v>0</v>
      </c>
    </row>
    <row r="911" spans="1:17">
      <c r="A911" s="2">
        <v>2859</v>
      </c>
      <c r="B911" s="7">
        <v>0</v>
      </c>
      <c r="C911" s="7">
        <v>0</v>
      </c>
      <c r="D911" s="7">
        <v>0</v>
      </c>
      <c r="E911" s="7">
        <v>0</v>
      </c>
      <c r="F911" s="7">
        <v>0</v>
      </c>
      <c r="G911" s="7">
        <v>0</v>
      </c>
      <c r="H911" s="7">
        <v>0</v>
      </c>
      <c r="I911" s="7">
        <v>0</v>
      </c>
      <c r="J911" s="7">
        <v>0</v>
      </c>
      <c r="K911" s="7">
        <v>0</v>
      </c>
      <c r="L911" s="7">
        <v>0</v>
      </c>
      <c r="M911" s="7">
        <v>0</v>
      </c>
      <c r="N911" s="7">
        <v>0</v>
      </c>
      <c r="O911" s="7">
        <v>0</v>
      </c>
      <c r="P911" s="7">
        <v>0</v>
      </c>
      <c r="Q911" s="7">
        <v>0</v>
      </c>
    </row>
    <row r="912" spans="1:17">
      <c r="A912" s="2">
        <v>2860</v>
      </c>
      <c r="B912" s="7">
        <v>0</v>
      </c>
      <c r="C912" s="7">
        <v>0</v>
      </c>
      <c r="D912" s="7">
        <v>0</v>
      </c>
      <c r="E912" s="7">
        <v>0</v>
      </c>
      <c r="F912" s="7">
        <v>0</v>
      </c>
      <c r="G912" s="7">
        <v>0</v>
      </c>
      <c r="H912" s="7">
        <v>0</v>
      </c>
      <c r="I912" s="7">
        <v>0</v>
      </c>
      <c r="J912" s="7">
        <v>0</v>
      </c>
      <c r="K912" s="7">
        <v>0</v>
      </c>
      <c r="L912" s="7">
        <v>0</v>
      </c>
      <c r="M912" s="7">
        <v>0</v>
      </c>
      <c r="N912" s="7">
        <v>0</v>
      </c>
      <c r="O912" s="7">
        <v>0</v>
      </c>
      <c r="P912" s="7">
        <v>0</v>
      </c>
      <c r="Q912" s="7">
        <v>0</v>
      </c>
    </row>
    <row r="913" spans="1:17">
      <c r="A913" s="2">
        <v>2861</v>
      </c>
      <c r="B913" s="7">
        <v>0</v>
      </c>
      <c r="C913" s="7">
        <v>0</v>
      </c>
      <c r="D913" s="7">
        <v>0</v>
      </c>
      <c r="E913" s="7">
        <v>0</v>
      </c>
      <c r="F913" s="7">
        <v>0</v>
      </c>
      <c r="G913" s="7">
        <v>0</v>
      </c>
      <c r="H913" s="7">
        <v>0</v>
      </c>
      <c r="I913" s="7">
        <v>0</v>
      </c>
      <c r="J913" s="7">
        <v>0</v>
      </c>
      <c r="K913" s="7">
        <v>0</v>
      </c>
      <c r="L913" s="7">
        <v>0</v>
      </c>
      <c r="M913" s="7">
        <v>0</v>
      </c>
      <c r="N913" s="7">
        <v>0</v>
      </c>
      <c r="O913" s="7">
        <v>0</v>
      </c>
      <c r="P913" s="7">
        <v>0</v>
      </c>
      <c r="Q913" s="7">
        <v>0</v>
      </c>
    </row>
    <row r="914" spans="1:17">
      <c r="A914" s="2">
        <v>2862</v>
      </c>
      <c r="B914" s="7">
        <v>0</v>
      </c>
      <c r="C914" s="7">
        <v>0</v>
      </c>
      <c r="D914" s="7">
        <v>0</v>
      </c>
      <c r="E914" s="7">
        <v>0</v>
      </c>
      <c r="F914" s="7">
        <v>0</v>
      </c>
      <c r="G914" s="7">
        <v>0</v>
      </c>
      <c r="H914" s="7">
        <v>0</v>
      </c>
      <c r="I914" s="7">
        <v>0</v>
      </c>
      <c r="J914" s="7">
        <v>0</v>
      </c>
      <c r="K914" s="7">
        <v>0</v>
      </c>
      <c r="L914" s="7">
        <v>0</v>
      </c>
      <c r="M914" s="7">
        <v>0</v>
      </c>
      <c r="N914" s="7">
        <v>0</v>
      </c>
      <c r="O914" s="7">
        <v>0</v>
      </c>
      <c r="P914" s="7">
        <v>0</v>
      </c>
      <c r="Q914" s="7">
        <v>0</v>
      </c>
    </row>
    <row r="915" spans="1:17">
      <c r="A915" s="2">
        <v>2863</v>
      </c>
      <c r="B915" s="7">
        <v>0</v>
      </c>
      <c r="C915" s="7">
        <v>0</v>
      </c>
      <c r="D915" s="7">
        <v>0</v>
      </c>
      <c r="E915" s="7">
        <v>0</v>
      </c>
      <c r="F915" s="7">
        <v>0</v>
      </c>
      <c r="G915" s="7">
        <v>0</v>
      </c>
      <c r="H915" s="7">
        <v>0</v>
      </c>
      <c r="I915" s="7">
        <v>0</v>
      </c>
      <c r="J915" s="7">
        <v>0</v>
      </c>
      <c r="K915" s="7">
        <v>0</v>
      </c>
      <c r="L915" s="7">
        <v>0</v>
      </c>
      <c r="M915" s="7">
        <v>0</v>
      </c>
      <c r="N915" s="7">
        <v>0</v>
      </c>
      <c r="O915" s="7">
        <v>0</v>
      </c>
      <c r="P915" s="7">
        <v>0</v>
      </c>
      <c r="Q915" s="7">
        <v>0</v>
      </c>
    </row>
    <row r="916" spans="1:17">
      <c r="A916" s="2">
        <v>2864</v>
      </c>
      <c r="B916" s="7">
        <v>0</v>
      </c>
      <c r="C916" s="7">
        <v>0</v>
      </c>
      <c r="D916" s="7">
        <v>0</v>
      </c>
      <c r="E916" s="7">
        <v>0</v>
      </c>
      <c r="F916" s="7">
        <v>0</v>
      </c>
      <c r="G916" s="7">
        <v>0</v>
      </c>
      <c r="H916" s="7">
        <v>0</v>
      </c>
      <c r="I916" s="7">
        <v>0</v>
      </c>
      <c r="J916" s="7">
        <v>0</v>
      </c>
      <c r="K916" s="7">
        <v>0</v>
      </c>
      <c r="L916" s="7">
        <v>0</v>
      </c>
      <c r="M916" s="7">
        <v>0</v>
      </c>
      <c r="N916" s="7">
        <v>0</v>
      </c>
      <c r="O916" s="7">
        <v>0</v>
      </c>
      <c r="P916" s="7">
        <v>0</v>
      </c>
      <c r="Q916" s="7">
        <v>0</v>
      </c>
    </row>
    <row r="917" spans="1:17">
      <c r="A917" s="2">
        <v>2865</v>
      </c>
      <c r="B917" s="7">
        <v>0</v>
      </c>
      <c r="C917" s="7">
        <v>0</v>
      </c>
      <c r="D917" s="7">
        <v>0</v>
      </c>
      <c r="E917" s="7">
        <v>0</v>
      </c>
      <c r="F917" s="7">
        <v>0</v>
      </c>
      <c r="G917" s="7">
        <v>0</v>
      </c>
      <c r="H917" s="7">
        <v>0</v>
      </c>
      <c r="I917" s="7">
        <v>0</v>
      </c>
      <c r="J917" s="7">
        <v>0</v>
      </c>
      <c r="K917" s="7">
        <v>0</v>
      </c>
      <c r="L917" s="7">
        <v>0</v>
      </c>
      <c r="M917" s="7">
        <v>0</v>
      </c>
      <c r="N917" s="7">
        <v>0</v>
      </c>
      <c r="O917" s="7">
        <v>0</v>
      </c>
      <c r="P917" s="7">
        <v>0</v>
      </c>
      <c r="Q917" s="7">
        <v>0</v>
      </c>
    </row>
    <row r="918" spans="1:17">
      <c r="A918" s="2">
        <v>2866</v>
      </c>
      <c r="B918" s="7">
        <v>0</v>
      </c>
      <c r="C918" s="7">
        <v>0</v>
      </c>
      <c r="D918" s="7">
        <v>0</v>
      </c>
      <c r="E918" s="7">
        <v>0</v>
      </c>
      <c r="F918" s="7">
        <v>0</v>
      </c>
      <c r="G918" s="7">
        <v>0</v>
      </c>
      <c r="H918" s="7">
        <v>0</v>
      </c>
      <c r="I918" s="7">
        <v>0</v>
      </c>
      <c r="J918" s="7">
        <v>0</v>
      </c>
      <c r="K918" s="7">
        <v>0</v>
      </c>
      <c r="L918" s="7">
        <v>0</v>
      </c>
      <c r="M918" s="7">
        <v>0</v>
      </c>
      <c r="N918" s="7">
        <v>0</v>
      </c>
      <c r="O918" s="7">
        <v>0</v>
      </c>
      <c r="P918" s="7">
        <v>0</v>
      </c>
      <c r="Q918" s="7">
        <v>0</v>
      </c>
    </row>
    <row r="919" spans="1:17">
      <c r="A919" s="2">
        <v>2867</v>
      </c>
      <c r="B919" s="7">
        <v>0</v>
      </c>
      <c r="C919" s="7">
        <v>0</v>
      </c>
      <c r="D919" s="7">
        <v>0</v>
      </c>
      <c r="E919" s="7">
        <v>0</v>
      </c>
      <c r="F919" s="7">
        <v>0</v>
      </c>
      <c r="G919" s="7">
        <v>0</v>
      </c>
      <c r="H919" s="7">
        <v>0</v>
      </c>
      <c r="I919" s="7">
        <v>0</v>
      </c>
      <c r="J919" s="7">
        <v>0</v>
      </c>
      <c r="K919" s="7">
        <v>0</v>
      </c>
      <c r="L919" s="7">
        <v>0</v>
      </c>
      <c r="M919" s="7">
        <v>0</v>
      </c>
      <c r="N919" s="7">
        <v>0</v>
      </c>
      <c r="O919" s="7">
        <v>0</v>
      </c>
      <c r="P919" s="7">
        <v>0</v>
      </c>
      <c r="Q919" s="7">
        <v>0</v>
      </c>
    </row>
    <row r="920" spans="1:17">
      <c r="A920" s="2">
        <v>2868</v>
      </c>
      <c r="B920" s="7">
        <v>0</v>
      </c>
      <c r="C920" s="7">
        <v>0</v>
      </c>
      <c r="D920" s="7">
        <v>0</v>
      </c>
      <c r="E920" s="7">
        <v>0</v>
      </c>
      <c r="F920" s="7">
        <v>0</v>
      </c>
      <c r="G920" s="7">
        <v>0</v>
      </c>
      <c r="H920" s="7">
        <v>0</v>
      </c>
      <c r="I920" s="7">
        <v>0</v>
      </c>
      <c r="J920" s="7">
        <v>0</v>
      </c>
      <c r="K920" s="7">
        <v>0</v>
      </c>
      <c r="L920" s="7">
        <v>0</v>
      </c>
      <c r="M920" s="7">
        <v>0</v>
      </c>
      <c r="N920" s="7">
        <v>0</v>
      </c>
      <c r="O920" s="7">
        <v>0</v>
      </c>
      <c r="P920" s="7">
        <v>0</v>
      </c>
      <c r="Q920" s="7">
        <v>0</v>
      </c>
    </row>
    <row r="921" spans="1:17">
      <c r="A921" s="2">
        <v>2869</v>
      </c>
      <c r="B921" s="7">
        <v>0</v>
      </c>
      <c r="C921" s="7">
        <v>0</v>
      </c>
      <c r="D921" s="7">
        <v>0</v>
      </c>
      <c r="E921" s="7">
        <v>0</v>
      </c>
      <c r="F921" s="7">
        <v>0</v>
      </c>
      <c r="G921" s="7">
        <v>0</v>
      </c>
      <c r="H921" s="7">
        <v>0</v>
      </c>
      <c r="I921" s="7">
        <v>0</v>
      </c>
      <c r="J921" s="7">
        <v>0</v>
      </c>
      <c r="K921" s="7">
        <v>0</v>
      </c>
      <c r="L921" s="7">
        <v>0</v>
      </c>
      <c r="M921" s="7">
        <v>0</v>
      </c>
      <c r="N921" s="7">
        <v>0</v>
      </c>
      <c r="O921" s="7">
        <v>0</v>
      </c>
      <c r="P921" s="7">
        <v>0</v>
      </c>
      <c r="Q921" s="7">
        <v>0</v>
      </c>
    </row>
    <row r="922" spans="1:17">
      <c r="A922" s="2">
        <v>2870</v>
      </c>
      <c r="B922" s="7">
        <v>0</v>
      </c>
      <c r="C922" s="7">
        <v>0</v>
      </c>
      <c r="D922" s="7">
        <v>0</v>
      </c>
      <c r="E922" s="7">
        <v>0</v>
      </c>
      <c r="F922" s="7">
        <v>0</v>
      </c>
      <c r="G922" s="7">
        <v>0</v>
      </c>
      <c r="H922" s="7">
        <v>0</v>
      </c>
      <c r="I922" s="7">
        <v>0</v>
      </c>
      <c r="J922" s="7">
        <v>0</v>
      </c>
      <c r="K922" s="7">
        <v>0</v>
      </c>
      <c r="L922" s="7">
        <v>0</v>
      </c>
      <c r="M922" s="7">
        <v>0</v>
      </c>
      <c r="N922" s="7">
        <v>0</v>
      </c>
      <c r="O922" s="7">
        <v>0</v>
      </c>
      <c r="P922" s="7">
        <v>0</v>
      </c>
      <c r="Q922" s="7">
        <v>0</v>
      </c>
    </row>
    <row r="923" spans="1:17">
      <c r="A923" s="2">
        <v>2871</v>
      </c>
      <c r="B923" s="7">
        <v>0</v>
      </c>
      <c r="C923" s="7">
        <v>0</v>
      </c>
      <c r="D923" s="7">
        <v>0</v>
      </c>
      <c r="E923" s="7">
        <v>0</v>
      </c>
      <c r="F923" s="7">
        <v>0</v>
      </c>
      <c r="G923" s="7">
        <v>0</v>
      </c>
      <c r="H923" s="7">
        <v>0</v>
      </c>
      <c r="I923" s="7">
        <v>0</v>
      </c>
      <c r="J923" s="7">
        <v>0</v>
      </c>
      <c r="K923" s="7">
        <v>0</v>
      </c>
      <c r="L923" s="7">
        <v>0</v>
      </c>
      <c r="M923" s="7">
        <v>0</v>
      </c>
      <c r="N923" s="7">
        <v>0</v>
      </c>
      <c r="O923" s="7">
        <v>0</v>
      </c>
      <c r="P923" s="7">
        <v>0</v>
      </c>
      <c r="Q923" s="7">
        <v>0</v>
      </c>
    </row>
    <row r="924" spans="1:17">
      <c r="A924" s="2">
        <v>2872</v>
      </c>
      <c r="B924" s="7">
        <v>0</v>
      </c>
      <c r="C924" s="7">
        <v>0</v>
      </c>
      <c r="D924" s="7">
        <v>0</v>
      </c>
      <c r="E924" s="7">
        <v>0</v>
      </c>
      <c r="F924" s="7">
        <v>0</v>
      </c>
      <c r="G924" s="7">
        <v>0</v>
      </c>
      <c r="H924" s="7">
        <v>0</v>
      </c>
      <c r="I924" s="7">
        <v>0</v>
      </c>
      <c r="J924" s="7">
        <v>0</v>
      </c>
      <c r="K924" s="7">
        <v>0</v>
      </c>
      <c r="L924" s="7">
        <v>0</v>
      </c>
      <c r="M924" s="7">
        <v>0</v>
      </c>
      <c r="N924" s="7">
        <v>0</v>
      </c>
      <c r="O924" s="7">
        <v>0</v>
      </c>
      <c r="P924" s="7">
        <v>0</v>
      </c>
      <c r="Q924" s="7">
        <v>0</v>
      </c>
    </row>
    <row r="925" spans="1:17">
      <c r="A925" s="2">
        <v>2873</v>
      </c>
      <c r="B925" s="7">
        <v>0</v>
      </c>
      <c r="C925" s="7">
        <v>0</v>
      </c>
      <c r="D925" s="7">
        <v>0</v>
      </c>
      <c r="E925" s="7">
        <v>0</v>
      </c>
      <c r="F925" s="7">
        <v>0</v>
      </c>
      <c r="G925" s="7">
        <v>0</v>
      </c>
      <c r="H925" s="7">
        <v>0</v>
      </c>
      <c r="I925" s="7">
        <v>0</v>
      </c>
      <c r="J925" s="7">
        <v>0</v>
      </c>
      <c r="K925" s="7">
        <v>0</v>
      </c>
      <c r="L925" s="7">
        <v>0</v>
      </c>
      <c r="M925" s="7">
        <v>0</v>
      </c>
      <c r="N925" s="7">
        <v>0</v>
      </c>
      <c r="O925" s="7">
        <v>0</v>
      </c>
      <c r="P925" s="7">
        <v>0</v>
      </c>
      <c r="Q925" s="7">
        <v>0</v>
      </c>
    </row>
    <row r="926" spans="1:17">
      <c r="A926" s="2">
        <v>2874</v>
      </c>
      <c r="B926" s="7">
        <v>0</v>
      </c>
      <c r="C926" s="7">
        <v>0</v>
      </c>
      <c r="D926" s="7">
        <v>0</v>
      </c>
      <c r="E926" s="7">
        <v>0</v>
      </c>
      <c r="F926" s="7">
        <v>0</v>
      </c>
      <c r="G926" s="7">
        <v>0</v>
      </c>
      <c r="H926" s="7">
        <v>0</v>
      </c>
      <c r="I926" s="7">
        <v>0</v>
      </c>
      <c r="J926" s="7">
        <v>0</v>
      </c>
      <c r="K926" s="7">
        <v>0</v>
      </c>
      <c r="L926" s="7">
        <v>0</v>
      </c>
      <c r="M926" s="7">
        <v>0</v>
      </c>
      <c r="N926" s="7">
        <v>0</v>
      </c>
      <c r="O926" s="7">
        <v>0</v>
      </c>
      <c r="P926" s="7">
        <v>0</v>
      </c>
      <c r="Q926" s="7">
        <v>0</v>
      </c>
    </row>
    <row r="927" spans="1:17">
      <c r="A927" s="2">
        <v>2875</v>
      </c>
      <c r="B927" s="7">
        <v>0</v>
      </c>
      <c r="C927" s="7">
        <v>0</v>
      </c>
      <c r="D927" s="7">
        <v>0</v>
      </c>
      <c r="E927" s="7">
        <v>0</v>
      </c>
      <c r="F927" s="7">
        <v>0</v>
      </c>
      <c r="G927" s="7">
        <v>0</v>
      </c>
      <c r="H927" s="7">
        <v>0</v>
      </c>
      <c r="I927" s="7">
        <v>0</v>
      </c>
      <c r="J927" s="7">
        <v>0</v>
      </c>
      <c r="K927" s="7">
        <v>0</v>
      </c>
      <c r="L927" s="7">
        <v>0</v>
      </c>
      <c r="M927" s="7">
        <v>0</v>
      </c>
      <c r="N927" s="7">
        <v>0</v>
      </c>
      <c r="O927" s="7">
        <v>0</v>
      </c>
      <c r="P927" s="7">
        <v>0</v>
      </c>
      <c r="Q927" s="7">
        <v>0</v>
      </c>
    </row>
    <row r="928" spans="1:17">
      <c r="A928" s="2">
        <v>2876</v>
      </c>
      <c r="B928" s="7">
        <v>0</v>
      </c>
      <c r="C928" s="7">
        <v>0</v>
      </c>
      <c r="D928" s="7">
        <v>0</v>
      </c>
      <c r="E928" s="7">
        <v>0</v>
      </c>
      <c r="F928" s="7">
        <v>0</v>
      </c>
      <c r="G928" s="7">
        <v>0</v>
      </c>
      <c r="H928" s="7">
        <v>0</v>
      </c>
      <c r="I928" s="7">
        <v>0</v>
      </c>
      <c r="J928" s="7">
        <v>0</v>
      </c>
      <c r="K928" s="7">
        <v>0</v>
      </c>
      <c r="L928" s="7">
        <v>0</v>
      </c>
      <c r="M928" s="7">
        <v>0</v>
      </c>
      <c r="N928" s="7">
        <v>0</v>
      </c>
      <c r="O928" s="7">
        <v>0</v>
      </c>
      <c r="P928" s="7">
        <v>0</v>
      </c>
      <c r="Q928" s="7">
        <v>0</v>
      </c>
    </row>
    <row r="929" spans="1:17">
      <c r="A929" s="2">
        <v>2877</v>
      </c>
      <c r="B929" s="7">
        <v>0</v>
      </c>
      <c r="C929" s="7">
        <v>0</v>
      </c>
      <c r="D929" s="7">
        <v>0</v>
      </c>
      <c r="E929" s="7">
        <v>0</v>
      </c>
      <c r="F929" s="7">
        <v>0</v>
      </c>
      <c r="G929" s="7">
        <v>0</v>
      </c>
      <c r="H929" s="7">
        <v>0</v>
      </c>
      <c r="I929" s="7">
        <v>0</v>
      </c>
      <c r="J929" s="7">
        <v>0</v>
      </c>
      <c r="K929" s="7">
        <v>0</v>
      </c>
      <c r="L929" s="7">
        <v>0</v>
      </c>
      <c r="M929" s="7">
        <v>0</v>
      </c>
      <c r="N929" s="7">
        <v>0</v>
      </c>
      <c r="O929" s="7">
        <v>0</v>
      </c>
      <c r="P929" s="7">
        <v>0</v>
      </c>
      <c r="Q929" s="7">
        <v>0</v>
      </c>
    </row>
    <row r="930" spans="1:17">
      <c r="A930" s="2">
        <v>2878</v>
      </c>
      <c r="B930" s="7">
        <v>0</v>
      </c>
      <c r="C930" s="7">
        <v>0</v>
      </c>
      <c r="D930" s="7">
        <v>0</v>
      </c>
      <c r="E930" s="7">
        <v>0</v>
      </c>
      <c r="F930" s="7">
        <v>0</v>
      </c>
      <c r="G930" s="7">
        <v>0</v>
      </c>
      <c r="H930" s="7">
        <v>0</v>
      </c>
      <c r="I930" s="7">
        <v>0</v>
      </c>
      <c r="J930" s="7">
        <v>0</v>
      </c>
      <c r="K930" s="7">
        <v>0</v>
      </c>
      <c r="L930" s="7">
        <v>0</v>
      </c>
      <c r="M930" s="7">
        <v>0</v>
      </c>
      <c r="N930" s="7">
        <v>0</v>
      </c>
      <c r="O930" s="7">
        <v>0</v>
      </c>
      <c r="P930" s="7">
        <v>0</v>
      </c>
      <c r="Q930" s="7">
        <v>0</v>
      </c>
    </row>
    <row r="931" spans="1:17">
      <c r="A931" s="2">
        <v>2879</v>
      </c>
      <c r="B931" s="7">
        <v>0</v>
      </c>
      <c r="C931" s="7">
        <v>0</v>
      </c>
      <c r="D931" s="7">
        <v>0</v>
      </c>
      <c r="E931" s="7">
        <v>0</v>
      </c>
      <c r="F931" s="7">
        <v>0</v>
      </c>
      <c r="G931" s="7">
        <v>0</v>
      </c>
      <c r="H931" s="7">
        <v>0</v>
      </c>
      <c r="I931" s="7">
        <v>0</v>
      </c>
      <c r="J931" s="7">
        <v>0</v>
      </c>
      <c r="K931" s="7">
        <v>0</v>
      </c>
      <c r="L931" s="7">
        <v>0</v>
      </c>
      <c r="M931" s="7">
        <v>0</v>
      </c>
      <c r="N931" s="7">
        <v>0</v>
      </c>
      <c r="O931" s="7">
        <v>0</v>
      </c>
      <c r="P931" s="7">
        <v>0</v>
      </c>
      <c r="Q931" s="7">
        <v>0</v>
      </c>
    </row>
    <row r="932" spans="1:17">
      <c r="A932" s="2">
        <v>2880</v>
      </c>
      <c r="B932" s="7">
        <v>0</v>
      </c>
      <c r="C932" s="7">
        <v>0</v>
      </c>
      <c r="D932" s="7">
        <v>0</v>
      </c>
      <c r="E932" s="7">
        <v>0</v>
      </c>
      <c r="F932" s="7">
        <v>0</v>
      </c>
      <c r="G932" s="7">
        <v>0</v>
      </c>
      <c r="H932" s="7">
        <v>0</v>
      </c>
      <c r="I932" s="7">
        <v>0</v>
      </c>
      <c r="J932" s="7">
        <v>0</v>
      </c>
      <c r="K932" s="7">
        <v>0</v>
      </c>
      <c r="L932" s="7">
        <v>0</v>
      </c>
      <c r="M932" s="7">
        <v>0</v>
      </c>
      <c r="N932" s="7">
        <v>0</v>
      </c>
      <c r="O932" s="7">
        <v>0</v>
      </c>
      <c r="P932" s="7">
        <v>0</v>
      </c>
      <c r="Q932" s="7">
        <v>0</v>
      </c>
    </row>
    <row r="933" spans="1:17">
      <c r="A933" s="2">
        <v>2881</v>
      </c>
      <c r="B933" s="7">
        <v>0</v>
      </c>
      <c r="C933" s="7">
        <v>0</v>
      </c>
      <c r="D933" s="7">
        <v>0</v>
      </c>
      <c r="E933" s="7">
        <v>0</v>
      </c>
      <c r="F933" s="7">
        <v>0</v>
      </c>
      <c r="G933" s="7">
        <v>0</v>
      </c>
      <c r="H933" s="7">
        <v>0</v>
      </c>
      <c r="I933" s="7">
        <v>0</v>
      </c>
      <c r="J933" s="7">
        <v>0</v>
      </c>
      <c r="K933" s="7">
        <v>0</v>
      </c>
      <c r="L933" s="7">
        <v>0</v>
      </c>
      <c r="M933" s="7">
        <v>0</v>
      </c>
      <c r="N933" s="7">
        <v>0</v>
      </c>
      <c r="O933" s="7">
        <v>0</v>
      </c>
      <c r="P933" s="7">
        <v>0</v>
      </c>
      <c r="Q933" s="7">
        <v>0</v>
      </c>
    </row>
    <row r="934" spans="1:17">
      <c r="A934" s="2">
        <v>2882</v>
      </c>
      <c r="B934" s="7">
        <v>0</v>
      </c>
      <c r="C934" s="7">
        <v>0</v>
      </c>
      <c r="D934" s="7">
        <v>0</v>
      </c>
      <c r="E934" s="7">
        <v>0</v>
      </c>
      <c r="F934" s="7">
        <v>0</v>
      </c>
      <c r="G934" s="7">
        <v>0</v>
      </c>
      <c r="H934" s="7">
        <v>0</v>
      </c>
      <c r="I934" s="7">
        <v>0</v>
      </c>
      <c r="J934" s="7">
        <v>0</v>
      </c>
      <c r="K934" s="7">
        <v>0</v>
      </c>
      <c r="L934" s="7">
        <v>0</v>
      </c>
      <c r="M934" s="7">
        <v>0</v>
      </c>
      <c r="N934" s="7">
        <v>0</v>
      </c>
      <c r="O934" s="7">
        <v>0</v>
      </c>
      <c r="P934" s="7">
        <v>0</v>
      </c>
      <c r="Q934" s="7">
        <v>0</v>
      </c>
    </row>
    <row r="935" spans="1:17">
      <c r="A935" s="2">
        <v>2883</v>
      </c>
      <c r="B935" s="7">
        <v>0</v>
      </c>
      <c r="C935" s="7">
        <v>0</v>
      </c>
      <c r="D935" s="7">
        <v>0</v>
      </c>
      <c r="E935" s="7">
        <v>0</v>
      </c>
      <c r="F935" s="7">
        <v>0</v>
      </c>
      <c r="G935" s="7">
        <v>0</v>
      </c>
      <c r="H935" s="7">
        <v>0</v>
      </c>
      <c r="I935" s="7">
        <v>0</v>
      </c>
      <c r="J935" s="7">
        <v>0</v>
      </c>
      <c r="K935" s="7">
        <v>0</v>
      </c>
      <c r="L935" s="7">
        <v>0</v>
      </c>
      <c r="M935" s="7">
        <v>0</v>
      </c>
      <c r="N935" s="7">
        <v>0</v>
      </c>
      <c r="O935" s="7">
        <v>0</v>
      </c>
      <c r="P935" s="7">
        <v>0</v>
      </c>
      <c r="Q935" s="7">
        <v>0</v>
      </c>
    </row>
    <row r="936" spans="1:17">
      <c r="A936" s="2">
        <v>2884</v>
      </c>
      <c r="B936" s="7">
        <v>0</v>
      </c>
      <c r="C936" s="7">
        <v>0</v>
      </c>
      <c r="D936" s="7">
        <v>0</v>
      </c>
      <c r="E936" s="7">
        <v>0</v>
      </c>
      <c r="F936" s="7">
        <v>0</v>
      </c>
      <c r="G936" s="7">
        <v>0</v>
      </c>
      <c r="H936" s="7">
        <v>0</v>
      </c>
      <c r="I936" s="7">
        <v>0</v>
      </c>
      <c r="J936" s="7">
        <v>0</v>
      </c>
      <c r="K936" s="7">
        <v>0</v>
      </c>
      <c r="L936" s="7">
        <v>0</v>
      </c>
      <c r="M936" s="7">
        <v>0</v>
      </c>
      <c r="N936" s="7">
        <v>0</v>
      </c>
      <c r="O936" s="7">
        <v>0</v>
      </c>
      <c r="P936" s="7">
        <v>0</v>
      </c>
      <c r="Q936" s="7">
        <v>0</v>
      </c>
    </row>
    <row r="937" spans="1:17">
      <c r="A937" s="2">
        <v>2885</v>
      </c>
      <c r="B937" s="7">
        <v>0</v>
      </c>
      <c r="C937" s="7">
        <v>0</v>
      </c>
      <c r="D937" s="7">
        <v>0</v>
      </c>
      <c r="E937" s="7">
        <v>0</v>
      </c>
      <c r="F937" s="7">
        <v>0</v>
      </c>
      <c r="G937" s="7">
        <v>0</v>
      </c>
      <c r="H937" s="7">
        <v>0</v>
      </c>
      <c r="I937" s="7">
        <v>0</v>
      </c>
      <c r="J937" s="7">
        <v>0</v>
      </c>
      <c r="K937" s="7">
        <v>0</v>
      </c>
      <c r="L937" s="7">
        <v>0</v>
      </c>
      <c r="M937" s="7">
        <v>0</v>
      </c>
      <c r="N937" s="7">
        <v>0</v>
      </c>
      <c r="O937" s="7">
        <v>0</v>
      </c>
      <c r="P937" s="7">
        <v>0</v>
      </c>
      <c r="Q937" s="7">
        <v>0</v>
      </c>
    </row>
    <row r="938" spans="1:17">
      <c r="A938" s="2">
        <v>2886</v>
      </c>
      <c r="B938" s="7">
        <v>0</v>
      </c>
      <c r="C938" s="7">
        <v>0</v>
      </c>
      <c r="D938" s="7">
        <v>0</v>
      </c>
      <c r="E938" s="7">
        <v>0</v>
      </c>
      <c r="F938" s="7">
        <v>0</v>
      </c>
      <c r="G938" s="7">
        <v>0</v>
      </c>
      <c r="H938" s="7">
        <v>0</v>
      </c>
      <c r="I938" s="7">
        <v>0</v>
      </c>
      <c r="J938" s="7">
        <v>0</v>
      </c>
      <c r="K938" s="7">
        <v>0</v>
      </c>
      <c r="L938" s="7">
        <v>0</v>
      </c>
      <c r="M938" s="7">
        <v>0</v>
      </c>
      <c r="N938" s="7">
        <v>0</v>
      </c>
      <c r="O938" s="7">
        <v>0</v>
      </c>
      <c r="P938" s="7">
        <v>0</v>
      </c>
      <c r="Q938" s="7">
        <v>0</v>
      </c>
    </row>
    <row r="939" spans="1:17">
      <c r="A939" s="2">
        <v>2887</v>
      </c>
      <c r="B939" s="7">
        <v>0</v>
      </c>
      <c r="C939" s="7">
        <v>0</v>
      </c>
      <c r="D939" s="7">
        <v>0</v>
      </c>
      <c r="E939" s="7">
        <v>0</v>
      </c>
      <c r="F939" s="7">
        <v>0</v>
      </c>
      <c r="G939" s="7">
        <v>0</v>
      </c>
      <c r="H939" s="7">
        <v>0</v>
      </c>
      <c r="I939" s="7">
        <v>0</v>
      </c>
      <c r="J939" s="7">
        <v>0</v>
      </c>
      <c r="K939" s="7">
        <v>0</v>
      </c>
      <c r="L939" s="7">
        <v>0</v>
      </c>
      <c r="M939" s="7">
        <v>0</v>
      </c>
      <c r="N939" s="7">
        <v>0</v>
      </c>
      <c r="O939" s="7">
        <v>0</v>
      </c>
      <c r="P939" s="7">
        <v>0</v>
      </c>
      <c r="Q939" s="7">
        <v>0</v>
      </c>
    </row>
    <row r="940" spans="1:17">
      <c r="A940" s="2">
        <v>2888</v>
      </c>
      <c r="B940" s="7">
        <v>0</v>
      </c>
      <c r="C940" s="7">
        <v>0</v>
      </c>
      <c r="D940" s="7">
        <v>0</v>
      </c>
      <c r="E940" s="7">
        <v>0</v>
      </c>
      <c r="F940" s="7">
        <v>0</v>
      </c>
      <c r="G940" s="7">
        <v>0</v>
      </c>
      <c r="H940" s="7">
        <v>0</v>
      </c>
      <c r="I940" s="7">
        <v>0</v>
      </c>
      <c r="J940" s="7">
        <v>0</v>
      </c>
      <c r="K940" s="7">
        <v>0</v>
      </c>
      <c r="L940" s="7">
        <v>0</v>
      </c>
      <c r="M940" s="7">
        <v>0</v>
      </c>
      <c r="N940" s="7">
        <v>0</v>
      </c>
      <c r="O940" s="7">
        <v>0</v>
      </c>
      <c r="P940" s="7">
        <v>0</v>
      </c>
      <c r="Q940" s="7">
        <v>0</v>
      </c>
    </row>
    <row r="941" spans="1:17">
      <c r="A941" s="2">
        <v>2889</v>
      </c>
      <c r="B941" s="7">
        <v>0</v>
      </c>
      <c r="C941" s="7">
        <v>0</v>
      </c>
      <c r="D941" s="7">
        <v>0</v>
      </c>
      <c r="E941" s="7">
        <v>0</v>
      </c>
      <c r="F941" s="7">
        <v>0</v>
      </c>
      <c r="G941" s="7">
        <v>0</v>
      </c>
      <c r="H941" s="7">
        <v>0</v>
      </c>
      <c r="I941" s="7">
        <v>0</v>
      </c>
      <c r="J941" s="7">
        <v>0</v>
      </c>
      <c r="K941" s="7">
        <v>0</v>
      </c>
      <c r="L941" s="7">
        <v>0</v>
      </c>
      <c r="M941" s="7">
        <v>0</v>
      </c>
      <c r="N941" s="7">
        <v>0</v>
      </c>
      <c r="O941" s="7">
        <v>0</v>
      </c>
      <c r="P941" s="7">
        <v>0</v>
      </c>
      <c r="Q941" s="7">
        <v>0</v>
      </c>
    </row>
    <row r="942" spans="1:17">
      <c r="A942" s="2">
        <v>2890</v>
      </c>
      <c r="B942" s="7">
        <v>0</v>
      </c>
      <c r="C942" s="7">
        <v>0</v>
      </c>
      <c r="D942" s="7">
        <v>0</v>
      </c>
      <c r="E942" s="7">
        <v>0</v>
      </c>
      <c r="F942" s="7">
        <v>0</v>
      </c>
      <c r="G942" s="7">
        <v>0</v>
      </c>
      <c r="H942" s="7">
        <v>0</v>
      </c>
      <c r="I942" s="7">
        <v>0</v>
      </c>
      <c r="J942" s="7">
        <v>0</v>
      </c>
      <c r="K942" s="7">
        <v>0</v>
      </c>
      <c r="L942" s="7">
        <v>0</v>
      </c>
      <c r="M942" s="7">
        <v>0</v>
      </c>
      <c r="N942" s="7">
        <v>0</v>
      </c>
      <c r="O942" s="7">
        <v>0</v>
      </c>
      <c r="P942" s="7">
        <v>0</v>
      </c>
      <c r="Q942" s="7">
        <v>0</v>
      </c>
    </row>
    <row r="943" spans="1:17">
      <c r="A943" s="2">
        <v>2891</v>
      </c>
      <c r="B943" s="7">
        <v>0</v>
      </c>
      <c r="C943" s="7">
        <v>0</v>
      </c>
      <c r="D943" s="7">
        <v>0</v>
      </c>
      <c r="E943" s="7">
        <v>0</v>
      </c>
      <c r="F943" s="7">
        <v>0</v>
      </c>
      <c r="G943" s="7">
        <v>0</v>
      </c>
      <c r="H943" s="7">
        <v>0</v>
      </c>
      <c r="I943" s="7">
        <v>0</v>
      </c>
      <c r="J943" s="7">
        <v>0</v>
      </c>
      <c r="K943" s="7">
        <v>0</v>
      </c>
      <c r="L943" s="7">
        <v>0</v>
      </c>
      <c r="M943" s="7">
        <v>0</v>
      </c>
      <c r="N943" s="7">
        <v>0</v>
      </c>
      <c r="O943" s="7">
        <v>0</v>
      </c>
      <c r="P943" s="7">
        <v>0</v>
      </c>
      <c r="Q943" s="7">
        <v>0</v>
      </c>
    </row>
    <row r="944" spans="1:17">
      <c r="A944" s="2">
        <v>2892</v>
      </c>
      <c r="B944" s="7">
        <v>0</v>
      </c>
      <c r="C944" s="7">
        <v>0</v>
      </c>
      <c r="D944" s="7">
        <v>0</v>
      </c>
      <c r="E944" s="7">
        <v>0</v>
      </c>
      <c r="F944" s="7">
        <v>0</v>
      </c>
      <c r="G944" s="7">
        <v>0</v>
      </c>
      <c r="H944" s="7">
        <v>0</v>
      </c>
      <c r="I944" s="7">
        <v>0</v>
      </c>
      <c r="J944" s="7">
        <v>0</v>
      </c>
      <c r="K944" s="7">
        <v>0</v>
      </c>
      <c r="L944" s="7">
        <v>0</v>
      </c>
      <c r="M944" s="7">
        <v>0</v>
      </c>
      <c r="N944" s="7">
        <v>0</v>
      </c>
      <c r="O944" s="7">
        <v>0</v>
      </c>
      <c r="P944" s="7">
        <v>0</v>
      </c>
      <c r="Q944" s="7">
        <v>0</v>
      </c>
    </row>
    <row r="945" spans="1:17">
      <c r="A945" s="2">
        <v>2893</v>
      </c>
      <c r="B945" s="7">
        <v>0</v>
      </c>
      <c r="C945" s="7">
        <v>0</v>
      </c>
      <c r="D945" s="7">
        <v>0</v>
      </c>
      <c r="E945" s="7">
        <v>0</v>
      </c>
      <c r="F945" s="7">
        <v>0</v>
      </c>
      <c r="G945" s="7">
        <v>0</v>
      </c>
      <c r="H945" s="7">
        <v>0</v>
      </c>
      <c r="I945" s="7">
        <v>0</v>
      </c>
      <c r="J945" s="7">
        <v>0</v>
      </c>
      <c r="K945" s="7">
        <v>0</v>
      </c>
      <c r="L945" s="7">
        <v>0</v>
      </c>
      <c r="M945" s="7">
        <v>0</v>
      </c>
      <c r="N945" s="7">
        <v>0</v>
      </c>
      <c r="O945" s="7">
        <v>0</v>
      </c>
      <c r="P945" s="7">
        <v>0</v>
      </c>
      <c r="Q945" s="7">
        <v>0</v>
      </c>
    </row>
    <row r="946" spans="1:17">
      <c r="A946" s="2">
        <v>2894</v>
      </c>
      <c r="B946" s="7">
        <v>0</v>
      </c>
      <c r="C946" s="7">
        <v>0</v>
      </c>
      <c r="D946" s="7">
        <v>0</v>
      </c>
      <c r="E946" s="7">
        <v>0</v>
      </c>
      <c r="F946" s="7">
        <v>0</v>
      </c>
      <c r="G946" s="7">
        <v>0</v>
      </c>
      <c r="H946" s="7">
        <v>0</v>
      </c>
      <c r="I946" s="7">
        <v>0</v>
      </c>
      <c r="J946" s="7">
        <v>0</v>
      </c>
      <c r="K946" s="7">
        <v>0</v>
      </c>
      <c r="L946" s="7">
        <v>0</v>
      </c>
      <c r="M946" s="7">
        <v>0</v>
      </c>
      <c r="N946" s="7">
        <v>0</v>
      </c>
      <c r="O946" s="7">
        <v>0</v>
      </c>
      <c r="P946" s="7">
        <v>0</v>
      </c>
      <c r="Q946" s="7">
        <v>0</v>
      </c>
    </row>
    <row r="947" spans="1:17">
      <c r="A947" s="2">
        <v>2895</v>
      </c>
      <c r="B947" s="7">
        <v>0</v>
      </c>
      <c r="C947" s="7">
        <v>0</v>
      </c>
      <c r="D947" s="7">
        <v>0</v>
      </c>
      <c r="E947" s="7">
        <v>0</v>
      </c>
      <c r="F947" s="7">
        <v>0</v>
      </c>
      <c r="G947" s="7">
        <v>0</v>
      </c>
      <c r="H947" s="7">
        <v>0</v>
      </c>
      <c r="I947" s="7">
        <v>0</v>
      </c>
      <c r="J947" s="7">
        <v>0</v>
      </c>
      <c r="K947" s="7">
        <v>0</v>
      </c>
      <c r="L947" s="7">
        <v>0</v>
      </c>
      <c r="M947" s="7">
        <v>0</v>
      </c>
      <c r="N947" s="7">
        <v>0</v>
      </c>
      <c r="O947" s="7">
        <v>0</v>
      </c>
      <c r="P947" s="7">
        <v>0</v>
      </c>
      <c r="Q947" s="7">
        <v>0</v>
      </c>
    </row>
    <row r="948" spans="1:17">
      <c r="A948" s="2">
        <v>2896</v>
      </c>
      <c r="B948" s="7">
        <v>0</v>
      </c>
      <c r="C948" s="7">
        <v>0</v>
      </c>
      <c r="D948" s="7">
        <v>0</v>
      </c>
      <c r="E948" s="7">
        <v>0</v>
      </c>
      <c r="F948" s="7">
        <v>0</v>
      </c>
      <c r="G948" s="7">
        <v>0</v>
      </c>
      <c r="H948" s="7">
        <v>0</v>
      </c>
      <c r="I948" s="7">
        <v>0</v>
      </c>
      <c r="J948" s="7">
        <v>0</v>
      </c>
      <c r="K948" s="7">
        <v>0</v>
      </c>
      <c r="L948" s="7">
        <v>0</v>
      </c>
      <c r="M948" s="7">
        <v>0</v>
      </c>
      <c r="N948" s="7">
        <v>0</v>
      </c>
      <c r="O948" s="7">
        <v>0</v>
      </c>
      <c r="P948" s="7">
        <v>0</v>
      </c>
      <c r="Q948" s="7">
        <v>0</v>
      </c>
    </row>
    <row r="949" spans="1:17">
      <c r="A949" s="2">
        <v>2897</v>
      </c>
      <c r="B949" s="7">
        <v>0</v>
      </c>
      <c r="C949" s="7">
        <v>0</v>
      </c>
      <c r="D949" s="7">
        <v>0</v>
      </c>
      <c r="E949" s="7">
        <v>0</v>
      </c>
      <c r="F949" s="7">
        <v>0</v>
      </c>
      <c r="G949" s="7">
        <v>0</v>
      </c>
      <c r="H949" s="7">
        <v>0</v>
      </c>
      <c r="I949" s="7">
        <v>0</v>
      </c>
      <c r="J949" s="7">
        <v>0</v>
      </c>
      <c r="K949" s="7">
        <v>0</v>
      </c>
      <c r="L949" s="7">
        <v>0</v>
      </c>
      <c r="M949" s="7">
        <v>0</v>
      </c>
      <c r="N949" s="7">
        <v>0</v>
      </c>
      <c r="O949" s="7">
        <v>0</v>
      </c>
      <c r="P949" s="7">
        <v>0</v>
      </c>
      <c r="Q949" s="7">
        <v>0</v>
      </c>
    </row>
    <row r="950" spans="1:17">
      <c r="A950" s="2">
        <v>2898</v>
      </c>
      <c r="B950" s="7">
        <v>0</v>
      </c>
      <c r="C950" s="7">
        <v>0</v>
      </c>
      <c r="D950" s="7">
        <v>0</v>
      </c>
      <c r="E950" s="7">
        <v>0</v>
      </c>
      <c r="F950" s="7">
        <v>0</v>
      </c>
      <c r="G950" s="7">
        <v>0</v>
      </c>
      <c r="H950" s="7">
        <v>0</v>
      </c>
      <c r="I950" s="7">
        <v>0</v>
      </c>
      <c r="J950" s="7">
        <v>0</v>
      </c>
      <c r="K950" s="7">
        <v>0</v>
      </c>
      <c r="L950" s="7">
        <v>0</v>
      </c>
      <c r="M950" s="7">
        <v>0</v>
      </c>
      <c r="N950" s="7">
        <v>0</v>
      </c>
      <c r="O950" s="7">
        <v>0</v>
      </c>
      <c r="P950" s="7">
        <v>0</v>
      </c>
      <c r="Q950" s="7">
        <v>0</v>
      </c>
    </row>
    <row r="951" spans="1:17">
      <c r="A951" s="2">
        <v>2899</v>
      </c>
      <c r="B951" s="7">
        <v>0</v>
      </c>
      <c r="C951" s="7">
        <v>0</v>
      </c>
      <c r="D951" s="7">
        <v>0</v>
      </c>
      <c r="E951" s="7">
        <v>0</v>
      </c>
      <c r="F951" s="7">
        <v>0</v>
      </c>
      <c r="G951" s="7">
        <v>0</v>
      </c>
      <c r="H951" s="7">
        <v>0</v>
      </c>
      <c r="I951" s="7">
        <v>0</v>
      </c>
      <c r="J951" s="7">
        <v>0</v>
      </c>
      <c r="K951" s="7">
        <v>0</v>
      </c>
      <c r="L951" s="7">
        <v>0</v>
      </c>
      <c r="M951" s="7">
        <v>0</v>
      </c>
      <c r="N951" s="7">
        <v>0</v>
      </c>
      <c r="O951" s="7">
        <v>0</v>
      </c>
      <c r="P951" s="7">
        <v>0</v>
      </c>
      <c r="Q951" s="7">
        <v>0</v>
      </c>
    </row>
    <row r="952" spans="1:17">
      <c r="A952" s="2">
        <v>2900</v>
      </c>
      <c r="B952" s="7">
        <v>0</v>
      </c>
      <c r="C952" s="7">
        <v>0</v>
      </c>
      <c r="D952" s="7">
        <v>0</v>
      </c>
      <c r="E952" s="7">
        <v>0</v>
      </c>
      <c r="F952" s="7">
        <v>0</v>
      </c>
      <c r="G952" s="7">
        <v>0</v>
      </c>
      <c r="H952" s="7">
        <v>0</v>
      </c>
      <c r="I952" s="7">
        <v>0</v>
      </c>
      <c r="J952" s="7">
        <v>0</v>
      </c>
      <c r="K952" s="7">
        <v>0</v>
      </c>
      <c r="L952" s="7">
        <v>0</v>
      </c>
      <c r="M952" s="7">
        <v>0</v>
      </c>
      <c r="N952" s="7">
        <v>0</v>
      </c>
      <c r="O952" s="7">
        <v>0</v>
      </c>
      <c r="P952" s="7">
        <v>0</v>
      </c>
      <c r="Q952" s="7">
        <v>0</v>
      </c>
    </row>
    <row r="953" spans="1:17">
      <c r="A953" s="2">
        <v>2901</v>
      </c>
      <c r="B953" s="7">
        <v>0</v>
      </c>
      <c r="C953" s="7">
        <v>0</v>
      </c>
      <c r="D953" s="7">
        <v>0</v>
      </c>
      <c r="E953" s="7">
        <v>0</v>
      </c>
      <c r="F953" s="7">
        <v>0</v>
      </c>
      <c r="G953" s="7">
        <v>0</v>
      </c>
      <c r="H953" s="7">
        <v>0</v>
      </c>
      <c r="I953" s="7">
        <v>0</v>
      </c>
      <c r="J953" s="7">
        <v>0</v>
      </c>
      <c r="K953" s="7">
        <v>0</v>
      </c>
      <c r="L953" s="7">
        <v>0</v>
      </c>
      <c r="M953" s="7">
        <v>0</v>
      </c>
      <c r="N953" s="7">
        <v>0</v>
      </c>
      <c r="O953" s="7">
        <v>0</v>
      </c>
      <c r="P953" s="7">
        <v>0</v>
      </c>
      <c r="Q953" s="7">
        <v>0</v>
      </c>
    </row>
    <row r="954" spans="1:17">
      <c r="A954" s="2">
        <v>2902</v>
      </c>
      <c r="B954" s="7">
        <v>0</v>
      </c>
      <c r="C954" s="7">
        <v>0</v>
      </c>
      <c r="D954" s="7">
        <v>0</v>
      </c>
      <c r="E954" s="7">
        <v>0</v>
      </c>
      <c r="F954" s="7">
        <v>0</v>
      </c>
      <c r="G954" s="7">
        <v>0</v>
      </c>
      <c r="H954" s="7">
        <v>0</v>
      </c>
      <c r="I954" s="7">
        <v>0</v>
      </c>
      <c r="J954" s="7">
        <v>0</v>
      </c>
      <c r="K954" s="7">
        <v>0</v>
      </c>
      <c r="L954" s="7">
        <v>0</v>
      </c>
      <c r="M954" s="7">
        <v>0</v>
      </c>
      <c r="N954" s="7">
        <v>0</v>
      </c>
      <c r="O954" s="7">
        <v>0</v>
      </c>
      <c r="P954" s="7">
        <v>0</v>
      </c>
      <c r="Q954" s="7">
        <v>0</v>
      </c>
    </row>
    <row r="955" spans="1:17">
      <c r="A955" s="2">
        <v>2903</v>
      </c>
      <c r="B955" s="7">
        <v>0</v>
      </c>
      <c r="C955" s="7">
        <v>0</v>
      </c>
      <c r="D955" s="7">
        <v>0</v>
      </c>
      <c r="E955" s="7">
        <v>0</v>
      </c>
      <c r="F955" s="7">
        <v>0</v>
      </c>
      <c r="G955" s="7">
        <v>0</v>
      </c>
      <c r="H955" s="7">
        <v>0</v>
      </c>
      <c r="I955" s="7">
        <v>0</v>
      </c>
      <c r="J955" s="7">
        <v>0</v>
      </c>
      <c r="K955" s="7">
        <v>0</v>
      </c>
      <c r="L955" s="7">
        <v>0</v>
      </c>
      <c r="M955" s="7">
        <v>0</v>
      </c>
      <c r="N955" s="7">
        <v>0</v>
      </c>
      <c r="O955" s="7">
        <v>0</v>
      </c>
      <c r="P955" s="7">
        <v>0</v>
      </c>
      <c r="Q955" s="7">
        <v>0</v>
      </c>
    </row>
    <row r="956" spans="1:17">
      <c r="A956" s="2">
        <v>2904</v>
      </c>
      <c r="B956" s="7">
        <v>0</v>
      </c>
      <c r="C956" s="7">
        <v>0</v>
      </c>
      <c r="D956" s="7">
        <v>0</v>
      </c>
      <c r="E956" s="7">
        <v>0</v>
      </c>
      <c r="F956" s="7">
        <v>0</v>
      </c>
      <c r="G956" s="7">
        <v>0</v>
      </c>
      <c r="H956" s="7">
        <v>0</v>
      </c>
      <c r="I956" s="7">
        <v>0</v>
      </c>
      <c r="J956" s="7">
        <v>0</v>
      </c>
      <c r="K956" s="7">
        <v>0</v>
      </c>
      <c r="L956" s="7">
        <v>0</v>
      </c>
      <c r="M956" s="7">
        <v>0</v>
      </c>
      <c r="N956" s="7">
        <v>0</v>
      </c>
      <c r="O956" s="7">
        <v>0</v>
      </c>
      <c r="P956" s="7">
        <v>0</v>
      </c>
      <c r="Q956" s="7">
        <v>0</v>
      </c>
    </row>
    <row r="957" spans="1:17">
      <c r="A957" s="2">
        <v>2905</v>
      </c>
      <c r="B957" s="7">
        <v>0</v>
      </c>
      <c r="C957" s="7">
        <v>0</v>
      </c>
      <c r="D957" s="7">
        <v>0</v>
      </c>
      <c r="E957" s="7">
        <v>0</v>
      </c>
      <c r="F957" s="7">
        <v>0</v>
      </c>
      <c r="G957" s="7">
        <v>0</v>
      </c>
      <c r="H957" s="7">
        <v>0</v>
      </c>
      <c r="I957" s="7">
        <v>0</v>
      </c>
      <c r="J957" s="7">
        <v>0</v>
      </c>
      <c r="K957" s="7">
        <v>0</v>
      </c>
      <c r="L957" s="7">
        <v>0</v>
      </c>
      <c r="M957" s="7">
        <v>0</v>
      </c>
      <c r="N957" s="7">
        <v>0</v>
      </c>
      <c r="O957" s="7">
        <v>0</v>
      </c>
      <c r="P957" s="7">
        <v>0</v>
      </c>
      <c r="Q957" s="7">
        <v>0</v>
      </c>
    </row>
    <row r="958" spans="1:17">
      <c r="A958" s="2">
        <v>2906</v>
      </c>
      <c r="B958" s="7">
        <v>0</v>
      </c>
      <c r="C958" s="7">
        <v>0</v>
      </c>
      <c r="D958" s="7">
        <v>0</v>
      </c>
      <c r="E958" s="7">
        <v>0</v>
      </c>
      <c r="F958" s="7">
        <v>0</v>
      </c>
      <c r="G958" s="7">
        <v>0</v>
      </c>
      <c r="H958" s="7">
        <v>0</v>
      </c>
      <c r="I958" s="7">
        <v>0</v>
      </c>
      <c r="J958" s="7">
        <v>0</v>
      </c>
      <c r="K958" s="7">
        <v>0</v>
      </c>
      <c r="L958" s="7">
        <v>0</v>
      </c>
      <c r="M958" s="7">
        <v>0</v>
      </c>
      <c r="N958" s="7">
        <v>0</v>
      </c>
      <c r="O958" s="7">
        <v>0</v>
      </c>
      <c r="P958" s="7">
        <v>0</v>
      </c>
      <c r="Q958" s="7">
        <v>0</v>
      </c>
    </row>
    <row r="959" spans="1:17">
      <c r="A959" s="2">
        <v>2907</v>
      </c>
      <c r="B959" s="7">
        <v>0</v>
      </c>
      <c r="C959" s="7">
        <v>0</v>
      </c>
      <c r="D959" s="7">
        <v>0</v>
      </c>
      <c r="E959" s="7">
        <v>0</v>
      </c>
      <c r="F959" s="7">
        <v>0</v>
      </c>
      <c r="G959" s="7">
        <v>0</v>
      </c>
      <c r="H959" s="7">
        <v>0</v>
      </c>
      <c r="I959" s="7">
        <v>0</v>
      </c>
      <c r="J959" s="7">
        <v>0</v>
      </c>
      <c r="K959" s="7">
        <v>0</v>
      </c>
      <c r="L959" s="7">
        <v>0</v>
      </c>
      <c r="M959" s="7">
        <v>0</v>
      </c>
      <c r="N959" s="7">
        <v>0</v>
      </c>
      <c r="O959" s="7">
        <v>0</v>
      </c>
      <c r="P959" s="7">
        <v>0</v>
      </c>
      <c r="Q959" s="7">
        <v>0</v>
      </c>
    </row>
    <row r="960" spans="1:17">
      <c r="A960" s="2">
        <v>2908</v>
      </c>
      <c r="B960" s="7">
        <v>0</v>
      </c>
      <c r="C960" s="7">
        <v>0</v>
      </c>
      <c r="D960" s="7">
        <v>0</v>
      </c>
      <c r="E960" s="7">
        <v>0</v>
      </c>
      <c r="F960" s="7">
        <v>0</v>
      </c>
      <c r="G960" s="7">
        <v>0</v>
      </c>
      <c r="H960" s="7">
        <v>0</v>
      </c>
      <c r="I960" s="7">
        <v>0</v>
      </c>
      <c r="J960" s="7">
        <v>0</v>
      </c>
      <c r="K960" s="7">
        <v>0</v>
      </c>
      <c r="L960" s="7">
        <v>0</v>
      </c>
      <c r="M960" s="7">
        <v>0</v>
      </c>
      <c r="N960" s="7">
        <v>0</v>
      </c>
      <c r="O960" s="7">
        <v>0</v>
      </c>
      <c r="P960" s="7">
        <v>0</v>
      </c>
      <c r="Q960" s="7">
        <v>0</v>
      </c>
    </row>
    <row r="961" spans="1:17">
      <c r="A961" s="2">
        <v>2909</v>
      </c>
      <c r="B961" s="7">
        <v>0</v>
      </c>
      <c r="C961" s="7">
        <v>0</v>
      </c>
      <c r="D961" s="7">
        <v>0</v>
      </c>
      <c r="E961" s="7">
        <v>0</v>
      </c>
      <c r="F961" s="7">
        <v>0</v>
      </c>
      <c r="G961" s="7">
        <v>0</v>
      </c>
      <c r="H961" s="7">
        <v>0</v>
      </c>
      <c r="I961" s="7">
        <v>0</v>
      </c>
      <c r="J961" s="7">
        <v>0</v>
      </c>
      <c r="K961" s="7">
        <v>0</v>
      </c>
      <c r="L961" s="7">
        <v>0</v>
      </c>
      <c r="M961" s="7">
        <v>0</v>
      </c>
      <c r="N961" s="7">
        <v>0</v>
      </c>
      <c r="O961" s="7">
        <v>0</v>
      </c>
      <c r="P961" s="7">
        <v>0</v>
      </c>
      <c r="Q961" s="7">
        <v>0</v>
      </c>
    </row>
    <row r="962" spans="1:17">
      <c r="A962" s="2">
        <v>2910</v>
      </c>
      <c r="B962" s="7">
        <v>0</v>
      </c>
      <c r="C962" s="7">
        <v>0</v>
      </c>
      <c r="D962" s="7">
        <v>0</v>
      </c>
      <c r="E962" s="7">
        <v>0</v>
      </c>
      <c r="F962" s="7">
        <v>0</v>
      </c>
      <c r="G962" s="7">
        <v>0</v>
      </c>
      <c r="H962" s="7">
        <v>0</v>
      </c>
      <c r="I962" s="7">
        <v>0</v>
      </c>
      <c r="J962" s="7">
        <v>0</v>
      </c>
      <c r="K962" s="7">
        <v>0</v>
      </c>
      <c r="L962" s="7">
        <v>0</v>
      </c>
      <c r="M962" s="7">
        <v>0</v>
      </c>
      <c r="N962" s="7">
        <v>0</v>
      </c>
      <c r="O962" s="7">
        <v>0</v>
      </c>
      <c r="P962" s="7">
        <v>0</v>
      </c>
      <c r="Q962" s="7">
        <v>0</v>
      </c>
    </row>
    <row r="963" spans="1:17">
      <c r="A963" s="2">
        <v>2911</v>
      </c>
      <c r="B963" s="7">
        <v>0</v>
      </c>
      <c r="C963" s="7">
        <v>0</v>
      </c>
      <c r="D963" s="7">
        <v>0</v>
      </c>
      <c r="E963" s="7">
        <v>0</v>
      </c>
      <c r="F963" s="7">
        <v>0</v>
      </c>
      <c r="G963" s="7">
        <v>0</v>
      </c>
      <c r="H963" s="7">
        <v>0</v>
      </c>
      <c r="I963" s="7">
        <v>0</v>
      </c>
      <c r="J963" s="7">
        <v>0</v>
      </c>
      <c r="K963" s="7">
        <v>0</v>
      </c>
      <c r="L963" s="7">
        <v>0</v>
      </c>
      <c r="M963" s="7">
        <v>0</v>
      </c>
      <c r="N963" s="7">
        <v>0</v>
      </c>
      <c r="O963" s="7">
        <v>0</v>
      </c>
      <c r="P963" s="7">
        <v>0</v>
      </c>
      <c r="Q963" s="7">
        <v>0</v>
      </c>
    </row>
    <row r="964" spans="1:17">
      <c r="A964" s="2">
        <v>2912</v>
      </c>
      <c r="B964" s="7">
        <v>0</v>
      </c>
      <c r="C964" s="7">
        <v>0</v>
      </c>
      <c r="D964" s="7">
        <v>0</v>
      </c>
      <c r="E964" s="7">
        <v>0</v>
      </c>
      <c r="F964" s="7">
        <v>0</v>
      </c>
      <c r="G964" s="7">
        <v>0</v>
      </c>
      <c r="H964" s="7">
        <v>0</v>
      </c>
      <c r="I964" s="7">
        <v>0</v>
      </c>
      <c r="J964" s="7">
        <v>0</v>
      </c>
      <c r="K964" s="7">
        <v>0</v>
      </c>
      <c r="L964" s="7">
        <v>0</v>
      </c>
      <c r="M964" s="7">
        <v>0</v>
      </c>
      <c r="N964" s="7">
        <v>0</v>
      </c>
      <c r="O964" s="7">
        <v>0</v>
      </c>
      <c r="P964" s="7">
        <v>0</v>
      </c>
      <c r="Q964" s="7">
        <v>0</v>
      </c>
    </row>
    <row r="965" spans="1:17">
      <c r="A965" s="2">
        <v>2913</v>
      </c>
      <c r="B965" s="7">
        <v>0</v>
      </c>
      <c r="C965" s="7">
        <v>0</v>
      </c>
      <c r="D965" s="7">
        <v>0</v>
      </c>
      <c r="E965" s="7">
        <v>0</v>
      </c>
      <c r="F965" s="7">
        <v>0</v>
      </c>
      <c r="G965" s="7">
        <v>0</v>
      </c>
      <c r="H965" s="7">
        <v>0</v>
      </c>
      <c r="I965" s="7">
        <v>0</v>
      </c>
      <c r="J965" s="7">
        <v>0</v>
      </c>
      <c r="K965" s="7">
        <v>0</v>
      </c>
      <c r="L965" s="7">
        <v>0</v>
      </c>
      <c r="M965" s="7">
        <v>0</v>
      </c>
      <c r="N965" s="7">
        <v>0</v>
      </c>
      <c r="O965" s="7">
        <v>0</v>
      </c>
      <c r="P965" s="7">
        <v>0</v>
      </c>
      <c r="Q965" s="7">
        <v>0</v>
      </c>
    </row>
    <row r="966" spans="1:17">
      <c r="A966" s="2">
        <v>2914</v>
      </c>
      <c r="B966" s="7">
        <v>0</v>
      </c>
      <c r="C966" s="7">
        <v>0</v>
      </c>
      <c r="D966" s="7">
        <v>0</v>
      </c>
      <c r="E966" s="7">
        <v>0</v>
      </c>
      <c r="F966" s="7">
        <v>0</v>
      </c>
      <c r="G966" s="7">
        <v>0</v>
      </c>
      <c r="H966" s="7">
        <v>0</v>
      </c>
      <c r="I966" s="7">
        <v>0</v>
      </c>
      <c r="J966" s="7">
        <v>0</v>
      </c>
      <c r="K966" s="7">
        <v>0</v>
      </c>
      <c r="L966" s="7">
        <v>0</v>
      </c>
      <c r="M966" s="7">
        <v>0</v>
      </c>
      <c r="N966" s="7">
        <v>0</v>
      </c>
      <c r="O966" s="7">
        <v>0</v>
      </c>
      <c r="P966" s="7">
        <v>0</v>
      </c>
      <c r="Q966" s="7">
        <v>0</v>
      </c>
    </row>
    <row r="967" spans="1:17">
      <c r="A967" s="2">
        <v>2915</v>
      </c>
      <c r="B967" s="7">
        <v>0</v>
      </c>
      <c r="C967" s="7">
        <v>0</v>
      </c>
      <c r="D967" s="7">
        <v>0</v>
      </c>
      <c r="E967" s="7">
        <v>0</v>
      </c>
      <c r="F967" s="7">
        <v>0</v>
      </c>
      <c r="G967" s="7">
        <v>0</v>
      </c>
      <c r="H967" s="7">
        <v>0</v>
      </c>
      <c r="I967" s="7">
        <v>0</v>
      </c>
      <c r="J967" s="7">
        <v>0</v>
      </c>
      <c r="K967" s="7">
        <v>0</v>
      </c>
      <c r="L967" s="7">
        <v>0</v>
      </c>
      <c r="M967" s="7">
        <v>0</v>
      </c>
      <c r="N967" s="7">
        <v>0</v>
      </c>
      <c r="O967" s="7">
        <v>0</v>
      </c>
      <c r="P967" s="7">
        <v>0</v>
      </c>
      <c r="Q967" s="7">
        <v>0</v>
      </c>
    </row>
    <row r="968" spans="1:17">
      <c r="A968" s="2">
        <v>2916</v>
      </c>
      <c r="B968" s="7">
        <v>0</v>
      </c>
      <c r="C968" s="7">
        <v>0</v>
      </c>
      <c r="D968" s="7">
        <v>0</v>
      </c>
      <c r="E968" s="7">
        <v>0</v>
      </c>
      <c r="F968" s="7">
        <v>0</v>
      </c>
      <c r="G968" s="7">
        <v>0</v>
      </c>
      <c r="H968" s="7">
        <v>0</v>
      </c>
      <c r="I968" s="7">
        <v>0</v>
      </c>
      <c r="J968" s="7">
        <v>0</v>
      </c>
      <c r="K968" s="7">
        <v>0</v>
      </c>
      <c r="L968" s="7">
        <v>0</v>
      </c>
      <c r="M968" s="7">
        <v>0</v>
      </c>
      <c r="N968" s="7">
        <v>0</v>
      </c>
      <c r="O968" s="7">
        <v>0</v>
      </c>
      <c r="P968" s="7">
        <v>0</v>
      </c>
      <c r="Q968" s="7">
        <v>0</v>
      </c>
    </row>
    <row r="969" spans="1:17">
      <c r="A969" s="2">
        <v>2917</v>
      </c>
      <c r="B969" s="7">
        <v>0</v>
      </c>
      <c r="C969" s="7">
        <v>0</v>
      </c>
      <c r="D969" s="7">
        <v>0</v>
      </c>
      <c r="E969" s="7">
        <v>0</v>
      </c>
      <c r="F969" s="7">
        <v>0</v>
      </c>
      <c r="G969" s="7">
        <v>0</v>
      </c>
      <c r="H969" s="7">
        <v>0</v>
      </c>
      <c r="I969" s="7">
        <v>0</v>
      </c>
      <c r="J969" s="7">
        <v>0</v>
      </c>
      <c r="K969" s="7">
        <v>0</v>
      </c>
      <c r="L969" s="7">
        <v>0</v>
      </c>
      <c r="M969" s="7">
        <v>0</v>
      </c>
      <c r="N969" s="7">
        <v>0</v>
      </c>
      <c r="O969" s="7">
        <v>0</v>
      </c>
      <c r="P969" s="7">
        <v>0</v>
      </c>
      <c r="Q969" s="7">
        <v>0</v>
      </c>
    </row>
    <row r="970" spans="1:17">
      <c r="A970" s="2">
        <v>2918</v>
      </c>
      <c r="B970" s="7">
        <v>0</v>
      </c>
      <c r="C970" s="7">
        <v>0</v>
      </c>
      <c r="D970" s="7">
        <v>0</v>
      </c>
      <c r="E970" s="7">
        <v>0</v>
      </c>
      <c r="F970" s="7">
        <v>0</v>
      </c>
      <c r="G970" s="7">
        <v>0</v>
      </c>
      <c r="H970" s="7">
        <v>0</v>
      </c>
      <c r="I970" s="7">
        <v>0</v>
      </c>
      <c r="J970" s="7">
        <v>0</v>
      </c>
      <c r="K970" s="7">
        <v>0</v>
      </c>
      <c r="L970" s="7">
        <v>0</v>
      </c>
      <c r="M970" s="7">
        <v>0</v>
      </c>
      <c r="N970" s="7">
        <v>0</v>
      </c>
      <c r="O970" s="7">
        <v>0</v>
      </c>
      <c r="P970" s="7">
        <v>0</v>
      </c>
      <c r="Q970" s="7">
        <v>0</v>
      </c>
    </row>
    <row r="971" spans="1:17">
      <c r="A971" s="2">
        <v>2919</v>
      </c>
      <c r="B971" s="7">
        <v>0</v>
      </c>
      <c r="C971" s="7">
        <v>0</v>
      </c>
      <c r="D971" s="7">
        <v>0</v>
      </c>
      <c r="E971" s="7">
        <v>0</v>
      </c>
      <c r="F971" s="7">
        <v>0</v>
      </c>
      <c r="G971" s="7">
        <v>0</v>
      </c>
      <c r="H971" s="7">
        <v>0</v>
      </c>
      <c r="I971" s="7">
        <v>0</v>
      </c>
      <c r="J971" s="7">
        <v>0</v>
      </c>
      <c r="K971" s="7">
        <v>0</v>
      </c>
      <c r="L971" s="7">
        <v>0</v>
      </c>
      <c r="M971" s="7">
        <v>0</v>
      </c>
      <c r="N971" s="7">
        <v>0</v>
      </c>
      <c r="O971" s="7">
        <v>0</v>
      </c>
      <c r="P971" s="7">
        <v>0</v>
      </c>
      <c r="Q971" s="7">
        <v>0</v>
      </c>
    </row>
    <row r="972" spans="1:17">
      <c r="A972" s="2">
        <v>2920</v>
      </c>
      <c r="B972" s="7">
        <v>0</v>
      </c>
      <c r="C972" s="7">
        <v>0</v>
      </c>
      <c r="D972" s="7">
        <v>0</v>
      </c>
      <c r="E972" s="7">
        <v>0</v>
      </c>
      <c r="F972" s="7">
        <v>0</v>
      </c>
      <c r="G972" s="7">
        <v>0</v>
      </c>
      <c r="H972" s="7">
        <v>0</v>
      </c>
      <c r="I972" s="7">
        <v>0</v>
      </c>
      <c r="J972" s="7">
        <v>0</v>
      </c>
      <c r="K972" s="7">
        <v>0</v>
      </c>
      <c r="L972" s="7">
        <v>0</v>
      </c>
      <c r="M972" s="7">
        <v>0</v>
      </c>
      <c r="N972" s="7">
        <v>0</v>
      </c>
      <c r="O972" s="7">
        <v>0</v>
      </c>
      <c r="P972" s="7">
        <v>0</v>
      </c>
      <c r="Q972" s="7">
        <v>0</v>
      </c>
    </row>
    <row r="973" spans="1:17">
      <c r="A973" s="2">
        <v>2921</v>
      </c>
      <c r="B973" s="7">
        <v>0</v>
      </c>
      <c r="C973" s="7">
        <v>0</v>
      </c>
      <c r="D973" s="7">
        <v>0</v>
      </c>
      <c r="E973" s="7">
        <v>0</v>
      </c>
      <c r="F973" s="7">
        <v>0</v>
      </c>
      <c r="G973" s="7">
        <v>0</v>
      </c>
      <c r="H973" s="7">
        <v>0</v>
      </c>
      <c r="I973" s="7">
        <v>0</v>
      </c>
      <c r="J973" s="7">
        <v>0</v>
      </c>
      <c r="K973" s="7">
        <v>0</v>
      </c>
      <c r="L973" s="7">
        <v>0</v>
      </c>
      <c r="M973" s="7">
        <v>0</v>
      </c>
      <c r="N973" s="7">
        <v>0</v>
      </c>
      <c r="O973" s="7">
        <v>0</v>
      </c>
      <c r="P973" s="7">
        <v>0</v>
      </c>
      <c r="Q973" s="7">
        <v>0</v>
      </c>
    </row>
    <row r="974" spans="1:17">
      <c r="A974" s="2">
        <v>2922</v>
      </c>
      <c r="B974" s="7">
        <v>0</v>
      </c>
      <c r="C974" s="7">
        <v>0</v>
      </c>
      <c r="D974" s="7">
        <v>0</v>
      </c>
      <c r="E974" s="7">
        <v>0</v>
      </c>
      <c r="F974" s="7">
        <v>0</v>
      </c>
      <c r="G974" s="7">
        <v>0</v>
      </c>
      <c r="H974" s="7">
        <v>0</v>
      </c>
      <c r="I974" s="7">
        <v>0</v>
      </c>
      <c r="J974" s="7">
        <v>0</v>
      </c>
      <c r="K974" s="7">
        <v>0</v>
      </c>
      <c r="L974" s="7">
        <v>0</v>
      </c>
      <c r="M974" s="7">
        <v>0</v>
      </c>
      <c r="N974" s="7">
        <v>0</v>
      </c>
      <c r="O974" s="7">
        <v>0</v>
      </c>
      <c r="P974" s="7">
        <v>0</v>
      </c>
      <c r="Q974" s="7">
        <v>0</v>
      </c>
    </row>
    <row r="975" spans="1:17">
      <c r="A975" s="2">
        <v>2923</v>
      </c>
      <c r="B975" s="7">
        <v>0</v>
      </c>
      <c r="C975" s="7">
        <v>0</v>
      </c>
      <c r="D975" s="7">
        <v>0</v>
      </c>
      <c r="E975" s="7">
        <v>0</v>
      </c>
      <c r="F975" s="7">
        <v>0</v>
      </c>
      <c r="G975" s="7">
        <v>0</v>
      </c>
      <c r="H975" s="7">
        <v>0</v>
      </c>
      <c r="I975" s="7">
        <v>0</v>
      </c>
      <c r="J975" s="7">
        <v>0</v>
      </c>
      <c r="K975" s="7">
        <v>0</v>
      </c>
      <c r="L975" s="7">
        <v>0</v>
      </c>
      <c r="M975" s="7">
        <v>0</v>
      </c>
      <c r="N975" s="7">
        <v>0</v>
      </c>
      <c r="O975" s="7">
        <v>0</v>
      </c>
      <c r="P975" s="7">
        <v>0</v>
      </c>
      <c r="Q975" s="7">
        <v>0</v>
      </c>
    </row>
    <row r="976" spans="1:17">
      <c r="A976" s="2">
        <v>2924</v>
      </c>
      <c r="B976" s="7">
        <v>0</v>
      </c>
      <c r="C976" s="7">
        <v>0</v>
      </c>
      <c r="D976" s="7">
        <v>0</v>
      </c>
      <c r="E976" s="7">
        <v>0</v>
      </c>
      <c r="F976" s="7">
        <v>0</v>
      </c>
      <c r="G976" s="7">
        <v>0</v>
      </c>
      <c r="H976" s="7">
        <v>0</v>
      </c>
      <c r="I976" s="7">
        <v>0</v>
      </c>
      <c r="J976" s="7">
        <v>0</v>
      </c>
      <c r="K976" s="7">
        <v>0</v>
      </c>
      <c r="L976" s="7">
        <v>0</v>
      </c>
      <c r="M976" s="7">
        <v>0</v>
      </c>
      <c r="N976" s="7">
        <v>0</v>
      </c>
      <c r="O976" s="7">
        <v>0</v>
      </c>
      <c r="P976" s="7">
        <v>0</v>
      </c>
      <c r="Q976" s="7">
        <v>0</v>
      </c>
    </row>
    <row r="977" spans="1:17">
      <c r="A977" s="2">
        <v>2925</v>
      </c>
      <c r="B977" s="7">
        <v>0</v>
      </c>
      <c r="C977" s="7">
        <v>0</v>
      </c>
      <c r="D977" s="7">
        <v>0</v>
      </c>
      <c r="E977" s="7">
        <v>0</v>
      </c>
      <c r="F977" s="7">
        <v>0</v>
      </c>
      <c r="G977" s="7">
        <v>0</v>
      </c>
      <c r="H977" s="7">
        <v>0</v>
      </c>
      <c r="I977" s="7">
        <v>0</v>
      </c>
      <c r="J977" s="7">
        <v>0</v>
      </c>
      <c r="K977" s="7">
        <v>0</v>
      </c>
      <c r="L977" s="7">
        <v>0</v>
      </c>
      <c r="M977" s="7">
        <v>0</v>
      </c>
      <c r="N977" s="7">
        <v>0</v>
      </c>
      <c r="O977" s="7">
        <v>0</v>
      </c>
      <c r="P977" s="7">
        <v>0</v>
      </c>
      <c r="Q977" s="7">
        <v>0</v>
      </c>
    </row>
    <row r="978" spans="1:17">
      <c r="A978" s="2">
        <v>2926</v>
      </c>
      <c r="B978" s="7">
        <v>0</v>
      </c>
      <c r="C978" s="7">
        <v>0</v>
      </c>
      <c r="D978" s="7">
        <v>0</v>
      </c>
      <c r="E978" s="7">
        <v>0</v>
      </c>
      <c r="F978" s="7">
        <v>0</v>
      </c>
      <c r="G978" s="7">
        <v>0</v>
      </c>
      <c r="H978" s="7">
        <v>0</v>
      </c>
      <c r="I978" s="7">
        <v>0</v>
      </c>
      <c r="J978" s="7">
        <v>0</v>
      </c>
      <c r="K978" s="7">
        <v>0</v>
      </c>
      <c r="L978" s="7">
        <v>0</v>
      </c>
      <c r="M978" s="7">
        <v>0</v>
      </c>
      <c r="N978" s="7">
        <v>0</v>
      </c>
      <c r="O978" s="7">
        <v>0</v>
      </c>
      <c r="P978" s="7">
        <v>0</v>
      </c>
      <c r="Q978" s="7">
        <v>0</v>
      </c>
    </row>
    <row r="979" spans="1:17">
      <c r="A979" s="2">
        <v>2927</v>
      </c>
      <c r="B979" s="7">
        <v>0</v>
      </c>
      <c r="C979" s="7">
        <v>0</v>
      </c>
      <c r="D979" s="7">
        <v>0</v>
      </c>
      <c r="E979" s="7">
        <v>0</v>
      </c>
      <c r="F979" s="7">
        <v>0</v>
      </c>
      <c r="G979" s="7">
        <v>0</v>
      </c>
      <c r="H979" s="7">
        <v>0</v>
      </c>
      <c r="I979" s="7">
        <v>0</v>
      </c>
      <c r="J979" s="7">
        <v>0</v>
      </c>
      <c r="K979" s="7">
        <v>0</v>
      </c>
      <c r="L979" s="7">
        <v>0</v>
      </c>
      <c r="M979" s="7">
        <v>0</v>
      </c>
      <c r="N979" s="7">
        <v>0</v>
      </c>
      <c r="O979" s="7">
        <v>0</v>
      </c>
      <c r="P979" s="7">
        <v>0</v>
      </c>
      <c r="Q979" s="7">
        <v>0</v>
      </c>
    </row>
    <row r="980" spans="1:17">
      <c r="A980" s="2">
        <v>2928</v>
      </c>
      <c r="B980" s="7">
        <v>0</v>
      </c>
      <c r="C980" s="7">
        <v>0</v>
      </c>
      <c r="D980" s="7">
        <v>0</v>
      </c>
      <c r="E980" s="7">
        <v>0</v>
      </c>
      <c r="F980" s="7">
        <v>0</v>
      </c>
      <c r="G980" s="7">
        <v>0</v>
      </c>
      <c r="H980" s="7">
        <v>0</v>
      </c>
      <c r="I980" s="7">
        <v>0</v>
      </c>
      <c r="J980" s="7">
        <v>0</v>
      </c>
      <c r="K980" s="7">
        <v>0</v>
      </c>
      <c r="L980" s="7">
        <v>0</v>
      </c>
      <c r="M980" s="7">
        <v>0</v>
      </c>
      <c r="N980" s="7">
        <v>0</v>
      </c>
      <c r="O980" s="7">
        <v>0</v>
      </c>
      <c r="P980" s="7">
        <v>0</v>
      </c>
      <c r="Q980" s="7">
        <v>0</v>
      </c>
    </row>
    <row r="981" spans="1:17">
      <c r="A981" s="2">
        <v>2929</v>
      </c>
      <c r="B981" s="7">
        <v>0</v>
      </c>
      <c r="C981" s="7">
        <v>0</v>
      </c>
      <c r="D981" s="7">
        <v>0</v>
      </c>
      <c r="E981" s="7">
        <v>0</v>
      </c>
      <c r="F981" s="7">
        <v>0</v>
      </c>
      <c r="G981" s="7">
        <v>0</v>
      </c>
      <c r="H981" s="7">
        <v>0</v>
      </c>
      <c r="I981" s="7">
        <v>0</v>
      </c>
      <c r="J981" s="7">
        <v>0</v>
      </c>
      <c r="K981" s="7">
        <v>0</v>
      </c>
      <c r="L981" s="7">
        <v>0</v>
      </c>
      <c r="M981" s="7">
        <v>0</v>
      </c>
      <c r="N981" s="7">
        <v>0</v>
      </c>
      <c r="O981" s="7">
        <v>0</v>
      </c>
      <c r="P981" s="7">
        <v>0</v>
      </c>
      <c r="Q981" s="7">
        <v>0</v>
      </c>
    </row>
    <row r="982" spans="1:17">
      <c r="A982" s="2">
        <v>2930</v>
      </c>
      <c r="B982" s="7">
        <v>0</v>
      </c>
      <c r="C982" s="7">
        <v>0</v>
      </c>
      <c r="D982" s="7">
        <v>0</v>
      </c>
      <c r="E982" s="7">
        <v>0</v>
      </c>
      <c r="F982" s="7">
        <v>0</v>
      </c>
      <c r="G982" s="7">
        <v>0</v>
      </c>
      <c r="H982" s="7">
        <v>0</v>
      </c>
      <c r="I982" s="7">
        <v>0</v>
      </c>
      <c r="J982" s="7">
        <v>0</v>
      </c>
      <c r="K982" s="7">
        <v>0</v>
      </c>
      <c r="L982" s="7">
        <v>0</v>
      </c>
      <c r="M982" s="7">
        <v>0</v>
      </c>
      <c r="N982" s="7">
        <v>0</v>
      </c>
      <c r="O982" s="7">
        <v>0</v>
      </c>
      <c r="P982" s="7">
        <v>0</v>
      </c>
      <c r="Q982" s="7">
        <v>0</v>
      </c>
    </row>
    <row r="983" spans="1:17">
      <c r="A983" s="2">
        <v>2931</v>
      </c>
      <c r="B983" s="7">
        <v>0</v>
      </c>
      <c r="C983" s="7">
        <v>0</v>
      </c>
      <c r="D983" s="7">
        <v>0</v>
      </c>
      <c r="E983" s="7">
        <v>0</v>
      </c>
      <c r="F983" s="7">
        <v>0</v>
      </c>
      <c r="G983" s="7">
        <v>0</v>
      </c>
      <c r="H983" s="7">
        <v>0</v>
      </c>
      <c r="I983" s="7">
        <v>0</v>
      </c>
      <c r="J983" s="7">
        <v>0</v>
      </c>
      <c r="K983" s="7">
        <v>0</v>
      </c>
      <c r="L983" s="7">
        <v>0</v>
      </c>
      <c r="M983" s="7">
        <v>0</v>
      </c>
      <c r="N983" s="7">
        <v>0</v>
      </c>
      <c r="O983" s="7">
        <v>0</v>
      </c>
      <c r="P983" s="7">
        <v>0</v>
      </c>
      <c r="Q983" s="7">
        <v>0</v>
      </c>
    </row>
    <row r="984" spans="1:17">
      <c r="A984" s="2">
        <v>2932</v>
      </c>
      <c r="B984" s="7">
        <v>0</v>
      </c>
      <c r="C984" s="7">
        <v>0</v>
      </c>
      <c r="D984" s="7">
        <v>0</v>
      </c>
      <c r="E984" s="7">
        <v>0</v>
      </c>
      <c r="F984" s="7">
        <v>0</v>
      </c>
      <c r="G984" s="7">
        <v>0</v>
      </c>
      <c r="H984" s="7">
        <v>0</v>
      </c>
      <c r="I984" s="7">
        <v>0</v>
      </c>
      <c r="J984" s="7">
        <v>0</v>
      </c>
      <c r="K984" s="7">
        <v>0</v>
      </c>
      <c r="L984" s="7">
        <v>0</v>
      </c>
      <c r="M984" s="7">
        <v>0</v>
      </c>
      <c r="N984" s="7">
        <v>0</v>
      </c>
      <c r="O984" s="7">
        <v>0</v>
      </c>
      <c r="P984" s="7">
        <v>0</v>
      </c>
      <c r="Q984" s="7">
        <v>0</v>
      </c>
    </row>
    <row r="985" spans="1:17">
      <c r="A985" s="2">
        <v>2933</v>
      </c>
      <c r="B985" s="7">
        <v>0</v>
      </c>
      <c r="C985" s="7">
        <v>0</v>
      </c>
      <c r="D985" s="7">
        <v>0</v>
      </c>
      <c r="E985" s="7">
        <v>0</v>
      </c>
      <c r="F985" s="7">
        <v>0</v>
      </c>
      <c r="G985" s="7">
        <v>0</v>
      </c>
      <c r="H985" s="7">
        <v>0</v>
      </c>
      <c r="I985" s="7">
        <v>0</v>
      </c>
      <c r="J985" s="7">
        <v>0</v>
      </c>
      <c r="K985" s="7">
        <v>0</v>
      </c>
      <c r="L985" s="7">
        <v>0</v>
      </c>
      <c r="M985" s="7">
        <v>0</v>
      </c>
      <c r="N985" s="7">
        <v>0</v>
      </c>
      <c r="O985" s="7">
        <v>0</v>
      </c>
      <c r="P985" s="7">
        <v>0</v>
      </c>
      <c r="Q985" s="7">
        <v>0</v>
      </c>
    </row>
    <row r="986" spans="1:17">
      <c r="A986" s="2">
        <v>2934</v>
      </c>
      <c r="B986" s="7">
        <v>0</v>
      </c>
      <c r="C986" s="7">
        <v>0</v>
      </c>
      <c r="D986" s="7">
        <v>0</v>
      </c>
      <c r="E986" s="7">
        <v>0</v>
      </c>
      <c r="F986" s="7">
        <v>0</v>
      </c>
      <c r="G986" s="7">
        <v>0</v>
      </c>
      <c r="H986" s="7">
        <v>0</v>
      </c>
      <c r="I986" s="7">
        <v>0</v>
      </c>
      <c r="J986" s="7">
        <v>0</v>
      </c>
      <c r="K986" s="7">
        <v>0</v>
      </c>
      <c r="L986" s="7">
        <v>0</v>
      </c>
      <c r="M986" s="7">
        <v>0</v>
      </c>
      <c r="N986" s="7">
        <v>0</v>
      </c>
      <c r="O986" s="7">
        <v>0</v>
      </c>
      <c r="P986" s="7">
        <v>0</v>
      </c>
      <c r="Q986" s="7">
        <v>0</v>
      </c>
    </row>
    <row r="987" spans="1:17">
      <c r="A987" s="2">
        <v>2935</v>
      </c>
      <c r="B987" s="7">
        <v>0</v>
      </c>
      <c r="C987" s="7">
        <v>0</v>
      </c>
      <c r="D987" s="7">
        <v>0</v>
      </c>
      <c r="E987" s="7">
        <v>0</v>
      </c>
      <c r="F987" s="7">
        <v>0</v>
      </c>
      <c r="G987" s="7">
        <v>0</v>
      </c>
      <c r="H987" s="7">
        <v>0</v>
      </c>
      <c r="I987" s="7">
        <v>0</v>
      </c>
      <c r="J987" s="7">
        <v>0</v>
      </c>
      <c r="K987" s="7">
        <v>0</v>
      </c>
      <c r="L987" s="7">
        <v>0</v>
      </c>
      <c r="M987" s="7">
        <v>0</v>
      </c>
      <c r="N987" s="7">
        <v>0</v>
      </c>
      <c r="O987" s="7">
        <v>0</v>
      </c>
      <c r="P987" s="7">
        <v>0</v>
      </c>
      <c r="Q987" s="7">
        <v>0</v>
      </c>
    </row>
    <row r="988" spans="1:17">
      <c r="A988" s="2">
        <v>2936</v>
      </c>
      <c r="B988" s="7">
        <v>0</v>
      </c>
      <c r="C988" s="7">
        <v>0</v>
      </c>
      <c r="D988" s="7">
        <v>0</v>
      </c>
      <c r="E988" s="7">
        <v>0</v>
      </c>
      <c r="F988" s="7">
        <v>0</v>
      </c>
      <c r="G988" s="7">
        <v>0</v>
      </c>
      <c r="H988" s="7">
        <v>0</v>
      </c>
      <c r="I988" s="7">
        <v>0</v>
      </c>
      <c r="J988" s="7">
        <v>0</v>
      </c>
      <c r="K988" s="7">
        <v>0</v>
      </c>
      <c r="L988" s="7">
        <v>0</v>
      </c>
      <c r="M988" s="7">
        <v>0</v>
      </c>
      <c r="N988" s="7">
        <v>0</v>
      </c>
      <c r="O988" s="7">
        <v>0</v>
      </c>
      <c r="P988" s="7">
        <v>0</v>
      </c>
      <c r="Q988" s="7">
        <v>0</v>
      </c>
    </row>
    <row r="989" spans="1:17">
      <c r="A989" s="2">
        <v>2937</v>
      </c>
      <c r="B989" s="7">
        <v>0</v>
      </c>
      <c r="C989" s="7">
        <v>0</v>
      </c>
      <c r="D989" s="7">
        <v>0</v>
      </c>
      <c r="E989" s="7">
        <v>0</v>
      </c>
      <c r="F989" s="7">
        <v>0</v>
      </c>
      <c r="G989" s="7">
        <v>0</v>
      </c>
      <c r="H989" s="7">
        <v>0</v>
      </c>
      <c r="I989" s="7">
        <v>0</v>
      </c>
      <c r="J989" s="7">
        <v>0</v>
      </c>
      <c r="K989" s="7">
        <v>0</v>
      </c>
      <c r="L989" s="7">
        <v>0</v>
      </c>
      <c r="M989" s="7">
        <v>0</v>
      </c>
      <c r="N989" s="7">
        <v>0</v>
      </c>
      <c r="O989" s="7">
        <v>0</v>
      </c>
      <c r="P989" s="7">
        <v>0</v>
      </c>
      <c r="Q989" s="7">
        <v>0</v>
      </c>
    </row>
    <row r="990" spans="1:17">
      <c r="A990" s="2">
        <v>2938</v>
      </c>
      <c r="B990" s="7">
        <v>0</v>
      </c>
      <c r="C990" s="7">
        <v>0</v>
      </c>
      <c r="D990" s="7">
        <v>0</v>
      </c>
      <c r="E990" s="7">
        <v>0</v>
      </c>
      <c r="F990" s="7">
        <v>0</v>
      </c>
      <c r="G990" s="7">
        <v>0</v>
      </c>
      <c r="H990" s="7">
        <v>0</v>
      </c>
      <c r="I990" s="7">
        <v>0</v>
      </c>
      <c r="J990" s="7">
        <v>0</v>
      </c>
      <c r="K990" s="7">
        <v>0</v>
      </c>
      <c r="L990" s="7">
        <v>0</v>
      </c>
      <c r="M990" s="7">
        <v>0</v>
      </c>
      <c r="N990" s="7">
        <v>0</v>
      </c>
      <c r="O990" s="7">
        <v>0</v>
      </c>
      <c r="P990" s="7">
        <v>0</v>
      </c>
      <c r="Q990" s="7">
        <v>0</v>
      </c>
    </row>
    <row r="991" spans="1:17">
      <c r="A991" s="2">
        <v>2939</v>
      </c>
      <c r="B991" s="7">
        <v>0</v>
      </c>
      <c r="C991" s="7">
        <v>0</v>
      </c>
      <c r="D991" s="7">
        <v>0</v>
      </c>
      <c r="E991" s="7">
        <v>0</v>
      </c>
      <c r="F991" s="7">
        <v>0</v>
      </c>
      <c r="G991" s="7">
        <v>0</v>
      </c>
      <c r="H991" s="7">
        <v>0</v>
      </c>
      <c r="I991" s="7">
        <v>0</v>
      </c>
      <c r="J991" s="7">
        <v>0</v>
      </c>
      <c r="K991" s="7">
        <v>0</v>
      </c>
      <c r="L991" s="7">
        <v>0</v>
      </c>
      <c r="M991" s="7">
        <v>0</v>
      </c>
      <c r="N991" s="7">
        <v>0</v>
      </c>
      <c r="O991" s="7">
        <v>0</v>
      </c>
      <c r="P991" s="7">
        <v>0</v>
      </c>
      <c r="Q991" s="7">
        <v>0</v>
      </c>
    </row>
    <row r="992" spans="1:17">
      <c r="A992" s="2">
        <v>2940</v>
      </c>
      <c r="B992" s="7">
        <v>0</v>
      </c>
      <c r="C992" s="7">
        <v>0</v>
      </c>
      <c r="D992" s="7">
        <v>0</v>
      </c>
      <c r="E992" s="7">
        <v>0</v>
      </c>
      <c r="F992" s="7">
        <v>0</v>
      </c>
      <c r="G992" s="7">
        <v>0</v>
      </c>
      <c r="H992" s="7">
        <v>0</v>
      </c>
      <c r="I992" s="7">
        <v>0</v>
      </c>
      <c r="J992" s="7">
        <v>0</v>
      </c>
      <c r="K992" s="7">
        <v>0</v>
      </c>
      <c r="L992" s="7">
        <v>0</v>
      </c>
      <c r="M992" s="7">
        <v>0</v>
      </c>
      <c r="N992" s="7">
        <v>0</v>
      </c>
      <c r="O992" s="7">
        <v>0</v>
      </c>
      <c r="P992" s="7">
        <v>0</v>
      </c>
      <c r="Q992" s="7">
        <v>0</v>
      </c>
    </row>
    <row r="993" spans="1:17">
      <c r="A993" s="2">
        <v>2941</v>
      </c>
      <c r="B993" s="7">
        <v>0</v>
      </c>
      <c r="C993" s="7">
        <v>0</v>
      </c>
      <c r="D993" s="7">
        <v>0</v>
      </c>
      <c r="E993" s="7">
        <v>0</v>
      </c>
      <c r="F993" s="7">
        <v>0</v>
      </c>
      <c r="G993" s="7">
        <v>0</v>
      </c>
      <c r="H993" s="7">
        <v>0</v>
      </c>
      <c r="I993" s="7">
        <v>0</v>
      </c>
      <c r="J993" s="7">
        <v>0</v>
      </c>
      <c r="K993" s="7">
        <v>0</v>
      </c>
      <c r="L993" s="7">
        <v>0</v>
      </c>
      <c r="M993" s="7">
        <v>0</v>
      </c>
      <c r="N993" s="7">
        <v>0</v>
      </c>
      <c r="O993" s="7">
        <v>0</v>
      </c>
      <c r="P993" s="7">
        <v>0</v>
      </c>
      <c r="Q993" s="7">
        <v>0</v>
      </c>
    </row>
    <row r="994" spans="1:17">
      <c r="A994" s="2">
        <v>2942</v>
      </c>
      <c r="B994" s="7">
        <v>0</v>
      </c>
      <c r="C994" s="7">
        <v>0</v>
      </c>
      <c r="D994" s="7">
        <v>0</v>
      </c>
      <c r="E994" s="7">
        <v>0</v>
      </c>
      <c r="F994" s="7">
        <v>0</v>
      </c>
      <c r="G994" s="7">
        <v>0</v>
      </c>
      <c r="H994" s="7">
        <v>0</v>
      </c>
      <c r="I994" s="7">
        <v>0</v>
      </c>
      <c r="J994" s="7">
        <v>0</v>
      </c>
      <c r="K994" s="7">
        <v>0</v>
      </c>
      <c r="L994" s="7">
        <v>0</v>
      </c>
      <c r="M994" s="7">
        <v>0</v>
      </c>
      <c r="N994" s="7">
        <v>0</v>
      </c>
      <c r="O994" s="7">
        <v>0</v>
      </c>
      <c r="P994" s="7">
        <v>0</v>
      </c>
      <c r="Q994" s="7">
        <v>0</v>
      </c>
    </row>
    <row r="995" spans="1:17">
      <c r="A995" s="2">
        <v>2943</v>
      </c>
      <c r="B995" s="7">
        <v>0</v>
      </c>
      <c r="C995" s="7">
        <v>0</v>
      </c>
      <c r="D995" s="7">
        <v>0</v>
      </c>
      <c r="E995" s="7">
        <v>0</v>
      </c>
      <c r="F995" s="7">
        <v>0</v>
      </c>
      <c r="G995" s="7">
        <v>0</v>
      </c>
      <c r="H995" s="7">
        <v>0</v>
      </c>
      <c r="I995" s="7">
        <v>0</v>
      </c>
      <c r="J995" s="7">
        <v>0</v>
      </c>
      <c r="K995" s="7">
        <v>0</v>
      </c>
      <c r="L995" s="7">
        <v>0</v>
      </c>
      <c r="M995" s="7">
        <v>0</v>
      </c>
      <c r="N995" s="7">
        <v>0</v>
      </c>
      <c r="O995" s="7">
        <v>0</v>
      </c>
      <c r="P995" s="7">
        <v>0</v>
      </c>
      <c r="Q995" s="7">
        <v>0</v>
      </c>
    </row>
    <row r="996" spans="1:17">
      <c r="A996" s="2">
        <v>2944</v>
      </c>
      <c r="B996" s="7">
        <v>0</v>
      </c>
      <c r="C996" s="7">
        <v>0</v>
      </c>
      <c r="D996" s="7">
        <v>0</v>
      </c>
      <c r="E996" s="7">
        <v>0</v>
      </c>
      <c r="F996" s="7">
        <v>0</v>
      </c>
      <c r="G996" s="7">
        <v>0</v>
      </c>
      <c r="H996" s="7">
        <v>0</v>
      </c>
      <c r="I996" s="7">
        <v>0</v>
      </c>
      <c r="J996" s="7">
        <v>0</v>
      </c>
      <c r="K996" s="7">
        <v>0</v>
      </c>
      <c r="L996" s="7">
        <v>0</v>
      </c>
      <c r="M996" s="7">
        <v>0</v>
      </c>
      <c r="N996" s="7">
        <v>0</v>
      </c>
      <c r="O996" s="7">
        <v>0</v>
      </c>
      <c r="P996" s="7">
        <v>0</v>
      </c>
      <c r="Q996" s="7">
        <v>0</v>
      </c>
    </row>
    <row r="997" spans="1:17">
      <c r="A997" s="2">
        <v>2945</v>
      </c>
      <c r="B997" s="7">
        <v>0</v>
      </c>
      <c r="C997" s="7">
        <v>0</v>
      </c>
      <c r="D997" s="7">
        <v>0</v>
      </c>
      <c r="E997" s="7">
        <v>0</v>
      </c>
      <c r="F997" s="7">
        <v>0</v>
      </c>
      <c r="G997" s="7">
        <v>0</v>
      </c>
      <c r="H997" s="7">
        <v>0</v>
      </c>
      <c r="I997" s="7">
        <v>0</v>
      </c>
      <c r="J997" s="7">
        <v>0</v>
      </c>
      <c r="K997" s="7">
        <v>0</v>
      </c>
      <c r="L997" s="7">
        <v>0</v>
      </c>
      <c r="M997" s="7">
        <v>0</v>
      </c>
      <c r="N997" s="7">
        <v>0</v>
      </c>
      <c r="O997" s="7">
        <v>0</v>
      </c>
      <c r="P997" s="7">
        <v>0</v>
      </c>
      <c r="Q997" s="7">
        <v>0</v>
      </c>
    </row>
    <row r="998" spans="1:17">
      <c r="A998" s="2">
        <v>2946</v>
      </c>
      <c r="B998" s="7">
        <v>0</v>
      </c>
      <c r="C998" s="7">
        <v>0</v>
      </c>
      <c r="D998" s="7">
        <v>0</v>
      </c>
      <c r="E998" s="7">
        <v>0</v>
      </c>
      <c r="F998" s="7">
        <v>0</v>
      </c>
      <c r="G998" s="7">
        <v>0</v>
      </c>
      <c r="H998" s="7">
        <v>0</v>
      </c>
      <c r="I998" s="7">
        <v>0</v>
      </c>
      <c r="J998" s="7">
        <v>0</v>
      </c>
      <c r="K998" s="7">
        <v>0</v>
      </c>
      <c r="L998" s="7">
        <v>0</v>
      </c>
      <c r="M998" s="7">
        <v>0</v>
      </c>
      <c r="N998" s="7">
        <v>0</v>
      </c>
      <c r="O998" s="7">
        <v>0</v>
      </c>
      <c r="P998" s="7">
        <v>0</v>
      </c>
      <c r="Q998" s="7">
        <v>0</v>
      </c>
    </row>
    <row r="999" spans="1:17">
      <c r="A999" s="2">
        <v>2947</v>
      </c>
      <c r="B999" s="7">
        <v>0</v>
      </c>
      <c r="C999" s="7">
        <v>0</v>
      </c>
      <c r="D999" s="7">
        <v>0</v>
      </c>
      <c r="E999" s="7">
        <v>0</v>
      </c>
      <c r="F999" s="7">
        <v>0</v>
      </c>
      <c r="G999" s="7">
        <v>0</v>
      </c>
      <c r="H999" s="7">
        <v>0</v>
      </c>
      <c r="I999" s="7">
        <v>0</v>
      </c>
      <c r="J999" s="7">
        <v>0</v>
      </c>
      <c r="K999" s="7">
        <v>0</v>
      </c>
      <c r="L999" s="7">
        <v>0</v>
      </c>
      <c r="M999" s="7">
        <v>0</v>
      </c>
      <c r="N999" s="7">
        <v>0</v>
      </c>
      <c r="O999" s="7">
        <v>0</v>
      </c>
      <c r="P999" s="7">
        <v>0</v>
      </c>
      <c r="Q999" s="7">
        <v>0</v>
      </c>
    </row>
    <row r="1000" spans="1:17">
      <c r="A1000" s="2">
        <v>2948</v>
      </c>
      <c r="B1000" s="7">
        <v>0</v>
      </c>
      <c r="C1000" s="7">
        <v>0</v>
      </c>
      <c r="D1000" s="7">
        <v>0</v>
      </c>
      <c r="E1000" s="7">
        <v>0</v>
      </c>
      <c r="F1000" s="7">
        <v>0</v>
      </c>
      <c r="G1000" s="7">
        <v>0</v>
      </c>
      <c r="H1000" s="7">
        <v>0</v>
      </c>
      <c r="I1000" s="7">
        <v>0</v>
      </c>
      <c r="J1000" s="7">
        <v>0</v>
      </c>
      <c r="K1000" s="7">
        <v>0</v>
      </c>
      <c r="L1000" s="7">
        <v>0</v>
      </c>
      <c r="M1000" s="7">
        <v>0</v>
      </c>
      <c r="N1000" s="7">
        <v>0</v>
      </c>
      <c r="O1000" s="7">
        <v>0</v>
      </c>
      <c r="P1000" s="7">
        <v>0</v>
      </c>
      <c r="Q1000" s="7">
        <v>0</v>
      </c>
    </row>
    <row r="1001" spans="1:17">
      <c r="A1001" s="2">
        <v>2949</v>
      </c>
      <c r="B1001" s="7">
        <v>0</v>
      </c>
      <c r="C1001" s="7">
        <v>0</v>
      </c>
      <c r="D1001" s="7">
        <v>0</v>
      </c>
      <c r="E1001" s="7">
        <v>0</v>
      </c>
      <c r="F1001" s="7">
        <v>0</v>
      </c>
      <c r="G1001" s="7">
        <v>0</v>
      </c>
      <c r="H1001" s="7">
        <v>0</v>
      </c>
      <c r="I1001" s="7">
        <v>0</v>
      </c>
      <c r="J1001" s="7">
        <v>0</v>
      </c>
      <c r="K1001" s="7">
        <v>0</v>
      </c>
      <c r="L1001" s="7">
        <v>0</v>
      </c>
      <c r="M1001" s="7">
        <v>0</v>
      </c>
      <c r="N1001" s="7">
        <v>0</v>
      </c>
      <c r="O1001" s="7">
        <v>0</v>
      </c>
      <c r="P1001" s="7">
        <v>0</v>
      </c>
      <c r="Q1001" s="7">
        <v>0</v>
      </c>
    </row>
    <row r="1002" spans="1:17">
      <c r="A1002" s="2">
        <v>2950</v>
      </c>
      <c r="B1002" s="7">
        <v>0</v>
      </c>
      <c r="C1002" s="7">
        <v>0</v>
      </c>
      <c r="D1002" s="7">
        <v>0</v>
      </c>
      <c r="E1002" s="7">
        <v>0</v>
      </c>
      <c r="F1002" s="7">
        <v>0</v>
      </c>
      <c r="G1002" s="7">
        <v>0</v>
      </c>
      <c r="H1002" s="7">
        <v>0</v>
      </c>
      <c r="I1002" s="7">
        <v>0</v>
      </c>
      <c r="J1002" s="7">
        <v>0</v>
      </c>
      <c r="K1002" s="7">
        <v>0</v>
      </c>
      <c r="L1002" s="7">
        <v>0</v>
      </c>
      <c r="M1002" s="7">
        <v>0</v>
      </c>
      <c r="N1002" s="7">
        <v>0</v>
      </c>
      <c r="O1002" s="7">
        <v>0</v>
      </c>
      <c r="P1002" s="7">
        <v>0</v>
      </c>
      <c r="Q1002" s="7">
        <v>0</v>
      </c>
    </row>
    <row r="1003" spans="1:17">
      <c r="A1003" s="2">
        <v>2951</v>
      </c>
      <c r="B1003" s="7">
        <v>0</v>
      </c>
      <c r="C1003" s="7">
        <v>0</v>
      </c>
      <c r="D1003" s="7">
        <v>0</v>
      </c>
      <c r="E1003" s="7">
        <v>0</v>
      </c>
      <c r="F1003" s="7">
        <v>0</v>
      </c>
      <c r="G1003" s="7">
        <v>0</v>
      </c>
      <c r="H1003" s="7">
        <v>0</v>
      </c>
      <c r="I1003" s="7">
        <v>0</v>
      </c>
      <c r="J1003" s="7">
        <v>0</v>
      </c>
      <c r="K1003" s="7">
        <v>0</v>
      </c>
      <c r="L1003" s="7">
        <v>0</v>
      </c>
      <c r="M1003" s="7">
        <v>0</v>
      </c>
      <c r="N1003" s="7">
        <v>0</v>
      </c>
      <c r="O1003" s="7">
        <v>0</v>
      </c>
      <c r="P1003" s="7">
        <v>0</v>
      </c>
      <c r="Q1003" s="7">
        <v>0</v>
      </c>
    </row>
    <row r="1004" spans="1:17">
      <c r="A1004" s="2">
        <v>2952</v>
      </c>
      <c r="B1004" s="7">
        <v>0</v>
      </c>
      <c r="C1004" s="7">
        <v>0</v>
      </c>
      <c r="D1004" s="7">
        <v>0</v>
      </c>
      <c r="E1004" s="7">
        <v>0</v>
      </c>
      <c r="F1004" s="7">
        <v>0</v>
      </c>
      <c r="G1004" s="7">
        <v>0</v>
      </c>
      <c r="H1004" s="7">
        <v>0</v>
      </c>
      <c r="I1004" s="7">
        <v>0</v>
      </c>
      <c r="J1004" s="7">
        <v>0</v>
      </c>
      <c r="K1004" s="7">
        <v>0</v>
      </c>
      <c r="L1004" s="7">
        <v>0</v>
      </c>
      <c r="M1004" s="7">
        <v>0</v>
      </c>
      <c r="N1004" s="7">
        <v>0</v>
      </c>
      <c r="O1004" s="7">
        <v>0</v>
      </c>
      <c r="P1004" s="7">
        <v>0</v>
      </c>
      <c r="Q1004" s="7">
        <v>0</v>
      </c>
    </row>
    <row r="1005" spans="1:17">
      <c r="A1005" s="2">
        <v>2953</v>
      </c>
      <c r="B1005" s="7">
        <v>0</v>
      </c>
      <c r="C1005" s="7">
        <v>0</v>
      </c>
      <c r="D1005" s="7">
        <v>0</v>
      </c>
      <c r="E1005" s="7">
        <v>0</v>
      </c>
      <c r="F1005" s="7">
        <v>0</v>
      </c>
      <c r="G1005" s="7">
        <v>0</v>
      </c>
      <c r="H1005" s="7">
        <v>0</v>
      </c>
      <c r="I1005" s="7">
        <v>0</v>
      </c>
      <c r="J1005" s="7">
        <v>0</v>
      </c>
      <c r="K1005" s="7">
        <v>0</v>
      </c>
      <c r="L1005" s="7">
        <v>0</v>
      </c>
      <c r="M1005" s="7">
        <v>0</v>
      </c>
      <c r="N1005" s="7">
        <v>0</v>
      </c>
      <c r="O1005" s="7">
        <v>0</v>
      </c>
      <c r="P1005" s="7">
        <v>0</v>
      </c>
      <c r="Q1005" s="7">
        <v>0</v>
      </c>
    </row>
    <row r="1006" spans="1:17">
      <c r="A1006" s="2">
        <v>2954</v>
      </c>
      <c r="B1006" s="7">
        <v>0</v>
      </c>
      <c r="C1006" s="7">
        <v>0</v>
      </c>
      <c r="D1006" s="7">
        <v>0</v>
      </c>
      <c r="E1006" s="7">
        <v>0</v>
      </c>
      <c r="F1006" s="7">
        <v>0</v>
      </c>
      <c r="G1006" s="7">
        <v>0</v>
      </c>
      <c r="H1006" s="7">
        <v>0</v>
      </c>
      <c r="I1006" s="7">
        <v>0</v>
      </c>
      <c r="J1006" s="7">
        <v>0</v>
      </c>
      <c r="K1006" s="7">
        <v>0</v>
      </c>
      <c r="L1006" s="7">
        <v>0</v>
      </c>
      <c r="M1006" s="7">
        <v>0</v>
      </c>
      <c r="N1006" s="7">
        <v>0</v>
      </c>
      <c r="O1006" s="7">
        <v>0</v>
      </c>
      <c r="P1006" s="7">
        <v>0</v>
      </c>
      <c r="Q1006" s="7">
        <v>0</v>
      </c>
    </row>
    <row r="1007" spans="1:17">
      <c r="A1007" s="2">
        <v>2955</v>
      </c>
      <c r="B1007" s="7">
        <v>0</v>
      </c>
      <c r="C1007" s="7">
        <v>0</v>
      </c>
      <c r="D1007" s="7">
        <v>0</v>
      </c>
      <c r="E1007" s="7">
        <v>0</v>
      </c>
      <c r="F1007" s="7">
        <v>0</v>
      </c>
      <c r="G1007" s="7">
        <v>0</v>
      </c>
      <c r="H1007" s="7">
        <v>0</v>
      </c>
      <c r="I1007" s="7">
        <v>0</v>
      </c>
      <c r="J1007" s="7">
        <v>0</v>
      </c>
      <c r="K1007" s="7">
        <v>0</v>
      </c>
      <c r="L1007" s="7">
        <v>0</v>
      </c>
      <c r="M1007" s="7">
        <v>0</v>
      </c>
      <c r="N1007" s="7">
        <v>0</v>
      </c>
      <c r="O1007" s="7">
        <v>0</v>
      </c>
      <c r="P1007" s="7">
        <v>0</v>
      </c>
      <c r="Q1007" s="7">
        <v>0</v>
      </c>
    </row>
    <row r="1008" spans="1:17">
      <c r="A1008" s="2">
        <v>2956</v>
      </c>
      <c r="B1008" s="7">
        <v>0</v>
      </c>
      <c r="C1008" s="7">
        <v>0</v>
      </c>
      <c r="D1008" s="7">
        <v>0</v>
      </c>
      <c r="E1008" s="7">
        <v>0</v>
      </c>
      <c r="F1008" s="7">
        <v>0</v>
      </c>
      <c r="G1008" s="7">
        <v>0</v>
      </c>
      <c r="H1008" s="7">
        <v>0</v>
      </c>
      <c r="I1008" s="7">
        <v>0</v>
      </c>
      <c r="J1008" s="7">
        <v>0</v>
      </c>
      <c r="K1008" s="7">
        <v>0</v>
      </c>
      <c r="L1008" s="7">
        <v>0</v>
      </c>
      <c r="M1008" s="7">
        <v>0</v>
      </c>
      <c r="N1008" s="7">
        <v>0</v>
      </c>
      <c r="O1008" s="7">
        <v>0</v>
      </c>
      <c r="P1008" s="7">
        <v>0</v>
      </c>
      <c r="Q1008" s="7">
        <v>0</v>
      </c>
    </row>
    <row r="1009" spans="1:17">
      <c r="A1009" s="2">
        <v>2957</v>
      </c>
      <c r="B1009" s="7">
        <v>0</v>
      </c>
      <c r="C1009" s="7">
        <v>0</v>
      </c>
      <c r="D1009" s="7">
        <v>0</v>
      </c>
      <c r="E1009" s="7">
        <v>0</v>
      </c>
      <c r="F1009" s="7">
        <v>0</v>
      </c>
      <c r="G1009" s="7">
        <v>0</v>
      </c>
      <c r="H1009" s="7">
        <v>0</v>
      </c>
      <c r="I1009" s="7">
        <v>0</v>
      </c>
      <c r="J1009" s="7">
        <v>0</v>
      </c>
      <c r="K1009" s="7">
        <v>0</v>
      </c>
      <c r="L1009" s="7">
        <v>0</v>
      </c>
      <c r="M1009" s="7">
        <v>0</v>
      </c>
      <c r="N1009" s="7">
        <v>0</v>
      </c>
      <c r="O1009" s="7">
        <v>0</v>
      </c>
      <c r="P1009" s="7">
        <v>0</v>
      </c>
      <c r="Q1009" s="7">
        <v>0</v>
      </c>
    </row>
    <row r="1010" spans="1:17">
      <c r="A1010" s="2">
        <v>2958</v>
      </c>
      <c r="B1010" s="7">
        <v>0</v>
      </c>
      <c r="C1010" s="7">
        <v>0</v>
      </c>
      <c r="D1010" s="7">
        <v>0</v>
      </c>
      <c r="E1010" s="7">
        <v>0</v>
      </c>
      <c r="F1010" s="7">
        <v>0</v>
      </c>
      <c r="G1010" s="7">
        <v>0</v>
      </c>
      <c r="H1010" s="7">
        <v>0</v>
      </c>
      <c r="I1010" s="7">
        <v>0</v>
      </c>
      <c r="J1010" s="7">
        <v>0</v>
      </c>
      <c r="K1010" s="7">
        <v>0</v>
      </c>
      <c r="L1010" s="7">
        <v>0</v>
      </c>
      <c r="M1010" s="7">
        <v>0</v>
      </c>
      <c r="N1010" s="7">
        <v>0</v>
      </c>
      <c r="O1010" s="7">
        <v>0</v>
      </c>
      <c r="P1010" s="7">
        <v>0</v>
      </c>
      <c r="Q1010" s="7">
        <v>0</v>
      </c>
    </row>
    <row r="1011" spans="1:17">
      <c r="A1011" s="2">
        <v>2959</v>
      </c>
      <c r="B1011" s="7">
        <v>0</v>
      </c>
      <c r="C1011" s="7">
        <v>0</v>
      </c>
      <c r="D1011" s="7">
        <v>0</v>
      </c>
      <c r="E1011" s="7">
        <v>0</v>
      </c>
      <c r="F1011" s="7">
        <v>0</v>
      </c>
      <c r="G1011" s="7">
        <v>0</v>
      </c>
      <c r="H1011" s="7">
        <v>0</v>
      </c>
      <c r="I1011" s="7">
        <v>0</v>
      </c>
      <c r="J1011" s="7">
        <v>0</v>
      </c>
      <c r="K1011" s="7">
        <v>0</v>
      </c>
      <c r="L1011" s="7">
        <v>0</v>
      </c>
      <c r="M1011" s="7">
        <v>0</v>
      </c>
      <c r="N1011" s="7">
        <v>0</v>
      </c>
      <c r="O1011" s="7">
        <v>0</v>
      </c>
      <c r="P1011" s="7">
        <v>0</v>
      </c>
      <c r="Q1011" s="7">
        <v>0</v>
      </c>
    </row>
    <row r="1012" spans="1:17">
      <c r="A1012" s="2">
        <v>2960</v>
      </c>
      <c r="B1012" s="7">
        <v>0</v>
      </c>
      <c r="C1012" s="7">
        <v>0</v>
      </c>
      <c r="D1012" s="7">
        <v>0</v>
      </c>
      <c r="E1012" s="7">
        <v>0</v>
      </c>
      <c r="F1012" s="7">
        <v>0</v>
      </c>
      <c r="G1012" s="7">
        <v>0</v>
      </c>
      <c r="H1012" s="7">
        <v>0</v>
      </c>
      <c r="I1012" s="7">
        <v>0</v>
      </c>
      <c r="J1012" s="7">
        <v>0</v>
      </c>
      <c r="K1012" s="7">
        <v>0</v>
      </c>
      <c r="L1012" s="7">
        <v>0</v>
      </c>
      <c r="M1012" s="7">
        <v>0</v>
      </c>
      <c r="N1012" s="7">
        <v>0</v>
      </c>
      <c r="O1012" s="7">
        <v>0</v>
      </c>
      <c r="P1012" s="7">
        <v>0</v>
      </c>
      <c r="Q1012" s="7">
        <v>0</v>
      </c>
    </row>
    <row r="1013" spans="1:17">
      <c r="A1013" s="2">
        <v>2961</v>
      </c>
      <c r="B1013" s="7">
        <v>0</v>
      </c>
      <c r="C1013" s="7">
        <v>0</v>
      </c>
      <c r="D1013" s="7">
        <v>0</v>
      </c>
      <c r="E1013" s="7">
        <v>0</v>
      </c>
      <c r="F1013" s="7">
        <v>0</v>
      </c>
      <c r="G1013" s="7">
        <v>0</v>
      </c>
      <c r="H1013" s="7">
        <v>0</v>
      </c>
      <c r="I1013" s="7">
        <v>0</v>
      </c>
      <c r="J1013" s="7">
        <v>0</v>
      </c>
      <c r="K1013" s="7">
        <v>0</v>
      </c>
      <c r="L1013" s="7">
        <v>0</v>
      </c>
      <c r="M1013" s="7">
        <v>0</v>
      </c>
      <c r="N1013" s="7">
        <v>0</v>
      </c>
      <c r="O1013" s="7">
        <v>0</v>
      </c>
      <c r="P1013" s="7">
        <v>0</v>
      </c>
      <c r="Q1013" s="7">
        <v>0</v>
      </c>
    </row>
    <row r="1014" spans="1:17">
      <c r="A1014" s="2">
        <v>2962</v>
      </c>
      <c r="B1014" s="7">
        <v>0</v>
      </c>
      <c r="C1014" s="7">
        <v>0</v>
      </c>
      <c r="D1014" s="7">
        <v>0</v>
      </c>
      <c r="E1014" s="7">
        <v>0</v>
      </c>
      <c r="F1014" s="7">
        <v>0</v>
      </c>
      <c r="G1014" s="7">
        <v>0</v>
      </c>
      <c r="H1014" s="7">
        <v>0</v>
      </c>
      <c r="I1014" s="7">
        <v>0</v>
      </c>
      <c r="J1014" s="7">
        <v>0</v>
      </c>
      <c r="K1014" s="7">
        <v>0</v>
      </c>
      <c r="L1014" s="7">
        <v>0</v>
      </c>
      <c r="M1014" s="7">
        <v>0</v>
      </c>
      <c r="N1014" s="7">
        <v>0</v>
      </c>
      <c r="O1014" s="7">
        <v>0</v>
      </c>
      <c r="P1014" s="7">
        <v>0</v>
      </c>
      <c r="Q1014" s="7">
        <v>0</v>
      </c>
    </row>
    <row r="1015" spans="1:17">
      <c r="A1015" s="2">
        <v>2963</v>
      </c>
      <c r="B1015" s="7">
        <v>0</v>
      </c>
      <c r="C1015" s="7">
        <v>0</v>
      </c>
      <c r="D1015" s="7">
        <v>0</v>
      </c>
      <c r="E1015" s="7">
        <v>0</v>
      </c>
      <c r="F1015" s="7">
        <v>0</v>
      </c>
      <c r="G1015" s="7">
        <v>0</v>
      </c>
      <c r="H1015" s="7">
        <v>0</v>
      </c>
      <c r="I1015" s="7">
        <v>0</v>
      </c>
      <c r="J1015" s="7">
        <v>0</v>
      </c>
      <c r="K1015" s="7">
        <v>0</v>
      </c>
      <c r="L1015" s="7">
        <v>0</v>
      </c>
      <c r="M1015" s="7">
        <v>0</v>
      </c>
      <c r="N1015" s="7">
        <v>0</v>
      </c>
      <c r="O1015" s="7">
        <v>0</v>
      </c>
      <c r="P1015" s="7">
        <v>0</v>
      </c>
      <c r="Q1015" s="7">
        <v>0</v>
      </c>
    </row>
    <row r="1016" spans="1:17">
      <c r="A1016" s="2">
        <v>2964</v>
      </c>
      <c r="B1016" s="7">
        <v>0</v>
      </c>
      <c r="C1016" s="7">
        <v>0</v>
      </c>
      <c r="D1016" s="7">
        <v>0</v>
      </c>
      <c r="E1016" s="7">
        <v>0</v>
      </c>
      <c r="F1016" s="7">
        <v>0</v>
      </c>
      <c r="G1016" s="7">
        <v>0</v>
      </c>
      <c r="H1016" s="7">
        <v>0</v>
      </c>
      <c r="I1016" s="7">
        <v>0</v>
      </c>
      <c r="J1016" s="7">
        <v>0</v>
      </c>
      <c r="K1016" s="7">
        <v>0</v>
      </c>
      <c r="L1016" s="7">
        <v>0</v>
      </c>
      <c r="M1016" s="7">
        <v>0</v>
      </c>
      <c r="N1016" s="7">
        <v>0</v>
      </c>
      <c r="O1016" s="7">
        <v>0</v>
      </c>
      <c r="P1016" s="7">
        <v>0</v>
      </c>
      <c r="Q1016" s="7">
        <v>0</v>
      </c>
    </row>
    <row r="1017" spans="1:17">
      <c r="A1017" s="2">
        <v>2965</v>
      </c>
      <c r="B1017" s="7">
        <v>0</v>
      </c>
      <c r="C1017" s="7">
        <v>0</v>
      </c>
      <c r="D1017" s="7">
        <v>0</v>
      </c>
      <c r="E1017" s="7">
        <v>0</v>
      </c>
      <c r="F1017" s="7">
        <v>0</v>
      </c>
      <c r="G1017" s="7">
        <v>0</v>
      </c>
      <c r="H1017" s="7">
        <v>0</v>
      </c>
      <c r="I1017" s="7">
        <v>0</v>
      </c>
      <c r="J1017" s="7">
        <v>0</v>
      </c>
      <c r="K1017" s="7">
        <v>0</v>
      </c>
      <c r="L1017" s="7">
        <v>0</v>
      </c>
      <c r="M1017" s="7">
        <v>0</v>
      </c>
      <c r="N1017" s="7">
        <v>0</v>
      </c>
      <c r="O1017" s="7">
        <v>0</v>
      </c>
      <c r="P1017" s="7">
        <v>0</v>
      </c>
      <c r="Q1017" s="7">
        <v>0</v>
      </c>
    </row>
    <row r="1018" spans="1:17">
      <c r="A1018" s="2">
        <v>2966</v>
      </c>
      <c r="B1018" s="7">
        <v>0</v>
      </c>
      <c r="C1018" s="7">
        <v>0</v>
      </c>
      <c r="D1018" s="7">
        <v>0</v>
      </c>
      <c r="E1018" s="7">
        <v>0</v>
      </c>
      <c r="F1018" s="7">
        <v>0</v>
      </c>
      <c r="G1018" s="7">
        <v>0</v>
      </c>
      <c r="H1018" s="7">
        <v>0</v>
      </c>
      <c r="I1018" s="7">
        <v>0</v>
      </c>
      <c r="J1018" s="7">
        <v>0</v>
      </c>
      <c r="K1018" s="7">
        <v>0</v>
      </c>
      <c r="L1018" s="7">
        <v>0</v>
      </c>
      <c r="M1018" s="7">
        <v>0</v>
      </c>
      <c r="N1018" s="7">
        <v>0</v>
      </c>
      <c r="O1018" s="7">
        <v>0</v>
      </c>
      <c r="P1018" s="7">
        <v>0</v>
      </c>
      <c r="Q1018" s="7">
        <v>0</v>
      </c>
    </row>
    <row r="1019" spans="1:17">
      <c r="A1019" s="2">
        <v>2967</v>
      </c>
      <c r="B1019" s="7">
        <v>0</v>
      </c>
      <c r="C1019" s="7">
        <v>0</v>
      </c>
      <c r="D1019" s="7">
        <v>0</v>
      </c>
      <c r="E1019" s="7">
        <v>0</v>
      </c>
      <c r="F1019" s="7">
        <v>0</v>
      </c>
      <c r="G1019" s="7">
        <v>0</v>
      </c>
      <c r="H1019" s="7">
        <v>0</v>
      </c>
      <c r="I1019" s="7">
        <v>0</v>
      </c>
      <c r="J1019" s="7">
        <v>0</v>
      </c>
      <c r="K1019" s="7">
        <v>0</v>
      </c>
      <c r="L1019" s="7">
        <v>0</v>
      </c>
      <c r="M1019" s="7">
        <v>0</v>
      </c>
      <c r="N1019" s="7">
        <v>0</v>
      </c>
      <c r="O1019" s="7">
        <v>0</v>
      </c>
      <c r="P1019" s="7">
        <v>0</v>
      </c>
      <c r="Q1019" s="7">
        <v>0</v>
      </c>
    </row>
    <row r="1020" spans="1:17">
      <c r="A1020" s="2">
        <v>2968</v>
      </c>
      <c r="B1020" s="7">
        <v>0</v>
      </c>
      <c r="C1020" s="7">
        <v>0</v>
      </c>
      <c r="D1020" s="7">
        <v>0</v>
      </c>
      <c r="E1020" s="7">
        <v>0</v>
      </c>
      <c r="F1020" s="7">
        <v>0</v>
      </c>
      <c r="G1020" s="7">
        <v>0</v>
      </c>
      <c r="H1020" s="7">
        <v>0</v>
      </c>
      <c r="I1020" s="7">
        <v>0</v>
      </c>
      <c r="J1020" s="7">
        <v>0</v>
      </c>
      <c r="K1020" s="7">
        <v>0</v>
      </c>
      <c r="L1020" s="7">
        <v>0</v>
      </c>
      <c r="M1020" s="7">
        <v>0</v>
      </c>
      <c r="N1020" s="7">
        <v>0</v>
      </c>
      <c r="O1020" s="7">
        <v>0</v>
      </c>
      <c r="P1020" s="7">
        <v>0</v>
      </c>
      <c r="Q1020" s="7">
        <v>0</v>
      </c>
    </row>
    <row r="1021" spans="1:17">
      <c r="A1021" s="2">
        <v>2969</v>
      </c>
      <c r="B1021" s="7">
        <v>0</v>
      </c>
      <c r="C1021" s="7">
        <v>0</v>
      </c>
      <c r="D1021" s="7">
        <v>0</v>
      </c>
      <c r="E1021" s="7">
        <v>0</v>
      </c>
      <c r="F1021" s="7">
        <v>0</v>
      </c>
      <c r="G1021" s="7">
        <v>0</v>
      </c>
      <c r="H1021" s="7">
        <v>0</v>
      </c>
      <c r="I1021" s="7">
        <v>0</v>
      </c>
      <c r="J1021" s="7">
        <v>0</v>
      </c>
      <c r="K1021" s="7">
        <v>0</v>
      </c>
      <c r="L1021" s="7">
        <v>0</v>
      </c>
      <c r="M1021" s="7">
        <v>0</v>
      </c>
      <c r="N1021" s="7">
        <v>0</v>
      </c>
      <c r="O1021" s="7">
        <v>0</v>
      </c>
      <c r="P1021" s="7">
        <v>0</v>
      </c>
      <c r="Q1021" s="7">
        <v>0</v>
      </c>
    </row>
    <row r="1022" spans="1:17">
      <c r="A1022" s="2">
        <v>2970</v>
      </c>
      <c r="B1022" s="7">
        <v>0</v>
      </c>
      <c r="C1022" s="7">
        <v>0</v>
      </c>
      <c r="D1022" s="7">
        <v>0</v>
      </c>
      <c r="E1022" s="7">
        <v>0</v>
      </c>
      <c r="F1022" s="7">
        <v>0</v>
      </c>
      <c r="G1022" s="7">
        <v>0</v>
      </c>
      <c r="H1022" s="7">
        <v>0</v>
      </c>
      <c r="I1022" s="7">
        <v>0</v>
      </c>
      <c r="J1022" s="7">
        <v>0</v>
      </c>
      <c r="K1022" s="7">
        <v>0</v>
      </c>
      <c r="L1022" s="7">
        <v>0</v>
      </c>
      <c r="M1022" s="7">
        <v>0</v>
      </c>
      <c r="N1022" s="7">
        <v>0</v>
      </c>
      <c r="O1022" s="7">
        <v>0</v>
      </c>
      <c r="P1022" s="7">
        <v>0</v>
      </c>
      <c r="Q1022" s="7">
        <v>0</v>
      </c>
    </row>
    <row r="1023" spans="1:17">
      <c r="A1023" s="2">
        <v>2971</v>
      </c>
      <c r="B1023" s="7">
        <v>0</v>
      </c>
      <c r="C1023" s="7">
        <v>0</v>
      </c>
      <c r="D1023" s="7">
        <v>0</v>
      </c>
      <c r="E1023" s="7">
        <v>0</v>
      </c>
      <c r="F1023" s="7">
        <v>0</v>
      </c>
      <c r="G1023" s="7">
        <v>0</v>
      </c>
      <c r="H1023" s="7">
        <v>0</v>
      </c>
      <c r="I1023" s="7">
        <v>0</v>
      </c>
      <c r="J1023" s="7">
        <v>0</v>
      </c>
      <c r="K1023" s="7">
        <v>0</v>
      </c>
      <c r="L1023" s="7">
        <v>0</v>
      </c>
      <c r="M1023" s="7">
        <v>0</v>
      </c>
      <c r="N1023" s="7">
        <v>0</v>
      </c>
      <c r="O1023" s="7">
        <v>0</v>
      </c>
      <c r="P1023" s="7">
        <v>0</v>
      </c>
      <c r="Q1023" s="7">
        <v>0</v>
      </c>
    </row>
    <row r="1024" spans="1:17">
      <c r="A1024" s="2">
        <v>2972</v>
      </c>
      <c r="B1024" s="7">
        <v>0</v>
      </c>
      <c r="C1024" s="7">
        <v>0</v>
      </c>
      <c r="D1024" s="7">
        <v>0</v>
      </c>
      <c r="E1024" s="7">
        <v>0</v>
      </c>
      <c r="F1024" s="7">
        <v>0</v>
      </c>
      <c r="G1024" s="7">
        <v>0</v>
      </c>
      <c r="H1024" s="7">
        <v>0</v>
      </c>
      <c r="I1024" s="7">
        <v>0</v>
      </c>
      <c r="J1024" s="7">
        <v>0</v>
      </c>
      <c r="K1024" s="7">
        <v>0</v>
      </c>
      <c r="L1024" s="7">
        <v>0</v>
      </c>
      <c r="M1024" s="7">
        <v>0</v>
      </c>
      <c r="N1024" s="7">
        <v>0</v>
      </c>
      <c r="O1024" s="7">
        <v>0</v>
      </c>
      <c r="P1024" s="7">
        <v>0</v>
      </c>
      <c r="Q1024" s="7">
        <v>0</v>
      </c>
    </row>
    <row r="1025" spans="1:17">
      <c r="A1025" s="2">
        <v>2973</v>
      </c>
      <c r="B1025" s="7">
        <v>0</v>
      </c>
      <c r="C1025" s="7">
        <v>0</v>
      </c>
      <c r="D1025" s="7">
        <v>0</v>
      </c>
      <c r="E1025" s="7">
        <v>0</v>
      </c>
      <c r="F1025" s="7">
        <v>0</v>
      </c>
      <c r="G1025" s="7">
        <v>0</v>
      </c>
      <c r="H1025" s="7">
        <v>0</v>
      </c>
      <c r="I1025" s="7">
        <v>0</v>
      </c>
      <c r="J1025" s="7">
        <v>0</v>
      </c>
      <c r="K1025" s="7">
        <v>0</v>
      </c>
      <c r="L1025" s="7">
        <v>0</v>
      </c>
      <c r="M1025" s="7">
        <v>0</v>
      </c>
      <c r="N1025" s="7">
        <v>0</v>
      </c>
      <c r="O1025" s="7">
        <v>0</v>
      </c>
      <c r="P1025" s="7">
        <v>0</v>
      </c>
      <c r="Q1025" s="7">
        <v>0</v>
      </c>
    </row>
    <row r="1026" spans="1:17">
      <c r="A1026" s="2">
        <v>2974</v>
      </c>
      <c r="B1026" s="7">
        <v>0</v>
      </c>
      <c r="C1026" s="7">
        <v>0</v>
      </c>
      <c r="D1026" s="7">
        <v>0</v>
      </c>
      <c r="E1026" s="7">
        <v>0</v>
      </c>
      <c r="F1026" s="7">
        <v>0</v>
      </c>
      <c r="G1026" s="7">
        <v>0</v>
      </c>
      <c r="H1026" s="7">
        <v>0</v>
      </c>
      <c r="I1026" s="7">
        <v>0</v>
      </c>
      <c r="J1026" s="7">
        <v>0</v>
      </c>
      <c r="K1026" s="7">
        <v>0</v>
      </c>
      <c r="L1026" s="7">
        <v>0</v>
      </c>
      <c r="M1026" s="7">
        <v>0</v>
      </c>
      <c r="N1026" s="7">
        <v>0</v>
      </c>
      <c r="O1026" s="7">
        <v>0</v>
      </c>
      <c r="P1026" s="7">
        <v>0</v>
      </c>
      <c r="Q1026" s="7">
        <v>0</v>
      </c>
    </row>
    <row r="1027" spans="1:17">
      <c r="A1027" s="2">
        <v>2975</v>
      </c>
      <c r="B1027" s="7">
        <v>0</v>
      </c>
      <c r="C1027" s="7">
        <v>0</v>
      </c>
      <c r="D1027" s="7">
        <v>0</v>
      </c>
      <c r="E1027" s="7">
        <v>0</v>
      </c>
      <c r="F1027" s="7">
        <v>0</v>
      </c>
      <c r="G1027" s="7">
        <v>0</v>
      </c>
      <c r="H1027" s="7">
        <v>0</v>
      </c>
      <c r="I1027" s="7">
        <v>0</v>
      </c>
      <c r="J1027" s="7">
        <v>0</v>
      </c>
      <c r="K1027" s="7">
        <v>0</v>
      </c>
      <c r="L1027" s="7">
        <v>0</v>
      </c>
      <c r="M1027" s="7">
        <v>0</v>
      </c>
      <c r="N1027" s="7">
        <v>0</v>
      </c>
      <c r="O1027" s="7">
        <v>0</v>
      </c>
      <c r="P1027" s="7">
        <v>0</v>
      </c>
      <c r="Q1027" s="7">
        <v>0</v>
      </c>
    </row>
    <row r="1028" spans="1:17">
      <c r="A1028" s="2">
        <v>2976</v>
      </c>
      <c r="B1028" s="7">
        <v>0</v>
      </c>
      <c r="C1028" s="7">
        <v>0</v>
      </c>
      <c r="D1028" s="7">
        <v>0</v>
      </c>
      <c r="E1028" s="7">
        <v>0</v>
      </c>
      <c r="F1028" s="7">
        <v>0</v>
      </c>
      <c r="G1028" s="7">
        <v>0</v>
      </c>
      <c r="H1028" s="7">
        <v>0</v>
      </c>
      <c r="I1028" s="7">
        <v>0</v>
      </c>
      <c r="J1028" s="7">
        <v>0</v>
      </c>
      <c r="K1028" s="7">
        <v>0</v>
      </c>
      <c r="L1028" s="7">
        <v>0</v>
      </c>
      <c r="M1028" s="7">
        <v>0</v>
      </c>
      <c r="N1028" s="7">
        <v>0</v>
      </c>
      <c r="O1028" s="7">
        <v>0</v>
      </c>
      <c r="P1028" s="7">
        <v>0</v>
      </c>
      <c r="Q1028" s="7">
        <v>0</v>
      </c>
    </row>
    <row r="1029" spans="1:17">
      <c r="A1029" s="2">
        <v>2977</v>
      </c>
      <c r="B1029" s="7">
        <v>0</v>
      </c>
      <c r="C1029" s="7">
        <v>0</v>
      </c>
      <c r="D1029" s="7">
        <v>0</v>
      </c>
      <c r="E1029" s="7">
        <v>0</v>
      </c>
      <c r="F1029" s="7">
        <v>0</v>
      </c>
      <c r="G1029" s="7">
        <v>0</v>
      </c>
      <c r="H1029" s="7">
        <v>0</v>
      </c>
      <c r="I1029" s="7">
        <v>0</v>
      </c>
      <c r="J1029" s="7">
        <v>0</v>
      </c>
      <c r="K1029" s="7">
        <v>0</v>
      </c>
      <c r="L1029" s="7">
        <v>0</v>
      </c>
      <c r="M1029" s="7">
        <v>0</v>
      </c>
      <c r="N1029" s="7">
        <v>0</v>
      </c>
      <c r="O1029" s="7">
        <v>0</v>
      </c>
      <c r="P1029" s="7">
        <v>0</v>
      </c>
      <c r="Q1029" s="7">
        <v>0</v>
      </c>
    </row>
    <row r="1030" spans="1:17">
      <c r="A1030" s="2">
        <v>2978</v>
      </c>
      <c r="B1030" s="7">
        <v>0</v>
      </c>
      <c r="C1030" s="7">
        <v>0</v>
      </c>
      <c r="D1030" s="7">
        <v>0</v>
      </c>
      <c r="E1030" s="7">
        <v>0</v>
      </c>
      <c r="F1030" s="7">
        <v>0</v>
      </c>
      <c r="G1030" s="7">
        <v>0</v>
      </c>
      <c r="H1030" s="7">
        <v>0</v>
      </c>
      <c r="I1030" s="7">
        <v>0</v>
      </c>
      <c r="J1030" s="7">
        <v>0</v>
      </c>
      <c r="K1030" s="7">
        <v>0</v>
      </c>
      <c r="L1030" s="7">
        <v>0</v>
      </c>
      <c r="M1030" s="7">
        <v>0</v>
      </c>
      <c r="N1030" s="7">
        <v>0</v>
      </c>
      <c r="O1030" s="7">
        <v>0</v>
      </c>
      <c r="P1030" s="7">
        <v>0</v>
      </c>
      <c r="Q1030" s="7">
        <v>0</v>
      </c>
    </row>
    <row r="1031" spans="1:17">
      <c r="A1031" s="2">
        <v>2979</v>
      </c>
      <c r="B1031" s="7">
        <v>0</v>
      </c>
      <c r="C1031" s="7">
        <v>0</v>
      </c>
      <c r="D1031" s="7">
        <v>0</v>
      </c>
      <c r="E1031" s="7">
        <v>0</v>
      </c>
      <c r="F1031" s="7">
        <v>0</v>
      </c>
      <c r="G1031" s="7">
        <v>0</v>
      </c>
      <c r="H1031" s="7">
        <v>0</v>
      </c>
      <c r="I1031" s="7">
        <v>0</v>
      </c>
      <c r="J1031" s="7">
        <v>0</v>
      </c>
      <c r="K1031" s="7">
        <v>0</v>
      </c>
      <c r="L1031" s="7">
        <v>0</v>
      </c>
      <c r="M1031" s="7">
        <v>0</v>
      </c>
      <c r="N1031" s="7">
        <v>0</v>
      </c>
      <c r="O1031" s="7">
        <v>0</v>
      </c>
      <c r="P1031" s="7">
        <v>0</v>
      </c>
      <c r="Q1031" s="7">
        <v>0</v>
      </c>
    </row>
    <row r="1032" spans="1:17">
      <c r="A1032" s="2">
        <v>2980</v>
      </c>
      <c r="B1032" s="7">
        <v>0</v>
      </c>
      <c r="C1032" s="7">
        <v>0</v>
      </c>
      <c r="D1032" s="7">
        <v>0</v>
      </c>
      <c r="E1032" s="7">
        <v>0</v>
      </c>
      <c r="F1032" s="7">
        <v>0</v>
      </c>
      <c r="G1032" s="7">
        <v>0</v>
      </c>
      <c r="H1032" s="7">
        <v>0</v>
      </c>
      <c r="I1032" s="7">
        <v>0</v>
      </c>
      <c r="J1032" s="7">
        <v>0</v>
      </c>
      <c r="K1032" s="7">
        <v>0</v>
      </c>
      <c r="L1032" s="7">
        <v>0</v>
      </c>
      <c r="M1032" s="7">
        <v>0</v>
      </c>
      <c r="N1032" s="7">
        <v>0</v>
      </c>
      <c r="O1032" s="7">
        <v>0</v>
      </c>
      <c r="P1032" s="7">
        <v>0</v>
      </c>
      <c r="Q1032" s="7">
        <v>0</v>
      </c>
    </row>
    <row r="1033" spans="1:17">
      <c r="A1033" s="2">
        <v>2981</v>
      </c>
      <c r="B1033" s="7">
        <v>0</v>
      </c>
      <c r="C1033" s="7">
        <v>0</v>
      </c>
      <c r="D1033" s="7">
        <v>0</v>
      </c>
      <c r="E1033" s="7">
        <v>0</v>
      </c>
      <c r="F1033" s="7">
        <v>0</v>
      </c>
      <c r="G1033" s="7">
        <v>0</v>
      </c>
      <c r="H1033" s="7">
        <v>0</v>
      </c>
      <c r="I1033" s="7">
        <v>0</v>
      </c>
      <c r="J1033" s="7">
        <v>0</v>
      </c>
      <c r="K1033" s="7">
        <v>0</v>
      </c>
      <c r="L1033" s="7">
        <v>0</v>
      </c>
      <c r="M1033" s="7">
        <v>0</v>
      </c>
      <c r="N1033" s="7">
        <v>0</v>
      </c>
      <c r="O1033" s="7">
        <v>0</v>
      </c>
      <c r="P1033" s="7">
        <v>0</v>
      </c>
      <c r="Q1033" s="7">
        <v>0</v>
      </c>
    </row>
    <row r="1034" spans="1:17">
      <c r="A1034" s="2">
        <v>2982</v>
      </c>
      <c r="B1034" s="7">
        <v>0</v>
      </c>
      <c r="C1034" s="7">
        <v>0</v>
      </c>
      <c r="D1034" s="7">
        <v>0</v>
      </c>
      <c r="E1034" s="7">
        <v>0</v>
      </c>
      <c r="F1034" s="7">
        <v>0</v>
      </c>
      <c r="G1034" s="7">
        <v>0</v>
      </c>
      <c r="H1034" s="7">
        <v>0</v>
      </c>
      <c r="I1034" s="7">
        <v>0</v>
      </c>
      <c r="J1034" s="7">
        <v>0</v>
      </c>
      <c r="K1034" s="7">
        <v>0</v>
      </c>
      <c r="L1034" s="7">
        <v>0</v>
      </c>
      <c r="M1034" s="7">
        <v>0</v>
      </c>
      <c r="N1034" s="7">
        <v>0</v>
      </c>
      <c r="O1034" s="7">
        <v>0</v>
      </c>
      <c r="P1034" s="7">
        <v>0</v>
      </c>
      <c r="Q1034" s="7">
        <v>0</v>
      </c>
    </row>
    <row r="1035" spans="1:17">
      <c r="A1035" s="2">
        <v>2983</v>
      </c>
      <c r="B1035" s="7">
        <v>0</v>
      </c>
      <c r="C1035" s="7">
        <v>0</v>
      </c>
      <c r="D1035" s="7">
        <v>0</v>
      </c>
      <c r="E1035" s="7">
        <v>0</v>
      </c>
      <c r="F1035" s="7">
        <v>0</v>
      </c>
      <c r="G1035" s="7">
        <v>0</v>
      </c>
      <c r="H1035" s="7">
        <v>0</v>
      </c>
      <c r="I1035" s="7">
        <v>0</v>
      </c>
      <c r="J1035" s="7">
        <v>0</v>
      </c>
      <c r="K1035" s="7">
        <v>0</v>
      </c>
      <c r="L1035" s="7">
        <v>0</v>
      </c>
      <c r="M1035" s="7">
        <v>0</v>
      </c>
      <c r="N1035" s="7">
        <v>0</v>
      </c>
      <c r="O1035" s="7">
        <v>0</v>
      </c>
      <c r="P1035" s="7">
        <v>0</v>
      </c>
      <c r="Q1035" s="7">
        <v>0</v>
      </c>
    </row>
    <row r="1036" spans="1:17">
      <c r="A1036" s="2">
        <v>2984</v>
      </c>
      <c r="B1036" s="7">
        <v>0</v>
      </c>
      <c r="C1036" s="7">
        <v>0</v>
      </c>
      <c r="D1036" s="7">
        <v>0</v>
      </c>
      <c r="E1036" s="7">
        <v>0</v>
      </c>
      <c r="F1036" s="7">
        <v>0</v>
      </c>
      <c r="G1036" s="7">
        <v>0</v>
      </c>
      <c r="H1036" s="7">
        <v>0</v>
      </c>
      <c r="I1036" s="7">
        <v>0</v>
      </c>
      <c r="J1036" s="7">
        <v>0</v>
      </c>
      <c r="K1036" s="7">
        <v>0</v>
      </c>
      <c r="L1036" s="7">
        <v>0</v>
      </c>
      <c r="M1036" s="7">
        <v>0</v>
      </c>
      <c r="N1036" s="7">
        <v>0</v>
      </c>
      <c r="O1036" s="7">
        <v>0</v>
      </c>
      <c r="P1036" s="7">
        <v>0</v>
      </c>
      <c r="Q1036" s="7">
        <v>0</v>
      </c>
    </row>
    <row r="1037" spans="1:17">
      <c r="A1037" s="2">
        <v>2985</v>
      </c>
      <c r="B1037" s="7">
        <v>0</v>
      </c>
      <c r="C1037" s="7">
        <v>0</v>
      </c>
      <c r="D1037" s="7">
        <v>0</v>
      </c>
      <c r="E1037" s="7">
        <v>0</v>
      </c>
      <c r="F1037" s="7">
        <v>0</v>
      </c>
      <c r="G1037" s="7">
        <v>0</v>
      </c>
      <c r="H1037" s="7">
        <v>0</v>
      </c>
      <c r="I1037" s="7">
        <v>0</v>
      </c>
      <c r="J1037" s="7">
        <v>0</v>
      </c>
      <c r="K1037" s="7">
        <v>0</v>
      </c>
      <c r="L1037" s="7">
        <v>0</v>
      </c>
      <c r="M1037" s="7">
        <v>0</v>
      </c>
      <c r="N1037" s="7">
        <v>0</v>
      </c>
      <c r="O1037" s="7">
        <v>0</v>
      </c>
      <c r="P1037" s="7">
        <v>0</v>
      </c>
      <c r="Q1037" s="7">
        <v>0</v>
      </c>
    </row>
    <row r="1038" spans="1:17">
      <c r="A1038" s="2">
        <v>2986</v>
      </c>
      <c r="B1038" s="7">
        <v>0</v>
      </c>
      <c r="C1038" s="7">
        <v>0</v>
      </c>
      <c r="D1038" s="7">
        <v>0</v>
      </c>
      <c r="E1038" s="7">
        <v>0</v>
      </c>
      <c r="F1038" s="7">
        <v>0</v>
      </c>
      <c r="G1038" s="7">
        <v>0</v>
      </c>
      <c r="H1038" s="7">
        <v>0</v>
      </c>
      <c r="I1038" s="7">
        <v>0</v>
      </c>
      <c r="J1038" s="7">
        <v>0</v>
      </c>
      <c r="K1038" s="7">
        <v>0</v>
      </c>
      <c r="L1038" s="7">
        <v>0</v>
      </c>
      <c r="M1038" s="7">
        <v>0</v>
      </c>
      <c r="N1038" s="7">
        <v>0</v>
      </c>
      <c r="O1038" s="7">
        <v>0</v>
      </c>
      <c r="P1038" s="7">
        <v>0</v>
      </c>
      <c r="Q1038" s="7">
        <v>0</v>
      </c>
    </row>
    <row r="1039" spans="1:17">
      <c r="A1039" s="2">
        <v>2987</v>
      </c>
      <c r="B1039" s="7">
        <v>0</v>
      </c>
      <c r="C1039" s="7">
        <v>0</v>
      </c>
      <c r="D1039" s="7">
        <v>0</v>
      </c>
      <c r="E1039" s="7">
        <v>0</v>
      </c>
      <c r="F1039" s="7">
        <v>0</v>
      </c>
      <c r="G1039" s="7">
        <v>0</v>
      </c>
      <c r="H1039" s="7">
        <v>0</v>
      </c>
      <c r="I1039" s="7">
        <v>0</v>
      </c>
      <c r="J1039" s="7">
        <v>0</v>
      </c>
      <c r="K1039" s="7">
        <v>0</v>
      </c>
      <c r="L1039" s="7">
        <v>0</v>
      </c>
      <c r="M1039" s="7">
        <v>0</v>
      </c>
      <c r="N1039" s="7">
        <v>0</v>
      </c>
      <c r="O1039" s="7">
        <v>0</v>
      </c>
      <c r="P1039" s="7">
        <v>0</v>
      </c>
      <c r="Q1039" s="7">
        <v>0</v>
      </c>
    </row>
    <row r="1040" spans="1:17">
      <c r="A1040" s="2">
        <v>2988</v>
      </c>
      <c r="B1040" s="7">
        <v>0</v>
      </c>
      <c r="C1040" s="7">
        <v>0</v>
      </c>
      <c r="D1040" s="7">
        <v>0</v>
      </c>
      <c r="E1040" s="7">
        <v>0</v>
      </c>
      <c r="F1040" s="7">
        <v>0</v>
      </c>
      <c r="G1040" s="7">
        <v>0</v>
      </c>
      <c r="H1040" s="7">
        <v>0</v>
      </c>
      <c r="I1040" s="7">
        <v>0</v>
      </c>
      <c r="J1040" s="7">
        <v>0</v>
      </c>
      <c r="K1040" s="7">
        <v>0</v>
      </c>
      <c r="L1040" s="7">
        <v>0</v>
      </c>
      <c r="M1040" s="7">
        <v>0</v>
      </c>
      <c r="N1040" s="7">
        <v>0</v>
      </c>
      <c r="O1040" s="7">
        <v>0</v>
      </c>
      <c r="P1040" s="7">
        <v>0</v>
      </c>
      <c r="Q1040" s="7">
        <v>0</v>
      </c>
    </row>
    <row r="1041" spans="1:17">
      <c r="A1041" s="2">
        <v>2989</v>
      </c>
      <c r="B1041" s="7">
        <v>0</v>
      </c>
      <c r="C1041" s="7">
        <v>0</v>
      </c>
      <c r="D1041" s="7">
        <v>0</v>
      </c>
      <c r="E1041" s="7">
        <v>0</v>
      </c>
      <c r="F1041" s="7">
        <v>0</v>
      </c>
      <c r="G1041" s="7">
        <v>0</v>
      </c>
      <c r="H1041" s="7">
        <v>0</v>
      </c>
      <c r="I1041" s="7">
        <v>0</v>
      </c>
      <c r="J1041" s="7">
        <v>0</v>
      </c>
      <c r="K1041" s="7">
        <v>0</v>
      </c>
      <c r="L1041" s="7">
        <v>0</v>
      </c>
      <c r="M1041" s="7">
        <v>0</v>
      </c>
      <c r="N1041" s="7">
        <v>0</v>
      </c>
      <c r="O1041" s="7">
        <v>0</v>
      </c>
      <c r="P1041" s="7">
        <v>0</v>
      </c>
      <c r="Q1041" s="7">
        <v>0</v>
      </c>
    </row>
    <row r="1042" spans="1:17">
      <c r="A1042" s="2">
        <v>2990</v>
      </c>
      <c r="B1042" s="7">
        <v>0</v>
      </c>
      <c r="C1042" s="7">
        <v>0</v>
      </c>
      <c r="D1042" s="7">
        <v>0</v>
      </c>
      <c r="E1042" s="7">
        <v>0</v>
      </c>
      <c r="F1042" s="7">
        <v>0</v>
      </c>
      <c r="G1042" s="7">
        <v>0</v>
      </c>
      <c r="H1042" s="7">
        <v>0</v>
      </c>
      <c r="I1042" s="7">
        <v>0</v>
      </c>
      <c r="J1042" s="7">
        <v>0</v>
      </c>
      <c r="K1042" s="7">
        <v>0</v>
      </c>
      <c r="L1042" s="7">
        <v>0</v>
      </c>
      <c r="M1042" s="7">
        <v>0</v>
      </c>
      <c r="N1042" s="7">
        <v>0</v>
      </c>
      <c r="O1042" s="7">
        <v>0</v>
      </c>
      <c r="P1042" s="7">
        <v>0</v>
      </c>
      <c r="Q1042" s="7">
        <v>0</v>
      </c>
    </row>
    <row r="1043" spans="1:17">
      <c r="A1043" s="2">
        <v>2991</v>
      </c>
      <c r="B1043" s="7">
        <v>0</v>
      </c>
      <c r="C1043" s="7">
        <v>0</v>
      </c>
      <c r="D1043" s="7">
        <v>0</v>
      </c>
      <c r="E1043" s="7">
        <v>0</v>
      </c>
      <c r="F1043" s="7">
        <v>0</v>
      </c>
      <c r="G1043" s="7">
        <v>0</v>
      </c>
      <c r="H1043" s="7">
        <v>0</v>
      </c>
      <c r="I1043" s="7">
        <v>0</v>
      </c>
      <c r="J1043" s="7">
        <v>0</v>
      </c>
      <c r="K1043" s="7">
        <v>0</v>
      </c>
      <c r="L1043" s="7">
        <v>0</v>
      </c>
      <c r="M1043" s="7">
        <v>0</v>
      </c>
      <c r="N1043" s="7">
        <v>0</v>
      </c>
      <c r="O1043" s="7">
        <v>0</v>
      </c>
      <c r="P1043" s="7">
        <v>0</v>
      </c>
      <c r="Q1043" s="7">
        <v>0</v>
      </c>
    </row>
    <row r="1044" spans="1:17">
      <c r="A1044" s="2">
        <v>2992</v>
      </c>
      <c r="B1044" s="7">
        <v>0</v>
      </c>
      <c r="C1044" s="7">
        <v>0</v>
      </c>
      <c r="D1044" s="7">
        <v>0</v>
      </c>
      <c r="E1044" s="7">
        <v>0</v>
      </c>
      <c r="F1044" s="7">
        <v>0</v>
      </c>
      <c r="G1044" s="7">
        <v>0</v>
      </c>
      <c r="H1044" s="7">
        <v>0</v>
      </c>
      <c r="I1044" s="7">
        <v>0</v>
      </c>
      <c r="J1044" s="7">
        <v>0</v>
      </c>
      <c r="K1044" s="7">
        <v>0</v>
      </c>
      <c r="L1044" s="7">
        <v>0</v>
      </c>
      <c r="M1044" s="7">
        <v>0</v>
      </c>
      <c r="N1044" s="7">
        <v>0</v>
      </c>
      <c r="O1044" s="7">
        <v>0</v>
      </c>
      <c r="P1044" s="7">
        <v>0</v>
      </c>
      <c r="Q1044" s="7">
        <v>0</v>
      </c>
    </row>
    <row r="1045" spans="1:17">
      <c r="A1045" s="2">
        <v>2993</v>
      </c>
      <c r="B1045" s="7">
        <v>0</v>
      </c>
      <c r="C1045" s="7">
        <v>0</v>
      </c>
      <c r="D1045" s="7">
        <v>0</v>
      </c>
      <c r="E1045" s="7">
        <v>0</v>
      </c>
      <c r="F1045" s="7">
        <v>0</v>
      </c>
      <c r="G1045" s="7">
        <v>0</v>
      </c>
      <c r="H1045" s="7">
        <v>0</v>
      </c>
      <c r="I1045" s="7">
        <v>0</v>
      </c>
      <c r="J1045" s="7">
        <v>0</v>
      </c>
      <c r="K1045" s="7">
        <v>0</v>
      </c>
      <c r="L1045" s="7">
        <v>0</v>
      </c>
      <c r="M1045" s="7">
        <v>0</v>
      </c>
      <c r="N1045" s="7">
        <v>0</v>
      </c>
      <c r="O1045" s="7">
        <v>0</v>
      </c>
      <c r="P1045" s="7">
        <v>0</v>
      </c>
      <c r="Q1045" s="7">
        <v>0</v>
      </c>
    </row>
    <row r="1046" spans="1:17">
      <c r="A1046" s="2">
        <v>2994</v>
      </c>
      <c r="B1046" s="7">
        <v>0</v>
      </c>
      <c r="C1046" s="7">
        <v>0</v>
      </c>
      <c r="D1046" s="7">
        <v>0</v>
      </c>
      <c r="E1046" s="7">
        <v>0</v>
      </c>
      <c r="F1046" s="7">
        <v>0</v>
      </c>
      <c r="G1046" s="7">
        <v>0</v>
      </c>
      <c r="H1046" s="7">
        <v>0</v>
      </c>
      <c r="I1046" s="7">
        <v>0</v>
      </c>
      <c r="J1046" s="7">
        <v>0</v>
      </c>
      <c r="K1046" s="7">
        <v>0</v>
      </c>
      <c r="L1046" s="7">
        <v>0</v>
      </c>
      <c r="M1046" s="7">
        <v>0</v>
      </c>
      <c r="N1046" s="7">
        <v>0</v>
      </c>
      <c r="O1046" s="7">
        <v>0</v>
      </c>
      <c r="P1046" s="7">
        <v>0</v>
      </c>
      <c r="Q1046" s="7">
        <v>0</v>
      </c>
    </row>
    <row r="1047" spans="1:17">
      <c r="A1047" s="2">
        <v>2995</v>
      </c>
      <c r="B1047" s="7">
        <v>0</v>
      </c>
      <c r="C1047" s="7">
        <v>0</v>
      </c>
      <c r="D1047" s="7">
        <v>0</v>
      </c>
      <c r="E1047" s="7">
        <v>0</v>
      </c>
      <c r="F1047" s="7">
        <v>0</v>
      </c>
      <c r="G1047" s="7">
        <v>0</v>
      </c>
      <c r="H1047" s="7">
        <v>0</v>
      </c>
      <c r="I1047" s="7">
        <v>0</v>
      </c>
      <c r="J1047" s="7">
        <v>0</v>
      </c>
      <c r="K1047" s="7">
        <v>0</v>
      </c>
      <c r="L1047" s="7">
        <v>0</v>
      </c>
      <c r="M1047" s="7">
        <v>0</v>
      </c>
      <c r="N1047" s="7">
        <v>0</v>
      </c>
      <c r="O1047" s="7">
        <v>0</v>
      </c>
      <c r="P1047" s="7">
        <v>0</v>
      </c>
      <c r="Q1047" s="7">
        <v>0</v>
      </c>
    </row>
    <row r="1048" spans="1:17">
      <c r="A1048" s="2">
        <v>2996</v>
      </c>
      <c r="B1048" s="7">
        <v>0</v>
      </c>
      <c r="C1048" s="7">
        <v>0</v>
      </c>
      <c r="D1048" s="7">
        <v>0</v>
      </c>
      <c r="E1048" s="7">
        <v>0</v>
      </c>
      <c r="F1048" s="7">
        <v>0</v>
      </c>
      <c r="G1048" s="7">
        <v>0</v>
      </c>
      <c r="H1048" s="7">
        <v>0</v>
      </c>
      <c r="I1048" s="7">
        <v>0</v>
      </c>
      <c r="J1048" s="7">
        <v>0</v>
      </c>
      <c r="K1048" s="7">
        <v>0</v>
      </c>
      <c r="L1048" s="7">
        <v>0</v>
      </c>
      <c r="M1048" s="7">
        <v>0</v>
      </c>
      <c r="N1048" s="7">
        <v>0</v>
      </c>
      <c r="O1048" s="7">
        <v>0</v>
      </c>
      <c r="P1048" s="7">
        <v>0</v>
      </c>
      <c r="Q1048" s="7">
        <v>0</v>
      </c>
    </row>
    <row r="1049" spans="1:17">
      <c r="A1049" s="2">
        <v>2997</v>
      </c>
      <c r="B1049" s="7">
        <v>0</v>
      </c>
      <c r="C1049" s="7">
        <v>0</v>
      </c>
      <c r="D1049" s="7">
        <v>0</v>
      </c>
      <c r="E1049" s="7">
        <v>0</v>
      </c>
      <c r="F1049" s="7">
        <v>0</v>
      </c>
      <c r="G1049" s="7">
        <v>0</v>
      </c>
      <c r="H1049" s="7">
        <v>0</v>
      </c>
      <c r="I1049" s="7">
        <v>0</v>
      </c>
      <c r="J1049" s="7">
        <v>0</v>
      </c>
      <c r="K1049" s="7">
        <v>0</v>
      </c>
      <c r="L1049" s="7">
        <v>0</v>
      </c>
      <c r="M1049" s="7">
        <v>0</v>
      </c>
      <c r="N1049" s="7">
        <v>0</v>
      </c>
      <c r="O1049" s="7">
        <v>0</v>
      </c>
      <c r="P1049" s="7">
        <v>0</v>
      </c>
      <c r="Q1049" s="7">
        <v>0</v>
      </c>
    </row>
    <row r="1050" spans="1:17">
      <c r="A1050" s="2">
        <v>2998</v>
      </c>
      <c r="B1050" s="7">
        <v>0</v>
      </c>
      <c r="C1050" s="7">
        <v>0</v>
      </c>
      <c r="D1050" s="7">
        <v>0</v>
      </c>
      <c r="E1050" s="7">
        <v>0</v>
      </c>
      <c r="F1050" s="7">
        <v>0</v>
      </c>
      <c r="G1050" s="7">
        <v>0</v>
      </c>
      <c r="H1050" s="7">
        <v>0</v>
      </c>
      <c r="I1050" s="7">
        <v>0</v>
      </c>
      <c r="J1050" s="7">
        <v>0</v>
      </c>
      <c r="K1050" s="7">
        <v>0</v>
      </c>
      <c r="L1050" s="7">
        <v>0</v>
      </c>
      <c r="M1050" s="7">
        <v>0</v>
      </c>
      <c r="N1050" s="7">
        <v>0</v>
      </c>
      <c r="O1050" s="7">
        <v>0</v>
      </c>
      <c r="P1050" s="7">
        <v>0</v>
      </c>
      <c r="Q1050" s="7">
        <v>0</v>
      </c>
    </row>
    <row r="1051" spans="1:17">
      <c r="A1051" s="2">
        <v>2999</v>
      </c>
      <c r="B1051" s="7">
        <v>0</v>
      </c>
      <c r="C1051" s="7">
        <v>0</v>
      </c>
      <c r="D1051" s="7">
        <v>0</v>
      </c>
      <c r="E1051" s="7">
        <v>0</v>
      </c>
      <c r="F1051" s="7">
        <v>0</v>
      </c>
      <c r="G1051" s="7">
        <v>0</v>
      </c>
      <c r="H1051" s="7">
        <v>0</v>
      </c>
      <c r="I1051" s="7">
        <v>0</v>
      </c>
      <c r="J1051" s="7">
        <v>0</v>
      </c>
      <c r="K1051" s="7">
        <v>0</v>
      </c>
      <c r="L1051" s="7">
        <v>0</v>
      </c>
      <c r="M1051" s="7">
        <v>0</v>
      </c>
      <c r="N1051" s="7">
        <v>0</v>
      </c>
      <c r="O1051" s="7">
        <v>0</v>
      </c>
      <c r="P1051" s="7">
        <v>0</v>
      </c>
      <c r="Q1051" s="7">
        <v>0</v>
      </c>
    </row>
    <row r="1052" spans="1:17">
      <c r="A1052" s="2">
        <v>3000</v>
      </c>
      <c r="B1052" s="7">
        <v>0</v>
      </c>
      <c r="C1052" s="7">
        <v>0</v>
      </c>
      <c r="D1052" s="7">
        <v>0</v>
      </c>
      <c r="E1052" s="7">
        <v>0</v>
      </c>
      <c r="F1052" s="7">
        <v>0</v>
      </c>
      <c r="G1052" s="7">
        <v>0</v>
      </c>
      <c r="H1052" s="7">
        <v>0</v>
      </c>
      <c r="I1052" s="7">
        <v>0</v>
      </c>
      <c r="J1052" s="7">
        <v>0</v>
      </c>
      <c r="K1052" s="7">
        <v>0</v>
      </c>
      <c r="L1052" s="7">
        <v>0</v>
      </c>
      <c r="M1052" s="7">
        <v>0</v>
      </c>
      <c r="N1052" s="7">
        <v>0</v>
      </c>
      <c r="O1052" s="7">
        <v>0</v>
      </c>
      <c r="P1052" s="7">
        <v>0</v>
      </c>
      <c r="Q1052" s="7">
        <v>0</v>
      </c>
    </row>
  </sheetData>
  <phoneticPr fontId="2" type="noConversion"/>
  <pageMargins left="0.78740157499999996" right="0.78740157499999996" top="0.984251969" bottom="0.984251969" header="0.4921259845" footer="0.492125984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>
  <sheetPr codeName="Tabelle10"/>
  <dimension ref="A1:Q105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A1:Q1052"/>
    </sheetView>
  </sheetViews>
  <sheetFormatPr defaultColWidth="11.42578125" defaultRowHeight="12.75"/>
  <cols>
    <col min="1" max="1" width="5.140625" style="2" customWidth="1"/>
    <col min="2" max="2" width="6" style="2" bestFit="1" customWidth="1"/>
    <col min="3" max="3" width="5" style="2" bestFit="1" customWidth="1"/>
    <col min="4" max="4" width="5.28515625" style="2" bestFit="1" customWidth="1"/>
    <col min="5" max="5" width="4.5703125" style="2" bestFit="1" customWidth="1"/>
    <col min="6" max="7" width="5" style="2" bestFit="1" customWidth="1"/>
    <col min="8" max="8" width="6" style="2" bestFit="1" customWidth="1"/>
    <col min="9" max="9" width="5" style="2" bestFit="1" customWidth="1"/>
    <col min="10" max="10" width="5.140625" style="2" bestFit="1" customWidth="1"/>
    <col min="11" max="14" width="6" style="2" bestFit="1" customWidth="1"/>
    <col min="15" max="15" width="5" style="2" bestFit="1" customWidth="1"/>
    <col min="16" max="16" width="6" style="2" bestFit="1" customWidth="1"/>
    <col min="17" max="17" width="4.140625" style="2" bestFit="1" customWidth="1"/>
    <col min="18" max="16384" width="11.42578125" style="2"/>
  </cols>
  <sheetData>
    <row r="1" spans="1:17" s="1" customFormat="1">
      <c r="A1" s="1" t="s">
        <v>4</v>
      </c>
      <c r="B1" s="1" t="s">
        <v>2</v>
      </c>
      <c r="C1" s="1" t="s">
        <v>3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</row>
    <row r="2" spans="1:17">
      <c r="A2" s="3">
        <v>1950</v>
      </c>
      <c r="B2" s="7">
        <v>17.399999999999999</v>
      </c>
      <c r="C2" s="7">
        <v>2.2999999999999998</v>
      </c>
      <c r="D2" s="7">
        <v>10.8</v>
      </c>
      <c r="E2" s="7">
        <v>1.7</v>
      </c>
      <c r="F2" s="7">
        <v>4.0999999999999996</v>
      </c>
      <c r="G2" s="7">
        <v>4.5999999999999996</v>
      </c>
      <c r="H2" s="7">
        <v>23.2</v>
      </c>
      <c r="I2" s="7">
        <v>4.5</v>
      </c>
      <c r="J2" s="7">
        <v>3.1</v>
      </c>
      <c r="K2" s="7">
        <v>15.2</v>
      </c>
      <c r="L2" s="7">
        <v>16.8</v>
      </c>
      <c r="M2" s="7">
        <v>20.2</v>
      </c>
      <c r="N2" s="7">
        <v>21.7</v>
      </c>
      <c r="O2" s="7">
        <v>4.5999999999999996</v>
      </c>
      <c r="P2" s="7">
        <v>8.6999999999999993</v>
      </c>
      <c r="Q2" s="7">
        <v>1</v>
      </c>
    </row>
    <row r="3" spans="1:17">
      <c r="A3" s="2">
        <v>1951</v>
      </c>
      <c r="B3" s="7">
        <v>17.600000000000001</v>
      </c>
      <c r="C3" s="7">
        <v>2.4</v>
      </c>
      <c r="D3" s="7">
        <v>10.9</v>
      </c>
      <c r="E3" s="7">
        <v>1.7</v>
      </c>
      <c r="F3" s="7">
        <v>4.2</v>
      </c>
      <c r="G3" s="7">
        <v>4.5999999999999996</v>
      </c>
      <c r="H3" s="7">
        <v>23.4</v>
      </c>
      <c r="I3" s="7">
        <v>4.5</v>
      </c>
      <c r="J3" s="7">
        <v>3.1</v>
      </c>
      <c r="K3" s="7">
        <v>15.4</v>
      </c>
      <c r="L3" s="7">
        <v>16.899999999999999</v>
      </c>
      <c r="M3" s="7">
        <v>20.3</v>
      </c>
      <c r="N3" s="7">
        <v>21.9</v>
      </c>
      <c r="O3" s="7">
        <v>4.5999999999999996</v>
      </c>
      <c r="P3" s="7">
        <v>8.8000000000000007</v>
      </c>
      <c r="Q3" s="7">
        <v>1</v>
      </c>
    </row>
    <row r="4" spans="1:17">
      <c r="A4" s="2">
        <v>1952</v>
      </c>
      <c r="B4" s="7">
        <v>17.7</v>
      </c>
      <c r="C4" s="7">
        <v>2.4</v>
      </c>
      <c r="D4" s="7">
        <v>11</v>
      </c>
      <c r="E4" s="7">
        <v>1.7</v>
      </c>
      <c r="F4" s="7">
        <v>4.2</v>
      </c>
      <c r="G4" s="7">
        <v>4.5999999999999996</v>
      </c>
      <c r="H4" s="7">
        <v>23.6</v>
      </c>
      <c r="I4" s="7">
        <v>4.5999999999999996</v>
      </c>
      <c r="J4" s="7">
        <v>3.1</v>
      </c>
      <c r="K4" s="7">
        <v>15.5</v>
      </c>
      <c r="L4" s="7">
        <v>17.100000000000001</v>
      </c>
      <c r="M4" s="7">
        <v>20.5</v>
      </c>
      <c r="N4" s="7">
        <v>22</v>
      </c>
      <c r="O4" s="7">
        <v>4.7</v>
      </c>
      <c r="P4" s="7">
        <v>8.9</v>
      </c>
      <c r="Q4" s="7">
        <v>1</v>
      </c>
    </row>
    <row r="5" spans="1:17">
      <c r="A5" s="2">
        <v>1953</v>
      </c>
      <c r="B5" s="7">
        <v>17.899999999999999</v>
      </c>
      <c r="C5" s="7">
        <v>2.4</v>
      </c>
      <c r="D5" s="7">
        <v>11.1</v>
      </c>
      <c r="E5" s="7">
        <v>1.7</v>
      </c>
      <c r="F5" s="7">
        <v>4.2</v>
      </c>
      <c r="G5" s="7">
        <v>4.7</v>
      </c>
      <c r="H5" s="7">
        <v>23.8</v>
      </c>
      <c r="I5" s="7">
        <v>4.5999999999999996</v>
      </c>
      <c r="J5" s="7">
        <v>3.2</v>
      </c>
      <c r="K5" s="7">
        <v>15.6</v>
      </c>
      <c r="L5" s="7">
        <v>17.2</v>
      </c>
      <c r="M5" s="7">
        <v>20.7</v>
      </c>
      <c r="N5" s="7">
        <v>22.2</v>
      </c>
      <c r="O5" s="7">
        <v>4.7</v>
      </c>
      <c r="P5" s="7">
        <v>8.9</v>
      </c>
      <c r="Q5" s="7">
        <v>1</v>
      </c>
    </row>
    <row r="6" spans="1:17">
      <c r="A6" s="2">
        <v>1954</v>
      </c>
      <c r="B6" s="7">
        <v>18</v>
      </c>
      <c r="C6" s="7">
        <v>2.4</v>
      </c>
      <c r="D6" s="7">
        <v>11.2</v>
      </c>
      <c r="E6" s="7">
        <v>1.7</v>
      </c>
      <c r="F6" s="7">
        <v>4.3</v>
      </c>
      <c r="G6" s="7">
        <v>4.7</v>
      </c>
      <c r="H6" s="7">
        <v>24</v>
      </c>
      <c r="I6" s="7">
        <v>4.7</v>
      </c>
      <c r="J6" s="7">
        <v>3.2</v>
      </c>
      <c r="K6" s="7">
        <v>15.7</v>
      </c>
      <c r="L6" s="7">
        <v>17.3</v>
      </c>
      <c r="M6" s="7">
        <v>20.9</v>
      </c>
      <c r="N6" s="7">
        <v>22.4</v>
      </c>
      <c r="O6" s="7">
        <v>4.7</v>
      </c>
      <c r="P6" s="7">
        <v>9</v>
      </c>
      <c r="Q6" s="7">
        <v>1</v>
      </c>
    </row>
    <row r="7" spans="1:17">
      <c r="A7" s="2">
        <v>1955</v>
      </c>
      <c r="B7" s="7">
        <v>18.2</v>
      </c>
      <c r="C7" s="7">
        <v>2.4</v>
      </c>
      <c r="D7" s="7">
        <v>11.3</v>
      </c>
      <c r="E7" s="7">
        <v>1.8</v>
      </c>
      <c r="F7" s="7">
        <v>4.3</v>
      </c>
      <c r="G7" s="7">
        <v>4.8</v>
      </c>
      <c r="H7" s="7">
        <v>24.2</v>
      </c>
      <c r="I7" s="7">
        <v>4.7</v>
      </c>
      <c r="J7" s="7">
        <v>3.2</v>
      </c>
      <c r="K7" s="7">
        <v>15.9</v>
      </c>
      <c r="L7" s="7">
        <v>17.5</v>
      </c>
      <c r="M7" s="7">
        <v>21</v>
      </c>
      <c r="N7" s="7">
        <v>22.6</v>
      </c>
      <c r="O7" s="7">
        <v>4.8</v>
      </c>
      <c r="P7" s="7">
        <v>9.1</v>
      </c>
      <c r="Q7" s="7">
        <v>1</v>
      </c>
    </row>
    <row r="8" spans="1:17">
      <c r="A8" s="2">
        <v>1956</v>
      </c>
      <c r="B8" s="7">
        <v>18.3</v>
      </c>
      <c r="C8" s="7">
        <v>2.5</v>
      </c>
      <c r="D8" s="7">
        <v>11.4</v>
      </c>
      <c r="E8" s="7">
        <v>1.8</v>
      </c>
      <c r="F8" s="7">
        <v>4.4000000000000004</v>
      </c>
      <c r="G8" s="7">
        <v>4.8</v>
      </c>
      <c r="H8" s="7">
        <v>24.4</v>
      </c>
      <c r="I8" s="7">
        <v>4.7</v>
      </c>
      <c r="J8" s="7">
        <v>3.2</v>
      </c>
      <c r="K8" s="7">
        <v>16</v>
      </c>
      <c r="L8" s="7">
        <v>17.600000000000001</v>
      </c>
      <c r="M8" s="7">
        <v>21.2</v>
      </c>
      <c r="N8" s="7">
        <v>22.8</v>
      </c>
      <c r="O8" s="7">
        <v>4.8</v>
      </c>
      <c r="P8" s="7">
        <v>9.1999999999999993</v>
      </c>
      <c r="Q8" s="7">
        <v>1</v>
      </c>
    </row>
    <row r="9" spans="1:17">
      <c r="A9" s="2">
        <v>1957</v>
      </c>
      <c r="B9" s="7">
        <v>18.5</v>
      </c>
      <c r="C9" s="7">
        <v>2.5</v>
      </c>
      <c r="D9" s="7">
        <v>11.5</v>
      </c>
      <c r="E9" s="7">
        <v>1.8</v>
      </c>
      <c r="F9" s="7">
        <v>4.4000000000000004</v>
      </c>
      <c r="G9" s="7">
        <v>4.8</v>
      </c>
      <c r="H9" s="7">
        <v>24.6</v>
      </c>
      <c r="I9" s="7">
        <v>4.8</v>
      </c>
      <c r="J9" s="7">
        <v>3.3</v>
      </c>
      <c r="K9" s="7">
        <v>16.100000000000001</v>
      </c>
      <c r="L9" s="7">
        <v>17.8</v>
      </c>
      <c r="M9" s="7">
        <v>21.4</v>
      </c>
      <c r="N9" s="7">
        <v>23</v>
      </c>
      <c r="O9" s="7">
        <v>4.9000000000000004</v>
      </c>
      <c r="P9" s="7">
        <v>9.1999999999999993</v>
      </c>
      <c r="Q9" s="7">
        <v>1</v>
      </c>
    </row>
    <row r="10" spans="1:17">
      <c r="A10" s="2">
        <v>1958</v>
      </c>
      <c r="B10" s="7">
        <v>18.600000000000001</v>
      </c>
      <c r="C10" s="7">
        <v>2.5</v>
      </c>
      <c r="D10" s="7">
        <v>11.6</v>
      </c>
      <c r="E10" s="7">
        <v>1.8</v>
      </c>
      <c r="F10" s="7">
        <v>4.4000000000000004</v>
      </c>
      <c r="G10" s="7">
        <v>4.9000000000000004</v>
      </c>
      <c r="H10" s="7">
        <v>24.8</v>
      </c>
      <c r="I10" s="7">
        <v>4.8</v>
      </c>
      <c r="J10" s="7">
        <v>3.3</v>
      </c>
      <c r="K10" s="7">
        <v>16.3</v>
      </c>
      <c r="L10" s="7">
        <v>17.899999999999999</v>
      </c>
      <c r="M10" s="7">
        <v>21.6</v>
      </c>
      <c r="N10" s="7">
        <v>23.2</v>
      </c>
      <c r="O10" s="7">
        <v>4.9000000000000004</v>
      </c>
      <c r="P10" s="7">
        <v>9.3000000000000007</v>
      </c>
      <c r="Q10" s="7">
        <v>1</v>
      </c>
    </row>
    <row r="11" spans="1:17">
      <c r="A11" s="2">
        <v>1959</v>
      </c>
      <c r="B11" s="7">
        <v>18.8</v>
      </c>
      <c r="C11" s="7">
        <v>2.5</v>
      </c>
      <c r="D11" s="7">
        <v>11.7</v>
      </c>
      <c r="E11" s="7">
        <v>1.8</v>
      </c>
      <c r="F11" s="7">
        <v>4.5</v>
      </c>
      <c r="G11" s="7">
        <v>4.9000000000000004</v>
      </c>
      <c r="H11" s="7">
        <v>25</v>
      </c>
      <c r="I11" s="7">
        <v>4.9000000000000004</v>
      </c>
      <c r="J11" s="7">
        <v>3.3</v>
      </c>
      <c r="K11" s="7">
        <v>16.399999999999999</v>
      </c>
      <c r="L11" s="7">
        <v>18.100000000000001</v>
      </c>
      <c r="M11" s="7">
        <v>21.7</v>
      </c>
      <c r="N11" s="7">
        <v>23.3</v>
      </c>
      <c r="O11" s="7">
        <v>4.9000000000000004</v>
      </c>
      <c r="P11" s="7">
        <v>9.4</v>
      </c>
      <c r="Q11" s="7">
        <v>1.1000000000000001</v>
      </c>
    </row>
    <row r="12" spans="1:17">
      <c r="A12" s="2">
        <v>1960</v>
      </c>
      <c r="B12" s="7">
        <v>22.3</v>
      </c>
      <c r="C12" s="7">
        <v>3</v>
      </c>
      <c r="D12" s="7">
        <v>13.9</v>
      </c>
      <c r="E12" s="7">
        <v>2.2000000000000002</v>
      </c>
      <c r="F12" s="7">
        <v>5.3</v>
      </c>
      <c r="G12" s="7">
        <v>5.8</v>
      </c>
      <c r="H12" s="7">
        <v>29.6</v>
      </c>
      <c r="I12" s="7">
        <v>5.7</v>
      </c>
      <c r="J12" s="7">
        <v>3.9</v>
      </c>
      <c r="K12" s="7">
        <v>19.399999999999999</v>
      </c>
      <c r="L12" s="7">
        <v>21.4</v>
      </c>
      <c r="M12" s="7">
        <v>25.8</v>
      </c>
      <c r="N12" s="7">
        <v>27.7</v>
      </c>
      <c r="O12" s="7">
        <v>5.9</v>
      </c>
      <c r="P12" s="7">
        <v>11.1</v>
      </c>
      <c r="Q12" s="7">
        <v>1.2</v>
      </c>
    </row>
    <row r="13" spans="1:17">
      <c r="A13" s="2">
        <v>1961</v>
      </c>
      <c r="B13" s="7">
        <v>22.7</v>
      </c>
      <c r="C13" s="7">
        <v>3</v>
      </c>
      <c r="D13" s="7">
        <v>14.1</v>
      </c>
      <c r="E13" s="7">
        <v>2.2000000000000002</v>
      </c>
      <c r="F13" s="7">
        <v>5.4</v>
      </c>
      <c r="G13" s="7">
        <v>5.9</v>
      </c>
      <c r="H13" s="7">
        <v>30.2</v>
      </c>
      <c r="I13" s="7">
        <v>5.9</v>
      </c>
      <c r="J13" s="7">
        <v>4</v>
      </c>
      <c r="K13" s="7">
        <v>19.8</v>
      </c>
      <c r="L13" s="7">
        <v>21.9</v>
      </c>
      <c r="M13" s="7">
        <v>26.3</v>
      </c>
      <c r="N13" s="7">
        <v>28.2</v>
      </c>
      <c r="O13" s="7">
        <v>6</v>
      </c>
      <c r="P13" s="7">
        <v>11.4</v>
      </c>
      <c r="Q13" s="7">
        <v>1.3</v>
      </c>
    </row>
    <row r="14" spans="1:17">
      <c r="A14" s="2">
        <v>1962</v>
      </c>
      <c r="B14" s="7">
        <v>23.2</v>
      </c>
      <c r="C14" s="7">
        <v>3.1</v>
      </c>
      <c r="D14" s="7">
        <v>14.4</v>
      </c>
      <c r="E14" s="7">
        <v>2.2000000000000002</v>
      </c>
      <c r="F14" s="7">
        <v>5.5</v>
      </c>
      <c r="G14" s="7">
        <v>6.1</v>
      </c>
      <c r="H14" s="7">
        <v>30.8</v>
      </c>
      <c r="I14" s="7">
        <v>6</v>
      </c>
      <c r="J14" s="7">
        <v>4.0999999999999996</v>
      </c>
      <c r="K14" s="7">
        <v>20.2</v>
      </c>
      <c r="L14" s="7">
        <v>22.3</v>
      </c>
      <c r="M14" s="7">
        <v>26.8</v>
      </c>
      <c r="N14" s="7">
        <v>28.8</v>
      </c>
      <c r="O14" s="7">
        <v>6.1</v>
      </c>
      <c r="P14" s="7">
        <v>11.6</v>
      </c>
      <c r="Q14" s="7">
        <v>1.3</v>
      </c>
    </row>
    <row r="15" spans="1:17">
      <c r="A15" s="2">
        <v>1963</v>
      </c>
      <c r="B15" s="7">
        <v>23.6</v>
      </c>
      <c r="C15" s="7">
        <v>3.2</v>
      </c>
      <c r="D15" s="7">
        <v>14.7</v>
      </c>
      <c r="E15" s="7">
        <v>2.2999999999999998</v>
      </c>
      <c r="F15" s="7">
        <v>5.6</v>
      </c>
      <c r="G15" s="7">
        <v>6.2</v>
      </c>
      <c r="H15" s="7">
        <v>31.4</v>
      </c>
      <c r="I15" s="7">
        <v>6.1</v>
      </c>
      <c r="J15" s="7">
        <v>4.2</v>
      </c>
      <c r="K15" s="7">
        <v>20.6</v>
      </c>
      <c r="L15" s="7">
        <v>22.7</v>
      </c>
      <c r="M15" s="7">
        <v>27.3</v>
      </c>
      <c r="N15" s="7">
        <v>29.3</v>
      </c>
      <c r="O15" s="7">
        <v>6.2</v>
      </c>
      <c r="P15" s="7">
        <v>11.8</v>
      </c>
      <c r="Q15" s="7">
        <v>1.3</v>
      </c>
    </row>
    <row r="16" spans="1:17">
      <c r="A16" s="2">
        <v>1964</v>
      </c>
      <c r="B16" s="7">
        <v>24.1</v>
      </c>
      <c r="C16" s="7">
        <v>3.2</v>
      </c>
      <c r="D16" s="7">
        <v>15</v>
      </c>
      <c r="E16" s="7">
        <v>2.2999999999999998</v>
      </c>
      <c r="F16" s="7">
        <v>5.7</v>
      </c>
      <c r="G16" s="7">
        <v>6.3</v>
      </c>
      <c r="H16" s="7">
        <v>32</v>
      </c>
      <c r="I16" s="7">
        <v>6.2</v>
      </c>
      <c r="J16" s="7">
        <v>4.2</v>
      </c>
      <c r="K16" s="7">
        <v>21</v>
      </c>
      <c r="L16" s="7">
        <v>23.1</v>
      </c>
      <c r="M16" s="7">
        <v>27.8</v>
      </c>
      <c r="N16" s="7">
        <v>29.9</v>
      </c>
      <c r="O16" s="7">
        <v>6.3</v>
      </c>
      <c r="P16" s="7">
        <v>12</v>
      </c>
      <c r="Q16" s="7">
        <v>1.3</v>
      </c>
    </row>
    <row r="17" spans="1:17">
      <c r="A17" s="2">
        <v>1965</v>
      </c>
      <c r="B17" s="7">
        <v>24.5</v>
      </c>
      <c r="C17" s="7">
        <v>3.3</v>
      </c>
      <c r="D17" s="7">
        <v>15.3</v>
      </c>
      <c r="E17" s="7">
        <v>2.4</v>
      </c>
      <c r="F17" s="7">
        <v>5.8</v>
      </c>
      <c r="G17" s="7">
        <v>6.4</v>
      </c>
      <c r="H17" s="7">
        <v>32.6</v>
      </c>
      <c r="I17" s="7">
        <v>6.3</v>
      </c>
      <c r="J17" s="7">
        <v>4.3</v>
      </c>
      <c r="K17" s="7">
        <v>21.4</v>
      </c>
      <c r="L17" s="7">
        <v>23.6</v>
      </c>
      <c r="M17" s="7">
        <v>28.4</v>
      </c>
      <c r="N17" s="7">
        <v>30.5</v>
      </c>
      <c r="O17" s="7">
        <v>6.4</v>
      </c>
      <c r="P17" s="7">
        <v>12.3</v>
      </c>
      <c r="Q17" s="7">
        <v>1.4</v>
      </c>
    </row>
    <row r="18" spans="1:17">
      <c r="A18" s="2">
        <v>1966</v>
      </c>
      <c r="B18" s="7">
        <v>25</v>
      </c>
      <c r="C18" s="7">
        <v>3.3</v>
      </c>
      <c r="D18" s="7">
        <v>15.5</v>
      </c>
      <c r="E18" s="7">
        <v>2.4</v>
      </c>
      <c r="F18" s="7">
        <v>5.9</v>
      </c>
      <c r="G18" s="7">
        <v>6.5</v>
      </c>
      <c r="H18" s="7">
        <v>33.200000000000003</v>
      </c>
      <c r="I18" s="7">
        <v>6.4</v>
      </c>
      <c r="J18" s="7">
        <v>4.4000000000000004</v>
      </c>
      <c r="K18" s="7">
        <v>21.8</v>
      </c>
      <c r="L18" s="7">
        <v>24</v>
      </c>
      <c r="M18" s="7">
        <v>28.9</v>
      </c>
      <c r="N18" s="7">
        <v>31</v>
      </c>
      <c r="O18" s="7">
        <v>6.6</v>
      </c>
      <c r="P18" s="7">
        <v>12.5</v>
      </c>
      <c r="Q18" s="7">
        <v>1.4</v>
      </c>
    </row>
    <row r="19" spans="1:17">
      <c r="A19" s="2">
        <v>1967</v>
      </c>
      <c r="B19" s="7">
        <v>25.4</v>
      </c>
      <c r="C19" s="7">
        <v>3.4</v>
      </c>
      <c r="D19" s="7">
        <v>15.8</v>
      </c>
      <c r="E19" s="7">
        <v>2.5</v>
      </c>
      <c r="F19" s="7">
        <v>6</v>
      </c>
      <c r="G19" s="7">
        <v>6.7</v>
      </c>
      <c r="H19" s="7">
        <v>33.799999999999997</v>
      </c>
      <c r="I19" s="7">
        <v>6.6</v>
      </c>
      <c r="J19" s="7">
        <v>4.5</v>
      </c>
      <c r="K19" s="7">
        <v>22.2</v>
      </c>
      <c r="L19" s="7">
        <v>24.4</v>
      </c>
      <c r="M19" s="7">
        <v>29.4</v>
      </c>
      <c r="N19" s="7">
        <v>31.6</v>
      </c>
      <c r="O19" s="7">
        <v>6.7</v>
      </c>
      <c r="P19" s="7">
        <v>12.7</v>
      </c>
      <c r="Q19" s="7">
        <v>1.4</v>
      </c>
    </row>
    <row r="20" spans="1:17">
      <c r="A20" s="2">
        <v>1968</v>
      </c>
      <c r="B20" s="7">
        <v>25.9</v>
      </c>
      <c r="C20" s="7">
        <v>3.5</v>
      </c>
      <c r="D20" s="7">
        <v>16.100000000000001</v>
      </c>
      <c r="E20" s="7">
        <v>2.5</v>
      </c>
      <c r="F20" s="7">
        <v>6.1</v>
      </c>
      <c r="G20" s="7">
        <v>6.8</v>
      </c>
      <c r="H20" s="7">
        <v>34.4</v>
      </c>
      <c r="I20" s="7">
        <v>6.7</v>
      </c>
      <c r="J20" s="7">
        <v>4.5999999999999996</v>
      </c>
      <c r="K20" s="7">
        <v>22.6</v>
      </c>
      <c r="L20" s="7">
        <v>24.9</v>
      </c>
      <c r="M20" s="7">
        <v>29.9</v>
      </c>
      <c r="N20" s="7">
        <v>32.1</v>
      </c>
      <c r="O20" s="7">
        <v>6.8</v>
      </c>
      <c r="P20" s="7">
        <v>12.9</v>
      </c>
      <c r="Q20" s="7">
        <v>1.4</v>
      </c>
    </row>
    <row r="21" spans="1:17">
      <c r="A21" s="2">
        <v>1969</v>
      </c>
      <c r="B21" s="7">
        <v>26.3</v>
      </c>
      <c r="C21" s="7">
        <v>3.5</v>
      </c>
      <c r="D21" s="7">
        <v>16.399999999999999</v>
      </c>
      <c r="E21" s="7">
        <v>2.5</v>
      </c>
      <c r="F21" s="7">
        <v>6.2</v>
      </c>
      <c r="G21" s="7">
        <v>6.9</v>
      </c>
      <c r="H21" s="7">
        <v>35</v>
      </c>
      <c r="I21" s="7">
        <v>6.8</v>
      </c>
      <c r="J21" s="7">
        <v>4.5999999999999996</v>
      </c>
      <c r="K21" s="7">
        <v>23</v>
      </c>
      <c r="L21" s="7">
        <v>25.3</v>
      </c>
      <c r="M21" s="7">
        <v>30.4</v>
      </c>
      <c r="N21" s="7">
        <v>32.700000000000003</v>
      </c>
      <c r="O21" s="7">
        <v>6.9</v>
      </c>
      <c r="P21" s="7">
        <v>13.1</v>
      </c>
      <c r="Q21" s="7">
        <v>1.5</v>
      </c>
    </row>
    <row r="22" spans="1:17">
      <c r="A22" s="2">
        <v>1970</v>
      </c>
      <c r="B22" s="7">
        <v>26.7</v>
      </c>
      <c r="C22" s="7">
        <v>3.6</v>
      </c>
      <c r="D22" s="7">
        <v>16.600000000000001</v>
      </c>
      <c r="E22" s="7">
        <v>2.6</v>
      </c>
      <c r="F22" s="7">
        <v>6.3</v>
      </c>
      <c r="G22" s="7">
        <v>7</v>
      </c>
      <c r="H22" s="7">
        <v>35.6</v>
      </c>
      <c r="I22" s="7">
        <v>6.9</v>
      </c>
      <c r="J22" s="7">
        <v>4.7</v>
      </c>
      <c r="K22" s="7">
        <v>23.3</v>
      </c>
      <c r="L22" s="7">
        <v>25.7</v>
      </c>
      <c r="M22" s="7">
        <v>30.9</v>
      </c>
      <c r="N22" s="7">
        <v>33.200000000000003</v>
      </c>
      <c r="O22" s="7">
        <v>7</v>
      </c>
      <c r="P22" s="7">
        <v>13.3</v>
      </c>
      <c r="Q22" s="7">
        <v>1.5</v>
      </c>
    </row>
    <row r="23" spans="1:17">
      <c r="A23" s="2">
        <v>1971</v>
      </c>
      <c r="B23" s="7">
        <v>27.2</v>
      </c>
      <c r="C23" s="7">
        <v>3.6</v>
      </c>
      <c r="D23" s="7">
        <v>16.899999999999999</v>
      </c>
      <c r="E23" s="7">
        <v>2.6</v>
      </c>
      <c r="F23" s="7">
        <v>6.4</v>
      </c>
      <c r="G23" s="7">
        <v>7.1</v>
      </c>
      <c r="H23" s="7">
        <v>36.1</v>
      </c>
      <c r="I23" s="7">
        <v>7</v>
      </c>
      <c r="J23" s="7">
        <v>4.8</v>
      </c>
      <c r="K23" s="7">
        <v>23.7</v>
      </c>
      <c r="L23" s="7">
        <v>26.1</v>
      </c>
      <c r="M23" s="7">
        <v>31.4</v>
      </c>
      <c r="N23" s="7">
        <v>33.700000000000003</v>
      </c>
      <c r="O23" s="7">
        <v>7.1</v>
      </c>
      <c r="P23" s="7">
        <v>13.6</v>
      </c>
      <c r="Q23" s="7">
        <v>1.5</v>
      </c>
    </row>
    <row r="24" spans="1:17">
      <c r="A24" s="2">
        <v>1972</v>
      </c>
      <c r="B24" s="7">
        <v>27.6</v>
      </c>
      <c r="C24" s="7">
        <v>3.7</v>
      </c>
      <c r="D24" s="7">
        <v>17.2</v>
      </c>
      <c r="E24" s="7">
        <v>2.7</v>
      </c>
      <c r="F24" s="7">
        <v>6.5</v>
      </c>
      <c r="G24" s="7">
        <v>7.2</v>
      </c>
      <c r="H24" s="7">
        <v>36.700000000000003</v>
      </c>
      <c r="I24" s="7">
        <v>7.1</v>
      </c>
      <c r="J24" s="7">
        <v>4.9000000000000004</v>
      </c>
      <c r="K24" s="7">
        <v>24.1</v>
      </c>
      <c r="L24" s="7">
        <v>26.5</v>
      </c>
      <c r="M24" s="7">
        <v>31.9</v>
      </c>
      <c r="N24" s="7">
        <v>34.299999999999997</v>
      </c>
      <c r="O24" s="7">
        <v>7.3</v>
      </c>
      <c r="P24" s="7">
        <v>13.8</v>
      </c>
      <c r="Q24" s="7">
        <v>1.5</v>
      </c>
    </row>
    <row r="25" spans="1:17">
      <c r="A25" s="2">
        <v>1973</v>
      </c>
      <c r="B25" s="7">
        <v>28</v>
      </c>
      <c r="C25" s="7">
        <v>3.7</v>
      </c>
      <c r="D25" s="7">
        <v>17.399999999999999</v>
      </c>
      <c r="E25" s="7">
        <v>2.7</v>
      </c>
      <c r="F25" s="7">
        <v>6.7</v>
      </c>
      <c r="G25" s="7">
        <v>7.3</v>
      </c>
      <c r="H25" s="7">
        <v>37.299999999999997</v>
      </c>
      <c r="I25" s="7">
        <v>7.2</v>
      </c>
      <c r="J25" s="7">
        <v>5</v>
      </c>
      <c r="K25" s="7">
        <v>24.5</v>
      </c>
      <c r="L25" s="7">
        <v>27</v>
      </c>
      <c r="M25" s="7">
        <v>32.4</v>
      </c>
      <c r="N25" s="7">
        <v>34.799999999999997</v>
      </c>
      <c r="O25" s="7">
        <v>7.4</v>
      </c>
      <c r="P25" s="7">
        <v>14</v>
      </c>
      <c r="Q25" s="7">
        <v>1.6</v>
      </c>
    </row>
    <row r="26" spans="1:17">
      <c r="A26" s="2">
        <v>1974</v>
      </c>
      <c r="B26" s="7">
        <v>28.5</v>
      </c>
      <c r="C26" s="7">
        <v>3.8</v>
      </c>
      <c r="D26" s="7">
        <v>17.7</v>
      </c>
      <c r="E26" s="7">
        <v>2.8</v>
      </c>
      <c r="F26" s="7">
        <v>6.8</v>
      </c>
      <c r="G26" s="7">
        <v>7.5</v>
      </c>
      <c r="H26" s="7">
        <v>37.9</v>
      </c>
      <c r="I26" s="7">
        <v>7.4</v>
      </c>
      <c r="J26" s="7">
        <v>5</v>
      </c>
      <c r="K26" s="7">
        <v>24.9</v>
      </c>
      <c r="L26" s="7">
        <v>27.4</v>
      </c>
      <c r="M26" s="7">
        <v>32.9</v>
      </c>
      <c r="N26" s="7">
        <v>35.4</v>
      </c>
      <c r="O26" s="7">
        <v>7.5</v>
      </c>
      <c r="P26" s="7">
        <v>14.2</v>
      </c>
      <c r="Q26" s="7">
        <v>1.6</v>
      </c>
    </row>
    <row r="27" spans="1:17">
      <c r="A27" s="2">
        <v>1975</v>
      </c>
      <c r="B27" s="7">
        <v>28.9</v>
      </c>
      <c r="C27" s="7">
        <v>3.9</v>
      </c>
      <c r="D27" s="7">
        <v>18</v>
      </c>
      <c r="E27" s="7">
        <v>2.8</v>
      </c>
      <c r="F27" s="7">
        <v>6.9</v>
      </c>
      <c r="G27" s="7">
        <v>7.6</v>
      </c>
      <c r="H27" s="7">
        <v>38.5</v>
      </c>
      <c r="I27" s="7">
        <v>7.5</v>
      </c>
      <c r="J27" s="7">
        <v>5.0999999999999996</v>
      </c>
      <c r="K27" s="7">
        <v>25.2</v>
      </c>
      <c r="L27" s="7">
        <v>27.8</v>
      </c>
      <c r="M27" s="7">
        <v>33.5</v>
      </c>
      <c r="N27" s="7">
        <v>35.9</v>
      </c>
      <c r="O27" s="7">
        <v>7.6</v>
      </c>
      <c r="P27" s="7">
        <v>14.5</v>
      </c>
      <c r="Q27" s="7">
        <v>1.6</v>
      </c>
    </row>
    <row r="28" spans="1:17">
      <c r="A28" s="2">
        <v>1976</v>
      </c>
      <c r="B28" s="7">
        <v>29.4</v>
      </c>
      <c r="C28" s="7">
        <v>3.9</v>
      </c>
      <c r="D28" s="7">
        <v>18.3</v>
      </c>
      <c r="E28" s="7">
        <v>2.8</v>
      </c>
      <c r="F28" s="7">
        <v>7</v>
      </c>
      <c r="G28" s="7">
        <v>7.7</v>
      </c>
      <c r="H28" s="7">
        <v>39.1</v>
      </c>
      <c r="I28" s="7">
        <v>7.6</v>
      </c>
      <c r="J28" s="7">
        <v>5.2</v>
      </c>
      <c r="K28" s="7">
        <v>25.6</v>
      </c>
      <c r="L28" s="7">
        <v>28.2</v>
      </c>
      <c r="M28" s="7">
        <v>34</v>
      </c>
      <c r="N28" s="7">
        <v>36.5</v>
      </c>
      <c r="O28" s="7">
        <v>7.7</v>
      </c>
      <c r="P28" s="7">
        <v>14.7</v>
      </c>
      <c r="Q28" s="7">
        <v>1.6</v>
      </c>
    </row>
    <row r="29" spans="1:17">
      <c r="A29" s="2">
        <v>1977</v>
      </c>
      <c r="B29" s="7">
        <v>29.8</v>
      </c>
      <c r="C29" s="7">
        <v>4</v>
      </c>
      <c r="D29" s="7">
        <v>18.5</v>
      </c>
      <c r="E29" s="7">
        <v>2.9</v>
      </c>
      <c r="F29" s="7">
        <v>7.1</v>
      </c>
      <c r="G29" s="7">
        <v>7.8</v>
      </c>
      <c r="H29" s="7">
        <v>39.700000000000003</v>
      </c>
      <c r="I29" s="7">
        <v>7.7</v>
      </c>
      <c r="J29" s="7">
        <v>5.3</v>
      </c>
      <c r="K29" s="7">
        <v>26</v>
      </c>
      <c r="L29" s="7">
        <v>28.7</v>
      </c>
      <c r="M29" s="7">
        <v>34.5</v>
      </c>
      <c r="N29" s="7">
        <v>37</v>
      </c>
      <c r="O29" s="7">
        <v>7.8</v>
      </c>
      <c r="P29" s="7">
        <v>14.9</v>
      </c>
      <c r="Q29" s="7">
        <v>1.7</v>
      </c>
    </row>
    <row r="30" spans="1:17">
      <c r="A30" s="2">
        <v>1978</v>
      </c>
      <c r="B30" s="7">
        <v>30.3</v>
      </c>
      <c r="C30" s="7">
        <v>4</v>
      </c>
      <c r="D30" s="7">
        <v>18.8</v>
      </c>
      <c r="E30" s="7">
        <v>2.9</v>
      </c>
      <c r="F30" s="7">
        <v>7.2</v>
      </c>
      <c r="G30" s="7">
        <v>7.9</v>
      </c>
      <c r="H30" s="7">
        <v>40.299999999999997</v>
      </c>
      <c r="I30" s="7">
        <v>7.8</v>
      </c>
      <c r="J30" s="7">
        <v>5.3</v>
      </c>
      <c r="K30" s="7">
        <v>26.4</v>
      </c>
      <c r="L30" s="7">
        <v>29.1</v>
      </c>
      <c r="M30" s="7">
        <v>35</v>
      </c>
      <c r="N30" s="7">
        <v>37.6</v>
      </c>
      <c r="O30" s="7">
        <v>8</v>
      </c>
      <c r="P30" s="7">
        <v>15.1</v>
      </c>
      <c r="Q30" s="7">
        <v>1.7</v>
      </c>
    </row>
    <row r="31" spans="1:17">
      <c r="A31" s="2">
        <v>1979</v>
      </c>
      <c r="B31" s="7">
        <v>30.7</v>
      </c>
      <c r="C31" s="7">
        <v>4.0999999999999996</v>
      </c>
      <c r="D31" s="7">
        <v>19.100000000000001</v>
      </c>
      <c r="E31" s="7">
        <v>3</v>
      </c>
      <c r="F31" s="7">
        <v>7.3</v>
      </c>
      <c r="G31" s="7">
        <v>8</v>
      </c>
      <c r="H31" s="7">
        <v>40.9</v>
      </c>
      <c r="I31" s="7">
        <v>7.9</v>
      </c>
      <c r="J31" s="7">
        <v>5.4</v>
      </c>
      <c r="K31" s="7">
        <v>26.8</v>
      </c>
      <c r="L31" s="7">
        <v>29.5</v>
      </c>
      <c r="M31" s="7">
        <v>35.5</v>
      </c>
      <c r="N31" s="7">
        <v>38.1</v>
      </c>
      <c r="O31" s="7">
        <v>8.1</v>
      </c>
      <c r="P31" s="7">
        <v>15.3</v>
      </c>
      <c r="Q31" s="7">
        <v>1.7</v>
      </c>
    </row>
    <row r="32" spans="1:17">
      <c r="A32" s="2">
        <v>1980</v>
      </c>
      <c r="B32" s="7">
        <v>31.2</v>
      </c>
      <c r="C32" s="7">
        <v>4.2</v>
      </c>
      <c r="D32" s="7">
        <v>19.399999999999999</v>
      </c>
      <c r="E32" s="7">
        <v>3</v>
      </c>
      <c r="F32" s="7">
        <v>7.4</v>
      </c>
      <c r="G32" s="7">
        <v>8.1999999999999993</v>
      </c>
      <c r="H32" s="7">
        <v>41.6</v>
      </c>
      <c r="I32" s="7">
        <v>8.1</v>
      </c>
      <c r="J32" s="7">
        <v>5.5</v>
      </c>
      <c r="K32" s="7">
        <v>27.2</v>
      </c>
      <c r="L32" s="7">
        <v>30</v>
      </c>
      <c r="M32" s="7">
        <v>36.1</v>
      </c>
      <c r="N32" s="7">
        <v>38.799999999999997</v>
      </c>
      <c r="O32" s="7">
        <v>8.1999999999999993</v>
      </c>
      <c r="P32" s="7">
        <v>15.6</v>
      </c>
      <c r="Q32" s="7">
        <v>1.7</v>
      </c>
    </row>
    <row r="33" spans="1:17">
      <c r="A33" s="2">
        <v>1981</v>
      </c>
      <c r="B33" s="7">
        <v>31.7</v>
      </c>
      <c r="C33" s="7">
        <v>4.2</v>
      </c>
      <c r="D33" s="7">
        <v>19.7</v>
      </c>
      <c r="E33" s="7">
        <v>3.1</v>
      </c>
      <c r="F33" s="7">
        <v>7.5</v>
      </c>
      <c r="G33" s="7">
        <v>8.3000000000000007</v>
      </c>
      <c r="H33" s="7">
        <v>42.2</v>
      </c>
      <c r="I33" s="7">
        <v>8.1999999999999993</v>
      </c>
      <c r="J33" s="7">
        <v>5.6</v>
      </c>
      <c r="K33" s="7">
        <v>27.6</v>
      </c>
      <c r="L33" s="7">
        <v>30.5</v>
      </c>
      <c r="M33" s="7">
        <v>36.6</v>
      </c>
      <c r="N33" s="7">
        <v>39.299999999999997</v>
      </c>
      <c r="O33" s="7">
        <v>8.3000000000000007</v>
      </c>
      <c r="P33" s="7">
        <v>15.8</v>
      </c>
      <c r="Q33" s="7">
        <v>1.8</v>
      </c>
    </row>
    <row r="34" spans="1:17">
      <c r="A34" s="2">
        <v>1982</v>
      </c>
      <c r="B34" s="7">
        <v>32.1</v>
      </c>
      <c r="C34" s="7">
        <v>4.3</v>
      </c>
      <c r="D34" s="7">
        <v>20</v>
      </c>
      <c r="E34" s="7">
        <v>3.1</v>
      </c>
      <c r="F34" s="7">
        <v>7.6</v>
      </c>
      <c r="G34" s="7">
        <v>8.4</v>
      </c>
      <c r="H34" s="7">
        <v>42.8</v>
      </c>
      <c r="I34" s="7">
        <v>8.3000000000000007</v>
      </c>
      <c r="J34" s="7">
        <v>5.7</v>
      </c>
      <c r="K34" s="7">
        <v>28</v>
      </c>
      <c r="L34" s="7">
        <v>30.9</v>
      </c>
      <c r="M34" s="7">
        <v>37.1</v>
      </c>
      <c r="N34" s="7">
        <v>39.9</v>
      </c>
      <c r="O34" s="7">
        <v>8.4</v>
      </c>
      <c r="P34" s="7">
        <v>16</v>
      </c>
      <c r="Q34" s="7">
        <v>1.8</v>
      </c>
    </row>
    <row r="35" spans="1:17">
      <c r="A35" s="2">
        <v>1983</v>
      </c>
      <c r="B35" s="7">
        <v>32.6</v>
      </c>
      <c r="C35" s="7">
        <v>4.4000000000000004</v>
      </c>
      <c r="D35" s="7">
        <v>20.3</v>
      </c>
      <c r="E35" s="7">
        <v>3.1</v>
      </c>
      <c r="F35" s="7">
        <v>7.7</v>
      </c>
      <c r="G35" s="7">
        <v>8.5</v>
      </c>
      <c r="H35" s="7">
        <v>43.4</v>
      </c>
      <c r="I35" s="7">
        <v>8.4</v>
      </c>
      <c r="J35" s="7">
        <v>5.7</v>
      </c>
      <c r="K35" s="7">
        <v>28.4</v>
      </c>
      <c r="L35" s="7">
        <v>31.3</v>
      </c>
      <c r="M35" s="7">
        <v>37.700000000000003</v>
      </c>
      <c r="N35" s="7">
        <v>40.4</v>
      </c>
      <c r="O35" s="7">
        <v>8.6</v>
      </c>
      <c r="P35" s="7">
        <v>16.3</v>
      </c>
      <c r="Q35" s="7">
        <v>1.8</v>
      </c>
    </row>
    <row r="36" spans="1:17">
      <c r="A36" s="2">
        <v>1984</v>
      </c>
      <c r="B36" s="7">
        <v>33</v>
      </c>
      <c r="C36" s="7">
        <v>4.4000000000000004</v>
      </c>
      <c r="D36" s="7">
        <v>20.5</v>
      </c>
      <c r="E36" s="7">
        <v>3.2</v>
      </c>
      <c r="F36" s="7">
        <v>7.8</v>
      </c>
      <c r="G36" s="7">
        <v>8.6</v>
      </c>
      <c r="H36" s="7">
        <v>44</v>
      </c>
      <c r="I36" s="7">
        <v>8.5</v>
      </c>
      <c r="J36" s="7">
        <v>5.8</v>
      </c>
      <c r="K36" s="7">
        <v>28.8</v>
      </c>
      <c r="L36" s="7">
        <v>31.7</v>
      </c>
      <c r="M36" s="7">
        <v>38.200000000000003</v>
      </c>
      <c r="N36" s="7">
        <v>41</v>
      </c>
      <c r="O36" s="7">
        <v>8.6999999999999993</v>
      </c>
      <c r="P36" s="7">
        <v>16.5</v>
      </c>
      <c r="Q36" s="7">
        <v>1.8</v>
      </c>
    </row>
    <row r="37" spans="1:17">
      <c r="A37" s="2">
        <v>1985</v>
      </c>
      <c r="B37" s="7">
        <v>33.5</v>
      </c>
      <c r="C37" s="7">
        <v>4.5</v>
      </c>
      <c r="D37" s="7">
        <v>20.8</v>
      </c>
      <c r="E37" s="7">
        <v>3.2</v>
      </c>
      <c r="F37" s="7">
        <v>7.9</v>
      </c>
      <c r="G37" s="7">
        <v>8.8000000000000007</v>
      </c>
      <c r="H37" s="7">
        <v>44.5</v>
      </c>
      <c r="I37" s="7">
        <v>8.6</v>
      </c>
      <c r="J37" s="7">
        <v>5.9</v>
      </c>
      <c r="K37" s="7">
        <v>29.2</v>
      </c>
      <c r="L37" s="7">
        <v>32.200000000000003</v>
      </c>
      <c r="M37" s="7">
        <v>38.700000000000003</v>
      </c>
      <c r="N37" s="7">
        <v>41.6</v>
      </c>
      <c r="O37" s="7">
        <v>8.8000000000000007</v>
      </c>
      <c r="P37" s="7">
        <v>16.7</v>
      </c>
      <c r="Q37" s="7">
        <v>1.9</v>
      </c>
    </row>
    <row r="38" spans="1:17">
      <c r="A38" s="2">
        <v>1986</v>
      </c>
      <c r="B38" s="7">
        <v>33.9</v>
      </c>
      <c r="C38" s="7">
        <v>4.5</v>
      </c>
      <c r="D38" s="7">
        <v>21.1</v>
      </c>
      <c r="E38" s="7">
        <v>3.3</v>
      </c>
      <c r="F38" s="7">
        <v>8</v>
      </c>
      <c r="G38" s="7">
        <v>8.9</v>
      </c>
      <c r="H38" s="7">
        <v>45.1</v>
      </c>
      <c r="I38" s="7">
        <v>8.8000000000000007</v>
      </c>
      <c r="J38" s="7">
        <v>6</v>
      </c>
      <c r="K38" s="7">
        <v>29.6</v>
      </c>
      <c r="L38" s="7">
        <v>32.6</v>
      </c>
      <c r="M38" s="7">
        <v>39.200000000000003</v>
      </c>
      <c r="N38" s="7">
        <v>42.1</v>
      </c>
      <c r="O38" s="7">
        <v>8.9</v>
      </c>
      <c r="P38" s="7">
        <v>16.899999999999999</v>
      </c>
      <c r="Q38" s="7">
        <v>1.9</v>
      </c>
    </row>
    <row r="39" spans="1:17">
      <c r="A39" s="2">
        <v>1987</v>
      </c>
      <c r="B39" s="7">
        <v>34.4</v>
      </c>
      <c r="C39" s="7">
        <v>4.5999999999999996</v>
      </c>
      <c r="D39" s="7">
        <v>21.4</v>
      </c>
      <c r="E39" s="7">
        <v>3.3</v>
      </c>
      <c r="F39" s="7">
        <v>8.1999999999999993</v>
      </c>
      <c r="G39" s="7">
        <v>9</v>
      </c>
      <c r="H39" s="7">
        <v>45.7</v>
      </c>
      <c r="I39" s="7">
        <v>8.9</v>
      </c>
      <c r="J39" s="7">
        <v>6.1</v>
      </c>
      <c r="K39" s="7">
        <v>30</v>
      </c>
      <c r="L39" s="7">
        <v>33</v>
      </c>
      <c r="M39" s="7">
        <v>39.700000000000003</v>
      </c>
      <c r="N39" s="7">
        <v>42.7</v>
      </c>
      <c r="O39" s="7">
        <v>9</v>
      </c>
      <c r="P39" s="7">
        <v>17.2</v>
      </c>
      <c r="Q39" s="7">
        <v>1.9</v>
      </c>
    </row>
    <row r="40" spans="1:17">
      <c r="A40" s="2">
        <v>1988</v>
      </c>
      <c r="B40" s="7">
        <v>34.799999999999997</v>
      </c>
      <c r="C40" s="7">
        <v>4.7</v>
      </c>
      <c r="D40" s="7">
        <v>21.7</v>
      </c>
      <c r="E40" s="7">
        <v>3.4</v>
      </c>
      <c r="F40" s="7">
        <v>8.3000000000000007</v>
      </c>
      <c r="G40" s="7">
        <v>9.1</v>
      </c>
      <c r="H40" s="7">
        <v>46.3</v>
      </c>
      <c r="I40" s="7">
        <v>9</v>
      </c>
      <c r="J40" s="7">
        <v>6.1</v>
      </c>
      <c r="K40" s="7">
        <v>30.4</v>
      </c>
      <c r="L40" s="7">
        <v>33.5</v>
      </c>
      <c r="M40" s="7">
        <v>40.299999999999997</v>
      </c>
      <c r="N40" s="7">
        <v>43.2</v>
      </c>
      <c r="O40" s="7">
        <v>9.1999999999999993</v>
      </c>
      <c r="P40" s="7">
        <v>17.399999999999999</v>
      </c>
      <c r="Q40" s="7">
        <v>1.9</v>
      </c>
    </row>
    <row r="41" spans="1:17">
      <c r="A41" s="2">
        <v>1989</v>
      </c>
      <c r="B41" s="7">
        <v>35.299999999999997</v>
      </c>
      <c r="C41" s="7">
        <v>4.7</v>
      </c>
      <c r="D41" s="7">
        <v>21.9</v>
      </c>
      <c r="E41" s="7">
        <v>3.4</v>
      </c>
      <c r="F41" s="7">
        <v>8.4</v>
      </c>
      <c r="G41" s="7">
        <v>9.1999999999999993</v>
      </c>
      <c r="H41" s="7">
        <v>46.9</v>
      </c>
      <c r="I41" s="7">
        <v>9.1</v>
      </c>
      <c r="J41" s="7">
        <v>6.2</v>
      </c>
      <c r="K41" s="7">
        <v>30.8</v>
      </c>
      <c r="L41" s="7">
        <v>33.9</v>
      </c>
      <c r="M41" s="7">
        <v>40.799999999999997</v>
      </c>
      <c r="N41" s="7">
        <v>43.8</v>
      </c>
      <c r="O41" s="7">
        <v>9.3000000000000007</v>
      </c>
      <c r="P41" s="7">
        <v>17.600000000000001</v>
      </c>
      <c r="Q41" s="7">
        <v>2</v>
      </c>
    </row>
    <row r="42" spans="1:17">
      <c r="A42" s="2">
        <v>1990</v>
      </c>
      <c r="B42" s="7">
        <v>35.6</v>
      </c>
      <c r="C42" s="7">
        <v>4.8</v>
      </c>
      <c r="D42" s="7">
        <v>22.1</v>
      </c>
      <c r="E42" s="7">
        <v>3.4</v>
      </c>
      <c r="F42" s="7">
        <v>8.4</v>
      </c>
      <c r="G42" s="7">
        <v>9.3000000000000007</v>
      </c>
      <c r="H42" s="7">
        <v>47.3</v>
      </c>
      <c r="I42" s="7">
        <v>9.1999999999999993</v>
      </c>
      <c r="J42" s="7">
        <v>6.3</v>
      </c>
      <c r="K42" s="7">
        <v>31</v>
      </c>
      <c r="L42" s="7">
        <v>34.200000000000003</v>
      </c>
      <c r="M42" s="7">
        <v>41.1</v>
      </c>
      <c r="N42" s="7">
        <v>44.2</v>
      </c>
      <c r="O42" s="7">
        <v>9.3000000000000007</v>
      </c>
      <c r="P42" s="7">
        <v>17.8</v>
      </c>
      <c r="Q42" s="7">
        <v>2</v>
      </c>
    </row>
    <row r="43" spans="1:17">
      <c r="A43" s="2">
        <v>1991</v>
      </c>
      <c r="B43" s="7">
        <v>35</v>
      </c>
      <c r="C43" s="7">
        <v>4.7</v>
      </c>
      <c r="D43" s="7">
        <v>21.8</v>
      </c>
      <c r="E43" s="7">
        <v>3.4</v>
      </c>
      <c r="F43" s="7">
        <v>8.3000000000000007</v>
      </c>
      <c r="G43" s="7">
        <v>9.1999999999999993</v>
      </c>
      <c r="H43" s="7">
        <v>46.6</v>
      </c>
      <c r="I43" s="7">
        <v>9</v>
      </c>
      <c r="J43" s="7">
        <v>6.2</v>
      </c>
      <c r="K43" s="7">
        <v>30.6</v>
      </c>
      <c r="L43" s="7">
        <v>33.700000000000003</v>
      </c>
      <c r="M43" s="7">
        <v>40.5</v>
      </c>
      <c r="N43" s="7">
        <v>43.5</v>
      </c>
      <c r="O43" s="7">
        <v>9.1999999999999993</v>
      </c>
      <c r="P43" s="7">
        <v>17.5</v>
      </c>
      <c r="Q43" s="7">
        <v>2</v>
      </c>
    </row>
    <row r="44" spans="1:17">
      <c r="A44" s="2">
        <v>1992</v>
      </c>
      <c r="B44" s="7">
        <v>34.5</v>
      </c>
      <c r="C44" s="7">
        <v>4.5999999999999996</v>
      </c>
      <c r="D44" s="7">
        <v>21.4</v>
      </c>
      <c r="E44" s="7">
        <v>3.3</v>
      </c>
      <c r="F44" s="7">
        <v>8.1999999999999993</v>
      </c>
      <c r="G44" s="7">
        <v>9</v>
      </c>
      <c r="H44" s="7">
        <v>45.9</v>
      </c>
      <c r="I44" s="7">
        <v>8.9</v>
      </c>
      <c r="J44" s="7">
        <v>6.1</v>
      </c>
      <c r="K44" s="7">
        <v>30.1</v>
      </c>
      <c r="L44" s="7">
        <v>33.200000000000003</v>
      </c>
      <c r="M44" s="7">
        <v>39.9</v>
      </c>
      <c r="N44" s="7">
        <v>42.8</v>
      </c>
      <c r="O44" s="7">
        <v>9.1</v>
      </c>
      <c r="P44" s="7">
        <v>17.2</v>
      </c>
      <c r="Q44" s="7">
        <v>1.9</v>
      </c>
    </row>
    <row r="45" spans="1:17">
      <c r="A45" s="2">
        <v>1993</v>
      </c>
      <c r="B45" s="7">
        <v>33.9</v>
      </c>
      <c r="C45" s="7">
        <v>4.5</v>
      </c>
      <c r="D45" s="7">
        <v>21.1</v>
      </c>
      <c r="E45" s="7">
        <v>3.3</v>
      </c>
      <c r="F45" s="7">
        <v>8</v>
      </c>
      <c r="G45" s="7">
        <v>8.9</v>
      </c>
      <c r="H45" s="7">
        <v>45.1</v>
      </c>
      <c r="I45" s="7">
        <v>8.8000000000000007</v>
      </c>
      <c r="J45" s="7">
        <v>6</v>
      </c>
      <c r="K45" s="7">
        <v>29.6</v>
      </c>
      <c r="L45" s="7">
        <v>32.6</v>
      </c>
      <c r="M45" s="7">
        <v>39.200000000000003</v>
      </c>
      <c r="N45" s="7">
        <v>42.1</v>
      </c>
      <c r="O45" s="7">
        <v>8.9</v>
      </c>
      <c r="P45" s="7">
        <v>16.899999999999999</v>
      </c>
      <c r="Q45" s="7">
        <v>1.9</v>
      </c>
    </row>
    <row r="46" spans="1:17">
      <c r="A46" s="2">
        <v>1994</v>
      </c>
      <c r="B46" s="7">
        <v>33.299999999999997</v>
      </c>
      <c r="C46" s="7">
        <v>4.5</v>
      </c>
      <c r="D46" s="7">
        <v>20.7</v>
      </c>
      <c r="E46" s="7">
        <v>3.2</v>
      </c>
      <c r="F46" s="7">
        <v>7.9</v>
      </c>
      <c r="G46" s="7">
        <v>8.6999999999999993</v>
      </c>
      <c r="H46" s="7">
        <v>44.4</v>
      </c>
      <c r="I46" s="7">
        <v>8.6</v>
      </c>
      <c r="J46" s="7">
        <v>5.9</v>
      </c>
      <c r="K46" s="7">
        <v>29.1</v>
      </c>
      <c r="L46" s="7">
        <v>32</v>
      </c>
      <c r="M46" s="7">
        <v>38.5</v>
      </c>
      <c r="N46" s="7">
        <v>41.4</v>
      </c>
      <c r="O46" s="7">
        <v>8.8000000000000007</v>
      </c>
      <c r="P46" s="7">
        <v>16.600000000000001</v>
      </c>
      <c r="Q46" s="7">
        <v>1.9</v>
      </c>
    </row>
    <row r="47" spans="1:17">
      <c r="A47" s="2">
        <v>1995</v>
      </c>
      <c r="B47" s="7">
        <v>32.700000000000003</v>
      </c>
      <c r="C47" s="7">
        <v>4.4000000000000004</v>
      </c>
      <c r="D47" s="7">
        <v>20.3</v>
      </c>
      <c r="E47" s="7">
        <v>3.2</v>
      </c>
      <c r="F47" s="7">
        <v>7.8</v>
      </c>
      <c r="G47" s="7">
        <v>8.6</v>
      </c>
      <c r="H47" s="7">
        <v>43.5</v>
      </c>
      <c r="I47" s="7">
        <v>8.4</v>
      </c>
      <c r="J47" s="7">
        <v>5.8</v>
      </c>
      <c r="K47" s="7">
        <v>28.5</v>
      </c>
      <c r="L47" s="7">
        <v>31.4</v>
      </c>
      <c r="M47" s="7">
        <v>37.799999999999997</v>
      </c>
      <c r="N47" s="7">
        <v>40.6</v>
      </c>
      <c r="O47" s="7">
        <v>8.6</v>
      </c>
      <c r="P47" s="7">
        <v>16.3</v>
      </c>
      <c r="Q47" s="7">
        <v>1.8</v>
      </c>
    </row>
    <row r="48" spans="1:17">
      <c r="A48" s="2">
        <v>1996</v>
      </c>
      <c r="B48" s="7">
        <v>32.1</v>
      </c>
      <c r="C48" s="7">
        <v>4.3</v>
      </c>
      <c r="D48" s="7">
        <v>19.899999999999999</v>
      </c>
      <c r="E48" s="7">
        <v>3.1</v>
      </c>
      <c r="F48" s="7">
        <v>7.6</v>
      </c>
      <c r="G48" s="7">
        <v>8.4</v>
      </c>
      <c r="H48" s="7">
        <v>42.7</v>
      </c>
      <c r="I48" s="7">
        <v>8.3000000000000007</v>
      </c>
      <c r="J48" s="7">
        <v>5.7</v>
      </c>
      <c r="K48" s="7">
        <v>28</v>
      </c>
      <c r="L48" s="7">
        <v>30.8</v>
      </c>
      <c r="M48" s="7">
        <v>37.1</v>
      </c>
      <c r="N48" s="7">
        <v>39.799999999999997</v>
      </c>
      <c r="O48" s="7">
        <v>8.4</v>
      </c>
      <c r="P48" s="7">
        <v>16</v>
      </c>
      <c r="Q48" s="7">
        <v>1.8</v>
      </c>
    </row>
    <row r="49" spans="1:17">
      <c r="A49" s="2">
        <v>1997</v>
      </c>
      <c r="B49" s="7">
        <v>31.4</v>
      </c>
      <c r="C49" s="7">
        <v>4.2</v>
      </c>
      <c r="D49" s="7">
        <v>19.5</v>
      </c>
      <c r="E49" s="7">
        <v>3</v>
      </c>
      <c r="F49" s="7">
        <v>7.5</v>
      </c>
      <c r="G49" s="7">
        <v>8.1999999999999993</v>
      </c>
      <c r="H49" s="7">
        <v>41.8</v>
      </c>
      <c r="I49" s="7">
        <v>8.1</v>
      </c>
      <c r="J49" s="7">
        <v>5.5</v>
      </c>
      <c r="K49" s="7">
        <v>27.4</v>
      </c>
      <c r="L49" s="7">
        <v>30.2</v>
      </c>
      <c r="M49" s="7">
        <v>36.299999999999997</v>
      </c>
      <c r="N49" s="7">
        <v>39</v>
      </c>
      <c r="O49" s="7">
        <v>8.3000000000000007</v>
      </c>
      <c r="P49" s="7">
        <v>15.7</v>
      </c>
      <c r="Q49" s="7">
        <v>1.8</v>
      </c>
    </row>
    <row r="50" spans="1:17">
      <c r="A50" s="2">
        <v>1998</v>
      </c>
      <c r="B50" s="7">
        <v>30.7</v>
      </c>
      <c r="C50" s="7">
        <v>4.0999999999999996</v>
      </c>
      <c r="D50" s="7">
        <v>19.100000000000001</v>
      </c>
      <c r="E50" s="7">
        <v>3</v>
      </c>
      <c r="F50" s="7">
        <v>7.3</v>
      </c>
      <c r="G50" s="7">
        <v>8</v>
      </c>
      <c r="H50" s="7">
        <v>40.9</v>
      </c>
      <c r="I50" s="7">
        <v>7.9</v>
      </c>
      <c r="J50" s="7">
        <v>5.4</v>
      </c>
      <c r="K50" s="7">
        <v>26.8</v>
      </c>
      <c r="L50" s="7">
        <v>29.5</v>
      </c>
      <c r="M50" s="7">
        <v>35.5</v>
      </c>
      <c r="N50" s="7">
        <v>38.1</v>
      </c>
      <c r="O50" s="7">
        <v>8.1</v>
      </c>
      <c r="P50" s="7">
        <v>15.3</v>
      </c>
      <c r="Q50" s="7">
        <v>1.7</v>
      </c>
    </row>
    <row r="51" spans="1:17">
      <c r="A51" s="2">
        <v>1999</v>
      </c>
      <c r="B51" s="7">
        <v>30</v>
      </c>
      <c r="C51" s="7">
        <v>4</v>
      </c>
      <c r="D51" s="7">
        <v>18.7</v>
      </c>
      <c r="E51" s="7">
        <v>2.9</v>
      </c>
      <c r="F51" s="7">
        <v>7.1</v>
      </c>
      <c r="G51" s="7">
        <v>7.9</v>
      </c>
      <c r="H51" s="7">
        <v>39.9</v>
      </c>
      <c r="I51" s="7">
        <v>7.7</v>
      </c>
      <c r="J51" s="7">
        <v>5.3</v>
      </c>
      <c r="K51" s="7">
        <v>26.2</v>
      </c>
      <c r="L51" s="7">
        <v>28.9</v>
      </c>
      <c r="M51" s="7">
        <v>34.700000000000003</v>
      </c>
      <c r="N51" s="7">
        <v>37.299999999999997</v>
      </c>
      <c r="O51" s="7">
        <v>7.9</v>
      </c>
      <c r="P51" s="7">
        <v>15</v>
      </c>
      <c r="Q51" s="7">
        <v>1.7</v>
      </c>
    </row>
    <row r="52" spans="1:17">
      <c r="A52" s="2">
        <v>2000</v>
      </c>
      <c r="B52" s="7">
        <v>29.3</v>
      </c>
      <c r="C52" s="7">
        <v>3.9</v>
      </c>
      <c r="D52" s="7">
        <v>18.2</v>
      </c>
      <c r="E52" s="7">
        <v>2.8</v>
      </c>
      <c r="F52" s="7">
        <v>6.9</v>
      </c>
      <c r="G52" s="7">
        <v>7.7</v>
      </c>
      <c r="H52" s="7">
        <v>39</v>
      </c>
      <c r="I52" s="7">
        <v>7.6</v>
      </c>
      <c r="J52" s="7">
        <v>5.2</v>
      </c>
      <c r="K52" s="7">
        <v>25.6</v>
      </c>
      <c r="L52" s="7">
        <v>28.2</v>
      </c>
      <c r="M52" s="7">
        <v>33.9</v>
      </c>
      <c r="N52" s="7">
        <v>36.4</v>
      </c>
      <c r="O52" s="7">
        <v>7.7</v>
      </c>
      <c r="P52" s="7">
        <v>14.6</v>
      </c>
      <c r="Q52" s="7">
        <v>1.6</v>
      </c>
    </row>
    <row r="53" spans="1:17">
      <c r="A53" s="2">
        <v>2001</v>
      </c>
      <c r="B53" s="7">
        <v>29.6</v>
      </c>
      <c r="C53" s="7">
        <v>4</v>
      </c>
      <c r="D53" s="7">
        <v>18.3</v>
      </c>
      <c r="E53" s="7">
        <v>2.9</v>
      </c>
      <c r="F53" s="7">
        <v>6.6</v>
      </c>
      <c r="G53" s="7">
        <v>7.6</v>
      </c>
      <c r="H53" s="7">
        <v>39.9</v>
      </c>
      <c r="I53" s="7">
        <v>7.9</v>
      </c>
      <c r="J53" s="7">
        <v>5.4</v>
      </c>
      <c r="K53" s="7">
        <v>26.2</v>
      </c>
      <c r="L53" s="7">
        <v>28.8</v>
      </c>
      <c r="M53" s="7">
        <v>35.1</v>
      </c>
      <c r="N53" s="7">
        <v>36.9</v>
      </c>
      <c r="O53" s="7">
        <v>7.9</v>
      </c>
      <c r="P53" s="7">
        <v>15.6</v>
      </c>
      <c r="Q53" s="7">
        <v>1.7</v>
      </c>
    </row>
    <row r="54" spans="1:17">
      <c r="A54" s="2">
        <v>2002</v>
      </c>
      <c r="B54" s="7">
        <v>30</v>
      </c>
      <c r="C54" s="7">
        <v>4.0999999999999996</v>
      </c>
      <c r="D54" s="7">
        <v>18.399999999999999</v>
      </c>
      <c r="E54" s="7">
        <v>2.9</v>
      </c>
      <c r="F54" s="7">
        <v>6.2</v>
      </c>
      <c r="G54" s="7">
        <v>7.5</v>
      </c>
      <c r="H54" s="7">
        <v>40.9</v>
      </c>
      <c r="I54" s="7">
        <v>8.1</v>
      </c>
      <c r="J54" s="7">
        <v>5.6</v>
      </c>
      <c r="K54" s="7">
        <v>26.8</v>
      </c>
      <c r="L54" s="7">
        <v>29.4</v>
      </c>
      <c r="M54" s="7">
        <v>36.299999999999997</v>
      </c>
      <c r="N54" s="7">
        <v>37.4</v>
      </c>
      <c r="O54" s="7">
        <v>8.1999999999999993</v>
      </c>
      <c r="P54" s="7">
        <v>16.600000000000001</v>
      </c>
      <c r="Q54" s="7">
        <v>1.7</v>
      </c>
    </row>
    <row r="55" spans="1:17">
      <c r="A55" s="2">
        <v>2003</v>
      </c>
      <c r="B55" s="7">
        <v>30.3</v>
      </c>
      <c r="C55" s="7">
        <v>4.2</v>
      </c>
      <c r="D55" s="7">
        <v>18.600000000000001</v>
      </c>
      <c r="E55" s="7">
        <v>2.9</v>
      </c>
      <c r="F55" s="7">
        <v>5.8</v>
      </c>
      <c r="G55" s="7">
        <v>7.5</v>
      </c>
      <c r="H55" s="7">
        <v>41.9</v>
      </c>
      <c r="I55" s="7">
        <v>8.4</v>
      </c>
      <c r="J55" s="7">
        <v>5.8</v>
      </c>
      <c r="K55" s="7">
        <v>27.4</v>
      </c>
      <c r="L55" s="7">
        <v>30</v>
      </c>
      <c r="M55" s="7">
        <v>37.6</v>
      </c>
      <c r="N55" s="7">
        <v>37.9</v>
      </c>
      <c r="O55" s="7">
        <v>8.4</v>
      </c>
      <c r="P55" s="7">
        <v>17.600000000000001</v>
      </c>
      <c r="Q55" s="7">
        <v>1.7</v>
      </c>
    </row>
    <row r="56" spans="1:17">
      <c r="A56" s="2">
        <v>2004</v>
      </c>
      <c r="B56" s="7">
        <v>30.6</v>
      </c>
      <c r="C56" s="7">
        <v>4.3</v>
      </c>
      <c r="D56" s="7">
        <v>18.7</v>
      </c>
      <c r="E56" s="7">
        <v>2.9</v>
      </c>
      <c r="F56" s="7">
        <v>5.5</v>
      </c>
      <c r="G56" s="7">
        <v>7.4</v>
      </c>
      <c r="H56" s="7">
        <v>42.9</v>
      </c>
      <c r="I56" s="7">
        <v>8.6999999999999993</v>
      </c>
      <c r="J56" s="7">
        <v>6</v>
      </c>
      <c r="K56" s="7">
        <v>28</v>
      </c>
      <c r="L56" s="7">
        <v>30.6</v>
      </c>
      <c r="M56" s="7">
        <v>38.799999999999997</v>
      </c>
      <c r="N56" s="7">
        <v>38.4</v>
      </c>
      <c r="O56" s="7">
        <v>8.6999999999999993</v>
      </c>
      <c r="P56" s="7">
        <v>18.5</v>
      </c>
      <c r="Q56" s="7">
        <v>1.7</v>
      </c>
    </row>
    <row r="57" spans="1:17">
      <c r="A57" s="2">
        <v>2005</v>
      </c>
      <c r="B57" s="7">
        <v>31</v>
      </c>
      <c r="C57" s="7">
        <v>4.3</v>
      </c>
      <c r="D57" s="7">
        <v>18.8</v>
      </c>
      <c r="E57" s="7">
        <v>3</v>
      </c>
      <c r="F57" s="7">
        <v>5.0999999999999996</v>
      </c>
      <c r="G57" s="7">
        <v>7.3</v>
      </c>
      <c r="H57" s="7">
        <v>43.9</v>
      </c>
      <c r="I57" s="7">
        <v>9</v>
      </c>
      <c r="J57" s="7">
        <v>6.2</v>
      </c>
      <c r="K57" s="7">
        <v>28.6</v>
      </c>
      <c r="L57" s="7">
        <v>31.3</v>
      </c>
      <c r="M57" s="7">
        <v>40</v>
      </c>
      <c r="N57" s="7">
        <v>38.9</v>
      </c>
      <c r="O57" s="7">
        <v>8.9</v>
      </c>
      <c r="P57" s="7">
        <v>19.5</v>
      </c>
      <c r="Q57" s="7">
        <v>1.7</v>
      </c>
    </row>
    <row r="58" spans="1:17">
      <c r="A58" s="2">
        <v>2006</v>
      </c>
      <c r="B58" s="7">
        <v>31.3</v>
      </c>
      <c r="C58" s="7">
        <v>4.4000000000000004</v>
      </c>
      <c r="D58" s="7">
        <v>18.899999999999999</v>
      </c>
      <c r="E58" s="7">
        <v>3</v>
      </c>
      <c r="F58" s="7">
        <v>4.7</v>
      </c>
      <c r="G58" s="7">
        <v>7.3</v>
      </c>
      <c r="H58" s="7">
        <v>44.8</v>
      </c>
      <c r="I58" s="7">
        <v>9.3000000000000007</v>
      </c>
      <c r="J58" s="7">
        <v>6.4</v>
      </c>
      <c r="K58" s="7">
        <v>29.2</v>
      </c>
      <c r="L58" s="7">
        <v>31.9</v>
      </c>
      <c r="M58" s="7">
        <v>41.3</v>
      </c>
      <c r="N58" s="7">
        <v>39.4</v>
      </c>
      <c r="O58" s="7">
        <v>9.1999999999999993</v>
      </c>
      <c r="P58" s="7">
        <v>20.5</v>
      </c>
      <c r="Q58" s="7">
        <v>1.8</v>
      </c>
    </row>
    <row r="59" spans="1:17">
      <c r="A59" s="2">
        <v>2007</v>
      </c>
      <c r="B59" s="7">
        <v>31.4</v>
      </c>
      <c r="C59" s="7">
        <v>4.5999999999999996</v>
      </c>
      <c r="D59" s="7">
        <v>19.100000000000001</v>
      </c>
      <c r="E59" s="7">
        <v>3</v>
      </c>
      <c r="F59" s="7">
        <v>4.7</v>
      </c>
      <c r="G59" s="7">
        <v>7.3</v>
      </c>
      <c r="H59" s="7">
        <v>45.2</v>
      </c>
      <c r="I59" s="7">
        <v>9.6999999999999993</v>
      </c>
      <c r="J59" s="7">
        <v>6.6</v>
      </c>
      <c r="K59" s="7">
        <v>29.5</v>
      </c>
      <c r="L59" s="7">
        <v>32.299999999999997</v>
      </c>
      <c r="M59" s="7">
        <v>42.3</v>
      </c>
      <c r="N59" s="7">
        <v>39.9</v>
      </c>
      <c r="O59" s="7">
        <v>9.5</v>
      </c>
      <c r="P59" s="7">
        <v>20.8</v>
      </c>
      <c r="Q59" s="7">
        <v>1.8</v>
      </c>
    </row>
    <row r="60" spans="1:17">
      <c r="A60" s="2">
        <v>2008</v>
      </c>
      <c r="B60" s="7">
        <v>31.6</v>
      </c>
      <c r="C60" s="7">
        <v>4.7</v>
      </c>
      <c r="D60" s="7">
        <v>19.3</v>
      </c>
      <c r="E60" s="7">
        <v>3</v>
      </c>
      <c r="F60" s="7">
        <v>4.7</v>
      </c>
      <c r="G60" s="7">
        <v>7.4</v>
      </c>
      <c r="H60" s="7">
        <v>45.6</v>
      </c>
      <c r="I60" s="7">
        <v>10</v>
      </c>
      <c r="J60" s="7">
        <v>6.8</v>
      </c>
      <c r="K60" s="7">
        <v>29.8</v>
      </c>
      <c r="L60" s="7">
        <v>32.799999999999997</v>
      </c>
      <c r="M60" s="7">
        <v>43.3</v>
      </c>
      <c r="N60" s="7">
        <v>40.4</v>
      </c>
      <c r="O60" s="7">
        <v>9.8000000000000007</v>
      </c>
      <c r="P60" s="7">
        <v>21.1</v>
      </c>
      <c r="Q60" s="7">
        <v>1.8</v>
      </c>
    </row>
    <row r="61" spans="1:17">
      <c r="A61" s="2">
        <v>2009</v>
      </c>
      <c r="B61" s="7">
        <v>31.7</v>
      </c>
      <c r="C61" s="7">
        <v>4.8</v>
      </c>
      <c r="D61" s="7">
        <v>19.399999999999999</v>
      </c>
      <c r="E61" s="7">
        <v>3.1</v>
      </c>
      <c r="F61" s="7">
        <v>4.7</v>
      </c>
      <c r="G61" s="7">
        <v>7.5</v>
      </c>
      <c r="H61" s="7">
        <v>45.9</v>
      </c>
      <c r="I61" s="7">
        <v>10.3</v>
      </c>
      <c r="J61" s="7">
        <v>7</v>
      </c>
      <c r="K61" s="7">
        <v>30.1</v>
      </c>
      <c r="L61" s="7">
        <v>33.200000000000003</v>
      </c>
      <c r="M61" s="7">
        <v>44.3</v>
      </c>
      <c r="N61" s="7">
        <v>40.9</v>
      </c>
      <c r="O61" s="7">
        <v>10.199999999999999</v>
      </c>
      <c r="P61" s="7">
        <v>21.3</v>
      </c>
      <c r="Q61" s="7">
        <v>1.8</v>
      </c>
    </row>
    <row r="62" spans="1:17">
      <c r="A62" s="2">
        <v>2010</v>
      </c>
      <c r="B62" s="7">
        <v>31.6</v>
      </c>
      <c r="C62" s="7">
        <v>5</v>
      </c>
      <c r="D62" s="7">
        <v>19.7</v>
      </c>
      <c r="E62" s="7">
        <v>3.1</v>
      </c>
      <c r="F62" s="7">
        <v>5.0999999999999996</v>
      </c>
      <c r="G62" s="7">
        <v>7.7</v>
      </c>
      <c r="H62" s="7">
        <v>45.7</v>
      </c>
      <c r="I62" s="7">
        <v>10.7</v>
      </c>
      <c r="J62" s="7">
        <v>7.1</v>
      </c>
      <c r="K62" s="7">
        <v>30.1</v>
      </c>
      <c r="L62" s="7">
        <v>33.5</v>
      </c>
      <c r="M62" s="7">
        <v>45.2</v>
      </c>
      <c r="N62" s="7">
        <v>41.5</v>
      </c>
      <c r="O62" s="7">
        <v>10.6</v>
      </c>
      <c r="P62" s="7">
        <v>20.9</v>
      </c>
      <c r="Q62" s="7">
        <v>1.8</v>
      </c>
    </row>
    <row r="63" spans="1:17">
      <c r="A63" s="2">
        <v>2011</v>
      </c>
      <c r="B63" s="7">
        <v>32</v>
      </c>
      <c r="C63" s="7">
        <v>5.0999999999999996</v>
      </c>
      <c r="D63" s="7">
        <v>19.8</v>
      </c>
      <c r="E63" s="7">
        <v>3.1</v>
      </c>
      <c r="F63" s="7">
        <v>4.7</v>
      </c>
      <c r="G63" s="7">
        <v>7.6</v>
      </c>
      <c r="H63" s="7">
        <v>46.6</v>
      </c>
      <c r="I63" s="7">
        <v>11</v>
      </c>
      <c r="J63" s="7">
        <v>7.3</v>
      </c>
      <c r="K63" s="7">
        <v>30.7</v>
      </c>
      <c r="L63" s="7">
        <v>34.1</v>
      </c>
      <c r="M63" s="7">
        <v>46.4</v>
      </c>
      <c r="N63" s="7">
        <v>42</v>
      </c>
      <c r="O63" s="7">
        <v>10.8</v>
      </c>
      <c r="P63" s="7">
        <v>21.9</v>
      </c>
      <c r="Q63" s="7">
        <v>1.8</v>
      </c>
    </row>
    <row r="64" spans="1:17">
      <c r="A64" s="2">
        <v>2012</v>
      </c>
      <c r="B64" s="7">
        <v>32.1</v>
      </c>
      <c r="C64" s="7">
        <v>5.3</v>
      </c>
      <c r="D64" s="7">
        <v>19.899999999999999</v>
      </c>
      <c r="E64" s="7">
        <v>3.1</v>
      </c>
      <c r="F64" s="7">
        <v>4.7</v>
      </c>
      <c r="G64" s="7">
        <v>7.8</v>
      </c>
      <c r="H64" s="7">
        <v>47.6</v>
      </c>
      <c r="I64" s="7">
        <v>11.4</v>
      </c>
      <c r="J64" s="7">
        <v>7.5</v>
      </c>
      <c r="K64" s="7">
        <v>31.9</v>
      </c>
      <c r="L64" s="7">
        <v>34.6</v>
      </c>
      <c r="M64" s="7">
        <v>47.6</v>
      </c>
      <c r="N64" s="7">
        <v>42.5</v>
      </c>
      <c r="O64" s="7">
        <v>11.2</v>
      </c>
      <c r="P64" s="7">
        <v>22.3</v>
      </c>
      <c r="Q64" s="7">
        <v>1.9</v>
      </c>
    </row>
    <row r="65" spans="1:17">
      <c r="A65" s="2">
        <v>2013</v>
      </c>
      <c r="B65" s="7">
        <v>32.299999999999997</v>
      </c>
      <c r="C65" s="7">
        <v>5.4</v>
      </c>
      <c r="D65" s="7">
        <v>20</v>
      </c>
      <c r="E65" s="7">
        <v>3.1</v>
      </c>
      <c r="F65" s="7">
        <v>4.7</v>
      </c>
      <c r="G65" s="7">
        <v>8</v>
      </c>
      <c r="H65" s="7">
        <v>48.6</v>
      </c>
      <c r="I65" s="7">
        <v>11.7</v>
      </c>
      <c r="J65" s="7">
        <v>7.6</v>
      </c>
      <c r="K65" s="7">
        <v>33</v>
      </c>
      <c r="L65" s="7">
        <v>35.200000000000003</v>
      </c>
      <c r="M65" s="7">
        <v>48.8</v>
      </c>
      <c r="N65" s="7">
        <v>43</v>
      </c>
      <c r="O65" s="7">
        <v>11.5</v>
      </c>
      <c r="P65" s="7">
        <v>22.7</v>
      </c>
      <c r="Q65" s="7">
        <v>1.9</v>
      </c>
    </row>
    <row r="66" spans="1:17">
      <c r="A66" s="2">
        <v>2014</v>
      </c>
      <c r="B66" s="7">
        <v>32.4</v>
      </c>
      <c r="C66" s="7">
        <v>5.6</v>
      </c>
      <c r="D66" s="7">
        <v>20.100000000000001</v>
      </c>
      <c r="E66" s="7">
        <v>3.1</v>
      </c>
      <c r="F66" s="7">
        <v>4.7</v>
      </c>
      <c r="G66" s="7">
        <v>8.1</v>
      </c>
      <c r="H66" s="7">
        <v>49.5</v>
      </c>
      <c r="I66" s="7">
        <v>12.1</v>
      </c>
      <c r="J66" s="7">
        <v>7.8</v>
      </c>
      <c r="K66" s="7">
        <v>34.1</v>
      </c>
      <c r="L66" s="7">
        <v>35.700000000000003</v>
      </c>
      <c r="M66" s="7">
        <v>49.9</v>
      </c>
      <c r="N66" s="7">
        <v>43.5</v>
      </c>
      <c r="O66" s="7">
        <v>11.9</v>
      </c>
      <c r="P66" s="7">
        <v>23.2</v>
      </c>
      <c r="Q66" s="7">
        <v>1.9</v>
      </c>
    </row>
    <row r="67" spans="1:17">
      <c r="A67" s="2">
        <v>2015</v>
      </c>
      <c r="B67" s="7">
        <v>32.4</v>
      </c>
      <c r="C67" s="7">
        <v>5.8</v>
      </c>
      <c r="D67" s="7">
        <v>20.2</v>
      </c>
      <c r="E67" s="7">
        <v>3.1</v>
      </c>
      <c r="F67" s="7">
        <v>5.0999999999999996</v>
      </c>
      <c r="G67" s="7">
        <v>8.5</v>
      </c>
      <c r="H67" s="7">
        <v>50.5</v>
      </c>
      <c r="I67" s="7">
        <v>12.5</v>
      </c>
      <c r="J67" s="7">
        <v>7.9</v>
      </c>
      <c r="K67" s="7">
        <v>35.700000000000003</v>
      </c>
      <c r="L67" s="7">
        <v>36.200000000000003</v>
      </c>
      <c r="M67" s="7">
        <v>51.1</v>
      </c>
      <c r="N67" s="7">
        <v>44.1</v>
      </c>
      <c r="O67" s="7">
        <v>12.3</v>
      </c>
      <c r="P67" s="7">
        <v>23</v>
      </c>
      <c r="Q67" s="7">
        <v>1.9</v>
      </c>
    </row>
    <row r="68" spans="1:17">
      <c r="A68" s="2">
        <v>2016</v>
      </c>
      <c r="B68" s="7">
        <v>32.700000000000003</v>
      </c>
      <c r="C68" s="7">
        <v>5.9</v>
      </c>
      <c r="D68" s="7">
        <v>20.3</v>
      </c>
      <c r="E68" s="7">
        <v>3.1</v>
      </c>
      <c r="F68" s="7">
        <v>4.7</v>
      </c>
      <c r="G68" s="7">
        <v>8.5</v>
      </c>
      <c r="H68" s="7">
        <v>51.5</v>
      </c>
      <c r="I68" s="7">
        <v>12.8</v>
      </c>
      <c r="J68" s="7">
        <v>8.1</v>
      </c>
      <c r="K68" s="7">
        <v>36.299999999999997</v>
      </c>
      <c r="L68" s="7">
        <v>36.799999999999997</v>
      </c>
      <c r="M68" s="7">
        <v>52.3</v>
      </c>
      <c r="N68" s="7">
        <v>44.6</v>
      </c>
      <c r="O68" s="7">
        <v>12.5</v>
      </c>
      <c r="P68" s="7">
        <v>24</v>
      </c>
      <c r="Q68" s="7">
        <v>1.9</v>
      </c>
    </row>
    <row r="69" spans="1:17">
      <c r="A69" s="2">
        <v>2017</v>
      </c>
      <c r="B69" s="7">
        <v>32.9</v>
      </c>
      <c r="C69" s="7">
        <v>6</v>
      </c>
      <c r="D69" s="7">
        <v>20.2</v>
      </c>
      <c r="E69" s="7">
        <v>3.1</v>
      </c>
      <c r="F69" s="7">
        <v>4.7</v>
      </c>
      <c r="G69" s="7">
        <v>8.9</v>
      </c>
      <c r="H69" s="7">
        <v>52.9</v>
      </c>
      <c r="I69" s="7">
        <v>13.3</v>
      </c>
      <c r="J69" s="7">
        <v>8.3000000000000007</v>
      </c>
      <c r="K69" s="7">
        <v>36.700000000000003</v>
      </c>
      <c r="L69" s="7">
        <v>37.200000000000003</v>
      </c>
      <c r="M69" s="7">
        <v>53.2</v>
      </c>
      <c r="N69" s="7">
        <v>45</v>
      </c>
      <c r="O69" s="7">
        <v>12.9</v>
      </c>
      <c r="P69" s="7">
        <v>24.5</v>
      </c>
      <c r="Q69" s="7">
        <v>2</v>
      </c>
    </row>
    <row r="70" spans="1:17">
      <c r="A70" s="2">
        <v>2018</v>
      </c>
      <c r="B70" s="7">
        <v>33.200000000000003</v>
      </c>
      <c r="C70" s="7">
        <v>6.1</v>
      </c>
      <c r="D70" s="7">
        <v>20.2</v>
      </c>
      <c r="E70" s="7">
        <v>3.1</v>
      </c>
      <c r="F70" s="7">
        <v>4.7</v>
      </c>
      <c r="G70" s="7">
        <v>9.3000000000000007</v>
      </c>
      <c r="H70" s="7">
        <v>54.2</v>
      </c>
      <c r="I70" s="7">
        <v>13.7</v>
      </c>
      <c r="J70" s="7">
        <v>8.6</v>
      </c>
      <c r="K70" s="7">
        <v>37</v>
      </c>
      <c r="L70" s="7">
        <v>37.6</v>
      </c>
      <c r="M70" s="7">
        <v>54.1</v>
      </c>
      <c r="N70" s="7">
        <v>45.5</v>
      </c>
      <c r="O70" s="7">
        <v>13.3</v>
      </c>
      <c r="P70" s="7">
        <v>25</v>
      </c>
      <c r="Q70" s="7">
        <v>2</v>
      </c>
    </row>
    <row r="71" spans="1:17">
      <c r="A71" s="2">
        <v>2019</v>
      </c>
      <c r="B71" s="7">
        <v>33.4</v>
      </c>
      <c r="C71" s="7">
        <v>6.2</v>
      </c>
      <c r="D71" s="7">
        <v>20.100000000000001</v>
      </c>
      <c r="E71" s="7">
        <v>3.1</v>
      </c>
      <c r="F71" s="7">
        <v>4.7</v>
      </c>
      <c r="G71" s="7">
        <v>9.8000000000000007</v>
      </c>
      <c r="H71" s="7">
        <v>55.6</v>
      </c>
      <c r="I71" s="7">
        <v>14.1</v>
      </c>
      <c r="J71" s="7">
        <v>8.9</v>
      </c>
      <c r="K71" s="7">
        <v>37.4</v>
      </c>
      <c r="L71" s="7">
        <v>38.1</v>
      </c>
      <c r="M71" s="7">
        <v>55</v>
      </c>
      <c r="N71" s="7">
        <v>45.9</v>
      </c>
      <c r="O71" s="7">
        <v>13.7</v>
      </c>
      <c r="P71" s="7">
        <v>25.5</v>
      </c>
      <c r="Q71" s="7">
        <v>2</v>
      </c>
    </row>
    <row r="72" spans="1:17">
      <c r="A72" s="2">
        <v>2020</v>
      </c>
      <c r="B72" s="7">
        <v>33.5</v>
      </c>
      <c r="C72" s="7">
        <v>6.4</v>
      </c>
      <c r="D72" s="7">
        <v>19.899999999999999</v>
      </c>
      <c r="E72" s="7">
        <v>3.1</v>
      </c>
      <c r="F72" s="7">
        <v>5.0999999999999996</v>
      </c>
      <c r="G72" s="7">
        <v>10.7</v>
      </c>
      <c r="H72" s="7">
        <v>57.4</v>
      </c>
      <c r="I72" s="7">
        <v>14.6</v>
      </c>
      <c r="J72" s="7">
        <v>9.1999999999999993</v>
      </c>
      <c r="K72" s="7">
        <v>37.5</v>
      </c>
      <c r="L72" s="7">
        <v>38.299999999999997</v>
      </c>
      <c r="M72" s="7">
        <v>55.5</v>
      </c>
      <c r="N72" s="7">
        <v>46.3</v>
      </c>
      <c r="O72" s="7">
        <v>14.2</v>
      </c>
      <c r="P72" s="7">
        <v>25.6</v>
      </c>
      <c r="Q72" s="7">
        <v>2</v>
      </c>
    </row>
    <row r="73" spans="1:17">
      <c r="A73" s="2">
        <v>2021</v>
      </c>
      <c r="B73" s="7">
        <v>33.799999999999997</v>
      </c>
      <c r="C73" s="7">
        <v>6.5</v>
      </c>
      <c r="D73" s="7">
        <v>20</v>
      </c>
      <c r="E73" s="7">
        <v>3.1</v>
      </c>
      <c r="F73" s="7">
        <v>4.8</v>
      </c>
      <c r="G73" s="7">
        <v>10.6</v>
      </c>
      <c r="H73" s="7">
        <v>58.3</v>
      </c>
      <c r="I73" s="7">
        <v>14.9</v>
      </c>
      <c r="J73" s="7">
        <v>9.4</v>
      </c>
      <c r="K73" s="7">
        <v>38.1</v>
      </c>
      <c r="L73" s="7">
        <v>38.9</v>
      </c>
      <c r="M73" s="7">
        <v>56.7</v>
      </c>
      <c r="N73" s="7">
        <v>46.8</v>
      </c>
      <c r="O73" s="7">
        <v>14.4</v>
      </c>
      <c r="P73" s="7">
        <v>26.5</v>
      </c>
      <c r="Q73" s="7">
        <v>2</v>
      </c>
    </row>
    <row r="74" spans="1:17">
      <c r="A74" s="2">
        <v>2022</v>
      </c>
      <c r="B74" s="7">
        <v>34.200000000000003</v>
      </c>
      <c r="C74" s="7">
        <v>6.5</v>
      </c>
      <c r="D74" s="7">
        <v>20</v>
      </c>
      <c r="E74" s="7">
        <v>3.1</v>
      </c>
      <c r="F74" s="7">
        <v>4.8</v>
      </c>
      <c r="G74" s="7">
        <v>11</v>
      </c>
      <c r="H74" s="7">
        <v>59.3</v>
      </c>
      <c r="I74" s="7">
        <v>15.4</v>
      </c>
      <c r="J74" s="7">
        <v>9.5</v>
      </c>
      <c r="K74" s="7">
        <v>39.1</v>
      </c>
      <c r="L74" s="7">
        <v>39.5</v>
      </c>
      <c r="M74" s="7">
        <v>57.5</v>
      </c>
      <c r="N74" s="7">
        <v>47.5</v>
      </c>
      <c r="O74" s="7">
        <v>14.8</v>
      </c>
      <c r="P74" s="7">
        <v>26.6</v>
      </c>
      <c r="Q74" s="7">
        <v>2.1</v>
      </c>
    </row>
    <row r="75" spans="1:17">
      <c r="A75" s="2">
        <v>2023</v>
      </c>
      <c r="B75" s="7">
        <v>34.6</v>
      </c>
      <c r="C75" s="7">
        <v>6.6</v>
      </c>
      <c r="D75" s="7">
        <v>20</v>
      </c>
      <c r="E75" s="7">
        <v>3.1</v>
      </c>
      <c r="F75" s="7">
        <v>4.8</v>
      </c>
      <c r="G75" s="7">
        <v>11.3</v>
      </c>
      <c r="H75" s="7">
        <v>60.2</v>
      </c>
      <c r="I75" s="7">
        <v>15.8</v>
      </c>
      <c r="J75" s="7">
        <v>9.6</v>
      </c>
      <c r="K75" s="7">
        <v>40</v>
      </c>
      <c r="L75" s="7">
        <v>40.1</v>
      </c>
      <c r="M75" s="7">
        <v>58.2</v>
      </c>
      <c r="N75" s="7">
        <v>48.2</v>
      </c>
      <c r="O75" s="7">
        <v>15.2</v>
      </c>
      <c r="P75" s="7">
        <v>26.7</v>
      </c>
      <c r="Q75" s="7">
        <v>2.1</v>
      </c>
    </row>
    <row r="76" spans="1:17">
      <c r="A76" s="2">
        <v>2024</v>
      </c>
      <c r="B76" s="7">
        <v>35</v>
      </c>
      <c r="C76" s="7">
        <v>6.6</v>
      </c>
      <c r="D76" s="7">
        <v>19.899999999999999</v>
      </c>
      <c r="E76" s="7">
        <v>3.1</v>
      </c>
      <c r="F76" s="7">
        <v>4.8</v>
      </c>
      <c r="G76" s="7">
        <v>11.7</v>
      </c>
      <c r="H76" s="7">
        <v>61.2</v>
      </c>
      <c r="I76" s="7">
        <v>16.3</v>
      </c>
      <c r="J76" s="7">
        <v>9.6999999999999993</v>
      </c>
      <c r="K76" s="7">
        <v>41</v>
      </c>
      <c r="L76" s="7">
        <v>40.6</v>
      </c>
      <c r="M76" s="7">
        <v>58.9</v>
      </c>
      <c r="N76" s="7">
        <v>48.9</v>
      </c>
      <c r="O76" s="7">
        <v>15.6</v>
      </c>
      <c r="P76" s="7">
        <v>26.8</v>
      </c>
      <c r="Q76" s="7">
        <v>2.1</v>
      </c>
    </row>
    <row r="77" spans="1:17">
      <c r="A77" s="2">
        <v>2025</v>
      </c>
      <c r="B77" s="7">
        <v>35.5</v>
      </c>
      <c r="C77" s="7">
        <v>6.6</v>
      </c>
      <c r="D77" s="7">
        <v>19.8</v>
      </c>
      <c r="E77" s="7">
        <v>3.1</v>
      </c>
      <c r="F77" s="7">
        <v>5.2</v>
      </c>
      <c r="G77" s="7">
        <v>12.5</v>
      </c>
      <c r="H77" s="7">
        <v>62.1</v>
      </c>
      <c r="I77" s="7">
        <v>16.8</v>
      </c>
      <c r="J77" s="7">
        <v>9.6999999999999993</v>
      </c>
      <c r="K77" s="7">
        <v>42.3</v>
      </c>
      <c r="L77" s="7">
        <v>41.2</v>
      </c>
      <c r="M77" s="7">
        <v>59.1</v>
      </c>
      <c r="N77" s="7">
        <v>49.8</v>
      </c>
      <c r="O77" s="7">
        <v>16.100000000000001</v>
      </c>
      <c r="P77" s="7">
        <v>26</v>
      </c>
      <c r="Q77" s="7">
        <v>2.1</v>
      </c>
    </row>
    <row r="78" spans="1:17">
      <c r="A78" s="2">
        <v>2026</v>
      </c>
      <c r="B78" s="7">
        <v>35.799999999999997</v>
      </c>
      <c r="C78" s="7">
        <v>6.7</v>
      </c>
      <c r="D78" s="7">
        <v>19.899999999999999</v>
      </c>
      <c r="E78" s="7">
        <v>3.1</v>
      </c>
      <c r="F78" s="7">
        <v>4.8</v>
      </c>
      <c r="G78" s="7">
        <v>12.4</v>
      </c>
      <c r="H78" s="7">
        <v>63</v>
      </c>
      <c r="I78" s="7">
        <v>17.100000000000001</v>
      </c>
      <c r="J78" s="7">
        <v>9.9</v>
      </c>
      <c r="K78" s="7">
        <v>42.9</v>
      </c>
      <c r="L78" s="7">
        <v>41.8</v>
      </c>
      <c r="M78" s="7">
        <v>60.4</v>
      </c>
      <c r="N78" s="7">
        <v>50.3</v>
      </c>
      <c r="O78" s="7">
        <v>16.399999999999999</v>
      </c>
      <c r="P78" s="7">
        <v>27</v>
      </c>
      <c r="Q78" s="7">
        <v>2.1</v>
      </c>
    </row>
    <row r="79" spans="1:17">
      <c r="A79" s="2">
        <v>2027</v>
      </c>
      <c r="B79" s="7">
        <v>36.200000000000003</v>
      </c>
      <c r="C79" s="7">
        <v>6.6</v>
      </c>
      <c r="D79" s="7">
        <v>19.899999999999999</v>
      </c>
      <c r="E79" s="7">
        <v>3.2</v>
      </c>
      <c r="F79" s="7">
        <v>4.9000000000000004</v>
      </c>
      <c r="G79" s="7">
        <v>12</v>
      </c>
      <c r="H79" s="7">
        <v>63.5</v>
      </c>
      <c r="I79" s="7">
        <v>17.7</v>
      </c>
      <c r="J79" s="7">
        <v>10.199999999999999</v>
      </c>
      <c r="K79" s="7">
        <v>43.6</v>
      </c>
      <c r="L79" s="7">
        <v>42.4</v>
      </c>
      <c r="M79" s="7">
        <v>61.1</v>
      </c>
      <c r="N79" s="7">
        <v>51.2</v>
      </c>
      <c r="O79" s="7">
        <v>16.899999999999999</v>
      </c>
      <c r="P79" s="7">
        <v>27.4</v>
      </c>
      <c r="Q79" s="7">
        <v>2.1</v>
      </c>
    </row>
    <row r="80" spans="1:17">
      <c r="A80" s="2">
        <v>2028</v>
      </c>
      <c r="B80" s="7">
        <v>36.5</v>
      </c>
      <c r="C80" s="7">
        <v>6.4</v>
      </c>
      <c r="D80" s="7">
        <v>19.899999999999999</v>
      </c>
      <c r="E80" s="7">
        <v>3.2</v>
      </c>
      <c r="F80" s="7">
        <v>4.9000000000000004</v>
      </c>
      <c r="G80" s="7">
        <v>11.5</v>
      </c>
      <c r="H80" s="7">
        <v>64</v>
      </c>
      <c r="I80" s="7">
        <v>18.2</v>
      </c>
      <c r="J80" s="7">
        <v>10.5</v>
      </c>
      <c r="K80" s="7">
        <v>44.4</v>
      </c>
      <c r="L80" s="7">
        <v>43</v>
      </c>
      <c r="M80" s="7">
        <v>61.8</v>
      </c>
      <c r="N80" s="7">
        <v>52.1</v>
      </c>
      <c r="O80" s="7">
        <v>17.399999999999999</v>
      </c>
      <c r="P80" s="7">
        <v>27.7</v>
      </c>
      <c r="Q80" s="7">
        <v>2.2000000000000002</v>
      </c>
    </row>
    <row r="81" spans="1:17">
      <c r="A81" s="2">
        <v>2029</v>
      </c>
      <c r="B81" s="7">
        <v>36.799999999999997</v>
      </c>
      <c r="C81" s="7">
        <v>6.3</v>
      </c>
      <c r="D81" s="7">
        <v>19.899999999999999</v>
      </c>
      <c r="E81" s="7">
        <v>3.2</v>
      </c>
      <c r="F81" s="7">
        <v>4.9000000000000004</v>
      </c>
      <c r="G81" s="7">
        <v>11</v>
      </c>
      <c r="H81" s="7">
        <v>64.5</v>
      </c>
      <c r="I81" s="7">
        <v>18.8</v>
      </c>
      <c r="J81" s="7">
        <v>10.7</v>
      </c>
      <c r="K81" s="7">
        <v>45.1</v>
      </c>
      <c r="L81" s="7">
        <v>43.6</v>
      </c>
      <c r="M81" s="7">
        <v>62.6</v>
      </c>
      <c r="N81" s="7">
        <v>53</v>
      </c>
      <c r="O81" s="7">
        <v>17.899999999999999</v>
      </c>
      <c r="P81" s="7">
        <v>28.1</v>
      </c>
      <c r="Q81" s="7">
        <v>2.2000000000000002</v>
      </c>
    </row>
    <row r="82" spans="1:17">
      <c r="A82" s="2">
        <v>2030</v>
      </c>
      <c r="B82" s="7">
        <v>37.200000000000003</v>
      </c>
      <c r="C82" s="7">
        <v>6</v>
      </c>
      <c r="D82" s="7">
        <v>19.8</v>
      </c>
      <c r="E82" s="7">
        <v>3.2</v>
      </c>
      <c r="F82" s="7">
        <v>5.3</v>
      </c>
      <c r="G82" s="7">
        <v>10.1</v>
      </c>
      <c r="H82" s="7">
        <v>64.5</v>
      </c>
      <c r="I82" s="7">
        <v>19.600000000000001</v>
      </c>
      <c r="J82" s="7">
        <v>11.1</v>
      </c>
      <c r="K82" s="7">
        <v>45.9</v>
      </c>
      <c r="L82" s="7">
        <v>44.3</v>
      </c>
      <c r="M82" s="7">
        <v>62.8</v>
      </c>
      <c r="N82" s="7">
        <v>54.3</v>
      </c>
      <c r="O82" s="7">
        <v>18.7</v>
      </c>
      <c r="P82" s="7">
        <v>27.8</v>
      </c>
      <c r="Q82" s="7">
        <v>2.2000000000000002</v>
      </c>
    </row>
    <row r="83" spans="1:17">
      <c r="A83" s="2">
        <v>2031</v>
      </c>
      <c r="B83" s="7">
        <v>37.5</v>
      </c>
      <c r="C83" s="7">
        <v>6.1</v>
      </c>
      <c r="D83" s="7">
        <v>20</v>
      </c>
      <c r="E83" s="7">
        <v>3.2</v>
      </c>
      <c r="F83" s="7">
        <v>4.9000000000000004</v>
      </c>
      <c r="G83" s="7">
        <v>10.1</v>
      </c>
      <c r="H83" s="7">
        <v>65.5</v>
      </c>
      <c r="I83" s="7">
        <v>19.899999999999999</v>
      </c>
      <c r="J83" s="7">
        <v>11.3</v>
      </c>
      <c r="K83" s="7">
        <v>46.5</v>
      </c>
      <c r="L83" s="7">
        <v>44.9</v>
      </c>
      <c r="M83" s="7">
        <v>64.099999999999994</v>
      </c>
      <c r="N83" s="7">
        <v>54.8</v>
      </c>
      <c r="O83" s="7">
        <v>18.899999999999999</v>
      </c>
      <c r="P83" s="7">
        <v>28.8</v>
      </c>
      <c r="Q83" s="7">
        <v>2.2000000000000002</v>
      </c>
    </row>
    <row r="84" spans="1:17">
      <c r="A84" s="2">
        <v>2032</v>
      </c>
      <c r="B84" s="7">
        <v>37.799999999999997</v>
      </c>
      <c r="C84" s="7">
        <v>6</v>
      </c>
      <c r="D84" s="7">
        <v>19.899999999999999</v>
      </c>
      <c r="E84" s="7">
        <v>3.3</v>
      </c>
      <c r="F84" s="7">
        <v>5</v>
      </c>
      <c r="G84" s="7">
        <v>9.9</v>
      </c>
      <c r="H84" s="7">
        <v>65.8</v>
      </c>
      <c r="I84" s="7">
        <v>20.6</v>
      </c>
      <c r="J84" s="7">
        <v>11.4</v>
      </c>
      <c r="K84" s="7">
        <v>47.2</v>
      </c>
      <c r="L84" s="7">
        <v>45.4</v>
      </c>
      <c r="M84" s="7">
        <v>64.5</v>
      </c>
      <c r="N84" s="7">
        <v>55.8</v>
      </c>
      <c r="O84" s="7">
        <v>19.5</v>
      </c>
      <c r="P84" s="7">
        <v>29.4</v>
      </c>
      <c r="Q84" s="7">
        <v>2.2000000000000002</v>
      </c>
    </row>
    <row r="85" spans="1:17">
      <c r="A85" s="2">
        <v>2033</v>
      </c>
      <c r="B85" s="7">
        <v>38.1</v>
      </c>
      <c r="C85" s="7">
        <v>5.9</v>
      </c>
      <c r="D85" s="7">
        <v>19.899999999999999</v>
      </c>
      <c r="E85" s="7">
        <v>3.3</v>
      </c>
      <c r="F85" s="7">
        <v>5</v>
      </c>
      <c r="G85" s="7">
        <v>9.8000000000000007</v>
      </c>
      <c r="H85" s="7">
        <v>66</v>
      </c>
      <c r="I85" s="7">
        <v>21.2</v>
      </c>
      <c r="J85" s="7">
        <v>11.4</v>
      </c>
      <c r="K85" s="7">
        <v>48</v>
      </c>
      <c r="L85" s="7">
        <v>46</v>
      </c>
      <c r="M85" s="7">
        <v>64.8</v>
      </c>
      <c r="N85" s="7">
        <v>56.8</v>
      </c>
      <c r="O85" s="7">
        <v>20.100000000000001</v>
      </c>
      <c r="P85" s="7">
        <v>30.1</v>
      </c>
      <c r="Q85" s="7">
        <v>2.2999999999999998</v>
      </c>
    </row>
    <row r="86" spans="1:17">
      <c r="A86" s="2">
        <v>2034</v>
      </c>
      <c r="B86" s="7">
        <v>38.4</v>
      </c>
      <c r="C86" s="7">
        <v>5.8</v>
      </c>
      <c r="D86" s="7">
        <v>19.899999999999999</v>
      </c>
      <c r="E86" s="7">
        <v>3.3</v>
      </c>
      <c r="F86" s="7">
        <v>5</v>
      </c>
      <c r="G86" s="7">
        <v>9.6</v>
      </c>
      <c r="H86" s="7">
        <v>66.2</v>
      </c>
      <c r="I86" s="7">
        <v>21.9</v>
      </c>
      <c r="J86" s="7">
        <v>11.5</v>
      </c>
      <c r="K86" s="7">
        <v>48.7</v>
      </c>
      <c r="L86" s="7">
        <v>46.5</v>
      </c>
      <c r="M86" s="7">
        <v>65.2</v>
      </c>
      <c r="N86" s="7">
        <v>57.8</v>
      </c>
      <c r="O86" s="7">
        <v>20.7</v>
      </c>
      <c r="P86" s="7">
        <v>30.8</v>
      </c>
      <c r="Q86" s="7">
        <v>2.2999999999999998</v>
      </c>
    </row>
    <row r="87" spans="1:17">
      <c r="A87" s="2">
        <v>2035</v>
      </c>
      <c r="B87" s="7">
        <v>38.6</v>
      </c>
      <c r="C87" s="7">
        <v>5.5</v>
      </c>
      <c r="D87" s="7">
        <v>19.7</v>
      </c>
      <c r="E87" s="7">
        <v>3.3</v>
      </c>
      <c r="F87" s="7">
        <v>5.4</v>
      </c>
      <c r="G87" s="7">
        <v>9.4</v>
      </c>
      <c r="H87" s="7">
        <v>65.7</v>
      </c>
      <c r="I87" s="7">
        <v>22.9</v>
      </c>
      <c r="J87" s="7">
        <v>11.4</v>
      </c>
      <c r="K87" s="7">
        <v>49.5</v>
      </c>
      <c r="L87" s="7">
        <v>47</v>
      </c>
      <c r="M87" s="7">
        <v>64.8</v>
      </c>
      <c r="N87" s="7">
        <v>59.3</v>
      </c>
      <c r="O87" s="7">
        <v>21.6</v>
      </c>
      <c r="P87" s="7">
        <v>31.1</v>
      </c>
      <c r="Q87" s="7">
        <v>2.2999999999999998</v>
      </c>
    </row>
    <row r="88" spans="1:17">
      <c r="A88" s="2">
        <v>2036</v>
      </c>
      <c r="B88" s="7">
        <v>38.9</v>
      </c>
      <c r="C88" s="7">
        <v>5.6</v>
      </c>
      <c r="D88" s="7">
        <v>19.899999999999999</v>
      </c>
      <c r="E88" s="7">
        <v>3.4</v>
      </c>
      <c r="F88" s="7">
        <v>5</v>
      </c>
      <c r="G88" s="7">
        <v>9.4</v>
      </c>
      <c r="H88" s="7">
        <v>66.7</v>
      </c>
      <c r="I88" s="7">
        <v>23.2</v>
      </c>
      <c r="J88" s="7">
        <v>11.6</v>
      </c>
      <c r="K88" s="7">
        <v>50.1</v>
      </c>
      <c r="L88" s="7">
        <v>47.6</v>
      </c>
      <c r="M88" s="7">
        <v>66</v>
      </c>
      <c r="N88" s="7">
        <v>59.8</v>
      </c>
      <c r="O88" s="7">
        <v>21.9</v>
      </c>
      <c r="P88" s="7">
        <v>32.1</v>
      </c>
      <c r="Q88" s="7">
        <v>2.2999999999999998</v>
      </c>
    </row>
    <row r="89" spans="1:17">
      <c r="A89" s="2">
        <v>2037</v>
      </c>
      <c r="B89" s="7">
        <v>39</v>
      </c>
      <c r="C89" s="7">
        <v>5.6</v>
      </c>
      <c r="D89" s="7">
        <v>19.899999999999999</v>
      </c>
      <c r="E89" s="7">
        <v>3.4</v>
      </c>
      <c r="F89" s="7">
        <v>5</v>
      </c>
      <c r="G89" s="7">
        <v>9.4</v>
      </c>
      <c r="H89" s="7">
        <v>66.8</v>
      </c>
      <c r="I89" s="7">
        <v>23.9</v>
      </c>
      <c r="J89" s="7">
        <v>11.8</v>
      </c>
      <c r="K89" s="7">
        <v>50.2</v>
      </c>
      <c r="L89" s="7">
        <v>48.2</v>
      </c>
      <c r="M89" s="7">
        <v>66.7</v>
      </c>
      <c r="N89" s="7">
        <v>60.8</v>
      </c>
      <c r="O89" s="7">
        <v>22.5</v>
      </c>
      <c r="P89" s="7">
        <v>32.700000000000003</v>
      </c>
      <c r="Q89" s="7">
        <v>2.2999999999999998</v>
      </c>
    </row>
    <row r="90" spans="1:17">
      <c r="A90" s="2">
        <v>2038</v>
      </c>
      <c r="B90" s="7">
        <v>39.200000000000003</v>
      </c>
      <c r="C90" s="7">
        <v>5.6</v>
      </c>
      <c r="D90" s="7">
        <v>19.8</v>
      </c>
      <c r="E90" s="7">
        <v>3.4</v>
      </c>
      <c r="F90" s="7">
        <v>5</v>
      </c>
      <c r="G90" s="7">
        <v>9.4</v>
      </c>
      <c r="H90" s="7">
        <v>66.8</v>
      </c>
      <c r="I90" s="7">
        <v>24.7</v>
      </c>
      <c r="J90" s="7">
        <v>12.1</v>
      </c>
      <c r="K90" s="7">
        <v>50.4</v>
      </c>
      <c r="L90" s="7">
        <v>48.8</v>
      </c>
      <c r="M90" s="7">
        <v>67.400000000000006</v>
      </c>
      <c r="N90" s="7">
        <v>61.8</v>
      </c>
      <c r="O90" s="7">
        <v>23.2</v>
      </c>
      <c r="P90" s="7">
        <v>33.299999999999997</v>
      </c>
      <c r="Q90" s="7">
        <v>2.2999999999999998</v>
      </c>
    </row>
    <row r="91" spans="1:17">
      <c r="A91" s="2">
        <v>2039</v>
      </c>
      <c r="B91" s="7">
        <v>39.299999999999997</v>
      </c>
      <c r="C91" s="7">
        <v>5.5</v>
      </c>
      <c r="D91" s="7">
        <v>19.8</v>
      </c>
      <c r="E91" s="7">
        <v>3.4</v>
      </c>
      <c r="F91" s="7">
        <v>5</v>
      </c>
      <c r="G91" s="7">
        <v>9.3000000000000007</v>
      </c>
      <c r="H91" s="7">
        <v>66.900000000000006</v>
      </c>
      <c r="I91" s="7">
        <v>25.5</v>
      </c>
      <c r="J91" s="7">
        <v>12.3</v>
      </c>
      <c r="K91" s="7">
        <v>50.5</v>
      </c>
      <c r="L91" s="7">
        <v>49.4</v>
      </c>
      <c r="M91" s="7">
        <v>68.099999999999994</v>
      </c>
      <c r="N91" s="7">
        <v>62.9</v>
      </c>
      <c r="O91" s="7">
        <v>23.9</v>
      </c>
      <c r="P91" s="7">
        <v>33.9</v>
      </c>
      <c r="Q91" s="7">
        <v>2.4</v>
      </c>
    </row>
    <row r="92" spans="1:17">
      <c r="A92" s="2">
        <v>2040</v>
      </c>
      <c r="B92" s="7">
        <v>39.200000000000003</v>
      </c>
      <c r="C92" s="7">
        <v>5.4</v>
      </c>
      <c r="D92" s="7">
        <v>19.7</v>
      </c>
      <c r="E92" s="7">
        <v>3.3</v>
      </c>
      <c r="F92" s="7">
        <v>5.4</v>
      </c>
      <c r="G92" s="7">
        <v>9.4</v>
      </c>
      <c r="H92" s="7">
        <v>66.099999999999994</v>
      </c>
      <c r="I92" s="7">
        <v>26.7</v>
      </c>
      <c r="J92" s="7">
        <v>12.5</v>
      </c>
      <c r="K92" s="7">
        <v>50.2</v>
      </c>
      <c r="L92" s="7">
        <v>50</v>
      </c>
      <c r="M92" s="7">
        <v>68.3</v>
      </c>
      <c r="N92" s="7">
        <v>64.5</v>
      </c>
      <c r="O92" s="7">
        <v>25</v>
      </c>
      <c r="P92" s="7">
        <v>34.1</v>
      </c>
      <c r="Q92" s="7">
        <v>2.4</v>
      </c>
    </row>
    <row r="93" spans="1:17">
      <c r="A93" s="2">
        <v>2041</v>
      </c>
      <c r="B93" s="7">
        <v>39.5</v>
      </c>
      <c r="C93" s="7">
        <v>5.5</v>
      </c>
      <c r="D93" s="7">
        <v>19.8</v>
      </c>
      <c r="E93" s="7">
        <v>3.4</v>
      </c>
      <c r="F93" s="7">
        <v>5.0999999999999996</v>
      </c>
      <c r="G93" s="7">
        <v>9.3000000000000007</v>
      </c>
      <c r="H93" s="7">
        <v>67.099999999999994</v>
      </c>
      <c r="I93" s="7">
        <v>27</v>
      </c>
      <c r="J93" s="7">
        <v>12.7</v>
      </c>
      <c r="K93" s="7">
        <v>50.8</v>
      </c>
      <c r="L93" s="7">
        <v>50.6</v>
      </c>
      <c r="M93" s="7">
        <v>69.599999999999994</v>
      </c>
      <c r="N93" s="7">
        <v>65</v>
      </c>
      <c r="O93" s="7">
        <v>25.2</v>
      </c>
      <c r="P93" s="7">
        <v>35.1</v>
      </c>
      <c r="Q93" s="7">
        <v>2.4</v>
      </c>
    </row>
    <row r="94" spans="1:17">
      <c r="A94" s="2">
        <v>2042</v>
      </c>
      <c r="B94" s="7">
        <v>39.6</v>
      </c>
      <c r="C94" s="7">
        <v>5.6</v>
      </c>
      <c r="D94" s="7">
        <v>19.8</v>
      </c>
      <c r="E94" s="7">
        <v>3.4</v>
      </c>
      <c r="F94" s="7">
        <v>5</v>
      </c>
      <c r="G94" s="7">
        <v>9.3000000000000007</v>
      </c>
      <c r="H94" s="7">
        <v>67</v>
      </c>
      <c r="I94" s="7">
        <v>27.8</v>
      </c>
      <c r="J94" s="7">
        <v>12.8</v>
      </c>
      <c r="K94" s="7">
        <v>51.4</v>
      </c>
      <c r="L94" s="7">
        <v>51.3</v>
      </c>
      <c r="M94" s="7">
        <v>70.3</v>
      </c>
      <c r="N94" s="7">
        <v>66</v>
      </c>
      <c r="O94" s="7">
        <v>25.9</v>
      </c>
      <c r="P94" s="7">
        <v>36</v>
      </c>
      <c r="Q94" s="7">
        <v>2.4</v>
      </c>
    </row>
    <row r="95" spans="1:17">
      <c r="A95" s="2">
        <v>2043</v>
      </c>
      <c r="B95" s="7">
        <v>39.6</v>
      </c>
      <c r="C95" s="7">
        <v>5.7</v>
      </c>
      <c r="D95" s="7">
        <v>19.7</v>
      </c>
      <c r="E95" s="7">
        <v>3.4</v>
      </c>
      <c r="F95" s="7">
        <v>5</v>
      </c>
      <c r="G95" s="7">
        <v>9.3000000000000007</v>
      </c>
      <c r="H95" s="7">
        <v>67</v>
      </c>
      <c r="I95" s="7">
        <v>28.6</v>
      </c>
      <c r="J95" s="7">
        <v>12.8</v>
      </c>
      <c r="K95" s="7">
        <v>52</v>
      </c>
      <c r="L95" s="7">
        <v>51.9</v>
      </c>
      <c r="M95" s="7">
        <v>71</v>
      </c>
      <c r="N95" s="7">
        <v>67.099999999999994</v>
      </c>
      <c r="O95" s="7">
        <v>26.5</v>
      </c>
      <c r="P95" s="7">
        <v>36.9</v>
      </c>
      <c r="Q95" s="7">
        <v>2.4</v>
      </c>
    </row>
    <row r="96" spans="1:17">
      <c r="A96" s="2">
        <v>2044</v>
      </c>
      <c r="B96" s="7">
        <v>39.6</v>
      </c>
      <c r="C96" s="7">
        <v>5.7</v>
      </c>
      <c r="D96" s="7">
        <v>19.7</v>
      </c>
      <c r="E96" s="7">
        <v>3.4</v>
      </c>
      <c r="F96" s="7">
        <v>5</v>
      </c>
      <c r="G96" s="7">
        <v>9.3000000000000007</v>
      </c>
      <c r="H96" s="7">
        <v>66.900000000000006</v>
      </c>
      <c r="I96" s="7">
        <v>29.4</v>
      </c>
      <c r="J96" s="7">
        <v>12.9</v>
      </c>
      <c r="K96" s="7">
        <v>52.5</v>
      </c>
      <c r="L96" s="7">
        <v>52.6</v>
      </c>
      <c r="M96" s="7">
        <v>71.8</v>
      </c>
      <c r="N96" s="7">
        <v>68.2</v>
      </c>
      <c r="O96" s="7">
        <v>27.2</v>
      </c>
      <c r="P96" s="7">
        <v>37.799999999999997</v>
      </c>
      <c r="Q96" s="7">
        <v>2.5</v>
      </c>
    </row>
    <row r="97" spans="1:17">
      <c r="A97" s="2">
        <v>2045</v>
      </c>
      <c r="B97" s="7">
        <v>39.299999999999997</v>
      </c>
      <c r="C97" s="7">
        <v>5.8</v>
      </c>
      <c r="D97" s="7">
        <v>19.399999999999999</v>
      </c>
      <c r="E97" s="7">
        <v>3.4</v>
      </c>
      <c r="F97" s="7">
        <v>5.4</v>
      </c>
      <c r="G97" s="7">
        <v>9.3000000000000007</v>
      </c>
      <c r="H97" s="7">
        <v>65.8</v>
      </c>
      <c r="I97" s="7">
        <v>30.8</v>
      </c>
      <c r="J97" s="7">
        <v>12.8</v>
      </c>
      <c r="K97" s="7">
        <v>53.1</v>
      </c>
      <c r="L97" s="7">
        <v>53.2</v>
      </c>
      <c r="M97" s="7">
        <v>72.099999999999994</v>
      </c>
      <c r="N97" s="7">
        <v>69.8</v>
      </c>
      <c r="O97" s="7">
        <v>28.3</v>
      </c>
      <c r="P97" s="7">
        <v>38.6</v>
      </c>
      <c r="Q97" s="7">
        <v>2.5</v>
      </c>
    </row>
    <row r="98" spans="1:17">
      <c r="A98" s="2">
        <v>2046</v>
      </c>
      <c r="B98" s="7">
        <v>39.6</v>
      </c>
      <c r="C98" s="7">
        <v>5.9</v>
      </c>
      <c r="D98" s="7">
        <v>19.600000000000001</v>
      </c>
      <c r="E98" s="7">
        <v>3.4</v>
      </c>
      <c r="F98" s="7">
        <v>5</v>
      </c>
      <c r="G98" s="7">
        <v>9.1999999999999993</v>
      </c>
      <c r="H98" s="7">
        <v>66.8</v>
      </c>
      <c r="I98" s="7">
        <v>31.1</v>
      </c>
      <c r="J98" s="7">
        <v>13</v>
      </c>
      <c r="K98" s="7">
        <v>53.7</v>
      </c>
      <c r="L98" s="7">
        <v>53.9</v>
      </c>
      <c r="M98" s="7">
        <v>73.3</v>
      </c>
      <c r="N98" s="7">
        <v>70.3</v>
      </c>
      <c r="O98" s="7">
        <v>28.5</v>
      </c>
      <c r="P98" s="7">
        <v>39.6</v>
      </c>
      <c r="Q98" s="7">
        <v>2.5</v>
      </c>
    </row>
    <row r="99" spans="1:17">
      <c r="A99" s="2">
        <v>2047</v>
      </c>
      <c r="B99" s="7">
        <v>39.6</v>
      </c>
      <c r="C99" s="7">
        <v>6</v>
      </c>
      <c r="D99" s="7">
        <v>19.5</v>
      </c>
      <c r="E99" s="7">
        <v>3.4</v>
      </c>
      <c r="F99" s="7">
        <v>5</v>
      </c>
      <c r="G99" s="7">
        <v>9.1999999999999993</v>
      </c>
      <c r="H99" s="7">
        <v>66.599999999999994</v>
      </c>
      <c r="I99" s="7">
        <v>31.8</v>
      </c>
      <c r="J99" s="7">
        <v>13.1</v>
      </c>
      <c r="K99" s="7">
        <v>54.1</v>
      </c>
      <c r="L99" s="7">
        <v>54.5</v>
      </c>
      <c r="M99" s="7">
        <v>73.400000000000006</v>
      </c>
      <c r="N99" s="7">
        <v>71.5</v>
      </c>
      <c r="O99" s="7">
        <v>29.1</v>
      </c>
      <c r="P99" s="7">
        <v>40</v>
      </c>
      <c r="Q99" s="7">
        <v>2.5</v>
      </c>
    </row>
    <row r="100" spans="1:17">
      <c r="A100" s="2">
        <v>2048</v>
      </c>
      <c r="B100" s="7">
        <v>39.700000000000003</v>
      </c>
      <c r="C100" s="7">
        <v>6.1</v>
      </c>
      <c r="D100" s="7">
        <v>19.5</v>
      </c>
      <c r="E100" s="7">
        <v>3.4</v>
      </c>
      <c r="F100" s="7">
        <v>5</v>
      </c>
      <c r="G100" s="7">
        <v>9.1</v>
      </c>
      <c r="H100" s="7">
        <v>66.5</v>
      </c>
      <c r="I100" s="7">
        <v>32.5</v>
      </c>
      <c r="J100" s="7">
        <v>13.2</v>
      </c>
      <c r="K100" s="7">
        <v>54.6</v>
      </c>
      <c r="L100" s="7">
        <v>55.2</v>
      </c>
      <c r="M100" s="7">
        <v>73.5</v>
      </c>
      <c r="N100" s="7">
        <v>72.599999999999994</v>
      </c>
      <c r="O100" s="7">
        <v>29.7</v>
      </c>
      <c r="P100" s="7">
        <v>40.5</v>
      </c>
      <c r="Q100" s="7">
        <v>2.5</v>
      </c>
    </row>
    <row r="101" spans="1:17">
      <c r="A101" s="2">
        <v>2049</v>
      </c>
      <c r="B101" s="7">
        <v>39.700000000000003</v>
      </c>
      <c r="C101" s="7">
        <v>6.2</v>
      </c>
      <c r="D101" s="7">
        <v>19.399999999999999</v>
      </c>
      <c r="E101" s="7">
        <v>3.4</v>
      </c>
      <c r="F101" s="7">
        <v>5</v>
      </c>
      <c r="G101" s="7">
        <v>9.1</v>
      </c>
      <c r="H101" s="7">
        <v>66.400000000000006</v>
      </c>
      <c r="I101" s="7">
        <v>33.299999999999997</v>
      </c>
      <c r="J101" s="7">
        <v>13.4</v>
      </c>
      <c r="K101" s="7">
        <v>55</v>
      </c>
      <c r="L101" s="7">
        <v>55.8</v>
      </c>
      <c r="M101" s="7">
        <v>73.7</v>
      </c>
      <c r="N101" s="7">
        <v>73.8</v>
      </c>
      <c r="O101" s="7">
        <v>30.3</v>
      </c>
      <c r="P101" s="7">
        <v>41</v>
      </c>
      <c r="Q101" s="7">
        <v>2.6</v>
      </c>
    </row>
    <row r="102" spans="1:17">
      <c r="A102" s="2">
        <v>2050</v>
      </c>
      <c r="B102" s="7">
        <v>39.299999999999997</v>
      </c>
      <c r="C102" s="7">
        <v>6.4</v>
      </c>
      <c r="D102" s="7">
        <v>19.3</v>
      </c>
      <c r="E102" s="7">
        <v>3.4</v>
      </c>
      <c r="F102" s="7">
        <v>5.3</v>
      </c>
      <c r="G102" s="7">
        <v>9</v>
      </c>
      <c r="H102" s="7">
        <v>65.2</v>
      </c>
      <c r="I102" s="7">
        <v>34.5</v>
      </c>
      <c r="J102" s="7">
        <v>13.4</v>
      </c>
      <c r="K102" s="7">
        <v>55.3</v>
      </c>
      <c r="L102" s="7">
        <v>56.5</v>
      </c>
      <c r="M102" s="7">
        <v>72.7</v>
      </c>
      <c r="N102" s="7">
        <v>75.7</v>
      </c>
      <c r="O102" s="7">
        <v>31.3</v>
      </c>
      <c r="P102" s="7">
        <v>41</v>
      </c>
      <c r="Q102" s="7">
        <v>2.6</v>
      </c>
    </row>
    <row r="103" spans="1:17">
      <c r="A103" s="2">
        <v>2051</v>
      </c>
      <c r="B103" s="7">
        <v>39.700000000000003</v>
      </c>
      <c r="C103" s="7">
        <v>6.4</v>
      </c>
      <c r="D103" s="7">
        <v>19.399999999999999</v>
      </c>
      <c r="E103" s="7">
        <v>3.4</v>
      </c>
      <c r="F103" s="7">
        <v>5</v>
      </c>
      <c r="G103" s="7">
        <v>8.9</v>
      </c>
      <c r="H103" s="7">
        <v>66.2</v>
      </c>
      <c r="I103" s="7">
        <v>34.799999999999997</v>
      </c>
      <c r="J103" s="7">
        <v>13.6</v>
      </c>
      <c r="K103" s="7">
        <v>56</v>
      </c>
      <c r="L103" s="7">
        <v>57.1</v>
      </c>
      <c r="M103" s="7">
        <v>73.900000000000006</v>
      </c>
      <c r="N103" s="7">
        <v>76.2</v>
      </c>
      <c r="O103" s="7">
        <v>31.5</v>
      </c>
      <c r="P103" s="7">
        <v>41.9</v>
      </c>
      <c r="Q103" s="7">
        <v>2.6</v>
      </c>
    </row>
    <row r="104" spans="1:17">
      <c r="A104" s="2">
        <v>2052</v>
      </c>
      <c r="B104" s="7">
        <v>39.799999999999997</v>
      </c>
      <c r="C104" s="7">
        <v>6.5</v>
      </c>
      <c r="D104" s="7">
        <v>19.3</v>
      </c>
      <c r="E104" s="7">
        <v>3.4</v>
      </c>
      <c r="F104" s="7">
        <v>5</v>
      </c>
      <c r="G104" s="7">
        <v>8.9</v>
      </c>
      <c r="H104" s="7">
        <v>67.099999999999994</v>
      </c>
      <c r="I104" s="7">
        <v>35.6</v>
      </c>
      <c r="J104" s="7">
        <v>13.6</v>
      </c>
      <c r="K104" s="7">
        <v>57.1</v>
      </c>
      <c r="L104" s="7">
        <v>57.6</v>
      </c>
      <c r="M104" s="7">
        <v>74.400000000000006</v>
      </c>
      <c r="N104" s="7">
        <v>77.400000000000006</v>
      </c>
      <c r="O104" s="7">
        <v>31.9</v>
      </c>
      <c r="P104" s="7">
        <v>42.8</v>
      </c>
      <c r="Q104" s="7">
        <v>2.6</v>
      </c>
    </row>
    <row r="105" spans="1:17">
      <c r="A105" s="2">
        <v>2053</v>
      </c>
      <c r="B105" s="7">
        <v>39.9</v>
      </c>
      <c r="C105" s="7">
        <v>6.6</v>
      </c>
      <c r="D105" s="7">
        <v>19.3</v>
      </c>
      <c r="E105" s="7">
        <v>3.4</v>
      </c>
      <c r="F105" s="7">
        <v>5.0999999999999996</v>
      </c>
      <c r="G105" s="7">
        <v>8.9</v>
      </c>
      <c r="H105" s="7">
        <v>68</v>
      </c>
      <c r="I105" s="7">
        <v>36.5</v>
      </c>
      <c r="J105" s="7">
        <v>13.7</v>
      </c>
      <c r="K105" s="7">
        <v>58.2</v>
      </c>
      <c r="L105" s="7">
        <v>58.1</v>
      </c>
      <c r="M105" s="7">
        <v>74.8</v>
      </c>
      <c r="N105" s="7">
        <v>78.7</v>
      </c>
      <c r="O105" s="7">
        <v>32.4</v>
      </c>
      <c r="P105" s="7">
        <v>43.7</v>
      </c>
      <c r="Q105" s="7">
        <v>2.6</v>
      </c>
    </row>
    <row r="106" spans="1:17">
      <c r="A106" s="2">
        <v>2054</v>
      </c>
      <c r="B106" s="7">
        <v>40</v>
      </c>
      <c r="C106" s="7">
        <v>6.7</v>
      </c>
      <c r="D106" s="7">
        <v>19.3</v>
      </c>
      <c r="E106" s="7">
        <v>3.4</v>
      </c>
      <c r="F106" s="7">
        <v>5.2</v>
      </c>
      <c r="G106" s="7">
        <v>8.9</v>
      </c>
      <c r="H106" s="7">
        <v>69</v>
      </c>
      <c r="I106" s="7">
        <v>37.299999999999997</v>
      </c>
      <c r="J106" s="7">
        <v>13.8</v>
      </c>
      <c r="K106" s="7">
        <v>59.4</v>
      </c>
      <c r="L106" s="7">
        <v>58.6</v>
      </c>
      <c r="M106" s="7">
        <v>75.3</v>
      </c>
      <c r="N106" s="7">
        <v>79.900000000000006</v>
      </c>
      <c r="O106" s="7">
        <v>32.799999999999997</v>
      </c>
      <c r="P106" s="7">
        <v>44.6</v>
      </c>
      <c r="Q106" s="7">
        <v>2.7</v>
      </c>
    </row>
    <row r="107" spans="1:17">
      <c r="A107" s="2">
        <v>2055</v>
      </c>
      <c r="B107" s="7">
        <v>39.9</v>
      </c>
      <c r="C107" s="7">
        <v>6.7</v>
      </c>
      <c r="D107" s="7">
        <v>19.100000000000001</v>
      </c>
      <c r="E107" s="7">
        <v>3.4</v>
      </c>
      <c r="F107" s="7">
        <v>5.7</v>
      </c>
      <c r="G107" s="7">
        <v>9</v>
      </c>
      <c r="H107" s="7">
        <v>69.8</v>
      </c>
      <c r="I107" s="7">
        <v>38.700000000000003</v>
      </c>
      <c r="J107" s="7">
        <v>13.7</v>
      </c>
      <c r="K107" s="7">
        <v>61</v>
      </c>
      <c r="L107" s="7">
        <v>59</v>
      </c>
      <c r="M107" s="7">
        <v>74.900000000000006</v>
      </c>
      <c r="N107" s="7">
        <v>81.900000000000006</v>
      </c>
      <c r="O107" s="7">
        <v>33.299999999999997</v>
      </c>
      <c r="P107" s="7">
        <v>45.4</v>
      </c>
      <c r="Q107" s="7">
        <v>2.7</v>
      </c>
    </row>
    <row r="108" spans="1:17">
      <c r="A108" s="2">
        <v>2056</v>
      </c>
      <c r="B108" s="7">
        <v>40.299999999999997</v>
      </c>
      <c r="C108" s="7">
        <v>6.8</v>
      </c>
      <c r="D108" s="7">
        <v>19.2</v>
      </c>
      <c r="E108" s="7">
        <v>3.4</v>
      </c>
      <c r="F108" s="7">
        <v>5.3</v>
      </c>
      <c r="G108" s="7">
        <v>8.9</v>
      </c>
      <c r="H108" s="7">
        <v>70.8</v>
      </c>
      <c r="I108" s="7">
        <v>39</v>
      </c>
      <c r="J108" s="7">
        <v>13.9</v>
      </c>
      <c r="K108" s="7">
        <v>61.6</v>
      </c>
      <c r="L108" s="7">
        <v>59.7</v>
      </c>
      <c r="M108" s="7">
        <v>76.2</v>
      </c>
      <c r="N108" s="7">
        <v>82.4</v>
      </c>
      <c r="O108" s="7">
        <v>33.6</v>
      </c>
      <c r="P108" s="7">
        <v>46.4</v>
      </c>
      <c r="Q108" s="7">
        <v>2.7</v>
      </c>
    </row>
    <row r="109" spans="1:17">
      <c r="A109" s="2">
        <v>2057</v>
      </c>
      <c r="B109" s="7">
        <v>40.4</v>
      </c>
      <c r="C109" s="7">
        <v>6.9</v>
      </c>
      <c r="D109" s="7">
        <v>19.2</v>
      </c>
      <c r="E109" s="7">
        <v>3.4</v>
      </c>
      <c r="F109" s="7">
        <v>5.4</v>
      </c>
      <c r="G109" s="7">
        <v>8.9</v>
      </c>
      <c r="H109" s="7">
        <v>71.8</v>
      </c>
      <c r="I109" s="7">
        <v>39.799999999999997</v>
      </c>
      <c r="J109" s="7">
        <v>14</v>
      </c>
      <c r="K109" s="7">
        <v>61.5</v>
      </c>
      <c r="L109" s="7">
        <v>59.9</v>
      </c>
      <c r="M109" s="7">
        <v>77</v>
      </c>
      <c r="N109" s="7">
        <v>83.6</v>
      </c>
      <c r="O109" s="7">
        <v>33.5</v>
      </c>
      <c r="P109" s="7">
        <v>47.3</v>
      </c>
      <c r="Q109" s="7">
        <v>2.7</v>
      </c>
    </row>
    <row r="110" spans="1:17">
      <c r="A110" s="2">
        <v>2058</v>
      </c>
      <c r="B110" s="7">
        <v>40.5</v>
      </c>
      <c r="C110" s="7">
        <v>6.9</v>
      </c>
      <c r="D110" s="7">
        <v>19.100000000000001</v>
      </c>
      <c r="E110" s="7">
        <v>3.4</v>
      </c>
      <c r="F110" s="7">
        <v>5.5</v>
      </c>
      <c r="G110" s="7">
        <v>8.9</v>
      </c>
      <c r="H110" s="7">
        <v>72.8</v>
      </c>
      <c r="I110" s="7">
        <v>40.700000000000003</v>
      </c>
      <c r="J110" s="7">
        <v>14.2</v>
      </c>
      <c r="K110" s="7">
        <v>61.5</v>
      </c>
      <c r="L110" s="7">
        <v>60.2</v>
      </c>
      <c r="M110" s="7">
        <v>77.7</v>
      </c>
      <c r="N110" s="7">
        <v>84.8</v>
      </c>
      <c r="O110" s="7">
        <v>33.299999999999997</v>
      </c>
      <c r="P110" s="7">
        <v>48.3</v>
      </c>
      <c r="Q110" s="7">
        <v>2.7</v>
      </c>
    </row>
    <row r="111" spans="1:17">
      <c r="A111" s="2">
        <v>2059</v>
      </c>
      <c r="B111" s="7">
        <v>40.700000000000003</v>
      </c>
      <c r="C111" s="7">
        <v>7</v>
      </c>
      <c r="D111" s="7">
        <v>19.100000000000001</v>
      </c>
      <c r="E111" s="7">
        <v>3.4</v>
      </c>
      <c r="F111" s="7">
        <v>5.6</v>
      </c>
      <c r="G111" s="7">
        <v>8.9</v>
      </c>
      <c r="H111" s="7">
        <v>73.8</v>
      </c>
      <c r="I111" s="7">
        <v>41.5</v>
      </c>
      <c r="J111" s="7">
        <v>14.3</v>
      </c>
      <c r="K111" s="7">
        <v>61.4</v>
      </c>
      <c r="L111" s="7">
        <v>60.5</v>
      </c>
      <c r="M111" s="7">
        <v>78.5</v>
      </c>
      <c r="N111" s="7">
        <v>86.1</v>
      </c>
      <c r="O111" s="7">
        <v>33.200000000000003</v>
      </c>
      <c r="P111" s="7">
        <v>49.3</v>
      </c>
      <c r="Q111" s="7">
        <v>2.8</v>
      </c>
    </row>
    <row r="112" spans="1:17">
      <c r="A112" s="2">
        <v>2060</v>
      </c>
      <c r="B112" s="7">
        <v>40.6</v>
      </c>
      <c r="C112" s="7">
        <v>7</v>
      </c>
      <c r="D112" s="7">
        <v>19</v>
      </c>
      <c r="E112" s="7">
        <v>3.4</v>
      </c>
      <c r="F112" s="7">
        <v>6.2</v>
      </c>
      <c r="G112" s="7">
        <v>8.9</v>
      </c>
      <c r="H112" s="7">
        <v>74.900000000000006</v>
      </c>
      <c r="I112" s="7">
        <v>42.8</v>
      </c>
      <c r="J112" s="7">
        <v>14.4</v>
      </c>
      <c r="K112" s="7">
        <v>60.6</v>
      </c>
      <c r="L112" s="7">
        <v>60.4</v>
      </c>
      <c r="M112" s="7">
        <v>78.8</v>
      </c>
      <c r="N112" s="7">
        <v>88</v>
      </c>
      <c r="O112" s="7">
        <v>32.700000000000003</v>
      </c>
      <c r="P112" s="7">
        <v>50.2</v>
      </c>
      <c r="Q112" s="7">
        <v>2.8</v>
      </c>
    </row>
    <row r="113" spans="1:17">
      <c r="A113" s="2">
        <v>2061</v>
      </c>
      <c r="B113" s="7">
        <v>40.9</v>
      </c>
      <c r="C113" s="7">
        <v>7</v>
      </c>
      <c r="D113" s="7">
        <v>19.100000000000001</v>
      </c>
      <c r="E113" s="7">
        <v>3.4</v>
      </c>
      <c r="F113" s="7">
        <v>5.9</v>
      </c>
      <c r="G113" s="7">
        <v>8.9</v>
      </c>
      <c r="H113" s="7">
        <v>75.8</v>
      </c>
      <c r="I113" s="7">
        <v>43.1</v>
      </c>
      <c r="J113" s="7">
        <v>14.6</v>
      </c>
      <c r="K113" s="7">
        <v>61.2</v>
      </c>
      <c r="L113" s="7">
        <v>61</v>
      </c>
      <c r="M113" s="7">
        <v>80.099999999999994</v>
      </c>
      <c r="N113" s="7">
        <v>88.5</v>
      </c>
      <c r="O113" s="7">
        <v>33</v>
      </c>
      <c r="P113" s="7">
        <v>51.2</v>
      </c>
      <c r="Q113" s="7">
        <v>2.8</v>
      </c>
    </row>
    <row r="114" spans="1:17">
      <c r="A114" s="2">
        <v>2062</v>
      </c>
      <c r="B114" s="7">
        <v>41</v>
      </c>
      <c r="C114" s="7">
        <v>7.1</v>
      </c>
      <c r="D114" s="7">
        <v>19.100000000000001</v>
      </c>
      <c r="E114" s="7">
        <v>3.4</v>
      </c>
      <c r="F114" s="7">
        <v>5.9</v>
      </c>
      <c r="G114" s="7">
        <v>8.9</v>
      </c>
      <c r="H114" s="7">
        <v>77.099999999999994</v>
      </c>
      <c r="I114" s="7">
        <v>43.8</v>
      </c>
      <c r="J114" s="7">
        <v>14.7</v>
      </c>
      <c r="K114" s="7">
        <v>61.7</v>
      </c>
      <c r="L114" s="7">
        <v>60.8</v>
      </c>
      <c r="M114" s="7">
        <v>81</v>
      </c>
      <c r="N114" s="7">
        <v>89.6</v>
      </c>
      <c r="O114" s="7">
        <v>32.5</v>
      </c>
      <c r="P114" s="7">
        <v>52.1</v>
      </c>
      <c r="Q114" s="7">
        <v>2.8</v>
      </c>
    </row>
    <row r="115" spans="1:17">
      <c r="A115" s="2">
        <v>2063</v>
      </c>
      <c r="B115" s="7">
        <v>41.1</v>
      </c>
      <c r="C115" s="7">
        <v>7.1</v>
      </c>
      <c r="D115" s="7">
        <v>19.100000000000001</v>
      </c>
      <c r="E115" s="7">
        <v>3.4</v>
      </c>
      <c r="F115" s="7">
        <v>6</v>
      </c>
      <c r="G115" s="7">
        <v>8.9</v>
      </c>
      <c r="H115" s="7">
        <v>78.3</v>
      </c>
      <c r="I115" s="7">
        <v>44.5</v>
      </c>
      <c r="J115" s="7">
        <v>14.8</v>
      </c>
      <c r="K115" s="7">
        <v>62.1</v>
      </c>
      <c r="L115" s="7">
        <v>60.7</v>
      </c>
      <c r="M115" s="7">
        <v>82</v>
      </c>
      <c r="N115" s="7">
        <v>90.8</v>
      </c>
      <c r="O115" s="7">
        <v>32</v>
      </c>
      <c r="P115" s="7">
        <v>52.9</v>
      </c>
      <c r="Q115" s="7">
        <v>2.8</v>
      </c>
    </row>
    <row r="116" spans="1:17">
      <c r="A116" s="2">
        <v>2064</v>
      </c>
      <c r="B116" s="7">
        <v>41.3</v>
      </c>
      <c r="C116" s="7">
        <v>7.1</v>
      </c>
      <c r="D116" s="7">
        <v>19.100000000000001</v>
      </c>
      <c r="E116" s="7">
        <v>3.4</v>
      </c>
      <c r="F116" s="7">
        <v>6</v>
      </c>
      <c r="G116" s="7">
        <v>9</v>
      </c>
      <c r="H116" s="7">
        <v>79.5</v>
      </c>
      <c r="I116" s="7">
        <v>45.1</v>
      </c>
      <c r="J116" s="7">
        <v>14.9</v>
      </c>
      <c r="K116" s="7">
        <v>62.5</v>
      </c>
      <c r="L116" s="7">
        <v>60.5</v>
      </c>
      <c r="M116" s="7">
        <v>82.9</v>
      </c>
      <c r="N116" s="7">
        <v>91.9</v>
      </c>
      <c r="O116" s="7">
        <v>31.5</v>
      </c>
      <c r="P116" s="7">
        <v>53.8</v>
      </c>
      <c r="Q116" s="7">
        <v>2.9</v>
      </c>
    </row>
    <row r="117" spans="1:17">
      <c r="A117" s="2">
        <v>2065</v>
      </c>
      <c r="B117" s="7">
        <v>41.1</v>
      </c>
      <c r="C117" s="7">
        <v>7.1</v>
      </c>
      <c r="D117" s="7">
        <v>19</v>
      </c>
      <c r="E117" s="7">
        <v>3.4</v>
      </c>
      <c r="F117" s="7">
        <v>6.5</v>
      </c>
      <c r="G117" s="7">
        <v>9.1</v>
      </c>
      <c r="H117" s="7">
        <v>81</v>
      </c>
      <c r="I117" s="7">
        <v>46.2</v>
      </c>
      <c r="J117" s="7">
        <v>14.9</v>
      </c>
      <c r="K117" s="7">
        <v>62.7</v>
      </c>
      <c r="L117" s="7">
        <v>59.6</v>
      </c>
      <c r="M117" s="7">
        <v>83.6</v>
      </c>
      <c r="N117" s="7">
        <v>93.7</v>
      </c>
      <c r="O117" s="7">
        <v>30.2</v>
      </c>
      <c r="P117" s="7">
        <v>54.6</v>
      </c>
      <c r="Q117" s="7">
        <v>2.9</v>
      </c>
    </row>
    <row r="118" spans="1:17">
      <c r="A118" s="2">
        <v>2066</v>
      </c>
      <c r="B118" s="7">
        <v>41.5</v>
      </c>
      <c r="C118" s="7">
        <v>7.2</v>
      </c>
      <c r="D118" s="7">
        <v>19.2</v>
      </c>
      <c r="E118" s="7">
        <v>3.4</v>
      </c>
      <c r="F118" s="7">
        <v>6.1</v>
      </c>
      <c r="G118" s="7">
        <v>9</v>
      </c>
      <c r="H118" s="7">
        <v>81.900000000000006</v>
      </c>
      <c r="I118" s="7">
        <v>46.5</v>
      </c>
      <c r="J118" s="7">
        <v>15.1</v>
      </c>
      <c r="K118" s="7">
        <v>63.3</v>
      </c>
      <c r="L118" s="7">
        <v>60.2</v>
      </c>
      <c r="M118" s="7">
        <v>84.8</v>
      </c>
      <c r="N118" s="7">
        <v>94.2</v>
      </c>
      <c r="O118" s="7">
        <v>30.5</v>
      </c>
      <c r="P118" s="7">
        <v>55.6</v>
      </c>
      <c r="Q118" s="7">
        <v>2.9</v>
      </c>
    </row>
    <row r="119" spans="1:17">
      <c r="A119" s="2">
        <v>2067</v>
      </c>
      <c r="B119" s="7">
        <v>41.6</v>
      </c>
      <c r="C119" s="7">
        <v>7.2</v>
      </c>
      <c r="D119" s="7">
        <v>19.2</v>
      </c>
      <c r="E119" s="7">
        <v>3.5</v>
      </c>
      <c r="F119" s="7">
        <v>6.3</v>
      </c>
      <c r="G119" s="7">
        <v>9.1</v>
      </c>
      <c r="H119" s="7">
        <v>83.3</v>
      </c>
      <c r="I119" s="7">
        <v>46.8</v>
      </c>
      <c r="J119" s="7">
        <v>15.3</v>
      </c>
      <c r="K119" s="7">
        <v>64</v>
      </c>
      <c r="L119" s="7">
        <v>59.7</v>
      </c>
      <c r="M119" s="7">
        <v>86.3</v>
      </c>
      <c r="N119" s="7">
        <v>95.6</v>
      </c>
      <c r="O119" s="7">
        <v>30.5</v>
      </c>
      <c r="P119" s="7">
        <v>56.3</v>
      </c>
      <c r="Q119" s="7">
        <v>2.9</v>
      </c>
    </row>
    <row r="120" spans="1:17">
      <c r="A120" s="2">
        <v>2068</v>
      </c>
      <c r="B120" s="7">
        <v>41.7</v>
      </c>
      <c r="C120" s="7">
        <v>7.3</v>
      </c>
      <c r="D120" s="7">
        <v>19.2</v>
      </c>
      <c r="E120" s="7">
        <v>3.5</v>
      </c>
      <c r="F120" s="7">
        <v>6.5</v>
      </c>
      <c r="G120" s="7">
        <v>9.1999999999999993</v>
      </c>
      <c r="H120" s="7">
        <v>84.6</v>
      </c>
      <c r="I120" s="7">
        <v>47.2</v>
      </c>
      <c r="J120" s="7">
        <v>15.4</v>
      </c>
      <c r="K120" s="7">
        <v>64.7</v>
      </c>
      <c r="L120" s="7">
        <v>59.2</v>
      </c>
      <c r="M120" s="7">
        <v>87.7</v>
      </c>
      <c r="N120" s="7">
        <v>96.9</v>
      </c>
      <c r="O120" s="7">
        <v>30.5</v>
      </c>
      <c r="P120" s="7">
        <v>57.1</v>
      </c>
      <c r="Q120" s="7">
        <v>2.9</v>
      </c>
    </row>
    <row r="121" spans="1:17">
      <c r="A121" s="2">
        <v>2069</v>
      </c>
      <c r="B121" s="7">
        <v>41.7</v>
      </c>
      <c r="C121" s="7">
        <v>7.3</v>
      </c>
      <c r="D121" s="7">
        <v>19.3</v>
      </c>
      <c r="E121" s="7">
        <v>3.5</v>
      </c>
      <c r="F121" s="7">
        <v>6.7</v>
      </c>
      <c r="G121" s="7">
        <v>9.3000000000000007</v>
      </c>
      <c r="H121" s="7">
        <v>86</v>
      </c>
      <c r="I121" s="7">
        <v>47.5</v>
      </c>
      <c r="J121" s="7">
        <v>15.5</v>
      </c>
      <c r="K121" s="7">
        <v>65.400000000000006</v>
      </c>
      <c r="L121" s="7">
        <v>58.7</v>
      </c>
      <c r="M121" s="7">
        <v>89.2</v>
      </c>
      <c r="N121" s="7">
        <v>98.2</v>
      </c>
      <c r="O121" s="7">
        <v>30.5</v>
      </c>
      <c r="P121" s="7">
        <v>57.9</v>
      </c>
      <c r="Q121" s="7">
        <v>3</v>
      </c>
    </row>
    <row r="122" spans="1:17">
      <c r="A122" s="2">
        <v>2070</v>
      </c>
      <c r="B122" s="7">
        <v>41.6</v>
      </c>
      <c r="C122" s="7">
        <v>7.3</v>
      </c>
      <c r="D122" s="7">
        <v>19.2</v>
      </c>
      <c r="E122" s="7">
        <v>3.4</v>
      </c>
      <c r="F122" s="7">
        <v>7.4</v>
      </c>
      <c r="G122" s="7">
        <v>9.5</v>
      </c>
      <c r="H122" s="7">
        <v>87.7</v>
      </c>
      <c r="I122" s="7">
        <v>47.9</v>
      </c>
      <c r="J122" s="7">
        <v>15.6</v>
      </c>
      <c r="K122" s="7">
        <v>66.2</v>
      </c>
      <c r="L122" s="7">
        <v>57.1</v>
      </c>
      <c r="M122" s="7">
        <v>90.8</v>
      </c>
      <c r="N122" s="7">
        <v>100.3</v>
      </c>
      <c r="O122" s="7">
        <v>30.3</v>
      </c>
      <c r="P122" s="7">
        <v>58.4</v>
      </c>
      <c r="Q122" s="7">
        <v>3</v>
      </c>
    </row>
    <row r="123" spans="1:17">
      <c r="A123" s="2">
        <v>2071</v>
      </c>
      <c r="B123" s="7">
        <v>41.9</v>
      </c>
      <c r="C123" s="7">
        <v>7.4</v>
      </c>
      <c r="D123" s="7">
        <v>19.3</v>
      </c>
      <c r="E123" s="7">
        <v>3.5</v>
      </c>
      <c r="F123" s="7">
        <v>7</v>
      </c>
      <c r="G123" s="7">
        <v>9.4</v>
      </c>
      <c r="H123" s="7">
        <v>88.7</v>
      </c>
      <c r="I123" s="7">
        <v>48.2</v>
      </c>
      <c r="J123" s="7">
        <v>15.8</v>
      </c>
      <c r="K123" s="7">
        <v>66.8</v>
      </c>
      <c r="L123" s="7">
        <v>57.7</v>
      </c>
      <c r="M123" s="7">
        <v>92.1</v>
      </c>
      <c r="N123" s="7">
        <v>100.8</v>
      </c>
      <c r="O123" s="7">
        <v>30.6</v>
      </c>
      <c r="P123" s="7">
        <v>59.4</v>
      </c>
      <c r="Q123" s="7">
        <v>3</v>
      </c>
    </row>
    <row r="124" spans="1:17">
      <c r="A124" s="2">
        <v>2072</v>
      </c>
      <c r="B124" s="7">
        <v>42</v>
      </c>
      <c r="C124" s="7">
        <v>7.4</v>
      </c>
      <c r="D124" s="7">
        <v>19.399999999999999</v>
      </c>
      <c r="E124" s="7">
        <v>3.5</v>
      </c>
      <c r="F124" s="7">
        <v>7.2</v>
      </c>
      <c r="G124" s="7">
        <v>9.5</v>
      </c>
      <c r="H124" s="7">
        <v>90.1</v>
      </c>
      <c r="I124" s="7">
        <v>48.1</v>
      </c>
      <c r="J124" s="7">
        <v>16</v>
      </c>
      <c r="K124" s="7">
        <v>67.2</v>
      </c>
      <c r="L124" s="7">
        <v>57.4</v>
      </c>
      <c r="M124" s="7">
        <v>92.8</v>
      </c>
      <c r="N124" s="7">
        <v>102.3</v>
      </c>
      <c r="O124" s="7">
        <v>30.8</v>
      </c>
      <c r="P124" s="7">
        <v>59.9</v>
      </c>
      <c r="Q124" s="7">
        <v>3</v>
      </c>
    </row>
    <row r="125" spans="1:17">
      <c r="A125" s="2">
        <v>2073</v>
      </c>
      <c r="B125" s="7">
        <v>42.1</v>
      </c>
      <c r="C125" s="7">
        <v>7.4</v>
      </c>
      <c r="D125" s="7">
        <v>19.399999999999999</v>
      </c>
      <c r="E125" s="7">
        <v>3.5</v>
      </c>
      <c r="F125" s="7">
        <v>7.3</v>
      </c>
      <c r="G125" s="7">
        <v>9.6999999999999993</v>
      </c>
      <c r="H125" s="7">
        <v>91.5</v>
      </c>
      <c r="I125" s="7">
        <v>48</v>
      </c>
      <c r="J125" s="7">
        <v>16.2</v>
      </c>
      <c r="K125" s="7">
        <v>67.599999999999994</v>
      </c>
      <c r="L125" s="7">
        <v>57</v>
      </c>
      <c r="M125" s="7">
        <v>93.4</v>
      </c>
      <c r="N125" s="7">
        <v>103.9</v>
      </c>
      <c r="O125" s="7">
        <v>31.1</v>
      </c>
      <c r="P125" s="7">
        <v>60.4</v>
      </c>
      <c r="Q125" s="7">
        <v>3</v>
      </c>
    </row>
    <row r="126" spans="1:17">
      <c r="A126" s="2">
        <v>2074</v>
      </c>
      <c r="B126" s="7">
        <v>42.1</v>
      </c>
      <c r="C126" s="7">
        <v>7.4</v>
      </c>
      <c r="D126" s="7">
        <v>19.5</v>
      </c>
      <c r="E126" s="7">
        <v>3.5</v>
      </c>
      <c r="F126" s="7">
        <v>7.4</v>
      </c>
      <c r="G126" s="7">
        <v>9.8000000000000007</v>
      </c>
      <c r="H126" s="7">
        <v>92.9</v>
      </c>
      <c r="I126" s="7">
        <v>47.9</v>
      </c>
      <c r="J126" s="7">
        <v>16.399999999999999</v>
      </c>
      <c r="K126" s="7">
        <v>68</v>
      </c>
      <c r="L126" s="7">
        <v>56.6</v>
      </c>
      <c r="M126" s="7">
        <v>94.1</v>
      </c>
      <c r="N126" s="7">
        <v>105.4</v>
      </c>
      <c r="O126" s="7">
        <v>31.4</v>
      </c>
      <c r="P126" s="7">
        <v>60.8</v>
      </c>
      <c r="Q126" s="7">
        <v>3</v>
      </c>
    </row>
    <row r="127" spans="1:17">
      <c r="A127" s="2">
        <v>2075</v>
      </c>
      <c r="B127" s="7">
        <v>41.9</v>
      </c>
      <c r="C127" s="7">
        <v>7.4</v>
      </c>
      <c r="D127" s="7">
        <v>19.5</v>
      </c>
      <c r="E127" s="7">
        <v>3.5</v>
      </c>
      <c r="F127" s="7">
        <v>8.1</v>
      </c>
      <c r="G127" s="7">
        <v>10.199999999999999</v>
      </c>
      <c r="H127" s="7">
        <v>94.8</v>
      </c>
      <c r="I127" s="7">
        <v>47.4</v>
      </c>
      <c r="J127" s="7">
        <v>16.600000000000001</v>
      </c>
      <c r="K127" s="7">
        <v>68.099999999999994</v>
      </c>
      <c r="L127" s="7">
        <v>55.3</v>
      </c>
      <c r="M127" s="7">
        <v>94.3</v>
      </c>
      <c r="N127" s="7">
        <v>108</v>
      </c>
      <c r="O127" s="7">
        <v>31.7</v>
      </c>
      <c r="P127" s="7">
        <v>60.8</v>
      </c>
      <c r="Q127" s="7">
        <v>3.1</v>
      </c>
    </row>
    <row r="128" spans="1:17">
      <c r="A128" s="2">
        <v>2076</v>
      </c>
      <c r="B128" s="7">
        <v>42.3</v>
      </c>
      <c r="C128" s="7">
        <v>7.5</v>
      </c>
      <c r="D128" s="7">
        <v>19.600000000000001</v>
      </c>
      <c r="E128" s="7">
        <v>3.5</v>
      </c>
      <c r="F128" s="7">
        <v>7.7</v>
      </c>
      <c r="G128" s="7">
        <v>10.1</v>
      </c>
      <c r="H128" s="7">
        <v>95.7</v>
      </c>
      <c r="I128" s="7">
        <v>47.7</v>
      </c>
      <c r="J128" s="7">
        <v>16.8</v>
      </c>
      <c r="K128" s="7">
        <v>68.7</v>
      </c>
      <c r="L128" s="7">
        <v>55.9</v>
      </c>
      <c r="M128" s="7">
        <v>95.5</v>
      </c>
      <c r="N128" s="7">
        <v>108.5</v>
      </c>
      <c r="O128" s="7">
        <v>31.9</v>
      </c>
      <c r="P128" s="7">
        <v>61.8</v>
      </c>
      <c r="Q128" s="7">
        <v>3.1</v>
      </c>
    </row>
    <row r="129" spans="1:17">
      <c r="A129" s="2">
        <v>2077</v>
      </c>
      <c r="B129" s="7">
        <v>42.8</v>
      </c>
      <c r="C129" s="7">
        <v>7.6</v>
      </c>
      <c r="D129" s="7">
        <v>19.7</v>
      </c>
      <c r="E129" s="7">
        <v>3.5</v>
      </c>
      <c r="F129" s="7">
        <v>7.9</v>
      </c>
      <c r="G129" s="7">
        <v>10.199999999999999</v>
      </c>
      <c r="H129" s="7">
        <v>96.4</v>
      </c>
      <c r="I129" s="7">
        <v>47.2</v>
      </c>
      <c r="J129" s="7">
        <v>16.899999999999999</v>
      </c>
      <c r="K129" s="7">
        <v>69.3</v>
      </c>
      <c r="L129" s="7">
        <v>55.6</v>
      </c>
      <c r="M129" s="7">
        <v>95.4</v>
      </c>
      <c r="N129" s="7">
        <v>109.6</v>
      </c>
      <c r="O129" s="7">
        <v>32.299999999999997</v>
      </c>
      <c r="P129" s="7">
        <v>61.9</v>
      </c>
      <c r="Q129" s="7">
        <v>3.1</v>
      </c>
    </row>
    <row r="130" spans="1:17">
      <c r="A130" s="2">
        <v>2078</v>
      </c>
      <c r="B130" s="7">
        <v>43.3</v>
      </c>
      <c r="C130" s="7">
        <v>7.7</v>
      </c>
      <c r="D130" s="7">
        <v>19.899999999999999</v>
      </c>
      <c r="E130" s="7">
        <v>3.5</v>
      </c>
      <c r="F130" s="7">
        <v>8</v>
      </c>
      <c r="G130" s="7">
        <v>10.199999999999999</v>
      </c>
      <c r="H130" s="7">
        <v>97.1</v>
      </c>
      <c r="I130" s="7">
        <v>46.6</v>
      </c>
      <c r="J130" s="7">
        <v>17</v>
      </c>
      <c r="K130" s="7">
        <v>69.900000000000006</v>
      </c>
      <c r="L130" s="7">
        <v>55.3</v>
      </c>
      <c r="M130" s="7">
        <v>95.4</v>
      </c>
      <c r="N130" s="7">
        <v>110.8</v>
      </c>
      <c r="O130" s="7">
        <v>32.700000000000003</v>
      </c>
      <c r="P130" s="7">
        <v>62.1</v>
      </c>
      <c r="Q130" s="7">
        <v>3.1</v>
      </c>
    </row>
    <row r="131" spans="1:17">
      <c r="A131" s="2">
        <v>2079</v>
      </c>
      <c r="B131" s="7">
        <v>43.7</v>
      </c>
      <c r="C131" s="7">
        <v>7.8</v>
      </c>
      <c r="D131" s="7">
        <v>20</v>
      </c>
      <c r="E131" s="7">
        <v>3.5</v>
      </c>
      <c r="F131" s="7">
        <v>8.1999999999999993</v>
      </c>
      <c r="G131" s="7">
        <v>10.3</v>
      </c>
      <c r="H131" s="7">
        <v>97.8</v>
      </c>
      <c r="I131" s="7">
        <v>46.1</v>
      </c>
      <c r="J131" s="7">
        <v>17.100000000000001</v>
      </c>
      <c r="K131" s="7">
        <v>70.400000000000006</v>
      </c>
      <c r="L131" s="7">
        <v>55.1</v>
      </c>
      <c r="M131" s="7">
        <v>95.3</v>
      </c>
      <c r="N131" s="7">
        <v>111.9</v>
      </c>
      <c r="O131" s="7">
        <v>33.1</v>
      </c>
      <c r="P131" s="7">
        <v>62.3</v>
      </c>
      <c r="Q131" s="7">
        <v>3.1</v>
      </c>
    </row>
    <row r="132" spans="1:17">
      <c r="A132" s="2">
        <v>2080</v>
      </c>
      <c r="B132" s="7">
        <v>44.4</v>
      </c>
      <c r="C132" s="7">
        <v>7.9</v>
      </c>
      <c r="D132" s="7">
        <v>20.100000000000001</v>
      </c>
      <c r="E132" s="7">
        <v>3.5</v>
      </c>
      <c r="F132" s="7">
        <v>8.9</v>
      </c>
      <c r="G132" s="7">
        <v>10.5</v>
      </c>
      <c r="H132" s="7">
        <v>98.2</v>
      </c>
      <c r="I132" s="7">
        <v>44.7</v>
      </c>
      <c r="J132" s="7">
        <v>17.100000000000001</v>
      </c>
      <c r="K132" s="7">
        <v>71</v>
      </c>
      <c r="L132" s="7">
        <v>53.9</v>
      </c>
      <c r="M132" s="7">
        <v>94</v>
      </c>
      <c r="N132" s="7">
        <v>113.7</v>
      </c>
      <c r="O132" s="7">
        <v>33.700000000000003</v>
      </c>
      <c r="P132" s="7">
        <v>61.7</v>
      </c>
      <c r="Q132" s="7">
        <v>3.1</v>
      </c>
    </row>
    <row r="133" spans="1:17">
      <c r="A133" s="2">
        <v>2081</v>
      </c>
      <c r="B133" s="7">
        <v>44.7</v>
      </c>
      <c r="C133" s="7">
        <v>8</v>
      </c>
      <c r="D133" s="7">
        <v>20.3</v>
      </c>
      <c r="E133" s="7">
        <v>3.5</v>
      </c>
      <c r="F133" s="7">
        <v>8.5</v>
      </c>
      <c r="G133" s="7">
        <v>10.4</v>
      </c>
      <c r="H133" s="7">
        <v>99.1</v>
      </c>
      <c r="I133" s="7">
        <v>45</v>
      </c>
      <c r="J133" s="7">
        <v>17.3</v>
      </c>
      <c r="K133" s="7">
        <v>71.599999999999994</v>
      </c>
      <c r="L133" s="7">
        <v>54.5</v>
      </c>
      <c r="M133" s="7">
        <v>95.3</v>
      </c>
      <c r="N133" s="7">
        <v>114.2</v>
      </c>
      <c r="O133" s="7">
        <v>33.9</v>
      </c>
      <c r="P133" s="7">
        <v>62.6</v>
      </c>
      <c r="Q133" s="7">
        <v>3.1</v>
      </c>
    </row>
    <row r="134" spans="1:17">
      <c r="A134" s="2">
        <v>2082</v>
      </c>
      <c r="B134" s="7">
        <v>45.2</v>
      </c>
      <c r="C134" s="7">
        <v>8.1</v>
      </c>
      <c r="D134" s="7">
        <v>20.399999999999999</v>
      </c>
      <c r="E134" s="7">
        <v>3.5</v>
      </c>
      <c r="F134" s="7">
        <v>8.6999999999999993</v>
      </c>
      <c r="G134" s="7">
        <v>10.5</v>
      </c>
      <c r="H134" s="7">
        <v>99.7</v>
      </c>
      <c r="I134" s="7">
        <v>44.3</v>
      </c>
      <c r="J134" s="7">
        <v>17.5</v>
      </c>
      <c r="K134" s="7">
        <v>72.900000000000006</v>
      </c>
      <c r="L134" s="7">
        <v>54.4</v>
      </c>
      <c r="M134" s="7">
        <v>95.5</v>
      </c>
      <c r="N134" s="7">
        <v>115.3</v>
      </c>
      <c r="O134" s="7">
        <v>34.5</v>
      </c>
      <c r="P134" s="7">
        <v>62.7</v>
      </c>
      <c r="Q134" s="7">
        <v>3.1</v>
      </c>
    </row>
    <row r="135" spans="1:17">
      <c r="A135" s="2">
        <v>2083</v>
      </c>
      <c r="B135" s="7">
        <v>45.8</v>
      </c>
      <c r="C135" s="7">
        <v>8.1999999999999993</v>
      </c>
      <c r="D135" s="7">
        <v>20.5</v>
      </c>
      <c r="E135" s="7">
        <v>3.5</v>
      </c>
      <c r="F135" s="7">
        <v>8.8000000000000007</v>
      </c>
      <c r="G135" s="7">
        <v>10.7</v>
      </c>
      <c r="H135" s="7">
        <v>100.2</v>
      </c>
      <c r="I135" s="7">
        <v>43.7</v>
      </c>
      <c r="J135" s="7">
        <v>17.600000000000001</v>
      </c>
      <c r="K135" s="7">
        <v>74.3</v>
      </c>
      <c r="L135" s="7">
        <v>54.3</v>
      </c>
      <c r="M135" s="7">
        <v>95.7</v>
      </c>
      <c r="N135" s="7">
        <v>116.5</v>
      </c>
      <c r="O135" s="7">
        <v>35</v>
      </c>
      <c r="P135" s="7">
        <v>62.9</v>
      </c>
      <c r="Q135" s="7">
        <v>3.2</v>
      </c>
    </row>
    <row r="136" spans="1:17">
      <c r="A136" s="2">
        <v>2084</v>
      </c>
      <c r="B136" s="7">
        <v>46.3</v>
      </c>
      <c r="C136" s="7">
        <v>8.3000000000000007</v>
      </c>
      <c r="D136" s="7">
        <v>20.7</v>
      </c>
      <c r="E136" s="7">
        <v>3.5</v>
      </c>
      <c r="F136" s="7">
        <v>9</v>
      </c>
      <c r="G136" s="7">
        <v>10.8</v>
      </c>
      <c r="H136" s="7">
        <v>100.8</v>
      </c>
      <c r="I136" s="7">
        <v>43</v>
      </c>
      <c r="J136" s="7">
        <v>17.7</v>
      </c>
      <c r="K136" s="7">
        <v>75.7</v>
      </c>
      <c r="L136" s="7">
        <v>54.2</v>
      </c>
      <c r="M136" s="7">
        <v>95.9</v>
      </c>
      <c r="N136" s="7">
        <v>117.6</v>
      </c>
      <c r="O136" s="7">
        <v>35.6</v>
      </c>
      <c r="P136" s="7">
        <v>63</v>
      </c>
      <c r="Q136" s="7">
        <v>3.2</v>
      </c>
    </row>
    <row r="137" spans="1:17">
      <c r="A137" s="2">
        <v>2085</v>
      </c>
      <c r="B137" s="7">
        <v>47</v>
      </c>
      <c r="C137" s="7">
        <v>8.4</v>
      </c>
      <c r="D137" s="7">
        <v>20.8</v>
      </c>
      <c r="E137" s="7">
        <v>3.5</v>
      </c>
      <c r="F137" s="7">
        <v>9.6</v>
      </c>
      <c r="G137" s="7">
        <v>11.1</v>
      </c>
      <c r="H137" s="7">
        <v>100.9</v>
      </c>
      <c r="I137" s="7">
        <v>41.4</v>
      </c>
      <c r="J137" s="7">
        <v>17.8</v>
      </c>
      <c r="K137" s="7">
        <v>77.8</v>
      </c>
      <c r="L137" s="7">
        <v>53.3</v>
      </c>
      <c r="M137" s="7">
        <v>95.2</v>
      </c>
      <c r="N137" s="7">
        <v>119.3</v>
      </c>
      <c r="O137" s="7">
        <v>36.4</v>
      </c>
      <c r="P137" s="7">
        <v>62.2</v>
      </c>
      <c r="Q137" s="7">
        <v>3.2</v>
      </c>
    </row>
    <row r="138" spans="1:17">
      <c r="A138" s="2">
        <v>2086</v>
      </c>
      <c r="B138" s="7">
        <v>47.3</v>
      </c>
      <c r="C138" s="7">
        <v>8.5</v>
      </c>
      <c r="D138" s="7">
        <v>20.9</v>
      </c>
      <c r="E138" s="7">
        <v>3.6</v>
      </c>
      <c r="F138" s="7">
        <v>9.1999999999999993</v>
      </c>
      <c r="G138" s="7">
        <v>11</v>
      </c>
      <c r="H138" s="7">
        <v>101.9</v>
      </c>
      <c r="I138" s="7">
        <v>41.7</v>
      </c>
      <c r="J138" s="7">
        <v>18</v>
      </c>
      <c r="K138" s="7">
        <v>78.400000000000006</v>
      </c>
      <c r="L138" s="7">
        <v>54</v>
      </c>
      <c r="M138" s="7">
        <v>96.4</v>
      </c>
      <c r="N138" s="7">
        <v>119.8</v>
      </c>
      <c r="O138" s="7">
        <v>36.700000000000003</v>
      </c>
      <c r="P138" s="7">
        <v>63.2</v>
      </c>
      <c r="Q138" s="7">
        <v>3.2</v>
      </c>
    </row>
    <row r="139" spans="1:17">
      <c r="A139" s="2">
        <v>2087</v>
      </c>
      <c r="B139" s="7">
        <v>47.9</v>
      </c>
      <c r="C139" s="7">
        <v>8.6</v>
      </c>
      <c r="D139" s="7">
        <v>21.1</v>
      </c>
      <c r="E139" s="7">
        <v>3.6</v>
      </c>
      <c r="F139" s="7">
        <v>9.4</v>
      </c>
      <c r="G139" s="7">
        <v>11</v>
      </c>
      <c r="H139" s="7">
        <v>102.5</v>
      </c>
      <c r="I139" s="7">
        <v>41.2</v>
      </c>
      <c r="J139" s="7">
        <v>18.2</v>
      </c>
      <c r="K139" s="7">
        <v>79.599999999999994</v>
      </c>
      <c r="L139" s="7">
        <v>53.9</v>
      </c>
      <c r="M139" s="7">
        <v>96</v>
      </c>
      <c r="N139" s="7">
        <v>120.8</v>
      </c>
      <c r="O139" s="7">
        <v>37.200000000000003</v>
      </c>
      <c r="P139" s="7">
        <v>63.2</v>
      </c>
      <c r="Q139" s="7">
        <v>3.2</v>
      </c>
    </row>
    <row r="140" spans="1:17">
      <c r="A140" s="2">
        <v>2088</v>
      </c>
      <c r="B140" s="7">
        <v>48.4</v>
      </c>
      <c r="C140" s="7">
        <v>8.6999999999999993</v>
      </c>
      <c r="D140" s="7">
        <v>21.2</v>
      </c>
      <c r="E140" s="7">
        <v>3.6</v>
      </c>
      <c r="F140" s="7">
        <v>9.5</v>
      </c>
      <c r="G140" s="7">
        <v>11.1</v>
      </c>
      <c r="H140" s="7">
        <v>103</v>
      </c>
      <c r="I140" s="7">
        <v>40.700000000000003</v>
      </c>
      <c r="J140" s="7">
        <v>18.3</v>
      </c>
      <c r="K140" s="7">
        <v>80.7</v>
      </c>
      <c r="L140" s="7">
        <v>53.8</v>
      </c>
      <c r="M140" s="7">
        <v>95.5</v>
      </c>
      <c r="N140" s="7">
        <v>121.8</v>
      </c>
      <c r="O140" s="7">
        <v>37.6</v>
      </c>
      <c r="P140" s="7">
        <v>63.3</v>
      </c>
      <c r="Q140" s="7">
        <v>3.2</v>
      </c>
    </row>
    <row r="141" spans="1:17">
      <c r="A141" s="2">
        <v>2089</v>
      </c>
      <c r="B141" s="7">
        <v>49</v>
      </c>
      <c r="C141" s="7">
        <v>8.8000000000000007</v>
      </c>
      <c r="D141" s="7">
        <v>21.4</v>
      </c>
      <c r="E141" s="7">
        <v>3.6</v>
      </c>
      <c r="F141" s="7">
        <v>9.6999999999999993</v>
      </c>
      <c r="G141" s="7">
        <v>11.1</v>
      </c>
      <c r="H141" s="7">
        <v>103.6</v>
      </c>
      <c r="I141" s="7">
        <v>40.1</v>
      </c>
      <c r="J141" s="7">
        <v>18.399999999999999</v>
      </c>
      <c r="K141" s="7">
        <v>81.900000000000006</v>
      </c>
      <c r="L141" s="7">
        <v>53.8</v>
      </c>
      <c r="M141" s="7">
        <v>95.1</v>
      </c>
      <c r="N141" s="7">
        <v>122.8</v>
      </c>
      <c r="O141" s="7">
        <v>38.1</v>
      </c>
      <c r="P141" s="7">
        <v>63.3</v>
      </c>
      <c r="Q141" s="7">
        <v>3.2</v>
      </c>
    </row>
    <row r="142" spans="1:17">
      <c r="A142" s="2">
        <v>2090</v>
      </c>
      <c r="B142" s="7">
        <v>49.8</v>
      </c>
      <c r="C142" s="7">
        <v>8.9</v>
      </c>
      <c r="D142" s="7">
        <v>21.6</v>
      </c>
      <c r="E142" s="7">
        <v>3.7</v>
      </c>
      <c r="F142" s="7">
        <v>10.4</v>
      </c>
      <c r="G142" s="7">
        <v>11.3</v>
      </c>
      <c r="H142" s="7">
        <v>103.8</v>
      </c>
      <c r="I142" s="7">
        <v>38.799999999999997</v>
      </c>
      <c r="J142" s="7">
        <v>18.5</v>
      </c>
      <c r="K142" s="7">
        <v>83.6</v>
      </c>
      <c r="L142" s="7">
        <v>53</v>
      </c>
      <c r="M142" s="7">
        <v>93</v>
      </c>
      <c r="N142" s="7">
        <v>124.3</v>
      </c>
      <c r="O142" s="7">
        <v>38.799999999999997</v>
      </c>
      <c r="P142" s="7">
        <v>62.4</v>
      </c>
      <c r="Q142" s="7">
        <v>3.2</v>
      </c>
    </row>
    <row r="143" spans="1:17">
      <c r="A143" s="2">
        <v>2091</v>
      </c>
      <c r="B143" s="7">
        <v>50.1</v>
      </c>
      <c r="C143" s="7">
        <v>9</v>
      </c>
      <c r="D143" s="7">
        <v>21.7</v>
      </c>
      <c r="E143" s="7">
        <v>3.7</v>
      </c>
      <c r="F143" s="7">
        <v>10</v>
      </c>
      <c r="G143" s="7">
        <v>11.2</v>
      </c>
      <c r="H143" s="7">
        <v>104.7</v>
      </c>
      <c r="I143" s="7">
        <v>39.1</v>
      </c>
      <c r="J143" s="7">
        <v>18.7</v>
      </c>
      <c r="K143" s="7">
        <v>84.2</v>
      </c>
      <c r="L143" s="7">
        <v>53.6</v>
      </c>
      <c r="M143" s="7">
        <v>94.2</v>
      </c>
      <c r="N143" s="7">
        <v>124.8</v>
      </c>
      <c r="O143" s="7">
        <v>39</v>
      </c>
      <c r="P143" s="7">
        <v>63.4</v>
      </c>
      <c r="Q143" s="7">
        <v>3.3</v>
      </c>
    </row>
    <row r="144" spans="1:17">
      <c r="A144" s="2">
        <v>2092</v>
      </c>
      <c r="B144" s="7">
        <v>50.7</v>
      </c>
      <c r="C144" s="7">
        <v>9.1</v>
      </c>
      <c r="D144" s="7">
        <v>21.9</v>
      </c>
      <c r="E144" s="7">
        <v>3.7</v>
      </c>
      <c r="F144" s="7">
        <v>10.3</v>
      </c>
      <c r="G144" s="7">
        <v>11.2</v>
      </c>
      <c r="H144" s="7">
        <v>105.2</v>
      </c>
      <c r="I144" s="7">
        <v>38.700000000000003</v>
      </c>
      <c r="J144" s="7">
        <v>18.8</v>
      </c>
      <c r="K144" s="7">
        <v>85</v>
      </c>
      <c r="L144" s="7">
        <v>53.7</v>
      </c>
      <c r="M144" s="7">
        <v>94.4</v>
      </c>
      <c r="N144" s="7">
        <v>125.6</v>
      </c>
      <c r="O144" s="7">
        <v>39.5</v>
      </c>
      <c r="P144" s="7">
        <v>63.5</v>
      </c>
      <c r="Q144" s="7">
        <v>3.3</v>
      </c>
    </row>
    <row r="145" spans="1:17">
      <c r="A145" s="2">
        <v>2093</v>
      </c>
      <c r="B145" s="7">
        <v>51.3</v>
      </c>
      <c r="C145" s="7">
        <v>9.1999999999999993</v>
      </c>
      <c r="D145" s="7">
        <v>22.1</v>
      </c>
      <c r="E145" s="7">
        <v>3.7</v>
      </c>
      <c r="F145" s="7">
        <v>10.6</v>
      </c>
      <c r="G145" s="7">
        <v>11.1</v>
      </c>
      <c r="H145" s="7">
        <v>105.6</v>
      </c>
      <c r="I145" s="7">
        <v>38.299999999999997</v>
      </c>
      <c r="J145" s="7">
        <v>18.899999999999999</v>
      </c>
      <c r="K145" s="7">
        <v>85.7</v>
      </c>
      <c r="L145" s="7">
        <v>53.7</v>
      </c>
      <c r="M145" s="7">
        <v>94.7</v>
      </c>
      <c r="N145" s="7">
        <v>126.3</v>
      </c>
      <c r="O145" s="7">
        <v>40</v>
      </c>
      <c r="P145" s="7">
        <v>63.6</v>
      </c>
      <c r="Q145" s="7">
        <v>3.3</v>
      </c>
    </row>
    <row r="146" spans="1:17">
      <c r="A146" s="2">
        <v>2094</v>
      </c>
      <c r="B146" s="7">
        <v>51.9</v>
      </c>
      <c r="C146" s="7">
        <v>9.3000000000000007</v>
      </c>
      <c r="D146" s="7">
        <v>22.3</v>
      </c>
      <c r="E146" s="7">
        <v>3.7</v>
      </c>
      <c r="F146" s="7">
        <v>10.9</v>
      </c>
      <c r="G146" s="7">
        <v>11.1</v>
      </c>
      <c r="H146" s="7">
        <v>106</v>
      </c>
      <c r="I146" s="7">
        <v>37.9</v>
      </c>
      <c r="J146" s="7">
        <v>19</v>
      </c>
      <c r="K146" s="7">
        <v>86.4</v>
      </c>
      <c r="L146" s="7">
        <v>53.8</v>
      </c>
      <c r="M146" s="7">
        <v>94.9</v>
      </c>
      <c r="N146" s="7">
        <v>127.1</v>
      </c>
      <c r="O146" s="7">
        <v>40.4</v>
      </c>
      <c r="P146" s="7">
        <v>63.8</v>
      </c>
      <c r="Q146" s="7">
        <v>3.3</v>
      </c>
    </row>
    <row r="147" spans="1:17">
      <c r="A147" s="2">
        <v>2095</v>
      </c>
      <c r="B147" s="7">
        <v>52.8</v>
      </c>
      <c r="C147" s="7">
        <v>9.4</v>
      </c>
      <c r="D147" s="7">
        <v>22.6</v>
      </c>
      <c r="E147" s="7">
        <v>3.6</v>
      </c>
      <c r="F147" s="7">
        <v>11.9</v>
      </c>
      <c r="G147" s="7">
        <v>11.1</v>
      </c>
      <c r="H147" s="7">
        <v>105.9</v>
      </c>
      <c r="I147" s="7">
        <v>36.799999999999997</v>
      </c>
      <c r="J147" s="7">
        <v>19</v>
      </c>
      <c r="K147" s="7">
        <v>87.3</v>
      </c>
      <c r="L147" s="7">
        <v>53.2</v>
      </c>
      <c r="M147" s="7">
        <v>94.2</v>
      </c>
      <c r="N147" s="7">
        <v>128.19999999999999</v>
      </c>
      <c r="O147" s="7">
        <v>41.1</v>
      </c>
      <c r="P147" s="7">
        <v>63</v>
      </c>
      <c r="Q147" s="7">
        <v>3.3</v>
      </c>
    </row>
    <row r="148" spans="1:17">
      <c r="A148" s="2">
        <v>2096</v>
      </c>
      <c r="B148" s="7">
        <v>53.1</v>
      </c>
      <c r="C148" s="7">
        <v>9.5</v>
      </c>
      <c r="D148" s="7">
        <v>22.7</v>
      </c>
      <c r="E148" s="7">
        <v>3.7</v>
      </c>
      <c r="F148" s="7">
        <v>11.5</v>
      </c>
      <c r="G148" s="7">
        <v>11</v>
      </c>
      <c r="H148" s="7">
        <v>106.9</v>
      </c>
      <c r="I148" s="7">
        <v>37</v>
      </c>
      <c r="J148" s="7">
        <v>19.2</v>
      </c>
      <c r="K148" s="7">
        <v>87.9</v>
      </c>
      <c r="L148" s="7">
        <v>53.9</v>
      </c>
      <c r="M148" s="7">
        <v>95.4</v>
      </c>
      <c r="N148" s="7">
        <v>128.69999999999999</v>
      </c>
      <c r="O148" s="7">
        <v>41.4</v>
      </c>
      <c r="P148" s="7">
        <v>64</v>
      </c>
      <c r="Q148" s="7">
        <v>3.3</v>
      </c>
    </row>
    <row r="149" spans="1:17">
      <c r="A149" s="2">
        <v>2097</v>
      </c>
      <c r="B149" s="7">
        <v>53.7</v>
      </c>
      <c r="C149" s="7">
        <v>9.6</v>
      </c>
      <c r="D149" s="7">
        <v>22.9</v>
      </c>
      <c r="E149" s="7">
        <v>3.7</v>
      </c>
      <c r="F149" s="7">
        <v>11.8</v>
      </c>
      <c r="G149" s="7">
        <v>11</v>
      </c>
      <c r="H149" s="7">
        <v>107.5</v>
      </c>
      <c r="I149" s="7">
        <v>36.799999999999997</v>
      </c>
      <c r="J149" s="7">
        <v>19.3</v>
      </c>
      <c r="K149" s="7">
        <v>88.8</v>
      </c>
      <c r="L149" s="7">
        <v>53.9</v>
      </c>
      <c r="M149" s="7">
        <v>94.9</v>
      </c>
      <c r="N149" s="7">
        <v>129.30000000000001</v>
      </c>
      <c r="O149" s="7">
        <v>41.5</v>
      </c>
      <c r="P149" s="7">
        <v>64</v>
      </c>
      <c r="Q149" s="7">
        <v>3.3</v>
      </c>
    </row>
    <row r="150" spans="1:17">
      <c r="A150" s="2">
        <v>2098</v>
      </c>
      <c r="B150" s="7">
        <v>54.3</v>
      </c>
      <c r="C150" s="7">
        <v>9.6999999999999993</v>
      </c>
      <c r="D150" s="7">
        <v>23.1</v>
      </c>
      <c r="E150" s="7">
        <v>3.7</v>
      </c>
      <c r="F150" s="7">
        <v>12.2</v>
      </c>
      <c r="G150" s="7">
        <v>11</v>
      </c>
      <c r="H150" s="7">
        <v>108.1</v>
      </c>
      <c r="I150" s="7">
        <v>36.5</v>
      </c>
      <c r="J150" s="7">
        <v>19.3</v>
      </c>
      <c r="K150" s="7">
        <v>89.8</v>
      </c>
      <c r="L150" s="7">
        <v>53.9</v>
      </c>
      <c r="M150" s="7">
        <v>94.3</v>
      </c>
      <c r="N150" s="7">
        <v>129.9</v>
      </c>
      <c r="O150" s="7">
        <v>41.6</v>
      </c>
      <c r="P150" s="7">
        <v>63.9</v>
      </c>
      <c r="Q150" s="7">
        <v>3.3</v>
      </c>
    </row>
    <row r="151" spans="1:17">
      <c r="A151" s="2">
        <v>2099</v>
      </c>
      <c r="B151" s="7">
        <v>54.9</v>
      </c>
      <c r="C151" s="7">
        <v>9.9</v>
      </c>
      <c r="D151" s="7">
        <v>23.3</v>
      </c>
      <c r="E151" s="7">
        <v>3.7</v>
      </c>
      <c r="F151" s="7">
        <v>12.5</v>
      </c>
      <c r="G151" s="7">
        <v>11</v>
      </c>
      <c r="H151" s="7">
        <v>108.6</v>
      </c>
      <c r="I151" s="7">
        <v>36.299999999999997</v>
      </c>
      <c r="J151" s="7">
        <v>19.399999999999999</v>
      </c>
      <c r="K151" s="7">
        <v>90.7</v>
      </c>
      <c r="L151" s="7">
        <v>53.9</v>
      </c>
      <c r="M151" s="7">
        <v>93.8</v>
      </c>
      <c r="N151" s="7">
        <v>130.5</v>
      </c>
      <c r="O151" s="7">
        <v>41.6</v>
      </c>
      <c r="P151" s="7">
        <v>63.8</v>
      </c>
      <c r="Q151" s="7">
        <v>3.3</v>
      </c>
    </row>
    <row r="152" spans="1:17">
      <c r="A152" s="2">
        <v>2100</v>
      </c>
      <c r="B152" s="7">
        <v>55.8</v>
      </c>
      <c r="C152" s="7">
        <v>10</v>
      </c>
      <c r="D152" s="7">
        <v>23.6</v>
      </c>
      <c r="E152" s="7">
        <v>3.7</v>
      </c>
      <c r="F152" s="7">
        <v>13.5</v>
      </c>
      <c r="G152" s="7">
        <v>11.1</v>
      </c>
      <c r="H152" s="7">
        <v>108.8</v>
      </c>
      <c r="I152" s="7">
        <v>35.5</v>
      </c>
      <c r="J152" s="7">
        <v>19.399999999999999</v>
      </c>
      <c r="K152" s="7">
        <v>92</v>
      </c>
      <c r="L152" s="7">
        <v>53.3</v>
      </c>
      <c r="M152" s="7">
        <v>91.5</v>
      </c>
      <c r="N152" s="7">
        <v>131.30000000000001</v>
      </c>
      <c r="O152" s="7">
        <v>41.6</v>
      </c>
      <c r="P152" s="7">
        <v>62.7</v>
      </c>
      <c r="Q152" s="7">
        <v>3.3</v>
      </c>
    </row>
    <row r="153" spans="1:17">
      <c r="A153" s="2">
        <v>2101</v>
      </c>
      <c r="B153" s="7">
        <v>56</v>
      </c>
      <c r="C153" s="7">
        <v>10.1</v>
      </c>
      <c r="D153" s="7">
        <v>23.7</v>
      </c>
      <c r="E153" s="7">
        <v>3.7</v>
      </c>
      <c r="F153" s="7">
        <v>13.5</v>
      </c>
      <c r="G153" s="7">
        <v>11.2</v>
      </c>
      <c r="H153" s="7">
        <v>109.2</v>
      </c>
      <c r="I153" s="7">
        <v>35.6</v>
      </c>
      <c r="J153" s="7">
        <v>19.5</v>
      </c>
      <c r="K153" s="7">
        <v>92.3</v>
      </c>
      <c r="L153" s="7">
        <v>53.5</v>
      </c>
      <c r="M153" s="7">
        <v>91.8</v>
      </c>
      <c r="N153" s="7">
        <v>131.9</v>
      </c>
      <c r="O153" s="7">
        <v>41.7</v>
      </c>
      <c r="P153" s="7">
        <v>63</v>
      </c>
      <c r="Q153" s="7">
        <v>3.4</v>
      </c>
    </row>
    <row r="154" spans="1:17">
      <c r="A154" s="2">
        <v>2102</v>
      </c>
      <c r="B154" s="7">
        <v>56.3</v>
      </c>
      <c r="C154" s="7">
        <v>10.1</v>
      </c>
      <c r="D154" s="7">
        <v>23.8</v>
      </c>
      <c r="E154" s="7">
        <v>3.7</v>
      </c>
      <c r="F154" s="7">
        <v>13.6</v>
      </c>
      <c r="G154" s="7">
        <v>11.2</v>
      </c>
      <c r="H154" s="7">
        <v>109.7</v>
      </c>
      <c r="I154" s="7">
        <v>35.799999999999997</v>
      </c>
      <c r="J154" s="7">
        <v>19.600000000000001</v>
      </c>
      <c r="K154" s="7">
        <v>92.7</v>
      </c>
      <c r="L154" s="7">
        <v>53.8</v>
      </c>
      <c r="M154" s="7">
        <v>92.2</v>
      </c>
      <c r="N154" s="7">
        <v>132.4</v>
      </c>
      <c r="O154" s="7">
        <v>41.9</v>
      </c>
      <c r="P154" s="7">
        <v>63.2</v>
      </c>
      <c r="Q154" s="7">
        <v>3.4</v>
      </c>
    </row>
    <row r="155" spans="1:17">
      <c r="A155" s="2">
        <v>2103</v>
      </c>
      <c r="B155" s="7">
        <v>56.5</v>
      </c>
      <c r="C155" s="7">
        <v>10.199999999999999</v>
      </c>
      <c r="D155" s="7">
        <v>23.9</v>
      </c>
      <c r="E155" s="7">
        <v>3.7</v>
      </c>
      <c r="F155" s="7">
        <v>13.6</v>
      </c>
      <c r="G155" s="7">
        <v>11.2</v>
      </c>
      <c r="H155" s="7">
        <v>110.2</v>
      </c>
      <c r="I155" s="7">
        <v>35.9</v>
      </c>
      <c r="J155" s="7">
        <v>19.600000000000001</v>
      </c>
      <c r="K155" s="7">
        <v>93.1</v>
      </c>
      <c r="L155" s="7">
        <v>54</v>
      </c>
      <c r="M155" s="7">
        <v>92.6</v>
      </c>
      <c r="N155" s="7">
        <v>133</v>
      </c>
      <c r="O155" s="7">
        <v>42.1</v>
      </c>
      <c r="P155" s="7">
        <v>63.5</v>
      </c>
      <c r="Q155" s="7">
        <v>3.4</v>
      </c>
    </row>
    <row r="156" spans="1:17">
      <c r="A156" s="2">
        <v>2104</v>
      </c>
      <c r="B156" s="7">
        <v>56.7</v>
      </c>
      <c r="C156" s="7">
        <v>10.199999999999999</v>
      </c>
      <c r="D156" s="7">
        <v>24</v>
      </c>
      <c r="E156" s="7">
        <v>3.8</v>
      </c>
      <c r="F156" s="7">
        <v>13.7</v>
      </c>
      <c r="G156" s="7">
        <v>11.3</v>
      </c>
      <c r="H156" s="7">
        <v>110.6</v>
      </c>
      <c r="I156" s="7">
        <v>36.1</v>
      </c>
      <c r="J156" s="7">
        <v>19.7</v>
      </c>
      <c r="K156" s="7">
        <v>93.5</v>
      </c>
      <c r="L156" s="7">
        <v>54.2</v>
      </c>
      <c r="M156" s="7">
        <v>93</v>
      </c>
      <c r="N156" s="7">
        <v>133.5</v>
      </c>
      <c r="O156" s="7">
        <v>42.3</v>
      </c>
      <c r="P156" s="7">
        <v>63.7</v>
      </c>
      <c r="Q156" s="7">
        <v>3.4</v>
      </c>
    </row>
    <row r="157" spans="1:17">
      <c r="A157" s="2">
        <v>2105</v>
      </c>
      <c r="B157" s="7">
        <v>57</v>
      </c>
      <c r="C157" s="7">
        <v>10.199999999999999</v>
      </c>
      <c r="D157" s="7">
        <v>24.1</v>
      </c>
      <c r="E157" s="7">
        <v>3.8</v>
      </c>
      <c r="F157" s="7">
        <v>13.8</v>
      </c>
      <c r="G157" s="7">
        <v>11.3</v>
      </c>
      <c r="H157" s="7">
        <v>111.1</v>
      </c>
      <c r="I157" s="7">
        <v>36.200000000000003</v>
      </c>
      <c r="J157" s="7">
        <v>19.8</v>
      </c>
      <c r="K157" s="7">
        <v>93.9</v>
      </c>
      <c r="L157" s="7">
        <v>54.4</v>
      </c>
      <c r="M157" s="7">
        <v>93.4</v>
      </c>
      <c r="N157" s="7">
        <v>134.1</v>
      </c>
      <c r="O157" s="7">
        <v>42.4</v>
      </c>
      <c r="P157" s="7">
        <v>64</v>
      </c>
      <c r="Q157" s="7">
        <v>3.4</v>
      </c>
    </row>
    <row r="158" spans="1:17">
      <c r="A158" s="2">
        <v>2106</v>
      </c>
      <c r="B158" s="7">
        <v>57.2</v>
      </c>
      <c r="C158" s="7">
        <v>10.3</v>
      </c>
      <c r="D158" s="7">
        <v>24.2</v>
      </c>
      <c r="E158" s="7">
        <v>3.8</v>
      </c>
      <c r="F158" s="7">
        <v>13.8</v>
      </c>
      <c r="G158" s="7">
        <v>11.4</v>
      </c>
      <c r="H158" s="7">
        <v>111.5</v>
      </c>
      <c r="I158" s="7">
        <v>36.4</v>
      </c>
      <c r="J158" s="7">
        <v>19.899999999999999</v>
      </c>
      <c r="K158" s="7">
        <v>94.3</v>
      </c>
      <c r="L158" s="7">
        <v>54.7</v>
      </c>
      <c r="M158" s="7">
        <v>93.8</v>
      </c>
      <c r="N158" s="7">
        <v>134.6</v>
      </c>
      <c r="O158" s="7">
        <v>42.6</v>
      </c>
      <c r="P158" s="7">
        <v>64.3</v>
      </c>
      <c r="Q158" s="7">
        <v>3.4</v>
      </c>
    </row>
    <row r="159" spans="1:17">
      <c r="A159" s="2">
        <v>2107</v>
      </c>
      <c r="B159" s="7">
        <v>57.4</v>
      </c>
      <c r="C159" s="7">
        <v>10.3</v>
      </c>
      <c r="D159" s="7">
        <v>24.3</v>
      </c>
      <c r="E159" s="7">
        <v>3.8</v>
      </c>
      <c r="F159" s="7">
        <v>13.9</v>
      </c>
      <c r="G159" s="7">
        <v>11.4</v>
      </c>
      <c r="H159" s="7">
        <v>112</v>
      </c>
      <c r="I159" s="7">
        <v>36.5</v>
      </c>
      <c r="J159" s="7">
        <v>20</v>
      </c>
      <c r="K159" s="7">
        <v>94.7</v>
      </c>
      <c r="L159" s="7">
        <v>54.9</v>
      </c>
      <c r="M159" s="7">
        <v>94.2</v>
      </c>
      <c r="N159" s="7">
        <v>135.19999999999999</v>
      </c>
      <c r="O159" s="7">
        <v>42.8</v>
      </c>
      <c r="P159" s="7">
        <v>64.5</v>
      </c>
      <c r="Q159" s="7">
        <v>3.4</v>
      </c>
    </row>
    <row r="160" spans="1:17">
      <c r="A160" s="2">
        <v>2108</v>
      </c>
      <c r="B160" s="7">
        <v>57.7</v>
      </c>
      <c r="C160" s="7">
        <v>10.4</v>
      </c>
      <c r="D160" s="7">
        <v>24.4</v>
      </c>
      <c r="E160" s="7">
        <v>3.8</v>
      </c>
      <c r="F160" s="7">
        <v>13.9</v>
      </c>
      <c r="G160" s="7">
        <v>11.5</v>
      </c>
      <c r="H160" s="7">
        <v>112.5</v>
      </c>
      <c r="I160" s="7">
        <v>36.700000000000003</v>
      </c>
      <c r="J160" s="7">
        <v>20.100000000000001</v>
      </c>
      <c r="K160" s="7">
        <v>95.1</v>
      </c>
      <c r="L160" s="7">
        <v>55.1</v>
      </c>
      <c r="M160" s="7">
        <v>94.5</v>
      </c>
      <c r="N160" s="7">
        <v>135.69999999999999</v>
      </c>
      <c r="O160" s="7">
        <v>43</v>
      </c>
      <c r="P160" s="7">
        <v>64.8</v>
      </c>
      <c r="Q160" s="7">
        <v>3.5</v>
      </c>
    </row>
    <row r="161" spans="1:17">
      <c r="A161" s="2">
        <v>2109</v>
      </c>
      <c r="B161" s="7">
        <v>57.9</v>
      </c>
      <c r="C161" s="7">
        <v>10.4</v>
      </c>
      <c r="D161" s="7">
        <v>24.5</v>
      </c>
      <c r="E161" s="7">
        <v>3.8</v>
      </c>
      <c r="F161" s="7">
        <v>14</v>
      </c>
      <c r="G161" s="7">
        <v>11.5</v>
      </c>
      <c r="H161" s="7">
        <v>112.9</v>
      </c>
      <c r="I161" s="7">
        <v>36.799999999999997</v>
      </c>
      <c r="J161" s="7">
        <v>20.100000000000001</v>
      </c>
      <c r="K161" s="7">
        <v>95.5</v>
      </c>
      <c r="L161" s="7">
        <v>55.3</v>
      </c>
      <c r="M161" s="7">
        <v>94.9</v>
      </c>
      <c r="N161" s="7">
        <v>136.30000000000001</v>
      </c>
      <c r="O161" s="7">
        <v>43.1</v>
      </c>
      <c r="P161" s="7">
        <v>65.099999999999994</v>
      </c>
      <c r="Q161" s="7">
        <v>3.5</v>
      </c>
    </row>
    <row r="162" spans="1:17">
      <c r="A162" s="2">
        <v>2110</v>
      </c>
      <c r="B162" s="7">
        <v>58.2</v>
      </c>
      <c r="C162" s="7">
        <v>10.5</v>
      </c>
      <c r="D162" s="7">
        <v>24.6</v>
      </c>
      <c r="E162" s="7">
        <v>3.9</v>
      </c>
      <c r="F162" s="7">
        <v>14</v>
      </c>
      <c r="G162" s="7">
        <v>11.6</v>
      </c>
      <c r="H162" s="7">
        <v>113.4</v>
      </c>
      <c r="I162" s="7">
        <v>37</v>
      </c>
      <c r="J162" s="7">
        <v>20.2</v>
      </c>
      <c r="K162" s="7">
        <v>95.8</v>
      </c>
      <c r="L162" s="7">
        <v>55.6</v>
      </c>
      <c r="M162" s="7">
        <v>95.3</v>
      </c>
      <c r="N162" s="7">
        <v>136.9</v>
      </c>
      <c r="O162" s="7">
        <v>43.3</v>
      </c>
      <c r="P162" s="7">
        <v>65.3</v>
      </c>
      <c r="Q162" s="7">
        <v>3.5</v>
      </c>
    </row>
    <row r="163" spans="1:17">
      <c r="A163" s="2">
        <v>2111</v>
      </c>
      <c r="B163" s="7">
        <v>58.4</v>
      </c>
      <c r="C163" s="7">
        <v>10.5</v>
      </c>
      <c r="D163" s="7">
        <v>24.7</v>
      </c>
      <c r="E163" s="7">
        <v>3.9</v>
      </c>
      <c r="F163" s="7">
        <v>14.1</v>
      </c>
      <c r="G163" s="7">
        <v>11.6</v>
      </c>
      <c r="H163" s="7">
        <v>113.8</v>
      </c>
      <c r="I163" s="7">
        <v>37.1</v>
      </c>
      <c r="J163" s="7">
        <v>20.3</v>
      </c>
      <c r="K163" s="7">
        <v>96.2</v>
      </c>
      <c r="L163" s="7">
        <v>55.8</v>
      </c>
      <c r="M163" s="7">
        <v>95.7</v>
      </c>
      <c r="N163" s="7">
        <v>137.4</v>
      </c>
      <c r="O163" s="7">
        <v>43.5</v>
      </c>
      <c r="P163" s="7">
        <v>65.599999999999994</v>
      </c>
      <c r="Q163" s="7">
        <v>3.5</v>
      </c>
    </row>
    <row r="164" spans="1:17">
      <c r="A164" s="2">
        <v>2112</v>
      </c>
      <c r="B164" s="7">
        <v>58.6</v>
      </c>
      <c r="C164" s="7">
        <v>10.5</v>
      </c>
      <c r="D164" s="7">
        <v>24.8</v>
      </c>
      <c r="E164" s="7">
        <v>3.9</v>
      </c>
      <c r="F164" s="7">
        <v>14.2</v>
      </c>
      <c r="G164" s="7">
        <v>11.7</v>
      </c>
      <c r="H164" s="7">
        <v>114.3</v>
      </c>
      <c r="I164" s="7">
        <v>37.299999999999997</v>
      </c>
      <c r="J164" s="7">
        <v>20.399999999999999</v>
      </c>
      <c r="K164" s="7">
        <v>96.6</v>
      </c>
      <c r="L164" s="7">
        <v>56</v>
      </c>
      <c r="M164" s="7">
        <v>96.1</v>
      </c>
      <c r="N164" s="7">
        <v>138</v>
      </c>
      <c r="O164" s="7">
        <v>43.7</v>
      </c>
      <c r="P164" s="7">
        <v>65.900000000000006</v>
      </c>
      <c r="Q164" s="7">
        <v>3.5</v>
      </c>
    </row>
    <row r="165" spans="1:17">
      <c r="A165" s="2">
        <v>2113</v>
      </c>
      <c r="B165" s="7">
        <v>58.9</v>
      </c>
      <c r="C165" s="7">
        <v>10.6</v>
      </c>
      <c r="D165" s="7">
        <v>24.9</v>
      </c>
      <c r="E165" s="7">
        <v>3.9</v>
      </c>
      <c r="F165" s="7">
        <v>14.2</v>
      </c>
      <c r="G165" s="7">
        <v>11.7</v>
      </c>
      <c r="H165" s="7">
        <v>114.8</v>
      </c>
      <c r="I165" s="7">
        <v>37.4</v>
      </c>
      <c r="J165" s="7">
        <v>20.5</v>
      </c>
      <c r="K165" s="7">
        <v>97</v>
      </c>
      <c r="L165" s="7">
        <v>56.2</v>
      </c>
      <c r="M165" s="7">
        <v>96.5</v>
      </c>
      <c r="N165" s="7">
        <v>138.5</v>
      </c>
      <c r="O165" s="7">
        <v>43.8</v>
      </c>
      <c r="P165" s="7">
        <v>66.099999999999994</v>
      </c>
      <c r="Q165" s="7">
        <v>3.5</v>
      </c>
    </row>
    <row r="166" spans="1:17">
      <c r="A166" s="2">
        <v>2114</v>
      </c>
      <c r="B166" s="7">
        <v>59.1</v>
      </c>
      <c r="C166" s="7">
        <v>10.6</v>
      </c>
      <c r="D166" s="7">
        <v>25</v>
      </c>
      <c r="E166" s="7">
        <v>3.9</v>
      </c>
      <c r="F166" s="7">
        <v>14.3</v>
      </c>
      <c r="G166" s="7">
        <v>11.8</v>
      </c>
      <c r="H166" s="7">
        <v>115.2</v>
      </c>
      <c r="I166" s="7">
        <v>37.6</v>
      </c>
      <c r="J166" s="7">
        <v>20.5</v>
      </c>
      <c r="K166" s="7">
        <v>97.4</v>
      </c>
      <c r="L166" s="7">
        <v>56.5</v>
      </c>
      <c r="M166" s="7">
        <v>96.9</v>
      </c>
      <c r="N166" s="7">
        <v>139.1</v>
      </c>
      <c r="O166" s="7">
        <v>44</v>
      </c>
      <c r="P166" s="7">
        <v>66.400000000000006</v>
      </c>
      <c r="Q166" s="7">
        <v>3.5</v>
      </c>
    </row>
    <row r="167" spans="1:17">
      <c r="A167" s="2">
        <v>2115</v>
      </c>
      <c r="B167" s="7">
        <v>59.3</v>
      </c>
      <c r="C167" s="7">
        <v>10.7</v>
      </c>
      <c r="D167" s="7">
        <v>25.1</v>
      </c>
      <c r="E167" s="7">
        <v>3.9</v>
      </c>
      <c r="F167" s="7">
        <v>14.3</v>
      </c>
      <c r="G167" s="7">
        <v>11.8</v>
      </c>
      <c r="H167" s="7">
        <v>115.7</v>
      </c>
      <c r="I167" s="7">
        <v>37.700000000000003</v>
      </c>
      <c r="J167" s="7">
        <v>20.6</v>
      </c>
      <c r="K167" s="7">
        <v>97.8</v>
      </c>
      <c r="L167" s="7">
        <v>56.7</v>
      </c>
      <c r="M167" s="7">
        <v>97.3</v>
      </c>
      <c r="N167" s="7">
        <v>139.6</v>
      </c>
      <c r="O167" s="7">
        <v>44.2</v>
      </c>
      <c r="P167" s="7">
        <v>66.7</v>
      </c>
      <c r="Q167" s="7">
        <v>3.6</v>
      </c>
    </row>
    <row r="168" spans="1:17">
      <c r="A168" s="2">
        <v>2116</v>
      </c>
      <c r="B168" s="7">
        <v>59.6</v>
      </c>
      <c r="C168" s="7">
        <v>10.7</v>
      </c>
      <c r="D168" s="7">
        <v>25.2</v>
      </c>
      <c r="E168" s="7">
        <v>3.9</v>
      </c>
      <c r="F168" s="7">
        <v>14.4</v>
      </c>
      <c r="G168" s="7">
        <v>11.9</v>
      </c>
      <c r="H168" s="7">
        <v>116.2</v>
      </c>
      <c r="I168" s="7">
        <v>37.9</v>
      </c>
      <c r="J168" s="7">
        <v>20.7</v>
      </c>
      <c r="K168" s="7">
        <v>98.2</v>
      </c>
      <c r="L168" s="7">
        <v>56.9</v>
      </c>
      <c r="M168" s="7">
        <v>97.6</v>
      </c>
      <c r="N168" s="7">
        <v>140.19999999999999</v>
      </c>
      <c r="O168" s="7">
        <v>44.4</v>
      </c>
      <c r="P168" s="7">
        <v>66.900000000000006</v>
      </c>
      <c r="Q168" s="7">
        <v>3.6</v>
      </c>
    </row>
    <row r="169" spans="1:17">
      <c r="A169" s="2">
        <v>2117</v>
      </c>
      <c r="B169" s="7">
        <v>59.8</v>
      </c>
      <c r="C169" s="7">
        <v>10.8</v>
      </c>
      <c r="D169" s="7">
        <v>25.3</v>
      </c>
      <c r="E169" s="7">
        <v>4</v>
      </c>
      <c r="F169" s="7">
        <v>14.4</v>
      </c>
      <c r="G169" s="7">
        <v>11.9</v>
      </c>
      <c r="H169" s="7">
        <v>116.6</v>
      </c>
      <c r="I169" s="7">
        <v>38</v>
      </c>
      <c r="J169" s="7">
        <v>20.8</v>
      </c>
      <c r="K169" s="7">
        <v>98.6</v>
      </c>
      <c r="L169" s="7">
        <v>57.2</v>
      </c>
      <c r="M169" s="7">
        <v>98</v>
      </c>
      <c r="N169" s="7">
        <v>140.69999999999999</v>
      </c>
      <c r="O169" s="7">
        <v>44.5</v>
      </c>
      <c r="P169" s="7">
        <v>67.2</v>
      </c>
      <c r="Q169" s="7">
        <v>3.6</v>
      </c>
    </row>
    <row r="170" spans="1:17">
      <c r="A170" s="2">
        <v>2118</v>
      </c>
      <c r="B170" s="7">
        <v>60</v>
      </c>
      <c r="C170" s="7">
        <v>10.8</v>
      </c>
      <c r="D170" s="7">
        <v>25.4</v>
      </c>
      <c r="E170" s="7">
        <v>4</v>
      </c>
      <c r="F170" s="7">
        <v>14.5</v>
      </c>
      <c r="G170" s="7">
        <v>11.9</v>
      </c>
      <c r="H170" s="7">
        <v>117.1</v>
      </c>
      <c r="I170" s="7">
        <v>38.200000000000003</v>
      </c>
      <c r="J170" s="7">
        <v>20.9</v>
      </c>
      <c r="K170" s="7">
        <v>99</v>
      </c>
      <c r="L170" s="7">
        <v>57.4</v>
      </c>
      <c r="M170" s="7">
        <v>98.4</v>
      </c>
      <c r="N170" s="7">
        <v>141.30000000000001</v>
      </c>
      <c r="O170" s="7">
        <v>44.7</v>
      </c>
      <c r="P170" s="7">
        <v>67.5</v>
      </c>
      <c r="Q170" s="7">
        <v>3.6</v>
      </c>
    </row>
    <row r="171" spans="1:17">
      <c r="A171" s="2">
        <v>2119</v>
      </c>
      <c r="B171" s="7">
        <v>60.3</v>
      </c>
      <c r="C171" s="7">
        <v>10.8</v>
      </c>
      <c r="D171" s="7">
        <v>25.5</v>
      </c>
      <c r="E171" s="7">
        <v>4</v>
      </c>
      <c r="F171" s="7">
        <v>14.6</v>
      </c>
      <c r="G171" s="7">
        <v>12</v>
      </c>
      <c r="H171" s="7">
        <v>117.5</v>
      </c>
      <c r="I171" s="7">
        <v>38.299999999999997</v>
      </c>
      <c r="J171" s="7">
        <v>21</v>
      </c>
      <c r="K171" s="7">
        <v>99.3</v>
      </c>
      <c r="L171" s="7">
        <v>57.6</v>
      </c>
      <c r="M171" s="7">
        <v>98.8</v>
      </c>
      <c r="N171" s="7">
        <v>141.9</v>
      </c>
      <c r="O171" s="7">
        <v>44.9</v>
      </c>
      <c r="P171" s="7">
        <v>67.7</v>
      </c>
      <c r="Q171" s="7">
        <v>3.6</v>
      </c>
    </row>
    <row r="172" spans="1:17">
      <c r="A172" s="2">
        <v>2120</v>
      </c>
      <c r="B172" s="7">
        <v>60.5</v>
      </c>
      <c r="C172" s="7">
        <v>10.9</v>
      </c>
      <c r="D172" s="7">
        <v>25.6</v>
      </c>
      <c r="E172" s="7">
        <v>4</v>
      </c>
      <c r="F172" s="7">
        <v>14.6</v>
      </c>
      <c r="G172" s="7">
        <v>12</v>
      </c>
      <c r="H172" s="7">
        <v>118</v>
      </c>
      <c r="I172" s="7">
        <v>38.5</v>
      </c>
      <c r="J172" s="7">
        <v>21</v>
      </c>
      <c r="K172" s="7">
        <v>99.7</v>
      </c>
      <c r="L172" s="7">
        <v>57.8</v>
      </c>
      <c r="M172" s="7">
        <v>99.2</v>
      </c>
      <c r="N172" s="7">
        <v>142.4</v>
      </c>
      <c r="O172" s="7">
        <v>45.1</v>
      </c>
      <c r="P172" s="7">
        <v>68</v>
      </c>
      <c r="Q172" s="7">
        <v>3.6</v>
      </c>
    </row>
    <row r="173" spans="1:17">
      <c r="A173" s="2">
        <v>2121</v>
      </c>
      <c r="B173" s="7">
        <v>60.7</v>
      </c>
      <c r="C173" s="7">
        <v>10.9</v>
      </c>
      <c r="D173" s="7">
        <v>25.7</v>
      </c>
      <c r="E173" s="7">
        <v>4</v>
      </c>
      <c r="F173" s="7">
        <v>14.7</v>
      </c>
      <c r="G173" s="7">
        <v>12.1</v>
      </c>
      <c r="H173" s="7">
        <v>118.5</v>
      </c>
      <c r="I173" s="7">
        <v>38.6</v>
      </c>
      <c r="J173" s="7">
        <v>21.1</v>
      </c>
      <c r="K173" s="7">
        <v>100.1</v>
      </c>
      <c r="L173" s="7">
        <v>58.1</v>
      </c>
      <c r="M173" s="7">
        <v>99.6</v>
      </c>
      <c r="N173" s="7">
        <v>143</v>
      </c>
      <c r="O173" s="7">
        <v>45.3</v>
      </c>
      <c r="P173" s="7">
        <v>68.3</v>
      </c>
      <c r="Q173" s="7">
        <v>3.6</v>
      </c>
    </row>
    <row r="174" spans="1:17">
      <c r="A174" s="2">
        <v>2122</v>
      </c>
      <c r="B174" s="7">
        <v>61</v>
      </c>
      <c r="C174" s="7">
        <v>11</v>
      </c>
      <c r="D174" s="7">
        <v>25.8</v>
      </c>
      <c r="E174" s="7">
        <v>4</v>
      </c>
      <c r="F174" s="7">
        <v>14.7</v>
      </c>
      <c r="G174" s="7">
        <v>12.1</v>
      </c>
      <c r="H174" s="7">
        <v>118.9</v>
      </c>
      <c r="I174" s="7">
        <v>38.799999999999997</v>
      </c>
      <c r="J174" s="7">
        <v>21.2</v>
      </c>
      <c r="K174" s="7">
        <v>100.5</v>
      </c>
      <c r="L174" s="7">
        <v>58.3</v>
      </c>
      <c r="M174" s="7">
        <v>100</v>
      </c>
      <c r="N174" s="7">
        <v>143.5</v>
      </c>
      <c r="O174" s="7">
        <v>45.4</v>
      </c>
      <c r="P174" s="7">
        <v>68.5</v>
      </c>
      <c r="Q174" s="7">
        <v>3.7</v>
      </c>
    </row>
    <row r="175" spans="1:17">
      <c r="A175" s="2">
        <v>2123</v>
      </c>
      <c r="B175" s="7">
        <v>61.2</v>
      </c>
      <c r="C175" s="7">
        <v>11</v>
      </c>
      <c r="D175" s="7">
        <v>25.9</v>
      </c>
      <c r="E175" s="7">
        <v>4.0999999999999996</v>
      </c>
      <c r="F175" s="7">
        <v>14.8</v>
      </c>
      <c r="G175" s="7">
        <v>12.2</v>
      </c>
      <c r="H175" s="7">
        <v>119.4</v>
      </c>
      <c r="I175" s="7">
        <v>38.9</v>
      </c>
      <c r="J175" s="7">
        <v>21.3</v>
      </c>
      <c r="K175" s="7">
        <v>100.9</v>
      </c>
      <c r="L175" s="7">
        <v>58.5</v>
      </c>
      <c r="M175" s="7">
        <v>100.4</v>
      </c>
      <c r="N175" s="7">
        <v>144.1</v>
      </c>
      <c r="O175" s="7">
        <v>45.6</v>
      </c>
      <c r="P175" s="7">
        <v>68.8</v>
      </c>
      <c r="Q175" s="7">
        <v>3.7</v>
      </c>
    </row>
    <row r="176" spans="1:17">
      <c r="A176" s="2">
        <v>2124</v>
      </c>
      <c r="B176" s="7">
        <v>61.5</v>
      </c>
      <c r="C176" s="7">
        <v>11.1</v>
      </c>
      <c r="D176" s="7">
        <v>26</v>
      </c>
      <c r="E176" s="7">
        <v>4.0999999999999996</v>
      </c>
      <c r="F176" s="7">
        <v>14.8</v>
      </c>
      <c r="G176" s="7">
        <v>12.2</v>
      </c>
      <c r="H176" s="7">
        <v>119.8</v>
      </c>
      <c r="I176" s="7">
        <v>39.1</v>
      </c>
      <c r="J176" s="7">
        <v>21.4</v>
      </c>
      <c r="K176" s="7">
        <v>101.3</v>
      </c>
      <c r="L176" s="7">
        <v>58.7</v>
      </c>
      <c r="M176" s="7">
        <v>100.7</v>
      </c>
      <c r="N176" s="7">
        <v>144.6</v>
      </c>
      <c r="O176" s="7">
        <v>45.8</v>
      </c>
      <c r="P176" s="7">
        <v>69.099999999999994</v>
      </c>
      <c r="Q176" s="7">
        <v>3.7</v>
      </c>
    </row>
    <row r="177" spans="1:17">
      <c r="A177" s="2">
        <v>2125</v>
      </c>
      <c r="B177" s="7">
        <v>61.7</v>
      </c>
      <c r="C177" s="7">
        <v>11.1</v>
      </c>
      <c r="D177" s="7">
        <v>26.1</v>
      </c>
      <c r="E177" s="7">
        <v>4.0999999999999996</v>
      </c>
      <c r="F177" s="7">
        <v>14.9</v>
      </c>
      <c r="G177" s="7">
        <v>12.3</v>
      </c>
      <c r="H177" s="7">
        <v>120.3</v>
      </c>
      <c r="I177" s="7">
        <v>39.200000000000003</v>
      </c>
      <c r="J177" s="7">
        <v>21.4</v>
      </c>
      <c r="K177" s="7">
        <v>101.7</v>
      </c>
      <c r="L177" s="7">
        <v>59</v>
      </c>
      <c r="M177" s="7">
        <v>101.1</v>
      </c>
      <c r="N177" s="7">
        <v>145.19999999999999</v>
      </c>
      <c r="O177" s="7">
        <v>46</v>
      </c>
      <c r="P177" s="7">
        <v>69.3</v>
      </c>
      <c r="Q177" s="7">
        <v>3.7</v>
      </c>
    </row>
    <row r="178" spans="1:17">
      <c r="A178" s="2">
        <v>2126</v>
      </c>
      <c r="B178" s="7">
        <v>61.9</v>
      </c>
      <c r="C178" s="7">
        <v>11.1</v>
      </c>
      <c r="D178" s="7">
        <v>26.2</v>
      </c>
      <c r="E178" s="7">
        <v>4.0999999999999996</v>
      </c>
      <c r="F178" s="7">
        <v>15</v>
      </c>
      <c r="G178" s="7">
        <v>12.3</v>
      </c>
      <c r="H178" s="7">
        <v>120.8</v>
      </c>
      <c r="I178" s="7">
        <v>39.4</v>
      </c>
      <c r="J178" s="7">
        <v>21.5</v>
      </c>
      <c r="K178" s="7">
        <v>102.1</v>
      </c>
      <c r="L178" s="7">
        <v>59.2</v>
      </c>
      <c r="M178" s="7">
        <v>101.5</v>
      </c>
      <c r="N178" s="7">
        <v>145.69999999999999</v>
      </c>
      <c r="O178" s="7">
        <v>46.1</v>
      </c>
      <c r="P178" s="7">
        <v>69.599999999999994</v>
      </c>
      <c r="Q178" s="7">
        <v>3.7</v>
      </c>
    </row>
    <row r="179" spans="1:17">
      <c r="A179" s="2">
        <v>2127</v>
      </c>
      <c r="B179" s="7">
        <v>62.2</v>
      </c>
      <c r="C179" s="7">
        <v>11.2</v>
      </c>
      <c r="D179" s="7">
        <v>26.3</v>
      </c>
      <c r="E179" s="7">
        <v>4.0999999999999996</v>
      </c>
      <c r="F179" s="7">
        <v>15</v>
      </c>
      <c r="G179" s="7">
        <v>12.4</v>
      </c>
      <c r="H179" s="7">
        <v>121.2</v>
      </c>
      <c r="I179" s="7">
        <v>39.5</v>
      </c>
      <c r="J179" s="7">
        <v>21.6</v>
      </c>
      <c r="K179" s="7">
        <v>102.5</v>
      </c>
      <c r="L179" s="7">
        <v>59.4</v>
      </c>
      <c r="M179" s="7">
        <v>101.9</v>
      </c>
      <c r="N179" s="7">
        <v>146.30000000000001</v>
      </c>
      <c r="O179" s="7">
        <v>46.3</v>
      </c>
      <c r="P179" s="7">
        <v>69.900000000000006</v>
      </c>
      <c r="Q179" s="7">
        <v>3.7</v>
      </c>
    </row>
    <row r="180" spans="1:17">
      <c r="A180" s="2">
        <v>2128</v>
      </c>
      <c r="B180" s="7">
        <v>62.4</v>
      </c>
      <c r="C180" s="7">
        <v>11.2</v>
      </c>
      <c r="D180" s="7">
        <v>26.4</v>
      </c>
      <c r="E180" s="7">
        <v>4.0999999999999996</v>
      </c>
      <c r="F180" s="7">
        <v>15.1</v>
      </c>
      <c r="G180" s="7">
        <v>12.4</v>
      </c>
      <c r="H180" s="7">
        <v>121.7</v>
      </c>
      <c r="I180" s="7">
        <v>39.700000000000003</v>
      </c>
      <c r="J180" s="7">
        <v>21.7</v>
      </c>
      <c r="K180" s="7">
        <v>102.9</v>
      </c>
      <c r="L180" s="7">
        <v>59.6</v>
      </c>
      <c r="M180" s="7">
        <v>102.3</v>
      </c>
      <c r="N180" s="7">
        <v>146.9</v>
      </c>
      <c r="O180" s="7">
        <v>46.5</v>
      </c>
      <c r="P180" s="7">
        <v>70.099999999999994</v>
      </c>
      <c r="Q180" s="7">
        <v>3.7</v>
      </c>
    </row>
    <row r="181" spans="1:17">
      <c r="A181" s="2">
        <v>2129</v>
      </c>
      <c r="B181" s="7">
        <v>62.6</v>
      </c>
      <c r="C181" s="7">
        <v>11.3</v>
      </c>
      <c r="D181" s="7">
        <v>26.5</v>
      </c>
      <c r="E181" s="7">
        <v>4.0999999999999996</v>
      </c>
      <c r="F181" s="7">
        <v>15.1</v>
      </c>
      <c r="G181" s="7">
        <v>12.5</v>
      </c>
      <c r="H181" s="7">
        <v>122.1</v>
      </c>
      <c r="I181" s="7">
        <v>39.799999999999997</v>
      </c>
      <c r="J181" s="7">
        <v>21.8</v>
      </c>
      <c r="K181" s="7">
        <v>103.2</v>
      </c>
      <c r="L181" s="7">
        <v>59.9</v>
      </c>
      <c r="M181" s="7">
        <v>102.7</v>
      </c>
      <c r="N181" s="7">
        <v>147.4</v>
      </c>
      <c r="O181" s="7">
        <v>46.7</v>
      </c>
      <c r="P181" s="7">
        <v>70.400000000000006</v>
      </c>
      <c r="Q181" s="7">
        <v>3.8</v>
      </c>
    </row>
    <row r="182" spans="1:17">
      <c r="A182" s="2">
        <v>2130</v>
      </c>
      <c r="B182" s="7">
        <v>62.9</v>
      </c>
      <c r="C182" s="7">
        <v>11.3</v>
      </c>
      <c r="D182" s="7">
        <v>26.6</v>
      </c>
      <c r="E182" s="7">
        <v>4.2</v>
      </c>
      <c r="F182" s="7">
        <v>15.2</v>
      </c>
      <c r="G182" s="7">
        <v>12.5</v>
      </c>
      <c r="H182" s="7">
        <v>122.6</v>
      </c>
      <c r="I182" s="7">
        <v>40</v>
      </c>
      <c r="J182" s="7">
        <v>21.9</v>
      </c>
      <c r="K182" s="7">
        <v>103.6</v>
      </c>
      <c r="L182" s="7">
        <v>60.1</v>
      </c>
      <c r="M182" s="7">
        <v>103.1</v>
      </c>
      <c r="N182" s="7">
        <v>148</v>
      </c>
      <c r="O182" s="7">
        <v>46.8</v>
      </c>
      <c r="P182" s="7">
        <v>70.599999999999994</v>
      </c>
      <c r="Q182" s="7">
        <v>3.8</v>
      </c>
    </row>
    <row r="183" spans="1:17">
      <c r="A183" s="2">
        <v>2131</v>
      </c>
      <c r="B183" s="7">
        <v>63.1</v>
      </c>
      <c r="C183" s="7">
        <v>11.4</v>
      </c>
      <c r="D183" s="7">
        <v>26.7</v>
      </c>
      <c r="E183" s="7">
        <v>4.2</v>
      </c>
      <c r="F183" s="7">
        <v>15.2</v>
      </c>
      <c r="G183" s="7">
        <v>12.6</v>
      </c>
      <c r="H183" s="7">
        <v>123.1</v>
      </c>
      <c r="I183" s="7">
        <v>40.1</v>
      </c>
      <c r="J183" s="7">
        <v>21.9</v>
      </c>
      <c r="K183" s="7">
        <v>104</v>
      </c>
      <c r="L183" s="7">
        <v>60.3</v>
      </c>
      <c r="M183" s="7">
        <v>103.5</v>
      </c>
      <c r="N183" s="7">
        <v>148.5</v>
      </c>
      <c r="O183" s="7">
        <v>47</v>
      </c>
      <c r="P183" s="7">
        <v>70.900000000000006</v>
      </c>
      <c r="Q183" s="7">
        <v>3.8</v>
      </c>
    </row>
    <row r="184" spans="1:17">
      <c r="A184" s="2">
        <v>2132</v>
      </c>
      <c r="B184" s="7">
        <v>63.3</v>
      </c>
      <c r="C184" s="7">
        <v>11.4</v>
      </c>
      <c r="D184" s="7">
        <v>26.8</v>
      </c>
      <c r="E184" s="7">
        <v>4.2</v>
      </c>
      <c r="F184" s="7">
        <v>15.3</v>
      </c>
      <c r="G184" s="7">
        <v>12.6</v>
      </c>
      <c r="H184" s="7">
        <v>123.5</v>
      </c>
      <c r="I184" s="7">
        <v>40.299999999999997</v>
      </c>
      <c r="J184" s="7">
        <v>22</v>
      </c>
      <c r="K184" s="7">
        <v>104.4</v>
      </c>
      <c r="L184" s="7">
        <v>60.5</v>
      </c>
      <c r="M184" s="7">
        <v>103.8</v>
      </c>
      <c r="N184" s="7">
        <v>149.1</v>
      </c>
      <c r="O184" s="7">
        <v>47.2</v>
      </c>
      <c r="P184" s="7">
        <v>71.2</v>
      </c>
      <c r="Q184" s="7">
        <v>3.8</v>
      </c>
    </row>
    <row r="185" spans="1:17">
      <c r="A185" s="2">
        <v>2133</v>
      </c>
      <c r="B185" s="7">
        <v>63.6</v>
      </c>
      <c r="C185" s="7">
        <v>11.4</v>
      </c>
      <c r="D185" s="7">
        <v>26.9</v>
      </c>
      <c r="E185" s="7">
        <v>4.2</v>
      </c>
      <c r="F185" s="7">
        <v>15.4</v>
      </c>
      <c r="G185" s="7">
        <v>12.7</v>
      </c>
      <c r="H185" s="7">
        <v>124</v>
      </c>
      <c r="I185" s="7">
        <v>40.4</v>
      </c>
      <c r="J185" s="7">
        <v>22.1</v>
      </c>
      <c r="K185" s="7">
        <v>104.8</v>
      </c>
      <c r="L185" s="7">
        <v>60.8</v>
      </c>
      <c r="M185" s="7">
        <v>104.2</v>
      </c>
      <c r="N185" s="7">
        <v>149.6</v>
      </c>
      <c r="O185" s="7">
        <v>47.4</v>
      </c>
      <c r="P185" s="7">
        <v>71.400000000000006</v>
      </c>
      <c r="Q185" s="7">
        <v>3.8</v>
      </c>
    </row>
    <row r="186" spans="1:17">
      <c r="A186" s="2">
        <v>2134</v>
      </c>
      <c r="B186" s="7">
        <v>63.8</v>
      </c>
      <c r="C186" s="7">
        <v>11.5</v>
      </c>
      <c r="D186" s="7">
        <v>27</v>
      </c>
      <c r="E186" s="7">
        <v>4.2</v>
      </c>
      <c r="F186" s="7">
        <v>15.4</v>
      </c>
      <c r="G186" s="7">
        <v>12.7</v>
      </c>
      <c r="H186" s="7">
        <v>124.4</v>
      </c>
      <c r="I186" s="7">
        <v>40.6</v>
      </c>
      <c r="J186" s="7">
        <v>22.2</v>
      </c>
      <c r="K186" s="7">
        <v>105.2</v>
      </c>
      <c r="L186" s="7">
        <v>61</v>
      </c>
      <c r="M186" s="7">
        <v>104.6</v>
      </c>
      <c r="N186" s="7">
        <v>150.19999999999999</v>
      </c>
      <c r="O186" s="7">
        <v>47.5</v>
      </c>
      <c r="P186" s="7">
        <v>71.7</v>
      </c>
      <c r="Q186" s="7">
        <v>3.8</v>
      </c>
    </row>
    <row r="187" spans="1:17">
      <c r="A187" s="2">
        <v>2135</v>
      </c>
      <c r="B187" s="7">
        <v>64.099999999999994</v>
      </c>
      <c r="C187" s="7">
        <v>11.5</v>
      </c>
      <c r="D187" s="7">
        <v>27.1</v>
      </c>
      <c r="E187" s="7">
        <v>4.2</v>
      </c>
      <c r="F187" s="7">
        <v>15.5</v>
      </c>
      <c r="G187" s="7">
        <v>12.7</v>
      </c>
      <c r="H187" s="7">
        <v>124.9</v>
      </c>
      <c r="I187" s="7">
        <v>40.700000000000003</v>
      </c>
      <c r="J187" s="7">
        <v>22.3</v>
      </c>
      <c r="K187" s="7">
        <v>105.6</v>
      </c>
      <c r="L187" s="7">
        <v>61.2</v>
      </c>
      <c r="M187" s="7">
        <v>105</v>
      </c>
      <c r="N187" s="7">
        <v>150.69999999999999</v>
      </c>
      <c r="O187" s="7">
        <v>47.7</v>
      </c>
      <c r="P187" s="7">
        <v>72</v>
      </c>
      <c r="Q187" s="7">
        <v>3.8</v>
      </c>
    </row>
    <row r="188" spans="1:17">
      <c r="A188" s="2">
        <v>2136</v>
      </c>
      <c r="B188" s="7">
        <v>64.3</v>
      </c>
      <c r="C188" s="7">
        <v>11.6</v>
      </c>
      <c r="D188" s="7">
        <v>27.2</v>
      </c>
      <c r="E188" s="7">
        <v>4.3</v>
      </c>
      <c r="F188" s="7">
        <v>15.5</v>
      </c>
      <c r="G188" s="7">
        <v>12.8</v>
      </c>
      <c r="H188" s="7">
        <v>125.4</v>
      </c>
      <c r="I188" s="7">
        <v>40.9</v>
      </c>
      <c r="J188" s="7">
        <v>22.3</v>
      </c>
      <c r="K188" s="7">
        <v>106</v>
      </c>
      <c r="L188" s="7">
        <v>61.4</v>
      </c>
      <c r="M188" s="7">
        <v>105.4</v>
      </c>
      <c r="N188" s="7">
        <v>151.30000000000001</v>
      </c>
      <c r="O188" s="7">
        <v>47.9</v>
      </c>
      <c r="P188" s="7">
        <v>72.2</v>
      </c>
      <c r="Q188" s="7">
        <v>3.9</v>
      </c>
    </row>
    <row r="189" spans="1:17">
      <c r="A189" s="2">
        <v>2137</v>
      </c>
      <c r="B189" s="7">
        <v>64.5</v>
      </c>
      <c r="C189" s="7">
        <v>11.6</v>
      </c>
      <c r="D189" s="7">
        <v>27.3</v>
      </c>
      <c r="E189" s="7">
        <v>4.3</v>
      </c>
      <c r="F189" s="7">
        <v>15.6</v>
      </c>
      <c r="G189" s="7">
        <v>12.8</v>
      </c>
      <c r="H189" s="7">
        <v>125.8</v>
      </c>
      <c r="I189" s="7">
        <v>41</v>
      </c>
      <c r="J189" s="7">
        <v>22.4</v>
      </c>
      <c r="K189" s="7">
        <v>106.4</v>
      </c>
      <c r="L189" s="7">
        <v>61.7</v>
      </c>
      <c r="M189" s="7">
        <v>105.8</v>
      </c>
      <c r="N189" s="7">
        <v>151.9</v>
      </c>
      <c r="O189" s="7">
        <v>48.1</v>
      </c>
      <c r="P189" s="7">
        <v>72.5</v>
      </c>
      <c r="Q189" s="7">
        <v>3.9</v>
      </c>
    </row>
    <row r="190" spans="1:17">
      <c r="A190" s="2">
        <v>2138</v>
      </c>
      <c r="B190" s="7">
        <v>64.8</v>
      </c>
      <c r="C190" s="7">
        <v>11.6</v>
      </c>
      <c r="D190" s="7">
        <v>27.4</v>
      </c>
      <c r="E190" s="7">
        <v>4.3</v>
      </c>
      <c r="F190" s="7">
        <v>15.6</v>
      </c>
      <c r="G190" s="7">
        <v>12.9</v>
      </c>
      <c r="H190" s="7">
        <v>126.3</v>
      </c>
      <c r="I190" s="7">
        <v>41.2</v>
      </c>
      <c r="J190" s="7">
        <v>22.5</v>
      </c>
      <c r="K190" s="7">
        <v>106.7</v>
      </c>
      <c r="L190" s="7">
        <v>61.9</v>
      </c>
      <c r="M190" s="7">
        <v>106.2</v>
      </c>
      <c r="N190" s="7">
        <v>152.4</v>
      </c>
      <c r="O190" s="7">
        <v>48.2</v>
      </c>
      <c r="P190" s="7">
        <v>72.8</v>
      </c>
      <c r="Q190" s="7">
        <v>3.9</v>
      </c>
    </row>
    <row r="191" spans="1:17">
      <c r="A191" s="2">
        <v>2139</v>
      </c>
      <c r="B191" s="7">
        <v>65</v>
      </c>
      <c r="C191" s="7">
        <v>11.7</v>
      </c>
      <c r="D191" s="7">
        <v>27.5</v>
      </c>
      <c r="E191" s="7">
        <v>4.3</v>
      </c>
      <c r="F191" s="7">
        <v>15.7</v>
      </c>
      <c r="G191" s="7">
        <v>12.9</v>
      </c>
      <c r="H191" s="7">
        <v>126.7</v>
      </c>
      <c r="I191" s="7">
        <v>41.3</v>
      </c>
      <c r="J191" s="7">
        <v>22.6</v>
      </c>
      <c r="K191" s="7">
        <v>107.1</v>
      </c>
      <c r="L191" s="7">
        <v>62.1</v>
      </c>
      <c r="M191" s="7">
        <v>106.5</v>
      </c>
      <c r="N191" s="7">
        <v>153</v>
      </c>
      <c r="O191" s="7">
        <v>48.4</v>
      </c>
      <c r="P191" s="7">
        <v>73</v>
      </c>
      <c r="Q191" s="7">
        <v>3.9</v>
      </c>
    </row>
    <row r="192" spans="1:17">
      <c r="A192" s="2">
        <v>2140</v>
      </c>
      <c r="B192" s="7">
        <v>65.2</v>
      </c>
      <c r="C192" s="7">
        <v>11.7</v>
      </c>
      <c r="D192" s="7">
        <v>27.6</v>
      </c>
      <c r="E192" s="7">
        <v>4.3</v>
      </c>
      <c r="F192" s="7">
        <v>15.8</v>
      </c>
      <c r="G192" s="7">
        <v>13</v>
      </c>
      <c r="H192" s="7">
        <v>127.2</v>
      </c>
      <c r="I192" s="7">
        <v>41.5</v>
      </c>
      <c r="J192" s="7">
        <v>22.7</v>
      </c>
      <c r="K192" s="7">
        <v>107.5</v>
      </c>
      <c r="L192" s="7">
        <v>62.3</v>
      </c>
      <c r="M192" s="7">
        <v>106.9</v>
      </c>
      <c r="N192" s="7">
        <v>153.5</v>
      </c>
      <c r="O192" s="7">
        <v>48.6</v>
      </c>
      <c r="P192" s="7">
        <v>73.3</v>
      </c>
      <c r="Q192" s="7">
        <v>3.9</v>
      </c>
    </row>
    <row r="193" spans="1:17">
      <c r="A193" s="2">
        <v>2141</v>
      </c>
      <c r="B193" s="7">
        <v>65.5</v>
      </c>
      <c r="C193" s="7">
        <v>11.8</v>
      </c>
      <c r="D193" s="7">
        <v>27.7</v>
      </c>
      <c r="E193" s="7">
        <v>4.3</v>
      </c>
      <c r="F193" s="7">
        <v>15.8</v>
      </c>
      <c r="G193" s="7">
        <v>13</v>
      </c>
      <c r="H193" s="7">
        <v>127.7</v>
      </c>
      <c r="I193" s="7">
        <v>41.6</v>
      </c>
      <c r="J193" s="7">
        <v>22.8</v>
      </c>
      <c r="K193" s="7">
        <v>107.9</v>
      </c>
      <c r="L193" s="7">
        <v>62.6</v>
      </c>
      <c r="M193" s="7">
        <v>107.3</v>
      </c>
      <c r="N193" s="7">
        <v>154.1</v>
      </c>
      <c r="O193" s="7">
        <v>48.8</v>
      </c>
      <c r="P193" s="7">
        <v>73.599999999999994</v>
      </c>
      <c r="Q193" s="7">
        <v>3.9</v>
      </c>
    </row>
    <row r="194" spans="1:17">
      <c r="A194" s="2">
        <v>2142</v>
      </c>
      <c r="B194" s="7">
        <v>65.7</v>
      </c>
      <c r="C194" s="7">
        <v>11.8</v>
      </c>
      <c r="D194" s="7">
        <v>27.8</v>
      </c>
      <c r="E194" s="7">
        <v>4.4000000000000004</v>
      </c>
      <c r="F194" s="7">
        <v>15.9</v>
      </c>
      <c r="G194" s="7">
        <v>13.1</v>
      </c>
      <c r="H194" s="7">
        <v>128.1</v>
      </c>
      <c r="I194" s="7">
        <v>41.8</v>
      </c>
      <c r="J194" s="7">
        <v>22.8</v>
      </c>
      <c r="K194" s="7">
        <v>108.3</v>
      </c>
      <c r="L194" s="7">
        <v>62.8</v>
      </c>
      <c r="M194" s="7">
        <v>107.7</v>
      </c>
      <c r="N194" s="7">
        <v>154.6</v>
      </c>
      <c r="O194" s="7">
        <v>48.9</v>
      </c>
      <c r="P194" s="7">
        <v>73.8</v>
      </c>
      <c r="Q194" s="7">
        <v>3.9</v>
      </c>
    </row>
    <row r="195" spans="1:17">
      <c r="A195" s="2">
        <v>2143</v>
      </c>
      <c r="B195" s="7">
        <v>65.900000000000006</v>
      </c>
      <c r="C195" s="7">
        <v>11.9</v>
      </c>
      <c r="D195" s="7">
        <v>27.9</v>
      </c>
      <c r="E195" s="7">
        <v>4.4000000000000004</v>
      </c>
      <c r="F195" s="7">
        <v>15.9</v>
      </c>
      <c r="G195" s="7">
        <v>13.1</v>
      </c>
      <c r="H195" s="7">
        <v>128.6</v>
      </c>
      <c r="I195" s="7">
        <v>41.9</v>
      </c>
      <c r="J195" s="7">
        <v>22.9</v>
      </c>
      <c r="K195" s="7">
        <v>108.7</v>
      </c>
      <c r="L195" s="7">
        <v>63</v>
      </c>
      <c r="M195" s="7">
        <v>108.1</v>
      </c>
      <c r="N195" s="7">
        <v>155.19999999999999</v>
      </c>
      <c r="O195" s="7">
        <v>49.1</v>
      </c>
      <c r="P195" s="7">
        <v>74.099999999999994</v>
      </c>
      <c r="Q195" s="7">
        <v>4</v>
      </c>
    </row>
    <row r="196" spans="1:17">
      <c r="A196" s="2">
        <v>2144</v>
      </c>
      <c r="B196" s="7">
        <v>66.2</v>
      </c>
      <c r="C196" s="7">
        <v>11.9</v>
      </c>
      <c r="D196" s="7">
        <v>28</v>
      </c>
      <c r="E196" s="7">
        <v>4.4000000000000004</v>
      </c>
      <c r="F196" s="7">
        <v>16</v>
      </c>
      <c r="G196" s="7">
        <v>13.2</v>
      </c>
      <c r="H196" s="7">
        <v>129</v>
      </c>
      <c r="I196" s="7">
        <v>42.1</v>
      </c>
      <c r="J196" s="7">
        <v>23</v>
      </c>
      <c r="K196" s="7">
        <v>109.1</v>
      </c>
      <c r="L196" s="7">
        <v>63.2</v>
      </c>
      <c r="M196" s="7">
        <v>108.5</v>
      </c>
      <c r="N196" s="7">
        <v>155.69999999999999</v>
      </c>
      <c r="O196" s="7">
        <v>49.3</v>
      </c>
      <c r="P196" s="7">
        <v>74.400000000000006</v>
      </c>
      <c r="Q196" s="7">
        <v>4</v>
      </c>
    </row>
    <row r="197" spans="1:17">
      <c r="A197" s="2">
        <v>2145</v>
      </c>
      <c r="B197" s="7">
        <v>66.400000000000006</v>
      </c>
      <c r="C197" s="7">
        <v>11.9</v>
      </c>
      <c r="D197" s="7">
        <v>28.1</v>
      </c>
      <c r="E197" s="7">
        <v>4.4000000000000004</v>
      </c>
      <c r="F197" s="7">
        <v>16</v>
      </c>
      <c r="G197" s="7">
        <v>13.2</v>
      </c>
      <c r="H197" s="7">
        <v>129.5</v>
      </c>
      <c r="I197" s="7">
        <v>42.2</v>
      </c>
      <c r="J197" s="7">
        <v>23.1</v>
      </c>
      <c r="K197" s="7">
        <v>109.5</v>
      </c>
      <c r="L197" s="7">
        <v>63.5</v>
      </c>
      <c r="M197" s="7">
        <v>108.9</v>
      </c>
      <c r="N197" s="7">
        <v>156.30000000000001</v>
      </c>
      <c r="O197" s="7">
        <v>49.5</v>
      </c>
      <c r="P197" s="7">
        <v>74.599999999999994</v>
      </c>
      <c r="Q197" s="7">
        <v>4</v>
      </c>
    </row>
    <row r="198" spans="1:17">
      <c r="A198" s="2">
        <v>2146</v>
      </c>
      <c r="B198" s="7">
        <v>66.7</v>
      </c>
      <c r="C198" s="7">
        <v>12</v>
      </c>
      <c r="D198" s="7">
        <v>28.2</v>
      </c>
      <c r="E198" s="7">
        <v>4.4000000000000004</v>
      </c>
      <c r="F198" s="7">
        <v>16.100000000000001</v>
      </c>
      <c r="G198" s="7">
        <v>13.3</v>
      </c>
      <c r="H198" s="7">
        <v>130</v>
      </c>
      <c r="I198" s="7">
        <v>42.4</v>
      </c>
      <c r="J198" s="7">
        <v>23.2</v>
      </c>
      <c r="K198" s="7">
        <v>109.9</v>
      </c>
      <c r="L198" s="7">
        <v>63.7</v>
      </c>
      <c r="M198" s="7">
        <v>109.3</v>
      </c>
      <c r="N198" s="7">
        <v>156.9</v>
      </c>
      <c r="O198" s="7">
        <v>49.6</v>
      </c>
      <c r="P198" s="7">
        <v>74.900000000000006</v>
      </c>
      <c r="Q198" s="7">
        <v>4</v>
      </c>
    </row>
    <row r="199" spans="1:17">
      <c r="A199" s="2">
        <v>2147</v>
      </c>
      <c r="B199" s="7">
        <v>66.900000000000006</v>
      </c>
      <c r="C199" s="7">
        <v>12</v>
      </c>
      <c r="D199" s="7">
        <v>28.3</v>
      </c>
      <c r="E199" s="7">
        <v>4.4000000000000004</v>
      </c>
      <c r="F199" s="7">
        <v>16.100000000000001</v>
      </c>
      <c r="G199" s="7">
        <v>13.3</v>
      </c>
      <c r="H199" s="7">
        <v>130.4</v>
      </c>
      <c r="I199" s="7">
        <v>42.5</v>
      </c>
      <c r="J199" s="7">
        <v>23.3</v>
      </c>
      <c r="K199" s="7">
        <v>110.2</v>
      </c>
      <c r="L199" s="7">
        <v>63.9</v>
      </c>
      <c r="M199" s="7">
        <v>109.6</v>
      </c>
      <c r="N199" s="7">
        <v>157.4</v>
      </c>
      <c r="O199" s="7">
        <v>49.8</v>
      </c>
      <c r="P199" s="7">
        <v>75.2</v>
      </c>
      <c r="Q199" s="7">
        <v>4</v>
      </c>
    </row>
    <row r="200" spans="1:17">
      <c r="A200" s="2">
        <v>2148</v>
      </c>
      <c r="B200" s="7">
        <v>67.099999999999994</v>
      </c>
      <c r="C200" s="7">
        <v>12.1</v>
      </c>
      <c r="D200" s="7">
        <v>28.4</v>
      </c>
      <c r="E200" s="7">
        <v>4.4000000000000004</v>
      </c>
      <c r="F200" s="7">
        <v>16.2</v>
      </c>
      <c r="G200" s="7">
        <v>13.4</v>
      </c>
      <c r="H200" s="7">
        <v>130.9</v>
      </c>
      <c r="I200" s="7">
        <v>42.7</v>
      </c>
      <c r="J200" s="7">
        <v>23.3</v>
      </c>
      <c r="K200" s="7">
        <v>110.6</v>
      </c>
      <c r="L200" s="7">
        <v>64.099999999999994</v>
      </c>
      <c r="M200" s="7">
        <v>110</v>
      </c>
      <c r="N200" s="7">
        <v>158</v>
      </c>
      <c r="O200" s="7">
        <v>50</v>
      </c>
      <c r="P200" s="7">
        <v>75.400000000000006</v>
      </c>
      <c r="Q200" s="7">
        <v>4</v>
      </c>
    </row>
    <row r="201" spans="1:17">
      <c r="A201" s="2">
        <v>2149</v>
      </c>
      <c r="B201" s="7">
        <v>67.400000000000006</v>
      </c>
      <c r="C201" s="7">
        <v>12.1</v>
      </c>
      <c r="D201" s="7">
        <v>28.5</v>
      </c>
      <c r="E201" s="7">
        <v>4.5</v>
      </c>
      <c r="F201" s="7">
        <v>16.3</v>
      </c>
      <c r="G201" s="7">
        <v>13.4</v>
      </c>
      <c r="H201" s="7">
        <v>131.30000000000001</v>
      </c>
      <c r="I201" s="7">
        <v>42.8</v>
      </c>
      <c r="J201" s="7">
        <v>23.4</v>
      </c>
      <c r="K201" s="7">
        <v>111</v>
      </c>
      <c r="L201" s="7">
        <v>64.400000000000006</v>
      </c>
      <c r="M201" s="7">
        <v>110.4</v>
      </c>
      <c r="N201" s="7">
        <v>158.5</v>
      </c>
      <c r="O201" s="7">
        <v>50.2</v>
      </c>
      <c r="P201" s="7">
        <v>75.7</v>
      </c>
      <c r="Q201" s="7">
        <v>4</v>
      </c>
    </row>
    <row r="202" spans="1:17">
      <c r="A202" s="2">
        <v>2150</v>
      </c>
      <c r="B202" s="7">
        <v>67.599999999999994</v>
      </c>
      <c r="C202" s="7">
        <v>12.2</v>
      </c>
      <c r="D202" s="7">
        <v>28.6</v>
      </c>
      <c r="E202" s="7">
        <v>4.5</v>
      </c>
      <c r="F202" s="7">
        <v>16.3</v>
      </c>
      <c r="G202" s="7">
        <v>13.5</v>
      </c>
      <c r="H202" s="7">
        <v>131.80000000000001</v>
      </c>
      <c r="I202" s="7">
        <v>43</v>
      </c>
      <c r="J202" s="7">
        <v>23.5</v>
      </c>
      <c r="K202" s="7">
        <v>111.4</v>
      </c>
      <c r="L202" s="7">
        <v>64.599999999999994</v>
      </c>
      <c r="M202" s="7">
        <v>110.8</v>
      </c>
      <c r="N202" s="7">
        <v>159.1</v>
      </c>
      <c r="O202" s="7">
        <v>50.4</v>
      </c>
      <c r="P202" s="7">
        <v>76</v>
      </c>
      <c r="Q202" s="7">
        <v>4</v>
      </c>
    </row>
    <row r="203" spans="1:17">
      <c r="A203" s="2">
        <v>2151</v>
      </c>
      <c r="B203" s="7">
        <v>67.8</v>
      </c>
      <c r="C203" s="7">
        <v>12.2</v>
      </c>
      <c r="D203" s="7">
        <v>28.7</v>
      </c>
      <c r="E203" s="7">
        <v>4.5</v>
      </c>
      <c r="F203" s="7">
        <v>16.399999999999999</v>
      </c>
      <c r="G203" s="7">
        <v>13.5</v>
      </c>
      <c r="H203" s="7">
        <v>132.30000000000001</v>
      </c>
      <c r="I203" s="7">
        <v>43.1</v>
      </c>
      <c r="J203" s="7">
        <v>23.6</v>
      </c>
      <c r="K203" s="7">
        <v>111.8</v>
      </c>
      <c r="L203" s="7">
        <v>64.8</v>
      </c>
      <c r="M203" s="7">
        <v>111.2</v>
      </c>
      <c r="N203" s="7">
        <v>159.6</v>
      </c>
      <c r="O203" s="7">
        <v>50.5</v>
      </c>
      <c r="P203" s="7">
        <v>76.2</v>
      </c>
      <c r="Q203" s="7">
        <v>4.0999999999999996</v>
      </c>
    </row>
    <row r="204" spans="1:17">
      <c r="A204" s="2">
        <v>2152</v>
      </c>
      <c r="B204" s="7">
        <v>68.099999999999994</v>
      </c>
      <c r="C204" s="7">
        <v>12.2</v>
      </c>
      <c r="D204" s="7">
        <v>28.7</v>
      </c>
      <c r="E204" s="7">
        <v>4.5</v>
      </c>
      <c r="F204" s="7">
        <v>16.399999999999999</v>
      </c>
      <c r="G204" s="7">
        <v>13.5</v>
      </c>
      <c r="H204" s="7">
        <v>132.69999999999999</v>
      </c>
      <c r="I204" s="7">
        <v>43.3</v>
      </c>
      <c r="J204" s="7">
        <v>23.7</v>
      </c>
      <c r="K204" s="7">
        <v>112.2</v>
      </c>
      <c r="L204" s="7">
        <v>65</v>
      </c>
      <c r="M204" s="7">
        <v>111.6</v>
      </c>
      <c r="N204" s="7">
        <v>160.19999999999999</v>
      </c>
      <c r="O204" s="7">
        <v>50.7</v>
      </c>
      <c r="P204" s="7">
        <v>76.5</v>
      </c>
      <c r="Q204" s="7">
        <v>4.0999999999999996</v>
      </c>
    </row>
    <row r="205" spans="1:17">
      <c r="A205" s="2">
        <v>2153</v>
      </c>
      <c r="B205" s="7">
        <v>68.3</v>
      </c>
      <c r="C205" s="7">
        <v>12.3</v>
      </c>
      <c r="D205" s="7">
        <v>28.8</v>
      </c>
      <c r="E205" s="7">
        <v>4.5</v>
      </c>
      <c r="F205" s="7">
        <v>16.5</v>
      </c>
      <c r="G205" s="7">
        <v>13.6</v>
      </c>
      <c r="H205" s="7">
        <v>133.19999999999999</v>
      </c>
      <c r="I205" s="7">
        <v>43.4</v>
      </c>
      <c r="J205" s="7">
        <v>23.7</v>
      </c>
      <c r="K205" s="7">
        <v>112.6</v>
      </c>
      <c r="L205" s="7">
        <v>65.3</v>
      </c>
      <c r="M205" s="7">
        <v>112</v>
      </c>
      <c r="N205" s="7">
        <v>160.69999999999999</v>
      </c>
      <c r="O205" s="7">
        <v>50.9</v>
      </c>
      <c r="P205" s="7">
        <v>76.7</v>
      </c>
      <c r="Q205" s="7">
        <v>4.0999999999999996</v>
      </c>
    </row>
    <row r="206" spans="1:17">
      <c r="A206" s="2">
        <v>2154</v>
      </c>
      <c r="B206" s="7">
        <v>68.5</v>
      </c>
      <c r="C206" s="7">
        <v>12.3</v>
      </c>
      <c r="D206" s="7">
        <v>28.9</v>
      </c>
      <c r="E206" s="7">
        <v>4.5</v>
      </c>
      <c r="F206" s="7">
        <v>16.5</v>
      </c>
      <c r="G206" s="7">
        <v>13.6</v>
      </c>
      <c r="H206" s="7">
        <v>133.6</v>
      </c>
      <c r="I206" s="7">
        <v>43.6</v>
      </c>
      <c r="J206" s="7">
        <v>23.8</v>
      </c>
      <c r="K206" s="7">
        <v>113</v>
      </c>
      <c r="L206" s="7">
        <v>65.5</v>
      </c>
      <c r="M206" s="7">
        <v>112.4</v>
      </c>
      <c r="N206" s="7">
        <v>161.30000000000001</v>
      </c>
      <c r="O206" s="7">
        <v>51.1</v>
      </c>
      <c r="P206" s="7">
        <v>77</v>
      </c>
      <c r="Q206" s="7">
        <v>4.0999999999999996</v>
      </c>
    </row>
    <row r="207" spans="1:17">
      <c r="A207" s="2">
        <v>2155</v>
      </c>
      <c r="B207" s="7">
        <v>68.8</v>
      </c>
      <c r="C207" s="7">
        <v>12.4</v>
      </c>
      <c r="D207" s="7">
        <v>29</v>
      </c>
      <c r="E207" s="7">
        <v>4.5999999999999996</v>
      </c>
      <c r="F207" s="7">
        <v>16.600000000000001</v>
      </c>
      <c r="G207" s="7">
        <v>13.7</v>
      </c>
      <c r="H207" s="7">
        <v>134.1</v>
      </c>
      <c r="I207" s="7">
        <v>43.7</v>
      </c>
      <c r="J207" s="7">
        <v>23.9</v>
      </c>
      <c r="K207" s="7">
        <v>113.4</v>
      </c>
      <c r="L207" s="7">
        <v>65.7</v>
      </c>
      <c r="M207" s="7">
        <v>112.7</v>
      </c>
      <c r="N207" s="7">
        <v>161.9</v>
      </c>
      <c r="O207" s="7">
        <v>51.2</v>
      </c>
      <c r="P207" s="7">
        <v>77.3</v>
      </c>
      <c r="Q207" s="7">
        <v>4.0999999999999996</v>
      </c>
    </row>
    <row r="208" spans="1:17">
      <c r="A208" s="2">
        <v>2156</v>
      </c>
      <c r="B208" s="7">
        <v>69</v>
      </c>
      <c r="C208" s="7">
        <v>12.4</v>
      </c>
      <c r="D208" s="7">
        <v>29.1</v>
      </c>
      <c r="E208" s="7">
        <v>4.5999999999999996</v>
      </c>
      <c r="F208" s="7">
        <v>16.7</v>
      </c>
      <c r="G208" s="7">
        <v>13.7</v>
      </c>
      <c r="H208" s="7">
        <v>134.6</v>
      </c>
      <c r="I208" s="7">
        <v>43.9</v>
      </c>
      <c r="J208" s="7">
        <v>24</v>
      </c>
      <c r="K208" s="7">
        <v>113.7</v>
      </c>
      <c r="L208" s="7">
        <v>65.900000000000006</v>
      </c>
      <c r="M208" s="7">
        <v>113.1</v>
      </c>
      <c r="N208" s="7">
        <v>162.4</v>
      </c>
      <c r="O208" s="7">
        <v>51.4</v>
      </c>
      <c r="P208" s="7">
        <v>77.5</v>
      </c>
      <c r="Q208" s="7">
        <v>4.0999999999999996</v>
      </c>
    </row>
    <row r="209" spans="1:17">
      <c r="A209" s="2">
        <v>2157</v>
      </c>
      <c r="B209" s="7">
        <v>69.2</v>
      </c>
      <c r="C209" s="7">
        <v>12.5</v>
      </c>
      <c r="D209" s="7">
        <v>29.2</v>
      </c>
      <c r="E209" s="7">
        <v>4.5999999999999996</v>
      </c>
      <c r="F209" s="7">
        <v>16.7</v>
      </c>
      <c r="G209" s="7">
        <v>13.8</v>
      </c>
      <c r="H209" s="7">
        <v>135</v>
      </c>
      <c r="I209" s="7">
        <v>44</v>
      </c>
      <c r="J209" s="7">
        <v>24.1</v>
      </c>
      <c r="K209" s="7">
        <v>114.1</v>
      </c>
      <c r="L209" s="7">
        <v>66.2</v>
      </c>
      <c r="M209" s="7">
        <v>113.5</v>
      </c>
      <c r="N209" s="7">
        <v>163</v>
      </c>
      <c r="O209" s="7">
        <v>51.6</v>
      </c>
      <c r="P209" s="7">
        <v>77.8</v>
      </c>
      <c r="Q209" s="7">
        <v>4.0999999999999996</v>
      </c>
    </row>
    <row r="210" spans="1:17">
      <c r="A210" s="2">
        <v>2158</v>
      </c>
      <c r="B210" s="7">
        <v>69.5</v>
      </c>
      <c r="C210" s="7">
        <v>12.5</v>
      </c>
      <c r="D210" s="7">
        <v>29.3</v>
      </c>
      <c r="E210" s="7">
        <v>4.5999999999999996</v>
      </c>
      <c r="F210" s="7">
        <v>16.8</v>
      </c>
      <c r="G210" s="7">
        <v>13.8</v>
      </c>
      <c r="H210" s="7">
        <v>135.5</v>
      </c>
      <c r="I210" s="7">
        <v>44.2</v>
      </c>
      <c r="J210" s="7">
        <v>24.2</v>
      </c>
      <c r="K210" s="7">
        <v>114.5</v>
      </c>
      <c r="L210" s="7">
        <v>66.400000000000006</v>
      </c>
      <c r="M210" s="7">
        <v>113.9</v>
      </c>
      <c r="N210" s="7">
        <v>163.5</v>
      </c>
      <c r="O210" s="7">
        <v>51.8</v>
      </c>
      <c r="P210" s="7">
        <v>78.099999999999994</v>
      </c>
      <c r="Q210" s="7">
        <v>4.2</v>
      </c>
    </row>
    <row r="211" spans="1:17">
      <c r="A211" s="2">
        <v>2159</v>
      </c>
      <c r="B211" s="7">
        <v>69.7</v>
      </c>
      <c r="C211" s="7">
        <v>12.5</v>
      </c>
      <c r="D211" s="7">
        <v>29.4</v>
      </c>
      <c r="E211" s="7">
        <v>4.5999999999999996</v>
      </c>
      <c r="F211" s="7">
        <v>16.8</v>
      </c>
      <c r="G211" s="7">
        <v>13.9</v>
      </c>
      <c r="H211" s="7">
        <v>135.9</v>
      </c>
      <c r="I211" s="7">
        <v>44.3</v>
      </c>
      <c r="J211" s="7">
        <v>24.2</v>
      </c>
      <c r="K211" s="7">
        <v>114.9</v>
      </c>
      <c r="L211" s="7">
        <v>66.599999999999994</v>
      </c>
      <c r="M211" s="7">
        <v>114.3</v>
      </c>
      <c r="N211" s="7">
        <v>164.1</v>
      </c>
      <c r="O211" s="7">
        <v>51.9</v>
      </c>
      <c r="P211" s="7">
        <v>78.3</v>
      </c>
      <c r="Q211" s="7">
        <v>4.2</v>
      </c>
    </row>
    <row r="212" spans="1:17">
      <c r="A212" s="2">
        <v>2160</v>
      </c>
      <c r="B212" s="7">
        <v>70</v>
      </c>
      <c r="C212" s="7">
        <v>12.6</v>
      </c>
      <c r="D212" s="7">
        <v>29.5</v>
      </c>
      <c r="E212" s="7">
        <v>4.5999999999999996</v>
      </c>
      <c r="F212" s="7">
        <v>16.899999999999999</v>
      </c>
      <c r="G212" s="7">
        <v>13.9</v>
      </c>
      <c r="H212" s="7">
        <v>136.4</v>
      </c>
      <c r="I212" s="7">
        <v>44.5</v>
      </c>
      <c r="J212" s="7">
        <v>24.3</v>
      </c>
      <c r="K212" s="7">
        <v>115.3</v>
      </c>
      <c r="L212" s="7">
        <v>66.900000000000006</v>
      </c>
      <c r="M212" s="7">
        <v>114.7</v>
      </c>
      <c r="N212" s="7">
        <v>164.6</v>
      </c>
      <c r="O212" s="7">
        <v>52.1</v>
      </c>
      <c r="P212" s="7">
        <v>78.599999999999994</v>
      </c>
      <c r="Q212" s="7">
        <v>4.2</v>
      </c>
    </row>
    <row r="213" spans="1:17">
      <c r="A213" s="2">
        <v>2161</v>
      </c>
      <c r="B213" s="7">
        <v>70.2</v>
      </c>
      <c r="C213" s="7">
        <v>12.6</v>
      </c>
      <c r="D213" s="7">
        <v>29.6</v>
      </c>
      <c r="E213" s="7">
        <v>4.5999999999999996</v>
      </c>
      <c r="F213" s="7">
        <v>16.899999999999999</v>
      </c>
      <c r="G213" s="7">
        <v>14</v>
      </c>
      <c r="H213" s="7">
        <v>136.9</v>
      </c>
      <c r="I213" s="7">
        <v>44.6</v>
      </c>
      <c r="J213" s="7">
        <v>24.4</v>
      </c>
      <c r="K213" s="7">
        <v>115.7</v>
      </c>
      <c r="L213" s="7">
        <v>67.099999999999994</v>
      </c>
      <c r="M213" s="7">
        <v>115.1</v>
      </c>
      <c r="N213" s="7">
        <v>165.2</v>
      </c>
      <c r="O213" s="7">
        <v>52.3</v>
      </c>
      <c r="P213" s="7">
        <v>78.900000000000006</v>
      </c>
      <c r="Q213" s="7">
        <v>4.2</v>
      </c>
    </row>
    <row r="214" spans="1:17">
      <c r="A214" s="2">
        <v>2162</v>
      </c>
      <c r="B214" s="7">
        <v>70.400000000000006</v>
      </c>
      <c r="C214" s="7">
        <v>12.7</v>
      </c>
      <c r="D214" s="7">
        <v>29.7</v>
      </c>
      <c r="E214" s="7">
        <v>4.7</v>
      </c>
      <c r="F214" s="7">
        <v>17</v>
      </c>
      <c r="G214" s="7">
        <v>14</v>
      </c>
      <c r="H214" s="7">
        <v>137.30000000000001</v>
      </c>
      <c r="I214" s="7">
        <v>44.8</v>
      </c>
      <c r="J214" s="7">
        <v>24.5</v>
      </c>
      <c r="K214" s="7">
        <v>116.1</v>
      </c>
      <c r="L214" s="7">
        <v>67.3</v>
      </c>
      <c r="M214" s="7">
        <v>115.4</v>
      </c>
      <c r="N214" s="7">
        <v>165.7</v>
      </c>
      <c r="O214" s="7">
        <v>52.5</v>
      </c>
      <c r="P214" s="7">
        <v>79.099999999999994</v>
      </c>
      <c r="Q214" s="7">
        <v>4.2</v>
      </c>
    </row>
    <row r="215" spans="1:17">
      <c r="A215" s="2">
        <v>2163</v>
      </c>
      <c r="B215" s="7">
        <v>70.7</v>
      </c>
      <c r="C215" s="7">
        <v>12.7</v>
      </c>
      <c r="D215" s="7">
        <v>29.8</v>
      </c>
      <c r="E215" s="7">
        <v>4.7</v>
      </c>
      <c r="F215" s="7">
        <v>17.100000000000001</v>
      </c>
      <c r="G215" s="7">
        <v>14.1</v>
      </c>
      <c r="H215" s="7">
        <v>137.80000000000001</v>
      </c>
      <c r="I215" s="7">
        <v>44.9</v>
      </c>
      <c r="J215" s="7">
        <v>24.6</v>
      </c>
      <c r="K215" s="7">
        <v>116.5</v>
      </c>
      <c r="L215" s="7">
        <v>67.5</v>
      </c>
      <c r="M215" s="7">
        <v>115.8</v>
      </c>
      <c r="N215" s="7">
        <v>166.3</v>
      </c>
      <c r="O215" s="7">
        <v>52.6</v>
      </c>
      <c r="P215" s="7">
        <v>79.400000000000006</v>
      </c>
      <c r="Q215" s="7">
        <v>4.2</v>
      </c>
    </row>
    <row r="216" spans="1:17">
      <c r="A216" s="2">
        <v>2164</v>
      </c>
      <c r="B216" s="7">
        <v>70.900000000000006</v>
      </c>
      <c r="C216" s="7">
        <v>12.8</v>
      </c>
      <c r="D216" s="7">
        <v>29.9</v>
      </c>
      <c r="E216" s="7">
        <v>4.7</v>
      </c>
      <c r="F216" s="7">
        <v>17.100000000000001</v>
      </c>
      <c r="G216" s="7">
        <v>14.1</v>
      </c>
      <c r="H216" s="7">
        <v>138.19999999999999</v>
      </c>
      <c r="I216" s="7">
        <v>45.1</v>
      </c>
      <c r="J216" s="7">
        <v>24.6</v>
      </c>
      <c r="K216" s="7">
        <v>116.9</v>
      </c>
      <c r="L216" s="7">
        <v>67.8</v>
      </c>
      <c r="M216" s="7">
        <v>116.2</v>
      </c>
      <c r="N216" s="7">
        <v>166.9</v>
      </c>
      <c r="O216" s="7">
        <v>52.8</v>
      </c>
      <c r="P216" s="7">
        <v>79.7</v>
      </c>
      <c r="Q216" s="7">
        <v>4.2</v>
      </c>
    </row>
    <row r="217" spans="1:17">
      <c r="A217" s="2">
        <v>2165</v>
      </c>
      <c r="B217" s="7">
        <v>71.099999999999994</v>
      </c>
      <c r="C217" s="7">
        <v>12.8</v>
      </c>
      <c r="D217" s="7">
        <v>30</v>
      </c>
      <c r="E217" s="7">
        <v>4.7</v>
      </c>
      <c r="F217" s="7">
        <v>17.2</v>
      </c>
      <c r="G217" s="7">
        <v>14.2</v>
      </c>
      <c r="H217" s="7">
        <v>138.69999999999999</v>
      </c>
      <c r="I217" s="7">
        <v>45.2</v>
      </c>
      <c r="J217" s="7">
        <v>24.7</v>
      </c>
      <c r="K217" s="7">
        <v>117.2</v>
      </c>
      <c r="L217" s="7">
        <v>68</v>
      </c>
      <c r="M217" s="7">
        <v>116.6</v>
      </c>
      <c r="N217" s="7">
        <v>167.4</v>
      </c>
      <c r="O217" s="7">
        <v>53</v>
      </c>
      <c r="P217" s="7">
        <v>79.900000000000006</v>
      </c>
      <c r="Q217" s="7">
        <v>4.3</v>
      </c>
    </row>
    <row r="218" spans="1:17">
      <c r="A218" s="2">
        <v>2166</v>
      </c>
      <c r="B218" s="7">
        <v>71.400000000000006</v>
      </c>
      <c r="C218" s="7">
        <v>12.8</v>
      </c>
      <c r="D218" s="7">
        <v>30.1</v>
      </c>
      <c r="E218" s="7">
        <v>4.7</v>
      </c>
      <c r="F218" s="7">
        <v>17.2</v>
      </c>
      <c r="G218" s="7">
        <v>14.2</v>
      </c>
      <c r="H218" s="7">
        <v>139.19999999999999</v>
      </c>
      <c r="I218" s="7">
        <v>45.4</v>
      </c>
      <c r="J218" s="7">
        <v>24.8</v>
      </c>
      <c r="K218" s="7">
        <v>117.6</v>
      </c>
      <c r="L218" s="7">
        <v>68.2</v>
      </c>
      <c r="M218" s="7">
        <v>117</v>
      </c>
      <c r="N218" s="7">
        <v>168</v>
      </c>
      <c r="O218" s="7">
        <v>53.2</v>
      </c>
      <c r="P218" s="7">
        <v>80.2</v>
      </c>
      <c r="Q218" s="7">
        <v>4.3</v>
      </c>
    </row>
    <row r="219" spans="1:17">
      <c r="A219" s="2">
        <v>2167</v>
      </c>
      <c r="B219" s="7">
        <v>71.599999999999994</v>
      </c>
      <c r="C219" s="7">
        <v>12.9</v>
      </c>
      <c r="D219" s="7">
        <v>30.2</v>
      </c>
      <c r="E219" s="7">
        <v>4.7</v>
      </c>
      <c r="F219" s="7">
        <v>17.3</v>
      </c>
      <c r="G219" s="7">
        <v>14.3</v>
      </c>
      <c r="H219" s="7">
        <v>139.6</v>
      </c>
      <c r="I219" s="7">
        <v>45.5</v>
      </c>
      <c r="J219" s="7">
        <v>24.9</v>
      </c>
      <c r="K219" s="7">
        <v>118</v>
      </c>
      <c r="L219" s="7">
        <v>68.400000000000006</v>
      </c>
      <c r="M219" s="7">
        <v>117.4</v>
      </c>
      <c r="N219" s="7">
        <v>168.5</v>
      </c>
      <c r="O219" s="7">
        <v>53.3</v>
      </c>
      <c r="P219" s="7">
        <v>80.5</v>
      </c>
      <c r="Q219" s="7">
        <v>4.3</v>
      </c>
    </row>
    <row r="220" spans="1:17">
      <c r="A220" s="2">
        <v>2168</v>
      </c>
      <c r="B220" s="7">
        <v>71.8</v>
      </c>
      <c r="C220" s="7">
        <v>12.9</v>
      </c>
      <c r="D220" s="7">
        <v>30.3</v>
      </c>
      <c r="E220" s="7">
        <v>4.8</v>
      </c>
      <c r="F220" s="7">
        <v>17.3</v>
      </c>
      <c r="G220" s="7">
        <v>14.3</v>
      </c>
      <c r="H220" s="7">
        <v>140.1</v>
      </c>
      <c r="I220" s="7">
        <v>45.7</v>
      </c>
      <c r="J220" s="7">
        <v>25</v>
      </c>
      <c r="K220" s="7">
        <v>118.4</v>
      </c>
      <c r="L220" s="7">
        <v>68.7</v>
      </c>
      <c r="M220" s="7">
        <v>117.8</v>
      </c>
      <c r="N220" s="7">
        <v>169.1</v>
      </c>
      <c r="O220" s="7">
        <v>53.5</v>
      </c>
      <c r="P220" s="7">
        <v>80.7</v>
      </c>
      <c r="Q220" s="7">
        <v>4.3</v>
      </c>
    </row>
    <row r="221" spans="1:17">
      <c r="A221" s="2">
        <v>2169</v>
      </c>
      <c r="B221" s="7">
        <v>72.099999999999994</v>
      </c>
      <c r="C221" s="7">
        <v>13</v>
      </c>
      <c r="D221" s="7">
        <v>30.4</v>
      </c>
      <c r="E221" s="7">
        <v>4.8</v>
      </c>
      <c r="F221" s="7">
        <v>17.399999999999999</v>
      </c>
      <c r="G221" s="7">
        <v>14.3</v>
      </c>
      <c r="H221" s="7">
        <v>140.5</v>
      </c>
      <c r="I221" s="7">
        <v>45.8</v>
      </c>
      <c r="J221" s="7">
        <v>25.1</v>
      </c>
      <c r="K221" s="7">
        <v>118.8</v>
      </c>
      <c r="L221" s="7">
        <v>68.900000000000006</v>
      </c>
      <c r="M221" s="7">
        <v>118.2</v>
      </c>
      <c r="N221" s="7">
        <v>169.6</v>
      </c>
      <c r="O221" s="7">
        <v>53.7</v>
      </c>
      <c r="P221" s="7">
        <v>81</v>
      </c>
      <c r="Q221" s="7">
        <v>4.3</v>
      </c>
    </row>
    <row r="222" spans="1:17">
      <c r="A222" s="2">
        <v>2170</v>
      </c>
      <c r="B222" s="7">
        <v>72.3</v>
      </c>
      <c r="C222" s="7">
        <v>13</v>
      </c>
      <c r="D222" s="7">
        <v>30.5</v>
      </c>
      <c r="E222" s="7">
        <v>4.8</v>
      </c>
      <c r="F222" s="7">
        <v>17.5</v>
      </c>
      <c r="G222" s="7">
        <v>14.4</v>
      </c>
      <c r="H222" s="7">
        <v>141</v>
      </c>
      <c r="I222" s="7">
        <v>46</v>
      </c>
      <c r="J222" s="7">
        <v>25.1</v>
      </c>
      <c r="K222" s="7">
        <v>119.2</v>
      </c>
      <c r="L222" s="7">
        <v>69.099999999999994</v>
      </c>
      <c r="M222" s="7">
        <v>118.5</v>
      </c>
      <c r="N222" s="7">
        <v>170.2</v>
      </c>
      <c r="O222" s="7">
        <v>53.9</v>
      </c>
      <c r="P222" s="7">
        <v>81.3</v>
      </c>
      <c r="Q222" s="7">
        <v>4.3</v>
      </c>
    </row>
    <row r="223" spans="1:17">
      <c r="A223" s="2">
        <v>2171</v>
      </c>
      <c r="B223" s="7">
        <v>72.599999999999994</v>
      </c>
      <c r="C223" s="7">
        <v>13</v>
      </c>
      <c r="D223" s="7">
        <v>30.6</v>
      </c>
      <c r="E223" s="7">
        <v>4.8</v>
      </c>
      <c r="F223" s="7">
        <v>17.5</v>
      </c>
      <c r="G223" s="7">
        <v>14.4</v>
      </c>
      <c r="H223" s="7">
        <v>141.5</v>
      </c>
      <c r="I223" s="7">
        <v>46.1</v>
      </c>
      <c r="J223" s="7">
        <v>25.2</v>
      </c>
      <c r="K223" s="7">
        <v>119.6</v>
      </c>
      <c r="L223" s="7">
        <v>69.3</v>
      </c>
      <c r="M223" s="7">
        <v>118.9</v>
      </c>
      <c r="N223" s="7">
        <v>170.7</v>
      </c>
      <c r="O223" s="7">
        <v>54</v>
      </c>
      <c r="P223" s="7">
        <v>81.5</v>
      </c>
      <c r="Q223" s="7">
        <v>4.3</v>
      </c>
    </row>
    <row r="224" spans="1:17">
      <c r="A224" s="2">
        <v>2172</v>
      </c>
      <c r="B224" s="7">
        <v>72.8</v>
      </c>
      <c r="C224" s="7">
        <v>13.1</v>
      </c>
      <c r="D224" s="7">
        <v>30.7</v>
      </c>
      <c r="E224" s="7">
        <v>4.8</v>
      </c>
      <c r="F224" s="7">
        <v>17.600000000000001</v>
      </c>
      <c r="G224" s="7">
        <v>14.5</v>
      </c>
      <c r="H224" s="7">
        <v>141.9</v>
      </c>
      <c r="I224" s="7">
        <v>46.3</v>
      </c>
      <c r="J224" s="7">
        <v>25.3</v>
      </c>
      <c r="K224" s="7">
        <v>120</v>
      </c>
      <c r="L224" s="7">
        <v>69.599999999999994</v>
      </c>
      <c r="M224" s="7">
        <v>119.3</v>
      </c>
      <c r="N224" s="7">
        <v>171.3</v>
      </c>
      <c r="O224" s="7">
        <v>54.2</v>
      </c>
      <c r="P224" s="7">
        <v>81.8</v>
      </c>
      <c r="Q224" s="7">
        <v>4.4000000000000004</v>
      </c>
    </row>
    <row r="225" spans="1:17">
      <c r="A225" s="2">
        <v>2173</v>
      </c>
      <c r="B225" s="7">
        <v>73</v>
      </c>
      <c r="C225" s="7">
        <v>13.1</v>
      </c>
      <c r="D225" s="7">
        <v>30.8</v>
      </c>
      <c r="E225" s="7">
        <v>4.8</v>
      </c>
      <c r="F225" s="7">
        <v>17.600000000000001</v>
      </c>
      <c r="G225" s="7">
        <v>14.5</v>
      </c>
      <c r="H225" s="7">
        <v>142.4</v>
      </c>
      <c r="I225" s="7">
        <v>46.4</v>
      </c>
      <c r="J225" s="7">
        <v>25.4</v>
      </c>
      <c r="K225" s="7">
        <v>120.4</v>
      </c>
      <c r="L225" s="7">
        <v>69.8</v>
      </c>
      <c r="M225" s="7">
        <v>119.7</v>
      </c>
      <c r="N225" s="7">
        <v>171.9</v>
      </c>
      <c r="O225" s="7">
        <v>54.4</v>
      </c>
      <c r="P225" s="7">
        <v>82.1</v>
      </c>
      <c r="Q225" s="7">
        <v>4.4000000000000004</v>
      </c>
    </row>
    <row r="226" spans="1:17">
      <c r="A226" s="2">
        <v>2174</v>
      </c>
      <c r="B226" s="7">
        <v>73.3</v>
      </c>
      <c r="C226" s="7">
        <v>13.2</v>
      </c>
      <c r="D226" s="7">
        <v>30.9</v>
      </c>
      <c r="E226" s="7">
        <v>4.9000000000000004</v>
      </c>
      <c r="F226" s="7">
        <v>17.7</v>
      </c>
      <c r="G226" s="7">
        <v>14.6</v>
      </c>
      <c r="H226" s="7">
        <v>142.80000000000001</v>
      </c>
      <c r="I226" s="7">
        <v>46.6</v>
      </c>
      <c r="J226" s="7">
        <v>25.5</v>
      </c>
      <c r="K226" s="7">
        <v>120.7</v>
      </c>
      <c r="L226" s="7">
        <v>70</v>
      </c>
      <c r="M226" s="7">
        <v>120.1</v>
      </c>
      <c r="N226" s="7">
        <v>172.4</v>
      </c>
      <c r="O226" s="7">
        <v>54.6</v>
      </c>
      <c r="P226" s="7">
        <v>82.3</v>
      </c>
      <c r="Q226" s="7">
        <v>4.4000000000000004</v>
      </c>
    </row>
    <row r="227" spans="1:17">
      <c r="A227" s="2">
        <v>2175</v>
      </c>
      <c r="B227" s="7">
        <v>73.5</v>
      </c>
      <c r="C227" s="7">
        <v>13.2</v>
      </c>
      <c r="D227" s="7">
        <v>31</v>
      </c>
      <c r="E227" s="7">
        <v>4.9000000000000004</v>
      </c>
      <c r="F227" s="7">
        <v>17.7</v>
      </c>
      <c r="G227" s="7">
        <v>14.6</v>
      </c>
      <c r="H227" s="7">
        <v>143.30000000000001</v>
      </c>
      <c r="I227" s="7">
        <v>46.7</v>
      </c>
      <c r="J227" s="7">
        <v>25.6</v>
      </c>
      <c r="K227" s="7">
        <v>121.1</v>
      </c>
      <c r="L227" s="7">
        <v>70.2</v>
      </c>
      <c r="M227" s="7">
        <v>120.5</v>
      </c>
      <c r="N227" s="7">
        <v>173</v>
      </c>
      <c r="O227" s="7">
        <v>54.7</v>
      </c>
      <c r="P227" s="7">
        <v>82.6</v>
      </c>
      <c r="Q227" s="7">
        <v>4.4000000000000004</v>
      </c>
    </row>
    <row r="228" spans="1:17">
      <c r="A228" s="2">
        <v>2176</v>
      </c>
      <c r="B228" s="7">
        <v>73.7</v>
      </c>
      <c r="C228" s="7">
        <v>13.3</v>
      </c>
      <c r="D228" s="7">
        <v>31.1</v>
      </c>
      <c r="E228" s="7">
        <v>4.9000000000000004</v>
      </c>
      <c r="F228" s="7">
        <v>17.8</v>
      </c>
      <c r="G228" s="7">
        <v>14.7</v>
      </c>
      <c r="H228" s="7">
        <v>143.80000000000001</v>
      </c>
      <c r="I228" s="7">
        <v>46.9</v>
      </c>
      <c r="J228" s="7">
        <v>25.6</v>
      </c>
      <c r="K228" s="7">
        <v>121.5</v>
      </c>
      <c r="L228" s="7">
        <v>70.5</v>
      </c>
      <c r="M228" s="7">
        <v>120.9</v>
      </c>
      <c r="N228" s="7">
        <v>173.5</v>
      </c>
      <c r="O228" s="7">
        <v>54.9</v>
      </c>
      <c r="P228" s="7">
        <v>82.8</v>
      </c>
      <c r="Q228" s="7">
        <v>4.4000000000000004</v>
      </c>
    </row>
    <row r="229" spans="1:17">
      <c r="A229" s="2">
        <v>2177</v>
      </c>
      <c r="B229" s="7">
        <v>74</v>
      </c>
      <c r="C229" s="7">
        <v>13.3</v>
      </c>
      <c r="D229" s="7">
        <v>31.2</v>
      </c>
      <c r="E229" s="7">
        <v>4.9000000000000004</v>
      </c>
      <c r="F229" s="7">
        <v>17.899999999999999</v>
      </c>
      <c r="G229" s="7">
        <v>14.7</v>
      </c>
      <c r="H229" s="7">
        <v>144.19999999999999</v>
      </c>
      <c r="I229" s="7">
        <v>47</v>
      </c>
      <c r="J229" s="7">
        <v>25.7</v>
      </c>
      <c r="K229" s="7">
        <v>121.9</v>
      </c>
      <c r="L229" s="7">
        <v>70.7</v>
      </c>
      <c r="M229" s="7">
        <v>121.3</v>
      </c>
      <c r="N229" s="7">
        <v>174.1</v>
      </c>
      <c r="O229" s="7">
        <v>55.1</v>
      </c>
      <c r="P229" s="7">
        <v>83.1</v>
      </c>
      <c r="Q229" s="7">
        <v>4.4000000000000004</v>
      </c>
    </row>
    <row r="230" spans="1:17">
      <c r="A230" s="2">
        <v>2178</v>
      </c>
      <c r="B230" s="7">
        <v>74.2</v>
      </c>
      <c r="C230" s="7">
        <v>13.3</v>
      </c>
      <c r="D230" s="7">
        <v>31.3</v>
      </c>
      <c r="E230" s="7">
        <v>4.9000000000000004</v>
      </c>
      <c r="F230" s="7">
        <v>17.899999999999999</v>
      </c>
      <c r="G230" s="7">
        <v>14.8</v>
      </c>
      <c r="H230" s="7">
        <v>144.69999999999999</v>
      </c>
      <c r="I230" s="7">
        <v>47.2</v>
      </c>
      <c r="J230" s="7">
        <v>25.8</v>
      </c>
      <c r="K230" s="7">
        <v>122.3</v>
      </c>
      <c r="L230" s="7">
        <v>70.900000000000006</v>
      </c>
      <c r="M230" s="7">
        <v>121.6</v>
      </c>
      <c r="N230" s="7">
        <v>174.6</v>
      </c>
      <c r="O230" s="7">
        <v>55.3</v>
      </c>
      <c r="P230" s="7">
        <v>83.4</v>
      </c>
      <c r="Q230" s="7">
        <v>4.4000000000000004</v>
      </c>
    </row>
    <row r="231" spans="1:17">
      <c r="A231" s="2">
        <v>2179</v>
      </c>
      <c r="B231" s="7">
        <v>74.400000000000006</v>
      </c>
      <c r="C231" s="7">
        <v>13.4</v>
      </c>
      <c r="D231" s="7">
        <v>31.4</v>
      </c>
      <c r="E231" s="7">
        <v>4.9000000000000004</v>
      </c>
      <c r="F231" s="7">
        <v>18</v>
      </c>
      <c r="G231" s="7">
        <v>14.8</v>
      </c>
      <c r="H231" s="7">
        <v>145.19999999999999</v>
      </c>
      <c r="I231" s="7">
        <v>47.3</v>
      </c>
      <c r="J231" s="7">
        <v>25.9</v>
      </c>
      <c r="K231" s="7">
        <v>122.7</v>
      </c>
      <c r="L231" s="7">
        <v>71.099999999999994</v>
      </c>
      <c r="M231" s="7">
        <v>122</v>
      </c>
      <c r="N231" s="7">
        <v>175.2</v>
      </c>
      <c r="O231" s="7">
        <v>55.5</v>
      </c>
      <c r="P231" s="7">
        <v>83.6</v>
      </c>
      <c r="Q231" s="7">
        <v>4.5</v>
      </c>
    </row>
    <row r="232" spans="1:17">
      <c r="A232" s="2">
        <v>2180</v>
      </c>
      <c r="B232" s="7">
        <v>74.7</v>
      </c>
      <c r="C232" s="7">
        <v>13.4</v>
      </c>
      <c r="D232" s="7">
        <v>31.5</v>
      </c>
      <c r="E232" s="7">
        <v>4.9000000000000004</v>
      </c>
      <c r="F232" s="7">
        <v>18</v>
      </c>
      <c r="G232" s="7">
        <v>14.9</v>
      </c>
      <c r="H232" s="7">
        <v>145.6</v>
      </c>
      <c r="I232" s="7">
        <v>47.5</v>
      </c>
      <c r="J232" s="7">
        <v>26</v>
      </c>
      <c r="K232" s="7">
        <v>123.1</v>
      </c>
      <c r="L232" s="7">
        <v>71.400000000000006</v>
      </c>
      <c r="M232" s="7">
        <v>122.4</v>
      </c>
      <c r="N232" s="7">
        <v>175.7</v>
      </c>
      <c r="O232" s="7">
        <v>55.6</v>
      </c>
      <c r="P232" s="7">
        <v>83.9</v>
      </c>
      <c r="Q232" s="7">
        <v>4.5</v>
      </c>
    </row>
    <row r="233" spans="1:17">
      <c r="A233" s="2">
        <v>2181</v>
      </c>
      <c r="B233" s="7">
        <v>74.900000000000006</v>
      </c>
      <c r="C233" s="7">
        <v>13.5</v>
      </c>
      <c r="D233" s="7">
        <v>31.6</v>
      </c>
      <c r="E233" s="7">
        <v>5</v>
      </c>
      <c r="F233" s="7">
        <v>18.100000000000001</v>
      </c>
      <c r="G233" s="7">
        <v>14.9</v>
      </c>
      <c r="H233" s="7">
        <v>146.1</v>
      </c>
      <c r="I233" s="7">
        <v>47.7</v>
      </c>
      <c r="J233" s="7">
        <v>26</v>
      </c>
      <c r="K233" s="7">
        <v>123.5</v>
      </c>
      <c r="L233" s="7">
        <v>71.599999999999994</v>
      </c>
      <c r="M233" s="7">
        <v>122.8</v>
      </c>
      <c r="N233" s="7">
        <v>176.3</v>
      </c>
      <c r="O233" s="7">
        <v>55.8</v>
      </c>
      <c r="P233" s="7">
        <v>84.2</v>
      </c>
      <c r="Q233" s="7">
        <v>4.5</v>
      </c>
    </row>
    <row r="234" spans="1:17">
      <c r="A234" s="2">
        <v>2182</v>
      </c>
      <c r="B234" s="7">
        <v>75.2</v>
      </c>
      <c r="C234" s="7">
        <v>13.5</v>
      </c>
      <c r="D234" s="7">
        <v>31.7</v>
      </c>
      <c r="E234" s="7">
        <v>5</v>
      </c>
      <c r="F234" s="7">
        <v>18.100000000000001</v>
      </c>
      <c r="G234" s="7">
        <v>15</v>
      </c>
      <c r="H234" s="7">
        <v>146.5</v>
      </c>
      <c r="I234" s="7">
        <v>47.8</v>
      </c>
      <c r="J234" s="7">
        <v>26.1</v>
      </c>
      <c r="K234" s="7">
        <v>123.9</v>
      </c>
      <c r="L234" s="7">
        <v>71.8</v>
      </c>
      <c r="M234" s="7">
        <v>123.2</v>
      </c>
      <c r="N234" s="7">
        <v>176.9</v>
      </c>
      <c r="O234" s="7">
        <v>56</v>
      </c>
      <c r="P234" s="7">
        <v>84.4</v>
      </c>
      <c r="Q234" s="7">
        <v>4.5</v>
      </c>
    </row>
    <row r="235" spans="1:17">
      <c r="A235" s="2">
        <v>2183</v>
      </c>
      <c r="B235" s="7">
        <v>75.400000000000006</v>
      </c>
      <c r="C235" s="7">
        <v>13.6</v>
      </c>
      <c r="D235" s="7">
        <v>31.8</v>
      </c>
      <c r="E235" s="7">
        <v>5</v>
      </c>
      <c r="F235" s="7">
        <v>18.2</v>
      </c>
      <c r="G235" s="7">
        <v>15</v>
      </c>
      <c r="H235" s="7">
        <v>147</v>
      </c>
      <c r="I235" s="7">
        <v>48</v>
      </c>
      <c r="J235" s="7">
        <v>26.2</v>
      </c>
      <c r="K235" s="7">
        <v>124.3</v>
      </c>
      <c r="L235" s="7">
        <v>72</v>
      </c>
      <c r="M235" s="7">
        <v>123.6</v>
      </c>
      <c r="N235" s="7">
        <v>177.4</v>
      </c>
      <c r="O235" s="7">
        <v>56.2</v>
      </c>
      <c r="P235" s="7">
        <v>84.7</v>
      </c>
      <c r="Q235" s="7">
        <v>4.5</v>
      </c>
    </row>
    <row r="236" spans="1:17">
      <c r="A236" s="2">
        <v>2184</v>
      </c>
      <c r="B236" s="7">
        <v>75.599999999999994</v>
      </c>
      <c r="C236" s="7">
        <v>13.6</v>
      </c>
      <c r="D236" s="7">
        <v>31.9</v>
      </c>
      <c r="E236" s="7">
        <v>5</v>
      </c>
      <c r="F236" s="7">
        <v>18.3</v>
      </c>
      <c r="G236" s="7">
        <v>15.1</v>
      </c>
      <c r="H236" s="7">
        <v>147.5</v>
      </c>
      <c r="I236" s="7">
        <v>48.1</v>
      </c>
      <c r="J236" s="7">
        <v>26.3</v>
      </c>
      <c r="K236" s="7">
        <v>124.6</v>
      </c>
      <c r="L236" s="7">
        <v>72.3</v>
      </c>
      <c r="M236" s="7">
        <v>124</v>
      </c>
      <c r="N236" s="7">
        <v>178</v>
      </c>
      <c r="O236" s="7">
        <v>56.3</v>
      </c>
      <c r="P236" s="7">
        <v>85</v>
      </c>
      <c r="Q236" s="7">
        <v>4.5</v>
      </c>
    </row>
    <row r="237" spans="1:17">
      <c r="A237" s="2">
        <v>2185</v>
      </c>
      <c r="B237" s="7">
        <v>75.900000000000006</v>
      </c>
      <c r="C237" s="7">
        <v>13.6</v>
      </c>
      <c r="D237" s="7">
        <v>32</v>
      </c>
      <c r="E237" s="7">
        <v>5</v>
      </c>
      <c r="F237" s="7">
        <v>18.3</v>
      </c>
      <c r="G237" s="7">
        <v>15.1</v>
      </c>
      <c r="H237" s="7">
        <v>147.9</v>
      </c>
      <c r="I237" s="7">
        <v>48.3</v>
      </c>
      <c r="J237" s="7">
        <v>26.4</v>
      </c>
      <c r="K237" s="7">
        <v>125</v>
      </c>
      <c r="L237" s="7">
        <v>72.5</v>
      </c>
      <c r="M237" s="7">
        <v>124.3</v>
      </c>
      <c r="N237" s="7">
        <v>178.5</v>
      </c>
      <c r="O237" s="7">
        <v>56.5</v>
      </c>
      <c r="P237" s="7">
        <v>85.2</v>
      </c>
      <c r="Q237" s="7">
        <v>4.5</v>
      </c>
    </row>
    <row r="238" spans="1:17">
      <c r="A238" s="2">
        <v>2186</v>
      </c>
      <c r="B238" s="7">
        <v>76.099999999999994</v>
      </c>
      <c r="C238" s="7">
        <v>13.7</v>
      </c>
      <c r="D238" s="7">
        <v>32.1</v>
      </c>
      <c r="E238" s="7">
        <v>5</v>
      </c>
      <c r="F238" s="7">
        <v>18.399999999999999</v>
      </c>
      <c r="G238" s="7">
        <v>15.1</v>
      </c>
      <c r="H238" s="7">
        <v>148.4</v>
      </c>
      <c r="I238" s="7">
        <v>48.4</v>
      </c>
      <c r="J238" s="7">
        <v>26.5</v>
      </c>
      <c r="K238" s="7">
        <v>125.4</v>
      </c>
      <c r="L238" s="7">
        <v>72.7</v>
      </c>
      <c r="M238" s="7">
        <v>124.7</v>
      </c>
      <c r="N238" s="7">
        <v>179.1</v>
      </c>
      <c r="O238" s="7">
        <v>56.7</v>
      </c>
      <c r="P238" s="7">
        <v>85.5</v>
      </c>
      <c r="Q238" s="7">
        <v>4.5999999999999996</v>
      </c>
    </row>
    <row r="239" spans="1:17">
      <c r="A239" s="2">
        <v>2187</v>
      </c>
      <c r="B239" s="7">
        <v>76.3</v>
      </c>
      <c r="C239" s="7">
        <v>13.7</v>
      </c>
      <c r="D239" s="7">
        <v>32.200000000000003</v>
      </c>
      <c r="E239" s="7">
        <v>5.0999999999999996</v>
      </c>
      <c r="F239" s="7">
        <v>18.399999999999999</v>
      </c>
      <c r="G239" s="7">
        <v>15.2</v>
      </c>
      <c r="H239" s="7">
        <v>148.80000000000001</v>
      </c>
      <c r="I239" s="7">
        <v>48.6</v>
      </c>
      <c r="J239" s="7">
        <v>26.5</v>
      </c>
      <c r="K239" s="7">
        <v>125.8</v>
      </c>
      <c r="L239" s="7">
        <v>72.900000000000006</v>
      </c>
      <c r="M239" s="7">
        <v>125.1</v>
      </c>
      <c r="N239" s="7">
        <v>179.6</v>
      </c>
      <c r="O239" s="7">
        <v>56.9</v>
      </c>
      <c r="P239" s="7">
        <v>85.8</v>
      </c>
      <c r="Q239" s="7">
        <v>4.5999999999999996</v>
      </c>
    </row>
    <row r="240" spans="1:17">
      <c r="A240" s="2">
        <v>2188</v>
      </c>
      <c r="B240" s="7">
        <v>76.599999999999994</v>
      </c>
      <c r="C240" s="7">
        <v>13.8</v>
      </c>
      <c r="D240" s="7">
        <v>32.299999999999997</v>
      </c>
      <c r="E240" s="7">
        <v>5.0999999999999996</v>
      </c>
      <c r="F240" s="7">
        <v>18.5</v>
      </c>
      <c r="G240" s="7">
        <v>15.2</v>
      </c>
      <c r="H240" s="7">
        <v>149.30000000000001</v>
      </c>
      <c r="I240" s="7">
        <v>48.7</v>
      </c>
      <c r="J240" s="7">
        <v>26.6</v>
      </c>
      <c r="K240" s="7">
        <v>126.2</v>
      </c>
      <c r="L240" s="7">
        <v>73.2</v>
      </c>
      <c r="M240" s="7">
        <v>125.5</v>
      </c>
      <c r="N240" s="7">
        <v>180.2</v>
      </c>
      <c r="O240" s="7">
        <v>57</v>
      </c>
      <c r="P240" s="7">
        <v>86</v>
      </c>
      <c r="Q240" s="7">
        <v>4.5999999999999996</v>
      </c>
    </row>
    <row r="241" spans="1:17">
      <c r="A241" s="2">
        <v>2189</v>
      </c>
      <c r="B241" s="7">
        <v>76.8</v>
      </c>
      <c r="C241" s="7">
        <v>13.8</v>
      </c>
      <c r="D241" s="7">
        <v>32.4</v>
      </c>
      <c r="E241" s="7">
        <v>5.0999999999999996</v>
      </c>
      <c r="F241" s="7">
        <v>18.5</v>
      </c>
      <c r="G241" s="7">
        <v>15.3</v>
      </c>
      <c r="H241" s="7">
        <v>149.80000000000001</v>
      </c>
      <c r="I241" s="7">
        <v>48.9</v>
      </c>
      <c r="J241" s="7">
        <v>26.7</v>
      </c>
      <c r="K241" s="7">
        <v>126.6</v>
      </c>
      <c r="L241" s="7">
        <v>73.400000000000006</v>
      </c>
      <c r="M241" s="7">
        <v>125.9</v>
      </c>
      <c r="N241" s="7">
        <v>180.7</v>
      </c>
      <c r="O241" s="7">
        <v>57.2</v>
      </c>
      <c r="P241" s="7">
        <v>86.3</v>
      </c>
      <c r="Q241" s="7">
        <v>4.5999999999999996</v>
      </c>
    </row>
    <row r="242" spans="1:17">
      <c r="A242" s="2">
        <v>2190</v>
      </c>
      <c r="B242" s="7">
        <v>77</v>
      </c>
      <c r="C242" s="7">
        <v>13.9</v>
      </c>
      <c r="D242" s="7">
        <v>32.5</v>
      </c>
      <c r="E242" s="7">
        <v>5.0999999999999996</v>
      </c>
      <c r="F242" s="7">
        <v>18.600000000000001</v>
      </c>
      <c r="G242" s="7">
        <v>15.3</v>
      </c>
      <c r="H242" s="7">
        <v>150.19999999999999</v>
      </c>
      <c r="I242" s="7">
        <v>49</v>
      </c>
      <c r="J242" s="7">
        <v>26.8</v>
      </c>
      <c r="K242" s="7">
        <v>127</v>
      </c>
      <c r="L242" s="7">
        <v>73.599999999999994</v>
      </c>
      <c r="M242" s="7">
        <v>126.3</v>
      </c>
      <c r="N242" s="7">
        <v>181.3</v>
      </c>
      <c r="O242" s="7">
        <v>57.4</v>
      </c>
      <c r="P242" s="7">
        <v>86.6</v>
      </c>
      <c r="Q242" s="7">
        <v>4.5999999999999996</v>
      </c>
    </row>
    <row r="243" spans="1:17">
      <c r="A243" s="2">
        <v>2191</v>
      </c>
      <c r="B243" s="7">
        <v>77.3</v>
      </c>
      <c r="C243" s="7">
        <v>13.9</v>
      </c>
      <c r="D243" s="7">
        <v>32.6</v>
      </c>
      <c r="E243" s="7">
        <v>5.0999999999999996</v>
      </c>
      <c r="F243" s="7">
        <v>18.7</v>
      </c>
      <c r="G243" s="7">
        <v>15.4</v>
      </c>
      <c r="H243" s="7">
        <v>150.69999999999999</v>
      </c>
      <c r="I243" s="7">
        <v>49.2</v>
      </c>
      <c r="J243" s="7">
        <v>26.9</v>
      </c>
      <c r="K243" s="7">
        <v>127.4</v>
      </c>
      <c r="L243" s="7">
        <v>73.8</v>
      </c>
      <c r="M243" s="7">
        <v>126.7</v>
      </c>
      <c r="N243" s="7">
        <v>181.9</v>
      </c>
      <c r="O243" s="7">
        <v>57.6</v>
      </c>
      <c r="P243" s="7">
        <v>86.8</v>
      </c>
      <c r="Q243" s="7">
        <v>4.5999999999999996</v>
      </c>
    </row>
    <row r="244" spans="1:17">
      <c r="A244" s="2">
        <v>2192</v>
      </c>
      <c r="B244" s="7">
        <v>77.5</v>
      </c>
      <c r="C244" s="7">
        <v>13.9</v>
      </c>
      <c r="D244" s="7">
        <v>32.700000000000003</v>
      </c>
      <c r="E244" s="7">
        <v>5.0999999999999996</v>
      </c>
      <c r="F244" s="7">
        <v>18.7</v>
      </c>
      <c r="G244" s="7">
        <v>15.4</v>
      </c>
      <c r="H244" s="7">
        <v>151.1</v>
      </c>
      <c r="I244" s="7">
        <v>49.3</v>
      </c>
      <c r="J244" s="7">
        <v>26.9</v>
      </c>
      <c r="K244" s="7">
        <v>127.8</v>
      </c>
      <c r="L244" s="7">
        <v>74.099999999999994</v>
      </c>
      <c r="M244" s="7">
        <v>127.1</v>
      </c>
      <c r="N244" s="7">
        <v>182.4</v>
      </c>
      <c r="O244" s="7">
        <v>57.7</v>
      </c>
      <c r="P244" s="7">
        <v>87.1</v>
      </c>
      <c r="Q244" s="7">
        <v>4.5999999999999996</v>
      </c>
    </row>
    <row r="245" spans="1:17">
      <c r="A245" s="2">
        <v>2193</v>
      </c>
      <c r="B245" s="7">
        <v>77.7</v>
      </c>
      <c r="C245" s="7">
        <v>14</v>
      </c>
      <c r="D245" s="7">
        <v>32.799999999999997</v>
      </c>
      <c r="E245" s="7">
        <v>5.0999999999999996</v>
      </c>
      <c r="F245" s="7">
        <v>18.8</v>
      </c>
      <c r="G245" s="7">
        <v>15.5</v>
      </c>
      <c r="H245" s="7">
        <v>151.6</v>
      </c>
      <c r="I245" s="7">
        <v>49.5</v>
      </c>
      <c r="J245" s="7">
        <v>27</v>
      </c>
      <c r="K245" s="7">
        <v>128.1</v>
      </c>
      <c r="L245" s="7">
        <v>74.3</v>
      </c>
      <c r="M245" s="7">
        <v>127.4</v>
      </c>
      <c r="N245" s="7">
        <v>183</v>
      </c>
      <c r="O245" s="7">
        <v>57.9</v>
      </c>
      <c r="P245" s="7">
        <v>87.4</v>
      </c>
      <c r="Q245" s="7">
        <v>4.7</v>
      </c>
    </row>
    <row r="246" spans="1:17">
      <c r="A246" s="2">
        <v>2194</v>
      </c>
      <c r="B246" s="7">
        <v>78</v>
      </c>
      <c r="C246" s="7">
        <v>14</v>
      </c>
      <c r="D246" s="7">
        <v>32.9</v>
      </c>
      <c r="E246" s="7">
        <v>5.2</v>
      </c>
      <c r="F246" s="7">
        <v>18.8</v>
      </c>
      <c r="G246" s="7">
        <v>15.5</v>
      </c>
      <c r="H246" s="7">
        <v>152.1</v>
      </c>
      <c r="I246" s="7">
        <v>49.6</v>
      </c>
      <c r="J246" s="7">
        <v>27.1</v>
      </c>
      <c r="K246" s="7">
        <v>128.5</v>
      </c>
      <c r="L246" s="7">
        <v>74.5</v>
      </c>
      <c r="M246" s="7">
        <v>127.8</v>
      </c>
      <c r="N246" s="7">
        <v>183.5</v>
      </c>
      <c r="O246" s="7">
        <v>58.1</v>
      </c>
      <c r="P246" s="7">
        <v>87.6</v>
      </c>
      <c r="Q246" s="7">
        <v>4.7</v>
      </c>
    </row>
    <row r="247" spans="1:17">
      <c r="A247" s="2">
        <v>2195</v>
      </c>
      <c r="B247" s="7">
        <v>78.2</v>
      </c>
      <c r="C247" s="7">
        <v>14.1</v>
      </c>
      <c r="D247" s="7">
        <v>33</v>
      </c>
      <c r="E247" s="7">
        <v>5.2</v>
      </c>
      <c r="F247" s="7">
        <v>18.899999999999999</v>
      </c>
      <c r="G247" s="7">
        <v>15.6</v>
      </c>
      <c r="H247" s="7">
        <v>152.5</v>
      </c>
      <c r="I247" s="7">
        <v>49.8</v>
      </c>
      <c r="J247" s="7">
        <v>27.2</v>
      </c>
      <c r="K247" s="7">
        <v>128.9</v>
      </c>
      <c r="L247" s="7">
        <v>74.7</v>
      </c>
      <c r="M247" s="7">
        <v>128.19999999999999</v>
      </c>
      <c r="N247" s="7">
        <v>184.1</v>
      </c>
      <c r="O247" s="7">
        <v>58.3</v>
      </c>
      <c r="P247" s="7">
        <v>87.9</v>
      </c>
      <c r="Q247" s="7">
        <v>4.7</v>
      </c>
    </row>
    <row r="248" spans="1:17">
      <c r="A248" s="2">
        <v>2196</v>
      </c>
      <c r="B248" s="7">
        <v>78.5</v>
      </c>
      <c r="C248" s="7">
        <v>14.1</v>
      </c>
      <c r="D248" s="7">
        <v>33.1</v>
      </c>
      <c r="E248" s="7">
        <v>5.2</v>
      </c>
      <c r="F248" s="7">
        <v>18.899999999999999</v>
      </c>
      <c r="G248" s="7">
        <v>15.6</v>
      </c>
      <c r="H248" s="7">
        <v>153</v>
      </c>
      <c r="I248" s="7">
        <v>49.9</v>
      </c>
      <c r="J248" s="7">
        <v>27.3</v>
      </c>
      <c r="K248" s="7">
        <v>129.30000000000001</v>
      </c>
      <c r="L248" s="7">
        <v>75</v>
      </c>
      <c r="M248" s="7">
        <v>128.6</v>
      </c>
      <c r="N248" s="7">
        <v>184.6</v>
      </c>
      <c r="O248" s="7">
        <v>58.4</v>
      </c>
      <c r="P248" s="7">
        <v>88.2</v>
      </c>
      <c r="Q248" s="7">
        <v>4.7</v>
      </c>
    </row>
    <row r="249" spans="1:17">
      <c r="A249" s="2">
        <v>2197</v>
      </c>
      <c r="B249" s="7">
        <v>78.7</v>
      </c>
      <c r="C249" s="7">
        <v>14.2</v>
      </c>
      <c r="D249" s="7">
        <v>33.200000000000003</v>
      </c>
      <c r="E249" s="7">
        <v>5.2</v>
      </c>
      <c r="F249" s="7">
        <v>19</v>
      </c>
      <c r="G249" s="7">
        <v>15.7</v>
      </c>
      <c r="H249" s="7">
        <v>153.4</v>
      </c>
      <c r="I249" s="7">
        <v>50.1</v>
      </c>
      <c r="J249" s="7">
        <v>27.4</v>
      </c>
      <c r="K249" s="7">
        <v>129.69999999999999</v>
      </c>
      <c r="L249" s="7">
        <v>75.2</v>
      </c>
      <c r="M249" s="7">
        <v>129</v>
      </c>
      <c r="N249" s="7">
        <v>185.2</v>
      </c>
      <c r="O249" s="7">
        <v>58.6</v>
      </c>
      <c r="P249" s="7">
        <v>88.4</v>
      </c>
      <c r="Q249" s="7">
        <v>4.7</v>
      </c>
    </row>
    <row r="250" spans="1:17">
      <c r="A250" s="2">
        <v>2198</v>
      </c>
      <c r="B250" s="7">
        <v>78.900000000000006</v>
      </c>
      <c r="C250" s="7">
        <v>14.2</v>
      </c>
      <c r="D250" s="7">
        <v>33.299999999999997</v>
      </c>
      <c r="E250" s="7">
        <v>5.2</v>
      </c>
      <c r="F250" s="7">
        <v>19.100000000000001</v>
      </c>
      <c r="G250" s="7">
        <v>15.7</v>
      </c>
      <c r="H250" s="7">
        <v>153.9</v>
      </c>
      <c r="I250" s="7">
        <v>50.2</v>
      </c>
      <c r="J250" s="7">
        <v>27.4</v>
      </c>
      <c r="K250" s="7">
        <v>130.1</v>
      </c>
      <c r="L250" s="7">
        <v>75.400000000000006</v>
      </c>
      <c r="M250" s="7">
        <v>129.4</v>
      </c>
      <c r="N250" s="7">
        <v>185.7</v>
      </c>
      <c r="O250" s="7">
        <v>58.8</v>
      </c>
      <c r="P250" s="7">
        <v>88.7</v>
      </c>
      <c r="Q250" s="7">
        <v>4.7</v>
      </c>
    </row>
    <row r="251" spans="1:17">
      <c r="A251" s="2">
        <v>2199</v>
      </c>
      <c r="B251" s="7">
        <v>79.2</v>
      </c>
      <c r="C251" s="7">
        <v>14.2</v>
      </c>
      <c r="D251" s="7">
        <v>33.4</v>
      </c>
      <c r="E251" s="7">
        <v>5.2</v>
      </c>
      <c r="F251" s="7">
        <v>19.100000000000001</v>
      </c>
      <c r="G251" s="7">
        <v>15.8</v>
      </c>
      <c r="H251" s="7">
        <v>154.4</v>
      </c>
      <c r="I251" s="7">
        <v>50.4</v>
      </c>
      <c r="J251" s="7">
        <v>27.5</v>
      </c>
      <c r="K251" s="7">
        <v>130.5</v>
      </c>
      <c r="L251" s="7">
        <v>75.7</v>
      </c>
      <c r="M251" s="7">
        <v>129.80000000000001</v>
      </c>
      <c r="N251" s="7">
        <v>186.3</v>
      </c>
      <c r="O251" s="7">
        <v>59</v>
      </c>
      <c r="P251" s="7">
        <v>88.9</v>
      </c>
      <c r="Q251" s="7">
        <v>4.7</v>
      </c>
    </row>
    <row r="252" spans="1:17">
      <c r="A252" s="2">
        <v>2200</v>
      </c>
      <c r="B252" s="7">
        <v>79.400000000000006</v>
      </c>
      <c r="C252" s="7">
        <v>14.3</v>
      </c>
      <c r="D252" s="7">
        <v>33.5</v>
      </c>
      <c r="E252" s="7">
        <v>5.3</v>
      </c>
      <c r="F252" s="7">
        <v>19.2</v>
      </c>
      <c r="G252" s="7">
        <v>15.8</v>
      </c>
      <c r="H252" s="7">
        <v>154.80000000000001</v>
      </c>
      <c r="I252" s="7">
        <v>50.5</v>
      </c>
      <c r="J252" s="7">
        <v>27.6</v>
      </c>
      <c r="K252" s="7">
        <v>130.9</v>
      </c>
      <c r="L252" s="7">
        <v>75.900000000000006</v>
      </c>
      <c r="M252" s="7">
        <v>130.19999999999999</v>
      </c>
      <c r="N252" s="7">
        <v>186.9</v>
      </c>
      <c r="O252" s="7">
        <v>59.1</v>
      </c>
      <c r="P252" s="7">
        <v>89.2</v>
      </c>
      <c r="Q252" s="7">
        <v>4.8</v>
      </c>
    </row>
    <row r="253" spans="1:17">
      <c r="A253" s="2">
        <v>2201</v>
      </c>
      <c r="B253" s="7">
        <v>79.7</v>
      </c>
      <c r="C253" s="7">
        <v>14.4</v>
      </c>
      <c r="D253" s="7">
        <v>33.6</v>
      </c>
      <c r="E253" s="7">
        <v>5.3</v>
      </c>
      <c r="F253" s="7">
        <v>19.3</v>
      </c>
      <c r="G253" s="7">
        <v>15.9</v>
      </c>
      <c r="H253" s="7">
        <v>155.5</v>
      </c>
      <c r="I253" s="7">
        <v>50.7</v>
      </c>
      <c r="J253" s="7">
        <v>27.7</v>
      </c>
      <c r="K253" s="7">
        <v>131.5</v>
      </c>
      <c r="L253" s="7">
        <v>76.2</v>
      </c>
      <c r="M253" s="7">
        <v>130.80000000000001</v>
      </c>
      <c r="N253" s="7">
        <v>187.7</v>
      </c>
      <c r="O253" s="7">
        <v>59.3</v>
      </c>
      <c r="P253" s="7">
        <v>89.6</v>
      </c>
      <c r="Q253" s="7">
        <v>4.8</v>
      </c>
    </row>
    <row r="254" spans="1:17">
      <c r="A254" s="2">
        <v>2202</v>
      </c>
      <c r="B254" s="7">
        <v>80.099999999999994</v>
      </c>
      <c r="C254" s="7">
        <v>14.4</v>
      </c>
      <c r="D254" s="7">
        <v>33.799999999999997</v>
      </c>
      <c r="E254" s="7">
        <v>5.3</v>
      </c>
      <c r="F254" s="7">
        <v>19.399999999999999</v>
      </c>
      <c r="G254" s="7">
        <v>15.9</v>
      </c>
      <c r="H254" s="7">
        <v>156.1</v>
      </c>
      <c r="I254" s="7">
        <v>50.9</v>
      </c>
      <c r="J254" s="7">
        <v>27.8</v>
      </c>
      <c r="K254" s="7">
        <v>132</v>
      </c>
      <c r="L254" s="7">
        <v>76.5</v>
      </c>
      <c r="M254" s="7">
        <v>131.30000000000001</v>
      </c>
      <c r="N254" s="7">
        <v>188.5</v>
      </c>
      <c r="O254" s="7">
        <v>59.6</v>
      </c>
      <c r="P254" s="7">
        <v>90</v>
      </c>
      <c r="Q254" s="7">
        <v>4.8</v>
      </c>
    </row>
    <row r="255" spans="1:17">
      <c r="A255" s="2">
        <v>2203</v>
      </c>
      <c r="B255" s="7">
        <v>80.400000000000006</v>
      </c>
      <c r="C255" s="7">
        <v>14.5</v>
      </c>
      <c r="D255" s="7">
        <v>33.9</v>
      </c>
      <c r="E255" s="7">
        <v>5.4</v>
      </c>
      <c r="F255" s="7">
        <v>19.399999999999999</v>
      </c>
      <c r="G255" s="7">
        <v>16</v>
      </c>
      <c r="H255" s="7">
        <v>156.80000000000001</v>
      </c>
      <c r="I255" s="7">
        <v>51.1</v>
      </c>
      <c r="J255" s="7">
        <v>27.9</v>
      </c>
      <c r="K255" s="7">
        <v>132.6</v>
      </c>
      <c r="L255" s="7">
        <v>76.900000000000006</v>
      </c>
      <c r="M255" s="7">
        <v>131.9</v>
      </c>
      <c r="N255" s="7">
        <v>189.3</v>
      </c>
      <c r="O255" s="7">
        <v>59.8</v>
      </c>
      <c r="P255" s="7">
        <v>90.3</v>
      </c>
      <c r="Q255" s="7">
        <v>4.9000000000000004</v>
      </c>
    </row>
    <row r="256" spans="1:17">
      <c r="A256" s="2">
        <v>2204</v>
      </c>
      <c r="B256" s="7">
        <v>80.7</v>
      </c>
      <c r="C256" s="7">
        <v>14.5</v>
      </c>
      <c r="D256" s="7">
        <v>34.1</v>
      </c>
      <c r="E256" s="7">
        <v>5.4</v>
      </c>
      <c r="F256" s="7">
        <v>19.5</v>
      </c>
      <c r="G256" s="7">
        <v>16.100000000000001</v>
      </c>
      <c r="H256" s="7">
        <v>157.4</v>
      </c>
      <c r="I256" s="7">
        <v>51.4</v>
      </c>
      <c r="J256" s="7">
        <v>28.1</v>
      </c>
      <c r="K256" s="7">
        <v>133.1</v>
      </c>
      <c r="L256" s="7">
        <v>77.2</v>
      </c>
      <c r="M256" s="7">
        <v>132.4</v>
      </c>
      <c r="N256" s="7">
        <v>190.1</v>
      </c>
      <c r="O256" s="7">
        <v>60.1</v>
      </c>
      <c r="P256" s="7">
        <v>90.7</v>
      </c>
      <c r="Q256" s="7">
        <v>4.9000000000000004</v>
      </c>
    </row>
    <row r="257" spans="1:17">
      <c r="A257" s="2">
        <v>2205</v>
      </c>
      <c r="B257" s="7">
        <v>81.099999999999994</v>
      </c>
      <c r="C257" s="7">
        <v>14.6</v>
      </c>
      <c r="D257" s="7">
        <v>34.200000000000003</v>
      </c>
      <c r="E257" s="7">
        <v>5.4</v>
      </c>
      <c r="F257" s="7">
        <v>19.600000000000001</v>
      </c>
      <c r="G257" s="7">
        <v>16.100000000000001</v>
      </c>
      <c r="H257" s="7">
        <v>158.1</v>
      </c>
      <c r="I257" s="7">
        <v>51.6</v>
      </c>
      <c r="J257" s="7">
        <v>28.2</v>
      </c>
      <c r="K257" s="7">
        <v>133.69999999999999</v>
      </c>
      <c r="L257" s="7">
        <v>77.5</v>
      </c>
      <c r="M257" s="7">
        <v>133</v>
      </c>
      <c r="N257" s="7">
        <v>190.9</v>
      </c>
      <c r="O257" s="7">
        <v>60.3</v>
      </c>
      <c r="P257" s="7">
        <v>91.1</v>
      </c>
      <c r="Q257" s="7">
        <v>4.9000000000000004</v>
      </c>
    </row>
    <row r="258" spans="1:17">
      <c r="A258" s="2">
        <v>2206</v>
      </c>
      <c r="B258" s="7">
        <v>81.400000000000006</v>
      </c>
      <c r="C258" s="7">
        <v>14.7</v>
      </c>
      <c r="D258" s="7">
        <v>34.299999999999997</v>
      </c>
      <c r="E258" s="7">
        <v>5.4</v>
      </c>
      <c r="F258" s="7">
        <v>19.7</v>
      </c>
      <c r="G258" s="7">
        <v>16.2</v>
      </c>
      <c r="H258" s="7">
        <v>158.69999999999999</v>
      </c>
      <c r="I258" s="7">
        <v>51.8</v>
      </c>
      <c r="J258" s="7">
        <v>28.3</v>
      </c>
      <c r="K258" s="7">
        <v>134.19999999999999</v>
      </c>
      <c r="L258" s="7">
        <v>77.8</v>
      </c>
      <c r="M258" s="7">
        <v>133.5</v>
      </c>
      <c r="N258" s="7">
        <v>191.6</v>
      </c>
      <c r="O258" s="7">
        <v>60.6</v>
      </c>
      <c r="P258" s="7">
        <v>91.5</v>
      </c>
      <c r="Q258" s="7">
        <v>4.9000000000000004</v>
      </c>
    </row>
    <row r="259" spans="1:17">
      <c r="A259" s="2">
        <v>2207</v>
      </c>
      <c r="B259" s="7">
        <v>81.8</v>
      </c>
      <c r="C259" s="7">
        <v>14.7</v>
      </c>
      <c r="D259" s="7">
        <v>34.5</v>
      </c>
      <c r="E259" s="7">
        <v>5.5</v>
      </c>
      <c r="F259" s="7">
        <v>19.8</v>
      </c>
      <c r="G259" s="7">
        <v>16.3</v>
      </c>
      <c r="H259" s="7">
        <v>159.4</v>
      </c>
      <c r="I259" s="7">
        <v>52</v>
      </c>
      <c r="J259" s="7">
        <v>28.4</v>
      </c>
      <c r="K259" s="7">
        <v>134.80000000000001</v>
      </c>
      <c r="L259" s="7">
        <v>78.2</v>
      </c>
      <c r="M259" s="7">
        <v>134.1</v>
      </c>
      <c r="N259" s="7">
        <v>192.4</v>
      </c>
      <c r="O259" s="7">
        <v>60.8</v>
      </c>
      <c r="P259" s="7">
        <v>91.8</v>
      </c>
      <c r="Q259" s="7">
        <v>5</v>
      </c>
    </row>
    <row r="260" spans="1:17">
      <c r="A260" s="2">
        <v>2208</v>
      </c>
      <c r="B260" s="7">
        <v>82.1</v>
      </c>
      <c r="C260" s="7">
        <v>14.8</v>
      </c>
      <c r="D260" s="7">
        <v>34.6</v>
      </c>
      <c r="E260" s="7">
        <v>5.5</v>
      </c>
      <c r="F260" s="7">
        <v>19.8</v>
      </c>
      <c r="G260" s="7">
        <v>16.3</v>
      </c>
      <c r="H260" s="7">
        <v>160</v>
      </c>
      <c r="I260" s="7">
        <v>52.2</v>
      </c>
      <c r="J260" s="7">
        <v>28.5</v>
      </c>
      <c r="K260" s="7">
        <v>135.30000000000001</v>
      </c>
      <c r="L260" s="7">
        <v>78.5</v>
      </c>
      <c r="M260" s="7">
        <v>134.6</v>
      </c>
      <c r="N260" s="7">
        <v>193.2</v>
      </c>
      <c r="O260" s="7">
        <v>61.1</v>
      </c>
      <c r="P260" s="7">
        <v>92.2</v>
      </c>
      <c r="Q260" s="7">
        <v>5</v>
      </c>
    </row>
    <row r="261" spans="1:17">
      <c r="A261" s="2">
        <v>2209</v>
      </c>
      <c r="B261" s="7">
        <v>82.4</v>
      </c>
      <c r="C261" s="7">
        <v>14.9</v>
      </c>
      <c r="D261" s="7">
        <v>34.799999999999997</v>
      </c>
      <c r="E261" s="7">
        <v>5.5</v>
      </c>
      <c r="F261" s="7">
        <v>19.899999999999999</v>
      </c>
      <c r="G261" s="7">
        <v>16.399999999999999</v>
      </c>
      <c r="H261" s="7">
        <v>160.69999999999999</v>
      </c>
      <c r="I261" s="7">
        <v>52.4</v>
      </c>
      <c r="J261" s="7">
        <v>28.6</v>
      </c>
      <c r="K261" s="7">
        <v>135.9</v>
      </c>
      <c r="L261" s="7">
        <v>78.8</v>
      </c>
      <c r="M261" s="7">
        <v>135.19999999999999</v>
      </c>
      <c r="N261" s="7">
        <v>194</v>
      </c>
      <c r="O261" s="7">
        <v>61.3</v>
      </c>
      <c r="P261" s="7">
        <v>92.6</v>
      </c>
      <c r="Q261" s="7">
        <v>5</v>
      </c>
    </row>
    <row r="262" spans="1:17">
      <c r="A262" s="2">
        <v>2210</v>
      </c>
      <c r="B262" s="7">
        <v>82.8</v>
      </c>
      <c r="C262" s="7">
        <v>14.9</v>
      </c>
      <c r="D262" s="7">
        <v>34.9</v>
      </c>
      <c r="E262" s="7">
        <v>5.5</v>
      </c>
      <c r="F262" s="7">
        <v>20</v>
      </c>
      <c r="G262" s="7">
        <v>16.5</v>
      </c>
      <c r="H262" s="7">
        <v>161.30000000000001</v>
      </c>
      <c r="I262" s="7">
        <v>52.6</v>
      </c>
      <c r="J262" s="7">
        <v>28.8</v>
      </c>
      <c r="K262" s="7">
        <v>136.4</v>
      </c>
      <c r="L262" s="7">
        <v>79.099999999999994</v>
      </c>
      <c r="M262" s="7">
        <v>135.69999999999999</v>
      </c>
      <c r="N262" s="7">
        <v>194.8</v>
      </c>
      <c r="O262" s="7">
        <v>61.6</v>
      </c>
      <c r="P262" s="7">
        <v>93</v>
      </c>
      <c r="Q262" s="7">
        <v>5</v>
      </c>
    </row>
    <row r="263" spans="1:17">
      <c r="A263" s="2">
        <v>2211</v>
      </c>
      <c r="B263" s="7">
        <v>83.1</v>
      </c>
      <c r="C263" s="7">
        <v>15</v>
      </c>
      <c r="D263" s="7">
        <v>35</v>
      </c>
      <c r="E263" s="7">
        <v>5.6</v>
      </c>
      <c r="F263" s="7">
        <v>20.100000000000001</v>
      </c>
      <c r="G263" s="7">
        <v>16.5</v>
      </c>
      <c r="H263" s="7">
        <v>162</v>
      </c>
      <c r="I263" s="7">
        <v>52.8</v>
      </c>
      <c r="J263" s="7">
        <v>28.9</v>
      </c>
      <c r="K263" s="7">
        <v>137</v>
      </c>
      <c r="L263" s="7">
        <v>79.400000000000006</v>
      </c>
      <c r="M263" s="7">
        <v>136.30000000000001</v>
      </c>
      <c r="N263" s="7">
        <v>195.6</v>
      </c>
      <c r="O263" s="7">
        <v>61.8</v>
      </c>
      <c r="P263" s="7">
        <v>93.3</v>
      </c>
      <c r="Q263" s="7">
        <v>5</v>
      </c>
    </row>
    <row r="264" spans="1:17">
      <c r="A264" s="2">
        <v>2212</v>
      </c>
      <c r="B264" s="7">
        <v>83.4</v>
      </c>
      <c r="C264" s="7">
        <v>15</v>
      </c>
      <c r="D264" s="7">
        <v>35.200000000000003</v>
      </c>
      <c r="E264" s="7">
        <v>5.6</v>
      </c>
      <c r="F264" s="7">
        <v>20.2</v>
      </c>
      <c r="G264" s="7">
        <v>16.600000000000001</v>
      </c>
      <c r="H264" s="7">
        <v>162.69999999999999</v>
      </c>
      <c r="I264" s="7">
        <v>53.1</v>
      </c>
      <c r="J264" s="7">
        <v>29</v>
      </c>
      <c r="K264" s="7">
        <v>137.5</v>
      </c>
      <c r="L264" s="7">
        <v>79.8</v>
      </c>
      <c r="M264" s="7">
        <v>136.80000000000001</v>
      </c>
      <c r="N264" s="7">
        <v>196.4</v>
      </c>
      <c r="O264" s="7">
        <v>62.1</v>
      </c>
      <c r="P264" s="7">
        <v>93.7</v>
      </c>
      <c r="Q264" s="7">
        <v>5.0999999999999996</v>
      </c>
    </row>
    <row r="265" spans="1:17">
      <c r="A265" s="2">
        <v>2213</v>
      </c>
      <c r="B265" s="7">
        <v>83.8</v>
      </c>
      <c r="C265" s="7">
        <v>15.1</v>
      </c>
      <c r="D265" s="7">
        <v>35.299999999999997</v>
      </c>
      <c r="E265" s="7">
        <v>5.6</v>
      </c>
      <c r="F265" s="7">
        <v>20.3</v>
      </c>
      <c r="G265" s="7">
        <v>16.7</v>
      </c>
      <c r="H265" s="7">
        <v>163.30000000000001</v>
      </c>
      <c r="I265" s="7">
        <v>53.3</v>
      </c>
      <c r="J265" s="7">
        <v>29.1</v>
      </c>
      <c r="K265" s="7">
        <v>138.1</v>
      </c>
      <c r="L265" s="7">
        <v>80.099999999999994</v>
      </c>
      <c r="M265" s="7">
        <v>137.4</v>
      </c>
      <c r="N265" s="7">
        <v>197.2</v>
      </c>
      <c r="O265" s="7">
        <v>62.3</v>
      </c>
      <c r="P265" s="7">
        <v>94.1</v>
      </c>
      <c r="Q265" s="7">
        <v>5.0999999999999996</v>
      </c>
    </row>
    <row r="266" spans="1:17">
      <c r="A266" s="2">
        <v>2214</v>
      </c>
      <c r="B266" s="7">
        <v>84.1</v>
      </c>
      <c r="C266" s="7">
        <v>15.2</v>
      </c>
      <c r="D266" s="7">
        <v>35.5</v>
      </c>
      <c r="E266" s="7">
        <v>5.6</v>
      </c>
      <c r="F266" s="7">
        <v>20.3</v>
      </c>
      <c r="G266" s="7">
        <v>16.7</v>
      </c>
      <c r="H266" s="7">
        <v>164</v>
      </c>
      <c r="I266" s="7">
        <v>53.5</v>
      </c>
      <c r="J266" s="7">
        <v>29.2</v>
      </c>
      <c r="K266" s="7">
        <v>138.6</v>
      </c>
      <c r="L266" s="7">
        <v>80.400000000000006</v>
      </c>
      <c r="M266" s="7">
        <v>137.9</v>
      </c>
      <c r="N266" s="7">
        <v>198</v>
      </c>
      <c r="O266" s="7">
        <v>62.6</v>
      </c>
      <c r="P266" s="7">
        <v>94.5</v>
      </c>
      <c r="Q266" s="7">
        <v>5.0999999999999996</v>
      </c>
    </row>
    <row r="267" spans="1:17">
      <c r="A267" s="2">
        <v>2215</v>
      </c>
      <c r="B267" s="7">
        <v>84.4</v>
      </c>
      <c r="C267" s="7">
        <v>15.2</v>
      </c>
      <c r="D267" s="7">
        <v>35.6</v>
      </c>
      <c r="E267" s="7">
        <v>5.6</v>
      </c>
      <c r="F267" s="7">
        <v>20.399999999999999</v>
      </c>
      <c r="G267" s="7">
        <v>16.8</v>
      </c>
      <c r="H267" s="7">
        <v>164.6</v>
      </c>
      <c r="I267" s="7">
        <v>53.7</v>
      </c>
      <c r="J267" s="7">
        <v>29.3</v>
      </c>
      <c r="K267" s="7">
        <v>139.19999999999999</v>
      </c>
      <c r="L267" s="7">
        <v>80.7</v>
      </c>
      <c r="M267" s="7">
        <v>138.5</v>
      </c>
      <c r="N267" s="7">
        <v>198.8</v>
      </c>
      <c r="O267" s="7">
        <v>62.8</v>
      </c>
      <c r="P267" s="7">
        <v>94.9</v>
      </c>
      <c r="Q267" s="7">
        <v>5.0999999999999996</v>
      </c>
    </row>
    <row r="268" spans="1:17">
      <c r="A268" s="2">
        <v>2216</v>
      </c>
      <c r="B268" s="7">
        <v>84.8</v>
      </c>
      <c r="C268" s="7">
        <v>15.3</v>
      </c>
      <c r="D268" s="7">
        <v>35.700000000000003</v>
      </c>
      <c r="E268" s="7">
        <v>5.7</v>
      </c>
      <c r="F268" s="7">
        <v>20.5</v>
      </c>
      <c r="G268" s="7">
        <v>16.899999999999999</v>
      </c>
      <c r="H268" s="7">
        <v>165.3</v>
      </c>
      <c r="I268" s="7">
        <v>53.9</v>
      </c>
      <c r="J268" s="7">
        <v>29.5</v>
      </c>
      <c r="K268" s="7">
        <v>139.80000000000001</v>
      </c>
      <c r="L268" s="7">
        <v>81</v>
      </c>
      <c r="M268" s="7">
        <v>139</v>
      </c>
      <c r="N268" s="7">
        <v>199.6</v>
      </c>
      <c r="O268" s="7">
        <v>63.1</v>
      </c>
      <c r="P268" s="7">
        <v>95.2</v>
      </c>
      <c r="Q268" s="7">
        <v>5.0999999999999996</v>
      </c>
    </row>
    <row r="269" spans="1:17">
      <c r="A269" s="2">
        <v>2217</v>
      </c>
      <c r="B269" s="7">
        <v>85.1</v>
      </c>
      <c r="C269" s="7">
        <v>15.3</v>
      </c>
      <c r="D269" s="7">
        <v>35.9</v>
      </c>
      <c r="E269" s="7">
        <v>5.7</v>
      </c>
      <c r="F269" s="7">
        <v>20.6</v>
      </c>
      <c r="G269" s="7">
        <v>16.899999999999999</v>
      </c>
      <c r="H269" s="7">
        <v>165.9</v>
      </c>
      <c r="I269" s="7">
        <v>54.1</v>
      </c>
      <c r="J269" s="7">
        <v>29.6</v>
      </c>
      <c r="K269" s="7">
        <v>140.30000000000001</v>
      </c>
      <c r="L269" s="7">
        <v>81.400000000000006</v>
      </c>
      <c r="M269" s="7">
        <v>139.6</v>
      </c>
      <c r="N269" s="7">
        <v>200.4</v>
      </c>
      <c r="O269" s="7">
        <v>63.3</v>
      </c>
      <c r="P269" s="7">
        <v>95.6</v>
      </c>
      <c r="Q269" s="7">
        <v>5.2</v>
      </c>
    </row>
    <row r="270" spans="1:17">
      <c r="A270" s="2">
        <v>2218</v>
      </c>
      <c r="B270" s="7">
        <v>85.4</v>
      </c>
      <c r="C270" s="7">
        <v>15.4</v>
      </c>
      <c r="D270" s="7">
        <v>36</v>
      </c>
      <c r="E270" s="7">
        <v>5.7</v>
      </c>
      <c r="F270" s="7">
        <v>20.7</v>
      </c>
      <c r="G270" s="7">
        <v>17</v>
      </c>
      <c r="H270" s="7">
        <v>166.6</v>
      </c>
      <c r="I270" s="7">
        <v>54.3</v>
      </c>
      <c r="J270" s="7">
        <v>29.7</v>
      </c>
      <c r="K270" s="7">
        <v>140.9</v>
      </c>
      <c r="L270" s="7">
        <v>81.7</v>
      </c>
      <c r="M270" s="7">
        <v>140.1</v>
      </c>
      <c r="N270" s="7">
        <v>201.1</v>
      </c>
      <c r="O270" s="7">
        <v>63.6</v>
      </c>
      <c r="P270" s="7">
        <v>96</v>
      </c>
      <c r="Q270" s="7">
        <v>5.2</v>
      </c>
    </row>
    <row r="271" spans="1:17">
      <c r="A271" s="2">
        <v>2219</v>
      </c>
      <c r="B271" s="7">
        <v>85.8</v>
      </c>
      <c r="C271" s="7">
        <v>15.5</v>
      </c>
      <c r="D271" s="7">
        <v>36.200000000000003</v>
      </c>
      <c r="E271" s="7">
        <v>5.7</v>
      </c>
      <c r="F271" s="7">
        <v>20.7</v>
      </c>
      <c r="G271" s="7">
        <v>17.100000000000001</v>
      </c>
      <c r="H271" s="7">
        <v>167.2</v>
      </c>
      <c r="I271" s="7">
        <v>54.6</v>
      </c>
      <c r="J271" s="7">
        <v>29.8</v>
      </c>
      <c r="K271" s="7">
        <v>141.4</v>
      </c>
      <c r="L271" s="7">
        <v>82</v>
      </c>
      <c r="M271" s="7">
        <v>140.69999999999999</v>
      </c>
      <c r="N271" s="7">
        <v>201.9</v>
      </c>
      <c r="O271" s="7">
        <v>63.8</v>
      </c>
      <c r="P271" s="7">
        <v>96.4</v>
      </c>
      <c r="Q271" s="7">
        <v>5.2</v>
      </c>
    </row>
    <row r="272" spans="1:17">
      <c r="A272" s="2">
        <v>2220</v>
      </c>
      <c r="B272" s="7">
        <v>86.1</v>
      </c>
      <c r="C272" s="7">
        <v>15.5</v>
      </c>
      <c r="D272" s="7">
        <v>36.299999999999997</v>
      </c>
      <c r="E272" s="7">
        <v>5.8</v>
      </c>
      <c r="F272" s="7">
        <v>20.8</v>
      </c>
      <c r="G272" s="7">
        <v>17.100000000000001</v>
      </c>
      <c r="H272" s="7">
        <v>167.9</v>
      </c>
      <c r="I272" s="7">
        <v>54.8</v>
      </c>
      <c r="J272" s="7">
        <v>29.9</v>
      </c>
      <c r="K272" s="7">
        <v>142</v>
      </c>
      <c r="L272" s="7">
        <v>82.3</v>
      </c>
      <c r="M272" s="7">
        <v>141.19999999999999</v>
      </c>
      <c r="N272" s="7">
        <v>202.7</v>
      </c>
      <c r="O272" s="7">
        <v>64.099999999999994</v>
      </c>
      <c r="P272" s="7">
        <v>96.7</v>
      </c>
      <c r="Q272" s="7">
        <v>5.2</v>
      </c>
    </row>
    <row r="273" spans="1:17">
      <c r="A273" s="2">
        <v>2221</v>
      </c>
      <c r="B273" s="7">
        <v>86.5</v>
      </c>
      <c r="C273" s="7">
        <v>15.6</v>
      </c>
      <c r="D273" s="7">
        <v>36.5</v>
      </c>
      <c r="E273" s="7">
        <v>5.8</v>
      </c>
      <c r="F273" s="7">
        <v>20.9</v>
      </c>
      <c r="G273" s="7">
        <v>17.2</v>
      </c>
      <c r="H273" s="7">
        <v>168.5</v>
      </c>
      <c r="I273" s="7">
        <v>55</v>
      </c>
      <c r="J273" s="7">
        <v>30</v>
      </c>
      <c r="K273" s="7">
        <v>142.5</v>
      </c>
      <c r="L273" s="7">
        <v>82.7</v>
      </c>
      <c r="M273" s="7">
        <v>141.80000000000001</v>
      </c>
      <c r="N273" s="7">
        <v>203.5</v>
      </c>
      <c r="O273" s="7">
        <v>64.3</v>
      </c>
      <c r="P273" s="7">
        <v>97.1</v>
      </c>
      <c r="Q273" s="7">
        <v>5.3</v>
      </c>
    </row>
    <row r="274" spans="1:17">
      <c r="A274" s="2">
        <v>2222</v>
      </c>
      <c r="B274" s="7">
        <v>86.8</v>
      </c>
      <c r="C274" s="7">
        <v>15.7</v>
      </c>
      <c r="D274" s="7">
        <v>36.6</v>
      </c>
      <c r="E274" s="7">
        <v>5.8</v>
      </c>
      <c r="F274" s="7">
        <v>21</v>
      </c>
      <c r="G274" s="7">
        <v>17.3</v>
      </c>
      <c r="H274" s="7">
        <v>169.2</v>
      </c>
      <c r="I274" s="7">
        <v>55.2</v>
      </c>
      <c r="J274" s="7">
        <v>30.2</v>
      </c>
      <c r="K274" s="7">
        <v>143.1</v>
      </c>
      <c r="L274" s="7">
        <v>83</v>
      </c>
      <c r="M274" s="7">
        <v>142.30000000000001</v>
      </c>
      <c r="N274" s="7">
        <v>204.3</v>
      </c>
      <c r="O274" s="7">
        <v>64.599999999999994</v>
      </c>
      <c r="P274" s="7">
        <v>97.5</v>
      </c>
      <c r="Q274" s="7">
        <v>5.3</v>
      </c>
    </row>
    <row r="275" spans="1:17">
      <c r="A275" s="2">
        <v>2223</v>
      </c>
      <c r="B275" s="7">
        <v>87.1</v>
      </c>
      <c r="C275" s="7">
        <v>15.7</v>
      </c>
      <c r="D275" s="7">
        <v>36.700000000000003</v>
      </c>
      <c r="E275" s="7">
        <v>5.8</v>
      </c>
      <c r="F275" s="7">
        <v>21.1</v>
      </c>
      <c r="G275" s="7">
        <v>17.3</v>
      </c>
      <c r="H275" s="7">
        <v>169.9</v>
      </c>
      <c r="I275" s="7">
        <v>55.4</v>
      </c>
      <c r="J275" s="7">
        <v>30.3</v>
      </c>
      <c r="K275" s="7">
        <v>143.6</v>
      </c>
      <c r="L275" s="7">
        <v>83.3</v>
      </c>
      <c r="M275" s="7">
        <v>142.9</v>
      </c>
      <c r="N275" s="7">
        <v>205.1</v>
      </c>
      <c r="O275" s="7">
        <v>64.8</v>
      </c>
      <c r="P275" s="7">
        <v>97.9</v>
      </c>
      <c r="Q275" s="7">
        <v>5.3</v>
      </c>
    </row>
    <row r="276" spans="1:17">
      <c r="A276" s="2">
        <v>2224</v>
      </c>
      <c r="B276" s="7">
        <v>87.5</v>
      </c>
      <c r="C276" s="7">
        <v>15.8</v>
      </c>
      <c r="D276" s="7">
        <v>36.9</v>
      </c>
      <c r="E276" s="7">
        <v>5.9</v>
      </c>
      <c r="F276" s="7">
        <v>21.1</v>
      </c>
      <c r="G276" s="7">
        <v>17.399999999999999</v>
      </c>
      <c r="H276" s="7">
        <v>170.5</v>
      </c>
      <c r="I276" s="7">
        <v>55.6</v>
      </c>
      <c r="J276" s="7">
        <v>30.4</v>
      </c>
      <c r="K276" s="7">
        <v>144.19999999999999</v>
      </c>
      <c r="L276" s="7">
        <v>83.6</v>
      </c>
      <c r="M276" s="7">
        <v>143.4</v>
      </c>
      <c r="N276" s="7">
        <v>205.9</v>
      </c>
      <c r="O276" s="7">
        <v>65.099999999999994</v>
      </c>
      <c r="P276" s="7">
        <v>98.2</v>
      </c>
      <c r="Q276" s="7">
        <v>5.3</v>
      </c>
    </row>
    <row r="277" spans="1:17">
      <c r="A277" s="2">
        <v>2225</v>
      </c>
      <c r="B277" s="7">
        <v>87.8</v>
      </c>
      <c r="C277" s="7">
        <v>15.8</v>
      </c>
      <c r="D277" s="7">
        <v>37</v>
      </c>
      <c r="E277" s="7">
        <v>5.9</v>
      </c>
      <c r="F277" s="7">
        <v>21.2</v>
      </c>
      <c r="G277" s="7">
        <v>17.5</v>
      </c>
      <c r="H277" s="7">
        <v>171.2</v>
      </c>
      <c r="I277" s="7">
        <v>55.8</v>
      </c>
      <c r="J277" s="7">
        <v>30.5</v>
      </c>
      <c r="K277" s="7">
        <v>144.69999999999999</v>
      </c>
      <c r="L277" s="7">
        <v>83.9</v>
      </c>
      <c r="M277" s="7">
        <v>144</v>
      </c>
      <c r="N277" s="7">
        <v>206.7</v>
      </c>
      <c r="O277" s="7">
        <v>65.3</v>
      </c>
      <c r="P277" s="7">
        <v>98.6</v>
      </c>
      <c r="Q277" s="7">
        <v>5.3</v>
      </c>
    </row>
    <row r="278" spans="1:17">
      <c r="A278" s="2">
        <v>2226</v>
      </c>
      <c r="B278" s="7">
        <v>88.1</v>
      </c>
      <c r="C278" s="7">
        <v>15.9</v>
      </c>
      <c r="D278" s="7">
        <v>37.200000000000003</v>
      </c>
      <c r="E278" s="7">
        <v>5.9</v>
      </c>
      <c r="F278" s="7">
        <v>21.3</v>
      </c>
      <c r="G278" s="7">
        <v>17.5</v>
      </c>
      <c r="H278" s="7">
        <v>171.8</v>
      </c>
      <c r="I278" s="7">
        <v>56</v>
      </c>
      <c r="J278" s="7">
        <v>30.6</v>
      </c>
      <c r="K278" s="7">
        <v>145.30000000000001</v>
      </c>
      <c r="L278" s="7">
        <v>84.3</v>
      </c>
      <c r="M278" s="7">
        <v>144.5</v>
      </c>
      <c r="N278" s="7">
        <v>207.5</v>
      </c>
      <c r="O278" s="7">
        <v>65.599999999999994</v>
      </c>
      <c r="P278" s="7">
        <v>99</v>
      </c>
      <c r="Q278" s="7">
        <v>5.4</v>
      </c>
    </row>
    <row r="279" spans="1:17">
      <c r="A279" s="2">
        <v>2227</v>
      </c>
      <c r="B279" s="7">
        <v>88.5</v>
      </c>
      <c r="C279" s="7">
        <v>16</v>
      </c>
      <c r="D279" s="7">
        <v>37.299999999999997</v>
      </c>
      <c r="E279" s="7">
        <v>5.9</v>
      </c>
      <c r="F279" s="7">
        <v>21.4</v>
      </c>
      <c r="G279" s="7">
        <v>17.600000000000001</v>
      </c>
      <c r="H279" s="7">
        <v>172.5</v>
      </c>
      <c r="I279" s="7">
        <v>56.3</v>
      </c>
      <c r="J279" s="7">
        <v>30.7</v>
      </c>
      <c r="K279" s="7">
        <v>145.80000000000001</v>
      </c>
      <c r="L279" s="7">
        <v>84.6</v>
      </c>
      <c r="M279" s="7">
        <v>145.1</v>
      </c>
      <c r="N279" s="7">
        <v>208.3</v>
      </c>
      <c r="O279" s="7">
        <v>65.8</v>
      </c>
      <c r="P279" s="7">
        <v>99.4</v>
      </c>
      <c r="Q279" s="7">
        <v>5.4</v>
      </c>
    </row>
    <row r="280" spans="1:17">
      <c r="A280" s="2">
        <v>2228</v>
      </c>
      <c r="B280" s="7">
        <v>88.8</v>
      </c>
      <c r="C280" s="7">
        <v>16</v>
      </c>
      <c r="D280" s="7">
        <v>37.4</v>
      </c>
      <c r="E280" s="7">
        <v>5.9</v>
      </c>
      <c r="F280" s="7">
        <v>21.5</v>
      </c>
      <c r="G280" s="7">
        <v>17.7</v>
      </c>
      <c r="H280" s="7">
        <v>173.1</v>
      </c>
      <c r="I280" s="7">
        <v>56.5</v>
      </c>
      <c r="J280" s="7">
        <v>30.9</v>
      </c>
      <c r="K280" s="7">
        <v>146.4</v>
      </c>
      <c r="L280" s="7">
        <v>84.9</v>
      </c>
      <c r="M280" s="7">
        <v>145.6</v>
      </c>
      <c r="N280" s="7">
        <v>209.1</v>
      </c>
      <c r="O280" s="7">
        <v>66.099999999999994</v>
      </c>
      <c r="P280" s="7">
        <v>99.8</v>
      </c>
      <c r="Q280" s="7">
        <v>5.4</v>
      </c>
    </row>
    <row r="281" spans="1:17">
      <c r="A281" s="2">
        <v>2229</v>
      </c>
      <c r="B281" s="7">
        <v>89.1</v>
      </c>
      <c r="C281" s="7">
        <v>16.100000000000001</v>
      </c>
      <c r="D281" s="7">
        <v>37.6</v>
      </c>
      <c r="E281" s="7">
        <v>6</v>
      </c>
      <c r="F281" s="7">
        <v>21.6</v>
      </c>
      <c r="G281" s="7">
        <v>17.7</v>
      </c>
      <c r="H281" s="7">
        <v>173.8</v>
      </c>
      <c r="I281" s="7">
        <v>56.7</v>
      </c>
      <c r="J281" s="7">
        <v>31</v>
      </c>
      <c r="K281" s="7">
        <v>147</v>
      </c>
      <c r="L281" s="7">
        <v>85.2</v>
      </c>
      <c r="M281" s="7">
        <v>146.19999999999999</v>
      </c>
      <c r="N281" s="7">
        <v>209.9</v>
      </c>
      <c r="O281" s="7">
        <v>66.3</v>
      </c>
      <c r="P281" s="7">
        <v>100.1</v>
      </c>
      <c r="Q281" s="7">
        <v>5.4</v>
      </c>
    </row>
    <row r="282" spans="1:17">
      <c r="A282" s="2">
        <v>2230</v>
      </c>
      <c r="B282" s="7">
        <v>89.5</v>
      </c>
      <c r="C282" s="7">
        <v>16.100000000000001</v>
      </c>
      <c r="D282" s="7">
        <v>37.700000000000003</v>
      </c>
      <c r="E282" s="7">
        <v>6</v>
      </c>
      <c r="F282" s="7">
        <v>21.6</v>
      </c>
      <c r="G282" s="7">
        <v>17.8</v>
      </c>
      <c r="H282" s="7">
        <v>174.4</v>
      </c>
      <c r="I282" s="7">
        <v>56.9</v>
      </c>
      <c r="J282" s="7">
        <v>31.1</v>
      </c>
      <c r="K282" s="7">
        <v>147.5</v>
      </c>
      <c r="L282" s="7">
        <v>85.6</v>
      </c>
      <c r="M282" s="7">
        <v>146.69999999999999</v>
      </c>
      <c r="N282" s="7">
        <v>210.6</v>
      </c>
      <c r="O282" s="7">
        <v>66.599999999999994</v>
      </c>
      <c r="P282" s="7">
        <v>100.5</v>
      </c>
      <c r="Q282" s="7">
        <v>5.5</v>
      </c>
    </row>
    <row r="283" spans="1:17">
      <c r="A283" s="2">
        <v>2231</v>
      </c>
      <c r="B283" s="7">
        <v>89.8</v>
      </c>
      <c r="C283" s="7">
        <v>16.2</v>
      </c>
      <c r="D283" s="7">
        <v>37.9</v>
      </c>
      <c r="E283" s="7">
        <v>6</v>
      </c>
      <c r="F283" s="7">
        <v>21.7</v>
      </c>
      <c r="G283" s="7">
        <v>17.899999999999999</v>
      </c>
      <c r="H283" s="7">
        <v>175.1</v>
      </c>
      <c r="I283" s="7">
        <v>57.1</v>
      </c>
      <c r="J283" s="7">
        <v>31.2</v>
      </c>
      <c r="K283" s="7">
        <v>148.1</v>
      </c>
      <c r="L283" s="7">
        <v>85.9</v>
      </c>
      <c r="M283" s="7">
        <v>147.30000000000001</v>
      </c>
      <c r="N283" s="7">
        <v>211.4</v>
      </c>
      <c r="O283" s="7">
        <v>66.8</v>
      </c>
      <c r="P283" s="7">
        <v>100.9</v>
      </c>
      <c r="Q283" s="7">
        <v>5.5</v>
      </c>
    </row>
    <row r="284" spans="1:17">
      <c r="A284" s="2">
        <v>2232</v>
      </c>
      <c r="B284" s="7">
        <v>90.1</v>
      </c>
      <c r="C284" s="7">
        <v>16.3</v>
      </c>
      <c r="D284" s="7">
        <v>38</v>
      </c>
      <c r="E284" s="7">
        <v>6</v>
      </c>
      <c r="F284" s="7">
        <v>21.8</v>
      </c>
      <c r="G284" s="7">
        <v>17.899999999999999</v>
      </c>
      <c r="H284" s="7">
        <v>175.7</v>
      </c>
      <c r="I284" s="7">
        <v>57.3</v>
      </c>
      <c r="J284" s="7">
        <v>31.3</v>
      </c>
      <c r="K284" s="7">
        <v>148.6</v>
      </c>
      <c r="L284" s="7">
        <v>86.2</v>
      </c>
      <c r="M284" s="7">
        <v>147.80000000000001</v>
      </c>
      <c r="N284" s="7">
        <v>212.2</v>
      </c>
      <c r="O284" s="7">
        <v>67.099999999999994</v>
      </c>
      <c r="P284" s="7">
        <v>101.3</v>
      </c>
      <c r="Q284" s="7">
        <v>5.5</v>
      </c>
    </row>
    <row r="285" spans="1:17">
      <c r="A285" s="2">
        <v>2233</v>
      </c>
      <c r="B285" s="7">
        <v>90.5</v>
      </c>
      <c r="C285" s="7">
        <v>16.3</v>
      </c>
      <c r="D285" s="7">
        <v>38.1</v>
      </c>
      <c r="E285" s="7">
        <v>6.1</v>
      </c>
      <c r="F285" s="7">
        <v>21.9</v>
      </c>
      <c r="G285" s="7">
        <v>18</v>
      </c>
      <c r="H285" s="7">
        <v>176.4</v>
      </c>
      <c r="I285" s="7">
        <v>57.5</v>
      </c>
      <c r="J285" s="7">
        <v>31.4</v>
      </c>
      <c r="K285" s="7">
        <v>149.19999999999999</v>
      </c>
      <c r="L285" s="7">
        <v>86.5</v>
      </c>
      <c r="M285" s="7">
        <v>148.4</v>
      </c>
      <c r="N285" s="7">
        <v>213</v>
      </c>
      <c r="O285" s="7">
        <v>67.3</v>
      </c>
      <c r="P285" s="7">
        <v>101.6</v>
      </c>
      <c r="Q285" s="7">
        <v>5.5</v>
      </c>
    </row>
    <row r="286" spans="1:17">
      <c r="A286" s="2">
        <v>2234</v>
      </c>
      <c r="B286" s="7">
        <v>90.8</v>
      </c>
      <c r="C286" s="7">
        <v>16.399999999999999</v>
      </c>
      <c r="D286" s="7">
        <v>38.299999999999997</v>
      </c>
      <c r="E286" s="7">
        <v>6.1</v>
      </c>
      <c r="F286" s="7">
        <v>22</v>
      </c>
      <c r="G286" s="7">
        <v>18.100000000000001</v>
      </c>
      <c r="H286" s="7">
        <v>177.1</v>
      </c>
      <c r="I286" s="7">
        <v>57.8</v>
      </c>
      <c r="J286" s="7">
        <v>31.6</v>
      </c>
      <c r="K286" s="7">
        <v>149.69999999999999</v>
      </c>
      <c r="L286" s="7">
        <v>86.8</v>
      </c>
      <c r="M286" s="7">
        <v>148.9</v>
      </c>
      <c r="N286" s="7">
        <v>213.8</v>
      </c>
      <c r="O286" s="7">
        <v>67.599999999999994</v>
      </c>
      <c r="P286" s="7">
        <v>102</v>
      </c>
      <c r="Q286" s="7">
        <v>5.5</v>
      </c>
    </row>
    <row r="287" spans="1:17">
      <c r="A287" s="2">
        <v>2235</v>
      </c>
      <c r="B287" s="7">
        <v>91.2</v>
      </c>
      <c r="C287" s="7">
        <v>16.5</v>
      </c>
      <c r="D287" s="7">
        <v>38.4</v>
      </c>
      <c r="E287" s="7">
        <v>6.1</v>
      </c>
      <c r="F287" s="7">
        <v>22</v>
      </c>
      <c r="G287" s="7">
        <v>18.100000000000001</v>
      </c>
      <c r="H287" s="7">
        <v>177.7</v>
      </c>
      <c r="I287" s="7">
        <v>58</v>
      </c>
      <c r="J287" s="7">
        <v>31.7</v>
      </c>
      <c r="K287" s="7">
        <v>150.30000000000001</v>
      </c>
      <c r="L287" s="7">
        <v>87.2</v>
      </c>
      <c r="M287" s="7">
        <v>149.5</v>
      </c>
      <c r="N287" s="7">
        <v>214.6</v>
      </c>
      <c r="O287" s="7">
        <v>67.8</v>
      </c>
      <c r="P287" s="7">
        <v>102.4</v>
      </c>
      <c r="Q287" s="7">
        <v>5.6</v>
      </c>
    </row>
    <row r="288" spans="1:17">
      <c r="A288" s="2">
        <v>2236</v>
      </c>
      <c r="B288" s="7">
        <v>91.5</v>
      </c>
      <c r="C288" s="7">
        <v>16.5</v>
      </c>
      <c r="D288" s="7">
        <v>38.6</v>
      </c>
      <c r="E288" s="7">
        <v>6.1</v>
      </c>
      <c r="F288" s="7">
        <v>22.1</v>
      </c>
      <c r="G288" s="7">
        <v>18.2</v>
      </c>
      <c r="H288" s="7">
        <v>178.4</v>
      </c>
      <c r="I288" s="7">
        <v>58.2</v>
      </c>
      <c r="J288" s="7">
        <v>31.8</v>
      </c>
      <c r="K288" s="7">
        <v>150.80000000000001</v>
      </c>
      <c r="L288" s="7">
        <v>87.5</v>
      </c>
      <c r="M288" s="7">
        <v>150</v>
      </c>
      <c r="N288" s="7">
        <v>215.4</v>
      </c>
      <c r="O288" s="7">
        <v>68.099999999999994</v>
      </c>
      <c r="P288" s="7">
        <v>102.8</v>
      </c>
      <c r="Q288" s="7">
        <v>5.6</v>
      </c>
    </row>
    <row r="289" spans="1:17">
      <c r="A289" s="2">
        <v>2237</v>
      </c>
      <c r="B289" s="7">
        <v>91.8</v>
      </c>
      <c r="C289" s="7">
        <v>16.600000000000001</v>
      </c>
      <c r="D289" s="7">
        <v>38.700000000000003</v>
      </c>
      <c r="E289" s="7">
        <v>6.1</v>
      </c>
      <c r="F289" s="7">
        <v>22.2</v>
      </c>
      <c r="G289" s="7">
        <v>18.3</v>
      </c>
      <c r="H289" s="7">
        <v>179</v>
      </c>
      <c r="I289" s="7">
        <v>58.4</v>
      </c>
      <c r="J289" s="7">
        <v>31.9</v>
      </c>
      <c r="K289" s="7">
        <v>151.4</v>
      </c>
      <c r="L289" s="7">
        <v>87.8</v>
      </c>
      <c r="M289" s="7">
        <v>150.6</v>
      </c>
      <c r="N289" s="7">
        <v>216.2</v>
      </c>
      <c r="O289" s="7">
        <v>68.3</v>
      </c>
      <c r="P289" s="7">
        <v>103.1</v>
      </c>
      <c r="Q289" s="7">
        <v>5.6</v>
      </c>
    </row>
    <row r="290" spans="1:17">
      <c r="A290" s="2">
        <v>2238</v>
      </c>
      <c r="B290" s="7">
        <v>92.2</v>
      </c>
      <c r="C290" s="7">
        <v>16.600000000000001</v>
      </c>
      <c r="D290" s="7">
        <v>38.799999999999997</v>
      </c>
      <c r="E290" s="7">
        <v>6.2</v>
      </c>
      <c r="F290" s="7">
        <v>22.3</v>
      </c>
      <c r="G290" s="7">
        <v>18.3</v>
      </c>
      <c r="H290" s="7">
        <v>179.7</v>
      </c>
      <c r="I290" s="7">
        <v>58.6</v>
      </c>
      <c r="J290" s="7">
        <v>32</v>
      </c>
      <c r="K290" s="7">
        <v>151.9</v>
      </c>
      <c r="L290" s="7">
        <v>88.1</v>
      </c>
      <c r="M290" s="7">
        <v>151.1</v>
      </c>
      <c r="N290" s="7">
        <v>217</v>
      </c>
      <c r="O290" s="7">
        <v>68.5</v>
      </c>
      <c r="P290" s="7">
        <v>103.5</v>
      </c>
      <c r="Q290" s="7">
        <v>5.6</v>
      </c>
    </row>
    <row r="291" spans="1:17">
      <c r="A291" s="2">
        <v>2239</v>
      </c>
      <c r="B291" s="7">
        <v>92.5</v>
      </c>
      <c r="C291" s="7">
        <v>16.7</v>
      </c>
      <c r="D291" s="7">
        <v>39</v>
      </c>
      <c r="E291" s="7">
        <v>6.2</v>
      </c>
      <c r="F291" s="7">
        <v>22.4</v>
      </c>
      <c r="G291" s="7">
        <v>18.399999999999999</v>
      </c>
      <c r="H291" s="7">
        <v>180.3</v>
      </c>
      <c r="I291" s="7">
        <v>58.8</v>
      </c>
      <c r="J291" s="7">
        <v>32.1</v>
      </c>
      <c r="K291" s="7">
        <v>152.5</v>
      </c>
      <c r="L291" s="7">
        <v>88.5</v>
      </c>
      <c r="M291" s="7">
        <v>151.69999999999999</v>
      </c>
      <c r="N291" s="7">
        <v>217.8</v>
      </c>
      <c r="O291" s="7">
        <v>68.8</v>
      </c>
      <c r="P291" s="7">
        <v>103.9</v>
      </c>
      <c r="Q291" s="7">
        <v>5.7</v>
      </c>
    </row>
    <row r="292" spans="1:17">
      <c r="A292" s="2">
        <v>2240</v>
      </c>
      <c r="B292" s="7">
        <v>92.8</v>
      </c>
      <c r="C292" s="7">
        <v>16.8</v>
      </c>
      <c r="D292" s="7">
        <v>39.1</v>
      </c>
      <c r="E292" s="7">
        <v>6.2</v>
      </c>
      <c r="F292" s="7">
        <v>22.4</v>
      </c>
      <c r="G292" s="7">
        <v>18.5</v>
      </c>
      <c r="H292" s="7">
        <v>181</v>
      </c>
      <c r="I292" s="7">
        <v>59</v>
      </c>
      <c r="J292" s="7">
        <v>32.299999999999997</v>
      </c>
      <c r="K292" s="7">
        <v>153</v>
      </c>
      <c r="L292" s="7">
        <v>88.8</v>
      </c>
      <c r="M292" s="7">
        <v>152.19999999999999</v>
      </c>
      <c r="N292" s="7">
        <v>218.6</v>
      </c>
      <c r="O292" s="7">
        <v>69</v>
      </c>
      <c r="P292" s="7">
        <v>104.3</v>
      </c>
      <c r="Q292" s="7">
        <v>5.7</v>
      </c>
    </row>
    <row r="293" spans="1:17">
      <c r="A293" s="2">
        <v>2241</v>
      </c>
      <c r="B293" s="7">
        <v>93.2</v>
      </c>
      <c r="C293" s="7">
        <v>16.8</v>
      </c>
      <c r="D293" s="7">
        <v>39.299999999999997</v>
      </c>
      <c r="E293" s="7">
        <v>6.2</v>
      </c>
      <c r="F293" s="7">
        <v>22.5</v>
      </c>
      <c r="G293" s="7">
        <v>18.5</v>
      </c>
      <c r="H293" s="7">
        <v>181.6</v>
      </c>
      <c r="I293" s="7">
        <v>59.2</v>
      </c>
      <c r="J293" s="7">
        <v>32.4</v>
      </c>
      <c r="K293" s="7">
        <v>153.6</v>
      </c>
      <c r="L293" s="7">
        <v>89.1</v>
      </c>
      <c r="M293" s="7">
        <v>152.80000000000001</v>
      </c>
      <c r="N293" s="7">
        <v>219.3</v>
      </c>
      <c r="O293" s="7">
        <v>69.3</v>
      </c>
      <c r="P293" s="7">
        <v>104.7</v>
      </c>
      <c r="Q293" s="7">
        <v>5.7</v>
      </c>
    </row>
    <row r="294" spans="1:17">
      <c r="A294" s="2">
        <v>2242</v>
      </c>
      <c r="B294" s="7">
        <v>93.5</v>
      </c>
      <c r="C294" s="7">
        <v>16.899999999999999</v>
      </c>
      <c r="D294" s="7">
        <v>39.4</v>
      </c>
      <c r="E294" s="7">
        <v>6.3</v>
      </c>
      <c r="F294" s="7">
        <v>22.6</v>
      </c>
      <c r="G294" s="7">
        <v>18.600000000000001</v>
      </c>
      <c r="H294" s="7">
        <v>182.3</v>
      </c>
      <c r="I294" s="7">
        <v>59.5</v>
      </c>
      <c r="J294" s="7">
        <v>32.5</v>
      </c>
      <c r="K294" s="7">
        <v>154.1</v>
      </c>
      <c r="L294" s="7">
        <v>89.4</v>
      </c>
      <c r="M294" s="7">
        <v>153.30000000000001</v>
      </c>
      <c r="N294" s="7">
        <v>220.1</v>
      </c>
      <c r="O294" s="7">
        <v>69.5</v>
      </c>
      <c r="P294" s="7">
        <v>105</v>
      </c>
      <c r="Q294" s="7">
        <v>5.7</v>
      </c>
    </row>
    <row r="295" spans="1:17">
      <c r="A295" s="2">
        <v>2243</v>
      </c>
      <c r="B295" s="7">
        <v>93.8</v>
      </c>
      <c r="C295" s="7">
        <v>16.899999999999999</v>
      </c>
      <c r="D295" s="7">
        <v>39.5</v>
      </c>
      <c r="E295" s="7">
        <v>6.3</v>
      </c>
      <c r="F295" s="7">
        <v>22.7</v>
      </c>
      <c r="G295" s="7">
        <v>18.7</v>
      </c>
      <c r="H295" s="7">
        <v>182.9</v>
      </c>
      <c r="I295" s="7">
        <v>59.7</v>
      </c>
      <c r="J295" s="7">
        <v>32.6</v>
      </c>
      <c r="K295" s="7">
        <v>154.69999999999999</v>
      </c>
      <c r="L295" s="7">
        <v>89.7</v>
      </c>
      <c r="M295" s="7">
        <v>153.9</v>
      </c>
      <c r="N295" s="7">
        <v>220.9</v>
      </c>
      <c r="O295" s="7">
        <v>69.8</v>
      </c>
      <c r="P295" s="7">
        <v>105.4</v>
      </c>
      <c r="Q295" s="7">
        <v>5.7</v>
      </c>
    </row>
    <row r="296" spans="1:17">
      <c r="A296" s="2">
        <v>2244</v>
      </c>
      <c r="B296" s="7">
        <v>94.2</v>
      </c>
      <c r="C296" s="7">
        <v>17</v>
      </c>
      <c r="D296" s="7">
        <v>39.700000000000003</v>
      </c>
      <c r="E296" s="7">
        <v>6.3</v>
      </c>
      <c r="F296" s="7">
        <v>22.8</v>
      </c>
      <c r="G296" s="7">
        <v>18.7</v>
      </c>
      <c r="H296" s="7">
        <v>183.6</v>
      </c>
      <c r="I296" s="7">
        <v>59.9</v>
      </c>
      <c r="J296" s="7">
        <v>32.700000000000003</v>
      </c>
      <c r="K296" s="7">
        <v>155.30000000000001</v>
      </c>
      <c r="L296" s="7">
        <v>90.1</v>
      </c>
      <c r="M296" s="7">
        <v>154.4</v>
      </c>
      <c r="N296" s="7">
        <v>221.7</v>
      </c>
      <c r="O296" s="7">
        <v>70</v>
      </c>
      <c r="P296" s="7">
        <v>105.8</v>
      </c>
      <c r="Q296" s="7">
        <v>5.8</v>
      </c>
    </row>
    <row r="297" spans="1:17">
      <c r="A297" s="2">
        <v>2245</v>
      </c>
      <c r="B297" s="7">
        <v>94.5</v>
      </c>
      <c r="C297" s="7">
        <v>17.100000000000001</v>
      </c>
      <c r="D297" s="7">
        <v>39.799999999999997</v>
      </c>
      <c r="E297" s="7">
        <v>6.3</v>
      </c>
      <c r="F297" s="7">
        <v>22.8</v>
      </c>
      <c r="G297" s="7">
        <v>18.8</v>
      </c>
      <c r="H297" s="7">
        <v>184.3</v>
      </c>
      <c r="I297" s="7">
        <v>60.1</v>
      </c>
      <c r="J297" s="7">
        <v>32.799999999999997</v>
      </c>
      <c r="K297" s="7">
        <v>155.80000000000001</v>
      </c>
      <c r="L297" s="7">
        <v>90.4</v>
      </c>
      <c r="M297" s="7">
        <v>155</v>
      </c>
      <c r="N297" s="7">
        <v>222.5</v>
      </c>
      <c r="O297" s="7">
        <v>70.3</v>
      </c>
      <c r="P297" s="7">
        <v>106.2</v>
      </c>
      <c r="Q297" s="7">
        <v>5.8</v>
      </c>
    </row>
    <row r="298" spans="1:17">
      <c r="A298" s="2">
        <v>2246</v>
      </c>
      <c r="B298" s="7">
        <v>94.8</v>
      </c>
      <c r="C298" s="7">
        <v>17.100000000000001</v>
      </c>
      <c r="D298" s="7">
        <v>40</v>
      </c>
      <c r="E298" s="7">
        <v>6.4</v>
      </c>
      <c r="F298" s="7">
        <v>22.9</v>
      </c>
      <c r="G298" s="7">
        <v>18.899999999999999</v>
      </c>
      <c r="H298" s="7">
        <v>184.9</v>
      </c>
      <c r="I298" s="7">
        <v>60.3</v>
      </c>
      <c r="J298" s="7">
        <v>33</v>
      </c>
      <c r="K298" s="7">
        <v>156.4</v>
      </c>
      <c r="L298" s="7">
        <v>90.7</v>
      </c>
      <c r="M298" s="7">
        <v>155.5</v>
      </c>
      <c r="N298" s="7">
        <v>223.3</v>
      </c>
      <c r="O298" s="7">
        <v>70.5</v>
      </c>
      <c r="P298" s="7">
        <v>106.5</v>
      </c>
      <c r="Q298" s="7">
        <v>5.8</v>
      </c>
    </row>
    <row r="299" spans="1:17">
      <c r="A299" s="2">
        <v>2247</v>
      </c>
      <c r="B299" s="7">
        <v>95.2</v>
      </c>
      <c r="C299" s="7">
        <v>17.2</v>
      </c>
      <c r="D299" s="7">
        <v>40.1</v>
      </c>
      <c r="E299" s="7">
        <v>6.4</v>
      </c>
      <c r="F299" s="7">
        <v>23</v>
      </c>
      <c r="G299" s="7">
        <v>18.899999999999999</v>
      </c>
      <c r="H299" s="7">
        <v>185.6</v>
      </c>
      <c r="I299" s="7">
        <v>60.5</v>
      </c>
      <c r="J299" s="7">
        <v>33.1</v>
      </c>
      <c r="K299" s="7">
        <v>156.9</v>
      </c>
      <c r="L299" s="7">
        <v>91</v>
      </c>
      <c r="M299" s="7">
        <v>156.1</v>
      </c>
      <c r="N299" s="7">
        <v>224.1</v>
      </c>
      <c r="O299" s="7">
        <v>70.8</v>
      </c>
      <c r="P299" s="7">
        <v>106.9</v>
      </c>
      <c r="Q299" s="7">
        <v>5.8</v>
      </c>
    </row>
    <row r="300" spans="1:17">
      <c r="A300" s="2">
        <v>2248</v>
      </c>
      <c r="B300" s="7">
        <v>95.5</v>
      </c>
      <c r="C300" s="7">
        <v>17.3</v>
      </c>
      <c r="D300" s="7">
        <v>40.200000000000003</v>
      </c>
      <c r="E300" s="7">
        <v>6.4</v>
      </c>
      <c r="F300" s="7">
        <v>23.1</v>
      </c>
      <c r="G300" s="7">
        <v>19</v>
      </c>
      <c r="H300" s="7">
        <v>186.2</v>
      </c>
      <c r="I300" s="7">
        <v>60.7</v>
      </c>
      <c r="J300" s="7">
        <v>33.200000000000003</v>
      </c>
      <c r="K300" s="7">
        <v>157.5</v>
      </c>
      <c r="L300" s="7">
        <v>91.3</v>
      </c>
      <c r="M300" s="7">
        <v>156.6</v>
      </c>
      <c r="N300" s="7">
        <v>224.9</v>
      </c>
      <c r="O300" s="7">
        <v>71</v>
      </c>
      <c r="P300" s="7">
        <v>107.3</v>
      </c>
      <c r="Q300" s="7">
        <v>5.8</v>
      </c>
    </row>
    <row r="301" spans="1:17">
      <c r="A301" s="2">
        <v>2249</v>
      </c>
      <c r="B301" s="7">
        <v>95.9</v>
      </c>
      <c r="C301" s="7">
        <v>17.3</v>
      </c>
      <c r="D301" s="7">
        <v>40.4</v>
      </c>
      <c r="E301" s="7">
        <v>6.4</v>
      </c>
      <c r="F301" s="7">
        <v>23.2</v>
      </c>
      <c r="G301" s="7">
        <v>19.100000000000001</v>
      </c>
      <c r="H301" s="7">
        <v>186.9</v>
      </c>
      <c r="I301" s="7">
        <v>61</v>
      </c>
      <c r="J301" s="7">
        <v>33.299999999999997</v>
      </c>
      <c r="K301" s="7">
        <v>158</v>
      </c>
      <c r="L301" s="7">
        <v>91.7</v>
      </c>
      <c r="M301" s="7">
        <v>157.19999999999999</v>
      </c>
      <c r="N301" s="7">
        <v>225.7</v>
      </c>
      <c r="O301" s="7">
        <v>71.3</v>
      </c>
      <c r="P301" s="7">
        <v>107.7</v>
      </c>
      <c r="Q301" s="7">
        <v>5.9</v>
      </c>
    </row>
    <row r="302" spans="1:17">
      <c r="A302" s="2">
        <v>2250</v>
      </c>
      <c r="B302" s="7">
        <v>96.2</v>
      </c>
      <c r="C302" s="7">
        <v>17.399999999999999</v>
      </c>
      <c r="D302" s="7">
        <v>40.5</v>
      </c>
      <c r="E302" s="7">
        <v>6.4</v>
      </c>
      <c r="F302" s="7">
        <v>23.3</v>
      </c>
      <c r="G302" s="7">
        <v>19.100000000000001</v>
      </c>
      <c r="H302" s="7">
        <v>187.5</v>
      </c>
      <c r="I302" s="7">
        <v>61.2</v>
      </c>
      <c r="J302" s="7">
        <v>33.4</v>
      </c>
      <c r="K302" s="7">
        <v>158.6</v>
      </c>
      <c r="L302" s="7">
        <v>92</v>
      </c>
      <c r="M302" s="7">
        <v>157.69999999999999</v>
      </c>
      <c r="N302" s="7">
        <v>226.5</v>
      </c>
      <c r="O302" s="7">
        <v>71.5</v>
      </c>
      <c r="P302" s="7">
        <v>108.1</v>
      </c>
      <c r="Q302" s="7">
        <v>5.9</v>
      </c>
    </row>
    <row r="303" spans="1:17">
      <c r="A303" s="2">
        <v>2251</v>
      </c>
      <c r="B303" s="7">
        <v>96.5</v>
      </c>
      <c r="C303" s="7">
        <v>17.399999999999999</v>
      </c>
      <c r="D303" s="7">
        <v>40.700000000000003</v>
      </c>
      <c r="E303" s="7">
        <v>6.5</v>
      </c>
      <c r="F303" s="7">
        <v>23.3</v>
      </c>
      <c r="G303" s="7">
        <v>19.2</v>
      </c>
      <c r="H303" s="7">
        <v>188.2</v>
      </c>
      <c r="I303" s="7">
        <v>61.4</v>
      </c>
      <c r="J303" s="7">
        <v>33.5</v>
      </c>
      <c r="K303" s="7">
        <v>159.1</v>
      </c>
      <c r="L303" s="7">
        <v>92.3</v>
      </c>
      <c r="M303" s="7">
        <v>158.30000000000001</v>
      </c>
      <c r="N303" s="7">
        <v>227.3</v>
      </c>
      <c r="O303" s="7">
        <v>71.8</v>
      </c>
      <c r="P303" s="7">
        <v>108.4</v>
      </c>
      <c r="Q303" s="7">
        <v>5.9</v>
      </c>
    </row>
    <row r="304" spans="1:17">
      <c r="A304" s="2">
        <v>2252</v>
      </c>
      <c r="B304" s="7">
        <v>96.9</v>
      </c>
      <c r="C304" s="7">
        <v>17.5</v>
      </c>
      <c r="D304" s="7">
        <v>40.799999999999997</v>
      </c>
      <c r="E304" s="7">
        <v>6.5</v>
      </c>
      <c r="F304" s="7">
        <v>23.4</v>
      </c>
      <c r="G304" s="7">
        <v>19.3</v>
      </c>
      <c r="H304" s="7">
        <v>188.8</v>
      </c>
      <c r="I304" s="7">
        <v>61.6</v>
      </c>
      <c r="J304" s="7">
        <v>33.700000000000003</v>
      </c>
      <c r="K304" s="7">
        <v>159.69999999999999</v>
      </c>
      <c r="L304" s="7">
        <v>92.6</v>
      </c>
      <c r="M304" s="7">
        <v>158.80000000000001</v>
      </c>
      <c r="N304" s="7">
        <v>228.1</v>
      </c>
      <c r="O304" s="7">
        <v>72</v>
      </c>
      <c r="P304" s="7">
        <v>108.8</v>
      </c>
      <c r="Q304" s="7">
        <v>5.9</v>
      </c>
    </row>
    <row r="305" spans="1:17">
      <c r="A305" s="2">
        <v>2253</v>
      </c>
      <c r="B305" s="7">
        <v>97.2</v>
      </c>
      <c r="C305" s="7">
        <v>17.600000000000001</v>
      </c>
      <c r="D305" s="7">
        <v>40.9</v>
      </c>
      <c r="E305" s="7">
        <v>6.5</v>
      </c>
      <c r="F305" s="7">
        <v>23.5</v>
      </c>
      <c r="G305" s="7">
        <v>19.3</v>
      </c>
      <c r="H305" s="7">
        <v>189.5</v>
      </c>
      <c r="I305" s="7">
        <v>61.8</v>
      </c>
      <c r="J305" s="7">
        <v>33.799999999999997</v>
      </c>
      <c r="K305" s="7">
        <v>160.19999999999999</v>
      </c>
      <c r="L305" s="7">
        <v>93</v>
      </c>
      <c r="M305" s="7">
        <v>159.4</v>
      </c>
      <c r="N305" s="7">
        <v>228.8</v>
      </c>
      <c r="O305" s="7">
        <v>72.3</v>
      </c>
      <c r="P305" s="7">
        <v>109.2</v>
      </c>
      <c r="Q305" s="7">
        <v>6</v>
      </c>
    </row>
    <row r="306" spans="1:17">
      <c r="A306" s="2">
        <v>2254</v>
      </c>
      <c r="B306" s="7">
        <v>97.5</v>
      </c>
      <c r="C306" s="7">
        <v>17.600000000000001</v>
      </c>
      <c r="D306" s="7">
        <v>41.1</v>
      </c>
      <c r="E306" s="7">
        <v>6.5</v>
      </c>
      <c r="F306" s="7">
        <v>23.6</v>
      </c>
      <c r="G306" s="7">
        <v>19.399999999999999</v>
      </c>
      <c r="H306" s="7">
        <v>190.1</v>
      </c>
      <c r="I306" s="7">
        <v>62</v>
      </c>
      <c r="J306" s="7">
        <v>33.9</v>
      </c>
      <c r="K306" s="7">
        <v>160.80000000000001</v>
      </c>
      <c r="L306" s="7">
        <v>93.3</v>
      </c>
      <c r="M306" s="7">
        <v>159.9</v>
      </c>
      <c r="N306" s="7">
        <v>229.6</v>
      </c>
      <c r="O306" s="7">
        <v>72.5</v>
      </c>
      <c r="P306" s="7">
        <v>109.6</v>
      </c>
      <c r="Q306" s="7">
        <v>6</v>
      </c>
    </row>
    <row r="307" spans="1:17">
      <c r="A307" s="2">
        <v>2255</v>
      </c>
      <c r="B307" s="7">
        <v>97.9</v>
      </c>
      <c r="C307" s="7">
        <v>17.7</v>
      </c>
      <c r="D307" s="7">
        <v>41.2</v>
      </c>
      <c r="E307" s="7">
        <v>6.6</v>
      </c>
      <c r="F307" s="7">
        <v>23.7</v>
      </c>
      <c r="G307" s="7">
        <v>19.5</v>
      </c>
      <c r="H307" s="7">
        <v>190.8</v>
      </c>
      <c r="I307" s="7">
        <v>62.2</v>
      </c>
      <c r="J307" s="7">
        <v>34</v>
      </c>
      <c r="K307" s="7">
        <v>161.30000000000001</v>
      </c>
      <c r="L307" s="7">
        <v>93.6</v>
      </c>
      <c r="M307" s="7">
        <v>160.5</v>
      </c>
      <c r="N307" s="7">
        <v>230.4</v>
      </c>
      <c r="O307" s="7">
        <v>72.8</v>
      </c>
      <c r="P307" s="7">
        <v>109.9</v>
      </c>
      <c r="Q307" s="7">
        <v>6</v>
      </c>
    </row>
    <row r="308" spans="1:17">
      <c r="A308" s="2">
        <v>2256</v>
      </c>
      <c r="B308" s="7">
        <v>98.2</v>
      </c>
      <c r="C308" s="7">
        <v>17.7</v>
      </c>
      <c r="D308" s="7">
        <v>41.4</v>
      </c>
      <c r="E308" s="7">
        <v>6.6</v>
      </c>
      <c r="F308" s="7">
        <v>23.7</v>
      </c>
      <c r="G308" s="7">
        <v>19.5</v>
      </c>
      <c r="H308" s="7">
        <v>191.5</v>
      </c>
      <c r="I308" s="7">
        <v>62.4</v>
      </c>
      <c r="J308" s="7">
        <v>34.1</v>
      </c>
      <c r="K308" s="7">
        <v>161.9</v>
      </c>
      <c r="L308" s="7">
        <v>93.9</v>
      </c>
      <c r="M308" s="7">
        <v>161</v>
      </c>
      <c r="N308" s="7">
        <v>231.2</v>
      </c>
      <c r="O308" s="7">
        <v>73</v>
      </c>
      <c r="P308" s="7">
        <v>110.3</v>
      </c>
      <c r="Q308" s="7">
        <v>6</v>
      </c>
    </row>
    <row r="309" spans="1:17">
      <c r="A309" s="2">
        <v>2257</v>
      </c>
      <c r="B309" s="7">
        <v>98.5</v>
      </c>
      <c r="C309" s="7">
        <v>17.8</v>
      </c>
      <c r="D309" s="7">
        <v>41.5</v>
      </c>
      <c r="E309" s="7">
        <v>6.6</v>
      </c>
      <c r="F309" s="7">
        <v>23.8</v>
      </c>
      <c r="G309" s="7">
        <v>19.600000000000001</v>
      </c>
      <c r="H309" s="7">
        <v>192.1</v>
      </c>
      <c r="I309" s="7">
        <v>62.7</v>
      </c>
      <c r="J309" s="7">
        <v>34.200000000000003</v>
      </c>
      <c r="K309" s="7">
        <v>162.4</v>
      </c>
      <c r="L309" s="7">
        <v>94.2</v>
      </c>
      <c r="M309" s="7">
        <v>161.6</v>
      </c>
      <c r="N309" s="7">
        <v>232</v>
      </c>
      <c r="O309" s="7">
        <v>73.3</v>
      </c>
      <c r="P309" s="7">
        <v>110.7</v>
      </c>
      <c r="Q309" s="7">
        <v>6</v>
      </c>
    </row>
    <row r="310" spans="1:17">
      <c r="A310" s="2">
        <v>2258</v>
      </c>
      <c r="B310" s="7">
        <v>98.9</v>
      </c>
      <c r="C310" s="7">
        <v>17.899999999999999</v>
      </c>
      <c r="D310" s="7">
        <v>41.7</v>
      </c>
      <c r="E310" s="7">
        <v>6.6</v>
      </c>
      <c r="F310" s="7">
        <v>23.9</v>
      </c>
      <c r="G310" s="7">
        <v>19.7</v>
      </c>
      <c r="H310" s="7">
        <v>192.8</v>
      </c>
      <c r="I310" s="7">
        <v>62.9</v>
      </c>
      <c r="J310" s="7">
        <v>34.4</v>
      </c>
      <c r="K310" s="7">
        <v>163</v>
      </c>
      <c r="L310" s="7">
        <v>94.6</v>
      </c>
      <c r="M310" s="7">
        <v>162.1</v>
      </c>
      <c r="N310" s="7">
        <v>232.8</v>
      </c>
      <c r="O310" s="7">
        <v>73.5</v>
      </c>
      <c r="P310" s="7">
        <v>111.1</v>
      </c>
      <c r="Q310" s="7">
        <v>6.1</v>
      </c>
    </row>
    <row r="311" spans="1:17">
      <c r="A311" s="2">
        <v>2259</v>
      </c>
      <c r="B311" s="7">
        <v>99.2</v>
      </c>
      <c r="C311" s="7">
        <v>17.899999999999999</v>
      </c>
      <c r="D311" s="7">
        <v>41.8</v>
      </c>
      <c r="E311" s="7">
        <v>6.7</v>
      </c>
      <c r="F311" s="7">
        <v>24</v>
      </c>
      <c r="G311" s="7">
        <v>19.7</v>
      </c>
      <c r="H311" s="7">
        <v>193.4</v>
      </c>
      <c r="I311" s="7">
        <v>63.1</v>
      </c>
      <c r="J311" s="7">
        <v>34.5</v>
      </c>
      <c r="K311" s="7">
        <v>163.6</v>
      </c>
      <c r="L311" s="7">
        <v>94.9</v>
      </c>
      <c r="M311" s="7">
        <v>162.69999999999999</v>
      </c>
      <c r="N311" s="7">
        <v>233.6</v>
      </c>
      <c r="O311" s="7">
        <v>73.8</v>
      </c>
      <c r="P311" s="7">
        <v>111.4</v>
      </c>
      <c r="Q311" s="7">
        <v>6.1</v>
      </c>
    </row>
    <row r="312" spans="1:17">
      <c r="A312" s="2">
        <v>2260</v>
      </c>
      <c r="B312" s="7">
        <v>99.5</v>
      </c>
      <c r="C312" s="7">
        <v>18</v>
      </c>
      <c r="D312" s="7">
        <v>41.9</v>
      </c>
      <c r="E312" s="7">
        <v>6.7</v>
      </c>
      <c r="F312" s="7">
        <v>24.1</v>
      </c>
      <c r="G312" s="7">
        <v>19.8</v>
      </c>
      <c r="H312" s="7">
        <v>194.1</v>
      </c>
      <c r="I312" s="7">
        <v>63.3</v>
      </c>
      <c r="J312" s="7">
        <v>34.6</v>
      </c>
      <c r="K312" s="7">
        <v>164.1</v>
      </c>
      <c r="L312" s="7">
        <v>95.2</v>
      </c>
      <c r="M312" s="7">
        <v>163.19999999999999</v>
      </c>
      <c r="N312" s="7">
        <v>234.4</v>
      </c>
      <c r="O312" s="7">
        <v>74</v>
      </c>
      <c r="P312" s="7">
        <v>111.8</v>
      </c>
      <c r="Q312" s="7">
        <v>6.1</v>
      </c>
    </row>
    <row r="313" spans="1:17">
      <c r="A313" s="2">
        <v>2261</v>
      </c>
      <c r="B313" s="7">
        <v>99.9</v>
      </c>
      <c r="C313" s="7">
        <v>18.100000000000001</v>
      </c>
      <c r="D313" s="7">
        <v>42.1</v>
      </c>
      <c r="E313" s="7">
        <v>6.7</v>
      </c>
      <c r="F313" s="7">
        <v>24.1</v>
      </c>
      <c r="G313" s="7">
        <v>19.899999999999999</v>
      </c>
      <c r="H313" s="7">
        <v>194.7</v>
      </c>
      <c r="I313" s="7">
        <v>63.5</v>
      </c>
      <c r="J313" s="7">
        <v>34.700000000000003</v>
      </c>
      <c r="K313" s="7">
        <v>164.7</v>
      </c>
      <c r="L313" s="7">
        <v>95.5</v>
      </c>
      <c r="M313" s="7">
        <v>163.80000000000001</v>
      </c>
      <c r="N313" s="7">
        <v>235.2</v>
      </c>
      <c r="O313" s="7">
        <v>74.3</v>
      </c>
      <c r="P313" s="7">
        <v>112.2</v>
      </c>
      <c r="Q313" s="7">
        <v>6.1</v>
      </c>
    </row>
    <row r="314" spans="1:17">
      <c r="A314" s="2">
        <v>2262</v>
      </c>
      <c r="B314" s="7">
        <v>100.2</v>
      </c>
      <c r="C314" s="7">
        <v>18.100000000000001</v>
      </c>
      <c r="D314" s="7">
        <v>42.2</v>
      </c>
      <c r="E314" s="7">
        <v>6.7</v>
      </c>
      <c r="F314" s="7">
        <v>24.2</v>
      </c>
      <c r="G314" s="7">
        <v>19.899999999999999</v>
      </c>
      <c r="H314" s="7">
        <v>195.4</v>
      </c>
      <c r="I314" s="7">
        <v>63.7</v>
      </c>
      <c r="J314" s="7">
        <v>34.799999999999997</v>
      </c>
      <c r="K314" s="7">
        <v>165.2</v>
      </c>
      <c r="L314" s="7">
        <v>95.9</v>
      </c>
      <c r="M314" s="7">
        <v>164.3</v>
      </c>
      <c r="N314" s="7">
        <v>236</v>
      </c>
      <c r="O314" s="7">
        <v>74.5</v>
      </c>
      <c r="P314" s="7">
        <v>112.6</v>
      </c>
      <c r="Q314" s="7">
        <v>6.2</v>
      </c>
    </row>
    <row r="315" spans="1:17">
      <c r="A315" s="2">
        <v>2263</v>
      </c>
      <c r="B315" s="7">
        <v>100.6</v>
      </c>
      <c r="C315" s="7">
        <v>18.2</v>
      </c>
      <c r="D315" s="7">
        <v>42.4</v>
      </c>
      <c r="E315" s="7">
        <v>6.7</v>
      </c>
      <c r="F315" s="7">
        <v>24.3</v>
      </c>
      <c r="G315" s="7">
        <v>20</v>
      </c>
      <c r="H315" s="7">
        <v>196</v>
      </c>
      <c r="I315" s="7">
        <v>63.9</v>
      </c>
      <c r="J315" s="7">
        <v>34.9</v>
      </c>
      <c r="K315" s="7">
        <v>165.8</v>
      </c>
      <c r="L315" s="7">
        <v>96.2</v>
      </c>
      <c r="M315" s="7">
        <v>164.9</v>
      </c>
      <c r="N315" s="7">
        <v>236.8</v>
      </c>
      <c r="O315" s="7">
        <v>74.8</v>
      </c>
      <c r="P315" s="7">
        <v>113</v>
      </c>
      <c r="Q315" s="7">
        <v>6.2</v>
      </c>
    </row>
    <row r="316" spans="1:17">
      <c r="A316" s="2">
        <v>2264</v>
      </c>
      <c r="B316" s="7">
        <v>100.9</v>
      </c>
      <c r="C316" s="7">
        <v>18.2</v>
      </c>
      <c r="D316" s="7">
        <v>42.5</v>
      </c>
      <c r="E316" s="7">
        <v>6.8</v>
      </c>
      <c r="F316" s="7">
        <v>24.4</v>
      </c>
      <c r="G316" s="7">
        <v>20.100000000000001</v>
      </c>
      <c r="H316" s="7">
        <v>196.7</v>
      </c>
      <c r="I316" s="7">
        <v>64.2</v>
      </c>
      <c r="J316" s="7">
        <v>35.1</v>
      </c>
      <c r="K316" s="7">
        <v>166.3</v>
      </c>
      <c r="L316" s="7">
        <v>96.5</v>
      </c>
      <c r="M316" s="7">
        <v>165.4</v>
      </c>
      <c r="N316" s="7">
        <v>237.6</v>
      </c>
      <c r="O316" s="7">
        <v>75</v>
      </c>
      <c r="P316" s="7">
        <v>113.3</v>
      </c>
      <c r="Q316" s="7">
        <v>6.2</v>
      </c>
    </row>
    <row r="317" spans="1:17">
      <c r="A317" s="2">
        <v>2265</v>
      </c>
      <c r="B317" s="7">
        <v>101.2</v>
      </c>
      <c r="C317" s="7">
        <v>18.3</v>
      </c>
      <c r="D317" s="7">
        <v>42.6</v>
      </c>
      <c r="E317" s="7">
        <v>6.8</v>
      </c>
      <c r="F317" s="7">
        <v>24.5</v>
      </c>
      <c r="G317" s="7">
        <v>20.100000000000001</v>
      </c>
      <c r="H317" s="7">
        <v>197.3</v>
      </c>
      <c r="I317" s="7">
        <v>64.400000000000006</v>
      </c>
      <c r="J317" s="7">
        <v>35.200000000000003</v>
      </c>
      <c r="K317" s="7">
        <v>166.9</v>
      </c>
      <c r="L317" s="7">
        <v>96.8</v>
      </c>
      <c r="M317" s="7">
        <v>166</v>
      </c>
      <c r="N317" s="7">
        <v>238.3</v>
      </c>
      <c r="O317" s="7">
        <v>75.3</v>
      </c>
      <c r="P317" s="7">
        <v>113.7</v>
      </c>
      <c r="Q317" s="7">
        <v>6.2</v>
      </c>
    </row>
    <row r="318" spans="1:17">
      <c r="A318" s="2">
        <v>2266</v>
      </c>
      <c r="B318" s="7">
        <v>101.6</v>
      </c>
      <c r="C318" s="7">
        <v>18.399999999999999</v>
      </c>
      <c r="D318" s="7">
        <v>42.8</v>
      </c>
      <c r="E318" s="7">
        <v>6.8</v>
      </c>
      <c r="F318" s="7">
        <v>24.6</v>
      </c>
      <c r="G318" s="7">
        <v>20.2</v>
      </c>
      <c r="H318" s="7">
        <v>198</v>
      </c>
      <c r="I318" s="7">
        <v>64.599999999999994</v>
      </c>
      <c r="J318" s="7">
        <v>35.299999999999997</v>
      </c>
      <c r="K318" s="7">
        <v>167.4</v>
      </c>
      <c r="L318" s="7">
        <v>97.1</v>
      </c>
      <c r="M318" s="7">
        <v>166.5</v>
      </c>
      <c r="N318" s="7">
        <v>239.1</v>
      </c>
      <c r="O318" s="7">
        <v>75.5</v>
      </c>
      <c r="P318" s="7">
        <v>114.1</v>
      </c>
      <c r="Q318" s="7">
        <v>6.2</v>
      </c>
    </row>
    <row r="319" spans="1:17">
      <c r="A319" s="2">
        <v>2267</v>
      </c>
      <c r="B319" s="7">
        <v>101.9</v>
      </c>
      <c r="C319" s="7">
        <v>18.399999999999999</v>
      </c>
      <c r="D319" s="7">
        <v>42.9</v>
      </c>
      <c r="E319" s="7">
        <v>6.8</v>
      </c>
      <c r="F319" s="7">
        <v>24.6</v>
      </c>
      <c r="G319" s="7">
        <v>20.3</v>
      </c>
      <c r="H319" s="7">
        <v>198.7</v>
      </c>
      <c r="I319" s="7">
        <v>64.8</v>
      </c>
      <c r="J319" s="7">
        <v>35.4</v>
      </c>
      <c r="K319" s="7">
        <v>168</v>
      </c>
      <c r="L319" s="7">
        <v>97.5</v>
      </c>
      <c r="M319" s="7">
        <v>167.1</v>
      </c>
      <c r="N319" s="7">
        <v>239.9</v>
      </c>
      <c r="O319" s="7">
        <v>75.8</v>
      </c>
      <c r="P319" s="7">
        <v>114.5</v>
      </c>
      <c r="Q319" s="7">
        <v>6.3</v>
      </c>
    </row>
    <row r="320" spans="1:17">
      <c r="A320" s="2">
        <v>2268</v>
      </c>
      <c r="B320" s="7">
        <v>102.2</v>
      </c>
      <c r="C320" s="7">
        <v>18.5</v>
      </c>
      <c r="D320" s="7">
        <v>43.1</v>
      </c>
      <c r="E320" s="7">
        <v>6.9</v>
      </c>
      <c r="F320" s="7">
        <v>24.7</v>
      </c>
      <c r="G320" s="7">
        <v>20.3</v>
      </c>
      <c r="H320" s="7">
        <v>199.3</v>
      </c>
      <c r="I320" s="7">
        <v>65</v>
      </c>
      <c r="J320" s="7">
        <v>35.5</v>
      </c>
      <c r="K320" s="7">
        <v>168.5</v>
      </c>
      <c r="L320" s="7">
        <v>97.8</v>
      </c>
      <c r="M320" s="7">
        <v>167.6</v>
      </c>
      <c r="N320" s="7">
        <v>240.7</v>
      </c>
      <c r="O320" s="7">
        <v>76</v>
      </c>
      <c r="P320" s="7">
        <v>114.8</v>
      </c>
      <c r="Q320" s="7">
        <v>6.3</v>
      </c>
    </row>
    <row r="321" spans="1:17">
      <c r="A321" s="2">
        <v>2269</v>
      </c>
      <c r="B321" s="7">
        <v>102.6</v>
      </c>
      <c r="C321" s="7">
        <v>18.5</v>
      </c>
      <c r="D321" s="7">
        <v>43.2</v>
      </c>
      <c r="E321" s="7">
        <v>6.9</v>
      </c>
      <c r="F321" s="7">
        <v>24.8</v>
      </c>
      <c r="G321" s="7">
        <v>20.399999999999999</v>
      </c>
      <c r="H321" s="7">
        <v>200</v>
      </c>
      <c r="I321" s="7">
        <v>65.2</v>
      </c>
      <c r="J321" s="7">
        <v>35.6</v>
      </c>
      <c r="K321" s="7">
        <v>169.1</v>
      </c>
      <c r="L321" s="7">
        <v>98.1</v>
      </c>
      <c r="M321" s="7">
        <v>168.2</v>
      </c>
      <c r="N321" s="7">
        <v>241.5</v>
      </c>
      <c r="O321" s="7">
        <v>76.3</v>
      </c>
      <c r="P321" s="7">
        <v>115.2</v>
      </c>
      <c r="Q321" s="7">
        <v>6.3</v>
      </c>
    </row>
    <row r="322" spans="1:17">
      <c r="A322" s="2">
        <v>2270</v>
      </c>
      <c r="B322" s="7">
        <v>102.9</v>
      </c>
      <c r="C322" s="7">
        <v>18.600000000000001</v>
      </c>
      <c r="D322" s="7">
        <v>43.3</v>
      </c>
      <c r="E322" s="7">
        <v>6.9</v>
      </c>
      <c r="F322" s="7">
        <v>24.9</v>
      </c>
      <c r="G322" s="7">
        <v>20.5</v>
      </c>
      <c r="H322" s="7">
        <v>200.6</v>
      </c>
      <c r="I322" s="7">
        <v>65.400000000000006</v>
      </c>
      <c r="J322" s="7">
        <v>35.799999999999997</v>
      </c>
      <c r="K322" s="7">
        <v>169.6</v>
      </c>
      <c r="L322" s="7">
        <v>98.4</v>
      </c>
      <c r="M322" s="7">
        <v>168.7</v>
      </c>
      <c r="N322" s="7">
        <v>242.3</v>
      </c>
      <c r="O322" s="7">
        <v>76.5</v>
      </c>
      <c r="P322" s="7">
        <v>115.6</v>
      </c>
      <c r="Q322" s="7">
        <v>6.3</v>
      </c>
    </row>
    <row r="323" spans="1:17">
      <c r="A323" s="2">
        <v>2271</v>
      </c>
      <c r="B323" s="7">
        <v>103.2</v>
      </c>
      <c r="C323" s="7">
        <v>18.7</v>
      </c>
      <c r="D323" s="7">
        <v>43.5</v>
      </c>
      <c r="E323" s="7">
        <v>6.9</v>
      </c>
      <c r="F323" s="7">
        <v>25</v>
      </c>
      <c r="G323" s="7">
        <v>20.5</v>
      </c>
      <c r="H323" s="7">
        <v>201.3</v>
      </c>
      <c r="I323" s="7">
        <v>65.7</v>
      </c>
      <c r="J323" s="7">
        <v>35.9</v>
      </c>
      <c r="K323" s="7">
        <v>170.2</v>
      </c>
      <c r="L323" s="7">
        <v>98.7</v>
      </c>
      <c r="M323" s="7">
        <v>169.3</v>
      </c>
      <c r="N323" s="7">
        <v>243.1</v>
      </c>
      <c r="O323" s="7">
        <v>76.8</v>
      </c>
      <c r="P323" s="7">
        <v>116</v>
      </c>
      <c r="Q323" s="7">
        <v>6.3</v>
      </c>
    </row>
    <row r="324" spans="1:17">
      <c r="A324" s="2">
        <v>2272</v>
      </c>
      <c r="B324" s="7">
        <v>103.6</v>
      </c>
      <c r="C324" s="7">
        <v>18.7</v>
      </c>
      <c r="D324" s="7">
        <v>43.6</v>
      </c>
      <c r="E324" s="7">
        <v>7</v>
      </c>
      <c r="F324" s="7">
        <v>25</v>
      </c>
      <c r="G324" s="7">
        <v>20.6</v>
      </c>
      <c r="H324" s="7">
        <v>201.9</v>
      </c>
      <c r="I324" s="7">
        <v>65.900000000000006</v>
      </c>
      <c r="J324" s="7">
        <v>36</v>
      </c>
      <c r="K324" s="7">
        <v>170.8</v>
      </c>
      <c r="L324" s="7">
        <v>99.1</v>
      </c>
      <c r="M324" s="7">
        <v>169.8</v>
      </c>
      <c r="N324" s="7">
        <v>243.9</v>
      </c>
      <c r="O324" s="7">
        <v>77</v>
      </c>
      <c r="P324" s="7">
        <v>116.3</v>
      </c>
      <c r="Q324" s="7">
        <v>6.4</v>
      </c>
    </row>
    <row r="325" spans="1:17">
      <c r="A325" s="2">
        <v>2273</v>
      </c>
      <c r="B325" s="7">
        <v>103.9</v>
      </c>
      <c r="C325" s="7">
        <v>18.8</v>
      </c>
      <c r="D325" s="7">
        <v>43.8</v>
      </c>
      <c r="E325" s="7">
        <v>7</v>
      </c>
      <c r="F325" s="7">
        <v>25.1</v>
      </c>
      <c r="G325" s="7">
        <v>20.7</v>
      </c>
      <c r="H325" s="7">
        <v>202.6</v>
      </c>
      <c r="I325" s="7">
        <v>66.099999999999994</v>
      </c>
      <c r="J325" s="7">
        <v>36.1</v>
      </c>
      <c r="K325" s="7">
        <v>171.3</v>
      </c>
      <c r="L325" s="7">
        <v>99.4</v>
      </c>
      <c r="M325" s="7">
        <v>170.4</v>
      </c>
      <c r="N325" s="7">
        <v>244.7</v>
      </c>
      <c r="O325" s="7">
        <v>77.2</v>
      </c>
      <c r="P325" s="7">
        <v>116.7</v>
      </c>
      <c r="Q325" s="7">
        <v>6.4</v>
      </c>
    </row>
    <row r="326" spans="1:17">
      <c r="A326" s="2">
        <v>2274</v>
      </c>
      <c r="B326" s="7">
        <v>104.3</v>
      </c>
      <c r="C326" s="7">
        <v>18.899999999999999</v>
      </c>
      <c r="D326" s="7">
        <v>43.9</v>
      </c>
      <c r="E326" s="7">
        <v>7</v>
      </c>
      <c r="F326" s="7">
        <v>25.2</v>
      </c>
      <c r="G326" s="7">
        <v>20.8</v>
      </c>
      <c r="H326" s="7">
        <v>203.2</v>
      </c>
      <c r="I326" s="7">
        <v>66.3</v>
      </c>
      <c r="J326" s="7">
        <v>36.200000000000003</v>
      </c>
      <c r="K326" s="7">
        <v>171.9</v>
      </c>
      <c r="L326" s="7">
        <v>99.7</v>
      </c>
      <c r="M326" s="7">
        <v>171</v>
      </c>
      <c r="N326" s="7">
        <v>245.5</v>
      </c>
      <c r="O326" s="7">
        <v>77.5</v>
      </c>
      <c r="P326" s="7">
        <v>117.1</v>
      </c>
      <c r="Q326" s="7">
        <v>6.4</v>
      </c>
    </row>
    <row r="327" spans="1:17">
      <c r="A327" s="2">
        <v>2275</v>
      </c>
      <c r="B327" s="7">
        <v>104.6</v>
      </c>
      <c r="C327" s="7">
        <v>18.899999999999999</v>
      </c>
      <c r="D327" s="7">
        <v>44</v>
      </c>
      <c r="E327" s="7">
        <v>7</v>
      </c>
      <c r="F327" s="7">
        <v>25.3</v>
      </c>
      <c r="G327" s="7">
        <v>20.8</v>
      </c>
      <c r="H327" s="7">
        <v>203.9</v>
      </c>
      <c r="I327" s="7">
        <v>66.5</v>
      </c>
      <c r="J327" s="7">
        <v>36.299999999999997</v>
      </c>
      <c r="K327" s="7">
        <v>172.4</v>
      </c>
      <c r="L327" s="7">
        <v>100</v>
      </c>
      <c r="M327" s="7">
        <v>171.5</v>
      </c>
      <c r="N327" s="7">
        <v>246.3</v>
      </c>
      <c r="O327" s="7">
        <v>77.7</v>
      </c>
      <c r="P327" s="7">
        <v>117.5</v>
      </c>
      <c r="Q327" s="7">
        <v>6.4</v>
      </c>
    </row>
    <row r="328" spans="1:17">
      <c r="A328" s="2">
        <v>2276</v>
      </c>
      <c r="B328" s="7">
        <v>104.9</v>
      </c>
      <c r="C328" s="7">
        <v>19</v>
      </c>
      <c r="D328" s="7">
        <v>44.2</v>
      </c>
      <c r="E328" s="7">
        <v>7</v>
      </c>
      <c r="F328" s="7">
        <v>25.4</v>
      </c>
      <c r="G328" s="7">
        <v>20.9</v>
      </c>
      <c r="H328" s="7">
        <v>204.5</v>
      </c>
      <c r="I328" s="7">
        <v>66.7</v>
      </c>
      <c r="J328" s="7">
        <v>36.5</v>
      </c>
      <c r="K328" s="7">
        <v>173</v>
      </c>
      <c r="L328" s="7">
        <v>100.4</v>
      </c>
      <c r="M328" s="7">
        <v>172.1</v>
      </c>
      <c r="N328" s="7">
        <v>247</v>
      </c>
      <c r="O328" s="7">
        <v>78</v>
      </c>
      <c r="P328" s="7">
        <v>117.9</v>
      </c>
      <c r="Q328" s="7">
        <v>6.5</v>
      </c>
    </row>
    <row r="329" spans="1:17">
      <c r="A329" s="2">
        <v>2277</v>
      </c>
      <c r="B329" s="7">
        <v>105.3</v>
      </c>
      <c r="C329" s="7">
        <v>19</v>
      </c>
      <c r="D329" s="7">
        <v>44.3</v>
      </c>
      <c r="E329" s="7">
        <v>7.1</v>
      </c>
      <c r="F329" s="7">
        <v>25.4</v>
      </c>
      <c r="G329" s="7">
        <v>21</v>
      </c>
      <c r="H329" s="7">
        <v>205.2</v>
      </c>
      <c r="I329" s="7">
        <v>66.900000000000006</v>
      </c>
      <c r="J329" s="7">
        <v>36.6</v>
      </c>
      <c r="K329" s="7">
        <v>173.5</v>
      </c>
      <c r="L329" s="7">
        <v>100.7</v>
      </c>
      <c r="M329" s="7">
        <v>172.6</v>
      </c>
      <c r="N329" s="7">
        <v>247.8</v>
      </c>
      <c r="O329" s="7">
        <v>78.2</v>
      </c>
      <c r="P329" s="7">
        <v>118.2</v>
      </c>
      <c r="Q329" s="7">
        <v>6.5</v>
      </c>
    </row>
    <row r="330" spans="1:17">
      <c r="A330" s="2">
        <v>2278</v>
      </c>
      <c r="B330" s="7">
        <v>105.6</v>
      </c>
      <c r="C330" s="7">
        <v>19.100000000000001</v>
      </c>
      <c r="D330" s="7">
        <v>44.5</v>
      </c>
      <c r="E330" s="7">
        <v>7.1</v>
      </c>
      <c r="F330" s="7">
        <v>25.5</v>
      </c>
      <c r="G330" s="7">
        <v>21</v>
      </c>
      <c r="H330" s="7">
        <v>205.8</v>
      </c>
      <c r="I330" s="7">
        <v>67.099999999999994</v>
      </c>
      <c r="J330" s="7">
        <v>36.700000000000003</v>
      </c>
      <c r="K330" s="7">
        <v>174.1</v>
      </c>
      <c r="L330" s="7">
        <v>101</v>
      </c>
      <c r="M330" s="7">
        <v>173.2</v>
      </c>
      <c r="N330" s="7">
        <v>248.6</v>
      </c>
      <c r="O330" s="7">
        <v>78.5</v>
      </c>
      <c r="P330" s="7">
        <v>118.6</v>
      </c>
      <c r="Q330" s="7">
        <v>6.5</v>
      </c>
    </row>
    <row r="331" spans="1:17">
      <c r="A331" s="2">
        <v>2279</v>
      </c>
      <c r="B331" s="7">
        <v>105.9</v>
      </c>
      <c r="C331" s="7">
        <v>19.2</v>
      </c>
      <c r="D331" s="7">
        <v>44.6</v>
      </c>
      <c r="E331" s="7">
        <v>7.1</v>
      </c>
      <c r="F331" s="7">
        <v>25.6</v>
      </c>
      <c r="G331" s="7">
        <v>21.1</v>
      </c>
      <c r="H331" s="7">
        <v>206.5</v>
      </c>
      <c r="I331" s="7">
        <v>67.400000000000006</v>
      </c>
      <c r="J331" s="7">
        <v>36.799999999999997</v>
      </c>
      <c r="K331" s="7">
        <v>174.6</v>
      </c>
      <c r="L331" s="7">
        <v>101.3</v>
      </c>
      <c r="M331" s="7">
        <v>173.7</v>
      </c>
      <c r="N331" s="7">
        <v>249.4</v>
      </c>
      <c r="O331" s="7">
        <v>78.7</v>
      </c>
      <c r="P331" s="7">
        <v>119</v>
      </c>
      <c r="Q331" s="7">
        <v>6.5</v>
      </c>
    </row>
    <row r="332" spans="1:17">
      <c r="A332" s="2">
        <v>2280</v>
      </c>
      <c r="B332" s="7">
        <v>106.3</v>
      </c>
      <c r="C332" s="7">
        <v>19.2</v>
      </c>
      <c r="D332" s="7">
        <v>44.7</v>
      </c>
      <c r="E332" s="7">
        <v>7.1</v>
      </c>
      <c r="F332" s="7">
        <v>25.7</v>
      </c>
      <c r="G332" s="7">
        <v>21.2</v>
      </c>
      <c r="H332" s="7">
        <v>207.2</v>
      </c>
      <c r="I332" s="7">
        <v>67.599999999999994</v>
      </c>
      <c r="J332" s="7">
        <v>36.9</v>
      </c>
      <c r="K332" s="7">
        <v>175.2</v>
      </c>
      <c r="L332" s="7">
        <v>101.6</v>
      </c>
      <c r="M332" s="7">
        <v>174.3</v>
      </c>
      <c r="N332" s="7">
        <v>250.2</v>
      </c>
      <c r="O332" s="7">
        <v>79</v>
      </c>
      <c r="P332" s="7">
        <v>119.4</v>
      </c>
      <c r="Q332" s="7">
        <v>6.5</v>
      </c>
    </row>
    <row r="333" spans="1:17">
      <c r="A333" s="2">
        <v>2281</v>
      </c>
      <c r="B333" s="7">
        <v>106.6</v>
      </c>
      <c r="C333" s="7">
        <v>19.3</v>
      </c>
      <c r="D333" s="7">
        <v>44.9</v>
      </c>
      <c r="E333" s="7">
        <v>7.2</v>
      </c>
      <c r="F333" s="7">
        <v>25.8</v>
      </c>
      <c r="G333" s="7">
        <v>21.2</v>
      </c>
      <c r="H333" s="7">
        <v>207.8</v>
      </c>
      <c r="I333" s="7">
        <v>67.8</v>
      </c>
      <c r="J333" s="7">
        <v>37</v>
      </c>
      <c r="K333" s="7">
        <v>175.7</v>
      </c>
      <c r="L333" s="7">
        <v>102</v>
      </c>
      <c r="M333" s="7">
        <v>174.8</v>
      </c>
      <c r="N333" s="7">
        <v>251</v>
      </c>
      <c r="O333" s="7">
        <v>79.2</v>
      </c>
      <c r="P333" s="7">
        <v>119.7</v>
      </c>
      <c r="Q333" s="7">
        <v>6.6</v>
      </c>
    </row>
    <row r="334" spans="1:17">
      <c r="A334" s="2">
        <v>2282</v>
      </c>
      <c r="B334" s="7">
        <v>106.9</v>
      </c>
      <c r="C334" s="7">
        <v>19.3</v>
      </c>
      <c r="D334" s="7">
        <v>45</v>
      </c>
      <c r="E334" s="7">
        <v>7.2</v>
      </c>
      <c r="F334" s="7">
        <v>25.8</v>
      </c>
      <c r="G334" s="7">
        <v>21.3</v>
      </c>
      <c r="H334" s="7">
        <v>208.5</v>
      </c>
      <c r="I334" s="7">
        <v>68</v>
      </c>
      <c r="J334" s="7">
        <v>37.200000000000003</v>
      </c>
      <c r="K334" s="7">
        <v>176.3</v>
      </c>
      <c r="L334" s="7">
        <v>102.3</v>
      </c>
      <c r="M334" s="7">
        <v>175.4</v>
      </c>
      <c r="N334" s="7">
        <v>251.8</v>
      </c>
      <c r="O334" s="7">
        <v>79.5</v>
      </c>
      <c r="P334" s="7">
        <v>120.1</v>
      </c>
      <c r="Q334" s="7">
        <v>6.6</v>
      </c>
    </row>
    <row r="335" spans="1:17">
      <c r="A335" s="2">
        <v>2283</v>
      </c>
      <c r="B335" s="7">
        <v>107.3</v>
      </c>
      <c r="C335" s="7">
        <v>19.399999999999999</v>
      </c>
      <c r="D335" s="7">
        <v>45.2</v>
      </c>
      <c r="E335" s="7">
        <v>7.2</v>
      </c>
      <c r="F335" s="7">
        <v>25.9</v>
      </c>
      <c r="G335" s="7">
        <v>21.4</v>
      </c>
      <c r="H335" s="7">
        <v>209.1</v>
      </c>
      <c r="I335" s="7">
        <v>68.2</v>
      </c>
      <c r="J335" s="7">
        <v>37.299999999999997</v>
      </c>
      <c r="K335" s="7">
        <v>176.8</v>
      </c>
      <c r="L335" s="7">
        <v>102.6</v>
      </c>
      <c r="M335" s="7">
        <v>175.9</v>
      </c>
      <c r="N335" s="7">
        <v>252.6</v>
      </c>
      <c r="O335" s="7">
        <v>79.7</v>
      </c>
      <c r="P335" s="7">
        <v>120.5</v>
      </c>
      <c r="Q335" s="7">
        <v>6.6</v>
      </c>
    </row>
    <row r="336" spans="1:17">
      <c r="A336" s="2">
        <v>2284</v>
      </c>
      <c r="B336" s="7">
        <v>107.6</v>
      </c>
      <c r="C336" s="7">
        <v>19.5</v>
      </c>
      <c r="D336" s="7">
        <v>45.3</v>
      </c>
      <c r="E336" s="7">
        <v>7.2</v>
      </c>
      <c r="F336" s="7">
        <v>26</v>
      </c>
      <c r="G336" s="7">
        <v>21.4</v>
      </c>
      <c r="H336" s="7">
        <v>209.8</v>
      </c>
      <c r="I336" s="7">
        <v>68.400000000000006</v>
      </c>
      <c r="J336" s="7">
        <v>37.4</v>
      </c>
      <c r="K336" s="7">
        <v>177.4</v>
      </c>
      <c r="L336" s="7">
        <v>102.9</v>
      </c>
      <c r="M336" s="7">
        <v>176.5</v>
      </c>
      <c r="N336" s="7">
        <v>253.4</v>
      </c>
      <c r="O336" s="7">
        <v>80</v>
      </c>
      <c r="P336" s="7">
        <v>120.9</v>
      </c>
      <c r="Q336" s="7">
        <v>6.6</v>
      </c>
    </row>
    <row r="337" spans="1:17">
      <c r="A337" s="2">
        <v>2285</v>
      </c>
      <c r="B337" s="7">
        <v>107.9</v>
      </c>
      <c r="C337" s="7">
        <v>19.5</v>
      </c>
      <c r="D337" s="7">
        <v>45.4</v>
      </c>
      <c r="E337" s="7">
        <v>7.2</v>
      </c>
      <c r="F337" s="7">
        <v>26.1</v>
      </c>
      <c r="G337" s="7">
        <v>21.5</v>
      </c>
      <c r="H337" s="7">
        <v>210.4</v>
      </c>
      <c r="I337" s="7">
        <v>68.599999999999994</v>
      </c>
      <c r="J337" s="7">
        <v>37.5</v>
      </c>
      <c r="K337" s="7">
        <v>177.9</v>
      </c>
      <c r="L337" s="7">
        <v>103.3</v>
      </c>
      <c r="M337" s="7">
        <v>177</v>
      </c>
      <c r="N337" s="7">
        <v>254.2</v>
      </c>
      <c r="O337" s="7">
        <v>80.2</v>
      </c>
      <c r="P337" s="7">
        <v>121.2</v>
      </c>
      <c r="Q337" s="7">
        <v>6.7</v>
      </c>
    </row>
    <row r="338" spans="1:17">
      <c r="A338" s="2">
        <v>2286</v>
      </c>
      <c r="B338" s="7">
        <v>108.3</v>
      </c>
      <c r="C338" s="7">
        <v>19.600000000000001</v>
      </c>
      <c r="D338" s="7">
        <v>45.6</v>
      </c>
      <c r="E338" s="7">
        <v>7.3</v>
      </c>
      <c r="F338" s="7">
        <v>26.2</v>
      </c>
      <c r="G338" s="7">
        <v>21.6</v>
      </c>
      <c r="H338" s="7">
        <v>211.1</v>
      </c>
      <c r="I338" s="7">
        <v>68.900000000000006</v>
      </c>
      <c r="J338" s="7">
        <v>37.6</v>
      </c>
      <c r="K338" s="7">
        <v>178.5</v>
      </c>
      <c r="L338" s="7">
        <v>103.6</v>
      </c>
      <c r="M338" s="7">
        <v>177.6</v>
      </c>
      <c r="N338" s="7">
        <v>255</v>
      </c>
      <c r="O338" s="7">
        <v>80.5</v>
      </c>
      <c r="P338" s="7">
        <v>121.6</v>
      </c>
      <c r="Q338" s="7">
        <v>6.7</v>
      </c>
    </row>
    <row r="339" spans="1:17">
      <c r="A339" s="2">
        <v>2287</v>
      </c>
      <c r="B339" s="7">
        <v>108.6</v>
      </c>
      <c r="C339" s="7">
        <v>19.600000000000001</v>
      </c>
      <c r="D339" s="7">
        <v>45.7</v>
      </c>
      <c r="E339" s="7">
        <v>7.3</v>
      </c>
      <c r="F339" s="7">
        <v>26.3</v>
      </c>
      <c r="G339" s="7">
        <v>21.6</v>
      </c>
      <c r="H339" s="7">
        <v>211.7</v>
      </c>
      <c r="I339" s="7">
        <v>69.099999999999994</v>
      </c>
      <c r="J339" s="7">
        <v>37.700000000000003</v>
      </c>
      <c r="K339" s="7">
        <v>179.1</v>
      </c>
      <c r="L339" s="7">
        <v>103.9</v>
      </c>
      <c r="M339" s="7">
        <v>178.1</v>
      </c>
      <c r="N339" s="7">
        <v>255.8</v>
      </c>
      <c r="O339" s="7">
        <v>80.7</v>
      </c>
      <c r="P339" s="7">
        <v>122</v>
      </c>
      <c r="Q339" s="7">
        <v>6.7</v>
      </c>
    </row>
    <row r="340" spans="1:17">
      <c r="A340" s="2">
        <v>2288</v>
      </c>
      <c r="B340" s="7">
        <v>109</v>
      </c>
      <c r="C340" s="7">
        <v>19.7</v>
      </c>
      <c r="D340" s="7">
        <v>45.9</v>
      </c>
      <c r="E340" s="7">
        <v>7.3</v>
      </c>
      <c r="F340" s="7">
        <v>26.3</v>
      </c>
      <c r="G340" s="7">
        <v>21.7</v>
      </c>
      <c r="H340" s="7">
        <v>212.4</v>
      </c>
      <c r="I340" s="7">
        <v>69.3</v>
      </c>
      <c r="J340" s="7">
        <v>37.9</v>
      </c>
      <c r="K340" s="7">
        <v>179.6</v>
      </c>
      <c r="L340" s="7">
        <v>104.2</v>
      </c>
      <c r="M340" s="7">
        <v>178.7</v>
      </c>
      <c r="N340" s="7">
        <v>256.5</v>
      </c>
      <c r="O340" s="7">
        <v>81</v>
      </c>
      <c r="P340" s="7">
        <v>122.4</v>
      </c>
      <c r="Q340" s="7">
        <v>6.7</v>
      </c>
    </row>
    <row r="341" spans="1:17">
      <c r="A341" s="2">
        <v>2289</v>
      </c>
      <c r="B341" s="7">
        <v>109.3</v>
      </c>
      <c r="C341" s="7">
        <v>19.8</v>
      </c>
      <c r="D341" s="7">
        <v>46</v>
      </c>
      <c r="E341" s="7">
        <v>7.3</v>
      </c>
      <c r="F341" s="7">
        <v>26.4</v>
      </c>
      <c r="G341" s="7">
        <v>21.8</v>
      </c>
      <c r="H341" s="7">
        <v>213</v>
      </c>
      <c r="I341" s="7">
        <v>69.5</v>
      </c>
      <c r="J341" s="7">
        <v>38</v>
      </c>
      <c r="K341" s="7">
        <v>180.2</v>
      </c>
      <c r="L341" s="7">
        <v>104.5</v>
      </c>
      <c r="M341" s="7">
        <v>179.2</v>
      </c>
      <c r="N341" s="7">
        <v>257.3</v>
      </c>
      <c r="O341" s="7">
        <v>81.2</v>
      </c>
      <c r="P341" s="7">
        <v>122.8</v>
      </c>
      <c r="Q341" s="7">
        <v>6.7</v>
      </c>
    </row>
    <row r="342" spans="1:17">
      <c r="A342" s="2">
        <v>2290</v>
      </c>
      <c r="B342" s="7">
        <v>109.6</v>
      </c>
      <c r="C342" s="7">
        <v>19.8</v>
      </c>
      <c r="D342" s="7">
        <v>46.1</v>
      </c>
      <c r="E342" s="7">
        <v>7.4</v>
      </c>
      <c r="F342" s="7">
        <v>26.5</v>
      </c>
      <c r="G342" s="7">
        <v>21.8</v>
      </c>
      <c r="H342" s="7">
        <v>213.7</v>
      </c>
      <c r="I342" s="7">
        <v>69.7</v>
      </c>
      <c r="J342" s="7">
        <v>38.1</v>
      </c>
      <c r="K342" s="7">
        <v>180.7</v>
      </c>
      <c r="L342" s="7">
        <v>104.9</v>
      </c>
      <c r="M342" s="7">
        <v>179.8</v>
      </c>
      <c r="N342" s="7">
        <v>258.10000000000002</v>
      </c>
      <c r="O342" s="7">
        <v>81.5</v>
      </c>
      <c r="P342" s="7">
        <v>123.1</v>
      </c>
      <c r="Q342" s="7">
        <v>6.8</v>
      </c>
    </row>
    <row r="343" spans="1:17">
      <c r="A343" s="2">
        <v>2291</v>
      </c>
      <c r="B343" s="7">
        <v>110</v>
      </c>
      <c r="C343" s="7">
        <v>19.899999999999999</v>
      </c>
      <c r="D343" s="7">
        <v>46.3</v>
      </c>
      <c r="E343" s="7">
        <v>7.4</v>
      </c>
      <c r="F343" s="7">
        <v>26.6</v>
      </c>
      <c r="G343" s="7">
        <v>21.9</v>
      </c>
      <c r="H343" s="7">
        <v>214.4</v>
      </c>
      <c r="I343" s="7">
        <v>69.900000000000006</v>
      </c>
      <c r="J343" s="7">
        <v>38.200000000000003</v>
      </c>
      <c r="K343" s="7">
        <v>181.3</v>
      </c>
      <c r="L343" s="7">
        <v>105.2</v>
      </c>
      <c r="M343" s="7">
        <v>180.3</v>
      </c>
      <c r="N343" s="7">
        <v>258.89999999999998</v>
      </c>
      <c r="O343" s="7">
        <v>81.7</v>
      </c>
      <c r="P343" s="7">
        <v>123.5</v>
      </c>
      <c r="Q343" s="7">
        <v>6.8</v>
      </c>
    </row>
    <row r="344" spans="1:17">
      <c r="A344" s="2">
        <v>2292</v>
      </c>
      <c r="B344" s="7">
        <v>110.3</v>
      </c>
      <c r="C344" s="7">
        <v>20</v>
      </c>
      <c r="D344" s="7">
        <v>46.4</v>
      </c>
      <c r="E344" s="7">
        <v>7.4</v>
      </c>
      <c r="F344" s="7">
        <v>26.7</v>
      </c>
      <c r="G344" s="7">
        <v>22</v>
      </c>
      <c r="H344" s="7">
        <v>215</v>
      </c>
      <c r="I344" s="7">
        <v>70.099999999999994</v>
      </c>
      <c r="J344" s="7">
        <v>38.299999999999997</v>
      </c>
      <c r="K344" s="7">
        <v>181.8</v>
      </c>
      <c r="L344" s="7">
        <v>105.5</v>
      </c>
      <c r="M344" s="7">
        <v>180.9</v>
      </c>
      <c r="N344" s="7">
        <v>259.7</v>
      </c>
      <c r="O344" s="7">
        <v>82</v>
      </c>
      <c r="P344" s="7">
        <v>123.9</v>
      </c>
      <c r="Q344" s="7">
        <v>6.8</v>
      </c>
    </row>
    <row r="345" spans="1:17">
      <c r="A345" s="2">
        <v>2293</v>
      </c>
      <c r="B345" s="7">
        <v>110.6</v>
      </c>
      <c r="C345" s="7">
        <v>20</v>
      </c>
      <c r="D345" s="7">
        <v>46.6</v>
      </c>
      <c r="E345" s="7">
        <v>7.4</v>
      </c>
      <c r="F345" s="7">
        <v>26.7</v>
      </c>
      <c r="G345" s="7">
        <v>22</v>
      </c>
      <c r="H345" s="7">
        <v>215.7</v>
      </c>
      <c r="I345" s="7">
        <v>70.3</v>
      </c>
      <c r="J345" s="7">
        <v>38.4</v>
      </c>
      <c r="K345" s="7">
        <v>182.4</v>
      </c>
      <c r="L345" s="7">
        <v>105.8</v>
      </c>
      <c r="M345" s="7">
        <v>181.4</v>
      </c>
      <c r="N345" s="7">
        <v>260.5</v>
      </c>
      <c r="O345" s="7">
        <v>82.2</v>
      </c>
      <c r="P345" s="7">
        <v>124.3</v>
      </c>
      <c r="Q345" s="7">
        <v>6.8</v>
      </c>
    </row>
    <row r="346" spans="1:17">
      <c r="A346" s="2">
        <v>2294</v>
      </c>
      <c r="B346" s="7">
        <v>111</v>
      </c>
      <c r="C346" s="7">
        <v>20.100000000000001</v>
      </c>
      <c r="D346" s="7">
        <v>46.7</v>
      </c>
      <c r="E346" s="7">
        <v>7.5</v>
      </c>
      <c r="F346" s="7">
        <v>26.8</v>
      </c>
      <c r="G346" s="7">
        <v>22.1</v>
      </c>
      <c r="H346" s="7">
        <v>216.3</v>
      </c>
      <c r="I346" s="7">
        <v>70.599999999999994</v>
      </c>
      <c r="J346" s="7">
        <v>38.6</v>
      </c>
      <c r="K346" s="7">
        <v>182.9</v>
      </c>
      <c r="L346" s="7">
        <v>106.2</v>
      </c>
      <c r="M346" s="7">
        <v>182</v>
      </c>
      <c r="N346" s="7">
        <v>261.3</v>
      </c>
      <c r="O346" s="7">
        <v>82.5</v>
      </c>
      <c r="P346" s="7">
        <v>124.6</v>
      </c>
      <c r="Q346" s="7">
        <v>6.9</v>
      </c>
    </row>
    <row r="347" spans="1:17">
      <c r="A347" s="2">
        <v>2295</v>
      </c>
      <c r="B347" s="7">
        <v>111.3</v>
      </c>
      <c r="C347" s="7">
        <v>20.100000000000001</v>
      </c>
      <c r="D347" s="7">
        <v>46.9</v>
      </c>
      <c r="E347" s="7">
        <v>7.5</v>
      </c>
      <c r="F347" s="7">
        <v>26.9</v>
      </c>
      <c r="G347" s="7">
        <v>22.2</v>
      </c>
      <c r="H347" s="7">
        <v>217</v>
      </c>
      <c r="I347" s="7">
        <v>70.8</v>
      </c>
      <c r="J347" s="7">
        <v>38.700000000000003</v>
      </c>
      <c r="K347" s="7">
        <v>183.5</v>
      </c>
      <c r="L347" s="7">
        <v>106.5</v>
      </c>
      <c r="M347" s="7">
        <v>182.5</v>
      </c>
      <c r="N347" s="7">
        <v>262.10000000000002</v>
      </c>
      <c r="O347" s="7">
        <v>82.7</v>
      </c>
      <c r="P347" s="7">
        <v>125</v>
      </c>
      <c r="Q347" s="7">
        <v>6.9</v>
      </c>
    </row>
    <row r="348" spans="1:17">
      <c r="A348" s="2">
        <v>2296</v>
      </c>
      <c r="B348" s="7">
        <v>111.6</v>
      </c>
      <c r="C348" s="7">
        <v>20.2</v>
      </c>
      <c r="D348" s="7">
        <v>47</v>
      </c>
      <c r="E348" s="7">
        <v>7.5</v>
      </c>
      <c r="F348" s="7">
        <v>27</v>
      </c>
      <c r="G348" s="7">
        <v>22.2</v>
      </c>
      <c r="H348" s="7">
        <v>217.6</v>
      </c>
      <c r="I348" s="7">
        <v>71</v>
      </c>
      <c r="J348" s="7">
        <v>38.799999999999997</v>
      </c>
      <c r="K348" s="7">
        <v>184</v>
      </c>
      <c r="L348" s="7">
        <v>106.8</v>
      </c>
      <c r="M348" s="7">
        <v>183.1</v>
      </c>
      <c r="N348" s="7">
        <v>262.89999999999998</v>
      </c>
      <c r="O348" s="7">
        <v>83</v>
      </c>
      <c r="P348" s="7">
        <v>125.4</v>
      </c>
      <c r="Q348" s="7">
        <v>6.9</v>
      </c>
    </row>
    <row r="349" spans="1:17">
      <c r="A349" s="2">
        <v>2297</v>
      </c>
      <c r="B349" s="7">
        <v>112</v>
      </c>
      <c r="C349" s="7">
        <v>20.3</v>
      </c>
      <c r="D349" s="7">
        <v>47.1</v>
      </c>
      <c r="E349" s="7">
        <v>7.5</v>
      </c>
      <c r="F349" s="7">
        <v>27.1</v>
      </c>
      <c r="G349" s="7">
        <v>22.3</v>
      </c>
      <c r="H349" s="7">
        <v>218.3</v>
      </c>
      <c r="I349" s="7">
        <v>71.2</v>
      </c>
      <c r="J349" s="7">
        <v>38.9</v>
      </c>
      <c r="K349" s="7">
        <v>184.6</v>
      </c>
      <c r="L349" s="7">
        <v>107.1</v>
      </c>
      <c r="M349" s="7">
        <v>183.6</v>
      </c>
      <c r="N349" s="7">
        <v>263.7</v>
      </c>
      <c r="O349" s="7">
        <v>83.2</v>
      </c>
      <c r="P349" s="7">
        <v>125.8</v>
      </c>
      <c r="Q349" s="7">
        <v>6.9</v>
      </c>
    </row>
    <row r="350" spans="1:17">
      <c r="A350" s="2">
        <v>2298</v>
      </c>
      <c r="B350" s="7">
        <v>112.3</v>
      </c>
      <c r="C350" s="7">
        <v>20.3</v>
      </c>
      <c r="D350" s="7">
        <v>47.3</v>
      </c>
      <c r="E350" s="7">
        <v>7.5</v>
      </c>
      <c r="F350" s="7">
        <v>27.1</v>
      </c>
      <c r="G350" s="7">
        <v>22.4</v>
      </c>
      <c r="H350" s="7">
        <v>218.9</v>
      </c>
      <c r="I350" s="7">
        <v>71.400000000000006</v>
      </c>
      <c r="J350" s="7">
        <v>39</v>
      </c>
      <c r="K350" s="7">
        <v>185.1</v>
      </c>
      <c r="L350" s="7">
        <v>107.4</v>
      </c>
      <c r="M350" s="7">
        <v>184.2</v>
      </c>
      <c r="N350" s="7">
        <v>264.5</v>
      </c>
      <c r="O350" s="7">
        <v>83.5</v>
      </c>
      <c r="P350" s="7">
        <v>126.1</v>
      </c>
      <c r="Q350" s="7">
        <v>6.9</v>
      </c>
    </row>
    <row r="351" spans="1:17">
      <c r="A351" s="2">
        <v>2299</v>
      </c>
      <c r="B351" s="7">
        <v>112.6</v>
      </c>
      <c r="C351" s="7">
        <v>20.399999999999999</v>
      </c>
      <c r="D351" s="7">
        <v>47.4</v>
      </c>
      <c r="E351" s="7">
        <v>7.6</v>
      </c>
      <c r="F351" s="7">
        <v>27.2</v>
      </c>
      <c r="G351" s="7">
        <v>22.4</v>
      </c>
      <c r="H351" s="7">
        <v>219.6</v>
      </c>
      <c r="I351" s="7">
        <v>71.599999999999994</v>
      </c>
      <c r="J351" s="7">
        <v>39.1</v>
      </c>
      <c r="K351" s="7">
        <v>185.7</v>
      </c>
      <c r="L351" s="7">
        <v>107.8</v>
      </c>
      <c r="M351" s="7">
        <v>184.7</v>
      </c>
      <c r="N351" s="7">
        <v>265.3</v>
      </c>
      <c r="O351" s="7">
        <v>83.7</v>
      </c>
      <c r="P351" s="7">
        <v>126.5</v>
      </c>
      <c r="Q351" s="7">
        <v>7</v>
      </c>
    </row>
    <row r="352" spans="1:17">
      <c r="A352" s="2">
        <v>2300</v>
      </c>
      <c r="B352" s="7">
        <v>113</v>
      </c>
      <c r="C352" s="7">
        <v>20.399999999999999</v>
      </c>
      <c r="D352" s="7">
        <v>47.6</v>
      </c>
      <c r="E352" s="7">
        <v>7.6</v>
      </c>
      <c r="F352" s="7">
        <v>27.3</v>
      </c>
      <c r="G352" s="7">
        <v>22.5</v>
      </c>
      <c r="H352" s="7">
        <v>220.2</v>
      </c>
      <c r="I352" s="7">
        <v>71.8</v>
      </c>
      <c r="J352" s="7">
        <v>39.299999999999997</v>
      </c>
      <c r="K352" s="7">
        <v>186.2</v>
      </c>
      <c r="L352" s="7">
        <v>108.1</v>
      </c>
      <c r="M352" s="7">
        <v>185.3</v>
      </c>
      <c r="N352" s="7">
        <v>266</v>
      </c>
      <c r="O352" s="7">
        <v>84</v>
      </c>
      <c r="P352" s="7">
        <v>126.9</v>
      </c>
      <c r="Q352" s="7">
        <v>7</v>
      </c>
    </row>
    <row r="353" spans="1:17">
      <c r="A353" s="2">
        <v>2301</v>
      </c>
      <c r="B353" s="7">
        <v>113</v>
      </c>
      <c r="C353" s="7">
        <v>20.399999999999999</v>
      </c>
      <c r="D353" s="7">
        <v>47.6</v>
      </c>
      <c r="E353" s="7">
        <v>7.6</v>
      </c>
      <c r="F353" s="7">
        <v>27.3</v>
      </c>
      <c r="G353" s="7">
        <v>22.5</v>
      </c>
      <c r="H353" s="7">
        <v>220.2</v>
      </c>
      <c r="I353" s="7">
        <v>71.8</v>
      </c>
      <c r="J353" s="7">
        <v>39.299999999999997</v>
      </c>
      <c r="K353" s="7">
        <v>186.2</v>
      </c>
      <c r="L353" s="7">
        <v>108.1</v>
      </c>
      <c r="M353" s="7">
        <v>185.3</v>
      </c>
      <c r="N353" s="7">
        <v>266</v>
      </c>
      <c r="O353" s="7">
        <v>84</v>
      </c>
      <c r="P353" s="7">
        <v>126.9</v>
      </c>
      <c r="Q353" s="7">
        <v>7</v>
      </c>
    </row>
    <row r="354" spans="1:17">
      <c r="A354" s="2">
        <v>2302</v>
      </c>
      <c r="B354" s="7">
        <v>113</v>
      </c>
      <c r="C354" s="7">
        <v>20.399999999999999</v>
      </c>
      <c r="D354" s="7">
        <v>47.6</v>
      </c>
      <c r="E354" s="7">
        <v>7.6</v>
      </c>
      <c r="F354" s="7">
        <v>27.3</v>
      </c>
      <c r="G354" s="7">
        <v>22.5</v>
      </c>
      <c r="H354" s="7">
        <v>220.2</v>
      </c>
      <c r="I354" s="7">
        <v>71.8</v>
      </c>
      <c r="J354" s="7">
        <v>39.299999999999997</v>
      </c>
      <c r="K354" s="7">
        <v>186.2</v>
      </c>
      <c r="L354" s="7">
        <v>108.1</v>
      </c>
      <c r="M354" s="7">
        <v>185.3</v>
      </c>
      <c r="N354" s="7">
        <v>266</v>
      </c>
      <c r="O354" s="7">
        <v>84</v>
      </c>
      <c r="P354" s="7">
        <v>126.9</v>
      </c>
      <c r="Q354" s="7">
        <v>7</v>
      </c>
    </row>
    <row r="355" spans="1:17">
      <c r="A355" s="2">
        <v>2303</v>
      </c>
      <c r="B355" s="7">
        <v>113</v>
      </c>
      <c r="C355" s="7">
        <v>20.399999999999999</v>
      </c>
      <c r="D355" s="7">
        <v>47.6</v>
      </c>
      <c r="E355" s="7">
        <v>7.6</v>
      </c>
      <c r="F355" s="7">
        <v>27.3</v>
      </c>
      <c r="G355" s="7">
        <v>22.5</v>
      </c>
      <c r="H355" s="7">
        <v>220.2</v>
      </c>
      <c r="I355" s="7">
        <v>71.8</v>
      </c>
      <c r="J355" s="7">
        <v>39.299999999999997</v>
      </c>
      <c r="K355" s="7">
        <v>186.2</v>
      </c>
      <c r="L355" s="7">
        <v>108.1</v>
      </c>
      <c r="M355" s="7">
        <v>185.3</v>
      </c>
      <c r="N355" s="7">
        <v>266</v>
      </c>
      <c r="O355" s="7">
        <v>84</v>
      </c>
      <c r="P355" s="7">
        <v>126.9</v>
      </c>
      <c r="Q355" s="7">
        <v>7</v>
      </c>
    </row>
    <row r="356" spans="1:17">
      <c r="A356" s="2">
        <v>2304</v>
      </c>
      <c r="B356" s="7">
        <v>113</v>
      </c>
      <c r="C356" s="7">
        <v>20.399999999999999</v>
      </c>
      <c r="D356" s="7">
        <v>47.6</v>
      </c>
      <c r="E356" s="7">
        <v>7.6</v>
      </c>
      <c r="F356" s="7">
        <v>27.3</v>
      </c>
      <c r="G356" s="7">
        <v>22.5</v>
      </c>
      <c r="H356" s="7">
        <v>220.2</v>
      </c>
      <c r="I356" s="7">
        <v>71.8</v>
      </c>
      <c r="J356" s="7">
        <v>39.299999999999997</v>
      </c>
      <c r="K356" s="7">
        <v>186.2</v>
      </c>
      <c r="L356" s="7">
        <v>108.1</v>
      </c>
      <c r="M356" s="7">
        <v>185.3</v>
      </c>
      <c r="N356" s="7">
        <v>266</v>
      </c>
      <c r="O356" s="7">
        <v>84</v>
      </c>
      <c r="P356" s="7">
        <v>126.9</v>
      </c>
      <c r="Q356" s="7">
        <v>7</v>
      </c>
    </row>
    <row r="357" spans="1:17">
      <c r="A357" s="2">
        <v>2305</v>
      </c>
      <c r="B357" s="7">
        <v>113</v>
      </c>
      <c r="C357" s="7">
        <v>20.399999999999999</v>
      </c>
      <c r="D357" s="7">
        <v>47.6</v>
      </c>
      <c r="E357" s="7">
        <v>7.6</v>
      </c>
      <c r="F357" s="7">
        <v>27.3</v>
      </c>
      <c r="G357" s="7">
        <v>22.5</v>
      </c>
      <c r="H357" s="7">
        <v>220.2</v>
      </c>
      <c r="I357" s="7">
        <v>71.8</v>
      </c>
      <c r="J357" s="7">
        <v>39.299999999999997</v>
      </c>
      <c r="K357" s="7">
        <v>186.2</v>
      </c>
      <c r="L357" s="7">
        <v>108.1</v>
      </c>
      <c r="M357" s="7">
        <v>185.3</v>
      </c>
      <c r="N357" s="7">
        <v>266</v>
      </c>
      <c r="O357" s="7">
        <v>84</v>
      </c>
      <c r="P357" s="7">
        <v>126.9</v>
      </c>
      <c r="Q357" s="7">
        <v>7</v>
      </c>
    </row>
    <row r="358" spans="1:17">
      <c r="A358" s="2">
        <v>2306</v>
      </c>
      <c r="B358" s="7">
        <v>113</v>
      </c>
      <c r="C358" s="7">
        <v>20.399999999999999</v>
      </c>
      <c r="D358" s="7">
        <v>47.6</v>
      </c>
      <c r="E358" s="7">
        <v>7.6</v>
      </c>
      <c r="F358" s="7">
        <v>27.3</v>
      </c>
      <c r="G358" s="7">
        <v>22.5</v>
      </c>
      <c r="H358" s="7">
        <v>220.2</v>
      </c>
      <c r="I358" s="7">
        <v>71.8</v>
      </c>
      <c r="J358" s="7">
        <v>39.299999999999997</v>
      </c>
      <c r="K358" s="7">
        <v>186.2</v>
      </c>
      <c r="L358" s="7">
        <v>108.1</v>
      </c>
      <c r="M358" s="7">
        <v>185.3</v>
      </c>
      <c r="N358" s="7">
        <v>266</v>
      </c>
      <c r="O358" s="7">
        <v>84</v>
      </c>
      <c r="P358" s="7">
        <v>126.9</v>
      </c>
      <c r="Q358" s="7">
        <v>7</v>
      </c>
    </row>
    <row r="359" spans="1:17">
      <c r="A359" s="2">
        <v>2307</v>
      </c>
      <c r="B359" s="7">
        <v>113</v>
      </c>
      <c r="C359" s="7">
        <v>20.399999999999999</v>
      </c>
      <c r="D359" s="7">
        <v>47.6</v>
      </c>
      <c r="E359" s="7">
        <v>7.6</v>
      </c>
      <c r="F359" s="7">
        <v>27.3</v>
      </c>
      <c r="G359" s="7">
        <v>22.5</v>
      </c>
      <c r="H359" s="7">
        <v>220.2</v>
      </c>
      <c r="I359" s="7">
        <v>71.8</v>
      </c>
      <c r="J359" s="7">
        <v>39.299999999999997</v>
      </c>
      <c r="K359" s="7">
        <v>186.2</v>
      </c>
      <c r="L359" s="7">
        <v>108.1</v>
      </c>
      <c r="M359" s="7">
        <v>185.3</v>
      </c>
      <c r="N359" s="7">
        <v>266</v>
      </c>
      <c r="O359" s="7">
        <v>84</v>
      </c>
      <c r="P359" s="7">
        <v>126.9</v>
      </c>
      <c r="Q359" s="7">
        <v>7</v>
      </c>
    </row>
    <row r="360" spans="1:17">
      <c r="A360" s="2">
        <v>2308</v>
      </c>
      <c r="B360" s="7">
        <v>113</v>
      </c>
      <c r="C360" s="7">
        <v>20.399999999999999</v>
      </c>
      <c r="D360" s="7">
        <v>47.6</v>
      </c>
      <c r="E360" s="7">
        <v>7.6</v>
      </c>
      <c r="F360" s="7">
        <v>27.3</v>
      </c>
      <c r="G360" s="7">
        <v>22.5</v>
      </c>
      <c r="H360" s="7">
        <v>220.2</v>
      </c>
      <c r="I360" s="7">
        <v>71.8</v>
      </c>
      <c r="J360" s="7">
        <v>39.299999999999997</v>
      </c>
      <c r="K360" s="7">
        <v>186.2</v>
      </c>
      <c r="L360" s="7">
        <v>108.1</v>
      </c>
      <c r="M360" s="7">
        <v>185.3</v>
      </c>
      <c r="N360" s="7">
        <v>266</v>
      </c>
      <c r="O360" s="7">
        <v>84</v>
      </c>
      <c r="P360" s="7">
        <v>126.9</v>
      </c>
      <c r="Q360" s="7">
        <v>7</v>
      </c>
    </row>
    <row r="361" spans="1:17">
      <c r="A361" s="2">
        <v>2309</v>
      </c>
      <c r="B361" s="7">
        <v>113</v>
      </c>
      <c r="C361" s="7">
        <v>20.399999999999999</v>
      </c>
      <c r="D361" s="7">
        <v>47.6</v>
      </c>
      <c r="E361" s="7">
        <v>7.6</v>
      </c>
      <c r="F361" s="7">
        <v>27.3</v>
      </c>
      <c r="G361" s="7">
        <v>22.5</v>
      </c>
      <c r="H361" s="7">
        <v>220.2</v>
      </c>
      <c r="I361" s="7">
        <v>71.8</v>
      </c>
      <c r="J361" s="7">
        <v>39.299999999999997</v>
      </c>
      <c r="K361" s="7">
        <v>186.2</v>
      </c>
      <c r="L361" s="7">
        <v>108.1</v>
      </c>
      <c r="M361" s="7">
        <v>185.3</v>
      </c>
      <c r="N361" s="7">
        <v>266</v>
      </c>
      <c r="O361" s="7">
        <v>84</v>
      </c>
      <c r="P361" s="7">
        <v>126.9</v>
      </c>
      <c r="Q361" s="7">
        <v>7</v>
      </c>
    </row>
    <row r="362" spans="1:17">
      <c r="A362" s="2">
        <v>2310</v>
      </c>
      <c r="B362" s="7">
        <v>113</v>
      </c>
      <c r="C362" s="7">
        <v>20.399999999999999</v>
      </c>
      <c r="D362" s="7">
        <v>47.6</v>
      </c>
      <c r="E362" s="7">
        <v>7.6</v>
      </c>
      <c r="F362" s="7">
        <v>27.3</v>
      </c>
      <c r="G362" s="7">
        <v>22.5</v>
      </c>
      <c r="H362" s="7">
        <v>220.2</v>
      </c>
      <c r="I362" s="7">
        <v>71.8</v>
      </c>
      <c r="J362" s="7">
        <v>39.299999999999997</v>
      </c>
      <c r="K362" s="7">
        <v>186.2</v>
      </c>
      <c r="L362" s="7">
        <v>108.1</v>
      </c>
      <c r="M362" s="7">
        <v>185.3</v>
      </c>
      <c r="N362" s="7">
        <v>266</v>
      </c>
      <c r="O362" s="7">
        <v>84</v>
      </c>
      <c r="P362" s="7">
        <v>126.9</v>
      </c>
      <c r="Q362" s="7">
        <v>7</v>
      </c>
    </row>
    <row r="363" spans="1:17">
      <c r="A363" s="2">
        <v>2311</v>
      </c>
      <c r="B363" s="7">
        <v>113</v>
      </c>
      <c r="C363" s="7">
        <v>20.399999999999999</v>
      </c>
      <c r="D363" s="7">
        <v>47.6</v>
      </c>
      <c r="E363" s="7">
        <v>7.6</v>
      </c>
      <c r="F363" s="7">
        <v>27.3</v>
      </c>
      <c r="G363" s="7">
        <v>22.5</v>
      </c>
      <c r="H363" s="7">
        <v>220.2</v>
      </c>
      <c r="I363" s="7">
        <v>71.8</v>
      </c>
      <c r="J363" s="7">
        <v>39.299999999999997</v>
      </c>
      <c r="K363" s="7">
        <v>186.2</v>
      </c>
      <c r="L363" s="7">
        <v>108.1</v>
      </c>
      <c r="M363" s="7">
        <v>185.3</v>
      </c>
      <c r="N363" s="7">
        <v>266</v>
      </c>
      <c r="O363" s="7">
        <v>84</v>
      </c>
      <c r="P363" s="7">
        <v>126.9</v>
      </c>
      <c r="Q363" s="7">
        <v>7</v>
      </c>
    </row>
    <row r="364" spans="1:17">
      <c r="A364" s="2">
        <v>2312</v>
      </c>
      <c r="B364" s="7">
        <v>113</v>
      </c>
      <c r="C364" s="7">
        <v>20.399999999999999</v>
      </c>
      <c r="D364" s="7">
        <v>47.6</v>
      </c>
      <c r="E364" s="7">
        <v>7.6</v>
      </c>
      <c r="F364" s="7">
        <v>27.3</v>
      </c>
      <c r="G364" s="7">
        <v>22.5</v>
      </c>
      <c r="H364" s="7">
        <v>220.2</v>
      </c>
      <c r="I364" s="7">
        <v>71.8</v>
      </c>
      <c r="J364" s="7">
        <v>39.299999999999997</v>
      </c>
      <c r="K364" s="7">
        <v>186.2</v>
      </c>
      <c r="L364" s="7">
        <v>108.1</v>
      </c>
      <c r="M364" s="7">
        <v>185.3</v>
      </c>
      <c r="N364" s="7">
        <v>266</v>
      </c>
      <c r="O364" s="7">
        <v>84</v>
      </c>
      <c r="P364" s="7">
        <v>126.9</v>
      </c>
      <c r="Q364" s="7">
        <v>7</v>
      </c>
    </row>
    <row r="365" spans="1:17">
      <c r="A365" s="2">
        <v>2313</v>
      </c>
      <c r="B365" s="7">
        <v>113</v>
      </c>
      <c r="C365" s="7">
        <v>20.399999999999999</v>
      </c>
      <c r="D365" s="7">
        <v>47.6</v>
      </c>
      <c r="E365" s="7">
        <v>7.6</v>
      </c>
      <c r="F365" s="7">
        <v>27.3</v>
      </c>
      <c r="G365" s="7">
        <v>22.5</v>
      </c>
      <c r="H365" s="7">
        <v>220.2</v>
      </c>
      <c r="I365" s="7">
        <v>71.8</v>
      </c>
      <c r="J365" s="7">
        <v>39.299999999999997</v>
      </c>
      <c r="K365" s="7">
        <v>186.2</v>
      </c>
      <c r="L365" s="7">
        <v>108.1</v>
      </c>
      <c r="M365" s="7">
        <v>185.3</v>
      </c>
      <c r="N365" s="7">
        <v>266</v>
      </c>
      <c r="O365" s="7">
        <v>84</v>
      </c>
      <c r="P365" s="7">
        <v>126.9</v>
      </c>
      <c r="Q365" s="7">
        <v>7</v>
      </c>
    </row>
    <row r="366" spans="1:17">
      <c r="A366" s="2">
        <v>2314</v>
      </c>
      <c r="B366" s="7">
        <v>113</v>
      </c>
      <c r="C366" s="7">
        <v>20.399999999999999</v>
      </c>
      <c r="D366" s="7">
        <v>47.6</v>
      </c>
      <c r="E366" s="7">
        <v>7.6</v>
      </c>
      <c r="F366" s="7">
        <v>27.3</v>
      </c>
      <c r="G366" s="7">
        <v>22.5</v>
      </c>
      <c r="H366" s="7">
        <v>220.2</v>
      </c>
      <c r="I366" s="7">
        <v>71.8</v>
      </c>
      <c r="J366" s="7">
        <v>39.299999999999997</v>
      </c>
      <c r="K366" s="7">
        <v>186.2</v>
      </c>
      <c r="L366" s="7">
        <v>108.1</v>
      </c>
      <c r="M366" s="7">
        <v>185.3</v>
      </c>
      <c r="N366" s="7">
        <v>266</v>
      </c>
      <c r="O366" s="7">
        <v>84</v>
      </c>
      <c r="P366" s="7">
        <v>126.9</v>
      </c>
      <c r="Q366" s="7">
        <v>7</v>
      </c>
    </row>
    <row r="367" spans="1:17">
      <c r="A367" s="2">
        <v>2315</v>
      </c>
      <c r="B367" s="7">
        <v>113</v>
      </c>
      <c r="C367" s="7">
        <v>20.399999999999999</v>
      </c>
      <c r="D367" s="7">
        <v>47.6</v>
      </c>
      <c r="E367" s="7">
        <v>7.6</v>
      </c>
      <c r="F367" s="7">
        <v>27.3</v>
      </c>
      <c r="G367" s="7">
        <v>22.5</v>
      </c>
      <c r="H367" s="7">
        <v>220.2</v>
      </c>
      <c r="I367" s="7">
        <v>71.8</v>
      </c>
      <c r="J367" s="7">
        <v>39.299999999999997</v>
      </c>
      <c r="K367" s="7">
        <v>186.2</v>
      </c>
      <c r="L367" s="7">
        <v>108.1</v>
      </c>
      <c r="M367" s="7">
        <v>185.3</v>
      </c>
      <c r="N367" s="7">
        <v>266</v>
      </c>
      <c r="O367" s="7">
        <v>84</v>
      </c>
      <c r="P367" s="7">
        <v>126.9</v>
      </c>
      <c r="Q367" s="7">
        <v>7</v>
      </c>
    </row>
    <row r="368" spans="1:17">
      <c r="A368" s="2">
        <v>2316</v>
      </c>
      <c r="B368" s="7">
        <v>113</v>
      </c>
      <c r="C368" s="7">
        <v>20.399999999999999</v>
      </c>
      <c r="D368" s="7">
        <v>47.6</v>
      </c>
      <c r="E368" s="7">
        <v>7.6</v>
      </c>
      <c r="F368" s="7">
        <v>27.3</v>
      </c>
      <c r="G368" s="7">
        <v>22.5</v>
      </c>
      <c r="H368" s="7">
        <v>220.2</v>
      </c>
      <c r="I368" s="7">
        <v>71.8</v>
      </c>
      <c r="J368" s="7">
        <v>39.299999999999997</v>
      </c>
      <c r="K368" s="7">
        <v>186.2</v>
      </c>
      <c r="L368" s="7">
        <v>108.1</v>
      </c>
      <c r="M368" s="7">
        <v>185.3</v>
      </c>
      <c r="N368" s="7">
        <v>266</v>
      </c>
      <c r="O368" s="7">
        <v>84</v>
      </c>
      <c r="P368" s="7">
        <v>126.9</v>
      </c>
      <c r="Q368" s="7">
        <v>7</v>
      </c>
    </row>
    <row r="369" spans="1:17">
      <c r="A369" s="2">
        <v>2317</v>
      </c>
      <c r="B369" s="7">
        <v>113</v>
      </c>
      <c r="C369" s="7">
        <v>20.399999999999999</v>
      </c>
      <c r="D369" s="7">
        <v>47.6</v>
      </c>
      <c r="E369" s="7">
        <v>7.6</v>
      </c>
      <c r="F369" s="7">
        <v>27.3</v>
      </c>
      <c r="G369" s="7">
        <v>22.5</v>
      </c>
      <c r="H369" s="7">
        <v>220.2</v>
      </c>
      <c r="I369" s="7">
        <v>71.8</v>
      </c>
      <c r="J369" s="7">
        <v>39.299999999999997</v>
      </c>
      <c r="K369" s="7">
        <v>186.2</v>
      </c>
      <c r="L369" s="7">
        <v>108.1</v>
      </c>
      <c r="M369" s="7">
        <v>185.3</v>
      </c>
      <c r="N369" s="7">
        <v>266</v>
      </c>
      <c r="O369" s="7">
        <v>84</v>
      </c>
      <c r="P369" s="7">
        <v>126.9</v>
      </c>
      <c r="Q369" s="7">
        <v>7</v>
      </c>
    </row>
    <row r="370" spans="1:17">
      <c r="A370" s="2">
        <v>2318</v>
      </c>
      <c r="B370" s="7">
        <v>113</v>
      </c>
      <c r="C370" s="7">
        <v>20.399999999999999</v>
      </c>
      <c r="D370" s="7">
        <v>47.6</v>
      </c>
      <c r="E370" s="7">
        <v>7.6</v>
      </c>
      <c r="F370" s="7">
        <v>27.3</v>
      </c>
      <c r="G370" s="7">
        <v>22.5</v>
      </c>
      <c r="H370" s="7">
        <v>220.2</v>
      </c>
      <c r="I370" s="7">
        <v>71.8</v>
      </c>
      <c r="J370" s="7">
        <v>39.299999999999997</v>
      </c>
      <c r="K370" s="7">
        <v>186.2</v>
      </c>
      <c r="L370" s="7">
        <v>108.1</v>
      </c>
      <c r="M370" s="7">
        <v>185.3</v>
      </c>
      <c r="N370" s="7">
        <v>266</v>
      </c>
      <c r="O370" s="7">
        <v>84</v>
      </c>
      <c r="P370" s="7">
        <v>126.9</v>
      </c>
      <c r="Q370" s="7">
        <v>7</v>
      </c>
    </row>
    <row r="371" spans="1:17">
      <c r="A371" s="2">
        <v>2319</v>
      </c>
      <c r="B371" s="7">
        <v>113</v>
      </c>
      <c r="C371" s="7">
        <v>20.399999999999999</v>
      </c>
      <c r="D371" s="7">
        <v>47.6</v>
      </c>
      <c r="E371" s="7">
        <v>7.6</v>
      </c>
      <c r="F371" s="7">
        <v>27.3</v>
      </c>
      <c r="G371" s="7">
        <v>22.5</v>
      </c>
      <c r="H371" s="7">
        <v>220.2</v>
      </c>
      <c r="I371" s="7">
        <v>71.8</v>
      </c>
      <c r="J371" s="7">
        <v>39.299999999999997</v>
      </c>
      <c r="K371" s="7">
        <v>186.2</v>
      </c>
      <c r="L371" s="7">
        <v>108.1</v>
      </c>
      <c r="M371" s="7">
        <v>185.3</v>
      </c>
      <c r="N371" s="7">
        <v>266</v>
      </c>
      <c r="O371" s="7">
        <v>84</v>
      </c>
      <c r="P371" s="7">
        <v>126.9</v>
      </c>
      <c r="Q371" s="7">
        <v>7</v>
      </c>
    </row>
    <row r="372" spans="1:17">
      <c r="A372" s="2">
        <v>2320</v>
      </c>
      <c r="B372" s="7">
        <v>113</v>
      </c>
      <c r="C372" s="7">
        <v>20.399999999999999</v>
      </c>
      <c r="D372" s="7">
        <v>47.6</v>
      </c>
      <c r="E372" s="7">
        <v>7.6</v>
      </c>
      <c r="F372" s="7">
        <v>27.3</v>
      </c>
      <c r="G372" s="7">
        <v>22.5</v>
      </c>
      <c r="H372" s="7">
        <v>220.2</v>
      </c>
      <c r="I372" s="7">
        <v>71.8</v>
      </c>
      <c r="J372" s="7">
        <v>39.299999999999997</v>
      </c>
      <c r="K372" s="7">
        <v>186.2</v>
      </c>
      <c r="L372" s="7">
        <v>108.1</v>
      </c>
      <c r="M372" s="7">
        <v>185.3</v>
      </c>
      <c r="N372" s="7">
        <v>266</v>
      </c>
      <c r="O372" s="7">
        <v>84</v>
      </c>
      <c r="P372" s="7">
        <v>126.9</v>
      </c>
      <c r="Q372" s="7">
        <v>7</v>
      </c>
    </row>
    <row r="373" spans="1:17">
      <c r="A373" s="2">
        <v>2321</v>
      </c>
      <c r="B373" s="7">
        <v>113</v>
      </c>
      <c r="C373" s="7">
        <v>20.399999999999999</v>
      </c>
      <c r="D373" s="7">
        <v>47.6</v>
      </c>
      <c r="E373" s="7">
        <v>7.6</v>
      </c>
      <c r="F373" s="7">
        <v>27.3</v>
      </c>
      <c r="G373" s="7">
        <v>22.5</v>
      </c>
      <c r="H373" s="7">
        <v>220.2</v>
      </c>
      <c r="I373" s="7">
        <v>71.8</v>
      </c>
      <c r="J373" s="7">
        <v>39.299999999999997</v>
      </c>
      <c r="K373" s="7">
        <v>186.2</v>
      </c>
      <c r="L373" s="7">
        <v>108.1</v>
      </c>
      <c r="M373" s="7">
        <v>185.3</v>
      </c>
      <c r="N373" s="7">
        <v>266</v>
      </c>
      <c r="O373" s="7">
        <v>84</v>
      </c>
      <c r="P373" s="7">
        <v>126.9</v>
      </c>
      <c r="Q373" s="7">
        <v>7</v>
      </c>
    </row>
    <row r="374" spans="1:17">
      <c r="A374" s="2">
        <v>2322</v>
      </c>
      <c r="B374" s="7">
        <v>113</v>
      </c>
      <c r="C374" s="7">
        <v>20.399999999999999</v>
      </c>
      <c r="D374" s="7">
        <v>47.6</v>
      </c>
      <c r="E374" s="7">
        <v>7.6</v>
      </c>
      <c r="F374" s="7">
        <v>27.3</v>
      </c>
      <c r="G374" s="7">
        <v>22.5</v>
      </c>
      <c r="H374" s="7">
        <v>220.2</v>
      </c>
      <c r="I374" s="7">
        <v>71.8</v>
      </c>
      <c r="J374" s="7">
        <v>39.299999999999997</v>
      </c>
      <c r="K374" s="7">
        <v>186.2</v>
      </c>
      <c r="L374" s="7">
        <v>108.1</v>
      </c>
      <c r="M374" s="7">
        <v>185.3</v>
      </c>
      <c r="N374" s="7">
        <v>266</v>
      </c>
      <c r="O374" s="7">
        <v>84</v>
      </c>
      <c r="P374" s="7">
        <v>126.9</v>
      </c>
      <c r="Q374" s="7">
        <v>7</v>
      </c>
    </row>
    <row r="375" spans="1:17">
      <c r="A375" s="2">
        <v>2323</v>
      </c>
      <c r="B375" s="7">
        <v>113</v>
      </c>
      <c r="C375" s="7">
        <v>20.399999999999999</v>
      </c>
      <c r="D375" s="7">
        <v>47.6</v>
      </c>
      <c r="E375" s="7">
        <v>7.6</v>
      </c>
      <c r="F375" s="7">
        <v>27.3</v>
      </c>
      <c r="G375" s="7">
        <v>22.5</v>
      </c>
      <c r="H375" s="7">
        <v>220.2</v>
      </c>
      <c r="I375" s="7">
        <v>71.8</v>
      </c>
      <c r="J375" s="7">
        <v>39.299999999999997</v>
      </c>
      <c r="K375" s="7">
        <v>186.2</v>
      </c>
      <c r="L375" s="7">
        <v>108.1</v>
      </c>
      <c r="M375" s="7">
        <v>185.3</v>
      </c>
      <c r="N375" s="7">
        <v>266</v>
      </c>
      <c r="O375" s="7">
        <v>84</v>
      </c>
      <c r="P375" s="7">
        <v>126.9</v>
      </c>
      <c r="Q375" s="7">
        <v>7</v>
      </c>
    </row>
    <row r="376" spans="1:17">
      <c r="A376" s="2">
        <v>2324</v>
      </c>
      <c r="B376" s="7">
        <v>113</v>
      </c>
      <c r="C376" s="7">
        <v>20.399999999999999</v>
      </c>
      <c r="D376" s="7">
        <v>47.6</v>
      </c>
      <c r="E376" s="7">
        <v>7.6</v>
      </c>
      <c r="F376" s="7">
        <v>27.3</v>
      </c>
      <c r="G376" s="7">
        <v>22.5</v>
      </c>
      <c r="H376" s="7">
        <v>220.2</v>
      </c>
      <c r="I376" s="7">
        <v>71.8</v>
      </c>
      <c r="J376" s="7">
        <v>39.299999999999997</v>
      </c>
      <c r="K376" s="7">
        <v>186.2</v>
      </c>
      <c r="L376" s="7">
        <v>108.1</v>
      </c>
      <c r="M376" s="7">
        <v>185.3</v>
      </c>
      <c r="N376" s="7">
        <v>266</v>
      </c>
      <c r="O376" s="7">
        <v>84</v>
      </c>
      <c r="P376" s="7">
        <v>126.9</v>
      </c>
      <c r="Q376" s="7">
        <v>7</v>
      </c>
    </row>
    <row r="377" spans="1:17">
      <c r="A377" s="2">
        <v>2325</v>
      </c>
      <c r="B377" s="7">
        <v>113</v>
      </c>
      <c r="C377" s="7">
        <v>20.399999999999999</v>
      </c>
      <c r="D377" s="7">
        <v>47.6</v>
      </c>
      <c r="E377" s="7">
        <v>7.6</v>
      </c>
      <c r="F377" s="7">
        <v>27.3</v>
      </c>
      <c r="G377" s="7">
        <v>22.5</v>
      </c>
      <c r="H377" s="7">
        <v>220.2</v>
      </c>
      <c r="I377" s="7">
        <v>71.8</v>
      </c>
      <c r="J377" s="7">
        <v>39.299999999999997</v>
      </c>
      <c r="K377" s="7">
        <v>186.2</v>
      </c>
      <c r="L377" s="7">
        <v>108.1</v>
      </c>
      <c r="M377" s="7">
        <v>185.3</v>
      </c>
      <c r="N377" s="7">
        <v>266</v>
      </c>
      <c r="O377" s="7">
        <v>84</v>
      </c>
      <c r="P377" s="7">
        <v>126.9</v>
      </c>
      <c r="Q377" s="7">
        <v>7</v>
      </c>
    </row>
    <row r="378" spans="1:17">
      <c r="A378" s="2">
        <v>2326</v>
      </c>
      <c r="B378" s="7">
        <v>113</v>
      </c>
      <c r="C378" s="7">
        <v>20.399999999999999</v>
      </c>
      <c r="D378" s="7">
        <v>47.6</v>
      </c>
      <c r="E378" s="7">
        <v>7.6</v>
      </c>
      <c r="F378" s="7">
        <v>27.3</v>
      </c>
      <c r="G378" s="7">
        <v>22.5</v>
      </c>
      <c r="H378" s="7">
        <v>220.2</v>
      </c>
      <c r="I378" s="7">
        <v>71.8</v>
      </c>
      <c r="J378" s="7">
        <v>39.299999999999997</v>
      </c>
      <c r="K378" s="7">
        <v>186.2</v>
      </c>
      <c r="L378" s="7">
        <v>108.1</v>
      </c>
      <c r="M378" s="7">
        <v>185.3</v>
      </c>
      <c r="N378" s="7">
        <v>266</v>
      </c>
      <c r="O378" s="7">
        <v>84</v>
      </c>
      <c r="P378" s="7">
        <v>126.9</v>
      </c>
      <c r="Q378" s="7">
        <v>7</v>
      </c>
    </row>
    <row r="379" spans="1:17">
      <c r="A379" s="2">
        <v>2327</v>
      </c>
      <c r="B379" s="7">
        <v>113</v>
      </c>
      <c r="C379" s="7">
        <v>20.399999999999999</v>
      </c>
      <c r="D379" s="7">
        <v>47.6</v>
      </c>
      <c r="E379" s="7">
        <v>7.6</v>
      </c>
      <c r="F379" s="7">
        <v>27.3</v>
      </c>
      <c r="G379" s="7">
        <v>22.5</v>
      </c>
      <c r="H379" s="7">
        <v>220.2</v>
      </c>
      <c r="I379" s="7">
        <v>71.8</v>
      </c>
      <c r="J379" s="7">
        <v>39.299999999999997</v>
      </c>
      <c r="K379" s="7">
        <v>186.2</v>
      </c>
      <c r="L379" s="7">
        <v>108.1</v>
      </c>
      <c r="M379" s="7">
        <v>185.3</v>
      </c>
      <c r="N379" s="7">
        <v>266</v>
      </c>
      <c r="O379" s="7">
        <v>84</v>
      </c>
      <c r="P379" s="7">
        <v>126.9</v>
      </c>
      <c r="Q379" s="7">
        <v>7</v>
      </c>
    </row>
    <row r="380" spans="1:17">
      <c r="A380" s="2">
        <v>2328</v>
      </c>
      <c r="B380" s="7">
        <v>113</v>
      </c>
      <c r="C380" s="7">
        <v>20.399999999999999</v>
      </c>
      <c r="D380" s="7">
        <v>47.6</v>
      </c>
      <c r="E380" s="7">
        <v>7.6</v>
      </c>
      <c r="F380" s="7">
        <v>27.3</v>
      </c>
      <c r="G380" s="7">
        <v>22.5</v>
      </c>
      <c r="H380" s="7">
        <v>220.2</v>
      </c>
      <c r="I380" s="7">
        <v>71.8</v>
      </c>
      <c r="J380" s="7">
        <v>39.299999999999997</v>
      </c>
      <c r="K380" s="7">
        <v>186.2</v>
      </c>
      <c r="L380" s="7">
        <v>108.1</v>
      </c>
      <c r="M380" s="7">
        <v>185.3</v>
      </c>
      <c r="N380" s="7">
        <v>266</v>
      </c>
      <c r="O380" s="7">
        <v>84</v>
      </c>
      <c r="P380" s="7">
        <v>126.9</v>
      </c>
      <c r="Q380" s="7">
        <v>7</v>
      </c>
    </row>
    <row r="381" spans="1:17">
      <c r="A381" s="2">
        <v>2329</v>
      </c>
      <c r="B381" s="7">
        <v>113</v>
      </c>
      <c r="C381" s="7">
        <v>20.399999999999999</v>
      </c>
      <c r="D381" s="7">
        <v>47.6</v>
      </c>
      <c r="E381" s="7">
        <v>7.6</v>
      </c>
      <c r="F381" s="7">
        <v>27.3</v>
      </c>
      <c r="G381" s="7">
        <v>22.5</v>
      </c>
      <c r="H381" s="7">
        <v>220.2</v>
      </c>
      <c r="I381" s="7">
        <v>71.8</v>
      </c>
      <c r="J381" s="7">
        <v>39.299999999999997</v>
      </c>
      <c r="K381" s="7">
        <v>186.2</v>
      </c>
      <c r="L381" s="7">
        <v>108.1</v>
      </c>
      <c r="M381" s="7">
        <v>185.3</v>
      </c>
      <c r="N381" s="7">
        <v>266</v>
      </c>
      <c r="O381" s="7">
        <v>84</v>
      </c>
      <c r="P381" s="7">
        <v>126.9</v>
      </c>
      <c r="Q381" s="7">
        <v>7</v>
      </c>
    </row>
    <row r="382" spans="1:17">
      <c r="A382" s="2">
        <v>2330</v>
      </c>
      <c r="B382" s="7">
        <v>113</v>
      </c>
      <c r="C382" s="7">
        <v>20.399999999999999</v>
      </c>
      <c r="D382" s="7">
        <v>47.6</v>
      </c>
      <c r="E382" s="7">
        <v>7.6</v>
      </c>
      <c r="F382" s="7">
        <v>27.3</v>
      </c>
      <c r="G382" s="7">
        <v>22.5</v>
      </c>
      <c r="H382" s="7">
        <v>220.2</v>
      </c>
      <c r="I382" s="7">
        <v>71.8</v>
      </c>
      <c r="J382" s="7">
        <v>39.299999999999997</v>
      </c>
      <c r="K382" s="7">
        <v>186.2</v>
      </c>
      <c r="L382" s="7">
        <v>108.1</v>
      </c>
      <c r="M382" s="7">
        <v>185.3</v>
      </c>
      <c r="N382" s="7">
        <v>266</v>
      </c>
      <c r="O382" s="7">
        <v>84</v>
      </c>
      <c r="P382" s="7">
        <v>126.9</v>
      </c>
      <c r="Q382" s="7">
        <v>7</v>
      </c>
    </row>
    <row r="383" spans="1:17">
      <c r="A383" s="2">
        <v>2331</v>
      </c>
      <c r="B383" s="7">
        <v>113</v>
      </c>
      <c r="C383" s="7">
        <v>20.399999999999999</v>
      </c>
      <c r="D383" s="7">
        <v>47.6</v>
      </c>
      <c r="E383" s="7">
        <v>7.6</v>
      </c>
      <c r="F383" s="7">
        <v>27.3</v>
      </c>
      <c r="G383" s="7">
        <v>22.5</v>
      </c>
      <c r="H383" s="7">
        <v>220.2</v>
      </c>
      <c r="I383" s="7">
        <v>71.8</v>
      </c>
      <c r="J383" s="7">
        <v>39.299999999999997</v>
      </c>
      <c r="K383" s="7">
        <v>186.2</v>
      </c>
      <c r="L383" s="7">
        <v>108.1</v>
      </c>
      <c r="M383" s="7">
        <v>185.3</v>
      </c>
      <c r="N383" s="7">
        <v>266</v>
      </c>
      <c r="O383" s="7">
        <v>84</v>
      </c>
      <c r="P383" s="7">
        <v>126.9</v>
      </c>
      <c r="Q383" s="7">
        <v>7</v>
      </c>
    </row>
    <row r="384" spans="1:17">
      <c r="A384" s="2">
        <v>2332</v>
      </c>
      <c r="B384" s="7">
        <v>113</v>
      </c>
      <c r="C384" s="7">
        <v>20.399999999999999</v>
      </c>
      <c r="D384" s="7">
        <v>47.6</v>
      </c>
      <c r="E384" s="7">
        <v>7.6</v>
      </c>
      <c r="F384" s="7">
        <v>27.3</v>
      </c>
      <c r="G384" s="7">
        <v>22.5</v>
      </c>
      <c r="H384" s="7">
        <v>220.2</v>
      </c>
      <c r="I384" s="7">
        <v>71.8</v>
      </c>
      <c r="J384" s="7">
        <v>39.299999999999997</v>
      </c>
      <c r="K384" s="7">
        <v>186.2</v>
      </c>
      <c r="L384" s="7">
        <v>108.1</v>
      </c>
      <c r="M384" s="7">
        <v>185.3</v>
      </c>
      <c r="N384" s="7">
        <v>266</v>
      </c>
      <c r="O384" s="7">
        <v>84</v>
      </c>
      <c r="P384" s="7">
        <v>126.9</v>
      </c>
      <c r="Q384" s="7">
        <v>7</v>
      </c>
    </row>
    <row r="385" spans="1:17">
      <c r="A385" s="2">
        <v>2333</v>
      </c>
      <c r="B385" s="7">
        <v>113</v>
      </c>
      <c r="C385" s="7">
        <v>20.399999999999999</v>
      </c>
      <c r="D385" s="7">
        <v>47.6</v>
      </c>
      <c r="E385" s="7">
        <v>7.6</v>
      </c>
      <c r="F385" s="7">
        <v>27.3</v>
      </c>
      <c r="G385" s="7">
        <v>22.5</v>
      </c>
      <c r="H385" s="7">
        <v>220.2</v>
      </c>
      <c r="I385" s="7">
        <v>71.8</v>
      </c>
      <c r="J385" s="7">
        <v>39.299999999999997</v>
      </c>
      <c r="K385" s="7">
        <v>186.2</v>
      </c>
      <c r="L385" s="7">
        <v>108.1</v>
      </c>
      <c r="M385" s="7">
        <v>185.3</v>
      </c>
      <c r="N385" s="7">
        <v>266</v>
      </c>
      <c r="O385" s="7">
        <v>84</v>
      </c>
      <c r="P385" s="7">
        <v>126.9</v>
      </c>
      <c r="Q385" s="7">
        <v>7</v>
      </c>
    </row>
    <row r="386" spans="1:17">
      <c r="A386" s="2">
        <v>2334</v>
      </c>
      <c r="B386" s="7">
        <v>113</v>
      </c>
      <c r="C386" s="7">
        <v>20.399999999999999</v>
      </c>
      <c r="D386" s="7">
        <v>47.6</v>
      </c>
      <c r="E386" s="7">
        <v>7.6</v>
      </c>
      <c r="F386" s="7">
        <v>27.3</v>
      </c>
      <c r="G386" s="7">
        <v>22.5</v>
      </c>
      <c r="H386" s="7">
        <v>220.2</v>
      </c>
      <c r="I386" s="7">
        <v>71.8</v>
      </c>
      <c r="J386" s="7">
        <v>39.299999999999997</v>
      </c>
      <c r="K386" s="7">
        <v>186.2</v>
      </c>
      <c r="L386" s="7">
        <v>108.1</v>
      </c>
      <c r="M386" s="7">
        <v>185.3</v>
      </c>
      <c r="N386" s="7">
        <v>266</v>
      </c>
      <c r="O386" s="7">
        <v>84</v>
      </c>
      <c r="P386" s="7">
        <v>126.9</v>
      </c>
      <c r="Q386" s="7">
        <v>7</v>
      </c>
    </row>
    <row r="387" spans="1:17">
      <c r="A387" s="2">
        <v>2335</v>
      </c>
      <c r="B387" s="7">
        <v>113</v>
      </c>
      <c r="C387" s="7">
        <v>20.399999999999999</v>
      </c>
      <c r="D387" s="7">
        <v>47.6</v>
      </c>
      <c r="E387" s="7">
        <v>7.6</v>
      </c>
      <c r="F387" s="7">
        <v>27.3</v>
      </c>
      <c r="G387" s="7">
        <v>22.5</v>
      </c>
      <c r="H387" s="7">
        <v>220.2</v>
      </c>
      <c r="I387" s="7">
        <v>71.8</v>
      </c>
      <c r="J387" s="7">
        <v>39.299999999999997</v>
      </c>
      <c r="K387" s="7">
        <v>186.2</v>
      </c>
      <c r="L387" s="7">
        <v>108.1</v>
      </c>
      <c r="M387" s="7">
        <v>185.3</v>
      </c>
      <c r="N387" s="7">
        <v>266</v>
      </c>
      <c r="O387" s="7">
        <v>84</v>
      </c>
      <c r="P387" s="7">
        <v>126.9</v>
      </c>
      <c r="Q387" s="7">
        <v>7</v>
      </c>
    </row>
    <row r="388" spans="1:17">
      <c r="A388" s="2">
        <v>2336</v>
      </c>
      <c r="B388" s="7">
        <v>113</v>
      </c>
      <c r="C388" s="7">
        <v>20.399999999999999</v>
      </c>
      <c r="D388" s="7">
        <v>47.6</v>
      </c>
      <c r="E388" s="7">
        <v>7.6</v>
      </c>
      <c r="F388" s="7">
        <v>27.3</v>
      </c>
      <c r="G388" s="7">
        <v>22.5</v>
      </c>
      <c r="H388" s="7">
        <v>220.2</v>
      </c>
      <c r="I388" s="7">
        <v>71.8</v>
      </c>
      <c r="J388" s="7">
        <v>39.299999999999997</v>
      </c>
      <c r="K388" s="7">
        <v>186.2</v>
      </c>
      <c r="L388" s="7">
        <v>108.1</v>
      </c>
      <c r="M388" s="7">
        <v>185.3</v>
      </c>
      <c r="N388" s="7">
        <v>266</v>
      </c>
      <c r="O388" s="7">
        <v>84</v>
      </c>
      <c r="P388" s="7">
        <v>126.9</v>
      </c>
      <c r="Q388" s="7">
        <v>7</v>
      </c>
    </row>
    <row r="389" spans="1:17">
      <c r="A389" s="2">
        <v>2337</v>
      </c>
      <c r="B389" s="7">
        <v>113</v>
      </c>
      <c r="C389" s="7">
        <v>20.399999999999999</v>
      </c>
      <c r="D389" s="7">
        <v>47.6</v>
      </c>
      <c r="E389" s="7">
        <v>7.6</v>
      </c>
      <c r="F389" s="7">
        <v>27.3</v>
      </c>
      <c r="G389" s="7">
        <v>22.5</v>
      </c>
      <c r="H389" s="7">
        <v>220.2</v>
      </c>
      <c r="I389" s="7">
        <v>71.8</v>
      </c>
      <c r="J389" s="7">
        <v>39.299999999999997</v>
      </c>
      <c r="K389" s="7">
        <v>186.2</v>
      </c>
      <c r="L389" s="7">
        <v>108.1</v>
      </c>
      <c r="M389" s="7">
        <v>185.3</v>
      </c>
      <c r="N389" s="7">
        <v>266</v>
      </c>
      <c r="O389" s="7">
        <v>84</v>
      </c>
      <c r="P389" s="7">
        <v>126.9</v>
      </c>
      <c r="Q389" s="7">
        <v>7</v>
      </c>
    </row>
    <row r="390" spans="1:17">
      <c r="A390" s="2">
        <v>2338</v>
      </c>
      <c r="B390" s="7">
        <v>113</v>
      </c>
      <c r="C390" s="7">
        <v>20.399999999999999</v>
      </c>
      <c r="D390" s="7">
        <v>47.6</v>
      </c>
      <c r="E390" s="7">
        <v>7.6</v>
      </c>
      <c r="F390" s="7">
        <v>27.3</v>
      </c>
      <c r="G390" s="7">
        <v>22.5</v>
      </c>
      <c r="H390" s="7">
        <v>220.2</v>
      </c>
      <c r="I390" s="7">
        <v>71.8</v>
      </c>
      <c r="J390" s="7">
        <v>39.299999999999997</v>
      </c>
      <c r="K390" s="7">
        <v>186.2</v>
      </c>
      <c r="L390" s="7">
        <v>108.1</v>
      </c>
      <c r="M390" s="7">
        <v>185.3</v>
      </c>
      <c r="N390" s="7">
        <v>266</v>
      </c>
      <c r="O390" s="7">
        <v>84</v>
      </c>
      <c r="P390" s="7">
        <v>126.9</v>
      </c>
      <c r="Q390" s="7">
        <v>7</v>
      </c>
    </row>
    <row r="391" spans="1:17">
      <c r="A391" s="2">
        <v>2339</v>
      </c>
      <c r="B391" s="7">
        <v>113</v>
      </c>
      <c r="C391" s="7">
        <v>20.399999999999999</v>
      </c>
      <c r="D391" s="7">
        <v>47.6</v>
      </c>
      <c r="E391" s="7">
        <v>7.6</v>
      </c>
      <c r="F391" s="7">
        <v>27.3</v>
      </c>
      <c r="G391" s="7">
        <v>22.5</v>
      </c>
      <c r="H391" s="7">
        <v>220.2</v>
      </c>
      <c r="I391" s="7">
        <v>71.8</v>
      </c>
      <c r="J391" s="7">
        <v>39.299999999999997</v>
      </c>
      <c r="K391" s="7">
        <v>186.2</v>
      </c>
      <c r="L391" s="7">
        <v>108.1</v>
      </c>
      <c r="M391" s="7">
        <v>185.3</v>
      </c>
      <c r="N391" s="7">
        <v>266</v>
      </c>
      <c r="O391" s="7">
        <v>84</v>
      </c>
      <c r="P391" s="7">
        <v>126.9</v>
      </c>
      <c r="Q391" s="7">
        <v>7</v>
      </c>
    </row>
    <row r="392" spans="1:17">
      <c r="A392" s="2">
        <v>2340</v>
      </c>
      <c r="B392" s="7">
        <v>113</v>
      </c>
      <c r="C392" s="7">
        <v>20.399999999999999</v>
      </c>
      <c r="D392" s="7">
        <v>47.6</v>
      </c>
      <c r="E392" s="7">
        <v>7.6</v>
      </c>
      <c r="F392" s="7">
        <v>27.3</v>
      </c>
      <c r="G392" s="7">
        <v>22.5</v>
      </c>
      <c r="H392" s="7">
        <v>220.2</v>
      </c>
      <c r="I392" s="7">
        <v>71.8</v>
      </c>
      <c r="J392" s="7">
        <v>39.299999999999997</v>
      </c>
      <c r="K392" s="7">
        <v>186.2</v>
      </c>
      <c r="L392" s="7">
        <v>108.1</v>
      </c>
      <c r="M392" s="7">
        <v>185.3</v>
      </c>
      <c r="N392" s="7">
        <v>266</v>
      </c>
      <c r="O392" s="7">
        <v>84</v>
      </c>
      <c r="P392" s="7">
        <v>126.9</v>
      </c>
      <c r="Q392" s="7">
        <v>7</v>
      </c>
    </row>
    <row r="393" spans="1:17">
      <c r="A393" s="2">
        <v>2341</v>
      </c>
      <c r="B393" s="7">
        <v>113</v>
      </c>
      <c r="C393" s="7">
        <v>20.399999999999999</v>
      </c>
      <c r="D393" s="7">
        <v>47.6</v>
      </c>
      <c r="E393" s="7">
        <v>7.6</v>
      </c>
      <c r="F393" s="7">
        <v>27.3</v>
      </c>
      <c r="G393" s="7">
        <v>22.5</v>
      </c>
      <c r="H393" s="7">
        <v>220.2</v>
      </c>
      <c r="I393" s="7">
        <v>71.8</v>
      </c>
      <c r="J393" s="7">
        <v>39.299999999999997</v>
      </c>
      <c r="K393" s="7">
        <v>186.2</v>
      </c>
      <c r="L393" s="7">
        <v>108.1</v>
      </c>
      <c r="M393" s="7">
        <v>185.3</v>
      </c>
      <c r="N393" s="7">
        <v>266</v>
      </c>
      <c r="O393" s="7">
        <v>84</v>
      </c>
      <c r="P393" s="7">
        <v>126.9</v>
      </c>
      <c r="Q393" s="7">
        <v>7</v>
      </c>
    </row>
    <row r="394" spans="1:17">
      <c r="A394" s="2">
        <v>2342</v>
      </c>
      <c r="B394" s="7">
        <v>113</v>
      </c>
      <c r="C394" s="7">
        <v>20.399999999999999</v>
      </c>
      <c r="D394" s="7">
        <v>47.6</v>
      </c>
      <c r="E394" s="7">
        <v>7.6</v>
      </c>
      <c r="F394" s="7">
        <v>27.3</v>
      </c>
      <c r="G394" s="7">
        <v>22.5</v>
      </c>
      <c r="H394" s="7">
        <v>220.2</v>
      </c>
      <c r="I394" s="7">
        <v>71.8</v>
      </c>
      <c r="J394" s="7">
        <v>39.299999999999997</v>
      </c>
      <c r="K394" s="7">
        <v>186.2</v>
      </c>
      <c r="L394" s="7">
        <v>108.1</v>
      </c>
      <c r="M394" s="7">
        <v>185.3</v>
      </c>
      <c r="N394" s="7">
        <v>266</v>
      </c>
      <c r="O394" s="7">
        <v>84</v>
      </c>
      <c r="P394" s="7">
        <v>126.9</v>
      </c>
      <c r="Q394" s="7">
        <v>7</v>
      </c>
    </row>
    <row r="395" spans="1:17">
      <c r="A395" s="2">
        <v>2343</v>
      </c>
      <c r="B395" s="7">
        <v>113</v>
      </c>
      <c r="C395" s="7">
        <v>20.399999999999999</v>
      </c>
      <c r="D395" s="7">
        <v>47.6</v>
      </c>
      <c r="E395" s="7">
        <v>7.6</v>
      </c>
      <c r="F395" s="7">
        <v>27.3</v>
      </c>
      <c r="G395" s="7">
        <v>22.5</v>
      </c>
      <c r="H395" s="7">
        <v>220.2</v>
      </c>
      <c r="I395" s="7">
        <v>71.8</v>
      </c>
      <c r="J395" s="7">
        <v>39.299999999999997</v>
      </c>
      <c r="K395" s="7">
        <v>186.2</v>
      </c>
      <c r="L395" s="7">
        <v>108.1</v>
      </c>
      <c r="M395" s="7">
        <v>185.3</v>
      </c>
      <c r="N395" s="7">
        <v>266</v>
      </c>
      <c r="O395" s="7">
        <v>84</v>
      </c>
      <c r="P395" s="7">
        <v>126.9</v>
      </c>
      <c r="Q395" s="7">
        <v>7</v>
      </c>
    </row>
    <row r="396" spans="1:17">
      <c r="A396" s="2">
        <v>2344</v>
      </c>
      <c r="B396" s="7">
        <v>113</v>
      </c>
      <c r="C396" s="7">
        <v>20.399999999999999</v>
      </c>
      <c r="D396" s="7">
        <v>47.6</v>
      </c>
      <c r="E396" s="7">
        <v>7.6</v>
      </c>
      <c r="F396" s="7">
        <v>27.3</v>
      </c>
      <c r="G396" s="7">
        <v>22.5</v>
      </c>
      <c r="H396" s="7">
        <v>220.2</v>
      </c>
      <c r="I396" s="7">
        <v>71.8</v>
      </c>
      <c r="J396" s="7">
        <v>39.299999999999997</v>
      </c>
      <c r="K396" s="7">
        <v>186.2</v>
      </c>
      <c r="L396" s="7">
        <v>108.1</v>
      </c>
      <c r="M396" s="7">
        <v>185.3</v>
      </c>
      <c r="N396" s="7">
        <v>266</v>
      </c>
      <c r="O396" s="7">
        <v>84</v>
      </c>
      <c r="P396" s="7">
        <v>126.9</v>
      </c>
      <c r="Q396" s="7">
        <v>7</v>
      </c>
    </row>
    <row r="397" spans="1:17">
      <c r="A397" s="2">
        <v>2345</v>
      </c>
      <c r="B397" s="7">
        <v>113</v>
      </c>
      <c r="C397" s="7">
        <v>20.399999999999999</v>
      </c>
      <c r="D397" s="7">
        <v>47.6</v>
      </c>
      <c r="E397" s="7">
        <v>7.6</v>
      </c>
      <c r="F397" s="7">
        <v>27.3</v>
      </c>
      <c r="G397" s="7">
        <v>22.5</v>
      </c>
      <c r="H397" s="7">
        <v>220.2</v>
      </c>
      <c r="I397" s="7">
        <v>71.8</v>
      </c>
      <c r="J397" s="7">
        <v>39.299999999999997</v>
      </c>
      <c r="K397" s="7">
        <v>186.2</v>
      </c>
      <c r="L397" s="7">
        <v>108.1</v>
      </c>
      <c r="M397" s="7">
        <v>185.3</v>
      </c>
      <c r="N397" s="7">
        <v>266</v>
      </c>
      <c r="O397" s="7">
        <v>84</v>
      </c>
      <c r="P397" s="7">
        <v>126.9</v>
      </c>
      <c r="Q397" s="7">
        <v>7</v>
      </c>
    </row>
    <row r="398" spans="1:17">
      <c r="A398" s="2">
        <v>2346</v>
      </c>
      <c r="B398" s="7">
        <v>113</v>
      </c>
      <c r="C398" s="7">
        <v>20.399999999999999</v>
      </c>
      <c r="D398" s="7">
        <v>47.6</v>
      </c>
      <c r="E398" s="7">
        <v>7.6</v>
      </c>
      <c r="F398" s="7">
        <v>27.3</v>
      </c>
      <c r="G398" s="7">
        <v>22.5</v>
      </c>
      <c r="H398" s="7">
        <v>220.2</v>
      </c>
      <c r="I398" s="7">
        <v>71.8</v>
      </c>
      <c r="J398" s="7">
        <v>39.299999999999997</v>
      </c>
      <c r="K398" s="7">
        <v>186.2</v>
      </c>
      <c r="L398" s="7">
        <v>108.1</v>
      </c>
      <c r="M398" s="7">
        <v>185.3</v>
      </c>
      <c r="N398" s="7">
        <v>266</v>
      </c>
      <c r="O398" s="7">
        <v>84</v>
      </c>
      <c r="P398" s="7">
        <v>126.9</v>
      </c>
      <c r="Q398" s="7">
        <v>7</v>
      </c>
    </row>
    <row r="399" spans="1:17">
      <c r="A399" s="2">
        <v>2347</v>
      </c>
      <c r="B399" s="7">
        <v>113</v>
      </c>
      <c r="C399" s="7">
        <v>20.399999999999999</v>
      </c>
      <c r="D399" s="7">
        <v>47.6</v>
      </c>
      <c r="E399" s="7">
        <v>7.6</v>
      </c>
      <c r="F399" s="7">
        <v>27.3</v>
      </c>
      <c r="G399" s="7">
        <v>22.5</v>
      </c>
      <c r="H399" s="7">
        <v>220.2</v>
      </c>
      <c r="I399" s="7">
        <v>71.8</v>
      </c>
      <c r="J399" s="7">
        <v>39.299999999999997</v>
      </c>
      <c r="K399" s="7">
        <v>186.2</v>
      </c>
      <c r="L399" s="7">
        <v>108.1</v>
      </c>
      <c r="M399" s="7">
        <v>185.3</v>
      </c>
      <c r="N399" s="7">
        <v>266</v>
      </c>
      <c r="O399" s="7">
        <v>84</v>
      </c>
      <c r="P399" s="7">
        <v>126.9</v>
      </c>
      <c r="Q399" s="7">
        <v>7</v>
      </c>
    </row>
    <row r="400" spans="1:17">
      <c r="A400" s="2">
        <v>2348</v>
      </c>
      <c r="B400" s="7">
        <v>113</v>
      </c>
      <c r="C400" s="7">
        <v>20.399999999999999</v>
      </c>
      <c r="D400" s="7">
        <v>47.6</v>
      </c>
      <c r="E400" s="7">
        <v>7.6</v>
      </c>
      <c r="F400" s="7">
        <v>27.3</v>
      </c>
      <c r="G400" s="7">
        <v>22.5</v>
      </c>
      <c r="H400" s="7">
        <v>220.2</v>
      </c>
      <c r="I400" s="7">
        <v>71.8</v>
      </c>
      <c r="J400" s="7">
        <v>39.299999999999997</v>
      </c>
      <c r="K400" s="7">
        <v>186.2</v>
      </c>
      <c r="L400" s="7">
        <v>108.1</v>
      </c>
      <c r="M400" s="7">
        <v>185.3</v>
      </c>
      <c r="N400" s="7">
        <v>266</v>
      </c>
      <c r="O400" s="7">
        <v>84</v>
      </c>
      <c r="P400" s="7">
        <v>126.9</v>
      </c>
      <c r="Q400" s="7">
        <v>7</v>
      </c>
    </row>
    <row r="401" spans="1:17">
      <c r="A401" s="2">
        <v>2349</v>
      </c>
      <c r="B401" s="7">
        <v>113</v>
      </c>
      <c r="C401" s="7">
        <v>20.399999999999999</v>
      </c>
      <c r="D401" s="7">
        <v>47.6</v>
      </c>
      <c r="E401" s="7">
        <v>7.6</v>
      </c>
      <c r="F401" s="7">
        <v>27.3</v>
      </c>
      <c r="G401" s="7">
        <v>22.5</v>
      </c>
      <c r="H401" s="7">
        <v>220.2</v>
      </c>
      <c r="I401" s="7">
        <v>71.8</v>
      </c>
      <c r="J401" s="7">
        <v>39.299999999999997</v>
      </c>
      <c r="K401" s="7">
        <v>186.2</v>
      </c>
      <c r="L401" s="7">
        <v>108.1</v>
      </c>
      <c r="M401" s="7">
        <v>185.3</v>
      </c>
      <c r="N401" s="7">
        <v>266</v>
      </c>
      <c r="O401" s="7">
        <v>84</v>
      </c>
      <c r="P401" s="7">
        <v>126.9</v>
      </c>
      <c r="Q401" s="7">
        <v>7</v>
      </c>
    </row>
    <row r="402" spans="1:17">
      <c r="A402" s="2">
        <v>2350</v>
      </c>
      <c r="B402" s="7">
        <v>113</v>
      </c>
      <c r="C402" s="7">
        <v>20.399999999999999</v>
      </c>
      <c r="D402" s="7">
        <v>47.6</v>
      </c>
      <c r="E402" s="7">
        <v>7.6</v>
      </c>
      <c r="F402" s="7">
        <v>27.3</v>
      </c>
      <c r="G402" s="7">
        <v>22.5</v>
      </c>
      <c r="H402" s="7">
        <v>220.2</v>
      </c>
      <c r="I402" s="7">
        <v>71.8</v>
      </c>
      <c r="J402" s="7">
        <v>39.299999999999997</v>
      </c>
      <c r="K402" s="7">
        <v>186.2</v>
      </c>
      <c r="L402" s="7">
        <v>108.1</v>
      </c>
      <c r="M402" s="7">
        <v>185.3</v>
      </c>
      <c r="N402" s="7">
        <v>266</v>
      </c>
      <c r="O402" s="7">
        <v>84</v>
      </c>
      <c r="P402" s="7">
        <v>126.9</v>
      </c>
      <c r="Q402" s="7">
        <v>7</v>
      </c>
    </row>
    <row r="403" spans="1:17">
      <c r="A403" s="2">
        <v>2351</v>
      </c>
      <c r="B403" s="7">
        <v>113</v>
      </c>
      <c r="C403" s="7">
        <v>20.399999999999999</v>
      </c>
      <c r="D403" s="7">
        <v>47.6</v>
      </c>
      <c r="E403" s="7">
        <v>7.6</v>
      </c>
      <c r="F403" s="7">
        <v>27.3</v>
      </c>
      <c r="G403" s="7">
        <v>22.5</v>
      </c>
      <c r="H403" s="7">
        <v>220.2</v>
      </c>
      <c r="I403" s="7">
        <v>71.8</v>
      </c>
      <c r="J403" s="7">
        <v>39.299999999999997</v>
      </c>
      <c r="K403" s="7">
        <v>186.2</v>
      </c>
      <c r="L403" s="7">
        <v>108.1</v>
      </c>
      <c r="M403" s="7">
        <v>185.3</v>
      </c>
      <c r="N403" s="7">
        <v>266</v>
      </c>
      <c r="O403" s="7">
        <v>84</v>
      </c>
      <c r="P403" s="7">
        <v>126.9</v>
      </c>
      <c r="Q403" s="7">
        <v>7</v>
      </c>
    </row>
    <row r="404" spans="1:17">
      <c r="A404" s="2">
        <v>2352</v>
      </c>
      <c r="B404" s="7">
        <v>113</v>
      </c>
      <c r="C404" s="7">
        <v>20.399999999999999</v>
      </c>
      <c r="D404" s="7">
        <v>47.6</v>
      </c>
      <c r="E404" s="7">
        <v>7.6</v>
      </c>
      <c r="F404" s="7">
        <v>27.3</v>
      </c>
      <c r="G404" s="7">
        <v>22.5</v>
      </c>
      <c r="H404" s="7">
        <v>220.2</v>
      </c>
      <c r="I404" s="7">
        <v>71.8</v>
      </c>
      <c r="J404" s="7">
        <v>39.299999999999997</v>
      </c>
      <c r="K404" s="7">
        <v>186.2</v>
      </c>
      <c r="L404" s="7">
        <v>108.1</v>
      </c>
      <c r="M404" s="7">
        <v>185.3</v>
      </c>
      <c r="N404" s="7">
        <v>266</v>
      </c>
      <c r="O404" s="7">
        <v>84</v>
      </c>
      <c r="P404" s="7">
        <v>126.9</v>
      </c>
      <c r="Q404" s="7">
        <v>7</v>
      </c>
    </row>
    <row r="405" spans="1:17">
      <c r="A405" s="2">
        <v>2353</v>
      </c>
      <c r="B405" s="7">
        <v>113</v>
      </c>
      <c r="C405" s="7">
        <v>20.399999999999999</v>
      </c>
      <c r="D405" s="7">
        <v>47.6</v>
      </c>
      <c r="E405" s="7">
        <v>7.6</v>
      </c>
      <c r="F405" s="7">
        <v>27.3</v>
      </c>
      <c r="G405" s="7">
        <v>22.5</v>
      </c>
      <c r="H405" s="7">
        <v>220.2</v>
      </c>
      <c r="I405" s="7">
        <v>71.8</v>
      </c>
      <c r="J405" s="7">
        <v>39.299999999999997</v>
      </c>
      <c r="K405" s="7">
        <v>186.2</v>
      </c>
      <c r="L405" s="7">
        <v>108.1</v>
      </c>
      <c r="M405" s="7">
        <v>185.3</v>
      </c>
      <c r="N405" s="7">
        <v>266</v>
      </c>
      <c r="O405" s="7">
        <v>84</v>
      </c>
      <c r="P405" s="7">
        <v>126.9</v>
      </c>
      <c r="Q405" s="7">
        <v>7</v>
      </c>
    </row>
    <row r="406" spans="1:17">
      <c r="A406" s="2">
        <v>2354</v>
      </c>
      <c r="B406" s="7">
        <v>113</v>
      </c>
      <c r="C406" s="7">
        <v>20.399999999999999</v>
      </c>
      <c r="D406" s="7">
        <v>47.6</v>
      </c>
      <c r="E406" s="7">
        <v>7.6</v>
      </c>
      <c r="F406" s="7">
        <v>27.3</v>
      </c>
      <c r="G406" s="7">
        <v>22.5</v>
      </c>
      <c r="H406" s="7">
        <v>220.2</v>
      </c>
      <c r="I406" s="7">
        <v>71.8</v>
      </c>
      <c r="J406" s="7">
        <v>39.299999999999997</v>
      </c>
      <c r="K406" s="7">
        <v>186.2</v>
      </c>
      <c r="L406" s="7">
        <v>108.1</v>
      </c>
      <c r="M406" s="7">
        <v>185.3</v>
      </c>
      <c r="N406" s="7">
        <v>266</v>
      </c>
      <c r="O406" s="7">
        <v>84</v>
      </c>
      <c r="P406" s="7">
        <v>126.9</v>
      </c>
      <c r="Q406" s="7">
        <v>7</v>
      </c>
    </row>
    <row r="407" spans="1:17">
      <c r="A407" s="2">
        <v>2355</v>
      </c>
      <c r="B407" s="7">
        <v>113</v>
      </c>
      <c r="C407" s="7">
        <v>20.399999999999999</v>
      </c>
      <c r="D407" s="7">
        <v>47.6</v>
      </c>
      <c r="E407" s="7">
        <v>7.6</v>
      </c>
      <c r="F407" s="7">
        <v>27.3</v>
      </c>
      <c r="G407" s="7">
        <v>22.5</v>
      </c>
      <c r="H407" s="7">
        <v>220.2</v>
      </c>
      <c r="I407" s="7">
        <v>71.8</v>
      </c>
      <c r="J407" s="7">
        <v>39.299999999999997</v>
      </c>
      <c r="K407" s="7">
        <v>186.2</v>
      </c>
      <c r="L407" s="7">
        <v>108.1</v>
      </c>
      <c r="M407" s="7">
        <v>185.3</v>
      </c>
      <c r="N407" s="7">
        <v>266</v>
      </c>
      <c r="O407" s="7">
        <v>84</v>
      </c>
      <c r="P407" s="7">
        <v>126.9</v>
      </c>
      <c r="Q407" s="7">
        <v>7</v>
      </c>
    </row>
    <row r="408" spans="1:17">
      <c r="A408" s="2">
        <v>2356</v>
      </c>
      <c r="B408" s="7">
        <v>113</v>
      </c>
      <c r="C408" s="7">
        <v>20.399999999999999</v>
      </c>
      <c r="D408" s="7">
        <v>47.6</v>
      </c>
      <c r="E408" s="7">
        <v>7.6</v>
      </c>
      <c r="F408" s="7">
        <v>27.3</v>
      </c>
      <c r="G408" s="7">
        <v>22.5</v>
      </c>
      <c r="H408" s="7">
        <v>220.2</v>
      </c>
      <c r="I408" s="7">
        <v>71.8</v>
      </c>
      <c r="J408" s="7">
        <v>39.299999999999997</v>
      </c>
      <c r="K408" s="7">
        <v>186.2</v>
      </c>
      <c r="L408" s="7">
        <v>108.1</v>
      </c>
      <c r="M408" s="7">
        <v>185.3</v>
      </c>
      <c r="N408" s="7">
        <v>266</v>
      </c>
      <c r="O408" s="7">
        <v>84</v>
      </c>
      <c r="P408" s="7">
        <v>126.9</v>
      </c>
      <c r="Q408" s="7">
        <v>7</v>
      </c>
    </row>
    <row r="409" spans="1:17">
      <c r="A409" s="2">
        <v>2357</v>
      </c>
      <c r="B409" s="7">
        <v>113</v>
      </c>
      <c r="C409" s="7">
        <v>20.399999999999999</v>
      </c>
      <c r="D409" s="7">
        <v>47.6</v>
      </c>
      <c r="E409" s="7">
        <v>7.6</v>
      </c>
      <c r="F409" s="7">
        <v>27.3</v>
      </c>
      <c r="G409" s="7">
        <v>22.5</v>
      </c>
      <c r="H409" s="7">
        <v>220.2</v>
      </c>
      <c r="I409" s="7">
        <v>71.8</v>
      </c>
      <c r="J409" s="7">
        <v>39.299999999999997</v>
      </c>
      <c r="K409" s="7">
        <v>186.2</v>
      </c>
      <c r="L409" s="7">
        <v>108.1</v>
      </c>
      <c r="M409" s="7">
        <v>185.3</v>
      </c>
      <c r="N409" s="7">
        <v>266</v>
      </c>
      <c r="O409" s="7">
        <v>84</v>
      </c>
      <c r="P409" s="7">
        <v>126.9</v>
      </c>
      <c r="Q409" s="7">
        <v>7</v>
      </c>
    </row>
    <row r="410" spans="1:17">
      <c r="A410" s="2">
        <v>2358</v>
      </c>
      <c r="B410" s="7">
        <v>113</v>
      </c>
      <c r="C410" s="7">
        <v>20.399999999999999</v>
      </c>
      <c r="D410" s="7">
        <v>47.6</v>
      </c>
      <c r="E410" s="7">
        <v>7.6</v>
      </c>
      <c r="F410" s="7">
        <v>27.3</v>
      </c>
      <c r="G410" s="7">
        <v>22.5</v>
      </c>
      <c r="H410" s="7">
        <v>220.2</v>
      </c>
      <c r="I410" s="7">
        <v>71.8</v>
      </c>
      <c r="J410" s="7">
        <v>39.299999999999997</v>
      </c>
      <c r="K410" s="7">
        <v>186.2</v>
      </c>
      <c r="L410" s="7">
        <v>108.1</v>
      </c>
      <c r="M410" s="7">
        <v>185.3</v>
      </c>
      <c r="N410" s="7">
        <v>266</v>
      </c>
      <c r="O410" s="7">
        <v>84</v>
      </c>
      <c r="P410" s="7">
        <v>126.9</v>
      </c>
      <c r="Q410" s="7">
        <v>7</v>
      </c>
    </row>
    <row r="411" spans="1:17">
      <c r="A411" s="2">
        <v>2359</v>
      </c>
      <c r="B411" s="7">
        <v>113</v>
      </c>
      <c r="C411" s="7">
        <v>20.399999999999999</v>
      </c>
      <c r="D411" s="7">
        <v>47.6</v>
      </c>
      <c r="E411" s="7">
        <v>7.6</v>
      </c>
      <c r="F411" s="7">
        <v>27.3</v>
      </c>
      <c r="G411" s="7">
        <v>22.5</v>
      </c>
      <c r="H411" s="7">
        <v>220.2</v>
      </c>
      <c r="I411" s="7">
        <v>71.8</v>
      </c>
      <c r="J411" s="7">
        <v>39.299999999999997</v>
      </c>
      <c r="K411" s="7">
        <v>186.2</v>
      </c>
      <c r="L411" s="7">
        <v>108.1</v>
      </c>
      <c r="M411" s="7">
        <v>185.3</v>
      </c>
      <c r="N411" s="7">
        <v>266</v>
      </c>
      <c r="O411" s="7">
        <v>84</v>
      </c>
      <c r="P411" s="7">
        <v>126.9</v>
      </c>
      <c r="Q411" s="7">
        <v>7</v>
      </c>
    </row>
    <row r="412" spans="1:17">
      <c r="A412" s="2">
        <v>2360</v>
      </c>
      <c r="B412" s="7">
        <v>113</v>
      </c>
      <c r="C412" s="7">
        <v>20.399999999999999</v>
      </c>
      <c r="D412" s="7">
        <v>47.6</v>
      </c>
      <c r="E412" s="7">
        <v>7.6</v>
      </c>
      <c r="F412" s="7">
        <v>27.3</v>
      </c>
      <c r="G412" s="7">
        <v>22.5</v>
      </c>
      <c r="H412" s="7">
        <v>220.2</v>
      </c>
      <c r="I412" s="7">
        <v>71.8</v>
      </c>
      <c r="J412" s="7">
        <v>39.299999999999997</v>
      </c>
      <c r="K412" s="7">
        <v>186.2</v>
      </c>
      <c r="L412" s="7">
        <v>108.1</v>
      </c>
      <c r="M412" s="7">
        <v>185.3</v>
      </c>
      <c r="N412" s="7">
        <v>266</v>
      </c>
      <c r="O412" s="7">
        <v>84</v>
      </c>
      <c r="P412" s="7">
        <v>126.9</v>
      </c>
      <c r="Q412" s="7">
        <v>7</v>
      </c>
    </row>
    <row r="413" spans="1:17">
      <c r="A413" s="2">
        <v>2361</v>
      </c>
      <c r="B413" s="7">
        <v>113</v>
      </c>
      <c r="C413" s="7">
        <v>20.399999999999999</v>
      </c>
      <c r="D413" s="7">
        <v>47.6</v>
      </c>
      <c r="E413" s="7">
        <v>7.6</v>
      </c>
      <c r="F413" s="7">
        <v>27.3</v>
      </c>
      <c r="G413" s="7">
        <v>22.5</v>
      </c>
      <c r="H413" s="7">
        <v>220.2</v>
      </c>
      <c r="I413" s="7">
        <v>71.8</v>
      </c>
      <c r="J413" s="7">
        <v>39.299999999999997</v>
      </c>
      <c r="K413" s="7">
        <v>186.2</v>
      </c>
      <c r="L413" s="7">
        <v>108.1</v>
      </c>
      <c r="M413" s="7">
        <v>185.3</v>
      </c>
      <c r="N413" s="7">
        <v>266</v>
      </c>
      <c r="O413" s="7">
        <v>84</v>
      </c>
      <c r="P413" s="7">
        <v>126.9</v>
      </c>
      <c r="Q413" s="7">
        <v>7</v>
      </c>
    </row>
    <row r="414" spans="1:17">
      <c r="A414" s="2">
        <v>2362</v>
      </c>
      <c r="B414" s="7">
        <v>113</v>
      </c>
      <c r="C414" s="7">
        <v>20.399999999999999</v>
      </c>
      <c r="D414" s="7">
        <v>47.6</v>
      </c>
      <c r="E414" s="7">
        <v>7.6</v>
      </c>
      <c r="F414" s="7">
        <v>27.3</v>
      </c>
      <c r="G414" s="7">
        <v>22.5</v>
      </c>
      <c r="H414" s="7">
        <v>220.2</v>
      </c>
      <c r="I414" s="7">
        <v>71.8</v>
      </c>
      <c r="J414" s="7">
        <v>39.299999999999997</v>
      </c>
      <c r="K414" s="7">
        <v>186.2</v>
      </c>
      <c r="L414" s="7">
        <v>108.1</v>
      </c>
      <c r="M414" s="7">
        <v>185.3</v>
      </c>
      <c r="N414" s="7">
        <v>266</v>
      </c>
      <c r="O414" s="7">
        <v>84</v>
      </c>
      <c r="P414" s="7">
        <v>126.9</v>
      </c>
      <c r="Q414" s="7">
        <v>7</v>
      </c>
    </row>
    <row r="415" spans="1:17">
      <c r="A415" s="2">
        <v>2363</v>
      </c>
      <c r="B415" s="7">
        <v>113</v>
      </c>
      <c r="C415" s="7">
        <v>20.399999999999999</v>
      </c>
      <c r="D415" s="7">
        <v>47.6</v>
      </c>
      <c r="E415" s="7">
        <v>7.6</v>
      </c>
      <c r="F415" s="7">
        <v>27.3</v>
      </c>
      <c r="G415" s="7">
        <v>22.5</v>
      </c>
      <c r="H415" s="7">
        <v>220.2</v>
      </c>
      <c r="I415" s="7">
        <v>71.8</v>
      </c>
      <c r="J415" s="7">
        <v>39.299999999999997</v>
      </c>
      <c r="K415" s="7">
        <v>186.2</v>
      </c>
      <c r="L415" s="7">
        <v>108.1</v>
      </c>
      <c r="M415" s="7">
        <v>185.3</v>
      </c>
      <c r="N415" s="7">
        <v>266</v>
      </c>
      <c r="O415" s="7">
        <v>84</v>
      </c>
      <c r="P415" s="7">
        <v>126.9</v>
      </c>
      <c r="Q415" s="7">
        <v>7</v>
      </c>
    </row>
    <row r="416" spans="1:17">
      <c r="A416" s="2">
        <v>2364</v>
      </c>
      <c r="B416" s="7">
        <v>113</v>
      </c>
      <c r="C416" s="7">
        <v>20.399999999999999</v>
      </c>
      <c r="D416" s="7">
        <v>47.6</v>
      </c>
      <c r="E416" s="7">
        <v>7.6</v>
      </c>
      <c r="F416" s="7">
        <v>27.3</v>
      </c>
      <c r="G416" s="7">
        <v>22.5</v>
      </c>
      <c r="H416" s="7">
        <v>220.2</v>
      </c>
      <c r="I416" s="7">
        <v>71.8</v>
      </c>
      <c r="J416" s="7">
        <v>39.299999999999997</v>
      </c>
      <c r="K416" s="7">
        <v>186.2</v>
      </c>
      <c r="L416" s="7">
        <v>108.1</v>
      </c>
      <c r="M416" s="7">
        <v>185.3</v>
      </c>
      <c r="N416" s="7">
        <v>266</v>
      </c>
      <c r="O416" s="7">
        <v>84</v>
      </c>
      <c r="P416" s="7">
        <v>126.9</v>
      </c>
      <c r="Q416" s="7">
        <v>7</v>
      </c>
    </row>
    <row r="417" spans="1:17">
      <c r="A417" s="2">
        <v>2365</v>
      </c>
      <c r="B417" s="7">
        <v>113</v>
      </c>
      <c r="C417" s="7">
        <v>20.399999999999999</v>
      </c>
      <c r="D417" s="7">
        <v>47.6</v>
      </c>
      <c r="E417" s="7">
        <v>7.6</v>
      </c>
      <c r="F417" s="7">
        <v>27.3</v>
      </c>
      <c r="G417" s="7">
        <v>22.5</v>
      </c>
      <c r="H417" s="7">
        <v>220.2</v>
      </c>
      <c r="I417" s="7">
        <v>71.8</v>
      </c>
      <c r="J417" s="7">
        <v>39.299999999999997</v>
      </c>
      <c r="K417" s="7">
        <v>186.2</v>
      </c>
      <c r="L417" s="7">
        <v>108.1</v>
      </c>
      <c r="M417" s="7">
        <v>185.3</v>
      </c>
      <c r="N417" s="7">
        <v>266</v>
      </c>
      <c r="O417" s="7">
        <v>84</v>
      </c>
      <c r="P417" s="7">
        <v>126.9</v>
      </c>
      <c r="Q417" s="7">
        <v>7</v>
      </c>
    </row>
    <row r="418" spans="1:17">
      <c r="A418" s="2">
        <v>2366</v>
      </c>
      <c r="B418" s="7">
        <v>113</v>
      </c>
      <c r="C418" s="7">
        <v>20.399999999999999</v>
      </c>
      <c r="D418" s="7">
        <v>47.6</v>
      </c>
      <c r="E418" s="7">
        <v>7.6</v>
      </c>
      <c r="F418" s="7">
        <v>27.3</v>
      </c>
      <c r="G418" s="7">
        <v>22.5</v>
      </c>
      <c r="H418" s="7">
        <v>220.2</v>
      </c>
      <c r="I418" s="7">
        <v>71.8</v>
      </c>
      <c r="J418" s="7">
        <v>39.299999999999997</v>
      </c>
      <c r="K418" s="7">
        <v>186.2</v>
      </c>
      <c r="L418" s="7">
        <v>108.1</v>
      </c>
      <c r="M418" s="7">
        <v>185.3</v>
      </c>
      <c r="N418" s="7">
        <v>266</v>
      </c>
      <c r="O418" s="7">
        <v>84</v>
      </c>
      <c r="P418" s="7">
        <v>126.9</v>
      </c>
      <c r="Q418" s="7">
        <v>7</v>
      </c>
    </row>
    <row r="419" spans="1:17">
      <c r="A419" s="2">
        <v>2367</v>
      </c>
      <c r="B419" s="7">
        <v>113</v>
      </c>
      <c r="C419" s="7">
        <v>20.399999999999999</v>
      </c>
      <c r="D419" s="7">
        <v>47.6</v>
      </c>
      <c r="E419" s="7">
        <v>7.6</v>
      </c>
      <c r="F419" s="7">
        <v>27.3</v>
      </c>
      <c r="G419" s="7">
        <v>22.5</v>
      </c>
      <c r="H419" s="7">
        <v>220.2</v>
      </c>
      <c r="I419" s="7">
        <v>71.8</v>
      </c>
      <c r="J419" s="7">
        <v>39.299999999999997</v>
      </c>
      <c r="K419" s="7">
        <v>186.2</v>
      </c>
      <c r="L419" s="7">
        <v>108.1</v>
      </c>
      <c r="M419" s="7">
        <v>185.3</v>
      </c>
      <c r="N419" s="7">
        <v>266</v>
      </c>
      <c r="O419" s="7">
        <v>84</v>
      </c>
      <c r="P419" s="7">
        <v>126.9</v>
      </c>
      <c r="Q419" s="7">
        <v>7</v>
      </c>
    </row>
    <row r="420" spans="1:17">
      <c r="A420" s="2">
        <v>2368</v>
      </c>
      <c r="B420" s="7">
        <v>113</v>
      </c>
      <c r="C420" s="7">
        <v>20.399999999999999</v>
      </c>
      <c r="D420" s="7">
        <v>47.6</v>
      </c>
      <c r="E420" s="7">
        <v>7.6</v>
      </c>
      <c r="F420" s="7">
        <v>27.3</v>
      </c>
      <c r="G420" s="7">
        <v>22.5</v>
      </c>
      <c r="H420" s="7">
        <v>220.2</v>
      </c>
      <c r="I420" s="7">
        <v>71.8</v>
      </c>
      <c r="J420" s="7">
        <v>39.299999999999997</v>
      </c>
      <c r="K420" s="7">
        <v>186.2</v>
      </c>
      <c r="L420" s="7">
        <v>108.1</v>
      </c>
      <c r="M420" s="7">
        <v>185.3</v>
      </c>
      <c r="N420" s="7">
        <v>266</v>
      </c>
      <c r="O420" s="7">
        <v>84</v>
      </c>
      <c r="P420" s="7">
        <v>126.9</v>
      </c>
      <c r="Q420" s="7">
        <v>7</v>
      </c>
    </row>
    <row r="421" spans="1:17">
      <c r="A421" s="2">
        <v>2369</v>
      </c>
      <c r="B421" s="7">
        <v>113</v>
      </c>
      <c r="C421" s="7">
        <v>20.399999999999999</v>
      </c>
      <c r="D421" s="7">
        <v>47.6</v>
      </c>
      <c r="E421" s="7">
        <v>7.6</v>
      </c>
      <c r="F421" s="7">
        <v>27.3</v>
      </c>
      <c r="G421" s="7">
        <v>22.5</v>
      </c>
      <c r="H421" s="7">
        <v>220.2</v>
      </c>
      <c r="I421" s="7">
        <v>71.8</v>
      </c>
      <c r="J421" s="7">
        <v>39.299999999999997</v>
      </c>
      <c r="K421" s="7">
        <v>186.2</v>
      </c>
      <c r="L421" s="7">
        <v>108.1</v>
      </c>
      <c r="M421" s="7">
        <v>185.3</v>
      </c>
      <c r="N421" s="7">
        <v>266</v>
      </c>
      <c r="O421" s="7">
        <v>84</v>
      </c>
      <c r="P421" s="7">
        <v>126.9</v>
      </c>
      <c r="Q421" s="7">
        <v>7</v>
      </c>
    </row>
    <row r="422" spans="1:17">
      <c r="A422" s="2">
        <v>2370</v>
      </c>
      <c r="B422" s="7">
        <v>113</v>
      </c>
      <c r="C422" s="7">
        <v>20.399999999999999</v>
      </c>
      <c r="D422" s="7">
        <v>47.6</v>
      </c>
      <c r="E422" s="7">
        <v>7.6</v>
      </c>
      <c r="F422" s="7">
        <v>27.3</v>
      </c>
      <c r="G422" s="7">
        <v>22.5</v>
      </c>
      <c r="H422" s="7">
        <v>220.2</v>
      </c>
      <c r="I422" s="7">
        <v>71.8</v>
      </c>
      <c r="J422" s="7">
        <v>39.299999999999997</v>
      </c>
      <c r="K422" s="7">
        <v>186.2</v>
      </c>
      <c r="L422" s="7">
        <v>108.1</v>
      </c>
      <c r="M422" s="7">
        <v>185.3</v>
      </c>
      <c r="N422" s="7">
        <v>266</v>
      </c>
      <c r="O422" s="7">
        <v>84</v>
      </c>
      <c r="P422" s="7">
        <v>126.9</v>
      </c>
      <c r="Q422" s="7">
        <v>7</v>
      </c>
    </row>
    <row r="423" spans="1:17">
      <c r="A423" s="2">
        <v>2371</v>
      </c>
      <c r="B423" s="7">
        <v>113</v>
      </c>
      <c r="C423" s="7">
        <v>20.399999999999999</v>
      </c>
      <c r="D423" s="7">
        <v>47.6</v>
      </c>
      <c r="E423" s="7">
        <v>7.6</v>
      </c>
      <c r="F423" s="7">
        <v>27.3</v>
      </c>
      <c r="G423" s="7">
        <v>22.5</v>
      </c>
      <c r="H423" s="7">
        <v>220.2</v>
      </c>
      <c r="I423" s="7">
        <v>71.8</v>
      </c>
      <c r="J423" s="7">
        <v>39.299999999999997</v>
      </c>
      <c r="K423" s="7">
        <v>186.2</v>
      </c>
      <c r="L423" s="7">
        <v>108.1</v>
      </c>
      <c r="M423" s="7">
        <v>185.3</v>
      </c>
      <c r="N423" s="7">
        <v>266</v>
      </c>
      <c r="O423" s="7">
        <v>84</v>
      </c>
      <c r="P423" s="7">
        <v>126.9</v>
      </c>
      <c r="Q423" s="7">
        <v>7</v>
      </c>
    </row>
    <row r="424" spans="1:17">
      <c r="A424" s="2">
        <v>2372</v>
      </c>
      <c r="B424" s="7">
        <v>113</v>
      </c>
      <c r="C424" s="7">
        <v>20.399999999999999</v>
      </c>
      <c r="D424" s="7">
        <v>47.6</v>
      </c>
      <c r="E424" s="7">
        <v>7.6</v>
      </c>
      <c r="F424" s="7">
        <v>27.3</v>
      </c>
      <c r="G424" s="7">
        <v>22.5</v>
      </c>
      <c r="H424" s="7">
        <v>220.2</v>
      </c>
      <c r="I424" s="7">
        <v>71.8</v>
      </c>
      <c r="J424" s="7">
        <v>39.299999999999997</v>
      </c>
      <c r="K424" s="7">
        <v>186.2</v>
      </c>
      <c r="L424" s="7">
        <v>108.1</v>
      </c>
      <c r="M424" s="7">
        <v>185.3</v>
      </c>
      <c r="N424" s="7">
        <v>266</v>
      </c>
      <c r="O424" s="7">
        <v>84</v>
      </c>
      <c r="P424" s="7">
        <v>126.9</v>
      </c>
      <c r="Q424" s="7">
        <v>7</v>
      </c>
    </row>
    <row r="425" spans="1:17">
      <c r="A425" s="2">
        <v>2373</v>
      </c>
      <c r="B425" s="7">
        <v>113</v>
      </c>
      <c r="C425" s="7">
        <v>20.399999999999999</v>
      </c>
      <c r="D425" s="7">
        <v>47.6</v>
      </c>
      <c r="E425" s="7">
        <v>7.6</v>
      </c>
      <c r="F425" s="7">
        <v>27.3</v>
      </c>
      <c r="G425" s="7">
        <v>22.5</v>
      </c>
      <c r="H425" s="7">
        <v>220.2</v>
      </c>
      <c r="I425" s="7">
        <v>71.8</v>
      </c>
      <c r="J425" s="7">
        <v>39.299999999999997</v>
      </c>
      <c r="K425" s="7">
        <v>186.2</v>
      </c>
      <c r="L425" s="7">
        <v>108.1</v>
      </c>
      <c r="M425" s="7">
        <v>185.3</v>
      </c>
      <c r="N425" s="7">
        <v>266</v>
      </c>
      <c r="O425" s="7">
        <v>84</v>
      </c>
      <c r="P425" s="7">
        <v>126.9</v>
      </c>
      <c r="Q425" s="7">
        <v>7</v>
      </c>
    </row>
    <row r="426" spans="1:17">
      <c r="A426" s="2">
        <v>2374</v>
      </c>
      <c r="B426" s="7">
        <v>113</v>
      </c>
      <c r="C426" s="7">
        <v>20.399999999999999</v>
      </c>
      <c r="D426" s="7">
        <v>47.6</v>
      </c>
      <c r="E426" s="7">
        <v>7.6</v>
      </c>
      <c r="F426" s="7">
        <v>27.3</v>
      </c>
      <c r="G426" s="7">
        <v>22.5</v>
      </c>
      <c r="H426" s="7">
        <v>220.2</v>
      </c>
      <c r="I426" s="7">
        <v>71.8</v>
      </c>
      <c r="J426" s="7">
        <v>39.299999999999997</v>
      </c>
      <c r="K426" s="7">
        <v>186.2</v>
      </c>
      <c r="L426" s="7">
        <v>108.1</v>
      </c>
      <c r="M426" s="7">
        <v>185.3</v>
      </c>
      <c r="N426" s="7">
        <v>266</v>
      </c>
      <c r="O426" s="7">
        <v>84</v>
      </c>
      <c r="P426" s="7">
        <v>126.9</v>
      </c>
      <c r="Q426" s="7">
        <v>7</v>
      </c>
    </row>
    <row r="427" spans="1:17">
      <c r="A427" s="2">
        <v>2375</v>
      </c>
      <c r="B427" s="7">
        <v>113</v>
      </c>
      <c r="C427" s="7">
        <v>20.399999999999999</v>
      </c>
      <c r="D427" s="7">
        <v>47.6</v>
      </c>
      <c r="E427" s="7">
        <v>7.6</v>
      </c>
      <c r="F427" s="7">
        <v>27.3</v>
      </c>
      <c r="G427" s="7">
        <v>22.5</v>
      </c>
      <c r="H427" s="7">
        <v>220.2</v>
      </c>
      <c r="I427" s="7">
        <v>71.8</v>
      </c>
      <c r="J427" s="7">
        <v>39.299999999999997</v>
      </c>
      <c r="K427" s="7">
        <v>186.2</v>
      </c>
      <c r="L427" s="7">
        <v>108.1</v>
      </c>
      <c r="M427" s="7">
        <v>185.3</v>
      </c>
      <c r="N427" s="7">
        <v>266</v>
      </c>
      <c r="O427" s="7">
        <v>84</v>
      </c>
      <c r="P427" s="7">
        <v>126.9</v>
      </c>
      <c r="Q427" s="7">
        <v>7</v>
      </c>
    </row>
    <row r="428" spans="1:17">
      <c r="A428" s="2">
        <v>2376</v>
      </c>
      <c r="B428" s="7">
        <v>113</v>
      </c>
      <c r="C428" s="7">
        <v>20.399999999999999</v>
      </c>
      <c r="D428" s="7">
        <v>47.6</v>
      </c>
      <c r="E428" s="7">
        <v>7.6</v>
      </c>
      <c r="F428" s="7">
        <v>27.3</v>
      </c>
      <c r="G428" s="7">
        <v>22.5</v>
      </c>
      <c r="H428" s="7">
        <v>220.2</v>
      </c>
      <c r="I428" s="7">
        <v>71.8</v>
      </c>
      <c r="J428" s="7">
        <v>39.299999999999997</v>
      </c>
      <c r="K428" s="7">
        <v>186.2</v>
      </c>
      <c r="L428" s="7">
        <v>108.1</v>
      </c>
      <c r="M428" s="7">
        <v>185.3</v>
      </c>
      <c r="N428" s="7">
        <v>266</v>
      </c>
      <c r="O428" s="7">
        <v>84</v>
      </c>
      <c r="P428" s="7">
        <v>126.9</v>
      </c>
      <c r="Q428" s="7">
        <v>7</v>
      </c>
    </row>
    <row r="429" spans="1:17">
      <c r="A429" s="2">
        <v>2377</v>
      </c>
      <c r="B429" s="7">
        <v>113</v>
      </c>
      <c r="C429" s="7">
        <v>20.399999999999999</v>
      </c>
      <c r="D429" s="7">
        <v>47.6</v>
      </c>
      <c r="E429" s="7">
        <v>7.6</v>
      </c>
      <c r="F429" s="7">
        <v>27.3</v>
      </c>
      <c r="G429" s="7">
        <v>22.5</v>
      </c>
      <c r="H429" s="7">
        <v>220.2</v>
      </c>
      <c r="I429" s="7">
        <v>71.8</v>
      </c>
      <c r="J429" s="7">
        <v>39.299999999999997</v>
      </c>
      <c r="K429" s="7">
        <v>186.2</v>
      </c>
      <c r="L429" s="7">
        <v>108.1</v>
      </c>
      <c r="M429" s="7">
        <v>185.3</v>
      </c>
      <c r="N429" s="7">
        <v>266</v>
      </c>
      <c r="O429" s="7">
        <v>84</v>
      </c>
      <c r="P429" s="7">
        <v>126.9</v>
      </c>
      <c r="Q429" s="7">
        <v>7</v>
      </c>
    </row>
    <row r="430" spans="1:17">
      <c r="A430" s="2">
        <v>2378</v>
      </c>
      <c r="B430" s="7">
        <v>113</v>
      </c>
      <c r="C430" s="7">
        <v>20.399999999999999</v>
      </c>
      <c r="D430" s="7">
        <v>47.6</v>
      </c>
      <c r="E430" s="7">
        <v>7.6</v>
      </c>
      <c r="F430" s="7">
        <v>27.3</v>
      </c>
      <c r="G430" s="7">
        <v>22.5</v>
      </c>
      <c r="H430" s="7">
        <v>220.2</v>
      </c>
      <c r="I430" s="7">
        <v>71.8</v>
      </c>
      <c r="J430" s="7">
        <v>39.299999999999997</v>
      </c>
      <c r="K430" s="7">
        <v>186.2</v>
      </c>
      <c r="L430" s="7">
        <v>108.1</v>
      </c>
      <c r="M430" s="7">
        <v>185.3</v>
      </c>
      <c r="N430" s="7">
        <v>266</v>
      </c>
      <c r="O430" s="7">
        <v>84</v>
      </c>
      <c r="P430" s="7">
        <v>126.9</v>
      </c>
      <c r="Q430" s="7">
        <v>7</v>
      </c>
    </row>
    <row r="431" spans="1:17">
      <c r="A431" s="2">
        <v>2379</v>
      </c>
      <c r="B431" s="7">
        <v>113</v>
      </c>
      <c r="C431" s="7">
        <v>20.399999999999999</v>
      </c>
      <c r="D431" s="7">
        <v>47.6</v>
      </c>
      <c r="E431" s="7">
        <v>7.6</v>
      </c>
      <c r="F431" s="7">
        <v>27.3</v>
      </c>
      <c r="G431" s="7">
        <v>22.5</v>
      </c>
      <c r="H431" s="7">
        <v>220.2</v>
      </c>
      <c r="I431" s="7">
        <v>71.8</v>
      </c>
      <c r="J431" s="7">
        <v>39.299999999999997</v>
      </c>
      <c r="K431" s="7">
        <v>186.2</v>
      </c>
      <c r="L431" s="7">
        <v>108.1</v>
      </c>
      <c r="M431" s="7">
        <v>185.3</v>
      </c>
      <c r="N431" s="7">
        <v>266</v>
      </c>
      <c r="O431" s="7">
        <v>84</v>
      </c>
      <c r="P431" s="7">
        <v>126.9</v>
      </c>
      <c r="Q431" s="7">
        <v>7</v>
      </c>
    </row>
    <row r="432" spans="1:17">
      <c r="A432" s="2">
        <v>2380</v>
      </c>
      <c r="B432" s="7">
        <v>113</v>
      </c>
      <c r="C432" s="7">
        <v>20.399999999999999</v>
      </c>
      <c r="D432" s="7">
        <v>47.6</v>
      </c>
      <c r="E432" s="7">
        <v>7.6</v>
      </c>
      <c r="F432" s="7">
        <v>27.3</v>
      </c>
      <c r="G432" s="7">
        <v>22.5</v>
      </c>
      <c r="H432" s="7">
        <v>220.2</v>
      </c>
      <c r="I432" s="7">
        <v>71.8</v>
      </c>
      <c r="J432" s="7">
        <v>39.299999999999997</v>
      </c>
      <c r="K432" s="7">
        <v>186.2</v>
      </c>
      <c r="L432" s="7">
        <v>108.1</v>
      </c>
      <c r="M432" s="7">
        <v>185.3</v>
      </c>
      <c r="N432" s="7">
        <v>266</v>
      </c>
      <c r="O432" s="7">
        <v>84</v>
      </c>
      <c r="P432" s="7">
        <v>126.9</v>
      </c>
      <c r="Q432" s="7">
        <v>7</v>
      </c>
    </row>
    <row r="433" spans="1:17">
      <c r="A433" s="2">
        <v>2381</v>
      </c>
      <c r="B433" s="7">
        <v>113</v>
      </c>
      <c r="C433" s="7">
        <v>20.399999999999999</v>
      </c>
      <c r="D433" s="7">
        <v>47.6</v>
      </c>
      <c r="E433" s="7">
        <v>7.6</v>
      </c>
      <c r="F433" s="7">
        <v>27.3</v>
      </c>
      <c r="G433" s="7">
        <v>22.5</v>
      </c>
      <c r="H433" s="7">
        <v>220.2</v>
      </c>
      <c r="I433" s="7">
        <v>71.8</v>
      </c>
      <c r="J433" s="7">
        <v>39.299999999999997</v>
      </c>
      <c r="K433" s="7">
        <v>186.2</v>
      </c>
      <c r="L433" s="7">
        <v>108.1</v>
      </c>
      <c r="M433" s="7">
        <v>185.3</v>
      </c>
      <c r="N433" s="7">
        <v>266</v>
      </c>
      <c r="O433" s="7">
        <v>84</v>
      </c>
      <c r="P433" s="7">
        <v>126.9</v>
      </c>
      <c r="Q433" s="7">
        <v>7</v>
      </c>
    </row>
    <row r="434" spans="1:17">
      <c r="A434" s="2">
        <v>2382</v>
      </c>
      <c r="B434" s="7">
        <v>113</v>
      </c>
      <c r="C434" s="7">
        <v>20.399999999999999</v>
      </c>
      <c r="D434" s="7">
        <v>47.6</v>
      </c>
      <c r="E434" s="7">
        <v>7.6</v>
      </c>
      <c r="F434" s="7">
        <v>27.3</v>
      </c>
      <c r="G434" s="7">
        <v>22.5</v>
      </c>
      <c r="H434" s="7">
        <v>220.2</v>
      </c>
      <c r="I434" s="7">
        <v>71.8</v>
      </c>
      <c r="J434" s="7">
        <v>39.299999999999997</v>
      </c>
      <c r="K434" s="7">
        <v>186.2</v>
      </c>
      <c r="L434" s="7">
        <v>108.1</v>
      </c>
      <c r="M434" s="7">
        <v>185.3</v>
      </c>
      <c r="N434" s="7">
        <v>266</v>
      </c>
      <c r="O434" s="7">
        <v>84</v>
      </c>
      <c r="P434" s="7">
        <v>126.9</v>
      </c>
      <c r="Q434" s="7">
        <v>7</v>
      </c>
    </row>
    <row r="435" spans="1:17">
      <c r="A435" s="2">
        <v>2383</v>
      </c>
      <c r="B435" s="7">
        <v>113</v>
      </c>
      <c r="C435" s="7">
        <v>20.399999999999999</v>
      </c>
      <c r="D435" s="7">
        <v>47.6</v>
      </c>
      <c r="E435" s="7">
        <v>7.6</v>
      </c>
      <c r="F435" s="7">
        <v>27.3</v>
      </c>
      <c r="G435" s="7">
        <v>22.5</v>
      </c>
      <c r="H435" s="7">
        <v>220.2</v>
      </c>
      <c r="I435" s="7">
        <v>71.8</v>
      </c>
      <c r="J435" s="7">
        <v>39.299999999999997</v>
      </c>
      <c r="K435" s="7">
        <v>186.2</v>
      </c>
      <c r="L435" s="7">
        <v>108.1</v>
      </c>
      <c r="M435" s="7">
        <v>185.3</v>
      </c>
      <c r="N435" s="7">
        <v>266</v>
      </c>
      <c r="O435" s="7">
        <v>84</v>
      </c>
      <c r="P435" s="7">
        <v>126.9</v>
      </c>
      <c r="Q435" s="7">
        <v>7</v>
      </c>
    </row>
    <row r="436" spans="1:17">
      <c r="A436" s="2">
        <v>2384</v>
      </c>
      <c r="B436" s="7">
        <v>113</v>
      </c>
      <c r="C436" s="7">
        <v>20.399999999999999</v>
      </c>
      <c r="D436" s="7">
        <v>47.6</v>
      </c>
      <c r="E436" s="7">
        <v>7.6</v>
      </c>
      <c r="F436" s="7">
        <v>27.3</v>
      </c>
      <c r="G436" s="7">
        <v>22.5</v>
      </c>
      <c r="H436" s="7">
        <v>220.2</v>
      </c>
      <c r="I436" s="7">
        <v>71.8</v>
      </c>
      <c r="J436" s="7">
        <v>39.299999999999997</v>
      </c>
      <c r="K436" s="7">
        <v>186.2</v>
      </c>
      <c r="L436" s="7">
        <v>108.1</v>
      </c>
      <c r="M436" s="7">
        <v>185.3</v>
      </c>
      <c r="N436" s="7">
        <v>266</v>
      </c>
      <c r="O436" s="7">
        <v>84</v>
      </c>
      <c r="P436" s="7">
        <v>126.9</v>
      </c>
      <c r="Q436" s="7">
        <v>7</v>
      </c>
    </row>
    <row r="437" spans="1:17">
      <c r="A437" s="2">
        <v>2385</v>
      </c>
      <c r="B437" s="7">
        <v>113</v>
      </c>
      <c r="C437" s="7">
        <v>20.399999999999999</v>
      </c>
      <c r="D437" s="7">
        <v>47.6</v>
      </c>
      <c r="E437" s="7">
        <v>7.6</v>
      </c>
      <c r="F437" s="7">
        <v>27.3</v>
      </c>
      <c r="G437" s="7">
        <v>22.5</v>
      </c>
      <c r="H437" s="7">
        <v>220.2</v>
      </c>
      <c r="I437" s="7">
        <v>71.8</v>
      </c>
      <c r="J437" s="7">
        <v>39.299999999999997</v>
      </c>
      <c r="K437" s="7">
        <v>186.2</v>
      </c>
      <c r="L437" s="7">
        <v>108.1</v>
      </c>
      <c r="M437" s="7">
        <v>185.3</v>
      </c>
      <c r="N437" s="7">
        <v>266</v>
      </c>
      <c r="O437" s="7">
        <v>84</v>
      </c>
      <c r="P437" s="7">
        <v>126.9</v>
      </c>
      <c r="Q437" s="7">
        <v>7</v>
      </c>
    </row>
    <row r="438" spans="1:17">
      <c r="A438" s="2">
        <v>2386</v>
      </c>
      <c r="B438" s="7">
        <v>113</v>
      </c>
      <c r="C438" s="7">
        <v>20.399999999999999</v>
      </c>
      <c r="D438" s="7">
        <v>47.6</v>
      </c>
      <c r="E438" s="7">
        <v>7.6</v>
      </c>
      <c r="F438" s="7">
        <v>27.3</v>
      </c>
      <c r="G438" s="7">
        <v>22.5</v>
      </c>
      <c r="H438" s="7">
        <v>220.2</v>
      </c>
      <c r="I438" s="7">
        <v>71.8</v>
      </c>
      <c r="J438" s="7">
        <v>39.299999999999997</v>
      </c>
      <c r="K438" s="7">
        <v>186.2</v>
      </c>
      <c r="L438" s="7">
        <v>108.1</v>
      </c>
      <c r="M438" s="7">
        <v>185.3</v>
      </c>
      <c r="N438" s="7">
        <v>266</v>
      </c>
      <c r="O438" s="7">
        <v>84</v>
      </c>
      <c r="P438" s="7">
        <v>126.9</v>
      </c>
      <c r="Q438" s="7">
        <v>7</v>
      </c>
    </row>
    <row r="439" spans="1:17">
      <c r="A439" s="2">
        <v>2387</v>
      </c>
      <c r="B439" s="7">
        <v>113</v>
      </c>
      <c r="C439" s="7">
        <v>20.399999999999999</v>
      </c>
      <c r="D439" s="7">
        <v>47.6</v>
      </c>
      <c r="E439" s="7">
        <v>7.6</v>
      </c>
      <c r="F439" s="7">
        <v>27.3</v>
      </c>
      <c r="G439" s="7">
        <v>22.5</v>
      </c>
      <c r="H439" s="7">
        <v>220.2</v>
      </c>
      <c r="I439" s="7">
        <v>71.8</v>
      </c>
      <c r="J439" s="7">
        <v>39.299999999999997</v>
      </c>
      <c r="K439" s="7">
        <v>186.2</v>
      </c>
      <c r="L439" s="7">
        <v>108.1</v>
      </c>
      <c r="M439" s="7">
        <v>185.3</v>
      </c>
      <c r="N439" s="7">
        <v>266</v>
      </c>
      <c r="O439" s="7">
        <v>84</v>
      </c>
      <c r="P439" s="7">
        <v>126.9</v>
      </c>
      <c r="Q439" s="7">
        <v>7</v>
      </c>
    </row>
    <row r="440" spans="1:17">
      <c r="A440" s="2">
        <v>2388</v>
      </c>
      <c r="B440" s="7">
        <v>113</v>
      </c>
      <c r="C440" s="7">
        <v>20.399999999999999</v>
      </c>
      <c r="D440" s="7">
        <v>47.6</v>
      </c>
      <c r="E440" s="7">
        <v>7.6</v>
      </c>
      <c r="F440" s="7">
        <v>27.3</v>
      </c>
      <c r="G440" s="7">
        <v>22.5</v>
      </c>
      <c r="H440" s="7">
        <v>220.2</v>
      </c>
      <c r="I440" s="7">
        <v>71.8</v>
      </c>
      <c r="J440" s="7">
        <v>39.299999999999997</v>
      </c>
      <c r="K440" s="7">
        <v>186.2</v>
      </c>
      <c r="L440" s="7">
        <v>108.1</v>
      </c>
      <c r="M440" s="7">
        <v>185.3</v>
      </c>
      <c r="N440" s="7">
        <v>266</v>
      </c>
      <c r="O440" s="7">
        <v>84</v>
      </c>
      <c r="P440" s="7">
        <v>126.9</v>
      </c>
      <c r="Q440" s="7">
        <v>7</v>
      </c>
    </row>
    <row r="441" spans="1:17">
      <c r="A441" s="2">
        <v>2389</v>
      </c>
      <c r="B441" s="7">
        <v>113</v>
      </c>
      <c r="C441" s="7">
        <v>20.399999999999999</v>
      </c>
      <c r="D441" s="7">
        <v>47.6</v>
      </c>
      <c r="E441" s="7">
        <v>7.6</v>
      </c>
      <c r="F441" s="7">
        <v>27.3</v>
      </c>
      <c r="G441" s="7">
        <v>22.5</v>
      </c>
      <c r="H441" s="7">
        <v>220.2</v>
      </c>
      <c r="I441" s="7">
        <v>71.8</v>
      </c>
      <c r="J441" s="7">
        <v>39.299999999999997</v>
      </c>
      <c r="K441" s="7">
        <v>186.2</v>
      </c>
      <c r="L441" s="7">
        <v>108.1</v>
      </c>
      <c r="M441" s="7">
        <v>185.3</v>
      </c>
      <c r="N441" s="7">
        <v>266</v>
      </c>
      <c r="O441" s="7">
        <v>84</v>
      </c>
      <c r="P441" s="7">
        <v>126.9</v>
      </c>
      <c r="Q441" s="7">
        <v>7</v>
      </c>
    </row>
    <row r="442" spans="1:17">
      <c r="A442" s="2">
        <v>2390</v>
      </c>
      <c r="B442" s="7">
        <v>113</v>
      </c>
      <c r="C442" s="7">
        <v>20.399999999999999</v>
      </c>
      <c r="D442" s="7">
        <v>47.6</v>
      </c>
      <c r="E442" s="7">
        <v>7.6</v>
      </c>
      <c r="F442" s="7">
        <v>27.3</v>
      </c>
      <c r="G442" s="7">
        <v>22.5</v>
      </c>
      <c r="H442" s="7">
        <v>220.2</v>
      </c>
      <c r="I442" s="7">
        <v>71.8</v>
      </c>
      <c r="J442" s="7">
        <v>39.299999999999997</v>
      </c>
      <c r="K442" s="7">
        <v>186.2</v>
      </c>
      <c r="L442" s="7">
        <v>108.1</v>
      </c>
      <c r="M442" s="7">
        <v>185.3</v>
      </c>
      <c r="N442" s="7">
        <v>266</v>
      </c>
      <c r="O442" s="7">
        <v>84</v>
      </c>
      <c r="P442" s="7">
        <v>126.9</v>
      </c>
      <c r="Q442" s="7">
        <v>7</v>
      </c>
    </row>
    <row r="443" spans="1:17">
      <c r="A443" s="2">
        <v>2391</v>
      </c>
      <c r="B443" s="7">
        <v>113</v>
      </c>
      <c r="C443" s="7">
        <v>20.399999999999999</v>
      </c>
      <c r="D443" s="7">
        <v>47.6</v>
      </c>
      <c r="E443" s="7">
        <v>7.6</v>
      </c>
      <c r="F443" s="7">
        <v>27.3</v>
      </c>
      <c r="G443" s="7">
        <v>22.5</v>
      </c>
      <c r="H443" s="7">
        <v>220.2</v>
      </c>
      <c r="I443" s="7">
        <v>71.8</v>
      </c>
      <c r="J443" s="7">
        <v>39.299999999999997</v>
      </c>
      <c r="K443" s="7">
        <v>186.2</v>
      </c>
      <c r="L443" s="7">
        <v>108.1</v>
      </c>
      <c r="M443" s="7">
        <v>185.3</v>
      </c>
      <c r="N443" s="7">
        <v>266</v>
      </c>
      <c r="O443" s="7">
        <v>84</v>
      </c>
      <c r="P443" s="7">
        <v>126.9</v>
      </c>
      <c r="Q443" s="7">
        <v>7</v>
      </c>
    </row>
    <row r="444" spans="1:17">
      <c r="A444" s="2">
        <v>2392</v>
      </c>
      <c r="B444" s="7">
        <v>113</v>
      </c>
      <c r="C444" s="7">
        <v>20.399999999999999</v>
      </c>
      <c r="D444" s="7">
        <v>47.6</v>
      </c>
      <c r="E444" s="7">
        <v>7.6</v>
      </c>
      <c r="F444" s="7">
        <v>27.3</v>
      </c>
      <c r="G444" s="7">
        <v>22.5</v>
      </c>
      <c r="H444" s="7">
        <v>220.2</v>
      </c>
      <c r="I444" s="7">
        <v>71.8</v>
      </c>
      <c r="J444" s="7">
        <v>39.299999999999997</v>
      </c>
      <c r="K444" s="7">
        <v>186.2</v>
      </c>
      <c r="L444" s="7">
        <v>108.1</v>
      </c>
      <c r="M444" s="7">
        <v>185.3</v>
      </c>
      <c r="N444" s="7">
        <v>266</v>
      </c>
      <c r="O444" s="7">
        <v>84</v>
      </c>
      <c r="P444" s="7">
        <v>126.9</v>
      </c>
      <c r="Q444" s="7">
        <v>7</v>
      </c>
    </row>
    <row r="445" spans="1:17">
      <c r="A445" s="2">
        <v>2393</v>
      </c>
      <c r="B445" s="7">
        <v>113</v>
      </c>
      <c r="C445" s="7">
        <v>20.399999999999999</v>
      </c>
      <c r="D445" s="7">
        <v>47.6</v>
      </c>
      <c r="E445" s="7">
        <v>7.6</v>
      </c>
      <c r="F445" s="7">
        <v>27.3</v>
      </c>
      <c r="G445" s="7">
        <v>22.5</v>
      </c>
      <c r="H445" s="7">
        <v>220.2</v>
      </c>
      <c r="I445" s="7">
        <v>71.8</v>
      </c>
      <c r="J445" s="7">
        <v>39.299999999999997</v>
      </c>
      <c r="K445" s="7">
        <v>186.2</v>
      </c>
      <c r="L445" s="7">
        <v>108.1</v>
      </c>
      <c r="M445" s="7">
        <v>185.3</v>
      </c>
      <c r="N445" s="7">
        <v>266</v>
      </c>
      <c r="O445" s="7">
        <v>84</v>
      </c>
      <c r="P445" s="7">
        <v>126.9</v>
      </c>
      <c r="Q445" s="7">
        <v>7</v>
      </c>
    </row>
    <row r="446" spans="1:17">
      <c r="A446" s="2">
        <v>2394</v>
      </c>
      <c r="B446" s="7">
        <v>113</v>
      </c>
      <c r="C446" s="7">
        <v>20.399999999999999</v>
      </c>
      <c r="D446" s="7">
        <v>47.6</v>
      </c>
      <c r="E446" s="7">
        <v>7.6</v>
      </c>
      <c r="F446" s="7">
        <v>27.3</v>
      </c>
      <c r="G446" s="7">
        <v>22.5</v>
      </c>
      <c r="H446" s="7">
        <v>220.2</v>
      </c>
      <c r="I446" s="7">
        <v>71.8</v>
      </c>
      <c r="J446" s="7">
        <v>39.299999999999997</v>
      </c>
      <c r="K446" s="7">
        <v>186.2</v>
      </c>
      <c r="L446" s="7">
        <v>108.1</v>
      </c>
      <c r="M446" s="7">
        <v>185.3</v>
      </c>
      <c r="N446" s="7">
        <v>266</v>
      </c>
      <c r="O446" s="7">
        <v>84</v>
      </c>
      <c r="P446" s="7">
        <v>126.9</v>
      </c>
      <c r="Q446" s="7">
        <v>7</v>
      </c>
    </row>
    <row r="447" spans="1:17">
      <c r="A447" s="2">
        <v>2395</v>
      </c>
      <c r="B447" s="7">
        <v>113</v>
      </c>
      <c r="C447" s="7">
        <v>20.399999999999999</v>
      </c>
      <c r="D447" s="7">
        <v>47.6</v>
      </c>
      <c r="E447" s="7">
        <v>7.6</v>
      </c>
      <c r="F447" s="7">
        <v>27.3</v>
      </c>
      <c r="G447" s="7">
        <v>22.5</v>
      </c>
      <c r="H447" s="7">
        <v>220.2</v>
      </c>
      <c r="I447" s="7">
        <v>71.8</v>
      </c>
      <c r="J447" s="7">
        <v>39.299999999999997</v>
      </c>
      <c r="K447" s="7">
        <v>186.2</v>
      </c>
      <c r="L447" s="7">
        <v>108.1</v>
      </c>
      <c r="M447" s="7">
        <v>185.3</v>
      </c>
      <c r="N447" s="7">
        <v>266</v>
      </c>
      <c r="O447" s="7">
        <v>84</v>
      </c>
      <c r="P447" s="7">
        <v>126.9</v>
      </c>
      <c r="Q447" s="7">
        <v>7</v>
      </c>
    </row>
    <row r="448" spans="1:17">
      <c r="A448" s="2">
        <v>2396</v>
      </c>
      <c r="B448" s="7">
        <v>113</v>
      </c>
      <c r="C448" s="7">
        <v>20.399999999999999</v>
      </c>
      <c r="D448" s="7">
        <v>47.6</v>
      </c>
      <c r="E448" s="7">
        <v>7.6</v>
      </c>
      <c r="F448" s="7">
        <v>27.3</v>
      </c>
      <c r="G448" s="7">
        <v>22.5</v>
      </c>
      <c r="H448" s="7">
        <v>220.2</v>
      </c>
      <c r="I448" s="7">
        <v>71.8</v>
      </c>
      <c r="J448" s="7">
        <v>39.299999999999997</v>
      </c>
      <c r="K448" s="7">
        <v>186.2</v>
      </c>
      <c r="L448" s="7">
        <v>108.1</v>
      </c>
      <c r="M448" s="7">
        <v>185.3</v>
      </c>
      <c r="N448" s="7">
        <v>266</v>
      </c>
      <c r="O448" s="7">
        <v>84</v>
      </c>
      <c r="P448" s="7">
        <v>126.9</v>
      </c>
      <c r="Q448" s="7">
        <v>7</v>
      </c>
    </row>
    <row r="449" spans="1:17">
      <c r="A449" s="2">
        <v>2397</v>
      </c>
      <c r="B449" s="7">
        <v>113</v>
      </c>
      <c r="C449" s="7">
        <v>20.399999999999999</v>
      </c>
      <c r="D449" s="7">
        <v>47.6</v>
      </c>
      <c r="E449" s="7">
        <v>7.6</v>
      </c>
      <c r="F449" s="7">
        <v>27.3</v>
      </c>
      <c r="G449" s="7">
        <v>22.5</v>
      </c>
      <c r="H449" s="7">
        <v>220.2</v>
      </c>
      <c r="I449" s="7">
        <v>71.8</v>
      </c>
      <c r="J449" s="7">
        <v>39.299999999999997</v>
      </c>
      <c r="K449" s="7">
        <v>186.2</v>
      </c>
      <c r="L449" s="7">
        <v>108.1</v>
      </c>
      <c r="M449" s="7">
        <v>185.3</v>
      </c>
      <c r="N449" s="7">
        <v>266</v>
      </c>
      <c r="O449" s="7">
        <v>84</v>
      </c>
      <c r="P449" s="7">
        <v>126.9</v>
      </c>
      <c r="Q449" s="7">
        <v>7</v>
      </c>
    </row>
    <row r="450" spans="1:17">
      <c r="A450" s="2">
        <v>2398</v>
      </c>
      <c r="B450" s="7">
        <v>113</v>
      </c>
      <c r="C450" s="7">
        <v>20.399999999999999</v>
      </c>
      <c r="D450" s="7">
        <v>47.6</v>
      </c>
      <c r="E450" s="7">
        <v>7.6</v>
      </c>
      <c r="F450" s="7">
        <v>27.3</v>
      </c>
      <c r="G450" s="7">
        <v>22.5</v>
      </c>
      <c r="H450" s="7">
        <v>220.2</v>
      </c>
      <c r="I450" s="7">
        <v>71.8</v>
      </c>
      <c r="J450" s="7">
        <v>39.299999999999997</v>
      </c>
      <c r="K450" s="7">
        <v>186.2</v>
      </c>
      <c r="L450" s="7">
        <v>108.1</v>
      </c>
      <c r="M450" s="7">
        <v>185.3</v>
      </c>
      <c r="N450" s="7">
        <v>266</v>
      </c>
      <c r="O450" s="7">
        <v>84</v>
      </c>
      <c r="P450" s="7">
        <v>126.9</v>
      </c>
      <c r="Q450" s="7">
        <v>7</v>
      </c>
    </row>
    <row r="451" spans="1:17">
      <c r="A451" s="2">
        <v>2399</v>
      </c>
      <c r="B451" s="7">
        <v>113</v>
      </c>
      <c r="C451" s="7">
        <v>20.399999999999999</v>
      </c>
      <c r="D451" s="7">
        <v>47.6</v>
      </c>
      <c r="E451" s="7">
        <v>7.6</v>
      </c>
      <c r="F451" s="7">
        <v>27.3</v>
      </c>
      <c r="G451" s="7">
        <v>22.5</v>
      </c>
      <c r="H451" s="7">
        <v>220.2</v>
      </c>
      <c r="I451" s="7">
        <v>71.8</v>
      </c>
      <c r="J451" s="7">
        <v>39.299999999999997</v>
      </c>
      <c r="K451" s="7">
        <v>186.2</v>
      </c>
      <c r="L451" s="7">
        <v>108.1</v>
      </c>
      <c r="M451" s="7">
        <v>185.3</v>
      </c>
      <c r="N451" s="7">
        <v>266</v>
      </c>
      <c r="O451" s="7">
        <v>84</v>
      </c>
      <c r="P451" s="7">
        <v>126.9</v>
      </c>
      <c r="Q451" s="7">
        <v>7</v>
      </c>
    </row>
    <row r="452" spans="1:17">
      <c r="A452" s="2">
        <v>2400</v>
      </c>
      <c r="B452" s="7">
        <v>113</v>
      </c>
      <c r="C452" s="7">
        <v>20.399999999999999</v>
      </c>
      <c r="D452" s="7">
        <v>47.6</v>
      </c>
      <c r="E452" s="7">
        <v>7.6</v>
      </c>
      <c r="F452" s="7">
        <v>27.3</v>
      </c>
      <c r="G452" s="7">
        <v>22.5</v>
      </c>
      <c r="H452" s="7">
        <v>220.2</v>
      </c>
      <c r="I452" s="7">
        <v>71.8</v>
      </c>
      <c r="J452" s="7">
        <v>39.299999999999997</v>
      </c>
      <c r="K452" s="7">
        <v>186.2</v>
      </c>
      <c r="L452" s="7">
        <v>108.1</v>
      </c>
      <c r="M452" s="7">
        <v>185.3</v>
      </c>
      <c r="N452" s="7">
        <v>266</v>
      </c>
      <c r="O452" s="7">
        <v>84</v>
      </c>
      <c r="P452" s="7">
        <v>126.9</v>
      </c>
      <c r="Q452" s="7">
        <v>7</v>
      </c>
    </row>
    <row r="453" spans="1:17">
      <c r="A453" s="2">
        <v>2401</v>
      </c>
      <c r="B453" s="7">
        <v>113</v>
      </c>
      <c r="C453" s="7">
        <v>20.399999999999999</v>
      </c>
      <c r="D453" s="7">
        <v>47.6</v>
      </c>
      <c r="E453" s="7">
        <v>7.6</v>
      </c>
      <c r="F453" s="7">
        <v>27.3</v>
      </c>
      <c r="G453" s="7">
        <v>22.5</v>
      </c>
      <c r="H453" s="7">
        <v>220.2</v>
      </c>
      <c r="I453" s="7">
        <v>71.8</v>
      </c>
      <c r="J453" s="7">
        <v>39.299999999999997</v>
      </c>
      <c r="K453" s="7">
        <v>186.2</v>
      </c>
      <c r="L453" s="7">
        <v>108.1</v>
      </c>
      <c r="M453" s="7">
        <v>185.3</v>
      </c>
      <c r="N453" s="7">
        <v>266</v>
      </c>
      <c r="O453" s="7">
        <v>84</v>
      </c>
      <c r="P453" s="7">
        <v>126.9</v>
      </c>
      <c r="Q453" s="7">
        <v>7</v>
      </c>
    </row>
    <row r="454" spans="1:17">
      <c r="A454" s="2">
        <v>2402</v>
      </c>
      <c r="B454" s="7">
        <v>113</v>
      </c>
      <c r="C454" s="7">
        <v>20.399999999999999</v>
      </c>
      <c r="D454" s="7">
        <v>47.6</v>
      </c>
      <c r="E454" s="7">
        <v>7.6</v>
      </c>
      <c r="F454" s="7">
        <v>27.3</v>
      </c>
      <c r="G454" s="7">
        <v>22.5</v>
      </c>
      <c r="H454" s="7">
        <v>220.2</v>
      </c>
      <c r="I454" s="7">
        <v>71.8</v>
      </c>
      <c r="J454" s="7">
        <v>39.299999999999997</v>
      </c>
      <c r="K454" s="7">
        <v>186.2</v>
      </c>
      <c r="L454" s="7">
        <v>108.1</v>
      </c>
      <c r="M454" s="7">
        <v>185.3</v>
      </c>
      <c r="N454" s="7">
        <v>266</v>
      </c>
      <c r="O454" s="7">
        <v>84</v>
      </c>
      <c r="P454" s="7">
        <v>126.9</v>
      </c>
      <c r="Q454" s="7">
        <v>7</v>
      </c>
    </row>
    <row r="455" spans="1:17">
      <c r="A455" s="2">
        <v>2403</v>
      </c>
      <c r="B455" s="7">
        <v>113</v>
      </c>
      <c r="C455" s="7">
        <v>20.399999999999999</v>
      </c>
      <c r="D455" s="7">
        <v>47.6</v>
      </c>
      <c r="E455" s="7">
        <v>7.6</v>
      </c>
      <c r="F455" s="7">
        <v>27.3</v>
      </c>
      <c r="G455" s="7">
        <v>22.5</v>
      </c>
      <c r="H455" s="7">
        <v>220.2</v>
      </c>
      <c r="I455" s="7">
        <v>71.8</v>
      </c>
      <c r="J455" s="7">
        <v>39.299999999999997</v>
      </c>
      <c r="K455" s="7">
        <v>186.2</v>
      </c>
      <c r="L455" s="7">
        <v>108.1</v>
      </c>
      <c r="M455" s="7">
        <v>185.3</v>
      </c>
      <c r="N455" s="7">
        <v>266</v>
      </c>
      <c r="O455" s="7">
        <v>84</v>
      </c>
      <c r="P455" s="7">
        <v>126.9</v>
      </c>
      <c r="Q455" s="7">
        <v>7</v>
      </c>
    </row>
    <row r="456" spans="1:17">
      <c r="A456" s="2">
        <v>2404</v>
      </c>
      <c r="B456" s="7">
        <v>113</v>
      </c>
      <c r="C456" s="7">
        <v>20.399999999999999</v>
      </c>
      <c r="D456" s="7">
        <v>47.6</v>
      </c>
      <c r="E456" s="7">
        <v>7.6</v>
      </c>
      <c r="F456" s="7">
        <v>27.3</v>
      </c>
      <c r="G456" s="7">
        <v>22.5</v>
      </c>
      <c r="H456" s="7">
        <v>220.2</v>
      </c>
      <c r="I456" s="7">
        <v>71.8</v>
      </c>
      <c r="J456" s="7">
        <v>39.299999999999997</v>
      </c>
      <c r="K456" s="7">
        <v>186.2</v>
      </c>
      <c r="L456" s="7">
        <v>108.1</v>
      </c>
      <c r="M456" s="7">
        <v>185.3</v>
      </c>
      <c r="N456" s="7">
        <v>266</v>
      </c>
      <c r="O456" s="7">
        <v>84</v>
      </c>
      <c r="P456" s="7">
        <v>126.9</v>
      </c>
      <c r="Q456" s="7">
        <v>7</v>
      </c>
    </row>
    <row r="457" spans="1:17">
      <c r="A457" s="2">
        <v>2405</v>
      </c>
      <c r="B457" s="7">
        <v>113</v>
      </c>
      <c r="C457" s="7">
        <v>20.399999999999999</v>
      </c>
      <c r="D457" s="7">
        <v>47.6</v>
      </c>
      <c r="E457" s="7">
        <v>7.6</v>
      </c>
      <c r="F457" s="7">
        <v>27.3</v>
      </c>
      <c r="G457" s="7">
        <v>22.5</v>
      </c>
      <c r="H457" s="7">
        <v>220.2</v>
      </c>
      <c r="I457" s="7">
        <v>71.8</v>
      </c>
      <c r="J457" s="7">
        <v>39.299999999999997</v>
      </c>
      <c r="K457" s="7">
        <v>186.2</v>
      </c>
      <c r="L457" s="7">
        <v>108.1</v>
      </c>
      <c r="M457" s="7">
        <v>185.3</v>
      </c>
      <c r="N457" s="7">
        <v>266</v>
      </c>
      <c r="O457" s="7">
        <v>84</v>
      </c>
      <c r="P457" s="7">
        <v>126.9</v>
      </c>
      <c r="Q457" s="7">
        <v>7</v>
      </c>
    </row>
    <row r="458" spans="1:17">
      <c r="A458" s="2">
        <v>2406</v>
      </c>
      <c r="B458" s="7">
        <v>113</v>
      </c>
      <c r="C458" s="7">
        <v>20.399999999999999</v>
      </c>
      <c r="D458" s="7">
        <v>47.6</v>
      </c>
      <c r="E458" s="7">
        <v>7.6</v>
      </c>
      <c r="F458" s="7">
        <v>27.3</v>
      </c>
      <c r="G458" s="7">
        <v>22.5</v>
      </c>
      <c r="H458" s="7">
        <v>220.2</v>
      </c>
      <c r="I458" s="7">
        <v>71.8</v>
      </c>
      <c r="J458" s="7">
        <v>39.299999999999997</v>
      </c>
      <c r="K458" s="7">
        <v>186.2</v>
      </c>
      <c r="L458" s="7">
        <v>108.1</v>
      </c>
      <c r="M458" s="7">
        <v>185.3</v>
      </c>
      <c r="N458" s="7">
        <v>266</v>
      </c>
      <c r="O458" s="7">
        <v>84</v>
      </c>
      <c r="P458" s="7">
        <v>126.9</v>
      </c>
      <c r="Q458" s="7">
        <v>7</v>
      </c>
    </row>
    <row r="459" spans="1:17">
      <c r="A459" s="2">
        <v>2407</v>
      </c>
      <c r="B459" s="7">
        <v>113</v>
      </c>
      <c r="C459" s="7">
        <v>20.399999999999999</v>
      </c>
      <c r="D459" s="7">
        <v>47.6</v>
      </c>
      <c r="E459" s="7">
        <v>7.6</v>
      </c>
      <c r="F459" s="7">
        <v>27.3</v>
      </c>
      <c r="G459" s="7">
        <v>22.5</v>
      </c>
      <c r="H459" s="7">
        <v>220.2</v>
      </c>
      <c r="I459" s="7">
        <v>71.8</v>
      </c>
      <c r="J459" s="7">
        <v>39.299999999999997</v>
      </c>
      <c r="K459" s="7">
        <v>186.2</v>
      </c>
      <c r="L459" s="7">
        <v>108.1</v>
      </c>
      <c r="M459" s="7">
        <v>185.3</v>
      </c>
      <c r="N459" s="7">
        <v>266</v>
      </c>
      <c r="O459" s="7">
        <v>84</v>
      </c>
      <c r="P459" s="7">
        <v>126.9</v>
      </c>
      <c r="Q459" s="7">
        <v>7</v>
      </c>
    </row>
    <row r="460" spans="1:17">
      <c r="A460" s="2">
        <v>2408</v>
      </c>
      <c r="B460" s="7">
        <v>113</v>
      </c>
      <c r="C460" s="7">
        <v>20.399999999999999</v>
      </c>
      <c r="D460" s="7">
        <v>47.6</v>
      </c>
      <c r="E460" s="7">
        <v>7.6</v>
      </c>
      <c r="F460" s="7">
        <v>27.3</v>
      </c>
      <c r="G460" s="7">
        <v>22.5</v>
      </c>
      <c r="H460" s="7">
        <v>220.2</v>
      </c>
      <c r="I460" s="7">
        <v>71.8</v>
      </c>
      <c r="J460" s="7">
        <v>39.299999999999997</v>
      </c>
      <c r="K460" s="7">
        <v>186.2</v>
      </c>
      <c r="L460" s="7">
        <v>108.1</v>
      </c>
      <c r="M460" s="7">
        <v>185.3</v>
      </c>
      <c r="N460" s="7">
        <v>266</v>
      </c>
      <c r="O460" s="7">
        <v>84</v>
      </c>
      <c r="P460" s="7">
        <v>126.9</v>
      </c>
      <c r="Q460" s="7">
        <v>7</v>
      </c>
    </row>
    <row r="461" spans="1:17">
      <c r="A461" s="2">
        <v>2409</v>
      </c>
      <c r="B461" s="7">
        <v>113</v>
      </c>
      <c r="C461" s="7">
        <v>20.399999999999999</v>
      </c>
      <c r="D461" s="7">
        <v>47.6</v>
      </c>
      <c r="E461" s="7">
        <v>7.6</v>
      </c>
      <c r="F461" s="7">
        <v>27.3</v>
      </c>
      <c r="G461" s="7">
        <v>22.5</v>
      </c>
      <c r="H461" s="7">
        <v>220.2</v>
      </c>
      <c r="I461" s="7">
        <v>71.8</v>
      </c>
      <c r="J461" s="7">
        <v>39.299999999999997</v>
      </c>
      <c r="K461" s="7">
        <v>186.2</v>
      </c>
      <c r="L461" s="7">
        <v>108.1</v>
      </c>
      <c r="M461" s="7">
        <v>185.3</v>
      </c>
      <c r="N461" s="7">
        <v>266</v>
      </c>
      <c r="O461" s="7">
        <v>84</v>
      </c>
      <c r="P461" s="7">
        <v>126.9</v>
      </c>
      <c r="Q461" s="7">
        <v>7</v>
      </c>
    </row>
    <row r="462" spans="1:17">
      <c r="A462" s="2">
        <v>2410</v>
      </c>
      <c r="B462" s="7">
        <v>113</v>
      </c>
      <c r="C462" s="7">
        <v>20.399999999999999</v>
      </c>
      <c r="D462" s="7">
        <v>47.6</v>
      </c>
      <c r="E462" s="7">
        <v>7.6</v>
      </c>
      <c r="F462" s="7">
        <v>27.3</v>
      </c>
      <c r="G462" s="7">
        <v>22.5</v>
      </c>
      <c r="H462" s="7">
        <v>220.2</v>
      </c>
      <c r="I462" s="7">
        <v>71.8</v>
      </c>
      <c r="J462" s="7">
        <v>39.299999999999997</v>
      </c>
      <c r="K462" s="7">
        <v>186.2</v>
      </c>
      <c r="L462" s="7">
        <v>108.1</v>
      </c>
      <c r="M462" s="7">
        <v>185.3</v>
      </c>
      <c r="N462" s="7">
        <v>266</v>
      </c>
      <c r="O462" s="7">
        <v>84</v>
      </c>
      <c r="P462" s="7">
        <v>126.9</v>
      </c>
      <c r="Q462" s="7">
        <v>7</v>
      </c>
    </row>
    <row r="463" spans="1:17">
      <c r="A463" s="2">
        <v>2411</v>
      </c>
      <c r="B463" s="7">
        <v>113</v>
      </c>
      <c r="C463" s="7">
        <v>20.399999999999999</v>
      </c>
      <c r="D463" s="7">
        <v>47.6</v>
      </c>
      <c r="E463" s="7">
        <v>7.6</v>
      </c>
      <c r="F463" s="7">
        <v>27.3</v>
      </c>
      <c r="G463" s="7">
        <v>22.5</v>
      </c>
      <c r="H463" s="7">
        <v>220.2</v>
      </c>
      <c r="I463" s="7">
        <v>71.8</v>
      </c>
      <c r="J463" s="7">
        <v>39.299999999999997</v>
      </c>
      <c r="K463" s="7">
        <v>186.2</v>
      </c>
      <c r="L463" s="7">
        <v>108.1</v>
      </c>
      <c r="M463" s="7">
        <v>185.3</v>
      </c>
      <c r="N463" s="7">
        <v>266</v>
      </c>
      <c r="O463" s="7">
        <v>84</v>
      </c>
      <c r="P463" s="7">
        <v>126.9</v>
      </c>
      <c r="Q463" s="7">
        <v>7</v>
      </c>
    </row>
    <row r="464" spans="1:17">
      <c r="A464" s="2">
        <v>2412</v>
      </c>
      <c r="B464" s="7">
        <v>113</v>
      </c>
      <c r="C464" s="7">
        <v>20.399999999999999</v>
      </c>
      <c r="D464" s="7">
        <v>47.6</v>
      </c>
      <c r="E464" s="7">
        <v>7.6</v>
      </c>
      <c r="F464" s="7">
        <v>27.3</v>
      </c>
      <c r="G464" s="7">
        <v>22.5</v>
      </c>
      <c r="H464" s="7">
        <v>220.2</v>
      </c>
      <c r="I464" s="7">
        <v>71.8</v>
      </c>
      <c r="J464" s="7">
        <v>39.299999999999997</v>
      </c>
      <c r="K464" s="7">
        <v>186.2</v>
      </c>
      <c r="L464" s="7">
        <v>108.1</v>
      </c>
      <c r="M464" s="7">
        <v>185.3</v>
      </c>
      <c r="N464" s="7">
        <v>266</v>
      </c>
      <c r="O464" s="7">
        <v>84</v>
      </c>
      <c r="P464" s="7">
        <v>126.9</v>
      </c>
      <c r="Q464" s="7">
        <v>7</v>
      </c>
    </row>
    <row r="465" spans="1:17">
      <c r="A465" s="2">
        <v>2413</v>
      </c>
      <c r="B465" s="7">
        <v>113</v>
      </c>
      <c r="C465" s="7">
        <v>20.399999999999999</v>
      </c>
      <c r="D465" s="7">
        <v>47.6</v>
      </c>
      <c r="E465" s="7">
        <v>7.6</v>
      </c>
      <c r="F465" s="7">
        <v>27.3</v>
      </c>
      <c r="G465" s="7">
        <v>22.5</v>
      </c>
      <c r="H465" s="7">
        <v>220.2</v>
      </c>
      <c r="I465" s="7">
        <v>71.8</v>
      </c>
      <c r="J465" s="7">
        <v>39.299999999999997</v>
      </c>
      <c r="K465" s="7">
        <v>186.2</v>
      </c>
      <c r="L465" s="7">
        <v>108.1</v>
      </c>
      <c r="M465" s="7">
        <v>185.3</v>
      </c>
      <c r="N465" s="7">
        <v>266</v>
      </c>
      <c r="O465" s="7">
        <v>84</v>
      </c>
      <c r="P465" s="7">
        <v>126.9</v>
      </c>
      <c r="Q465" s="7">
        <v>7</v>
      </c>
    </row>
    <row r="466" spans="1:17">
      <c r="A466" s="2">
        <v>2414</v>
      </c>
      <c r="B466" s="7">
        <v>113</v>
      </c>
      <c r="C466" s="7">
        <v>20.399999999999999</v>
      </c>
      <c r="D466" s="7">
        <v>47.6</v>
      </c>
      <c r="E466" s="7">
        <v>7.6</v>
      </c>
      <c r="F466" s="7">
        <v>27.3</v>
      </c>
      <c r="G466" s="7">
        <v>22.5</v>
      </c>
      <c r="H466" s="7">
        <v>220.2</v>
      </c>
      <c r="I466" s="7">
        <v>71.8</v>
      </c>
      <c r="J466" s="7">
        <v>39.299999999999997</v>
      </c>
      <c r="K466" s="7">
        <v>186.2</v>
      </c>
      <c r="L466" s="7">
        <v>108.1</v>
      </c>
      <c r="M466" s="7">
        <v>185.3</v>
      </c>
      <c r="N466" s="7">
        <v>266</v>
      </c>
      <c r="O466" s="7">
        <v>84</v>
      </c>
      <c r="P466" s="7">
        <v>126.9</v>
      </c>
      <c r="Q466" s="7">
        <v>7</v>
      </c>
    </row>
    <row r="467" spans="1:17">
      <c r="A467" s="2">
        <v>2415</v>
      </c>
      <c r="B467" s="7">
        <v>113</v>
      </c>
      <c r="C467" s="7">
        <v>20.399999999999999</v>
      </c>
      <c r="D467" s="7">
        <v>47.6</v>
      </c>
      <c r="E467" s="7">
        <v>7.6</v>
      </c>
      <c r="F467" s="7">
        <v>27.3</v>
      </c>
      <c r="G467" s="7">
        <v>22.5</v>
      </c>
      <c r="H467" s="7">
        <v>220.2</v>
      </c>
      <c r="I467" s="7">
        <v>71.8</v>
      </c>
      <c r="J467" s="7">
        <v>39.299999999999997</v>
      </c>
      <c r="K467" s="7">
        <v>186.2</v>
      </c>
      <c r="L467" s="7">
        <v>108.1</v>
      </c>
      <c r="M467" s="7">
        <v>185.3</v>
      </c>
      <c r="N467" s="7">
        <v>266</v>
      </c>
      <c r="O467" s="7">
        <v>84</v>
      </c>
      <c r="P467" s="7">
        <v>126.9</v>
      </c>
      <c r="Q467" s="7">
        <v>7</v>
      </c>
    </row>
    <row r="468" spans="1:17">
      <c r="A468" s="2">
        <v>2416</v>
      </c>
      <c r="B468" s="7">
        <v>113</v>
      </c>
      <c r="C468" s="7">
        <v>20.399999999999999</v>
      </c>
      <c r="D468" s="7">
        <v>47.6</v>
      </c>
      <c r="E468" s="7">
        <v>7.6</v>
      </c>
      <c r="F468" s="7">
        <v>27.3</v>
      </c>
      <c r="G468" s="7">
        <v>22.5</v>
      </c>
      <c r="H468" s="7">
        <v>220.2</v>
      </c>
      <c r="I468" s="7">
        <v>71.8</v>
      </c>
      <c r="J468" s="7">
        <v>39.299999999999997</v>
      </c>
      <c r="K468" s="7">
        <v>186.2</v>
      </c>
      <c r="L468" s="7">
        <v>108.1</v>
      </c>
      <c r="M468" s="7">
        <v>185.3</v>
      </c>
      <c r="N468" s="7">
        <v>266</v>
      </c>
      <c r="O468" s="7">
        <v>84</v>
      </c>
      <c r="P468" s="7">
        <v>126.9</v>
      </c>
      <c r="Q468" s="7">
        <v>7</v>
      </c>
    </row>
    <row r="469" spans="1:17">
      <c r="A469" s="2">
        <v>2417</v>
      </c>
      <c r="B469" s="7">
        <v>113</v>
      </c>
      <c r="C469" s="7">
        <v>20.399999999999999</v>
      </c>
      <c r="D469" s="7">
        <v>47.6</v>
      </c>
      <c r="E469" s="7">
        <v>7.6</v>
      </c>
      <c r="F469" s="7">
        <v>27.3</v>
      </c>
      <c r="G469" s="7">
        <v>22.5</v>
      </c>
      <c r="H469" s="7">
        <v>220.2</v>
      </c>
      <c r="I469" s="7">
        <v>71.8</v>
      </c>
      <c r="J469" s="7">
        <v>39.299999999999997</v>
      </c>
      <c r="K469" s="7">
        <v>186.2</v>
      </c>
      <c r="L469" s="7">
        <v>108.1</v>
      </c>
      <c r="M469" s="7">
        <v>185.3</v>
      </c>
      <c r="N469" s="7">
        <v>266</v>
      </c>
      <c r="O469" s="7">
        <v>84</v>
      </c>
      <c r="P469" s="7">
        <v>126.9</v>
      </c>
      <c r="Q469" s="7">
        <v>7</v>
      </c>
    </row>
    <row r="470" spans="1:17">
      <c r="A470" s="2">
        <v>2418</v>
      </c>
      <c r="B470" s="7">
        <v>113</v>
      </c>
      <c r="C470" s="7">
        <v>20.399999999999999</v>
      </c>
      <c r="D470" s="7">
        <v>47.6</v>
      </c>
      <c r="E470" s="7">
        <v>7.6</v>
      </c>
      <c r="F470" s="7">
        <v>27.3</v>
      </c>
      <c r="G470" s="7">
        <v>22.5</v>
      </c>
      <c r="H470" s="7">
        <v>220.2</v>
      </c>
      <c r="I470" s="7">
        <v>71.8</v>
      </c>
      <c r="J470" s="7">
        <v>39.299999999999997</v>
      </c>
      <c r="K470" s="7">
        <v>186.2</v>
      </c>
      <c r="L470" s="7">
        <v>108.1</v>
      </c>
      <c r="M470" s="7">
        <v>185.3</v>
      </c>
      <c r="N470" s="7">
        <v>266</v>
      </c>
      <c r="O470" s="7">
        <v>84</v>
      </c>
      <c r="P470" s="7">
        <v>126.9</v>
      </c>
      <c r="Q470" s="7">
        <v>7</v>
      </c>
    </row>
    <row r="471" spans="1:17">
      <c r="A471" s="2">
        <v>2419</v>
      </c>
      <c r="B471" s="7">
        <v>113</v>
      </c>
      <c r="C471" s="7">
        <v>20.399999999999999</v>
      </c>
      <c r="D471" s="7">
        <v>47.6</v>
      </c>
      <c r="E471" s="7">
        <v>7.6</v>
      </c>
      <c r="F471" s="7">
        <v>27.3</v>
      </c>
      <c r="G471" s="7">
        <v>22.5</v>
      </c>
      <c r="H471" s="7">
        <v>220.2</v>
      </c>
      <c r="I471" s="7">
        <v>71.8</v>
      </c>
      <c r="J471" s="7">
        <v>39.299999999999997</v>
      </c>
      <c r="K471" s="7">
        <v>186.2</v>
      </c>
      <c r="L471" s="7">
        <v>108.1</v>
      </c>
      <c r="M471" s="7">
        <v>185.3</v>
      </c>
      <c r="N471" s="7">
        <v>266</v>
      </c>
      <c r="O471" s="7">
        <v>84</v>
      </c>
      <c r="P471" s="7">
        <v>126.9</v>
      </c>
      <c r="Q471" s="7">
        <v>7</v>
      </c>
    </row>
    <row r="472" spans="1:17">
      <c r="A472" s="2">
        <v>2420</v>
      </c>
      <c r="B472" s="7">
        <v>113</v>
      </c>
      <c r="C472" s="7">
        <v>20.399999999999999</v>
      </c>
      <c r="D472" s="7">
        <v>47.6</v>
      </c>
      <c r="E472" s="7">
        <v>7.6</v>
      </c>
      <c r="F472" s="7">
        <v>27.3</v>
      </c>
      <c r="G472" s="7">
        <v>22.5</v>
      </c>
      <c r="H472" s="7">
        <v>220.2</v>
      </c>
      <c r="I472" s="7">
        <v>71.8</v>
      </c>
      <c r="J472" s="7">
        <v>39.299999999999997</v>
      </c>
      <c r="K472" s="7">
        <v>186.2</v>
      </c>
      <c r="L472" s="7">
        <v>108.1</v>
      </c>
      <c r="M472" s="7">
        <v>185.3</v>
      </c>
      <c r="N472" s="7">
        <v>266</v>
      </c>
      <c r="O472" s="7">
        <v>84</v>
      </c>
      <c r="P472" s="7">
        <v>126.9</v>
      </c>
      <c r="Q472" s="7">
        <v>7</v>
      </c>
    </row>
    <row r="473" spans="1:17">
      <c r="A473" s="2">
        <v>2421</v>
      </c>
      <c r="B473" s="7">
        <v>113</v>
      </c>
      <c r="C473" s="7">
        <v>20.399999999999999</v>
      </c>
      <c r="D473" s="7">
        <v>47.6</v>
      </c>
      <c r="E473" s="7">
        <v>7.6</v>
      </c>
      <c r="F473" s="7">
        <v>27.3</v>
      </c>
      <c r="G473" s="7">
        <v>22.5</v>
      </c>
      <c r="H473" s="7">
        <v>220.2</v>
      </c>
      <c r="I473" s="7">
        <v>71.8</v>
      </c>
      <c r="J473" s="7">
        <v>39.299999999999997</v>
      </c>
      <c r="K473" s="7">
        <v>186.2</v>
      </c>
      <c r="L473" s="7">
        <v>108.1</v>
      </c>
      <c r="M473" s="7">
        <v>185.3</v>
      </c>
      <c r="N473" s="7">
        <v>266</v>
      </c>
      <c r="O473" s="7">
        <v>84</v>
      </c>
      <c r="P473" s="7">
        <v>126.9</v>
      </c>
      <c r="Q473" s="7">
        <v>7</v>
      </c>
    </row>
    <row r="474" spans="1:17">
      <c r="A474" s="2">
        <v>2422</v>
      </c>
      <c r="B474" s="7">
        <v>113</v>
      </c>
      <c r="C474" s="7">
        <v>20.399999999999999</v>
      </c>
      <c r="D474" s="7">
        <v>47.6</v>
      </c>
      <c r="E474" s="7">
        <v>7.6</v>
      </c>
      <c r="F474" s="7">
        <v>27.3</v>
      </c>
      <c r="G474" s="7">
        <v>22.5</v>
      </c>
      <c r="H474" s="7">
        <v>220.2</v>
      </c>
      <c r="I474" s="7">
        <v>71.8</v>
      </c>
      <c r="J474" s="7">
        <v>39.299999999999997</v>
      </c>
      <c r="K474" s="7">
        <v>186.2</v>
      </c>
      <c r="L474" s="7">
        <v>108.1</v>
      </c>
      <c r="M474" s="7">
        <v>185.3</v>
      </c>
      <c r="N474" s="7">
        <v>266</v>
      </c>
      <c r="O474" s="7">
        <v>84</v>
      </c>
      <c r="P474" s="7">
        <v>126.9</v>
      </c>
      <c r="Q474" s="7">
        <v>7</v>
      </c>
    </row>
    <row r="475" spans="1:17">
      <c r="A475" s="2">
        <v>2423</v>
      </c>
      <c r="B475" s="7">
        <v>113</v>
      </c>
      <c r="C475" s="7">
        <v>20.399999999999999</v>
      </c>
      <c r="D475" s="7">
        <v>47.6</v>
      </c>
      <c r="E475" s="7">
        <v>7.6</v>
      </c>
      <c r="F475" s="7">
        <v>27.3</v>
      </c>
      <c r="G475" s="7">
        <v>22.5</v>
      </c>
      <c r="H475" s="7">
        <v>220.2</v>
      </c>
      <c r="I475" s="7">
        <v>71.8</v>
      </c>
      <c r="J475" s="7">
        <v>39.299999999999997</v>
      </c>
      <c r="K475" s="7">
        <v>186.2</v>
      </c>
      <c r="L475" s="7">
        <v>108.1</v>
      </c>
      <c r="M475" s="7">
        <v>185.3</v>
      </c>
      <c r="N475" s="7">
        <v>266</v>
      </c>
      <c r="O475" s="7">
        <v>84</v>
      </c>
      <c r="P475" s="7">
        <v>126.9</v>
      </c>
      <c r="Q475" s="7">
        <v>7</v>
      </c>
    </row>
    <row r="476" spans="1:17">
      <c r="A476" s="2">
        <v>2424</v>
      </c>
      <c r="B476" s="7">
        <v>113</v>
      </c>
      <c r="C476" s="7">
        <v>20.399999999999999</v>
      </c>
      <c r="D476" s="7">
        <v>47.6</v>
      </c>
      <c r="E476" s="7">
        <v>7.6</v>
      </c>
      <c r="F476" s="7">
        <v>27.3</v>
      </c>
      <c r="G476" s="7">
        <v>22.5</v>
      </c>
      <c r="H476" s="7">
        <v>220.2</v>
      </c>
      <c r="I476" s="7">
        <v>71.8</v>
      </c>
      <c r="J476" s="7">
        <v>39.299999999999997</v>
      </c>
      <c r="K476" s="7">
        <v>186.2</v>
      </c>
      <c r="L476" s="7">
        <v>108.1</v>
      </c>
      <c r="M476" s="7">
        <v>185.3</v>
      </c>
      <c r="N476" s="7">
        <v>266</v>
      </c>
      <c r="O476" s="7">
        <v>84</v>
      </c>
      <c r="P476" s="7">
        <v>126.9</v>
      </c>
      <c r="Q476" s="7">
        <v>7</v>
      </c>
    </row>
    <row r="477" spans="1:17">
      <c r="A477" s="2">
        <v>2425</v>
      </c>
      <c r="B477" s="7">
        <v>113</v>
      </c>
      <c r="C477" s="7">
        <v>20.399999999999999</v>
      </c>
      <c r="D477" s="7">
        <v>47.6</v>
      </c>
      <c r="E477" s="7">
        <v>7.6</v>
      </c>
      <c r="F477" s="7">
        <v>27.3</v>
      </c>
      <c r="G477" s="7">
        <v>22.5</v>
      </c>
      <c r="H477" s="7">
        <v>220.2</v>
      </c>
      <c r="I477" s="7">
        <v>71.8</v>
      </c>
      <c r="J477" s="7">
        <v>39.299999999999997</v>
      </c>
      <c r="K477" s="7">
        <v>186.2</v>
      </c>
      <c r="L477" s="7">
        <v>108.1</v>
      </c>
      <c r="M477" s="7">
        <v>185.3</v>
      </c>
      <c r="N477" s="7">
        <v>266</v>
      </c>
      <c r="O477" s="7">
        <v>84</v>
      </c>
      <c r="P477" s="7">
        <v>126.9</v>
      </c>
      <c r="Q477" s="7">
        <v>7</v>
      </c>
    </row>
    <row r="478" spans="1:17">
      <c r="A478" s="2">
        <v>2426</v>
      </c>
      <c r="B478" s="7">
        <v>113</v>
      </c>
      <c r="C478" s="7">
        <v>20.399999999999999</v>
      </c>
      <c r="D478" s="7">
        <v>47.6</v>
      </c>
      <c r="E478" s="7">
        <v>7.6</v>
      </c>
      <c r="F478" s="7">
        <v>27.3</v>
      </c>
      <c r="G478" s="7">
        <v>22.5</v>
      </c>
      <c r="H478" s="7">
        <v>220.2</v>
      </c>
      <c r="I478" s="7">
        <v>71.8</v>
      </c>
      <c r="J478" s="7">
        <v>39.299999999999997</v>
      </c>
      <c r="K478" s="7">
        <v>186.2</v>
      </c>
      <c r="L478" s="7">
        <v>108.1</v>
      </c>
      <c r="M478" s="7">
        <v>185.3</v>
      </c>
      <c r="N478" s="7">
        <v>266</v>
      </c>
      <c r="O478" s="7">
        <v>84</v>
      </c>
      <c r="P478" s="7">
        <v>126.9</v>
      </c>
      <c r="Q478" s="7">
        <v>7</v>
      </c>
    </row>
    <row r="479" spans="1:17">
      <c r="A479" s="2">
        <v>2427</v>
      </c>
      <c r="B479" s="7">
        <v>113</v>
      </c>
      <c r="C479" s="7">
        <v>20.399999999999999</v>
      </c>
      <c r="D479" s="7">
        <v>47.6</v>
      </c>
      <c r="E479" s="7">
        <v>7.6</v>
      </c>
      <c r="F479" s="7">
        <v>27.3</v>
      </c>
      <c r="G479" s="7">
        <v>22.5</v>
      </c>
      <c r="H479" s="7">
        <v>220.2</v>
      </c>
      <c r="I479" s="7">
        <v>71.8</v>
      </c>
      <c r="J479" s="7">
        <v>39.299999999999997</v>
      </c>
      <c r="K479" s="7">
        <v>186.2</v>
      </c>
      <c r="L479" s="7">
        <v>108.1</v>
      </c>
      <c r="M479" s="7">
        <v>185.3</v>
      </c>
      <c r="N479" s="7">
        <v>266</v>
      </c>
      <c r="O479" s="7">
        <v>84</v>
      </c>
      <c r="P479" s="7">
        <v>126.9</v>
      </c>
      <c r="Q479" s="7">
        <v>7</v>
      </c>
    </row>
    <row r="480" spans="1:17">
      <c r="A480" s="2">
        <v>2428</v>
      </c>
      <c r="B480" s="7">
        <v>113</v>
      </c>
      <c r="C480" s="7">
        <v>20.399999999999999</v>
      </c>
      <c r="D480" s="7">
        <v>47.6</v>
      </c>
      <c r="E480" s="7">
        <v>7.6</v>
      </c>
      <c r="F480" s="7">
        <v>27.3</v>
      </c>
      <c r="G480" s="7">
        <v>22.5</v>
      </c>
      <c r="H480" s="7">
        <v>220.2</v>
      </c>
      <c r="I480" s="7">
        <v>71.8</v>
      </c>
      <c r="J480" s="7">
        <v>39.299999999999997</v>
      </c>
      <c r="K480" s="7">
        <v>186.2</v>
      </c>
      <c r="L480" s="7">
        <v>108.1</v>
      </c>
      <c r="M480" s="7">
        <v>185.3</v>
      </c>
      <c r="N480" s="7">
        <v>266</v>
      </c>
      <c r="O480" s="7">
        <v>84</v>
      </c>
      <c r="P480" s="7">
        <v>126.9</v>
      </c>
      <c r="Q480" s="7">
        <v>7</v>
      </c>
    </row>
    <row r="481" spans="1:17">
      <c r="A481" s="2">
        <v>2429</v>
      </c>
      <c r="B481" s="7">
        <v>113</v>
      </c>
      <c r="C481" s="7">
        <v>20.399999999999999</v>
      </c>
      <c r="D481" s="7">
        <v>47.6</v>
      </c>
      <c r="E481" s="7">
        <v>7.6</v>
      </c>
      <c r="F481" s="7">
        <v>27.3</v>
      </c>
      <c r="G481" s="7">
        <v>22.5</v>
      </c>
      <c r="H481" s="7">
        <v>220.2</v>
      </c>
      <c r="I481" s="7">
        <v>71.8</v>
      </c>
      <c r="J481" s="7">
        <v>39.299999999999997</v>
      </c>
      <c r="K481" s="7">
        <v>186.2</v>
      </c>
      <c r="L481" s="7">
        <v>108.1</v>
      </c>
      <c r="M481" s="7">
        <v>185.3</v>
      </c>
      <c r="N481" s="7">
        <v>266</v>
      </c>
      <c r="O481" s="7">
        <v>84</v>
      </c>
      <c r="P481" s="7">
        <v>126.9</v>
      </c>
      <c r="Q481" s="7">
        <v>7</v>
      </c>
    </row>
    <row r="482" spans="1:17">
      <c r="A482" s="2">
        <v>2430</v>
      </c>
      <c r="B482" s="7">
        <v>113</v>
      </c>
      <c r="C482" s="7">
        <v>20.399999999999999</v>
      </c>
      <c r="D482" s="7">
        <v>47.6</v>
      </c>
      <c r="E482" s="7">
        <v>7.6</v>
      </c>
      <c r="F482" s="7">
        <v>27.3</v>
      </c>
      <c r="G482" s="7">
        <v>22.5</v>
      </c>
      <c r="H482" s="7">
        <v>220.2</v>
      </c>
      <c r="I482" s="7">
        <v>71.8</v>
      </c>
      <c r="J482" s="7">
        <v>39.299999999999997</v>
      </c>
      <c r="K482" s="7">
        <v>186.2</v>
      </c>
      <c r="L482" s="7">
        <v>108.1</v>
      </c>
      <c r="M482" s="7">
        <v>185.3</v>
      </c>
      <c r="N482" s="7">
        <v>266</v>
      </c>
      <c r="O482" s="7">
        <v>84</v>
      </c>
      <c r="P482" s="7">
        <v>126.9</v>
      </c>
      <c r="Q482" s="7">
        <v>7</v>
      </c>
    </row>
    <row r="483" spans="1:17">
      <c r="A483" s="2">
        <v>2431</v>
      </c>
      <c r="B483" s="7">
        <v>113</v>
      </c>
      <c r="C483" s="7">
        <v>20.399999999999999</v>
      </c>
      <c r="D483" s="7">
        <v>47.6</v>
      </c>
      <c r="E483" s="7">
        <v>7.6</v>
      </c>
      <c r="F483" s="7">
        <v>27.3</v>
      </c>
      <c r="G483" s="7">
        <v>22.5</v>
      </c>
      <c r="H483" s="7">
        <v>220.2</v>
      </c>
      <c r="I483" s="7">
        <v>71.8</v>
      </c>
      <c r="J483" s="7">
        <v>39.299999999999997</v>
      </c>
      <c r="K483" s="7">
        <v>186.2</v>
      </c>
      <c r="L483" s="7">
        <v>108.1</v>
      </c>
      <c r="M483" s="7">
        <v>185.3</v>
      </c>
      <c r="N483" s="7">
        <v>266</v>
      </c>
      <c r="O483" s="7">
        <v>84</v>
      </c>
      <c r="P483" s="7">
        <v>126.9</v>
      </c>
      <c r="Q483" s="7">
        <v>7</v>
      </c>
    </row>
    <row r="484" spans="1:17">
      <c r="A484" s="2">
        <v>2432</v>
      </c>
      <c r="B484" s="7">
        <v>113</v>
      </c>
      <c r="C484" s="7">
        <v>20.399999999999999</v>
      </c>
      <c r="D484" s="7">
        <v>47.6</v>
      </c>
      <c r="E484" s="7">
        <v>7.6</v>
      </c>
      <c r="F484" s="7">
        <v>27.3</v>
      </c>
      <c r="G484" s="7">
        <v>22.5</v>
      </c>
      <c r="H484" s="7">
        <v>220.2</v>
      </c>
      <c r="I484" s="7">
        <v>71.8</v>
      </c>
      <c r="J484" s="7">
        <v>39.299999999999997</v>
      </c>
      <c r="K484" s="7">
        <v>186.2</v>
      </c>
      <c r="L484" s="7">
        <v>108.1</v>
      </c>
      <c r="M484" s="7">
        <v>185.3</v>
      </c>
      <c r="N484" s="7">
        <v>266</v>
      </c>
      <c r="O484" s="7">
        <v>84</v>
      </c>
      <c r="P484" s="7">
        <v>126.9</v>
      </c>
      <c r="Q484" s="7">
        <v>7</v>
      </c>
    </row>
    <row r="485" spans="1:17">
      <c r="A485" s="2">
        <v>2433</v>
      </c>
      <c r="B485" s="7">
        <v>113</v>
      </c>
      <c r="C485" s="7">
        <v>20.399999999999999</v>
      </c>
      <c r="D485" s="7">
        <v>47.6</v>
      </c>
      <c r="E485" s="7">
        <v>7.6</v>
      </c>
      <c r="F485" s="7">
        <v>27.3</v>
      </c>
      <c r="G485" s="7">
        <v>22.5</v>
      </c>
      <c r="H485" s="7">
        <v>220.2</v>
      </c>
      <c r="I485" s="7">
        <v>71.8</v>
      </c>
      <c r="J485" s="7">
        <v>39.299999999999997</v>
      </c>
      <c r="K485" s="7">
        <v>186.2</v>
      </c>
      <c r="L485" s="7">
        <v>108.1</v>
      </c>
      <c r="M485" s="7">
        <v>185.3</v>
      </c>
      <c r="N485" s="7">
        <v>266</v>
      </c>
      <c r="O485" s="7">
        <v>84</v>
      </c>
      <c r="P485" s="7">
        <v>126.9</v>
      </c>
      <c r="Q485" s="7">
        <v>7</v>
      </c>
    </row>
    <row r="486" spans="1:17">
      <c r="A486" s="2">
        <v>2434</v>
      </c>
      <c r="B486" s="7">
        <v>113</v>
      </c>
      <c r="C486" s="7">
        <v>20.399999999999999</v>
      </c>
      <c r="D486" s="7">
        <v>47.6</v>
      </c>
      <c r="E486" s="7">
        <v>7.6</v>
      </c>
      <c r="F486" s="7">
        <v>27.3</v>
      </c>
      <c r="G486" s="7">
        <v>22.5</v>
      </c>
      <c r="H486" s="7">
        <v>220.2</v>
      </c>
      <c r="I486" s="7">
        <v>71.8</v>
      </c>
      <c r="J486" s="7">
        <v>39.299999999999997</v>
      </c>
      <c r="K486" s="7">
        <v>186.2</v>
      </c>
      <c r="L486" s="7">
        <v>108.1</v>
      </c>
      <c r="M486" s="7">
        <v>185.3</v>
      </c>
      <c r="N486" s="7">
        <v>266</v>
      </c>
      <c r="O486" s="7">
        <v>84</v>
      </c>
      <c r="P486" s="7">
        <v>126.9</v>
      </c>
      <c r="Q486" s="7">
        <v>7</v>
      </c>
    </row>
    <row r="487" spans="1:17">
      <c r="A487" s="2">
        <v>2435</v>
      </c>
      <c r="B487" s="7">
        <v>113</v>
      </c>
      <c r="C487" s="7">
        <v>20.399999999999999</v>
      </c>
      <c r="D487" s="7">
        <v>47.6</v>
      </c>
      <c r="E487" s="7">
        <v>7.6</v>
      </c>
      <c r="F487" s="7">
        <v>27.3</v>
      </c>
      <c r="G487" s="7">
        <v>22.5</v>
      </c>
      <c r="H487" s="7">
        <v>220.2</v>
      </c>
      <c r="I487" s="7">
        <v>71.8</v>
      </c>
      <c r="J487" s="7">
        <v>39.299999999999997</v>
      </c>
      <c r="K487" s="7">
        <v>186.2</v>
      </c>
      <c r="L487" s="7">
        <v>108.1</v>
      </c>
      <c r="M487" s="7">
        <v>185.3</v>
      </c>
      <c r="N487" s="7">
        <v>266</v>
      </c>
      <c r="O487" s="7">
        <v>84</v>
      </c>
      <c r="P487" s="7">
        <v>126.9</v>
      </c>
      <c r="Q487" s="7">
        <v>7</v>
      </c>
    </row>
    <row r="488" spans="1:17">
      <c r="A488" s="2">
        <v>2436</v>
      </c>
      <c r="B488" s="7">
        <v>113</v>
      </c>
      <c r="C488" s="7">
        <v>20.399999999999999</v>
      </c>
      <c r="D488" s="7">
        <v>47.6</v>
      </c>
      <c r="E488" s="7">
        <v>7.6</v>
      </c>
      <c r="F488" s="7">
        <v>27.3</v>
      </c>
      <c r="G488" s="7">
        <v>22.5</v>
      </c>
      <c r="H488" s="7">
        <v>220.2</v>
      </c>
      <c r="I488" s="7">
        <v>71.8</v>
      </c>
      <c r="J488" s="7">
        <v>39.299999999999997</v>
      </c>
      <c r="K488" s="7">
        <v>186.2</v>
      </c>
      <c r="L488" s="7">
        <v>108.1</v>
      </c>
      <c r="M488" s="7">
        <v>185.3</v>
      </c>
      <c r="N488" s="7">
        <v>266</v>
      </c>
      <c r="O488" s="7">
        <v>84</v>
      </c>
      <c r="P488" s="7">
        <v>126.9</v>
      </c>
      <c r="Q488" s="7">
        <v>7</v>
      </c>
    </row>
    <row r="489" spans="1:17">
      <c r="A489" s="2">
        <v>2437</v>
      </c>
      <c r="B489" s="7">
        <v>113</v>
      </c>
      <c r="C489" s="7">
        <v>20.399999999999999</v>
      </c>
      <c r="D489" s="7">
        <v>47.6</v>
      </c>
      <c r="E489" s="7">
        <v>7.6</v>
      </c>
      <c r="F489" s="7">
        <v>27.3</v>
      </c>
      <c r="G489" s="7">
        <v>22.5</v>
      </c>
      <c r="H489" s="7">
        <v>220.2</v>
      </c>
      <c r="I489" s="7">
        <v>71.8</v>
      </c>
      <c r="J489" s="7">
        <v>39.299999999999997</v>
      </c>
      <c r="K489" s="7">
        <v>186.2</v>
      </c>
      <c r="L489" s="7">
        <v>108.1</v>
      </c>
      <c r="M489" s="7">
        <v>185.3</v>
      </c>
      <c r="N489" s="7">
        <v>266</v>
      </c>
      <c r="O489" s="7">
        <v>84</v>
      </c>
      <c r="P489" s="7">
        <v>126.9</v>
      </c>
      <c r="Q489" s="7">
        <v>7</v>
      </c>
    </row>
    <row r="490" spans="1:17">
      <c r="A490" s="2">
        <v>2438</v>
      </c>
      <c r="B490" s="7">
        <v>113</v>
      </c>
      <c r="C490" s="7">
        <v>20.399999999999999</v>
      </c>
      <c r="D490" s="7">
        <v>47.6</v>
      </c>
      <c r="E490" s="7">
        <v>7.6</v>
      </c>
      <c r="F490" s="7">
        <v>27.3</v>
      </c>
      <c r="G490" s="7">
        <v>22.5</v>
      </c>
      <c r="H490" s="7">
        <v>220.2</v>
      </c>
      <c r="I490" s="7">
        <v>71.8</v>
      </c>
      <c r="J490" s="7">
        <v>39.299999999999997</v>
      </c>
      <c r="K490" s="7">
        <v>186.2</v>
      </c>
      <c r="L490" s="7">
        <v>108.1</v>
      </c>
      <c r="M490" s="7">
        <v>185.3</v>
      </c>
      <c r="N490" s="7">
        <v>266</v>
      </c>
      <c r="O490" s="7">
        <v>84</v>
      </c>
      <c r="P490" s="7">
        <v>126.9</v>
      </c>
      <c r="Q490" s="7">
        <v>7</v>
      </c>
    </row>
    <row r="491" spans="1:17">
      <c r="A491" s="2">
        <v>2439</v>
      </c>
      <c r="B491" s="7">
        <v>113</v>
      </c>
      <c r="C491" s="7">
        <v>20.399999999999999</v>
      </c>
      <c r="D491" s="7">
        <v>47.6</v>
      </c>
      <c r="E491" s="7">
        <v>7.6</v>
      </c>
      <c r="F491" s="7">
        <v>27.3</v>
      </c>
      <c r="G491" s="7">
        <v>22.5</v>
      </c>
      <c r="H491" s="7">
        <v>220.2</v>
      </c>
      <c r="I491" s="7">
        <v>71.8</v>
      </c>
      <c r="J491" s="7">
        <v>39.299999999999997</v>
      </c>
      <c r="K491" s="7">
        <v>186.2</v>
      </c>
      <c r="L491" s="7">
        <v>108.1</v>
      </c>
      <c r="M491" s="7">
        <v>185.3</v>
      </c>
      <c r="N491" s="7">
        <v>266</v>
      </c>
      <c r="O491" s="7">
        <v>84</v>
      </c>
      <c r="P491" s="7">
        <v>126.9</v>
      </c>
      <c r="Q491" s="7">
        <v>7</v>
      </c>
    </row>
    <row r="492" spans="1:17">
      <c r="A492" s="2">
        <v>2440</v>
      </c>
      <c r="B492" s="7">
        <v>113</v>
      </c>
      <c r="C492" s="7">
        <v>20.399999999999999</v>
      </c>
      <c r="D492" s="7">
        <v>47.6</v>
      </c>
      <c r="E492" s="7">
        <v>7.6</v>
      </c>
      <c r="F492" s="7">
        <v>27.3</v>
      </c>
      <c r="G492" s="7">
        <v>22.5</v>
      </c>
      <c r="H492" s="7">
        <v>220.2</v>
      </c>
      <c r="I492" s="7">
        <v>71.8</v>
      </c>
      <c r="J492" s="7">
        <v>39.299999999999997</v>
      </c>
      <c r="K492" s="7">
        <v>186.2</v>
      </c>
      <c r="L492" s="7">
        <v>108.1</v>
      </c>
      <c r="M492" s="7">
        <v>185.3</v>
      </c>
      <c r="N492" s="7">
        <v>266</v>
      </c>
      <c r="O492" s="7">
        <v>84</v>
      </c>
      <c r="P492" s="7">
        <v>126.9</v>
      </c>
      <c r="Q492" s="7">
        <v>7</v>
      </c>
    </row>
    <row r="493" spans="1:17">
      <c r="A493" s="2">
        <v>2441</v>
      </c>
      <c r="B493" s="7">
        <v>113</v>
      </c>
      <c r="C493" s="7">
        <v>20.399999999999999</v>
      </c>
      <c r="D493" s="7">
        <v>47.6</v>
      </c>
      <c r="E493" s="7">
        <v>7.6</v>
      </c>
      <c r="F493" s="7">
        <v>27.3</v>
      </c>
      <c r="G493" s="7">
        <v>22.5</v>
      </c>
      <c r="H493" s="7">
        <v>220.2</v>
      </c>
      <c r="I493" s="7">
        <v>71.8</v>
      </c>
      <c r="J493" s="7">
        <v>39.299999999999997</v>
      </c>
      <c r="K493" s="7">
        <v>186.2</v>
      </c>
      <c r="L493" s="7">
        <v>108.1</v>
      </c>
      <c r="M493" s="7">
        <v>185.3</v>
      </c>
      <c r="N493" s="7">
        <v>266</v>
      </c>
      <c r="O493" s="7">
        <v>84</v>
      </c>
      <c r="P493" s="7">
        <v>126.9</v>
      </c>
      <c r="Q493" s="7">
        <v>7</v>
      </c>
    </row>
    <row r="494" spans="1:17">
      <c r="A494" s="2">
        <v>2442</v>
      </c>
      <c r="B494" s="7">
        <v>113</v>
      </c>
      <c r="C494" s="7">
        <v>20.399999999999999</v>
      </c>
      <c r="D494" s="7">
        <v>47.6</v>
      </c>
      <c r="E494" s="7">
        <v>7.6</v>
      </c>
      <c r="F494" s="7">
        <v>27.3</v>
      </c>
      <c r="G494" s="7">
        <v>22.5</v>
      </c>
      <c r="H494" s="7">
        <v>220.2</v>
      </c>
      <c r="I494" s="7">
        <v>71.8</v>
      </c>
      <c r="J494" s="7">
        <v>39.299999999999997</v>
      </c>
      <c r="K494" s="7">
        <v>186.2</v>
      </c>
      <c r="L494" s="7">
        <v>108.1</v>
      </c>
      <c r="M494" s="7">
        <v>185.3</v>
      </c>
      <c r="N494" s="7">
        <v>266</v>
      </c>
      <c r="O494" s="7">
        <v>84</v>
      </c>
      <c r="P494" s="7">
        <v>126.9</v>
      </c>
      <c r="Q494" s="7">
        <v>7</v>
      </c>
    </row>
    <row r="495" spans="1:17">
      <c r="A495" s="2">
        <v>2443</v>
      </c>
      <c r="B495" s="7">
        <v>113</v>
      </c>
      <c r="C495" s="7">
        <v>20.399999999999999</v>
      </c>
      <c r="D495" s="7">
        <v>47.6</v>
      </c>
      <c r="E495" s="7">
        <v>7.6</v>
      </c>
      <c r="F495" s="7">
        <v>27.3</v>
      </c>
      <c r="G495" s="7">
        <v>22.5</v>
      </c>
      <c r="H495" s="7">
        <v>220.2</v>
      </c>
      <c r="I495" s="7">
        <v>71.8</v>
      </c>
      <c r="J495" s="7">
        <v>39.299999999999997</v>
      </c>
      <c r="K495" s="7">
        <v>186.2</v>
      </c>
      <c r="L495" s="7">
        <v>108.1</v>
      </c>
      <c r="M495" s="7">
        <v>185.3</v>
      </c>
      <c r="N495" s="7">
        <v>266</v>
      </c>
      <c r="O495" s="7">
        <v>84</v>
      </c>
      <c r="P495" s="7">
        <v>126.9</v>
      </c>
      <c r="Q495" s="7">
        <v>7</v>
      </c>
    </row>
    <row r="496" spans="1:17">
      <c r="A496" s="2">
        <v>2444</v>
      </c>
      <c r="B496" s="7">
        <v>113</v>
      </c>
      <c r="C496" s="7">
        <v>20.399999999999999</v>
      </c>
      <c r="D496" s="7">
        <v>47.6</v>
      </c>
      <c r="E496" s="7">
        <v>7.6</v>
      </c>
      <c r="F496" s="7">
        <v>27.3</v>
      </c>
      <c r="G496" s="7">
        <v>22.5</v>
      </c>
      <c r="H496" s="7">
        <v>220.2</v>
      </c>
      <c r="I496" s="7">
        <v>71.8</v>
      </c>
      <c r="J496" s="7">
        <v>39.299999999999997</v>
      </c>
      <c r="K496" s="7">
        <v>186.2</v>
      </c>
      <c r="L496" s="7">
        <v>108.1</v>
      </c>
      <c r="M496" s="7">
        <v>185.3</v>
      </c>
      <c r="N496" s="7">
        <v>266</v>
      </c>
      <c r="O496" s="7">
        <v>84</v>
      </c>
      <c r="P496" s="7">
        <v>126.9</v>
      </c>
      <c r="Q496" s="7">
        <v>7</v>
      </c>
    </row>
    <row r="497" spans="1:17">
      <c r="A497" s="2">
        <v>2445</v>
      </c>
      <c r="B497" s="7">
        <v>113</v>
      </c>
      <c r="C497" s="7">
        <v>20.399999999999999</v>
      </c>
      <c r="D497" s="7">
        <v>47.6</v>
      </c>
      <c r="E497" s="7">
        <v>7.6</v>
      </c>
      <c r="F497" s="7">
        <v>27.3</v>
      </c>
      <c r="G497" s="7">
        <v>22.5</v>
      </c>
      <c r="H497" s="7">
        <v>220.2</v>
      </c>
      <c r="I497" s="7">
        <v>71.8</v>
      </c>
      <c r="J497" s="7">
        <v>39.299999999999997</v>
      </c>
      <c r="K497" s="7">
        <v>186.2</v>
      </c>
      <c r="L497" s="7">
        <v>108.1</v>
      </c>
      <c r="M497" s="7">
        <v>185.3</v>
      </c>
      <c r="N497" s="7">
        <v>266</v>
      </c>
      <c r="O497" s="7">
        <v>84</v>
      </c>
      <c r="P497" s="7">
        <v>126.9</v>
      </c>
      <c r="Q497" s="7">
        <v>7</v>
      </c>
    </row>
    <row r="498" spans="1:17">
      <c r="A498" s="2">
        <v>2446</v>
      </c>
      <c r="B498" s="7">
        <v>113</v>
      </c>
      <c r="C498" s="7">
        <v>20.399999999999999</v>
      </c>
      <c r="D498" s="7">
        <v>47.6</v>
      </c>
      <c r="E498" s="7">
        <v>7.6</v>
      </c>
      <c r="F498" s="7">
        <v>27.3</v>
      </c>
      <c r="G498" s="7">
        <v>22.5</v>
      </c>
      <c r="H498" s="7">
        <v>220.2</v>
      </c>
      <c r="I498" s="7">
        <v>71.8</v>
      </c>
      <c r="J498" s="7">
        <v>39.299999999999997</v>
      </c>
      <c r="K498" s="7">
        <v>186.2</v>
      </c>
      <c r="L498" s="7">
        <v>108.1</v>
      </c>
      <c r="M498" s="7">
        <v>185.3</v>
      </c>
      <c r="N498" s="7">
        <v>266</v>
      </c>
      <c r="O498" s="7">
        <v>84</v>
      </c>
      <c r="P498" s="7">
        <v>126.9</v>
      </c>
      <c r="Q498" s="7">
        <v>7</v>
      </c>
    </row>
    <row r="499" spans="1:17">
      <c r="A499" s="2">
        <v>2447</v>
      </c>
      <c r="B499" s="7">
        <v>113</v>
      </c>
      <c r="C499" s="7">
        <v>20.399999999999999</v>
      </c>
      <c r="D499" s="7">
        <v>47.6</v>
      </c>
      <c r="E499" s="7">
        <v>7.6</v>
      </c>
      <c r="F499" s="7">
        <v>27.3</v>
      </c>
      <c r="G499" s="7">
        <v>22.5</v>
      </c>
      <c r="H499" s="7">
        <v>220.2</v>
      </c>
      <c r="I499" s="7">
        <v>71.8</v>
      </c>
      <c r="J499" s="7">
        <v>39.299999999999997</v>
      </c>
      <c r="K499" s="7">
        <v>186.2</v>
      </c>
      <c r="L499" s="7">
        <v>108.1</v>
      </c>
      <c r="M499" s="7">
        <v>185.3</v>
      </c>
      <c r="N499" s="7">
        <v>266</v>
      </c>
      <c r="O499" s="7">
        <v>84</v>
      </c>
      <c r="P499" s="7">
        <v>126.9</v>
      </c>
      <c r="Q499" s="7">
        <v>7</v>
      </c>
    </row>
    <row r="500" spans="1:17">
      <c r="A500" s="2">
        <v>2448</v>
      </c>
      <c r="B500" s="7">
        <v>113</v>
      </c>
      <c r="C500" s="7">
        <v>20.399999999999999</v>
      </c>
      <c r="D500" s="7">
        <v>47.6</v>
      </c>
      <c r="E500" s="7">
        <v>7.6</v>
      </c>
      <c r="F500" s="7">
        <v>27.3</v>
      </c>
      <c r="G500" s="7">
        <v>22.5</v>
      </c>
      <c r="H500" s="7">
        <v>220.2</v>
      </c>
      <c r="I500" s="7">
        <v>71.8</v>
      </c>
      <c r="J500" s="7">
        <v>39.299999999999997</v>
      </c>
      <c r="K500" s="7">
        <v>186.2</v>
      </c>
      <c r="L500" s="7">
        <v>108.1</v>
      </c>
      <c r="M500" s="7">
        <v>185.3</v>
      </c>
      <c r="N500" s="7">
        <v>266</v>
      </c>
      <c r="O500" s="7">
        <v>84</v>
      </c>
      <c r="P500" s="7">
        <v>126.9</v>
      </c>
      <c r="Q500" s="7">
        <v>7</v>
      </c>
    </row>
    <row r="501" spans="1:17">
      <c r="A501" s="2">
        <v>2449</v>
      </c>
      <c r="B501" s="7">
        <v>113</v>
      </c>
      <c r="C501" s="7">
        <v>20.399999999999999</v>
      </c>
      <c r="D501" s="7">
        <v>47.6</v>
      </c>
      <c r="E501" s="7">
        <v>7.6</v>
      </c>
      <c r="F501" s="7">
        <v>27.3</v>
      </c>
      <c r="G501" s="7">
        <v>22.5</v>
      </c>
      <c r="H501" s="7">
        <v>220.2</v>
      </c>
      <c r="I501" s="7">
        <v>71.8</v>
      </c>
      <c r="J501" s="7">
        <v>39.299999999999997</v>
      </c>
      <c r="K501" s="7">
        <v>186.2</v>
      </c>
      <c r="L501" s="7">
        <v>108.1</v>
      </c>
      <c r="M501" s="7">
        <v>185.3</v>
      </c>
      <c r="N501" s="7">
        <v>266</v>
      </c>
      <c r="O501" s="7">
        <v>84</v>
      </c>
      <c r="P501" s="7">
        <v>126.9</v>
      </c>
      <c r="Q501" s="7">
        <v>7</v>
      </c>
    </row>
    <row r="502" spans="1:17">
      <c r="A502" s="2">
        <v>2450</v>
      </c>
      <c r="B502" s="7">
        <v>113</v>
      </c>
      <c r="C502" s="7">
        <v>20.399999999999999</v>
      </c>
      <c r="D502" s="7">
        <v>47.6</v>
      </c>
      <c r="E502" s="7">
        <v>7.6</v>
      </c>
      <c r="F502" s="7">
        <v>27.3</v>
      </c>
      <c r="G502" s="7">
        <v>22.5</v>
      </c>
      <c r="H502" s="7">
        <v>220.2</v>
      </c>
      <c r="I502" s="7">
        <v>71.8</v>
      </c>
      <c r="J502" s="7">
        <v>39.299999999999997</v>
      </c>
      <c r="K502" s="7">
        <v>186.2</v>
      </c>
      <c r="L502" s="7">
        <v>108.1</v>
      </c>
      <c r="M502" s="7">
        <v>185.3</v>
      </c>
      <c r="N502" s="7">
        <v>266</v>
      </c>
      <c r="O502" s="7">
        <v>84</v>
      </c>
      <c r="P502" s="7">
        <v>126.9</v>
      </c>
      <c r="Q502" s="7">
        <v>7</v>
      </c>
    </row>
    <row r="503" spans="1:17">
      <c r="A503" s="2">
        <v>2451</v>
      </c>
      <c r="B503" s="7">
        <v>113</v>
      </c>
      <c r="C503" s="7">
        <v>20.399999999999999</v>
      </c>
      <c r="D503" s="7">
        <v>47.6</v>
      </c>
      <c r="E503" s="7">
        <v>7.6</v>
      </c>
      <c r="F503" s="7">
        <v>27.3</v>
      </c>
      <c r="G503" s="7">
        <v>22.5</v>
      </c>
      <c r="H503" s="7">
        <v>220.2</v>
      </c>
      <c r="I503" s="7">
        <v>71.8</v>
      </c>
      <c r="J503" s="7">
        <v>39.299999999999997</v>
      </c>
      <c r="K503" s="7">
        <v>186.2</v>
      </c>
      <c r="L503" s="7">
        <v>108.1</v>
      </c>
      <c r="M503" s="7">
        <v>185.3</v>
      </c>
      <c r="N503" s="7">
        <v>266</v>
      </c>
      <c r="O503" s="7">
        <v>84</v>
      </c>
      <c r="P503" s="7">
        <v>126.9</v>
      </c>
      <c r="Q503" s="7">
        <v>7</v>
      </c>
    </row>
    <row r="504" spans="1:17">
      <c r="A504" s="2">
        <v>2452</v>
      </c>
      <c r="B504" s="7">
        <v>113</v>
      </c>
      <c r="C504" s="7">
        <v>20.399999999999999</v>
      </c>
      <c r="D504" s="7">
        <v>47.6</v>
      </c>
      <c r="E504" s="7">
        <v>7.6</v>
      </c>
      <c r="F504" s="7">
        <v>27.3</v>
      </c>
      <c r="G504" s="7">
        <v>22.5</v>
      </c>
      <c r="H504" s="7">
        <v>220.2</v>
      </c>
      <c r="I504" s="7">
        <v>71.8</v>
      </c>
      <c r="J504" s="7">
        <v>39.299999999999997</v>
      </c>
      <c r="K504" s="7">
        <v>186.2</v>
      </c>
      <c r="L504" s="7">
        <v>108.1</v>
      </c>
      <c r="M504" s="7">
        <v>185.3</v>
      </c>
      <c r="N504" s="7">
        <v>266</v>
      </c>
      <c r="O504" s="7">
        <v>84</v>
      </c>
      <c r="P504" s="7">
        <v>126.9</v>
      </c>
      <c r="Q504" s="7">
        <v>7</v>
      </c>
    </row>
    <row r="505" spans="1:17">
      <c r="A505" s="2">
        <v>2453</v>
      </c>
      <c r="B505" s="7">
        <v>113</v>
      </c>
      <c r="C505" s="7">
        <v>20.399999999999999</v>
      </c>
      <c r="D505" s="7">
        <v>47.6</v>
      </c>
      <c r="E505" s="7">
        <v>7.6</v>
      </c>
      <c r="F505" s="7">
        <v>27.3</v>
      </c>
      <c r="G505" s="7">
        <v>22.5</v>
      </c>
      <c r="H505" s="7">
        <v>220.2</v>
      </c>
      <c r="I505" s="7">
        <v>71.8</v>
      </c>
      <c r="J505" s="7">
        <v>39.299999999999997</v>
      </c>
      <c r="K505" s="7">
        <v>186.2</v>
      </c>
      <c r="L505" s="7">
        <v>108.1</v>
      </c>
      <c r="M505" s="7">
        <v>185.3</v>
      </c>
      <c r="N505" s="7">
        <v>266</v>
      </c>
      <c r="O505" s="7">
        <v>84</v>
      </c>
      <c r="P505" s="7">
        <v>126.9</v>
      </c>
      <c r="Q505" s="7">
        <v>7</v>
      </c>
    </row>
    <row r="506" spans="1:17">
      <c r="A506" s="2">
        <v>2454</v>
      </c>
      <c r="B506" s="7">
        <v>113</v>
      </c>
      <c r="C506" s="7">
        <v>20.399999999999999</v>
      </c>
      <c r="D506" s="7">
        <v>47.6</v>
      </c>
      <c r="E506" s="7">
        <v>7.6</v>
      </c>
      <c r="F506" s="7">
        <v>27.3</v>
      </c>
      <c r="G506" s="7">
        <v>22.5</v>
      </c>
      <c r="H506" s="7">
        <v>220.2</v>
      </c>
      <c r="I506" s="7">
        <v>71.8</v>
      </c>
      <c r="J506" s="7">
        <v>39.299999999999997</v>
      </c>
      <c r="K506" s="7">
        <v>186.2</v>
      </c>
      <c r="L506" s="7">
        <v>108.1</v>
      </c>
      <c r="M506" s="7">
        <v>185.3</v>
      </c>
      <c r="N506" s="7">
        <v>266</v>
      </c>
      <c r="O506" s="7">
        <v>84</v>
      </c>
      <c r="P506" s="7">
        <v>126.9</v>
      </c>
      <c r="Q506" s="7">
        <v>7</v>
      </c>
    </row>
    <row r="507" spans="1:17">
      <c r="A507" s="2">
        <v>2455</v>
      </c>
      <c r="B507" s="7">
        <v>113</v>
      </c>
      <c r="C507" s="7">
        <v>20.399999999999999</v>
      </c>
      <c r="D507" s="7">
        <v>47.6</v>
      </c>
      <c r="E507" s="7">
        <v>7.6</v>
      </c>
      <c r="F507" s="7">
        <v>27.3</v>
      </c>
      <c r="G507" s="7">
        <v>22.5</v>
      </c>
      <c r="H507" s="7">
        <v>220.2</v>
      </c>
      <c r="I507" s="7">
        <v>71.8</v>
      </c>
      <c r="J507" s="7">
        <v>39.299999999999997</v>
      </c>
      <c r="K507" s="7">
        <v>186.2</v>
      </c>
      <c r="L507" s="7">
        <v>108.1</v>
      </c>
      <c r="M507" s="7">
        <v>185.3</v>
      </c>
      <c r="N507" s="7">
        <v>266</v>
      </c>
      <c r="O507" s="7">
        <v>84</v>
      </c>
      <c r="P507" s="7">
        <v>126.9</v>
      </c>
      <c r="Q507" s="7">
        <v>7</v>
      </c>
    </row>
    <row r="508" spans="1:17">
      <c r="A508" s="2">
        <v>2456</v>
      </c>
      <c r="B508" s="7">
        <v>113</v>
      </c>
      <c r="C508" s="7">
        <v>20.399999999999999</v>
      </c>
      <c r="D508" s="7">
        <v>47.6</v>
      </c>
      <c r="E508" s="7">
        <v>7.6</v>
      </c>
      <c r="F508" s="7">
        <v>27.3</v>
      </c>
      <c r="G508" s="7">
        <v>22.5</v>
      </c>
      <c r="H508" s="7">
        <v>220.2</v>
      </c>
      <c r="I508" s="7">
        <v>71.8</v>
      </c>
      <c r="J508" s="7">
        <v>39.299999999999997</v>
      </c>
      <c r="K508" s="7">
        <v>186.2</v>
      </c>
      <c r="L508" s="7">
        <v>108.1</v>
      </c>
      <c r="M508" s="7">
        <v>185.3</v>
      </c>
      <c r="N508" s="7">
        <v>266</v>
      </c>
      <c r="O508" s="7">
        <v>84</v>
      </c>
      <c r="P508" s="7">
        <v>126.9</v>
      </c>
      <c r="Q508" s="7">
        <v>7</v>
      </c>
    </row>
    <row r="509" spans="1:17">
      <c r="A509" s="2">
        <v>2457</v>
      </c>
      <c r="B509" s="7">
        <v>113</v>
      </c>
      <c r="C509" s="7">
        <v>20.399999999999999</v>
      </c>
      <c r="D509" s="7">
        <v>47.6</v>
      </c>
      <c r="E509" s="7">
        <v>7.6</v>
      </c>
      <c r="F509" s="7">
        <v>27.3</v>
      </c>
      <c r="G509" s="7">
        <v>22.5</v>
      </c>
      <c r="H509" s="7">
        <v>220.2</v>
      </c>
      <c r="I509" s="7">
        <v>71.8</v>
      </c>
      <c r="J509" s="7">
        <v>39.299999999999997</v>
      </c>
      <c r="K509" s="7">
        <v>186.2</v>
      </c>
      <c r="L509" s="7">
        <v>108.1</v>
      </c>
      <c r="M509" s="7">
        <v>185.3</v>
      </c>
      <c r="N509" s="7">
        <v>266</v>
      </c>
      <c r="O509" s="7">
        <v>84</v>
      </c>
      <c r="P509" s="7">
        <v>126.9</v>
      </c>
      <c r="Q509" s="7">
        <v>7</v>
      </c>
    </row>
    <row r="510" spans="1:17">
      <c r="A510" s="2">
        <v>2458</v>
      </c>
      <c r="B510" s="7">
        <v>113</v>
      </c>
      <c r="C510" s="7">
        <v>20.399999999999999</v>
      </c>
      <c r="D510" s="7">
        <v>47.6</v>
      </c>
      <c r="E510" s="7">
        <v>7.6</v>
      </c>
      <c r="F510" s="7">
        <v>27.3</v>
      </c>
      <c r="G510" s="7">
        <v>22.5</v>
      </c>
      <c r="H510" s="7">
        <v>220.2</v>
      </c>
      <c r="I510" s="7">
        <v>71.8</v>
      </c>
      <c r="J510" s="7">
        <v>39.299999999999997</v>
      </c>
      <c r="K510" s="7">
        <v>186.2</v>
      </c>
      <c r="L510" s="7">
        <v>108.1</v>
      </c>
      <c r="M510" s="7">
        <v>185.3</v>
      </c>
      <c r="N510" s="7">
        <v>266</v>
      </c>
      <c r="O510" s="7">
        <v>84</v>
      </c>
      <c r="P510" s="7">
        <v>126.9</v>
      </c>
      <c r="Q510" s="7">
        <v>7</v>
      </c>
    </row>
    <row r="511" spans="1:17">
      <c r="A511" s="2">
        <v>2459</v>
      </c>
      <c r="B511" s="7">
        <v>113</v>
      </c>
      <c r="C511" s="7">
        <v>20.399999999999999</v>
      </c>
      <c r="D511" s="7">
        <v>47.6</v>
      </c>
      <c r="E511" s="7">
        <v>7.6</v>
      </c>
      <c r="F511" s="7">
        <v>27.3</v>
      </c>
      <c r="G511" s="7">
        <v>22.5</v>
      </c>
      <c r="H511" s="7">
        <v>220.2</v>
      </c>
      <c r="I511" s="7">
        <v>71.8</v>
      </c>
      <c r="J511" s="7">
        <v>39.299999999999997</v>
      </c>
      <c r="K511" s="7">
        <v>186.2</v>
      </c>
      <c r="L511" s="7">
        <v>108.1</v>
      </c>
      <c r="M511" s="7">
        <v>185.3</v>
      </c>
      <c r="N511" s="7">
        <v>266</v>
      </c>
      <c r="O511" s="7">
        <v>84</v>
      </c>
      <c r="P511" s="7">
        <v>126.9</v>
      </c>
      <c r="Q511" s="7">
        <v>7</v>
      </c>
    </row>
    <row r="512" spans="1:17">
      <c r="A512" s="2">
        <v>2460</v>
      </c>
      <c r="B512" s="7">
        <v>113</v>
      </c>
      <c r="C512" s="7">
        <v>20.399999999999999</v>
      </c>
      <c r="D512" s="7">
        <v>47.6</v>
      </c>
      <c r="E512" s="7">
        <v>7.6</v>
      </c>
      <c r="F512" s="7">
        <v>27.3</v>
      </c>
      <c r="G512" s="7">
        <v>22.5</v>
      </c>
      <c r="H512" s="7">
        <v>220.2</v>
      </c>
      <c r="I512" s="7">
        <v>71.8</v>
      </c>
      <c r="J512" s="7">
        <v>39.299999999999997</v>
      </c>
      <c r="K512" s="7">
        <v>186.2</v>
      </c>
      <c r="L512" s="7">
        <v>108.1</v>
      </c>
      <c r="M512" s="7">
        <v>185.3</v>
      </c>
      <c r="N512" s="7">
        <v>266</v>
      </c>
      <c r="O512" s="7">
        <v>84</v>
      </c>
      <c r="P512" s="7">
        <v>126.9</v>
      </c>
      <c r="Q512" s="7">
        <v>7</v>
      </c>
    </row>
    <row r="513" spans="1:17">
      <c r="A513" s="2">
        <v>2461</v>
      </c>
      <c r="B513" s="7">
        <v>113</v>
      </c>
      <c r="C513" s="7">
        <v>20.399999999999999</v>
      </c>
      <c r="D513" s="7">
        <v>47.6</v>
      </c>
      <c r="E513" s="7">
        <v>7.6</v>
      </c>
      <c r="F513" s="7">
        <v>27.3</v>
      </c>
      <c r="G513" s="7">
        <v>22.5</v>
      </c>
      <c r="H513" s="7">
        <v>220.2</v>
      </c>
      <c r="I513" s="7">
        <v>71.8</v>
      </c>
      <c r="J513" s="7">
        <v>39.299999999999997</v>
      </c>
      <c r="K513" s="7">
        <v>186.2</v>
      </c>
      <c r="L513" s="7">
        <v>108.1</v>
      </c>
      <c r="M513" s="7">
        <v>185.3</v>
      </c>
      <c r="N513" s="7">
        <v>266</v>
      </c>
      <c r="O513" s="7">
        <v>84</v>
      </c>
      <c r="P513" s="7">
        <v>126.9</v>
      </c>
      <c r="Q513" s="7">
        <v>7</v>
      </c>
    </row>
    <row r="514" spans="1:17">
      <c r="A514" s="2">
        <v>2462</v>
      </c>
      <c r="B514" s="7">
        <v>113</v>
      </c>
      <c r="C514" s="7">
        <v>20.399999999999999</v>
      </c>
      <c r="D514" s="7">
        <v>47.6</v>
      </c>
      <c r="E514" s="7">
        <v>7.6</v>
      </c>
      <c r="F514" s="7">
        <v>27.3</v>
      </c>
      <c r="G514" s="7">
        <v>22.5</v>
      </c>
      <c r="H514" s="7">
        <v>220.2</v>
      </c>
      <c r="I514" s="7">
        <v>71.8</v>
      </c>
      <c r="J514" s="7">
        <v>39.299999999999997</v>
      </c>
      <c r="K514" s="7">
        <v>186.2</v>
      </c>
      <c r="L514" s="7">
        <v>108.1</v>
      </c>
      <c r="M514" s="7">
        <v>185.3</v>
      </c>
      <c r="N514" s="7">
        <v>266</v>
      </c>
      <c r="O514" s="7">
        <v>84</v>
      </c>
      <c r="P514" s="7">
        <v>126.9</v>
      </c>
      <c r="Q514" s="7">
        <v>7</v>
      </c>
    </row>
    <row r="515" spans="1:17">
      <c r="A515" s="2">
        <v>2463</v>
      </c>
      <c r="B515" s="7">
        <v>113</v>
      </c>
      <c r="C515" s="7">
        <v>20.399999999999999</v>
      </c>
      <c r="D515" s="7">
        <v>47.6</v>
      </c>
      <c r="E515" s="7">
        <v>7.6</v>
      </c>
      <c r="F515" s="7">
        <v>27.3</v>
      </c>
      <c r="G515" s="7">
        <v>22.5</v>
      </c>
      <c r="H515" s="7">
        <v>220.2</v>
      </c>
      <c r="I515" s="7">
        <v>71.8</v>
      </c>
      <c r="J515" s="7">
        <v>39.299999999999997</v>
      </c>
      <c r="K515" s="7">
        <v>186.2</v>
      </c>
      <c r="L515" s="7">
        <v>108.1</v>
      </c>
      <c r="M515" s="7">
        <v>185.3</v>
      </c>
      <c r="N515" s="7">
        <v>266</v>
      </c>
      <c r="O515" s="7">
        <v>84</v>
      </c>
      <c r="P515" s="7">
        <v>126.9</v>
      </c>
      <c r="Q515" s="7">
        <v>7</v>
      </c>
    </row>
    <row r="516" spans="1:17">
      <c r="A516" s="2">
        <v>2464</v>
      </c>
      <c r="B516" s="7">
        <v>113</v>
      </c>
      <c r="C516" s="7">
        <v>20.399999999999999</v>
      </c>
      <c r="D516" s="7">
        <v>47.6</v>
      </c>
      <c r="E516" s="7">
        <v>7.6</v>
      </c>
      <c r="F516" s="7">
        <v>27.3</v>
      </c>
      <c r="G516" s="7">
        <v>22.5</v>
      </c>
      <c r="H516" s="7">
        <v>220.2</v>
      </c>
      <c r="I516" s="7">
        <v>71.8</v>
      </c>
      <c r="J516" s="7">
        <v>39.299999999999997</v>
      </c>
      <c r="K516" s="7">
        <v>186.2</v>
      </c>
      <c r="L516" s="7">
        <v>108.1</v>
      </c>
      <c r="M516" s="7">
        <v>185.3</v>
      </c>
      <c r="N516" s="7">
        <v>266</v>
      </c>
      <c r="O516" s="7">
        <v>84</v>
      </c>
      <c r="P516" s="7">
        <v>126.9</v>
      </c>
      <c r="Q516" s="7">
        <v>7</v>
      </c>
    </row>
    <row r="517" spans="1:17">
      <c r="A517" s="2">
        <v>2465</v>
      </c>
      <c r="B517" s="7">
        <v>113</v>
      </c>
      <c r="C517" s="7">
        <v>20.399999999999999</v>
      </c>
      <c r="D517" s="7">
        <v>47.6</v>
      </c>
      <c r="E517" s="7">
        <v>7.6</v>
      </c>
      <c r="F517" s="7">
        <v>27.3</v>
      </c>
      <c r="G517" s="7">
        <v>22.5</v>
      </c>
      <c r="H517" s="7">
        <v>220.2</v>
      </c>
      <c r="I517" s="7">
        <v>71.8</v>
      </c>
      <c r="J517" s="7">
        <v>39.299999999999997</v>
      </c>
      <c r="K517" s="7">
        <v>186.2</v>
      </c>
      <c r="L517" s="7">
        <v>108.1</v>
      </c>
      <c r="M517" s="7">
        <v>185.3</v>
      </c>
      <c r="N517" s="7">
        <v>266</v>
      </c>
      <c r="O517" s="7">
        <v>84</v>
      </c>
      <c r="P517" s="7">
        <v>126.9</v>
      </c>
      <c r="Q517" s="7">
        <v>7</v>
      </c>
    </row>
    <row r="518" spans="1:17">
      <c r="A518" s="2">
        <v>2466</v>
      </c>
      <c r="B518" s="7">
        <v>113</v>
      </c>
      <c r="C518" s="7">
        <v>20.399999999999999</v>
      </c>
      <c r="D518" s="7">
        <v>47.6</v>
      </c>
      <c r="E518" s="7">
        <v>7.6</v>
      </c>
      <c r="F518" s="7">
        <v>27.3</v>
      </c>
      <c r="G518" s="7">
        <v>22.5</v>
      </c>
      <c r="H518" s="7">
        <v>220.2</v>
      </c>
      <c r="I518" s="7">
        <v>71.8</v>
      </c>
      <c r="J518" s="7">
        <v>39.299999999999997</v>
      </c>
      <c r="K518" s="7">
        <v>186.2</v>
      </c>
      <c r="L518" s="7">
        <v>108.1</v>
      </c>
      <c r="M518" s="7">
        <v>185.3</v>
      </c>
      <c r="N518" s="7">
        <v>266</v>
      </c>
      <c r="O518" s="7">
        <v>84</v>
      </c>
      <c r="P518" s="7">
        <v>126.9</v>
      </c>
      <c r="Q518" s="7">
        <v>7</v>
      </c>
    </row>
    <row r="519" spans="1:17">
      <c r="A519" s="2">
        <v>2467</v>
      </c>
      <c r="B519" s="7">
        <v>113</v>
      </c>
      <c r="C519" s="7">
        <v>20.399999999999999</v>
      </c>
      <c r="D519" s="7">
        <v>47.6</v>
      </c>
      <c r="E519" s="7">
        <v>7.6</v>
      </c>
      <c r="F519" s="7">
        <v>27.3</v>
      </c>
      <c r="G519" s="7">
        <v>22.5</v>
      </c>
      <c r="H519" s="7">
        <v>220.2</v>
      </c>
      <c r="I519" s="7">
        <v>71.8</v>
      </c>
      <c r="J519" s="7">
        <v>39.299999999999997</v>
      </c>
      <c r="K519" s="7">
        <v>186.2</v>
      </c>
      <c r="L519" s="7">
        <v>108.1</v>
      </c>
      <c r="M519" s="7">
        <v>185.3</v>
      </c>
      <c r="N519" s="7">
        <v>266</v>
      </c>
      <c r="O519" s="7">
        <v>84</v>
      </c>
      <c r="P519" s="7">
        <v>126.9</v>
      </c>
      <c r="Q519" s="7">
        <v>7</v>
      </c>
    </row>
    <row r="520" spans="1:17">
      <c r="A520" s="2">
        <v>2468</v>
      </c>
      <c r="B520" s="7">
        <v>113</v>
      </c>
      <c r="C520" s="7">
        <v>20.399999999999999</v>
      </c>
      <c r="D520" s="7">
        <v>47.6</v>
      </c>
      <c r="E520" s="7">
        <v>7.6</v>
      </c>
      <c r="F520" s="7">
        <v>27.3</v>
      </c>
      <c r="G520" s="7">
        <v>22.5</v>
      </c>
      <c r="H520" s="7">
        <v>220.2</v>
      </c>
      <c r="I520" s="7">
        <v>71.8</v>
      </c>
      <c r="J520" s="7">
        <v>39.299999999999997</v>
      </c>
      <c r="K520" s="7">
        <v>186.2</v>
      </c>
      <c r="L520" s="7">
        <v>108.1</v>
      </c>
      <c r="M520" s="7">
        <v>185.3</v>
      </c>
      <c r="N520" s="7">
        <v>266</v>
      </c>
      <c r="O520" s="7">
        <v>84</v>
      </c>
      <c r="P520" s="7">
        <v>126.9</v>
      </c>
      <c r="Q520" s="7">
        <v>7</v>
      </c>
    </row>
    <row r="521" spans="1:17">
      <c r="A521" s="2">
        <v>2469</v>
      </c>
      <c r="B521" s="7">
        <v>113</v>
      </c>
      <c r="C521" s="7">
        <v>20.399999999999999</v>
      </c>
      <c r="D521" s="7">
        <v>47.6</v>
      </c>
      <c r="E521" s="7">
        <v>7.6</v>
      </c>
      <c r="F521" s="7">
        <v>27.3</v>
      </c>
      <c r="G521" s="7">
        <v>22.5</v>
      </c>
      <c r="H521" s="7">
        <v>220.2</v>
      </c>
      <c r="I521" s="7">
        <v>71.8</v>
      </c>
      <c r="J521" s="7">
        <v>39.299999999999997</v>
      </c>
      <c r="K521" s="7">
        <v>186.2</v>
      </c>
      <c r="L521" s="7">
        <v>108.1</v>
      </c>
      <c r="M521" s="7">
        <v>185.3</v>
      </c>
      <c r="N521" s="7">
        <v>266</v>
      </c>
      <c r="O521" s="7">
        <v>84</v>
      </c>
      <c r="P521" s="7">
        <v>126.9</v>
      </c>
      <c r="Q521" s="7">
        <v>7</v>
      </c>
    </row>
    <row r="522" spans="1:17">
      <c r="A522" s="2">
        <v>2470</v>
      </c>
      <c r="B522" s="7">
        <v>113</v>
      </c>
      <c r="C522" s="7">
        <v>20.399999999999999</v>
      </c>
      <c r="D522" s="7">
        <v>47.6</v>
      </c>
      <c r="E522" s="7">
        <v>7.6</v>
      </c>
      <c r="F522" s="7">
        <v>27.3</v>
      </c>
      <c r="G522" s="7">
        <v>22.5</v>
      </c>
      <c r="H522" s="7">
        <v>220.2</v>
      </c>
      <c r="I522" s="7">
        <v>71.8</v>
      </c>
      <c r="J522" s="7">
        <v>39.299999999999997</v>
      </c>
      <c r="K522" s="7">
        <v>186.2</v>
      </c>
      <c r="L522" s="7">
        <v>108.1</v>
      </c>
      <c r="M522" s="7">
        <v>185.3</v>
      </c>
      <c r="N522" s="7">
        <v>266</v>
      </c>
      <c r="O522" s="7">
        <v>84</v>
      </c>
      <c r="P522" s="7">
        <v>126.9</v>
      </c>
      <c r="Q522" s="7">
        <v>7</v>
      </c>
    </row>
    <row r="523" spans="1:17">
      <c r="A523" s="2">
        <v>2471</v>
      </c>
      <c r="B523" s="7">
        <v>113</v>
      </c>
      <c r="C523" s="7">
        <v>20.399999999999999</v>
      </c>
      <c r="D523" s="7">
        <v>47.6</v>
      </c>
      <c r="E523" s="7">
        <v>7.6</v>
      </c>
      <c r="F523" s="7">
        <v>27.3</v>
      </c>
      <c r="G523" s="7">
        <v>22.5</v>
      </c>
      <c r="H523" s="7">
        <v>220.2</v>
      </c>
      <c r="I523" s="7">
        <v>71.8</v>
      </c>
      <c r="J523" s="7">
        <v>39.299999999999997</v>
      </c>
      <c r="K523" s="7">
        <v>186.2</v>
      </c>
      <c r="L523" s="7">
        <v>108.1</v>
      </c>
      <c r="M523" s="7">
        <v>185.3</v>
      </c>
      <c r="N523" s="7">
        <v>266</v>
      </c>
      <c r="O523" s="7">
        <v>84</v>
      </c>
      <c r="P523" s="7">
        <v>126.9</v>
      </c>
      <c r="Q523" s="7">
        <v>7</v>
      </c>
    </row>
    <row r="524" spans="1:17">
      <c r="A524" s="2">
        <v>2472</v>
      </c>
      <c r="B524" s="7">
        <v>113</v>
      </c>
      <c r="C524" s="7">
        <v>20.399999999999999</v>
      </c>
      <c r="D524" s="7">
        <v>47.6</v>
      </c>
      <c r="E524" s="7">
        <v>7.6</v>
      </c>
      <c r="F524" s="7">
        <v>27.3</v>
      </c>
      <c r="G524" s="7">
        <v>22.5</v>
      </c>
      <c r="H524" s="7">
        <v>220.2</v>
      </c>
      <c r="I524" s="7">
        <v>71.8</v>
      </c>
      <c r="J524" s="7">
        <v>39.299999999999997</v>
      </c>
      <c r="K524" s="7">
        <v>186.2</v>
      </c>
      <c r="L524" s="7">
        <v>108.1</v>
      </c>
      <c r="M524" s="7">
        <v>185.3</v>
      </c>
      <c r="N524" s="7">
        <v>266</v>
      </c>
      <c r="O524" s="7">
        <v>84</v>
      </c>
      <c r="P524" s="7">
        <v>126.9</v>
      </c>
      <c r="Q524" s="7">
        <v>7</v>
      </c>
    </row>
    <row r="525" spans="1:17">
      <c r="A525" s="2">
        <v>2473</v>
      </c>
      <c r="B525" s="7">
        <v>113</v>
      </c>
      <c r="C525" s="7">
        <v>20.399999999999999</v>
      </c>
      <c r="D525" s="7">
        <v>47.6</v>
      </c>
      <c r="E525" s="7">
        <v>7.6</v>
      </c>
      <c r="F525" s="7">
        <v>27.3</v>
      </c>
      <c r="G525" s="7">
        <v>22.5</v>
      </c>
      <c r="H525" s="7">
        <v>220.2</v>
      </c>
      <c r="I525" s="7">
        <v>71.8</v>
      </c>
      <c r="J525" s="7">
        <v>39.299999999999997</v>
      </c>
      <c r="K525" s="7">
        <v>186.2</v>
      </c>
      <c r="L525" s="7">
        <v>108.1</v>
      </c>
      <c r="M525" s="7">
        <v>185.3</v>
      </c>
      <c r="N525" s="7">
        <v>266</v>
      </c>
      <c r="O525" s="7">
        <v>84</v>
      </c>
      <c r="P525" s="7">
        <v>126.9</v>
      </c>
      <c r="Q525" s="7">
        <v>7</v>
      </c>
    </row>
    <row r="526" spans="1:17">
      <c r="A526" s="2">
        <v>2474</v>
      </c>
      <c r="B526" s="7">
        <v>113</v>
      </c>
      <c r="C526" s="7">
        <v>20.399999999999999</v>
      </c>
      <c r="D526" s="7">
        <v>47.6</v>
      </c>
      <c r="E526" s="7">
        <v>7.6</v>
      </c>
      <c r="F526" s="7">
        <v>27.3</v>
      </c>
      <c r="G526" s="7">
        <v>22.5</v>
      </c>
      <c r="H526" s="7">
        <v>220.2</v>
      </c>
      <c r="I526" s="7">
        <v>71.8</v>
      </c>
      <c r="J526" s="7">
        <v>39.299999999999997</v>
      </c>
      <c r="K526" s="7">
        <v>186.2</v>
      </c>
      <c r="L526" s="7">
        <v>108.1</v>
      </c>
      <c r="M526" s="7">
        <v>185.3</v>
      </c>
      <c r="N526" s="7">
        <v>266</v>
      </c>
      <c r="O526" s="7">
        <v>84</v>
      </c>
      <c r="P526" s="7">
        <v>126.9</v>
      </c>
      <c r="Q526" s="7">
        <v>7</v>
      </c>
    </row>
    <row r="527" spans="1:17">
      <c r="A527" s="2">
        <v>2475</v>
      </c>
      <c r="B527" s="7">
        <v>113</v>
      </c>
      <c r="C527" s="7">
        <v>20.399999999999999</v>
      </c>
      <c r="D527" s="7">
        <v>47.6</v>
      </c>
      <c r="E527" s="7">
        <v>7.6</v>
      </c>
      <c r="F527" s="7">
        <v>27.3</v>
      </c>
      <c r="G527" s="7">
        <v>22.5</v>
      </c>
      <c r="H527" s="7">
        <v>220.2</v>
      </c>
      <c r="I527" s="7">
        <v>71.8</v>
      </c>
      <c r="J527" s="7">
        <v>39.299999999999997</v>
      </c>
      <c r="K527" s="7">
        <v>186.2</v>
      </c>
      <c r="L527" s="7">
        <v>108.1</v>
      </c>
      <c r="M527" s="7">
        <v>185.3</v>
      </c>
      <c r="N527" s="7">
        <v>266</v>
      </c>
      <c r="O527" s="7">
        <v>84</v>
      </c>
      <c r="P527" s="7">
        <v>126.9</v>
      </c>
      <c r="Q527" s="7">
        <v>7</v>
      </c>
    </row>
    <row r="528" spans="1:17">
      <c r="A528" s="2">
        <v>2476</v>
      </c>
      <c r="B528" s="7">
        <v>113</v>
      </c>
      <c r="C528" s="7">
        <v>20.399999999999999</v>
      </c>
      <c r="D528" s="7">
        <v>47.6</v>
      </c>
      <c r="E528" s="7">
        <v>7.6</v>
      </c>
      <c r="F528" s="7">
        <v>27.3</v>
      </c>
      <c r="G528" s="7">
        <v>22.5</v>
      </c>
      <c r="H528" s="7">
        <v>220.2</v>
      </c>
      <c r="I528" s="7">
        <v>71.8</v>
      </c>
      <c r="J528" s="7">
        <v>39.299999999999997</v>
      </c>
      <c r="K528" s="7">
        <v>186.2</v>
      </c>
      <c r="L528" s="7">
        <v>108.1</v>
      </c>
      <c r="M528" s="7">
        <v>185.3</v>
      </c>
      <c r="N528" s="7">
        <v>266</v>
      </c>
      <c r="O528" s="7">
        <v>84</v>
      </c>
      <c r="P528" s="7">
        <v>126.9</v>
      </c>
      <c r="Q528" s="7">
        <v>7</v>
      </c>
    </row>
    <row r="529" spans="1:17">
      <c r="A529" s="2">
        <v>2477</v>
      </c>
      <c r="B529" s="7">
        <v>113</v>
      </c>
      <c r="C529" s="7">
        <v>20.399999999999999</v>
      </c>
      <c r="D529" s="7">
        <v>47.6</v>
      </c>
      <c r="E529" s="7">
        <v>7.6</v>
      </c>
      <c r="F529" s="7">
        <v>27.3</v>
      </c>
      <c r="G529" s="7">
        <v>22.5</v>
      </c>
      <c r="H529" s="7">
        <v>220.2</v>
      </c>
      <c r="I529" s="7">
        <v>71.8</v>
      </c>
      <c r="J529" s="7">
        <v>39.299999999999997</v>
      </c>
      <c r="K529" s="7">
        <v>186.2</v>
      </c>
      <c r="L529" s="7">
        <v>108.1</v>
      </c>
      <c r="M529" s="7">
        <v>185.3</v>
      </c>
      <c r="N529" s="7">
        <v>266</v>
      </c>
      <c r="O529" s="7">
        <v>84</v>
      </c>
      <c r="P529" s="7">
        <v>126.9</v>
      </c>
      <c r="Q529" s="7">
        <v>7</v>
      </c>
    </row>
    <row r="530" spans="1:17">
      <c r="A530" s="2">
        <v>2478</v>
      </c>
      <c r="B530" s="7">
        <v>113</v>
      </c>
      <c r="C530" s="7">
        <v>20.399999999999999</v>
      </c>
      <c r="D530" s="7">
        <v>47.6</v>
      </c>
      <c r="E530" s="7">
        <v>7.6</v>
      </c>
      <c r="F530" s="7">
        <v>27.3</v>
      </c>
      <c r="G530" s="7">
        <v>22.5</v>
      </c>
      <c r="H530" s="7">
        <v>220.2</v>
      </c>
      <c r="I530" s="7">
        <v>71.8</v>
      </c>
      <c r="J530" s="7">
        <v>39.299999999999997</v>
      </c>
      <c r="K530" s="7">
        <v>186.2</v>
      </c>
      <c r="L530" s="7">
        <v>108.1</v>
      </c>
      <c r="M530" s="7">
        <v>185.3</v>
      </c>
      <c r="N530" s="7">
        <v>266</v>
      </c>
      <c r="O530" s="7">
        <v>84</v>
      </c>
      <c r="P530" s="7">
        <v>126.9</v>
      </c>
      <c r="Q530" s="7">
        <v>7</v>
      </c>
    </row>
    <row r="531" spans="1:17">
      <c r="A531" s="2">
        <v>2479</v>
      </c>
      <c r="B531" s="7">
        <v>113</v>
      </c>
      <c r="C531" s="7">
        <v>20.399999999999999</v>
      </c>
      <c r="D531" s="7">
        <v>47.6</v>
      </c>
      <c r="E531" s="7">
        <v>7.6</v>
      </c>
      <c r="F531" s="7">
        <v>27.3</v>
      </c>
      <c r="G531" s="7">
        <v>22.5</v>
      </c>
      <c r="H531" s="7">
        <v>220.2</v>
      </c>
      <c r="I531" s="7">
        <v>71.8</v>
      </c>
      <c r="J531" s="7">
        <v>39.299999999999997</v>
      </c>
      <c r="K531" s="7">
        <v>186.2</v>
      </c>
      <c r="L531" s="7">
        <v>108.1</v>
      </c>
      <c r="M531" s="7">
        <v>185.3</v>
      </c>
      <c r="N531" s="7">
        <v>266</v>
      </c>
      <c r="O531" s="7">
        <v>84</v>
      </c>
      <c r="P531" s="7">
        <v>126.9</v>
      </c>
      <c r="Q531" s="7">
        <v>7</v>
      </c>
    </row>
    <row r="532" spans="1:17">
      <c r="A532" s="2">
        <v>2480</v>
      </c>
      <c r="B532" s="7">
        <v>113</v>
      </c>
      <c r="C532" s="7">
        <v>20.399999999999999</v>
      </c>
      <c r="D532" s="7">
        <v>47.6</v>
      </c>
      <c r="E532" s="7">
        <v>7.6</v>
      </c>
      <c r="F532" s="7">
        <v>27.3</v>
      </c>
      <c r="G532" s="7">
        <v>22.5</v>
      </c>
      <c r="H532" s="7">
        <v>220.2</v>
      </c>
      <c r="I532" s="7">
        <v>71.8</v>
      </c>
      <c r="J532" s="7">
        <v>39.299999999999997</v>
      </c>
      <c r="K532" s="7">
        <v>186.2</v>
      </c>
      <c r="L532" s="7">
        <v>108.1</v>
      </c>
      <c r="M532" s="7">
        <v>185.3</v>
      </c>
      <c r="N532" s="7">
        <v>266</v>
      </c>
      <c r="O532" s="7">
        <v>84</v>
      </c>
      <c r="P532" s="7">
        <v>126.9</v>
      </c>
      <c r="Q532" s="7">
        <v>7</v>
      </c>
    </row>
    <row r="533" spans="1:17">
      <c r="A533" s="2">
        <v>2481</v>
      </c>
      <c r="B533" s="7">
        <v>113</v>
      </c>
      <c r="C533" s="7">
        <v>20.399999999999999</v>
      </c>
      <c r="D533" s="7">
        <v>47.6</v>
      </c>
      <c r="E533" s="7">
        <v>7.6</v>
      </c>
      <c r="F533" s="7">
        <v>27.3</v>
      </c>
      <c r="G533" s="7">
        <v>22.5</v>
      </c>
      <c r="H533" s="7">
        <v>220.2</v>
      </c>
      <c r="I533" s="7">
        <v>71.8</v>
      </c>
      <c r="J533" s="7">
        <v>39.299999999999997</v>
      </c>
      <c r="K533" s="7">
        <v>186.2</v>
      </c>
      <c r="L533" s="7">
        <v>108.1</v>
      </c>
      <c r="M533" s="7">
        <v>185.3</v>
      </c>
      <c r="N533" s="7">
        <v>266</v>
      </c>
      <c r="O533" s="7">
        <v>84</v>
      </c>
      <c r="P533" s="7">
        <v>126.9</v>
      </c>
      <c r="Q533" s="7">
        <v>7</v>
      </c>
    </row>
    <row r="534" spans="1:17">
      <c r="A534" s="2">
        <v>2482</v>
      </c>
      <c r="B534" s="7">
        <v>113</v>
      </c>
      <c r="C534" s="7">
        <v>20.399999999999999</v>
      </c>
      <c r="D534" s="7">
        <v>47.6</v>
      </c>
      <c r="E534" s="7">
        <v>7.6</v>
      </c>
      <c r="F534" s="7">
        <v>27.3</v>
      </c>
      <c r="G534" s="7">
        <v>22.5</v>
      </c>
      <c r="H534" s="7">
        <v>220.2</v>
      </c>
      <c r="I534" s="7">
        <v>71.8</v>
      </c>
      <c r="J534" s="7">
        <v>39.299999999999997</v>
      </c>
      <c r="K534" s="7">
        <v>186.2</v>
      </c>
      <c r="L534" s="7">
        <v>108.1</v>
      </c>
      <c r="M534" s="7">
        <v>185.3</v>
      </c>
      <c r="N534" s="7">
        <v>266</v>
      </c>
      <c r="O534" s="7">
        <v>84</v>
      </c>
      <c r="P534" s="7">
        <v>126.9</v>
      </c>
      <c r="Q534" s="7">
        <v>7</v>
      </c>
    </row>
    <row r="535" spans="1:17">
      <c r="A535" s="2">
        <v>2483</v>
      </c>
      <c r="B535" s="7">
        <v>113</v>
      </c>
      <c r="C535" s="7">
        <v>20.399999999999999</v>
      </c>
      <c r="D535" s="7">
        <v>47.6</v>
      </c>
      <c r="E535" s="7">
        <v>7.6</v>
      </c>
      <c r="F535" s="7">
        <v>27.3</v>
      </c>
      <c r="G535" s="7">
        <v>22.5</v>
      </c>
      <c r="H535" s="7">
        <v>220.2</v>
      </c>
      <c r="I535" s="7">
        <v>71.8</v>
      </c>
      <c r="J535" s="7">
        <v>39.299999999999997</v>
      </c>
      <c r="K535" s="7">
        <v>186.2</v>
      </c>
      <c r="L535" s="7">
        <v>108.1</v>
      </c>
      <c r="M535" s="7">
        <v>185.3</v>
      </c>
      <c r="N535" s="7">
        <v>266</v>
      </c>
      <c r="O535" s="7">
        <v>84</v>
      </c>
      <c r="P535" s="7">
        <v>126.9</v>
      </c>
      <c r="Q535" s="7">
        <v>7</v>
      </c>
    </row>
    <row r="536" spans="1:17">
      <c r="A536" s="2">
        <v>2484</v>
      </c>
      <c r="B536" s="7">
        <v>113</v>
      </c>
      <c r="C536" s="7">
        <v>20.399999999999999</v>
      </c>
      <c r="D536" s="7">
        <v>47.6</v>
      </c>
      <c r="E536" s="7">
        <v>7.6</v>
      </c>
      <c r="F536" s="7">
        <v>27.3</v>
      </c>
      <c r="G536" s="7">
        <v>22.5</v>
      </c>
      <c r="H536" s="7">
        <v>220.2</v>
      </c>
      <c r="I536" s="7">
        <v>71.8</v>
      </c>
      <c r="J536" s="7">
        <v>39.299999999999997</v>
      </c>
      <c r="K536" s="7">
        <v>186.2</v>
      </c>
      <c r="L536" s="7">
        <v>108.1</v>
      </c>
      <c r="M536" s="7">
        <v>185.3</v>
      </c>
      <c r="N536" s="7">
        <v>266</v>
      </c>
      <c r="O536" s="7">
        <v>84</v>
      </c>
      <c r="P536" s="7">
        <v>126.9</v>
      </c>
      <c r="Q536" s="7">
        <v>7</v>
      </c>
    </row>
    <row r="537" spans="1:17">
      <c r="A537" s="2">
        <v>2485</v>
      </c>
      <c r="B537" s="7">
        <v>113</v>
      </c>
      <c r="C537" s="7">
        <v>20.399999999999999</v>
      </c>
      <c r="D537" s="7">
        <v>47.6</v>
      </c>
      <c r="E537" s="7">
        <v>7.6</v>
      </c>
      <c r="F537" s="7">
        <v>27.3</v>
      </c>
      <c r="G537" s="7">
        <v>22.5</v>
      </c>
      <c r="H537" s="7">
        <v>220.2</v>
      </c>
      <c r="I537" s="7">
        <v>71.8</v>
      </c>
      <c r="J537" s="7">
        <v>39.299999999999997</v>
      </c>
      <c r="K537" s="7">
        <v>186.2</v>
      </c>
      <c r="L537" s="7">
        <v>108.1</v>
      </c>
      <c r="M537" s="7">
        <v>185.3</v>
      </c>
      <c r="N537" s="7">
        <v>266</v>
      </c>
      <c r="O537" s="7">
        <v>84</v>
      </c>
      <c r="P537" s="7">
        <v>126.9</v>
      </c>
      <c r="Q537" s="7">
        <v>7</v>
      </c>
    </row>
    <row r="538" spans="1:17">
      <c r="A538" s="2">
        <v>2486</v>
      </c>
      <c r="B538" s="7">
        <v>113</v>
      </c>
      <c r="C538" s="7">
        <v>20.399999999999999</v>
      </c>
      <c r="D538" s="7">
        <v>47.6</v>
      </c>
      <c r="E538" s="7">
        <v>7.6</v>
      </c>
      <c r="F538" s="7">
        <v>27.3</v>
      </c>
      <c r="G538" s="7">
        <v>22.5</v>
      </c>
      <c r="H538" s="7">
        <v>220.2</v>
      </c>
      <c r="I538" s="7">
        <v>71.8</v>
      </c>
      <c r="J538" s="7">
        <v>39.299999999999997</v>
      </c>
      <c r="K538" s="7">
        <v>186.2</v>
      </c>
      <c r="L538" s="7">
        <v>108.1</v>
      </c>
      <c r="M538" s="7">
        <v>185.3</v>
      </c>
      <c r="N538" s="7">
        <v>266</v>
      </c>
      <c r="O538" s="7">
        <v>84</v>
      </c>
      <c r="P538" s="7">
        <v>126.9</v>
      </c>
      <c r="Q538" s="7">
        <v>7</v>
      </c>
    </row>
    <row r="539" spans="1:17">
      <c r="A539" s="2">
        <v>2487</v>
      </c>
      <c r="B539" s="7">
        <v>113</v>
      </c>
      <c r="C539" s="7">
        <v>20.399999999999999</v>
      </c>
      <c r="D539" s="7">
        <v>47.6</v>
      </c>
      <c r="E539" s="7">
        <v>7.6</v>
      </c>
      <c r="F539" s="7">
        <v>27.3</v>
      </c>
      <c r="G539" s="7">
        <v>22.5</v>
      </c>
      <c r="H539" s="7">
        <v>220.2</v>
      </c>
      <c r="I539" s="7">
        <v>71.8</v>
      </c>
      <c r="J539" s="7">
        <v>39.299999999999997</v>
      </c>
      <c r="K539" s="7">
        <v>186.2</v>
      </c>
      <c r="L539" s="7">
        <v>108.1</v>
      </c>
      <c r="M539" s="7">
        <v>185.3</v>
      </c>
      <c r="N539" s="7">
        <v>266</v>
      </c>
      <c r="O539" s="7">
        <v>84</v>
      </c>
      <c r="P539" s="7">
        <v>126.9</v>
      </c>
      <c r="Q539" s="7">
        <v>7</v>
      </c>
    </row>
    <row r="540" spans="1:17">
      <c r="A540" s="2">
        <v>2488</v>
      </c>
      <c r="B540" s="7">
        <v>113</v>
      </c>
      <c r="C540" s="7">
        <v>20.399999999999999</v>
      </c>
      <c r="D540" s="7">
        <v>47.6</v>
      </c>
      <c r="E540" s="7">
        <v>7.6</v>
      </c>
      <c r="F540" s="7">
        <v>27.3</v>
      </c>
      <c r="G540" s="7">
        <v>22.5</v>
      </c>
      <c r="H540" s="7">
        <v>220.2</v>
      </c>
      <c r="I540" s="7">
        <v>71.8</v>
      </c>
      <c r="J540" s="7">
        <v>39.299999999999997</v>
      </c>
      <c r="K540" s="7">
        <v>186.2</v>
      </c>
      <c r="L540" s="7">
        <v>108.1</v>
      </c>
      <c r="M540" s="7">
        <v>185.3</v>
      </c>
      <c r="N540" s="7">
        <v>266</v>
      </c>
      <c r="O540" s="7">
        <v>84</v>
      </c>
      <c r="P540" s="7">
        <v>126.9</v>
      </c>
      <c r="Q540" s="7">
        <v>7</v>
      </c>
    </row>
    <row r="541" spans="1:17">
      <c r="A541" s="2">
        <v>2489</v>
      </c>
      <c r="B541" s="7">
        <v>113</v>
      </c>
      <c r="C541" s="7">
        <v>20.399999999999999</v>
      </c>
      <c r="D541" s="7">
        <v>47.6</v>
      </c>
      <c r="E541" s="7">
        <v>7.6</v>
      </c>
      <c r="F541" s="7">
        <v>27.3</v>
      </c>
      <c r="G541" s="7">
        <v>22.5</v>
      </c>
      <c r="H541" s="7">
        <v>220.2</v>
      </c>
      <c r="I541" s="7">
        <v>71.8</v>
      </c>
      <c r="J541" s="7">
        <v>39.299999999999997</v>
      </c>
      <c r="K541" s="7">
        <v>186.2</v>
      </c>
      <c r="L541" s="7">
        <v>108.1</v>
      </c>
      <c r="M541" s="7">
        <v>185.3</v>
      </c>
      <c r="N541" s="7">
        <v>266</v>
      </c>
      <c r="O541" s="7">
        <v>84</v>
      </c>
      <c r="P541" s="7">
        <v>126.9</v>
      </c>
      <c r="Q541" s="7">
        <v>7</v>
      </c>
    </row>
    <row r="542" spans="1:17">
      <c r="A542" s="2">
        <v>2490</v>
      </c>
      <c r="B542" s="7">
        <v>113</v>
      </c>
      <c r="C542" s="7">
        <v>20.399999999999999</v>
      </c>
      <c r="D542" s="7">
        <v>47.6</v>
      </c>
      <c r="E542" s="7">
        <v>7.6</v>
      </c>
      <c r="F542" s="7">
        <v>27.3</v>
      </c>
      <c r="G542" s="7">
        <v>22.5</v>
      </c>
      <c r="H542" s="7">
        <v>220.2</v>
      </c>
      <c r="I542" s="7">
        <v>71.8</v>
      </c>
      <c r="J542" s="7">
        <v>39.299999999999997</v>
      </c>
      <c r="K542" s="7">
        <v>186.2</v>
      </c>
      <c r="L542" s="7">
        <v>108.1</v>
      </c>
      <c r="M542" s="7">
        <v>185.3</v>
      </c>
      <c r="N542" s="7">
        <v>266</v>
      </c>
      <c r="O542" s="7">
        <v>84</v>
      </c>
      <c r="P542" s="7">
        <v>126.9</v>
      </c>
      <c r="Q542" s="7">
        <v>7</v>
      </c>
    </row>
    <row r="543" spans="1:17">
      <c r="A543" s="2">
        <v>2491</v>
      </c>
      <c r="B543" s="7">
        <v>113</v>
      </c>
      <c r="C543" s="7">
        <v>20.399999999999999</v>
      </c>
      <c r="D543" s="7">
        <v>47.6</v>
      </c>
      <c r="E543" s="7">
        <v>7.6</v>
      </c>
      <c r="F543" s="7">
        <v>27.3</v>
      </c>
      <c r="G543" s="7">
        <v>22.5</v>
      </c>
      <c r="H543" s="7">
        <v>220.2</v>
      </c>
      <c r="I543" s="7">
        <v>71.8</v>
      </c>
      <c r="J543" s="7">
        <v>39.299999999999997</v>
      </c>
      <c r="K543" s="7">
        <v>186.2</v>
      </c>
      <c r="L543" s="7">
        <v>108.1</v>
      </c>
      <c r="M543" s="7">
        <v>185.3</v>
      </c>
      <c r="N543" s="7">
        <v>266</v>
      </c>
      <c r="O543" s="7">
        <v>84</v>
      </c>
      <c r="P543" s="7">
        <v>126.9</v>
      </c>
      <c r="Q543" s="7">
        <v>7</v>
      </c>
    </row>
    <row r="544" spans="1:17">
      <c r="A544" s="2">
        <v>2492</v>
      </c>
      <c r="B544" s="7">
        <v>113</v>
      </c>
      <c r="C544" s="7">
        <v>20.399999999999999</v>
      </c>
      <c r="D544" s="7">
        <v>47.6</v>
      </c>
      <c r="E544" s="7">
        <v>7.6</v>
      </c>
      <c r="F544" s="7">
        <v>27.3</v>
      </c>
      <c r="G544" s="7">
        <v>22.5</v>
      </c>
      <c r="H544" s="7">
        <v>220.2</v>
      </c>
      <c r="I544" s="7">
        <v>71.8</v>
      </c>
      <c r="J544" s="7">
        <v>39.299999999999997</v>
      </c>
      <c r="K544" s="7">
        <v>186.2</v>
      </c>
      <c r="L544" s="7">
        <v>108.1</v>
      </c>
      <c r="M544" s="7">
        <v>185.3</v>
      </c>
      <c r="N544" s="7">
        <v>266</v>
      </c>
      <c r="O544" s="7">
        <v>84</v>
      </c>
      <c r="P544" s="7">
        <v>126.9</v>
      </c>
      <c r="Q544" s="7">
        <v>7</v>
      </c>
    </row>
    <row r="545" spans="1:17">
      <c r="A545" s="2">
        <v>2493</v>
      </c>
      <c r="B545" s="7">
        <v>113</v>
      </c>
      <c r="C545" s="7">
        <v>20.399999999999999</v>
      </c>
      <c r="D545" s="7">
        <v>47.6</v>
      </c>
      <c r="E545" s="7">
        <v>7.6</v>
      </c>
      <c r="F545" s="7">
        <v>27.3</v>
      </c>
      <c r="G545" s="7">
        <v>22.5</v>
      </c>
      <c r="H545" s="7">
        <v>220.2</v>
      </c>
      <c r="I545" s="7">
        <v>71.8</v>
      </c>
      <c r="J545" s="7">
        <v>39.299999999999997</v>
      </c>
      <c r="K545" s="7">
        <v>186.2</v>
      </c>
      <c r="L545" s="7">
        <v>108.1</v>
      </c>
      <c r="M545" s="7">
        <v>185.3</v>
      </c>
      <c r="N545" s="7">
        <v>266</v>
      </c>
      <c r="O545" s="7">
        <v>84</v>
      </c>
      <c r="P545" s="7">
        <v>126.9</v>
      </c>
      <c r="Q545" s="7">
        <v>7</v>
      </c>
    </row>
    <row r="546" spans="1:17">
      <c r="A546" s="2">
        <v>2494</v>
      </c>
      <c r="B546" s="7">
        <v>113</v>
      </c>
      <c r="C546" s="7">
        <v>20.399999999999999</v>
      </c>
      <c r="D546" s="7">
        <v>47.6</v>
      </c>
      <c r="E546" s="7">
        <v>7.6</v>
      </c>
      <c r="F546" s="7">
        <v>27.3</v>
      </c>
      <c r="G546" s="7">
        <v>22.5</v>
      </c>
      <c r="H546" s="7">
        <v>220.2</v>
      </c>
      <c r="I546" s="7">
        <v>71.8</v>
      </c>
      <c r="J546" s="7">
        <v>39.299999999999997</v>
      </c>
      <c r="K546" s="7">
        <v>186.2</v>
      </c>
      <c r="L546" s="7">
        <v>108.1</v>
      </c>
      <c r="M546" s="7">
        <v>185.3</v>
      </c>
      <c r="N546" s="7">
        <v>266</v>
      </c>
      <c r="O546" s="7">
        <v>84</v>
      </c>
      <c r="P546" s="7">
        <v>126.9</v>
      </c>
      <c r="Q546" s="7">
        <v>7</v>
      </c>
    </row>
    <row r="547" spans="1:17">
      <c r="A547" s="2">
        <v>2495</v>
      </c>
      <c r="B547" s="7">
        <v>113</v>
      </c>
      <c r="C547" s="7">
        <v>20.399999999999999</v>
      </c>
      <c r="D547" s="7">
        <v>47.6</v>
      </c>
      <c r="E547" s="7">
        <v>7.6</v>
      </c>
      <c r="F547" s="7">
        <v>27.3</v>
      </c>
      <c r="G547" s="7">
        <v>22.5</v>
      </c>
      <c r="H547" s="7">
        <v>220.2</v>
      </c>
      <c r="I547" s="7">
        <v>71.8</v>
      </c>
      <c r="J547" s="7">
        <v>39.299999999999997</v>
      </c>
      <c r="K547" s="7">
        <v>186.2</v>
      </c>
      <c r="L547" s="7">
        <v>108.1</v>
      </c>
      <c r="M547" s="7">
        <v>185.3</v>
      </c>
      <c r="N547" s="7">
        <v>266</v>
      </c>
      <c r="O547" s="7">
        <v>84</v>
      </c>
      <c r="P547" s="7">
        <v>126.9</v>
      </c>
      <c r="Q547" s="7">
        <v>7</v>
      </c>
    </row>
    <row r="548" spans="1:17">
      <c r="A548" s="2">
        <v>2496</v>
      </c>
      <c r="B548" s="7">
        <v>113</v>
      </c>
      <c r="C548" s="7">
        <v>20.399999999999999</v>
      </c>
      <c r="D548" s="7">
        <v>47.6</v>
      </c>
      <c r="E548" s="7">
        <v>7.6</v>
      </c>
      <c r="F548" s="7">
        <v>27.3</v>
      </c>
      <c r="G548" s="7">
        <v>22.5</v>
      </c>
      <c r="H548" s="7">
        <v>220.2</v>
      </c>
      <c r="I548" s="7">
        <v>71.8</v>
      </c>
      <c r="J548" s="7">
        <v>39.299999999999997</v>
      </c>
      <c r="K548" s="7">
        <v>186.2</v>
      </c>
      <c r="L548" s="7">
        <v>108.1</v>
      </c>
      <c r="M548" s="7">
        <v>185.3</v>
      </c>
      <c r="N548" s="7">
        <v>266</v>
      </c>
      <c r="O548" s="7">
        <v>84</v>
      </c>
      <c r="P548" s="7">
        <v>126.9</v>
      </c>
      <c r="Q548" s="7">
        <v>7</v>
      </c>
    </row>
    <row r="549" spans="1:17">
      <c r="A549" s="2">
        <v>2497</v>
      </c>
      <c r="B549" s="7">
        <v>113</v>
      </c>
      <c r="C549" s="7">
        <v>20.399999999999999</v>
      </c>
      <c r="D549" s="7">
        <v>47.6</v>
      </c>
      <c r="E549" s="7">
        <v>7.6</v>
      </c>
      <c r="F549" s="7">
        <v>27.3</v>
      </c>
      <c r="G549" s="7">
        <v>22.5</v>
      </c>
      <c r="H549" s="7">
        <v>220.2</v>
      </c>
      <c r="I549" s="7">
        <v>71.8</v>
      </c>
      <c r="J549" s="7">
        <v>39.299999999999997</v>
      </c>
      <c r="K549" s="7">
        <v>186.2</v>
      </c>
      <c r="L549" s="7">
        <v>108.1</v>
      </c>
      <c r="M549" s="7">
        <v>185.3</v>
      </c>
      <c r="N549" s="7">
        <v>266</v>
      </c>
      <c r="O549" s="7">
        <v>84</v>
      </c>
      <c r="P549" s="7">
        <v>126.9</v>
      </c>
      <c r="Q549" s="7">
        <v>7</v>
      </c>
    </row>
    <row r="550" spans="1:17">
      <c r="A550" s="2">
        <v>2498</v>
      </c>
      <c r="B550" s="7">
        <v>113</v>
      </c>
      <c r="C550" s="7">
        <v>20.399999999999999</v>
      </c>
      <c r="D550" s="7">
        <v>47.6</v>
      </c>
      <c r="E550" s="7">
        <v>7.6</v>
      </c>
      <c r="F550" s="7">
        <v>27.3</v>
      </c>
      <c r="G550" s="7">
        <v>22.5</v>
      </c>
      <c r="H550" s="7">
        <v>220.2</v>
      </c>
      <c r="I550" s="7">
        <v>71.8</v>
      </c>
      <c r="J550" s="7">
        <v>39.299999999999997</v>
      </c>
      <c r="K550" s="7">
        <v>186.2</v>
      </c>
      <c r="L550" s="7">
        <v>108.1</v>
      </c>
      <c r="M550" s="7">
        <v>185.3</v>
      </c>
      <c r="N550" s="7">
        <v>266</v>
      </c>
      <c r="O550" s="7">
        <v>84</v>
      </c>
      <c r="P550" s="7">
        <v>126.9</v>
      </c>
      <c r="Q550" s="7">
        <v>7</v>
      </c>
    </row>
    <row r="551" spans="1:17">
      <c r="A551" s="2">
        <v>2499</v>
      </c>
      <c r="B551" s="7">
        <v>113</v>
      </c>
      <c r="C551" s="7">
        <v>20.399999999999999</v>
      </c>
      <c r="D551" s="7">
        <v>47.6</v>
      </c>
      <c r="E551" s="7">
        <v>7.6</v>
      </c>
      <c r="F551" s="7">
        <v>27.3</v>
      </c>
      <c r="G551" s="7">
        <v>22.5</v>
      </c>
      <c r="H551" s="7">
        <v>220.2</v>
      </c>
      <c r="I551" s="7">
        <v>71.8</v>
      </c>
      <c r="J551" s="7">
        <v>39.299999999999997</v>
      </c>
      <c r="K551" s="7">
        <v>186.2</v>
      </c>
      <c r="L551" s="7">
        <v>108.1</v>
      </c>
      <c r="M551" s="7">
        <v>185.3</v>
      </c>
      <c r="N551" s="7">
        <v>266</v>
      </c>
      <c r="O551" s="7">
        <v>84</v>
      </c>
      <c r="P551" s="7">
        <v>126.9</v>
      </c>
      <c r="Q551" s="7">
        <v>7</v>
      </c>
    </row>
    <row r="552" spans="1:17">
      <c r="A552" s="2">
        <v>2500</v>
      </c>
      <c r="B552" s="7">
        <v>113</v>
      </c>
      <c r="C552" s="7">
        <v>20.399999999999999</v>
      </c>
      <c r="D552" s="7">
        <v>47.6</v>
      </c>
      <c r="E552" s="7">
        <v>7.6</v>
      </c>
      <c r="F552" s="7">
        <v>27.3</v>
      </c>
      <c r="G552" s="7">
        <v>22.5</v>
      </c>
      <c r="H552" s="7">
        <v>220.2</v>
      </c>
      <c r="I552" s="7">
        <v>71.8</v>
      </c>
      <c r="J552" s="7">
        <v>39.299999999999997</v>
      </c>
      <c r="K552" s="7">
        <v>186.2</v>
      </c>
      <c r="L552" s="7">
        <v>108.1</v>
      </c>
      <c r="M552" s="7">
        <v>185.3</v>
      </c>
      <c r="N552" s="7">
        <v>266</v>
      </c>
      <c r="O552" s="7">
        <v>84</v>
      </c>
      <c r="P552" s="7">
        <v>126.9</v>
      </c>
      <c r="Q552" s="7">
        <v>7</v>
      </c>
    </row>
    <row r="553" spans="1:17">
      <c r="A553" s="2">
        <v>2501</v>
      </c>
      <c r="B553" s="7">
        <v>113</v>
      </c>
      <c r="C553" s="7">
        <v>20.399999999999999</v>
      </c>
      <c r="D553" s="7">
        <v>47.6</v>
      </c>
      <c r="E553" s="7">
        <v>7.6</v>
      </c>
      <c r="F553" s="7">
        <v>27.3</v>
      </c>
      <c r="G553" s="7">
        <v>22.5</v>
      </c>
      <c r="H553" s="7">
        <v>220.2</v>
      </c>
      <c r="I553" s="7">
        <v>71.8</v>
      </c>
      <c r="J553" s="7">
        <v>39.299999999999997</v>
      </c>
      <c r="K553" s="7">
        <v>186.2</v>
      </c>
      <c r="L553" s="7">
        <v>108.1</v>
      </c>
      <c r="M553" s="7">
        <v>185.3</v>
      </c>
      <c r="N553" s="7">
        <v>266</v>
      </c>
      <c r="O553" s="7">
        <v>84</v>
      </c>
      <c r="P553" s="7">
        <v>126.9</v>
      </c>
      <c r="Q553" s="7">
        <v>7</v>
      </c>
    </row>
    <row r="554" spans="1:17">
      <c r="A554" s="2">
        <v>2502</v>
      </c>
      <c r="B554" s="7">
        <v>113</v>
      </c>
      <c r="C554" s="7">
        <v>20.399999999999999</v>
      </c>
      <c r="D554" s="7">
        <v>47.6</v>
      </c>
      <c r="E554" s="7">
        <v>7.6</v>
      </c>
      <c r="F554" s="7">
        <v>27.3</v>
      </c>
      <c r="G554" s="7">
        <v>22.5</v>
      </c>
      <c r="H554" s="7">
        <v>220.2</v>
      </c>
      <c r="I554" s="7">
        <v>71.8</v>
      </c>
      <c r="J554" s="7">
        <v>39.299999999999997</v>
      </c>
      <c r="K554" s="7">
        <v>186.2</v>
      </c>
      <c r="L554" s="7">
        <v>108.1</v>
      </c>
      <c r="M554" s="7">
        <v>185.3</v>
      </c>
      <c r="N554" s="7">
        <v>266</v>
      </c>
      <c r="O554" s="7">
        <v>84</v>
      </c>
      <c r="P554" s="7">
        <v>126.9</v>
      </c>
      <c r="Q554" s="7">
        <v>7</v>
      </c>
    </row>
    <row r="555" spans="1:17">
      <c r="A555" s="2">
        <v>2503</v>
      </c>
      <c r="B555" s="7">
        <v>113</v>
      </c>
      <c r="C555" s="7">
        <v>20.399999999999999</v>
      </c>
      <c r="D555" s="7">
        <v>47.6</v>
      </c>
      <c r="E555" s="7">
        <v>7.6</v>
      </c>
      <c r="F555" s="7">
        <v>27.3</v>
      </c>
      <c r="G555" s="7">
        <v>22.5</v>
      </c>
      <c r="H555" s="7">
        <v>220.2</v>
      </c>
      <c r="I555" s="7">
        <v>71.8</v>
      </c>
      <c r="J555" s="7">
        <v>39.299999999999997</v>
      </c>
      <c r="K555" s="7">
        <v>186.2</v>
      </c>
      <c r="L555" s="7">
        <v>108.1</v>
      </c>
      <c r="M555" s="7">
        <v>185.3</v>
      </c>
      <c r="N555" s="7">
        <v>266</v>
      </c>
      <c r="O555" s="7">
        <v>84</v>
      </c>
      <c r="P555" s="7">
        <v>126.9</v>
      </c>
      <c r="Q555" s="7">
        <v>7</v>
      </c>
    </row>
    <row r="556" spans="1:17">
      <c r="A556" s="2">
        <v>2504</v>
      </c>
      <c r="B556" s="7">
        <v>113</v>
      </c>
      <c r="C556" s="7">
        <v>20.399999999999999</v>
      </c>
      <c r="D556" s="7">
        <v>47.6</v>
      </c>
      <c r="E556" s="7">
        <v>7.6</v>
      </c>
      <c r="F556" s="7">
        <v>27.3</v>
      </c>
      <c r="G556" s="7">
        <v>22.5</v>
      </c>
      <c r="H556" s="7">
        <v>220.2</v>
      </c>
      <c r="I556" s="7">
        <v>71.8</v>
      </c>
      <c r="J556" s="7">
        <v>39.299999999999997</v>
      </c>
      <c r="K556" s="7">
        <v>186.2</v>
      </c>
      <c r="L556" s="7">
        <v>108.1</v>
      </c>
      <c r="M556" s="7">
        <v>185.3</v>
      </c>
      <c r="N556" s="7">
        <v>266</v>
      </c>
      <c r="O556" s="7">
        <v>84</v>
      </c>
      <c r="P556" s="7">
        <v>126.9</v>
      </c>
      <c r="Q556" s="7">
        <v>7</v>
      </c>
    </row>
    <row r="557" spans="1:17">
      <c r="A557" s="2">
        <v>2505</v>
      </c>
      <c r="B557" s="7">
        <v>113</v>
      </c>
      <c r="C557" s="7">
        <v>20.399999999999999</v>
      </c>
      <c r="D557" s="7">
        <v>47.6</v>
      </c>
      <c r="E557" s="7">
        <v>7.6</v>
      </c>
      <c r="F557" s="7">
        <v>27.3</v>
      </c>
      <c r="G557" s="7">
        <v>22.5</v>
      </c>
      <c r="H557" s="7">
        <v>220.2</v>
      </c>
      <c r="I557" s="7">
        <v>71.8</v>
      </c>
      <c r="J557" s="7">
        <v>39.299999999999997</v>
      </c>
      <c r="K557" s="7">
        <v>186.2</v>
      </c>
      <c r="L557" s="7">
        <v>108.1</v>
      </c>
      <c r="M557" s="7">
        <v>185.3</v>
      </c>
      <c r="N557" s="7">
        <v>266</v>
      </c>
      <c r="O557" s="7">
        <v>84</v>
      </c>
      <c r="P557" s="7">
        <v>126.9</v>
      </c>
      <c r="Q557" s="7">
        <v>7</v>
      </c>
    </row>
    <row r="558" spans="1:17">
      <c r="A558" s="2">
        <v>2506</v>
      </c>
      <c r="B558" s="7">
        <v>113</v>
      </c>
      <c r="C558" s="7">
        <v>20.399999999999999</v>
      </c>
      <c r="D558" s="7">
        <v>47.6</v>
      </c>
      <c r="E558" s="7">
        <v>7.6</v>
      </c>
      <c r="F558" s="7">
        <v>27.3</v>
      </c>
      <c r="G558" s="7">
        <v>22.5</v>
      </c>
      <c r="H558" s="7">
        <v>220.2</v>
      </c>
      <c r="I558" s="7">
        <v>71.8</v>
      </c>
      <c r="J558" s="7">
        <v>39.299999999999997</v>
      </c>
      <c r="K558" s="7">
        <v>186.2</v>
      </c>
      <c r="L558" s="7">
        <v>108.1</v>
      </c>
      <c r="M558" s="7">
        <v>185.3</v>
      </c>
      <c r="N558" s="7">
        <v>266</v>
      </c>
      <c r="O558" s="7">
        <v>84</v>
      </c>
      <c r="P558" s="7">
        <v>126.9</v>
      </c>
      <c r="Q558" s="7">
        <v>7</v>
      </c>
    </row>
    <row r="559" spans="1:17">
      <c r="A559" s="2">
        <v>2507</v>
      </c>
      <c r="B559" s="7">
        <v>113</v>
      </c>
      <c r="C559" s="7">
        <v>20.399999999999999</v>
      </c>
      <c r="D559" s="7">
        <v>47.6</v>
      </c>
      <c r="E559" s="7">
        <v>7.6</v>
      </c>
      <c r="F559" s="7">
        <v>27.3</v>
      </c>
      <c r="G559" s="7">
        <v>22.5</v>
      </c>
      <c r="H559" s="7">
        <v>220.2</v>
      </c>
      <c r="I559" s="7">
        <v>71.8</v>
      </c>
      <c r="J559" s="7">
        <v>39.299999999999997</v>
      </c>
      <c r="K559" s="7">
        <v>186.2</v>
      </c>
      <c r="L559" s="7">
        <v>108.1</v>
      </c>
      <c r="M559" s="7">
        <v>185.3</v>
      </c>
      <c r="N559" s="7">
        <v>266</v>
      </c>
      <c r="O559" s="7">
        <v>84</v>
      </c>
      <c r="P559" s="7">
        <v>126.9</v>
      </c>
      <c r="Q559" s="7">
        <v>7</v>
      </c>
    </row>
    <row r="560" spans="1:17">
      <c r="A560" s="2">
        <v>2508</v>
      </c>
      <c r="B560" s="7">
        <v>113</v>
      </c>
      <c r="C560" s="7">
        <v>20.399999999999999</v>
      </c>
      <c r="D560" s="7">
        <v>47.6</v>
      </c>
      <c r="E560" s="7">
        <v>7.6</v>
      </c>
      <c r="F560" s="7">
        <v>27.3</v>
      </c>
      <c r="G560" s="7">
        <v>22.5</v>
      </c>
      <c r="H560" s="7">
        <v>220.2</v>
      </c>
      <c r="I560" s="7">
        <v>71.8</v>
      </c>
      <c r="J560" s="7">
        <v>39.299999999999997</v>
      </c>
      <c r="K560" s="7">
        <v>186.2</v>
      </c>
      <c r="L560" s="7">
        <v>108.1</v>
      </c>
      <c r="M560" s="7">
        <v>185.3</v>
      </c>
      <c r="N560" s="7">
        <v>266</v>
      </c>
      <c r="O560" s="7">
        <v>84</v>
      </c>
      <c r="P560" s="7">
        <v>126.9</v>
      </c>
      <c r="Q560" s="7">
        <v>7</v>
      </c>
    </row>
    <row r="561" spans="1:17">
      <c r="A561" s="2">
        <v>2509</v>
      </c>
      <c r="B561" s="7">
        <v>113</v>
      </c>
      <c r="C561" s="7">
        <v>20.399999999999999</v>
      </c>
      <c r="D561" s="7">
        <v>47.6</v>
      </c>
      <c r="E561" s="7">
        <v>7.6</v>
      </c>
      <c r="F561" s="7">
        <v>27.3</v>
      </c>
      <c r="G561" s="7">
        <v>22.5</v>
      </c>
      <c r="H561" s="7">
        <v>220.2</v>
      </c>
      <c r="I561" s="7">
        <v>71.8</v>
      </c>
      <c r="J561" s="7">
        <v>39.299999999999997</v>
      </c>
      <c r="K561" s="7">
        <v>186.2</v>
      </c>
      <c r="L561" s="7">
        <v>108.1</v>
      </c>
      <c r="M561" s="7">
        <v>185.3</v>
      </c>
      <c r="N561" s="7">
        <v>266</v>
      </c>
      <c r="O561" s="7">
        <v>84</v>
      </c>
      <c r="P561" s="7">
        <v>126.9</v>
      </c>
      <c r="Q561" s="7">
        <v>7</v>
      </c>
    </row>
    <row r="562" spans="1:17">
      <c r="A562" s="2">
        <v>2510</v>
      </c>
      <c r="B562" s="7">
        <v>113</v>
      </c>
      <c r="C562" s="7">
        <v>20.399999999999999</v>
      </c>
      <c r="D562" s="7">
        <v>47.6</v>
      </c>
      <c r="E562" s="7">
        <v>7.6</v>
      </c>
      <c r="F562" s="7">
        <v>27.3</v>
      </c>
      <c r="G562" s="7">
        <v>22.5</v>
      </c>
      <c r="H562" s="7">
        <v>220.2</v>
      </c>
      <c r="I562" s="7">
        <v>71.8</v>
      </c>
      <c r="J562" s="7">
        <v>39.299999999999997</v>
      </c>
      <c r="K562" s="7">
        <v>186.2</v>
      </c>
      <c r="L562" s="7">
        <v>108.1</v>
      </c>
      <c r="M562" s="7">
        <v>185.3</v>
      </c>
      <c r="N562" s="7">
        <v>266</v>
      </c>
      <c r="O562" s="7">
        <v>84</v>
      </c>
      <c r="P562" s="7">
        <v>126.9</v>
      </c>
      <c r="Q562" s="7">
        <v>7</v>
      </c>
    </row>
    <row r="563" spans="1:17">
      <c r="A563" s="2">
        <v>2511</v>
      </c>
      <c r="B563" s="7">
        <v>113</v>
      </c>
      <c r="C563" s="7">
        <v>20.399999999999999</v>
      </c>
      <c r="D563" s="7">
        <v>47.6</v>
      </c>
      <c r="E563" s="7">
        <v>7.6</v>
      </c>
      <c r="F563" s="7">
        <v>27.3</v>
      </c>
      <c r="G563" s="7">
        <v>22.5</v>
      </c>
      <c r="H563" s="7">
        <v>220.2</v>
      </c>
      <c r="I563" s="7">
        <v>71.8</v>
      </c>
      <c r="J563" s="7">
        <v>39.299999999999997</v>
      </c>
      <c r="K563" s="7">
        <v>186.2</v>
      </c>
      <c r="L563" s="7">
        <v>108.1</v>
      </c>
      <c r="M563" s="7">
        <v>185.3</v>
      </c>
      <c r="N563" s="7">
        <v>266</v>
      </c>
      <c r="O563" s="7">
        <v>84</v>
      </c>
      <c r="P563" s="7">
        <v>126.9</v>
      </c>
      <c r="Q563" s="7">
        <v>7</v>
      </c>
    </row>
    <row r="564" spans="1:17">
      <c r="A564" s="2">
        <v>2512</v>
      </c>
      <c r="B564" s="7">
        <v>113</v>
      </c>
      <c r="C564" s="7">
        <v>20.399999999999999</v>
      </c>
      <c r="D564" s="7">
        <v>47.6</v>
      </c>
      <c r="E564" s="7">
        <v>7.6</v>
      </c>
      <c r="F564" s="7">
        <v>27.3</v>
      </c>
      <c r="G564" s="7">
        <v>22.5</v>
      </c>
      <c r="H564" s="7">
        <v>220.2</v>
      </c>
      <c r="I564" s="7">
        <v>71.8</v>
      </c>
      <c r="J564" s="7">
        <v>39.299999999999997</v>
      </c>
      <c r="K564" s="7">
        <v>186.2</v>
      </c>
      <c r="L564" s="7">
        <v>108.1</v>
      </c>
      <c r="M564" s="7">
        <v>185.3</v>
      </c>
      <c r="N564" s="7">
        <v>266</v>
      </c>
      <c r="O564" s="7">
        <v>84</v>
      </c>
      <c r="P564" s="7">
        <v>126.9</v>
      </c>
      <c r="Q564" s="7">
        <v>7</v>
      </c>
    </row>
    <row r="565" spans="1:17">
      <c r="A565" s="2">
        <v>2513</v>
      </c>
      <c r="B565" s="7">
        <v>113</v>
      </c>
      <c r="C565" s="7">
        <v>20.399999999999999</v>
      </c>
      <c r="D565" s="7">
        <v>47.6</v>
      </c>
      <c r="E565" s="7">
        <v>7.6</v>
      </c>
      <c r="F565" s="7">
        <v>27.3</v>
      </c>
      <c r="G565" s="7">
        <v>22.5</v>
      </c>
      <c r="H565" s="7">
        <v>220.2</v>
      </c>
      <c r="I565" s="7">
        <v>71.8</v>
      </c>
      <c r="J565" s="7">
        <v>39.299999999999997</v>
      </c>
      <c r="K565" s="7">
        <v>186.2</v>
      </c>
      <c r="L565" s="7">
        <v>108.1</v>
      </c>
      <c r="M565" s="7">
        <v>185.3</v>
      </c>
      <c r="N565" s="7">
        <v>266</v>
      </c>
      <c r="O565" s="7">
        <v>84</v>
      </c>
      <c r="P565" s="7">
        <v>126.9</v>
      </c>
      <c r="Q565" s="7">
        <v>7</v>
      </c>
    </row>
    <row r="566" spans="1:17">
      <c r="A566" s="2">
        <v>2514</v>
      </c>
      <c r="B566" s="7">
        <v>113</v>
      </c>
      <c r="C566" s="7">
        <v>20.399999999999999</v>
      </c>
      <c r="D566" s="7">
        <v>47.6</v>
      </c>
      <c r="E566" s="7">
        <v>7.6</v>
      </c>
      <c r="F566" s="7">
        <v>27.3</v>
      </c>
      <c r="G566" s="7">
        <v>22.5</v>
      </c>
      <c r="H566" s="7">
        <v>220.2</v>
      </c>
      <c r="I566" s="7">
        <v>71.8</v>
      </c>
      <c r="J566" s="7">
        <v>39.299999999999997</v>
      </c>
      <c r="K566" s="7">
        <v>186.2</v>
      </c>
      <c r="L566" s="7">
        <v>108.1</v>
      </c>
      <c r="M566" s="7">
        <v>185.3</v>
      </c>
      <c r="N566" s="7">
        <v>266</v>
      </c>
      <c r="O566" s="7">
        <v>84</v>
      </c>
      <c r="P566" s="7">
        <v>126.9</v>
      </c>
      <c r="Q566" s="7">
        <v>7</v>
      </c>
    </row>
    <row r="567" spans="1:17">
      <c r="A567" s="2">
        <v>2515</v>
      </c>
      <c r="B567" s="7">
        <v>113</v>
      </c>
      <c r="C567" s="7">
        <v>20.399999999999999</v>
      </c>
      <c r="D567" s="7">
        <v>47.6</v>
      </c>
      <c r="E567" s="7">
        <v>7.6</v>
      </c>
      <c r="F567" s="7">
        <v>27.3</v>
      </c>
      <c r="G567" s="7">
        <v>22.5</v>
      </c>
      <c r="H567" s="7">
        <v>220.2</v>
      </c>
      <c r="I567" s="7">
        <v>71.8</v>
      </c>
      <c r="J567" s="7">
        <v>39.299999999999997</v>
      </c>
      <c r="K567" s="7">
        <v>186.2</v>
      </c>
      <c r="L567" s="7">
        <v>108.1</v>
      </c>
      <c r="M567" s="7">
        <v>185.3</v>
      </c>
      <c r="N567" s="7">
        <v>266</v>
      </c>
      <c r="O567" s="7">
        <v>84</v>
      </c>
      <c r="P567" s="7">
        <v>126.9</v>
      </c>
      <c r="Q567" s="7">
        <v>7</v>
      </c>
    </row>
    <row r="568" spans="1:17">
      <c r="A568" s="2">
        <v>2516</v>
      </c>
      <c r="B568" s="7">
        <v>113</v>
      </c>
      <c r="C568" s="7">
        <v>20.399999999999999</v>
      </c>
      <c r="D568" s="7">
        <v>47.6</v>
      </c>
      <c r="E568" s="7">
        <v>7.6</v>
      </c>
      <c r="F568" s="7">
        <v>27.3</v>
      </c>
      <c r="G568" s="7">
        <v>22.5</v>
      </c>
      <c r="H568" s="7">
        <v>220.2</v>
      </c>
      <c r="I568" s="7">
        <v>71.8</v>
      </c>
      <c r="J568" s="7">
        <v>39.299999999999997</v>
      </c>
      <c r="K568" s="7">
        <v>186.2</v>
      </c>
      <c r="L568" s="7">
        <v>108.1</v>
      </c>
      <c r="M568" s="7">
        <v>185.3</v>
      </c>
      <c r="N568" s="7">
        <v>266</v>
      </c>
      <c r="O568" s="7">
        <v>84</v>
      </c>
      <c r="P568" s="7">
        <v>126.9</v>
      </c>
      <c r="Q568" s="7">
        <v>7</v>
      </c>
    </row>
    <row r="569" spans="1:17">
      <c r="A569" s="2">
        <v>2517</v>
      </c>
      <c r="B569" s="7">
        <v>113</v>
      </c>
      <c r="C569" s="7">
        <v>20.399999999999999</v>
      </c>
      <c r="D569" s="7">
        <v>47.6</v>
      </c>
      <c r="E569" s="7">
        <v>7.6</v>
      </c>
      <c r="F569" s="7">
        <v>27.3</v>
      </c>
      <c r="G569" s="7">
        <v>22.5</v>
      </c>
      <c r="H569" s="7">
        <v>220.2</v>
      </c>
      <c r="I569" s="7">
        <v>71.8</v>
      </c>
      <c r="J569" s="7">
        <v>39.299999999999997</v>
      </c>
      <c r="K569" s="7">
        <v>186.2</v>
      </c>
      <c r="L569" s="7">
        <v>108.1</v>
      </c>
      <c r="M569" s="7">
        <v>185.3</v>
      </c>
      <c r="N569" s="7">
        <v>266</v>
      </c>
      <c r="O569" s="7">
        <v>84</v>
      </c>
      <c r="P569" s="7">
        <v>126.9</v>
      </c>
      <c r="Q569" s="7">
        <v>7</v>
      </c>
    </row>
    <row r="570" spans="1:17">
      <c r="A570" s="2">
        <v>2518</v>
      </c>
      <c r="B570" s="7">
        <v>113</v>
      </c>
      <c r="C570" s="7">
        <v>20.399999999999999</v>
      </c>
      <c r="D570" s="7">
        <v>47.6</v>
      </c>
      <c r="E570" s="7">
        <v>7.6</v>
      </c>
      <c r="F570" s="7">
        <v>27.3</v>
      </c>
      <c r="G570" s="7">
        <v>22.5</v>
      </c>
      <c r="H570" s="7">
        <v>220.2</v>
      </c>
      <c r="I570" s="7">
        <v>71.8</v>
      </c>
      <c r="J570" s="7">
        <v>39.299999999999997</v>
      </c>
      <c r="K570" s="7">
        <v>186.2</v>
      </c>
      <c r="L570" s="7">
        <v>108.1</v>
      </c>
      <c r="M570" s="7">
        <v>185.3</v>
      </c>
      <c r="N570" s="7">
        <v>266</v>
      </c>
      <c r="O570" s="7">
        <v>84</v>
      </c>
      <c r="P570" s="7">
        <v>126.9</v>
      </c>
      <c r="Q570" s="7">
        <v>7</v>
      </c>
    </row>
    <row r="571" spans="1:17">
      <c r="A571" s="2">
        <v>2519</v>
      </c>
      <c r="B571" s="7">
        <v>113</v>
      </c>
      <c r="C571" s="7">
        <v>20.399999999999999</v>
      </c>
      <c r="D571" s="7">
        <v>47.6</v>
      </c>
      <c r="E571" s="7">
        <v>7.6</v>
      </c>
      <c r="F571" s="7">
        <v>27.3</v>
      </c>
      <c r="G571" s="7">
        <v>22.5</v>
      </c>
      <c r="H571" s="7">
        <v>220.2</v>
      </c>
      <c r="I571" s="7">
        <v>71.8</v>
      </c>
      <c r="J571" s="7">
        <v>39.299999999999997</v>
      </c>
      <c r="K571" s="7">
        <v>186.2</v>
      </c>
      <c r="L571" s="7">
        <v>108.1</v>
      </c>
      <c r="M571" s="7">
        <v>185.3</v>
      </c>
      <c r="N571" s="7">
        <v>266</v>
      </c>
      <c r="O571" s="7">
        <v>84</v>
      </c>
      <c r="P571" s="7">
        <v>126.9</v>
      </c>
      <c r="Q571" s="7">
        <v>7</v>
      </c>
    </row>
    <row r="572" spans="1:17">
      <c r="A572" s="2">
        <v>2520</v>
      </c>
      <c r="B572" s="7">
        <v>113</v>
      </c>
      <c r="C572" s="7">
        <v>20.399999999999999</v>
      </c>
      <c r="D572" s="7">
        <v>47.6</v>
      </c>
      <c r="E572" s="7">
        <v>7.6</v>
      </c>
      <c r="F572" s="7">
        <v>27.3</v>
      </c>
      <c r="G572" s="7">
        <v>22.5</v>
      </c>
      <c r="H572" s="7">
        <v>220.2</v>
      </c>
      <c r="I572" s="7">
        <v>71.8</v>
      </c>
      <c r="J572" s="7">
        <v>39.299999999999997</v>
      </c>
      <c r="K572" s="7">
        <v>186.2</v>
      </c>
      <c r="L572" s="7">
        <v>108.1</v>
      </c>
      <c r="M572" s="7">
        <v>185.3</v>
      </c>
      <c r="N572" s="7">
        <v>266</v>
      </c>
      <c r="O572" s="7">
        <v>84</v>
      </c>
      <c r="P572" s="7">
        <v>126.9</v>
      </c>
      <c r="Q572" s="7">
        <v>7</v>
      </c>
    </row>
    <row r="573" spans="1:17">
      <c r="A573" s="2">
        <v>2521</v>
      </c>
      <c r="B573" s="7">
        <v>113</v>
      </c>
      <c r="C573" s="7">
        <v>20.399999999999999</v>
      </c>
      <c r="D573" s="7">
        <v>47.6</v>
      </c>
      <c r="E573" s="7">
        <v>7.6</v>
      </c>
      <c r="F573" s="7">
        <v>27.3</v>
      </c>
      <c r="G573" s="7">
        <v>22.5</v>
      </c>
      <c r="H573" s="7">
        <v>220.2</v>
      </c>
      <c r="I573" s="7">
        <v>71.8</v>
      </c>
      <c r="J573" s="7">
        <v>39.299999999999997</v>
      </c>
      <c r="K573" s="7">
        <v>186.2</v>
      </c>
      <c r="L573" s="7">
        <v>108.1</v>
      </c>
      <c r="M573" s="7">
        <v>185.3</v>
      </c>
      <c r="N573" s="7">
        <v>266</v>
      </c>
      <c r="O573" s="7">
        <v>84</v>
      </c>
      <c r="P573" s="7">
        <v>126.9</v>
      </c>
      <c r="Q573" s="7">
        <v>7</v>
      </c>
    </row>
    <row r="574" spans="1:17">
      <c r="A574" s="2">
        <v>2522</v>
      </c>
      <c r="B574" s="7">
        <v>113</v>
      </c>
      <c r="C574" s="7">
        <v>20.399999999999999</v>
      </c>
      <c r="D574" s="7">
        <v>47.6</v>
      </c>
      <c r="E574" s="7">
        <v>7.6</v>
      </c>
      <c r="F574" s="7">
        <v>27.3</v>
      </c>
      <c r="G574" s="7">
        <v>22.5</v>
      </c>
      <c r="H574" s="7">
        <v>220.2</v>
      </c>
      <c r="I574" s="7">
        <v>71.8</v>
      </c>
      <c r="J574" s="7">
        <v>39.299999999999997</v>
      </c>
      <c r="K574" s="7">
        <v>186.2</v>
      </c>
      <c r="L574" s="7">
        <v>108.1</v>
      </c>
      <c r="M574" s="7">
        <v>185.3</v>
      </c>
      <c r="N574" s="7">
        <v>266</v>
      </c>
      <c r="O574" s="7">
        <v>84</v>
      </c>
      <c r="P574" s="7">
        <v>126.9</v>
      </c>
      <c r="Q574" s="7">
        <v>7</v>
      </c>
    </row>
    <row r="575" spans="1:17">
      <c r="A575" s="2">
        <v>2523</v>
      </c>
      <c r="B575" s="7">
        <v>113</v>
      </c>
      <c r="C575" s="7">
        <v>20.399999999999999</v>
      </c>
      <c r="D575" s="7">
        <v>47.6</v>
      </c>
      <c r="E575" s="7">
        <v>7.6</v>
      </c>
      <c r="F575" s="7">
        <v>27.3</v>
      </c>
      <c r="G575" s="7">
        <v>22.5</v>
      </c>
      <c r="H575" s="7">
        <v>220.2</v>
      </c>
      <c r="I575" s="7">
        <v>71.8</v>
      </c>
      <c r="J575" s="7">
        <v>39.299999999999997</v>
      </c>
      <c r="K575" s="7">
        <v>186.2</v>
      </c>
      <c r="L575" s="7">
        <v>108.1</v>
      </c>
      <c r="M575" s="7">
        <v>185.3</v>
      </c>
      <c r="N575" s="7">
        <v>266</v>
      </c>
      <c r="O575" s="7">
        <v>84</v>
      </c>
      <c r="P575" s="7">
        <v>126.9</v>
      </c>
      <c r="Q575" s="7">
        <v>7</v>
      </c>
    </row>
    <row r="576" spans="1:17">
      <c r="A576" s="2">
        <v>2524</v>
      </c>
      <c r="B576" s="7">
        <v>113</v>
      </c>
      <c r="C576" s="7">
        <v>20.399999999999999</v>
      </c>
      <c r="D576" s="7">
        <v>47.6</v>
      </c>
      <c r="E576" s="7">
        <v>7.6</v>
      </c>
      <c r="F576" s="7">
        <v>27.3</v>
      </c>
      <c r="G576" s="7">
        <v>22.5</v>
      </c>
      <c r="H576" s="7">
        <v>220.2</v>
      </c>
      <c r="I576" s="7">
        <v>71.8</v>
      </c>
      <c r="J576" s="7">
        <v>39.299999999999997</v>
      </c>
      <c r="K576" s="7">
        <v>186.2</v>
      </c>
      <c r="L576" s="7">
        <v>108.1</v>
      </c>
      <c r="M576" s="7">
        <v>185.3</v>
      </c>
      <c r="N576" s="7">
        <v>266</v>
      </c>
      <c r="O576" s="7">
        <v>84</v>
      </c>
      <c r="P576" s="7">
        <v>126.9</v>
      </c>
      <c r="Q576" s="7">
        <v>7</v>
      </c>
    </row>
    <row r="577" spans="1:17">
      <c r="A577" s="2">
        <v>2525</v>
      </c>
      <c r="B577" s="7">
        <v>113</v>
      </c>
      <c r="C577" s="7">
        <v>20.399999999999999</v>
      </c>
      <c r="D577" s="7">
        <v>47.6</v>
      </c>
      <c r="E577" s="7">
        <v>7.6</v>
      </c>
      <c r="F577" s="7">
        <v>27.3</v>
      </c>
      <c r="G577" s="7">
        <v>22.5</v>
      </c>
      <c r="H577" s="7">
        <v>220.2</v>
      </c>
      <c r="I577" s="7">
        <v>71.8</v>
      </c>
      <c r="J577" s="7">
        <v>39.299999999999997</v>
      </c>
      <c r="K577" s="7">
        <v>186.2</v>
      </c>
      <c r="L577" s="7">
        <v>108.1</v>
      </c>
      <c r="M577" s="7">
        <v>185.3</v>
      </c>
      <c r="N577" s="7">
        <v>266</v>
      </c>
      <c r="O577" s="7">
        <v>84</v>
      </c>
      <c r="P577" s="7">
        <v>126.9</v>
      </c>
      <c r="Q577" s="7">
        <v>7</v>
      </c>
    </row>
    <row r="578" spans="1:17">
      <c r="A578" s="2">
        <v>2526</v>
      </c>
      <c r="B578" s="7">
        <v>113</v>
      </c>
      <c r="C578" s="7">
        <v>20.399999999999999</v>
      </c>
      <c r="D578" s="7">
        <v>47.6</v>
      </c>
      <c r="E578" s="7">
        <v>7.6</v>
      </c>
      <c r="F578" s="7">
        <v>27.3</v>
      </c>
      <c r="G578" s="7">
        <v>22.5</v>
      </c>
      <c r="H578" s="7">
        <v>220.2</v>
      </c>
      <c r="I578" s="7">
        <v>71.8</v>
      </c>
      <c r="J578" s="7">
        <v>39.299999999999997</v>
      </c>
      <c r="K578" s="7">
        <v>186.2</v>
      </c>
      <c r="L578" s="7">
        <v>108.1</v>
      </c>
      <c r="M578" s="7">
        <v>185.3</v>
      </c>
      <c r="N578" s="7">
        <v>266</v>
      </c>
      <c r="O578" s="7">
        <v>84</v>
      </c>
      <c r="P578" s="7">
        <v>126.9</v>
      </c>
      <c r="Q578" s="7">
        <v>7</v>
      </c>
    </row>
    <row r="579" spans="1:17">
      <c r="A579" s="2">
        <v>2527</v>
      </c>
      <c r="B579" s="7">
        <v>113</v>
      </c>
      <c r="C579" s="7">
        <v>20.399999999999999</v>
      </c>
      <c r="D579" s="7">
        <v>47.6</v>
      </c>
      <c r="E579" s="7">
        <v>7.6</v>
      </c>
      <c r="F579" s="7">
        <v>27.3</v>
      </c>
      <c r="G579" s="7">
        <v>22.5</v>
      </c>
      <c r="H579" s="7">
        <v>220.2</v>
      </c>
      <c r="I579" s="7">
        <v>71.8</v>
      </c>
      <c r="J579" s="7">
        <v>39.299999999999997</v>
      </c>
      <c r="K579" s="7">
        <v>186.2</v>
      </c>
      <c r="L579" s="7">
        <v>108.1</v>
      </c>
      <c r="M579" s="7">
        <v>185.3</v>
      </c>
      <c r="N579" s="7">
        <v>266</v>
      </c>
      <c r="O579" s="7">
        <v>84</v>
      </c>
      <c r="P579" s="7">
        <v>126.9</v>
      </c>
      <c r="Q579" s="7">
        <v>7</v>
      </c>
    </row>
    <row r="580" spans="1:17">
      <c r="A580" s="2">
        <v>2528</v>
      </c>
      <c r="B580" s="7">
        <v>113</v>
      </c>
      <c r="C580" s="7">
        <v>20.399999999999999</v>
      </c>
      <c r="D580" s="7">
        <v>47.6</v>
      </c>
      <c r="E580" s="7">
        <v>7.6</v>
      </c>
      <c r="F580" s="7">
        <v>27.3</v>
      </c>
      <c r="G580" s="7">
        <v>22.5</v>
      </c>
      <c r="H580" s="7">
        <v>220.2</v>
      </c>
      <c r="I580" s="7">
        <v>71.8</v>
      </c>
      <c r="J580" s="7">
        <v>39.299999999999997</v>
      </c>
      <c r="K580" s="7">
        <v>186.2</v>
      </c>
      <c r="L580" s="7">
        <v>108.1</v>
      </c>
      <c r="M580" s="7">
        <v>185.3</v>
      </c>
      <c r="N580" s="7">
        <v>266</v>
      </c>
      <c r="O580" s="7">
        <v>84</v>
      </c>
      <c r="P580" s="7">
        <v>126.9</v>
      </c>
      <c r="Q580" s="7">
        <v>7</v>
      </c>
    </row>
    <row r="581" spans="1:17">
      <c r="A581" s="2">
        <v>2529</v>
      </c>
      <c r="B581" s="7">
        <v>113</v>
      </c>
      <c r="C581" s="7">
        <v>20.399999999999999</v>
      </c>
      <c r="D581" s="7">
        <v>47.6</v>
      </c>
      <c r="E581" s="7">
        <v>7.6</v>
      </c>
      <c r="F581" s="7">
        <v>27.3</v>
      </c>
      <c r="G581" s="7">
        <v>22.5</v>
      </c>
      <c r="H581" s="7">
        <v>220.2</v>
      </c>
      <c r="I581" s="7">
        <v>71.8</v>
      </c>
      <c r="J581" s="7">
        <v>39.299999999999997</v>
      </c>
      <c r="K581" s="7">
        <v>186.2</v>
      </c>
      <c r="L581" s="7">
        <v>108.1</v>
      </c>
      <c r="M581" s="7">
        <v>185.3</v>
      </c>
      <c r="N581" s="7">
        <v>266</v>
      </c>
      <c r="O581" s="7">
        <v>84</v>
      </c>
      <c r="P581" s="7">
        <v>126.9</v>
      </c>
      <c r="Q581" s="7">
        <v>7</v>
      </c>
    </row>
    <row r="582" spans="1:17">
      <c r="A582" s="2">
        <v>2530</v>
      </c>
      <c r="B582" s="7">
        <v>113</v>
      </c>
      <c r="C582" s="7">
        <v>20.399999999999999</v>
      </c>
      <c r="D582" s="7">
        <v>47.6</v>
      </c>
      <c r="E582" s="7">
        <v>7.6</v>
      </c>
      <c r="F582" s="7">
        <v>27.3</v>
      </c>
      <c r="G582" s="7">
        <v>22.5</v>
      </c>
      <c r="H582" s="7">
        <v>220.2</v>
      </c>
      <c r="I582" s="7">
        <v>71.8</v>
      </c>
      <c r="J582" s="7">
        <v>39.299999999999997</v>
      </c>
      <c r="K582" s="7">
        <v>186.2</v>
      </c>
      <c r="L582" s="7">
        <v>108.1</v>
      </c>
      <c r="M582" s="7">
        <v>185.3</v>
      </c>
      <c r="N582" s="7">
        <v>266</v>
      </c>
      <c r="O582" s="7">
        <v>84</v>
      </c>
      <c r="P582" s="7">
        <v>126.9</v>
      </c>
      <c r="Q582" s="7">
        <v>7</v>
      </c>
    </row>
    <row r="583" spans="1:17">
      <c r="A583" s="2">
        <v>2531</v>
      </c>
      <c r="B583" s="7">
        <v>113</v>
      </c>
      <c r="C583" s="7">
        <v>20.399999999999999</v>
      </c>
      <c r="D583" s="7">
        <v>47.6</v>
      </c>
      <c r="E583" s="7">
        <v>7.6</v>
      </c>
      <c r="F583" s="7">
        <v>27.3</v>
      </c>
      <c r="G583" s="7">
        <v>22.5</v>
      </c>
      <c r="H583" s="7">
        <v>220.2</v>
      </c>
      <c r="I583" s="7">
        <v>71.8</v>
      </c>
      <c r="J583" s="7">
        <v>39.299999999999997</v>
      </c>
      <c r="K583" s="7">
        <v>186.2</v>
      </c>
      <c r="L583" s="7">
        <v>108.1</v>
      </c>
      <c r="M583" s="7">
        <v>185.3</v>
      </c>
      <c r="N583" s="7">
        <v>266</v>
      </c>
      <c r="O583" s="7">
        <v>84</v>
      </c>
      <c r="P583" s="7">
        <v>126.9</v>
      </c>
      <c r="Q583" s="7">
        <v>7</v>
      </c>
    </row>
    <row r="584" spans="1:17">
      <c r="A584" s="2">
        <v>2532</v>
      </c>
      <c r="B584" s="7">
        <v>113</v>
      </c>
      <c r="C584" s="7">
        <v>20.399999999999999</v>
      </c>
      <c r="D584" s="7">
        <v>47.6</v>
      </c>
      <c r="E584" s="7">
        <v>7.6</v>
      </c>
      <c r="F584" s="7">
        <v>27.3</v>
      </c>
      <c r="G584" s="7">
        <v>22.5</v>
      </c>
      <c r="H584" s="7">
        <v>220.2</v>
      </c>
      <c r="I584" s="7">
        <v>71.8</v>
      </c>
      <c r="J584" s="7">
        <v>39.299999999999997</v>
      </c>
      <c r="K584" s="7">
        <v>186.2</v>
      </c>
      <c r="L584" s="7">
        <v>108.1</v>
      </c>
      <c r="M584" s="7">
        <v>185.3</v>
      </c>
      <c r="N584" s="7">
        <v>266</v>
      </c>
      <c r="O584" s="7">
        <v>84</v>
      </c>
      <c r="P584" s="7">
        <v>126.9</v>
      </c>
      <c r="Q584" s="7">
        <v>7</v>
      </c>
    </row>
    <row r="585" spans="1:17">
      <c r="A585" s="2">
        <v>2533</v>
      </c>
      <c r="B585" s="7">
        <v>113</v>
      </c>
      <c r="C585" s="7">
        <v>20.399999999999999</v>
      </c>
      <c r="D585" s="7">
        <v>47.6</v>
      </c>
      <c r="E585" s="7">
        <v>7.6</v>
      </c>
      <c r="F585" s="7">
        <v>27.3</v>
      </c>
      <c r="G585" s="7">
        <v>22.5</v>
      </c>
      <c r="H585" s="7">
        <v>220.2</v>
      </c>
      <c r="I585" s="7">
        <v>71.8</v>
      </c>
      <c r="J585" s="7">
        <v>39.299999999999997</v>
      </c>
      <c r="K585" s="7">
        <v>186.2</v>
      </c>
      <c r="L585" s="7">
        <v>108.1</v>
      </c>
      <c r="M585" s="7">
        <v>185.3</v>
      </c>
      <c r="N585" s="7">
        <v>266</v>
      </c>
      <c r="O585" s="7">
        <v>84</v>
      </c>
      <c r="P585" s="7">
        <v>126.9</v>
      </c>
      <c r="Q585" s="7">
        <v>7</v>
      </c>
    </row>
    <row r="586" spans="1:17">
      <c r="A586" s="2">
        <v>2534</v>
      </c>
      <c r="B586" s="7">
        <v>113</v>
      </c>
      <c r="C586" s="7">
        <v>20.399999999999999</v>
      </c>
      <c r="D586" s="7">
        <v>47.6</v>
      </c>
      <c r="E586" s="7">
        <v>7.6</v>
      </c>
      <c r="F586" s="7">
        <v>27.3</v>
      </c>
      <c r="G586" s="7">
        <v>22.5</v>
      </c>
      <c r="H586" s="7">
        <v>220.2</v>
      </c>
      <c r="I586" s="7">
        <v>71.8</v>
      </c>
      <c r="J586" s="7">
        <v>39.299999999999997</v>
      </c>
      <c r="K586" s="7">
        <v>186.2</v>
      </c>
      <c r="L586" s="7">
        <v>108.1</v>
      </c>
      <c r="M586" s="7">
        <v>185.3</v>
      </c>
      <c r="N586" s="7">
        <v>266</v>
      </c>
      <c r="O586" s="7">
        <v>84</v>
      </c>
      <c r="P586" s="7">
        <v>126.9</v>
      </c>
      <c r="Q586" s="7">
        <v>7</v>
      </c>
    </row>
    <row r="587" spans="1:17">
      <c r="A587" s="2">
        <v>2535</v>
      </c>
      <c r="B587" s="7">
        <v>113</v>
      </c>
      <c r="C587" s="7">
        <v>20.399999999999999</v>
      </c>
      <c r="D587" s="7">
        <v>47.6</v>
      </c>
      <c r="E587" s="7">
        <v>7.6</v>
      </c>
      <c r="F587" s="7">
        <v>27.3</v>
      </c>
      <c r="G587" s="7">
        <v>22.5</v>
      </c>
      <c r="H587" s="7">
        <v>220.2</v>
      </c>
      <c r="I587" s="7">
        <v>71.8</v>
      </c>
      <c r="J587" s="7">
        <v>39.299999999999997</v>
      </c>
      <c r="K587" s="7">
        <v>186.2</v>
      </c>
      <c r="L587" s="7">
        <v>108.1</v>
      </c>
      <c r="M587" s="7">
        <v>185.3</v>
      </c>
      <c r="N587" s="7">
        <v>266</v>
      </c>
      <c r="O587" s="7">
        <v>84</v>
      </c>
      <c r="P587" s="7">
        <v>126.9</v>
      </c>
      <c r="Q587" s="7">
        <v>7</v>
      </c>
    </row>
    <row r="588" spans="1:17">
      <c r="A588" s="2">
        <v>2536</v>
      </c>
      <c r="B588" s="7">
        <v>113</v>
      </c>
      <c r="C588" s="7">
        <v>20.399999999999999</v>
      </c>
      <c r="D588" s="7">
        <v>47.6</v>
      </c>
      <c r="E588" s="7">
        <v>7.6</v>
      </c>
      <c r="F588" s="7">
        <v>27.3</v>
      </c>
      <c r="G588" s="7">
        <v>22.5</v>
      </c>
      <c r="H588" s="7">
        <v>220.2</v>
      </c>
      <c r="I588" s="7">
        <v>71.8</v>
      </c>
      <c r="J588" s="7">
        <v>39.299999999999997</v>
      </c>
      <c r="K588" s="7">
        <v>186.2</v>
      </c>
      <c r="L588" s="7">
        <v>108.1</v>
      </c>
      <c r="M588" s="7">
        <v>185.3</v>
      </c>
      <c r="N588" s="7">
        <v>266</v>
      </c>
      <c r="O588" s="7">
        <v>84</v>
      </c>
      <c r="P588" s="7">
        <v>126.9</v>
      </c>
      <c r="Q588" s="7">
        <v>7</v>
      </c>
    </row>
    <row r="589" spans="1:17">
      <c r="A589" s="2">
        <v>2537</v>
      </c>
      <c r="B589" s="7">
        <v>113</v>
      </c>
      <c r="C589" s="7">
        <v>20.399999999999999</v>
      </c>
      <c r="D589" s="7">
        <v>47.6</v>
      </c>
      <c r="E589" s="7">
        <v>7.6</v>
      </c>
      <c r="F589" s="7">
        <v>27.3</v>
      </c>
      <c r="G589" s="7">
        <v>22.5</v>
      </c>
      <c r="H589" s="7">
        <v>220.2</v>
      </c>
      <c r="I589" s="7">
        <v>71.8</v>
      </c>
      <c r="J589" s="7">
        <v>39.299999999999997</v>
      </c>
      <c r="K589" s="7">
        <v>186.2</v>
      </c>
      <c r="L589" s="7">
        <v>108.1</v>
      </c>
      <c r="M589" s="7">
        <v>185.3</v>
      </c>
      <c r="N589" s="7">
        <v>266</v>
      </c>
      <c r="O589" s="7">
        <v>84</v>
      </c>
      <c r="P589" s="7">
        <v>126.9</v>
      </c>
      <c r="Q589" s="7">
        <v>7</v>
      </c>
    </row>
    <row r="590" spans="1:17">
      <c r="A590" s="2">
        <v>2538</v>
      </c>
      <c r="B590" s="7">
        <v>113</v>
      </c>
      <c r="C590" s="7">
        <v>20.399999999999999</v>
      </c>
      <c r="D590" s="7">
        <v>47.6</v>
      </c>
      <c r="E590" s="7">
        <v>7.6</v>
      </c>
      <c r="F590" s="7">
        <v>27.3</v>
      </c>
      <c r="G590" s="7">
        <v>22.5</v>
      </c>
      <c r="H590" s="7">
        <v>220.2</v>
      </c>
      <c r="I590" s="7">
        <v>71.8</v>
      </c>
      <c r="J590" s="7">
        <v>39.299999999999997</v>
      </c>
      <c r="K590" s="7">
        <v>186.2</v>
      </c>
      <c r="L590" s="7">
        <v>108.1</v>
      </c>
      <c r="M590" s="7">
        <v>185.3</v>
      </c>
      <c r="N590" s="7">
        <v>266</v>
      </c>
      <c r="O590" s="7">
        <v>84</v>
      </c>
      <c r="P590" s="7">
        <v>126.9</v>
      </c>
      <c r="Q590" s="7">
        <v>7</v>
      </c>
    </row>
    <row r="591" spans="1:17">
      <c r="A591" s="2">
        <v>2539</v>
      </c>
      <c r="B591" s="7">
        <v>113</v>
      </c>
      <c r="C591" s="7">
        <v>20.399999999999999</v>
      </c>
      <c r="D591" s="7">
        <v>47.6</v>
      </c>
      <c r="E591" s="7">
        <v>7.6</v>
      </c>
      <c r="F591" s="7">
        <v>27.3</v>
      </c>
      <c r="G591" s="7">
        <v>22.5</v>
      </c>
      <c r="H591" s="7">
        <v>220.2</v>
      </c>
      <c r="I591" s="7">
        <v>71.8</v>
      </c>
      <c r="J591" s="7">
        <v>39.299999999999997</v>
      </c>
      <c r="K591" s="7">
        <v>186.2</v>
      </c>
      <c r="L591" s="7">
        <v>108.1</v>
      </c>
      <c r="M591" s="7">
        <v>185.3</v>
      </c>
      <c r="N591" s="7">
        <v>266</v>
      </c>
      <c r="O591" s="7">
        <v>84</v>
      </c>
      <c r="P591" s="7">
        <v>126.9</v>
      </c>
      <c r="Q591" s="7">
        <v>7</v>
      </c>
    </row>
    <row r="592" spans="1:17">
      <c r="A592" s="2">
        <v>2540</v>
      </c>
      <c r="B592" s="7">
        <v>113</v>
      </c>
      <c r="C592" s="7">
        <v>20.399999999999999</v>
      </c>
      <c r="D592" s="7">
        <v>47.6</v>
      </c>
      <c r="E592" s="7">
        <v>7.6</v>
      </c>
      <c r="F592" s="7">
        <v>27.3</v>
      </c>
      <c r="G592" s="7">
        <v>22.5</v>
      </c>
      <c r="H592" s="7">
        <v>220.2</v>
      </c>
      <c r="I592" s="7">
        <v>71.8</v>
      </c>
      <c r="J592" s="7">
        <v>39.299999999999997</v>
      </c>
      <c r="K592" s="7">
        <v>186.2</v>
      </c>
      <c r="L592" s="7">
        <v>108.1</v>
      </c>
      <c r="M592" s="7">
        <v>185.3</v>
      </c>
      <c r="N592" s="7">
        <v>266</v>
      </c>
      <c r="O592" s="7">
        <v>84</v>
      </c>
      <c r="P592" s="7">
        <v>126.9</v>
      </c>
      <c r="Q592" s="7">
        <v>7</v>
      </c>
    </row>
    <row r="593" spans="1:17">
      <c r="A593" s="2">
        <v>2541</v>
      </c>
      <c r="B593" s="7">
        <v>113</v>
      </c>
      <c r="C593" s="7">
        <v>20.399999999999999</v>
      </c>
      <c r="D593" s="7">
        <v>47.6</v>
      </c>
      <c r="E593" s="7">
        <v>7.6</v>
      </c>
      <c r="F593" s="7">
        <v>27.3</v>
      </c>
      <c r="G593" s="7">
        <v>22.5</v>
      </c>
      <c r="H593" s="7">
        <v>220.2</v>
      </c>
      <c r="I593" s="7">
        <v>71.8</v>
      </c>
      <c r="J593" s="7">
        <v>39.299999999999997</v>
      </c>
      <c r="K593" s="7">
        <v>186.2</v>
      </c>
      <c r="L593" s="7">
        <v>108.1</v>
      </c>
      <c r="M593" s="7">
        <v>185.3</v>
      </c>
      <c r="N593" s="7">
        <v>266</v>
      </c>
      <c r="O593" s="7">
        <v>84</v>
      </c>
      <c r="P593" s="7">
        <v>126.9</v>
      </c>
      <c r="Q593" s="7">
        <v>7</v>
      </c>
    </row>
    <row r="594" spans="1:17">
      <c r="A594" s="2">
        <v>2542</v>
      </c>
      <c r="B594" s="7">
        <v>113</v>
      </c>
      <c r="C594" s="7">
        <v>20.399999999999999</v>
      </c>
      <c r="D594" s="7">
        <v>47.6</v>
      </c>
      <c r="E594" s="7">
        <v>7.6</v>
      </c>
      <c r="F594" s="7">
        <v>27.3</v>
      </c>
      <c r="G594" s="7">
        <v>22.5</v>
      </c>
      <c r="H594" s="7">
        <v>220.2</v>
      </c>
      <c r="I594" s="7">
        <v>71.8</v>
      </c>
      <c r="J594" s="7">
        <v>39.299999999999997</v>
      </c>
      <c r="K594" s="7">
        <v>186.2</v>
      </c>
      <c r="L594" s="7">
        <v>108.1</v>
      </c>
      <c r="M594" s="7">
        <v>185.3</v>
      </c>
      <c r="N594" s="7">
        <v>266</v>
      </c>
      <c r="O594" s="7">
        <v>84</v>
      </c>
      <c r="P594" s="7">
        <v>126.9</v>
      </c>
      <c r="Q594" s="7">
        <v>7</v>
      </c>
    </row>
    <row r="595" spans="1:17">
      <c r="A595" s="2">
        <v>2543</v>
      </c>
      <c r="B595" s="7">
        <v>113</v>
      </c>
      <c r="C595" s="7">
        <v>20.399999999999999</v>
      </c>
      <c r="D595" s="7">
        <v>47.6</v>
      </c>
      <c r="E595" s="7">
        <v>7.6</v>
      </c>
      <c r="F595" s="7">
        <v>27.3</v>
      </c>
      <c r="G595" s="7">
        <v>22.5</v>
      </c>
      <c r="H595" s="7">
        <v>220.2</v>
      </c>
      <c r="I595" s="7">
        <v>71.8</v>
      </c>
      <c r="J595" s="7">
        <v>39.299999999999997</v>
      </c>
      <c r="K595" s="7">
        <v>186.2</v>
      </c>
      <c r="L595" s="7">
        <v>108.1</v>
      </c>
      <c r="M595" s="7">
        <v>185.3</v>
      </c>
      <c r="N595" s="7">
        <v>266</v>
      </c>
      <c r="O595" s="7">
        <v>84</v>
      </c>
      <c r="P595" s="7">
        <v>126.9</v>
      </c>
      <c r="Q595" s="7">
        <v>7</v>
      </c>
    </row>
    <row r="596" spans="1:17">
      <c r="A596" s="2">
        <v>2544</v>
      </c>
      <c r="B596" s="7">
        <v>113</v>
      </c>
      <c r="C596" s="7">
        <v>20.399999999999999</v>
      </c>
      <c r="D596" s="7">
        <v>47.6</v>
      </c>
      <c r="E596" s="7">
        <v>7.6</v>
      </c>
      <c r="F596" s="7">
        <v>27.3</v>
      </c>
      <c r="G596" s="7">
        <v>22.5</v>
      </c>
      <c r="H596" s="7">
        <v>220.2</v>
      </c>
      <c r="I596" s="7">
        <v>71.8</v>
      </c>
      <c r="J596" s="7">
        <v>39.299999999999997</v>
      </c>
      <c r="K596" s="7">
        <v>186.2</v>
      </c>
      <c r="L596" s="7">
        <v>108.1</v>
      </c>
      <c r="M596" s="7">
        <v>185.3</v>
      </c>
      <c r="N596" s="7">
        <v>266</v>
      </c>
      <c r="O596" s="7">
        <v>84</v>
      </c>
      <c r="P596" s="7">
        <v>126.9</v>
      </c>
      <c r="Q596" s="7">
        <v>7</v>
      </c>
    </row>
    <row r="597" spans="1:17">
      <c r="A597" s="2">
        <v>2545</v>
      </c>
      <c r="B597" s="7">
        <v>113</v>
      </c>
      <c r="C597" s="7">
        <v>20.399999999999999</v>
      </c>
      <c r="D597" s="7">
        <v>47.6</v>
      </c>
      <c r="E597" s="7">
        <v>7.6</v>
      </c>
      <c r="F597" s="7">
        <v>27.3</v>
      </c>
      <c r="G597" s="7">
        <v>22.5</v>
      </c>
      <c r="H597" s="7">
        <v>220.2</v>
      </c>
      <c r="I597" s="7">
        <v>71.8</v>
      </c>
      <c r="J597" s="7">
        <v>39.299999999999997</v>
      </c>
      <c r="K597" s="7">
        <v>186.2</v>
      </c>
      <c r="L597" s="7">
        <v>108.1</v>
      </c>
      <c r="M597" s="7">
        <v>185.3</v>
      </c>
      <c r="N597" s="7">
        <v>266</v>
      </c>
      <c r="O597" s="7">
        <v>84</v>
      </c>
      <c r="P597" s="7">
        <v>126.9</v>
      </c>
      <c r="Q597" s="7">
        <v>7</v>
      </c>
    </row>
    <row r="598" spans="1:17">
      <c r="A598" s="2">
        <v>2546</v>
      </c>
      <c r="B598" s="7">
        <v>113</v>
      </c>
      <c r="C598" s="7">
        <v>20.399999999999999</v>
      </c>
      <c r="D598" s="7">
        <v>47.6</v>
      </c>
      <c r="E598" s="7">
        <v>7.6</v>
      </c>
      <c r="F598" s="7">
        <v>27.3</v>
      </c>
      <c r="G598" s="7">
        <v>22.5</v>
      </c>
      <c r="H598" s="7">
        <v>220.2</v>
      </c>
      <c r="I598" s="7">
        <v>71.8</v>
      </c>
      <c r="J598" s="7">
        <v>39.299999999999997</v>
      </c>
      <c r="K598" s="7">
        <v>186.2</v>
      </c>
      <c r="L598" s="7">
        <v>108.1</v>
      </c>
      <c r="M598" s="7">
        <v>185.3</v>
      </c>
      <c r="N598" s="7">
        <v>266</v>
      </c>
      <c r="O598" s="7">
        <v>84</v>
      </c>
      <c r="P598" s="7">
        <v>126.9</v>
      </c>
      <c r="Q598" s="7">
        <v>7</v>
      </c>
    </row>
    <row r="599" spans="1:17">
      <c r="A599" s="2">
        <v>2547</v>
      </c>
      <c r="B599" s="7">
        <v>113</v>
      </c>
      <c r="C599" s="7">
        <v>20.399999999999999</v>
      </c>
      <c r="D599" s="7">
        <v>47.6</v>
      </c>
      <c r="E599" s="7">
        <v>7.6</v>
      </c>
      <c r="F599" s="7">
        <v>27.3</v>
      </c>
      <c r="G599" s="7">
        <v>22.5</v>
      </c>
      <c r="H599" s="7">
        <v>220.2</v>
      </c>
      <c r="I599" s="7">
        <v>71.8</v>
      </c>
      <c r="J599" s="7">
        <v>39.299999999999997</v>
      </c>
      <c r="K599" s="7">
        <v>186.2</v>
      </c>
      <c r="L599" s="7">
        <v>108.1</v>
      </c>
      <c r="M599" s="7">
        <v>185.3</v>
      </c>
      <c r="N599" s="7">
        <v>266</v>
      </c>
      <c r="O599" s="7">
        <v>84</v>
      </c>
      <c r="P599" s="7">
        <v>126.9</v>
      </c>
      <c r="Q599" s="7">
        <v>7</v>
      </c>
    </row>
    <row r="600" spans="1:17">
      <c r="A600" s="2">
        <v>2548</v>
      </c>
      <c r="B600" s="7">
        <v>113</v>
      </c>
      <c r="C600" s="7">
        <v>20.399999999999999</v>
      </c>
      <c r="D600" s="7">
        <v>47.6</v>
      </c>
      <c r="E600" s="7">
        <v>7.6</v>
      </c>
      <c r="F600" s="7">
        <v>27.3</v>
      </c>
      <c r="G600" s="7">
        <v>22.5</v>
      </c>
      <c r="H600" s="7">
        <v>220.2</v>
      </c>
      <c r="I600" s="7">
        <v>71.8</v>
      </c>
      <c r="J600" s="7">
        <v>39.299999999999997</v>
      </c>
      <c r="K600" s="7">
        <v>186.2</v>
      </c>
      <c r="L600" s="7">
        <v>108.1</v>
      </c>
      <c r="M600" s="7">
        <v>185.3</v>
      </c>
      <c r="N600" s="7">
        <v>266</v>
      </c>
      <c r="O600" s="7">
        <v>84</v>
      </c>
      <c r="P600" s="7">
        <v>126.9</v>
      </c>
      <c r="Q600" s="7">
        <v>7</v>
      </c>
    </row>
    <row r="601" spans="1:17">
      <c r="A601" s="2">
        <v>2549</v>
      </c>
      <c r="B601" s="7">
        <v>113</v>
      </c>
      <c r="C601" s="7">
        <v>20.399999999999999</v>
      </c>
      <c r="D601" s="7">
        <v>47.6</v>
      </c>
      <c r="E601" s="7">
        <v>7.6</v>
      </c>
      <c r="F601" s="7">
        <v>27.3</v>
      </c>
      <c r="G601" s="7">
        <v>22.5</v>
      </c>
      <c r="H601" s="7">
        <v>220.2</v>
      </c>
      <c r="I601" s="7">
        <v>71.8</v>
      </c>
      <c r="J601" s="7">
        <v>39.299999999999997</v>
      </c>
      <c r="K601" s="7">
        <v>186.2</v>
      </c>
      <c r="L601" s="7">
        <v>108.1</v>
      </c>
      <c r="M601" s="7">
        <v>185.3</v>
      </c>
      <c r="N601" s="7">
        <v>266</v>
      </c>
      <c r="O601" s="7">
        <v>84</v>
      </c>
      <c r="P601" s="7">
        <v>126.9</v>
      </c>
      <c r="Q601" s="7">
        <v>7</v>
      </c>
    </row>
    <row r="602" spans="1:17">
      <c r="A602" s="2">
        <v>2550</v>
      </c>
      <c r="B602" s="7">
        <v>113</v>
      </c>
      <c r="C602" s="7">
        <v>20.399999999999999</v>
      </c>
      <c r="D602" s="7">
        <v>47.6</v>
      </c>
      <c r="E602" s="7">
        <v>7.6</v>
      </c>
      <c r="F602" s="7">
        <v>27.3</v>
      </c>
      <c r="G602" s="7">
        <v>22.5</v>
      </c>
      <c r="H602" s="7">
        <v>220.2</v>
      </c>
      <c r="I602" s="7">
        <v>71.8</v>
      </c>
      <c r="J602" s="7">
        <v>39.299999999999997</v>
      </c>
      <c r="K602" s="7">
        <v>186.2</v>
      </c>
      <c r="L602" s="7">
        <v>108.1</v>
      </c>
      <c r="M602" s="7">
        <v>185.3</v>
      </c>
      <c r="N602" s="7">
        <v>266</v>
      </c>
      <c r="O602" s="7">
        <v>84</v>
      </c>
      <c r="P602" s="7">
        <v>126.9</v>
      </c>
      <c r="Q602" s="7">
        <v>7</v>
      </c>
    </row>
    <row r="603" spans="1:17">
      <c r="A603" s="2">
        <v>2551</v>
      </c>
      <c r="B603" s="7">
        <v>113</v>
      </c>
      <c r="C603" s="7">
        <v>20.399999999999999</v>
      </c>
      <c r="D603" s="7">
        <v>47.6</v>
      </c>
      <c r="E603" s="7">
        <v>7.6</v>
      </c>
      <c r="F603" s="7">
        <v>27.3</v>
      </c>
      <c r="G603" s="7">
        <v>22.5</v>
      </c>
      <c r="H603" s="7">
        <v>220.2</v>
      </c>
      <c r="I603" s="7">
        <v>71.8</v>
      </c>
      <c r="J603" s="7">
        <v>39.299999999999997</v>
      </c>
      <c r="K603" s="7">
        <v>186.2</v>
      </c>
      <c r="L603" s="7">
        <v>108.1</v>
      </c>
      <c r="M603" s="7">
        <v>185.3</v>
      </c>
      <c r="N603" s="7">
        <v>266</v>
      </c>
      <c r="O603" s="7">
        <v>84</v>
      </c>
      <c r="P603" s="7">
        <v>126.9</v>
      </c>
      <c r="Q603" s="7">
        <v>7</v>
      </c>
    </row>
    <row r="604" spans="1:17">
      <c r="A604" s="2">
        <v>2552</v>
      </c>
      <c r="B604" s="7">
        <v>113</v>
      </c>
      <c r="C604" s="7">
        <v>20.399999999999999</v>
      </c>
      <c r="D604" s="7">
        <v>47.6</v>
      </c>
      <c r="E604" s="7">
        <v>7.6</v>
      </c>
      <c r="F604" s="7">
        <v>27.3</v>
      </c>
      <c r="G604" s="7">
        <v>22.5</v>
      </c>
      <c r="H604" s="7">
        <v>220.2</v>
      </c>
      <c r="I604" s="7">
        <v>71.8</v>
      </c>
      <c r="J604" s="7">
        <v>39.299999999999997</v>
      </c>
      <c r="K604" s="7">
        <v>186.2</v>
      </c>
      <c r="L604" s="7">
        <v>108.1</v>
      </c>
      <c r="M604" s="7">
        <v>185.3</v>
      </c>
      <c r="N604" s="7">
        <v>266</v>
      </c>
      <c r="O604" s="7">
        <v>84</v>
      </c>
      <c r="P604" s="7">
        <v>126.9</v>
      </c>
      <c r="Q604" s="7">
        <v>7</v>
      </c>
    </row>
    <row r="605" spans="1:17">
      <c r="A605" s="2">
        <v>2553</v>
      </c>
      <c r="B605" s="7">
        <v>113</v>
      </c>
      <c r="C605" s="7">
        <v>20.399999999999999</v>
      </c>
      <c r="D605" s="7">
        <v>47.6</v>
      </c>
      <c r="E605" s="7">
        <v>7.6</v>
      </c>
      <c r="F605" s="7">
        <v>27.3</v>
      </c>
      <c r="G605" s="7">
        <v>22.5</v>
      </c>
      <c r="H605" s="7">
        <v>220.2</v>
      </c>
      <c r="I605" s="7">
        <v>71.8</v>
      </c>
      <c r="J605" s="7">
        <v>39.299999999999997</v>
      </c>
      <c r="K605" s="7">
        <v>186.2</v>
      </c>
      <c r="L605" s="7">
        <v>108.1</v>
      </c>
      <c r="M605" s="7">
        <v>185.3</v>
      </c>
      <c r="N605" s="7">
        <v>266</v>
      </c>
      <c r="O605" s="7">
        <v>84</v>
      </c>
      <c r="P605" s="7">
        <v>126.9</v>
      </c>
      <c r="Q605" s="7">
        <v>7</v>
      </c>
    </row>
    <row r="606" spans="1:17">
      <c r="A606" s="2">
        <v>2554</v>
      </c>
      <c r="B606" s="7">
        <v>113</v>
      </c>
      <c r="C606" s="7">
        <v>20.399999999999999</v>
      </c>
      <c r="D606" s="7">
        <v>47.6</v>
      </c>
      <c r="E606" s="7">
        <v>7.6</v>
      </c>
      <c r="F606" s="7">
        <v>27.3</v>
      </c>
      <c r="G606" s="7">
        <v>22.5</v>
      </c>
      <c r="H606" s="7">
        <v>220.2</v>
      </c>
      <c r="I606" s="7">
        <v>71.8</v>
      </c>
      <c r="J606" s="7">
        <v>39.299999999999997</v>
      </c>
      <c r="K606" s="7">
        <v>186.2</v>
      </c>
      <c r="L606" s="7">
        <v>108.1</v>
      </c>
      <c r="M606" s="7">
        <v>185.3</v>
      </c>
      <c r="N606" s="7">
        <v>266</v>
      </c>
      <c r="O606" s="7">
        <v>84</v>
      </c>
      <c r="P606" s="7">
        <v>126.9</v>
      </c>
      <c r="Q606" s="7">
        <v>7</v>
      </c>
    </row>
    <row r="607" spans="1:17">
      <c r="A607" s="2">
        <v>2555</v>
      </c>
      <c r="B607" s="7">
        <v>113</v>
      </c>
      <c r="C607" s="7">
        <v>20.399999999999999</v>
      </c>
      <c r="D607" s="7">
        <v>47.6</v>
      </c>
      <c r="E607" s="7">
        <v>7.6</v>
      </c>
      <c r="F607" s="7">
        <v>27.3</v>
      </c>
      <c r="G607" s="7">
        <v>22.5</v>
      </c>
      <c r="H607" s="7">
        <v>220.2</v>
      </c>
      <c r="I607" s="7">
        <v>71.8</v>
      </c>
      <c r="J607" s="7">
        <v>39.299999999999997</v>
      </c>
      <c r="K607" s="7">
        <v>186.2</v>
      </c>
      <c r="L607" s="7">
        <v>108.1</v>
      </c>
      <c r="M607" s="7">
        <v>185.3</v>
      </c>
      <c r="N607" s="7">
        <v>266</v>
      </c>
      <c r="O607" s="7">
        <v>84</v>
      </c>
      <c r="P607" s="7">
        <v>126.9</v>
      </c>
      <c r="Q607" s="7">
        <v>7</v>
      </c>
    </row>
    <row r="608" spans="1:17">
      <c r="A608" s="2">
        <v>2556</v>
      </c>
      <c r="B608" s="7">
        <v>113</v>
      </c>
      <c r="C608" s="7">
        <v>20.399999999999999</v>
      </c>
      <c r="D608" s="7">
        <v>47.6</v>
      </c>
      <c r="E608" s="7">
        <v>7.6</v>
      </c>
      <c r="F608" s="7">
        <v>27.3</v>
      </c>
      <c r="G608" s="7">
        <v>22.5</v>
      </c>
      <c r="H608" s="7">
        <v>220.2</v>
      </c>
      <c r="I608" s="7">
        <v>71.8</v>
      </c>
      <c r="J608" s="7">
        <v>39.299999999999997</v>
      </c>
      <c r="K608" s="7">
        <v>186.2</v>
      </c>
      <c r="L608" s="7">
        <v>108.1</v>
      </c>
      <c r="M608" s="7">
        <v>185.3</v>
      </c>
      <c r="N608" s="7">
        <v>266</v>
      </c>
      <c r="O608" s="7">
        <v>84</v>
      </c>
      <c r="P608" s="7">
        <v>126.9</v>
      </c>
      <c r="Q608" s="7">
        <v>7</v>
      </c>
    </row>
    <row r="609" spans="1:17">
      <c r="A609" s="2">
        <v>2557</v>
      </c>
      <c r="B609" s="7">
        <v>113</v>
      </c>
      <c r="C609" s="7">
        <v>20.399999999999999</v>
      </c>
      <c r="D609" s="7">
        <v>47.6</v>
      </c>
      <c r="E609" s="7">
        <v>7.6</v>
      </c>
      <c r="F609" s="7">
        <v>27.3</v>
      </c>
      <c r="G609" s="7">
        <v>22.5</v>
      </c>
      <c r="H609" s="7">
        <v>220.2</v>
      </c>
      <c r="I609" s="7">
        <v>71.8</v>
      </c>
      <c r="J609" s="7">
        <v>39.299999999999997</v>
      </c>
      <c r="K609" s="7">
        <v>186.2</v>
      </c>
      <c r="L609" s="7">
        <v>108.1</v>
      </c>
      <c r="M609" s="7">
        <v>185.3</v>
      </c>
      <c r="N609" s="7">
        <v>266</v>
      </c>
      <c r="O609" s="7">
        <v>84</v>
      </c>
      <c r="P609" s="7">
        <v>126.9</v>
      </c>
      <c r="Q609" s="7">
        <v>7</v>
      </c>
    </row>
    <row r="610" spans="1:17">
      <c r="A610" s="2">
        <v>2558</v>
      </c>
      <c r="B610" s="7">
        <v>113</v>
      </c>
      <c r="C610" s="7">
        <v>20.399999999999999</v>
      </c>
      <c r="D610" s="7">
        <v>47.6</v>
      </c>
      <c r="E610" s="7">
        <v>7.6</v>
      </c>
      <c r="F610" s="7">
        <v>27.3</v>
      </c>
      <c r="G610" s="7">
        <v>22.5</v>
      </c>
      <c r="H610" s="7">
        <v>220.2</v>
      </c>
      <c r="I610" s="7">
        <v>71.8</v>
      </c>
      <c r="J610" s="7">
        <v>39.299999999999997</v>
      </c>
      <c r="K610" s="7">
        <v>186.2</v>
      </c>
      <c r="L610" s="7">
        <v>108.1</v>
      </c>
      <c r="M610" s="7">
        <v>185.3</v>
      </c>
      <c r="N610" s="7">
        <v>266</v>
      </c>
      <c r="O610" s="7">
        <v>84</v>
      </c>
      <c r="P610" s="7">
        <v>126.9</v>
      </c>
      <c r="Q610" s="7">
        <v>7</v>
      </c>
    </row>
    <row r="611" spans="1:17">
      <c r="A611" s="2">
        <v>2559</v>
      </c>
      <c r="B611" s="7">
        <v>113</v>
      </c>
      <c r="C611" s="7">
        <v>20.399999999999999</v>
      </c>
      <c r="D611" s="7">
        <v>47.6</v>
      </c>
      <c r="E611" s="7">
        <v>7.6</v>
      </c>
      <c r="F611" s="7">
        <v>27.3</v>
      </c>
      <c r="G611" s="7">
        <v>22.5</v>
      </c>
      <c r="H611" s="7">
        <v>220.2</v>
      </c>
      <c r="I611" s="7">
        <v>71.8</v>
      </c>
      <c r="J611" s="7">
        <v>39.299999999999997</v>
      </c>
      <c r="K611" s="7">
        <v>186.2</v>
      </c>
      <c r="L611" s="7">
        <v>108.1</v>
      </c>
      <c r="M611" s="7">
        <v>185.3</v>
      </c>
      <c r="N611" s="7">
        <v>266</v>
      </c>
      <c r="O611" s="7">
        <v>84</v>
      </c>
      <c r="P611" s="7">
        <v>126.9</v>
      </c>
      <c r="Q611" s="7">
        <v>7</v>
      </c>
    </row>
    <row r="612" spans="1:17">
      <c r="A612" s="2">
        <v>2560</v>
      </c>
      <c r="B612" s="7">
        <v>113</v>
      </c>
      <c r="C612" s="7">
        <v>20.399999999999999</v>
      </c>
      <c r="D612" s="7">
        <v>47.6</v>
      </c>
      <c r="E612" s="7">
        <v>7.6</v>
      </c>
      <c r="F612" s="7">
        <v>27.3</v>
      </c>
      <c r="G612" s="7">
        <v>22.5</v>
      </c>
      <c r="H612" s="7">
        <v>220.2</v>
      </c>
      <c r="I612" s="7">
        <v>71.8</v>
      </c>
      <c r="J612" s="7">
        <v>39.299999999999997</v>
      </c>
      <c r="K612" s="7">
        <v>186.2</v>
      </c>
      <c r="L612" s="7">
        <v>108.1</v>
      </c>
      <c r="M612" s="7">
        <v>185.3</v>
      </c>
      <c r="N612" s="7">
        <v>266</v>
      </c>
      <c r="O612" s="7">
        <v>84</v>
      </c>
      <c r="P612" s="7">
        <v>126.9</v>
      </c>
      <c r="Q612" s="7">
        <v>7</v>
      </c>
    </row>
    <row r="613" spans="1:17">
      <c r="A613" s="2">
        <v>2561</v>
      </c>
      <c r="B613" s="7">
        <v>113</v>
      </c>
      <c r="C613" s="7">
        <v>20.399999999999999</v>
      </c>
      <c r="D613" s="7">
        <v>47.6</v>
      </c>
      <c r="E613" s="7">
        <v>7.6</v>
      </c>
      <c r="F613" s="7">
        <v>27.3</v>
      </c>
      <c r="G613" s="7">
        <v>22.5</v>
      </c>
      <c r="H613" s="7">
        <v>220.2</v>
      </c>
      <c r="I613" s="7">
        <v>71.8</v>
      </c>
      <c r="J613" s="7">
        <v>39.299999999999997</v>
      </c>
      <c r="K613" s="7">
        <v>186.2</v>
      </c>
      <c r="L613" s="7">
        <v>108.1</v>
      </c>
      <c r="M613" s="7">
        <v>185.3</v>
      </c>
      <c r="N613" s="7">
        <v>266</v>
      </c>
      <c r="O613" s="7">
        <v>84</v>
      </c>
      <c r="P613" s="7">
        <v>126.9</v>
      </c>
      <c r="Q613" s="7">
        <v>7</v>
      </c>
    </row>
    <row r="614" spans="1:17">
      <c r="A614" s="2">
        <v>2562</v>
      </c>
      <c r="B614" s="7">
        <v>113</v>
      </c>
      <c r="C614" s="7">
        <v>20.399999999999999</v>
      </c>
      <c r="D614" s="7">
        <v>47.6</v>
      </c>
      <c r="E614" s="7">
        <v>7.6</v>
      </c>
      <c r="F614" s="7">
        <v>27.3</v>
      </c>
      <c r="G614" s="7">
        <v>22.5</v>
      </c>
      <c r="H614" s="7">
        <v>220.2</v>
      </c>
      <c r="I614" s="7">
        <v>71.8</v>
      </c>
      <c r="J614" s="7">
        <v>39.299999999999997</v>
      </c>
      <c r="K614" s="7">
        <v>186.2</v>
      </c>
      <c r="L614" s="7">
        <v>108.1</v>
      </c>
      <c r="M614" s="7">
        <v>185.3</v>
      </c>
      <c r="N614" s="7">
        <v>266</v>
      </c>
      <c r="O614" s="7">
        <v>84</v>
      </c>
      <c r="P614" s="7">
        <v>126.9</v>
      </c>
      <c r="Q614" s="7">
        <v>7</v>
      </c>
    </row>
    <row r="615" spans="1:17">
      <c r="A615" s="2">
        <v>2563</v>
      </c>
      <c r="B615" s="7">
        <v>113</v>
      </c>
      <c r="C615" s="7">
        <v>20.399999999999999</v>
      </c>
      <c r="D615" s="7">
        <v>47.6</v>
      </c>
      <c r="E615" s="7">
        <v>7.6</v>
      </c>
      <c r="F615" s="7">
        <v>27.3</v>
      </c>
      <c r="G615" s="7">
        <v>22.5</v>
      </c>
      <c r="H615" s="7">
        <v>220.2</v>
      </c>
      <c r="I615" s="7">
        <v>71.8</v>
      </c>
      <c r="J615" s="7">
        <v>39.299999999999997</v>
      </c>
      <c r="K615" s="7">
        <v>186.2</v>
      </c>
      <c r="L615" s="7">
        <v>108.1</v>
      </c>
      <c r="M615" s="7">
        <v>185.3</v>
      </c>
      <c r="N615" s="7">
        <v>266</v>
      </c>
      <c r="O615" s="7">
        <v>84</v>
      </c>
      <c r="P615" s="7">
        <v>126.9</v>
      </c>
      <c r="Q615" s="7">
        <v>7</v>
      </c>
    </row>
    <row r="616" spans="1:17">
      <c r="A616" s="2">
        <v>2564</v>
      </c>
      <c r="B616" s="7">
        <v>113</v>
      </c>
      <c r="C616" s="7">
        <v>20.399999999999999</v>
      </c>
      <c r="D616" s="7">
        <v>47.6</v>
      </c>
      <c r="E616" s="7">
        <v>7.6</v>
      </c>
      <c r="F616" s="7">
        <v>27.3</v>
      </c>
      <c r="G616" s="7">
        <v>22.5</v>
      </c>
      <c r="H616" s="7">
        <v>220.2</v>
      </c>
      <c r="I616" s="7">
        <v>71.8</v>
      </c>
      <c r="J616" s="7">
        <v>39.299999999999997</v>
      </c>
      <c r="K616" s="7">
        <v>186.2</v>
      </c>
      <c r="L616" s="7">
        <v>108.1</v>
      </c>
      <c r="M616" s="7">
        <v>185.3</v>
      </c>
      <c r="N616" s="7">
        <v>266</v>
      </c>
      <c r="O616" s="7">
        <v>84</v>
      </c>
      <c r="P616" s="7">
        <v>126.9</v>
      </c>
      <c r="Q616" s="7">
        <v>7</v>
      </c>
    </row>
    <row r="617" spans="1:17">
      <c r="A617" s="2">
        <v>2565</v>
      </c>
      <c r="B617" s="7">
        <v>113</v>
      </c>
      <c r="C617" s="7">
        <v>20.399999999999999</v>
      </c>
      <c r="D617" s="7">
        <v>47.6</v>
      </c>
      <c r="E617" s="7">
        <v>7.6</v>
      </c>
      <c r="F617" s="7">
        <v>27.3</v>
      </c>
      <c r="G617" s="7">
        <v>22.5</v>
      </c>
      <c r="H617" s="7">
        <v>220.2</v>
      </c>
      <c r="I617" s="7">
        <v>71.8</v>
      </c>
      <c r="J617" s="7">
        <v>39.299999999999997</v>
      </c>
      <c r="K617" s="7">
        <v>186.2</v>
      </c>
      <c r="L617" s="7">
        <v>108.1</v>
      </c>
      <c r="M617" s="7">
        <v>185.3</v>
      </c>
      <c r="N617" s="7">
        <v>266</v>
      </c>
      <c r="O617" s="7">
        <v>84</v>
      </c>
      <c r="P617" s="7">
        <v>126.9</v>
      </c>
      <c r="Q617" s="7">
        <v>7</v>
      </c>
    </row>
    <row r="618" spans="1:17">
      <c r="A618" s="2">
        <v>2566</v>
      </c>
      <c r="B618" s="7">
        <v>113</v>
      </c>
      <c r="C618" s="7">
        <v>20.399999999999999</v>
      </c>
      <c r="D618" s="7">
        <v>47.6</v>
      </c>
      <c r="E618" s="7">
        <v>7.6</v>
      </c>
      <c r="F618" s="7">
        <v>27.3</v>
      </c>
      <c r="G618" s="7">
        <v>22.5</v>
      </c>
      <c r="H618" s="7">
        <v>220.2</v>
      </c>
      <c r="I618" s="7">
        <v>71.8</v>
      </c>
      <c r="J618" s="7">
        <v>39.299999999999997</v>
      </c>
      <c r="K618" s="7">
        <v>186.2</v>
      </c>
      <c r="L618" s="7">
        <v>108.1</v>
      </c>
      <c r="M618" s="7">
        <v>185.3</v>
      </c>
      <c r="N618" s="7">
        <v>266</v>
      </c>
      <c r="O618" s="7">
        <v>84</v>
      </c>
      <c r="P618" s="7">
        <v>126.9</v>
      </c>
      <c r="Q618" s="7">
        <v>7</v>
      </c>
    </row>
    <row r="619" spans="1:17">
      <c r="A619" s="2">
        <v>2567</v>
      </c>
      <c r="B619" s="7">
        <v>113</v>
      </c>
      <c r="C619" s="7">
        <v>20.399999999999999</v>
      </c>
      <c r="D619" s="7">
        <v>47.6</v>
      </c>
      <c r="E619" s="7">
        <v>7.6</v>
      </c>
      <c r="F619" s="7">
        <v>27.3</v>
      </c>
      <c r="G619" s="7">
        <v>22.5</v>
      </c>
      <c r="H619" s="7">
        <v>220.2</v>
      </c>
      <c r="I619" s="7">
        <v>71.8</v>
      </c>
      <c r="J619" s="7">
        <v>39.299999999999997</v>
      </c>
      <c r="K619" s="7">
        <v>186.2</v>
      </c>
      <c r="L619" s="7">
        <v>108.1</v>
      </c>
      <c r="M619" s="7">
        <v>185.3</v>
      </c>
      <c r="N619" s="7">
        <v>266</v>
      </c>
      <c r="O619" s="7">
        <v>84</v>
      </c>
      <c r="P619" s="7">
        <v>126.9</v>
      </c>
      <c r="Q619" s="7">
        <v>7</v>
      </c>
    </row>
    <row r="620" spans="1:17">
      <c r="A620" s="2">
        <v>2568</v>
      </c>
      <c r="B620" s="7">
        <v>113</v>
      </c>
      <c r="C620" s="7">
        <v>20.399999999999999</v>
      </c>
      <c r="D620" s="7">
        <v>47.6</v>
      </c>
      <c r="E620" s="7">
        <v>7.6</v>
      </c>
      <c r="F620" s="7">
        <v>27.3</v>
      </c>
      <c r="G620" s="7">
        <v>22.5</v>
      </c>
      <c r="H620" s="7">
        <v>220.2</v>
      </c>
      <c r="I620" s="7">
        <v>71.8</v>
      </c>
      <c r="J620" s="7">
        <v>39.299999999999997</v>
      </c>
      <c r="K620" s="7">
        <v>186.2</v>
      </c>
      <c r="L620" s="7">
        <v>108.1</v>
      </c>
      <c r="M620" s="7">
        <v>185.3</v>
      </c>
      <c r="N620" s="7">
        <v>266</v>
      </c>
      <c r="O620" s="7">
        <v>84</v>
      </c>
      <c r="P620" s="7">
        <v>126.9</v>
      </c>
      <c r="Q620" s="7">
        <v>7</v>
      </c>
    </row>
    <row r="621" spans="1:17">
      <c r="A621" s="2">
        <v>2569</v>
      </c>
      <c r="B621" s="7">
        <v>113</v>
      </c>
      <c r="C621" s="7">
        <v>20.399999999999999</v>
      </c>
      <c r="D621" s="7">
        <v>47.6</v>
      </c>
      <c r="E621" s="7">
        <v>7.6</v>
      </c>
      <c r="F621" s="7">
        <v>27.3</v>
      </c>
      <c r="G621" s="7">
        <v>22.5</v>
      </c>
      <c r="H621" s="7">
        <v>220.2</v>
      </c>
      <c r="I621" s="7">
        <v>71.8</v>
      </c>
      <c r="J621" s="7">
        <v>39.299999999999997</v>
      </c>
      <c r="K621" s="7">
        <v>186.2</v>
      </c>
      <c r="L621" s="7">
        <v>108.1</v>
      </c>
      <c r="M621" s="7">
        <v>185.3</v>
      </c>
      <c r="N621" s="7">
        <v>266</v>
      </c>
      <c r="O621" s="7">
        <v>84</v>
      </c>
      <c r="P621" s="7">
        <v>126.9</v>
      </c>
      <c r="Q621" s="7">
        <v>7</v>
      </c>
    </row>
    <row r="622" spans="1:17">
      <c r="A622" s="2">
        <v>2570</v>
      </c>
      <c r="B622" s="7">
        <v>113</v>
      </c>
      <c r="C622" s="7">
        <v>20.399999999999999</v>
      </c>
      <c r="D622" s="7">
        <v>47.6</v>
      </c>
      <c r="E622" s="7">
        <v>7.6</v>
      </c>
      <c r="F622" s="7">
        <v>27.3</v>
      </c>
      <c r="G622" s="7">
        <v>22.5</v>
      </c>
      <c r="H622" s="7">
        <v>220.2</v>
      </c>
      <c r="I622" s="7">
        <v>71.8</v>
      </c>
      <c r="J622" s="7">
        <v>39.299999999999997</v>
      </c>
      <c r="K622" s="7">
        <v>186.2</v>
      </c>
      <c r="L622" s="7">
        <v>108.1</v>
      </c>
      <c r="M622" s="7">
        <v>185.3</v>
      </c>
      <c r="N622" s="7">
        <v>266</v>
      </c>
      <c r="O622" s="7">
        <v>84</v>
      </c>
      <c r="P622" s="7">
        <v>126.9</v>
      </c>
      <c r="Q622" s="7">
        <v>7</v>
      </c>
    </row>
    <row r="623" spans="1:17">
      <c r="A623" s="2">
        <v>2571</v>
      </c>
      <c r="B623" s="7">
        <v>113</v>
      </c>
      <c r="C623" s="7">
        <v>20.399999999999999</v>
      </c>
      <c r="D623" s="7">
        <v>47.6</v>
      </c>
      <c r="E623" s="7">
        <v>7.6</v>
      </c>
      <c r="F623" s="7">
        <v>27.3</v>
      </c>
      <c r="G623" s="7">
        <v>22.5</v>
      </c>
      <c r="H623" s="7">
        <v>220.2</v>
      </c>
      <c r="I623" s="7">
        <v>71.8</v>
      </c>
      <c r="J623" s="7">
        <v>39.299999999999997</v>
      </c>
      <c r="K623" s="7">
        <v>186.2</v>
      </c>
      <c r="L623" s="7">
        <v>108.1</v>
      </c>
      <c r="M623" s="7">
        <v>185.3</v>
      </c>
      <c r="N623" s="7">
        <v>266</v>
      </c>
      <c r="O623" s="7">
        <v>84</v>
      </c>
      <c r="P623" s="7">
        <v>126.9</v>
      </c>
      <c r="Q623" s="7">
        <v>7</v>
      </c>
    </row>
    <row r="624" spans="1:17">
      <c r="A624" s="2">
        <v>2572</v>
      </c>
      <c r="B624" s="7">
        <v>113</v>
      </c>
      <c r="C624" s="7">
        <v>20.399999999999999</v>
      </c>
      <c r="D624" s="7">
        <v>47.6</v>
      </c>
      <c r="E624" s="7">
        <v>7.6</v>
      </c>
      <c r="F624" s="7">
        <v>27.3</v>
      </c>
      <c r="G624" s="7">
        <v>22.5</v>
      </c>
      <c r="H624" s="7">
        <v>220.2</v>
      </c>
      <c r="I624" s="7">
        <v>71.8</v>
      </c>
      <c r="J624" s="7">
        <v>39.299999999999997</v>
      </c>
      <c r="K624" s="7">
        <v>186.2</v>
      </c>
      <c r="L624" s="7">
        <v>108.1</v>
      </c>
      <c r="M624" s="7">
        <v>185.3</v>
      </c>
      <c r="N624" s="7">
        <v>266</v>
      </c>
      <c r="O624" s="7">
        <v>84</v>
      </c>
      <c r="P624" s="7">
        <v>126.9</v>
      </c>
      <c r="Q624" s="7">
        <v>7</v>
      </c>
    </row>
    <row r="625" spans="1:17">
      <c r="A625" s="2">
        <v>2573</v>
      </c>
      <c r="B625" s="7">
        <v>113</v>
      </c>
      <c r="C625" s="7">
        <v>20.399999999999999</v>
      </c>
      <c r="D625" s="7">
        <v>47.6</v>
      </c>
      <c r="E625" s="7">
        <v>7.6</v>
      </c>
      <c r="F625" s="7">
        <v>27.3</v>
      </c>
      <c r="G625" s="7">
        <v>22.5</v>
      </c>
      <c r="H625" s="7">
        <v>220.2</v>
      </c>
      <c r="I625" s="7">
        <v>71.8</v>
      </c>
      <c r="J625" s="7">
        <v>39.299999999999997</v>
      </c>
      <c r="K625" s="7">
        <v>186.2</v>
      </c>
      <c r="L625" s="7">
        <v>108.1</v>
      </c>
      <c r="M625" s="7">
        <v>185.3</v>
      </c>
      <c r="N625" s="7">
        <v>266</v>
      </c>
      <c r="O625" s="7">
        <v>84</v>
      </c>
      <c r="P625" s="7">
        <v>126.9</v>
      </c>
      <c r="Q625" s="7">
        <v>7</v>
      </c>
    </row>
    <row r="626" spans="1:17">
      <c r="A626" s="2">
        <v>2574</v>
      </c>
      <c r="B626" s="7">
        <v>113</v>
      </c>
      <c r="C626" s="7">
        <v>20.399999999999999</v>
      </c>
      <c r="D626" s="7">
        <v>47.6</v>
      </c>
      <c r="E626" s="7">
        <v>7.6</v>
      </c>
      <c r="F626" s="7">
        <v>27.3</v>
      </c>
      <c r="G626" s="7">
        <v>22.5</v>
      </c>
      <c r="H626" s="7">
        <v>220.2</v>
      </c>
      <c r="I626" s="7">
        <v>71.8</v>
      </c>
      <c r="J626" s="7">
        <v>39.299999999999997</v>
      </c>
      <c r="K626" s="7">
        <v>186.2</v>
      </c>
      <c r="L626" s="7">
        <v>108.1</v>
      </c>
      <c r="M626" s="7">
        <v>185.3</v>
      </c>
      <c r="N626" s="7">
        <v>266</v>
      </c>
      <c r="O626" s="7">
        <v>84</v>
      </c>
      <c r="P626" s="7">
        <v>126.9</v>
      </c>
      <c r="Q626" s="7">
        <v>7</v>
      </c>
    </row>
    <row r="627" spans="1:17">
      <c r="A627" s="2">
        <v>2575</v>
      </c>
      <c r="B627" s="7">
        <v>113</v>
      </c>
      <c r="C627" s="7">
        <v>20.399999999999999</v>
      </c>
      <c r="D627" s="7">
        <v>47.6</v>
      </c>
      <c r="E627" s="7">
        <v>7.6</v>
      </c>
      <c r="F627" s="7">
        <v>27.3</v>
      </c>
      <c r="G627" s="7">
        <v>22.5</v>
      </c>
      <c r="H627" s="7">
        <v>220.2</v>
      </c>
      <c r="I627" s="7">
        <v>71.8</v>
      </c>
      <c r="J627" s="7">
        <v>39.299999999999997</v>
      </c>
      <c r="K627" s="7">
        <v>186.2</v>
      </c>
      <c r="L627" s="7">
        <v>108.1</v>
      </c>
      <c r="M627" s="7">
        <v>185.3</v>
      </c>
      <c r="N627" s="7">
        <v>266</v>
      </c>
      <c r="O627" s="7">
        <v>84</v>
      </c>
      <c r="P627" s="7">
        <v>126.9</v>
      </c>
      <c r="Q627" s="7">
        <v>7</v>
      </c>
    </row>
    <row r="628" spans="1:17">
      <c r="A628" s="2">
        <v>2576</v>
      </c>
      <c r="B628" s="7">
        <v>113</v>
      </c>
      <c r="C628" s="7">
        <v>20.399999999999999</v>
      </c>
      <c r="D628" s="7">
        <v>47.6</v>
      </c>
      <c r="E628" s="7">
        <v>7.6</v>
      </c>
      <c r="F628" s="7">
        <v>27.3</v>
      </c>
      <c r="G628" s="7">
        <v>22.5</v>
      </c>
      <c r="H628" s="7">
        <v>220.2</v>
      </c>
      <c r="I628" s="7">
        <v>71.8</v>
      </c>
      <c r="J628" s="7">
        <v>39.299999999999997</v>
      </c>
      <c r="K628" s="7">
        <v>186.2</v>
      </c>
      <c r="L628" s="7">
        <v>108.1</v>
      </c>
      <c r="M628" s="7">
        <v>185.3</v>
      </c>
      <c r="N628" s="7">
        <v>266</v>
      </c>
      <c r="O628" s="7">
        <v>84</v>
      </c>
      <c r="P628" s="7">
        <v>126.9</v>
      </c>
      <c r="Q628" s="7">
        <v>7</v>
      </c>
    </row>
    <row r="629" spans="1:17">
      <c r="A629" s="2">
        <v>2577</v>
      </c>
      <c r="B629" s="7">
        <v>113</v>
      </c>
      <c r="C629" s="7">
        <v>20.399999999999999</v>
      </c>
      <c r="D629" s="7">
        <v>47.6</v>
      </c>
      <c r="E629" s="7">
        <v>7.6</v>
      </c>
      <c r="F629" s="7">
        <v>27.3</v>
      </c>
      <c r="G629" s="7">
        <v>22.5</v>
      </c>
      <c r="H629" s="7">
        <v>220.2</v>
      </c>
      <c r="I629" s="7">
        <v>71.8</v>
      </c>
      <c r="J629" s="7">
        <v>39.299999999999997</v>
      </c>
      <c r="K629" s="7">
        <v>186.2</v>
      </c>
      <c r="L629" s="7">
        <v>108.1</v>
      </c>
      <c r="M629" s="7">
        <v>185.3</v>
      </c>
      <c r="N629" s="7">
        <v>266</v>
      </c>
      <c r="O629" s="7">
        <v>84</v>
      </c>
      <c r="P629" s="7">
        <v>126.9</v>
      </c>
      <c r="Q629" s="7">
        <v>7</v>
      </c>
    </row>
    <row r="630" spans="1:17">
      <c r="A630" s="2">
        <v>2578</v>
      </c>
      <c r="B630" s="7">
        <v>113</v>
      </c>
      <c r="C630" s="7">
        <v>20.399999999999999</v>
      </c>
      <c r="D630" s="7">
        <v>47.6</v>
      </c>
      <c r="E630" s="7">
        <v>7.6</v>
      </c>
      <c r="F630" s="7">
        <v>27.3</v>
      </c>
      <c r="G630" s="7">
        <v>22.5</v>
      </c>
      <c r="H630" s="7">
        <v>220.2</v>
      </c>
      <c r="I630" s="7">
        <v>71.8</v>
      </c>
      <c r="J630" s="7">
        <v>39.299999999999997</v>
      </c>
      <c r="K630" s="7">
        <v>186.2</v>
      </c>
      <c r="L630" s="7">
        <v>108.1</v>
      </c>
      <c r="M630" s="7">
        <v>185.3</v>
      </c>
      <c r="N630" s="7">
        <v>266</v>
      </c>
      <c r="O630" s="7">
        <v>84</v>
      </c>
      <c r="P630" s="7">
        <v>126.9</v>
      </c>
      <c r="Q630" s="7">
        <v>7</v>
      </c>
    </row>
    <row r="631" spans="1:17">
      <c r="A631" s="2">
        <v>2579</v>
      </c>
      <c r="B631" s="7">
        <v>113</v>
      </c>
      <c r="C631" s="7">
        <v>20.399999999999999</v>
      </c>
      <c r="D631" s="7">
        <v>47.6</v>
      </c>
      <c r="E631" s="7">
        <v>7.6</v>
      </c>
      <c r="F631" s="7">
        <v>27.3</v>
      </c>
      <c r="G631" s="7">
        <v>22.5</v>
      </c>
      <c r="H631" s="7">
        <v>220.2</v>
      </c>
      <c r="I631" s="7">
        <v>71.8</v>
      </c>
      <c r="J631" s="7">
        <v>39.299999999999997</v>
      </c>
      <c r="K631" s="7">
        <v>186.2</v>
      </c>
      <c r="L631" s="7">
        <v>108.1</v>
      </c>
      <c r="M631" s="7">
        <v>185.3</v>
      </c>
      <c r="N631" s="7">
        <v>266</v>
      </c>
      <c r="O631" s="7">
        <v>84</v>
      </c>
      <c r="P631" s="7">
        <v>126.9</v>
      </c>
      <c r="Q631" s="7">
        <v>7</v>
      </c>
    </row>
    <row r="632" spans="1:17">
      <c r="A632" s="2">
        <v>2580</v>
      </c>
      <c r="B632" s="7">
        <v>113</v>
      </c>
      <c r="C632" s="7">
        <v>20.399999999999999</v>
      </c>
      <c r="D632" s="7">
        <v>47.6</v>
      </c>
      <c r="E632" s="7">
        <v>7.6</v>
      </c>
      <c r="F632" s="7">
        <v>27.3</v>
      </c>
      <c r="G632" s="7">
        <v>22.5</v>
      </c>
      <c r="H632" s="7">
        <v>220.2</v>
      </c>
      <c r="I632" s="7">
        <v>71.8</v>
      </c>
      <c r="J632" s="7">
        <v>39.299999999999997</v>
      </c>
      <c r="K632" s="7">
        <v>186.2</v>
      </c>
      <c r="L632" s="7">
        <v>108.1</v>
      </c>
      <c r="M632" s="7">
        <v>185.3</v>
      </c>
      <c r="N632" s="7">
        <v>266</v>
      </c>
      <c r="O632" s="7">
        <v>84</v>
      </c>
      <c r="P632" s="7">
        <v>126.9</v>
      </c>
      <c r="Q632" s="7">
        <v>7</v>
      </c>
    </row>
    <row r="633" spans="1:17">
      <c r="A633" s="2">
        <v>2581</v>
      </c>
      <c r="B633" s="7">
        <v>113</v>
      </c>
      <c r="C633" s="7">
        <v>20.399999999999999</v>
      </c>
      <c r="D633" s="7">
        <v>47.6</v>
      </c>
      <c r="E633" s="7">
        <v>7.6</v>
      </c>
      <c r="F633" s="7">
        <v>27.3</v>
      </c>
      <c r="G633" s="7">
        <v>22.5</v>
      </c>
      <c r="H633" s="7">
        <v>220.2</v>
      </c>
      <c r="I633" s="7">
        <v>71.8</v>
      </c>
      <c r="J633" s="7">
        <v>39.299999999999997</v>
      </c>
      <c r="K633" s="7">
        <v>186.2</v>
      </c>
      <c r="L633" s="7">
        <v>108.1</v>
      </c>
      <c r="M633" s="7">
        <v>185.3</v>
      </c>
      <c r="N633" s="7">
        <v>266</v>
      </c>
      <c r="O633" s="7">
        <v>84</v>
      </c>
      <c r="P633" s="7">
        <v>126.9</v>
      </c>
      <c r="Q633" s="7">
        <v>7</v>
      </c>
    </row>
    <row r="634" spans="1:17">
      <c r="A634" s="2">
        <v>2582</v>
      </c>
      <c r="B634" s="7">
        <v>113</v>
      </c>
      <c r="C634" s="7">
        <v>20.399999999999999</v>
      </c>
      <c r="D634" s="7">
        <v>47.6</v>
      </c>
      <c r="E634" s="7">
        <v>7.6</v>
      </c>
      <c r="F634" s="7">
        <v>27.3</v>
      </c>
      <c r="G634" s="7">
        <v>22.5</v>
      </c>
      <c r="H634" s="7">
        <v>220.2</v>
      </c>
      <c r="I634" s="7">
        <v>71.8</v>
      </c>
      <c r="J634" s="7">
        <v>39.299999999999997</v>
      </c>
      <c r="K634" s="7">
        <v>186.2</v>
      </c>
      <c r="L634" s="7">
        <v>108.1</v>
      </c>
      <c r="M634" s="7">
        <v>185.3</v>
      </c>
      <c r="N634" s="7">
        <v>266</v>
      </c>
      <c r="O634" s="7">
        <v>84</v>
      </c>
      <c r="P634" s="7">
        <v>126.9</v>
      </c>
      <c r="Q634" s="7">
        <v>7</v>
      </c>
    </row>
    <row r="635" spans="1:17">
      <c r="A635" s="2">
        <v>2583</v>
      </c>
      <c r="B635" s="7">
        <v>113</v>
      </c>
      <c r="C635" s="7">
        <v>20.399999999999999</v>
      </c>
      <c r="D635" s="7">
        <v>47.6</v>
      </c>
      <c r="E635" s="7">
        <v>7.6</v>
      </c>
      <c r="F635" s="7">
        <v>27.3</v>
      </c>
      <c r="G635" s="7">
        <v>22.5</v>
      </c>
      <c r="H635" s="7">
        <v>220.2</v>
      </c>
      <c r="I635" s="7">
        <v>71.8</v>
      </c>
      <c r="J635" s="7">
        <v>39.299999999999997</v>
      </c>
      <c r="K635" s="7">
        <v>186.2</v>
      </c>
      <c r="L635" s="7">
        <v>108.1</v>
      </c>
      <c r="M635" s="7">
        <v>185.3</v>
      </c>
      <c r="N635" s="7">
        <v>266</v>
      </c>
      <c r="O635" s="7">
        <v>84</v>
      </c>
      <c r="P635" s="7">
        <v>126.9</v>
      </c>
      <c r="Q635" s="7">
        <v>7</v>
      </c>
    </row>
    <row r="636" spans="1:17">
      <c r="A636" s="2">
        <v>2584</v>
      </c>
      <c r="B636" s="7">
        <v>113</v>
      </c>
      <c r="C636" s="7">
        <v>20.399999999999999</v>
      </c>
      <c r="D636" s="7">
        <v>47.6</v>
      </c>
      <c r="E636" s="7">
        <v>7.6</v>
      </c>
      <c r="F636" s="7">
        <v>27.3</v>
      </c>
      <c r="G636" s="7">
        <v>22.5</v>
      </c>
      <c r="H636" s="7">
        <v>220.2</v>
      </c>
      <c r="I636" s="7">
        <v>71.8</v>
      </c>
      <c r="J636" s="7">
        <v>39.299999999999997</v>
      </c>
      <c r="K636" s="7">
        <v>186.2</v>
      </c>
      <c r="L636" s="7">
        <v>108.1</v>
      </c>
      <c r="M636" s="7">
        <v>185.3</v>
      </c>
      <c r="N636" s="7">
        <v>266</v>
      </c>
      <c r="O636" s="7">
        <v>84</v>
      </c>
      <c r="P636" s="7">
        <v>126.9</v>
      </c>
      <c r="Q636" s="7">
        <v>7</v>
      </c>
    </row>
    <row r="637" spans="1:17">
      <c r="A637" s="2">
        <v>2585</v>
      </c>
      <c r="B637" s="7">
        <v>113</v>
      </c>
      <c r="C637" s="7">
        <v>20.399999999999999</v>
      </c>
      <c r="D637" s="7">
        <v>47.6</v>
      </c>
      <c r="E637" s="7">
        <v>7.6</v>
      </c>
      <c r="F637" s="7">
        <v>27.3</v>
      </c>
      <c r="G637" s="7">
        <v>22.5</v>
      </c>
      <c r="H637" s="7">
        <v>220.2</v>
      </c>
      <c r="I637" s="7">
        <v>71.8</v>
      </c>
      <c r="J637" s="7">
        <v>39.299999999999997</v>
      </c>
      <c r="K637" s="7">
        <v>186.2</v>
      </c>
      <c r="L637" s="7">
        <v>108.1</v>
      </c>
      <c r="M637" s="7">
        <v>185.3</v>
      </c>
      <c r="N637" s="7">
        <v>266</v>
      </c>
      <c r="O637" s="7">
        <v>84</v>
      </c>
      <c r="P637" s="7">
        <v>126.9</v>
      </c>
      <c r="Q637" s="7">
        <v>7</v>
      </c>
    </row>
    <row r="638" spans="1:17">
      <c r="A638" s="2">
        <v>2586</v>
      </c>
      <c r="B638" s="7">
        <v>113</v>
      </c>
      <c r="C638" s="7">
        <v>20.399999999999999</v>
      </c>
      <c r="D638" s="7">
        <v>47.6</v>
      </c>
      <c r="E638" s="7">
        <v>7.6</v>
      </c>
      <c r="F638" s="7">
        <v>27.3</v>
      </c>
      <c r="G638" s="7">
        <v>22.5</v>
      </c>
      <c r="H638" s="7">
        <v>220.2</v>
      </c>
      <c r="I638" s="7">
        <v>71.8</v>
      </c>
      <c r="J638" s="7">
        <v>39.299999999999997</v>
      </c>
      <c r="K638" s="7">
        <v>186.2</v>
      </c>
      <c r="L638" s="7">
        <v>108.1</v>
      </c>
      <c r="M638" s="7">
        <v>185.3</v>
      </c>
      <c r="N638" s="7">
        <v>266</v>
      </c>
      <c r="O638" s="7">
        <v>84</v>
      </c>
      <c r="P638" s="7">
        <v>126.9</v>
      </c>
      <c r="Q638" s="7">
        <v>7</v>
      </c>
    </row>
    <row r="639" spans="1:17">
      <c r="A639" s="2">
        <v>2587</v>
      </c>
      <c r="B639" s="7">
        <v>113</v>
      </c>
      <c r="C639" s="7">
        <v>20.399999999999999</v>
      </c>
      <c r="D639" s="7">
        <v>47.6</v>
      </c>
      <c r="E639" s="7">
        <v>7.6</v>
      </c>
      <c r="F639" s="7">
        <v>27.3</v>
      </c>
      <c r="G639" s="7">
        <v>22.5</v>
      </c>
      <c r="H639" s="7">
        <v>220.2</v>
      </c>
      <c r="I639" s="7">
        <v>71.8</v>
      </c>
      <c r="J639" s="7">
        <v>39.299999999999997</v>
      </c>
      <c r="K639" s="7">
        <v>186.2</v>
      </c>
      <c r="L639" s="7">
        <v>108.1</v>
      </c>
      <c r="M639" s="7">
        <v>185.3</v>
      </c>
      <c r="N639" s="7">
        <v>266</v>
      </c>
      <c r="O639" s="7">
        <v>84</v>
      </c>
      <c r="P639" s="7">
        <v>126.9</v>
      </c>
      <c r="Q639" s="7">
        <v>7</v>
      </c>
    </row>
    <row r="640" spans="1:17">
      <c r="A640" s="2">
        <v>2588</v>
      </c>
      <c r="B640" s="7">
        <v>113</v>
      </c>
      <c r="C640" s="7">
        <v>20.399999999999999</v>
      </c>
      <c r="D640" s="7">
        <v>47.6</v>
      </c>
      <c r="E640" s="7">
        <v>7.6</v>
      </c>
      <c r="F640" s="7">
        <v>27.3</v>
      </c>
      <c r="G640" s="7">
        <v>22.5</v>
      </c>
      <c r="H640" s="7">
        <v>220.2</v>
      </c>
      <c r="I640" s="7">
        <v>71.8</v>
      </c>
      <c r="J640" s="7">
        <v>39.299999999999997</v>
      </c>
      <c r="K640" s="7">
        <v>186.2</v>
      </c>
      <c r="L640" s="7">
        <v>108.1</v>
      </c>
      <c r="M640" s="7">
        <v>185.3</v>
      </c>
      <c r="N640" s="7">
        <v>266</v>
      </c>
      <c r="O640" s="7">
        <v>84</v>
      </c>
      <c r="P640" s="7">
        <v>126.9</v>
      </c>
      <c r="Q640" s="7">
        <v>7</v>
      </c>
    </row>
    <row r="641" spans="1:17">
      <c r="A641" s="2">
        <v>2589</v>
      </c>
      <c r="B641" s="7">
        <v>113</v>
      </c>
      <c r="C641" s="7">
        <v>20.399999999999999</v>
      </c>
      <c r="D641" s="7">
        <v>47.6</v>
      </c>
      <c r="E641" s="7">
        <v>7.6</v>
      </c>
      <c r="F641" s="7">
        <v>27.3</v>
      </c>
      <c r="G641" s="7">
        <v>22.5</v>
      </c>
      <c r="H641" s="7">
        <v>220.2</v>
      </c>
      <c r="I641" s="7">
        <v>71.8</v>
      </c>
      <c r="J641" s="7">
        <v>39.299999999999997</v>
      </c>
      <c r="K641" s="7">
        <v>186.2</v>
      </c>
      <c r="L641" s="7">
        <v>108.1</v>
      </c>
      <c r="M641" s="7">
        <v>185.3</v>
      </c>
      <c r="N641" s="7">
        <v>266</v>
      </c>
      <c r="O641" s="7">
        <v>84</v>
      </c>
      <c r="P641" s="7">
        <v>126.9</v>
      </c>
      <c r="Q641" s="7">
        <v>7</v>
      </c>
    </row>
    <row r="642" spans="1:17">
      <c r="A642" s="2">
        <v>2590</v>
      </c>
      <c r="B642" s="7">
        <v>113</v>
      </c>
      <c r="C642" s="7">
        <v>20.399999999999999</v>
      </c>
      <c r="D642" s="7">
        <v>47.6</v>
      </c>
      <c r="E642" s="7">
        <v>7.6</v>
      </c>
      <c r="F642" s="7">
        <v>27.3</v>
      </c>
      <c r="G642" s="7">
        <v>22.5</v>
      </c>
      <c r="H642" s="7">
        <v>220.2</v>
      </c>
      <c r="I642" s="7">
        <v>71.8</v>
      </c>
      <c r="J642" s="7">
        <v>39.299999999999997</v>
      </c>
      <c r="K642" s="7">
        <v>186.2</v>
      </c>
      <c r="L642" s="7">
        <v>108.1</v>
      </c>
      <c r="M642" s="7">
        <v>185.3</v>
      </c>
      <c r="N642" s="7">
        <v>266</v>
      </c>
      <c r="O642" s="7">
        <v>84</v>
      </c>
      <c r="P642" s="7">
        <v>126.9</v>
      </c>
      <c r="Q642" s="7">
        <v>7</v>
      </c>
    </row>
    <row r="643" spans="1:17">
      <c r="A643" s="2">
        <v>2591</v>
      </c>
      <c r="B643" s="7">
        <v>113</v>
      </c>
      <c r="C643" s="7">
        <v>20.399999999999999</v>
      </c>
      <c r="D643" s="7">
        <v>47.6</v>
      </c>
      <c r="E643" s="7">
        <v>7.6</v>
      </c>
      <c r="F643" s="7">
        <v>27.3</v>
      </c>
      <c r="G643" s="7">
        <v>22.5</v>
      </c>
      <c r="H643" s="7">
        <v>220.2</v>
      </c>
      <c r="I643" s="7">
        <v>71.8</v>
      </c>
      <c r="J643" s="7">
        <v>39.299999999999997</v>
      </c>
      <c r="K643" s="7">
        <v>186.2</v>
      </c>
      <c r="L643" s="7">
        <v>108.1</v>
      </c>
      <c r="M643" s="7">
        <v>185.3</v>
      </c>
      <c r="N643" s="7">
        <v>266</v>
      </c>
      <c r="O643" s="7">
        <v>84</v>
      </c>
      <c r="P643" s="7">
        <v>126.9</v>
      </c>
      <c r="Q643" s="7">
        <v>7</v>
      </c>
    </row>
    <row r="644" spans="1:17">
      <c r="A644" s="2">
        <v>2592</v>
      </c>
      <c r="B644" s="7">
        <v>113</v>
      </c>
      <c r="C644" s="7">
        <v>20.399999999999999</v>
      </c>
      <c r="D644" s="7">
        <v>47.6</v>
      </c>
      <c r="E644" s="7">
        <v>7.6</v>
      </c>
      <c r="F644" s="7">
        <v>27.3</v>
      </c>
      <c r="G644" s="7">
        <v>22.5</v>
      </c>
      <c r="H644" s="7">
        <v>220.2</v>
      </c>
      <c r="I644" s="7">
        <v>71.8</v>
      </c>
      <c r="J644" s="7">
        <v>39.299999999999997</v>
      </c>
      <c r="K644" s="7">
        <v>186.2</v>
      </c>
      <c r="L644" s="7">
        <v>108.1</v>
      </c>
      <c r="M644" s="7">
        <v>185.3</v>
      </c>
      <c r="N644" s="7">
        <v>266</v>
      </c>
      <c r="O644" s="7">
        <v>84</v>
      </c>
      <c r="P644" s="7">
        <v>126.9</v>
      </c>
      <c r="Q644" s="7">
        <v>7</v>
      </c>
    </row>
    <row r="645" spans="1:17">
      <c r="A645" s="2">
        <v>2593</v>
      </c>
      <c r="B645" s="7">
        <v>113</v>
      </c>
      <c r="C645" s="7">
        <v>20.399999999999999</v>
      </c>
      <c r="D645" s="7">
        <v>47.6</v>
      </c>
      <c r="E645" s="7">
        <v>7.6</v>
      </c>
      <c r="F645" s="7">
        <v>27.3</v>
      </c>
      <c r="G645" s="7">
        <v>22.5</v>
      </c>
      <c r="H645" s="7">
        <v>220.2</v>
      </c>
      <c r="I645" s="7">
        <v>71.8</v>
      </c>
      <c r="J645" s="7">
        <v>39.299999999999997</v>
      </c>
      <c r="K645" s="7">
        <v>186.2</v>
      </c>
      <c r="L645" s="7">
        <v>108.1</v>
      </c>
      <c r="M645" s="7">
        <v>185.3</v>
      </c>
      <c r="N645" s="7">
        <v>266</v>
      </c>
      <c r="O645" s="7">
        <v>84</v>
      </c>
      <c r="P645" s="7">
        <v>126.9</v>
      </c>
      <c r="Q645" s="7">
        <v>7</v>
      </c>
    </row>
    <row r="646" spans="1:17">
      <c r="A646" s="2">
        <v>2594</v>
      </c>
      <c r="B646" s="7">
        <v>113</v>
      </c>
      <c r="C646" s="7">
        <v>20.399999999999999</v>
      </c>
      <c r="D646" s="7">
        <v>47.6</v>
      </c>
      <c r="E646" s="7">
        <v>7.6</v>
      </c>
      <c r="F646" s="7">
        <v>27.3</v>
      </c>
      <c r="G646" s="7">
        <v>22.5</v>
      </c>
      <c r="H646" s="7">
        <v>220.2</v>
      </c>
      <c r="I646" s="7">
        <v>71.8</v>
      </c>
      <c r="J646" s="7">
        <v>39.299999999999997</v>
      </c>
      <c r="K646" s="7">
        <v>186.2</v>
      </c>
      <c r="L646" s="7">
        <v>108.1</v>
      </c>
      <c r="M646" s="7">
        <v>185.3</v>
      </c>
      <c r="N646" s="7">
        <v>266</v>
      </c>
      <c r="O646" s="7">
        <v>84</v>
      </c>
      <c r="P646" s="7">
        <v>126.9</v>
      </c>
      <c r="Q646" s="7">
        <v>7</v>
      </c>
    </row>
    <row r="647" spans="1:17">
      <c r="A647" s="2">
        <v>2595</v>
      </c>
      <c r="B647" s="7">
        <v>113</v>
      </c>
      <c r="C647" s="7">
        <v>20.399999999999999</v>
      </c>
      <c r="D647" s="7">
        <v>47.6</v>
      </c>
      <c r="E647" s="7">
        <v>7.6</v>
      </c>
      <c r="F647" s="7">
        <v>27.3</v>
      </c>
      <c r="G647" s="7">
        <v>22.5</v>
      </c>
      <c r="H647" s="7">
        <v>220.2</v>
      </c>
      <c r="I647" s="7">
        <v>71.8</v>
      </c>
      <c r="J647" s="7">
        <v>39.299999999999997</v>
      </c>
      <c r="K647" s="7">
        <v>186.2</v>
      </c>
      <c r="L647" s="7">
        <v>108.1</v>
      </c>
      <c r="M647" s="7">
        <v>185.3</v>
      </c>
      <c r="N647" s="7">
        <v>266</v>
      </c>
      <c r="O647" s="7">
        <v>84</v>
      </c>
      <c r="P647" s="7">
        <v>126.9</v>
      </c>
      <c r="Q647" s="7">
        <v>7</v>
      </c>
    </row>
    <row r="648" spans="1:17">
      <c r="A648" s="2">
        <v>2596</v>
      </c>
      <c r="B648" s="7">
        <v>113</v>
      </c>
      <c r="C648" s="7">
        <v>20.399999999999999</v>
      </c>
      <c r="D648" s="7">
        <v>47.6</v>
      </c>
      <c r="E648" s="7">
        <v>7.6</v>
      </c>
      <c r="F648" s="7">
        <v>27.3</v>
      </c>
      <c r="G648" s="7">
        <v>22.5</v>
      </c>
      <c r="H648" s="7">
        <v>220.2</v>
      </c>
      <c r="I648" s="7">
        <v>71.8</v>
      </c>
      <c r="J648" s="7">
        <v>39.299999999999997</v>
      </c>
      <c r="K648" s="7">
        <v>186.2</v>
      </c>
      <c r="L648" s="7">
        <v>108.1</v>
      </c>
      <c r="M648" s="7">
        <v>185.3</v>
      </c>
      <c r="N648" s="7">
        <v>266</v>
      </c>
      <c r="O648" s="7">
        <v>84</v>
      </c>
      <c r="P648" s="7">
        <v>126.9</v>
      </c>
      <c r="Q648" s="7">
        <v>7</v>
      </c>
    </row>
    <row r="649" spans="1:17">
      <c r="A649" s="2">
        <v>2597</v>
      </c>
      <c r="B649" s="7">
        <v>113</v>
      </c>
      <c r="C649" s="7">
        <v>20.399999999999999</v>
      </c>
      <c r="D649" s="7">
        <v>47.6</v>
      </c>
      <c r="E649" s="7">
        <v>7.6</v>
      </c>
      <c r="F649" s="7">
        <v>27.3</v>
      </c>
      <c r="G649" s="7">
        <v>22.5</v>
      </c>
      <c r="H649" s="7">
        <v>220.2</v>
      </c>
      <c r="I649" s="7">
        <v>71.8</v>
      </c>
      <c r="J649" s="7">
        <v>39.299999999999997</v>
      </c>
      <c r="K649" s="7">
        <v>186.2</v>
      </c>
      <c r="L649" s="7">
        <v>108.1</v>
      </c>
      <c r="M649" s="7">
        <v>185.3</v>
      </c>
      <c r="N649" s="7">
        <v>266</v>
      </c>
      <c r="O649" s="7">
        <v>84</v>
      </c>
      <c r="P649" s="7">
        <v>126.9</v>
      </c>
      <c r="Q649" s="7">
        <v>7</v>
      </c>
    </row>
    <row r="650" spans="1:17">
      <c r="A650" s="2">
        <v>2598</v>
      </c>
      <c r="B650" s="7">
        <v>113</v>
      </c>
      <c r="C650" s="7">
        <v>20.399999999999999</v>
      </c>
      <c r="D650" s="7">
        <v>47.6</v>
      </c>
      <c r="E650" s="7">
        <v>7.6</v>
      </c>
      <c r="F650" s="7">
        <v>27.3</v>
      </c>
      <c r="G650" s="7">
        <v>22.5</v>
      </c>
      <c r="H650" s="7">
        <v>220.2</v>
      </c>
      <c r="I650" s="7">
        <v>71.8</v>
      </c>
      <c r="J650" s="7">
        <v>39.299999999999997</v>
      </c>
      <c r="K650" s="7">
        <v>186.2</v>
      </c>
      <c r="L650" s="7">
        <v>108.1</v>
      </c>
      <c r="M650" s="7">
        <v>185.3</v>
      </c>
      <c r="N650" s="7">
        <v>266</v>
      </c>
      <c r="O650" s="7">
        <v>84</v>
      </c>
      <c r="P650" s="7">
        <v>126.9</v>
      </c>
      <c r="Q650" s="7">
        <v>7</v>
      </c>
    </row>
    <row r="651" spans="1:17">
      <c r="A651" s="2">
        <v>2599</v>
      </c>
      <c r="B651" s="7">
        <v>113</v>
      </c>
      <c r="C651" s="7">
        <v>20.399999999999999</v>
      </c>
      <c r="D651" s="7">
        <v>47.6</v>
      </c>
      <c r="E651" s="7">
        <v>7.6</v>
      </c>
      <c r="F651" s="7">
        <v>27.3</v>
      </c>
      <c r="G651" s="7">
        <v>22.5</v>
      </c>
      <c r="H651" s="7">
        <v>220.2</v>
      </c>
      <c r="I651" s="7">
        <v>71.8</v>
      </c>
      <c r="J651" s="7">
        <v>39.299999999999997</v>
      </c>
      <c r="K651" s="7">
        <v>186.2</v>
      </c>
      <c r="L651" s="7">
        <v>108.1</v>
      </c>
      <c r="M651" s="7">
        <v>185.3</v>
      </c>
      <c r="N651" s="7">
        <v>266</v>
      </c>
      <c r="O651" s="7">
        <v>84</v>
      </c>
      <c r="P651" s="7">
        <v>126.9</v>
      </c>
      <c r="Q651" s="7">
        <v>7</v>
      </c>
    </row>
    <row r="652" spans="1:17">
      <c r="A652" s="2">
        <v>2600</v>
      </c>
      <c r="B652" s="7">
        <v>113</v>
      </c>
      <c r="C652" s="7">
        <v>20.399999999999999</v>
      </c>
      <c r="D652" s="7">
        <v>47.6</v>
      </c>
      <c r="E652" s="7">
        <v>7.6</v>
      </c>
      <c r="F652" s="7">
        <v>27.3</v>
      </c>
      <c r="G652" s="7">
        <v>22.5</v>
      </c>
      <c r="H652" s="7">
        <v>220.2</v>
      </c>
      <c r="I652" s="7">
        <v>71.8</v>
      </c>
      <c r="J652" s="7">
        <v>39.299999999999997</v>
      </c>
      <c r="K652" s="7">
        <v>186.2</v>
      </c>
      <c r="L652" s="7">
        <v>108.1</v>
      </c>
      <c r="M652" s="7">
        <v>185.3</v>
      </c>
      <c r="N652" s="7">
        <v>266</v>
      </c>
      <c r="O652" s="7">
        <v>84</v>
      </c>
      <c r="P652" s="7">
        <v>126.9</v>
      </c>
      <c r="Q652" s="7">
        <v>7</v>
      </c>
    </row>
    <row r="653" spans="1:17">
      <c r="A653" s="2">
        <v>2601</v>
      </c>
      <c r="B653" s="7">
        <v>113</v>
      </c>
      <c r="C653" s="7">
        <v>20.399999999999999</v>
      </c>
      <c r="D653" s="7">
        <v>47.6</v>
      </c>
      <c r="E653" s="7">
        <v>7.6</v>
      </c>
      <c r="F653" s="7">
        <v>27.3</v>
      </c>
      <c r="G653" s="7">
        <v>22.5</v>
      </c>
      <c r="H653" s="7">
        <v>220.2</v>
      </c>
      <c r="I653" s="7">
        <v>71.8</v>
      </c>
      <c r="J653" s="7">
        <v>39.299999999999997</v>
      </c>
      <c r="K653" s="7">
        <v>186.2</v>
      </c>
      <c r="L653" s="7">
        <v>108.1</v>
      </c>
      <c r="M653" s="7">
        <v>185.3</v>
      </c>
      <c r="N653" s="7">
        <v>266</v>
      </c>
      <c r="O653" s="7">
        <v>84</v>
      </c>
      <c r="P653" s="7">
        <v>126.9</v>
      </c>
      <c r="Q653" s="7">
        <v>7</v>
      </c>
    </row>
    <row r="654" spans="1:17">
      <c r="A654" s="2">
        <v>2602</v>
      </c>
      <c r="B654" s="7">
        <v>113</v>
      </c>
      <c r="C654" s="7">
        <v>20.399999999999999</v>
      </c>
      <c r="D654" s="7">
        <v>47.6</v>
      </c>
      <c r="E654" s="7">
        <v>7.6</v>
      </c>
      <c r="F654" s="7">
        <v>27.3</v>
      </c>
      <c r="G654" s="7">
        <v>22.5</v>
      </c>
      <c r="H654" s="7">
        <v>220.2</v>
      </c>
      <c r="I654" s="7">
        <v>71.8</v>
      </c>
      <c r="J654" s="7">
        <v>39.299999999999997</v>
      </c>
      <c r="K654" s="7">
        <v>186.2</v>
      </c>
      <c r="L654" s="7">
        <v>108.1</v>
      </c>
      <c r="M654" s="7">
        <v>185.3</v>
      </c>
      <c r="N654" s="7">
        <v>266</v>
      </c>
      <c r="O654" s="7">
        <v>84</v>
      </c>
      <c r="P654" s="7">
        <v>126.9</v>
      </c>
      <c r="Q654" s="7">
        <v>7</v>
      </c>
    </row>
    <row r="655" spans="1:17">
      <c r="A655" s="2">
        <v>2603</v>
      </c>
      <c r="B655" s="7">
        <v>113</v>
      </c>
      <c r="C655" s="7">
        <v>20.399999999999999</v>
      </c>
      <c r="D655" s="7">
        <v>47.6</v>
      </c>
      <c r="E655" s="7">
        <v>7.6</v>
      </c>
      <c r="F655" s="7">
        <v>27.3</v>
      </c>
      <c r="G655" s="7">
        <v>22.5</v>
      </c>
      <c r="H655" s="7">
        <v>220.2</v>
      </c>
      <c r="I655" s="7">
        <v>71.8</v>
      </c>
      <c r="J655" s="7">
        <v>39.299999999999997</v>
      </c>
      <c r="K655" s="7">
        <v>186.2</v>
      </c>
      <c r="L655" s="7">
        <v>108.1</v>
      </c>
      <c r="M655" s="7">
        <v>185.3</v>
      </c>
      <c r="N655" s="7">
        <v>266</v>
      </c>
      <c r="O655" s="7">
        <v>84</v>
      </c>
      <c r="P655" s="7">
        <v>126.9</v>
      </c>
      <c r="Q655" s="7">
        <v>7</v>
      </c>
    </row>
    <row r="656" spans="1:17">
      <c r="A656" s="2">
        <v>2604</v>
      </c>
      <c r="B656" s="7">
        <v>113</v>
      </c>
      <c r="C656" s="7">
        <v>20.399999999999999</v>
      </c>
      <c r="D656" s="7">
        <v>47.6</v>
      </c>
      <c r="E656" s="7">
        <v>7.6</v>
      </c>
      <c r="F656" s="7">
        <v>27.3</v>
      </c>
      <c r="G656" s="7">
        <v>22.5</v>
      </c>
      <c r="H656" s="7">
        <v>220.2</v>
      </c>
      <c r="I656" s="7">
        <v>71.8</v>
      </c>
      <c r="J656" s="7">
        <v>39.299999999999997</v>
      </c>
      <c r="K656" s="7">
        <v>186.2</v>
      </c>
      <c r="L656" s="7">
        <v>108.1</v>
      </c>
      <c r="M656" s="7">
        <v>185.3</v>
      </c>
      <c r="N656" s="7">
        <v>266</v>
      </c>
      <c r="O656" s="7">
        <v>84</v>
      </c>
      <c r="P656" s="7">
        <v>126.9</v>
      </c>
      <c r="Q656" s="7">
        <v>7</v>
      </c>
    </row>
    <row r="657" spans="1:17">
      <c r="A657" s="2">
        <v>2605</v>
      </c>
      <c r="B657" s="7">
        <v>113</v>
      </c>
      <c r="C657" s="7">
        <v>20.399999999999999</v>
      </c>
      <c r="D657" s="7">
        <v>47.6</v>
      </c>
      <c r="E657" s="7">
        <v>7.6</v>
      </c>
      <c r="F657" s="7">
        <v>27.3</v>
      </c>
      <c r="G657" s="7">
        <v>22.5</v>
      </c>
      <c r="H657" s="7">
        <v>220.2</v>
      </c>
      <c r="I657" s="7">
        <v>71.8</v>
      </c>
      <c r="J657" s="7">
        <v>39.299999999999997</v>
      </c>
      <c r="K657" s="7">
        <v>186.2</v>
      </c>
      <c r="L657" s="7">
        <v>108.1</v>
      </c>
      <c r="M657" s="7">
        <v>185.3</v>
      </c>
      <c r="N657" s="7">
        <v>266</v>
      </c>
      <c r="O657" s="7">
        <v>84</v>
      </c>
      <c r="P657" s="7">
        <v>126.9</v>
      </c>
      <c r="Q657" s="7">
        <v>7</v>
      </c>
    </row>
    <row r="658" spans="1:17">
      <c r="A658" s="2">
        <v>2606</v>
      </c>
      <c r="B658" s="7">
        <v>113</v>
      </c>
      <c r="C658" s="7">
        <v>20.399999999999999</v>
      </c>
      <c r="D658" s="7">
        <v>47.6</v>
      </c>
      <c r="E658" s="7">
        <v>7.6</v>
      </c>
      <c r="F658" s="7">
        <v>27.3</v>
      </c>
      <c r="G658" s="7">
        <v>22.5</v>
      </c>
      <c r="H658" s="7">
        <v>220.2</v>
      </c>
      <c r="I658" s="7">
        <v>71.8</v>
      </c>
      <c r="J658" s="7">
        <v>39.299999999999997</v>
      </c>
      <c r="K658" s="7">
        <v>186.2</v>
      </c>
      <c r="L658" s="7">
        <v>108.1</v>
      </c>
      <c r="M658" s="7">
        <v>185.3</v>
      </c>
      <c r="N658" s="7">
        <v>266</v>
      </c>
      <c r="O658" s="7">
        <v>84</v>
      </c>
      <c r="P658" s="7">
        <v>126.9</v>
      </c>
      <c r="Q658" s="7">
        <v>7</v>
      </c>
    </row>
    <row r="659" spans="1:17">
      <c r="A659" s="2">
        <v>2607</v>
      </c>
      <c r="B659" s="7">
        <v>113</v>
      </c>
      <c r="C659" s="7">
        <v>20.399999999999999</v>
      </c>
      <c r="D659" s="7">
        <v>47.6</v>
      </c>
      <c r="E659" s="7">
        <v>7.6</v>
      </c>
      <c r="F659" s="7">
        <v>27.3</v>
      </c>
      <c r="G659" s="7">
        <v>22.5</v>
      </c>
      <c r="H659" s="7">
        <v>220.2</v>
      </c>
      <c r="I659" s="7">
        <v>71.8</v>
      </c>
      <c r="J659" s="7">
        <v>39.299999999999997</v>
      </c>
      <c r="K659" s="7">
        <v>186.2</v>
      </c>
      <c r="L659" s="7">
        <v>108.1</v>
      </c>
      <c r="M659" s="7">
        <v>185.3</v>
      </c>
      <c r="N659" s="7">
        <v>266</v>
      </c>
      <c r="O659" s="7">
        <v>84</v>
      </c>
      <c r="P659" s="7">
        <v>126.9</v>
      </c>
      <c r="Q659" s="7">
        <v>7</v>
      </c>
    </row>
    <row r="660" spans="1:17">
      <c r="A660" s="2">
        <v>2608</v>
      </c>
      <c r="B660" s="7">
        <v>113</v>
      </c>
      <c r="C660" s="7">
        <v>20.399999999999999</v>
      </c>
      <c r="D660" s="7">
        <v>47.6</v>
      </c>
      <c r="E660" s="7">
        <v>7.6</v>
      </c>
      <c r="F660" s="7">
        <v>27.3</v>
      </c>
      <c r="G660" s="7">
        <v>22.5</v>
      </c>
      <c r="H660" s="7">
        <v>220.2</v>
      </c>
      <c r="I660" s="7">
        <v>71.8</v>
      </c>
      <c r="J660" s="7">
        <v>39.299999999999997</v>
      </c>
      <c r="K660" s="7">
        <v>186.2</v>
      </c>
      <c r="L660" s="7">
        <v>108.1</v>
      </c>
      <c r="M660" s="7">
        <v>185.3</v>
      </c>
      <c r="N660" s="7">
        <v>266</v>
      </c>
      <c r="O660" s="7">
        <v>84</v>
      </c>
      <c r="P660" s="7">
        <v>126.9</v>
      </c>
      <c r="Q660" s="7">
        <v>7</v>
      </c>
    </row>
    <row r="661" spans="1:17">
      <c r="A661" s="2">
        <v>2609</v>
      </c>
      <c r="B661" s="7">
        <v>113</v>
      </c>
      <c r="C661" s="7">
        <v>20.399999999999999</v>
      </c>
      <c r="D661" s="7">
        <v>47.6</v>
      </c>
      <c r="E661" s="7">
        <v>7.6</v>
      </c>
      <c r="F661" s="7">
        <v>27.3</v>
      </c>
      <c r="G661" s="7">
        <v>22.5</v>
      </c>
      <c r="H661" s="7">
        <v>220.2</v>
      </c>
      <c r="I661" s="7">
        <v>71.8</v>
      </c>
      <c r="J661" s="7">
        <v>39.299999999999997</v>
      </c>
      <c r="K661" s="7">
        <v>186.2</v>
      </c>
      <c r="L661" s="7">
        <v>108.1</v>
      </c>
      <c r="M661" s="7">
        <v>185.3</v>
      </c>
      <c r="N661" s="7">
        <v>266</v>
      </c>
      <c r="O661" s="7">
        <v>84</v>
      </c>
      <c r="P661" s="7">
        <v>126.9</v>
      </c>
      <c r="Q661" s="7">
        <v>7</v>
      </c>
    </row>
    <row r="662" spans="1:17">
      <c r="A662" s="2">
        <v>2610</v>
      </c>
      <c r="B662" s="7">
        <v>113</v>
      </c>
      <c r="C662" s="7">
        <v>20.399999999999999</v>
      </c>
      <c r="D662" s="7">
        <v>47.6</v>
      </c>
      <c r="E662" s="7">
        <v>7.6</v>
      </c>
      <c r="F662" s="7">
        <v>27.3</v>
      </c>
      <c r="G662" s="7">
        <v>22.5</v>
      </c>
      <c r="H662" s="7">
        <v>220.2</v>
      </c>
      <c r="I662" s="7">
        <v>71.8</v>
      </c>
      <c r="J662" s="7">
        <v>39.299999999999997</v>
      </c>
      <c r="K662" s="7">
        <v>186.2</v>
      </c>
      <c r="L662" s="7">
        <v>108.1</v>
      </c>
      <c r="M662" s="7">
        <v>185.3</v>
      </c>
      <c r="N662" s="7">
        <v>266</v>
      </c>
      <c r="O662" s="7">
        <v>84</v>
      </c>
      <c r="P662" s="7">
        <v>126.9</v>
      </c>
      <c r="Q662" s="7">
        <v>7</v>
      </c>
    </row>
    <row r="663" spans="1:17">
      <c r="A663" s="2">
        <v>2611</v>
      </c>
      <c r="B663" s="7">
        <v>113</v>
      </c>
      <c r="C663" s="7">
        <v>20.399999999999999</v>
      </c>
      <c r="D663" s="7">
        <v>47.6</v>
      </c>
      <c r="E663" s="7">
        <v>7.6</v>
      </c>
      <c r="F663" s="7">
        <v>27.3</v>
      </c>
      <c r="G663" s="7">
        <v>22.5</v>
      </c>
      <c r="H663" s="7">
        <v>220.2</v>
      </c>
      <c r="I663" s="7">
        <v>71.8</v>
      </c>
      <c r="J663" s="7">
        <v>39.299999999999997</v>
      </c>
      <c r="K663" s="7">
        <v>186.2</v>
      </c>
      <c r="L663" s="7">
        <v>108.1</v>
      </c>
      <c r="M663" s="7">
        <v>185.3</v>
      </c>
      <c r="N663" s="7">
        <v>266</v>
      </c>
      <c r="O663" s="7">
        <v>84</v>
      </c>
      <c r="P663" s="7">
        <v>126.9</v>
      </c>
      <c r="Q663" s="7">
        <v>7</v>
      </c>
    </row>
    <row r="664" spans="1:17">
      <c r="A664" s="2">
        <v>2612</v>
      </c>
      <c r="B664" s="7">
        <v>113</v>
      </c>
      <c r="C664" s="7">
        <v>20.399999999999999</v>
      </c>
      <c r="D664" s="7">
        <v>47.6</v>
      </c>
      <c r="E664" s="7">
        <v>7.6</v>
      </c>
      <c r="F664" s="7">
        <v>27.3</v>
      </c>
      <c r="G664" s="7">
        <v>22.5</v>
      </c>
      <c r="H664" s="7">
        <v>220.2</v>
      </c>
      <c r="I664" s="7">
        <v>71.8</v>
      </c>
      <c r="J664" s="7">
        <v>39.299999999999997</v>
      </c>
      <c r="K664" s="7">
        <v>186.2</v>
      </c>
      <c r="L664" s="7">
        <v>108.1</v>
      </c>
      <c r="M664" s="7">
        <v>185.3</v>
      </c>
      <c r="N664" s="7">
        <v>266</v>
      </c>
      <c r="O664" s="7">
        <v>84</v>
      </c>
      <c r="P664" s="7">
        <v>126.9</v>
      </c>
      <c r="Q664" s="7">
        <v>7</v>
      </c>
    </row>
    <row r="665" spans="1:17">
      <c r="A665" s="2">
        <v>2613</v>
      </c>
      <c r="B665" s="7">
        <v>113</v>
      </c>
      <c r="C665" s="7">
        <v>20.399999999999999</v>
      </c>
      <c r="D665" s="7">
        <v>47.6</v>
      </c>
      <c r="E665" s="7">
        <v>7.6</v>
      </c>
      <c r="F665" s="7">
        <v>27.3</v>
      </c>
      <c r="G665" s="7">
        <v>22.5</v>
      </c>
      <c r="H665" s="7">
        <v>220.2</v>
      </c>
      <c r="I665" s="7">
        <v>71.8</v>
      </c>
      <c r="J665" s="7">
        <v>39.299999999999997</v>
      </c>
      <c r="K665" s="7">
        <v>186.2</v>
      </c>
      <c r="L665" s="7">
        <v>108.1</v>
      </c>
      <c r="M665" s="7">
        <v>185.3</v>
      </c>
      <c r="N665" s="7">
        <v>266</v>
      </c>
      <c r="O665" s="7">
        <v>84</v>
      </c>
      <c r="P665" s="7">
        <v>126.9</v>
      </c>
      <c r="Q665" s="7">
        <v>7</v>
      </c>
    </row>
    <row r="666" spans="1:17">
      <c r="A666" s="2">
        <v>2614</v>
      </c>
      <c r="B666" s="7">
        <v>113</v>
      </c>
      <c r="C666" s="7">
        <v>20.399999999999999</v>
      </c>
      <c r="D666" s="7">
        <v>47.6</v>
      </c>
      <c r="E666" s="7">
        <v>7.6</v>
      </c>
      <c r="F666" s="7">
        <v>27.3</v>
      </c>
      <c r="G666" s="7">
        <v>22.5</v>
      </c>
      <c r="H666" s="7">
        <v>220.2</v>
      </c>
      <c r="I666" s="7">
        <v>71.8</v>
      </c>
      <c r="J666" s="7">
        <v>39.299999999999997</v>
      </c>
      <c r="K666" s="7">
        <v>186.2</v>
      </c>
      <c r="L666" s="7">
        <v>108.1</v>
      </c>
      <c r="M666" s="7">
        <v>185.3</v>
      </c>
      <c r="N666" s="7">
        <v>266</v>
      </c>
      <c r="O666" s="7">
        <v>84</v>
      </c>
      <c r="P666" s="7">
        <v>126.9</v>
      </c>
      <c r="Q666" s="7">
        <v>7</v>
      </c>
    </row>
    <row r="667" spans="1:17">
      <c r="A667" s="2">
        <v>2615</v>
      </c>
      <c r="B667" s="7">
        <v>113</v>
      </c>
      <c r="C667" s="7">
        <v>20.399999999999999</v>
      </c>
      <c r="D667" s="7">
        <v>47.6</v>
      </c>
      <c r="E667" s="7">
        <v>7.6</v>
      </c>
      <c r="F667" s="7">
        <v>27.3</v>
      </c>
      <c r="G667" s="7">
        <v>22.5</v>
      </c>
      <c r="H667" s="7">
        <v>220.2</v>
      </c>
      <c r="I667" s="7">
        <v>71.8</v>
      </c>
      <c r="J667" s="7">
        <v>39.299999999999997</v>
      </c>
      <c r="K667" s="7">
        <v>186.2</v>
      </c>
      <c r="L667" s="7">
        <v>108.1</v>
      </c>
      <c r="M667" s="7">
        <v>185.3</v>
      </c>
      <c r="N667" s="7">
        <v>266</v>
      </c>
      <c r="O667" s="7">
        <v>84</v>
      </c>
      <c r="P667" s="7">
        <v>126.9</v>
      </c>
      <c r="Q667" s="7">
        <v>7</v>
      </c>
    </row>
    <row r="668" spans="1:17">
      <c r="A668" s="2">
        <v>2616</v>
      </c>
      <c r="B668" s="7">
        <v>113</v>
      </c>
      <c r="C668" s="7">
        <v>20.399999999999999</v>
      </c>
      <c r="D668" s="7">
        <v>47.6</v>
      </c>
      <c r="E668" s="7">
        <v>7.6</v>
      </c>
      <c r="F668" s="7">
        <v>27.3</v>
      </c>
      <c r="G668" s="7">
        <v>22.5</v>
      </c>
      <c r="H668" s="7">
        <v>220.2</v>
      </c>
      <c r="I668" s="7">
        <v>71.8</v>
      </c>
      <c r="J668" s="7">
        <v>39.299999999999997</v>
      </c>
      <c r="K668" s="7">
        <v>186.2</v>
      </c>
      <c r="L668" s="7">
        <v>108.1</v>
      </c>
      <c r="M668" s="7">
        <v>185.3</v>
      </c>
      <c r="N668" s="7">
        <v>266</v>
      </c>
      <c r="O668" s="7">
        <v>84</v>
      </c>
      <c r="P668" s="7">
        <v>126.9</v>
      </c>
      <c r="Q668" s="7">
        <v>7</v>
      </c>
    </row>
    <row r="669" spans="1:17">
      <c r="A669" s="2">
        <v>2617</v>
      </c>
      <c r="B669" s="7">
        <v>113</v>
      </c>
      <c r="C669" s="7">
        <v>20.399999999999999</v>
      </c>
      <c r="D669" s="7">
        <v>47.6</v>
      </c>
      <c r="E669" s="7">
        <v>7.6</v>
      </c>
      <c r="F669" s="7">
        <v>27.3</v>
      </c>
      <c r="G669" s="7">
        <v>22.5</v>
      </c>
      <c r="H669" s="7">
        <v>220.2</v>
      </c>
      <c r="I669" s="7">
        <v>71.8</v>
      </c>
      <c r="J669" s="7">
        <v>39.299999999999997</v>
      </c>
      <c r="K669" s="7">
        <v>186.2</v>
      </c>
      <c r="L669" s="7">
        <v>108.1</v>
      </c>
      <c r="M669" s="7">
        <v>185.3</v>
      </c>
      <c r="N669" s="7">
        <v>266</v>
      </c>
      <c r="O669" s="7">
        <v>84</v>
      </c>
      <c r="P669" s="7">
        <v>126.9</v>
      </c>
      <c r="Q669" s="7">
        <v>7</v>
      </c>
    </row>
    <row r="670" spans="1:17">
      <c r="A670" s="2">
        <v>2618</v>
      </c>
      <c r="B670" s="7">
        <v>113</v>
      </c>
      <c r="C670" s="7">
        <v>20.399999999999999</v>
      </c>
      <c r="D670" s="7">
        <v>47.6</v>
      </c>
      <c r="E670" s="7">
        <v>7.6</v>
      </c>
      <c r="F670" s="7">
        <v>27.3</v>
      </c>
      <c r="G670" s="7">
        <v>22.5</v>
      </c>
      <c r="H670" s="7">
        <v>220.2</v>
      </c>
      <c r="I670" s="7">
        <v>71.8</v>
      </c>
      <c r="J670" s="7">
        <v>39.299999999999997</v>
      </c>
      <c r="K670" s="7">
        <v>186.2</v>
      </c>
      <c r="L670" s="7">
        <v>108.1</v>
      </c>
      <c r="M670" s="7">
        <v>185.3</v>
      </c>
      <c r="N670" s="7">
        <v>266</v>
      </c>
      <c r="O670" s="7">
        <v>84</v>
      </c>
      <c r="P670" s="7">
        <v>126.9</v>
      </c>
      <c r="Q670" s="7">
        <v>7</v>
      </c>
    </row>
    <row r="671" spans="1:17">
      <c r="A671" s="2">
        <v>2619</v>
      </c>
      <c r="B671" s="7">
        <v>113</v>
      </c>
      <c r="C671" s="7">
        <v>20.399999999999999</v>
      </c>
      <c r="D671" s="7">
        <v>47.6</v>
      </c>
      <c r="E671" s="7">
        <v>7.6</v>
      </c>
      <c r="F671" s="7">
        <v>27.3</v>
      </c>
      <c r="G671" s="7">
        <v>22.5</v>
      </c>
      <c r="H671" s="7">
        <v>220.2</v>
      </c>
      <c r="I671" s="7">
        <v>71.8</v>
      </c>
      <c r="J671" s="7">
        <v>39.299999999999997</v>
      </c>
      <c r="K671" s="7">
        <v>186.2</v>
      </c>
      <c r="L671" s="7">
        <v>108.1</v>
      </c>
      <c r="M671" s="7">
        <v>185.3</v>
      </c>
      <c r="N671" s="7">
        <v>266</v>
      </c>
      <c r="O671" s="7">
        <v>84</v>
      </c>
      <c r="P671" s="7">
        <v>126.9</v>
      </c>
      <c r="Q671" s="7">
        <v>7</v>
      </c>
    </row>
    <row r="672" spans="1:17">
      <c r="A672" s="2">
        <v>2620</v>
      </c>
      <c r="B672" s="7">
        <v>113</v>
      </c>
      <c r="C672" s="7">
        <v>20.399999999999999</v>
      </c>
      <c r="D672" s="7">
        <v>47.6</v>
      </c>
      <c r="E672" s="7">
        <v>7.6</v>
      </c>
      <c r="F672" s="7">
        <v>27.3</v>
      </c>
      <c r="G672" s="7">
        <v>22.5</v>
      </c>
      <c r="H672" s="7">
        <v>220.2</v>
      </c>
      <c r="I672" s="7">
        <v>71.8</v>
      </c>
      <c r="J672" s="7">
        <v>39.299999999999997</v>
      </c>
      <c r="K672" s="7">
        <v>186.2</v>
      </c>
      <c r="L672" s="7">
        <v>108.1</v>
      </c>
      <c r="M672" s="7">
        <v>185.3</v>
      </c>
      <c r="N672" s="7">
        <v>266</v>
      </c>
      <c r="O672" s="7">
        <v>84</v>
      </c>
      <c r="P672" s="7">
        <v>126.9</v>
      </c>
      <c r="Q672" s="7">
        <v>7</v>
      </c>
    </row>
    <row r="673" spans="1:17">
      <c r="A673" s="2">
        <v>2621</v>
      </c>
      <c r="B673" s="7">
        <v>113</v>
      </c>
      <c r="C673" s="7">
        <v>20.399999999999999</v>
      </c>
      <c r="D673" s="7">
        <v>47.6</v>
      </c>
      <c r="E673" s="7">
        <v>7.6</v>
      </c>
      <c r="F673" s="7">
        <v>27.3</v>
      </c>
      <c r="G673" s="7">
        <v>22.5</v>
      </c>
      <c r="H673" s="7">
        <v>220.2</v>
      </c>
      <c r="I673" s="7">
        <v>71.8</v>
      </c>
      <c r="J673" s="7">
        <v>39.299999999999997</v>
      </c>
      <c r="K673" s="7">
        <v>186.2</v>
      </c>
      <c r="L673" s="7">
        <v>108.1</v>
      </c>
      <c r="M673" s="7">
        <v>185.3</v>
      </c>
      <c r="N673" s="7">
        <v>266</v>
      </c>
      <c r="O673" s="7">
        <v>84</v>
      </c>
      <c r="P673" s="7">
        <v>126.9</v>
      </c>
      <c r="Q673" s="7">
        <v>7</v>
      </c>
    </row>
    <row r="674" spans="1:17">
      <c r="A674" s="2">
        <v>2622</v>
      </c>
      <c r="B674" s="7">
        <v>113</v>
      </c>
      <c r="C674" s="7">
        <v>20.399999999999999</v>
      </c>
      <c r="D674" s="7">
        <v>47.6</v>
      </c>
      <c r="E674" s="7">
        <v>7.6</v>
      </c>
      <c r="F674" s="7">
        <v>27.3</v>
      </c>
      <c r="G674" s="7">
        <v>22.5</v>
      </c>
      <c r="H674" s="7">
        <v>220.2</v>
      </c>
      <c r="I674" s="7">
        <v>71.8</v>
      </c>
      <c r="J674" s="7">
        <v>39.299999999999997</v>
      </c>
      <c r="K674" s="7">
        <v>186.2</v>
      </c>
      <c r="L674" s="7">
        <v>108.1</v>
      </c>
      <c r="M674" s="7">
        <v>185.3</v>
      </c>
      <c r="N674" s="7">
        <v>266</v>
      </c>
      <c r="O674" s="7">
        <v>84</v>
      </c>
      <c r="P674" s="7">
        <v>126.9</v>
      </c>
      <c r="Q674" s="7">
        <v>7</v>
      </c>
    </row>
    <row r="675" spans="1:17">
      <c r="A675" s="2">
        <v>2623</v>
      </c>
      <c r="B675" s="7">
        <v>113</v>
      </c>
      <c r="C675" s="7">
        <v>20.399999999999999</v>
      </c>
      <c r="D675" s="7">
        <v>47.6</v>
      </c>
      <c r="E675" s="7">
        <v>7.6</v>
      </c>
      <c r="F675" s="7">
        <v>27.3</v>
      </c>
      <c r="G675" s="7">
        <v>22.5</v>
      </c>
      <c r="H675" s="7">
        <v>220.2</v>
      </c>
      <c r="I675" s="7">
        <v>71.8</v>
      </c>
      <c r="J675" s="7">
        <v>39.299999999999997</v>
      </c>
      <c r="K675" s="7">
        <v>186.2</v>
      </c>
      <c r="L675" s="7">
        <v>108.1</v>
      </c>
      <c r="M675" s="7">
        <v>185.3</v>
      </c>
      <c r="N675" s="7">
        <v>266</v>
      </c>
      <c r="O675" s="7">
        <v>84</v>
      </c>
      <c r="P675" s="7">
        <v>126.9</v>
      </c>
      <c r="Q675" s="7">
        <v>7</v>
      </c>
    </row>
    <row r="676" spans="1:17">
      <c r="A676" s="2">
        <v>2624</v>
      </c>
      <c r="B676" s="7">
        <v>113</v>
      </c>
      <c r="C676" s="7">
        <v>20.399999999999999</v>
      </c>
      <c r="D676" s="7">
        <v>47.6</v>
      </c>
      <c r="E676" s="7">
        <v>7.6</v>
      </c>
      <c r="F676" s="7">
        <v>27.3</v>
      </c>
      <c r="G676" s="7">
        <v>22.5</v>
      </c>
      <c r="H676" s="7">
        <v>220.2</v>
      </c>
      <c r="I676" s="7">
        <v>71.8</v>
      </c>
      <c r="J676" s="7">
        <v>39.299999999999997</v>
      </c>
      <c r="K676" s="7">
        <v>186.2</v>
      </c>
      <c r="L676" s="7">
        <v>108.1</v>
      </c>
      <c r="M676" s="7">
        <v>185.3</v>
      </c>
      <c r="N676" s="7">
        <v>266</v>
      </c>
      <c r="O676" s="7">
        <v>84</v>
      </c>
      <c r="P676" s="7">
        <v>126.9</v>
      </c>
      <c r="Q676" s="7">
        <v>7</v>
      </c>
    </row>
    <row r="677" spans="1:17">
      <c r="A677" s="2">
        <v>2625</v>
      </c>
      <c r="B677" s="7">
        <v>113</v>
      </c>
      <c r="C677" s="7">
        <v>20.399999999999999</v>
      </c>
      <c r="D677" s="7">
        <v>47.6</v>
      </c>
      <c r="E677" s="7">
        <v>7.6</v>
      </c>
      <c r="F677" s="7">
        <v>27.3</v>
      </c>
      <c r="G677" s="7">
        <v>22.5</v>
      </c>
      <c r="H677" s="7">
        <v>220.2</v>
      </c>
      <c r="I677" s="7">
        <v>71.8</v>
      </c>
      <c r="J677" s="7">
        <v>39.299999999999997</v>
      </c>
      <c r="K677" s="7">
        <v>186.2</v>
      </c>
      <c r="L677" s="7">
        <v>108.1</v>
      </c>
      <c r="M677" s="7">
        <v>185.3</v>
      </c>
      <c r="N677" s="7">
        <v>266</v>
      </c>
      <c r="O677" s="7">
        <v>84</v>
      </c>
      <c r="P677" s="7">
        <v>126.9</v>
      </c>
      <c r="Q677" s="7">
        <v>7</v>
      </c>
    </row>
    <row r="678" spans="1:17">
      <c r="A678" s="2">
        <v>2626</v>
      </c>
      <c r="B678" s="7">
        <v>113</v>
      </c>
      <c r="C678" s="7">
        <v>20.399999999999999</v>
      </c>
      <c r="D678" s="7">
        <v>47.6</v>
      </c>
      <c r="E678" s="7">
        <v>7.6</v>
      </c>
      <c r="F678" s="7">
        <v>27.3</v>
      </c>
      <c r="G678" s="7">
        <v>22.5</v>
      </c>
      <c r="H678" s="7">
        <v>220.2</v>
      </c>
      <c r="I678" s="7">
        <v>71.8</v>
      </c>
      <c r="J678" s="7">
        <v>39.299999999999997</v>
      </c>
      <c r="K678" s="7">
        <v>186.2</v>
      </c>
      <c r="L678" s="7">
        <v>108.1</v>
      </c>
      <c r="M678" s="7">
        <v>185.3</v>
      </c>
      <c r="N678" s="7">
        <v>266</v>
      </c>
      <c r="O678" s="7">
        <v>84</v>
      </c>
      <c r="P678" s="7">
        <v>126.9</v>
      </c>
      <c r="Q678" s="7">
        <v>7</v>
      </c>
    </row>
    <row r="679" spans="1:17">
      <c r="A679" s="2">
        <v>2627</v>
      </c>
      <c r="B679" s="7">
        <v>113</v>
      </c>
      <c r="C679" s="7">
        <v>20.399999999999999</v>
      </c>
      <c r="D679" s="7">
        <v>47.6</v>
      </c>
      <c r="E679" s="7">
        <v>7.6</v>
      </c>
      <c r="F679" s="7">
        <v>27.3</v>
      </c>
      <c r="G679" s="7">
        <v>22.5</v>
      </c>
      <c r="H679" s="7">
        <v>220.2</v>
      </c>
      <c r="I679" s="7">
        <v>71.8</v>
      </c>
      <c r="J679" s="7">
        <v>39.299999999999997</v>
      </c>
      <c r="K679" s="7">
        <v>186.2</v>
      </c>
      <c r="L679" s="7">
        <v>108.1</v>
      </c>
      <c r="M679" s="7">
        <v>185.3</v>
      </c>
      <c r="N679" s="7">
        <v>266</v>
      </c>
      <c r="O679" s="7">
        <v>84</v>
      </c>
      <c r="P679" s="7">
        <v>126.9</v>
      </c>
      <c r="Q679" s="7">
        <v>7</v>
      </c>
    </row>
    <row r="680" spans="1:17">
      <c r="A680" s="2">
        <v>2628</v>
      </c>
      <c r="B680" s="7">
        <v>113</v>
      </c>
      <c r="C680" s="7">
        <v>20.399999999999999</v>
      </c>
      <c r="D680" s="7">
        <v>47.6</v>
      </c>
      <c r="E680" s="7">
        <v>7.6</v>
      </c>
      <c r="F680" s="7">
        <v>27.3</v>
      </c>
      <c r="G680" s="7">
        <v>22.5</v>
      </c>
      <c r="H680" s="7">
        <v>220.2</v>
      </c>
      <c r="I680" s="7">
        <v>71.8</v>
      </c>
      <c r="J680" s="7">
        <v>39.299999999999997</v>
      </c>
      <c r="K680" s="7">
        <v>186.2</v>
      </c>
      <c r="L680" s="7">
        <v>108.1</v>
      </c>
      <c r="M680" s="7">
        <v>185.3</v>
      </c>
      <c r="N680" s="7">
        <v>266</v>
      </c>
      <c r="O680" s="7">
        <v>84</v>
      </c>
      <c r="P680" s="7">
        <v>126.9</v>
      </c>
      <c r="Q680" s="7">
        <v>7</v>
      </c>
    </row>
    <row r="681" spans="1:17">
      <c r="A681" s="2">
        <v>2629</v>
      </c>
      <c r="B681" s="7">
        <v>113</v>
      </c>
      <c r="C681" s="7">
        <v>20.399999999999999</v>
      </c>
      <c r="D681" s="7">
        <v>47.6</v>
      </c>
      <c r="E681" s="7">
        <v>7.6</v>
      </c>
      <c r="F681" s="7">
        <v>27.3</v>
      </c>
      <c r="G681" s="7">
        <v>22.5</v>
      </c>
      <c r="H681" s="7">
        <v>220.2</v>
      </c>
      <c r="I681" s="7">
        <v>71.8</v>
      </c>
      <c r="J681" s="7">
        <v>39.299999999999997</v>
      </c>
      <c r="K681" s="7">
        <v>186.2</v>
      </c>
      <c r="L681" s="7">
        <v>108.1</v>
      </c>
      <c r="M681" s="7">
        <v>185.3</v>
      </c>
      <c r="N681" s="7">
        <v>266</v>
      </c>
      <c r="O681" s="7">
        <v>84</v>
      </c>
      <c r="P681" s="7">
        <v>126.9</v>
      </c>
      <c r="Q681" s="7">
        <v>7</v>
      </c>
    </row>
    <row r="682" spans="1:17">
      <c r="A682" s="2">
        <v>2630</v>
      </c>
      <c r="B682" s="7">
        <v>113</v>
      </c>
      <c r="C682" s="7">
        <v>20.399999999999999</v>
      </c>
      <c r="D682" s="7">
        <v>47.6</v>
      </c>
      <c r="E682" s="7">
        <v>7.6</v>
      </c>
      <c r="F682" s="7">
        <v>27.3</v>
      </c>
      <c r="G682" s="7">
        <v>22.5</v>
      </c>
      <c r="H682" s="7">
        <v>220.2</v>
      </c>
      <c r="I682" s="7">
        <v>71.8</v>
      </c>
      <c r="J682" s="7">
        <v>39.299999999999997</v>
      </c>
      <c r="K682" s="7">
        <v>186.2</v>
      </c>
      <c r="L682" s="7">
        <v>108.1</v>
      </c>
      <c r="M682" s="7">
        <v>185.3</v>
      </c>
      <c r="N682" s="7">
        <v>266</v>
      </c>
      <c r="O682" s="7">
        <v>84</v>
      </c>
      <c r="P682" s="7">
        <v>126.9</v>
      </c>
      <c r="Q682" s="7">
        <v>7</v>
      </c>
    </row>
    <row r="683" spans="1:17">
      <c r="A683" s="2">
        <v>2631</v>
      </c>
      <c r="B683" s="7">
        <v>113</v>
      </c>
      <c r="C683" s="7">
        <v>20.399999999999999</v>
      </c>
      <c r="D683" s="7">
        <v>47.6</v>
      </c>
      <c r="E683" s="7">
        <v>7.6</v>
      </c>
      <c r="F683" s="7">
        <v>27.3</v>
      </c>
      <c r="G683" s="7">
        <v>22.5</v>
      </c>
      <c r="H683" s="7">
        <v>220.2</v>
      </c>
      <c r="I683" s="7">
        <v>71.8</v>
      </c>
      <c r="J683" s="7">
        <v>39.299999999999997</v>
      </c>
      <c r="K683" s="7">
        <v>186.2</v>
      </c>
      <c r="L683" s="7">
        <v>108.1</v>
      </c>
      <c r="M683" s="7">
        <v>185.3</v>
      </c>
      <c r="N683" s="7">
        <v>266</v>
      </c>
      <c r="O683" s="7">
        <v>84</v>
      </c>
      <c r="P683" s="7">
        <v>126.9</v>
      </c>
      <c r="Q683" s="7">
        <v>7</v>
      </c>
    </row>
    <row r="684" spans="1:17">
      <c r="A684" s="2">
        <v>2632</v>
      </c>
      <c r="B684" s="7">
        <v>113</v>
      </c>
      <c r="C684" s="7">
        <v>20.399999999999999</v>
      </c>
      <c r="D684" s="7">
        <v>47.6</v>
      </c>
      <c r="E684" s="7">
        <v>7.6</v>
      </c>
      <c r="F684" s="7">
        <v>27.3</v>
      </c>
      <c r="G684" s="7">
        <v>22.5</v>
      </c>
      <c r="H684" s="7">
        <v>220.2</v>
      </c>
      <c r="I684" s="7">
        <v>71.8</v>
      </c>
      <c r="J684" s="7">
        <v>39.299999999999997</v>
      </c>
      <c r="K684" s="7">
        <v>186.2</v>
      </c>
      <c r="L684" s="7">
        <v>108.1</v>
      </c>
      <c r="M684" s="7">
        <v>185.3</v>
      </c>
      <c r="N684" s="7">
        <v>266</v>
      </c>
      <c r="O684" s="7">
        <v>84</v>
      </c>
      <c r="P684" s="7">
        <v>126.9</v>
      </c>
      <c r="Q684" s="7">
        <v>7</v>
      </c>
    </row>
    <row r="685" spans="1:17">
      <c r="A685" s="2">
        <v>2633</v>
      </c>
      <c r="B685" s="7">
        <v>113</v>
      </c>
      <c r="C685" s="7">
        <v>20.399999999999999</v>
      </c>
      <c r="D685" s="7">
        <v>47.6</v>
      </c>
      <c r="E685" s="7">
        <v>7.6</v>
      </c>
      <c r="F685" s="7">
        <v>27.3</v>
      </c>
      <c r="G685" s="7">
        <v>22.5</v>
      </c>
      <c r="H685" s="7">
        <v>220.2</v>
      </c>
      <c r="I685" s="7">
        <v>71.8</v>
      </c>
      <c r="J685" s="7">
        <v>39.299999999999997</v>
      </c>
      <c r="K685" s="7">
        <v>186.2</v>
      </c>
      <c r="L685" s="7">
        <v>108.1</v>
      </c>
      <c r="M685" s="7">
        <v>185.3</v>
      </c>
      <c r="N685" s="7">
        <v>266</v>
      </c>
      <c r="O685" s="7">
        <v>84</v>
      </c>
      <c r="P685" s="7">
        <v>126.9</v>
      </c>
      <c r="Q685" s="7">
        <v>7</v>
      </c>
    </row>
    <row r="686" spans="1:17">
      <c r="A686" s="2">
        <v>2634</v>
      </c>
      <c r="B686" s="7">
        <v>113</v>
      </c>
      <c r="C686" s="7">
        <v>20.399999999999999</v>
      </c>
      <c r="D686" s="7">
        <v>47.6</v>
      </c>
      <c r="E686" s="7">
        <v>7.6</v>
      </c>
      <c r="F686" s="7">
        <v>27.3</v>
      </c>
      <c r="G686" s="7">
        <v>22.5</v>
      </c>
      <c r="H686" s="7">
        <v>220.2</v>
      </c>
      <c r="I686" s="7">
        <v>71.8</v>
      </c>
      <c r="J686" s="7">
        <v>39.299999999999997</v>
      </c>
      <c r="K686" s="7">
        <v>186.2</v>
      </c>
      <c r="L686" s="7">
        <v>108.1</v>
      </c>
      <c r="M686" s="7">
        <v>185.3</v>
      </c>
      <c r="N686" s="7">
        <v>266</v>
      </c>
      <c r="O686" s="7">
        <v>84</v>
      </c>
      <c r="P686" s="7">
        <v>126.9</v>
      </c>
      <c r="Q686" s="7">
        <v>7</v>
      </c>
    </row>
    <row r="687" spans="1:17">
      <c r="A687" s="2">
        <v>2635</v>
      </c>
      <c r="B687" s="7">
        <v>113</v>
      </c>
      <c r="C687" s="7">
        <v>20.399999999999999</v>
      </c>
      <c r="D687" s="7">
        <v>47.6</v>
      </c>
      <c r="E687" s="7">
        <v>7.6</v>
      </c>
      <c r="F687" s="7">
        <v>27.3</v>
      </c>
      <c r="G687" s="7">
        <v>22.5</v>
      </c>
      <c r="H687" s="7">
        <v>220.2</v>
      </c>
      <c r="I687" s="7">
        <v>71.8</v>
      </c>
      <c r="J687" s="7">
        <v>39.299999999999997</v>
      </c>
      <c r="K687" s="7">
        <v>186.2</v>
      </c>
      <c r="L687" s="7">
        <v>108.1</v>
      </c>
      <c r="M687" s="7">
        <v>185.3</v>
      </c>
      <c r="N687" s="7">
        <v>266</v>
      </c>
      <c r="O687" s="7">
        <v>84</v>
      </c>
      <c r="P687" s="7">
        <v>126.9</v>
      </c>
      <c r="Q687" s="7">
        <v>7</v>
      </c>
    </row>
    <row r="688" spans="1:17">
      <c r="A688" s="2">
        <v>2636</v>
      </c>
      <c r="B688" s="7">
        <v>113</v>
      </c>
      <c r="C688" s="7">
        <v>20.399999999999999</v>
      </c>
      <c r="D688" s="7">
        <v>47.6</v>
      </c>
      <c r="E688" s="7">
        <v>7.6</v>
      </c>
      <c r="F688" s="7">
        <v>27.3</v>
      </c>
      <c r="G688" s="7">
        <v>22.5</v>
      </c>
      <c r="H688" s="7">
        <v>220.2</v>
      </c>
      <c r="I688" s="7">
        <v>71.8</v>
      </c>
      <c r="J688" s="7">
        <v>39.299999999999997</v>
      </c>
      <c r="K688" s="7">
        <v>186.2</v>
      </c>
      <c r="L688" s="7">
        <v>108.1</v>
      </c>
      <c r="M688" s="7">
        <v>185.3</v>
      </c>
      <c r="N688" s="7">
        <v>266</v>
      </c>
      <c r="O688" s="7">
        <v>84</v>
      </c>
      <c r="P688" s="7">
        <v>126.9</v>
      </c>
      <c r="Q688" s="7">
        <v>7</v>
      </c>
    </row>
    <row r="689" spans="1:17">
      <c r="A689" s="2">
        <v>2637</v>
      </c>
      <c r="B689" s="7">
        <v>113</v>
      </c>
      <c r="C689" s="7">
        <v>20.399999999999999</v>
      </c>
      <c r="D689" s="7">
        <v>47.6</v>
      </c>
      <c r="E689" s="7">
        <v>7.6</v>
      </c>
      <c r="F689" s="7">
        <v>27.3</v>
      </c>
      <c r="G689" s="7">
        <v>22.5</v>
      </c>
      <c r="H689" s="7">
        <v>220.2</v>
      </c>
      <c r="I689" s="7">
        <v>71.8</v>
      </c>
      <c r="J689" s="7">
        <v>39.299999999999997</v>
      </c>
      <c r="K689" s="7">
        <v>186.2</v>
      </c>
      <c r="L689" s="7">
        <v>108.1</v>
      </c>
      <c r="M689" s="7">
        <v>185.3</v>
      </c>
      <c r="N689" s="7">
        <v>266</v>
      </c>
      <c r="O689" s="7">
        <v>84</v>
      </c>
      <c r="P689" s="7">
        <v>126.9</v>
      </c>
      <c r="Q689" s="7">
        <v>7</v>
      </c>
    </row>
    <row r="690" spans="1:17">
      <c r="A690" s="2">
        <v>2638</v>
      </c>
      <c r="B690" s="7">
        <v>113</v>
      </c>
      <c r="C690" s="7">
        <v>20.399999999999999</v>
      </c>
      <c r="D690" s="7">
        <v>47.6</v>
      </c>
      <c r="E690" s="7">
        <v>7.6</v>
      </c>
      <c r="F690" s="7">
        <v>27.3</v>
      </c>
      <c r="G690" s="7">
        <v>22.5</v>
      </c>
      <c r="H690" s="7">
        <v>220.2</v>
      </c>
      <c r="I690" s="7">
        <v>71.8</v>
      </c>
      <c r="J690" s="7">
        <v>39.299999999999997</v>
      </c>
      <c r="K690" s="7">
        <v>186.2</v>
      </c>
      <c r="L690" s="7">
        <v>108.1</v>
      </c>
      <c r="M690" s="7">
        <v>185.3</v>
      </c>
      <c r="N690" s="7">
        <v>266</v>
      </c>
      <c r="O690" s="7">
        <v>84</v>
      </c>
      <c r="P690" s="7">
        <v>126.9</v>
      </c>
      <c r="Q690" s="7">
        <v>7</v>
      </c>
    </row>
    <row r="691" spans="1:17">
      <c r="A691" s="2">
        <v>2639</v>
      </c>
      <c r="B691" s="7">
        <v>113</v>
      </c>
      <c r="C691" s="7">
        <v>20.399999999999999</v>
      </c>
      <c r="D691" s="7">
        <v>47.6</v>
      </c>
      <c r="E691" s="7">
        <v>7.6</v>
      </c>
      <c r="F691" s="7">
        <v>27.3</v>
      </c>
      <c r="G691" s="7">
        <v>22.5</v>
      </c>
      <c r="H691" s="7">
        <v>220.2</v>
      </c>
      <c r="I691" s="7">
        <v>71.8</v>
      </c>
      <c r="J691" s="7">
        <v>39.299999999999997</v>
      </c>
      <c r="K691" s="7">
        <v>186.2</v>
      </c>
      <c r="L691" s="7">
        <v>108.1</v>
      </c>
      <c r="M691" s="7">
        <v>185.3</v>
      </c>
      <c r="N691" s="7">
        <v>266</v>
      </c>
      <c r="O691" s="7">
        <v>84</v>
      </c>
      <c r="P691" s="7">
        <v>126.9</v>
      </c>
      <c r="Q691" s="7">
        <v>7</v>
      </c>
    </row>
    <row r="692" spans="1:17">
      <c r="A692" s="2">
        <v>2640</v>
      </c>
      <c r="B692" s="7">
        <v>113</v>
      </c>
      <c r="C692" s="7">
        <v>20.399999999999999</v>
      </c>
      <c r="D692" s="7">
        <v>47.6</v>
      </c>
      <c r="E692" s="7">
        <v>7.6</v>
      </c>
      <c r="F692" s="7">
        <v>27.3</v>
      </c>
      <c r="G692" s="7">
        <v>22.5</v>
      </c>
      <c r="H692" s="7">
        <v>220.2</v>
      </c>
      <c r="I692" s="7">
        <v>71.8</v>
      </c>
      <c r="J692" s="7">
        <v>39.299999999999997</v>
      </c>
      <c r="K692" s="7">
        <v>186.2</v>
      </c>
      <c r="L692" s="7">
        <v>108.1</v>
      </c>
      <c r="M692" s="7">
        <v>185.3</v>
      </c>
      <c r="N692" s="7">
        <v>266</v>
      </c>
      <c r="O692" s="7">
        <v>84</v>
      </c>
      <c r="P692" s="7">
        <v>126.9</v>
      </c>
      <c r="Q692" s="7">
        <v>7</v>
      </c>
    </row>
    <row r="693" spans="1:17">
      <c r="A693" s="2">
        <v>2641</v>
      </c>
      <c r="B693" s="7">
        <v>113</v>
      </c>
      <c r="C693" s="7">
        <v>20.399999999999999</v>
      </c>
      <c r="D693" s="7">
        <v>47.6</v>
      </c>
      <c r="E693" s="7">
        <v>7.6</v>
      </c>
      <c r="F693" s="7">
        <v>27.3</v>
      </c>
      <c r="G693" s="7">
        <v>22.5</v>
      </c>
      <c r="H693" s="7">
        <v>220.2</v>
      </c>
      <c r="I693" s="7">
        <v>71.8</v>
      </c>
      <c r="J693" s="7">
        <v>39.299999999999997</v>
      </c>
      <c r="K693" s="7">
        <v>186.2</v>
      </c>
      <c r="L693" s="7">
        <v>108.1</v>
      </c>
      <c r="M693" s="7">
        <v>185.3</v>
      </c>
      <c r="N693" s="7">
        <v>266</v>
      </c>
      <c r="O693" s="7">
        <v>84</v>
      </c>
      <c r="P693" s="7">
        <v>126.9</v>
      </c>
      <c r="Q693" s="7">
        <v>7</v>
      </c>
    </row>
    <row r="694" spans="1:17">
      <c r="A694" s="2">
        <v>2642</v>
      </c>
      <c r="B694" s="7">
        <v>113</v>
      </c>
      <c r="C694" s="7">
        <v>20.399999999999999</v>
      </c>
      <c r="D694" s="7">
        <v>47.6</v>
      </c>
      <c r="E694" s="7">
        <v>7.6</v>
      </c>
      <c r="F694" s="7">
        <v>27.3</v>
      </c>
      <c r="G694" s="7">
        <v>22.5</v>
      </c>
      <c r="H694" s="7">
        <v>220.2</v>
      </c>
      <c r="I694" s="7">
        <v>71.8</v>
      </c>
      <c r="J694" s="7">
        <v>39.299999999999997</v>
      </c>
      <c r="K694" s="7">
        <v>186.2</v>
      </c>
      <c r="L694" s="7">
        <v>108.1</v>
      </c>
      <c r="M694" s="7">
        <v>185.3</v>
      </c>
      <c r="N694" s="7">
        <v>266</v>
      </c>
      <c r="O694" s="7">
        <v>84</v>
      </c>
      <c r="P694" s="7">
        <v>126.9</v>
      </c>
      <c r="Q694" s="7">
        <v>7</v>
      </c>
    </row>
    <row r="695" spans="1:17">
      <c r="A695" s="2">
        <v>2643</v>
      </c>
      <c r="B695" s="7">
        <v>113</v>
      </c>
      <c r="C695" s="7">
        <v>20.399999999999999</v>
      </c>
      <c r="D695" s="7">
        <v>47.6</v>
      </c>
      <c r="E695" s="7">
        <v>7.6</v>
      </c>
      <c r="F695" s="7">
        <v>27.3</v>
      </c>
      <c r="G695" s="7">
        <v>22.5</v>
      </c>
      <c r="H695" s="7">
        <v>220.2</v>
      </c>
      <c r="I695" s="7">
        <v>71.8</v>
      </c>
      <c r="J695" s="7">
        <v>39.299999999999997</v>
      </c>
      <c r="K695" s="7">
        <v>186.2</v>
      </c>
      <c r="L695" s="7">
        <v>108.1</v>
      </c>
      <c r="M695" s="7">
        <v>185.3</v>
      </c>
      <c r="N695" s="7">
        <v>266</v>
      </c>
      <c r="O695" s="7">
        <v>84</v>
      </c>
      <c r="P695" s="7">
        <v>126.9</v>
      </c>
      <c r="Q695" s="7">
        <v>7</v>
      </c>
    </row>
    <row r="696" spans="1:17">
      <c r="A696" s="2">
        <v>2644</v>
      </c>
      <c r="B696" s="7">
        <v>113</v>
      </c>
      <c r="C696" s="7">
        <v>20.399999999999999</v>
      </c>
      <c r="D696" s="7">
        <v>47.6</v>
      </c>
      <c r="E696" s="7">
        <v>7.6</v>
      </c>
      <c r="F696" s="7">
        <v>27.3</v>
      </c>
      <c r="G696" s="7">
        <v>22.5</v>
      </c>
      <c r="H696" s="7">
        <v>220.2</v>
      </c>
      <c r="I696" s="7">
        <v>71.8</v>
      </c>
      <c r="J696" s="7">
        <v>39.299999999999997</v>
      </c>
      <c r="K696" s="7">
        <v>186.2</v>
      </c>
      <c r="L696" s="7">
        <v>108.1</v>
      </c>
      <c r="M696" s="7">
        <v>185.3</v>
      </c>
      <c r="N696" s="7">
        <v>266</v>
      </c>
      <c r="O696" s="7">
        <v>84</v>
      </c>
      <c r="P696" s="7">
        <v>126.9</v>
      </c>
      <c r="Q696" s="7">
        <v>7</v>
      </c>
    </row>
    <row r="697" spans="1:17">
      <c r="A697" s="2">
        <v>2645</v>
      </c>
      <c r="B697" s="7">
        <v>113</v>
      </c>
      <c r="C697" s="7">
        <v>20.399999999999999</v>
      </c>
      <c r="D697" s="7">
        <v>47.6</v>
      </c>
      <c r="E697" s="7">
        <v>7.6</v>
      </c>
      <c r="F697" s="7">
        <v>27.3</v>
      </c>
      <c r="G697" s="7">
        <v>22.5</v>
      </c>
      <c r="H697" s="7">
        <v>220.2</v>
      </c>
      <c r="I697" s="7">
        <v>71.8</v>
      </c>
      <c r="J697" s="7">
        <v>39.299999999999997</v>
      </c>
      <c r="K697" s="7">
        <v>186.2</v>
      </c>
      <c r="L697" s="7">
        <v>108.1</v>
      </c>
      <c r="M697" s="7">
        <v>185.3</v>
      </c>
      <c r="N697" s="7">
        <v>266</v>
      </c>
      <c r="O697" s="7">
        <v>84</v>
      </c>
      <c r="P697" s="7">
        <v>126.9</v>
      </c>
      <c r="Q697" s="7">
        <v>7</v>
      </c>
    </row>
    <row r="698" spans="1:17">
      <c r="A698" s="2">
        <v>2646</v>
      </c>
      <c r="B698" s="7">
        <v>113</v>
      </c>
      <c r="C698" s="7">
        <v>20.399999999999999</v>
      </c>
      <c r="D698" s="7">
        <v>47.6</v>
      </c>
      <c r="E698" s="7">
        <v>7.6</v>
      </c>
      <c r="F698" s="7">
        <v>27.3</v>
      </c>
      <c r="G698" s="7">
        <v>22.5</v>
      </c>
      <c r="H698" s="7">
        <v>220.2</v>
      </c>
      <c r="I698" s="7">
        <v>71.8</v>
      </c>
      <c r="J698" s="7">
        <v>39.299999999999997</v>
      </c>
      <c r="K698" s="7">
        <v>186.2</v>
      </c>
      <c r="L698" s="7">
        <v>108.1</v>
      </c>
      <c r="M698" s="7">
        <v>185.3</v>
      </c>
      <c r="N698" s="7">
        <v>266</v>
      </c>
      <c r="O698" s="7">
        <v>84</v>
      </c>
      <c r="P698" s="7">
        <v>126.9</v>
      </c>
      <c r="Q698" s="7">
        <v>7</v>
      </c>
    </row>
    <row r="699" spans="1:17">
      <c r="A699" s="2">
        <v>2647</v>
      </c>
      <c r="B699" s="7">
        <v>113</v>
      </c>
      <c r="C699" s="7">
        <v>20.399999999999999</v>
      </c>
      <c r="D699" s="7">
        <v>47.6</v>
      </c>
      <c r="E699" s="7">
        <v>7.6</v>
      </c>
      <c r="F699" s="7">
        <v>27.3</v>
      </c>
      <c r="G699" s="7">
        <v>22.5</v>
      </c>
      <c r="H699" s="7">
        <v>220.2</v>
      </c>
      <c r="I699" s="7">
        <v>71.8</v>
      </c>
      <c r="J699" s="7">
        <v>39.299999999999997</v>
      </c>
      <c r="K699" s="7">
        <v>186.2</v>
      </c>
      <c r="L699" s="7">
        <v>108.1</v>
      </c>
      <c r="M699" s="7">
        <v>185.3</v>
      </c>
      <c r="N699" s="7">
        <v>266</v>
      </c>
      <c r="O699" s="7">
        <v>84</v>
      </c>
      <c r="P699" s="7">
        <v>126.9</v>
      </c>
      <c r="Q699" s="7">
        <v>7</v>
      </c>
    </row>
    <row r="700" spans="1:17">
      <c r="A700" s="2">
        <v>2648</v>
      </c>
      <c r="B700" s="7">
        <v>113</v>
      </c>
      <c r="C700" s="7">
        <v>20.399999999999999</v>
      </c>
      <c r="D700" s="7">
        <v>47.6</v>
      </c>
      <c r="E700" s="7">
        <v>7.6</v>
      </c>
      <c r="F700" s="7">
        <v>27.3</v>
      </c>
      <c r="G700" s="7">
        <v>22.5</v>
      </c>
      <c r="H700" s="7">
        <v>220.2</v>
      </c>
      <c r="I700" s="7">
        <v>71.8</v>
      </c>
      <c r="J700" s="7">
        <v>39.299999999999997</v>
      </c>
      <c r="K700" s="7">
        <v>186.2</v>
      </c>
      <c r="L700" s="7">
        <v>108.1</v>
      </c>
      <c r="M700" s="7">
        <v>185.3</v>
      </c>
      <c r="N700" s="7">
        <v>266</v>
      </c>
      <c r="O700" s="7">
        <v>84</v>
      </c>
      <c r="P700" s="7">
        <v>126.9</v>
      </c>
      <c r="Q700" s="7">
        <v>7</v>
      </c>
    </row>
    <row r="701" spans="1:17">
      <c r="A701" s="2">
        <v>2649</v>
      </c>
      <c r="B701" s="7">
        <v>113</v>
      </c>
      <c r="C701" s="7">
        <v>20.399999999999999</v>
      </c>
      <c r="D701" s="7">
        <v>47.6</v>
      </c>
      <c r="E701" s="7">
        <v>7.6</v>
      </c>
      <c r="F701" s="7">
        <v>27.3</v>
      </c>
      <c r="G701" s="7">
        <v>22.5</v>
      </c>
      <c r="H701" s="7">
        <v>220.2</v>
      </c>
      <c r="I701" s="7">
        <v>71.8</v>
      </c>
      <c r="J701" s="7">
        <v>39.299999999999997</v>
      </c>
      <c r="K701" s="7">
        <v>186.2</v>
      </c>
      <c r="L701" s="7">
        <v>108.1</v>
      </c>
      <c r="M701" s="7">
        <v>185.3</v>
      </c>
      <c r="N701" s="7">
        <v>266</v>
      </c>
      <c r="O701" s="7">
        <v>84</v>
      </c>
      <c r="P701" s="7">
        <v>126.9</v>
      </c>
      <c r="Q701" s="7">
        <v>7</v>
      </c>
    </row>
    <row r="702" spans="1:17">
      <c r="A702" s="2">
        <v>2650</v>
      </c>
      <c r="B702" s="7">
        <v>113</v>
      </c>
      <c r="C702" s="7">
        <v>20.399999999999999</v>
      </c>
      <c r="D702" s="7">
        <v>47.6</v>
      </c>
      <c r="E702" s="7">
        <v>7.6</v>
      </c>
      <c r="F702" s="7">
        <v>27.3</v>
      </c>
      <c r="G702" s="7">
        <v>22.5</v>
      </c>
      <c r="H702" s="7">
        <v>220.2</v>
      </c>
      <c r="I702" s="7">
        <v>71.8</v>
      </c>
      <c r="J702" s="7">
        <v>39.299999999999997</v>
      </c>
      <c r="K702" s="7">
        <v>186.2</v>
      </c>
      <c r="L702" s="7">
        <v>108.1</v>
      </c>
      <c r="M702" s="7">
        <v>185.3</v>
      </c>
      <c r="N702" s="7">
        <v>266</v>
      </c>
      <c r="O702" s="7">
        <v>84</v>
      </c>
      <c r="P702" s="7">
        <v>126.9</v>
      </c>
      <c r="Q702" s="7">
        <v>7</v>
      </c>
    </row>
    <row r="703" spans="1:17">
      <c r="A703" s="2">
        <v>2651</v>
      </c>
      <c r="B703" s="7">
        <v>113</v>
      </c>
      <c r="C703" s="7">
        <v>20.399999999999999</v>
      </c>
      <c r="D703" s="7">
        <v>47.6</v>
      </c>
      <c r="E703" s="7">
        <v>7.6</v>
      </c>
      <c r="F703" s="7">
        <v>27.3</v>
      </c>
      <c r="G703" s="7">
        <v>22.5</v>
      </c>
      <c r="H703" s="7">
        <v>220.2</v>
      </c>
      <c r="I703" s="7">
        <v>71.8</v>
      </c>
      <c r="J703" s="7">
        <v>39.299999999999997</v>
      </c>
      <c r="K703" s="7">
        <v>186.2</v>
      </c>
      <c r="L703" s="7">
        <v>108.1</v>
      </c>
      <c r="M703" s="7">
        <v>185.3</v>
      </c>
      <c r="N703" s="7">
        <v>266</v>
      </c>
      <c r="O703" s="7">
        <v>84</v>
      </c>
      <c r="P703" s="7">
        <v>126.9</v>
      </c>
      <c r="Q703" s="7">
        <v>7</v>
      </c>
    </row>
    <row r="704" spans="1:17">
      <c r="A704" s="2">
        <v>2652</v>
      </c>
      <c r="B704" s="7">
        <v>113</v>
      </c>
      <c r="C704" s="7">
        <v>20.399999999999999</v>
      </c>
      <c r="D704" s="7">
        <v>47.6</v>
      </c>
      <c r="E704" s="7">
        <v>7.6</v>
      </c>
      <c r="F704" s="7">
        <v>27.3</v>
      </c>
      <c r="G704" s="7">
        <v>22.5</v>
      </c>
      <c r="H704" s="7">
        <v>220.2</v>
      </c>
      <c r="I704" s="7">
        <v>71.8</v>
      </c>
      <c r="J704" s="7">
        <v>39.299999999999997</v>
      </c>
      <c r="K704" s="7">
        <v>186.2</v>
      </c>
      <c r="L704" s="7">
        <v>108.1</v>
      </c>
      <c r="M704" s="7">
        <v>185.3</v>
      </c>
      <c r="N704" s="7">
        <v>266</v>
      </c>
      <c r="O704" s="7">
        <v>84</v>
      </c>
      <c r="P704" s="7">
        <v>126.9</v>
      </c>
      <c r="Q704" s="7">
        <v>7</v>
      </c>
    </row>
    <row r="705" spans="1:17">
      <c r="A705" s="2">
        <v>2653</v>
      </c>
      <c r="B705" s="7">
        <v>113</v>
      </c>
      <c r="C705" s="7">
        <v>20.399999999999999</v>
      </c>
      <c r="D705" s="7">
        <v>47.6</v>
      </c>
      <c r="E705" s="7">
        <v>7.6</v>
      </c>
      <c r="F705" s="7">
        <v>27.3</v>
      </c>
      <c r="G705" s="7">
        <v>22.5</v>
      </c>
      <c r="H705" s="7">
        <v>220.2</v>
      </c>
      <c r="I705" s="7">
        <v>71.8</v>
      </c>
      <c r="J705" s="7">
        <v>39.299999999999997</v>
      </c>
      <c r="K705" s="7">
        <v>186.2</v>
      </c>
      <c r="L705" s="7">
        <v>108.1</v>
      </c>
      <c r="M705" s="7">
        <v>185.3</v>
      </c>
      <c r="N705" s="7">
        <v>266</v>
      </c>
      <c r="O705" s="7">
        <v>84</v>
      </c>
      <c r="P705" s="7">
        <v>126.9</v>
      </c>
      <c r="Q705" s="7">
        <v>7</v>
      </c>
    </row>
    <row r="706" spans="1:17">
      <c r="A706" s="2">
        <v>2654</v>
      </c>
      <c r="B706" s="7">
        <v>113</v>
      </c>
      <c r="C706" s="7">
        <v>20.399999999999999</v>
      </c>
      <c r="D706" s="7">
        <v>47.6</v>
      </c>
      <c r="E706" s="7">
        <v>7.6</v>
      </c>
      <c r="F706" s="7">
        <v>27.3</v>
      </c>
      <c r="G706" s="7">
        <v>22.5</v>
      </c>
      <c r="H706" s="7">
        <v>220.2</v>
      </c>
      <c r="I706" s="7">
        <v>71.8</v>
      </c>
      <c r="J706" s="7">
        <v>39.299999999999997</v>
      </c>
      <c r="K706" s="7">
        <v>186.2</v>
      </c>
      <c r="L706" s="7">
        <v>108.1</v>
      </c>
      <c r="M706" s="7">
        <v>185.3</v>
      </c>
      <c r="N706" s="7">
        <v>266</v>
      </c>
      <c r="O706" s="7">
        <v>84</v>
      </c>
      <c r="P706" s="7">
        <v>126.9</v>
      </c>
      <c r="Q706" s="7">
        <v>7</v>
      </c>
    </row>
    <row r="707" spans="1:17">
      <c r="A707" s="2">
        <v>2655</v>
      </c>
      <c r="B707" s="7">
        <v>113</v>
      </c>
      <c r="C707" s="7">
        <v>20.399999999999999</v>
      </c>
      <c r="D707" s="7">
        <v>47.6</v>
      </c>
      <c r="E707" s="7">
        <v>7.6</v>
      </c>
      <c r="F707" s="7">
        <v>27.3</v>
      </c>
      <c r="G707" s="7">
        <v>22.5</v>
      </c>
      <c r="H707" s="7">
        <v>220.2</v>
      </c>
      <c r="I707" s="7">
        <v>71.8</v>
      </c>
      <c r="J707" s="7">
        <v>39.299999999999997</v>
      </c>
      <c r="K707" s="7">
        <v>186.2</v>
      </c>
      <c r="L707" s="7">
        <v>108.1</v>
      </c>
      <c r="M707" s="7">
        <v>185.3</v>
      </c>
      <c r="N707" s="7">
        <v>266</v>
      </c>
      <c r="O707" s="7">
        <v>84</v>
      </c>
      <c r="P707" s="7">
        <v>126.9</v>
      </c>
      <c r="Q707" s="7">
        <v>7</v>
      </c>
    </row>
    <row r="708" spans="1:17">
      <c r="A708" s="2">
        <v>2656</v>
      </c>
      <c r="B708" s="7">
        <v>113</v>
      </c>
      <c r="C708" s="7">
        <v>20.399999999999999</v>
      </c>
      <c r="D708" s="7">
        <v>47.6</v>
      </c>
      <c r="E708" s="7">
        <v>7.6</v>
      </c>
      <c r="F708" s="7">
        <v>27.3</v>
      </c>
      <c r="G708" s="7">
        <v>22.5</v>
      </c>
      <c r="H708" s="7">
        <v>220.2</v>
      </c>
      <c r="I708" s="7">
        <v>71.8</v>
      </c>
      <c r="J708" s="7">
        <v>39.299999999999997</v>
      </c>
      <c r="K708" s="7">
        <v>186.2</v>
      </c>
      <c r="L708" s="7">
        <v>108.1</v>
      </c>
      <c r="M708" s="7">
        <v>185.3</v>
      </c>
      <c r="N708" s="7">
        <v>266</v>
      </c>
      <c r="O708" s="7">
        <v>84</v>
      </c>
      <c r="P708" s="7">
        <v>126.9</v>
      </c>
      <c r="Q708" s="7">
        <v>7</v>
      </c>
    </row>
    <row r="709" spans="1:17">
      <c r="A709" s="2">
        <v>2657</v>
      </c>
      <c r="B709" s="7">
        <v>113</v>
      </c>
      <c r="C709" s="7">
        <v>20.399999999999999</v>
      </c>
      <c r="D709" s="7">
        <v>47.6</v>
      </c>
      <c r="E709" s="7">
        <v>7.6</v>
      </c>
      <c r="F709" s="7">
        <v>27.3</v>
      </c>
      <c r="G709" s="7">
        <v>22.5</v>
      </c>
      <c r="H709" s="7">
        <v>220.2</v>
      </c>
      <c r="I709" s="7">
        <v>71.8</v>
      </c>
      <c r="J709" s="7">
        <v>39.299999999999997</v>
      </c>
      <c r="K709" s="7">
        <v>186.2</v>
      </c>
      <c r="L709" s="7">
        <v>108.1</v>
      </c>
      <c r="M709" s="7">
        <v>185.3</v>
      </c>
      <c r="N709" s="7">
        <v>266</v>
      </c>
      <c r="O709" s="7">
        <v>84</v>
      </c>
      <c r="P709" s="7">
        <v>126.9</v>
      </c>
      <c r="Q709" s="7">
        <v>7</v>
      </c>
    </row>
    <row r="710" spans="1:17">
      <c r="A710" s="2">
        <v>2658</v>
      </c>
      <c r="B710" s="7">
        <v>113</v>
      </c>
      <c r="C710" s="7">
        <v>20.399999999999999</v>
      </c>
      <c r="D710" s="7">
        <v>47.6</v>
      </c>
      <c r="E710" s="7">
        <v>7.6</v>
      </c>
      <c r="F710" s="7">
        <v>27.3</v>
      </c>
      <c r="G710" s="7">
        <v>22.5</v>
      </c>
      <c r="H710" s="7">
        <v>220.2</v>
      </c>
      <c r="I710" s="7">
        <v>71.8</v>
      </c>
      <c r="J710" s="7">
        <v>39.299999999999997</v>
      </c>
      <c r="K710" s="7">
        <v>186.2</v>
      </c>
      <c r="L710" s="7">
        <v>108.1</v>
      </c>
      <c r="M710" s="7">
        <v>185.3</v>
      </c>
      <c r="N710" s="7">
        <v>266</v>
      </c>
      <c r="O710" s="7">
        <v>84</v>
      </c>
      <c r="P710" s="7">
        <v>126.9</v>
      </c>
      <c r="Q710" s="7">
        <v>7</v>
      </c>
    </row>
    <row r="711" spans="1:17">
      <c r="A711" s="2">
        <v>2659</v>
      </c>
      <c r="B711" s="7">
        <v>113</v>
      </c>
      <c r="C711" s="7">
        <v>20.399999999999999</v>
      </c>
      <c r="D711" s="7">
        <v>47.6</v>
      </c>
      <c r="E711" s="7">
        <v>7.6</v>
      </c>
      <c r="F711" s="7">
        <v>27.3</v>
      </c>
      <c r="G711" s="7">
        <v>22.5</v>
      </c>
      <c r="H711" s="7">
        <v>220.2</v>
      </c>
      <c r="I711" s="7">
        <v>71.8</v>
      </c>
      <c r="J711" s="7">
        <v>39.299999999999997</v>
      </c>
      <c r="K711" s="7">
        <v>186.2</v>
      </c>
      <c r="L711" s="7">
        <v>108.1</v>
      </c>
      <c r="M711" s="7">
        <v>185.3</v>
      </c>
      <c r="N711" s="7">
        <v>266</v>
      </c>
      <c r="O711" s="7">
        <v>84</v>
      </c>
      <c r="P711" s="7">
        <v>126.9</v>
      </c>
      <c r="Q711" s="7">
        <v>7</v>
      </c>
    </row>
    <row r="712" spans="1:17">
      <c r="A712" s="2">
        <v>2660</v>
      </c>
      <c r="B712" s="7">
        <v>113</v>
      </c>
      <c r="C712" s="7">
        <v>20.399999999999999</v>
      </c>
      <c r="D712" s="7">
        <v>47.6</v>
      </c>
      <c r="E712" s="7">
        <v>7.6</v>
      </c>
      <c r="F712" s="7">
        <v>27.3</v>
      </c>
      <c r="G712" s="7">
        <v>22.5</v>
      </c>
      <c r="H712" s="7">
        <v>220.2</v>
      </c>
      <c r="I712" s="7">
        <v>71.8</v>
      </c>
      <c r="J712" s="7">
        <v>39.299999999999997</v>
      </c>
      <c r="K712" s="7">
        <v>186.2</v>
      </c>
      <c r="L712" s="7">
        <v>108.1</v>
      </c>
      <c r="M712" s="7">
        <v>185.3</v>
      </c>
      <c r="N712" s="7">
        <v>266</v>
      </c>
      <c r="O712" s="7">
        <v>84</v>
      </c>
      <c r="P712" s="7">
        <v>126.9</v>
      </c>
      <c r="Q712" s="7">
        <v>7</v>
      </c>
    </row>
    <row r="713" spans="1:17">
      <c r="A713" s="2">
        <v>2661</v>
      </c>
      <c r="B713" s="7">
        <v>113</v>
      </c>
      <c r="C713" s="7">
        <v>20.399999999999999</v>
      </c>
      <c r="D713" s="7">
        <v>47.6</v>
      </c>
      <c r="E713" s="7">
        <v>7.6</v>
      </c>
      <c r="F713" s="7">
        <v>27.3</v>
      </c>
      <c r="G713" s="7">
        <v>22.5</v>
      </c>
      <c r="H713" s="7">
        <v>220.2</v>
      </c>
      <c r="I713" s="7">
        <v>71.8</v>
      </c>
      <c r="J713" s="7">
        <v>39.299999999999997</v>
      </c>
      <c r="K713" s="7">
        <v>186.2</v>
      </c>
      <c r="L713" s="7">
        <v>108.1</v>
      </c>
      <c r="M713" s="7">
        <v>185.3</v>
      </c>
      <c r="N713" s="7">
        <v>266</v>
      </c>
      <c r="O713" s="7">
        <v>84</v>
      </c>
      <c r="P713" s="7">
        <v>126.9</v>
      </c>
      <c r="Q713" s="7">
        <v>7</v>
      </c>
    </row>
    <row r="714" spans="1:17">
      <c r="A714" s="2">
        <v>2662</v>
      </c>
      <c r="B714" s="7">
        <v>113</v>
      </c>
      <c r="C714" s="7">
        <v>20.399999999999999</v>
      </c>
      <c r="D714" s="7">
        <v>47.6</v>
      </c>
      <c r="E714" s="7">
        <v>7.6</v>
      </c>
      <c r="F714" s="7">
        <v>27.3</v>
      </c>
      <c r="G714" s="7">
        <v>22.5</v>
      </c>
      <c r="H714" s="7">
        <v>220.2</v>
      </c>
      <c r="I714" s="7">
        <v>71.8</v>
      </c>
      <c r="J714" s="7">
        <v>39.299999999999997</v>
      </c>
      <c r="K714" s="7">
        <v>186.2</v>
      </c>
      <c r="L714" s="7">
        <v>108.1</v>
      </c>
      <c r="M714" s="7">
        <v>185.3</v>
      </c>
      <c r="N714" s="7">
        <v>266</v>
      </c>
      <c r="O714" s="7">
        <v>84</v>
      </c>
      <c r="P714" s="7">
        <v>126.9</v>
      </c>
      <c r="Q714" s="7">
        <v>7</v>
      </c>
    </row>
    <row r="715" spans="1:17">
      <c r="A715" s="2">
        <v>2663</v>
      </c>
      <c r="B715" s="7">
        <v>113</v>
      </c>
      <c r="C715" s="7">
        <v>20.399999999999999</v>
      </c>
      <c r="D715" s="7">
        <v>47.6</v>
      </c>
      <c r="E715" s="7">
        <v>7.6</v>
      </c>
      <c r="F715" s="7">
        <v>27.3</v>
      </c>
      <c r="G715" s="7">
        <v>22.5</v>
      </c>
      <c r="H715" s="7">
        <v>220.2</v>
      </c>
      <c r="I715" s="7">
        <v>71.8</v>
      </c>
      <c r="J715" s="7">
        <v>39.299999999999997</v>
      </c>
      <c r="K715" s="7">
        <v>186.2</v>
      </c>
      <c r="L715" s="7">
        <v>108.1</v>
      </c>
      <c r="M715" s="7">
        <v>185.3</v>
      </c>
      <c r="N715" s="7">
        <v>266</v>
      </c>
      <c r="O715" s="7">
        <v>84</v>
      </c>
      <c r="P715" s="7">
        <v>126.9</v>
      </c>
      <c r="Q715" s="7">
        <v>7</v>
      </c>
    </row>
    <row r="716" spans="1:17">
      <c r="A716" s="2">
        <v>2664</v>
      </c>
      <c r="B716" s="7">
        <v>113</v>
      </c>
      <c r="C716" s="7">
        <v>20.399999999999999</v>
      </c>
      <c r="D716" s="7">
        <v>47.6</v>
      </c>
      <c r="E716" s="7">
        <v>7.6</v>
      </c>
      <c r="F716" s="7">
        <v>27.3</v>
      </c>
      <c r="G716" s="7">
        <v>22.5</v>
      </c>
      <c r="H716" s="7">
        <v>220.2</v>
      </c>
      <c r="I716" s="7">
        <v>71.8</v>
      </c>
      <c r="J716" s="7">
        <v>39.299999999999997</v>
      </c>
      <c r="K716" s="7">
        <v>186.2</v>
      </c>
      <c r="L716" s="7">
        <v>108.1</v>
      </c>
      <c r="M716" s="7">
        <v>185.3</v>
      </c>
      <c r="N716" s="7">
        <v>266</v>
      </c>
      <c r="O716" s="7">
        <v>84</v>
      </c>
      <c r="P716" s="7">
        <v>126.9</v>
      </c>
      <c r="Q716" s="7">
        <v>7</v>
      </c>
    </row>
    <row r="717" spans="1:17">
      <c r="A717" s="2">
        <v>2665</v>
      </c>
      <c r="B717" s="7">
        <v>113</v>
      </c>
      <c r="C717" s="7">
        <v>20.399999999999999</v>
      </c>
      <c r="D717" s="7">
        <v>47.6</v>
      </c>
      <c r="E717" s="7">
        <v>7.6</v>
      </c>
      <c r="F717" s="7">
        <v>27.3</v>
      </c>
      <c r="G717" s="7">
        <v>22.5</v>
      </c>
      <c r="H717" s="7">
        <v>220.2</v>
      </c>
      <c r="I717" s="7">
        <v>71.8</v>
      </c>
      <c r="J717" s="7">
        <v>39.299999999999997</v>
      </c>
      <c r="K717" s="7">
        <v>186.2</v>
      </c>
      <c r="L717" s="7">
        <v>108.1</v>
      </c>
      <c r="M717" s="7">
        <v>185.3</v>
      </c>
      <c r="N717" s="7">
        <v>266</v>
      </c>
      <c r="O717" s="7">
        <v>84</v>
      </c>
      <c r="P717" s="7">
        <v>126.9</v>
      </c>
      <c r="Q717" s="7">
        <v>7</v>
      </c>
    </row>
    <row r="718" spans="1:17">
      <c r="A718" s="2">
        <v>2666</v>
      </c>
      <c r="B718" s="7">
        <v>113</v>
      </c>
      <c r="C718" s="7">
        <v>20.399999999999999</v>
      </c>
      <c r="D718" s="7">
        <v>47.6</v>
      </c>
      <c r="E718" s="7">
        <v>7.6</v>
      </c>
      <c r="F718" s="7">
        <v>27.3</v>
      </c>
      <c r="G718" s="7">
        <v>22.5</v>
      </c>
      <c r="H718" s="7">
        <v>220.2</v>
      </c>
      <c r="I718" s="7">
        <v>71.8</v>
      </c>
      <c r="J718" s="7">
        <v>39.299999999999997</v>
      </c>
      <c r="K718" s="7">
        <v>186.2</v>
      </c>
      <c r="L718" s="7">
        <v>108.1</v>
      </c>
      <c r="M718" s="7">
        <v>185.3</v>
      </c>
      <c r="N718" s="7">
        <v>266</v>
      </c>
      <c r="O718" s="7">
        <v>84</v>
      </c>
      <c r="P718" s="7">
        <v>126.9</v>
      </c>
      <c r="Q718" s="7">
        <v>7</v>
      </c>
    </row>
    <row r="719" spans="1:17">
      <c r="A719" s="2">
        <v>2667</v>
      </c>
      <c r="B719" s="7">
        <v>113</v>
      </c>
      <c r="C719" s="7">
        <v>20.399999999999999</v>
      </c>
      <c r="D719" s="7">
        <v>47.6</v>
      </c>
      <c r="E719" s="7">
        <v>7.6</v>
      </c>
      <c r="F719" s="7">
        <v>27.3</v>
      </c>
      <c r="G719" s="7">
        <v>22.5</v>
      </c>
      <c r="H719" s="7">
        <v>220.2</v>
      </c>
      <c r="I719" s="7">
        <v>71.8</v>
      </c>
      <c r="J719" s="7">
        <v>39.299999999999997</v>
      </c>
      <c r="K719" s="7">
        <v>186.2</v>
      </c>
      <c r="L719" s="7">
        <v>108.1</v>
      </c>
      <c r="M719" s="7">
        <v>185.3</v>
      </c>
      <c r="N719" s="7">
        <v>266</v>
      </c>
      <c r="O719" s="7">
        <v>84</v>
      </c>
      <c r="P719" s="7">
        <v>126.9</v>
      </c>
      <c r="Q719" s="7">
        <v>7</v>
      </c>
    </row>
    <row r="720" spans="1:17">
      <c r="A720" s="2">
        <v>2668</v>
      </c>
      <c r="B720" s="7">
        <v>113</v>
      </c>
      <c r="C720" s="7">
        <v>20.399999999999999</v>
      </c>
      <c r="D720" s="7">
        <v>47.6</v>
      </c>
      <c r="E720" s="7">
        <v>7.6</v>
      </c>
      <c r="F720" s="7">
        <v>27.3</v>
      </c>
      <c r="G720" s="7">
        <v>22.5</v>
      </c>
      <c r="H720" s="7">
        <v>220.2</v>
      </c>
      <c r="I720" s="7">
        <v>71.8</v>
      </c>
      <c r="J720" s="7">
        <v>39.299999999999997</v>
      </c>
      <c r="K720" s="7">
        <v>186.2</v>
      </c>
      <c r="L720" s="7">
        <v>108.1</v>
      </c>
      <c r="M720" s="7">
        <v>185.3</v>
      </c>
      <c r="N720" s="7">
        <v>266</v>
      </c>
      <c r="O720" s="7">
        <v>84</v>
      </c>
      <c r="P720" s="7">
        <v>126.9</v>
      </c>
      <c r="Q720" s="7">
        <v>7</v>
      </c>
    </row>
    <row r="721" spans="1:17">
      <c r="A721" s="2">
        <v>2669</v>
      </c>
      <c r="B721" s="7">
        <v>113</v>
      </c>
      <c r="C721" s="7">
        <v>20.399999999999999</v>
      </c>
      <c r="D721" s="7">
        <v>47.6</v>
      </c>
      <c r="E721" s="7">
        <v>7.6</v>
      </c>
      <c r="F721" s="7">
        <v>27.3</v>
      </c>
      <c r="G721" s="7">
        <v>22.5</v>
      </c>
      <c r="H721" s="7">
        <v>220.2</v>
      </c>
      <c r="I721" s="7">
        <v>71.8</v>
      </c>
      <c r="J721" s="7">
        <v>39.299999999999997</v>
      </c>
      <c r="K721" s="7">
        <v>186.2</v>
      </c>
      <c r="L721" s="7">
        <v>108.1</v>
      </c>
      <c r="M721" s="7">
        <v>185.3</v>
      </c>
      <c r="N721" s="7">
        <v>266</v>
      </c>
      <c r="O721" s="7">
        <v>84</v>
      </c>
      <c r="P721" s="7">
        <v>126.9</v>
      </c>
      <c r="Q721" s="7">
        <v>7</v>
      </c>
    </row>
    <row r="722" spans="1:17">
      <c r="A722" s="2">
        <v>2670</v>
      </c>
      <c r="B722" s="7">
        <v>113</v>
      </c>
      <c r="C722" s="7">
        <v>20.399999999999999</v>
      </c>
      <c r="D722" s="7">
        <v>47.6</v>
      </c>
      <c r="E722" s="7">
        <v>7.6</v>
      </c>
      <c r="F722" s="7">
        <v>27.3</v>
      </c>
      <c r="G722" s="7">
        <v>22.5</v>
      </c>
      <c r="H722" s="7">
        <v>220.2</v>
      </c>
      <c r="I722" s="7">
        <v>71.8</v>
      </c>
      <c r="J722" s="7">
        <v>39.299999999999997</v>
      </c>
      <c r="K722" s="7">
        <v>186.2</v>
      </c>
      <c r="L722" s="7">
        <v>108.1</v>
      </c>
      <c r="M722" s="7">
        <v>185.3</v>
      </c>
      <c r="N722" s="7">
        <v>266</v>
      </c>
      <c r="O722" s="7">
        <v>84</v>
      </c>
      <c r="P722" s="7">
        <v>126.9</v>
      </c>
      <c r="Q722" s="7">
        <v>7</v>
      </c>
    </row>
    <row r="723" spans="1:17">
      <c r="A723" s="2">
        <v>2671</v>
      </c>
      <c r="B723" s="7">
        <v>113</v>
      </c>
      <c r="C723" s="7">
        <v>20.399999999999999</v>
      </c>
      <c r="D723" s="7">
        <v>47.6</v>
      </c>
      <c r="E723" s="7">
        <v>7.6</v>
      </c>
      <c r="F723" s="7">
        <v>27.3</v>
      </c>
      <c r="G723" s="7">
        <v>22.5</v>
      </c>
      <c r="H723" s="7">
        <v>220.2</v>
      </c>
      <c r="I723" s="7">
        <v>71.8</v>
      </c>
      <c r="J723" s="7">
        <v>39.299999999999997</v>
      </c>
      <c r="K723" s="7">
        <v>186.2</v>
      </c>
      <c r="L723" s="7">
        <v>108.1</v>
      </c>
      <c r="M723" s="7">
        <v>185.3</v>
      </c>
      <c r="N723" s="7">
        <v>266</v>
      </c>
      <c r="O723" s="7">
        <v>84</v>
      </c>
      <c r="P723" s="7">
        <v>126.9</v>
      </c>
      <c r="Q723" s="7">
        <v>7</v>
      </c>
    </row>
    <row r="724" spans="1:17">
      <c r="A724" s="2">
        <v>2672</v>
      </c>
      <c r="B724" s="7">
        <v>113</v>
      </c>
      <c r="C724" s="7">
        <v>20.399999999999999</v>
      </c>
      <c r="D724" s="7">
        <v>47.6</v>
      </c>
      <c r="E724" s="7">
        <v>7.6</v>
      </c>
      <c r="F724" s="7">
        <v>27.3</v>
      </c>
      <c r="G724" s="7">
        <v>22.5</v>
      </c>
      <c r="H724" s="7">
        <v>220.2</v>
      </c>
      <c r="I724" s="7">
        <v>71.8</v>
      </c>
      <c r="J724" s="7">
        <v>39.299999999999997</v>
      </c>
      <c r="K724" s="7">
        <v>186.2</v>
      </c>
      <c r="L724" s="7">
        <v>108.1</v>
      </c>
      <c r="M724" s="7">
        <v>185.3</v>
      </c>
      <c r="N724" s="7">
        <v>266</v>
      </c>
      <c r="O724" s="7">
        <v>84</v>
      </c>
      <c r="P724" s="7">
        <v>126.9</v>
      </c>
      <c r="Q724" s="7">
        <v>7</v>
      </c>
    </row>
    <row r="725" spans="1:17">
      <c r="A725" s="2">
        <v>2673</v>
      </c>
      <c r="B725" s="7">
        <v>113</v>
      </c>
      <c r="C725" s="7">
        <v>20.399999999999999</v>
      </c>
      <c r="D725" s="7">
        <v>47.6</v>
      </c>
      <c r="E725" s="7">
        <v>7.6</v>
      </c>
      <c r="F725" s="7">
        <v>27.3</v>
      </c>
      <c r="G725" s="7">
        <v>22.5</v>
      </c>
      <c r="H725" s="7">
        <v>220.2</v>
      </c>
      <c r="I725" s="7">
        <v>71.8</v>
      </c>
      <c r="J725" s="7">
        <v>39.299999999999997</v>
      </c>
      <c r="K725" s="7">
        <v>186.2</v>
      </c>
      <c r="L725" s="7">
        <v>108.1</v>
      </c>
      <c r="M725" s="7">
        <v>185.3</v>
      </c>
      <c r="N725" s="7">
        <v>266</v>
      </c>
      <c r="O725" s="7">
        <v>84</v>
      </c>
      <c r="P725" s="7">
        <v>126.9</v>
      </c>
      <c r="Q725" s="7">
        <v>7</v>
      </c>
    </row>
    <row r="726" spans="1:17">
      <c r="A726" s="2">
        <v>2674</v>
      </c>
      <c r="B726" s="7">
        <v>113</v>
      </c>
      <c r="C726" s="7">
        <v>20.399999999999999</v>
      </c>
      <c r="D726" s="7">
        <v>47.6</v>
      </c>
      <c r="E726" s="7">
        <v>7.6</v>
      </c>
      <c r="F726" s="7">
        <v>27.3</v>
      </c>
      <c r="G726" s="7">
        <v>22.5</v>
      </c>
      <c r="H726" s="7">
        <v>220.2</v>
      </c>
      <c r="I726" s="7">
        <v>71.8</v>
      </c>
      <c r="J726" s="7">
        <v>39.299999999999997</v>
      </c>
      <c r="K726" s="7">
        <v>186.2</v>
      </c>
      <c r="L726" s="7">
        <v>108.1</v>
      </c>
      <c r="M726" s="7">
        <v>185.3</v>
      </c>
      <c r="N726" s="7">
        <v>266</v>
      </c>
      <c r="O726" s="7">
        <v>84</v>
      </c>
      <c r="P726" s="7">
        <v>126.9</v>
      </c>
      <c r="Q726" s="7">
        <v>7</v>
      </c>
    </row>
    <row r="727" spans="1:17">
      <c r="A727" s="2">
        <v>2675</v>
      </c>
      <c r="B727" s="7">
        <v>113</v>
      </c>
      <c r="C727" s="7">
        <v>20.399999999999999</v>
      </c>
      <c r="D727" s="7">
        <v>47.6</v>
      </c>
      <c r="E727" s="7">
        <v>7.6</v>
      </c>
      <c r="F727" s="7">
        <v>27.3</v>
      </c>
      <c r="G727" s="7">
        <v>22.5</v>
      </c>
      <c r="H727" s="7">
        <v>220.2</v>
      </c>
      <c r="I727" s="7">
        <v>71.8</v>
      </c>
      <c r="J727" s="7">
        <v>39.299999999999997</v>
      </c>
      <c r="K727" s="7">
        <v>186.2</v>
      </c>
      <c r="L727" s="7">
        <v>108.1</v>
      </c>
      <c r="M727" s="7">
        <v>185.3</v>
      </c>
      <c r="N727" s="7">
        <v>266</v>
      </c>
      <c r="O727" s="7">
        <v>84</v>
      </c>
      <c r="P727" s="7">
        <v>126.9</v>
      </c>
      <c r="Q727" s="7">
        <v>7</v>
      </c>
    </row>
    <row r="728" spans="1:17">
      <c r="A728" s="2">
        <v>2676</v>
      </c>
      <c r="B728" s="7">
        <v>113</v>
      </c>
      <c r="C728" s="7">
        <v>20.399999999999999</v>
      </c>
      <c r="D728" s="7">
        <v>47.6</v>
      </c>
      <c r="E728" s="7">
        <v>7.6</v>
      </c>
      <c r="F728" s="7">
        <v>27.3</v>
      </c>
      <c r="G728" s="7">
        <v>22.5</v>
      </c>
      <c r="H728" s="7">
        <v>220.2</v>
      </c>
      <c r="I728" s="7">
        <v>71.8</v>
      </c>
      <c r="J728" s="7">
        <v>39.299999999999997</v>
      </c>
      <c r="K728" s="7">
        <v>186.2</v>
      </c>
      <c r="L728" s="7">
        <v>108.1</v>
      </c>
      <c r="M728" s="7">
        <v>185.3</v>
      </c>
      <c r="N728" s="7">
        <v>266</v>
      </c>
      <c r="O728" s="7">
        <v>84</v>
      </c>
      <c r="P728" s="7">
        <v>126.9</v>
      </c>
      <c r="Q728" s="7">
        <v>7</v>
      </c>
    </row>
    <row r="729" spans="1:17">
      <c r="A729" s="2">
        <v>2677</v>
      </c>
      <c r="B729" s="7">
        <v>113</v>
      </c>
      <c r="C729" s="7">
        <v>20.399999999999999</v>
      </c>
      <c r="D729" s="7">
        <v>47.6</v>
      </c>
      <c r="E729" s="7">
        <v>7.6</v>
      </c>
      <c r="F729" s="7">
        <v>27.3</v>
      </c>
      <c r="G729" s="7">
        <v>22.5</v>
      </c>
      <c r="H729" s="7">
        <v>220.2</v>
      </c>
      <c r="I729" s="7">
        <v>71.8</v>
      </c>
      <c r="J729" s="7">
        <v>39.299999999999997</v>
      </c>
      <c r="K729" s="7">
        <v>186.2</v>
      </c>
      <c r="L729" s="7">
        <v>108.1</v>
      </c>
      <c r="M729" s="7">
        <v>185.3</v>
      </c>
      <c r="N729" s="7">
        <v>266</v>
      </c>
      <c r="O729" s="7">
        <v>84</v>
      </c>
      <c r="P729" s="7">
        <v>126.9</v>
      </c>
      <c r="Q729" s="7">
        <v>7</v>
      </c>
    </row>
    <row r="730" spans="1:17">
      <c r="A730" s="2">
        <v>2678</v>
      </c>
      <c r="B730" s="7">
        <v>113</v>
      </c>
      <c r="C730" s="7">
        <v>20.399999999999999</v>
      </c>
      <c r="D730" s="7">
        <v>47.6</v>
      </c>
      <c r="E730" s="7">
        <v>7.6</v>
      </c>
      <c r="F730" s="7">
        <v>27.3</v>
      </c>
      <c r="G730" s="7">
        <v>22.5</v>
      </c>
      <c r="H730" s="7">
        <v>220.2</v>
      </c>
      <c r="I730" s="7">
        <v>71.8</v>
      </c>
      <c r="J730" s="7">
        <v>39.299999999999997</v>
      </c>
      <c r="K730" s="7">
        <v>186.2</v>
      </c>
      <c r="L730" s="7">
        <v>108.1</v>
      </c>
      <c r="M730" s="7">
        <v>185.3</v>
      </c>
      <c r="N730" s="7">
        <v>266</v>
      </c>
      <c r="O730" s="7">
        <v>84</v>
      </c>
      <c r="P730" s="7">
        <v>126.9</v>
      </c>
      <c r="Q730" s="7">
        <v>7</v>
      </c>
    </row>
    <row r="731" spans="1:17">
      <c r="A731" s="2">
        <v>2679</v>
      </c>
      <c r="B731" s="7">
        <v>113</v>
      </c>
      <c r="C731" s="7">
        <v>20.399999999999999</v>
      </c>
      <c r="D731" s="7">
        <v>47.6</v>
      </c>
      <c r="E731" s="7">
        <v>7.6</v>
      </c>
      <c r="F731" s="7">
        <v>27.3</v>
      </c>
      <c r="G731" s="7">
        <v>22.5</v>
      </c>
      <c r="H731" s="7">
        <v>220.2</v>
      </c>
      <c r="I731" s="7">
        <v>71.8</v>
      </c>
      <c r="J731" s="7">
        <v>39.299999999999997</v>
      </c>
      <c r="K731" s="7">
        <v>186.2</v>
      </c>
      <c r="L731" s="7">
        <v>108.1</v>
      </c>
      <c r="M731" s="7">
        <v>185.3</v>
      </c>
      <c r="N731" s="7">
        <v>266</v>
      </c>
      <c r="O731" s="7">
        <v>84</v>
      </c>
      <c r="P731" s="7">
        <v>126.9</v>
      </c>
      <c r="Q731" s="7">
        <v>7</v>
      </c>
    </row>
    <row r="732" spans="1:17">
      <c r="A732" s="2">
        <v>2680</v>
      </c>
      <c r="B732" s="7">
        <v>113</v>
      </c>
      <c r="C732" s="7">
        <v>20.399999999999999</v>
      </c>
      <c r="D732" s="7">
        <v>47.6</v>
      </c>
      <c r="E732" s="7">
        <v>7.6</v>
      </c>
      <c r="F732" s="7">
        <v>27.3</v>
      </c>
      <c r="G732" s="7">
        <v>22.5</v>
      </c>
      <c r="H732" s="7">
        <v>220.2</v>
      </c>
      <c r="I732" s="7">
        <v>71.8</v>
      </c>
      <c r="J732" s="7">
        <v>39.299999999999997</v>
      </c>
      <c r="K732" s="7">
        <v>186.2</v>
      </c>
      <c r="L732" s="7">
        <v>108.1</v>
      </c>
      <c r="M732" s="7">
        <v>185.3</v>
      </c>
      <c r="N732" s="7">
        <v>266</v>
      </c>
      <c r="O732" s="7">
        <v>84</v>
      </c>
      <c r="P732" s="7">
        <v>126.9</v>
      </c>
      <c r="Q732" s="7">
        <v>7</v>
      </c>
    </row>
    <row r="733" spans="1:17">
      <c r="A733" s="2">
        <v>2681</v>
      </c>
      <c r="B733" s="7">
        <v>113</v>
      </c>
      <c r="C733" s="7">
        <v>20.399999999999999</v>
      </c>
      <c r="D733" s="7">
        <v>47.6</v>
      </c>
      <c r="E733" s="7">
        <v>7.6</v>
      </c>
      <c r="F733" s="7">
        <v>27.3</v>
      </c>
      <c r="G733" s="7">
        <v>22.5</v>
      </c>
      <c r="H733" s="7">
        <v>220.2</v>
      </c>
      <c r="I733" s="7">
        <v>71.8</v>
      </c>
      <c r="J733" s="7">
        <v>39.299999999999997</v>
      </c>
      <c r="K733" s="7">
        <v>186.2</v>
      </c>
      <c r="L733" s="7">
        <v>108.1</v>
      </c>
      <c r="M733" s="7">
        <v>185.3</v>
      </c>
      <c r="N733" s="7">
        <v>266</v>
      </c>
      <c r="O733" s="7">
        <v>84</v>
      </c>
      <c r="P733" s="7">
        <v>126.9</v>
      </c>
      <c r="Q733" s="7">
        <v>7</v>
      </c>
    </row>
    <row r="734" spans="1:17">
      <c r="A734" s="2">
        <v>2682</v>
      </c>
      <c r="B734" s="7">
        <v>113</v>
      </c>
      <c r="C734" s="7">
        <v>20.399999999999999</v>
      </c>
      <c r="D734" s="7">
        <v>47.6</v>
      </c>
      <c r="E734" s="7">
        <v>7.6</v>
      </c>
      <c r="F734" s="7">
        <v>27.3</v>
      </c>
      <c r="G734" s="7">
        <v>22.5</v>
      </c>
      <c r="H734" s="7">
        <v>220.2</v>
      </c>
      <c r="I734" s="7">
        <v>71.8</v>
      </c>
      <c r="J734" s="7">
        <v>39.299999999999997</v>
      </c>
      <c r="K734" s="7">
        <v>186.2</v>
      </c>
      <c r="L734" s="7">
        <v>108.1</v>
      </c>
      <c r="M734" s="7">
        <v>185.3</v>
      </c>
      <c r="N734" s="7">
        <v>266</v>
      </c>
      <c r="O734" s="7">
        <v>84</v>
      </c>
      <c r="P734" s="7">
        <v>126.9</v>
      </c>
      <c r="Q734" s="7">
        <v>7</v>
      </c>
    </row>
    <row r="735" spans="1:17">
      <c r="A735" s="2">
        <v>2683</v>
      </c>
      <c r="B735" s="7">
        <v>113</v>
      </c>
      <c r="C735" s="7">
        <v>20.399999999999999</v>
      </c>
      <c r="D735" s="7">
        <v>47.6</v>
      </c>
      <c r="E735" s="7">
        <v>7.6</v>
      </c>
      <c r="F735" s="7">
        <v>27.3</v>
      </c>
      <c r="G735" s="7">
        <v>22.5</v>
      </c>
      <c r="H735" s="7">
        <v>220.2</v>
      </c>
      <c r="I735" s="7">
        <v>71.8</v>
      </c>
      <c r="J735" s="7">
        <v>39.299999999999997</v>
      </c>
      <c r="K735" s="7">
        <v>186.2</v>
      </c>
      <c r="L735" s="7">
        <v>108.1</v>
      </c>
      <c r="M735" s="7">
        <v>185.3</v>
      </c>
      <c r="N735" s="7">
        <v>266</v>
      </c>
      <c r="O735" s="7">
        <v>84</v>
      </c>
      <c r="P735" s="7">
        <v>126.9</v>
      </c>
      <c r="Q735" s="7">
        <v>7</v>
      </c>
    </row>
    <row r="736" spans="1:17">
      <c r="A736" s="2">
        <v>2684</v>
      </c>
      <c r="B736" s="7">
        <v>113</v>
      </c>
      <c r="C736" s="7">
        <v>20.399999999999999</v>
      </c>
      <c r="D736" s="7">
        <v>47.6</v>
      </c>
      <c r="E736" s="7">
        <v>7.6</v>
      </c>
      <c r="F736" s="7">
        <v>27.3</v>
      </c>
      <c r="G736" s="7">
        <v>22.5</v>
      </c>
      <c r="H736" s="7">
        <v>220.2</v>
      </c>
      <c r="I736" s="7">
        <v>71.8</v>
      </c>
      <c r="J736" s="7">
        <v>39.299999999999997</v>
      </c>
      <c r="K736" s="7">
        <v>186.2</v>
      </c>
      <c r="L736" s="7">
        <v>108.1</v>
      </c>
      <c r="M736" s="7">
        <v>185.3</v>
      </c>
      <c r="N736" s="7">
        <v>266</v>
      </c>
      <c r="O736" s="7">
        <v>84</v>
      </c>
      <c r="P736" s="7">
        <v>126.9</v>
      </c>
      <c r="Q736" s="7">
        <v>7</v>
      </c>
    </row>
    <row r="737" spans="1:17">
      <c r="A737" s="2">
        <v>2685</v>
      </c>
      <c r="B737" s="7">
        <v>113</v>
      </c>
      <c r="C737" s="7">
        <v>20.399999999999999</v>
      </c>
      <c r="D737" s="7">
        <v>47.6</v>
      </c>
      <c r="E737" s="7">
        <v>7.6</v>
      </c>
      <c r="F737" s="7">
        <v>27.3</v>
      </c>
      <c r="G737" s="7">
        <v>22.5</v>
      </c>
      <c r="H737" s="7">
        <v>220.2</v>
      </c>
      <c r="I737" s="7">
        <v>71.8</v>
      </c>
      <c r="J737" s="7">
        <v>39.299999999999997</v>
      </c>
      <c r="K737" s="7">
        <v>186.2</v>
      </c>
      <c r="L737" s="7">
        <v>108.1</v>
      </c>
      <c r="M737" s="7">
        <v>185.3</v>
      </c>
      <c r="N737" s="7">
        <v>266</v>
      </c>
      <c r="O737" s="7">
        <v>84</v>
      </c>
      <c r="P737" s="7">
        <v>126.9</v>
      </c>
      <c r="Q737" s="7">
        <v>7</v>
      </c>
    </row>
    <row r="738" spans="1:17">
      <c r="A738" s="2">
        <v>2686</v>
      </c>
      <c r="B738" s="7">
        <v>113</v>
      </c>
      <c r="C738" s="7">
        <v>20.399999999999999</v>
      </c>
      <c r="D738" s="7">
        <v>47.6</v>
      </c>
      <c r="E738" s="7">
        <v>7.6</v>
      </c>
      <c r="F738" s="7">
        <v>27.3</v>
      </c>
      <c r="G738" s="7">
        <v>22.5</v>
      </c>
      <c r="H738" s="7">
        <v>220.2</v>
      </c>
      <c r="I738" s="7">
        <v>71.8</v>
      </c>
      <c r="J738" s="7">
        <v>39.299999999999997</v>
      </c>
      <c r="K738" s="7">
        <v>186.2</v>
      </c>
      <c r="L738" s="7">
        <v>108.1</v>
      </c>
      <c r="M738" s="7">
        <v>185.3</v>
      </c>
      <c r="N738" s="7">
        <v>266</v>
      </c>
      <c r="O738" s="7">
        <v>84</v>
      </c>
      <c r="P738" s="7">
        <v>126.9</v>
      </c>
      <c r="Q738" s="7">
        <v>7</v>
      </c>
    </row>
    <row r="739" spans="1:17">
      <c r="A739" s="2">
        <v>2687</v>
      </c>
      <c r="B739" s="7">
        <v>113</v>
      </c>
      <c r="C739" s="7">
        <v>20.399999999999999</v>
      </c>
      <c r="D739" s="7">
        <v>47.6</v>
      </c>
      <c r="E739" s="7">
        <v>7.6</v>
      </c>
      <c r="F739" s="7">
        <v>27.3</v>
      </c>
      <c r="G739" s="7">
        <v>22.5</v>
      </c>
      <c r="H739" s="7">
        <v>220.2</v>
      </c>
      <c r="I739" s="7">
        <v>71.8</v>
      </c>
      <c r="J739" s="7">
        <v>39.299999999999997</v>
      </c>
      <c r="K739" s="7">
        <v>186.2</v>
      </c>
      <c r="L739" s="7">
        <v>108.1</v>
      </c>
      <c r="M739" s="7">
        <v>185.3</v>
      </c>
      <c r="N739" s="7">
        <v>266</v>
      </c>
      <c r="O739" s="7">
        <v>84</v>
      </c>
      <c r="P739" s="7">
        <v>126.9</v>
      </c>
      <c r="Q739" s="7">
        <v>7</v>
      </c>
    </row>
    <row r="740" spans="1:17">
      <c r="A740" s="2">
        <v>2688</v>
      </c>
      <c r="B740" s="7">
        <v>113</v>
      </c>
      <c r="C740" s="7">
        <v>20.399999999999999</v>
      </c>
      <c r="D740" s="7">
        <v>47.6</v>
      </c>
      <c r="E740" s="7">
        <v>7.6</v>
      </c>
      <c r="F740" s="7">
        <v>27.3</v>
      </c>
      <c r="G740" s="7">
        <v>22.5</v>
      </c>
      <c r="H740" s="7">
        <v>220.2</v>
      </c>
      <c r="I740" s="7">
        <v>71.8</v>
      </c>
      <c r="J740" s="7">
        <v>39.299999999999997</v>
      </c>
      <c r="K740" s="7">
        <v>186.2</v>
      </c>
      <c r="L740" s="7">
        <v>108.1</v>
      </c>
      <c r="M740" s="7">
        <v>185.3</v>
      </c>
      <c r="N740" s="7">
        <v>266</v>
      </c>
      <c r="O740" s="7">
        <v>84</v>
      </c>
      <c r="P740" s="7">
        <v>126.9</v>
      </c>
      <c r="Q740" s="7">
        <v>7</v>
      </c>
    </row>
    <row r="741" spans="1:17">
      <c r="A741" s="2">
        <v>2689</v>
      </c>
      <c r="B741" s="7">
        <v>113</v>
      </c>
      <c r="C741" s="7">
        <v>20.399999999999999</v>
      </c>
      <c r="D741" s="7">
        <v>47.6</v>
      </c>
      <c r="E741" s="7">
        <v>7.6</v>
      </c>
      <c r="F741" s="7">
        <v>27.3</v>
      </c>
      <c r="G741" s="7">
        <v>22.5</v>
      </c>
      <c r="H741" s="7">
        <v>220.2</v>
      </c>
      <c r="I741" s="7">
        <v>71.8</v>
      </c>
      <c r="J741" s="7">
        <v>39.299999999999997</v>
      </c>
      <c r="K741" s="7">
        <v>186.2</v>
      </c>
      <c r="L741" s="7">
        <v>108.1</v>
      </c>
      <c r="M741" s="7">
        <v>185.3</v>
      </c>
      <c r="N741" s="7">
        <v>266</v>
      </c>
      <c r="O741" s="7">
        <v>84</v>
      </c>
      <c r="P741" s="7">
        <v>126.9</v>
      </c>
      <c r="Q741" s="7">
        <v>7</v>
      </c>
    </row>
    <row r="742" spans="1:17">
      <c r="A742" s="2">
        <v>2690</v>
      </c>
      <c r="B742" s="7">
        <v>113</v>
      </c>
      <c r="C742" s="7">
        <v>20.399999999999999</v>
      </c>
      <c r="D742" s="7">
        <v>47.6</v>
      </c>
      <c r="E742" s="7">
        <v>7.6</v>
      </c>
      <c r="F742" s="7">
        <v>27.3</v>
      </c>
      <c r="G742" s="7">
        <v>22.5</v>
      </c>
      <c r="H742" s="7">
        <v>220.2</v>
      </c>
      <c r="I742" s="7">
        <v>71.8</v>
      </c>
      <c r="J742" s="7">
        <v>39.299999999999997</v>
      </c>
      <c r="K742" s="7">
        <v>186.2</v>
      </c>
      <c r="L742" s="7">
        <v>108.1</v>
      </c>
      <c r="M742" s="7">
        <v>185.3</v>
      </c>
      <c r="N742" s="7">
        <v>266</v>
      </c>
      <c r="O742" s="7">
        <v>84</v>
      </c>
      <c r="P742" s="7">
        <v>126.9</v>
      </c>
      <c r="Q742" s="7">
        <v>7</v>
      </c>
    </row>
    <row r="743" spans="1:17">
      <c r="A743" s="2">
        <v>2691</v>
      </c>
      <c r="B743" s="7">
        <v>113</v>
      </c>
      <c r="C743" s="7">
        <v>20.399999999999999</v>
      </c>
      <c r="D743" s="7">
        <v>47.6</v>
      </c>
      <c r="E743" s="7">
        <v>7.6</v>
      </c>
      <c r="F743" s="7">
        <v>27.3</v>
      </c>
      <c r="G743" s="7">
        <v>22.5</v>
      </c>
      <c r="H743" s="7">
        <v>220.2</v>
      </c>
      <c r="I743" s="7">
        <v>71.8</v>
      </c>
      <c r="J743" s="7">
        <v>39.299999999999997</v>
      </c>
      <c r="K743" s="7">
        <v>186.2</v>
      </c>
      <c r="L743" s="7">
        <v>108.1</v>
      </c>
      <c r="M743" s="7">
        <v>185.3</v>
      </c>
      <c r="N743" s="7">
        <v>266</v>
      </c>
      <c r="O743" s="7">
        <v>84</v>
      </c>
      <c r="P743" s="7">
        <v>126.9</v>
      </c>
      <c r="Q743" s="7">
        <v>7</v>
      </c>
    </row>
    <row r="744" spans="1:17">
      <c r="A744" s="2">
        <v>2692</v>
      </c>
      <c r="B744" s="7">
        <v>113</v>
      </c>
      <c r="C744" s="7">
        <v>20.399999999999999</v>
      </c>
      <c r="D744" s="7">
        <v>47.6</v>
      </c>
      <c r="E744" s="7">
        <v>7.6</v>
      </c>
      <c r="F744" s="7">
        <v>27.3</v>
      </c>
      <c r="G744" s="7">
        <v>22.5</v>
      </c>
      <c r="H744" s="7">
        <v>220.2</v>
      </c>
      <c r="I744" s="7">
        <v>71.8</v>
      </c>
      <c r="J744" s="7">
        <v>39.299999999999997</v>
      </c>
      <c r="K744" s="7">
        <v>186.2</v>
      </c>
      <c r="L744" s="7">
        <v>108.1</v>
      </c>
      <c r="M744" s="7">
        <v>185.3</v>
      </c>
      <c r="N744" s="7">
        <v>266</v>
      </c>
      <c r="O744" s="7">
        <v>84</v>
      </c>
      <c r="P744" s="7">
        <v>126.9</v>
      </c>
      <c r="Q744" s="7">
        <v>7</v>
      </c>
    </row>
    <row r="745" spans="1:17">
      <c r="A745" s="2">
        <v>2693</v>
      </c>
      <c r="B745" s="7">
        <v>113</v>
      </c>
      <c r="C745" s="7">
        <v>20.399999999999999</v>
      </c>
      <c r="D745" s="7">
        <v>47.6</v>
      </c>
      <c r="E745" s="7">
        <v>7.6</v>
      </c>
      <c r="F745" s="7">
        <v>27.3</v>
      </c>
      <c r="G745" s="7">
        <v>22.5</v>
      </c>
      <c r="H745" s="7">
        <v>220.2</v>
      </c>
      <c r="I745" s="7">
        <v>71.8</v>
      </c>
      <c r="J745" s="7">
        <v>39.299999999999997</v>
      </c>
      <c r="K745" s="7">
        <v>186.2</v>
      </c>
      <c r="L745" s="7">
        <v>108.1</v>
      </c>
      <c r="M745" s="7">
        <v>185.3</v>
      </c>
      <c r="N745" s="7">
        <v>266</v>
      </c>
      <c r="O745" s="7">
        <v>84</v>
      </c>
      <c r="P745" s="7">
        <v>126.9</v>
      </c>
      <c r="Q745" s="7">
        <v>7</v>
      </c>
    </row>
    <row r="746" spans="1:17">
      <c r="A746" s="2">
        <v>2694</v>
      </c>
      <c r="B746" s="7">
        <v>113</v>
      </c>
      <c r="C746" s="7">
        <v>20.399999999999999</v>
      </c>
      <c r="D746" s="7">
        <v>47.6</v>
      </c>
      <c r="E746" s="7">
        <v>7.6</v>
      </c>
      <c r="F746" s="7">
        <v>27.3</v>
      </c>
      <c r="G746" s="7">
        <v>22.5</v>
      </c>
      <c r="H746" s="7">
        <v>220.2</v>
      </c>
      <c r="I746" s="7">
        <v>71.8</v>
      </c>
      <c r="J746" s="7">
        <v>39.299999999999997</v>
      </c>
      <c r="K746" s="7">
        <v>186.2</v>
      </c>
      <c r="L746" s="7">
        <v>108.1</v>
      </c>
      <c r="M746" s="7">
        <v>185.3</v>
      </c>
      <c r="N746" s="7">
        <v>266</v>
      </c>
      <c r="O746" s="7">
        <v>84</v>
      </c>
      <c r="P746" s="7">
        <v>126.9</v>
      </c>
      <c r="Q746" s="7">
        <v>7</v>
      </c>
    </row>
    <row r="747" spans="1:17">
      <c r="A747" s="2">
        <v>2695</v>
      </c>
      <c r="B747" s="7">
        <v>113</v>
      </c>
      <c r="C747" s="7">
        <v>20.399999999999999</v>
      </c>
      <c r="D747" s="7">
        <v>47.6</v>
      </c>
      <c r="E747" s="7">
        <v>7.6</v>
      </c>
      <c r="F747" s="7">
        <v>27.3</v>
      </c>
      <c r="G747" s="7">
        <v>22.5</v>
      </c>
      <c r="H747" s="7">
        <v>220.2</v>
      </c>
      <c r="I747" s="7">
        <v>71.8</v>
      </c>
      <c r="J747" s="7">
        <v>39.299999999999997</v>
      </c>
      <c r="K747" s="7">
        <v>186.2</v>
      </c>
      <c r="L747" s="7">
        <v>108.1</v>
      </c>
      <c r="M747" s="7">
        <v>185.3</v>
      </c>
      <c r="N747" s="7">
        <v>266</v>
      </c>
      <c r="O747" s="7">
        <v>84</v>
      </c>
      <c r="P747" s="7">
        <v>126.9</v>
      </c>
      <c r="Q747" s="7">
        <v>7</v>
      </c>
    </row>
    <row r="748" spans="1:17">
      <c r="A748" s="2">
        <v>2696</v>
      </c>
      <c r="B748" s="7">
        <v>113</v>
      </c>
      <c r="C748" s="7">
        <v>20.399999999999999</v>
      </c>
      <c r="D748" s="7">
        <v>47.6</v>
      </c>
      <c r="E748" s="7">
        <v>7.6</v>
      </c>
      <c r="F748" s="7">
        <v>27.3</v>
      </c>
      <c r="G748" s="7">
        <v>22.5</v>
      </c>
      <c r="H748" s="7">
        <v>220.2</v>
      </c>
      <c r="I748" s="7">
        <v>71.8</v>
      </c>
      <c r="J748" s="7">
        <v>39.299999999999997</v>
      </c>
      <c r="K748" s="7">
        <v>186.2</v>
      </c>
      <c r="L748" s="7">
        <v>108.1</v>
      </c>
      <c r="M748" s="7">
        <v>185.3</v>
      </c>
      <c r="N748" s="7">
        <v>266</v>
      </c>
      <c r="O748" s="7">
        <v>84</v>
      </c>
      <c r="P748" s="7">
        <v>126.9</v>
      </c>
      <c r="Q748" s="7">
        <v>7</v>
      </c>
    </row>
    <row r="749" spans="1:17">
      <c r="A749" s="2">
        <v>2697</v>
      </c>
      <c r="B749" s="7">
        <v>113</v>
      </c>
      <c r="C749" s="7">
        <v>20.399999999999999</v>
      </c>
      <c r="D749" s="7">
        <v>47.6</v>
      </c>
      <c r="E749" s="7">
        <v>7.6</v>
      </c>
      <c r="F749" s="7">
        <v>27.3</v>
      </c>
      <c r="G749" s="7">
        <v>22.5</v>
      </c>
      <c r="H749" s="7">
        <v>220.2</v>
      </c>
      <c r="I749" s="7">
        <v>71.8</v>
      </c>
      <c r="J749" s="7">
        <v>39.299999999999997</v>
      </c>
      <c r="K749" s="7">
        <v>186.2</v>
      </c>
      <c r="L749" s="7">
        <v>108.1</v>
      </c>
      <c r="M749" s="7">
        <v>185.3</v>
      </c>
      <c r="N749" s="7">
        <v>266</v>
      </c>
      <c r="O749" s="7">
        <v>84</v>
      </c>
      <c r="P749" s="7">
        <v>126.9</v>
      </c>
      <c r="Q749" s="7">
        <v>7</v>
      </c>
    </row>
    <row r="750" spans="1:17">
      <c r="A750" s="2">
        <v>2698</v>
      </c>
      <c r="B750" s="7">
        <v>113</v>
      </c>
      <c r="C750" s="7">
        <v>20.399999999999999</v>
      </c>
      <c r="D750" s="7">
        <v>47.6</v>
      </c>
      <c r="E750" s="7">
        <v>7.6</v>
      </c>
      <c r="F750" s="7">
        <v>27.3</v>
      </c>
      <c r="G750" s="7">
        <v>22.5</v>
      </c>
      <c r="H750" s="7">
        <v>220.2</v>
      </c>
      <c r="I750" s="7">
        <v>71.8</v>
      </c>
      <c r="J750" s="7">
        <v>39.299999999999997</v>
      </c>
      <c r="K750" s="7">
        <v>186.2</v>
      </c>
      <c r="L750" s="7">
        <v>108.1</v>
      </c>
      <c r="M750" s="7">
        <v>185.3</v>
      </c>
      <c r="N750" s="7">
        <v>266</v>
      </c>
      <c r="O750" s="7">
        <v>84</v>
      </c>
      <c r="P750" s="7">
        <v>126.9</v>
      </c>
      <c r="Q750" s="7">
        <v>7</v>
      </c>
    </row>
    <row r="751" spans="1:17">
      <c r="A751" s="2">
        <v>2699</v>
      </c>
      <c r="B751" s="7">
        <v>113</v>
      </c>
      <c r="C751" s="7">
        <v>20.399999999999999</v>
      </c>
      <c r="D751" s="7">
        <v>47.6</v>
      </c>
      <c r="E751" s="7">
        <v>7.6</v>
      </c>
      <c r="F751" s="7">
        <v>27.3</v>
      </c>
      <c r="G751" s="7">
        <v>22.5</v>
      </c>
      <c r="H751" s="7">
        <v>220.2</v>
      </c>
      <c r="I751" s="7">
        <v>71.8</v>
      </c>
      <c r="J751" s="7">
        <v>39.299999999999997</v>
      </c>
      <c r="K751" s="7">
        <v>186.2</v>
      </c>
      <c r="L751" s="7">
        <v>108.1</v>
      </c>
      <c r="M751" s="7">
        <v>185.3</v>
      </c>
      <c r="N751" s="7">
        <v>266</v>
      </c>
      <c r="O751" s="7">
        <v>84</v>
      </c>
      <c r="P751" s="7">
        <v>126.9</v>
      </c>
      <c r="Q751" s="7">
        <v>7</v>
      </c>
    </row>
    <row r="752" spans="1:17">
      <c r="A752" s="2">
        <v>2700</v>
      </c>
      <c r="B752" s="7">
        <v>113</v>
      </c>
      <c r="C752" s="7">
        <v>20.399999999999999</v>
      </c>
      <c r="D752" s="7">
        <v>47.6</v>
      </c>
      <c r="E752" s="7">
        <v>7.6</v>
      </c>
      <c r="F752" s="7">
        <v>27.3</v>
      </c>
      <c r="G752" s="7">
        <v>22.5</v>
      </c>
      <c r="H752" s="7">
        <v>220.2</v>
      </c>
      <c r="I752" s="7">
        <v>71.8</v>
      </c>
      <c r="J752" s="7">
        <v>39.299999999999997</v>
      </c>
      <c r="K752" s="7">
        <v>186.2</v>
      </c>
      <c r="L752" s="7">
        <v>108.1</v>
      </c>
      <c r="M752" s="7">
        <v>185.3</v>
      </c>
      <c r="N752" s="7">
        <v>266</v>
      </c>
      <c r="O752" s="7">
        <v>84</v>
      </c>
      <c r="P752" s="7">
        <v>126.9</v>
      </c>
      <c r="Q752" s="7">
        <v>7</v>
      </c>
    </row>
    <row r="753" spans="1:17">
      <c r="A753" s="2">
        <v>2701</v>
      </c>
      <c r="B753" s="7">
        <v>113</v>
      </c>
      <c r="C753" s="7">
        <v>20.399999999999999</v>
      </c>
      <c r="D753" s="7">
        <v>47.6</v>
      </c>
      <c r="E753" s="7">
        <v>7.6</v>
      </c>
      <c r="F753" s="7">
        <v>27.3</v>
      </c>
      <c r="G753" s="7">
        <v>22.5</v>
      </c>
      <c r="H753" s="7">
        <v>220.2</v>
      </c>
      <c r="I753" s="7">
        <v>71.8</v>
      </c>
      <c r="J753" s="7">
        <v>39.299999999999997</v>
      </c>
      <c r="K753" s="7">
        <v>186.2</v>
      </c>
      <c r="L753" s="7">
        <v>108.1</v>
      </c>
      <c r="M753" s="7">
        <v>185.3</v>
      </c>
      <c r="N753" s="7">
        <v>266</v>
      </c>
      <c r="O753" s="7">
        <v>84</v>
      </c>
      <c r="P753" s="7">
        <v>126.9</v>
      </c>
      <c r="Q753" s="7">
        <v>7</v>
      </c>
    </row>
    <row r="754" spans="1:17">
      <c r="A754" s="2">
        <v>2702</v>
      </c>
      <c r="B754" s="7">
        <v>113</v>
      </c>
      <c r="C754" s="7">
        <v>20.399999999999999</v>
      </c>
      <c r="D754" s="7">
        <v>47.6</v>
      </c>
      <c r="E754" s="7">
        <v>7.6</v>
      </c>
      <c r="F754" s="7">
        <v>27.3</v>
      </c>
      <c r="G754" s="7">
        <v>22.5</v>
      </c>
      <c r="H754" s="7">
        <v>220.2</v>
      </c>
      <c r="I754" s="7">
        <v>71.8</v>
      </c>
      <c r="J754" s="7">
        <v>39.299999999999997</v>
      </c>
      <c r="K754" s="7">
        <v>186.2</v>
      </c>
      <c r="L754" s="7">
        <v>108.1</v>
      </c>
      <c r="M754" s="7">
        <v>185.3</v>
      </c>
      <c r="N754" s="7">
        <v>266</v>
      </c>
      <c r="O754" s="7">
        <v>84</v>
      </c>
      <c r="P754" s="7">
        <v>126.9</v>
      </c>
      <c r="Q754" s="7">
        <v>7</v>
      </c>
    </row>
    <row r="755" spans="1:17">
      <c r="A755" s="2">
        <v>2703</v>
      </c>
      <c r="B755" s="7">
        <v>113</v>
      </c>
      <c r="C755" s="7">
        <v>20.399999999999999</v>
      </c>
      <c r="D755" s="7">
        <v>47.6</v>
      </c>
      <c r="E755" s="7">
        <v>7.6</v>
      </c>
      <c r="F755" s="7">
        <v>27.3</v>
      </c>
      <c r="G755" s="7">
        <v>22.5</v>
      </c>
      <c r="H755" s="7">
        <v>220.2</v>
      </c>
      <c r="I755" s="7">
        <v>71.8</v>
      </c>
      <c r="J755" s="7">
        <v>39.299999999999997</v>
      </c>
      <c r="K755" s="7">
        <v>186.2</v>
      </c>
      <c r="L755" s="7">
        <v>108.1</v>
      </c>
      <c r="M755" s="7">
        <v>185.3</v>
      </c>
      <c r="N755" s="7">
        <v>266</v>
      </c>
      <c r="O755" s="7">
        <v>84</v>
      </c>
      <c r="P755" s="7">
        <v>126.9</v>
      </c>
      <c r="Q755" s="7">
        <v>7</v>
      </c>
    </row>
    <row r="756" spans="1:17">
      <c r="A756" s="2">
        <v>2704</v>
      </c>
      <c r="B756" s="7">
        <v>113</v>
      </c>
      <c r="C756" s="7">
        <v>20.399999999999999</v>
      </c>
      <c r="D756" s="7">
        <v>47.6</v>
      </c>
      <c r="E756" s="7">
        <v>7.6</v>
      </c>
      <c r="F756" s="7">
        <v>27.3</v>
      </c>
      <c r="G756" s="7">
        <v>22.5</v>
      </c>
      <c r="H756" s="7">
        <v>220.2</v>
      </c>
      <c r="I756" s="7">
        <v>71.8</v>
      </c>
      <c r="J756" s="7">
        <v>39.299999999999997</v>
      </c>
      <c r="K756" s="7">
        <v>186.2</v>
      </c>
      <c r="L756" s="7">
        <v>108.1</v>
      </c>
      <c r="M756" s="7">
        <v>185.3</v>
      </c>
      <c r="N756" s="7">
        <v>266</v>
      </c>
      <c r="O756" s="7">
        <v>84</v>
      </c>
      <c r="P756" s="7">
        <v>126.9</v>
      </c>
      <c r="Q756" s="7">
        <v>7</v>
      </c>
    </row>
    <row r="757" spans="1:17">
      <c r="A757" s="2">
        <v>2705</v>
      </c>
      <c r="B757" s="7">
        <v>113</v>
      </c>
      <c r="C757" s="7">
        <v>20.399999999999999</v>
      </c>
      <c r="D757" s="7">
        <v>47.6</v>
      </c>
      <c r="E757" s="7">
        <v>7.6</v>
      </c>
      <c r="F757" s="7">
        <v>27.3</v>
      </c>
      <c r="G757" s="7">
        <v>22.5</v>
      </c>
      <c r="H757" s="7">
        <v>220.2</v>
      </c>
      <c r="I757" s="7">
        <v>71.8</v>
      </c>
      <c r="J757" s="7">
        <v>39.299999999999997</v>
      </c>
      <c r="K757" s="7">
        <v>186.2</v>
      </c>
      <c r="L757" s="7">
        <v>108.1</v>
      </c>
      <c r="M757" s="7">
        <v>185.3</v>
      </c>
      <c r="N757" s="7">
        <v>266</v>
      </c>
      <c r="O757" s="7">
        <v>84</v>
      </c>
      <c r="P757" s="7">
        <v>126.9</v>
      </c>
      <c r="Q757" s="7">
        <v>7</v>
      </c>
    </row>
    <row r="758" spans="1:17">
      <c r="A758" s="2">
        <v>2706</v>
      </c>
      <c r="B758" s="7">
        <v>113</v>
      </c>
      <c r="C758" s="7">
        <v>20.399999999999999</v>
      </c>
      <c r="D758" s="7">
        <v>47.6</v>
      </c>
      <c r="E758" s="7">
        <v>7.6</v>
      </c>
      <c r="F758" s="7">
        <v>27.3</v>
      </c>
      <c r="G758" s="7">
        <v>22.5</v>
      </c>
      <c r="H758" s="7">
        <v>220.2</v>
      </c>
      <c r="I758" s="7">
        <v>71.8</v>
      </c>
      <c r="J758" s="7">
        <v>39.299999999999997</v>
      </c>
      <c r="K758" s="7">
        <v>186.2</v>
      </c>
      <c r="L758" s="7">
        <v>108.1</v>
      </c>
      <c r="M758" s="7">
        <v>185.3</v>
      </c>
      <c r="N758" s="7">
        <v>266</v>
      </c>
      <c r="O758" s="7">
        <v>84</v>
      </c>
      <c r="P758" s="7">
        <v>126.9</v>
      </c>
      <c r="Q758" s="7">
        <v>7</v>
      </c>
    </row>
    <row r="759" spans="1:17">
      <c r="A759" s="2">
        <v>2707</v>
      </c>
      <c r="B759" s="7">
        <v>113</v>
      </c>
      <c r="C759" s="7">
        <v>20.399999999999999</v>
      </c>
      <c r="D759" s="7">
        <v>47.6</v>
      </c>
      <c r="E759" s="7">
        <v>7.6</v>
      </c>
      <c r="F759" s="7">
        <v>27.3</v>
      </c>
      <c r="G759" s="7">
        <v>22.5</v>
      </c>
      <c r="H759" s="7">
        <v>220.2</v>
      </c>
      <c r="I759" s="7">
        <v>71.8</v>
      </c>
      <c r="J759" s="7">
        <v>39.299999999999997</v>
      </c>
      <c r="K759" s="7">
        <v>186.2</v>
      </c>
      <c r="L759" s="7">
        <v>108.1</v>
      </c>
      <c r="M759" s="7">
        <v>185.3</v>
      </c>
      <c r="N759" s="7">
        <v>266</v>
      </c>
      <c r="O759" s="7">
        <v>84</v>
      </c>
      <c r="P759" s="7">
        <v>126.9</v>
      </c>
      <c r="Q759" s="7">
        <v>7</v>
      </c>
    </row>
    <row r="760" spans="1:17">
      <c r="A760" s="2">
        <v>2708</v>
      </c>
      <c r="B760" s="7">
        <v>113</v>
      </c>
      <c r="C760" s="7">
        <v>20.399999999999999</v>
      </c>
      <c r="D760" s="7">
        <v>47.6</v>
      </c>
      <c r="E760" s="7">
        <v>7.6</v>
      </c>
      <c r="F760" s="7">
        <v>27.3</v>
      </c>
      <c r="G760" s="7">
        <v>22.5</v>
      </c>
      <c r="H760" s="7">
        <v>220.2</v>
      </c>
      <c r="I760" s="7">
        <v>71.8</v>
      </c>
      <c r="J760" s="7">
        <v>39.299999999999997</v>
      </c>
      <c r="K760" s="7">
        <v>186.2</v>
      </c>
      <c r="L760" s="7">
        <v>108.1</v>
      </c>
      <c r="M760" s="7">
        <v>185.3</v>
      </c>
      <c r="N760" s="7">
        <v>266</v>
      </c>
      <c r="O760" s="7">
        <v>84</v>
      </c>
      <c r="P760" s="7">
        <v>126.9</v>
      </c>
      <c r="Q760" s="7">
        <v>7</v>
      </c>
    </row>
    <row r="761" spans="1:17">
      <c r="A761" s="2">
        <v>2709</v>
      </c>
      <c r="B761" s="7">
        <v>113</v>
      </c>
      <c r="C761" s="7">
        <v>20.399999999999999</v>
      </c>
      <c r="D761" s="7">
        <v>47.6</v>
      </c>
      <c r="E761" s="7">
        <v>7.6</v>
      </c>
      <c r="F761" s="7">
        <v>27.3</v>
      </c>
      <c r="G761" s="7">
        <v>22.5</v>
      </c>
      <c r="H761" s="7">
        <v>220.2</v>
      </c>
      <c r="I761" s="7">
        <v>71.8</v>
      </c>
      <c r="J761" s="7">
        <v>39.299999999999997</v>
      </c>
      <c r="K761" s="7">
        <v>186.2</v>
      </c>
      <c r="L761" s="7">
        <v>108.1</v>
      </c>
      <c r="M761" s="7">
        <v>185.3</v>
      </c>
      <c r="N761" s="7">
        <v>266</v>
      </c>
      <c r="O761" s="7">
        <v>84</v>
      </c>
      <c r="P761" s="7">
        <v>126.9</v>
      </c>
      <c r="Q761" s="7">
        <v>7</v>
      </c>
    </row>
    <row r="762" spans="1:17">
      <c r="A762" s="2">
        <v>2710</v>
      </c>
      <c r="B762" s="7">
        <v>113</v>
      </c>
      <c r="C762" s="7">
        <v>20.399999999999999</v>
      </c>
      <c r="D762" s="7">
        <v>47.6</v>
      </c>
      <c r="E762" s="7">
        <v>7.6</v>
      </c>
      <c r="F762" s="7">
        <v>27.3</v>
      </c>
      <c r="G762" s="7">
        <v>22.5</v>
      </c>
      <c r="H762" s="7">
        <v>220.2</v>
      </c>
      <c r="I762" s="7">
        <v>71.8</v>
      </c>
      <c r="J762" s="7">
        <v>39.299999999999997</v>
      </c>
      <c r="K762" s="7">
        <v>186.2</v>
      </c>
      <c r="L762" s="7">
        <v>108.1</v>
      </c>
      <c r="M762" s="7">
        <v>185.3</v>
      </c>
      <c r="N762" s="7">
        <v>266</v>
      </c>
      <c r="O762" s="7">
        <v>84</v>
      </c>
      <c r="P762" s="7">
        <v>126.9</v>
      </c>
      <c r="Q762" s="7">
        <v>7</v>
      </c>
    </row>
    <row r="763" spans="1:17">
      <c r="A763" s="2">
        <v>2711</v>
      </c>
      <c r="B763" s="7">
        <v>113</v>
      </c>
      <c r="C763" s="7">
        <v>20.399999999999999</v>
      </c>
      <c r="D763" s="7">
        <v>47.6</v>
      </c>
      <c r="E763" s="7">
        <v>7.6</v>
      </c>
      <c r="F763" s="7">
        <v>27.3</v>
      </c>
      <c r="G763" s="7">
        <v>22.5</v>
      </c>
      <c r="H763" s="7">
        <v>220.2</v>
      </c>
      <c r="I763" s="7">
        <v>71.8</v>
      </c>
      <c r="J763" s="7">
        <v>39.299999999999997</v>
      </c>
      <c r="K763" s="7">
        <v>186.2</v>
      </c>
      <c r="L763" s="7">
        <v>108.1</v>
      </c>
      <c r="M763" s="7">
        <v>185.3</v>
      </c>
      <c r="N763" s="7">
        <v>266</v>
      </c>
      <c r="O763" s="7">
        <v>84</v>
      </c>
      <c r="P763" s="7">
        <v>126.9</v>
      </c>
      <c r="Q763" s="7">
        <v>7</v>
      </c>
    </row>
    <row r="764" spans="1:17">
      <c r="A764" s="2">
        <v>2712</v>
      </c>
      <c r="B764" s="7">
        <v>113</v>
      </c>
      <c r="C764" s="7">
        <v>20.399999999999999</v>
      </c>
      <c r="D764" s="7">
        <v>47.6</v>
      </c>
      <c r="E764" s="7">
        <v>7.6</v>
      </c>
      <c r="F764" s="7">
        <v>27.3</v>
      </c>
      <c r="G764" s="7">
        <v>22.5</v>
      </c>
      <c r="H764" s="7">
        <v>220.2</v>
      </c>
      <c r="I764" s="7">
        <v>71.8</v>
      </c>
      <c r="J764" s="7">
        <v>39.299999999999997</v>
      </c>
      <c r="K764" s="7">
        <v>186.2</v>
      </c>
      <c r="L764" s="7">
        <v>108.1</v>
      </c>
      <c r="M764" s="7">
        <v>185.3</v>
      </c>
      <c r="N764" s="7">
        <v>266</v>
      </c>
      <c r="O764" s="7">
        <v>84</v>
      </c>
      <c r="P764" s="7">
        <v>126.9</v>
      </c>
      <c r="Q764" s="7">
        <v>7</v>
      </c>
    </row>
    <row r="765" spans="1:17">
      <c r="A765" s="2">
        <v>2713</v>
      </c>
      <c r="B765" s="7">
        <v>113</v>
      </c>
      <c r="C765" s="7">
        <v>20.399999999999999</v>
      </c>
      <c r="D765" s="7">
        <v>47.6</v>
      </c>
      <c r="E765" s="7">
        <v>7.6</v>
      </c>
      <c r="F765" s="7">
        <v>27.3</v>
      </c>
      <c r="G765" s="7">
        <v>22.5</v>
      </c>
      <c r="H765" s="7">
        <v>220.2</v>
      </c>
      <c r="I765" s="7">
        <v>71.8</v>
      </c>
      <c r="J765" s="7">
        <v>39.299999999999997</v>
      </c>
      <c r="K765" s="7">
        <v>186.2</v>
      </c>
      <c r="L765" s="7">
        <v>108.1</v>
      </c>
      <c r="M765" s="7">
        <v>185.3</v>
      </c>
      <c r="N765" s="7">
        <v>266</v>
      </c>
      <c r="O765" s="7">
        <v>84</v>
      </c>
      <c r="P765" s="7">
        <v>126.9</v>
      </c>
      <c r="Q765" s="7">
        <v>7</v>
      </c>
    </row>
    <row r="766" spans="1:17">
      <c r="A766" s="2">
        <v>2714</v>
      </c>
      <c r="B766" s="7">
        <v>113</v>
      </c>
      <c r="C766" s="7">
        <v>20.399999999999999</v>
      </c>
      <c r="D766" s="7">
        <v>47.6</v>
      </c>
      <c r="E766" s="7">
        <v>7.6</v>
      </c>
      <c r="F766" s="7">
        <v>27.3</v>
      </c>
      <c r="G766" s="7">
        <v>22.5</v>
      </c>
      <c r="H766" s="7">
        <v>220.2</v>
      </c>
      <c r="I766" s="7">
        <v>71.8</v>
      </c>
      <c r="J766" s="7">
        <v>39.299999999999997</v>
      </c>
      <c r="K766" s="7">
        <v>186.2</v>
      </c>
      <c r="L766" s="7">
        <v>108.1</v>
      </c>
      <c r="M766" s="7">
        <v>185.3</v>
      </c>
      <c r="N766" s="7">
        <v>266</v>
      </c>
      <c r="O766" s="7">
        <v>84</v>
      </c>
      <c r="P766" s="7">
        <v>126.9</v>
      </c>
      <c r="Q766" s="7">
        <v>7</v>
      </c>
    </row>
    <row r="767" spans="1:17">
      <c r="A767" s="2">
        <v>2715</v>
      </c>
      <c r="B767" s="7">
        <v>113</v>
      </c>
      <c r="C767" s="7">
        <v>20.399999999999999</v>
      </c>
      <c r="D767" s="7">
        <v>47.6</v>
      </c>
      <c r="E767" s="7">
        <v>7.6</v>
      </c>
      <c r="F767" s="7">
        <v>27.3</v>
      </c>
      <c r="G767" s="7">
        <v>22.5</v>
      </c>
      <c r="H767" s="7">
        <v>220.2</v>
      </c>
      <c r="I767" s="7">
        <v>71.8</v>
      </c>
      <c r="J767" s="7">
        <v>39.299999999999997</v>
      </c>
      <c r="K767" s="7">
        <v>186.2</v>
      </c>
      <c r="L767" s="7">
        <v>108.1</v>
      </c>
      <c r="M767" s="7">
        <v>185.3</v>
      </c>
      <c r="N767" s="7">
        <v>266</v>
      </c>
      <c r="O767" s="7">
        <v>84</v>
      </c>
      <c r="P767" s="7">
        <v>126.9</v>
      </c>
      <c r="Q767" s="7">
        <v>7</v>
      </c>
    </row>
    <row r="768" spans="1:17">
      <c r="A768" s="2">
        <v>2716</v>
      </c>
      <c r="B768" s="7">
        <v>113</v>
      </c>
      <c r="C768" s="7">
        <v>20.399999999999999</v>
      </c>
      <c r="D768" s="7">
        <v>47.6</v>
      </c>
      <c r="E768" s="7">
        <v>7.6</v>
      </c>
      <c r="F768" s="7">
        <v>27.3</v>
      </c>
      <c r="G768" s="7">
        <v>22.5</v>
      </c>
      <c r="H768" s="7">
        <v>220.2</v>
      </c>
      <c r="I768" s="7">
        <v>71.8</v>
      </c>
      <c r="J768" s="7">
        <v>39.299999999999997</v>
      </c>
      <c r="K768" s="7">
        <v>186.2</v>
      </c>
      <c r="L768" s="7">
        <v>108.1</v>
      </c>
      <c r="M768" s="7">
        <v>185.3</v>
      </c>
      <c r="N768" s="7">
        <v>266</v>
      </c>
      <c r="O768" s="7">
        <v>84</v>
      </c>
      <c r="P768" s="7">
        <v>126.9</v>
      </c>
      <c r="Q768" s="7">
        <v>7</v>
      </c>
    </row>
    <row r="769" spans="1:17">
      <c r="A769" s="2">
        <v>2717</v>
      </c>
      <c r="B769" s="7">
        <v>113</v>
      </c>
      <c r="C769" s="7">
        <v>20.399999999999999</v>
      </c>
      <c r="D769" s="7">
        <v>47.6</v>
      </c>
      <c r="E769" s="7">
        <v>7.6</v>
      </c>
      <c r="F769" s="7">
        <v>27.3</v>
      </c>
      <c r="G769" s="7">
        <v>22.5</v>
      </c>
      <c r="H769" s="7">
        <v>220.2</v>
      </c>
      <c r="I769" s="7">
        <v>71.8</v>
      </c>
      <c r="J769" s="7">
        <v>39.299999999999997</v>
      </c>
      <c r="K769" s="7">
        <v>186.2</v>
      </c>
      <c r="L769" s="7">
        <v>108.1</v>
      </c>
      <c r="M769" s="7">
        <v>185.3</v>
      </c>
      <c r="N769" s="7">
        <v>266</v>
      </c>
      <c r="O769" s="7">
        <v>84</v>
      </c>
      <c r="P769" s="7">
        <v>126.9</v>
      </c>
      <c r="Q769" s="7">
        <v>7</v>
      </c>
    </row>
    <row r="770" spans="1:17">
      <c r="A770" s="2">
        <v>2718</v>
      </c>
      <c r="B770" s="7">
        <v>113</v>
      </c>
      <c r="C770" s="7">
        <v>20.399999999999999</v>
      </c>
      <c r="D770" s="7">
        <v>47.6</v>
      </c>
      <c r="E770" s="7">
        <v>7.6</v>
      </c>
      <c r="F770" s="7">
        <v>27.3</v>
      </c>
      <c r="G770" s="7">
        <v>22.5</v>
      </c>
      <c r="H770" s="7">
        <v>220.2</v>
      </c>
      <c r="I770" s="7">
        <v>71.8</v>
      </c>
      <c r="J770" s="7">
        <v>39.299999999999997</v>
      </c>
      <c r="K770" s="7">
        <v>186.2</v>
      </c>
      <c r="L770" s="7">
        <v>108.1</v>
      </c>
      <c r="M770" s="7">
        <v>185.3</v>
      </c>
      <c r="N770" s="7">
        <v>266</v>
      </c>
      <c r="O770" s="7">
        <v>84</v>
      </c>
      <c r="P770" s="7">
        <v>126.9</v>
      </c>
      <c r="Q770" s="7">
        <v>7</v>
      </c>
    </row>
    <row r="771" spans="1:17">
      <c r="A771" s="2">
        <v>2719</v>
      </c>
      <c r="B771" s="7">
        <v>113</v>
      </c>
      <c r="C771" s="7">
        <v>20.399999999999999</v>
      </c>
      <c r="D771" s="7">
        <v>47.6</v>
      </c>
      <c r="E771" s="7">
        <v>7.6</v>
      </c>
      <c r="F771" s="7">
        <v>27.3</v>
      </c>
      <c r="G771" s="7">
        <v>22.5</v>
      </c>
      <c r="H771" s="7">
        <v>220.2</v>
      </c>
      <c r="I771" s="7">
        <v>71.8</v>
      </c>
      <c r="J771" s="7">
        <v>39.299999999999997</v>
      </c>
      <c r="K771" s="7">
        <v>186.2</v>
      </c>
      <c r="L771" s="7">
        <v>108.1</v>
      </c>
      <c r="M771" s="7">
        <v>185.3</v>
      </c>
      <c r="N771" s="7">
        <v>266</v>
      </c>
      <c r="O771" s="7">
        <v>84</v>
      </c>
      <c r="P771" s="7">
        <v>126.9</v>
      </c>
      <c r="Q771" s="7">
        <v>7</v>
      </c>
    </row>
    <row r="772" spans="1:17">
      <c r="A772" s="2">
        <v>2720</v>
      </c>
      <c r="B772" s="7">
        <v>113</v>
      </c>
      <c r="C772" s="7">
        <v>20.399999999999999</v>
      </c>
      <c r="D772" s="7">
        <v>47.6</v>
      </c>
      <c r="E772" s="7">
        <v>7.6</v>
      </c>
      <c r="F772" s="7">
        <v>27.3</v>
      </c>
      <c r="G772" s="7">
        <v>22.5</v>
      </c>
      <c r="H772" s="7">
        <v>220.2</v>
      </c>
      <c r="I772" s="7">
        <v>71.8</v>
      </c>
      <c r="J772" s="7">
        <v>39.299999999999997</v>
      </c>
      <c r="K772" s="7">
        <v>186.2</v>
      </c>
      <c r="L772" s="7">
        <v>108.1</v>
      </c>
      <c r="M772" s="7">
        <v>185.3</v>
      </c>
      <c r="N772" s="7">
        <v>266</v>
      </c>
      <c r="O772" s="7">
        <v>84</v>
      </c>
      <c r="P772" s="7">
        <v>126.9</v>
      </c>
      <c r="Q772" s="7">
        <v>7</v>
      </c>
    </row>
    <row r="773" spans="1:17">
      <c r="A773" s="2">
        <v>2721</v>
      </c>
      <c r="B773" s="7">
        <v>113</v>
      </c>
      <c r="C773" s="7">
        <v>20.399999999999999</v>
      </c>
      <c r="D773" s="7">
        <v>47.6</v>
      </c>
      <c r="E773" s="7">
        <v>7.6</v>
      </c>
      <c r="F773" s="7">
        <v>27.3</v>
      </c>
      <c r="G773" s="7">
        <v>22.5</v>
      </c>
      <c r="H773" s="7">
        <v>220.2</v>
      </c>
      <c r="I773" s="7">
        <v>71.8</v>
      </c>
      <c r="J773" s="7">
        <v>39.299999999999997</v>
      </c>
      <c r="K773" s="7">
        <v>186.2</v>
      </c>
      <c r="L773" s="7">
        <v>108.1</v>
      </c>
      <c r="M773" s="7">
        <v>185.3</v>
      </c>
      <c r="N773" s="7">
        <v>266</v>
      </c>
      <c r="O773" s="7">
        <v>84</v>
      </c>
      <c r="P773" s="7">
        <v>126.9</v>
      </c>
      <c r="Q773" s="7">
        <v>7</v>
      </c>
    </row>
    <row r="774" spans="1:17">
      <c r="A774" s="2">
        <v>2722</v>
      </c>
      <c r="B774" s="7">
        <v>113</v>
      </c>
      <c r="C774" s="7">
        <v>20.399999999999999</v>
      </c>
      <c r="D774" s="7">
        <v>47.6</v>
      </c>
      <c r="E774" s="7">
        <v>7.6</v>
      </c>
      <c r="F774" s="7">
        <v>27.3</v>
      </c>
      <c r="G774" s="7">
        <v>22.5</v>
      </c>
      <c r="H774" s="7">
        <v>220.2</v>
      </c>
      <c r="I774" s="7">
        <v>71.8</v>
      </c>
      <c r="J774" s="7">
        <v>39.299999999999997</v>
      </c>
      <c r="K774" s="7">
        <v>186.2</v>
      </c>
      <c r="L774" s="7">
        <v>108.1</v>
      </c>
      <c r="M774" s="7">
        <v>185.3</v>
      </c>
      <c r="N774" s="7">
        <v>266</v>
      </c>
      <c r="O774" s="7">
        <v>84</v>
      </c>
      <c r="P774" s="7">
        <v>126.9</v>
      </c>
      <c r="Q774" s="7">
        <v>7</v>
      </c>
    </row>
    <row r="775" spans="1:17">
      <c r="A775" s="2">
        <v>2723</v>
      </c>
      <c r="B775" s="7">
        <v>113</v>
      </c>
      <c r="C775" s="7">
        <v>20.399999999999999</v>
      </c>
      <c r="D775" s="7">
        <v>47.6</v>
      </c>
      <c r="E775" s="7">
        <v>7.6</v>
      </c>
      <c r="F775" s="7">
        <v>27.3</v>
      </c>
      <c r="G775" s="7">
        <v>22.5</v>
      </c>
      <c r="H775" s="7">
        <v>220.2</v>
      </c>
      <c r="I775" s="7">
        <v>71.8</v>
      </c>
      <c r="J775" s="7">
        <v>39.299999999999997</v>
      </c>
      <c r="K775" s="7">
        <v>186.2</v>
      </c>
      <c r="L775" s="7">
        <v>108.1</v>
      </c>
      <c r="M775" s="7">
        <v>185.3</v>
      </c>
      <c r="N775" s="7">
        <v>266</v>
      </c>
      <c r="O775" s="7">
        <v>84</v>
      </c>
      <c r="P775" s="7">
        <v>126.9</v>
      </c>
      <c r="Q775" s="7">
        <v>7</v>
      </c>
    </row>
    <row r="776" spans="1:17">
      <c r="A776" s="2">
        <v>2724</v>
      </c>
      <c r="B776" s="7">
        <v>113</v>
      </c>
      <c r="C776" s="7">
        <v>20.399999999999999</v>
      </c>
      <c r="D776" s="7">
        <v>47.6</v>
      </c>
      <c r="E776" s="7">
        <v>7.6</v>
      </c>
      <c r="F776" s="7">
        <v>27.3</v>
      </c>
      <c r="G776" s="7">
        <v>22.5</v>
      </c>
      <c r="H776" s="7">
        <v>220.2</v>
      </c>
      <c r="I776" s="7">
        <v>71.8</v>
      </c>
      <c r="J776" s="7">
        <v>39.299999999999997</v>
      </c>
      <c r="K776" s="7">
        <v>186.2</v>
      </c>
      <c r="L776" s="7">
        <v>108.1</v>
      </c>
      <c r="M776" s="7">
        <v>185.3</v>
      </c>
      <c r="N776" s="7">
        <v>266</v>
      </c>
      <c r="O776" s="7">
        <v>84</v>
      </c>
      <c r="P776" s="7">
        <v>126.9</v>
      </c>
      <c r="Q776" s="7">
        <v>7</v>
      </c>
    </row>
    <row r="777" spans="1:17">
      <c r="A777" s="2">
        <v>2725</v>
      </c>
      <c r="B777" s="7">
        <v>113</v>
      </c>
      <c r="C777" s="7">
        <v>20.399999999999999</v>
      </c>
      <c r="D777" s="7">
        <v>47.6</v>
      </c>
      <c r="E777" s="7">
        <v>7.6</v>
      </c>
      <c r="F777" s="7">
        <v>27.3</v>
      </c>
      <c r="G777" s="7">
        <v>22.5</v>
      </c>
      <c r="H777" s="7">
        <v>220.2</v>
      </c>
      <c r="I777" s="7">
        <v>71.8</v>
      </c>
      <c r="J777" s="7">
        <v>39.299999999999997</v>
      </c>
      <c r="K777" s="7">
        <v>186.2</v>
      </c>
      <c r="L777" s="7">
        <v>108.1</v>
      </c>
      <c r="M777" s="7">
        <v>185.3</v>
      </c>
      <c r="N777" s="7">
        <v>266</v>
      </c>
      <c r="O777" s="7">
        <v>84</v>
      </c>
      <c r="P777" s="7">
        <v>126.9</v>
      </c>
      <c r="Q777" s="7">
        <v>7</v>
      </c>
    </row>
    <row r="778" spans="1:17">
      <c r="A778" s="2">
        <v>2726</v>
      </c>
      <c r="B778" s="7">
        <v>113</v>
      </c>
      <c r="C778" s="7">
        <v>20.399999999999999</v>
      </c>
      <c r="D778" s="7">
        <v>47.6</v>
      </c>
      <c r="E778" s="7">
        <v>7.6</v>
      </c>
      <c r="F778" s="7">
        <v>27.3</v>
      </c>
      <c r="G778" s="7">
        <v>22.5</v>
      </c>
      <c r="H778" s="7">
        <v>220.2</v>
      </c>
      <c r="I778" s="7">
        <v>71.8</v>
      </c>
      <c r="J778" s="7">
        <v>39.299999999999997</v>
      </c>
      <c r="K778" s="7">
        <v>186.2</v>
      </c>
      <c r="L778" s="7">
        <v>108.1</v>
      </c>
      <c r="M778" s="7">
        <v>185.3</v>
      </c>
      <c r="N778" s="7">
        <v>266</v>
      </c>
      <c r="O778" s="7">
        <v>84</v>
      </c>
      <c r="P778" s="7">
        <v>126.9</v>
      </c>
      <c r="Q778" s="7">
        <v>7</v>
      </c>
    </row>
    <row r="779" spans="1:17">
      <c r="A779" s="2">
        <v>2727</v>
      </c>
      <c r="B779" s="7">
        <v>113</v>
      </c>
      <c r="C779" s="7">
        <v>20.399999999999999</v>
      </c>
      <c r="D779" s="7">
        <v>47.6</v>
      </c>
      <c r="E779" s="7">
        <v>7.6</v>
      </c>
      <c r="F779" s="7">
        <v>27.3</v>
      </c>
      <c r="G779" s="7">
        <v>22.5</v>
      </c>
      <c r="H779" s="7">
        <v>220.2</v>
      </c>
      <c r="I779" s="7">
        <v>71.8</v>
      </c>
      <c r="J779" s="7">
        <v>39.299999999999997</v>
      </c>
      <c r="K779" s="7">
        <v>186.2</v>
      </c>
      <c r="L779" s="7">
        <v>108.1</v>
      </c>
      <c r="M779" s="7">
        <v>185.3</v>
      </c>
      <c r="N779" s="7">
        <v>266</v>
      </c>
      <c r="O779" s="7">
        <v>84</v>
      </c>
      <c r="P779" s="7">
        <v>126.9</v>
      </c>
      <c r="Q779" s="7">
        <v>7</v>
      </c>
    </row>
    <row r="780" spans="1:17">
      <c r="A780" s="2">
        <v>2728</v>
      </c>
      <c r="B780" s="7">
        <v>113</v>
      </c>
      <c r="C780" s="7">
        <v>20.399999999999999</v>
      </c>
      <c r="D780" s="7">
        <v>47.6</v>
      </c>
      <c r="E780" s="7">
        <v>7.6</v>
      </c>
      <c r="F780" s="7">
        <v>27.3</v>
      </c>
      <c r="G780" s="7">
        <v>22.5</v>
      </c>
      <c r="H780" s="7">
        <v>220.2</v>
      </c>
      <c r="I780" s="7">
        <v>71.8</v>
      </c>
      <c r="J780" s="7">
        <v>39.299999999999997</v>
      </c>
      <c r="K780" s="7">
        <v>186.2</v>
      </c>
      <c r="L780" s="7">
        <v>108.1</v>
      </c>
      <c r="M780" s="7">
        <v>185.3</v>
      </c>
      <c r="N780" s="7">
        <v>266</v>
      </c>
      <c r="O780" s="7">
        <v>84</v>
      </c>
      <c r="P780" s="7">
        <v>126.9</v>
      </c>
      <c r="Q780" s="7">
        <v>7</v>
      </c>
    </row>
    <row r="781" spans="1:17">
      <c r="A781" s="2">
        <v>2729</v>
      </c>
      <c r="B781" s="7">
        <v>113</v>
      </c>
      <c r="C781" s="7">
        <v>20.399999999999999</v>
      </c>
      <c r="D781" s="7">
        <v>47.6</v>
      </c>
      <c r="E781" s="7">
        <v>7.6</v>
      </c>
      <c r="F781" s="7">
        <v>27.3</v>
      </c>
      <c r="G781" s="7">
        <v>22.5</v>
      </c>
      <c r="H781" s="7">
        <v>220.2</v>
      </c>
      <c r="I781" s="7">
        <v>71.8</v>
      </c>
      <c r="J781" s="7">
        <v>39.299999999999997</v>
      </c>
      <c r="K781" s="7">
        <v>186.2</v>
      </c>
      <c r="L781" s="7">
        <v>108.1</v>
      </c>
      <c r="M781" s="7">
        <v>185.3</v>
      </c>
      <c r="N781" s="7">
        <v>266</v>
      </c>
      <c r="O781" s="7">
        <v>84</v>
      </c>
      <c r="P781" s="7">
        <v>126.9</v>
      </c>
      <c r="Q781" s="7">
        <v>7</v>
      </c>
    </row>
    <row r="782" spans="1:17">
      <c r="A782" s="2">
        <v>2730</v>
      </c>
      <c r="B782" s="7">
        <v>113</v>
      </c>
      <c r="C782" s="7">
        <v>20.399999999999999</v>
      </c>
      <c r="D782" s="7">
        <v>47.6</v>
      </c>
      <c r="E782" s="7">
        <v>7.6</v>
      </c>
      <c r="F782" s="7">
        <v>27.3</v>
      </c>
      <c r="G782" s="7">
        <v>22.5</v>
      </c>
      <c r="H782" s="7">
        <v>220.2</v>
      </c>
      <c r="I782" s="7">
        <v>71.8</v>
      </c>
      <c r="J782" s="7">
        <v>39.299999999999997</v>
      </c>
      <c r="K782" s="7">
        <v>186.2</v>
      </c>
      <c r="L782" s="7">
        <v>108.1</v>
      </c>
      <c r="M782" s="7">
        <v>185.3</v>
      </c>
      <c r="N782" s="7">
        <v>266</v>
      </c>
      <c r="O782" s="7">
        <v>84</v>
      </c>
      <c r="P782" s="7">
        <v>126.9</v>
      </c>
      <c r="Q782" s="7">
        <v>7</v>
      </c>
    </row>
    <row r="783" spans="1:17">
      <c r="A783" s="2">
        <v>2731</v>
      </c>
      <c r="B783" s="7">
        <v>113</v>
      </c>
      <c r="C783" s="7">
        <v>20.399999999999999</v>
      </c>
      <c r="D783" s="7">
        <v>47.6</v>
      </c>
      <c r="E783" s="7">
        <v>7.6</v>
      </c>
      <c r="F783" s="7">
        <v>27.3</v>
      </c>
      <c r="G783" s="7">
        <v>22.5</v>
      </c>
      <c r="H783" s="7">
        <v>220.2</v>
      </c>
      <c r="I783" s="7">
        <v>71.8</v>
      </c>
      <c r="J783" s="7">
        <v>39.299999999999997</v>
      </c>
      <c r="K783" s="7">
        <v>186.2</v>
      </c>
      <c r="L783" s="7">
        <v>108.1</v>
      </c>
      <c r="M783" s="7">
        <v>185.3</v>
      </c>
      <c r="N783" s="7">
        <v>266</v>
      </c>
      <c r="O783" s="7">
        <v>84</v>
      </c>
      <c r="P783" s="7">
        <v>126.9</v>
      </c>
      <c r="Q783" s="7">
        <v>7</v>
      </c>
    </row>
    <row r="784" spans="1:17">
      <c r="A784" s="2">
        <v>2732</v>
      </c>
      <c r="B784" s="7">
        <v>113</v>
      </c>
      <c r="C784" s="7">
        <v>20.399999999999999</v>
      </c>
      <c r="D784" s="7">
        <v>47.6</v>
      </c>
      <c r="E784" s="7">
        <v>7.6</v>
      </c>
      <c r="F784" s="7">
        <v>27.3</v>
      </c>
      <c r="G784" s="7">
        <v>22.5</v>
      </c>
      <c r="H784" s="7">
        <v>220.2</v>
      </c>
      <c r="I784" s="7">
        <v>71.8</v>
      </c>
      <c r="J784" s="7">
        <v>39.299999999999997</v>
      </c>
      <c r="K784" s="7">
        <v>186.2</v>
      </c>
      <c r="L784" s="7">
        <v>108.1</v>
      </c>
      <c r="M784" s="7">
        <v>185.3</v>
      </c>
      <c r="N784" s="7">
        <v>266</v>
      </c>
      <c r="O784" s="7">
        <v>84</v>
      </c>
      <c r="P784" s="7">
        <v>126.9</v>
      </c>
      <c r="Q784" s="7">
        <v>7</v>
      </c>
    </row>
    <row r="785" spans="1:17">
      <c r="A785" s="2">
        <v>2733</v>
      </c>
      <c r="B785" s="7">
        <v>113</v>
      </c>
      <c r="C785" s="7">
        <v>20.399999999999999</v>
      </c>
      <c r="D785" s="7">
        <v>47.6</v>
      </c>
      <c r="E785" s="7">
        <v>7.6</v>
      </c>
      <c r="F785" s="7">
        <v>27.3</v>
      </c>
      <c r="G785" s="7">
        <v>22.5</v>
      </c>
      <c r="H785" s="7">
        <v>220.2</v>
      </c>
      <c r="I785" s="7">
        <v>71.8</v>
      </c>
      <c r="J785" s="7">
        <v>39.299999999999997</v>
      </c>
      <c r="K785" s="7">
        <v>186.2</v>
      </c>
      <c r="L785" s="7">
        <v>108.1</v>
      </c>
      <c r="M785" s="7">
        <v>185.3</v>
      </c>
      <c r="N785" s="7">
        <v>266</v>
      </c>
      <c r="O785" s="7">
        <v>84</v>
      </c>
      <c r="P785" s="7">
        <v>126.9</v>
      </c>
      <c r="Q785" s="7">
        <v>7</v>
      </c>
    </row>
    <row r="786" spans="1:17">
      <c r="A786" s="2">
        <v>2734</v>
      </c>
      <c r="B786" s="7">
        <v>113</v>
      </c>
      <c r="C786" s="7">
        <v>20.399999999999999</v>
      </c>
      <c r="D786" s="7">
        <v>47.6</v>
      </c>
      <c r="E786" s="7">
        <v>7.6</v>
      </c>
      <c r="F786" s="7">
        <v>27.3</v>
      </c>
      <c r="G786" s="7">
        <v>22.5</v>
      </c>
      <c r="H786" s="7">
        <v>220.2</v>
      </c>
      <c r="I786" s="7">
        <v>71.8</v>
      </c>
      <c r="J786" s="7">
        <v>39.299999999999997</v>
      </c>
      <c r="K786" s="7">
        <v>186.2</v>
      </c>
      <c r="L786" s="7">
        <v>108.1</v>
      </c>
      <c r="M786" s="7">
        <v>185.3</v>
      </c>
      <c r="N786" s="7">
        <v>266</v>
      </c>
      <c r="O786" s="7">
        <v>84</v>
      </c>
      <c r="P786" s="7">
        <v>126.9</v>
      </c>
      <c r="Q786" s="7">
        <v>7</v>
      </c>
    </row>
    <row r="787" spans="1:17">
      <c r="A787" s="2">
        <v>2735</v>
      </c>
      <c r="B787" s="7">
        <v>113</v>
      </c>
      <c r="C787" s="7">
        <v>20.399999999999999</v>
      </c>
      <c r="D787" s="7">
        <v>47.6</v>
      </c>
      <c r="E787" s="7">
        <v>7.6</v>
      </c>
      <c r="F787" s="7">
        <v>27.3</v>
      </c>
      <c r="G787" s="7">
        <v>22.5</v>
      </c>
      <c r="H787" s="7">
        <v>220.2</v>
      </c>
      <c r="I787" s="7">
        <v>71.8</v>
      </c>
      <c r="J787" s="7">
        <v>39.299999999999997</v>
      </c>
      <c r="K787" s="7">
        <v>186.2</v>
      </c>
      <c r="L787" s="7">
        <v>108.1</v>
      </c>
      <c r="M787" s="7">
        <v>185.3</v>
      </c>
      <c r="N787" s="7">
        <v>266</v>
      </c>
      <c r="O787" s="7">
        <v>84</v>
      </c>
      <c r="P787" s="7">
        <v>126.9</v>
      </c>
      <c r="Q787" s="7">
        <v>7</v>
      </c>
    </row>
    <row r="788" spans="1:17">
      <c r="A788" s="2">
        <v>2736</v>
      </c>
      <c r="B788" s="7">
        <v>113</v>
      </c>
      <c r="C788" s="7">
        <v>20.399999999999999</v>
      </c>
      <c r="D788" s="7">
        <v>47.6</v>
      </c>
      <c r="E788" s="7">
        <v>7.6</v>
      </c>
      <c r="F788" s="7">
        <v>27.3</v>
      </c>
      <c r="G788" s="7">
        <v>22.5</v>
      </c>
      <c r="H788" s="7">
        <v>220.2</v>
      </c>
      <c r="I788" s="7">
        <v>71.8</v>
      </c>
      <c r="J788" s="7">
        <v>39.299999999999997</v>
      </c>
      <c r="K788" s="7">
        <v>186.2</v>
      </c>
      <c r="L788" s="7">
        <v>108.1</v>
      </c>
      <c r="M788" s="7">
        <v>185.3</v>
      </c>
      <c r="N788" s="7">
        <v>266</v>
      </c>
      <c r="O788" s="7">
        <v>84</v>
      </c>
      <c r="P788" s="7">
        <v>126.9</v>
      </c>
      <c r="Q788" s="7">
        <v>7</v>
      </c>
    </row>
    <row r="789" spans="1:17">
      <c r="A789" s="2">
        <v>2737</v>
      </c>
      <c r="B789" s="7">
        <v>113</v>
      </c>
      <c r="C789" s="7">
        <v>20.399999999999999</v>
      </c>
      <c r="D789" s="7">
        <v>47.6</v>
      </c>
      <c r="E789" s="7">
        <v>7.6</v>
      </c>
      <c r="F789" s="7">
        <v>27.3</v>
      </c>
      <c r="G789" s="7">
        <v>22.5</v>
      </c>
      <c r="H789" s="7">
        <v>220.2</v>
      </c>
      <c r="I789" s="7">
        <v>71.8</v>
      </c>
      <c r="J789" s="7">
        <v>39.299999999999997</v>
      </c>
      <c r="K789" s="7">
        <v>186.2</v>
      </c>
      <c r="L789" s="7">
        <v>108.1</v>
      </c>
      <c r="M789" s="7">
        <v>185.3</v>
      </c>
      <c r="N789" s="7">
        <v>266</v>
      </c>
      <c r="O789" s="7">
        <v>84</v>
      </c>
      <c r="P789" s="7">
        <v>126.9</v>
      </c>
      <c r="Q789" s="7">
        <v>7</v>
      </c>
    </row>
    <row r="790" spans="1:17">
      <c r="A790" s="2">
        <v>2738</v>
      </c>
      <c r="B790" s="7">
        <v>113</v>
      </c>
      <c r="C790" s="7">
        <v>20.399999999999999</v>
      </c>
      <c r="D790" s="7">
        <v>47.6</v>
      </c>
      <c r="E790" s="7">
        <v>7.6</v>
      </c>
      <c r="F790" s="7">
        <v>27.3</v>
      </c>
      <c r="G790" s="7">
        <v>22.5</v>
      </c>
      <c r="H790" s="7">
        <v>220.2</v>
      </c>
      <c r="I790" s="7">
        <v>71.8</v>
      </c>
      <c r="J790" s="7">
        <v>39.299999999999997</v>
      </c>
      <c r="K790" s="7">
        <v>186.2</v>
      </c>
      <c r="L790" s="7">
        <v>108.1</v>
      </c>
      <c r="M790" s="7">
        <v>185.3</v>
      </c>
      <c r="N790" s="7">
        <v>266</v>
      </c>
      <c r="O790" s="7">
        <v>84</v>
      </c>
      <c r="P790" s="7">
        <v>126.9</v>
      </c>
      <c r="Q790" s="7">
        <v>7</v>
      </c>
    </row>
    <row r="791" spans="1:17">
      <c r="A791" s="2">
        <v>2739</v>
      </c>
      <c r="B791" s="7">
        <v>113</v>
      </c>
      <c r="C791" s="7">
        <v>20.399999999999999</v>
      </c>
      <c r="D791" s="7">
        <v>47.6</v>
      </c>
      <c r="E791" s="7">
        <v>7.6</v>
      </c>
      <c r="F791" s="7">
        <v>27.3</v>
      </c>
      <c r="G791" s="7">
        <v>22.5</v>
      </c>
      <c r="H791" s="7">
        <v>220.2</v>
      </c>
      <c r="I791" s="7">
        <v>71.8</v>
      </c>
      <c r="J791" s="7">
        <v>39.299999999999997</v>
      </c>
      <c r="K791" s="7">
        <v>186.2</v>
      </c>
      <c r="L791" s="7">
        <v>108.1</v>
      </c>
      <c r="M791" s="7">
        <v>185.3</v>
      </c>
      <c r="N791" s="7">
        <v>266</v>
      </c>
      <c r="O791" s="7">
        <v>84</v>
      </c>
      <c r="P791" s="7">
        <v>126.9</v>
      </c>
      <c r="Q791" s="7">
        <v>7</v>
      </c>
    </row>
    <row r="792" spans="1:17">
      <c r="A792" s="2">
        <v>2740</v>
      </c>
      <c r="B792" s="7">
        <v>113</v>
      </c>
      <c r="C792" s="7">
        <v>20.399999999999999</v>
      </c>
      <c r="D792" s="7">
        <v>47.6</v>
      </c>
      <c r="E792" s="7">
        <v>7.6</v>
      </c>
      <c r="F792" s="7">
        <v>27.3</v>
      </c>
      <c r="G792" s="7">
        <v>22.5</v>
      </c>
      <c r="H792" s="7">
        <v>220.2</v>
      </c>
      <c r="I792" s="7">
        <v>71.8</v>
      </c>
      <c r="J792" s="7">
        <v>39.299999999999997</v>
      </c>
      <c r="K792" s="7">
        <v>186.2</v>
      </c>
      <c r="L792" s="7">
        <v>108.1</v>
      </c>
      <c r="M792" s="7">
        <v>185.3</v>
      </c>
      <c r="N792" s="7">
        <v>266</v>
      </c>
      <c r="O792" s="7">
        <v>84</v>
      </c>
      <c r="P792" s="7">
        <v>126.9</v>
      </c>
      <c r="Q792" s="7">
        <v>7</v>
      </c>
    </row>
    <row r="793" spans="1:17">
      <c r="A793" s="2">
        <v>2741</v>
      </c>
      <c r="B793" s="7">
        <v>113</v>
      </c>
      <c r="C793" s="7">
        <v>20.399999999999999</v>
      </c>
      <c r="D793" s="7">
        <v>47.6</v>
      </c>
      <c r="E793" s="7">
        <v>7.6</v>
      </c>
      <c r="F793" s="7">
        <v>27.3</v>
      </c>
      <c r="G793" s="7">
        <v>22.5</v>
      </c>
      <c r="H793" s="7">
        <v>220.2</v>
      </c>
      <c r="I793" s="7">
        <v>71.8</v>
      </c>
      <c r="J793" s="7">
        <v>39.299999999999997</v>
      </c>
      <c r="K793" s="7">
        <v>186.2</v>
      </c>
      <c r="L793" s="7">
        <v>108.1</v>
      </c>
      <c r="M793" s="7">
        <v>185.3</v>
      </c>
      <c r="N793" s="7">
        <v>266</v>
      </c>
      <c r="O793" s="7">
        <v>84</v>
      </c>
      <c r="P793" s="7">
        <v>126.9</v>
      </c>
      <c r="Q793" s="7">
        <v>7</v>
      </c>
    </row>
    <row r="794" spans="1:17">
      <c r="A794" s="2">
        <v>2742</v>
      </c>
      <c r="B794" s="7">
        <v>113</v>
      </c>
      <c r="C794" s="7">
        <v>20.399999999999999</v>
      </c>
      <c r="D794" s="7">
        <v>47.6</v>
      </c>
      <c r="E794" s="7">
        <v>7.6</v>
      </c>
      <c r="F794" s="7">
        <v>27.3</v>
      </c>
      <c r="G794" s="7">
        <v>22.5</v>
      </c>
      <c r="H794" s="7">
        <v>220.2</v>
      </c>
      <c r="I794" s="7">
        <v>71.8</v>
      </c>
      <c r="J794" s="7">
        <v>39.299999999999997</v>
      </c>
      <c r="K794" s="7">
        <v>186.2</v>
      </c>
      <c r="L794" s="7">
        <v>108.1</v>
      </c>
      <c r="M794" s="7">
        <v>185.3</v>
      </c>
      <c r="N794" s="7">
        <v>266</v>
      </c>
      <c r="O794" s="7">
        <v>84</v>
      </c>
      <c r="P794" s="7">
        <v>126.9</v>
      </c>
      <c r="Q794" s="7">
        <v>7</v>
      </c>
    </row>
    <row r="795" spans="1:17">
      <c r="A795" s="2">
        <v>2743</v>
      </c>
      <c r="B795" s="7">
        <v>113</v>
      </c>
      <c r="C795" s="7">
        <v>20.399999999999999</v>
      </c>
      <c r="D795" s="7">
        <v>47.6</v>
      </c>
      <c r="E795" s="7">
        <v>7.6</v>
      </c>
      <c r="F795" s="7">
        <v>27.3</v>
      </c>
      <c r="G795" s="7">
        <v>22.5</v>
      </c>
      <c r="H795" s="7">
        <v>220.2</v>
      </c>
      <c r="I795" s="7">
        <v>71.8</v>
      </c>
      <c r="J795" s="7">
        <v>39.299999999999997</v>
      </c>
      <c r="K795" s="7">
        <v>186.2</v>
      </c>
      <c r="L795" s="7">
        <v>108.1</v>
      </c>
      <c r="M795" s="7">
        <v>185.3</v>
      </c>
      <c r="N795" s="7">
        <v>266</v>
      </c>
      <c r="O795" s="7">
        <v>84</v>
      </c>
      <c r="P795" s="7">
        <v>126.9</v>
      </c>
      <c r="Q795" s="7">
        <v>7</v>
      </c>
    </row>
    <row r="796" spans="1:17">
      <c r="A796" s="2">
        <v>2744</v>
      </c>
      <c r="B796" s="7">
        <v>113</v>
      </c>
      <c r="C796" s="7">
        <v>20.399999999999999</v>
      </c>
      <c r="D796" s="7">
        <v>47.6</v>
      </c>
      <c r="E796" s="7">
        <v>7.6</v>
      </c>
      <c r="F796" s="7">
        <v>27.3</v>
      </c>
      <c r="G796" s="7">
        <v>22.5</v>
      </c>
      <c r="H796" s="7">
        <v>220.2</v>
      </c>
      <c r="I796" s="7">
        <v>71.8</v>
      </c>
      <c r="J796" s="7">
        <v>39.299999999999997</v>
      </c>
      <c r="K796" s="7">
        <v>186.2</v>
      </c>
      <c r="L796" s="7">
        <v>108.1</v>
      </c>
      <c r="M796" s="7">
        <v>185.3</v>
      </c>
      <c r="N796" s="7">
        <v>266</v>
      </c>
      <c r="O796" s="7">
        <v>84</v>
      </c>
      <c r="P796" s="7">
        <v>126.9</v>
      </c>
      <c r="Q796" s="7">
        <v>7</v>
      </c>
    </row>
    <row r="797" spans="1:17">
      <c r="A797" s="2">
        <v>2745</v>
      </c>
      <c r="B797" s="7">
        <v>113</v>
      </c>
      <c r="C797" s="7">
        <v>20.399999999999999</v>
      </c>
      <c r="D797" s="7">
        <v>47.6</v>
      </c>
      <c r="E797" s="7">
        <v>7.6</v>
      </c>
      <c r="F797" s="7">
        <v>27.3</v>
      </c>
      <c r="G797" s="7">
        <v>22.5</v>
      </c>
      <c r="H797" s="7">
        <v>220.2</v>
      </c>
      <c r="I797" s="7">
        <v>71.8</v>
      </c>
      <c r="J797" s="7">
        <v>39.299999999999997</v>
      </c>
      <c r="K797" s="7">
        <v>186.2</v>
      </c>
      <c r="L797" s="7">
        <v>108.1</v>
      </c>
      <c r="M797" s="7">
        <v>185.3</v>
      </c>
      <c r="N797" s="7">
        <v>266</v>
      </c>
      <c r="O797" s="7">
        <v>84</v>
      </c>
      <c r="P797" s="7">
        <v>126.9</v>
      </c>
      <c r="Q797" s="7">
        <v>7</v>
      </c>
    </row>
    <row r="798" spans="1:17">
      <c r="A798" s="2">
        <v>2746</v>
      </c>
      <c r="B798" s="7">
        <v>113</v>
      </c>
      <c r="C798" s="7">
        <v>20.399999999999999</v>
      </c>
      <c r="D798" s="7">
        <v>47.6</v>
      </c>
      <c r="E798" s="7">
        <v>7.6</v>
      </c>
      <c r="F798" s="7">
        <v>27.3</v>
      </c>
      <c r="G798" s="7">
        <v>22.5</v>
      </c>
      <c r="H798" s="7">
        <v>220.2</v>
      </c>
      <c r="I798" s="7">
        <v>71.8</v>
      </c>
      <c r="J798" s="7">
        <v>39.299999999999997</v>
      </c>
      <c r="K798" s="7">
        <v>186.2</v>
      </c>
      <c r="L798" s="7">
        <v>108.1</v>
      </c>
      <c r="M798" s="7">
        <v>185.3</v>
      </c>
      <c r="N798" s="7">
        <v>266</v>
      </c>
      <c r="O798" s="7">
        <v>84</v>
      </c>
      <c r="P798" s="7">
        <v>126.9</v>
      </c>
      <c r="Q798" s="7">
        <v>7</v>
      </c>
    </row>
    <row r="799" spans="1:17">
      <c r="A799" s="2">
        <v>2747</v>
      </c>
      <c r="B799" s="7">
        <v>113</v>
      </c>
      <c r="C799" s="7">
        <v>20.399999999999999</v>
      </c>
      <c r="D799" s="7">
        <v>47.6</v>
      </c>
      <c r="E799" s="7">
        <v>7.6</v>
      </c>
      <c r="F799" s="7">
        <v>27.3</v>
      </c>
      <c r="G799" s="7">
        <v>22.5</v>
      </c>
      <c r="H799" s="7">
        <v>220.2</v>
      </c>
      <c r="I799" s="7">
        <v>71.8</v>
      </c>
      <c r="J799" s="7">
        <v>39.299999999999997</v>
      </c>
      <c r="K799" s="7">
        <v>186.2</v>
      </c>
      <c r="L799" s="7">
        <v>108.1</v>
      </c>
      <c r="M799" s="7">
        <v>185.3</v>
      </c>
      <c r="N799" s="7">
        <v>266</v>
      </c>
      <c r="O799" s="7">
        <v>84</v>
      </c>
      <c r="P799" s="7">
        <v>126.9</v>
      </c>
      <c r="Q799" s="7">
        <v>7</v>
      </c>
    </row>
    <row r="800" spans="1:17">
      <c r="A800" s="2">
        <v>2748</v>
      </c>
      <c r="B800" s="7">
        <v>113</v>
      </c>
      <c r="C800" s="7">
        <v>20.399999999999999</v>
      </c>
      <c r="D800" s="7">
        <v>47.6</v>
      </c>
      <c r="E800" s="7">
        <v>7.6</v>
      </c>
      <c r="F800" s="7">
        <v>27.3</v>
      </c>
      <c r="G800" s="7">
        <v>22.5</v>
      </c>
      <c r="H800" s="7">
        <v>220.2</v>
      </c>
      <c r="I800" s="7">
        <v>71.8</v>
      </c>
      <c r="J800" s="7">
        <v>39.299999999999997</v>
      </c>
      <c r="K800" s="7">
        <v>186.2</v>
      </c>
      <c r="L800" s="7">
        <v>108.1</v>
      </c>
      <c r="M800" s="7">
        <v>185.3</v>
      </c>
      <c r="N800" s="7">
        <v>266</v>
      </c>
      <c r="O800" s="7">
        <v>84</v>
      </c>
      <c r="P800" s="7">
        <v>126.9</v>
      </c>
      <c r="Q800" s="7">
        <v>7</v>
      </c>
    </row>
    <row r="801" spans="1:17">
      <c r="A801" s="2">
        <v>2749</v>
      </c>
      <c r="B801" s="7">
        <v>113</v>
      </c>
      <c r="C801" s="7">
        <v>20.399999999999999</v>
      </c>
      <c r="D801" s="7">
        <v>47.6</v>
      </c>
      <c r="E801" s="7">
        <v>7.6</v>
      </c>
      <c r="F801" s="7">
        <v>27.3</v>
      </c>
      <c r="G801" s="7">
        <v>22.5</v>
      </c>
      <c r="H801" s="7">
        <v>220.2</v>
      </c>
      <c r="I801" s="7">
        <v>71.8</v>
      </c>
      <c r="J801" s="7">
        <v>39.299999999999997</v>
      </c>
      <c r="K801" s="7">
        <v>186.2</v>
      </c>
      <c r="L801" s="7">
        <v>108.1</v>
      </c>
      <c r="M801" s="7">
        <v>185.3</v>
      </c>
      <c r="N801" s="7">
        <v>266</v>
      </c>
      <c r="O801" s="7">
        <v>84</v>
      </c>
      <c r="P801" s="7">
        <v>126.9</v>
      </c>
      <c r="Q801" s="7">
        <v>7</v>
      </c>
    </row>
    <row r="802" spans="1:17">
      <c r="A802" s="2">
        <v>2750</v>
      </c>
      <c r="B802" s="7">
        <v>113</v>
      </c>
      <c r="C802" s="7">
        <v>20.399999999999999</v>
      </c>
      <c r="D802" s="7">
        <v>47.6</v>
      </c>
      <c r="E802" s="7">
        <v>7.6</v>
      </c>
      <c r="F802" s="7">
        <v>27.3</v>
      </c>
      <c r="G802" s="7">
        <v>22.5</v>
      </c>
      <c r="H802" s="7">
        <v>220.2</v>
      </c>
      <c r="I802" s="7">
        <v>71.8</v>
      </c>
      <c r="J802" s="7">
        <v>39.299999999999997</v>
      </c>
      <c r="K802" s="7">
        <v>186.2</v>
      </c>
      <c r="L802" s="7">
        <v>108.1</v>
      </c>
      <c r="M802" s="7">
        <v>185.3</v>
      </c>
      <c r="N802" s="7">
        <v>266</v>
      </c>
      <c r="O802" s="7">
        <v>84</v>
      </c>
      <c r="P802" s="7">
        <v>126.9</v>
      </c>
      <c r="Q802" s="7">
        <v>7</v>
      </c>
    </row>
    <row r="803" spans="1:17">
      <c r="A803" s="2">
        <v>2751</v>
      </c>
      <c r="B803" s="7">
        <v>113</v>
      </c>
      <c r="C803" s="7">
        <v>20.399999999999999</v>
      </c>
      <c r="D803" s="7">
        <v>47.6</v>
      </c>
      <c r="E803" s="7">
        <v>7.6</v>
      </c>
      <c r="F803" s="7">
        <v>27.3</v>
      </c>
      <c r="G803" s="7">
        <v>22.5</v>
      </c>
      <c r="H803" s="7">
        <v>220.2</v>
      </c>
      <c r="I803" s="7">
        <v>71.8</v>
      </c>
      <c r="J803" s="7">
        <v>39.299999999999997</v>
      </c>
      <c r="K803" s="7">
        <v>186.2</v>
      </c>
      <c r="L803" s="7">
        <v>108.1</v>
      </c>
      <c r="M803" s="7">
        <v>185.3</v>
      </c>
      <c r="N803" s="7">
        <v>266</v>
      </c>
      <c r="O803" s="7">
        <v>84</v>
      </c>
      <c r="P803" s="7">
        <v>126.9</v>
      </c>
      <c r="Q803" s="7">
        <v>7</v>
      </c>
    </row>
    <row r="804" spans="1:17">
      <c r="A804" s="2">
        <v>2752</v>
      </c>
      <c r="B804" s="7">
        <v>113</v>
      </c>
      <c r="C804" s="7">
        <v>20.399999999999999</v>
      </c>
      <c r="D804" s="7">
        <v>47.6</v>
      </c>
      <c r="E804" s="7">
        <v>7.6</v>
      </c>
      <c r="F804" s="7">
        <v>27.3</v>
      </c>
      <c r="G804" s="7">
        <v>22.5</v>
      </c>
      <c r="H804" s="7">
        <v>220.2</v>
      </c>
      <c r="I804" s="7">
        <v>71.8</v>
      </c>
      <c r="J804" s="7">
        <v>39.299999999999997</v>
      </c>
      <c r="K804" s="7">
        <v>186.2</v>
      </c>
      <c r="L804" s="7">
        <v>108.1</v>
      </c>
      <c r="M804" s="7">
        <v>185.3</v>
      </c>
      <c r="N804" s="7">
        <v>266</v>
      </c>
      <c r="O804" s="7">
        <v>84</v>
      </c>
      <c r="P804" s="7">
        <v>126.9</v>
      </c>
      <c r="Q804" s="7">
        <v>7</v>
      </c>
    </row>
    <row r="805" spans="1:17">
      <c r="A805" s="2">
        <v>2753</v>
      </c>
      <c r="B805" s="7">
        <v>113</v>
      </c>
      <c r="C805" s="7">
        <v>20.399999999999999</v>
      </c>
      <c r="D805" s="7">
        <v>47.6</v>
      </c>
      <c r="E805" s="7">
        <v>7.6</v>
      </c>
      <c r="F805" s="7">
        <v>27.3</v>
      </c>
      <c r="G805" s="7">
        <v>22.5</v>
      </c>
      <c r="H805" s="7">
        <v>220.2</v>
      </c>
      <c r="I805" s="7">
        <v>71.8</v>
      </c>
      <c r="J805" s="7">
        <v>39.299999999999997</v>
      </c>
      <c r="K805" s="7">
        <v>186.2</v>
      </c>
      <c r="L805" s="7">
        <v>108.1</v>
      </c>
      <c r="M805" s="7">
        <v>185.3</v>
      </c>
      <c r="N805" s="7">
        <v>266</v>
      </c>
      <c r="O805" s="7">
        <v>84</v>
      </c>
      <c r="P805" s="7">
        <v>126.9</v>
      </c>
      <c r="Q805" s="7">
        <v>7</v>
      </c>
    </row>
    <row r="806" spans="1:17">
      <c r="A806" s="2">
        <v>2754</v>
      </c>
      <c r="B806" s="7">
        <v>113</v>
      </c>
      <c r="C806" s="7">
        <v>20.399999999999999</v>
      </c>
      <c r="D806" s="7">
        <v>47.6</v>
      </c>
      <c r="E806" s="7">
        <v>7.6</v>
      </c>
      <c r="F806" s="7">
        <v>27.3</v>
      </c>
      <c r="G806" s="7">
        <v>22.5</v>
      </c>
      <c r="H806" s="7">
        <v>220.2</v>
      </c>
      <c r="I806" s="7">
        <v>71.8</v>
      </c>
      <c r="J806" s="7">
        <v>39.299999999999997</v>
      </c>
      <c r="K806" s="7">
        <v>186.2</v>
      </c>
      <c r="L806" s="7">
        <v>108.1</v>
      </c>
      <c r="M806" s="7">
        <v>185.3</v>
      </c>
      <c r="N806" s="7">
        <v>266</v>
      </c>
      <c r="O806" s="7">
        <v>84</v>
      </c>
      <c r="P806" s="7">
        <v>126.9</v>
      </c>
      <c r="Q806" s="7">
        <v>7</v>
      </c>
    </row>
    <row r="807" spans="1:17">
      <c r="A807" s="2">
        <v>2755</v>
      </c>
      <c r="B807" s="7">
        <v>113</v>
      </c>
      <c r="C807" s="7">
        <v>20.399999999999999</v>
      </c>
      <c r="D807" s="7">
        <v>47.6</v>
      </c>
      <c r="E807" s="7">
        <v>7.6</v>
      </c>
      <c r="F807" s="7">
        <v>27.3</v>
      </c>
      <c r="G807" s="7">
        <v>22.5</v>
      </c>
      <c r="H807" s="7">
        <v>220.2</v>
      </c>
      <c r="I807" s="7">
        <v>71.8</v>
      </c>
      <c r="J807" s="7">
        <v>39.299999999999997</v>
      </c>
      <c r="K807" s="7">
        <v>186.2</v>
      </c>
      <c r="L807" s="7">
        <v>108.1</v>
      </c>
      <c r="M807" s="7">
        <v>185.3</v>
      </c>
      <c r="N807" s="7">
        <v>266</v>
      </c>
      <c r="O807" s="7">
        <v>84</v>
      </c>
      <c r="P807" s="7">
        <v>126.9</v>
      </c>
      <c r="Q807" s="7">
        <v>7</v>
      </c>
    </row>
    <row r="808" spans="1:17">
      <c r="A808" s="2">
        <v>2756</v>
      </c>
      <c r="B808" s="7">
        <v>113</v>
      </c>
      <c r="C808" s="7">
        <v>20.399999999999999</v>
      </c>
      <c r="D808" s="7">
        <v>47.6</v>
      </c>
      <c r="E808" s="7">
        <v>7.6</v>
      </c>
      <c r="F808" s="7">
        <v>27.3</v>
      </c>
      <c r="G808" s="7">
        <v>22.5</v>
      </c>
      <c r="H808" s="7">
        <v>220.2</v>
      </c>
      <c r="I808" s="7">
        <v>71.8</v>
      </c>
      <c r="J808" s="7">
        <v>39.299999999999997</v>
      </c>
      <c r="K808" s="7">
        <v>186.2</v>
      </c>
      <c r="L808" s="7">
        <v>108.1</v>
      </c>
      <c r="M808" s="7">
        <v>185.3</v>
      </c>
      <c r="N808" s="7">
        <v>266</v>
      </c>
      <c r="O808" s="7">
        <v>84</v>
      </c>
      <c r="P808" s="7">
        <v>126.9</v>
      </c>
      <c r="Q808" s="7">
        <v>7</v>
      </c>
    </row>
    <row r="809" spans="1:17">
      <c r="A809" s="2">
        <v>2757</v>
      </c>
      <c r="B809" s="7">
        <v>113</v>
      </c>
      <c r="C809" s="7">
        <v>20.399999999999999</v>
      </c>
      <c r="D809" s="7">
        <v>47.6</v>
      </c>
      <c r="E809" s="7">
        <v>7.6</v>
      </c>
      <c r="F809" s="7">
        <v>27.3</v>
      </c>
      <c r="G809" s="7">
        <v>22.5</v>
      </c>
      <c r="H809" s="7">
        <v>220.2</v>
      </c>
      <c r="I809" s="7">
        <v>71.8</v>
      </c>
      <c r="J809" s="7">
        <v>39.299999999999997</v>
      </c>
      <c r="K809" s="7">
        <v>186.2</v>
      </c>
      <c r="L809" s="7">
        <v>108.1</v>
      </c>
      <c r="M809" s="7">
        <v>185.3</v>
      </c>
      <c r="N809" s="7">
        <v>266</v>
      </c>
      <c r="O809" s="7">
        <v>84</v>
      </c>
      <c r="P809" s="7">
        <v>126.9</v>
      </c>
      <c r="Q809" s="7">
        <v>7</v>
      </c>
    </row>
    <row r="810" spans="1:17">
      <c r="A810" s="2">
        <v>2758</v>
      </c>
      <c r="B810" s="7">
        <v>113</v>
      </c>
      <c r="C810" s="7">
        <v>20.399999999999999</v>
      </c>
      <c r="D810" s="7">
        <v>47.6</v>
      </c>
      <c r="E810" s="7">
        <v>7.6</v>
      </c>
      <c r="F810" s="7">
        <v>27.3</v>
      </c>
      <c r="G810" s="7">
        <v>22.5</v>
      </c>
      <c r="H810" s="7">
        <v>220.2</v>
      </c>
      <c r="I810" s="7">
        <v>71.8</v>
      </c>
      <c r="J810" s="7">
        <v>39.299999999999997</v>
      </c>
      <c r="K810" s="7">
        <v>186.2</v>
      </c>
      <c r="L810" s="7">
        <v>108.1</v>
      </c>
      <c r="M810" s="7">
        <v>185.3</v>
      </c>
      <c r="N810" s="7">
        <v>266</v>
      </c>
      <c r="O810" s="7">
        <v>84</v>
      </c>
      <c r="P810" s="7">
        <v>126.9</v>
      </c>
      <c r="Q810" s="7">
        <v>7</v>
      </c>
    </row>
    <row r="811" spans="1:17">
      <c r="A811" s="2">
        <v>2759</v>
      </c>
      <c r="B811" s="7">
        <v>113</v>
      </c>
      <c r="C811" s="7">
        <v>20.399999999999999</v>
      </c>
      <c r="D811" s="7">
        <v>47.6</v>
      </c>
      <c r="E811" s="7">
        <v>7.6</v>
      </c>
      <c r="F811" s="7">
        <v>27.3</v>
      </c>
      <c r="G811" s="7">
        <v>22.5</v>
      </c>
      <c r="H811" s="7">
        <v>220.2</v>
      </c>
      <c r="I811" s="7">
        <v>71.8</v>
      </c>
      <c r="J811" s="7">
        <v>39.299999999999997</v>
      </c>
      <c r="K811" s="7">
        <v>186.2</v>
      </c>
      <c r="L811" s="7">
        <v>108.1</v>
      </c>
      <c r="M811" s="7">
        <v>185.3</v>
      </c>
      <c r="N811" s="7">
        <v>266</v>
      </c>
      <c r="O811" s="7">
        <v>84</v>
      </c>
      <c r="P811" s="7">
        <v>126.9</v>
      </c>
      <c r="Q811" s="7">
        <v>7</v>
      </c>
    </row>
    <row r="812" spans="1:17">
      <c r="A812" s="2">
        <v>2760</v>
      </c>
      <c r="B812" s="7">
        <v>113</v>
      </c>
      <c r="C812" s="7">
        <v>20.399999999999999</v>
      </c>
      <c r="D812" s="7">
        <v>47.6</v>
      </c>
      <c r="E812" s="7">
        <v>7.6</v>
      </c>
      <c r="F812" s="7">
        <v>27.3</v>
      </c>
      <c r="G812" s="7">
        <v>22.5</v>
      </c>
      <c r="H812" s="7">
        <v>220.2</v>
      </c>
      <c r="I812" s="7">
        <v>71.8</v>
      </c>
      <c r="J812" s="7">
        <v>39.299999999999997</v>
      </c>
      <c r="K812" s="7">
        <v>186.2</v>
      </c>
      <c r="L812" s="7">
        <v>108.1</v>
      </c>
      <c r="M812" s="7">
        <v>185.3</v>
      </c>
      <c r="N812" s="7">
        <v>266</v>
      </c>
      <c r="O812" s="7">
        <v>84</v>
      </c>
      <c r="P812" s="7">
        <v>126.9</v>
      </c>
      <c r="Q812" s="7">
        <v>7</v>
      </c>
    </row>
    <row r="813" spans="1:17">
      <c r="A813" s="2">
        <v>2761</v>
      </c>
      <c r="B813" s="7">
        <v>113</v>
      </c>
      <c r="C813" s="7">
        <v>20.399999999999999</v>
      </c>
      <c r="D813" s="7">
        <v>47.6</v>
      </c>
      <c r="E813" s="7">
        <v>7.6</v>
      </c>
      <c r="F813" s="7">
        <v>27.3</v>
      </c>
      <c r="G813" s="7">
        <v>22.5</v>
      </c>
      <c r="H813" s="7">
        <v>220.2</v>
      </c>
      <c r="I813" s="7">
        <v>71.8</v>
      </c>
      <c r="J813" s="7">
        <v>39.299999999999997</v>
      </c>
      <c r="K813" s="7">
        <v>186.2</v>
      </c>
      <c r="L813" s="7">
        <v>108.1</v>
      </c>
      <c r="M813" s="7">
        <v>185.3</v>
      </c>
      <c r="N813" s="7">
        <v>266</v>
      </c>
      <c r="O813" s="7">
        <v>84</v>
      </c>
      <c r="P813" s="7">
        <v>126.9</v>
      </c>
      <c r="Q813" s="7">
        <v>7</v>
      </c>
    </row>
    <row r="814" spans="1:17">
      <c r="A814" s="2">
        <v>2762</v>
      </c>
      <c r="B814" s="7">
        <v>113</v>
      </c>
      <c r="C814" s="7">
        <v>20.399999999999999</v>
      </c>
      <c r="D814" s="7">
        <v>47.6</v>
      </c>
      <c r="E814" s="7">
        <v>7.6</v>
      </c>
      <c r="F814" s="7">
        <v>27.3</v>
      </c>
      <c r="G814" s="7">
        <v>22.5</v>
      </c>
      <c r="H814" s="7">
        <v>220.2</v>
      </c>
      <c r="I814" s="7">
        <v>71.8</v>
      </c>
      <c r="J814" s="7">
        <v>39.299999999999997</v>
      </c>
      <c r="K814" s="7">
        <v>186.2</v>
      </c>
      <c r="L814" s="7">
        <v>108.1</v>
      </c>
      <c r="M814" s="7">
        <v>185.3</v>
      </c>
      <c r="N814" s="7">
        <v>266</v>
      </c>
      <c r="O814" s="7">
        <v>84</v>
      </c>
      <c r="P814" s="7">
        <v>126.9</v>
      </c>
      <c r="Q814" s="7">
        <v>7</v>
      </c>
    </row>
    <row r="815" spans="1:17">
      <c r="A815" s="2">
        <v>2763</v>
      </c>
      <c r="B815" s="7">
        <v>113</v>
      </c>
      <c r="C815" s="7">
        <v>20.399999999999999</v>
      </c>
      <c r="D815" s="7">
        <v>47.6</v>
      </c>
      <c r="E815" s="7">
        <v>7.6</v>
      </c>
      <c r="F815" s="7">
        <v>27.3</v>
      </c>
      <c r="G815" s="7">
        <v>22.5</v>
      </c>
      <c r="H815" s="7">
        <v>220.2</v>
      </c>
      <c r="I815" s="7">
        <v>71.8</v>
      </c>
      <c r="J815" s="7">
        <v>39.299999999999997</v>
      </c>
      <c r="K815" s="7">
        <v>186.2</v>
      </c>
      <c r="L815" s="7">
        <v>108.1</v>
      </c>
      <c r="M815" s="7">
        <v>185.3</v>
      </c>
      <c r="N815" s="7">
        <v>266</v>
      </c>
      <c r="O815" s="7">
        <v>84</v>
      </c>
      <c r="P815" s="7">
        <v>126.9</v>
      </c>
      <c r="Q815" s="7">
        <v>7</v>
      </c>
    </row>
    <row r="816" spans="1:17">
      <c r="A816" s="2">
        <v>2764</v>
      </c>
      <c r="B816" s="7">
        <v>113</v>
      </c>
      <c r="C816" s="7">
        <v>20.399999999999999</v>
      </c>
      <c r="D816" s="7">
        <v>47.6</v>
      </c>
      <c r="E816" s="7">
        <v>7.6</v>
      </c>
      <c r="F816" s="7">
        <v>27.3</v>
      </c>
      <c r="G816" s="7">
        <v>22.5</v>
      </c>
      <c r="H816" s="7">
        <v>220.2</v>
      </c>
      <c r="I816" s="7">
        <v>71.8</v>
      </c>
      <c r="J816" s="7">
        <v>39.299999999999997</v>
      </c>
      <c r="K816" s="7">
        <v>186.2</v>
      </c>
      <c r="L816" s="7">
        <v>108.1</v>
      </c>
      <c r="M816" s="7">
        <v>185.3</v>
      </c>
      <c r="N816" s="7">
        <v>266</v>
      </c>
      <c r="O816" s="7">
        <v>84</v>
      </c>
      <c r="P816" s="7">
        <v>126.9</v>
      </c>
      <c r="Q816" s="7">
        <v>7</v>
      </c>
    </row>
    <row r="817" spans="1:17">
      <c r="A817" s="2">
        <v>2765</v>
      </c>
      <c r="B817" s="7">
        <v>113</v>
      </c>
      <c r="C817" s="7">
        <v>20.399999999999999</v>
      </c>
      <c r="D817" s="7">
        <v>47.6</v>
      </c>
      <c r="E817" s="7">
        <v>7.6</v>
      </c>
      <c r="F817" s="7">
        <v>27.3</v>
      </c>
      <c r="G817" s="7">
        <v>22.5</v>
      </c>
      <c r="H817" s="7">
        <v>220.2</v>
      </c>
      <c r="I817" s="7">
        <v>71.8</v>
      </c>
      <c r="J817" s="7">
        <v>39.299999999999997</v>
      </c>
      <c r="K817" s="7">
        <v>186.2</v>
      </c>
      <c r="L817" s="7">
        <v>108.1</v>
      </c>
      <c r="M817" s="7">
        <v>185.3</v>
      </c>
      <c r="N817" s="7">
        <v>266</v>
      </c>
      <c r="O817" s="7">
        <v>84</v>
      </c>
      <c r="P817" s="7">
        <v>126.9</v>
      </c>
      <c r="Q817" s="7">
        <v>7</v>
      </c>
    </row>
    <row r="818" spans="1:17">
      <c r="A818" s="2">
        <v>2766</v>
      </c>
      <c r="B818" s="7">
        <v>113</v>
      </c>
      <c r="C818" s="7">
        <v>20.399999999999999</v>
      </c>
      <c r="D818" s="7">
        <v>47.6</v>
      </c>
      <c r="E818" s="7">
        <v>7.6</v>
      </c>
      <c r="F818" s="7">
        <v>27.3</v>
      </c>
      <c r="G818" s="7">
        <v>22.5</v>
      </c>
      <c r="H818" s="7">
        <v>220.2</v>
      </c>
      <c r="I818" s="7">
        <v>71.8</v>
      </c>
      <c r="J818" s="7">
        <v>39.299999999999997</v>
      </c>
      <c r="K818" s="7">
        <v>186.2</v>
      </c>
      <c r="L818" s="7">
        <v>108.1</v>
      </c>
      <c r="M818" s="7">
        <v>185.3</v>
      </c>
      <c r="N818" s="7">
        <v>266</v>
      </c>
      <c r="O818" s="7">
        <v>84</v>
      </c>
      <c r="P818" s="7">
        <v>126.9</v>
      </c>
      <c r="Q818" s="7">
        <v>7</v>
      </c>
    </row>
    <row r="819" spans="1:17">
      <c r="A819" s="2">
        <v>2767</v>
      </c>
      <c r="B819" s="7">
        <v>113</v>
      </c>
      <c r="C819" s="7">
        <v>20.399999999999999</v>
      </c>
      <c r="D819" s="7">
        <v>47.6</v>
      </c>
      <c r="E819" s="7">
        <v>7.6</v>
      </c>
      <c r="F819" s="7">
        <v>27.3</v>
      </c>
      <c r="G819" s="7">
        <v>22.5</v>
      </c>
      <c r="H819" s="7">
        <v>220.2</v>
      </c>
      <c r="I819" s="7">
        <v>71.8</v>
      </c>
      <c r="J819" s="7">
        <v>39.299999999999997</v>
      </c>
      <c r="K819" s="7">
        <v>186.2</v>
      </c>
      <c r="L819" s="7">
        <v>108.1</v>
      </c>
      <c r="M819" s="7">
        <v>185.3</v>
      </c>
      <c r="N819" s="7">
        <v>266</v>
      </c>
      <c r="O819" s="7">
        <v>84</v>
      </c>
      <c r="P819" s="7">
        <v>126.9</v>
      </c>
      <c r="Q819" s="7">
        <v>7</v>
      </c>
    </row>
    <row r="820" spans="1:17">
      <c r="A820" s="2">
        <v>2768</v>
      </c>
      <c r="B820" s="7">
        <v>113</v>
      </c>
      <c r="C820" s="7">
        <v>20.399999999999999</v>
      </c>
      <c r="D820" s="7">
        <v>47.6</v>
      </c>
      <c r="E820" s="7">
        <v>7.6</v>
      </c>
      <c r="F820" s="7">
        <v>27.3</v>
      </c>
      <c r="G820" s="7">
        <v>22.5</v>
      </c>
      <c r="H820" s="7">
        <v>220.2</v>
      </c>
      <c r="I820" s="7">
        <v>71.8</v>
      </c>
      <c r="J820" s="7">
        <v>39.299999999999997</v>
      </c>
      <c r="K820" s="7">
        <v>186.2</v>
      </c>
      <c r="L820" s="7">
        <v>108.1</v>
      </c>
      <c r="M820" s="7">
        <v>185.3</v>
      </c>
      <c r="N820" s="7">
        <v>266</v>
      </c>
      <c r="O820" s="7">
        <v>84</v>
      </c>
      <c r="P820" s="7">
        <v>126.9</v>
      </c>
      <c r="Q820" s="7">
        <v>7</v>
      </c>
    </row>
    <row r="821" spans="1:17">
      <c r="A821" s="2">
        <v>2769</v>
      </c>
      <c r="B821" s="7">
        <v>113</v>
      </c>
      <c r="C821" s="7">
        <v>20.399999999999999</v>
      </c>
      <c r="D821" s="7">
        <v>47.6</v>
      </c>
      <c r="E821" s="7">
        <v>7.6</v>
      </c>
      <c r="F821" s="7">
        <v>27.3</v>
      </c>
      <c r="G821" s="7">
        <v>22.5</v>
      </c>
      <c r="H821" s="7">
        <v>220.2</v>
      </c>
      <c r="I821" s="7">
        <v>71.8</v>
      </c>
      <c r="J821" s="7">
        <v>39.299999999999997</v>
      </c>
      <c r="K821" s="7">
        <v>186.2</v>
      </c>
      <c r="L821" s="7">
        <v>108.1</v>
      </c>
      <c r="M821" s="7">
        <v>185.3</v>
      </c>
      <c r="N821" s="7">
        <v>266</v>
      </c>
      <c r="O821" s="7">
        <v>84</v>
      </c>
      <c r="P821" s="7">
        <v>126.9</v>
      </c>
      <c r="Q821" s="7">
        <v>7</v>
      </c>
    </row>
    <row r="822" spans="1:17">
      <c r="A822" s="2">
        <v>2770</v>
      </c>
      <c r="B822" s="7">
        <v>113</v>
      </c>
      <c r="C822" s="7">
        <v>20.399999999999999</v>
      </c>
      <c r="D822" s="7">
        <v>47.6</v>
      </c>
      <c r="E822" s="7">
        <v>7.6</v>
      </c>
      <c r="F822" s="7">
        <v>27.3</v>
      </c>
      <c r="G822" s="7">
        <v>22.5</v>
      </c>
      <c r="H822" s="7">
        <v>220.2</v>
      </c>
      <c r="I822" s="7">
        <v>71.8</v>
      </c>
      <c r="J822" s="7">
        <v>39.299999999999997</v>
      </c>
      <c r="K822" s="7">
        <v>186.2</v>
      </c>
      <c r="L822" s="7">
        <v>108.1</v>
      </c>
      <c r="M822" s="7">
        <v>185.3</v>
      </c>
      <c r="N822" s="7">
        <v>266</v>
      </c>
      <c r="O822" s="7">
        <v>84</v>
      </c>
      <c r="P822" s="7">
        <v>126.9</v>
      </c>
      <c r="Q822" s="7">
        <v>7</v>
      </c>
    </row>
    <row r="823" spans="1:17">
      <c r="A823" s="2">
        <v>2771</v>
      </c>
      <c r="B823" s="7">
        <v>113</v>
      </c>
      <c r="C823" s="7">
        <v>20.399999999999999</v>
      </c>
      <c r="D823" s="7">
        <v>47.6</v>
      </c>
      <c r="E823" s="7">
        <v>7.6</v>
      </c>
      <c r="F823" s="7">
        <v>27.3</v>
      </c>
      <c r="G823" s="7">
        <v>22.5</v>
      </c>
      <c r="H823" s="7">
        <v>220.2</v>
      </c>
      <c r="I823" s="7">
        <v>71.8</v>
      </c>
      <c r="J823" s="7">
        <v>39.299999999999997</v>
      </c>
      <c r="K823" s="7">
        <v>186.2</v>
      </c>
      <c r="L823" s="7">
        <v>108.1</v>
      </c>
      <c r="M823" s="7">
        <v>185.3</v>
      </c>
      <c r="N823" s="7">
        <v>266</v>
      </c>
      <c r="O823" s="7">
        <v>84</v>
      </c>
      <c r="P823" s="7">
        <v>126.9</v>
      </c>
      <c r="Q823" s="7">
        <v>7</v>
      </c>
    </row>
    <row r="824" spans="1:17">
      <c r="A824" s="2">
        <v>2772</v>
      </c>
      <c r="B824" s="7">
        <v>113</v>
      </c>
      <c r="C824" s="7">
        <v>20.399999999999999</v>
      </c>
      <c r="D824" s="7">
        <v>47.6</v>
      </c>
      <c r="E824" s="7">
        <v>7.6</v>
      </c>
      <c r="F824" s="7">
        <v>27.3</v>
      </c>
      <c r="G824" s="7">
        <v>22.5</v>
      </c>
      <c r="H824" s="7">
        <v>220.2</v>
      </c>
      <c r="I824" s="7">
        <v>71.8</v>
      </c>
      <c r="J824" s="7">
        <v>39.299999999999997</v>
      </c>
      <c r="K824" s="7">
        <v>186.2</v>
      </c>
      <c r="L824" s="7">
        <v>108.1</v>
      </c>
      <c r="M824" s="7">
        <v>185.3</v>
      </c>
      <c r="N824" s="7">
        <v>266</v>
      </c>
      <c r="O824" s="7">
        <v>84</v>
      </c>
      <c r="P824" s="7">
        <v>126.9</v>
      </c>
      <c r="Q824" s="7">
        <v>7</v>
      </c>
    </row>
    <row r="825" spans="1:17">
      <c r="A825" s="2">
        <v>2773</v>
      </c>
      <c r="B825" s="7">
        <v>113</v>
      </c>
      <c r="C825" s="7">
        <v>20.399999999999999</v>
      </c>
      <c r="D825" s="7">
        <v>47.6</v>
      </c>
      <c r="E825" s="7">
        <v>7.6</v>
      </c>
      <c r="F825" s="7">
        <v>27.3</v>
      </c>
      <c r="G825" s="7">
        <v>22.5</v>
      </c>
      <c r="H825" s="7">
        <v>220.2</v>
      </c>
      <c r="I825" s="7">
        <v>71.8</v>
      </c>
      <c r="J825" s="7">
        <v>39.299999999999997</v>
      </c>
      <c r="K825" s="7">
        <v>186.2</v>
      </c>
      <c r="L825" s="7">
        <v>108.1</v>
      </c>
      <c r="M825" s="7">
        <v>185.3</v>
      </c>
      <c r="N825" s="7">
        <v>266</v>
      </c>
      <c r="O825" s="7">
        <v>84</v>
      </c>
      <c r="P825" s="7">
        <v>126.9</v>
      </c>
      <c r="Q825" s="7">
        <v>7</v>
      </c>
    </row>
    <row r="826" spans="1:17">
      <c r="A826" s="2">
        <v>2774</v>
      </c>
      <c r="B826" s="7">
        <v>113</v>
      </c>
      <c r="C826" s="7">
        <v>20.399999999999999</v>
      </c>
      <c r="D826" s="7">
        <v>47.6</v>
      </c>
      <c r="E826" s="7">
        <v>7.6</v>
      </c>
      <c r="F826" s="7">
        <v>27.3</v>
      </c>
      <c r="G826" s="7">
        <v>22.5</v>
      </c>
      <c r="H826" s="7">
        <v>220.2</v>
      </c>
      <c r="I826" s="7">
        <v>71.8</v>
      </c>
      <c r="J826" s="7">
        <v>39.299999999999997</v>
      </c>
      <c r="K826" s="7">
        <v>186.2</v>
      </c>
      <c r="L826" s="7">
        <v>108.1</v>
      </c>
      <c r="M826" s="7">
        <v>185.3</v>
      </c>
      <c r="N826" s="7">
        <v>266</v>
      </c>
      <c r="O826" s="7">
        <v>84</v>
      </c>
      <c r="P826" s="7">
        <v>126.9</v>
      </c>
      <c r="Q826" s="7">
        <v>7</v>
      </c>
    </row>
    <row r="827" spans="1:17">
      <c r="A827" s="2">
        <v>2775</v>
      </c>
      <c r="B827" s="7">
        <v>113</v>
      </c>
      <c r="C827" s="7">
        <v>20.399999999999999</v>
      </c>
      <c r="D827" s="7">
        <v>47.6</v>
      </c>
      <c r="E827" s="7">
        <v>7.6</v>
      </c>
      <c r="F827" s="7">
        <v>27.3</v>
      </c>
      <c r="G827" s="7">
        <v>22.5</v>
      </c>
      <c r="H827" s="7">
        <v>220.2</v>
      </c>
      <c r="I827" s="7">
        <v>71.8</v>
      </c>
      <c r="J827" s="7">
        <v>39.299999999999997</v>
      </c>
      <c r="K827" s="7">
        <v>186.2</v>
      </c>
      <c r="L827" s="7">
        <v>108.1</v>
      </c>
      <c r="M827" s="7">
        <v>185.3</v>
      </c>
      <c r="N827" s="7">
        <v>266</v>
      </c>
      <c r="O827" s="7">
        <v>84</v>
      </c>
      <c r="P827" s="7">
        <v>126.9</v>
      </c>
      <c r="Q827" s="7">
        <v>7</v>
      </c>
    </row>
    <row r="828" spans="1:17">
      <c r="A828" s="2">
        <v>2776</v>
      </c>
      <c r="B828" s="7">
        <v>113</v>
      </c>
      <c r="C828" s="7">
        <v>20.399999999999999</v>
      </c>
      <c r="D828" s="7">
        <v>47.6</v>
      </c>
      <c r="E828" s="7">
        <v>7.6</v>
      </c>
      <c r="F828" s="7">
        <v>27.3</v>
      </c>
      <c r="G828" s="7">
        <v>22.5</v>
      </c>
      <c r="H828" s="7">
        <v>220.2</v>
      </c>
      <c r="I828" s="7">
        <v>71.8</v>
      </c>
      <c r="J828" s="7">
        <v>39.299999999999997</v>
      </c>
      <c r="K828" s="7">
        <v>186.2</v>
      </c>
      <c r="L828" s="7">
        <v>108.1</v>
      </c>
      <c r="M828" s="7">
        <v>185.3</v>
      </c>
      <c r="N828" s="7">
        <v>266</v>
      </c>
      <c r="O828" s="7">
        <v>84</v>
      </c>
      <c r="P828" s="7">
        <v>126.9</v>
      </c>
      <c r="Q828" s="7">
        <v>7</v>
      </c>
    </row>
    <row r="829" spans="1:17">
      <c r="A829" s="2">
        <v>2777</v>
      </c>
      <c r="B829" s="7">
        <v>113</v>
      </c>
      <c r="C829" s="7">
        <v>20.399999999999999</v>
      </c>
      <c r="D829" s="7">
        <v>47.6</v>
      </c>
      <c r="E829" s="7">
        <v>7.6</v>
      </c>
      <c r="F829" s="7">
        <v>27.3</v>
      </c>
      <c r="G829" s="7">
        <v>22.5</v>
      </c>
      <c r="H829" s="7">
        <v>220.2</v>
      </c>
      <c r="I829" s="7">
        <v>71.8</v>
      </c>
      <c r="J829" s="7">
        <v>39.299999999999997</v>
      </c>
      <c r="K829" s="7">
        <v>186.2</v>
      </c>
      <c r="L829" s="7">
        <v>108.1</v>
      </c>
      <c r="M829" s="7">
        <v>185.3</v>
      </c>
      <c r="N829" s="7">
        <v>266</v>
      </c>
      <c r="O829" s="7">
        <v>84</v>
      </c>
      <c r="P829" s="7">
        <v>126.9</v>
      </c>
      <c r="Q829" s="7">
        <v>7</v>
      </c>
    </row>
    <row r="830" spans="1:17">
      <c r="A830" s="2">
        <v>2778</v>
      </c>
      <c r="B830" s="7">
        <v>113</v>
      </c>
      <c r="C830" s="7">
        <v>20.399999999999999</v>
      </c>
      <c r="D830" s="7">
        <v>47.6</v>
      </c>
      <c r="E830" s="7">
        <v>7.6</v>
      </c>
      <c r="F830" s="7">
        <v>27.3</v>
      </c>
      <c r="G830" s="7">
        <v>22.5</v>
      </c>
      <c r="H830" s="7">
        <v>220.2</v>
      </c>
      <c r="I830" s="7">
        <v>71.8</v>
      </c>
      <c r="J830" s="7">
        <v>39.299999999999997</v>
      </c>
      <c r="K830" s="7">
        <v>186.2</v>
      </c>
      <c r="L830" s="7">
        <v>108.1</v>
      </c>
      <c r="M830" s="7">
        <v>185.3</v>
      </c>
      <c r="N830" s="7">
        <v>266</v>
      </c>
      <c r="O830" s="7">
        <v>84</v>
      </c>
      <c r="P830" s="7">
        <v>126.9</v>
      </c>
      <c r="Q830" s="7">
        <v>7</v>
      </c>
    </row>
    <row r="831" spans="1:17">
      <c r="A831" s="2">
        <v>2779</v>
      </c>
      <c r="B831" s="7">
        <v>113</v>
      </c>
      <c r="C831" s="7">
        <v>20.399999999999999</v>
      </c>
      <c r="D831" s="7">
        <v>47.6</v>
      </c>
      <c r="E831" s="7">
        <v>7.6</v>
      </c>
      <c r="F831" s="7">
        <v>27.3</v>
      </c>
      <c r="G831" s="7">
        <v>22.5</v>
      </c>
      <c r="H831" s="7">
        <v>220.2</v>
      </c>
      <c r="I831" s="7">
        <v>71.8</v>
      </c>
      <c r="J831" s="7">
        <v>39.299999999999997</v>
      </c>
      <c r="K831" s="7">
        <v>186.2</v>
      </c>
      <c r="L831" s="7">
        <v>108.1</v>
      </c>
      <c r="M831" s="7">
        <v>185.3</v>
      </c>
      <c r="N831" s="7">
        <v>266</v>
      </c>
      <c r="O831" s="7">
        <v>84</v>
      </c>
      <c r="P831" s="7">
        <v>126.9</v>
      </c>
      <c r="Q831" s="7">
        <v>7</v>
      </c>
    </row>
    <row r="832" spans="1:17">
      <c r="A832" s="2">
        <v>2780</v>
      </c>
      <c r="B832" s="7">
        <v>113</v>
      </c>
      <c r="C832" s="7">
        <v>20.399999999999999</v>
      </c>
      <c r="D832" s="7">
        <v>47.6</v>
      </c>
      <c r="E832" s="7">
        <v>7.6</v>
      </c>
      <c r="F832" s="7">
        <v>27.3</v>
      </c>
      <c r="G832" s="7">
        <v>22.5</v>
      </c>
      <c r="H832" s="7">
        <v>220.2</v>
      </c>
      <c r="I832" s="7">
        <v>71.8</v>
      </c>
      <c r="J832" s="7">
        <v>39.299999999999997</v>
      </c>
      <c r="K832" s="7">
        <v>186.2</v>
      </c>
      <c r="L832" s="7">
        <v>108.1</v>
      </c>
      <c r="M832" s="7">
        <v>185.3</v>
      </c>
      <c r="N832" s="7">
        <v>266</v>
      </c>
      <c r="O832" s="7">
        <v>84</v>
      </c>
      <c r="P832" s="7">
        <v>126.9</v>
      </c>
      <c r="Q832" s="7">
        <v>7</v>
      </c>
    </row>
    <row r="833" spans="1:17">
      <c r="A833" s="2">
        <v>2781</v>
      </c>
      <c r="B833" s="7">
        <v>113</v>
      </c>
      <c r="C833" s="7">
        <v>20.399999999999999</v>
      </c>
      <c r="D833" s="7">
        <v>47.6</v>
      </c>
      <c r="E833" s="7">
        <v>7.6</v>
      </c>
      <c r="F833" s="7">
        <v>27.3</v>
      </c>
      <c r="G833" s="7">
        <v>22.5</v>
      </c>
      <c r="H833" s="7">
        <v>220.2</v>
      </c>
      <c r="I833" s="7">
        <v>71.8</v>
      </c>
      <c r="J833" s="7">
        <v>39.299999999999997</v>
      </c>
      <c r="K833" s="7">
        <v>186.2</v>
      </c>
      <c r="L833" s="7">
        <v>108.1</v>
      </c>
      <c r="M833" s="7">
        <v>185.3</v>
      </c>
      <c r="N833" s="7">
        <v>266</v>
      </c>
      <c r="O833" s="7">
        <v>84</v>
      </c>
      <c r="P833" s="7">
        <v>126.9</v>
      </c>
      <c r="Q833" s="7">
        <v>7</v>
      </c>
    </row>
    <row r="834" spans="1:17">
      <c r="A834" s="2">
        <v>2782</v>
      </c>
      <c r="B834" s="7">
        <v>113</v>
      </c>
      <c r="C834" s="7">
        <v>20.399999999999999</v>
      </c>
      <c r="D834" s="7">
        <v>47.6</v>
      </c>
      <c r="E834" s="7">
        <v>7.6</v>
      </c>
      <c r="F834" s="7">
        <v>27.3</v>
      </c>
      <c r="G834" s="7">
        <v>22.5</v>
      </c>
      <c r="H834" s="7">
        <v>220.2</v>
      </c>
      <c r="I834" s="7">
        <v>71.8</v>
      </c>
      <c r="J834" s="7">
        <v>39.299999999999997</v>
      </c>
      <c r="K834" s="7">
        <v>186.2</v>
      </c>
      <c r="L834" s="7">
        <v>108.1</v>
      </c>
      <c r="M834" s="7">
        <v>185.3</v>
      </c>
      <c r="N834" s="7">
        <v>266</v>
      </c>
      <c r="O834" s="7">
        <v>84</v>
      </c>
      <c r="P834" s="7">
        <v>126.9</v>
      </c>
      <c r="Q834" s="7">
        <v>7</v>
      </c>
    </row>
    <row r="835" spans="1:17">
      <c r="A835" s="2">
        <v>2783</v>
      </c>
      <c r="B835" s="7">
        <v>113</v>
      </c>
      <c r="C835" s="7">
        <v>20.399999999999999</v>
      </c>
      <c r="D835" s="7">
        <v>47.6</v>
      </c>
      <c r="E835" s="7">
        <v>7.6</v>
      </c>
      <c r="F835" s="7">
        <v>27.3</v>
      </c>
      <c r="G835" s="7">
        <v>22.5</v>
      </c>
      <c r="H835" s="7">
        <v>220.2</v>
      </c>
      <c r="I835" s="7">
        <v>71.8</v>
      </c>
      <c r="J835" s="7">
        <v>39.299999999999997</v>
      </c>
      <c r="K835" s="7">
        <v>186.2</v>
      </c>
      <c r="L835" s="7">
        <v>108.1</v>
      </c>
      <c r="M835" s="7">
        <v>185.3</v>
      </c>
      <c r="N835" s="7">
        <v>266</v>
      </c>
      <c r="O835" s="7">
        <v>84</v>
      </c>
      <c r="P835" s="7">
        <v>126.9</v>
      </c>
      <c r="Q835" s="7">
        <v>7</v>
      </c>
    </row>
    <row r="836" spans="1:17">
      <c r="A836" s="2">
        <v>2784</v>
      </c>
      <c r="B836" s="7">
        <v>113</v>
      </c>
      <c r="C836" s="7">
        <v>20.399999999999999</v>
      </c>
      <c r="D836" s="7">
        <v>47.6</v>
      </c>
      <c r="E836" s="7">
        <v>7.6</v>
      </c>
      <c r="F836" s="7">
        <v>27.3</v>
      </c>
      <c r="G836" s="7">
        <v>22.5</v>
      </c>
      <c r="H836" s="7">
        <v>220.2</v>
      </c>
      <c r="I836" s="7">
        <v>71.8</v>
      </c>
      <c r="J836" s="7">
        <v>39.299999999999997</v>
      </c>
      <c r="K836" s="7">
        <v>186.2</v>
      </c>
      <c r="L836" s="7">
        <v>108.1</v>
      </c>
      <c r="M836" s="7">
        <v>185.3</v>
      </c>
      <c r="N836" s="7">
        <v>266</v>
      </c>
      <c r="O836" s="7">
        <v>84</v>
      </c>
      <c r="P836" s="7">
        <v>126.9</v>
      </c>
      <c r="Q836" s="7">
        <v>7</v>
      </c>
    </row>
    <row r="837" spans="1:17">
      <c r="A837" s="2">
        <v>2785</v>
      </c>
      <c r="B837" s="7">
        <v>113</v>
      </c>
      <c r="C837" s="7">
        <v>20.399999999999999</v>
      </c>
      <c r="D837" s="7">
        <v>47.6</v>
      </c>
      <c r="E837" s="7">
        <v>7.6</v>
      </c>
      <c r="F837" s="7">
        <v>27.3</v>
      </c>
      <c r="G837" s="7">
        <v>22.5</v>
      </c>
      <c r="H837" s="7">
        <v>220.2</v>
      </c>
      <c r="I837" s="7">
        <v>71.8</v>
      </c>
      <c r="J837" s="7">
        <v>39.299999999999997</v>
      </c>
      <c r="K837" s="7">
        <v>186.2</v>
      </c>
      <c r="L837" s="7">
        <v>108.1</v>
      </c>
      <c r="M837" s="7">
        <v>185.3</v>
      </c>
      <c r="N837" s="7">
        <v>266</v>
      </c>
      <c r="O837" s="7">
        <v>84</v>
      </c>
      <c r="P837" s="7">
        <v>126.9</v>
      </c>
      <c r="Q837" s="7">
        <v>7</v>
      </c>
    </row>
    <row r="838" spans="1:17">
      <c r="A838" s="2">
        <v>2786</v>
      </c>
      <c r="B838" s="7">
        <v>113</v>
      </c>
      <c r="C838" s="7">
        <v>20.399999999999999</v>
      </c>
      <c r="D838" s="7">
        <v>47.6</v>
      </c>
      <c r="E838" s="7">
        <v>7.6</v>
      </c>
      <c r="F838" s="7">
        <v>27.3</v>
      </c>
      <c r="G838" s="7">
        <v>22.5</v>
      </c>
      <c r="H838" s="7">
        <v>220.2</v>
      </c>
      <c r="I838" s="7">
        <v>71.8</v>
      </c>
      <c r="J838" s="7">
        <v>39.299999999999997</v>
      </c>
      <c r="K838" s="7">
        <v>186.2</v>
      </c>
      <c r="L838" s="7">
        <v>108.1</v>
      </c>
      <c r="M838" s="7">
        <v>185.3</v>
      </c>
      <c r="N838" s="7">
        <v>266</v>
      </c>
      <c r="O838" s="7">
        <v>84</v>
      </c>
      <c r="P838" s="7">
        <v>126.9</v>
      </c>
      <c r="Q838" s="7">
        <v>7</v>
      </c>
    </row>
    <row r="839" spans="1:17">
      <c r="A839" s="2">
        <v>2787</v>
      </c>
      <c r="B839" s="7">
        <v>113</v>
      </c>
      <c r="C839" s="7">
        <v>20.399999999999999</v>
      </c>
      <c r="D839" s="7">
        <v>47.6</v>
      </c>
      <c r="E839" s="7">
        <v>7.6</v>
      </c>
      <c r="F839" s="7">
        <v>27.3</v>
      </c>
      <c r="G839" s="7">
        <v>22.5</v>
      </c>
      <c r="H839" s="7">
        <v>220.2</v>
      </c>
      <c r="I839" s="7">
        <v>71.8</v>
      </c>
      <c r="J839" s="7">
        <v>39.299999999999997</v>
      </c>
      <c r="K839" s="7">
        <v>186.2</v>
      </c>
      <c r="L839" s="7">
        <v>108.1</v>
      </c>
      <c r="M839" s="7">
        <v>185.3</v>
      </c>
      <c r="N839" s="7">
        <v>266</v>
      </c>
      <c r="O839" s="7">
        <v>84</v>
      </c>
      <c r="P839" s="7">
        <v>126.9</v>
      </c>
      <c r="Q839" s="7">
        <v>7</v>
      </c>
    </row>
    <row r="840" spans="1:17">
      <c r="A840" s="2">
        <v>2788</v>
      </c>
      <c r="B840" s="7">
        <v>113</v>
      </c>
      <c r="C840" s="7">
        <v>20.399999999999999</v>
      </c>
      <c r="D840" s="7">
        <v>47.6</v>
      </c>
      <c r="E840" s="7">
        <v>7.6</v>
      </c>
      <c r="F840" s="7">
        <v>27.3</v>
      </c>
      <c r="G840" s="7">
        <v>22.5</v>
      </c>
      <c r="H840" s="7">
        <v>220.2</v>
      </c>
      <c r="I840" s="7">
        <v>71.8</v>
      </c>
      <c r="J840" s="7">
        <v>39.299999999999997</v>
      </c>
      <c r="K840" s="7">
        <v>186.2</v>
      </c>
      <c r="L840" s="7">
        <v>108.1</v>
      </c>
      <c r="M840" s="7">
        <v>185.3</v>
      </c>
      <c r="N840" s="7">
        <v>266</v>
      </c>
      <c r="O840" s="7">
        <v>84</v>
      </c>
      <c r="P840" s="7">
        <v>126.9</v>
      </c>
      <c r="Q840" s="7">
        <v>7</v>
      </c>
    </row>
    <row r="841" spans="1:17">
      <c r="A841" s="2">
        <v>2789</v>
      </c>
      <c r="B841" s="7">
        <v>113</v>
      </c>
      <c r="C841" s="7">
        <v>20.399999999999999</v>
      </c>
      <c r="D841" s="7">
        <v>47.6</v>
      </c>
      <c r="E841" s="7">
        <v>7.6</v>
      </c>
      <c r="F841" s="7">
        <v>27.3</v>
      </c>
      <c r="G841" s="7">
        <v>22.5</v>
      </c>
      <c r="H841" s="7">
        <v>220.2</v>
      </c>
      <c r="I841" s="7">
        <v>71.8</v>
      </c>
      <c r="J841" s="7">
        <v>39.299999999999997</v>
      </c>
      <c r="K841" s="7">
        <v>186.2</v>
      </c>
      <c r="L841" s="7">
        <v>108.1</v>
      </c>
      <c r="M841" s="7">
        <v>185.3</v>
      </c>
      <c r="N841" s="7">
        <v>266</v>
      </c>
      <c r="O841" s="7">
        <v>84</v>
      </c>
      <c r="P841" s="7">
        <v>126.9</v>
      </c>
      <c r="Q841" s="7">
        <v>7</v>
      </c>
    </row>
    <row r="842" spans="1:17">
      <c r="A842" s="2">
        <v>2790</v>
      </c>
      <c r="B842" s="7">
        <v>113</v>
      </c>
      <c r="C842" s="7">
        <v>20.399999999999999</v>
      </c>
      <c r="D842" s="7">
        <v>47.6</v>
      </c>
      <c r="E842" s="7">
        <v>7.6</v>
      </c>
      <c r="F842" s="7">
        <v>27.3</v>
      </c>
      <c r="G842" s="7">
        <v>22.5</v>
      </c>
      <c r="H842" s="7">
        <v>220.2</v>
      </c>
      <c r="I842" s="7">
        <v>71.8</v>
      </c>
      <c r="J842" s="7">
        <v>39.299999999999997</v>
      </c>
      <c r="K842" s="7">
        <v>186.2</v>
      </c>
      <c r="L842" s="7">
        <v>108.1</v>
      </c>
      <c r="M842" s="7">
        <v>185.3</v>
      </c>
      <c r="N842" s="7">
        <v>266</v>
      </c>
      <c r="O842" s="7">
        <v>84</v>
      </c>
      <c r="P842" s="7">
        <v>126.9</v>
      </c>
      <c r="Q842" s="7">
        <v>7</v>
      </c>
    </row>
    <row r="843" spans="1:17">
      <c r="A843" s="2">
        <v>2791</v>
      </c>
      <c r="B843" s="7">
        <v>113</v>
      </c>
      <c r="C843" s="7">
        <v>20.399999999999999</v>
      </c>
      <c r="D843" s="7">
        <v>47.6</v>
      </c>
      <c r="E843" s="7">
        <v>7.6</v>
      </c>
      <c r="F843" s="7">
        <v>27.3</v>
      </c>
      <c r="G843" s="7">
        <v>22.5</v>
      </c>
      <c r="H843" s="7">
        <v>220.2</v>
      </c>
      <c r="I843" s="7">
        <v>71.8</v>
      </c>
      <c r="J843" s="7">
        <v>39.299999999999997</v>
      </c>
      <c r="K843" s="7">
        <v>186.2</v>
      </c>
      <c r="L843" s="7">
        <v>108.1</v>
      </c>
      <c r="M843" s="7">
        <v>185.3</v>
      </c>
      <c r="N843" s="7">
        <v>266</v>
      </c>
      <c r="O843" s="7">
        <v>84</v>
      </c>
      <c r="P843" s="7">
        <v>126.9</v>
      </c>
      <c r="Q843" s="7">
        <v>7</v>
      </c>
    </row>
    <row r="844" spans="1:17">
      <c r="A844" s="2">
        <v>2792</v>
      </c>
      <c r="B844" s="7">
        <v>113</v>
      </c>
      <c r="C844" s="7">
        <v>20.399999999999999</v>
      </c>
      <c r="D844" s="7">
        <v>47.6</v>
      </c>
      <c r="E844" s="7">
        <v>7.6</v>
      </c>
      <c r="F844" s="7">
        <v>27.3</v>
      </c>
      <c r="G844" s="7">
        <v>22.5</v>
      </c>
      <c r="H844" s="7">
        <v>220.2</v>
      </c>
      <c r="I844" s="7">
        <v>71.8</v>
      </c>
      <c r="J844" s="7">
        <v>39.299999999999997</v>
      </c>
      <c r="K844" s="7">
        <v>186.2</v>
      </c>
      <c r="L844" s="7">
        <v>108.1</v>
      </c>
      <c r="M844" s="7">
        <v>185.3</v>
      </c>
      <c r="N844" s="7">
        <v>266</v>
      </c>
      <c r="O844" s="7">
        <v>84</v>
      </c>
      <c r="P844" s="7">
        <v>126.9</v>
      </c>
      <c r="Q844" s="7">
        <v>7</v>
      </c>
    </row>
    <row r="845" spans="1:17">
      <c r="A845" s="2">
        <v>2793</v>
      </c>
      <c r="B845" s="7">
        <v>113</v>
      </c>
      <c r="C845" s="7">
        <v>20.399999999999999</v>
      </c>
      <c r="D845" s="7">
        <v>47.6</v>
      </c>
      <c r="E845" s="7">
        <v>7.6</v>
      </c>
      <c r="F845" s="7">
        <v>27.3</v>
      </c>
      <c r="G845" s="7">
        <v>22.5</v>
      </c>
      <c r="H845" s="7">
        <v>220.2</v>
      </c>
      <c r="I845" s="7">
        <v>71.8</v>
      </c>
      <c r="J845" s="7">
        <v>39.299999999999997</v>
      </c>
      <c r="K845" s="7">
        <v>186.2</v>
      </c>
      <c r="L845" s="7">
        <v>108.1</v>
      </c>
      <c r="M845" s="7">
        <v>185.3</v>
      </c>
      <c r="N845" s="7">
        <v>266</v>
      </c>
      <c r="O845" s="7">
        <v>84</v>
      </c>
      <c r="P845" s="7">
        <v>126.9</v>
      </c>
      <c r="Q845" s="7">
        <v>7</v>
      </c>
    </row>
    <row r="846" spans="1:17">
      <c r="A846" s="2">
        <v>2794</v>
      </c>
      <c r="B846" s="7">
        <v>113</v>
      </c>
      <c r="C846" s="7">
        <v>20.399999999999999</v>
      </c>
      <c r="D846" s="7">
        <v>47.6</v>
      </c>
      <c r="E846" s="7">
        <v>7.6</v>
      </c>
      <c r="F846" s="7">
        <v>27.3</v>
      </c>
      <c r="G846" s="7">
        <v>22.5</v>
      </c>
      <c r="H846" s="7">
        <v>220.2</v>
      </c>
      <c r="I846" s="7">
        <v>71.8</v>
      </c>
      <c r="J846" s="7">
        <v>39.299999999999997</v>
      </c>
      <c r="K846" s="7">
        <v>186.2</v>
      </c>
      <c r="L846" s="7">
        <v>108.1</v>
      </c>
      <c r="M846" s="7">
        <v>185.3</v>
      </c>
      <c r="N846" s="7">
        <v>266</v>
      </c>
      <c r="O846" s="7">
        <v>84</v>
      </c>
      <c r="P846" s="7">
        <v>126.9</v>
      </c>
      <c r="Q846" s="7">
        <v>7</v>
      </c>
    </row>
    <row r="847" spans="1:17">
      <c r="A847" s="2">
        <v>2795</v>
      </c>
      <c r="B847" s="7">
        <v>113</v>
      </c>
      <c r="C847" s="7">
        <v>20.399999999999999</v>
      </c>
      <c r="D847" s="7">
        <v>47.6</v>
      </c>
      <c r="E847" s="7">
        <v>7.6</v>
      </c>
      <c r="F847" s="7">
        <v>27.3</v>
      </c>
      <c r="G847" s="7">
        <v>22.5</v>
      </c>
      <c r="H847" s="7">
        <v>220.2</v>
      </c>
      <c r="I847" s="7">
        <v>71.8</v>
      </c>
      <c r="J847" s="7">
        <v>39.299999999999997</v>
      </c>
      <c r="K847" s="7">
        <v>186.2</v>
      </c>
      <c r="L847" s="7">
        <v>108.1</v>
      </c>
      <c r="M847" s="7">
        <v>185.3</v>
      </c>
      <c r="N847" s="7">
        <v>266</v>
      </c>
      <c r="O847" s="7">
        <v>84</v>
      </c>
      <c r="P847" s="7">
        <v>126.9</v>
      </c>
      <c r="Q847" s="7">
        <v>7</v>
      </c>
    </row>
    <row r="848" spans="1:17">
      <c r="A848" s="2">
        <v>2796</v>
      </c>
      <c r="B848" s="7">
        <v>113</v>
      </c>
      <c r="C848" s="7">
        <v>20.399999999999999</v>
      </c>
      <c r="D848" s="7">
        <v>47.6</v>
      </c>
      <c r="E848" s="7">
        <v>7.6</v>
      </c>
      <c r="F848" s="7">
        <v>27.3</v>
      </c>
      <c r="G848" s="7">
        <v>22.5</v>
      </c>
      <c r="H848" s="7">
        <v>220.2</v>
      </c>
      <c r="I848" s="7">
        <v>71.8</v>
      </c>
      <c r="J848" s="7">
        <v>39.299999999999997</v>
      </c>
      <c r="K848" s="7">
        <v>186.2</v>
      </c>
      <c r="L848" s="7">
        <v>108.1</v>
      </c>
      <c r="M848" s="7">
        <v>185.3</v>
      </c>
      <c r="N848" s="7">
        <v>266</v>
      </c>
      <c r="O848" s="7">
        <v>84</v>
      </c>
      <c r="P848" s="7">
        <v>126.9</v>
      </c>
      <c r="Q848" s="7">
        <v>7</v>
      </c>
    </row>
    <row r="849" spans="1:17">
      <c r="A849" s="2">
        <v>2797</v>
      </c>
      <c r="B849" s="7">
        <v>113</v>
      </c>
      <c r="C849" s="7">
        <v>20.399999999999999</v>
      </c>
      <c r="D849" s="7">
        <v>47.6</v>
      </c>
      <c r="E849" s="7">
        <v>7.6</v>
      </c>
      <c r="F849" s="7">
        <v>27.3</v>
      </c>
      <c r="G849" s="7">
        <v>22.5</v>
      </c>
      <c r="H849" s="7">
        <v>220.2</v>
      </c>
      <c r="I849" s="7">
        <v>71.8</v>
      </c>
      <c r="J849" s="7">
        <v>39.299999999999997</v>
      </c>
      <c r="K849" s="7">
        <v>186.2</v>
      </c>
      <c r="L849" s="7">
        <v>108.1</v>
      </c>
      <c r="M849" s="7">
        <v>185.3</v>
      </c>
      <c r="N849" s="7">
        <v>266</v>
      </c>
      <c r="O849" s="7">
        <v>84</v>
      </c>
      <c r="P849" s="7">
        <v>126.9</v>
      </c>
      <c r="Q849" s="7">
        <v>7</v>
      </c>
    </row>
    <row r="850" spans="1:17">
      <c r="A850" s="2">
        <v>2798</v>
      </c>
      <c r="B850" s="7">
        <v>113</v>
      </c>
      <c r="C850" s="7">
        <v>20.399999999999999</v>
      </c>
      <c r="D850" s="7">
        <v>47.6</v>
      </c>
      <c r="E850" s="7">
        <v>7.6</v>
      </c>
      <c r="F850" s="7">
        <v>27.3</v>
      </c>
      <c r="G850" s="7">
        <v>22.5</v>
      </c>
      <c r="H850" s="7">
        <v>220.2</v>
      </c>
      <c r="I850" s="7">
        <v>71.8</v>
      </c>
      <c r="J850" s="7">
        <v>39.299999999999997</v>
      </c>
      <c r="K850" s="7">
        <v>186.2</v>
      </c>
      <c r="L850" s="7">
        <v>108.1</v>
      </c>
      <c r="M850" s="7">
        <v>185.3</v>
      </c>
      <c r="N850" s="7">
        <v>266</v>
      </c>
      <c r="O850" s="7">
        <v>84</v>
      </c>
      <c r="P850" s="7">
        <v>126.9</v>
      </c>
      <c r="Q850" s="7">
        <v>7</v>
      </c>
    </row>
    <row r="851" spans="1:17">
      <c r="A851" s="2">
        <v>2799</v>
      </c>
      <c r="B851" s="7">
        <v>113</v>
      </c>
      <c r="C851" s="7">
        <v>20.399999999999999</v>
      </c>
      <c r="D851" s="7">
        <v>47.6</v>
      </c>
      <c r="E851" s="7">
        <v>7.6</v>
      </c>
      <c r="F851" s="7">
        <v>27.3</v>
      </c>
      <c r="G851" s="7">
        <v>22.5</v>
      </c>
      <c r="H851" s="7">
        <v>220.2</v>
      </c>
      <c r="I851" s="7">
        <v>71.8</v>
      </c>
      <c r="J851" s="7">
        <v>39.299999999999997</v>
      </c>
      <c r="K851" s="7">
        <v>186.2</v>
      </c>
      <c r="L851" s="7">
        <v>108.1</v>
      </c>
      <c r="M851" s="7">
        <v>185.3</v>
      </c>
      <c r="N851" s="7">
        <v>266</v>
      </c>
      <c r="O851" s="7">
        <v>84</v>
      </c>
      <c r="P851" s="7">
        <v>126.9</v>
      </c>
      <c r="Q851" s="7">
        <v>7</v>
      </c>
    </row>
    <row r="852" spans="1:17">
      <c r="A852" s="2">
        <v>2800</v>
      </c>
      <c r="B852" s="7">
        <v>113</v>
      </c>
      <c r="C852" s="7">
        <v>20.399999999999999</v>
      </c>
      <c r="D852" s="7">
        <v>47.6</v>
      </c>
      <c r="E852" s="7">
        <v>7.6</v>
      </c>
      <c r="F852" s="7">
        <v>27.3</v>
      </c>
      <c r="G852" s="7">
        <v>22.5</v>
      </c>
      <c r="H852" s="7">
        <v>220.2</v>
      </c>
      <c r="I852" s="7">
        <v>71.8</v>
      </c>
      <c r="J852" s="7">
        <v>39.299999999999997</v>
      </c>
      <c r="K852" s="7">
        <v>186.2</v>
      </c>
      <c r="L852" s="7">
        <v>108.1</v>
      </c>
      <c r="M852" s="7">
        <v>185.3</v>
      </c>
      <c r="N852" s="7">
        <v>266</v>
      </c>
      <c r="O852" s="7">
        <v>84</v>
      </c>
      <c r="P852" s="7">
        <v>126.9</v>
      </c>
      <c r="Q852" s="7">
        <v>7</v>
      </c>
    </row>
    <row r="853" spans="1:17">
      <c r="A853" s="2">
        <v>2801</v>
      </c>
      <c r="B853" s="7">
        <v>113</v>
      </c>
      <c r="C853" s="7">
        <v>20.399999999999999</v>
      </c>
      <c r="D853" s="7">
        <v>47.6</v>
      </c>
      <c r="E853" s="7">
        <v>7.6</v>
      </c>
      <c r="F853" s="7">
        <v>27.3</v>
      </c>
      <c r="G853" s="7">
        <v>22.5</v>
      </c>
      <c r="H853" s="7">
        <v>220.2</v>
      </c>
      <c r="I853" s="7">
        <v>71.8</v>
      </c>
      <c r="J853" s="7">
        <v>39.299999999999997</v>
      </c>
      <c r="K853" s="7">
        <v>186.2</v>
      </c>
      <c r="L853" s="7">
        <v>108.1</v>
      </c>
      <c r="M853" s="7">
        <v>185.3</v>
      </c>
      <c r="N853" s="7">
        <v>266</v>
      </c>
      <c r="O853" s="7">
        <v>84</v>
      </c>
      <c r="P853" s="7">
        <v>126.9</v>
      </c>
      <c r="Q853" s="7">
        <v>7</v>
      </c>
    </row>
    <row r="854" spans="1:17">
      <c r="A854" s="2">
        <v>2802</v>
      </c>
      <c r="B854" s="7">
        <v>113</v>
      </c>
      <c r="C854" s="7">
        <v>20.399999999999999</v>
      </c>
      <c r="D854" s="7">
        <v>47.6</v>
      </c>
      <c r="E854" s="7">
        <v>7.6</v>
      </c>
      <c r="F854" s="7">
        <v>27.3</v>
      </c>
      <c r="G854" s="7">
        <v>22.5</v>
      </c>
      <c r="H854" s="7">
        <v>220.2</v>
      </c>
      <c r="I854" s="7">
        <v>71.8</v>
      </c>
      <c r="J854" s="7">
        <v>39.299999999999997</v>
      </c>
      <c r="K854" s="7">
        <v>186.2</v>
      </c>
      <c r="L854" s="7">
        <v>108.1</v>
      </c>
      <c r="M854" s="7">
        <v>185.3</v>
      </c>
      <c r="N854" s="7">
        <v>266</v>
      </c>
      <c r="O854" s="7">
        <v>84</v>
      </c>
      <c r="P854" s="7">
        <v>126.9</v>
      </c>
      <c r="Q854" s="7">
        <v>7</v>
      </c>
    </row>
    <row r="855" spans="1:17">
      <c r="A855" s="2">
        <v>2803</v>
      </c>
      <c r="B855" s="7">
        <v>113</v>
      </c>
      <c r="C855" s="7">
        <v>20.399999999999999</v>
      </c>
      <c r="D855" s="7">
        <v>47.6</v>
      </c>
      <c r="E855" s="7">
        <v>7.6</v>
      </c>
      <c r="F855" s="7">
        <v>27.3</v>
      </c>
      <c r="G855" s="7">
        <v>22.5</v>
      </c>
      <c r="H855" s="7">
        <v>220.2</v>
      </c>
      <c r="I855" s="7">
        <v>71.8</v>
      </c>
      <c r="J855" s="7">
        <v>39.299999999999997</v>
      </c>
      <c r="K855" s="7">
        <v>186.2</v>
      </c>
      <c r="L855" s="7">
        <v>108.1</v>
      </c>
      <c r="M855" s="7">
        <v>185.3</v>
      </c>
      <c r="N855" s="7">
        <v>266</v>
      </c>
      <c r="O855" s="7">
        <v>84</v>
      </c>
      <c r="P855" s="7">
        <v>126.9</v>
      </c>
      <c r="Q855" s="7">
        <v>7</v>
      </c>
    </row>
    <row r="856" spans="1:17">
      <c r="A856" s="2">
        <v>2804</v>
      </c>
      <c r="B856" s="7">
        <v>113</v>
      </c>
      <c r="C856" s="7">
        <v>20.399999999999999</v>
      </c>
      <c r="D856" s="7">
        <v>47.6</v>
      </c>
      <c r="E856" s="7">
        <v>7.6</v>
      </c>
      <c r="F856" s="7">
        <v>27.3</v>
      </c>
      <c r="G856" s="7">
        <v>22.5</v>
      </c>
      <c r="H856" s="7">
        <v>220.2</v>
      </c>
      <c r="I856" s="7">
        <v>71.8</v>
      </c>
      <c r="J856" s="7">
        <v>39.299999999999997</v>
      </c>
      <c r="K856" s="7">
        <v>186.2</v>
      </c>
      <c r="L856" s="7">
        <v>108.1</v>
      </c>
      <c r="M856" s="7">
        <v>185.3</v>
      </c>
      <c r="N856" s="7">
        <v>266</v>
      </c>
      <c r="O856" s="7">
        <v>84</v>
      </c>
      <c r="P856" s="7">
        <v>126.9</v>
      </c>
      <c r="Q856" s="7">
        <v>7</v>
      </c>
    </row>
    <row r="857" spans="1:17">
      <c r="A857" s="2">
        <v>2805</v>
      </c>
      <c r="B857" s="7">
        <v>113</v>
      </c>
      <c r="C857" s="7">
        <v>20.399999999999999</v>
      </c>
      <c r="D857" s="7">
        <v>47.6</v>
      </c>
      <c r="E857" s="7">
        <v>7.6</v>
      </c>
      <c r="F857" s="7">
        <v>27.3</v>
      </c>
      <c r="G857" s="7">
        <v>22.5</v>
      </c>
      <c r="H857" s="7">
        <v>220.2</v>
      </c>
      <c r="I857" s="7">
        <v>71.8</v>
      </c>
      <c r="J857" s="7">
        <v>39.299999999999997</v>
      </c>
      <c r="K857" s="7">
        <v>186.2</v>
      </c>
      <c r="L857" s="7">
        <v>108.1</v>
      </c>
      <c r="M857" s="7">
        <v>185.3</v>
      </c>
      <c r="N857" s="7">
        <v>266</v>
      </c>
      <c r="O857" s="7">
        <v>84</v>
      </c>
      <c r="P857" s="7">
        <v>126.9</v>
      </c>
      <c r="Q857" s="7">
        <v>7</v>
      </c>
    </row>
    <row r="858" spans="1:17">
      <c r="A858" s="2">
        <v>2806</v>
      </c>
      <c r="B858" s="7">
        <v>113</v>
      </c>
      <c r="C858" s="7">
        <v>20.399999999999999</v>
      </c>
      <c r="D858" s="7">
        <v>47.6</v>
      </c>
      <c r="E858" s="7">
        <v>7.6</v>
      </c>
      <c r="F858" s="7">
        <v>27.3</v>
      </c>
      <c r="G858" s="7">
        <v>22.5</v>
      </c>
      <c r="H858" s="7">
        <v>220.2</v>
      </c>
      <c r="I858" s="7">
        <v>71.8</v>
      </c>
      <c r="J858" s="7">
        <v>39.299999999999997</v>
      </c>
      <c r="K858" s="7">
        <v>186.2</v>
      </c>
      <c r="L858" s="7">
        <v>108.1</v>
      </c>
      <c r="M858" s="7">
        <v>185.3</v>
      </c>
      <c r="N858" s="7">
        <v>266</v>
      </c>
      <c r="O858" s="7">
        <v>84</v>
      </c>
      <c r="P858" s="7">
        <v>126.9</v>
      </c>
      <c r="Q858" s="7">
        <v>7</v>
      </c>
    </row>
    <row r="859" spans="1:17">
      <c r="A859" s="2">
        <v>2807</v>
      </c>
      <c r="B859" s="7">
        <v>113</v>
      </c>
      <c r="C859" s="7">
        <v>20.399999999999999</v>
      </c>
      <c r="D859" s="7">
        <v>47.6</v>
      </c>
      <c r="E859" s="7">
        <v>7.6</v>
      </c>
      <c r="F859" s="7">
        <v>27.3</v>
      </c>
      <c r="G859" s="7">
        <v>22.5</v>
      </c>
      <c r="H859" s="7">
        <v>220.2</v>
      </c>
      <c r="I859" s="7">
        <v>71.8</v>
      </c>
      <c r="J859" s="7">
        <v>39.299999999999997</v>
      </c>
      <c r="K859" s="7">
        <v>186.2</v>
      </c>
      <c r="L859" s="7">
        <v>108.1</v>
      </c>
      <c r="M859" s="7">
        <v>185.3</v>
      </c>
      <c r="N859" s="7">
        <v>266</v>
      </c>
      <c r="O859" s="7">
        <v>84</v>
      </c>
      <c r="P859" s="7">
        <v>126.9</v>
      </c>
      <c r="Q859" s="7">
        <v>7</v>
      </c>
    </row>
    <row r="860" spans="1:17">
      <c r="A860" s="2">
        <v>2808</v>
      </c>
      <c r="B860" s="7">
        <v>113</v>
      </c>
      <c r="C860" s="7">
        <v>20.399999999999999</v>
      </c>
      <c r="D860" s="7">
        <v>47.6</v>
      </c>
      <c r="E860" s="7">
        <v>7.6</v>
      </c>
      <c r="F860" s="7">
        <v>27.3</v>
      </c>
      <c r="G860" s="7">
        <v>22.5</v>
      </c>
      <c r="H860" s="7">
        <v>220.2</v>
      </c>
      <c r="I860" s="7">
        <v>71.8</v>
      </c>
      <c r="J860" s="7">
        <v>39.299999999999997</v>
      </c>
      <c r="K860" s="7">
        <v>186.2</v>
      </c>
      <c r="L860" s="7">
        <v>108.1</v>
      </c>
      <c r="M860" s="7">
        <v>185.3</v>
      </c>
      <c r="N860" s="7">
        <v>266</v>
      </c>
      <c r="O860" s="7">
        <v>84</v>
      </c>
      <c r="P860" s="7">
        <v>126.9</v>
      </c>
      <c r="Q860" s="7">
        <v>7</v>
      </c>
    </row>
    <row r="861" spans="1:17">
      <c r="A861" s="2">
        <v>2809</v>
      </c>
      <c r="B861" s="7">
        <v>113</v>
      </c>
      <c r="C861" s="7">
        <v>20.399999999999999</v>
      </c>
      <c r="D861" s="7">
        <v>47.6</v>
      </c>
      <c r="E861" s="7">
        <v>7.6</v>
      </c>
      <c r="F861" s="7">
        <v>27.3</v>
      </c>
      <c r="G861" s="7">
        <v>22.5</v>
      </c>
      <c r="H861" s="7">
        <v>220.2</v>
      </c>
      <c r="I861" s="7">
        <v>71.8</v>
      </c>
      <c r="J861" s="7">
        <v>39.299999999999997</v>
      </c>
      <c r="K861" s="7">
        <v>186.2</v>
      </c>
      <c r="L861" s="7">
        <v>108.1</v>
      </c>
      <c r="M861" s="7">
        <v>185.3</v>
      </c>
      <c r="N861" s="7">
        <v>266</v>
      </c>
      <c r="O861" s="7">
        <v>84</v>
      </c>
      <c r="P861" s="7">
        <v>126.9</v>
      </c>
      <c r="Q861" s="7">
        <v>7</v>
      </c>
    </row>
    <row r="862" spans="1:17">
      <c r="A862" s="2">
        <v>2810</v>
      </c>
      <c r="B862" s="7">
        <v>113</v>
      </c>
      <c r="C862" s="7">
        <v>20.399999999999999</v>
      </c>
      <c r="D862" s="7">
        <v>47.6</v>
      </c>
      <c r="E862" s="7">
        <v>7.6</v>
      </c>
      <c r="F862" s="7">
        <v>27.3</v>
      </c>
      <c r="G862" s="7">
        <v>22.5</v>
      </c>
      <c r="H862" s="7">
        <v>220.2</v>
      </c>
      <c r="I862" s="7">
        <v>71.8</v>
      </c>
      <c r="J862" s="7">
        <v>39.299999999999997</v>
      </c>
      <c r="K862" s="7">
        <v>186.2</v>
      </c>
      <c r="L862" s="7">
        <v>108.1</v>
      </c>
      <c r="M862" s="7">
        <v>185.3</v>
      </c>
      <c r="N862" s="7">
        <v>266</v>
      </c>
      <c r="O862" s="7">
        <v>84</v>
      </c>
      <c r="P862" s="7">
        <v>126.9</v>
      </c>
      <c r="Q862" s="7">
        <v>7</v>
      </c>
    </row>
    <row r="863" spans="1:17">
      <c r="A863" s="2">
        <v>2811</v>
      </c>
      <c r="B863" s="7">
        <v>113</v>
      </c>
      <c r="C863" s="7">
        <v>20.399999999999999</v>
      </c>
      <c r="D863" s="7">
        <v>47.6</v>
      </c>
      <c r="E863" s="7">
        <v>7.6</v>
      </c>
      <c r="F863" s="7">
        <v>27.3</v>
      </c>
      <c r="G863" s="7">
        <v>22.5</v>
      </c>
      <c r="H863" s="7">
        <v>220.2</v>
      </c>
      <c r="I863" s="7">
        <v>71.8</v>
      </c>
      <c r="J863" s="7">
        <v>39.299999999999997</v>
      </c>
      <c r="K863" s="7">
        <v>186.2</v>
      </c>
      <c r="L863" s="7">
        <v>108.1</v>
      </c>
      <c r="M863" s="7">
        <v>185.3</v>
      </c>
      <c r="N863" s="7">
        <v>266</v>
      </c>
      <c r="O863" s="7">
        <v>84</v>
      </c>
      <c r="P863" s="7">
        <v>126.9</v>
      </c>
      <c r="Q863" s="7">
        <v>7</v>
      </c>
    </row>
    <row r="864" spans="1:17">
      <c r="A864" s="2">
        <v>2812</v>
      </c>
      <c r="B864" s="7">
        <v>113</v>
      </c>
      <c r="C864" s="7">
        <v>20.399999999999999</v>
      </c>
      <c r="D864" s="7">
        <v>47.6</v>
      </c>
      <c r="E864" s="7">
        <v>7.6</v>
      </c>
      <c r="F864" s="7">
        <v>27.3</v>
      </c>
      <c r="G864" s="7">
        <v>22.5</v>
      </c>
      <c r="H864" s="7">
        <v>220.2</v>
      </c>
      <c r="I864" s="7">
        <v>71.8</v>
      </c>
      <c r="J864" s="7">
        <v>39.299999999999997</v>
      </c>
      <c r="K864" s="7">
        <v>186.2</v>
      </c>
      <c r="L864" s="7">
        <v>108.1</v>
      </c>
      <c r="M864" s="7">
        <v>185.3</v>
      </c>
      <c r="N864" s="7">
        <v>266</v>
      </c>
      <c r="O864" s="7">
        <v>84</v>
      </c>
      <c r="P864" s="7">
        <v>126.9</v>
      </c>
      <c r="Q864" s="7">
        <v>7</v>
      </c>
    </row>
    <row r="865" spans="1:17">
      <c r="A865" s="2">
        <v>2813</v>
      </c>
      <c r="B865" s="7">
        <v>113</v>
      </c>
      <c r="C865" s="7">
        <v>20.399999999999999</v>
      </c>
      <c r="D865" s="7">
        <v>47.6</v>
      </c>
      <c r="E865" s="7">
        <v>7.6</v>
      </c>
      <c r="F865" s="7">
        <v>27.3</v>
      </c>
      <c r="G865" s="7">
        <v>22.5</v>
      </c>
      <c r="H865" s="7">
        <v>220.2</v>
      </c>
      <c r="I865" s="7">
        <v>71.8</v>
      </c>
      <c r="J865" s="7">
        <v>39.299999999999997</v>
      </c>
      <c r="K865" s="7">
        <v>186.2</v>
      </c>
      <c r="L865" s="7">
        <v>108.1</v>
      </c>
      <c r="M865" s="7">
        <v>185.3</v>
      </c>
      <c r="N865" s="7">
        <v>266</v>
      </c>
      <c r="O865" s="7">
        <v>84</v>
      </c>
      <c r="P865" s="7">
        <v>126.9</v>
      </c>
      <c r="Q865" s="7">
        <v>7</v>
      </c>
    </row>
    <row r="866" spans="1:17">
      <c r="A866" s="2">
        <v>2814</v>
      </c>
      <c r="B866" s="7">
        <v>113</v>
      </c>
      <c r="C866" s="7">
        <v>20.399999999999999</v>
      </c>
      <c r="D866" s="7">
        <v>47.6</v>
      </c>
      <c r="E866" s="7">
        <v>7.6</v>
      </c>
      <c r="F866" s="7">
        <v>27.3</v>
      </c>
      <c r="G866" s="7">
        <v>22.5</v>
      </c>
      <c r="H866" s="7">
        <v>220.2</v>
      </c>
      <c r="I866" s="7">
        <v>71.8</v>
      </c>
      <c r="J866" s="7">
        <v>39.299999999999997</v>
      </c>
      <c r="K866" s="7">
        <v>186.2</v>
      </c>
      <c r="L866" s="7">
        <v>108.1</v>
      </c>
      <c r="M866" s="7">
        <v>185.3</v>
      </c>
      <c r="N866" s="7">
        <v>266</v>
      </c>
      <c r="O866" s="7">
        <v>84</v>
      </c>
      <c r="P866" s="7">
        <v>126.9</v>
      </c>
      <c r="Q866" s="7">
        <v>7</v>
      </c>
    </row>
    <row r="867" spans="1:17">
      <c r="A867" s="2">
        <v>2815</v>
      </c>
      <c r="B867" s="7">
        <v>113</v>
      </c>
      <c r="C867" s="7">
        <v>20.399999999999999</v>
      </c>
      <c r="D867" s="7">
        <v>47.6</v>
      </c>
      <c r="E867" s="7">
        <v>7.6</v>
      </c>
      <c r="F867" s="7">
        <v>27.3</v>
      </c>
      <c r="G867" s="7">
        <v>22.5</v>
      </c>
      <c r="H867" s="7">
        <v>220.2</v>
      </c>
      <c r="I867" s="7">
        <v>71.8</v>
      </c>
      <c r="J867" s="7">
        <v>39.299999999999997</v>
      </c>
      <c r="K867" s="7">
        <v>186.2</v>
      </c>
      <c r="L867" s="7">
        <v>108.1</v>
      </c>
      <c r="M867" s="7">
        <v>185.3</v>
      </c>
      <c r="N867" s="7">
        <v>266</v>
      </c>
      <c r="O867" s="7">
        <v>84</v>
      </c>
      <c r="P867" s="7">
        <v>126.9</v>
      </c>
      <c r="Q867" s="7">
        <v>7</v>
      </c>
    </row>
    <row r="868" spans="1:17">
      <c r="A868" s="2">
        <v>2816</v>
      </c>
      <c r="B868" s="7">
        <v>113</v>
      </c>
      <c r="C868" s="7">
        <v>20.399999999999999</v>
      </c>
      <c r="D868" s="7">
        <v>47.6</v>
      </c>
      <c r="E868" s="7">
        <v>7.6</v>
      </c>
      <c r="F868" s="7">
        <v>27.3</v>
      </c>
      <c r="G868" s="7">
        <v>22.5</v>
      </c>
      <c r="H868" s="7">
        <v>220.2</v>
      </c>
      <c r="I868" s="7">
        <v>71.8</v>
      </c>
      <c r="J868" s="7">
        <v>39.299999999999997</v>
      </c>
      <c r="K868" s="7">
        <v>186.2</v>
      </c>
      <c r="L868" s="7">
        <v>108.1</v>
      </c>
      <c r="M868" s="7">
        <v>185.3</v>
      </c>
      <c r="N868" s="7">
        <v>266</v>
      </c>
      <c r="O868" s="7">
        <v>84</v>
      </c>
      <c r="P868" s="7">
        <v>126.9</v>
      </c>
      <c r="Q868" s="7">
        <v>7</v>
      </c>
    </row>
    <row r="869" spans="1:17">
      <c r="A869" s="2">
        <v>2817</v>
      </c>
      <c r="B869" s="7">
        <v>113</v>
      </c>
      <c r="C869" s="7">
        <v>20.399999999999999</v>
      </c>
      <c r="D869" s="7">
        <v>47.6</v>
      </c>
      <c r="E869" s="7">
        <v>7.6</v>
      </c>
      <c r="F869" s="7">
        <v>27.3</v>
      </c>
      <c r="G869" s="7">
        <v>22.5</v>
      </c>
      <c r="H869" s="7">
        <v>220.2</v>
      </c>
      <c r="I869" s="7">
        <v>71.8</v>
      </c>
      <c r="J869" s="7">
        <v>39.299999999999997</v>
      </c>
      <c r="K869" s="7">
        <v>186.2</v>
      </c>
      <c r="L869" s="7">
        <v>108.1</v>
      </c>
      <c r="M869" s="7">
        <v>185.3</v>
      </c>
      <c r="N869" s="7">
        <v>266</v>
      </c>
      <c r="O869" s="7">
        <v>84</v>
      </c>
      <c r="P869" s="7">
        <v>126.9</v>
      </c>
      <c r="Q869" s="7">
        <v>7</v>
      </c>
    </row>
    <row r="870" spans="1:17">
      <c r="A870" s="2">
        <v>2818</v>
      </c>
      <c r="B870" s="7">
        <v>113</v>
      </c>
      <c r="C870" s="7">
        <v>20.399999999999999</v>
      </c>
      <c r="D870" s="7">
        <v>47.6</v>
      </c>
      <c r="E870" s="7">
        <v>7.6</v>
      </c>
      <c r="F870" s="7">
        <v>27.3</v>
      </c>
      <c r="G870" s="7">
        <v>22.5</v>
      </c>
      <c r="H870" s="7">
        <v>220.2</v>
      </c>
      <c r="I870" s="7">
        <v>71.8</v>
      </c>
      <c r="J870" s="7">
        <v>39.299999999999997</v>
      </c>
      <c r="K870" s="7">
        <v>186.2</v>
      </c>
      <c r="L870" s="7">
        <v>108.1</v>
      </c>
      <c r="M870" s="7">
        <v>185.3</v>
      </c>
      <c r="N870" s="7">
        <v>266</v>
      </c>
      <c r="O870" s="7">
        <v>84</v>
      </c>
      <c r="P870" s="7">
        <v>126.9</v>
      </c>
      <c r="Q870" s="7">
        <v>7</v>
      </c>
    </row>
    <row r="871" spans="1:17">
      <c r="A871" s="2">
        <v>2819</v>
      </c>
      <c r="B871" s="7">
        <v>113</v>
      </c>
      <c r="C871" s="7">
        <v>20.399999999999999</v>
      </c>
      <c r="D871" s="7">
        <v>47.6</v>
      </c>
      <c r="E871" s="7">
        <v>7.6</v>
      </c>
      <c r="F871" s="7">
        <v>27.3</v>
      </c>
      <c r="G871" s="7">
        <v>22.5</v>
      </c>
      <c r="H871" s="7">
        <v>220.2</v>
      </c>
      <c r="I871" s="7">
        <v>71.8</v>
      </c>
      <c r="J871" s="7">
        <v>39.299999999999997</v>
      </c>
      <c r="K871" s="7">
        <v>186.2</v>
      </c>
      <c r="L871" s="7">
        <v>108.1</v>
      </c>
      <c r="M871" s="7">
        <v>185.3</v>
      </c>
      <c r="N871" s="7">
        <v>266</v>
      </c>
      <c r="O871" s="7">
        <v>84</v>
      </c>
      <c r="P871" s="7">
        <v>126.9</v>
      </c>
      <c r="Q871" s="7">
        <v>7</v>
      </c>
    </row>
    <row r="872" spans="1:17">
      <c r="A872" s="2">
        <v>2820</v>
      </c>
      <c r="B872" s="7">
        <v>113</v>
      </c>
      <c r="C872" s="7">
        <v>20.399999999999999</v>
      </c>
      <c r="D872" s="7">
        <v>47.6</v>
      </c>
      <c r="E872" s="7">
        <v>7.6</v>
      </c>
      <c r="F872" s="7">
        <v>27.3</v>
      </c>
      <c r="G872" s="7">
        <v>22.5</v>
      </c>
      <c r="H872" s="7">
        <v>220.2</v>
      </c>
      <c r="I872" s="7">
        <v>71.8</v>
      </c>
      <c r="J872" s="7">
        <v>39.299999999999997</v>
      </c>
      <c r="K872" s="7">
        <v>186.2</v>
      </c>
      <c r="L872" s="7">
        <v>108.1</v>
      </c>
      <c r="M872" s="7">
        <v>185.3</v>
      </c>
      <c r="N872" s="7">
        <v>266</v>
      </c>
      <c r="O872" s="7">
        <v>84</v>
      </c>
      <c r="P872" s="7">
        <v>126.9</v>
      </c>
      <c r="Q872" s="7">
        <v>7</v>
      </c>
    </row>
    <row r="873" spans="1:17">
      <c r="A873" s="2">
        <v>2821</v>
      </c>
      <c r="B873" s="7">
        <v>113</v>
      </c>
      <c r="C873" s="7">
        <v>20.399999999999999</v>
      </c>
      <c r="D873" s="7">
        <v>47.6</v>
      </c>
      <c r="E873" s="7">
        <v>7.6</v>
      </c>
      <c r="F873" s="7">
        <v>27.3</v>
      </c>
      <c r="G873" s="7">
        <v>22.5</v>
      </c>
      <c r="H873" s="7">
        <v>220.2</v>
      </c>
      <c r="I873" s="7">
        <v>71.8</v>
      </c>
      <c r="J873" s="7">
        <v>39.299999999999997</v>
      </c>
      <c r="K873" s="7">
        <v>186.2</v>
      </c>
      <c r="L873" s="7">
        <v>108.1</v>
      </c>
      <c r="M873" s="7">
        <v>185.3</v>
      </c>
      <c r="N873" s="7">
        <v>266</v>
      </c>
      <c r="O873" s="7">
        <v>84</v>
      </c>
      <c r="P873" s="7">
        <v>126.9</v>
      </c>
      <c r="Q873" s="7">
        <v>7</v>
      </c>
    </row>
    <row r="874" spans="1:17">
      <c r="A874" s="2">
        <v>2822</v>
      </c>
      <c r="B874" s="7">
        <v>113</v>
      </c>
      <c r="C874" s="7">
        <v>20.399999999999999</v>
      </c>
      <c r="D874" s="7">
        <v>47.6</v>
      </c>
      <c r="E874" s="7">
        <v>7.6</v>
      </c>
      <c r="F874" s="7">
        <v>27.3</v>
      </c>
      <c r="G874" s="7">
        <v>22.5</v>
      </c>
      <c r="H874" s="7">
        <v>220.2</v>
      </c>
      <c r="I874" s="7">
        <v>71.8</v>
      </c>
      <c r="J874" s="7">
        <v>39.299999999999997</v>
      </c>
      <c r="K874" s="7">
        <v>186.2</v>
      </c>
      <c r="L874" s="7">
        <v>108.1</v>
      </c>
      <c r="M874" s="7">
        <v>185.3</v>
      </c>
      <c r="N874" s="7">
        <v>266</v>
      </c>
      <c r="O874" s="7">
        <v>84</v>
      </c>
      <c r="P874" s="7">
        <v>126.9</v>
      </c>
      <c r="Q874" s="7">
        <v>7</v>
      </c>
    </row>
    <row r="875" spans="1:17">
      <c r="A875" s="2">
        <v>2823</v>
      </c>
      <c r="B875" s="7">
        <v>113</v>
      </c>
      <c r="C875" s="7">
        <v>20.399999999999999</v>
      </c>
      <c r="D875" s="7">
        <v>47.6</v>
      </c>
      <c r="E875" s="7">
        <v>7.6</v>
      </c>
      <c r="F875" s="7">
        <v>27.3</v>
      </c>
      <c r="G875" s="7">
        <v>22.5</v>
      </c>
      <c r="H875" s="7">
        <v>220.2</v>
      </c>
      <c r="I875" s="7">
        <v>71.8</v>
      </c>
      <c r="J875" s="7">
        <v>39.299999999999997</v>
      </c>
      <c r="K875" s="7">
        <v>186.2</v>
      </c>
      <c r="L875" s="7">
        <v>108.1</v>
      </c>
      <c r="M875" s="7">
        <v>185.3</v>
      </c>
      <c r="N875" s="7">
        <v>266</v>
      </c>
      <c r="O875" s="7">
        <v>84</v>
      </c>
      <c r="P875" s="7">
        <v>126.9</v>
      </c>
      <c r="Q875" s="7">
        <v>7</v>
      </c>
    </row>
    <row r="876" spans="1:17">
      <c r="A876" s="2">
        <v>2824</v>
      </c>
      <c r="B876" s="7">
        <v>113</v>
      </c>
      <c r="C876" s="7">
        <v>20.399999999999999</v>
      </c>
      <c r="D876" s="7">
        <v>47.6</v>
      </c>
      <c r="E876" s="7">
        <v>7.6</v>
      </c>
      <c r="F876" s="7">
        <v>27.3</v>
      </c>
      <c r="G876" s="7">
        <v>22.5</v>
      </c>
      <c r="H876" s="7">
        <v>220.2</v>
      </c>
      <c r="I876" s="7">
        <v>71.8</v>
      </c>
      <c r="J876" s="7">
        <v>39.299999999999997</v>
      </c>
      <c r="K876" s="7">
        <v>186.2</v>
      </c>
      <c r="L876" s="7">
        <v>108.1</v>
      </c>
      <c r="M876" s="7">
        <v>185.3</v>
      </c>
      <c r="N876" s="7">
        <v>266</v>
      </c>
      <c r="O876" s="7">
        <v>84</v>
      </c>
      <c r="P876" s="7">
        <v>126.9</v>
      </c>
      <c r="Q876" s="7">
        <v>7</v>
      </c>
    </row>
    <row r="877" spans="1:17">
      <c r="A877" s="2">
        <v>2825</v>
      </c>
      <c r="B877" s="7">
        <v>113</v>
      </c>
      <c r="C877" s="7">
        <v>20.399999999999999</v>
      </c>
      <c r="D877" s="7">
        <v>47.6</v>
      </c>
      <c r="E877" s="7">
        <v>7.6</v>
      </c>
      <c r="F877" s="7">
        <v>27.3</v>
      </c>
      <c r="G877" s="7">
        <v>22.5</v>
      </c>
      <c r="H877" s="7">
        <v>220.2</v>
      </c>
      <c r="I877" s="7">
        <v>71.8</v>
      </c>
      <c r="J877" s="7">
        <v>39.299999999999997</v>
      </c>
      <c r="K877" s="7">
        <v>186.2</v>
      </c>
      <c r="L877" s="7">
        <v>108.1</v>
      </c>
      <c r="M877" s="7">
        <v>185.3</v>
      </c>
      <c r="N877" s="7">
        <v>266</v>
      </c>
      <c r="O877" s="7">
        <v>84</v>
      </c>
      <c r="P877" s="7">
        <v>126.9</v>
      </c>
      <c r="Q877" s="7">
        <v>7</v>
      </c>
    </row>
    <row r="878" spans="1:17">
      <c r="A878" s="2">
        <v>2826</v>
      </c>
      <c r="B878" s="7">
        <v>113</v>
      </c>
      <c r="C878" s="7">
        <v>20.399999999999999</v>
      </c>
      <c r="D878" s="7">
        <v>47.6</v>
      </c>
      <c r="E878" s="7">
        <v>7.6</v>
      </c>
      <c r="F878" s="7">
        <v>27.3</v>
      </c>
      <c r="G878" s="7">
        <v>22.5</v>
      </c>
      <c r="H878" s="7">
        <v>220.2</v>
      </c>
      <c r="I878" s="7">
        <v>71.8</v>
      </c>
      <c r="J878" s="7">
        <v>39.299999999999997</v>
      </c>
      <c r="K878" s="7">
        <v>186.2</v>
      </c>
      <c r="L878" s="7">
        <v>108.1</v>
      </c>
      <c r="M878" s="7">
        <v>185.3</v>
      </c>
      <c r="N878" s="7">
        <v>266</v>
      </c>
      <c r="O878" s="7">
        <v>84</v>
      </c>
      <c r="P878" s="7">
        <v>126.9</v>
      </c>
      <c r="Q878" s="7">
        <v>7</v>
      </c>
    </row>
    <row r="879" spans="1:17">
      <c r="A879" s="2">
        <v>2827</v>
      </c>
      <c r="B879" s="7">
        <v>113</v>
      </c>
      <c r="C879" s="7">
        <v>20.399999999999999</v>
      </c>
      <c r="D879" s="7">
        <v>47.6</v>
      </c>
      <c r="E879" s="7">
        <v>7.6</v>
      </c>
      <c r="F879" s="7">
        <v>27.3</v>
      </c>
      <c r="G879" s="7">
        <v>22.5</v>
      </c>
      <c r="H879" s="7">
        <v>220.2</v>
      </c>
      <c r="I879" s="7">
        <v>71.8</v>
      </c>
      <c r="J879" s="7">
        <v>39.299999999999997</v>
      </c>
      <c r="K879" s="7">
        <v>186.2</v>
      </c>
      <c r="L879" s="7">
        <v>108.1</v>
      </c>
      <c r="M879" s="7">
        <v>185.3</v>
      </c>
      <c r="N879" s="7">
        <v>266</v>
      </c>
      <c r="O879" s="7">
        <v>84</v>
      </c>
      <c r="P879" s="7">
        <v>126.9</v>
      </c>
      <c r="Q879" s="7">
        <v>7</v>
      </c>
    </row>
    <row r="880" spans="1:17">
      <c r="A880" s="2">
        <v>2828</v>
      </c>
      <c r="B880" s="7">
        <v>113</v>
      </c>
      <c r="C880" s="7">
        <v>20.399999999999999</v>
      </c>
      <c r="D880" s="7">
        <v>47.6</v>
      </c>
      <c r="E880" s="7">
        <v>7.6</v>
      </c>
      <c r="F880" s="7">
        <v>27.3</v>
      </c>
      <c r="G880" s="7">
        <v>22.5</v>
      </c>
      <c r="H880" s="7">
        <v>220.2</v>
      </c>
      <c r="I880" s="7">
        <v>71.8</v>
      </c>
      <c r="J880" s="7">
        <v>39.299999999999997</v>
      </c>
      <c r="K880" s="7">
        <v>186.2</v>
      </c>
      <c r="L880" s="7">
        <v>108.1</v>
      </c>
      <c r="M880" s="7">
        <v>185.3</v>
      </c>
      <c r="N880" s="7">
        <v>266</v>
      </c>
      <c r="O880" s="7">
        <v>84</v>
      </c>
      <c r="P880" s="7">
        <v>126.9</v>
      </c>
      <c r="Q880" s="7">
        <v>7</v>
      </c>
    </row>
    <row r="881" spans="1:17">
      <c r="A881" s="2">
        <v>2829</v>
      </c>
      <c r="B881" s="7">
        <v>113</v>
      </c>
      <c r="C881" s="7">
        <v>20.399999999999999</v>
      </c>
      <c r="D881" s="7">
        <v>47.6</v>
      </c>
      <c r="E881" s="7">
        <v>7.6</v>
      </c>
      <c r="F881" s="7">
        <v>27.3</v>
      </c>
      <c r="G881" s="7">
        <v>22.5</v>
      </c>
      <c r="H881" s="7">
        <v>220.2</v>
      </c>
      <c r="I881" s="7">
        <v>71.8</v>
      </c>
      <c r="J881" s="7">
        <v>39.299999999999997</v>
      </c>
      <c r="K881" s="7">
        <v>186.2</v>
      </c>
      <c r="L881" s="7">
        <v>108.1</v>
      </c>
      <c r="M881" s="7">
        <v>185.3</v>
      </c>
      <c r="N881" s="7">
        <v>266</v>
      </c>
      <c r="O881" s="7">
        <v>84</v>
      </c>
      <c r="P881" s="7">
        <v>126.9</v>
      </c>
      <c r="Q881" s="7">
        <v>7</v>
      </c>
    </row>
    <row r="882" spans="1:17">
      <c r="A882" s="2">
        <v>2830</v>
      </c>
      <c r="B882" s="7">
        <v>113</v>
      </c>
      <c r="C882" s="7">
        <v>20.399999999999999</v>
      </c>
      <c r="D882" s="7">
        <v>47.6</v>
      </c>
      <c r="E882" s="7">
        <v>7.6</v>
      </c>
      <c r="F882" s="7">
        <v>27.3</v>
      </c>
      <c r="G882" s="7">
        <v>22.5</v>
      </c>
      <c r="H882" s="7">
        <v>220.2</v>
      </c>
      <c r="I882" s="7">
        <v>71.8</v>
      </c>
      <c r="J882" s="7">
        <v>39.299999999999997</v>
      </c>
      <c r="K882" s="7">
        <v>186.2</v>
      </c>
      <c r="L882" s="7">
        <v>108.1</v>
      </c>
      <c r="M882" s="7">
        <v>185.3</v>
      </c>
      <c r="N882" s="7">
        <v>266</v>
      </c>
      <c r="O882" s="7">
        <v>84</v>
      </c>
      <c r="P882" s="7">
        <v>126.9</v>
      </c>
      <c r="Q882" s="7">
        <v>7</v>
      </c>
    </row>
    <row r="883" spans="1:17">
      <c r="A883" s="2">
        <v>2831</v>
      </c>
      <c r="B883" s="7">
        <v>113</v>
      </c>
      <c r="C883" s="7">
        <v>20.399999999999999</v>
      </c>
      <c r="D883" s="7">
        <v>47.6</v>
      </c>
      <c r="E883" s="7">
        <v>7.6</v>
      </c>
      <c r="F883" s="7">
        <v>27.3</v>
      </c>
      <c r="G883" s="7">
        <v>22.5</v>
      </c>
      <c r="H883" s="7">
        <v>220.2</v>
      </c>
      <c r="I883" s="7">
        <v>71.8</v>
      </c>
      <c r="J883" s="7">
        <v>39.299999999999997</v>
      </c>
      <c r="K883" s="7">
        <v>186.2</v>
      </c>
      <c r="L883" s="7">
        <v>108.1</v>
      </c>
      <c r="M883" s="7">
        <v>185.3</v>
      </c>
      <c r="N883" s="7">
        <v>266</v>
      </c>
      <c r="O883" s="7">
        <v>84</v>
      </c>
      <c r="P883" s="7">
        <v>126.9</v>
      </c>
      <c r="Q883" s="7">
        <v>7</v>
      </c>
    </row>
    <row r="884" spans="1:17">
      <c r="A884" s="2">
        <v>2832</v>
      </c>
      <c r="B884" s="7">
        <v>113</v>
      </c>
      <c r="C884" s="7">
        <v>20.399999999999999</v>
      </c>
      <c r="D884" s="7">
        <v>47.6</v>
      </c>
      <c r="E884" s="7">
        <v>7.6</v>
      </c>
      <c r="F884" s="7">
        <v>27.3</v>
      </c>
      <c r="G884" s="7">
        <v>22.5</v>
      </c>
      <c r="H884" s="7">
        <v>220.2</v>
      </c>
      <c r="I884" s="7">
        <v>71.8</v>
      </c>
      <c r="J884" s="7">
        <v>39.299999999999997</v>
      </c>
      <c r="K884" s="7">
        <v>186.2</v>
      </c>
      <c r="L884" s="7">
        <v>108.1</v>
      </c>
      <c r="M884" s="7">
        <v>185.3</v>
      </c>
      <c r="N884" s="7">
        <v>266</v>
      </c>
      <c r="O884" s="7">
        <v>84</v>
      </c>
      <c r="P884" s="7">
        <v>126.9</v>
      </c>
      <c r="Q884" s="7">
        <v>7</v>
      </c>
    </row>
    <row r="885" spans="1:17">
      <c r="A885" s="2">
        <v>2833</v>
      </c>
      <c r="B885" s="7">
        <v>113</v>
      </c>
      <c r="C885" s="7">
        <v>20.399999999999999</v>
      </c>
      <c r="D885" s="7">
        <v>47.6</v>
      </c>
      <c r="E885" s="7">
        <v>7.6</v>
      </c>
      <c r="F885" s="7">
        <v>27.3</v>
      </c>
      <c r="G885" s="7">
        <v>22.5</v>
      </c>
      <c r="H885" s="7">
        <v>220.2</v>
      </c>
      <c r="I885" s="7">
        <v>71.8</v>
      </c>
      <c r="J885" s="7">
        <v>39.299999999999997</v>
      </c>
      <c r="K885" s="7">
        <v>186.2</v>
      </c>
      <c r="L885" s="7">
        <v>108.1</v>
      </c>
      <c r="M885" s="7">
        <v>185.3</v>
      </c>
      <c r="N885" s="7">
        <v>266</v>
      </c>
      <c r="O885" s="7">
        <v>84</v>
      </c>
      <c r="P885" s="7">
        <v>126.9</v>
      </c>
      <c r="Q885" s="7">
        <v>7</v>
      </c>
    </row>
    <row r="886" spans="1:17">
      <c r="A886" s="2">
        <v>2834</v>
      </c>
      <c r="B886" s="7">
        <v>113</v>
      </c>
      <c r="C886" s="7">
        <v>20.399999999999999</v>
      </c>
      <c r="D886" s="7">
        <v>47.6</v>
      </c>
      <c r="E886" s="7">
        <v>7.6</v>
      </c>
      <c r="F886" s="7">
        <v>27.3</v>
      </c>
      <c r="G886" s="7">
        <v>22.5</v>
      </c>
      <c r="H886" s="7">
        <v>220.2</v>
      </c>
      <c r="I886" s="7">
        <v>71.8</v>
      </c>
      <c r="J886" s="7">
        <v>39.299999999999997</v>
      </c>
      <c r="K886" s="7">
        <v>186.2</v>
      </c>
      <c r="L886" s="7">
        <v>108.1</v>
      </c>
      <c r="M886" s="7">
        <v>185.3</v>
      </c>
      <c r="N886" s="7">
        <v>266</v>
      </c>
      <c r="O886" s="7">
        <v>84</v>
      </c>
      <c r="P886" s="7">
        <v>126.9</v>
      </c>
      <c r="Q886" s="7">
        <v>7</v>
      </c>
    </row>
    <row r="887" spans="1:17">
      <c r="A887" s="2">
        <v>2835</v>
      </c>
      <c r="B887" s="7">
        <v>113</v>
      </c>
      <c r="C887" s="7">
        <v>20.399999999999999</v>
      </c>
      <c r="D887" s="7">
        <v>47.6</v>
      </c>
      <c r="E887" s="7">
        <v>7.6</v>
      </c>
      <c r="F887" s="7">
        <v>27.3</v>
      </c>
      <c r="G887" s="7">
        <v>22.5</v>
      </c>
      <c r="H887" s="7">
        <v>220.2</v>
      </c>
      <c r="I887" s="7">
        <v>71.8</v>
      </c>
      <c r="J887" s="7">
        <v>39.299999999999997</v>
      </c>
      <c r="K887" s="7">
        <v>186.2</v>
      </c>
      <c r="L887" s="7">
        <v>108.1</v>
      </c>
      <c r="M887" s="7">
        <v>185.3</v>
      </c>
      <c r="N887" s="7">
        <v>266</v>
      </c>
      <c r="O887" s="7">
        <v>84</v>
      </c>
      <c r="P887" s="7">
        <v>126.9</v>
      </c>
      <c r="Q887" s="7">
        <v>7</v>
      </c>
    </row>
    <row r="888" spans="1:17">
      <c r="A888" s="2">
        <v>2836</v>
      </c>
      <c r="B888" s="7">
        <v>113</v>
      </c>
      <c r="C888" s="7">
        <v>20.399999999999999</v>
      </c>
      <c r="D888" s="7">
        <v>47.6</v>
      </c>
      <c r="E888" s="7">
        <v>7.6</v>
      </c>
      <c r="F888" s="7">
        <v>27.3</v>
      </c>
      <c r="G888" s="7">
        <v>22.5</v>
      </c>
      <c r="H888" s="7">
        <v>220.2</v>
      </c>
      <c r="I888" s="7">
        <v>71.8</v>
      </c>
      <c r="J888" s="7">
        <v>39.299999999999997</v>
      </c>
      <c r="K888" s="7">
        <v>186.2</v>
      </c>
      <c r="L888" s="7">
        <v>108.1</v>
      </c>
      <c r="M888" s="7">
        <v>185.3</v>
      </c>
      <c r="N888" s="7">
        <v>266</v>
      </c>
      <c r="O888" s="7">
        <v>84</v>
      </c>
      <c r="P888" s="7">
        <v>126.9</v>
      </c>
      <c r="Q888" s="7">
        <v>7</v>
      </c>
    </row>
    <row r="889" spans="1:17">
      <c r="A889" s="2">
        <v>2837</v>
      </c>
      <c r="B889" s="7">
        <v>113</v>
      </c>
      <c r="C889" s="7">
        <v>20.399999999999999</v>
      </c>
      <c r="D889" s="7">
        <v>47.6</v>
      </c>
      <c r="E889" s="7">
        <v>7.6</v>
      </c>
      <c r="F889" s="7">
        <v>27.3</v>
      </c>
      <c r="G889" s="7">
        <v>22.5</v>
      </c>
      <c r="H889" s="7">
        <v>220.2</v>
      </c>
      <c r="I889" s="7">
        <v>71.8</v>
      </c>
      <c r="J889" s="7">
        <v>39.299999999999997</v>
      </c>
      <c r="K889" s="7">
        <v>186.2</v>
      </c>
      <c r="L889" s="7">
        <v>108.1</v>
      </c>
      <c r="M889" s="7">
        <v>185.3</v>
      </c>
      <c r="N889" s="7">
        <v>266</v>
      </c>
      <c r="O889" s="7">
        <v>84</v>
      </c>
      <c r="P889" s="7">
        <v>126.9</v>
      </c>
      <c r="Q889" s="7">
        <v>7</v>
      </c>
    </row>
    <row r="890" spans="1:17">
      <c r="A890" s="2">
        <v>2838</v>
      </c>
      <c r="B890" s="7">
        <v>113</v>
      </c>
      <c r="C890" s="7">
        <v>20.399999999999999</v>
      </c>
      <c r="D890" s="7">
        <v>47.6</v>
      </c>
      <c r="E890" s="7">
        <v>7.6</v>
      </c>
      <c r="F890" s="7">
        <v>27.3</v>
      </c>
      <c r="G890" s="7">
        <v>22.5</v>
      </c>
      <c r="H890" s="7">
        <v>220.2</v>
      </c>
      <c r="I890" s="7">
        <v>71.8</v>
      </c>
      <c r="J890" s="7">
        <v>39.299999999999997</v>
      </c>
      <c r="K890" s="7">
        <v>186.2</v>
      </c>
      <c r="L890" s="7">
        <v>108.1</v>
      </c>
      <c r="M890" s="7">
        <v>185.3</v>
      </c>
      <c r="N890" s="7">
        <v>266</v>
      </c>
      <c r="O890" s="7">
        <v>84</v>
      </c>
      <c r="P890" s="7">
        <v>126.9</v>
      </c>
      <c r="Q890" s="7">
        <v>7</v>
      </c>
    </row>
    <row r="891" spans="1:17">
      <c r="A891" s="2">
        <v>2839</v>
      </c>
      <c r="B891" s="7">
        <v>113</v>
      </c>
      <c r="C891" s="7">
        <v>20.399999999999999</v>
      </c>
      <c r="D891" s="7">
        <v>47.6</v>
      </c>
      <c r="E891" s="7">
        <v>7.6</v>
      </c>
      <c r="F891" s="7">
        <v>27.3</v>
      </c>
      <c r="G891" s="7">
        <v>22.5</v>
      </c>
      <c r="H891" s="7">
        <v>220.2</v>
      </c>
      <c r="I891" s="7">
        <v>71.8</v>
      </c>
      <c r="J891" s="7">
        <v>39.299999999999997</v>
      </c>
      <c r="K891" s="7">
        <v>186.2</v>
      </c>
      <c r="L891" s="7">
        <v>108.1</v>
      </c>
      <c r="M891" s="7">
        <v>185.3</v>
      </c>
      <c r="N891" s="7">
        <v>266</v>
      </c>
      <c r="O891" s="7">
        <v>84</v>
      </c>
      <c r="P891" s="7">
        <v>126.9</v>
      </c>
      <c r="Q891" s="7">
        <v>7</v>
      </c>
    </row>
    <row r="892" spans="1:17">
      <c r="A892" s="2">
        <v>2840</v>
      </c>
      <c r="B892" s="7">
        <v>113</v>
      </c>
      <c r="C892" s="7">
        <v>20.399999999999999</v>
      </c>
      <c r="D892" s="7">
        <v>47.6</v>
      </c>
      <c r="E892" s="7">
        <v>7.6</v>
      </c>
      <c r="F892" s="7">
        <v>27.3</v>
      </c>
      <c r="G892" s="7">
        <v>22.5</v>
      </c>
      <c r="H892" s="7">
        <v>220.2</v>
      </c>
      <c r="I892" s="7">
        <v>71.8</v>
      </c>
      <c r="J892" s="7">
        <v>39.299999999999997</v>
      </c>
      <c r="K892" s="7">
        <v>186.2</v>
      </c>
      <c r="L892" s="7">
        <v>108.1</v>
      </c>
      <c r="M892" s="7">
        <v>185.3</v>
      </c>
      <c r="N892" s="7">
        <v>266</v>
      </c>
      <c r="O892" s="7">
        <v>84</v>
      </c>
      <c r="P892" s="7">
        <v>126.9</v>
      </c>
      <c r="Q892" s="7">
        <v>7</v>
      </c>
    </row>
    <row r="893" spans="1:17">
      <c r="A893" s="2">
        <v>2841</v>
      </c>
      <c r="B893" s="7">
        <v>113</v>
      </c>
      <c r="C893" s="7">
        <v>20.399999999999999</v>
      </c>
      <c r="D893" s="7">
        <v>47.6</v>
      </c>
      <c r="E893" s="7">
        <v>7.6</v>
      </c>
      <c r="F893" s="7">
        <v>27.3</v>
      </c>
      <c r="G893" s="7">
        <v>22.5</v>
      </c>
      <c r="H893" s="7">
        <v>220.2</v>
      </c>
      <c r="I893" s="7">
        <v>71.8</v>
      </c>
      <c r="J893" s="7">
        <v>39.299999999999997</v>
      </c>
      <c r="K893" s="7">
        <v>186.2</v>
      </c>
      <c r="L893" s="7">
        <v>108.1</v>
      </c>
      <c r="M893" s="7">
        <v>185.3</v>
      </c>
      <c r="N893" s="7">
        <v>266</v>
      </c>
      <c r="O893" s="7">
        <v>84</v>
      </c>
      <c r="P893" s="7">
        <v>126.9</v>
      </c>
      <c r="Q893" s="7">
        <v>7</v>
      </c>
    </row>
    <row r="894" spans="1:17">
      <c r="A894" s="2">
        <v>2842</v>
      </c>
      <c r="B894" s="7">
        <v>113</v>
      </c>
      <c r="C894" s="7">
        <v>20.399999999999999</v>
      </c>
      <c r="D894" s="7">
        <v>47.6</v>
      </c>
      <c r="E894" s="7">
        <v>7.6</v>
      </c>
      <c r="F894" s="7">
        <v>27.3</v>
      </c>
      <c r="G894" s="7">
        <v>22.5</v>
      </c>
      <c r="H894" s="7">
        <v>220.2</v>
      </c>
      <c r="I894" s="7">
        <v>71.8</v>
      </c>
      <c r="J894" s="7">
        <v>39.299999999999997</v>
      </c>
      <c r="K894" s="7">
        <v>186.2</v>
      </c>
      <c r="L894" s="7">
        <v>108.1</v>
      </c>
      <c r="M894" s="7">
        <v>185.3</v>
      </c>
      <c r="N894" s="7">
        <v>266</v>
      </c>
      <c r="O894" s="7">
        <v>84</v>
      </c>
      <c r="P894" s="7">
        <v>126.9</v>
      </c>
      <c r="Q894" s="7">
        <v>7</v>
      </c>
    </row>
    <row r="895" spans="1:17">
      <c r="A895" s="2">
        <v>2843</v>
      </c>
      <c r="B895" s="7">
        <v>113</v>
      </c>
      <c r="C895" s="7">
        <v>20.399999999999999</v>
      </c>
      <c r="D895" s="7">
        <v>47.6</v>
      </c>
      <c r="E895" s="7">
        <v>7.6</v>
      </c>
      <c r="F895" s="7">
        <v>27.3</v>
      </c>
      <c r="G895" s="7">
        <v>22.5</v>
      </c>
      <c r="H895" s="7">
        <v>220.2</v>
      </c>
      <c r="I895" s="7">
        <v>71.8</v>
      </c>
      <c r="J895" s="7">
        <v>39.299999999999997</v>
      </c>
      <c r="K895" s="7">
        <v>186.2</v>
      </c>
      <c r="L895" s="7">
        <v>108.1</v>
      </c>
      <c r="M895" s="7">
        <v>185.3</v>
      </c>
      <c r="N895" s="7">
        <v>266</v>
      </c>
      <c r="O895" s="7">
        <v>84</v>
      </c>
      <c r="P895" s="7">
        <v>126.9</v>
      </c>
      <c r="Q895" s="7">
        <v>7</v>
      </c>
    </row>
    <row r="896" spans="1:17">
      <c r="A896" s="2">
        <v>2844</v>
      </c>
      <c r="B896" s="7">
        <v>113</v>
      </c>
      <c r="C896" s="7">
        <v>20.399999999999999</v>
      </c>
      <c r="D896" s="7">
        <v>47.6</v>
      </c>
      <c r="E896" s="7">
        <v>7.6</v>
      </c>
      <c r="F896" s="7">
        <v>27.3</v>
      </c>
      <c r="G896" s="7">
        <v>22.5</v>
      </c>
      <c r="H896" s="7">
        <v>220.2</v>
      </c>
      <c r="I896" s="7">
        <v>71.8</v>
      </c>
      <c r="J896" s="7">
        <v>39.299999999999997</v>
      </c>
      <c r="K896" s="7">
        <v>186.2</v>
      </c>
      <c r="L896" s="7">
        <v>108.1</v>
      </c>
      <c r="M896" s="7">
        <v>185.3</v>
      </c>
      <c r="N896" s="7">
        <v>266</v>
      </c>
      <c r="O896" s="7">
        <v>84</v>
      </c>
      <c r="P896" s="7">
        <v>126.9</v>
      </c>
      <c r="Q896" s="7">
        <v>7</v>
      </c>
    </row>
    <row r="897" spans="1:17">
      <c r="A897" s="2">
        <v>2845</v>
      </c>
      <c r="B897" s="7">
        <v>113</v>
      </c>
      <c r="C897" s="7">
        <v>20.399999999999999</v>
      </c>
      <c r="D897" s="7">
        <v>47.6</v>
      </c>
      <c r="E897" s="7">
        <v>7.6</v>
      </c>
      <c r="F897" s="7">
        <v>27.3</v>
      </c>
      <c r="G897" s="7">
        <v>22.5</v>
      </c>
      <c r="H897" s="7">
        <v>220.2</v>
      </c>
      <c r="I897" s="7">
        <v>71.8</v>
      </c>
      <c r="J897" s="7">
        <v>39.299999999999997</v>
      </c>
      <c r="K897" s="7">
        <v>186.2</v>
      </c>
      <c r="L897" s="7">
        <v>108.1</v>
      </c>
      <c r="M897" s="7">
        <v>185.3</v>
      </c>
      <c r="N897" s="7">
        <v>266</v>
      </c>
      <c r="O897" s="7">
        <v>84</v>
      </c>
      <c r="P897" s="7">
        <v>126.9</v>
      </c>
      <c r="Q897" s="7">
        <v>7</v>
      </c>
    </row>
    <row r="898" spans="1:17">
      <c r="A898" s="2">
        <v>2846</v>
      </c>
      <c r="B898" s="7">
        <v>113</v>
      </c>
      <c r="C898" s="7">
        <v>20.399999999999999</v>
      </c>
      <c r="D898" s="7">
        <v>47.6</v>
      </c>
      <c r="E898" s="7">
        <v>7.6</v>
      </c>
      <c r="F898" s="7">
        <v>27.3</v>
      </c>
      <c r="G898" s="7">
        <v>22.5</v>
      </c>
      <c r="H898" s="7">
        <v>220.2</v>
      </c>
      <c r="I898" s="7">
        <v>71.8</v>
      </c>
      <c r="J898" s="7">
        <v>39.299999999999997</v>
      </c>
      <c r="K898" s="7">
        <v>186.2</v>
      </c>
      <c r="L898" s="7">
        <v>108.1</v>
      </c>
      <c r="M898" s="7">
        <v>185.3</v>
      </c>
      <c r="N898" s="7">
        <v>266</v>
      </c>
      <c r="O898" s="7">
        <v>84</v>
      </c>
      <c r="P898" s="7">
        <v>126.9</v>
      </c>
      <c r="Q898" s="7">
        <v>7</v>
      </c>
    </row>
    <row r="899" spans="1:17">
      <c r="A899" s="2">
        <v>2847</v>
      </c>
      <c r="B899" s="7">
        <v>113</v>
      </c>
      <c r="C899" s="7">
        <v>20.399999999999999</v>
      </c>
      <c r="D899" s="7">
        <v>47.6</v>
      </c>
      <c r="E899" s="7">
        <v>7.6</v>
      </c>
      <c r="F899" s="7">
        <v>27.3</v>
      </c>
      <c r="G899" s="7">
        <v>22.5</v>
      </c>
      <c r="H899" s="7">
        <v>220.2</v>
      </c>
      <c r="I899" s="7">
        <v>71.8</v>
      </c>
      <c r="J899" s="7">
        <v>39.299999999999997</v>
      </c>
      <c r="K899" s="7">
        <v>186.2</v>
      </c>
      <c r="L899" s="7">
        <v>108.1</v>
      </c>
      <c r="M899" s="7">
        <v>185.3</v>
      </c>
      <c r="N899" s="7">
        <v>266</v>
      </c>
      <c r="O899" s="7">
        <v>84</v>
      </c>
      <c r="P899" s="7">
        <v>126.9</v>
      </c>
      <c r="Q899" s="7">
        <v>7</v>
      </c>
    </row>
    <row r="900" spans="1:17">
      <c r="A900" s="2">
        <v>2848</v>
      </c>
      <c r="B900" s="7">
        <v>113</v>
      </c>
      <c r="C900" s="7">
        <v>20.399999999999999</v>
      </c>
      <c r="D900" s="7">
        <v>47.6</v>
      </c>
      <c r="E900" s="7">
        <v>7.6</v>
      </c>
      <c r="F900" s="7">
        <v>27.3</v>
      </c>
      <c r="G900" s="7">
        <v>22.5</v>
      </c>
      <c r="H900" s="7">
        <v>220.2</v>
      </c>
      <c r="I900" s="7">
        <v>71.8</v>
      </c>
      <c r="J900" s="7">
        <v>39.299999999999997</v>
      </c>
      <c r="K900" s="7">
        <v>186.2</v>
      </c>
      <c r="L900" s="7">
        <v>108.1</v>
      </c>
      <c r="M900" s="7">
        <v>185.3</v>
      </c>
      <c r="N900" s="7">
        <v>266</v>
      </c>
      <c r="O900" s="7">
        <v>84</v>
      </c>
      <c r="P900" s="7">
        <v>126.9</v>
      </c>
      <c r="Q900" s="7">
        <v>7</v>
      </c>
    </row>
    <row r="901" spans="1:17">
      <c r="A901" s="2">
        <v>2849</v>
      </c>
      <c r="B901" s="7">
        <v>113</v>
      </c>
      <c r="C901" s="7">
        <v>20.399999999999999</v>
      </c>
      <c r="D901" s="7">
        <v>47.6</v>
      </c>
      <c r="E901" s="7">
        <v>7.6</v>
      </c>
      <c r="F901" s="7">
        <v>27.3</v>
      </c>
      <c r="G901" s="7">
        <v>22.5</v>
      </c>
      <c r="H901" s="7">
        <v>220.2</v>
      </c>
      <c r="I901" s="7">
        <v>71.8</v>
      </c>
      <c r="J901" s="7">
        <v>39.299999999999997</v>
      </c>
      <c r="K901" s="7">
        <v>186.2</v>
      </c>
      <c r="L901" s="7">
        <v>108.1</v>
      </c>
      <c r="M901" s="7">
        <v>185.3</v>
      </c>
      <c r="N901" s="7">
        <v>266</v>
      </c>
      <c r="O901" s="7">
        <v>84</v>
      </c>
      <c r="P901" s="7">
        <v>126.9</v>
      </c>
      <c r="Q901" s="7">
        <v>7</v>
      </c>
    </row>
    <row r="902" spans="1:17">
      <c r="A902" s="2">
        <v>2850</v>
      </c>
      <c r="B902" s="7">
        <v>113</v>
      </c>
      <c r="C902" s="7">
        <v>20.399999999999999</v>
      </c>
      <c r="D902" s="7">
        <v>47.6</v>
      </c>
      <c r="E902" s="7">
        <v>7.6</v>
      </c>
      <c r="F902" s="7">
        <v>27.3</v>
      </c>
      <c r="G902" s="7">
        <v>22.5</v>
      </c>
      <c r="H902" s="7">
        <v>220.2</v>
      </c>
      <c r="I902" s="7">
        <v>71.8</v>
      </c>
      <c r="J902" s="7">
        <v>39.299999999999997</v>
      </c>
      <c r="K902" s="7">
        <v>186.2</v>
      </c>
      <c r="L902" s="7">
        <v>108.1</v>
      </c>
      <c r="M902" s="7">
        <v>185.3</v>
      </c>
      <c r="N902" s="7">
        <v>266</v>
      </c>
      <c r="O902" s="7">
        <v>84</v>
      </c>
      <c r="P902" s="7">
        <v>126.9</v>
      </c>
      <c r="Q902" s="7">
        <v>7</v>
      </c>
    </row>
    <row r="903" spans="1:17">
      <c r="A903" s="2">
        <v>2851</v>
      </c>
      <c r="B903" s="7">
        <v>113</v>
      </c>
      <c r="C903" s="7">
        <v>20.399999999999999</v>
      </c>
      <c r="D903" s="7">
        <v>47.6</v>
      </c>
      <c r="E903" s="7">
        <v>7.6</v>
      </c>
      <c r="F903" s="7">
        <v>27.3</v>
      </c>
      <c r="G903" s="7">
        <v>22.5</v>
      </c>
      <c r="H903" s="7">
        <v>220.2</v>
      </c>
      <c r="I903" s="7">
        <v>71.8</v>
      </c>
      <c r="J903" s="7">
        <v>39.299999999999997</v>
      </c>
      <c r="K903" s="7">
        <v>186.2</v>
      </c>
      <c r="L903" s="7">
        <v>108.1</v>
      </c>
      <c r="M903" s="7">
        <v>185.3</v>
      </c>
      <c r="N903" s="7">
        <v>266</v>
      </c>
      <c r="O903" s="7">
        <v>84</v>
      </c>
      <c r="P903" s="7">
        <v>126.9</v>
      </c>
      <c r="Q903" s="7">
        <v>7</v>
      </c>
    </row>
    <row r="904" spans="1:17">
      <c r="A904" s="2">
        <v>2852</v>
      </c>
      <c r="B904" s="7">
        <v>113</v>
      </c>
      <c r="C904" s="7">
        <v>20.399999999999999</v>
      </c>
      <c r="D904" s="7">
        <v>47.6</v>
      </c>
      <c r="E904" s="7">
        <v>7.6</v>
      </c>
      <c r="F904" s="7">
        <v>27.3</v>
      </c>
      <c r="G904" s="7">
        <v>22.5</v>
      </c>
      <c r="H904" s="7">
        <v>220.2</v>
      </c>
      <c r="I904" s="7">
        <v>71.8</v>
      </c>
      <c r="J904" s="7">
        <v>39.299999999999997</v>
      </c>
      <c r="K904" s="7">
        <v>186.2</v>
      </c>
      <c r="L904" s="7">
        <v>108.1</v>
      </c>
      <c r="M904" s="7">
        <v>185.3</v>
      </c>
      <c r="N904" s="7">
        <v>266</v>
      </c>
      <c r="O904" s="7">
        <v>84</v>
      </c>
      <c r="P904" s="7">
        <v>126.9</v>
      </c>
      <c r="Q904" s="7">
        <v>7</v>
      </c>
    </row>
    <row r="905" spans="1:17">
      <c r="A905" s="2">
        <v>2853</v>
      </c>
      <c r="B905" s="7">
        <v>113</v>
      </c>
      <c r="C905" s="7">
        <v>20.399999999999999</v>
      </c>
      <c r="D905" s="7">
        <v>47.6</v>
      </c>
      <c r="E905" s="7">
        <v>7.6</v>
      </c>
      <c r="F905" s="7">
        <v>27.3</v>
      </c>
      <c r="G905" s="7">
        <v>22.5</v>
      </c>
      <c r="H905" s="7">
        <v>220.2</v>
      </c>
      <c r="I905" s="7">
        <v>71.8</v>
      </c>
      <c r="J905" s="7">
        <v>39.299999999999997</v>
      </c>
      <c r="K905" s="7">
        <v>186.2</v>
      </c>
      <c r="L905" s="7">
        <v>108.1</v>
      </c>
      <c r="M905" s="7">
        <v>185.3</v>
      </c>
      <c r="N905" s="7">
        <v>266</v>
      </c>
      <c r="O905" s="7">
        <v>84</v>
      </c>
      <c r="P905" s="7">
        <v>126.9</v>
      </c>
      <c r="Q905" s="7">
        <v>7</v>
      </c>
    </row>
    <row r="906" spans="1:17">
      <c r="A906" s="2">
        <v>2854</v>
      </c>
      <c r="B906" s="7">
        <v>113</v>
      </c>
      <c r="C906" s="7">
        <v>20.399999999999999</v>
      </c>
      <c r="D906" s="7">
        <v>47.6</v>
      </c>
      <c r="E906" s="7">
        <v>7.6</v>
      </c>
      <c r="F906" s="7">
        <v>27.3</v>
      </c>
      <c r="G906" s="7">
        <v>22.5</v>
      </c>
      <c r="H906" s="7">
        <v>220.2</v>
      </c>
      <c r="I906" s="7">
        <v>71.8</v>
      </c>
      <c r="J906" s="7">
        <v>39.299999999999997</v>
      </c>
      <c r="K906" s="7">
        <v>186.2</v>
      </c>
      <c r="L906" s="7">
        <v>108.1</v>
      </c>
      <c r="M906" s="7">
        <v>185.3</v>
      </c>
      <c r="N906" s="7">
        <v>266</v>
      </c>
      <c r="O906" s="7">
        <v>84</v>
      </c>
      <c r="P906" s="7">
        <v>126.9</v>
      </c>
      <c r="Q906" s="7">
        <v>7</v>
      </c>
    </row>
    <row r="907" spans="1:17">
      <c r="A907" s="2">
        <v>2855</v>
      </c>
      <c r="B907" s="7">
        <v>113</v>
      </c>
      <c r="C907" s="7">
        <v>20.399999999999999</v>
      </c>
      <c r="D907" s="7">
        <v>47.6</v>
      </c>
      <c r="E907" s="7">
        <v>7.6</v>
      </c>
      <c r="F907" s="7">
        <v>27.3</v>
      </c>
      <c r="G907" s="7">
        <v>22.5</v>
      </c>
      <c r="H907" s="7">
        <v>220.2</v>
      </c>
      <c r="I907" s="7">
        <v>71.8</v>
      </c>
      <c r="J907" s="7">
        <v>39.299999999999997</v>
      </c>
      <c r="K907" s="7">
        <v>186.2</v>
      </c>
      <c r="L907" s="7">
        <v>108.1</v>
      </c>
      <c r="M907" s="7">
        <v>185.3</v>
      </c>
      <c r="N907" s="7">
        <v>266</v>
      </c>
      <c r="O907" s="7">
        <v>84</v>
      </c>
      <c r="P907" s="7">
        <v>126.9</v>
      </c>
      <c r="Q907" s="7">
        <v>7</v>
      </c>
    </row>
    <row r="908" spans="1:17">
      <c r="A908" s="2">
        <v>2856</v>
      </c>
      <c r="B908" s="7">
        <v>113</v>
      </c>
      <c r="C908" s="7">
        <v>20.399999999999999</v>
      </c>
      <c r="D908" s="7">
        <v>47.6</v>
      </c>
      <c r="E908" s="7">
        <v>7.6</v>
      </c>
      <c r="F908" s="7">
        <v>27.3</v>
      </c>
      <c r="G908" s="7">
        <v>22.5</v>
      </c>
      <c r="H908" s="7">
        <v>220.2</v>
      </c>
      <c r="I908" s="7">
        <v>71.8</v>
      </c>
      <c r="J908" s="7">
        <v>39.299999999999997</v>
      </c>
      <c r="K908" s="7">
        <v>186.2</v>
      </c>
      <c r="L908" s="7">
        <v>108.1</v>
      </c>
      <c r="M908" s="7">
        <v>185.3</v>
      </c>
      <c r="N908" s="7">
        <v>266</v>
      </c>
      <c r="O908" s="7">
        <v>84</v>
      </c>
      <c r="P908" s="7">
        <v>126.9</v>
      </c>
      <c r="Q908" s="7">
        <v>7</v>
      </c>
    </row>
    <row r="909" spans="1:17">
      <c r="A909" s="2">
        <v>2857</v>
      </c>
      <c r="B909" s="7">
        <v>113</v>
      </c>
      <c r="C909" s="7">
        <v>20.399999999999999</v>
      </c>
      <c r="D909" s="7">
        <v>47.6</v>
      </c>
      <c r="E909" s="7">
        <v>7.6</v>
      </c>
      <c r="F909" s="7">
        <v>27.3</v>
      </c>
      <c r="G909" s="7">
        <v>22.5</v>
      </c>
      <c r="H909" s="7">
        <v>220.2</v>
      </c>
      <c r="I909" s="7">
        <v>71.8</v>
      </c>
      <c r="J909" s="7">
        <v>39.299999999999997</v>
      </c>
      <c r="K909" s="7">
        <v>186.2</v>
      </c>
      <c r="L909" s="7">
        <v>108.1</v>
      </c>
      <c r="M909" s="7">
        <v>185.3</v>
      </c>
      <c r="N909" s="7">
        <v>266</v>
      </c>
      <c r="O909" s="7">
        <v>84</v>
      </c>
      <c r="P909" s="7">
        <v>126.9</v>
      </c>
      <c r="Q909" s="7">
        <v>7</v>
      </c>
    </row>
    <row r="910" spans="1:17">
      <c r="A910" s="2">
        <v>2858</v>
      </c>
      <c r="B910" s="7">
        <v>113</v>
      </c>
      <c r="C910" s="7">
        <v>20.399999999999999</v>
      </c>
      <c r="D910" s="7">
        <v>47.6</v>
      </c>
      <c r="E910" s="7">
        <v>7.6</v>
      </c>
      <c r="F910" s="7">
        <v>27.3</v>
      </c>
      <c r="G910" s="7">
        <v>22.5</v>
      </c>
      <c r="H910" s="7">
        <v>220.2</v>
      </c>
      <c r="I910" s="7">
        <v>71.8</v>
      </c>
      <c r="J910" s="7">
        <v>39.299999999999997</v>
      </c>
      <c r="K910" s="7">
        <v>186.2</v>
      </c>
      <c r="L910" s="7">
        <v>108.1</v>
      </c>
      <c r="M910" s="7">
        <v>185.3</v>
      </c>
      <c r="N910" s="7">
        <v>266</v>
      </c>
      <c r="O910" s="7">
        <v>84</v>
      </c>
      <c r="P910" s="7">
        <v>126.9</v>
      </c>
      <c r="Q910" s="7">
        <v>7</v>
      </c>
    </row>
    <row r="911" spans="1:17">
      <c r="A911" s="2">
        <v>2859</v>
      </c>
      <c r="B911" s="7">
        <v>113</v>
      </c>
      <c r="C911" s="7">
        <v>20.399999999999999</v>
      </c>
      <c r="D911" s="7">
        <v>47.6</v>
      </c>
      <c r="E911" s="7">
        <v>7.6</v>
      </c>
      <c r="F911" s="7">
        <v>27.3</v>
      </c>
      <c r="G911" s="7">
        <v>22.5</v>
      </c>
      <c r="H911" s="7">
        <v>220.2</v>
      </c>
      <c r="I911" s="7">
        <v>71.8</v>
      </c>
      <c r="J911" s="7">
        <v>39.299999999999997</v>
      </c>
      <c r="K911" s="7">
        <v>186.2</v>
      </c>
      <c r="L911" s="7">
        <v>108.1</v>
      </c>
      <c r="M911" s="7">
        <v>185.3</v>
      </c>
      <c r="N911" s="7">
        <v>266</v>
      </c>
      <c r="O911" s="7">
        <v>84</v>
      </c>
      <c r="P911" s="7">
        <v>126.9</v>
      </c>
      <c r="Q911" s="7">
        <v>7</v>
      </c>
    </row>
    <row r="912" spans="1:17">
      <c r="A912" s="2">
        <v>2860</v>
      </c>
      <c r="B912" s="7">
        <v>113</v>
      </c>
      <c r="C912" s="7">
        <v>20.399999999999999</v>
      </c>
      <c r="D912" s="7">
        <v>47.6</v>
      </c>
      <c r="E912" s="7">
        <v>7.6</v>
      </c>
      <c r="F912" s="7">
        <v>27.3</v>
      </c>
      <c r="G912" s="7">
        <v>22.5</v>
      </c>
      <c r="H912" s="7">
        <v>220.2</v>
      </c>
      <c r="I912" s="7">
        <v>71.8</v>
      </c>
      <c r="J912" s="7">
        <v>39.299999999999997</v>
      </c>
      <c r="K912" s="7">
        <v>186.2</v>
      </c>
      <c r="L912" s="7">
        <v>108.1</v>
      </c>
      <c r="M912" s="7">
        <v>185.3</v>
      </c>
      <c r="N912" s="7">
        <v>266</v>
      </c>
      <c r="O912" s="7">
        <v>84</v>
      </c>
      <c r="P912" s="7">
        <v>126.9</v>
      </c>
      <c r="Q912" s="7">
        <v>7</v>
      </c>
    </row>
    <row r="913" spans="1:17">
      <c r="A913" s="2">
        <v>2861</v>
      </c>
      <c r="B913" s="7">
        <v>113</v>
      </c>
      <c r="C913" s="7">
        <v>20.399999999999999</v>
      </c>
      <c r="D913" s="7">
        <v>47.6</v>
      </c>
      <c r="E913" s="7">
        <v>7.6</v>
      </c>
      <c r="F913" s="7">
        <v>27.3</v>
      </c>
      <c r="G913" s="7">
        <v>22.5</v>
      </c>
      <c r="H913" s="7">
        <v>220.2</v>
      </c>
      <c r="I913" s="7">
        <v>71.8</v>
      </c>
      <c r="J913" s="7">
        <v>39.299999999999997</v>
      </c>
      <c r="K913" s="7">
        <v>186.2</v>
      </c>
      <c r="L913" s="7">
        <v>108.1</v>
      </c>
      <c r="M913" s="7">
        <v>185.3</v>
      </c>
      <c r="N913" s="7">
        <v>266</v>
      </c>
      <c r="O913" s="7">
        <v>84</v>
      </c>
      <c r="P913" s="7">
        <v>126.9</v>
      </c>
      <c r="Q913" s="7">
        <v>7</v>
      </c>
    </row>
    <row r="914" spans="1:17">
      <c r="A914" s="2">
        <v>2862</v>
      </c>
      <c r="B914" s="7">
        <v>113</v>
      </c>
      <c r="C914" s="7">
        <v>20.399999999999999</v>
      </c>
      <c r="D914" s="7">
        <v>47.6</v>
      </c>
      <c r="E914" s="7">
        <v>7.6</v>
      </c>
      <c r="F914" s="7">
        <v>27.3</v>
      </c>
      <c r="G914" s="7">
        <v>22.5</v>
      </c>
      <c r="H914" s="7">
        <v>220.2</v>
      </c>
      <c r="I914" s="7">
        <v>71.8</v>
      </c>
      <c r="J914" s="7">
        <v>39.299999999999997</v>
      </c>
      <c r="K914" s="7">
        <v>186.2</v>
      </c>
      <c r="L914" s="7">
        <v>108.1</v>
      </c>
      <c r="M914" s="7">
        <v>185.3</v>
      </c>
      <c r="N914" s="7">
        <v>266</v>
      </c>
      <c r="O914" s="7">
        <v>84</v>
      </c>
      <c r="P914" s="7">
        <v>126.9</v>
      </c>
      <c r="Q914" s="7">
        <v>7</v>
      </c>
    </row>
    <row r="915" spans="1:17">
      <c r="A915" s="2">
        <v>2863</v>
      </c>
      <c r="B915" s="7">
        <v>113</v>
      </c>
      <c r="C915" s="7">
        <v>20.399999999999999</v>
      </c>
      <c r="D915" s="7">
        <v>47.6</v>
      </c>
      <c r="E915" s="7">
        <v>7.6</v>
      </c>
      <c r="F915" s="7">
        <v>27.3</v>
      </c>
      <c r="G915" s="7">
        <v>22.5</v>
      </c>
      <c r="H915" s="7">
        <v>220.2</v>
      </c>
      <c r="I915" s="7">
        <v>71.8</v>
      </c>
      <c r="J915" s="7">
        <v>39.299999999999997</v>
      </c>
      <c r="K915" s="7">
        <v>186.2</v>
      </c>
      <c r="L915" s="7">
        <v>108.1</v>
      </c>
      <c r="M915" s="7">
        <v>185.3</v>
      </c>
      <c r="N915" s="7">
        <v>266</v>
      </c>
      <c r="O915" s="7">
        <v>84</v>
      </c>
      <c r="P915" s="7">
        <v>126.9</v>
      </c>
      <c r="Q915" s="7">
        <v>7</v>
      </c>
    </row>
    <row r="916" spans="1:17">
      <c r="A916" s="2">
        <v>2864</v>
      </c>
      <c r="B916" s="7">
        <v>113</v>
      </c>
      <c r="C916" s="7">
        <v>20.399999999999999</v>
      </c>
      <c r="D916" s="7">
        <v>47.6</v>
      </c>
      <c r="E916" s="7">
        <v>7.6</v>
      </c>
      <c r="F916" s="7">
        <v>27.3</v>
      </c>
      <c r="G916" s="7">
        <v>22.5</v>
      </c>
      <c r="H916" s="7">
        <v>220.2</v>
      </c>
      <c r="I916" s="7">
        <v>71.8</v>
      </c>
      <c r="J916" s="7">
        <v>39.299999999999997</v>
      </c>
      <c r="K916" s="7">
        <v>186.2</v>
      </c>
      <c r="L916" s="7">
        <v>108.1</v>
      </c>
      <c r="M916" s="7">
        <v>185.3</v>
      </c>
      <c r="N916" s="7">
        <v>266</v>
      </c>
      <c r="O916" s="7">
        <v>84</v>
      </c>
      <c r="P916" s="7">
        <v>126.9</v>
      </c>
      <c r="Q916" s="7">
        <v>7</v>
      </c>
    </row>
    <row r="917" spans="1:17">
      <c r="A917" s="2">
        <v>2865</v>
      </c>
      <c r="B917" s="7">
        <v>113</v>
      </c>
      <c r="C917" s="7">
        <v>20.399999999999999</v>
      </c>
      <c r="D917" s="7">
        <v>47.6</v>
      </c>
      <c r="E917" s="7">
        <v>7.6</v>
      </c>
      <c r="F917" s="7">
        <v>27.3</v>
      </c>
      <c r="G917" s="7">
        <v>22.5</v>
      </c>
      <c r="H917" s="7">
        <v>220.2</v>
      </c>
      <c r="I917" s="7">
        <v>71.8</v>
      </c>
      <c r="J917" s="7">
        <v>39.299999999999997</v>
      </c>
      <c r="K917" s="7">
        <v>186.2</v>
      </c>
      <c r="L917" s="7">
        <v>108.1</v>
      </c>
      <c r="M917" s="7">
        <v>185.3</v>
      </c>
      <c r="N917" s="7">
        <v>266</v>
      </c>
      <c r="O917" s="7">
        <v>84</v>
      </c>
      <c r="P917" s="7">
        <v>126.9</v>
      </c>
      <c r="Q917" s="7">
        <v>7</v>
      </c>
    </row>
    <row r="918" spans="1:17">
      <c r="A918" s="2">
        <v>2866</v>
      </c>
      <c r="B918" s="7">
        <v>113</v>
      </c>
      <c r="C918" s="7">
        <v>20.399999999999999</v>
      </c>
      <c r="D918" s="7">
        <v>47.6</v>
      </c>
      <c r="E918" s="7">
        <v>7.6</v>
      </c>
      <c r="F918" s="7">
        <v>27.3</v>
      </c>
      <c r="G918" s="7">
        <v>22.5</v>
      </c>
      <c r="H918" s="7">
        <v>220.2</v>
      </c>
      <c r="I918" s="7">
        <v>71.8</v>
      </c>
      <c r="J918" s="7">
        <v>39.299999999999997</v>
      </c>
      <c r="K918" s="7">
        <v>186.2</v>
      </c>
      <c r="L918" s="7">
        <v>108.1</v>
      </c>
      <c r="M918" s="7">
        <v>185.3</v>
      </c>
      <c r="N918" s="7">
        <v>266</v>
      </c>
      <c r="O918" s="7">
        <v>84</v>
      </c>
      <c r="P918" s="7">
        <v>126.9</v>
      </c>
      <c r="Q918" s="7">
        <v>7</v>
      </c>
    </row>
    <row r="919" spans="1:17">
      <c r="A919" s="2">
        <v>2867</v>
      </c>
      <c r="B919" s="7">
        <v>113</v>
      </c>
      <c r="C919" s="7">
        <v>20.399999999999999</v>
      </c>
      <c r="D919" s="7">
        <v>47.6</v>
      </c>
      <c r="E919" s="7">
        <v>7.6</v>
      </c>
      <c r="F919" s="7">
        <v>27.3</v>
      </c>
      <c r="G919" s="7">
        <v>22.5</v>
      </c>
      <c r="H919" s="7">
        <v>220.2</v>
      </c>
      <c r="I919" s="7">
        <v>71.8</v>
      </c>
      <c r="J919" s="7">
        <v>39.299999999999997</v>
      </c>
      <c r="K919" s="7">
        <v>186.2</v>
      </c>
      <c r="L919" s="7">
        <v>108.1</v>
      </c>
      <c r="M919" s="7">
        <v>185.3</v>
      </c>
      <c r="N919" s="7">
        <v>266</v>
      </c>
      <c r="O919" s="7">
        <v>84</v>
      </c>
      <c r="P919" s="7">
        <v>126.9</v>
      </c>
      <c r="Q919" s="7">
        <v>7</v>
      </c>
    </row>
    <row r="920" spans="1:17">
      <c r="A920" s="2">
        <v>2868</v>
      </c>
      <c r="B920" s="7">
        <v>113</v>
      </c>
      <c r="C920" s="7">
        <v>20.399999999999999</v>
      </c>
      <c r="D920" s="7">
        <v>47.6</v>
      </c>
      <c r="E920" s="7">
        <v>7.6</v>
      </c>
      <c r="F920" s="7">
        <v>27.3</v>
      </c>
      <c r="G920" s="7">
        <v>22.5</v>
      </c>
      <c r="H920" s="7">
        <v>220.2</v>
      </c>
      <c r="I920" s="7">
        <v>71.8</v>
      </c>
      <c r="J920" s="7">
        <v>39.299999999999997</v>
      </c>
      <c r="K920" s="7">
        <v>186.2</v>
      </c>
      <c r="L920" s="7">
        <v>108.1</v>
      </c>
      <c r="M920" s="7">
        <v>185.3</v>
      </c>
      <c r="N920" s="7">
        <v>266</v>
      </c>
      <c r="O920" s="7">
        <v>84</v>
      </c>
      <c r="P920" s="7">
        <v>126.9</v>
      </c>
      <c r="Q920" s="7">
        <v>7</v>
      </c>
    </row>
    <row r="921" spans="1:17">
      <c r="A921" s="2">
        <v>2869</v>
      </c>
      <c r="B921" s="7">
        <v>113</v>
      </c>
      <c r="C921" s="7">
        <v>20.399999999999999</v>
      </c>
      <c r="D921" s="7">
        <v>47.6</v>
      </c>
      <c r="E921" s="7">
        <v>7.6</v>
      </c>
      <c r="F921" s="7">
        <v>27.3</v>
      </c>
      <c r="G921" s="7">
        <v>22.5</v>
      </c>
      <c r="H921" s="7">
        <v>220.2</v>
      </c>
      <c r="I921" s="7">
        <v>71.8</v>
      </c>
      <c r="J921" s="7">
        <v>39.299999999999997</v>
      </c>
      <c r="K921" s="7">
        <v>186.2</v>
      </c>
      <c r="L921" s="7">
        <v>108.1</v>
      </c>
      <c r="M921" s="7">
        <v>185.3</v>
      </c>
      <c r="N921" s="7">
        <v>266</v>
      </c>
      <c r="O921" s="7">
        <v>84</v>
      </c>
      <c r="P921" s="7">
        <v>126.9</v>
      </c>
      <c r="Q921" s="7">
        <v>7</v>
      </c>
    </row>
    <row r="922" spans="1:17">
      <c r="A922" s="2">
        <v>2870</v>
      </c>
      <c r="B922" s="7">
        <v>113</v>
      </c>
      <c r="C922" s="7">
        <v>20.399999999999999</v>
      </c>
      <c r="D922" s="7">
        <v>47.6</v>
      </c>
      <c r="E922" s="7">
        <v>7.6</v>
      </c>
      <c r="F922" s="7">
        <v>27.3</v>
      </c>
      <c r="G922" s="7">
        <v>22.5</v>
      </c>
      <c r="H922" s="7">
        <v>220.2</v>
      </c>
      <c r="I922" s="7">
        <v>71.8</v>
      </c>
      <c r="J922" s="7">
        <v>39.299999999999997</v>
      </c>
      <c r="K922" s="7">
        <v>186.2</v>
      </c>
      <c r="L922" s="7">
        <v>108.1</v>
      </c>
      <c r="M922" s="7">
        <v>185.3</v>
      </c>
      <c r="N922" s="7">
        <v>266</v>
      </c>
      <c r="O922" s="7">
        <v>84</v>
      </c>
      <c r="P922" s="7">
        <v>126.9</v>
      </c>
      <c r="Q922" s="7">
        <v>7</v>
      </c>
    </row>
    <row r="923" spans="1:17">
      <c r="A923" s="2">
        <v>2871</v>
      </c>
      <c r="B923" s="7">
        <v>113</v>
      </c>
      <c r="C923" s="7">
        <v>20.399999999999999</v>
      </c>
      <c r="D923" s="7">
        <v>47.6</v>
      </c>
      <c r="E923" s="7">
        <v>7.6</v>
      </c>
      <c r="F923" s="7">
        <v>27.3</v>
      </c>
      <c r="G923" s="7">
        <v>22.5</v>
      </c>
      <c r="H923" s="7">
        <v>220.2</v>
      </c>
      <c r="I923" s="7">
        <v>71.8</v>
      </c>
      <c r="J923" s="7">
        <v>39.299999999999997</v>
      </c>
      <c r="K923" s="7">
        <v>186.2</v>
      </c>
      <c r="L923" s="7">
        <v>108.1</v>
      </c>
      <c r="M923" s="7">
        <v>185.3</v>
      </c>
      <c r="N923" s="7">
        <v>266</v>
      </c>
      <c r="O923" s="7">
        <v>84</v>
      </c>
      <c r="P923" s="7">
        <v>126.9</v>
      </c>
      <c r="Q923" s="7">
        <v>7</v>
      </c>
    </row>
    <row r="924" spans="1:17">
      <c r="A924" s="2">
        <v>2872</v>
      </c>
      <c r="B924" s="7">
        <v>113</v>
      </c>
      <c r="C924" s="7">
        <v>20.399999999999999</v>
      </c>
      <c r="D924" s="7">
        <v>47.6</v>
      </c>
      <c r="E924" s="7">
        <v>7.6</v>
      </c>
      <c r="F924" s="7">
        <v>27.3</v>
      </c>
      <c r="G924" s="7">
        <v>22.5</v>
      </c>
      <c r="H924" s="7">
        <v>220.2</v>
      </c>
      <c r="I924" s="7">
        <v>71.8</v>
      </c>
      <c r="J924" s="7">
        <v>39.299999999999997</v>
      </c>
      <c r="K924" s="7">
        <v>186.2</v>
      </c>
      <c r="L924" s="7">
        <v>108.1</v>
      </c>
      <c r="M924" s="7">
        <v>185.3</v>
      </c>
      <c r="N924" s="7">
        <v>266</v>
      </c>
      <c r="O924" s="7">
        <v>84</v>
      </c>
      <c r="P924" s="7">
        <v>126.9</v>
      </c>
      <c r="Q924" s="7">
        <v>7</v>
      </c>
    </row>
    <row r="925" spans="1:17">
      <c r="A925" s="2">
        <v>2873</v>
      </c>
      <c r="B925" s="7">
        <v>113</v>
      </c>
      <c r="C925" s="7">
        <v>20.399999999999999</v>
      </c>
      <c r="D925" s="7">
        <v>47.6</v>
      </c>
      <c r="E925" s="7">
        <v>7.6</v>
      </c>
      <c r="F925" s="7">
        <v>27.3</v>
      </c>
      <c r="G925" s="7">
        <v>22.5</v>
      </c>
      <c r="H925" s="7">
        <v>220.2</v>
      </c>
      <c r="I925" s="7">
        <v>71.8</v>
      </c>
      <c r="J925" s="7">
        <v>39.299999999999997</v>
      </c>
      <c r="K925" s="7">
        <v>186.2</v>
      </c>
      <c r="L925" s="7">
        <v>108.1</v>
      </c>
      <c r="M925" s="7">
        <v>185.3</v>
      </c>
      <c r="N925" s="7">
        <v>266</v>
      </c>
      <c r="O925" s="7">
        <v>84</v>
      </c>
      <c r="P925" s="7">
        <v>126.9</v>
      </c>
      <c r="Q925" s="7">
        <v>7</v>
      </c>
    </row>
    <row r="926" spans="1:17">
      <c r="A926" s="2">
        <v>2874</v>
      </c>
      <c r="B926" s="7">
        <v>113</v>
      </c>
      <c r="C926" s="7">
        <v>20.399999999999999</v>
      </c>
      <c r="D926" s="7">
        <v>47.6</v>
      </c>
      <c r="E926" s="7">
        <v>7.6</v>
      </c>
      <c r="F926" s="7">
        <v>27.3</v>
      </c>
      <c r="G926" s="7">
        <v>22.5</v>
      </c>
      <c r="H926" s="7">
        <v>220.2</v>
      </c>
      <c r="I926" s="7">
        <v>71.8</v>
      </c>
      <c r="J926" s="7">
        <v>39.299999999999997</v>
      </c>
      <c r="K926" s="7">
        <v>186.2</v>
      </c>
      <c r="L926" s="7">
        <v>108.1</v>
      </c>
      <c r="M926" s="7">
        <v>185.3</v>
      </c>
      <c r="N926" s="7">
        <v>266</v>
      </c>
      <c r="O926" s="7">
        <v>84</v>
      </c>
      <c r="P926" s="7">
        <v>126.9</v>
      </c>
      <c r="Q926" s="7">
        <v>7</v>
      </c>
    </row>
    <row r="927" spans="1:17">
      <c r="A927" s="2">
        <v>2875</v>
      </c>
      <c r="B927" s="7">
        <v>113</v>
      </c>
      <c r="C927" s="7">
        <v>20.399999999999999</v>
      </c>
      <c r="D927" s="7">
        <v>47.6</v>
      </c>
      <c r="E927" s="7">
        <v>7.6</v>
      </c>
      <c r="F927" s="7">
        <v>27.3</v>
      </c>
      <c r="G927" s="7">
        <v>22.5</v>
      </c>
      <c r="H927" s="7">
        <v>220.2</v>
      </c>
      <c r="I927" s="7">
        <v>71.8</v>
      </c>
      <c r="J927" s="7">
        <v>39.299999999999997</v>
      </c>
      <c r="K927" s="7">
        <v>186.2</v>
      </c>
      <c r="L927" s="7">
        <v>108.1</v>
      </c>
      <c r="M927" s="7">
        <v>185.3</v>
      </c>
      <c r="N927" s="7">
        <v>266</v>
      </c>
      <c r="O927" s="7">
        <v>84</v>
      </c>
      <c r="P927" s="7">
        <v>126.9</v>
      </c>
      <c r="Q927" s="7">
        <v>7</v>
      </c>
    </row>
    <row r="928" spans="1:17">
      <c r="A928" s="2">
        <v>2876</v>
      </c>
      <c r="B928" s="7">
        <v>113</v>
      </c>
      <c r="C928" s="7">
        <v>20.399999999999999</v>
      </c>
      <c r="D928" s="7">
        <v>47.6</v>
      </c>
      <c r="E928" s="7">
        <v>7.6</v>
      </c>
      <c r="F928" s="7">
        <v>27.3</v>
      </c>
      <c r="G928" s="7">
        <v>22.5</v>
      </c>
      <c r="H928" s="7">
        <v>220.2</v>
      </c>
      <c r="I928" s="7">
        <v>71.8</v>
      </c>
      <c r="J928" s="7">
        <v>39.299999999999997</v>
      </c>
      <c r="K928" s="7">
        <v>186.2</v>
      </c>
      <c r="L928" s="7">
        <v>108.1</v>
      </c>
      <c r="M928" s="7">
        <v>185.3</v>
      </c>
      <c r="N928" s="7">
        <v>266</v>
      </c>
      <c r="O928" s="7">
        <v>84</v>
      </c>
      <c r="P928" s="7">
        <v>126.9</v>
      </c>
      <c r="Q928" s="7">
        <v>7</v>
      </c>
    </row>
    <row r="929" spans="1:17">
      <c r="A929" s="2">
        <v>2877</v>
      </c>
      <c r="B929" s="7">
        <v>113</v>
      </c>
      <c r="C929" s="7">
        <v>20.399999999999999</v>
      </c>
      <c r="D929" s="7">
        <v>47.6</v>
      </c>
      <c r="E929" s="7">
        <v>7.6</v>
      </c>
      <c r="F929" s="7">
        <v>27.3</v>
      </c>
      <c r="G929" s="7">
        <v>22.5</v>
      </c>
      <c r="H929" s="7">
        <v>220.2</v>
      </c>
      <c r="I929" s="7">
        <v>71.8</v>
      </c>
      <c r="J929" s="7">
        <v>39.299999999999997</v>
      </c>
      <c r="K929" s="7">
        <v>186.2</v>
      </c>
      <c r="L929" s="7">
        <v>108.1</v>
      </c>
      <c r="M929" s="7">
        <v>185.3</v>
      </c>
      <c r="N929" s="7">
        <v>266</v>
      </c>
      <c r="O929" s="7">
        <v>84</v>
      </c>
      <c r="P929" s="7">
        <v>126.9</v>
      </c>
      <c r="Q929" s="7">
        <v>7</v>
      </c>
    </row>
    <row r="930" spans="1:17">
      <c r="A930" s="2">
        <v>2878</v>
      </c>
      <c r="B930" s="7">
        <v>113</v>
      </c>
      <c r="C930" s="7">
        <v>20.399999999999999</v>
      </c>
      <c r="D930" s="7">
        <v>47.6</v>
      </c>
      <c r="E930" s="7">
        <v>7.6</v>
      </c>
      <c r="F930" s="7">
        <v>27.3</v>
      </c>
      <c r="G930" s="7">
        <v>22.5</v>
      </c>
      <c r="H930" s="7">
        <v>220.2</v>
      </c>
      <c r="I930" s="7">
        <v>71.8</v>
      </c>
      <c r="J930" s="7">
        <v>39.299999999999997</v>
      </c>
      <c r="K930" s="7">
        <v>186.2</v>
      </c>
      <c r="L930" s="7">
        <v>108.1</v>
      </c>
      <c r="M930" s="7">
        <v>185.3</v>
      </c>
      <c r="N930" s="7">
        <v>266</v>
      </c>
      <c r="O930" s="7">
        <v>84</v>
      </c>
      <c r="P930" s="7">
        <v>126.9</v>
      </c>
      <c r="Q930" s="7">
        <v>7</v>
      </c>
    </row>
    <row r="931" spans="1:17">
      <c r="A931" s="2">
        <v>2879</v>
      </c>
      <c r="B931" s="7">
        <v>113</v>
      </c>
      <c r="C931" s="7">
        <v>20.399999999999999</v>
      </c>
      <c r="D931" s="7">
        <v>47.6</v>
      </c>
      <c r="E931" s="7">
        <v>7.6</v>
      </c>
      <c r="F931" s="7">
        <v>27.3</v>
      </c>
      <c r="G931" s="7">
        <v>22.5</v>
      </c>
      <c r="H931" s="7">
        <v>220.2</v>
      </c>
      <c r="I931" s="7">
        <v>71.8</v>
      </c>
      <c r="J931" s="7">
        <v>39.299999999999997</v>
      </c>
      <c r="K931" s="7">
        <v>186.2</v>
      </c>
      <c r="L931" s="7">
        <v>108.1</v>
      </c>
      <c r="M931" s="7">
        <v>185.3</v>
      </c>
      <c r="N931" s="7">
        <v>266</v>
      </c>
      <c r="O931" s="7">
        <v>84</v>
      </c>
      <c r="P931" s="7">
        <v>126.9</v>
      </c>
      <c r="Q931" s="7">
        <v>7</v>
      </c>
    </row>
    <row r="932" spans="1:17">
      <c r="A932" s="2">
        <v>2880</v>
      </c>
      <c r="B932" s="7">
        <v>113</v>
      </c>
      <c r="C932" s="7">
        <v>20.399999999999999</v>
      </c>
      <c r="D932" s="7">
        <v>47.6</v>
      </c>
      <c r="E932" s="7">
        <v>7.6</v>
      </c>
      <c r="F932" s="7">
        <v>27.3</v>
      </c>
      <c r="G932" s="7">
        <v>22.5</v>
      </c>
      <c r="H932" s="7">
        <v>220.2</v>
      </c>
      <c r="I932" s="7">
        <v>71.8</v>
      </c>
      <c r="J932" s="7">
        <v>39.299999999999997</v>
      </c>
      <c r="K932" s="7">
        <v>186.2</v>
      </c>
      <c r="L932" s="7">
        <v>108.1</v>
      </c>
      <c r="M932" s="7">
        <v>185.3</v>
      </c>
      <c r="N932" s="7">
        <v>266</v>
      </c>
      <c r="O932" s="7">
        <v>84</v>
      </c>
      <c r="P932" s="7">
        <v>126.9</v>
      </c>
      <c r="Q932" s="7">
        <v>7</v>
      </c>
    </row>
    <row r="933" spans="1:17">
      <c r="A933" s="2">
        <v>2881</v>
      </c>
      <c r="B933" s="7">
        <v>113</v>
      </c>
      <c r="C933" s="7">
        <v>20.399999999999999</v>
      </c>
      <c r="D933" s="7">
        <v>47.6</v>
      </c>
      <c r="E933" s="7">
        <v>7.6</v>
      </c>
      <c r="F933" s="7">
        <v>27.3</v>
      </c>
      <c r="G933" s="7">
        <v>22.5</v>
      </c>
      <c r="H933" s="7">
        <v>220.2</v>
      </c>
      <c r="I933" s="7">
        <v>71.8</v>
      </c>
      <c r="J933" s="7">
        <v>39.299999999999997</v>
      </c>
      <c r="K933" s="7">
        <v>186.2</v>
      </c>
      <c r="L933" s="7">
        <v>108.1</v>
      </c>
      <c r="M933" s="7">
        <v>185.3</v>
      </c>
      <c r="N933" s="7">
        <v>266</v>
      </c>
      <c r="O933" s="7">
        <v>84</v>
      </c>
      <c r="P933" s="7">
        <v>126.9</v>
      </c>
      <c r="Q933" s="7">
        <v>7</v>
      </c>
    </row>
    <row r="934" spans="1:17">
      <c r="A934" s="2">
        <v>2882</v>
      </c>
      <c r="B934" s="7">
        <v>113</v>
      </c>
      <c r="C934" s="7">
        <v>20.399999999999999</v>
      </c>
      <c r="D934" s="7">
        <v>47.6</v>
      </c>
      <c r="E934" s="7">
        <v>7.6</v>
      </c>
      <c r="F934" s="7">
        <v>27.3</v>
      </c>
      <c r="G934" s="7">
        <v>22.5</v>
      </c>
      <c r="H934" s="7">
        <v>220.2</v>
      </c>
      <c r="I934" s="7">
        <v>71.8</v>
      </c>
      <c r="J934" s="7">
        <v>39.299999999999997</v>
      </c>
      <c r="K934" s="7">
        <v>186.2</v>
      </c>
      <c r="L934" s="7">
        <v>108.1</v>
      </c>
      <c r="M934" s="7">
        <v>185.3</v>
      </c>
      <c r="N934" s="7">
        <v>266</v>
      </c>
      <c r="O934" s="7">
        <v>84</v>
      </c>
      <c r="P934" s="7">
        <v>126.9</v>
      </c>
      <c r="Q934" s="7">
        <v>7</v>
      </c>
    </row>
    <row r="935" spans="1:17">
      <c r="A935" s="2">
        <v>2883</v>
      </c>
      <c r="B935" s="7">
        <v>113</v>
      </c>
      <c r="C935" s="7">
        <v>20.399999999999999</v>
      </c>
      <c r="D935" s="7">
        <v>47.6</v>
      </c>
      <c r="E935" s="7">
        <v>7.6</v>
      </c>
      <c r="F935" s="7">
        <v>27.3</v>
      </c>
      <c r="G935" s="7">
        <v>22.5</v>
      </c>
      <c r="H935" s="7">
        <v>220.2</v>
      </c>
      <c r="I935" s="7">
        <v>71.8</v>
      </c>
      <c r="J935" s="7">
        <v>39.299999999999997</v>
      </c>
      <c r="K935" s="7">
        <v>186.2</v>
      </c>
      <c r="L935" s="7">
        <v>108.1</v>
      </c>
      <c r="M935" s="7">
        <v>185.3</v>
      </c>
      <c r="N935" s="7">
        <v>266</v>
      </c>
      <c r="O935" s="7">
        <v>84</v>
      </c>
      <c r="P935" s="7">
        <v>126.9</v>
      </c>
      <c r="Q935" s="7">
        <v>7</v>
      </c>
    </row>
    <row r="936" spans="1:17">
      <c r="A936" s="2">
        <v>2884</v>
      </c>
      <c r="B936" s="7">
        <v>113</v>
      </c>
      <c r="C936" s="7">
        <v>20.399999999999999</v>
      </c>
      <c r="D936" s="7">
        <v>47.6</v>
      </c>
      <c r="E936" s="7">
        <v>7.6</v>
      </c>
      <c r="F936" s="7">
        <v>27.3</v>
      </c>
      <c r="G936" s="7">
        <v>22.5</v>
      </c>
      <c r="H936" s="7">
        <v>220.2</v>
      </c>
      <c r="I936" s="7">
        <v>71.8</v>
      </c>
      <c r="J936" s="7">
        <v>39.299999999999997</v>
      </c>
      <c r="K936" s="7">
        <v>186.2</v>
      </c>
      <c r="L936" s="7">
        <v>108.1</v>
      </c>
      <c r="M936" s="7">
        <v>185.3</v>
      </c>
      <c r="N936" s="7">
        <v>266</v>
      </c>
      <c r="O936" s="7">
        <v>84</v>
      </c>
      <c r="P936" s="7">
        <v>126.9</v>
      </c>
      <c r="Q936" s="7">
        <v>7</v>
      </c>
    </row>
    <row r="937" spans="1:17">
      <c r="A937" s="2">
        <v>2885</v>
      </c>
      <c r="B937" s="7">
        <v>113</v>
      </c>
      <c r="C937" s="7">
        <v>20.399999999999999</v>
      </c>
      <c r="D937" s="7">
        <v>47.6</v>
      </c>
      <c r="E937" s="7">
        <v>7.6</v>
      </c>
      <c r="F937" s="7">
        <v>27.3</v>
      </c>
      <c r="G937" s="7">
        <v>22.5</v>
      </c>
      <c r="H937" s="7">
        <v>220.2</v>
      </c>
      <c r="I937" s="7">
        <v>71.8</v>
      </c>
      <c r="J937" s="7">
        <v>39.299999999999997</v>
      </c>
      <c r="K937" s="7">
        <v>186.2</v>
      </c>
      <c r="L937" s="7">
        <v>108.1</v>
      </c>
      <c r="M937" s="7">
        <v>185.3</v>
      </c>
      <c r="N937" s="7">
        <v>266</v>
      </c>
      <c r="O937" s="7">
        <v>84</v>
      </c>
      <c r="P937" s="7">
        <v>126.9</v>
      </c>
      <c r="Q937" s="7">
        <v>7</v>
      </c>
    </row>
    <row r="938" spans="1:17">
      <c r="A938" s="2">
        <v>2886</v>
      </c>
      <c r="B938" s="7">
        <v>113</v>
      </c>
      <c r="C938" s="7">
        <v>20.399999999999999</v>
      </c>
      <c r="D938" s="7">
        <v>47.6</v>
      </c>
      <c r="E938" s="7">
        <v>7.6</v>
      </c>
      <c r="F938" s="7">
        <v>27.3</v>
      </c>
      <c r="G938" s="7">
        <v>22.5</v>
      </c>
      <c r="H938" s="7">
        <v>220.2</v>
      </c>
      <c r="I938" s="7">
        <v>71.8</v>
      </c>
      <c r="J938" s="7">
        <v>39.299999999999997</v>
      </c>
      <c r="K938" s="7">
        <v>186.2</v>
      </c>
      <c r="L938" s="7">
        <v>108.1</v>
      </c>
      <c r="M938" s="7">
        <v>185.3</v>
      </c>
      <c r="N938" s="7">
        <v>266</v>
      </c>
      <c r="O938" s="7">
        <v>84</v>
      </c>
      <c r="P938" s="7">
        <v>126.9</v>
      </c>
      <c r="Q938" s="7">
        <v>7</v>
      </c>
    </row>
    <row r="939" spans="1:17">
      <c r="A939" s="2">
        <v>2887</v>
      </c>
      <c r="B939" s="7">
        <v>113</v>
      </c>
      <c r="C939" s="7">
        <v>20.399999999999999</v>
      </c>
      <c r="D939" s="7">
        <v>47.6</v>
      </c>
      <c r="E939" s="7">
        <v>7.6</v>
      </c>
      <c r="F939" s="7">
        <v>27.3</v>
      </c>
      <c r="G939" s="7">
        <v>22.5</v>
      </c>
      <c r="H939" s="7">
        <v>220.2</v>
      </c>
      <c r="I939" s="7">
        <v>71.8</v>
      </c>
      <c r="J939" s="7">
        <v>39.299999999999997</v>
      </c>
      <c r="K939" s="7">
        <v>186.2</v>
      </c>
      <c r="L939" s="7">
        <v>108.1</v>
      </c>
      <c r="M939" s="7">
        <v>185.3</v>
      </c>
      <c r="N939" s="7">
        <v>266</v>
      </c>
      <c r="O939" s="7">
        <v>84</v>
      </c>
      <c r="P939" s="7">
        <v>126.9</v>
      </c>
      <c r="Q939" s="7">
        <v>7</v>
      </c>
    </row>
    <row r="940" spans="1:17">
      <c r="A940" s="2">
        <v>2888</v>
      </c>
      <c r="B940" s="7">
        <v>113</v>
      </c>
      <c r="C940" s="7">
        <v>20.399999999999999</v>
      </c>
      <c r="D940" s="7">
        <v>47.6</v>
      </c>
      <c r="E940" s="7">
        <v>7.6</v>
      </c>
      <c r="F940" s="7">
        <v>27.3</v>
      </c>
      <c r="G940" s="7">
        <v>22.5</v>
      </c>
      <c r="H940" s="7">
        <v>220.2</v>
      </c>
      <c r="I940" s="7">
        <v>71.8</v>
      </c>
      <c r="J940" s="7">
        <v>39.299999999999997</v>
      </c>
      <c r="K940" s="7">
        <v>186.2</v>
      </c>
      <c r="L940" s="7">
        <v>108.1</v>
      </c>
      <c r="M940" s="7">
        <v>185.3</v>
      </c>
      <c r="N940" s="7">
        <v>266</v>
      </c>
      <c r="O940" s="7">
        <v>84</v>
      </c>
      <c r="P940" s="7">
        <v>126.9</v>
      </c>
      <c r="Q940" s="7">
        <v>7</v>
      </c>
    </row>
    <row r="941" spans="1:17">
      <c r="A941" s="2">
        <v>2889</v>
      </c>
      <c r="B941" s="7">
        <v>113</v>
      </c>
      <c r="C941" s="7">
        <v>20.399999999999999</v>
      </c>
      <c r="D941" s="7">
        <v>47.6</v>
      </c>
      <c r="E941" s="7">
        <v>7.6</v>
      </c>
      <c r="F941" s="7">
        <v>27.3</v>
      </c>
      <c r="G941" s="7">
        <v>22.5</v>
      </c>
      <c r="H941" s="7">
        <v>220.2</v>
      </c>
      <c r="I941" s="7">
        <v>71.8</v>
      </c>
      <c r="J941" s="7">
        <v>39.299999999999997</v>
      </c>
      <c r="K941" s="7">
        <v>186.2</v>
      </c>
      <c r="L941" s="7">
        <v>108.1</v>
      </c>
      <c r="M941" s="7">
        <v>185.3</v>
      </c>
      <c r="N941" s="7">
        <v>266</v>
      </c>
      <c r="O941" s="7">
        <v>84</v>
      </c>
      <c r="P941" s="7">
        <v>126.9</v>
      </c>
      <c r="Q941" s="7">
        <v>7</v>
      </c>
    </row>
    <row r="942" spans="1:17">
      <c r="A942" s="2">
        <v>2890</v>
      </c>
      <c r="B942" s="7">
        <v>113</v>
      </c>
      <c r="C942" s="7">
        <v>20.399999999999999</v>
      </c>
      <c r="D942" s="7">
        <v>47.6</v>
      </c>
      <c r="E942" s="7">
        <v>7.6</v>
      </c>
      <c r="F942" s="7">
        <v>27.3</v>
      </c>
      <c r="G942" s="7">
        <v>22.5</v>
      </c>
      <c r="H942" s="7">
        <v>220.2</v>
      </c>
      <c r="I942" s="7">
        <v>71.8</v>
      </c>
      <c r="J942" s="7">
        <v>39.299999999999997</v>
      </c>
      <c r="K942" s="7">
        <v>186.2</v>
      </c>
      <c r="L942" s="7">
        <v>108.1</v>
      </c>
      <c r="M942" s="7">
        <v>185.3</v>
      </c>
      <c r="N942" s="7">
        <v>266</v>
      </c>
      <c r="O942" s="7">
        <v>84</v>
      </c>
      <c r="P942" s="7">
        <v>126.9</v>
      </c>
      <c r="Q942" s="7">
        <v>7</v>
      </c>
    </row>
    <row r="943" spans="1:17">
      <c r="A943" s="2">
        <v>2891</v>
      </c>
      <c r="B943" s="7">
        <v>113</v>
      </c>
      <c r="C943" s="7">
        <v>20.399999999999999</v>
      </c>
      <c r="D943" s="7">
        <v>47.6</v>
      </c>
      <c r="E943" s="7">
        <v>7.6</v>
      </c>
      <c r="F943" s="7">
        <v>27.3</v>
      </c>
      <c r="G943" s="7">
        <v>22.5</v>
      </c>
      <c r="H943" s="7">
        <v>220.2</v>
      </c>
      <c r="I943" s="7">
        <v>71.8</v>
      </c>
      <c r="J943" s="7">
        <v>39.299999999999997</v>
      </c>
      <c r="K943" s="7">
        <v>186.2</v>
      </c>
      <c r="L943" s="7">
        <v>108.1</v>
      </c>
      <c r="M943" s="7">
        <v>185.3</v>
      </c>
      <c r="N943" s="7">
        <v>266</v>
      </c>
      <c r="O943" s="7">
        <v>84</v>
      </c>
      <c r="P943" s="7">
        <v>126.9</v>
      </c>
      <c r="Q943" s="7">
        <v>7</v>
      </c>
    </row>
    <row r="944" spans="1:17">
      <c r="A944" s="2">
        <v>2892</v>
      </c>
      <c r="B944" s="7">
        <v>113</v>
      </c>
      <c r="C944" s="7">
        <v>20.399999999999999</v>
      </c>
      <c r="D944" s="7">
        <v>47.6</v>
      </c>
      <c r="E944" s="7">
        <v>7.6</v>
      </c>
      <c r="F944" s="7">
        <v>27.3</v>
      </c>
      <c r="G944" s="7">
        <v>22.5</v>
      </c>
      <c r="H944" s="7">
        <v>220.2</v>
      </c>
      <c r="I944" s="7">
        <v>71.8</v>
      </c>
      <c r="J944" s="7">
        <v>39.299999999999997</v>
      </c>
      <c r="K944" s="7">
        <v>186.2</v>
      </c>
      <c r="L944" s="7">
        <v>108.1</v>
      </c>
      <c r="M944" s="7">
        <v>185.3</v>
      </c>
      <c r="N944" s="7">
        <v>266</v>
      </c>
      <c r="O944" s="7">
        <v>84</v>
      </c>
      <c r="P944" s="7">
        <v>126.9</v>
      </c>
      <c r="Q944" s="7">
        <v>7</v>
      </c>
    </row>
    <row r="945" spans="1:17">
      <c r="A945" s="2">
        <v>2893</v>
      </c>
      <c r="B945" s="7">
        <v>113</v>
      </c>
      <c r="C945" s="7">
        <v>20.399999999999999</v>
      </c>
      <c r="D945" s="7">
        <v>47.6</v>
      </c>
      <c r="E945" s="7">
        <v>7.6</v>
      </c>
      <c r="F945" s="7">
        <v>27.3</v>
      </c>
      <c r="G945" s="7">
        <v>22.5</v>
      </c>
      <c r="H945" s="7">
        <v>220.2</v>
      </c>
      <c r="I945" s="7">
        <v>71.8</v>
      </c>
      <c r="J945" s="7">
        <v>39.299999999999997</v>
      </c>
      <c r="K945" s="7">
        <v>186.2</v>
      </c>
      <c r="L945" s="7">
        <v>108.1</v>
      </c>
      <c r="M945" s="7">
        <v>185.3</v>
      </c>
      <c r="N945" s="7">
        <v>266</v>
      </c>
      <c r="O945" s="7">
        <v>84</v>
      </c>
      <c r="P945" s="7">
        <v>126.9</v>
      </c>
      <c r="Q945" s="7">
        <v>7</v>
      </c>
    </row>
    <row r="946" spans="1:17">
      <c r="A946" s="2">
        <v>2894</v>
      </c>
      <c r="B946" s="7">
        <v>113</v>
      </c>
      <c r="C946" s="7">
        <v>20.399999999999999</v>
      </c>
      <c r="D946" s="7">
        <v>47.6</v>
      </c>
      <c r="E946" s="7">
        <v>7.6</v>
      </c>
      <c r="F946" s="7">
        <v>27.3</v>
      </c>
      <c r="G946" s="7">
        <v>22.5</v>
      </c>
      <c r="H946" s="7">
        <v>220.2</v>
      </c>
      <c r="I946" s="7">
        <v>71.8</v>
      </c>
      <c r="J946" s="7">
        <v>39.299999999999997</v>
      </c>
      <c r="K946" s="7">
        <v>186.2</v>
      </c>
      <c r="L946" s="7">
        <v>108.1</v>
      </c>
      <c r="M946" s="7">
        <v>185.3</v>
      </c>
      <c r="N946" s="7">
        <v>266</v>
      </c>
      <c r="O946" s="7">
        <v>84</v>
      </c>
      <c r="P946" s="7">
        <v>126.9</v>
      </c>
      <c r="Q946" s="7">
        <v>7</v>
      </c>
    </row>
    <row r="947" spans="1:17">
      <c r="A947" s="2">
        <v>2895</v>
      </c>
      <c r="B947" s="7">
        <v>113</v>
      </c>
      <c r="C947" s="7">
        <v>20.399999999999999</v>
      </c>
      <c r="D947" s="7">
        <v>47.6</v>
      </c>
      <c r="E947" s="7">
        <v>7.6</v>
      </c>
      <c r="F947" s="7">
        <v>27.3</v>
      </c>
      <c r="G947" s="7">
        <v>22.5</v>
      </c>
      <c r="H947" s="7">
        <v>220.2</v>
      </c>
      <c r="I947" s="7">
        <v>71.8</v>
      </c>
      <c r="J947" s="7">
        <v>39.299999999999997</v>
      </c>
      <c r="K947" s="7">
        <v>186.2</v>
      </c>
      <c r="L947" s="7">
        <v>108.1</v>
      </c>
      <c r="M947" s="7">
        <v>185.3</v>
      </c>
      <c r="N947" s="7">
        <v>266</v>
      </c>
      <c r="O947" s="7">
        <v>84</v>
      </c>
      <c r="P947" s="7">
        <v>126.9</v>
      </c>
      <c r="Q947" s="7">
        <v>7</v>
      </c>
    </row>
    <row r="948" spans="1:17">
      <c r="A948" s="2">
        <v>2896</v>
      </c>
      <c r="B948" s="7">
        <v>113</v>
      </c>
      <c r="C948" s="7">
        <v>20.399999999999999</v>
      </c>
      <c r="D948" s="7">
        <v>47.6</v>
      </c>
      <c r="E948" s="7">
        <v>7.6</v>
      </c>
      <c r="F948" s="7">
        <v>27.3</v>
      </c>
      <c r="G948" s="7">
        <v>22.5</v>
      </c>
      <c r="H948" s="7">
        <v>220.2</v>
      </c>
      <c r="I948" s="7">
        <v>71.8</v>
      </c>
      <c r="J948" s="7">
        <v>39.299999999999997</v>
      </c>
      <c r="K948" s="7">
        <v>186.2</v>
      </c>
      <c r="L948" s="7">
        <v>108.1</v>
      </c>
      <c r="M948" s="7">
        <v>185.3</v>
      </c>
      <c r="N948" s="7">
        <v>266</v>
      </c>
      <c r="O948" s="7">
        <v>84</v>
      </c>
      <c r="P948" s="7">
        <v>126.9</v>
      </c>
      <c r="Q948" s="7">
        <v>7</v>
      </c>
    </row>
    <row r="949" spans="1:17">
      <c r="A949" s="2">
        <v>2897</v>
      </c>
      <c r="B949" s="7">
        <v>113</v>
      </c>
      <c r="C949" s="7">
        <v>20.399999999999999</v>
      </c>
      <c r="D949" s="7">
        <v>47.6</v>
      </c>
      <c r="E949" s="7">
        <v>7.6</v>
      </c>
      <c r="F949" s="7">
        <v>27.3</v>
      </c>
      <c r="G949" s="7">
        <v>22.5</v>
      </c>
      <c r="H949" s="7">
        <v>220.2</v>
      </c>
      <c r="I949" s="7">
        <v>71.8</v>
      </c>
      <c r="J949" s="7">
        <v>39.299999999999997</v>
      </c>
      <c r="K949" s="7">
        <v>186.2</v>
      </c>
      <c r="L949" s="7">
        <v>108.1</v>
      </c>
      <c r="M949" s="7">
        <v>185.3</v>
      </c>
      <c r="N949" s="7">
        <v>266</v>
      </c>
      <c r="O949" s="7">
        <v>84</v>
      </c>
      <c r="P949" s="7">
        <v>126.9</v>
      </c>
      <c r="Q949" s="7">
        <v>7</v>
      </c>
    </row>
    <row r="950" spans="1:17">
      <c r="A950" s="2">
        <v>2898</v>
      </c>
      <c r="B950" s="7">
        <v>113</v>
      </c>
      <c r="C950" s="7">
        <v>20.399999999999999</v>
      </c>
      <c r="D950" s="7">
        <v>47.6</v>
      </c>
      <c r="E950" s="7">
        <v>7.6</v>
      </c>
      <c r="F950" s="7">
        <v>27.3</v>
      </c>
      <c r="G950" s="7">
        <v>22.5</v>
      </c>
      <c r="H950" s="7">
        <v>220.2</v>
      </c>
      <c r="I950" s="7">
        <v>71.8</v>
      </c>
      <c r="J950" s="7">
        <v>39.299999999999997</v>
      </c>
      <c r="K950" s="7">
        <v>186.2</v>
      </c>
      <c r="L950" s="7">
        <v>108.1</v>
      </c>
      <c r="M950" s="7">
        <v>185.3</v>
      </c>
      <c r="N950" s="7">
        <v>266</v>
      </c>
      <c r="O950" s="7">
        <v>84</v>
      </c>
      <c r="P950" s="7">
        <v>126.9</v>
      </c>
      <c r="Q950" s="7">
        <v>7</v>
      </c>
    </row>
    <row r="951" spans="1:17">
      <c r="A951" s="2">
        <v>2899</v>
      </c>
      <c r="B951" s="7">
        <v>113</v>
      </c>
      <c r="C951" s="7">
        <v>20.399999999999999</v>
      </c>
      <c r="D951" s="7">
        <v>47.6</v>
      </c>
      <c r="E951" s="7">
        <v>7.6</v>
      </c>
      <c r="F951" s="7">
        <v>27.3</v>
      </c>
      <c r="G951" s="7">
        <v>22.5</v>
      </c>
      <c r="H951" s="7">
        <v>220.2</v>
      </c>
      <c r="I951" s="7">
        <v>71.8</v>
      </c>
      <c r="J951" s="7">
        <v>39.299999999999997</v>
      </c>
      <c r="K951" s="7">
        <v>186.2</v>
      </c>
      <c r="L951" s="7">
        <v>108.1</v>
      </c>
      <c r="M951" s="7">
        <v>185.3</v>
      </c>
      <c r="N951" s="7">
        <v>266</v>
      </c>
      <c r="O951" s="7">
        <v>84</v>
      </c>
      <c r="P951" s="7">
        <v>126.9</v>
      </c>
      <c r="Q951" s="7">
        <v>7</v>
      </c>
    </row>
    <row r="952" spans="1:17">
      <c r="A952" s="2">
        <v>2900</v>
      </c>
      <c r="B952" s="7">
        <v>113</v>
      </c>
      <c r="C952" s="7">
        <v>20.399999999999999</v>
      </c>
      <c r="D952" s="7">
        <v>47.6</v>
      </c>
      <c r="E952" s="7">
        <v>7.6</v>
      </c>
      <c r="F952" s="7">
        <v>27.3</v>
      </c>
      <c r="G952" s="7">
        <v>22.5</v>
      </c>
      <c r="H952" s="7">
        <v>220.2</v>
      </c>
      <c r="I952" s="7">
        <v>71.8</v>
      </c>
      <c r="J952" s="7">
        <v>39.299999999999997</v>
      </c>
      <c r="K952" s="7">
        <v>186.2</v>
      </c>
      <c r="L952" s="7">
        <v>108.1</v>
      </c>
      <c r="M952" s="7">
        <v>185.3</v>
      </c>
      <c r="N952" s="7">
        <v>266</v>
      </c>
      <c r="O952" s="7">
        <v>84</v>
      </c>
      <c r="P952" s="7">
        <v>126.9</v>
      </c>
      <c r="Q952" s="7">
        <v>7</v>
      </c>
    </row>
    <row r="953" spans="1:17">
      <c r="A953" s="2">
        <v>2901</v>
      </c>
      <c r="B953" s="7">
        <v>113</v>
      </c>
      <c r="C953" s="7">
        <v>20.399999999999999</v>
      </c>
      <c r="D953" s="7">
        <v>47.6</v>
      </c>
      <c r="E953" s="7">
        <v>7.6</v>
      </c>
      <c r="F953" s="7">
        <v>27.3</v>
      </c>
      <c r="G953" s="7">
        <v>22.5</v>
      </c>
      <c r="H953" s="7">
        <v>220.2</v>
      </c>
      <c r="I953" s="7">
        <v>71.8</v>
      </c>
      <c r="J953" s="7">
        <v>39.299999999999997</v>
      </c>
      <c r="K953" s="7">
        <v>186.2</v>
      </c>
      <c r="L953" s="7">
        <v>108.1</v>
      </c>
      <c r="M953" s="7">
        <v>185.3</v>
      </c>
      <c r="N953" s="7">
        <v>266</v>
      </c>
      <c r="O953" s="7">
        <v>84</v>
      </c>
      <c r="P953" s="7">
        <v>126.9</v>
      </c>
      <c r="Q953" s="7">
        <v>7</v>
      </c>
    </row>
    <row r="954" spans="1:17">
      <c r="A954" s="2">
        <v>2902</v>
      </c>
      <c r="B954" s="7">
        <v>113</v>
      </c>
      <c r="C954" s="7">
        <v>20.399999999999999</v>
      </c>
      <c r="D954" s="7">
        <v>47.6</v>
      </c>
      <c r="E954" s="7">
        <v>7.6</v>
      </c>
      <c r="F954" s="7">
        <v>27.3</v>
      </c>
      <c r="G954" s="7">
        <v>22.5</v>
      </c>
      <c r="H954" s="7">
        <v>220.2</v>
      </c>
      <c r="I954" s="7">
        <v>71.8</v>
      </c>
      <c r="J954" s="7">
        <v>39.299999999999997</v>
      </c>
      <c r="K954" s="7">
        <v>186.2</v>
      </c>
      <c r="L954" s="7">
        <v>108.1</v>
      </c>
      <c r="M954" s="7">
        <v>185.3</v>
      </c>
      <c r="N954" s="7">
        <v>266</v>
      </c>
      <c r="O954" s="7">
        <v>84</v>
      </c>
      <c r="P954" s="7">
        <v>126.9</v>
      </c>
      <c r="Q954" s="7">
        <v>7</v>
      </c>
    </row>
    <row r="955" spans="1:17">
      <c r="A955" s="2">
        <v>2903</v>
      </c>
      <c r="B955" s="7">
        <v>113</v>
      </c>
      <c r="C955" s="7">
        <v>20.399999999999999</v>
      </c>
      <c r="D955" s="7">
        <v>47.6</v>
      </c>
      <c r="E955" s="7">
        <v>7.6</v>
      </c>
      <c r="F955" s="7">
        <v>27.3</v>
      </c>
      <c r="G955" s="7">
        <v>22.5</v>
      </c>
      <c r="H955" s="7">
        <v>220.2</v>
      </c>
      <c r="I955" s="7">
        <v>71.8</v>
      </c>
      <c r="J955" s="7">
        <v>39.299999999999997</v>
      </c>
      <c r="K955" s="7">
        <v>186.2</v>
      </c>
      <c r="L955" s="7">
        <v>108.1</v>
      </c>
      <c r="M955" s="7">
        <v>185.3</v>
      </c>
      <c r="N955" s="7">
        <v>266</v>
      </c>
      <c r="O955" s="7">
        <v>84</v>
      </c>
      <c r="P955" s="7">
        <v>126.9</v>
      </c>
      <c r="Q955" s="7">
        <v>7</v>
      </c>
    </row>
    <row r="956" spans="1:17">
      <c r="A956" s="2">
        <v>2904</v>
      </c>
      <c r="B956" s="7">
        <v>113</v>
      </c>
      <c r="C956" s="7">
        <v>20.399999999999999</v>
      </c>
      <c r="D956" s="7">
        <v>47.6</v>
      </c>
      <c r="E956" s="7">
        <v>7.6</v>
      </c>
      <c r="F956" s="7">
        <v>27.3</v>
      </c>
      <c r="G956" s="7">
        <v>22.5</v>
      </c>
      <c r="H956" s="7">
        <v>220.2</v>
      </c>
      <c r="I956" s="7">
        <v>71.8</v>
      </c>
      <c r="J956" s="7">
        <v>39.299999999999997</v>
      </c>
      <c r="K956" s="7">
        <v>186.2</v>
      </c>
      <c r="L956" s="7">
        <v>108.1</v>
      </c>
      <c r="M956" s="7">
        <v>185.3</v>
      </c>
      <c r="N956" s="7">
        <v>266</v>
      </c>
      <c r="O956" s="7">
        <v>84</v>
      </c>
      <c r="P956" s="7">
        <v>126.9</v>
      </c>
      <c r="Q956" s="7">
        <v>7</v>
      </c>
    </row>
    <row r="957" spans="1:17">
      <c r="A957" s="2">
        <v>2905</v>
      </c>
      <c r="B957" s="7">
        <v>113</v>
      </c>
      <c r="C957" s="7">
        <v>20.399999999999999</v>
      </c>
      <c r="D957" s="7">
        <v>47.6</v>
      </c>
      <c r="E957" s="7">
        <v>7.6</v>
      </c>
      <c r="F957" s="7">
        <v>27.3</v>
      </c>
      <c r="G957" s="7">
        <v>22.5</v>
      </c>
      <c r="H957" s="7">
        <v>220.2</v>
      </c>
      <c r="I957" s="7">
        <v>71.8</v>
      </c>
      <c r="J957" s="7">
        <v>39.299999999999997</v>
      </c>
      <c r="K957" s="7">
        <v>186.2</v>
      </c>
      <c r="L957" s="7">
        <v>108.1</v>
      </c>
      <c r="M957" s="7">
        <v>185.3</v>
      </c>
      <c r="N957" s="7">
        <v>266</v>
      </c>
      <c r="O957" s="7">
        <v>84</v>
      </c>
      <c r="P957" s="7">
        <v>126.9</v>
      </c>
      <c r="Q957" s="7">
        <v>7</v>
      </c>
    </row>
    <row r="958" spans="1:17">
      <c r="A958" s="2">
        <v>2906</v>
      </c>
      <c r="B958" s="7">
        <v>113</v>
      </c>
      <c r="C958" s="7">
        <v>20.399999999999999</v>
      </c>
      <c r="D958" s="7">
        <v>47.6</v>
      </c>
      <c r="E958" s="7">
        <v>7.6</v>
      </c>
      <c r="F958" s="7">
        <v>27.3</v>
      </c>
      <c r="G958" s="7">
        <v>22.5</v>
      </c>
      <c r="H958" s="7">
        <v>220.2</v>
      </c>
      <c r="I958" s="7">
        <v>71.8</v>
      </c>
      <c r="J958" s="7">
        <v>39.299999999999997</v>
      </c>
      <c r="K958" s="7">
        <v>186.2</v>
      </c>
      <c r="L958" s="7">
        <v>108.1</v>
      </c>
      <c r="M958" s="7">
        <v>185.3</v>
      </c>
      <c r="N958" s="7">
        <v>266</v>
      </c>
      <c r="O958" s="7">
        <v>84</v>
      </c>
      <c r="P958" s="7">
        <v>126.9</v>
      </c>
      <c r="Q958" s="7">
        <v>7</v>
      </c>
    </row>
    <row r="959" spans="1:17">
      <c r="A959" s="2">
        <v>2907</v>
      </c>
      <c r="B959" s="7">
        <v>113</v>
      </c>
      <c r="C959" s="7">
        <v>20.399999999999999</v>
      </c>
      <c r="D959" s="7">
        <v>47.6</v>
      </c>
      <c r="E959" s="7">
        <v>7.6</v>
      </c>
      <c r="F959" s="7">
        <v>27.3</v>
      </c>
      <c r="G959" s="7">
        <v>22.5</v>
      </c>
      <c r="H959" s="7">
        <v>220.2</v>
      </c>
      <c r="I959" s="7">
        <v>71.8</v>
      </c>
      <c r="J959" s="7">
        <v>39.299999999999997</v>
      </c>
      <c r="K959" s="7">
        <v>186.2</v>
      </c>
      <c r="L959" s="7">
        <v>108.1</v>
      </c>
      <c r="M959" s="7">
        <v>185.3</v>
      </c>
      <c r="N959" s="7">
        <v>266</v>
      </c>
      <c r="O959" s="7">
        <v>84</v>
      </c>
      <c r="P959" s="7">
        <v>126.9</v>
      </c>
      <c r="Q959" s="7">
        <v>7</v>
      </c>
    </row>
    <row r="960" spans="1:17">
      <c r="A960" s="2">
        <v>2908</v>
      </c>
      <c r="B960" s="7">
        <v>113</v>
      </c>
      <c r="C960" s="7">
        <v>20.399999999999999</v>
      </c>
      <c r="D960" s="7">
        <v>47.6</v>
      </c>
      <c r="E960" s="7">
        <v>7.6</v>
      </c>
      <c r="F960" s="7">
        <v>27.3</v>
      </c>
      <c r="G960" s="7">
        <v>22.5</v>
      </c>
      <c r="H960" s="7">
        <v>220.2</v>
      </c>
      <c r="I960" s="7">
        <v>71.8</v>
      </c>
      <c r="J960" s="7">
        <v>39.299999999999997</v>
      </c>
      <c r="K960" s="7">
        <v>186.2</v>
      </c>
      <c r="L960" s="7">
        <v>108.1</v>
      </c>
      <c r="M960" s="7">
        <v>185.3</v>
      </c>
      <c r="N960" s="7">
        <v>266</v>
      </c>
      <c r="O960" s="7">
        <v>84</v>
      </c>
      <c r="P960" s="7">
        <v>126.9</v>
      </c>
      <c r="Q960" s="7">
        <v>7</v>
      </c>
    </row>
    <row r="961" spans="1:17">
      <c r="A961" s="2">
        <v>2909</v>
      </c>
      <c r="B961" s="7">
        <v>113</v>
      </c>
      <c r="C961" s="7">
        <v>20.399999999999999</v>
      </c>
      <c r="D961" s="7">
        <v>47.6</v>
      </c>
      <c r="E961" s="7">
        <v>7.6</v>
      </c>
      <c r="F961" s="7">
        <v>27.3</v>
      </c>
      <c r="G961" s="7">
        <v>22.5</v>
      </c>
      <c r="H961" s="7">
        <v>220.2</v>
      </c>
      <c r="I961" s="7">
        <v>71.8</v>
      </c>
      <c r="J961" s="7">
        <v>39.299999999999997</v>
      </c>
      <c r="K961" s="7">
        <v>186.2</v>
      </c>
      <c r="L961" s="7">
        <v>108.1</v>
      </c>
      <c r="M961" s="7">
        <v>185.3</v>
      </c>
      <c r="N961" s="7">
        <v>266</v>
      </c>
      <c r="O961" s="7">
        <v>84</v>
      </c>
      <c r="P961" s="7">
        <v>126.9</v>
      </c>
      <c r="Q961" s="7">
        <v>7</v>
      </c>
    </row>
    <row r="962" spans="1:17">
      <c r="A962" s="2">
        <v>2910</v>
      </c>
      <c r="B962" s="7">
        <v>113</v>
      </c>
      <c r="C962" s="7">
        <v>20.399999999999999</v>
      </c>
      <c r="D962" s="7">
        <v>47.6</v>
      </c>
      <c r="E962" s="7">
        <v>7.6</v>
      </c>
      <c r="F962" s="7">
        <v>27.3</v>
      </c>
      <c r="G962" s="7">
        <v>22.5</v>
      </c>
      <c r="H962" s="7">
        <v>220.2</v>
      </c>
      <c r="I962" s="7">
        <v>71.8</v>
      </c>
      <c r="J962" s="7">
        <v>39.299999999999997</v>
      </c>
      <c r="K962" s="7">
        <v>186.2</v>
      </c>
      <c r="L962" s="7">
        <v>108.1</v>
      </c>
      <c r="M962" s="7">
        <v>185.3</v>
      </c>
      <c r="N962" s="7">
        <v>266</v>
      </c>
      <c r="O962" s="7">
        <v>84</v>
      </c>
      <c r="P962" s="7">
        <v>126.9</v>
      </c>
      <c r="Q962" s="7">
        <v>7</v>
      </c>
    </row>
    <row r="963" spans="1:17">
      <c r="A963" s="2">
        <v>2911</v>
      </c>
      <c r="B963" s="7">
        <v>113</v>
      </c>
      <c r="C963" s="7">
        <v>20.399999999999999</v>
      </c>
      <c r="D963" s="7">
        <v>47.6</v>
      </c>
      <c r="E963" s="7">
        <v>7.6</v>
      </c>
      <c r="F963" s="7">
        <v>27.3</v>
      </c>
      <c r="G963" s="7">
        <v>22.5</v>
      </c>
      <c r="H963" s="7">
        <v>220.2</v>
      </c>
      <c r="I963" s="7">
        <v>71.8</v>
      </c>
      <c r="J963" s="7">
        <v>39.299999999999997</v>
      </c>
      <c r="K963" s="7">
        <v>186.2</v>
      </c>
      <c r="L963" s="7">
        <v>108.1</v>
      </c>
      <c r="M963" s="7">
        <v>185.3</v>
      </c>
      <c r="N963" s="7">
        <v>266</v>
      </c>
      <c r="O963" s="7">
        <v>84</v>
      </c>
      <c r="P963" s="7">
        <v>126.9</v>
      </c>
      <c r="Q963" s="7">
        <v>7</v>
      </c>
    </row>
    <row r="964" spans="1:17">
      <c r="A964" s="2">
        <v>2912</v>
      </c>
      <c r="B964" s="7">
        <v>113</v>
      </c>
      <c r="C964" s="7">
        <v>20.399999999999999</v>
      </c>
      <c r="D964" s="7">
        <v>47.6</v>
      </c>
      <c r="E964" s="7">
        <v>7.6</v>
      </c>
      <c r="F964" s="7">
        <v>27.3</v>
      </c>
      <c r="G964" s="7">
        <v>22.5</v>
      </c>
      <c r="H964" s="7">
        <v>220.2</v>
      </c>
      <c r="I964" s="7">
        <v>71.8</v>
      </c>
      <c r="J964" s="7">
        <v>39.299999999999997</v>
      </c>
      <c r="K964" s="7">
        <v>186.2</v>
      </c>
      <c r="L964" s="7">
        <v>108.1</v>
      </c>
      <c r="M964" s="7">
        <v>185.3</v>
      </c>
      <c r="N964" s="7">
        <v>266</v>
      </c>
      <c r="O964" s="7">
        <v>84</v>
      </c>
      <c r="P964" s="7">
        <v>126.9</v>
      </c>
      <c r="Q964" s="7">
        <v>7</v>
      </c>
    </row>
    <row r="965" spans="1:17">
      <c r="A965" s="2">
        <v>2913</v>
      </c>
      <c r="B965" s="7">
        <v>113</v>
      </c>
      <c r="C965" s="7">
        <v>20.399999999999999</v>
      </c>
      <c r="D965" s="7">
        <v>47.6</v>
      </c>
      <c r="E965" s="7">
        <v>7.6</v>
      </c>
      <c r="F965" s="7">
        <v>27.3</v>
      </c>
      <c r="G965" s="7">
        <v>22.5</v>
      </c>
      <c r="H965" s="7">
        <v>220.2</v>
      </c>
      <c r="I965" s="7">
        <v>71.8</v>
      </c>
      <c r="J965" s="7">
        <v>39.299999999999997</v>
      </c>
      <c r="K965" s="7">
        <v>186.2</v>
      </c>
      <c r="L965" s="7">
        <v>108.1</v>
      </c>
      <c r="M965" s="7">
        <v>185.3</v>
      </c>
      <c r="N965" s="7">
        <v>266</v>
      </c>
      <c r="O965" s="7">
        <v>84</v>
      </c>
      <c r="P965" s="7">
        <v>126.9</v>
      </c>
      <c r="Q965" s="7">
        <v>7</v>
      </c>
    </row>
    <row r="966" spans="1:17">
      <c r="A966" s="2">
        <v>2914</v>
      </c>
      <c r="B966" s="7">
        <v>113</v>
      </c>
      <c r="C966" s="7">
        <v>20.399999999999999</v>
      </c>
      <c r="D966" s="7">
        <v>47.6</v>
      </c>
      <c r="E966" s="7">
        <v>7.6</v>
      </c>
      <c r="F966" s="7">
        <v>27.3</v>
      </c>
      <c r="G966" s="7">
        <v>22.5</v>
      </c>
      <c r="H966" s="7">
        <v>220.2</v>
      </c>
      <c r="I966" s="7">
        <v>71.8</v>
      </c>
      <c r="J966" s="7">
        <v>39.299999999999997</v>
      </c>
      <c r="K966" s="7">
        <v>186.2</v>
      </c>
      <c r="L966" s="7">
        <v>108.1</v>
      </c>
      <c r="M966" s="7">
        <v>185.3</v>
      </c>
      <c r="N966" s="7">
        <v>266</v>
      </c>
      <c r="O966" s="7">
        <v>84</v>
      </c>
      <c r="P966" s="7">
        <v>126.9</v>
      </c>
      <c r="Q966" s="7">
        <v>7</v>
      </c>
    </row>
    <row r="967" spans="1:17">
      <c r="A967" s="2">
        <v>2915</v>
      </c>
      <c r="B967" s="7">
        <v>113</v>
      </c>
      <c r="C967" s="7">
        <v>20.399999999999999</v>
      </c>
      <c r="D967" s="7">
        <v>47.6</v>
      </c>
      <c r="E967" s="7">
        <v>7.6</v>
      </c>
      <c r="F967" s="7">
        <v>27.3</v>
      </c>
      <c r="G967" s="7">
        <v>22.5</v>
      </c>
      <c r="H967" s="7">
        <v>220.2</v>
      </c>
      <c r="I967" s="7">
        <v>71.8</v>
      </c>
      <c r="J967" s="7">
        <v>39.299999999999997</v>
      </c>
      <c r="K967" s="7">
        <v>186.2</v>
      </c>
      <c r="L967" s="7">
        <v>108.1</v>
      </c>
      <c r="M967" s="7">
        <v>185.3</v>
      </c>
      <c r="N967" s="7">
        <v>266</v>
      </c>
      <c r="O967" s="7">
        <v>84</v>
      </c>
      <c r="P967" s="7">
        <v>126.9</v>
      </c>
      <c r="Q967" s="7">
        <v>7</v>
      </c>
    </row>
    <row r="968" spans="1:17">
      <c r="A968" s="2">
        <v>2916</v>
      </c>
      <c r="B968" s="7">
        <v>113</v>
      </c>
      <c r="C968" s="7">
        <v>20.399999999999999</v>
      </c>
      <c r="D968" s="7">
        <v>47.6</v>
      </c>
      <c r="E968" s="7">
        <v>7.6</v>
      </c>
      <c r="F968" s="7">
        <v>27.3</v>
      </c>
      <c r="G968" s="7">
        <v>22.5</v>
      </c>
      <c r="H968" s="7">
        <v>220.2</v>
      </c>
      <c r="I968" s="7">
        <v>71.8</v>
      </c>
      <c r="J968" s="7">
        <v>39.299999999999997</v>
      </c>
      <c r="K968" s="7">
        <v>186.2</v>
      </c>
      <c r="L968" s="7">
        <v>108.1</v>
      </c>
      <c r="M968" s="7">
        <v>185.3</v>
      </c>
      <c r="N968" s="7">
        <v>266</v>
      </c>
      <c r="O968" s="7">
        <v>84</v>
      </c>
      <c r="P968" s="7">
        <v>126.9</v>
      </c>
      <c r="Q968" s="7">
        <v>7</v>
      </c>
    </row>
    <row r="969" spans="1:17">
      <c r="A969" s="2">
        <v>2917</v>
      </c>
      <c r="B969" s="7">
        <v>113</v>
      </c>
      <c r="C969" s="7">
        <v>20.399999999999999</v>
      </c>
      <c r="D969" s="7">
        <v>47.6</v>
      </c>
      <c r="E969" s="7">
        <v>7.6</v>
      </c>
      <c r="F969" s="7">
        <v>27.3</v>
      </c>
      <c r="G969" s="7">
        <v>22.5</v>
      </c>
      <c r="H969" s="7">
        <v>220.2</v>
      </c>
      <c r="I969" s="7">
        <v>71.8</v>
      </c>
      <c r="J969" s="7">
        <v>39.299999999999997</v>
      </c>
      <c r="K969" s="7">
        <v>186.2</v>
      </c>
      <c r="L969" s="7">
        <v>108.1</v>
      </c>
      <c r="M969" s="7">
        <v>185.3</v>
      </c>
      <c r="N969" s="7">
        <v>266</v>
      </c>
      <c r="O969" s="7">
        <v>84</v>
      </c>
      <c r="P969" s="7">
        <v>126.9</v>
      </c>
      <c r="Q969" s="7">
        <v>7</v>
      </c>
    </row>
    <row r="970" spans="1:17">
      <c r="A970" s="2">
        <v>2918</v>
      </c>
      <c r="B970" s="7">
        <v>113</v>
      </c>
      <c r="C970" s="7">
        <v>20.399999999999999</v>
      </c>
      <c r="D970" s="7">
        <v>47.6</v>
      </c>
      <c r="E970" s="7">
        <v>7.6</v>
      </c>
      <c r="F970" s="7">
        <v>27.3</v>
      </c>
      <c r="G970" s="7">
        <v>22.5</v>
      </c>
      <c r="H970" s="7">
        <v>220.2</v>
      </c>
      <c r="I970" s="7">
        <v>71.8</v>
      </c>
      <c r="J970" s="7">
        <v>39.299999999999997</v>
      </c>
      <c r="K970" s="7">
        <v>186.2</v>
      </c>
      <c r="L970" s="7">
        <v>108.1</v>
      </c>
      <c r="M970" s="7">
        <v>185.3</v>
      </c>
      <c r="N970" s="7">
        <v>266</v>
      </c>
      <c r="O970" s="7">
        <v>84</v>
      </c>
      <c r="P970" s="7">
        <v>126.9</v>
      </c>
      <c r="Q970" s="7">
        <v>7</v>
      </c>
    </row>
    <row r="971" spans="1:17">
      <c r="A971" s="2">
        <v>2919</v>
      </c>
      <c r="B971" s="7">
        <v>113</v>
      </c>
      <c r="C971" s="7">
        <v>20.399999999999999</v>
      </c>
      <c r="D971" s="7">
        <v>47.6</v>
      </c>
      <c r="E971" s="7">
        <v>7.6</v>
      </c>
      <c r="F971" s="7">
        <v>27.3</v>
      </c>
      <c r="G971" s="7">
        <v>22.5</v>
      </c>
      <c r="H971" s="7">
        <v>220.2</v>
      </c>
      <c r="I971" s="7">
        <v>71.8</v>
      </c>
      <c r="J971" s="7">
        <v>39.299999999999997</v>
      </c>
      <c r="K971" s="7">
        <v>186.2</v>
      </c>
      <c r="L971" s="7">
        <v>108.1</v>
      </c>
      <c r="M971" s="7">
        <v>185.3</v>
      </c>
      <c r="N971" s="7">
        <v>266</v>
      </c>
      <c r="O971" s="7">
        <v>84</v>
      </c>
      <c r="P971" s="7">
        <v>126.9</v>
      </c>
      <c r="Q971" s="7">
        <v>7</v>
      </c>
    </row>
    <row r="972" spans="1:17">
      <c r="A972" s="2">
        <v>2920</v>
      </c>
      <c r="B972" s="7">
        <v>113</v>
      </c>
      <c r="C972" s="7">
        <v>20.399999999999999</v>
      </c>
      <c r="D972" s="7">
        <v>47.6</v>
      </c>
      <c r="E972" s="7">
        <v>7.6</v>
      </c>
      <c r="F972" s="7">
        <v>27.3</v>
      </c>
      <c r="G972" s="7">
        <v>22.5</v>
      </c>
      <c r="H972" s="7">
        <v>220.2</v>
      </c>
      <c r="I972" s="7">
        <v>71.8</v>
      </c>
      <c r="J972" s="7">
        <v>39.299999999999997</v>
      </c>
      <c r="K972" s="7">
        <v>186.2</v>
      </c>
      <c r="L972" s="7">
        <v>108.1</v>
      </c>
      <c r="M972" s="7">
        <v>185.3</v>
      </c>
      <c r="N972" s="7">
        <v>266</v>
      </c>
      <c r="O972" s="7">
        <v>84</v>
      </c>
      <c r="P972" s="7">
        <v>126.9</v>
      </c>
      <c r="Q972" s="7">
        <v>7</v>
      </c>
    </row>
    <row r="973" spans="1:17">
      <c r="A973" s="2">
        <v>2921</v>
      </c>
      <c r="B973" s="7">
        <v>113</v>
      </c>
      <c r="C973" s="7">
        <v>20.399999999999999</v>
      </c>
      <c r="D973" s="7">
        <v>47.6</v>
      </c>
      <c r="E973" s="7">
        <v>7.6</v>
      </c>
      <c r="F973" s="7">
        <v>27.3</v>
      </c>
      <c r="G973" s="7">
        <v>22.5</v>
      </c>
      <c r="H973" s="7">
        <v>220.2</v>
      </c>
      <c r="I973" s="7">
        <v>71.8</v>
      </c>
      <c r="J973" s="7">
        <v>39.299999999999997</v>
      </c>
      <c r="K973" s="7">
        <v>186.2</v>
      </c>
      <c r="L973" s="7">
        <v>108.1</v>
      </c>
      <c r="M973" s="7">
        <v>185.3</v>
      </c>
      <c r="N973" s="7">
        <v>266</v>
      </c>
      <c r="O973" s="7">
        <v>84</v>
      </c>
      <c r="P973" s="7">
        <v>126.9</v>
      </c>
      <c r="Q973" s="7">
        <v>7</v>
      </c>
    </row>
    <row r="974" spans="1:17">
      <c r="A974" s="2">
        <v>2922</v>
      </c>
      <c r="B974" s="7">
        <v>113</v>
      </c>
      <c r="C974" s="7">
        <v>20.399999999999999</v>
      </c>
      <c r="D974" s="7">
        <v>47.6</v>
      </c>
      <c r="E974" s="7">
        <v>7.6</v>
      </c>
      <c r="F974" s="7">
        <v>27.3</v>
      </c>
      <c r="G974" s="7">
        <v>22.5</v>
      </c>
      <c r="H974" s="7">
        <v>220.2</v>
      </c>
      <c r="I974" s="7">
        <v>71.8</v>
      </c>
      <c r="J974" s="7">
        <v>39.299999999999997</v>
      </c>
      <c r="K974" s="7">
        <v>186.2</v>
      </c>
      <c r="L974" s="7">
        <v>108.1</v>
      </c>
      <c r="M974" s="7">
        <v>185.3</v>
      </c>
      <c r="N974" s="7">
        <v>266</v>
      </c>
      <c r="O974" s="7">
        <v>84</v>
      </c>
      <c r="P974" s="7">
        <v>126.9</v>
      </c>
      <c r="Q974" s="7">
        <v>7</v>
      </c>
    </row>
    <row r="975" spans="1:17">
      <c r="A975" s="2">
        <v>2923</v>
      </c>
      <c r="B975" s="7">
        <v>113</v>
      </c>
      <c r="C975" s="7">
        <v>20.399999999999999</v>
      </c>
      <c r="D975" s="7">
        <v>47.6</v>
      </c>
      <c r="E975" s="7">
        <v>7.6</v>
      </c>
      <c r="F975" s="7">
        <v>27.3</v>
      </c>
      <c r="G975" s="7">
        <v>22.5</v>
      </c>
      <c r="H975" s="7">
        <v>220.2</v>
      </c>
      <c r="I975" s="7">
        <v>71.8</v>
      </c>
      <c r="J975" s="7">
        <v>39.299999999999997</v>
      </c>
      <c r="K975" s="7">
        <v>186.2</v>
      </c>
      <c r="L975" s="7">
        <v>108.1</v>
      </c>
      <c r="M975" s="7">
        <v>185.3</v>
      </c>
      <c r="N975" s="7">
        <v>266</v>
      </c>
      <c r="O975" s="7">
        <v>84</v>
      </c>
      <c r="P975" s="7">
        <v>126.9</v>
      </c>
      <c r="Q975" s="7">
        <v>7</v>
      </c>
    </row>
    <row r="976" spans="1:17">
      <c r="A976" s="2">
        <v>2924</v>
      </c>
      <c r="B976" s="7">
        <v>113</v>
      </c>
      <c r="C976" s="7">
        <v>20.399999999999999</v>
      </c>
      <c r="D976" s="7">
        <v>47.6</v>
      </c>
      <c r="E976" s="7">
        <v>7.6</v>
      </c>
      <c r="F976" s="7">
        <v>27.3</v>
      </c>
      <c r="G976" s="7">
        <v>22.5</v>
      </c>
      <c r="H976" s="7">
        <v>220.2</v>
      </c>
      <c r="I976" s="7">
        <v>71.8</v>
      </c>
      <c r="J976" s="7">
        <v>39.299999999999997</v>
      </c>
      <c r="K976" s="7">
        <v>186.2</v>
      </c>
      <c r="L976" s="7">
        <v>108.1</v>
      </c>
      <c r="M976" s="7">
        <v>185.3</v>
      </c>
      <c r="N976" s="7">
        <v>266</v>
      </c>
      <c r="O976" s="7">
        <v>84</v>
      </c>
      <c r="P976" s="7">
        <v>126.9</v>
      </c>
      <c r="Q976" s="7">
        <v>7</v>
      </c>
    </row>
    <row r="977" spans="1:17">
      <c r="A977" s="2">
        <v>2925</v>
      </c>
      <c r="B977" s="7">
        <v>113</v>
      </c>
      <c r="C977" s="7">
        <v>20.399999999999999</v>
      </c>
      <c r="D977" s="7">
        <v>47.6</v>
      </c>
      <c r="E977" s="7">
        <v>7.6</v>
      </c>
      <c r="F977" s="7">
        <v>27.3</v>
      </c>
      <c r="G977" s="7">
        <v>22.5</v>
      </c>
      <c r="H977" s="7">
        <v>220.2</v>
      </c>
      <c r="I977" s="7">
        <v>71.8</v>
      </c>
      <c r="J977" s="7">
        <v>39.299999999999997</v>
      </c>
      <c r="K977" s="7">
        <v>186.2</v>
      </c>
      <c r="L977" s="7">
        <v>108.1</v>
      </c>
      <c r="M977" s="7">
        <v>185.3</v>
      </c>
      <c r="N977" s="7">
        <v>266</v>
      </c>
      <c r="O977" s="7">
        <v>84</v>
      </c>
      <c r="P977" s="7">
        <v>126.9</v>
      </c>
      <c r="Q977" s="7">
        <v>7</v>
      </c>
    </row>
    <row r="978" spans="1:17">
      <c r="A978" s="2">
        <v>2926</v>
      </c>
      <c r="B978" s="7">
        <v>113</v>
      </c>
      <c r="C978" s="7">
        <v>20.399999999999999</v>
      </c>
      <c r="D978" s="7">
        <v>47.6</v>
      </c>
      <c r="E978" s="7">
        <v>7.6</v>
      </c>
      <c r="F978" s="7">
        <v>27.3</v>
      </c>
      <c r="G978" s="7">
        <v>22.5</v>
      </c>
      <c r="H978" s="7">
        <v>220.2</v>
      </c>
      <c r="I978" s="7">
        <v>71.8</v>
      </c>
      <c r="J978" s="7">
        <v>39.299999999999997</v>
      </c>
      <c r="K978" s="7">
        <v>186.2</v>
      </c>
      <c r="L978" s="7">
        <v>108.1</v>
      </c>
      <c r="M978" s="7">
        <v>185.3</v>
      </c>
      <c r="N978" s="7">
        <v>266</v>
      </c>
      <c r="O978" s="7">
        <v>84</v>
      </c>
      <c r="P978" s="7">
        <v>126.9</v>
      </c>
      <c r="Q978" s="7">
        <v>7</v>
      </c>
    </row>
    <row r="979" spans="1:17">
      <c r="A979" s="2">
        <v>2927</v>
      </c>
      <c r="B979" s="7">
        <v>113</v>
      </c>
      <c r="C979" s="7">
        <v>20.399999999999999</v>
      </c>
      <c r="D979" s="7">
        <v>47.6</v>
      </c>
      <c r="E979" s="7">
        <v>7.6</v>
      </c>
      <c r="F979" s="7">
        <v>27.3</v>
      </c>
      <c r="G979" s="7">
        <v>22.5</v>
      </c>
      <c r="H979" s="7">
        <v>220.2</v>
      </c>
      <c r="I979" s="7">
        <v>71.8</v>
      </c>
      <c r="J979" s="7">
        <v>39.299999999999997</v>
      </c>
      <c r="K979" s="7">
        <v>186.2</v>
      </c>
      <c r="L979" s="7">
        <v>108.1</v>
      </c>
      <c r="M979" s="7">
        <v>185.3</v>
      </c>
      <c r="N979" s="7">
        <v>266</v>
      </c>
      <c r="O979" s="7">
        <v>84</v>
      </c>
      <c r="P979" s="7">
        <v>126.9</v>
      </c>
      <c r="Q979" s="7">
        <v>7</v>
      </c>
    </row>
    <row r="980" spans="1:17">
      <c r="A980" s="2">
        <v>2928</v>
      </c>
      <c r="B980" s="7">
        <v>113</v>
      </c>
      <c r="C980" s="7">
        <v>20.399999999999999</v>
      </c>
      <c r="D980" s="7">
        <v>47.6</v>
      </c>
      <c r="E980" s="7">
        <v>7.6</v>
      </c>
      <c r="F980" s="7">
        <v>27.3</v>
      </c>
      <c r="G980" s="7">
        <v>22.5</v>
      </c>
      <c r="H980" s="7">
        <v>220.2</v>
      </c>
      <c r="I980" s="7">
        <v>71.8</v>
      </c>
      <c r="J980" s="7">
        <v>39.299999999999997</v>
      </c>
      <c r="K980" s="7">
        <v>186.2</v>
      </c>
      <c r="L980" s="7">
        <v>108.1</v>
      </c>
      <c r="M980" s="7">
        <v>185.3</v>
      </c>
      <c r="N980" s="7">
        <v>266</v>
      </c>
      <c r="O980" s="7">
        <v>84</v>
      </c>
      <c r="P980" s="7">
        <v>126.9</v>
      </c>
      <c r="Q980" s="7">
        <v>7</v>
      </c>
    </row>
    <row r="981" spans="1:17">
      <c r="A981" s="2">
        <v>2929</v>
      </c>
      <c r="B981" s="7">
        <v>113</v>
      </c>
      <c r="C981" s="7">
        <v>20.399999999999999</v>
      </c>
      <c r="D981" s="7">
        <v>47.6</v>
      </c>
      <c r="E981" s="7">
        <v>7.6</v>
      </c>
      <c r="F981" s="7">
        <v>27.3</v>
      </c>
      <c r="G981" s="7">
        <v>22.5</v>
      </c>
      <c r="H981" s="7">
        <v>220.2</v>
      </c>
      <c r="I981" s="7">
        <v>71.8</v>
      </c>
      <c r="J981" s="7">
        <v>39.299999999999997</v>
      </c>
      <c r="K981" s="7">
        <v>186.2</v>
      </c>
      <c r="L981" s="7">
        <v>108.1</v>
      </c>
      <c r="M981" s="7">
        <v>185.3</v>
      </c>
      <c r="N981" s="7">
        <v>266</v>
      </c>
      <c r="O981" s="7">
        <v>84</v>
      </c>
      <c r="P981" s="7">
        <v>126.9</v>
      </c>
      <c r="Q981" s="7">
        <v>7</v>
      </c>
    </row>
    <row r="982" spans="1:17">
      <c r="A982" s="2">
        <v>2930</v>
      </c>
      <c r="B982" s="7">
        <v>113</v>
      </c>
      <c r="C982" s="7">
        <v>20.399999999999999</v>
      </c>
      <c r="D982" s="7">
        <v>47.6</v>
      </c>
      <c r="E982" s="7">
        <v>7.6</v>
      </c>
      <c r="F982" s="7">
        <v>27.3</v>
      </c>
      <c r="G982" s="7">
        <v>22.5</v>
      </c>
      <c r="H982" s="7">
        <v>220.2</v>
      </c>
      <c r="I982" s="7">
        <v>71.8</v>
      </c>
      <c r="J982" s="7">
        <v>39.299999999999997</v>
      </c>
      <c r="K982" s="7">
        <v>186.2</v>
      </c>
      <c r="L982" s="7">
        <v>108.1</v>
      </c>
      <c r="M982" s="7">
        <v>185.3</v>
      </c>
      <c r="N982" s="7">
        <v>266</v>
      </c>
      <c r="O982" s="7">
        <v>84</v>
      </c>
      <c r="P982" s="7">
        <v>126.9</v>
      </c>
      <c r="Q982" s="7">
        <v>7</v>
      </c>
    </row>
    <row r="983" spans="1:17">
      <c r="A983" s="2">
        <v>2931</v>
      </c>
      <c r="B983" s="7">
        <v>113</v>
      </c>
      <c r="C983" s="7">
        <v>20.399999999999999</v>
      </c>
      <c r="D983" s="7">
        <v>47.6</v>
      </c>
      <c r="E983" s="7">
        <v>7.6</v>
      </c>
      <c r="F983" s="7">
        <v>27.3</v>
      </c>
      <c r="G983" s="7">
        <v>22.5</v>
      </c>
      <c r="H983" s="7">
        <v>220.2</v>
      </c>
      <c r="I983" s="7">
        <v>71.8</v>
      </c>
      <c r="J983" s="7">
        <v>39.299999999999997</v>
      </c>
      <c r="K983" s="7">
        <v>186.2</v>
      </c>
      <c r="L983" s="7">
        <v>108.1</v>
      </c>
      <c r="M983" s="7">
        <v>185.3</v>
      </c>
      <c r="N983" s="7">
        <v>266</v>
      </c>
      <c r="O983" s="7">
        <v>84</v>
      </c>
      <c r="P983" s="7">
        <v>126.9</v>
      </c>
      <c r="Q983" s="7">
        <v>7</v>
      </c>
    </row>
    <row r="984" spans="1:17">
      <c r="A984" s="2">
        <v>2932</v>
      </c>
      <c r="B984" s="7">
        <v>113</v>
      </c>
      <c r="C984" s="7">
        <v>20.399999999999999</v>
      </c>
      <c r="D984" s="7">
        <v>47.6</v>
      </c>
      <c r="E984" s="7">
        <v>7.6</v>
      </c>
      <c r="F984" s="7">
        <v>27.3</v>
      </c>
      <c r="G984" s="7">
        <v>22.5</v>
      </c>
      <c r="H984" s="7">
        <v>220.2</v>
      </c>
      <c r="I984" s="7">
        <v>71.8</v>
      </c>
      <c r="J984" s="7">
        <v>39.299999999999997</v>
      </c>
      <c r="K984" s="7">
        <v>186.2</v>
      </c>
      <c r="L984" s="7">
        <v>108.1</v>
      </c>
      <c r="M984" s="7">
        <v>185.3</v>
      </c>
      <c r="N984" s="7">
        <v>266</v>
      </c>
      <c r="O984" s="7">
        <v>84</v>
      </c>
      <c r="P984" s="7">
        <v>126.9</v>
      </c>
      <c r="Q984" s="7">
        <v>7</v>
      </c>
    </row>
    <row r="985" spans="1:17">
      <c r="A985" s="2">
        <v>2933</v>
      </c>
      <c r="B985" s="7">
        <v>113</v>
      </c>
      <c r="C985" s="7">
        <v>20.399999999999999</v>
      </c>
      <c r="D985" s="7">
        <v>47.6</v>
      </c>
      <c r="E985" s="7">
        <v>7.6</v>
      </c>
      <c r="F985" s="7">
        <v>27.3</v>
      </c>
      <c r="G985" s="7">
        <v>22.5</v>
      </c>
      <c r="H985" s="7">
        <v>220.2</v>
      </c>
      <c r="I985" s="7">
        <v>71.8</v>
      </c>
      <c r="J985" s="7">
        <v>39.299999999999997</v>
      </c>
      <c r="K985" s="7">
        <v>186.2</v>
      </c>
      <c r="L985" s="7">
        <v>108.1</v>
      </c>
      <c r="M985" s="7">
        <v>185.3</v>
      </c>
      <c r="N985" s="7">
        <v>266</v>
      </c>
      <c r="O985" s="7">
        <v>84</v>
      </c>
      <c r="P985" s="7">
        <v>126.9</v>
      </c>
      <c r="Q985" s="7">
        <v>7</v>
      </c>
    </row>
    <row r="986" spans="1:17">
      <c r="A986" s="2">
        <v>2934</v>
      </c>
      <c r="B986" s="7">
        <v>113</v>
      </c>
      <c r="C986" s="7">
        <v>20.399999999999999</v>
      </c>
      <c r="D986" s="7">
        <v>47.6</v>
      </c>
      <c r="E986" s="7">
        <v>7.6</v>
      </c>
      <c r="F986" s="7">
        <v>27.3</v>
      </c>
      <c r="G986" s="7">
        <v>22.5</v>
      </c>
      <c r="H986" s="7">
        <v>220.2</v>
      </c>
      <c r="I986" s="7">
        <v>71.8</v>
      </c>
      <c r="J986" s="7">
        <v>39.299999999999997</v>
      </c>
      <c r="K986" s="7">
        <v>186.2</v>
      </c>
      <c r="L986" s="7">
        <v>108.1</v>
      </c>
      <c r="M986" s="7">
        <v>185.3</v>
      </c>
      <c r="N986" s="7">
        <v>266</v>
      </c>
      <c r="O986" s="7">
        <v>84</v>
      </c>
      <c r="P986" s="7">
        <v>126.9</v>
      </c>
      <c r="Q986" s="7">
        <v>7</v>
      </c>
    </row>
    <row r="987" spans="1:17">
      <c r="A987" s="2">
        <v>2935</v>
      </c>
      <c r="B987" s="7">
        <v>113</v>
      </c>
      <c r="C987" s="7">
        <v>20.399999999999999</v>
      </c>
      <c r="D987" s="7">
        <v>47.6</v>
      </c>
      <c r="E987" s="7">
        <v>7.6</v>
      </c>
      <c r="F987" s="7">
        <v>27.3</v>
      </c>
      <c r="G987" s="7">
        <v>22.5</v>
      </c>
      <c r="H987" s="7">
        <v>220.2</v>
      </c>
      <c r="I987" s="7">
        <v>71.8</v>
      </c>
      <c r="J987" s="7">
        <v>39.299999999999997</v>
      </c>
      <c r="K987" s="7">
        <v>186.2</v>
      </c>
      <c r="L987" s="7">
        <v>108.1</v>
      </c>
      <c r="M987" s="7">
        <v>185.3</v>
      </c>
      <c r="N987" s="7">
        <v>266</v>
      </c>
      <c r="O987" s="7">
        <v>84</v>
      </c>
      <c r="P987" s="7">
        <v>126.9</v>
      </c>
      <c r="Q987" s="7">
        <v>7</v>
      </c>
    </row>
    <row r="988" spans="1:17">
      <c r="A988" s="2">
        <v>2936</v>
      </c>
      <c r="B988" s="7">
        <v>113</v>
      </c>
      <c r="C988" s="7">
        <v>20.399999999999999</v>
      </c>
      <c r="D988" s="7">
        <v>47.6</v>
      </c>
      <c r="E988" s="7">
        <v>7.6</v>
      </c>
      <c r="F988" s="7">
        <v>27.3</v>
      </c>
      <c r="G988" s="7">
        <v>22.5</v>
      </c>
      <c r="H988" s="7">
        <v>220.2</v>
      </c>
      <c r="I988" s="7">
        <v>71.8</v>
      </c>
      <c r="J988" s="7">
        <v>39.299999999999997</v>
      </c>
      <c r="K988" s="7">
        <v>186.2</v>
      </c>
      <c r="L988" s="7">
        <v>108.1</v>
      </c>
      <c r="M988" s="7">
        <v>185.3</v>
      </c>
      <c r="N988" s="7">
        <v>266</v>
      </c>
      <c r="O988" s="7">
        <v>84</v>
      </c>
      <c r="P988" s="7">
        <v>126.9</v>
      </c>
      <c r="Q988" s="7">
        <v>7</v>
      </c>
    </row>
    <row r="989" spans="1:17">
      <c r="A989" s="2">
        <v>2937</v>
      </c>
      <c r="B989" s="7">
        <v>113</v>
      </c>
      <c r="C989" s="7">
        <v>20.399999999999999</v>
      </c>
      <c r="D989" s="7">
        <v>47.6</v>
      </c>
      <c r="E989" s="7">
        <v>7.6</v>
      </c>
      <c r="F989" s="7">
        <v>27.3</v>
      </c>
      <c r="G989" s="7">
        <v>22.5</v>
      </c>
      <c r="H989" s="7">
        <v>220.2</v>
      </c>
      <c r="I989" s="7">
        <v>71.8</v>
      </c>
      <c r="J989" s="7">
        <v>39.299999999999997</v>
      </c>
      <c r="K989" s="7">
        <v>186.2</v>
      </c>
      <c r="L989" s="7">
        <v>108.1</v>
      </c>
      <c r="M989" s="7">
        <v>185.3</v>
      </c>
      <c r="N989" s="7">
        <v>266</v>
      </c>
      <c r="O989" s="7">
        <v>84</v>
      </c>
      <c r="P989" s="7">
        <v>126.9</v>
      </c>
      <c r="Q989" s="7">
        <v>7</v>
      </c>
    </row>
    <row r="990" spans="1:17">
      <c r="A990" s="2">
        <v>2938</v>
      </c>
      <c r="B990" s="7">
        <v>113</v>
      </c>
      <c r="C990" s="7">
        <v>20.399999999999999</v>
      </c>
      <c r="D990" s="7">
        <v>47.6</v>
      </c>
      <c r="E990" s="7">
        <v>7.6</v>
      </c>
      <c r="F990" s="7">
        <v>27.3</v>
      </c>
      <c r="G990" s="7">
        <v>22.5</v>
      </c>
      <c r="H990" s="7">
        <v>220.2</v>
      </c>
      <c r="I990" s="7">
        <v>71.8</v>
      </c>
      <c r="J990" s="7">
        <v>39.299999999999997</v>
      </c>
      <c r="K990" s="7">
        <v>186.2</v>
      </c>
      <c r="L990" s="7">
        <v>108.1</v>
      </c>
      <c r="M990" s="7">
        <v>185.3</v>
      </c>
      <c r="N990" s="7">
        <v>266</v>
      </c>
      <c r="O990" s="7">
        <v>84</v>
      </c>
      <c r="P990" s="7">
        <v>126.9</v>
      </c>
      <c r="Q990" s="7">
        <v>7</v>
      </c>
    </row>
    <row r="991" spans="1:17">
      <c r="A991" s="2">
        <v>2939</v>
      </c>
      <c r="B991" s="7">
        <v>113</v>
      </c>
      <c r="C991" s="7">
        <v>20.399999999999999</v>
      </c>
      <c r="D991" s="7">
        <v>47.6</v>
      </c>
      <c r="E991" s="7">
        <v>7.6</v>
      </c>
      <c r="F991" s="7">
        <v>27.3</v>
      </c>
      <c r="G991" s="7">
        <v>22.5</v>
      </c>
      <c r="H991" s="7">
        <v>220.2</v>
      </c>
      <c r="I991" s="7">
        <v>71.8</v>
      </c>
      <c r="J991" s="7">
        <v>39.299999999999997</v>
      </c>
      <c r="K991" s="7">
        <v>186.2</v>
      </c>
      <c r="L991" s="7">
        <v>108.1</v>
      </c>
      <c r="M991" s="7">
        <v>185.3</v>
      </c>
      <c r="N991" s="7">
        <v>266</v>
      </c>
      <c r="O991" s="7">
        <v>84</v>
      </c>
      <c r="P991" s="7">
        <v>126.9</v>
      </c>
      <c r="Q991" s="7">
        <v>7</v>
      </c>
    </row>
    <row r="992" spans="1:17">
      <c r="A992" s="2">
        <v>2940</v>
      </c>
      <c r="B992" s="7">
        <v>113</v>
      </c>
      <c r="C992" s="7">
        <v>20.399999999999999</v>
      </c>
      <c r="D992" s="7">
        <v>47.6</v>
      </c>
      <c r="E992" s="7">
        <v>7.6</v>
      </c>
      <c r="F992" s="7">
        <v>27.3</v>
      </c>
      <c r="G992" s="7">
        <v>22.5</v>
      </c>
      <c r="H992" s="7">
        <v>220.2</v>
      </c>
      <c r="I992" s="7">
        <v>71.8</v>
      </c>
      <c r="J992" s="7">
        <v>39.299999999999997</v>
      </c>
      <c r="K992" s="7">
        <v>186.2</v>
      </c>
      <c r="L992" s="7">
        <v>108.1</v>
      </c>
      <c r="M992" s="7">
        <v>185.3</v>
      </c>
      <c r="N992" s="7">
        <v>266</v>
      </c>
      <c r="O992" s="7">
        <v>84</v>
      </c>
      <c r="P992" s="7">
        <v>126.9</v>
      </c>
      <c r="Q992" s="7">
        <v>7</v>
      </c>
    </row>
    <row r="993" spans="1:17">
      <c r="A993" s="2">
        <v>2941</v>
      </c>
      <c r="B993" s="7">
        <v>113</v>
      </c>
      <c r="C993" s="7">
        <v>20.399999999999999</v>
      </c>
      <c r="D993" s="7">
        <v>47.6</v>
      </c>
      <c r="E993" s="7">
        <v>7.6</v>
      </c>
      <c r="F993" s="7">
        <v>27.3</v>
      </c>
      <c r="G993" s="7">
        <v>22.5</v>
      </c>
      <c r="H993" s="7">
        <v>220.2</v>
      </c>
      <c r="I993" s="7">
        <v>71.8</v>
      </c>
      <c r="J993" s="7">
        <v>39.299999999999997</v>
      </c>
      <c r="K993" s="7">
        <v>186.2</v>
      </c>
      <c r="L993" s="7">
        <v>108.1</v>
      </c>
      <c r="M993" s="7">
        <v>185.3</v>
      </c>
      <c r="N993" s="7">
        <v>266</v>
      </c>
      <c r="O993" s="7">
        <v>84</v>
      </c>
      <c r="P993" s="7">
        <v>126.9</v>
      </c>
      <c r="Q993" s="7">
        <v>7</v>
      </c>
    </row>
    <row r="994" spans="1:17">
      <c r="A994" s="2">
        <v>2942</v>
      </c>
      <c r="B994" s="7">
        <v>113</v>
      </c>
      <c r="C994" s="7">
        <v>20.399999999999999</v>
      </c>
      <c r="D994" s="7">
        <v>47.6</v>
      </c>
      <c r="E994" s="7">
        <v>7.6</v>
      </c>
      <c r="F994" s="7">
        <v>27.3</v>
      </c>
      <c r="G994" s="7">
        <v>22.5</v>
      </c>
      <c r="H994" s="7">
        <v>220.2</v>
      </c>
      <c r="I994" s="7">
        <v>71.8</v>
      </c>
      <c r="J994" s="7">
        <v>39.299999999999997</v>
      </c>
      <c r="K994" s="7">
        <v>186.2</v>
      </c>
      <c r="L994" s="7">
        <v>108.1</v>
      </c>
      <c r="M994" s="7">
        <v>185.3</v>
      </c>
      <c r="N994" s="7">
        <v>266</v>
      </c>
      <c r="O994" s="7">
        <v>84</v>
      </c>
      <c r="P994" s="7">
        <v>126.9</v>
      </c>
      <c r="Q994" s="7">
        <v>7</v>
      </c>
    </row>
    <row r="995" spans="1:17">
      <c r="A995" s="2">
        <v>2943</v>
      </c>
      <c r="B995" s="7">
        <v>113</v>
      </c>
      <c r="C995" s="7">
        <v>20.399999999999999</v>
      </c>
      <c r="D995" s="7">
        <v>47.6</v>
      </c>
      <c r="E995" s="7">
        <v>7.6</v>
      </c>
      <c r="F995" s="7">
        <v>27.3</v>
      </c>
      <c r="G995" s="7">
        <v>22.5</v>
      </c>
      <c r="H995" s="7">
        <v>220.2</v>
      </c>
      <c r="I995" s="7">
        <v>71.8</v>
      </c>
      <c r="J995" s="7">
        <v>39.299999999999997</v>
      </c>
      <c r="K995" s="7">
        <v>186.2</v>
      </c>
      <c r="L995" s="7">
        <v>108.1</v>
      </c>
      <c r="M995" s="7">
        <v>185.3</v>
      </c>
      <c r="N995" s="7">
        <v>266</v>
      </c>
      <c r="O995" s="7">
        <v>84</v>
      </c>
      <c r="P995" s="7">
        <v>126.9</v>
      </c>
      <c r="Q995" s="7">
        <v>7</v>
      </c>
    </row>
    <row r="996" spans="1:17">
      <c r="A996" s="2">
        <v>2944</v>
      </c>
      <c r="B996" s="7">
        <v>113</v>
      </c>
      <c r="C996" s="7">
        <v>20.399999999999999</v>
      </c>
      <c r="D996" s="7">
        <v>47.6</v>
      </c>
      <c r="E996" s="7">
        <v>7.6</v>
      </c>
      <c r="F996" s="7">
        <v>27.3</v>
      </c>
      <c r="G996" s="7">
        <v>22.5</v>
      </c>
      <c r="H996" s="7">
        <v>220.2</v>
      </c>
      <c r="I996" s="7">
        <v>71.8</v>
      </c>
      <c r="J996" s="7">
        <v>39.299999999999997</v>
      </c>
      <c r="K996" s="7">
        <v>186.2</v>
      </c>
      <c r="L996" s="7">
        <v>108.1</v>
      </c>
      <c r="M996" s="7">
        <v>185.3</v>
      </c>
      <c r="N996" s="7">
        <v>266</v>
      </c>
      <c r="O996" s="7">
        <v>84</v>
      </c>
      <c r="P996" s="7">
        <v>126.9</v>
      </c>
      <c r="Q996" s="7">
        <v>7</v>
      </c>
    </row>
    <row r="997" spans="1:17">
      <c r="A997" s="2">
        <v>2945</v>
      </c>
      <c r="B997" s="7">
        <v>113</v>
      </c>
      <c r="C997" s="7">
        <v>20.399999999999999</v>
      </c>
      <c r="D997" s="7">
        <v>47.6</v>
      </c>
      <c r="E997" s="7">
        <v>7.6</v>
      </c>
      <c r="F997" s="7">
        <v>27.3</v>
      </c>
      <c r="G997" s="7">
        <v>22.5</v>
      </c>
      <c r="H997" s="7">
        <v>220.2</v>
      </c>
      <c r="I997" s="7">
        <v>71.8</v>
      </c>
      <c r="J997" s="7">
        <v>39.299999999999997</v>
      </c>
      <c r="K997" s="7">
        <v>186.2</v>
      </c>
      <c r="L997" s="7">
        <v>108.1</v>
      </c>
      <c r="M997" s="7">
        <v>185.3</v>
      </c>
      <c r="N997" s="7">
        <v>266</v>
      </c>
      <c r="O997" s="7">
        <v>84</v>
      </c>
      <c r="P997" s="7">
        <v>126.9</v>
      </c>
      <c r="Q997" s="7">
        <v>7</v>
      </c>
    </row>
    <row r="998" spans="1:17">
      <c r="A998" s="2">
        <v>2946</v>
      </c>
      <c r="B998" s="7">
        <v>113</v>
      </c>
      <c r="C998" s="7">
        <v>20.399999999999999</v>
      </c>
      <c r="D998" s="7">
        <v>47.6</v>
      </c>
      <c r="E998" s="7">
        <v>7.6</v>
      </c>
      <c r="F998" s="7">
        <v>27.3</v>
      </c>
      <c r="G998" s="7">
        <v>22.5</v>
      </c>
      <c r="H998" s="7">
        <v>220.2</v>
      </c>
      <c r="I998" s="7">
        <v>71.8</v>
      </c>
      <c r="J998" s="7">
        <v>39.299999999999997</v>
      </c>
      <c r="K998" s="7">
        <v>186.2</v>
      </c>
      <c r="L998" s="7">
        <v>108.1</v>
      </c>
      <c r="M998" s="7">
        <v>185.3</v>
      </c>
      <c r="N998" s="7">
        <v>266</v>
      </c>
      <c r="O998" s="7">
        <v>84</v>
      </c>
      <c r="P998" s="7">
        <v>126.9</v>
      </c>
      <c r="Q998" s="7">
        <v>7</v>
      </c>
    </row>
    <row r="999" spans="1:17">
      <c r="A999" s="2">
        <v>2947</v>
      </c>
      <c r="B999" s="7">
        <v>113</v>
      </c>
      <c r="C999" s="7">
        <v>20.399999999999999</v>
      </c>
      <c r="D999" s="7">
        <v>47.6</v>
      </c>
      <c r="E999" s="7">
        <v>7.6</v>
      </c>
      <c r="F999" s="7">
        <v>27.3</v>
      </c>
      <c r="G999" s="7">
        <v>22.5</v>
      </c>
      <c r="H999" s="7">
        <v>220.2</v>
      </c>
      <c r="I999" s="7">
        <v>71.8</v>
      </c>
      <c r="J999" s="7">
        <v>39.299999999999997</v>
      </c>
      <c r="K999" s="7">
        <v>186.2</v>
      </c>
      <c r="L999" s="7">
        <v>108.1</v>
      </c>
      <c r="M999" s="7">
        <v>185.3</v>
      </c>
      <c r="N999" s="7">
        <v>266</v>
      </c>
      <c r="O999" s="7">
        <v>84</v>
      </c>
      <c r="P999" s="7">
        <v>126.9</v>
      </c>
      <c r="Q999" s="7">
        <v>7</v>
      </c>
    </row>
    <row r="1000" spans="1:17">
      <c r="A1000" s="2">
        <v>2948</v>
      </c>
      <c r="B1000" s="7">
        <v>113</v>
      </c>
      <c r="C1000" s="7">
        <v>20.399999999999999</v>
      </c>
      <c r="D1000" s="7">
        <v>47.6</v>
      </c>
      <c r="E1000" s="7">
        <v>7.6</v>
      </c>
      <c r="F1000" s="7">
        <v>27.3</v>
      </c>
      <c r="G1000" s="7">
        <v>22.5</v>
      </c>
      <c r="H1000" s="7">
        <v>220.2</v>
      </c>
      <c r="I1000" s="7">
        <v>71.8</v>
      </c>
      <c r="J1000" s="7">
        <v>39.299999999999997</v>
      </c>
      <c r="K1000" s="7">
        <v>186.2</v>
      </c>
      <c r="L1000" s="7">
        <v>108.1</v>
      </c>
      <c r="M1000" s="7">
        <v>185.3</v>
      </c>
      <c r="N1000" s="7">
        <v>266</v>
      </c>
      <c r="O1000" s="7">
        <v>84</v>
      </c>
      <c r="P1000" s="7">
        <v>126.9</v>
      </c>
      <c r="Q1000" s="7">
        <v>7</v>
      </c>
    </row>
    <row r="1001" spans="1:17">
      <c r="A1001" s="2">
        <v>2949</v>
      </c>
      <c r="B1001" s="7">
        <v>113</v>
      </c>
      <c r="C1001" s="7">
        <v>20.399999999999999</v>
      </c>
      <c r="D1001" s="7">
        <v>47.6</v>
      </c>
      <c r="E1001" s="7">
        <v>7.6</v>
      </c>
      <c r="F1001" s="7">
        <v>27.3</v>
      </c>
      <c r="G1001" s="7">
        <v>22.5</v>
      </c>
      <c r="H1001" s="7">
        <v>220.2</v>
      </c>
      <c r="I1001" s="7">
        <v>71.8</v>
      </c>
      <c r="J1001" s="7">
        <v>39.299999999999997</v>
      </c>
      <c r="K1001" s="7">
        <v>186.2</v>
      </c>
      <c r="L1001" s="7">
        <v>108.1</v>
      </c>
      <c r="M1001" s="7">
        <v>185.3</v>
      </c>
      <c r="N1001" s="7">
        <v>266</v>
      </c>
      <c r="O1001" s="7">
        <v>84</v>
      </c>
      <c r="P1001" s="7">
        <v>126.9</v>
      </c>
      <c r="Q1001" s="7">
        <v>7</v>
      </c>
    </row>
    <row r="1002" spans="1:17">
      <c r="A1002" s="2">
        <v>2950</v>
      </c>
      <c r="B1002" s="7">
        <v>113</v>
      </c>
      <c r="C1002" s="7">
        <v>20.399999999999999</v>
      </c>
      <c r="D1002" s="7">
        <v>47.6</v>
      </c>
      <c r="E1002" s="7">
        <v>7.6</v>
      </c>
      <c r="F1002" s="7">
        <v>27.3</v>
      </c>
      <c r="G1002" s="7">
        <v>22.5</v>
      </c>
      <c r="H1002" s="7">
        <v>220.2</v>
      </c>
      <c r="I1002" s="7">
        <v>71.8</v>
      </c>
      <c r="J1002" s="7">
        <v>39.299999999999997</v>
      </c>
      <c r="K1002" s="7">
        <v>186.2</v>
      </c>
      <c r="L1002" s="7">
        <v>108.1</v>
      </c>
      <c r="M1002" s="7">
        <v>185.3</v>
      </c>
      <c r="N1002" s="7">
        <v>266</v>
      </c>
      <c r="O1002" s="7">
        <v>84</v>
      </c>
      <c r="P1002" s="7">
        <v>126.9</v>
      </c>
      <c r="Q1002" s="7">
        <v>7</v>
      </c>
    </row>
    <row r="1003" spans="1:17">
      <c r="A1003" s="2">
        <v>2951</v>
      </c>
      <c r="B1003" s="7">
        <v>113</v>
      </c>
      <c r="C1003" s="7">
        <v>20.399999999999999</v>
      </c>
      <c r="D1003" s="7">
        <v>47.6</v>
      </c>
      <c r="E1003" s="7">
        <v>7.6</v>
      </c>
      <c r="F1003" s="7">
        <v>27.3</v>
      </c>
      <c r="G1003" s="7">
        <v>22.5</v>
      </c>
      <c r="H1003" s="7">
        <v>220.2</v>
      </c>
      <c r="I1003" s="7">
        <v>71.8</v>
      </c>
      <c r="J1003" s="7">
        <v>39.299999999999997</v>
      </c>
      <c r="K1003" s="7">
        <v>186.2</v>
      </c>
      <c r="L1003" s="7">
        <v>108.1</v>
      </c>
      <c r="M1003" s="7">
        <v>185.3</v>
      </c>
      <c r="N1003" s="7">
        <v>266</v>
      </c>
      <c r="O1003" s="7">
        <v>84</v>
      </c>
      <c r="P1003" s="7">
        <v>126.9</v>
      </c>
      <c r="Q1003" s="7">
        <v>7</v>
      </c>
    </row>
    <row r="1004" spans="1:17">
      <c r="A1004" s="2">
        <v>2952</v>
      </c>
      <c r="B1004" s="7">
        <v>113</v>
      </c>
      <c r="C1004" s="7">
        <v>20.399999999999999</v>
      </c>
      <c r="D1004" s="7">
        <v>47.6</v>
      </c>
      <c r="E1004" s="7">
        <v>7.6</v>
      </c>
      <c r="F1004" s="7">
        <v>27.3</v>
      </c>
      <c r="G1004" s="7">
        <v>22.5</v>
      </c>
      <c r="H1004" s="7">
        <v>220.2</v>
      </c>
      <c r="I1004" s="7">
        <v>71.8</v>
      </c>
      <c r="J1004" s="7">
        <v>39.299999999999997</v>
      </c>
      <c r="K1004" s="7">
        <v>186.2</v>
      </c>
      <c r="L1004" s="7">
        <v>108.1</v>
      </c>
      <c r="M1004" s="7">
        <v>185.3</v>
      </c>
      <c r="N1004" s="7">
        <v>266</v>
      </c>
      <c r="O1004" s="7">
        <v>84</v>
      </c>
      <c r="P1004" s="7">
        <v>126.9</v>
      </c>
      <c r="Q1004" s="7">
        <v>7</v>
      </c>
    </row>
    <row r="1005" spans="1:17">
      <c r="A1005" s="2">
        <v>2953</v>
      </c>
      <c r="B1005" s="7">
        <v>113</v>
      </c>
      <c r="C1005" s="7">
        <v>20.399999999999999</v>
      </c>
      <c r="D1005" s="7">
        <v>47.6</v>
      </c>
      <c r="E1005" s="7">
        <v>7.6</v>
      </c>
      <c r="F1005" s="7">
        <v>27.3</v>
      </c>
      <c r="G1005" s="7">
        <v>22.5</v>
      </c>
      <c r="H1005" s="7">
        <v>220.2</v>
      </c>
      <c r="I1005" s="7">
        <v>71.8</v>
      </c>
      <c r="J1005" s="7">
        <v>39.299999999999997</v>
      </c>
      <c r="K1005" s="7">
        <v>186.2</v>
      </c>
      <c r="L1005" s="7">
        <v>108.1</v>
      </c>
      <c r="M1005" s="7">
        <v>185.3</v>
      </c>
      <c r="N1005" s="7">
        <v>266</v>
      </c>
      <c r="O1005" s="7">
        <v>84</v>
      </c>
      <c r="P1005" s="7">
        <v>126.9</v>
      </c>
      <c r="Q1005" s="7">
        <v>7</v>
      </c>
    </row>
    <row r="1006" spans="1:17">
      <c r="A1006" s="2">
        <v>2954</v>
      </c>
      <c r="B1006" s="7">
        <v>113</v>
      </c>
      <c r="C1006" s="7">
        <v>20.399999999999999</v>
      </c>
      <c r="D1006" s="7">
        <v>47.6</v>
      </c>
      <c r="E1006" s="7">
        <v>7.6</v>
      </c>
      <c r="F1006" s="7">
        <v>27.3</v>
      </c>
      <c r="G1006" s="7">
        <v>22.5</v>
      </c>
      <c r="H1006" s="7">
        <v>220.2</v>
      </c>
      <c r="I1006" s="7">
        <v>71.8</v>
      </c>
      <c r="J1006" s="7">
        <v>39.299999999999997</v>
      </c>
      <c r="K1006" s="7">
        <v>186.2</v>
      </c>
      <c r="L1006" s="7">
        <v>108.1</v>
      </c>
      <c r="M1006" s="7">
        <v>185.3</v>
      </c>
      <c r="N1006" s="7">
        <v>266</v>
      </c>
      <c r="O1006" s="7">
        <v>84</v>
      </c>
      <c r="P1006" s="7">
        <v>126.9</v>
      </c>
      <c r="Q1006" s="7">
        <v>7</v>
      </c>
    </row>
    <row r="1007" spans="1:17">
      <c r="A1007" s="2">
        <v>2955</v>
      </c>
      <c r="B1007" s="7">
        <v>113</v>
      </c>
      <c r="C1007" s="7">
        <v>20.399999999999999</v>
      </c>
      <c r="D1007" s="7">
        <v>47.6</v>
      </c>
      <c r="E1007" s="7">
        <v>7.6</v>
      </c>
      <c r="F1007" s="7">
        <v>27.3</v>
      </c>
      <c r="G1007" s="7">
        <v>22.5</v>
      </c>
      <c r="H1007" s="7">
        <v>220.2</v>
      </c>
      <c r="I1007" s="7">
        <v>71.8</v>
      </c>
      <c r="J1007" s="7">
        <v>39.299999999999997</v>
      </c>
      <c r="K1007" s="7">
        <v>186.2</v>
      </c>
      <c r="L1007" s="7">
        <v>108.1</v>
      </c>
      <c r="M1007" s="7">
        <v>185.3</v>
      </c>
      <c r="N1007" s="7">
        <v>266</v>
      </c>
      <c r="O1007" s="7">
        <v>84</v>
      </c>
      <c r="P1007" s="7">
        <v>126.9</v>
      </c>
      <c r="Q1007" s="7">
        <v>7</v>
      </c>
    </row>
    <row r="1008" spans="1:17">
      <c r="A1008" s="2">
        <v>2956</v>
      </c>
      <c r="B1008" s="7">
        <v>113</v>
      </c>
      <c r="C1008" s="7">
        <v>20.399999999999999</v>
      </c>
      <c r="D1008" s="7">
        <v>47.6</v>
      </c>
      <c r="E1008" s="7">
        <v>7.6</v>
      </c>
      <c r="F1008" s="7">
        <v>27.3</v>
      </c>
      <c r="G1008" s="7">
        <v>22.5</v>
      </c>
      <c r="H1008" s="7">
        <v>220.2</v>
      </c>
      <c r="I1008" s="7">
        <v>71.8</v>
      </c>
      <c r="J1008" s="7">
        <v>39.299999999999997</v>
      </c>
      <c r="K1008" s="7">
        <v>186.2</v>
      </c>
      <c r="L1008" s="7">
        <v>108.1</v>
      </c>
      <c r="M1008" s="7">
        <v>185.3</v>
      </c>
      <c r="N1008" s="7">
        <v>266</v>
      </c>
      <c r="O1008" s="7">
        <v>84</v>
      </c>
      <c r="P1008" s="7">
        <v>126.9</v>
      </c>
      <c r="Q1008" s="7">
        <v>7</v>
      </c>
    </row>
    <row r="1009" spans="1:17">
      <c r="A1009" s="2">
        <v>2957</v>
      </c>
      <c r="B1009" s="7">
        <v>113</v>
      </c>
      <c r="C1009" s="7">
        <v>20.399999999999999</v>
      </c>
      <c r="D1009" s="7">
        <v>47.6</v>
      </c>
      <c r="E1009" s="7">
        <v>7.6</v>
      </c>
      <c r="F1009" s="7">
        <v>27.3</v>
      </c>
      <c r="G1009" s="7">
        <v>22.5</v>
      </c>
      <c r="H1009" s="7">
        <v>220.2</v>
      </c>
      <c r="I1009" s="7">
        <v>71.8</v>
      </c>
      <c r="J1009" s="7">
        <v>39.299999999999997</v>
      </c>
      <c r="K1009" s="7">
        <v>186.2</v>
      </c>
      <c r="L1009" s="7">
        <v>108.1</v>
      </c>
      <c r="M1009" s="7">
        <v>185.3</v>
      </c>
      <c r="N1009" s="7">
        <v>266</v>
      </c>
      <c r="O1009" s="7">
        <v>84</v>
      </c>
      <c r="P1009" s="7">
        <v>126.9</v>
      </c>
      <c r="Q1009" s="7">
        <v>7</v>
      </c>
    </row>
    <row r="1010" spans="1:17">
      <c r="A1010" s="2">
        <v>2958</v>
      </c>
      <c r="B1010" s="7">
        <v>113</v>
      </c>
      <c r="C1010" s="7">
        <v>20.399999999999999</v>
      </c>
      <c r="D1010" s="7">
        <v>47.6</v>
      </c>
      <c r="E1010" s="7">
        <v>7.6</v>
      </c>
      <c r="F1010" s="7">
        <v>27.3</v>
      </c>
      <c r="G1010" s="7">
        <v>22.5</v>
      </c>
      <c r="H1010" s="7">
        <v>220.2</v>
      </c>
      <c r="I1010" s="7">
        <v>71.8</v>
      </c>
      <c r="J1010" s="7">
        <v>39.299999999999997</v>
      </c>
      <c r="K1010" s="7">
        <v>186.2</v>
      </c>
      <c r="L1010" s="7">
        <v>108.1</v>
      </c>
      <c r="M1010" s="7">
        <v>185.3</v>
      </c>
      <c r="N1010" s="7">
        <v>266</v>
      </c>
      <c r="O1010" s="7">
        <v>84</v>
      </c>
      <c r="P1010" s="7">
        <v>126.9</v>
      </c>
      <c r="Q1010" s="7">
        <v>7</v>
      </c>
    </row>
    <row r="1011" spans="1:17">
      <c r="A1011" s="2">
        <v>2959</v>
      </c>
      <c r="B1011" s="7">
        <v>113</v>
      </c>
      <c r="C1011" s="7">
        <v>20.399999999999999</v>
      </c>
      <c r="D1011" s="7">
        <v>47.6</v>
      </c>
      <c r="E1011" s="7">
        <v>7.6</v>
      </c>
      <c r="F1011" s="7">
        <v>27.3</v>
      </c>
      <c r="G1011" s="7">
        <v>22.5</v>
      </c>
      <c r="H1011" s="7">
        <v>220.2</v>
      </c>
      <c r="I1011" s="7">
        <v>71.8</v>
      </c>
      <c r="J1011" s="7">
        <v>39.299999999999997</v>
      </c>
      <c r="K1011" s="7">
        <v>186.2</v>
      </c>
      <c r="L1011" s="7">
        <v>108.1</v>
      </c>
      <c r="M1011" s="7">
        <v>185.3</v>
      </c>
      <c r="N1011" s="7">
        <v>266</v>
      </c>
      <c r="O1011" s="7">
        <v>84</v>
      </c>
      <c r="P1011" s="7">
        <v>126.9</v>
      </c>
      <c r="Q1011" s="7">
        <v>7</v>
      </c>
    </row>
    <row r="1012" spans="1:17">
      <c r="A1012" s="2">
        <v>2960</v>
      </c>
      <c r="B1012" s="7">
        <v>113</v>
      </c>
      <c r="C1012" s="7">
        <v>20.399999999999999</v>
      </c>
      <c r="D1012" s="7">
        <v>47.6</v>
      </c>
      <c r="E1012" s="7">
        <v>7.6</v>
      </c>
      <c r="F1012" s="7">
        <v>27.3</v>
      </c>
      <c r="G1012" s="7">
        <v>22.5</v>
      </c>
      <c r="H1012" s="7">
        <v>220.2</v>
      </c>
      <c r="I1012" s="7">
        <v>71.8</v>
      </c>
      <c r="J1012" s="7">
        <v>39.299999999999997</v>
      </c>
      <c r="K1012" s="7">
        <v>186.2</v>
      </c>
      <c r="L1012" s="7">
        <v>108.1</v>
      </c>
      <c r="M1012" s="7">
        <v>185.3</v>
      </c>
      <c r="N1012" s="7">
        <v>266</v>
      </c>
      <c r="O1012" s="7">
        <v>84</v>
      </c>
      <c r="P1012" s="7">
        <v>126.9</v>
      </c>
      <c r="Q1012" s="7">
        <v>7</v>
      </c>
    </row>
    <row r="1013" spans="1:17">
      <c r="A1013" s="2">
        <v>2961</v>
      </c>
      <c r="B1013" s="7">
        <v>113</v>
      </c>
      <c r="C1013" s="7">
        <v>20.399999999999999</v>
      </c>
      <c r="D1013" s="7">
        <v>47.6</v>
      </c>
      <c r="E1013" s="7">
        <v>7.6</v>
      </c>
      <c r="F1013" s="7">
        <v>27.3</v>
      </c>
      <c r="G1013" s="7">
        <v>22.5</v>
      </c>
      <c r="H1013" s="7">
        <v>220.2</v>
      </c>
      <c r="I1013" s="7">
        <v>71.8</v>
      </c>
      <c r="J1013" s="7">
        <v>39.299999999999997</v>
      </c>
      <c r="K1013" s="7">
        <v>186.2</v>
      </c>
      <c r="L1013" s="7">
        <v>108.1</v>
      </c>
      <c r="M1013" s="7">
        <v>185.3</v>
      </c>
      <c r="N1013" s="7">
        <v>266</v>
      </c>
      <c r="O1013" s="7">
        <v>84</v>
      </c>
      <c r="P1013" s="7">
        <v>126.9</v>
      </c>
      <c r="Q1013" s="7">
        <v>7</v>
      </c>
    </row>
    <row r="1014" spans="1:17">
      <c r="A1014" s="2">
        <v>2962</v>
      </c>
      <c r="B1014" s="7">
        <v>113</v>
      </c>
      <c r="C1014" s="7">
        <v>20.399999999999999</v>
      </c>
      <c r="D1014" s="7">
        <v>47.6</v>
      </c>
      <c r="E1014" s="7">
        <v>7.6</v>
      </c>
      <c r="F1014" s="7">
        <v>27.3</v>
      </c>
      <c r="G1014" s="7">
        <v>22.5</v>
      </c>
      <c r="H1014" s="7">
        <v>220.2</v>
      </c>
      <c r="I1014" s="7">
        <v>71.8</v>
      </c>
      <c r="J1014" s="7">
        <v>39.299999999999997</v>
      </c>
      <c r="K1014" s="7">
        <v>186.2</v>
      </c>
      <c r="L1014" s="7">
        <v>108.1</v>
      </c>
      <c r="M1014" s="7">
        <v>185.3</v>
      </c>
      <c r="N1014" s="7">
        <v>266</v>
      </c>
      <c r="O1014" s="7">
        <v>84</v>
      </c>
      <c r="P1014" s="7">
        <v>126.9</v>
      </c>
      <c r="Q1014" s="7">
        <v>7</v>
      </c>
    </row>
    <row r="1015" spans="1:17">
      <c r="A1015" s="2">
        <v>2963</v>
      </c>
      <c r="B1015" s="7">
        <v>113</v>
      </c>
      <c r="C1015" s="7">
        <v>20.399999999999999</v>
      </c>
      <c r="D1015" s="7">
        <v>47.6</v>
      </c>
      <c r="E1015" s="7">
        <v>7.6</v>
      </c>
      <c r="F1015" s="7">
        <v>27.3</v>
      </c>
      <c r="G1015" s="7">
        <v>22.5</v>
      </c>
      <c r="H1015" s="7">
        <v>220.2</v>
      </c>
      <c r="I1015" s="7">
        <v>71.8</v>
      </c>
      <c r="J1015" s="7">
        <v>39.299999999999997</v>
      </c>
      <c r="K1015" s="7">
        <v>186.2</v>
      </c>
      <c r="L1015" s="7">
        <v>108.1</v>
      </c>
      <c r="M1015" s="7">
        <v>185.3</v>
      </c>
      <c r="N1015" s="7">
        <v>266</v>
      </c>
      <c r="O1015" s="7">
        <v>84</v>
      </c>
      <c r="P1015" s="7">
        <v>126.9</v>
      </c>
      <c r="Q1015" s="7">
        <v>7</v>
      </c>
    </row>
    <row r="1016" spans="1:17">
      <c r="A1016" s="2">
        <v>2964</v>
      </c>
      <c r="B1016" s="7">
        <v>113</v>
      </c>
      <c r="C1016" s="7">
        <v>20.399999999999999</v>
      </c>
      <c r="D1016" s="7">
        <v>47.6</v>
      </c>
      <c r="E1016" s="7">
        <v>7.6</v>
      </c>
      <c r="F1016" s="7">
        <v>27.3</v>
      </c>
      <c r="G1016" s="7">
        <v>22.5</v>
      </c>
      <c r="H1016" s="7">
        <v>220.2</v>
      </c>
      <c r="I1016" s="7">
        <v>71.8</v>
      </c>
      <c r="J1016" s="7">
        <v>39.299999999999997</v>
      </c>
      <c r="K1016" s="7">
        <v>186.2</v>
      </c>
      <c r="L1016" s="7">
        <v>108.1</v>
      </c>
      <c r="M1016" s="7">
        <v>185.3</v>
      </c>
      <c r="N1016" s="7">
        <v>266</v>
      </c>
      <c r="O1016" s="7">
        <v>84</v>
      </c>
      <c r="P1016" s="7">
        <v>126.9</v>
      </c>
      <c r="Q1016" s="7">
        <v>7</v>
      </c>
    </row>
    <row r="1017" spans="1:17">
      <c r="A1017" s="2">
        <v>2965</v>
      </c>
      <c r="B1017" s="7">
        <v>113</v>
      </c>
      <c r="C1017" s="7">
        <v>20.399999999999999</v>
      </c>
      <c r="D1017" s="7">
        <v>47.6</v>
      </c>
      <c r="E1017" s="7">
        <v>7.6</v>
      </c>
      <c r="F1017" s="7">
        <v>27.3</v>
      </c>
      <c r="G1017" s="7">
        <v>22.5</v>
      </c>
      <c r="H1017" s="7">
        <v>220.2</v>
      </c>
      <c r="I1017" s="7">
        <v>71.8</v>
      </c>
      <c r="J1017" s="7">
        <v>39.299999999999997</v>
      </c>
      <c r="K1017" s="7">
        <v>186.2</v>
      </c>
      <c r="L1017" s="7">
        <v>108.1</v>
      </c>
      <c r="M1017" s="7">
        <v>185.3</v>
      </c>
      <c r="N1017" s="7">
        <v>266</v>
      </c>
      <c r="O1017" s="7">
        <v>84</v>
      </c>
      <c r="P1017" s="7">
        <v>126.9</v>
      </c>
      <c r="Q1017" s="7">
        <v>7</v>
      </c>
    </row>
    <row r="1018" spans="1:17">
      <c r="A1018" s="2">
        <v>2966</v>
      </c>
      <c r="B1018" s="7">
        <v>113</v>
      </c>
      <c r="C1018" s="7">
        <v>20.399999999999999</v>
      </c>
      <c r="D1018" s="7">
        <v>47.6</v>
      </c>
      <c r="E1018" s="7">
        <v>7.6</v>
      </c>
      <c r="F1018" s="7">
        <v>27.3</v>
      </c>
      <c r="G1018" s="7">
        <v>22.5</v>
      </c>
      <c r="H1018" s="7">
        <v>220.2</v>
      </c>
      <c r="I1018" s="7">
        <v>71.8</v>
      </c>
      <c r="J1018" s="7">
        <v>39.299999999999997</v>
      </c>
      <c r="K1018" s="7">
        <v>186.2</v>
      </c>
      <c r="L1018" s="7">
        <v>108.1</v>
      </c>
      <c r="M1018" s="7">
        <v>185.3</v>
      </c>
      <c r="N1018" s="7">
        <v>266</v>
      </c>
      <c r="O1018" s="7">
        <v>84</v>
      </c>
      <c r="P1018" s="7">
        <v>126.9</v>
      </c>
      <c r="Q1018" s="7">
        <v>7</v>
      </c>
    </row>
    <row r="1019" spans="1:17">
      <c r="A1019" s="2">
        <v>2967</v>
      </c>
      <c r="B1019" s="7">
        <v>113</v>
      </c>
      <c r="C1019" s="7">
        <v>20.399999999999999</v>
      </c>
      <c r="D1019" s="7">
        <v>47.6</v>
      </c>
      <c r="E1019" s="7">
        <v>7.6</v>
      </c>
      <c r="F1019" s="7">
        <v>27.3</v>
      </c>
      <c r="G1019" s="7">
        <v>22.5</v>
      </c>
      <c r="H1019" s="7">
        <v>220.2</v>
      </c>
      <c r="I1019" s="7">
        <v>71.8</v>
      </c>
      <c r="J1019" s="7">
        <v>39.299999999999997</v>
      </c>
      <c r="K1019" s="7">
        <v>186.2</v>
      </c>
      <c r="L1019" s="7">
        <v>108.1</v>
      </c>
      <c r="M1019" s="7">
        <v>185.3</v>
      </c>
      <c r="N1019" s="7">
        <v>266</v>
      </c>
      <c r="O1019" s="7">
        <v>84</v>
      </c>
      <c r="P1019" s="7">
        <v>126.9</v>
      </c>
      <c r="Q1019" s="7">
        <v>7</v>
      </c>
    </row>
    <row r="1020" spans="1:17">
      <c r="A1020" s="2">
        <v>2968</v>
      </c>
      <c r="B1020" s="7">
        <v>113</v>
      </c>
      <c r="C1020" s="7">
        <v>20.399999999999999</v>
      </c>
      <c r="D1020" s="7">
        <v>47.6</v>
      </c>
      <c r="E1020" s="7">
        <v>7.6</v>
      </c>
      <c r="F1020" s="7">
        <v>27.3</v>
      </c>
      <c r="G1020" s="7">
        <v>22.5</v>
      </c>
      <c r="H1020" s="7">
        <v>220.2</v>
      </c>
      <c r="I1020" s="7">
        <v>71.8</v>
      </c>
      <c r="J1020" s="7">
        <v>39.299999999999997</v>
      </c>
      <c r="K1020" s="7">
        <v>186.2</v>
      </c>
      <c r="L1020" s="7">
        <v>108.1</v>
      </c>
      <c r="M1020" s="7">
        <v>185.3</v>
      </c>
      <c r="N1020" s="7">
        <v>266</v>
      </c>
      <c r="O1020" s="7">
        <v>84</v>
      </c>
      <c r="P1020" s="7">
        <v>126.9</v>
      </c>
      <c r="Q1020" s="7">
        <v>7</v>
      </c>
    </row>
    <row r="1021" spans="1:17">
      <c r="A1021" s="2">
        <v>2969</v>
      </c>
      <c r="B1021" s="7">
        <v>113</v>
      </c>
      <c r="C1021" s="7">
        <v>20.399999999999999</v>
      </c>
      <c r="D1021" s="7">
        <v>47.6</v>
      </c>
      <c r="E1021" s="7">
        <v>7.6</v>
      </c>
      <c r="F1021" s="7">
        <v>27.3</v>
      </c>
      <c r="G1021" s="7">
        <v>22.5</v>
      </c>
      <c r="H1021" s="7">
        <v>220.2</v>
      </c>
      <c r="I1021" s="7">
        <v>71.8</v>
      </c>
      <c r="J1021" s="7">
        <v>39.299999999999997</v>
      </c>
      <c r="K1021" s="7">
        <v>186.2</v>
      </c>
      <c r="L1021" s="7">
        <v>108.1</v>
      </c>
      <c r="M1021" s="7">
        <v>185.3</v>
      </c>
      <c r="N1021" s="7">
        <v>266</v>
      </c>
      <c r="O1021" s="7">
        <v>84</v>
      </c>
      <c r="P1021" s="7">
        <v>126.9</v>
      </c>
      <c r="Q1021" s="7">
        <v>7</v>
      </c>
    </row>
    <row r="1022" spans="1:17">
      <c r="A1022" s="2">
        <v>2970</v>
      </c>
      <c r="B1022" s="7">
        <v>113</v>
      </c>
      <c r="C1022" s="7">
        <v>20.399999999999999</v>
      </c>
      <c r="D1022" s="7">
        <v>47.6</v>
      </c>
      <c r="E1022" s="7">
        <v>7.6</v>
      </c>
      <c r="F1022" s="7">
        <v>27.3</v>
      </c>
      <c r="G1022" s="7">
        <v>22.5</v>
      </c>
      <c r="H1022" s="7">
        <v>220.2</v>
      </c>
      <c r="I1022" s="7">
        <v>71.8</v>
      </c>
      <c r="J1022" s="7">
        <v>39.299999999999997</v>
      </c>
      <c r="K1022" s="7">
        <v>186.2</v>
      </c>
      <c r="L1022" s="7">
        <v>108.1</v>
      </c>
      <c r="M1022" s="7">
        <v>185.3</v>
      </c>
      <c r="N1022" s="7">
        <v>266</v>
      </c>
      <c r="O1022" s="7">
        <v>84</v>
      </c>
      <c r="P1022" s="7">
        <v>126.9</v>
      </c>
      <c r="Q1022" s="7">
        <v>7</v>
      </c>
    </row>
    <row r="1023" spans="1:17">
      <c r="A1023" s="2">
        <v>2971</v>
      </c>
      <c r="B1023" s="7">
        <v>113</v>
      </c>
      <c r="C1023" s="7">
        <v>20.399999999999999</v>
      </c>
      <c r="D1023" s="7">
        <v>47.6</v>
      </c>
      <c r="E1023" s="7">
        <v>7.6</v>
      </c>
      <c r="F1023" s="7">
        <v>27.3</v>
      </c>
      <c r="G1023" s="7">
        <v>22.5</v>
      </c>
      <c r="H1023" s="7">
        <v>220.2</v>
      </c>
      <c r="I1023" s="7">
        <v>71.8</v>
      </c>
      <c r="J1023" s="7">
        <v>39.299999999999997</v>
      </c>
      <c r="K1023" s="7">
        <v>186.2</v>
      </c>
      <c r="L1023" s="7">
        <v>108.1</v>
      </c>
      <c r="M1023" s="7">
        <v>185.3</v>
      </c>
      <c r="N1023" s="7">
        <v>266</v>
      </c>
      <c r="O1023" s="7">
        <v>84</v>
      </c>
      <c r="P1023" s="7">
        <v>126.9</v>
      </c>
      <c r="Q1023" s="7">
        <v>7</v>
      </c>
    </row>
    <row r="1024" spans="1:17">
      <c r="A1024" s="2">
        <v>2972</v>
      </c>
      <c r="B1024" s="7">
        <v>113</v>
      </c>
      <c r="C1024" s="7">
        <v>20.399999999999999</v>
      </c>
      <c r="D1024" s="7">
        <v>47.6</v>
      </c>
      <c r="E1024" s="7">
        <v>7.6</v>
      </c>
      <c r="F1024" s="7">
        <v>27.3</v>
      </c>
      <c r="G1024" s="7">
        <v>22.5</v>
      </c>
      <c r="H1024" s="7">
        <v>220.2</v>
      </c>
      <c r="I1024" s="7">
        <v>71.8</v>
      </c>
      <c r="J1024" s="7">
        <v>39.299999999999997</v>
      </c>
      <c r="K1024" s="7">
        <v>186.2</v>
      </c>
      <c r="L1024" s="7">
        <v>108.1</v>
      </c>
      <c r="M1024" s="7">
        <v>185.3</v>
      </c>
      <c r="N1024" s="7">
        <v>266</v>
      </c>
      <c r="O1024" s="7">
        <v>84</v>
      </c>
      <c r="P1024" s="7">
        <v>126.9</v>
      </c>
      <c r="Q1024" s="7">
        <v>7</v>
      </c>
    </row>
    <row r="1025" spans="1:17">
      <c r="A1025" s="2">
        <v>2973</v>
      </c>
      <c r="B1025" s="7">
        <v>113</v>
      </c>
      <c r="C1025" s="7">
        <v>20.399999999999999</v>
      </c>
      <c r="D1025" s="7">
        <v>47.6</v>
      </c>
      <c r="E1025" s="7">
        <v>7.6</v>
      </c>
      <c r="F1025" s="7">
        <v>27.3</v>
      </c>
      <c r="G1025" s="7">
        <v>22.5</v>
      </c>
      <c r="H1025" s="7">
        <v>220.2</v>
      </c>
      <c r="I1025" s="7">
        <v>71.8</v>
      </c>
      <c r="J1025" s="7">
        <v>39.299999999999997</v>
      </c>
      <c r="K1025" s="7">
        <v>186.2</v>
      </c>
      <c r="L1025" s="7">
        <v>108.1</v>
      </c>
      <c r="M1025" s="7">
        <v>185.3</v>
      </c>
      <c r="N1025" s="7">
        <v>266</v>
      </c>
      <c r="O1025" s="7">
        <v>84</v>
      </c>
      <c r="P1025" s="7">
        <v>126.9</v>
      </c>
      <c r="Q1025" s="7">
        <v>7</v>
      </c>
    </row>
    <row r="1026" spans="1:17">
      <c r="A1026" s="2">
        <v>2974</v>
      </c>
      <c r="B1026" s="7">
        <v>113</v>
      </c>
      <c r="C1026" s="7">
        <v>20.399999999999999</v>
      </c>
      <c r="D1026" s="7">
        <v>47.6</v>
      </c>
      <c r="E1026" s="7">
        <v>7.6</v>
      </c>
      <c r="F1026" s="7">
        <v>27.3</v>
      </c>
      <c r="G1026" s="7">
        <v>22.5</v>
      </c>
      <c r="H1026" s="7">
        <v>220.2</v>
      </c>
      <c r="I1026" s="7">
        <v>71.8</v>
      </c>
      <c r="J1026" s="7">
        <v>39.299999999999997</v>
      </c>
      <c r="K1026" s="7">
        <v>186.2</v>
      </c>
      <c r="L1026" s="7">
        <v>108.1</v>
      </c>
      <c r="M1026" s="7">
        <v>185.3</v>
      </c>
      <c r="N1026" s="7">
        <v>266</v>
      </c>
      <c r="O1026" s="7">
        <v>84</v>
      </c>
      <c r="P1026" s="7">
        <v>126.9</v>
      </c>
      <c r="Q1026" s="7">
        <v>7</v>
      </c>
    </row>
    <row r="1027" spans="1:17">
      <c r="A1027" s="2">
        <v>2975</v>
      </c>
      <c r="B1027" s="7">
        <v>113</v>
      </c>
      <c r="C1027" s="7">
        <v>20.399999999999999</v>
      </c>
      <c r="D1027" s="7">
        <v>47.6</v>
      </c>
      <c r="E1027" s="7">
        <v>7.6</v>
      </c>
      <c r="F1027" s="7">
        <v>27.3</v>
      </c>
      <c r="G1027" s="7">
        <v>22.5</v>
      </c>
      <c r="H1027" s="7">
        <v>220.2</v>
      </c>
      <c r="I1027" s="7">
        <v>71.8</v>
      </c>
      <c r="J1027" s="7">
        <v>39.299999999999997</v>
      </c>
      <c r="K1027" s="7">
        <v>186.2</v>
      </c>
      <c r="L1027" s="7">
        <v>108.1</v>
      </c>
      <c r="M1027" s="7">
        <v>185.3</v>
      </c>
      <c r="N1027" s="7">
        <v>266</v>
      </c>
      <c r="O1027" s="7">
        <v>84</v>
      </c>
      <c r="P1027" s="7">
        <v>126.9</v>
      </c>
      <c r="Q1027" s="7">
        <v>7</v>
      </c>
    </row>
    <row r="1028" spans="1:17">
      <c r="A1028" s="2">
        <v>2976</v>
      </c>
      <c r="B1028" s="7">
        <v>113</v>
      </c>
      <c r="C1028" s="7">
        <v>20.399999999999999</v>
      </c>
      <c r="D1028" s="7">
        <v>47.6</v>
      </c>
      <c r="E1028" s="7">
        <v>7.6</v>
      </c>
      <c r="F1028" s="7">
        <v>27.3</v>
      </c>
      <c r="G1028" s="7">
        <v>22.5</v>
      </c>
      <c r="H1028" s="7">
        <v>220.2</v>
      </c>
      <c r="I1028" s="7">
        <v>71.8</v>
      </c>
      <c r="J1028" s="7">
        <v>39.299999999999997</v>
      </c>
      <c r="K1028" s="7">
        <v>186.2</v>
      </c>
      <c r="L1028" s="7">
        <v>108.1</v>
      </c>
      <c r="M1028" s="7">
        <v>185.3</v>
      </c>
      <c r="N1028" s="7">
        <v>266</v>
      </c>
      <c r="O1028" s="7">
        <v>84</v>
      </c>
      <c r="P1028" s="7">
        <v>126.9</v>
      </c>
      <c r="Q1028" s="7">
        <v>7</v>
      </c>
    </row>
    <row r="1029" spans="1:17">
      <c r="A1029" s="2">
        <v>2977</v>
      </c>
      <c r="B1029" s="7">
        <v>113</v>
      </c>
      <c r="C1029" s="7">
        <v>20.399999999999999</v>
      </c>
      <c r="D1029" s="7">
        <v>47.6</v>
      </c>
      <c r="E1029" s="7">
        <v>7.6</v>
      </c>
      <c r="F1029" s="7">
        <v>27.3</v>
      </c>
      <c r="G1029" s="7">
        <v>22.5</v>
      </c>
      <c r="H1029" s="7">
        <v>220.2</v>
      </c>
      <c r="I1029" s="7">
        <v>71.8</v>
      </c>
      <c r="J1029" s="7">
        <v>39.299999999999997</v>
      </c>
      <c r="K1029" s="7">
        <v>186.2</v>
      </c>
      <c r="L1029" s="7">
        <v>108.1</v>
      </c>
      <c r="M1029" s="7">
        <v>185.3</v>
      </c>
      <c r="N1029" s="7">
        <v>266</v>
      </c>
      <c r="O1029" s="7">
        <v>84</v>
      </c>
      <c r="P1029" s="7">
        <v>126.9</v>
      </c>
      <c r="Q1029" s="7">
        <v>7</v>
      </c>
    </row>
    <row r="1030" spans="1:17">
      <c r="A1030" s="2">
        <v>2978</v>
      </c>
      <c r="B1030" s="7">
        <v>113</v>
      </c>
      <c r="C1030" s="7">
        <v>20.399999999999999</v>
      </c>
      <c r="D1030" s="7">
        <v>47.6</v>
      </c>
      <c r="E1030" s="7">
        <v>7.6</v>
      </c>
      <c r="F1030" s="7">
        <v>27.3</v>
      </c>
      <c r="G1030" s="7">
        <v>22.5</v>
      </c>
      <c r="H1030" s="7">
        <v>220.2</v>
      </c>
      <c r="I1030" s="7">
        <v>71.8</v>
      </c>
      <c r="J1030" s="7">
        <v>39.299999999999997</v>
      </c>
      <c r="K1030" s="7">
        <v>186.2</v>
      </c>
      <c r="L1030" s="7">
        <v>108.1</v>
      </c>
      <c r="M1030" s="7">
        <v>185.3</v>
      </c>
      <c r="N1030" s="7">
        <v>266</v>
      </c>
      <c r="O1030" s="7">
        <v>84</v>
      </c>
      <c r="P1030" s="7">
        <v>126.9</v>
      </c>
      <c r="Q1030" s="7">
        <v>7</v>
      </c>
    </row>
    <row r="1031" spans="1:17">
      <c r="A1031" s="2">
        <v>2979</v>
      </c>
      <c r="B1031" s="7">
        <v>113</v>
      </c>
      <c r="C1031" s="7">
        <v>20.399999999999999</v>
      </c>
      <c r="D1031" s="7">
        <v>47.6</v>
      </c>
      <c r="E1031" s="7">
        <v>7.6</v>
      </c>
      <c r="F1031" s="7">
        <v>27.3</v>
      </c>
      <c r="G1031" s="7">
        <v>22.5</v>
      </c>
      <c r="H1031" s="7">
        <v>220.2</v>
      </c>
      <c r="I1031" s="7">
        <v>71.8</v>
      </c>
      <c r="J1031" s="7">
        <v>39.299999999999997</v>
      </c>
      <c r="K1031" s="7">
        <v>186.2</v>
      </c>
      <c r="L1031" s="7">
        <v>108.1</v>
      </c>
      <c r="M1031" s="7">
        <v>185.3</v>
      </c>
      <c r="N1031" s="7">
        <v>266</v>
      </c>
      <c r="O1031" s="7">
        <v>84</v>
      </c>
      <c r="P1031" s="7">
        <v>126.9</v>
      </c>
      <c r="Q1031" s="7">
        <v>7</v>
      </c>
    </row>
    <row r="1032" spans="1:17">
      <c r="A1032" s="2">
        <v>2980</v>
      </c>
      <c r="B1032" s="7">
        <v>113</v>
      </c>
      <c r="C1032" s="7">
        <v>20.399999999999999</v>
      </c>
      <c r="D1032" s="7">
        <v>47.6</v>
      </c>
      <c r="E1032" s="7">
        <v>7.6</v>
      </c>
      <c r="F1032" s="7">
        <v>27.3</v>
      </c>
      <c r="G1032" s="7">
        <v>22.5</v>
      </c>
      <c r="H1032" s="7">
        <v>220.2</v>
      </c>
      <c r="I1032" s="7">
        <v>71.8</v>
      </c>
      <c r="J1032" s="7">
        <v>39.299999999999997</v>
      </c>
      <c r="K1032" s="7">
        <v>186.2</v>
      </c>
      <c r="L1032" s="7">
        <v>108.1</v>
      </c>
      <c r="M1032" s="7">
        <v>185.3</v>
      </c>
      <c r="N1032" s="7">
        <v>266</v>
      </c>
      <c r="O1032" s="7">
        <v>84</v>
      </c>
      <c r="P1032" s="7">
        <v>126.9</v>
      </c>
      <c r="Q1032" s="7">
        <v>7</v>
      </c>
    </row>
    <row r="1033" spans="1:17">
      <c r="A1033" s="2">
        <v>2981</v>
      </c>
      <c r="B1033" s="7">
        <v>113</v>
      </c>
      <c r="C1033" s="7">
        <v>20.399999999999999</v>
      </c>
      <c r="D1033" s="7">
        <v>47.6</v>
      </c>
      <c r="E1033" s="7">
        <v>7.6</v>
      </c>
      <c r="F1033" s="7">
        <v>27.3</v>
      </c>
      <c r="G1033" s="7">
        <v>22.5</v>
      </c>
      <c r="H1033" s="7">
        <v>220.2</v>
      </c>
      <c r="I1033" s="7">
        <v>71.8</v>
      </c>
      <c r="J1033" s="7">
        <v>39.299999999999997</v>
      </c>
      <c r="K1033" s="7">
        <v>186.2</v>
      </c>
      <c r="L1033" s="7">
        <v>108.1</v>
      </c>
      <c r="M1033" s="7">
        <v>185.3</v>
      </c>
      <c r="N1033" s="7">
        <v>266</v>
      </c>
      <c r="O1033" s="7">
        <v>84</v>
      </c>
      <c r="P1033" s="7">
        <v>126.9</v>
      </c>
      <c r="Q1033" s="7">
        <v>7</v>
      </c>
    </row>
    <row r="1034" spans="1:17">
      <c r="A1034" s="2">
        <v>2982</v>
      </c>
      <c r="B1034" s="7">
        <v>113</v>
      </c>
      <c r="C1034" s="7">
        <v>20.399999999999999</v>
      </c>
      <c r="D1034" s="7">
        <v>47.6</v>
      </c>
      <c r="E1034" s="7">
        <v>7.6</v>
      </c>
      <c r="F1034" s="7">
        <v>27.3</v>
      </c>
      <c r="G1034" s="7">
        <v>22.5</v>
      </c>
      <c r="H1034" s="7">
        <v>220.2</v>
      </c>
      <c r="I1034" s="7">
        <v>71.8</v>
      </c>
      <c r="J1034" s="7">
        <v>39.299999999999997</v>
      </c>
      <c r="K1034" s="7">
        <v>186.2</v>
      </c>
      <c r="L1034" s="7">
        <v>108.1</v>
      </c>
      <c r="M1034" s="7">
        <v>185.3</v>
      </c>
      <c r="N1034" s="7">
        <v>266</v>
      </c>
      <c r="O1034" s="7">
        <v>84</v>
      </c>
      <c r="P1034" s="7">
        <v>126.9</v>
      </c>
      <c r="Q1034" s="7">
        <v>7</v>
      </c>
    </row>
    <row r="1035" spans="1:17">
      <c r="A1035" s="2">
        <v>2983</v>
      </c>
      <c r="B1035" s="7">
        <v>113</v>
      </c>
      <c r="C1035" s="7">
        <v>20.399999999999999</v>
      </c>
      <c r="D1035" s="7">
        <v>47.6</v>
      </c>
      <c r="E1035" s="7">
        <v>7.6</v>
      </c>
      <c r="F1035" s="7">
        <v>27.3</v>
      </c>
      <c r="G1035" s="7">
        <v>22.5</v>
      </c>
      <c r="H1035" s="7">
        <v>220.2</v>
      </c>
      <c r="I1035" s="7">
        <v>71.8</v>
      </c>
      <c r="J1035" s="7">
        <v>39.299999999999997</v>
      </c>
      <c r="K1035" s="7">
        <v>186.2</v>
      </c>
      <c r="L1035" s="7">
        <v>108.1</v>
      </c>
      <c r="M1035" s="7">
        <v>185.3</v>
      </c>
      <c r="N1035" s="7">
        <v>266</v>
      </c>
      <c r="O1035" s="7">
        <v>84</v>
      </c>
      <c r="P1035" s="7">
        <v>126.9</v>
      </c>
      <c r="Q1035" s="7">
        <v>7</v>
      </c>
    </row>
    <row r="1036" spans="1:17">
      <c r="A1036" s="2">
        <v>2984</v>
      </c>
      <c r="B1036" s="7">
        <v>113</v>
      </c>
      <c r="C1036" s="7">
        <v>20.399999999999999</v>
      </c>
      <c r="D1036" s="7">
        <v>47.6</v>
      </c>
      <c r="E1036" s="7">
        <v>7.6</v>
      </c>
      <c r="F1036" s="7">
        <v>27.3</v>
      </c>
      <c r="G1036" s="7">
        <v>22.5</v>
      </c>
      <c r="H1036" s="7">
        <v>220.2</v>
      </c>
      <c r="I1036" s="7">
        <v>71.8</v>
      </c>
      <c r="J1036" s="7">
        <v>39.299999999999997</v>
      </c>
      <c r="K1036" s="7">
        <v>186.2</v>
      </c>
      <c r="L1036" s="7">
        <v>108.1</v>
      </c>
      <c r="M1036" s="7">
        <v>185.3</v>
      </c>
      <c r="N1036" s="7">
        <v>266</v>
      </c>
      <c r="O1036" s="7">
        <v>84</v>
      </c>
      <c r="P1036" s="7">
        <v>126.9</v>
      </c>
      <c r="Q1036" s="7">
        <v>7</v>
      </c>
    </row>
    <row r="1037" spans="1:17">
      <c r="A1037" s="2">
        <v>2985</v>
      </c>
      <c r="B1037" s="7">
        <v>113</v>
      </c>
      <c r="C1037" s="7">
        <v>20.399999999999999</v>
      </c>
      <c r="D1037" s="7">
        <v>47.6</v>
      </c>
      <c r="E1037" s="7">
        <v>7.6</v>
      </c>
      <c r="F1037" s="7">
        <v>27.3</v>
      </c>
      <c r="G1037" s="7">
        <v>22.5</v>
      </c>
      <c r="H1037" s="7">
        <v>220.2</v>
      </c>
      <c r="I1037" s="7">
        <v>71.8</v>
      </c>
      <c r="J1037" s="7">
        <v>39.299999999999997</v>
      </c>
      <c r="K1037" s="7">
        <v>186.2</v>
      </c>
      <c r="L1037" s="7">
        <v>108.1</v>
      </c>
      <c r="M1037" s="7">
        <v>185.3</v>
      </c>
      <c r="N1037" s="7">
        <v>266</v>
      </c>
      <c r="O1037" s="7">
        <v>84</v>
      </c>
      <c r="P1037" s="7">
        <v>126.9</v>
      </c>
      <c r="Q1037" s="7">
        <v>7</v>
      </c>
    </row>
    <row r="1038" spans="1:17">
      <c r="A1038" s="2">
        <v>2986</v>
      </c>
      <c r="B1038" s="7">
        <v>113</v>
      </c>
      <c r="C1038" s="7">
        <v>20.399999999999999</v>
      </c>
      <c r="D1038" s="7">
        <v>47.6</v>
      </c>
      <c r="E1038" s="7">
        <v>7.6</v>
      </c>
      <c r="F1038" s="7">
        <v>27.3</v>
      </c>
      <c r="G1038" s="7">
        <v>22.5</v>
      </c>
      <c r="H1038" s="7">
        <v>220.2</v>
      </c>
      <c r="I1038" s="7">
        <v>71.8</v>
      </c>
      <c r="J1038" s="7">
        <v>39.299999999999997</v>
      </c>
      <c r="K1038" s="7">
        <v>186.2</v>
      </c>
      <c r="L1038" s="7">
        <v>108.1</v>
      </c>
      <c r="M1038" s="7">
        <v>185.3</v>
      </c>
      <c r="N1038" s="7">
        <v>266</v>
      </c>
      <c r="O1038" s="7">
        <v>84</v>
      </c>
      <c r="P1038" s="7">
        <v>126.9</v>
      </c>
      <c r="Q1038" s="7">
        <v>7</v>
      </c>
    </row>
    <row r="1039" spans="1:17">
      <c r="A1039" s="2">
        <v>2987</v>
      </c>
      <c r="B1039" s="7">
        <v>113</v>
      </c>
      <c r="C1039" s="7">
        <v>20.399999999999999</v>
      </c>
      <c r="D1039" s="7">
        <v>47.6</v>
      </c>
      <c r="E1039" s="7">
        <v>7.6</v>
      </c>
      <c r="F1039" s="7">
        <v>27.3</v>
      </c>
      <c r="G1039" s="7">
        <v>22.5</v>
      </c>
      <c r="H1039" s="7">
        <v>220.2</v>
      </c>
      <c r="I1039" s="7">
        <v>71.8</v>
      </c>
      <c r="J1039" s="7">
        <v>39.299999999999997</v>
      </c>
      <c r="K1039" s="7">
        <v>186.2</v>
      </c>
      <c r="L1039" s="7">
        <v>108.1</v>
      </c>
      <c r="M1039" s="7">
        <v>185.3</v>
      </c>
      <c r="N1039" s="7">
        <v>266</v>
      </c>
      <c r="O1039" s="7">
        <v>84</v>
      </c>
      <c r="P1039" s="7">
        <v>126.9</v>
      </c>
      <c r="Q1039" s="7">
        <v>7</v>
      </c>
    </row>
    <row r="1040" spans="1:17">
      <c r="A1040" s="2">
        <v>2988</v>
      </c>
      <c r="B1040" s="7">
        <v>113</v>
      </c>
      <c r="C1040" s="7">
        <v>20.399999999999999</v>
      </c>
      <c r="D1040" s="7">
        <v>47.6</v>
      </c>
      <c r="E1040" s="7">
        <v>7.6</v>
      </c>
      <c r="F1040" s="7">
        <v>27.3</v>
      </c>
      <c r="G1040" s="7">
        <v>22.5</v>
      </c>
      <c r="H1040" s="7">
        <v>220.2</v>
      </c>
      <c r="I1040" s="7">
        <v>71.8</v>
      </c>
      <c r="J1040" s="7">
        <v>39.299999999999997</v>
      </c>
      <c r="K1040" s="7">
        <v>186.2</v>
      </c>
      <c r="L1040" s="7">
        <v>108.1</v>
      </c>
      <c r="M1040" s="7">
        <v>185.3</v>
      </c>
      <c r="N1040" s="7">
        <v>266</v>
      </c>
      <c r="O1040" s="7">
        <v>84</v>
      </c>
      <c r="P1040" s="7">
        <v>126.9</v>
      </c>
      <c r="Q1040" s="7">
        <v>7</v>
      </c>
    </row>
    <row r="1041" spans="1:17">
      <c r="A1041" s="2">
        <v>2989</v>
      </c>
      <c r="B1041" s="7">
        <v>113</v>
      </c>
      <c r="C1041" s="7">
        <v>20.399999999999999</v>
      </c>
      <c r="D1041" s="7">
        <v>47.6</v>
      </c>
      <c r="E1041" s="7">
        <v>7.6</v>
      </c>
      <c r="F1041" s="7">
        <v>27.3</v>
      </c>
      <c r="G1041" s="7">
        <v>22.5</v>
      </c>
      <c r="H1041" s="7">
        <v>220.2</v>
      </c>
      <c r="I1041" s="7">
        <v>71.8</v>
      </c>
      <c r="J1041" s="7">
        <v>39.299999999999997</v>
      </c>
      <c r="K1041" s="7">
        <v>186.2</v>
      </c>
      <c r="L1041" s="7">
        <v>108.1</v>
      </c>
      <c r="M1041" s="7">
        <v>185.3</v>
      </c>
      <c r="N1041" s="7">
        <v>266</v>
      </c>
      <c r="O1041" s="7">
        <v>84</v>
      </c>
      <c r="P1041" s="7">
        <v>126.9</v>
      </c>
      <c r="Q1041" s="7">
        <v>7</v>
      </c>
    </row>
    <row r="1042" spans="1:17">
      <c r="A1042" s="2">
        <v>2990</v>
      </c>
      <c r="B1042" s="7">
        <v>113</v>
      </c>
      <c r="C1042" s="7">
        <v>20.399999999999999</v>
      </c>
      <c r="D1042" s="7">
        <v>47.6</v>
      </c>
      <c r="E1042" s="7">
        <v>7.6</v>
      </c>
      <c r="F1042" s="7">
        <v>27.3</v>
      </c>
      <c r="G1042" s="7">
        <v>22.5</v>
      </c>
      <c r="H1042" s="7">
        <v>220.2</v>
      </c>
      <c r="I1042" s="7">
        <v>71.8</v>
      </c>
      <c r="J1042" s="7">
        <v>39.299999999999997</v>
      </c>
      <c r="K1042" s="7">
        <v>186.2</v>
      </c>
      <c r="L1042" s="7">
        <v>108.1</v>
      </c>
      <c r="M1042" s="7">
        <v>185.3</v>
      </c>
      <c r="N1042" s="7">
        <v>266</v>
      </c>
      <c r="O1042" s="7">
        <v>84</v>
      </c>
      <c r="P1042" s="7">
        <v>126.9</v>
      </c>
      <c r="Q1042" s="7">
        <v>7</v>
      </c>
    </row>
    <row r="1043" spans="1:17">
      <c r="A1043" s="2">
        <v>2991</v>
      </c>
      <c r="B1043" s="7">
        <v>113</v>
      </c>
      <c r="C1043" s="7">
        <v>20.399999999999999</v>
      </c>
      <c r="D1043" s="7">
        <v>47.6</v>
      </c>
      <c r="E1043" s="7">
        <v>7.6</v>
      </c>
      <c r="F1043" s="7">
        <v>27.3</v>
      </c>
      <c r="G1043" s="7">
        <v>22.5</v>
      </c>
      <c r="H1043" s="7">
        <v>220.2</v>
      </c>
      <c r="I1043" s="7">
        <v>71.8</v>
      </c>
      <c r="J1043" s="7">
        <v>39.299999999999997</v>
      </c>
      <c r="K1043" s="7">
        <v>186.2</v>
      </c>
      <c r="L1043" s="7">
        <v>108.1</v>
      </c>
      <c r="M1043" s="7">
        <v>185.3</v>
      </c>
      <c r="N1043" s="7">
        <v>266</v>
      </c>
      <c r="O1043" s="7">
        <v>84</v>
      </c>
      <c r="P1043" s="7">
        <v>126.9</v>
      </c>
      <c r="Q1043" s="7">
        <v>7</v>
      </c>
    </row>
    <row r="1044" spans="1:17">
      <c r="A1044" s="2">
        <v>2992</v>
      </c>
      <c r="B1044" s="7">
        <v>113</v>
      </c>
      <c r="C1044" s="7">
        <v>20.399999999999999</v>
      </c>
      <c r="D1044" s="7">
        <v>47.6</v>
      </c>
      <c r="E1044" s="7">
        <v>7.6</v>
      </c>
      <c r="F1044" s="7">
        <v>27.3</v>
      </c>
      <c r="G1044" s="7">
        <v>22.5</v>
      </c>
      <c r="H1044" s="7">
        <v>220.2</v>
      </c>
      <c r="I1044" s="7">
        <v>71.8</v>
      </c>
      <c r="J1044" s="7">
        <v>39.299999999999997</v>
      </c>
      <c r="K1044" s="7">
        <v>186.2</v>
      </c>
      <c r="L1044" s="7">
        <v>108.1</v>
      </c>
      <c r="M1044" s="7">
        <v>185.3</v>
      </c>
      <c r="N1044" s="7">
        <v>266</v>
      </c>
      <c r="O1044" s="7">
        <v>84</v>
      </c>
      <c r="P1044" s="7">
        <v>126.9</v>
      </c>
      <c r="Q1044" s="7">
        <v>7</v>
      </c>
    </row>
    <row r="1045" spans="1:17">
      <c r="A1045" s="2">
        <v>2993</v>
      </c>
      <c r="B1045" s="7">
        <v>113</v>
      </c>
      <c r="C1045" s="7">
        <v>20.399999999999999</v>
      </c>
      <c r="D1045" s="7">
        <v>47.6</v>
      </c>
      <c r="E1045" s="7">
        <v>7.6</v>
      </c>
      <c r="F1045" s="7">
        <v>27.3</v>
      </c>
      <c r="G1045" s="7">
        <v>22.5</v>
      </c>
      <c r="H1045" s="7">
        <v>220.2</v>
      </c>
      <c r="I1045" s="7">
        <v>71.8</v>
      </c>
      <c r="J1045" s="7">
        <v>39.299999999999997</v>
      </c>
      <c r="K1045" s="7">
        <v>186.2</v>
      </c>
      <c r="L1045" s="7">
        <v>108.1</v>
      </c>
      <c r="M1045" s="7">
        <v>185.3</v>
      </c>
      <c r="N1045" s="7">
        <v>266</v>
      </c>
      <c r="O1045" s="7">
        <v>84</v>
      </c>
      <c r="P1045" s="7">
        <v>126.9</v>
      </c>
      <c r="Q1045" s="7">
        <v>7</v>
      </c>
    </row>
    <row r="1046" spans="1:17">
      <c r="A1046" s="2">
        <v>2994</v>
      </c>
      <c r="B1046" s="7">
        <v>113</v>
      </c>
      <c r="C1046" s="7">
        <v>20.399999999999999</v>
      </c>
      <c r="D1046" s="7">
        <v>47.6</v>
      </c>
      <c r="E1046" s="7">
        <v>7.6</v>
      </c>
      <c r="F1046" s="7">
        <v>27.3</v>
      </c>
      <c r="G1046" s="7">
        <v>22.5</v>
      </c>
      <c r="H1046" s="7">
        <v>220.2</v>
      </c>
      <c r="I1046" s="7">
        <v>71.8</v>
      </c>
      <c r="J1046" s="7">
        <v>39.299999999999997</v>
      </c>
      <c r="K1046" s="7">
        <v>186.2</v>
      </c>
      <c r="L1046" s="7">
        <v>108.1</v>
      </c>
      <c r="M1046" s="7">
        <v>185.3</v>
      </c>
      <c r="N1046" s="7">
        <v>266</v>
      </c>
      <c r="O1046" s="7">
        <v>84</v>
      </c>
      <c r="P1046" s="7">
        <v>126.9</v>
      </c>
      <c r="Q1046" s="7">
        <v>7</v>
      </c>
    </row>
    <row r="1047" spans="1:17">
      <c r="A1047" s="2">
        <v>2995</v>
      </c>
      <c r="B1047" s="7">
        <v>113</v>
      </c>
      <c r="C1047" s="7">
        <v>20.399999999999999</v>
      </c>
      <c r="D1047" s="7">
        <v>47.6</v>
      </c>
      <c r="E1047" s="7">
        <v>7.6</v>
      </c>
      <c r="F1047" s="7">
        <v>27.3</v>
      </c>
      <c r="G1047" s="7">
        <v>22.5</v>
      </c>
      <c r="H1047" s="7">
        <v>220.2</v>
      </c>
      <c r="I1047" s="7">
        <v>71.8</v>
      </c>
      <c r="J1047" s="7">
        <v>39.299999999999997</v>
      </c>
      <c r="K1047" s="7">
        <v>186.2</v>
      </c>
      <c r="L1047" s="7">
        <v>108.1</v>
      </c>
      <c r="M1047" s="7">
        <v>185.3</v>
      </c>
      <c r="N1047" s="7">
        <v>266</v>
      </c>
      <c r="O1047" s="7">
        <v>84</v>
      </c>
      <c r="P1047" s="7">
        <v>126.9</v>
      </c>
      <c r="Q1047" s="7">
        <v>7</v>
      </c>
    </row>
    <row r="1048" spans="1:17">
      <c r="A1048" s="2">
        <v>2996</v>
      </c>
      <c r="B1048" s="7">
        <v>113</v>
      </c>
      <c r="C1048" s="7">
        <v>20.399999999999999</v>
      </c>
      <c r="D1048" s="7">
        <v>47.6</v>
      </c>
      <c r="E1048" s="7">
        <v>7.6</v>
      </c>
      <c r="F1048" s="7">
        <v>27.3</v>
      </c>
      <c r="G1048" s="7">
        <v>22.5</v>
      </c>
      <c r="H1048" s="7">
        <v>220.2</v>
      </c>
      <c r="I1048" s="7">
        <v>71.8</v>
      </c>
      <c r="J1048" s="7">
        <v>39.299999999999997</v>
      </c>
      <c r="K1048" s="7">
        <v>186.2</v>
      </c>
      <c r="L1048" s="7">
        <v>108.1</v>
      </c>
      <c r="M1048" s="7">
        <v>185.3</v>
      </c>
      <c r="N1048" s="7">
        <v>266</v>
      </c>
      <c r="O1048" s="7">
        <v>84</v>
      </c>
      <c r="P1048" s="7">
        <v>126.9</v>
      </c>
      <c r="Q1048" s="7">
        <v>7</v>
      </c>
    </row>
    <row r="1049" spans="1:17">
      <c r="A1049" s="2">
        <v>2997</v>
      </c>
      <c r="B1049" s="7">
        <v>113</v>
      </c>
      <c r="C1049" s="7">
        <v>20.399999999999999</v>
      </c>
      <c r="D1049" s="7">
        <v>47.6</v>
      </c>
      <c r="E1049" s="7">
        <v>7.6</v>
      </c>
      <c r="F1049" s="7">
        <v>27.3</v>
      </c>
      <c r="G1049" s="7">
        <v>22.5</v>
      </c>
      <c r="H1049" s="7">
        <v>220.2</v>
      </c>
      <c r="I1049" s="7">
        <v>71.8</v>
      </c>
      <c r="J1049" s="7">
        <v>39.299999999999997</v>
      </c>
      <c r="K1049" s="7">
        <v>186.2</v>
      </c>
      <c r="L1049" s="7">
        <v>108.1</v>
      </c>
      <c r="M1049" s="7">
        <v>185.3</v>
      </c>
      <c r="N1049" s="7">
        <v>266</v>
      </c>
      <c r="O1049" s="7">
        <v>84</v>
      </c>
      <c r="P1049" s="7">
        <v>126.9</v>
      </c>
      <c r="Q1049" s="7">
        <v>7</v>
      </c>
    </row>
    <row r="1050" spans="1:17">
      <c r="A1050" s="2">
        <v>2998</v>
      </c>
      <c r="B1050" s="7">
        <v>113</v>
      </c>
      <c r="C1050" s="7">
        <v>20.399999999999999</v>
      </c>
      <c r="D1050" s="7">
        <v>47.6</v>
      </c>
      <c r="E1050" s="7">
        <v>7.6</v>
      </c>
      <c r="F1050" s="7">
        <v>27.3</v>
      </c>
      <c r="G1050" s="7">
        <v>22.5</v>
      </c>
      <c r="H1050" s="7">
        <v>220.2</v>
      </c>
      <c r="I1050" s="7">
        <v>71.8</v>
      </c>
      <c r="J1050" s="7">
        <v>39.299999999999997</v>
      </c>
      <c r="K1050" s="7">
        <v>186.2</v>
      </c>
      <c r="L1050" s="7">
        <v>108.1</v>
      </c>
      <c r="M1050" s="7">
        <v>185.3</v>
      </c>
      <c r="N1050" s="7">
        <v>266</v>
      </c>
      <c r="O1050" s="7">
        <v>84</v>
      </c>
      <c r="P1050" s="7">
        <v>126.9</v>
      </c>
      <c r="Q1050" s="7">
        <v>7</v>
      </c>
    </row>
    <row r="1051" spans="1:17">
      <c r="A1051" s="2">
        <v>2999</v>
      </c>
      <c r="B1051" s="7">
        <v>113</v>
      </c>
      <c r="C1051" s="7">
        <v>20.399999999999999</v>
      </c>
      <c r="D1051" s="7">
        <v>47.6</v>
      </c>
      <c r="E1051" s="7">
        <v>7.6</v>
      </c>
      <c r="F1051" s="7">
        <v>27.3</v>
      </c>
      <c r="G1051" s="7">
        <v>22.5</v>
      </c>
      <c r="H1051" s="7">
        <v>220.2</v>
      </c>
      <c r="I1051" s="7">
        <v>71.8</v>
      </c>
      <c r="J1051" s="7">
        <v>39.299999999999997</v>
      </c>
      <c r="K1051" s="7">
        <v>186.2</v>
      </c>
      <c r="L1051" s="7">
        <v>108.1</v>
      </c>
      <c r="M1051" s="7">
        <v>185.3</v>
      </c>
      <c r="N1051" s="7">
        <v>266</v>
      </c>
      <c r="O1051" s="7">
        <v>84</v>
      </c>
      <c r="P1051" s="7">
        <v>126.9</v>
      </c>
      <c r="Q1051" s="7">
        <v>7</v>
      </c>
    </row>
    <row r="1052" spans="1:17">
      <c r="A1052" s="2">
        <v>3000</v>
      </c>
      <c r="B1052" s="7">
        <v>113</v>
      </c>
      <c r="C1052" s="7">
        <v>20.399999999999999</v>
      </c>
      <c r="D1052" s="7">
        <v>47.6</v>
      </c>
      <c r="E1052" s="7">
        <v>7.6</v>
      </c>
      <c r="F1052" s="7">
        <v>27.3</v>
      </c>
      <c r="G1052" s="7">
        <v>22.5</v>
      </c>
      <c r="H1052" s="7">
        <v>220.2</v>
      </c>
      <c r="I1052" s="7">
        <v>71.8</v>
      </c>
      <c r="J1052" s="7">
        <v>39.299999999999997</v>
      </c>
      <c r="K1052" s="7">
        <v>186.2</v>
      </c>
      <c r="L1052" s="7">
        <v>108.1</v>
      </c>
      <c r="M1052" s="7">
        <v>185.3</v>
      </c>
      <c r="N1052" s="7">
        <v>266</v>
      </c>
      <c r="O1052" s="7">
        <v>84</v>
      </c>
      <c r="P1052" s="7">
        <v>126.9</v>
      </c>
      <c r="Q1052" s="7">
        <v>7</v>
      </c>
    </row>
  </sheetData>
  <phoneticPr fontId="2" type="noConversion"/>
  <pageMargins left="0.78740157499999996" right="0.78740157499999996" top="0.984251969" bottom="0.984251969" header="0.4921259845" footer="0.492125984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>
  <sheetPr codeName="Tabelle11"/>
  <dimension ref="A1:Q105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1.42578125" defaultRowHeight="12.75"/>
  <cols>
    <col min="1" max="1" width="5.140625" style="2" customWidth="1"/>
    <col min="2" max="3" width="5" style="2" bestFit="1" customWidth="1"/>
    <col min="4" max="4" width="5.28515625" style="2" bestFit="1" customWidth="1"/>
    <col min="5" max="9" width="5" style="2" bestFit="1" customWidth="1"/>
    <col min="10" max="10" width="5.140625" style="2" bestFit="1" customWidth="1"/>
    <col min="11" max="17" width="5" style="2" bestFit="1" customWidth="1"/>
    <col min="18" max="16384" width="11.42578125" style="2"/>
  </cols>
  <sheetData>
    <row r="1" spans="1:17" s="1" customFormat="1">
      <c r="A1" s="1" t="s">
        <v>4</v>
      </c>
      <c r="B1" s="1" t="s">
        <v>2</v>
      </c>
      <c r="C1" s="1" t="s">
        <v>3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</row>
    <row r="2" spans="1:17">
      <c r="A2" s="3">
        <v>1950</v>
      </c>
      <c r="B2" s="7">
        <v>0.14000000000000001</v>
      </c>
      <c r="C2" s="7">
        <v>0.02</v>
      </c>
      <c r="D2" s="7">
        <v>0.12</v>
      </c>
      <c r="E2" s="7">
        <v>0.01</v>
      </c>
      <c r="F2" s="7">
        <v>0.01</v>
      </c>
      <c r="G2" s="7">
        <v>0.03</v>
      </c>
      <c r="H2" s="7">
        <v>0.02</v>
      </c>
      <c r="I2" s="7">
        <v>0.02</v>
      </c>
      <c r="J2" s="7">
        <v>0.02</v>
      </c>
      <c r="K2" s="7">
        <v>0.13</v>
      </c>
      <c r="L2" s="7">
        <v>0.18</v>
      </c>
      <c r="M2" s="7">
        <v>0.05</v>
      </c>
      <c r="N2" s="7">
        <v>0.06</v>
      </c>
      <c r="O2" s="7">
        <v>0.05</v>
      </c>
      <c r="P2" s="7">
        <v>0.09</v>
      </c>
      <c r="Q2" s="7">
        <v>0</v>
      </c>
    </row>
    <row r="3" spans="1:17">
      <c r="A3" s="2">
        <v>1951</v>
      </c>
      <c r="B3" s="7">
        <v>0.14000000000000001</v>
      </c>
      <c r="C3" s="7">
        <v>0.02</v>
      </c>
      <c r="D3" s="7">
        <v>0.12</v>
      </c>
      <c r="E3" s="7">
        <v>0.01</v>
      </c>
      <c r="F3" s="7">
        <v>0.01</v>
      </c>
      <c r="G3" s="7">
        <v>0.03</v>
      </c>
      <c r="H3" s="7">
        <v>0.02</v>
      </c>
      <c r="I3" s="7">
        <v>0.02</v>
      </c>
      <c r="J3" s="7">
        <v>0.02</v>
      </c>
      <c r="K3" s="7">
        <v>0.13</v>
      </c>
      <c r="L3" s="7">
        <v>0.18</v>
      </c>
      <c r="M3" s="7">
        <v>0.05</v>
      </c>
      <c r="N3" s="7">
        <v>0.06</v>
      </c>
      <c r="O3" s="7">
        <v>0.05</v>
      </c>
      <c r="P3" s="7">
        <v>0.09</v>
      </c>
      <c r="Q3" s="7">
        <v>0</v>
      </c>
    </row>
    <row r="4" spans="1:17">
      <c r="A4" s="2">
        <v>1952</v>
      </c>
      <c r="B4" s="7">
        <v>0.14000000000000001</v>
      </c>
      <c r="C4" s="7">
        <v>0.02</v>
      </c>
      <c r="D4" s="7">
        <v>0.12</v>
      </c>
      <c r="E4" s="7">
        <v>0.01</v>
      </c>
      <c r="F4" s="7">
        <v>0.01</v>
      </c>
      <c r="G4" s="7">
        <v>0.03</v>
      </c>
      <c r="H4" s="7">
        <v>0.02</v>
      </c>
      <c r="I4" s="7">
        <v>0.02</v>
      </c>
      <c r="J4" s="7">
        <v>0.02</v>
      </c>
      <c r="K4" s="7">
        <v>0.13</v>
      </c>
      <c r="L4" s="7">
        <v>0.18</v>
      </c>
      <c r="M4" s="7">
        <v>0.05</v>
      </c>
      <c r="N4" s="7">
        <v>0.06</v>
      </c>
      <c r="O4" s="7">
        <v>0.05</v>
      </c>
      <c r="P4" s="7">
        <v>0.09</v>
      </c>
      <c r="Q4" s="7">
        <v>0</v>
      </c>
    </row>
    <row r="5" spans="1:17">
      <c r="A5" s="2">
        <v>1953</v>
      </c>
      <c r="B5" s="7">
        <v>0.14000000000000001</v>
      </c>
      <c r="C5" s="7">
        <v>0.02</v>
      </c>
      <c r="D5" s="7">
        <v>0.12</v>
      </c>
      <c r="E5" s="7">
        <v>0.01</v>
      </c>
      <c r="F5" s="7">
        <v>0.01</v>
      </c>
      <c r="G5" s="7">
        <v>0.03</v>
      </c>
      <c r="H5" s="7">
        <v>0.02</v>
      </c>
      <c r="I5" s="7">
        <v>0.02</v>
      </c>
      <c r="J5" s="7">
        <v>0.02</v>
      </c>
      <c r="K5" s="7">
        <v>0.13</v>
      </c>
      <c r="L5" s="7">
        <v>0.19</v>
      </c>
      <c r="M5" s="7">
        <v>0.05</v>
      </c>
      <c r="N5" s="7">
        <v>0.06</v>
      </c>
      <c r="O5" s="7">
        <v>0.05</v>
      </c>
      <c r="P5" s="7">
        <v>0.09</v>
      </c>
      <c r="Q5" s="7">
        <v>0</v>
      </c>
    </row>
    <row r="6" spans="1:17">
      <c r="A6" s="2">
        <v>1954</v>
      </c>
      <c r="B6" s="7">
        <v>0.14000000000000001</v>
      </c>
      <c r="C6" s="7">
        <v>0.02</v>
      </c>
      <c r="D6" s="7">
        <v>0.12</v>
      </c>
      <c r="E6" s="7">
        <v>0.01</v>
      </c>
      <c r="F6" s="7">
        <v>0.01</v>
      </c>
      <c r="G6" s="7">
        <v>0.03</v>
      </c>
      <c r="H6" s="7">
        <v>0.02</v>
      </c>
      <c r="I6" s="7">
        <v>0.02</v>
      </c>
      <c r="J6" s="7">
        <v>0.02</v>
      </c>
      <c r="K6" s="7">
        <v>0.13</v>
      </c>
      <c r="L6" s="7">
        <v>0.19</v>
      </c>
      <c r="M6" s="7">
        <v>0.05</v>
      </c>
      <c r="N6" s="7">
        <v>0.06</v>
      </c>
      <c r="O6" s="7">
        <v>0.05</v>
      </c>
      <c r="P6" s="7">
        <v>0.09</v>
      </c>
      <c r="Q6" s="7">
        <v>0</v>
      </c>
    </row>
    <row r="7" spans="1:17">
      <c r="A7" s="2">
        <v>1955</v>
      </c>
      <c r="B7" s="7">
        <v>0.15</v>
      </c>
      <c r="C7" s="7">
        <v>0.02</v>
      </c>
      <c r="D7" s="7">
        <v>0.12</v>
      </c>
      <c r="E7" s="7">
        <v>0.01</v>
      </c>
      <c r="F7" s="7">
        <v>0.01</v>
      </c>
      <c r="G7" s="7">
        <v>0.03</v>
      </c>
      <c r="H7" s="7">
        <v>0.02</v>
      </c>
      <c r="I7" s="7">
        <v>0.02</v>
      </c>
      <c r="J7" s="7">
        <v>0.02</v>
      </c>
      <c r="K7" s="7">
        <v>0.13</v>
      </c>
      <c r="L7" s="7">
        <v>0.19</v>
      </c>
      <c r="M7" s="7">
        <v>0.05</v>
      </c>
      <c r="N7" s="7">
        <v>0.06</v>
      </c>
      <c r="O7" s="7">
        <v>0.05</v>
      </c>
      <c r="P7" s="7">
        <v>0.09</v>
      </c>
      <c r="Q7" s="7">
        <v>0</v>
      </c>
    </row>
    <row r="8" spans="1:17">
      <c r="A8" s="2">
        <v>1956</v>
      </c>
      <c r="B8" s="7">
        <v>0.15</v>
      </c>
      <c r="C8" s="7">
        <v>0.02</v>
      </c>
      <c r="D8" s="7">
        <v>0.12</v>
      </c>
      <c r="E8" s="7">
        <v>0.01</v>
      </c>
      <c r="F8" s="7">
        <v>0.01</v>
      </c>
      <c r="G8" s="7">
        <v>0.03</v>
      </c>
      <c r="H8" s="7">
        <v>0.02</v>
      </c>
      <c r="I8" s="7">
        <v>0.02</v>
      </c>
      <c r="J8" s="7">
        <v>0.02</v>
      </c>
      <c r="K8" s="7">
        <v>0.13</v>
      </c>
      <c r="L8" s="7">
        <v>0.19</v>
      </c>
      <c r="M8" s="7">
        <v>0.05</v>
      </c>
      <c r="N8" s="7">
        <v>0.06</v>
      </c>
      <c r="O8" s="7">
        <v>0.05</v>
      </c>
      <c r="P8" s="7">
        <v>0.1</v>
      </c>
      <c r="Q8" s="7">
        <v>0</v>
      </c>
    </row>
    <row r="9" spans="1:17">
      <c r="A9" s="2">
        <v>1957</v>
      </c>
      <c r="B9" s="7">
        <v>0.15</v>
      </c>
      <c r="C9" s="7">
        <v>0.02</v>
      </c>
      <c r="D9" s="7">
        <v>0.12</v>
      </c>
      <c r="E9" s="7">
        <v>0.01</v>
      </c>
      <c r="F9" s="7">
        <v>0.01</v>
      </c>
      <c r="G9" s="7">
        <v>0.03</v>
      </c>
      <c r="H9" s="7">
        <v>0.02</v>
      </c>
      <c r="I9" s="7">
        <v>0.02</v>
      </c>
      <c r="J9" s="7">
        <v>0.02</v>
      </c>
      <c r="K9" s="7">
        <v>0.13</v>
      </c>
      <c r="L9" s="7">
        <v>0.19</v>
      </c>
      <c r="M9" s="7">
        <v>0.05</v>
      </c>
      <c r="N9" s="7">
        <v>0.06</v>
      </c>
      <c r="O9" s="7">
        <v>0.05</v>
      </c>
      <c r="P9" s="7">
        <v>0.1</v>
      </c>
      <c r="Q9" s="7">
        <v>0</v>
      </c>
    </row>
    <row r="10" spans="1:17">
      <c r="A10" s="2">
        <v>1958</v>
      </c>
      <c r="B10" s="7">
        <v>0.15</v>
      </c>
      <c r="C10" s="7">
        <v>0.02</v>
      </c>
      <c r="D10" s="7">
        <v>0.12</v>
      </c>
      <c r="E10" s="7">
        <v>0.01</v>
      </c>
      <c r="F10" s="7">
        <v>0.01</v>
      </c>
      <c r="G10" s="7">
        <v>0.03</v>
      </c>
      <c r="H10" s="7">
        <v>0.02</v>
      </c>
      <c r="I10" s="7">
        <v>0.02</v>
      </c>
      <c r="J10" s="7">
        <v>0.02</v>
      </c>
      <c r="K10" s="7">
        <v>0.13</v>
      </c>
      <c r="L10" s="7">
        <v>0.19</v>
      </c>
      <c r="M10" s="7">
        <v>0.05</v>
      </c>
      <c r="N10" s="7">
        <v>0.06</v>
      </c>
      <c r="O10" s="7">
        <v>0.05</v>
      </c>
      <c r="P10" s="7">
        <v>0.1</v>
      </c>
      <c r="Q10" s="7">
        <v>0</v>
      </c>
    </row>
    <row r="11" spans="1:17">
      <c r="A11" s="2">
        <v>1959</v>
      </c>
      <c r="B11" s="7">
        <v>0.15</v>
      </c>
      <c r="C11" s="7">
        <v>0.02</v>
      </c>
      <c r="D11" s="7">
        <v>0.12</v>
      </c>
      <c r="E11" s="7">
        <v>0.01</v>
      </c>
      <c r="F11" s="7">
        <v>0.01</v>
      </c>
      <c r="G11" s="7">
        <v>0.03</v>
      </c>
      <c r="H11" s="7">
        <v>0.02</v>
      </c>
      <c r="I11" s="7">
        <v>0.02</v>
      </c>
      <c r="J11" s="7">
        <v>0.02</v>
      </c>
      <c r="K11" s="7">
        <v>0.13</v>
      </c>
      <c r="L11" s="7">
        <v>0.19</v>
      </c>
      <c r="M11" s="7">
        <v>0.05</v>
      </c>
      <c r="N11" s="7">
        <v>0.06</v>
      </c>
      <c r="O11" s="7">
        <v>0.05</v>
      </c>
      <c r="P11" s="7">
        <v>0.1</v>
      </c>
      <c r="Q11" s="7">
        <v>0</v>
      </c>
    </row>
    <row r="12" spans="1:17">
      <c r="A12" s="2">
        <v>1960</v>
      </c>
      <c r="B12" s="7">
        <v>0.25</v>
      </c>
      <c r="C12" s="7">
        <v>0.03</v>
      </c>
      <c r="D12" s="7">
        <v>0.21</v>
      </c>
      <c r="E12" s="7">
        <v>0.03</v>
      </c>
      <c r="F12" s="7">
        <v>0.02</v>
      </c>
      <c r="G12" s="7">
        <v>0.05</v>
      </c>
      <c r="H12" s="7">
        <v>0.03</v>
      </c>
      <c r="I12" s="7">
        <v>0.04</v>
      </c>
      <c r="J12" s="7">
        <v>0.04</v>
      </c>
      <c r="K12" s="7">
        <v>0.22</v>
      </c>
      <c r="L12" s="7">
        <v>0.32</v>
      </c>
      <c r="M12" s="7">
        <v>0.09</v>
      </c>
      <c r="N12" s="7">
        <v>0.1</v>
      </c>
      <c r="O12" s="7">
        <v>0.09</v>
      </c>
      <c r="P12" s="7">
        <v>0.16</v>
      </c>
      <c r="Q12" s="7">
        <v>0</v>
      </c>
    </row>
    <row r="13" spans="1:17">
      <c r="A13" s="2">
        <v>1961</v>
      </c>
      <c r="B13" s="7">
        <v>0.25</v>
      </c>
      <c r="C13" s="7">
        <v>0.03</v>
      </c>
      <c r="D13" s="7">
        <v>0.21</v>
      </c>
      <c r="E13" s="7">
        <v>0.03</v>
      </c>
      <c r="F13" s="7">
        <v>0.02</v>
      </c>
      <c r="G13" s="7">
        <v>0.05</v>
      </c>
      <c r="H13" s="7">
        <v>0.03</v>
      </c>
      <c r="I13" s="7">
        <v>0.04</v>
      </c>
      <c r="J13" s="7">
        <v>0.04</v>
      </c>
      <c r="K13" s="7">
        <v>0.22</v>
      </c>
      <c r="L13" s="7">
        <v>0.32</v>
      </c>
      <c r="M13" s="7">
        <v>0.09</v>
      </c>
      <c r="N13" s="7">
        <v>0.1</v>
      </c>
      <c r="O13" s="7">
        <v>0.09</v>
      </c>
      <c r="P13" s="7">
        <v>0.17</v>
      </c>
      <c r="Q13" s="7">
        <v>0</v>
      </c>
    </row>
    <row r="14" spans="1:17">
      <c r="A14" s="2">
        <v>1962</v>
      </c>
      <c r="B14" s="7">
        <v>0.25</v>
      </c>
      <c r="C14" s="7">
        <v>0.03</v>
      </c>
      <c r="D14" s="7">
        <v>0.21</v>
      </c>
      <c r="E14" s="7">
        <v>0.03</v>
      </c>
      <c r="F14" s="7">
        <v>0.02</v>
      </c>
      <c r="G14" s="7">
        <v>0.05</v>
      </c>
      <c r="H14" s="7">
        <v>0.03</v>
      </c>
      <c r="I14" s="7">
        <v>0.04</v>
      </c>
      <c r="J14" s="7">
        <v>0.04</v>
      </c>
      <c r="K14" s="7">
        <v>0.22</v>
      </c>
      <c r="L14" s="7">
        <v>0.33</v>
      </c>
      <c r="M14" s="7">
        <v>0.09</v>
      </c>
      <c r="N14" s="7">
        <v>0.1</v>
      </c>
      <c r="O14" s="7">
        <v>0.09</v>
      </c>
      <c r="P14" s="7">
        <v>0.17</v>
      </c>
      <c r="Q14" s="7">
        <v>0</v>
      </c>
    </row>
    <row r="15" spans="1:17">
      <c r="A15" s="2">
        <v>1963</v>
      </c>
      <c r="B15" s="7">
        <v>0.26</v>
      </c>
      <c r="C15" s="7">
        <v>0.03</v>
      </c>
      <c r="D15" s="7">
        <v>0.21</v>
      </c>
      <c r="E15" s="7">
        <v>0.03</v>
      </c>
      <c r="F15" s="7">
        <v>0.02</v>
      </c>
      <c r="G15" s="7">
        <v>0.06</v>
      </c>
      <c r="H15" s="7">
        <v>0.03</v>
      </c>
      <c r="I15" s="7">
        <v>0.04</v>
      </c>
      <c r="J15" s="7">
        <v>0.04</v>
      </c>
      <c r="K15" s="7">
        <v>0.23</v>
      </c>
      <c r="L15" s="7">
        <v>0.33</v>
      </c>
      <c r="M15" s="7">
        <v>0.09</v>
      </c>
      <c r="N15" s="7">
        <v>0.1</v>
      </c>
      <c r="O15" s="7">
        <v>0.09</v>
      </c>
      <c r="P15" s="7">
        <v>0.17</v>
      </c>
      <c r="Q15" s="7">
        <v>0</v>
      </c>
    </row>
    <row r="16" spans="1:17">
      <c r="A16" s="2">
        <v>1964</v>
      </c>
      <c r="B16" s="7">
        <v>0.26</v>
      </c>
      <c r="C16" s="7">
        <v>0.03</v>
      </c>
      <c r="D16" s="7">
        <v>0.21</v>
      </c>
      <c r="E16" s="7">
        <v>0.03</v>
      </c>
      <c r="F16" s="7">
        <v>0.02</v>
      </c>
      <c r="G16" s="7">
        <v>0.06</v>
      </c>
      <c r="H16" s="7">
        <v>0.03</v>
      </c>
      <c r="I16" s="7">
        <v>0.04</v>
      </c>
      <c r="J16" s="7">
        <v>0.04</v>
      </c>
      <c r="K16" s="7">
        <v>0.23</v>
      </c>
      <c r="L16" s="7">
        <v>0.33</v>
      </c>
      <c r="M16" s="7">
        <v>0.09</v>
      </c>
      <c r="N16" s="7">
        <v>0.1</v>
      </c>
      <c r="O16" s="7">
        <v>0.09</v>
      </c>
      <c r="P16" s="7">
        <v>0.17</v>
      </c>
      <c r="Q16" s="7">
        <v>0</v>
      </c>
    </row>
    <row r="17" spans="1:17">
      <c r="A17" s="2">
        <v>1965</v>
      </c>
      <c r="B17" s="7">
        <v>0.26</v>
      </c>
      <c r="C17" s="7">
        <v>0.04</v>
      </c>
      <c r="D17" s="7">
        <v>0.21</v>
      </c>
      <c r="E17" s="7">
        <v>0.03</v>
      </c>
      <c r="F17" s="7">
        <v>0.02</v>
      </c>
      <c r="G17" s="7">
        <v>0.06</v>
      </c>
      <c r="H17" s="7">
        <v>0.03</v>
      </c>
      <c r="I17" s="7">
        <v>0.04</v>
      </c>
      <c r="J17" s="7">
        <v>0.04</v>
      </c>
      <c r="K17" s="7">
        <v>0.23</v>
      </c>
      <c r="L17" s="7">
        <v>0.33</v>
      </c>
      <c r="M17" s="7">
        <v>0.09</v>
      </c>
      <c r="N17" s="7">
        <v>0.1</v>
      </c>
      <c r="O17" s="7">
        <v>0.09</v>
      </c>
      <c r="P17" s="7">
        <v>0.17</v>
      </c>
      <c r="Q17" s="7">
        <v>0</v>
      </c>
    </row>
    <row r="18" spans="1:17">
      <c r="A18" s="2">
        <v>1966</v>
      </c>
      <c r="B18" s="7">
        <v>0.26</v>
      </c>
      <c r="C18" s="7">
        <v>0.04</v>
      </c>
      <c r="D18" s="7">
        <v>0.21</v>
      </c>
      <c r="E18" s="7">
        <v>0.03</v>
      </c>
      <c r="F18" s="7">
        <v>0.02</v>
      </c>
      <c r="G18" s="7">
        <v>0.06</v>
      </c>
      <c r="H18" s="7">
        <v>0.03</v>
      </c>
      <c r="I18" s="7">
        <v>0.04</v>
      </c>
      <c r="J18" s="7">
        <v>0.04</v>
      </c>
      <c r="K18" s="7">
        <v>0.23</v>
      </c>
      <c r="L18" s="7">
        <v>0.33</v>
      </c>
      <c r="M18" s="7">
        <v>0.1</v>
      </c>
      <c r="N18" s="7">
        <v>0.1</v>
      </c>
      <c r="O18" s="7">
        <v>0.09</v>
      </c>
      <c r="P18" s="7">
        <v>0.17</v>
      </c>
      <c r="Q18" s="7">
        <v>0</v>
      </c>
    </row>
    <row r="19" spans="1:17">
      <c r="A19" s="2">
        <v>1967</v>
      </c>
      <c r="B19" s="7">
        <v>0.26</v>
      </c>
      <c r="C19" s="7">
        <v>0.04</v>
      </c>
      <c r="D19" s="7">
        <v>0.22</v>
      </c>
      <c r="E19" s="7">
        <v>0.03</v>
      </c>
      <c r="F19" s="7">
        <v>0.02</v>
      </c>
      <c r="G19" s="7">
        <v>0.06</v>
      </c>
      <c r="H19" s="7">
        <v>0.03</v>
      </c>
      <c r="I19" s="7">
        <v>0.04</v>
      </c>
      <c r="J19" s="7">
        <v>0.04</v>
      </c>
      <c r="K19" s="7">
        <v>0.23</v>
      </c>
      <c r="L19" s="7">
        <v>0.33</v>
      </c>
      <c r="M19" s="7">
        <v>0.1</v>
      </c>
      <c r="N19" s="7">
        <v>0.1</v>
      </c>
      <c r="O19" s="7">
        <v>0.09</v>
      </c>
      <c r="P19" s="7">
        <v>0.17</v>
      </c>
      <c r="Q19" s="7">
        <v>0</v>
      </c>
    </row>
    <row r="20" spans="1:17">
      <c r="A20" s="2">
        <v>1968</v>
      </c>
      <c r="B20" s="7">
        <v>0.26</v>
      </c>
      <c r="C20" s="7">
        <v>0.04</v>
      </c>
      <c r="D20" s="7">
        <v>0.22</v>
      </c>
      <c r="E20" s="7">
        <v>0.03</v>
      </c>
      <c r="F20" s="7">
        <v>0.02</v>
      </c>
      <c r="G20" s="7">
        <v>0.06</v>
      </c>
      <c r="H20" s="7">
        <v>0.03</v>
      </c>
      <c r="I20" s="7">
        <v>0.04</v>
      </c>
      <c r="J20" s="7">
        <v>0.04</v>
      </c>
      <c r="K20" s="7">
        <v>0.23</v>
      </c>
      <c r="L20" s="7">
        <v>0.34</v>
      </c>
      <c r="M20" s="7">
        <v>0.1</v>
      </c>
      <c r="N20" s="7">
        <v>0.11</v>
      </c>
      <c r="O20" s="7">
        <v>0.09</v>
      </c>
      <c r="P20" s="7">
        <v>0.17</v>
      </c>
      <c r="Q20" s="7">
        <v>0</v>
      </c>
    </row>
    <row r="21" spans="1:17">
      <c r="A21" s="2">
        <v>1969</v>
      </c>
      <c r="B21" s="7">
        <v>0.26</v>
      </c>
      <c r="C21" s="7">
        <v>0.04</v>
      </c>
      <c r="D21" s="7">
        <v>0.22</v>
      </c>
      <c r="E21" s="7">
        <v>0.03</v>
      </c>
      <c r="F21" s="7">
        <v>0.02</v>
      </c>
      <c r="G21" s="7">
        <v>0.06</v>
      </c>
      <c r="H21" s="7">
        <v>0.03</v>
      </c>
      <c r="I21" s="7">
        <v>0.04</v>
      </c>
      <c r="J21" s="7">
        <v>0.04</v>
      </c>
      <c r="K21" s="7">
        <v>0.23</v>
      </c>
      <c r="L21" s="7">
        <v>0.34</v>
      </c>
      <c r="M21" s="7">
        <v>0.1</v>
      </c>
      <c r="N21" s="7">
        <v>0.11</v>
      </c>
      <c r="O21" s="7">
        <v>0.09</v>
      </c>
      <c r="P21" s="7">
        <v>0.17</v>
      </c>
      <c r="Q21" s="7">
        <v>0</v>
      </c>
    </row>
    <row r="22" spans="1:17">
      <c r="A22" s="2">
        <v>1970</v>
      </c>
      <c r="B22" s="7">
        <v>0.38</v>
      </c>
      <c r="C22" s="7">
        <v>0.05</v>
      </c>
      <c r="D22" s="7">
        <v>0.31</v>
      </c>
      <c r="E22" s="7">
        <v>0.04</v>
      </c>
      <c r="F22" s="7">
        <v>0.03</v>
      </c>
      <c r="G22" s="7">
        <v>0.08</v>
      </c>
      <c r="H22" s="7">
        <v>0.05</v>
      </c>
      <c r="I22" s="7">
        <v>0.06</v>
      </c>
      <c r="J22" s="7">
        <v>0.06</v>
      </c>
      <c r="K22" s="7">
        <v>0.34</v>
      </c>
      <c r="L22" s="7">
        <v>0.49</v>
      </c>
      <c r="M22" s="7">
        <v>0.14000000000000001</v>
      </c>
      <c r="N22" s="7">
        <v>0.15</v>
      </c>
      <c r="O22" s="7">
        <v>0.13</v>
      </c>
      <c r="P22" s="7">
        <v>0.25</v>
      </c>
      <c r="Q22" s="7">
        <v>0</v>
      </c>
    </row>
    <row r="23" spans="1:17">
      <c r="A23" s="2">
        <v>1971</v>
      </c>
      <c r="B23" s="7">
        <v>0.38</v>
      </c>
      <c r="C23" s="7">
        <v>0.05</v>
      </c>
      <c r="D23" s="7">
        <v>0.32</v>
      </c>
      <c r="E23" s="7">
        <v>0.04</v>
      </c>
      <c r="F23" s="7">
        <v>0.04</v>
      </c>
      <c r="G23" s="7">
        <v>0.08</v>
      </c>
      <c r="H23" s="7">
        <v>0.05</v>
      </c>
      <c r="I23" s="7">
        <v>0.06</v>
      </c>
      <c r="J23" s="7">
        <v>0.06</v>
      </c>
      <c r="K23" s="7">
        <v>0.34</v>
      </c>
      <c r="L23" s="7">
        <v>0.49</v>
      </c>
      <c r="M23" s="7">
        <v>0.14000000000000001</v>
      </c>
      <c r="N23" s="7">
        <v>0.15</v>
      </c>
      <c r="O23" s="7">
        <v>0.13</v>
      </c>
      <c r="P23" s="7">
        <v>0.25</v>
      </c>
      <c r="Q23" s="7">
        <v>0</v>
      </c>
    </row>
    <row r="24" spans="1:17">
      <c r="A24" s="2">
        <v>1972</v>
      </c>
      <c r="B24" s="7">
        <v>0.38</v>
      </c>
      <c r="C24" s="7">
        <v>0.05</v>
      </c>
      <c r="D24" s="7">
        <v>0.32</v>
      </c>
      <c r="E24" s="7">
        <v>0.04</v>
      </c>
      <c r="F24" s="7">
        <v>0.04</v>
      </c>
      <c r="G24" s="7">
        <v>0.08</v>
      </c>
      <c r="H24" s="7">
        <v>0.05</v>
      </c>
      <c r="I24" s="7">
        <v>0.06</v>
      </c>
      <c r="J24" s="7">
        <v>0.06</v>
      </c>
      <c r="K24" s="7">
        <v>0.34</v>
      </c>
      <c r="L24" s="7">
        <v>0.49</v>
      </c>
      <c r="M24" s="7">
        <v>0.14000000000000001</v>
      </c>
      <c r="N24" s="7">
        <v>0.16</v>
      </c>
      <c r="O24" s="7">
        <v>0.13</v>
      </c>
      <c r="P24" s="7">
        <v>0.25</v>
      </c>
      <c r="Q24" s="7">
        <v>0</v>
      </c>
    </row>
    <row r="25" spans="1:17">
      <c r="A25" s="2">
        <v>1973</v>
      </c>
      <c r="B25" s="7">
        <v>0.39</v>
      </c>
      <c r="C25" s="7">
        <v>0.05</v>
      </c>
      <c r="D25" s="7">
        <v>0.32</v>
      </c>
      <c r="E25" s="7">
        <v>0.04</v>
      </c>
      <c r="F25" s="7">
        <v>0.04</v>
      </c>
      <c r="G25" s="7">
        <v>0.08</v>
      </c>
      <c r="H25" s="7">
        <v>0.05</v>
      </c>
      <c r="I25" s="7">
        <v>0.06</v>
      </c>
      <c r="J25" s="7">
        <v>0.06</v>
      </c>
      <c r="K25" s="7">
        <v>0.34</v>
      </c>
      <c r="L25" s="7">
        <v>0.5</v>
      </c>
      <c r="M25" s="7">
        <v>0.14000000000000001</v>
      </c>
      <c r="N25" s="7">
        <v>0.16</v>
      </c>
      <c r="O25" s="7">
        <v>0.13</v>
      </c>
      <c r="P25" s="7">
        <v>0.25</v>
      </c>
      <c r="Q25" s="7">
        <v>0</v>
      </c>
    </row>
    <row r="26" spans="1:17">
      <c r="A26" s="2">
        <v>1974</v>
      </c>
      <c r="B26" s="7">
        <v>0.39</v>
      </c>
      <c r="C26" s="7">
        <v>0.05</v>
      </c>
      <c r="D26" s="7">
        <v>0.32</v>
      </c>
      <c r="E26" s="7">
        <v>0.04</v>
      </c>
      <c r="F26" s="7">
        <v>0.04</v>
      </c>
      <c r="G26" s="7">
        <v>0.08</v>
      </c>
      <c r="H26" s="7">
        <v>0.05</v>
      </c>
      <c r="I26" s="7">
        <v>0.06</v>
      </c>
      <c r="J26" s="7">
        <v>0.06</v>
      </c>
      <c r="K26" s="7">
        <v>0.34</v>
      </c>
      <c r="L26" s="7">
        <v>0.5</v>
      </c>
      <c r="M26" s="7">
        <v>0.14000000000000001</v>
      </c>
      <c r="N26" s="7">
        <v>0.16</v>
      </c>
      <c r="O26" s="7">
        <v>0.13</v>
      </c>
      <c r="P26" s="7">
        <v>0.25</v>
      </c>
      <c r="Q26" s="7">
        <v>0</v>
      </c>
    </row>
    <row r="27" spans="1:17">
      <c r="A27" s="2">
        <v>1975</v>
      </c>
      <c r="B27" s="7">
        <v>0.39</v>
      </c>
      <c r="C27" s="7">
        <v>0.05</v>
      </c>
      <c r="D27" s="7">
        <v>0.32</v>
      </c>
      <c r="E27" s="7">
        <v>0.04</v>
      </c>
      <c r="F27" s="7">
        <v>0.04</v>
      </c>
      <c r="G27" s="7">
        <v>0.08</v>
      </c>
      <c r="H27" s="7">
        <v>0.05</v>
      </c>
      <c r="I27" s="7">
        <v>0.06</v>
      </c>
      <c r="J27" s="7">
        <v>0.06</v>
      </c>
      <c r="K27" s="7">
        <v>0.34</v>
      </c>
      <c r="L27" s="7">
        <v>0.5</v>
      </c>
      <c r="M27" s="7">
        <v>0.14000000000000001</v>
      </c>
      <c r="N27" s="7">
        <v>0.16</v>
      </c>
      <c r="O27" s="7">
        <v>0.13</v>
      </c>
      <c r="P27" s="7">
        <v>0.25</v>
      </c>
      <c r="Q27" s="7">
        <v>0</v>
      </c>
    </row>
    <row r="28" spans="1:17">
      <c r="A28" s="2">
        <v>1976</v>
      </c>
      <c r="B28" s="7">
        <v>0.39</v>
      </c>
      <c r="C28" s="7">
        <v>0.05</v>
      </c>
      <c r="D28" s="7">
        <v>0.33</v>
      </c>
      <c r="E28" s="7">
        <v>0.04</v>
      </c>
      <c r="F28" s="7">
        <v>0.04</v>
      </c>
      <c r="G28" s="7">
        <v>0.08</v>
      </c>
      <c r="H28" s="7">
        <v>0.05</v>
      </c>
      <c r="I28" s="7">
        <v>0.06</v>
      </c>
      <c r="J28" s="7">
        <v>0.06</v>
      </c>
      <c r="K28" s="7">
        <v>0.35</v>
      </c>
      <c r="L28" s="7">
        <v>0.5</v>
      </c>
      <c r="M28" s="7">
        <v>0.14000000000000001</v>
      </c>
      <c r="N28" s="7">
        <v>0.16</v>
      </c>
      <c r="O28" s="7">
        <v>0.13</v>
      </c>
      <c r="P28" s="7">
        <v>0.26</v>
      </c>
      <c r="Q28" s="7">
        <v>0</v>
      </c>
    </row>
    <row r="29" spans="1:17">
      <c r="A29" s="2">
        <v>1977</v>
      </c>
      <c r="B29" s="7">
        <v>0.39</v>
      </c>
      <c r="C29" s="7">
        <v>0.05</v>
      </c>
      <c r="D29" s="7">
        <v>0.33</v>
      </c>
      <c r="E29" s="7">
        <v>0.04</v>
      </c>
      <c r="F29" s="7">
        <v>0.04</v>
      </c>
      <c r="G29" s="7">
        <v>0.09</v>
      </c>
      <c r="H29" s="7">
        <v>0.05</v>
      </c>
      <c r="I29" s="7">
        <v>0.06</v>
      </c>
      <c r="J29" s="7">
        <v>0.06</v>
      </c>
      <c r="K29" s="7">
        <v>0.35</v>
      </c>
      <c r="L29" s="7">
        <v>0.51</v>
      </c>
      <c r="M29" s="7">
        <v>0.15</v>
      </c>
      <c r="N29" s="7">
        <v>0.16</v>
      </c>
      <c r="O29" s="7">
        <v>0.14000000000000001</v>
      </c>
      <c r="P29" s="7">
        <v>0.26</v>
      </c>
      <c r="Q29" s="7">
        <v>0</v>
      </c>
    </row>
    <row r="30" spans="1:17">
      <c r="A30" s="2">
        <v>1978</v>
      </c>
      <c r="B30" s="7">
        <v>0.4</v>
      </c>
      <c r="C30" s="7">
        <v>0.05</v>
      </c>
      <c r="D30" s="7">
        <v>0.33</v>
      </c>
      <c r="E30" s="7">
        <v>0.04</v>
      </c>
      <c r="F30" s="7">
        <v>0.04</v>
      </c>
      <c r="G30" s="7">
        <v>0.09</v>
      </c>
      <c r="H30" s="7">
        <v>0.05</v>
      </c>
      <c r="I30" s="7">
        <v>0.06</v>
      </c>
      <c r="J30" s="7">
        <v>0.06</v>
      </c>
      <c r="K30" s="7">
        <v>0.35</v>
      </c>
      <c r="L30" s="7">
        <v>0.51</v>
      </c>
      <c r="M30" s="7">
        <v>0.15</v>
      </c>
      <c r="N30" s="7">
        <v>0.16</v>
      </c>
      <c r="O30" s="7">
        <v>0.14000000000000001</v>
      </c>
      <c r="P30" s="7">
        <v>0.26</v>
      </c>
      <c r="Q30" s="7">
        <v>0</v>
      </c>
    </row>
    <row r="31" spans="1:17">
      <c r="A31" s="2">
        <v>1979</v>
      </c>
      <c r="B31" s="7">
        <v>0.4</v>
      </c>
      <c r="C31" s="7">
        <v>0.05</v>
      </c>
      <c r="D31" s="7">
        <v>0.33</v>
      </c>
      <c r="E31" s="7">
        <v>0.04</v>
      </c>
      <c r="F31" s="7">
        <v>0.04</v>
      </c>
      <c r="G31" s="7">
        <v>0.09</v>
      </c>
      <c r="H31" s="7">
        <v>0.05</v>
      </c>
      <c r="I31" s="7">
        <v>0.06</v>
      </c>
      <c r="J31" s="7">
        <v>0.06</v>
      </c>
      <c r="K31" s="7">
        <v>0.35</v>
      </c>
      <c r="L31" s="7">
        <v>0.51</v>
      </c>
      <c r="M31" s="7">
        <v>0.15</v>
      </c>
      <c r="N31" s="7">
        <v>0.16</v>
      </c>
      <c r="O31" s="7">
        <v>0.14000000000000001</v>
      </c>
      <c r="P31" s="7">
        <v>0.26</v>
      </c>
      <c r="Q31" s="7">
        <v>0</v>
      </c>
    </row>
    <row r="32" spans="1:17">
      <c r="A32" s="2">
        <v>1980</v>
      </c>
      <c r="B32" s="7">
        <v>0.64</v>
      </c>
      <c r="C32" s="7">
        <v>0.09</v>
      </c>
      <c r="D32" s="7">
        <v>0.53</v>
      </c>
      <c r="E32" s="7">
        <v>7.0000000000000007E-2</v>
      </c>
      <c r="F32" s="7">
        <v>0.06</v>
      </c>
      <c r="G32" s="7">
        <v>0.14000000000000001</v>
      </c>
      <c r="H32" s="7">
        <v>0.08</v>
      </c>
      <c r="I32" s="7">
        <v>0.1</v>
      </c>
      <c r="J32" s="7">
        <v>0.1</v>
      </c>
      <c r="K32" s="7">
        <v>0.56999999999999995</v>
      </c>
      <c r="L32" s="7">
        <v>0.82</v>
      </c>
      <c r="M32" s="7">
        <v>0.24</v>
      </c>
      <c r="N32" s="7">
        <v>0.26</v>
      </c>
      <c r="O32" s="7">
        <v>0.22</v>
      </c>
      <c r="P32" s="7">
        <v>0.42</v>
      </c>
      <c r="Q32" s="7">
        <v>0.01</v>
      </c>
    </row>
    <row r="33" spans="1:17">
      <c r="A33" s="2">
        <v>1981</v>
      </c>
      <c r="B33" s="7">
        <v>0.64</v>
      </c>
      <c r="C33" s="7">
        <v>0.09</v>
      </c>
      <c r="D33" s="7">
        <v>0.53</v>
      </c>
      <c r="E33" s="7">
        <v>7.0000000000000007E-2</v>
      </c>
      <c r="F33" s="7">
        <v>0.06</v>
      </c>
      <c r="G33" s="7">
        <v>0.14000000000000001</v>
      </c>
      <c r="H33" s="7">
        <v>0.08</v>
      </c>
      <c r="I33" s="7">
        <v>0.1</v>
      </c>
      <c r="J33" s="7">
        <v>0.1</v>
      </c>
      <c r="K33" s="7">
        <v>0.56999999999999995</v>
      </c>
      <c r="L33" s="7">
        <v>0.83</v>
      </c>
      <c r="M33" s="7">
        <v>0.24</v>
      </c>
      <c r="N33" s="7">
        <v>0.26</v>
      </c>
      <c r="O33" s="7">
        <v>0.22</v>
      </c>
      <c r="P33" s="7">
        <v>0.42</v>
      </c>
      <c r="Q33" s="7">
        <v>0.01</v>
      </c>
    </row>
    <row r="34" spans="1:17">
      <c r="A34" s="2">
        <v>1982</v>
      </c>
      <c r="B34" s="7">
        <v>0.65</v>
      </c>
      <c r="C34" s="7">
        <v>0.09</v>
      </c>
      <c r="D34" s="7">
        <v>0.54</v>
      </c>
      <c r="E34" s="7">
        <v>7.0000000000000007E-2</v>
      </c>
      <c r="F34" s="7">
        <v>0.06</v>
      </c>
      <c r="G34" s="7">
        <v>0.14000000000000001</v>
      </c>
      <c r="H34" s="7">
        <v>0.08</v>
      </c>
      <c r="I34" s="7">
        <v>0.1</v>
      </c>
      <c r="J34" s="7">
        <v>0.1</v>
      </c>
      <c r="K34" s="7">
        <v>0.56999999999999995</v>
      </c>
      <c r="L34" s="7">
        <v>0.83</v>
      </c>
      <c r="M34" s="7">
        <v>0.24</v>
      </c>
      <c r="N34" s="7">
        <v>0.26</v>
      </c>
      <c r="O34" s="7">
        <v>0.22</v>
      </c>
      <c r="P34" s="7">
        <v>0.42</v>
      </c>
      <c r="Q34" s="7">
        <v>0.01</v>
      </c>
    </row>
    <row r="35" spans="1:17">
      <c r="A35" s="2">
        <v>1983</v>
      </c>
      <c r="B35" s="7">
        <v>0.65</v>
      </c>
      <c r="C35" s="7">
        <v>0.09</v>
      </c>
      <c r="D35" s="7">
        <v>0.54</v>
      </c>
      <c r="E35" s="7">
        <v>7.0000000000000007E-2</v>
      </c>
      <c r="F35" s="7">
        <v>0.06</v>
      </c>
      <c r="G35" s="7">
        <v>0.14000000000000001</v>
      </c>
      <c r="H35" s="7">
        <v>0.08</v>
      </c>
      <c r="I35" s="7">
        <v>0.1</v>
      </c>
      <c r="J35" s="7">
        <v>0.1</v>
      </c>
      <c r="K35" s="7">
        <v>0.57999999999999996</v>
      </c>
      <c r="L35" s="7">
        <v>0.84</v>
      </c>
      <c r="M35" s="7">
        <v>0.24</v>
      </c>
      <c r="N35" s="7">
        <v>0.26</v>
      </c>
      <c r="O35" s="7">
        <v>0.22</v>
      </c>
      <c r="P35" s="7">
        <v>0.43</v>
      </c>
      <c r="Q35" s="7">
        <v>0.01</v>
      </c>
    </row>
    <row r="36" spans="1:17">
      <c r="A36" s="2">
        <v>1984</v>
      </c>
      <c r="B36" s="7">
        <v>0.66</v>
      </c>
      <c r="C36" s="7">
        <v>0.09</v>
      </c>
      <c r="D36" s="7">
        <v>0.54</v>
      </c>
      <c r="E36" s="7">
        <v>7.0000000000000007E-2</v>
      </c>
      <c r="F36" s="7">
        <v>0.06</v>
      </c>
      <c r="G36" s="7">
        <v>0.14000000000000001</v>
      </c>
      <c r="H36" s="7">
        <v>0.08</v>
      </c>
      <c r="I36" s="7">
        <v>0.1</v>
      </c>
      <c r="J36" s="7">
        <v>0.11</v>
      </c>
      <c r="K36" s="7">
        <v>0.57999999999999996</v>
      </c>
      <c r="L36" s="7">
        <v>0.84</v>
      </c>
      <c r="M36" s="7">
        <v>0.24</v>
      </c>
      <c r="N36" s="7">
        <v>0.27</v>
      </c>
      <c r="O36" s="7">
        <v>0.23</v>
      </c>
      <c r="P36" s="7">
        <v>0.43</v>
      </c>
      <c r="Q36" s="7">
        <v>0.01</v>
      </c>
    </row>
    <row r="37" spans="1:17">
      <c r="A37" s="2">
        <v>1985</v>
      </c>
      <c r="B37" s="7">
        <v>0.66</v>
      </c>
      <c r="C37" s="7">
        <v>0.09</v>
      </c>
      <c r="D37" s="7">
        <v>0.55000000000000004</v>
      </c>
      <c r="E37" s="7">
        <v>7.0000000000000007E-2</v>
      </c>
      <c r="F37" s="7">
        <v>0.06</v>
      </c>
      <c r="G37" s="7">
        <v>0.14000000000000001</v>
      </c>
      <c r="H37" s="7">
        <v>0.08</v>
      </c>
      <c r="I37" s="7">
        <v>0.1</v>
      </c>
      <c r="J37" s="7">
        <v>0.11</v>
      </c>
      <c r="K37" s="7">
        <v>0.57999999999999996</v>
      </c>
      <c r="L37" s="7">
        <v>0.85</v>
      </c>
      <c r="M37" s="7">
        <v>0.24</v>
      </c>
      <c r="N37" s="7">
        <v>0.27</v>
      </c>
      <c r="O37" s="7">
        <v>0.23</v>
      </c>
      <c r="P37" s="7">
        <v>0.43</v>
      </c>
      <c r="Q37" s="7">
        <v>0.01</v>
      </c>
    </row>
    <row r="38" spans="1:17">
      <c r="A38" s="2">
        <v>1986</v>
      </c>
      <c r="B38" s="7">
        <v>0.66</v>
      </c>
      <c r="C38" s="7">
        <v>0.09</v>
      </c>
      <c r="D38" s="7">
        <v>0.55000000000000004</v>
      </c>
      <c r="E38" s="7">
        <v>7.0000000000000007E-2</v>
      </c>
      <c r="F38" s="7">
        <v>0.06</v>
      </c>
      <c r="G38" s="7">
        <v>0.14000000000000001</v>
      </c>
      <c r="H38" s="7">
        <v>0.08</v>
      </c>
      <c r="I38" s="7">
        <v>0.1</v>
      </c>
      <c r="J38" s="7">
        <v>0.11</v>
      </c>
      <c r="K38" s="7">
        <v>0.59</v>
      </c>
      <c r="L38" s="7">
        <v>0.85</v>
      </c>
      <c r="M38" s="7">
        <v>0.24</v>
      </c>
      <c r="N38" s="7">
        <v>0.27</v>
      </c>
      <c r="O38" s="7">
        <v>0.23</v>
      </c>
      <c r="P38" s="7">
        <v>0.43</v>
      </c>
      <c r="Q38" s="7">
        <v>0.01</v>
      </c>
    </row>
    <row r="39" spans="1:17">
      <c r="A39" s="2">
        <v>1987</v>
      </c>
      <c r="B39" s="7">
        <v>0.67</v>
      </c>
      <c r="C39" s="7">
        <v>0.09</v>
      </c>
      <c r="D39" s="7">
        <v>0.55000000000000004</v>
      </c>
      <c r="E39" s="7">
        <v>7.0000000000000007E-2</v>
      </c>
      <c r="F39" s="7">
        <v>0.06</v>
      </c>
      <c r="G39" s="7">
        <v>0.14000000000000001</v>
      </c>
      <c r="H39" s="7">
        <v>0.08</v>
      </c>
      <c r="I39" s="7">
        <v>0.1</v>
      </c>
      <c r="J39" s="7">
        <v>0.11</v>
      </c>
      <c r="K39" s="7">
        <v>0.59</v>
      </c>
      <c r="L39" s="7">
        <v>0.86</v>
      </c>
      <c r="M39" s="7">
        <v>0.25</v>
      </c>
      <c r="N39" s="7">
        <v>0.27</v>
      </c>
      <c r="O39" s="7">
        <v>0.23</v>
      </c>
      <c r="P39" s="7">
        <v>0.44</v>
      </c>
      <c r="Q39" s="7">
        <v>0.01</v>
      </c>
    </row>
    <row r="40" spans="1:17">
      <c r="A40" s="2">
        <v>1988</v>
      </c>
      <c r="B40" s="7">
        <v>0.67</v>
      </c>
      <c r="C40" s="7">
        <v>0.09</v>
      </c>
      <c r="D40" s="7">
        <v>0.56000000000000005</v>
      </c>
      <c r="E40" s="7">
        <v>7.0000000000000007E-2</v>
      </c>
      <c r="F40" s="7">
        <v>0.06</v>
      </c>
      <c r="G40" s="7">
        <v>0.15</v>
      </c>
      <c r="H40" s="7">
        <v>0.08</v>
      </c>
      <c r="I40" s="7">
        <v>0.1</v>
      </c>
      <c r="J40" s="7">
        <v>0.11</v>
      </c>
      <c r="K40" s="7">
        <v>0.59</v>
      </c>
      <c r="L40" s="7">
        <v>0.86</v>
      </c>
      <c r="M40" s="7">
        <v>0.25</v>
      </c>
      <c r="N40" s="7">
        <v>0.27</v>
      </c>
      <c r="O40" s="7">
        <v>0.23</v>
      </c>
      <c r="P40" s="7">
        <v>0.44</v>
      </c>
      <c r="Q40" s="7">
        <v>0.01</v>
      </c>
    </row>
    <row r="41" spans="1:17">
      <c r="A41" s="2">
        <v>1989</v>
      </c>
      <c r="B41" s="7">
        <v>0.68</v>
      </c>
      <c r="C41" s="7">
        <v>0.09</v>
      </c>
      <c r="D41" s="7">
        <v>0.56000000000000005</v>
      </c>
      <c r="E41" s="7">
        <v>7.0000000000000007E-2</v>
      </c>
      <c r="F41" s="7">
        <v>0.06</v>
      </c>
      <c r="G41" s="7">
        <v>0.15</v>
      </c>
      <c r="H41" s="7">
        <v>0.09</v>
      </c>
      <c r="I41" s="7">
        <v>0.1</v>
      </c>
      <c r="J41" s="7">
        <v>0.11</v>
      </c>
      <c r="K41" s="7">
        <v>0.6</v>
      </c>
      <c r="L41" s="7">
        <v>0.87</v>
      </c>
      <c r="M41" s="7">
        <v>0.25</v>
      </c>
      <c r="N41" s="7">
        <v>0.27</v>
      </c>
      <c r="O41" s="7">
        <v>0.23</v>
      </c>
      <c r="P41" s="7">
        <v>0.44</v>
      </c>
      <c r="Q41" s="7">
        <v>0.01</v>
      </c>
    </row>
    <row r="42" spans="1:17">
      <c r="A42" s="2">
        <v>1990</v>
      </c>
      <c r="B42" s="7">
        <v>0.68</v>
      </c>
      <c r="C42" s="7">
        <v>0.09</v>
      </c>
      <c r="D42" s="7">
        <v>0.56000000000000005</v>
      </c>
      <c r="E42" s="7">
        <v>7.0000000000000007E-2</v>
      </c>
      <c r="F42" s="7">
        <v>0.06</v>
      </c>
      <c r="G42" s="7">
        <v>0.15</v>
      </c>
      <c r="H42" s="7">
        <v>0.09</v>
      </c>
      <c r="I42" s="7">
        <v>0.11</v>
      </c>
      <c r="J42" s="7">
        <v>0.11</v>
      </c>
      <c r="K42" s="7">
        <v>0.6</v>
      </c>
      <c r="L42" s="7">
        <v>0.88</v>
      </c>
      <c r="M42" s="7">
        <v>0.25</v>
      </c>
      <c r="N42" s="7">
        <v>0.28000000000000003</v>
      </c>
      <c r="O42" s="7">
        <v>0.23</v>
      </c>
      <c r="P42" s="7">
        <v>0.45</v>
      </c>
      <c r="Q42" s="7">
        <v>0.01</v>
      </c>
    </row>
    <row r="43" spans="1:17">
      <c r="A43" s="2">
        <v>1991</v>
      </c>
      <c r="B43" s="7">
        <v>0.7</v>
      </c>
      <c r="C43" s="7">
        <v>0.1</v>
      </c>
      <c r="D43" s="7">
        <v>0.57999999999999996</v>
      </c>
      <c r="E43" s="7">
        <v>7.0000000000000007E-2</v>
      </c>
      <c r="F43" s="7">
        <v>0.06</v>
      </c>
      <c r="G43" s="7">
        <v>0.15</v>
      </c>
      <c r="H43" s="7">
        <v>0.09</v>
      </c>
      <c r="I43" s="7">
        <v>0.11</v>
      </c>
      <c r="J43" s="7">
        <v>0.11</v>
      </c>
      <c r="K43" s="7">
        <v>0.62</v>
      </c>
      <c r="L43" s="7">
        <v>0.9</v>
      </c>
      <c r="M43" s="7">
        <v>0.26</v>
      </c>
      <c r="N43" s="7">
        <v>0.28000000000000003</v>
      </c>
      <c r="O43" s="7">
        <v>0.24</v>
      </c>
      <c r="P43" s="7">
        <v>0.46</v>
      </c>
      <c r="Q43" s="7">
        <v>0.01</v>
      </c>
    </row>
    <row r="44" spans="1:17">
      <c r="A44" s="2">
        <v>1992</v>
      </c>
      <c r="B44" s="7">
        <v>0.72</v>
      </c>
      <c r="C44" s="7">
        <v>0.1</v>
      </c>
      <c r="D44" s="7">
        <v>0.6</v>
      </c>
      <c r="E44" s="7">
        <v>7.0000000000000007E-2</v>
      </c>
      <c r="F44" s="7">
        <v>7.0000000000000007E-2</v>
      </c>
      <c r="G44" s="7">
        <v>0.16</v>
      </c>
      <c r="H44" s="7">
        <v>0.09</v>
      </c>
      <c r="I44" s="7">
        <v>0.11</v>
      </c>
      <c r="J44" s="7">
        <v>0.12</v>
      </c>
      <c r="K44" s="7">
        <v>0.63</v>
      </c>
      <c r="L44" s="7">
        <v>0.92</v>
      </c>
      <c r="M44" s="7">
        <v>0.26</v>
      </c>
      <c r="N44" s="7">
        <v>0.28999999999999998</v>
      </c>
      <c r="O44" s="7">
        <v>0.25</v>
      </c>
      <c r="P44" s="7">
        <v>0.47</v>
      </c>
      <c r="Q44" s="7">
        <v>0.01</v>
      </c>
    </row>
    <row r="45" spans="1:17">
      <c r="A45" s="2">
        <v>1993</v>
      </c>
      <c r="B45" s="7">
        <v>0.74</v>
      </c>
      <c r="C45" s="7">
        <v>0.1</v>
      </c>
      <c r="D45" s="7">
        <v>0.61</v>
      </c>
      <c r="E45" s="7">
        <v>7.0000000000000007E-2</v>
      </c>
      <c r="F45" s="7">
        <v>7.0000000000000007E-2</v>
      </c>
      <c r="G45" s="7">
        <v>0.16</v>
      </c>
      <c r="H45" s="7">
        <v>0.09</v>
      </c>
      <c r="I45" s="7">
        <v>0.11</v>
      </c>
      <c r="J45" s="7">
        <v>0.12</v>
      </c>
      <c r="K45" s="7">
        <v>0.65</v>
      </c>
      <c r="L45" s="7">
        <v>0.95</v>
      </c>
      <c r="M45" s="7">
        <v>0.27</v>
      </c>
      <c r="N45" s="7">
        <v>0.3</v>
      </c>
      <c r="O45" s="7">
        <v>0.25</v>
      </c>
      <c r="P45" s="7">
        <v>0.48</v>
      </c>
      <c r="Q45" s="7">
        <v>0.01</v>
      </c>
    </row>
    <row r="46" spans="1:17">
      <c r="A46" s="2">
        <v>1994</v>
      </c>
      <c r="B46" s="7">
        <v>0.76</v>
      </c>
      <c r="C46" s="7">
        <v>0.1</v>
      </c>
      <c r="D46" s="7">
        <v>0.63</v>
      </c>
      <c r="E46" s="7">
        <v>0.08</v>
      </c>
      <c r="F46" s="7">
        <v>7.0000000000000007E-2</v>
      </c>
      <c r="G46" s="7">
        <v>0.16</v>
      </c>
      <c r="H46" s="7">
        <v>0.1</v>
      </c>
      <c r="I46" s="7">
        <v>0.12</v>
      </c>
      <c r="J46" s="7">
        <v>0.12</v>
      </c>
      <c r="K46" s="7">
        <v>0.67</v>
      </c>
      <c r="L46" s="7">
        <v>0.97</v>
      </c>
      <c r="M46" s="7">
        <v>0.28000000000000003</v>
      </c>
      <c r="N46" s="7">
        <v>0.31</v>
      </c>
      <c r="O46" s="7">
        <v>0.26</v>
      </c>
      <c r="P46" s="7">
        <v>0.49</v>
      </c>
      <c r="Q46" s="7">
        <v>0.01</v>
      </c>
    </row>
    <row r="47" spans="1:17">
      <c r="A47" s="2">
        <v>1995</v>
      </c>
      <c r="B47" s="7">
        <v>0.78</v>
      </c>
      <c r="C47" s="7">
        <v>0.11</v>
      </c>
      <c r="D47" s="7">
        <v>0.64</v>
      </c>
      <c r="E47" s="7">
        <v>0.08</v>
      </c>
      <c r="F47" s="7">
        <v>7.0000000000000007E-2</v>
      </c>
      <c r="G47" s="7">
        <v>0.17</v>
      </c>
      <c r="H47" s="7">
        <v>0.1</v>
      </c>
      <c r="I47" s="7">
        <v>0.12</v>
      </c>
      <c r="J47" s="7">
        <v>0.12</v>
      </c>
      <c r="K47" s="7">
        <v>0.68</v>
      </c>
      <c r="L47" s="7">
        <v>1</v>
      </c>
      <c r="M47" s="7">
        <v>0.28999999999999998</v>
      </c>
      <c r="N47" s="7">
        <v>0.31</v>
      </c>
      <c r="O47" s="7">
        <v>0.27</v>
      </c>
      <c r="P47" s="7">
        <v>0.51</v>
      </c>
      <c r="Q47" s="7">
        <v>0.01</v>
      </c>
    </row>
    <row r="48" spans="1:17">
      <c r="A48" s="2">
        <v>1996</v>
      </c>
      <c r="B48" s="7">
        <v>0.8</v>
      </c>
      <c r="C48" s="7">
        <v>0.11</v>
      </c>
      <c r="D48" s="7">
        <v>0.66</v>
      </c>
      <c r="E48" s="7">
        <v>0.08</v>
      </c>
      <c r="F48" s="7">
        <v>7.0000000000000007E-2</v>
      </c>
      <c r="G48" s="7">
        <v>0.17</v>
      </c>
      <c r="H48" s="7">
        <v>0.1</v>
      </c>
      <c r="I48" s="7">
        <v>0.12</v>
      </c>
      <c r="J48" s="7">
        <v>0.13</v>
      </c>
      <c r="K48" s="7">
        <v>0.7</v>
      </c>
      <c r="L48" s="7">
        <v>1.02</v>
      </c>
      <c r="M48" s="7">
        <v>0.28999999999999998</v>
      </c>
      <c r="N48" s="7">
        <v>0.32</v>
      </c>
      <c r="O48" s="7">
        <v>0.27</v>
      </c>
      <c r="P48" s="7">
        <v>0.52</v>
      </c>
      <c r="Q48" s="7">
        <v>0.01</v>
      </c>
    </row>
    <row r="49" spans="1:17">
      <c r="A49" s="2">
        <v>1997</v>
      </c>
      <c r="B49" s="7">
        <v>0.81</v>
      </c>
      <c r="C49" s="7">
        <v>0.11</v>
      </c>
      <c r="D49" s="7">
        <v>0.67</v>
      </c>
      <c r="E49" s="7">
        <v>0.08</v>
      </c>
      <c r="F49" s="7">
        <v>7.0000000000000007E-2</v>
      </c>
      <c r="G49" s="7">
        <v>0.18</v>
      </c>
      <c r="H49" s="7">
        <v>0.1</v>
      </c>
      <c r="I49" s="7">
        <v>0.13</v>
      </c>
      <c r="J49" s="7">
        <v>0.13</v>
      </c>
      <c r="K49" s="7">
        <v>0.72</v>
      </c>
      <c r="L49" s="7">
        <v>1.05</v>
      </c>
      <c r="M49" s="7">
        <v>0.3</v>
      </c>
      <c r="N49" s="7">
        <v>0.33</v>
      </c>
      <c r="O49" s="7">
        <v>0.28000000000000003</v>
      </c>
      <c r="P49" s="7">
        <v>0.53</v>
      </c>
      <c r="Q49" s="7">
        <v>0.01</v>
      </c>
    </row>
    <row r="50" spans="1:17">
      <c r="A50" s="2">
        <v>1998</v>
      </c>
      <c r="B50" s="7">
        <v>0.83</v>
      </c>
      <c r="C50" s="7">
        <v>0.11</v>
      </c>
      <c r="D50" s="7">
        <v>0.69</v>
      </c>
      <c r="E50" s="7">
        <v>0.08</v>
      </c>
      <c r="F50" s="7">
        <v>0.08</v>
      </c>
      <c r="G50" s="7">
        <v>0.18</v>
      </c>
      <c r="H50" s="7">
        <v>0.11</v>
      </c>
      <c r="I50" s="7">
        <v>0.13</v>
      </c>
      <c r="J50" s="7">
        <v>0.13</v>
      </c>
      <c r="K50" s="7">
        <v>0.74</v>
      </c>
      <c r="L50" s="7">
        <v>1.07</v>
      </c>
      <c r="M50" s="7">
        <v>0.31</v>
      </c>
      <c r="N50" s="7">
        <v>0.34</v>
      </c>
      <c r="O50" s="7">
        <v>0.28999999999999998</v>
      </c>
      <c r="P50" s="7">
        <v>0.54</v>
      </c>
      <c r="Q50" s="7">
        <v>0.01</v>
      </c>
    </row>
    <row r="51" spans="1:17">
      <c r="A51" s="2">
        <v>1999</v>
      </c>
      <c r="B51" s="7">
        <v>0.85</v>
      </c>
      <c r="C51" s="7">
        <v>0.12</v>
      </c>
      <c r="D51" s="7">
        <v>0.71</v>
      </c>
      <c r="E51" s="7">
        <v>0.09</v>
      </c>
      <c r="F51" s="7">
        <v>0.08</v>
      </c>
      <c r="G51" s="7">
        <v>0.18</v>
      </c>
      <c r="H51" s="7">
        <v>0.11</v>
      </c>
      <c r="I51" s="7">
        <v>0.13</v>
      </c>
      <c r="J51" s="7">
        <v>0.14000000000000001</v>
      </c>
      <c r="K51" s="7">
        <v>0.75</v>
      </c>
      <c r="L51" s="7">
        <v>1.1000000000000001</v>
      </c>
      <c r="M51" s="7">
        <v>0.31</v>
      </c>
      <c r="N51" s="7">
        <v>0.34</v>
      </c>
      <c r="O51" s="7">
        <v>0.28999999999999998</v>
      </c>
      <c r="P51" s="7">
        <v>0.56000000000000005</v>
      </c>
      <c r="Q51" s="7">
        <v>0.01</v>
      </c>
    </row>
    <row r="52" spans="1:17">
      <c r="A52" s="2">
        <v>2000</v>
      </c>
      <c r="B52" s="7">
        <v>0.87</v>
      </c>
      <c r="C52" s="7">
        <v>0.12</v>
      </c>
      <c r="D52" s="7">
        <v>0.72</v>
      </c>
      <c r="E52" s="7">
        <v>0.09</v>
      </c>
      <c r="F52" s="7">
        <v>0.08</v>
      </c>
      <c r="G52" s="7">
        <v>0.19</v>
      </c>
      <c r="H52" s="7">
        <v>0.11</v>
      </c>
      <c r="I52" s="7">
        <v>0.13</v>
      </c>
      <c r="J52" s="7">
        <v>0.14000000000000001</v>
      </c>
      <c r="K52" s="7">
        <v>0.77</v>
      </c>
      <c r="L52" s="7">
        <v>1.1200000000000001</v>
      </c>
      <c r="M52" s="7">
        <v>0.32</v>
      </c>
      <c r="N52" s="7">
        <v>0.35</v>
      </c>
      <c r="O52" s="7">
        <v>0.3</v>
      </c>
      <c r="P52" s="7">
        <v>0.56999999999999995</v>
      </c>
      <c r="Q52" s="7">
        <v>0.01</v>
      </c>
    </row>
    <row r="53" spans="1:17">
      <c r="A53" s="2">
        <v>2001</v>
      </c>
      <c r="B53" s="7">
        <v>0.88</v>
      </c>
      <c r="C53" s="7">
        <v>0.12</v>
      </c>
      <c r="D53" s="7">
        <v>0.72</v>
      </c>
      <c r="E53" s="7">
        <v>0.09</v>
      </c>
      <c r="F53" s="7">
        <v>0.08</v>
      </c>
      <c r="G53" s="7">
        <v>0.19</v>
      </c>
      <c r="H53" s="7">
        <v>0.11</v>
      </c>
      <c r="I53" s="7">
        <v>0.14000000000000001</v>
      </c>
      <c r="J53" s="7">
        <v>0.14000000000000001</v>
      </c>
      <c r="K53" s="7">
        <v>0.78</v>
      </c>
      <c r="L53" s="7">
        <v>1.1399999999999999</v>
      </c>
      <c r="M53" s="7">
        <v>0.33</v>
      </c>
      <c r="N53" s="7">
        <v>0.35</v>
      </c>
      <c r="O53" s="7">
        <v>0.31</v>
      </c>
      <c r="P53" s="7">
        <v>0.57999999999999996</v>
      </c>
      <c r="Q53" s="7">
        <v>0.01</v>
      </c>
    </row>
    <row r="54" spans="1:17">
      <c r="A54" s="2">
        <v>2002</v>
      </c>
      <c r="B54" s="7">
        <v>0.89</v>
      </c>
      <c r="C54" s="7">
        <v>0.12</v>
      </c>
      <c r="D54" s="7">
        <v>0.72</v>
      </c>
      <c r="E54" s="7">
        <v>0.09</v>
      </c>
      <c r="F54" s="7">
        <v>0.08</v>
      </c>
      <c r="G54" s="7">
        <v>0.19</v>
      </c>
      <c r="H54" s="7">
        <v>0.11</v>
      </c>
      <c r="I54" s="7">
        <v>0.14000000000000001</v>
      </c>
      <c r="J54" s="7">
        <v>0.14000000000000001</v>
      </c>
      <c r="K54" s="7">
        <v>0.78</v>
      </c>
      <c r="L54" s="7">
        <v>1.1499999999999999</v>
      </c>
      <c r="M54" s="7">
        <v>0.33</v>
      </c>
      <c r="N54" s="7">
        <v>0.35</v>
      </c>
      <c r="O54" s="7">
        <v>0.32</v>
      </c>
      <c r="P54" s="7">
        <v>0.6</v>
      </c>
      <c r="Q54" s="7">
        <v>0.01</v>
      </c>
    </row>
    <row r="55" spans="1:17">
      <c r="A55" s="2">
        <v>2003</v>
      </c>
      <c r="B55" s="7">
        <v>0.89</v>
      </c>
      <c r="C55" s="7">
        <v>0.12</v>
      </c>
      <c r="D55" s="7">
        <v>0.73</v>
      </c>
      <c r="E55" s="7">
        <v>0.09</v>
      </c>
      <c r="F55" s="7">
        <v>0.08</v>
      </c>
      <c r="G55" s="7">
        <v>0.2</v>
      </c>
      <c r="H55" s="7">
        <v>0.11</v>
      </c>
      <c r="I55" s="7">
        <v>0.15</v>
      </c>
      <c r="J55" s="7">
        <v>0.15</v>
      </c>
      <c r="K55" s="7">
        <v>0.79</v>
      </c>
      <c r="L55" s="7">
        <v>1.1599999999999999</v>
      </c>
      <c r="M55" s="7">
        <v>0.34</v>
      </c>
      <c r="N55" s="7">
        <v>0.35</v>
      </c>
      <c r="O55" s="7">
        <v>0.33</v>
      </c>
      <c r="P55" s="7">
        <v>0.61</v>
      </c>
      <c r="Q55" s="7">
        <v>0.01</v>
      </c>
    </row>
    <row r="56" spans="1:17">
      <c r="A56" s="2">
        <v>2004</v>
      </c>
      <c r="B56" s="7">
        <v>0.9</v>
      </c>
      <c r="C56" s="7">
        <v>0.12</v>
      </c>
      <c r="D56" s="7">
        <v>0.73</v>
      </c>
      <c r="E56" s="7">
        <v>0.09</v>
      </c>
      <c r="F56" s="7">
        <v>0.08</v>
      </c>
      <c r="G56" s="7">
        <v>0.2</v>
      </c>
      <c r="H56" s="7">
        <v>0.11</v>
      </c>
      <c r="I56" s="7">
        <v>0.15</v>
      </c>
      <c r="J56" s="7">
        <v>0.15</v>
      </c>
      <c r="K56" s="7">
        <v>0.8</v>
      </c>
      <c r="L56" s="7">
        <v>1.18</v>
      </c>
      <c r="M56" s="7">
        <v>0.34</v>
      </c>
      <c r="N56" s="7">
        <v>0.36</v>
      </c>
      <c r="O56" s="7">
        <v>0.34</v>
      </c>
      <c r="P56" s="7">
        <v>0.63</v>
      </c>
      <c r="Q56" s="7">
        <v>0.01</v>
      </c>
    </row>
    <row r="57" spans="1:17">
      <c r="A57" s="2">
        <v>2005</v>
      </c>
      <c r="B57" s="7">
        <v>0.91</v>
      </c>
      <c r="C57" s="7">
        <v>0.12</v>
      </c>
      <c r="D57" s="7">
        <v>0.73</v>
      </c>
      <c r="E57" s="7">
        <v>0.09</v>
      </c>
      <c r="F57" s="7">
        <v>0.08</v>
      </c>
      <c r="G57" s="7">
        <v>0.2</v>
      </c>
      <c r="H57" s="7">
        <v>0.12</v>
      </c>
      <c r="I57" s="7">
        <v>0.15</v>
      </c>
      <c r="J57" s="7">
        <v>0.15</v>
      </c>
      <c r="K57" s="7">
        <v>0.8</v>
      </c>
      <c r="L57" s="7">
        <v>1.19</v>
      </c>
      <c r="M57" s="7">
        <v>0.34</v>
      </c>
      <c r="N57" s="7">
        <v>0.36</v>
      </c>
      <c r="O57" s="7">
        <v>0.35</v>
      </c>
      <c r="P57" s="7">
        <v>0.64</v>
      </c>
      <c r="Q57" s="7">
        <v>0.01</v>
      </c>
    </row>
    <row r="58" spans="1:17">
      <c r="A58" s="2">
        <v>2006</v>
      </c>
      <c r="B58" s="7">
        <v>0.91</v>
      </c>
      <c r="C58" s="7">
        <v>0.12</v>
      </c>
      <c r="D58" s="7">
        <v>0.73</v>
      </c>
      <c r="E58" s="7">
        <v>0.1</v>
      </c>
      <c r="F58" s="7">
        <v>0.08</v>
      </c>
      <c r="G58" s="7">
        <v>0.21</v>
      </c>
      <c r="H58" s="7">
        <v>0.12</v>
      </c>
      <c r="I58" s="7">
        <v>0.16</v>
      </c>
      <c r="J58" s="7">
        <v>0.15</v>
      </c>
      <c r="K58" s="7">
        <v>0.81</v>
      </c>
      <c r="L58" s="7">
        <v>1.21</v>
      </c>
      <c r="M58" s="7">
        <v>0.35</v>
      </c>
      <c r="N58" s="7">
        <v>0.36</v>
      </c>
      <c r="O58" s="7">
        <v>0.36</v>
      </c>
      <c r="P58" s="7">
        <v>0.66</v>
      </c>
      <c r="Q58" s="7">
        <v>0.01</v>
      </c>
    </row>
    <row r="59" spans="1:17">
      <c r="A59" s="2">
        <v>2007</v>
      </c>
      <c r="B59" s="7">
        <v>0.92</v>
      </c>
      <c r="C59" s="7">
        <v>0.12</v>
      </c>
      <c r="D59" s="7">
        <v>0.73</v>
      </c>
      <c r="E59" s="7">
        <v>0.1</v>
      </c>
      <c r="F59" s="7">
        <v>0.08</v>
      </c>
      <c r="G59" s="7">
        <v>0.21</v>
      </c>
      <c r="H59" s="7">
        <v>0.12</v>
      </c>
      <c r="I59" s="7">
        <v>0.16</v>
      </c>
      <c r="J59" s="7">
        <v>0.16</v>
      </c>
      <c r="K59" s="7">
        <v>0.81</v>
      </c>
      <c r="L59" s="7">
        <v>1.22</v>
      </c>
      <c r="M59" s="7">
        <v>0.35</v>
      </c>
      <c r="N59" s="7">
        <v>0.36</v>
      </c>
      <c r="O59" s="7">
        <v>0.37</v>
      </c>
      <c r="P59" s="7">
        <v>0.67</v>
      </c>
      <c r="Q59" s="7">
        <v>0.01</v>
      </c>
    </row>
    <row r="60" spans="1:17">
      <c r="A60" s="2">
        <v>2008</v>
      </c>
      <c r="B60" s="7">
        <v>0.92</v>
      </c>
      <c r="C60" s="7">
        <v>0.12</v>
      </c>
      <c r="D60" s="7">
        <v>0.72</v>
      </c>
      <c r="E60" s="7">
        <v>0.1</v>
      </c>
      <c r="F60" s="7">
        <v>0.08</v>
      </c>
      <c r="G60" s="7">
        <v>0.21</v>
      </c>
      <c r="H60" s="7">
        <v>0.12</v>
      </c>
      <c r="I60" s="7">
        <v>0.17</v>
      </c>
      <c r="J60" s="7">
        <v>0.16</v>
      </c>
      <c r="K60" s="7">
        <v>0.82</v>
      </c>
      <c r="L60" s="7">
        <v>1.23</v>
      </c>
      <c r="M60" s="7">
        <v>0.36</v>
      </c>
      <c r="N60" s="7">
        <v>0.36</v>
      </c>
      <c r="O60" s="7">
        <v>0.38</v>
      </c>
      <c r="P60" s="7">
        <v>0.68</v>
      </c>
      <c r="Q60" s="7">
        <v>0.01</v>
      </c>
    </row>
    <row r="61" spans="1:17">
      <c r="A61" s="2">
        <v>2009</v>
      </c>
      <c r="B61" s="7">
        <v>0.92</v>
      </c>
      <c r="C61" s="7">
        <v>0.13</v>
      </c>
      <c r="D61" s="7">
        <v>0.72</v>
      </c>
      <c r="E61" s="7">
        <v>0.1</v>
      </c>
      <c r="F61" s="7">
        <v>0.08</v>
      </c>
      <c r="G61" s="7">
        <v>0.21</v>
      </c>
      <c r="H61" s="7">
        <v>0.13</v>
      </c>
      <c r="I61" s="7">
        <v>0.17</v>
      </c>
      <c r="J61" s="7">
        <v>0.16</v>
      </c>
      <c r="K61" s="7">
        <v>0.82</v>
      </c>
      <c r="L61" s="7">
        <v>1.24</v>
      </c>
      <c r="M61" s="7">
        <v>0.36</v>
      </c>
      <c r="N61" s="7">
        <v>0.36</v>
      </c>
      <c r="O61" s="7">
        <v>0.39</v>
      </c>
      <c r="P61" s="7">
        <v>0.69</v>
      </c>
      <c r="Q61" s="7">
        <v>0.01</v>
      </c>
    </row>
    <row r="62" spans="1:17">
      <c r="A62" s="2">
        <v>2010</v>
      </c>
      <c r="B62" s="7">
        <v>0.92</v>
      </c>
      <c r="C62" s="7">
        <v>0.13</v>
      </c>
      <c r="D62" s="7">
        <v>0.72</v>
      </c>
      <c r="E62" s="7">
        <v>0.1</v>
      </c>
      <c r="F62" s="7">
        <v>0.08</v>
      </c>
      <c r="G62" s="7">
        <v>0.21</v>
      </c>
      <c r="H62" s="7">
        <v>0.13</v>
      </c>
      <c r="I62" s="7">
        <v>0.18</v>
      </c>
      <c r="J62" s="7">
        <v>0.16</v>
      </c>
      <c r="K62" s="7">
        <v>0.82</v>
      </c>
      <c r="L62" s="7">
        <v>1.24</v>
      </c>
      <c r="M62" s="7">
        <v>0.37</v>
      </c>
      <c r="N62" s="7">
        <v>0.36</v>
      </c>
      <c r="O62" s="7">
        <v>0.4</v>
      </c>
      <c r="P62" s="7">
        <v>0.69</v>
      </c>
      <c r="Q62" s="7">
        <v>0.01</v>
      </c>
    </row>
    <row r="63" spans="1:17">
      <c r="A63" s="2">
        <v>2011</v>
      </c>
      <c r="B63" s="7">
        <v>0.93</v>
      </c>
      <c r="C63" s="7">
        <v>0.13</v>
      </c>
      <c r="D63" s="7">
        <v>0.72</v>
      </c>
      <c r="E63" s="7">
        <v>0.1</v>
      </c>
      <c r="F63" s="7">
        <v>0.08</v>
      </c>
      <c r="G63" s="7">
        <v>0.22</v>
      </c>
      <c r="H63" s="7">
        <v>0.13</v>
      </c>
      <c r="I63" s="7">
        <v>0.18</v>
      </c>
      <c r="J63" s="7">
        <v>0.17</v>
      </c>
      <c r="K63" s="7">
        <v>0.83</v>
      </c>
      <c r="L63" s="7">
        <v>1.26</v>
      </c>
      <c r="M63" s="7">
        <v>0.37</v>
      </c>
      <c r="N63" s="7">
        <v>0.36</v>
      </c>
      <c r="O63" s="7">
        <v>0.41</v>
      </c>
      <c r="P63" s="7">
        <v>0.71</v>
      </c>
      <c r="Q63" s="7">
        <v>0.01</v>
      </c>
    </row>
    <row r="64" spans="1:17">
      <c r="A64" s="2">
        <v>2012</v>
      </c>
      <c r="B64" s="7">
        <v>0.93</v>
      </c>
      <c r="C64" s="7">
        <v>0.13</v>
      </c>
      <c r="D64" s="7">
        <v>0.72</v>
      </c>
      <c r="E64" s="7">
        <v>0.1</v>
      </c>
      <c r="F64" s="7">
        <v>0.08</v>
      </c>
      <c r="G64" s="7">
        <v>0.22</v>
      </c>
      <c r="H64" s="7">
        <v>0.13</v>
      </c>
      <c r="I64" s="7">
        <v>0.18</v>
      </c>
      <c r="J64" s="7">
        <v>0.17</v>
      </c>
      <c r="K64" s="7">
        <v>0.84</v>
      </c>
      <c r="L64" s="7">
        <v>1.27</v>
      </c>
      <c r="M64" s="7">
        <v>0.38</v>
      </c>
      <c r="N64" s="7">
        <v>0.36</v>
      </c>
      <c r="O64" s="7">
        <v>0.42</v>
      </c>
      <c r="P64" s="7">
        <v>0.72</v>
      </c>
      <c r="Q64" s="7">
        <v>0.01</v>
      </c>
    </row>
    <row r="65" spans="1:17">
      <c r="A65" s="2">
        <v>2013</v>
      </c>
      <c r="B65" s="7">
        <v>0.93</v>
      </c>
      <c r="C65" s="7">
        <v>0.13</v>
      </c>
      <c r="D65" s="7">
        <v>0.72</v>
      </c>
      <c r="E65" s="7">
        <v>0.1</v>
      </c>
      <c r="F65" s="7">
        <v>0.08</v>
      </c>
      <c r="G65" s="7">
        <v>0.22</v>
      </c>
      <c r="H65" s="7">
        <v>0.14000000000000001</v>
      </c>
      <c r="I65" s="7">
        <v>0.19</v>
      </c>
      <c r="J65" s="7">
        <v>0.17</v>
      </c>
      <c r="K65" s="7">
        <v>0.84</v>
      </c>
      <c r="L65" s="7">
        <v>1.28</v>
      </c>
      <c r="M65" s="7">
        <v>0.38</v>
      </c>
      <c r="N65" s="7">
        <v>0.36</v>
      </c>
      <c r="O65" s="7">
        <v>0.43</v>
      </c>
      <c r="P65" s="7">
        <v>0.73</v>
      </c>
      <c r="Q65" s="7">
        <v>0.01</v>
      </c>
    </row>
    <row r="66" spans="1:17">
      <c r="A66" s="2">
        <v>2014</v>
      </c>
      <c r="B66" s="7">
        <v>0.94</v>
      </c>
      <c r="C66" s="7">
        <v>0.13</v>
      </c>
      <c r="D66" s="7">
        <v>0.71</v>
      </c>
      <c r="E66" s="7">
        <v>0.1</v>
      </c>
      <c r="F66" s="7">
        <v>0.08</v>
      </c>
      <c r="G66" s="7">
        <v>0.22</v>
      </c>
      <c r="H66" s="7">
        <v>0.14000000000000001</v>
      </c>
      <c r="I66" s="7">
        <v>0.19</v>
      </c>
      <c r="J66" s="7">
        <v>0.17</v>
      </c>
      <c r="K66" s="7">
        <v>0.85</v>
      </c>
      <c r="L66" s="7">
        <v>1.3</v>
      </c>
      <c r="M66" s="7">
        <v>0.38</v>
      </c>
      <c r="N66" s="7">
        <v>0.36</v>
      </c>
      <c r="O66" s="7">
        <v>0.43</v>
      </c>
      <c r="P66" s="7">
        <v>0.74</v>
      </c>
      <c r="Q66" s="7">
        <v>0.01</v>
      </c>
    </row>
    <row r="67" spans="1:17">
      <c r="A67" s="2">
        <v>2015</v>
      </c>
      <c r="B67" s="7">
        <v>0.93</v>
      </c>
      <c r="C67" s="7">
        <v>0.13</v>
      </c>
      <c r="D67" s="7">
        <v>0.71</v>
      </c>
      <c r="E67" s="7">
        <v>0.1</v>
      </c>
      <c r="F67" s="7">
        <v>0.09</v>
      </c>
      <c r="G67" s="7">
        <v>0.22</v>
      </c>
      <c r="H67" s="7">
        <v>0.14000000000000001</v>
      </c>
      <c r="I67" s="7">
        <v>0.19</v>
      </c>
      <c r="J67" s="7">
        <v>0.17</v>
      </c>
      <c r="K67" s="7">
        <v>0.87</v>
      </c>
      <c r="L67" s="7">
        <v>1.31</v>
      </c>
      <c r="M67" s="7">
        <v>0.39</v>
      </c>
      <c r="N67" s="7">
        <v>0.36</v>
      </c>
      <c r="O67" s="7">
        <v>0.44</v>
      </c>
      <c r="P67" s="7">
        <v>0.75</v>
      </c>
      <c r="Q67" s="7">
        <v>0.01</v>
      </c>
    </row>
    <row r="68" spans="1:17">
      <c r="A68" s="2">
        <v>2016</v>
      </c>
      <c r="B68" s="7">
        <v>0.94</v>
      </c>
      <c r="C68" s="7">
        <v>0.13</v>
      </c>
      <c r="D68" s="7">
        <v>0.71</v>
      </c>
      <c r="E68" s="7">
        <v>0.1</v>
      </c>
      <c r="F68" s="7">
        <v>0.09</v>
      </c>
      <c r="G68" s="7">
        <v>0.22</v>
      </c>
      <c r="H68" s="7">
        <v>0.14000000000000001</v>
      </c>
      <c r="I68" s="7">
        <v>0.19</v>
      </c>
      <c r="J68" s="7">
        <v>0.18</v>
      </c>
      <c r="K68" s="7">
        <v>0.87</v>
      </c>
      <c r="L68" s="7">
        <v>1.32</v>
      </c>
      <c r="M68" s="7">
        <v>0.39</v>
      </c>
      <c r="N68" s="7">
        <v>0.36</v>
      </c>
      <c r="O68" s="7">
        <v>0.45</v>
      </c>
      <c r="P68" s="7">
        <v>0.76</v>
      </c>
      <c r="Q68" s="7">
        <v>0.01</v>
      </c>
    </row>
    <row r="69" spans="1:17">
      <c r="A69" s="2">
        <v>2017</v>
      </c>
      <c r="B69" s="7">
        <v>0.94</v>
      </c>
      <c r="C69" s="7">
        <v>0.13</v>
      </c>
      <c r="D69" s="7">
        <v>0.71</v>
      </c>
      <c r="E69" s="7">
        <v>0.1</v>
      </c>
      <c r="F69" s="7">
        <v>0.09</v>
      </c>
      <c r="G69" s="7">
        <v>0.22</v>
      </c>
      <c r="H69" s="7">
        <v>0.14000000000000001</v>
      </c>
      <c r="I69" s="7">
        <v>0.2</v>
      </c>
      <c r="J69" s="7">
        <v>0.18</v>
      </c>
      <c r="K69" s="7">
        <v>0.88</v>
      </c>
      <c r="L69" s="7">
        <v>1.33</v>
      </c>
      <c r="M69" s="7">
        <v>0.4</v>
      </c>
      <c r="N69" s="7">
        <v>0.36</v>
      </c>
      <c r="O69" s="7">
        <v>0.45</v>
      </c>
      <c r="P69" s="7">
        <v>0.77</v>
      </c>
      <c r="Q69" s="7">
        <v>0.01</v>
      </c>
    </row>
    <row r="70" spans="1:17">
      <c r="A70" s="2">
        <v>2018</v>
      </c>
      <c r="B70" s="7">
        <v>0.95</v>
      </c>
      <c r="C70" s="7">
        <v>0.13</v>
      </c>
      <c r="D70" s="7">
        <v>0.7</v>
      </c>
      <c r="E70" s="7">
        <v>0.1</v>
      </c>
      <c r="F70" s="7">
        <v>0.09</v>
      </c>
      <c r="G70" s="7">
        <v>0.22</v>
      </c>
      <c r="H70" s="7">
        <v>0.14000000000000001</v>
      </c>
      <c r="I70" s="7">
        <v>0.2</v>
      </c>
      <c r="J70" s="7">
        <v>0.18</v>
      </c>
      <c r="K70" s="7">
        <v>0.88</v>
      </c>
      <c r="L70" s="7">
        <v>1.34</v>
      </c>
      <c r="M70" s="7">
        <v>0.4</v>
      </c>
      <c r="N70" s="7">
        <v>0.36</v>
      </c>
      <c r="O70" s="7">
        <v>0.46</v>
      </c>
      <c r="P70" s="7">
        <v>0.79</v>
      </c>
      <c r="Q70" s="7">
        <v>0.01</v>
      </c>
    </row>
    <row r="71" spans="1:17">
      <c r="A71" s="2">
        <v>2019</v>
      </c>
      <c r="B71" s="7">
        <v>0.95</v>
      </c>
      <c r="C71" s="7">
        <v>0.13</v>
      </c>
      <c r="D71" s="7">
        <v>0.7</v>
      </c>
      <c r="E71" s="7">
        <v>0.1</v>
      </c>
      <c r="F71" s="7">
        <v>0.09</v>
      </c>
      <c r="G71" s="7">
        <v>0.22</v>
      </c>
      <c r="H71" s="7">
        <v>0.15</v>
      </c>
      <c r="I71" s="7">
        <v>0.21</v>
      </c>
      <c r="J71" s="7">
        <v>0.18</v>
      </c>
      <c r="K71" s="7">
        <v>0.89</v>
      </c>
      <c r="L71" s="7">
        <v>1.35</v>
      </c>
      <c r="M71" s="7">
        <v>0.4</v>
      </c>
      <c r="N71" s="7">
        <v>0.36</v>
      </c>
      <c r="O71" s="7">
        <v>0.46</v>
      </c>
      <c r="P71" s="7">
        <v>0.8</v>
      </c>
      <c r="Q71" s="7">
        <v>0.01</v>
      </c>
    </row>
    <row r="72" spans="1:17">
      <c r="A72" s="2">
        <v>2020</v>
      </c>
      <c r="B72" s="7">
        <v>0.95</v>
      </c>
      <c r="C72" s="7">
        <v>0.13</v>
      </c>
      <c r="D72" s="7">
        <v>0.7</v>
      </c>
      <c r="E72" s="7">
        <v>0.1</v>
      </c>
      <c r="F72" s="7">
        <v>0.09</v>
      </c>
      <c r="G72" s="7">
        <v>0.22</v>
      </c>
      <c r="H72" s="7">
        <v>0.15</v>
      </c>
      <c r="I72" s="7">
        <v>0.21</v>
      </c>
      <c r="J72" s="7">
        <v>0.19</v>
      </c>
      <c r="K72" s="7">
        <v>0.89</v>
      </c>
      <c r="L72" s="7">
        <v>1.36</v>
      </c>
      <c r="M72" s="7">
        <v>0.4</v>
      </c>
      <c r="N72" s="7">
        <v>0.36</v>
      </c>
      <c r="O72" s="7">
        <v>0.47</v>
      </c>
      <c r="P72" s="7">
        <v>0.81</v>
      </c>
      <c r="Q72" s="7">
        <v>0.01</v>
      </c>
    </row>
    <row r="73" spans="1:17">
      <c r="A73" s="2">
        <v>2021</v>
      </c>
      <c r="B73" s="7">
        <v>0.95</v>
      </c>
      <c r="C73" s="7">
        <v>0.13</v>
      </c>
      <c r="D73" s="7">
        <v>0.7</v>
      </c>
      <c r="E73" s="7">
        <v>0.11</v>
      </c>
      <c r="F73" s="7">
        <v>0.09</v>
      </c>
      <c r="G73" s="7">
        <v>0.22</v>
      </c>
      <c r="H73" s="7">
        <v>0.15</v>
      </c>
      <c r="I73" s="7">
        <v>0.21</v>
      </c>
      <c r="J73" s="7">
        <v>0.19</v>
      </c>
      <c r="K73" s="7">
        <v>0.9</v>
      </c>
      <c r="L73" s="7">
        <v>1.37</v>
      </c>
      <c r="M73" s="7">
        <v>0.4</v>
      </c>
      <c r="N73" s="7">
        <v>0.36</v>
      </c>
      <c r="O73" s="7">
        <v>0.48</v>
      </c>
      <c r="P73" s="7">
        <v>0.82</v>
      </c>
      <c r="Q73" s="7">
        <v>0.01</v>
      </c>
    </row>
    <row r="74" spans="1:17">
      <c r="A74" s="2">
        <v>2022</v>
      </c>
      <c r="B74" s="7">
        <v>0.95</v>
      </c>
      <c r="C74" s="7">
        <v>0.13</v>
      </c>
      <c r="D74" s="7">
        <v>0.69</v>
      </c>
      <c r="E74" s="7">
        <v>0.11</v>
      </c>
      <c r="F74" s="7">
        <v>0.09</v>
      </c>
      <c r="G74" s="7">
        <v>0.22</v>
      </c>
      <c r="H74" s="7">
        <v>0.15</v>
      </c>
      <c r="I74" s="7">
        <v>0.22</v>
      </c>
      <c r="J74" s="7">
        <v>0.19</v>
      </c>
      <c r="K74" s="7">
        <v>0.91</v>
      </c>
      <c r="L74" s="7">
        <v>1.38</v>
      </c>
      <c r="M74" s="7">
        <v>0.41</v>
      </c>
      <c r="N74" s="7">
        <v>0.36</v>
      </c>
      <c r="O74" s="7">
        <v>0.48</v>
      </c>
      <c r="P74" s="7">
        <v>0.83</v>
      </c>
      <c r="Q74" s="7">
        <v>0.01</v>
      </c>
    </row>
    <row r="75" spans="1:17">
      <c r="A75" s="2">
        <v>2023</v>
      </c>
      <c r="B75" s="7">
        <v>0.95</v>
      </c>
      <c r="C75" s="7">
        <v>0.13</v>
      </c>
      <c r="D75" s="7">
        <v>0.69</v>
      </c>
      <c r="E75" s="7">
        <v>0.11</v>
      </c>
      <c r="F75" s="7">
        <v>0.09</v>
      </c>
      <c r="G75" s="7">
        <v>0.22</v>
      </c>
      <c r="H75" s="7">
        <v>0.15</v>
      </c>
      <c r="I75" s="7">
        <v>0.22</v>
      </c>
      <c r="J75" s="7">
        <v>0.19</v>
      </c>
      <c r="K75" s="7">
        <v>0.92</v>
      </c>
      <c r="L75" s="7">
        <v>1.39</v>
      </c>
      <c r="M75" s="7">
        <v>0.41</v>
      </c>
      <c r="N75" s="7">
        <v>0.36</v>
      </c>
      <c r="O75" s="7">
        <v>0.49</v>
      </c>
      <c r="P75" s="7">
        <v>0.84</v>
      </c>
      <c r="Q75" s="7">
        <v>0.01</v>
      </c>
    </row>
    <row r="76" spans="1:17">
      <c r="A76" s="2">
        <v>2024</v>
      </c>
      <c r="B76" s="7">
        <v>0.96</v>
      </c>
      <c r="C76" s="7">
        <v>0.13</v>
      </c>
      <c r="D76" s="7">
        <v>0.68</v>
      </c>
      <c r="E76" s="7">
        <v>0.11</v>
      </c>
      <c r="F76" s="7">
        <v>0.09</v>
      </c>
      <c r="G76" s="7">
        <v>0.22</v>
      </c>
      <c r="H76" s="7">
        <v>0.16</v>
      </c>
      <c r="I76" s="7">
        <v>0.23</v>
      </c>
      <c r="J76" s="7">
        <v>0.19</v>
      </c>
      <c r="K76" s="7">
        <v>0.93</v>
      </c>
      <c r="L76" s="7">
        <v>1.4</v>
      </c>
      <c r="M76" s="7">
        <v>0.41</v>
      </c>
      <c r="N76" s="7">
        <v>0.36</v>
      </c>
      <c r="O76" s="7">
        <v>0.49</v>
      </c>
      <c r="P76" s="7">
        <v>0.85</v>
      </c>
      <c r="Q76" s="7">
        <v>0.01</v>
      </c>
    </row>
    <row r="77" spans="1:17">
      <c r="A77" s="2">
        <v>2025</v>
      </c>
      <c r="B77" s="7">
        <v>0.95</v>
      </c>
      <c r="C77" s="7">
        <v>0.13</v>
      </c>
      <c r="D77" s="7">
        <v>0.68</v>
      </c>
      <c r="E77" s="7">
        <v>0.1</v>
      </c>
      <c r="F77" s="7">
        <v>0.09</v>
      </c>
      <c r="G77" s="7">
        <v>0.22</v>
      </c>
      <c r="H77" s="7">
        <v>0.16</v>
      </c>
      <c r="I77" s="7">
        <v>0.23</v>
      </c>
      <c r="J77" s="7">
        <v>0.19</v>
      </c>
      <c r="K77" s="7">
        <v>0.94</v>
      </c>
      <c r="L77" s="7">
        <v>1.41</v>
      </c>
      <c r="M77" s="7">
        <v>0.41</v>
      </c>
      <c r="N77" s="7">
        <v>0.36</v>
      </c>
      <c r="O77" s="7">
        <v>0.49</v>
      </c>
      <c r="P77" s="7">
        <v>0.85</v>
      </c>
      <c r="Q77" s="7">
        <v>0.01</v>
      </c>
    </row>
    <row r="78" spans="1:17">
      <c r="A78" s="2">
        <v>2026</v>
      </c>
      <c r="B78" s="7">
        <v>0.96</v>
      </c>
      <c r="C78" s="7">
        <v>0.13</v>
      </c>
      <c r="D78" s="7">
        <v>0.68</v>
      </c>
      <c r="E78" s="7">
        <v>0.11</v>
      </c>
      <c r="F78" s="7">
        <v>0.09</v>
      </c>
      <c r="G78" s="7">
        <v>0.22</v>
      </c>
      <c r="H78" s="7">
        <v>0.16</v>
      </c>
      <c r="I78" s="7">
        <v>0.24</v>
      </c>
      <c r="J78" s="7">
        <v>0.19</v>
      </c>
      <c r="K78" s="7">
        <v>0.95</v>
      </c>
      <c r="L78" s="7">
        <v>1.42</v>
      </c>
      <c r="M78" s="7">
        <v>0.42</v>
      </c>
      <c r="N78" s="7">
        <v>0.36</v>
      </c>
      <c r="O78" s="7">
        <v>0.5</v>
      </c>
      <c r="P78" s="7">
        <v>0.86</v>
      </c>
      <c r="Q78" s="7">
        <v>0.01</v>
      </c>
    </row>
    <row r="79" spans="1:17">
      <c r="A79" s="2">
        <v>2027</v>
      </c>
      <c r="B79" s="7">
        <v>0.96</v>
      </c>
      <c r="C79" s="7">
        <v>0.13</v>
      </c>
      <c r="D79" s="7">
        <v>0.67</v>
      </c>
      <c r="E79" s="7">
        <v>0.11</v>
      </c>
      <c r="F79" s="7">
        <v>0.09</v>
      </c>
      <c r="G79" s="7">
        <v>0.22</v>
      </c>
      <c r="H79" s="7">
        <v>0.16</v>
      </c>
      <c r="I79" s="7">
        <v>0.24</v>
      </c>
      <c r="J79" s="7">
        <v>0.2</v>
      </c>
      <c r="K79" s="7">
        <v>0.95</v>
      </c>
      <c r="L79" s="7">
        <v>1.43</v>
      </c>
      <c r="M79" s="7">
        <v>0.42</v>
      </c>
      <c r="N79" s="7">
        <v>0.36</v>
      </c>
      <c r="O79" s="7">
        <v>0.51</v>
      </c>
      <c r="P79" s="7">
        <v>0.87</v>
      </c>
      <c r="Q79" s="7">
        <v>0.01</v>
      </c>
    </row>
    <row r="80" spans="1:17">
      <c r="A80" s="2">
        <v>2028</v>
      </c>
      <c r="B80" s="7">
        <v>0.96</v>
      </c>
      <c r="C80" s="7">
        <v>0.13</v>
      </c>
      <c r="D80" s="7">
        <v>0.67</v>
      </c>
      <c r="E80" s="7">
        <v>0.11</v>
      </c>
      <c r="F80" s="7">
        <v>0.1</v>
      </c>
      <c r="G80" s="7">
        <v>0.22</v>
      </c>
      <c r="H80" s="7">
        <v>0.17</v>
      </c>
      <c r="I80" s="7">
        <v>0.25</v>
      </c>
      <c r="J80" s="7">
        <v>0.2</v>
      </c>
      <c r="K80" s="7">
        <v>0.96</v>
      </c>
      <c r="L80" s="7">
        <v>1.44</v>
      </c>
      <c r="M80" s="7">
        <v>0.42</v>
      </c>
      <c r="N80" s="7">
        <v>0.36</v>
      </c>
      <c r="O80" s="7">
        <v>0.51</v>
      </c>
      <c r="P80" s="7">
        <v>0.89</v>
      </c>
      <c r="Q80" s="7">
        <v>0.01</v>
      </c>
    </row>
    <row r="81" spans="1:17">
      <c r="A81" s="2">
        <v>2029</v>
      </c>
      <c r="B81" s="7">
        <v>0.96</v>
      </c>
      <c r="C81" s="7">
        <v>0.13</v>
      </c>
      <c r="D81" s="7">
        <v>0.67</v>
      </c>
      <c r="E81" s="7">
        <v>0.11</v>
      </c>
      <c r="F81" s="7">
        <v>0.1</v>
      </c>
      <c r="G81" s="7">
        <v>0.22</v>
      </c>
      <c r="H81" s="7">
        <v>0.17</v>
      </c>
      <c r="I81" s="7">
        <v>0.25</v>
      </c>
      <c r="J81" s="7">
        <v>0.2</v>
      </c>
      <c r="K81" s="7">
        <v>0.97</v>
      </c>
      <c r="L81" s="7">
        <v>1.46</v>
      </c>
      <c r="M81" s="7">
        <v>0.43</v>
      </c>
      <c r="N81" s="7">
        <v>0.36</v>
      </c>
      <c r="O81" s="7">
        <v>0.52</v>
      </c>
      <c r="P81" s="7">
        <v>0.9</v>
      </c>
      <c r="Q81" s="7">
        <v>0.01</v>
      </c>
    </row>
    <row r="82" spans="1:17">
      <c r="A82" s="2">
        <v>2030</v>
      </c>
      <c r="B82" s="7">
        <v>0.95</v>
      </c>
      <c r="C82" s="7">
        <v>0.13</v>
      </c>
      <c r="D82" s="7">
        <v>0.67</v>
      </c>
      <c r="E82" s="7">
        <v>0.11</v>
      </c>
      <c r="F82" s="7">
        <v>0.1</v>
      </c>
      <c r="G82" s="7">
        <v>0.22</v>
      </c>
      <c r="H82" s="7">
        <v>0.17</v>
      </c>
      <c r="I82" s="7">
        <v>0.26</v>
      </c>
      <c r="J82" s="7">
        <v>0.21</v>
      </c>
      <c r="K82" s="7">
        <v>0.97</v>
      </c>
      <c r="L82" s="7">
        <v>1.46</v>
      </c>
      <c r="M82" s="7">
        <v>0.43</v>
      </c>
      <c r="N82" s="7">
        <v>0.36</v>
      </c>
      <c r="O82" s="7">
        <v>0.52</v>
      </c>
      <c r="P82" s="7">
        <v>0.9</v>
      </c>
      <c r="Q82" s="7">
        <v>0.01</v>
      </c>
    </row>
    <row r="83" spans="1:17">
      <c r="A83" s="2">
        <v>2031</v>
      </c>
      <c r="B83" s="7">
        <v>0.95</v>
      </c>
      <c r="C83" s="7">
        <v>0.13</v>
      </c>
      <c r="D83" s="7">
        <v>0.67</v>
      </c>
      <c r="E83" s="7">
        <v>0.11</v>
      </c>
      <c r="F83" s="7">
        <v>0.1</v>
      </c>
      <c r="G83" s="7">
        <v>0.22</v>
      </c>
      <c r="H83" s="7">
        <v>0.17</v>
      </c>
      <c r="I83" s="7">
        <v>0.26</v>
      </c>
      <c r="J83" s="7">
        <v>0.21</v>
      </c>
      <c r="K83" s="7">
        <v>0.98</v>
      </c>
      <c r="L83" s="7">
        <v>1.48</v>
      </c>
      <c r="M83" s="7">
        <v>0.43</v>
      </c>
      <c r="N83" s="7">
        <v>0.36</v>
      </c>
      <c r="O83" s="7">
        <v>0.53</v>
      </c>
      <c r="P83" s="7">
        <v>0.92</v>
      </c>
      <c r="Q83" s="7">
        <v>0.01</v>
      </c>
    </row>
    <row r="84" spans="1:17">
      <c r="A84" s="2">
        <v>2032</v>
      </c>
      <c r="B84" s="7">
        <v>0.95</v>
      </c>
      <c r="C84" s="7">
        <v>0.13</v>
      </c>
      <c r="D84" s="7">
        <v>0.66</v>
      </c>
      <c r="E84" s="7">
        <v>0.11</v>
      </c>
      <c r="F84" s="7">
        <v>0.1</v>
      </c>
      <c r="G84" s="7">
        <v>0.22</v>
      </c>
      <c r="H84" s="7">
        <v>0.18</v>
      </c>
      <c r="I84" s="7">
        <v>0.27</v>
      </c>
      <c r="J84" s="7">
        <v>0.21</v>
      </c>
      <c r="K84" s="7">
        <v>0.99</v>
      </c>
      <c r="L84" s="7">
        <v>1.48</v>
      </c>
      <c r="M84" s="7">
        <v>0.44</v>
      </c>
      <c r="N84" s="7">
        <v>0.36</v>
      </c>
      <c r="O84" s="7">
        <v>0.53</v>
      </c>
      <c r="P84" s="7">
        <v>0.93</v>
      </c>
      <c r="Q84" s="7">
        <v>0.01</v>
      </c>
    </row>
    <row r="85" spans="1:17">
      <c r="A85" s="2">
        <v>2033</v>
      </c>
      <c r="B85" s="7">
        <v>0.95</v>
      </c>
      <c r="C85" s="7">
        <v>0.13</v>
      </c>
      <c r="D85" s="7">
        <v>0.66</v>
      </c>
      <c r="E85" s="7">
        <v>0.11</v>
      </c>
      <c r="F85" s="7">
        <v>0.1</v>
      </c>
      <c r="G85" s="7">
        <v>0.22</v>
      </c>
      <c r="H85" s="7">
        <v>0.18</v>
      </c>
      <c r="I85" s="7">
        <v>0.27</v>
      </c>
      <c r="J85" s="7">
        <v>0.21</v>
      </c>
      <c r="K85" s="7">
        <v>0.99</v>
      </c>
      <c r="L85" s="7">
        <v>1.49</v>
      </c>
      <c r="M85" s="7">
        <v>0.44</v>
      </c>
      <c r="N85" s="7">
        <v>0.37</v>
      </c>
      <c r="O85" s="7">
        <v>0.54</v>
      </c>
      <c r="P85" s="7">
        <v>0.94</v>
      </c>
      <c r="Q85" s="7">
        <v>0.01</v>
      </c>
    </row>
    <row r="86" spans="1:17">
      <c r="A86" s="2">
        <v>2034</v>
      </c>
      <c r="B86" s="7">
        <v>0.95</v>
      </c>
      <c r="C86" s="7">
        <v>0.13</v>
      </c>
      <c r="D86" s="7">
        <v>0.66</v>
      </c>
      <c r="E86" s="7">
        <v>0.11</v>
      </c>
      <c r="F86" s="7">
        <v>0.1</v>
      </c>
      <c r="G86" s="7">
        <v>0.22</v>
      </c>
      <c r="H86" s="7">
        <v>0.18</v>
      </c>
      <c r="I86" s="7">
        <v>0.27</v>
      </c>
      <c r="J86" s="7">
        <v>0.21</v>
      </c>
      <c r="K86" s="7">
        <v>1</v>
      </c>
      <c r="L86" s="7">
        <v>1.5</v>
      </c>
      <c r="M86" s="7">
        <v>0.44</v>
      </c>
      <c r="N86" s="7">
        <v>0.37</v>
      </c>
      <c r="O86" s="7">
        <v>0.54</v>
      </c>
      <c r="P86" s="7">
        <v>0.96</v>
      </c>
      <c r="Q86" s="7">
        <v>0.01</v>
      </c>
    </row>
    <row r="87" spans="1:17">
      <c r="A87" s="2">
        <v>2035</v>
      </c>
      <c r="B87" s="7">
        <v>0.95</v>
      </c>
      <c r="C87" s="7">
        <v>0.13</v>
      </c>
      <c r="D87" s="7">
        <v>0.66</v>
      </c>
      <c r="E87" s="7">
        <v>0.11</v>
      </c>
      <c r="F87" s="7">
        <v>0.1</v>
      </c>
      <c r="G87" s="7">
        <v>0.22</v>
      </c>
      <c r="H87" s="7">
        <v>0.19</v>
      </c>
      <c r="I87" s="7">
        <v>0.27</v>
      </c>
      <c r="J87" s="7">
        <v>0.21</v>
      </c>
      <c r="K87" s="7">
        <v>1.01</v>
      </c>
      <c r="L87" s="7">
        <v>1.49</v>
      </c>
      <c r="M87" s="7">
        <v>0.44</v>
      </c>
      <c r="N87" s="7">
        <v>0.37</v>
      </c>
      <c r="O87" s="7">
        <v>0.54</v>
      </c>
      <c r="P87" s="7">
        <v>0.97</v>
      </c>
      <c r="Q87" s="7">
        <v>0.01</v>
      </c>
    </row>
    <row r="88" spans="1:17">
      <c r="A88" s="2">
        <v>2036</v>
      </c>
      <c r="B88" s="7">
        <v>0.95</v>
      </c>
      <c r="C88" s="7">
        <v>0.13</v>
      </c>
      <c r="D88" s="7">
        <v>0.66</v>
      </c>
      <c r="E88" s="7">
        <v>0.11</v>
      </c>
      <c r="F88" s="7">
        <v>0.1</v>
      </c>
      <c r="G88" s="7">
        <v>0.22</v>
      </c>
      <c r="H88" s="7">
        <v>0.19</v>
      </c>
      <c r="I88" s="7">
        <v>0.28000000000000003</v>
      </c>
      <c r="J88" s="7">
        <v>0.21</v>
      </c>
      <c r="K88" s="7">
        <v>1.01</v>
      </c>
      <c r="L88" s="7">
        <v>1.51</v>
      </c>
      <c r="M88" s="7">
        <v>0.44</v>
      </c>
      <c r="N88" s="7">
        <v>0.37</v>
      </c>
      <c r="O88" s="7">
        <v>0.55000000000000004</v>
      </c>
      <c r="P88" s="7">
        <v>0.98</v>
      </c>
      <c r="Q88" s="7">
        <v>0.01</v>
      </c>
    </row>
    <row r="89" spans="1:17">
      <c r="A89" s="2">
        <v>2037</v>
      </c>
      <c r="B89" s="7">
        <v>0.95</v>
      </c>
      <c r="C89" s="7">
        <v>0.14000000000000001</v>
      </c>
      <c r="D89" s="7">
        <v>0.66</v>
      </c>
      <c r="E89" s="7">
        <v>0.11</v>
      </c>
      <c r="F89" s="7">
        <v>0.1</v>
      </c>
      <c r="G89" s="7">
        <v>0.22</v>
      </c>
      <c r="H89" s="7">
        <v>0.19</v>
      </c>
      <c r="I89" s="7">
        <v>0.28000000000000003</v>
      </c>
      <c r="J89" s="7">
        <v>0.21</v>
      </c>
      <c r="K89" s="7">
        <v>1.02</v>
      </c>
      <c r="L89" s="7">
        <v>1.52</v>
      </c>
      <c r="M89" s="7">
        <v>0.45</v>
      </c>
      <c r="N89" s="7">
        <v>0.37</v>
      </c>
      <c r="O89" s="7">
        <v>0.55000000000000004</v>
      </c>
      <c r="P89" s="7">
        <v>1</v>
      </c>
      <c r="Q89" s="7">
        <v>0.01</v>
      </c>
    </row>
    <row r="90" spans="1:17">
      <c r="A90" s="2">
        <v>2038</v>
      </c>
      <c r="B90" s="7">
        <v>0.95</v>
      </c>
      <c r="C90" s="7">
        <v>0.14000000000000001</v>
      </c>
      <c r="D90" s="7">
        <v>0.66</v>
      </c>
      <c r="E90" s="7">
        <v>0.11</v>
      </c>
      <c r="F90" s="7">
        <v>0.1</v>
      </c>
      <c r="G90" s="7">
        <v>0.22</v>
      </c>
      <c r="H90" s="7">
        <v>0.19</v>
      </c>
      <c r="I90" s="7">
        <v>0.28000000000000003</v>
      </c>
      <c r="J90" s="7">
        <v>0.22</v>
      </c>
      <c r="K90" s="7">
        <v>1.02</v>
      </c>
      <c r="L90" s="7">
        <v>1.53</v>
      </c>
      <c r="M90" s="7">
        <v>0.45</v>
      </c>
      <c r="N90" s="7">
        <v>0.37</v>
      </c>
      <c r="O90" s="7">
        <v>0.55000000000000004</v>
      </c>
      <c r="P90" s="7">
        <v>1.01</v>
      </c>
      <c r="Q90" s="7">
        <v>0.01</v>
      </c>
    </row>
    <row r="91" spans="1:17">
      <c r="A91" s="2">
        <v>2039</v>
      </c>
      <c r="B91" s="7">
        <v>0.95</v>
      </c>
      <c r="C91" s="7">
        <v>0.14000000000000001</v>
      </c>
      <c r="D91" s="7">
        <v>0.66</v>
      </c>
      <c r="E91" s="7">
        <v>0.11</v>
      </c>
      <c r="F91" s="7">
        <v>0.11</v>
      </c>
      <c r="G91" s="7">
        <v>0.22</v>
      </c>
      <c r="H91" s="7">
        <v>0.19</v>
      </c>
      <c r="I91" s="7">
        <v>0.28000000000000003</v>
      </c>
      <c r="J91" s="7">
        <v>0.22</v>
      </c>
      <c r="K91" s="7">
        <v>1.02</v>
      </c>
      <c r="L91" s="7">
        <v>1.53</v>
      </c>
      <c r="M91" s="7">
        <v>0.45</v>
      </c>
      <c r="N91" s="7">
        <v>0.37</v>
      </c>
      <c r="O91" s="7">
        <v>0.56000000000000005</v>
      </c>
      <c r="P91" s="7">
        <v>1.02</v>
      </c>
      <c r="Q91" s="7">
        <v>0.01</v>
      </c>
    </row>
    <row r="92" spans="1:17">
      <c r="A92" s="2">
        <v>2040</v>
      </c>
      <c r="B92" s="7">
        <v>0.94</v>
      </c>
      <c r="C92" s="7">
        <v>0.14000000000000001</v>
      </c>
      <c r="D92" s="7">
        <v>0.65</v>
      </c>
      <c r="E92" s="7">
        <v>0.11</v>
      </c>
      <c r="F92" s="7">
        <v>0.11</v>
      </c>
      <c r="G92" s="7">
        <v>0.21</v>
      </c>
      <c r="H92" s="7">
        <v>0.19</v>
      </c>
      <c r="I92" s="7">
        <v>0.28000000000000003</v>
      </c>
      <c r="J92" s="7">
        <v>0.22</v>
      </c>
      <c r="K92" s="7">
        <v>1.02</v>
      </c>
      <c r="L92" s="7">
        <v>1.54</v>
      </c>
      <c r="M92" s="7">
        <v>0.46</v>
      </c>
      <c r="N92" s="7">
        <v>0.36</v>
      </c>
      <c r="O92" s="7">
        <v>0.55000000000000004</v>
      </c>
      <c r="P92" s="7">
        <v>1.02</v>
      </c>
      <c r="Q92" s="7">
        <v>0.01</v>
      </c>
    </row>
    <row r="93" spans="1:17">
      <c r="A93" s="2">
        <v>2041</v>
      </c>
      <c r="B93" s="7">
        <v>0.95</v>
      </c>
      <c r="C93" s="7">
        <v>0.14000000000000001</v>
      </c>
      <c r="D93" s="7">
        <v>0.65</v>
      </c>
      <c r="E93" s="7">
        <v>0.11</v>
      </c>
      <c r="F93" s="7">
        <v>0.11</v>
      </c>
      <c r="G93" s="7">
        <v>0.21</v>
      </c>
      <c r="H93" s="7">
        <v>0.19</v>
      </c>
      <c r="I93" s="7">
        <v>0.28999999999999998</v>
      </c>
      <c r="J93" s="7">
        <v>0.22</v>
      </c>
      <c r="K93" s="7">
        <v>1.02</v>
      </c>
      <c r="L93" s="7">
        <v>1.55</v>
      </c>
      <c r="M93" s="7">
        <v>0.46</v>
      </c>
      <c r="N93" s="7">
        <v>0.37</v>
      </c>
      <c r="O93" s="7">
        <v>0.56000000000000005</v>
      </c>
      <c r="P93" s="7">
        <v>1.04</v>
      </c>
      <c r="Q93" s="7">
        <v>0.01</v>
      </c>
    </row>
    <row r="94" spans="1:17">
      <c r="A94" s="2">
        <v>2042</v>
      </c>
      <c r="B94" s="7">
        <v>0.96</v>
      </c>
      <c r="C94" s="7">
        <v>0.14000000000000001</v>
      </c>
      <c r="D94" s="7">
        <v>0.65</v>
      </c>
      <c r="E94" s="7">
        <v>0.11</v>
      </c>
      <c r="F94" s="7">
        <v>0.11</v>
      </c>
      <c r="G94" s="7">
        <v>0.21</v>
      </c>
      <c r="H94" s="7">
        <v>0.2</v>
      </c>
      <c r="I94" s="7">
        <v>0.28999999999999998</v>
      </c>
      <c r="J94" s="7">
        <v>0.22</v>
      </c>
      <c r="K94" s="7">
        <v>1.03</v>
      </c>
      <c r="L94" s="7">
        <v>1.56</v>
      </c>
      <c r="M94" s="7">
        <v>0.46</v>
      </c>
      <c r="N94" s="7">
        <v>0.37</v>
      </c>
      <c r="O94" s="7">
        <v>0.56999999999999995</v>
      </c>
      <c r="P94" s="7">
        <v>1.05</v>
      </c>
      <c r="Q94" s="7">
        <v>0.01</v>
      </c>
    </row>
    <row r="95" spans="1:17">
      <c r="A95" s="2">
        <v>2043</v>
      </c>
      <c r="B95" s="7">
        <v>0.96</v>
      </c>
      <c r="C95" s="7">
        <v>0.14000000000000001</v>
      </c>
      <c r="D95" s="7">
        <v>0.65</v>
      </c>
      <c r="E95" s="7">
        <v>0.11</v>
      </c>
      <c r="F95" s="7">
        <v>0.11</v>
      </c>
      <c r="G95" s="7">
        <v>0.21</v>
      </c>
      <c r="H95" s="7">
        <v>0.2</v>
      </c>
      <c r="I95" s="7">
        <v>0.28999999999999998</v>
      </c>
      <c r="J95" s="7">
        <v>0.22</v>
      </c>
      <c r="K95" s="7">
        <v>1.03</v>
      </c>
      <c r="L95" s="7">
        <v>1.56</v>
      </c>
      <c r="M95" s="7">
        <v>0.47</v>
      </c>
      <c r="N95" s="7">
        <v>0.37</v>
      </c>
      <c r="O95" s="7">
        <v>0.56999999999999995</v>
      </c>
      <c r="P95" s="7">
        <v>1.06</v>
      </c>
      <c r="Q95" s="7">
        <v>0.01</v>
      </c>
    </row>
    <row r="96" spans="1:17">
      <c r="A96" s="2">
        <v>2044</v>
      </c>
      <c r="B96" s="7">
        <v>0.97</v>
      </c>
      <c r="C96" s="7">
        <v>0.14000000000000001</v>
      </c>
      <c r="D96" s="7">
        <v>0.65</v>
      </c>
      <c r="E96" s="7">
        <v>0.11</v>
      </c>
      <c r="F96" s="7">
        <v>0.11</v>
      </c>
      <c r="G96" s="7">
        <v>0.21</v>
      </c>
      <c r="H96" s="7">
        <v>0.2</v>
      </c>
      <c r="I96" s="7">
        <v>0.28999999999999998</v>
      </c>
      <c r="J96" s="7">
        <v>0.22</v>
      </c>
      <c r="K96" s="7">
        <v>1.04</v>
      </c>
      <c r="L96" s="7">
        <v>1.57</v>
      </c>
      <c r="M96" s="7">
        <v>0.47</v>
      </c>
      <c r="N96" s="7">
        <v>0.37</v>
      </c>
      <c r="O96" s="7">
        <v>0.57999999999999996</v>
      </c>
      <c r="P96" s="7">
        <v>1.07</v>
      </c>
      <c r="Q96" s="7">
        <v>0.01</v>
      </c>
    </row>
    <row r="97" spans="1:17">
      <c r="A97" s="2">
        <v>2045</v>
      </c>
      <c r="B97" s="7">
        <v>0.97</v>
      </c>
      <c r="C97" s="7">
        <v>0.14000000000000001</v>
      </c>
      <c r="D97" s="7">
        <v>0.66</v>
      </c>
      <c r="E97" s="7">
        <v>0.11</v>
      </c>
      <c r="F97" s="7">
        <v>0.11</v>
      </c>
      <c r="G97" s="7">
        <v>0.21</v>
      </c>
      <c r="H97" s="7">
        <v>0.2</v>
      </c>
      <c r="I97" s="7">
        <v>0.28999999999999998</v>
      </c>
      <c r="J97" s="7">
        <v>0.22</v>
      </c>
      <c r="K97" s="7">
        <v>1.05</v>
      </c>
      <c r="L97" s="7">
        <v>1.57</v>
      </c>
      <c r="M97" s="7">
        <v>0.48</v>
      </c>
      <c r="N97" s="7">
        <v>0.37</v>
      </c>
      <c r="O97" s="7">
        <v>0.56999999999999995</v>
      </c>
      <c r="P97" s="7">
        <v>1.0900000000000001</v>
      </c>
      <c r="Q97" s="7">
        <v>0.01</v>
      </c>
    </row>
    <row r="98" spans="1:17">
      <c r="A98" s="2">
        <v>2046</v>
      </c>
      <c r="B98" s="7">
        <v>0.98</v>
      </c>
      <c r="C98" s="7">
        <v>0.14000000000000001</v>
      </c>
      <c r="D98" s="7">
        <v>0.66</v>
      </c>
      <c r="E98" s="7">
        <v>0.12</v>
      </c>
      <c r="F98" s="7">
        <v>0.11</v>
      </c>
      <c r="G98" s="7">
        <v>0.21</v>
      </c>
      <c r="H98" s="7">
        <v>0.2</v>
      </c>
      <c r="I98" s="7">
        <v>0.28999999999999998</v>
      </c>
      <c r="J98" s="7">
        <v>0.22</v>
      </c>
      <c r="K98" s="7">
        <v>1.05</v>
      </c>
      <c r="L98" s="7">
        <v>1.58</v>
      </c>
      <c r="M98" s="7">
        <v>0.48</v>
      </c>
      <c r="N98" s="7">
        <v>0.37</v>
      </c>
      <c r="O98" s="7">
        <v>0.57999999999999996</v>
      </c>
      <c r="P98" s="7">
        <v>1.1000000000000001</v>
      </c>
      <c r="Q98" s="7">
        <v>0.01</v>
      </c>
    </row>
    <row r="99" spans="1:17">
      <c r="A99" s="2">
        <v>2047</v>
      </c>
      <c r="B99" s="7">
        <v>0.98</v>
      </c>
      <c r="C99" s="7">
        <v>0.14000000000000001</v>
      </c>
      <c r="D99" s="7">
        <v>0.66</v>
      </c>
      <c r="E99" s="7">
        <v>0.12</v>
      </c>
      <c r="F99" s="7">
        <v>0.11</v>
      </c>
      <c r="G99" s="7">
        <v>0.21</v>
      </c>
      <c r="H99" s="7">
        <v>0.21</v>
      </c>
      <c r="I99" s="7">
        <v>0.3</v>
      </c>
      <c r="J99" s="7">
        <v>0.22</v>
      </c>
      <c r="K99" s="7">
        <v>1.06</v>
      </c>
      <c r="L99" s="7">
        <v>1.59</v>
      </c>
      <c r="M99" s="7">
        <v>0.48</v>
      </c>
      <c r="N99" s="7">
        <v>0.37</v>
      </c>
      <c r="O99" s="7">
        <v>0.59</v>
      </c>
      <c r="P99" s="7">
        <v>1.1000000000000001</v>
      </c>
      <c r="Q99" s="7">
        <v>0.01</v>
      </c>
    </row>
    <row r="100" spans="1:17">
      <c r="A100" s="2">
        <v>2048</v>
      </c>
      <c r="B100" s="7">
        <v>0.99</v>
      </c>
      <c r="C100" s="7">
        <v>0.14000000000000001</v>
      </c>
      <c r="D100" s="7">
        <v>0.66</v>
      </c>
      <c r="E100" s="7">
        <v>0.12</v>
      </c>
      <c r="F100" s="7">
        <v>0.11</v>
      </c>
      <c r="G100" s="7">
        <v>0.21</v>
      </c>
      <c r="H100" s="7">
        <v>0.21</v>
      </c>
      <c r="I100" s="7">
        <v>0.3</v>
      </c>
      <c r="J100" s="7">
        <v>0.22</v>
      </c>
      <c r="K100" s="7">
        <v>1.07</v>
      </c>
      <c r="L100" s="7">
        <v>1.61</v>
      </c>
      <c r="M100" s="7">
        <v>0.48</v>
      </c>
      <c r="N100" s="7">
        <v>0.37</v>
      </c>
      <c r="O100" s="7">
        <v>0.59</v>
      </c>
      <c r="P100" s="7">
        <v>1.1100000000000001</v>
      </c>
      <c r="Q100" s="7">
        <v>0.01</v>
      </c>
    </row>
    <row r="101" spans="1:17">
      <c r="A101" s="2">
        <v>2049</v>
      </c>
      <c r="B101" s="7">
        <v>0.99</v>
      </c>
      <c r="C101" s="7">
        <v>0.15</v>
      </c>
      <c r="D101" s="7">
        <v>0.66</v>
      </c>
      <c r="E101" s="7">
        <v>0.12</v>
      </c>
      <c r="F101" s="7">
        <v>0.11</v>
      </c>
      <c r="G101" s="7">
        <v>0.21</v>
      </c>
      <c r="H101" s="7">
        <v>0.21</v>
      </c>
      <c r="I101" s="7">
        <v>0.3</v>
      </c>
      <c r="J101" s="7">
        <v>0.22</v>
      </c>
      <c r="K101" s="7">
        <v>1.07</v>
      </c>
      <c r="L101" s="7">
        <v>1.62</v>
      </c>
      <c r="M101" s="7">
        <v>0.48</v>
      </c>
      <c r="N101" s="7">
        <v>0.37</v>
      </c>
      <c r="O101" s="7">
        <v>0.59</v>
      </c>
      <c r="P101" s="7">
        <v>1.1200000000000001</v>
      </c>
      <c r="Q101" s="7">
        <v>0.01</v>
      </c>
    </row>
    <row r="102" spans="1:17">
      <c r="A102" s="2">
        <v>2050</v>
      </c>
      <c r="B102" s="7">
        <v>1</v>
      </c>
      <c r="C102" s="7">
        <v>0.15</v>
      </c>
      <c r="D102" s="7">
        <v>0.66</v>
      </c>
      <c r="E102" s="7">
        <v>0.12</v>
      </c>
      <c r="F102" s="7">
        <v>0.11</v>
      </c>
      <c r="G102" s="7">
        <v>0.2</v>
      </c>
      <c r="H102" s="7">
        <v>0.21</v>
      </c>
      <c r="I102" s="7">
        <v>0.3</v>
      </c>
      <c r="J102" s="7">
        <v>0.22</v>
      </c>
      <c r="K102" s="7">
        <v>1.08</v>
      </c>
      <c r="L102" s="7">
        <v>1.63</v>
      </c>
      <c r="M102" s="7">
        <v>0.48</v>
      </c>
      <c r="N102" s="7">
        <v>0.37</v>
      </c>
      <c r="O102" s="7">
        <v>0.59</v>
      </c>
      <c r="P102" s="7">
        <v>1.1100000000000001</v>
      </c>
      <c r="Q102" s="7">
        <v>0.01</v>
      </c>
    </row>
    <row r="103" spans="1:17">
      <c r="A103" s="2">
        <v>2051</v>
      </c>
      <c r="B103" s="7">
        <v>1</v>
      </c>
      <c r="C103" s="7">
        <v>0.15</v>
      </c>
      <c r="D103" s="7">
        <v>0.66</v>
      </c>
      <c r="E103" s="7">
        <v>0.12</v>
      </c>
      <c r="F103" s="7">
        <v>0.11</v>
      </c>
      <c r="G103" s="7">
        <v>0.21</v>
      </c>
      <c r="H103" s="7">
        <v>0.21</v>
      </c>
      <c r="I103" s="7">
        <v>0.3</v>
      </c>
      <c r="J103" s="7">
        <v>0.23</v>
      </c>
      <c r="K103" s="7">
        <v>1.0900000000000001</v>
      </c>
      <c r="L103" s="7">
        <v>1.64</v>
      </c>
      <c r="M103" s="7">
        <v>0.48</v>
      </c>
      <c r="N103" s="7">
        <v>0.37</v>
      </c>
      <c r="O103" s="7">
        <v>0.6</v>
      </c>
      <c r="P103" s="7">
        <v>1.1299999999999999</v>
      </c>
      <c r="Q103" s="7">
        <v>0.01</v>
      </c>
    </row>
    <row r="104" spans="1:17">
      <c r="A104" s="2">
        <v>2052</v>
      </c>
      <c r="B104" s="7">
        <v>1.01</v>
      </c>
      <c r="C104" s="7">
        <v>0.15</v>
      </c>
      <c r="D104" s="7">
        <v>0.66</v>
      </c>
      <c r="E104" s="7">
        <v>0.12</v>
      </c>
      <c r="F104" s="7">
        <v>0.12</v>
      </c>
      <c r="G104" s="7">
        <v>0.2</v>
      </c>
      <c r="H104" s="7">
        <v>0.22</v>
      </c>
      <c r="I104" s="7">
        <v>0.3</v>
      </c>
      <c r="J104" s="7">
        <v>0.23</v>
      </c>
      <c r="K104" s="7">
        <v>1.1000000000000001</v>
      </c>
      <c r="L104" s="7">
        <v>1.65</v>
      </c>
      <c r="M104" s="7">
        <v>0.48</v>
      </c>
      <c r="N104" s="7">
        <v>0.37</v>
      </c>
      <c r="O104" s="7">
        <v>0.6</v>
      </c>
      <c r="P104" s="7">
        <v>1.1399999999999999</v>
      </c>
      <c r="Q104" s="7">
        <v>0.01</v>
      </c>
    </row>
    <row r="105" spans="1:17">
      <c r="A105" s="2">
        <v>2053</v>
      </c>
      <c r="B105" s="7">
        <v>1.01</v>
      </c>
      <c r="C105" s="7">
        <v>0.15</v>
      </c>
      <c r="D105" s="7">
        <v>0.66</v>
      </c>
      <c r="E105" s="7">
        <v>0.12</v>
      </c>
      <c r="F105" s="7">
        <v>0.12</v>
      </c>
      <c r="G105" s="7">
        <v>0.2</v>
      </c>
      <c r="H105" s="7">
        <v>0.22</v>
      </c>
      <c r="I105" s="7">
        <v>0.3</v>
      </c>
      <c r="J105" s="7">
        <v>0.23</v>
      </c>
      <c r="K105" s="7">
        <v>1.1100000000000001</v>
      </c>
      <c r="L105" s="7">
        <v>1.66</v>
      </c>
      <c r="M105" s="7">
        <v>0.49</v>
      </c>
      <c r="N105" s="7">
        <v>0.37</v>
      </c>
      <c r="O105" s="7">
        <v>0.61</v>
      </c>
      <c r="P105" s="7">
        <v>1.1499999999999999</v>
      </c>
      <c r="Q105" s="7">
        <v>0.01</v>
      </c>
    </row>
    <row r="106" spans="1:17">
      <c r="A106" s="2">
        <v>2054</v>
      </c>
      <c r="B106" s="7">
        <v>1.02</v>
      </c>
      <c r="C106" s="7">
        <v>0.15</v>
      </c>
      <c r="D106" s="7">
        <v>0.67</v>
      </c>
      <c r="E106" s="7">
        <v>0.12</v>
      </c>
      <c r="F106" s="7">
        <v>0.12</v>
      </c>
      <c r="G106" s="7">
        <v>0.2</v>
      </c>
      <c r="H106" s="7">
        <v>0.22</v>
      </c>
      <c r="I106" s="7">
        <v>0.3</v>
      </c>
      <c r="J106" s="7">
        <v>0.23</v>
      </c>
      <c r="K106" s="7">
        <v>1.1299999999999999</v>
      </c>
      <c r="L106" s="7">
        <v>1.67</v>
      </c>
      <c r="M106" s="7">
        <v>0.49</v>
      </c>
      <c r="N106" s="7">
        <v>0.37</v>
      </c>
      <c r="O106" s="7">
        <v>0.61</v>
      </c>
      <c r="P106" s="7">
        <v>1.1599999999999999</v>
      </c>
      <c r="Q106" s="7">
        <v>0.01</v>
      </c>
    </row>
    <row r="107" spans="1:17">
      <c r="A107" s="2">
        <v>2055</v>
      </c>
      <c r="B107" s="7">
        <v>1.03</v>
      </c>
      <c r="C107" s="7">
        <v>0.15</v>
      </c>
      <c r="D107" s="7">
        <v>0.67</v>
      </c>
      <c r="E107" s="7">
        <v>0.12</v>
      </c>
      <c r="F107" s="7">
        <v>0.12</v>
      </c>
      <c r="G107" s="7">
        <v>0.2</v>
      </c>
      <c r="H107" s="7">
        <v>0.22</v>
      </c>
      <c r="I107" s="7">
        <v>0.3</v>
      </c>
      <c r="J107" s="7">
        <v>0.23</v>
      </c>
      <c r="K107" s="7">
        <v>1.1499999999999999</v>
      </c>
      <c r="L107" s="7">
        <v>1.67</v>
      </c>
      <c r="M107" s="7">
        <v>0.48</v>
      </c>
      <c r="N107" s="7">
        <v>0.37</v>
      </c>
      <c r="O107" s="7">
        <v>0.61</v>
      </c>
      <c r="P107" s="7">
        <v>1.1599999999999999</v>
      </c>
      <c r="Q107" s="7">
        <v>0.01</v>
      </c>
    </row>
    <row r="108" spans="1:17">
      <c r="A108" s="2">
        <v>2056</v>
      </c>
      <c r="B108" s="7">
        <v>1.03</v>
      </c>
      <c r="C108" s="7">
        <v>0.15</v>
      </c>
      <c r="D108" s="7">
        <v>0.67</v>
      </c>
      <c r="E108" s="7">
        <v>0.12</v>
      </c>
      <c r="F108" s="7">
        <v>0.12</v>
      </c>
      <c r="G108" s="7">
        <v>0.2</v>
      </c>
      <c r="H108" s="7">
        <v>0.22</v>
      </c>
      <c r="I108" s="7">
        <v>0.31</v>
      </c>
      <c r="J108" s="7">
        <v>0.23</v>
      </c>
      <c r="K108" s="7">
        <v>1.1599999999999999</v>
      </c>
      <c r="L108" s="7">
        <v>1.68</v>
      </c>
      <c r="M108" s="7">
        <v>0.49</v>
      </c>
      <c r="N108" s="7">
        <v>0.37</v>
      </c>
      <c r="O108" s="7">
        <v>0.62</v>
      </c>
      <c r="P108" s="7">
        <v>1.18</v>
      </c>
      <c r="Q108" s="7">
        <v>0.01</v>
      </c>
    </row>
    <row r="109" spans="1:17">
      <c r="A109" s="2">
        <v>2057</v>
      </c>
      <c r="B109" s="7">
        <v>1.04</v>
      </c>
      <c r="C109" s="7">
        <v>0.15</v>
      </c>
      <c r="D109" s="7">
        <v>0.67</v>
      </c>
      <c r="E109" s="7">
        <v>0.12</v>
      </c>
      <c r="F109" s="7">
        <v>0.12</v>
      </c>
      <c r="G109" s="7">
        <v>0.2</v>
      </c>
      <c r="H109" s="7">
        <v>0.23</v>
      </c>
      <c r="I109" s="7">
        <v>0.31</v>
      </c>
      <c r="J109" s="7">
        <v>0.23</v>
      </c>
      <c r="K109" s="7">
        <v>1.1599999999999999</v>
      </c>
      <c r="L109" s="7">
        <v>1.69</v>
      </c>
      <c r="M109" s="7">
        <v>0.49</v>
      </c>
      <c r="N109" s="7">
        <v>0.38</v>
      </c>
      <c r="O109" s="7">
        <v>0.62</v>
      </c>
      <c r="P109" s="7">
        <v>1.19</v>
      </c>
      <c r="Q109" s="7">
        <v>0.01</v>
      </c>
    </row>
    <row r="110" spans="1:17">
      <c r="A110" s="2">
        <v>2058</v>
      </c>
      <c r="B110" s="7">
        <v>1.04</v>
      </c>
      <c r="C110" s="7">
        <v>0.16</v>
      </c>
      <c r="D110" s="7">
        <v>0.67</v>
      </c>
      <c r="E110" s="7">
        <v>0.12</v>
      </c>
      <c r="F110" s="7">
        <v>0.12</v>
      </c>
      <c r="G110" s="7">
        <v>0.2</v>
      </c>
      <c r="H110" s="7">
        <v>0.23</v>
      </c>
      <c r="I110" s="7">
        <v>0.31</v>
      </c>
      <c r="J110" s="7">
        <v>0.23</v>
      </c>
      <c r="K110" s="7">
        <v>1.17</v>
      </c>
      <c r="L110" s="7">
        <v>1.7</v>
      </c>
      <c r="M110" s="7">
        <v>0.49</v>
      </c>
      <c r="N110" s="7">
        <v>0.38</v>
      </c>
      <c r="O110" s="7">
        <v>0.62</v>
      </c>
      <c r="P110" s="7">
        <v>1.2</v>
      </c>
      <c r="Q110" s="7">
        <v>0.01</v>
      </c>
    </row>
    <row r="111" spans="1:17">
      <c r="A111" s="2">
        <v>2059</v>
      </c>
      <c r="B111" s="7">
        <v>1.05</v>
      </c>
      <c r="C111" s="7">
        <v>0.16</v>
      </c>
      <c r="D111" s="7">
        <v>0.67</v>
      </c>
      <c r="E111" s="7">
        <v>0.12</v>
      </c>
      <c r="F111" s="7">
        <v>0.12</v>
      </c>
      <c r="G111" s="7">
        <v>0.2</v>
      </c>
      <c r="H111" s="7">
        <v>0.23</v>
      </c>
      <c r="I111" s="7">
        <v>0.31</v>
      </c>
      <c r="J111" s="7">
        <v>0.23</v>
      </c>
      <c r="K111" s="7">
        <v>1.17</v>
      </c>
      <c r="L111" s="7">
        <v>1.71</v>
      </c>
      <c r="M111" s="7">
        <v>0.5</v>
      </c>
      <c r="N111" s="7">
        <v>0.38</v>
      </c>
      <c r="O111" s="7">
        <v>0.63</v>
      </c>
      <c r="P111" s="7">
        <v>1.21</v>
      </c>
      <c r="Q111" s="7">
        <v>0.01</v>
      </c>
    </row>
    <row r="112" spans="1:17">
      <c r="A112" s="2">
        <v>2060</v>
      </c>
      <c r="B112" s="7">
        <v>1.05</v>
      </c>
      <c r="C112" s="7">
        <v>0.16</v>
      </c>
      <c r="D112" s="7">
        <v>0.68</v>
      </c>
      <c r="E112" s="7">
        <v>0.12</v>
      </c>
      <c r="F112" s="7">
        <v>0.12</v>
      </c>
      <c r="G112" s="7">
        <v>0.2</v>
      </c>
      <c r="H112" s="7">
        <v>0.23</v>
      </c>
      <c r="I112" s="7">
        <v>0.31</v>
      </c>
      <c r="J112" s="7">
        <v>0.23</v>
      </c>
      <c r="K112" s="7">
        <v>1.17</v>
      </c>
      <c r="L112" s="7">
        <v>1.71</v>
      </c>
      <c r="M112" s="7">
        <v>0.5</v>
      </c>
      <c r="N112" s="7">
        <v>0.39</v>
      </c>
      <c r="O112" s="7">
        <v>0.63</v>
      </c>
      <c r="P112" s="7">
        <v>1.21</v>
      </c>
      <c r="Q112" s="7">
        <v>0.01</v>
      </c>
    </row>
    <row r="113" spans="1:17">
      <c r="A113" s="2">
        <v>2061</v>
      </c>
      <c r="B113" s="7">
        <v>1.06</v>
      </c>
      <c r="C113" s="7">
        <v>0.16</v>
      </c>
      <c r="D113" s="7">
        <v>0.68</v>
      </c>
      <c r="E113" s="7">
        <v>0.12</v>
      </c>
      <c r="F113" s="7">
        <v>0.12</v>
      </c>
      <c r="G113" s="7">
        <v>0.2</v>
      </c>
      <c r="H113" s="7">
        <v>0.23</v>
      </c>
      <c r="I113" s="7">
        <v>0.31</v>
      </c>
      <c r="J113" s="7">
        <v>0.23</v>
      </c>
      <c r="K113" s="7">
        <v>1.18</v>
      </c>
      <c r="L113" s="7">
        <v>1.73</v>
      </c>
      <c r="M113" s="7">
        <v>0.5</v>
      </c>
      <c r="N113" s="7">
        <v>0.39</v>
      </c>
      <c r="O113" s="7">
        <v>0.64</v>
      </c>
      <c r="P113" s="7">
        <v>1.23</v>
      </c>
      <c r="Q113" s="7">
        <v>0.01</v>
      </c>
    </row>
    <row r="114" spans="1:17">
      <c r="A114" s="2">
        <v>2062</v>
      </c>
      <c r="B114" s="7">
        <v>1.07</v>
      </c>
      <c r="C114" s="7">
        <v>0.16</v>
      </c>
      <c r="D114" s="7">
        <v>0.68</v>
      </c>
      <c r="E114" s="7">
        <v>0.12</v>
      </c>
      <c r="F114" s="7">
        <v>0.12</v>
      </c>
      <c r="G114" s="7">
        <v>0.2</v>
      </c>
      <c r="H114" s="7">
        <v>0.24</v>
      </c>
      <c r="I114" s="7">
        <v>0.32</v>
      </c>
      <c r="J114" s="7">
        <v>0.23</v>
      </c>
      <c r="K114" s="7">
        <v>1.18</v>
      </c>
      <c r="L114" s="7">
        <v>1.73</v>
      </c>
      <c r="M114" s="7">
        <v>0.5</v>
      </c>
      <c r="N114" s="7">
        <v>0.39</v>
      </c>
      <c r="O114" s="7">
        <v>0.64</v>
      </c>
      <c r="P114" s="7">
        <v>1.23</v>
      </c>
      <c r="Q114" s="7">
        <v>0.01</v>
      </c>
    </row>
    <row r="115" spans="1:17">
      <c r="A115" s="2">
        <v>2063</v>
      </c>
      <c r="B115" s="7">
        <v>1.08</v>
      </c>
      <c r="C115" s="7">
        <v>0.16</v>
      </c>
      <c r="D115" s="7">
        <v>0.68</v>
      </c>
      <c r="E115" s="7">
        <v>0.12</v>
      </c>
      <c r="F115" s="7">
        <v>0.12</v>
      </c>
      <c r="G115" s="7">
        <v>0.2</v>
      </c>
      <c r="H115" s="7">
        <v>0.24</v>
      </c>
      <c r="I115" s="7">
        <v>0.32</v>
      </c>
      <c r="J115" s="7">
        <v>0.23</v>
      </c>
      <c r="K115" s="7">
        <v>1.19</v>
      </c>
      <c r="L115" s="7">
        <v>1.73</v>
      </c>
      <c r="M115" s="7">
        <v>0.51</v>
      </c>
      <c r="N115" s="7">
        <v>0.39</v>
      </c>
      <c r="O115" s="7">
        <v>0.65</v>
      </c>
      <c r="P115" s="7">
        <v>1.24</v>
      </c>
      <c r="Q115" s="7">
        <v>0.01</v>
      </c>
    </row>
    <row r="116" spans="1:17">
      <c r="A116" s="2">
        <v>2064</v>
      </c>
      <c r="B116" s="7">
        <v>1.08</v>
      </c>
      <c r="C116" s="7">
        <v>0.16</v>
      </c>
      <c r="D116" s="7">
        <v>0.69</v>
      </c>
      <c r="E116" s="7">
        <v>0.12</v>
      </c>
      <c r="F116" s="7">
        <v>0.12</v>
      </c>
      <c r="G116" s="7">
        <v>0.2</v>
      </c>
      <c r="H116" s="7">
        <v>0.24</v>
      </c>
      <c r="I116" s="7">
        <v>0.32</v>
      </c>
      <c r="J116" s="7">
        <v>0.24</v>
      </c>
      <c r="K116" s="7">
        <v>1.19</v>
      </c>
      <c r="L116" s="7">
        <v>1.73</v>
      </c>
      <c r="M116" s="7">
        <v>0.51</v>
      </c>
      <c r="N116" s="7">
        <v>0.39</v>
      </c>
      <c r="O116" s="7">
        <v>0.65</v>
      </c>
      <c r="P116" s="7">
        <v>1.25</v>
      </c>
      <c r="Q116" s="7">
        <v>0.01</v>
      </c>
    </row>
    <row r="117" spans="1:17">
      <c r="A117" s="2">
        <v>2065</v>
      </c>
      <c r="B117" s="7">
        <v>1.0900000000000001</v>
      </c>
      <c r="C117" s="7">
        <v>0.16</v>
      </c>
      <c r="D117" s="7">
        <v>0.69</v>
      </c>
      <c r="E117" s="7">
        <v>0.12</v>
      </c>
      <c r="F117" s="7">
        <v>0.12</v>
      </c>
      <c r="G117" s="7">
        <v>0.2</v>
      </c>
      <c r="H117" s="7">
        <v>0.24</v>
      </c>
      <c r="I117" s="7">
        <v>0.32</v>
      </c>
      <c r="J117" s="7">
        <v>0.23</v>
      </c>
      <c r="K117" s="7">
        <v>1.2</v>
      </c>
      <c r="L117" s="7">
        <v>1.72</v>
      </c>
      <c r="M117" s="7">
        <v>0.51</v>
      </c>
      <c r="N117" s="7">
        <v>0.38</v>
      </c>
      <c r="O117" s="7">
        <v>0.65</v>
      </c>
      <c r="P117" s="7">
        <v>1.24</v>
      </c>
      <c r="Q117" s="7">
        <v>0.01</v>
      </c>
    </row>
    <row r="118" spans="1:17">
      <c r="A118" s="2">
        <v>2066</v>
      </c>
      <c r="B118" s="7">
        <v>1.1000000000000001</v>
      </c>
      <c r="C118" s="7">
        <v>0.17</v>
      </c>
      <c r="D118" s="7">
        <v>0.69</v>
      </c>
      <c r="E118" s="7">
        <v>0.12</v>
      </c>
      <c r="F118" s="7">
        <v>0.12</v>
      </c>
      <c r="G118" s="7">
        <v>0.2</v>
      </c>
      <c r="H118" s="7">
        <v>0.24</v>
      </c>
      <c r="I118" s="7">
        <v>0.32</v>
      </c>
      <c r="J118" s="7">
        <v>0.24</v>
      </c>
      <c r="K118" s="7">
        <v>1.21</v>
      </c>
      <c r="L118" s="7">
        <v>1.73</v>
      </c>
      <c r="M118" s="7">
        <v>0.52</v>
      </c>
      <c r="N118" s="7">
        <v>0.38</v>
      </c>
      <c r="O118" s="7">
        <v>0.66</v>
      </c>
      <c r="P118" s="7">
        <v>1.26</v>
      </c>
      <c r="Q118" s="7">
        <v>0.01</v>
      </c>
    </row>
    <row r="119" spans="1:17">
      <c r="A119" s="2">
        <v>2067</v>
      </c>
      <c r="B119" s="7">
        <v>1.1100000000000001</v>
      </c>
      <c r="C119" s="7">
        <v>0.17</v>
      </c>
      <c r="D119" s="7">
        <v>0.69</v>
      </c>
      <c r="E119" s="7">
        <v>0.12</v>
      </c>
      <c r="F119" s="7">
        <v>0.12</v>
      </c>
      <c r="G119" s="7">
        <v>0.2</v>
      </c>
      <c r="H119" s="7">
        <v>0.24</v>
      </c>
      <c r="I119" s="7">
        <v>0.32</v>
      </c>
      <c r="J119" s="7">
        <v>0.24</v>
      </c>
      <c r="K119" s="7">
        <v>1.21</v>
      </c>
      <c r="L119" s="7">
        <v>1.73</v>
      </c>
      <c r="M119" s="7">
        <v>0.52</v>
      </c>
      <c r="N119" s="7">
        <v>0.38</v>
      </c>
      <c r="O119" s="7">
        <v>0.66</v>
      </c>
      <c r="P119" s="7">
        <v>1.26</v>
      </c>
      <c r="Q119" s="7">
        <v>0.01</v>
      </c>
    </row>
    <row r="120" spans="1:17">
      <c r="A120" s="2">
        <v>2068</v>
      </c>
      <c r="B120" s="7">
        <v>1.1200000000000001</v>
      </c>
      <c r="C120" s="7">
        <v>0.17</v>
      </c>
      <c r="D120" s="7">
        <v>0.7</v>
      </c>
      <c r="E120" s="7">
        <v>0.12</v>
      </c>
      <c r="F120" s="7">
        <v>0.12</v>
      </c>
      <c r="G120" s="7">
        <v>0.2</v>
      </c>
      <c r="H120" s="7">
        <v>0.25</v>
      </c>
      <c r="I120" s="7">
        <v>0.32</v>
      </c>
      <c r="J120" s="7">
        <v>0.24</v>
      </c>
      <c r="K120" s="7">
        <v>1.22</v>
      </c>
      <c r="L120" s="7">
        <v>1.74</v>
      </c>
      <c r="M120" s="7">
        <v>0.53</v>
      </c>
      <c r="N120" s="7">
        <v>0.38</v>
      </c>
      <c r="O120" s="7">
        <v>0.67</v>
      </c>
      <c r="P120" s="7">
        <v>1.27</v>
      </c>
      <c r="Q120" s="7">
        <v>0.01</v>
      </c>
    </row>
    <row r="121" spans="1:17">
      <c r="A121" s="2">
        <v>2069</v>
      </c>
      <c r="B121" s="7">
        <v>1.1200000000000001</v>
      </c>
      <c r="C121" s="7">
        <v>0.17</v>
      </c>
      <c r="D121" s="7">
        <v>0.7</v>
      </c>
      <c r="E121" s="7">
        <v>0.12</v>
      </c>
      <c r="F121" s="7">
        <v>0.12</v>
      </c>
      <c r="G121" s="7">
        <v>0.2</v>
      </c>
      <c r="H121" s="7">
        <v>0.25</v>
      </c>
      <c r="I121" s="7">
        <v>0.32</v>
      </c>
      <c r="J121" s="7">
        <v>0.24</v>
      </c>
      <c r="K121" s="7">
        <v>1.23</v>
      </c>
      <c r="L121" s="7">
        <v>1.74</v>
      </c>
      <c r="M121" s="7">
        <v>0.54</v>
      </c>
      <c r="N121" s="7">
        <v>0.39</v>
      </c>
      <c r="O121" s="7">
        <v>0.67</v>
      </c>
      <c r="P121" s="7">
        <v>1.28</v>
      </c>
      <c r="Q121" s="7">
        <v>0.01</v>
      </c>
    </row>
    <row r="122" spans="1:17">
      <c r="A122" s="2">
        <v>2070</v>
      </c>
      <c r="B122" s="7">
        <v>1.1299999999999999</v>
      </c>
      <c r="C122" s="7">
        <v>0.17</v>
      </c>
      <c r="D122" s="7">
        <v>0.71</v>
      </c>
      <c r="E122" s="7">
        <v>0.12</v>
      </c>
      <c r="F122" s="7">
        <v>0.12</v>
      </c>
      <c r="G122" s="7">
        <v>0.2</v>
      </c>
      <c r="H122" s="7">
        <v>0.25</v>
      </c>
      <c r="I122" s="7">
        <v>0.32</v>
      </c>
      <c r="J122" s="7">
        <v>0.24</v>
      </c>
      <c r="K122" s="7">
        <v>1.24</v>
      </c>
      <c r="L122" s="7">
        <v>1.74</v>
      </c>
      <c r="M122" s="7">
        <v>0.55000000000000004</v>
      </c>
      <c r="N122" s="7">
        <v>0.38</v>
      </c>
      <c r="O122" s="7">
        <v>0.66</v>
      </c>
      <c r="P122" s="7">
        <v>1.27</v>
      </c>
      <c r="Q122" s="7">
        <v>0.01</v>
      </c>
    </row>
    <row r="123" spans="1:17">
      <c r="A123" s="2">
        <v>2071</v>
      </c>
      <c r="B123" s="7">
        <v>1.1399999999999999</v>
      </c>
      <c r="C123" s="7">
        <v>0.17</v>
      </c>
      <c r="D123" s="7">
        <v>0.71</v>
      </c>
      <c r="E123" s="7">
        <v>0.12</v>
      </c>
      <c r="F123" s="7">
        <v>0.12</v>
      </c>
      <c r="G123" s="7">
        <v>0.2</v>
      </c>
      <c r="H123" s="7">
        <v>0.25</v>
      </c>
      <c r="I123" s="7">
        <v>0.33</v>
      </c>
      <c r="J123" s="7">
        <v>0.24</v>
      </c>
      <c r="K123" s="7">
        <v>1.25</v>
      </c>
      <c r="L123" s="7">
        <v>1.75</v>
      </c>
      <c r="M123" s="7">
        <v>0.55000000000000004</v>
      </c>
      <c r="N123" s="7">
        <v>0.39</v>
      </c>
      <c r="O123" s="7">
        <v>0.67</v>
      </c>
      <c r="P123" s="7">
        <v>1.29</v>
      </c>
      <c r="Q123" s="7">
        <v>0.01</v>
      </c>
    </row>
    <row r="124" spans="1:17">
      <c r="A124" s="2">
        <v>2072</v>
      </c>
      <c r="B124" s="7">
        <v>1.1499999999999999</v>
      </c>
      <c r="C124" s="7">
        <v>0.17</v>
      </c>
      <c r="D124" s="7">
        <v>0.71</v>
      </c>
      <c r="E124" s="7">
        <v>0.12</v>
      </c>
      <c r="F124" s="7">
        <v>0.12</v>
      </c>
      <c r="G124" s="7">
        <v>0.2</v>
      </c>
      <c r="H124" s="7">
        <v>0.25</v>
      </c>
      <c r="I124" s="7">
        <v>0.33</v>
      </c>
      <c r="J124" s="7">
        <v>0.24</v>
      </c>
      <c r="K124" s="7">
        <v>1.25</v>
      </c>
      <c r="L124" s="7">
        <v>1.76</v>
      </c>
      <c r="M124" s="7">
        <v>0.56000000000000005</v>
      </c>
      <c r="N124" s="7">
        <v>0.39</v>
      </c>
      <c r="O124" s="7">
        <v>0.67</v>
      </c>
      <c r="P124" s="7">
        <v>1.29</v>
      </c>
      <c r="Q124" s="7">
        <v>0.01</v>
      </c>
    </row>
    <row r="125" spans="1:17">
      <c r="A125" s="2">
        <v>2073</v>
      </c>
      <c r="B125" s="7">
        <v>1.1499999999999999</v>
      </c>
      <c r="C125" s="7">
        <v>0.17</v>
      </c>
      <c r="D125" s="7">
        <v>0.71</v>
      </c>
      <c r="E125" s="7">
        <v>0.12</v>
      </c>
      <c r="F125" s="7">
        <v>0.12</v>
      </c>
      <c r="G125" s="7">
        <v>0.2</v>
      </c>
      <c r="H125" s="7">
        <v>0.25</v>
      </c>
      <c r="I125" s="7">
        <v>0.33</v>
      </c>
      <c r="J125" s="7">
        <v>0.24</v>
      </c>
      <c r="K125" s="7">
        <v>1.26</v>
      </c>
      <c r="L125" s="7">
        <v>1.76</v>
      </c>
      <c r="M125" s="7">
        <v>0.56000000000000005</v>
      </c>
      <c r="N125" s="7">
        <v>0.39</v>
      </c>
      <c r="O125" s="7">
        <v>0.68</v>
      </c>
      <c r="P125" s="7">
        <v>1.29</v>
      </c>
      <c r="Q125" s="7">
        <v>0.01</v>
      </c>
    </row>
    <row r="126" spans="1:17">
      <c r="A126" s="2">
        <v>2074</v>
      </c>
      <c r="B126" s="7">
        <v>1.1599999999999999</v>
      </c>
      <c r="C126" s="7">
        <v>0.18</v>
      </c>
      <c r="D126" s="7">
        <v>0.72</v>
      </c>
      <c r="E126" s="7">
        <v>0.12</v>
      </c>
      <c r="F126" s="7">
        <v>0.12</v>
      </c>
      <c r="G126" s="7">
        <v>0.2</v>
      </c>
      <c r="H126" s="7">
        <v>0.26</v>
      </c>
      <c r="I126" s="7">
        <v>0.33</v>
      </c>
      <c r="J126" s="7">
        <v>0.25</v>
      </c>
      <c r="K126" s="7">
        <v>1.26</v>
      </c>
      <c r="L126" s="7">
        <v>1.77</v>
      </c>
      <c r="M126" s="7">
        <v>0.56000000000000005</v>
      </c>
      <c r="N126" s="7">
        <v>0.39</v>
      </c>
      <c r="O126" s="7">
        <v>0.68</v>
      </c>
      <c r="P126" s="7">
        <v>1.29</v>
      </c>
      <c r="Q126" s="7">
        <v>0.01</v>
      </c>
    </row>
    <row r="127" spans="1:17">
      <c r="A127" s="2">
        <v>2075</v>
      </c>
      <c r="B127" s="7">
        <v>1.17</v>
      </c>
      <c r="C127" s="7">
        <v>0.18</v>
      </c>
      <c r="D127" s="7">
        <v>0.73</v>
      </c>
      <c r="E127" s="7">
        <v>0.12</v>
      </c>
      <c r="F127" s="7">
        <v>0.12</v>
      </c>
      <c r="G127" s="7">
        <v>0.2</v>
      </c>
      <c r="H127" s="7">
        <v>0.26</v>
      </c>
      <c r="I127" s="7">
        <v>0.33</v>
      </c>
      <c r="J127" s="7">
        <v>0.25</v>
      </c>
      <c r="K127" s="7">
        <v>1.27</v>
      </c>
      <c r="L127" s="7">
        <v>1.76</v>
      </c>
      <c r="M127" s="7">
        <v>0.56000000000000005</v>
      </c>
      <c r="N127" s="7">
        <v>0.39</v>
      </c>
      <c r="O127" s="7">
        <v>0.67</v>
      </c>
      <c r="P127" s="7">
        <v>1.28</v>
      </c>
      <c r="Q127" s="7">
        <v>0.01</v>
      </c>
    </row>
    <row r="128" spans="1:17">
      <c r="A128" s="2">
        <v>2076</v>
      </c>
      <c r="B128" s="7">
        <v>1.18</v>
      </c>
      <c r="C128" s="7">
        <v>0.18</v>
      </c>
      <c r="D128" s="7">
        <v>0.73</v>
      </c>
      <c r="E128" s="7">
        <v>0.12</v>
      </c>
      <c r="F128" s="7">
        <v>0.12</v>
      </c>
      <c r="G128" s="7">
        <v>0.2</v>
      </c>
      <c r="H128" s="7">
        <v>0.26</v>
      </c>
      <c r="I128" s="7">
        <v>0.33</v>
      </c>
      <c r="J128" s="7">
        <v>0.25</v>
      </c>
      <c r="K128" s="7">
        <v>1.27</v>
      </c>
      <c r="L128" s="7">
        <v>1.77</v>
      </c>
      <c r="M128" s="7">
        <v>0.56999999999999995</v>
      </c>
      <c r="N128" s="7">
        <v>0.39</v>
      </c>
      <c r="O128" s="7">
        <v>0.68</v>
      </c>
      <c r="P128" s="7">
        <v>1.3</v>
      </c>
      <c r="Q128" s="7">
        <v>0.01</v>
      </c>
    </row>
    <row r="129" spans="1:17">
      <c r="A129" s="2">
        <v>2077</v>
      </c>
      <c r="B129" s="7">
        <v>1.19</v>
      </c>
      <c r="C129" s="7">
        <v>0.18</v>
      </c>
      <c r="D129" s="7">
        <v>0.73</v>
      </c>
      <c r="E129" s="7">
        <v>0.13</v>
      </c>
      <c r="F129" s="7">
        <v>0.12</v>
      </c>
      <c r="G129" s="7">
        <v>0.2</v>
      </c>
      <c r="H129" s="7">
        <v>0.26</v>
      </c>
      <c r="I129" s="7">
        <v>0.33</v>
      </c>
      <c r="J129" s="7">
        <v>0.25</v>
      </c>
      <c r="K129" s="7">
        <v>1.28</v>
      </c>
      <c r="L129" s="7">
        <v>1.78</v>
      </c>
      <c r="M129" s="7">
        <v>0.56999999999999995</v>
      </c>
      <c r="N129" s="7">
        <v>0.39</v>
      </c>
      <c r="O129" s="7">
        <v>0.68</v>
      </c>
      <c r="P129" s="7">
        <v>1.3</v>
      </c>
      <c r="Q129" s="7">
        <v>0.01</v>
      </c>
    </row>
    <row r="130" spans="1:17">
      <c r="A130" s="2">
        <v>2078</v>
      </c>
      <c r="B130" s="7">
        <v>1.2</v>
      </c>
      <c r="C130" s="7">
        <v>0.18</v>
      </c>
      <c r="D130" s="7">
        <v>0.73</v>
      </c>
      <c r="E130" s="7">
        <v>0.13</v>
      </c>
      <c r="F130" s="7">
        <v>0.13</v>
      </c>
      <c r="G130" s="7">
        <v>0.2</v>
      </c>
      <c r="H130" s="7">
        <v>0.27</v>
      </c>
      <c r="I130" s="7">
        <v>0.33</v>
      </c>
      <c r="J130" s="7">
        <v>0.25</v>
      </c>
      <c r="K130" s="7">
        <v>1.29</v>
      </c>
      <c r="L130" s="7">
        <v>1.78</v>
      </c>
      <c r="M130" s="7">
        <v>0.56999999999999995</v>
      </c>
      <c r="N130" s="7">
        <v>0.39</v>
      </c>
      <c r="O130" s="7">
        <v>0.68</v>
      </c>
      <c r="P130" s="7">
        <v>1.31</v>
      </c>
      <c r="Q130" s="7">
        <v>0.01</v>
      </c>
    </row>
    <row r="131" spans="1:17">
      <c r="A131" s="2">
        <v>2079</v>
      </c>
      <c r="B131" s="7">
        <v>1.21</v>
      </c>
      <c r="C131" s="7">
        <v>0.18</v>
      </c>
      <c r="D131" s="7">
        <v>0.74</v>
      </c>
      <c r="E131" s="7">
        <v>0.13</v>
      </c>
      <c r="F131" s="7">
        <v>0.13</v>
      </c>
      <c r="G131" s="7">
        <v>0.2</v>
      </c>
      <c r="H131" s="7">
        <v>0.27</v>
      </c>
      <c r="I131" s="7">
        <v>0.34</v>
      </c>
      <c r="J131" s="7">
        <v>0.25</v>
      </c>
      <c r="K131" s="7">
        <v>1.29</v>
      </c>
      <c r="L131" s="7">
        <v>1.78</v>
      </c>
      <c r="M131" s="7">
        <v>0.56999999999999995</v>
      </c>
      <c r="N131" s="7">
        <v>0.39</v>
      </c>
      <c r="O131" s="7">
        <v>0.68</v>
      </c>
      <c r="P131" s="7">
        <v>1.31</v>
      </c>
      <c r="Q131" s="7">
        <v>0.01</v>
      </c>
    </row>
    <row r="132" spans="1:17">
      <c r="A132" s="2">
        <v>2080</v>
      </c>
      <c r="B132" s="7">
        <v>1.22</v>
      </c>
      <c r="C132" s="7">
        <v>0.19</v>
      </c>
      <c r="D132" s="7">
        <v>0.74</v>
      </c>
      <c r="E132" s="7">
        <v>0.12</v>
      </c>
      <c r="F132" s="7">
        <v>0.13</v>
      </c>
      <c r="G132" s="7">
        <v>0.2</v>
      </c>
      <c r="H132" s="7">
        <v>0.27</v>
      </c>
      <c r="I132" s="7">
        <v>0.33</v>
      </c>
      <c r="J132" s="7">
        <v>0.24</v>
      </c>
      <c r="K132" s="7">
        <v>1.3</v>
      </c>
      <c r="L132" s="7">
        <v>1.77</v>
      </c>
      <c r="M132" s="7">
        <v>0.56000000000000005</v>
      </c>
      <c r="N132" s="7">
        <v>0.4</v>
      </c>
      <c r="O132" s="7">
        <v>0.67</v>
      </c>
      <c r="P132" s="7">
        <v>1.3</v>
      </c>
      <c r="Q132" s="7">
        <v>0.01</v>
      </c>
    </row>
    <row r="133" spans="1:17">
      <c r="A133" s="2">
        <v>2081</v>
      </c>
      <c r="B133" s="7">
        <v>1.23</v>
      </c>
      <c r="C133" s="7">
        <v>0.19</v>
      </c>
      <c r="D133" s="7">
        <v>0.74</v>
      </c>
      <c r="E133" s="7">
        <v>0.13</v>
      </c>
      <c r="F133" s="7">
        <v>0.13</v>
      </c>
      <c r="G133" s="7">
        <v>0.2</v>
      </c>
      <c r="H133" s="7">
        <v>0.27</v>
      </c>
      <c r="I133" s="7">
        <v>0.34</v>
      </c>
      <c r="J133" s="7">
        <v>0.25</v>
      </c>
      <c r="K133" s="7">
        <v>1.3</v>
      </c>
      <c r="L133" s="7">
        <v>1.79</v>
      </c>
      <c r="M133" s="7">
        <v>0.56999999999999995</v>
      </c>
      <c r="N133" s="7">
        <v>0.4</v>
      </c>
      <c r="O133" s="7">
        <v>0.69</v>
      </c>
      <c r="P133" s="7">
        <v>1.32</v>
      </c>
      <c r="Q133" s="7">
        <v>0.01</v>
      </c>
    </row>
    <row r="134" spans="1:17">
      <c r="A134" s="2">
        <v>2082</v>
      </c>
      <c r="B134" s="7">
        <v>1.24</v>
      </c>
      <c r="C134" s="7">
        <v>0.19</v>
      </c>
      <c r="D134" s="7">
        <v>0.75</v>
      </c>
      <c r="E134" s="7">
        <v>0.13</v>
      </c>
      <c r="F134" s="7">
        <v>0.13</v>
      </c>
      <c r="G134" s="7">
        <v>0.2</v>
      </c>
      <c r="H134" s="7">
        <v>0.27</v>
      </c>
      <c r="I134" s="7">
        <v>0.34</v>
      </c>
      <c r="J134" s="7">
        <v>0.25</v>
      </c>
      <c r="K134" s="7">
        <v>1.32</v>
      </c>
      <c r="L134" s="7">
        <v>1.79</v>
      </c>
      <c r="M134" s="7">
        <v>0.56999999999999995</v>
      </c>
      <c r="N134" s="7">
        <v>0.4</v>
      </c>
      <c r="O134" s="7">
        <v>0.69</v>
      </c>
      <c r="P134" s="7">
        <v>1.32</v>
      </c>
      <c r="Q134" s="7">
        <v>0.01</v>
      </c>
    </row>
    <row r="135" spans="1:17">
      <c r="A135" s="2">
        <v>2083</v>
      </c>
      <c r="B135" s="7">
        <v>1.25</v>
      </c>
      <c r="C135" s="7">
        <v>0.19</v>
      </c>
      <c r="D135" s="7">
        <v>0.75</v>
      </c>
      <c r="E135" s="7">
        <v>0.13</v>
      </c>
      <c r="F135" s="7">
        <v>0.13</v>
      </c>
      <c r="G135" s="7">
        <v>0.2</v>
      </c>
      <c r="H135" s="7">
        <v>0.28000000000000003</v>
      </c>
      <c r="I135" s="7">
        <v>0.34</v>
      </c>
      <c r="J135" s="7">
        <v>0.25</v>
      </c>
      <c r="K135" s="7">
        <v>1.33</v>
      </c>
      <c r="L135" s="7">
        <v>1.8</v>
      </c>
      <c r="M135" s="7">
        <v>0.56999999999999995</v>
      </c>
      <c r="N135" s="7">
        <v>0.4</v>
      </c>
      <c r="O135" s="7">
        <v>0.69</v>
      </c>
      <c r="P135" s="7">
        <v>1.32</v>
      </c>
      <c r="Q135" s="7">
        <v>0.01</v>
      </c>
    </row>
    <row r="136" spans="1:17">
      <c r="A136" s="2">
        <v>2084</v>
      </c>
      <c r="B136" s="7">
        <v>1.26</v>
      </c>
      <c r="C136" s="7">
        <v>0.19</v>
      </c>
      <c r="D136" s="7">
        <v>0.76</v>
      </c>
      <c r="E136" s="7">
        <v>0.13</v>
      </c>
      <c r="F136" s="7">
        <v>0.13</v>
      </c>
      <c r="G136" s="7">
        <v>0.2</v>
      </c>
      <c r="H136" s="7">
        <v>0.28000000000000003</v>
      </c>
      <c r="I136" s="7">
        <v>0.34</v>
      </c>
      <c r="J136" s="7">
        <v>0.25</v>
      </c>
      <c r="K136" s="7">
        <v>1.35</v>
      </c>
      <c r="L136" s="7">
        <v>1.81</v>
      </c>
      <c r="M136" s="7">
        <v>0.57999999999999996</v>
      </c>
      <c r="N136" s="7">
        <v>0.4</v>
      </c>
      <c r="O136" s="7">
        <v>0.69</v>
      </c>
      <c r="P136" s="7">
        <v>1.32</v>
      </c>
      <c r="Q136" s="7">
        <v>0.01</v>
      </c>
    </row>
    <row r="137" spans="1:17">
      <c r="A137" s="2">
        <v>2085</v>
      </c>
      <c r="B137" s="7">
        <v>1.28</v>
      </c>
      <c r="C137" s="7">
        <v>0.19</v>
      </c>
      <c r="D137" s="7">
        <v>0.77</v>
      </c>
      <c r="E137" s="7">
        <v>0.13</v>
      </c>
      <c r="F137" s="7">
        <v>0.13</v>
      </c>
      <c r="G137" s="7">
        <v>0.2</v>
      </c>
      <c r="H137" s="7">
        <v>0.28000000000000003</v>
      </c>
      <c r="I137" s="7">
        <v>0.34</v>
      </c>
      <c r="J137" s="7">
        <v>0.25</v>
      </c>
      <c r="K137" s="7">
        <v>1.37</v>
      </c>
      <c r="L137" s="7">
        <v>1.81</v>
      </c>
      <c r="M137" s="7">
        <v>0.57999999999999996</v>
      </c>
      <c r="N137" s="7">
        <v>0.4</v>
      </c>
      <c r="O137" s="7">
        <v>0.68</v>
      </c>
      <c r="P137" s="7">
        <v>1.32</v>
      </c>
      <c r="Q137" s="7">
        <v>0.01</v>
      </c>
    </row>
    <row r="138" spans="1:17">
      <c r="A138" s="2">
        <v>2086</v>
      </c>
      <c r="B138" s="7">
        <v>1.28</v>
      </c>
      <c r="C138" s="7">
        <v>0.19</v>
      </c>
      <c r="D138" s="7">
        <v>0.77</v>
      </c>
      <c r="E138" s="7">
        <v>0.13</v>
      </c>
      <c r="F138" s="7">
        <v>0.13</v>
      </c>
      <c r="G138" s="7">
        <v>0.2</v>
      </c>
      <c r="H138" s="7">
        <v>0.28000000000000003</v>
      </c>
      <c r="I138" s="7">
        <v>0.34</v>
      </c>
      <c r="J138" s="7">
        <v>0.25</v>
      </c>
      <c r="K138" s="7">
        <v>1.38</v>
      </c>
      <c r="L138" s="7">
        <v>1.82</v>
      </c>
      <c r="M138" s="7">
        <v>0.57999999999999996</v>
      </c>
      <c r="N138" s="7">
        <v>0.4</v>
      </c>
      <c r="O138" s="7">
        <v>0.69</v>
      </c>
      <c r="P138" s="7">
        <v>1.33</v>
      </c>
      <c r="Q138" s="7">
        <v>0.01</v>
      </c>
    </row>
    <row r="139" spans="1:17">
      <c r="A139" s="2">
        <v>2087</v>
      </c>
      <c r="B139" s="7">
        <v>1.29</v>
      </c>
      <c r="C139" s="7">
        <v>0.2</v>
      </c>
      <c r="D139" s="7">
        <v>0.77</v>
      </c>
      <c r="E139" s="7">
        <v>0.13</v>
      </c>
      <c r="F139" s="7">
        <v>0.13</v>
      </c>
      <c r="G139" s="7">
        <v>0.2</v>
      </c>
      <c r="H139" s="7">
        <v>0.28999999999999998</v>
      </c>
      <c r="I139" s="7">
        <v>0.34</v>
      </c>
      <c r="J139" s="7">
        <v>0.25</v>
      </c>
      <c r="K139" s="7">
        <v>1.39</v>
      </c>
      <c r="L139" s="7">
        <v>1.82</v>
      </c>
      <c r="M139" s="7">
        <v>0.57999999999999996</v>
      </c>
      <c r="N139" s="7">
        <v>0.4</v>
      </c>
      <c r="O139" s="7">
        <v>0.69</v>
      </c>
      <c r="P139" s="7">
        <v>1.33</v>
      </c>
      <c r="Q139" s="7">
        <v>0.01</v>
      </c>
    </row>
    <row r="140" spans="1:17">
      <c r="A140" s="2">
        <v>2088</v>
      </c>
      <c r="B140" s="7">
        <v>1.3</v>
      </c>
      <c r="C140" s="7">
        <v>0.2</v>
      </c>
      <c r="D140" s="7">
        <v>0.77</v>
      </c>
      <c r="E140" s="7">
        <v>0.13</v>
      </c>
      <c r="F140" s="7">
        <v>0.13</v>
      </c>
      <c r="G140" s="7">
        <v>0.2</v>
      </c>
      <c r="H140" s="7">
        <v>0.28999999999999998</v>
      </c>
      <c r="I140" s="7">
        <v>0.34</v>
      </c>
      <c r="J140" s="7">
        <v>0.25</v>
      </c>
      <c r="K140" s="7">
        <v>1.41</v>
      </c>
      <c r="L140" s="7">
        <v>1.82</v>
      </c>
      <c r="M140" s="7">
        <v>0.57999999999999996</v>
      </c>
      <c r="N140" s="7">
        <v>0.4</v>
      </c>
      <c r="O140" s="7">
        <v>0.69</v>
      </c>
      <c r="P140" s="7">
        <v>1.33</v>
      </c>
      <c r="Q140" s="7">
        <v>0.01</v>
      </c>
    </row>
    <row r="141" spans="1:17">
      <c r="A141" s="2">
        <v>2089</v>
      </c>
      <c r="B141" s="7">
        <v>1.32</v>
      </c>
      <c r="C141" s="7">
        <v>0.2</v>
      </c>
      <c r="D141" s="7">
        <v>0.78</v>
      </c>
      <c r="E141" s="7">
        <v>0.13</v>
      </c>
      <c r="F141" s="7">
        <v>0.13</v>
      </c>
      <c r="G141" s="7">
        <v>0.2</v>
      </c>
      <c r="H141" s="7">
        <v>0.28999999999999998</v>
      </c>
      <c r="I141" s="7">
        <v>0.34</v>
      </c>
      <c r="J141" s="7">
        <v>0.26</v>
      </c>
      <c r="K141" s="7">
        <v>1.42</v>
      </c>
      <c r="L141" s="7">
        <v>1.82</v>
      </c>
      <c r="M141" s="7">
        <v>0.57999999999999996</v>
      </c>
      <c r="N141" s="7">
        <v>0.4</v>
      </c>
      <c r="O141" s="7">
        <v>0.7</v>
      </c>
      <c r="P141" s="7">
        <v>1.33</v>
      </c>
      <c r="Q141" s="7">
        <v>0.01</v>
      </c>
    </row>
    <row r="142" spans="1:17">
      <c r="A142" s="2">
        <v>2090</v>
      </c>
      <c r="B142" s="7">
        <v>1.33</v>
      </c>
      <c r="C142" s="7">
        <v>0.2</v>
      </c>
      <c r="D142" s="7">
        <v>0.79</v>
      </c>
      <c r="E142" s="7">
        <v>0.13</v>
      </c>
      <c r="F142" s="7">
        <v>0.13</v>
      </c>
      <c r="G142" s="7">
        <v>0.2</v>
      </c>
      <c r="H142" s="7">
        <v>0.3</v>
      </c>
      <c r="I142" s="7">
        <v>0.34</v>
      </c>
      <c r="J142" s="7">
        <v>0.26</v>
      </c>
      <c r="K142" s="7">
        <v>1.44</v>
      </c>
      <c r="L142" s="7">
        <v>1.81</v>
      </c>
      <c r="M142" s="7">
        <v>0.57999999999999996</v>
      </c>
      <c r="N142" s="7">
        <v>0.41</v>
      </c>
      <c r="O142" s="7">
        <v>0.69</v>
      </c>
      <c r="P142" s="7">
        <v>1.31</v>
      </c>
      <c r="Q142" s="7">
        <v>0.01</v>
      </c>
    </row>
    <row r="143" spans="1:17">
      <c r="A143" s="2">
        <v>2091</v>
      </c>
      <c r="B143" s="7">
        <v>1.34</v>
      </c>
      <c r="C143" s="7">
        <v>0.2</v>
      </c>
      <c r="D143" s="7">
        <v>0.79</v>
      </c>
      <c r="E143" s="7">
        <v>0.13</v>
      </c>
      <c r="F143" s="7">
        <v>0.13</v>
      </c>
      <c r="G143" s="7">
        <v>0.2</v>
      </c>
      <c r="H143" s="7">
        <v>0.3</v>
      </c>
      <c r="I143" s="7">
        <v>0.35</v>
      </c>
      <c r="J143" s="7">
        <v>0.26</v>
      </c>
      <c r="K143" s="7">
        <v>1.45</v>
      </c>
      <c r="L143" s="7">
        <v>1.82</v>
      </c>
      <c r="M143" s="7">
        <v>0.57999999999999996</v>
      </c>
      <c r="N143" s="7">
        <v>0.41</v>
      </c>
      <c r="O143" s="7">
        <v>0.7</v>
      </c>
      <c r="P143" s="7">
        <v>1.32</v>
      </c>
      <c r="Q143" s="7">
        <v>0.01</v>
      </c>
    </row>
    <row r="144" spans="1:17">
      <c r="A144" s="2">
        <v>2092</v>
      </c>
      <c r="B144" s="7">
        <v>1.35</v>
      </c>
      <c r="C144" s="7">
        <v>0.2</v>
      </c>
      <c r="D144" s="7">
        <v>0.79</v>
      </c>
      <c r="E144" s="7">
        <v>0.13</v>
      </c>
      <c r="F144" s="7">
        <v>0.13</v>
      </c>
      <c r="G144" s="7">
        <v>0.2</v>
      </c>
      <c r="H144" s="7">
        <v>0.3</v>
      </c>
      <c r="I144" s="7">
        <v>0.35</v>
      </c>
      <c r="J144" s="7">
        <v>0.26</v>
      </c>
      <c r="K144" s="7">
        <v>1.46</v>
      </c>
      <c r="L144" s="7">
        <v>1.83</v>
      </c>
      <c r="M144" s="7">
        <v>0.59</v>
      </c>
      <c r="N144" s="7">
        <v>0.41</v>
      </c>
      <c r="O144" s="7">
        <v>0.7</v>
      </c>
      <c r="P144" s="7">
        <v>1.32</v>
      </c>
      <c r="Q144" s="7">
        <v>0.01</v>
      </c>
    </row>
    <row r="145" spans="1:17">
      <c r="A145" s="2">
        <v>2093</v>
      </c>
      <c r="B145" s="7">
        <v>1.36</v>
      </c>
      <c r="C145" s="7">
        <v>0.21</v>
      </c>
      <c r="D145" s="7">
        <v>0.8</v>
      </c>
      <c r="E145" s="7">
        <v>0.13</v>
      </c>
      <c r="F145" s="7">
        <v>0.13</v>
      </c>
      <c r="G145" s="7">
        <v>0.2</v>
      </c>
      <c r="H145" s="7">
        <v>0.3</v>
      </c>
      <c r="I145" s="7">
        <v>0.35</v>
      </c>
      <c r="J145" s="7">
        <v>0.26</v>
      </c>
      <c r="K145" s="7">
        <v>1.46</v>
      </c>
      <c r="L145" s="7">
        <v>1.83</v>
      </c>
      <c r="M145" s="7">
        <v>0.59</v>
      </c>
      <c r="N145" s="7">
        <v>0.41</v>
      </c>
      <c r="O145" s="7">
        <v>0.71</v>
      </c>
      <c r="P145" s="7">
        <v>1.33</v>
      </c>
      <c r="Q145" s="7">
        <v>0.01</v>
      </c>
    </row>
    <row r="146" spans="1:17">
      <c r="A146" s="2">
        <v>2094</v>
      </c>
      <c r="B146" s="7">
        <v>1.37</v>
      </c>
      <c r="C146" s="7">
        <v>0.21</v>
      </c>
      <c r="D146" s="7">
        <v>0.8</v>
      </c>
      <c r="E146" s="7">
        <v>0.13</v>
      </c>
      <c r="F146" s="7">
        <v>0.13</v>
      </c>
      <c r="G146" s="7">
        <v>0.2</v>
      </c>
      <c r="H146" s="7">
        <v>0.3</v>
      </c>
      <c r="I146" s="7">
        <v>0.35</v>
      </c>
      <c r="J146" s="7">
        <v>0.26</v>
      </c>
      <c r="K146" s="7">
        <v>1.47</v>
      </c>
      <c r="L146" s="7">
        <v>1.83</v>
      </c>
      <c r="M146" s="7">
        <v>0.6</v>
      </c>
      <c r="N146" s="7">
        <v>0.41</v>
      </c>
      <c r="O146" s="7">
        <v>0.72</v>
      </c>
      <c r="P146" s="7">
        <v>1.33</v>
      </c>
      <c r="Q146" s="7">
        <v>0.01</v>
      </c>
    </row>
    <row r="147" spans="1:17">
      <c r="A147" s="2">
        <v>2095</v>
      </c>
      <c r="B147" s="7">
        <v>1.39</v>
      </c>
      <c r="C147" s="7">
        <v>0.21</v>
      </c>
      <c r="D147" s="7">
        <v>0.81</v>
      </c>
      <c r="E147" s="7">
        <v>0.13</v>
      </c>
      <c r="F147" s="7">
        <v>0.13</v>
      </c>
      <c r="G147" s="7">
        <v>0.2</v>
      </c>
      <c r="H147" s="7">
        <v>0.31</v>
      </c>
      <c r="I147" s="7">
        <v>0.34</v>
      </c>
      <c r="J147" s="7">
        <v>0.26</v>
      </c>
      <c r="K147" s="7">
        <v>1.48</v>
      </c>
      <c r="L147" s="7">
        <v>1.82</v>
      </c>
      <c r="M147" s="7">
        <v>0.6</v>
      </c>
      <c r="N147" s="7">
        <v>0.41</v>
      </c>
      <c r="O147" s="7">
        <v>0.72</v>
      </c>
      <c r="P147" s="7">
        <v>1.31</v>
      </c>
      <c r="Q147" s="7">
        <v>0.01</v>
      </c>
    </row>
    <row r="148" spans="1:17">
      <c r="A148" s="2">
        <v>2096</v>
      </c>
      <c r="B148" s="7">
        <v>1.39</v>
      </c>
      <c r="C148" s="7">
        <v>0.21</v>
      </c>
      <c r="D148" s="7">
        <v>0.81</v>
      </c>
      <c r="E148" s="7">
        <v>0.13</v>
      </c>
      <c r="F148" s="7">
        <v>0.13</v>
      </c>
      <c r="G148" s="7">
        <v>0.2</v>
      </c>
      <c r="H148" s="7">
        <v>0.31</v>
      </c>
      <c r="I148" s="7">
        <v>0.35</v>
      </c>
      <c r="J148" s="7">
        <v>0.26</v>
      </c>
      <c r="K148" s="7">
        <v>1.49</v>
      </c>
      <c r="L148" s="7">
        <v>1.83</v>
      </c>
      <c r="M148" s="7">
        <v>0.61</v>
      </c>
      <c r="N148" s="7">
        <v>0.41</v>
      </c>
      <c r="O148" s="7">
        <v>0.73</v>
      </c>
      <c r="P148" s="7">
        <v>1.33</v>
      </c>
      <c r="Q148" s="7">
        <v>0.01</v>
      </c>
    </row>
    <row r="149" spans="1:17">
      <c r="A149" s="2">
        <v>2097</v>
      </c>
      <c r="B149" s="7">
        <v>1.41</v>
      </c>
      <c r="C149" s="7">
        <v>0.21</v>
      </c>
      <c r="D149" s="7">
        <v>0.82</v>
      </c>
      <c r="E149" s="7">
        <v>0.13</v>
      </c>
      <c r="F149" s="7">
        <v>0.13</v>
      </c>
      <c r="G149" s="7">
        <v>0.2</v>
      </c>
      <c r="H149" s="7">
        <v>0.31</v>
      </c>
      <c r="I149" s="7">
        <v>0.35</v>
      </c>
      <c r="J149" s="7">
        <v>0.26</v>
      </c>
      <c r="K149" s="7">
        <v>1.5</v>
      </c>
      <c r="L149" s="7">
        <v>1.83</v>
      </c>
      <c r="M149" s="7">
        <v>0.61</v>
      </c>
      <c r="N149" s="7">
        <v>0.41</v>
      </c>
      <c r="O149" s="7">
        <v>0.73</v>
      </c>
      <c r="P149" s="7">
        <v>1.33</v>
      </c>
      <c r="Q149" s="7">
        <v>0.01</v>
      </c>
    </row>
    <row r="150" spans="1:17">
      <c r="A150" s="2">
        <v>2098</v>
      </c>
      <c r="B150" s="7">
        <v>1.42</v>
      </c>
      <c r="C150" s="7">
        <v>0.21</v>
      </c>
      <c r="D150" s="7">
        <v>0.82</v>
      </c>
      <c r="E150" s="7">
        <v>0.13</v>
      </c>
      <c r="F150" s="7">
        <v>0.13</v>
      </c>
      <c r="G150" s="7">
        <v>0.2</v>
      </c>
      <c r="H150" s="7">
        <v>0.31</v>
      </c>
      <c r="I150" s="7">
        <v>0.35</v>
      </c>
      <c r="J150" s="7">
        <v>0.26</v>
      </c>
      <c r="K150" s="7">
        <v>1.51</v>
      </c>
      <c r="L150" s="7">
        <v>1.84</v>
      </c>
      <c r="M150" s="7">
        <v>0.61</v>
      </c>
      <c r="N150" s="7">
        <v>0.42</v>
      </c>
      <c r="O150" s="7">
        <v>0.73</v>
      </c>
      <c r="P150" s="7">
        <v>1.33</v>
      </c>
      <c r="Q150" s="7">
        <v>0.01</v>
      </c>
    </row>
    <row r="151" spans="1:17">
      <c r="A151" s="2">
        <v>2099</v>
      </c>
      <c r="B151" s="7">
        <v>1.43</v>
      </c>
      <c r="C151" s="7">
        <v>0.22</v>
      </c>
      <c r="D151" s="7">
        <v>0.83</v>
      </c>
      <c r="E151" s="7">
        <v>0.13</v>
      </c>
      <c r="F151" s="7">
        <v>0.13</v>
      </c>
      <c r="G151" s="7">
        <v>0.2</v>
      </c>
      <c r="H151" s="7">
        <v>0.31</v>
      </c>
      <c r="I151" s="7">
        <v>0.35</v>
      </c>
      <c r="J151" s="7">
        <v>0.26</v>
      </c>
      <c r="K151" s="7">
        <v>1.52</v>
      </c>
      <c r="L151" s="7">
        <v>1.84</v>
      </c>
      <c r="M151" s="7">
        <v>0.61</v>
      </c>
      <c r="N151" s="7">
        <v>0.42</v>
      </c>
      <c r="O151" s="7">
        <v>0.74</v>
      </c>
      <c r="P151" s="7">
        <v>1.33</v>
      </c>
      <c r="Q151" s="7">
        <v>0.01</v>
      </c>
    </row>
    <row r="152" spans="1:17">
      <c r="A152" s="2">
        <v>2100</v>
      </c>
      <c r="B152" s="7">
        <v>1.45</v>
      </c>
      <c r="C152" s="7">
        <v>0.22</v>
      </c>
      <c r="D152" s="7">
        <v>0.84</v>
      </c>
      <c r="E152" s="7">
        <v>0.13</v>
      </c>
      <c r="F152" s="7">
        <v>0.13</v>
      </c>
      <c r="G152" s="7">
        <v>0.2</v>
      </c>
      <c r="H152" s="7">
        <v>0.32</v>
      </c>
      <c r="I152" s="7">
        <v>0.34</v>
      </c>
      <c r="J152" s="7">
        <v>0.26</v>
      </c>
      <c r="K152" s="7">
        <v>1.53</v>
      </c>
      <c r="L152" s="7">
        <v>1.83</v>
      </c>
      <c r="M152" s="7">
        <v>0.61</v>
      </c>
      <c r="N152" s="7">
        <v>0.42</v>
      </c>
      <c r="O152" s="7">
        <v>0.73</v>
      </c>
      <c r="P152" s="7">
        <v>1.31</v>
      </c>
      <c r="Q152" s="7">
        <v>0.01</v>
      </c>
    </row>
    <row r="153" spans="1:17">
      <c r="A153" s="2">
        <v>2101</v>
      </c>
      <c r="B153" s="7">
        <v>1.45</v>
      </c>
      <c r="C153" s="7">
        <v>0.22</v>
      </c>
      <c r="D153" s="7">
        <v>0.84</v>
      </c>
      <c r="E153" s="7">
        <v>0.13</v>
      </c>
      <c r="F153" s="7">
        <v>0.13</v>
      </c>
      <c r="G153" s="7">
        <v>0.2</v>
      </c>
      <c r="H153" s="7">
        <v>0.32</v>
      </c>
      <c r="I153" s="7">
        <v>0.34</v>
      </c>
      <c r="J153" s="7">
        <v>0.26</v>
      </c>
      <c r="K153" s="7">
        <v>1.53</v>
      </c>
      <c r="L153" s="7">
        <v>1.83</v>
      </c>
      <c r="M153" s="7">
        <v>0.61</v>
      </c>
      <c r="N153" s="7">
        <v>0.42</v>
      </c>
      <c r="O153" s="7">
        <v>0.73</v>
      </c>
      <c r="P153" s="7">
        <v>1.31</v>
      </c>
      <c r="Q153" s="7">
        <v>0.01</v>
      </c>
    </row>
    <row r="154" spans="1:17">
      <c r="A154" s="2">
        <v>2102</v>
      </c>
      <c r="B154" s="7">
        <v>1.45</v>
      </c>
      <c r="C154" s="7">
        <v>0.22</v>
      </c>
      <c r="D154" s="7">
        <v>0.84</v>
      </c>
      <c r="E154" s="7">
        <v>0.13</v>
      </c>
      <c r="F154" s="7">
        <v>0.13</v>
      </c>
      <c r="G154" s="7">
        <v>0.2</v>
      </c>
      <c r="H154" s="7">
        <v>0.32</v>
      </c>
      <c r="I154" s="7">
        <v>0.34</v>
      </c>
      <c r="J154" s="7">
        <v>0.26</v>
      </c>
      <c r="K154" s="7">
        <v>1.53</v>
      </c>
      <c r="L154" s="7">
        <v>1.83</v>
      </c>
      <c r="M154" s="7">
        <v>0.61</v>
      </c>
      <c r="N154" s="7">
        <v>0.42</v>
      </c>
      <c r="O154" s="7">
        <v>0.73</v>
      </c>
      <c r="P154" s="7">
        <v>1.31</v>
      </c>
      <c r="Q154" s="7">
        <v>0.01</v>
      </c>
    </row>
    <row r="155" spans="1:17">
      <c r="A155" s="2">
        <v>2103</v>
      </c>
      <c r="B155" s="7">
        <v>1.45</v>
      </c>
      <c r="C155" s="7">
        <v>0.22</v>
      </c>
      <c r="D155" s="7">
        <v>0.84</v>
      </c>
      <c r="E155" s="7">
        <v>0.13</v>
      </c>
      <c r="F155" s="7">
        <v>0.13</v>
      </c>
      <c r="G155" s="7">
        <v>0.2</v>
      </c>
      <c r="H155" s="7">
        <v>0.32</v>
      </c>
      <c r="I155" s="7">
        <v>0.34</v>
      </c>
      <c r="J155" s="7">
        <v>0.26</v>
      </c>
      <c r="K155" s="7">
        <v>1.54</v>
      </c>
      <c r="L155" s="7">
        <v>1.83</v>
      </c>
      <c r="M155" s="7">
        <v>0.61</v>
      </c>
      <c r="N155" s="7">
        <v>0.42</v>
      </c>
      <c r="O155" s="7">
        <v>0.73</v>
      </c>
      <c r="P155" s="7">
        <v>1.31</v>
      </c>
      <c r="Q155" s="7">
        <v>0.01</v>
      </c>
    </row>
    <row r="156" spans="1:17">
      <c r="A156" s="2">
        <v>2104</v>
      </c>
      <c r="B156" s="7">
        <v>1.45</v>
      </c>
      <c r="C156" s="7">
        <v>0.22</v>
      </c>
      <c r="D156" s="7">
        <v>0.84</v>
      </c>
      <c r="E156" s="7">
        <v>0.13</v>
      </c>
      <c r="F156" s="7">
        <v>0.13</v>
      </c>
      <c r="G156" s="7">
        <v>0.2</v>
      </c>
      <c r="H156" s="7">
        <v>0.32</v>
      </c>
      <c r="I156" s="7">
        <v>0.34</v>
      </c>
      <c r="J156" s="7">
        <v>0.26</v>
      </c>
      <c r="K156" s="7">
        <v>1.54</v>
      </c>
      <c r="L156" s="7">
        <v>1.83</v>
      </c>
      <c r="M156" s="7">
        <v>0.61</v>
      </c>
      <c r="N156" s="7">
        <v>0.42</v>
      </c>
      <c r="O156" s="7">
        <v>0.73</v>
      </c>
      <c r="P156" s="7">
        <v>1.31</v>
      </c>
      <c r="Q156" s="7">
        <v>0.01</v>
      </c>
    </row>
    <row r="157" spans="1:17">
      <c r="A157" s="2">
        <v>2105</v>
      </c>
      <c r="B157" s="7">
        <v>1.45</v>
      </c>
      <c r="C157" s="7">
        <v>0.22</v>
      </c>
      <c r="D157" s="7">
        <v>0.84</v>
      </c>
      <c r="E157" s="7">
        <v>0.13</v>
      </c>
      <c r="F157" s="7">
        <v>0.13</v>
      </c>
      <c r="G157" s="7">
        <v>0.2</v>
      </c>
      <c r="H157" s="7">
        <v>0.32</v>
      </c>
      <c r="I157" s="7">
        <v>0.34</v>
      </c>
      <c r="J157" s="7">
        <v>0.26</v>
      </c>
      <c r="K157" s="7">
        <v>1.54</v>
      </c>
      <c r="L157" s="7">
        <v>1.83</v>
      </c>
      <c r="M157" s="7">
        <v>0.61</v>
      </c>
      <c r="N157" s="7">
        <v>0.42</v>
      </c>
      <c r="O157" s="7">
        <v>0.73</v>
      </c>
      <c r="P157" s="7">
        <v>1.31</v>
      </c>
      <c r="Q157" s="7">
        <v>0.01</v>
      </c>
    </row>
    <row r="158" spans="1:17">
      <c r="A158" s="2">
        <v>2106</v>
      </c>
      <c r="B158" s="7">
        <v>1.46</v>
      </c>
      <c r="C158" s="7">
        <v>0.22</v>
      </c>
      <c r="D158" s="7">
        <v>0.84</v>
      </c>
      <c r="E158" s="7">
        <v>0.13</v>
      </c>
      <c r="F158" s="7">
        <v>0.13</v>
      </c>
      <c r="G158" s="7">
        <v>0.2</v>
      </c>
      <c r="H158" s="7">
        <v>0.32</v>
      </c>
      <c r="I158" s="7">
        <v>0.34</v>
      </c>
      <c r="J158" s="7">
        <v>0.26</v>
      </c>
      <c r="K158" s="7">
        <v>1.54</v>
      </c>
      <c r="L158" s="7">
        <v>1.84</v>
      </c>
      <c r="M158" s="7">
        <v>0.61</v>
      </c>
      <c r="N158" s="7">
        <v>0.42</v>
      </c>
      <c r="O158" s="7">
        <v>0.73</v>
      </c>
      <c r="P158" s="7">
        <v>1.31</v>
      </c>
      <c r="Q158" s="7">
        <v>0.01</v>
      </c>
    </row>
    <row r="159" spans="1:17">
      <c r="A159" s="2">
        <v>2107</v>
      </c>
      <c r="B159" s="7">
        <v>1.46</v>
      </c>
      <c r="C159" s="7">
        <v>0.22</v>
      </c>
      <c r="D159" s="7">
        <v>0.84</v>
      </c>
      <c r="E159" s="7">
        <v>0.13</v>
      </c>
      <c r="F159" s="7">
        <v>0.13</v>
      </c>
      <c r="G159" s="7">
        <v>0.2</v>
      </c>
      <c r="H159" s="7">
        <v>0.32</v>
      </c>
      <c r="I159" s="7">
        <v>0.34</v>
      </c>
      <c r="J159" s="7">
        <v>0.26</v>
      </c>
      <c r="K159" s="7">
        <v>1.54</v>
      </c>
      <c r="L159" s="7">
        <v>1.84</v>
      </c>
      <c r="M159" s="7">
        <v>0.61</v>
      </c>
      <c r="N159" s="7">
        <v>0.42</v>
      </c>
      <c r="O159" s="7">
        <v>0.74</v>
      </c>
      <c r="P159" s="7">
        <v>1.31</v>
      </c>
      <c r="Q159" s="7">
        <v>0.01</v>
      </c>
    </row>
    <row r="160" spans="1:17">
      <c r="A160" s="2">
        <v>2108</v>
      </c>
      <c r="B160" s="7">
        <v>1.46</v>
      </c>
      <c r="C160" s="7">
        <v>0.22</v>
      </c>
      <c r="D160" s="7">
        <v>0.84</v>
      </c>
      <c r="E160" s="7">
        <v>0.13</v>
      </c>
      <c r="F160" s="7">
        <v>0.13</v>
      </c>
      <c r="G160" s="7">
        <v>0.2</v>
      </c>
      <c r="H160" s="7">
        <v>0.32</v>
      </c>
      <c r="I160" s="7">
        <v>0.34</v>
      </c>
      <c r="J160" s="7">
        <v>0.26</v>
      </c>
      <c r="K160" s="7">
        <v>1.54</v>
      </c>
      <c r="L160" s="7">
        <v>1.84</v>
      </c>
      <c r="M160" s="7">
        <v>0.61</v>
      </c>
      <c r="N160" s="7">
        <v>0.42</v>
      </c>
      <c r="O160" s="7">
        <v>0.74</v>
      </c>
      <c r="P160" s="7">
        <v>1.31</v>
      </c>
      <c r="Q160" s="7">
        <v>0.01</v>
      </c>
    </row>
    <row r="161" spans="1:17">
      <c r="A161" s="2">
        <v>2109</v>
      </c>
      <c r="B161" s="7">
        <v>1.46</v>
      </c>
      <c r="C161" s="7">
        <v>0.22</v>
      </c>
      <c r="D161" s="7">
        <v>0.84</v>
      </c>
      <c r="E161" s="7">
        <v>0.13</v>
      </c>
      <c r="F161" s="7">
        <v>0.13</v>
      </c>
      <c r="G161" s="7">
        <v>0.2</v>
      </c>
      <c r="H161" s="7">
        <v>0.32</v>
      </c>
      <c r="I161" s="7">
        <v>0.34</v>
      </c>
      <c r="J161" s="7">
        <v>0.26</v>
      </c>
      <c r="K161" s="7">
        <v>1.54</v>
      </c>
      <c r="L161" s="7">
        <v>1.84</v>
      </c>
      <c r="M161" s="7">
        <v>0.61</v>
      </c>
      <c r="N161" s="7">
        <v>0.42</v>
      </c>
      <c r="O161" s="7">
        <v>0.74</v>
      </c>
      <c r="P161" s="7">
        <v>1.32</v>
      </c>
      <c r="Q161" s="7">
        <v>0.01</v>
      </c>
    </row>
    <row r="162" spans="1:17">
      <c r="A162" s="2">
        <v>2110</v>
      </c>
      <c r="B162" s="7">
        <v>1.46</v>
      </c>
      <c r="C162" s="7">
        <v>0.22</v>
      </c>
      <c r="D162" s="7">
        <v>0.84</v>
      </c>
      <c r="E162" s="7">
        <v>0.13</v>
      </c>
      <c r="F162" s="7">
        <v>0.13</v>
      </c>
      <c r="G162" s="7">
        <v>0.2</v>
      </c>
      <c r="H162" s="7">
        <v>0.32</v>
      </c>
      <c r="I162" s="7">
        <v>0.34</v>
      </c>
      <c r="J162" s="7">
        <v>0.26</v>
      </c>
      <c r="K162" s="7">
        <v>1.54</v>
      </c>
      <c r="L162" s="7">
        <v>1.84</v>
      </c>
      <c r="M162" s="7">
        <v>0.61</v>
      </c>
      <c r="N162" s="7">
        <v>0.42</v>
      </c>
      <c r="O162" s="7">
        <v>0.74</v>
      </c>
      <c r="P162" s="7">
        <v>1.32</v>
      </c>
      <c r="Q162" s="7">
        <v>0.01</v>
      </c>
    </row>
    <row r="163" spans="1:17">
      <c r="A163" s="2">
        <v>2111</v>
      </c>
      <c r="B163" s="7">
        <v>1.46</v>
      </c>
      <c r="C163" s="7">
        <v>0.22</v>
      </c>
      <c r="D163" s="7">
        <v>0.84</v>
      </c>
      <c r="E163" s="7">
        <v>0.13</v>
      </c>
      <c r="F163" s="7">
        <v>0.13</v>
      </c>
      <c r="G163" s="7">
        <v>0.2</v>
      </c>
      <c r="H163" s="7">
        <v>0.32</v>
      </c>
      <c r="I163" s="7">
        <v>0.34</v>
      </c>
      <c r="J163" s="7">
        <v>0.26</v>
      </c>
      <c r="K163" s="7">
        <v>1.54</v>
      </c>
      <c r="L163" s="7">
        <v>1.84</v>
      </c>
      <c r="M163" s="7">
        <v>0.61</v>
      </c>
      <c r="N163" s="7">
        <v>0.42</v>
      </c>
      <c r="O163" s="7">
        <v>0.74</v>
      </c>
      <c r="P163" s="7">
        <v>1.32</v>
      </c>
      <c r="Q163" s="7">
        <v>0.01</v>
      </c>
    </row>
    <row r="164" spans="1:17">
      <c r="A164" s="2">
        <v>2112</v>
      </c>
      <c r="B164" s="7">
        <v>1.46</v>
      </c>
      <c r="C164" s="7">
        <v>0.22</v>
      </c>
      <c r="D164" s="7">
        <v>0.84</v>
      </c>
      <c r="E164" s="7">
        <v>0.13</v>
      </c>
      <c r="F164" s="7">
        <v>0.13</v>
      </c>
      <c r="G164" s="7">
        <v>0.2</v>
      </c>
      <c r="H164" s="7">
        <v>0.32</v>
      </c>
      <c r="I164" s="7">
        <v>0.34</v>
      </c>
      <c r="J164" s="7">
        <v>0.26</v>
      </c>
      <c r="K164" s="7">
        <v>1.54</v>
      </c>
      <c r="L164" s="7">
        <v>1.84</v>
      </c>
      <c r="M164" s="7">
        <v>0.61</v>
      </c>
      <c r="N164" s="7">
        <v>0.42</v>
      </c>
      <c r="O164" s="7">
        <v>0.74</v>
      </c>
      <c r="P164" s="7">
        <v>1.32</v>
      </c>
      <c r="Q164" s="7">
        <v>0.01</v>
      </c>
    </row>
    <row r="165" spans="1:17">
      <c r="A165" s="2">
        <v>2113</v>
      </c>
      <c r="B165" s="7">
        <v>1.46</v>
      </c>
      <c r="C165" s="7">
        <v>0.22</v>
      </c>
      <c r="D165" s="7">
        <v>0.84</v>
      </c>
      <c r="E165" s="7">
        <v>0.13</v>
      </c>
      <c r="F165" s="7">
        <v>0.13</v>
      </c>
      <c r="G165" s="7">
        <v>0.2</v>
      </c>
      <c r="H165" s="7">
        <v>0.32</v>
      </c>
      <c r="I165" s="7">
        <v>0.35</v>
      </c>
      <c r="J165" s="7">
        <v>0.26</v>
      </c>
      <c r="K165" s="7">
        <v>1.54</v>
      </c>
      <c r="L165" s="7">
        <v>1.84</v>
      </c>
      <c r="M165" s="7">
        <v>0.61</v>
      </c>
      <c r="N165" s="7">
        <v>0.42</v>
      </c>
      <c r="O165" s="7">
        <v>0.74</v>
      </c>
      <c r="P165" s="7">
        <v>1.32</v>
      </c>
      <c r="Q165" s="7">
        <v>0.01</v>
      </c>
    </row>
    <row r="166" spans="1:17">
      <c r="A166" s="2">
        <v>2114</v>
      </c>
      <c r="B166" s="7">
        <v>1.46</v>
      </c>
      <c r="C166" s="7">
        <v>0.22</v>
      </c>
      <c r="D166" s="7">
        <v>0.84</v>
      </c>
      <c r="E166" s="7">
        <v>0.13</v>
      </c>
      <c r="F166" s="7">
        <v>0.13</v>
      </c>
      <c r="G166" s="7">
        <v>0.2</v>
      </c>
      <c r="H166" s="7">
        <v>0.32</v>
      </c>
      <c r="I166" s="7">
        <v>0.35</v>
      </c>
      <c r="J166" s="7">
        <v>0.26</v>
      </c>
      <c r="K166" s="7">
        <v>1.54</v>
      </c>
      <c r="L166" s="7">
        <v>1.84</v>
      </c>
      <c r="M166" s="7">
        <v>0.61</v>
      </c>
      <c r="N166" s="7">
        <v>0.42</v>
      </c>
      <c r="O166" s="7">
        <v>0.74</v>
      </c>
      <c r="P166" s="7">
        <v>1.32</v>
      </c>
      <c r="Q166" s="7">
        <v>0.01</v>
      </c>
    </row>
    <row r="167" spans="1:17">
      <c r="A167" s="2">
        <v>2115</v>
      </c>
      <c r="B167" s="7">
        <v>1.46</v>
      </c>
      <c r="C167" s="7">
        <v>0.22</v>
      </c>
      <c r="D167" s="7">
        <v>0.84</v>
      </c>
      <c r="E167" s="7">
        <v>0.13</v>
      </c>
      <c r="F167" s="7">
        <v>0.13</v>
      </c>
      <c r="G167" s="7">
        <v>0.2</v>
      </c>
      <c r="H167" s="7">
        <v>0.32</v>
      </c>
      <c r="I167" s="7">
        <v>0.35</v>
      </c>
      <c r="J167" s="7">
        <v>0.26</v>
      </c>
      <c r="K167" s="7">
        <v>1.55</v>
      </c>
      <c r="L167" s="7">
        <v>1.84</v>
      </c>
      <c r="M167" s="7">
        <v>0.61</v>
      </c>
      <c r="N167" s="7">
        <v>0.42</v>
      </c>
      <c r="O167" s="7">
        <v>0.74</v>
      </c>
      <c r="P167" s="7">
        <v>1.32</v>
      </c>
      <c r="Q167" s="7">
        <v>0.01</v>
      </c>
    </row>
    <row r="168" spans="1:17">
      <c r="A168" s="2">
        <v>2116</v>
      </c>
      <c r="B168" s="7">
        <v>1.46</v>
      </c>
      <c r="C168" s="7">
        <v>0.22</v>
      </c>
      <c r="D168" s="7">
        <v>0.84</v>
      </c>
      <c r="E168" s="7">
        <v>0.13</v>
      </c>
      <c r="F168" s="7">
        <v>0.13</v>
      </c>
      <c r="G168" s="7">
        <v>0.2</v>
      </c>
      <c r="H168" s="7">
        <v>0.32</v>
      </c>
      <c r="I168" s="7">
        <v>0.35</v>
      </c>
      <c r="J168" s="7">
        <v>0.26</v>
      </c>
      <c r="K168" s="7">
        <v>1.55</v>
      </c>
      <c r="L168" s="7">
        <v>1.85</v>
      </c>
      <c r="M168" s="7">
        <v>0.61</v>
      </c>
      <c r="N168" s="7">
        <v>0.42</v>
      </c>
      <c r="O168" s="7">
        <v>0.74</v>
      </c>
      <c r="P168" s="7">
        <v>1.32</v>
      </c>
      <c r="Q168" s="7">
        <v>0.01</v>
      </c>
    </row>
    <row r="169" spans="1:17">
      <c r="A169" s="2">
        <v>2117</v>
      </c>
      <c r="B169" s="7">
        <v>1.46</v>
      </c>
      <c r="C169" s="7">
        <v>0.22</v>
      </c>
      <c r="D169" s="7">
        <v>0.84</v>
      </c>
      <c r="E169" s="7">
        <v>0.13</v>
      </c>
      <c r="F169" s="7">
        <v>0.13</v>
      </c>
      <c r="G169" s="7">
        <v>0.2</v>
      </c>
      <c r="H169" s="7">
        <v>0.32</v>
      </c>
      <c r="I169" s="7">
        <v>0.35</v>
      </c>
      <c r="J169" s="7">
        <v>0.26</v>
      </c>
      <c r="K169" s="7">
        <v>1.55</v>
      </c>
      <c r="L169" s="7">
        <v>1.85</v>
      </c>
      <c r="M169" s="7">
        <v>0.61</v>
      </c>
      <c r="N169" s="7">
        <v>0.42</v>
      </c>
      <c r="O169" s="7">
        <v>0.74</v>
      </c>
      <c r="P169" s="7">
        <v>1.32</v>
      </c>
      <c r="Q169" s="7">
        <v>0.01</v>
      </c>
    </row>
    <row r="170" spans="1:17">
      <c r="A170" s="2">
        <v>2118</v>
      </c>
      <c r="B170" s="7">
        <v>1.47</v>
      </c>
      <c r="C170" s="7">
        <v>0.22</v>
      </c>
      <c r="D170" s="7">
        <v>0.84</v>
      </c>
      <c r="E170" s="7">
        <v>0.13</v>
      </c>
      <c r="F170" s="7">
        <v>0.13</v>
      </c>
      <c r="G170" s="7">
        <v>0.2</v>
      </c>
      <c r="H170" s="7">
        <v>0.32</v>
      </c>
      <c r="I170" s="7">
        <v>0.35</v>
      </c>
      <c r="J170" s="7">
        <v>0.26</v>
      </c>
      <c r="K170" s="7">
        <v>1.55</v>
      </c>
      <c r="L170" s="7">
        <v>1.85</v>
      </c>
      <c r="M170" s="7">
        <v>0.61</v>
      </c>
      <c r="N170" s="7">
        <v>0.42</v>
      </c>
      <c r="O170" s="7">
        <v>0.74</v>
      </c>
      <c r="P170" s="7">
        <v>1.32</v>
      </c>
      <c r="Q170" s="7">
        <v>0.01</v>
      </c>
    </row>
    <row r="171" spans="1:17">
      <c r="A171" s="2">
        <v>2119</v>
      </c>
      <c r="B171" s="7">
        <v>1.47</v>
      </c>
      <c r="C171" s="7">
        <v>0.22</v>
      </c>
      <c r="D171" s="7">
        <v>0.84</v>
      </c>
      <c r="E171" s="7">
        <v>0.13</v>
      </c>
      <c r="F171" s="7">
        <v>0.13</v>
      </c>
      <c r="G171" s="7">
        <v>0.2</v>
      </c>
      <c r="H171" s="7">
        <v>0.32</v>
      </c>
      <c r="I171" s="7">
        <v>0.35</v>
      </c>
      <c r="J171" s="7">
        <v>0.26</v>
      </c>
      <c r="K171" s="7">
        <v>1.55</v>
      </c>
      <c r="L171" s="7">
        <v>1.85</v>
      </c>
      <c r="M171" s="7">
        <v>0.61</v>
      </c>
      <c r="N171" s="7">
        <v>0.42</v>
      </c>
      <c r="O171" s="7">
        <v>0.74</v>
      </c>
      <c r="P171" s="7">
        <v>1.32</v>
      </c>
      <c r="Q171" s="7">
        <v>0.01</v>
      </c>
    </row>
    <row r="172" spans="1:17">
      <c r="A172" s="2">
        <v>2120</v>
      </c>
      <c r="B172" s="7">
        <v>1.47</v>
      </c>
      <c r="C172" s="7">
        <v>0.22</v>
      </c>
      <c r="D172" s="7">
        <v>0.84</v>
      </c>
      <c r="E172" s="7">
        <v>0.13</v>
      </c>
      <c r="F172" s="7">
        <v>0.13</v>
      </c>
      <c r="G172" s="7">
        <v>0.2</v>
      </c>
      <c r="H172" s="7">
        <v>0.32</v>
      </c>
      <c r="I172" s="7">
        <v>0.35</v>
      </c>
      <c r="J172" s="7">
        <v>0.26</v>
      </c>
      <c r="K172" s="7">
        <v>1.55</v>
      </c>
      <c r="L172" s="7">
        <v>1.85</v>
      </c>
      <c r="M172" s="7">
        <v>0.61</v>
      </c>
      <c r="N172" s="7">
        <v>0.42</v>
      </c>
      <c r="O172" s="7">
        <v>0.74</v>
      </c>
      <c r="P172" s="7">
        <v>1.32</v>
      </c>
      <c r="Q172" s="7">
        <v>0.01</v>
      </c>
    </row>
    <row r="173" spans="1:17">
      <c r="A173" s="2">
        <v>2121</v>
      </c>
      <c r="B173" s="7">
        <v>1.47</v>
      </c>
      <c r="C173" s="7">
        <v>0.22</v>
      </c>
      <c r="D173" s="7">
        <v>0.85</v>
      </c>
      <c r="E173" s="7">
        <v>0.13</v>
      </c>
      <c r="F173" s="7">
        <v>0.13</v>
      </c>
      <c r="G173" s="7">
        <v>0.2</v>
      </c>
      <c r="H173" s="7">
        <v>0.32</v>
      </c>
      <c r="I173" s="7">
        <v>0.35</v>
      </c>
      <c r="J173" s="7">
        <v>0.27</v>
      </c>
      <c r="K173" s="7">
        <v>1.55</v>
      </c>
      <c r="L173" s="7">
        <v>1.85</v>
      </c>
      <c r="M173" s="7">
        <v>0.61</v>
      </c>
      <c r="N173" s="7">
        <v>0.42</v>
      </c>
      <c r="O173" s="7">
        <v>0.74</v>
      </c>
      <c r="P173" s="7">
        <v>1.32</v>
      </c>
      <c r="Q173" s="7">
        <v>0.01</v>
      </c>
    </row>
    <row r="174" spans="1:17">
      <c r="A174" s="2">
        <v>2122</v>
      </c>
      <c r="B174" s="7">
        <v>1.47</v>
      </c>
      <c r="C174" s="7">
        <v>0.22</v>
      </c>
      <c r="D174" s="7">
        <v>0.85</v>
      </c>
      <c r="E174" s="7">
        <v>0.13</v>
      </c>
      <c r="F174" s="7">
        <v>0.13</v>
      </c>
      <c r="G174" s="7">
        <v>0.2</v>
      </c>
      <c r="H174" s="7">
        <v>0.32</v>
      </c>
      <c r="I174" s="7">
        <v>0.35</v>
      </c>
      <c r="J174" s="7">
        <v>0.27</v>
      </c>
      <c r="K174" s="7">
        <v>1.55</v>
      </c>
      <c r="L174" s="7">
        <v>1.85</v>
      </c>
      <c r="M174" s="7">
        <v>0.61</v>
      </c>
      <c r="N174" s="7">
        <v>0.42</v>
      </c>
      <c r="O174" s="7">
        <v>0.74</v>
      </c>
      <c r="P174" s="7">
        <v>1.33</v>
      </c>
      <c r="Q174" s="7">
        <v>0.01</v>
      </c>
    </row>
    <row r="175" spans="1:17">
      <c r="A175" s="2">
        <v>2123</v>
      </c>
      <c r="B175" s="7">
        <v>1.47</v>
      </c>
      <c r="C175" s="7">
        <v>0.22</v>
      </c>
      <c r="D175" s="7">
        <v>0.85</v>
      </c>
      <c r="E175" s="7">
        <v>0.13</v>
      </c>
      <c r="F175" s="7">
        <v>0.13</v>
      </c>
      <c r="G175" s="7">
        <v>0.2</v>
      </c>
      <c r="H175" s="7">
        <v>0.32</v>
      </c>
      <c r="I175" s="7">
        <v>0.35</v>
      </c>
      <c r="J175" s="7">
        <v>0.27</v>
      </c>
      <c r="K175" s="7">
        <v>1.55</v>
      </c>
      <c r="L175" s="7">
        <v>1.85</v>
      </c>
      <c r="M175" s="7">
        <v>0.61</v>
      </c>
      <c r="N175" s="7">
        <v>0.42</v>
      </c>
      <c r="O175" s="7">
        <v>0.74</v>
      </c>
      <c r="P175" s="7">
        <v>1.33</v>
      </c>
      <c r="Q175" s="7">
        <v>0.01</v>
      </c>
    </row>
    <row r="176" spans="1:17">
      <c r="A176" s="2">
        <v>2124</v>
      </c>
      <c r="B176" s="7">
        <v>1.47</v>
      </c>
      <c r="C176" s="7">
        <v>0.22</v>
      </c>
      <c r="D176" s="7">
        <v>0.85</v>
      </c>
      <c r="E176" s="7">
        <v>0.13</v>
      </c>
      <c r="F176" s="7">
        <v>0.13</v>
      </c>
      <c r="G176" s="7">
        <v>0.2</v>
      </c>
      <c r="H176" s="7">
        <v>0.32</v>
      </c>
      <c r="I176" s="7">
        <v>0.35</v>
      </c>
      <c r="J176" s="7">
        <v>0.27</v>
      </c>
      <c r="K176" s="7">
        <v>1.55</v>
      </c>
      <c r="L176" s="7">
        <v>1.85</v>
      </c>
      <c r="M176" s="7">
        <v>0.61</v>
      </c>
      <c r="N176" s="7">
        <v>0.42</v>
      </c>
      <c r="O176" s="7">
        <v>0.74</v>
      </c>
      <c r="P176" s="7">
        <v>1.33</v>
      </c>
      <c r="Q176" s="7">
        <v>0.01</v>
      </c>
    </row>
    <row r="177" spans="1:17">
      <c r="A177" s="2">
        <v>2125</v>
      </c>
      <c r="B177" s="7">
        <v>1.47</v>
      </c>
      <c r="C177" s="7">
        <v>0.22</v>
      </c>
      <c r="D177" s="7">
        <v>0.85</v>
      </c>
      <c r="E177" s="7">
        <v>0.13</v>
      </c>
      <c r="F177" s="7">
        <v>0.13</v>
      </c>
      <c r="G177" s="7">
        <v>0.2</v>
      </c>
      <c r="H177" s="7">
        <v>0.32</v>
      </c>
      <c r="I177" s="7">
        <v>0.35</v>
      </c>
      <c r="J177" s="7">
        <v>0.27</v>
      </c>
      <c r="K177" s="7">
        <v>1.55</v>
      </c>
      <c r="L177" s="7">
        <v>1.86</v>
      </c>
      <c r="M177" s="7">
        <v>0.61</v>
      </c>
      <c r="N177" s="7">
        <v>0.42</v>
      </c>
      <c r="O177" s="7">
        <v>0.74</v>
      </c>
      <c r="P177" s="7">
        <v>1.33</v>
      </c>
      <c r="Q177" s="7">
        <v>0.01</v>
      </c>
    </row>
    <row r="178" spans="1:17">
      <c r="A178" s="2">
        <v>2126</v>
      </c>
      <c r="B178" s="7">
        <v>1.47</v>
      </c>
      <c r="C178" s="7">
        <v>0.22</v>
      </c>
      <c r="D178" s="7">
        <v>0.85</v>
      </c>
      <c r="E178" s="7">
        <v>0.13</v>
      </c>
      <c r="F178" s="7">
        <v>0.13</v>
      </c>
      <c r="G178" s="7">
        <v>0.2</v>
      </c>
      <c r="H178" s="7">
        <v>0.32</v>
      </c>
      <c r="I178" s="7">
        <v>0.35</v>
      </c>
      <c r="J178" s="7">
        <v>0.27</v>
      </c>
      <c r="K178" s="7">
        <v>1.56</v>
      </c>
      <c r="L178" s="7">
        <v>1.86</v>
      </c>
      <c r="M178" s="7">
        <v>0.61</v>
      </c>
      <c r="N178" s="7">
        <v>0.42</v>
      </c>
      <c r="O178" s="7">
        <v>0.74</v>
      </c>
      <c r="P178" s="7">
        <v>1.33</v>
      </c>
      <c r="Q178" s="7">
        <v>0.01</v>
      </c>
    </row>
    <row r="179" spans="1:17">
      <c r="A179" s="2">
        <v>2127</v>
      </c>
      <c r="B179" s="7">
        <v>1.47</v>
      </c>
      <c r="C179" s="7">
        <v>0.22</v>
      </c>
      <c r="D179" s="7">
        <v>0.85</v>
      </c>
      <c r="E179" s="7">
        <v>0.13</v>
      </c>
      <c r="F179" s="7">
        <v>0.13</v>
      </c>
      <c r="G179" s="7">
        <v>0.2</v>
      </c>
      <c r="H179" s="7">
        <v>0.32</v>
      </c>
      <c r="I179" s="7">
        <v>0.35</v>
      </c>
      <c r="J179" s="7">
        <v>0.27</v>
      </c>
      <c r="K179" s="7">
        <v>1.56</v>
      </c>
      <c r="L179" s="7">
        <v>1.86</v>
      </c>
      <c r="M179" s="7">
        <v>0.61</v>
      </c>
      <c r="N179" s="7">
        <v>0.42</v>
      </c>
      <c r="O179" s="7">
        <v>0.74</v>
      </c>
      <c r="P179" s="7">
        <v>1.33</v>
      </c>
      <c r="Q179" s="7">
        <v>0.01</v>
      </c>
    </row>
    <row r="180" spans="1:17">
      <c r="A180" s="2">
        <v>2128</v>
      </c>
      <c r="B180" s="7">
        <v>1.47</v>
      </c>
      <c r="C180" s="7">
        <v>0.22</v>
      </c>
      <c r="D180" s="7">
        <v>0.85</v>
      </c>
      <c r="E180" s="7">
        <v>0.13</v>
      </c>
      <c r="F180" s="7">
        <v>0.13</v>
      </c>
      <c r="G180" s="7">
        <v>0.2</v>
      </c>
      <c r="H180" s="7">
        <v>0.32</v>
      </c>
      <c r="I180" s="7">
        <v>0.35</v>
      </c>
      <c r="J180" s="7">
        <v>0.27</v>
      </c>
      <c r="K180" s="7">
        <v>1.56</v>
      </c>
      <c r="L180" s="7">
        <v>1.86</v>
      </c>
      <c r="M180" s="7">
        <v>0.62</v>
      </c>
      <c r="N180" s="7">
        <v>0.42</v>
      </c>
      <c r="O180" s="7">
        <v>0.74</v>
      </c>
      <c r="P180" s="7">
        <v>1.33</v>
      </c>
      <c r="Q180" s="7">
        <v>0.01</v>
      </c>
    </row>
    <row r="181" spans="1:17">
      <c r="A181" s="2">
        <v>2129</v>
      </c>
      <c r="B181" s="7">
        <v>1.47</v>
      </c>
      <c r="C181" s="7">
        <v>0.22</v>
      </c>
      <c r="D181" s="7">
        <v>0.85</v>
      </c>
      <c r="E181" s="7">
        <v>0.13</v>
      </c>
      <c r="F181" s="7">
        <v>0.13</v>
      </c>
      <c r="G181" s="7">
        <v>0.2</v>
      </c>
      <c r="H181" s="7">
        <v>0.32</v>
      </c>
      <c r="I181" s="7">
        <v>0.35</v>
      </c>
      <c r="J181" s="7">
        <v>0.27</v>
      </c>
      <c r="K181" s="7">
        <v>1.56</v>
      </c>
      <c r="L181" s="7">
        <v>1.86</v>
      </c>
      <c r="M181" s="7">
        <v>0.62</v>
      </c>
      <c r="N181" s="7">
        <v>0.42</v>
      </c>
      <c r="O181" s="7">
        <v>0.74</v>
      </c>
      <c r="P181" s="7">
        <v>1.33</v>
      </c>
      <c r="Q181" s="7">
        <v>0.01</v>
      </c>
    </row>
    <row r="182" spans="1:17">
      <c r="A182" s="2">
        <v>2130</v>
      </c>
      <c r="B182" s="7">
        <v>1.48</v>
      </c>
      <c r="C182" s="7">
        <v>0.22</v>
      </c>
      <c r="D182" s="7">
        <v>0.85</v>
      </c>
      <c r="E182" s="7">
        <v>0.13</v>
      </c>
      <c r="F182" s="7">
        <v>0.13</v>
      </c>
      <c r="G182" s="7">
        <v>0.2</v>
      </c>
      <c r="H182" s="7">
        <v>0.32</v>
      </c>
      <c r="I182" s="7">
        <v>0.35</v>
      </c>
      <c r="J182" s="7">
        <v>0.27</v>
      </c>
      <c r="K182" s="7">
        <v>1.56</v>
      </c>
      <c r="L182" s="7">
        <v>1.86</v>
      </c>
      <c r="M182" s="7">
        <v>0.62</v>
      </c>
      <c r="N182" s="7">
        <v>0.42</v>
      </c>
      <c r="O182" s="7">
        <v>0.74</v>
      </c>
      <c r="P182" s="7">
        <v>1.33</v>
      </c>
      <c r="Q182" s="7">
        <v>0.01</v>
      </c>
    </row>
    <row r="183" spans="1:17">
      <c r="A183" s="2">
        <v>2131</v>
      </c>
      <c r="B183" s="7">
        <v>1.48</v>
      </c>
      <c r="C183" s="7">
        <v>0.22</v>
      </c>
      <c r="D183" s="7">
        <v>0.85</v>
      </c>
      <c r="E183" s="7">
        <v>0.13</v>
      </c>
      <c r="F183" s="7">
        <v>0.13</v>
      </c>
      <c r="G183" s="7">
        <v>0.2</v>
      </c>
      <c r="H183" s="7">
        <v>0.32</v>
      </c>
      <c r="I183" s="7">
        <v>0.35</v>
      </c>
      <c r="J183" s="7">
        <v>0.27</v>
      </c>
      <c r="K183" s="7">
        <v>1.56</v>
      </c>
      <c r="L183" s="7">
        <v>1.86</v>
      </c>
      <c r="M183" s="7">
        <v>0.62</v>
      </c>
      <c r="N183" s="7">
        <v>0.42</v>
      </c>
      <c r="O183" s="7">
        <v>0.75</v>
      </c>
      <c r="P183" s="7">
        <v>1.33</v>
      </c>
      <c r="Q183" s="7">
        <v>0.01</v>
      </c>
    </row>
    <row r="184" spans="1:17">
      <c r="A184" s="2">
        <v>2132</v>
      </c>
      <c r="B184" s="7">
        <v>1.48</v>
      </c>
      <c r="C184" s="7">
        <v>0.22</v>
      </c>
      <c r="D184" s="7">
        <v>0.85</v>
      </c>
      <c r="E184" s="7">
        <v>0.13</v>
      </c>
      <c r="F184" s="7">
        <v>0.13</v>
      </c>
      <c r="G184" s="7">
        <v>0.21</v>
      </c>
      <c r="H184" s="7">
        <v>0.32</v>
      </c>
      <c r="I184" s="7">
        <v>0.35</v>
      </c>
      <c r="J184" s="7">
        <v>0.27</v>
      </c>
      <c r="K184" s="7">
        <v>1.56</v>
      </c>
      <c r="L184" s="7">
        <v>1.86</v>
      </c>
      <c r="M184" s="7">
        <v>0.62</v>
      </c>
      <c r="N184" s="7">
        <v>0.42</v>
      </c>
      <c r="O184" s="7">
        <v>0.75</v>
      </c>
      <c r="P184" s="7">
        <v>1.33</v>
      </c>
      <c r="Q184" s="7">
        <v>0.01</v>
      </c>
    </row>
    <row r="185" spans="1:17">
      <c r="A185" s="2">
        <v>2133</v>
      </c>
      <c r="B185" s="7">
        <v>1.48</v>
      </c>
      <c r="C185" s="7">
        <v>0.22</v>
      </c>
      <c r="D185" s="7">
        <v>0.85</v>
      </c>
      <c r="E185" s="7">
        <v>0.13</v>
      </c>
      <c r="F185" s="7">
        <v>0.13</v>
      </c>
      <c r="G185" s="7">
        <v>0.21</v>
      </c>
      <c r="H185" s="7">
        <v>0.32</v>
      </c>
      <c r="I185" s="7">
        <v>0.35</v>
      </c>
      <c r="J185" s="7">
        <v>0.27</v>
      </c>
      <c r="K185" s="7">
        <v>1.56</v>
      </c>
      <c r="L185" s="7">
        <v>1.86</v>
      </c>
      <c r="M185" s="7">
        <v>0.62</v>
      </c>
      <c r="N185" s="7">
        <v>0.42</v>
      </c>
      <c r="O185" s="7">
        <v>0.75</v>
      </c>
      <c r="P185" s="7">
        <v>1.33</v>
      </c>
      <c r="Q185" s="7">
        <v>0.01</v>
      </c>
    </row>
    <row r="186" spans="1:17">
      <c r="A186" s="2">
        <v>2134</v>
      </c>
      <c r="B186" s="7">
        <v>1.48</v>
      </c>
      <c r="C186" s="7">
        <v>0.22</v>
      </c>
      <c r="D186" s="7">
        <v>0.85</v>
      </c>
      <c r="E186" s="7">
        <v>0.13</v>
      </c>
      <c r="F186" s="7">
        <v>0.13</v>
      </c>
      <c r="G186" s="7">
        <v>0.21</v>
      </c>
      <c r="H186" s="7">
        <v>0.32</v>
      </c>
      <c r="I186" s="7">
        <v>0.35</v>
      </c>
      <c r="J186" s="7">
        <v>0.27</v>
      </c>
      <c r="K186" s="7">
        <v>1.56</v>
      </c>
      <c r="L186" s="7">
        <v>1.86</v>
      </c>
      <c r="M186" s="7">
        <v>0.62</v>
      </c>
      <c r="N186" s="7">
        <v>0.42</v>
      </c>
      <c r="O186" s="7">
        <v>0.75</v>
      </c>
      <c r="P186" s="7">
        <v>1.33</v>
      </c>
      <c r="Q186" s="7">
        <v>0.01</v>
      </c>
    </row>
    <row r="187" spans="1:17">
      <c r="A187" s="2">
        <v>2135</v>
      </c>
      <c r="B187" s="7">
        <v>1.48</v>
      </c>
      <c r="C187" s="7">
        <v>0.22</v>
      </c>
      <c r="D187" s="7">
        <v>0.85</v>
      </c>
      <c r="E187" s="7">
        <v>0.13</v>
      </c>
      <c r="F187" s="7">
        <v>0.13</v>
      </c>
      <c r="G187" s="7">
        <v>0.21</v>
      </c>
      <c r="H187" s="7">
        <v>0.32</v>
      </c>
      <c r="I187" s="7">
        <v>0.35</v>
      </c>
      <c r="J187" s="7">
        <v>0.27</v>
      </c>
      <c r="K187" s="7">
        <v>1.56</v>
      </c>
      <c r="L187" s="7">
        <v>1.87</v>
      </c>
      <c r="M187" s="7">
        <v>0.62</v>
      </c>
      <c r="N187" s="7">
        <v>0.42</v>
      </c>
      <c r="O187" s="7">
        <v>0.75</v>
      </c>
      <c r="P187" s="7">
        <v>1.34</v>
      </c>
      <c r="Q187" s="7">
        <v>0.01</v>
      </c>
    </row>
    <row r="188" spans="1:17">
      <c r="A188" s="2">
        <v>2136</v>
      </c>
      <c r="B188" s="7">
        <v>1.48</v>
      </c>
      <c r="C188" s="7">
        <v>0.22</v>
      </c>
      <c r="D188" s="7">
        <v>0.85</v>
      </c>
      <c r="E188" s="7">
        <v>0.13</v>
      </c>
      <c r="F188" s="7">
        <v>0.13</v>
      </c>
      <c r="G188" s="7">
        <v>0.21</v>
      </c>
      <c r="H188" s="7">
        <v>0.32</v>
      </c>
      <c r="I188" s="7">
        <v>0.35</v>
      </c>
      <c r="J188" s="7">
        <v>0.27</v>
      </c>
      <c r="K188" s="7">
        <v>1.56</v>
      </c>
      <c r="L188" s="7">
        <v>1.87</v>
      </c>
      <c r="M188" s="7">
        <v>0.62</v>
      </c>
      <c r="N188" s="7">
        <v>0.42</v>
      </c>
      <c r="O188" s="7">
        <v>0.75</v>
      </c>
      <c r="P188" s="7">
        <v>1.34</v>
      </c>
      <c r="Q188" s="7">
        <v>0.01</v>
      </c>
    </row>
    <row r="189" spans="1:17">
      <c r="A189" s="2">
        <v>2137</v>
      </c>
      <c r="B189" s="7">
        <v>1.48</v>
      </c>
      <c r="C189" s="7">
        <v>0.22</v>
      </c>
      <c r="D189" s="7">
        <v>0.85</v>
      </c>
      <c r="E189" s="7">
        <v>0.13</v>
      </c>
      <c r="F189" s="7">
        <v>0.13</v>
      </c>
      <c r="G189" s="7">
        <v>0.21</v>
      </c>
      <c r="H189" s="7">
        <v>0.32</v>
      </c>
      <c r="I189" s="7">
        <v>0.35</v>
      </c>
      <c r="J189" s="7">
        <v>0.27</v>
      </c>
      <c r="K189" s="7">
        <v>1.56</v>
      </c>
      <c r="L189" s="7">
        <v>1.87</v>
      </c>
      <c r="M189" s="7">
        <v>0.62</v>
      </c>
      <c r="N189" s="7">
        <v>0.42</v>
      </c>
      <c r="O189" s="7">
        <v>0.75</v>
      </c>
      <c r="P189" s="7">
        <v>1.34</v>
      </c>
      <c r="Q189" s="7">
        <v>0.01</v>
      </c>
    </row>
    <row r="190" spans="1:17">
      <c r="A190" s="2">
        <v>2138</v>
      </c>
      <c r="B190" s="7">
        <v>1.48</v>
      </c>
      <c r="C190" s="7">
        <v>0.22</v>
      </c>
      <c r="D190" s="7">
        <v>0.85</v>
      </c>
      <c r="E190" s="7">
        <v>0.13</v>
      </c>
      <c r="F190" s="7">
        <v>0.13</v>
      </c>
      <c r="G190" s="7">
        <v>0.21</v>
      </c>
      <c r="H190" s="7">
        <v>0.32</v>
      </c>
      <c r="I190" s="7">
        <v>0.35</v>
      </c>
      <c r="J190" s="7">
        <v>0.27</v>
      </c>
      <c r="K190" s="7">
        <v>1.57</v>
      </c>
      <c r="L190" s="7">
        <v>1.87</v>
      </c>
      <c r="M190" s="7">
        <v>0.62</v>
      </c>
      <c r="N190" s="7">
        <v>0.43</v>
      </c>
      <c r="O190" s="7">
        <v>0.75</v>
      </c>
      <c r="P190" s="7">
        <v>1.34</v>
      </c>
      <c r="Q190" s="7">
        <v>0.01</v>
      </c>
    </row>
    <row r="191" spans="1:17">
      <c r="A191" s="2">
        <v>2139</v>
      </c>
      <c r="B191" s="7">
        <v>1.48</v>
      </c>
      <c r="C191" s="7">
        <v>0.22</v>
      </c>
      <c r="D191" s="7">
        <v>0.85</v>
      </c>
      <c r="E191" s="7">
        <v>0.13</v>
      </c>
      <c r="F191" s="7">
        <v>0.13</v>
      </c>
      <c r="G191" s="7">
        <v>0.21</v>
      </c>
      <c r="H191" s="7">
        <v>0.32</v>
      </c>
      <c r="I191" s="7">
        <v>0.35</v>
      </c>
      <c r="J191" s="7">
        <v>0.27</v>
      </c>
      <c r="K191" s="7">
        <v>1.57</v>
      </c>
      <c r="L191" s="7">
        <v>1.87</v>
      </c>
      <c r="M191" s="7">
        <v>0.62</v>
      </c>
      <c r="N191" s="7">
        <v>0.43</v>
      </c>
      <c r="O191" s="7">
        <v>0.75</v>
      </c>
      <c r="P191" s="7">
        <v>1.34</v>
      </c>
      <c r="Q191" s="7">
        <v>0.01</v>
      </c>
    </row>
    <row r="192" spans="1:17">
      <c r="A192" s="2">
        <v>2140</v>
      </c>
      <c r="B192" s="7">
        <v>1.48</v>
      </c>
      <c r="C192" s="7">
        <v>0.22</v>
      </c>
      <c r="D192" s="7">
        <v>0.85</v>
      </c>
      <c r="E192" s="7">
        <v>0.13</v>
      </c>
      <c r="F192" s="7">
        <v>0.13</v>
      </c>
      <c r="G192" s="7">
        <v>0.21</v>
      </c>
      <c r="H192" s="7">
        <v>0.32</v>
      </c>
      <c r="I192" s="7">
        <v>0.35</v>
      </c>
      <c r="J192" s="7">
        <v>0.27</v>
      </c>
      <c r="K192" s="7">
        <v>1.57</v>
      </c>
      <c r="L192" s="7">
        <v>1.87</v>
      </c>
      <c r="M192" s="7">
        <v>0.62</v>
      </c>
      <c r="N192" s="7">
        <v>0.43</v>
      </c>
      <c r="O192" s="7">
        <v>0.75</v>
      </c>
      <c r="P192" s="7">
        <v>1.34</v>
      </c>
      <c r="Q192" s="7">
        <v>0.01</v>
      </c>
    </row>
    <row r="193" spans="1:17">
      <c r="A193" s="2">
        <v>2141</v>
      </c>
      <c r="B193" s="7">
        <v>1.48</v>
      </c>
      <c r="C193" s="7">
        <v>0.22</v>
      </c>
      <c r="D193" s="7">
        <v>0.85</v>
      </c>
      <c r="E193" s="7">
        <v>0.14000000000000001</v>
      </c>
      <c r="F193" s="7">
        <v>0.13</v>
      </c>
      <c r="G193" s="7">
        <v>0.21</v>
      </c>
      <c r="H193" s="7">
        <v>0.32</v>
      </c>
      <c r="I193" s="7">
        <v>0.35</v>
      </c>
      <c r="J193" s="7">
        <v>0.27</v>
      </c>
      <c r="K193" s="7">
        <v>1.57</v>
      </c>
      <c r="L193" s="7">
        <v>1.87</v>
      </c>
      <c r="M193" s="7">
        <v>0.62</v>
      </c>
      <c r="N193" s="7">
        <v>0.43</v>
      </c>
      <c r="O193" s="7">
        <v>0.75</v>
      </c>
      <c r="P193" s="7">
        <v>1.34</v>
      </c>
      <c r="Q193" s="7">
        <v>0.01</v>
      </c>
    </row>
    <row r="194" spans="1:17">
      <c r="A194" s="2">
        <v>2142</v>
      </c>
      <c r="B194" s="7">
        <v>1.49</v>
      </c>
      <c r="C194" s="7">
        <v>0.22</v>
      </c>
      <c r="D194" s="7">
        <v>0.86</v>
      </c>
      <c r="E194" s="7">
        <v>0.14000000000000001</v>
      </c>
      <c r="F194" s="7">
        <v>0.13</v>
      </c>
      <c r="G194" s="7">
        <v>0.21</v>
      </c>
      <c r="H194" s="7">
        <v>0.32</v>
      </c>
      <c r="I194" s="7">
        <v>0.35</v>
      </c>
      <c r="J194" s="7">
        <v>0.27</v>
      </c>
      <c r="K194" s="7">
        <v>1.57</v>
      </c>
      <c r="L194" s="7">
        <v>1.87</v>
      </c>
      <c r="M194" s="7">
        <v>0.62</v>
      </c>
      <c r="N194" s="7">
        <v>0.43</v>
      </c>
      <c r="O194" s="7">
        <v>0.75</v>
      </c>
      <c r="P194" s="7">
        <v>1.34</v>
      </c>
      <c r="Q194" s="7">
        <v>0.01</v>
      </c>
    </row>
    <row r="195" spans="1:17">
      <c r="A195" s="2">
        <v>2143</v>
      </c>
      <c r="B195" s="7">
        <v>1.49</v>
      </c>
      <c r="C195" s="7">
        <v>0.22</v>
      </c>
      <c r="D195" s="7">
        <v>0.86</v>
      </c>
      <c r="E195" s="7">
        <v>0.14000000000000001</v>
      </c>
      <c r="F195" s="7">
        <v>0.13</v>
      </c>
      <c r="G195" s="7">
        <v>0.21</v>
      </c>
      <c r="H195" s="7">
        <v>0.32</v>
      </c>
      <c r="I195" s="7">
        <v>0.35</v>
      </c>
      <c r="J195" s="7">
        <v>0.27</v>
      </c>
      <c r="K195" s="7">
        <v>1.57</v>
      </c>
      <c r="L195" s="7">
        <v>1.87</v>
      </c>
      <c r="M195" s="7">
        <v>0.62</v>
      </c>
      <c r="N195" s="7">
        <v>0.43</v>
      </c>
      <c r="O195" s="7">
        <v>0.75</v>
      </c>
      <c r="P195" s="7">
        <v>1.34</v>
      </c>
      <c r="Q195" s="7">
        <v>0.01</v>
      </c>
    </row>
    <row r="196" spans="1:17">
      <c r="A196" s="2">
        <v>2144</v>
      </c>
      <c r="B196" s="7">
        <v>1.49</v>
      </c>
      <c r="C196" s="7">
        <v>0.22</v>
      </c>
      <c r="D196" s="7">
        <v>0.86</v>
      </c>
      <c r="E196" s="7">
        <v>0.14000000000000001</v>
      </c>
      <c r="F196" s="7">
        <v>0.13</v>
      </c>
      <c r="G196" s="7">
        <v>0.21</v>
      </c>
      <c r="H196" s="7">
        <v>0.32</v>
      </c>
      <c r="I196" s="7">
        <v>0.35</v>
      </c>
      <c r="J196" s="7">
        <v>0.27</v>
      </c>
      <c r="K196" s="7">
        <v>1.57</v>
      </c>
      <c r="L196" s="7">
        <v>1.88</v>
      </c>
      <c r="M196" s="7">
        <v>0.62</v>
      </c>
      <c r="N196" s="7">
        <v>0.43</v>
      </c>
      <c r="O196" s="7">
        <v>0.75</v>
      </c>
      <c r="P196" s="7">
        <v>1.34</v>
      </c>
      <c r="Q196" s="7">
        <v>0.01</v>
      </c>
    </row>
    <row r="197" spans="1:17">
      <c r="A197" s="2">
        <v>2145</v>
      </c>
      <c r="B197" s="7">
        <v>1.49</v>
      </c>
      <c r="C197" s="7">
        <v>0.22</v>
      </c>
      <c r="D197" s="7">
        <v>0.86</v>
      </c>
      <c r="E197" s="7">
        <v>0.14000000000000001</v>
      </c>
      <c r="F197" s="7">
        <v>0.13</v>
      </c>
      <c r="G197" s="7">
        <v>0.21</v>
      </c>
      <c r="H197" s="7">
        <v>0.32</v>
      </c>
      <c r="I197" s="7">
        <v>0.35</v>
      </c>
      <c r="J197" s="7">
        <v>0.27</v>
      </c>
      <c r="K197" s="7">
        <v>1.57</v>
      </c>
      <c r="L197" s="7">
        <v>1.88</v>
      </c>
      <c r="M197" s="7">
        <v>0.62</v>
      </c>
      <c r="N197" s="7">
        <v>0.43</v>
      </c>
      <c r="O197" s="7">
        <v>0.75</v>
      </c>
      <c r="P197" s="7">
        <v>1.34</v>
      </c>
      <c r="Q197" s="7">
        <v>0.01</v>
      </c>
    </row>
    <row r="198" spans="1:17">
      <c r="A198" s="2">
        <v>2146</v>
      </c>
      <c r="B198" s="7">
        <v>1.49</v>
      </c>
      <c r="C198" s="7">
        <v>0.22</v>
      </c>
      <c r="D198" s="7">
        <v>0.86</v>
      </c>
      <c r="E198" s="7">
        <v>0.14000000000000001</v>
      </c>
      <c r="F198" s="7">
        <v>0.13</v>
      </c>
      <c r="G198" s="7">
        <v>0.21</v>
      </c>
      <c r="H198" s="7">
        <v>0.33</v>
      </c>
      <c r="I198" s="7">
        <v>0.35</v>
      </c>
      <c r="J198" s="7">
        <v>0.27</v>
      </c>
      <c r="K198" s="7">
        <v>1.57</v>
      </c>
      <c r="L198" s="7">
        <v>1.88</v>
      </c>
      <c r="M198" s="7">
        <v>0.62</v>
      </c>
      <c r="N198" s="7">
        <v>0.43</v>
      </c>
      <c r="O198" s="7">
        <v>0.75</v>
      </c>
      <c r="P198" s="7">
        <v>1.34</v>
      </c>
      <c r="Q198" s="7">
        <v>0.01</v>
      </c>
    </row>
    <row r="199" spans="1:17">
      <c r="A199" s="2">
        <v>2147</v>
      </c>
      <c r="B199" s="7">
        <v>1.49</v>
      </c>
      <c r="C199" s="7">
        <v>0.23</v>
      </c>
      <c r="D199" s="7">
        <v>0.86</v>
      </c>
      <c r="E199" s="7">
        <v>0.14000000000000001</v>
      </c>
      <c r="F199" s="7">
        <v>0.13</v>
      </c>
      <c r="G199" s="7">
        <v>0.21</v>
      </c>
      <c r="H199" s="7">
        <v>0.33</v>
      </c>
      <c r="I199" s="7">
        <v>0.35</v>
      </c>
      <c r="J199" s="7">
        <v>0.27</v>
      </c>
      <c r="K199" s="7">
        <v>1.57</v>
      </c>
      <c r="L199" s="7">
        <v>1.88</v>
      </c>
      <c r="M199" s="7">
        <v>0.62</v>
      </c>
      <c r="N199" s="7">
        <v>0.43</v>
      </c>
      <c r="O199" s="7">
        <v>0.75</v>
      </c>
      <c r="P199" s="7">
        <v>1.34</v>
      </c>
      <c r="Q199" s="7">
        <v>0.01</v>
      </c>
    </row>
    <row r="200" spans="1:17">
      <c r="A200" s="2">
        <v>2148</v>
      </c>
      <c r="B200" s="7">
        <v>1.49</v>
      </c>
      <c r="C200" s="7">
        <v>0.23</v>
      </c>
      <c r="D200" s="7">
        <v>0.86</v>
      </c>
      <c r="E200" s="7">
        <v>0.14000000000000001</v>
      </c>
      <c r="F200" s="7">
        <v>0.13</v>
      </c>
      <c r="G200" s="7">
        <v>0.21</v>
      </c>
      <c r="H200" s="7">
        <v>0.33</v>
      </c>
      <c r="I200" s="7">
        <v>0.35</v>
      </c>
      <c r="J200" s="7">
        <v>0.27</v>
      </c>
      <c r="K200" s="7">
        <v>1.57</v>
      </c>
      <c r="L200" s="7">
        <v>1.88</v>
      </c>
      <c r="M200" s="7">
        <v>0.62</v>
      </c>
      <c r="N200" s="7">
        <v>0.43</v>
      </c>
      <c r="O200" s="7">
        <v>0.75</v>
      </c>
      <c r="P200" s="7">
        <v>1.34</v>
      </c>
      <c r="Q200" s="7">
        <v>0.01</v>
      </c>
    </row>
    <row r="201" spans="1:17">
      <c r="A201" s="2">
        <v>2149</v>
      </c>
      <c r="B201" s="7">
        <v>1.49</v>
      </c>
      <c r="C201" s="7">
        <v>0.23</v>
      </c>
      <c r="D201" s="7">
        <v>0.86</v>
      </c>
      <c r="E201" s="7">
        <v>0.14000000000000001</v>
      </c>
      <c r="F201" s="7">
        <v>0.13</v>
      </c>
      <c r="G201" s="7">
        <v>0.21</v>
      </c>
      <c r="H201" s="7">
        <v>0.33</v>
      </c>
      <c r="I201" s="7">
        <v>0.35</v>
      </c>
      <c r="J201" s="7">
        <v>0.27</v>
      </c>
      <c r="K201" s="7">
        <v>1.58</v>
      </c>
      <c r="L201" s="7">
        <v>1.88</v>
      </c>
      <c r="M201" s="7">
        <v>0.62</v>
      </c>
      <c r="N201" s="7">
        <v>0.43</v>
      </c>
      <c r="O201" s="7">
        <v>0.75</v>
      </c>
      <c r="P201" s="7">
        <v>1.35</v>
      </c>
      <c r="Q201" s="7">
        <v>0.01</v>
      </c>
    </row>
    <row r="202" spans="1:17">
      <c r="A202" s="2">
        <v>2150</v>
      </c>
      <c r="B202" s="7">
        <v>1.49</v>
      </c>
      <c r="C202" s="7">
        <v>0.23</v>
      </c>
      <c r="D202" s="7">
        <v>0.86</v>
      </c>
      <c r="E202" s="7">
        <v>0.14000000000000001</v>
      </c>
      <c r="F202" s="7">
        <v>0.13</v>
      </c>
      <c r="G202" s="7">
        <v>0.21</v>
      </c>
      <c r="H202" s="7">
        <v>0.33</v>
      </c>
      <c r="I202" s="7">
        <v>0.35</v>
      </c>
      <c r="J202" s="7">
        <v>0.27</v>
      </c>
      <c r="K202" s="7">
        <v>1.58</v>
      </c>
      <c r="L202" s="7">
        <v>1.88</v>
      </c>
      <c r="M202" s="7">
        <v>0.62</v>
      </c>
      <c r="N202" s="7">
        <v>0.43</v>
      </c>
      <c r="O202" s="7">
        <v>0.75</v>
      </c>
      <c r="P202" s="7">
        <v>1.35</v>
      </c>
      <c r="Q202" s="7">
        <v>0.01</v>
      </c>
    </row>
    <row r="203" spans="1:17">
      <c r="A203" s="2">
        <v>2151</v>
      </c>
      <c r="B203" s="7">
        <v>1.49</v>
      </c>
      <c r="C203" s="7">
        <v>0.23</v>
      </c>
      <c r="D203" s="7">
        <v>0.86</v>
      </c>
      <c r="E203" s="7">
        <v>0.14000000000000001</v>
      </c>
      <c r="F203" s="7">
        <v>0.13</v>
      </c>
      <c r="G203" s="7">
        <v>0.21</v>
      </c>
      <c r="H203" s="7">
        <v>0.33</v>
      </c>
      <c r="I203" s="7">
        <v>0.35</v>
      </c>
      <c r="J203" s="7">
        <v>0.27</v>
      </c>
      <c r="K203" s="7">
        <v>1.58</v>
      </c>
      <c r="L203" s="7">
        <v>1.88</v>
      </c>
      <c r="M203" s="7">
        <v>0.62</v>
      </c>
      <c r="N203" s="7">
        <v>0.43</v>
      </c>
      <c r="O203" s="7">
        <v>0.75</v>
      </c>
      <c r="P203" s="7">
        <v>1.35</v>
      </c>
      <c r="Q203" s="7">
        <v>0.01</v>
      </c>
    </row>
    <row r="204" spans="1:17">
      <c r="A204" s="2">
        <v>2152</v>
      </c>
      <c r="B204" s="7">
        <v>1.49</v>
      </c>
      <c r="C204" s="7">
        <v>0.23</v>
      </c>
      <c r="D204" s="7">
        <v>0.86</v>
      </c>
      <c r="E204" s="7">
        <v>0.14000000000000001</v>
      </c>
      <c r="F204" s="7">
        <v>0.13</v>
      </c>
      <c r="G204" s="7">
        <v>0.21</v>
      </c>
      <c r="H204" s="7">
        <v>0.33</v>
      </c>
      <c r="I204" s="7">
        <v>0.35</v>
      </c>
      <c r="J204" s="7">
        <v>0.27</v>
      </c>
      <c r="K204" s="7">
        <v>1.58</v>
      </c>
      <c r="L204" s="7">
        <v>1.88</v>
      </c>
      <c r="M204" s="7">
        <v>0.62</v>
      </c>
      <c r="N204" s="7">
        <v>0.43</v>
      </c>
      <c r="O204" s="7">
        <v>0.75</v>
      </c>
      <c r="P204" s="7">
        <v>1.35</v>
      </c>
      <c r="Q204" s="7">
        <v>0.01</v>
      </c>
    </row>
    <row r="205" spans="1:17">
      <c r="A205" s="2">
        <v>2153</v>
      </c>
      <c r="B205" s="7">
        <v>1.49</v>
      </c>
      <c r="C205" s="7">
        <v>0.23</v>
      </c>
      <c r="D205" s="7">
        <v>0.86</v>
      </c>
      <c r="E205" s="7">
        <v>0.14000000000000001</v>
      </c>
      <c r="F205" s="7">
        <v>0.13</v>
      </c>
      <c r="G205" s="7">
        <v>0.21</v>
      </c>
      <c r="H205" s="7">
        <v>0.33</v>
      </c>
      <c r="I205" s="7">
        <v>0.35</v>
      </c>
      <c r="J205" s="7">
        <v>0.27</v>
      </c>
      <c r="K205" s="7">
        <v>1.58</v>
      </c>
      <c r="L205" s="7">
        <v>1.88</v>
      </c>
      <c r="M205" s="7">
        <v>0.62</v>
      </c>
      <c r="N205" s="7">
        <v>0.43</v>
      </c>
      <c r="O205" s="7">
        <v>0.75</v>
      </c>
      <c r="P205" s="7">
        <v>1.35</v>
      </c>
      <c r="Q205" s="7">
        <v>0.01</v>
      </c>
    </row>
    <row r="206" spans="1:17">
      <c r="A206" s="2">
        <v>2154</v>
      </c>
      <c r="B206" s="7">
        <v>1.5</v>
      </c>
      <c r="C206" s="7">
        <v>0.23</v>
      </c>
      <c r="D206" s="7">
        <v>0.86</v>
      </c>
      <c r="E206" s="7">
        <v>0.14000000000000001</v>
      </c>
      <c r="F206" s="7">
        <v>0.13</v>
      </c>
      <c r="G206" s="7">
        <v>0.21</v>
      </c>
      <c r="H206" s="7">
        <v>0.33</v>
      </c>
      <c r="I206" s="7">
        <v>0.35</v>
      </c>
      <c r="J206" s="7">
        <v>0.27</v>
      </c>
      <c r="K206" s="7">
        <v>1.58</v>
      </c>
      <c r="L206" s="7">
        <v>1.89</v>
      </c>
      <c r="M206" s="7">
        <v>0.62</v>
      </c>
      <c r="N206" s="7">
        <v>0.43</v>
      </c>
      <c r="O206" s="7">
        <v>0.76</v>
      </c>
      <c r="P206" s="7">
        <v>1.35</v>
      </c>
      <c r="Q206" s="7">
        <v>0.01</v>
      </c>
    </row>
    <row r="207" spans="1:17">
      <c r="A207" s="2">
        <v>2155</v>
      </c>
      <c r="B207" s="7">
        <v>1.5</v>
      </c>
      <c r="C207" s="7">
        <v>0.23</v>
      </c>
      <c r="D207" s="7">
        <v>0.86</v>
      </c>
      <c r="E207" s="7">
        <v>0.14000000000000001</v>
      </c>
      <c r="F207" s="7">
        <v>0.13</v>
      </c>
      <c r="G207" s="7">
        <v>0.21</v>
      </c>
      <c r="H207" s="7">
        <v>0.33</v>
      </c>
      <c r="I207" s="7">
        <v>0.35</v>
      </c>
      <c r="J207" s="7">
        <v>0.27</v>
      </c>
      <c r="K207" s="7">
        <v>1.58</v>
      </c>
      <c r="L207" s="7">
        <v>1.89</v>
      </c>
      <c r="M207" s="7">
        <v>0.62</v>
      </c>
      <c r="N207" s="7">
        <v>0.43</v>
      </c>
      <c r="O207" s="7">
        <v>0.76</v>
      </c>
      <c r="P207" s="7">
        <v>1.35</v>
      </c>
      <c r="Q207" s="7">
        <v>0.01</v>
      </c>
    </row>
    <row r="208" spans="1:17">
      <c r="A208" s="2">
        <v>2156</v>
      </c>
      <c r="B208" s="7">
        <v>1.5</v>
      </c>
      <c r="C208" s="7">
        <v>0.23</v>
      </c>
      <c r="D208" s="7">
        <v>0.86</v>
      </c>
      <c r="E208" s="7">
        <v>0.14000000000000001</v>
      </c>
      <c r="F208" s="7">
        <v>0.14000000000000001</v>
      </c>
      <c r="G208" s="7">
        <v>0.21</v>
      </c>
      <c r="H208" s="7">
        <v>0.33</v>
      </c>
      <c r="I208" s="7">
        <v>0.35</v>
      </c>
      <c r="J208" s="7">
        <v>0.27</v>
      </c>
      <c r="K208" s="7">
        <v>1.58</v>
      </c>
      <c r="L208" s="7">
        <v>1.89</v>
      </c>
      <c r="M208" s="7">
        <v>0.63</v>
      </c>
      <c r="N208" s="7">
        <v>0.43</v>
      </c>
      <c r="O208" s="7">
        <v>0.76</v>
      </c>
      <c r="P208" s="7">
        <v>1.35</v>
      </c>
      <c r="Q208" s="7">
        <v>0.01</v>
      </c>
    </row>
    <row r="209" spans="1:17">
      <c r="A209" s="2">
        <v>2157</v>
      </c>
      <c r="B209" s="7">
        <v>1.5</v>
      </c>
      <c r="C209" s="7">
        <v>0.23</v>
      </c>
      <c r="D209" s="7">
        <v>0.86</v>
      </c>
      <c r="E209" s="7">
        <v>0.14000000000000001</v>
      </c>
      <c r="F209" s="7">
        <v>0.14000000000000001</v>
      </c>
      <c r="G209" s="7">
        <v>0.21</v>
      </c>
      <c r="H209" s="7">
        <v>0.33</v>
      </c>
      <c r="I209" s="7">
        <v>0.35</v>
      </c>
      <c r="J209" s="7">
        <v>0.27</v>
      </c>
      <c r="K209" s="7">
        <v>1.58</v>
      </c>
      <c r="L209" s="7">
        <v>1.89</v>
      </c>
      <c r="M209" s="7">
        <v>0.63</v>
      </c>
      <c r="N209" s="7">
        <v>0.43</v>
      </c>
      <c r="O209" s="7">
        <v>0.76</v>
      </c>
      <c r="P209" s="7">
        <v>1.35</v>
      </c>
      <c r="Q209" s="7">
        <v>0.01</v>
      </c>
    </row>
    <row r="210" spans="1:17">
      <c r="A210" s="2">
        <v>2158</v>
      </c>
      <c r="B210" s="7">
        <v>1.5</v>
      </c>
      <c r="C210" s="7">
        <v>0.23</v>
      </c>
      <c r="D210" s="7">
        <v>0.86</v>
      </c>
      <c r="E210" s="7">
        <v>0.14000000000000001</v>
      </c>
      <c r="F210" s="7">
        <v>0.14000000000000001</v>
      </c>
      <c r="G210" s="7">
        <v>0.21</v>
      </c>
      <c r="H210" s="7">
        <v>0.33</v>
      </c>
      <c r="I210" s="7">
        <v>0.35</v>
      </c>
      <c r="J210" s="7">
        <v>0.27</v>
      </c>
      <c r="K210" s="7">
        <v>1.58</v>
      </c>
      <c r="L210" s="7">
        <v>1.89</v>
      </c>
      <c r="M210" s="7">
        <v>0.63</v>
      </c>
      <c r="N210" s="7">
        <v>0.43</v>
      </c>
      <c r="O210" s="7">
        <v>0.76</v>
      </c>
      <c r="P210" s="7">
        <v>1.35</v>
      </c>
      <c r="Q210" s="7">
        <v>0.01</v>
      </c>
    </row>
    <row r="211" spans="1:17">
      <c r="A211" s="2">
        <v>2159</v>
      </c>
      <c r="B211" s="7">
        <v>1.5</v>
      </c>
      <c r="C211" s="7">
        <v>0.23</v>
      </c>
      <c r="D211" s="7">
        <v>0.86</v>
      </c>
      <c r="E211" s="7">
        <v>0.14000000000000001</v>
      </c>
      <c r="F211" s="7">
        <v>0.14000000000000001</v>
      </c>
      <c r="G211" s="7">
        <v>0.21</v>
      </c>
      <c r="H211" s="7">
        <v>0.33</v>
      </c>
      <c r="I211" s="7">
        <v>0.35</v>
      </c>
      <c r="J211" s="7">
        <v>0.27</v>
      </c>
      <c r="K211" s="7">
        <v>1.58</v>
      </c>
      <c r="L211" s="7">
        <v>1.89</v>
      </c>
      <c r="M211" s="7">
        <v>0.63</v>
      </c>
      <c r="N211" s="7">
        <v>0.43</v>
      </c>
      <c r="O211" s="7">
        <v>0.76</v>
      </c>
      <c r="P211" s="7">
        <v>1.35</v>
      </c>
      <c r="Q211" s="7">
        <v>0.01</v>
      </c>
    </row>
    <row r="212" spans="1:17">
      <c r="A212" s="2">
        <v>2160</v>
      </c>
      <c r="B212" s="7">
        <v>1.5</v>
      </c>
      <c r="C212" s="7">
        <v>0.23</v>
      </c>
      <c r="D212" s="7">
        <v>0.86</v>
      </c>
      <c r="E212" s="7">
        <v>0.14000000000000001</v>
      </c>
      <c r="F212" s="7">
        <v>0.14000000000000001</v>
      </c>
      <c r="G212" s="7">
        <v>0.21</v>
      </c>
      <c r="H212" s="7">
        <v>0.33</v>
      </c>
      <c r="I212" s="7">
        <v>0.35</v>
      </c>
      <c r="J212" s="7">
        <v>0.27</v>
      </c>
      <c r="K212" s="7">
        <v>1.59</v>
      </c>
      <c r="L212" s="7">
        <v>1.89</v>
      </c>
      <c r="M212" s="7">
        <v>0.63</v>
      </c>
      <c r="N212" s="7">
        <v>0.43</v>
      </c>
      <c r="O212" s="7">
        <v>0.76</v>
      </c>
      <c r="P212" s="7">
        <v>1.35</v>
      </c>
      <c r="Q212" s="7">
        <v>0.01</v>
      </c>
    </row>
    <row r="213" spans="1:17">
      <c r="A213" s="2">
        <v>2161</v>
      </c>
      <c r="B213" s="7">
        <v>1.5</v>
      </c>
      <c r="C213" s="7">
        <v>0.23</v>
      </c>
      <c r="D213" s="7">
        <v>0.86</v>
      </c>
      <c r="E213" s="7">
        <v>0.14000000000000001</v>
      </c>
      <c r="F213" s="7">
        <v>0.14000000000000001</v>
      </c>
      <c r="G213" s="7">
        <v>0.21</v>
      </c>
      <c r="H213" s="7">
        <v>0.33</v>
      </c>
      <c r="I213" s="7">
        <v>0.35</v>
      </c>
      <c r="J213" s="7">
        <v>0.27</v>
      </c>
      <c r="K213" s="7">
        <v>1.59</v>
      </c>
      <c r="L213" s="7">
        <v>1.89</v>
      </c>
      <c r="M213" s="7">
        <v>0.63</v>
      </c>
      <c r="N213" s="7">
        <v>0.43</v>
      </c>
      <c r="O213" s="7">
        <v>0.76</v>
      </c>
      <c r="P213" s="7">
        <v>1.35</v>
      </c>
      <c r="Q213" s="7">
        <v>0.01</v>
      </c>
    </row>
    <row r="214" spans="1:17">
      <c r="A214" s="2">
        <v>2162</v>
      </c>
      <c r="B214" s="7">
        <v>1.5</v>
      </c>
      <c r="C214" s="7">
        <v>0.23</v>
      </c>
      <c r="D214" s="7">
        <v>0.87</v>
      </c>
      <c r="E214" s="7">
        <v>0.14000000000000001</v>
      </c>
      <c r="F214" s="7">
        <v>0.14000000000000001</v>
      </c>
      <c r="G214" s="7">
        <v>0.21</v>
      </c>
      <c r="H214" s="7">
        <v>0.33</v>
      </c>
      <c r="I214" s="7">
        <v>0.35</v>
      </c>
      <c r="J214" s="7">
        <v>0.27</v>
      </c>
      <c r="K214" s="7">
        <v>1.59</v>
      </c>
      <c r="L214" s="7">
        <v>1.89</v>
      </c>
      <c r="M214" s="7">
        <v>0.63</v>
      </c>
      <c r="N214" s="7">
        <v>0.43</v>
      </c>
      <c r="O214" s="7">
        <v>0.76</v>
      </c>
      <c r="P214" s="7">
        <v>1.36</v>
      </c>
      <c r="Q214" s="7">
        <v>0.01</v>
      </c>
    </row>
    <row r="215" spans="1:17">
      <c r="A215" s="2">
        <v>2163</v>
      </c>
      <c r="B215" s="7">
        <v>1.5</v>
      </c>
      <c r="C215" s="7">
        <v>0.23</v>
      </c>
      <c r="D215" s="7">
        <v>0.87</v>
      </c>
      <c r="E215" s="7">
        <v>0.14000000000000001</v>
      </c>
      <c r="F215" s="7">
        <v>0.14000000000000001</v>
      </c>
      <c r="G215" s="7">
        <v>0.21</v>
      </c>
      <c r="H215" s="7">
        <v>0.33</v>
      </c>
      <c r="I215" s="7">
        <v>0.35</v>
      </c>
      <c r="J215" s="7">
        <v>0.27</v>
      </c>
      <c r="K215" s="7">
        <v>1.59</v>
      </c>
      <c r="L215" s="7">
        <v>1.89</v>
      </c>
      <c r="M215" s="7">
        <v>0.63</v>
      </c>
      <c r="N215" s="7">
        <v>0.43</v>
      </c>
      <c r="O215" s="7">
        <v>0.76</v>
      </c>
      <c r="P215" s="7">
        <v>1.36</v>
      </c>
      <c r="Q215" s="7">
        <v>0.01</v>
      </c>
    </row>
    <row r="216" spans="1:17">
      <c r="A216" s="2">
        <v>2164</v>
      </c>
      <c r="B216" s="7">
        <v>1.5</v>
      </c>
      <c r="C216" s="7">
        <v>0.23</v>
      </c>
      <c r="D216" s="7">
        <v>0.87</v>
      </c>
      <c r="E216" s="7">
        <v>0.14000000000000001</v>
      </c>
      <c r="F216" s="7">
        <v>0.14000000000000001</v>
      </c>
      <c r="G216" s="7">
        <v>0.21</v>
      </c>
      <c r="H216" s="7">
        <v>0.33</v>
      </c>
      <c r="I216" s="7">
        <v>0.36</v>
      </c>
      <c r="J216" s="7">
        <v>0.27</v>
      </c>
      <c r="K216" s="7">
        <v>1.59</v>
      </c>
      <c r="L216" s="7">
        <v>1.9</v>
      </c>
      <c r="M216" s="7">
        <v>0.63</v>
      </c>
      <c r="N216" s="7">
        <v>0.43</v>
      </c>
      <c r="O216" s="7">
        <v>0.76</v>
      </c>
      <c r="P216" s="7">
        <v>1.36</v>
      </c>
      <c r="Q216" s="7">
        <v>0.01</v>
      </c>
    </row>
    <row r="217" spans="1:17">
      <c r="A217" s="2">
        <v>2165</v>
      </c>
      <c r="B217" s="7">
        <v>1.5</v>
      </c>
      <c r="C217" s="7">
        <v>0.23</v>
      </c>
      <c r="D217" s="7">
        <v>0.87</v>
      </c>
      <c r="E217" s="7">
        <v>0.14000000000000001</v>
      </c>
      <c r="F217" s="7">
        <v>0.14000000000000001</v>
      </c>
      <c r="G217" s="7">
        <v>0.21</v>
      </c>
      <c r="H217" s="7">
        <v>0.33</v>
      </c>
      <c r="I217" s="7">
        <v>0.36</v>
      </c>
      <c r="J217" s="7">
        <v>0.27</v>
      </c>
      <c r="K217" s="7">
        <v>1.59</v>
      </c>
      <c r="L217" s="7">
        <v>1.9</v>
      </c>
      <c r="M217" s="7">
        <v>0.63</v>
      </c>
      <c r="N217" s="7">
        <v>0.43</v>
      </c>
      <c r="O217" s="7">
        <v>0.76</v>
      </c>
      <c r="P217" s="7">
        <v>1.36</v>
      </c>
      <c r="Q217" s="7">
        <v>0.01</v>
      </c>
    </row>
    <row r="218" spans="1:17">
      <c r="A218" s="2">
        <v>2166</v>
      </c>
      <c r="B218" s="7">
        <v>1.51</v>
      </c>
      <c r="C218" s="7">
        <v>0.23</v>
      </c>
      <c r="D218" s="7">
        <v>0.87</v>
      </c>
      <c r="E218" s="7">
        <v>0.14000000000000001</v>
      </c>
      <c r="F218" s="7">
        <v>0.14000000000000001</v>
      </c>
      <c r="G218" s="7">
        <v>0.21</v>
      </c>
      <c r="H218" s="7">
        <v>0.33</v>
      </c>
      <c r="I218" s="7">
        <v>0.36</v>
      </c>
      <c r="J218" s="7">
        <v>0.27</v>
      </c>
      <c r="K218" s="7">
        <v>1.59</v>
      </c>
      <c r="L218" s="7">
        <v>1.9</v>
      </c>
      <c r="M218" s="7">
        <v>0.63</v>
      </c>
      <c r="N218" s="7">
        <v>0.43</v>
      </c>
      <c r="O218" s="7">
        <v>0.76</v>
      </c>
      <c r="P218" s="7">
        <v>1.36</v>
      </c>
      <c r="Q218" s="7">
        <v>0.01</v>
      </c>
    </row>
    <row r="219" spans="1:17">
      <c r="A219" s="2">
        <v>2167</v>
      </c>
      <c r="B219" s="7">
        <v>1.51</v>
      </c>
      <c r="C219" s="7">
        <v>0.23</v>
      </c>
      <c r="D219" s="7">
        <v>0.87</v>
      </c>
      <c r="E219" s="7">
        <v>0.14000000000000001</v>
      </c>
      <c r="F219" s="7">
        <v>0.14000000000000001</v>
      </c>
      <c r="G219" s="7">
        <v>0.21</v>
      </c>
      <c r="H219" s="7">
        <v>0.33</v>
      </c>
      <c r="I219" s="7">
        <v>0.36</v>
      </c>
      <c r="J219" s="7">
        <v>0.27</v>
      </c>
      <c r="K219" s="7">
        <v>1.59</v>
      </c>
      <c r="L219" s="7">
        <v>1.9</v>
      </c>
      <c r="M219" s="7">
        <v>0.63</v>
      </c>
      <c r="N219" s="7">
        <v>0.43</v>
      </c>
      <c r="O219" s="7">
        <v>0.76</v>
      </c>
      <c r="P219" s="7">
        <v>1.36</v>
      </c>
      <c r="Q219" s="7">
        <v>0.01</v>
      </c>
    </row>
    <row r="220" spans="1:17">
      <c r="A220" s="2">
        <v>2168</v>
      </c>
      <c r="B220" s="7">
        <v>1.51</v>
      </c>
      <c r="C220" s="7">
        <v>0.23</v>
      </c>
      <c r="D220" s="7">
        <v>0.87</v>
      </c>
      <c r="E220" s="7">
        <v>0.14000000000000001</v>
      </c>
      <c r="F220" s="7">
        <v>0.14000000000000001</v>
      </c>
      <c r="G220" s="7">
        <v>0.21</v>
      </c>
      <c r="H220" s="7">
        <v>0.33</v>
      </c>
      <c r="I220" s="7">
        <v>0.36</v>
      </c>
      <c r="J220" s="7">
        <v>0.27</v>
      </c>
      <c r="K220" s="7">
        <v>1.59</v>
      </c>
      <c r="L220" s="7">
        <v>1.9</v>
      </c>
      <c r="M220" s="7">
        <v>0.63</v>
      </c>
      <c r="N220" s="7">
        <v>0.43</v>
      </c>
      <c r="O220" s="7">
        <v>0.76</v>
      </c>
      <c r="P220" s="7">
        <v>1.36</v>
      </c>
      <c r="Q220" s="7">
        <v>0.01</v>
      </c>
    </row>
    <row r="221" spans="1:17">
      <c r="A221" s="2">
        <v>2169</v>
      </c>
      <c r="B221" s="7">
        <v>1.51</v>
      </c>
      <c r="C221" s="7">
        <v>0.23</v>
      </c>
      <c r="D221" s="7">
        <v>0.87</v>
      </c>
      <c r="E221" s="7">
        <v>0.14000000000000001</v>
      </c>
      <c r="F221" s="7">
        <v>0.14000000000000001</v>
      </c>
      <c r="G221" s="7">
        <v>0.21</v>
      </c>
      <c r="H221" s="7">
        <v>0.33</v>
      </c>
      <c r="I221" s="7">
        <v>0.36</v>
      </c>
      <c r="J221" s="7">
        <v>0.27</v>
      </c>
      <c r="K221" s="7">
        <v>1.59</v>
      </c>
      <c r="L221" s="7">
        <v>1.9</v>
      </c>
      <c r="M221" s="7">
        <v>0.63</v>
      </c>
      <c r="N221" s="7">
        <v>0.43</v>
      </c>
      <c r="O221" s="7">
        <v>0.76</v>
      </c>
      <c r="P221" s="7">
        <v>1.36</v>
      </c>
      <c r="Q221" s="7">
        <v>0.01</v>
      </c>
    </row>
    <row r="222" spans="1:17">
      <c r="A222" s="2">
        <v>2170</v>
      </c>
      <c r="B222" s="7">
        <v>1.51</v>
      </c>
      <c r="C222" s="7">
        <v>0.23</v>
      </c>
      <c r="D222" s="7">
        <v>0.87</v>
      </c>
      <c r="E222" s="7">
        <v>0.14000000000000001</v>
      </c>
      <c r="F222" s="7">
        <v>0.14000000000000001</v>
      </c>
      <c r="G222" s="7">
        <v>0.21</v>
      </c>
      <c r="H222" s="7">
        <v>0.33</v>
      </c>
      <c r="I222" s="7">
        <v>0.36</v>
      </c>
      <c r="J222" s="7">
        <v>0.27</v>
      </c>
      <c r="K222" s="7">
        <v>1.59</v>
      </c>
      <c r="L222" s="7">
        <v>1.9</v>
      </c>
      <c r="M222" s="7">
        <v>0.63</v>
      </c>
      <c r="N222" s="7">
        <v>0.43</v>
      </c>
      <c r="O222" s="7">
        <v>0.76</v>
      </c>
      <c r="P222" s="7">
        <v>1.36</v>
      </c>
      <c r="Q222" s="7">
        <v>0.01</v>
      </c>
    </row>
    <row r="223" spans="1:17">
      <c r="A223" s="2">
        <v>2171</v>
      </c>
      <c r="B223" s="7">
        <v>1.51</v>
      </c>
      <c r="C223" s="7">
        <v>0.23</v>
      </c>
      <c r="D223" s="7">
        <v>0.87</v>
      </c>
      <c r="E223" s="7">
        <v>0.14000000000000001</v>
      </c>
      <c r="F223" s="7">
        <v>0.14000000000000001</v>
      </c>
      <c r="G223" s="7">
        <v>0.21</v>
      </c>
      <c r="H223" s="7">
        <v>0.33</v>
      </c>
      <c r="I223" s="7">
        <v>0.36</v>
      </c>
      <c r="J223" s="7">
        <v>0.27</v>
      </c>
      <c r="K223" s="7">
        <v>1.59</v>
      </c>
      <c r="L223" s="7">
        <v>1.9</v>
      </c>
      <c r="M223" s="7">
        <v>0.63</v>
      </c>
      <c r="N223" s="7">
        <v>0.43</v>
      </c>
      <c r="O223" s="7">
        <v>0.76</v>
      </c>
      <c r="P223" s="7">
        <v>1.36</v>
      </c>
      <c r="Q223" s="7">
        <v>0.01</v>
      </c>
    </row>
    <row r="224" spans="1:17">
      <c r="A224" s="2">
        <v>2172</v>
      </c>
      <c r="B224" s="7">
        <v>1.51</v>
      </c>
      <c r="C224" s="7">
        <v>0.23</v>
      </c>
      <c r="D224" s="7">
        <v>0.87</v>
      </c>
      <c r="E224" s="7">
        <v>0.14000000000000001</v>
      </c>
      <c r="F224" s="7">
        <v>0.14000000000000001</v>
      </c>
      <c r="G224" s="7">
        <v>0.21</v>
      </c>
      <c r="H224" s="7">
        <v>0.33</v>
      </c>
      <c r="I224" s="7">
        <v>0.36</v>
      </c>
      <c r="J224" s="7">
        <v>0.27</v>
      </c>
      <c r="K224" s="7">
        <v>1.6</v>
      </c>
      <c r="L224" s="7">
        <v>1.9</v>
      </c>
      <c r="M224" s="7">
        <v>0.63</v>
      </c>
      <c r="N224" s="7">
        <v>0.43</v>
      </c>
      <c r="O224" s="7">
        <v>0.76</v>
      </c>
      <c r="P224" s="7">
        <v>1.36</v>
      </c>
      <c r="Q224" s="7">
        <v>0.01</v>
      </c>
    </row>
    <row r="225" spans="1:17">
      <c r="A225" s="2">
        <v>2173</v>
      </c>
      <c r="B225" s="7">
        <v>1.51</v>
      </c>
      <c r="C225" s="7">
        <v>0.23</v>
      </c>
      <c r="D225" s="7">
        <v>0.87</v>
      </c>
      <c r="E225" s="7">
        <v>0.14000000000000001</v>
      </c>
      <c r="F225" s="7">
        <v>0.14000000000000001</v>
      </c>
      <c r="G225" s="7">
        <v>0.21</v>
      </c>
      <c r="H225" s="7">
        <v>0.33</v>
      </c>
      <c r="I225" s="7">
        <v>0.36</v>
      </c>
      <c r="J225" s="7">
        <v>0.27</v>
      </c>
      <c r="K225" s="7">
        <v>1.6</v>
      </c>
      <c r="L225" s="7">
        <v>1.91</v>
      </c>
      <c r="M225" s="7">
        <v>0.63</v>
      </c>
      <c r="N225" s="7">
        <v>0.43</v>
      </c>
      <c r="O225" s="7">
        <v>0.76</v>
      </c>
      <c r="P225" s="7">
        <v>1.36</v>
      </c>
      <c r="Q225" s="7">
        <v>0.01</v>
      </c>
    </row>
    <row r="226" spans="1:17">
      <c r="A226" s="2">
        <v>2174</v>
      </c>
      <c r="B226" s="7">
        <v>1.51</v>
      </c>
      <c r="C226" s="7">
        <v>0.23</v>
      </c>
      <c r="D226" s="7">
        <v>0.87</v>
      </c>
      <c r="E226" s="7">
        <v>0.14000000000000001</v>
      </c>
      <c r="F226" s="7">
        <v>0.14000000000000001</v>
      </c>
      <c r="G226" s="7">
        <v>0.21</v>
      </c>
      <c r="H226" s="7">
        <v>0.33</v>
      </c>
      <c r="I226" s="7">
        <v>0.36</v>
      </c>
      <c r="J226" s="7">
        <v>0.27</v>
      </c>
      <c r="K226" s="7">
        <v>1.6</v>
      </c>
      <c r="L226" s="7">
        <v>1.91</v>
      </c>
      <c r="M226" s="7">
        <v>0.63</v>
      </c>
      <c r="N226" s="7">
        <v>0.43</v>
      </c>
      <c r="O226" s="7">
        <v>0.76</v>
      </c>
      <c r="P226" s="7">
        <v>1.36</v>
      </c>
      <c r="Q226" s="7">
        <v>0.01</v>
      </c>
    </row>
    <row r="227" spans="1:17">
      <c r="A227" s="2">
        <v>2175</v>
      </c>
      <c r="B227" s="7">
        <v>1.51</v>
      </c>
      <c r="C227" s="7">
        <v>0.23</v>
      </c>
      <c r="D227" s="7">
        <v>0.87</v>
      </c>
      <c r="E227" s="7">
        <v>0.14000000000000001</v>
      </c>
      <c r="F227" s="7">
        <v>0.14000000000000001</v>
      </c>
      <c r="G227" s="7">
        <v>0.21</v>
      </c>
      <c r="H227" s="7">
        <v>0.33</v>
      </c>
      <c r="I227" s="7">
        <v>0.36</v>
      </c>
      <c r="J227" s="7">
        <v>0.27</v>
      </c>
      <c r="K227" s="7">
        <v>1.6</v>
      </c>
      <c r="L227" s="7">
        <v>1.91</v>
      </c>
      <c r="M227" s="7">
        <v>0.63</v>
      </c>
      <c r="N227" s="7">
        <v>0.43</v>
      </c>
      <c r="O227" s="7">
        <v>0.76</v>
      </c>
      <c r="P227" s="7">
        <v>1.37</v>
      </c>
      <c r="Q227" s="7">
        <v>0.01</v>
      </c>
    </row>
    <row r="228" spans="1:17">
      <c r="A228" s="2">
        <v>2176</v>
      </c>
      <c r="B228" s="7">
        <v>1.51</v>
      </c>
      <c r="C228" s="7">
        <v>0.23</v>
      </c>
      <c r="D228" s="7">
        <v>0.87</v>
      </c>
      <c r="E228" s="7">
        <v>0.14000000000000001</v>
      </c>
      <c r="F228" s="7">
        <v>0.14000000000000001</v>
      </c>
      <c r="G228" s="7">
        <v>0.21</v>
      </c>
      <c r="H228" s="7">
        <v>0.33</v>
      </c>
      <c r="I228" s="7">
        <v>0.36</v>
      </c>
      <c r="J228" s="7">
        <v>0.27</v>
      </c>
      <c r="K228" s="7">
        <v>1.6</v>
      </c>
      <c r="L228" s="7">
        <v>1.91</v>
      </c>
      <c r="M228" s="7">
        <v>0.63</v>
      </c>
      <c r="N228" s="7">
        <v>0.43</v>
      </c>
      <c r="O228" s="7">
        <v>0.76</v>
      </c>
      <c r="P228" s="7">
        <v>1.37</v>
      </c>
      <c r="Q228" s="7">
        <v>0.01</v>
      </c>
    </row>
    <row r="229" spans="1:17">
      <c r="A229" s="2">
        <v>2177</v>
      </c>
      <c r="B229" s="7">
        <v>1.51</v>
      </c>
      <c r="C229" s="7">
        <v>0.23</v>
      </c>
      <c r="D229" s="7">
        <v>0.87</v>
      </c>
      <c r="E229" s="7">
        <v>0.14000000000000001</v>
      </c>
      <c r="F229" s="7">
        <v>0.14000000000000001</v>
      </c>
      <c r="G229" s="7">
        <v>0.21</v>
      </c>
      <c r="H229" s="7">
        <v>0.33</v>
      </c>
      <c r="I229" s="7">
        <v>0.36</v>
      </c>
      <c r="J229" s="7">
        <v>0.27</v>
      </c>
      <c r="K229" s="7">
        <v>1.6</v>
      </c>
      <c r="L229" s="7">
        <v>1.91</v>
      </c>
      <c r="M229" s="7">
        <v>0.63</v>
      </c>
      <c r="N229" s="7">
        <v>0.43</v>
      </c>
      <c r="O229" s="7">
        <v>0.76</v>
      </c>
      <c r="P229" s="7">
        <v>1.37</v>
      </c>
      <c r="Q229" s="7">
        <v>0.01</v>
      </c>
    </row>
    <row r="230" spans="1:17">
      <c r="A230" s="2">
        <v>2178</v>
      </c>
      <c r="B230" s="7">
        <v>1.52</v>
      </c>
      <c r="C230" s="7">
        <v>0.23</v>
      </c>
      <c r="D230" s="7">
        <v>0.87</v>
      </c>
      <c r="E230" s="7">
        <v>0.14000000000000001</v>
      </c>
      <c r="F230" s="7">
        <v>0.14000000000000001</v>
      </c>
      <c r="G230" s="7">
        <v>0.21</v>
      </c>
      <c r="H230" s="7">
        <v>0.33</v>
      </c>
      <c r="I230" s="7">
        <v>0.36</v>
      </c>
      <c r="J230" s="7">
        <v>0.27</v>
      </c>
      <c r="K230" s="7">
        <v>1.6</v>
      </c>
      <c r="L230" s="7">
        <v>1.91</v>
      </c>
      <c r="M230" s="7">
        <v>0.63</v>
      </c>
      <c r="N230" s="7">
        <v>0.43</v>
      </c>
      <c r="O230" s="7">
        <v>0.77</v>
      </c>
      <c r="P230" s="7">
        <v>1.37</v>
      </c>
      <c r="Q230" s="7">
        <v>0.01</v>
      </c>
    </row>
    <row r="231" spans="1:17">
      <c r="A231" s="2">
        <v>2179</v>
      </c>
      <c r="B231" s="7">
        <v>1.52</v>
      </c>
      <c r="C231" s="7">
        <v>0.23</v>
      </c>
      <c r="D231" s="7">
        <v>0.87</v>
      </c>
      <c r="E231" s="7">
        <v>0.14000000000000001</v>
      </c>
      <c r="F231" s="7">
        <v>0.14000000000000001</v>
      </c>
      <c r="G231" s="7">
        <v>0.21</v>
      </c>
      <c r="H231" s="7">
        <v>0.33</v>
      </c>
      <c r="I231" s="7">
        <v>0.36</v>
      </c>
      <c r="J231" s="7">
        <v>0.27</v>
      </c>
      <c r="K231" s="7">
        <v>1.6</v>
      </c>
      <c r="L231" s="7">
        <v>1.91</v>
      </c>
      <c r="M231" s="7">
        <v>0.63</v>
      </c>
      <c r="N231" s="7">
        <v>0.43</v>
      </c>
      <c r="O231" s="7">
        <v>0.77</v>
      </c>
      <c r="P231" s="7">
        <v>1.37</v>
      </c>
      <c r="Q231" s="7">
        <v>0.01</v>
      </c>
    </row>
    <row r="232" spans="1:17">
      <c r="A232" s="2">
        <v>2180</v>
      </c>
      <c r="B232" s="7">
        <v>1.52</v>
      </c>
      <c r="C232" s="7">
        <v>0.23</v>
      </c>
      <c r="D232" s="7">
        <v>0.87</v>
      </c>
      <c r="E232" s="7">
        <v>0.14000000000000001</v>
      </c>
      <c r="F232" s="7">
        <v>0.14000000000000001</v>
      </c>
      <c r="G232" s="7">
        <v>0.21</v>
      </c>
      <c r="H232" s="7">
        <v>0.33</v>
      </c>
      <c r="I232" s="7">
        <v>0.36</v>
      </c>
      <c r="J232" s="7">
        <v>0.27</v>
      </c>
      <c r="K232" s="7">
        <v>1.6</v>
      </c>
      <c r="L232" s="7">
        <v>1.91</v>
      </c>
      <c r="M232" s="7">
        <v>0.63</v>
      </c>
      <c r="N232" s="7">
        <v>0.44</v>
      </c>
      <c r="O232" s="7">
        <v>0.77</v>
      </c>
      <c r="P232" s="7">
        <v>1.37</v>
      </c>
      <c r="Q232" s="7">
        <v>0.01</v>
      </c>
    </row>
    <row r="233" spans="1:17">
      <c r="A233" s="2">
        <v>2181</v>
      </c>
      <c r="B233" s="7">
        <v>1.52</v>
      </c>
      <c r="C233" s="7">
        <v>0.23</v>
      </c>
      <c r="D233" s="7">
        <v>0.87</v>
      </c>
      <c r="E233" s="7">
        <v>0.14000000000000001</v>
      </c>
      <c r="F233" s="7">
        <v>0.14000000000000001</v>
      </c>
      <c r="G233" s="7">
        <v>0.21</v>
      </c>
      <c r="H233" s="7">
        <v>0.33</v>
      </c>
      <c r="I233" s="7">
        <v>0.36</v>
      </c>
      <c r="J233" s="7">
        <v>0.27</v>
      </c>
      <c r="K233" s="7">
        <v>1.6</v>
      </c>
      <c r="L233" s="7">
        <v>1.91</v>
      </c>
      <c r="M233" s="7">
        <v>0.63</v>
      </c>
      <c r="N233" s="7">
        <v>0.44</v>
      </c>
      <c r="O233" s="7">
        <v>0.77</v>
      </c>
      <c r="P233" s="7">
        <v>1.37</v>
      </c>
      <c r="Q233" s="7">
        <v>0.01</v>
      </c>
    </row>
    <row r="234" spans="1:17">
      <c r="A234" s="2">
        <v>2182</v>
      </c>
      <c r="B234" s="7">
        <v>1.52</v>
      </c>
      <c r="C234" s="7">
        <v>0.23</v>
      </c>
      <c r="D234" s="7">
        <v>0.87</v>
      </c>
      <c r="E234" s="7">
        <v>0.14000000000000001</v>
      </c>
      <c r="F234" s="7">
        <v>0.14000000000000001</v>
      </c>
      <c r="G234" s="7">
        <v>0.21</v>
      </c>
      <c r="H234" s="7">
        <v>0.33</v>
      </c>
      <c r="I234" s="7">
        <v>0.36</v>
      </c>
      <c r="J234" s="7">
        <v>0.27</v>
      </c>
      <c r="K234" s="7">
        <v>1.6</v>
      </c>
      <c r="L234" s="7">
        <v>1.91</v>
      </c>
      <c r="M234" s="7">
        <v>0.63</v>
      </c>
      <c r="N234" s="7">
        <v>0.44</v>
      </c>
      <c r="O234" s="7">
        <v>0.77</v>
      </c>
      <c r="P234" s="7">
        <v>1.37</v>
      </c>
      <c r="Q234" s="7">
        <v>0.01</v>
      </c>
    </row>
    <row r="235" spans="1:17">
      <c r="A235" s="2">
        <v>2183</v>
      </c>
      <c r="B235" s="7">
        <v>1.52</v>
      </c>
      <c r="C235" s="7">
        <v>0.23</v>
      </c>
      <c r="D235" s="7">
        <v>0.88</v>
      </c>
      <c r="E235" s="7">
        <v>0.14000000000000001</v>
      </c>
      <c r="F235" s="7">
        <v>0.14000000000000001</v>
      </c>
      <c r="G235" s="7">
        <v>0.21</v>
      </c>
      <c r="H235" s="7">
        <v>0.33</v>
      </c>
      <c r="I235" s="7">
        <v>0.36</v>
      </c>
      <c r="J235" s="7">
        <v>0.27</v>
      </c>
      <c r="K235" s="7">
        <v>1.61</v>
      </c>
      <c r="L235" s="7">
        <v>1.92</v>
      </c>
      <c r="M235" s="7">
        <v>0.63</v>
      </c>
      <c r="N235" s="7">
        <v>0.44</v>
      </c>
      <c r="O235" s="7">
        <v>0.77</v>
      </c>
      <c r="P235" s="7">
        <v>1.37</v>
      </c>
      <c r="Q235" s="7">
        <v>0.01</v>
      </c>
    </row>
    <row r="236" spans="1:17">
      <c r="A236" s="2">
        <v>2184</v>
      </c>
      <c r="B236" s="7">
        <v>1.52</v>
      </c>
      <c r="C236" s="7">
        <v>0.23</v>
      </c>
      <c r="D236" s="7">
        <v>0.88</v>
      </c>
      <c r="E236" s="7">
        <v>0.14000000000000001</v>
      </c>
      <c r="F236" s="7">
        <v>0.14000000000000001</v>
      </c>
      <c r="G236" s="7">
        <v>0.21</v>
      </c>
      <c r="H236" s="7">
        <v>0.33</v>
      </c>
      <c r="I236" s="7">
        <v>0.36</v>
      </c>
      <c r="J236" s="7">
        <v>0.27</v>
      </c>
      <c r="K236" s="7">
        <v>1.61</v>
      </c>
      <c r="L236" s="7">
        <v>1.92</v>
      </c>
      <c r="M236" s="7">
        <v>0.63</v>
      </c>
      <c r="N236" s="7">
        <v>0.44</v>
      </c>
      <c r="O236" s="7">
        <v>0.77</v>
      </c>
      <c r="P236" s="7">
        <v>1.37</v>
      </c>
      <c r="Q236" s="7">
        <v>0.01</v>
      </c>
    </row>
    <row r="237" spans="1:17">
      <c r="A237" s="2">
        <v>2185</v>
      </c>
      <c r="B237" s="7">
        <v>1.52</v>
      </c>
      <c r="C237" s="7">
        <v>0.23</v>
      </c>
      <c r="D237" s="7">
        <v>0.88</v>
      </c>
      <c r="E237" s="7">
        <v>0.14000000000000001</v>
      </c>
      <c r="F237" s="7">
        <v>0.14000000000000001</v>
      </c>
      <c r="G237" s="7">
        <v>0.21</v>
      </c>
      <c r="H237" s="7">
        <v>0.33</v>
      </c>
      <c r="I237" s="7">
        <v>0.36</v>
      </c>
      <c r="J237" s="7">
        <v>0.27</v>
      </c>
      <c r="K237" s="7">
        <v>1.61</v>
      </c>
      <c r="L237" s="7">
        <v>1.92</v>
      </c>
      <c r="M237" s="7">
        <v>0.64</v>
      </c>
      <c r="N237" s="7">
        <v>0.44</v>
      </c>
      <c r="O237" s="7">
        <v>0.77</v>
      </c>
      <c r="P237" s="7">
        <v>1.37</v>
      </c>
      <c r="Q237" s="7">
        <v>0.01</v>
      </c>
    </row>
    <row r="238" spans="1:17">
      <c r="A238" s="2">
        <v>2186</v>
      </c>
      <c r="B238" s="7">
        <v>1.52</v>
      </c>
      <c r="C238" s="7">
        <v>0.23</v>
      </c>
      <c r="D238" s="7">
        <v>0.88</v>
      </c>
      <c r="E238" s="7">
        <v>0.14000000000000001</v>
      </c>
      <c r="F238" s="7">
        <v>0.14000000000000001</v>
      </c>
      <c r="G238" s="7">
        <v>0.21</v>
      </c>
      <c r="H238" s="7">
        <v>0.33</v>
      </c>
      <c r="I238" s="7">
        <v>0.36</v>
      </c>
      <c r="J238" s="7">
        <v>0.27</v>
      </c>
      <c r="K238" s="7">
        <v>1.61</v>
      </c>
      <c r="L238" s="7">
        <v>1.92</v>
      </c>
      <c r="M238" s="7">
        <v>0.64</v>
      </c>
      <c r="N238" s="7">
        <v>0.44</v>
      </c>
      <c r="O238" s="7">
        <v>0.77</v>
      </c>
      <c r="P238" s="7">
        <v>1.37</v>
      </c>
      <c r="Q238" s="7">
        <v>0.01</v>
      </c>
    </row>
    <row r="239" spans="1:17">
      <c r="A239" s="2">
        <v>2187</v>
      </c>
      <c r="B239" s="7">
        <v>1.52</v>
      </c>
      <c r="C239" s="7">
        <v>0.23</v>
      </c>
      <c r="D239" s="7">
        <v>0.88</v>
      </c>
      <c r="E239" s="7">
        <v>0.14000000000000001</v>
      </c>
      <c r="F239" s="7">
        <v>0.14000000000000001</v>
      </c>
      <c r="G239" s="7">
        <v>0.21</v>
      </c>
      <c r="H239" s="7">
        <v>0.33</v>
      </c>
      <c r="I239" s="7">
        <v>0.36</v>
      </c>
      <c r="J239" s="7">
        <v>0.27</v>
      </c>
      <c r="K239" s="7">
        <v>1.61</v>
      </c>
      <c r="L239" s="7">
        <v>1.92</v>
      </c>
      <c r="M239" s="7">
        <v>0.64</v>
      </c>
      <c r="N239" s="7">
        <v>0.44</v>
      </c>
      <c r="O239" s="7">
        <v>0.77</v>
      </c>
      <c r="P239" s="7">
        <v>1.37</v>
      </c>
      <c r="Q239" s="7">
        <v>0.01</v>
      </c>
    </row>
    <row r="240" spans="1:17">
      <c r="A240" s="2">
        <v>2188</v>
      </c>
      <c r="B240" s="7">
        <v>1.52</v>
      </c>
      <c r="C240" s="7">
        <v>0.23</v>
      </c>
      <c r="D240" s="7">
        <v>0.88</v>
      </c>
      <c r="E240" s="7">
        <v>0.14000000000000001</v>
      </c>
      <c r="F240" s="7">
        <v>0.14000000000000001</v>
      </c>
      <c r="G240" s="7">
        <v>0.21</v>
      </c>
      <c r="H240" s="7">
        <v>0.33</v>
      </c>
      <c r="I240" s="7">
        <v>0.36</v>
      </c>
      <c r="J240" s="7">
        <v>0.28000000000000003</v>
      </c>
      <c r="K240" s="7">
        <v>1.61</v>
      </c>
      <c r="L240" s="7">
        <v>1.92</v>
      </c>
      <c r="M240" s="7">
        <v>0.64</v>
      </c>
      <c r="N240" s="7">
        <v>0.44</v>
      </c>
      <c r="O240" s="7">
        <v>0.77</v>
      </c>
      <c r="P240" s="7">
        <v>1.37</v>
      </c>
      <c r="Q240" s="7">
        <v>0.01</v>
      </c>
    </row>
    <row r="241" spans="1:17">
      <c r="A241" s="2">
        <v>2189</v>
      </c>
      <c r="B241" s="7">
        <v>1.52</v>
      </c>
      <c r="C241" s="7">
        <v>0.23</v>
      </c>
      <c r="D241" s="7">
        <v>0.88</v>
      </c>
      <c r="E241" s="7">
        <v>0.14000000000000001</v>
      </c>
      <c r="F241" s="7">
        <v>0.14000000000000001</v>
      </c>
      <c r="G241" s="7">
        <v>0.21</v>
      </c>
      <c r="H241" s="7">
        <v>0.33</v>
      </c>
      <c r="I241" s="7">
        <v>0.36</v>
      </c>
      <c r="J241" s="7">
        <v>0.28000000000000003</v>
      </c>
      <c r="K241" s="7">
        <v>1.61</v>
      </c>
      <c r="L241" s="7">
        <v>1.92</v>
      </c>
      <c r="M241" s="7">
        <v>0.64</v>
      </c>
      <c r="N241" s="7">
        <v>0.44</v>
      </c>
      <c r="O241" s="7">
        <v>0.77</v>
      </c>
      <c r="P241" s="7">
        <v>1.38</v>
      </c>
      <c r="Q241" s="7">
        <v>0.01</v>
      </c>
    </row>
    <row r="242" spans="1:17">
      <c r="A242" s="2">
        <v>2190</v>
      </c>
      <c r="B242" s="7">
        <v>1.53</v>
      </c>
      <c r="C242" s="7">
        <v>0.23</v>
      </c>
      <c r="D242" s="7">
        <v>0.88</v>
      </c>
      <c r="E242" s="7">
        <v>0.14000000000000001</v>
      </c>
      <c r="F242" s="7">
        <v>0.14000000000000001</v>
      </c>
      <c r="G242" s="7">
        <v>0.21</v>
      </c>
      <c r="H242" s="7">
        <v>0.33</v>
      </c>
      <c r="I242" s="7">
        <v>0.36</v>
      </c>
      <c r="J242" s="7">
        <v>0.28000000000000003</v>
      </c>
      <c r="K242" s="7">
        <v>1.61</v>
      </c>
      <c r="L242" s="7">
        <v>1.92</v>
      </c>
      <c r="M242" s="7">
        <v>0.64</v>
      </c>
      <c r="N242" s="7">
        <v>0.44</v>
      </c>
      <c r="O242" s="7">
        <v>0.77</v>
      </c>
      <c r="P242" s="7">
        <v>1.38</v>
      </c>
      <c r="Q242" s="7">
        <v>0.01</v>
      </c>
    </row>
    <row r="243" spans="1:17">
      <c r="A243" s="2">
        <v>2191</v>
      </c>
      <c r="B243" s="7">
        <v>1.53</v>
      </c>
      <c r="C243" s="7">
        <v>0.23</v>
      </c>
      <c r="D243" s="7">
        <v>0.88</v>
      </c>
      <c r="E243" s="7">
        <v>0.14000000000000001</v>
      </c>
      <c r="F243" s="7">
        <v>0.14000000000000001</v>
      </c>
      <c r="G243" s="7">
        <v>0.21</v>
      </c>
      <c r="H243" s="7">
        <v>0.33</v>
      </c>
      <c r="I243" s="7">
        <v>0.36</v>
      </c>
      <c r="J243" s="7">
        <v>0.28000000000000003</v>
      </c>
      <c r="K243" s="7">
        <v>1.61</v>
      </c>
      <c r="L243" s="7">
        <v>1.92</v>
      </c>
      <c r="M243" s="7">
        <v>0.64</v>
      </c>
      <c r="N243" s="7">
        <v>0.44</v>
      </c>
      <c r="O243" s="7">
        <v>0.77</v>
      </c>
      <c r="P243" s="7">
        <v>1.38</v>
      </c>
      <c r="Q243" s="7">
        <v>0.01</v>
      </c>
    </row>
    <row r="244" spans="1:17">
      <c r="A244" s="2">
        <v>2192</v>
      </c>
      <c r="B244" s="7">
        <v>1.53</v>
      </c>
      <c r="C244" s="7">
        <v>0.23</v>
      </c>
      <c r="D244" s="7">
        <v>0.88</v>
      </c>
      <c r="E244" s="7">
        <v>0.14000000000000001</v>
      </c>
      <c r="F244" s="7">
        <v>0.14000000000000001</v>
      </c>
      <c r="G244" s="7">
        <v>0.21</v>
      </c>
      <c r="H244" s="7">
        <v>0.33</v>
      </c>
      <c r="I244" s="7">
        <v>0.36</v>
      </c>
      <c r="J244" s="7">
        <v>0.28000000000000003</v>
      </c>
      <c r="K244" s="7">
        <v>1.61</v>
      </c>
      <c r="L244" s="7">
        <v>1.93</v>
      </c>
      <c r="M244" s="7">
        <v>0.64</v>
      </c>
      <c r="N244" s="7">
        <v>0.44</v>
      </c>
      <c r="O244" s="7">
        <v>0.77</v>
      </c>
      <c r="P244" s="7">
        <v>1.38</v>
      </c>
      <c r="Q244" s="7">
        <v>0.01</v>
      </c>
    </row>
    <row r="245" spans="1:17">
      <c r="A245" s="2">
        <v>2193</v>
      </c>
      <c r="B245" s="7">
        <v>1.53</v>
      </c>
      <c r="C245" s="7">
        <v>0.23</v>
      </c>
      <c r="D245" s="7">
        <v>0.88</v>
      </c>
      <c r="E245" s="7">
        <v>0.14000000000000001</v>
      </c>
      <c r="F245" s="7">
        <v>0.14000000000000001</v>
      </c>
      <c r="G245" s="7">
        <v>0.21</v>
      </c>
      <c r="H245" s="7">
        <v>0.33</v>
      </c>
      <c r="I245" s="7">
        <v>0.36</v>
      </c>
      <c r="J245" s="7">
        <v>0.28000000000000003</v>
      </c>
      <c r="K245" s="7">
        <v>1.61</v>
      </c>
      <c r="L245" s="7">
        <v>1.93</v>
      </c>
      <c r="M245" s="7">
        <v>0.64</v>
      </c>
      <c r="N245" s="7">
        <v>0.44</v>
      </c>
      <c r="O245" s="7">
        <v>0.77</v>
      </c>
      <c r="P245" s="7">
        <v>1.38</v>
      </c>
      <c r="Q245" s="7">
        <v>0.01</v>
      </c>
    </row>
    <row r="246" spans="1:17">
      <c r="A246" s="2">
        <v>2194</v>
      </c>
      <c r="B246" s="7">
        <v>1.53</v>
      </c>
      <c r="C246" s="7">
        <v>0.23</v>
      </c>
      <c r="D246" s="7">
        <v>0.88</v>
      </c>
      <c r="E246" s="7">
        <v>0.14000000000000001</v>
      </c>
      <c r="F246" s="7">
        <v>0.14000000000000001</v>
      </c>
      <c r="G246" s="7">
        <v>0.21</v>
      </c>
      <c r="H246" s="7">
        <v>0.33</v>
      </c>
      <c r="I246" s="7">
        <v>0.36</v>
      </c>
      <c r="J246" s="7">
        <v>0.28000000000000003</v>
      </c>
      <c r="K246" s="7">
        <v>1.62</v>
      </c>
      <c r="L246" s="7">
        <v>1.93</v>
      </c>
      <c r="M246" s="7">
        <v>0.64</v>
      </c>
      <c r="N246" s="7">
        <v>0.44</v>
      </c>
      <c r="O246" s="7">
        <v>0.77</v>
      </c>
      <c r="P246" s="7">
        <v>1.38</v>
      </c>
      <c r="Q246" s="7">
        <v>0.01</v>
      </c>
    </row>
    <row r="247" spans="1:17">
      <c r="A247" s="2">
        <v>2195</v>
      </c>
      <c r="B247" s="7">
        <v>1.53</v>
      </c>
      <c r="C247" s="7">
        <v>0.23</v>
      </c>
      <c r="D247" s="7">
        <v>0.88</v>
      </c>
      <c r="E247" s="7">
        <v>0.14000000000000001</v>
      </c>
      <c r="F247" s="7">
        <v>0.14000000000000001</v>
      </c>
      <c r="G247" s="7">
        <v>0.21</v>
      </c>
      <c r="H247" s="7">
        <v>0.33</v>
      </c>
      <c r="I247" s="7">
        <v>0.36</v>
      </c>
      <c r="J247" s="7">
        <v>0.28000000000000003</v>
      </c>
      <c r="K247" s="7">
        <v>1.62</v>
      </c>
      <c r="L247" s="7">
        <v>1.93</v>
      </c>
      <c r="M247" s="7">
        <v>0.64</v>
      </c>
      <c r="N247" s="7">
        <v>0.44</v>
      </c>
      <c r="O247" s="7">
        <v>0.77</v>
      </c>
      <c r="P247" s="7">
        <v>1.38</v>
      </c>
      <c r="Q247" s="7">
        <v>0.01</v>
      </c>
    </row>
    <row r="248" spans="1:17">
      <c r="A248" s="2">
        <v>2196</v>
      </c>
      <c r="B248" s="7">
        <v>1.53</v>
      </c>
      <c r="C248" s="7">
        <v>0.23</v>
      </c>
      <c r="D248" s="7">
        <v>0.88</v>
      </c>
      <c r="E248" s="7">
        <v>0.14000000000000001</v>
      </c>
      <c r="F248" s="7">
        <v>0.14000000000000001</v>
      </c>
      <c r="G248" s="7">
        <v>0.21</v>
      </c>
      <c r="H248" s="7">
        <v>0.33</v>
      </c>
      <c r="I248" s="7">
        <v>0.36</v>
      </c>
      <c r="J248" s="7">
        <v>0.28000000000000003</v>
      </c>
      <c r="K248" s="7">
        <v>1.62</v>
      </c>
      <c r="L248" s="7">
        <v>1.93</v>
      </c>
      <c r="M248" s="7">
        <v>0.64</v>
      </c>
      <c r="N248" s="7">
        <v>0.44</v>
      </c>
      <c r="O248" s="7">
        <v>0.77</v>
      </c>
      <c r="P248" s="7">
        <v>1.38</v>
      </c>
      <c r="Q248" s="7">
        <v>0.01</v>
      </c>
    </row>
    <row r="249" spans="1:17">
      <c r="A249" s="2">
        <v>2197</v>
      </c>
      <c r="B249" s="7">
        <v>1.53</v>
      </c>
      <c r="C249" s="7">
        <v>0.23</v>
      </c>
      <c r="D249" s="7">
        <v>0.88</v>
      </c>
      <c r="E249" s="7">
        <v>0.14000000000000001</v>
      </c>
      <c r="F249" s="7">
        <v>0.14000000000000001</v>
      </c>
      <c r="G249" s="7">
        <v>0.21</v>
      </c>
      <c r="H249" s="7">
        <v>0.33</v>
      </c>
      <c r="I249" s="7">
        <v>0.36</v>
      </c>
      <c r="J249" s="7">
        <v>0.28000000000000003</v>
      </c>
      <c r="K249" s="7">
        <v>1.62</v>
      </c>
      <c r="L249" s="7">
        <v>1.93</v>
      </c>
      <c r="M249" s="7">
        <v>0.64</v>
      </c>
      <c r="N249" s="7">
        <v>0.44</v>
      </c>
      <c r="O249" s="7">
        <v>0.77</v>
      </c>
      <c r="P249" s="7">
        <v>1.38</v>
      </c>
      <c r="Q249" s="7">
        <v>0.01</v>
      </c>
    </row>
    <row r="250" spans="1:17">
      <c r="A250" s="2">
        <v>2198</v>
      </c>
      <c r="B250" s="7">
        <v>1.53</v>
      </c>
      <c r="C250" s="7">
        <v>0.23</v>
      </c>
      <c r="D250" s="7">
        <v>0.88</v>
      </c>
      <c r="E250" s="7">
        <v>0.14000000000000001</v>
      </c>
      <c r="F250" s="7">
        <v>0.14000000000000001</v>
      </c>
      <c r="G250" s="7">
        <v>0.21</v>
      </c>
      <c r="H250" s="7">
        <v>0.33</v>
      </c>
      <c r="I250" s="7">
        <v>0.36</v>
      </c>
      <c r="J250" s="7">
        <v>0.28000000000000003</v>
      </c>
      <c r="K250" s="7">
        <v>1.62</v>
      </c>
      <c r="L250" s="7">
        <v>1.93</v>
      </c>
      <c r="M250" s="7">
        <v>0.64</v>
      </c>
      <c r="N250" s="7">
        <v>0.44</v>
      </c>
      <c r="O250" s="7">
        <v>0.77</v>
      </c>
      <c r="P250" s="7">
        <v>1.38</v>
      </c>
      <c r="Q250" s="7">
        <v>0.01</v>
      </c>
    </row>
    <row r="251" spans="1:17">
      <c r="A251" s="2">
        <v>2199</v>
      </c>
      <c r="B251" s="7">
        <v>1.53</v>
      </c>
      <c r="C251" s="7">
        <v>0.23</v>
      </c>
      <c r="D251" s="7">
        <v>0.88</v>
      </c>
      <c r="E251" s="7">
        <v>0.14000000000000001</v>
      </c>
      <c r="F251" s="7">
        <v>0.14000000000000001</v>
      </c>
      <c r="G251" s="7">
        <v>0.21</v>
      </c>
      <c r="H251" s="7">
        <v>0.33</v>
      </c>
      <c r="I251" s="7">
        <v>0.36</v>
      </c>
      <c r="J251" s="7">
        <v>0.28000000000000003</v>
      </c>
      <c r="K251" s="7">
        <v>1.62</v>
      </c>
      <c r="L251" s="7">
        <v>1.93</v>
      </c>
      <c r="M251" s="7">
        <v>0.64</v>
      </c>
      <c r="N251" s="7">
        <v>0.44</v>
      </c>
      <c r="O251" s="7">
        <v>0.77</v>
      </c>
      <c r="P251" s="7">
        <v>1.38</v>
      </c>
      <c r="Q251" s="7">
        <v>0.01</v>
      </c>
    </row>
    <row r="252" spans="1:17">
      <c r="A252" s="2">
        <v>2200</v>
      </c>
      <c r="B252" s="7">
        <v>1.53</v>
      </c>
      <c r="C252" s="7">
        <v>0.23</v>
      </c>
      <c r="D252" s="7">
        <v>0.88</v>
      </c>
      <c r="E252" s="7">
        <v>0.14000000000000001</v>
      </c>
      <c r="F252" s="7">
        <v>0.14000000000000001</v>
      </c>
      <c r="G252" s="7">
        <v>0.21</v>
      </c>
      <c r="H252" s="7">
        <v>0.33</v>
      </c>
      <c r="I252" s="7">
        <v>0.36</v>
      </c>
      <c r="J252" s="7">
        <v>0.28000000000000003</v>
      </c>
      <c r="K252" s="7">
        <v>1.62</v>
      </c>
      <c r="L252" s="7">
        <v>1.93</v>
      </c>
      <c r="M252" s="7">
        <v>0.64</v>
      </c>
      <c r="N252" s="7">
        <v>0.44</v>
      </c>
      <c r="O252" s="7">
        <v>0.77</v>
      </c>
      <c r="P252" s="7">
        <v>1.38</v>
      </c>
      <c r="Q252" s="7">
        <v>0.01</v>
      </c>
    </row>
    <row r="253" spans="1:17">
      <c r="A253" s="2">
        <v>2201</v>
      </c>
      <c r="B253" s="7">
        <v>1.53</v>
      </c>
      <c r="C253" s="7">
        <v>0.23</v>
      </c>
      <c r="D253" s="7">
        <v>0.88</v>
      </c>
      <c r="E253" s="7">
        <v>0.14000000000000001</v>
      </c>
      <c r="F253" s="7">
        <v>0.14000000000000001</v>
      </c>
      <c r="G253" s="7">
        <v>0.21</v>
      </c>
      <c r="H253" s="7">
        <v>0.33</v>
      </c>
      <c r="I253" s="7">
        <v>0.36</v>
      </c>
      <c r="J253" s="7">
        <v>0.28000000000000003</v>
      </c>
      <c r="K253" s="7">
        <v>1.62</v>
      </c>
      <c r="L253" s="7">
        <v>1.93</v>
      </c>
      <c r="M253" s="7">
        <v>0.64</v>
      </c>
      <c r="N253" s="7">
        <v>0.44</v>
      </c>
      <c r="O253" s="7">
        <v>0.77</v>
      </c>
      <c r="P253" s="7">
        <v>1.38</v>
      </c>
      <c r="Q253" s="7">
        <v>0.01</v>
      </c>
    </row>
    <row r="254" spans="1:17">
      <c r="A254" s="2">
        <v>2202</v>
      </c>
      <c r="B254" s="7">
        <v>1.53</v>
      </c>
      <c r="C254" s="7">
        <v>0.23</v>
      </c>
      <c r="D254" s="7">
        <v>0.88</v>
      </c>
      <c r="E254" s="7">
        <v>0.14000000000000001</v>
      </c>
      <c r="F254" s="7">
        <v>0.14000000000000001</v>
      </c>
      <c r="G254" s="7">
        <v>0.21</v>
      </c>
      <c r="H254" s="7">
        <v>0.33</v>
      </c>
      <c r="I254" s="7">
        <v>0.36</v>
      </c>
      <c r="J254" s="7">
        <v>0.28000000000000003</v>
      </c>
      <c r="K254" s="7">
        <v>1.62</v>
      </c>
      <c r="L254" s="7">
        <v>1.93</v>
      </c>
      <c r="M254" s="7">
        <v>0.64</v>
      </c>
      <c r="N254" s="7">
        <v>0.44</v>
      </c>
      <c r="O254" s="7">
        <v>0.77</v>
      </c>
      <c r="P254" s="7">
        <v>1.38</v>
      </c>
      <c r="Q254" s="7">
        <v>0.01</v>
      </c>
    </row>
    <row r="255" spans="1:17">
      <c r="A255" s="2">
        <v>2203</v>
      </c>
      <c r="B255" s="7">
        <v>1.53</v>
      </c>
      <c r="C255" s="7">
        <v>0.23</v>
      </c>
      <c r="D255" s="7">
        <v>0.88</v>
      </c>
      <c r="E255" s="7">
        <v>0.14000000000000001</v>
      </c>
      <c r="F255" s="7">
        <v>0.14000000000000001</v>
      </c>
      <c r="G255" s="7">
        <v>0.21</v>
      </c>
      <c r="H255" s="7">
        <v>0.33</v>
      </c>
      <c r="I255" s="7">
        <v>0.36</v>
      </c>
      <c r="J255" s="7">
        <v>0.28000000000000003</v>
      </c>
      <c r="K255" s="7">
        <v>1.62</v>
      </c>
      <c r="L255" s="7">
        <v>1.93</v>
      </c>
      <c r="M255" s="7">
        <v>0.64</v>
      </c>
      <c r="N255" s="7">
        <v>0.44</v>
      </c>
      <c r="O255" s="7">
        <v>0.77</v>
      </c>
      <c r="P255" s="7">
        <v>1.38</v>
      </c>
      <c r="Q255" s="7">
        <v>0.01</v>
      </c>
    </row>
    <row r="256" spans="1:17">
      <c r="A256" s="2">
        <v>2204</v>
      </c>
      <c r="B256" s="7">
        <v>1.53</v>
      </c>
      <c r="C256" s="7">
        <v>0.23</v>
      </c>
      <c r="D256" s="7">
        <v>0.88</v>
      </c>
      <c r="E256" s="7">
        <v>0.14000000000000001</v>
      </c>
      <c r="F256" s="7">
        <v>0.14000000000000001</v>
      </c>
      <c r="G256" s="7">
        <v>0.21</v>
      </c>
      <c r="H256" s="7">
        <v>0.33</v>
      </c>
      <c r="I256" s="7">
        <v>0.36</v>
      </c>
      <c r="J256" s="7">
        <v>0.28000000000000003</v>
      </c>
      <c r="K256" s="7">
        <v>1.62</v>
      </c>
      <c r="L256" s="7">
        <v>1.93</v>
      </c>
      <c r="M256" s="7">
        <v>0.64</v>
      </c>
      <c r="N256" s="7">
        <v>0.44</v>
      </c>
      <c r="O256" s="7">
        <v>0.77</v>
      </c>
      <c r="P256" s="7">
        <v>1.38</v>
      </c>
      <c r="Q256" s="7">
        <v>0.01</v>
      </c>
    </row>
    <row r="257" spans="1:17">
      <c r="A257" s="2">
        <v>2205</v>
      </c>
      <c r="B257" s="7">
        <v>1.53</v>
      </c>
      <c r="C257" s="7">
        <v>0.23</v>
      </c>
      <c r="D257" s="7">
        <v>0.88</v>
      </c>
      <c r="E257" s="7">
        <v>0.14000000000000001</v>
      </c>
      <c r="F257" s="7">
        <v>0.14000000000000001</v>
      </c>
      <c r="G257" s="7">
        <v>0.21</v>
      </c>
      <c r="H257" s="7">
        <v>0.33</v>
      </c>
      <c r="I257" s="7">
        <v>0.36</v>
      </c>
      <c r="J257" s="7">
        <v>0.28000000000000003</v>
      </c>
      <c r="K257" s="7">
        <v>1.62</v>
      </c>
      <c r="L257" s="7">
        <v>1.94</v>
      </c>
      <c r="M257" s="7">
        <v>0.64</v>
      </c>
      <c r="N257" s="7">
        <v>0.44</v>
      </c>
      <c r="O257" s="7">
        <v>0.77</v>
      </c>
      <c r="P257" s="7">
        <v>1.38</v>
      </c>
      <c r="Q257" s="7">
        <v>0.01</v>
      </c>
    </row>
    <row r="258" spans="1:17">
      <c r="A258" s="2">
        <v>2206</v>
      </c>
      <c r="B258" s="7">
        <v>1.54</v>
      </c>
      <c r="C258" s="7">
        <v>0.23</v>
      </c>
      <c r="D258" s="7">
        <v>0.88</v>
      </c>
      <c r="E258" s="7">
        <v>0.14000000000000001</v>
      </c>
      <c r="F258" s="7">
        <v>0.14000000000000001</v>
      </c>
      <c r="G258" s="7">
        <v>0.21</v>
      </c>
      <c r="H258" s="7">
        <v>0.33</v>
      </c>
      <c r="I258" s="7">
        <v>0.36</v>
      </c>
      <c r="J258" s="7">
        <v>0.28000000000000003</v>
      </c>
      <c r="K258" s="7">
        <v>1.63</v>
      </c>
      <c r="L258" s="7">
        <v>1.94</v>
      </c>
      <c r="M258" s="7">
        <v>0.64</v>
      </c>
      <c r="N258" s="7">
        <v>0.44</v>
      </c>
      <c r="O258" s="7">
        <v>0.77</v>
      </c>
      <c r="P258" s="7">
        <v>1.38</v>
      </c>
      <c r="Q258" s="7">
        <v>0.01</v>
      </c>
    </row>
    <row r="259" spans="1:17">
      <c r="A259" s="2">
        <v>2207</v>
      </c>
      <c r="B259" s="7">
        <v>1.54</v>
      </c>
      <c r="C259" s="7">
        <v>0.23</v>
      </c>
      <c r="D259" s="7">
        <v>0.88</v>
      </c>
      <c r="E259" s="7">
        <v>0.14000000000000001</v>
      </c>
      <c r="F259" s="7">
        <v>0.14000000000000001</v>
      </c>
      <c r="G259" s="7">
        <v>0.21</v>
      </c>
      <c r="H259" s="7">
        <v>0.33</v>
      </c>
      <c r="I259" s="7">
        <v>0.36</v>
      </c>
      <c r="J259" s="7">
        <v>0.28000000000000003</v>
      </c>
      <c r="K259" s="7">
        <v>1.63</v>
      </c>
      <c r="L259" s="7">
        <v>1.94</v>
      </c>
      <c r="M259" s="7">
        <v>0.64</v>
      </c>
      <c r="N259" s="7">
        <v>0.44</v>
      </c>
      <c r="O259" s="7">
        <v>0.77</v>
      </c>
      <c r="P259" s="7">
        <v>1.39</v>
      </c>
      <c r="Q259" s="7">
        <v>0.01</v>
      </c>
    </row>
    <row r="260" spans="1:17">
      <c r="A260" s="2">
        <v>2208</v>
      </c>
      <c r="B260" s="7">
        <v>1.54</v>
      </c>
      <c r="C260" s="7">
        <v>0.23</v>
      </c>
      <c r="D260" s="7">
        <v>0.88</v>
      </c>
      <c r="E260" s="7">
        <v>0.14000000000000001</v>
      </c>
      <c r="F260" s="7">
        <v>0.14000000000000001</v>
      </c>
      <c r="G260" s="7">
        <v>0.21</v>
      </c>
      <c r="H260" s="7">
        <v>0.33</v>
      </c>
      <c r="I260" s="7">
        <v>0.36</v>
      </c>
      <c r="J260" s="7">
        <v>0.28000000000000003</v>
      </c>
      <c r="K260" s="7">
        <v>1.63</v>
      </c>
      <c r="L260" s="7">
        <v>1.94</v>
      </c>
      <c r="M260" s="7">
        <v>0.64</v>
      </c>
      <c r="N260" s="7">
        <v>0.44</v>
      </c>
      <c r="O260" s="7">
        <v>0.77</v>
      </c>
      <c r="P260" s="7">
        <v>1.39</v>
      </c>
      <c r="Q260" s="7">
        <v>0.01</v>
      </c>
    </row>
    <row r="261" spans="1:17">
      <c r="A261" s="2">
        <v>2209</v>
      </c>
      <c r="B261" s="7">
        <v>1.54</v>
      </c>
      <c r="C261" s="7">
        <v>0.23</v>
      </c>
      <c r="D261" s="7">
        <v>0.88</v>
      </c>
      <c r="E261" s="7">
        <v>0.14000000000000001</v>
      </c>
      <c r="F261" s="7">
        <v>0.14000000000000001</v>
      </c>
      <c r="G261" s="7">
        <v>0.21</v>
      </c>
      <c r="H261" s="7">
        <v>0.33</v>
      </c>
      <c r="I261" s="7">
        <v>0.36</v>
      </c>
      <c r="J261" s="7">
        <v>0.28000000000000003</v>
      </c>
      <c r="K261" s="7">
        <v>1.63</v>
      </c>
      <c r="L261" s="7">
        <v>1.94</v>
      </c>
      <c r="M261" s="7">
        <v>0.64</v>
      </c>
      <c r="N261" s="7">
        <v>0.44</v>
      </c>
      <c r="O261" s="7">
        <v>0.77</v>
      </c>
      <c r="P261" s="7">
        <v>1.39</v>
      </c>
      <c r="Q261" s="7">
        <v>0.01</v>
      </c>
    </row>
    <row r="262" spans="1:17">
      <c r="A262" s="2">
        <v>2210</v>
      </c>
      <c r="B262" s="7">
        <v>1.54</v>
      </c>
      <c r="C262" s="7">
        <v>0.23</v>
      </c>
      <c r="D262" s="7">
        <v>0.88</v>
      </c>
      <c r="E262" s="7">
        <v>0.14000000000000001</v>
      </c>
      <c r="F262" s="7">
        <v>0.14000000000000001</v>
      </c>
      <c r="G262" s="7">
        <v>0.21</v>
      </c>
      <c r="H262" s="7">
        <v>0.33</v>
      </c>
      <c r="I262" s="7">
        <v>0.36</v>
      </c>
      <c r="J262" s="7">
        <v>0.28000000000000003</v>
      </c>
      <c r="K262" s="7">
        <v>1.63</v>
      </c>
      <c r="L262" s="7">
        <v>1.94</v>
      </c>
      <c r="M262" s="7">
        <v>0.64</v>
      </c>
      <c r="N262" s="7">
        <v>0.44</v>
      </c>
      <c r="O262" s="7">
        <v>0.77</v>
      </c>
      <c r="P262" s="7">
        <v>1.39</v>
      </c>
      <c r="Q262" s="7">
        <v>0.01</v>
      </c>
    </row>
    <row r="263" spans="1:17">
      <c r="A263" s="2">
        <v>2211</v>
      </c>
      <c r="B263" s="7">
        <v>1.54</v>
      </c>
      <c r="C263" s="7">
        <v>0.23</v>
      </c>
      <c r="D263" s="7">
        <v>0.88</v>
      </c>
      <c r="E263" s="7">
        <v>0.14000000000000001</v>
      </c>
      <c r="F263" s="7">
        <v>0.14000000000000001</v>
      </c>
      <c r="G263" s="7">
        <v>0.21</v>
      </c>
      <c r="H263" s="7">
        <v>0.33</v>
      </c>
      <c r="I263" s="7">
        <v>0.36</v>
      </c>
      <c r="J263" s="7">
        <v>0.28000000000000003</v>
      </c>
      <c r="K263" s="7">
        <v>1.63</v>
      </c>
      <c r="L263" s="7">
        <v>1.94</v>
      </c>
      <c r="M263" s="7">
        <v>0.64</v>
      </c>
      <c r="N263" s="7">
        <v>0.44</v>
      </c>
      <c r="O263" s="7">
        <v>0.77</v>
      </c>
      <c r="P263" s="7">
        <v>1.39</v>
      </c>
      <c r="Q263" s="7">
        <v>0.01</v>
      </c>
    </row>
    <row r="264" spans="1:17">
      <c r="A264" s="2">
        <v>2212</v>
      </c>
      <c r="B264" s="7">
        <v>1.54</v>
      </c>
      <c r="C264" s="7">
        <v>0.23</v>
      </c>
      <c r="D264" s="7">
        <v>0.89</v>
      </c>
      <c r="E264" s="7">
        <v>0.14000000000000001</v>
      </c>
      <c r="F264" s="7">
        <v>0.14000000000000001</v>
      </c>
      <c r="G264" s="7">
        <v>0.21</v>
      </c>
      <c r="H264" s="7">
        <v>0.33</v>
      </c>
      <c r="I264" s="7">
        <v>0.36</v>
      </c>
      <c r="J264" s="7">
        <v>0.28000000000000003</v>
      </c>
      <c r="K264" s="7">
        <v>1.63</v>
      </c>
      <c r="L264" s="7">
        <v>1.94</v>
      </c>
      <c r="M264" s="7">
        <v>0.64</v>
      </c>
      <c r="N264" s="7">
        <v>0.44</v>
      </c>
      <c r="O264" s="7">
        <v>0.78</v>
      </c>
      <c r="P264" s="7">
        <v>1.39</v>
      </c>
      <c r="Q264" s="7">
        <v>0.01</v>
      </c>
    </row>
    <row r="265" spans="1:17">
      <c r="A265" s="2">
        <v>2213</v>
      </c>
      <c r="B265" s="7">
        <v>1.54</v>
      </c>
      <c r="C265" s="7">
        <v>0.23</v>
      </c>
      <c r="D265" s="7">
        <v>0.89</v>
      </c>
      <c r="E265" s="7">
        <v>0.14000000000000001</v>
      </c>
      <c r="F265" s="7">
        <v>0.14000000000000001</v>
      </c>
      <c r="G265" s="7">
        <v>0.21</v>
      </c>
      <c r="H265" s="7">
        <v>0.33</v>
      </c>
      <c r="I265" s="7">
        <v>0.36</v>
      </c>
      <c r="J265" s="7">
        <v>0.28000000000000003</v>
      </c>
      <c r="K265" s="7">
        <v>1.63</v>
      </c>
      <c r="L265" s="7">
        <v>1.94</v>
      </c>
      <c r="M265" s="7">
        <v>0.64</v>
      </c>
      <c r="N265" s="7">
        <v>0.44</v>
      </c>
      <c r="O265" s="7">
        <v>0.78</v>
      </c>
      <c r="P265" s="7">
        <v>1.39</v>
      </c>
      <c r="Q265" s="7">
        <v>0.01</v>
      </c>
    </row>
    <row r="266" spans="1:17">
      <c r="A266" s="2">
        <v>2214</v>
      </c>
      <c r="B266" s="7">
        <v>1.54</v>
      </c>
      <c r="C266" s="7">
        <v>0.23</v>
      </c>
      <c r="D266" s="7">
        <v>0.89</v>
      </c>
      <c r="E266" s="7">
        <v>0.14000000000000001</v>
      </c>
      <c r="F266" s="7">
        <v>0.14000000000000001</v>
      </c>
      <c r="G266" s="7">
        <v>0.21</v>
      </c>
      <c r="H266" s="7">
        <v>0.33</v>
      </c>
      <c r="I266" s="7">
        <v>0.36</v>
      </c>
      <c r="J266" s="7">
        <v>0.28000000000000003</v>
      </c>
      <c r="K266" s="7">
        <v>1.63</v>
      </c>
      <c r="L266" s="7">
        <v>1.94</v>
      </c>
      <c r="M266" s="7">
        <v>0.64</v>
      </c>
      <c r="N266" s="7">
        <v>0.44</v>
      </c>
      <c r="O266" s="7">
        <v>0.78</v>
      </c>
      <c r="P266" s="7">
        <v>1.39</v>
      </c>
      <c r="Q266" s="7">
        <v>0.01</v>
      </c>
    </row>
    <row r="267" spans="1:17">
      <c r="A267" s="2">
        <v>2215</v>
      </c>
      <c r="B267" s="7">
        <v>1.54</v>
      </c>
      <c r="C267" s="7">
        <v>0.23</v>
      </c>
      <c r="D267" s="7">
        <v>0.89</v>
      </c>
      <c r="E267" s="7">
        <v>0.14000000000000001</v>
      </c>
      <c r="F267" s="7">
        <v>0.14000000000000001</v>
      </c>
      <c r="G267" s="7">
        <v>0.21</v>
      </c>
      <c r="H267" s="7">
        <v>0.33</v>
      </c>
      <c r="I267" s="7">
        <v>0.36</v>
      </c>
      <c r="J267" s="7">
        <v>0.28000000000000003</v>
      </c>
      <c r="K267" s="7">
        <v>1.63</v>
      </c>
      <c r="L267" s="7">
        <v>1.95</v>
      </c>
      <c r="M267" s="7">
        <v>0.64</v>
      </c>
      <c r="N267" s="7">
        <v>0.44</v>
      </c>
      <c r="O267" s="7">
        <v>0.78</v>
      </c>
      <c r="P267" s="7">
        <v>1.39</v>
      </c>
      <c r="Q267" s="7">
        <v>0.01</v>
      </c>
    </row>
    <row r="268" spans="1:17">
      <c r="A268" s="2">
        <v>2216</v>
      </c>
      <c r="B268" s="7">
        <v>1.54</v>
      </c>
      <c r="C268" s="7">
        <v>0.23</v>
      </c>
      <c r="D268" s="7">
        <v>0.89</v>
      </c>
      <c r="E268" s="7">
        <v>0.14000000000000001</v>
      </c>
      <c r="F268" s="7">
        <v>0.14000000000000001</v>
      </c>
      <c r="G268" s="7">
        <v>0.21</v>
      </c>
      <c r="H268" s="7">
        <v>0.33</v>
      </c>
      <c r="I268" s="7">
        <v>0.36</v>
      </c>
      <c r="J268" s="7">
        <v>0.28000000000000003</v>
      </c>
      <c r="K268" s="7">
        <v>1.64</v>
      </c>
      <c r="L268" s="7">
        <v>1.95</v>
      </c>
      <c r="M268" s="7">
        <v>0.65</v>
      </c>
      <c r="N268" s="7">
        <v>0.44</v>
      </c>
      <c r="O268" s="7">
        <v>0.78</v>
      </c>
      <c r="P268" s="7">
        <v>1.39</v>
      </c>
      <c r="Q268" s="7">
        <v>0.01</v>
      </c>
    </row>
    <row r="269" spans="1:17">
      <c r="A269" s="2">
        <v>2217</v>
      </c>
      <c r="B269" s="7">
        <v>1.54</v>
      </c>
      <c r="C269" s="7">
        <v>0.23</v>
      </c>
      <c r="D269" s="7">
        <v>0.89</v>
      </c>
      <c r="E269" s="7">
        <v>0.14000000000000001</v>
      </c>
      <c r="F269" s="7">
        <v>0.14000000000000001</v>
      </c>
      <c r="G269" s="7">
        <v>0.21</v>
      </c>
      <c r="H269" s="7">
        <v>0.33</v>
      </c>
      <c r="I269" s="7">
        <v>0.36</v>
      </c>
      <c r="J269" s="7">
        <v>0.28000000000000003</v>
      </c>
      <c r="K269" s="7">
        <v>1.64</v>
      </c>
      <c r="L269" s="7">
        <v>1.95</v>
      </c>
      <c r="M269" s="7">
        <v>0.65</v>
      </c>
      <c r="N269" s="7">
        <v>0.44</v>
      </c>
      <c r="O269" s="7">
        <v>0.78</v>
      </c>
      <c r="P269" s="7">
        <v>1.39</v>
      </c>
      <c r="Q269" s="7">
        <v>0.01</v>
      </c>
    </row>
    <row r="270" spans="1:17">
      <c r="A270" s="2">
        <v>2218</v>
      </c>
      <c r="B270" s="7">
        <v>1.55</v>
      </c>
      <c r="C270" s="7">
        <v>0.23</v>
      </c>
      <c r="D270" s="7">
        <v>0.89</v>
      </c>
      <c r="E270" s="7">
        <v>0.14000000000000001</v>
      </c>
      <c r="F270" s="7">
        <v>0.14000000000000001</v>
      </c>
      <c r="G270" s="7">
        <v>0.21</v>
      </c>
      <c r="H270" s="7">
        <v>0.33</v>
      </c>
      <c r="I270" s="7">
        <v>0.36</v>
      </c>
      <c r="J270" s="7">
        <v>0.28000000000000003</v>
      </c>
      <c r="K270" s="7">
        <v>1.64</v>
      </c>
      <c r="L270" s="7">
        <v>1.95</v>
      </c>
      <c r="M270" s="7">
        <v>0.65</v>
      </c>
      <c r="N270" s="7">
        <v>0.44</v>
      </c>
      <c r="O270" s="7">
        <v>0.78</v>
      </c>
      <c r="P270" s="7">
        <v>1.39</v>
      </c>
      <c r="Q270" s="7">
        <v>0.01</v>
      </c>
    </row>
    <row r="271" spans="1:17">
      <c r="A271" s="2">
        <v>2219</v>
      </c>
      <c r="B271" s="7">
        <v>1.55</v>
      </c>
      <c r="C271" s="7">
        <v>0.23</v>
      </c>
      <c r="D271" s="7">
        <v>0.89</v>
      </c>
      <c r="E271" s="7">
        <v>0.14000000000000001</v>
      </c>
      <c r="F271" s="7">
        <v>0.14000000000000001</v>
      </c>
      <c r="G271" s="7">
        <v>0.21</v>
      </c>
      <c r="H271" s="7">
        <v>0.33</v>
      </c>
      <c r="I271" s="7">
        <v>0.36</v>
      </c>
      <c r="J271" s="7">
        <v>0.28000000000000003</v>
      </c>
      <c r="K271" s="7">
        <v>1.64</v>
      </c>
      <c r="L271" s="7">
        <v>1.95</v>
      </c>
      <c r="M271" s="7">
        <v>0.65</v>
      </c>
      <c r="N271" s="7">
        <v>0.44</v>
      </c>
      <c r="O271" s="7">
        <v>0.78</v>
      </c>
      <c r="P271" s="7">
        <v>1.39</v>
      </c>
      <c r="Q271" s="7">
        <v>0.01</v>
      </c>
    </row>
    <row r="272" spans="1:17">
      <c r="A272" s="2">
        <v>2220</v>
      </c>
      <c r="B272" s="7">
        <v>1.55</v>
      </c>
      <c r="C272" s="7">
        <v>0.23</v>
      </c>
      <c r="D272" s="7">
        <v>0.89</v>
      </c>
      <c r="E272" s="7">
        <v>0.14000000000000001</v>
      </c>
      <c r="F272" s="7">
        <v>0.14000000000000001</v>
      </c>
      <c r="G272" s="7">
        <v>0.21</v>
      </c>
      <c r="H272" s="7">
        <v>0.33</v>
      </c>
      <c r="I272" s="7">
        <v>0.36</v>
      </c>
      <c r="J272" s="7">
        <v>0.28000000000000003</v>
      </c>
      <c r="K272" s="7">
        <v>1.64</v>
      </c>
      <c r="L272" s="7">
        <v>1.95</v>
      </c>
      <c r="M272" s="7">
        <v>0.65</v>
      </c>
      <c r="N272" s="7">
        <v>0.44</v>
      </c>
      <c r="O272" s="7">
        <v>0.78</v>
      </c>
      <c r="P272" s="7">
        <v>1.39</v>
      </c>
      <c r="Q272" s="7">
        <v>0.01</v>
      </c>
    </row>
    <row r="273" spans="1:17">
      <c r="A273" s="2">
        <v>2221</v>
      </c>
      <c r="B273" s="7">
        <v>1.55</v>
      </c>
      <c r="C273" s="7">
        <v>0.23</v>
      </c>
      <c r="D273" s="7">
        <v>0.89</v>
      </c>
      <c r="E273" s="7">
        <v>0.14000000000000001</v>
      </c>
      <c r="F273" s="7">
        <v>0.14000000000000001</v>
      </c>
      <c r="G273" s="7">
        <v>0.21</v>
      </c>
      <c r="H273" s="7">
        <v>0.33</v>
      </c>
      <c r="I273" s="7">
        <v>0.36</v>
      </c>
      <c r="J273" s="7">
        <v>0.28000000000000003</v>
      </c>
      <c r="K273" s="7">
        <v>1.64</v>
      </c>
      <c r="L273" s="7">
        <v>1.95</v>
      </c>
      <c r="M273" s="7">
        <v>0.65</v>
      </c>
      <c r="N273" s="7">
        <v>0.44</v>
      </c>
      <c r="O273" s="7">
        <v>0.78</v>
      </c>
      <c r="P273" s="7">
        <v>1.4</v>
      </c>
      <c r="Q273" s="7">
        <v>0.01</v>
      </c>
    </row>
    <row r="274" spans="1:17">
      <c r="A274" s="2">
        <v>2222</v>
      </c>
      <c r="B274" s="7">
        <v>1.55</v>
      </c>
      <c r="C274" s="7">
        <v>0.23</v>
      </c>
      <c r="D274" s="7">
        <v>0.89</v>
      </c>
      <c r="E274" s="7">
        <v>0.14000000000000001</v>
      </c>
      <c r="F274" s="7">
        <v>0.14000000000000001</v>
      </c>
      <c r="G274" s="7">
        <v>0.21</v>
      </c>
      <c r="H274" s="7">
        <v>0.33</v>
      </c>
      <c r="I274" s="7">
        <v>0.36</v>
      </c>
      <c r="J274" s="7">
        <v>0.28000000000000003</v>
      </c>
      <c r="K274" s="7">
        <v>1.64</v>
      </c>
      <c r="L274" s="7">
        <v>1.95</v>
      </c>
      <c r="M274" s="7">
        <v>0.65</v>
      </c>
      <c r="N274" s="7">
        <v>0.44</v>
      </c>
      <c r="O274" s="7">
        <v>0.78</v>
      </c>
      <c r="P274" s="7">
        <v>1.4</v>
      </c>
      <c r="Q274" s="7">
        <v>0.01</v>
      </c>
    </row>
    <row r="275" spans="1:17">
      <c r="A275" s="2">
        <v>2223</v>
      </c>
      <c r="B275" s="7">
        <v>1.55</v>
      </c>
      <c r="C275" s="7">
        <v>0.23</v>
      </c>
      <c r="D275" s="7">
        <v>0.89</v>
      </c>
      <c r="E275" s="7">
        <v>0.14000000000000001</v>
      </c>
      <c r="F275" s="7">
        <v>0.14000000000000001</v>
      </c>
      <c r="G275" s="7">
        <v>0.21</v>
      </c>
      <c r="H275" s="7">
        <v>0.33</v>
      </c>
      <c r="I275" s="7">
        <v>0.36</v>
      </c>
      <c r="J275" s="7">
        <v>0.28000000000000003</v>
      </c>
      <c r="K275" s="7">
        <v>1.64</v>
      </c>
      <c r="L275" s="7">
        <v>1.95</v>
      </c>
      <c r="M275" s="7">
        <v>0.65</v>
      </c>
      <c r="N275" s="7">
        <v>0.44</v>
      </c>
      <c r="O275" s="7">
        <v>0.78</v>
      </c>
      <c r="P275" s="7">
        <v>1.4</v>
      </c>
      <c r="Q275" s="7">
        <v>0.01</v>
      </c>
    </row>
    <row r="276" spans="1:17">
      <c r="A276" s="2">
        <v>2224</v>
      </c>
      <c r="B276" s="7">
        <v>1.55</v>
      </c>
      <c r="C276" s="7">
        <v>0.23</v>
      </c>
      <c r="D276" s="7">
        <v>0.89</v>
      </c>
      <c r="E276" s="7">
        <v>0.14000000000000001</v>
      </c>
      <c r="F276" s="7">
        <v>0.14000000000000001</v>
      </c>
      <c r="G276" s="7">
        <v>0.21</v>
      </c>
      <c r="H276" s="7">
        <v>0.33</v>
      </c>
      <c r="I276" s="7">
        <v>0.37</v>
      </c>
      <c r="J276" s="7">
        <v>0.28999999999999998</v>
      </c>
      <c r="K276" s="7">
        <v>1.64</v>
      </c>
      <c r="L276" s="7">
        <v>1.96</v>
      </c>
      <c r="M276" s="7">
        <v>0.65</v>
      </c>
      <c r="N276" s="7">
        <v>0.45</v>
      </c>
      <c r="O276" s="7">
        <v>0.78</v>
      </c>
      <c r="P276" s="7">
        <v>1.4</v>
      </c>
      <c r="Q276" s="7">
        <v>0.01</v>
      </c>
    </row>
    <row r="277" spans="1:17">
      <c r="A277" s="2">
        <v>2225</v>
      </c>
      <c r="B277" s="7">
        <v>1.55</v>
      </c>
      <c r="C277" s="7">
        <v>0.23</v>
      </c>
      <c r="D277" s="7">
        <v>0.89</v>
      </c>
      <c r="E277" s="7">
        <v>0.14000000000000001</v>
      </c>
      <c r="F277" s="7">
        <v>0.14000000000000001</v>
      </c>
      <c r="G277" s="7">
        <v>0.21</v>
      </c>
      <c r="H277" s="7">
        <v>0.33</v>
      </c>
      <c r="I277" s="7">
        <v>0.37</v>
      </c>
      <c r="J277" s="7">
        <v>0.28999999999999998</v>
      </c>
      <c r="K277" s="7">
        <v>1.64</v>
      </c>
      <c r="L277" s="7">
        <v>1.96</v>
      </c>
      <c r="M277" s="7">
        <v>0.65</v>
      </c>
      <c r="N277" s="7">
        <v>0.45</v>
      </c>
      <c r="O277" s="7">
        <v>0.78</v>
      </c>
      <c r="P277" s="7">
        <v>1.4</v>
      </c>
      <c r="Q277" s="7">
        <v>0.01</v>
      </c>
    </row>
    <row r="278" spans="1:17">
      <c r="A278" s="2">
        <v>2226</v>
      </c>
      <c r="B278" s="7">
        <v>1.55</v>
      </c>
      <c r="C278" s="7">
        <v>0.23</v>
      </c>
      <c r="D278" s="7">
        <v>0.89</v>
      </c>
      <c r="E278" s="7">
        <v>0.14000000000000001</v>
      </c>
      <c r="F278" s="7">
        <v>0.14000000000000001</v>
      </c>
      <c r="G278" s="7">
        <v>0.21</v>
      </c>
      <c r="H278" s="7">
        <v>0.33</v>
      </c>
      <c r="I278" s="7">
        <v>0.37</v>
      </c>
      <c r="J278" s="7">
        <v>0.28999999999999998</v>
      </c>
      <c r="K278" s="7">
        <v>1.64</v>
      </c>
      <c r="L278" s="7">
        <v>1.96</v>
      </c>
      <c r="M278" s="7">
        <v>0.65</v>
      </c>
      <c r="N278" s="7">
        <v>0.45</v>
      </c>
      <c r="O278" s="7">
        <v>0.78</v>
      </c>
      <c r="P278" s="7">
        <v>1.4</v>
      </c>
      <c r="Q278" s="7">
        <v>0.01</v>
      </c>
    </row>
    <row r="279" spans="1:17">
      <c r="A279" s="2">
        <v>2227</v>
      </c>
      <c r="B279" s="7">
        <v>1.55</v>
      </c>
      <c r="C279" s="7">
        <v>0.23</v>
      </c>
      <c r="D279" s="7">
        <v>0.89</v>
      </c>
      <c r="E279" s="7">
        <v>0.14000000000000001</v>
      </c>
      <c r="F279" s="7">
        <v>0.14000000000000001</v>
      </c>
      <c r="G279" s="7">
        <v>0.21</v>
      </c>
      <c r="H279" s="7">
        <v>0.33</v>
      </c>
      <c r="I279" s="7">
        <v>0.37</v>
      </c>
      <c r="J279" s="7">
        <v>0.28999999999999998</v>
      </c>
      <c r="K279" s="7">
        <v>1.65</v>
      </c>
      <c r="L279" s="7">
        <v>1.96</v>
      </c>
      <c r="M279" s="7">
        <v>0.65</v>
      </c>
      <c r="N279" s="7">
        <v>0.45</v>
      </c>
      <c r="O279" s="7">
        <v>0.78</v>
      </c>
      <c r="P279" s="7">
        <v>1.4</v>
      </c>
      <c r="Q279" s="7">
        <v>0.01</v>
      </c>
    </row>
    <row r="280" spans="1:17">
      <c r="A280" s="2">
        <v>2228</v>
      </c>
      <c r="B280" s="7">
        <v>1.55</v>
      </c>
      <c r="C280" s="7">
        <v>0.23</v>
      </c>
      <c r="D280" s="7">
        <v>0.89</v>
      </c>
      <c r="E280" s="7">
        <v>0.14000000000000001</v>
      </c>
      <c r="F280" s="7">
        <v>0.14000000000000001</v>
      </c>
      <c r="G280" s="7">
        <v>0.21</v>
      </c>
      <c r="H280" s="7">
        <v>0.33</v>
      </c>
      <c r="I280" s="7">
        <v>0.37</v>
      </c>
      <c r="J280" s="7">
        <v>0.28999999999999998</v>
      </c>
      <c r="K280" s="7">
        <v>1.65</v>
      </c>
      <c r="L280" s="7">
        <v>1.96</v>
      </c>
      <c r="M280" s="7">
        <v>0.65</v>
      </c>
      <c r="N280" s="7">
        <v>0.45</v>
      </c>
      <c r="O280" s="7">
        <v>0.78</v>
      </c>
      <c r="P280" s="7">
        <v>1.4</v>
      </c>
      <c r="Q280" s="7">
        <v>0.01</v>
      </c>
    </row>
    <row r="281" spans="1:17">
      <c r="A281" s="2">
        <v>2229</v>
      </c>
      <c r="B281" s="7">
        <v>1.55</v>
      </c>
      <c r="C281" s="7">
        <v>0.23</v>
      </c>
      <c r="D281" s="7">
        <v>0.89</v>
      </c>
      <c r="E281" s="7">
        <v>0.14000000000000001</v>
      </c>
      <c r="F281" s="7">
        <v>0.14000000000000001</v>
      </c>
      <c r="G281" s="7">
        <v>0.21</v>
      </c>
      <c r="H281" s="7">
        <v>0.33</v>
      </c>
      <c r="I281" s="7">
        <v>0.37</v>
      </c>
      <c r="J281" s="7">
        <v>0.28999999999999998</v>
      </c>
      <c r="K281" s="7">
        <v>1.65</v>
      </c>
      <c r="L281" s="7">
        <v>1.96</v>
      </c>
      <c r="M281" s="7">
        <v>0.65</v>
      </c>
      <c r="N281" s="7">
        <v>0.45</v>
      </c>
      <c r="O281" s="7">
        <v>0.78</v>
      </c>
      <c r="P281" s="7">
        <v>1.4</v>
      </c>
      <c r="Q281" s="7">
        <v>0.01</v>
      </c>
    </row>
    <row r="282" spans="1:17">
      <c r="A282" s="2">
        <v>2230</v>
      </c>
      <c r="B282" s="7">
        <v>1.56</v>
      </c>
      <c r="C282" s="7">
        <v>0.23</v>
      </c>
      <c r="D282" s="7">
        <v>0.89</v>
      </c>
      <c r="E282" s="7">
        <v>0.14000000000000001</v>
      </c>
      <c r="F282" s="7">
        <v>0.14000000000000001</v>
      </c>
      <c r="G282" s="7">
        <v>0.21</v>
      </c>
      <c r="H282" s="7">
        <v>0.33</v>
      </c>
      <c r="I282" s="7">
        <v>0.37</v>
      </c>
      <c r="J282" s="7">
        <v>0.28999999999999998</v>
      </c>
      <c r="K282" s="7">
        <v>1.65</v>
      </c>
      <c r="L282" s="7">
        <v>1.96</v>
      </c>
      <c r="M282" s="7">
        <v>0.65</v>
      </c>
      <c r="N282" s="7">
        <v>0.45</v>
      </c>
      <c r="O282" s="7">
        <v>0.78</v>
      </c>
      <c r="P282" s="7">
        <v>1.4</v>
      </c>
      <c r="Q282" s="7">
        <v>0.01</v>
      </c>
    </row>
    <row r="283" spans="1:17">
      <c r="A283" s="2">
        <v>2231</v>
      </c>
      <c r="B283" s="7">
        <v>1.56</v>
      </c>
      <c r="C283" s="7">
        <v>0.23</v>
      </c>
      <c r="D283" s="7">
        <v>0.89</v>
      </c>
      <c r="E283" s="7">
        <v>0.14000000000000001</v>
      </c>
      <c r="F283" s="7">
        <v>0.14000000000000001</v>
      </c>
      <c r="G283" s="7">
        <v>0.21</v>
      </c>
      <c r="H283" s="7">
        <v>0.33</v>
      </c>
      <c r="I283" s="7">
        <v>0.37</v>
      </c>
      <c r="J283" s="7">
        <v>0.28999999999999998</v>
      </c>
      <c r="K283" s="7">
        <v>1.65</v>
      </c>
      <c r="L283" s="7">
        <v>1.96</v>
      </c>
      <c r="M283" s="7">
        <v>0.65</v>
      </c>
      <c r="N283" s="7">
        <v>0.45</v>
      </c>
      <c r="O283" s="7">
        <v>0.78</v>
      </c>
      <c r="P283" s="7">
        <v>1.4</v>
      </c>
      <c r="Q283" s="7">
        <v>0.01</v>
      </c>
    </row>
    <row r="284" spans="1:17">
      <c r="A284" s="2">
        <v>2232</v>
      </c>
      <c r="B284" s="7">
        <v>1.56</v>
      </c>
      <c r="C284" s="7">
        <v>0.23</v>
      </c>
      <c r="D284" s="7">
        <v>0.89</v>
      </c>
      <c r="E284" s="7">
        <v>0.14000000000000001</v>
      </c>
      <c r="F284" s="7">
        <v>0.14000000000000001</v>
      </c>
      <c r="G284" s="7">
        <v>0.21</v>
      </c>
      <c r="H284" s="7">
        <v>0.33</v>
      </c>
      <c r="I284" s="7">
        <v>0.37</v>
      </c>
      <c r="J284" s="7">
        <v>0.28999999999999998</v>
      </c>
      <c r="K284" s="7">
        <v>1.65</v>
      </c>
      <c r="L284" s="7">
        <v>1.96</v>
      </c>
      <c r="M284" s="7">
        <v>0.65</v>
      </c>
      <c r="N284" s="7">
        <v>0.45</v>
      </c>
      <c r="O284" s="7">
        <v>0.78</v>
      </c>
      <c r="P284" s="7">
        <v>1.4</v>
      </c>
      <c r="Q284" s="7">
        <v>0.01</v>
      </c>
    </row>
    <row r="285" spans="1:17">
      <c r="A285" s="2">
        <v>2233</v>
      </c>
      <c r="B285" s="7">
        <v>1.56</v>
      </c>
      <c r="C285" s="7">
        <v>0.23</v>
      </c>
      <c r="D285" s="7">
        <v>0.89</v>
      </c>
      <c r="E285" s="7">
        <v>0.14000000000000001</v>
      </c>
      <c r="F285" s="7">
        <v>0.14000000000000001</v>
      </c>
      <c r="G285" s="7">
        <v>0.21</v>
      </c>
      <c r="H285" s="7">
        <v>0.33</v>
      </c>
      <c r="I285" s="7">
        <v>0.37</v>
      </c>
      <c r="J285" s="7">
        <v>0.28999999999999998</v>
      </c>
      <c r="K285" s="7">
        <v>1.65</v>
      </c>
      <c r="L285" s="7">
        <v>1.96</v>
      </c>
      <c r="M285" s="7">
        <v>0.65</v>
      </c>
      <c r="N285" s="7">
        <v>0.45</v>
      </c>
      <c r="O285" s="7">
        <v>0.78</v>
      </c>
      <c r="P285" s="7">
        <v>1.4</v>
      </c>
      <c r="Q285" s="7">
        <v>0.01</v>
      </c>
    </row>
    <row r="286" spans="1:17">
      <c r="A286" s="2">
        <v>2234</v>
      </c>
      <c r="B286" s="7">
        <v>1.56</v>
      </c>
      <c r="C286" s="7">
        <v>0.23</v>
      </c>
      <c r="D286" s="7">
        <v>0.89</v>
      </c>
      <c r="E286" s="7">
        <v>0.14000000000000001</v>
      </c>
      <c r="F286" s="7">
        <v>0.14000000000000001</v>
      </c>
      <c r="G286" s="7">
        <v>0.21</v>
      </c>
      <c r="H286" s="7">
        <v>0.33</v>
      </c>
      <c r="I286" s="7">
        <v>0.37</v>
      </c>
      <c r="J286" s="7">
        <v>0.28999999999999998</v>
      </c>
      <c r="K286" s="7">
        <v>1.65</v>
      </c>
      <c r="L286" s="7">
        <v>1.97</v>
      </c>
      <c r="M286" s="7">
        <v>0.65</v>
      </c>
      <c r="N286" s="7">
        <v>0.45</v>
      </c>
      <c r="O286" s="7">
        <v>0.78</v>
      </c>
      <c r="P286" s="7">
        <v>1.41</v>
      </c>
      <c r="Q286" s="7">
        <v>0.01</v>
      </c>
    </row>
    <row r="287" spans="1:17">
      <c r="A287" s="2">
        <v>2235</v>
      </c>
      <c r="B287" s="7">
        <v>1.56</v>
      </c>
      <c r="C287" s="7">
        <v>0.23</v>
      </c>
      <c r="D287" s="7">
        <v>0.89</v>
      </c>
      <c r="E287" s="7">
        <v>0.14000000000000001</v>
      </c>
      <c r="F287" s="7">
        <v>0.14000000000000001</v>
      </c>
      <c r="G287" s="7">
        <v>0.21</v>
      </c>
      <c r="H287" s="7">
        <v>0.33</v>
      </c>
      <c r="I287" s="7">
        <v>0.37</v>
      </c>
      <c r="J287" s="7">
        <v>0.28999999999999998</v>
      </c>
      <c r="K287" s="7">
        <v>1.65</v>
      </c>
      <c r="L287" s="7">
        <v>1.97</v>
      </c>
      <c r="M287" s="7">
        <v>0.65</v>
      </c>
      <c r="N287" s="7">
        <v>0.45</v>
      </c>
      <c r="O287" s="7">
        <v>0.78</v>
      </c>
      <c r="P287" s="7">
        <v>1.41</v>
      </c>
      <c r="Q287" s="7">
        <v>0.01</v>
      </c>
    </row>
    <row r="288" spans="1:17">
      <c r="A288" s="2">
        <v>2236</v>
      </c>
      <c r="B288" s="7">
        <v>1.56</v>
      </c>
      <c r="C288" s="7">
        <v>0.23</v>
      </c>
      <c r="D288" s="7">
        <v>0.9</v>
      </c>
      <c r="E288" s="7">
        <v>0.14000000000000001</v>
      </c>
      <c r="F288" s="7">
        <v>0.14000000000000001</v>
      </c>
      <c r="G288" s="7">
        <v>0.21</v>
      </c>
      <c r="H288" s="7">
        <v>0.33</v>
      </c>
      <c r="I288" s="7">
        <v>0.37</v>
      </c>
      <c r="J288" s="7">
        <v>0.28999999999999998</v>
      </c>
      <c r="K288" s="7">
        <v>1.65</v>
      </c>
      <c r="L288" s="7">
        <v>1.97</v>
      </c>
      <c r="M288" s="7">
        <v>0.65</v>
      </c>
      <c r="N288" s="7">
        <v>0.45</v>
      </c>
      <c r="O288" s="7">
        <v>0.79</v>
      </c>
      <c r="P288" s="7">
        <v>1.41</v>
      </c>
      <c r="Q288" s="7">
        <v>0.01</v>
      </c>
    </row>
    <row r="289" spans="1:17">
      <c r="A289" s="2">
        <v>2237</v>
      </c>
      <c r="B289" s="7">
        <v>1.56</v>
      </c>
      <c r="C289" s="7">
        <v>0.23</v>
      </c>
      <c r="D289" s="7">
        <v>0.9</v>
      </c>
      <c r="E289" s="7">
        <v>0.14000000000000001</v>
      </c>
      <c r="F289" s="7">
        <v>0.14000000000000001</v>
      </c>
      <c r="G289" s="7">
        <v>0.21</v>
      </c>
      <c r="H289" s="7">
        <v>0.33</v>
      </c>
      <c r="I289" s="7">
        <v>0.37</v>
      </c>
      <c r="J289" s="7">
        <v>0.28999999999999998</v>
      </c>
      <c r="K289" s="7">
        <v>1.66</v>
      </c>
      <c r="L289" s="7">
        <v>1.97</v>
      </c>
      <c r="M289" s="7">
        <v>0.65</v>
      </c>
      <c r="N289" s="7">
        <v>0.45</v>
      </c>
      <c r="O289" s="7">
        <v>0.79</v>
      </c>
      <c r="P289" s="7">
        <v>1.41</v>
      </c>
      <c r="Q289" s="7">
        <v>0.01</v>
      </c>
    </row>
    <row r="290" spans="1:17">
      <c r="A290" s="2">
        <v>2238</v>
      </c>
      <c r="B290" s="7">
        <v>1.56</v>
      </c>
      <c r="C290" s="7">
        <v>0.23</v>
      </c>
      <c r="D290" s="7">
        <v>0.9</v>
      </c>
      <c r="E290" s="7">
        <v>0.14000000000000001</v>
      </c>
      <c r="F290" s="7">
        <v>0.14000000000000001</v>
      </c>
      <c r="G290" s="7">
        <v>0.21</v>
      </c>
      <c r="H290" s="7">
        <v>0.33</v>
      </c>
      <c r="I290" s="7">
        <v>0.37</v>
      </c>
      <c r="J290" s="7">
        <v>0.28999999999999998</v>
      </c>
      <c r="K290" s="7">
        <v>1.66</v>
      </c>
      <c r="L290" s="7">
        <v>1.97</v>
      </c>
      <c r="M290" s="7">
        <v>0.65</v>
      </c>
      <c r="N290" s="7">
        <v>0.45</v>
      </c>
      <c r="O290" s="7">
        <v>0.79</v>
      </c>
      <c r="P290" s="7">
        <v>1.41</v>
      </c>
      <c r="Q290" s="7">
        <v>0.01</v>
      </c>
    </row>
    <row r="291" spans="1:17">
      <c r="A291" s="2">
        <v>2239</v>
      </c>
      <c r="B291" s="7">
        <v>1.56</v>
      </c>
      <c r="C291" s="7">
        <v>0.23</v>
      </c>
      <c r="D291" s="7">
        <v>0.9</v>
      </c>
      <c r="E291" s="7">
        <v>0.14000000000000001</v>
      </c>
      <c r="F291" s="7">
        <v>0.14000000000000001</v>
      </c>
      <c r="G291" s="7">
        <v>0.21</v>
      </c>
      <c r="H291" s="7">
        <v>0.33</v>
      </c>
      <c r="I291" s="7">
        <v>0.37</v>
      </c>
      <c r="J291" s="7">
        <v>0.28999999999999998</v>
      </c>
      <c r="K291" s="7">
        <v>1.66</v>
      </c>
      <c r="L291" s="7">
        <v>1.97</v>
      </c>
      <c r="M291" s="7">
        <v>0.65</v>
      </c>
      <c r="N291" s="7">
        <v>0.45</v>
      </c>
      <c r="O291" s="7">
        <v>0.79</v>
      </c>
      <c r="P291" s="7">
        <v>1.41</v>
      </c>
      <c r="Q291" s="7">
        <v>0.01</v>
      </c>
    </row>
    <row r="292" spans="1:17">
      <c r="A292" s="2">
        <v>2240</v>
      </c>
      <c r="B292" s="7">
        <v>1.56</v>
      </c>
      <c r="C292" s="7">
        <v>0.23</v>
      </c>
      <c r="D292" s="7">
        <v>0.9</v>
      </c>
      <c r="E292" s="7">
        <v>0.14000000000000001</v>
      </c>
      <c r="F292" s="7">
        <v>0.14000000000000001</v>
      </c>
      <c r="G292" s="7">
        <v>0.21</v>
      </c>
      <c r="H292" s="7">
        <v>0.33</v>
      </c>
      <c r="I292" s="7">
        <v>0.37</v>
      </c>
      <c r="J292" s="7">
        <v>0.28999999999999998</v>
      </c>
      <c r="K292" s="7">
        <v>1.66</v>
      </c>
      <c r="L292" s="7">
        <v>1.97</v>
      </c>
      <c r="M292" s="7">
        <v>0.65</v>
      </c>
      <c r="N292" s="7">
        <v>0.45</v>
      </c>
      <c r="O292" s="7">
        <v>0.79</v>
      </c>
      <c r="P292" s="7">
        <v>1.41</v>
      </c>
      <c r="Q292" s="7">
        <v>0.01</v>
      </c>
    </row>
    <row r="293" spans="1:17">
      <c r="A293" s="2">
        <v>2241</v>
      </c>
      <c r="B293" s="7">
        <v>1.56</v>
      </c>
      <c r="C293" s="7">
        <v>0.23</v>
      </c>
      <c r="D293" s="7">
        <v>0.9</v>
      </c>
      <c r="E293" s="7">
        <v>0.14000000000000001</v>
      </c>
      <c r="F293" s="7">
        <v>0.14000000000000001</v>
      </c>
      <c r="G293" s="7">
        <v>0.21</v>
      </c>
      <c r="H293" s="7">
        <v>0.33</v>
      </c>
      <c r="I293" s="7">
        <v>0.37</v>
      </c>
      <c r="J293" s="7">
        <v>0.28999999999999998</v>
      </c>
      <c r="K293" s="7">
        <v>1.66</v>
      </c>
      <c r="L293" s="7">
        <v>1.97</v>
      </c>
      <c r="M293" s="7">
        <v>0.65</v>
      </c>
      <c r="N293" s="7">
        <v>0.45</v>
      </c>
      <c r="O293" s="7">
        <v>0.79</v>
      </c>
      <c r="P293" s="7">
        <v>1.41</v>
      </c>
      <c r="Q293" s="7">
        <v>0.01</v>
      </c>
    </row>
    <row r="294" spans="1:17">
      <c r="A294" s="2">
        <v>2242</v>
      </c>
      <c r="B294" s="7">
        <v>1.57</v>
      </c>
      <c r="C294" s="7">
        <v>0.23</v>
      </c>
      <c r="D294" s="7">
        <v>0.9</v>
      </c>
      <c r="E294" s="7">
        <v>0.14000000000000001</v>
      </c>
      <c r="F294" s="7">
        <v>0.14000000000000001</v>
      </c>
      <c r="G294" s="7">
        <v>0.21</v>
      </c>
      <c r="H294" s="7">
        <v>0.33</v>
      </c>
      <c r="I294" s="7">
        <v>0.37</v>
      </c>
      <c r="J294" s="7">
        <v>0.28999999999999998</v>
      </c>
      <c r="K294" s="7">
        <v>1.66</v>
      </c>
      <c r="L294" s="7">
        <v>1.97</v>
      </c>
      <c r="M294" s="7">
        <v>0.65</v>
      </c>
      <c r="N294" s="7">
        <v>0.45</v>
      </c>
      <c r="O294" s="7">
        <v>0.79</v>
      </c>
      <c r="P294" s="7">
        <v>1.41</v>
      </c>
      <c r="Q294" s="7">
        <v>0.01</v>
      </c>
    </row>
    <row r="295" spans="1:17">
      <c r="A295" s="2">
        <v>2243</v>
      </c>
      <c r="B295" s="7">
        <v>1.57</v>
      </c>
      <c r="C295" s="7">
        <v>0.23</v>
      </c>
      <c r="D295" s="7">
        <v>0.9</v>
      </c>
      <c r="E295" s="7">
        <v>0.14000000000000001</v>
      </c>
      <c r="F295" s="7">
        <v>0.14000000000000001</v>
      </c>
      <c r="G295" s="7">
        <v>0.21</v>
      </c>
      <c r="H295" s="7">
        <v>0.33</v>
      </c>
      <c r="I295" s="7">
        <v>0.37</v>
      </c>
      <c r="J295" s="7">
        <v>0.28999999999999998</v>
      </c>
      <c r="K295" s="7">
        <v>1.66</v>
      </c>
      <c r="L295" s="7">
        <v>1.98</v>
      </c>
      <c r="M295" s="7">
        <v>0.65</v>
      </c>
      <c r="N295" s="7">
        <v>0.45</v>
      </c>
      <c r="O295" s="7">
        <v>0.79</v>
      </c>
      <c r="P295" s="7">
        <v>1.41</v>
      </c>
      <c r="Q295" s="7">
        <v>0.01</v>
      </c>
    </row>
    <row r="296" spans="1:17">
      <c r="A296" s="2">
        <v>2244</v>
      </c>
      <c r="B296" s="7">
        <v>1.57</v>
      </c>
      <c r="C296" s="7">
        <v>0.23</v>
      </c>
      <c r="D296" s="7">
        <v>0.9</v>
      </c>
      <c r="E296" s="7">
        <v>0.14000000000000001</v>
      </c>
      <c r="F296" s="7">
        <v>0.14000000000000001</v>
      </c>
      <c r="G296" s="7">
        <v>0.21</v>
      </c>
      <c r="H296" s="7">
        <v>0.33</v>
      </c>
      <c r="I296" s="7">
        <v>0.37</v>
      </c>
      <c r="J296" s="7">
        <v>0.28999999999999998</v>
      </c>
      <c r="K296" s="7">
        <v>1.66</v>
      </c>
      <c r="L296" s="7">
        <v>1.98</v>
      </c>
      <c r="M296" s="7">
        <v>0.65</v>
      </c>
      <c r="N296" s="7">
        <v>0.45</v>
      </c>
      <c r="O296" s="7">
        <v>0.79</v>
      </c>
      <c r="P296" s="7">
        <v>1.41</v>
      </c>
      <c r="Q296" s="7">
        <v>0.01</v>
      </c>
    </row>
    <row r="297" spans="1:17">
      <c r="A297" s="2">
        <v>2245</v>
      </c>
      <c r="B297" s="7">
        <v>1.57</v>
      </c>
      <c r="C297" s="7">
        <v>0.23</v>
      </c>
      <c r="D297" s="7">
        <v>0.9</v>
      </c>
      <c r="E297" s="7">
        <v>0.14000000000000001</v>
      </c>
      <c r="F297" s="7">
        <v>0.14000000000000001</v>
      </c>
      <c r="G297" s="7">
        <v>0.21</v>
      </c>
      <c r="H297" s="7">
        <v>0.33</v>
      </c>
      <c r="I297" s="7">
        <v>0.37</v>
      </c>
      <c r="J297" s="7">
        <v>0.28999999999999998</v>
      </c>
      <c r="K297" s="7">
        <v>1.66</v>
      </c>
      <c r="L297" s="7">
        <v>1.98</v>
      </c>
      <c r="M297" s="7">
        <v>0.65</v>
      </c>
      <c r="N297" s="7">
        <v>0.45</v>
      </c>
      <c r="O297" s="7">
        <v>0.79</v>
      </c>
      <c r="P297" s="7">
        <v>1.41</v>
      </c>
      <c r="Q297" s="7">
        <v>0.01</v>
      </c>
    </row>
    <row r="298" spans="1:17">
      <c r="A298" s="2">
        <v>2246</v>
      </c>
      <c r="B298" s="7">
        <v>1.57</v>
      </c>
      <c r="C298" s="7">
        <v>0.23</v>
      </c>
      <c r="D298" s="7">
        <v>0.9</v>
      </c>
      <c r="E298" s="7">
        <v>0.14000000000000001</v>
      </c>
      <c r="F298" s="7">
        <v>0.14000000000000001</v>
      </c>
      <c r="G298" s="7">
        <v>0.21</v>
      </c>
      <c r="H298" s="7">
        <v>0.33</v>
      </c>
      <c r="I298" s="7">
        <v>0.37</v>
      </c>
      <c r="J298" s="7">
        <v>0.28999999999999998</v>
      </c>
      <c r="K298" s="7">
        <v>1.66</v>
      </c>
      <c r="L298" s="7">
        <v>1.98</v>
      </c>
      <c r="M298" s="7">
        <v>0.65</v>
      </c>
      <c r="N298" s="7">
        <v>0.45</v>
      </c>
      <c r="O298" s="7">
        <v>0.79</v>
      </c>
      <c r="P298" s="7">
        <v>1.41</v>
      </c>
      <c r="Q298" s="7">
        <v>0.01</v>
      </c>
    </row>
    <row r="299" spans="1:17">
      <c r="A299" s="2">
        <v>2247</v>
      </c>
      <c r="B299" s="7">
        <v>1.57</v>
      </c>
      <c r="C299" s="7">
        <v>0.23</v>
      </c>
      <c r="D299" s="7">
        <v>0.9</v>
      </c>
      <c r="E299" s="7">
        <v>0.15</v>
      </c>
      <c r="F299" s="7">
        <v>0.15</v>
      </c>
      <c r="G299" s="7">
        <v>0.21</v>
      </c>
      <c r="H299" s="7">
        <v>0.33</v>
      </c>
      <c r="I299" s="7">
        <v>0.37</v>
      </c>
      <c r="J299" s="7">
        <v>0.28999999999999998</v>
      </c>
      <c r="K299" s="7">
        <v>1.66</v>
      </c>
      <c r="L299" s="7">
        <v>1.98</v>
      </c>
      <c r="M299" s="7">
        <v>0.65</v>
      </c>
      <c r="N299" s="7">
        <v>0.45</v>
      </c>
      <c r="O299" s="7">
        <v>0.79</v>
      </c>
      <c r="P299" s="7">
        <v>1.41</v>
      </c>
      <c r="Q299" s="7">
        <v>0.01</v>
      </c>
    </row>
    <row r="300" spans="1:17">
      <c r="A300" s="2">
        <v>2248</v>
      </c>
      <c r="B300" s="7">
        <v>1.57</v>
      </c>
      <c r="C300" s="7">
        <v>0.24</v>
      </c>
      <c r="D300" s="7">
        <v>0.9</v>
      </c>
      <c r="E300" s="7">
        <v>0.15</v>
      </c>
      <c r="F300" s="7">
        <v>0.15</v>
      </c>
      <c r="G300" s="7">
        <v>0.22</v>
      </c>
      <c r="H300" s="7">
        <v>0.33</v>
      </c>
      <c r="I300" s="7">
        <v>0.37</v>
      </c>
      <c r="J300" s="7">
        <v>0.28999999999999998</v>
      </c>
      <c r="K300" s="7">
        <v>1.67</v>
      </c>
      <c r="L300" s="7">
        <v>1.98</v>
      </c>
      <c r="M300" s="7">
        <v>0.66</v>
      </c>
      <c r="N300" s="7">
        <v>0.45</v>
      </c>
      <c r="O300" s="7">
        <v>0.79</v>
      </c>
      <c r="P300" s="7">
        <v>1.42</v>
      </c>
      <c r="Q300" s="7">
        <v>0.01</v>
      </c>
    </row>
    <row r="301" spans="1:17">
      <c r="A301" s="2">
        <v>2249</v>
      </c>
      <c r="B301" s="7">
        <v>1.57</v>
      </c>
      <c r="C301" s="7">
        <v>0.24</v>
      </c>
      <c r="D301" s="7">
        <v>0.9</v>
      </c>
      <c r="E301" s="7">
        <v>0.15</v>
      </c>
      <c r="F301" s="7">
        <v>0.15</v>
      </c>
      <c r="G301" s="7">
        <v>0.22</v>
      </c>
      <c r="H301" s="7">
        <v>0.34</v>
      </c>
      <c r="I301" s="7">
        <v>0.37</v>
      </c>
      <c r="J301" s="7">
        <v>0.28999999999999998</v>
      </c>
      <c r="K301" s="7">
        <v>1.67</v>
      </c>
      <c r="L301" s="7">
        <v>1.98</v>
      </c>
      <c r="M301" s="7">
        <v>0.66</v>
      </c>
      <c r="N301" s="7">
        <v>0.45</v>
      </c>
      <c r="O301" s="7">
        <v>0.79</v>
      </c>
      <c r="P301" s="7">
        <v>1.42</v>
      </c>
      <c r="Q301" s="7">
        <v>0.01</v>
      </c>
    </row>
    <row r="302" spans="1:17">
      <c r="A302" s="2">
        <v>2250</v>
      </c>
      <c r="B302" s="7">
        <v>1.57</v>
      </c>
      <c r="C302" s="7">
        <v>0.24</v>
      </c>
      <c r="D302" s="7">
        <v>0.9</v>
      </c>
      <c r="E302" s="7">
        <v>0.15</v>
      </c>
      <c r="F302" s="7">
        <v>0.15</v>
      </c>
      <c r="G302" s="7">
        <v>0.22</v>
      </c>
      <c r="H302" s="7">
        <v>0.34</v>
      </c>
      <c r="I302" s="7">
        <v>0.37</v>
      </c>
      <c r="J302" s="7">
        <v>0.28999999999999998</v>
      </c>
      <c r="K302" s="7">
        <v>1.67</v>
      </c>
      <c r="L302" s="7">
        <v>1.98</v>
      </c>
      <c r="M302" s="7">
        <v>0.66</v>
      </c>
      <c r="N302" s="7">
        <v>0.45</v>
      </c>
      <c r="O302" s="7">
        <v>0.79</v>
      </c>
      <c r="P302" s="7">
        <v>1.42</v>
      </c>
      <c r="Q302" s="7">
        <v>0.01</v>
      </c>
    </row>
    <row r="303" spans="1:17">
      <c r="A303" s="2">
        <v>2251</v>
      </c>
      <c r="B303" s="7">
        <v>1.57</v>
      </c>
      <c r="C303" s="7">
        <v>0.24</v>
      </c>
      <c r="D303" s="7">
        <v>0.9</v>
      </c>
      <c r="E303" s="7">
        <v>0.15</v>
      </c>
      <c r="F303" s="7">
        <v>0.15</v>
      </c>
      <c r="G303" s="7">
        <v>0.22</v>
      </c>
      <c r="H303" s="7">
        <v>0.34</v>
      </c>
      <c r="I303" s="7">
        <v>0.37</v>
      </c>
      <c r="J303" s="7">
        <v>0.28999999999999998</v>
      </c>
      <c r="K303" s="7">
        <v>1.67</v>
      </c>
      <c r="L303" s="7">
        <v>1.98</v>
      </c>
      <c r="M303" s="7">
        <v>0.66</v>
      </c>
      <c r="N303" s="7">
        <v>0.45</v>
      </c>
      <c r="O303" s="7">
        <v>0.79</v>
      </c>
      <c r="P303" s="7">
        <v>1.42</v>
      </c>
      <c r="Q303" s="7">
        <v>0.01</v>
      </c>
    </row>
    <row r="304" spans="1:17">
      <c r="A304" s="2">
        <v>2252</v>
      </c>
      <c r="B304" s="7">
        <v>1.57</v>
      </c>
      <c r="C304" s="7">
        <v>0.24</v>
      </c>
      <c r="D304" s="7">
        <v>0.9</v>
      </c>
      <c r="E304" s="7">
        <v>0.15</v>
      </c>
      <c r="F304" s="7">
        <v>0.15</v>
      </c>
      <c r="G304" s="7">
        <v>0.22</v>
      </c>
      <c r="H304" s="7">
        <v>0.34</v>
      </c>
      <c r="I304" s="7">
        <v>0.37</v>
      </c>
      <c r="J304" s="7">
        <v>0.28999999999999998</v>
      </c>
      <c r="K304" s="7">
        <v>1.67</v>
      </c>
      <c r="L304" s="7">
        <v>1.98</v>
      </c>
      <c r="M304" s="7">
        <v>0.66</v>
      </c>
      <c r="N304" s="7">
        <v>0.45</v>
      </c>
      <c r="O304" s="7">
        <v>0.79</v>
      </c>
      <c r="P304" s="7">
        <v>1.42</v>
      </c>
      <c r="Q304" s="7">
        <v>0.01</v>
      </c>
    </row>
    <row r="305" spans="1:17">
      <c r="A305" s="2">
        <v>2253</v>
      </c>
      <c r="B305" s="7">
        <v>1.57</v>
      </c>
      <c r="C305" s="7">
        <v>0.24</v>
      </c>
      <c r="D305" s="7">
        <v>0.9</v>
      </c>
      <c r="E305" s="7">
        <v>0.15</v>
      </c>
      <c r="F305" s="7">
        <v>0.15</v>
      </c>
      <c r="G305" s="7">
        <v>0.22</v>
      </c>
      <c r="H305" s="7">
        <v>0.34</v>
      </c>
      <c r="I305" s="7">
        <v>0.37</v>
      </c>
      <c r="J305" s="7">
        <v>0.28999999999999998</v>
      </c>
      <c r="K305" s="7">
        <v>1.67</v>
      </c>
      <c r="L305" s="7">
        <v>1.99</v>
      </c>
      <c r="M305" s="7">
        <v>0.66</v>
      </c>
      <c r="N305" s="7">
        <v>0.45</v>
      </c>
      <c r="O305" s="7">
        <v>0.79</v>
      </c>
      <c r="P305" s="7">
        <v>1.42</v>
      </c>
      <c r="Q305" s="7">
        <v>0.01</v>
      </c>
    </row>
    <row r="306" spans="1:17">
      <c r="A306" s="2">
        <v>2254</v>
      </c>
      <c r="B306" s="7">
        <v>1.58</v>
      </c>
      <c r="C306" s="7">
        <v>0.24</v>
      </c>
      <c r="D306" s="7">
        <v>0.9</v>
      </c>
      <c r="E306" s="7">
        <v>0.15</v>
      </c>
      <c r="F306" s="7">
        <v>0.15</v>
      </c>
      <c r="G306" s="7">
        <v>0.22</v>
      </c>
      <c r="H306" s="7">
        <v>0.34</v>
      </c>
      <c r="I306" s="7">
        <v>0.37</v>
      </c>
      <c r="J306" s="7">
        <v>0.28999999999999998</v>
      </c>
      <c r="K306" s="7">
        <v>1.67</v>
      </c>
      <c r="L306" s="7">
        <v>1.99</v>
      </c>
      <c r="M306" s="7">
        <v>0.66</v>
      </c>
      <c r="N306" s="7">
        <v>0.45</v>
      </c>
      <c r="O306" s="7">
        <v>0.79</v>
      </c>
      <c r="P306" s="7">
        <v>1.42</v>
      </c>
      <c r="Q306" s="7">
        <v>0.01</v>
      </c>
    </row>
    <row r="307" spans="1:17">
      <c r="A307" s="2">
        <v>2255</v>
      </c>
      <c r="B307" s="7">
        <v>1.58</v>
      </c>
      <c r="C307" s="7">
        <v>0.24</v>
      </c>
      <c r="D307" s="7">
        <v>0.9</v>
      </c>
      <c r="E307" s="7">
        <v>0.15</v>
      </c>
      <c r="F307" s="7">
        <v>0.15</v>
      </c>
      <c r="G307" s="7">
        <v>0.22</v>
      </c>
      <c r="H307" s="7">
        <v>0.34</v>
      </c>
      <c r="I307" s="7">
        <v>0.37</v>
      </c>
      <c r="J307" s="7">
        <v>0.28999999999999998</v>
      </c>
      <c r="K307" s="7">
        <v>1.67</v>
      </c>
      <c r="L307" s="7">
        <v>1.99</v>
      </c>
      <c r="M307" s="7">
        <v>0.66</v>
      </c>
      <c r="N307" s="7">
        <v>0.45</v>
      </c>
      <c r="O307" s="7">
        <v>0.79</v>
      </c>
      <c r="P307" s="7">
        <v>1.42</v>
      </c>
      <c r="Q307" s="7">
        <v>0.01</v>
      </c>
    </row>
    <row r="308" spans="1:17">
      <c r="A308" s="2">
        <v>2256</v>
      </c>
      <c r="B308" s="7">
        <v>1.58</v>
      </c>
      <c r="C308" s="7">
        <v>0.24</v>
      </c>
      <c r="D308" s="7">
        <v>0.9</v>
      </c>
      <c r="E308" s="7">
        <v>0.15</v>
      </c>
      <c r="F308" s="7">
        <v>0.15</v>
      </c>
      <c r="G308" s="7">
        <v>0.22</v>
      </c>
      <c r="H308" s="7">
        <v>0.34</v>
      </c>
      <c r="I308" s="7">
        <v>0.37</v>
      </c>
      <c r="J308" s="7">
        <v>0.28999999999999998</v>
      </c>
      <c r="K308" s="7">
        <v>1.67</v>
      </c>
      <c r="L308" s="7">
        <v>1.99</v>
      </c>
      <c r="M308" s="7">
        <v>0.66</v>
      </c>
      <c r="N308" s="7">
        <v>0.45</v>
      </c>
      <c r="O308" s="7">
        <v>0.79</v>
      </c>
      <c r="P308" s="7">
        <v>1.42</v>
      </c>
      <c r="Q308" s="7">
        <v>0.01</v>
      </c>
    </row>
    <row r="309" spans="1:17">
      <c r="A309" s="2">
        <v>2257</v>
      </c>
      <c r="B309" s="7">
        <v>1.58</v>
      </c>
      <c r="C309" s="7">
        <v>0.24</v>
      </c>
      <c r="D309" s="7">
        <v>0.9</v>
      </c>
      <c r="E309" s="7">
        <v>0.15</v>
      </c>
      <c r="F309" s="7">
        <v>0.15</v>
      </c>
      <c r="G309" s="7">
        <v>0.22</v>
      </c>
      <c r="H309" s="7">
        <v>0.34</v>
      </c>
      <c r="I309" s="7">
        <v>0.37</v>
      </c>
      <c r="J309" s="7">
        <v>0.28999999999999998</v>
      </c>
      <c r="K309" s="7">
        <v>1.67</v>
      </c>
      <c r="L309" s="7">
        <v>1.99</v>
      </c>
      <c r="M309" s="7">
        <v>0.66</v>
      </c>
      <c r="N309" s="7">
        <v>0.45</v>
      </c>
      <c r="O309" s="7">
        <v>0.79</v>
      </c>
      <c r="P309" s="7">
        <v>1.42</v>
      </c>
      <c r="Q309" s="7">
        <v>0.01</v>
      </c>
    </row>
    <row r="310" spans="1:17">
      <c r="A310" s="2">
        <v>2258</v>
      </c>
      <c r="B310" s="7">
        <v>1.58</v>
      </c>
      <c r="C310" s="7">
        <v>0.24</v>
      </c>
      <c r="D310" s="7">
        <v>0.9</v>
      </c>
      <c r="E310" s="7">
        <v>0.15</v>
      </c>
      <c r="F310" s="7">
        <v>0.15</v>
      </c>
      <c r="G310" s="7">
        <v>0.22</v>
      </c>
      <c r="H310" s="7">
        <v>0.34</v>
      </c>
      <c r="I310" s="7">
        <v>0.37</v>
      </c>
      <c r="J310" s="7">
        <v>0.28999999999999998</v>
      </c>
      <c r="K310" s="7">
        <v>1.68</v>
      </c>
      <c r="L310" s="7">
        <v>1.99</v>
      </c>
      <c r="M310" s="7">
        <v>0.66</v>
      </c>
      <c r="N310" s="7">
        <v>0.45</v>
      </c>
      <c r="O310" s="7">
        <v>0.79</v>
      </c>
      <c r="P310" s="7">
        <v>1.42</v>
      </c>
      <c r="Q310" s="7">
        <v>0.01</v>
      </c>
    </row>
    <row r="311" spans="1:17">
      <c r="A311" s="2">
        <v>2259</v>
      </c>
      <c r="B311" s="7">
        <v>1.58</v>
      </c>
      <c r="C311" s="7">
        <v>0.24</v>
      </c>
      <c r="D311" s="7">
        <v>0.9</v>
      </c>
      <c r="E311" s="7">
        <v>0.15</v>
      </c>
      <c r="F311" s="7">
        <v>0.15</v>
      </c>
      <c r="G311" s="7">
        <v>0.22</v>
      </c>
      <c r="H311" s="7">
        <v>0.34</v>
      </c>
      <c r="I311" s="7">
        <v>0.37</v>
      </c>
      <c r="J311" s="7">
        <v>0.28999999999999998</v>
      </c>
      <c r="K311" s="7">
        <v>1.68</v>
      </c>
      <c r="L311" s="7">
        <v>1.99</v>
      </c>
      <c r="M311" s="7">
        <v>0.66</v>
      </c>
      <c r="N311" s="7">
        <v>0.45</v>
      </c>
      <c r="O311" s="7">
        <v>0.79</v>
      </c>
      <c r="P311" s="7">
        <v>1.42</v>
      </c>
      <c r="Q311" s="7">
        <v>0.01</v>
      </c>
    </row>
    <row r="312" spans="1:17">
      <c r="A312" s="2">
        <v>2260</v>
      </c>
      <c r="B312" s="7">
        <v>1.58</v>
      </c>
      <c r="C312" s="7">
        <v>0.24</v>
      </c>
      <c r="D312" s="7">
        <v>0.91</v>
      </c>
      <c r="E312" s="7">
        <v>0.15</v>
      </c>
      <c r="F312" s="7">
        <v>0.15</v>
      </c>
      <c r="G312" s="7">
        <v>0.22</v>
      </c>
      <c r="H312" s="7">
        <v>0.34</v>
      </c>
      <c r="I312" s="7">
        <v>0.37</v>
      </c>
      <c r="J312" s="7">
        <v>0.28999999999999998</v>
      </c>
      <c r="K312" s="7">
        <v>1.68</v>
      </c>
      <c r="L312" s="7">
        <v>1.99</v>
      </c>
      <c r="M312" s="7">
        <v>0.66</v>
      </c>
      <c r="N312" s="7">
        <v>0.45</v>
      </c>
      <c r="O312" s="7">
        <v>0.8</v>
      </c>
      <c r="P312" s="7">
        <v>1.42</v>
      </c>
      <c r="Q312" s="7">
        <v>0.01</v>
      </c>
    </row>
    <row r="313" spans="1:17">
      <c r="A313" s="2">
        <v>2261</v>
      </c>
      <c r="B313" s="7">
        <v>1.58</v>
      </c>
      <c r="C313" s="7">
        <v>0.24</v>
      </c>
      <c r="D313" s="7">
        <v>0.91</v>
      </c>
      <c r="E313" s="7">
        <v>0.15</v>
      </c>
      <c r="F313" s="7">
        <v>0.15</v>
      </c>
      <c r="G313" s="7">
        <v>0.22</v>
      </c>
      <c r="H313" s="7">
        <v>0.34</v>
      </c>
      <c r="I313" s="7">
        <v>0.37</v>
      </c>
      <c r="J313" s="7">
        <v>0.28999999999999998</v>
      </c>
      <c r="K313" s="7">
        <v>1.68</v>
      </c>
      <c r="L313" s="7">
        <v>1.99</v>
      </c>
      <c r="M313" s="7">
        <v>0.66</v>
      </c>
      <c r="N313" s="7">
        <v>0.45</v>
      </c>
      <c r="O313" s="7">
        <v>0.8</v>
      </c>
      <c r="P313" s="7">
        <v>1.42</v>
      </c>
      <c r="Q313" s="7">
        <v>0.01</v>
      </c>
    </row>
    <row r="314" spans="1:17">
      <c r="A314" s="2">
        <v>2262</v>
      </c>
      <c r="B314" s="7">
        <v>1.58</v>
      </c>
      <c r="C314" s="7">
        <v>0.24</v>
      </c>
      <c r="D314" s="7">
        <v>0.91</v>
      </c>
      <c r="E314" s="7">
        <v>0.15</v>
      </c>
      <c r="F314" s="7">
        <v>0.15</v>
      </c>
      <c r="G314" s="7">
        <v>0.22</v>
      </c>
      <c r="H314" s="7">
        <v>0.34</v>
      </c>
      <c r="I314" s="7">
        <v>0.37</v>
      </c>
      <c r="J314" s="7">
        <v>0.28999999999999998</v>
      </c>
      <c r="K314" s="7">
        <v>1.68</v>
      </c>
      <c r="L314" s="7">
        <v>2</v>
      </c>
      <c r="M314" s="7">
        <v>0.66</v>
      </c>
      <c r="N314" s="7">
        <v>0.45</v>
      </c>
      <c r="O314" s="7">
        <v>0.8</v>
      </c>
      <c r="P314" s="7">
        <v>1.43</v>
      </c>
      <c r="Q314" s="7">
        <v>0.01</v>
      </c>
    </row>
    <row r="315" spans="1:17">
      <c r="A315" s="2">
        <v>2263</v>
      </c>
      <c r="B315" s="7">
        <v>1.58</v>
      </c>
      <c r="C315" s="7">
        <v>0.24</v>
      </c>
      <c r="D315" s="7">
        <v>0.91</v>
      </c>
      <c r="E315" s="7">
        <v>0.15</v>
      </c>
      <c r="F315" s="7">
        <v>0.15</v>
      </c>
      <c r="G315" s="7">
        <v>0.22</v>
      </c>
      <c r="H315" s="7">
        <v>0.34</v>
      </c>
      <c r="I315" s="7">
        <v>0.37</v>
      </c>
      <c r="J315" s="7">
        <v>0.28999999999999998</v>
      </c>
      <c r="K315" s="7">
        <v>1.68</v>
      </c>
      <c r="L315" s="7">
        <v>2</v>
      </c>
      <c r="M315" s="7">
        <v>0.66</v>
      </c>
      <c r="N315" s="7">
        <v>0.45</v>
      </c>
      <c r="O315" s="7">
        <v>0.8</v>
      </c>
      <c r="P315" s="7">
        <v>1.43</v>
      </c>
      <c r="Q315" s="7">
        <v>0.01</v>
      </c>
    </row>
    <row r="316" spans="1:17">
      <c r="A316" s="2">
        <v>2264</v>
      </c>
      <c r="B316" s="7">
        <v>1.58</v>
      </c>
      <c r="C316" s="7">
        <v>0.24</v>
      </c>
      <c r="D316" s="7">
        <v>0.91</v>
      </c>
      <c r="E316" s="7">
        <v>0.15</v>
      </c>
      <c r="F316" s="7">
        <v>0.15</v>
      </c>
      <c r="G316" s="7">
        <v>0.22</v>
      </c>
      <c r="H316" s="7">
        <v>0.34</v>
      </c>
      <c r="I316" s="7">
        <v>0.37</v>
      </c>
      <c r="J316" s="7">
        <v>0.28999999999999998</v>
      </c>
      <c r="K316" s="7">
        <v>1.68</v>
      </c>
      <c r="L316" s="7">
        <v>2</v>
      </c>
      <c r="M316" s="7">
        <v>0.66</v>
      </c>
      <c r="N316" s="7">
        <v>0.45</v>
      </c>
      <c r="O316" s="7">
        <v>0.8</v>
      </c>
      <c r="P316" s="7">
        <v>1.43</v>
      </c>
      <c r="Q316" s="7">
        <v>0.01</v>
      </c>
    </row>
    <row r="317" spans="1:17">
      <c r="A317" s="2">
        <v>2265</v>
      </c>
      <c r="B317" s="7">
        <v>1.58</v>
      </c>
      <c r="C317" s="7">
        <v>0.24</v>
      </c>
      <c r="D317" s="7">
        <v>0.91</v>
      </c>
      <c r="E317" s="7">
        <v>0.15</v>
      </c>
      <c r="F317" s="7">
        <v>0.15</v>
      </c>
      <c r="G317" s="7">
        <v>0.22</v>
      </c>
      <c r="H317" s="7">
        <v>0.34</v>
      </c>
      <c r="I317" s="7">
        <v>0.37</v>
      </c>
      <c r="J317" s="7">
        <v>0.28999999999999998</v>
      </c>
      <c r="K317" s="7">
        <v>1.68</v>
      </c>
      <c r="L317" s="7">
        <v>2</v>
      </c>
      <c r="M317" s="7">
        <v>0.66</v>
      </c>
      <c r="N317" s="7">
        <v>0.45</v>
      </c>
      <c r="O317" s="7">
        <v>0.8</v>
      </c>
      <c r="P317" s="7">
        <v>1.43</v>
      </c>
      <c r="Q317" s="7">
        <v>0.01</v>
      </c>
    </row>
    <row r="318" spans="1:17">
      <c r="A318" s="2">
        <v>2266</v>
      </c>
      <c r="B318" s="7">
        <v>1.59</v>
      </c>
      <c r="C318" s="7">
        <v>0.24</v>
      </c>
      <c r="D318" s="7">
        <v>0.91</v>
      </c>
      <c r="E318" s="7">
        <v>0.15</v>
      </c>
      <c r="F318" s="7">
        <v>0.15</v>
      </c>
      <c r="G318" s="7">
        <v>0.22</v>
      </c>
      <c r="H318" s="7">
        <v>0.34</v>
      </c>
      <c r="I318" s="7">
        <v>0.37</v>
      </c>
      <c r="J318" s="7">
        <v>0.28999999999999998</v>
      </c>
      <c r="K318" s="7">
        <v>1.68</v>
      </c>
      <c r="L318" s="7">
        <v>2</v>
      </c>
      <c r="M318" s="7">
        <v>0.66</v>
      </c>
      <c r="N318" s="7">
        <v>0.45</v>
      </c>
      <c r="O318" s="7">
        <v>0.8</v>
      </c>
      <c r="P318" s="7">
        <v>1.43</v>
      </c>
      <c r="Q318" s="7">
        <v>0.01</v>
      </c>
    </row>
    <row r="319" spans="1:17">
      <c r="A319" s="2">
        <v>2267</v>
      </c>
      <c r="B319" s="7">
        <v>1.59</v>
      </c>
      <c r="C319" s="7">
        <v>0.24</v>
      </c>
      <c r="D319" s="7">
        <v>0.91</v>
      </c>
      <c r="E319" s="7">
        <v>0.15</v>
      </c>
      <c r="F319" s="7">
        <v>0.15</v>
      </c>
      <c r="G319" s="7">
        <v>0.22</v>
      </c>
      <c r="H319" s="7">
        <v>0.34</v>
      </c>
      <c r="I319" s="7">
        <v>0.37</v>
      </c>
      <c r="J319" s="7">
        <v>0.28999999999999998</v>
      </c>
      <c r="K319" s="7">
        <v>1.68</v>
      </c>
      <c r="L319" s="7">
        <v>2</v>
      </c>
      <c r="M319" s="7">
        <v>0.66</v>
      </c>
      <c r="N319" s="7">
        <v>0.45</v>
      </c>
      <c r="O319" s="7">
        <v>0.8</v>
      </c>
      <c r="P319" s="7">
        <v>1.43</v>
      </c>
      <c r="Q319" s="7">
        <v>0.01</v>
      </c>
    </row>
    <row r="320" spans="1:17">
      <c r="A320" s="2">
        <v>2268</v>
      </c>
      <c r="B320" s="7">
        <v>1.59</v>
      </c>
      <c r="C320" s="7">
        <v>0.24</v>
      </c>
      <c r="D320" s="7">
        <v>0.91</v>
      </c>
      <c r="E320" s="7">
        <v>0.15</v>
      </c>
      <c r="F320" s="7">
        <v>0.15</v>
      </c>
      <c r="G320" s="7">
        <v>0.22</v>
      </c>
      <c r="H320" s="7">
        <v>0.34</v>
      </c>
      <c r="I320" s="7">
        <v>0.37</v>
      </c>
      <c r="J320" s="7">
        <v>0.28999999999999998</v>
      </c>
      <c r="K320" s="7">
        <v>1.68</v>
      </c>
      <c r="L320" s="7">
        <v>2</v>
      </c>
      <c r="M320" s="7">
        <v>0.66</v>
      </c>
      <c r="N320" s="7">
        <v>0.45</v>
      </c>
      <c r="O320" s="7">
        <v>0.8</v>
      </c>
      <c r="P320" s="7">
        <v>1.43</v>
      </c>
      <c r="Q320" s="7">
        <v>0.01</v>
      </c>
    </row>
    <row r="321" spans="1:17">
      <c r="A321" s="2">
        <v>2269</v>
      </c>
      <c r="B321" s="7">
        <v>1.59</v>
      </c>
      <c r="C321" s="7">
        <v>0.24</v>
      </c>
      <c r="D321" s="7">
        <v>0.91</v>
      </c>
      <c r="E321" s="7">
        <v>0.15</v>
      </c>
      <c r="F321" s="7">
        <v>0.15</v>
      </c>
      <c r="G321" s="7">
        <v>0.22</v>
      </c>
      <c r="H321" s="7">
        <v>0.34</v>
      </c>
      <c r="I321" s="7">
        <v>0.37</v>
      </c>
      <c r="J321" s="7">
        <v>0.28999999999999998</v>
      </c>
      <c r="K321" s="7">
        <v>1.69</v>
      </c>
      <c r="L321" s="7">
        <v>2</v>
      </c>
      <c r="M321" s="7">
        <v>0.66</v>
      </c>
      <c r="N321" s="7">
        <v>0.45</v>
      </c>
      <c r="O321" s="7">
        <v>0.8</v>
      </c>
      <c r="P321" s="7">
        <v>1.43</v>
      </c>
      <c r="Q321" s="7">
        <v>0.01</v>
      </c>
    </row>
    <row r="322" spans="1:17">
      <c r="A322" s="2">
        <v>2270</v>
      </c>
      <c r="B322" s="7">
        <v>1.59</v>
      </c>
      <c r="C322" s="7">
        <v>0.24</v>
      </c>
      <c r="D322" s="7">
        <v>0.91</v>
      </c>
      <c r="E322" s="7">
        <v>0.15</v>
      </c>
      <c r="F322" s="7">
        <v>0.15</v>
      </c>
      <c r="G322" s="7">
        <v>0.22</v>
      </c>
      <c r="H322" s="7">
        <v>0.34</v>
      </c>
      <c r="I322" s="7">
        <v>0.37</v>
      </c>
      <c r="J322" s="7">
        <v>0.3</v>
      </c>
      <c r="K322" s="7">
        <v>1.69</v>
      </c>
      <c r="L322" s="7">
        <v>2</v>
      </c>
      <c r="M322" s="7">
        <v>0.66</v>
      </c>
      <c r="N322" s="7">
        <v>0.45</v>
      </c>
      <c r="O322" s="7">
        <v>0.8</v>
      </c>
      <c r="P322" s="7">
        <v>1.43</v>
      </c>
      <c r="Q322" s="7">
        <v>0.01</v>
      </c>
    </row>
    <row r="323" spans="1:17">
      <c r="A323" s="2">
        <v>2271</v>
      </c>
      <c r="B323" s="7">
        <v>1.59</v>
      </c>
      <c r="C323" s="7">
        <v>0.24</v>
      </c>
      <c r="D323" s="7">
        <v>0.91</v>
      </c>
      <c r="E323" s="7">
        <v>0.15</v>
      </c>
      <c r="F323" s="7">
        <v>0.15</v>
      </c>
      <c r="G323" s="7">
        <v>0.22</v>
      </c>
      <c r="H323" s="7">
        <v>0.34</v>
      </c>
      <c r="I323" s="7">
        <v>0.38</v>
      </c>
      <c r="J323" s="7">
        <v>0.3</v>
      </c>
      <c r="K323" s="7">
        <v>1.69</v>
      </c>
      <c r="L323" s="7">
        <v>2</v>
      </c>
      <c r="M323" s="7">
        <v>0.66</v>
      </c>
      <c r="N323" s="7">
        <v>0.45</v>
      </c>
      <c r="O323" s="7">
        <v>0.8</v>
      </c>
      <c r="P323" s="7">
        <v>1.43</v>
      </c>
      <c r="Q323" s="7">
        <v>0.01</v>
      </c>
    </row>
    <row r="324" spans="1:17">
      <c r="A324" s="2">
        <v>2272</v>
      </c>
      <c r="B324" s="7">
        <v>1.59</v>
      </c>
      <c r="C324" s="7">
        <v>0.24</v>
      </c>
      <c r="D324" s="7">
        <v>0.91</v>
      </c>
      <c r="E324" s="7">
        <v>0.15</v>
      </c>
      <c r="F324" s="7">
        <v>0.15</v>
      </c>
      <c r="G324" s="7">
        <v>0.22</v>
      </c>
      <c r="H324" s="7">
        <v>0.34</v>
      </c>
      <c r="I324" s="7">
        <v>0.38</v>
      </c>
      <c r="J324" s="7">
        <v>0.3</v>
      </c>
      <c r="K324" s="7">
        <v>1.69</v>
      </c>
      <c r="L324" s="7">
        <v>2.0099999999999998</v>
      </c>
      <c r="M324" s="7">
        <v>0.66</v>
      </c>
      <c r="N324" s="7">
        <v>0.46</v>
      </c>
      <c r="O324" s="7">
        <v>0.8</v>
      </c>
      <c r="P324" s="7">
        <v>1.43</v>
      </c>
      <c r="Q324" s="7">
        <v>0.01</v>
      </c>
    </row>
    <row r="325" spans="1:17">
      <c r="A325" s="2">
        <v>2273</v>
      </c>
      <c r="B325" s="7">
        <v>1.59</v>
      </c>
      <c r="C325" s="7">
        <v>0.24</v>
      </c>
      <c r="D325" s="7">
        <v>0.91</v>
      </c>
      <c r="E325" s="7">
        <v>0.15</v>
      </c>
      <c r="F325" s="7">
        <v>0.15</v>
      </c>
      <c r="G325" s="7">
        <v>0.22</v>
      </c>
      <c r="H325" s="7">
        <v>0.34</v>
      </c>
      <c r="I325" s="7">
        <v>0.38</v>
      </c>
      <c r="J325" s="7">
        <v>0.3</v>
      </c>
      <c r="K325" s="7">
        <v>1.69</v>
      </c>
      <c r="L325" s="7">
        <v>2.0099999999999998</v>
      </c>
      <c r="M325" s="7">
        <v>0.66</v>
      </c>
      <c r="N325" s="7">
        <v>0.46</v>
      </c>
      <c r="O325" s="7">
        <v>0.8</v>
      </c>
      <c r="P325" s="7">
        <v>1.43</v>
      </c>
      <c r="Q325" s="7">
        <v>0.01</v>
      </c>
    </row>
    <row r="326" spans="1:17">
      <c r="A326" s="2">
        <v>2274</v>
      </c>
      <c r="B326" s="7">
        <v>1.59</v>
      </c>
      <c r="C326" s="7">
        <v>0.24</v>
      </c>
      <c r="D326" s="7">
        <v>0.91</v>
      </c>
      <c r="E326" s="7">
        <v>0.15</v>
      </c>
      <c r="F326" s="7">
        <v>0.15</v>
      </c>
      <c r="G326" s="7">
        <v>0.22</v>
      </c>
      <c r="H326" s="7">
        <v>0.34</v>
      </c>
      <c r="I326" s="7">
        <v>0.38</v>
      </c>
      <c r="J326" s="7">
        <v>0.3</v>
      </c>
      <c r="K326" s="7">
        <v>1.69</v>
      </c>
      <c r="L326" s="7">
        <v>2.0099999999999998</v>
      </c>
      <c r="M326" s="7">
        <v>0.66</v>
      </c>
      <c r="N326" s="7">
        <v>0.46</v>
      </c>
      <c r="O326" s="7">
        <v>0.8</v>
      </c>
      <c r="P326" s="7">
        <v>1.43</v>
      </c>
      <c r="Q326" s="7">
        <v>0.01</v>
      </c>
    </row>
    <row r="327" spans="1:17">
      <c r="A327" s="2">
        <v>2275</v>
      </c>
      <c r="B327" s="7">
        <v>1.59</v>
      </c>
      <c r="C327" s="7">
        <v>0.24</v>
      </c>
      <c r="D327" s="7">
        <v>0.91</v>
      </c>
      <c r="E327" s="7">
        <v>0.15</v>
      </c>
      <c r="F327" s="7">
        <v>0.15</v>
      </c>
      <c r="G327" s="7">
        <v>0.22</v>
      </c>
      <c r="H327" s="7">
        <v>0.34</v>
      </c>
      <c r="I327" s="7">
        <v>0.38</v>
      </c>
      <c r="J327" s="7">
        <v>0.3</v>
      </c>
      <c r="K327" s="7">
        <v>1.69</v>
      </c>
      <c r="L327" s="7">
        <v>2.0099999999999998</v>
      </c>
      <c r="M327" s="7">
        <v>0.66</v>
      </c>
      <c r="N327" s="7">
        <v>0.46</v>
      </c>
      <c r="O327" s="7">
        <v>0.8</v>
      </c>
      <c r="P327" s="7">
        <v>1.44</v>
      </c>
      <c r="Q327" s="7">
        <v>0.01</v>
      </c>
    </row>
    <row r="328" spans="1:17">
      <c r="A328" s="2">
        <v>2276</v>
      </c>
      <c r="B328" s="7">
        <v>1.59</v>
      </c>
      <c r="C328" s="7">
        <v>0.24</v>
      </c>
      <c r="D328" s="7">
        <v>0.91</v>
      </c>
      <c r="E328" s="7">
        <v>0.15</v>
      </c>
      <c r="F328" s="7">
        <v>0.15</v>
      </c>
      <c r="G328" s="7">
        <v>0.22</v>
      </c>
      <c r="H328" s="7">
        <v>0.34</v>
      </c>
      <c r="I328" s="7">
        <v>0.38</v>
      </c>
      <c r="J328" s="7">
        <v>0.3</v>
      </c>
      <c r="K328" s="7">
        <v>1.69</v>
      </c>
      <c r="L328" s="7">
        <v>2.0099999999999998</v>
      </c>
      <c r="M328" s="7">
        <v>0.66</v>
      </c>
      <c r="N328" s="7">
        <v>0.46</v>
      </c>
      <c r="O328" s="7">
        <v>0.8</v>
      </c>
      <c r="P328" s="7">
        <v>1.44</v>
      </c>
      <c r="Q328" s="7">
        <v>0.01</v>
      </c>
    </row>
    <row r="329" spans="1:17">
      <c r="A329" s="2">
        <v>2277</v>
      </c>
      <c r="B329" s="7">
        <v>1.59</v>
      </c>
      <c r="C329" s="7">
        <v>0.24</v>
      </c>
      <c r="D329" s="7">
        <v>0.91</v>
      </c>
      <c r="E329" s="7">
        <v>0.15</v>
      </c>
      <c r="F329" s="7">
        <v>0.15</v>
      </c>
      <c r="G329" s="7">
        <v>0.22</v>
      </c>
      <c r="H329" s="7">
        <v>0.34</v>
      </c>
      <c r="I329" s="7">
        <v>0.38</v>
      </c>
      <c r="J329" s="7">
        <v>0.3</v>
      </c>
      <c r="K329" s="7">
        <v>1.69</v>
      </c>
      <c r="L329" s="7">
        <v>2.0099999999999998</v>
      </c>
      <c r="M329" s="7">
        <v>0.66</v>
      </c>
      <c r="N329" s="7">
        <v>0.46</v>
      </c>
      <c r="O329" s="7">
        <v>0.8</v>
      </c>
      <c r="P329" s="7">
        <v>1.44</v>
      </c>
      <c r="Q329" s="7">
        <v>0.01</v>
      </c>
    </row>
    <row r="330" spans="1:17">
      <c r="A330" s="2">
        <v>2278</v>
      </c>
      <c r="B330" s="7">
        <v>1.6</v>
      </c>
      <c r="C330" s="7">
        <v>0.24</v>
      </c>
      <c r="D330" s="7">
        <v>0.91</v>
      </c>
      <c r="E330" s="7">
        <v>0.15</v>
      </c>
      <c r="F330" s="7">
        <v>0.15</v>
      </c>
      <c r="G330" s="7">
        <v>0.22</v>
      </c>
      <c r="H330" s="7">
        <v>0.34</v>
      </c>
      <c r="I330" s="7">
        <v>0.38</v>
      </c>
      <c r="J330" s="7">
        <v>0.3</v>
      </c>
      <c r="K330" s="7">
        <v>1.69</v>
      </c>
      <c r="L330" s="7">
        <v>2.0099999999999998</v>
      </c>
      <c r="M330" s="7">
        <v>0.66</v>
      </c>
      <c r="N330" s="7">
        <v>0.46</v>
      </c>
      <c r="O330" s="7">
        <v>0.8</v>
      </c>
      <c r="P330" s="7">
        <v>1.44</v>
      </c>
      <c r="Q330" s="7">
        <v>0.01</v>
      </c>
    </row>
    <row r="331" spans="1:17">
      <c r="A331" s="2">
        <v>2279</v>
      </c>
      <c r="B331" s="7">
        <v>1.6</v>
      </c>
      <c r="C331" s="7">
        <v>0.24</v>
      </c>
      <c r="D331" s="7">
        <v>0.91</v>
      </c>
      <c r="E331" s="7">
        <v>0.15</v>
      </c>
      <c r="F331" s="7">
        <v>0.15</v>
      </c>
      <c r="G331" s="7">
        <v>0.22</v>
      </c>
      <c r="H331" s="7">
        <v>0.34</v>
      </c>
      <c r="I331" s="7">
        <v>0.38</v>
      </c>
      <c r="J331" s="7">
        <v>0.3</v>
      </c>
      <c r="K331" s="7">
        <v>1.7</v>
      </c>
      <c r="L331" s="7">
        <v>2.0099999999999998</v>
      </c>
      <c r="M331" s="7">
        <v>0.66</v>
      </c>
      <c r="N331" s="7">
        <v>0.46</v>
      </c>
      <c r="O331" s="7">
        <v>0.8</v>
      </c>
      <c r="P331" s="7">
        <v>1.44</v>
      </c>
      <c r="Q331" s="7">
        <v>0.01</v>
      </c>
    </row>
    <row r="332" spans="1:17">
      <c r="A332" s="2">
        <v>2280</v>
      </c>
      <c r="B332" s="7">
        <v>1.6</v>
      </c>
      <c r="C332" s="7">
        <v>0.24</v>
      </c>
      <c r="D332" s="7">
        <v>0.91</v>
      </c>
      <c r="E332" s="7">
        <v>0.15</v>
      </c>
      <c r="F332" s="7">
        <v>0.15</v>
      </c>
      <c r="G332" s="7">
        <v>0.22</v>
      </c>
      <c r="H332" s="7">
        <v>0.34</v>
      </c>
      <c r="I332" s="7">
        <v>0.38</v>
      </c>
      <c r="J332" s="7">
        <v>0.3</v>
      </c>
      <c r="K332" s="7">
        <v>1.7</v>
      </c>
      <c r="L332" s="7">
        <v>2.0099999999999998</v>
      </c>
      <c r="M332" s="7">
        <v>0.67</v>
      </c>
      <c r="N332" s="7">
        <v>0.46</v>
      </c>
      <c r="O332" s="7">
        <v>0.8</v>
      </c>
      <c r="P332" s="7">
        <v>1.44</v>
      </c>
      <c r="Q332" s="7">
        <v>0.01</v>
      </c>
    </row>
    <row r="333" spans="1:17">
      <c r="A333" s="2">
        <v>2281</v>
      </c>
      <c r="B333" s="7">
        <v>1.6</v>
      </c>
      <c r="C333" s="7">
        <v>0.24</v>
      </c>
      <c r="D333" s="7">
        <v>0.91</v>
      </c>
      <c r="E333" s="7">
        <v>0.15</v>
      </c>
      <c r="F333" s="7">
        <v>0.15</v>
      </c>
      <c r="G333" s="7">
        <v>0.22</v>
      </c>
      <c r="H333" s="7">
        <v>0.34</v>
      </c>
      <c r="I333" s="7">
        <v>0.38</v>
      </c>
      <c r="J333" s="7">
        <v>0.3</v>
      </c>
      <c r="K333" s="7">
        <v>1.7</v>
      </c>
      <c r="L333" s="7">
        <v>2.02</v>
      </c>
      <c r="M333" s="7">
        <v>0.67</v>
      </c>
      <c r="N333" s="7">
        <v>0.46</v>
      </c>
      <c r="O333" s="7">
        <v>0.8</v>
      </c>
      <c r="P333" s="7">
        <v>1.44</v>
      </c>
      <c r="Q333" s="7">
        <v>0.01</v>
      </c>
    </row>
    <row r="334" spans="1:17">
      <c r="A334" s="2">
        <v>2282</v>
      </c>
      <c r="B334" s="7">
        <v>1.6</v>
      </c>
      <c r="C334" s="7">
        <v>0.24</v>
      </c>
      <c r="D334" s="7">
        <v>0.91</v>
      </c>
      <c r="E334" s="7">
        <v>0.15</v>
      </c>
      <c r="F334" s="7">
        <v>0.15</v>
      </c>
      <c r="G334" s="7">
        <v>0.22</v>
      </c>
      <c r="H334" s="7">
        <v>0.34</v>
      </c>
      <c r="I334" s="7">
        <v>0.38</v>
      </c>
      <c r="J334" s="7">
        <v>0.3</v>
      </c>
      <c r="K334" s="7">
        <v>1.7</v>
      </c>
      <c r="L334" s="7">
        <v>2.02</v>
      </c>
      <c r="M334" s="7">
        <v>0.67</v>
      </c>
      <c r="N334" s="7">
        <v>0.46</v>
      </c>
      <c r="O334" s="7">
        <v>0.8</v>
      </c>
      <c r="P334" s="7">
        <v>1.44</v>
      </c>
      <c r="Q334" s="7">
        <v>0.01</v>
      </c>
    </row>
    <row r="335" spans="1:17">
      <c r="A335" s="2">
        <v>2283</v>
      </c>
      <c r="B335" s="7">
        <v>1.6</v>
      </c>
      <c r="C335" s="7">
        <v>0.24</v>
      </c>
      <c r="D335" s="7">
        <v>0.91</v>
      </c>
      <c r="E335" s="7">
        <v>0.15</v>
      </c>
      <c r="F335" s="7">
        <v>0.15</v>
      </c>
      <c r="G335" s="7">
        <v>0.22</v>
      </c>
      <c r="H335" s="7">
        <v>0.34</v>
      </c>
      <c r="I335" s="7">
        <v>0.38</v>
      </c>
      <c r="J335" s="7">
        <v>0.3</v>
      </c>
      <c r="K335" s="7">
        <v>1.7</v>
      </c>
      <c r="L335" s="7">
        <v>2.02</v>
      </c>
      <c r="M335" s="7">
        <v>0.67</v>
      </c>
      <c r="N335" s="7">
        <v>0.46</v>
      </c>
      <c r="O335" s="7">
        <v>0.81</v>
      </c>
      <c r="P335" s="7">
        <v>1.44</v>
      </c>
      <c r="Q335" s="7">
        <v>0.01</v>
      </c>
    </row>
    <row r="336" spans="1:17">
      <c r="A336" s="2">
        <v>2284</v>
      </c>
      <c r="B336" s="7">
        <v>1.6</v>
      </c>
      <c r="C336" s="7">
        <v>0.24</v>
      </c>
      <c r="D336" s="7">
        <v>0.92</v>
      </c>
      <c r="E336" s="7">
        <v>0.15</v>
      </c>
      <c r="F336" s="7">
        <v>0.15</v>
      </c>
      <c r="G336" s="7">
        <v>0.22</v>
      </c>
      <c r="H336" s="7">
        <v>0.34</v>
      </c>
      <c r="I336" s="7">
        <v>0.38</v>
      </c>
      <c r="J336" s="7">
        <v>0.3</v>
      </c>
      <c r="K336" s="7">
        <v>1.7</v>
      </c>
      <c r="L336" s="7">
        <v>2.02</v>
      </c>
      <c r="M336" s="7">
        <v>0.67</v>
      </c>
      <c r="N336" s="7">
        <v>0.46</v>
      </c>
      <c r="O336" s="7">
        <v>0.81</v>
      </c>
      <c r="P336" s="7">
        <v>1.44</v>
      </c>
      <c r="Q336" s="7">
        <v>0.01</v>
      </c>
    </row>
    <row r="337" spans="1:17">
      <c r="A337" s="2">
        <v>2285</v>
      </c>
      <c r="B337" s="7">
        <v>1.6</v>
      </c>
      <c r="C337" s="7">
        <v>0.24</v>
      </c>
      <c r="D337" s="7">
        <v>0.92</v>
      </c>
      <c r="E337" s="7">
        <v>0.15</v>
      </c>
      <c r="F337" s="7">
        <v>0.15</v>
      </c>
      <c r="G337" s="7">
        <v>0.22</v>
      </c>
      <c r="H337" s="7">
        <v>0.34</v>
      </c>
      <c r="I337" s="7">
        <v>0.38</v>
      </c>
      <c r="J337" s="7">
        <v>0.3</v>
      </c>
      <c r="K337" s="7">
        <v>1.7</v>
      </c>
      <c r="L337" s="7">
        <v>2.02</v>
      </c>
      <c r="M337" s="7">
        <v>0.67</v>
      </c>
      <c r="N337" s="7">
        <v>0.46</v>
      </c>
      <c r="O337" s="7">
        <v>0.81</v>
      </c>
      <c r="P337" s="7">
        <v>1.44</v>
      </c>
      <c r="Q337" s="7">
        <v>0.01</v>
      </c>
    </row>
    <row r="338" spans="1:17">
      <c r="A338" s="2">
        <v>2286</v>
      </c>
      <c r="B338" s="7">
        <v>1.6</v>
      </c>
      <c r="C338" s="7">
        <v>0.24</v>
      </c>
      <c r="D338" s="7">
        <v>0.92</v>
      </c>
      <c r="E338" s="7">
        <v>0.15</v>
      </c>
      <c r="F338" s="7">
        <v>0.15</v>
      </c>
      <c r="G338" s="7">
        <v>0.22</v>
      </c>
      <c r="H338" s="7">
        <v>0.34</v>
      </c>
      <c r="I338" s="7">
        <v>0.38</v>
      </c>
      <c r="J338" s="7">
        <v>0.3</v>
      </c>
      <c r="K338" s="7">
        <v>1.7</v>
      </c>
      <c r="L338" s="7">
        <v>2.02</v>
      </c>
      <c r="M338" s="7">
        <v>0.67</v>
      </c>
      <c r="N338" s="7">
        <v>0.46</v>
      </c>
      <c r="O338" s="7">
        <v>0.81</v>
      </c>
      <c r="P338" s="7">
        <v>1.44</v>
      </c>
      <c r="Q338" s="7">
        <v>0.01</v>
      </c>
    </row>
    <row r="339" spans="1:17">
      <c r="A339" s="2">
        <v>2287</v>
      </c>
      <c r="B339" s="7">
        <v>1.6</v>
      </c>
      <c r="C339" s="7">
        <v>0.24</v>
      </c>
      <c r="D339" s="7">
        <v>0.92</v>
      </c>
      <c r="E339" s="7">
        <v>0.15</v>
      </c>
      <c r="F339" s="7">
        <v>0.15</v>
      </c>
      <c r="G339" s="7">
        <v>0.22</v>
      </c>
      <c r="H339" s="7">
        <v>0.34</v>
      </c>
      <c r="I339" s="7">
        <v>0.38</v>
      </c>
      <c r="J339" s="7">
        <v>0.3</v>
      </c>
      <c r="K339" s="7">
        <v>1.7</v>
      </c>
      <c r="L339" s="7">
        <v>2.02</v>
      </c>
      <c r="M339" s="7">
        <v>0.67</v>
      </c>
      <c r="N339" s="7">
        <v>0.46</v>
      </c>
      <c r="O339" s="7">
        <v>0.81</v>
      </c>
      <c r="P339" s="7">
        <v>1.44</v>
      </c>
      <c r="Q339" s="7">
        <v>0.01</v>
      </c>
    </row>
    <row r="340" spans="1:17">
      <c r="A340" s="2">
        <v>2288</v>
      </c>
      <c r="B340" s="7">
        <v>1.6</v>
      </c>
      <c r="C340" s="7">
        <v>0.24</v>
      </c>
      <c r="D340" s="7">
        <v>0.92</v>
      </c>
      <c r="E340" s="7">
        <v>0.15</v>
      </c>
      <c r="F340" s="7">
        <v>0.15</v>
      </c>
      <c r="G340" s="7">
        <v>0.22</v>
      </c>
      <c r="H340" s="7">
        <v>0.34</v>
      </c>
      <c r="I340" s="7">
        <v>0.38</v>
      </c>
      <c r="J340" s="7">
        <v>0.3</v>
      </c>
      <c r="K340" s="7">
        <v>1.7</v>
      </c>
      <c r="L340" s="7">
        <v>2.02</v>
      </c>
      <c r="M340" s="7">
        <v>0.67</v>
      </c>
      <c r="N340" s="7">
        <v>0.46</v>
      </c>
      <c r="O340" s="7">
        <v>0.81</v>
      </c>
      <c r="P340" s="7">
        <v>1.44</v>
      </c>
      <c r="Q340" s="7">
        <v>0.01</v>
      </c>
    </row>
    <row r="341" spans="1:17">
      <c r="A341" s="2">
        <v>2289</v>
      </c>
      <c r="B341" s="7">
        <v>1.61</v>
      </c>
      <c r="C341" s="7">
        <v>0.24</v>
      </c>
      <c r="D341" s="7">
        <v>0.92</v>
      </c>
      <c r="E341" s="7">
        <v>0.15</v>
      </c>
      <c r="F341" s="7">
        <v>0.15</v>
      </c>
      <c r="G341" s="7">
        <v>0.22</v>
      </c>
      <c r="H341" s="7">
        <v>0.34</v>
      </c>
      <c r="I341" s="7">
        <v>0.38</v>
      </c>
      <c r="J341" s="7">
        <v>0.3</v>
      </c>
      <c r="K341" s="7">
        <v>1.7</v>
      </c>
      <c r="L341" s="7">
        <v>2.02</v>
      </c>
      <c r="M341" s="7">
        <v>0.67</v>
      </c>
      <c r="N341" s="7">
        <v>0.46</v>
      </c>
      <c r="O341" s="7">
        <v>0.81</v>
      </c>
      <c r="P341" s="7">
        <v>1.45</v>
      </c>
      <c r="Q341" s="7">
        <v>0.01</v>
      </c>
    </row>
    <row r="342" spans="1:17">
      <c r="A342" s="2">
        <v>2290</v>
      </c>
      <c r="B342" s="7">
        <v>1.61</v>
      </c>
      <c r="C342" s="7">
        <v>0.24</v>
      </c>
      <c r="D342" s="7">
        <v>0.92</v>
      </c>
      <c r="E342" s="7">
        <v>0.15</v>
      </c>
      <c r="F342" s="7">
        <v>0.15</v>
      </c>
      <c r="G342" s="7">
        <v>0.22</v>
      </c>
      <c r="H342" s="7">
        <v>0.34</v>
      </c>
      <c r="I342" s="7">
        <v>0.38</v>
      </c>
      <c r="J342" s="7">
        <v>0.3</v>
      </c>
      <c r="K342" s="7">
        <v>1.71</v>
      </c>
      <c r="L342" s="7">
        <v>2.02</v>
      </c>
      <c r="M342" s="7">
        <v>0.67</v>
      </c>
      <c r="N342" s="7">
        <v>0.46</v>
      </c>
      <c r="O342" s="7">
        <v>0.81</v>
      </c>
      <c r="P342" s="7">
        <v>1.45</v>
      </c>
      <c r="Q342" s="7">
        <v>0.01</v>
      </c>
    </row>
    <row r="343" spans="1:17">
      <c r="A343" s="2">
        <v>2291</v>
      </c>
      <c r="B343" s="7">
        <v>1.61</v>
      </c>
      <c r="C343" s="7">
        <v>0.24</v>
      </c>
      <c r="D343" s="7">
        <v>0.92</v>
      </c>
      <c r="E343" s="7">
        <v>0.15</v>
      </c>
      <c r="F343" s="7">
        <v>0.15</v>
      </c>
      <c r="G343" s="7">
        <v>0.22</v>
      </c>
      <c r="H343" s="7">
        <v>0.34</v>
      </c>
      <c r="I343" s="7">
        <v>0.38</v>
      </c>
      <c r="J343" s="7">
        <v>0.3</v>
      </c>
      <c r="K343" s="7">
        <v>1.71</v>
      </c>
      <c r="L343" s="7">
        <v>2.0299999999999998</v>
      </c>
      <c r="M343" s="7">
        <v>0.67</v>
      </c>
      <c r="N343" s="7">
        <v>0.46</v>
      </c>
      <c r="O343" s="7">
        <v>0.81</v>
      </c>
      <c r="P343" s="7">
        <v>1.45</v>
      </c>
      <c r="Q343" s="7">
        <v>0.01</v>
      </c>
    </row>
    <row r="344" spans="1:17">
      <c r="A344" s="2">
        <v>2292</v>
      </c>
      <c r="B344" s="7">
        <v>1.61</v>
      </c>
      <c r="C344" s="7">
        <v>0.24</v>
      </c>
      <c r="D344" s="7">
        <v>0.92</v>
      </c>
      <c r="E344" s="7">
        <v>0.15</v>
      </c>
      <c r="F344" s="7">
        <v>0.15</v>
      </c>
      <c r="G344" s="7">
        <v>0.22</v>
      </c>
      <c r="H344" s="7">
        <v>0.34</v>
      </c>
      <c r="I344" s="7">
        <v>0.38</v>
      </c>
      <c r="J344" s="7">
        <v>0.3</v>
      </c>
      <c r="K344" s="7">
        <v>1.71</v>
      </c>
      <c r="L344" s="7">
        <v>2.0299999999999998</v>
      </c>
      <c r="M344" s="7">
        <v>0.67</v>
      </c>
      <c r="N344" s="7">
        <v>0.46</v>
      </c>
      <c r="O344" s="7">
        <v>0.81</v>
      </c>
      <c r="P344" s="7">
        <v>1.45</v>
      </c>
      <c r="Q344" s="7">
        <v>0.01</v>
      </c>
    </row>
    <row r="345" spans="1:17">
      <c r="A345" s="2">
        <v>2293</v>
      </c>
      <c r="B345" s="7">
        <v>1.61</v>
      </c>
      <c r="C345" s="7">
        <v>0.24</v>
      </c>
      <c r="D345" s="7">
        <v>0.92</v>
      </c>
      <c r="E345" s="7">
        <v>0.15</v>
      </c>
      <c r="F345" s="7">
        <v>0.15</v>
      </c>
      <c r="G345" s="7">
        <v>0.22</v>
      </c>
      <c r="H345" s="7">
        <v>0.34</v>
      </c>
      <c r="I345" s="7">
        <v>0.38</v>
      </c>
      <c r="J345" s="7">
        <v>0.3</v>
      </c>
      <c r="K345" s="7">
        <v>1.71</v>
      </c>
      <c r="L345" s="7">
        <v>2.0299999999999998</v>
      </c>
      <c r="M345" s="7">
        <v>0.67</v>
      </c>
      <c r="N345" s="7">
        <v>0.46</v>
      </c>
      <c r="O345" s="7">
        <v>0.81</v>
      </c>
      <c r="P345" s="7">
        <v>1.45</v>
      </c>
      <c r="Q345" s="7">
        <v>0.01</v>
      </c>
    </row>
    <row r="346" spans="1:17">
      <c r="A346" s="2">
        <v>2294</v>
      </c>
      <c r="B346" s="7">
        <v>1.61</v>
      </c>
      <c r="C346" s="7">
        <v>0.24</v>
      </c>
      <c r="D346" s="7">
        <v>0.92</v>
      </c>
      <c r="E346" s="7">
        <v>0.15</v>
      </c>
      <c r="F346" s="7">
        <v>0.15</v>
      </c>
      <c r="G346" s="7">
        <v>0.22</v>
      </c>
      <c r="H346" s="7">
        <v>0.34</v>
      </c>
      <c r="I346" s="7">
        <v>0.38</v>
      </c>
      <c r="J346" s="7">
        <v>0.3</v>
      </c>
      <c r="K346" s="7">
        <v>1.71</v>
      </c>
      <c r="L346" s="7">
        <v>2.0299999999999998</v>
      </c>
      <c r="M346" s="7">
        <v>0.67</v>
      </c>
      <c r="N346" s="7">
        <v>0.46</v>
      </c>
      <c r="O346" s="7">
        <v>0.81</v>
      </c>
      <c r="P346" s="7">
        <v>1.45</v>
      </c>
      <c r="Q346" s="7">
        <v>0.01</v>
      </c>
    </row>
    <row r="347" spans="1:17">
      <c r="A347" s="2">
        <v>2295</v>
      </c>
      <c r="B347" s="7">
        <v>1.61</v>
      </c>
      <c r="C347" s="7">
        <v>0.24</v>
      </c>
      <c r="D347" s="7">
        <v>0.92</v>
      </c>
      <c r="E347" s="7">
        <v>0.15</v>
      </c>
      <c r="F347" s="7">
        <v>0.15</v>
      </c>
      <c r="G347" s="7">
        <v>0.22</v>
      </c>
      <c r="H347" s="7">
        <v>0.34</v>
      </c>
      <c r="I347" s="7">
        <v>0.38</v>
      </c>
      <c r="J347" s="7">
        <v>0.3</v>
      </c>
      <c r="K347" s="7">
        <v>1.71</v>
      </c>
      <c r="L347" s="7">
        <v>2.0299999999999998</v>
      </c>
      <c r="M347" s="7">
        <v>0.67</v>
      </c>
      <c r="N347" s="7">
        <v>0.46</v>
      </c>
      <c r="O347" s="7">
        <v>0.81</v>
      </c>
      <c r="P347" s="7">
        <v>1.45</v>
      </c>
      <c r="Q347" s="7">
        <v>0.01</v>
      </c>
    </row>
    <row r="348" spans="1:17">
      <c r="A348" s="2">
        <v>2296</v>
      </c>
      <c r="B348" s="7">
        <v>1.61</v>
      </c>
      <c r="C348" s="7">
        <v>0.24</v>
      </c>
      <c r="D348" s="7">
        <v>0.92</v>
      </c>
      <c r="E348" s="7">
        <v>0.15</v>
      </c>
      <c r="F348" s="7">
        <v>0.15</v>
      </c>
      <c r="G348" s="7">
        <v>0.22</v>
      </c>
      <c r="H348" s="7">
        <v>0.34</v>
      </c>
      <c r="I348" s="7">
        <v>0.38</v>
      </c>
      <c r="J348" s="7">
        <v>0.3</v>
      </c>
      <c r="K348" s="7">
        <v>1.71</v>
      </c>
      <c r="L348" s="7">
        <v>2.0299999999999998</v>
      </c>
      <c r="M348" s="7">
        <v>0.67</v>
      </c>
      <c r="N348" s="7">
        <v>0.46</v>
      </c>
      <c r="O348" s="7">
        <v>0.81</v>
      </c>
      <c r="P348" s="7">
        <v>1.45</v>
      </c>
      <c r="Q348" s="7">
        <v>0.01</v>
      </c>
    </row>
    <row r="349" spans="1:17">
      <c r="A349" s="2">
        <v>2297</v>
      </c>
      <c r="B349" s="7">
        <v>1.61</v>
      </c>
      <c r="C349" s="7">
        <v>0.24</v>
      </c>
      <c r="D349" s="7">
        <v>0.92</v>
      </c>
      <c r="E349" s="7">
        <v>0.15</v>
      </c>
      <c r="F349" s="7">
        <v>0.15</v>
      </c>
      <c r="G349" s="7">
        <v>0.22</v>
      </c>
      <c r="H349" s="7">
        <v>0.34</v>
      </c>
      <c r="I349" s="7">
        <v>0.38</v>
      </c>
      <c r="J349" s="7">
        <v>0.3</v>
      </c>
      <c r="K349" s="7">
        <v>1.71</v>
      </c>
      <c r="L349" s="7">
        <v>2.0299999999999998</v>
      </c>
      <c r="M349" s="7">
        <v>0.67</v>
      </c>
      <c r="N349" s="7">
        <v>0.46</v>
      </c>
      <c r="O349" s="7">
        <v>0.81</v>
      </c>
      <c r="P349" s="7">
        <v>1.45</v>
      </c>
      <c r="Q349" s="7">
        <v>0.01</v>
      </c>
    </row>
    <row r="350" spans="1:17">
      <c r="A350" s="2">
        <v>2298</v>
      </c>
      <c r="B350" s="7">
        <v>1.61</v>
      </c>
      <c r="C350" s="7">
        <v>0.24</v>
      </c>
      <c r="D350" s="7">
        <v>0.92</v>
      </c>
      <c r="E350" s="7">
        <v>0.15</v>
      </c>
      <c r="F350" s="7">
        <v>0.15</v>
      </c>
      <c r="G350" s="7">
        <v>0.22</v>
      </c>
      <c r="H350" s="7">
        <v>0.34</v>
      </c>
      <c r="I350" s="7">
        <v>0.38</v>
      </c>
      <c r="J350" s="7">
        <v>0.3</v>
      </c>
      <c r="K350" s="7">
        <v>1.71</v>
      </c>
      <c r="L350" s="7">
        <v>2.0299999999999998</v>
      </c>
      <c r="M350" s="7">
        <v>0.67</v>
      </c>
      <c r="N350" s="7">
        <v>0.46</v>
      </c>
      <c r="O350" s="7">
        <v>0.81</v>
      </c>
      <c r="P350" s="7">
        <v>1.45</v>
      </c>
      <c r="Q350" s="7">
        <v>0.01</v>
      </c>
    </row>
    <row r="351" spans="1:17">
      <c r="A351" s="2">
        <v>2299</v>
      </c>
      <c r="B351" s="7">
        <v>1.61</v>
      </c>
      <c r="C351" s="7">
        <v>0.24</v>
      </c>
      <c r="D351" s="7">
        <v>0.92</v>
      </c>
      <c r="E351" s="7">
        <v>0.15</v>
      </c>
      <c r="F351" s="7">
        <v>0.15</v>
      </c>
      <c r="G351" s="7">
        <v>0.22</v>
      </c>
      <c r="H351" s="7">
        <v>0.34</v>
      </c>
      <c r="I351" s="7">
        <v>0.38</v>
      </c>
      <c r="J351" s="7">
        <v>0.3</v>
      </c>
      <c r="K351" s="7">
        <v>1.71</v>
      </c>
      <c r="L351" s="7">
        <v>2.0299999999999998</v>
      </c>
      <c r="M351" s="7">
        <v>0.67</v>
      </c>
      <c r="N351" s="7">
        <v>0.46</v>
      </c>
      <c r="O351" s="7">
        <v>0.81</v>
      </c>
      <c r="P351" s="7">
        <v>1.45</v>
      </c>
      <c r="Q351" s="7">
        <v>0.01</v>
      </c>
    </row>
    <row r="352" spans="1:17">
      <c r="A352" s="2">
        <v>2300</v>
      </c>
      <c r="B352" s="7">
        <v>1.61</v>
      </c>
      <c r="C352" s="7">
        <v>0.24</v>
      </c>
      <c r="D352" s="7">
        <v>0.92</v>
      </c>
      <c r="E352" s="7">
        <v>0.15</v>
      </c>
      <c r="F352" s="7">
        <v>0.15</v>
      </c>
      <c r="G352" s="7">
        <v>0.22</v>
      </c>
      <c r="H352" s="7">
        <v>0.34</v>
      </c>
      <c r="I352" s="7">
        <v>0.38</v>
      </c>
      <c r="J352" s="7">
        <v>0.3</v>
      </c>
      <c r="K352" s="7">
        <v>1.72</v>
      </c>
      <c r="L352" s="7">
        <v>2.04</v>
      </c>
      <c r="M352" s="7">
        <v>0.67</v>
      </c>
      <c r="N352" s="7">
        <v>0.46</v>
      </c>
      <c r="O352" s="7">
        <v>0.81</v>
      </c>
      <c r="P352" s="7">
        <v>1.45</v>
      </c>
      <c r="Q352" s="7">
        <v>0.01</v>
      </c>
    </row>
    <row r="353" spans="1:17">
      <c r="A353" s="2">
        <v>2301</v>
      </c>
      <c r="B353" s="7">
        <v>1.61</v>
      </c>
      <c r="C353" s="7">
        <v>0.24</v>
      </c>
      <c r="D353" s="7">
        <v>0.92</v>
      </c>
      <c r="E353" s="7">
        <v>0.15</v>
      </c>
      <c r="F353" s="7">
        <v>0.15</v>
      </c>
      <c r="G353" s="7">
        <v>0.22</v>
      </c>
      <c r="H353" s="7">
        <v>0.34</v>
      </c>
      <c r="I353" s="7">
        <v>0.38</v>
      </c>
      <c r="J353" s="7">
        <v>0.3</v>
      </c>
      <c r="K353" s="7">
        <v>1.72</v>
      </c>
      <c r="L353" s="7">
        <v>2.04</v>
      </c>
      <c r="M353" s="7">
        <v>0.67</v>
      </c>
      <c r="N353" s="7">
        <v>0.46</v>
      </c>
      <c r="O353" s="7">
        <v>0.81</v>
      </c>
      <c r="P353" s="7">
        <v>1.45</v>
      </c>
      <c r="Q353" s="7">
        <v>0.01</v>
      </c>
    </row>
    <row r="354" spans="1:17">
      <c r="A354" s="2">
        <v>2302</v>
      </c>
      <c r="B354" s="7">
        <v>1.61</v>
      </c>
      <c r="C354" s="7">
        <v>0.24</v>
      </c>
      <c r="D354" s="7">
        <v>0.92</v>
      </c>
      <c r="E354" s="7">
        <v>0.15</v>
      </c>
      <c r="F354" s="7">
        <v>0.15</v>
      </c>
      <c r="G354" s="7">
        <v>0.22</v>
      </c>
      <c r="H354" s="7">
        <v>0.34</v>
      </c>
      <c r="I354" s="7">
        <v>0.38</v>
      </c>
      <c r="J354" s="7">
        <v>0.3</v>
      </c>
      <c r="K354" s="7">
        <v>1.72</v>
      </c>
      <c r="L354" s="7">
        <v>2.04</v>
      </c>
      <c r="M354" s="7">
        <v>0.67</v>
      </c>
      <c r="N354" s="7">
        <v>0.46</v>
      </c>
      <c r="O354" s="7">
        <v>0.81</v>
      </c>
      <c r="P354" s="7">
        <v>1.45</v>
      </c>
      <c r="Q354" s="7">
        <v>0.01</v>
      </c>
    </row>
    <row r="355" spans="1:17">
      <c r="A355" s="2">
        <v>2303</v>
      </c>
      <c r="B355" s="7">
        <v>1.61</v>
      </c>
      <c r="C355" s="7">
        <v>0.24</v>
      </c>
      <c r="D355" s="7">
        <v>0.92</v>
      </c>
      <c r="E355" s="7">
        <v>0.15</v>
      </c>
      <c r="F355" s="7">
        <v>0.15</v>
      </c>
      <c r="G355" s="7">
        <v>0.22</v>
      </c>
      <c r="H355" s="7">
        <v>0.34</v>
      </c>
      <c r="I355" s="7">
        <v>0.38</v>
      </c>
      <c r="J355" s="7">
        <v>0.3</v>
      </c>
      <c r="K355" s="7">
        <v>1.72</v>
      </c>
      <c r="L355" s="7">
        <v>2.04</v>
      </c>
      <c r="M355" s="7">
        <v>0.67</v>
      </c>
      <c r="N355" s="7">
        <v>0.46</v>
      </c>
      <c r="O355" s="7">
        <v>0.81</v>
      </c>
      <c r="P355" s="7">
        <v>1.45</v>
      </c>
      <c r="Q355" s="7">
        <v>0.01</v>
      </c>
    </row>
    <row r="356" spans="1:17">
      <c r="A356" s="2">
        <v>2304</v>
      </c>
      <c r="B356" s="7">
        <v>1.61</v>
      </c>
      <c r="C356" s="7">
        <v>0.24</v>
      </c>
      <c r="D356" s="7">
        <v>0.92</v>
      </c>
      <c r="E356" s="7">
        <v>0.15</v>
      </c>
      <c r="F356" s="7">
        <v>0.15</v>
      </c>
      <c r="G356" s="7">
        <v>0.22</v>
      </c>
      <c r="H356" s="7">
        <v>0.34</v>
      </c>
      <c r="I356" s="7">
        <v>0.38</v>
      </c>
      <c r="J356" s="7">
        <v>0.3</v>
      </c>
      <c r="K356" s="7">
        <v>1.72</v>
      </c>
      <c r="L356" s="7">
        <v>2.04</v>
      </c>
      <c r="M356" s="7">
        <v>0.67</v>
      </c>
      <c r="N356" s="7">
        <v>0.46</v>
      </c>
      <c r="O356" s="7">
        <v>0.81</v>
      </c>
      <c r="P356" s="7">
        <v>1.45</v>
      </c>
      <c r="Q356" s="7">
        <v>0.01</v>
      </c>
    </row>
    <row r="357" spans="1:17">
      <c r="A357" s="2">
        <v>2305</v>
      </c>
      <c r="B357" s="7">
        <v>1.61</v>
      </c>
      <c r="C357" s="7">
        <v>0.24</v>
      </c>
      <c r="D357" s="7">
        <v>0.92</v>
      </c>
      <c r="E357" s="7">
        <v>0.15</v>
      </c>
      <c r="F357" s="7">
        <v>0.15</v>
      </c>
      <c r="G357" s="7">
        <v>0.22</v>
      </c>
      <c r="H357" s="7">
        <v>0.34</v>
      </c>
      <c r="I357" s="7">
        <v>0.38</v>
      </c>
      <c r="J357" s="7">
        <v>0.3</v>
      </c>
      <c r="K357" s="7">
        <v>1.72</v>
      </c>
      <c r="L357" s="7">
        <v>2.04</v>
      </c>
      <c r="M357" s="7">
        <v>0.67</v>
      </c>
      <c r="N357" s="7">
        <v>0.46</v>
      </c>
      <c r="O357" s="7">
        <v>0.81</v>
      </c>
      <c r="P357" s="7">
        <v>1.45</v>
      </c>
      <c r="Q357" s="7">
        <v>0.01</v>
      </c>
    </row>
    <row r="358" spans="1:17">
      <c r="A358" s="2">
        <v>2306</v>
      </c>
      <c r="B358" s="7">
        <v>1.61</v>
      </c>
      <c r="C358" s="7">
        <v>0.24</v>
      </c>
      <c r="D358" s="7">
        <v>0.92</v>
      </c>
      <c r="E358" s="7">
        <v>0.15</v>
      </c>
      <c r="F358" s="7">
        <v>0.15</v>
      </c>
      <c r="G358" s="7">
        <v>0.22</v>
      </c>
      <c r="H358" s="7">
        <v>0.34</v>
      </c>
      <c r="I358" s="7">
        <v>0.38</v>
      </c>
      <c r="J358" s="7">
        <v>0.3</v>
      </c>
      <c r="K358" s="7">
        <v>1.72</v>
      </c>
      <c r="L358" s="7">
        <v>2.04</v>
      </c>
      <c r="M358" s="7">
        <v>0.67</v>
      </c>
      <c r="N358" s="7">
        <v>0.46</v>
      </c>
      <c r="O358" s="7">
        <v>0.81</v>
      </c>
      <c r="P358" s="7">
        <v>1.45</v>
      </c>
      <c r="Q358" s="7">
        <v>0.01</v>
      </c>
    </row>
    <row r="359" spans="1:17">
      <c r="A359" s="2">
        <v>2307</v>
      </c>
      <c r="B359" s="7">
        <v>1.61</v>
      </c>
      <c r="C359" s="7">
        <v>0.24</v>
      </c>
      <c r="D359" s="7">
        <v>0.92</v>
      </c>
      <c r="E359" s="7">
        <v>0.15</v>
      </c>
      <c r="F359" s="7">
        <v>0.15</v>
      </c>
      <c r="G359" s="7">
        <v>0.22</v>
      </c>
      <c r="H359" s="7">
        <v>0.34</v>
      </c>
      <c r="I359" s="7">
        <v>0.38</v>
      </c>
      <c r="J359" s="7">
        <v>0.3</v>
      </c>
      <c r="K359" s="7">
        <v>1.72</v>
      </c>
      <c r="L359" s="7">
        <v>2.04</v>
      </c>
      <c r="M359" s="7">
        <v>0.67</v>
      </c>
      <c r="N359" s="7">
        <v>0.46</v>
      </c>
      <c r="O359" s="7">
        <v>0.81</v>
      </c>
      <c r="P359" s="7">
        <v>1.45</v>
      </c>
      <c r="Q359" s="7">
        <v>0.01</v>
      </c>
    </row>
    <row r="360" spans="1:17">
      <c r="A360" s="2">
        <v>2308</v>
      </c>
      <c r="B360" s="7">
        <v>1.61</v>
      </c>
      <c r="C360" s="7">
        <v>0.24</v>
      </c>
      <c r="D360" s="7">
        <v>0.92</v>
      </c>
      <c r="E360" s="7">
        <v>0.15</v>
      </c>
      <c r="F360" s="7">
        <v>0.15</v>
      </c>
      <c r="G360" s="7">
        <v>0.22</v>
      </c>
      <c r="H360" s="7">
        <v>0.34</v>
      </c>
      <c r="I360" s="7">
        <v>0.38</v>
      </c>
      <c r="J360" s="7">
        <v>0.3</v>
      </c>
      <c r="K360" s="7">
        <v>1.72</v>
      </c>
      <c r="L360" s="7">
        <v>2.04</v>
      </c>
      <c r="M360" s="7">
        <v>0.67</v>
      </c>
      <c r="N360" s="7">
        <v>0.46</v>
      </c>
      <c r="O360" s="7">
        <v>0.81</v>
      </c>
      <c r="P360" s="7">
        <v>1.45</v>
      </c>
      <c r="Q360" s="7">
        <v>0.01</v>
      </c>
    </row>
    <row r="361" spans="1:17">
      <c r="A361" s="2">
        <v>2309</v>
      </c>
      <c r="B361" s="7">
        <v>1.61</v>
      </c>
      <c r="C361" s="7">
        <v>0.24</v>
      </c>
      <c r="D361" s="7">
        <v>0.92</v>
      </c>
      <c r="E361" s="7">
        <v>0.15</v>
      </c>
      <c r="F361" s="7">
        <v>0.15</v>
      </c>
      <c r="G361" s="7">
        <v>0.22</v>
      </c>
      <c r="H361" s="7">
        <v>0.34</v>
      </c>
      <c r="I361" s="7">
        <v>0.38</v>
      </c>
      <c r="J361" s="7">
        <v>0.3</v>
      </c>
      <c r="K361" s="7">
        <v>1.72</v>
      </c>
      <c r="L361" s="7">
        <v>2.04</v>
      </c>
      <c r="M361" s="7">
        <v>0.67</v>
      </c>
      <c r="N361" s="7">
        <v>0.46</v>
      </c>
      <c r="O361" s="7">
        <v>0.81</v>
      </c>
      <c r="P361" s="7">
        <v>1.45</v>
      </c>
      <c r="Q361" s="7">
        <v>0.01</v>
      </c>
    </row>
    <row r="362" spans="1:17">
      <c r="A362" s="2">
        <v>2310</v>
      </c>
      <c r="B362" s="7">
        <v>1.61</v>
      </c>
      <c r="C362" s="7">
        <v>0.24</v>
      </c>
      <c r="D362" s="7">
        <v>0.92</v>
      </c>
      <c r="E362" s="7">
        <v>0.15</v>
      </c>
      <c r="F362" s="7">
        <v>0.15</v>
      </c>
      <c r="G362" s="7">
        <v>0.22</v>
      </c>
      <c r="H362" s="7">
        <v>0.34</v>
      </c>
      <c r="I362" s="7">
        <v>0.38</v>
      </c>
      <c r="J362" s="7">
        <v>0.3</v>
      </c>
      <c r="K362" s="7">
        <v>1.72</v>
      </c>
      <c r="L362" s="7">
        <v>2.04</v>
      </c>
      <c r="M362" s="7">
        <v>0.67</v>
      </c>
      <c r="N362" s="7">
        <v>0.46</v>
      </c>
      <c r="O362" s="7">
        <v>0.81</v>
      </c>
      <c r="P362" s="7">
        <v>1.45</v>
      </c>
      <c r="Q362" s="7">
        <v>0.01</v>
      </c>
    </row>
    <row r="363" spans="1:17">
      <c r="A363" s="2">
        <v>2311</v>
      </c>
      <c r="B363" s="7">
        <v>1.61</v>
      </c>
      <c r="C363" s="7">
        <v>0.24</v>
      </c>
      <c r="D363" s="7">
        <v>0.92</v>
      </c>
      <c r="E363" s="7">
        <v>0.15</v>
      </c>
      <c r="F363" s="7">
        <v>0.15</v>
      </c>
      <c r="G363" s="7">
        <v>0.22</v>
      </c>
      <c r="H363" s="7">
        <v>0.34</v>
      </c>
      <c r="I363" s="7">
        <v>0.38</v>
      </c>
      <c r="J363" s="7">
        <v>0.3</v>
      </c>
      <c r="K363" s="7">
        <v>1.72</v>
      </c>
      <c r="L363" s="7">
        <v>2.04</v>
      </c>
      <c r="M363" s="7">
        <v>0.67</v>
      </c>
      <c r="N363" s="7">
        <v>0.46</v>
      </c>
      <c r="O363" s="7">
        <v>0.81</v>
      </c>
      <c r="P363" s="7">
        <v>1.45</v>
      </c>
      <c r="Q363" s="7">
        <v>0.01</v>
      </c>
    </row>
    <row r="364" spans="1:17">
      <c r="A364" s="2">
        <v>2312</v>
      </c>
      <c r="B364" s="7">
        <v>1.61</v>
      </c>
      <c r="C364" s="7">
        <v>0.24</v>
      </c>
      <c r="D364" s="7">
        <v>0.92</v>
      </c>
      <c r="E364" s="7">
        <v>0.15</v>
      </c>
      <c r="F364" s="7">
        <v>0.15</v>
      </c>
      <c r="G364" s="7">
        <v>0.22</v>
      </c>
      <c r="H364" s="7">
        <v>0.34</v>
      </c>
      <c r="I364" s="7">
        <v>0.38</v>
      </c>
      <c r="J364" s="7">
        <v>0.3</v>
      </c>
      <c r="K364" s="7">
        <v>1.72</v>
      </c>
      <c r="L364" s="7">
        <v>2.04</v>
      </c>
      <c r="M364" s="7">
        <v>0.67</v>
      </c>
      <c r="N364" s="7">
        <v>0.46</v>
      </c>
      <c r="O364" s="7">
        <v>0.81</v>
      </c>
      <c r="P364" s="7">
        <v>1.45</v>
      </c>
      <c r="Q364" s="7">
        <v>0.01</v>
      </c>
    </row>
    <row r="365" spans="1:17">
      <c r="A365" s="2">
        <v>2313</v>
      </c>
      <c r="B365" s="7">
        <v>1.61</v>
      </c>
      <c r="C365" s="7">
        <v>0.24</v>
      </c>
      <c r="D365" s="7">
        <v>0.92</v>
      </c>
      <c r="E365" s="7">
        <v>0.15</v>
      </c>
      <c r="F365" s="7">
        <v>0.15</v>
      </c>
      <c r="G365" s="7">
        <v>0.22</v>
      </c>
      <c r="H365" s="7">
        <v>0.34</v>
      </c>
      <c r="I365" s="7">
        <v>0.38</v>
      </c>
      <c r="J365" s="7">
        <v>0.3</v>
      </c>
      <c r="K365" s="7">
        <v>1.72</v>
      </c>
      <c r="L365" s="7">
        <v>2.04</v>
      </c>
      <c r="M365" s="7">
        <v>0.67</v>
      </c>
      <c r="N365" s="7">
        <v>0.46</v>
      </c>
      <c r="O365" s="7">
        <v>0.81</v>
      </c>
      <c r="P365" s="7">
        <v>1.45</v>
      </c>
      <c r="Q365" s="7">
        <v>0.01</v>
      </c>
    </row>
    <row r="366" spans="1:17">
      <c r="A366" s="2">
        <v>2314</v>
      </c>
      <c r="B366" s="7">
        <v>1.61</v>
      </c>
      <c r="C366" s="7">
        <v>0.24</v>
      </c>
      <c r="D366" s="7">
        <v>0.92</v>
      </c>
      <c r="E366" s="7">
        <v>0.15</v>
      </c>
      <c r="F366" s="7">
        <v>0.15</v>
      </c>
      <c r="G366" s="7">
        <v>0.22</v>
      </c>
      <c r="H366" s="7">
        <v>0.34</v>
      </c>
      <c r="I366" s="7">
        <v>0.38</v>
      </c>
      <c r="J366" s="7">
        <v>0.3</v>
      </c>
      <c r="K366" s="7">
        <v>1.72</v>
      </c>
      <c r="L366" s="7">
        <v>2.04</v>
      </c>
      <c r="M366" s="7">
        <v>0.67</v>
      </c>
      <c r="N366" s="7">
        <v>0.46</v>
      </c>
      <c r="O366" s="7">
        <v>0.81</v>
      </c>
      <c r="P366" s="7">
        <v>1.45</v>
      </c>
      <c r="Q366" s="7">
        <v>0.01</v>
      </c>
    </row>
    <row r="367" spans="1:17">
      <c r="A367" s="2">
        <v>2315</v>
      </c>
      <c r="B367" s="7">
        <v>1.61</v>
      </c>
      <c r="C367" s="7">
        <v>0.24</v>
      </c>
      <c r="D367" s="7">
        <v>0.92</v>
      </c>
      <c r="E367" s="7">
        <v>0.15</v>
      </c>
      <c r="F367" s="7">
        <v>0.15</v>
      </c>
      <c r="G367" s="7">
        <v>0.22</v>
      </c>
      <c r="H367" s="7">
        <v>0.34</v>
      </c>
      <c r="I367" s="7">
        <v>0.38</v>
      </c>
      <c r="J367" s="7">
        <v>0.3</v>
      </c>
      <c r="K367" s="7">
        <v>1.72</v>
      </c>
      <c r="L367" s="7">
        <v>2.04</v>
      </c>
      <c r="M367" s="7">
        <v>0.67</v>
      </c>
      <c r="N367" s="7">
        <v>0.46</v>
      </c>
      <c r="O367" s="7">
        <v>0.81</v>
      </c>
      <c r="P367" s="7">
        <v>1.45</v>
      </c>
      <c r="Q367" s="7">
        <v>0.01</v>
      </c>
    </row>
    <row r="368" spans="1:17">
      <c r="A368" s="2">
        <v>2316</v>
      </c>
      <c r="B368" s="7">
        <v>1.61</v>
      </c>
      <c r="C368" s="7">
        <v>0.24</v>
      </c>
      <c r="D368" s="7">
        <v>0.92</v>
      </c>
      <c r="E368" s="7">
        <v>0.15</v>
      </c>
      <c r="F368" s="7">
        <v>0.15</v>
      </c>
      <c r="G368" s="7">
        <v>0.22</v>
      </c>
      <c r="H368" s="7">
        <v>0.34</v>
      </c>
      <c r="I368" s="7">
        <v>0.38</v>
      </c>
      <c r="J368" s="7">
        <v>0.3</v>
      </c>
      <c r="K368" s="7">
        <v>1.72</v>
      </c>
      <c r="L368" s="7">
        <v>2.04</v>
      </c>
      <c r="M368" s="7">
        <v>0.67</v>
      </c>
      <c r="N368" s="7">
        <v>0.46</v>
      </c>
      <c r="O368" s="7">
        <v>0.81</v>
      </c>
      <c r="P368" s="7">
        <v>1.45</v>
      </c>
      <c r="Q368" s="7">
        <v>0.01</v>
      </c>
    </row>
    <row r="369" spans="1:17">
      <c r="A369" s="2">
        <v>2317</v>
      </c>
      <c r="B369" s="7">
        <v>1.61</v>
      </c>
      <c r="C369" s="7">
        <v>0.24</v>
      </c>
      <c r="D369" s="7">
        <v>0.92</v>
      </c>
      <c r="E369" s="7">
        <v>0.15</v>
      </c>
      <c r="F369" s="7">
        <v>0.15</v>
      </c>
      <c r="G369" s="7">
        <v>0.22</v>
      </c>
      <c r="H369" s="7">
        <v>0.34</v>
      </c>
      <c r="I369" s="7">
        <v>0.38</v>
      </c>
      <c r="J369" s="7">
        <v>0.3</v>
      </c>
      <c r="K369" s="7">
        <v>1.72</v>
      </c>
      <c r="L369" s="7">
        <v>2.04</v>
      </c>
      <c r="M369" s="7">
        <v>0.67</v>
      </c>
      <c r="N369" s="7">
        <v>0.46</v>
      </c>
      <c r="O369" s="7">
        <v>0.81</v>
      </c>
      <c r="P369" s="7">
        <v>1.45</v>
      </c>
      <c r="Q369" s="7">
        <v>0.01</v>
      </c>
    </row>
    <row r="370" spans="1:17">
      <c r="A370" s="2">
        <v>2318</v>
      </c>
      <c r="B370" s="7">
        <v>1.61</v>
      </c>
      <c r="C370" s="7">
        <v>0.24</v>
      </c>
      <c r="D370" s="7">
        <v>0.92</v>
      </c>
      <c r="E370" s="7">
        <v>0.15</v>
      </c>
      <c r="F370" s="7">
        <v>0.15</v>
      </c>
      <c r="G370" s="7">
        <v>0.22</v>
      </c>
      <c r="H370" s="7">
        <v>0.34</v>
      </c>
      <c r="I370" s="7">
        <v>0.38</v>
      </c>
      <c r="J370" s="7">
        <v>0.3</v>
      </c>
      <c r="K370" s="7">
        <v>1.72</v>
      </c>
      <c r="L370" s="7">
        <v>2.04</v>
      </c>
      <c r="M370" s="7">
        <v>0.67</v>
      </c>
      <c r="N370" s="7">
        <v>0.46</v>
      </c>
      <c r="O370" s="7">
        <v>0.81</v>
      </c>
      <c r="P370" s="7">
        <v>1.45</v>
      </c>
      <c r="Q370" s="7">
        <v>0.01</v>
      </c>
    </row>
    <row r="371" spans="1:17">
      <c r="A371" s="2">
        <v>2319</v>
      </c>
      <c r="B371" s="7">
        <v>1.61</v>
      </c>
      <c r="C371" s="7">
        <v>0.24</v>
      </c>
      <c r="D371" s="7">
        <v>0.92</v>
      </c>
      <c r="E371" s="7">
        <v>0.15</v>
      </c>
      <c r="F371" s="7">
        <v>0.15</v>
      </c>
      <c r="G371" s="7">
        <v>0.22</v>
      </c>
      <c r="H371" s="7">
        <v>0.34</v>
      </c>
      <c r="I371" s="7">
        <v>0.38</v>
      </c>
      <c r="J371" s="7">
        <v>0.3</v>
      </c>
      <c r="K371" s="7">
        <v>1.72</v>
      </c>
      <c r="L371" s="7">
        <v>2.04</v>
      </c>
      <c r="M371" s="7">
        <v>0.67</v>
      </c>
      <c r="N371" s="7">
        <v>0.46</v>
      </c>
      <c r="O371" s="7">
        <v>0.81</v>
      </c>
      <c r="P371" s="7">
        <v>1.45</v>
      </c>
      <c r="Q371" s="7">
        <v>0.01</v>
      </c>
    </row>
    <row r="372" spans="1:17">
      <c r="A372" s="2">
        <v>2320</v>
      </c>
      <c r="B372" s="7">
        <v>1.61</v>
      </c>
      <c r="C372" s="7">
        <v>0.24</v>
      </c>
      <c r="D372" s="7">
        <v>0.92</v>
      </c>
      <c r="E372" s="7">
        <v>0.15</v>
      </c>
      <c r="F372" s="7">
        <v>0.15</v>
      </c>
      <c r="G372" s="7">
        <v>0.22</v>
      </c>
      <c r="H372" s="7">
        <v>0.34</v>
      </c>
      <c r="I372" s="7">
        <v>0.38</v>
      </c>
      <c r="J372" s="7">
        <v>0.3</v>
      </c>
      <c r="K372" s="7">
        <v>1.72</v>
      </c>
      <c r="L372" s="7">
        <v>2.04</v>
      </c>
      <c r="M372" s="7">
        <v>0.67</v>
      </c>
      <c r="N372" s="7">
        <v>0.46</v>
      </c>
      <c r="O372" s="7">
        <v>0.81</v>
      </c>
      <c r="P372" s="7">
        <v>1.45</v>
      </c>
      <c r="Q372" s="7">
        <v>0.01</v>
      </c>
    </row>
    <row r="373" spans="1:17">
      <c r="A373" s="2">
        <v>2321</v>
      </c>
      <c r="B373" s="7">
        <v>1.61</v>
      </c>
      <c r="C373" s="7">
        <v>0.24</v>
      </c>
      <c r="D373" s="7">
        <v>0.92</v>
      </c>
      <c r="E373" s="7">
        <v>0.15</v>
      </c>
      <c r="F373" s="7">
        <v>0.15</v>
      </c>
      <c r="G373" s="7">
        <v>0.22</v>
      </c>
      <c r="H373" s="7">
        <v>0.34</v>
      </c>
      <c r="I373" s="7">
        <v>0.38</v>
      </c>
      <c r="J373" s="7">
        <v>0.3</v>
      </c>
      <c r="K373" s="7">
        <v>1.72</v>
      </c>
      <c r="L373" s="7">
        <v>2.04</v>
      </c>
      <c r="M373" s="7">
        <v>0.67</v>
      </c>
      <c r="N373" s="7">
        <v>0.46</v>
      </c>
      <c r="O373" s="7">
        <v>0.81</v>
      </c>
      <c r="P373" s="7">
        <v>1.45</v>
      </c>
      <c r="Q373" s="7">
        <v>0.01</v>
      </c>
    </row>
    <row r="374" spans="1:17">
      <c r="A374" s="2">
        <v>2322</v>
      </c>
      <c r="B374" s="7">
        <v>1.61</v>
      </c>
      <c r="C374" s="7">
        <v>0.24</v>
      </c>
      <c r="D374" s="7">
        <v>0.92</v>
      </c>
      <c r="E374" s="7">
        <v>0.15</v>
      </c>
      <c r="F374" s="7">
        <v>0.15</v>
      </c>
      <c r="G374" s="7">
        <v>0.22</v>
      </c>
      <c r="H374" s="7">
        <v>0.34</v>
      </c>
      <c r="I374" s="7">
        <v>0.38</v>
      </c>
      <c r="J374" s="7">
        <v>0.3</v>
      </c>
      <c r="K374" s="7">
        <v>1.72</v>
      </c>
      <c r="L374" s="7">
        <v>2.04</v>
      </c>
      <c r="M374" s="7">
        <v>0.67</v>
      </c>
      <c r="N374" s="7">
        <v>0.46</v>
      </c>
      <c r="O374" s="7">
        <v>0.81</v>
      </c>
      <c r="P374" s="7">
        <v>1.45</v>
      </c>
      <c r="Q374" s="7">
        <v>0.01</v>
      </c>
    </row>
    <row r="375" spans="1:17">
      <c r="A375" s="2">
        <v>2323</v>
      </c>
      <c r="B375" s="7">
        <v>1.61</v>
      </c>
      <c r="C375" s="7">
        <v>0.24</v>
      </c>
      <c r="D375" s="7">
        <v>0.92</v>
      </c>
      <c r="E375" s="7">
        <v>0.15</v>
      </c>
      <c r="F375" s="7">
        <v>0.15</v>
      </c>
      <c r="G375" s="7">
        <v>0.22</v>
      </c>
      <c r="H375" s="7">
        <v>0.34</v>
      </c>
      <c r="I375" s="7">
        <v>0.38</v>
      </c>
      <c r="J375" s="7">
        <v>0.3</v>
      </c>
      <c r="K375" s="7">
        <v>1.72</v>
      </c>
      <c r="L375" s="7">
        <v>2.04</v>
      </c>
      <c r="M375" s="7">
        <v>0.67</v>
      </c>
      <c r="N375" s="7">
        <v>0.46</v>
      </c>
      <c r="O375" s="7">
        <v>0.81</v>
      </c>
      <c r="P375" s="7">
        <v>1.45</v>
      </c>
      <c r="Q375" s="7">
        <v>0.01</v>
      </c>
    </row>
    <row r="376" spans="1:17">
      <c r="A376" s="2">
        <v>2324</v>
      </c>
      <c r="B376" s="7">
        <v>1.61</v>
      </c>
      <c r="C376" s="7">
        <v>0.24</v>
      </c>
      <c r="D376" s="7">
        <v>0.92</v>
      </c>
      <c r="E376" s="7">
        <v>0.15</v>
      </c>
      <c r="F376" s="7">
        <v>0.15</v>
      </c>
      <c r="G376" s="7">
        <v>0.22</v>
      </c>
      <c r="H376" s="7">
        <v>0.34</v>
      </c>
      <c r="I376" s="7">
        <v>0.38</v>
      </c>
      <c r="J376" s="7">
        <v>0.3</v>
      </c>
      <c r="K376" s="7">
        <v>1.72</v>
      </c>
      <c r="L376" s="7">
        <v>2.04</v>
      </c>
      <c r="M376" s="7">
        <v>0.67</v>
      </c>
      <c r="N376" s="7">
        <v>0.46</v>
      </c>
      <c r="O376" s="7">
        <v>0.81</v>
      </c>
      <c r="P376" s="7">
        <v>1.45</v>
      </c>
      <c r="Q376" s="7">
        <v>0.01</v>
      </c>
    </row>
    <row r="377" spans="1:17">
      <c r="A377" s="2">
        <v>2325</v>
      </c>
      <c r="B377" s="7">
        <v>1.61</v>
      </c>
      <c r="C377" s="7">
        <v>0.24</v>
      </c>
      <c r="D377" s="7">
        <v>0.92</v>
      </c>
      <c r="E377" s="7">
        <v>0.15</v>
      </c>
      <c r="F377" s="7">
        <v>0.15</v>
      </c>
      <c r="G377" s="7">
        <v>0.22</v>
      </c>
      <c r="H377" s="7">
        <v>0.34</v>
      </c>
      <c r="I377" s="7">
        <v>0.38</v>
      </c>
      <c r="J377" s="7">
        <v>0.3</v>
      </c>
      <c r="K377" s="7">
        <v>1.72</v>
      </c>
      <c r="L377" s="7">
        <v>2.04</v>
      </c>
      <c r="M377" s="7">
        <v>0.67</v>
      </c>
      <c r="N377" s="7">
        <v>0.46</v>
      </c>
      <c r="O377" s="7">
        <v>0.81</v>
      </c>
      <c r="P377" s="7">
        <v>1.45</v>
      </c>
      <c r="Q377" s="7">
        <v>0.01</v>
      </c>
    </row>
    <row r="378" spans="1:17">
      <c r="A378" s="2">
        <v>2326</v>
      </c>
      <c r="B378" s="7">
        <v>1.61</v>
      </c>
      <c r="C378" s="7">
        <v>0.24</v>
      </c>
      <c r="D378" s="7">
        <v>0.92</v>
      </c>
      <c r="E378" s="7">
        <v>0.15</v>
      </c>
      <c r="F378" s="7">
        <v>0.15</v>
      </c>
      <c r="G378" s="7">
        <v>0.22</v>
      </c>
      <c r="H378" s="7">
        <v>0.34</v>
      </c>
      <c r="I378" s="7">
        <v>0.38</v>
      </c>
      <c r="J378" s="7">
        <v>0.3</v>
      </c>
      <c r="K378" s="7">
        <v>1.72</v>
      </c>
      <c r="L378" s="7">
        <v>2.04</v>
      </c>
      <c r="M378" s="7">
        <v>0.67</v>
      </c>
      <c r="N378" s="7">
        <v>0.46</v>
      </c>
      <c r="O378" s="7">
        <v>0.81</v>
      </c>
      <c r="P378" s="7">
        <v>1.45</v>
      </c>
      <c r="Q378" s="7">
        <v>0.01</v>
      </c>
    </row>
    <row r="379" spans="1:17">
      <c r="A379" s="2">
        <v>2327</v>
      </c>
      <c r="B379" s="7">
        <v>1.61</v>
      </c>
      <c r="C379" s="7">
        <v>0.24</v>
      </c>
      <c r="D379" s="7">
        <v>0.92</v>
      </c>
      <c r="E379" s="7">
        <v>0.15</v>
      </c>
      <c r="F379" s="7">
        <v>0.15</v>
      </c>
      <c r="G379" s="7">
        <v>0.22</v>
      </c>
      <c r="H379" s="7">
        <v>0.34</v>
      </c>
      <c r="I379" s="7">
        <v>0.38</v>
      </c>
      <c r="J379" s="7">
        <v>0.3</v>
      </c>
      <c r="K379" s="7">
        <v>1.72</v>
      </c>
      <c r="L379" s="7">
        <v>2.04</v>
      </c>
      <c r="M379" s="7">
        <v>0.67</v>
      </c>
      <c r="N379" s="7">
        <v>0.46</v>
      </c>
      <c r="O379" s="7">
        <v>0.81</v>
      </c>
      <c r="P379" s="7">
        <v>1.45</v>
      </c>
      <c r="Q379" s="7">
        <v>0.01</v>
      </c>
    </row>
    <row r="380" spans="1:17">
      <c r="A380" s="2">
        <v>2328</v>
      </c>
      <c r="B380" s="7">
        <v>1.61</v>
      </c>
      <c r="C380" s="7">
        <v>0.24</v>
      </c>
      <c r="D380" s="7">
        <v>0.92</v>
      </c>
      <c r="E380" s="7">
        <v>0.15</v>
      </c>
      <c r="F380" s="7">
        <v>0.15</v>
      </c>
      <c r="G380" s="7">
        <v>0.22</v>
      </c>
      <c r="H380" s="7">
        <v>0.34</v>
      </c>
      <c r="I380" s="7">
        <v>0.38</v>
      </c>
      <c r="J380" s="7">
        <v>0.3</v>
      </c>
      <c r="K380" s="7">
        <v>1.72</v>
      </c>
      <c r="L380" s="7">
        <v>2.04</v>
      </c>
      <c r="M380" s="7">
        <v>0.67</v>
      </c>
      <c r="N380" s="7">
        <v>0.46</v>
      </c>
      <c r="O380" s="7">
        <v>0.81</v>
      </c>
      <c r="P380" s="7">
        <v>1.45</v>
      </c>
      <c r="Q380" s="7">
        <v>0.01</v>
      </c>
    </row>
    <row r="381" spans="1:17">
      <c r="A381" s="2">
        <v>2329</v>
      </c>
      <c r="B381" s="7">
        <v>1.61</v>
      </c>
      <c r="C381" s="7">
        <v>0.24</v>
      </c>
      <c r="D381" s="7">
        <v>0.92</v>
      </c>
      <c r="E381" s="7">
        <v>0.15</v>
      </c>
      <c r="F381" s="7">
        <v>0.15</v>
      </c>
      <c r="G381" s="7">
        <v>0.22</v>
      </c>
      <c r="H381" s="7">
        <v>0.34</v>
      </c>
      <c r="I381" s="7">
        <v>0.38</v>
      </c>
      <c r="J381" s="7">
        <v>0.3</v>
      </c>
      <c r="K381" s="7">
        <v>1.72</v>
      </c>
      <c r="L381" s="7">
        <v>2.04</v>
      </c>
      <c r="M381" s="7">
        <v>0.67</v>
      </c>
      <c r="N381" s="7">
        <v>0.46</v>
      </c>
      <c r="O381" s="7">
        <v>0.81</v>
      </c>
      <c r="P381" s="7">
        <v>1.45</v>
      </c>
      <c r="Q381" s="7">
        <v>0.01</v>
      </c>
    </row>
    <row r="382" spans="1:17">
      <c r="A382" s="2">
        <v>2330</v>
      </c>
      <c r="B382" s="7">
        <v>1.61</v>
      </c>
      <c r="C382" s="7">
        <v>0.24</v>
      </c>
      <c r="D382" s="7">
        <v>0.92</v>
      </c>
      <c r="E382" s="7">
        <v>0.15</v>
      </c>
      <c r="F382" s="7">
        <v>0.15</v>
      </c>
      <c r="G382" s="7">
        <v>0.22</v>
      </c>
      <c r="H382" s="7">
        <v>0.34</v>
      </c>
      <c r="I382" s="7">
        <v>0.38</v>
      </c>
      <c r="J382" s="7">
        <v>0.3</v>
      </c>
      <c r="K382" s="7">
        <v>1.72</v>
      </c>
      <c r="L382" s="7">
        <v>2.04</v>
      </c>
      <c r="M382" s="7">
        <v>0.67</v>
      </c>
      <c r="N382" s="7">
        <v>0.46</v>
      </c>
      <c r="O382" s="7">
        <v>0.81</v>
      </c>
      <c r="P382" s="7">
        <v>1.45</v>
      </c>
      <c r="Q382" s="7">
        <v>0.01</v>
      </c>
    </row>
    <row r="383" spans="1:17">
      <c r="A383" s="2">
        <v>2331</v>
      </c>
      <c r="B383" s="7">
        <v>1.61</v>
      </c>
      <c r="C383" s="7">
        <v>0.24</v>
      </c>
      <c r="D383" s="7">
        <v>0.92</v>
      </c>
      <c r="E383" s="7">
        <v>0.15</v>
      </c>
      <c r="F383" s="7">
        <v>0.15</v>
      </c>
      <c r="G383" s="7">
        <v>0.22</v>
      </c>
      <c r="H383" s="7">
        <v>0.34</v>
      </c>
      <c r="I383" s="7">
        <v>0.38</v>
      </c>
      <c r="J383" s="7">
        <v>0.3</v>
      </c>
      <c r="K383" s="7">
        <v>1.72</v>
      </c>
      <c r="L383" s="7">
        <v>2.04</v>
      </c>
      <c r="M383" s="7">
        <v>0.67</v>
      </c>
      <c r="N383" s="7">
        <v>0.46</v>
      </c>
      <c r="O383" s="7">
        <v>0.81</v>
      </c>
      <c r="P383" s="7">
        <v>1.45</v>
      </c>
      <c r="Q383" s="7">
        <v>0.01</v>
      </c>
    </row>
    <row r="384" spans="1:17">
      <c r="A384" s="2">
        <v>2332</v>
      </c>
      <c r="B384" s="7">
        <v>1.61</v>
      </c>
      <c r="C384" s="7">
        <v>0.24</v>
      </c>
      <c r="D384" s="7">
        <v>0.92</v>
      </c>
      <c r="E384" s="7">
        <v>0.15</v>
      </c>
      <c r="F384" s="7">
        <v>0.15</v>
      </c>
      <c r="G384" s="7">
        <v>0.22</v>
      </c>
      <c r="H384" s="7">
        <v>0.34</v>
      </c>
      <c r="I384" s="7">
        <v>0.38</v>
      </c>
      <c r="J384" s="7">
        <v>0.3</v>
      </c>
      <c r="K384" s="7">
        <v>1.72</v>
      </c>
      <c r="L384" s="7">
        <v>2.04</v>
      </c>
      <c r="M384" s="7">
        <v>0.67</v>
      </c>
      <c r="N384" s="7">
        <v>0.46</v>
      </c>
      <c r="O384" s="7">
        <v>0.81</v>
      </c>
      <c r="P384" s="7">
        <v>1.45</v>
      </c>
      <c r="Q384" s="7">
        <v>0.01</v>
      </c>
    </row>
    <row r="385" spans="1:17">
      <c r="A385" s="2">
        <v>2333</v>
      </c>
      <c r="B385" s="7">
        <v>1.61</v>
      </c>
      <c r="C385" s="7">
        <v>0.24</v>
      </c>
      <c r="D385" s="7">
        <v>0.92</v>
      </c>
      <c r="E385" s="7">
        <v>0.15</v>
      </c>
      <c r="F385" s="7">
        <v>0.15</v>
      </c>
      <c r="G385" s="7">
        <v>0.22</v>
      </c>
      <c r="H385" s="7">
        <v>0.34</v>
      </c>
      <c r="I385" s="7">
        <v>0.38</v>
      </c>
      <c r="J385" s="7">
        <v>0.3</v>
      </c>
      <c r="K385" s="7">
        <v>1.72</v>
      </c>
      <c r="L385" s="7">
        <v>2.04</v>
      </c>
      <c r="M385" s="7">
        <v>0.67</v>
      </c>
      <c r="N385" s="7">
        <v>0.46</v>
      </c>
      <c r="O385" s="7">
        <v>0.81</v>
      </c>
      <c r="P385" s="7">
        <v>1.45</v>
      </c>
      <c r="Q385" s="7">
        <v>0.01</v>
      </c>
    </row>
    <row r="386" spans="1:17">
      <c r="A386" s="2">
        <v>2334</v>
      </c>
      <c r="B386" s="7">
        <v>1.61</v>
      </c>
      <c r="C386" s="7">
        <v>0.24</v>
      </c>
      <c r="D386" s="7">
        <v>0.92</v>
      </c>
      <c r="E386" s="7">
        <v>0.15</v>
      </c>
      <c r="F386" s="7">
        <v>0.15</v>
      </c>
      <c r="G386" s="7">
        <v>0.22</v>
      </c>
      <c r="H386" s="7">
        <v>0.34</v>
      </c>
      <c r="I386" s="7">
        <v>0.38</v>
      </c>
      <c r="J386" s="7">
        <v>0.3</v>
      </c>
      <c r="K386" s="7">
        <v>1.72</v>
      </c>
      <c r="L386" s="7">
        <v>2.04</v>
      </c>
      <c r="M386" s="7">
        <v>0.67</v>
      </c>
      <c r="N386" s="7">
        <v>0.46</v>
      </c>
      <c r="O386" s="7">
        <v>0.81</v>
      </c>
      <c r="P386" s="7">
        <v>1.45</v>
      </c>
      <c r="Q386" s="7">
        <v>0.01</v>
      </c>
    </row>
    <row r="387" spans="1:17">
      <c r="A387" s="2">
        <v>2335</v>
      </c>
      <c r="B387" s="7">
        <v>1.61</v>
      </c>
      <c r="C387" s="7">
        <v>0.24</v>
      </c>
      <c r="D387" s="7">
        <v>0.92</v>
      </c>
      <c r="E387" s="7">
        <v>0.15</v>
      </c>
      <c r="F387" s="7">
        <v>0.15</v>
      </c>
      <c r="G387" s="7">
        <v>0.22</v>
      </c>
      <c r="H387" s="7">
        <v>0.34</v>
      </c>
      <c r="I387" s="7">
        <v>0.38</v>
      </c>
      <c r="J387" s="7">
        <v>0.3</v>
      </c>
      <c r="K387" s="7">
        <v>1.72</v>
      </c>
      <c r="L387" s="7">
        <v>2.04</v>
      </c>
      <c r="M387" s="7">
        <v>0.67</v>
      </c>
      <c r="N387" s="7">
        <v>0.46</v>
      </c>
      <c r="O387" s="7">
        <v>0.81</v>
      </c>
      <c r="P387" s="7">
        <v>1.45</v>
      </c>
      <c r="Q387" s="7">
        <v>0.01</v>
      </c>
    </row>
    <row r="388" spans="1:17">
      <c r="A388" s="2">
        <v>2336</v>
      </c>
      <c r="B388" s="7">
        <v>1.61</v>
      </c>
      <c r="C388" s="7">
        <v>0.24</v>
      </c>
      <c r="D388" s="7">
        <v>0.92</v>
      </c>
      <c r="E388" s="7">
        <v>0.15</v>
      </c>
      <c r="F388" s="7">
        <v>0.15</v>
      </c>
      <c r="G388" s="7">
        <v>0.22</v>
      </c>
      <c r="H388" s="7">
        <v>0.34</v>
      </c>
      <c r="I388" s="7">
        <v>0.38</v>
      </c>
      <c r="J388" s="7">
        <v>0.3</v>
      </c>
      <c r="K388" s="7">
        <v>1.72</v>
      </c>
      <c r="L388" s="7">
        <v>2.04</v>
      </c>
      <c r="M388" s="7">
        <v>0.67</v>
      </c>
      <c r="N388" s="7">
        <v>0.46</v>
      </c>
      <c r="O388" s="7">
        <v>0.81</v>
      </c>
      <c r="P388" s="7">
        <v>1.45</v>
      </c>
      <c r="Q388" s="7">
        <v>0.01</v>
      </c>
    </row>
    <row r="389" spans="1:17">
      <c r="A389" s="2">
        <v>2337</v>
      </c>
      <c r="B389" s="7">
        <v>1.61</v>
      </c>
      <c r="C389" s="7">
        <v>0.24</v>
      </c>
      <c r="D389" s="7">
        <v>0.92</v>
      </c>
      <c r="E389" s="7">
        <v>0.15</v>
      </c>
      <c r="F389" s="7">
        <v>0.15</v>
      </c>
      <c r="G389" s="7">
        <v>0.22</v>
      </c>
      <c r="H389" s="7">
        <v>0.34</v>
      </c>
      <c r="I389" s="7">
        <v>0.38</v>
      </c>
      <c r="J389" s="7">
        <v>0.3</v>
      </c>
      <c r="K389" s="7">
        <v>1.72</v>
      </c>
      <c r="L389" s="7">
        <v>2.04</v>
      </c>
      <c r="M389" s="7">
        <v>0.67</v>
      </c>
      <c r="N389" s="7">
        <v>0.46</v>
      </c>
      <c r="O389" s="7">
        <v>0.81</v>
      </c>
      <c r="P389" s="7">
        <v>1.45</v>
      </c>
      <c r="Q389" s="7">
        <v>0.01</v>
      </c>
    </row>
    <row r="390" spans="1:17">
      <c r="A390" s="2">
        <v>2338</v>
      </c>
      <c r="B390" s="7">
        <v>1.61</v>
      </c>
      <c r="C390" s="7">
        <v>0.24</v>
      </c>
      <c r="D390" s="7">
        <v>0.92</v>
      </c>
      <c r="E390" s="7">
        <v>0.15</v>
      </c>
      <c r="F390" s="7">
        <v>0.15</v>
      </c>
      <c r="G390" s="7">
        <v>0.22</v>
      </c>
      <c r="H390" s="7">
        <v>0.34</v>
      </c>
      <c r="I390" s="7">
        <v>0.38</v>
      </c>
      <c r="J390" s="7">
        <v>0.3</v>
      </c>
      <c r="K390" s="7">
        <v>1.72</v>
      </c>
      <c r="L390" s="7">
        <v>2.04</v>
      </c>
      <c r="M390" s="7">
        <v>0.67</v>
      </c>
      <c r="N390" s="7">
        <v>0.46</v>
      </c>
      <c r="O390" s="7">
        <v>0.81</v>
      </c>
      <c r="P390" s="7">
        <v>1.45</v>
      </c>
      <c r="Q390" s="7">
        <v>0.01</v>
      </c>
    </row>
    <row r="391" spans="1:17">
      <c r="A391" s="2">
        <v>2339</v>
      </c>
      <c r="B391" s="7">
        <v>1.61</v>
      </c>
      <c r="C391" s="7">
        <v>0.24</v>
      </c>
      <c r="D391" s="7">
        <v>0.92</v>
      </c>
      <c r="E391" s="7">
        <v>0.15</v>
      </c>
      <c r="F391" s="7">
        <v>0.15</v>
      </c>
      <c r="G391" s="7">
        <v>0.22</v>
      </c>
      <c r="H391" s="7">
        <v>0.34</v>
      </c>
      <c r="I391" s="7">
        <v>0.38</v>
      </c>
      <c r="J391" s="7">
        <v>0.3</v>
      </c>
      <c r="K391" s="7">
        <v>1.72</v>
      </c>
      <c r="L391" s="7">
        <v>2.04</v>
      </c>
      <c r="M391" s="7">
        <v>0.67</v>
      </c>
      <c r="N391" s="7">
        <v>0.46</v>
      </c>
      <c r="O391" s="7">
        <v>0.81</v>
      </c>
      <c r="P391" s="7">
        <v>1.45</v>
      </c>
      <c r="Q391" s="7">
        <v>0.01</v>
      </c>
    </row>
    <row r="392" spans="1:17">
      <c r="A392" s="2">
        <v>2340</v>
      </c>
      <c r="B392" s="7">
        <v>1.61</v>
      </c>
      <c r="C392" s="7">
        <v>0.24</v>
      </c>
      <c r="D392" s="7">
        <v>0.92</v>
      </c>
      <c r="E392" s="7">
        <v>0.15</v>
      </c>
      <c r="F392" s="7">
        <v>0.15</v>
      </c>
      <c r="G392" s="7">
        <v>0.22</v>
      </c>
      <c r="H392" s="7">
        <v>0.34</v>
      </c>
      <c r="I392" s="7">
        <v>0.38</v>
      </c>
      <c r="J392" s="7">
        <v>0.3</v>
      </c>
      <c r="K392" s="7">
        <v>1.72</v>
      </c>
      <c r="L392" s="7">
        <v>2.04</v>
      </c>
      <c r="M392" s="7">
        <v>0.67</v>
      </c>
      <c r="N392" s="7">
        <v>0.46</v>
      </c>
      <c r="O392" s="7">
        <v>0.81</v>
      </c>
      <c r="P392" s="7">
        <v>1.45</v>
      </c>
      <c r="Q392" s="7">
        <v>0.01</v>
      </c>
    </row>
    <row r="393" spans="1:17">
      <c r="A393" s="2">
        <v>2341</v>
      </c>
      <c r="B393" s="7">
        <v>1.61</v>
      </c>
      <c r="C393" s="7">
        <v>0.24</v>
      </c>
      <c r="D393" s="7">
        <v>0.92</v>
      </c>
      <c r="E393" s="7">
        <v>0.15</v>
      </c>
      <c r="F393" s="7">
        <v>0.15</v>
      </c>
      <c r="G393" s="7">
        <v>0.22</v>
      </c>
      <c r="H393" s="7">
        <v>0.34</v>
      </c>
      <c r="I393" s="7">
        <v>0.38</v>
      </c>
      <c r="J393" s="7">
        <v>0.3</v>
      </c>
      <c r="K393" s="7">
        <v>1.72</v>
      </c>
      <c r="L393" s="7">
        <v>2.04</v>
      </c>
      <c r="M393" s="7">
        <v>0.67</v>
      </c>
      <c r="N393" s="7">
        <v>0.46</v>
      </c>
      <c r="O393" s="7">
        <v>0.81</v>
      </c>
      <c r="P393" s="7">
        <v>1.45</v>
      </c>
      <c r="Q393" s="7">
        <v>0.01</v>
      </c>
    </row>
    <row r="394" spans="1:17">
      <c r="A394" s="2">
        <v>2342</v>
      </c>
      <c r="B394" s="7">
        <v>1.61</v>
      </c>
      <c r="C394" s="7">
        <v>0.24</v>
      </c>
      <c r="D394" s="7">
        <v>0.92</v>
      </c>
      <c r="E394" s="7">
        <v>0.15</v>
      </c>
      <c r="F394" s="7">
        <v>0.15</v>
      </c>
      <c r="G394" s="7">
        <v>0.22</v>
      </c>
      <c r="H394" s="7">
        <v>0.34</v>
      </c>
      <c r="I394" s="7">
        <v>0.38</v>
      </c>
      <c r="J394" s="7">
        <v>0.3</v>
      </c>
      <c r="K394" s="7">
        <v>1.72</v>
      </c>
      <c r="L394" s="7">
        <v>2.04</v>
      </c>
      <c r="M394" s="7">
        <v>0.67</v>
      </c>
      <c r="N394" s="7">
        <v>0.46</v>
      </c>
      <c r="O394" s="7">
        <v>0.81</v>
      </c>
      <c r="P394" s="7">
        <v>1.45</v>
      </c>
      <c r="Q394" s="7">
        <v>0.01</v>
      </c>
    </row>
    <row r="395" spans="1:17">
      <c r="A395" s="2">
        <v>2343</v>
      </c>
      <c r="B395" s="7">
        <v>1.61</v>
      </c>
      <c r="C395" s="7">
        <v>0.24</v>
      </c>
      <c r="D395" s="7">
        <v>0.92</v>
      </c>
      <c r="E395" s="7">
        <v>0.15</v>
      </c>
      <c r="F395" s="7">
        <v>0.15</v>
      </c>
      <c r="G395" s="7">
        <v>0.22</v>
      </c>
      <c r="H395" s="7">
        <v>0.34</v>
      </c>
      <c r="I395" s="7">
        <v>0.38</v>
      </c>
      <c r="J395" s="7">
        <v>0.3</v>
      </c>
      <c r="K395" s="7">
        <v>1.72</v>
      </c>
      <c r="L395" s="7">
        <v>2.04</v>
      </c>
      <c r="M395" s="7">
        <v>0.67</v>
      </c>
      <c r="N395" s="7">
        <v>0.46</v>
      </c>
      <c r="O395" s="7">
        <v>0.81</v>
      </c>
      <c r="P395" s="7">
        <v>1.45</v>
      </c>
      <c r="Q395" s="7">
        <v>0.01</v>
      </c>
    </row>
    <row r="396" spans="1:17">
      <c r="A396" s="2">
        <v>2344</v>
      </c>
      <c r="B396" s="7">
        <v>1.61</v>
      </c>
      <c r="C396" s="7">
        <v>0.24</v>
      </c>
      <c r="D396" s="7">
        <v>0.92</v>
      </c>
      <c r="E396" s="7">
        <v>0.15</v>
      </c>
      <c r="F396" s="7">
        <v>0.15</v>
      </c>
      <c r="G396" s="7">
        <v>0.22</v>
      </c>
      <c r="H396" s="7">
        <v>0.34</v>
      </c>
      <c r="I396" s="7">
        <v>0.38</v>
      </c>
      <c r="J396" s="7">
        <v>0.3</v>
      </c>
      <c r="K396" s="7">
        <v>1.72</v>
      </c>
      <c r="L396" s="7">
        <v>2.04</v>
      </c>
      <c r="M396" s="7">
        <v>0.67</v>
      </c>
      <c r="N396" s="7">
        <v>0.46</v>
      </c>
      <c r="O396" s="7">
        <v>0.81</v>
      </c>
      <c r="P396" s="7">
        <v>1.45</v>
      </c>
      <c r="Q396" s="7">
        <v>0.01</v>
      </c>
    </row>
    <row r="397" spans="1:17">
      <c r="A397" s="2">
        <v>2345</v>
      </c>
      <c r="B397" s="7">
        <v>1.61</v>
      </c>
      <c r="C397" s="7">
        <v>0.24</v>
      </c>
      <c r="D397" s="7">
        <v>0.92</v>
      </c>
      <c r="E397" s="7">
        <v>0.15</v>
      </c>
      <c r="F397" s="7">
        <v>0.15</v>
      </c>
      <c r="G397" s="7">
        <v>0.22</v>
      </c>
      <c r="H397" s="7">
        <v>0.34</v>
      </c>
      <c r="I397" s="7">
        <v>0.38</v>
      </c>
      <c r="J397" s="7">
        <v>0.3</v>
      </c>
      <c r="K397" s="7">
        <v>1.72</v>
      </c>
      <c r="L397" s="7">
        <v>2.04</v>
      </c>
      <c r="M397" s="7">
        <v>0.67</v>
      </c>
      <c r="N397" s="7">
        <v>0.46</v>
      </c>
      <c r="O397" s="7">
        <v>0.81</v>
      </c>
      <c r="P397" s="7">
        <v>1.45</v>
      </c>
      <c r="Q397" s="7">
        <v>0.01</v>
      </c>
    </row>
    <row r="398" spans="1:17">
      <c r="A398" s="2">
        <v>2346</v>
      </c>
      <c r="B398" s="7">
        <v>1.61</v>
      </c>
      <c r="C398" s="7">
        <v>0.24</v>
      </c>
      <c r="D398" s="7">
        <v>0.92</v>
      </c>
      <c r="E398" s="7">
        <v>0.15</v>
      </c>
      <c r="F398" s="7">
        <v>0.15</v>
      </c>
      <c r="G398" s="7">
        <v>0.22</v>
      </c>
      <c r="H398" s="7">
        <v>0.34</v>
      </c>
      <c r="I398" s="7">
        <v>0.38</v>
      </c>
      <c r="J398" s="7">
        <v>0.3</v>
      </c>
      <c r="K398" s="7">
        <v>1.72</v>
      </c>
      <c r="L398" s="7">
        <v>2.04</v>
      </c>
      <c r="M398" s="7">
        <v>0.67</v>
      </c>
      <c r="N398" s="7">
        <v>0.46</v>
      </c>
      <c r="O398" s="7">
        <v>0.81</v>
      </c>
      <c r="P398" s="7">
        <v>1.45</v>
      </c>
      <c r="Q398" s="7">
        <v>0.01</v>
      </c>
    </row>
    <row r="399" spans="1:17">
      <c r="A399" s="2">
        <v>2347</v>
      </c>
      <c r="B399" s="7">
        <v>1.61</v>
      </c>
      <c r="C399" s="7">
        <v>0.24</v>
      </c>
      <c r="D399" s="7">
        <v>0.92</v>
      </c>
      <c r="E399" s="7">
        <v>0.15</v>
      </c>
      <c r="F399" s="7">
        <v>0.15</v>
      </c>
      <c r="G399" s="7">
        <v>0.22</v>
      </c>
      <c r="H399" s="7">
        <v>0.34</v>
      </c>
      <c r="I399" s="7">
        <v>0.38</v>
      </c>
      <c r="J399" s="7">
        <v>0.3</v>
      </c>
      <c r="K399" s="7">
        <v>1.72</v>
      </c>
      <c r="L399" s="7">
        <v>2.04</v>
      </c>
      <c r="M399" s="7">
        <v>0.67</v>
      </c>
      <c r="N399" s="7">
        <v>0.46</v>
      </c>
      <c r="O399" s="7">
        <v>0.81</v>
      </c>
      <c r="P399" s="7">
        <v>1.45</v>
      </c>
      <c r="Q399" s="7">
        <v>0.01</v>
      </c>
    </row>
    <row r="400" spans="1:17">
      <c r="A400" s="2">
        <v>2348</v>
      </c>
      <c r="B400" s="7">
        <v>1.61</v>
      </c>
      <c r="C400" s="7">
        <v>0.24</v>
      </c>
      <c r="D400" s="7">
        <v>0.92</v>
      </c>
      <c r="E400" s="7">
        <v>0.15</v>
      </c>
      <c r="F400" s="7">
        <v>0.15</v>
      </c>
      <c r="G400" s="7">
        <v>0.22</v>
      </c>
      <c r="H400" s="7">
        <v>0.34</v>
      </c>
      <c r="I400" s="7">
        <v>0.38</v>
      </c>
      <c r="J400" s="7">
        <v>0.3</v>
      </c>
      <c r="K400" s="7">
        <v>1.72</v>
      </c>
      <c r="L400" s="7">
        <v>2.04</v>
      </c>
      <c r="M400" s="7">
        <v>0.67</v>
      </c>
      <c r="N400" s="7">
        <v>0.46</v>
      </c>
      <c r="O400" s="7">
        <v>0.81</v>
      </c>
      <c r="P400" s="7">
        <v>1.45</v>
      </c>
      <c r="Q400" s="7">
        <v>0.01</v>
      </c>
    </row>
    <row r="401" spans="1:17">
      <c r="A401" s="2">
        <v>2349</v>
      </c>
      <c r="B401" s="7">
        <v>1.61</v>
      </c>
      <c r="C401" s="7">
        <v>0.24</v>
      </c>
      <c r="D401" s="7">
        <v>0.92</v>
      </c>
      <c r="E401" s="7">
        <v>0.15</v>
      </c>
      <c r="F401" s="7">
        <v>0.15</v>
      </c>
      <c r="G401" s="7">
        <v>0.22</v>
      </c>
      <c r="H401" s="7">
        <v>0.34</v>
      </c>
      <c r="I401" s="7">
        <v>0.38</v>
      </c>
      <c r="J401" s="7">
        <v>0.3</v>
      </c>
      <c r="K401" s="7">
        <v>1.72</v>
      </c>
      <c r="L401" s="7">
        <v>2.04</v>
      </c>
      <c r="M401" s="7">
        <v>0.67</v>
      </c>
      <c r="N401" s="7">
        <v>0.46</v>
      </c>
      <c r="O401" s="7">
        <v>0.81</v>
      </c>
      <c r="P401" s="7">
        <v>1.45</v>
      </c>
      <c r="Q401" s="7">
        <v>0.01</v>
      </c>
    </row>
    <row r="402" spans="1:17">
      <c r="A402" s="2">
        <v>2350</v>
      </c>
      <c r="B402" s="7">
        <v>1.61</v>
      </c>
      <c r="C402" s="7">
        <v>0.24</v>
      </c>
      <c r="D402" s="7">
        <v>0.92</v>
      </c>
      <c r="E402" s="7">
        <v>0.15</v>
      </c>
      <c r="F402" s="7">
        <v>0.15</v>
      </c>
      <c r="G402" s="7">
        <v>0.22</v>
      </c>
      <c r="H402" s="7">
        <v>0.34</v>
      </c>
      <c r="I402" s="7">
        <v>0.38</v>
      </c>
      <c r="J402" s="7">
        <v>0.3</v>
      </c>
      <c r="K402" s="7">
        <v>1.72</v>
      </c>
      <c r="L402" s="7">
        <v>2.04</v>
      </c>
      <c r="M402" s="7">
        <v>0.67</v>
      </c>
      <c r="N402" s="7">
        <v>0.46</v>
      </c>
      <c r="O402" s="7">
        <v>0.81</v>
      </c>
      <c r="P402" s="7">
        <v>1.45</v>
      </c>
      <c r="Q402" s="7">
        <v>0.01</v>
      </c>
    </row>
    <row r="403" spans="1:17">
      <c r="A403" s="2">
        <v>2351</v>
      </c>
      <c r="B403" s="7">
        <v>1.61</v>
      </c>
      <c r="C403" s="7">
        <v>0.24</v>
      </c>
      <c r="D403" s="7">
        <v>0.92</v>
      </c>
      <c r="E403" s="7">
        <v>0.15</v>
      </c>
      <c r="F403" s="7">
        <v>0.15</v>
      </c>
      <c r="G403" s="7">
        <v>0.22</v>
      </c>
      <c r="H403" s="7">
        <v>0.34</v>
      </c>
      <c r="I403" s="7">
        <v>0.38</v>
      </c>
      <c r="J403" s="7">
        <v>0.3</v>
      </c>
      <c r="K403" s="7">
        <v>1.72</v>
      </c>
      <c r="L403" s="7">
        <v>2.04</v>
      </c>
      <c r="M403" s="7">
        <v>0.67</v>
      </c>
      <c r="N403" s="7">
        <v>0.46</v>
      </c>
      <c r="O403" s="7">
        <v>0.81</v>
      </c>
      <c r="P403" s="7">
        <v>1.45</v>
      </c>
      <c r="Q403" s="7">
        <v>0.01</v>
      </c>
    </row>
    <row r="404" spans="1:17">
      <c r="A404" s="2">
        <v>2352</v>
      </c>
      <c r="B404" s="7">
        <v>1.61</v>
      </c>
      <c r="C404" s="7">
        <v>0.24</v>
      </c>
      <c r="D404" s="7">
        <v>0.92</v>
      </c>
      <c r="E404" s="7">
        <v>0.15</v>
      </c>
      <c r="F404" s="7">
        <v>0.15</v>
      </c>
      <c r="G404" s="7">
        <v>0.22</v>
      </c>
      <c r="H404" s="7">
        <v>0.34</v>
      </c>
      <c r="I404" s="7">
        <v>0.38</v>
      </c>
      <c r="J404" s="7">
        <v>0.3</v>
      </c>
      <c r="K404" s="7">
        <v>1.72</v>
      </c>
      <c r="L404" s="7">
        <v>2.04</v>
      </c>
      <c r="M404" s="7">
        <v>0.67</v>
      </c>
      <c r="N404" s="7">
        <v>0.46</v>
      </c>
      <c r="O404" s="7">
        <v>0.81</v>
      </c>
      <c r="P404" s="7">
        <v>1.45</v>
      </c>
      <c r="Q404" s="7">
        <v>0.01</v>
      </c>
    </row>
    <row r="405" spans="1:17">
      <c r="A405" s="2">
        <v>2353</v>
      </c>
      <c r="B405" s="7">
        <v>1.61</v>
      </c>
      <c r="C405" s="7">
        <v>0.24</v>
      </c>
      <c r="D405" s="7">
        <v>0.92</v>
      </c>
      <c r="E405" s="7">
        <v>0.15</v>
      </c>
      <c r="F405" s="7">
        <v>0.15</v>
      </c>
      <c r="G405" s="7">
        <v>0.22</v>
      </c>
      <c r="H405" s="7">
        <v>0.34</v>
      </c>
      <c r="I405" s="7">
        <v>0.38</v>
      </c>
      <c r="J405" s="7">
        <v>0.3</v>
      </c>
      <c r="K405" s="7">
        <v>1.72</v>
      </c>
      <c r="L405" s="7">
        <v>2.04</v>
      </c>
      <c r="M405" s="7">
        <v>0.67</v>
      </c>
      <c r="N405" s="7">
        <v>0.46</v>
      </c>
      <c r="O405" s="7">
        <v>0.81</v>
      </c>
      <c r="P405" s="7">
        <v>1.45</v>
      </c>
      <c r="Q405" s="7">
        <v>0.01</v>
      </c>
    </row>
    <row r="406" spans="1:17">
      <c r="A406" s="2">
        <v>2354</v>
      </c>
      <c r="B406" s="7">
        <v>1.61</v>
      </c>
      <c r="C406" s="7">
        <v>0.24</v>
      </c>
      <c r="D406" s="7">
        <v>0.92</v>
      </c>
      <c r="E406" s="7">
        <v>0.15</v>
      </c>
      <c r="F406" s="7">
        <v>0.15</v>
      </c>
      <c r="G406" s="7">
        <v>0.22</v>
      </c>
      <c r="H406" s="7">
        <v>0.34</v>
      </c>
      <c r="I406" s="7">
        <v>0.38</v>
      </c>
      <c r="J406" s="7">
        <v>0.3</v>
      </c>
      <c r="K406" s="7">
        <v>1.72</v>
      </c>
      <c r="L406" s="7">
        <v>2.04</v>
      </c>
      <c r="M406" s="7">
        <v>0.67</v>
      </c>
      <c r="N406" s="7">
        <v>0.46</v>
      </c>
      <c r="O406" s="7">
        <v>0.81</v>
      </c>
      <c r="P406" s="7">
        <v>1.45</v>
      </c>
      <c r="Q406" s="7">
        <v>0.01</v>
      </c>
    </row>
    <row r="407" spans="1:17">
      <c r="A407" s="2">
        <v>2355</v>
      </c>
      <c r="B407" s="7">
        <v>1.61</v>
      </c>
      <c r="C407" s="7">
        <v>0.24</v>
      </c>
      <c r="D407" s="7">
        <v>0.92</v>
      </c>
      <c r="E407" s="7">
        <v>0.15</v>
      </c>
      <c r="F407" s="7">
        <v>0.15</v>
      </c>
      <c r="G407" s="7">
        <v>0.22</v>
      </c>
      <c r="H407" s="7">
        <v>0.34</v>
      </c>
      <c r="I407" s="7">
        <v>0.38</v>
      </c>
      <c r="J407" s="7">
        <v>0.3</v>
      </c>
      <c r="K407" s="7">
        <v>1.72</v>
      </c>
      <c r="L407" s="7">
        <v>2.04</v>
      </c>
      <c r="M407" s="7">
        <v>0.67</v>
      </c>
      <c r="N407" s="7">
        <v>0.46</v>
      </c>
      <c r="O407" s="7">
        <v>0.81</v>
      </c>
      <c r="P407" s="7">
        <v>1.45</v>
      </c>
      <c r="Q407" s="7">
        <v>0.01</v>
      </c>
    </row>
    <row r="408" spans="1:17">
      <c r="A408" s="2">
        <v>2356</v>
      </c>
      <c r="B408" s="7">
        <v>1.61</v>
      </c>
      <c r="C408" s="7">
        <v>0.24</v>
      </c>
      <c r="D408" s="7">
        <v>0.92</v>
      </c>
      <c r="E408" s="7">
        <v>0.15</v>
      </c>
      <c r="F408" s="7">
        <v>0.15</v>
      </c>
      <c r="G408" s="7">
        <v>0.22</v>
      </c>
      <c r="H408" s="7">
        <v>0.34</v>
      </c>
      <c r="I408" s="7">
        <v>0.38</v>
      </c>
      <c r="J408" s="7">
        <v>0.3</v>
      </c>
      <c r="K408" s="7">
        <v>1.72</v>
      </c>
      <c r="L408" s="7">
        <v>2.04</v>
      </c>
      <c r="M408" s="7">
        <v>0.67</v>
      </c>
      <c r="N408" s="7">
        <v>0.46</v>
      </c>
      <c r="O408" s="7">
        <v>0.81</v>
      </c>
      <c r="P408" s="7">
        <v>1.45</v>
      </c>
      <c r="Q408" s="7">
        <v>0.01</v>
      </c>
    </row>
    <row r="409" spans="1:17">
      <c r="A409" s="2">
        <v>2357</v>
      </c>
      <c r="B409" s="7">
        <v>1.61</v>
      </c>
      <c r="C409" s="7">
        <v>0.24</v>
      </c>
      <c r="D409" s="7">
        <v>0.92</v>
      </c>
      <c r="E409" s="7">
        <v>0.15</v>
      </c>
      <c r="F409" s="7">
        <v>0.15</v>
      </c>
      <c r="G409" s="7">
        <v>0.22</v>
      </c>
      <c r="H409" s="7">
        <v>0.34</v>
      </c>
      <c r="I409" s="7">
        <v>0.38</v>
      </c>
      <c r="J409" s="7">
        <v>0.3</v>
      </c>
      <c r="K409" s="7">
        <v>1.72</v>
      </c>
      <c r="L409" s="7">
        <v>2.04</v>
      </c>
      <c r="M409" s="7">
        <v>0.67</v>
      </c>
      <c r="N409" s="7">
        <v>0.46</v>
      </c>
      <c r="O409" s="7">
        <v>0.81</v>
      </c>
      <c r="P409" s="7">
        <v>1.45</v>
      </c>
      <c r="Q409" s="7">
        <v>0.01</v>
      </c>
    </row>
    <row r="410" spans="1:17">
      <c r="A410" s="2">
        <v>2358</v>
      </c>
      <c r="B410" s="7">
        <v>1.61</v>
      </c>
      <c r="C410" s="7">
        <v>0.24</v>
      </c>
      <c r="D410" s="7">
        <v>0.92</v>
      </c>
      <c r="E410" s="7">
        <v>0.15</v>
      </c>
      <c r="F410" s="7">
        <v>0.15</v>
      </c>
      <c r="G410" s="7">
        <v>0.22</v>
      </c>
      <c r="H410" s="7">
        <v>0.34</v>
      </c>
      <c r="I410" s="7">
        <v>0.38</v>
      </c>
      <c r="J410" s="7">
        <v>0.3</v>
      </c>
      <c r="K410" s="7">
        <v>1.72</v>
      </c>
      <c r="L410" s="7">
        <v>2.04</v>
      </c>
      <c r="M410" s="7">
        <v>0.67</v>
      </c>
      <c r="N410" s="7">
        <v>0.46</v>
      </c>
      <c r="O410" s="7">
        <v>0.81</v>
      </c>
      <c r="P410" s="7">
        <v>1.45</v>
      </c>
      <c r="Q410" s="7">
        <v>0.01</v>
      </c>
    </row>
    <row r="411" spans="1:17">
      <c r="A411" s="2">
        <v>2359</v>
      </c>
      <c r="B411" s="7">
        <v>1.61</v>
      </c>
      <c r="C411" s="7">
        <v>0.24</v>
      </c>
      <c r="D411" s="7">
        <v>0.92</v>
      </c>
      <c r="E411" s="7">
        <v>0.15</v>
      </c>
      <c r="F411" s="7">
        <v>0.15</v>
      </c>
      <c r="G411" s="7">
        <v>0.22</v>
      </c>
      <c r="H411" s="7">
        <v>0.34</v>
      </c>
      <c r="I411" s="7">
        <v>0.38</v>
      </c>
      <c r="J411" s="7">
        <v>0.3</v>
      </c>
      <c r="K411" s="7">
        <v>1.72</v>
      </c>
      <c r="L411" s="7">
        <v>2.04</v>
      </c>
      <c r="M411" s="7">
        <v>0.67</v>
      </c>
      <c r="N411" s="7">
        <v>0.46</v>
      </c>
      <c r="O411" s="7">
        <v>0.81</v>
      </c>
      <c r="P411" s="7">
        <v>1.45</v>
      </c>
      <c r="Q411" s="7">
        <v>0.01</v>
      </c>
    </row>
    <row r="412" spans="1:17">
      <c r="A412" s="2">
        <v>2360</v>
      </c>
      <c r="B412" s="7">
        <v>1.61</v>
      </c>
      <c r="C412" s="7">
        <v>0.24</v>
      </c>
      <c r="D412" s="7">
        <v>0.92</v>
      </c>
      <c r="E412" s="7">
        <v>0.15</v>
      </c>
      <c r="F412" s="7">
        <v>0.15</v>
      </c>
      <c r="G412" s="7">
        <v>0.22</v>
      </c>
      <c r="H412" s="7">
        <v>0.34</v>
      </c>
      <c r="I412" s="7">
        <v>0.38</v>
      </c>
      <c r="J412" s="7">
        <v>0.3</v>
      </c>
      <c r="K412" s="7">
        <v>1.72</v>
      </c>
      <c r="L412" s="7">
        <v>2.04</v>
      </c>
      <c r="M412" s="7">
        <v>0.67</v>
      </c>
      <c r="N412" s="7">
        <v>0.46</v>
      </c>
      <c r="O412" s="7">
        <v>0.81</v>
      </c>
      <c r="P412" s="7">
        <v>1.45</v>
      </c>
      <c r="Q412" s="7">
        <v>0.01</v>
      </c>
    </row>
    <row r="413" spans="1:17">
      <c r="A413" s="2">
        <v>2361</v>
      </c>
      <c r="B413" s="7">
        <v>1.61</v>
      </c>
      <c r="C413" s="7">
        <v>0.24</v>
      </c>
      <c r="D413" s="7">
        <v>0.92</v>
      </c>
      <c r="E413" s="7">
        <v>0.15</v>
      </c>
      <c r="F413" s="7">
        <v>0.15</v>
      </c>
      <c r="G413" s="7">
        <v>0.22</v>
      </c>
      <c r="H413" s="7">
        <v>0.34</v>
      </c>
      <c r="I413" s="7">
        <v>0.38</v>
      </c>
      <c r="J413" s="7">
        <v>0.3</v>
      </c>
      <c r="K413" s="7">
        <v>1.72</v>
      </c>
      <c r="L413" s="7">
        <v>2.04</v>
      </c>
      <c r="M413" s="7">
        <v>0.67</v>
      </c>
      <c r="N413" s="7">
        <v>0.46</v>
      </c>
      <c r="O413" s="7">
        <v>0.81</v>
      </c>
      <c r="P413" s="7">
        <v>1.45</v>
      </c>
      <c r="Q413" s="7">
        <v>0.01</v>
      </c>
    </row>
    <row r="414" spans="1:17">
      <c r="A414" s="2">
        <v>2362</v>
      </c>
      <c r="B414" s="7">
        <v>1.61</v>
      </c>
      <c r="C414" s="7">
        <v>0.24</v>
      </c>
      <c r="D414" s="7">
        <v>0.92</v>
      </c>
      <c r="E414" s="7">
        <v>0.15</v>
      </c>
      <c r="F414" s="7">
        <v>0.15</v>
      </c>
      <c r="G414" s="7">
        <v>0.22</v>
      </c>
      <c r="H414" s="7">
        <v>0.34</v>
      </c>
      <c r="I414" s="7">
        <v>0.38</v>
      </c>
      <c r="J414" s="7">
        <v>0.3</v>
      </c>
      <c r="K414" s="7">
        <v>1.72</v>
      </c>
      <c r="L414" s="7">
        <v>2.04</v>
      </c>
      <c r="M414" s="7">
        <v>0.67</v>
      </c>
      <c r="N414" s="7">
        <v>0.46</v>
      </c>
      <c r="O414" s="7">
        <v>0.81</v>
      </c>
      <c r="P414" s="7">
        <v>1.45</v>
      </c>
      <c r="Q414" s="7">
        <v>0.01</v>
      </c>
    </row>
    <row r="415" spans="1:17">
      <c r="A415" s="2">
        <v>2363</v>
      </c>
      <c r="B415" s="7">
        <v>1.61</v>
      </c>
      <c r="C415" s="7">
        <v>0.24</v>
      </c>
      <c r="D415" s="7">
        <v>0.92</v>
      </c>
      <c r="E415" s="7">
        <v>0.15</v>
      </c>
      <c r="F415" s="7">
        <v>0.15</v>
      </c>
      <c r="G415" s="7">
        <v>0.22</v>
      </c>
      <c r="H415" s="7">
        <v>0.34</v>
      </c>
      <c r="I415" s="7">
        <v>0.38</v>
      </c>
      <c r="J415" s="7">
        <v>0.3</v>
      </c>
      <c r="K415" s="7">
        <v>1.72</v>
      </c>
      <c r="L415" s="7">
        <v>2.04</v>
      </c>
      <c r="M415" s="7">
        <v>0.67</v>
      </c>
      <c r="N415" s="7">
        <v>0.46</v>
      </c>
      <c r="O415" s="7">
        <v>0.81</v>
      </c>
      <c r="P415" s="7">
        <v>1.45</v>
      </c>
      <c r="Q415" s="7">
        <v>0.01</v>
      </c>
    </row>
    <row r="416" spans="1:17">
      <c r="A416" s="2">
        <v>2364</v>
      </c>
      <c r="B416" s="7">
        <v>1.61</v>
      </c>
      <c r="C416" s="7">
        <v>0.24</v>
      </c>
      <c r="D416" s="7">
        <v>0.92</v>
      </c>
      <c r="E416" s="7">
        <v>0.15</v>
      </c>
      <c r="F416" s="7">
        <v>0.15</v>
      </c>
      <c r="G416" s="7">
        <v>0.22</v>
      </c>
      <c r="H416" s="7">
        <v>0.34</v>
      </c>
      <c r="I416" s="7">
        <v>0.38</v>
      </c>
      <c r="J416" s="7">
        <v>0.3</v>
      </c>
      <c r="K416" s="7">
        <v>1.72</v>
      </c>
      <c r="L416" s="7">
        <v>2.04</v>
      </c>
      <c r="M416" s="7">
        <v>0.67</v>
      </c>
      <c r="N416" s="7">
        <v>0.46</v>
      </c>
      <c r="O416" s="7">
        <v>0.81</v>
      </c>
      <c r="P416" s="7">
        <v>1.45</v>
      </c>
      <c r="Q416" s="7">
        <v>0.01</v>
      </c>
    </row>
    <row r="417" spans="1:17">
      <c r="A417" s="2">
        <v>2365</v>
      </c>
      <c r="B417" s="7">
        <v>1.61</v>
      </c>
      <c r="C417" s="7">
        <v>0.24</v>
      </c>
      <c r="D417" s="7">
        <v>0.92</v>
      </c>
      <c r="E417" s="7">
        <v>0.15</v>
      </c>
      <c r="F417" s="7">
        <v>0.15</v>
      </c>
      <c r="G417" s="7">
        <v>0.22</v>
      </c>
      <c r="H417" s="7">
        <v>0.34</v>
      </c>
      <c r="I417" s="7">
        <v>0.38</v>
      </c>
      <c r="J417" s="7">
        <v>0.3</v>
      </c>
      <c r="K417" s="7">
        <v>1.72</v>
      </c>
      <c r="L417" s="7">
        <v>2.04</v>
      </c>
      <c r="M417" s="7">
        <v>0.67</v>
      </c>
      <c r="N417" s="7">
        <v>0.46</v>
      </c>
      <c r="O417" s="7">
        <v>0.81</v>
      </c>
      <c r="P417" s="7">
        <v>1.45</v>
      </c>
      <c r="Q417" s="7">
        <v>0.01</v>
      </c>
    </row>
    <row r="418" spans="1:17">
      <c r="A418" s="2">
        <v>2366</v>
      </c>
      <c r="B418" s="7">
        <v>1.61</v>
      </c>
      <c r="C418" s="7">
        <v>0.24</v>
      </c>
      <c r="D418" s="7">
        <v>0.92</v>
      </c>
      <c r="E418" s="7">
        <v>0.15</v>
      </c>
      <c r="F418" s="7">
        <v>0.15</v>
      </c>
      <c r="G418" s="7">
        <v>0.22</v>
      </c>
      <c r="H418" s="7">
        <v>0.34</v>
      </c>
      <c r="I418" s="7">
        <v>0.38</v>
      </c>
      <c r="J418" s="7">
        <v>0.3</v>
      </c>
      <c r="K418" s="7">
        <v>1.72</v>
      </c>
      <c r="L418" s="7">
        <v>2.04</v>
      </c>
      <c r="M418" s="7">
        <v>0.67</v>
      </c>
      <c r="N418" s="7">
        <v>0.46</v>
      </c>
      <c r="O418" s="7">
        <v>0.81</v>
      </c>
      <c r="P418" s="7">
        <v>1.45</v>
      </c>
      <c r="Q418" s="7">
        <v>0.01</v>
      </c>
    </row>
    <row r="419" spans="1:17">
      <c r="A419" s="2">
        <v>2367</v>
      </c>
      <c r="B419" s="7">
        <v>1.61</v>
      </c>
      <c r="C419" s="7">
        <v>0.24</v>
      </c>
      <c r="D419" s="7">
        <v>0.92</v>
      </c>
      <c r="E419" s="7">
        <v>0.15</v>
      </c>
      <c r="F419" s="7">
        <v>0.15</v>
      </c>
      <c r="G419" s="7">
        <v>0.22</v>
      </c>
      <c r="H419" s="7">
        <v>0.34</v>
      </c>
      <c r="I419" s="7">
        <v>0.38</v>
      </c>
      <c r="J419" s="7">
        <v>0.3</v>
      </c>
      <c r="K419" s="7">
        <v>1.72</v>
      </c>
      <c r="L419" s="7">
        <v>2.04</v>
      </c>
      <c r="M419" s="7">
        <v>0.67</v>
      </c>
      <c r="N419" s="7">
        <v>0.46</v>
      </c>
      <c r="O419" s="7">
        <v>0.81</v>
      </c>
      <c r="P419" s="7">
        <v>1.45</v>
      </c>
      <c r="Q419" s="7">
        <v>0.01</v>
      </c>
    </row>
    <row r="420" spans="1:17">
      <c r="A420" s="2">
        <v>2368</v>
      </c>
      <c r="B420" s="7">
        <v>1.61</v>
      </c>
      <c r="C420" s="7">
        <v>0.24</v>
      </c>
      <c r="D420" s="7">
        <v>0.92</v>
      </c>
      <c r="E420" s="7">
        <v>0.15</v>
      </c>
      <c r="F420" s="7">
        <v>0.15</v>
      </c>
      <c r="G420" s="7">
        <v>0.22</v>
      </c>
      <c r="H420" s="7">
        <v>0.34</v>
      </c>
      <c r="I420" s="7">
        <v>0.38</v>
      </c>
      <c r="J420" s="7">
        <v>0.3</v>
      </c>
      <c r="K420" s="7">
        <v>1.72</v>
      </c>
      <c r="L420" s="7">
        <v>2.04</v>
      </c>
      <c r="M420" s="7">
        <v>0.67</v>
      </c>
      <c r="N420" s="7">
        <v>0.46</v>
      </c>
      <c r="O420" s="7">
        <v>0.81</v>
      </c>
      <c r="P420" s="7">
        <v>1.45</v>
      </c>
      <c r="Q420" s="7">
        <v>0.01</v>
      </c>
    </row>
    <row r="421" spans="1:17">
      <c r="A421" s="2">
        <v>2369</v>
      </c>
      <c r="B421" s="7">
        <v>1.61</v>
      </c>
      <c r="C421" s="7">
        <v>0.24</v>
      </c>
      <c r="D421" s="7">
        <v>0.92</v>
      </c>
      <c r="E421" s="7">
        <v>0.15</v>
      </c>
      <c r="F421" s="7">
        <v>0.15</v>
      </c>
      <c r="G421" s="7">
        <v>0.22</v>
      </c>
      <c r="H421" s="7">
        <v>0.34</v>
      </c>
      <c r="I421" s="7">
        <v>0.38</v>
      </c>
      <c r="J421" s="7">
        <v>0.3</v>
      </c>
      <c r="K421" s="7">
        <v>1.72</v>
      </c>
      <c r="L421" s="7">
        <v>2.04</v>
      </c>
      <c r="M421" s="7">
        <v>0.67</v>
      </c>
      <c r="N421" s="7">
        <v>0.46</v>
      </c>
      <c r="O421" s="7">
        <v>0.81</v>
      </c>
      <c r="P421" s="7">
        <v>1.45</v>
      </c>
      <c r="Q421" s="7">
        <v>0.01</v>
      </c>
    </row>
    <row r="422" spans="1:17">
      <c r="A422" s="2">
        <v>2370</v>
      </c>
      <c r="B422" s="7">
        <v>1.61</v>
      </c>
      <c r="C422" s="7">
        <v>0.24</v>
      </c>
      <c r="D422" s="7">
        <v>0.92</v>
      </c>
      <c r="E422" s="7">
        <v>0.15</v>
      </c>
      <c r="F422" s="7">
        <v>0.15</v>
      </c>
      <c r="G422" s="7">
        <v>0.22</v>
      </c>
      <c r="H422" s="7">
        <v>0.34</v>
      </c>
      <c r="I422" s="7">
        <v>0.38</v>
      </c>
      <c r="J422" s="7">
        <v>0.3</v>
      </c>
      <c r="K422" s="7">
        <v>1.72</v>
      </c>
      <c r="L422" s="7">
        <v>2.04</v>
      </c>
      <c r="M422" s="7">
        <v>0.67</v>
      </c>
      <c r="N422" s="7">
        <v>0.46</v>
      </c>
      <c r="O422" s="7">
        <v>0.81</v>
      </c>
      <c r="P422" s="7">
        <v>1.45</v>
      </c>
      <c r="Q422" s="7">
        <v>0.01</v>
      </c>
    </row>
    <row r="423" spans="1:17">
      <c r="A423" s="2">
        <v>2371</v>
      </c>
      <c r="B423" s="7">
        <v>1.61</v>
      </c>
      <c r="C423" s="7">
        <v>0.24</v>
      </c>
      <c r="D423" s="7">
        <v>0.92</v>
      </c>
      <c r="E423" s="7">
        <v>0.15</v>
      </c>
      <c r="F423" s="7">
        <v>0.15</v>
      </c>
      <c r="G423" s="7">
        <v>0.22</v>
      </c>
      <c r="H423" s="7">
        <v>0.34</v>
      </c>
      <c r="I423" s="7">
        <v>0.38</v>
      </c>
      <c r="J423" s="7">
        <v>0.3</v>
      </c>
      <c r="K423" s="7">
        <v>1.72</v>
      </c>
      <c r="L423" s="7">
        <v>2.04</v>
      </c>
      <c r="M423" s="7">
        <v>0.67</v>
      </c>
      <c r="N423" s="7">
        <v>0.46</v>
      </c>
      <c r="O423" s="7">
        <v>0.81</v>
      </c>
      <c r="P423" s="7">
        <v>1.45</v>
      </c>
      <c r="Q423" s="7">
        <v>0.01</v>
      </c>
    </row>
    <row r="424" spans="1:17">
      <c r="A424" s="2">
        <v>2372</v>
      </c>
      <c r="B424" s="7">
        <v>1.61</v>
      </c>
      <c r="C424" s="7">
        <v>0.24</v>
      </c>
      <c r="D424" s="7">
        <v>0.92</v>
      </c>
      <c r="E424" s="7">
        <v>0.15</v>
      </c>
      <c r="F424" s="7">
        <v>0.15</v>
      </c>
      <c r="G424" s="7">
        <v>0.22</v>
      </c>
      <c r="H424" s="7">
        <v>0.34</v>
      </c>
      <c r="I424" s="7">
        <v>0.38</v>
      </c>
      <c r="J424" s="7">
        <v>0.3</v>
      </c>
      <c r="K424" s="7">
        <v>1.72</v>
      </c>
      <c r="L424" s="7">
        <v>2.04</v>
      </c>
      <c r="M424" s="7">
        <v>0.67</v>
      </c>
      <c r="N424" s="7">
        <v>0.46</v>
      </c>
      <c r="O424" s="7">
        <v>0.81</v>
      </c>
      <c r="P424" s="7">
        <v>1.45</v>
      </c>
      <c r="Q424" s="7">
        <v>0.01</v>
      </c>
    </row>
    <row r="425" spans="1:17">
      <c r="A425" s="2">
        <v>2373</v>
      </c>
      <c r="B425" s="7">
        <v>1.61</v>
      </c>
      <c r="C425" s="7">
        <v>0.24</v>
      </c>
      <c r="D425" s="7">
        <v>0.92</v>
      </c>
      <c r="E425" s="7">
        <v>0.15</v>
      </c>
      <c r="F425" s="7">
        <v>0.15</v>
      </c>
      <c r="G425" s="7">
        <v>0.22</v>
      </c>
      <c r="H425" s="7">
        <v>0.34</v>
      </c>
      <c r="I425" s="7">
        <v>0.38</v>
      </c>
      <c r="J425" s="7">
        <v>0.3</v>
      </c>
      <c r="K425" s="7">
        <v>1.72</v>
      </c>
      <c r="L425" s="7">
        <v>2.04</v>
      </c>
      <c r="M425" s="7">
        <v>0.67</v>
      </c>
      <c r="N425" s="7">
        <v>0.46</v>
      </c>
      <c r="O425" s="7">
        <v>0.81</v>
      </c>
      <c r="P425" s="7">
        <v>1.45</v>
      </c>
      <c r="Q425" s="7">
        <v>0.01</v>
      </c>
    </row>
    <row r="426" spans="1:17">
      <c r="A426" s="2">
        <v>2374</v>
      </c>
      <c r="B426" s="7">
        <v>1.61</v>
      </c>
      <c r="C426" s="7">
        <v>0.24</v>
      </c>
      <c r="D426" s="7">
        <v>0.92</v>
      </c>
      <c r="E426" s="7">
        <v>0.15</v>
      </c>
      <c r="F426" s="7">
        <v>0.15</v>
      </c>
      <c r="G426" s="7">
        <v>0.22</v>
      </c>
      <c r="H426" s="7">
        <v>0.34</v>
      </c>
      <c r="I426" s="7">
        <v>0.38</v>
      </c>
      <c r="J426" s="7">
        <v>0.3</v>
      </c>
      <c r="K426" s="7">
        <v>1.72</v>
      </c>
      <c r="L426" s="7">
        <v>2.04</v>
      </c>
      <c r="M426" s="7">
        <v>0.67</v>
      </c>
      <c r="N426" s="7">
        <v>0.46</v>
      </c>
      <c r="O426" s="7">
        <v>0.81</v>
      </c>
      <c r="P426" s="7">
        <v>1.45</v>
      </c>
      <c r="Q426" s="7">
        <v>0.01</v>
      </c>
    </row>
    <row r="427" spans="1:17">
      <c r="A427" s="2">
        <v>2375</v>
      </c>
      <c r="B427" s="7">
        <v>1.61</v>
      </c>
      <c r="C427" s="7">
        <v>0.24</v>
      </c>
      <c r="D427" s="7">
        <v>0.92</v>
      </c>
      <c r="E427" s="7">
        <v>0.15</v>
      </c>
      <c r="F427" s="7">
        <v>0.15</v>
      </c>
      <c r="G427" s="7">
        <v>0.22</v>
      </c>
      <c r="H427" s="7">
        <v>0.34</v>
      </c>
      <c r="I427" s="7">
        <v>0.38</v>
      </c>
      <c r="J427" s="7">
        <v>0.3</v>
      </c>
      <c r="K427" s="7">
        <v>1.72</v>
      </c>
      <c r="L427" s="7">
        <v>2.04</v>
      </c>
      <c r="M427" s="7">
        <v>0.67</v>
      </c>
      <c r="N427" s="7">
        <v>0.46</v>
      </c>
      <c r="O427" s="7">
        <v>0.81</v>
      </c>
      <c r="P427" s="7">
        <v>1.45</v>
      </c>
      <c r="Q427" s="7">
        <v>0.01</v>
      </c>
    </row>
    <row r="428" spans="1:17">
      <c r="A428" s="2">
        <v>2376</v>
      </c>
      <c r="B428" s="7">
        <v>1.61</v>
      </c>
      <c r="C428" s="7">
        <v>0.24</v>
      </c>
      <c r="D428" s="7">
        <v>0.92</v>
      </c>
      <c r="E428" s="7">
        <v>0.15</v>
      </c>
      <c r="F428" s="7">
        <v>0.15</v>
      </c>
      <c r="G428" s="7">
        <v>0.22</v>
      </c>
      <c r="H428" s="7">
        <v>0.34</v>
      </c>
      <c r="I428" s="7">
        <v>0.38</v>
      </c>
      <c r="J428" s="7">
        <v>0.3</v>
      </c>
      <c r="K428" s="7">
        <v>1.72</v>
      </c>
      <c r="L428" s="7">
        <v>2.04</v>
      </c>
      <c r="M428" s="7">
        <v>0.67</v>
      </c>
      <c r="N428" s="7">
        <v>0.46</v>
      </c>
      <c r="O428" s="7">
        <v>0.81</v>
      </c>
      <c r="P428" s="7">
        <v>1.45</v>
      </c>
      <c r="Q428" s="7">
        <v>0.01</v>
      </c>
    </row>
    <row r="429" spans="1:17">
      <c r="A429" s="2">
        <v>2377</v>
      </c>
      <c r="B429" s="7">
        <v>1.61</v>
      </c>
      <c r="C429" s="7">
        <v>0.24</v>
      </c>
      <c r="D429" s="7">
        <v>0.92</v>
      </c>
      <c r="E429" s="7">
        <v>0.15</v>
      </c>
      <c r="F429" s="7">
        <v>0.15</v>
      </c>
      <c r="G429" s="7">
        <v>0.22</v>
      </c>
      <c r="H429" s="7">
        <v>0.34</v>
      </c>
      <c r="I429" s="7">
        <v>0.38</v>
      </c>
      <c r="J429" s="7">
        <v>0.3</v>
      </c>
      <c r="K429" s="7">
        <v>1.72</v>
      </c>
      <c r="L429" s="7">
        <v>2.04</v>
      </c>
      <c r="M429" s="7">
        <v>0.67</v>
      </c>
      <c r="N429" s="7">
        <v>0.46</v>
      </c>
      <c r="O429" s="7">
        <v>0.81</v>
      </c>
      <c r="P429" s="7">
        <v>1.45</v>
      </c>
      <c r="Q429" s="7">
        <v>0.01</v>
      </c>
    </row>
    <row r="430" spans="1:17">
      <c r="A430" s="2">
        <v>2378</v>
      </c>
      <c r="B430" s="7">
        <v>1.61</v>
      </c>
      <c r="C430" s="7">
        <v>0.24</v>
      </c>
      <c r="D430" s="7">
        <v>0.92</v>
      </c>
      <c r="E430" s="7">
        <v>0.15</v>
      </c>
      <c r="F430" s="7">
        <v>0.15</v>
      </c>
      <c r="G430" s="7">
        <v>0.22</v>
      </c>
      <c r="H430" s="7">
        <v>0.34</v>
      </c>
      <c r="I430" s="7">
        <v>0.38</v>
      </c>
      <c r="J430" s="7">
        <v>0.3</v>
      </c>
      <c r="K430" s="7">
        <v>1.72</v>
      </c>
      <c r="L430" s="7">
        <v>2.04</v>
      </c>
      <c r="M430" s="7">
        <v>0.67</v>
      </c>
      <c r="N430" s="7">
        <v>0.46</v>
      </c>
      <c r="O430" s="7">
        <v>0.81</v>
      </c>
      <c r="P430" s="7">
        <v>1.45</v>
      </c>
      <c r="Q430" s="7">
        <v>0.01</v>
      </c>
    </row>
    <row r="431" spans="1:17">
      <c r="A431" s="2">
        <v>2379</v>
      </c>
      <c r="B431" s="7">
        <v>1.61</v>
      </c>
      <c r="C431" s="7">
        <v>0.24</v>
      </c>
      <c r="D431" s="7">
        <v>0.92</v>
      </c>
      <c r="E431" s="7">
        <v>0.15</v>
      </c>
      <c r="F431" s="7">
        <v>0.15</v>
      </c>
      <c r="G431" s="7">
        <v>0.22</v>
      </c>
      <c r="H431" s="7">
        <v>0.34</v>
      </c>
      <c r="I431" s="7">
        <v>0.38</v>
      </c>
      <c r="J431" s="7">
        <v>0.3</v>
      </c>
      <c r="K431" s="7">
        <v>1.72</v>
      </c>
      <c r="L431" s="7">
        <v>2.04</v>
      </c>
      <c r="M431" s="7">
        <v>0.67</v>
      </c>
      <c r="N431" s="7">
        <v>0.46</v>
      </c>
      <c r="O431" s="7">
        <v>0.81</v>
      </c>
      <c r="P431" s="7">
        <v>1.45</v>
      </c>
      <c r="Q431" s="7">
        <v>0.01</v>
      </c>
    </row>
    <row r="432" spans="1:17">
      <c r="A432" s="2">
        <v>2380</v>
      </c>
      <c r="B432" s="7">
        <v>1.61</v>
      </c>
      <c r="C432" s="7">
        <v>0.24</v>
      </c>
      <c r="D432" s="7">
        <v>0.92</v>
      </c>
      <c r="E432" s="7">
        <v>0.15</v>
      </c>
      <c r="F432" s="7">
        <v>0.15</v>
      </c>
      <c r="G432" s="7">
        <v>0.22</v>
      </c>
      <c r="H432" s="7">
        <v>0.34</v>
      </c>
      <c r="I432" s="7">
        <v>0.38</v>
      </c>
      <c r="J432" s="7">
        <v>0.3</v>
      </c>
      <c r="K432" s="7">
        <v>1.72</v>
      </c>
      <c r="L432" s="7">
        <v>2.04</v>
      </c>
      <c r="M432" s="7">
        <v>0.67</v>
      </c>
      <c r="N432" s="7">
        <v>0.46</v>
      </c>
      <c r="O432" s="7">
        <v>0.81</v>
      </c>
      <c r="P432" s="7">
        <v>1.45</v>
      </c>
      <c r="Q432" s="7">
        <v>0.01</v>
      </c>
    </row>
    <row r="433" spans="1:17">
      <c r="A433" s="2">
        <v>2381</v>
      </c>
      <c r="B433" s="7">
        <v>1.61</v>
      </c>
      <c r="C433" s="7">
        <v>0.24</v>
      </c>
      <c r="D433" s="7">
        <v>0.92</v>
      </c>
      <c r="E433" s="7">
        <v>0.15</v>
      </c>
      <c r="F433" s="7">
        <v>0.15</v>
      </c>
      <c r="G433" s="7">
        <v>0.22</v>
      </c>
      <c r="H433" s="7">
        <v>0.34</v>
      </c>
      <c r="I433" s="7">
        <v>0.38</v>
      </c>
      <c r="J433" s="7">
        <v>0.3</v>
      </c>
      <c r="K433" s="7">
        <v>1.72</v>
      </c>
      <c r="L433" s="7">
        <v>2.04</v>
      </c>
      <c r="M433" s="7">
        <v>0.67</v>
      </c>
      <c r="N433" s="7">
        <v>0.46</v>
      </c>
      <c r="O433" s="7">
        <v>0.81</v>
      </c>
      <c r="P433" s="7">
        <v>1.45</v>
      </c>
      <c r="Q433" s="7">
        <v>0.01</v>
      </c>
    </row>
    <row r="434" spans="1:17">
      <c r="A434" s="2">
        <v>2382</v>
      </c>
      <c r="B434" s="7">
        <v>1.61</v>
      </c>
      <c r="C434" s="7">
        <v>0.24</v>
      </c>
      <c r="D434" s="7">
        <v>0.92</v>
      </c>
      <c r="E434" s="7">
        <v>0.15</v>
      </c>
      <c r="F434" s="7">
        <v>0.15</v>
      </c>
      <c r="G434" s="7">
        <v>0.22</v>
      </c>
      <c r="H434" s="7">
        <v>0.34</v>
      </c>
      <c r="I434" s="7">
        <v>0.38</v>
      </c>
      <c r="J434" s="7">
        <v>0.3</v>
      </c>
      <c r="K434" s="7">
        <v>1.72</v>
      </c>
      <c r="L434" s="7">
        <v>2.04</v>
      </c>
      <c r="M434" s="7">
        <v>0.67</v>
      </c>
      <c r="N434" s="7">
        <v>0.46</v>
      </c>
      <c r="O434" s="7">
        <v>0.81</v>
      </c>
      <c r="P434" s="7">
        <v>1.45</v>
      </c>
      <c r="Q434" s="7">
        <v>0.01</v>
      </c>
    </row>
    <row r="435" spans="1:17">
      <c r="A435" s="2">
        <v>2383</v>
      </c>
      <c r="B435" s="7">
        <v>1.61</v>
      </c>
      <c r="C435" s="7">
        <v>0.24</v>
      </c>
      <c r="D435" s="7">
        <v>0.92</v>
      </c>
      <c r="E435" s="7">
        <v>0.15</v>
      </c>
      <c r="F435" s="7">
        <v>0.15</v>
      </c>
      <c r="G435" s="7">
        <v>0.22</v>
      </c>
      <c r="H435" s="7">
        <v>0.34</v>
      </c>
      <c r="I435" s="7">
        <v>0.38</v>
      </c>
      <c r="J435" s="7">
        <v>0.3</v>
      </c>
      <c r="K435" s="7">
        <v>1.72</v>
      </c>
      <c r="L435" s="7">
        <v>2.04</v>
      </c>
      <c r="M435" s="7">
        <v>0.67</v>
      </c>
      <c r="N435" s="7">
        <v>0.46</v>
      </c>
      <c r="O435" s="7">
        <v>0.81</v>
      </c>
      <c r="P435" s="7">
        <v>1.45</v>
      </c>
      <c r="Q435" s="7">
        <v>0.01</v>
      </c>
    </row>
    <row r="436" spans="1:17">
      <c r="A436" s="2">
        <v>2384</v>
      </c>
      <c r="B436" s="7">
        <v>1.61</v>
      </c>
      <c r="C436" s="7">
        <v>0.24</v>
      </c>
      <c r="D436" s="7">
        <v>0.92</v>
      </c>
      <c r="E436" s="7">
        <v>0.15</v>
      </c>
      <c r="F436" s="7">
        <v>0.15</v>
      </c>
      <c r="G436" s="7">
        <v>0.22</v>
      </c>
      <c r="H436" s="7">
        <v>0.34</v>
      </c>
      <c r="I436" s="7">
        <v>0.38</v>
      </c>
      <c r="J436" s="7">
        <v>0.3</v>
      </c>
      <c r="K436" s="7">
        <v>1.72</v>
      </c>
      <c r="L436" s="7">
        <v>2.04</v>
      </c>
      <c r="M436" s="7">
        <v>0.67</v>
      </c>
      <c r="N436" s="7">
        <v>0.46</v>
      </c>
      <c r="O436" s="7">
        <v>0.81</v>
      </c>
      <c r="P436" s="7">
        <v>1.45</v>
      </c>
      <c r="Q436" s="7">
        <v>0.01</v>
      </c>
    </row>
    <row r="437" spans="1:17">
      <c r="A437" s="2">
        <v>2385</v>
      </c>
      <c r="B437" s="7">
        <v>1.61</v>
      </c>
      <c r="C437" s="7">
        <v>0.24</v>
      </c>
      <c r="D437" s="7">
        <v>0.92</v>
      </c>
      <c r="E437" s="7">
        <v>0.15</v>
      </c>
      <c r="F437" s="7">
        <v>0.15</v>
      </c>
      <c r="G437" s="7">
        <v>0.22</v>
      </c>
      <c r="H437" s="7">
        <v>0.34</v>
      </c>
      <c r="I437" s="7">
        <v>0.38</v>
      </c>
      <c r="J437" s="7">
        <v>0.3</v>
      </c>
      <c r="K437" s="7">
        <v>1.72</v>
      </c>
      <c r="L437" s="7">
        <v>2.04</v>
      </c>
      <c r="M437" s="7">
        <v>0.67</v>
      </c>
      <c r="N437" s="7">
        <v>0.46</v>
      </c>
      <c r="O437" s="7">
        <v>0.81</v>
      </c>
      <c r="P437" s="7">
        <v>1.45</v>
      </c>
      <c r="Q437" s="7">
        <v>0.01</v>
      </c>
    </row>
    <row r="438" spans="1:17">
      <c r="A438" s="2">
        <v>2386</v>
      </c>
      <c r="B438" s="7">
        <v>1.61</v>
      </c>
      <c r="C438" s="7">
        <v>0.24</v>
      </c>
      <c r="D438" s="7">
        <v>0.92</v>
      </c>
      <c r="E438" s="7">
        <v>0.15</v>
      </c>
      <c r="F438" s="7">
        <v>0.15</v>
      </c>
      <c r="G438" s="7">
        <v>0.22</v>
      </c>
      <c r="H438" s="7">
        <v>0.34</v>
      </c>
      <c r="I438" s="7">
        <v>0.38</v>
      </c>
      <c r="J438" s="7">
        <v>0.3</v>
      </c>
      <c r="K438" s="7">
        <v>1.72</v>
      </c>
      <c r="L438" s="7">
        <v>2.04</v>
      </c>
      <c r="M438" s="7">
        <v>0.67</v>
      </c>
      <c r="N438" s="7">
        <v>0.46</v>
      </c>
      <c r="O438" s="7">
        <v>0.81</v>
      </c>
      <c r="P438" s="7">
        <v>1.45</v>
      </c>
      <c r="Q438" s="7">
        <v>0.01</v>
      </c>
    </row>
    <row r="439" spans="1:17">
      <c r="A439" s="2">
        <v>2387</v>
      </c>
      <c r="B439" s="7">
        <v>1.61</v>
      </c>
      <c r="C439" s="7">
        <v>0.24</v>
      </c>
      <c r="D439" s="7">
        <v>0.92</v>
      </c>
      <c r="E439" s="7">
        <v>0.15</v>
      </c>
      <c r="F439" s="7">
        <v>0.15</v>
      </c>
      <c r="G439" s="7">
        <v>0.22</v>
      </c>
      <c r="H439" s="7">
        <v>0.34</v>
      </c>
      <c r="I439" s="7">
        <v>0.38</v>
      </c>
      <c r="J439" s="7">
        <v>0.3</v>
      </c>
      <c r="K439" s="7">
        <v>1.72</v>
      </c>
      <c r="L439" s="7">
        <v>2.04</v>
      </c>
      <c r="M439" s="7">
        <v>0.67</v>
      </c>
      <c r="N439" s="7">
        <v>0.46</v>
      </c>
      <c r="O439" s="7">
        <v>0.81</v>
      </c>
      <c r="P439" s="7">
        <v>1.45</v>
      </c>
      <c r="Q439" s="7">
        <v>0.01</v>
      </c>
    </row>
    <row r="440" spans="1:17">
      <c r="A440" s="2">
        <v>2388</v>
      </c>
      <c r="B440" s="7">
        <v>1.61</v>
      </c>
      <c r="C440" s="7">
        <v>0.24</v>
      </c>
      <c r="D440" s="7">
        <v>0.92</v>
      </c>
      <c r="E440" s="7">
        <v>0.15</v>
      </c>
      <c r="F440" s="7">
        <v>0.15</v>
      </c>
      <c r="G440" s="7">
        <v>0.22</v>
      </c>
      <c r="H440" s="7">
        <v>0.34</v>
      </c>
      <c r="I440" s="7">
        <v>0.38</v>
      </c>
      <c r="J440" s="7">
        <v>0.3</v>
      </c>
      <c r="K440" s="7">
        <v>1.72</v>
      </c>
      <c r="L440" s="7">
        <v>2.04</v>
      </c>
      <c r="M440" s="7">
        <v>0.67</v>
      </c>
      <c r="N440" s="7">
        <v>0.46</v>
      </c>
      <c r="O440" s="7">
        <v>0.81</v>
      </c>
      <c r="P440" s="7">
        <v>1.45</v>
      </c>
      <c r="Q440" s="7">
        <v>0.01</v>
      </c>
    </row>
    <row r="441" spans="1:17">
      <c r="A441" s="2">
        <v>2389</v>
      </c>
      <c r="B441" s="7">
        <v>1.61</v>
      </c>
      <c r="C441" s="7">
        <v>0.24</v>
      </c>
      <c r="D441" s="7">
        <v>0.92</v>
      </c>
      <c r="E441" s="7">
        <v>0.15</v>
      </c>
      <c r="F441" s="7">
        <v>0.15</v>
      </c>
      <c r="G441" s="7">
        <v>0.22</v>
      </c>
      <c r="H441" s="7">
        <v>0.34</v>
      </c>
      <c r="I441" s="7">
        <v>0.38</v>
      </c>
      <c r="J441" s="7">
        <v>0.3</v>
      </c>
      <c r="K441" s="7">
        <v>1.72</v>
      </c>
      <c r="L441" s="7">
        <v>2.04</v>
      </c>
      <c r="M441" s="7">
        <v>0.67</v>
      </c>
      <c r="N441" s="7">
        <v>0.46</v>
      </c>
      <c r="O441" s="7">
        <v>0.81</v>
      </c>
      <c r="P441" s="7">
        <v>1.45</v>
      </c>
      <c r="Q441" s="7">
        <v>0.01</v>
      </c>
    </row>
    <row r="442" spans="1:17">
      <c r="A442" s="2">
        <v>2390</v>
      </c>
      <c r="B442" s="7">
        <v>1.61</v>
      </c>
      <c r="C442" s="7">
        <v>0.24</v>
      </c>
      <c r="D442" s="7">
        <v>0.92</v>
      </c>
      <c r="E442" s="7">
        <v>0.15</v>
      </c>
      <c r="F442" s="7">
        <v>0.15</v>
      </c>
      <c r="G442" s="7">
        <v>0.22</v>
      </c>
      <c r="H442" s="7">
        <v>0.34</v>
      </c>
      <c r="I442" s="7">
        <v>0.38</v>
      </c>
      <c r="J442" s="7">
        <v>0.3</v>
      </c>
      <c r="K442" s="7">
        <v>1.72</v>
      </c>
      <c r="L442" s="7">
        <v>2.04</v>
      </c>
      <c r="M442" s="7">
        <v>0.67</v>
      </c>
      <c r="N442" s="7">
        <v>0.46</v>
      </c>
      <c r="O442" s="7">
        <v>0.81</v>
      </c>
      <c r="P442" s="7">
        <v>1.45</v>
      </c>
      <c r="Q442" s="7">
        <v>0.01</v>
      </c>
    </row>
    <row r="443" spans="1:17">
      <c r="A443" s="2">
        <v>2391</v>
      </c>
      <c r="B443" s="7">
        <v>1.61</v>
      </c>
      <c r="C443" s="7">
        <v>0.24</v>
      </c>
      <c r="D443" s="7">
        <v>0.92</v>
      </c>
      <c r="E443" s="7">
        <v>0.15</v>
      </c>
      <c r="F443" s="7">
        <v>0.15</v>
      </c>
      <c r="G443" s="7">
        <v>0.22</v>
      </c>
      <c r="H443" s="7">
        <v>0.34</v>
      </c>
      <c r="I443" s="7">
        <v>0.38</v>
      </c>
      <c r="J443" s="7">
        <v>0.3</v>
      </c>
      <c r="K443" s="7">
        <v>1.72</v>
      </c>
      <c r="L443" s="7">
        <v>2.04</v>
      </c>
      <c r="M443" s="7">
        <v>0.67</v>
      </c>
      <c r="N443" s="7">
        <v>0.46</v>
      </c>
      <c r="O443" s="7">
        <v>0.81</v>
      </c>
      <c r="P443" s="7">
        <v>1.45</v>
      </c>
      <c r="Q443" s="7">
        <v>0.01</v>
      </c>
    </row>
    <row r="444" spans="1:17">
      <c r="A444" s="2">
        <v>2392</v>
      </c>
      <c r="B444" s="7">
        <v>1.61</v>
      </c>
      <c r="C444" s="7">
        <v>0.24</v>
      </c>
      <c r="D444" s="7">
        <v>0.92</v>
      </c>
      <c r="E444" s="7">
        <v>0.15</v>
      </c>
      <c r="F444" s="7">
        <v>0.15</v>
      </c>
      <c r="G444" s="7">
        <v>0.22</v>
      </c>
      <c r="H444" s="7">
        <v>0.34</v>
      </c>
      <c r="I444" s="7">
        <v>0.38</v>
      </c>
      <c r="J444" s="7">
        <v>0.3</v>
      </c>
      <c r="K444" s="7">
        <v>1.72</v>
      </c>
      <c r="L444" s="7">
        <v>2.04</v>
      </c>
      <c r="M444" s="7">
        <v>0.67</v>
      </c>
      <c r="N444" s="7">
        <v>0.46</v>
      </c>
      <c r="O444" s="7">
        <v>0.81</v>
      </c>
      <c r="P444" s="7">
        <v>1.45</v>
      </c>
      <c r="Q444" s="7">
        <v>0.01</v>
      </c>
    </row>
    <row r="445" spans="1:17">
      <c r="A445" s="2">
        <v>2393</v>
      </c>
      <c r="B445" s="7">
        <v>1.61</v>
      </c>
      <c r="C445" s="7">
        <v>0.24</v>
      </c>
      <c r="D445" s="7">
        <v>0.92</v>
      </c>
      <c r="E445" s="7">
        <v>0.15</v>
      </c>
      <c r="F445" s="7">
        <v>0.15</v>
      </c>
      <c r="G445" s="7">
        <v>0.22</v>
      </c>
      <c r="H445" s="7">
        <v>0.34</v>
      </c>
      <c r="I445" s="7">
        <v>0.38</v>
      </c>
      <c r="J445" s="7">
        <v>0.3</v>
      </c>
      <c r="K445" s="7">
        <v>1.72</v>
      </c>
      <c r="L445" s="7">
        <v>2.04</v>
      </c>
      <c r="M445" s="7">
        <v>0.67</v>
      </c>
      <c r="N445" s="7">
        <v>0.46</v>
      </c>
      <c r="O445" s="7">
        <v>0.81</v>
      </c>
      <c r="P445" s="7">
        <v>1.45</v>
      </c>
      <c r="Q445" s="7">
        <v>0.01</v>
      </c>
    </row>
    <row r="446" spans="1:17">
      <c r="A446" s="2">
        <v>2394</v>
      </c>
      <c r="B446" s="7">
        <v>1.61</v>
      </c>
      <c r="C446" s="7">
        <v>0.24</v>
      </c>
      <c r="D446" s="7">
        <v>0.92</v>
      </c>
      <c r="E446" s="7">
        <v>0.15</v>
      </c>
      <c r="F446" s="7">
        <v>0.15</v>
      </c>
      <c r="G446" s="7">
        <v>0.22</v>
      </c>
      <c r="H446" s="7">
        <v>0.34</v>
      </c>
      <c r="I446" s="7">
        <v>0.38</v>
      </c>
      <c r="J446" s="7">
        <v>0.3</v>
      </c>
      <c r="K446" s="7">
        <v>1.72</v>
      </c>
      <c r="L446" s="7">
        <v>2.04</v>
      </c>
      <c r="M446" s="7">
        <v>0.67</v>
      </c>
      <c r="N446" s="7">
        <v>0.46</v>
      </c>
      <c r="O446" s="7">
        <v>0.81</v>
      </c>
      <c r="P446" s="7">
        <v>1.45</v>
      </c>
      <c r="Q446" s="7">
        <v>0.01</v>
      </c>
    </row>
    <row r="447" spans="1:17">
      <c r="A447" s="2">
        <v>2395</v>
      </c>
      <c r="B447" s="7">
        <v>1.61</v>
      </c>
      <c r="C447" s="7">
        <v>0.24</v>
      </c>
      <c r="D447" s="7">
        <v>0.92</v>
      </c>
      <c r="E447" s="7">
        <v>0.15</v>
      </c>
      <c r="F447" s="7">
        <v>0.15</v>
      </c>
      <c r="G447" s="7">
        <v>0.22</v>
      </c>
      <c r="H447" s="7">
        <v>0.34</v>
      </c>
      <c r="I447" s="7">
        <v>0.38</v>
      </c>
      <c r="J447" s="7">
        <v>0.3</v>
      </c>
      <c r="K447" s="7">
        <v>1.72</v>
      </c>
      <c r="L447" s="7">
        <v>2.04</v>
      </c>
      <c r="M447" s="7">
        <v>0.67</v>
      </c>
      <c r="N447" s="7">
        <v>0.46</v>
      </c>
      <c r="O447" s="7">
        <v>0.81</v>
      </c>
      <c r="P447" s="7">
        <v>1.45</v>
      </c>
      <c r="Q447" s="7">
        <v>0.01</v>
      </c>
    </row>
    <row r="448" spans="1:17">
      <c r="A448" s="2">
        <v>2396</v>
      </c>
      <c r="B448" s="7">
        <v>1.61</v>
      </c>
      <c r="C448" s="7">
        <v>0.24</v>
      </c>
      <c r="D448" s="7">
        <v>0.92</v>
      </c>
      <c r="E448" s="7">
        <v>0.15</v>
      </c>
      <c r="F448" s="7">
        <v>0.15</v>
      </c>
      <c r="G448" s="7">
        <v>0.22</v>
      </c>
      <c r="H448" s="7">
        <v>0.34</v>
      </c>
      <c r="I448" s="7">
        <v>0.38</v>
      </c>
      <c r="J448" s="7">
        <v>0.3</v>
      </c>
      <c r="K448" s="7">
        <v>1.72</v>
      </c>
      <c r="L448" s="7">
        <v>2.04</v>
      </c>
      <c r="M448" s="7">
        <v>0.67</v>
      </c>
      <c r="N448" s="7">
        <v>0.46</v>
      </c>
      <c r="O448" s="7">
        <v>0.81</v>
      </c>
      <c r="P448" s="7">
        <v>1.45</v>
      </c>
      <c r="Q448" s="7">
        <v>0.01</v>
      </c>
    </row>
    <row r="449" spans="1:17">
      <c r="A449" s="2">
        <v>2397</v>
      </c>
      <c r="B449" s="7">
        <v>1.61</v>
      </c>
      <c r="C449" s="7">
        <v>0.24</v>
      </c>
      <c r="D449" s="7">
        <v>0.92</v>
      </c>
      <c r="E449" s="7">
        <v>0.15</v>
      </c>
      <c r="F449" s="7">
        <v>0.15</v>
      </c>
      <c r="G449" s="7">
        <v>0.22</v>
      </c>
      <c r="H449" s="7">
        <v>0.34</v>
      </c>
      <c r="I449" s="7">
        <v>0.38</v>
      </c>
      <c r="J449" s="7">
        <v>0.3</v>
      </c>
      <c r="K449" s="7">
        <v>1.72</v>
      </c>
      <c r="L449" s="7">
        <v>2.04</v>
      </c>
      <c r="M449" s="7">
        <v>0.67</v>
      </c>
      <c r="N449" s="7">
        <v>0.46</v>
      </c>
      <c r="O449" s="7">
        <v>0.81</v>
      </c>
      <c r="P449" s="7">
        <v>1.45</v>
      </c>
      <c r="Q449" s="7">
        <v>0.01</v>
      </c>
    </row>
    <row r="450" spans="1:17">
      <c r="A450" s="2">
        <v>2398</v>
      </c>
      <c r="B450" s="7">
        <v>1.61</v>
      </c>
      <c r="C450" s="7">
        <v>0.24</v>
      </c>
      <c r="D450" s="7">
        <v>0.92</v>
      </c>
      <c r="E450" s="7">
        <v>0.15</v>
      </c>
      <c r="F450" s="7">
        <v>0.15</v>
      </c>
      <c r="G450" s="7">
        <v>0.22</v>
      </c>
      <c r="H450" s="7">
        <v>0.34</v>
      </c>
      <c r="I450" s="7">
        <v>0.38</v>
      </c>
      <c r="J450" s="7">
        <v>0.3</v>
      </c>
      <c r="K450" s="7">
        <v>1.72</v>
      </c>
      <c r="L450" s="7">
        <v>2.04</v>
      </c>
      <c r="M450" s="7">
        <v>0.67</v>
      </c>
      <c r="N450" s="7">
        <v>0.46</v>
      </c>
      <c r="O450" s="7">
        <v>0.81</v>
      </c>
      <c r="P450" s="7">
        <v>1.45</v>
      </c>
      <c r="Q450" s="7">
        <v>0.01</v>
      </c>
    </row>
    <row r="451" spans="1:17">
      <c r="A451" s="2">
        <v>2399</v>
      </c>
      <c r="B451" s="7">
        <v>1.61</v>
      </c>
      <c r="C451" s="7">
        <v>0.24</v>
      </c>
      <c r="D451" s="7">
        <v>0.92</v>
      </c>
      <c r="E451" s="7">
        <v>0.15</v>
      </c>
      <c r="F451" s="7">
        <v>0.15</v>
      </c>
      <c r="G451" s="7">
        <v>0.22</v>
      </c>
      <c r="H451" s="7">
        <v>0.34</v>
      </c>
      <c r="I451" s="7">
        <v>0.38</v>
      </c>
      <c r="J451" s="7">
        <v>0.3</v>
      </c>
      <c r="K451" s="7">
        <v>1.72</v>
      </c>
      <c r="L451" s="7">
        <v>2.04</v>
      </c>
      <c r="M451" s="7">
        <v>0.67</v>
      </c>
      <c r="N451" s="7">
        <v>0.46</v>
      </c>
      <c r="O451" s="7">
        <v>0.81</v>
      </c>
      <c r="P451" s="7">
        <v>1.45</v>
      </c>
      <c r="Q451" s="7">
        <v>0.01</v>
      </c>
    </row>
    <row r="452" spans="1:17">
      <c r="A452" s="2">
        <v>2400</v>
      </c>
      <c r="B452" s="7">
        <v>1.61</v>
      </c>
      <c r="C452" s="7">
        <v>0.24</v>
      </c>
      <c r="D452" s="7">
        <v>0.92</v>
      </c>
      <c r="E452" s="7">
        <v>0.15</v>
      </c>
      <c r="F452" s="7">
        <v>0.15</v>
      </c>
      <c r="G452" s="7">
        <v>0.22</v>
      </c>
      <c r="H452" s="7">
        <v>0.34</v>
      </c>
      <c r="I452" s="7">
        <v>0.38</v>
      </c>
      <c r="J452" s="7">
        <v>0.3</v>
      </c>
      <c r="K452" s="7">
        <v>1.72</v>
      </c>
      <c r="L452" s="7">
        <v>2.04</v>
      </c>
      <c r="M452" s="7">
        <v>0.67</v>
      </c>
      <c r="N452" s="7">
        <v>0.46</v>
      </c>
      <c r="O452" s="7">
        <v>0.81</v>
      </c>
      <c r="P452" s="7">
        <v>1.45</v>
      </c>
      <c r="Q452" s="7">
        <v>0.01</v>
      </c>
    </row>
    <row r="453" spans="1:17">
      <c r="A453" s="2">
        <v>2401</v>
      </c>
      <c r="B453" s="7">
        <v>1.61</v>
      </c>
      <c r="C453" s="7">
        <v>0.24</v>
      </c>
      <c r="D453" s="7">
        <v>0.92</v>
      </c>
      <c r="E453" s="7">
        <v>0.15</v>
      </c>
      <c r="F453" s="7">
        <v>0.15</v>
      </c>
      <c r="G453" s="7">
        <v>0.22</v>
      </c>
      <c r="H453" s="7">
        <v>0.34</v>
      </c>
      <c r="I453" s="7">
        <v>0.38</v>
      </c>
      <c r="J453" s="7">
        <v>0.3</v>
      </c>
      <c r="K453" s="7">
        <v>1.72</v>
      </c>
      <c r="L453" s="7">
        <v>2.04</v>
      </c>
      <c r="M453" s="7">
        <v>0.67</v>
      </c>
      <c r="N453" s="7">
        <v>0.46</v>
      </c>
      <c r="O453" s="7">
        <v>0.81</v>
      </c>
      <c r="P453" s="7">
        <v>1.45</v>
      </c>
      <c r="Q453" s="7">
        <v>0.01</v>
      </c>
    </row>
    <row r="454" spans="1:17">
      <c r="A454" s="2">
        <v>2402</v>
      </c>
      <c r="B454" s="7">
        <v>1.61</v>
      </c>
      <c r="C454" s="7">
        <v>0.24</v>
      </c>
      <c r="D454" s="7">
        <v>0.92</v>
      </c>
      <c r="E454" s="7">
        <v>0.15</v>
      </c>
      <c r="F454" s="7">
        <v>0.15</v>
      </c>
      <c r="G454" s="7">
        <v>0.22</v>
      </c>
      <c r="H454" s="7">
        <v>0.34</v>
      </c>
      <c r="I454" s="7">
        <v>0.38</v>
      </c>
      <c r="J454" s="7">
        <v>0.3</v>
      </c>
      <c r="K454" s="7">
        <v>1.72</v>
      </c>
      <c r="L454" s="7">
        <v>2.04</v>
      </c>
      <c r="M454" s="7">
        <v>0.67</v>
      </c>
      <c r="N454" s="7">
        <v>0.46</v>
      </c>
      <c r="O454" s="7">
        <v>0.81</v>
      </c>
      <c r="P454" s="7">
        <v>1.45</v>
      </c>
      <c r="Q454" s="7">
        <v>0.01</v>
      </c>
    </row>
    <row r="455" spans="1:17">
      <c r="A455" s="2">
        <v>2403</v>
      </c>
      <c r="B455" s="7">
        <v>1.61</v>
      </c>
      <c r="C455" s="7">
        <v>0.24</v>
      </c>
      <c r="D455" s="7">
        <v>0.92</v>
      </c>
      <c r="E455" s="7">
        <v>0.15</v>
      </c>
      <c r="F455" s="7">
        <v>0.15</v>
      </c>
      <c r="G455" s="7">
        <v>0.22</v>
      </c>
      <c r="H455" s="7">
        <v>0.34</v>
      </c>
      <c r="I455" s="7">
        <v>0.38</v>
      </c>
      <c r="J455" s="7">
        <v>0.3</v>
      </c>
      <c r="K455" s="7">
        <v>1.72</v>
      </c>
      <c r="L455" s="7">
        <v>2.04</v>
      </c>
      <c r="M455" s="7">
        <v>0.67</v>
      </c>
      <c r="N455" s="7">
        <v>0.46</v>
      </c>
      <c r="O455" s="7">
        <v>0.81</v>
      </c>
      <c r="P455" s="7">
        <v>1.45</v>
      </c>
      <c r="Q455" s="7">
        <v>0.01</v>
      </c>
    </row>
    <row r="456" spans="1:17">
      <c r="A456" s="2">
        <v>2404</v>
      </c>
      <c r="B456" s="7">
        <v>1.61</v>
      </c>
      <c r="C456" s="7">
        <v>0.24</v>
      </c>
      <c r="D456" s="7">
        <v>0.92</v>
      </c>
      <c r="E456" s="7">
        <v>0.15</v>
      </c>
      <c r="F456" s="7">
        <v>0.15</v>
      </c>
      <c r="G456" s="7">
        <v>0.22</v>
      </c>
      <c r="H456" s="7">
        <v>0.34</v>
      </c>
      <c r="I456" s="7">
        <v>0.38</v>
      </c>
      <c r="J456" s="7">
        <v>0.3</v>
      </c>
      <c r="K456" s="7">
        <v>1.72</v>
      </c>
      <c r="L456" s="7">
        <v>2.04</v>
      </c>
      <c r="M456" s="7">
        <v>0.67</v>
      </c>
      <c r="N456" s="7">
        <v>0.46</v>
      </c>
      <c r="O456" s="7">
        <v>0.81</v>
      </c>
      <c r="P456" s="7">
        <v>1.45</v>
      </c>
      <c r="Q456" s="7">
        <v>0.01</v>
      </c>
    </row>
    <row r="457" spans="1:17">
      <c r="A457" s="2">
        <v>2405</v>
      </c>
      <c r="B457" s="7">
        <v>1.61</v>
      </c>
      <c r="C457" s="7">
        <v>0.24</v>
      </c>
      <c r="D457" s="7">
        <v>0.92</v>
      </c>
      <c r="E457" s="7">
        <v>0.15</v>
      </c>
      <c r="F457" s="7">
        <v>0.15</v>
      </c>
      <c r="G457" s="7">
        <v>0.22</v>
      </c>
      <c r="H457" s="7">
        <v>0.34</v>
      </c>
      <c r="I457" s="7">
        <v>0.38</v>
      </c>
      <c r="J457" s="7">
        <v>0.3</v>
      </c>
      <c r="K457" s="7">
        <v>1.72</v>
      </c>
      <c r="L457" s="7">
        <v>2.04</v>
      </c>
      <c r="M457" s="7">
        <v>0.67</v>
      </c>
      <c r="N457" s="7">
        <v>0.46</v>
      </c>
      <c r="O457" s="7">
        <v>0.81</v>
      </c>
      <c r="P457" s="7">
        <v>1.45</v>
      </c>
      <c r="Q457" s="7">
        <v>0.01</v>
      </c>
    </row>
    <row r="458" spans="1:17">
      <c r="A458" s="2">
        <v>2406</v>
      </c>
      <c r="B458" s="7">
        <v>1.61</v>
      </c>
      <c r="C458" s="7">
        <v>0.24</v>
      </c>
      <c r="D458" s="7">
        <v>0.92</v>
      </c>
      <c r="E458" s="7">
        <v>0.15</v>
      </c>
      <c r="F458" s="7">
        <v>0.15</v>
      </c>
      <c r="G458" s="7">
        <v>0.22</v>
      </c>
      <c r="H458" s="7">
        <v>0.34</v>
      </c>
      <c r="I458" s="7">
        <v>0.38</v>
      </c>
      <c r="J458" s="7">
        <v>0.3</v>
      </c>
      <c r="K458" s="7">
        <v>1.72</v>
      </c>
      <c r="L458" s="7">
        <v>2.04</v>
      </c>
      <c r="M458" s="7">
        <v>0.67</v>
      </c>
      <c r="N458" s="7">
        <v>0.46</v>
      </c>
      <c r="O458" s="7">
        <v>0.81</v>
      </c>
      <c r="P458" s="7">
        <v>1.45</v>
      </c>
      <c r="Q458" s="7">
        <v>0.01</v>
      </c>
    </row>
    <row r="459" spans="1:17">
      <c r="A459" s="2">
        <v>2407</v>
      </c>
      <c r="B459" s="7">
        <v>1.61</v>
      </c>
      <c r="C459" s="7">
        <v>0.24</v>
      </c>
      <c r="D459" s="7">
        <v>0.92</v>
      </c>
      <c r="E459" s="7">
        <v>0.15</v>
      </c>
      <c r="F459" s="7">
        <v>0.15</v>
      </c>
      <c r="G459" s="7">
        <v>0.22</v>
      </c>
      <c r="H459" s="7">
        <v>0.34</v>
      </c>
      <c r="I459" s="7">
        <v>0.38</v>
      </c>
      <c r="J459" s="7">
        <v>0.3</v>
      </c>
      <c r="K459" s="7">
        <v>1.72</v>
      </c>
      <c r="L459" s="7">
        <v>2.04</v>
      </c>
      <c r="M459" s="7">
        <v>0.67</v>
      </c>
      <c r="N459" s="7">
        <v>0.46</v>
      </c>
      <c r="O459" s="7">
        <v>0.81</v>
      </c>
      <c r="P459" s="7">
        <v>1.45</v>
      </c>
      <c r="Q459" s="7">
        <v>0.01</v>
      </c>
    </row>
    <row r="460" spans="1:17">
      <c r="A460" s="2">
        <v>2408</v>
      </c>
      <c r="B460" s="7">
        <v>1.61</v>
      </c>
      <c r="C460" s="7">
        <v>0.24</v>
      </c>
      <c r="D460" s="7">
        <v>0.92</v>
      </c>
      <c r="E460" s="7">
        <v>0.15</v>
      </c>
      <c r="F460" s="7">
        <v>0.15</v>
      </c>
      <c r="G460" s="7">
        <v>0.22</v>
      </c>
      <c r="H460" s="7">
        <v>0.34</v>
      </c>
      <c r="I460" s="7">
        <v>0.38</v>
      </c>
      <c r="J460" s="7">
        <v>0.3</v>
      </c>
      <c r="K460" s="7">
        <v>1.72</v>
      </c>
      <c r="L460" s="7">
        <v>2.04</v>
      </c>
      <c r="M460" s="7">
        <v>0.67</v>
      </c>
      <c r="N460" s="7">
        <v>0.46</v>
      </c>
      <c r="O460" s="7">
        <v>0.81</v>
      </c>
      <c r="P460" s="7">
        <v>1.45</v>
      </c>
      <c r="Q460" s="7">
        <v>0.01</v>
      </c>
    </row>
    <row r="461" spans="1:17">
      <c r="A461" s="2">
        <v>2409</v>
      </c>
      <c r="B461" s="7">
        <v>1.61</v>
      </c>
      <c r="C461" s="7">
        <v>0.24</v>
      </c>
      <c r="D461" s="7">
        <v>0.92</v>
      </c>
      <c r="E461" s="7">
        <v>0.15</v>
      </c>
      <c r="F461" s="7">
        <v>0.15</v>
      </c>
      <c r="G461" s="7">
        <v>0.22</v>
      </c>
      <c r="H461" s="7">
        <v>0.34</v>
      </c>
      <c r="I461" s="7">
        <v>0.38</v>
      </c>
      <c r="J461" s="7">
        <v>0.3</v>
      </c>
      <c r="K461" s="7">
        <v>1.72</v>
      </c>
      <c r="L461" s="7">
        <v>2.04</v>
      </c>
      <c r="M461" s="7">
        <v>0.67</v>
      </c>
      <c r="N461" s="7">
        <v>0.46</v>
      </c>
      <c r="O461" s="7">
        <v>0.81</v>
      </c>
      <c r="P461" s="7">
        <v>1.45</v>
      </c>
      <c r="Q461" s="7">
        <v>0.01</v>
      </c>
    </row>
    <row r="462" spans="1:17">
      <c r="A462" s="2">
        <v>2410</v>
      </c>
      <c r="B462" s="7">
        <v>1.61</v>
      </c>
      <c r="C462" s="7">
        <v>0.24</v>
      </c>
      <c r="D462" s="7">
        <v>0.92</v>
      </c>
      <c r="E462" s="7">
        <v>0.15</v>
      </c>
      <c r="F462" s="7">
        <v>0.15</v>
      </c>
      <c r="G462" s="7">
        <v>0.22</v>
      </c>
      <c r="H462" s="7">
        <v>0.34</v>
      </c>
      <c r="I462" s="7">
        <v>0.38</v>
      </c>
      <c r="J462" s="7">
        <v>0.3</v>
      </c>
      <c r="K462" s="7">
        <v>1.72</v>
      </c>
      <c r="L462" s="7">
        <v>2.04</v>
      </c>
      <c r="M462" s="7">
        <v>0.67</v>
      </c>
      <c r="N462" s="7">
        <v>0.46</v>
      </c>
      <c r="O462" s="7">
        <v>0.81</v>
      </c>
      <c r="P462" s="7">
        <v>1.45</v>
      </c>
      <c r="Q462" s="7">
        <v>0.01</v>
      </c>
    </row>
    <row r="463" spans="1:17">
      <c r="A463" s="2">
        <v>2411</v>
      </c>
      <c r="B463" s="7">
        <v>1.61</v>
      </c>
      <c r="C463" s="7">
        <v>0.24</v>
      </c>
      <c r="D463" s="7">
        <v>0.92</v>
      </c>
      <c r="E463" s="7">
        <v>0.15</v>
      </c>
      <c r="F463" s="7">
        <v>0.15</v>
      </c>
      <c r="G463" s="7">
        <v>0.22</v>
      </c>
      <c r="H463" s="7">
        <v>0.34</v>
      </c>
      <c r="I463" s="7">
        <v>0.38</v>
      </c>
      <c r="J463" s="7">
        <v>0.3</v>
      </c>
      <c r="K463" s="7">
        <v>1.72</v>
      </c>
      <c r="L463" s="7">
        <v>2.04</v>
      </c>
      <c r="M463" s="7">
        <v>0.67</v>
      </c>
      <c r="N463" s="7">
        <v>0.46</v>
      </c>
      <c r="O463" s="7">
        <v>0.81</v>
      </c>
      <c r="P463" s="7">
        <v>1.45</v>
      </c>
      <c r="Q463" s="7">
        <v>0.01</v>
      </c>
    </row>
    <row r="464" spans="1:17">
      <c r="A464" s="2">
        <v>2412</v>
      </c>
      <c r="B464" s="7">
        <v>1.61</v>
      </c>
      <c r="C464" s="7">
        <v>0.24</v>
      </c>
      <c r="D464" s="7">
        <v>0.92</v>
      </c>
      <c r="E464" s="7">
        <v>0.15</v>
      </c>
      <c r="F464" s="7">
        <v>0.15</v>
      </c>
      <c r="G464" s="7">
        <v>0.22</v>
      </c>
      <c r="H464" s="7">
        <v>0.34</v>
      </c>
      <c r="I464" s="7">
        <v>0.38</v>
      </c>
      <c r="J464" s="7">
        <v>0.3</v>
      </c>
      <c r="K464" s="7">
        <v>1.72</v>
      </c>
      <c r="L464" s="7">
        <v>2.04</v>
      </c>
      <c r="M464" s="7">
        <v>0.67</v>
      </c>
      <c r="N464" s="7">
        <v>0.46</v>
      </c>
      <c r="O464" s="7">
        <v>0.81</v>
      </c>
      <c r="P464" s="7">
        <v>1.45</v>
      </c>
      <c r="Q464" s="7">
        <v>0.01</v>
      </c>
    </row>
    <row r="465" spans="1:17">
      <c r="A465" s="2">
        <v>2413</v>
      </c>
      <c r="B465" s="7">
        <v>1.61</v>
      </c>
      <c r="C465" s="7">
        <v>0.24</v>
      </c>
      <c r="D465" s="7">
        <v>0.92</v>
      </c>
      <c r="E465" s="7">
        <v>0.15</v>
      </c>
      <c r="F465" s="7">
        <v>0.15</v>
      </c>
      <c r="G465" s="7">
        <v>0.22</v>
      </c>
      <c r="H465" s="7">
        <v>0.34</v>
      </c>
      <c r="I465" s="7">
        <v>0.38</v>
      </c>
      <c r="J465" s="7">
        <v>0.3</v>
      </c>
      <c r="K465" s="7">
        <v>1.72</v>
      </c>
      <c r="L465" s="7">
        <v>2.04</v>
      </c>
      <c r="M465" s="7">
        <v>0.67</v>
      </c>
      <c r="N465" s="7">
        <v>0.46</v>
      </c>
      <c r="O465" s="7">
        <v>0.81</v>
      </c>
      <c r="P465" s="7">
        <v>1.45</v>
      </c>
      <c r="Q465" s="7">
        <v>0.01</v>
      </c>
    </row>
    <row r="466" spans="1:17">
      <c r="A466" s="2">
        <v>2414</v>
      </c>
      <c r="B466" s="7">
        <v>1.61</v>
      </c>
      <c r="C466" s="7">
        <v>0.24</v>
      </c>
      <c r="D466" s="7">
        <v>0.92</v>
      </c>
      <c r="E466" s="7">
        <v>0.15</v>
      </c>
      <c r="F466" s="7">
        <v>0.15</v>
      </c>
      <c r="G466" s="7">
        <v>0.22</v>
      </c>
      <c r="H466" s="7">
        <v>0.34</v>
      </c>
      <c r="I466" s="7">
        <v>0.38</v>
      </c>
      <c r="J466" s="7">
        <v>0.3</v>
      </c>
      <c r="K466" s="7">
        <v>1.72</v>
      </c>
      <c r="L466" s="7">
        <v>2.04</v>
      </c>
      <c r="M466" s="7">
        <v>0.67</v>
      </c>
      <c r="N466" s="7">
        <v>0.46</v>
      </c>
      <c r="O466" s="7">
        <v>0.81</v>
      </c>
      <c r="P466" s="7">
        <v>1.45</v>
      </c>
      <c r="Q466" s="7">
        <v>0.01</v>
      </c>
    </row>
    <row r="467" spans="1:17">
      <c r="A467" s="2">
        <v>2415</v>
      </c>
      <c r="B467" s="7">
        <v>1.61</v>
      </c>
      <c r="C467" s="7">
        <v>0.24</v>
      </c>
      <c r="D467" s="7">
        <v>0.92</v>
      </c>
      <c r="E467" s="7">
        <v>0.15</v>
      </c>
      <c r="F467" s="7">
        <v>0.15</v>
      </c>
      <c r="G467" s="7">
        <v>0.22</v>
      </c>
      <c r="H467" s="7">
        <v>0.34</v>
      </c>
      <c r="I467" s="7">
        <v>0.38</v>
      </c>
      <c r="J467" s="7">
        <v>0.3</v>
      </c>
      <c r="K467" s="7">
        <v>1.72</v>
      </c>
      <c r="L467" s="7">
        <v>2.04</v>
      </c>
      <c r="M467" s="7">
        <v>0.67</v>
      </c>
      <c r="N467" s="7">
        <v>0.46</v>
      </c>
      <c r="O467" s="7">
        <v>0.81</v>
      </c>
      <c r="P467" s="7">
        <v>1.45</v>
      </c>
      <c r="Q467" s="7">
        <v>0.01</v>
      </c>
    </row>
    <row r="468" spans="1:17">
      <c r="A468" s="2">
        <v>2416</v>
      </c>
      <c r="B468" s="7">
        <v>1.61</v>
      </c>
      <c r="C468" s="7">
        <v>0.24</v>
      </c>
      <c r="D468" s="7">
        <v>0.92</v>
      </c>
      <c r="E468" s="7">
        <v>0.15</v>
      </c>
      <c r="F468" s="7">
        <v>0.15</v>
      </c>
      <c r="G468" s="7">
        <v>0.22</v>
      </c>
      <c r="H468" s="7">
        <v>0.34</v>
      </c>
      <c r="I468" s="7">
        <v>0.38</v>
      </c>
      <c r="J468" s="7">
        <v>0.3</v>
      </c>
      <c r="K468" s="7">
        <v>1.72</v>
      </c>
      <c r="L468" s="7">
        <v>2.04</v>
      </c>
      <c r="M468" s="7">
        <v>0.67</v>
      </c>
      <c r="N468" s="7">
        <v>0.46</v>
      </c>
      <c r="O468" s="7">
        <v>0.81</v>
      </c>
      <c r="P468" s="7">
        <v>1.45</v>
      </c>
      <c r="Q468" s="7">
        <v>0.01</v>
      </c>
    </row>
    <row r="469" spans="1:17">
      <c r="A469" s="2">
        <v>2417</v>
      </c>
      <c r="B469" s="7">
        <v>1.61</v>
      </c>
      <c r="C469" s="7">
        <v>0.24</v>
      </c>
      <c r="D469" s="7">
        <v>0.92</v>
      </c>
      <c r="E469" s="7">
        <v>0.15</v>
      </c>
      <c r="F469" s="7">
        <v>0.15</v>
      </c>
      <c r="G469" s="7">
        <v>0.22</v>
      </c>
      <c r="H469" s="7">
        <v>0.34</v>
      </c>
      <c r="I469" s="7">
        <v>0.38</v>
      </c>
      <c r="J469" s="7">
        <v>0.3</v>
      </c>
      <c r="K469" s="7">
        <v>1.72</v>
      </c>
      <c r="L469" s="7">
        <v>2.04</v>
      </c>
      <c r="M469" s="7">
        <v>0.67</v>
      </c>
      <c r="N469" s="7">
        <v>0.46</v>
      </c>
      <c r="O469" s="7">
        <v>0.81</v>
      </c>
      <c r="P469" s="7">
        <v>1.45</v>
      </c>
      <c r="Q469" s="7">
        <v>0.01</v>
      </c>
    </row>
    <row r="470" spans="1:17">
      <c r="A470" s="2">
        <v>2418</v>
      </c>
      <c r="B470" s="7">
        <v>1.61</v>
      </c>
      <c r="C470" s="7">
        <v>0.24</v>
      </c>
      <c r="D470" s="7">
        <v>0.92</v>
      </c>
      <c r="E470" s="7">
        <v>0.15</v>
      </c>
      <c r="F470" s="7">
        <v>0.15</v>
      </c>
      <c r="G470" s="7">
        <v>0.22</v>
      </c>
      <c r="H470" s="7">
        <v>0.34</v>
      </c>
      <c r="I470" s="7">
        <v>0.38</v>
      </c>
      <c r="J470" s="7">
        <v>0.3</v>
      </c>
      <c r="K470" s="7">
        <v>1.72</v>
      </c>
      <c r="L470" s="7">
        <v>2.04</v>
      </c>
      <c r="M470" s="7">
        <v>0.67</v>
      </c>
      <c r="N470" s="7">
        <v>0.46</v>
      </c>
      <c r="O470" s="7">
        <v>0.81</v>
      </c>
      <c r="P470" s="7">
        <v>1.45</v>
      </c>
      <c r="Q470" s="7">
        <v>0.01</v>
      </c>
    </row>
    <row r="471" spans="1:17">
      <c r="A471" s="2">
        <v>2419</v>
      </c>
      <c r="B471" s="7">
        <v>1.61</v>
      </c>
      <c r="C471" s="7">
        <v>0.24</v>
      </c>
      <c r="D471" s="7">
        <v>0.92</v>
      </c>
      <c r="E471" s="7">
        <v>0.15</v>
      </c>
      <c r="F471" s="7">
        <v>0.15</v>
      </c>
      <c r="G471" s="7">
        <v>0.22</v>
      </c>
      <c r="H471" s="7">
        <v>0.34</v>
      </c>
      <c r="I471" s="7">
        <v>0.38</v>
      </c>
      <c r="J471" s="7">
        <v>0.3</v>
      </c>
      <c r="K471" s="7">
        <v>1.72</v>
      </c>
      <c r="L471" s="7">
        <v>2.04</v>
      </c>
      <c r="M471" s="7">
        <v>0.67</v>
      </c>
      <c r="N471" s="7">
        <v>0.46</v>
      </c>
      <c r="O471" s="7">
        <v>0.81</v>
      </c>
      <c r="P471" s="7">
        <v>1.45</v>
      </c>
      <c r="Q471" s="7">
        <v>0.01</v>
      </c>
    </row>
    <row r="472" spans="1:17">
      <c r="A472" s="2">
        <v>2420</v>
      </c>
      <c r="B472" s="7">
        <v>1.61</v>
      </c>
      <c r="C472" s="7">
        <v>0.24</v>
      </c>
      <c r="D472" s="7">
        <v>0.92</v>
      </c>
      <c r="E472" s="7">
        <v>0.15</v>
      </c>
      <c r="F472" s="7">
        <v>0.15</v>
      </c>
      <c r="G472" s="7">
        <v>0.22</v>
      </c>
      <c r="H472" s="7">
        <v>0.34</v>
      </c>
      <c r="I472" s="7">
        <v>0.38</v>
      </c>
      <c r="J472" s="7">
        <v>0.3</v>
      </c>
      <c r="K472" s="7">
        <v>1.72</v>
      </c>
      <c r="L472" s="7">
        <v>2.04</v>
      </c>
      <c r="M472" s="7">
        <v>0.67</v>
      </c>
      <c r="N472" s="7">
        <v>0.46</v>
      </c>
      <c r="O472" s="7">
        <v>0.81</v>
      </c>
      <c r="P472" s="7">
        <v>1.45</v>
      </c>
      <c r="Q472" s="7">
        <v>0.01</v>
      </c>
    </row>
    <row r="473" spans="1:17">
      <c r="A473" s="2">
        <v>2421</v>
      </c>
      <c r="B473" s="7">
        <v>1.61</v>
      </c>
      <c r="C473" s="7">
        <v>0.24</v>
      </c>
      <c r="D473" s="7">
        <v>0.92</v>
      </c>
      <c r="E473" s="7">
        <v>0.15</v>
      </c>
      <c r="F473" s="7">
        <v>0.15</v>
      </c>
      <c r="G473" s="7">
        <v>0.22</v>
      </c>
      <c r="H473" s="7">
        <v>0.34</v>
      </c>
      <c r="I473" s="7">
        <v>0.38</v>
      </c>
      <c r="J473" s="7">
        <v>0.3</v>
      </c>
      <c r="K473" s="7">
        <v>1.72</v>
      </c>
      <c r="L473" s="7">
        <v>2.04</v>
      </c>
      <c r="M473" s="7">
        <v>0.67</v>
      </c>
      <c r="N473" s="7">
        <v>0.46</v>
      </c>
      <c r="O473" s="7">
        <v>0.81</v>
      </c>
      <c r="P473" s="7">
        <v>1.45</v>
      </c>
      <c r="Q473" s="7">
        <v>0.01</v>
      </c>
    </row>
    <row r="474" spans="1:17">
      <c r="A474" s="2">
        <v>2422</v>
      </c>
      <c r="B474" s="7">
        <v>1.61</v>
      </c>
      <c r="C474" s="7">
        <v>0.24</v>
      </c>
      <c r="D474" s="7">
        <v>0.92</v>
      </c>
      <c r="E474" s="7">
        <v>0.15</v>
      </c>
      <c r="F474" s="7">
        <v>0.15</v>
      </c>
      <c r="G474" s="7">
        <v>0.22</v>
      </c>
      <c r="H474" s="7">
        <v>0.34</v>
      </c>
      <c r="I474" s="7">
        <v>0.38</v>
      </c>
      <c r="J474" s="7">
        <v>0.3</v>
      </c>
      <c r="K474" s="7">
        <v>1.72</v>
      </c>
      <c r="L474" s="7">
        <v>2.04</v>
      </c>
      <c r="M474" s="7">
        <v>0.67</v>
      </c>
      <c r="N474" s="7">
        <v>0.46</v>
      </c>
      <c r="O474" s="7">
        <v>0.81</v>
      </c>
      <c r="P474" s="7">
        <v>1.45</v>
      </c>
      <c r="Q474" s="7">
        <v>0.01</v>
      </c>
    </row>
    <row r="475" spans="1:17">
      <c r="A475" s="2">
        <v>2423</v>
      </c>
      <c r="B475" s="7">
        <v>1.61</v>
      </c>
      <c r="C475" s="7">
        <v>0.24</v>
      </c>
      <c r="D475" s="7">
        <v>0.92</v>
      </c>
      <c r="E475" s="7">
        <v>0.15</v>
      </c>
      <c r="F475" s="7">
        <v>0.15</v>
      </c>
      <c r="G475" s="7">
        <v>0.22</v>
      </c>
      <c r="H475" s="7">
        <v>0.34</v>
      </c>
      <c r="I475" s="7">
        <v>0.38</v>
      </c>
      <c r="J475" s="7">
        <v>0.3</v>
      </c>
      <c r="K475" s="7">
        <v>1.72</v>
      </c>
      <c r="L475" s="7">
        <v>2.04</v>
      </c>
      <c r="M475" s="7">
        <v>0.67</v>
      </c>
      <c r="N475" s="7">
        <v>0.46</v>
      </c>
      <c r="O475" s="7">
        <v>0.81</v>
      </c>
      <c r="P475" s="7">
        <v>1.45</v>
      </c>
      <c r="Q475" s="7">
        <v>0.01</v>
      </c>
    </row>
    <row r="476" spans="1:17">
      <c r="A476" s="2">
        <v>2424</v>
      </c>
      <c r="B476" s="7">
        <v>1.61</v>
      </c>
      <c r="C476" s="7">
        <v>0.24</v>
      </c>
      <c r="D476" s="7">
        <v>0.92</v>
      </c>
      <c r="E476" s="7">
        <v>0.15</v>
      </c>
      <c r="F476" s="7">
        <v>0.15</v>
      </c>
      <c r="G476" s="7">
        <v>0.22</v>
      </c>
      <c r="H476" s="7">
        <v>0.34</v>
      </c>
      <c r="I476" s="7">
        <v>0.38</v>
      </c>
      <c r="J476" s="7">
        <v>0.3</v>
      </c>
      <c r="K476" s="7">
        <v>1.72</v>
      </c>
      <c r="L476" s="7">
        <v>2.04</v>
      </c>
      <c r="M476" s="7">
        <v>0.67</v>
      </c>
      <c r="N476" s="7">
        <v>0.46</v>
      </c>
      <c r="O476" s="7">
        <v>0.81</v>
      </c>
      <c r="P476" s="7">
        <v>1.45</v>
      </c>
      <c r="Q476" s="7">
        <v>0.01</v>
      </c>
    </row>
    <row r="477" spans="1:17">
      <c r="A477" s="2">
        <v>2425</v>
      </c>
      <c r="B477" s="7">
        <v>1.61</v>
      </c>
      <c r="C477" s="7">
        <v>0.24</v>
      </c>
      <c r="D477" s="7">
        <v>0.92</v>
      </c>
      <c r="E477" s="7">
        <v>0.15</v>
      </c>
      <c r="F477" s="7">
        <v>0.15</v>
      </c>
      <c r="G477" s="7">
        <v>0.22</v>
      </c>
      <c r="H477" s="7">
        <v>0.34</v>
      </c>
      <c r="I477" s="7">
        <v>0.38</v>
      </c>
      <c r="J477" s="7">
        <v>0.3</v>
      </c>
      <c r="K477" s="7">
        <v>1.72</v>
      </c>
      <c r="L477" s="7">
        <v>2.04</v>
      </c>
      <c r="M477" s="7">
        <v>0.67</v>
      </c>
      <c r="N477" s="7">
        <v>0.46</v>
      </c>
      <c r="O477" s="7">
        <v>0.81</v>
      </c>
      <c r="P477" s="7">
        <v>1.45</v>
      </c>
      <c r="Q477" s="7">
        <v>0.01</v>
      </c>
    </row>
    <row r="478" spans="1:17">
      <c r="A478" s="2">
        <v>2426</v>
      </c>
      <c r="B478" s="7">
        <v>1.61</v>
      </c>
      <c r="C478" s="7">
        <v>0.24</v>
      </c>
      <c r="D478" s="7">
        <v>0.92</v>
      </c>
      <c r="E478" s="7">
        <v>0.15</v>
      </c>
      <c r="F478" s="7">
        <v>0.15</v>
      </c>
      <c r="G478" s="7">
        <v>0.22</v>
      </c>
      <c r="H478" s="7">
        <v>0.34</v>
      </c>
      <c r="I478" s="7">
        <v>0.38</v>
      </c>
      <c r="J478" s="7">
        <v>0.3</v>
      </c>
      <c r="K478" s="7">
        <v>1.72</v>
      </c>
      <c r="L478" s="7">
        <v>2.04</v>
      </c>
      <c r="M478" s="7">
        <v>0.67</v>
      </c>
      <c r="N478" s="7">
        <v>0.46</v>
      </c>
      <c r="O478" s="7">
        <v>0.81</v>
      </c>
      <c r="P478" s="7">
        <v>1.45</v>
      </c>
      <c r="Q478" s="7">
        <v>0.01</v>
      </c>
    </row>
    <row r="479" spans="1:17">
      <c r="A479" s="2">
        <v>2427</v>
      </c>
      <c r="B479" s="7">
        <v>1.61</v>
      </c>
      <c r="C479" s="7">
        <v>0.24</v>
      </c>
      <c r="D479" s="7">
        <v>0.92</v>
      </c>
      <c r="E479" s="7">
        <v>0.15</v>
      </c>
      <c r="F479" s="7">
        <v>0.15</v>
      </c>
      <c r="G479" s="7">
        <v>0.22</v>
      </c>
      <c r="H479" s="7">
        <v>0.34</v>
      </c>
      <c r="I479" s="7">
        <v>0.38</v>
      </c>
      <c r="J479" s="7">
        <v>0.3</v>
      </c>
      <c r="K479" s="7">
        <v>1.72</v>
      </c>
      <c r="L479" s="7">
        <v>2.04</v>
      </c>
      <c r="M479" s="7">
        <v>0.67</v>
      </c>
      <c r="N479" s="7">
        <v>0.46</v>
      </c>
      <c r="O479" s="7">
        <v>0.81</v>
      </c>
      <c r="P479" s="7">
        <v>1.45</v>
      </c>
      <c r="Q479" s="7">
        <v>0.01</v>
      </c>
    </row>
    <row r="480" spans="1:17">
      <c r="A480" s="2">
        <v>2428</v>
      </c>
      <c r="B480" s="7">
        <v>1.61</v>
      </c>
      <c r="C480" s="7">
        <v>0.24</v>
      </c>
      <c r="D480" s="7">
        <v>0.92</v>
      </c>
      <c r="E480" s="7">
        <v>0.15</v>
      </c>
      <c r="F480" s="7">
        <v>0.15</v>
      </c>
      <c r="G480" s="7">
        <v>0.22</v>
      </c>
      <c r="H480" s="7">
        <v>0.34</v>
      </c>
      <c r="I480" s="7">
        <v>0.38</v>
      </c>
      <c r="J480" s="7">
        <v>0.3</v>
      </c>
      <c r="K480" s="7">
        <v>1.72</v>
      </c>
      <c r="L480" s="7">
        <v>2.04</v>
      </c>
      <c r="M480" s="7">
        <v>0.67</v>
      </c>
      <c r="N480" s="7">
        <v>0.46</v>
      </c>
      <c r="O480" s="7">
        <v>0.81</v>
      </c>
      <c r="P480" s="7">
        <v>1.45</v>
      </c>
      <c r="Q480" s="7">
        <v>0.01</v>
      </c>
    </row>
    <row r="481" spans="1:17">
      <c r="A481" s="2">
        <v>2429</v>
      </c>
      <c r="B481" s="7">
        <v>1.61</v>
      </c>
      <c r="C481" s="7">
        <v>0.24</v>
      </c>
      <c r="D481" s="7">
        <v>0.92</v>
      </c>
      <c r="E481" s="7">
        <v>0.15</v>
      </c>
      <c r="F481" s="7">
        <v>0.15</v>
      </c>
      <c r="G481" s="7">
        <v>0.22</v>
      </c>
      <c r="H481" s="7">
        <v>0.34</v>
      </c>
      <c r="I481" s="7">
        <v>0.38</v>
      </c>
      <c r="J481" s="7">
        <v>0.3</v>
      </c>
      <c r="K481" s="7">
        <v>1.72</v>
      </c>
      <c r="L481" s="7">
        <v>2.04</v>
      </c>
      <c r="M481" s="7">
        <v>0.67</v>
      </c>
      <c r="N481" s="7">
        <v>0.46</v>
      </c>
      <c r="O481" s="7">
        <v>0.81</v>
      </c>
      <c r="P481" s="7">
        <v>1.45</v>
      </c>
      <c r="Q481" s="7">
        <v>0.01</v>
      </c>
    </row>
    <row r="482" spans="1:17">
      <c r="A482" s="2">
        <v>2430</v>
      </c>
      <c r="B482" s="7">
        <v>1.61</v>
      </c>
      <c r="C482" s="7">
        <v>0.24</v>
      </c>
      <c r="D482" s="7">
        <v>0.92</v>
      </c>
      <c r="E482" s="7">
        <v>0.15</v>
      </c>
      <c r="F482" s="7">
        <v>0.15</v>
      </c>
      <c r="G482" s="7">
        <v>0.22</v>
      </c>
      <c r="H482" s="7">
        <v>0.34</v>
      </c>
      <c r="I482" s="7">
        <v>0.38</v>
      </c>
      <c r="J482" s="7">
        <v>0.3</v>
      </c>
      <c r="K482" s="7">
        <v>1.72</v>
      </c>
      <c r="L482" s="7">
        <v>2.04</v>
      </c>
      <c r="M482" s="7">
        <v>0.67</v>
      </c>
      <c r="N482" s="7">
        <v>0.46</v>
      </c>
      <c r="O482" s="7">
        <v>0.81</v>
      </c>
      <c r="P482" s="7">
        <v>1.45</v>
      </c>
      <c r="Q482" s="7">
        <v>0.01</v>
      </c>
    </row>
    <row r="483" spans="1:17">
      <c r="A483" s="2">
        <v>2431</v>
      </c>
      <c r="B483" s="7">
        <v>1.61</v>
      </c>
      <c r="C483" s="7">
        <v>0.24</v>
      </c>
      <c r="D483" s="7">
        <v>0.92</v>
      </c>
      <c r="E483" s="7">
        <v>0.15</v>
      </c>
      <c r="F483" s="7">
        <v>0.15</v>
      </c>
      <c r="G483" s="7">
        <v>0.22</v>
      </c>
      <c r="H483" s="7">
        <v>0.34</v>
      </c>
      <c r="I483" s="7">
        <v>0.38</v>
      </c>
      <c r="J483" s="7">
        <v>0.3</v>
      </c>
      <c r="K483" s="7">
        <v>1.72</v>
      </c>
      <c r="L483" s="7">
        <v>2.04</v>
      </c>
      <c r="M483" s="7">
        <v>0.67</v>
      </c>
      <c r="N483" s="7">
        <v>0.46</v>
      </c>
      <c r="O483" s="7">
        <v>0.81</v>
      </c>
      <c r="P483" s="7">
        <v>1.45</v>
      </c>
      <c r="Q483" s="7">
        <v>0.01</v>
      </c>
    </row>
    <row r="484" spans="1:17">
      <c r="A484" s="2">
        <v>2432</v>
      </c>
      <c r="B484" s="7">
        <v>1.61</v>
      </c>
      <c r="C484" s="7">
        <v>0.24</v>
      </c>
      <c r="D484" s="7">
        <v>0.92</v>
      </c>
      <c r="E484" s="7">
        <v>0.15</v>
      </c>
      <c r="F484" s="7">
        <v>0.15</v>
      </c>
      <c r="G484" s="7">
        <v>0.22</v>
      </c>
      <c r="H484" s="7">
        <v>0.34</v>
      </c>
      <c r="I484" s="7">
        <v>0.38</v>
      </c>
      <c r="J484" s="7">
        <v>0.3</v>
      </c>
      <c r="K484" s="7">
        <v>1.72</v>
      </c>
      <c r="L484" s="7">
        <v>2.04</v>
      </c>
      <c r="M484" s="7">
        <v>0.67</v>
      </c>
      <c r="N484" s="7">
        <v>0.46</v>
      </c>
      <c r="O484" s="7">
        <v>0.81</v>
      </c>
      <c r="P484" s="7">
        <v>1.45</v>
      </c>
      <c r="Q484" s="7">
        <v>0.01</v>
      </c>
    </row>
    <row r="485" spans="1:17">
      <c r="A485" s="2">
        <v>2433</v>
      </c>
      <c r="B485" s="7">
        <v>1.61</v>
      </c>
      <c r="C485" s="7">
        <v>0.24</v>
      </c>
      <c r="D485" s="7">
        <v>0.92</v>
      </c>
      <c r="E485" s="7">
        <v>0.15</v>
      </c>
      <c r="F485" s="7">
        <v>0.15</v>
      </c>
      <c r="G485" s="7">
        <v>0.22</v>
      </c>
      <c r="H485" s="7">
        <v>0.34</v>
      </c>
      <c r="I485" s="7">
        <v>0.38</v>
      </c>
      <c r="J485" s="7">
        <v>0.3</v>
      </c>
      <c r="K485" s="7">
        <v>1.72</v>
      </c>
      <c r="L485" s="7">
        <v>2.04</v>
      </c>
      <c r="M485" s="7">
        <v>0.67</v>
      </c>
      <c r="N485" s="7">
        <v>0.46</v>
      </c>
      <c r="O485" s="7">
        <v>0.81</v>
      </c>
      <c r="P485" s="7">
        <v>1.45</v>
      </c>
      <c r="Q485" s="7">
        <v>0.01</v>
      </c>
    </row>
    <row r="486" spans="1:17">
      <c r="A486" s="2">
        <v>2434</v>
      </c>
      <c r="B486" s="7">
        <v>1.61</v>
      </c>
      <c r="C486" s="7">
        <v>0.24</v>
      </c>
      <c r="D486" s="7">
        <v>0.92</v>
      </c>
      <c r="E486" s="7">
        <v>0.15</v>
      </c>
      <c r="F486" s="7">
        <v>0.15</v>
      </c>
      <c r="G486" s="7">
        <v>0.22</v>
      </c>
      <c r="H486" s="7">
        <v>0.34</v>
      </c>
      <c r="I486" s="7">
        <v>0.38</v>
      </c>
      <c r="J486" s="7">
        <v>0.3</v>
      </c>
      <c r="K486" s="7">
        <v>1.72</v>
      </c>
      <c r="L486" s="7">
        <v>2.04</v>
      </c>
      <c r="M486" s="7">
        <v>0.67</v>
      </c>
      <c r="N486" s="7">
        <v>0.46</v>
      </c>
      <c r="O486" s="7">
        <v>0.81</v>
      </c>
      <c r="P486" s="7">
        <v>1.45</v>
      </c>
      <c r="Q486" s="7">
        <v>0.01</v>
      </c>
    </row>
    <row r="487" spans="1:17">
      <c r="A487" s="2">
        <v>2435</v>
      </c>
      <c r="B487" s="7">
        <v>1.61</v>
      </c>
      <c r="C487" s="7">
        <v>0.24</v>
      </c>
      <c r="D487" s="7">
        <v>0.92</v>
      </c>
      <c r="E487" s="7">
        <v>0.15</v>
      </c>
      <c r="F487" s="7">
        <v>0.15</v>
      </c>
      <c r="G487" s="7">
        <v>0.22</v>
      </c>
      <c r="H487" s="7">
        <v>0.34</v>
      </c>
      <c r="I487" s="7">
        <v>0.38</v>
      </c>
      <c r="J487" s="7">
        <v>0.3</v>
      </c>
      <c r="K487" s="7">
        <v>1.72</v>
      </c>
      <c r="L487" s="7">
        <v>2.04</v>
      </c>
      <c r="M487" s="7">
        <v>0.67</v>
      </c>
      <c r="N487" s="7">
        <v>0.46</v>
      </c>
      <c r="O487" s="7">
        <v>0.81</v>
      </c>
      <c r="P487" s="7">
        <v>1.45</v>
      </c>
      <c r="Q487" s="7">
        <v>0.01</v>
      </c>
    </row>
    <row r="488" spans="1:17">
      <c r="A488" s="2">
        <v>2436</v>
      </c>
      <c r="B488" s="7">
        <v>1.61</v>
      </c>
      <c r="C488" s="7">
        <v>0.24</v>
      </c>
      <c r="D488" s="7">
        <v>0.92</v>
      </c>
      <c r="E488" s="7">
        <v>0.15</v>
      </c>
      <c r="F488" s="7">
        <v>0.15</v>
      </c>
      <c r="G488" s="7">
        <v>0.22</v>
      </c>
      <c r="H488" s="7">
        <v>0.34</v>
      </c>
      <c r="I488" s="7">
        <v>0.38</v>
      </c>
      <c r="J488" s="7">
        <v>0.3</v>
      </c>
      <c r="K488" s="7">
        <v>1.72</v>
      </c>
      <c r="L488" s="7">
        <v>2.04</v>
      </c>
      <c r="M488" s="7">
        <v>0.67</v>
      </c>
      <c r="N488" s="7">
        <v>0.46</v>
      </c>
      <c r="O488" s="7">
        <v>0.81</v>
      </c>
      <c r="P488" s="7">
        <v>1.45</v>
      </c>
      <c r="Q488" s="7">
        <v>0.01</v>
      </c>
    </row>
    <row r="489" spans="1:17">
      <c r="A489" s="2">
        <v>2437</v>
      </c>
      <c r="B489" s="7">
        <v>1.61</v>
      </c>
      <c r="C489" s="7">
        <v>0.24</v>
      </c>
      <c r="D489" s="7">
        <v>0.92</v>
      </c>
      <c r="E489" s="7">
        <v>0.15</v>
      </c>
      <c r="F489" s="7">
        <v>0.15</v>
      </c>
      <c r="G489" s="7">
        <v>0.22</v>
      </c>
      <c r="H489" s="7">
        <v>0.34</v>
      </c>
      <c r="I489" s="7">
        <v>0.38</v>
      </c>
      <c r="J489" s="7">
        <v>0.3</v>
      </c>
      <c r="K489" s="7">
        <v>1.72</v>
      </c>
      <c r="L489" s="7">
        <v>2.04</v>
      </c>
      <c r="M489" s="7">
        <v>0.67</v>
      </c>
      <c r="N489" s="7">
        <v>0.46</v>
      </c>
      <c r="O489" s="7">
        <v>0.81</v>
      </c>
      <c r="P489" s="7">
        <v>1.45</v>
      </c>
      <c r="Q489" s="7">
        <v>0.01</v>
      </c>
    </row>
    <row r="490" spans="1:17">
      <c r="A490" s="2">
        <v>2438</v>
      </c>
      <c r="B490" s="7">
        <v>1.61</v>
      </c>
      <c r="C490" s="7">
        <v>0.24</v>
      </c>
      <c r="D490" s="7">
        <v>0.92</v>
      </c>
      <c r="E490" s="7">
        <v>0.15</v>
      </c>
      <c r="F490" s="7">
        <v>0.15</v>
      </c>
      <c r="G490" s="7">
        <v>0.22</v>
      </c>
      <c r="H490" s="7">
        <v>0.34</v>
      </c>
      <c r="I490" s="7">
        <v>0.38</v>
      </c>
      <c r="J490" s="7">
        <v>0.3</v>
      </c>
      <c r="K490" s="7">
        <v>1.72</v>
      </c>
      <c r="L490" s="7">
        <v>2.04</v>
      </c>
      <c r="M490" s="7">
        <v>0.67</v>
      </c>
      <c r="N490" s="7">
        <v>0.46</v>
      </c>
      <c r="O490" s="7">
        <v>0.81</v>
      </c>
      <c r="P490" s="7">
        <v>1.45</v>
      </c>
      <c r="Q490" s="7">
        <v>0.01</v>
      </c>
    </row>
    <row r="491" spans="1:17">
      <c r="A491" s="2">
        <v>2439</v>
      </c>
      <c r="B491" s="7">
        <v>1.61</v>
      </c>
      <c r="C491" s="7">
        <v>0.24</v>
      </c>
      <c r="D491" s="7">
        <v>0.92</v>
      </c>
      <c r="E491" s="7">
        <v>0.15</v>
      </c>
      <c r="F491" s="7">
        <v>0.15</v>
      </c>
      <c r="G491" s="7">
        <v>0.22</v>
      </c>
      <c r="H491" s="7">
        <v>0.34</v>
      </c>
      <c r="I491" s="7">
        <v>0.38</v>
      </c>
      <c r="J491" s="7">
        <v>0.3</v>
      </c>
      <c r="K491" s="7">
        <v>1.72</v>
      </c>
      <c r="L491" s="7">
        <v>2.04</v>
      </c>
      <c r="M491" s="7">
        <v>0.67</v>
      </c>
      <c r="N491" s="7">
        <v>0.46</v>
      </c>
      <c r="O491" s="7">
        <v>0.81</v>
      </c>
      <c r="P491" s="7">
        <v>1.45</v>
      </c>
      <c r="Q491" s="7">
        <v>0.01</v>
      </c>
    </row>
    <row r="492" spans="1:17">
      <c r="A492" s="2">
        <v>2440</v>
      </c>
      <c r="B492" s="7">
        <v>1.61</v>
      </c>
      <c r="C492" s="7">
        <v>0.24</v>
      </c>
      <c r="D492" s="7">
        <v>0.92</v>
      </c>
      <c r="E492" s="7">
        <v>0.15</v>
      </c>
      <c r="F492" s="7">
        <v>0.15</v>
      </c>
      <c r="G492" s="7">
        <v>0.22</v>
      </c>
      <c r="H492" s="7">
        <v>0.34</v>
      </c>
      <c r="I492" s="7">
        <v>0.38</v>
      </c>
      <c r="J492" s="7">
        <v>0.3</v>
      </c>
      <c r="K492" s="7">
        <v>1.72</v>
      </c>
      <c r="L492" s="7">
        <v>2.04</v>
      </c>
      <c r="M492" s="7">
        <v>0.67</v>
      </c>
      <c r="N492" s="7">
        <v>0.46</v>
      </c>
      <c r="O492" s="7">
        <v>0.81</v>
      </c>
      <c r="P492" s="7">
        <v>1.45</v>
      </c>
      <c r="Q492" s="7">
        <v>0.01</v>
      </c>
    </row>
    <row r="493" spans="1:17">
      <c r="A493" s="2">
        <v>2441</v>
      </c>
      <c r="B493" s="7">
        <v>1.61</v>
      </c>
      <c r="C493" s="7">
        <v>0.24</v>
      </c>
      <c r="D493" s="7">
        <v>0.92</v>
      </c>
      <c r="E493" s="7">
        <v>0.15</v>
      </c>
      <c r="F493" s="7">
        <v>0.15</v>
      </c>
      <c r="G493" s="7">
        <v>0.22</v>
      </c>
      <c r="H493" s="7">
        <v>0.34</v>
      </c>
      <c r="I493" s="7">
        <v>0.38</v>
      </c>
      <c r="J493" s="7">
        <v>0.3</v>
      </c>
      <c r="K493" s="7">
        <v>1.72</v>
      </c>
      <c r="L493" s="7">
        <v>2.04</v>
      </c>
      <c r="M493" s="7">
        <v>0.67</v>
      </c>
      <c r="N493" s="7">
        <v>0.46</v>
      </c>
      <c r="O493" s="7">
        <v>0.81</v>
      </c>
      <c r="P493" s="7">
        <v>1.45</v>
      </c>
      <c r="Q493" s="7">
        <v>0.01</v>
      </c>
    </row>
    <row r="494" spans="1:17">
      <c r="A494" s="2">
        <v>2442</v>
      </c>
      <c r="B494" s="7">
        <v>1.61</v>
      </c>
      <c r="C494" s="7">
        <v>0.24</v>
      </c>
      <c r="D494" s="7">
        <v>0.92</v>
      </c>
      <c r="E494" s="7">
        <v>0.15</v>
      </c>
      <c r="F494" s="7">
        <v>0.15</v>
      </c>
      <c r="G494" s="7">
        <v>0.22</v>
      </c>
      <c r="H494" s="7">
        <v>0.34</v>
      </c>
      <c r="I494" s="7">
        <v>0.38</v>
      </c>
      <c r="J494" s="7">
        <v>0.3</v>
      </c>
      <c r="K494" s="7">
        <v>1.72</v>
      </c>
      <c r="L494" s="7">
        <v>2.04</v>
      </c>
      <c r="M494" s="7">
        <v>0.67</v>
      </c>
      <c r="N494" s="7">
        <v>0.46</v>
      </c>
      <c r="O494" s="7">
        <v>0.81</v>
      </c>
      <c r="P494" s="7">
        <v>1.45</v>
      </c>
      <c r="Q494" s="7">
        <v>0.01</v>
      </c>
    </row>
    <row r="495" spans="1:17">
      <c r="A495" s="2">
        <v>2443</v>
      </c>
      <c r="B495" s="7">
        <v>1.61</v>
      </c>
      <c r="C495" s="7">
        <v>0.24</v>
      </c>
      <c r="D495" s="7">
        <v>0.92</v>
      </c>
      <c r="E495" s="7">
        <v>0.15</v>
      </c>
      <c r="F495" s="7">
        <v>0.15</v>
      </c>
      <c r="G495" s="7">
        <v>0.22</v>
      </c>
      <c r="H495" s="7">
        <v>0.34</v>
      </c>
      <c r="I495" s="7">
        <v>0.38</v>
      </c>
      <c r="J495" s="7">
        <v>0.3</v>
      </c>
      <c r="K495" s="7">
        <v>1.72</v>
      </c>
      <c r="L495" s="7">
        <v>2.04</v>
      </c>
      <c r="M495" s="7">
        <v>0.67</v>
      </c>
      <c r="N495" s="7">
        <v>0.46</v>
      </c>
      <c r="O495" s="7">
        <v>0.81</v>
      </c>
      <c r="P495" s="7">
        <v>1.45</v>
      </c>
      <c r="Q495" s="7">
        <v>0.01</v>
      </c>
    </row>
    <row r="496" spans="1:17">
      <c r="A496" s="2">
        <v>2444</v>
      </c>
      <c r="B496" s="7">
        <v>1.61</v>
      </c>
      <c r="C496" s="7">
        <v>0.24</v>
      </c>
      <c r="D496" s="7">
        <v>0.92</v>
      </c>
      <c r="E496" s="7">
        <v>0.15</v>
      </c>
      <c r="F496" s="7">
        <v>0.15</v>
      </c>
      <c r="G496" s="7">
        <v>0.22</v>
      </c>
      <c r="H496" s="7">
        <v>0.34</v>
      </c>
      <c r="I496" s="7">
        <v>0.38</v>
      </c>
      <c r="J496" s="7">
        <v>0.3</v>
      </c>
      <c r="K496" s="7">
        <v>1.72</v>
      </c>
      <c r="L496" s="7">
        <v>2.04</v>
      </c>
      <c r="M496" s="7">
        <v>0.67</v>
      </c>
      <c r="N496" s="7">
        <v>0.46</v>
      </c>
      <c r="O496" s="7">
        <v>0.81</v>
      </c>
      <c r="P496" s="7">
        <v>1.45</v>
      </c>
      <c r="Q496" s="7">
        <v>0.01</v>
      </c>
    </row>
    <row r="497" spans="1:17">
      <c r="A497" s="2">
        <v>2445</v>
      </c>
      <c r="B497" s="7">
        <v>1.61</v>
      </c>
      <c r="C497" s="7">
        <v>0.24</v>
      </c>
      <c r="D497" s="7">
        <v>0.92</v>
      </c>
      <c r="E497" s="7">
        <v>0.15</v>
      </c>
      <c r="F497" s="7">
        <v>0.15</v>
      </c>
      <c r="G497" s="7">
        <v>0.22</v>
      </c>
      <c r="H497" s="7">
        <v>0.34</v>
      </c>
      <c r="I497" s="7">
        <v>0.38</v>
      </c>
      <c r="J497" s="7">
        <v>0.3</v>
      </c>
      <c r="K497" s="7">
        <v>1.72</v>
      </c>
      <c r="L497" s="7">
        <v>2.04</v>
      </c>
      <c r="M497" s="7">
        <v>0.67</v>
      </c>
      <c r="N497" s="7">
        <v>0.46</v>
      </c>
      <c r="O497" s="7">
        <v>0.81</v>
      </c>
      <c r="P497" s="7">
        <v>1.45</v>
      </c>
      <c r="Q497" s="7">
        <v>0.01</v>
      </c>
    </row>
    <row r="498" spans="1:17">
      <c r="A498" s="2">
        <v>2446</v>
      </c>
      <c r="B498" s="7">
        <v>1.61</v>
      </c>
      <c r="C498" s="7">
        <v>0.24</v>
      </c>
      <c r="D498" s="7">
        <v>0.92</v>
      </c>
      <c r="E498" s="7">
        <v>0.15</v>
      </c>
      <c r="F498" s="7">
        <v>0.15</v>
      </c>
      <c r="G498" s="7">
        <v>0.22</v>
      </c>
      <c r="H498" s="7">
        <v>0.34</v>
      </c>
      <c r="I498" s="7">
        <v>0.38</v>
      </c>
      <c r="J498" s="7">
        <v>0.3</v>
      </c>
      <c r="K498" s="7">
        <v>1.72</v>
      </c>
      <c r="L498" s="7">
        <v>2.04</v>
      </c>
      <c r="M498" s="7">
        <v>0.67</v>
      </c>
      <c r="N498" s="7">
        <v>0.46</v>
      </c>
      <c r="O498" s="7">
        <v>0.81</v>
      </c>
      <c r="P498" s="7">
        <v>1.45</v>
      </c>
      <c r="Q498" s="7">
        <v>0.01</v>
      </c>
    </row>
    <row r="499" spans="1:17">
      <c r="A499" s="2">
        <v>2447</v>
      </c>
      <c r="B499" s="7">
        <v>1.61</v>
      </c>
      <c r="C499" s="7">
        <v>0.24</v>
      </c>
      <c r="D499" s="7">
        <v>0.92</v>
      </c>
      <c r="E499" s="7">
        <v>0.15</v>
      </c>
      <c r="F499" s="7">
        <v>0.15</v>
      </c>
      <c r="G499" s="7">
        <v>0.22</v>
      </c>
      <c r="H499" s="7">
        <v>0.34</v>
      </c>
      <c r="I499" s="7">
        <v>0.38</v>
      </c>
      <c r="J499" s="7">
        <v>0.3</v>
      </c>
      <c r="K499" s="7">
        <v>1.72</v>
      </c>
      <c r="L499" s="7">
        <v>2.04</v>
      </c>
      <c r="M499" s="7">
        <v>0.67</v>
      </c>
      <c r="N499" s="7">
        <v>0.46</v>
      </c>
      <c r="O499" s="7">
        <v>0.81</v>
      </c>
      <c r="P499" s="7">
        <v>1.45</v>
      </c>
      <c r="Q499" s="7">
        <v>0.01</v>
      </c>
    </row>
    <row r="500" spans="1:17">
      <c r="A500" s="2">
        <v>2448</v>
      </c>
      <c r="B500" s="7">
        <v>1.61</v>
      </c>
      <c r="C500" s="7">
        <v>0.24</v>
      </c>
      <c r="D500" s="7">
        <v>0.92</v>
      </c>
      <c r="E500" s="7">
        <v>0.15</v>
      </c>
      <c r="F500" s="7">
        <v>0.15</v>
      </c>
      <c r="G500" s="7">
        <v>0.22</v>
      </c>
      <c r="H500" s="7">
        <v>0.34</v>
      </c>
      <c r="I500" s="7">
        <v>0.38</v>
      </c>
      <c r="J500" s="7">
        <v>0.3</v>
      </c>
      <c r="K500" s="7">
        <v>1.72</v>
      </c>
      <c r="L500" s="7">
        <v>2.04</v>
      </c>
      <c r="M500" s="7">
        <v>0.67</v>
      </c>
      <c r="N500" s="7">
        <v>0.46</v>
      </c>
      <c r="O500" s="7">
        <v>0.81</v>
      </c>
      <c r="P500" s="7">
        <v>1.45</v>
      </c>
      <c r="Q500" s="7">
        <v>0.01</v>
      </c>
    </row>
    <row r="501" spans="1:17">
      <c r="A501" s="2">
        <v>2449</v>
      </c>
      <c r="B501" s="7">
        <v>1.61</v>
      </c>
      <c r="C501" s="7">
        <v>0.24</v>
      </c>
      <c r="D501" s="7">
        <v>0.92</v>
      </c>
      <c r="E501" s="7">
        <v>0.15</v>
      </c>
      <c r="F501" s="7">
        <v>0.15</v>
      </c>
      <c r="G501" s="7">
        <v>0.22</v>
      </c>
      <c r="H501" s="7">
        <v>0.34</v>
      </c>
      <c r="I501" s="7">
        <v>0.38</v>
      </c>
      <c r="J501" s="7">
        <v>0.3</v>
      </c>
      <c r="K501" s="7">
        <v>1.72</v>
      </c>
      <c r="L501" s="7">
        <v>2.04</v>
      </c>
      <c r="M501" s="7">
        <v>0.67</v>
      </c>
      <c r="N501" s="7">
        <v>0.46</v>
      </c>
      <c r="O501" s="7">
        <v>0.81</v>
      </c>
      <c r="P501" s="7">
        <v>1.45</v>
      </c>
      <c r="Q501" s="7">
        <v>0.01</v>
      </c>
    </row>
    <row r="502" spans="1:17">
      <c r="A502" s="2">
        <v>2450</v>
      </c>
      <c r="B502" s="7">
        <v>1.61</v>
      </c>
      <c r="C502" s="7">
        <v>0.24</v>
      </c>
      <c r="D502" s="7">
        <v>0.92</v>
      </c>
      <c r="E502" s="7">
        <v>0.15</v>
      </c>
      <c r="F502" s="7">
        <v>0.15</v>
      </c>
      <c r="G502" s="7">
        <v>0.22</v>
      </c>
      <c r="H502" s="7">
        <v>0.34</v>
      </c>
      <c r="I502" s="7">
        <v>0.38</v>
      </c>
      <c r="J502" s="7">
        <v>0.3</v>
      </c>
      <c r="K502" s="7">
        <v>1.72</v>
      </c>
      <c r="L502" s="7">
        <v>2.04</v>
      </c>
      <c r="M502" s="7">
        <v>0.67</v>
      </c>
      <c r="N502" s="7">
        <v>0.46</v>
      </c>
      <c r="O502" s="7">
        <v>0.81</v>
      </c>
      <c r="P502" s="7">
        <v>1.45</v>
      </c>
      <c r="Q502" s="7">
        <v>0.01</v>
      </c>
    </row>
    <row r="503" spans="1:17">
      <c r="A503" s="2">
        <v>2451</v>
      </c>
      <c r="B503" s="7">
        <v>1.61</v>
      </c>
      <c r="C503" s="7">
        <v>0.24</v>
      </c>
      <c r="D503" s="7">
        <v>0.92</v>
      </c>
      <c r="E503" s="7">
        <v>0.15</v>
      </c>
      <c r="F503" s="7">
        <v>0.15</v>
      </c>
      <c r="G503" s="7">
        <v>0.22</v>
      </c>
      <c r="H503" s="7">
        <v>0.34</v>
      </c>
      <c r="I503" s="7">
        <v>0.38</v>
      </c>
      <c r="J503" s="7">
        <v>0.3</v>
      </c>
      <c r="K503" s="7">
        <v>1.72</v>
      </c>
      <c r="L503" s="7">
        <v>2.04</v>
      </c>
      <c r="M503" s="7">
        <v>0.67</v>
      </c>
      <c r="N503" s="7">
        <v>0.46</v>
      </c>
      <c r="O503" s="7">
        <v>0.81</v>
      </c>
      <c r="P503" s="7">
        <v>1.45</v>
      </c>
      <c r="Q503" s="7">
        <v>0.01</v>
      </c>
    </row>
    <row r="504" spans="1:17">
      <c r="A504" s="2">
        <v>2452</v>
      </c>
      <c r="B504" s="7">
        <v>1.61</v>
      </c>
      <c r="C504" s="7">
        <v>0.24</v>
      </c>
      <c r="D504" s="7">
        <v>0.92</v>
      </c>
      <c r="E504" s="7">
        <v>0.15</v>
      </c>
      <c r="F504" s="7">
        <v>0.15</v>
      </c>
      <c r="G504" s="7">
        <v>0.22</v>
      </c>
      <c r="H504" s="7">
        <v>0.34</v>
      </c>
      <c r="I504" s="7">
        <v>0.38</v>
      </c>
      <c r="J504" s="7">
        <v>0.3</v>
      </c>
      <c r="K504" s="7">
        <v>1.72</v>
      </c>
      <c r="L504" s="7">
        <v>2.04</v>
      </c>
      <c r="M504" s="7">
        <v>0.67</v>
      </c>
      <c r="N504" s="7">
        <v>0.46</v>
      </c>
      <c r="O504" s="7">
        <v>0.81</v>
      </c>
      <c r="P504" s="7">
        <v>1.45</v>
      </c>
      <c r="Q504" s="7">
        <v>0.01</v>
      </c>
    </row>
    <row r="505" spans="1:17">
      <c r="A505" s="2">
        <v>2453</v>
      </c>
      <c r="B505" s="7">
        <v>1.61</v>
      </c>
      <c r="C505" s="7">
        <v>0.24</v>
      </c>
      <c r="D505" s="7">
        <v>0.92</v>
      </c>
      <c r="E505" s="7">
        <v>0.15</v>
      </c>
      <c r="F505" s="7">
        <v>0.15</v>
      </c>
      <c r="G505" s="7">
        <v>0.22</v>
      </c>
      <c r="H505" s="7">
        <v>0.34</v>
      </c>
      <c r="I505" s="7">
        <v>0.38</v>
      </c>
      <c r="J505" s="7">
        <v>0.3</v>
      </c>
      <c r="K505" s="7">
        <v>1.72</v>
      </c>
      <c r="L505" s="7">
        <v>2.04</v>
      </c>
      <c r="M505" s="7">
        <v>0.67</v>
      </c>
      <c r="N505" s="7">
        <v>0.46</v>
      </c>
      <c r="O505" s="7">
        <v>0.81</v>
      </c>
      <c r="P505" s="7">
        <v>1.45</v>
      </c>
      <c r="Q505" s="7">
        <v>0.01</v>
      </c>
    </row>
    <row r="506" spans="1:17">
      <c r="A506" s="2">
        <v>2454</v>
      </c>
      <c r="B506" s="7">
        <v>1.61</v>
      </c>
      <c r="C506" s="7">
        <v>0.24</v>
      </c>
      <c r="D506" s="7">
        <v>0.92</v>
      </c>
      <c r="E506" s="7">
        <v>0.15</v>
      </c>
      <c r="F506" s="7">
        <v>0.15</v>
      </c>
      <c r="G506" s="7">
        <v>0.22</v>
      </c>
      <c r="H506" s="7">
        <v>0.34</v>
      </c>
      <c r="I506" s="7">
        <v>0.38</v>
      </c>
      <c r="J506" s="7">
        <v>0.3</v>
      </c>
      <c r="K506" s="7">
        <v>1.72</v>
      </c>
      <c r="L506" s="7">
        <v>2.04</v>
      </c>
      <c r="M506" s="7">
        <v>0.67</v>
      </c>
      <c r="N506" s="7">
        <v>0.46</v>
      </c>
      <c r="O506" s="7">
        <v>0.81</v>
      </c>
      <c r="P506" s="7">
        <v>1.45</v>
      </c>
      <c r="Q506" s="7">
        <v>0.01</v>
      </c>
    </row>
    <row r="507" spans="1:17">
      <c r="A507" s="2">
        <v>2455</v>
      </c>
      <c r="B507" s="7">
        <v>1.61</v>
      </c>
      <c r="C507" s="7">
        <v>0.24</v>
      </c>
      <c r="D507" s="7">
        <v>0.92</v>
      </c>
      <c r="E507" s="7">
        <v>0.15</v>
      </c>
      <c r="F507" s="7">
        <v>0.15</v>
      </c>
      <c r="G507" s="7">
        <v>0.22</v>
      </c>
      <c r="H507" s="7">
        <v>0.34</v>
      </c>
      <c r="I507" s="7">
        <v>0.38</v>
      </c>
      <c r="J507" s="7">
        <v>0.3</v>
      </c>
      <c r="K507" s="7">
        <v>1.72</v>
      </c>
      <c r="L507" s="7">
        <v>2.04</v>
      </c>
      <c r="M507" s="7">
        <v>0.67</v>
      </c>
      <c r="N507" s="7">
        <v>0.46</v>
      </c>
      <c r="O507" s="7">
        <v>0.81</v>
      </c>
      <c r="P507" s="7">
        <v>1.45</v>
      </c>
      <c r="Q507" s="7">
        <v>0.01</v>
      </c>
    </row>
    <row r="508" spans="1:17">
      <c r="A508" s="2">
        <v>2456</v>
      </c>
      <c r="B508" s="7">
        <v>1.61</v>
      </c>
      <c r="C508" s="7">
        <v>0.24</v>
      </c>
      <c r="D508" s="7">
        <v>0.92</v>
      </c>
      <c r="E508" s="7">
        <v>0.15</v>
      </c>
      <c r="F508" s="7">
        <v>0.15</v>
      </c>
      <c r="G508" s="7">
        <v>0.22</v>
      </c>
      <c r="H508" s="7">
        <v>0.34</v>
      </c>
      <c r="I508" s="7">
        <v>0.38</v>
      </c>
      <c r="J508" s="7">
        <v>0.3</v>
      </c>
      <c r="K508" s="7">
        <v>1.72</v>
      </c>
      <c r="L508" s="7">
        <v>2.04</v>
      </c>
      <c r="M508" s="7">
        <v>0.67</v>
      </c>
      <c r="N508" s="7">
        <v>0.46</v>
      </c>
      <c r="O508" s="7">
        <v>0.81</v>
      </c>
      <c r="P508" s="7">
        <v>1.45</v>
      </c>
      <c r="Q508" s="7">
        <v>0.01</v>
      </c>
    </row>
    <row r="509" spans="1:17">
      <c r="A509" s="2">
        <v>2457</v>
      </c>
      <c r="B509" s="7">
        <v>1.61</v>
      </c>
      <c r="C509" s="7">
        <v>0.24</v>
      </c>
      <c r="D509" s="7">
        <v>0.92</v>
      </c>
      <c r="E509" s="7">
        <v>0.15</v>
      </c>
      <c r="F509" s="7">
        <v>0.15</v>
      </c>
      <c r="G509" s="7">
        <v>0.22</v>
      </c>
      <c r="H509" s="7">
        <v>0.34</v>
      </c>
      <c r="I509" s="7">
        <v>0.38</v>
      </c>
      <c r="J509" s="7">
        <v>0.3</v>
      </c>
      <c r="K509" s="7">
        <v>1.72</v>
      </c>
      <c r="L509" s="7">
        <v>2.04</v>
      </c>
      <c r="M509" s="7">
        <v>0.67</v>
      </c>
      <c r="N509" s="7">
        <v>0.46</v>
      </c>
      <c r="O509" s="7">
        <v>0.81</v>
      </c>
      <c r="P509" s="7">
        <v>1.45</v>
      </c>
      <c r="Q509" s="7">
        <v>0.01</v>
      </c>
    </row>
    <row r="510" spans="1:17">
      <c r="A510" s="2">
        <v>2458</v>
      </c>
      <c r="B510" s="7">
        <v>1.61</v>
      </c>
      <c r="C510" s="7">
        <v>0.24</v>
      </c>
      <c r="D510" s="7">
        <v>0.92</v>
      </c>
      <c r="E510" s="7">
        <v>0.15</v>
      </c>
      <c r="F510" s="7">
        <v>0.15</v>
      </c>
      <c r="G510" s="7">
        <v>0.22</v>
      </c>
      <c r="H510" s="7">
        <v>0.34</v>
      </c>
      <c r="I510" s="7">
        <v>0.38</v>
      </c>
      <c r="J510" s="7">
        <v>0.3</v>
      </c>
      <c r="K510" s="7">
        <v>1.72</v>
      </c>
      <c r="L510" s="7">
        <v>2.04</v>
      </c>
      <c r="M510" s="7">
        <v>0.67</v>
      </c>
      <c r="N510" s="7">
        <v>0.46</v>
      </c>
      <c r="O510" s="7">
        <v>0.81</v>
      </c>
      <c r="P510" s="7">
        <v>1.45</v>
      </c>
      <c r="Q510" s="7">
        <v>0.01</v>
      </c>
    </row>
    <row r="511" spans="1:17">
      <c r="A511" s="2">
        <v>2459</v>
      </c>
      <c r="B511" s="7">
        <v>1.61</v>
      </c>
      <c r="C511" s="7">
        <v>0.24</v>
      </c>
      <c r="D511" s="7">
        <v>0.92</v>
      </c>
      <c r="E511" s="7">
        <v>0.15</v>
      </c>
      <c r="F511" s="7">
        <v>0.15</v>
      </c>
      <c r="G511" s="7">
        <v>0.22</v>
      </c>
      <c r="H511" s="7">
        <v>0.34</v>
      </c>
      <c r="I511" s="7">
        <v>0.38</v>
      </c>
      <c r="J511" s="7">
        <v>0.3</v>
      </c>
      <c r="K511" s="7">
        <v>1.72</v>
      </c>
      <c r="L511" s="7">
        <v>2.04</v>
      </c>
      <c r="M511" s="7">
        <v>0.67</v>
      </c>
      <c r="N511" s="7">
        <v>0.46</v>
      </c>
      <c r="O511" s="7">
        <v>0.81</v>
      </c>
      <c r="P511" s="7">
        <v>1.45</v>
      </c>
      <c r="Q511" s="7">
        <v>0.01</v>
      </c>
    </row>
    <row r="512" spans="1:17">
      <c r="A512" s="2">
        <v>2460</v>
      </c>
      <c r="B512" s="7">
        <v>1.61</v>
      </c>
      <c r="C512" s="7">
        <v>0.24</v>
      </c>
      <c r="D512" s="7">
        <v>0.92</v>
      </c>
      <c r="E512" s="7">
        <v>0.15</v>
      </c>
      <c r="F512" s="7">
        <v>0.15</v>
      </c>
      <c r="G512" s="7">
        <v>0.22</v>
      </c>
      <c r="H512" s="7">
        <v>0.34</v>
      </c>
      <c r="I512" s="7">
        <v>0.38</v>
      </c>
      <c r="J512" s="7">
        <v>0.3</v>
      </c>
      <c r="K512" s="7">
        <v>1.72</v>
      </c>
      <c r="L512" s="7">
        <v>2.04</v>
      </c>
      <c r="M512" s="7">
        <v>0.67</v>
      </c>
      <c r="N512" s="7">
        <v>0.46</v>
      </c>
      <c r="O512" s="7">
        <v>0.81</v>
      </c>
      <c r="P512" s="7">
        <v>1.45</v>
      </c>
      <c r="Q512" s="7">
        <v>0.01</v>
      </c>
    </row>
    <row r="513" spans="1:17">
      <c r="A513" s="2">
        <v>2461</v>
      </c>
      <c r="B513" s="7">
        <v>1.61</v>
      </c>
      <c r="C513" s="7">
        <v>0.24</v>
      </c>
      <c r="D513" s="7">
        <v>0.92</v>
      </c>
      <c r="E513" s="7">
        <v>0.15</v>
      </c>
      <c r="F513" s="7">
        <v>0.15</v>
      </c>
      <c r="G513" s="7">
        <v>0.22</v>
      </c>
      <c r="H513" s="7">
        <v>0.34</v>
      </c>
      <c r="I513" s="7">
        <v>0.38</v>
      </c>
      <c r="J513" s="7">
        <v>0.3</v>
      </c>
      <c r="K513" s="7">
        <v>1.72</v>
      </c>
      <c r="L513" s="7">
        <v>2.04</v>
      </c>
      <c r="M513" s="7">
        <v>0.67</v>
      </c>
      <c r="N513" s="7">
        <v>0.46</v>
      </c>
      <c r="O513" s="7">
        <v>0.81</v>
      </c>
      <c r="P513" s="7">
        <v>1.45</v>
      </c>
      <c r="Q513" s="7">
        <v>0.01</v>
      </c>
    </row>
    <row r="514" spans="1:17">
      <c r="A514" s="2">
        <v>2462</v>
      </c>
      <c r="B514" s="7">
        <v>1.61</v>
      </c>
      <c r="C514" s="7">
        <v>0.24</v>
      </c>
      <c r="D514" s="7">
        <v>0.92</v>
      </c>
      <c r="E514" s="7">
        <v>0.15</v>
      </c>
      <c r="F514" s="7">
        <v>0.15</v>
      </c>
      <c r="G514" s="7">
        <v>0.22</v>
      </c>
      <c r="H514" s="7">
        <v>0.34</v>
      </c>
      <c r="I514" s="7">
        <v>0.38</v>
      </c>
      <c r="J514" s="7">
        <v>0.3</v>
      </c>
      <c r="K514" s="7">
        <v>1.72</v>
      </c>
      <c r="L514" s="7">
        <v>2.04</v>
      </c>
      <c r="M514" s="7">
        <v>0.67</v>
      </c>
      <c r="N514" s="7">
        <v>0.46</v>
      </c>
      <c r="O514" s="7">
        <v>0.81</v>
      </c>
      <c r="P514" s="7">
        <v>1.45</v>
      </c>
      <c r="Q514" s="7">
        <v>0.01</v>
      </c>
    </row>
    <row r="515" spans="1:17">
      <c r="A515" s="2">
        <v>2463</v>
      </c>
      <c r="B515" s="7">
        <v>1.61</v>
      </c>
      <c r="C515" s="7">
        <v>0.24</v>
      </c>
      <c r="D515" s="7">
        <v>0.92</v>
      </c>
      <c r="E515" s="7">
        <v>0.15</v>
      </c>
      <c r="F515" s="7">
        <v>0.15</v>
      </c>
      <c r="G515" s="7">
        <v>0.22</v>
      </c>
      <c r="H515" s="7">
        <v>0.34</v>
      </c>
      <c r="I515" s="7">
        <v>0.38</v>
      </c>
      <c r="J515" s="7">
        <v>0.3</v>
      </c>
      <c r="K515" s="7">
        <v>1.72</v>
      </c>
      <c r="L515" s="7">
        <v>2.04</v>
      </c>
      <c r="M515" s="7">
        <v>0.67</v>
      </c>
      <c r="N515" s="7">
        <v>0.46</v>
      </c>
      <c r="O515" s="7">
        <v>0.81</v>
      </c>
      <c r="P515" s="7">
        <v>1.45</v>
      </c>
      <c r="Q515" s="7">
        <v>0.01</v>
      </c>
    </row>
    <row r="516" spans="1:17">
      <c r="A516" s="2">
        <v>2464</v>
      </c>
      <c r="B516" s="7">
        <v>1.61</v>
      </c>
      <c r="C516" s="7">
        <v>0.24</v>
      </c>
      <c r="D516" s="7">
        <v>0.92</v>
      </c>
      <c r="E516" s="7">
        <v>0.15</v>
      </c>
      <c r="F516" s="7">
        <v>0.15</v>
      </c>
      <c r="G516" s="7">
        <v>0.22</v>
      </c>
      <c r="H516" s="7">
        <v>0.34</v>
      </c>
      <c r="I516" s="7">
        <v>0.38</v>
      </c>
      <c r="J516" s="7">
        <v>0.3</v>
      </c>
      <c r="K516" s="7">
        <v>1.72</v>
      </c>
      <c r="L516" s="7">
        <v>2.04</v>
      </c>
      <c r="M516" s="7">
        <v>0.67</v>
      </c>
      <c r="N516" s="7">
        <v>0.46</v>
      </c>
      <c r="O516" s="7">
        <v>0.81</v>
      </c>
      <c r="P516" s="7">
        <v>1.45</v>
      </c>
      <c r="Q516" s="7">
        <v>0.01</v>
      </c>
    </row>
    <row r="517" spans="1:17">
      <c r="A517" s="2">
        <v>2465</v>
      </c>
      <c r="B517" s="7">
        <v>1.61</v>
      </c>
      <c r="C517" s="7">
        <v>0.24</v>
      </c>
      <c r="D517" s="7">
        <v>0.92</v>
      </c>
      <c r="E517" s="7">
        <v>0.15</v>
      </c>
      <c r="F517" s="7">
        <v>0.15</v>
      </c>
      <c r="G517" s="7">
        <v>0.22</v>
      </c>
      <c r="H517" s="7">
        <v>0.34</v>
      </c>
      <c r="I517" s="7">
        <v>0.38</v>
      </c>
      <c r="J517" s="7">
        <v>0.3</v>
      </c>
      <c r="K517" s="7">
        <v>1.72</v>
      </c>
      <c r="L517" s="7">
        <v>2.04</v>
      </c>
      <c r="M517" s="7">
        <v>0.67</v>
      </c>
      <c r="N517" s="7">
        <v>0.46</v>
      </c>
      <c r="O517" s="7">
        <v>0.81</v>
      </c>
      <c r="P517" s="7">
        <v>1.45</v>
      </c>
      <c r="Q517" s="7">
        <v>0.01</v>
      </c>
    </row>
    <row r="518" spans="1:17">
      <c r="A518" s="2">
        <v>2466</v>
      </c>
      <c r="B518" s="7">
        <v>1.61</v>
      </c>
      <c r="C518" s="7">
        <v>0.24</v>
      </c>
      <c r="D518" s="7">
        <v>0.92</v>
      </c>
      <c r="E518" s="7">
        <v>0.15</v>
      </c>
      <c r="F518" s="7">
        <v>0.15</v>
      </c>
      <c r="G518" s="7">
        <v>0.22</v>
      </c>
      <c r="H518" s="7">
        <v>0.34</v>
      </c>
      <c r="I518" s="7">
        <v>0.38</v>
      </c>
      <c r="J518" s="7">
        <v>0.3</v>
      </c>
      <c r="K518" s="7">
        <v>1.72</v>
      </c>
      <c r="L518" s="7">
        <v>2.04</v>
      </c>
      <c r="M518" s="7">
        <v>0.67</v>
      </c>
      <c r="N518" s="7">
        <v>0.46</v>
      </c>
      <c r="O518" s="7">
        <v>0.81</v>
      </c>
      <c r="P518" s="7">
        <v>1.45</v>
      </c>
      <c r="Q518" s="7">
        <v>0.01</v>
      </c>
    </row>
    <row r="519" spans="1:17">
      <c r="A519" s="2">
        <v>2467</v>
      </c>
      <c r="B519" s="7">
        <v>1.61</v>
      </c>
      <c r="C519" s="7">
        <v>0.24</v>
      </c>
      <c r="D519" s="7">
        <v>0.92</v>
      </c>
      <c r="E519" s="7">
        <v>0.15</v>
      </c>
      <c r="F519" s="7">
        <v>0.15</v>
      </c>
      <c r="G519" s="7">
        <v>0.22</v>
      </c>
      <c r="H519" s="7">
        <v>0.34</v>
      </c>
      <c r="I519" s="7">
        <v>0.38</v>
      </c>
      <c r="J519" s="7">
        <v>0.3</v>
      </c>
      <c r="K519" s="7">
        <v>1.72</v>
      </c>
      <c r="L519" s="7">
        <v>2.04</v>
      </c>
      <c r="M519" s="7">
        <v>0.67</v>
      </c>
      <c r="N519" s="7">
        <v>0.46</v>
      </c>
      <c r="O519" s="7">
        <v>0.81</v>
      </c>
      <c r="P519" s="7">
        <v>1.45</v>
      </c>
      <c r="Q519" s="7">
        <v>0.01</v>
      </c>
    </row>
    <row r="520" spans="1:17">
      <c r="A520" s="2">
        <v>2468</v>
      </c>
      <c r="B520" s="7">
        <v>1.61</v>
      </c>
      <c r="C520" s="7">
        <v>0.24</v>
      </c>
      <c r="D520" s="7">
        <v>0.92</v>
      </c>
      <c r="E520" s="7">
        <v>0.15</v>
      </c>
      <c r="F520" s="7">
        <v>0.15</v>
      </c>
      <c r="G520" s="7">
        <v>0.22</v>
      </c>
      <c r="H520" s="7">
        <v>0.34</v>
      </c>
      <c r="I520" s="7">
        <v>0.38</v>
      </c>
      <c r="J520" s="7">
        <v>0.3</v>
      </c>
      <c r="K520" s="7">
        <v>1.72</v>
      </c>
      <c r="L520" s="7">
        <v>2.04</v>
      </c>
      <c r="M520" s="7">
        <v>0.67</v>
      </c>
      <c r="N520" s="7">
        <v>0.46</v>
      </c>
      <c r="O520" s="7">
        <v>0.81</v>
      </c>
      <c r="P520" s="7">
        <v>1.45</v>
      </c>
      <c r="Q520" s="7">
        <v>0.01</v>
      </c>
    </row>
    <row r="521" spans="1:17">
      <c r="A521" s="2">
        <v>2469</v>
      </c>
      <c r="B521" s="7">
        <v>1.61</v>
      </c>
      <c r="C521" s="7">
        <v>0.24</v>
      </c>
      <c r="D521" s="7">
        <v>0.92</v>
      </c>
      <c r="E521" s="7">
        <v>0.15</v>
      </c>
      <c r="F521" s="7">
        <v>0.15</v>
      </c>
      <c r="G521" s="7">
        <v>0.22</v>
      </c>
      <c r="H521" s="7">
        <v>0.34</v>
      </c>
      <c r="I521" s="7">
        <v>0.38</v>
      </c>
      <c r="J521" s="7">
        <v>0.3</v>
      </c>
      <c r="K521" s="7">
        <v>1.72</v>
      </c>
      <c r="L521" s="7">
        <v>2.04</v>
      </c>
      <c r="M521" s="7">
        <v>0.67</v>
      </c>
      <c r="N521" s="7">
        <v>0.46</v>
      </c>
      <c r="O521" s="7">
        <v>0.81</v>
      </c>
      <c r="P521" s="7">
        <v>1.45</v>
      </c>
      <c r="Q521" s="7">
        <v>0.01</v>
      </c>
    </row>
    <row r="522" spans="1:17">
      <c r="A522" s="2">
        <v>2470</v>
      </c>
      <c r="B522" s="7">
        <v>1.61</v>
      </c>
      <c r="C522" s="7">
        <v>0.24</v>
      </c>
      <c r="D522" s="7">
        <v>0.92</v>
      </c>
      <c r="E522" s="7">
        <v>0.15</v>
      </c>
      <c r="F522" s="7">
        <v>0.15</v>
      </c>
      <c r="G522" s="7">
        <v>0.22</v>
      </c>
      <c r="H522" s="7">
        <v>0.34</v>
      </c>
      <c r="I522" s="7">
        <v>0.38</v>
      </c>
      <c r="J522" s="7">
        <v>0.3</v>
      </c>
      <c r="K522" s="7">
        <v>1.72</v>
      </c>
      <c r="L522" s="7">
        <v>2.04</v>
      </c>
      <c r="M522" s="7">
        <v>0.67</v>
      </c>
      <c r="N522" s="7">
        <v>0.46</v>
      </c>
      <c r="O522" s="7">
        <v>0.81</v>
      </c>
      <c r="P522" s="7">
        <v>1.45</v>
      </c>
      <c r="Q522" s="7">
        <v>0.01</v>
      </c>
    </row>
    <row r="523" spans="1:17">
      <c r="A523" s="2">
        <v>2471</v>
      </c>
      <c r="B523" s="7">
        <v>1.61</v>
      </c>
      <c r="C523" s="7">
        <v>0.24</v>
      </c>
      <c r="D523" s="7">
        <v>0.92</v>
      </c>
      <c r="E523" s="7">
        <v>0.15</v>
      </c>
      <c r="F523" s="7">
        <v>0.15</v>
      </c>
      <c r="G523" s="7">
        <v>0.22</v>
      </c>
      <c r="H523" s="7">
        <v>0.34</v>
      </c>
      <c r="I523" s="7">
        <v>0.38</v>
      </c>
      <c r="J523" s="7">
        <v>0.3</v>
      </c>
      <c r="K523" s="7">
        <v>1.72</v>
      </c>
      <c r="L523" s="7">
        <v>2.04</v>
      </c>
      <c r="M523" s="7">
        <v>0.67</v>
      </c>
      <c r="N523" s="7">
        <v>0.46</v>
      </c>
      <c r="O523" s="7">
        <v>0.81</v>
      </c>
      <c r="P523" s="7">
        <v>1.45</v>
      </c>
      <c r="Q523" s="7">
        <v>0.01</v>
      </c>
    </row>
    <row r="524" spans="1:17">
      <c r="A524" s="2">
        <v>2472</v>
      </c>
      <c r="B524" s="7">
        <v>1.61</v>
      </c>
      <c r="C524" s="7">
        <v>0.24</v>
      </c>
      <c r="D524" s="7">
        <v>0.92</v>
      </c>
      <c r="E524" s="7">
        <v>0.15</v>
      </c>
      <c r="F524" s="7">
        <v>0.15</v>
      </c>
      <c r="G524" s="7">
        <v>0.22</v>
      </c>
      <c r="H524" s="7">
        <v>0.34</v>
      </c>
      <c r="I524" s="7">
        <v>0.38</v>
      </c>
      <c r="J524" s="7">
        <v>0.3</v>
      </c>
      <c r="K524" s="7">
        <v>1.72</v>
      </c>
      <c r="L524" s="7">
        <v>2.04</v>
      </c>
      <c r="M524" s="7">
        <v>0.67</v>
      </c>
      <c r="N524" s="7">
        <v>0.46</v>
      </c>
      <c r="O524" s="7">
        <v>0.81</v>
      </c>
      <c r="P524" s="7">
        <v>1.45</v>
      </c>
      <c r="Q524" s="7">
        <v>0.01</v>
      </c>
    </row>
    <row r="525" spans="1:17">
      <c r="A525" s="2">
        <v>2473</v>
      </c>
      <c r="B525" s="7">
        <v>1.61</v>
      </c>
      <c r="C525" s="7">
        <v>0.24</v>
      </c>
      <c r="D525" s="7">
        <v>0.92</v>
      </c>
      <c r="E525" s="7">
        <v>0.15</v>
      </c>
      <c r="F525" s="7">
        <v>0.15</v>
      </c>
      <c r="G525" s="7">
        <v>0.22</v>
      </c>
      <c r="H525" s="7">
        <v>0.34</v>
      </c>
      <c r="I525" s="7">
        <v>0.38</v>
      </c>
      <c r="J525" s="7">
        <v>0.3</v>
      </c>
      <c r="K525" s="7">
        <v>1.72</v>
      </c>
      <c r="L525" s="7">
        <v>2.04</v>
      </c>
      <c r="M525" s="7">
        <v>0.67</v>
      </c>
      <c r="N525" s="7">
        <v>0.46</v>
      </c>
      <c r="O525" s="7">
        <v>0.81</v>
      </c>
      <c r="P525" s="7">
        <v>1.45</v>
      </c>
      <c r="Q525" s="7">
        <v>0.01</v>
      </c>
    </row>
    <row r="526" spans="1:17">
      <c r="A526" s="2">
        <v>2474</v>
      </c>
      <c r="B526" s="7">
        <v>1.61</v>
      </c>
      <c r="C526" s="7">
        <v>0.24</v>
      </c>
      <c r="D526" s="7">
        <v>0.92</v>
      </c>
      <c r="E526" s="7">
        <v>0.15</v>
      </c>
      <c r="F526" s="7">
        <v>0.15</v>
      </c>
      <c r="G526" s="7">
        <v>0.22</v>
      </c>
      <c r="H526" s="7">
        <v>0.34</v>
      </c>
      <c r="I526" s="7">
        <v>0.38</v>
      </c>
      <c r="J526" s="7">
        <v>0.3</v>
      </c>
      <c r="K526" s="7">
        <v>1.72</v>
      </c>
      <c r="L526" s="7">
        <v>2.04</v>
      </c>
      <c r="M526" s="7">
        <v>0.67</v>
      </c>
      <c r="N526" s="7">
        <v>0.46</v>
      </c>
      <c r="O526" s="7">
        <v>0.81</v>
      </c>
      <c r="P526" s="7">
        <v>1.45</v>
      </c>
      <c r="Q526" s="7">
        <v>0.01</v>
      </c>
    </row>
    <row r="527" spans="1:17">
      <c r="A527" s="2">
        <v>2475</v>
      </c>
      <c r="B527" s="7">
        <v>1.61</v>
      </c>
      <c r="C527" s="7">
        <v>0.24</v>
      </c>
      <c r="D527" s="7">
        <v>0.92</v>
      </c>
      <c r="E527" s="7">
        <v>0.15</v>
      </c>
      <c r="F527" s="7">
        <v>0.15</v>
      </c>
      <c r="G527" s="7">
        <v>0.22</v>
      </c>
      <c r="H527" s="7">
        <v>0.34</v>
      </c>
      <c r="I527" s="7">
        <v>0.38</v>
      </c>
      <c r="J527" s="7">
        <v>0.3</v>
      </c>
      <c r="K527" s="7">
        <v>1.72</v>
      </c>
      <c r="L527" s="7">
        <v>2.04</v>
      </c>
      <c r="M527" s="7">
        <v>0.67</v>
      </c>
      <c r="N527" s="7">
        <v>0.46</v>
      </c>
      <c r="O527" s="7">
        <v>0.81</v>
      </c>
      <c r="P527" s="7">
        <v>1.45</v>
      </c>
      <c r="Q527" s="7">
        <v>0.01</v>
      </c>
    </row>
    <row r="528" spans="1:17">
      <c r="A528" s="2">
        <v>2476</v>
      </c>
      <c r="B528" s="7">
        <v>1.61</v>
      </c>
      <c r="C528" s="7">
        <v>0.24</v>
      </c>
      <c r="D528" s="7">
        <v>0.92</v>
      </c>
      <c r="E528" s="7">
        <v>0.15</v>
      </c>
      <c r="F528" s="7">
        <v>0.15</v>
      </c>
      <c r="G528" s="7">
        <v>0.22</v>
      </c>
      <c r="H528" s="7">
        <v>0.34</v>
      </c>
      <c r="I528" s="7">
        <v>0.38</v>
      </c>
      <c r="J528" s="7">
        <v>0.3</v>
      </c>
      <c r="K528" s="7">
        <v>1.72</v>
      </c>
      <c r="L528" s="7">
        <v>2.04</v>
      </c>
      <c r="M528" s="7">
        <v>0.67</v>
      </c>
      <c r="N528" s="7">
        <v>0.46</v>
      </c>
      <c r="O528" s="7">
        <v>0.81</v>
      </c>
      <c r="P528" s="7">
        <v>1.45</v>
      </c>
      <c r="Q528" s="7">
        <v>0.01</v>
      </c>
    </row>
    <row r="529" spans="1:17">
      <c r="A529" s="2">
        <v>2477</v>
      </c>
      <c r="B529" s="7">
        <v>1.61</v>
      </c>
      <c r="C529" s="7">
        <v>0.24</v>
      </c>
      <c r="D529" s="7">
        <v>0.92</v>
      </c>
      <c r="E529" s="7">
        <v>0.15</v>
      </c>
      <c r="F529" s="7">
        <v>0.15</v>
      </c>
      <c r="G529" s="7">
        <v>0.22</v>
      </c>
      <c r="H529" s="7">
        <v>0.34</v>
      </c>
      <c r="I529" s="7">
        <v>0.38</v>
      </c>
      <c r="J529" s="7">
        <v>0.3</v>
      </c>
      <c r="K529" s="7">
        <v>1.72</v>
      </c>
      <c r="L529" s="7">
        <v>2.04</v>
      </c>
      <c r="M529" s="7">
        <v>0.67</v>
      </c>
      <c r="N529" s="7">
        <v>0.46</v>
      </c>
      <c r="O529" s="7">
        <v>0.81</v>
      </c>
      <c r="P529" s="7">
        <v>1.45</v>
      </c>
      <c r="Q529" s="7">
        <v>0.01</v>
      </c>
    </row>
    <row r="530" spans="1:17">
      <c r="A530" s="2">
        <v>2478</v>
      </c>
      <c r="B530" s="7">
        <v>1.61</v>
      </c>
      <c r="C530" s="7">
        <v>0.24</v>
      </c>
      <c r="D530" s="7">
        <v>0.92</v>
      </c>
      <c r="E530" s="7">
        <v>0.15</v>
      </c>
      <c r="F530" s="7">
        <v>0.15</v>
      </c>
      <c r="G530" s="7">
        <v>0.22</v>
      </c>
      <c r="H530" s="7">
        <v>0.34</v>
      </c>
      <c r="I530" s="7">
        <v>0.38</v>
      </c>
      <c r="J530" s="7">
        <v>0.3</v>
      </c>
      <c r="K530" s="7">
        <v>1.72</v>
      </c>
      <c r="L530" s="7">
        <v>2.04</v>
      </c>
      <c r="M530" s="7">
        <v>0.67</v>
      </c>
      <c r="N530" s="7">
        <v>0.46</v>
      </c>
      <c r="O530" s="7">
        <v>0.81</v>
      </c>
      <c r="P530" s="7">
        <v>1.45</v>
      </c>
      <c r="Q530" s="7">
        <v>0.01</v>
      </c>
    </row>
    <row r="531" spans="1:17">
      <c r="A531" s="2">
        <v>2479</v>
      </c>
      <c r="B531" s="7">
        <v>1.61</v>
      </c>
      <c r="C531" s="7">
        <v>0.24</v>
      </c>
      <c r="D531" s="7">
        <v>0.92</v>
      </c>
      <c r="E531" s="7">
        <v>0.15</v>
      </c>
      <c r="F531" s="7">
        <v>0.15</v>
      </c>
      <c r="G531" s="7">
        <v>0.22</v>
      </c>
      <c r="H531" s="7">
        <v>0.34</v>
      </c>
      <c r="I531" s="7">
        <v>0.38</v>
      </c>
      <c r="J531" s="7">
        <v>0.3</v>
      </c>
      <c r="K531" s="7">
        <v>1.72</v>
      </c>
      <c r="L531" s="7">
        <v>2.04</v>
      </c>
      <c r="M531" s="7">
        <v>0.67</v>
      </c>
      <c r="N531" s="7">
        <v>0.46</v>
      </c>
      <c r="O531" s="7">
        <v>0.81</v>
      </c>
      <c r="P531" s="7">
        <v>1.45</v>
      </c>
      <c r="Q531" s="7">
        <v>0.01</v>
      </c>
    </row>
    <row r="532" spans="1:17">
      <c r="A532" s="2">
        <v>2480</v>
      </c>
      <c r="B532" s="7">
        <v>1.61</v>
      </c>
      <c r="C532" s="7">
        <v>0.24</v>
      </c>
      <c r="D532" s="7">
        <v>0.92</v>
      </c>
      <c r="E532" s="7">
        <v>0.15</v>
      </c>
      <c r="F532" s="7">
        <v>0.15</v>
      </c>
      <c r="G532" s="7">
        <v>0.22</v>
      </c>
      <c r="H532" s="7">
        <v>0.34</v>
      </c>
      <c r="I532" s="7">
        <v>0.38</v>
      </c>
      <c r="J532" s="7">
        <v>0.3</v>
      </c>
      <c r="K532" s="7">
        <v>1.72</v>
      </c>
      <c r="L532" s="7">
        <v>2.04</v>
      </c>
      <c r="M532" s="7">
        <v>0.67</v>
      </c>
      <c r="N532" s="7">
        <v>0.46</v>
      </c>
      <c r="O532" s="7">
        <v>0.81</v>
      </c>
      <c r="P532" s="7">
        <v>1.45</v>
      </c>
      <c r="Q532" s="7">
        <v>0.01</v>
      </c>
    </row>
    <row r="533" spans="1:17">
      <c r="A533" s="2">
        <v>2481</v>
      </c>
      <c r="B533" s="7">
        <v>1.61</v>
      </c>
      <c r="C533" s="7">
        <v>0.24</v>
      </c>
      <c r="D533" s="7">
        <v>0.92</v>
      </c>
      <c r="E533" s="7">
        <v>0.15</v>
      </c>
      <c r="F533" s="7">
        <v>0.15</v>
      </c>
      <c r="G533" s="7">
        <v>0.22</v>
      </c>
      <c r="H533" s="7">
        <v>0.34</v>
      </c>
      <c r="I533" s="7">
        <v>0.38</v>
      </c>
      <c r="J533" s="7">
        <v>0.3</v>
      </c>
      <c r="K533" s="7">
        <v>1.72</v>
      </c>
      <c r="L533" s="7">
        <v>2.04</v>
      </c>
      <c r="M533" s="7">
        <v>0.67</v>
      </c>
      <c r="N533" s="7">
        <v>0.46</v>
      </c>
      <c r="O533" s="7">
        <v>0.81</v>
      </c>
      <c r="P533" s="7">
        <v>1.45</v>
      </c>
      <c r="Q533" s="7">
        <v>0.01</v>
      </c>
    </row>
    <row r="534" spans="1:17">
      <c r="A534" s="2">
        <v>2482</v>
      </c>
      <c r="B534" s="7">
        <v>1.61</v>
      </c>
      <c r="C534" s="7">
        <v>0.24</v>
      </c>
      <c r="D534" s="7">
        <v>0.92</v>
      </c>
      <c r="E534" s="7">
        <v>0.15</v>
      </c>
      <c r="F534" s="7">
        <v>0.15</v>
      </c>
      <c r="G534" s="7">
        <v>0.22</v>
      </c>
      <c r="H534" s="7">
        <v>0.34</v>
      </c>
      <c r="I534" s="7">
        <v>0.38</v>
      </c>
      <c r="J534" s="7">
        <v>0.3</v>
      </c>
      <c r="K534" s="7">
        <v>1.72</v>
      </c>
      <c r="L534" s="7">
        <v>2.04</v>
      </c>
      <c r="M534" s="7">
        <v>0.67</v>
      </c>
      <c r="N534" s="7">
        <v>0.46</v>
      </c>
      <c r="O534" s="7">
        <v>0.81</v>
      </c>
      <c r="P534" s="7">
        <v>1.45</v>
      </c>
      <c r="Q534" s="7">
        <v>0.01</v>
      </c>
    </row>
    <row r="535" spans="1:17">
      <c r="A535" s="2">
        <v>2483</v>
      </c>
      <c r="B535" s="7">
        <v>1.61</v>
      </c>
      <c r="C535" s="7">
        <v>0.24</v>
      </c>
      <c r="D535" s="7">
        <v>0.92</v>
      </c>
      <c r="E535" s="7">
        <v>0.15</v>
      </c>
      <c r="F535" s="7">
        <v>0.15</v>
      </c>
      <c r="G535" s="7">
        <v>0.22</v>
      </c>
      <c r="H535" s="7">
        <v>0.34</v>
      </c>
      <c r="I535" s="7">
        <v>0.38</v>
      </c>
      <c r="J535" s="7">
        <v>0.3</v>
      </c>
      <c r="K535" s="7">
        <v>1.72</v>
      </c>
      <c r="L535" s="7">
        <v>2.04</v>
      </c>
      <c r="M535" s="7">
        <v>0.67</v>
      </c>
      <c r="N535" s="7">
        <v>0.46</v>
      </c>
      <c r="O535" s="7">
        <v>0.81</v>
      </c>
      <c r="P535" s="7">
        <v>1.45</v>
      </c>
      <c r="Q535" s="7">
        <v>0.01</v>
      </c>
    </row>
    <row r="536" spans="1:17">
      <c r="A536" s="2">
        <v>2484</v>
      </c>
      <c r="B536" s="7">
        <v>1.61</v>
      </c>
      <c r="C536" s="7">
        <v>0.24</v>
      </c>
      <c r="D536" s="7">
        <v>0.92</v>
      </c>
      <c r="E536" s="7">
        <v>0.15</v>
      </c>
      <c r="F536" s="7">
        <v>0.15</v>
      </c>
      <c r="G536" s="7">
        <v>0.22</v>
      </c>
      <c r="H536" s="7">
        <v>0.34</v>
      </c>
      <c r="I536" s="7">
        <v>0.38</v>
      </c>
      <c r="J536" s="7">
        <v>0.3</v>
      </c>
      <c r="K536" s="7">
        <v>1.72</v>
      </c>
      <c r="L536" s="7">
        <v>2.04</v>
      </c>
      <c r="M536" s="7">
        <v>0.67</v>
      </c>
      <c r="N536" s="7">
        <v>0.46</v>
      </c>
      <c r="O536" s="7">
        <v>0.81</v>
      </c>
      <c r="P536" s="7">
        <v>1.45</v>
      </c>
      <c r="Q536" s="7">
        <v>0.01</v>
      </c>
    </row>
    <row r="537" spans="1:17">
      <c r="A537" s="2">
        <v>2485</v>
      </c>
      <c r="B537" s="7">
        <v>1.61</v>
      </c>
      <c r="C537" s="7">
        <v>0.24</v>
      </c>
      <c r="D537" s="7">
        <v>0.92</v>
      </c>
      <c r="E537" s="7">
        <v>0.15</v>
      </c>
      <c r="F537" s="7">
        <v>0.15</v>
      </c>
      <c r="G537" s="7">
        <v>0.22</v>
      </c>
      <c r="H537" s="7">
        <v>0.34</v>
      </c>
      <c r="I537" s="7">
        <v>0.38</v>
      </c>
      <c r="J537" s="7">
        <v>0.3</v>
      </c>
      <c r="K537" s="7">
        <v>1.72</v>
      </c>
      <c r="L537" s="7">
        <v>2.04</v>
      </c>
      <c r="M537" s="7">
        <v>0.67</v>
      </c>
      <c r="N537" s="7">
        <v>0.46</v>
      </c>
      <c r="O537" s="7">
        <v>0.81</v>
      </c>
      <c r="P537" s="7">
        <v>1.45</v>
      </c>
      <c r="Q537" s="7">
        <v>0.01</v>
      </c>
    </row>
    <row r="538" spans="1:17">
      <c r="A538" s="2">
        <v>2486</v>
      </c>
      <c r="B538" s="7">
        <v>1.61</v>
      </c>
      <c r="C538" s="7">
        <v>0.24</v>
      </c>
      <c r="D538" s="7">
        <v>0.92</v>
      </c>
      <c r="E538" s="7">
        <v>0.15</v>
      </c>
      <c r="F538" s="7">
        <v>0.15</v>
      </c>
      <c r="G538" s="7">
        <v>0.22</v>
      </c>
      <c r="H538" s="7">
        <v>0.34</v>
      </c>
      <c r="I538" s="7">
        <v>0.38</v>
      </c>
      <c r="J538" s="7">
        <v>0.3</v>
      </c>
      <c r="K538" s="7">
        <v>1.72</v>
      </c>
      <c r="L538" s="7">
        <v>2.04</v>
      </c>
      <c r="M538" s="7">
        <v>0.67</v>
      </c>
      <c r="N538" s="7">
        <v>0.46</v>
      </c>
      <c r="O538" s="7">
        <v>0.81</v>
      </c>
      <c r="P538" s="7">
        <v>1.45</v>
      </c>
      <c r="Q538" s="7">
        <v>0.01</v>
      </c>
    </row>
    <row r="539" spans="1:17">
      <c r="A539" s="2">
        <v>2487</v>
      </c>
      <c r="B539" s="7">
        <v>1.61</v>
      </c>
      <c r="C539" s="7">
        <v>0.24</v>
      </c>
      <c r="D539" s="7">
        <v>0.92</v>
      </c>
      <c r="E539" s="7">
        <v>0.15</v>
      </c>
      <c r="F539" s="7">
        <v>0.15</v>
      </c>
      <c r="G539" s="7">
        <v>0.22</v>
      </c>
      <c r="H539" s="7">
        <v>0.34</v>
      </c>
      <c r="I539" s="7">
        <v>0.38</v>
      </c>
      <c r="J539" s="7">
        <v>0.3</v>
      </c>
      <c r="K539" s="7">
        <v>1.72</v>
      </c>
      <c r="L539" s="7">
        <v>2.04</v>
      </c>
      <c r="M539" s="7">
        <v>0.67</v>
      </c>
      <c r="N539" s="7">
        <v>0.46</v>
      </c>
      <c r="O539" s="7">
        <v>0.81</v>
      </c>
      <c r="P539" s="7">
        <v>1.45</v>
      </c>
      <c r="Q539" s="7">
        <v>0.01</v>
      </c>
    </row>
    <row r="540" spans="1:17">
      <c r="A540" s="2">
        <v>2488</v>
      </c>
      <c r="B540" s="7">
        <v>1.61</v>
      </c>
      <c r="C540" s="7">
        <v>0.24</v>
      </c>
      <c r="D540" s="7">
        <v>0.92</v>
      </c>
      <c r="E540" s="7">
        <v>0.15</v>
      </c>
      <c r="F540" s="7">
        <v>0.15</v>
      </c>
      <c r="G540" s="7">
        <v>0.22</v>
      </c>
      <c r="H540" s="7">
        <v>0.34</v>
      </c>
      <c r="I540" s="7">
        <v>0.38</v>
      </c>
      <c r="J540" s="7">
        <v>0.3</v>
      </c>
      <c r="K540" s="7">
        <v>1.72</v>
      </c>
      <c r="L540" s="7">
        <v>2.04</v>
      </c>
      <c r="M540" s="7">
        <v>0.67</v>
      </c>
      <c r="N540" s="7">
        <v>0.46</v>
      </c>
      <c r="O540" s="7">
        <v>0.81</v>
      </c>
      <c r="P540" s="7">
        <v>1.45</v>
      </c>
      <c r="Q540" s="7">
        <v>0.01</v>
      </c>
    </row>
    <row r="541" spans="1:17">
      <c r="A541" s="2">
        <v>2489</v>
      </c>
      <c r="B541" s="7">
        <v>1.61</v>
      </c>
      <c r="C541" s="7">
        <v>0.24</v>
      </c>
      <c r="D541" s="7">
        <v>0.92</v>
      </c>
      <c r="E541" s="7">
        <v>0.15</v>
      </c>
      <c r="F541" s="7">
        <v>0.15</v>
      </c>
      <c r="G541" s="7">
        <v>0.22</v>
      </c>
      <c r="H541" s="7">
        <v>0.34</v>
      </c>
      <c r="I541" s="7">
        <v>0.38</v>
      </c>
      <c r="J541" s="7">
        <v>0.3</v>
      </c>
      <c r="K541" s="7">
        <v>1.72</v>
      </c>
      <c r="L541" s="7">
        <v>2.04</v>
      </c>
      <c r="M541" s="7">
        <v>0.67</v>
      </c>
      <c r="N541" s="7">
        <v>0.46</v>
      </c>
      <c r="O541" s="7">
        <v>0.81</v>
      </c>
      <c r="P541" s="7">
        <v>1.45</v>
      </c>
      <c r="Q541" s="7">
        <v>0.01</v>
      </c>
    </row>
    <row r="542" spans="1:17">
      <c r="A542" s="2">
        <v>2490</v>
      </c>
      <c r="B542" s="7">
        <v>1.61</v>
      </c>
      <c r="C542" s="7">
        <v>0.24</v>
      </c>
      <c r="D542" s="7">
        <v>0.92</v>
      </c>
      <c r="E542" s="7">
        <v>0.15</v>
      </c>
      <c r="F542" s="7">
        <v>0.15</v>
      </c>
      <c r="G542" s="7">
        <v>0.22</v>
      </c>
      <c r="H542" s="7">
        <v>0.34</v>
      </c>
      <c r="I542" s="7">
        <v>0.38</v>
      </c>
      <c r="J542" s="7">
        <v>0.3</v>
      </c>
      <c r="K542" s="7">
        <v>1.72</v>
      </c>
      <c r="L542" s="7">
        <v>2.04</v>
      </c>
      <c r="M542" s="7">
        <v>0.67</v>
      </c>
      <c r="N542" s="7">
        <v>0.46</v>
      </c>
      <c r="O542" s="7">
        <v>0.81</v>
      </c>
      <c r="P542" s="7">
        <v>1.45</v>
      </c>
      <c r="Q542" s="7">
        <v>0.01</v>
      </c>
    </row>
    <row r="543" spans="1:17">
      <c r="A543" s="2">
        <v>2491</v>
      </c>
      <c r="B543" s="7">
        <v>1.61</v>
      </c>
      <c r="C543" s="7">
        <v>0.24</v>
      </c>
      <c r="D543" s="7">
        <v>0.92</v>
      </c>
      <c r="E543" s="7">
        <v>0.15</v>
      </c>
      <c r="F543" s="7">
        <v>0.15</v>
      </c>
      <c r="G543" s="7">
        <v>0.22</v>
      </c>
      <c r="H543" s="7">
        <v>0.34</v>
      </c>
      <c r="I543" s="7">
        <v>0.38</v>
      </c>
      <c r="J543" s="7">
        <v>0.3</v>
      </c>
      <c r="K543" s="7">
        <v>1.72</v>
      </c>
      <c r="L543" s="7">
        <v>2.04</v>
      </c>
      <c r="M543" s="7">
        <v>0.67</v>
      </c>
      <c r="N543" s="7">
        <v>0.46</v>
      </c>
      <c r="O543" s="7">
        <v>0.81</v>
      </c>
      <c r="P543" s="7">
        <v>1.45</v>
      </c>
      <c r="Q543" s="7">
        <v>0.01</v>
      </c>
    </row>
    <row r="544" spans="1:17">
      <c r="A544" s="2">
        <v>2492</v>
      </c>
      <c r="B544" s="7">
        <v>1.61</v>
      </c>
      <c r="C544" s="7">
        <v>0.24</v>
      </c>
      <c r="D544" s="7">
        <v>0.92</v>
      </c>
      <c r="E544" s="7">
        <v>0.15</v>
      </c>
      <c r="F544" s="7">
        <v>0.15</v>
      </c>
      <c r="G544" s="7">
        <v>0.22</v>
      </c>
      <c r="H544" s="7">
        <v>0.34</v>
      </c>
      <c r="I544" s="7">
        <v>0.38</v>
      </c>
      <c r="J544" s="7">
        <v>0.3</v>
      </c>
      <c r="K544" s="7">
        <v>1.72</v>
      </c>
      <c r="L544" s="7">
        <v>2.04</v>
      </c>
      <c r="M544" s="7">
        <v>0.67</v>
      </c>
      <c r="N544" s="7">
        <v>0.46</v>
      </c>
      <c r="O544" s="7">
        <v>0.81</v>
      </c>
      <c r="P544" s="7">
        <v>1.45</v>
      </c>
      <c r="Q544" s="7">
        <v>0.01</v>
      </c>
    </row>
    <row r="545" spans="1:17">
      <c r="A545" s="2">
        <v>2493</v>
      </c>
      <c r="B545" s="7">
        <v>1.61</v>
      </c>
      <c r="C545" s="7">
        <v>0.24</v>
      </c>
      <c r="D545" s="7">
        <v>0.92</v>
      </c>
      <c r="E545" s="7">
        <v>0.15</v>
      </c>
      <c r="F545" s="7">
        <v>0.15</v>
      </c>
      <c r="G545" s="7">
        <v>0.22</v>
      </c>
      <c r="H545" s="7">
        <v>0.34</v>
      </c>
      <c r="I545" s="7">
        <v>0.38</v>
      </c>
      <c r="J545" s="7">
        <v>0.3</v>
      </c>
      <c r="K545" s="7">
        <v>1.72</v>
      </c>
      <c r="L545" s="7">
        <v>2.04</v>
      </c>
      <c r="M545" s="7">
        <v>0.67</v>
      </c>
      <c r="N545" s="7">
        <v>0.46</v>
      </c>
      <c r="O545" s="7">
        <v>0.81</v>
      </c>
      <c r="P545" s="7">
        <v>1.45</v>
      </c>
      <c r="Q545" s="7">
        <v>0.01</v>
      </c>
    </row>
    <row r="546" spans="1:17">
      <c r="A546" s="2">
        <v>2494</v>
      </c>
      <c r="B546" s="7">
        <v>1.61</v>
      </c>
      <c r="C546" s="7">
        <v>0.24</v>
      </c>
      <c r="D546" s="7">
        <v>0.92</v>
      </c>
      <c r="E546" s="7">
        <v>0.15</v>
      </c>
      <c r="F546" s="7">
        <v>0.15</v>
      </c>
      <c r="G546" s="7">
        <v>0.22</v>
      </c>
      <c r="H546" s="7">
        <v>0.34</v>
      </c>
      <c r="I546" s="7">
        <v>0.38</v>
      </c>
      <c r="J546" s="7">
        <v>0.3</v>
      </c>
      <c r="K546" s="7">
        <v>1.72</v>
      </c>
      <c r="L546" s="7">
        <v>2.04</v>
      </c>
      <c r="M546" s="7">
        <v>0.67</v>
      </c>
      <c r="N546" s="7">
        <v>0.46</v>
      </c>
      <c r="O546" s="7">
        <v>0.81</v>
      </c>
      <c r="P546" s="7">
        <v>1.45</v>
      </c>
      <c r="Q546" s="7">
        <v>0.01</v>
      </c>
    </row>
    <row r="547" spans="1:17">
      <c r="A547" s="2">
        <v>2495</v>
      </c>
      <c r="B547" s="7">
        <v>1.61</v>
      </c>
      <c r="C547" s="7">
        <v>0.24</v>
      </c>
      <c r="D547" s="7">
        <v>0.92</v>
      </c>
      <c r="E547" s="7">
        <v>0.15</v>
      </c>
      <c r="F547" s="7">
        <v>0.15</v>
      </c>
      <c r="G547" s="7">
        <v>0.22</v>
      </c>
      <c r="H547" s="7">
        <v>0.34</v>
      </c>
      <c r="I547" s="7">
        <v>0.38</v>
      </c>
      <c r="J547" s="7">
        <v>0.3</v>
      </c>
      <c r="K547" s="7">
        <v>1.72</v>
      </c>
      <c r="L547" s="7">
        <v>2.04</v>
      </c>
      <c r="M547" s="7">
        <v>0.67</v>
      </c>
      <c r="N547" s="7">
        <v>0.46</v>
      </c>
      <c r="O547" s="7">
        <v>0.81</v>
      </c>
      <c r="P547" s="7">
        <v>1.45</v>
      </c>
      <c r="Q547" s="7">
        <v>0.01</v>
      </c>
    </row>
    <row r="548" spans="1:17">
      <c r="A548" s="2">
        <v>2496</v>
      </c>
      <c r="B548" s="7">
        <v>1.61</v>
      </c>
      <c r="C548" s="7">
        <v>0.24</v>
      </c>
      <c r="D548" s="7">
        <v>0.92</v>
      </c>
      <c r="E548" s="7">
        <v>0.15</v>
      </c>
      <c r="F548" s="7">
        <v>0.15</v>
      </c>
      <c r="G548" s="7">
        <v>0.22</v>
      </c>
      <c r="H548" s="7">
        <v>0.34</v>
      </c>
      <c r="I548" s="7">
        <v>0.38</v>
      </c>
      <c r="J548" s="7">
        <v>0.3</v>
      </c>
      <c r="K548" s="7">
        <v>1.72</v>
      </c>
      <c r="L548" s="7">
        <v>2.04</v>
      </c>
      <c r="M548" s="7">
        <v>0.67</v>
      </c>
      <c r="N548" s="7">
        <v>0.46</v>
      </c>
      <c r="O548" s="7">
        <v>0.81</v>
      </c>
      <c r="P548" s="7">
        <v>1.45</v>
      </c>
      <c r="Q548" s="7">
        <v>0.01</v>
      </c>
    </row>
    <row r="549" spans="1:17">
      <c r="A549" s="2">
        <v>2497</v>
      </c>
      <c r="B549" s="7">
        <v>1.61</v>
      </c>
      <c r="C549" s="7">
        <v>0.24</v>
      </c>
      <c r="D549" s="7">
        <v>0.92</v>
      </c>
      <c r="E549" s="7">
        <v>0.15</v>
      </c>
      <c r="F549" s="7">
        <v>0.15</v>
      </c>
      <c r="G549" s="7">
        <v>0.22</v>
      </c>
      <c r="H549" s="7">
        <v>0.34</v>
      </c>
      <c r="I549" s="7">
        <v>0.38</v>
      </c>
      <c r="J549" s="7">
        <v>0.3</v>
      </c>
      <c r="K549" s="7">
        <v>1.72</v>
      </c>
      <c r="L549" s="7">
        <v>2.04</v>
      </c>
      <c r="M549" s="7">
        <v>0.67</v>
      </c>
      <c r="N549" s="7">
        <v>0.46</v>
      </c>
      <c r="O549" s="7">
        <v>0.81</v>
      </c>
      <c r="P549" s="7">
        <v>1.45</v>
      </c>
      <c r="Q549" s="7">
        <v>0.01</v>
      </c>
    </row>
    <row r="550" spans="1:17">
      <c r="A550" s="2">
        <v>2498</v>
      </c>
      <c r="B550" s="7">
        <v>1.61</v>
      </c>
      <c r="C550" s="7">
        <v>0.24</v>
      </c>
      <c r="D550" s="7">
        <v>0.92</v>
      </c>
      <c r="E550" s="7">
        <v>0.15</v>
      </c>
      <c r="F550" s="7">
        <v>0.15</v>
      </c>
      <c r="G550" s="7">
        <v>0.22</v>
      </c>
      <c r="H550" s="7">
        <v>0.34</v>
      </c>
      <c r="I550" s="7">
        <v>0.38</v>
      </c>
      <c r="J550" s="7">
        <v>0.3</v>
      </c>
      <c r="K550" s="7">
        <v>1.72</v>
      </c>
      <c r="L550" s="7">
        <v>2.04</v>
      </c>
      <c r="M550" s="7">
        <v>0.67</v>
      </c>
      <c r="N550" s="7">
        <v>0.46</v>
      </c>
      <c r="O550" s="7">
        <v>0.81</v>
      </c>
      <c r="P550" s="7">
        <v>1.45</v>
      </c>
      <c r="Q550" s="7">
        <v>0.01</v>
      </c>
    </row>
    <row r="551" spans="1:17">
      <c r="A551" s="2">
        <v>2499</v>
      </c>
      <c r="B551" s="7">
        <v>1.61</v>
      </c>
      <c r="C551" s="7">
        <v>0.24</v>
      </c>
      <c r="D551" s="7">
        <v>0.92</v>
      </c>
      <c r="E551" s="7">
        <v>0.15</v>
      </c>
      <c r="F551" s="7">
        <v>0.15</v>
      </c>
      <c r="G551" s="7">
        <v>0.22</v>
      </c>
      <c r="H551" s="7">
        <v>0.34</v>
      </c>
      <c r="I551" s="7">
        <v>0.38</v>
      </c>
      <c r="J551" s="7">
        <v>0.3</v>
      </c>
      <c r="K551" s="7">
        <v>1.72</v>
      </c>
      <c r="L551" s="7">
        <v>2.04</v>
      </c>
      <c r="M551" s="7">
        <v>0.67</v>
      </c>
      <c r="N551" s="7">
        <v>0.46</v>
      </c>
      <c r="O551" s="7">
        <v>0.81</v>
      </c>
      <c r="P551" s="7">
        <v>1.45</v>
      </c>
      <c r="Q551" s="7">
        <v>0.01</v>
      </c>
    </row>
    <row r="552" spans="1:17">
      <c r="A552" s="2">
        <v>2500</v>
      </c>
      <c r="B552" s="7">
        <v>1.61</v>
      </c>
      <c r="C552" s="7">
        <v>0.24</v>
      </c>
      <c r="D552" s="7">
        <v>0.92</v>
      </c>
      <c r="E552" s="7">
        <v>0.15</v>
      </c>
      <c r="F552" s="7">
        <v>0.15</v>
      </c>
      <c r="G552" s="7">
        <v>0.22</v>
      </c>
      <c r="H552" s="7">
        <v>0.34</v>
      </c>
      <c r="I552" s="7">
        <v>0.38</v>
      </c>
      <c r="J552" s="7">
        <v>0.3</v>
      </c>
      <c r="K552" s="7">
        <v>1.72</v>
      </c>
      <c r="L552" s="7">
        <v>2.04</v>
      </c>
      <c r="M552" s="7">
        <v>0.67</v>
      </c>
      <c r="N552" s="7">
        <v>0.46</v>
      </c>
      <c r="O552" s="7">
        <v>0.81</v>
      </c>
      <c r="P552" s="7">
        <v>1.45</v>
      </c>
      <c r="Q552" s="7">
        <v>0.01</v>
      </c>
    </row>
    <row r="553" spans="1:17">
      <c r="A553" s="2">
        <v>2501</v>
      </c>
      <c r="B553" s="7">
        <v>1.61</v>
      </c>
      <c r="C553" s="7">
        <v>0.24</v>
      </c>
      <c r="D553" s="7">
        <v>0.92</v>
      </c>
      <c r="E553" s="7">
        <v>0.15</v>
      </c>
      <c r="F553" s="7">
        <v>0.15</v>
      </c>
      <c r="G553" s="7">
        <v>0.22</v>
      </c>
      <c r="H553" s="7">
        <v>0.34</v>
      </c>
      <c r="I553" s="7">
        <v>0.38</v>
      </c>
      <c r="J553" s="7">
        <v>0.3</v>
      </c>
      <c r="K553" s="7">
        <v>1.72</v>
      </c>
      <c r="L553" s="7">
        <v>2.04</v>
      </c>
      <c r="M553" s="7">
        <v>0.67</v>
      </c>
      <c r="N553" s="7">
        <v>0.46</v>
      </c>
      <c r="O553" s="7">
        <v>0.81</v>
      </c>
      <c r="P553" s="7">
        <v>1.45</v>
      </c>
      <c r="Q553" s="7">
        <v>0.01</v>
      </c>
    </row>
    <row r="554" spans="1:17">
      <c r="A554" s="2">
        <v>2502</v>
      </c>
      <c r="B554" s="7">
        <v>1.61</v>
      </c>
      <c r="C554" s="7">
        <v>0.24</v>
      </c>
      <c r="D554" s="7">
        <v>0.92</v>
      </c>
      <c r="E554" s="7">
        <v>0.15</v>
      </c>
      <c r="F554" s="7">
        <v>0.15</v>
      </c>
      <c r="G554" s="7">
        <v>0.22</v>
      </c>
      <c r="H554" s="7">
        <v>0.34</v>
      </c>
      <c r="I554" s="7">
        <v>0.38</v>
      </c>
      <c r="J554" s="7">
        <v>0.3</v>
      </c>
      <c r="K554" s="7">
        <v>1.72</v>
      </c>
      <c r="L554" s="7">
        <v>2.04</v>
      </c>
      <c r="M554" s="7">
        <v>0.67</v>
      </c>
      <c r="N554" s="7">
        <v>0.46</v>
      </c>
      <c r="O554" s="7">
        <v>0.81</v>
      </c>
      <c r="P554" s="7">
        <v>1.45</v>
      </c>
      <c r="Q554" s="7">
        <v>0.01</v>
      </c>
    </row>
    <row r="555" spans="1:17">
      <c r="A555" s="2">
        <v>2503</v>
      </c>
      <c r="B555" s="7">
        <v>1.61</v>
      </c>
      <c r="C555" s="7">
        <v>0.24</v>
      </c>
      <c r="D555" s="7">
        <v>0.92</v>
      </c>
      <c r="E555" s="7">
        <v>0.15</v>
      </c>
      <c r="F555" s="7">
        <v>0.15</v>
      </c>
      <c r="G555" s="7">
        <v>0.22</v>
      </c>
      <c r="H555" s="7">
        <v>0.34</v>
      </c>
      <c r="I555" s="7">
        <v>0.38</v>
      </c>
      <c r="J555" s="7">
        <v>0.3</v>
      </c>
      <c r="K555" s="7">
        <v>1.72</v>
      </c>
      <c r="L555" s="7">
        <v>2.04</v>
      </c>
      <c r="M555" s="7">
        <v>0.67</v>
      </c>
      <c r="N555" s="7">
        <v>0.46</v>
      </c>
      <c r="O555" s="7">
        <v>0.81</v>
      </c>
      <c r="P555" s="7">
        <v>1.45</v>
      </c>
      <c r="Q555" s="7">
        <v>0.01</v>
      </c>
    </row>
    <row r="556" spans="1:17">
      <c r="A556" s="2">
        <v>2504</v>
      </c>
      <c r="B556" s="7">
        <v>1.61</v>
      </c>
      <c r="C556" s="7">
        <v>0.24</v>
      </c>
      <c r="D556" s="7">
        <v>0.92</v>
      </c>
      <c r="E556" s="7">
        <v>0.15</v>
      </c>
      <c r="F556" s="7">
        <v>0.15</v>
      </c>
      <c r="G556" s="7">
        <v>0.22</v>
      </c>
      <c r="H556" s="7">
        <v>0.34</v>
      </c>
      <c r="I556" s="7">
        <v>0.38</v>
      </c>
      <c r="J556" s="7">
        <v>0.3</v>
      </c>
      <c r="K556" s="7">
        <v>1.72</v>
      </c>
      <c r="L556" s="7">
        <v>2.04</v>
      </c>
      <c r="M556" s="7">
        <v>0.67</v>
      </c>
      <c r="N556" s="7">
        <v>0.46</v>
      </c>
      <c r="O556" s="7">
        <v>0.81</v>
      </c>
      <c r="P556" s="7">
        <v>1.45</v>
      </c>
      <c r="Q556" s="7">
        <v>0.01</v>
      </c>
    </row>
    <row r="557" spans="1:17">
      <c r="A557" s="2">
        <v>2505</v>
      </c>
      <c r="B557" s="7">
        <v>1.61</v>
      </c>
      <c r="C557" s="7">
        <v>0.24</v>
      </c>
      <c r="D557" s="7">
        <v>0.92</v>
      </c>
      <c r="E557" s="7">
        <v>0.15</v>
      </c>
      <c r="F557" s="7">
        <v>0.15</v>
      </c>
      <c r="G557" s="7">
        <v>0.22</v>
      </c>
      <c r="H557" s="7">
        <v>0.34</v>
      </c>
      <c r="I557" s="7">
        <v>0.38</v>
      </c>
      <c r="J557" s="7">
        <v>0.3</v>
      </c>
      <c r="K557" s="7">
        <v>1.72</v>
      </c>
      <c r="L557" s="7">
        <v>2.04</v>
      </c>
      <c r="M557" s="7">
        <v>0.67</v>
      </c>
      <c r="N557" s="7">
        <v>0.46</v>
      </c>
      <c r="O557" s="7">
        <v>0.81</v>
      </c>
      <c r="P557" s="7">
        <v>1.45</v>
      </c>
      <c r="Q557" s="7">
        <v>0.01</v>
      </c>
    </row>
    <row r="558" spans="1:17">
      <c r="A558" s="2">
        <v>2506</v>
      </c>
      <c r="B558" s="7">
        <v>1.61</v>
      </c>
      <c r="C558" s="7">
        <v>0.24</v>
      </c>
      <c r="D558" s="7">
        <v>0.92</v>
      </c>
      <c r="E558" s="7">
        <v>0.15</v>
      </c>
      <c r="F558" s="7">
        <v>0.15</v>
      </c>
      <c r="G558" s="7">
        <v>0.22</v>
      </c>
      <c r="H558" s="7">
        <v>0.34</v>
      </c>
      <c r="I558" s="7">
        <v>0.38</v>
      </c>
      <c r="J558" s="7">
        <v>0.3</v>
      </c>
      <c r="K558" s="7">
        <v>1.72</v>
      </c>
      <c r="L558" s="7">
        <v>2.04</v>
      </c>
      <c r="M558" s="7">
        <v>0.67</v>
      </c>
      <c r="N558" s="7">
        <v>0.46</v>
      </c>
      <c r="O558" s="7">
        <v>0.81</v>
      </c>
      <c r="P558" s="7">
        <v>1.45</v>
      </c>
      <c r="Q558" s="7">
        <v>0.01</v>
      </c>
    </row>
    <row r="559" spans="1:17">
      <c r="A559" s="2">
        <v>2507</v>
      </c>
      <c r="B559" s="7">
        <v>1.61</v>
      </c>
      <c r="C559" s="7">
        <v>0.24</v>
      </c>
      <c r="D559" s="7">
        <v>0.92</v>
      </c>
      <c r="E559" s="7">
        <v>0.15</v>
      </c>
      <c r="F559" s="7">
        <v>0.15</v>
      </c>
      <c r="G559" s="7">
        <v>0.22</v>
      </c>
      <c r="H559" s="7">
        <v>0.34</v>
      </c>
      <c r="I559" s="7">
        <v>0.38</v>
      </c>
      <c r="J559" s="7">
        <v>0.3</v>
      </c>
      <c r="K559" s="7">
        <v>1.72</v>
      </c>
      <c r="L559" s="7">
        <v>2.04</v>
      </c>
      <c r="M559" s="7">
        <v>0.67</v>
      </c>
      <c r="N559" s="7">
        <v>0.46</v>
      </c>
      <c r="O559" s="7">
        <v>0.81</v>
      </c>
      <c r="P559" s="7">
        <v>1.45</v>
      </c>
      <c r="Q559" s="7">
        <v>0.01</v>
      </c>
    </row>
    <row r="560" spans="1:17">
      <c r="A560" s="2">
        <v>2508</v>
      </c>
      <c r="B560" s="7">
        <v>1.61</v>
      </c>
      <c r="C560" s="7">
        <v>0.24</v>
      </c>
      <c r="D560" s="7">
        <v>0.92</v>
      </c>
      <c r="E560" s="7">
        <v>0.15</v>
      </c>
      <c r="F560" s="7">
        <v>0.15</v>
      </c>
      <c r="G560" s="7">
        <v>0.22</v>
      </c>
      <c r="H560" s="7">
        <v>0.34</v>
      </c>
      <c r="I560" s="7">
        <v>0.38</v>
      </c>
      <c r="J560" s="7">
        <v>0.3</v>
      </c>
      <c r="K560" s="7">
        <v>1.72</v>
      </c>
      <c r="L560" s="7">
        <v>2.04</v>
      </c>
      <c r="M560" s="7">
        <v>0.67</v>
      </c>
      <c r="N560" s="7">
        <v>0.46</v>
      </c>
      <c r="O560" s="7">
        <v>0.81</v>
      </c>
      <c r="P560" s="7">
        <v>1.45</v>
      </c>
      <c r="Q560" s="7">
        <v>0.01</v>
      </c>
    </row>
    <row r="561" spans="1:17">
      <c r="A561" s="2">
        <v>2509</v>
      </c>
      <c r="B561" s="7">
        <v>1.61</v>
      </c>
      <c r="C561" s="7">
        <v>0.24</v>
      </c>
      <c r="D561" s="7">
        <v>0.92</v>
      </c>
      <c r="E561" s="7">
        <v>0.15</v>
      </c>
      <c r="F561" s="7">
        <v>0.15</v>
      </c>
      <c r="G561" s="7">
        <v>0.22</v>
      </c>
      <c r="H561" s="7">
        <v>0.34</v>
      </c>
      <c r="I561" s="7">
        <v>0.38</v>
      </c>
      <c r="J561" s="7">
        <v>0.3</v>
      </c>
      <c r="K561" s="7">
        <v>1.72</v>
      </c>
      <c r="L561" s="7">
        <v>2.04</v>
      </c>
      <c r="M561" s="7">
        <v>0.67</v>
      </c>
      <c r="N561" s="7">
        <v>0.46</v>
      </c>
      <c r="O561" s="7">
        <v>0.81</v>
      </c>
      <c r="P561" s="7">
        <v>1.45</v>
      </c>
      <c r="Q561" s="7">
        <v>0.01</v>
      </c>
    </row>
    <row r="562" spans="1:17">
      <c r="A562" s="2">
        <v>2510</v>
      </c>
      <c r="B562" s="7">
        <v>1.61</v>
      </c>
      <c r="C562" s="7">
        <v>0.24</v>
      </c>
      <c r="D562" s="7">
        <v>0.92</v>
      </c>
      <c r="E562" s="7">
        <v>0.15</v>
      </c>
      <c r="F562" s="7">
        <v>0.15</v>
      </c>
      <c r="G562" s="7">
        <v>0.22</v>
      </c>
      <c r="H562" s="7">
        <v>0.34</v>
      </c>
      <c r="I562" s="7">
        <v>0.38</v>
      </c>
      <c r="J562" s="7">
        <v>0.3</v>
      </c>
      <c r="K562" s="7">
        <v>1.72</v>
      </c>
      <c r="L562" s="7">
        <v>2.04</v>
      </c>
      <c r="M562" s="7">
        <v>0.67</v>
      </c>
      <c r="N562" s="7">
        <v>0.46</v>
      </c>
      <c r="O562" s="7">
        <v>0.81</v>
      </c>
      <c r="P562" s="7">
        <v>1.45</v>
      </c>
      <c r="Q562" s="7">
        <v>0.01</v>
      </c>
    </row>
    <row r="563" spans="1:17">
      <c r="A563" s="2">
        <v>2511</v>
      </c>
      <c r="B563" s="7">
        <v>1.61</v>
      </c>
      <c r="C563" s="7">
        <v>0.24</v>
      </c>
      <c r="D563" s="7">
        <v>0.92</v>
      </c>
      <c r="E563" s="7">
        <v>0.15</v>
      </c>
      <c r="F563" s="7">
        <v>0.15</v>
      </c>
      <c r="G563" s="7">
        <v>0.22</v>
      </c>
      <c r="H563" s="7">
        <v>0.34</v>
      </c>
      <c r="I563" s="7">
        <v>0.38</v>
      </c>
      <c r="J563" s="7">
        <v>0.3</v>
      </c>
      <c r="K563" s="7">
        <v>1.72</v>
      </c>
      <c r="L563" s="7">
        <v>2.04</v>
      </c>
      <c r="M563" s="7">
        <v>0.67</v>
      </c>
      <c r="N563" s="7">
        <v>0.46</v>
      </c>
      <c r="O563" s="7">
        <v>0.81</v>
      </c>
      <c r="P563" s="7">
        <v>1.45</v>
      </c>
      <c r="Q563" s="7">
        <v>0.01</v>
      </c>
    </row>
    <row r="564" spans="1:17">
      <c r="A564" s="2">
        <v>2512</v>
      </c>
      <c r="B564" s="7">
        <v>1.61</v>
      </c>
      <c r="C564" s="7">
        <v>0.24</v>
      </c>
      <c r="D564" s="7">
        <v>0.92</v>
      </c>
      <c r="E564" s="7">
        <v>0.15</v>
      </c>
      <c r="F564" s="7">
        <v>0.15</v>
      </c>
      <c r="G564" s="7">
        <v>0.22</v>
      </c>
      <c r="H564" s="7">
        <v>0.34</v>
      </c>
      <c r="I564" s="7">
        <v>0.38</v>
      </c>
      <c r="J564" s="7">
        <v>0.3</v>
      </c>
      <c r="K564" s="7">
        <v>1.72</v>
      </c>
      <c r="L564" s="7">
        <v>2.04</v>
      </c>
      <c r="M564" s="7">
        <v>0.67</v>
      </c>
      <c r="N564" s="7">
        <v>0.46</v>
      </c>
      <c r="O564" s="7">
        <v>0.81</v>
      </c>
      <c r="P564" s="7">
        <v>1.45</v>
      </c>
      <c r="Q564" s="7">
        <v>0.01</v>
      </c>
    </row>
    <row r="565" spans="1:17">
      <c r="A565" s="2">
        <v>2513</v>
      </c>
      <c r="B565" s="7">
        <v>1.61</v>
      </c>
      <c r="C565" s="7">
        <v>0.24</v>
      </c>
      <c r="D565" s="7">
        <v>0.92</v>
      </c>
      <c r="E565" s="7">
        <v>0.15</v>
      </c>
      <c r="F565" s="7">
        <v>0.15</v>
      </c>
      <c r="G565" s="7">
        <v>0.22</v>
      </c>
      <c r="H565" s="7">
        <v>0.34</v>
      </c>
      <c r="I565" s="7">
        <v>0.38</v>
      </c>
      <c r="J565" s="7">
        <v>0.3</v>
      </c>
      <c r="K565" s="7">
        <v>1.72</v>
      </c>
      <c r="L565" s="7">
        <v>2.04</v>
      </c>
      <c r="M565" s="7">
        <v>0.67</v>
      </c>
      <c r="N565" s="7">
        <v>0.46</v>
      </c>
      <c r="O565" s="7">
        <v>0.81</v>
      </c>
      <c r="P565" s="7">
        <v>1.45</v>
      </c>
      <c r="Q565" s="7">
        <v>0.01</v>
      </c>
    </row>
    <row r="566" spans="1:17">
      <c r="A566" s="2">
        <v>2514</v>
      </c>
      <c r="B566" s="7">
        <v>1.61</v>
      </c>
      <c r="C566" s="7">
        <v>0.24</v>
      </c>
      <c r="D566" s="7">
        <v>0.92</v>
      </c>
      <c r="E566" s="7">
        <v>0.15</v>
      </c>
      <c r="F566" s="7">
        <v>0.15</v>
      </c>
      <c r="G566" s="7">
        <v>0.22</v>
      </c>
      <c r="H566" s="7">
        <v>0.34</v>
      </c>
      <c r="I566" s="7">
        <v>0.38</v>
      </c>
      <c r="J566" s="7">
        <v>0.3</v>
      </c>
      <c r="K566" s="7">
        <v>1.72</v>
      </c>
      <c r="L566" s="7">
        <v>2.04</v>
      </c>
      <c r="M566" s="7">
        <v>0.67</v>
      </c>
      <c r="N566" s="7">
        <v>0.46</v>
      </c>
      <c r="O566" s="7">
        <v>0.81</v>
      </c>
      <c r="P566" s="7">
        <v>1.45</v>
      </c>
      <c r="Q566" s="7">
        <v>0.01</v>
      </c>
    </row>
    <row r="567" spans="1:17">
      <c r="A567" s="2">
        <v>2515</v>
      </c>
      <c r="B567" s="7">
        <v>1.61</v>
      </c>
      <c r="C567" s="7">
        <v>0.24</v>
      </c>
      <c r="D567" s="7">
        <v>0.92</v>
      </c>
      <c r="E567" s="7">
        <v>0.15</v>
      </c>
      <c r="F567" s="7">
        <v>0.15</v>
      </c>
      <c r="G567" s="7">
        <v>0.22</v>
      </c>
      <c r="H567" s="7">
        <v>0.34</v>
      </c>
      <c r="I567" s="7">
        <v>0.38</v>
      </c>
      <c r="J567" s="7">
        <v>0.3</v>
      </c>
      <c r="K567" s="7">
        <v>1.72</v>
      </c>
      <c r="L567" s="7">
        <v>2.04</v>
      </c>
      <c r="M567" s="7">
        <v>0.67</v>
      </c>
      <c r="N567" s="7">
        <v>0.46</v>
      </c>
      <c r="O567" s="7">
        <v>0.81</v>
      </c>
      <c r="P567" s="7">
        <v>1.45</v>
      </c>
      <c r="Q567" s="7">
        <v>0.01</v>
      </c>
    </row>
    <row r="568" spans="1:17">
      <c r="A568" s="2">
        <v>2516</v>
      </c>
      <c r="B568" s="7">
        <v>1.61</v>
      </c>
      <c r="C568" s="7">
        <v>0.24</v>
      </c>
      <c r="D568" s="7">
        <v>0.92</v>
      </c>
      <c r="E568" s="7">
        <v>0.15</v>
      </c>
      <c r="F568" s="7">
        <v>0.15</v>
      </c>
      <c r="G568" s="7">
        <v>0.22</v>
      </c>
      <c r="H568" s="7">
        <v>0.34</v>
      </c>
      <c r="I568" s="7">
        <v>0.38</v>
      </c>
      <c r="J568" s="7">
        <v>0.3</v>
      </c>
      <c r="K568" s="7">
        <v>1.72</v>
      </c>
      <c r="L568" s="7">
        <v>2.04</v>
      </c>
      <c r="M568" s="7">
        <v>0.67</v>
      </c>
      <c r="N568" s="7">
        <v>0.46</v>
      </c>
      <c r="O568" s="7">
        <v>0.81</v>
      </c>
      <c r="P568" s="7">
        <v>1.45</v>
      </c>
      <c r="Q568" s="7">
        <v>0.01</v>
      </c>
    </row>
    <row r="569" spans="1:17">
      <c r="A569" s="2">
        <v>2517</v>
      </c>
      <c r="B569" s="7">
        <v>1.61</v>
      </c>
      <c r="C569" s="7">
        <v>0.24</v>
      </c>
      <c r="D569" s="7">
        <v>0.92</v>
      </c>
      <c r="E569" s="7">
        <v>0.15</v>
      </c>
      <c r="F569" s="7">
        <v>0.15</v>
      </c>
      <c r="G569" s="7">
        <v>0.22</v>
      </c>
      <c r="H569" s="7">
        <v>0.34</v>
      </c>
      <c r="I569" s="7">
        <v>0.38</v>
      </c>
      <c r="J569" s="7">
        <v>0.3</v>
      </c>
      <c r="K569" s="7">
        <v>1.72</v>
      </c>
      <c r="L569" s="7">
        <v>2.04</v>
      </c>
      <c r="M569" s="7">
        <v>0.67</v>
      </c>
      <c r="N569" s="7">
        <v>0.46</v>
      </c>
      <c r="O569" s="7">
        <v>0.81</v>
      </c>
      <c r="P569" s="7">
        <v>1.45</v>
      </c>
      <c r="Q569" s="7">
        <v>0.01</v>
      </c>
    </row>
    <row r="570" spans="1:17">
      <c r="A570" s="2">
        <v>2518</v>
      </c>
      <c r="B570" s="7">
        <v>1.61</v>
      </c>
      <c r="C570" s="7">
        <v>0.24</v>
      </c>
      <c r="D570" s="7">
        <v>0.92</v>
      </c>
      <c r="E570" s="7">
        <v>0.15</v>
      </c>
      <c r="F570" s="7">
        <v>0.15</v>
      </c>
      <c r="G570" s="7">
        <v>0.22</v>
      </c>
      <c r="H570" s="7">
        <v>0.34</v>
      </c>
      <c r="I570" s="7">
        <v>0.38</v>
      </c>
      <c r="J570" s="7">
        <v>0.3</v>
      </c>
      <c r="K570" s="7">
        <v>1.72</v>
      </c>
      <c r="L570" s="7">
        <v>2.04</v>
      </c>
      <c r="M570" s="7">
        <v>0.67</v>
      </c>
      <c r="N570" s="7">
        <v>0.46</v>
      </c>
      <c r="O570" s="7">
        <v>0.81</v>
      </c>
      <c r="P570" s="7">
        <v>1.45</v>
      </c>
      <c r="Q570" s="7">
        <v>0.01</v>
      </c>
    </row>
    <row r="571" spans="1:17">
      <c r="A571" s="2">
        <v>2519</v>
      </c>
      <c r="B571" s="7">
        <v>1.61</v>
      </c>
      <c r="C571" s="7">
        <v>0.24</v>
      </c>
      <c r="D571" s="7">
        <v>0.92</v>
      </c>
      <c r="E571" s="7">
        <v>0.15</v>
      </c>
      <c r="F571" s="7">
        <v>0.15</v>
      </c>
      <c r="G571" s="7">
        <v>0.22</v>
      </c>
      <c r="H571" s="7">
        <v>0.34</v>
      </c>
      <c r="I571" s="7">
        <v>0.38</v>
      </c>
      <c r="J571" s="7">
        <v>0.3</v>
      </c>
      <c r="K571" s="7">
        <v>1.72</v>
      </c>
      <c r="L571" s="7">
        <v>2.04</v>
      </c>
      <c r="M571" s="7">
        <v>0.67</v>
      </c>
      <c r="N571" s="7">
        <v>0.46</v>
      </c>
      <c r="O571" s="7">
        <v>0.81</v>
      </c>
      <c r="P571" s="7">
        <v>1.45</v>
      </c>
      <c r="Q571" s="7">
        <v>0.01</v>
      </c>
    </row>
    <row r="572" spans="1:17">
      <c r="A572" s="2">
        <v>2520</v>
      </c>
      <c r="B572" s="7">
        <v>1.61</v>
      </c>
      <c r="C572" s="7">
        <v>0.24</v>
      </c>
      <c r="D572" s="7">
        <v>0.92</v>
      </c>
      <c r="E572" s="7">
        <v>0.15</v>
      </c>
      <c r="F572" s="7">
        <v>0.15</v>
      </c>
      <c r="G572" s="7">
        <v>0.22</v>
      </c>
      <c r="H572" s="7">
        <v>0.34</v>
      </c>
      <c r="I572" s="7">
        <v>0.38</v>
      </c>
      <c r="J572" s="7">
        <v>0.3</v>
      </c>
      <c r="K572" s="7">
        <v>1.72</v>
      </c>
      <c r="L572" s="7">
        <v>2.04</v>
      </c>
      <c r="M572" s="7">
        <v>0.67</v>
      </c>
      <c r="N572" s="7">
        <v>0.46</v>
      </c>
      <c r="O572" s="7">
        <v>0.81</v>
      </c>
      <c r="P572" s="7">
        <v>1.45</v>
      </c>
      <c r="Q572" s="7">
        <v>0.01</v>
      </c>
    </row>
    <row r="573" spans="1:17">
      <c r="A573" s="2">
        <v>2521</v>
      </c>
      <c r="B573" s="7">
        <v>1.61</v>
      </c>
      <c r="C573" s="7">
        <v>0.24</v>
      </c>
      <c r="D573" s="7">
        <v>0.92</v>
      </c>
      <c r="E573" s="7">
        <v>0.15</v>
      </c>
      <c r="F573" s="7">
        <v>0.15</v>
      </c>
      <c r="G573" s="7">
        <v>0.22</v>
      </c>
      <c r="H573" s="7">
        <v>0.34</v>
      </c>
      <c r="I573" s="7">
        <v>0.38</v>
      </c>
      <c r="J573" s="7">
        <v>0.3</v>
      </c>
      <c r="K573" s="7">
        <v>1.72</v>
      </c>
      <c r="L573" s="7">
        <v>2.04</v>
      </c>
      <c r="M573" s="7">
        <v>0.67</v>
      </c>
      <c r="N573" s="7">
        <v>0.46</v>
      </c>
      <c r="O573" s="7">
        <v>0.81</v>
      </c>
      <c r="P573" s="7">
        <v>1.45</v>
      </c>
      <c r="Q573" s="7">
        <v>0.01</v>
      </c>
    </row>
    <row r="574" spans="1:17">
      <c r="A574" s="2">
        <v>2522</v>
      </c>
      <c r="B574" s="7">
        <v>1.61</v>
      </c>
      <c r="C574" s="7">
        <v>0.24</v>
      </c>
      <c r="D574" s="7">
        <v>0.92</v>
      </c>
      <c r="E574" s="7">
        <v>0.15</v>
      </c>
      <c r="F574" s="7">
        <v>0.15</v>
      </c>
      <c r="G574" s="7">
        <v>0.22</v>
      </c>
      <c r="H574" s="7">
        <v>0.34</v>
      </c>
      <c r="I574" s="7">
        <v>0.38</v>
      </c>
      <c r="J574" s="7">
        <v>0.3</v>
      </c>
      <c r="K574" s="7">
        <v>1.72</v>
      </c>
      <c r="L574" s="7">
        <v>2.04</v>
      </c>
      <c r="M574" s="7">
        <v>0.67</v>
      </c>
      <c r="N574" s="7">
        <v>0.46</v>
      </c>
      <c r="O574" s="7">
        <v>0.81</v>
      </c>
      <c r="P574" s="7">
        <v>1.45</v>
      </c>
      <c r="Q574" s="7">
        <v>0.01</v>
      </c>
    </row>
    <row r="575" spans="1:17">
      <c r="A575" s="2">
        <v>2523</v>
      </c>
      <c r="B575" s="7">
        <v>1.61</v>
      </c>
      <c r="C575" s="7">
        <v>0.24</v>
      </c>
      <c r="D575" s="7">
        <v>0.92</v>
      </c>
      <c r="E575" s="7">
        <v>0.15</v>
      </c>
      <c r="F575" s="7">
        <v>0.15</v>
      </c>
      <c r="G575" s="7">
        <v>0.22</v>
      </c>
      <c r="H575" s="7">
        <v>0.34</v>
      </c>
      <c r="I575" s="7">
        <v>0.38</v>
      </c>
      <c r="J575" s="7">
        <v>0.3</v>
      </c>
      <c r="K575" s="7">
        <v>1.72</v>
      </c>
      <c r="L575" s="7">
        <v>2.04</v>
      </c>
      <c r="M575" s="7">
        <v>0.67</v>
      </c>
      <c r="N575" s="7">
        <v>0.46</v>
      </c>
      <c r="O575" s="7">
        <v>0.81</v>
      </c>
      <c r="P575" s="7">
        <v>1.45</v>
      </c>
      <c r="Q575" s="7">
        <v>0.01</v>
      </c>
    </row>
    <row r="576" spans="1:17">
      <c r="A576" s="2">
        <v>2524</v>
      </c>
      <c r="B576" s="7">
        <v>1.61</v>
      </c>
      <c r="C576" s="7">
        <v>0.24</v>
      </c>
      <c r="D576" s="7">
        <v>0.92</v>
      </c>
      <c r="E576" s="7">
        <v>0.15</v>
      </c>
      <c r="F576" s="7">
        <v>0.15</v>
      </c>
      <c r="G576" s="7">
        <v>0.22</v>
      </c>
      <c r="H576" s="7">
        <v>0.34</v>
      </c>
      <c r="I576" s="7">
        <v>0.38</v>
      </c>
      <c r="J576" s="7">
        <v>0.3</v>
      </c>
      <c r="K576" s="7">
        <v>1.72</v>
      </c>
      <c r="L576" s="7">
        <v>2.04</v>
      </c>
      <c r="M576" s="7">
        <v>0.67</v>
      </c>
      <c r="N576" s="7">
        <v>0.46</v>
      </c>
      <c r="O576" s="7">
        <v>0.81</v>
      </c>
      <c r="P576" s="7">
        <v>1.45</v>
      </c>
      <c r="Q576" s="7">
        <v>0.01</v>
      </c>
    </row>
    <row r="577" spans="1:17">
      <c r="A577" s="2">
        <v>2525</v>
      </c>
      <c r="B577" s="7">
        <v>1.61</v>
      </c>
      <c r="C577" s="7">
        <v>0.24</v>
      </c>
      <c r="D577" s="7">
        <v>0.92</v>
      </c>
      <c r="E577" s="7">
        <v>0.15</v>
      </c>
      <c r="F577" s="7">
        <v>0.15</v>
      </c>
      <c r="G577" s="7">
        <v>0.22</v>
      </c>
      <c r="H577" s="7">
        <v>0.34</v>
      </c>
      <c r="I577" s="7">
        <v>0.38</v>
      </c>
      <c r="J577" s="7">
        <v>0.3</v>
      </c>
      <c r="K577" s="7">
        <v>1.72</v>
      </c>
      <c r="L577" s="7">
        <v>2.04</v>
      </c>
      <c r="M577" s="7">
        <v>0.67</v>
      </c>
      <c r="N577" s="7">
        <v>0.46</v>
      </c>
      <c r="O577" s="7">
        <v>0.81</v>
      </c>
      <c r="P577" s="7">
        <v>1.45</v>
      </c>
      <c r="Q577" s="7">
        <v>0.01</v>
      </c>
    </row>
    <row r="578" spans="1:17">
      <c r="A578" s="2">
        <v>2526</v>
      </c>
      <c r="B578" s="7">
        <v>1.61</v>
      </c>
      <c r="C578" s="7">
        <v>0.24</v>
      </c>
      <c r="D578" s="7">
        <v>0.92</v>
      </c>
      <c r="E578" s="7">
        <v>0.15</v>
      </c>
      <c r="F578" s="7">
        <v>0.15</v>
      </c>
      <c r="G578" s="7">
        <v>0.22</v>
      </c>
      <c r="H578" s="7">
        <v>0.34</v>
      </c>
      <c r="I578" s="7">
        <v>0.38</v>
      </c>
      <c r="J578" s="7">
        <v>0.3</v>
      </c>
      <c r="K578" s="7">
        <v>1.72</v>
      </c>
      <c r="L578" s="7">
        <v>2.04</v>
      </c>
      <c r="M578" s="7">
        <v>0.67</v>
      </c>
      <c r="N578" s="7">
        <v>0.46</v>
      </c>
      <c r="O578" s="7">
        <v>0.81</v>
      </c>
      <c r="P578" s="7">
        <v>1.45</v>
      </c>
      <c r="Q578" s="7">
        <v>0.01</v>
      </c>
    </row>
    <row r="579" spans="1:17">
      <c r="A579" s="2">
        <v>2527</v>
      </c>
      <c r="B579" s="7">
        <v>1.61</v>
      </c>
      <c r="C579" s="7">
        <v>0.24</v>
      </c>
      <c r="D579" s="7">
        <v>0.92</v>
      </c>
      <c r="E579" s="7">
        <v>0.15</v>
      </c>
      <c r="F579" s="7">
        <v>0.15</v>
      </c>
      <c r="G579" s="7">
        <v>0.22</v>
      </c>
      <c r="H579" s="7">
        <v>0.34</v>
      </c>
      <c r="I579" s="7">
        <v>0.38</v>
      </c>
      <c r="J579" s="7">
        <v>0.3</v>
      </c>
      <c r="K579" s="7">
        <v>1.72</v>
      </c>
      <c r="L579" s="7">
        <v>2.04</v>
      </c>
      <c r="M579" s="7">
        <v>0.67</v>
      </c>
      <c r="N579" s="7">
        <v>0.46</v>
      </c>
      <c r="O579" s="7">
        <v>0.81</v>
      </c>
      <c r="P579" s="7">
        <v>1.45</v>
      </c>
      <c r="Q579" s="7">
        <v>0.01</v>
      </c>
    </row>
    <row r="580" spans="1:17">
      <c r="A580" s="2">
        <v>2528</v>
      </c>
      <c r="B580" s="7">
        <v>1.61</v>
      </c>
      <c r="C580" s="7">
        <v>0.24</v>
      </c>
      <c r="D580" s="7">
        <v>0.92</v>
      </c>
      <c r="E580" s="7">
        <v>0.15</v>
      </c>
      <c r="F580" s="7">
        <v>0.15</v>
      </c>
      <c r="G580" s="7">
        <v>0.22</v>
      </c>
      <c r="H580" s="7">
        <v>0.34</v>
      </c>
      <c r="I580" s="7">
        <v>0.38</v>
      </c>
      <c r="J580" s="7">
        <v>0.3</v>
      </c>
      <c r="K580" s="7">
        <v>1.72</v>
      </c>
      <c r="L580" s="7">
        <v>2.04</v>
      </c>
      <c r="M580" s="7">
        <v>0.67</v>
      </c>
      <c r="N580" s="7">
        <v>0.46</v>
      </c>
      <c r="O580" s="7">
        <v>0.81</v>
      </c>
      <c r="P580" s="7">
        <v>1.45</v>
      </c>
      <c r="Q580" s="7">
        <v>0.01</v>
      </c>
    </row>
    <row r="581" spans="1:17">
      <c r="A581" s="2">
        <v>2529</v>
      </c>
      <c r="B581" s="7">
        <v>1.61</v>
      </c>
      <c r="C581" s="7">
        <v>0.24</v>
      </c>
      <c r="D581" s="7">
        <v>0.92</v>
      </c>
      <c r="E581" s="7">
        <v>0.15</v>
      </c>
      <c r="F581" s="7">
        <v>0.15</v>
      </c>
      <c r="G581" s="7">
        <v>0.22</v>
      </c>
      <c r="H581" s="7">
        <v>0.34</v>
      </c>
      <c r="I581" s="7">
        <v>0.38</v>
      </c>
      <c r="J581" s="7">
        <v>0.3</v>
      </c>
      <c r="K581" s="7">
        <v>1.72</v>
      </c>
      <c r="L581" s="7">
        <v>2.04</v>
      </c>
      <c r="M581" s="7">
        <v>0.67</v>
      </c>
      <c r="N581" s="7">
        <v>0.46</v>
      </c>
      <c r="O581" s="7">
        <v>0.81</v>
      </c>
      <c r="P581" s="7">
        <v>1.45</v>
      </c>
      <c r="Q581" s="7">
        <v>0.01</v>
      </c>
    </row>
    <row r="582" spans="1:17">
      <c r="A582" s="2">
        <v>2530</v>
      </c>
      <c r="B582" s="7">
        <v>1.61</v>
      </c>
      <c r="C582" s="7">
        <v>0.24</v>
      </c>
      <c r="D582" s="7">
        <v>0.92</v>
      </c>
      <c r="E582" s="7">
        <v>0.15</v>
      </c>
      <c r="F582" s="7">
        <v>0.15</v>
      </c>
      <c r="G582" s="7">
        <v>0.22</v>
      </c>
      <c r="H582" s="7">
        <v>0.34</v>
      </c>
      <c r="I582" s="7">
        <v>0.38</v>
      </c>
      <c r="J582" s="7">
        <v>0.3</v>
      </c>
      <c r="K582" s="7">
        <v>1.72</v>
      </c>
      <c r="L582" s="7">
        <v>2.04</v>
      </c>
      <c r="M582" s="7">
        <v>0.67</v>
      </c>
      <c r="N582" s="7">
        <v>0.46</v>
      </c>
      <c r="O582" s="7">
        <v>0.81</v>
      </c>
      <c r="P582" s="7">
        <v>1.45</v>
      </c>
      <c r="Q582" s="7">
        <v>0.01</v>
      </c>
    </row>
    <row r="583" spans="1:17">
      <c r="A583" s="2">
        <v>2531</v>
      </c>
      <c r="B583" s="7">
        <v>1.61</v>
      </c>
      <c r="C583" s="7">
        <v>0.24</v>
      </c>
      <c r="D583" s="7">
        <v>0.92</v>
      </c>
      <c r="E583" s="7">
        <v>0.15</v>
      </c>
      <c r="F583" s="7">
        <v>0.15</v>
      </c>
      <c r="G583" s="7">
        <v>0.22</v>
      </c>
      <c r="H583" s="7">
        <v>0.34</v>
      </c>
      <c r="I583" s="7">
        <v>0.38</v>
      </c>
      <c r="J583" s="7">
        <v>0.3</v>
      </c>
      <c r="K583" s="7">
        <v>1.72</v>
      </c>
      <c r="L583" s="7">
        <v>2.04</v>
      </c>
      <c r="M583" s="7">
        <v>0.67</v>
      </c>
      <c r="N583" s="7">
        <v>0.46</v>
      </c>
      <c r="O583" s="7">
        <v>0.81</v>
      </c>
      <c r="P583" s="7">
        <v>1.45</v>
      </c>
      <c r="Q583" s="7">
        <v>0.01</v>
      </c>
    </row>
    <row r="584" spans="1:17">
      <c r="A584" s="2">
        <v>2532</v>
      </c>
      <c r="B584" s="7">
        <v>1.61</v>
      </c>
      <c r="C584" s="7">
        <v>0.24</v>
      </c>
      <c r="D584" s="7">
        <v>0.92</v>
      </c>
      <c r="E584" s="7">
        <v>0.15</v>
      </c>
      <c r="F584" s="7">
        <v>0.15</v>
      </c>
      <c r="G584" s="7">
        <v>0.22</v>
      </c>
      <c r="H584" s="7">
        <v>0.34</v>
      </c>
      <c r="I584" s="7">
        <v>0.38</v>
      </c>
      <c r="J584" s="7">
        <v>0.3</v>
      </c>
      <c r="K584" s="7">
        <v>1.72</v>
      </c>
      <c r="L584" s="7">
        <v>2.04</v>
      </c>
      <c r="M584" s="7">
        <v>0.67</v>
      </c>
      <c r="N584" s="7">
        <v>0.46</v>
      </c>
      <c r="O584" s="7">
        <v>0.81</v>
      </c>
      <c r="P584" s="7">
        <v>1.45</v>
      </c>
      <c r="Q584" s="7">
        <v>0.01</v>
      </c>
    </row>
    <row r="585" spans="1:17">
      <c r="A585" s="2">
        <v>2533</v>
      </c>
      <c r="B585" s="7">
        <v>1.61</v>
      </c>
      <c r="C585" s="7">
        <v>0.24</v>
      </c>
      <c r="D585" s="7">
        <v>0.92</v>
      </c>
      <c r="E585" s="7">
        <v>0.15</v>
      </c>
      <c r="F585" s="7">
        <v>0.15</v>
      </c>
      <c r="G585" s="7">
        <v>0.22</v>
      </c>
      <c r="H585" s="7">
        <v>0.34</v>
      </c>
      <c r="I585" s="7">
        <v>0.38</v>
      </c>
      <c r="J585" s="7">
        <v>0.3</v>
      </c>
      <c r="K585" s="7">
        <v>1.72</v>
      </c>
      <c r="L585" s="7">
        <v>2.04</v>
      </c>
      <c r="M585" s="7">
        <v>0.67</v>
      </c>
      <c r="N585" s="7">
        <v>0.46</v>
      </c>
      <c r="O585" s="7">
        <v>0.81</v>
      </c>
      <c r="P585" s="7">
        <v>1.45</v>
      </c>
      <c r="Q585" s="7">
        <v>0.01</v>
      </c>
    </row>
    <row r="586" spans="1:17">
      <c r="A586" s="2">
        <v>2534</v>
      </c>
      <c r="B586" s="7">
        <v>1.61</v>
      </c>
      <c r="C586" s="7">
        <v>0.24</v>
      </c>
      <c r="D586" s="7">
        <v>0.92</v>
      </c>
      <c r="E586" s="7">
        <v>0.15</v>
      </c>
      <c r="F586" s="7">
        <v>0.15</v>
      </c>
      <c r="G586" s="7">
        <v>0.22</v>
      </c>
      <c r="H586" s="7">
        <v>0.34</v>
      </c>
      <c r="I586" s="7">
        <v>0.38</v>
      </c>
      <c r="J586" s="7">
        <v>0.3</v>
      </c>
      <c r="K586" s="7">
        <v>1.72</v>
      </c>
      <c r="L586" s="7">
        <v>2.04</v>
      </c>
      <c r="M586" s="7">
        <v>0.67</v>
      </c>
      <c r="N586" s="7">
        <v>0.46</v>
      </c>
      <c r="O586" s="7">
        <v>0.81</v>
      </c>
      <c r="P586" s="7">
        <v>1.45</v>
      </c>
      <c r="Q586" s="7">
        <v>0.01</v>
      </c>
    </row>
    <row r="587" spans="1:17">
      <c r="A587" s="2">
        <v>2535</v>
      </c>
      <c r="B587" s="7">
        <v>1.61</v>
      </c>
      <c r="C587" s="7">
        <v>0.24</v>
      </c>
      <c r="D587" s="7">
        <v>0.92</v>
      </c>
      <c r="E587" s="7">
        <v>0.15</v>
      </c>
      <c r="F587" s="7">
        <v>0.15</v>
      </c>
      <c r="G587" s="7">
        <v>0.22</v>
      </c>
      <c r="H587" s="7">
        <v>0.34</v>
      </c>
      <c r="I587" s="7">
        <v>0.38</v>
      </c>
      <c r="J587" s="7">
        <v>0.3</v>
      </c>
      <c r="K587" s="7">
        <v>1.72</v>
      </c>
      <c r="L587" s="7">
        <v>2.04</v>
      </c>
      <c r="M587" s="7">
        <v>0.67</v>
      </c>
      <c r="N587" s="7">
        <v>0.46</v>
      </c>
      <c r="O587" s="7">
        <v>0.81</v>
      </c>
      <c r="P587" s="7">
        <v>1.45</v>
      </c>
      <c r="Q587" s="7">
        <v>0.01</v>
      </c>
    </row>
    <row r="588" spans="1:17">
      <c r="A588" s="2">
        <v>2536</v>
      </c>
      <c r="B588" s="7">
        <v>1.61</v>
      </c>
      <c r="C588" s="7">
        <v>0.24</v>
      </c>
      <c r="D588" s="7">
        <v>0.92</v>
      </c>
      <c r="E588" s="7">
        <v>0.15</v>
      </c>
      <c r="F588" s="7">
        <v>0.15</v>
      </c>
      <c r="G588" s="7">
        <v>0.22</v>
      </c>
      <c r="H588" s="7">
        <v>0.34</v>
      </c>
      <c r="I588" s="7">
        <v>0.38</v>
      </c>
      <c r="J588" s="7">
        <v>0.3</v>
      </c>
      <c r="K588" s="7">
        <v>1.72</v>
      </c>
      <c r="L588" s="7">
        <v>2.04</v>
      </c>
      <c r="M588" s="7">
        <v>0.67</v>
      </c>
      <c r="N588" s="7">
        <v>0.46</v>
      </c>
      <c r="O588" s="7">
        <v>0.81</v>
      </c>
      <c r="P588" s="7">
        <v>1.45</v>
      </c>
      <c r="Q588" s="7">
        <v>0.01</v>
      </c>
    </row>
    <row r="589" spans="1:17">
      <c r="A589" s="2">
        <v>2537</v>
      </c>
      <c r="B589" s="7">
        <v>1.61</v>
      </c>
      <c r="C589" s="7">
        <v>0.24</v>
      </c>
      <c r="D589" s="7">
        <v>0.92</v>
      </c>
      <c r="E589" s="7">
        <v>0.15</v>
      </c>
      <c r="F589" s="7">
        <v>0.15</v>
      </c>
      <c r="G589" s="7">
        <v>0.22</v>
      </c>
      <c r="H589" s="7">
        <v>0.34</v>
      </c>
      <c r="I589" s="7">
        <v>0.38</v>
      </c>
      <c r="J589" s="7">
        <v>0.3</v>
      </c>
      <c r="K589" s="7">
        <v>1.72</v>
      </c>
      <c r="L589" s="7">
        <v>2.04</v>
      </c>
      <c r="M589" s="7">
        <v>0.67</v>
      </c>
      <c r="N589" s="7">
        <v>0.46</v>
      </c>
      <c r="O589" s="7">
        <v>0.81</v>
      </c>
      <c r="P589" s="7">
        <v>1.45</v>
      </c>
      <c r="Q589" s="7">
        <v>0.01</v>
      </c>
    </row>
    <row r="590" spans="1:17">
      <c r="A590" s="2">
        <v>2538</v>
      </c>
      <c r="B590" s="7">
        <v>1.61</v>
      </c>
      <c r="C590" s="7">
        <v>0.24</v>
      </c>
      <c r="D590" s="7">
        <v>0.92</v>
      </c>
      <c r="E590" s="7">
        <v>0.15</v>
      </c>
      <c r="F590" s="7">
        <v>0.15</v>
      </c>
      <c r="G590" s="7">
        <v>0.22</v>
      </c>
      <c r="H590" s="7">
        <v>0.34</v>
      </c>
      <c r="I590" s="7">
        <v>0.38</v>
      </c>
      <c r="J590" s="7">
        <v>0.3</v>
      </c>
      <c r="K590" s="7">
        <v>1.72</v>
      </c>
      <c r="L590" s="7">
        <v>2.04</v>
      </c>
      <c r="M590" s="7">
        <v>0.67</v>
      </c>
      <c r="N590" s="7">
        <v>0.46</v>
      </c>
      <c r="O590" s="7">
        <v>0.81</v>
      </c>
      <c r="P590" s="7">
        <v>1.45</v>
      </c>
      <c r="Q590" s="7">
        <v>0.01</v>
      </c>
    </row>
    <row r="591" spans="1:17">
      <c r="A591" s="2">
        <v>2539</v>
      </c>
      <c r="B591" s="7">
        <v>1.61</v>
      </c>
      <c r="C591" s="7">
        <v>0.24</v>
      </c>
      <c r="D591" s="7">
        <v>0.92</v>
      </c>
      <c r="E591" s="7">
        <v>0.15</v>
      </c>
      <c r="F591" s="7">
        <v>0.15</v>
      </c>
      <c r="G591" s="7">
        <v>0.22</v>
      </c>
      <c r="H591" s="7">
        <v>0.34</v>
      </c>
      <c r="I591" s="7">
        <v>0.38</v>
      </c>
      <c r="J591" s="7">
        <v>0.3</v>
      </c>
      <c r="K591" s="7">
        <v>1.72</v>
      </c>
      <c r="L591" s="7">
        <v>2.04</v>
      </c>
      <c r="M591" s="7">
        <v>0.67</v>
      </c>
      <c r="N591" s="7">
        <v>0.46</v>
      </c>
      <c r="O591" s="7">
        <v>0.81</v>
      </c>
      <c r="P591" s="7">
        <v>1.45</v>
      </c>
      <c r="Q591" s="7">
        <v>0.01</v>
      </c>
    </row>
    <row r="592" spans="1:17">
      <c r="A592" s="2">
        <v>2540</v>
      </c>
      <c r="B592" s="7">
        <v>1.61</v>
      </c>
      <c r="C592" s="7">
        <v>0.24</v>
      </c>
      <c r="D592" s="7">
        <v>0.92</v>
      </c>
      <c r="E592" s="7">
        <v>0.15</v>
      </c>
      <c r="F592" s="7">
        <v>0.15</v>
      </c>
      <c r="G592" s="7">
        <v>0.22</v>
      </c>
      <c r="H592" s="7">
        <v>0.34</v>
      </c>
      <c r="I592" s="7">
        <v>0.38</v>
      </c>
      <c r="J592" s="7">
        <v>0.3</v>
      </c>
      <c r="K592" s="7">
        <v>1.72</v>
      </c>
      <c r="L592" s="7">
        <v>2.04</v>
      </c>
      <c r="M592" s="7">
        <v>0.67</v>
      </c>
      <c r="N592" s="7">
        <v>0.46</v>
      </c>
      <c r="O592" s="7">
        <v>0.81</v>
      </c>
      <c r="P592" s="7">
        <v>1.45</v>
      </c>
      <c r="Q592" s="7">
        <v>0.01</v>
      </c>
    </row>
    <row r="593" spans="1:17">
      <c r="A593" s="2">
        <v>2541</v>
      </c>
      <c r="B593" s="7">
        <v>1.61</v>
      </c>
      <c r="C593" s="7">
        <v>0.24</v>
      </c>
      <c r="D593" s="7">
        <v>0.92</v>
      </c>
      <c r="E593" s="7">
        <v>0.15</v>
      </c>
      <c r="F593" s="7">
        <v>0.15</v>
      </c>
      <c r="G593" s="7">
        <v>0.22</v>
      </c>
      <c r="H593" s="7">
        <v>0.34</v>
      </c>
      <c r="I593" s="7">
        <v>0.38</v>
      </c>
      <c r="J593" s="7">
        <v>0.3</v>
      </c>
      <c r="K593" s="7">
        <v>1.72</v>
      </c>
      <c r="L593" s="7">
        <v>2.04</v>
      </c>
      <c r="M593" s="7">
        <v>0.67</v>
      </c>
      <c r="N593" s="7">
        <v>0.46</v>
      </c>
      <c r="O593" s="7">
        <v>0.81</v>
      </c>
      <c r="P593" s="7">
        <v>1.45</v>
      </c>
      <c r="Q593" s="7">
        <v>0.01</v>
      </c>
    </row>
    <row r="594" spans="1:17">
      <c r="A594" s="2">
        <v>2542</v>
      </c>
      <c r="B594" s="7">
        <v>1.61</v>
      </c>
      <c r="C594" s="7">
        <v>0.24</v>
      </c>
      <c r="D594" s="7">
        <v>0.92</v>
      </c>
      <c r="E594" s="7">
        <v>0.15</v>
      </c>
      <c r="F594" s="7">
        <v>0.15</v>
      </c>
      <c r="G594" s="7">
        <v>0.22</v>
      </c>
      <c r="H594" s="7">
        <v>0.34</v>
      </c>
      <c r="I594" s="7">
        <v>0.38</v>
      </c>
      <c r="J594" s="7">
        <v>0.3</v>
      </c>
      <c r="K594" s="7">
        <v>1.72</v>
      </c>
      <c r="L594" s="7">
        <v>2.04</v>
      </c>
      <c r="M594" s="7">
        <v>0.67</v>
      </c>
      <c r="N594" s="7">
        <v>0.46</v>
      </c>
      <c r="O594" s="7">
        <v>0.81</v>
      </c>
      <c r="P594" s="7">
        <v>1.45</v>
      </c>
      <c r="Q594" s="7">
        <v>0.01</v>
      </c>
    </row>
    <row r="595" spans="1:17">
      <c r="A595" s="2">
        <v>2543</v>
      </c>
      <c r="B595" s="7">
        <v>1.61</v>
      </c>
      <c r="C595" s="7">
        <v>0.24</v>
      </c>
      <c r="D595" s="7">
        <v>0.92</v>
      </c>
      <c r="E595" s="7">
        <v>0.15</v>
      </c>
      <c r="F595" s="7">
        <v>0.15</v>
      </c>
      <c r="G595" s="7">
        <v>0.22</v>
      </c>
      <c r="H595" s="7">
        <v>0.34</v>
      </c>
      <c r="I595" s="7">
        <v>0.38</v>
      </c>
      <c r="J595" s="7">
        <v>0.3</v>
      </c>
      <c r="K595" s="7">
        <v>1.72</v>
      </c>
      <c r="L595" s="7">
        <v>2.04</v>
      </c>
      <c r="M595" s="7">
        <v>0.67</v>
      </c>
      <c r="N595" s="7">
        <v>0.46</v>
      </c>
      <c r="O595" s="7">
        <v>0.81</v>
      </c>
      <c r="P595" s="7">
        <v>1.45</v>
      </c>
      <c r="Q595" s="7">
        <v>0.01</v>
      </c>
    </row>
    <row r="596" spans="1:17">
      <c r="A596" s="2">
        <v>2544</v>
      </c>
      <c r="B596" s="7">
        <v>1.61</v>
      </c>
      <c r="C596" s="7">
        <v>0.24</v>
      </c>
      <c r="D596" s="7">
        <v>0.92</v>
      </c>
      <c r="E596" s="7">
        <v>0.15</v>
      </c>
      <c r="F596" s="7">
        <v>0.15</v>
      </c>
      <c r="G596" s="7">
        <v>0.22</v>
      </c>
      <c r="H596" s="7">
        <v>0.34</v>
      </c>
      <c r="I596" s="7">
        <v>0.38</v>
      </c>
      <c r="J596" s="7">
        <v>0.3</v>
      </c>
      <c r="K596" s="7">
        <v>1.72</v>
      </c>
      <c r="L596" s="7">
        <v>2.04</v>
      </c>
      <c r="M596" s="7">
        <v>0.67</v>
      </c>
      <c r="N596" s="7">
        <v>0.46</v>
      </c>
      <c r="O596" s="7">
        <v>0.81</v>
      </c>
      <c r="P596" s="7">
        <v>1.45</v>
      </c>
      <c r="Q596" s="7">
        <v>0.01</v>
      </c>
    </row>
    <row r="597" spans="1:17">
      <c r="A597" s="2">
        <v>2545</v>
      </c>
      <c r="B597" s="7">
        <v>1.61</v>
      </c>
      <c r="C597" s="7">
        <v>0.24</v>
      </c>
      <c r="D597" s="7">
        <v>0.92</v>
      </c>
      <c r="E597" s="7">
        <v>0.15</v>
      </c>
      <c r="F597" s="7">
        <v>0.15</v>
      </c>
      <c r="G597" s="7">
        <v>0.22</v>
      </c>
      <c r="H597" s="7">
        <v>0.34</v>
      </c>
      <c r="I597" s="7">
        <v>0.38</v>
      </c>
      <c r="J597" s="7">
        <v>0.3</v>
      </c>
      <c r="K597" s="7">
        <v>1.72</v>
      </c>
      <c r="L597" s="7">
        <v>2.04</v>
      </c>
      <c r="M597" s="7">
        <v>0.67</v>
      </c>
      <c r="N597" s="7">
        <v>0.46</v>
      </c>
      <c r="O597" s="7">
        <v>0.81</v>
      </c>
      <c r="P597" s="7">
        <v>1.45</v>
      </c>
      <c r="Q597" s="7">
        <v>0.01</v>
      </c>
    </row>
    <row r="598" spans="1:17">
      <c r="A598" s="2">
        <v>2546</v>
      </c>
      <c r="B598" s="7">
        <v>1.61</v>
      </c>
      <c r="C598" s="7">
        <v>0.24</v>
      </c>
      <c r="D598" s="7">
        <v>0.92</v>
      </c>
      <c r="E598" s="7">
        <v>0.15</v>
      </c>
      <c r="F598" s="7">
        <v>0.15</v>
      </c>
      <c r="G598" s="7">
        <v>0.22</v>
      </c>
      <c r="H598" s="7">
        <v>0.34</v>
      </c>
      <c r="I598" s="7">
        <v>0.38</v>
      </c>
      <c r="J598" s="7">
        <v>0.3</v>
      </c>
      <c r="K598" s="7">
        <v>1.72</v>
      </c>
      <c r="L598" s="7">
        <v>2.04</v>
      </c>
      <c r="M598" s="7">
        <v>0.67</v>
      </c>
      <c r="N598" s="7">
        <v>0.46</v>
      </c>
      <c r="O598" s="7">
        <v>0.81</v>
      </c>
      <c r="P598" s="7">
        <v>1.45</v>
      </c>
      <c r="Q598" s="7">
        <v>0.01</v>
      </c>
    </row>
    <row r="599" spans="1:17">
      <c r="A599" s="2">
        <v>2547</v>
      </c>
      <c r="B599" s="7">
        <v>1.61</v>
      </c>
      <c r="C599" s="7">
        <v>0.24</v>
      </c>
      <c r="D599" s="7">
        <v>0.92</v>
      </c>
      <c r="E599" s="7">
        <v>0.15</v>
      </c>
      <c r="F599" s="7">
        <v>0.15</v>
      </c>
      <c r="G599" s="7">
        <v>0.22</v>
      </c>
      <c r="H599" s="7">
        <v>0.34</v>
      </c>
      <c r="I599" s="7">
        <v>0.38</v>
      </c>
      <c r="J599" s="7">
        <v>0.3</v>
      </c>
      <c r="K599" s="7">
        <v>1.72</v>
      </c>
      <c r="L599" s="7">
        <v>2.04</v>
      </c>
      <c r="M599" s="7">
        <v>0.67</v>
      </c>
      <c r="N599" s="7">
        <v>0.46</v>
      </c>
      <c r="O599" s="7">
        <v>0.81</v>
      </c>
      <c r="P599" s="7">
        <v>1.45</v>
      </c>
      <c r="Q599" s="7">
        <v>0.01</v>
      </c>
    </row>
    <row r="600" spans="1:17">
      <c r="A600" s="2">
        <v>2548</v>
      </c>
      <c r="B600" s="7">
        <v>1.61</v>
      </c>
      <c r="C600" s="7">
        <v>0.24</v>
      </c>
      <c r="D600" s="7">
        <v>0.92</v>
      </c>
      <c r="E600" s="7">
        <v>0.15</v>
      </c>
      <c r="F600" s="7">
        <v>0.15</v>
      </c>
      <c r="G600" s="7">
        <v>0.22</v>
      </c>
      <c r="H600" s="7">
        <v>0.34</v>
      </c>
      <c r="I600" s="7">
        <v>0.38</v>
      </c>
      <c r="J600" s="7">
        <v>0.3</v>
      </c>
      <c r="K600" s="7">
        <v>1.72</v>
      </c>
      <c r="L600" s="7">
        <v>2.04</v>
      </c>
      <c r="M600" s="7">
        <v>0.67</v>
      </c>
      <c r="N600" s="7">
        <v>0.46</v>
      </c>
      <c r="O600" s="7">
        <v>0.81</v>
      </c>
      <c r="P600" s="7">
        <v>1.45</v>
      </c>
      <c r="Q600" s="7">
        <v>0.01</v>
      </c>
    </row>
    <row r="601" spans="1:17">
      <c r="A601" s="2">
        <v>2549</v>
      </c>
      <c r="B601" s="7">
        <v>1.61</v>
      </c>
      <c r="C601" s="7">
        <v>0.24</v>
      </c>
      <c r="D601" s="7">
        <v>0.92</v>
      </c>
      <c r="E601" s="7">
        <v>0.15</v>
      </c>
      <c r="F601" s="7">
        <v>0.15</v>
      </c>
      <c r="G601" s="7">
        <v>0.22</v>
      </c>
      <c r="H601" s="7">
        <v>0.34</v>
      </c>
      <c r="I601" s="7">
        <v>0.38</v>
      </c>
      <c r="J601" s="7">
        <v>0.3</v>
      </c>
      <c r="K601" s="7">
        <v>1.72</v>
      </c>
      <c r="L601" s="7">
        <v>2.04</v>
      </c>
      <c r="M601" s="7">
        <v>0.67</v>
      </c>
      <c r="N601" s="7">
        <v>0.46</v>
      </c>
      <c r="O601" s="7">
        <v>0.81</v>
      </c>
      <c r="P601" s="7">
        <v>1.45</v>
      </c>
      <c r="Q601" s="7">
        <v>0.01</v>
      </c>
    </row>
    <row r="602" spans="1:17">
      <c r="A602" s="2">
        <v>2550</v>
      </c>
      <c r="B602" s="7">
        <v>1.61</v>
      </c>
      <c r="C602" s="7">
        <v>0.24</v>
      </c>
      <c r="D602" s="7">
        <v>0.92</v>
      </c>
      <c r="E602" s="7">
        <v>0.15</v>
      </c>
      <c r="F602" s="7">
        <v>0.15</v>
      </c>
      <c r="G602" s="7">
        <v>0.22</v>
      </c>
      <c r="H602" s="7">
        <v>0.34</v>
      </c>
      <c r="I602" s="7">
        <v>0.38</v>
      </c>
      <c r="J602" s="7">
        <v>0.3</v>
      </c>
      <c r="K602" s="7">
        <v>1.72</v>
      </c>
      <c r="L602" s="7">
        <v>2.04</v>
      </c>
      <c r="M602" s="7">
        <v>0.67</v>
      </c>
      <c r="N602" s="7">
        <v>0.46</v>
      </c>
      <c r="O602" s="7">
        <v>0.81</v>
      </c>
      <c r="P602" s="7">
        <v>1.45</v>
      </c>
      <c r="Q602" s="7">
        <v>0.01</v>
      </c>
    </row>
    <row r="603" spans="1:17">
      <c r="A603" s="2">
        <v>2551</v>
      </c>
      <c r="B603" s="7">
        <v>1.61</v>
      </c>
      <c r="C603" s="7">
        <v>0.24</v>
      </c>
      <c r="D603" s="7">
        <v>0.92</v>
      </c>
      <c r="E603" s="7">
        <v>0.15</v>
      </c>
      <c r="F603" s="7">
        <v>0.15</v>
      </c>
      <c r="G603" s="7">
        <v>0.22</v>
      </c>
      <c r="H603" s="7">
        <v>0.34</v>
      </c>
      <c r="I603" s="7">
        <v>0.38</v>
      </c>
      <c r="J603" s="7">
        <v>0.3</v>
      </c>
      <c r="K603" s="7">
        <v>1.72</v>
      </c>
      <c r="L603" s="7">
        <v>2.04</v>
      </c>
      <c r="M603" s="7">
        <v>0.67</v>
      </c>
      <c r="N603" s="7">
        <v>0.46</v>
      </c>
      <c r="O603" s="7">
        <v>0.81</v>
      </c>
      <c r="P603" s="7">
        <v>1.45</v>
      </c>
      <c r="Q603" s="7">
        <v>0.01</v>
      </c>
    </row>
    <row r="604" spans="1:17">
      <c r="A604" s="2">
        <v>2552</v>
      </c>
      <c r="B604" s="7">
        <v>1.61</v>
      </c>
      <c r="C604" s="7">
        <v>0.24</v>
      </c>
      <c r="D604" s="7">
        <v>0.92</v>
      </c>
      <c r="E604" s="7">
        <v>0.15</v>
      </c>
      <c r="F604" s="7">
        <v>0.15</v>
      </c>
      <c r="G604" s="7">
        <v>0.22</v>
      </c>
      <c r="H604" s="7">
        <v>0.34</v>
      </c>
      <c r="I604" s="7">
        <v>0.38</v>
      </c>
      <c r="J604" s="7">
        <v>0.3</v>
      </c>
      <c r="K604" s="7">
        <v>1.72</v>
      </c>
      <c r="L604" s="7">
        <v>2.04</v>
      </c>
      <c r="M604" s="7">
        <v>0.67</v>
      </c>
      <c r="N604" s="7">
        <v>0.46</v>
      </c>
      <c r="O604" s="7">
        <v>0.81</v>
      </c>
      <c r="P604" s="7">
        <v>1.45</v>
      </c>
      <c r="Q604" s="7">
        <v>0.01</v>
      </c>
    </row>
    <row r="605" spans="1:17">
      <c r="A605" s="2">
        <v>2553</v>
      </c>
      <c r="B605" s="7">
        <v>1.61</v>
      </c>
      <c r="C605" s="7">
        <v>0.24</v>
      </c>
      <c r="D605" s="7">
        <v>0.92</v>
      </c>
      <c r="E605" s="7">
        <v>0.15</v>
      </c>
      <c r="F605" s="7">
        <v>0.15</v>
      </c>
      <c r="G605" s="7">
        <v>0.22</v>
      </c>
      <c r="H605" s="7">
        <v>0.34</v>
      </c>
      <c r="I605" s="7">
        <v>0.38</v>
      </c>
      <c r="J605" s="7">
        <v>0.3</v>
      </c>
      <c r="K605" s="7">
        <v>1.72</v>
      </c>
      <c r="L605" s="7">
        <v>2.04</v>
      </c>
      <c r="M605" s="7">
        <v>0.67</v>
      </c>
      <c r="N605" s="7">
        <v>0.46</v>
      </c>
      <c r="O605" s="7">
        <v>0.81</v>
      </c>
      <c r="P605" s="7">
        <v>1.45</v>
      </c>
      <c r="Q605" s="7">
        <v>0.01</v>
      </c>
    </row>
    <row r="606" spans="1:17">
      <c r="A606" s="2">
        <v>2554</v>
      </c>
      <c r="B606" s="7">
        <v>1.61</v>
      </c>
      <c r="C606" s="7">
        <v>0.24</v>
      </c>
      <c r="D606" s="7">
        <v>0.92</v>
      </c>
      <c r="E606" s="7">
        <v>0.15</v>
      </c>
      <c r="F606" s="7">
        <v>0.15</v>
      </c>
      <c r="G606" s="7">
        <v>0.22</v>
      </c>
      <c r="H606" s="7">
        <v>0.34</v>
      </c>
      <c r="I606" s="7">
        <v>0.38</v>
      </c>
      <c r="J606" s="7">
        <v>0.3</v>
      </c>
      <c r="K606" s="7">
        <v>1.72</v>
      </c>
      <c r="L606" s="7">
        <v>2.04</v>
      </c>
      <c r="M606" s="7">
        <v>0.67</v>
      </c>
      <c r="N606" s="7">
        <v>0.46</v>
      </c>
      <c r="O606" s="7">
        <v>0.81</v>
      </c>
      <c r="P606" s="7">
        <v>1.45</v>
      </c>
      <c r="Q606" s="7">
        <v>0.01</v>
      </c>
    </row>
    <row r="607" spans="1:17">
      <c r="A607" s="2">
        <v>2555</v>
      </c>
      <c r="B607" s="7">
        <v>1.61</v>
      </c>
      <c r="C607" s="7">
        <v>0.24</v>
      </c>
      <c r="D607" s="7">
        <v>0.92</v>
      </c>
      <c r="E607" s="7">
        <v>0.15</v>
      </c>
      <c r="F607" s="7">
        <v>0.15</v>
      </c>
      <c r="G607" s="7">
        <v>0.22</v>
      </c>
      <c r="H607" s="7">
        <v>0.34</v>
      </c>
      <c r="I607" s="7">
        <v>0.38</v>
      </c>
      <c r="J607" s="7">
        <v>0.3</v>
      </c>
      <c r="K607" s="7">
        <v>1.72</v>
      </c>
      <c r="L607" s="7">
        <v>2.04</v>
      </c>
      <c r="M607" s="7">
        <v>0.67</v>
      </c>
      <c r="N607" s="7">
        <v>0.46</v>
      </c>
      <c r="O607" s="7">
        <v>0.81</v>
      </c>
      <c r="P607" s="7">
        <v>1.45</v>
      </c>
      <c r="Q607" s="7">
        <v>0.01</v>
      </c>
    </row>
    <row r="608" spans="1:17">
      <c r="A608" s="2">
        <v>2556</v>
      </c>
      <c r="B608" s="7">
        <v>1.61</v>
      </c>
      <c r="C608" s="7">
        <v>0.24</v>
      </c>
      <c r="D608" s="7">
        <v>0.92</v>
      </c>
      <c r="E608" s="7">
        <v>0.15</v>
      </c>
      <c r="F608" s="7">
        <v>0.15</v>
      </c>
      <c r="G608" s="7">
        <v>0.22</v>
      </c>
      <c r="H608" s="7">
        <v>0.34</v>
      </c>
      <c r="I608" s="7">
        <v>0.38</v>
      </c>
      <c r="J608" s="7">
        <v>0.3</v>
      </c>
      <c r="K608" s="7">
        <v>1.72</v>
      </c>
      <c r="L608" s="7">
        <v>2.04</v>
      </c>
      <c r="M608" s="7">
        <v>0.67</v>
      </c>
      <c r="N608" s="7">
        <v>0.46</v>
      </c>
      <c r="O608" s="7">
        <v>0.81</v>
      </c>
      <c r="P608" s="7">
        <v>1.45</v>
      </c>
      <c r="Q608" s="7">
        <v>0.01</v>
      </c>
    </row>
    <row r="609" spans="1:17">
      <c r="A609" s="2">
        <v>2557</v>
      </c>
      <c r="B609" s="7">
        <v>1.61</v>
      </c>
      <c r="C609" s="7">
        <v>0.24</v>
      </c>
      <c r="D609" s="7">
        <v>0.92</v>
      </c>
      <c r="E609" s="7">
        <v>0.15</v>
      </c>
      <c r="F609" s="7">
        <v>0.15</v>
      </c>
      <c r="G609" s="7">
        <v>0.22</v>
      </c>
      <c r="H609" s="7">
        <v>0.34</v>
      </c>
      <c r="I609" s="7">
        <v>0.38</v>
      </c>
      <c r="J609" s="7">
        <v>0.3</v>
      </c>
      <c r="K609" s="7">
        <v>1.72</v>
      </c>
      <c r="L609" s="7">
        <v>2.04</v>
      </c>
      <c r="M609" s="7">
        <v>0.67</v>
      </c>
      <c r="N609" s="7">
        <v>0.46</v>
      </c>
      <c r="O609" s="7">
        <v>0.81</v>
      </c>
      <c r="P609" s="7">
        <v>1.45</v>
      </c>
      <c r="Q609" s="7">
        <v>0.01</v>
      </c>
    </row>
    <row r="610" spans="1:17">
      <c r="A610" s="2">
        <v>2558</v>
      </c>
      <c r="B610" s="7">
        <v>1.61</v>
      </c>
      <c r="C610" s="7">
        <v>0.24</v>
      </c>
      <c r="D610" s="7">
        <v>0.92</v>
      </c>
      <c r="E610" s="7">
        <v>0.15</v>
      </c>
      <c r="F610" s="7">
        <v>0.15</v>
      </c>
      <c r="G610" s="7">
        <v>0.22</v>
      </c>
      <c r="H610" s="7">
        <v>0.34</v>
      </c>
      <c r="I610" s="7">
        <v>0.38</v>
      </c>
      <c r="J610" s="7">
        <v>0.3</v>
      </c>
      <c r="K610" s="7">
        <v>1.72</v>
      </c>
      <c r="L610" s="7">
        <v>2.04</v>
      </c>
      <c r="M610" s="7">
        <v>0.67</v>
      </c>
      <c r="N610" s="7">
        <v>0.46</v>
      </c>
      <c r="O610" s="7">
        <v>0.81</v>
      </c>
      <c r="P610" s="7">
        <v>1.45</v>
      </c>
      <c r="Q610" s="7">
        <v>0.01</v>
      </c>
    </row>
    <row r="611" spans="1:17">
      <c r="A611" s="2">
        <v>2559</v>
      </c>
      <c r="B611" s="7">
        <v>1.61</v>
      </c>
      <c r="C611" s="7">
        <v>0.24</v>
      </c>
      <c r="D611" s="7">
        <v>0.92</v>
      </c>
      <c r="E611" s="7">
        <v>0.15</v>
      </c>
      <c r="F611" s="7">
        <v>0.15</v>
      </c>
      <c r="G611" s="7">
        <v>0.22</v>
      </c>
      <c r="H611" s="7">
        <v>0.34</v>
      </c>
      <c r="I611" s="7">
        <v>0.38</v>
      </c>
      <c r="J611" s="7">
        <v>0.3</v>
      </c>
      <c r="K611" s="7">
        <v>1.72</v>
      </c>
      <c r="L611" s="7">
        <v>2.04</v>
      </c>
      <c r="M611" s="7">
        <v>0.67</v>
      </c>
      <c r="N611" s="7">
        <v>0.46</v>
      </c>
      <c r="O611" s="7">
        <v>0.81</v>
      </c>
      <c r="P611" s="7">
        <v>1.45</v>
      </c>
      <c r="Q611" s="7">
        <v>0.01</v>
      </c>
    </row>
    <row r="612" spans="1:17">
      <c r="A612" s="2">
        <v>2560</v>
      </c>
      <c r="B612" s="7">
        <v>1.61</v>
      </c>
      <c r="C612" s="7">
        <v>0.24</v>
      </c>
      <c r="D612" s="7">
        <v>0.92</v>
      </c>
      <c r="E612" s="7">
        <v>0.15</v>
      </c>
      <c r="F612" s="7">
        <v>0.15</v>
      </c>
      <c r="G612" s="7">
        <v>0.22</v>
      </c>
      <c r="H612" s="7">
        <v>0.34</v>
      </c>
      <c r="I612" s="7">
        <v>0.38</v>
      </c>
      <c r="J612" s="7">
        <v>0.3</v>
      </c>
      <c r="K612" s="7">
        <v>1.72</v>
      </c>
      <c r="L612" s="7">
        <v>2.04</v>
      </c>
      <c r="M612" s="7">
        <v>0.67</v>
      </c>
      <c r="N612" s="7">
        <v>0.46</v>
      </c>
      <c r="O612" s="7">
        <v>0.81</v>
      </c>
      <c r="P612" s="7">
        <v>1.45</v>
      </c>
      <c r="Q612" s="7">
        <v>0.01</v>
      </c>
    </row>
    <row r="613" spans="1:17">
      <c r="A613" s="2">
        <v>2561</v>
      </c>
      <c r="B613" s="7">
        <v>1.61</v>
      </c>
      <c r="C613" s="7">
        <v>0.24</v>
      </c>
      <c r="D613" s="7">
        <v>0.92</v>
      </c>
      <c r="E613" s="7">
        <v>0.15</v>
      </c>
      <c r="F613" s="7">
        <v>0.15</v>
      </c>
      <c r="G613" s="7">
        <v>0.22</v>
      </c>
      <c r="H613" s="7">
        <v>0.34</v>
      </c>
      <c r="I613" s="7">
        <v>0.38</v>
      </c>
      <c r="J613" s="7">
        <v>0.3</v>
      </c>
      <c r="K613" s="7">
        <v>1.72</v>
      </c>
      <c r="L613" s="7">
        <v>2.04</v>
      </c>
      <c r="M613" s="7">
        <v>0.67</v>
      </c>
      <c r="N613" s="7">
        <v>0.46</v>
      </c>
      <c r="O613" s="7">
        <v>0.81</v>
      </c>
      <c r="P613" s="7">
        <v>1.45</v>
      </c>
      <c r="Q613" s="7">
        <v>0.01</v>
      </c>
    </row>
    <row r="614" spans="1:17">
      <c r="A614" s="2">
        <v>2562</v>
      </c>
      <c r="B614" s="7">
        <v>1.61</v>
      </c>
      <c r="C614" s="7">
        <v>0.24</v>
      </c>
      <c r="D614" s="7">
        <v>0.92</v>
      </c>
      <c r="E614" s="7">
        <v>0.15</v>
      </c>
      <c r="F614" s="7">
        <v>0.15</v>
      </c>
      <c r="G614" s="7">
        <v>0.22</v>
      </c>
      <c r="H614" s="7">
        <v>0.34</v>
      </c>
      <c r="I614" s="7">
        <v>0.38</v>
      </c>
      <c r="J614" s="7">
        <v>0.3</v>
      </c>
      <c r="K614" s="7">
        <v>1.72</v>
      </c>
      <c r="L614" s="7">
        <v>2.04</v>
      </c>
      <c r="M614" s="7">
        <v>0.67</v>
      </c>
      <c r="N614" s="7">
        <v>0.46</v>
      </c>
      <c r="O614" s="7">
        <v>0.81</v>
      </c>
      <c r="P614" s="7">
        <v>1.45</v>
      </c>
      <c r="Q614" s="7">
        <v>0.01</v>
      </c>
    </row>
    <row r="615" spans="1:17">
      <c r="A615" s="2">
        <v>2563</v>
      </c>
      <c r="B615" s="7">
        <v>1.61</v>
      </c>
      <c r="C615" s="7">
        <v>0.24</v>
      </c>
      <c r="D615" s="7">
        <v>0.92</v>
      </c>
      <c r="E615" s="7">
        <v>0.15</v>
      </c>
      <c r="F615" s="7">
        <v>0.15</v>
      </c>
      <c r="G615" s="7">
        <v>0.22</v>
      </c>
      <c r="H615" s="7">
        <v>0.34</v>
      </c>
      <c r="I615" s="7">
        <v>0.38</v>
      </c>
      <c r="J615" s="7">
        <v>0.3</v>
      </c>
      <c r="K615" s="7">
        <v>1.72</v>
      </c>
      <c r="L615" s="7">
        <v>2.04</v>
      </c>
      <c r="M615" s="7">
        <v>0.67</v>
      </c>
      <c r="N615" s="7">
        <v>0.46</v>
      </c>
      <c r="O615" s="7">
        <v>0.81</v>
      </c>
      <c r="P615" s="7">
        <v>1.45</v>
      </c>
      <c r="Q615" s="7">
        <v>0.01</v>
      </c>
    </row>
    <row r="616" spans="1:17">
      <c r="A616" s="2">
        <v>2564</v>
      </c>
      <c r="B616" s="7">
        <v>1.61</v>
      </c>
      <c r="C616" s="7">
        <v>0.24</v>
      </c>
      <c r="D616" s="7">
        <v>0.92</v>
      </c>
      <c r="E616" s="7">
        <v>0.15</v>
      </c>
      <c r="F616" s="7">
        <v>0.15</v>
      </c>
      <c r="G616" s="7">
        <v>0.22</v>
      </c>
      <c r="H616" s="7">
        <v>0.34</v>
      </c>
      <c r="I616" s="7">
        <v>0.38</v>
      </c>
      <c r="J616" s="7">
        <v>0.3</v>
      </c>
      <c r="K616" s="7">
        <v>1.72</v>
      </c>
      <c r="L616" s="7">
        <v>2.04</v>
      </c>
      <c r="M616" s="7">
        <v>0.67</v>
      </c>
      <c r="N616" s="7">
        <v>0.46</v>
      </c>
      <c r="O616" s="7">
        <v>0.81</v>
      </c>
      <c r="P616" s="7">
        <v>1.45</v>
      </c>
      <c r="Q616" s="7">
        <v>0.01</v>
      </c>
    </row>
    <row r="617" spans="1:17">
      <c r="A617" s="2">
        <v>2565</v>
      </c>
      <c r="B617" s="7">
        <v>1.61</v>
      </c>
      <c r="C617" s="7">
        <v>0.24</v>
      </c>
      <c r="D617" s="7">
        <v>0.92</v>
      </c>
      <c r="E617" s="7">
        <v>0.15</v>
      </c>
      <c r="F617" s="7">
        <v>0.15</v>
      </c>
      <c r="G617" s="7">
        <v>0.22</v>
      </c>
      <c r="H617" s="7">
        <v>0.34</v>
      </c>
      <c r="I617" s="7">
        <v>0.38</v>
      </c>
      <c r="J617" s="7">
        <v>0.3</v>
      </c>
      <c r="K617" s="7">
        <v>1.72</v>
      </c>
      <c r="L617" s="7">
        <v>2.04</v>
      </c>
      <c r="M617" s="7">
        <v>0.67</v>
      </c>
      <c r="N617" s="7">
        <v>0.46</v>
      </c>
      <c r="O617" s="7">
        <v>0.81</v>
      </c>
      <c r="P617" s="7">
        <v>1.45</v>
      </c>
      <c r="Q617" s="7">
        <v>0.01</v>
      </c>
    </row>
    <row r="618" spans="1:17">
      <c r="A618" s="2">
        <v>2566</v>
      </c>
      <c r="B618" s="7">
        <v>1.61</v>
      </c>
      <c r="C618" s="7">
        <v>0.24</v>
      </c>
      <c r="D618" s="7">
        <v>0.92</v>
      </c>
      <c r="E618" s="7">
        <v>0.15</v>
      </c>
      <c r="F618" s="7">
        <v>0.15</v>
      </c>
      <c r="G618" s="7">
        <v>0.22</v>
      </c>
      <c r="H618" s="7">
        <v>0.34</v>
      </c>
      <c r="I618" s="7">
        <v>0.38</v>
      </c>
      <c r="J618" s="7">
        <v>0.3</v>
      </c>
      <c r="K618" s="7">
        <v>1.72</v>
      </c>
      <c r="L618" s="7">
        <v>2.04</v>
      </c>
      <c r="M618" s="7">
        <v>0.67</v>
      </c>
      <c r="N618" s="7">
        <v>0.46</v>
      </c>
      <c r="O618" s="7">
        <v>0.81</v>
      </c>
      <c r="P618" s="7">
        <v>1.45</v>
      </c>
      <c r="Q618" s="7">
        <v>0.01</v>
      </c>
    </row>
    <row r="619" spans="1:17">
      <c r="A619" s="2">
        <v>2567</v>
      </c>
      <c r="B619" s="7">
        <v>1.61</v>
      </c>
      <c r="C619" s="7">
        <v>0.24</v>
      </c>
      <c r="D619" s="7">
        <v>0.92</v>
      </c>
      <c r="E619" s="7">
        <v>0.15</v>
      </c>
      <c r="F619" s="7">
        <v>0.15</v>
      </c>
      <c r="G619" s="7">
        <v>0.22</v>
      </c>
      <c r="H619" s="7">
        <v>0.34</v>
      </c>
      <c r="I619" s="7">
        <v>0.38</v>
      </c>
      <c r="J619" s="7">
        <v>0.3</v>
      </c>
      <c r="K619" s="7">
        <v>1.72</v>
      </c>
      <c r="L619" s="7">
        <v>2.04</v>
      </c>
      <c r="M619" s="7">
        <v>0.67</v>
      </c>
      <c r="N619" s="7">
        <v>0.46</v>
      </c>
      <c r="O619" s="7">
        <v>0.81</v>
      </c>
      <c r="P619" s="7">
        <v>1.45</v>
      </c>
      <c r="Q619" s="7">
        <v>0.01</v>
      </c>
    </row>
    <row r="620" spans="1:17">
      <c r="A620" s="2">
        <v>2568</v>
      </c>
      <c r="B620" s="7">
        <v>1.61</v>
      </c>
      <c r="C620" s="7">
        <v>0.24</v>
      </c>
      <c r="D620" s="7">
        <v>0.92</v>
      </c>
      <c r="E620" s="7">
        <v>0.15</v>
      </c>
      <c r="F620" s="7">
        <v>0.15</v>
      </c>
      <c r="G620" s="7">
        <v>0.22</v>
      </c>
      <c r="H620" s="7">
        <v>0.34</v>
      </c>
      <c r="I620" s="7">
        <v>0.38</v>
      </c>
      <c r="J620" s="7">
        <v>0.3</v>
      </c>
      <c r="K620" s="7">
        <v>1.72</v>
      </c>
      <c r="L620" s="7">
        <v>2.04</v>
      </c>
      <c r="M620" s="7">
        <v>0.67</v>
      </c>
      <c r="N620" s="7">
        <v>0.46</v>
      </c>
      <c r="O620" s="7">
        <v>0.81</v>
      </c>
      <c r="P620" s="7">
        <v>1.45</v>
      </c>
      <c r="Q620" s="7">
        <v>0.01</v>
      </c>
    </row>
    <row r="621" spans="1:17">
      <c r="A621" s="2">
        <v>2569</v>
      </c>
      <c r="B621" s="7">
        <v>1.61</v>
      </c>
      <c r="C621" s="7">
        <v>0.24</v>
      </c>
      <c r="D621" s="7">
        <v>0.92</v>
      </c>
      <c r="E621" s="7">
        <v>0.15</v>
      </c>
      <c r="F621" s="7">
        <v>0.15</v>
      </c>
      <c r="G621" s="7">
        <v>0.22</v>
      </c>
      <c r="H621" s="7">
        <v>0.34</v>
      </c>
      <c r="I621" s="7">
        <v>0.38</v>
      </c>
      <c r="J621" s="7">
        <v>0.3</v>
      </c>
      <c r="K621" s="7">
        <v>1.72</v>
      </c>
      <c r="L621" s="7">
        <v>2.04</v>
      </c>
      <c r="M621" s="7">
        <v>0.67</v>
      </c>
      <c r="N621" s="7">
        <v>0.46</v>
      </c>
      <c r="O621" s="7">
        <v>0.81</v>
      </c>
      <c r="P621" s="7">
        <v>1.45</v>
      </c>
      <c r="Q621" s="7">
        <v>0.01</v>
      </c>
    </row>
    <row r="622" spans="1:17">
      <c r="A622" s="2">
        <v>2570</v>
      </c>
      <c r="B622" s="7">
        <v>1.61</v>
      </c>
      <c r="C622" s="7">
        <v>0.24</v>
      </c>
      <c r="D622" s="7">
        <v>0.92</v>
      </c>
      <c r="E622" s="7">
        <v>0.15</v>
      </c>
      <c r="F622" s="7">
        <v>0.15</v>
      </c>
      <c r="G622" s="7">
        <v>0.22</v>
      </c>
      <c r="H622" s="7">
        <v>0.34</v>
      </c>
      <c r="I622" s="7">
        <v>0.38</v>
      </c>
      <c r="J622" s="7">
        <v>0.3</v>
      </c>
      <c r="K622" s="7">
        <v>1.72</v>
      </c>
      <c r="L622" s="7">
        <v>2.04</v>
      </c>
      <c r="M622" s="7">
        <v>0.67</v>
      </c>
      <c r="N622" s="7">
        <v>0.46</v>
      </c>
      <c r="O622" s="7">
        <v>0.81</v>
      </c>
      <c r="P622" s="7">
        <v>1.45</v>
      </c>
      <c r="Q622" s="7">
        <v>0.01</v>
      </c>
    </row>
    <row r="623" spans="1:17">
      <c r="A623" s="2">
        <v>2571</v>
      </c>
      <c r="B623" s="7">
        <v>1.61</v>
      </c>
      <c r="C623" s="7">
        <v>0.24</v>
      </c>
      <c r="D623" s="7">
        <v>0.92</v>
      </c>
      <c r="E623" s="7">
        <v>0.15</v>
      </c>
      <c r="F623" s="7">
        <v>0.15</v>
      </c>
      <c r="G623" s="7">
        <v>0.22</v>
      </c>
      <c r="H623" s="7">
        <v>0.34</v>
      </c>
      <c r="I623" s="7">
        <v>0.38</v>
      </c>
      <c r="J623" s="7">
        <v>0.3</v>
      </c>
      <c r="K623" s="7">
        <v>1.72</v>
      </c>
      <c r="L623" s="7">
        <v>2.04</v>
      </c>
      <c r="M623" s="7">
        <v>0.67</v>
      </c>
      <c r="N623" s="7">
        <v>0.46</v>
      </c>
      <c r="O623" s="7">
        <v>0.81</v>
      </c>
      <c r="P623" s="7">
        <v>1.45</v>
      </c>
      <c r="Q623" s="7">
        <v>0.01</v>
      </c>
    </row>
    <row r="624" spans="1:17">
      <c r="A624" s="2">
        <v>2572</v>
      </c>
      <c r="B624" s="7">
        <v>1.61</v>
      </c>
      <c r="C624" s="7">
        <v>0.24</v>
      </c>
      <c r="D624" s="7">
        <v>0.92</v>
      </c>
      <c r="E624" s="7">
        <v>0.15</v>
      </c>
      <c r="F624" s="7">
        <v>0.15</v>
      </c>
      <c r="G624" s="7">
        <v>0.22</v>
      </c>
      <c r="H624" s="7">
        <v>0.34</v>
      </c>
      <c r="I624" s="7">
        <v>0.38</v>
      </c>
      <c r="J624" s="7">
        <v>0.3</v>
      </c>
      <c r="K624" s="7">
        <v>1.72</v>
      </c>
      <c r="L624" s="7">
        <v>2.04</v>
      </c>
      <c r="M624" s="7">
        <v>0.67</v>
      </c>
      <c r="N624" s="7">
        <v>0.46</v>
      </c>
      <c r="O624" s="7">
        <v>0.81</v>
      </c>
      <c r="P624" s="7">
        <v>1.45</v>
      </c>
      <c r="Q624" s="7">
        <v>0.01</v>
      </c>
    </row>
    <row r="625" spans="1:17">
      <c r="A625" s="2">
        <v>2573</v>
      </c>
      <c r="B625" s="7">
        <v>1.61</v>
      </c>
      <c r="C625" s="7">
        <v>0.24</v>
      </c>
      <c r="D625" s="7">
        <v>0.92</v>
      </c>
      <c r="E625" s="7">
        <v>0.15</v>
      </c>
      <c r="F625" s="7">
        <v>0.15</v>
      </c>
      <c r="G625" s="7">
        <v>0.22</v>
      </c>
      <c r="H625" s="7">
        <v>0.34</v>
      </c>
      <c r="I625" s="7">
        <v>0.38</v>
      </c>
      <c r="J625" s="7">
        <v>0.3</v>
      </c>
      <c r="K625" s="7">
        <v>1.72</v>
      </c>
      <c r="L625" s="7">
        <v>2.04</v>
      </c>
      <c r="M625" s="7">
        <v>0.67</v>
      </c>
      <c r="N625" s="7">
        <v>0.46</v>
      </c>
      <c r="O625" s="7">
        <v>0.81</v>
      </c>
      <c r="P625" s="7">
        <v>1.45</v>
      </c>
      <c r="Q625" s="7">
        <v>0.01</v>
      </c>
    </row>
    <row r="626" spans="1:17">
      <c r="A626" s="2">
        <v>2574</v>
      </c>
      <c r="B626" s="7">
        <v>1.61</v>
      </c>
      <c r="C626" s="7">
        <v>0.24</v>
      </c>
      <c r="D626" s="7">
        <v>0.92</v>
      </c>
      <c r="E626" s="7">
        <v>0.15</v>
      </c>
      <c r="F626" s="7">
        <v>0.15</v>
      </c>
      <c r="G626" s="7">
        <v>0.22</v>
      </c>
      <c r="H626" s="7">
        <v>0.34</v>
      </c>
      <c r="I626" s="7">
        <v>0.38</v>
      </c>
      <c r="J626" s="7">
        <v>0.3</v>
      </c>
      <c r="K626" s="7">
        <v>1.72</v>
      </c>
      <c r="L626" s="7">
        <v>2.04</v>
      </c>
      <c r="M626" s="7">
        <v>0.67</v>
      </c>
      <c r="N626" s="7">
        <v>0.46</v>
      </c>
      <c r="O626" s="7">
        <v>0.81</v>
      </c>
      <c r="P626" s="7">
        <v>1.45</v>
      </c>
      <c r="Q626" s="7">
        <v>0.01</v>
      </c>
    </row>
    <row r="627" spans="1:17">
      <c r="A627" s="2">
        <v>2575</v>
      </c>
      <c r="B627" s="7">
        <v>1.61</v>
      </c>
      <c r="C627" s="7">
        <v>0.24</v>
      </c>
      <c r="D627" s="7">
        <v>0.92</v>
      </c>
      <c r="E627" s="7">
        <v>0.15</v>
      </c>
      <c r="F627" s="7">
        <v>0.15</v>
      </c>
      <c r="G627" s="7">
        <v>0.22</v>
      </c>
      <c r="H627" s="7">
        <v>0.34</v>
      </c>
      <c r="I627" s="7">
        <v>0.38</v>
      </c>
      <c r="J627" s="7">
        <v>0.3</v>
      </c>
      <c r="K627" s="7">
        <v>1.72</v>
      </c>
      <c r="L627" s="7">
        <v>2.04</v>
      </c>
      <c r="M627" s="7">
        <v>0.67</v>
      </c>
      <c r="N627" s="7">
        <v>0.46</v>
      </c>
      <c r="O627" s="7">
        <v>0.81</v>
      </c>
      <c r="P627" s="7">
        <v>1.45</v>
      </c>
      <c r="Q627" s="7">
        <v>0.01</v>
      </c>
    </row>
    <row r="628" spans="1:17">
      <c r="A628" s="2">
        <v>2576</v>
      </c>
      <c r="B628" s="7">
        <v>1.61</v>
      </c>
      <c r="C628" s="7">
        <v>0.24</v>
      </c>
      <c r="D628" s="7">
        <v>0.92</v>
      </c>
      <c r="E628" s="7">
        <v>0.15</v>
      </c>
      <c r="F628" s="7">
        <v>0.15</v>
      </c>
      <c r="G628" s="7">
        <v>0.22</v>
      </c>
      <c r="H628" s="7">
        <v>0.34</v>
      </c>
      <c r="I628" s="7">
        <v>0.38</v>
      </c>
      <c r="J628" s="7">
        <v>0.3</v>
      </c>
      <c r="K628" s="7">
        <v>1.72</v>
      </c>
      <c r="L628" s="7">
        <v>2.04</v>
      </c>
      <c r="M628" s="7">
        <v>0.67</v>
      </c>
      <c r="N628" s="7">
        <v>0.46</v>
      </c>
      <c r="O628" s="7">
        <v>0.81</v>
      </c>
      <c r="P628" s="7">
        <v>1.45</v>
      </c>
      <c r="Q628" s="7">
        <v>0.01</v>
      </c>
    </row>
    <row r="629" spans="1:17">
      <c r="A629" s="2">
        <v>2577</v>
      </c>
      <c r="B629" s="7">
        <v>1.61</v>
      </c>
      <c r="C629" s="7">
        <v>0.24</v>
      </c>
      <c r="D629" s="7">
        <v>0.92</v>
      </c>
      <c r="E629" s="7">
        <v>0.15</v>
      </c>
      <c r="F629" s="7">
        <v>0.15</v>
      </c>
      <c r="G629" s="7">
        <v>0.22</v>
      </c>
      <c r="H629" s="7">
        <v>0.34</v>
      </c>
      <c r="I629" s="7">
        <v>0.38</v>
      </c>
      <c r="J629" s="7">
        <v>0.3</v>
      </c>
      <c r="K629" s="7">
        <v>1.72</v>
      </c>
      <c r="L629" s="7">
        <v>2.04</v>
      </c>
      <c r="M629" s="7">
        <v>0.67</v>
      </c>
      <c r="N629" s="7">
        <v>0.46</v>
      </c>
      <c r="O629" s="7">
        <v>0.81</v>
      </c>
      <c r="P629" s="7">
        <v>1.45</v>
      </c>
      <c r="Q629" s="7">
        <v>0.01</v>
      </c>
    </row>
    <row r="630" spans="1:17">
      <c r="A630" s="2">
        <v>2578</v>
      </c>
      <c r="B630" s="7">
        <v>1.61</v>
      </c>
      <c r="C630" s="7">
        <v>0.24</v>
      </c>
      <c r="D630" s="7">
        <v>0.92</v>
      </c>
      <c r="E630" s="7">
        <v>0.15</v>
      </c>
      <c r="F630" s="7">
        <v>0.15</v>
      </c>
      <c r="G630" s="7">
        <v>0.22</v>
      </c>
      <c r="H630" s="7">
        <v>0.34</v>
      </c>
      <c r="I630" s="7">
        <v>0.38</v>
      </c>
      <c r="J630" s="7">
        <v>0.3</v>
      </c>
      <c r="K630" s="7">
        <v>1.72</v>
      </c>
      <c r="L630" s="7">
        <v>2.04</v>
      </c>
      <c r="M630" s="7">
        <v>0.67</v>
      </c>
      <c r="N630" s="7">
        <v>0.46</v>
      </c>
      <c r="O630" s="7">
        <v>0.81</v>
      </c>
      <c r="P630" s="7">
        <v>1.45</v>
      </c>
      <c r="Q630" s="7">
        <v>0.01</v>
      </c>
    </row>
    <row r="631" spans="1:17">
      <c r="A631" s="2">
        <v>2579</v>
      </c>
      <c r="B631" s="7">
        <v>1.61</v>
      </c>
      <c r="C631" s="7">
        <v>0.24</v>
      </c>
      <c r="D631" s="7">
        <v>0.92</v>
      </c>
      <c r="E631" s="7">
        <v>0.15</v>
      </c>
      <c r="F631" s="7">
        <v>0.15</v>
      </c>
      <c r="G631" s="7">
        <v>0.22</v>
      </c>
      <c r="H631" s="7">
        <v>0.34</v>
      </c>
      <c r="I631" s="7">
        <v>0.38</v>
      </c>
      <c r="J631" s="7">
        <v>0.3</v>
      </c>
      <c r="K631" s="7">
        <v>1.72</v>
      </c>
      <c r="L631" s="7">
        <v>2.04</v>
      </c>
      <c r="M631" s="7">
        <v>0.67</v>
      </c>
      <c r="N631" s="7">
        <v>0.46</v>
      </c>
      <c r="O631" s="7">
        <v>0.81</v>
      </c>
      <c r="P631" s="7">
        <v>1.45</v>
      </c>
      <c r="Q631" s="7">
        <v>0.01</v>
      </c>
    </row>
    <row r="632" spans="1:17">
      <c r="A632" s="2">
        <v>2580</v>
      </c>
      <c r="B632" s="7">
        <v>1.61</v>
      </c>
      <c r="C632" s="7">
        <v>0.24</v>
      </c>
      <c r="D632" s="7">
        <v>0.92</v>
      </c>
      <c r="E632" s="7">
        <v>0.15</v>
      </c>
      <c r="F632" s="7">
        <v>0.15</v>
      </c>
      <c r="G632" s="7">
        <v>0.22</v>
      </c>
      <c r="H632" s="7">
        <v>0.34</v>
      </c>
      <c r="I632" s="7">
        <v>0.38</v>
      </c>
      <c r="J632" s="7">
        <v>0.3</v>
      </c>
      <c r="K632" s="7">
        <v>1.72</v>
      </c>
      <c r="L632" s="7">
        <v>2.04</v>
      </c>
      <c r="M632" s="7">
        <v>0.67</v>
      </c>
      <c r="N632" s="7">
        <v>0.46</v>
      </c>
      <c r="O632" s="7">
        <v>0.81</v>
      </c>
      <c r="P632" s="7">
        <v>1.45</v>
      </c>
      <c r="Q632" s="7">
        <v>0.01</v>
      </c>
    </row>
    <row r="633" spans="1:17">
      <c r="A633" s="2">
        <v>2581</v>
      </c>
      <c r="B633" s="7">
        <v>1.61</v>
      </c>
      <c r="C633" s="7">
        <v>0.24</v>
      </c>
      <c r="D633" s="7">
        <v>0.92</v>
      </c>
      <c r="E633" s="7">
        <v>0.15</v>
      </c>
      <c r="F633" s="7">
        <v>0.15</v>
      </c>
      <c r="G633" s="7">
        <v>0.22</v>
      </c>
      <c r="H633" s="7">
        <v>0.34</v>
      </c>
      <c r="I633" s="7">
        <v>0.38</v>
      </c>
      <c r="J633" s="7">
        <v>0.3</v>
      </c>
      <c r="K633" s="7">
        <v>1.72</v>
      </c>
      <c r="L633" s="7">
        <v>2.04</v>
      </c>
      <c r="M633" s="7">
        <v>0.67</v>
      </c>
      <c r="N633" s="7">
        <v>0.46</v>
      </c>
      <c r="O633" s="7">
        <v>0.81</v>
      </c>
      <c r="P633" s="7">
        <v>1.45</v>
      </c>
      <c r="Q633" s="7">
        <v>0.01</v>
      </c>
    </row>
    <row r="634" spans="1:17">
      <c r="A634" s="2">
        <v>2582</v>
      </c>
      <c r="B634" s="7">
        <v>1.61</v>
      </c>
      <c r="C634" s="7">
        <v>0.24</v>
      </c>
      <c r="D634" s="7">
        <v>0.92</v>
      </c>
      <c r="E634" s="7">
        <v>0.15</v>
      </c>
      <c r="F634" s="7">
        <v>0.15</v>
      </c>
      <c r="G634" s="7">
        <v>0.22</v>
      </c>
      <c r="H634" s="7">
        <v>0.34</v>
      </c>
      <c r="I634" s="7">
        <v>0.38</v>
      </c>
      <c r="J634" s="7">
        <v>0.3</v>
      </c>
      <c r="K634" s="7">
        <v>1.72</v>
      </c>
      <c r="L634" s="7">
        <v>2.04</v>
      </c>
      <c r="M634" s="7">
        <v>0.67</v>
      </c>
      <c r="N634" s="7">
        <v>0.46</v>
      </c>
      <c r="O634" s="7">
        <v>0.81</v>
      </c>
      <c r="P634" s="7">
        <v>1.45</v>
      </c>
      <c r="Q634" s="7">
        <v>0.01</v>
      </c>
    </row>
    <row r="635" spans="1:17">
      <c r="A635" s="2">
        <v>2583</v>
      </c>
      <c r="B635" s="7">
        <v>1.61</v>
      </c>
      <c r="C635" s="7">
        <v>0.24</v>
      </c>
      <c r="D635" s="7">
        <v>0.92</v>
      </c>
      <c r="E635" s="7">
        <v>0.15</v>
      </c>
      <c r="F635" s="7">
        <v>0.15</v>
      </c>
      <c r="G635" s="7">
        <v>0.22</v>
      </c>
      <c r="H635" s="7">
        <v>0.34</v>
      </c>
      <c r="I635" s="7">
        <v>0.38</v>
      </c>
      <c r="J635" s="7">
        <v>0.3</v>
      </c>
      <c r="K635" s="7">
        <v>1.72</v>
      </c>
      <c r="L635" s="7">
        <v>2.04</v>
      </c>
      <c r="M635" s="7">
        <v>0.67</v>
      </c>
      <c r="N635" s="7">
        <v>0.46</v>
      </c>
      <c r="O635" s="7">
        <v>0.81</v>
      </c>
      <c r="P635" s="7">
        <v>1.45</v>
      </c>
      <c r="Q635" s="7">
        <v>0.01</v>
      </c>
    </row>
    <row r="636" spans="1:17">
      <c r="A636" s="2">
        <v>2584</v>
      </c>
      <c r="B636" s="7">
        <v>1.61</v>
      </c>
      <c r="C636" s="7">
        <v>0.24</v>
      </c>
      <c r="D636" s="7">
        <v>0.92</v>
      </c>
      <c r="E636" s="7">
        <v>0.15</v>
      </c>
      <c r="F636" s="7">
        <v>0.15</v>
      </c>
      <c r="G636" s="7">
        <v>0.22</v>
      </c>
      <c r="H636" s="7">
        <v>0.34</v>
      </c>
      <c r="I636" s="7">
        <v>0.38</v>
      </c>
      <c r="J636" s="7">
        <v>0.3</v>
      </c>
      <c r="K636" s="7">
        <v>1.72</v>
      </c>
      <c r="L636" s="7">
        <v>2.04</v>
      </c>
      <c r="M636" s="7">
        <v>0.67</v>
      </c>
      <c r="N636" s="7">
        <v>0.46</v>
      </c>
      <c r="O636" s="7">
        <v>0.81</v>
      </c>
      <c r="P636" s="7">
        <v>1.45</v>
      </c>
      <c r="Q636" s="7">
        <v>0.01</v>
      </c>
    </row>
    <row r="637" spans="1:17">
      <c r="A637" s="2">
        <v>2585</v>
      </c>
      <c r="B637" s="7">
        <v>1.61</v>
      </c>
      <c r="C637" s="7">
        <v>0.24</v>
      </c>
      <c r="D637" s="7">
        <v>0.92</v>
      </c>
      <c r="E637" s="7">
        <v>0.15</v>
      </c>
      <c r="F637" s="7">
        <v>0.15</v>
      </c>
      <c r="G637" s="7">
        <v>0.22</v>
      </c>
      <c r="H637" s="7">
        <v>0.34</v>
      </c>
      <c r="I637" s="7">
        <v>0.38</v>
      </c>
      <c r="J637" s="7">
        <v>0.3</v>
      </c>
      <c r="K637" s="7">
        <v>1.72</v>
      </c>
      <c r="L637" s="7">
        <v>2.04</v>
      </c>
      <c r="M637" s="7">
        <v>0.67</v>
      </c>
      <c r="N637" s="7">
        <v>0.46</v>
      </c>
      <c r="O637" s="7">
        <v>0.81</v>
      </c>
      <c r="P637" s="7">
        <v>1.45</v>
      </c>
      <c r="Q637" s="7">
        <v>0.01</v>
      </c>
    </row>
    <row r="638" spans="1:17">
      <c r="A638" s="2">
        <v>2586</v>
      </c>
      <c r="B638" s="7">
        <v>1.61</v>
      </c>
      <c r="C638" s="7">
        <v>0.24</v>
      </c>
      <c r="D638" s="7">
        <v>0.92</v>
      </c>
      <c r="E638" s="7">
        <v>0.15</v>
      </c>
      <c r="F638" s="7">
        <v>0.15</v>
      </c>
      <c r="G638" s="7">
        <v>0.22</v>
      </c>
      <c r="H638" s="7">
        <v>0.34</v>
      </c>
      <c r="I638" s="7">
        <v>0.38</v>
      </c>
      <c r="J638" s="7">
        <v>0.3</v>
      </c>
      <c r="K638" s="7">
        <v>1.72</v>
      </c>
      <c r="L638" s="7">
        <v>2.04</v>
      </c>
      <c r="M638" s="7">
        <v>0.67</v>
      </c>
      <c r="N638" s="7">
        <v>0.46</v>
      </c>
      <c r="O638" s="7">
        <v>0.81</v>
      </c>
      <c r="P638" s="7">
        <v>1.45</v>
      </c>
      <c r="Q638" s="7">
        <v>0.01</v>
      </c>
    </row>
    <row r="639" spans="1:17">
      <c r="A639" s="2">
        <v>2587</v>
      </c>
      <c r="B639" s="7">
        <v>1.61</v>
      </c>
      <c r="C639" s="7">
        <v>0.24</v>
      </c>
      <c r="D639" s="7">
        <v>0.92</v>
      </c>
      <c r="E639" s="7">
        <v>0.15</v>
      </c>
      <c r="F639" s="7">
        <v>0.15</v>
      </c>
      <c r="G639" s="7">
        <v>0.22</v>
      </c>
      <c r="H639" s="7">
        <v>0.34</v>
      </c>
      <c r="I639" s="7">
        <v>0.38</v>
      </c>
      <c r="J639" s="7">
        <v>0.3</v>
      </c>
      <c r="K639" s="7">
        <v>1.72</v>
      </c>
      <c r="L639" s="7">
        <v>2.04</v>
      </c>
      <c r="M639" s="7">
        <v>0.67</v>
      </c>
      <c r="N639" s="7">
        <v>0.46</v>
      </c>
      <c r="O639" s="7">
        <v>0.81</v>
      </c>
      <c r="P639" s="7">
        <v>1.45</v>
      </c>
      <c r="Q639" s="7">
        <v>0.01</v>
      </c>
    </row>
    <row r="640" spans="1:17">
      <c r="A640" s="2">
        <v>2588</v>
      </c>
      <c r="B640" s="7">
        <v>1.61</v>
      </c>
      <c r="C640" s="7">
        <v>0.24</v>
      </c>
      <c r="D640" s="7">
        <v>0.92</v>
      </c>
      <c r="E640" s="7">
        <v>0.15</v>
      </c>
      <c r="F640" s="7">
        <v>0.15</v>
      </c>
      <c r="G640" s="7">
        <v>0.22</v>
      </c>
      <c r="H640" s="7">
        <v>0.34</v>
      </c>
      <c r="I640" s="7">
        <v>0.38</v>
      </c>
      <c r="J640" s="7">
        <v>0.3</v>
      </c>
      <c r="K640" s="7">
        <v>1.72</v>
      </c>
      <c r="L640" s="7">
        <v>2.04</v>
      </c>
      <c r="M640" s="7">
        <v>0.67</v>
      </c>
      <c r="N640" s="7">
        <v>0.46</v>
      </c>
      <c r="O640" s="7">
        <v>0.81</v>
      </c>
      <c r="P640" s="7">
        <v>1.45</v>
      </c>
      <c r="Q640" s="7">
        <v>0.01</v>
      </c>
    </row>
    <row r="641" spans="1:17">
      <c r="A641" s="2">
        <v>2589</v>
      </c>
      <c r="B641" s="7">
        <v>1.61</v>
      </c>
      <c r="C641" s="7">
        <v>0.24</v>
      </c>
      <c r="D641" s="7">
        <v>0.92</v>
      </c>
      <c r="E641" s="7">
        <v>0.15</v>
      </c>
      <c r="F641" s="7">
        <v>0.15</v>
      </c>
      <c r="G641" s="7">
        <v>0.22</v>
      </c>
      <c r="H641" s="7">
        <v>0.34</v>
      </c>
      <c r="I641" s="7">
        <v>0.38</v>
      </c>
      <c r="J641" s="7">
        <v>0.3</v>
      </c>
      <c r="K641" s="7">
        <v>1.72</v>
      </c>
      <c r="L641" s="7">
        <v>2.04</v>
      </c>
      <c r="M641" s="7">
        <v>0.67</v>
      </c>
      <c r="N641" s="7">
        <v>0.46</v>
      </c>
      <c r="O641" s="7">
        <v>0.81</v>
      </c>
      <c r="P641" s="7">
        <v>1.45</v>
      </c>
      <c r="Q641" s="7">
        <v>0.01</v>
      </c>
    </row>
    <row r="642" spans="1:17">
      <c r="A642" s="2">
        <v>2590</v>
      </c>
      <c r="B642" s="7">
        <v>1.61</v>
      </c>
      <c r="C642" s="7">
        <v>0.24</v>
      </c>
      <c r="D642" s="7">
        <v>0.92</v>
      </c>
      <c r="E642" s="7">
        <v>0.15</v>
      </c>
      <c r="F642" s="7">
        <v>0.15</v>
      </c>
      <c r="G642" s="7">
        <v>0.22</v>
      </c>
      <c r="H642" s="7">
        <v>0.34</v>
      </c>
      <c r="I642" s="7">
        <v>0.38</v>
      </c>
      <c r="J642" s="7">
        <v>0.3</v>
      </c>
      <c r="K642" s="7">
        <v>1.72</v>
      </c>
      <c r="L642" s="7">
        <v>2.04</v>
      </c>
      <c r="M642" s="7">
        <v>0.67</v>
      </c>
      <c r="N642" s="7">
        <v>0.46</v>
      </c>
      <c r="O642" s="7">
        <v>0.81</v>
      </c>
      <c r="P642" s="7">
        <v>1.45</v>
      </c>
      <c r="Q642" s="7">
        <v>0.01</v>
      </c>
    </row>
    <row r="643" spans="1:17">
      <c r="A643" s="2">
        <v>2591</v>
      </c>
      <c r="B643" s="7">
        <v>1.61</v>
      </c>
      <c r="C643" s="7">
        <v>0.24</v>
      </c>
      <c r="D643" s="7">
        <v>0.92</v>
      </c>
      <c r="E643" s="7">
        <v>0.15</v>
      </c>
      <c r="F643" s="7">
        <v>0.15</v>
      </c>
      <c r="G643" s="7">
        <v>0.22</v>
      </c>
      <c r="H643" s="7">
        <v>0.34</v>
      </c>
      <c r="I643" s="7">
        <v>0.38</v>
      </c>
      <c r="J643" s="7">
        <v>0.3</v>
      </c>
      <c r="K643" s="7">
        <v>1.72</v>
      </c>
      <c r="L643" s="7">
        <v>2.04</v>
      </c>
      <c r="M643" s="7">
        <v>0.67</v>
      </c>
      <c r="N643" s="7">
        <v>0.46</v>
      </c>
      <c r="O643" s="7">
        <v>0.81</v>
      </c>
      <c r="P643" s="7">
        <v>1.45</v>
      </c>
      <c r="Q643" s="7">
        <v>0.01</v>
      </c>
    </row>
    <row r="644" spans="1:17">
      <c r="A644" s="2">
        <v>2592</v>
      </c>
      <c r="B644" s="7">
        <v>1.61</v>
      </c>
      <c r="C644" s="7">
        <v>0.24</v>
      </c>
      <c r="D644" s="7">
        <v>0.92</v>
      </c>
      <c r="E644" s="7">
        <v>0.15</v>
      </c>
      <c r="F644" s="7">
        <v>0.15</v>
      </c>
      <c r="G644" s="7">
        <v>0.22</v>
      </c>
      <c r="H644" s="7">
        <v>0.34</v>
      </c>
      <c r="I644" s="7">
        <v>0.38</v>
      </c>
      <c r="J644" s="7">
        <v>0.3</v>
      </c>
      <c r="K644" s="7">
        <v>1.72</v>
      </c>
      <c r="L644" s="7">
        <v>2.04</v>
      </c>
      <c r="M644" s="7">
        <v>0.67</v>
      </c>
      <c r="N644" s="7">
        <v>0.46</v>
      </c>
      <c r="O644" s="7">
        <v>0.81</v>
      </c>
      <c r="P644" s="7">
        <v>1.45</v>
      </c>
      <c r="Q644" s="7">
        <v>0.01</v>
      </c>
    </row>
    <row r="645" spans="1:17">
      <c r="A645" s="2">
        <v>2593</v>
      </c>
      <c r="B645" s="7">
        <v>1.61</v>
      </c>
      <c r="C645" s="7">
        <v>0.24</v>
      </c>
      <c r="D645" s="7">
        <v>0.92</v>
      </c>
      <c r="E645" s="7">
        <v>0.15</v>
      </c>
      <c r="F645" s="7">
        <v>0.15</v>
      </c>
      <c r="G645" s="7">
        <v>0.22</v>
      </c>
      <c r="H645" s="7">
        <v>0.34</v>
      </c>
      <c r="I645" s="7">
        <v>0.38</v>
      </c>
      <c r="J645" s="7">
        <v>0.3</v>
      </c>
      <c r="K645" s="7">
        <v>1.72</v>
      </c>
      <c r="L645" s="7">
        <v>2.04</v>
      </c>
      <c r="M645" s="7">
        <v>0.67</v>
      </c>
      <c r="N645" s="7">
        <v>0.46</v>
      </c>
      <c r="O645" s="7">
        <v>0.81</v>
      </c>
      <c r="P645" s="7">
        <v>1.45</v>
      </c>
      <c r="Q645" s="7">
        <v>0.01</v>
      </c>
    </row>
    <row r="646" spans="1:17">
      <c r="A646" s="2">
        <v>2594</v>
      </c>
      <c r="B646" s="7">
        <v>1.61</v>
      </c>
      <c r="C646" s="7">
        <v>0.24</v>
      </c>
      <c r="D646" s="7">
        <v>0.92</v>
      </c>
      <c r="E646" s="7">
        <v>0.15</v>
      </c>
      <c r="F646" s="7">
        <v>0.15</v>
      </c>
      <c r="G646" s="7">
        <v>0.22</v>
      </c>
      <c r="H646" s="7">
        <v>0.34</v>
      </c>
      <c r="I646" s="7">
        <v>0.38</v>
      </c>
      <c r="J646" s="7">
        <v>0.3</v>
      </c>
      <c r="K646" s="7">
        <v>1.72</v>
      </c>
      <c r="L646" s="7">
        <v>2.04</v>
      </c>
      <c r="M646" s="7">
        <v>0.67</v>
      </c>
      <c r="N646" s="7">
        <v>0.46</v>
      </c>
      <c r="O646" s="7">
        <v>0.81</v>
      </c>
      <c r="P646" s="7">
        <v>1.45</v>
      </c>
      <c r="Q646" s="7">
        <v>0.01</v>
      </c>
    </row>
    <row r="647" spans="1:17">
      <c r="A647" s="2">
        <v>2595</v>
      </c>
      <c r="B647" s="7">
        <v>1.61</v>
      </c>
      <c r="C647" s="7">
        <v>0.24</v>
      </c>
      <c r="D647" s="7">
        <v>0.92</v>
      </c>
      <c r="E647" s="7">
        <v>0.15</v>
      </c>
      <c r="F647" s="7">
        <v>0.15</v>
      </c>
      <c r="G647" s="7">
        <v>0.22</v>
      </c>
      <c r="H647" s="7">
        <v>0.34</v>
      </c>
      <c r="I647" s="7">
        <v>0.38</v>
      </c>
      <c r="J647" s="7">
        <v>0.3</v>
      </c>
      <c r="K647" s="7">
        <v>1.72</v>
      </c>
      <c r="L647" s="7">
        <v>2.04</v>
      </c>
      <c r="M647" s="7">
        <v>0.67</v>
      </c>
      <c r="N647" s="7">
        <v>0.46</v>
      </c>
      <c r="O647" s="7">
        <v>0.81</v>
      </c>
      <c r="P647" s="7">
        <v>1.45</v>
      </c>
      <c r="Q647" s="7">
        <v>0.01</v>
      </c>
    </row>
    <row r="648" spans="1:17">
      <c r="A648" s="2">
        <v>2596</v>
      </c>
      <c r="B648" s="7">
        <v>1.61</v>
      </c>
      <c r="C648" s="7">
        <v>0.24</v>
      </c>
      <c r="D648" s="7">
        <v>0.92</v>
      </c>
      <c r="E648" s="7">
        <v>0.15</v>
      </c>
      <c r="F648" s="7">
        <v>0.15</v>
      </c>
      <c r="G648" s="7">
        <v>0.22</v>
      </c>
      <c r="H648" s="7">
        <v>0.34</v>
      </c>
      <c r="I648" s="7">
        <v>0.38</v>
      </c>
      <c r="J648" s="7">
        <v>0.3</v>
      </c>
      <c r="K648" s="7">
        <v>1.72</v>
      </c>
      <c r="L648" s="7">
        <v>2.04</v>
      </c>
      <c r="M648" s="7">
        <v>0.67</v>
      </c>
      <c r="N648" s="7">
        <v>0.46</v>
      </c>
      <c r="O648" s="7">
        <v>0.81</v>
      </c>
      <c r="P648" s="7">
        <v>1.45</v>
      </c>
      <c r="Q648" s="7">
        <v>0.01</v>
      </c>
    </row>
    <row r="649" spans="1:17">
      <c r="A649" s="2">
        <v>2597</v>
      </c>
      <c r="B649" s="7">
        <v>1.61</v>
      </c>
      <c r="C649" s="7">
        <v>0.24</v>
      </c>
      <c r="D649" s="7">
        <v>0.92</v>
      </c>
      <c r="E649" s="7">
        <v>0.15</v>
      </c>
      <c r="F649" s="7">
        <v>0.15</v>
      </c>
      <c r="G649" s="7">
        <v>0.22</v>
      </c>
      <c r="H649" s="7">
        <v>0.34</v>
      </c>
      <c r="I649" s="7">
        <v>0.38</v>
      </c>
      <c r="J649" s="7">
        <v>0.3</v>
      </c>
      <c r="K649" s="7">
        <v>1.72</v>
      </c>
      <c r="L649" s="7">
        <v>2.04</v>
      </c>
      <c r="M649" s="7">
        <v>0.67</v>
      </c>
      <c r="N649" s="7">
        <v>0.46</v>
      </c>
      <c r="O649" s="7">
        <v>0.81</v>
      </c>
      <c r="P649" s="7">
        <v>1.45</v>
      </c>
      <c r="Q649" s="7">
        <v>0.01</v>
      </c>
    </row>
    <row r="650" spans="1:17">
      <c r="A650" s="2">
        <v>2598</v>
      </c>
      <c r="B650" s="7">
        <v>1.61</v>
      </c>
      <c r="C650" s="7">
        <v>0.24</v>
      </c>
      <c r="D650" s="7">
        <v>0.92</v>
      </c>
      <c r="E650" s="7">
        <v>0.15</v>
      </c>
      <c r="F650" s="7">
        <v>0.15</v>
      </c>
      <c r="G650" s="7">
        <v>0.22</v>
      </c>
      <c r="H650" s="7">
        <v>0.34</v>
      </c>
      <c r="I650" s="7">
        <v>0.38</v>
      </c>
      <c r="J650" s="7">
        <v>0.3</v>
      </c>
      <c r="K650" s="7">
        <v>1.72</v>
      </c>
      <c r="L650" s="7">
        <v>2.04</v>
      </c>
      <c r="M650" s="7">
        <v>0.67</v>
      </c>
      <c r="N650" s="7">
        <v>0.46</v>
      </c>
      <c r="O650" s="7">
        <v>0.81</v>
      </c>
      <c r="P650" s="7">
        <v>1.45</v>
      </c>
      <c r="Q650" s="7">
        <v>0.01</v>
      </c>
    </row>
    <row r="651" spans="1:17">
      <c r="A651" s="2">
        <v>2599</v>
      </c>
      <c r="B651" s="7">
        <v>1.61</v>
      </c>
      <c r="C651" s="7">
        <v>0.24</v>
      </c>
      <c r="D651" s="7">
        <v>0.92</v>
      </c>
      <c r="E651" s="7">
        <v>0.15</v>
      </c>
      <c r="F651" s="7">
        <v>0.15</v>
      </c>
      <c r="G651" s="7">
        <v>0.22</v>
      </c>
      <c r="H651" s="7">
        <v>0.34</v>
      </c>
      <c r="I651" s="7">
        <v>0.38</v>
      </c>
      <c r="J651" s="7">
        <v>0.3</v>
      </c>
      <c r="K651" s="7">
        <v>1.72</v>
      </c>
      <c r="L651" s="7">
        <v>2.04</v>
      </c>
      <c r="M651" s="7">
        <v>0.67</v>
      </c>
      <c r="N651" s="7">
        <v>0.46</v>
      </c>
      <c r="O651" s="7">
        <v>0.81</v>
      </c>
      <c r="P651" s="7">
        <v>1.45</v>
      </c>
      <c r="Q651" s="7">
        <v>0.01</v>
      </c>
    </row>
    <row r="652" spans="1:17">
      <c r="A652" s="2">
        <v>2600</v>
      </c>
      <c r="B652" s="7">
        <v>1.61</v>
      </c>
      <c r="C652" s="7">
        <v>0.24</v>
      </c>
      <c r="D652" s="7">
        <v>0.92</v>
      </c>
      <c r="E652" s="7">
        <v>0.15</v>
      </c>
      <c r="F652" s="7">
        <v>0.15</v>
      </c>
      <c r="G652" s="7">
        <v>0.22</v>
      </c>
      <c r="H652" s="7">
        <v>0.34</v>
      </c>
      <c r="I652" s="7">
        <v>0.38</v>
      </c>
      <c r="J652" s="7">
        <v>0.3</v>
      </c>
      <c r="K652" s="7">
        <v>1.72</v>
      </c>
      <c r="L652" s="7">
        <v>2.04</v>
      </c>
      <c r="M652" s="7">
        <v>0.67</v>
      </c>
      <c r="N652" s="7">
        <v>0.46</v>
      </c>
      <c r="O652" s="7">
        <v>0.81</v>
      </c>
      <c r="P652" s="7">
        <v>1.45</v>
      </c>
      <c r="Q652" s="7">
        <v>0.01</v>
      </c>
    </row>
    <row r="653" spans="1:17">
      <c r="A653" s="2">
        <v>2601</v>
      </c>
      <c r="B653" s="7">
        <v>1.61</v>
      </c>
      <c r="C653" s="7">
        <v>0.24</v>
      </c>
      <c r="D653" s="7">
        <v>0.92</v>
      </c>
      <c r="E653" s="7">
        <v>0.15</v>
      </c>
      <c r="F653" s="7">
        <v>0.15</v>
      </c>
      <c r="G653" s="7">
        <v>0.22</v>
      </c>
      <c r="H653" s="7">
        <v>0.34</v>
      </c>
      <c r="I653" s="7">
        <v>0.38</v>
      </c>
      <c r="J653" s="7">
        <v>0.3</v>
      </c>
      <c r="K653" s="7">
        <v>1.72</v>
      </c>
      <c r="L653" s="7">
        <v>2.04</v>
      </c>
      <c r="M653" s="7">
        <v>0.67</v>
      </c>
      <c r="N653" s="7">
        <v>0.46</v>
      </c>
      <c r="O653" s="7">
        <v>0.81</v>
      </c>
      <c r="P653" s="7">
        <v>1.45</v>
      </c>
      <c r="Q653" s="7">
        <v>0.01</v>
      </c>
    </row>
    <row r="654" spans="1:17">
      <c r="A654" s="2">
        <v>2602</v>
      </c>
      <c r="B654" s="7">
        <v>1.61</v>
      </c>
      <c r="C654" s="7">
        <v>0.24</v>
      </c>
      <c r="D654" s="7">
        <v>0.92</v>
      </c>
      <c r="E654" s="7">
        <v>0.15</v>
      </c>
      <c r="F654" s="7">
        <v>0.15</v>
      </c>
      <c r="G654" s="7">
        <v>0.22</v>
      </c>
      <c r="H654" s="7">
        <v>0.34</v>
      </c>
      <c r="I654" s="7">
        <v>0.38</v>
      </c>
      <c r="J654" s="7">
        <v>0.3</v>
      </c>
      <c r="K654" s="7">
        <v>1.72</v>
      </c>
      <c r="L654" s="7">
        <v>2.04</v>
      </c>
      <c r="M654" s="7">
        <v>0.67</v>
      </c>
      <c r="N654" s="7">
        <v>0.46</v>
      </c>
      <c r="O654" s="7">
        <v>0.81</v>
      </c>
      <c r="P654" s="7">
        <v>1.45</v>
      </c>
      <c r="Q654" s="7">
        <v>0.01</v>
      </c>
    </row>
    <row r="655" spans="1:17">
      <c r="A655" s="2">
        <v>2603</v>
      </c>
      <c r="B655" s="7">
        <v>1.61</v>
      </c>
      <c r="C655" s="7">
        <v>0.24</v>
      </c>
      <c r="D655" s="7">
        <v>0.92</v>
      </c>
      <c r="E655" s="7">
        <v>0.15</v>
      </c>
      <c r="F655" s="7">
        <v>0.15</v>
      </c>
      <c r="G655" s="7">
        <v>0.22</v>
      </c>
      <c r="H655" s="7">
        <v>0.34</v>
      </c>
      <c r="I655" s="7">
        <v>0.38</v>
      </c>
      <c r="J655" s="7">
        <v>0.3</v>
      </c>
      <c r="K655" s="7">
        <v>1.72</v>
      </c>
      <c r="L655" s="7">
        <v>2.04</v>
      </c>
      <c r="M655" s="7">
        <v>0.67</v>
      </c>
      <c r="N655" s="7">
        <v>0.46</v>
      </c>
      <c r="O655" s="7">
        <v>0.81</v>
      </c>
      <c r="P655" s="7">
        <v>1.45</v>
      </c>
      <c r="Q655" s="7">
        <v>0.01</v>
      </c>
    </row>
    <row r="656" spans="1:17">
      <c r="A656" s="2">
        <v>2604</v>
      </c>
      <c r="B656" s="7">
        <v>1.61</v>
      </c>
      <c r="C656" s="7">
        <v>0.24</v>
      </c>
      <c r="D656" s="7">
        <v>0.92</v>
      </c>
      <c r="E656" s="7">
        <v>0.15</v>
      </c>
      <c r="F656" s="7">
        <v>0.15</v>
      </c>
      <c r="G656" s="7">
        <v>0.22</v>
      </c>
      <c r="H656" s="7">
        <v>0.34</v>
      </c>
      <c r="I656" s="7">
        <v>0.38</v>
      </c>
      <c r="J656" s="7">
        <v>0.3</v>
      </c>
      <c r="K656" s="7">
        <v>1.72</v>
      </c>
      <c r="L656" s="7">
        <v>2.04</v>
      </c>
      <c r="M656" s="7">
        <v>0.67</v>
      </c>
      <c r="N656" s="7">
        <v>0.46</v>
      </c>
      <c r="O656" s="7">
        <v>0.81</v>
      </c>
      <c r="P656" s="7">
        <v>1.45</v>
      </c>
      <c r="Q656" s="7">
        <v>0.01</v>
      </c>
    </row>
    <row r="657" spans="1:17">
      <c r="A657" s="2">
        <v>2605</v>
      </c>
      <c r="B657" s="7">
        <v>1.61</v>
      </c>
      <c r="C657" s="7">
        <v>0.24</v>
      </c>
      <c r="D657" s="7">
        <v>0.92</v>
      </c>
      <c r="E657" s="7">
        <v>0.15</v>
      </c>
      <c r="F657" s="7">
        <v>0.15</v>
      </c>
      <c r="G657" s="7">
        <v>0.22</v>
      </c>
      <c r="H657" s="7">
        <v>0.34</v>
      </c>
      <c r="I657" s="7">
        <v>0.38</v>
      </c>
      <c r="J657" s="7">
        <v>0.3</v>
      </c>
      <c r="K657" s="7">
        <v>1.72</v>
      </c>
      <c r="L657" s="7">
        <v>2.04</v>
      </c>
      <c r="M657" s="7">
        <v>0.67</v>
      </c>
      <c r="N657" s="7">
        <v>0.46</v>
      </c>
      <c r="O657" s="7">
        <v>0.81</v>
      </c>
      <c r="P657" s="7">
        <v>1.45</v>
      </c>
      <c r="Q657" s="7">
        <v>0.01</v>
      </c>
    </row>
    <row r="658" spans="1:17">
      <c r="A658" s="2">
        <v>2606</v>
      </c>
      <c r="B658" s="7">
        <v>1.61</v>
      </c>
      <c r="C658" s="7">
        <v>0.24</v>
      </c>
      <c r="D658" s="7">
        <v>0.92</v>
      </c>
      <c r="E658" s="7">
        <v>0.15</v>
      </c>
      <c r="F658" s="7">
        <v>0.15</v>
      </c>
      <c r="G658" s="7">
        <v>0.22</v>
      </c>
      <c r="H658" s="7">
        <v>0.34</v>
      </c>
      <c r="I658" s="7">
        <v>0.38</v>
      </c>
      <c r="J658" s="7">
        <v>0.3</v>
      </c>
      <c r="K658" s="7">
        <v>1.72</v>
      </c>
      <c r="L658" s="7">
        <v>2.04</v>
      </c>
      <c r="M658" s="7">
        <v>0.67</v>
      </c>
      <c r="N658" s="7">
        <v>0.46</v>
      </c>
      <c r="O658" s="7">
        <v>0.81</v>
      </c>
      <c r="P658" s="7">
        <v>1.45</v>
      </c>
      <c r="Q658" s="7">
        <v>0.01</v>
      </c>
    </row>
    <row r="659" spans="1:17">
      <c r="A659" s="2">
        <v>2607</v>
      </c>
      <c r="B659" s="7">
        <v>1.61</v>
      </c>
      <c r="C659" s="7">
        <v>0.24</v>
      </c>
      <c r="D659" s="7">
        <v>0.92</v>
      </c>
      <c r="E659" s="7">
        <v>0.15</v>
      </c>
      <c r="F659" s="7">
        <v>0.15</v>
      </c>
      <c r="G659" s="7">
        <v>0.22</v>
      </c>
      <c r="H659" s="7">
        <v>0.34</v>
      </c>
      <c r="I659" s="7">
        <v>0.38</v>
      </c>
      <c r="J659" s="7">
        <v>0.3</v>
      </c>
      <c r="K659" s="7">
        <v>1.72</v>
      </c>
      <c r="L659" s="7">
        <v>2.04</v>
      </c>
      <c r="M659" s="7">
        <v>0.67</v>
      </c>
      <c r="N659" s="7">
        <v>0.46</v>
      </c>
      <c r="O659" s="7">
        <v>0.81</v>
      </c>
      <c r="P659" s="7">
        <v>1.45</v>
      </c>
      <c r="Q659" s="7">
        <v>0.01</v>
      </c>
    </row>
    <row r="660" spans="1:17">
      <c r="A660" s="2">
        <v>2608</v>
      </c>
      <c r="B660" s="7">
        <v>1.61</v>
      </c>
      <c r="C660" s="7">
        <v>0.24</v>
      </c>
      <c r="D660" s="7">
        <v>0.92</v>
      </c>
      <c r="E660" s="7">
        <v>0.15</v>
      </c>
      <c r="F660" s="7">
        <v>0.15</v>
      </c>
      <c r="G660" s="7">
        <v>0.22</v>
      </c>
      <c r="H660" s="7">
        <v>0.34</v>
      </c>
      <c r="I660" s="7">
        <v>0.38</v>
      </c>
      <c r="J660" s="7">
        <v>0.3</v>
      </c>
      <c r="K660" s="7">
        <v>1.72</v>
      </c>
      <c r="L660" s="7">
        <v>2.04</v>
      </c>
      <c r="M660" s="7">
        <v>0.67</v>
      </c>
      <c r="N660" s="7">
        <v>0.46</v>
      </c>
      <c r="O660" s="7">
        <v>0.81</v>
      </c>
      <c r="P660" s="7">
        <v>1.45</v>
      </c>
      <c r="Q660" s="7">
        <v>0.01</v>
      </c>
    </row>
    <row r="661" spans="1:17">
      <c r="A661" s="2">
        <v>2609</v>
      </c>
      <c r="B661" s="7">
        <v>1.61</v>
      </c>
      <c r="C661" s="7">
        <v>0.24</v>
      </c>
      <c r="D661" s="7">
        <v>0.92</v>
      </c>
      <c r="E661" s="7">
        <v>0.15</v>
      </c>
      <c r="F661" s="7">
        <v>0.15</v>
      </c>
      <c r="G661" s="7">
        <v>0.22</v>
      </c>
      <c r="H661" s="7">
        <v>0.34</v>
      </c>
      <c r="I661" s="7">
        <v>0.38</v>
      </c>
      <c r="J661" s="7">
        <v>0.3</v>
      </c>
      <c r="K661" s="7">
        <v>1.72</v>
      </c>
      <c r="L661" s="7">
        <v>2.04</v>
      </c>
      <c r="M661" s="7">
        <v>0.67</v>
      </c>
      <c r="N661" s="7">
        <v>0.46</v>
      </c>
      <c r="O661" s="7">
        <v>0.81</v>
      </c>
      <c r="P661" s="7">
        <v>1.45</v>
      </c>
      <c r="Q661" s="7">
        <v>0.01</v>
      </c>
    </row>
    <row r="662" spans="1:17">
      <c r="A662" s="2">
        <v>2610</v>
      </c>
      <c r="B662" s="7">
        <v>1.61</v>
      </c>
      <c r="C662" s="7">
        <v>0.24</v>
      </c>
      <c r="D662" s="7">
        <v>0.92</v>
      </c>
      <c r="E662" s="7">
        <v>0.15</v>
      </c>
      <c r="F662" s="7">
        <v>0.15</v>
      </c>
      <c r="G662" s="7">
        <v>0.22</v>
      </c>
      <c r="H662" s="7">
        <v>0.34</v>
      </c>
      <c r="I662" s="7">
        <v>0.38</v>
      </c>
      <c r="J662" s="7">
        <v>0.3</v>
      </c>
      <c r="K662" s="7">
        <v>1.72</v>
      </c>
      <c r="L662" s="7">
        <v>2.04</v>
      </c>
      <c r="M662" s="7">
        <v>0.67</v>
      </c>
      <c r="N662" s="7">
        <v>0.46</v>
      </c>
      <c r="O662" s="7">
        <v>0.81</v>
      </c>
      <c r="P662" s="7">
        <v>1.45</v>
      </c>
      <c r="Q662" s="7">
        <v>0.01</v>
      </c>
    </row>
    <row r="663" spans="1:17">
      <c r="A663" s="2">
        <v>2611</v>
      </c>
      <c r="B663" s="7">
        <v>1.61</v>
      </c>
      <c r="C663" s="7">
        <v>0.24</v>
      </c>
      <c r="D663" s="7">
        <v>0.92</v>
      </c>
      <c r="E663" s="7">
        <v>0.15</v>
      </c>
      <c r="F663" s="7">
        <v>0.15</v>
      </c>
      <c r="G663" s="7">
        <v>0.22</v>
      </c>
      <c r="H663" s="7">
        <v>0.34</v>
      </c>
      <c r="I663" s="7">
        <v>0.38</v>
      </c>
      <c r="J663" s="7">
        <v>0.3</v>
      </c>
      <c r="K663" s="7">
        <v>1.72</v>
      </c>
      <c r="L663" s="7">
        <v>2.04</v>
      </c>
      <c r="M663" s="7">
        <v>0.67</v>
      </c>
      <c r="N663" s="7">
        <v>0.46</v>
      </c>
      <c r="O663" s="7">
        <v>0.81</v>
      </c>
      <c r="P663" s="7">
        <v>1.45</v>
      </c>
      <c r="Q663" s="7">
        <v>0.01</v>
      </c>
    </row>
    <row r="664" spans="1:17">
      <c r="A664" s="2">
        <v>2612</v>
      </c>
      <c r="B664" s="7">
        <v>1.61</v>
      </c>
      <c r="C664" s="7">
        <v>0.24</v>
      </c>
      <c r="D664" s="7">
        <v>0.92</v>
      </c>
      <c r="E664" s="7">
        <v>0.15</v>
      </c>
      <c r="F664" s="7">
        <v>0.15</v>
      </c>
      <c r="G664" s="7">
        <v>0.22</v>
      </c>
      <c r="H664" s="7">
        <v>0.34</v>
      </c>
      <c r="I664" s="7">
        <v>0.38</v>
      </c>
      <c r="J664" s="7">
        <v>0.3</v>
      </c>
      <c r="K664" s="7">
        <v>1.72</v>
      </c>
      <c r="L664" s="7">
        <v>2.04</v>
      </c>
      <c r="M664" s="7">
        <v>0.67</v>
      </c>
      <c r="N664" s="7">
        <v>0.46</v>
      </c>
      <c r="O664" s="7">
        <v>0.81</v>
      </c>
      <c r="P664" s="7">
        <v>1.45</v>
      </c>
      <c r="Q664" s="7">
        <v>0.01</v>
      </c>
    </row>
    <row r="665" spans="1:17">
      <c r="A665" s="2">
        <v>2613</v>
      </c>
      <c r="B665" s="7">
        <v>1.61</v>
      </c>
      <c r="C665" s="7">
        <v>0.24</v>
      </c>
      <c r="D665" s="7">
        <v>0.92</v>
      </c>
      <c r="E665" s="7">
        <v>0.15</v>
      </c>
      <c r="F665" s="7">
        <v>0.15</v>
      </c>
      <c r="G665" s="7">
        <v>0.22</v>
      </c>
      <c r="H665" s="7">
        <v>0.34</v>
      </c>
      <c r="I665" s="7">
        <v>0.38</v>
      </c>
      <c r="J665" s="7">
        <v>0.3</v>
      </c>
      <c r="K665" s="7">
        <v>1.72</v>
      </c>
      <c r="L665" s="7">
        <v>2.04</v>
      </c>
      <c r="M665" s="7">
        <v>0.67</v>
      </c>
      <c r="N665" s="7">
        <v>0.46</v>
      </c>
      <c r="O665" s="7">
        <v>0.81</v>
      </c>
      <c r="P665" s="7">
        <v>1.45</v>
      </c>
      <c r="Q665" s="7">
        <v>0.01</v>
      </c>
    </row>
    <row r="666" spans="1:17">
      <c r="A666" s="2">
        <v>2614</v>
      </c>
      <c r="B666" s="7">
        <v>1.61</v>
      </c>
      <c r="C666" s="7">
        <v>0.24</v>
      </c>
      <c r="D666" s="7">
        <v>0.92</v>
      </c>
      <c r="E666" s="7">
        <v>0.15</v>
      </c>
      <c r="F666" s="7">
        <v>0.15</v>
      </c>
      <c r="G666" s="7">
        <v>0.22</v>
      </c>
      <c r="H666" s="7">
        <v>0.34</v>
      </c>
      <c r="I666" s="7">
        <v>0.38</v>
      </c>
      <c r="J666" s="7">
        <v>0.3</v>
      </c>
      <c r="K666" s="7">
        <v>1.72</v>
      </c>
      <c r="L666" s="7">
        <v>2.04</v>
      </c>
      <c r="M666" s="7">
        <v>0.67</v>
      </c>
      <c r="N666" s="7">
        <v>0.46</v>
      </c>
      <c r="O666" s="7">
        <v>0.81</v>
      </c>
      <c r="P666" s="7">
        <v>1.45</v>
      </c>
      <c r="Q666" s="7">
        <v>0.01</v>
      </c>
    </row>
    <row r="667" spans="1:17">
      <c r="A667" s="2">
        <v>2615</v>
      </c>
      <c r="B667" s="7">
        <v>1.61</v>
      </c>
      <c r="C667" s="7">
        <v>0.24</v>
      </c>
      <c r="D667" s="7">
        <v>0.92</v>
      </c>
      <c r="E667" s="7">
        <v>0.15</v>
      </c>
      <c r="F667" s="7">
        <v>0.15</v>
      </c>
      <c r="G667" s="7">
        <v>0.22</v>
      </c>
      <c r="H667" s="7">
        <v>0.34</v>
      </c>
      <c r="I667" s="7">
        <v>0.38</v>
      </c>
      <c r="J667" s="7">
        <v>0.3</v>
      </c>
      <c r="K667" s="7">
        <v>1.72</v>
      </c>
      <c r="L667" s="7">
        <v>2.04</v>
      </c>
      <c r="M667" s="7">
        <v>0.67</v>
      </c>
      <c r="N667" s="7">
        <v>0.46</v>
      </c>
      <c r="O667" s="7">
        <v>0.81</v>
      </c>
      <c r="P667" s="7">
        <v>1.45</v>
      </c>
      <c r="Q667" s="7">
        <v>0.01</v>
      </c>
    </row>
    <row r="668" spans="1:17">
      <c r="A668" s="2">
        <v>2616</v>
      </c>
      <c r="B668" s="7">
        <v>1.61</v>
      </c>
      <c r="C668" s="7">
        <v>0.24</v>
      </c>
      <c r="D668" s="7">
        <v>0.92</v>
      </c>
      <c r="E668" s="7">
        <v>0.15</v>
      </c>
      <c r="F668" s="7">
        <v>0.15</v>
      </c>
      <c r="G668" s="7">
        <v>0.22</v>
      </c>
      <c r="H668" s="7">
        <v>0.34</v>
      </c>
      <c r="I668" s="7">
        <v>0.38</v>
      </c>
      <c r="J668" s="7">
        <v>0.3</v>
      </c>
      <c r="K668" s="7">
        <v>1.72</v>
      </c>
      <c r="L668" s="7">
        <v>2.04</v>
      </c>
      <c r="M668" s="7">
        <v>0.67</v>
      </c>
      <c r="N668" s="7">
        <v>0.46</v>
      </c>
      <c r="O668" s="7">
        <v>0.81</v>
      </c>
      <c r="P668" s="7">
        <v>1.45</v>
      </c>
      <c r="Q668" s="7">
        <v>0.01</v>
      </c>
    </row>
    <row r="669" spans="1:17">
      <c r="A669" s="2">
        <v>2617</v>
      </c>
      <c r="B669" s="7">
        <v>1.61</v>
      </c>
      <c r="C669" s="7">
        <v>0.24</v>
      </c>
      <c r="D669" s="7">
        <v>0.92</v>
      </c>
      <c r="E669" s="7">
        <v>0.15</v>
      </c>
      <c r="F669" s="7">
        <v>0.15</v>
      </c>
      <c r="G669" s="7">
        <v>0.22</v>
      </c>
      <c r="H669" s="7">
        <v>0.34</v>
      </c>
      <c r="I669" s="7">
        <v>0.38</v>
      </c>
      <c r="J669" s="7">
        <v>0.3</v>
      </c>
      <c r="K669" s="7">
        <v>1.72</v>
      </c>
      <c r="L669" s="7">
        <v>2.04</v>
      </c>
      <c r="M669" s="7">
        <v>0.67</v>
      </c>
      <c r="N669" s="7">
        <v>0.46</v>
      </c>
      <c r="O669" s="7">
        <v>0.81</v>
      </c>
      <c r="P669" s="7">
        <v>1.45</v>
      </c>
      <c r="Q669" s="7">
        <v>0.01</v>
      </c>
    </row>
    <row r="670" spans="1:17">
      <c r="A670" s="2">
        <v>2618</v>
      </c>
      <c r="B670" s="7">
        <v>1.61</v>
      </c>
      <c r="C670" s="7">
        <v>0.24</v>
      </c>
      <c r="D670" s="7">
        <v>0.92</v>
      </c>
      <c r="E670" s="7">
        <v>0.15</v>
      </c>
      <c r="F670" s="7">
        <v>0.15</v>
      </c>
      <c r="G670" s="7">
        <v>0.22</v>
      </c>
      <c r="H670" s="7">
        <v>0.34</v>
      </c>
      <c r="I670" s="7">
        <v>0.38</v>
      </c>
      <c r="J670" s="7">
        <v>0.3</v>
      </c>
      <c r="K670" s="7">
        <v>1.72</v>
      </c>
      <c r="L670" s="7">
        <v>2.04</v>
      </c>
      <c r="M670" s="7">
        <v>0.67</v>
      </c>
      <c r="N670" s="7">
        <v>0.46</v>
      </c>
      <c r="O670" s="7">
        <v>0.81</v>
      </c>
      <c r="P670" s="7">
        <v>1.45</v>
      </c>
      <c r="Q670" s="7">
        <v>0.01</v>
      </c>
    </row>
    <row r="671" spans="1:17">
      <c r="A671" s="2">
        <v>2619</v>
      </c>
      <c r="B671" s="7">
        <v>1.61</v>
      </c>
      <c r="C671" s="7">
        <v>0.24</v>
      </c>
      <c r="D671" s="7">
        <v>0.92</v>
      </c>
      <c r="E671" s="7">
        <v>0.15</v>
      </c>
      <c r="F671" s="7">
        <v>0.15</v>
      </c>
      <c r="G671" s="7">
        <v>0.22</v>
      </c>
      <c r="H671" s="7">
        <v>0.34</v>
      </c>
      <c r="I671" s="7">
        <v>0.38</v>
      </c>
      <c r="J671" s="7">
        <v>0.3</v>
      </c>
      <c r="K671" s="7">
        <v>1.72</v>
      </c>
      <c r="L671" s="7">
        <v>2.04</v>
      </c>
      <c r="M671" s="7">
        <v>0.67</v>
      </c>
      <c r="N671" s="7">
        <v>0.46</v>
      </c>
      <c r="O671" s="7">
        <v>0.81</v>
      </c>
      <c r="P671" s="7">
        <v>1.45</v>
      </c>
      <c r="Q671" s="7">
        <v>0.01</v>
      </c>
    </row>
    <row r="672" spans="1:17">
      <c r="A672" s="2">
        <v>2620</v>
      </c>
      <c r="B672" s="7">
        <v>1.61</v>
      </c>
      <c r="C672" s="7">
        <v>0.24</v>
      </c>
      <c r="D672" s="7">
        <v>0.92</v>
      </c>
      <c r="E672" s="7">
        <v>0.15</v>
      </c>
      <c r="F672" s="7">
        <v>0.15</v>
      </c>
      <c r="G672" s="7">
        <v>0.22</v>
      </c>
      <c r="H672" s="7">
        <v>0.34</v>
      </c>
      <c r="I672" s="7">
        <v>0.38</v>
      </c>
      <c r="J672" s="7">
        <v>0.3</v>
      </c>
      <c r="K672" s="7">
        <v>1.72</v>
      </c>
      <c r="L672" s="7">
        <v>2.04</v>
      </c>
      <c r="M672" s="7">
        <v>0.67</v>
      </c>
      <c r="N672" s="7">
        <v>0.46</v>
      </c>
      <c r="O672" s="7">
        <v>0.81</v>
      </c>
      <c r="P672" s="7">
        <v>1.45</v>
      </c>
      <c r="Q672" s="7">
        <v>0.01</v>
      </c>
    </row>
    <row r="673" spans="1:17">
      <c r="A673" s="2">
        <v>2621</v>
      </c>
      <c r="B673" s="7">
        <v>1.61</v>
      </c>
      <c r="C673" s="7">
        <v>0.24</v>
      </c>
      <c r="D673" s="7">
        <v>0.92</v>
      </c>
      <c r="E673" s="7">
        <v>0.15</v>
      </c>
      <c r="F673" s="7">
        <v>0.15</v>
      </c>
      <c r="G673" s="7">
        <v>0.22</v>
      </c>
      <c r="H673" s="7">
        <v>0.34</v>
      </c>
      <c r="I673" s="7">
        <v>0.38</v>
      </c>
      <c r="J673" s="7">
        <v>0.3</v>
      </c>
      <c r="K673" s="7">
        <v>1.72</v>
      </c>
      <c r="L673" s="7">
        <v>2.04</v>
      </c>
      <c r="M673" s="7">
        <v>0.67</v>
      </c>
      <c r="N673" s="7">
        <v>0.46</v>
      </c>
      <c r="O673" s="7">
        <v>0.81</v>
      </c>
      <c r="P673" s="7">
        <v>1.45</v>
      </c>
      <c r="Q673" s="7">
        <v>0.01</v>
      </c>
    </row>
    <row r="674" spans="1:17">
      <c r="A674" s="2">
        <v>2622</v>
      </c>
      <c r="B674" s="7">
        <v>1.61</v>
      </c>
      <c r="C674" s="7">
        <v>0.24</v>
      </c>
      <c r="D674" s="7">
        <v>0.92</v>
      </c>
      <c r="E674" s="7">
        <v>0.15</v>
      </c>
      <c r="F674" s="7">
        <v>0.15</v>
      </c>
      <c r="G674" s="7">
        <v>0.22</v>
      </c>
      <c r="H674" s="7">
        <v>0.34</v>
      </c>
      <c r="I674" s="7">
        <v>0.38</v>
      </c>
      <c r="J674" s="7">
        <v>0.3</v>
      </c>
      <c r="K674" s="7">
        <v>1.72</v>
      </c>
      <c r="L674" s="7">
        <v>2.04</v>
      </c>
      <c r="M674" s="7">
        <v>0.67</v>
      </c>
      <c r="N674" s="7">
        <v>0.46</v>
      </c>
      <c r="O674" s="7">
        <v>0.81</v>
      </c>
      <c r="P674" s="7">
        <v>1.45</v>
      </c>
      <c r="Q674" s="7">
        <v>0.01</v>
      </c>
    </row>
    <row r="675" spans="1:17">
      <c r="A675" s="2">
        <v>2623</v>
      </c>
      <c r="B675" s="7">
        <v>1.61</v>
      </c>
      <c r="C675" s="7">
        <v>0.24</v>
      </c>
      <c r="D675" s="7">
        <v>0.92</v>
      </c>
      <c r="E675" s="7">
        <v>0.15</v>
      </c>
      <c r="F675" s="7">
        <v>0.15</v>
      </c>
      <c r="G675" s="7">
        <v>0.22</v>
      </c>
      <c r="H675" s="7">
        <v>0.34</v>
      </c>
      <c r="I675" s="7">
        <v>0.38</v>
      </c>
      <c r="J675" s="7">
        <v>0.3</v>
      </c>
      <c r="K675" s="7">
        <v>1.72</v>
      </c>
      <c r="L675" s="7">
        <v>2.04</v>
      </c>
      <c r="M675" s="7">
        <v>0.67</v>
      </c>
      <c r="N675" s="7">
        <v>0.46</v>
      </c>
      <c r="O675" s="7">
        <v>0.81</v>
      </c>
      <c r="P675" s="7">
        <v>1.45</v>
      </c>
      <c r="Q675" s="7">
        <v>0.01</v>
      </c>
    </row>
    <row r="676" spans="1:17">
      <c r="A676" s="2">
        <v>2624</v>
      </c>
      <c r="B676" s="7">
        <v>1.61</v>
      </c>
      <c r="C676" s="7">
        <v>0.24</v>
      </c>
      <c r="D676" s="7">
        <v>0.92</v>
      </c>
      <c r="E676" s="7">
        <v>0.15</v>
      </c>
      <c r="F676" s="7">
        <v>0.15</v>
      </c>
      <c r="G676" s="7">
        <v>0.22</v>
      </c>
      <c r="H676" s="7">
        <v>0.34</v>
      </c>
      <c r="I676" s="7">
        <v>0.38</v>
      </c>
      <c r="J676" s="7">
        <v>0.3</v>
      </c>
      <c r="K676" s="7">
        <v>1.72</v>
      </c>
      <c r="L676" s="7">
        <v>2.04</v>
      </c>
      <c r="M676" s="7">
        <v>0.67</v>
      </c>
      <c r="N676" s="7">
        <v>0.46</v>
      </c>
      <c r="O676" s="7">
        <v>0.81</v>
      </c>
      <c r="P676" s="7">
        <v>1.45</v>
      </c>
      <c r="Q676" s="7">
        <v>0.01</v>
      </c>
    </row>
    <row r="677" spans="1:17">
      <c r="A677" s="2">
        <v>2625</v>
      </c>
      <c r="B677" s="7">
        <v>1.61</v>
      </c>
      <c r="C677" s="7">
        <v>0.24</v>
      </c>
      <c r="D677" s="7">
        <v>0.92</v>
      </c>
      <c r="E677" s="7">
        <v>0.15</v>
      </c>
      <c r="F677" s="7">
        <v>0.15</v>
      </c>
      <c r="G677" s="7">
        <v>0.22</v>
      </c>
      <c r="H677" s="7">
        <v>0.34</v>
      </c>
      <c r="I677" s="7">
        <v>0.38</v>
      </c>
      <c r="J677" s="7">
        <v>0.3</v>
      </c>
      <c r="K677" s="7">
        <v>1.72</v>
      </c>
      <c r="L677" s="7">
        <v>2.04</v>
      </c>
      <c r="M677" s="7">
        <v>0.67</v>
      </c>
      <c r="N677" s="7">
        <v>0.46</v>
      </c>
      <c r="O677" s="7">
        <v>0.81</v>
      </c>
      <c r="P677" s="7">
        <v>1.45</v>
      </c>
      <c r="Q677" s="7">
        <v>0.01</v>
      </c>
    </row>
    <row r="678" spans="1:17">
      <c r="A678" s="2">
        <v>2626</v>
      </c>
      <c r="B678" s="7">
        <v>1.61</v>
      </c>
      <c r="C678" s="7">
        <v>0.24</v>
      </c>
      <c r="D678" s="7">
        <v>0.92</v>
      </c>
      <c r="E678" s="7">
        <v>0.15</v>
      </c>
      <c r="F678" s="7">
        <v>0.15</v>
      </c>
      <c r="G678" s="7">
        <v>0.22</v>
      </c>
      <c r="H678" s="7">
        <v>0.34</v>
      </c>
      <c r="I678" s="7">
        <v>0.38</v>
      </c>
      <c r="J678" s="7">
        <v>0.3</v>
      </c>
      <c r="K678" s="7">
        <v>1.72</v>
      </c>
      <c r="L678" s="7">
        <v>2.04</v>
      </c>
      <c r="M678" s="7">
        <v>0.67</v>
      </c>
      <c r="N678" s="7">
        <v>0.46</v>
      </c>
      <c r="O678" s="7">
        <v>0.81</v>
      </c>
      <c r="P678" s="7">
        <v>1.45</v>
      </c>
      <c r="Q678" s="7">
        <v>0.01</v>
      </c>
    </row>
    <row r="679" spans="1:17">
      <c r="A679" s="2">
        <v>2627</v>
      </c>
      <c r="B679" s="7">
        <v>1.61</v>
      </c>
      <c r="C679" s="7">
        <v>0.24</v>
      </c>
      <c r="D679" s="7">
        <v>0.92</v>
      </c>
      <c r="E679" s="7">
        <v>0.15</v>
      </c>
      <c r="F679" s="7">
        <v>0.15</v>
      </c>
      <c r="G679" s="7">
        <v>0.22</v>
      </c>
      <c r="H679" s="7">
        <v>0.34</v>
      </c>
      <c r="I679" s="7">
        <v>0.38</v>
      </c>
      <c r="J679" s="7">
        <v>0.3</v>
      </c>
      <c r="K679" s="7">
        <v>1.72</v>
      </c>
      <c r="L679" s="7">
        <v>2.04</v>
      </c>
      <c r="M679" s="7">
        <v>0.67</v>
      </c>
      <c r="N679" s="7">
        <v>0.46</v>
      </c>
      <c r="O679" s="7">
        <v>0.81</v>
      </c>
      <c r="P679" s="7">
        <v>1.45</v>
      </c>
      <c r="Q679" s="7">
        <v>0.01</v>
      </c>
    </row>
    <row r="680" spans="1:17">
      <c r="A680" s="2">
        <v>2628</v>
      </c>
      <c r="B680" s="7">
        <v>1.61</v>
      </c>
      <c r="C680" s="7">
        <v>0.24</v>
      </c>
      <c r="D680" s="7">
        <v>0.92</v>
      </c>
      <c r="E680" s="7">
        <v>0.15</v>
      </c>
      <c r="F680" s="7">
        <v>0.15</v>
      </c>
      <c r="G680" s="7">
        <v>0.22</v>
      </c>
      <c r="H680" s="7">
        <v>0.34</v>
      </c>
      <c r="I680" s="7">
        <v>0.38</v>
      </c>
      <c r="J680" s="7">
        <v>0.3</v>
      </c>
      <c r="K680" s="7">
        <v>1.72</v>
      </c>
      <c r="L680" s="7">
        <v>2.04</v>
      </c>
      <c r="M680" s="7">
        <v>0.67</v>
      </c>
      <c r="N680" s="7">
        <v>0.46</v>
      </c>
      <c r="O680" s="7">
        <v>0.81</v>
      </c>
      <c r="P680" s="7">
        <v>1.45</v>
      </c>
      <c r="Q680" s="7">
        <v>0.01</v>
      </c>
    </row>
    <row r="681" spans="1:17">
      <c r="A681" s="2">
        <v>2629</v>
      </c>
      <c r="B681" s="7">
        <v>1.61</v>
      </c>
      <c r="C681" s="7">
        <v>0.24</v>
      </c>
      <c r="D681" s="7">
        <v>0.92</v>
      </c>
      <c r="E681" s="7">
        <v>0.15</v>
      </c>
      <c r="F681" s="7">
        <v>0.15</v>
      </c>
      <c r="G681" s="7">
        <v>0.22</v>
      </c>
      <c r="H681" s="7">
        <v>0.34</v>
      </c>
      <c r="I681" s="7">
        <v>0.38</v>
      </c>
      <c r="J681" s="7">
        <v>0.3</v>
      </c>
      <c r="K681" s="7">
        <v>1.72</v>
      </c>
      <c r="L681" s="7">
        <v>2.04</v>
      </c>
      <c r="M681" s="7">
        <v>0.67</v>
      </c>
      <c r="N681" s="7">
        <v>0.46</v>
      </c>
      <c r="O681" s="7">
        <v>0.81</v>
      </c>
      <c r="P681" s="7">
        <v>1.45</v>
      </c>
      <c r="Q681" s="7">
        <v>0.01</v>
      </c>
    </row>
    <row r="682" spans="1:17">
      <c r="A682" s="2">
        <v>2630</v>
      </c>
      <c r="B682" s="7">
        <v>1.61</v>
      </c>
      <c r="C682" s="7">
        <v>0.24</v>
      </c>
      <c r="D682" s="7">
        <v>0.92</v>
      </c>
      <c r="E682" s="7">
        <v>0.15</v>
      </c>
      <c r="F682" s="7">
        <v>0.15</v>
      </c>
      <c r="G682" s="7">
        <v>0.22</v>
      </c>
      <c r="H682" s="7">
        <v>0.34</v>
      </c>
      <c r="I682" s="7">
        <v>0.38</v>
      </c>
      <c r="J682" s="7">
        <v>0.3</v>
      </c>
      <c r="K682" s="7">
        <v>1.72</v>
      </c>
      <c r="L682" s="7">
        <v>2.04</v>
      </c>
      <c r="M682" s="7">
        <v>0.67</v>
      </c>
      <c r="N682" s="7">
        <v>0.46</v>
      </c>
      <c r="O682" s="7">
        <v>0.81</v>
      </c>
      <c r="P682" s="7">
        <v>1.45</v>
      </c>
      <c r="Q682" s="7">
        <v>0.01</v>
      </c>
    </row>
    <row r="683" spans="1:17">
      <c r="A683" s="2">
        <v>2631</v>
      </c>
      <c r="B683" s="7">
        <v>1.61</v>
      </c>
      <c r="C683" s="7">
        <v>0.24</v>
      </c>
      <c r="D683" s="7">
        <v>0.92</v>
      </c>
      <c r="E683" s="7">
        <v>0.15</v>
      </c>
      <c r="F683" s="7">
        <v>0.15</v>
      </c>
      <c r="G683" s="7">
        <v>0.22</v>
      </c>
      <c r="H683" s="7">
        <v>0.34</v>
      </c>
      <c r="I683" s="7">
        <v>0.38</v>
      </c>
      <c r="J683" s="7">
        <v>0.3</v>
      </c>
      <c r="K683" s="7">
        <v>1.72</v>
      </c>
      <c r="L683" s="7">
        <v>2.04</v>
      </c>
      <c r="M683" s="7">
        <v>0.67</v>
      </c>
      <c r="N683" s="7">
        <v>0.46</v>
      </c>
      <c r="O683" s="7">
        <v>0.81</v>
      </c>
      <c r="P683" s="7">
        <v>1.45</v>
      </c>
      <c r="Q683" s="7">
        <v>0.01</v>
      </c>
    </row>
    <row r="684" spans="1:17">
      <c r="A684" s="2">
        <v>2632</v>
      </c>
      <c r="B684" s="7">
        <v>1.61</v>
      </c>
      <c r="C684" s="7">
        <v>0.24</v>
      </c>
      <c r="D684" s="7">
        <v>0.92</v>
      </c>
      <c r="E684" s="7">
        <v>0.15</v>
      </c>
      <c r="F684" s="7">
        <v>0.15</v>
      </c>
      <c r="G684" s="7">
        <v>0.22</v>
      </c>
      <c r="H684" s="7">
        <v>0.34</v>
      </c>
      <c r="I684" s="7">
        <v>0.38</v>
      </c>
      <c r="J684" s="7">
        <v>0.3</v>
      </c>
      <c r="K684" s="7">
        <v>1.72</v>
      </c>
      <c r="L684" s="7">
        <v>2.04</v>
      </c>
      <c r="M684" s="7">
        <v>0.67</v>
      </c>
      <c r="N684" s="7">
        <v>0.46</v>
      </c>
      <c r="O684" s="7">
        <v>0.81</v>
      </c>
      <c r="P684" s="7">
        <v>1.45</v>
      </c>
      <c r="Q684" s="7">
        <v>0.01</v>
      </c>
    </row>
    <row r="685" spans="1:17">
      <c r="A685" s="2">
        <v>2633</v>
      </c>
      <c r="B685" s="7">
        <v>1.61</v>
      </c>
      <c r="C685" s="7">
        <v>0.24</v>
      </c>
      <c r="D685" s="7">
        <v>0.92</v>
      </c>
      <c r="E685" s="7">
        <v>0.15</v>
      </c>
      <c r="F685" s="7">
        <v>0.15</v>
      </c>
      <c r="G685" s="7">
        <v>0.22</v>
      </c>
      <c r="H685" s="7">
        <v>0.34</v>
      </c>
      <c r="I685" s="7">
        <v>0.38</v>
      </c>
      <c r="J685" s="7">
        <v>0.3</v>
      </c>
      <c r="K685" s="7">
        <v>1.72</v>
      </c>
      <c r="L685" s="7">
        <v>2.04</v>
      </c>
      <c r="M685" s="7">
        <v>0.67</v>
      </c>
      <c r="N685" s="7">
        <v>0.46</v>
      </c>
      <c r="O685" s="7">
        <v>0.81</v>
      </c>
      <c r="P685" s="7">
        <v>1.45</v>
      </c>
      <c r="Q685" s="7">
        <v>0.01</v>
      </c>
    </row>
    <row r="686" spans="1:17">
      <c r="A686" s="2">
        <v>2634</v>
      </c>
      <c r="B686" s="7">
        <v>1.61</v>
      </c>
      <c r="C686" s="7">
        <v>0.24</v>
      </c>
      <c r="D686" s="7">
        <v>0.92</v>
      </c>
      <c r="E686" s="7">
        <v>0.15</v>
      </c>
      <c r="F686" s="7">
        <v>0.15</v>
      </c>
      <c r="G686" s="7">
        <v>0.22</v>
      </c>
      <c r="H686" s="7">
        <v>0.34</v>
      </c>
      <c r="I686" s="7">
        <v>0.38</v>
      </c>
      <c r="J686" s="7">
        <v>0.3</v>
      </c>
      <c r="K686" s="7">
        <v>1.72</v>
      </c>
      <c r="L686" s="7">
        <v>2.04</v>
      </c>
      <c r="M686" s="7">
        <v>0.67</v>
      </c>
      <c r="N686" s="7">
        <v>0.46</v>
      </c>
      <c r="O686" s="7">
        <v>0.81</v>
      </c>
      <c r="P686" s="7">
        <v>1.45</v>
      </c>
      <c r="Q686" s="7">
        <v>0.01</v>
      </c>
    </row>
    <row r="687" spans="1:17">
      <c r="A687" s="2">
        <v>2635</v>
      </c>
      <c r="B687" s="7">
        <v>1.61</v>
      </c>
      <c r="C687" s="7">
        <v>0.24</v>
      </c>
      <c r="D687" s="7">
        <v>0.92</v>
      </c>
      <c r="E687" s="7">
        <v>0.15</v>
      </c>
      <c r="F687" s="7">
        <v>0.15</v>
      </c>
      <c r="G687" s="7">
        <v>0.22</v>
      </c>
      <c r="H687" s="7">
        <v>0.34</v>
      </c>
      <c r="I687" s="7">
        <v>0.38</v>
      </c>
      <c r="J687" s="7">
        <v>0.3</v>
      </c>
      <c r="K687" s="7">
        <v>1.72</v>
      </c>
      <c r="L687" s="7">
        <v>2.04</v>
      </c>
      <c r="M687" s="7">
        <v>0.67</v>
      </c>
      <c r="N687" s="7">
        <v>0.46</v>
      </c>
      <c r="O687" s="7">
        <v>0.81</v>
      </c>
      <c r="P687" s="7">
        <v>1.45</v>
      </c>
      <c r="Q687" s="7">
        <v>0.01</v>
      </c>
    </row>
    <row r="688" spans="1:17">
      <c r="A688" s="2">
        <v>2636</v>
      </c>
      <c r="B688" s="7">
        <v>1.61</v>
      </c>
      <c r="C688" s="7">
        <v>0.24</v>
      </c>
      <c r="D688" s="7">
        <v>0.92</v>
      </c>
      <c r="E688" s="7">
        <v>0.15</v>
      </c>
      <c r="F688" s="7">
        <v>0.15</v>
      </c>
      <c r="G688" s="7">
        <v>0.22</v>
      </c>
      <c r="H688" s="7">
        <v>0.34</v>
      </c>
      <c r="I688" s="7">
        <v>0.38</v>
      </c>
      <c r="J688" s="7">
        <v>0.3</v>
      </c>
      <c r="K688" s="7">
        <v>1.72</v>
      </c>
      <c r="L688" s="7">
        <v>2.04</v>
      </c>
      <c r="M688" s="7">
        <v>0.67</v>
      </c>
      <c r="N688" s="7">
        <v>0.46</v>
      </c>
      <c r="O688" s="7">
        <v>0.81</v>
      </c>
      <c r="P688" s="7">
        <v>1.45</v>
      </c>
      <c r="Q688" s="7">
        <v>0.01</v>
      </c>
    </row>
    <row r="689" spans="1:17">
      <c r="A689" s="2">
        <v>2637</v>
      </c>
      <c r="B689" s="7">
        <v>1.61</v>
      </c>
      <c r="C689" s="7">
        <v>0.24</v>
      </c>
      <c r="D689" s="7">
        <v>0.92</v>
      </c>
      <c r="E689" s="7">
        <v>0.15</v>
      </c>
      <c r="F689" s="7">
        <v>0.15</v>
      </c>
      <c r="G689" s="7">
        <v>0.22</v>
      </c>
      <c r="H689" s="7">
        <v>0.34</v>
      </c>
      <c r="I689" s="7">
        <v>0.38</v>
      </c>
      <c r="J689" s="7">
        <v>0.3</v>
      </c>
      <c r="K689" s="7">
        <v>1.72</v>
      </c>
      <c r="L689" s="7">
        <v>2.04</v>
      </c>
      <c r="M689" s="7">
        <v>0.67</v>
      </c>
      <c r="N689" s="7">
        <v>0.46</v>
      </c>
      <c r="O689" s="7">
        <v>0.81</v>
      </c>
      <c r="P689" s="7">
        <v>1.45</v>
      </c>
      <c r="Q689" s="7">
        <v>0.01</v>
      </c>
    </row>
    <row r="690" spans="1:17">
      <c r="A690" s="2">
        <v>2638</v>
      </c>
      <c r="B690" s="7">
        <v>1.61</v>
      </c>
      <c r="C690" s="7">
        <v>0.24</v>
      </c>
      <c r="D690" s="7">
        <v>0.92</v>
      </c>
      <c r="E690" s="7">
        <v>0.15</v>
      </c>
      <c r="F690" s="7">
        <v>0.15</v>
      </c>
      <c r="G690" s="7">
        <v>0.22</v>
      </c>
      <c r="H690" s="7">
        <v>0.34</v>
      </c>
      <c r="I690" s="7">
        <v>0.38</v>
      </c>
      <c r="J690" s="7">
        <v>0.3</v>
      </c>
      <c r="K690" s="7">
        <v>1.72</v>
      </c>
      <c r="L690" s="7">
        <v>2.04</v>
      </c>
      <c r="M690" s="7">
        <v>0.67</v>
      </c>
      <c r="N690" s="7">
        <v>0.46</v>
      </c>
      <c r="O690" s="7">
        <v>0.81</v>
      </c>
      <c r="P690" s="7">
        <v>1.45</v>
      </c>
      <c r="Q690" s="7">
        <v>0.01</v>
      </c>
    </row>
    <row r="691" spans="1:17">
      <c r="A691" s="2">
        <v>2639</v>
      </c>
      <c r="B691" s="7">
        <v>1.61</v>
      </c>
      <c r="C691" s="7">
        <v>0.24</v>
      </c>
      <c r="D691" s="7">
        <v>0.92</v>
      </c>
      <c r="E691" s="7">
        <v>0.15</v>
      </c>
      <c r="F691" s="7">
        <v>0.15</v>
      </c>
      <c r="G691" s="7">
        <v>0.22</v>
      </c>
      <c r="H691" s="7">
        <v>0.34</v>
      </c>
      <c r="I691" s="7">
        <v>0.38</v>
      </c>
      <c r="J691" s="7">
        <v>0.3</v>
      </c>
      <c r="K691" s="7">
        <v>1.72</v>
      </c>
      <c r="L691" s="7">
        <v>2.04</v>
      </c>
      <c r="M691" s="7">
        <v>0.67</v>
      </c>
      <c r="N691" s="7">
        <v>0.46</v>
      </c>
      <c r="O691" s="7">
        <v>0.81</v>
      </c>
      <c r="P691" s="7">
        <v>1.45</v>
      </c>
      <c r="Q691" s="7">
        <v>0.01</v>
      </c>
    </row>
    <row r="692" spans="1:17">
      <c r="A692" s="2">
        <v>2640</v>
      </c>
      <c r="B692" s="7">
        <v>1.61</v>
      </c>
      <c r="C692" s="7">
        <v>0.24</v>
      </c>
      <c r="D692" s="7">
        <v>0.92</v>
      </c>
      <c r="E692" s="7">
        <v>0.15</v>
      </c>
      <c r="F692" s="7">
        <v>0.15</v>
      </c>
      <c r="G692" s="7">
        <v>0.22</v>
      </c>
      <c r="H692" s="7">
        <v>0.34</v>
      </c>
      <c r="I692" s="7">
        <v>0.38</v>
      </c>
      <c r="J692" s="7">
        <v>0.3</v>
      </c>
      <c r="K692" s="7">
        <v>1.72</v>
      </c>
      <c r="L692" s="7">
        <v>2.04</v>
      </c>
      <c r="M692" s="7">
        <v>0.67</v>
      </c>
      <c r="N692" s="7">
        <v>0.46</v>
      </c>
      <c r="O692" s="7">
        <v>0.81</v>
      </c>
      <c r="P692" s="7">
        <v>1.45</v>
      </c>
      <c r="Q692" s="7">
        <v>0.01</v>
      </c>
    </row>
    <row r="693" spans="1:17">
      <c r="A693" s="2">
        <v>2641</v>
      </c>
      <c r="B693" s="7">
        <v>1.61</v>
      </c>
      <c r="C693" s="7">
        <v>0.24</v>
      </c>
      <c r="D693" s="7">
        <v>0.92</v>
      </c>
      <c r="E693" s="7">
        <v>0.15</v>
      </c>
      <c r="F693" s="7">
        <v>0.15</v>
      </c>
      <c r="G693" s="7">
        <v>0.22</v>
      </c>
      <c r="H693" s="7">
        <v>0.34</v>
      </c>
      <c r="I693" s="7">
        <v>0.38</v>
      </c>
      <c r="J693" s="7">
        <v>0.3</v>
      </c>
      <c r="K693" s="7">
        <v>1.72</v>
      </c>
      <c r="L693" s="7">
        <v>2.04</v>
      </c>
      <c r="M693" s="7">
        <v>0.67</v>
      </c>
      <c r="N693" s="7">
        <v>0.46</v>
      </c>
      <c r="O693" s="7">
        <v>0.81</v>
      </c>
      <c r="P693" s="7">
        <v>1.45</v>
      </c>
      <c r="Q693" s="7">
        <v>0.01</v>
      </c>
    </row>
    <row r="694" spans="1:17">
      <c r="A694" s="2">
        <v>2642</v>
      </c>
      <c r="B694" s="7">
        <v>1.61</v>
      </c>
      <c r="C694" s="7">
        <v>0.24</v>
      </c>
      <c r="D694" s="7">
        <v>0.92</v>
      </c>
      <c r="E694" s="7">
        <v>0.15</v>
      </c>
      <c r="F694" s="7">
        <v>0.15</v>
      </c>
      <c r="G694" s="7">
        <v>0.22</v>
      </c>
      <c r="H694" s="7">
        <v>0.34</v>
      </c>
      <c r="I694" s="7">
        <v>0.38</v>
      </c>
      <c r="J694" s="7">
        <v>0.3</v>
      </c>
      <c r="K694" s="7">
        <v>1.72</v>
      </c>
      <c r="L694" s="7">
        <v>2.04</v>
      </c>
      <c r="M694" s="7">
        <v>0.67</v>
      </c>
      <c r="N694" s="7">
        <v>0.46</v>
      </c>
      <c r="O694" s="7">
        <v>0.81</v>
      </c>
      <c r="P694" s="7">
        <v>1.45</v>
      </c>
      <c r="Q694" s="7">
        <v>0.01</v>
      </c>
    </row>
    <row r="695" spans="1:17">
      <c r="A695" s="2">
        <v>2643</v>
      </c>
      <c r="B695" s="7">
        <v>1.61</v>
      </c>
      <c r="C695" s="7">
        <v>0.24</v>
      </c>
      <c r="D695" s="7">
        <v>0.92</v>
      </c>
      <c r="E695" s="7">
        <v>0.15</v>
      </c>
      <c r="F695" s="7">
        <v>0.15</v>
      </c>
      <c r="G695" s="7">
        <v>0.22</v>
      </c>
      <c r="H695" s="7">
        <v>0.34</v>
      </c>
      <c r="I695" s="7">
        <v>0.38</v>
      </c>
      <c r="J695" s="7">
        <v>0.3</v>
      </c>
      <c r="K695" s="7">
        <v>1.72</v>
      </c>
      <c r="L695" s="7">
        <v>2.04</v>
      </c>
      <c r="M695" s="7">
        <v>0.67</v>
      </c>
      <c r="N695" s="7">
        <v>0.46</v>
      </c>
      <c r="O695" s="7">
        <v>0.81</v>
      </c>
      <c r="P695" s="7">
        <v>1.45</v>
      </c>
      <c r="Q695" s="7">
        <v>0.01</v>
      </c>
    </row>
    <row r="696" spans="1:17">
      <c r="A696" s="2">
        <v>2644</v>
      </c>
      <c r="B696" s="7">
        <v>1.61</v>
      </c>
      <c r="C696" s="7">
        <v>0.24</v>
      </c>
      <c r="D696" s="7">
        <v>0.92</v>
      </c>
      <c r="E696" s="7">
        <v>0.15</v>
      </c>
      <c r="F696" s="7">
        <v>0.15</v>
      </c>
      <c r="G696" s="7">
        <v>0.22</v>
      </c>
      <c r="H696" s="7">
        <v>0.34</v>
      </c>
      <c r="I696" s="7">
        <v>0.38</v>
      </c>
      <c r="J696" s="7">
        <v>0.3</v>
      </c>
      <c r="K696" s="7">
        <v>1.72</v>
      </c>
      <c r="L696" s="7">
        <v>2.04</v>
      </c>
      <c r="M696" s="7">
        <v>0.67</v>
      </c>
      <c r="N696" s="7">
        <v>0.46</v>
      </c>
      <c r="O696" s="7">
        <v>0.81</v>
      </c>
      <c r="P696" s="7">
        <v>1.45</v>
      </c>
      <c r="Q696" s="7">
        <v>0.01</v>
      </c>
    </row>
    <row r="697" spans="1:17">
      <c r="A697" s="2">
        <v>2645</v>
      </c>
      <c r="B697" s="7">
        <v>1.61</v>
      </c>
      <c r="C697" s="7">
        <v>0.24</v>
      </c>
      <c r="D697" s="7">
        <v>0.92</v>
      </c>
      <c r="E697" s="7">
        <v>0.15</v>
      </c>
      <c r="F697" s="7">
        <v>0.15</v>
      </c>
      <c r="G697" s="7">
        <v>0.22</v>
      </c>
      <c r="H697" s="7">
        <v>0.34</v>
      </c>
      <c r="I697" s="7">
        <v>0.38</v>
      </c>
      <c r="J697" s="7">
        <v>0.3</v>
      </c>
      <c r="K697" s="7">
        <v>1.72</v>
      </c>
      <c r="L697" s="7">
        <v>2.04</v>
      </c>
      <c r="M697" s="7">
        <v>0.67</v>
      </c>
      <c r="N697" s="7">
        <v>0.46</v>
      </c>
      <c r="O697" s="7">
        <v>0.81</v>
      </c>
      <c r="P697" s="7">
        <v>1.45</v>
      </c>
      <c r="Q697" s="7">
        <v>0.01</v>
      </c>
    </row>
    <row r="698" spans="1:17">
      <c r="A698" s="2">
        <v>2646</v>
      </c>
      <c r="B698" s="7">
        <v>1.61</v>
      </c>
      <c r="C698" s="7">
        <v>0.24</v>
      </c>
      <c r="D698" s="7">
        <v>0.92</v>
      </c>
      <c r="E698" s="7">
        <v>0.15</v>
      </c>
      <c r="F698" s="7">
        <v>0.15</v>
      </c>
      <c r="G698" s="7">
        <v>0.22</v>
      </c>
      <c r="H698" s="7">
        <v>0.34</v>
      </c>
      <c r="I698" s="7">
        <v>0.38</v>
      </c>
      <c r="J698" s="7">
        <v>0.3</v>
      </c>
      <c r="K698" s="7">
        <v>1.72</v>
      </c>
      <c r="L698" s="7">
        <v>2.04</v>
      </c>
      <c r="M698" s="7">
        <v>0.67</v>
      </c>
      <c r="N698" s="7">
        <v>0.46</v>
      </c>
      <c r="O698" s="7">
        <v>0.81</v>
      </c>
      <c r="P698" s="7">
        <v>1.45</v>
      </c>
      <c r="Q698" s="7">
        <v>0.01</v>
      </c>
    </row>
    <row r="699" spans="1:17">
      <c r="A699" s="2">
        <v>2647</v>
      </c>
      <c r="B699" s="7">
        <v>1.61</v>
      </c>
      <c r="C699" s="7">
        <v>0.24</v>
      </c>
      <c r="D699" s="7">
        <v>0.92</v>
      </c>
      <c r="E699" s="7">
        <v>0.15</v>
      </c>
      <c r="F699" s="7">
        <v>0.15</v>
      </c>
      <c r="G699" s="7">
        <v>0.22</v>
      </c>
      <c r="H699" s="7">
        <v>0.34</v>
      </c>
      <c r="I699" s="7">
        <v>0.38</v>
      </c>
      <c r="J699" s="7">
        <v>0.3</v>
      </c>
      <c r="K699" s="7">
        <v>1.72</v>
      </c>
      <c r="L699" s="7">
        <v>2.04</v>
      </c>
      <c r="M699" s="7">
        <v>0.67</v>
      </c>
      <c r="N699" s="7">
        <v>0.46</v>
      </c>
      <c r="O699" s="7">
        <v>0.81</v>
      </c>
      <c r="P699" s="7">
        <v>1.45</v>
      </c>
      <c r="Q699" s="7">
        <v>0.01</v>
      </c>
    </row>
    <row r="700" spans="1:17">
      <c r="A700" s="2">
        <v>2648</v>
      </c>
      <c r="B700" s="7">
        <v>1.61</v>
      </c>
      <c r="C700" s="7">
        <v>0.24</v>
      </c>
      <c r="D700" s="7">
        <v>0.92</v>
      </c>
      <c r="E700" s="7">
        <v>0.15</v>
      </c>
      <c r="F700" s="7">
        <v>0.15</v>
      </c>
      <c r="G700" s="7">
        <v>0.22</v>
      </c>
      <c r="H700" s="7">
        <v>0.34</v>
      </c>
      <c r="I700" s="7">
        <v>0.38</v>
      </c>
      <c r="J700" s="7">
        <v>0.3</v>
      </c>
      <c r="K700" s="7">
        <v>1.72</v>
      </c>
      <c r="L700" s="7">
        <v>2.04</v>
      </c>
      <c r="M700" s="7">
        <v>0.67</v>
      </c>
      <c r="N700" s="7">
        <v>0.46</v>
      </c>
      <c r="O700" s="7">
        <v>0.81</v>
      </c>
      <c r="P700" s="7">
        <v>1.45</v>
      </c>
      <c r="Q700" s="7">
        <v>0.01</v>
      </c>
    </row>
    <row r="701" spans="1:17">
      <c r="A701" s="2">
        <v>2649</v>
      </c>
      <c r="B701" s="7">
        <v>1.61</v>
      </c>
      <c r="C701" s="7">
        <v>0.24</v>
      </c>
      <c r="D701" s="7">
        <v>0.92</v>
      </c>
      <c r="E701" s="7">
        <v>0.15</v>
      </c>
      <c r="F701" s="7">
        <v>0.15</v>
      </c>
      <c r="G701" s="7">
        <v>0.22</v>
      </c>
      <c r="H701" s="7">
        <v>0.34</v>
      </c>
      <c r="I701" s="7">
        <v>0.38</v>
      </c>
      <c r="J701" s="7">
        <v>0.3</v>
      </c>
      <c r="K701" s="7">
        <v>1.72</v>
      </c>
      <c r="L701" s="7">
        <v>2.04</v>
      </c>
      <c r="M701" s="7">
        <v>0.67</v>
      </c>
      <c r="N701" s="7">
        <v>0.46</v>
      </c>
      <c r="O701" s="7">
        <v>0.81</v>
      </c>
      <c r="P701" s="7">
        <v>1.45</v>
      </c>
      <c r="Q701" s="7">
        <v>0.01</v>
      </c>
    </row>
    <row r="702" spans="1:17">
      <c r="A702" s="2">
        <v>2650</v>
      </c>
      <c r="B702" s="7">
        <v>1.61</v>
      </c>
      <c r="C702" s="7">
        <v>0.24</v>
      </c>
      <c r="D702" s="7">
        <v>0.92</v>
      </c>
      <c r="E702" s="7">
        <v>0.15</v>
      </c>
      <c r="F702" s="7">
        <v>0.15</v>
      </c>
      <c r="G702" s="7">
        <v>0.22</v>
      </c>
      <c r="H702" s="7">
        <v>0.34</v>
      </c>
      <c r="I702" s="7">
        <v>0.38</v>
      </c>
      <c r="J702" s="7">
        <v>0.3</v>
      </c>
      <c r="K702" s="7">
        <v>1.72</v>
      </c>
      <c r="L702" s="7">
        <v>2.04</v>
      </c>
      <c r="M702" s="7">
        <v>0.67</v>
      </c>
      <c r="N702" s="7">
        <v>0.46</v>
      </c>
      <c r="O702" s="7">
        <v>0.81</v>
      </c>
      <c r="P702" s="7">
        <v>1.45</v>
      </c>
      <c r="Q702" s="7">
        <v>0.01</v>
      </c>
    </row>
    <row r="703" spans="1:17">
      <c r="A703" s="2">
        <v>2651</v>
      </c>
      <c r="B703" s="7">
        <v>1.61</v>
      </c>
      <c r="C703" s="7">
        <v>0.24</v>
      </c>
      <c r="D703" s="7">
        <v>0.92</v>
      </c>
      <c r="E703" s="7">
        <v>0.15</v>
      </c>
      <c r="F703" s="7">
        <v>0.15</v>
      </c>
      <c r="G703" s="7">
        <v>0.22</v>
      </c>
      <c r="H703" s="7">
        <v>0.34</v>
      </c>
      <c r="I703" s="7">
        <v>0.38</v>
      </c>
      <c r="J703" s="7">
        <v>0.3</v>
      </c>
      <c r="K703" s="7">
        <v>1.72</v>
      </c>
      <c r="L703" s="7">
        <v>2.04</v>
      </c>
      <c r="M703" s="7">
        <v>0.67</v>
      </c>
      <c r="N703" s="7">
        <v>0.46</v>
      </c>
      <c r="O703" s="7">
        <v>0.81</v>
      </c>
      <c r="P703" s="7">
        <v>1.45</v>
      </c>
      <c r="Q703" s="7">
        <v>0.01</v>
      </c>
    </row>
    <row r="704" spans="1:17">
      <c r="A704" s="2">
        <v>2652</v>
      </c>
      <c r="B704" s="7">
        <v>1.61</v>
      </c>
      <c r="C704" s="7">
        <v>0.24</v>
      </c>
      <c r="D704" s="7">
        <v>0.92</v>
      </c>
      <c r="E704" s="7">
        <v>0.15</v>
      </c>
      <c r="F704" s="7">
        <v>0.15</v>
      </c>
      <c r="G704" s="7">
        <v>0.22</v>
      </c>
      <c r="H704" s="7">
        <v>0.34</v>
      </c>
      <c r="I704" s="7">
        <v>0.38</v>
      </c>
      <c r="J704" s="7">
        <v>0.3</v>
      </c>
      <c r="K704" s="7">
        <v>1.72</v>
      </c>
      <c r="L704" s="7">
        <v>2.04</v>
      </c>
      <c r="M704" s="7">
        <v>0.67</v>
      </c>
      <c r="N704" s="7">
        <v>0.46</v>
      </c>
      <c r="O704" s="7">
        <v>0.81</v>
      </c>
      <c r="P704" s="7">
        <v>1.45</v>
      </c>
      <c r="Q704" s="7">
        <v>0.01</v>
      </c>
    </row>
    <row r="705" spans="1:17">
      <c r="A705" s="2">
        <v>2653</v>
      </c>
      <c r="B705" s="7">
        <v>1.61</v>
      </c>
      <c r="C705" s="7">
        <v>0.24</v>
      </c>
      <c r="D705" s="7">
        <v>0.92</v>
      </c>
      <c r="E705" s="7">
        <v>0.15</v>
      </c>
      <c r="F705" s="7">
        <v>0.15</v>
      </c>
      <c r="G705" s="7">
        <v>0.22</v>
      </c>
      <c r="H705" s="7">
        <v>0.34</v>
      </c>
      <c r="I705" s="7">
        <v>0.38</v>
      </c>
      <c r="J705" s="7">
        <v>0.3</v>
      </c>
      <c r="K705" s="7">
        <v>1.72</v>
      </c>
      <c r="L705" s="7">
        <v>2.04</v>
      </c>
      <c r="M705" s="7">
        <v>0.67</v>
      </c>
      <c r="N705" s="7">
        <v>0.46</v>
      </c>
      <c r="O705" s="7">
        <v>0.81</v>
      </c>
      <c r="P705" s="7">
        <v>1.45</v>
      </c>
      <c r="Q705" s="7">
        <v>0.01</v>
      </c>
    </row>
    <row r="706" spans="1:17">
      <c r="A706" s="2">
        <v>2654</v>
      </c>
      <c r="B706" s="7">
        <v>1.61</v>
      </c>
      <c r="C706" s="7">
        <v>0.24</v>
      </c>
      <c r="D706" s="7">
        <v>0.92</v>
      </c>
      <c r="E706" s="7">
        <v>0.15</v>
      </c>
      <c r="F706" s="7">
        <v>0.15</v>
      </c>
      <c r="G706" s="7">
        <v>0.22</v>
      </c>
      <c r="H706" s="7">
        <v>0.34</v>
      </c>
      <c r="I706" s="7">
        <v>0.38</v>
      </c>
      <c r="J706" s="7">
        <v>0.3</v>
      </c>
      <c r="K706" s="7">
        <v>1.72</v>
      </c>
      <c r="L706" s="7">
        <v>2.04</v>
      </c>
      <c r="M706" s="7">
        <v>0.67</v>
      </c>
      <c r="N706" s="7">
        <v>0.46</v>
      </c>
      <c r="O706" s="7">
        <v>0.81</v>
      </c>
      <c r="P706" s="7">
        <v>1.45</v>
      </c>
      <c r="Q706" s="7">
        <v>0.01</v>
      </c>
    </row>
    <row r="707" spans="1:17">
      <c r="A707" s="2">
        <v>2655</v>
      </c>
      <c r="B707" s="7">
        <v>1.61</v>
      </c>
      <c r="C707" s="7">
        <v>0.24</v>
      </c>
      <c r="D707" s="7">
        <v>0.92</v>
      </c>
      <c r="E707" s="7">
        <v>0.15</v>
      </c>
      <c r="F707" s="7">
        <v>0.15</v>
      </c>
      <c r="G707" s="7">
        <v>0.22</v>
      </c>
      <c r="H707" s="7">
        <v>0.34</v>
      </c>
      <c r="I707" s="7">
        <v>0.38</v>
      </c>
      <c r="J707" s="7">
        <v>0.3</v>
      </c>
      <c r="K707" s="7">
        <v>1.72</v>
      </c>
      <c r="L707" s="7">
        <v>2.04</v>
      </c>
      <c r="M707" s="7">
        <v>0.67</v>
      </c>
      <c r="N707" s="7">
        <v>0.46</v>
      </c>
      <c r="O707" s="7">
        <v>0.81</v>
      </c>
      <c r="P707" s="7">
        <v>1.45</v>
      </c>
      <c r="Q707" s="7">
        <v>0.01</v>
      </c>
    </row>
    <row r="708" spans="1:17">
      <c r="A708" s="2">
        <v>2656</v>
      </c>
      <c r="B708" s="7">
        <v>1.61</v>
      </c>
      <c r="C708" s="7">
        <v>0.24</v>
      </c>
      <c r="D708" s="7">
        <v>0.92</v>
      </c>
      <c r="E708" s="7">
        <v>0.15</v>
      </c>
      <c r="F708" s="7">
        <v>0.15</v>
      </c>
      <c r="G708" s="7">
        <v>0.22</v>
      </c>
      <c r="H708" s="7">
        <v>0.34</v>
      </c>
      <c r="I708" s="7">
        <v>0.38</v>
      </c>
      <c r="J708" s="7">
        <v>0.3</v>
      </c>
      <c r="K708" s="7">
        <v>1.72</v>
      </c>
      <c r="L708" s="7">
        <v>2.04</v>
      </c>
      <c r="M708" s="7">
        <v>0.67</v>
      </c>
      <c r="N708" s="7">
        <v>0.46</v>
      </c>
      <c r="O708" s="7">
        <v>0.81</v>
      </c>
      <c r="P708" s="7">
        <v>1.45</v>
      </c>
      <c r="Q708" s="7">
        <v>0.01</v>
      </c>
    </row>
    <row r="709" spans="1:17">
      <c r="A709" s="2">
        <v>2657</v>
      </c>
      <c r="B709" s="7">
        <v>1.61</v>
      </c>
      <c r="C709" s="7">
        <v>0.24</v>
      </c>
      <c r="D709" s="7">
        <v>0.92</v>
      </c>
      <c r="E709" s="7">
        <v>0.15</v>
      </c>
      <c r="F709" s="7">
        <v>0.15</v>
      </c>
      <c r="G709" s="7">
        <v>0.22</v>
      </c>
      <c r="H709" s="7">
        <v>0.34</v>
      </c>
      <c r="I709" s="7">
        <v>0.38</v>
      </c>
      <c r="J709" s="7">
        <v>0.3</v>
      </c>
      <c r="K709" s="7">
        <v>1.72</v>
      </c>
      <c r="L709" s="7">
        <v>2.04</v>
      </c>
      <c r="M709" s="7">
        <v>0.67</v>
      </c>
      <c r="N709" s="7">
        <v>0.46</v>
      </c>
      <c r="O709" s="7">
        <v>0.81</v>
      </c>
      <c r="P709" s="7">
        <v>1.45</v>
      </c>
      <c r="Q709" s="7">
        <v>0.01</v>
      </c>
    </row>
    <row r="710" spans="1:17">
      <c r="A710" s="2">
        <v>2658</v>
      </c>
      <c r="B710" s="7">
        <v>1.61</v>
      </c>
      <c r="C710" s="7">
        <v>0.24</v>
      </c>
      <c r="D710" s="7">
        <v>0.92</v>
      </c>
      <c r="E710" s="7">
        <v>0.15</v>
      </c>
      <c r="F710" s="7">
        <v>0.15</v>
      </c>
      <c r="G710" s="7">
        <v>0.22</v>
      </c>
      <c r="H710" s="7">
        <v>0.34</v>
      </c>
      <c r="I710" s="7">
        <v>0.38</v>
      </c>
      <c r="J710" s="7">
        <v>0.3</v>
      </c>
      <c r="K710" s="7">
        <v>1.72</v>
      </c>
      <c r="L710" s="7">
        <v>2.04</v>
      </c>
      <c r="M710" s="7">
        <v>0.67</v>
      </c>
      <c r="N710" s="7">
        <v>0.46</v>
      </c>
      <c r="O710" s="7">
        <v>0.81</v>
      </c>
      <c r="P710" s="7">
        <v>1.45</v>
      </c>
      <c r="Q710" s="7">
        <v>0.01</v>
      </c>
    </row>
    <row r="711" spans="1:17">
      <c r="A711" s="2">
        <v>2659</v>
      </c>
      <c r="B711" s="7">
        <v>1.61</v>
      </c>
      <c r="C711" s="7">
        <v>0.24</v>
      </c>
      <c r="D711" s="7">
        <v>0.92</v>
      </c>
      <c r="E711" s="7">
        <v>0.15</v>
      </c>
      <c r="F711" s="7">
        <v>0.15</v>
      </c>
      <c r="G711" s="7">
        <v>0.22</v>
      </c>
      <c r="H711" s="7">
        <v>0.34</v>
      </c>
      <c r="I711" s="7">
        <v>0.38</v>
      </c>
      <c r="J711" s="7">
        <v>0.3</v>
      </c>
      <c r="K711" s="7">
        <v>1.72</v>
      </c>
      <c r="L711" s="7">
        <v>2.04</v>
      </c>
      <c r="M711" s="7">
        <v>0.67</v>
      </c>
      <c r="N711" s="7">
        <v>0.46</v>
      </c>
      <c r="O711" s="7">
        <v>0.81</v>
      </c>
      <c r="P711" s="7">
        <v>1.45</v>
      </c>
      <c r="Q711" s="7">
        <v>0.01</v>
      </c>
    </row>
    <row r="712" spans="1:17">
      <c r="A712" s="2">
        <v>2660</v>
      </c>
      <c r="B712" s="7">
        <v>1.61</v>
      </c>
      <c r="C712" s="7">
        <v>0.24</v>
      </c>
      <c r="D712" s="7">
        <v>0.92</v>
      </c>
      <c r="E712" s="7">
        <v>0.15</v>
      </c>
      <c r="F712" s="7">
        <v>0.15</v>
      </c>
      <c r="G712" s="7">
        <v>0.22</v>
      </c>
      <c r="H712" s="7">
        <v>0.34</v>
      </c>
      <c r="I712" s="7">
        <v>0.38</v>
      </c>
      <c r="J712" s="7">
        <v>0.3</v>
      </c>
      <c r="K712" s="7">
        <v>1.72</v>
      </c>
      <c r="L712" s="7">
        <v>2.04</v>
      </c>
      <c r="M712" s="7">
        <v>0.67</v>
      </c>
      <c r="N712" s="7">
        <v>0.46</v>
      </c>
      <c r="O712" s="7">
        <v>0.81</v>
      </c>
      <c r="P712" s="7">
        <v>1.45</v>
      </c>
      <c r="Q712" s="7">
        <v>0.01</v>
      </c>
    </row>
    <row r="713" spans="1:17">
      <c r="A713" s="2">
        <v>2661</v>
      </c>
      <c r="B713" s="7">
        <v>1.61</v>
      </c>
      <c r="C713" s="7">
        <v>0.24</v>
      </c>
      <c r="D713" s="7">
        <v>0.92</v>
      </c>
      <c r="E713" s="7">
        <v>0.15</v>
      </c>
      <c r="F713" s="7">
        <v>0.15</v>
      </c>
      <c r="G713" s="7">
        <v>0.22</v>
      </c>
      <c r="H713" s="7">
        <v>0.34</v>
      </c>
      <c r="I713" s="7">
        <v>0.38</v>
      </c>
      <c r="J713" s="7">
        <v>0.3</v>
      </c>
      <c r="K713" s="7">
        <v>1.72</v>
      </c>
      <c r="L713" s="7">
        <v>2.04</v>
      </c>
      <c r="M713" s="7">
        <v>0.67</v>
      </c>
      <c r="N713" s="7">
        <v>0.46</v>
      </c>
      <c r="O713" s="7">
        <v>0.81</v>
      </c>
      <c r="P713" s="7">
        <v>1.45</v>
      </c>
      <c r="Q713" s="7">
        <v>0.01</v>
      </c>
    </row>
    <row r="714" spans="1:17">
      <c r="A714" s="2">
        <v>2662</v>
      </c>
      <c r="B714" s="7">
        <v>1.61</v>
      </c>
      <c r="C714" s="7">
        <v>0.24</v>
      </c>
      <c r="D714" s="7">
        <v>0.92</v>
      </c>
      <c r="E714" s="7">
        <v>0.15</v>
      </c>
      <c r="F714" s="7">
        <v>0.15</v>
      </c>
      <c r="G714" s="7">
        <v>0.22</v>
      </c>
      <c r="H714" s="7">
        <v>0.34</v>
      </c>
      <c r="I714" s="7">
        <v>0.38</v>
      </c>
      <c r="J714" s="7">
        <v>0.3</v>
      </c>
      <c r="K714" s="7">
        <v>1.72</v>
      </c>
      <c r="L714" s="7">
        <v>2.04</v>
      </c>
      <c r="M714" s="7">
        <v>0.67</v>
      </c>
      <c r="N714" s="7">
        <v>0.46</v>
      </c>
      <c r="O714" s="7">
        <v>0.81</v>
      </c>
      <c r="P714" s="7">
        <v>1.45</v>
      </c>
      <c r="Q714" s="7">
        <v>0.01</v>
      </c>
    </row>
    <row r="715" spans="1:17">
      <c r="A715" s="2">
        <v>2663</v>
      </c>
      <c r="B715" s="7">
        <v>1.61</v>
      </c>
      <c r="C715" s="7">
        <v>0.24</v>
      </c>
      <c r="D715" s="7">
        <v>0.92</v>
      </c>
      <c r="E715" s="7">
        <v>0.15</v>
      </c>
      <c r="F715" s="7">
        <v>0.15</v>
      </c>
      <c r="G715" s="7">
        <v>0.22</v>
      </c>
      <c r="H715" s="7">
        <v>0.34</v>
      </c>
      <c r="I715" s="7">
        <v>0.38</v>
      </c>
      <c r="J715" s="7">
        <v>0.3</v>
      </c>
      <c r="K715" s="7">
        <v>1.72</v>
      </c>
      <c r="L715" s="7">
        <v>2.04</v>
      </c>
      <c r="M715" s="7">
        <v>0.67</v>
      </c>
      <c r="N715" s="7">
        <v>0.46</v>
      </c>
      <c r="O715" s="7">
        <v>0.81</v>
      </c>
      <c r="P715" s="7">
        <v>1.45</v>
      </c>
      <c r="Q715" s="7">
        <v>0.01</v>
      </c>
    </row>
    <row r="716" spans="1:17">
      <c r="A716" s="2">
        <v>2664</v>
      </c>
      <c r="B716" s="7">
        <v>1.61</v>
      </c>
      <c r="C716" s="7">
        <v>0.24</v>
      </c>
      <c r="D716" s="7">
        <v>0.92</v>
      </c>
      <c r="E716" s="7">
        <v>0.15</v>
      </c>
      <c r="F716" s="7">
        <v>0.15</v>
      </c>
      <c r="G716" s="7">
        <v>0.22</v>
      </c>
      <c r="H716" s="7">
        <v>0.34</v>
      </c>
      <c r="I716" s="7">
        <v>0.38</v>
      </c>
      <c r="J716" s="7">
        <v>0.3</v>
      </c>
      <c r="K716" s="7">
        <v>1.72</v>
      </c>
      <c r="L716" s="7">
        <v>2.04</v>
      </c>
      <c r="M716" s="7">
        <v>0.67</v>
      </c>
      <c r="N716" s="7">
        <v>0.46</v>
      </c>
      <c r="O716" s="7">
        <v>0.81</v>
      </c>
      <c r="P716" s="7">
        <v>1.45</v>
      </c>
      <c r="Q716" s="7">
        <v>0.01</v>
      </c>
    </row>
    <row r="717" spans="1:17">
      <c r="A717" s="2">
        <v>2665</v>
      </c>
      <c r="B717" s="7">
        <v>1.61</v>
      </c>
      <c r="C717" s="7">
        <v>0.24</v>
      </c>
      <c r="D717" s="7">
        <v>0.92</v>
      </c>
      <c r="E717" s="7">
        <v>0.15</v>
      </c>
      <c r="F717" s="7">
        <v>0.15</v>
      </c>
      <c r="G717" s="7">
        <v>0.22</v>
      </c>
      <c r="H717" s="7">
        <v>0.34</v>
      </c>
      <c r="I717" s="7">
        <v>0.38</v>
      </c>
      <c r="J717" s="7">
        <v>0.3</v>
      </c>
      <c r="K717" s="7">
        <v>1.72</v>
      </c>
      <c r="L717" s="7">
        <v>2.04</v>
      </c>
      <c r="M717" s="7">
        <v>0.67</v>
      </c>
      <c r="N717" s="7">
        <v>0.46</v>
      </c>
      <c r="O717" s="7">
        <v>0.81</v>
      </c>
      <c r="P717" s="7">
        <v>1.45</v>
      </c>
      <c r="Q717" s="7">
        <v>0.01</v>
      </c>
    </row>
    <row r="718" spans="1:17">
      <c r="A718" s="2">
        <v>2666</v>
      </c>
      <c r="B718" s="7">
        <v>1.61</v>
      </c>
      <c r="C718" s="7">
        <v>0.24</v>
      </c>
      <c r="D718" s="7">
        <v>0.92</v>
      </c>
      <c r="E718" s="7">
        <v>0.15</v>
      </c>
      <c r="F718" s="7">
        <v>0.15</v>
      </c>
      <c r="G718" s="7">
        <v>0.22</v>
      </c>
      <c r="H718" s="7">
        <v>0.34</v>
      </c>
      <c r="I718" s="7">
        <v>0.38</v>
      </c>
      <c r="J718" s="7">
        <v>0.3</v>
      </c>
      <c r="K718" s="7">
        <v>1.72</v>
      </c>
      <c r="L718" s="7">
        <v>2.04</v>
      </c>
      <c r="M718" s="7">
        <v>0.67</v>
      </c>
      <c r="N718" s="7">
        <v>0.46</v>
      </c>
      <c r="O718" s="7">
        <v>0.81</v>
      </c>
      <c r="P718" s="7">
        <v>1.45</v>
      </c>
      <c r="Q718" s="7">
        <v>0.01</v>
      </c>
    </row>
    <row r="719" spans="1:17">
      <c r="A719" s="2">
        <v>2667</v>
      </c>
      <c r="B719" s="7">
        <v>1.61</v>
      </c>
      <c r="C719" s="7">
        <v>0.24</v>
      </c>
      <c r="D719" s="7">
        <v>0.92</v>
      </c>
      <c r="E719" s="7">
        <v>0.15</v>
      </c>
      <c r="F719" s="7">
        <v>0.15</v>
      </c>
      <c r="G719" s="7">
        <v>0.22</v>
      </c>
      <c r="H719" s="7">
        <v>0.34</v>
      </c>
      <c r="I719" s="7">
        <v>0.38</v>
      </c>
      <c r="J719" s="7">
        <v>0.3</v>
      </c>
      <c r="K719" s="7">
        <v>1.72</v>
      </c>
      <c r="L719" s="7">
        <v>2.04</v>
      </c>
      <c r="M719" s="7">
        <v>0.67</v>
      </c>
      <c r="N719" s="7">
        <v>0.46</v>
      </c>
      <c r="O719" s="7">
        <v>0.81</v>
      </c>
      <c r="P719" s="7">
        <v>1.45</v>
      </c>
      <c r="Q719" s="7">
        <v>0.01</v>
      </c>
    </row>
    <row r="720" spans="1:17">
      <c r="A720" s="2">
        <v>2668</v>
      </c>
      <c r="B720" s="7">
        <v>1.61</v>
      </c>
      <c r="C720" s="7">
        <v>0.24</v>
      </c>
      <c r="D720" s="7">
        <v>0.92</v>
      </c>
      <c r="E720" s="7">
        <v>0.15</v>
      </c>
      <c r="F720" s="7">
        <v>0.15</v>
      </c>
      <c r="G720" s="7">
        <v>0.22</v>
      </c>
      <c r="H720" s="7">
        <v>0.34</v>
      </c>
      <c r="I720" s="7">
        <v>0.38</v>
      </c>
      <c r="J720" s="7">
        <v>0.3</v>
      </c>
      <c r="K720" s="7">
        <v>1.72</v>
      </c>
      <c r="L720" s="7">
        <v>2.04</v>
      </c>
      <c r="M720" s="7">
        <v>0.67</v>
      </c>
      <c r="N720" s="7">
        <v>0.46</v>
      </c>
      <c r="O720" s="7">
        <v>0.81</v>
      </c>
      <c r="P720" s="7">
        <v>1.45</v>
      </c>
      <c r="Q720" s="7">
        <v>0.01</v>
      </c>
    </row>
    <row r="721" spans="1:17">
      <c r="A721" s="2">
        <v>2669</v>
      </c>
      <c r="B721" s="7">
        <v>1.61</v>
      </c>
      <c r="C721" s="7">
        <v>0.24</v>
      </c>
      <c r="D721" s="7">
        <v>0.92</v>
      </c>
      <c r="E721" s="7">
        <v>0.15</v>
      </c>
      <c r="F721" s="7">
        <v>0.15</v>
      </c>
      <c r="G721" s="7">
        <v>0.22</v>
      </c>
      <c r="H721" s="7">
        <v>0.34</v>
      </c>
      <c r="I721" s="7">
        <v>0.38</v>
      </c>
      <c r="J721" s="7">
        <v>0.3</v>
      </c>
      <c r="K721" s="7">
        <v>1.72</v>
      </c>
      <c r="L721" s="7">
        <v>2.04</v>
      </c>
      <c r="M721" s="7">
        <v>0.67</v>
      </c>
      <c r="N721" s="7">
        <v>0.46</v>
      </c>
      <c r="O721" s="7">
        <v>0.81</v>
      </c>
      <c r="P721" s="7">
        <v>1.45</v>
      </c>
      <c r="Q721" s="7">
        <v>0.01</v>
      </c>
    </row>
    <row r="722" spans="1:17">
      <c r="A722" s="2">
        <v>2670</v>
      </c>
      <c r="B722" s="7">
        <v>1.61</v>
      </c>
      <c r="C722" s="7">
        <v>0.24</v>
      </c>
      <c r="D722" s="7">
        <v>0.92</v>
      </c>
      <c r="E722" s="7">
        <v>0.15</v>
      </c>
      <c r="F722" s="7">
        <v>0.15</v>
      </c>
      <c r="G722" s="7">
        <v>0.22</v>
      </c>
      <c r="H722" s="7">
        <v>0.34</v>
      </c>
      <c r="I722" s="7">
        <v>0.38</v>
      </c>
      <c r="J722" s="7">
        <v>0.3</v>
      </c>
      <c r="K722" s="7">
        <v>1.72</v>
      </c>
      <c r="L722" s="7">
        <v>2.04</v>
      </c>
      <c r="M722" s="7">
        <v>0.67</v>
      </c>
      <c r="N722" s="7">
        <v>0.46</v>
      </c>
      <c r="O722" s="7">
        <v>0.81</v>
      </c>
      <c r="P722" s="7">
        <v>1.45</v>
      </c>
      <c r="Q722" s="7">
        <v>0.01</v>
      </c>
    </row>
    <row r="723" spans="1:17">
      <c r="A723" s="2">
        <v>2671</v>
      </c>
      <c r="B723" s="7">
        <v>1.61</v>
      </c>
      <c r="C723" s="7">
        <v>0.24</v>
      </c>
      <c r="D723" s="7">
        <v>0.92</v>
      </c>
      <c r="E723" s="7">
        <v>0.15</v>
      </c>
      <c r="F723" s="7">
        <v>0.15</v>
      </c>
      <c r="G723" s="7">
        <v>0.22</v>
      </c>
      <c r="H723" s="7">
        <v>0.34</v>
      </c>
      <c r="I723" s="7">
        <v>0.38</v>
      </c>
      <c r="J723" s="7">
        <v>0.3</v>
      </c>
      <c r="K723" s="7">
        <v>1.72</v>
      </c>
      <c r="L723" s="7">
        <v>2.04</v>
      </c>
      <c r="M723" s="7">
        <v>0.67</v>
      </c>
      <c r="N723" s="7">
        <v>0.46</v>
      </c>
      <c r="O723" s="7">
        <v>0.81</v>
      </c>
      <c r="P723" s="7">
        <v>1.45</v>
      </c>
      <c r="Q723" s="7">
        <v>0.01</v>
      </c>
    </row>
    <row r="724" spans="1:17">
      <c r="A724" s="2">
        <v>2672</v>
      </c>
      <c r="B724" s="7">
        <v>1.61</v>
      </c>
      <c r="C724" s="7">
        <v>0.24</v>
      </c>
      <c r="D724" s="7">
        <v>0.92</v>
      </c>
      <c r="E724" s="7">
        <v>0.15</v>
      </c>
      <c r="F724" s="7">
        <v>0.15</v>
      </c>
      <c r="G724" s="7">
        <v>0.22</v>
      </c>
      <c r="H724" s="7">
        <v>0.34</v>
      </c>
      <c r="I724" s="7">
        <v>0.38</v>
      </c>
      <c r="J724" s="7">
        <v>0.3</v>
      </c>
      <c r="K724" s="7">
        <v>1.72</v>
      </c>
      <c r="L724" s="7">
        <v>2.04</v>
      </c>
      <c r="M724" s="7">
        <v>0.67</v>
      </c>
      <c r="N724" s="7">
        <v>0.46</v>
      </c>
      <c r="O724" s="7">
        <v>0.81</v>
      </c>
      <c r="P724" s="7">
        <v>1.45</v>
      </c>
      <c r="Q724" s="7">
        <v>0.01</v>
      </c>
    </row>
    <row r="725" spans="1:17">
      <c r="A725" s="2">
        <v>2673</v>
      </c>
      <c r="B725" s="7">
        <v>1.61</v>
      </c>
      <c r="C725" s="7">
        <v>0.24</v>
      </c>
      <c r="D725" s="7">
        <v>0.92</v>
      </c>
      <c r="E725" s="7">
        <v>0.15</v>
      </c>
      <c r="F725" s="7">
        <v>0.15</v>
      </c>
      <c r="G725" s="7">
        <v>0.22</v>
      </c>
      <c r="H725" s="7">
        <v>0.34</v>
      </c>
      <c r="I725" s="7">
        <v>0.38</v>
      </c>
      <c r="J725" s="7">
        <v>0.3</v>
      </c>
      <c r="K725" s="7">
        <v>1.72</v>
      </c>
      <c r="L725" s="7">
        <v>2.04</v>
      </c>
      <c r="M725" s="7">
        <v>0.67</v>
      </c>
      <c r="N725" s="7">
        <v>0.46</v>
      </c>
      <c r="O725" s="7">
        <v>0.81</v>
      </c>
      <c r="P725" s="7">
        <v>1.45</v>
      </c>
      <c r="Q725" s="7">
        <v>0.01</v>
      </c>
    </row>
    <row r="726" spans="1:17">
      <c r="A726" s="2">
        <v>2674</v>
      </c>
      <c r="B726" s="7">
        <v>1.61</v>
      </c>
      <c r="C726" s="7">
        <v>0.24</v>
      </c>
      <c r="D726" s="7">
        <v>0.92</v>
      </c>
      <c r="E726" s="7">
        <v>0.15</v>
      </c>
      <c r="F726" s="7">
        <v>0.15</v>
      </c>
      <c r="G726" s="7">
        <v>0.22</v>
      </c>
      <c r="H726" s="7">
        <v>0.34</v>
      </c>
      <c r="I726" s="7">
        <v>0.38</v>
      </c>
      <c r="J726" s="7">
        <v>0.3</v>
      </c>
      <c r="K726" s="7">
        <v>1.72</v>
      </c>
      <c r="L726" s="7">
        <v>2.04</v>
      </c>
      <c r="M726" s="7">
        <v>0.67</v>
      </c>
      <c r="N726" s="7">
        <v>0.46</v>
      </c>
      <c r="O726" s="7">
        <v>0.81</v>
      </c>
      <c r="P726" s="7">
        <v>1.45</v>
      </c>
      <c r="Q726" s="7">
        <v>0.01</v>
      </c>
    </row>
    <row r="727" spans="1:17">
      <c r="A727" s="2">
        <v>2675</v>
      </c>
      <c r="B727" s="7">
        <v>1.61</v>
      </c>
      <c r="C727" s="7">
        <v>0.24</v>
      </c>
      <c r="D727" s="7">
        <v>0.92</v>
      </c>
      <c r="E727" s="7">
        <v>0.15</v>
      </c>
      <c r="F727" s="7">
        <v>0.15</v>
      </c>
      <c r="G727" s="7">
        <v>0.22</v>
      </c>
      <c r="H727" s="7">
        <v>0.34</v>
      </c>
      <c r="I727" s="7">
        <v>0.38</v>
      </c>
      <c r="J727" s="7">
        <v>0.3</v>
      </c>
      <c r="K727" s="7">
        <v>1.72</v>
      </c>
      <c r="L727" s="7">
        <v>2.04</v>
      </c>
      <c r="M727" s="7">
        <v>0.67</v>
      </c>
      <c r="N727" s="7">
        <v>0.46</v>
      </c>
      <c r="O727" s="7">
        <v>0.81</v>
      </c>
      <c r="P727" s="7">
        <v>1.45</v>
      </c>
      <c r="Q727" s="7">
        <v>0.01</v>
      </c>
    </row>
    <row r="728" spans="1:17">
      <c r="A728" s="2">
        <v>2676</v>
      </c>
      <c r="B728" s="7">
        <v>1.61</v>
      </c>
      <c r="C728" s="7">
        <v>0.24</v>
      </c>
      <c r="D728" s="7">
        <v>0.92</v>
      </c>
      <c r="E728" s="7">
        <v>0.15</v>
      </c>
      <c r="F728" s="7">
        <v>0.15</v>
      </c>
      <c r="G728" s="7">
        <v>0.22</v>
      </c>
      <c r="H728" s="7">
        <v>0.34</v>
      </c>
      <c r="I728" s="7">
        <v>0.38</v>
      </c>
      <c r="J728" s="7">
        <v>0.3</v>
      </c>
      <c r="K728" s="7">
        <v>1.72</v>
      </c>
      <c r="L728" s="7">
        <v>2.04</v>
      </c>
      <c r="M728" s="7">
        <v>0.67</v>
      </c>
      <c r="N728" s="7">
        <v>0.46</v>
      </c>
      <c r="O728" s="7">
        <v>0.81</v>
      </c>
      <c r="P728" s="7">
        <v>1.45</v>
      </c>
      <c r="Q728" s="7">
        <v>0.01</v>
      </c>
    </row>
    <row r="729" spans="1:17">
      <c r="A729" s="2">
        <v>2677</v>
      </c>
      <c r="B729" s="7">
        <v>1.61</v>
      </c>
      <c r="C729" s="7">
        <v>0.24</v>
      </c>
      <c r="D729" s="7">
        <v>0.92</v>
      </c>
      <c r="E729" s="7">
        <v>0.15</v>
      </c>
      <c r="F729" s="7">
        <v>0.15</v>
      </c>
      <c r="G729" s="7">
        <v>0.22</v>
      </c>
      <c r="H729" s="7">
        <v>0.34</v>
      </c>
      <c r="I729" s="7">
        <v>0.38</v>
      </c>
      <c r="J729" s="7">
        <v>0.3</v>
      </c>
      <c r="K729" s="7">
        <v>1.72</v>
      </c>
      <c r="L729" s="7">
        <v>2.04</v>
      </c>
      <c r="M729" s="7">
        <v>0.67</v>
      </c>
      <c r="N729" s="7">
        <v>0.46</v>
      </c>
      <c r="O729" s="7">
        <v>0.81</v>
      </c>
      <c r="P729" s="7">
        <v>1.45</v>
      </c>
      <c r="Q729" s="7">
        <v>0.01</v>
      </c>
    </row>
    <row r="730" spans="1:17">
      <c r="A730" s="2">
        <v>2678</v>
      </c>
      <c r="B730" s="7">
        <v>1.61</v>
      </c>
      <c r="C730" s="7">
        <v>0.24</v>
      </c>
      <c r="D730" s="7">
        <v>0.92</v>
      </c>
      <c r="E730" s="7">
        <v>0.15</v>
      </c>
      <c r="F730" s="7">
        <v>0.15</v>
      </c>
      <c r="G730" s="7">
        <v>0.22</v>
      </c>
      <c r="H730" s="7">
        <v>0.34</v>
      </c>
      <c r="I730" s="7">
        <v>0.38</v>
      </c>
      <c r="J730" s="7">
        <v>0.3</v>
      </c>
      <c r="K730" s="7">
        <v>1.72</v>
      </c>
      <c r="L730" s="7">
        <v>2.04</v>
      </c>
      <c r="M730" s="7">
        <v>0.67</v>
      </c>
      <c r="N730" s="7">
        <v>0.46</v>
      </c>
      <c r="O730" s="7">
        <v>0.81</v>
      </c>
      <c r="P730" s="7">
        <v>1.45</v>
      </c>
      <c r="Q730" s="7">
        <v>0.01</v>
      </c>
    </row>
    <row r="731" spans="1:17">
      <c r="A731" s="2">
        <v>2679</v>
      </c>
      <c r="B731" s="7">
        <v>1.61</v>
      </c>
      <c r="C731" s="7">
        <v>0.24</v>
      </c>
      <c r="D731" s="7">
        <v>0.92</v>
      </c>
      <c r="E731" s="7">
        <v>0.15</v>
      </c>
      <c r="F731" s="7">
        <v>0.15</v>
      </c>
      <c r="G731" s="7">
        <v>0.22</v>
      </c>
      <c r="H731" s="7">
        <v>0.34</v>
      </c>
      <c r="I731" s="7">
        <v>0.38</v>
      </c>
      <c r="J731" s="7">
        <v>0.3</v>
      </c>
      <c r="K731" s="7">
        <v>1.72</v>
      </c>
      <c r="L731" s="7">
        <v>2.04</v>
      </c>
      <c r="M731" s="7">
        <v>0.67</v>
      </c>
      <c r="N731" s="7">
        <v>0.46</v>
      </c>
      <c r="O731" s="7">
        <v>0.81</v>
      </c>
      <c r="P731" s="7">
        <v>1.45</v>
      </c>
      <c r="Q731" s="7">
        <v>0.01</v>
      </c>
    </row>
    <row r="732" spans="1:17">
      <c r="A732" s="2">
        <v>2680</v>
      </c>
      <c r="B732" s="7">
        <v>1.61</v>
      </c>
      <c r="C732" s="7">
        <v>0.24</v>
      </c>
      <c r="D732" s="7">
        <v>0.92</v>
      </c>
      <c r="E732" s="7">
        <v>0.15</v>
      </c>
      <c r="F732" s="7">
        <v>0.15</v>
      </c>
      <c r="G732" s="7">
        <v>0.22</v>
      </c>
      <c r="H732" s="7">
        <v>0.34</v>
      </c>
      <c r="I732" s="7">
        <v>0.38</v>
      </c>
      <c r="J732" s="7">
        <v>0.3</v>
      </c>
      <c r="K732" s="7">
        <v>1.72</v>
      </c>
      <c r="L732" s="7">
        <v>2.04</v>
      </c>
      <c r="M732" s="7">
        <v>0.67</v>
      </c>
      <c r="N732" s="7">
        <v>0.46</v>
      </c>
      <c r="O732" s="7">
        <v>0.81</v>
      </c>
      <c r="P732" s="7">
        <v>1.45</v>
      </c>
      <c r="Q732" s="7">
        <v>0.01</v>
      </c>
    </row>
    <row r="733" spans="1:17">
      <c r="A733" s="2">
        <v>2681</v>
      </c>
      <c r="B733" s="7">
        <v>1.61</v>
      </c>
      <c r="C733" s="7">
        <v>0.24</v>
      </c>
      <c r="D733" s="7">
        <v>0.92</v>
      </c>
      <c r="E733" s="7">
        <v>0.15</v>
      </c>
      <c r="F733" s="7">
        <v>0.15</v>
      </c>
      <c r="G733" s="7">
        <v>0.22</v>
      </c>
      <c r="H733" s="7">
        <v>0.34</v>
      </c>
      <c r="I733" s="7">
        <v>0.38</v>
      </c>
      <c r="J733" s="7">
        <v>0.3</v>
      </c>
      <c r="K733" s="7">
        <v>1.72</v>
      </c>
      <c r="L733" s="7">
        <v>2.04</v>
      </c>
      <c r="M733" s="7">
        <v>0.67</v>
      </c>
      <c r="N733" s="7">
        <v>0.46</v>
      </c>
      <c r="O733" s="7">
        <v>0.81</v>
      </c>
      <c r="P733" s="7">
        <v>1.45</v>
      </c>
      <c r="Q733" s="7">
        <v>0.01</v>
      </c>
    </row>
    <row r="734" spans="1:17">
      <c r="A734" s="2">
        <v>2682</v>
      </c>
      <c r="B734" s="7">
        <v>1.61</v>
      </c>
      <c r="C734" s="7">
        <v>0.24</v>
      </c>
      <c r="D734" s="7">
        <v>0.92</v>
      </c>
      <c r="E734" s="7">
        <v>0.15</v>
      </c>
      <c r="F734" s="7">
        <v>0.15</v>
      </c>
      <c r="G734" s="7">
        <v>0.22</v>
      </c>
      <c r="H734" s="7">
        <v>0.34</v>
      </c>
      <c r="I734" s="7">
        <v>0.38</v>
      </c>
      <c r="J734" s="7">
        <v>0.3</v>
      </c>
      <c r="K734" s="7">
        <v>1.72</v>
      </c>
      <c r="L734" s="7">
        <v>2.04</v>
      </c>
      <c r="M734" s="7">
        <v>0.67</v>
      </c>
      <c r="N734" s="7">
        <v>0.46</v>
      </c>
      <c r="O734" s="7">
        <v>0.81</v>
      </c>
      <c r="P734" s="7">
        <v>1.45</v>
      </c>
      <c r="Q734" s="7">
        <v>0.01</v>
      </c>
    </row>
    <row r="735" spans="1:17">
      <c r="A735" s="2">
        <v>2683</v>
      </c>
      <c r="B735" s="7">
        <v>1.61</v>
      </c>
      <c r="C735" s="7">
        <v>0.24</v>
      </c>
      <c r="D735" s="7">
        <v>0.92</v>
      </c>
      <c r="E735" s="7">
        <v>0.15</v>
      </c>
      <c r="F735" s="7">
        <v>0.15</v>
      </c>
      <c r="G735" s="7">
        <v>0.22</v>
      </c>
      <c r="H735" s="7">
        <v>0.34</v>
      </c>
      <c r="I735" s="7">
        <v>0.38</v>
      </c>
      <c r="J735" s="7">
        <v>0.3</v>
      </c>
      <c r="K735" s="7">
        <v>1.72</v>
      </c>
      <c r="L735" s="7">
        <v>2.04</v>
      </c>
      <c r="M735" s="7">
        <v>0.67</v>
      </c>
      <c r="N735" s="7">
        <v>0.46</v>
      </c>
      <c r="O735" s="7">
        <v>0.81</v>
      </c>
      <c r="P735" s="7">
        <v>1.45</v>
      </c>
      <c r="Q735" s="7">
        <v>0.01</v>
      </c>
    </row>
    <row r="736" spans="1:17">
      <c r="A736" s="2">
        <v>2684</v>
      </c>
      <c r="B736" s="7">
        <v>1.61</v>
      </c>
      <c r="C736" s="7">
        <v>0.24</v>
      </c>
      <c r="D736" s="7">
        <v>0.92</v>
      </c>
      <c r="E736" s="7">
        <v>0.15</v>
      </c>
      <c r="F736" s="7">
        <v>0.15</v>
      </c>
      <c r="G736" s="7">
        <v>0.22</v>
      </c>
      <c r="H736" s="7">
        <v>0.34</v>
      </c>
      <c r="I736" s="7">
        <v>0.38</v>
      </c>
      <c r="J736" s="7">
        <v>0.3</v>
      </c>
      <c r="K736" s="7">
        <v>1.72</v>
      </c>
      <c r="L736" s="7">
        <v>2.04</v>
      </c>
      <c r="M736" s="7">
        <v>0.67</v>
      </c>
      <c r="N736" s="7">
        <v>0.46</v>
      </c>
      <c r="O736" s="7">
        <v>0.81</v>
      </c>
      <c r="P736" s="7">
        <v>1.45</v>
      </c>
      <c r="Q736" s="7">
        <v>0.01</v>
      </c>
    </row>
    <row r="737" spans="1:17">
      <c r="A737" s="2">
        <v>2685</v>
      </c>
      <c r="B737" s="7">
        <v>1.61</v>
      </c>
      <c r="C737" s="7">
        <v>0.24</v>
      </c>
      <c r="D737" s="7">
        <v>0.92</v>
      </c>
      <c r="E737" s="7">
        <v>0.15</v>
      </c>
      <c r="F737" s="7">
        <v>0.15</v>
      </c>
      <c r="G737" s="7">
        <v>0.22</v>
      </c>
      <c r="H737" s="7">
        <v>0.34</v>
      </c>
      <c r="I737" s="7">
        <v>0.38</v>
      </c>
      <c r="J737" s="7">
        <v>0.3</v>
      </c>
      <c r="K737" s="7">
        <v>1.72</v>
      </c>
      <c r="L737" s="7">
        <v>2.04</v>
      </c>
      <c r="M737" s="7">
        <v>0.67</v>
      </c>
      <c r="N737" s="7">
        <v>0.46</v>
      </c>
      <c r="O737" s="7">
        <v>0.81</v>
      </c>
      <c r="P737" s="7">
        <v>1.45</v>
      </c>
      <c r="Q737" s="7">
        <v>0.01</v>
      </c>
    </row>
    <row r="738" spans="1:17">
      <c r="A738" s="2">
        <v>2686</v>
      </c>
      <c r="B738" s="7">
        <v>1.61</v>
      </c>
      <c r="C738" s="7">
        <v>0.24</v>
      </c>
      <c r="D738" s="7">
        <v>0.92</v>
      </c>
      <c r="E738" s="7">
        <v>0.15</v>
      </c>
      <c r="F738" s="7">
        <v>0.15</v>
      </c>
      <c r="G738" s="7">
        <v>0.22</v>
      </c>
      <c r="H738" s="7">
        <v>0.34</v>
      </c>
      <c r="I738" s="7">
        <v>0.38</v>
      </c>
      <c r="J738" s="7">
        <v>0.3</v>
      </c>
      <c r="K738" s="7">
        <v>1.72</v>
      </c>
      <c r="L738" s="7">
        <v>2.04</v>
      </c>
      <c r="M738" s="7">
        <v>0.67</v>
      </c>
      <c r="N738" s="7">
        <v>0.46</v>
      </c>
      <c r="O738" s="7">
        <v>0.81</v>
      </c>
      <c r="P738" s="7">
        <v>1.45</v>
      </c>
      <c r="Q738" s="7">
        <v>0.01</v>
      </c>
    </row>
    <row r="739" spans="1:17">
      <c r="A739" s="2">
        <v>2687</v>
      </c>
      <c r="B739" s="7">
        <v>1.61</v>
      </c>
      <c r="C739" s="7">
        <v>0.24</v>
      </c>
      <c r="D739" s="7">
        <v>0.92</v>
      </c>
      <c r="E739" s="7">
        <v>0.15</v>
      </c>
      <c r="F739" s="7">
        <v>0.15</v>
      </c>
      <c r="G739" s="7">
        <v>0.22</v>
      </c>
      <c r="H739" s="7">
        <v>0.34</v>
      </c>
      <c r="I739" s="7">
        <v>0.38</v>
      </c>
      <c r="J739" s="7">
        <v>0.3</v>
      </c>
      <c r="K739" s="7">
        <v>1.72</v>
      </c>
      <c r="L739" s="7">
        <v>2.04</v>
      </c>
      <c r="M739" s="7">
        <v>0.67</v>
      </c>
      <c r="N739" s="7">
        <v>0.46</v>
      </c>
      <c r="O739" s="7">
        <v>0.81</v>
      </c>
      <c r="P739" s="7">
        <v>1.45</v>
      </c>
      <c r="Q739" s="7">
        <v>0.01</v>
      </c>
    </row>
    <row r="740" spans="1:17">
      <c r="A740" s="2">
        <v>2688</v>
      </c>
      <c r="B740" s="7">
        <v>1.61</v>
      </c>
      <c r="C740" s="7">
        <v>0.24</v>
      </c>
      <c r="D740" s="7">
        <v>0.92</v>
      </c>
      <c r="E740" s="7">
        <v>0.15</v>
      </c>
      <c r="F740" s="7">
        <v>0.15</v>
      </c>
      <c r="G740" s="7">
        <v>0.22</v>
      </c>
      <c r="H740" s="7">
        <v>0.34</v>
      </c>
      <c r="I740" s="7">
        <v>0.38</v>
      </c>
      <c r="J740" s="7">
        <v>0.3</v>
      </c>
      <c r="K740" s="7">
        <v>1.72</v>
      </c>
      <c r="L740" s="7">
        <v>2.04</v>
      </c>
      <c r="M740" s="7">
        <v>0.67</v>
      </c>
      <c r="N740" s="7">
        <v>0.46</v>
      </c>
      <c r="O740" s="7">
        <v>0.81</v>
      </c>
      <c r="P740" s="7">
        <v>1.45</v>
      </c>
      <c r="Q740" s="7">
        <v>0.01</v>
      </c>
    </row>
    <row r="741" spans="1:17">
      <c r="A741" s="2">
        <v>2689</v>
      </c>
      <c r="B741" s="7">
        <v>1.61</v>
      </c>
      <c r="C741" s="7">
        <v>0.24</v>
      </c>
      <c r="D741" s="7">
        <v>0.92</v>
      </c>
      <c r="E741" s="7">
        <v>0.15</v>
      </c>
      <c r="F741" s="7">
        <v>0.15</v>
      </c>
      <c r="G741" s="7">
        <v>0.22</v>
      </c>
      <c r="H741" s="7">
        <v>0.34</v>
      </c>
      <c r="I741" s="7">
        <v>0.38</v>
      </c>
      <c r="J741" s="7">
        <v>0.3</v>
      </c>
      <c r="K741" s="7">
        <v>1.72</v>
      </c>
      <c r="L741" s="7">
        <v>2.04</v>
      </c>
      <c r="M741" s="7">
        <v>0.67</v>
      </c>
      <c r="N741" s="7">
        <v>0.46</v>
      </c>
      <c r="O741" s="7">
        <v>0.81</v>
      </c>
      <c r="P741" s="7">
        <v>1.45</v>
      </c>
      <c r="Q741" s="7">
        <v>0.01</v>
      </c>
    </row>
    <row r="742" spans="1:17">
      <c r="A742" s="2">
        <v>2690</v>
      </c>
      <c r="B742" s="7">
        <v>1.61</v>
      </c>
      <c r="C742" s="7">
        <v>0.24</v>
      </c>
      <c r="D742" s="7">
        <v>0.92</v>
      </c>
      <c r="E742" s="7">
        <v>0.15</v>
      </c>
      <c r="F742" s="7">
        <v>0.15</v>
      </c>
      <c r="G742" s="7">
        <v>0.22</v>
      </c>
      <c r="H742" s="7">
        <v>0.34</v>
      </c>
      <c r="I742" s="7">
        <v>0.38</v>
      </c>
      <c r="J742" s="7">
        <v>0.3</v>
      </c>
      <c r="K742" s="7">
        <v>1.72</v>
      </c>
      <c r="L742" s="7">
        <v>2.04</v>
      </c>
      <c r="M742" s="7">
        <v>0.67</v>
      </c>
      <c r="N742" s="7">
        <v>0.46</v>
      </c>
      <c r="O742" s="7">
        <v>0.81</v>
      </c>
      <c r="P742" s="7">
        <v>1.45</v>
      </c>
      <c r="Q742" s="7">
        <v>0.01</v>
      </c>
    </row>
    <row r="743" spans="1:17">
      <c r="A743" s="2">
        <v>2691</v>
      </c>
      <c r="B743" s="7">
        <v>1.61</v>
      </c>
      <c r="C743" s="7">
        <v>0.24</v>
      </c>
      <c r="D743" s="7">
        <v>0.92</v>
      </c>
      <c r="E743" s="7">
        <v>0.15</v>
      </c>
      <c r="F743" s="7">
        <v>0.15</v>
      </c>
      <c r="G743" s="7">
        <v>0.22</v>
      </c>
      <c r="H743" s="7">
        <v>0.34</v>
      </c>
      <c r="I743" s="7">
        <v>0.38</v>
      </c>
      <c r="J743" s="7">
        <v>0.3</v>
      </c>
      <c r="K743" s="7">
        <v>1.72</v>
      </c>
      <c r="L743" s="7">
        <v>2.04</v>
      </c>
      <c r="M743" s="7">
        <v>0.67</v>
      </c>
      <c r="N743" s="7">
        <v>0.46</v>
      </c>
      <c r="O743" s="7">
        <v>0.81</v>
      </c>
      <c r="P743" s="7">
        <v>1.45</v>
      </c>
      <c r="Q743" s="7">
        <v>0.01</v>
      </c>
    </row>
    <row r="744" spans="1:17">
      <c r="A744" s="2">
        <v>2692</v>
      </c>
      <c r="B744" s="7">
        <v>1.61</v>
      </c>
      <c r="C744" s="7">
        <v>0.24</v>
      </c>
      <c r="D744" s="7">
        <v>0.92</v>
      </c>
      <c r="E744" s="7">
        <v>0.15</v>
      </c>
      <c r="F744" s="7">
        <v>0.15</v>
      </c>
      <c r="G744" s="7">
        <v>0.22</v>
      </c>
      <c r="H744" s="7">
        <v>0.34</v>
      </c>
      <c r="I744" s="7">
        <v>0.38</v>
      </c>
      <c r="J744" s="7">
        <v>0.3</v>
      </c>
      <c r="K744" s="7">
        <v>1.72</v>
      </c>
      <c r="L744" s="7">
        <v>2.04</v>
      </c>
      <c r="M744" s="7">
        <v>0.67</v>
      </c>
      <c r="N744" s="7">
        <v>0.46</v>
      </c>
      <c r="O744" s="7">
        <v>0.81</v>
      </c>
      <c r="P744" s="7">
        <v>1.45</v>
      </c>
      <c r="Q744" s="7">
        <v>0.01</v>
      </c>
    </row>
    <row r="745" spans="1:17">
      <c r="A745" s="2">
        <v>2693</v>
      </c>
      <c r="B745" s="7">
        <v>1.61</v>
      </c>
      <c r="C745" s="7">
        <v>0.24</v>
      </c>
      <c r="D745" s="7">
        <v>0.92</v>
      </c>
      <c r="E745" s="7">
        <v>0.15</v>
      </c>
      <c r="F745" s="7">
        <v>0.15</v>
      </c>
      <c r="G745" s="7">
        <v>0.22</v>
      </c>
      <c r="H745" s="7">
        <v>0.34</v>
      </c>
      <c r="I745" s="7">
        <v>0.38</v>
      </c>
      <c r="J745" s="7">
        <v>0.3</v>
      </c>
      <c r="K745" s="7">
        <v>1.72</v>
      </c>
      <c r="L745" s="7">
        <v>2.04</v>
      </c>
      <c r="M745" s="7">
        <v>0.67</v>
      </c>
      <c r="N745" s="7">
        <v>0.46</v>
      </c>
      <c r="O745" s="7">
        <v>0.81</v>
      </c>
      <c r="P745" s="7">
        <v>1.45</v>
      </c>
      <c r="Q745" s="7">
        <v>0.01</v>
      </c>
    </row>
    <row r="746" spans="1:17">
      <c r="A746" s="2">
        <v>2694</v>
      </c>
      <c r="B746" s="7">
        <v>1.61</v>
      </c>
      <c r="C746" s="7">
        <v>0.24</v>
      </c>
      <c r="D746" s="7">
        <v>0.92</v>
      </c>
      <c r="E746" s="7">
        <v>0.15</v>
      </c>
      <c r="F746" s="7">
        <v>0.15</v>
      </c>
      <c r="G746" s="7">
        <v>0.22</v>
      </c>
      <c r="H746" s="7">
        <v>0.34</v>
      </c>
      <c r="I746" s="7">
        <v>0.38</v>
      </c>
      <c r="J746" s="7">
        <v>0.3</v>
      </c>
      <c r="K746" s="7">
        <v>1.72</v>
      </c>
      <c r="L746" s="7">
        <v>2.04</v>
      </c>
      <c r="M746" s="7">
        <v>0.67</v>
      </c>
      <c r="N746" s="7">
        <v>0.46</v>
      </c>
      <c r="O746" s="7">
        <v>0.81</v>
      </c>
      <c r="P746" s="7">
        <v>1.45</v>
      </c>
      <c r="Q746" s="7">
        <v>0.01</v>
      </c>
    </row>
    <row r="747" spans="1:17">
      <c r="A747" s="2">
        <v>2695</v>
      </c>
      <c r="B747" s="7">
        <v>1.61</v>
      </c>
      <c r="C747" s="7">
        <v>0.24</v>
      </c>
      <c r="D747" s="7">
        <v>0.92</v>
      </c>
      <c r="E747" s="7">
        <v>0.15</v>
      </c>
      <c r="F747" s="7">
        <v>0.15</v>
      </c>
      <c r="G747" s="7">
        <v>0.22</v>
      </c>
      <c r="H747" s="7">
        <v>0.34</v>
      </c>
      <c r="I747" s="7">
        <v>0.38</v>
      </c>
      <c r="J747" s="7">
        <v>0.3</v>
      </c>
      <c r="K747" s="7">
        <v>1.72</v>
      </c>
      <c r="L747" s="7">
        <v>2.04</v>
      </c>
      <c r="M747" s="7">
        <v>0.67</v>
      </c>
      <c r="N747" s="7">
        <v>0.46</v>
      </c>
      <c r="O747" s="7">
        <v>0.81</v>
      </c>
      <c r="P747" s="7">
        <v>1.45</v>
      </c>
      <c r="Q747" s="7">
        <v>0.01</v>
      </c>
    </row>
    <row r="748" spans="1:17">
      <c r="A748" s="2">
        <v>2696</v>
      </c>
      <c r="B748" s="7">
        <v>1.61</v>
      </c>
      <c r="C748" s="7">
        <v>0.24</v>
      </c>
      <c r="D748" s="7">
        <v>0.92</v>
      </c>
      <c r="E748" s="7">
        <v>0.15</v>
      </c>
      <c r="F748" s="7">
        <v>0.15</v>
      </c>
      <c r="G748" s="7">
        <v>0.22</v>
      </c>
      <c r="H748" s="7">
        <v>0.34</v>
      </c>
      <c r="I748" s="7">
        <v>0.38</v>
      </c>
      <c r="J748" s="7">
        <v>0.3</v>
      </c>
      <c r="K748" s="7">
        <v>1.72</v>
      </c>
      <c r="L748" s="7">
        <v>2.04</v>
      </c>
      <c r="M748" s="7">
        <v>0.67</v>
      </c>
      <c r="N748" s="7">
        <v>0.46</v>
      </c>
      <c r="O748" s="7">
        <v>0.81</v>
      </c>
      <c r="P748" s="7">
        <v>1.45</v>
      </c>
      <c r="Q748" s="7">
        <v>0.01</v>
      </c>
    </row>
    <row r="749" spans="1:17">
      <c r="A749" s="2">
        <v>2697</v>
      </c>
      <c r="B749" s="7">
        <v>1.61</v>
      </c>
      <c r="C749" s="7">
        <v>0.24</v>
      </c>
      <c r="D749" s="7">
        <v>0.92</v>
      </c>
      <c r="E749" s="7">
        <v>0.15</v>
      </c>
      <c r="F749" s="7">
        <v>0.15</v>
      </c>
      <c r="G749" s="7">
        <v>0.22</v>
      </c>
      <c r="H749" s="7">
        <v>0.34</v>
      </c>
      <c r="I749" s="7">
        <v>0.38</v>
      </c>
      <c r="J749" s="7">
        <v>0.3</v>
      </c>
      <c r="K749" s="7">
        <v>1.72</v>
      </c>
      <c r="L749" s="7">
        <v>2.04</v>
      </c>
      <c r="M749" s="7">
        <v>0.67</v>
      </c>
      <c r="N749" s="7">
        <v>0.46</v>
      </c>
      <c r="O749" s="7">
        <v>0.81</v>
      </c>
      <c r="P749" s="7">
        <v>1.45</v>
      </c>
      <c r="Q749" s="7">
        <v>0.01</v>
      </c>
    </row>
    <row r="750" spans="1:17">
      <c r="A750" s="2">
        <v>2698</v>
      </c>
      <c r="B750" s="7">
        <v>1.61</v>
      </c>
      <c r="C750" s="7">
        <v>0.24</v>
      </c>
      <c r="D750" s="7">
        <v>0.92</v>
      </c>
      <c r="E750" s="7">
        <v>0.15</v>
      </c>
      <c r="F750" s="7">
        <v>0.15</v>
      </c>
      <c r="G750" s="7">
        <v>0.22</v>
      </c>
      <c r="H750" s="7">
        <v>0.34</v>
      </c>
      <c r="I750" s="7">
        <v>0.38</v>
      </c>
      <c r="J750" s="7">
        <v>0.3</v>
      </c>
      <c r="K750" s="7">
        <v>1.72</v>
      </c>
      <c r="L750" s="7">
        <v>2.04</v>
      </c>
      <c r="M750" s="7">
        <v>0.67</v>
      </c>
      <c r="N750" s="7">
        <v>0.46</v>
      </c>
      <c r="O750" s="7">
        <v>0.81</v>
      </c>
      <c r="P750" s="7">
        <v>1.45</v>
      </c>
      <c r="Q750" s="7">
        <v>0.01</v>
      </c>
    </row>
    <row r="751" spans="1:17">
      <c r="A751" s="2">
        <v>2699</v>
      </c>
      <c r="B751" s="7">
        <v>1.61</v>
      </c>
      <c r="C751" s="7">
        <v>0.24</v>
      </c>
      <c r="D751" s="7">
        <v>0.92</v>
      </c>
      <c r="E751" s="7">
        <v>0.15</v>
      </c>
      <c r="F751" s="7">
        <v>0.15</v>
      </c>
      <c r="G751" s="7">
        <v>0.22</v>
      </c>
      <c r="H751" s="7">
        <v>0.34</v>
      </c>
      <c r="I751" s="7">
        <v>0.38</v>
      </c>
      <c r="J751" s="7">
        <v>0.3</v>
      </c>
      <c r="K751" s="7">
        <v>1.72</v>
      </c>
      <c r="L751" s="7">
        <v>2.04</v>
      </c>
      <c r="M751" s="7">
        <v>0.67</v>
      </c>
      <c r="N751" s="7">
        <v>0.46</v>
      </c>
      <c r="O751" s="7">
        <v>0.81</v>
      </c>
      <c r="P751" s="7">
        <v>1.45</v>
      </c>
      <c r="Q751" s="7">
        <v>0.01</v>
      </c>
    </row>
    <row r="752" spans="1:17">
      <c r="A752" s="2">
        <v>2700</v>
      </c>
      <c r="B752" s="7">
        <v>1.61</v>
      </c>
      <c r="C752" s="7">
        <v>0.24</v>
      </c>
      <c r="D752" s="7">
        <v>0.92</v>
      </c>
      <c r="E752" s="7">
        <v>0.15</v>
      </c>
      <c r="F752" s="7">
        <v>0.15</v>
      </c>
      <c r="G752" s="7">
        <v>0.22</v>
      </c>
      <c r="H752" s="7">
        <v>0.34</v>
      </c>
      <c r="I752" s="7">
        <v>0.38</v>
      </c>
      <c r="J752" s="7">
        <v>0.3</v>
      </c>
      <c r="K752" s="7">
        <v>1.72</v>
      </c>
      <c r="L752" s="7">
        <v>2.04</v>
      </c>
      <c r="M752" s="7">
        <v>0.67</v>
      </c>
      <c r="N752" s="7">
        <v>0.46</v>
      </c>
      <c r="O752" s="7">
        <v>0.81</v>
      </c>
      <c r="P752" s="7">
        <v>1.45</v>
      </c>
      <c r="Q752" s="7">
        <v>0.01</v>
      </c>
    </row>
    <row r="753" spans="1:17">
      <c r="A753" s="2">
        <v>2701</v>
      </c>
      <c r="B753" s="7">
        <v>1.61</v>
      </c>
      <c r="C753" s="7">
        <v>0.24</v>
      </c>
      <c r="D753" s="7">
        <v>0.92</v>
      </c>
      <c r="E753" s="7">
        <v>0.15</v>
      </c>
      <c r="F753" s="7">
        <v>0.15</v>
      </c>
      <c r="G753" s="7">
        <v>0.22</v>
      </c>
      <c r="H753" s="7">
        <v>0.34</v>
      </c>
      <c r="I753" s="7">
        <v>0.38</v>
      </c>
      <c r="J753" s="7">
        <v>0.3</v>
      </c>
      <c r="K753" s="7">
        <v>1.72</v>
      </c>
      <c r="L753" s="7">
        <v>2.04</v>
      </c>
      <c r="M753" s="7">
        <v>0.67</v>
      </c>
      <c r="N753" s="7">
        <v>0.46</v>
      </c>
      <c r="O753" s="7">
        <v>0.81</v>
      </c>
      <c r="P753" s="7">
        <v>1.45</v>
      </c>
      <c r="Q753" s="7">
        <v>0.01</v>
      </c>
    </row>
    <row r="754" spans="1:17">
      <c r="A754" s="2">
        <v>2702</v>
      </c>
      <c r="B754" s="7">
        <v>1.61</v>
      </c>
      <c r="C754" s="7">
        <v>0.24</v>
      </c>
      <c r="D754" s="7">
        <v>0.92</v>
      </c>
      <c r="E754" s="7">
        <v>0.15</v>
      </c>
      <c r="F754" s="7">
        <v>0.15</v>
      </c>
      <c r="G754" s="7">
        <v>0.22</v>
      </c>
      <c r="H754" s="7">
        <v>0.34</v>
      </c>
      <c r="I754" s="7">
        <v>0.38</v>
      </c>
      <c r="J754" s="7">
        <v>0.3</v>
      </c>
      <c r="K754" s="7">
        <v>1.72</v>
      </c>
      <c r="L754" s="7">
        <v>2.04</v>
      </c>
      <c r="M754" s="7">
        <v>0.67</v>
      </c>
      <c r="N754" s="7">
        <v>0.46</v>
      </c>
      <c r="O754" s="7">
        <v>0.81</v>
      </c>
      <c r="P754" s="7">
        <v>1.45</v>
      </c>
      <c r="Q754" s="7">
        <v>0.01</v>
      </c>
    </row>
    <row r="755" spans="1:17">
      <c r="A755" s="2">
        <v>2703</v>
      </c>
      <c r="B755" s="7">
        <v>1.61</v>
      </c>
      <c r="C755" s="7">
        <v>0.24</v>
      </c>
      <c r="D755" s="7">
        <v>0.92</v>
      </c>
      <c r="E755" s="7">
        <v>0.15</v>
      </c>
      <c r="F755" s="7">
        <v>0.15</v>
      </c>
      <c r="G755" s="7">
        <v>0.22</v>
      </c>
      <c r="H755" s="7">
        <v>0.34</v>
      </c>
      <c r="I755" s="7">
        <v>0.38</v>
      </c>
      <c r="J755" s="7">
        <v>0.3</v>
      </c>
      <c r="K755" s="7">
        <v>1.72</v>
      </c>
      <c r="L755" s="7">
        <v>2.04</v>
      </c>
      <c r="M755" s="7">
        <v>0.67</v>
      </c>
      <c r="N755" s="7">
        <v>0.46</v>
      </c>
      <c r="O755" s="7">
        <v>0.81</v>
      </c>
      <c r="P755" s="7">
        <v>1.45</v>
      </c>
      <c r="Q755" s="7">
        <v>0.01</v>
      </c>
    </row>
    <row r="756" spans="1:17">
      <c r="A756" s="2">
        <v>2704</v>
      </c>
      <c r="B756" s="7">
        <v>1.61</v>
      </c>
      <c r="C756" s="7">
        <v>0.24</v>
      </c>
      <c r="D756" s="7">
        <v>0.92</v>
      </c>
      <c r="E756" s="7">
        <v>0.15</v>
      </c>
      <c r="F756" s="7">
        <v>0.15</v>
      </c>
      <c r="G756" s="7">
        <v>0.22</v>
      </c>
      <c r="H756" s="7">
        <v>0.34</v>
      </c>
      <c r="I756" s="7">
        <v>0.38</v>
      </c>
      <c r="J756" s="7">
        <v>0.3</v>
      </c>
      <c r="K756" s="7">
        <v>1.72</v>
      </c>
      <c r="L756" s="7">
        <v>2.04</v>
      </c>
      <c r="M756" s="7">
        <v>0.67</v>
      </c>
      <c r="N756" s="7">
        <v>0.46</v>
      </c>
      <c r="O756" s="7">
        <v>0.81</v>
      </c>
      <c r="P756" s="7">
        <v>1.45</v>
      </c>
      <c r="Q756" s="7">
        <v>0.01</v>
      </c>
    </row>
    <row r="757" spans="1:17">
      <c r="A757" s="2">
        <v>2705</v>
      </c>
      <c r="B757" s="7">
        <v>1.61</v>
      </c>
      <c r="C757" s="7">
        <v>0.24</v>
      </c>
      <c r="D757" s="7">
        <v>0.92</v>
      </c>
      <c r="E757" s="7">
        <v>0.15</v>
      </c>
      <c r="F757" s="7">
        <v>0.15</v>
      </c>
      <c r="G757" s="7">
        <v>0.22</v>
      </c>
      <c r="H757" s="7">
        <v>0.34</v>
      </c>
      <c r="I757" s="7">
        <v>0.38</v>
      </c>
      <c r="J757" s="7">
        <v>0.3</v>
      </c>
      <c r="K757" s="7">
        <v>1.72</v>
      </c>
      <c r="L757" s="7">
        <v>2.04</v>
      </c>
      <c r="M757" s="7">
        <v>0.67</v>
      </c>
      <c r="N757" s="7">
        <v>0.46</v>
      </c>
      <c r="O757" s="7">
        <v>0.81</v>
      </c>
      <c r="P757" s="7">
        <v>1.45</v>
      </c>
      <c r="Q757" s="7">
        <v>0.01</v>
      </c>
    </row>
    <row r="758" spans="1:17">
      <c r="A758" s="2">
        <v>2706</v>
      </c>
      <c r="B758" s="7">
        <v>1.61</v>
      </c>
      <c r="C758" s="7">
        <v>0.24</v>
      </c>
      <c r="D758" s="7">
        <v>0.92</v>
      </c>
      <c r="E758" s="7">
        <v>0.15</v>
      </c>
      <c r="F758" s="7">
        <v>0.15</v>
      </c>
      <c r="G758" s="7">
        <v>0.22</v>
      </c>
      <c r="H758" s="7">
        <v>0.34</v>
      </c>
      <c r="I758" s="7">
        <v>0.38</v>
      </c>
      <c r="J758" s="7">
        <v>0.3</v>
      </c>
      <c r="K758" s="7">
        <v>1.72</v>
      </c>
      <c r="L758" s="7">
        <v>2.04</v>
      </c>
      <c r="M758" s="7">
        <v>0.67</v>
      </c>
      <c r="N758" s="7">
        <v>0.46</v>
      </c>
      <c r="O758" s="7">
        <v>0.81</v>
      </c>
      <c r="P758" s="7">
        <v>1.45</v>
      </c>
      <c r="Q758" s="7">
        <v>0.01</v>
      </c>
    </row>
    <row r="759" spans="1:17">
      <c r="A759" s="2">
        <v>2707</v>
      </c>
      <c r="B759" s="7">
        <v>1.61</v>
      </c>
      <c r="C759" s="7">
        <v>0.24</v>
      </c>
      <c r="D759" s="7">
        <v>0.92</v>
      </c>
      <c r="E759" s="7">
        <v>0.15</v>
      </c>
      <c r="F759" s="7">
        <v>0.15</v>
      </c>
      <c r="G759" s="7">
        <v>0.22</v>
      </c>
      <c r="H759" s="7">
        <v>0.34</v>
      </c>
      <c r="I759" s="7">
        <v>0.38</v>
      </c>
      <c r="J759" s="7">
        <v>0.3</v>
      </c>
      <c r="K759" s="7">
        <v>1.72</v>
      </c>
      <c r="L759" s="7">
        <v>2.04</v>
      </c>
      <c r="M759" s="7">
        <v>0.67</v>
      </c>
      <c r="N759" s="7">
        <v>0.46</v>
      </c>
      <c r="O759" s="7">
        <v>0.81</v>
      </c>
      <c r="P759" s="7">
        <v>1.45</v>
      </c>
      <c r="Q759" s="7">
        <v>0.01</v>
      </c>
    </row>
    <row r="760" spans="1:17">
      <c r="A760" s="2">
        <v>2708</v>
      </c>
      <c r="B760" s="7">
        <v>1.61</v>
      </c>
      <c r="C760" s="7">
        <v>0.24</v>
      </c>
      <c r="D760" s="7">
        <v>0.92</v>
      </c>
      <c r="E760" s="7">
        <v>0.15</v>
      </c>
      <c r="F760" s="7">
        <v>0.15</v>
      </c>
      <c r="G760" s="7">
        <v>0.22</v>
      </c>
      <c r="H760" s="7">
        <v>0.34</v>
      </c>
      <c r="I760" s="7">
        <v>0.38</v>
      </c>
      <c r="J760" s="7">
        <v>0.3</v>
      </c>
      <c r="K760" s="7">
        <v>1.72</v>
      </c>
      <c r="L760" s="7">
        <v>2.04</v>
      </c>
      <c r="M760" s="7">
        <v>0.67</v>
      </c>
      <c r="N760" s="7">
        <v>0.46</v>
      </c>
      <c r="O760" s="7">
        <v>0.81</v>
      </c>
      <c r="P760" s="7">
        <v>1.45</v>
      </c>
      <c r="Q760" s="7">
        <v>0.01</v>
      </c>
    </row>
    <row r="761" spans="1:17">
      <c r="A761" s="2">
        <v>2709</v>
      </c>
      <c r="B761" s="7">
        <v>1.61</v>
      </c>
      <c r="C761" s="7">
        <v>0.24</v>
      </c>
      <c r="D761" s="7">
        <v>0.92</v>
      </c>
      <c r="E761" s="7">
        <v>0.15</v>
      </c>
      <c r="F761" s="7">
        <v>0.15</v>
      </c>
      <c r="G761" s="7">
        <v>0.22</v>
      </c>
      <c r="H761" s="7">
        <v>0.34</v>
      </c>
      <c r="I761" s="7">
        <v>0.38</v>
      </c>
      <c r="J761" s="7">
        <v>0.3</v>
      </c>
      <c r="K761" s="7">
        <v>1.72</v>
      </c>
      <c r="L761" s="7">
        <v>2.04</v>
      </c>
      <c r="M761" s="7">
        <v>0.67</v>
      </c>
      <c r="N761" s="7">
        <v>0.46</v>
      </c>
      <c r="O761" s="7">
        <v>0.81</v>
      </c>
      <c r="P761" s="7">
        <v>1.45</v>
      </c>
      <c r="Q761" s="7">
        <v>0.01</v>
      </c>
    </row>
    <row r="762" spans="1:17">
      <c r="A762" s="2">
        <v>2710</v>
      </c>
      <c r="B762" s="7">
        <v>1.61</v>
      </c>
      <c r="C762" s="7">
        <v>0.24</v>
      </c>
      <c r="D762" s="7">
        <v>0.92</v>
      </c>
      <c r="E762" s="7">
        <v>0.15</v>
      </c>
      <c r="F762" s="7">
        <v>0.15</v>
      </c>
      <c r="G762" s="7">
        <v>0.22</v>
      </c>
      <c r="H762" s="7">
        <v>0.34</v>
      </c>
      <c r="I762" s="7">
        <v>0.38</v>
      </c>
      <c r="J762" s="7">
        <v>0.3</v>
      </c>
      <c r="K762" s="7">
        <v>1.72</v>
      </c>
      <c r="L762" s="7">
        <v>2.04</v>
      </c>
      <c r="M762" s="7">
        <v>0.67</v>
      </c>
      <c r="N762" s="7">
        <v>0.46</v>
      </c>
      <c r="O762" s="7">
        <v>0.81</v>
      </c>
      <c r="P762" s="7">
        <v>1.45</v>
      </c>
      <c r="Q762" s="7">
        <v>0.01</v>
      </c>
    </row>
    <row r="763" spans="1:17">
      <c r="A763" s="2">
        <v>2711</v>
      </c>
      <c r="B763" s="7">
        <v>1.61</v>
      </c>
      <c r="C763" s="7">
        <v>0.24</v>
      </c>
      <c r="D763" s="7">
        <v>0.92</v>
      </c>
      <c r="E763" s="7">
        <v>0.15</v>
      </c>
      <c r="F763" s="7">
        <v>0.15</v>
      </c>
      <c r="G763" s="7">
        <v>0.22</v>
      </c>
      <c r="H763" s="7">
        <v>0.34</v>
      </c>
      <c r="I763" s="7">
        <v>0.38</v>
      </c>
      <c r="J763" s="7">
        <v>0.3</v>
      </c>
      <c r="K763" s="7">
        <v>1.72</v>
      </c>
      <c r="L763" s="7">
        <v>2.04</v>
      </c>
      <c r="M763" s="7">
        <v>0.67</v>
      </c>
      <c r="N763" s="7">
        <v>0.46</v>
      </c>
      <c r="O763" s="7">
        <v>0.81</v>
      </c>
      <c r="P763" s="7">
        <v>1.45</v>
      </c>
      <c r="Q763" s="7">
        <v>0.01</v>
      </c>
    </row>
    <row r="764" spans="1:17">
      <c r="A764" s="2">
        <v>2712</v>
      </c>
      <c r="B764" s="7">
        <v>1.61</v>
      </c>
      <c r="C764" s="7">
        <v>0.24</v>
      </c>
      <c r="D764" s="7">
        <v>0.92</v>
      </c>
      <c r="E764" s="7">
        <v>0.15</v>
      </c>
      <c r="F764" s="7">
        <v>0.15</v>
      </c>
      <c r="G764" s="7">
        <v>0.22</v>
      </c>
      <c r="H764" s="7">
        <v>0.34</v>
      </c>
      <c r="I764" s="7">
        <v>0.38</v>
      </c>
      <c r="J764" s="7">
        <v>0.3</v>
      </c>
      <c r="K764" s="7">
        <v>1.72</v>
      </c>
      <c r="L764" s="7">
        <v>2.04</v>
      </c>
      <c r="M764" s="7">
        <v>0.67</v>
      </c>
      <c r="N764" s="7">
        <v>0.46</v>
      </c>
      <c r="O764" s="7">
        <v>0.81</v>
      </c>
      <c r="P764" s="7">
        <v>1.45</v>
      </c>
      <c r="Q764" s="7">
        <v>0.01</v>
      </c>
    </row>
    <row r="765" spans="1:17">
      <c r="A765" s="2">
        <v>2713</v>
      </c>
      <c r="B765" s="7">
        <v>1.61</v>
      </c>
      <c r="C765" s="7">
        <v>0.24</v>
      </c>
      <c r="D765" s="7">
        <v>0.92</v>
      </c>
      <c r="E765" s="7">
        <v>0.15</v>
      </c>
      <c r="F765" s="7">
        <v>0.15</v>
      </c>
      <c r="G765" s="7">
        <v>0.22</v>
      </c>
      <c r="H765" s="7">
        <v>0.34</v>
      </c>
      <c r="I765" s="7">
        <v>0.38</v>
      </c>
      <c r="J765" s="7">
        <v>0.3</v>
      </c>
      <c r="K765" s="7">
        <v>1.72</v>
      </c>
      <c r="L765" s="7">
        <v>2.04</v>
      </c>
      <c r="M765" s="7">
        <v>0.67</v>
      </c>
      <c r="N765" s="7">
        <v>0.46</v>
      </c>
      <c r="O765" s="7">
        <v>0.81</v>
      </c>
      <c r="P765" s="7">
        <v>1.45</v>
      </c>
      <c r="Q765" s="7">
        <v>0.01</v>
      </c>
    </row>
    <row r="766" spans="1:17">
      <c r="A766" s="2">
        <v>2714</v>
      </c>
      <c r="B766" s="7">
        <v>1.61</v>
      </c>
      <c r="C766" s="7">
        <v>0.24</v>
      </c>
      <c r="D766" s="7">
        <v>0.92</v>
      </c>
      <c r="E766" s="7">
        <v>0.15</v>
      </c>
      <c r="F766" s="7">
        <v>0.15</v>
      </c>
      <c r="G766" s="7">
        <v>0.22</v>
      </c>
      <c r="H766" s="7">
        <v>0.34</v>
      </c>
      <c r="I766" s="7">
        <v>0.38</v>
      </c>
      <c r="J766" s="7">
        <v>0.3</v>
      </c>
      <c r="K766" s="7">
        <v>1.72</v>
      </c>
      <c r="L766" s="7">
        <v>2.04</v>
      </c>
      <c r="M766" s="7">
        <v>0.67</v>
      </c>
      <c r="N766" s="7">
        <v>0.46</v>
      </c>
      <c r="O766" s="7">
        <v>0.81</v>
      </c>
      <c r="P766" s="7">
        <v>1.45</v>
      </c>
      <c r="Q766" s="7">
        <v>0.01</v>
      </c>
    </row>
    <row r="767" spans="1:17">
      <c r="A767" s="2">
        <v>2715</v>
      </c>
      <c r="B767" s="7">
        <v>1.61</v>
      </c>
      <c r="C767" s="7">
        <v>0.24</v>
      </c>
      <c r="D767" s="7">
        <v>0.92</v>
      </c>
      <c r="E767" s="7">
        <v>0.15</v>
      </c>
      <c r="F767" s="7">
        <v>0.15</v>
      </c>
      <c r="G767" s="7">
        <v>0.22</v>
      </c>
      <c r="H767" s="7">
        <v>0.34</v>
      </c>
      <c r="I767" s="7">
        <v>0.38</v>
      </c>
      <c r="J767" s="7">
        <v>0.3</v>
      </c>
      <c r="K767" s="7">
        <v>1.72</v>
      </c>
      <c r="L767" s="7">
        <v>2.04</v>
      </c>
      <c r="M767" s="7">
        <v>0.67</v>
      </c>
      <c r="N767" s="7">
        <v>0.46</v>
      </c>
      <c r="O767" s="7">
        <v>0.81</v>
      </c>
      <c r="P767" s="7">
        <v>1.45</v>
      </c>
      <c r="Q767" s="7">
        <v>0.01</v>
      </c>
    </row>
    <row r="768" spans="1:17">
      <c r="A768" s="2">
        <v>2716</v>
      </c>
      <c r="B768" s="7">
        <v>1.61</v>
      </c>
      <c r="C768" s="7">
        <v>0.24</v>
      </c>
      <c r="D768" s="7">
        <v>0.92</v>
      </c>
      <c r="E768" s="7">
        <v>0.15</v>
      </c>
      <c r="F768" s="7">
        <v>0.15</v>
      </c>
      <c r="G768" s="7">
        <v>0.22</v>
      </c>
      <c r="H768" s="7">
        <v>0.34</v>
      </c>
      <c r="I768" s="7">
        <v>0.38</v>
      </c>
      <c r="J768" s="7">
        <v>0.3</v>
      </c>
      <c r="K768" s="7">
        <v>1.72</v>
      </c>
      <c r="L768" s="7">
        <v>2.04</v>
      </c>
      <c r="M768" s="7">
        <v>0.67</v>
      </c>
      <c r="N768" s="7">
        <v>0.46</v>
      </c>
      <c r="O768" s="7">
        <v>0.81</v>
      </c>
      <c r="P768" s="7">
        <v>1.45</v>
      </c>
      <c r="Q768" s="7">
        <v>0.01</v>
      </c>
    </row>
    <row r="769" spans="1:17">
      <c r="A769" s="2">
        <v>2717</v>
      </c>
      <c r="B769" s="7">
        <v>1.61</v>
      </c>
      <c r="C769" s="7">
        <v>0.24</v>
      </c>
      <c r="D769" s="7">
        <v>0.92</v>
      </c>
      <c r="E769" s="7">
        <v>0.15</v>
      </c>
      <c r="F769" s="7">
        <v>0.15</v>
      </c>
      <c r="G769" s="7">
        <v>0.22</v>
      </c>
      <c r="H769" s="7">
        <v>0.34</v>
      </c>
      <c r="I769" s="7">
        <v>0.38</v>
      </c>
      <c r="J769" s="7">
        <v>0.3</v>
      </c>
      <c r="K769" s="7">
        <v>1.72</v>
      </c>
      <c r="L769" s="7">
        <v>2.04</v>
      </c>
      <c r="M769" s="7">
        <v>0.67</v>
      </c>
      <c r="N769" s="7">
        <v>0.46</v>
      </c>
      <c r="O769" s="7">
        <v>0.81</v>
      </c>
      <c r="P769" s="7">
        <v>1.45</v>
      </c>
      <c r="Q769" s="7">
        <v>0.01</v>
      </c>
    </row>
    <row r="770" spans="1:17">
      <c r="A770" s="2">
        <v>2718</v>
      </c>
      <c r="B770" s="7">
        <v>1.61</v>
      </c>
      <c r="C770" s="7">
        <v>0.24</v>
      </c>
      <c r="D770" s="7">
        <v>0.92</v>
      </c>
      <c r="E770" s="7">
        <v>0.15</v>
      </c>
      <c r="F770" s="7">
        <v>0.15</v>
      </c>
      <c r="G770" s="7">
        <v>0.22</v>
      </c>
      <c r="H770" s="7">
        <v>0.34</v>
      </c>
      <c r="I770" s="7">
        <v>0.38</v>
      </c>
      <c r="J770" s="7">
        <v>0.3</v>
      </c>
      <c r="K770" s="7">
        <v>1.72</v>
      </c>
      <c r="L770" s="7">
        <v>2.04</v>
      </c>
      <c r="M770" s="7">
        <v>0.67</v>
      </c>
      <c r="N770" s="7">
        <v>0.46</v>
      </c>
      <c r="O770" s="7">
        <v>0.81</v>
      </c>
      <c r="P770" s="7">
        <v>1.45</v>
      </c>
      <c r="Q770" s="7">
        <v>0.01</v>
      </c>
    </row>
    <row r="771" spans="1:17">
      <c r="A771" s="2">
        <v>2719</v>
      </c>
      <c r="B771" s="7">
        <v>1.61</v>
      </c>
      <c r="C771" s="7">
        <v>0.24</v>
      </c>
      <c r="D771" s="7">
        <v>0.92</v>
      </c>
      <c r="E771" s="7">
        <v>0.15</v>
      </c>
      <c r="F771" s="7">
        <v>0.15</v>
      </c>
      <c r="G771" s="7">
        <v>0.22</v>
      </c>
      <c r="H771" s="7">
        <v>0.34</v>
      </c>
      <c r="I771" s="7">
        <v>0.38</v>
      </c>
      <c r="J771" s="7">
        <v>0.3</v>
      </c>
      <c r="K771" s="7">
        <v>1.72</v>
      </c>
      <c r="L771" s="7">
        <v>2.04</v>
      </c>
      <c r="M771" s="7">
        <v>0.67</v>
      </c>
      <c r="N771" s="7">
        <v>0.46</v>
      </c>
      <c r="O771" s="7">
        <v>0.81</v>
      </c>
      <c r="P771" s="7">
        <v>1.45</v>
      </c>
      <c r="Q771" s="7">
        <v>0.01</v>
      </c>
    </row>
    <row r="772" spans="1:17">
      <c r="A772" s="2">
        <v>2720</v>
      </c>
      <c r="B772" s="7">
        <v>1.61</v>
      </c>
      <c r="C772" s="7">
        <v>0.24</v>
      </c>
      <c r="D772" s="7">
        <v>0.92</v>
      </c>
      <c r="E772" s="7">
        <v>0.15</v>
      </c>
      <c r="F772" s="7">
        <v>0.15</v>
      </c>
      <c r="G772" s="7">
        <v>0.22</v>
      </c>
      <c r="H772" s="7">
        <v>0.34</v>
      </c>
      <c r="I772" s="7">
        <v>0.38</v>
      </c>
      <c r="J772" s="7">
        <v>0.3</v>
      </c>
      <c r="K772" s="7">
        <v>1.72</v>
      </c>
      <c r="L772" s="7">
        <v>2.04</v>
      </c>
      <c r="M772" s="7">
        <v>0.67</v>
      </c>
      <c r="N772" s="7">
        <v>0.46</v>
      </c>
      <c r="O772" s="7">
        <v>0.81</v>
      </c>
      <c r="P772" s="7">
        <v>1.45</v>
      </c>
      <c r="Q772" s="7">
        <v>0.01</v>
      </c>
    </row>
    <row r="773" spans="1:17">
      <c r="A773" s="2">
        <v>2721</v>
      </c>
      <c r="B773" s="7">
        <v>1.61</v>
      </c>
      <c r="C773" s="7">
        <v>0.24</v>
      </c>
      <c r="D773" s="7">
        <v>0.92</v>
      </c>
      <c r="E773" s="7">
        <v>0.15</v>
      </c>
      <c r="F773" s="7">
        <v>0.15</v>
      </c>
      <c r="G773" s="7">
        <v>0.22</v>
      </c>
      <c r="H773" s="7">
        <v>0.34</v>
      </c>
      <c r="I773" s="7">
        <v>0.38</v>
      </c>
      <c r="J773" s="7">
        <v>0.3</v>
      </c>
      <c r="K773" s="7">
        <v>1.72</v>
      </c>
      <c r="L773" s="7">
        <v>2.04</v>
      </c>
      <c r="M773" s="7">
        <v>0.67</v>
      </c>
      <c r="N773" s="7">
        <v>0.46</v>
      </c>
      <c r="O773" s="7">
        <v>0.81</v>
      </c>
      <c r="P773" s="7">
        <v>1.45</v>
      </c>
      <c r="Q773" s="7">
        <v>0.01</v>
      </c>
    </row>
    <row r="774" spans="1:17">
      <c r="A774" s="2">
        <v>2722</v>
      </c>
      <c r="B774" s="7">
        <v>1.61</v>
      </c>
      <c r="C774" s="7">
        <v>0.24</v>
      </c>
      <c r="D774" s="7">
        <v>0.92</v>
      </c>
      <c r="E774" s="7">
        <v>0.15</v>
      </c>
      <c r="F774" s="7">
        <v>0.15</v>
      </c>
      <c r="G774" s="7">
        <v>0.22</v>
      </c>
      <c r="H774" s="7">
        <v>0.34</v>
      </c>
      <c r="I774" s="7">
        <v>0.38</v>
      </c>
      <c r="J774" s="7">
        <v>0.3</v>
      </c>
      <c r="K774" s="7">
        <v>1.72</v>
      </c>
      <c r="L774" s="7">
        <v>2.04</v>
      </c>
      <c r="M774" s="7">
        <v>0.67</v>
      </c>
      <c r="N774" s="7">
        <v>0.46</v>
      </c>
      <c r="O774" s="7">
        <v>0.81</v>
      </c>
      <c r="P774" s="7">
        <v>1.45</v>
      </c>
      <c r="Q774" s="7">
        <v>0.01</v>
      </c>
    </row>
    <row r="775" spans="1:17">
      <c r="A775" s="2">
        <v>2723</v>
      </c>
      <c r="B775" s="7">
        <v>1.61</v>
      </c>
      <c r="C775" s="7">
        <v>0.24</v>
      </c>
      <c r="D775" s="7">
        <v>0.92</v>
      </c>
      <c r="E775" s="7">
        <v>0.15</v>
      </c>
      <c r="F775" s="7">
        <v>0.15</v>
      </c>
      <c r="G775" s="7">
        <v>0.22</v>
      </c>
      <c r="H775" s="7">
        <v>0.34</v>
      </c>
      <c r="I775" s="7">
        <v>0.38</v>
      </c>
      <c r="J775" s="7">
        <v>0.3</v>
      </c>
      <c r="K775" s="7">
        <v>1.72</v>
      </c>
      <c r="L775" s="7">
        <v>2.04</v>
      </c>
      <c r="M775" s="7">
        <v>0.67</v>
      </c>
      <c r="N775" s="7">
        <v>0.46</v>
      </c>
      <c r="O775" s="7">
        <v>0.81</v>
      </c>
      <c r="P775" s="7">
        <v>1.45</v>
      </c>
      <c r="Q775" s="7">
        <v>0.01</v>
      </c>
    </row>
    <row r="776" spans="1:17">
      <c r="A776" s="2">
        <v>2724</v>
      </c>
      <c r="B776" s="7">
        <v>1.61</v>
      </c>
      <c r="C776" s="7">
        <v>0.24</v>
      </c>
      <c r="D776" s="7">
        <v>0.92</v>
      </c>
      <c r="E776" s="7">
        <v>0.15</v>
      </c>
      <c r="F776" s="7">
        <v>0.15</v>
      </c>
      <c r="G776" s="7">
        <v>0.22</v>
      </c>
      <c r="H776" s="7">
        <v>0.34</v>
      </c>
      <c r="I776" s="7">
        <v>0.38</v>
      </c>
      <c r="J776" s="7">
        <v>0.3</v>
      </c>
      <c r="K776" s="7">
        <v>1.72</v>
      </c>
      <c r="L776" s="7">
        <v>2.04</v>
      </c>
      <c r="M776" s="7">
        <v>0.67</v>
      </c>
      <c r="N776" s="7">
        <v>0.46</v>
      </c>
      <c r="O776" s="7">
        <v>0.81</v>
      </c>
      <c r="P776" s="7">
        <v>1.45</v>
      </c>
      <c r="Q776" s="7">
        <v>0.01</v>
      </c>
    </row>
    <row r="777" spans="1:17">
      <c r="A777" s="2">
        <v>2725</v>
      </c>
      <c r="B777" s="7">
        <v>1.61</v>
      </c>
      <c r="C777" s="7">
        <v>0.24</v>
      </c>
      <c r="D777" s="7">
        <v>0.92</v>
      </c>
      <c r="E777" s="7">
        <v>0.15</v>
      </c>
      <c r="F777" s="7">
        <v>0.15</v>
      </c>
      <c r="G777" s="7">
        <v>0.22</v>
      </c>
      <c r="H777" s="7">
        <v>0.34</v>
      </c>
      <c r="I777" s="7">
        <v>0.38</v>
      </c>
      <c r="J777" s="7">
        <v>0.3</v>
      </c>
      <c r="K777" s="7">
        <v>1.72</v>
      </c>
      <c r="L777" s="7">
        <v>2.04</v>
      </c>
      <c r="M777" s="7">
        <v>0.67</v>
      </c>
      <c r="N777" s="7">
        <v>0.46</v>
      </c>
      <c r="O777" s="7">
        <v>0.81</v>
      </c>
      <c r="P777" s="7">
        <v>1.45</v>
      </c>
      <c r="Q777" s="7">
        <v>0.01</v>
      </c>
    </row>
    <row r="778" spans="1:17">
      <c r="A778" s="2">
        <v>2726</v>
      </c>
      <c r="B778" s="7">
        <v>1.61</v>
      </c>
      <c r="C778" s="7">
        <v>0.24</v>
      </c>
      <c r="D778" s="7">
        <v>0.92</v>
      </c>
      <c r="E778" s="7">
        <v>0.15</v>
      </c>
      <c r="F778" s="7">
        <v>0.15</v>
      </c>
      <c r="G778" s="7">
        <v>0.22</v>
      </c>
      <c r="H778" s="7">
        <v>0.34</v>
      </c>
      <c r="I778" s="7">
        <v>0.38</v>
      </c>
      <c r="J778" s="7">
        <v>0.3</v>
      </c>
      <c r="K778" s="7">
        <v>1.72</v>
      </c>
      <c r="L778" s="7">
        <v>2.04</v>
      </c>
      <c r="M778" s="7">
        <v>0.67</v>
      </c>
      <c r="N778" s="7">
        <v>0.46</v>
      </c>
      <c r="O778" s="7">
        <v>0.81</v>
      </c>
      <c r="P778" s="7">
        <v>1.45</v>
      </c>
      <c r="Q778" s="7">
        <v>0.01</v>
      </c>
    </row>
    <row r="779" spans="1:17">
      <c r="A779" s="2">
        <v>2727</v>
      </c>
      <c r="B779" s="7">
        <v>1.61</v>
      </c>
      <c r="C779" s="7">
        <v>0.24</v>
      </c>
      <c r="D779" s="7">
        <v>0.92</v>
      </c>
      <c r="E779" s="7">
        <v>0.15</v>
      </c>
      <c r="F779" s="7">
        <v>0.15</v>
      </c>
      <c r="G779" s="7">
        <v>0.22</v>
      </c>
      <c r="H779" s="7">
        <v>0.34</v>
      </c>
      <c r="I779" s="7">
        <v>0.38</v>
      </c>
      <c r="J779" s="7">
        <v>0.3</v>
      </c>
      <c r="K779" s="7">
        <v>1.72</v>
      </c>
      <c r="L779" s="7">
        <v>2.04</v>
      </c>
      <c r="M779" s="7">
        <v>0.67</v>
      </c>
      <c r="N779" s="7">
        <v>0.46</v>
      </c>
      <c r="O779" s="7">
        <v>0.81</v>
      </c>
      <c r="P779" s="7">
        <v>1.45</v>
      </c>
      <c r="Q779" s="7">
        <v>0.01</v>
      </c>
    </row>
    <row r="780" spans="1:17">
      <c r="A780" s="2">
        <v>2728</v>
      </c>
      <c r="B780" s="7">
        <v>1.61</v>
      </c>
      <c r="C780" s="7">
        <v>0.24</v>
      </c>
      <c r="D780" s="7">
        <v>0.92</v>
      </c>
      <c r="E780" s="7">
        <v>0.15</v>
      </c>
      <c r="F780" s="7">
        <v>0.15</v>
      </c>
      <c r="G780" s="7">
        <v>0.22</v>
      </c>
      <c r="H780" s="7">
        <v>0.34</v>
      </c>
      <c r="I780" s="7">
        <v>0.38</v>
      </c>
      <c r="J780" s="7">
        <v>0.3</v>
      </c>
      <c r="K780" s="7">
        <v>1.72</v>
      </c>
      <c r="L780" s="7">
        <v>2.04</v>
      </c>
      <c r="M780" s="7">
        <v>0.67</v>
      </c>
      <c r="N780" s="7">
        <v>0.46</v>
      </c>
      <c r="O780" s="7">
        <v>0.81</v>
      </c>
      <c r="P780" s="7">
        <v>1.45</v>
      </c>
      <c r="Q780" s="7">
        <v>0.01</v>
      </c>
    </row>
    <row r="781" spans="1:17">
      <c r="A781" s="2">
        <v>2729</v>
      </c>
      <c r="B781" s="7">
        <v>1.61</v>
      </c>
      <c r="C781" s="7">
        <v>0.24</v>
      </c>
      <c r="D781" s="7">
        <v>0.92</v>
      </c>
      <c r="E781" s="7">
        <v>0.15</v>
      </c>
      <c r="F781" s="7">
        <v>0.15</v>
      </c>
      <c r="G781" s="7">
        <v>0.22</v>
      </c>
      <c r="H781" s="7">
        <v>0.34</v>
      </c>
      <c r="I781" s="7">
        <v>0.38</v>
      </c>
      <c r="J781" s="7">
        <v>0.3</v>
      </c>
      <c r="K781" s="7">
        <v>1.72</v>
      </c>
      <c r="L781" s="7">
        <v>2.04</v>
      </c>
      <c r="M781" s="7">
        <v>0.67</v>
      </c>
      <c r="N781" s="7">
        <v>0.46</v>
      </c>
      <c r="O781" s="7">
        <v>0.81</v>
      </c>
      <c r="P781" s="7">
        <v>1.45</v>
      </c>
      <c r="Q781" s="7">
        <v>0.01</v>
      </c>
    </row>
    <row r="782" spans="1:17">
      <c r="A782" s="2">
        <v>2730</v>
      </c>
      <c r="B782" s="7">
        <v>1.61</v>
      </c>
      <c r="C782" s="7">
        <v>0.24</v>
      </c>
      <c r="D782" s="7">
        <v>0.92</v>
      </c>
      <c r="E782" s="7">
        <v>0.15</v>
      </c>
      <c r="F782" s="7">
        <v>0.15</v>
      </c>
      <c r="G782" s="7">
        <v>0.22</v>
      </c>
      <c r="H782" s="7">
        <v>0.34</v>
      </c>
      <c r="I782" s="7">
        <v>0.38</v>
      </c>
      <c r="J782" s="7">
        <v>0.3</v>
      </c>
      <c r="K782" s="7">
        <v>1.72</v>
      </c>
      <c r="L782" s="7">
        <v>2.04</v>
      </c>
      <c r="M782" s="7">
        <v>0.67</v>
      </c>
      <c r="N782" s="7">
        <v>0.46</v>
      </c>
      <c r="O782" s="7">
        <v>0.81</v>
      </c>
      <c r="P782" s="7">
        <v>1.45</v>
      </c>
      <c r="Q782" s="7">
        <v>0.01</v>
      </c>
    </row>
    <row r="783" spans="1:17">
      <c r="A783" s="2">
        <v>2731</v>
      </c>
      <c r="B783" s="7">
        <v>1.61</v>
      </c>
      <c r="C783" s="7">
        <v>0.24</v>
      </c>
      <c r="D783" s="7">
        <v>0.92</v>
      </c>
      <c r="E783" s="7">
        <v>0.15</v>
      </c>
      <c r="F783" s="7">
        <v>0.15</v>
      </c>
      <c r="G783" s="7">
        <v>0.22</v>
      </c>
      <c r="H783" s="7">
        <v>0.34</v>
      </c>
      <c r="I783" s="7">
        <v>0.38</v>
      </c>
      <c r="J783" s="7">
        <v>0.3</v>
      </c>
      <c r="K783" s="7">
        <v>1.72</v>
      </c>
      <c r="L783" s="7">
        <v>2.04</v>
      </c>
      <c r="M783" s="7">
        <v>0.67</v>
      </c>
      <c r="N783" s="7">
        <v>0.46</v>
      </c>
      <c r="O783" s="7">
        <v>0.81</v>
      </c>
      <c r="P783" s="7">
        <v>1.45</v>
      </c>
      <c r="Q783" s="7">
        <v>0.01</v>
      </c>
    </row>
    <row r="784" spans="1:17">
      <c r="A784" s="2">
        <v>2732</v>
      </c>
      <c r="B784" s="7">
        <v>1.61</v>
      </c>
      <c r="C784" s="7">
        <v>0.24</v>
      </c>
      <c r="D784" s="7">
        <v>0.92</v>
      </c>
      <c r="E784" s="7">
        <v>0.15</v>
      </c>
      <c r="F784" s="7">
        <v>0.15</v>
      </c>
      <c r="G784" s="7">
        <v>0.22</v>
      </c>
      <c r="H784" s="7">
        <v>0.34</v>
      </c>
      <c r="I784" s="7">
        <v>0.38</v>
      </c>
      <c r="J784" s="7">
        <v>0.3</v>
      </c>
      <c r="K784" s="7">
        <v>1.72</v>
      </c>
      <c r="L784" s="7">
        <v>2.04</v>
      </c>
      <c r="M784" s="7">
        <v>0.67</v>
      </c>
      <c r="N784" s="7">
        <v>0.46</v>
      </c>
      <c r="O784" s="7">
        <v>0.81</v>
      </c>
      <c r="P784" s="7">
        <v>1.45</v>
      </c>
      <c r="Q784" s="7">
        <v>0.01</v>
      </c>
    </row>
    <row r="785" spans="1:17">
      <c r="A785" s="2">
        <v>2733</v>
      </c>
      <c r="B785" s="7">
        <v>1.61</v>
      </c>
      <c r="C785" s="7">
        <v>0.24</v>
      </c>
      <c r="D785" s="7">
        <v>0.92</v>
      </c>
      <c r="E785" s="7">
        <v>0.15</v>
      </c>
      <c r="F785" s="7">
        <v>0.15</v>
      </c>
      <c r="G785" s="7">
        <v>0.22</v>
      </c>
      <c r="H785" s="7">
        <v>0.34</v>
      </c>
      <c r="I785" s="7">
        <v>0.38</v>
      </c>
      <c r="J785" s="7">
        <v>0.3</v>
      </c>
      <c r="K785" s="7">
        <v>1.72</v>
      </c>
      <c r="L785" s="7">
        <v>2.04</v>
      </c>
      <c r="M785" s="7">
        <v>0.67</v>
      </c>
      <c r="N785" s="7">
        <v>0.46</v>
      </c>
      <c r="O785" s="7">
        <v>0.81</v>
      </c>
      <c r="P785" s="7">
        <v>1.45</v>
      </c>
      <c r="Q785" s="7">
        <v>0.01</v>
      </c>
    </row>
    <row r="786" spans="1:17">
      <c r="A786" s="2">
        <v>2734</v>
      </c>
      <c r="B786" s="7">
        <v>1.61</v>
      </c>
      <c r="C786" s="7">
        <v>0.24</v>
      </c>
      <c r="D786" s="7">
        <v>0.92</v>
      </c>
      <c r="E786" s="7">
        <v>0.15</v>
      </c>
      <c r="F786" s="7">
        <v>0.15</v>
      </c>
      <c r="G786" s="7">
        <v>0.22</v>
      </c>
      <c r="H786" s="7">
        <v>0.34</v>
      </c>
      <c r="I786" s="7">
        <v>0.38</v>
      </c>
      <c r="J786" s="7">
        <v>0.3</v>
      </c>
      <c r="K786" s="7">
        <v>1.72</v>
      </c>
      <c r="L786" s="7">
        <v>2.04</v>
      </c>
      <c r="M786" s="7">
        <v>0.67</v>
      </c>
      <c r="N786" s="7">
        <v>0.46</v>
      </c>
      <c r="O786" s="7">
        <v>0.81</v>
      </c>
      <c r="P786" s="7">
        <v>1.45</v>
      </c>
      <c r="Q786" s="7">
        <v>0.01</v>
      </c>
    </row>
    <row r="787" spans="1:17">
      <c r="A787" s="2">
        <v>2735</v>
      </c>
      <c r="B787" s="7">
        <v>1.61</v>
      </c>
      <c r="C787" s="7">
        <v>0.24</v>
      </c>
      <c r="D787" s="7">
        <v>0.92</v>
      </c>
      <c r="E787" s="7">
        <v>0.15</v>
      </c>
      <c r="F787" s="7">
        <v>0.15</v>
      </c>
      <c r="G787" s="7">
        <v>0.22</v>
      </c>
      <c r="H787" s="7">
        <v>0.34</v>
      </c>
      <c r="I787" s="7">
        <v>0.38</v>
      </c>
      <c r="J787" s="7">
        <v>0.3</v>
      </c>
      <c r="K787" s="7">
        <v>1.72</v>
      </c>
      <c r="L787" s="7">
        <v>2.04</v>
      </c>
      <c r="M787" s="7">
        <v>0.67</v>
      </c>
      <c r="N787" s="7">
        <v>0.46</v>
      </c>
      <c r="O787" s="7">
        <v>0.81</v>
      </c>
      <c r="P787" s="7">
        <v>1.45</v>
      </c>
      <c r="Q787" s="7">
        <v>0.01</v>
      </c>
    </row>
    <row r="788" spans="1:17">
      <c r="A788" s="2">
        <v>2736</v>
      </c>
      <c r="B788" s="7">
        <v>1.61</v>
      </c>
      <c r="C788" s="7">
        <v>0.24</v>
      </c>
      <c r="D788" s="7">
        <v>0.92</v>
      </c>
      <c r="E788" s="7">
        <v>0.15</v>
      </c>
      <c r="F788" s="7">
        <v>0.15</v>
      </c>
      <c r="G788" s="7">
        <v>0.22</v>
      </c>
      <c r="H788" s="7">
        <v>0.34</v>
      </c>
      <c r="I788" s="7">
        <v>0.38</v>
      </c>
      <c r="J788" s="7">
        <v>0.3</v>
      </c>
      <c r="K788" s="7">
        <v>1.72</v>
      </c>
      <c r="L788" s="7">
        <v>2.04</v>
      </c>
      <c r="M788" s="7">
        <v>0.67</v>
      </c>
      <c r="N788" s="7">
        <v>0.46</v>
      </c>
      <c r="O788" s="7">
        <v>0.81</v>
      </c>
      <c r="P788" s="7">
        <v>1.45</v>
      </c>
      <c r="Q788" s="7">
        <v>0.01</v>
      </c>
    </row>
    <row r="789" spans="1:17">
      <c r="A789" s="2">
        <v>2737</v>
      </c>
      <c r="B789" s="7">
        <v>1.61</v>
      </c>
      <c r="C789" s="7">
        <v>0.24</v>
      </c>
      <c r="D789" s="7">
        <v>0.92</v>
      </c>
      <c r="E789" s="7">
        <v>0.15</v>
      </c>
      <c r="F789" s="7">
        <v>0.15</v>
      </c>
      <c r="G789" s="7">
        <v>0.22</v>
      </c>
      <c r="H789" s="7">
        <v>0.34</v>
      </c>
      <c r="I789" s="7">
        <v>0.38</v>
      </c>
      <c r="J789" s="7">
        <v>0.3</v>
      </c>
      <c r="K789" s="7">
        <v>1.72</v>
      </c>
      <c r="L789" s="7">
        <v>2.04</v>
      </c>
      <c r="M789" s="7">
        <v>0.67</v>
      </c>
      <c r="N789" s="7">
        <v>0.46</v>
      </c>
      <c r="O789" s="7">
        <v>0.81</v>
      </c>
      <c r="P789" s="7">
        <v>1.45</v>
      </c>
      <c r="Q789" s="7">
        <v>0.01</v>
      </c>
    </row>
    <row r="790" spans="1:17">
      <c r="A790" s="2">
        <v>2738</v>
      </c>
      <c r="B790" s="7">
        <v>1.61</v>
      </c>
      <c r="C790" s="7">
        <v>0.24</v>
      </c>
      <c r="D790" s="7">
        <v>0.92</v>
      </c>
      <c r="E790" s="7">
        <v>0.15</v>
      </c>
      <c r="F790" s="7">
        <v>0.15</v>
      </c>
      <c r="G790" s="7">
        <v>0.22</v>
      </c>
      <c r="H790" s="7">
        <v>0.34</v>
      </c>
      <c r="I790" s="7">
        <v>0.38</v>
      </c>
      <c r="J790" s="7">
        <v>0.3</v>
      </c>
      <c r="K790" s="7">
        <v>1.72</v>
      </c>
      <c r="L790" s="7">
        <v>2.04</v>
      </c>
      <c r="M790" s="7">
        <v>0.67</v>
      </c>
      <c r="N790" s="7">
        <v>0.46</v>
      </c>
      <c r="O790" s="7">
        <v>0.81</v>
      </c>
      <c r="P790" s="7">
        <v>1.45</v>
      </c>
      <c r="Q790" s="7">
        <v>0.01</v>
      </c>
    </row>
    <row r="791" spans="1:17">
      <c r="A791" s="2">
        <v>2739</v>
      </c>
      <c r="B791" s="7">
        <v>1.61</v>
      </c>
      <c r="C791" s="7">
        <v>0.24</v>
      </c>
      <c r="D791" s="7">
        <v>0.92</v>
      </c>
      <c r="E791" s="7">
        <v>0.15</v>
      </c>
      <c r="F791" s="7">
        <v>0.15</v>
      </c>
      <c r="G791" s="7">
        <v>0.22</v>
      </c>
      <c r="H791" s="7">
        <v>0.34</v>
      </c>
      <c r="I791" s="7">
        <v>0.38</v>
      </c>
      <c r="J791" s="7">
        <v>0.3</v>
      </c>
      <c r="K791" s="7">
        <v>1.72</v>
      </c>
      <c r="L791" s="7">
        <v>2.04</v>
      </c>
      <c r="M791" s="7">
        <v>0.67</v>
      </c>
      <c r="N791" s="7">
        <v>0.46</v>
      </c>
      <c r="O791" s="7">
        <v>0.81</v>
      </c>
      <c r="P791" s="7">
        <v>1.45</v>
      </c>
      <c r="Q791" s="7">
        <v>0.01</v>
      </c>
    </row>
    <row r="792" spans="1:17">
      <c r="A792" s="2">
        <v>2740</v>
      </c>
      <c r="B792" s="7">
        <v>1.61</v>
      </c>
      <c r="C792" s="7">
        <v>0.24</v>
      </c>
      <c r="D792" s="7">
        <v>0.92</v>
      </c>
      <c r="E792" s="7">
        <v>0.15</v>
      </c>
      <c r="F792" s="7">
        <v>0.15</v>
      </c>
      <c r="G792" s="7">
        <v>0.22</v>
      </c>
      <c r="H792" s="7">
        <v>0.34</v>
      </c>
      <c r="I792" s="7">
        <v>0.38</v>
      </c>
      <c r="J792" s="7">
        <v>0.3</v>
      </c>
      <c r="K792" s="7">
        <v>1.72</v>
      </c>
      <c r="L792" s="7">
        <v>2.04</v>
      </c>
      <c r="M792" s="7">
        <v>0.67</v>
      </c>
      <c r="N792" s="7">
        <v>0.46</v>
      </c>
      <c r="O792" s="7">
        <v>0.81</v>
      </c>
      <c r="P792" s="7">
        <v>1.45</v>
      </c>
      <c r="Q792" s="7">
        <v>0.01</v>
      </c>
    </row>
    <row r="793" spans="1:17">
      <c r="A793" s="2">
        <v>2741</v>
      </c>
      <c r="B793" s="7">
        <v>1.61</v>
      </c>
      <c r="C793" s="7">
        <v>0.24</v>
      </c>
      <c r="D793" s="7">
        <v>0.92</v>
      </c>
      <c r="E793" s="7">
        <v>0.15</v>
      </c>
      <c r="F793" s="7">
        <v>0.15</v>
      </c>
      <c r="G793" s="7">
        <v>0.22</v>
      </c>
      <c r="H793" s="7">
        <v>0.34</v>
      </c>
      <c r="I793" s="7">
        <v>0.38</v>
      </c>
      <c r="J793" s="7">
        <v>0.3</v>
      </c>
      <c r="K793" s="7">
        <v>1.72</v>
      </c>
      <c r="L793" s="7">
        <v>2.04</v>
      </c>
      <c r="M793" s="7">
        <v>0.67</v>
      </c>
      <c r="N793" s="7">
        <v>0.46</v>
      </c>
      <c r="O793" s="7">
        <v>0.81</v>
      </c>
      <c r="P793" s="7">
        <v>1.45</v>
      </c>
      <c r="Q793" s="7">
        <v>0.01</v>
      </c>
    </row>
    <row r="794" spans="1:17">
      <c r="A794" s="2">
        <v>2742</v>
      </c>
      <c r="B794" s="7">
        <v>1.61</v>
      </c>
      <c r="C794" s="7">
        <v>0.24</v>
      </c>
      <c r="D794" s="7">
        <v>0.92</v>
      </c>
      <c r="E794" s="7">
        <v>0.15</v>
      </c>
      <c r="F794" s="7">
        <v>0.15</v>
      </c>
      <c r="G794" s="7">
        <v>0.22</v>
      </c>
      <c r="H794" s="7">
        <v>0.34</v>
      </c>
      <c r="I794" s="7">
        <v>0.38</v>
      </c>
      <c r="J794" s="7">
        <v>0.3</v>
      </c>
      <c r="K794" s="7">
        <v>1.72</v>
      </c>
      <c r="L794" s="7">
        <v>2.04</v>
      </c>
      <c r="M794" s="7">
        <v>0.67</v>
      </c>
      <c r="N794" s="7">
        <v>0.46</v>
      </c>
      <c r="O794" s="7">
        <v>0.81</v>
      </c>
      <c r="P794" s="7">
        <v>1.45</v>
      </c>
      <c r="Q794" s="7">
        <v>0.01</v>
      </c>
    </row>
    <row r="795" spans="1:17">
      <c r="A795" s="2">
        <v>2743</v>
      </c>
      <c r="B795" s="7">
        <v>1.61</v>
      </c>
      <c r="C795" s="7">
        <v>0.24</v>
      </c>
      <c r="D795" s="7">
        <v>0.92</v>
      </c>
      <c r="E795" s="7">
        <v>0.15</v>
      </c>
      <c r="F795" s="7">
        <v>0.15</v>
      </c>
      <c r="G795" s="7">
        <v>0.22</v>
      </c>
      <c r="H795" s="7">
        <v>0.34</v>
      </c>
      <c r="I795" s="7">
        <v>0.38</v>
      </c>
      <c r="J795" s="7">
        <v>0.3</v>
      </c>
      <c r="K795" s="7">
        <v>1.72</v>
      </c>
      <c r="L795" s="7">
        <v>2.04</v>
      </c>
      <c r="M795" s="7">
        <v>0.67</v>
      </c>
      <c r="N795" s="7">
        <v>0.46</v>
      </c>
      <c r="O795" s="7">
        <v>0.81</v>
      </c>
      <c r="P795" s="7">
        <v>1.45</v>
      </c>
      <c r="Q795" s="7">
        <v>0.01</v>
      </c>
    </row>
    <row r="796" spans="1:17">
      <c r="A796" s="2">
        <v>2744</v>
      </c>
      <c r="B796" s="7">
        <v>1.61</v>
      </c>
      <c r="C796" s="7">
        <v>0.24</v>
      </c>
      <c r="D796" s="7">
        <v>0.92</v>
      </c>
      <c r="E796" s="7">
        <v>0.15</v>
      </c>
      <c r="F796" s="7">
        <v>0.15</v>
      </c>
      <c r="G796" s="7">
        <v>0.22</v>
      </c>
      <c r="H796" s="7">
        <v>0.34</v>
      </c>
      <c r="I796" s="7">
        <v>0.38</v>
      </c>
      <c r="J796" s="7">
        <v>0.3</v>
      </c>
      <c r="K796" s="7">
        <v>1.72</v>
      </c>
      <c r="L796" s="7">
        <v>2.04</v>
      </c>
      <c r="M796" s="7">
        <v>0.67</v>
      </c>
      <c r="N796" s="7">
        <v>0.46</v>
      </c>
      <c r="O796" s="7">
        <v>0.81</v>
      </c>
      <c r="P796" s="7">
        <v>1.45</v>
      </c>
      <c r="Q796" s="7">
        <v>0.01</v>
      </c>
    </row>
    <row r="797" spans="1:17">
      <c r="A797" s="2">
        <v>2745</v>
      </c>
      <c r="B797" s="7">
        <v>1.61</v>
      </c>
      <c r="C797" s="7">
        <v>0.24</v>
      </c>
      <c r="D797" s="7">
        <v>0.92</v>
      </c>
      <c r="E797" s="7">
        <v>0.15</v>
      </c>
      <c r="F797" s="7">
        <v>0.15</v>
      </c>
      <c r="G797" s="7">
        <v>0.22</v>
      </c>
      <c r="H797" s="7">
        <v>0.34</v>
      </c>
      <c r="I797" s="7">
        <v>0.38</v>
      </c>
      <c r="J797" s="7">
        <v>0.3</v>
      </c>
      <c r="K797" s="7">
        <v>1.72</v>
      </c>
      <c r="L797" s="7">
        <v>2.04</v>
      </c>
      <c r="M797" s="7">
        <v>0.67</v>
      </c>
      <c r="N797" s="7">
        <v>0.46</v>
      </c>
      <c r="O797" s="7">
        <v>0.81</v>
      </c>
      <c r="P797" s="7">
        <v>1.45</v>
      </c>
      <c r="Q797" s="7">
        <v>0.01</v>
      </c>
    </row>
    <row r="798" spans="1:17">
      <c r="A798" s="2">
        <v>2746</v>
      </c>
      <c r="B798" s="7">
        <v>1.61</v>
      </c>
      <c r="C798" s="7">
        <v>0.24</v>
      </c>
      <c r="D798" s="7">
        <v>0.92</v>
      </c>
      <c r="E798" s="7">
        <v>0.15</v>
      </c>
      <c r="F798" s="7">
        <v>0.15</v>
      </c>
      <c r="G798" s="7">
        <v>0.22</v>
      </c>
      <c r="H798" s="7">
        <v>0.34</v>
      </c>
      <c r="I798" s="7">
        <v>0.38</v>
      </c>
      <c r="J798" s="7">
        <v>0.3</v>
      </c>
      <c r="K798" s="7">
        <v>1.72</v>
      </c>
      <c r="L798" s="7">
        <v>2.04</v>
      </c>
      <c r="M798" s="7">
        <v>0.67</v>
      </c>
      <c r="N798" s="7">
        <v>0.46</v>
      </c>
      <c r="O798" s="7">
        <v>0.81</v>
      </c>
      <c r="P798" s="7">
        <v>1.45</v>
      </c>
      <c r="Q798" s="7">
        <v>0.01</v>
      </c>
    </row>
    <row r="799" spans="1:17">
      <c r="A799" s="2">
        <v>2747</v>
      </c>
      <c r="B799" s="7">
        <v>1.61</v>
      </c>
      <c r="C799" s="7">
        <v>0.24</v>
      </c>
      <c r="D799" s="7">
        <v>0.92</v>
      </c>
      <c r="E799" s="7">
        <v>0.15</v>
      </c>
      <c r="F799" s="7">
        <v>0.15</v>
      </c>
      <c r="G799" s="7">
        <v>0.22</v>
      </c>
      <c r="H799" s="7">
        <v>0.34</v>
      </c>
      <c r="I799" s="7">
        <v>0.38</v>
      </c>
      <c r="J799" s="7">
        <v>0.3</v>
      </c>
      <c r="K799" s="7">
        <v>1.72</v>
      </c>
      <c r="L799" s="7">
        <v>2.04</v>
      </c>
      <c r="M799" s="7">
        <v>0.67</v>
      </c>
      <c r="N799" s="7">
        <v>0.46</v>
      </c>
      <c r="O799" s="7">
        <v>0.81</v>
      </c>
      <c r="P799" s="7">
        <v>1.45</v>
      </c>
      <c r="Q799" s="7">
        <v>0.01</v>
      </c>
    </row>
    <row r="800" spans="1:17">
      <c r="A800" s="2">
        <v>2748</v>
      </c>
      <c r="B800" s="7">
        <v>1.61</v>
      </c>
      <c r="C800" s="7">
        <v>0.24</v>
      </c>
      <c r="D800" s="7">
        <v>0.92</v>
      </c>
      <c r="E800" s="7">
        <v>0.15</v>
      </c>
      <c r="F800" s="7">
        <v>0.15</v>
      </c>
      <c r="G800" s="7">
        <v>0.22</v>
      </c>
      <c r="H800" s="7">
        <v>0.34</v>
      </c>
      <c r="I800" s="7">
        <v>0.38</v>
      </c>
      <c r="J800" s="7">
        <v>0.3</v>
      </c>
      <c r="K800" s="7">
        <v>1.72</v>
      </c>
      <c r="L800" s="7">
        <v>2.04</v>
      </c>
      <c r="M800" s="7">
        <v>0.67</v>
      </c>
      <c r="N800" s="7">
        <v>0.46</v>
      </c>
      <c r="O800" s="7">
        <v>0.81</v>
      </c>
      <c r="P800" s="7">
        <v>1.45</v>
      </c>
      <c r="Q800" s="7">
        <v>0.01</v>
      </c>
    </row>
    <row r="801" spans="1:17">
      <c r="A801" s="2">
        <v>2749</v>
      </c>
      <c r="B801" s="7">
        <v>1.61</v>
      </c>
      <c r="C801" s="7">
        <v>0.24</v>
      </c>
      <c r="D801" s="7">
        <v>0.92</v>
      </c>
      <c r="E801" s="7">
        <v>0.15</v>
      </c>
      <c r="F801" s="7">
        <v>0.15</v>
      </c>
      <c r="G801" s="7">
        <v>0.22</v>
      </c>
      <c r="H801" s="7">
        <v>0.34</v>
      </c>
      <c r="I801" s="7">
        <v>0.38</v>
      </c>
      <c r="J801" s="7">
        <v>0.3</v>
      </c>
      <c r="K801" s="7">
        <v>1.72</v>
      </c>
      <c r="L801" s="7">
        <v>2.04</v>
      </c>
      <c r="M801" s="7">
        <v>0.67</v>
      </c>
      <c r="N801" s="7">
        <v>0.46</v>
      </c>
      <c r="O801" s="7">
        <v>0.81</v>
      </c>
      <c r="P801" s="7">
        <v>1.45</v>
      </c>
      <c r="Q801" s="7">
        <v>0.01</v>
      </c>
    </row>
    <row r="802" spans="1:17">
      <c r="A802" s="2">
        <v>2750</v>
      </c>
      <c r="B802" s="7">
        <v>1.61</v>
      </c>
      <c r="C802" s="7">
        <v>0.24</v>
      </c>
      <c r="D802" s="7">
        <v>0.92</v>
      </c>
      <c r="E802" s="7">
        <v>0.15</v>
      </c>
      <c r="F802" s="7">
        <v>0.15</v>
      </c>
      <c r="G802" s="7">
        <v>0.22</v>
      </c>
      <c r="H802" s="7">
        <v>0.34</v>
      </c>
      <c r="I802" s="7">
        <v>0.38</v>
      </c>
      <c r="J802" s="7">
        <v>0.3</v>
      </c>
      <c r="K802" s="7">
        <v>1.72</v>
      </c>
      <c r="L802" s="7">
        <v>2.04</v>
      </c>
      <c r="M802" s="7">
        <v>0.67</v>
      </c>
      <c r="N802" s="7">
        <v>0.46</v>
      </c>
      <c r="O802" s="7">
        <v>0.81</v>
      </c>
      <c r="P802" s="7">
        <v>1.45</v>
      </c>
      <c r="Q802" s="7">
        <v>0.01</v>
      </c>
    </row>
    <row r="803" spans="1:17">
      <c r="A803" s="2">
        <v>2751</v>
      </c>
      <c r="B803" s="7">
        <v>1.61</v>
      </c>
      <c r="C803" s="7">
        <v>0.24</v>
      </c>
      <c r="D803" s="7">
        <v>0.92</v>
      </c>
      <c r="E803" s="7">
        <v>0.15</v>
      </c>
      <c r="F803" s="7">
        <v>0.15</v>
      </c>
      <c r="G803" s="7">
        <v>0.22</v>
      </c>
      <c r="H803" s="7">
        <v>0.34</v>
      </c>
      <c r="I803" s="7">
        <v>0.38</v>
      </c>
      <c r="J803" s="7">
        <v>0.3</v>
      </c>
      <c r="K803" s="7">
        <v>1.72</v>
      </c>
      <c r="L803" s="7">
        <v>2.04</v>
      </c>
      <c r="M803" s="7">
        <v>0.67</v>
      </c>
      <c r="N803" s="7">
        <v>0.46</v>
      </c>
      <c r="O803" s="7">
        <v>0.81</v>
      </c>
      <c r="P803" s="7">
        <v>1.45</v>
      </c>
      <c r="Q803" s="7">
        <v>0.01</v>
      </c>
    </row>
    <row r="804" spans="1:17">
      <c r="A804" s="2">
        <v>2752</v>
      </c>
      <c r="B804" s="7">
        <v>1.61</v>
      </c>
      <c r="C804" s="7">
        <v>0.24</v>
      </c>
      <c r="D804" s="7">
        <v>0.92</v>
      </c>
      <c r="E804" s="7">
        <v>0.15</v>
      </c>
      <c r="F804" s="7">
        <v>0.15</v>
      </c>
      <c r="G804" s="7">
        <v>0.22</v>
      </c>
      <c r="H804" s="7">
        <v>0.34</v>
      </c>
      <c r="I804" s="7">
        <v>0.38</v>
      </c>
      <c r="J804" s="7">
        <v>0.3</v>
      </c>
      <c r="K804" s="7">
        <v>1.72</v>
      </c>
      <c r="L804" s="7">
        <v>2.04</v>
      </c>
      <c r="M804" s="7">
        <v>0.67</v>
      </c>
      <c r="N804" s="7">
        <v>0.46</v>
      </c>
      <c r="O804" s="7">
        <v>0.81</v>
      </c>
      <c r="P804" s="7">
        <v>1.45</v>
      </c>
      <c r="Q804" s="7">
        <v>0.01</v>
      </c>
    </row>
    <row r="805" spans="1:17">
      <c r="A805" s="2">
        <v>2753</v>
      </c>
      <c r="B805" s="7">
        <v>1.61</v>
      </c>
      <c r="C805" s="7">
        <v>0.24</v>
      </c>
      <c r="D805" s="7">
        <v>0.92</v>
      </c>
      <c r="E805" s="7">
        <v>0.15</v>
      </c>
      <c r="F805" s="7">
        <v>0.15</v>
      </c>
      <c r="G805" s="7">
        <v>0.22</v>
      </c>
      <c r="H805" s="7">
        <v>0.34</v>
      </c>
      <c r="I805" s="7">
        <v>0.38</v>
      </c>
      <c r="J805" s="7">
        <v>0.3</v>
      </c>
      <c r="K805" s="7">
        <v>1.72</v>
      </c>
      <c r="L805" s="7">
        <v>2.04</v>
      </c>
      <c r="M805" s="7">
        <v>0.67</v>
      </c>
      <c r="N805" s="7">
        <v>0.46</v>
      </c>
      <c r="O805" s="7">
        <v>0.81</v>
      </c>
      <c r="P805" s="7">
        <v>1.45</v>
      </c>
      <c r="Q805" s="7">
        <v>0.01</v>
      </c>
    </row>
    <row r="806" spans="1:17">
      <c r="A806" s="2">
        <v>2754</v>
      </c>
      <c r="B806" s="7">
        <v>1.61</v>
      </c>
      <c r="C806" s="7">
        <v>0.24</v>
      </c>
      <c r="D806" s="7">
        <v>0.92</v>
      </c>
      <c r="E806" s="7">
        <v>0.15</v>
      </c>
      <c r="F806" s="7">
        <v>0.15</v>
      </c>
      <c r="G806" s="7">
        <v>0.22</v>
      </c>
      <c r="H806" s="7">
        <v>0.34</v>
      </c>
      <c r="I806" s="7">
        <v>0.38</v>
      </c>
      <c r="J806" s="7">
        <v>0.3</v>
      </c>
      <c r="K806" s="7">
        <v>1.72</v>
      </c>
      <c r="L806" s="7">
        <v>2.04</v>
      </c>
      <c r="M806" s="7">
        <v>0.67</v>
      </c>
      <c r="N806" s="7">
        <v>0.46</v>
      </c>
      <c r="O806" s="7">
        <v>0.81</v>
      </c>
      <c r="P806" s="7">
        <v>1.45</v>
      </c>
      <c r="Q806" s="7">
        <v>0.01</v>
      </c>
    </row>
    <row r="807" spans="1:17">
      <c r="A807" s="2">
        <v>2755</v>
      </c>
      <c r="B807" s="7">
        <v>1.61</v>
      </c>
      <c r="C807" s="7">
        <v>0.24</v>
      </c>
      <c r="D807" s="7">
        <v>0.92</v>
      </c>
      <c r="E807" s="7">
        <v>0.15</v>
      </c>
      <c r="F807" s="7">
        <v>0.15</v>
      </c>
      <c r="G807" s="7">
        <v>0.22</v>
      </c>
      <c r="H807" s="7">
        <v>0.34</v>
      </c>
      <c r="I807" s="7">
        <v>0.38</v>
      </c>
      <c r="J807" s="7">
        <v>0.3</v>
      </c>
      <c r="K807" s="7">
        <v>1.72</v>
      </c>
      <c r="L807" s="7">
        <v>2.04</v>
      </c>
      <c r="M807" s="7">
        <v>0.67</v>
      </c>
      <c r="N807" s="7">
        <v>0.46</v>
      </c>
      <c r="O807" s="7">
        <v>0.81</v>
      </c>
      <c r="P807" s="7">
        <v>1.45</v>
      </c>
      <c r="Q807" s="7">
        <v>0.01</v>
      </c>
    </row>
    <row r="808" spans="1:17">
      <c r="A808" s="2">
        <v>2756</v>
      </c>
      <c r="B808" s="7">
        <v>1.61</v>
      </c>
      <c r="C808" s="7">
        <v>0.24</v>
      </c>
      <c r="D808" s="7">
        <v>0.92</v>
      </c>
      <c r="E808" s="7">
        <v>0.15</v>
      </c>
      <c r="F808" s="7">
        <v>0.15</v>
      </c>
      <c r="G808" s="7">
        <v>0.22</v>
      </c>
      <c r="H808" s="7">
        <v>0.34</v>
      </c>
      <c r="I808" s="7">
        <v>0.38</v>
      </c>
      <c r="J808" s="7">
        <v>0.3</v>
      </c>
      <c r="K808" s="7">
        <v>1.72</v>
      </c>
      <c r="L808" s="7">
        <v>2.04</v>
      </c>
      <c r="M808" s="7">
        <v>0.67</v>
      </c>
      <c r="N808" s="7">
        <v>0.46</v>
      </c>
      <c r="O808" s="7">
        <v>0.81</v>
      </c>
      <c r="P808" s="7">
        <v>1.45</v>
      </c>
      <c r="Q808" s="7">
        <v>0.01</v>
      </c>
    </row>
    <row r="809" spans="1:17">
      <c r="A809" s="2">
        <v>2757</v>
      </c>
      <c r="B809" s="7">
        <v>1.61</v>
      </c>
      <c r="C809" s="7">
        <v>0.24</v>
      </c>
      <c r="D809" s="7">
        <v>0.92</v>
      </c>
      <c r="E809" s="7">
        <v>0.15</v>
      </c>
      <c r="F809" s="7">
        <v>0.15</v>
      </c>
      <c r="G809" s="7">
        <v>0.22</v>
      </c>
      <c r="H809" s="7">
        <v>0.34</v>
      </c>
      <c r="I809" s="7">
        <v>0.38</v>
      </c>
      <c r="J809" s="7">
        <v>0.3</v>
      </c>
      <c r="K809" s="7">
        <v>1.72</v>
      </c>
      <c r="L809" s="7">
        <v>2.04</v>
      </c>
      <c r="M809" s="7">
        <v>0.67</v>
      </c>
      <c r="N809" s="7">
        <v>0.46</v>
      </c>
      <c r="O809" s="7">
        <v>0.81</v>
      </c>
      <c r="P809" s="7">
        <v>1.45</v>
      </c>
      <c r="Q809" s="7">
        <v>0.01</v>
      </c>
    </row>
    <row r="810" spans="1:17">
      <c r="A810" s="2">
        <v>2758</v>
      </c>
      <c r="B810" s="7">
        <v>1.61</v>
      </c>
      <c r="C810" s="7">
        <v>0.24</v>
      </c>
      <c r="D810" s="7">
        <v>0.92</v>
      </c>
      <c r="E810" s="7">
        <v>0.15</v>
      </c>
      <c r="F810" s="7">
        <v>0.15</v>
      </c>
      <c r="G810" s="7">
        <v>0.22</v>
      </c>
      <c r="H810" s="7">
        <v>0.34</v>
      </c>
      <c r="I810" s="7">
        <v>0.38</v>
      </c>
      <c r="J810" s="7">
        <v>0.3</v>
      </c>
      <c r="K810" s="7">
        <v>1.72</v>
      </c>
      <c r="L810" s="7">
        <v>2.04</v>
      </c>
      <c r="M810" s="7">
        <v>0.67</v>
      </c>
      <c r="N810" s="7">
        <v>0.46</v>
      </c>
      <c r="O810" s="7">
        <v>0.81</v>
      </c>
      <c r="P810" s="7">
        <v>1.45</v>
      </c>
      <c r="Q810" s="7">
        <v>0.01</v>
      </c>
    </row>
    <row r="811" spans="1:17">
      <c r="A811" s="2">
        <v>2759</v>
      </c>
      <c r="B811" s="7">
        <v>1.61</v>
      </c>
      <c r="C811" s="7">
        <v>0.24</v>
      </c>
      <c r="D811" s="7">
        <v>0.92</v>
      </c>
      <c r="E811" s="7">
        <v>0.15</v>
      </c>
      <c r="F811" s="7">
        <v>0.15</v>
      </c>
      <c r="G811" s="7">
        <v>0.22</v>
      </c>
      <c r="H811" s="7">
        <v>0.34</v>
      </c>
      <c r="I811" s="7">
        <v>0.38</v>
      </c>
      <c r="J811" s="7">
        <v>0.3</v>
      </c>
      <c r="K811" s="7">
        <v>1.72</v>
      </c>
      <c r="L811" s="7">
        <v>2.04</v>
      </c>
      <c r="M811" s="7">
        <v>0.67</v>
      </c>
      <c r="N811" s="7">
        <v>0.46</v>
      </c>
      <c r="O811" s="7">
        <v>0.81</v>
      </c>
      <c r="P811" s="7">
        <v>1.45</v>
      </c>
      <c r="Q811" s="7">
        <v>0.01</v>
      </c>
    </row>
    <row r="812" spans="1:17">
      <c r="A812" s="2">
        <v>2760</v>
      </c>
      <c r="B812" s="7">
        <v>1.61</v>
      </c>
      <c r="C812" s="7">
        <v>0.24</v>
      </c>
      <c r="D812" s="7">
        <v>0.92</v>
      </c>
      <c r="E812" s="7">
        <v>0.15</v>
      </c>
      <c r="F812" s="7">
        <v>0.15</v>
      </c>
      <c r="G812" s="7">
        <v>0.22</v>
      </c>
      <c r="H812" s="7">
        <v>0.34</v>
      </c>
      <c r="I812" s="7">
        <v>0.38</v>
      </c>
      <c r="J812" s="7">
        <v>0.3</v>
      </c>
      <c r="K812" s="7">
        <v>1.72</v>
      </c>
      <c r="L812" s="7">
        <v>2.04</v>
      </c>
      <c r="M812" s="7">
        <v>0.67</v>
      </c>
      <c r="N812" s="7">
        <v>0.46</v>
      </c>
      <c r="O812" s="7">
        <v>0.81</v>
      </c>
      <c r="P812" s="7">
        <v>1.45</v>
      </c>
      <c r="Q812" s="7">
        <v>0.01</v>
      </c>
    </row>
    <row r="813" spans="1:17">
      <c r="A813" s="2">
        <v>2761</v>
      </c>
      <c r="B813" s="7">
        <v>1.61</v>
      </c>
      <c r="C813" s="7">
        <v>0.24</v>
      </c>
      <c r="D813" s="7">
        <v>0.92</v>
      </c>
      <c r="E813" s="7">
        <v>0.15</v>
      </c>
      <c r="F813" s="7">
        <v>0.15</v>
      </c>
      <c r="G813" s="7">
        <v>0.22</v>
      </c>
      <c r="H813" s="7">
        <v>0.34</v>
      </c>
      <c r="I813" s="7">
        <v>0.38</v>
      </c>
      <c r="J813" s="7">
        <v>0.3</v>
      </c>
      <c r="K813" s="7">
        <v>1.72</v>
      </c>
      <c r="L813" s="7">
        <v>2.04</v>
      </c>
      <c r="M813" s="7">
        <v>0.67</v>
      </c>
      <c r="N813" s="7">
        <v>0.46</v>
      </c>
      <c r="O813" s="7">
        <v>0.81</v>
      </c>
      <c r="P813" s="7">
        <v>1.45</v>
      </c>
      <c r="Q813" s="7">
        <v>0.01</v>
      </c>
    </row>
    <row r="814" spans="1:17">
      <c r="A814" s="2">
        <v>2762</v>
      </c>
      <c r="B814" s="7">
        <v>1.61</v>
      </c>
      <c r="C814" s="7">
        <v>0.24</v>
      </c>
      <c r="D814" s="7">
        <v>0.92</v>
      </c>
      <c r="E814" s="7">
        <v>0.15</v>
      </c>
      <c r="F814" s="7">
        <v>0.15</v>
      </c>
      <c r="G814" s="7">
        <v>0.22</v>
      </c>
      <c r="H814" s="7">
        <v>0.34</v>
      </c>
      <c r="I814" s="7">
        <v>0.38</v>
      </c>
      <c r="J814" s="7">
        <v>0.3</v>
      </c>
      <c r="K814" s="7">
        <v>1.72</v>
      </c>
      <c r="L814" s="7">
        <v>2.04</v>
      </c>
      <c r="M814" s="7">
        <v>0.67</v>
      </c>
      <c r="N814" s="7">
        <v>0.46</v>
      </c>
      <c r="O814" s="7">
        <v>0.81</v>
      </c>
      <c r="P814" s="7">
        <v>1.45</v>
      </c>
      <c r="Q814" s="7">
        <v>0.01</v>
      </c>
    </row>
    <row r="815" spans="1:17">
      <c r="A815" s="2">
        <v>2763</v>
      </c>
      <c r="B815" s="7">
        <v>1.61</v>
      </c>
      <c r="C815" s="7">
        <v>0.24</v>
      </c>
      <c r="D815" s="7">
        <v>0.92</v>
      </c>
      <c r="E815" s="7">
        <v>0.15</v>
      </c>
      <c r="F815" s="7">
        <v>0.15</v>
      </c>
      <c r="G815" s="7">
        <v>0.22</v>
      </c>
      <c r="H815" s="7">
        <v>0.34</v>
      </c>
      <c r="I815" s="7">
        <v>0.38</v>
      </c>
      <c r="J815" s="7">
        <v>0.3</v>
      </c>
      <c r="K815" s="7">
        <v>1.72</v>
      </c>
      <c r="L815" s="7">
        <v>2.04</v>
      </c>
      <c r="M815" s="7">
        <v>0.67</v>
      </c>
      <c r="N815" s="7">
        <v>0.46</v>
      </c>
      <c r="O815" s="7">
        <v>0.81</v>
      </c>
      <c r="P815" s="7">
        <v>1.45</v>
      </c>
      <c r="Q815" s="7">
        <v>0.01</v>
      </c>
    </row>
    <row r="816" spans="1:17">
      <c r="A816" s="2">
        <v>2764</v>
      </c>
      <c r="B816" s="7">
        <v>1.61</v>
      </c>
      <c r="C816" s="7">
        <v>0.24</v>
      </c>
      <c r="D816" s="7">
        <v>0.92</v>
      </c>
      <c r="E816" s="7">
        <v>0.15</v>
      </c>
      <c r="F816" s="7">
        <v>0.15</v>
      </c>
      <c r="G816" s="7">
        <v>0.22</v>
      </c>
      <c r="H816" s="7">
        <v>0.34</v>
      </c>
      <c r="I816" s="7">
        <v>0.38</v>
      </c>
      <c r="J816" s="7">
        <v>0.3</v>
      </c>
      <c r="K816" s="7">
        <v>1.72</v>
      </c>
      <c r="L816" s="7">
        <v>2.04</v>
      </c>
      <c r="M816" s="7">
        <v>0.67</v>
      </c>
      <c r="N816" s="7">
        <v>0.46</v>
      </c>
      <c r="O816" s="7">
        <v>0.81</v>
      </c>
      <c r="P816" s="7">
        <v>1.45</v>
      </c>
      <c r="Q816" s="7">
        <v>0.01</v>
      </c>
    </row>
    <row r="817" spans="1:17">
      <c r="A817" s="2">
        <v>2765</v>
      </c>
      <c r="B817" s="7">
        <v>1.61</v>
      </c>
      <c r="C817" s="7">
        <v>0.24</v>
      </c>
      <c r="D817" s="7">
        <v>0.92</v>
      </c>
      <c r="E817" s="7">
        <v>0.15</v>
      </c>
      <c r="F817" s="7">
        <v>0.15</v>
      </c>
      <c r="G817" s="7">
        <v>0.22</v>
      </c>
      <c r="H817" s="7">
        <v>0.34</v>
      </c>
      <c r="I817" s="7">
        <v>0.38</v>
      </c>
      <c r="J817" s="7">
        <v>0.3</v>
      </c>
      <c r="K817" s="7">
        <v>1.72</v>
      </c>
      <c r="L817" s="7">
        <v>2.04</v>
      </c>
      <c r="M817" s="7">
        <v>0.67</v>
      </c>
      <c r="N817" s="7">
        <v>0.46</v>
      </c>
      <c r="O817" s="7">
        <v>0.81</v>
      </c>
      <c r="P817" s="7">
        <v>1.45</v>
      </c>
      <c r="Q817" s="7">
        <v>0.01</v>
      </c>
    </row>
    <row r="818" spans="1:17">
      <c r="A818" s="2">
        <v>2766</v>
      </c>
      <c r="B818" s="7">
        <v>1.61</v>
      </c>
      <c r="C818" s="7">
        <v>0.24</v>
      </c>
      <c r="D818" s="7">
        <v>0.92</v>
      </c>
      <c r="E818" s="7">
        <v>0.15</v>
      </c>
      <c r="F818" s="7">
        <v>0.15</v>
      </c>
      <c r="G818" s="7">
        <v>0.22</v>
      </c>
      <c r="H818" s="7">
        <v>0.34</v>
      </c>
      <c r="I818" s="7">
        <v>0.38</v>
      </c>
      <c r="J818" s="7">
        <v>0.3</v>
      </c>
      <c r="K818" s="7">
        <v>1.72</v>
      </c>
      <c r="L818" s="7">
        <v>2.04</v>
      </c>
      <c r="M818" s="7">
        <v>0.67</v>
      </c>
      <c r="N818" s="7">
        <v>0.46</v>
      </c>
      <c r="O818" s="7">
        <v>0.81</v>
      </c>
      <c r="P818" s="7">
        <v>1.45</v>
      </c>
      <c r="Q818" s="7">
        <v>0.01</v>
      </c>
    </row>
    <row r="819" spans="1:17">
      <c r="A819" s="2">
        <v>2767</v>
      </c>
      <c r="B819" s="7">
        <v>1.61</v>
      </c>
      <c r="C819" s="7">
        <v>0.24</v>
      </c>
      <c r="D819" s="7">
        <v>0.92</v>
      </c>
      <c r="E819" s="7">
        <v>0.15</v>
      </c>
      <c r="F819" s="7">
        <v>0.15</v>
      </c>
      <c r="G819" s="7">
        <v>0.22</v>
      </c>
      <c r="H819" s="7">
        <v>0.34</v>
      </c>
      <c r="I819" s="7">
        <v>0.38</v>
      </c>
      <c r="J819" s="7">
        <v>0.3</v>
      </c>
      <c r="K819" s="7">
        <v>1.72</v>
      </c>
      <c r="L819" s="7">
        <v>2.04</v>
      </c>
      <c r="M819" s="7">
        <v>0.67</v>
      </c>
      <c r="N819" s="7">
        <v>0.46</v>
      </c>
      <c r="O819" s="7">
        <v>0.81</v>
      </c>
      <c r="P819" s="7">
        <v>1.45</v>
      </c>
      <c r="Q819" s="7">
        <v>0.01</v>
      </c>
    </row>
    <row r="820" spans="1:17">
      <c r="A820" s="2">
        <v>2768</v>
      </c>
      <c r="B820" s="7">
        <v>1.61</v>
      </c>
      <c r="C820" s="7">
        <v>0.24</v>
      </c>
      <c r="D820" s="7">
        <v>0.92</v>
      </c>
      <c r="E820" s="7">
        <v>0.15</v>
      </c>
      <c r="F820" s="7">
        <v>0.15</v>
      </c>
      <c r="G820" s="7">
        <v>0.22</v>
      </c>
      <c r="H820" s="7">
        <v>0.34</v>
      </c>
      <c r="I820" s="7">
        <v>0.38</v>
      </c>
      <c r="J820" s="7">
        <v>0.3</v>
      </c>
      <c r="K820" s="7">
        <v>1.72</v>
      </c>
      <c r="L820" s="7">
        <v>2.04</v>
      </c>
      <c r="M820" s="7">
        <v>0.67</v>
      </c>
      <c r="N820" s="7">
        <v>0.46</v>
      </c>
      <c r="O820" s="7">
        <v>0.81</v>
      </c>
      <c r="P820" s="7">
        <v>1.45</v>
      </c>
      <c r="Q820" s="7">
        <v>0.01</v>
      </c>
    </row>
    <row r="821" spans="1:17">
      <c r="A821" s="2">
        <v>2769</v>
      </c>
      <c r="B821" s="7">
        <v>1.61</v>
      </c>
      <c r="C821" s="7">
        <v>0.24</v>
      </c>
      <c r="D821" s="7">
        <v>0.92</v>
      </c>
      <c r="E821" s="7">
        <v>0.15</v>
      </c>
      <c r="F821" s="7">
        <v>0.15</v>
      </c>
      <c r="G821" s="7">
        <v>0.22</v>
      </c>
      <c r="H821" s="7">
        <v>0.34</v>
      </c>
      <c r="I821" s="7">
        <v>0.38</v>
      </c>
      <c r="J821" s="7">
        <v>0.3</v>
      </c>
      <c r="K821" s="7">
        <v>1.72</v>
      </c>
      <c r="L821" s="7">
        <v>2.04</v>
      </c>
      <c r="M821" s="7">
        <v>0.67</v>
      </c>
      <c r="N821" s="7">
        <v>0.46</v>
      </c>
      <c r="O821" s="7">
        <v>0.81</v>
      </c>
      <c r="P821" s="7">
        <v>1.45</v>
      </c>
      <c r="Q821" s="7">
        <v>0.01</v>
      </c>
    </row>
    <row r="822" spans="1:17">
      <c r="A822" s="2">
        <v>2770</v>
      </c>
      <c r="B822" s="7">
        <v>1.61</v>
      </c>
      <c r="C822" s="7">
        <v>0.24</v>
      </c>
      <c r="D822" s="7">
        <v>0.92</v>
      </c>
      <c r="E822" s="7">
        <v>0.15</v>
      </c>
      <c r="F822" s="7">
        <v>0.15</v>
      </c>
      <c r="G822" s="7">
        <v>0.22</v>
      </c>
      <c r="H822" s="7">
        <v>0.34</v>
      </c>
      <c r="I822" s="7">
        <v>0.38</v>
      </c>
      <c r="J822" s="7">
        <v>0.3</v>
      </c>
      <c r="K822" s="7">
        <v>1.72</v>
      </c>
      <c r="L822" s="7">
        <v>2.04</v>
      </c>
      <c r="M822" s="7">
        <v>0.67</v>
      </c>
      <c r="N822" s="7">
        <v>0.46</v>
      </c>
      <c r="O822" s="7">
        <v>0.81</v>
      </c>
      <c r="P822" s="7">
        <v>1.45</v>
      </c>
      <c r="Q822" s="7">
        <v>0.01</v>
      </c>
    </row>
    <row r="823" spans="1:17">
      <c r="A823" s="2">
        <v>2771</v>
      </c>
      <c r="B823" s="7">
        <v>1.61</v>
      </c>
      <c r="C823" s="7">
        <v>0.24</v>
      </c>
      <c r="D823" s="7">
        <v>0.92</v>
      </c>
      <c r="E823" s="7">
        <v>0.15</v>
      </c>
      <c r="F823" s="7">
        <v>0.15</v>
      </c>
      <c r="G823" s="7">
        <v>0.22</v>
      </c>
      <c r="H823" s="7">
        <v>0.34</v>
      </c>
      <c r="I823" s="7">
        <v>0.38</v>
      </c>
      <c r="J823" s="7">
        <v>0.3</v>
      </c>
      <c r="K823" s="7">
        <v>1.72</v>
      </c>
      <c r="L823" s="7">
        <v>2.04</v>
      </c>
      <c r="M823" s="7">
        <v>0.67</v>
      </c>
      <c r="N823" s="7">
        <v>0.46</v>
      </c>
      <c r="O823" s="7">
        <v>0.81</v>
      </c>
      <c r="P823" s="7">
        <v>1.45</v>
      </c>
      <c r="Q823" s="7">
        <v>0.01</v>
      </c>
    </row>
    <row r="824" spans="1:17">
      <c r="A824" s="2">
        <v>2772</v>
      </c>
      <c r="B824" s="7">
        <v>1.61</v>
      </c>
      <c r="C824" s="7">
        <v>0.24</v>
      </c>
      <c r="D824" s="7">
        <v>0.92</v>
      </c>
      <c r="E824" s="7">
        <v>0.15</v>
      </c>
      <c r="F824" s="7">
        <v>0.15</v>
      </c>
      <c r="G824" s="7">
        <v>0.22</v>
      </c>
      <c r="H824" s="7">
        <v>0.34</v>
      </c>
      <c r="I824" s="7">
        <v>0.38</v>
      </c>
      <c r="J824" s="7">
        <v>0.3</v>
      </c>
      <c r="K824" s="7">
        <v>1.72</v>
      </c>
      <c r="L824" s="7">
        <v>2.04</v>
      </c>
      <c r="M824" s="7">
        <v>0.67</v>
      </c>
      <c r="N824" s="7">
        <v>0.46</v>
      </c>
      <c r="O824" s="7">
        <v>0.81</v>
      </c>
      <c r="P824" s="7">
        <v>1.45</v>
      </c>
      <c r="Q824" s="7">
        <v>0.01</v>
      </c>
    </row>
    <row r="825" spans="1:17">
      <c r="A825" s="2">
        <v>2773</v>
      </c>
      <c r="B825" s="7">
        <v>1.61</v>
      </c>
      <c r="C825" s="7">
        <v>0.24</v>
      </c>
      <c r="D825" s="7">
        <v>0.92</v>
      </c>
      <c r="E825" s="7">
        <v>0.15</v>
      </c>
      <c r="F825" s="7">
        <v>0.15</v>
      </c>
      <c r="G825" s="7">
        <v>0.22</v>
      </c>
      <c r="H825" s="7">
        <v>0.34</v>
      </c>
      <c r="I825" s="7">
        <v>0.38</v>
      </c>
      <c r="J825" s="7">
        <v>0.3</v>
      </c>
      <c r="K825" s="7">
        <v>1.72</v>
      </c>
      <c r="L825" s="7">
        <v>2.04</v>
      </c>
      <c r="M825" s="7">
        <v>0.67</v>
      </c>
      <c r="N825" s="7">
        <v>0.46</v>
      </c>
      <c r="O825" s="7">
        <v>0.81</v>
      </c>
      <c r="P825" s="7">
        <v>1.45</v>
      </c>
      <c r="Q825" s="7">
        <v>0.01</v>
      </c>
    </row>
    <row r="826" spans="1:17">
      <c r="A826" s="2">
        <v>2774</v>
      </c>
      <c r="B826" s="7">
        <v>1.61</v>
      </c>
      <c r="C826" s="7">
        <v>0.24</v>
      </c>
      <c r="D826" s="7">
        <v>0.92</v>
      </c>
      <c r="E826" s="7">
        <v>0.15</v>
      </c>
      <c r="F826" s="7">
        <v>0.15</v>
      </c>
      <c r="G826" s="7">
        <v>0.22</v>
      </c>
      <c r="H826" s="7">
        <v>0.34</v>
      </c>
      <c r="I826" s="7">
        <v>0.38</v>
      </c>
      <c r="J826" s="7">
        <v>0.3</v>
      </c>
      <c r="K826" s="7">
        <v>1.72</v>
      </c>
      <c r="L826" s="7">
        <v>2.04</v>
      </c>
      <c r="M826" s="7">
        <v>0.67</v>
      </c>
      <c r="N826" s="7">
        <v>0.46</v>
      </c>
      <c r="O826" s="7">
        <v>0.81</v>
      </c>
      <c r="P826" s="7">
        <v>1.45</v>
      </c>
      <c r="Q826" s="7">
        <v>0.01</v>
      </c>
    </row>
    <row r="827" spans="1:17">
      <c r="A827" s="2">
        <v>2775</v>
      </c>
      <c r="B827" s="7">
        <v>1.61</v>
      </c>
      <c r="C827" s="7">
        <v>0.24</v>
      </c>
      <c r="D827" s="7">
        <v>0.92</v>
      </c>
      <c r="E827" s="7">
        <v>0.15</v>
      </c>
      <c r="F827" s="7">
        <v>0.15</v>
      </c>
      <c r="G827" s="7">
        <v>0.22</v>
      </c>
      <c r="H827" s="7">
        <v>0.34</v>
      </c>
      <c r="I827" s="7">
        <v>0.38</v>
      </c>
      <c r="J827" s="7">
        <v>0.3</v>
      </c>
      <c r="K827" s="7">
        <v>1.72</v>
      </c>
      <c r="L827" s="7">
        <v>2.04</v>
      </c>
      <c r="M827" s="7">
        <v>0.67</v>
      </c>
      <c r="N827" s="7">
        <v>0.46</v>
      </c>
      <c r="O827" s="7">
        <v>0.81</v>
      </c>
      <c r="P827" s="7">
        <v>1.45</v>
      </c>
      <c r="Q827" s="7">
        <v>0.01</v>
      </c>
    </row>
    <row r="828" spans="1:17">
      <c r="A828" s="2">
        <v>2776</v>
      </c>
      <c r="B828" s="7">
        <v>1.61</v>
      </c>
      <c r="C828" s="7">
        <v>0.24</v>
      </c>
      <c r="D828" s="7">
        <v>0.92</v>
      </c>
      <c r="E828" s="7">
        <v>0.15</v>
      </c>
      <c r="F828" s="7">
        <v>0.15</v>
      </c>
      <c r="G828" s="7">
        <v>0.22</v>
      </c>
      <c r="H828" s="7">
        <v>0.34</v>
      </c>
      <c r="I828" s="7">
        <v>0.38</v>
      </c>
      <c r="J828" s="7">
        <v>0.3</v>
      </c>
      <c r="K828" s="7">
        <v>1.72</v>
      </c>
      <c r="L828" s="7">
        <v>2.04</v>
      </c>
      <c r="M828" s="7">
        <v>0.67</v>
      </c>
      <c r="N828" s="7">
        <v>0.46</v>
      </c>
      <c r="O828" s="7">
        <v>0.81</v>
      </c>
      <c r="P828" s="7">
        <v>1.45</v>
      </c>
      <c r="Q828" s="7">
        <v>0.01</v>
      </c>
    </row>
    <row r="829" spans="1:17">
      <c r="A829" s="2">
        <v>2777</v>
      </c>
      <c r="B829" s="7">
        <v>1.61</v>
      </c>
      <c r="C829" s="7">
        <v>0.24</v>
      </c>
      <c r="D829" s="7">
        <v>0.92</v>
      </c>
      <c r="E829" s="7">
        <v>0.15</v>
      </c>
      <c r="F829" s="7">
        <v>0.15</v>
      </c>
      <c r="G829" s="7">
        <v>0.22</v>
      </c>
      <c r="H829" s="7">
        <v>0.34</v>
      </c>
      <c r="I829" s="7">
        <v>0.38</v>
      </c>
      <c r="J829" s="7">
        <v>0.3</v>
      </c>
      <c r="K829" s="7">
        <v>1.72</v>
      </c>
      <c r="L829" s="7">
        <v>2.04</v>
      </c>
      <c r="M829" s="7">
        <v>0.67</v>
      </c>
      <c r="N829" s="7">
        <v>0.46</v>
      </c>
      <c r="O829" s="7">
        <v>0.81</v>
      </c>
      <c r="P829" s="7">
        <v>1.45</v>
      </c>
      <c r="Q829" s="7">
        <v>0.01</v>
      </c>
    </row>
    <row r="830" spans="1:17">
      <c r="A830" s="2">
        <v>2778</v>
      </c>
      <c r="B830" s="7">
        <v>1.61</v>
      </c>
      <c r="C830" s="7">
        <v>0.24</v>
      </c>
      <c r="D830" s="7">
        <v>0.92</v>
      </c>
      <c r="E830" s="7">
        <v>0.15</v>
      </c>
      <c r="F830" s="7">
        <v>0.15</v>
      </c>
      <c r="G830" s="7">
        <v>0.22</v>
      </c>
      <c r="H830" s="7">
        <v>0.34</v>
      </c>
      <c r="I830" s="7">
        <v>0.38</v>
      </c>
      <c r="J830" s="7">
        <v>0.3</v>
      </c>
      <c r="K830" s="7">
        <v>1.72</v>
      </c>
      <c r="L830" s="7">
        <v>2.04</v>
      </c>
      <c r="M830" s="7">
        <v>0.67</v>
      </c>
      <c r="N830" s="7">
        <v>0.46</v>
      </c>
      <c r="O830" s="7">
        <v>0.81</v>
      </c>
      <c r="P830" s="7">
        <v>1.45</v>
      </c>
      <c r="Q830" s="7">
        <v>0.01</v>
      </c>
    </row>
    <row r="831" spans="1:17">
      <c r="A831" s="2">
        <v>2779</v>
      </c>
      <c r="B831" s="7">
        <v>1.61</v>
      </c>
      <c r="C831" s="7">
        <v>0.24</v>
      </c>
      <c r="D831" s="7">
        <v>0.92</v>
      </c>
      <c r="E831" s="7">
        <v>0.15</v>
      </c>
      <c r="F831" s="7">
        <v>0.15</v>
      </c>
      <c r="G831" s="7">
        <v>0.22</v>
      </c>
      <c r="H831" s="7">
        <v>0.34</v>
      </c>
      <c r="I831" s="7">
        <v>0.38</v>
      </c>
      <c r="J831" s="7">
        <v>0.3</v>
      </c>
      <c r="K831" s="7">
        <v>1.72</v>
      </c>
      <c r="L831" s="7">
        <v>2.04</v>
      </c>
      <c r="M831" s="7">
        <v>0.67</v>
      </c>
      <c r="N831" s="7">
        <v>0.46</v>
      </c>
      <c r="O831" s="7">
        <v>0.81</v>
      </c>
      <c r="P831" s="7">
        <v>1.45</v>
      </c>
      <c r="Q831" s="7">
        <v>0.01</v>
      </c>
    </row>
    <row r="832" spans="1:17">
      <c r="A832" s="2">
        <v>2780</v>
      </c>
      <c r="B832" s="7">
        <v>1.61</v>
      </c>
      <c r="C832" s="7">
        <v>0.24</v>
      </c>
      <c r="D832" s="7">
        <v>0.92</v>
      </c>
      <c r="E832" s="7">
        <v>0.15</v>
      </c>
      <c r="F832" s="7">
        <v>0.15</v>
      </c>
      <c r="G832" s="7">
        <v>0.22</v>
      </c>
      <c r="H832" s="7">
        <v>0.34</v>
      </c>
      <c r="I832" s="7">
        <v>0.38</v>
      </c>
      <c r="J832" s="7">
        <v>0.3</v>
      </c>
      <c r="K832" s="7">
        <v>1.72</v>
      </c>
      <c r="L832" s="7">
        <v>2.04</v>
      </c>
      <c r="M832" s="7">
        <v>0.67</v>
      </c>
      <c r="N832" s="7">
        <v>0.46</v>
      </c>
      <c r="O832" s="7">
        <v>0.81</v>
      </c>
      <c r="P832" s="7">
        <v>1.45</v>
      </c>
      <c r="Q832" s="7">
        <v>0.01</v>
      </c>
    </row>
    <row r="833" spans="1:17">
      <c r="A833" s="2">
        <v>2781</v>
      </c>
      <c r="B833" s="7">
        <v>1.61</v>
      </c>
      <c r="C833" s="7">
        <v>0.24</v>
      </c>
      <c r="D833" s="7">
        <v>0.92</v>
      </c>
      <c r="E833" s="7">
        <v>0.15</v>
      </c>
      <c r="F833" s="7">
        <v>0.15</v>
      </c>
      <c r="G833" s="7">
        <v>0.22</v>
      </c>
      <c r="H833" s="7">
        <v>0.34</v>
      </c>
      <c r="I833" s="7">
        <v>0.38</v>
      </c>
      <c r="J833" s="7">
        <v>0.3</v>
      </c>
      <c r="K833" s="7">
        <v>1.72</v>
      </c>
      <c r="L833" s="7">
        <v>2.04</v>
      </c>
      <c r="M833" s="7">
        <v>0.67</v>
      </c>
      <c r="N833" s="7">
        <v>0.46</v>
      </c>
      <c r="O833" s="7">
        <v>0.81</v>
      </c>
      <c r="P833" s="7">
        <v>1.45</v>
      </c>
      <c r="Q833" s="7">
        <v>0.01</v>
      </c>
    </row>
    <row r="834" spans="1:17">
      <c r="A834" s="2">
        <v>2782</v>
      </c>
      <c r="B834" s="7">
        <v>1.61</v>
      </c>
      <c r="C834" s="7">
        <v>0.24</v>
      </c>
      <c r="D834" s="7">
        <v>0.92</v>
      </c>
      <c r="E834" s="7">
        <v>0.15</v>
      </c>
      <c r="F834" s="7">
        <v>0.15</v>
      </c>
      <c r="G834" s="7">
        <v>0.22</v>
      </c>
      <c r="H834" s="7">
        <v>0.34</v>
      </c>
      <c r="I834" s="7">
        <v>0.38</v>
      </c>
      <c r="J834" s="7">
        <v>0.3</v>
      </c>
      <c r="K834" s="7">
        <v>1.72</v>
      </c>
      <c r="L834" s="7">
        <v>2.04</v>
      </c>
      <c r="M834" s="7">
        <v>0.67</v>
      </c>
      <c r="N834" s="7">
        <v>0.46</v>
      </c>
      <c r="O834" s="7">
        <v>0.81</v>
      </c>
      <c r="P834" s="7">
        <v>1.45</v>
      </c>
      <c r="Q834" s="7">
        <v>0.01</v>
      </c>
    </row>
    <row r="835" spans="1:17">
      <c r="A835" s="2">
        <v>2783</v>
      </c>
      <c r="B835" s="7">
        <v>1.61</v>
      </c>
      <c r="C835" s="7">
        <v>0.24</v>
      </c>
      <c r="D835" s="7">
        <v>0.92</v>
      </c>
      <c r="E835" s="7">
        <v>0.15</v>
      </c>
      <c r="F835" s="7">
        <v>0.15</v>
      </c>
      <c r="G835" s="7">
        <v>0.22</v>
      </c>
      <c r="H835" s="7">
        <v>0.34</v>
      </c>
      <c r="I835" s="7">
        <v>0.38</v>
      </c>
      <c r="J835" s="7">
        <v>0.3</v>
      </c>
      <c r="K835" s="7">
        <v>1.72</v>
      </c>
      <c r="L835" s="7">
        <v>2.04</v>
      </c>
      <c r="M835" s="7">
        <v>0.67</v>
      </c>
      <c r="N835" s="7">
        <v>0.46</v>
      </c>
      <c r="O835" s="7">
        <v>0.81</v>
      </c>
      <c r="P835" s="7">
        <v>1.45</v>
      </c>
      <c r="Q835" s="7">
        <v>0.01</v>
      </c>
    </row>
    <row r="836" spans="1:17">
      <c r="A836" s="2">
        <v>2784</v>
      </c>
      <c r="B836" s="7">
        <v>1.61</v>
      </c>
      <c r="C836" s="7">
        <v>0.24</v>
      </c>
      <c r="D836" s="7">
        <v>0.92</v>
      </c>
      <c r="E836" s="7">
        <v>0.15</v>
      </c>
      <c r="F836" s="7">
        <v>0.15</v>
      </c>
      <c r="G836" s="7">
        <v>0.22</v>
      </c>
      <c r="H836" s="7">
        <v>0.34</v>
      </c>
      <c r="I836" s="7">
        <v>0.38</v>
      </c>
      <c r="J836" s="7">
        <v>0.3</v>
      </c>
      <c r="K836" s="7">
        <v>1.72</v>
      </c>
      <c r="L836" s="7">
        <v>2.04</v>
      </c>
      <c r="M836" s="7">
        <v>0.67</v>
      </c>
      <c r="N836" s="7">
        <v>0.46</v>
      </c>
      <c r="O836" s="7">
        <v>0.81</v>
      </c>
      <c r="P836" s="7">
        <v>1.45</v>
      </c>
      <c r="Q836" s="7">
        <v>0.01</v>
      </c>
    </row>
    <row r="837" spans="1:17">
      <c r="A837" s="2">
        <v>2785</v>
      </c>
      <c r="B837" s="7">
        <v>1.61</v>
      </c>
      <c r="C837" s="7">
        <v>0.24</v>
      </c>
      <c r="D837" s="7">
        <v>0.92</v>
      </c>
      <c r="E837" s="7">
        <v>0.15</v>
      </c>
      <c r="F837" s="7">
        <v>0.15</v>
      </c>
      <c r="G837" s="7">
        <v>0.22</v>
      </c>
      <c r="H837" s="7">
        <v>0.34</v>
      </c>
      <c r="I837" s="7">
        <v>0.38</v>
      </c>
      <c r="J837" s="7">
        <v>0.3</v>
      </c>
      <c r="K837" s="7">
        <v>1.72</v>
      </c>
      <c r="L837" s="7">
        <v>2.04</v>
      </c>
      <c r="M837" s="7">
        <v>0.67</v>
      </c>
      <c r="N837" s="7">
        <v>0.46</v>
      </c>
      <c r="O837" s="7">
        <v>0.81</v>
      </c>
      <c r="P837" s="7">
        <v>1.45</v>
      </c>
      <c r="Q837" s="7">
        <v>0.01</v>
      </c>
    </row>
    <row r="838" spans="1:17">
      <c r="A838" s="2">
        <v>2786</v>
      </c>
      <c r="B838" s="7">
        <v>1.61</v>
      </c>
      <c r="C838" s="7">
        <v>0.24</v>
      </c>
      <c r="D838" s="7">
        <v>0.92</v>
      </c>
      <c r="E838" s="7">
        <v>0.15</v>
      </c>
      <c r="F838" s="7">
        <v>0.15</v>
      </c>
      <c r="G838" s="7">
        <v>0.22</v>
      </c>
      <c r="H838" s="7">
        <v>0.34</v>
      </c>
      <c r="I838" s="7">
        <v>0.38</v>
      </c>
      <c r="J838" s="7">
        <v>0.3</v>
      </c>
      <c r="K838" s="7">
        <v>1.72</v>
      </c>
      <c r="L838" s="7">
        <v>2.04</v>
      </c>
      <c r="M838" s="7">
        <v>0.67</v>
      </c>
      <c r="N838" s="7">
        <v>0.46</v>
      </c>
      <c r="O838" s="7">
        <v>0.81</v>
      </c>
      <c r="P838" s="7">
        <v>1.45</v>
      </c>
      <c r="Q838" s="7">
        <v>0.01</v>
      </c>
    </row>
    <row r="839" spans="1:17">
      <c r="A839" s="2">
        <v>2787</v>
      </c>
      <c r="B839" s="7">
        <v>1.61</v>
      </c>
      <c r="C839" s="7">
        <v>0.24</v>
      </c>
      <c r="D839" s="7">
        <v>0.92</v>
      </c>
      <c r="E839" s="7">
        <v>0.15</v>
      </c>
      <c r="F839" s="7">
        <v>0.15</v>
      </c>
      <c r="G839" s="7">
        <v>0.22</v>
      </c>
      <c r="H839" s="7">
        <v>0.34</v>
      </c>
      <c r="I839" s="7">
        <v>0.38</v>
      </c>
      <c r="J839" s="7">
        <v>0.3</v>
      </c>
      <c r="K839" s="7">
        <v>1.72</v>
      </c>
      <c r="L839" s="7">
        <v>2.04</v>
      </c>
      <c r="M839" s="7">
        <v>0.67</v>
      </c>
      <c r="N839" s="7">
        <v>0.46</v>
      </c>
      <c r="O839" s="7">
        <v>0.81</v>
      </c>
      <c r="P839" s="7">
        <v>1.45</v>
      </c>
      <c r="Q839" s="7">
        <v>0.01</v>
      </c>
    </row>
    <row r="840" spans="1:17">
      <c r="A840" s="2">
        <v>2788</v>
      </c>
      <c r="B840" s="7">
        <v>1.61</v>
      </c>
      <c r="C840" s="7">
        <v>0.24</v>
      </c>
      <c r="D840" s="7">
        <v>0.92</v>
      </c>
      <c r="E840" s="7">
        <v>0.15</v>
      </c>
      <c r="F840" s="7">
        <v>0.15</v>
      </c>
      <c r="G840" s="7">
        <v>0.22</v>
      </c>
      <c r="H840" s="7">
        <v>0.34</v>
      </c>
      <c r="I840" s="7">
        <v>0.38</v>
      </c>
      <c r="J840" s="7">
        <v>0.3</v>
      </c>
      <c r="K840" s="7">
        <v>1.72</v>
      </c>
      <c r="L840" s="7">
        <v>2.04</v>
      </c>
      <c r="M840" s="7">
        <v>0.67</v>
      </c>
      <c r="N840" s="7">
        <v>0.46</v>
      </c>
      <c r="O840" s="7">
        <v>0.81</v>
      </c>
      <c r="P840" s="7">
        <v>1.45</v>
      </c>
      <c r="Q840" s="7">
        <v>0.01</v>
      </c>
    </row>
    <row r="841" spans="1:17">
      <c r="A841" s="2">
        <v>2789</v>
      </c>
      <c r="B841" s="7">
        <v>1.61</v>
      </c>
      <c r="C841" s="7">
        <v>0.24</v>
      </c>
      <c r="D841" s="7">
        <v>0.92</v>
      </c>
      <c r="E841" s="7">
        <v>0.15</v>
      </c>
      <c r="F841" s="7">
        <v>0.15</v>
      </c>
      <c r="G841" s="7">
        <v>0.22</v>
      </c>
      <c r="H841" s="7">
        <v>0.34</v>
      </c>
      <c r="I841" s="7">
        <v>0.38</v>
      </c>
      <c r="J841" s="7">
        <v>0.3</v>
      </c>
      <c r="K841" s="7">
        <v>1.72</v>
      </c>
      <c r="L841" s="7">
        <v>2.04</v>
      </c>
      <c r="M841" s="7">
        <v>0.67</v>
      </c>
      <c r="N841" s="7">
        <v>0.46</v>
      </c>
      <c r="O841" s="7">
        <v>0.81</v>
      </c>
      <c r="P841" s="7">
        <v>1.45</v>
      </c>
      <c r="Q841" s="7">
        <v>0.01</v>
      </c>
    </row>
    <row r="842" spans="1:17">
      <c r="A842" s="2">
        <v>2790</v>
      </c>
      <c r="B842" s="7">
        <v>1.61</v>
      </c>
      <c r="C842" s="7">
        <v>0.24</v>
      </c>
      <c r="D842" s="7">
        <v>0.92</v>
      </c>
      <c r="E842" s="7">
        <v>0.15</v>
      </c>
      <c r="F842" s="7">
        <v>0.15</v>
      </c>
      <c r="G842" s="7">
        <v>0.22</v>
      </c>
      <c r="H842" s="7">
        <v>0.34</v>
      </c>
      <c r="I842" s="7">
        <v>0.38</v>
      </c>
      <c r="J842" s="7">
        <v>0.3</v>
      </c>
      <c r="K842" s="7">
        <v>1.72</v>
      </c>
      <c r="L842" s="7">
        <v>2.04</v>
      </c>
      <c r="M842" s="7">
        <v>0.67</v>
      </c>
      <c r="N842" s="7">
        <v>0.46</v>
      </c>
      <c r="O842" s="7">
        <v>0.81</v>
      </c>
      <c r="P842" s="7">
        <v>1.45</v>
      </c>
      <c r="Q842" s="7">
        <v>0.01</v>
      </c>
    </row>
    <row r="843" spans="1:17">
      <c r="A843" s="2">
        <v>2791</v>
      </c>
      <c r="B843" s="7">
        <v>1.61</v>
      </c>
      <c r="C843" s="7">
        <v>0.24</v>
      </c>
      <c r="D843" s="7">
        <v>0.92</v>
      </c>
      <c r="E843" s="7">
        <v>0.15</v>
      </c>
      <c r="F843" s="7">
        <v>0.15</v>
      </c>
      <c r="G843" s="7">
        <v>0.22</v>
      </c>
      <c r="H843" s="7">
        <v>0.34</v>
      </c>
      <c r="I843" s="7">
        <v>0.38</v>
      </c>
      <c r="J843" s="7">
        <v>0.3</v>
      </c>
      <c r="K843" s="7">
        <v>1.72</v>
      </c>
      <c r="L843" s="7">
        <v>2.04</v>
      </c>
      <c r="M843" s="7">
        <v>0.67</v>
      </c>
      <c r="N843" s="7">
        <v>0.46</v>
      </c>
      <c r="O843" s="7">
        <v>0.81</v>
      </c>
      <c r="P843" s="7">
        <v>1.45</v>
      </c>
      <c r="Q843" s="7">
        <v>0.01</v>
      </c>
    </row>
    <row r="844" spans="1:17">
      <c r="A844" s="2">
        <v>2792</v>
      </c>
      <c r="B844" s="7">
        <v>1.61</v>
      </c>
      <c r="C844" s="7">
        <v>0.24</v>
      </c>
      <c r="D844" s="7">
        <v>0.92</v>
      </c>
      <c r="E844" s="7">
        <v>0.15</v>
      </c>
      <c r="F844" s="7">
        <v>0.15</v>
      </c>
      <c r="G844" s="7">
        <v>0.22</v>
      </c>
      <c r="H844" s="7">
        <v>0.34</v>
      </c>
      <c r="I844" s="7">
        <v>0.38</v>
      </c>
      <c r="J844" s="7">
        <v>0.3</v>
      </c>
      <c r="K844" s="7">
        <v>1.72</v>
      </c>
      <c r="L844" s="7">
        <v>2.04</v>
      </c>
      <c r="M844" s="7">
        <v>0.67</v>
      </c>
      <c r="N844" s="7">
        <v>0.46</v>
      </c>
      <c r="O844" s="7">
        <v>0.81</v>
      </c>
      <c r="P844" s="7">
        <v>1.45</v>
      </c>
      <c r="Q844" s="7">
        <v>0.01</v>
      </c>
    </row>
    <row r="845" spans="1:17">
      <c r="A845" s="2">
        <v>2793</v>
      </c>
      <c r="B845" s="7">
        <v>1.61</v>
      </c>
      <c r="C845" s="7">
        <v>0.24</v>
      </c>
      <c r="D845" s="7">
        <v>0.92</v>
      </c>
      <c r="E845" s="7">
        <v>0.15</v>
      </c>
      <c r="F845" s="7">
        <v>0.15</v>
      </c>
      <c r="G845" s="7">
        <v>0.22</v>
      </c>
      <c r="H845" s="7">
        <v>0.34</v>
      </c>
      <c r="I845" s="7">
        <v>0.38</v>
      </c>
      <c r="J845" s="7">
        <v>0.3</v>
      </c>
      <c r="K845" s="7">
        <v>1.72</v>
      </c>
      <c r="L845" s="7">
        <v>2.04</v>
      </c>
      <c r="M845" s="7">
        <v>0.67</v>
      </c>
      <c r="N845" s="7">
        <v>0.46</v>
      </c>
      <c r="O845" s="7">
        <v>0.81</v>
      </c>
      <c r="P845" s="7">
        <v>1.45</v>
      </c>
      <c r="Q845" s="7">
        <v>0.01</v>
      </c>
    </row>
    <row r="846" spans="1:17">
      <c r="A846" s="2">
        <v>2794</v>
      </c>
      <c r="B846" s="7">
        <v>1.61</v>
      </c>
      <c r="C846" s="7">
        <v>0.24</v>
      </c>
      <c r="D846" s="7">
        <v>0.92</v>
      </c>
      <c r="E846" s="7">
        <v>0.15</v>
      </c>
      <c r="F846" s="7">
        <v>0.15</v>
      </c>
      <c r="G846" s="7">
        <v>0.22</v>
      </c>
      <c r="H846" s="7">
        <v>0.34</v>
      </c>
      <c r="I846" s="7">
        <v>0.38</v>
      </c>
      <c r="J846" s="7">
        <v>0.3</v>
      </c>
      <c r="K846" s="7">
        <v>1.72</v>
      </c>
      <c r="L846" s="7">
        <v>2.04</v>
      </c>
      <c r="M846" s="7">
        <v>0.67</v>
      </c>
      <c r="N846" s="7">
        <v>0.46</v>
      </c>
      <c r="O846" s="7">
        <v>0.81</v>
      </c>
      <c r="P846" s="7">
        <v>1.45</v>
      </c>
      <c r="Q846" s="7">
        <v>0.01</v>
      </c>
    </row>
    <row r="847" spans="1:17">
      <c r="A847" s="2">
        <v>2795</v>
      </c>
      <c r="B847" s="7">
        <v>1.61</v>
      </c>
      <c r="C847" s="7">
        <v>0.24</v>
      </c>
      <c r="D847" s="7">
        <v>0.92</v>
      </c>
      <c r="E847" s="7">
        <v>0.15</v>
      </c>
      <c r="F847" s="7">
        <v>0.15</v>
      </c>
      <c r="G847" s="7">
        <v>0.22</v>
      </c>
      <c r="H847" s="7">
        <v>0.34</v>
      </c>
      <c r="I847" s="7">
        <v>0.38</v>
      </c>
      <c r="J847" s="7">
        <v>0.3</v>
      </c>
      <c r="K847" s="7">
        <v>1.72</v>
      </c>
      <c r="L847" s="7">
        <v>2.04</v>
      </c>
      <c r="M847" s="7">
        <v>0.67</v>
      </c>
      <c r="N847" s="7">
        <v>0.46</v>
      </c>
      <c r="O847" s="7">
        <v>0.81</v>
      </c>
      <c r="P847" s="7">
        <v>1.45</v>
      </c>
      <c r="Q847" s="7">
        <v>0.01</v>
      </c>
    </row>
    <row r="848" spans="1:17">
      <c r="A848" s="2">
        <v>2796</v>
      </c>
      <c r="B848" s="7">
        <v>1.61</v>
      </c>
      <c r="C848" s="7">
        <v>0.24</v>
      </c>
      <c r="D848" s="7">
        <v>0.92</v>
      </c>
      <c r="E848" s="7">
        <v>0.15</v>
      </c>
      <c r="F848" s="7">
        <v>0.15</v>
      </c>
      <c r="G848" s="7">
        <v>0.22</v>
      </c>
      <c r="H848" s="7">
        <v>0.34</v>
      </c>
      <c r="I848" s="7">
        <v>0.38</v>
      </c>
      <c r="J848" s="7">
        <v>0.3</v>
      </c>
      <c r="K848" s="7">
        <v>1.72</v>
      </c>
      <c r="L848" s="7">
        <v>2.04</v>
      </c>
      <c r="M848" s="7">
        <v>0.67</v>
      </c>
      <c r="N848" s="7">
        <v>0.46</v>
      </c>
      <c r="O848" s="7">
        <v>0.81</v>
      </c>
      <c r="P848" s="7">
        <v>1.45</v>
      </c>
      <c r="Q848" s="7">
        <v>0.01</v>
      </c>
    </row>
    <row r="849" spans="1:17">
      <c r="A849" s="2">
        <v>2797</v>
      </c>
      <c r="B849" s="7">
        <v>1.61</v>
      </c>
      <c r="C849" s="7">
        <v>0.24</v>
      </c>
      <c r="D849" s="7">
        <v>0.92</v>
      </c>
      <c r="E849" s="7">
        <v>0.15</v>
      </c>
      <c r="F849" s="7">
        <v>0.15</v>
      </c>
      <c r="G849" s="7">
        <v>0.22</v>
      </c>
      <c r="H849" s="7">
        <v>0.34</v>
      </c>
      <c r="I849" s="7">
        <v>0.38</v>
      </c>
      <c r="J849" s="7">
        <v>0.3</v>
      </c>
      <c r="K849" s="7">
        <v>1.72</v>
      </c>
      <c r="L849" s="7">
        <v>2.04</v>
      </c>
      <c r="M849" s="7">
        <v>0.67</v>
      </c>
      <c r="N849" s="7">
        <v>0.46</v>
      </c>
      <c r="O849" s="7">
        <v>0.81</v>
      </c>
      <c r="P849" s="7">
        <v>1.45</v>
      </c>
      <c r="Q849" s="7">
        <v>0.01</v>
      </c>
    </row>
    <row r="850" spans="1:17">
      <c r="A850" s="2">
        <v>2798</v>
      </c>
      <c r="B850" s="7">
        <v>1.61</v>
      </c>
      <c r="C850" s="7">
        <v>0.24</v>
      </c>
      <c r="D850" s="7">
        <v>0.92</v>
      </c>
      <c r="E850" s="7">
        <v>0.15</v>
      </c>
      <c r="F850" s="7">
        <v>0.15</v>
      </c>
      <c r="G850" s="7">
        <v>0.22</v>
      </c>
      <c r="H850" s="7">
        <v>0.34</v>
      </c>
      <c r="I850" s="7">
        <v>0.38</v>
      </c>
      <c r="J850" s="7">
        <v>0.3</v>
      </c>
      <c r="K850" s="7">
        <v>1.72</v>
      </c>
      <c r="L850" s="7">
        <v>2.04</v>
      </c>
      <c r="M850" s="7">
        <v>0.67</v>
      </c>
      <c r="N850" s="7">
        <v>0.46</v>
      </c>
      <c r="O850" s="7">
        <v>0.81</v>
      </c>
      <c r="P850" s="7">
        <v>1.45</v>
      </c>
      <c r="Q850" s="7">
        <v>0.01</v>
      </c>
    </row>
    <row r="851" spans="1:17">
      <c r="A851" s="2">
        <v>2799</v>
      </c>
      <c r="B851" s="7">
        <v>1.61</v>
      </c>
      <c r="C851" s="7">
        <v>0.24</v>
      </c>
      <c r="D851" s="7">
        <v>0.92</v>
      </c>
      <c r="E851" s="7">
        <v>0.15</v>
      </c>
      <c r="F851" s="7">
        <v>0.15</v>
      </c>
      <c r="G851" s="7">
        <v>0.22</v>
      </c>
      <c r="H851" s="7">
        <v>0.34</v>
      </c>
      <c r="I851" s="7">
        <v>0.38</v>
      </c>
      <c r="J851" s="7">
        <v>0.3</v>
      </c>
      <c r="K851" s="7">
        <v>1.72</v>
      </c>
      <c r="L851" s="7">
        <v>2.04</v>
      </c>
      <c r="M851" s="7">
        <v>0.67</v>
      </c>
      <c r="N851" s="7">
        <v>0.46</v>
      </c>
      <c r="O851" s="7">
        <v>0.81</v>
      </c>
      <c r="P851" s="7">
        <v>1.45</v>
      </c>
      <c r="Q851" s="7">
        <v>0.01</v>
      </c>
    </row>
    <row r="852" spans="1:17">
      <c r="A852" s="2">
        <v>2800</v>
      </c>
      <c r="B852" s="7">
        <v>1.61</v>
      </c>
      <c r="C852" s="7">
        <v>0.24</v>
      </c>
      <c r="D852" s="7">
        <v>0.92</v>
      </c>
      <c r="E852" s="7">
        <v>0.15</v>
      </c>
      <c r="F852" s="7">
        <v>0.15</v>
      </c>
      <c r="G852" s="7">
        <v>0.22</v>
      </c>
      <c r="H852" s="7">
        <v>0.34</v>
      </c>
      <c r="I852" s="7">
        <v>0.38</v>
      </c>
      <c r="J852" s="7">
        <v>0.3</v>
      </c>
      <c r="K852" s="7">
        <v>1.72</v>
      </c>
      <c r="L852" s="7">
        <v>2.04</v>
      </c>
      <c r="M852" s="7">
        <v>0.67</v>
      </c>
      <c r="N852" s="7">
        <v>0.46</v>
      </c>
      <c r="O852" s="7">
        <v>0.81</v>
      </c>
      <c r="P852" s="7">
        <v>1.45</v>
      </c>
      <c r="Q852" s="7">
        <v>0.01</v>
      </c>
    </row>
    <row r="853" spans="1:17">
      <c r="A853" s="2">
        <v>2801</v>
      </c>
      <c r="B853" s="7">
        <v>1.61</v>
      </c>
      <c r="C853" s="7">
        <v>0.24</v>
      </c>
      <c r="D853" s="7">
        <v>0.92</v>
      </c>
      <c r="E853" s="7">
        <v>0.15</v>
      </c>
      <c r="F853" s="7">
        <v>0.15</v>
      </c>
      <c r="G853" s="7">
        <v>0.22</v>
      </c>
      <c r="H853" s="7">
        <v>0.34</v>
      </c>
      <c r="I853" s="7">
        <v>0.38</v>
      </c>
      <c r="J853" s="7">
        <v>0.3</v>
      </c>
      <c r="K853" s="7">
        <v>1.72</v>
      </c>
      <c r="L853" s="7">
        <v>2.04</v>
      </c>
      <c r="M853" s="7">
        <v>0.67</v>
      </c>
      <c r="N853" s="7">
        <v>0.46</v>
      </c>
      <c r="O853" s="7">
        <v>0.81</v>
      </c>
      <c r="P853" s="7">
        <v>1.45</v>
      </c>
      <c r="Q853" s="7">
        <v>0.01</v>
      </c>
    </row>
    <row r="854" spans="1:17">
      <c r="A854" s="2">
        <v>2802</v>
      </c>
      <c r="B854" s="7">
        <v>1.61</v>
      </c>
      <c r="C854" s="7">
        <v>0.24</v>
      </c>
      <c r="D854" s="7">
        <v>0.92</v>
      </c>
      <c r="E854" s="7">
        <v>0.15</v>
      </c>
      <c r="F854" s="7">
        <v>0.15</v>
      </c>
      <c r="G854" s="7">
        <v>0.22</v>
      </c>
      <c r="H854" s="7">
        <v>0.34</v>
      </c>
      <c r="I854" s="7">
        <v>0.38</v>
      </c>
      <c r="J854" s="7">
        <v>0.3</v>
      </c>
      <c r="K854" s="7">
        <v>1.72</v>
      </c>
      <c r="L854" s="7">
        <v>2.04</v>
      </c>
      <c r="M854" s="7">
        <v>0.67</v>
      </c>
      <c r="N854" s="7">
        <v>0.46</v>
      </c>
      <c r="O854" s="7">
        <v>0.81</v>
      </c>
      <c r="P854" s="7">
        <v>1.45</v>
      </c>
      <c r="Q854" s="7">
        <v>0.01</v>
      </c>
    </row>
    <row r="855" spans="1:17">
      <c r="A855" s="2">
        <v>2803</v>
      </c>
      <c r="B855" s="7">
        <v>1.61</v>
      </c>
      <c r="C855" s="7">
        <v>0.24</v>
      </c>
      <c r="D855" s="7">
        <v>0.92</v>
      </c>
      <c r="E855" s="7">
        <v>0.15</v>
      </c>
      <c r="F855" s="7">
        <v>0.15</v>
      </c>
      <c r="G855" s="7">
        <v>0.22</v>
      </c>
      <c r="H855" s="7">
        <v>0.34</v>
      </c>
      <c r="I855" s="7">
        <v>0.38</v>
      </c>
      <c r="J855" s="7">
        <v>0.3</v>
      </c>
      <c r="K855" s="7">
        <v>1.72</v>
      </c>
      <c r="L855" s="7">
        <v>2.04</v>
      </c>
      <c r="M855" s="7">
        <v>0.67</v>
      </c>
      <c r="N855" s="7">
        <v>0.46</v>
      </c>
      <c r="O855" s="7">
        <v>0.81</v>
      </c>
      <c r="P855" s="7">
        <v>1.45</v>
      </c>
      <c r="Q855" s="7">
        <v>0.01</v>
      </c>
    </row>
    <row r="856" spans="1:17">
      <c r="A856" s="2">
        <v>2804</v>
      </c>
      <c r="B856" s="7">
        <v>1.61</v>
      </c>
      <c r="C856" s="7">
        <v>0.24</v>
      </c>
      <c r="D856" s="7">
        <v>0.92</v>
      </c>
      <c r="E856" s="7">
        <v>0.15</v>
      </c>
      <c r="F856" s="7">
        <v>0.15</v>
      </c>
      <c r="G856" s="7">
        <v>0.22</v>
      </c>
      <c r="H856" s="7">
        <v>0.34</v>
      </c>
      <c r="I856" s="7">
        <v>0.38</v>
      </c>
      <c r="J856" s="7">
        <v>0.3</v>
      </c>
      <c r="K856" s="7">
        <v>1.72</v>
      </c>
      <c r="L856" s="7">
        <v>2.04</v>
      </c>
      <c r="M856" s="7">
        <v>0.67</v>
      </c>
      <c r="N856" s="7">
        <v>0.46</v>
      </c>
      <c r="O856" s="7">
        <v>0.81</v>
      </c>
      <c r="P856" s="7">
        <v>1.45</v>
      </c>
      <c r="Q856" s="7">
        <v>0.01</v>
      </c>
    </row>
    <row r="857" spans="1:17">
      <c r="A857" s="2">
        <v>2805</v>
      </c>
      <c r="B857" s="7">
        <v>1.61</v>
      </c>
      <c r="C857" s="7">
        <v>0.24</v>
      </c>
      <c r="D857" s="7">
        <v>0.92</v>
      </c>
      <c r="E857" s="7">
        <v>0.15</v>
      </c>
      <c r="F857" s="7">
        <v>0.15</v>
      </c>
      <c r="G857" s="7">
        <v>0.22</v>
      </c>
      <c r="H857" s="7">
        <v>0.34</v>
      </c>
      <c r="I857" s="7">
        <v>0.38</v>
      </c>
      <c r="J857" s="7">
        <v>0.3</v>
      </c>
      <c r="K857" s="7">
        <v>1.72</v>
      </c>
      <c r="L857" s="7">
        <v>2.04</v>
      </c>
      <c r="M857" s="7">
        <v>0.67</v>
      </c>
      <c r="N857" s="7">
        <v>0.46</v>
      </c>
      <c r="O857" s="7">
        <v>0.81</v>
      </c>
      <c r="P857" s="7">
        <v>1.45</v>
      </c>
      <c r="Q857" s="7">
        <v>0.01</v>
      </c>
    </row>
    <row r="858" spans="1:17">
      <c r="A858" s="2">
        <v>2806</v>
      </c>
      <c r="B858" s="7">
        <v>1.61</v>
      </c>
      <c r="C858" s="7">
        <v>0.24</v>
      </c>
      <c r="D858" s="7">
        <v>0.92</v>
      </c>
      <c r="E858" s="7">
        <v>0.15</v>
      </c>
      <c r="F858" s="7">
        <v>0.15</v>
      </c>
      <c r="G858" s="7">
        <v>0.22</v>
      </c>
      <c r="H858" s="7">
        <v>0.34</v>
      </c>
      <c r="I858" s="7">
        <v>0.38</v>
      </c>
      <c r="J858" s="7">
        <v>0.3</v>
      </c>
      <c r="K858" s="7">
        <v>1.72</v>
      </c>
      <c r="L858" s="7">
        <v>2.04</v>
      </c>
      <c r="M858" s="7">
        <v>0.67</v>
      </c>
      <c r="N858" s="7">
        <v>0.46</v>
      </c>
      <c r="O858" s="7">
        <v>0.81</v>
      </c>
      <c r="P858" s="7">
        <v>1.45</v>
      </c>
      <c r="Q858" s="7">
        <v>0.01</v>
      </c>
    </row>
    <row r="859" spans="1:17">
      <c r="A859" s="2">
        <v>2807</v>
      </c>
      <c r="B859" s="7">
        <v>1.61</v>
      </c>
      <c r="C859" s="7">
        <v>0.24</v>
      </c>
      <c r="D859" s="7">
        <v>0.92</v>
      </c>
      <c r="E859" s="7">
        <v>0.15</v>
      </c>
      <c r="F859" s="7">
        <v>0.15</v>
      </c>
      <c r="G859" s="7">
        <v>0.22</v>
      </c>
      <c r="H859" s="7">
        <v>0.34</v>
      </c>
      <c r="I859" s="7">
        <v>0.38</v>
      </c>
      <c r="J859" s="7">
        <v>0.3</v>
      </c>
      <c r="K859" s="7">
        <v>1.72</v>
      </c>
      <c r="L859" s="7">
        <v>2.04</v>
      </c>
      <c r="M859" s="7">
        <v>0.67</v>
      </c>
      <c r="N859" s="7">
        <v>0.46</v>
      </c>
      <c r="O859" s="7">
        <v>0.81</v>
      </c>
      <c r="P859" s="7">
        <v>1.45</v>
      </c>
      <c r="Q859" s="7">
        <v>0.01</v>
      </c>
    </row>
    <row r="860" spans="1:17">
      <c r="A860" s="2">
        <v>2808</v>
      </c>
      <c r="B860" s="7">
        <v>1.61</v>
      </c>
      <c r="C860" s="7">
        <v>0.24</v>
      </c>
      <c r="D860" s="7">
        <v>0.92</v>
      </c>
      <c r="E860" s="7">
        <v>0.15</v>
      </c>
      <c r="F860" s="7">
        <v>0.15</v>
      </c>
      <c r="G860" s="7">
        <v>0.22</v>
      </c>
      <c r="H860" s="7">
        <v>0.34</v>
      </c>
      <c r="I860" s="7">
        <v>0.38</v>
      </c>
      <c r="J860" s="7">
        <v>0.3</v>
      </c>
      <c r="K860" s="7">
        <v>1.72</v>
      </c>
      <c r="L860" s="7">
        <v>2.04</v>
      </c>
      <c r="M860" s="7">
        <v>0.67</v>
      </c>
      <c r="N860" s="7">
        <v>0.46</v>
      </c>
      <c r="O860" s="7">
        <v>0.81</v>
      </c>
      <c r="P860" s="7">
        <v>1.45</v>
      </c>
      <c r="Q860" s="7">
        <v>0.01</v>
      </c>
    </row>
    <row r="861" spans="1:17">
      <c r="A861" s="2">
        <v>2809</v>
      </c>
      <c r="B861" s="7">
        <v>1.61</v>
      </c>
      <c r="C861" s="7">
        <v>0.24</v>
      </c>
      <c r="D861" s="7">
        <v>0.92</v>
      </c>
      <c r="E861" s="7">
        <v>0.15</v>
      </c>
      <c r="F861" s="7">
        <v>0.15</v>
      </c>
      <c r="G861" s="7">
        <v>0.22</v>
      </c>
      <c r="H861" s="7">
        <v>0.34</v>
      </c>
      <c r="I861" s="7">
        <v>0.38</v>
      </c>
      <c r="J861" s="7">
        <v>0.3</v>
      </c>
      <c r="K861" s="7">
        <v>1.72</v>
      </c>
      <c r="L861" s="7">
        <v>2.04</v>
      </c>
      <c r="M861" s="7">
        <v>0.67</v>
      </c>
      <c r="N861" s="7">
        <v>0.46</v>
      </c>
      <c r="O861" s="7">
        <v>0.81</v>
      </c>
      <c r="P861" s="7">
        <v>1.45</v>
      </c>
      <c r="Q861" s="7">
        <v>0.01</v>
      </c>
    </row>
    <row r="862" spans="1:17">
      <c r="A862" s="2">
        <v>2810</v>
      </c>
      <c r="B862" s="7">
        <v>1.61</v>
      </c>
      <c r="C862" s="7">
        <v>0.24</v>
      </c>
      <c r="D862" s="7">
        <v>0.92</v>
      </c>
      <c r="E862" s="7">
        <v>0.15</v>
      </c>
      <c r="F862" s="7">
        <v>0.15</v>
      </c>
      <c r="G862" s="7">
        <v>0.22</v>
      </c>
      <c r="H862" s="7">
        <v>0.34</v>
      </c>
      <c r="I862" s="7">
        <v>0.38</v>
      </c>
      <c r="J862" s="7">
        <v>0.3</v>
      </c>
      <c r="K862" s="7">
        <v>1.72</v>
      </c>
      <c r="L862" s="7">
        <v>2.04</v>
      </c>
      <c r="M862" s="7">
        <v>0.67</v>
      </c>
      <c r="N862" s="7">
        <v>0.46</v>
      </c>
      <c r="O862" s="7">
        <v>0.81</v>
      </c>
      <c r="P862" s="7">
        <v>1.45</v>
      </c>
      <c r="Q862" s="7">
        <v>0.01</v>
      </c>
    </row>
    <row r="863" spans="1:17">
      <c r="A863" s="2">
        <v>2811</v>
      </c>
      <c r="B863" s="7">
        <v>1.61</v>
      </c>
      <c r="C863" s="7">
        <v>0.24</v>
      </c>
      <c r="D863" s="7">
        <v>0.92</v>
      </c>
      <c r="E863" s="7">
        <v>0.15</v>
      </c>
      <c r="F863" s="7">
        <v>0.15</v>
      </c>
      <c r="G863" s="7">
        <v>0.22</v>
      </c>
      <c r="H863" s="7">
        <v>0.34</v>
      </c>
      <c r="I863" s="7">
        <v>0.38</v>
      </c>
      <c r="J863" s="7">
        <v>0.3</v>
      </c>
      <c r="K863" s="7">
        <v>1.72</v>
      </c>
      <c r="L863" s="7">
        <v>2.04</v>
      </c>
      <c r="M863" s="7">
        <v>0.67</v>
      </c>
      <c r="N863" s="7">
        <v>0.46</v>
      </c>
      <c r="O863" s="7">
        <v>0.81</v>
      </c>
      <c r="P863" s="7">
        <v>1.45</v>
      </c>
      <c r="Q863" s="7">
        <v>0.01</v>
      </c>
    </row>
    <row r="864" spans="1:17">
      <c r="A864" s="2">
        <v>2812</v>
      </c>
      <c r="B864" s="7">
        <v>1.61</v>
      </c>
      <c r="C864" s="7">
        <v>0.24</v>
      </c>
      <c r="D864" s="7">
        <v>0.92</v>
      </c>
      <c r="E864" s="7">
        <v>0.15</v>
      </c>
      <c r="F864" s="7">
        <v>0.15</v>
      </c>
      <c r="G864" s="7">
        <v>0.22</v>
      </c>
      <c r="H864" s="7">
        <v>0.34</v>
      </c>
      <c r="I864" s="7">
        <v>0.38</v>
      </c>
      <c r="J864" s="7">
        <v>0.3</v>
      </c>
      <c r="K864" s="7">
        <v>1.72</v>
      </c>
      <c r="L864" s="7">
        <v>2.04</v>
      </c>
      <c r="M864" s="7">
        <v>0.67</v>
      </c>
      <c r="N864" s="7">
        <v>0.46</v>
      </c>
      <c r="O864" s="7">
        <v>0.81</v>
      </c>
      <c r="P864" s="7">
        <v>1.45</v>
      </c>
      <c r="Q864" s="7">
        <v>0.01</v>
      </c>
    </row>
    <row r="865" spans="1:17">
      <c r="A865" s="2">
        <v>2813</v>
      </c>
      <c r="B865" s="7">
        <v>1.61</v>
      </c>
      <c r="C865" s="7">
        <v>0.24</v>
      </c>
      <c r="D865" s="7">
        <v>0.92</v>
      </c>
      <c r="E865" s="7">
        <v>0.15</v>
      </c>
      <c r="F865" s="7">
        <v>0.15</v>
      </c>
      <c r="G865" s="7">
        <v>0.22</v>
      </c>
      <c r="H865" s="7">
        <v>0.34</v>
      </c>
      <c r="I865" s="7">
        <v>0.38</v>
      </c>
      <c r="J865" s="7">
        <v>0.3</v>
      </c>
      <c r="K865" s="7">
        <v>1.72</v>
      </c>
      <c r="L865" s="7">
        <v>2.04</v>
      </c>
      <c r="M865" s="7">
        <v>0.67</v>
      </c>
      <c r="N865" s="7">
        <v>0.46</v>
      </c>
      <c r="O865" s="7">
        <v>0.81</v>
      </c>
      <c r="P865" s="7">
        <v>1.45</v>
      </c>
      <c r="Q865" s="7">
        <v>0.01</v>
      </c>
    </row>
    <row r="866" spans="1:17">
      <c r="A866" s="2">
        <v>2814</v>
      </c>
      <c r="B866" s="7">
        <v>1.61</v>
      </c>
      <c r="C866" s="7">
        <v>0.24</v>
      </c>
      <c r="D866" s="7">
        <v>0.92</v>
      </c>
      <c r="E866" s="7">
        <v>0.15</v>
      </c>
      <c r="F866" s="7">
        <v>0.15</v>
      </c>
      <c r="G866" s="7">
        <v>0.22</v>
      </c>
      <c r="H866" s="7">
        <v>0.34</v>
      </c>
      <c r="I866" s="7">
        <v>0.38</v>
      </c>
      <c r="J866" s="7">
        <v>0.3</v>
      </c>
      <c r="K866" s="7">
        <v>1.72</v>
      </c>
      <c r="L866" s="7">
        <v>2.04</v>
      </c>
      <c r="M866" s="7">
        <v>0.67</v>
      </c>
      <c r="N866" s="7">
        <v>0.46</v>
      </c>
      <c r="O866" s="7">
        <v>0.81</v>
      </c>
      <c r="P866" s="7">
        <v>1.45</v>
      </c>
      <c r="Q866" s="7">
        <v>0.01</v>
      </c>
    </row>
    <row r="867" spans="1:17">
      <c r="A867" s="2">
        <v>2815</v>
      </c>
      <c r="B867" s="7">
        <v>1.61</v>
      </c>
      <c r="C867" s="7">
        <v>0.24</v>
      </c>
      <c r="D867" s="7">
        <v>0.92</v>
      </c>
      <c r="E867" s="7">
        <v>0.15</v>
      </c>
      <c r="F867" s="7">
        <v>0.15</v>
      </c>
      <c r="G867" s="7">
        <v>0.22</v>
      </c>
      <c r="H867" s="7">
        <v>0.34</v>
      </c>
      <c r="I867" s="7">
        <v>0.38</v>
      </c>
      <c r="J867" s="7">
        <v>0.3</v>
      </c>
      <c r="K867" s="7">
        <v>1.72</v>
      </c>
      <c r="L867" s="7">
        <v>2.04</v>
      </c>
      <c r="M867" s="7">
        <v>0.67</v>
      </c>
      <c r="N867" s="7">
        <v>0.46</v>
      </c>
      <c r="O867" s="7">
        <v>0.81</v>
      </c>
      <c r="P867" s="7">
        <v>1.45</v>
      </c>
      <c r="Q867" s="7">
        <v>0.01</v>
      </c>
    </row>
    <row r="868" spans="1:17">
      <c r="A868" s="2">
        <v>2816</v>
      </c>
      <c r="B868" s="7">
        <v>1.61</v>
      </c>
      <c r="C868" s="7">
        <v>0.24</v>
      </c>
      <c r="D868" s="7">
        <v>0.92</v>
      </c>
      <c r="E868" s="7">
        <v>0.15</v>
      </c>
      <c r="F868" s="7">
        <v>0.15</v>
      </c>
      <c r="G868" s="7">
        <v>0.22</v>
      </c>
      <c r="H868" s="7">
        <v>0.34</v>
      </c>
      <c r="I868" s="7">
        <v>0.38</v>
      </c>
      <c r="J868" s="7">
        <v>0.3</v>
      </c>
      <c r="K868" s="7">
        <v>1.72</v>
      </c>
      <c r="L868" s="7">
        <v>2.04</v>
      </c>
      <c r="M868" s="7">
        <v>0.67</v>
      </c>
      <c r="N868" s="7">
        <v>0.46</v>
      </c>
      <c r="O868" s="7">
        <v>0.81</v>
      </c>
      <c r="P868" s="7">
        <v>1.45</v>
      </c>
      <c r="Q868" s="7">
        <v>0.01</v>
      </c>
    </row>
    <row r="869" spans="1:17">
      <c r="A869" s="2">
        <v>2817</v>
      </c>
      <c r="B869" s="7">
        <v>1.61</v>
      </c>
      <c r="C869" s="7">
        <v>0.24</v>
      </c>
      <c r="D869" s="7">
        <v>0.92</v>
      </c>
      <c r="E869" s="7">
        <v>0.15</v>
      </c>
      <c r="F869" s="7">
        <v>0.15</v>
      </c>
      <c r="G869" s="7">
        <v>0.22</v>
      </c>
      <c r="H869" s="7">
        <v>0.34</v>
      </c>
      <c r="I869" s="7">
        <v>0.38</v>
      </c>
      <c r="J869" s="7">
        <v>0.3</v>
      </c>
      <c r="K869" s="7">
        <v>1.72</v>
      </c>
      <c r="L869" s="7">
        <v>2.04</v>
      </c>
      <c r="M869" s="7">
        <v>0.67</v>
      </c>
      <c r="N869" s="7">
        <v>0.46</v>
      </c>
      <c r="O869" s="7">
        <v>0.81</v>
      </c>
      <c r="P869" s="7">
        <v>1.45</v>
      </c>
      <c r="Q869" s="7">
        <v>0.01</v>
      </c>
    </row>
    <row r="870" spans="1:17">
      <c r="A870" s="2">
        <v>2818</v>
      </c>
      <c r="B870" s="7">
        <v>1.61</v>
      </c>
      <c r="C870" s="7">
        <v>0.24</v>
      </c>
      <c r="D870" s="7">
        <v>0.92</v>
      </c>
      <c r="E870" s="7">
        <v>0.15</v>
      </c>
      <c r="F870" s="7">
        <v>0.15</v>
      </c>
      <c r="G870" s="7">
        <v>0.22</v>
      </c>
      <c r="H870" s="7">
        <v>0.34</v>
      </c>
      <c r="I870" s="7">
        <v>0.38</v>
      </c>
      <c r="J870" s="7">
        <v>0.3</v>
      </c>
      <c r="K870" s="7">
        <v>1.72</v>
      </c>
      <c r="L870" s="7">
        <v>2.04</v>
      </c>
      <c r="M870" s="7">
        <v>0.67</v>
      </c>
      <c r="N870" s="7">
        <v>0.46</v>
      </c>
      <c r="O870" s="7">
        <v>0.81</v>
      </c>
      <c r="P870" s="7">
        <v>1.45</v>
      </c>
      <c r="Q870" s="7">
        <v>0.01</v>
      </c>
    </row>
    <row r="871" spans="1:17">
      <c r="A871" s="2">
        <v>2819</v>
      </c>
      <c r="B871" s="7">
        <v>1.61</v>
      </c>
      <c r="C871" s="7">
        <v>0.24</v>
      </c>
      <c r="D871" s="7">
        <v>0.92</v>
      </c>
      <c r="E871" s="7">
        <v>0.15</v>
      </c>
      <c r="F871" s="7">
        <v>0.15</v>
      </c>
      <c r="G871" s="7">
        <v>0.22</v>
      </c>
      <c r="H871" s="7">
        <v>0.34</v>
      </c>
      <c r="I871" s="7">
        <v>0.38</v>
      </c>
      <c r="J871" s="7">
        <v>0.3</v>
      </c>
      <c r="K871" s="7">
        <v>1.72</v>
      </c>
      <c r="L871" s="7">
        <v>2.04</v>
      </c>
      <c r="M871" s="7">
        <v>0.67</v>
      </c>
      <c r="N871" s="7">
        <v>0.46</v>
      </c>
      <c r="O871" s="7">
        <v>0.81</v>
      </c>
      <c r="P871" s="7">
        <v>1.45</v>
      </c>
      <c r="Q871" s="7">
        <v>0.01</v>
      </c>
    </row>
    <row r="872" spans="1:17">
      <c r="A872" s="2">
        <v>2820</v>
      </c>
      <c r="B872" s="7">
        <v>1.61</v>
      </c>
      <c r="C872" s="7">
        <v>0.24</v>
      </c>
      <c r="D872" s="7">
        <v>0.92</v>
      </c>
      <c r="E872" s="7">
        <v>0.15</v>
      </c>
      <c r="F872" s="7">
        <v>0.15</v>
      </c>
      <c r="G872" s="7">
        <v>0.22</v>
      </c>
      <c r="H872" s="7">
        <v>0.34</v>
      </c>
      <c r="I872" s="7">
        <v>0.38</v>
      </c>
      <c r="J872" s="7">
        <v>0.3</v>
      </c>
      <c r="K872" s="7">
        <v>1.72</v>
      </c>
      <c r="L872" s="7">
        <v>2.04</v>
      </c>
      <c r="M872" s="7">
        <v>0.67</v>
      </c>
      <c r="N872" s="7">
        <v>0.46</v>
      </c>
      <c r="O872" s="7">
        <v>0.81</v>
      </c>
      <c r="P872" s="7">
        <v>1.45</v>
      </c>
      <c r="Q872" s="7">
        <v>0.01</v>
      </c>
    </row>
    <row r="873" spans="1:17">
      <c r="A873" s="2">
        <v>2821</v>
      </c>
      <c r="B873" s="7">
        <v>1.61</v>
      </c>
      <c r="C873" s="7">
        <v>0.24</v>
      </c>
      <c r="D873" s="7">
        <v>0.92</v>
      </c>
      <c r="E873" s="7">
        <v>0.15</v>
      </c>
      <c r="F873" s="7">
        <v>0.15</v>
      </c>
      <c r="G873" s="7">
        <v>0.22</v>
      </c>
      <c r="H873" s="7">
        <v>0.34</v>
      </c>
      <c r="I873" s="7">
        <v>0.38</v>
      </c>
      <c r="J873" s="7">
        <v>0.3</v>
      </c>
      <c r="K873" s="7">
        <v>1.72</v>
      </c>
      <c r="L873" s="7">
        <v>2.04</v>
      </c>
      <c r="M873" s="7">
        <v>0.67</v>
      </c>
      <c r="N873" s="7">
        <v>0.46</v>
      </c>
      <c r="O873" s="7">
        <v>0.81</v>
      </c>
      <c r="P873" s="7">
        <v>1.45</v>
      </c>
      <c r="Q873" s="7">
        <v>0.01</v>
      </c>
    </row>
    <row r="874" spans="1:17">
      <c r="A874" s="2">
        <v>2822</v>
      </c>
      <c r="B874" s="7">
        <v>1.61</v>
      </c>
      <c r="C874" s="7">
        <v>0.24</v>
      </c>
      <c r="D874" s="7">
        <v>0.92</v>
      </c>
      <c r="E874" s="7">
        <v>0.15</v>
      </c>
      <c r="F874" s="7">
        <v>0.15</v>
      </c>
      <c r="G874" s="7">
        <v>0.22</v>
      </c>
      <c r="H874" s="7">
        <v>0.34</v>
      </c>
      <c r="I874" s="7">
        <v>0.38</v>
      </c>
      <c r="J874" s="7">
        <v>0.3</v>
      </c>
      <c r="K874" s="7">
        <v>1.72</v>
      </c>
      <c r="L874" s="7">
        <v>2.04</v>
      </c>
      <c r="M874" s="7">
        <v>0.67</v>
      </c>
      <c r="N874" s="7">
        <v>0.46</v>
      </c>
      <c r="O874" s="7">
        <v>0.81</v>
      </c>
      <c r="P874" s="7">
        <v>1.45</v>
      </c>
      <c r="Q874" s="7">
        <v>0.01</v>
      </c>
    </row>
    <row r="875" spans="1:17">
      <c r="A875" s="2">
        <v>2823</v>
      </c>
      <c r="B875" s="7">
        <v>1.61</v>
      </c>
      <c r="C875" s="7">
        <v>0.24</v>
      </c>
      <c r="D875" s="7">
        <v>0.92</v>
      </c>
      <c r="E875" s="7">
        <v>0.15</v>
      </c>
      <c r="F875" s="7">
        <v>0.15</v>
      </c>
      <c r="G875" s="7">
        <v>0.22</v>
      </c>
      <c r="H875" s="7">
        <v>0.34</v>
      </c>
      <c r="I875" s="7">
        <v>0.38</v>
      </c>
      <c r="J875" s="7">
        <v>0.3</v>
      </c>
      <c r="K875" s="7">
        <v>1.72</v>
      </c>
      <c r="L875" s="7">
        <v>2.04</v>
      </c>
      <c r="M875" s="7">
        <v>0.67</v>
      </c>
      <c r="N875" s="7">
        <v>0.46</v>
      </c>
      <c r="O875" s="7">
        <v>0.81</v>
      </c>
      <c r="P875" s="7">
        <v>1.45</v>
      </c>
      <c r="Q875" s="7">
        <v>0.01</v>
      </c>
    </row>
    <row r="876" spans="1:17">
      <c r="A876" s="2">
        <v>2824</v>
      </c>
      <c r="B876" s="7">
        <v>1.61</v>
      </c>
      <c r="C876" s="7">
        <v>0.24</v>
      </c>
      <c r="D876" s="7">
        <v>0.92</v>
      </c>
      <c r="E876" s="7">
        <v>0.15</v>
      </c>
      <c r="F876" s="7">
        <v>0.15</v>
      </c>
      <c r="G876" s="7">
        <v>0.22</v>
      </c>
      <c r="H876" s="7">
        <v>0.34</v>
      </c>
      <c r="I876" s="7">
        <v>0.38</v>
      </c>
      <c r="J876" s="7">
        <v>0.3</v>
      </c>
      <c r="K876" s="7">
        <v>1.72</v>
      </c>
      <c r="L876" s="7">
        <v>2.04</v>
      </c>
      <c r="M876" s="7">
        <v>0.67</v>
      </c>
      <c r="N876" s="7">
        <v>0.46</v>
      </c>
      <c r="O876" s="7">
        <v>0.81</v>
      </c>
      <c r="P876" s="7">
        <v>1.45</v>
      </c>
      <c r="Q876" s="7">
        <v>0.01</v>
      </c>
    </row>
    <row r="877" spans="1:17">
      <c r="A877" s="2">
        <v>2825</v>
      </c>
      <c r="B877" s="7">
        <v>1.61</v>
      </c>
      <c r="C877" s="7">
        <v>0.24</v>
      </c>
      <c r="D877" s="7">
        <v>0.92</v>
      </c>
      <c r="E877" s="7">
        <v>0.15</v>
      </c>
      <c r="F877" s="7">
        <v>0.15</v>
      </c>
      <c r="G877" s="7">
        <v>0.22</v>
      </c>
      <c r="H877" s="7">
        <v>0.34</v>
      </c>
      <c r="I877" s="7">
        <v>0.38</v>
      </c>
      <c r="J877" s="7">
        <v>0.3</v>
      </c>
      <c r="K877" s="7">
        <v>1.72</v>
      </c>
      <c r="L877" s="7">
        <v>2.04</v>
      </c>
      <c r="M877" s="7">
        <v>0.67</v>
      </c>
      <c r="N877" s="7">
        <v>0.46</v>
      </c>
      <c r="O877" s="7">
        <v>0.81</v>
      </c>
      <c r="P877" s="7">
        <v>1.45</v>
      </c>
      <c r="Q877" s="7">
        <v>0.01</v>
      </c>
    </row>
    <row r="878" spans="1:17">
      <c r="A878" s="2">
        <v>2826</v>
      </c>
      <c r="B878" s="7">
        <v>1.61</v>
      </c>
      <c r="C878" s="7">
        <v>0.24</v>
      </c>
      <c r="D878" s="7">
        <v>0.92</v>
      </c>
      <c r="E878" s="7">
        <v>0.15</v>
      </c>
      <c r="F878" s="7">
        <v>0.15</v>
      </c>
      <c r="G878" s="7">
        <v>0.22</v>
      </c>
      <c r="H878" s="7">
        <v>0.34</v>
      </c>
      <c r="I878" s="7">
        <v>0.38</v>
      </c>
      <c r="J878" s="7">
        <v>0.3</v>
      </c>
      <c r="K878" s="7">
        <v>1.72</v>
      </c>
      <c r="L878" s="7">
        <v>2.04</v>
      </c>
      <c r="M878" s="7">
        <v>0.67</v>
      </c>
      <c r="N878" s="7">
        <v>0.46</v>
      </c>
      <c r="O878" s="7">
        <v>0.81</v>
      </c>
      <c r="P878" s="7">
        <v>1.45</v>
      </c>
      <c r="Q878" s="7">
        <v>0.01</v>
      </c>
    </row>
    <row r="879" spans="1:17">
      <c r="A879" s="2">
        <v>2827</v>
      </c>
      <c r="B879" s="7">
        <v>1.61</v>
      </c>
      <c r="C879" s="7">
        <v>0.24</v>
      </c>
      <c r="D879" s="7">
        <v>0.92</v>
      </c>
      <c r="E879" s="7">
        <v>0.15</v>
      </c>
      <c r="F879" s="7">
        <v>0.15</v>
      </c>
      <c r="G879" s="7">
        <v>0.22</v>
      </c>
      <c r="H879" s="7">
        <v>0.34</v>
      </c>
      <c r="I879" s="7">
        <v>0.38</v>
      </c>
      <c r="J879" s="7">
        <v>0.3</v>
      </c>
      <c r="K879" s="7">
        <v>1.72</v>
      </c>
      <c r="L879" s="7">
        <v>2.04</v>
      </c>
      <c r="M879" s="7">
        <v>0.67</v>
      </c>
      <c r="N879" s="7">
        <v>0.46</v>
      </c>
      <c r="O879" s="7">
        <v>0.81</v>
      </c>
      <c r="P879" s="7">
        <v>1.45</v>
      </c>
      <c r="Q879" s="7">
        <v>0.01</v>
      </c>
    </row>
    <row r="880" spans="1:17">
      <c r="A880" s="2">
        <v>2828</v>
      </c>
      <c r="B880" s="7">
        <v>1.61</v>
      </c>
      <c r="C880" s="7">
        <v>0.24</v>
      </c>
      <c r="D880" s="7">
        <v>0.92</v>
      </c>
      <c r="E880" s="7">
        <v>0.15</v>
      </c>
      <c r="F880" s="7">
        <v>0.15</v>
      </c>
      <c r="G880" s="7">
        <v>0.22</v>
      </c>
      <c r="H880" s="7">
        <v>0.34</v>
      </c>
      <c r="I880" s="7">
        <v>0.38</v>
      </c>
      <c r="J880" s="7">
        <v>0.3</v>
      </c>
      <c r="K880" s="7">
        <v>1.72</v>
      </c>
      <c r="L880" s="7">
        <v>2.04</v>
      </c>
      <c r="M880" s="7">
        <v>0.67</v>
      </c>
      <c r="N880" s="7">
        <v>0.46</v>
      </c>
      <c r="O880" s="7">
        <v>0.81</v>
      </c>
      <c r="P880" s="7">
        <v>1.45</v>
      </c>
      <c r="Q880" s="7">
        <v>0.01</v>
      </c>
    </row>
    <row r="881" spans="1:17">
      <c r="A881" s="2">
        <v>2829</v>
      </c>
      <c r="B881" s="7">
        <v>1.61</v>
      </c>
      <c r="C881" s="7">
        <v>0.24</v>
      </c>
      <c r="D881" s="7">
        <v>0.92</v>
      </c>
      <c r="E881" s="7">
        <v>0.15</v>
      </c>
      <c r="F881" s="7">
        <v>0.15</v>
      </c>
      <c r="G881" s="7">
        <v>0.22</v>
      </c>
      <c r="H881" s="7">
        <v>0.34</v>
      </c>
      <c r="I881" s="7">
        <v>0.38</v>
      </c>
      <c r="J881" s="7">
        <v>0.3</v>
      </c>
      <c r="K881" s="7">
        <v>1.72</v>
      </c>
      <c r="L881" s="7">
        <v>2.04</v>
      </c>
      <c r="M881" s="7">
        <v>0.67</v>
      </c>
      <c r="N881" s="7">
        <v>0.46</v>
      </c>
      <c r="O881" s="7">
        <v>0.81</v>
      </c>
      <c r="P881" s="7">
        <v>1.45</v>
      </c>
      <c r="Q881" s="7">
        <v>0.01</v>
      </c>
    </row>
    <row r="882" spans="1:17">
      <c r="A882" s="2">
        <v>2830</v>
      </c>
      <c r="B882" s="7">
        <v>1.61</v>
      </c>
      <c r="C882" s="7">
        <v>0.24</v>
      </c>
      <c r="D882" s="7">
        <v>0.92</v>
      </c>
      <c r="E882" s="7">
        <v>0.15</v>
      </c>
      <c r="F882" s="7">
        <v>0.15</v>
      </c>
      <c r="G882" s="7">
        <v>0.22</v>
      </c>
      <c r="H882" s="7">
        <v>0.34</v>
      </c>
      <c r="I882" s="7">
        <v>0.38</v>
      </c>
      <c r="J882" s="7">
        <v>0.3</v>
      </c>
      <c r="K882" s="7">
        <v>1.72</v>
      </c>
      <c r="L882" s="7">
        <v>2.04</v>
      </c>
      <c r="M882" s="7">
        <v>0.67</v>
      </c>
      <c r="N882" s="7">
        <v>0.46</v>
      </c>
      <c r="O882" s="7">
        <v>0.81</v>
      </c>
      <c r="P882" s="7">
        <v>1.45</v>
      </c>
      <c r="Q882" s="7">
        <v>0.01</v>
      </c>
    </row>
    <row r="883" spans="1:17">
      <c r="A883" s="2">
        <v>2831</v>
      </c>
      <c r="B883" s="7">
        <v>1.61</v>
      </c>
      <c r="C883" s="7">
        <v>0.24</v>
      </c>
      <c r="D883" s="7">
        <v>0.92</v>
      </c>
      <c r="E883" s="7">
        <v>0.15</v>
      </c>
      <c r="F883" s="7">
        <v>0.15</v>
      </c>
      <c r="G883" s="7">
        <v>0.22</v>
      </c>
      <c r="H883" s="7">
        <v>0.34</v>
      </c>
      <c r="I883" s="7">
        <v>0.38</v>
      </c>
      <c r="J883" s="7">
        <v>0.3</v>
      </c>
      <c r="K883" s="7">
        <v>1.72</v>
      </c>
      <c r="L883" s="7">
        <v>2.04</v>
      </c>
      <c r="M883" s="7">
        <v>0.67</v>
      </c>
      <c r="N883" s="7">
        <v>0.46</v>
      </c>
      <c r="O883" s="7">
        <v>0.81</v>
      </c>
      <c r="P883" s="7">
        <v>1.45</v>
      </c>
      <c r="Q883" s="7">
        <v>0.01</v>
      </c>
    </row>
    <row r="884" spans="1:17">
      <c r="A884" s="2">
        <v>2832</v>
      </c>
      <c r="B884" s="7">
        <v>1.61</v>
      </c>
      <c r="C884" s="7">
        <v>0.24</v>
      </c>
      <c r="D884" s="7">
        <v>0.92</v>
      </c>
      <c r="E884" s="7">
        <v>0.15</v>
      </c>
      <c r="F884" s="7">
        <v>0.15</v>
      </c>
      <c r="G884" s="7">
        <v>0.22</v>
      </c>
      <c r="H884" s="7">
        <v>0.34</v>
      </c>
      <c r="I884" s="7">
        <v>0.38</v>
      </c>
      <c r="J884" s="7">
        <v>0.3</v>
      </c>
      <c r="K884" s="7">
        <v>1.72</v>
      </c>
      <c r="L884" s="7">
        <v>2.04</v>
      </c>
      <c r="M884" s="7">
        <v>0.67</v>
      </c>
      <c r="N884" s="7">
        <v>0.46</v>
      </c>
      <c r="O884" s="7">
        <v>0.81</v>
      </c>
      <c r="P884" s="7">
        <v>1.45</v>
      </c>
      <c r="Q884" s="7">
        <v>0.01</v>
      </c>
    </row>
    <row r="885" spans="1:17">
      <c r="A885" s="2">
        <v>2833</v>
      </c>
      <c r="B885" s="7">
        <v>1.61</v>
      </c>
      <c r="C885" s="7">
        <v>0.24</v>
      </c>
      <c r="D885" s="7">
        <v>0.92</v>
      </c>
      <c r="E885" s="7">
        <v>0.15</v>
      </c>
      <c r="F885" s="7">
        <v>0.15</v>
      </c>
      <c r="G885" s="7">
        <v>0.22</v>
      </c>
      <c r="H885" s="7">
        <v>0.34</v>
      </c>
      <c r="I885" s="7">
        <v>0.38</v>
      </c>
      <c r="J885" s="7">
        <v>0.3</v>
      </c>
      <c r="K885" s="7">
        <v>1.72</v>
      </c>
      <c r="L885" s="7">
        <v>2.04</v>
      </c>
      <c r="M885" s="7">
        <v>0.67</v>
      </c>
      <c r="N885" s="7">
        <v>0.46</v>
      </c>
      <c r="O885" s="7">
        <v>0.81</v>
      </c>
      <c r="P885" s="7">
        <v>1.45</v>
      </c>
      <c r="Q885" s="7">
        <v>0.01</v>
      </c>
    </row>
    <row r="886" spans="1:17">
      <c r="A886" s="2">
        <v>2834</v>
      </c>
      <c r="B886" s="7">
        <v>1.61</v>
      </c>
      <c r="C886" s="7">
        <v>0.24</v>
      </c>
      <c r="D886" s="7">
        <v>0.92</v>
      </c>
      <c r="E886" s="7">
        <v>0.15</v>
      </c>
      <c r="F886" s="7">
        <v>0.15</v>
      </c>
      <c r="G886" s="7">
        <v>0.22</v>
      </c>
      <c r="H886" s="7">
        <v>0.34</v>
      </c>
      <c r="I886" s="7">
        <v>0.38</v>
      </c>
      <c r="J886" s="7">
        <v>0.3</v>
      </c>
      <c r="K886" s="7">
        <v>1.72</v>
      </c>
      <c r="L886" s="7">
        <v>2.04</v>
      </c>
      <c r="M886" s="7">
        <v>0.67</v>
      </c>
      <c r="N886" s="7">
        <v>0.46</v>
      </c>
      <c r="O886" s="7">
        <v>0.81</v>
      </c>
      <c r="P886" s="7">
        <v>1.45</v>
      </c>
      <c r="Q886" s="7">
        <v>0.01</v>
      </c>
    </row>
    <row r="887" spans="1:17">
      <c r="A887" s="2">
        <v>2835</v>
      </c>
      <c r="B887" s="7">
        <v>1.61</v>
      </c>
      <c r="C887" s="7">
        <v>0.24</v>
      </c>
      <c r="D887" s="7">
        <v>0.92</v>
      </c>
      <c r="E887" s="7">
        <v>0.15</v>
      </c>
      <c r="F887" s="7">
        <v>0.15</v>
      </c>
      <c r="G887" s="7">
        <v>0.22</v>
      </c>
      <c r="H887" s="7">
        <v>0.34</v>
      </c>
      <c r="I887" s="7">
        <v>0.38</v>
      </c>
      <c r="J887" s="7">
        <v>0.3</v>
      </c>
      <c r="K887" s="7">
        <v>1.72</v>
      </c>
      <c r="L887" s="7">
        <v>2.04</v>
      </c>
      <c r="M887" s="7">
        <v>0.67</v>
      </c>
      <c r="N887" s="7">
        <v>0.46</v>
      </c>
      <c r="O887" s="7">
        <v>0.81</v>
      </c>
      <c r="P887" s="7">
        <v>1.45</v>
      </c>
      <c r="Q887" s="7">
        <v>0.01</v>
      </c>
    </row>
    <row r="888" spans="1:17">
      <c r="A888" s="2">
        <v>2836</v>
      </c>
      <c r="B888" s="7">
        <v>1.61</v>
      </c>
      <c r="C888" s="7">
        <v>0.24</v>
      </c>
      <c r="D888" s="7">
        <v>0.92</v>
      </c>
      <c r="E888" s="7">
        <v>0.15</v>
      </c>
      <c r="F888" s="7">
        <v>0.15</v>
      </c>
      <c r="G888" s="7">
        <v>0.22</v>
      </c>
      <c r="H888" s="7">
        <v>0.34</v>
      </c>
      <c r="I888" s="7">
        <v>0.38</v>
      </c>
      <c r="J888" s="7">
        <v>0.3</v>
      </c>
      <c r="K888" s="7">
        <v>1.72</v>
      </c>
      <c r="L888" s="7">
        <v>2.04</v>
      </c>
      <c r="M888" s="7">
        <v>0.67</v>
      </c>
      <c r="N888" s="7">
        <v>0.46</v>
      </c>
      <c r="O888" s="7">
        <v>0.81</v>
      </c>
      <c r="P888" s="7">
        <v>1.45</v>
      </c>
      <c r="Q888" s="7">
        <v>0.01</v>
      </c>
    </row>
    <row r="889" spans="1:17">
      <c r="A889" s="2">
        <v>2837</v>
      </c>
      <c r="B889" s="7">
        <v>1.61</v>
      </c>
      <c r="C889" s="7">
        <v>0.24</v>
      </c>
      <c r="D889" s="7">
        <v>0.92</v>
      </c>
      <c r="E889" s="7">
        <v>0.15</v>
      </c>
      <c r="F889" s="7">
        <v>0.15</v>
      </c>
      <c r="G889" s="7">
        <v>0.22</v>
      </c>
      <c r="H889" s="7">
        <v>0.34</v>
      </c>
      <c r="I889" s="7">
        <v>0.38</v>
      </c>
      <c r="J889" s="7">
        <v>0.3</v>
      </c>
      <c r="K889" s="7">
        <v>1.72</v>
      </c>
      <c r="L889" s="7">
        <v>2.04</v>
      </c>
      <c r="M889" s="7">
        <v>0.67</v>
      </c>
      <c r="N889" s="7">
        <v>0.46</v>
      </c>
      <c r="O889" s="7">
        <v>0.81</v>
      </c>
      <c r="P889" s="7">
        <v>1.45</v>
      </c>
      <c r="Q889" s="7">
        <v>0.01</v>
      </c>
    </row>
    <row r="890" spans="1:17">
      <c r="A890" s="2">
        <v>2838</v>
      </c>
      <c r="B890" s="7">
        <v>1.61</v>
      </c>
      <c r="C890" s="7">
        <v>0.24</v>
      </c>
      <c r="D890" s="7">
        <v>0.92</v>
      </c>
      <c r="E890" s="7">
        <v>0.15</v>
      </c>
      <c r="F890" s="7">
        <v>0.15</v>
      </c>
      <c r="G890" s="7">
        <v>0.22</v>
      </c>
      <c r="H890" s="7">
        <v>0.34</v>
      </c>
      <c r="I890" s="7">
        <v>0.38</v>
      </c>
      <c r="J890" s="7">
        <v>0.3</v>
      </c>
      <c r="K890" s="7">
        <v>1.72</v>
      </c>
      <c r="L890" s="7">
        <v>2.04</v>
      </c>
      <c r="M890" s="7">
        <v>0.67</v>
      </c>
      <c r="N890" s="7">
        <v>0.46</v>
      </c>
      <c r="O890" s="7">
        <v>0.81</v>
      </c>
      <c r="P890" s="7">
        <v>1.45</v>
      </c>
      <c r="Q890" s="7">
        <v>0.01</v>
      </c>
    </row>
    <row r="891" spans="1:17">
      <c r="A891" s="2">
        <v>2839</v>
      </c>
      <c r="B891" s="7">
        <v>1.61</v>
      </c>
      <c r="C891" s="7">
        <v>0.24</v>
      </c>
      <c r="D891" s="7">
        <v>0.92</v>
      </c>
      <c r="E891" s="7">
        <v>0.15</v>
      </c>
      <c r="F891" s="7">
        <v>0.15</v>
      </c>
      <c r="G891" s="7">
        <v>0.22</v>
      </c>
      <c r="H891" s="7">
        <v>0.34</v>
      </c>
      <c r="I891" s="7">
        <v>0.38</v>
      </c>
      <c r="J891" s="7">
        <v>0.3</v>
      </c>
      <c r="K891" s="7">
        <v>1.72</v>
      </c>
      <c r="L891" s="7">
        <v>2.04</v>
      </c>
      <c r="M891" s="7">
        <v>0.67</v>
      </c>
      <c r="N891" s="7">
        <v>0.46</v>
      </c>
      <c r="O891" s="7">
        <v>0.81</v>
      </c>
      <c r="P891" s="7">
        <v>1.45</v>
      </c>
      <c r="Q891" s="7">
        <v>0.01</v>
      </c>
    </row>
    <row r="892" spans="1:17">
      <c r="A892" s="2">
        <v>2840</v>
      </c>
      <c r="B892" s="7">
        <v>1.61</v>
      </c>
      <c r="C892" s="7">
        <v>0.24</v>
      </c>
      <c r="D892" s="7">
        <v>0.92</v>
      </c>
      <c r="E892" s="7">
        <v>0.15</v>
      </c>
      <c r="F892" s="7">
        <v>0.15</v>
      </c>
      <c r="G892" s="7">
        <v>0.22</v>
      </c>
      <c r="H892" s="7">
        <v>0.34</v>
      </c>
      <c r="I892" s="7">
        <v>0.38</v>
      </c>
      <c r="J892" s="7">
        <v>0.3</v>
      </c>
      <c r="K892" s="7">
        <v>1.72</v>
      </c>
      <c r="L892" s="7">
        <v>2.04</v>
      </c>
      <c r="M892" s="7">
        <v>0.67</v>
      </c>
      <c r="N892" s="7">
        <v>0.46</v>
      </c>
      <c r="O892" s="7">
        <v>0.81</v>
      </c>
      <c r="P892" s="7">
        <v>1.45</v>
      </c>
      <c r="Q892" s="7">
        <v>0.01</v>
      </c>
    </row>
    <row r="893" spans="1:17">
      <c r="A893" s="2">
        <v>2841</v>
      </c>
      <c r="B893" s="7">
        <v>1.61</v>
      </c>
      <c r="C893" s="7">
        <v>0.24</v>
      </c>
      <c r="D893" s="7">
        <v>0.92</v>
      </c>
      <c r="E893" s="7">
        <v>0.15</v>
      </c>
      <c r="F893" s="7">
        <v>0.15</v>
      </c>
      <c r="G893" s="7">
        <v>0.22</v>
      </c>
      <c r="H893" s="7">
        <v>0.34</v>
      </c>
      <c r="I893" s="7">
        <v>0.38</v>
      </c>
      <c r="J893" s="7">
        <v>0.3</v>
      </c>
      <c r="K893" s="7">
        <v>1.72</v>
      </c>
      <c r="L893" s="7">
        <v>2.04</v>
      </c>
      <c r="M893" s="7">
        <v>0.67</v>
      </c>
      <c r="N893" s="7">
        <v>0.46</v>
      </c>
      <c r="O893" s="7">
        <v>0.81</v>
      </c>
      <c r="P893" s="7">
        <v>1.45</v>
      </c>
      <c r="Q893" s="7">
        <v>0.01</v>
      </c>
    </row>
    <row r="894" spans="1:17">
      <c r="A894" s="2">
        <v>2842</v>
      </c>
      <c r="B894" s="7">
        <v>1.61</v>
      </c>
      <c r="C894" s="7">
        <v>0.24</v>
      </c>
      <c r="D894" s="7">
        <v>0.92</v>
      </c>
      <c r="E894" s="7">
        <v>0.15</v>
      </c>
      <c r="F894" s="7">
        <v>0.15</v>
      </c>
      <c r="G894" s="7">
        <v>0.22</v>
      </c>
      <c r="H894" s="7">
        <v>0.34</v>
      </c>
      <c r="I894" s="7">
        <v>0.38</v>
      </c>
      <c r="J894" s="7">
        <v>0.3</v>
      </c>
      <c r="K894" s="7">
        <v>1.72</v>
      </c>
      <c r="L894" s="7">
        <v>2.04</v>
      </c>
      <c r="M894" s="7">
        <v>0.67</v>
      </c>
      <c r="N894" s="7">
        <v>0.46</v>
      </c>
      <c r="O894" s="7">
        <v>0.81</v>
      </c>
      <c r="P894" s="7">
        <v>1.45</v>
      </c>
      <c r="Q894" s="7">
        <v>0.01</v>
      </c>
    </row>
    <row r="895" spans="1:17">
      <c r="A895" s="2">
        <v>2843</v>
      </c>
      <c r="B895" s="7">
        <v>1.61</v>
      </c>
      <c r="C895" s="7">
        <v>0.24</v>
      </c>
      <c r="D895" s="7">
        <v>0.92</v>
      </c>
      <c r="E895" s="7">
        <v>0.15</v>
      </c>
      <c r="F895" s="7">
        <v>0.15</v>
      </c>
      <c r="G895" s="7">
        <v>0.22</v>
      </c>
      <c r="H895" s="7">
        <v>0.34</v>
      </c>
      <c r="I895" s="7">
        <v>0.38</v>
      </c>
      <c r="J895" s="7">
        <v>0.3</v>
      </c>
      <c r="K895" s="7">
        <v>1.72</v>
      </c>
      <c r="L895" s="7">
        <v>2.04</v>
      </c>
      <c r="M895" s="7">
        <v>0.67</v>
      </c>
      <c r="N895" s="7">
        <v>0.46</v>
      </c>
      <c r="O895" s="7">
        <v>0.81</v>
      </c>
      <c r="P895" s="7">
        <v>1.45</v>
      </c>
      <c r="Q895" s="7">
        <v>0.01</v>
      </c>
    </row>
    <row r="896" spans="1:17">
      <c r="A896" s="2">
        <v>2844</v>
      </c>
      <c r="B896" s="7">
        <v>1.61</v>
      </c>
      <c r="C896" s="7">
        <v>0.24</v>
      </c>
      <c r="D896" s="7">
        <v>0.92</v>
      </c>
      <c r="E896" s="7">
        <v>0.15</v>
      </c>
      <c r="F896" s="7">
        <v>0.15</v>
      </c>
      <c r="G896" s="7">
        <v>0.22</v>
      </c>
      <c r="H896" s="7">
        <v>0.34</v>
      </c>
      <c r="I896" s="7">
        <v>0.38</v>
      </c>
      <c r="J896" s="7">
        <v>0.3</v>
      </c>
      <c r="K896" s="7">
        <v>1.72</v>
      </c>
      <c r="L896" s="7">
        <v>2.04</v>
      </c>
      <c r="M896" s="7">
        <v>0.67</v>
      </c>
      <c r="N896" s="7">
        <v>0.46</v>
      </c>
      <c r="O896" s="7">
        <v>0.81</v>
      </c>
      <c r="P896" s="7">
        <v>1.45</v>
      </c>
      <c r="Q896" s="7">
        <v>0.01</v>
      </c>
    </row>
    <row r="897" spans="1:17">
      <c r="A897" s="2">
        <v>2845</v>
      </c>
      <c r="B897" s="7">
        <v>1.61</v>
      </c>
      <c r="C897" s="7">
        <v>0.24</v>
      </c>
      <c r="D897" s="7">
        <v>0.92</v>
      </c>
      <c r="E897" s="7">
        <v>0.15</v>
      </c>
      <c r="F897" s="7">
        <v>0.15</v>
      </c>
      <c r="G897" s="7">
        <v>0.22</v>
      </c>
      <c r="H897" s="7">
        <v>0.34</v>
      </c>
      <c r="I897" s="7">
        <v>0.38</v>
      </c>
      <c r="J897" s="7">
        <v>0.3</v>
      </c>
      <c r="K897" s="7">
        <v>1.72</v>
      </c>
      <c r="L897" s="7">
        <v>2.04</v>
      </c>
      <c r="M897" s="7">
        <v>0.67</v>
      </c>
      <c r="N897" s="7">
        <v>0.46</v>
      </c>
      <c r="O897" s="7">
        <v>0.81</v>
      </c>
      <c r="P897" s="7">
        <v>1.45</v>
      </c>
      <c r="Q897" s="7">
        <v>0.01</v>
      </c>
    </row>
    <row r="898" spans="1:17">
      <c r="A898" s="2">
        <v>2846</v>
      </c>
      <c r="B898" s="7">
        <v>1.61</v>
      </c>
      <c r="C898" s="7">
        <v>0.24</v>
      </c>
      <c r="D898" s="7">
        <v>0.92</v>
      </c>
      <c r="E898" s="7">
        <v>0.15</v>
      </c>
      <c r="F898" s="7">
        <v>0.15</v>
      </c>
      <c r="G898" s="7">
        <v>0.22</v>
      </c>
      <c r="H898" s="7">
        <v>0.34</v>
      </c>
      <c r="I898" s="7">
        <v>0.38</v>
      </c>
      <c r="J898" s="7">
        <v>0.3</v>
      </c>
      <c r="K898" s="7">
        <v>1.72</v>
      </c>
      <c r="L898" s="7">
        <v>2.04</v>
      </c>
      <c r="M898" s="7">
        <v>0.67</v>
      </c>
      <c r="N898" s="7">
        <v>0.46</v>
      </c>
      <c r="O898" s="7">
        <v>0.81</v>
      </c>
      <c r="P898" s="7">
        <v>1.45</v>
      </c>
      <c r="Q898" s="7">
        <v>0.01</v>
      </c>
    </row>
    <row r="899" spans="1:17">
      <c r="A899" s="2">
        <v>2847</v>
      </c>
      <c r="B899" s="7">
        <v>1.61</v>
      </c>
      <c r="C899" s="7">
        <v>0.24</v>
      </c>
      <c r="D899" s="7">
        <v>0.92</v>
      </c>
      <c r="E899" s="7">
        <v>0.15</v>
      </c>
      <c r="F899" s="7">
        <v>0.15</v>
      </c>
      <c r="G899" s="7">
        <v>0.22</v>
      </c>
      <c r="H899" s="7">
        <v>0.34</v>
      </c>
      <c r="I899" s="7">
        <v>0.38</v>
      </c>
      <c r="J899" s="7">
        <v>0.3</v>
      </c>
      <c r="K899" s="7">
        <v>1.72</v>
      </c>
      <c r="L899" s="7">
        <v>2.04</v>
      </c>
      <c r="M899" s="7">
        <v>0.67</v>
      </c>
      <c r="N899" s="7">
        <v>0.46</v>
      </c>
      <c r="O899" s="7">
        <v>0.81</v>
      </c>
      <c r="P899" s="7">
        <v>1.45</v>
      </c>
      <c r="Q899" s="7">
        <v>0.01</v>
      </c>
    </row>
    <row r="900" spans="1:17">
      <c r="A900" s="2">
        <v>2848</v>
      </c>
      <c r="B900" s="7">
        <v>1.61</v>
      </c>
      <c r="C900" s="7">
        <v>0.24</v>
      </c>
      <c r="D900" s="7">
        <v>0.92</v>
      </c>
      <c r="E900" s="7">
        <v>0.15</v>
      </c>
      <c r="F900" s="7">
        <v>0.15</v>
      </c>
      <c r="G900" s="7">
        <v>0.22</v>
      </c>
      <c r="H900" s="7">
        <v>0.34</v>
      </c>
      <c r="I900" s="7">
        <v>0.38</v>
      </c>
      <c r="J900" s="7">
        <v>0.3</v>
      </c>
      <c r="K900" s="7">
        <v>1.72</v>
      </c>
      <c r="L900" s="7">
        <v>2.04</v>
      </c>
      <c r="M900" s="7">
        <v>0.67</v>
      </c>
      <c r="N900" s="7">
        <v>0.46</v>
      </c>
      <c r="O900" s="7">
        <v>0.81</v>
      </c>
      <c r="P900" s="7">
        <v>1.45</v>
      </c>
      <c r="Q900" s="7">
        <v>0.01</v>
      </c>
    </row>
    <row r="901" spans="1:17">
      <c r="A901" s="2">
        <v>2849</v>
      </c>
      <c r="B901" s="7">
        <v>1.61</v>
      </c>
      <c r="C901" s="7">
        <v>0.24</v>
      </c>
      <c r="D901" s="7">
        <v>0.92</v>
      </c>
      <c r="E901" s="7">
        <v>0.15</v>
      </c>
      <c r="F901" s="7">
        <v>0.15</v>
      </c>
      <c r="G901" s="7">
        <v>0.22</v>
      </c>
      <c r="H901" s="7">
        <v>0.34</v>
      </c>
      <c r="I901" s="7">
        <v>0.38</v>
      </c>
      <c r="J901" s="7">
        <v>0.3</v>
      </c>
      <c r="K901" s="7">
        <v>1.72</v>
      </c>
      <c r="L901" s="7">
        <v>2.04</v>
      </c>
      <c r="M901" s="7">
        <v>0.67</v>
      </c>
      <c r="N901" s="7">
        <v>0.46</v>
      </c>
      <c r="O901" s="7">
        <v>0.81</v>
      </c>
      <c r="P901" s="7">
        <v>1.45</v>
      </c>
      <c r="Q901" s="7">
        <v>0.01</v>
      </c>
    </row>
    <row r="902" spans="1:17">
      <c r="A902" s="2">
        <v>2850</v>
      </c>
      <c r="B902" s="7">
        <v>1.61</v>
      </c>
      <c r="C902" s="7">
        <v>0.24</v>
      </c>
      <c r="D902" s="7">
        <v>0.92</v>
      </c>
      <c r="E902" s="7">
        <v>0.15</v>
      </c>
      <c r="F902" s="7">
        <v>0.15</v>
      </c>
      <c r="G902" s="7">
        <v>0.22</v>
      </c>
      <c r="H902" s="7">
        <v>0.34</v>
      </c>
      <c r="I902" s="7">
        <v>0.38</v>
      </c>
      <c r="J902" s="7">
        <v>0.3</v>
      </c>
      <c r="K902" s="7">
        <v>1.72</v>
      </c>
      <c r="L902" s="7">
        <v>2.04</v>
      </c>
      <c r="M902" s="7">
        <v>0.67</v>
      </c>
      <c r="N902" s="7">
        <v>0.46</v>
      </c>
      <c r="O902" s="7">
        <v>0.81</v>
      </c>
      <c r="P902" s="7">
        <v>1.45</v>
      </c>
      <c r="Q902" s="7">
        <v>0.01</v>
      </c>
    </row>
    <row r="903" spans="1:17">
      <c r="A903" s="2">
        <v>2851</v>
      </c>
      <c r="B903" s="7">
        <v>1.61</v>
      </c>
      <c r="C903" s="7">
        <v>0.24</v>
      </c>
      <c r="D903" s="7">
        <v>0.92</v>
      </c>
      <c r="E903" s="7">
        <v>0.15</v>
      </c>
      <c r="F903" s="7">
        <v>0.15</v>
      </c>
      <c r="G903" s="7">
        <v>0.22</v>
      </c>
      <c r="H903" s="7">
        <v>0.34</v>
      </c>
      <c r="I903" s="7">
        <v>0.38</v>
      </c>
      <c r="J903" s="7">
        <v>0.3</v>
      </c>
      <c r="K903" s="7">
        <v>1.72</v>
      </c>
      <c r="L903" s="7">
        <v>2.04</v>
      </c>
      <c r="M903" s="7">
        <v>0.67</v>
      </c>
      <c r="N903" s="7">
        <v>0.46</v>
      </c>
      <c r="O903" s="7">
        <v>0.81</v>
      </c>
      <c r="P903" s="7">
        <v>1.45</v>
      </c>
      <c r="Q903" s="7">
        <v>0.01</v>
      </c>
    </row>
    <row r="904" spans="1:17">
      <c r="A904" s="2">
        <v>2852</v>
      </c>
      <c r="B904" s="7">
        <v>1.61</v>
      </c>
      <c r="C904" s="7">
        <v>0.24</v>
      </c>
      <c r="D904" s="7">
        <v>0.92</v>
      </c>
      <c r="E904" s="7">
        <v>0.15</v>
      </c>
      <c r="F904" s="7">
        <v>0.15</v>
      </c>
      <c r="G904" s="7">
        <v>0.22</v>
      </c>
      <c r="H904" s="7">
        <v>0.34</v>
      </c>
      <c r="I904" s="7">
        <v>0.38</v>
      </c>
      <c r="J904" s="7">
        <v>0.3</v>
      </c>
      <c r="K904" s="7">
        <v>1.72</v>
      </c>
      <c r="L904" s="7">
        <v>2.04</v>
      </c>
      <c r="M904" s="7">
        <v>0.67</v>
      </c>
      <c r="N904" s="7">
        <v>0.46</v>
      </c>
      <c r="O904" s="7">
        <v>0.81</v>
      </c>
      <c r="P904" s="7">
        <v>1.45</v>
      </c>
      <c r="Q904" s="7">
        <v>0.01</v>
      </c>
    </row>
    <row r="905" spans="1:17">
      <c r="A905" s="2">
        <v>2853</v>
      </c>
      <c r="B905" s="7">
        <v>1.61</v>
      </c>
      <c r="C905" s="7">
        <v>0.24</v>
      </c>
      <c r="D905" s="7">
        <v>0.92</v>
      </c>
      <c r="E905" s="7">
        <v>0.15</v>
      </c>
      <c r="F905" s="7">
        <v>0.15</v>
      </c>
      <c r="G905" s="7">
        <v>0.22</v>
      </c>
      <c r="H905" s="7">
        <v>0.34</v>
      </c>
      <c r="I905" s="7">
        <v>0.38</v>
      </c>
      <c r="J905" s="7">
        <v>0.3</v>
      </c>
      <c r="K905" s="7">
        <v>1.72</v>
      </c>
      <c r="L905" s="7">
        <v>2.04</v>
      </c>
      <c r="M905" s="7">
        <v>0.67</v>
      </c>
      <c r="N905" s="7">
        <v>0.46</v>
      </c>
      <c r="O905" s="7">
        <v>0.81</v>
      </c>
      <c r="P905" s="7">
        <v>1.45</v>
      </c>
      <c r="Q905" s="7">
        <v>0.01</v>
      </c>
    </row>
    <row r="906" spans="1:17">
      <c r="A906" s="2">
        <v>2854</v>
      </c>
      <c r="B906" s="7">
        <v>1.61</v>
      </c>
      <c r="C906" s="7">
        <v>0.24</v>
      </c>
      <c r="D906" s="7">
        <v>0.92</v>
      </c>
      <c r="E906" s="7">
        <v>0.15</v>
      </c>
      <c r="F906" s="7">
        <v>0.15</v>
      </c>
      <c r="G906" s="7">
        <v>0.22</v>
      </c>
      <c r="H906" s="7">
        <v>0.34</v>
      </c>
      <c r="I906" s="7">
        <v>0.38</v>
      </c>
      <c r="J906" s="7">
        <v>0.3</v>
      </c>
      <c r="K906" s="7">
        <v>1.72</v>
      </c>
      <c r="L906" s="7">
        <v>2.04</v>
      </c>
      <c r="M906" s="7">
        <v>0.67</v>
      </c>
      <c r="N906" s="7">
        <v>0.46</v>
      </c>
      <c r="O906" s="7">
        <v>0.81</v>
      </c>
      <c r="P906" s="7">
        <v>1.45</v>
      </c>
      <c r="Q906" s="7">
        <v>0.01</v>
      </c>
    </row>
    <row r="907" spans="1:17">
      <c r="A907" s="2">
        <v>2855</v>
      </c>
      <c r="B907" s="7">
        <v>1.61</v>
      </c>
      <c r="C907" s="7">
        <v>0.24</v>
      </c>
      <c r="D907" s="7">
        <v>0.92</v>
      </c>
      <c r="E907" s="7">
        <v>0.15</v>
      </c>
      <c r="F907" s="7">
        <v>0.15</v>
      </c>
      <c r="G907" s="7">
        <v>0.22</v>
      </c>
      <c r="H907" s="7">
        <v>0.34</v>
      </c>
      <c r="I907" s="7">
        <v>0.38</v>
      </c>
      <c r="J907" s="7">
        <v>0.3</v>
      </c>
      <c r="K907" s="7">
        <v>1.72</v>
      </c>
      <c r="L907" s="7">
        <v>2.04</v>
      </c>
      <c r="M907" s="7">
        <v>0.67</v>
      </c>
      <c r="N907" s="7">
        <v>0.46</v>
      </c>
      <c r="O907" s="7">
        <v>0.81</v>
      </c>
      <c r="P907" s="7">
        <v>1.45</v>
      </c>
      <c r="Q907" s="7">
        <v>0.01</v>
      </c>
    </row>
    <row r="908" spans="1:17">
      <c r="A908" s="2">
        <v>2856</v>
      </c>
      <c r="B908" s="7">
        <v>1.61</v>
      </c>
      <c r="C908" s="7">
        <v>0.24</v>
      </c>
      <c r="D908" s="7">
        <v>0.92</v>
      </c>
      <c r="E908" s="7">
        <v>0.15</v>
      </c>
      <c r="F908" s="7">
        <v>0.15</v>
      </c>
      <c r="G908" s="7">
        <v>0.22</v>
      </c>
      <c r="H908" s="7">
        <v>0.34</v>
      </c>
      <c r="I908" s="7">
        <v>0.38</v>
      </c>
      <c r="J908" s="7">
        <v>0.3</v>
      </c>
      <c r="K908" s="7">
        <v>1.72</v>
      </c>
      <c r="L908" s="7">
        <v>2.04</v>
      </c>
      <c r="M908" s="7">
        <v>0.67</v>
      </c>
      <c r="N908" s="7">
        <v>0.46</v>
      </c>
      <c r="O908" s="7">
        <v>0.81</v>
      </c>
      <c r="P908" s="7">
        <v>1.45</v>
      </c>
      <c r="Q908" s="7">
        <v>0.01</v>
      </c>
    </row>
    <row r="909" spans="1:17">
      <c r="A909" s="2">
        <v>2857</v>
      </c>
      <c r="B909" s="7">
        <v>1.61</v>
      </c>
      <c r="C909" s="7">
        <v>0.24</v>
      </c>
      <c r="D909" s="7">
        <v>0.92</v>
      </c>
      <c r="E909" s="7">
        <v>0.15</v>
      </c>
      <c r="F909" s="7">
        <v>0.15</v>
      </c>
      <c r="G909" s="7">
        <v>0.22</v>
      </c>
      <c r="H909" s="7">
        <v>0.34</v>
      </c>
      <c r="I909" s="7">
        <v>0.38</v>
      </c>
      <c r="J909" s="7">
        <v>0.3</v>
      </c>
      <c r="K909" s="7">
        <v>1.72</v>
      </c>
      <c r="L909" s="7">
        <v>2.04</v>
      </c>
      <c r="M909" s="7">
        <v>0.67</v>
      </c>
      <c r="N909" s="7">
        <v>0.46</v>
      </c>
      <c r="O909" s="7">
        <v>0.81</v>
      </c>
      <c r="P909" s="7">
        <v>1.45</v>
      </c>
      <c r="Q909" s="7">
        <v>0.01</v>
      </c>
    </row>
    <row r="910" spans="1:17">
      <c r="A910" s="2">
        <v>2858</v>
      </c>
      <c r="B910" s="7">
        <v>1.61</v>
      </c>
      <c r="C910" s="7">
        <v>0.24</v>
      </c>
      <c r="D910" s="7">
        <v>0.92</v>
      </c>
      <c r="E910" s="7">
        <v>0.15</v>
      </c>
      <c r="F910" s="7">
        <v>0.15</v>
      </c>
      <c r="G910" s="7">
        <v>0.22</v>
      </c>
      <c r="H910" s="7">
        <v>0.34</v>
      </c>
      <c r="I910" s="7">
        <v>0.38</v>
      </c>
      <c r="J910" s="7">
        <v>0.3</v>
      </c>
      <c r="K910" s="7">
        <v>1.72</v>
      </c>
      <c r="L910" s="7">
        <v>2.04</v>
      </c>
      <c r="M910" s="7">
        <v>0.67</v>
      </c>
      <c r="N910" s="7">
        <v>0.46</v>
      </c>
      <c r="O910" s="7">
        <v>0.81</v>
      </c>
      <c r="P910" s="7">
        <v>1.45</v>
      </c>
      <c r="Q910" s="7">
        <v>0.01</v>
      </c>
    </row>
    <row r="911" spans="1:17">
      <c r="A911" s="2">
        <v>2859</v>
      </c>
      <c r="B911" s="7">
        <v>1.61</v>
      </c>
      <c r="C911" s="7">
        <v>0.24</v>
      </c>
      <c r="D911" s="7">
        <v>0.92</v>
      </c>
      <c r="E911" s="7">
        <v>0.15</v>
      </c>
      <c r="F911" s="7">
        <v>0.15</v>
      </c>
      <c r="G911" s="7">
        <v>0.22</v>
      </c>
      <c r="H911" s="7">
        <v>0.34</v>
      </c>
      <c r="I911" s="7">
        <v>0.38</v>
      </c>
      <c r="J911" s="7">
        <v>0.3</v>
      </c>
      <c r="K911" s="7">
        <v>1.72</v>
      </c>
      <c r="L911" s="7">
        <v>2.04</v>
      </c>
      <c r="M911" s="7">
        <v>0.67</v>
      </c>
      <c r="N911" s="7">
        <v>0.46</v>
      </c>
      <c r="O911" s="7">
        <v>0.81</v>
      </c>
      <c r="P911" s="7">
        <v>1.45</v>
      </c>
      <c r="Q911" s="7">
        <v>0.01</v>
      </c>
    </row>
    <row r="912" spans="1:17">
      <c r="A912" s="2">
        <v>2860</v>
      </c>
      <c r="B912" s="7">
        <v>1.61</v>
      </c>
      <c r="C912" s="7">
        <v>0.24</v>
      </c>
      <c r="D912" s="7">
        <v>0.92</v>
      </c>
      <c r="E912" s="7">
        <v>0.15</v>
      </c>
      <c r="F912" s="7">
        <v>0.15</v>
      </c>
      <c r="G912" s="7">
        <v>0.22</v>
      </c>
      <c r="H912" s="7">
        <v>0.34</v>
      </c>
      <c r="I912" s="7">
        <v>0.38</v>
      </c>
      <c r="J912" s="7">
        <v>0.3</v>
      </c>
      <c r="K912" s="7">
        <v>1.72</v>
      </c>
      <c r="L912" s="7">
        <v>2.04</v>
      </c>
      <c r="M912" s="7">
        <v>0.67</v>
      </c>
      <c r="N912" s="7">
        <v>0.46</v>
      </c>
      <c r="O912" s="7">
        <v>0.81</v>
      </c>
      <c r="P912" s="7">
        <v>1.45</v>
      </c>
      <c r="Q912" s="7">
        <v>0.01</v>
      </c>
    </row>
    <row r="913" spans="1:17">
      <c r="A913" s="2">
        <v>2861</v>
      </c>
      <c r="B913" s="7">
        <v>1.61</v>
      </c>
      <c r="C913" s="7">
        <v>0.24</v>
      </c>
      <c r="D913" s="7">
        <v>0.92</v>
      </c>
      <c r="E913" s="7">
        <v>0.15</v>
      </c>
      <c r="F913" s="7">
        <v>0.15</v>
      </c>
      <c r="G913" s="7">
        <v>0.22</v>
      </c>
      <c r="H913" s="7">
        <v>0.34</v>
      </c>
      <c r="I913" s="7">
        <v>0.38</v>
      </c>
      <c r="J913" s="7">
        <v>0.3</v>
      </c>
      <c r="K913" s="7">
        <v>1.72</v>
      </c>
      <c r="L913" s="7">
        <v>2.04</v>
      </c>
      <c r="M913" s="7">
        <v>0.67</v>
      </c>
      <c r="N913" s="7">
        <v>0.46</v>
      </c>
      <c r="O913" s="7">
        <v>0.81</v>
      </c>
      <c r="P913" s="7">
        <v>1.45</v>
      </c>
      <c r="Q913" s="7">
        <v>0.01</v>
      </c>
    </row>
    <row r="914" spans="1:17">
      <c r="A914" s="2">
        <v>2862</v>
      </c>
      <c r="B914" s="7">
        <v>1.61</v>
      </c>
      <c r="C914" s="7">
        <v>0.24</v>
      </c>
      <c r="D914" s="7">
        <v>0.92</v>
      </c>
      <c r="E914" s="7">
        <v>0.15</v>
      </c>
      <c r="F914" s="7">
        <v>0.15</v>
      </c>
      <c r="G914" s="7">
        <v>0.22</v>
      </c>
      <c r="H914" s="7">
        <v>0.34</v>
      </c>
      <c r="I914" s="7">
        <v>0.38</v>
      </c>
      <c r="J914" s="7">
        <v>0.3</v>
      </c>
      <c r="K914" s="7">
        <v>1.72</v>
      </c>
      <c r="L914" s="7">
        <v>2.04</v>
      </c>
      <c r="M914" s="7">
        <v>0.67</v>
      </c>
      <c r="N914" s="7">
        <v>0.46</v>
      </c>
      <c r="O914" s="7">
        <v>0.81</v>
      </c>
      <c r="P914" s="7">
        <v>1.45</v>
      </c>
      <c r="Q914" s="7">
        <v>0.01</v>
      </c>
    </row>
    <row r="915" spans="1:17">
      <c r="A915" s="2">
        <v>2863</v>
      </c>
      <c r="B915" s="7">
        <v>1.61</v>
      </c>
      <c r="C915" s="7">
        <v>0.24</v>
      </c>
      <c r="D915" s="7">
        <v>0.92</v>
      </c>
      <c r="E915" s="7">
        <v>0.15</v>
      </c>
      <c r="F915" s="7">
        <v>0.15</v>
      </c>
      <c r="G915" s="7">
        <v>0.22</v>
      </c>
      <c r="H915" s="7">
        <v>0.34</v>
      </c>
      <c r="I915" s="7">
        <v>0.38</v>
      </c>
      <c r="J915" s="7">
        <v>0.3</v>
      </c>
      <c r="K915" s="7">
        <v>1.72</v>
      </c>
      <c r="L915" s="7">
        <v>2.04</v>
      </c>
      <c r="M915" s="7">
        <v>0.67</v>
      </c>
      <c r="N915" s="7">
        <v>0.46</v>
      </c>
      <c r="O915" s="7">
        <v>0.81</v>
      </c>
      <c r="P915" s="7">
        <v>1.45</v>
      </c>
      <c r="Q915" s="7">
        <v>0.01</v>
      </c>
    </row>
    <row r="916" spans="1:17">
      <c r="A916" s="2">
        <v>2864</v>
      </c>
      <c r="B916" s="7">
        <v>1.61</v>
      </c>
      <c r="C916" s="7">
        <v>0.24</v>
      </c>
      <c r="D916" s="7">
        <v>0.92</v>
      </c>
      <c r="E916" s="7">
        <v>0.15</v>
      </c>
      <c r="F916" s="7">
        <v>0.15</v>
      </c>
      <c r="G916" s="7">
        <v>0.22</v>
      </c>
      <c r="H916" s="7">
        <v>0.34</v>
      </c>
      <c r="I916" s="7">
        <v>0.38</v>
      </c>
      <c r="J916" s="7">
        <v>0.3</v>
      </c>
      <c r="K916" s="7">
        <v>1.72</v>
      </c>
      <c r="L916" s="7">
        <v>2.04</v>
      </c>
      <c r="M916" s="7">
        <v>0.67</v>
      </c>
      <c r="N916" s="7">
        <v>0.46</v>
      </c>
      <c r="O916" s="7">
        <v>0.81</v>
      </c>
      <c r="P916" s="7">
        <v>1.45</v>
      </c>
      <c r="Q916" s="7">
        <v>0.01</v>
      </c>
    </row>
    <row r="917" spans="1:17">
      <c r="A917" s="2">
        <v>2865</v>
      </c>
      <c r="B917" s="7">
        <v>1.61</v>
      </c>
      <c r="C917" s="7">
        <v>0.24</v>
      </c>
      <c r="D917" s="7">
        <v>0.92</v>
      </c>
      <c r="E917" s="7">
        <v>0.15</v>
      </c>
      <c r="F917" s="7">
        <v>0.15</v>
      </c>
      <c r="G917" s="7">
        <v>0.22</v>
      </c>
      <c r="H917" s="7">
        <v>0.34</v>
      </c>
      <c r="I917" s="7">
        <v>0.38</v>
      </c>
      <c r="J917" s="7">
        <v>0.3</v>
      </c>
      <c r="K917" s="7">
        <v>1.72</v>
      </c>
      <c r="L917" s="7">
        <v>2.04</v>
      </c>
      <c r="M917" s="7">
        <v>0.67</v>
      </c>
      <c r="N917" s="7">
        <v>0.46</v>
      </c>
      <c r="O917" s="7">
        <v>0.81</v>
      </c>
      <c r="P917" s="7">
        <v>1.45</v>
      </c>
      <c r="Q917" s="7">
        <v>0.01</v>
      </c>
    </row>
    <row r="918" spans="1:17">
      <c r="A918" s="2">
        <v>2866</v>
      </c>
      <c r="B918" s="7">
        <v>1.61</v>
      </c>
      <c r="C918" s="7">
        <v>0.24</v>
      </c>
      <c r="D918" s="7">
        <v>0.92</v>
      </c>
      <c r="E918" s="7">
        <v>0.15</v>
      </c>
      <c r="F918" s="7">
        <v>0.15</v>
      </c>
      <c r="G918" s="7">
        <v>0.22</v>
      </c>
      <c r="H918" s="7">
        <v>0.34</v>
      </c>
      <c r="I918" s="7">
        <v>0.38</v>
      </c>
      <c r="J918" s="7">
        <v>0.3</v>
      </c>
      <c r="K918" s="7">
        <v>1.72</v>
      </c>
      <c r="L918" s="7">
        <v>2.04</v>
      </c>
      <c r="M918" s="7">
        <v>0.67</v>
      </c>
      <c r="N918" s="7">
        <v>0.46</v>
      </c>
      <c r="O918" s="7">
        <v>0.81</v>
      </c>
      <c r="P918" s="7">
        <v>1.45</v>
      </c>
      <c r="Q918" s="7">
        <v>0.01</v>
      </c>
    </row>
    <row r="919" spans="1:17">
      <c r="A919" s="2">
        <v>2867</v>
      </c>
      <c r="B919" s="7">
        <v>1.61</v>
      </c>
      <c r="C919" s="7">
        <v>0.24</v>
      </c>
      <c r="D919" s="7">
        <v>0.92</v>
      </c>
      <c r="E919" s="7">
        <v>0.15</v>
      </c>
      <c r="F919" s="7">
        <v>0.15</v>
      </c>
      <c r="G919" s="7">
        <v>0.22</v>
      </c>
      <c r="H919" s="7">
        <v>0.34</v>
      </c>
      <c r="I919" s="7">
        <v>0.38</v>
      </c>
      <c r="J919" s="7">
        <v>0.3</v>
      </c>
      <c r="K919" s="7">
        <v>1.72</v>
      </c>
      <c r="L919" s="7">
        <v>2.04</v>
      </c>
      <c r="M919" s="7">
        <v>0.67</v>
      </c>
      <c r="N919" s="7">
        <v>0.46</v>
      </c>
      <c r="O919" s="7">
        <v>0.81</v>
      </c>
      <c r="P919" s="7">
        <v>1.45</v>
      </c>
      <c r="Q919" s="7">
        <v>0.01</v>
      </c>
    </row>
    <row r="920" spans="1:17">
      <c r="A920" s="2">
        <v>2868</v>
      </c>
      <c r="B920" s="7">
        <v>1.61</v>
      </c>
      <c r="C920" s="7">
        <v>0.24</v>
      </c>
      <c r="D920" s="7">
        <v>0.92</v>
      </c>
      <c r="E920" s="7">
        <v>0.15</v>
      </c>
      <c r="F920" s="7">
        <v>0.15</v>
      </c>
      <c r="G920" s="7">
        <v>0.22</v>
      </c>
      <c r="H920" s="7">
        <v>0.34</v>
      </c>
      <c r="I920" s="7">
        <v>0.38</v>
      </c>
      <c r="J920" s="7">
        <v>0.3</v>
      </c>
      <c r="K920" s="7">
        <v>1.72</v>
      </c>
      <c r="L920" s="7">
        <v>2.04</v>
      </c>
      <c r="M920" s="7">
        <v>0.67</v>
      </c>
      <c r="N920" s="7">
        <v>0.46</v>
      </c>
      <c r="O920" s="7">
        <v>0.81</v>
      </c>
      <c r="P920" s="7">
        <v>1.45</v>
      </c>
      <c r="Q920" s="7">
        <v>0.01</v>
      </c>
    </row>
    <row r="921" spans="1:17">
      <c r="A921" s="2">
        <v>2869</v>
      </c>
      <c r="B921" s="7">
        <v>1.61</v>
      </c>
      <c r="C921" s="7">
        <v>0.24</v>
      </c>
      <c r="D921" s="7">
        <v>0.92</v>
      </c>
      <c r="E921" s="7">
        <v>0.15</v>
      </c>
      <c r="F921" s="7">
        <v>0.15</v>
      </c>
      <c r="G921" s="7">
        <v>0.22</v>
      </c>
      <c r="H921" s="7">
        <v>0.34</v>
      </c>
      <c r="I921" s="7">
        <v>0.38</v>
      </c>
      <c r="J921" s="7">
        <v>0.3</v>
      </c>
      <c r="K921" s="7">
        <v>1.72</v>
      </c>
      <c r="L921" s="7">
        <v>2.04</v>
      </c>
      <c r="M921" s="7">
        <v>0.67</v>
      </c>
      <c r="N921" s="7">
        <v>0.46</v>
      </c>
      <c r="O921" s="7">
        <v>0.81</v>
      </c>
      <c r="P921" s="7">
        <v>1.45</v>
      </c>
      <c r="Q921" s="7">
        <v>0.01</v>
      </c>
    </row>
    <row r="922" spans="1:17">
      <c r="A922" s="2">
        <v>2870</v>
      </c>
      <c r="B922" s="7">
        <v>1.61</v>
      </c>
      <c r="C922" s="7">
        <v>0.24</v>
      </c>
      <c r="D922" s="7">
        <v>0.92</v>
      </c>
      <c r="E922" s="7">
        <v>0.15</v>
      </c>
      <c r="F922" s="7">
        <v>0.15</v>
      </c>
      <c r="G922" s="7">
        <v>0.22</v>
      </c>
      <c r="H922" s="7">
        <v>0.34</v>
      </c>
      <c r="I922" s="7">
        <v>0.38</v>
      </c>
      <c r="J922" s="7">
        <v>0.3</v>
      </c>
      <c r="K922" s="7">
        <v>1.72</v>
      </c>
      <c r="L922" s="7">
        <v>2.04</v>
      </c>
      <c r="M922" s="7">
        <v>0.67</v>
      </c>
      <c r="N922" s="7">
        <v>0.46</v>
      </c>
      <c r="O922" s="7">
        <v>0.81</v>
      </c>
      <c r="P922" s="7">
        <v>1.45</v>
      </c>
      <c r="Q922" s="7">
        <v>0.01</v>
      </c>
    </row>
    <row r="923" spans="1:17">
      <c r="A923" s="2">
        <v>2871</v>
      </c>
      <c r="B923" s="7">
        <v>1.61</v>
      </c>
      <c r="C923" s="7">
        <v>0.24</v>
      </c>
      <c r="D923" s="7">
        <v>0.92</v>
      </c>
      <c r="E923" s="7">
        <v>0.15</v>
      </c>
      <c r="F923" s="7">
        <v>0.15</v>
      </c>
      <c r="G923" s="7">
        <v>0.22</v>
      </c>
      <c r="H923" s="7">
        <v>0.34</v>
      </c>
      <c r="I923" s="7">
        <v>0.38</v>
      </c>
      <c r="J923" s="7">
        <v>0.3</v>
      </c>
      <c r="K923" s="7">
        <v>1.72</v>
      </c>
      <c r="L923" s="7">
        <v>2.04</v>
      </c>
      <c r="M923" s="7">
        <v>0.67</v>
      </c>
      <c r="N923" s="7">
        <v>0.46</v>
      </c>
      <c r="O923" s="7">
        <v>0.81</v>
      </c>
      <c r="P923" s="7">
        <v>1.45</v>
      </c>
      <c r="Q923" s="7">
        <v>0.01</v>
      </c>
    </row>
    <row r="924" spans="1:17">
      <c r="A924" s="2">
        <v>2872</v>
      </c>
      <c r="B924" s="7">
        <v>1.61</v>
      </c>
      <c r="C924" s="7">
        <v>0.24</v>
      </c>
      <c r="D924" s="7">
        <v>0.92</v>
      </c>
      <c r="E924" s="7">
        <v>0.15</v>
      </c>
      <c r="F924" s="7">
        <v>0.15</v>
      </c>
      <c r="G924" s="7">
        <v>0.22</v>
      </c>
      <c r="H924" s="7">
        <v>0.34</v>
      </c>
      <c r="I924" s="7">
        <v>0.38</v>
      </c>
      <c r="J924" s="7">
        <v>0.3</v>
      </c>
      <c r="K924" s="7">
        <v>1.72</v>
      </c>
      <c r="L924" s="7">
        <v>2.04</v>
      </c>
      <c r="M924" s="7">
        <v>0.67</v>
      </c>
      <c r="N924" s="7">
        <v>0.46</v>
      </c>
      <c r="O924" s="7">
        <v>0.81</v>
      </c>
      <c r="P924" s="7">
        <v>1.45</v>
      </c>
      <c r="Q924" s="7">
        <v>0.01</v>
      </c>
    </row>
    <row r="925" spans="1:17">
      <c r="A925" s="2">
        <v>2873</v>
      </c>
      <c r="B925" s="7">
        <v>1.61</v>
      </c>
      <c r="C925" s="7">
        <v>0.24</v>
      </c>
      <c r="D925" s="7">
        <v>0.92</v>
      </c>
      <c r="E925" s="7">
        <v>0.15</v>
      </c>
      <c r="F925" s="7">
        <v>0.15</v>
      </c>
      <c r="G925" s="7">
        <v>0.22</v>
      </c>
      <c r="H925" s="7">
        <v>0.34</v>
      </c>
      <c r="I925" s="7">
        <v>0.38</v>
      </c>
      <c r="J925" s="7">
        <v>0.3</v>
      </c>
      <c r="K925" s="7">
        <v>1.72</v>
      </c>
      <c r="L925" s="7">
        <v>2.04</v>
      </c>
      <c r="M925" s="7">
        <v>0.67</v>
      </c>
      <c r="N925" s="7">
        <v>0.46</v>
      </c>
      <c r="O925" s="7">
        <v>0.81</v>
      </c>
      <c r="P925" s="7">
        <v>1.45</v>
      </c>
      <c r="Q925" s="7">
        <v>0.01</v>
      </c>
    </row>
    <row r="926" spans="1:17">
      <c r="A926" s="2">
        <v>2874</v>
      </c>
      <c r="B926" s="7">
        <v>1.61</v>
      </c>
      <c r="C926" s="7">
        <v>0.24</v>
      </c>
      <c r="D926" s="7">
        <v>0.92</v>
      </c>
      <c r="E926" s="7">
        <v>0.15</v>
      </c>
      <c r="F926" s="7">
        <v>0.15</v>
      </c>
      <c r="G926" s="7">
        <v>0.22</v>
      </c>
      <c r="H926" s="7">
        <v>0.34</v>
      </c>
      <c r="I926" s="7">
        <v>0.38</v>
      </c>
      <c r="J926" s="7">
        <v>0.3</v>
      </c>
      <c r="K926" s="7">
        <v>1.72</v>
      </c>
      <c r="L926" s="7">
        <v>2.04</v>
      </c>
      <c r="M926" s="7">
        <v>0.67</v>
      </c>
      <c r="N926" s="7">
        <v>0.46</v>
      </c>
      <c r="O926" s="7">
        <v>0.81</v>
      </c>
      <c r="P926" s="7">
        <v>1.45</v>
      </c>
      <c r="Q926" s="7">
        <v>0.01</v>
      </c>
    </row>
    <row r="927" spans="1:17">
      <c r="A927" s="2">
        <v>2875</v>
      </c>
      <c r="B927" s="7">
        <v>1.61</v>
      </c>
      <c r="C927" s="7">
        <v>0.24</v>
      </c>
      <c r="D927" s="7">
        <v>0.92</v>
      </c>
      <c r="E927" s="7">
        <v>0.15</v>
      </c>
      <c r="F927" s="7">
        <v>0.15</v>
      </c>
      <c r="G927" s="7">
        <v>0.22</v>
      </c>
      <c r="H927" s="7">
        <v>0.34</v>
      </c>
      <c r="I927" s="7">
        <v>0.38</v>
      </c>
      <c r="J927" s="7">
        <v>0.3</v>
      </c>
      <c r="K927" s="7">
        <v>1.72</v>
      </c>
      <c r="L927" s="7">
        <v>2.04</v>
      </c>
      <c r="M927" s="7">
        <v>0.67</v>
      </c>
      <c r="N927" s="7">
        <v>0.46</v>
      </c>
      <c r="O927" s="7">
        <v>0.81</v>
      </c>
      <c r="P927" s="7">
        <v>1.45</v>
      </c>
      <c r="Q927" s="7">
        <v>0.01</v>
      </c>
    </row>
    <row r="928" spans="1:17">
      <c r="A928" s="2">
        <v>2876</v>
      </c>
      <c r="B928" s="7">
        <v>1.61</v>
      </c>
      <c r="C928" s="7">
        <v>0.24</v>
      </c>
      <c r="D928" s="7">
        <v>0.92</v>
      </c>
      <c r="E928" s="7">
        <v>0.15</v>
      </c>
      <c r="F928" s="7">
        <v>0.15</v>
      </c>
      <c r="G928" s="7">
        <v>0.22</v>
      </c>
      <c r="H928" s="7">
        <v>0.34</v>
      </c>
      <c r="I928" s="7">
        <v>0.38</v>
      </c>
      <c r="J928" s="7">
        <v>0.3</v>
      </c>
      <c r="K928" s="7">
        <v>1.72</v>
      </c>
      <c r="L928" s="7">
        <v>2.04</v>
      </c>
      <c r="M928" s="7">
        <v>0.67</v>
      </c>
      <c r="N928" s="7">
        <v>0.46</v>
      </c>
      <c r="O928" s="7">
        <v>0.81</v>
      </c>
      <c r="P928" s="7">
        <v>1.45</v>
      </c>
      <c r="Q928" s="7">
        <v>0.01</v>
      </c>
    </row>
    <row r="929" spans="1:17">
      <c r="A929" s="2">
        <v>2877</v>
      </c>
      <c r="B929" s="7">
        <v>1.61</v>
      </c>
      <c r="C929" s="7">
        <v>0.24</v>
      </c>
      <c r="D929" s="7">
        <v>0.92</v>
      </c>
      <c r="E929" s="7">
        <v>0.15</v>
      </c>
      <c r="F929" s="7">
        <v>0.15</v>
      </c>
      <c r="G929" s="7">
        <v>0.22</v>
      </c>
      <c r="H929" s="7">
        <v>0.34</v>
      </c>
      <c r="I929" s="7">
        <v>0.38</v>
      </c>
      <c r="J929" s="7">
        <v>0.3</v>
      </c>
      <c r="K929" s="7">
        <v>1.72</v>
      </c>
      <c r="L929" s="7">
        <v>2.04</v>
      </c>
      <c r="M929" s="7">
        <v>0.67</v>
      </c>
      <c r="N929" s="7">
        <v>0.46</v>
      </c>
      <c r="O929" s="7">
        <v>0.81</v>
      </c>
      <c r="P929" s="7">
        <v>1.45</v>
      </c>
      <c r="Q929" s="7">
        <v>0.01</v>
      </c>
    </row>
    <row r="930" spans="1:17">
      <c r="A930" s="2">
        <v>2878</v>
      </c>
      <c r="B930" s="7">
        <v>1.61</v>
      </c>
      <c r="C930" s="7">
        <v>0.24</v>
      </c>
      <c r="D930" s="7">
        <v>0.92</v>
      </c>
      <c r="E930" s="7">
        <v>0.15</v>
      </c>
      <c r="F930" s="7">
        <v>0.15</v>
      </c>
      <c r="G930" s="7">
        <v>0.22</v>
      </c>
      <c r="H930" s="7">
        <v>0.34</v>
      </c>
      <c r="I930" s="7">
        <v>0.38</v>
      </c>
      <c r="J930" s="7">
        <v>0.3</v>
      </c>
      <c r="K930" s="7">
        <v>1.72</v>
      </c>
      <c r="L930" s="7">
        <v>2.04</v>
      </c>
      <c r="M930" s="7">
        <v>0.67</v>
      </c>
      <c r="N930" s="7">
        <v>0.46</v>
      </c>
      <c r="O930" s="7">
        <v>0.81</v>
      </c>
      <c r="P930" s="7">
        <v>1.45</v>
      </c>
      <c r="Q930" s="7">
        <v>0.01</v>
      </c>
    </row>
    <row r="931" spans="1:17">
      <c r="A931" s="2">
        <v>2879</v>
      </c>
      <c r="B931" s="7">
        <v>1.61</v>
      </c>
      <c r="C931" s="7">
        <v>0.24</v>
      </c>
      <c r="D931" s="7">
        <v>0.92</v>
      </c>
      <c r="E931" s="7">
        <v>0.15</v>
      </c>
      <c r="F931" s="7">
        <v>0.15</v>
      </c>
      <c r="G931" s="7">
        <v>0.22</v>
      </c>
      <c r="H931" s="7">
        <v>0.34</v>
      </c>
      <c r="I931" s="7">
        <v>0.38</v>
      </c>
      <c r="J931" s="7">
        <v>0.3</v>
      </c>
      <c r="K931" s="7">
        <v>1.72</v>
      </c>
      <c r="L931" s="7">
        <v>2.04</v>
      </c>
      <c r="M931" s="7">
        <v>0.67</v>
      </c>
      <c r="N931" s="7">
        <v>0.46</v>
      </c>
      <c r="O931" s="7">
        <v>0.81</v>
      </c>
      <c r="P931" s="7">
        <v>1.45</v>
      </c>
      <c r="Q931" s="7">
        <v>0.01</v>
      </c>
    </row>
    <row r="932" spans="1:17">
      <c r="A932" s="2">
        <v>2880</v>
      </c>
      <c r="B932" s="7">
        <v>1.61</v>
      </c>
      <c r="C932" s="7">
        <v>0.24</v>
      </c>
      <c r="D932" s="7">
        <v>0.92</v>
      </c>
      <c r="E932" s="7">
        <v>0.15</v>
      </c>
      <c r="F932" s="7">
        <v>0.15</v>
      </c>
      <c r="G932" s="7">
        <v>0.22</v>
      </c>
      <c r="H932" s="7">
        <v>0.34</v>
      </c>
      <c r="I932" s="7">
        <v>0.38</v>
      </c>
      <c r="J932" s="7">
        <v>0.3</v>
      </c>
      <c r="K932" s="7">
        <v>1.72</v>
      </c>
      <c r="L932" s="7">
        <v>2.04</v>
      </c>
      <c r="M932" s="7">
        <v>0.67</v>
      </c>
      <c r="N932" s="7">
        <v>0.46</v>
      </c>
      <c r="O932" s="7">
        <v>0.81</v>
      </c>
      <c r="P932" s="7">
        <v>1.45</v>
      </c>
      <c r="Q932" s="7">
        <v>0.01</v>
      </c>
    </row>
    <row r="933" spans="1:17">
      <c r="A933" s="2">
        <v>2881</v>
      </c>
      <c r="B933" s="7">
        <v>1.61</v>
      </c>
      <c r="C933" s="7">
        <v>0.24</v>
      </c>
      <c r="D933" s="7">
        <v>0.92</v>
      </c>
      <c r="E933" s="7">
        <v>0.15</v>
      </c>
      <c r="F933" s="7">
        <v>0.15</v>
      </c>
      <c r="G933" s="7">
        <v>0.22</v>
      </c>
      <c r="H933" s="7">
        <v>0.34</v>
      </c>
      <c r="I933" s="7">
        <v>0.38</v>
      </c>
      <c r="J933" s="7">
        <v>0.3</v>
      </c>
      <c r="K933" s="7">
        <v>1.72</v>
      </c>
      <c r="L933" s="7">
        <v>2.04</v>
      </c>
      <c r="M933" s="7">
        <v>0.67</v>
      </c>
      <c r="N933" s="7">
        <v>0.46</v>
      </c>
      <c r="O933" s="7">
        <v>0.81</v>
      </c>
      <c r="P933" s="7">
        <v>1.45</v>
      </c>
      <c r="Q933" s="7">
        <v>0.01</v>
      </c>
    </row>
    <row r="934" spans="1:17">
      <c r="A934" s="2">
        <v>2882</v>
      </c>
      <c r="B934" s="7">
        <v>1.61</v>
      </c>
      <c r="C934" s="7">
        <v>0.24</v>
      </c>
      <c r="D934" s="7">
        <v>0.92</v>
      </c>
      <c r="E934" s="7">
        <v>0.15</v>
      </c>
      <c r="F934" s="7">
        <v>0.15</v>
      </c>
      <c r="G934" s="7">
        <v>0.22</v>
      </c>
      <c r="H934" s="7">
        <v>0.34</v>
      </c>
      <c r="I934" s="7">
        <v>0.38</v>
      </c>
      <c r="J934" s="7">
        <v>0.3</v>
      </c>
      <c r="K934" s="7">
        <v>1.72</v>
      </c>
      <c r="L934" s="7">
        <v>2.04</v>
      </c>
      <c r="M934" s="7">
        <v>0.67</v>
      </c>
      <c r="N934" s="7">
        <v>0.46</v>
      </c>
      <c r="O934" s="7">
        <v>0.81</v>
      </c>
      <c r="P934" s="7">
        <v>1.45</v>
      </c>
      <c r="Q934" s="7">
        <v>0.01</v>
      </c>
    </row>
    <row r="935" spans="1:17">
      <c r="A935" s="2">
        <v>2883</v>
      </c>
      <c r="B935" s="7">
        <v>1.61</v>
      </c>
      <c r="C935" s="7">
        <v>0.24</v>
      </c>
      <c r="D935" s="7">
        <v>0.92</v>
      </c>
      <c r="E935" s="7">
        <v>0.15</v>
      </c>
      <c r="F935" s="7">
        <v>0.15</v>
      </c>
      <c r="G935" s="7">
        <v>0.22</v>
      </c>
      <c r="H935" s="7">
        <v>0.34</v>
      </c>
      <c r="I935" s="7">
        <v>0.38</v>
      </c>
      <c r="J935" s="7">
        <v>0.3</v>
      </c>
      <c r="K935" s="7">
        <v>1.72</v>
      </c>
      <c r="L935" s="7">
        <v>2.04</v>
      </c>
      <c r="M935" s="7">
        <v>0.67</v>
      </c>
      <c r="N935" s="7">
        <v>0.46</v>
      </c>
      <c r="O935" s="7">
        <v>0.81</v>
      </c>
      <c r="P935" s="7">
        <v>1.45</v>
      </c>
      <c r="Q935" s="7">
        <v>0.01</v>
      </c>
    </row>
    <row r="936" spans="1:17">
      <c r="A936" s="2">
        <v>2884</v>
      </c>
      <c r="B936" s="7">
        <v>1.61</v>
      </c>
      <c r="C936" s="7">
        <v>0.24</v>
      </c>
      <c r="D936" s="7">
        <v>0.92</v>
      </c>
      <c r="E936" s="7">
        <v>0.15</v>
      </c>
      <c r="F936" s="7">
        <v>0.15</v>
      </c>
      <c r="G936" s="7">
        <v>0.22</v>
      </c>
      <c r="H936" s="7">
        <v>0.34</v>
      </c>
      <c r="I936" s="7">
        <v>0.38</v>
      </c>
      <c r="J936" s="7">
        <v>0.3</v>
      </c>
      <c r="K936" s="7">
        <v>1.72</v>
      </c>
      <c r="L936" s="7">
        <v>2.04</v>
      </c>
      <c r="M936" s="7">
        <v>0.67</v>
      </c>
      <c r="N936" s="7">
        <v>0.46</v>
      </c>
      <c r="O936" s="7">
        <v>0.81</v>
      </c>
      <c r="P936" s="7">
        <v>1.45</v>
      </c>
      <c r="Q936" s="7">
        <v>0.01</v>
      </c>
    </row>
    <row r="937" spans="1:17">
      <c r="A937" s="2">
        <v>2885</v>
      </c>
      <c r="B937" s="7">
        <v>1.61</v>
      </c>
      <c r="C937" s="7">
        <v>0.24</v>
      </c>
      <c r="D937" s="7">
        <v>0.92</v>
      </c>
      <c r="E937" s="7">
        <v>0.15</v>
      </c>
      <c r="F937" s="7">
        <v>0.15</v>
      </c>
      <c r="G937" s="7">
        <v>0.22</v>
      </c>
      <c r="H937" s="7">
        <v>0.34</v>
      </c>
      <c r="I937" s="7">
        <v>0.38</v>
      </c>
      <c r="J937" s="7">
        <v>0.3</v>
      </c>
      <c r="K937" s="7">
        <v>1.72</v>
      </c>
      <c r="L937" s="7">
        <v>2.04</v>
      </c>
      <c r="M937" s="7">
        <v>0.67</v>
      </c>
      <c r="N937" s="7">
        <v>0.46</v>
      </c>
      <c r="O937" s="7">
        <v>0.81</v>
      </c>
      <c r="P937" s="7">
        <v>1.45</v>
      </c>
      <c r="Q937" s="7">
        <v>0.01</v>
      </c>
    </row>
    <row r="938" spans="1:17">
      <c r="A938" s="2">
        <v>2886</v>
      </c>
      <c r="B938" s="7">
        <v>1.61</v>
      </c>
      <c r="C938" s="7">
        <v>0.24</v>
      </c>
      <c r="D938" s="7">
        <v>0.92</v>
      </c>
      <c r="E938" s="7">
        <v>0.15</v>
      </c>
      <c r="F938" s="7">
        <v>0.15</v>
      </c>
      <c r="G938" s="7">
        <v>0.22</v>
      </c>
      <c r="H938" s="7">
        <v>0.34</v>
      </c>
      <c r="I938" s="7">
        <v>0.38</v>
      </c>
      <c r="J938" s="7">
        <v>0.3</v>
      </c>
      <c r="K938" s="7">
        <v>1.72</v>
      </c>
      <c r="L938" s="7">
        <v>2.04</v>
      </c>
      <c r="M938" s="7">
        <v>0.67</v>
      </c>
      <c r="N938" s="7">
        <v>0.46</v>
      </c>
      <c r="O938" s="7">
        <v>0.81</v>
      </c>
      <c r="P938" s="7">
        <v>1.45</v>
      </c>
      <c r="Q938" s="7">
        <v>0.01</v>
      </c>
    </row>
    <row r="939" spans="1:17">
      <c r="A939" s="2">
        <v>2887</v>
      </c>
      <c r="B939" s="7">
        <v>1.61</v>
      </c>
      <c r="C939" s="7">
        <v>0.24</v>
      </c>
      <c r="D939" s="7">
        <v>0.92</v>
      </c>
      <c r="E939" s="7">
        <v>0.15</v>
      </c>
      <c r="F939" s="7">
        <v>0.15</v>
      </c>
      <c r="G939" s="7">
        <v>0.22</v>
      </c>
      <c r="H939" s="7">
        <v>0.34</v>
      </c>
      <c r="I939" s="7">
        <v>0.38</v>
      </c>
      <c r="J939" s="7">
        <v>0.3</v>
      </c>
      <c r="K939" s="7">
        <v>1.72</v>
      </c>
      <c r="L939" s="7">
        <v>2.04</v>
      </c>
      <c r="M939" s="7">
        <v>0.67</v>
      </c>
      <c r="N939" s="7">
        <v>0.46</v>
      </c>
      <c r="O939" s="7">
        <v>0.81</v>
      </c>
      <c r="P939" s="7">
        <v>1.45</v>
      </c>
      <c r="Q939" s="7">
        <v>0.01</v>
      </c>
    </row>
    <row r="940" spans="1:17">
      <c r="A940" s="2">
        <v>2888</v>
      </c>
      <c r="B940" s="7">
        <v>1.61</v>
      </c>
      <c r="C940" s="7">
        <v>0.24</v>
      </c>
      <c r="D940" s="7">
        <v>0.92</v>
      </c>
      <c r="E940" s="7">
        <v>0.15</v>
      </c>
      <c r="F940" s="7">
        <v>0.15</v>
      </c>
      <c r="G940" s="7">
        <v>0.22</v>
      </c>
      <c r="H940" s="7">
        <v>0.34</v>
      </c>
      <c r="I940" s="7">
        <v>0.38</v>
      </c>
      <c r="J940" s="7">
        <v>0.3</v>
      </c>
      <c r="K940" s="7">
        <v>1.72</v>
      </c>
      <c r="L940" s="7">
        <v>2.04</v>
      </c>
      <c r="M940" s="7">
        <v>0.67</v>
      </c>
      <c r="N940" s="7">
        <v>0.46</v>
      </c>
      <c r="O940" s="7">
        <v>0.81</v>
      </c>
      <c r="P940" s="7">
        <v>1.45</v>
      </c>
      <c r="Q940" s="7">
        <v>0.01</v>
      </c>
    </row>
    <row r="941" spans="1:17">
      <c r="A941" s="2">
        <v>2889</v>
      </c>
      <c r="B941" s="7">
        <v>1.61</v>
      </c>
      <c r="C941" s="7">
        <v>0.24</v>
      </c>
      <c r="D941" s="7">
        <v>0.92</v>
      </c>
      <c r="E941" s="7">
        <v>0.15</v>
      </c>
      <c r="F941" s="7">
        <v>0.15</v>
      </c>
      <c r="G941" s="7">
        <v>0.22</v>
      </c>
      <c r="H941" s="7">
        <v>0.34</v>
      </c>
      <c r="I941" s="7">
        <v>0.38</v>
      </c>
      <c r="J941" s="7">
        <v>0.3</v>
      </c>
      <c r="K941" s="7">
        <v>1.72</v>
      </c>
      <c r="L941" s="7">
        <v>2.04</v>
      </c>
      <c r="M941" s="7">
        <v>0.67</v>
      </c>
      <c r="N941" s="7">
        <v>0.46</v>
      </c>
      <c r="O941" s="7">
        <v>0.81</v>
      </c>
      <c r="P941" s="7">
        <v>1.45</v>
      </c>
      <c r="Q941" s="7">
        <v>0.01</v>
      </c>
    </row>
    <row r="942" spans="1:17">
      <c r="A942" s="2">
        <v>2890</v>
      </c>
      <c r="B942" s="7">
        <v>1.61</v>
      </c>
      <c r="C942" s="7">
        <v>0.24</v>
      </c>
      <c r="D942" s="7">
        <v>0.92</v>
      </c>
      <c r="E942" s="7">
        <v>0.15</v>
      </c>
      <c r="F942" s="7">
        <v>0.15</v>
      </c>
      <c r="G942" s="7">
        <v>0.22</v>
      </c>
      <c r="H942" s="7">
        <v>0.34</v>
      </c>
      <c r="I942" s="7">
        <v>0.38</v>
      </c>
      <c r="J942" s="7">
        <v>0.3</v>
      </c>
      <c r="K942" s="7">
        <v>1.72</v>
      </c>
      <c r="L942" s="7">
        <v>2.04</v>
      </c>
      <c r="M942" s="7">
        <v>0.67</v>
      </c>
      <c r="N942" s="7">
        <v>0.46</v>
      </c>
      <c r="O942" s="7">
        <v>0.81</v>
      </c>
      <c r="P942" s="7">
        <v>1.45</v>
      </c>
      <c r="Q942" s="7">
        <v>0.01</v>
      </c>
    </row>
    <row r="943" spans="1:17">
      <c r="A943" s="2">
        <v>2891</v>
      </c>
      <c r="B943" s="7">
        <v>1.61</v>
      </c>
      <c r="C943" s="7">
        <v>0.24</v>
      </c>
      <c r="D943" s="7">
        <v>0.92</v>
      </c>
      <c r="E943" s="7">
        <v>0.15</v>
      </c>
      <c r="F943" s="7">
        <v>0.15</v>
      </c>
      <c r="G943" s="7">
        <v>0.22</v>
      </c>
      <c r="H943" s="7">
        <v>0.34</v>
      </c>
      <c r="I943" s="7">
        <v>0.38</v>
      </c>
      <c r="J943" s="7">
        <v>0.3</v>
      </c>
      <c r="K943" s="7">
        <v>1.72</v>
      </c>
      <c r="L943" s="7">
        <v>2.04</v>
      </c>
      <c r="M943" s="7">
        <v>0.67</v>
      </c>
      <c r="N943" s="7">
        <v>0.46</v>
      </c>
      <c r="O943" s="7">
        <v>0.81</v>
      </c>
      <c r="P943" s="7">
        <v>1.45</v>
      </c>
      <c r="Q943" s="7">
        <v>0.01</v>
      </c>
    </row>
    <row r="944" spans="1:17">
      <c r="A944" s="2">
        <v>2892</v>
      </c>
      <c r="B944" s="7">
        <v>1.61</v>
      </c>
      <c r="C944" s="7">
        <v>0.24</v>
      </c>
      <c r="D944" s="7">
        <v>0.92</v>
      </c>
      <c r="E944" s="7">
        <v>0.15</v>
      </c>
      <c r="F944" s="7">
        <v>0.15</v>
      </c>
      <c r="G944" s="7">
        <v>0.22</v>
      </c>
      <c r="H944" s="7">
        <v>0.34</v>
      </c>
      <c r="I944" s="7">
        <v>0.38</v>
      </c>
      <c r="J944" s="7">
        <v>0.3</v>
      </c>
      <c r="K944" s="7">
        <v>1.72</v>
      </c>
      <c r="L944" s="7">
        <v>2.04</v>
      </c>
      <c r="M944" s="7">
        <v>0.67</v>
      </c>
      <c r="N944" s="7">
        <v>0.46</v>
      </c>
      <c r="O944" s="7">
        <v>0.81</v>
      </c>
      <c r="P944" s="7">
        <v>1.45</v>
      </c>
      <c r="Q944" s="7">
        <v>0.01</v>
      </c>
    </row>
    <row r="945" spans="1:17">
      <c r="A945" s="2">
        <v>2893</v>
      </c>
      <c r="B945" s="7">
        <v>1.61</v>
      </c>
      <c r="C945" s="7">
        <v>0.24</v>
      </c>
      <c r="D945" s="7">
        <v>0.92</v>
      </c>
      <c r="E945" s="7">
        <v>0.15</v>
      </c>
      <c r="F945" s="7">
        <v>0.15</v>
      </c>
      <c r="G945" s="7">
        <v>0.22</v>
      </c>
      <c r="H945" s="7">
        <v>0.34</v>
      </c>
      <c r="I945" s="7">
        <v>0.38</v>
      </c>
      <c r="J945" s="7">
        <v>0.3</v>
      </c>
      <c r="K945" s="7">
        <v>1.72</v>
      </c>
      <c r="L945" s="7">
        <v>2.04</v>
      </c>
      <c r="M945" s="7">
        <v>0.67</v>
      </c>
      <c r="N945" s="7">
        <v>0.46</v>
      </c>
      <c r="O945" s="7">
        <v>0.81</v>
      </c>
      <c r="P945" s="7">
        <v>1.45</v>
      </c>
      <c r="Q945" s="7">
        <v>0.01</v>
      </c>
    </row>
    <row r="946" spans="1:17">
      <c r="A946" s="2">
        <v>2894</v>
      </c>
      <c r="B946" s="7">
        <v>1.61</v>
      </c>
      <c r="C946" s="7">
        <v>0.24</v>
      </c>
      <c r="D946" s="7">
        <v>0.92</v>
      </c>
      <c r="E946" s="7">
        <v>0.15</v>
      </c>
      <c r="F946" s="7">
        <v>0.15</v>
      </c>
      <c r="G946" s="7">
        <v>0.22</v>
      </c>
      <c r="H946" s="7">
        <v>0.34</v>
      </c>
      <c r="I946" s="7">
        <v>0.38</v>
      </c>
      <c r="J946" s="7">
        <v>0.3</v>
      </c>
      <c r="K946" s="7">
        <v>1.72</v>
      </c>
      <c r="L946" s="7">
        <v>2.04</v>
      </c>
      <c r="M946" s="7">
        <v>0.67</v>
      </c>
      <c r="N946" s="7">
        <v>0.46</v>
      </c>
      <c r="O946" s="7">
        <v>0.81</v>
      </c>
      <c r="P946" s="7">
        <v>1.45</v>
      </c>
      <c r="Q946" s="7">
        <v>0.01</v>
      </c>
    </row>
    <row r="947" spans="1:17">
      <c r="A947" s="2">
        <v>2895</v>
      </c>
      <c r="B947" s="7">
        <v>1.61</v>
      </c>
      <c r="C947" s="7">
        <v>0.24</v>
      </c>
      <c r="D947" s="7">
        <v>0.92</v>
      </c>
      <c r="E947" s="7">
        <v>0.15</v>
      </c>
      <c r="F947" s="7">
        <v>0.15</v>
      </c>
      <c r="G947" s="7">
        <v>0.22</v>
      </c>
      <c r="H947" s="7">
        <v>0.34</v>
      </c>
      <c r="I947" s="7">
        <v>0.38</v>
      </c>
      <c r="J947" s="7">
        <v>0.3</v>
      </c>
      <c r="K947" s="7">
        <v>1.72</v>
      </c>
      <c r="L947" s="7">
        <v>2.04</v>
      </c>
      <c r="M947" s="7">
        <v>0.67</v>
      </c>
      <c r="N947" s="7">
        <v>0.46</v>
      </c>
      <c r="O947" s="7">
        <v>0.81</v>
      </c>
      <c r="P947" s="7">
        <v>1.45</v>
      </c>
      <c r="Q947" s="7">
        <v>0.01</v>
      </c>
    </row>
    <row r="948" spans="1:17">
      <c r="A948" s="2">
        <v>2896</v>
      </c>
      <c r="B948" s="7">
        <v>1.61</v>
      </c>
      <c r="C948" s="7">
        <v>0.24</v>
      </c>
      <c r="D948" s="7">
        <v>0.92</v>
      </c>
      <c r="E948" s="7">
        <v>0.15</v>
      </c>
      <c r="F948" s="7">
        <v>0.15</v>
      </c>
      <c r="G948" s="7">
        <v>0.22</v>
      </c>
      <c r="H948" s="7">
        <v>0.34</v>
      </c>
      <c r="I948" s="7">
        <v>0.38</v>
      </c>
      <c r="J948" s="7">
        <v>0.3</v>
      </c>
      <c r="K948" s="7">
        <v>1.72</v>
      </c>
      <c r="L948" s="7">
        <v>2.04</v>
      </c>
      <c r="M948" s="7">
        <v>0.67</v>
      </c>
      <c r="N948" s="7">
        <v>0.46</v>
      </c>
      <c r="O948" s="7">
        <v>0.81</v>
      </c>
      <c r="P948" s="7">
        <v>1.45</v>
      </c>
      <c r="Q948" s="7">
        <v>0.01</v>
      </c>
    </row>
    <row r="949" spans="1:17">
      <c r="A949" s="2">
        <v>2897</v>
      </c>
      <c r="B949" s="7">
        <v>1.61</v>
      </c>
      <c r="C949" s="7">
        <v>0.24</v>
      </c>
      <c r="D949" s="7">
        <v>0.92</v>
      </c>
      <c r="E949" s="7">
        <v>0.15</v>
      </c>
      <c r="F949" s="7">
        <v>0.15</v>
      </c>
      <c r="G949" s="7">
        <v>0.22</v>
      </c>
      <c r="H949" s="7">
        <v>0.34</v>
      </c>
      <c r="I949" s="7">
        <v>0.38</v>
      </c>
      <c r="J949" s="7">
        <v>0.3</v>
      </c>
      <c r="K949" s="7">
        <v>1.72</v>
      </c>
      <c r="L949" s="7">
        <v>2.04</v>
      </c>
      <c r="M949" s="7">
        <v>0.67</v>
      </c>
      <c r="N949" s="7">
        <v>0.46</v>
      </c>
      <c r="O949" s="7">
        <v>0.81</v>
      </c>
      <c r="P949" s="7">
        <v>1.45</v>
      </c>
      <c r="Q949" s="7">
        <v>0.01</v>
      </c>
    </row>
    <row r="950" spans="1:17">
      <c r="A950" s="2">
        <v>2898</v>
      </c>
      <c r="B950" s="7">
        <v>1.61</v>
      </c>
      <c r="C950" s="7">
        <v>0.24</v>
      </c>
      <c r="D950" s="7">
        <v>0.92</v>
      </c>
      <c r="E950" s="7">
        <v>0.15</v>
      </c>
      <c r="F950" s="7">
        <v>0.15</v>
      </c>
      <c r="G950" s="7">
        <v>0.22</v>
      </c>
      <c r="H950" s="7">
        <v>0.34</v>
      </c>
      <c r="I950" s="7">
        <v>0.38</v>
      </c>
      <c r="J950" s="7">
        <v>0.3</v>
      </c>
      <c r="K950" s="7">
        <v>1.72</v>
      </c>
      <c r="L950" s="7">
        <v>2.04</v>
      </c>
      <c r="M950" s="7">
        <v>0.67</v>
      </c>
      <c r="N950" s="7">
        <v>0.46</v>
      </c>
      <c r="O950" s="7">
        <v>0.81</v>
      </c>
      <c r="P950" s="7">
        <v>1.45</v>
      </c>
      <c r="Q950" s="7">
        <v>0.01</v>
      </c>
    </row>
    <row r="951" spans="1:17">
      <c r="A951" s="2">
        <v>2899</v>
      </c>
      <c r="B951" s="7">
        <v>1.61</v>
      </c>
      <c r="C951" s="7">
        <v>0.24</v>
      </c>
      <c r="D951" s="7">
        <v>0.92</v>
      </c>
      <c r="E951" s="7">
        <v>0.15</v>
      </c>
      <c r="F951" s="7">
        <v>0.15</v>
      </c>
      <c r="G951" s="7">
        <v>0.22</v>
      </c>
      <c r="H951" s="7">
        <v>0.34</v>
      </c>
      <c r="I951" s="7">
        <v>0.38</v>
      </c>
      <c r="J951" s="7">
        <v>0.3</v>
      </c>
      <c r="K951" s="7">
        <v>1.72</v>
      </c>
      <c r="L951" s="7">
        <v>2.04</v>
      </c>
      <c r="M951" s="7">
        <v>0.67</v>
      </c>
      <c r="N951" s="7">
        <v>0.46</v>
      </c>
      <c r="O951" s="7">
        <v>0.81</v>
      </c>
      <c r="P951" s="7">
        <v>1.45</v>
      </c>
      <c r="Q951" s="7">
        <v>0.01</v>
      </c>
    </row>
    <row r="952" spans="1:17">
      <c r="A952" s="2">
        <v>2900</v>
      </c>
      <c r="B952" s="7">
        <v>1.61</v>
      </c>
      <c r="C952" s="7">
        <v>0.24</v>
      </c>
      <c r="D952" s="7">
        <v>0.92</v>
      </c>
      <c r="E952" s="7">
        <v>0.15</v>
      </c>
      <c r="F952" s="7">
        <v>0.15</v>
      </c>
      <c r="G952" s="7">
        <v>0.22</v>
      </c>
      <c r="H952" s="7">
        <v>0.34</v>
      </c>
      <c r="I952" s="7">
        <v>0.38</v>
      </c>
      <c r="J952" s="7">
        <v>0.3</v>
      </c>
      <c r="K952" s="7">
        <v>1.72</v>
      </c>
      <c r="L952" s="7">
        <v>2.04</v>
      </c>
      <c r="M952" s="7">
        <v>0.67</v>
      </c>
      <c r="N952" s="7">
        <v>0.46</v>
      </c>
      <c r="O952" s="7">
        <v>0.81</v>
      </c>
      <c r="P952" s="7">
        <v>1.45</v>
      </c>
      <c r="Q952" s="7">
        <v>0.01</v>
      </c>
    </row>
    <row r="953" spans="1:17">
      <c r="A953" s="2">
        <v>2901</v>
      </c>
      <c r="B953" s="7">
        <v>1.61</v>
      </c>
      <c r="C953" s="7">
        <v>0.24</v>
      </c>
      <c r="D953" s="7">
        <v>0.92</v>
      </c>
      <c r="E953" s="7">
        <v>0.15</v>
      </c>
      <c r="F953" s="7">
        <v>0.15</v>
      </c>
      <c r="G953" s="7">
        <v>0.22</v>
      </c>
      <c r="H953" s="7">
        <v>0.34</v>
      </c>
      <c r="I953" s="7">
        <v>0.38</v>
      </c>
      <c r="J953" s="7">
        <v>0.3</v>
      </c>
      <c r="K953" s="7">
        <v>1.72</v>
      </c>
      <c r="L953" s="7">
        <v>2.04</v>
      </c>
      <c r="M953" s="7">
        <v>0.67</v>
      </c>
      <c r="N953" s="7">
        <v>0.46</v>
      </c>
      <c r="O953" s="7">
        <v>0.81</v>
      </c>
      <c r="P953" s="7">
        <v>1.45</v>
      </c>
      <c r="Q953" s="7">
        <v>0.01</v>
      </c>
    </row>
    <row r="954" spans="1:17">
      <c r="A954" s="2">
        <v>2902</v>
      </c>
      <c r="B954" s="7">
        <v>1.61</v>
      </c>
      <c r="C954" s="7">
        <v>0.24</v>
      </c>
      <c r="D954" s="7">
        <v>0.92</v>
      </c>
      <c r="E954" s="7">
        <v>0.15</v>
      </c>
      <c r="F954" s="7">
        <v>0.15</v>
      </c>
      <c r="G954" s="7">
        <v>0.22</v>
      </c>
      <c r="H954" s="7">
        <v>0.34</v>
      </c>
      <c r="I954" s="7">
        <v>0.38</v>
      </c>
      <c r="J954" s="7">
        <v>0.3</v>
      </c>
      <c r="K954" s="7">
        <v>1.72</v>
      </c>
      <c r="L954" s="7">
        <v>2.04</v>
      </c>
      <c r="M954" s="7">
        <v>0.67</v>
      </c>
      <c r="N954" s="7">
        <v>0.46</v>
      </c>
      <c r="O954" s="7">
        <v>0.81</v>
      </c>
      <c r="P954" s="7">
        <v>1.45</v>
      </c>
      <c r="Q954" s="7">
        <v>0.01</v>
      </c>
    </row>
    <row r="955" spans="1:17">
      <c r="A955" s="2">
        <v>2903</v>
      </c>
      <c r="B955" s="7">
        <v>1.61</v>
      </c>
      <c r="C955" s="7">
        <v>0.24</v>
      </c>
      <c r="D955" s="7">
        <v>0.92</v>
      </c>
      <c r="E955" s="7">
        <v>0.15</v>
      </c>
      <c r="F955" s="7">
        <v>0.15</v>
      </c>
      <c r="G955" s="7">
        <v>0.22</v>
      </c>
      <c r="H955" s="7">
        <v>0.34</v>
      </c>
      <c r="I955" s="7">
        <v>0.38</v>
      </c>
      <c r="J955" s="7">
        <v>0.3</v>
      </c>
      <c r="K955" s="7">
        <v>1.72</v>
      </c>
      <c r="L955" s="7">
        <v>2.04</v>
      </c>
      <c r="M955" s="7">
        <v>0.67</v>
      </c>
      <c r="N955" s="7">
        <v>0.46</v>
      </c>
      <c r="O955" s="7">
        <v>0.81</v>
      </c>
      <c r="P955" s="7">
        <v>1.45</v>
      </c>
      <c r="Q955" s="7">
        <v>0.01</v>
      </c>
    </row>
    <row r="956" spans="1:17">
      <c r="A956" s="2">
        <v>2904</v>
      </c>
      <c r="B956" s="7">
        <v>1.61</v>
      </c>
      <c r="C956" s="7">
        <v>0.24</v>
      </c>
      <c r="D956" s="7">
        <v>0.92</v>
      </c>
      <c r="E956" s="7">
        <v>0.15</v>
      </c>
      <c r="F956" s="7">
        <v>0.15</v>
      </c>
      <c r="G956" s="7">
        <v>0.22</v>
      </c>
      <c r="H956" s="7">
        <v>0.34</v>
      </c>
      <c r="I956" s="7">
        <v>0.38</v>
      </c>
      <c r="J956" s="7">
        <v>0.3</v>
      </c>
      <c r="K956" s="7">
        <v>1.72</v>
      </c>
      <c r="L956" s="7">
        <v>2.04</v>
      </c>
      <c r="M956" s="7">
        <v>0.67</v>
      </c>
      <c r="N956" s="7">
        <v>0.46</v>
      </c>
      <c r="O956" s="7">
        <v>0.81</v>
      </c>
      <c r="P956" s="7">
        <v>1.45</v>
      </c>
      <c r="Q956" s="7">
        <v>0.01</v>
      </c>
    </row>
    <row r="957" spans="1:17">
      <c r="A957" s="2">
        <v>2905</v>
      </c>
      <c r="B957" s="7">
        <v>1.61</v>
      </c>
      <c r="C957" s="7">
        <v>0.24</v>
      </c>
      <c r="D957" s="7">
        <v>0.92</v>
      </c>
      <c r="E957" s="7">
        <v>0.15</v>
      </c>
      <c r="F957" s="7">
        <v>0.15</v>
      </c>
      <c r="G957" s="7">
        <v>0.22</v>
      </c>
      <c r="H957" s="7">
        <v>0.34</v>
      </c>
      <c r="I957" s="7">
        <v>0.38</v>
      </c>
      <c r="J957" s="7">
        <v>0.3</v>
      </c>
      <c r="K957" s="7">
        <v>1.72</v>
      </c>
      <c r="L957" s="7">
        <v>2.04</v>
      </c>
      <c r="M957" s="7">
        <v>0.67</v>
      </c>
      <c r="N957" s="7">
        <v>0.46</v>
      </c>
      <c r="O957" s="7">
        <v>0.81</v>
      </c>
      <c r="P957" s="7">
        <v>1.45</v>
      </c>
      <c r="Q957" s="7">
        <v>0.01</v>
      </c>
    </row>
    <row r="958" spans="1:17">
      <c r="A958" s="2">
        <v>2906</v>
      </c>
      <c r="B958" s="7">
        <v>1.61</v>
      </c>
      <c r="C958" s="7">
        <v>0.24</v>
      </c>
      <c r="D958" s="7">
        <v>0.92</v>
      </c>
      <c r="E958" s="7">
        <v>0.15</v>
      </c>
      <c r="F958" s="7">
        <v>0.15</v>
      </c>
      <c r="G958" s="7">
        <v>0.22</v>
      </c>
      <c r="H958" s="7">
        <v>0.34</v>
      </c>
      <c r="I958" s="7">
        <v>0.38</v>
      </c>
      <c r="J958" s="7">
        <v>0.3</v>
      </c>
      <c r="K958" s="7">
        <v>1.72</v>
      </c>
      <c r="L958" s="7">
        <v>2.04</v>
      </c>
      <c r="M958" s="7">
        <v>0.67</v>
      </c>
      <c r="N958" s="7">
        <v>0.46</v>
      </c>
      <c r="O958" s="7">
        <v>0.81</v>
      </c>
      <c r="P958" s="7">
        <v>1.45</v>
      </c>
      <c r="Q958" s="7">
        <v>0.01</v>
      </c>
    </row>
    <row r="959" spans="1:17">
      <c r="A959" s="2">
        <v>2907</v>
      </c>
      <c r="B959" s="7">
        <v>1.61</v>
      </c>
      <c r="C959" s="7">
        <v>0.24</v>
      </c>
      <c r="D959" s="7">
        <v>0.92</v>
      </c>
      <c r="E959" s="7">
        <v>0.15</v>
      </c>
      <c r="F959" s="7">
        <v>0.15</v>
      </c>
      <c r="G959" s="7">
        <v>0.22</v>
      </c>
      <c r="H959" s="7">
        <v>0.34</v>
      </c>
      <c r="I959" s="7">
        <v>0.38</v>
      </c>
      <c r="J959" s="7">
        <v>0.3</v>
      </c>
      <c r="K959" s="7">
        <v>1.72</v>
      </c>
      <c r="L959" s="7">
        <v>2.04</v>
      </c>
      <c r="M959" s="7">
        <v>0.67</v>
      </c>
      <c r="N959" s="7">
        <v>0.46</v>
      </c>
      <c r="O959" s="7">
        <v>0.81</v>
      </c>
      <c r="P959" s="7">
        <v>1.45</v>
      </c>
      <c r="Q959" s="7">
        <v>0.01</v>
      </c>
    </row>
    <row r="960" spans="1:17">
      <c r="A960" s="2">
        <v>2908</v>
      </c>
      <c r="B960" s="7">
        <v>1.61</v>
      </c>
      <c r="C960" s="7">
        <v>0.24</v>
      </c>
      <c r="D960" s="7">
        <v>0.92</v>
      </c>
      <c r="E960" s="7">
        <v>0.15</v>
      </c>
      <c r="F960" s="7">
        <v>0.15</v>
      </c>
      <c r="G960" s="7">
        <v>0.22</v>
      </c>
      <c r="H960" s="7">
        <v>0.34</v>
      </c>
      <c r="I960" s="7">
        <v>0.38</v>
      </c>
      <c r="J960" s="7">
        <v>0.3</v>
      </c>
      <c r="K960" s="7">
        <v>1.72</v>
      </c>
      <c r="L960" s="7">
        <v>2.04</v>
      </c>
      <c r="M960" s="7">
        <v>0.67</v>
      </c>
      <c r="N960" s="7">
        <v>0.46</v>
      </c>
      <c r="O960" s="7">
        <v>0.81</v>
      </c>
      <c r="P960" s="7">
        <v>1.45</v>
      </c>
      <c r="Q960" s="7">
        <v>0.01</v>
      </c>
    </row>
    <row r="961" spans="1:17">
      <c r="A961" s="2">
        <v>2909</v>
      </c>
      <c r="B961" s="7">
        <v>1.61</v>
      </c>
      <c r="C961" s="7">
        <v>0.24</v>
      </c>
      <c r="D961" s="7">
        <v>0.92</v>
      </c>
      <c r="E961" s="7">
        <v>0.15</v>
      </c>
      <c r="F961" s="7">
        <v>0.15</v>
      </c>
      <c r="G961" s="7">
        <v>0.22</v>
      </c>
      <c r="H961" s="7">
        <v>0.34</v>
      </c>
      <c r="I961" s="7">
        <v>0.38</v>
      </c>
      <c r="J961" s="7">
        <v>0.3</v>
      </c>
      <c r="K961" s="7">
        <v>1.72</v>
      </c>
      <c r="L961" s="7">
        <v>2.04</v>
      </c>
      <c r="M961" s="7">
        <v>0.67</v>
      </c>
      <c r="N961" s="7">
        <v>0.46</v>
      </c>
      <c r="O961" s="7">
        <v>0.81</v>
      </c>
      <c r="P961" s="7">
        <v>1.45</v>
      </c>
      <c r="Q961" s="7">
        <v>0.01</v>
      </c>
    </row>
    <row r="962" spans="1:17">
      <c r="A962" s="2">
        <v>2910</v>
      </c>
      <c r="B962" s="7">
        <v>1.61</v>
      </c>
      <c r="C962" s="7">
        <v>0.24</v>
      </c>
      <c r="D962" s="7">
        <v>0.92</v>
      </c>
      <c r="E962" s="7">
        <v>0.15</v>
      </c>
      <c r="F962" s="7">
        <v>0.15</v>
      </c>
      <c r="G962" s="7">
        <v>0.22</v>
      </c>
      <c r="H962" s="7">
        <v>0.34</v>
      </c>
      <c r="I962" s="7">
        <v>0.38</v>
      </c>
      <c r="J962" s="7">
        <v>0.3</v>
      </c>
      <c r="K962" s="7">
        <v>1.72</v>
      </c>
      <c r="L962" s="7">
        <v>2.04</v>
      </c>
      <c r="M962" s="7">
        <v>0.67</v>
      </c>
      <c r="N962" s="7">
        <v>0.46</v>
      </c>
      <c r="O962" s="7">
        <v>0.81</v>
      </c>
      <c r="P962" s="7">
        <v>1.45</v>
      </c>
      <c r="Q962" s="7">
        <v>0.01</v>
      </c>
    </row>
    <row r="963" spans="1:17">
      <c r="A963" s="2">
        <v>2911</v>
      </c>
      <c r="B963" s="7">
        <v>1.61</v>
      </c>
      <c r="C963" s="7">
        <v>0.24</v>
      </c>
      <c r="D963" s="7">
        <v>0.92</v>
      </c>
      <c r="E963" s="7">
        <v>0.15</v>
      </c>
      <c r="F963" s="7">
        <v>0.15</v>
      </c>
      <c r="G963" s="7">
        <v>0.22</v>
      </c>
      <c r="H963" s="7">
        <v>0.34</v>
      </c>
      <c r="I963" s="7">
        <v>0.38</v>
      </c>
      <c r="J963" s="7">
        <v>0.3</v>
      </c>
      <c r="K963" s="7">
        <v>1.72</v>
      </c>
      <c r="L963" s="7">
        <v>2.04</v>
      </c>
      <c r="M963" s="7">
        <v>0.67</v>
      </c>
      <c r="N963" s="7">
        <v>0.46</v>
      </c>
      <c r="O963" s="7">
        <v>0.81</v>
      </c>
      <c r="P963" s="7">
        <v>1.45</v>
      </c>
      <c r="Q963" s="7">
        <v>0.01</v>
      </c>
    </row>
    <row r="964" spans="1:17">
      <c r="A964" s="2">
        <v>2912</v>
      </c>
      <c r="B964" s="7">
        <v>1.61</v>
      </c>
      <c r="C964" s="7">
        <v>0.24</v>
      </c>
      <c r="D964" s="7">
        <v>0.92</v>
      </c>
      <c r="E964" s="7">
        <v>0.15</v>
      </c>
      <c r="F964" s="7">
        <v>0.15</v>
      </c>
      <c r="G964" s="7">
        <v>0.22</v>
      </c>
      <c r="H964" s="7">
        <v>0.34</v>
      </c>
      <c r="I964" s="7">
        <v>0.38</v>
      </c>
      <c r="J964" s="7">
        <v>0.3</v>
      </c>
      <c r="K964" s="7">
        <v>1.72</v>
      </c>
      <c r="L964" s="7">
        <v>2.04</v>
      </c>
      <c r="M964" s="7">
        <v>0.67</v>
      </c>
      <c r="N964" s="7">
        <v>0.46</v>
      </c>
      <c r="O964" s="7">
        <v>0.81</v>
      </c>
      <c r="P964" s="7">
        <v>1.45</v>
      </c>
      <c r="Q964" s="7">
        <v>0.01</v>
      </c>
    </row>
    <row r="965" spans="1:17">
      <c r="A965" s="2">
        <v>2913</v>
      </c>
      <c r="B965" s="7">
        <v>1.61</v>
      </c>
      <c r="C965" s="7">
        <v>0.24</v>
      </c>
      <c r="D965" s="7">
        <v>0.92</v>
      </c>
      <c r="E965" s="7">
        <v>0.15</v>
      </c>
      <c r="F965" s="7">
        <v>0.15</v>
      </c>
      <c r="G965" s="7">
        <v>0.22</v>
      </c>
      <c r="H965" s="7">
        <v>0.34</v>
      </c>
      <c r="I965" s="7">
        <v>0.38</v>
      </c>
      <c r="J965" s="7">
        <v>0.3</v>
      </c>
      <c r="K965" s="7">
        <v>1.72</v>
      </c>
      <c r="L965" s="7">
        <v>2.04</v>
      </c>
      <c r="M965" s="7">
        <v>0.67</v>
      </c>
      <c r="N965" s="7">
        <v>0.46</v>
      </c>
      <c r="O965" s="7">
        <v>0.81</v>
      </c>
      <c r="P965" s="7">
        <v>1.45</v>
      </c>
      <c r="Q965" s="7">
        <v>0.01</v>
      </c>
    </row>
    <row r="966" spans="1:17">
      <c r="A966" s="2">
        <v>2914</v>
      </c>
      <c r="B966" s="7">
        <v>1.61</v>
      </c>
      <c r="C966" s="7">
        <v>0.24</v>
      </c>
      <c r="D966" s="7">
        <v>0.92</v>
      </c>
      <c r="E966" s="7">
        <v>0.15</v>
      </c>
      <c r="F966" s="7">
        <v>0.15</v>
      </c>
      <c r="G966" s="7">
        <v>0.22</v>
      </c>
      <c r="H966" s="7">
        <v>0.34</v>
      </c>
      <c r="I966" s="7">
        <v>0.38</v>
      </c>
      <c r="J966" s="7">
        <v>0.3</v>
      </c>
      <c r="K966" s="7">
        <v>1.72</v>
      </c>
      <c r="L966" s="7">
        <v>2.04</v>
      </c>
      <c r="M966" s="7">
        <v>0.67</v>
      </c>
      <c r="N966" s="7">
        <v>0.46</v>
      </c>
      <c r="O966" s="7">
        <v>0.81</v>
      </c>
      <c r="P966" s="7">
        <v>1.45</v>
      </c>
      <c r="Q966" s="7">
        <v>0.01</v>
      </c>
    </row>
    <row r="967" spans="1:17">
      <c r="A967" s="2">
        <v>2915</v>
      </c>
      <c r="B967" s="7">
        <v>1.61</v>
      </c>
      <c r="C967" s="7">
        <v>0.24</v>
      </c>
      <c r="D967" s="7">
        <v>0.92</v>
      </c>
      <c r="E967" s="7">
        <v>0.15</v>
      </c>
      <c r="F967" s="7">
        <v>0.15</v>
      </c>
      <c r="G967" s="7">
        <v>0.22</v>
      </c>
      <c r="H967" s="7">
        <v>0.34</v>
      </c>
      <c r="I967" s="7">
        <v>0.38</v>
      </c>
      <c r="J967" s="7">
        <v>0.3</v>
      </c>
      <c r="K967" s="7">
        <v>1.72</v>
      </c>
      <c r="L967" s="7">
        <v>2.04</v>
      </c>
      <c r="M967" s="7">
        <v>0.67</v>
      </c>
      <c r="N967" s="7">
        <v>0.46</v>
      </c>
      <c r="O967" s="7">
        <v>0.81</v>
      </c>
      <c r="P967" s="7">
        <v>1.45</v>
      </c>
      <c r="Q967" s="7">
        <v>0.01</v>
      </c>
    </row>
    <row r="968" spans="1:17">
      <c r="A968" s="2">
        <v>2916</v>
      </c>
      <c r="B968" s="7">
        <v>1.61</v>
      </c>
      <c r="C968" s="7">
        <v>0.24</v>
      </c>
      <c r="D968" s="7">
        <v>0.92</v>
      </c>
      <c r="E968" s="7">
        <v>0.15</v>
      </c>
      <c r="F968" s="7">
        <v>0.15</v>
      </c>
      <c r="G968" s="7">
        <v>0.22</v>
      </c>
      <c r="H968" s="7">
        <v>0.34</v>
      </c>
      <c r="I968" s="7">
        <v>0.38</v>
      </c>
      <c r="J968" s="7">
        <v>0.3</v>
      </c>
      <c r="K968" s="7">
        <v>1.72</v>
      </c>
      <c r="L968" s="7">
        <v>2.04</v>
      </c>
      <c r="M968" s="7">
        <v>0.67</v>
      </c>
      <c r="N968" s="7">
        <v>0.46</v>
      </c>
      <c r="O968" s="7">
        <v>0.81</v>
      </c>
      <c r="P968" s="7">
        <v>1.45</v>
      </c>
      <c r="Q968" s="7">
        <v>0.01</v>
      </c>
    </row>
    <row r="969" spans="1:17">
      <c r="A969" s="2">
        <v>2917</v>
      </c>
      <c r="B969" s="7">
        <v>1.61</v>
      </c>
      <c r="C969" s="7">
        <v>0.24</v>
      </c>
      <c r="D969" s="7">
        <v>0.92</v>
      </c>
      <c r="E969" s="7">
        <v>0.15</v>
      </c>
      <c r="F969" s="7">
        <v>0.15</v>
      </c>
      <c r="G969" s="7">
        <v>0.22</v>
      </c>
      <c r="H969" s="7">
        <v>0.34</v>
      </c>
      <c r="I969" s="7">
        <v>0.38</v>
      </c>
      <c r="J969" s="7">
        <v>0.3</v>
      </c>
      <c r="K969" s="7">
        <v>1.72</v>
      </c>
      <c r="L969" s="7">
        <v>2.04</v>
      </c>
      <c r="M969" s="7">
        <v>0.67</v>
      </c>
      <c r="N969" s="7">
        <v>0.46</v>
      </c>
      <c r="O969" s="7">
        <v>0.81</v>
      </c>
      <c r="P969" s="7">
        <v>1.45</v>
      </c>
      <c r="Q969" s="7">
        <v>0.01</v>
      </c>
    </row>
    <row r="970" spans="1:17">
      <c r="A970" s="2">
        <v>2918</v>
      </c>
      <c r="B970" s="7">
        <v>1.61</v>
      </c>
      <c r="C970" s="7">
        <v>0.24</v>
      </c>
      <c r="D970" s="7">
        <v>0.92</v>
      </c>
      <c r="E970" s="7">
        <v>0.15</v>
      </c>
      <c r="F970" s="7">
        <v>0.15</v>
      </c>
      <c r="G970" s="7">
        <v>0.22</v>
      </c>
      <c r="H970" s="7">
        <v>0.34</v>
      </c>
      <c r="I970" s="7">
        <v>0.38</v>
      </c>
      <c r="J970" s="7">
        <v>0.3</v>
      </c>
      <c r="K970" s="7">
        <v>1.72</v>
      </c>
      <c r="L970" s="7">
        <v>2.04</v>
      </c>
      <c r="M970" s="7">
        <v>0.67</v>
      </c>
      <c r="N970" s="7">
        <v>0.46</v>
      </c>
      <c r="O970" s="7">
        <v>0.81</v>
      </c>
      <c r="P970" s="7">
        <v>1.45</v>
      </c>
      <c r="Q970" s="7">
        <v>0.01</v>
      </c>
    </row>
    <row r="971" spans="1:17">
      <c r="A971" s="2">
        <v>2919</v>
      </c>
      <c r="B971" s="7">
        <v>1.61</v>
      </c>
      <c r="C971" s="7">
        <v>0.24</v>
      </c>
      <c r="D971" s="7">
        <v>0.92</v>
      </c>
      <c r="E971" s="7">
        <v>0.15</v>
      </c>
      <c r="F971" s="7">
        <v>0.15</v>
      </c>
      <c r="G971" s="7">
        <v>0.22</v>
      </c>
      <c r="H971" s="7">
        <v>0.34</v>
      </c>
      <c r="I971" s="7">
        <v>0.38</v>
      </c>
      <c r="J971" s="7">
        <v>0.3</v>
      </c>
      <c r="K971" s="7">
        <v>1.72</v>
      </c>
      <c r="L971" s="7">
        <v>2.04</v>
      </c>
      <c r="M971" s="7">
        <v>0.67</v>
      </c>
      <c r="N971" s="7">
        <v>0.46</v>
      </c>
      <c r="O971" s="7">
        <v>0.81</v>
      </c>
      <c r="P971" s="7">
        <v>1.45</v>
      </c>
      <c r="Q971" s="7">
        <v>0.01</v>
      </c>
    </row>
    <row r="972" spans="1:17">
      <c r="A972" s="2">
        <v>2920</v>
      </c>
      <c r="B972" s="7">
        <v>1.61</v>
      </c>
      <c r="C972" s="7">
        <v>0.24</v>
      </c>
      <c r="D972" s="7">
        <v>0.92</v>
      </c>
      <c r="E972" s="7">
        <v>0.15</v>
      </c>
      <c r="F972" s="7">
        <v>0.15</v>
      </c>
      <c r="G972" s="7">
        <v>0.22</v>
      </c>
      <c r="H972" s="7">
        <v>0.34</v>
      </c>
      <c r="I972" s="7">
        <v>0.38</v>
      </c>
      <c r="J972" s="7">
        <v>0.3</v>
      </c>
      <c r="K972" s="7">
        <v>1.72</v>
      </c>
      <c r="L972" s="7">
        <v>2.04</v>
      </c>
      <c r="M972" s="7">
        <v>0.67</v>
      </c>
      <c r="N972" s="7">
        <v>0.46</v>
      </c>
      <c r="O972" s="7">
        <v>0.81</v>
      </c>
      <c r="P972" s="7">
        <v>1.45</v>
      </c>
      <c r="Q972" s="7">
        <v>0.01</v>
      </c>
    </row>
    <row r="973" spans="1:17">
      <c r="A973" s="2">
        <v>2921</v>
      </c>
      <c r="B973" s="7">
        <v>1.61</v>
      </c>
      <c r="C973" s="7">
        <v>0.24</v>
      </c>
      <c r="D973" s="7">
        <v>0.92</v>
      </c>
      <c r="E973" s="7">
        <v>0.15</v>
      </c>
      <c r="F973" s="7">
        <v>0.15</v>
      </c>
      <c r="G973" s="7">
        <v>0.22</v>
      </c>
      <c r="H973" s="7">
        <v>0.34</v>
      </c>
      <c r="I973" s="7">
        <v>0.38</v>
      </c>
      <c r="J973" s="7">
        <v>0.3</v>
      </c>
      <c r="K973" s="7">
        <v>1.72</v>
      </c>
      <c r="L973" s="7">
        <v>2.04</v>
      </c>
      <c r="M973" s="7">
        <v>0.67</v>
      </c>
      <c r="N973" s="7">
        <v>0.46</v>
      </c>
      <c r="O973" s="7">
        <v>0.81</v>
      </c>
      <c r="P973" s="7">
        <v>1.45</v>
      </c>
      <c r="Q973" s="7">
        <v>0.01</v>
      </c>
    </row>
    <row r="974" spans="1:17">
      <c r="A974" s="2">
        <v>2922</v>
      </c>
      <c r="B974" s="7">
        <v>1.61</v>
      </c>
      <c r="C974" s="7">
        <v>0.24</v>
      </c>
      <c r="D974" s="7">
        <v>0.92</v>
      </c>
      <c r="E974" s="7">
        <v>0.15</v>
      </c>
      <c r="F974" s="7">
        <v>0.15</v>
      </c>
      <c r="G974" s="7">
        <v>0.22</v>
      </c>
      <c r="H974" s="7">
        <v>0.34</v>
      </c>
      <c r="I974" s="7">
        <v>0.38</v>
      </c>
      <c r="J974" s="7">
        <v>0.3</v>
      </c>
      <c r="K974" s="7">
        <v>1.72</v>
      </c>
      <c r="L974" s="7">
        <v>2.04</v>
      </c>
      <c r="M974" s="7">
        <v>0.67</v>
      </c>
      <c r="N974" s="7">
        <v>0.46</v>
      </c>
      <c r="O974" s="7">
        <v>0.81</v>
      </c>
      <c r="P974" s="7">
        <v>1.45</v>
      </c>
      <c r="Q974" s="7">
        <v>0.01</v>
      </c>
    </row>
    <row r="975" spans="1:17">
      <c r="A975" s="2">
        <v>2923</v>
      </c>
      <c r="B975" s="7">
        <v>1.61</v>
      </c>
      <c r="C975" s="7">
        <v>0.24</v>
      </c>
      <c r="D975" s="7">
        <v>0.92</v>
      </c>
      <c r="E975" s="7">
        <v>0.15</v>
      </c>
      <c r="F975" s="7">
        <v>0.15</v>
      </c>
      <c r="G975" s="7">
        <v>0.22</v>
      </c>
      <c r="H975" s="7">
        <v>0.34</v>
      </c>
      <c r="I975" s="7">
        <v>0.38</v>
      </c>
      <c r="J975" s="7">
        <v>0.3</v>
      </c>
      <c r="K975" s="7">
        <v>1.72</v>
      </c>
      <c r="L975" s="7">
        <v>2.04</v>
      </c>
      <c r="M975" s="7">
        <v>0.67</v>
      </c>
      <c r="N975" s="7">
        <v>0.46</v>
      </c>
      <c r="O975" s="7">
        <v>0.81</v>
      </c>
      <c r="P975" s="7">
        <v>1.45</v>
      </c>
      <c r="Q975" s="7">
        <v>0.01</v>
      </c>
    </row>
    <row r="976" spans="1:17">
      <c r="A976" s="2">
        <v>2924</v>
      </c>
      <c r="B976" s="7">
        <v>1.61</v>
      </c>
      <c r="C976" s="7">
        <v>0.24</v>
      </c>
      <c r="D976" s="7">
        <v>0.92</v>
      </c>
      <c r="E976" s="7">
        <v>0.15</v>
      </c>
      <c r="F976" s="7">
        <v>0.15</v>
      </c>
      <c r="G976" s="7">
        <v>0.22</v>
      </c>
      <c r="H976" s="7">
        <v>0.34</v>
      </c>
      <c r="I976" s="7">
        <v>0.38</v>
      </c>
      <c r="J976" s="7">
        <v>0.3</v>
      </c>
      <c r="K976" s="7">
        <v>1.72</v>
      </c>
      <c r="L976" s="7">
        <v>2.04</v>
      </c>
      <c r="M976" s="7">
        <v>0.67</v>
      </c>
      <c r="N976" s="7">
        <v>0.46</v>
      </c>
      <c r="O976" s="7">
        <v>0.81</v>
      </c>
      <c r="P976" s="7">
        <v>1.45</v>
      </c>
      <c r="Q976" s="7">
        <v>0.01</v>
      </c>
    </row>
    <row r="977" spans="1:17">
      <c r="A977" s="2">
        <v>2925</v>
      </c>
      <c r="B977" s="7">
        <v>1.61</v>
      </c>
      <c r="C977" s="7">
        <v>0.24</v>
      </c>
      <c r="D977" s="7">
        <v>0.92</v>
      </c>
      <c r="E977" s="7">
        <v>0.15</v>
      </c>
      <c r="F977" s="7">
        <v>0.15</v>
      </c>
      <c r="G977" s="7">
        <v>0.22</v>
      </c>
      <c r="H977" s="7">
        <v>0.34</v>
      </c>
      <c r="I977" s="7">
        <v>0.38</v>
      </c>
      <c r="J977" s="7">
        <v>0.3</v>
      </c>
      <c r="K977" s="7">
        <v>1.72</v>
      </c>
      <c r="L977" s="7">
        <v>2.04</v>
      </c>
      <c r="M977" s="7">
        <v>0.67</v>
      </c>
      <c r="N977" s="7">
        <v>0.46</v>
      </c>
      <c r="O977" s="7">
        <v>0.81</v>
      </c>
      <c r="P977" s="7">
        <v>1.45</v>
      </c>
      <c r="Q977" s="7">
        <v>0.01</v>
      </c>
    </row>
    <row r="978" spans="1:17">
      <c r="A978" s="2">
        <v>2926</v>
      </c>
      <c r="B978" s="7">
        <v>1.61</v>
      </c>
      <c r="C978" s="7">
        <v>0.24</v>
      </c>
      <c r="D978" s="7">
        <v>0.92</v>
      </c>
      <c r="E978" s="7">
        <v>0.15</v>
      </c>
      <c r="F978" s="7">
        <v>0.15</v>
      </c>
      <c r="G978" s="7">
        <v>0.22</v>
      </c>
      <c r="H978" s="7">
        <v>0.34</v>
      </c>
      <c r="I978" s="7">
        <v>0.38</v>
      </c>
      <c r="J978" s="7">
        <v>0.3</v>
      </c>
      <c r="K978" s="7">
        <v>1.72</v>
      </c>
      <c r="L978" s="7">
        <v>2.04</v>
      </c>
      <c r="M978" s="7">
        <v>0.67</v>
      </c>
      <c r="N978" s="7">
        <v>0.46</v>
      </c>
      <c r="O978" s="7">
        <v>0.81</v>
      </c>
      <c r="P978" s="7">
        <v>1.45</v>
      </c>
      <c r="Q978" s="7">
        <v>0.01</v>
      </c>
    </row>
    <row r="979" spans="1:17">
      <c r="A979" s="2">
        <v>2927</v>
      </c>
      <c r="B979" s="7">
        <v>1.61</v>
      </c>
      <c r="C979" s="7">
        <v>0.24</v>
      </c>
      <c r="D979" s="7">
        <v>0.92</v>
      </c>
      <c r="E979" s="7">
        <v>0.15</v>
      </c>
      <c r="F979" s="7">
        <v>0.15</v>
      </c>
      <c r="G979" s="7">
        <v>0.22</v>
      </c>
      <c r="H979" s="7">
        <v>0.34</v>
      </c>
      <c r="I979" s="7">
        <v>0.38</v>
      </c>
      <c r="J979" s="7">
        <v>0.3</v>
      </c>
      <c r="K979" s="7">
        <v>1.72</v>
      </c>
      <c r="L979" s="7">
        <v>2.04</v>
      </c>
      <c r="M979" s="7">
        <v>0.67</v>
      </c>
      <c r="N979" s="7">
        <v>0.46</v>
      </c>
      <c r="O979" s="7">
        <v>0.81</v>
      </c>
      <c r="P979" s="7">
        <v>1.45</v>
      </c>
      <c r="Q979" s="7">
        <v>0.01</v>
      </c>
    </row>
    <row r="980" spans="1:17">
      <c r="A980" s="2">
        <v>2928</v>
      </c>
      <c r="B980" s="7">
        <v>1.61</v>
      </c>
      <c r="C980" s="7">
        <v>0.24</v>
      </c>
      <c r="D980" s="7">
        <v>0.92</v>
      </c>
      <c r="E980" s="7">
        <v>0.15</v>
      </c>
      <c r="F980" s="7">
        <v>0.15</v>
      </c>
      <c r="G980" s="7">
        <v>0.22</v>
      </c>
      <c r="H980" s="7">
        <v>0.34</v>
      </c>
      <c r="I980" s="7">
        <v>0.38</v>
      </c>
      <c r="J980" s="7">
        <v>0.3</v>
      </c>
      <c r="K980" s="7">
        <v>1.72</v>
      </c>
      <c r="L980" s="7">
        <v>2.04</v>
      </c>
      <c r="M980" s="7">
        <v>0.67</v>
      </c>
      <c r="N980" s="7">
        <v>0.46</v>
      </c>
      <c r="O980" s="7">
        <v>0.81</v>
      </c>
      <c r="P980" s="7">
        <v>1.45</v>
      </c>
      <c r="Q980" s="7">
        <v>0.01</v>
      </c>
    </row>
    <row r="981" spans="1:17">
      <c r="A981" s="2">
        <v>2929</v>
      </c>
      <c r="B981" s="7">
        <v>1.61</v>
      </c>
      <c r="C981" s="7">
        <v>0.24</v>
      </c>
      <c r="D981" s="7">
        <v>0.92</v>
      </c>
      <c r="E981" s="7">
        <v>0.15</v>
      </c>
      <c r="F981" s="7">
        <v>0.15</v>
      </c>
      <c r="G981" s="7">
        <v>0.22</v>
      </c>
      <c r="H981" s="7">
        <v>0.34</v>
      </c>
      <c r="I981" s="7">
        <v>0.38</v>
      </c>
      <c r="J981" s="7">
        <v>0.3</v>
      </c>
      <c r="K981" s="7">
        <v>1.72</v>
      </c>
      <c r="L981" s="7">
        <v>2.04</v>
      </c>
      <c r="M981" s="7">
        <v>0.67</v>
      </c>
      <c r="N981" s="7">
        <v>0.46</v>
      </c>
      <c r="O981" s="7">
        <v>0.81</v>
      </c>
      <c r="P981" s="7">
        <v>1.45</v>
      </c>
      <c r="Q981" s="7">
        <v>0.01</v>
      </c>
    </row>
    <row r="982" spans="1:17">
      <c r="A982" s="2">
        <v>2930</v>
      </c>
      <c r="B982" s="7">
        <v>1.61</v>
      </c>
      <c r="C982" s="7">
        <v>0.24</v>
      </c>
      <c r="D982" s="7">
        <v>0.92</v>
      </c>
      <c r="E982" s="7">
        <v>0.15</v>
      </c>
      <c r="F982" s="7">
        <v>0.15</v>
      </c>
      <c r="G982" s="7">
        <v>0.22</v>
      </c>
      <c r="H982" s="7">
        <v>0.34</v>
      </c>
      <c r="I982" s="7">
        <v>0.38</v>
      </c>
      <c r="J982" s="7">
        <v>0.3</v>
      </c>
      <c r="K982" s="7">
        <v>1.72</v>
      </c>
      <c r="L982" s="7">
        <v>2.04</v>
      </c>
      <c r="M982" s="7">
        <v>0.67</v>
      </c>
      <c r="N982" s="7">
        <v>0.46</v>
      </c>
      <c r="O982" s="7">
        <v>0.81</v>
      </c>
      <c r="P982" s="7">
        <v>1.45</v>
      </c>
      <c r="Q982" s="7">
        <v>0.01</v>
      </c>
    </row>
    <row r="983" spans="1:17">
      <c r="A983" s="2">
        <v>2931</v>
      </c>
      <c r="B983" s="7">
        <v>1.61</v>
      </c>
      <c r="C983" s="7">
        <v>0.24</v>
      </c>
      <c r="D983" s="7">
        <v>0.92</v>
      </c>
      <c r="E983" s="7">
        <v>0.15</v>
      </c>
      <c r="F983" s="7">
        <v>0.15</v>
      </c>
      <c r="G983" s="7">
        <v>0.22</v>
      </c>
      <c r="H983" s="7">
        <v>0.34</v>
      </c>
      <c r="I983" s="7">
        <v>0.38</v>
      </c>
      <c r="J983" s="7">
        <v>0.3</v>
      </c>
      <c r="K983" s="7">
        <v>1.72</v>
      </c>
      <c r="L983" s="7">
        <v>2.04</v>
      </c>
      <c r="M983" s="7">
        <v>0.67</v>
      </c>
      <c r="N983" s="7">
        <v>0.46</v>
      </c>
      <c r="O983" s="7">
        <v>0.81</v>
      </c>
      <c r="P983" s="7">
        <v>1.45</v>
      </c>
      <c r="Q983" s="7">
        <v>0.01</v>
      </c>
    </row>
    <row r="984" spans="1:17">
      <c r="A984" s="2">
        <v>2932</v>
      </c>
      <c r="B984" s="7">
        <v>1.61</v>
      </c>
      <c r="C984" s="7">
        <v>0.24</v>
      </c>
      <c r="D984" s="7">
        <v>0.92</v>
      </c>
      <c r="E984" s="7">
        <v>0.15</v>
      </c>
      <c r="F984" s="7">
        <v>0.15</v>
      </c>
      <c r="G984" s="7">
        <v>0.22</v>
      </c>
      <c r="H984" s="7">
        <v>0.34</v>
      </c>
      <c r="I984" s="7">
        <v>0.38</v>
      </c>
      <c r="J984" s="7">
        <v>0.3</v>
      </c>
      <c r="K984" s="7">
        <v>1.72</v>
      </c>
      <c r="L984" s="7">
        <v>2.04</v>
      </c>
      <c r="M984" s="7">
        <v>0.67</v>
      </c>
      <c r="N984" s="7">
        <v>0.46</v>
      </c>
      <c r="O984" s="7">
        <v>0.81</v>
      </c>
      <c r="P984" s="7">
        <v>1.45</v>
      </c>
      <c r="Q984" s="7">
        <v>0.01</v>
      </c>
    </row>
    <row r="985" spans="1:17">
      <c r="A985" s="2">
        <v>2933</v>
      </c>
      <c r="B985" s="7">
        <v>1.61</v>
      </c>
      <c r="C985" s="7">
        <v>0.24</v>
      </c>
      <c r="D985" s="7">
        <v>0.92</v>
      </c>
      <c r="E985" s="7">
        <v>0.15</v>
      </c>
      <c r="F985" s="7">
        <v>0.15</v>
      </c>
      <c r="G985" s="7">
        <v>0.22</v>
      </c>
      <c r="H985" s="7">
        <v>0.34</v>
      </c>
      <c r="I985" s="7">
        <v>0.38</v>
      </c>
      <c r="J985" s="7">
        <v>0.3</v>
      </c>
      <c r="K985" s="7">
        <v>1.72</v>
      </c>
      <c r="L985" s="7">
        <v>2.04</v>
      </c>
      <c r="M985" s="7">
        <v>0.67</v>
      </c>
      <c r="N985" s="7">
        <v>0.46</v>
      </c>
      <c r="O985" s="7">
        <v>0.81</v>
      </c>
      <c r="P985" s="7">
        <v>1.45</v>
      </c>
      <c r="Q985" s="7">
        <v>0.01</v>
      </c>
    </row>
    <row r="986" spans="1:17">
      <c r="A986" s="2">
        <v>2934</v>
      </c>
      <c r="B986" s="7">
        <v>1.61</v>
      </c>
      <c r="C986" s="7">
        <v>0.24</v>
      </c>
      <c r="D986" s="7">
        <v>0.92</v>
      </c>
      <c r="E986" s="7">
        <v>0.15</v>
      </c>
      <c r="F986" s="7">
        <v>0.15</v>
      </c>
      <c r="G986" s="7">
        <v>0.22</v>
      </c>
      <c r="H986" s="7">
        <v>0.34</v>
      </c>
      <c r="I986" s="7">
        <v>0.38</v>
      </c>
      <c r="J986" s="7">
        <v>0.3</v>
      </c>
      <c r="K986" s="7">
        <v>1.72</v>
      </c>
      <c r="L986" s="7">
        <v>2.04</v>
      </c>
      <c r="M986" s="7">
        <v>0.67</v>
      </c>
      <c r="N986" s="7">
        <v>0.46</v>
      </c>
      <c r="O986" s="7">
        <v>0.81</v>
      </c>
      <c r="P986" s="7">
        <v>1.45</v>
      </c>
      <c r="Q986" s="7">
        <v>0.01</v>
      </c>
    </row>
    <row r="987" spans="1:17">
      <c r="A987" s="2">
        <v>2935</v>
      </c>
      <c r="B987" s="7">
        <v>1.61</v>
      </c>
      <c r="C987" s="7">
        <v>0.24</v>
      </c>
      <c r="D987" s="7">
        <v>0.92</v>
      </c>
      <c r="E987" s="7">
        <v>0.15</v>
      </c>
      <c r="F987" s="7">
        <v>0.15</v>
      </c>
      <c r="G987" s="7">
        <v>0.22</v>
      </c>
      <c r="H987" s="7">
        <v>0.34</v>
      </c>
      <c r="I987" s="7">
        <v>0.38</v>
      </c>
      <c r="J987" s="7">
        <v>0.3</v>
      </c>
      <c r="K987" s="7">
        <v>1.72</v>
      </c>
      <c r="L987" s="7">
        <v>2.04</v>
      </c>
      <c r="M987" s="7">
        <v>0.67</v>
      </c>
      <c r="N987" s="7">
        <v>0.46</v>
      </c>
      <c r="O987" s="7">
        <v>0.81</v>
      </c>
      <c r="P987" s="7">
        <v>1.45</v>
      </c>
      <c r="Q987" s="7">
        <v>0.01</v>
      </c>
    </row>
    <row r="988" spans="1:17">
      <c r="A988" s="2">
        <v>2936</v>
      </c>
      <c r="B988" s="7">
        <v>1.61</v>
      </c>
      <c r="C988" s="7">
        <v>0.24</v>
      </c>
      <c r="D988" s="7">
        <v>0.92</v>
      </c>
      <c r="E988" s="7">
        <v>0.15</v>
      </c>
      <c r="F988" s="7">
        <v>0.15</v>
      </c>
      <c r="G988" s="7">
        <v>0.22</v>
      </c>
      <c r="H988" s="7">
        <v>0.34</v>
      </c>
      <c r="I988" s="7">
        <v>0.38</v>
      </c>
      <c r="J988" s="7">
        <v>0.3</v>
      </c>
      <c r="K988" s="7">
        <v>1.72</v>
      </c>
      <c r="L988" s="7">
        <v>2.04</v>
      </c>
      <c r="M988" s="7">
        <v>0.67</v>
      </c>
      <c r="N988" s="7">
        <v>0.46</v>
      </c>
      <c r="O988" s="7">
        <v>0.81</v>
      </c>
      <c r="P988" s="7">
        <v>1.45</v>
      </c>
      <c r="Q988" s="7">
        <v>0.01</v>
      </c>
    </row>
    <row r="989" spans="1:17">
      <c r="A989" s="2">
        <v>2937</v>
      </c>
      <c r="B989" s="7">
        <v>1.61</v>
      </c>
      <c r="C989" s="7">
        <v>0.24</v>
      </c>
      <c r="D989" s="7">
        <v>0.92</v>
      </c>
      <c r="E989" s="7">
        <v>0.15</v>
      </c>
      <c r="F989" s="7">
        <v>0.15</v>
      </c>
      <c r="G989" s="7">
        <v>0.22</v>
      </c>
      <c r="H989" s="7">
        <v>0.34</v>
      </c>
      <c r="I989" s="7">
        <v>0.38</v>
      </c>
      <c r="J989" s="7">
        <v>0.3</v>
      </c>
      <c r="K989" s="7">
        <v>1.72</v>
      </c>
      <c r="L989" s="7">
        <v>2.04</v>
      </c>
      <c r="M989" s="7">
        <v>0.67</v>
      </c>
      <c r="N989" s="7">
        <v>0.46</v>
      </c>
      <c r="O989" s="7">
        <v>0.81</v>
      </c>
      <c r="P989" s="7">
        <v>1.45</v>
      </c>
      <c r="Q989" s="7">
        <v>0.01</v>
      </c>
    </row>
    <row r="990" spans="1:17">
      <c r="A990" s="2">
        <v>2938</v>
      </c>
      <c r="B990" s="7">
        <v>1.61</v>
      </c>
      <c r="C990" s="7">
        <v>0.24</v>
      </c>
      <c r="D990" s="7">
        <v>0.92</v>
      </c>
      <c r="E990" s="7">
        <v>0.15</v>
      </c>
      <c r="F990" s="7">
        <v>0.15</v>
      </c>
      <c r="G990" s="7">
        <v>0.22</v>
      </c>
      <c r="H990" s="7">
        <v>0.34</v>
      </c>
      <c r="I990" s="7">
        <v>0.38</v>
      </c>
      <c r="J990" s="7">
        <v>0.3</v>
      </c>
      <c r="K990" s="7">
        <v>1.72</v>
      </c>
      <c r="L990" s="7">
        <v>2.04</v>
      </c>
      <c r="M990" s="7">
        <v>0.67</v>
      </c>
      <c r="N990" s="7">
        <v>0.46</v>
      </c>
      <c r="O990" s="7">
        <v>0.81</v>
      </c>
      <c r="P990" s="7">
        <v>1.45</v>
      </c>
      <c r="Q990" s="7">
        <v>0.01</v>
      </c>
    </row>
    <row r="991" spans="1:17">
      <c r="A991" s="2">
        <v>2939</v>
      </c>
      <c r="B991" s="7">
        <v>1.61</v>
      </c>
      <c r="C991" s="7">
        <v>0.24</v>
      </c>
      <c r="D991" s="7">
        <v>0.92</v>
      </c>
      <c r="E991" s="7">
        <v>0.15</v>
      </c>
      <c r="F991" s="7">
        <v>0.15</v>
      </c>
      <c r="G991" s="7">
        <v>0.22</v>
      </c>
      <c r="H991" s="7">
        <v>0.34</v>
      </c>
      <c r="I991" s="7">
        <v>0.38</v>
      </c>
      <c r="J991" s="7">
        <v>0.3</v>
      </c>
      <c r="K991" s="7">
        <v>1.72</v>
      </c>
      <c r="L991" s="7">
        <v>2.04</v>
      </c>
      <c r="M991" s="7">
        <v>0.67</v>
      </c>
      <c r="N991" s="7">
        <v>0.46</v>
      </c>
      <c r="O991" s="7">
        <v>0.81</v>
      </c>
      <c r="P991" s="7">
        <v>1.45</v>
      </c>
      <c r="Q991" s="7">
        <v>0.01</v>
      </c>
    </row>
    <row r="992" spans="1:17">
      <c r="A992" s="2">
        <v>2940</v>
      </c>
      <c r="B992" s="7">
        <v>1.61</v>
      </c>
      <c r="C992" s="7">
        <v>0.24</v>
      </c>
      <c r="D992" s="7">
        <v>0.92</v>
      </c>
      <c r="E992" s="7">
        <v>0.15</v>
      </c>
      <c r="F992" s="7">
        <v>0.15</v>
      </c>
      <c r="G992" s="7">
        <v>0.22</v>
      </c>
      <c r="H992" s="7">
        <v>0.34</v>
      </c>
      <c r="I992" s="7">
        <v>0.38</v>
      </c>
      <c r="J992" s="7">
        <v>0.3</v>
      </c>
      <c r="K992" s="7">
        <v>1.72</v>
      </c>
      <c r="L992" s="7">
        <v>2.04</v>
      </c>
      <c r="M992" s="7">
        <v>0.67</v>
      </c>
      <c r="N992" s="7">
        <v>0.46</v>
      </c>
      <c r="O992" s="7">
        <v>0.81</v>
      </c>
      <c r="P992" s="7">
        <v>1.45</v>
      </c>
      <c r="Q992" s="7">
        <v>0.01</v>
      </c>
    </row>
    <row r="993" spans="1:17">
      <c r="A993" s="2">
        <v>2941</v>
      </c>
      <c r="B993" s="7">
        <v>1.61</v>
      </c>
      <c r="C993" s="7">
        <v>0.24</v>
      </c>
      <c r="D993" s="7">
        <v>0.92</v>
      </c>
      <c r="E993" s="7">
        <v>0.15</v>
      </c>
      <c r="F993" s="7">
        <v>0.15</v>
      </c>
      <c r="G993" s="7">
        <v>0.22</v>
      </c>
      <c r="H993" s="7">
        <v>0.34</v>
      </c>
      <c r="I993" s="7">
        <v>0.38</v>
      </c>
      <c r="J993" s="7">
        <v>0.3</v>
      </c>
      <c r="K993" s="7">
        <v>1.72</v>
      </c>
      <c r="L993" s="7">
        <v>2.04</v>
      </c>
      <c r="M993" s="7">
        <v>0.67</v>
      </c>
      <c r="N993" s="7">
        <v>0.46</v>
      </c>
      <c r="O993" s="7">
        <v>0.81</v>
      </c>
      <c r="P993" s="7">
        <v>1.45</v>
      </c>
      <c r="Q993" s="7">
        <v>0.01</v>
      </c>
    </row>
    <row r="994" spans="1:17">
      <c r="A994" s="2">
        <v>2942</v>
      </c>
      <c r="B994" s="7">
        <v>1.61</v>
      </c>
      <c r="C994" s="7">
        <v>0.24</v>
      </c>
      <c r="D994" s="7">
        <v>0.92</v>
      </c>
      <c r="E994" s="7">
        <v>0.15</v>
      </c>
      <c r="F994" s="7">
        <v>0.15</v>
      </c>
      <c r="G994" s="7">
        <v>0.22</v>
      </c>
      <c r="H994" s="7">
        <v>0.34</v>
      </c>
      <c r="I994" s="7">
        <v>0.38</v>
      </c>
      <c r="J994" s="7">
        <v>0.3</v>
      </c>
      <c r="K994" s="7">
        <v>1.72</v>
      </c>
      <c r="L994" s="7">
        <v>2.04</v>
      </c>
      <c r="M994" s="7">
        <v>0.67</v>
      </c>
      <c r="N994" s="7">
        <v>0.46</v>
      </c>
      <c r="O994" s="7">
        <v>0.81</v>
      </c>
      <c r="P994" s="7">
        <v>1.45</v>
      </c>
      <c r="Q994" s="7">
        <v>0.01</v>
      </c>
    </row>
    <row r="995" spans="1:17">
      <c r="A995" s="2">
        <v>2943</v>
      </c>
      <c r="B995" s="7">
        <v>1.61</v>
      </c>
      <c r="C995" s="7">
        <v>0.24</v>
      </c>
      <c r="D995" s="7">
        <v>0.92</v>
      </c>
      <c r="E995" s="7">
        <v>0.15</v>
      </c>
      <c r="F995" s="7">
        <v>0.15</v>
      </c>
      <c r="G995" s="7">
        <v>0.22</v>
      </c>
      <c r="H995" s="7">
        <v>0.34</v>
      </c>
      <c r="I995" s="7">
        <v>0.38</v>
      </c>
      <c r="J995" s="7">
        <v>0.3</v>
      </c>
      <c r="K995" s="7">
        <v>1.72</v>
      </c>
      <c r="L995" s="7">
        <v>2.04</v>
      </c>
      <c r="M995" s="7">
        <v>0.67</v>
      </c>
      <c r="N995" s="7">
        <v>0.46</v>
      </c>
      <c r="O995" s="7">
        <v>0.81</v>
      </c>
      <c r="P995" s="7">
        <v>1.45</v>
      </c>
      <c r="Q995" s="7">
        <v>0.01</v>
      </c>
    </row>
    <row r="996" spans="1:17">
      <c r="A996" s="2">
        <v>2944</v>
      </c>
      <c r="B996" s="7">
        <v>1.61</v>
      </c>
      <c r="C996" s="7">
        <v>0.24</v>
      </c>
      <c r="D996" s="7">
        <v>0.92</v>
      </c>
      <c r="E996" s="7">
        <v>0.15</v>
      </c>
      <c r="F996" s="7">
        <v>0.15</v>
      </c>
      <c r="G996" s="7">
        <v>0.22</v>
      </c>
      <c r="H996" s="7">
        <v>0.34</v>
      </c>
      <c r="I996" s="7">
        <v>0.38</v>
      </c>
      <c r="J996" s="7">
        <v>0.3</v>
      </c>
      <c r="K996" s="7">
        <v>1.72</v>
      </c>
      <c r="L996" s="7">
        <v>2.04</v>
      </c>
      <c r="M996" s="7">
        <v>0.67</v>
      </c>
      <c r="N996" s="7">
        <v>0.46</v>
      </c>
      <c r="O996" s="7">
        <v>0.81</v>
      </c>
      <c r="P996" s="7">
        <v>1.45</v>
      </c>
      <c r="Q996" s="7">
        <v>0.01</v>
      </c>
    </row>
    <row r="997" spans="1:17">
      <c r="A997" s="2">
        <v>2945</v>
      </c>
      <c r="B997" s="7">
        <v>1.61</v>
      </c>
      <c r="C997" s="7">
        <v>0.24</v>
      </c>
      <c r="D997" s="7">
        <v>0.92</v>
      </c>
      <c r="E997" s="7">
        <v>0.15</v>
      </c>
      <c r="F997" s="7">
        <v>0.15</v>
      </c>
      <c r="G997" s="7">
        <v>0.22</v>
      </c>
      <c r="H997" s="7">
        <v>0.34</v>
      </c>
      <c r="I997" s="7">
        <v>0.38</v>
      </c>
      <c r="J997" s="7">
        <v>0.3</v>
      </c>
      <c r="K997" s="7">
        <v>1.72</v>
      </c>
      <c r="L997" s="7">
        <v>2.04</v>
      </c>
      <c r="M997" s="7">
        <v>0.67</v>
      </c>
      <c r="N997" s="7">
        <v>0.46</v>
      </c>
      <c r="O997" s="7">
        <v>0.81</v>
      </c>
      <c r="P997" s="7">
        <v>1.45</v>
      </c>
      <c r="Q997" s="7">
        <v>0.01</v>
      </c>
    </row>
    <row r="998" spans="1:17">
      <c r="A998" s="2">
        <v>2946</v>
      </c>
      <c r="B998" s="7">
        <v>1.61</v>
      </c>
      <c r="C998" s="7">
        <v>0.24</v>
      </c>
      <c r="D998" s="7">
        <v>0.92</v>
      </c>
      <c r="E998" s="7">
        <v>0.15</v>
      </c>
      <c r="F998" s="7">
        <v>0.15</v>
      </c>
      <c r="G998" s="7">
        <v>0.22</v>
      </c>
      <c r="H998" s="7">
        <v>0.34</v>
      </c>
      <c r="I998" s="7">
        <v>0.38</v>
      </c>
      <c r="J998" s="7">
        <v>0.3</v>
      </c>
      <c r="K998" s="7">
        <v>1.72</v>
      </c>
      <c r="L998" s="7">
        <v>2.04</v>
      </c>
      <c r="M998" s="7">
        <v>0.67</v>
      </c>
      <c r="N998" s="7">
        <v>0.46</v>
      </c>
      <c r="O998" s="7">
        <v>0.81</v>
      </c>
      <c r="P998" s="7">
        <v>1.45</v>
      </c>
      <c r="Q998" s="7">
        <v>0.01</v>
      </c>
    </row>
    <row r="999" spans="1:17">
      <c r="A999" s="2">
        <v>2947</v>
      </c>
      <c r="B999" s="7">
        <v>1.61</v>
      </c>
      <c r="C999" s="7">
        <v>0.24</v>
      </c>
      <c r="D999" s="7">
        <v>0.92</v>
      </c>
      <c r="E999" s="7">
        <v>0.15</v>
      </c>
      <c r="F999" s="7">
        <v>0.15</v>
      </c>
      <c r="G999" s="7">
        <v>0.22</v>
      </c>
      <c r="H999" s="7">
        <v>0.34</v>
      </c>
      <c r="I999" s="7">
        <v>0.38</v>
      </c>
      <c r="J999" s="7">
        <v>0.3</v>
      </c>
      <c r="K999" s="7">
        <v>1.72</v>
      </c>
      <c r="L999" s="7">
        <v>2.04</v>
      </c>
      <c r="M999" s="7">
        <v>0.67</v>
      </c>
      <c r="N999" s="7">
        <v>0.46</v>
      </c>
      <c r="O999" s="7">
        <v>0.81</v>
      </c>
      <c r="P999" s="7">
        <v>1.45</v>
      </c>
      <c r="Q999" s="7">
        <v>0.01</v>
      </c>
    </row>
    <row r="1000" spans="1:17">
      <c r="A1000" s="2">
        <v>2948</v>
      </c>
      <c r="B1000" s="7">
        <v>1.61</v>
      </c>
      <c r="C1000" s="7">
        <v>0.24</v>
      </c>
      <c r="D1000" s="7">
        <v>0.92</v>
      </c>
      <c r="E1000" s="7">
        <v>0.15</v>
      </c>
      <c r="F1000" s="7">
        <v>0.15</v>
      </c>
      <c r="G1000" s="7">
        <v>0.22</v>
      </c>
      <c r="H1000" s="7">
        <v>0.34</v>
      </c>
      <c r="I1000" s="7">
        <v>0.38</v>
      </c>
      <c r="J1000" s="7">
        <v>0.3</v>
      </c>
      <c r="K1000" s="7">
        <v>1.72</v>
      </c>
      <c r="L1000" s="7">
        <v>2.04</v>
      </c>
      <c r="M1000" s="7">
        <v>0.67</v>
      </c>
      <c r="N1000" s="7">
        <v>0.46</v>
      </c>
      <c r="O1000" s="7">
        <v>0.81</v>
      </c>
      <c r="P1000" s="7">
        <v>1.45</v>
      </c>
      <c r="Q1000" s="7">
        <v>0.01</v>
      </c>
    </row>
    <row r="1001" spans="1:17">
      <c r="A1001" s="2">
        <v>2949</v>
      </c>
      <c r="B1001" s="7">
        <v>1.61</v>
      </c>
      <c r="C1001" s="7">
        <v>0.24</v>
      </c>
      <c r="D1001" s="7">
        <v>0.92</v>
      </c>
      <c r="E1001" s="7">
        <v>0.15</v>
      </c>
      <c r="F1001" s="7">
        <v>0.15</v>
      </c>
      <c r="G1001" s="7">
        <v>0.22</v>
      </c>
      <c r="H1001" s="7">
        <v>0.34</v>
      </c>
      <c r="I1001" s="7">
        <v>0.38</v>
      </c>
      <c r="J1001" s="7">
        <v>0.3</v>
      </c>
      <c r="K1001" s="7">
        <v>1.72</v>
      </c>
      <c r="L1001" s="7">
        <v>2.04</v>
      </c>
      <c r="M1001" s="7">
        <v>0.67</v>
      </c>
      <c r="N1001" s="7">
        <v>0.46</v>
      </c>
      <c r="O1001" s="7">
        <v>0.81</v>
      </c>
      <c r="P1001" s="7">
        <v>1.45</v>
      </c>
      <c r="Q1001" s="7">
        <v>0.01</v>
      </c>
    </row>
    <row r="1002" spans="1:17">
      <c r="A1002" s="2">
        <v>2950</v>
      </c>
      <c r="B1002" s="7">
        <v>1.61</v>
      </c>
      <c r="C1002" s="7">
        <v>0.24</v>
      </c>
      <c r="D1002" s="7">
        <v>0.92</v>
      </c>
      <c r="E1002" s="7">
        <v>0.15</v>
      </c>
      <c r="F1002" s="7">
        <v>0.15</v>
      </c>
      <c r="G1002" s="7">
        <v>0.22</v>
      </c>
      <c r="H1002" s="7">
        <v>0.34</v>
      </c>
      <c r="I1002" s="7">
        <v>0.38</v>
      </c>
      <c r="J1002" s="7">
        <v>0.3</v>
      </c>
      <c r="K1002" s="7">
        <v>1.72</v>
      </c>
      <c r="L1002" s="7">
        <v>2.04</v>
      </c>
      <c r="M1002" s="7">
        <v>0.67</v>
      </c>
      <c r="N1002" s="7">
        <v>0.46</v>
      </c>
      <c r="O1002" s="7">
        <v>0.81</v>
      </c>
      <c r="P1002" s="7">
        <v>1.45</v>
      </c>
      <c r="Q1002" s="7">
        <v>0.01</v>
      </c>
    </row>
    <row r="1003" spans="1:17">
      <c r="A1003" s="2">
        <v>2951</v>
      </c>
      <c r="B1003" s="7">
        <v>1.61</v>
      </c>
      <c r="C1003" s="7">
        <v>0.24</v>
      </c>
      <c r="D1003" s="7">
        <v>0.92</v>
      </c>
      <c r="E1003" s="7">
        <v>0.15</v>
      </c>
      <c r="F1003" s="7">
        <v>0.15</v>
      </c>
      <c r="G1003" s="7">
        <v>0.22</v>
      </c>
      <c r="H1003" s="7">
        <v>0.34</v>
      </c>
      <c r="I1003" s="7">
        <v>0.38</v>
      </c>
      <c r="J1003" s="7">
        <v>0.3</v>
      </c>
      <c r="K1003" s="7">
        <v>1.72</v>
      </c>
      <c r="L1003" s="7">
        <v>2.04</v>
      </c>
      <c r="M1003" s="7">
        <v>0.67</v>
      </c>
      <c r="N1003" s="7">
        <v>0.46</v>
      </c>
      <c r="O1003" s="7">
        <v>0.81</v>
      </c>
      <c r="P1003" s="7">
        <v>1.45</v>
      </c>
      <c r="Q1003" s="7">
        <v>0.01</v>
      </c>
    </row>
    <row r="1004" spans="1:17">
      <c r="A1004" s="2">
        <v>2952</v>
      </c>
      <c r="B1004" s="7">
        <v>1.61</v>
      </c>
      <c r="C1004" s="7">
        <v>0.24</v>
      </c>
      <c r="D1004" s="7">
        <v>0.92</v>
      </c>
      <c r="E1004" s="7">
        <v>0.15</v>
      </c>
      <c r="F1004" s="7">
        <v>0.15</v>
      </c>
      <c r="G1004" s="7">
        <v>0.22</v>
      </c>
      <c r="H1004" s="7">
        <v>0.34</v>
      </c>
      <c r="I1004" s="7">
        <v>0.38</v>
      </c>
      <c r="J1004" s="7">
        <v>0.3</v>
      </c>
      <c r="K1004" s="7">
        <v>1.72</v>
      </c>
      <c r="L1004" s="7">
        <v>2.04</v>
      </c>
      <c r="M1004" s="7">
        <v>0.67</v>
      </c>
      <c r="N1004" s="7">
        <v>0.46</v>
      </c>
      <c r="O1004" s="7">
        <v>0.81</v>
      </c>
      <c r="P1004" s="7">
        <v>1.45</v>
      </c>
      <c r="Q1004" s="7">
        <v>0.01</v>
      </c>
    </row>
    <row r="1005" spans="1:17">
      <c r="A1005" s="2">
        <v>2953</v>
      </c>
      <c r="B1005" s="7">
        <v>1.61</v>
      </c>
      <c r="C1005" s="7">
        <v>0.24</v>
      </c>
      <c r="D1005" s="7">
        <v>0.92</v>
      </c>
      <c r="E1005" s="7">
        <v>0.15</v>
      </c>
      <c r="F1005" s="7">
        <v>0.15</v>
      </c>
      <c r="G1005" s="7">
        <v>0.22</v>
      </c>
      <c r="H1005" s="7">
        <v>0.34</v>
      </c>
      <c r="I1005" s="7">
        <v>0.38</v>
      </c>
      <c r="J1005" s="7">
        <v>0.3</v>
      </c>
      <c r="K1005" s="7">
        <v>1.72</v>
      </c>
      <c r="L1005" s="7">
        <v>2.04</v>
      </c>
      <c r="M1005" s="7">
        <v>0.67</v>
      </c>
      <c r="N1005" s="7">
        <v>0.46</v>
      </c>
      <c r="O1005" s="7">
        <v>0.81</v>
      </c>
      <c r="P1005" s="7">
        <v>1.45</v>
      </c>
      <c r="Q1005" s="7">
        <v>0.01</v>
      </c>
    </row>
    <row r="1006" spans="1:17">
      <c r="A1006" s="2">
        <v>2954</v>
      </c>
      <c r="B1006" s="7">
        <v>1.61</v>
      </c>
      <c r="C1006" s="7">
        <v>0.24</v>
      </c>
      <c r="D1006" s="7">
        <v>0.92</v>
      </c>
      <c r="E1006" s="7">
        <v>0.15</v>
      </c>
      <c r="F1006" s="7">
        <v>0.15</v>
      </c>
      <c r="G1006" s="7">
        <v>0.22</v>
      </c>
      <c r="H1006" s="7">
        <v>0.34</v>
      </c>
      <c r="I1006" s="7">
        <v>0.38</v>
      </c>
      <c r="J1006" s="7">
        <v>0.3</v>
      </c>
      <c r="K1006" s="7">
        <v>1.72</v>
      </c>
      <c r="L1006" s="7">
        <v>2.04</v>
      </c>
      <c r="M1006" s="7">
        <v>0.67</v>
      </c>
      <c r="N1006" s="7">
        <v>0.46</v>
      </c>
      <c r="O1006" s="7">
        <v>0.81</v>
      </c>
      <c r="P1006" s="7">
        <v>1.45</v>
      </c>
      <c r="Q1006" s="7">
        <v>0.01</v>
      </c>
    </row>
    <row r="1007" spans="1:17">
      <c r="A1007" s="2">
        <v>2955</v>
      </c>
      <c r="B1007" s="7">
        <v>1.61</v>
      </c>
      <c r="C1007" s="7">
        <v>0.24</v>
      </c>
      <c r="D1007" s="7">
        <v>0.92</v>
      </c>
      <c r="E1007" s="7">
        <v>0.15</v>
      </c>
      <c r="F1007" s="7">
        <v>0.15</v>
      </c>
      <c r="G1007" s="7">
        <v>0.22</v>
      </c>
      <c r="H1007" s="7">
        <v>0.34</v>
      </c>
      <c r="I1007" s="7">
        <v>0.38</v>
      </c>
      <c r="J1007" s="7">
        <v>0.3</v>
      </c>
      <c r="K1007" s="7">
        <v>1.72</v>
      </c>
      <c r="L1007" s="7">
        <v>2.04</v>
      </c>
      <c r="M1007" s="7">
        <v>0.67</v>
      </c>
      <c r="N1007" s="7">
        <v>0.46</v>
      </c>
      <c r="O1007" s="7">
        <v>0.81</v>
      </c>
      <c r="P1007" s="7">
        <v>1.45</v>
      </c>
      <c r="Q1007" s="7">
        <v>0.01</v>
      </c>
    </row>
    <row r="1008" spans="1:17">
      <c r="A1008" s="2">
        <v>2956</v>
      </c>
      <c r="B1008" s="7">
        <v>1.61</v>
      </c>
      <c r="C1008" s="7">
        <v>0.24</v>
      </c>
      <c r="D1008" s="7">
        <v>0.92</v>
      </c>
      <c r="E1008" s="7">
        <v>0.15</v>
      </c>
      <c r="F1008" s="7">
        <v>0.15</v>
      </c>
      <c r="G1008" s="7">
        <v>0.22</v>
      </c>
      <c r="H1008" s="7">
        <v>0.34</v>
      </c>
      <c r="I1008" s="7">
        <v>0.38</v>
      </c>
      <c r="J1008" s="7">
        <v>0.3</v>
      </c>
      <c r="K1008" s="7">
        <v>1.72</v>
      </c>
      <c r="L1008" s="7">
        <v>2.04</v>
      </c>
      <c r="M1008" s="7">
        <v>0.67</v>
      </c>
      <c r="N1008" s="7">
        <v>0.46</v>
      </c>
      <c r="O1008" s="7">
        <v>0.81</v>
      </c>
      <c r="P1008" s="7">
        <v>1.45</v>
      </c>
      <c r="Q1008" s="7">
        <v>0.01</v>
      </c>
    </row>
    <row r="1009" spans="1:17">
      <c r="A1009" s="2">
        <v>2957</v>
      </c>
      <c r="B1009" s="7">
        <v>1.61</v>
      </c>
      <c r="C1009" s="7">
        <v>0.24</v>
      </c>
      <c r="D1009" s="7">
        <v>0.92</v>
      </c>
      <c r="E1009" s="7">
        <v>0.15</v>
      </c>
      <c r="F1009" s="7">
        <v>0.15</v>
      </c>
      <c r="G1009" s="7">
        <v>0.22</v>
      </c>
      <c r="H1009" s="7">
        <v>0.34</v>
      </c>
      <c r="I1009" s="7">
        <v>0.38</v>
      </c>
      <c r="J1009" s="7">
        <v>0.3</v>
      </c>
      <c r="K1009" s="7">
        <v>1.72</v>
      </c>
      <c r="L1009" s="7">
        <v>2.04</v>
      </c>
      <c r="M1009" s="7">
        <v>0.67</v>
      </c>
      <c r="N1009" s="7">
        <v>0.46</v>
      </c>
      <c r="O1009" s="7">
        <v>0.81</v>
      </c>
      <c r="P1009" s="7">
        <v>1.45</v>
      </c>
      <c r="Q1009" s="7">
        <v>0.01</v>
      </c>
    </row>
    <row r="1010" spans="1:17">
      <c r="A1010" s="2">
        <v>2958</v>
      </c>
      <c r="B1010" s="7">
        <v>1.61</v>
      </c>
      <c r="C1010" s="7">
        <v>0.24</v>
      </c>
      <c r="D1010" s="7">
        <v>0.92</v>
      </c>
      <c r="E1010" s="7">
        <v>0.15</v>
      </c>
      <c r="F1010" s="7">
        <v>0.15</v>
      </c>
      <c r="G1010" s="7">
        <v>0.22</v>
      </c>
      <c r="H1010" s="7">
        <v>0.34</v>
      </c>
      <c r="I1010" s="7">
        <v>0.38</v>
      </c>
      <c r="J1010" s="7">
        <v>0.3</v>
      </c>
      <c r="K1010" s="7">
        <v>1.72</v>
      </c>
      <c r="L1010" s="7">
        <v>2.04</v>
      </c>
      <c r="M1010" s="7">
        <v>0.67</v>
      </c>
      <c r="N1010" s="7">
        <v>0.46</v>
      </c>
      <c r="O1010" s="7">
        <v>0.81</v>
      </c>
      <c r="P1010" s="7">
        <v>1.45</v>
      </c>
      <c r="Q1010" s="7">
        <v>0.01</v>
      </c>
    </row>
    <row r="1011" spans="1:17">
      <c r="A1011" s="2">
        <v>2959</v>
      </c>
      <c r="B1011" s="7">
        <v>1.61</v>
      </c>
      <c r="C1011" s="7">
        <v>0.24</v>
      </c>
      <c r="D1011" s="7">
        <v>0.92</v>
      </c>
      <c r="E1011" s="7">
        <v>0.15</v>
      </c>
      <c r="F1011" s="7">
        <v>0.15</v>
      </c>
      <c r="G1011" s="7">
        <v>0.22</v>
      </c>
      <c r="H1011" s="7">
        <v>0.34</v>
      </c>
      <c r="I1011" s="7">
        <v>0.38</v>
      </c>
      <c r="J1011" s="7">
        <v>0.3</v>
      </c>
      <c r="K1011" s="7">
        <v>1.72</v>
      </c>
      <c r="L1011" s="7">
        <v>2.04</v>
      </c>
      <c r="M1011" s="7">
        <v>0.67</v>
      </c>
      <c r="N1011" s="7">
        <v>0.46</v>
      </c>
      <c r="O1011" s="7">
        <v>0.81</v>
      </c>
      <c r="P1011" s="7">
        <v>1.45</v>
      </c>
      <c r="Q1011" s="7">
        <v>0.01</v>
      </c>
    </row>
    <row r="1012" spans="1:17">
      <c r="A1012" s="2">
        <v>2960</v>
      </c>
      <c r="B1012" s="7">
        <v>1.61</v>
      </c>
      <c r="C1012" s="7">
        <v>0.24</v>
      </c>
      <c r="D1012" s="7">
        <v>0.92</v>
      </c>
      <c r="E1012" s="7">
        <v>0.15</v>
      </c>
      <c r="F1012" s="7">
        <v>0.15</v>
      </c>
      <c r="G1012" s="7">
        <v>0.22</v>
      </c>
      <c r="H1012" s="7">
        <v>0.34</v>
      </c>
      <c r="I1012" s="7">
        <v>0.38</v>
      </c>
      <c r="J1012" s="7">
        <v>0.3</v>
      </c>
      <c r="K1012" s="7">
        <v>1.72</v>
      </c>
      <c r="L1012" s="7">
        <v>2.04</v>
      </c>
      <c r="M1012" s="7">
        <v>0.67</v>
      </c>
      <c r="N1012" s="7">
        <v>0.46</v>
      </c>
      <c r="O1012" s="7">
        <v>0.81</v>
      </c>
      <c r="P1012" s="7">
        <v>1.45</v>
      </c>
      <c r="Q1012" s="7">
        <v>0.01</v>
      </c>
    </row>
    <row r="1013" spans="1:17">
      <c r="A1013" s="2">
        <v>2961</v>
      </c>
      <c r="B1013" s="7">
        <v>1.61</v>
      </c>
      <c r="C1013" s="7">
        <v>0.24</v>
      </c>
      <c r="D1013" s="7">
        <v>0.92</v>
      </c>
      <c r="E1013" s="7">
        <v>0.15</v>
      </c>
      <c r="F1013" s="7">
        <v>0.15</v>
      </c>
      <c r="G1013" s="7">
        <v>0.22</v>
      </c>
      <c r="H1013" s="7">
        <v>0.34</v>
      </c>
      <c r="I1013" s="7">
        <v>0.38</v>
      </c>
      <c r="J1013" s="7">
        <v>0.3</v>
      </c>
      <c r="K1013" s="7">
        <v>1.72</v>
      </c>
      <c r="L1013" s="7">
        <v>2.04</v>
      </c>
      <c r="M1013" s="7">
        <v>0.67</v>
      </c>
      <c r="N1013" s="7">
        <v>0.46</v>
      </c>
      <c r="O1013" s="7">
        <v>0.81</v>
      </c>
      <c r="P1013" s="7">
        <v>1.45</v>
      </c>
      <c r="Q1013" s="7">
        <v>0.01</v>
      </c>
    </row>
    <row r="1014" spans="1:17">
      <c r="A1014" s="2">
        <v>2962</v>
      </c>
      <c r="B1014" s="7">
        <v>1.61</v>
      </c>
      <c r="C1014" s="7">
        <v>0.24</v>
      </c>
      <c r="D1014" s="7">
        <v>0.92</v>
      </c>
      <c r="E1014" s="7">
        <v>0.15</v>
      </c>
      <c r="F1014" s="7">
        <v>0.15</v>
      </c>
      <c r="G1014" s="7">
        <v>0.22</v>
      </c>
      <c r="H1014" s="7">
        <v>0.34</v>
      </c>
      <c r="I1014" s="7">
        <v>0.38</v>
      </c>
      <c r="J1014" s="7">
        <v>0.3</v>
      </c>
      <c r="K1014" s="7">
        <v>1.72</v>
      </c>
      <c r="L1014" s="7">
        <v>2.04</v>
      </c>
      <c r="M1014" s="7">
        <v>0.67</v>
      </c>
      <c r="N1014" s="7">
        <v>0.46</v>
      </c>
      <c r="O1014" s="7">
        <v>0.81</v>
      </c>
      <c r="P1014" s="7">
        <v>1.45</v>
      </c>
      <c r="Q1014" s="7">
        <v>0.01</v>
      </c>
    </row>
    <row r="1015" spans="1:17">
      <c r="A1015" s="2">
        <v>2963</v>
      </c>
      <c r="B1015" s="7">
        <v>1.61</v>
      </c>
      <c r="C1015" s="7">
        <v>0.24</v>
      </c>
      <c r="D1015" s="7">
        <v>0.92</v>
      </c>
      <c r="E1015" s="7">
        <v>0.15</v>
      </c>
      <c r="F1015" s="7">
        <v>0.15</v>
      </c>
      <c r="G1015" s="7">
        <v>0.22</v>
      </c>
      <c r="H1015" s="7">
        <v>0.34</v>
      </c>
      <c r="I1015" s="7">
        <v>0.38</v>
      </c>
      <c r="J1015" s="7">
        <v>0.3</v>
      </c>
      <c r="K1015" s="7">
        <v>1.72</v>
      </c>
      <c r="L1015" s="7">
        <v>2.04</v>
      </c>
      <c r="M1015" s="7">
        <v>0.67</v>
      </c>
      <c r="N1015" s="7">
        <v>0.46</v>
      </c>
      <c r="O1015" s="7">
        <v>0.81</v>
      </c>
      <c r="P1015" s="7">
        <v>1.45</v>
      </c>
      <c r="Q1015" s="7">
        <v>0.01</v>
      </c>
    </row>
    <row r="1016" spans="1:17">
      <c r="A1016" s="2">
        <v>2964</v>
      </c>
      <c r="B1016" s="7">
        <v>1.61</v>
      </c>
      <c r="C1016" s="7">
        <v>0.24</v>
      </c>
      <c r="D1016" s="7">
        <v>0.92</v>
      </c>
      <c r="E1016" s="7">
        <v>0.15</v>
      </c>
      <c r="F1016" s="7">
        <v>0.15</v>
      </c>
      <c r="G1016" s="7">
        <v>0.22</v>
      </c>
      <c r="H1016" s="7">
        <v>0.34</v>
      </c>
      <c r="I1016" s="7">
        <v>0.38</v>
      </c>
      <c r="J1016" s="7">
        <v>0.3</v>
      </c>
      <c r="K1016" s="7">
        <v>1.72</v>
      </c>
      <c r="L1016" s="7">
        <v>2.04</v>
      </c>
      <c r="M1016" s="7">
        <v>0.67</v>
      </c>
      <c r="N1016" s="7">
        <v>0.46</v>
      </c>
      <c r="O1016" s="7">
        <v>0.81</v>
      </c>
      <c r="P1016" s="7">
        <v>1.45</v>
      </c>
      <c r="Q1016" s="7">
        <v>0.01</v>
      </c>
    </row>
    <row r="1017" spans="1:17">
      <c r="A1017" s="2">
        <v>2965</v>
      </c>
      <c r="B1017" s="7">
        <v>1.61</v>
      </c>
      <c r="C1017" s="7">
        <v>0.24</v>
      </c>
      <c r="D1017" s="7">
        <v>0.92</v>
      </c>
      <c r="E1017" s="7">
        <v>0.15</v>
      </c>
      <c r="F1017" s="7">
        <v>0.15</v>
      </c>
      <c r="G1017" s="7">
        <v>0.22</v>
      </c>
      <c r="H1017" s="7">
        <v>0.34</v>
      </c>
      <c r="I1017" s="7">
        <v>0.38</v>
      </c>
      <c r="J1017" s="7">
        <v>0.3</v>
      </c>
      <c r="K1017" s="7">
        <v>1.72</v>
      </c>
      <c r="L1017" s="7">
        <v>2.04</v>
      </c>
      <c r="M1017" s="7">
        <v>0.67</v>
      </c>
      <c r="N1017" s="7">
        <v>0.46</v>
      </c>
      <c r="O1017" s="7">
        <v>0.81</v>
      </c>
      <c r="P1017" s="7">
        <v>1.45</v>
      </c>
      <c r="Q1017" s="7">
        <v>0.01</v>
      </c>
    </row>
    <row r="1018" spans="1:17">
      <c r="A1018" s="2">
        <v>2966</v>
      </c>
      <c r="B1018" s="7">
        <v>1.61</v>
      </c>
      <c r="C1018" s="7">
        <v>0.24</v>
      </c>
      <c r="D1018" s="7">
        <v>0.92</v>
      </c>
      <c r="E1018" s="7">
        <v>0.15</v>
      </c>
      <c r="F1018" s="7">
        <v>0.15</v>
      </c>
      <c r="G1018" s="7">
        <v>0.22</v>
      </c>
      <c r="H1018" s="7">
        <v>0.34</v>
      </c>
      <c r="I1018" s="7">
        <v>0.38</v>
      </c>
      <c r="J1018" s="7">
        <v>0.3</v>
      </c>
      <c r="K1018" s="7">
        <v>1.72</v>
      </c>
      <c r="L1018" s="7">
        <v>2.04</v>
      </c>
      <c r="M1018" s="7">
        <v>0.67</v>
      </c>
      <c r="N1018" s="7">
        <v>0.46</v>
      </c>
      <c r="O1018" s="7">
        <v>0.81</v>
      </c>
      <c r="P1018" s="7">
        <v>1.45</v>
      </c>
      <c r="Q1018" s="7">
        <v>0.01</v>
      </c>
    </row>
    <row r="1019" spans="1:17">
      <c r="A1019" s="2">
        <v>2967</v>
      </c>
      <c r="B1019" s="7">
        <v>1.61</v>
      </c>
      <c r="C1019" s="7">
        <v>0.24</v>
      </c>
      <c r="D1019" s="7">
        <v>0.92</v>
      </c>
      <c r="E1019" s="7">
        <v>0.15</v>
      </c>
      <c r="F1019" s="7">
        <v>0.15</v>
      </c>
      <c r="G1019" s="7">
        <v>0.22</v>
      </c>
      <c r="H1019" s="7">
        <v>0.34</v>
      </c>
      <c r="I1019" s="7">
        <v>0.38</v>
      </c>
      <c r="J1019" s="7">
        <v>0.3</v>
      </c>
      <c r="K1019" s="7">
        <v>1.72</v>
      </c>
      <c r="L1019" s="7">
        <v>2.04</v>
      </c>
      <c r="M1019" s="7">
        <v>0.67</v>
      </c>
      <c r="N1019" s="7">
        <v>0.46</v>
      </c>
      <c r="O1019" s="7">
        <v>0.81</v>
      </c>
      <c r="P1019" s="7">
        <v>1.45</v>
      </c>
      <c r="Q1019" s="7">
        <v>0.01</v>
      </c>
    </row>
    <row r="1020" spans="1:17">
      <c r="A1020" s="2">
        <v>2968</v>
      </c>
      <c r="B1020" s="7">
        <v>1.61</v>
      </c>
      <c r="C1020" s="7">
        <v>0.24</v>
      </c>
      <c r="D1020" s="7">
        <v>0.92</v>
      </c>
      <c r="E1020" s="7">
        <v>0.15</v>
      </c>
      <c r="F1020" s="7">
        <v>0.15</v>
      </c>
      <c r="G1020" s="7">
        <v>0.22</v>
      </c>
      <c r="H1020" s="7">
        <v>0.34</v>
      </c>
      <c r="I1020" s="7">
        <v>0.38</v>
      </c>
      <c r="J1020" s="7">
        <v>0.3</v>
      </c>
      <c r="K1020" s="7">
        <v>1.72</v>
      </c>
      <c r="L1020" s="7">
        <v>2.04</v>
      </c>
      <c r="M1020" s="7">
        <v>0.67</v>
      </c>
      <c r="N1020" s="7">
        <v>0.46</v>
      </c>
      <c r="O1020" s="7">
        <v>0.81</v>
      </c>
      <c r="P1020" s="7">
        <v>1.45</v>
      </c>
      <c r="Q1020" s="7">
        <v>0.01</v>
      </c>
    </row>
    <row r="1021" spans="1:17">
      <c r="A1021" s="2">
        <v>2969</v>
      </c>
      <c r="B1021" s="7">
        <v>1.61</v>
      </c>
      <c r="C1021" s="7">
        <v>0.24</v>
      </c>
      <c r="D1021" s="7">
        <v>0.92</v>
      </c>
      <c r="E1021" s="7">
        <v>0.15</v>
      </c>
      <c r="F1021" s="7">
        <v>0.15</v>
      </c>
      <c r="G1021" s="7">
        <v>0.22</v>
      </c>
      <c r="H1021" s="7">
        <v>0.34</v>
      </c>
      <c r="I1021" s="7">
        <v>0.38</v>
      </c>
      <c r="J1021" s="7">
        <v>0.3</v>
      </c>
      <c r="K1021" s="7">
        <v>1.72</v>
      </c>
      <c r="L1021" s="7">
        <v>2.04</v>
      </c>
      <c r="M1021" s="7">
        <v>0.67</v>
      </c>
      <c r="N1021" s="7">
        <v>0.46</v>
      </c>
      <c r="O1021" s="7">
        <v>0.81</v>
      </c>
      <c r="P1021" s="7">
        <v>1.45</v>
      </c>
      <c r="Q1021" s="7">
        <v>0.01</v>
      </c>
    </row>
    <row r="1022" spans="1:17">
      <c r="A1022" s="2">
        <v>2970</v>
      </c>
      <c r="B1022" s="7">
        <v>1.61</v>
      </c>
      <c r="C1022" s="7">
        <v>0.24</v>
      </c>
      <c r="D1022" s="7">
        <v>0.92</v>
      </c>
      <c r="E1022" s="7">
        <v>0.15</v>
      </c>
      <c r="F1022" s="7">
        <v>0.15</v>
      </c>
      <c r="G1022" s="7">
        <v>0.22</v>
      </c>
      <c r="H1022" s="7">
        <v>0.34</v>
      </c>
      <c r="I1022" s="7">
        <v>0.38</v>
      </c>
      <c r="J1022" s="7">
        <v>0.3</v>
      </c>
      <c r="K1022" s="7">
        <v>1.72</v>
      </c>
      <c r="L1022" s="7">
        <v>2.04</v>
      </c>
      <c r="M1022" s="7">
        <v>0.67</v>
      </c>
      <c r="N1022" s="7">
        <v>0.46</v>
      </c>
      <c r="O1022" s="7">
        <v>0.81</v>
      </c>
      <c r="P1022" s="7">
        <v>1.45</v>
      </c>
      <c r="Q1022" s="7">
        <v>0.01</v>
      </c>
    </row>
    <row r="1023" spans="1:17">
      <c r="A1023" s="2">
        <v>2971</v>
      </c>
      <c r="B1023" s="7">
        <v>1.61</v>
      </c>
      <c r="C1023" s="7">
        <v>0.24</v>
      </c>
      <c r="D1023" s="7">
        <v>0.92</v>
      </c>
      <c r="E1023" s="7">
        <v>0.15</v>
      </c>
      <c r="F1023" s="7">
        <v>0.15</v>
      </c>
      <c r="G1023" s="7">
        <v>0.22</v>
      </c>
      <c r="H1023" s="7">
        <v>0.34</v>
      </c>
      <c r="I1023" s="7">
        <v>0.38</v>
      </c>
      <c r="J1023" s="7">
        <v>0.3</v>
      </c>
      <c r="K1023" s="7">
        <v>1.72</v>
      </c>
      <c r="L1023" s="7">
        <v>2.04</v>
      </c>
      <c r="M1023" s="7">
        <v>0.67</v>
      </c>
      <c r="N1023" s="7">
        <v>0.46</v>
      </c>
      <c r="O1023" s="7">
        <v>0.81</v>
      </c>
      <c r="P1023" s="7">
        <v>1.45</v>
      </c>
      <c r="Q1023" s="7">
        <v>0.01</v>
      </c>
    </row>
    <row r="1024" spans="1:17">
      <c r="A1024" s="2">
        <v>2972</v>
      </c>
      <c r="B1024" s="7">
        <v>1.61</v>
      </c>
      <c r="C1024" s="7">
        <v>0.24</v>
      </c>
      <c r="D1024" s="7">
        <v>0.92</v>
      </c>
      <c r="E1024" s="7">
        <v>0.15</v>
      </c>
      <c r="F1024" s="7">
        <v>0.15</v>
      </c>
      <c r="G1024" s="7">
        <v>0.22</v>
      </c>
      <c r="H1024" s="7">
        <v>0.34</v>
      </c>
      <c r="I1024" s="7">
        <v>0.38</v>
      </c>
      <c r="J1024" s="7">
        <v>0.3</v>
      </c>
      <c r="K1024" s="7">
        <v>1.72</v>
      </c>
      <c r="L1024" s="7">
        <v>2.04</v>
      </c>
      <c r="M1024" s="7">
        <v>0.67</v>
      </c>
      <c r="N1024" s="7">
        <v>0.46</v>
      </c>
      <c r="O1024" s="7">
        <v>0.81</v>
      </c>
      <c r="P1024" s="7">
        <v>1.45</v>
      </c>
      <c r="Q1024" s="7">
        <v>0.01</v>
      </c>
    </row>
    <row r="1025" spans="1:17">
      <c r="A1025" s="2">
        <v>2973</v>
      </c>
      <c r="B1025" s="7">
        <v>1.61</v>
      </c>
      <c r="C1025" s="7">
        <v>0.24</v>
      </c>
      <c r="D1025" s="7">
        <v>0.92</v>
      </c>
      <c r="E1025" s="7">
        <v>0.15</v>
      </c>
      <c r="F1025" s="7">
        <v>0.15</v>
      </c>
      <c r="G1025" s="7">
        <v>0.22</v>
      </c>
      <c r="H1025" s="7">
        <v>0.34</v>
      </c>
      <c r="I1025" s="7">
        <v>0.38</v>
      </c>
      <c r="J1025" s="7">
        <v>0.3</v>
      </c>
      <c r="K1025" s="7">
        <v>1.72</v>
      </c>
      <c r="L1025" s="7">
        <v>2.04</v>
      </c>
      <c r="M1025" s="7">
        <v>0.67</v>
      </c>
      <c r="N1025" s="7">
        <v>0.46</v>
      </c>
      <c r="O1025" s="7">
        <v>0.81</v>
      </c>
      <c r="P1025" s="7">
        <v>1.45</v>
      </c>
      <c r="Q1025" s="7">
        <v>0.01</v>
      </c>
    </row>
    <row r="1026" spans="1:17">
      <c r="A1026" s="2">
        <v>2974</v>
      </c>
      <c r="B1026" s="7">
        <v>1.61</v>
      </c>
      <c r="C1026" s="7">
        <v>0.24</v>
      </c>
      <c r="D1026" s="7">
        <v>0.92</v>
      </c>
      <c r="E1026" s="7">
        <v>0.15</v>
      </c>
      <c r="F1026" s="7">
        <v>0.15</v>
      </c>
      <c r="G1026" s="7">
        <v>0.22</v>
      </c>
      <c r="H1026" s="7">
        <v>0.34</v>
      </c>
      <c r="I1026" s="7">
        <v>0.38</v>
      </c>
      <c r="J1026" s="7">
        <v>0.3</v>
      </c>
      <c r="K1026" s="7">
        <v>1.72</v>
      </c>
      <c r="L1026" s="7">
        <v>2.04</v>
      </c>
      <c r="M1026" s="7">
        <v>0.67</v>
      </c>
      <c r="N1026" s="7">
        <v>0.46</v>
      </c>
      <c r="O1026" s="7">
        <v>0.81</v>
      </c>
      <c r="P1026" s="7">
        <v>1.45</v>
      </c>
      <c r="Q1026" s="7">
        <v>0.01</v>
      </c>
    </row>
    <row r="1027" spans="1:17">
      <c r="A1027" s="2">
        <v>2975</v>
      </c>
      <c r="B1027" s="7">
        <v>1.61</v>
      </c>
      <c r="C1027" s="7">
        <v>0.24</v>
      </c>
      <c r="D1027" s="7">
        <v>0.92</v>
      </c>
      <c r="E1027" s="7">
        <v>0.15</v>
      </c>
      <c r="F1027" s="7">
        <v>0.15</v>
      </c>
      <c r="G1027" s="7">
        <v>0.22</v>
      </c>
      <c r="H1027" s="7">
        <v>0.34</v>
      </c>
      <c r="I1027" s="7">
        <v>0.38</v>
      </c>
      <c r="J1027" s="7">
        <v>0.3</v>
      </c>
      <c r="K1027" s="7">
        <v>1.72</v>
      </c>
      <c r="L1027" s="7">
        <v>2.04</v>
      </c>
      <c r="M1027" s="7">
        <v>0.67</v>
      </c>
      <c r="N1027" s="7">
        <v>0.46</v>
      </c>
      <c r="O1027" s="7">
        <v>0.81</v>
      </c>
      <c r="P1027" s="7">
        <v>1.45</v>
      </c>
      <c r="Q1027" s="7">
        <v>0.01</v>
      </c>
    </row>
    <row r="1028" spans="1:17">
      <c r="A1028" s="2">
        <v>2976</v>
      </c>
      <c r="B1028" s="7">
        <v>1.61</v>
      </c>
      <c r="C1028" s="7">
        <v>0.24</v>
      </c>
      <c r="D1028" s="7">
        <v>0.92</v>
      </c>
      <c r="E1028" s="7">
        <v>0.15</v>
      </c>
      <c r="F1028" s="7">
        <v>0.15</v>
      </c>
      <c r="G1028" s="7">
        <v>0.22</v>
      </c>
      <c r="H1028" s="7">
        <v>0.34</v>
      </c>
      <c r="I1028" s="7">
        <v>0.38</v>
      </c>
      <c r="J1028" s="7">
        <v>0.3</v>
      </c>
      <c r="K1028" s="7">
        <v>1.72</v>
      </c>
      <c r="L1028" s="7">
        <v>2.04</v>
      </c>
      <c r="M1028" s="7">
        <v>0.67</v>
      </c>
      <c r="N1028" s="7">
        <v>0.46</v>
      </c>
      <c r="O1028" s="7">
        <v>0.81</v>
      </c>
      <c r="P1028" s="7">
        <v>1.45</v>
      </c>
      <c r="Q1028" s="7">
        <v>0.01</v>
      </c>
    </row>
    <row r="1029" spans="1:17">
      <c r="A1029" s="2">
        <v>2977</v>
      </c>
      <c r="B1029" s="7">
        <v>1.61</v>
      </c>
      <c r="C1029" s="7">
        <v>0.24</v>
      </c>
      <c r="D1029" s="7">
        <v>0.92</v>
      </c>
      <c r="E1029" s="7">
        <v>0.15</v>
      </c>
      <c r="F1029" s="7">
        <v>0.15</v>
      </c>
      <c r="G1029" s="7">
        <v>0.22</v>
      </c>
      <c r="H1029" s="7">
        <v>0.34</v>
      </c>
      <c r="I1029" s="7">
        <v>0.38</v>
      </c>
      <c r="J1029" s="7">
        <v>0.3</v>
      </c>
      <c r="K1029" s="7">
        <v>1.72</v>
      </c>
      <c r="L1029" s="7">
        <v>2.04</v>
      </c>
      <c r="M1029" s="7">
        <v>0.67</v>
      </c>
      <c r="N1029" s="7">
        <v>0.46</v>
      </c>
      <c r="O1029" s="7">
        <v>0.81</v>
      </c>
      <c r="P1029" s="7">
        <v>1.45</v>
      </c>
      <c r="Q1029" s="7">
        <v>0.01</v>
      </c>
    </row>
    <row r="1030" spans="1:17">
      <c r="A1030" s="2">
        <v>2978</v>
      </c>
      <c r="B1030" s="7">
        <v>1.61</v>
      </c>
      <c r="C1030" s="7">
        <v>0.24</v>
      </c>
      <c r="D1030" s="7">
        <v>0.92</v>
      </c>
      <c r="E1030" s="7">
        <v>0.15</v>
      </c>
      <c r="F1030" s="7">
        <v>0.15</v>
      </c>
      <c r="G1030" s="7">
        <v>0.22</v>
      </c>
      <c r="H1030" s="7">
        <v>0.34</v>
      </c>
      <c r="I1030" s="7">
        <v>0.38</v>
      </c>
      <c r="J1030" s="7">
        <v>0.3</v>
      </c>
      <c r="K1030" s="7">
        <v>1.72</v>
      </c>
      <c r="L1030" s="7">
        <v>2.04</v>
      </c>
      <c r="M1030" s="7">
        <v>0.67</v>
      </c>
      <c r="N1030" s="7">
        <v>0.46</v>
      </c>
      <c r="O1030" s="7">
        <v>0.81</v>
      </c>
      <c r="P1030" s="7">
        <v>1.45</v>
      </c>
      <c r="Q1030" s="7">
        <v>0.01</v>
      </c>
    </row>
    <row r="1031" spans="1:17">
      <c r="A1031" s="2">
        <v>2979</v>
      </c>
      <c r="B1031" s="7">
        <v>1.61</v>
      </c>
      <c r="C1031" s="7">
        <v>0.24</v>
      </c>
      <c r="D1031" s="7">
        <v>0.92</v>
      </c>
      <c r="E1031" s="7">
        <v>0.15</v>
      </c>
      <c r="F1031" s="7">
        <v>0.15</v>
      </c>
      <c r="G1031" s="7">
        <v>0.22</v>
      </c>
      <c r="H1031" s="7">
        <v>0.34</v>
      </c>
      <c r="I1031" s="7">
        <v>0.38</v>
      </c>
      <c r="J1031" s="7">
        <v>0.3</v>
      </c>
      <c r="K1031" s="7">
        <v>1.72</v>
      </c>
      <c r="L1031" s="7">
        <v>2.04</v>
      </c>
      <c r="M1031" s="7">
        <v>0.67</v>
      </c>
      <c r="N1031" s="7">
        <v>0.46</v>
      </c>
      <c r="O1031" s="7">
        <v>0.81</v>
      </c>
      <c r="P1031" s="7">
        <v>1.45</v>
      </c>
      <c r="Q1031" s="7">
        <v>0.01</v>
      </c>
    </row>
    <row r="1032" spans="1:17">
      <c r="A1032" s="2">
        <v>2980</v>
      </c>
      <c r="B1032" s="7">
        <v>1.61</v>
      </c>
      <c r="C1032" s="7">
        <v>0.24</v>
      </c>
      <c r="D1032" s="7">
        <v>0.92</v>
      </c>
      <c r="E1032" s="7">
        <v>0.15</v>
      </c>
      <c r="F1032" s="7">
        <v>0.15</v>
      </c>
      <c r="G1032" s="7">
        <v>0.22</v>
      </c>
      <c r="H1032" s="7">
        <v>0.34</v>
      </c>
      <c r="I1032" s="7">
        <v>0.38</v>
      </c>
      <c r="J1032" s="7">
        <v>0.3</v>
      </c>
      <c r="K1032" s="7">
        <v>1.72</v>
      </c>
      <c r="L1032" s="7">
        <v>2.04</v>
      </c>
      <c r="M1032" s="7">
        <v>0.67</v>
      </c>
      <c r="N1032" s="7">
        <v>0.46</v>
      </c>
      <c r="O1032" s="7">
        <v>0.81</v>
      </c>
      <c r="P1032" s="7">
        <v>1.45</v>
      </c>
      <c r="Q1032" s="7">
        <v>0.01</v>
      </c>
    </row>
    <row r="1033" spans="1:17">
      <c r="A1033" s="2">
        <v>2981</v>
      </c>
      <c r="B1033" s="7">
        <v>1.61</v>
      </c>
      <c r="C1033" s="7">
        <v>0.24</v>
      </c>
      <c r="D1033" s="7">
        <v>0.92</v>
      </c>
      <c r="E1033" s="7">
        <v>0.15</v>
      </c>
      <c r="F1033" s="7">
        <v>0.15</v>
      </c>
      <c r="G1033" s="7">
        <v>0.22</v>
      </c>
      <c r="H1033" s="7">
        <v>0.34</v>
      </c>
      <c r="I1033" s="7">
        <v>0.38</v>
      </c>
      <c r="J1033" s="7">
        <v>0.3</v>
      </c>
      <c r="K1033" s="7">
        <v>1.72</v>
      </c>
      <c r="L1033" s="7">
        <v>2.04</v>
      </c>
      <c r="M1033" s="7">
        <v>0.67</v>
      </c>
      <c r="N1033" s="7">
        <v>0.46</v>
      </c>
      <c r="O1033" s="7">
        <v>0.81</v>
      </c>
      <c r="P1033" s="7">
        <v>1.45</v>
      </c>
      <c r="Q1033" s="7">
        <v>0.01</v>
      </c>
    </row>
    <row r="1034" spans="1:17">
      <c r="A1034" s="2">
        <v>2982</v>
      </c>
      <c r="B1034" s="7">
        <v>1.61</v>
      </c>
      <c r="C1034" s="7">
        <v>0.24</v>
      </c>
      <c r="D1034" s="7">
        <v>0.92</v>
      </c>
      <c r="E1034" s="7">
        <v>0.15</v>
      </c>
      <c r="F1034" s="7">
        <v>0.15</v>
      </c>
      <c r="G1034" s="7">
        <v>0.22</v>
      </c>
      <c r="H1034" s="7">
        <v>0.34</v>
      </c>
      <c r="I1034" s="7">
        <v>0.38</v>
      </c>
      <c r="J1034" s="7">
        <v>0.3</v>
      </c>
      <c r="K1034" s="7">
        <v>1.72</v>
      </c>
      <c r="L1034" s="7">
        <v>2.04</v>
      </c>
      <c r="M1034" s="7">
        <v>0.67</v>
      </c>
      <c r="N1034" s="7">
        <v>0.46</v>
      </c>
      <c r="O1034" s="7">
        <v>0.81</v>
      </c>
      <c r="P1034" s="7">
        <v>1.45</v>
      </c>
      <c r="Q1034" s="7">
        <v>0.01</v>
      </c>
    </row>
    <row r="1035" spans="1:17">
      <c r="A1035" s="2">
        <v>2983</v>
      </c>
      <c r="B1035" s="7">
        <v>1.61</v>
      </c>
      <c r="C1035" s="7">
        <v>0.24</v>
      </c>
      <c r="D1035" s="7">
        <v>0.92</v>
      </c>
      <c r="E1035" s="7">
        <v>0.15</v>
      </c>
      <c r="F1035" s="7">
        <v>0.15</v>
      </c>
      <c r="G1035" s="7">
        <v>0.22</v>
      </c>
      <c r="H1035" s="7">
        <v>0.34</v>
      </c>
      <c r="I1035" s="7">
        <v>0.38</v>
      </c>
      <c r="J1035" s="7">
        <v>0.3</v>
      </c>
      <c r="K1035" s="7">
        <v>1.72</v>
      </c>
      <c r="L1035" s="7">
        <v>2.04</v>
      </c>
      <c r="M1035" s="7">
        <v>0.67</v>
      </c>
      <c r="N1035" s="7">
        <v>0.46</v>
      </c>
      <c r="O1035" s="7">
        <v>0.81</v>
      </c>
      <c r="P1035" s="7">
        <v>1.45</v>
      </c>
      <c r="Q1035" s="7">
        <v>0.01</v>
      </c>
    </row>
    <row r="1036" spans="1:17">
      <c r="A1036" s="2">
        <v>2984</v>
      </c>
      <c r="B1036" s="7">
        <v>1.61</v>
      </c>
      <c r="C1036" s="7">
        <v>0.24</v>
      </c>
      <c r="D1036" s="7">
        <v>0.92</v>
      </c>
      <c r="E1036" s="7">
        <v>0.15</v>
      </c>
      <c r="F1036" s="7">
        <v>0.15</v>
      </c>
      <c r="G1036" s="7">
        <v>0.22</v>
      </c>
      <c r="H1036" s="7">
        <v>0.34</v>
      </c>
      <c r="I1036" s="7">
        <v>0.38</v>
      </c>
      <c r="J1036" s="7">
        <v>0.3</v>
      </c>
      <c r="K1036" s="7">
        <v>1.72</v>
      </c>
      <c r="L1036" s="7">
        <v>2.04</v>
      </c>
      <c r="M1036" s="7">
        <v>0.67</v>
      </c>
      <c r="N1036" s="7">
        <v>0.46</v>
      </c>
      <c r="O1036" s="7">
        <v>0.81</v>
      </c>
      <c r="P1036" s="7">
        <v>1.45</v>
      </c>
      <c r="Q1036" s="7">
        <v>0.01</v>
      </c>
    </row>
    <row r="1037" spans="1:17">
      <c r="A1037" s="2">
        <v>2985</v>
      </c>
      <c r="B1037" s="7">
        <v>1.61</v>
      </c>
      <c r="C1037" s="7">
        <v>0.24</v>
      </c>
      <c r="D1037" s="7">
        <v>0.92</v>
      </c>
      <c r="E1037" s="7">
        <v>0.15</v>
      </c>
      <c r="F1037" s="7">
        <v>0.15</v>
      </c>
      <c r="G1037" s="7">
        <v>0.22</v>
      </c>
      <c r="H1037" s="7">
        <v>0.34</v>
      </c>
      <c r="I1037" s="7">
        <v>0.38</v>
      </c>
      <c r="J1037" s="7">
        <v>0.3</v>
      </c>
      <c r="K1037" s="7">
        <v>1.72</v>
      </c>
      <c r="L1037" s="7">
        <v>2.04</v>
      </c>
      <c r="M1037" s="7">
        <v>0.67</v>
      </c>
      <c r="N1037" s="7">
        <v>0.46</v>
      </c>
      <c r="O1037" s="7">
        <v>0.81</v>
      </c>
      <c r="P1037" s="7">
        <v>1.45</v>
      </c>
      <c r="Q1037" s="7">
        <v>0.01</v>
      </c>
    </row>
    <row r="1038" spans="1:17">
      <c r="A1038" s="2">
        <v>2986</v>
      </c>
      <c r="B1038" s="7">
        <v>1.61</v>
      </c>
      <c r="C1038" s="7">
        <v>0.24</v>
      </c>
      <c r="D1038" s="7">
        <v>0.92</v>
      </c>
      <c r="E1038" s="7">
        <v>0.15</v>
      </c>
      <c r="F1038" s="7">
        <v>0.15</v>
      </c>
      <c r="G1038" s="7">
        <v>0.22</v>
      </c>
      <c r="H1038" s="7">
        <v>0.34</v>
      </c>
      <c r="I1038" s="7">
        <v>0.38</v>
      </c>
      <c r="J1038" s="7">
        <v>0.3</v>
      </c>
      <c r="K1038" s="7">
        <v>1.72</v>
      </c>
      <c r="L1038" s="7">
        <v>2.04</v>
      </c>
      <c r="M1038" s="7">
        <v>0.67</v>
      </c>
      <c r="N1038" s="7">
        <v>0.46</v>
      </c>
      <c r="O1038" s="7">
        <v>0.81</v>
      </c>
      <c r="P1038" s="7">
        <v>1.45</v>
      </c>
      <c r="Q1038" s="7">
        <v>0.01</v>
      </c>
    </row>
    <row r="1039" spans="1:17">
      <c r="A1039" s="2">
        <v>2987</v>
      </c>
      <c r="B1039" s="7">
        <v>1.61</v>
      </c>
      <c r="C1039" s="7">
        <v>0.24</v>
      </c>
      <c r="D1039" s="7">
        <v>0.92</v>
      </c>
      <c r="E1039" s="7">
        <v>0.15</v>
      </c>
      <c r="F1039" s="7">
        <v>0.15</v>
      </c>
      <c r="G1039" s="7">
        <v>0.22</v>
      </c>
      <c r="H1039" s="7">
        <v>0.34</v>
      </c>
      <c r="I1039" s="7">
        <v>0.38</v>
      </c>
      <c r="J1039" s="7">
        <v>0.3</v>
      </c>
      <c r="K1039" s="7">
        <v>1.72</v>
      </c>
      <c r="L1039" s="7">
        <v>2.04</v>
      </c>
      <c r="M1039" s="7">
        <v>0.67</v>
      </c>
      <c r="N1039" s="7">
        <v>0.46</v>
      </c>
      <c r="O1039" s="7">
        <v>0.81</v>
      </c>
      <c r="P1039" s="7">
        <v>1.45</v>
      </c>
      <c r="Q1039" s="7">
        <v>0.01</v>
      </c>
    </row>
    <row r="1040" spans="1:17">
      <c r="A1040" s="2">
        <v>2988</v>
      </c>
      <c r="B1040" s="7">
        <v>1.61</v>
      </c>
      <c r="C1040" s="7">
        <v>0.24</v>
      </c>
      <c r="D1040" s="7">
        <v>0.92</v>
      </c>
      <c r="E1040" s="7">
        <v>0.15</v>
      </c>
      <c r="F1040" s="7">
        <v>0.15</v>
      </c>
      <c r="G1040" s="7">
        <v>0.22</v>
      </c>
      <c r="H1040" s="7">
        <v>0.34</v>
      </c>
      <c r="I1040" s="7">
        <v>0.38</v>
      </c>
      <c r="J1040" s="7">
        <v>0.3</v>
      </c>
      <c r="K1040" s="7">
        <v>1.72</v>
      </c>
      <c r="L1040" s="7">
        <v>2.04</v>
      </c>
      <c r="M1040" s="7">
        <v>0.67</v>
      </c>
      <c r="N1040" s="7">
        <v>0.46</v>
      </c>
      <c r="O1040" s="7">
        <v>0.81</v>
      </c>
      <c r="P1040" s="7">
        <v>1.45</v>
      </c>
      <c r="Q1040" s="7">
        <v>0.01</v>
      </c>
    </row>
    <row r="1041" spans="1:17">
      <c r="A1041" s="2">
        <v>2989</v>
      </c>
      <c r="B1041" s="7">
        <v>1.61</v>
      </c>
      <c r="C1041" s="7">
        <v>0.24</v>
      </c>
      <c r="D1041" s="7">
        <v>0.92</v>
      </c>
      <c r="E1041" s="7">
        <v>0.15</v>
      </c>
      <c r="F1041" s="7">
        <v>0.15</v>
      </c>
      <c r="G1041" s="7">
        <v>0.22</v>
      </c>
      <c r="H1041" s="7">
        <v>0.34</v>
      </c>
      <c r="I1041" s="7">
        <v>0.38</v>
      </c>
      <c r="J1041" s="7">
        <v>0.3</v>
      </c>
      <c r="K1041" s="7">
        <v>1.72</v>
      </c>
      <c r="L1041" s="7">
        <v>2.04</v>
      </c>
      <c r="M1041" s="7">
        <v>0.67</v>
      </c>
      <c r="N1041" s="7">
        <v>0.46</v>
      </c>
      <c r="O1041" s="7">
        <v>0.81</v>
      </c>
      <c r="P1041" s="7">
        <v>1.45</v>
      </c>
      <c r="Q1041" s="7">
        <v>0.01</v>
      </c>
    </row>
    <row r="1042" spans="1:17">
      <c r="A1042" s="2">
        <v>2990</v>
      </c>
      <c r="B1042" s="7">
        <v>1.61</v>
      </c>
      <c r="C1042" s="7">
        <v>0.24</v>
      </c>
      <c r="D1042" s="7">
        <v>0.92</v>
      </c>
      <c r="E1042" s="7">
        <v>0.15</v>
      </c>
      <c r="F1042" s="7">
        <v>0.15</v>
      </c>
      <c r="G1042" s="7">
        <v>0.22</v>
      </c>
      <c r="H1042" s="7">
        <v>0.34</v>
      </c>
      <c r="I1042" s="7">
        <v>0.38</v>
      </c>
      <c r="J1042" s="7">
        <v>0.3</v>
      </c>
      <c r="K1042" s="7">
        <v>1.72</v>
      </c>
      <c r="L1042" s="7">
        <v>2.04</v>
      </c>
      <c r="M1042" s="7">
        <v>0.67</v>
      </c>
      <c r="N1042" s="7">
        <v>0.46</v>
      </c>
      <c r="O1042" s="7">
        <v>0.81</v>
      </c>
      <c r="P1042" s="7">
        <v>1.45</v>
      </c>
      <c r="Q1042" s="7">
        <v>0.01</v>
      </c>
    </row>
    <row r="1043" spans="1:17">
      <c r="A1043" s="2">
        <v>2991</v>
      </c>
      <c r="B1043" s="7">
        <v>1.61</v>
      </c>
      <c r="C1043" s="7">
        <v>0.24</v>
      </c>
      <c r="D1043" s="7">
        <v>0.92</v>
      </c>
      <c r="E1043" s="7">
        <v>0.15</v>
      </c>
      <c r="F1043" s="7">
        <v>0.15</v>
      </c>
      <c r="G1043" s="7">
        <v>0.22</v>
      </c>
      <c r="H1043" s="7">
        <v>0.34</v>
      </c>
      <c r="I1043" s="7">
        <v>0.38</v>
      </c>
      <c r="J1043" s="7">
        <v>0.3</v>
      </c>
      <c r="K1043" s="7">
        <v>1.72</v>
      </c>
      <c r="L1043" s="7">
        <v>2.04</v>
      </c>
      <c r="M1043" s="7">
        <v>0.67</v>
      </c>
      <c r="N1043" s="7">
        <v>0.46</v>
      </c>
      <c r="O1043" s="7">
        <v>0.81</v>
      </c>
      <c r="P1043" s="7">
        <v>1.45</v>
      </c>
      <c r="Q1043" s="7">
        <v>0.01</v>
      </c>
    </row>
    <row r="1044" spans="1:17">
      <c r="A1044" s="2">
        <v>2992</v>
      </c>
      <c r="B1044" s="7">
        <v>1.61</v>
      </c>
      <c r="C1044" s="7">
        <v>0.24</v>
      </c>
      <c r="D1044" s="7">
        <v>0.92</v>
      </c>
      <c r="E1044" s="7">
        <v>0.15</v>
      </c>
      <c r="F1044" s="7">
        <v>0.15</v>
      </c>
      <c r="G1044" s="7">
        <v>0.22</v>
      </c>
      <c r="H1044" s="7">
        <v>0.34</v>
      </c>
      <c r="I1044" s="7">
        <v>0.38</v>
      </c>
      <c r="J1044" s="7">
        <v>0.3</v>
      </c>
      <c r="K1044" s="7">
        <v>1.72</v>
      </c>
      <c r="L1044" s="7">
        <v>2.04</v>
      </c>
      <c r="M1044" s="7">
        <v>0.67</v>
      </c>
      <c r="N1044" s="7">
        <v>0.46</v>
      </c>
      <c r="O1044" s="7">
        <v>0.81</v>
      </c>
      <c r="P1044" s="7">
        <v>1.45</v>
      </c>
      <c r="Q1044" s="7">
        <v>0.01</v>
      </c>
    </row>
    <row r="1045" spans="1:17">
      <c r="A1045" s="2">
        <v>2993</v>
      </c>
      <c r="B1045" s="7">
        <v>1.61</v>
      </c>
      <c r="C1045" s="7">
        <v>0.24</v>
      </c>
      <c r="D1045" s="7">
        <v>0.92</v>
      </c>
      <c r="E1045" s="7">
        <v>0.15</v>
      </c>
      <c r="F1045" s="7">
        <v>0.15</v>
      </c>
      <c r="G1045" s="7">
        <v>0.22</v>
      </c>
      <c r="H1045" s="7">
        <v>0.34</v>
      </c>
      <c r="I1045" s="7">
        <v>0.38</v>
      </c>
      <c r="J1045" s="7">
        <v>0.3</v>
      </c>
      <c r="K1045" s="7">
        <v>1.72</v>
      </c>
      <c r="L1045" s="7">
        <v>2.04</v>
      </c>
      <c r="M1045" s="7">
        <v>0.67</v>
      </c>
      <c r="N1045" s="7">
        <v>0.46</v>
      </c>
      <c r="O1045" s="7">
        <v>0.81</v>
      </c>
      <c r="P1045" s="7">
        <v>1.45</v>
      </c>
      <c r="Q1045" s="7">
        <v>0.01</v>
      </c>
    </row>
    <row r="1046" spans="1:17">
      <c r="A1046" s="2">
        <v>2994</v>
      </c>
      <c r="B1046" s="7">
        <v>1.61</v>
      </c>
      <c r="C1046" s="7">
        <v>0.24</v>
      </c>
      <c r="D1046" s="7">
        <v>0.92</v>
      </c>
      <c r="E1046" s="7">
        <v>0.15</v>
      </c>
      <c r="F1046" s="7">
        <v>0.15</v>
      </c>
      <c r="G1046" s="7">
        <v>0.22</v>
      </c>
      <c r="H1046" s="7">
        <v>0.34</v>
      </c>
      <c r="I1046" s="7">
        <v>0.38</v>
      </c>
      <c r="J1046" s="7">
        <v>0.3</v>
      </c>
      <c r="K1046" s="7">
        <v>1.72</v>
      </c>
      <c r="L1046" s="7">
        <v>2.04</v>
      </c>
      <c r="M1046" s="7">
        <v>0.67</v>
      </c>
      <c r="N1046" s="7">
        <v>0.46</v>
      </c>
      <c r="O1046" s="7">
        <v>0.81</v>
      </c>
      <c r="P1046" s="7">
        <v>1.45</v>
      </c>
      <c r="Q1046" s="7">
        <v>0.01</v>
      </c>
    </row>
    <row r="1047" spans="1:17">
      <c r="A1047" s="2">
        <v>2995</v>
      </c>
      <c r="B1047" s="7">
        <v>1.61</v>
      </c>
      <c r="C1047" s="7">
        <v>0.24</v>
      </c>
      <c r="D1047" s="7">
        <v>0.92</v>
      </c>
      <c r="E1047" s="7">
        <v>0.15</v>
      </c>
      <c r="F1047" s="7">
        <v>0.15</v>
      </c>
      <c r="G1047" s="7">
        <v>0.22</v>
      </c>
      <c r="H1047" s="7">
        <v>0.34</v>
      </c>
      <c r="I1047" s="7">
        <v>0.38</v>
      </c>
      <c r="J1047" s="7">
        <v>0.3</v>
      </c>
      <c r="K1047" s="7">
        <v>1.72</v>
      </c>
      <c r="L1047" s="7">
        <v>2.04</v>
      </c>
      <c r="M1047" s="7">
        <v>0.67</v>
      </c>
      <c r="N1047" s="7">
        <v>0.46</v>
      </c>
      <c r="O1047" s="7">
        <v>0.81</v>
      </c>
      <c r="P1047" s="7">
        <v>1.45</v>
      </c>
      <c r="Q1047" s="7">
        <v>0.01</v>
      </c>
    </row>
    <row r="1048" spans="1:17">
      <c r="A1048" s="2">
        <v>2996</v>
      </c>
      <c r="B1048" s="7">
        <v>1.61</v>
      </c>
      <c r="C1048" s="7">
        <v>0.24</v>
      </c>
      <c r="D1048" s="7">
        <v>0.92</v>
      </c>
      <c r="E1048" s="7">
        <v>0.15</v>
      </c>
      <c r="F1048" s="7">
        <v>0.15</v>
      </c>
      <c r="G1048" s="7">
        <v>0.22</v>
      </c>
      <c r="H1048" s="7">
        <v>0.34</v>
      </c>
      <c r="I1048" s="7">
        <v>0.38</v>
      </c>
      <c r="J1048" s="7">
        <v>0.3</v>
      </c>
      <c r="K1048" s="7">
        <v>1.72</v>
      </c>
      <c r="L1048" s="7">
        <v>2.04</v>
      </c>
      <c r="M1048" s="7">
        <v>0.67</v>
      </c>
      <c r="N1048" s="7">
        <v>0.46</v>
      </c>
      <c r="O1048" s="7">
        <v>0.81</v>
      </c>
      <c r="P1048" s="7">
        <v>1.45</v>
      </c>
      <c r="Q1048" s="7">
        <v>0.01</v>
      </c>
    </row>
    <row r="1049" spans="1:17">
      <c r="A1049" s="2">
        <v>2997</v>
      </c>
      <c r="B1049" s="7">
        <v>1.61</v>
      </c>
      <c r="C1049" s="7">
        <v>0.24</v>
      </c>
      <c r="D1049" s="7">
        <v>0.92</v>
      </c>
      <c r="E1049" s="7">
        <v>0.15</v>
      </c>
      <c r="F1049" s="7">
        <v>0.15</v>
      </c>
      <c r="G1049" s="7">
        <v>0.22</v>
      </c>
      <c r="H1049" s="7">
        <v>0.34</v>
      </c>
      <c r="I1049" s="7">
        <v>0.38</v>
      </c>
      <c r="J1049" s="7">
        <v>0.3</v>
      </c>
      <c r="K1049" s="7">
        <v>1.72</v>
      </c>
      <c r="L1049" s="7">
        <v>2.04</v>
      </c>
      <c r="M1049" s="7">
        <v>0.67</v>
      </c>
      <c r="N1049" s="7">
        <v>0.46</v>
      </c>
      <c r="O1049" s="7">
        <v>0.81</v>
      </c>
      <c r="P1049" s="7">
        <v>1.45</v>
      </c>
      <c r="Q1049" s="7">
        <v>0.01</v>
      </c>
    </row>
    <row r="1050" spans="1:17">
      <c r="A1050" s="2">
        <v>2998</v>
      </c>
      <c r="B1050" s="7">
        <v>1.61</v>
      </c>
      <c r="C1050" s="7">
        <v>0.24</v>
      </c>
      <c r="D1050" s="7">
        <v>0.92</v>
      </c>
      <c r="E1050" s="7">
        <v>0.15</v>
      </c>
      <c r="F1050" s="7">
        <v>0.15</v>
      </c>
      <c r="G1050" s="7">
        <v>0.22</v>
      </c>
      <c r="H1050" s="7">
        <v>0.34</v>
      </c>
      <c r="I1050" s="7">
        <v>0.38</v>
      </c>
      <c r="J1050" s="7">
        <v>0.3</v>
      </c>
      <c r="K1050" s="7">
        <v>1.72</v>
      </c>
      <c r="L1050" s="7">
        <v>2.04</v>
      </c>
      <c r="M1050" s="7">
        <v>0.67</v>
      </c>
      <c r="N1050" s="7">
        <v>0.46</v>
      </c>
      <c r="O1050" s="7">
        <v>0.81</v>
      </c>
      <c r="P1050" s="7">
        <v>1.45</v>
      </c>
      <c r="Q1050" s="7">
        <v>0.01</v>
      </c>
    </row>
    <row r="1051" spans="1:17">
      <c r="A1051" s="2">
        <v>2999</v>
      </c>
      <c r="B1051" s="7">
        <v>1.61</v>
      </c>
      <c r="C1051" s="7">
        <v>0.24</v>
      </c>
      <c r="D1051" s="7">
        <v>0.92</v>
      </c>
      <c r="E1051" s="7">
        <v>0.15</v>
      </c>
      <c r="F1051" s="7">
        <v>0.15</v>
      </c>
      <c r="G1051" s="7">
        <v>0.22</v>
      </c>
      <c r="H1051" s="7">
        <v>0.34</v>
      </c>
      <c r="I1051" s="7">
        <v>0.38</v>
      </c>
      <c r="J1051" s="7">
        <v>0.3</v>
      </c>
      <c r="K1051" s="7">
        <v>1.72</v>
      </c>
      <c r="L1051" s="7">
        <v>2.04</v>
      </c>
      <c r="M1051" s="7">
        <v>0.67</v>
      </c>
      <c r="N1051" s="7">
        <v>0.46</v>
      </c>
      <c r="O1051" s="7">
        <v>0.81</v>
      </c>
      <c r="P1051" s="7">
        <v>1.45</v>
      </c>
      <c r="Q1051" s="7">
        <v>0.01</v>
      </c>
    </row>
    <row r="1052" spans="1:17">
      <c r="A1052" s="2">
        <v>3000</v>
      </c>
      <c r="B1052" s="7">
        <v>1.61</v>
      </c>
      <c r="C1052" s="7">
        <v>0.24</v>
      </c>
      <c r="D1052" s="7">
        <v>0.92</v>
      </c>
      <c r="E1052" s="7">
        <v>0.15</v>
      </c>
      <c r="F1052" s="7">
        <v>0.15</v>
      </c>
      <c r="G1052" s="7">
        <v>0.22</v>
      </c>
      <c r="H1052" s="7">
        <v>0.34</v>
      </c>
      <c r="I1052" s="7">
        <v>0.38</v>
      </c>
      <c r="J1052" s="7">
        <v>0.3</v>
      </c>
      <c r="K1052" s="7">
        <v>1.72</v>
      </c>
      <c r="L1052" s="7">
        <v>2.04</v>
      </c>
      <c r="M1052" s="7">
        <v>0.67</v>
      </c>
      <c r="N1052" s="7">
        <v>0.46</v>
      </c>
      <c r="O1052" s="7">
        <v>0.81</v>
      </c>
      <c r="P1052" s="7">
        <v>1.45</v>
      </c>
      <c r="Q1052" s="7">
        <v>0.01</v>
      </c>
    </row>
  </sheetData>
  <phoneticPr fontId="2" type="noConversion"/>
  <pageMargins left="0.78740157499999996" right="0.78740157499999996" top="0.984251969" bottom="0.984251969" header="0.4921259845" footer="0.492125984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>
  <sheetPr codeName="Tabelle13"/>
  <dimension ref="A1:CX1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ColWidth="11.42578125" defaultRowHeight="12.75"/>
  <cols>
    <col min="1" max="1" width="11.42578125" customWidth="1"/>
    <col min="2" max="8" width="25" bestFit="1" customWidth="1"/>
    <col min="9" max="9" width="26.7109375" bestFit="1" customWidth="1"/>
    <col min="10" max="11" width="26" bestFit="1" customWidth="1"/>
    <col min="12" max="12" width="28.7109375" bestFit="1" customWidth="1"/>
    <col min="13" max="15" width="26.7109375" bestFit="1" customWidth="1"/>
    <col min="16" max="16" width="28.7109375" bestFit="1" customWidth="1"/>
    <col min="17" max="17" width="26.7109375" bestFit="1" customWidth="1"/>
  </cols>
  <sheetData>
    <row r="1" spans="1:102">
      <c r="A1" s="1" t="s">
        <v>143</v>
      </c>
      <c r="B1" s="1" t="s">
        <v>2</v>
      </c>
      <c r="C1" s="1" t="s">
        <v>3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  <c r="S1" s="1" t="s">
        <v>147</v>
      </c>
      <c r="AJ1" t="s">
        <v>148</v>
      </c>
      <c r="BA1" t="s">
        <v>144</v>
      </c>
      <c r="BR1" t="s">
        <v>145</v>
      </c>
      <c r="CI1" t="s">
        <v>146</v>
      </c>
    </row>
    <row r="2" spans="1:102">
      <c r="A2" s="1" t="s">
        <v>2</v>
      </c>
      <c r="B2" s="6" t="str">
        <f t="shared" ref="B2:B17" si="0">GammaDistribution(S2,AJ2)</f>
        <v>GammaDistribution(101.990195135928; 9.90195135927852E-03)</v>
      </c>
      <c r="C2" s="6" t="str">
        <f t="shared" ref="C2:C17" si="1">GammaDistribution(T2,AK2)</f>
        <v>GammaDistribution(1; 0.05)</v>
      </c>
      <c r="D2" s="6" t="str">
        <f t="shared" ref="D2:D17" si="2">GammaDistribution(U2,AL2)</f>
        <v>GammaDistribution(1; 0.05)</v>
      </c>
      <c r="E2" s="6" t="str">
        <f t="shared" ref="E2:E17" si="3">GammaDistribution(V2,AM2)</f>
        <v>GammaDistribution(1; 0.05)</v>
      </c>
      <c r="F2" s="6" t="str">
        <f t="shared" ref="F2:F17" si="4">GammaDistribution(W2,AN2)</f>
        <v>GammaDistribution(1; 0.05)</v>
      </c>
      <c r="G2" s="6" t="str">
        <f t="shared" ref="G2:G17" si="5">GammaDistribution(X2,AO2)</f>
        <v>GammaDistribution(1; 0.05)</v>
      </c>
      <c r="H2" s="6" t="str">
        <f t="shared" ref="H2:H17" si="6">GammaDistribution(Y2,AP2)</f>
        <v>GammaDistribution(1; 0.05)</v>
      </c>
      <c r="I2" s="6" t="str">
        <f t="shared" ref="I2:I17" si="7">GammaDistribution(Z2,AQ2)</f>
        <v>GammaDistribution(2; 0.04)</v>
      </c>
      <c r="J2" s="6" t="str">
        <f t="shared" ref="J2:J17" si="8">GammaDistribution(AA2,AR2)</f>
        <v>GammaDistribution(2; 0.1)</v>
      </c>
      <c r="K2" s="6" t="str">
        <f t="shared" ref="K2:K17" si="9">GammaDistribution(AB2,AS2)</f>
        <v>GammaDistribution(2; 0.1)</v>
      </c>
      <c r="L2" s="6" t="str">
        <f t="shared" ref="L2:L17" si="10">GammaDistribution(AC2,AT2)</f>
        <v>GammaDistribution(2; 0.04)</v>
      </c>
      <c r="M2" s="6" t="str">
        <f t="shared" ref="M2:M17" si="11">GammaDistribution(AD2,AU2)</f>
        <v>GammaDistribution(2; 0.04)</v>
      </c>
      <c r="N2" s="6" t="str">
        <f t="shared" ref="N2:N17" si="12">GammaDistribution(AE2,AV2)</f>
        <v>GammaDistribution(2; 0.04)</v>
      </c>
      <c r="O2" s="6" t="str">
        <f t="shared" ref="O2:O17" si="13">GammaDistribution(AF2,AW2)</f>
        <v>GammaDistribution(2; 0.01)</v>
      </c>
      <c r="P2" s="6" t="str">
        <f t="shared" ref="P2:P17" si="14">GammaDistribution(AG2,AX2)</f>
        <v>GammaDistribution(2; 0.03)</v>
      </c>
      <c r="Q2" s="6" t="str">
        <f t="shared" ref="Q2:Q17" si="15">GammaDistribution(AH2,AY2)</f>
        <v>GammaDistribution(2; 0.15)</v>
      </c>
      <c r="S2">
        <f>(AJ2+1)/AJ2</f>
        <v>101.99019513592752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2</v>
      </c>
      <c r="AA2">
        <v>2</v>
      </c>
      <c r="AB2">
        <v>2</v>
      </c>
      <c r="AC2">
        <v>2</v>
      </c>
      <c r="AD2">
        <v>2</v>
      </c>
      <c r="AE2">
        <v>2</v>
      </c>
      <c r="AF2">
        <v>2</v>
      </c>
      <c r="AG2">
        <v>2</v>
      </c>
      <c r="AH2">
        <v>2</v>
      </c>
      <c r="AJ2">
        <f>(SQRT(1.04)-1)/2</f>
        <v>9.9019513592785158E-3</v>
      </c>
      <c r="AK2">
        <v>0.05</v>
      </c>
      <c r="AL2">
        <v>0.05</v>
      </c>
      <c r="AM2">
        <v>0.05</v>
      </c>
      <c r="AN2">
        <v>0.05</v>
      </c>
      <c r="AO2">
        <v>0.05</v>
      </c>
      <c r="AP2">
        <v>0.05</v>
      </c>
      <c r="AQ2">
        <v>0.04</v>
      </c>
      <c r="AR2">
        <v>0.1</v>
      </c>
      <c r="AS2">
        <v>0.1</v>
      </c>
      <c r="AT2">
        <v>0.04</v>
      </c>
      <c r="AU2">
        <v>0.04</v>
      </c>
      <c r="AV2">
        <v>0.04</v>
      </c>
      <c r="AW2">
        <v>0.01</v>
      </c>
      <c r="AX2">
        <v>0.03</v>
      </c>
      <c r="AY2">
        <v>0.15</v>
      </c>
      <c r="BA2">
        <f>S2*AJ2</f>
        <v>1.0099019513592786</v>
      </c>
      <c r="BB2">
        <f t="shared" ref="BB2:BB17" si="16">T2*AK2</f>
        <v>0.05</v>
      </c>
      <c r="BC2">
        <f t="shared" ref="BC2:BC17" si="17">U2*AL2</f>
        <v>0.05</v>
      </c>
      <c r="BD2">
        <f t="shared" ref="BD2:BD17" si="18">V2*AM2</f>
        <v>0.05</v>
      </c>
      <c r="BE2">
        <f t="shared" ref="BE2:BE17" si="19">W2*AN2</f>
        <v>0.05</v>
      </c>
      <c r="BF2">
        <f t="shared" ref="BF2:BF17" si="20">X2*AO2</f>
        <v>0.05</v>
      </c>
      <c r="BG2">
        <f t="shared" ref="BG2:BG17" si="21">Y2*AP2</f>
        <v>0.05</v>
      </c>
      <c r="BH2">
        <f t="shared" ref="BH2:BH17" si="22">Z2*AQ2</f>
        <v>0.08</v>
      </c>
      <c r="BI2">
        <f t="shared" ref="BI2:BI17" si="23">AA2*AR2</f>
        <v>0.2</v>
      </c>
      <c r="BJ2">
        <f t="shared" ref="BJ2:BJ17" si="24">AB2*AS2</f>
        <v>0.2</v>
      </c>
      <c r="BK2">
        <f t="shared" ref="BK2:BK17" si="25">AC2*AT2</f>
        <v>0.08</v>
      </c>
      <c r="BL2">
        <f t="shared" ref="BL2:BP17" si="26">AD2*AU2</f>
        <v>0.08</v>
      </c>
      <c r="BM2">
        <f t="shared" si="26"/>
        <v>0.08</v>
      </c>
      <c r="BN2">
        <f t="shared" si="26"/>
        <v>0.02</v>
      </c>
      <c r="BO2">
        <f t="shared" si="26"/>
        <v>0.06</v>
      </c>
      <c r="BP2">
        <f t="shared" si="26"/>
        <v>0.3</v>
      </c>
      <c r="BR2">
        <f>(S2-1)*AJ2</f>
        <v>1</v>
      </c>
      <c r="BS2">
        <f t="shared" ref="BS2:BS17" si="27">(T2-1)*AK2</f>
        <v>0</v>
      </c>
      <c r="BT2">
        <f t="shared" ref="BT2:BT17" si="28">(U2-1)*AL2</f>
        <v>0</v>
      </c>
      <c r="BU2">
        <f t="shared" ref="BU2:BU17" si="29">(V2-1)*AM2</f>
        <v>0</v>
      </c>
      <c r="BV2">
        <f t="shared" ref="BV2:BV17" si="30">(W2-1)*AN2</f>
        <v>0</v>
      </c>
      <c r="BW2">
        <f t="shared" ref="BW2:BW17" si="31">(X2-1)*AO2</f>
        <v>0</v>
      </c>
      <c r="BX2">
        <f t="shared" ref="BX2:BX17" si="32">(Y2-1)*AP2</f>
        <v>0</v>
      </c>
      <c r="BY2">
        <f t="shared" ref="BY2:BY17" si="33">(Z2-1)*AQ2</f>
        <v>0.04</v>
      </c>
      <c r="BZ2">
        <f t="shared" ref="BZ2:BZ17" si="34">(AA2-1)*AR2</f>
        <v>0.1</v>
      </c>
      <c r="CA2">
        <f t="shared" ref="CA2:CA17" si="35">(AB2-1)*AS2</f>
        <v>0.1</v>
      </c>
      <c r="CB2">
        <f t="shared" ref="CB2:CB17" si="36">(AC2-1)*AT2</f>
        <v>0.04</v>
      </c>
      <c r="CC2">
        <f t="shared" ref="CC2:CC17" si="37">(AD2-1)*AU2</f>
        <v>0.04</v>
      </c>
      <c r="CD2">
        <f t="shared" ref="CD2:CD17" si="38">(AE2-1)*AV2</f>
        <v>0.04</v>
      </c>
      <c r="CE2">
        <f t="shared" ref="CE2:CE17" si="39">(AF2-1)*AW2</f>
        <v>0.01</v>
      </c>
      <c r="CF2">
        <f t="shared" ref="CF2:CF17" si="40">(AG2-1)*AX2</f>
        <v>0.03</v>
      </c>
      <c r="CG2">
        <f t="shared" ref="CG2:CG17" si="41">(AH2-1)*AY2</f>
        <v>0.15</v>
      </c>
      <c r="CI2">
        <f>SQRT(S2*AJ2*AJ2)</f>
        <v>0.10000000000000017</v>
      </c>
      <c r="CJ2">
        <f t="shared" ref="CJ2:CJ17" si="42">SQRT(T2*AK2*AK2)</f>
        <v>0.05</v>
      </c>
      <c r="CK2">
        <f t="shared" ref="CK2:CK17" si="43">SQRT(U2*AL2*AL2)</f>
        <v>0.05</v>
      </c>
      <c r="CL2">
        <f t="shared" ref="CL2:CL17" si="44">SQRT(V2*AM2*AM2)</f>
        <v>0.05</v>
      </c>
      <c r="CM2">
        <f t="shared" ref="CM2:CM17" si="45">SQRT(W2*AN2*AN2)</f>
        <v>0.05</v>
      </c>
      <c r="CN2">
        <f t="shared" ref="CN2:CN17" si="46">SQRT(X2*AO2*AO2)</f>
        <v>0.05</v>
      </c>
      <c r="CO2">
        <f t="shared" ref="CO2:CO17" si="47">SQRT(Y2*AP2*AP2)</f>
        <v>0.05</v>
      </c>
      <c r="CP2">
        <f t="shared" ref="CP2:CP17" si="48">SQRT(Z2*AQ2*AQ2)</f>
        <v>5.6568542494923803E-2</v>
      </c>
      <c r="CQ2">
        <f t="shared" ref="CQ2:CQ17" si="49">SQRT(AA2*AR2*AR2)</f>
        <v>0.14142135623730953</v>
      </c>
      <c r="CR2">
        <f t="shared" ref="CR2:CR17" si="50">SQRT(AB2*AS2*AS2)</f>
        <v>0.14142135623730953</v>
      </c>
      <c r="CS2">
        <f t="shared" ref="CS2:CS17" si="51">SQRT(AC2*AT2*AT2)</f>
        <v>5.6568542494923803E-2</v>
      </c>
      <c r="CT2">
        <f t="shared" ref="CT2:CT17" si="52">SQRT(AD2*AU2*AU2)</f>
        <v>5.6568542494923803E-2</v>
      </c>
      <c r="CU2">
        <f t="shared" ref="CU2:CU17" si="53">SQRT(AE2*AV2*AV2)</f>
        <v>5.6568542494923803E-2</v>
      </c>
      <c r="CV2">
        <f t="shared" ref="CV2:CV17" si="54">SQRT(AF2*AW2*AW2)</f>
        <v>1.4142135623730951E-2</v>
      </c>
      <c r="CW2">
        <f t="shared" ref="CW2:CW17" si="55">SQRT(AG2*AX2*AX2)</f>
        <v>4.2426406871192854E-2</v>
      </c>
      <c r="CX2">
        <f t="shared" ref="CX2:CX17" si="56">SQRT(AH2*AY2*AY2)</f>
        <v>0.21213203435596426</v>
      </c>
    </row>
    <row r="3" spans="1:102">
      <c r="A3" s="1" t="s">
        <v>3</v>
      </c>
      <c r="B3" s="6" t="str">
        <f t="shared" si="0"/>
        <v>GammaDistribution(1; 0.05)</v>
      </c>
      <c r="C3" s="6" t="str">
        <f t="shared" si="1"/>
        <v>GammaDistribution(101.990195135928; 9.90195135927852E-03)</v>
      </c>
      <c r="D3" s="6" t="str">
        <f t="shared" si="2"/>
        <v>GammaDistribution(1; 0.02)</v>
      </c>
      <c r="E3" s="6" t="str">
        <f t="shared" si="3"/>
        <v>GammaDistribution(1; 0.02)</v>
      </c>
      <c r="F3" s="6" t="str">
        <f t="shared" si="4"/>
        <v>GammaDistribution(1; 0.02)</v>
      </c>
      <c r="G3" s="6" t="str">
        <f t="shared" si="5"/>
        <v>GammaDistribution(1; 0.02)</v>
      </c>
      <c r="H3" s="6" t="str">
        <f t="shared" si="6"/>
        <v>GammaDistribution(1; 0.02)</v>
      </c>
      <c r="I3" s="6" t="str">
        <f t="shared" si="7"/>
        <v>GammaDistribution(2; 0.01)</v>
      </c>
      <c r="J3" s="6" t="str">
        <f t="shared" si="8"/>
        <v>GammaDistribution(1; 0.05)</v>
      </c>
      <c r="K3" s="6" t="str">
        <f t="shared" si="9"/>
        <v>GammaDistribution(1; 0.05)</v>
      </c>
      <c r="L3" s="6" t="str">
        <f t="shared" si="10"/>
        <v>GammaDistribution(2; 0.01)</v>
      </c>
      <c r="M3" s="6" t="str">
        <f t="shared" si="11"/>
        <v>GammaDistribution(2; 0.01)</v>
      </c>
      <c r="N3" s="6" t="str">
        <f t="shared" si="12"/>
        <v>GammaDistribution(2; 0.01)</v>
      </c>
      <c r="O3" s="6" t="str">
        <f t="shared" si="13"/>
        <v>GammaDistribution(1; 0.005)</v>
      </c>
      <c r="P3" s="6" t="str">
        <f t="shared" si="14"/>
        <v>GammaDistribution(2; 0.005)</v>
      </c>
      <c r="Q3" s="6" t="str">
        <f t="shared" si="15"/>
        <v>GammaDistribution(2; 0.1)</v>
      </c>
      <c r="S3">
        <v>1</v>
      </c>
      <c r="T3">
        <f>(AK3+1)/AK3</f>
        <v>101.99019513592752</v>
      </c>
      <c r="U3">
        <v>1</v>
      </c>
      <c r="V3">
        <v>1</v>
      </c>
      <c r="W3">
        <v>1</v>
      </c>
      <c r="X3">
        <v>1</v>
      </c>
      <c r="Y3">
        <v>1</v>
      </c>
      <c r="Z3">
        <v>2</v>
      </c>
      <c r="AA3">
        <v>1</v>
      </c>
      <c r="AB3">
        <v>1</v>
      </c>
      <c r="AC3">
        <v>2</v>
      </c>
      <c r="AD3">
        <v>2</v>
      </c>
      <c r="AE3">
        <v>2</v>
      </c>
      <c r="AF3">
        <v>1</v>
      </c>
      <c r="AG3">
        <v>2</v>
      </c>
      <c r="AH3">
        <v>2</v>
      </c>
      <c r="AJ3">
        <v>0.05</v>
      </c>
      <c r="AK3">
        <f>(SQRT(1.04)-1)/2</f>
        <v>9.9019513592785158E-3</v>
      </c>
      <c r="AL3">
        <v>0.02</v>
      </c>
      <c r="AM3">
        <v>0.02</v>
      </c>
      <c r="AN3">
        <v>0.02</v>
      </c>
      <c r="AO3">
        <v>0.02</v>
      </c>
      <c r="AP3">
        <v>0.02</v>
      </c>
      <c r="AQ3">
        <v>0.01</v>
      </c>
      <c r="AR3">
        <v>0.05</v>
      </c>
      <c r="AS3">
        <v>0.05</v>
      </c>
      <c r="AT3">
        <v>0.01</v>
      </c>
      <c r="AU3">
        <v>0.01</v>
      </c>
      <c r="AV3">
        <v>0.01</v>
      </c>
      <c r="AW3">
        <v>5.0000000000000001E-3</v>
      </c>
      <c r="AX3">
        <v>5.0000000000000001E-3</v>
      </c>
      <c r="AY3">
        <v>0.1</v>
      </c>
      <c r="BA3">
        <f t="shared" ref="BA3:BA17" si="57">S3*AJ3</f>
        <v>0.05</v>
      </c>
      <c r="BB3">
        <f t="shared" si="16"/>
        <v>1.0099019513592786</v>
      </c>
      <c r="BC3">
        <f t="shared" si="17"/>
        <v>0.02</v>
      </c>
      <c r="BD3">
        <f t="shared" si="18"/>
        <v>0.02</v>
      </c>
      <c r="BE3">
        <f t="shared" si="19"/>
        <v>0.02</v>
      </c>
      <c r="BF3">
        <f t="shared" si="20"/>
        <v>0.02</v>
      </c>
      <c r="BG3">
        <f t="shared" si="21"/>
        <v>0.02</v>
      </c>
      <c r="BH3">
        <f t="shared" si="22"/>
        <v>0.02</v>
      </c>
      <c r="BI3">
        <f t="shared" si="23"/>
        <v>0.05</v>
      </c>
      <c r="BJ3">
        <f t="shared" si="24"/>
        <v>0.05</v>
      </c>
      <c r="BK3">
        <f t="shared" si="25"/>
        <v>0.02</v>
      </c>
      <c r="BL3">
        <f t="shared" si="26"/>
        <v>0.02</v>
      </c>
      <c r="BM3">
        <f t="shared" si="26"/>
        <v>0.02</v>
      </c>
      <c r="BN3">
        <f t="shared" si="26"/>
        <v>5.0000000000000001E-3</v>
      </c>
      <c r="BO3">
        <f t="shared" si="26"/>
        <v>0.01</v>
      </c>
      <c r="BP3">
        <f t="shared" si="26"/>
        <v>0.2</v>
      </c>
      <c r="BR3">
        <f t="shared" ref="BR3:BR17" si="58">(S3-1)*AJ3</f>
        <v>0</v>
      </c>
      <c r="BS3">
        <f t="shared" si="27"/>
        <v>1</v>
      </c>
      <c r="BT3">
        <f t="shared" si="28"/>
        <v>0</v>
      </c>
      <c r="BU3">
        <f t="shared" si="29"/>
        <v>0</v>
      </c>
      <c r="BV3">
        <f t="shared" si="30"/>
        <v>0</v>
      </c>
      <c r="BW3">
        <f t="shared" si="31"/>
        <v>0</v>
      </c>
      <c r="BX3">
        <f t="shared" si="32"/>
        <v>0</v>
      </c>
      <c r="BY3">
        <f t="shared" si="33"/>
        <v>0.01</v>
      </c>
      <c r="BZ3">
        <f t="shared" si="34"/>
        <v>0</v>
      </c>
      <c r="CA3">
        <f t="shared" si="35"/>
        <v>0</v>
      </c>
      <c r="CB3">
        <f t="shared" si="36"/>
        <v>0.01</v>
      </c>
      <c r="CC3">
        <f t="shared" si="37"/>
        <v>0.01</v>
      </c>
      <c r="CD3">
        <f t="shared" si="38"/>
        <v>0.01</v>
      </c>
      <c r="CE3">
        <f t="shared" si="39"/>
        <v>0</v>
      </c>
      <c r="CF3">
        <f t="shared" si="40"/>
        <v>5.0000000000000001E-3</v>
      </c>
      <c r="CG3">
        <f t="shared" si="41"/>
        <v>0.1</v>
      </c>
      <c r="CI3">
        <f t="shared" ref="CI3:CI17" si="59">SQRT(S3*AJ3*AJ3)</f>
        <v>0.05</v>
      </c>
      <c r="CJ3">
        <f t="shared" si="42"/>
        <v>0.10000000000000017</v>
      </c>
      <c r="CK3">
        <f t="shared" si="43"/>
        <v>0.02</v>
      </c>
      <c r="CL3">
        <f t="shared" si="44"/>
        <v>0.02</v>
      </c>
      <c r="CM3">
        <f t="shared" si="45"/>
        <v>0.02</v>
      </c>
      <c r="CN3">
        <f t="shared" si="46"/>
        <v>0.02</v>
      </c>
      <c r="CO3">
        <f t="shared" si="47"/>
        <v>0.02</v>
      </c>
      <c r="CP3">
        <f t="shared" si="48"/>
        <v>1.4142135623730951E-2</v>
      </c>
      <c r="CQ3">
        <f t="shared" si="49"/>
        <v>0.05</v>
      </c>
      <c r="CR3">
        <f t="shared" si="50"/>
        <v>0.05</v>
      </c>
      <c r="CS3">
        <f t="shared" si="51"/>
        <v>1.4142135623730951E-2</v>
      </c>
      <c r="CT3">
        <f t="shared" si="52"/>
        <v>1.4142135623730951E-2</v>
      </c>
      <c r="CU3">
        <f t="shared" si="53"/>
        <v>1.4142135623730951E-2</v>
      </c>
      <c r="CV3">
        <f t="shared" si="54"/>
        <v>5.0000000000000001E-3</v>
      </c>
      <c r="CW3">
        <f t="shared" si="55"/>
        <v>7.0710678118654753E-3</v>
      </c>
      <c r="CX3">
        <f t="shared" si="56"/>
        <v>0.14142135623730953</v>
      </c>
    </row>
    <row r="4" spans="1:102">
      <c r="A4" s="1" t="s">
        <v>6</v>
      </c>
      <c r="B4" s="6" t="str">
        <f t="shared" si="0"/>
        <v>GammaDistribution(1; 0.02)</v>
      </c>
      <c r="C4" s="6" t="str">
        <f t="shared" si="1"/>
        <v>GammaDistribution(1; 0.02)</v>
      </c>
      <c r="D4" s="6" t="str">
        <f t="shared" si="2"/>
        <v>GammaDistribution(101.990195135928; 9.90195135927852E-03)</v>
      </c>
      <c r="E4" s="6" t="str">
        <f t="shared" si="3"/>
        <v>GammaDistribution(1; 0.02)</v>
      </c>
      <c r="F4" s="6" t="str">
        <f t="shared" si="4"/>
        <v>GammaDistribution(1; 0.02)</v>
      </c>
      <c r="G4" s="6" t="str">
        <f t="shared" si="5"/>
        <v>GammaDistribution(1; 0.02)</v>
      </c>
      <c r="H4" s="6" t="str">
        <f t="shared" si="6"/>
        <v>GammaDistribution(1; 0.02)</v>
      </c>
      <c r="I4" s="6" t="str">
        <f t="shared" si="7"/>
        <v>GammaDistribution(2; 0.04)</v>
      </c>
      <c r="J4" s="6" t="str">
        <f t="shared" si="8"/>
        <v>GammaDistribution(1; 0.05)</v>
      </c>
      <c r="K4" s="6" t="str">
        <f t="shared" si="9"/>
        <v>GammaDistribution(1; 0.05)</v>
      </c>
      <c r="L4" s="6" t="str">
        <f t="shared" si="10"/>
        <v>GammaDistribution(2; 0.04)</v>
      </c>
      <c r="M4" s="6" t="str">
        <f t="shared" si="11"/>
        <v>GammaDistribution(2; 0.02)</v>
      </c>
      <c r="N4" s="6" t="str">
        <f t="shared" si="12"/>
        <v>GammaDistribution(2; 0.02)</v>
      </c>
      <c r="O4" s="6" t="str">
        <f t="shared" si="13"/>
        <v>GammaDistribution(2; 0.09)</v>
      </c>
      <c r="P4" s="6" t="str">
        <f t="shared" si="14"/>
        <v>GammaDistribution(2; 0.06)</v>
      </c>
      <c r="Q4" s="6" t="str">
        <f t="shared" si="15"/>
        <v>GammaDistribution(2; 0.15)</v>
      </c>
      <c r="S4">
        <v>1</v>
      </c>
      <c r="T4">
        <v>1</v>
      </c>
      <c r="U4">
        <f>(AL4+1)/AL4</f>
        <v>101.99019513592752</v>
      </c>
      <c r="V4">
        <v>1</v>
      </c>
      <c r="W4">
        <v>1</v>
      </c>
      <c r="X4">
        <v>1</v>
      </c>
      <c r="Y4">
        <v>1</v>
      </c>
      <c r="Z4">
        <v>2</v>
      </c>
      <c r="AA4">
        <v>1</v>
      </c>
      <c r="AB4">
        <v>1</v>
      </c>
      <c r="AC4">
        <v>2</v>
      </c>
      <c r="AD4">
        <v>2</v>
      </c>
      <c r="AE4">
        <v>2</v>
      </c>
      <c r="AF4">
        <v>2</v>
      </c>
      <c r="AG4">
        <v>2</v>
      </c>
      <c r="AH4">
        <v>2</v>
      </c>
      <c r="AJ4">
        <v>0.02</v>
      </c>
      <c r="AK4">
        <v>0.02</v>
      </c>
      <c r="AL4">
        <f>(SQRT(1.04)-1)/2</f>
        <v>9.9019513592785158E-3</v>
      </c>
      <c r="AM4">
        <v>0.02</v>
      </c>
      <c r="AN4">
        <v>0.02</v>
      </c>
      <c r="AO4">
        <v>0.02</v>
      </c>
      <c r="AP4">
        <v>0.02</v>
      </c>
      <c r="AQ4">
        <v>0.04</v>
      </c>
      <c r="AR4">
        <v>0.05</v>
      </c>
      <c r="AS4">
        <v>0.05</v>
      </c>
      <c r="AT4">
        <v>0.04</v>
      </c>
      <c r="AU4">
        <v>0.02</v>
      </c>
      <c r="AV4">
        <v>0.02</v>
      </c>
      <c r="AW4">
        <v>0.09</v>
      </c>
      <c r="AX4">
        <v>0.06</v>
      </c>
      <c r="AY4">
        <v>0.15</v>
      </c>
      <c r="BA4">
        <f t="shared" si="57"/>
        <v>0.02</v>
      </c>
      <c r="BB4">
        <f t="shared" si="16"/>
        <v>0.02</v>
      </c>
      <c r="BC4">
        <f t="shared" si="17"/>
        <v>1.0099019513592786</v>
      </c>
      <c r="BD4">
        <f t="shared" si="18"/>
        <v>0.02</v>
      </c>
      <c r="BE4">
        <f t="shared" si="19"/>
        <v>0.02</v>
      </c>
      <c r="BF4">
        <f t="shared" si="20"/>
        <v>0.02</v>
      </c>
      <c r="BG4">
        <f t="shared" si="21"/>
        <v>0.02</v>
      </c>
      <c r="BH4">
        <f t="shared" si="22"/>
        <v>0.08</v>
      </c>
      <c r="BI4">
        <f t="shared" si="23"/>
        <v>0.05</v>
      </c>
      <c r="BJ4">
        <f t="shared" si="24"/>
        <v>0.05</v>
      </c>
      <c r="BK4">
        <f t="shared" si="25"/>
        <v>0.08</v>
      </c>
      <c r="BL4">
        <f t="shared" si="26"/>
        <v>0.04</v>
      </c>
      <c r="BM4">
        <f t="shared" si="26"/>
        <v>0.04</v>
      </c>
      <c r="BN4">
        <f t="shared" si="26"/>
        <v>0.18</v>
      </c>
      <c r="BO4">
        <f t="shared" si="26"/>
        <v>0.12</v>
      </c>
      <c r="BP4">
        <f t="shared" si="26"/>
        <v>0.3</v>
      </c>
      <c r="BR4">
        <f t="shared" si="58"/>
        <v>0</v>
      </c>
      <c r="BS4">
        <f t="shared" si="27"/>
        <v>0</v>
      </c>
      <c r="BT4">
        <f t="shared" si="28"/>
        <v>1</v>
      </c>
      <c r="BU4">
        <f t="shared" si="29"/>
        <v>0</v>
      </c>
      <c r="BV4">
        <f t="shared" si="30"/>
        <v>0</v>
      </c>
      <c r="BW4">
        <f t="shared" si="31"/>
        <v>0</v>
      </c>
      <c r="BX4">
        <f t="shared" si="32"/>
        <v>0</v>
      </c>
      <c r="BY4">
        <f t="shared" si="33"/>
        <v>0.04</v>
      </c>
      <c r="BZ4">
        <f t="shared" si="34"/>
        <v>0</v>
      </c>
      <c r="CA4">
        <f t="shared" si="35"/>
        <v>0</v>
      </c>
      <c r="CB4">
        <f t="shared" si="36"/>
        <v>0.04</v>
      </c>
      <c r="CC4">
        <f t="shared" si="37"/>
        <v>0.02</v>
      </c>
      <c r="CD4">
        <f t="shared" si="38"/>
        <v>0.02</v>
      </c>
      <c r="CE4">
        <f t="shared" si="39"/>
        <v>0.09</v>
      </c>
      <c r="CF4">
        <f t="shared" si="40"/>
        <v>0.06</v>
      </c>
      <c r="CG4">
        <f t="shared" si="41"/>
        <v>0.15</v>
      </c>
      <c r="CI4">
        <f t="shared" si="59"/>
        <v>0.02</v>
      </c>
      <c r="CJ4">
        <f t="shared" si="42"/>
        <v>0.02</v>
      </c>
      <c r="CK4">
        <f t="shared" si="43"/>
        <v>0.10000000000000017</v>
      </c>
      <c r="CL4">
        <f t="shared" si="44"/>
        <v>0.02</v>
      </c>
      <c r="CM4">
        <f t="shared" si="45"/>
        <v>0.02</v>
      </c>
      <c r="CN4">
        <f t="shared" si="46"/>
        <v>0.02</v>
      </c>
      <c r="CO4">
        <f t="shared" si="47"/>
        <v>0.02</v>
      </c>
      <c r="CP4">
        <f t="shared" si="48"/>
        <v>5.6568542494923803E-2</v>
      </c>
      <c r="CQ4">
        <f t="shared" si="49"/>
        <v>0.05</v>
      </c>
      <c r="CR4">
        <f t="shared" si="50"/>
        <v>0.05</v>
      </c>
      <c r="CS4">
        <f t="shared" si="51"/>
        <v>5.6568542494923803E-2</v>
      </c>
      <c r="CT4">
        <f t="shared" si="52"/>
        <v>2.8284271247461901E-2</v>
      </c>
      <c r="CU4">
        <f t="shared" si="53"/>
        <v>2.8284271247461901E-2</v>
      </c>
      <c r="CV4">
        <f t="shared" si="54"/>
        <v>0.12727922061357855</v>
      </c>
      <c r="CW4">
        <f t="shared" si="55"/>
        <v>8.4852813742385708E-2</v>
      </c>
      <c r="CX4">
        <f t="shared" si="56"/>
        <v>0.21213203435596426</v>
      </c>
    </row>
    <row r="5" spans="1:102">
      <c r="A5" s="1" t="s">
        <v>7</v>
      </c>
      <c r="B5" s="6" t="str">
        <f t="shared" si="0"/>
        <v>GammaDistribution(1; 0.01)</v>
      </c>
      <c r="C5" s="6" t="str">
        <f t="shared" si="1"/>
        <v>GammaDistribution(1; 0.01)</v>
      </c>
      <c r="D5" s="6" t="str">
        <f t="shared" si="2"/>
        <v>GammaDistribution(1; 0.01)</v>
      </c>
      <c r="E5" s="6" t="str">
        <f t="shared" si="3"/>
        <v>GammaDistribution(101.990195135928; 9.90195135927852E-03)</v>
      </c>
      <c r="F5" s="6" t="str">
        <f t="shared" si="4"/>
        <v>GammaDistribution(1; 0.01)</v>
      </c>
      <c r="G5" s="6" t="str">
        <f t="shared" si="5"/>
        <v>GammaDistribution(1; 0.001)</v>
      </c>
      <c r="H5" s="6" t="str">
        <f t="shared" si="6"/>
        <v>GammaDistribution(1; 0.001)</v>
      </c>
      <c r="I5" s="6" t="str">
        <f t="shared" si="7"/>
        <v>GammaDistribution(1; 0.005)</v>
      </c>
      <c r="J5" s="6" t="str">
        <f t="shared" si="8"/>
        <v>GammaDistribution(1; 0.01)</v>
      </c>
      <c r="K5" s="6" t="str">
        <f t="shared" si="9"/>
        <v>GammaDistribution(1; 0.01)</v>
      </c>
      <c r="L5" s="6" t="str">
        <f t="shared" si="10"/>
        <v>GammaDistribution(2; 0.005)</v>
      </c>
      <c r="M5" s="6" t="str">
        <f t="shared" si="11"/>
        <v>GammaDistribution(2; 0.01)</v>
      </c>
      <c r="N5" s="6" t="str">
        <f t="shared" si="12"/>
        <v>GammaDistribution(2; 0.01)</v>
      </c>
      <c r="O5" s="6" t="str">
        <f t="shared" si="13"/>
        <v>GammaDistribution(1; 0.001)</v>
      </c>
      <c r="P5" s="6" t="str">
        <f t="shared" si="14"/>
        <v>GammaDistribution(1; 0.001)</v>
      </c>
      <c r="Q5" s="6" t="str">
        <f t="shared" si="15"/>
        <v>GammaDistribution(2; 0.05)</v>
      </c>
      <c r="S5">
        <v>1</v>
      </c>
      <c r="T5">
        <v>1</v>
      </c>
      <c r="U5">
        <v>1</v>
      </c>
      <c r="V5">
        <f>(AM5+1)/AM5</f>
        <v>101.99019513592752</v>
      </c>
      <c r="W5">
        <v>1</v>
      </c>
      <c r="X5">
        <v>1</v>
      </c>
      <c r="Y5">
        <v>1</v>
      </c>
      <c r="Z5">
        <v>1</v>
      </c>
      <c r="AA5">
        <v>1</v>
      </c>
      <c r="AB5">
        <v>1</v>
      </c>
      <c r="AC5">
        <v>2</v>
      </c>
      <c r="AD5">
        <v>2</v>
      </c>
      <c r="AE5">
        <v>2</v>
      </c>
      <c r="AF5">
        <v>1</v>
      </c>
      <c r="AG5">
        <v>1</v>
      </c>
      <c r="AH5">
        <v>2</v>
      </c>
      <c r="AJ5">
        <v>0.01</v>
      </c>
      <c r="AK5">
        <v>0.01</v>
      </c>
      <c r="AL5">
        <v>0.01</v>
      </c>
      <c r="AM5">
        <f>(SQRT(1.04)-1)/2</f>
        <v>9.9019513592785158E-3</v>
      </c>
      <c r="AN5">
        <v>0.01</v>
      </c>
      <c r="AO5">
        <v>1E-3</v>
      </c>
      <c r="AP5">
        <v>1E-3</v>
      </c>
      <c r="AQ5">
        <v>5.0000000000000001E-3</v>
      </c>
      <c r="AR5">
        <v>0.01</v>
      </c>
      <c r="AS5">
        <v>0.01</v>
      </c>
      <c r="AT5">
        <v>5.0000000000000001E-3</v>
      </c>
      <c r="AU5">
        <v>0.01</v>
      </c>
      <c r="AV5">
        <v>0.01</v>
      </c>
      <c r="AW5">
        <v>1E-3</v>
      </c>
      <c r="AX5">
        <v>1E-3</v>
      </c>
      <c r="AY5">
        <v>0.05</v>
      </c>
      <c r="BA5">
        <f t="shared" si="57"/>
        <v>0.01</v>
      </c>
      <c r="BB5">
        <f t="shared" si="16"/>
        <v>0.01</v>
      </c>
      <c r="BC5">
        <f t="shared" si="17"/>
        <v>0.01</v>
      </c>
      <c r="BD5">
        <f t="shared" si="18"/>
        <v>1.0099019513592786</v>
      </c>
      <c r="BE5">
        <f t="shared" si="19"/>
        <v>0.01</v>
      </c>
      <c r="BF5">
        <f t="shared" si="20"/>
        <v>1E-3</v>
      </c>
      <c r="BG5">
        <f t="shared" si="21"/>
        <v>1E-3</v>
      </c>
      <c r="BH5">
        <f t="shared" si="22"/>
        <v>5.0000000000000001E-3</v>
      </c>
      <c r="BI5">
        <f t="shared" si="23"/>
        <v>0.01</v>
      </c>
      <c r="BJ5">
        <f t="shared" si="24"/>
        <v>0.01</v>
      </c>
      <c r="BK5">
        <f t="shared" si="25"/>
        <v>0.01</v>
      </c>
      <c r="BL5">
        <f t="shared" si="26"/>
        <v>0.02</v>
      </c>
      <c r="BM5">
        <f t="shared" si="26"/>
        <v>0.02</v>
      </c>
      <c r="BN5">
        <f t="shared" si="26"/>
        <v>1E-3</v>
      </c>
      <c r="BO5">
        <f t="shared" si="26"/>
        <v>1E-3</v>
      </c>
      <c r="BP5">
        <f t="shared" si="26"/>
        <v>0.1</v>
      </c>
      <c r="BR5">
        <f t="shared" si="58"/>
        <v>0</v>
      </c>
      <c r="BS5">
        <f t="shared" si="27"/>
        <v>0</v>
      </c>
      <c r="BT5">
        <f t="shared" si="28"/>
        <v>0</v>
      </c>
      <c r="BU5">
        <f t="shared" si="29"/>
        <v>1</v>
      </c>
      <c r="BV5">
        <f t="shared" si="30"/>
        <v>0</v>
      </c>
      <c r="BW5">
        <f t="shared" si="31"/>
        <v>0</v>
      </c>
      <c r="BX5">
        <f t="shared" si="32"/>
        <v>0</v>
      </c>
      <c r="BY5">
        <f t="shared" si="33"/>
        <v>0</v>
      </c>
      <c r="BZ5">
        <f t="shared" si="34"/>
        <v>0</v>
      </c>
      <c r="CA5">
        <f t="shared" si="35"/>
        <v>0</v>
      </c>
      <c r="CB5">
        <f t="shared" si="36"/>
        <v>5.0000000000000001E-3</v>
      </c>
      <c r="CC5">
        <f t="shared" si="37"/>
        <v>0.01</v>
      </c>
      <c r="CD5">
        <f t="shared" si="38"/>
        <v>0.01</v>
      </c>
      <c r="CE5">
        <f t="shared" si="39"/>
        <v>0</v>
      </c>
      <c r="CF5">
        <f t="shared" si="40"/>
        <v>0</v>
      </c>
      <c r="CG5">
        <f t="shared" si="41"/>
        <v>0.05</v>
      </c>
      <c r="CI5">
        <f t="shared" si="59"/>
        <v>0.01</v>
      </c>
      <c r="CJ5">
        <f t="shared" si="42"/>
        <v>0.01</v>
      </c>
      <c r="CK5">
        <f t="shared" si="43"/>
        <v>0.01</v>
      </c>
      <c r="CL5">
        <f t="shared" si="44"/>
        <v>0.10000000000000017</v>
      </c>
      <c r="CM5">
        <f t="shared" si="45"/>
        <v>0.01</v>
      </c>
      <c r="CN5">
        <f t="shared" si="46"/>
        <v>1E-3</v>
      </c>
      <c r="CO5">
        <f t="shared" si="47"/>
        <v>1E-3</v>
      </c>
      <c r="CP5">
        <f t="shared" si="48"/>
        <v>5.0000000000000001E-3</v>
      </c>
      <c r="CQ5">
        <f t="shared" si="49"/>
        <v>0.01</v>
      </c>
      <c r="CR5">
        <f t="shared" si="50"/>
        <v>0.01</v>
      </c>
      <c r="CS5">
        <f t="shared" si="51"/>
        <v>7.0710678118654753E-3</v>
      </c>
      <c r="CT5">
        <f t="shared" si="52"/>
        <v>1.4142135623730951E-2</v>
      </c>
      <c r="CU5">
        <f t="shared" si="53"/>
        <v>1.4142135623730951E-2</v>
      </c>
      <c r="CV5">
        <f t="shared" si="54"/>
        <v>1E-3</v>
      </c>
      <c r="CW5">
        <f t="shared" si="55"/>
        <v>1E-3</v>
      </c>
      <c r="CX5">
        <f t="shared" si="56"/>
        <v>7.0710678118654766E-2</v>
      </c>
    </row>
    <row r="6" spans="1:102">
      <c r="A6" s="1" t="s">
        <v>8</v>
      </c>
      <c r="B6" s="6" t="str">
        <f t="shared" si="0"/>
        <v>GammaDistribution(1; 0.02)</v>
      </c>
      <c r="C6" s="6" t="str">
        <f t="shared" si="1"/>
        <v>GammaDistribution(1; 0.02)</v>
      </c>
      <c r="D6" s="6" t="str">
        <f t="shared" si="2"/>
        <v>GammaDistribution(1; 0.02)</v>
      </c>
      <c r="E6" s="6" t="str">
        <f t="shared" si="3"/>
        <v>GammaDistribution(1; 0.02)</v>
      </c>
      <c r="F6" s="6" t="str">
        <f t="shared" si="4"/>
        <v>GammaDistribution(101.990195135928; 9.90195135927852E-03)</v>
      </c>
      <c r="G6" s="6" t="str">
        <f t="shared" si="5"/>
        <v>GammaDistribution(1; 0.01)</v>
      </c>
      <c r="H6" s="6" t="str">
        <f t="shared" si="6"/>
        <v>GammaDistribution(1; 0.01)</v>
      </c>
      <c r="I6" s="6" t="str">
        <f t="shared" si="7"/>
        <v>GammaDistribution(2; 0.01)</v>
      </c>
      <c r="J6" s="6" t="str">
        <f t="shared" si="8"/>
        <v>GammaDistribution(1; 0.01)</v>
      </c>
      <c r="K6" s="6" t="str">
        <f t="shared" si="9"/>
        <v>GammaDistribution(1; 0.01)</v>
      </c>
      <c r="L6" s="6" t="str">
        <f t="shared" si="10"/>
        <v>GammaDistribution(2; 0.005)</v>
      </c>
      <c r="M6" s="6" t="str">
        <f t="shared" si="11"/>
        <v>GammaDistribution(2; 0.02)</v>
      </c>
      <c r="N6" s="6" t="str">
        <f t="shared" si="12"/>
        <v>GammaDistribution(2; 0.02)</v>
      </c>
      <c r="O6" s="6" t="str">
        <f t="shared" si="13"/>
        <v>GammaDistribution(1; 0.005)</v>
      </c>
      <c r="P6" s="6" t="str">
        <f t="shared" si="14"/>
        <v>GammaDistribution(2; 0.005)</v>
      </c>
      <c r="Q6" s="6" t="str">
        <f t="shared" si="15"/>
        <v>GammaDistribution(2; 0.15)</v>
      </c>
      <c r="S6">
        <v>1</v>
      </c>
      <c r="T6">
        <v>1</v>
      </c>
      <c r="U6">
        <v>1</v>
      </c>
      <c r="V6">
        <v>1</v>
      </c>
      <c r="W6">
        <f>(AN6+1)/AN6</f>
        <v>101.99019513592752</v>
      </c>
      <c r="X6">
        <v>1</v>
      </c>
      <c r="Y6">
        <v>1</v>
      </c>
      <c r="Z6">
        <v>2</v>
      </c>
      <c r="AA6">
        <v>1</v>
      </c>
      <c r="AB6">
        <v>1</v>
      </c>
      <c r="AC6">
        <v>2</v>
      </c>
      <c r="AD6">
        <v>2</v>
      </c>
      <c r="AE6">
        <v>2</v>
      </c>
      <c r="AF6">
        <v>1</v>
      </c>
      <c r="AG6">
        <v>2</v>
      </c>
      <c r="AH6">
        <v>2</v>
      </c>
      <c r="AJ6">
        <v>0.02</v>
      </c>
      <c r="AK6">
        <v>0.02</v>
      </c>
      <c r="AL6">
        <v>0.02</v>
      </c>
      <c r="AM6">
        <v>0.02</v>
      </c>
      <c r="AN6">
        <f>(SQRT(1.04)-1)/2</f>
        <v>9.9019513592785158E-3</v>
      </c>
      <c r="AO6">
        <v>0.01</v>
      </c>
      <c r="AP6">
        <v>0.01</v>
      </c>
      <c r="AQ6">
        <v>0.01</v>
      </c>
      <c r="AR6">
        <v>0.01</v>
      </c>
      <c r="AS6">
        <v>0.01</v>
      </c>
      <c r="AT6">
        <v>5.0000000000000001E-3</v>
      </c>
      <c r="AU6">
        <v>0.02</v>
      </c>
      <c r="AV6">
        <v>0.02</v>
      </c>
      <c r="AW6">
        <v>5.0000000000000001E-3</v>
      </c>
      <c r="AX6">
        <v>5.0000000000000001E-3</v>
      </c>
      <c r="AY6">
        <v>0.15</v>
      </c>
      <c r="BA6">
        <f t="shared" si="57"/>
        <v>0.02</v>
      </c>
      <c r="BB6">
        <f t="shared" si="16"/>
        <v>0.02</v>
      </c>
      <c r="BC6">
        <f t="shared" si="17"/>
        <v>0.02</v>
      </c>
      <c r="BD6">
        <f t="shared" si="18"/>
        <v>0.02</v>
      </c>
      <c r="BE6">
        <f t="shared" si="19"/>
        <v>1.0099019513592786</v>
      </c>
      <c r="BF6">
        <f t="shared" si="20"/>
        <v>0.01</v>
      </c>
      <c r="BG6">
        <f t="shared" si="21"/>
        <v>0.01</v>
      </c>
      <c r="BH6">
        <f t="shared" si="22"/>
        <v>0.02</v>
      </c>
      <c r="BI6">
        <f t="shared" si="23"/>
        <v>0.01</v>
      </c>
      <c r="BJ6">
        <f t="shared" si="24"/>
        <v>0.01</v>
      </c>
      <c r="BK6">
        <f t="shared" si="25"/>
        <v>0.01</v>
      </c>
      <c r="BL6">
        <f t="shared" si="26"/>
        <v>0.04</v>
      </c>
      <c r="BM6">
        <f t="shared" si="26"/>
        <v>0.04</v>
      </c>
      <c r="BN6">
        <f t="shared" si="26"/>
        <v>5.0000000000000001E-3</v>
      </c>
      <c r="BO6">
        <f t="shared" si="26"/>
        <v>0.01</v>
      </c>
      <c r="BP6">
        <f t="shared" si="26"/>
        <v>0.3</v>
      </c>
      <c r="BR6">
        <f t="shared" si="58"/>
        <v>0</v>
      </c>
      <c r="BS6">
        <f t="shared" si="27"/>
        <v>0</v>
      </c>
      <c r="BT6">
        <f t="shared" si="28"/>
        <v>0</v>
      </c>
      <c r="BU6">
        <f t="shared" si="29"/>
        <v>0</v>
      </c>
      <c r="BV6">
        <f t="shared" si="30"/>
        <v>1</v>
      </c>
      <c r="BW6">
        <f t="shared" si="31"/>
        <v>0</v>
      </c>
      <c r="BX6">
        <f t="shared" si="32"/>
        <v>0</v>
      </c>
      <c r="BY6">
        <f t="shared" si="33"/>
        <v>0.01</v>
      </c>
      <c r="BZ6">
        <f t="shared" si="34"/>
        <v>0</v>
      </c>
      <c r="CA6">
        <f t="shared" si="35"/>
        <v>0</v>
      </c>
      <c r="CB6">
        <f t="shared" si="36"/>
        <v>5.0000000000000001E-3</v>
      </c>
      <c r="CC6">
        <f t="shared" si="37"/>
        <v>0.02</v>
      </c>
      <c r="CD6">
        <f t="shared" si="38"/>
        <v>0.02</v>
      </c>
      <c r="CE6">
        <f t="shared" si="39"/>
        <v>0</v>
      </c>
      <c r="CF6">
        <f t="shared" si="40"/>
        <v>5.0000000000000001E-3</v>
      </c>
      <c r="CG6">
        <f t="shared" si="41"/>
        <v>0.15</v>
      </c>
      <c r="CI6">
        <f t="shared" si="59"/>
        <v>0.02</v>
      </c>
      <c r="CJ6">
        <f t="shared" si="42"/>
        <v>0.02</v>
      </c>
      <c r="CK6">
        <f t="shared" si="43"/>
        <v>0.02</v>
      </c>
      <c r="CL6">
        <f t="shared" si="44"/>
        <v>0.02</v>
      </c>
      <c r="CM6">
        <f t="shared" si="45"/>
        <v>0.10000000000000017</v>
      </c>
      <c r="CN6">
        <f t="shared" si="46"/>
        <v>0.01</v>
      </c>
      <c r="CO6">
        <f t="shared" si="47"/>
        <v>0.01</v>
      </c>
      <c r="CP6">
        <f t="shared" si="48"/>
        <v>1.4142135623730951E-2</v>
      </c>
      <c r="CQ6">
        <f t="shared" si="49"/>
        <v>0.01</v>
      </c>
      <c r="CR6">
        <f t="shared" si="50"/>
        <v>0.01</v>
      </c>
      <c r="CS6">
        <f t="shared" si="51"/>
        <v>7.0710678118654753E-3</v>
      </c>
      <c r="CT6">
        <f t="shared" si="52"/>
        <v>2.8284271247461901E-2</v>
      </c>
      <c r="CU6">
        <f t="shared" si="53"/>
        <v>2.8284271247461901E-2</v>
      </c>
      <c r="CV6">
        <f t="shared" si="54"/>
        <v>5.0000000000000001E-3</v>
      </c>
      <c r="CW6">
        <f t="shared" si="55"/>
        <v>7.0710678118654753E-3</v>
      </c>
      <c r="CX6">
        <f t="shared" si="56"/>
        <v>0.21213203435596426</v>
      </c>
    </row>
    <row r="7" spans="1:102">
      <c r="A7" s="1" t="s">
        <v>9</v>
      </c>
      <c r="B7" s="6" t="str">
        <f t="shared" si="0"/>
        <v>GammaDistribution(1; 0.001)</v>
      </c>
      <c r="C7" s="6" t="str">
        <f t="shared" si="1"/>
        <v>GammaDistribution(1; 0.001)</v>
      </c>
      <c r="D7" s="6" t="str">
        <f t="shared" si="2"/>
        <v>GammaDistribution(1; 0.001)</v>
      </c>
      <c r="E7" s="6" t="str">
        <f t="shared" si="3"/>
        <v>GammaDistribution(1; 0.001)</v>
      </c>
      <c r="F7" s="6" t="str">
        <f t="shared" si="4"/>
        <v>GammaDistribution(1; 0.001)</v>
      </c>
      <c r="G7" s="6" t="str">
        <f t="shared" si="5"/>
        <v>GammaDistribution(101.990195135928; 9.90195135927852E-03)</v>
      </c>
      <c r="H7" s="6" t="str">
        <f t="shared" si="6"/>
        <v>GammaDistribution(1; 0.05)</v>
      </c>
      <c r="I7" s="6" t="str">
        <f t="shared" si="7"/>
        <v>GammaDistribution(1; 0.001)</v>
      </c>
      <c r="J7" s="6" t="str">
        <f t="shared" si="8"/>
        <v>GammaDistribution(1; 0.001)</v>
      </c>
      <c r="K7" s="6" t="str">
        <f t="shared" si="9"/>
        <v>GammaDistribution(1; 0.001)</v>
      </c>
      <c r="L7" s="6" t="str">
        <f t="shared" si="10"/>
        <v>GammaDistribution(1; 0.001)</v>
      </c>
      <c r="M7" s="6" t="str">
        <f t="shared" si="11"/>
        <v>GammaDistribution(1; 0.001)</v>
      </c>
      <c r="N7" s="6" t="str">
        <f t="shared" si="12"/>
        <v>GammaDistribution(1; 0.001)</v>
      </c>
      <c r="O7" s="6" t="str">
        <f t="shared" si="13"/>
        <v>GammaDistribution(1; 0.001)</v>
      </c>
      <c r="P7" s="6" t="str">
        <f t="shared" si="14"/>
        <v>GammaDistribution(1; 0.001)</v>
      </c>
      <c r="Q7" s="6" t="str">
        <f t="shared" si="15"/>
        <v>GammaDistribution(1; 0.001)</v>
      </c>
      <c r="S7">
        <v>1</v>
      </c>
      <c r="T7">
        <v>1</v>
      </c>
      <c r="U7">
        <v>1</v>
      </c>
      <c r="V7">
        <v>1</v>
      </c>
      <c r="W7">
        <v>1</v>
      </c>
      <c r="X7">
        <f>(AO7+1)/AO7</f>
        <v>101.99019513592752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>
        <v>1</v>
      </c>
      <c r="AH7">
        <v>1</v>
      </c>
      <c r="AJ7">
        <v>1E-3</v>
      </c>
      <c r="AK7">
        <v>1E-3</v>
      </c>
      <c r="AL7">
        <v>1E-3</v>
      </c>
      <c r="AM7">
        <v>1E-3</v>
      </c>
      <c r="AN7">
        <v>1E-3</v>
      </c>
      <c r="AO7">
        <f>(SQRT(1.04)-1)/2</f>
        <v>9.9019513592785158E-3</v>
      </c>
      <c r="AP7">
        <v>0.05</v>
      </c>
      <c r="AQ7">
        <v>1E-3</v>
      </c>
      <c r="AR7">
        <v>1E-3</v>
      </c>
      <c r="AS7">
        <v>1E-3</v>
      </c>
      <c r="AT7">
        <v>1E-3</v>
      </c>
      <c r="AU7">
        <v>1E-3</v>
      </c>
      <c r="AV7">
        <v>1E-3</v>
      </c>
      <c r="AW7">
        <v>1E-3</v>
      </c>
      <c r="AX7">
        <v>1E-3</v>
      </c>
      <c r="AY7">
        <v>1E-3</v>
      </c>
      <c r="BA7">
        <f t="shared" si="57"/>
        <v>1E-3</v>
      </c>
      <c r="BB7">
        <f t="shared" si="16"/>
        <v>1E-3</v>
      </c>
      <c r="BC7">
        <f t="shared" si="17"/>
        <v>1E-3</v>
      </c>
      <c r="BD7">
        <f t="shared" si="18"/>
        <v>1E-3</v>
      </c>
      <c r="BE7">
        <f t="shared" si="19"/>
        <v>1E-3</v>
      </c>
      <c r="BF7">
        <f t="shared" si="20"/>
        <v>1.0099019513592786</v>
      </c>
      <c r="BG7">
        <f t="shared" si="21"/>
        <v>0.05</v>
      </c>
      <c r="BH7">
        <f t="shared" si="22"/>
        <v>1E-3</v>
      </c>
      <c r="BI7">
        <f t="shared" si="23"/>
        <v>1E-3</v>
      </c>
      <c r="BJ7">
        <f t="shared" si="24"/>
        <v>1E-3</v>
      </c>
      <c r="BK7">
        <f t="shared" si="25"/>
        <v>1E-3</v>
      </c>
      <c r="BL7">
        <f t="shared" si="26"/>
        <v>1E-3</v>
      </c>
      <c r="BM7">
        <f t="shared" si="26"/>
        <v>1E-3</v>
      </c>
      <c r="BN7">
        <f t="shared" si="26"/>
        <v>1E-3</v>
      </c>
      <c r="BO7">
        <f t="shared" si="26"/>
        <v>1E-3</v>
      </c>
      <c r="BP7">
        <f t="shared" si="26"/>
        <v>1E-3</v>
      </c>
      <c r="BR7">
        <f t="shared" si="58"/>
        <v>0</v>
      </c>
      <c r="BS7">
        <f t="shared" si="27"/>
        <v>0</v>
      </c>
      <c r="BT7">
        <f t="shared" si="28"/>
        <v>0</v>
      </c>
      <c r="BU7">
        <f t="shared" si="29"/>
        <v>0</v>
      </c>
      <c r="BV7">
        <f t="shared" si="30"/>
        <v>0</v>
      </c>
      <c r="BW7">
        <f t="shared" si="31"/>
        <v>1</v>
      </c>
      <c r="BX7">
        <f t="shared" si="32"/>
        <v>0</v>
      </c>
      <c r="BY7">
        <f t="shared" si="33"/>
        <v>0</v>
      </c>
      <c r="BZ7">
        <f t="shared" si="34"/>
        <v>0</v>
      </c>
      <c r="CA7">
        <f t="shared" si="35"/>
        <v>0</v>
      </c>
      <c r="CB7">
        <f t="shared" si="36"/>
        <v>0</v>
      </c>
      <c r="CC7">
        <f t="shared" si="37"/>
        <v>0</v>
      </c>
      <c r="CD7">
        <f t="shared" si="38"/>
        <v>0</v>
      </c>
      <c r="CE7">
        <f t="shared" si="39"/>
        <v>0</v>
      </c>
      <c r="CF7">
        <f t="shared" si="40"/>
        <v>0</v>
      </c>
      <c r="CG7">
        <f t="shared" si="41"/>
        <v>0</v>
      </c>
      <c r="CI7">
        <f t="shared" si="59"/>
        <v>1E-3</v>
      </c>
      <c r="CJ7">
        <f t="shared" si="42"/>
        <v>1E-3</v>
      </c>
      <c r="CK7">
        <f t="shared" si="43"/>
        <v>1E-3</v>
      </c>
      <c r="CL7">
        <f t="shared" si="44"/>
        <v>1E-3</v>
      </c>
      <c r="CM7">
        <f t="shared" si="45"/>
        <v>1E-3</v>
      </c>
      <c r="CN7">
        <f t="shared" si="46"/>
        <v>0.10000000000000017</v>
      </c>
      <c r="CO7">
        <f t="shared" si="47"/>
        <v>0.05</v>
      </c>
      <c r="CP7">
        <f t="shared" si="48"/>
        <v>1E-3</v>
      </c>
      <c r="CQ7">
        <f t="shared" si="49"/>
        <v>1E-3</v>
      </c>
      <c r="CR7">
        <f t="shared" si="50"/>
        <v>1E-3</v>
      </c>
      <c r="CS7">
        <f t="shared" si="51"/>
        <v>1E-3</v>
      </c>
      <c r="CT7">
        <f t="shared" si="52"/>
        <v>1E-3</v>
      </c>
      <c r="CU7">
        <f t="shared" si="53"/>
        <v>1E-3</v>
      </c>
      <c r="CV7">
        <f t="shared" si="54"/>
        <v>1E-3</v>
      </c>
      <c r="CW7">
        <f t="shared" si="55"/>
        <v>1E-3</v>
      </c>
      <c r="CX7">
        <f t="shared" si="56"/>
        <v>1E-3</v>
      </c>
    </row>
    <row r="8" spans="1:102">
      <c r="A8" s="1" t="s">
        <v>10</v>
      </c>
      <c r="B8" s="6" t="str">
        <f t="shared" si="0"/>
        <v>GammaDistribution(1; 0.001)</v>
      </c>
      <c r="C8" s="6" t="str">
        <f t="shared" si="1"/>
        <v>GammaDistribution(1; 0.001)</v>
      </c>
      <c r="D8" s="6" t="str">
        <f t="shared" si="2"/>
        <v>GammaDistribution(1; 0.001)</v>
      </c>
      <c r="E8" s="6" t="str">
        <f t="shared" si="3"/>
        <v>GammaDistribution(1; 0.001)</v>
      </c>
      <c r="F8" s="6" t="str">
        <f t="shared" si="4"/>
        <v>GammaDistribution(1; 0.001)</v>
      </c>
      <c r="G8" s="6" t="str">
        <f t="shared" si="5"/>
        <v>GammaDistribution(1; 0.001)</v>
      </c>
      <c r="H8" s="6" t="str">
        <f t="shared" si="6"/>
        <v>GammaDistribution(101.990195135928; 9.90195135927852E-03)</v>
      </c>
      <c r="I8" s="6" t="str">
        <f t="shared" si="7"/>
        <v>GammaDistribution(1; 0.001)</v>
      </c>
      <c r="J8" s="6" t="str">
        <f t="shared" si="8"/>
        <v>GammaDistribution(1; 0.001)</v>
      </c>
      <c r="K8" s="6" t="str">
        <f t="shared" si="9"/>
        <v>GammaDistribution(1; 0.001)</v>
      </c>
      <c r="L8" s="6" t="str">
        <f t="shared" si="10"/>
        <v>GammaDistribution(1; 0.001)</v>
      </c>
      <c r="M8" s="6" t="str">
        <f t="shared" si="11"/>
        <v>GammaDistribution(1; 0.001)</v>
      </c>
      <c r="N8" s="6" t="str">
        <f t="shared" si="12"/>
        <v>GammaDistribution(1; 0.001)</v>
      </c>
      <c r="O8" s="6" t="str">
        <f t="shared" si="13"/>
        <v>GammaDistribution(1; 0.001)</v>
      </c>
      <c r="P8" s="6" t="str">
        <f t="shared" si="14"/>
        <v>GammaDistribution(1; 0.001)</v>
      </c>
      <c r="Q8" s="6" t="str">
        <f t="shared" si="15"/>
        <v>GammaDistribution(1; 0.001)</v>
      </c>
      <c r="S8">
        <v>1</v>
      </c>
      <c r="T8">
        <v>1</v>
      </c>
      <c r="U8">
        <v>1</v>
      </c>
      <c r="V8">
        <v>1</v>
      </c>
      <c r="W8">
        <v>1</v>
      </c>
      <c r="X8">
        <v>1</v>
      </c>
      <c r="Y8">
        <f>(AP8+1)/AP8</f>
        <v>101.99019513592752</v>
      </c>
      <c r="Z8">
        <v>1</v>
      </c>
      <c r="AA8">
        <v>1</v>
      </c>
      <c r="AB8">
        <v>1</v>
      </c>
      <c r="AC8">
        <v>1</v>
      </c>
      <c r="AD8">
        <v>1</v>
      </c>
      <c r="AE8">
        <v>1</v>
      </c>
      <c r="AF8">
        <v>1</v>
      </c>
      <c r="AG8">
        <v>1</v>
      </c>
      <c r="AH8">
        <v>1</v>
      </c>
      <c r="AJ8">
        <v>1E-3</v>
      </c>
      <c r="AK8">
        <v>1E-3</v>
      </c>
      <c r="AL8">
        <v>1E-3</v>
      </c>
      <c r="AM8">
        <v>1E-3</v>
      </c>
      <c r="AN8">
        <v>1E-3</v>
      </c>
      <c r="AO8">
        <v>1E-3</v>
      </c>
      <c r="AP8">
        <f>(SQRT(1.04)-1)/2</f>
        <v>9.9019513592785158E-3</v>
      </c>
      <c r="AQ8">
        <v>1E-3</v>
      </c>
      <c r="AR8">
        <v>1E-3</v>
      </c>
      <c r="AS8">
        <v>1E-3</v>
      </c>
      <c r="AT8">
        <v>1E-3</v>
      </c>
      <c r="AU8">
        <v>1E-3</v>
      </c>
      <c r="AV8">
        <v>1E-3</v>
      </c>
      <c r="AW8">
        <v>1E-3</v>
      </c>
      <c r="AX8">
        <v>1E-3</v>
      </c>
      <c r="AY8">
        <v>1E-3</v>
      </c>
      <c r="BA8">
        <f t="shared" si="57"/>
        <v>1E-3</v>
      </c>
      <c r="BB8">
        <f t="shared" si="16"/>
        <v>1E-3</v>
      </c>
      <c r="BC8">
        <f t="shared" si="17"/>
        <v>1E-3</v>
      </c>
      <c r="BD8">
        <f t="shared" si="18"/>
        <v>1E-3</v>
      </c>
      <c r="BE8">
        <f t="shared" si="19"/>
        <v>1E-3</v>
      </c>
      <c r="BF8">
        <f t="shared" si="20"/>
        <v>1E-3</v>
      </c>
      <c r="BG8">
        <f t="shared" si="21"/>
        <v>1.0099019513592786</v>
      </c>
      <c r="BH8">
        <f t="shared" si="22"/>
        <v>1E-3</v>
      </c>
      <c r="BI8">
        <f t="shared" si="23"/>
        <v>1E-3</v>
      </c>
      <c r="BJ8">
        <f t="shared" si="24"/>
        <v>1E-3</v>
      </c>
      <c r="BK8">
        <f t="shared" si="25"/>
        <v>1E-3</v>
      </c>
      <c r="BL8">
        <f t="shared" si="26"/>
        <v>1E-3</v>
      </c>
      <c r="BM8">
        <f t="shared" si="26"/>
        <v>1E-3</v>
      </c>
      <c r="BN8">
        <f t="shared" si="26"/>
        <v>1E-3</v>
      </c>
      <c r="BO8">
        <f t="shared" si="26"/>
        <v>1E-3</v>
      </c>
      <c r="BP8">
        <f t="shared" si="26"/>
        <v>1E-3</v>
      </c>
      <c r="BR8">
        <f t="shared" si="58"/>
        <v>0</v>
      </c>
      <c r="BS8">
        <f t="shared" si="27"/>
        <v>0</v>
      </c>
      <c r="BT8">
        <f t="shared" si="28"/>
        <v>0</v>
      </c>
      <c r="BU8">
        <f t="shared" si="29"/>
        <v>0</v>
      </c>
      <c r="BV8">
        <f t="shared" si="30"/>
        <v>0</v>
      </c>
      <c r="BW8">
        <f t="shared" si="31"/>
        <v>0</v>
      </c>
      <c r="BX8">
        <f t="shared" si="32"/>
        <v>1</v>
      </c>
      <c r="BY8">
        <f t="shared" si="33"/>
        <v>0</v>
      </c>
      <c r="BZ8">
        <f t="shared" si="34"/>
        <v>0</v>
      </c>
      <c r="CA8">
        <f t="shared" si="35"/>
        <v>0</v>
      </c>
      <c r="CB8">
        <f t="shared" si="36"/>
        <v>0</v>
      </c>
      <c r="CC8">
        <f t="shared" si="37"/>
        <v>0</v>
      </c>
      <c r="CD8">
        <f t="shared" si="38"/>
        <v>0</v>
      </c>
      <c r="CE8">
        <f t="shared" si="39"/>
        <v>0</v>
      </c>
      <c r="CF8">
        <f t="shared" si="40"/>
        <v>0</v>
      </c>
      <c r="CG8">
        <f t="shared" si="41"/>
        <v>0</v>
      </c>
      <c r="CI8">
        <f t="shared" si="59"/>
        <v>1E-3</v>
      </c>
      <c r="CJ8">
        <f t="shared" si="42"/>
        <v>1E-3</v>
      </c>
      <c r="CK8">
        <f t="shared" si="43"/>
        <v>1E-3</v>
      </c>
      <c r="CL8">
        <f t="shared" si="44"/>
        <v>1E-3</v>
      </c>
      <c r="CM8">
        <f t="shared" si="45"/>
        <v>1E-3</v>
      </c>
      <c r="CN8">
        <f t="shared" si="46"/>
        <v>1E-3</v>
      </c>
      <c r="CO8">
        <f t="shared" si="47"/>
        <v>0.10000000000000017</v>
      </c>
      <c r="CP8">
        <f t="shared" si="48"/>
        <v>1E-3</v>
      </c>
      <c r="CQ8">
        <f t="shared" si="49"/>
        <v>1E-3</v>
      </c>
      <c r="CR8">
        <f t="shared" si="50"/>
        <v>1E-3</v>
      </c>
      <c r="CS8">
        <f t="shared" si="51"/>
        <v>1E-3</v>
      </c>
      <c r="CT8">
        <f t="shared" si="52"/>
        <v>1E-3</v>
      </c>
      <c r="CU8">
        <f t="shared" si="53"/>
        <v>1E-3</v>
      </c>
      <c r="CV8">
        <f t="shared" si="54"/>
        <v>1E-3</v>
      </c>
      <c r="CW8">
        <f t="shared" si="55"/>
        <v>1E-3</v>
      </c>
      <c r="CX8">
        <f t="shared" si="56"/>
        <v>1E-3</v>
      </c>
    </row>
    <row r="9" spans="1:102">
      <c r="A9" s="1" t="s">
        <v>11</v>
      </c>
      <c r="B9" s="6" t="str">
        <f t="shared" si="0"/>
        <v>GammaDistribution(1; 0.001)</v>
      </c>
      <c r="C9" s="6" t="str">
        <f t="shared" si="1"/>
        <v>GammaDistribution(1; 0.001)</v>
      </c>
      <c r="D9" s="6" t="str">
        <f t="shared" si="2"/>
        <v>GammaDistribution(1; 0.001)</v>
      </c>
      <c r="E9" s="6" t="str">
        <f t="shared" si="3"/>
        <v>GammaDistribution(1; 0.001)</v>
      </c>
      <c r="F9" s="6" t="str">
        <f t="shared" si="4"/>
        <v>GammaDistribution(1; 0.001)</v>
      </c>
      <c r="G9" s="6" t="str">
        <f t="shared" si="5"/>
        <v>GammaDistribution(1; 0.001)</v>
      </c>
      <c r="H9" s="6" t="str">
        <f t="shared" si="6"/>
        <v>GammaDistribution(1; 0.001)</v>
      </c>
      <c r="I9" s="6" t="str">
        <f t="shared" si="7"/>
        <v>GammaDistribution(82.987950057818; 1.09772228646444E-02)</v>
      </c>
      <c r="J9" s="6" t="str">
        <f t="shared" si="8"/>
        <v>GammaDistribution(1; 0.001)</v>
      </c>
      <c r="K9" s="6" t="str">
        <f t="shared" si="9"/>
        <v>GammaDistribution(1; 0.001)</v>
      </c>
      <c r="L9" s="6" t="str">
        <f t="shared" si="10"/>
        <v>GammaDistribution(1; 0.001)</v>
      </c>
      <c r="M9" s="6" t="str">
        <f t="shared" si="11"/>
        <v>GammaDistribution(1; 0.001)</v>
      </c>
      <c r="N9" s="6" t="str">
        <f t="shared" si="12"/>
        <v>GammaDistribution(1; 0.001)</v>
      </c>
      <c r="O9" s="6" t="str">
        <f t="shared" si="13"/>
        <v>GammaDistribution(1; 0.001)</v>
      </c>
      <c r="P9" s="6" t="str">
        <f t="shared" si="14"/>
        <v>GammaDistribution(1; 0.001)</v>
      </c>
      <c r="Q9" s="6" t="str">
        <f t="shared" si="15"/>
        <v>GammaDistribution(1; 0.001)</v>
      </c>
      <c r="S9">
        <v>1</v>
      </c>
      <c r="T9">
        <v>1</v>
      </c>
      <c r="U9">
        <v>1</v>
      </c>
      <c r="V9">
        <v>1</v>
      </c>
      <c r="W9">
        <v>1</v>
      </c>
      <c r="X9">
        <v>1</v>
      </c>
      <c r="Y9">
        <v>1</v>
      </c>
      <c r="Z9">
        <f>(AQ9+0.9)/AQ9</f>
        <v>82.987950057818011</v>
      </c>
      <c r="AA9">
        <v>1</v>
      </c>
      <c r="AB9">
        <v>1</v>
      </c>
      <c r="AC9">
        <v>1</v>
      </c>
      <c r="AD9">
        <v>1</v>
      </c>
      <c r="AE9">
        <v>1</v>
      </c>
      <c r="AF9">
        <v>1</v>
      </c>
      <c r="AG9">
        <v>1</v>
      </c>
      <c r="AH9">
        <v>1</v>
      </c>
      <c r="AJ9">
        <v>1E-3</v>
      </c>
      <c r="AK9">
        <v>1E-3</v>
      </c>
      <c r="AL9">
        <v>1E-3</v>
      </c>
      <c r="AM9">
        <v>1E-3</v>
      </c>
      <c r="AN9">
        <v>1E-3</v>
      </c>
      <c r="AO9">
        <v>1E-3</v>
      </c>
      <c r="AP9">
        <v>1E-3</v>
      </c>
      <c r="AQ9">
        <f>(-0.9+SQRT(0.9*0.9+0.04))/2</f>
        <v>1.0977222864644365E-2</v>
      </c>
      <c r="AR9">
        <v>1E-3</v>
      </c>
      <c r="AS9">
        <v>1E-3</v>
      </c>
      <c r="AT9">
        <v>1E-3</v>
      </c>
      <c r="AU9">
        <v>1E-3</v>
      </c>
      <c r="AV9">
        <v>1E-3</v>
      </c>
      <c r="AW9">
        <v>1E-3</v>
      </c>
      <c r="AX9">
        <v>1E-3</v>
      </c>
      <c r="AY9">
        <v>1E-3</v>
      </c>
      <c r="BA9">
        <f t="shared" si="57"/>
        <v>1E-3</v>
      </c>
      <c r="BB9">
        <f t="shared" si="16"/>
        <v>1E-3</v>
      </c>
      <c r="BC9">
        <f t="shared" si="17"/>
        <v>1E-3</v>
      </c>
      <c r="BD9">
        <f t="shared" si="18"/>
        <v>1E-3</v>
      </c>
      <c r="BE9">
        <f t="shared" si="19"/>
        <v>1E-3</v>
      </c>
      <c r="BF9">
        <f t="shared" si="20"/>
        <v>1E-3</v>
      </c>
      <c r="BG9">
        <f t="shared" si="21"/>
        <v>1E-3</v>
      </c>
      <c r="BH9">
        <f t="shared" si="22"/>
        <v>0.91097722286464455</v>
      </c>
      <c r="BI9">
        <f t="shared" si="23"/>
        <v>1E-3</v>
      </c>
      <c r="BJ9">
        <f t="shared" si="24"/>
        <v>1E-3</v>
      </c>
      <c r="BK9">
        <f t="shared" si="25"/>
        <v>1E-3</v>
      </c>
      <c r="BL9">
        <f t="shared" si="26"/>
        <v>1E-3</v>
      </c>
      <c r="BM9">
        <f t="shared" si="26"/>
        <v>1E-3</v>
      </c>
      <c r="BN9">
        <f t="shared" si="26"/>
        <v>1E-3</v>
      </c>
      <c r="BO9">
        <f t="shared" si="26"/>
        <v>1E-3</v>
      </c>
      <c r="BP9">
        <f t="shared" si="26"/>
        <v>1E-3</v>
      </c>
      <c r="BR9">
        <f t="shared" si="58"/>
        <v>0</v>
      </c>
      <c r="BS9">
        <f t="shared" si="27"/>
        <v>0</v>
      </c>
      <c r="BT9">
        <f t="shared" si="28"/>
        <v>0</v>
      </c>
      <c r="BU9">
        <f t="shared" si="29"/>
        <v>0</v>
      </c>
      <c r="BV9">
        <f t="shared" si="30"/>
        <v>0</v>
      </c>
      <c r="BW9">
        <f t="shared" si="31"/>
        <v>0</v>
      </c>
      <c r="BX9">
        <f t="shared" si="32"/>
        <v>0</v>
      </c>
      <c r="BY9">
        <f t="shared" si="33"/>
        <v>0.90000000000000013</v>
      </c>
      <c r="BZ9">
        <f t="shared" si="34"/>
        <v>0</v>
      </c>
      <c r="CA9">
        <f t="shared" si="35"/>
        <v>0</v>
      </c>
      <c r="CB9">
        <f t="shared" si="36"/>
        <v>0</v>
      </c>
      <c r="CC9">
        <f t="shared" si="37"/>
        <v>0</v>
      </c>
      <c r="CD9">
        <f t="shared" si="38"/>
        <v>0</v>
      </c>
      <c r="CE9">
        <f t="shared" si="39"/>
        <v>0</v>
      </c>
      <c r="CF9">
        <f t="shared" si="40"/>
        <v>0</v>
      </c>
      <c r="CG9">
        <f t="shared" si="41"/>
        <v>0</v>
      </c>
      <c r="CI9">
        <f t="shared" si="59"/>
        <v>1E-3</v>
      </c>
      <c r="CJ9">
        <f t="shared" si="42"/>
        <v>1E-3</v>
      </c>
      <c r="CK9">
        <f t="shared" si="43"/>
        <v>1E-3</v>
      </c>
      <c r="CL9">
        <f t="shared" si="44"/>
        <v>1E-3</v>
      </c>
      <c r="CM9">
        <f t="shared" si="45"/>
        <v>1E-3</v>
      </c>
      <c r="CN9">
        <f t="shared" si="46"/>
        <v>1E-3</v>
      </c>
      <c r="CO9">
        <f t="shared" si="47"/>
        <v>1E-3</v>
      </c>
      <c r="CP9">
        <f t="shared" si="48"/>
        <v>0.1</v>
      </c>
      <c r="CQ9">
        <f t="shared" si="49"/>
        <v>1E-3</v>
      </c>
      <c r="CR9">
        <f t="shared" si="50"/>
        <v>1E-3</v>
      </c>
      <c r="CS9">
        <f t="shared" si="51"/>
        <v>1E-3</v>
      </c>
      <c r="CT9">
        <f t="shared" si="52"/>
        <v>1E-3</v>
      </c>
      <c r="CU9">
        <f t="shared" si="53"/>
        <v>1E-3</v>
      </c>
      <c r="CV9">
        <f t="shared" si="54"/>
        <v>1E-3</v>
      </c>
      <c r="CW9">
        <f t="shared" si="55"/>
        <v>1E-3</v>
      </c>
      <c r="CX9">
        <f t="shared" si="56"/>
        <v>1E-3</v>
      </c>
    </row>
    <row r="10" spans="1:102">
      <c r="A10" s="1" t="s">
        <v>12</v>
      </c>
      <c r="B10" s="6" t="str">
        <f t="shared" si="0"/>
        <v>GammaDistribution(1; 0.001)</v>
      </c>
      <c r="C10" s="6" t="str">
        <f t="shared" si="1"/>
        <v>GammaDistribution(1; 0.001)</v>
      </c>
      <c r="D10" s="6" t="str">
        <f t="shared" si="2"/>
        <v>GammaDistribution(1; 0.001)</v>
      </c>
      <c r="E10" s="6" t="str">
        <f t="shared" si="3"/>
        <v>GammaDistribution(1; 0.001)</v>
      </c>
      <c r="F10" s="6" t="str">
        <f t="shared" si="4"/>
        <v>GammaDistribution(1; 0.001)</v>
      </c>
      <c r="G10" s="6" t="str">
        <f t="shared" si="5"/>
        <v>GammaDistribution(1; 0.001)</v>
      </c>
      <c r="H10" s="6" t="str">
        <f t="shared" si="6"/>
        <v>GammaDistribution(1; 0.001)</v>
      </c>
      <c r="I10" s="6" t="str">
        <f t="shared" si="7"/>
        <v>GammaDistribution(1; 0.001)</v>
      </c>
      <c r="J10" s="6" t="str">
        <f t="shared" si="8"/>
        <v>GammaDistribution(82.987950057818; 1.09772228646444E-02)</v>
      </c>
      <c r="K10" s="6" t="str">
        <f t="shared" si="9"/>
        <v>GammaDistribution(1; 0.005)</v>
      </c>
      <c r="L10" s="6" t="str">
        <f t="shared" si="10"/>
        <v>GammaDistribution(1; 0.001)</v>
      </c>
      <c r="M10" s="6" t="str">
        <f t="shared" si="11"/>
        <v>GammaDistribution(1; 0.001)</v>
      </c>
      <c r="N10" s="6" t="str">
        <f t="shared" si="12"/>
        <v>GammaDistribution(1; 0.001)</v>
      </c>
      <c r="O10" s="6" t="str">
        <f t="shared" si="13"/>
        <v>GammaDistribution(1; 0.001)</v>
      </c>
      <c r="P10" s="6" t="str">
        <f t="shared" si="14"/>
        <v>GammaDistribution(1; 0.001)</v>
      </c>
      <c r="Q10" s="6" t="str">
        <f t="shared" si="15"/>
        <v>GammaDistribution(2; 0.1)</v>
      </c>
      <c r="S10">
        <v>1</v>
      </c>
      <c r="T10">
        <v>1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f>(AR10+0.9)/AR10</f>
        <v>82.987950057818011</v>
      </c>
      <c r="AB10">
        <v>1</v>
      </c>
      <c r="AC10">
        <v>1</v>
      </c>
      <c r="AD10">
        <v>1</v>
      </c>
      <c r="AE10">
        <v>1</v>
      </c>
      <c r="AF10">
        <v>1</v>
      </c>
      <c r="AG10">
        <v>1</v>
      </c>
      <c r="AH10">
        <v>2</v>
      </c>
      <c r="AJ10">
        <v>1E-3</v>
      </c>
      <c r="AK10">
        <v>1E-3</v>
      </c>
      <c r="AL10">
        <v>1E-3</v>
      </c>
      <c r="AM10">
        <v>1E-3</v>
      </c>
      <c r="AN10">
        <v>1E-3</v>
      </c>
      <c r="AO10">
        <v>1E-3</v>
      </c>
      <c r="AP10">
        <v>1E-3</v>
      </c>
      <c r="AQ10">
        <v>1E-3</v>
      </c>
      <c r="AR10">
        <f>(-0.9+SQRT(0.9*0.9+0.04))/2</f>
        <v>1.0977222864644365E-2</v>
      </c>
      <c r="AS10">
        <v>5.0000000000000001E-3</v>
      </c>
      <c r="AT10">
        <v>1E-3</v>
      </c>
      <c r="AU10">
        <v>1E-3</v>
      </c>
      <c r="AV10">
        <v>1E-3</v>
      </c>
      <c r="AW10">
        <v>1E-3</v>
      </c>
      <c r="AX10">
        <v>1E-3</v>
      </c>
      <c r="AY10">
        <v>0.1</v>
      </c>
      <c r="BA10">
        <f t="shared" si="57"/>
        <v>1E-3</v>
      </c>
      <c r="BB10">
        <f t="shared" si="16"/>
        <v>1E-3</v>
      </c>
      <c r="BC10">
        <f t="shared" si="17"/>
        <v>1E-3</v>
      </c>
      <c r="BD10">
        <f t="shared" si="18"/>
        <v>1E-3</v>
      </c>
      <c r="BE10">
        <f t="shared" si="19"/>
        <v>1E-3</v>
      </c>
      <c r="BF10">
        <f t="shared" si="20"/>
        <v>1E-3</v>
      </c>
      <c r="BG10">
        <f t="shared" si="21"/>
        <v>1E-3</v>
      </c>
      <c r="BH10">
        <f t="shared" si="22"/>
        <v>1E-3</v>
      </c>
      <c r="BI10">
        <f t="shared" si="23"/>
        <v>0.91097722286464455</v>
      </c>
      <c r="BJ10">
        <f t="shared" si="24"/>
        <v>5.0000000000000001E-3</v>
      </c>
      <c r="BK10">
        <f t="shared" si="25"/>
        <v>1E-3</v>
      </c>
      <c r="BL10">
        <f t="shared" si="26"/>
        <v>1E-3</v>
      </c>
      <c r="BM10">
        <f t="shared" si="26"/>
        <v>1E-3</v>
      </c>
      <c r="BN10">
        <f t="shared" si="26"/>
        <v>1E-3</v>
      </c>
      <c r="BO10">
        <f t="shared" si="26"/>
        <v>1E-3</v>
      </c>
      <c r="BP10">
        <f t="shared" si="26"/>
        <v>0.2</v>
      </c>
      <c r="BR10">
        <f t="shared" si="58"/>
        <v>0</v>
      </c>
      <c r="BS10">
        <f t="shared" si="27"/>
        <v>0</v>
      </c>
      <c r="BT10">
        <f t="shared" si="28"/>
        <v>0</v>
      </c>
      <c r="BU10">
        <f t="shared" si="29"/>
        <v>0</v>
      </c>
      <c r="BV10">
        <f t="shared" si="30"/>
        <v>0</v>
      </c>
      <c r="BW10">
        <f t="shared" si="31"/>
        <v>0</v>
      </c>
      <c r="BX10">
        <f t="shared" si="32"/>
        <v>0</v>
      </c>
      <c r="BY10">
        <f t="shared" si="33"/>
        <v>0</v>
      </c>
      <c r="BZ10">
        <f t="shared" si="34"/>
        <v>0.90000000000000013</v>
      </c>
      <c r="CA10">
        <f t="shared" si="35"/>
        <v>0</v>
      </c>
      <c r="CB10">
        <f t="shared" si="36"/>
        <v>0</v>
      </c>
      <c r="CC10">
        <f t="shared" si="37"/>
        <v>0</v>
      </c>
      <c r="CD10">
        <f t="shared" si="38"/>
        <v>0</v>
      </c>
      <c r="CE10">
        <f t="shared" si="39"/>
        <v>0</v>
      </c>
      <c r="CF10">
        <f t="shared" si="40"/>
        <v>0</v>
      </c>
      <c r="CG10">
        <f t="shared" si="41"/>
        <v>0.1</v>
      </c>
      <c r="CI10">
        <f t="shared" si="59"/>
        <v>1E-3</v>
      </c>
      <c r="CJ10">
        <f t="shared" si="42"/>
        <v>1E-3</v>
      </c>
      <c r="CK10">
        <f t="shared" si="43"/>
        <v>1E-3</v>
      </c>
      <c r="CL10">
        <f t="shared" si="44"/>
        <v>1E-3</v>
      </c>
      <c r="CM10">
        <f t="shared" si="45"/>
        <v>1E-3</v>
      </c>
      <c r="CN10">
        <f t="shared" si="46"/>
        <v>1E-3</v>
      </c>
      <c r="CO10">
        <f t="shared" si="47"/>
        <v>1E-3</v>
      </c>
      <c r="CP10">
        <f t="shared" si="48"/>
        <v>1E-3</v>
      </c>
      <c r="CQ10">
        <f t="shared" si="49"/>
        <v>0.1</v>
      </c>
      <c r="CR10">
        <f t="shared" si="50"/>
        <v>5.0000000000000001E-3</v>
      </c>
      <c r="CS10">
        <f t="shared" si="51"/>
        <v>1E-3</v>
      </c>
      <c r="CT10">
        <f t="shared" si="52"/>
        <v>1E-3</v>
      </c>
      <c r="CU10">
        <f t="shared" si="53"/>
        <v>1E-3</v>
      </c>
      <c r="CV10">
        <f t="shared" si="54"/>
        <v>1E-3</v>
      </c>
      <c r="CW10">
        <f t="shared" si="55"/>
        <v>1E-3</v>
      </c>
      <c r="CX10">
        <f t="shared" si="56"/>
        <v>0.14142135623730953</v>
      </c>
    </row>
    <row r="11" spans="1:102">
      <c r="A11" s="1" t="s">
        <v>13</v>
      </c>
      <c r="B11" s="6" t="str">
        <f t="shared" si="0"/>
        <v>GammaDistribution(1; 0.001)</v>
      </c>
      <c r="C11" s="6" t="str">
        <f t="shared" si="1"/>
        <v>GammaDistribution(1; 0.001)</v>
      </c>
      <c r="D11" s="6" t="str">
        <f t="shared" si="2"/>
        <v>GammaDistribution(1; 0.001)</v>
      </c>
      <c r="E11" s="6" t="str">
        <f t="shared" si="3"/>
        <v>GammaDistribution(1; 0.001)</v>
      </c>
      <c r="F11" s="6" t="str">
        <f t="shared" si="4"/>
        <v>GammaDistribution(1; 0.001)</v>
      </c>
      <c r="G11" s="6" t="str">
        <f t="shared" si="5"/>
        <v>GammaDistribution(1; 0.001)</v>
      </c>
      <c r="H11" s="6" t="str">
        <f t="shared" si="6"/>
        <v>GammaDistribution(1; 0.001)</v>
      </c>
      <c r="I11" s="6" t="str">
        <f t="shared" si="7"/>
        <v>GammaDistribution(1; 0.001)</v>
      </c>
      <c r="J11" s="6" t="str">
        <f t="shared" si="8"/>
        <v>GammaDistribution(1; 0.005)</v>
      </c>
      <c r="K11" s="6" t="str">
        <f t="shared" si="9"/>
        <v>GammaDistribution(82.987950057818; 1.09772228646444E-02)</v>
      </c>
      <c r="L11" s="6" t="str">
        <f t="shared" si="10"/>
        <v>GammaDistribution(1; 0.001)</v>
      </c>
      <c r="M11" s="6" t="str">
        <f t="shared" si="11"/>
        <v>GammaDistribution(1; 0.001)</v>
      </c>
      <c r="N11" s="6" t="str">
        <f t="shared" si="12"/>
        <v>GammaDistribution(1; 0.001)</v>
      </c>
      <c r="O11" s="6" t="str">
        <f t="shared" si="13"/>
        <v>GammaDistribution(1; 0.001)</v>
      </c>
      <c r="P11" s="6" t="str">
        <f t="shared" si="14"/>
        <v>GammaDistribution(1; 0.001)</v>
      </c>
      <c r="Q11" s="6" t="str">
        <f t="shared" si="15"/>
        <v>GammaDistribution(2; 0.1)</v>
      </c>
      <c r="S11">
        <v>1</v>
      </c>
      <c r="T11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>
        <f>(AS11+0.9)/AS11</f>
        <v>82.987950057818011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2</v>
      </c>
      <c r="AJ11">
        <v>1E-3</v>
      </c>
      <c r="AK11">
        <v>1E-3</v>
      </c>
      <c r="AL11">
        <v>1E-3</v>
      </c>
      <c r="AM11">
        <v>1E-3</v>
      </c>
      <c r="AN11">
        <v>1E-3</v>
      </c>
      <c r="AO11">
        <v>1E-3</v>
      </c>
      <c r="AP11">
        <v>1E-3</v>
      </c>
      <c r="AQ11">
        <v>1E-3</v>
      </c>
      <c r="AR11">
        <v>5.0000000000000001E-3</v>
      </c>
      <c r="AS11">
        <f>(-0.9+SQRT(0.9*0.9+0.04))/2</f>
        <v>1.0977222864644365E-2</v>
      </c>
      <c r="AT11">
        <v>1E-3</v>
      </c>
      <c r="AU11">
        <v>1E-3</v>
      </c>
      <c r="AV11">
        <v>1E-3</v>
      </c>
      <c r="AW11">
        <v>1E-3</v>
      </c>
      <c r="AX11">
        <v>1E-3</v>
      </c>
      <c r="AY11">
        <v>0.1</v>
      </c>
      <c r="BA11">
        <f t="shared" si="57"/>
        <v>1E-3</v>
      </c>
      <c r="BB11">
        <f t="shared" si="16"/>
        <v>1E-3</v>
      </c>
      <c r="BC11">
        <f t="shared" si="17"/>
        <v>1E-3</v>
      </c>
      <c r="BD11">
        <f t="shared" si="18"/>
        <v>1E-3</v>
      </c>
      <c r="BE11">
        <f t="shared" si="19"/>
        <v>1E-3</v>
      </c>
      <c r="BF11">
        <f t="shared" si="20"/>
        <v>1E-3</v>
      </c>
      <c r="BG11">
        <f t="shared" si="21"/>
        <v>1E-3</v>
      </c>
      <c r="BH11">
        <f t="shared" si="22"/>
        <v>1E-3</v>
      </c>
      <c r="BI11">
        <f t="shared" si="23"/>
        <v>5.0000000000000001E-3</v>
      </c>
      <c r="BJ11">
        <f t="shared" si="24"/>
        <v>0.91097722286464455</v>
      </c>
      <c r="BK11">
        <f t="shared" si="25"/>
        <v>1E-3</v>
      </c>
      <c r="BL11">
        <f t="shared" si="26"/>
        <v>1E-3</v>
      </c>
      <c r="BM11">
        <f t="shared" si="26"/>
        <v>1E-3</v>
      </c>
      <c r="BN11">
        <f t="shared" si="26"/>
        <v>1E-3</v>
      </c>
      <c r="BO11">
        <f t="shared" si="26"/>
        <v>1E-3</v>
      </c>
      <c r="BP11">
        <f t="shared" si="26"/>
        <v>0.2</v>
      </c>
      <c r="BR11">
        <f t="shared" si="58"/>
        <v>0</v>
      </c>
      <c r="BS11">
        <f t="shared" si="27"/>
        <v>0</v>
      </c>
      <c r="BT11">
        <f t="shared" si="28"/>
        <v>0</v>
      </c>
      <c r="BU11">
        <f t="shared" si="29"/>
        <v>0</v>
      </c>
      <c r="BV11">
        <f t="shared" si="30"/>
        <v>0</v>
      </c>
      <c r="BW11">
        <f t="shared" si="31"/>
        <v>0</v>
      </c>
      <c r="BX11">
        <f t="shared" si="32"/>
        <v>0</v>
      </c>
      <c r="BY11">
        <f t="shared" si="33"/>
        <v>0</v>
      </c>
      <c r="BZ11">
        <f t="shared" si="34"/>
        <v>0</v>
      </c>
      <c r="CA11">
        <f t="shared" si="35"/>
        <v>0.90000000000000013</v>
      </c>
      <c r="CB11">
        <f t="shared" si="36"/>
        <v>0</v>
      </c>
      <c r="CC11">
        <f t="shared" si="37"/>
        <v>0</v>
      </c>
      <c r="CD11">
        <f t="shared" si="38"/>
        <v>0</v>
      </c>
      <c r="CE11">
        <f t="shared" si="39"/>
        <v>0</v>
      </c>
      <c r="CF11">
        <f t="shared" si="40"/>
        <v>0</v>
      </c>
      <c r="CG11">
        <f t="shared" si="41"/>
        <v>0.1</v>
      </c>
      <c r="CI11">
        <f t="shared" si="59"/>
        <v>1E-3</v>
      </c>
      <c r="CJ11">
        <f t="shared" si="42"/>
        <v>1E-3</v>
      </c>
      <c r="CK11">
        <f t="shared" si="43"/>
        <v>1E-3</v>
      </c>
      <c r="CL11">
        <f t="shared" si="44"/>
        <v>1E-3</v>
      </c>
      <c r="CM11">
        <f t="shared" si="45"/>
        <v>1E-3</v>
      </c>
      <c r="CN11">
        <f t="shared" si="46"/>
        <v>1E-3</v>
      </c>
      <c r="CO11">
        <f t="shared" si="47"/>
        <v>1E-3</v>
      </c>
      <c r="CP11">
        <f t="shared" si="48"/>
        <v>1E-3</v>
      </c>
      <c r="CQ11">
        <f t="shared" si="49"/>
        <v>5.0000000000000001E-3</v>
      </c>
      <c r="CR11">
        <f t="shared" si="50"/>
        <v>0.1</v>
      </c>
      <c r="CS11">
        <f t="shared" si="51"/>
        <v>1E-3</v>
      </c>
      <c r="CT11">
        <f t="shared" si="52"/>
        <v>1E-3</v>
      </c>
      <c r="CU11">
        <f t="shared" si="53"/>
        <v>1E-3</v>
      </c>
      <c r="CV11">
        <f t="shared" si="54"/>
        <v>1E-3</v>
      </c>
      <c r="CW11">
        <f t="shared" si="55"/>
        <v>1E-3</v>
      </c>
      <c r="CX11">
        <f t="shared" si="56"/>
        <v>0.14142135623730953</v>
      </c>
    </row>
    <row r="12" spans="1:102">
      <c r="A12" s="1" t="s">
        <v>14</v>
      </c>
      <c r="B12" s="6" t="str">
        <f t="shared" si="0"/>
        <v>GammaDistribution(1; 0.001)</v>
      </c>
      <c r="C12" s="6" t="str">
        <f t="shared" si="1"/>
        <v>GammaDistribution(1; 0.001)</v>
      </c>
      <c r="D12" s="6" t="str">
        <f t="shared" si="2"/>
        <v>GammaDistribution(1; 0.001)</v>
      </c>
      <c r="E12" s="6" t="str">
        <f t="shared" si="3"/>
        <v>GammaDistribution(1; 0.001)</v>
      </c>
      <c r="F12" s="6" t="str">
        <f t="shared" si="4"/>
        <v>GammaDistribution(1; 0.001)</v>
      </c>
      <c r="G12" s="6" t="str">
        <f t="shared" si="5"/>
        <v>GammaDistribution(1; 0.001)</v>
      </c>
      <c r="H12" s="6" t="str">
        <f t="shared" si="6"/>
        <v>GammaDistribution(1; 0.001)</v>
      </c>
      <c r="I12" s="6" t="str">
        <f t="shared" si="7"/>
        <v>GammaDistribution(1; 0.001)</v>
      </c>
      <c r="J12" s="6" t="str">
        <f t="shared" si="8"/>
        <v>GammaDistribution(1; 0.001)</v>
      </c>
      <c r="K12" s="6" t="str">
        <f t="shared" si="9"/>
        <v>GammaDistribution(1; 0.001)</v>
      </c>
      <c r="L12" s="6" t="str">
        <f t="shared" si="10"/>
        <v>GammaDistribution(82.987950057818; 1.09772228646444E-02)</v>
      </c>
      <c r="M12" s="6" t="str">
        <f t="shared" si="11"/>
        <v>GammaDistribution(1; 0.005)</v>
      </c>
      <c r="N12" s="6" t="str">
        <f t="shared" si="12"/>
        <v>GammaDistribution(1; 0.001)</v>
      </c>
      <c r="O12" s="6" t="str">
        <f t="shared" si="13"/>
        <v>GammaDistribution(1; 0.001)</v>
      </c>
      <c r="P12" s="6" t="str">
        <f t="shared" si="14"/>
        <v>GammaDistribution(1; 0.001)</v>
      </c>
      <c r="Q12" s="6" t="str">
        <f t="shared" si="15"/>
        <v>GammaDistribution(2; 0.1)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f>(AT12+0.9)/AT12</f>
        <v>82.987950057818011</v>
      </c>
      <c r="AD12">
        <v>1</v>
      </c>
      <c r="AE12">
        <v>1</v>
      </c>
      <c r="AF12">
        <v>1</v>
      </c>
      <c r="AG12">
        <v>1</v>
      </c>
      <c r="AH12">
        <v>2</v>
      </c>
      <c r="AJ12">
        <v>1E-3</v>
      </c>
      <c r="AK12">
        <v>1E-3</v>
      </c>
      <c r="AL12">
        <v>1E-3</v>
      </c>
      <c r="AM12">
        <v>1E-3</v>
      </c>
      <c r="AN12">
        <v>1E-3</v>
      </c>
      <c r="AO12">
        <v>1E-3</v>
      </c>
      <c r="AP12">
        <v>1E-3</v>
      </c>
      <c r="AQ12">
        <v>1E-3</v>
      </c>
      <c r="AR12">
        <v>1E-3</v>
      </c>
      <c r="AS12">
        <v>1E-3</v>
      </c>
      <c r="AT12">
        <f>(-0.9+SQRT(0.9*0.9+0.04))/2</f>
        <v>1.0977222864644365E-2</v>
      </c>
      <c r="AU12">
        <v>5.0000000000000001E-3</v>
      </c>
      <c r="AV12">
        <v>1E-3</v>
      </c>
      <c r="AW12">
        <v>1E-3</v>
      </c>
      <c r="AX12">
        <v>1E-3</v>
      </c>
      <c r="AY12">
        <v>0.1</v>
      </c>
      <c r="BA12">
        <f t="shared" si="57"/>
        <v>1E-3</v>
      </c>
      <c r="BB12">
        <f t="shared" si="16"/>
        <v>1E-3</v>
      </c>
      <c r="BC12">
        <f t="shared" si="17"/>
        <v>1E-3</v>
      </c>
      <c r="BD12">
        <f t="shared" si="18"/>
        <v>1E-3</v>
      </c>
      <c r="BE12">
        <f t="shared" si="19"/>
        <v>1E-3</v>
      </c>
      <c r="BF12">
        <f t="shared" si="20"/>
        <v>1E-3</v>
      </c>
      <c r="BG12">
        <f t="shared" si="21"/>
        <v>1E-3</v>
      </c>
      <c r="BH12">
        <f t="shared" si="22"/>
        <v>1E-3</v>
      </c>
      <c r="BI12">
        <f t="shared" si="23"/>
        <v>1E-3</v>
      </c>
      <c r="BJ12">
        <f t="shared" si="24"/>
        <v>1E-3</v>
      </c>
      <c r="BK12">
        <f t="shared" si="25"/>
        <v>0.91097722286464455</v>
      </c>
      <c r="BL12">
        <f t="shared" si="26"/>
        <v>5.0000000000000001E-3</v>
      </c>
      <c r="BM12">
        <f t="shared" si="26"/>
        <v>1E-3</v>
      </c>
      <c r="BN12">
        <f t="shared" si="26"/>
        <v>1E-3</v>
      </c>
      <c r="BO12">
        <f t="shared" si="26"/>
        <v>1E-3</v>
      </c>
      <c r="BP12">
        <f t="shared" si="26"/>
        <v>0.2</v>
      </c>
      <c r="BR12">
        <f t="shared" si="58"/>
        <v>0</v>
      </c>
      <c r="BS12">
        <f t="shared" si="27"/>
        <v>0</v>
      </c>
      <c r="BT12">
        <f t="shared" si="28"/>
        <v>0</v>
      </c>
      <c r="BU12">
        <f t="shared" si="29"/>
        <v>0</v>
      </c>
      <c r="BV12">
        <f t="shared" si="30"/>
        <v>0</v>
      </c>
      <c r="BW12">
        <f t="shared" si="31"/>
        <v>0</v>
      </c>
      <c r="BX12">
        <f t="shared" si="32"/>
        <v>0</v>
      </c>
      <c r="BY12">
        <f t="shared" si="33"/>
        <v>0</v>
      </c>
      <c r="BZ12">
        <f t="shared" si="34"/>
        <v>0</v>
      </c>
      <c r="CA12">
        <f t="shared" si="35"/>
        <v>0</v>
      </c>
      <c r="CB12">
        <f t="shared" si="36"/>
        <v>0.90000000000000013</v>
      </c>
      <c r="CC12">
        <f t="shared" si="37"/>
        <v>0</v>
      </c>
      <c r="CD12">
        <f t="shared" si="38"/>
        <v>0</v>
      </c>
      <c r="CE12">
        <f t="shared" si="39"/>
        <v>0</v>
      </c>
      <c r="CF12">
        <f t="shared" si="40"/>
        <v>0</v>
      </c>
      <c r="CG12">
        <f t="shared" si="41"/>
        <v>0.1</v>
      </c>
      <c r="CI12">
        <f t="shared" si="59"/>
        <v>1E-3</v>
      </c>
      <c r="CJ12">
        <f t="shared" si="42"/>
        <v>1E-3</v>
      </c>
      <c r="CK12">
        <f t="shared" si="43"/>
        <v>1E-3</v>
      </c>
      <c r="CL12">
        <f t="shared" si="44"/>
        <v>1E-3</v>
      </c>
      <c r="CM12">
        <f t="shared" si="45"/>
        <v>1E-3</v>
      </c>
      <c r="CN12">
        <f t="shared" si="46"/>
        <v>1E-3</v>
      </c>
      <c r="CO12">
        <f t="shared" si="47"/>
        <v>1E-3</v>
      </c>
      <c r="CP12">
        <f t="shared" si="48"/>
        <v>1E-3</v>
      </c>
      <c r="CQ12">
        <f t="shared" si="49"/>
        <v>1E-3</v>
      </c>
      <c r="CR12">
        <f t="shared" si="50"/>
        <v>1E-3</v>
      </c>
      <c r="CS12">
        <f t="shared" si="51"/>
        <v>0.1</v>
      </c>
      <c r="CT12">
        <f t="shared" si="52"/>
        <v>5.0000000000000001E-3</v>
      </c>
      <c r="CU12">
        <f t="shared" si="53"/>
        <v>1E-3</v>
      </c>
      <c r="CV12">
        <f t="shared" si="54"/>
        <v>1E-3</v>
      </c>
      <c r="CW12">
        <f t="shared" si="55"/>
        <v>1E-3</v>
      </c>
      <c r="CX12">
        <f t="shared" si="56"/>
        <v>0.14142135623730953</v>
      </c>
    </row>
    <row r="13" spans="1:102">
      <c r="A13" s="1" t="s">
        <v>15</v>
      </c>
      <c r="B13" s="6" t="str">
        <f t="shared" si="0"/>
        <v>GammaDistribution(1; 0.001)</v>
      </c>
      <c r="C13" s="6" t="str">
        <f t="shared" si="1"/>
        <v>GammaDistribution(1; 0.001)</v>
      </c>
      <c r="D13" s="6" t="str">
        <f t="shared" si="2"/>
        <v>GammaDistribution(1; 0.001)</v>
      </c>
      <c r="E13" s="6" t="str">
        <f t="shared" si="3"/>
        <v>GammaDistribution(1; 0.001)</v>
      </c>
      <c r="F13" s="6" t="str">
        <f t="shared" si="4"/>
        <v>GammaDistribution(1; 0.001)</v>
      </c>
      <c r="G13" s="6" t="str">
        <f t="shared" si="5"/>
        <v>GammaDistribution(1; 0.001)</v>
      </c>
      <c r="H13" s="6" t="str">
        <f t="shared" si="6"/>
        <v>GammaDistribution(1; 0.001)</v>
      </c>
      <c r="I13" s="6" t="str">
        <f t="shared" si="7"/>
        <v>GammaDistribution(1; 0.001)</v>
      </c>
      <c r="J13" s="6" t="str">
        <f t="shared" si="8"/>
        <v>GammaDistribution(1; 0.001)</v>
      </c>
      <c r="K13" s="6" t="str">
        <f t="shared" si="9"/>
        <v>GammaDistribution(1; 0.001)</v>
      </c>
      <c r="L13" s="6" t="str">
        <f t="shared" si="10"/>
        <v>GammaDistribution(1; 0.005)</v>
      </c>
      <c r="M13" s="6" t="str">
        <f t="shared" si="11"/>
        <v>GammaDistribution(82.987950057818; 1.09772228646444E-02)</v>
      </c>
      <c r="N13" s="6" t="str">
        <f t="shared" si="12"/>
        <v>GammaDistribution(1; 0.005)</v>
      </c>
      <c r="O13" s="6" t="str">
        <f t="shared" si="13"/>
        <v>GammaDistribution(1; 0.001)</v>
      </c>
      <c r="P13" s="6" t="str">
        <f t="shared" si="14"/>
        <v>GammaDistribution(1; 0.001)</v>
      </c>
      <c r="Q13" s="6" t="str">
        <f t="shared" si="15"/>
        <v>GammaDistribution(2; 0.1)</v>
      </c>
      <c r="S13">
        <v>1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f>(AU13+0.9)/AU13</f>
        <v>82.987950057818011</v>
      </c>
      <c r="AE13">
        <v>1</v>
      </c>
      <c r="AF13">
        <v>1</v>
      </c>
      <c r="AG13">
        <v>1</v>
      </c>
      <c r="AH13">
        <v>2</v>
      </c>
      <c r="AJ13">
        <v>1E-3</v>
      </c>
      <c r="AK13">
        <v>1E-3</v>
      </c>
      <c r="AL13">
        <v>1E-3</v>
      </c>
      <c r="AM13">
        <v>1E-3</v>
      </c>
      <c r="AN13">
        <v>1E-3</v>
      </c>
      <c r="AO13">
        <v>1E-3</v>
      </c>
      <c r="AP13">
        <v>1E-3</v>
      </c>
      <c r="AQ13">
        <v>1E-3</v>
      </c>
      <c r="AR13">
        <v>1E-3</v>
      </c>
      <c r="AS13">
        <v>1E-3</v>
      </c>
      <c r="AT13">
        <v>5.0000000000000001E-3</v>
      </c>
      <c r="AU13">
        <f>(-0.9+SQRT(0.9*0.9+0.04))/2</f>
        <v>1.0977222864644365E-2</v>
      </c>
      <c r="AV13">
        <v>5.0000000000000001E-3</v>
      </c>
      <c r="AW13">
        <v>1E-3</v>
      </c>
      <c r="AX13">
        <v>1E-3</v>
      </c>
      <c r="AY13">
        <v>0.1</v>
      </c>
      <c r="BA13">
        <f t="shared" si="57"/>
        <v>1E-3</v>
      </c>
      <c r="BB13">
        <f t="shared" si="16"/>
        <v>1E-3</v>
      </c>
      <c r="BC13">
        <f t="shared" si="17"/>
        <v>1E-3</v>
      </c>
      <c r="BD13">
        <f t="shared" si="18"/>
        <v>1E-3</v>
      </c>
      <c r="BE13">
        <f t="shared" si="19"/>
        <v>1E-3</v>
      </c>
      <c r="BF13">
        <f t="shared" si="20"/>
        <v>1E-3</v>
      </c>
      <c r="BG13">
        <f t="shared" si="21"/>
        <v>1E-3</v>
      </c>
      <c r="BH13">
        <f t="shared" si="22"/>
        <v>1E-3</v>
      </c>
      <c r="BI13">
        <f t="shared" si="23"/>
        <v>1E-3</v>
      </c>
      <c r="BJ13">
        <f t="shared" si="24"/>
        <v>1E-3</v>
      </c>
      <c r="BK13">
        <f t="shared" si="25"/>
        <v>5.0000000000000001E-3</v>
      </c>
      <c r="BL13">
        <f t="shared" si="26"/>
        <v>0.91097722286464455</v>
      </c>
      <c r="BM13">
        <f t="shared" si="26"/>
        <v>5.0000000000000001E-3</v>
      </c>
      <c r="BN13">
        <f t="shared" si="26"/>
        <v>1E-3</v>
      </c>
      <c r="BO13">
        <f t="shared" si="26"/>
        <v>1E-3</v>
      </c>
      <c r="BP13">
        <f t="shared" si="26"/>
        <v>0.2</v>
      </c>
      <c r="BR13">
        <f t="shared" si="58"/>
        <v>0</v>
      </c>
      <c r="BS13">
        <f t="shared" si="27"/>
        <v>0</v>
      </c>
      <c r="BT13">
        <f t="shared" si="28"/>
        <v>0</v>
      </c>
      <c r="BU13">
        <f t="shared" si="29"/>
        <v>0</v>
      </c>
      <c r="BV13">
        <f t="shared" si="30"/>
        <v>0</v>
      </c>
      <c r="BW13">
        <f t="shared" si="31"/>
        <v>0</v>
      </c>
      <c r="BX13">
        <f t="shared" si="32"/>
        <v>0</v>
      </c>
      <c r="BY13">
        <f t="shared" si="33"/>
        <v>0</v>
      </c>
      <c r="BZ13">
        <f t="shared" si="34"/>
        <v>0</v>
      </c>
      <c r="CA13">
        <f t="shared" si="35"/>
        <v>0</v>
      </c>
      <c r="CB13">
        <f t="shared" si="36"/>
        <v>0</v>
      </c>
      <c r="CC13">
        <f t="shared" si="37"/>
        <v>0.90000000000000013</v>
      </c>
      <c r="CD13">
        <f t="shared" si="38"/>
        <v>0</v>
      </c>
      <c r="CE13">
        <f t="shared" si="39"/>
        <v>0</v>
      </c>
      <c r="CF13">
        <f t="shared" si="40"/>
        <v>0</v>
      </c>
      <c r="CG13">
        <f t="shared" si="41"/>
        <v>0.1</v>
      </c>
      <c r="CI13">
        <f t="shared" si="59"/>
        <v>1E-3</v>
      </c>
      <c r="CJ13">
        <f t="shared" si="42"/>
        <v>1E-3</v>
      </c>
      <c r="CK13">
        <f t="shared" si="43"/>
        <v>1E-3</v>
      </c>
      <c r="CL13">
        <f t="shared" si="44"/>
        <v>1E-3</v>
      </c>
      <c r="CM13">
        <f t="shared" si="45"/>
        <v>1E-3</v>
      </c>
      <c r="CN13">
        <f t="shared" si="46"/>
        <v>1E-3</v>
      </c>
      <c r="CO13">
        <f t="shared" si="47"/>
        <v>1E-3</v>
      </c>
      <c r="CP13">
        <f t="shared" si="48"/>
        <v>1E-3</v>
      </c>
      <c r="CQ13">
        <f t="shared" si="49"/>
        <v>1E-3</v>
      </c>
      <c r="CR13">
        <f t="shared" si="50"/>
        <v>1E-3</v>
      </c>
      <c r="CS13">
        <f t="shared" si="51"/>
        <v>5.0000000000000001E-3</v>
      </c>
      <c r="CT13">
        <f t="shared" si="52"/>
        <v>0.1</v>
      </c>
      <c r="CU13">
        <f t="shared" si="53"/>
        <v>5.0000000000000001E-3</v>
      </c>
      <c r="CV13">
        <f t="shared" si="54"/>
        <v>1E-3</v>
      </c>
      <c r="CW13">
        <f t="shared" si="55"/>
        <v>1E-3</v>
      </c>
      <c r="CX13">
        <f t="shared" si="56"/>
        <v>0.14142135623730953</v>
      </c>
    </row>
    <row r="14" spans="1:102">
      <c r="A14" s="1" t="s">
        <v>16</v>
      </c>
      <c r="B14" s="6" t="str">
        <f t="shared" si="0"/>
        <v>GammaDistribution(1; 0.001)</v>
      </c>
      <c r="C14" s="6" t="str">
        <f t="shared" si="1"/>
        <v>GammaDistribution(1; 0.001)</v>
      </c>
      <c r="D14" s="6" t="str">
        <f t="shared" si="2"/>
        <v>GammaDistribution(1; 0.001)</v>
      </c>
      <c r="E14" s="6" t="str">
        <f t="shared" si="3"/>
        <v>GammaDistribution(1; 0.001)</v>
      </c>
      <c r="F14" s="6" t="str">
        <f t="shared" si="4"/>
        <v>GammaDistribution(1; 0.001)</v>
      </c>
      <c r="G14" s="6" t="str">
        <f t="shared" si="5"/>
        <v>GammaDistribution(1; 0.001)</v>
      </c>
      <c r="H14" s="6" t="str">
        <f t="shared" si="6"/>
        <v>GammaDistribution(1; 0.001)</v>
      </c>
      <c r="I14" s="6" t="str">
        <f t="shared" si="7"/>
        <v>GammaDistribution(1; 0.001)</v>
      </c>
      <c r="J14" s="6" t="str">
        <f t="shared" si="8"/>
        <v>GammaDistribution(1; 0.001)</v>
      </c>
      <c r="K14" s="6" t="str">
        <f t="shared" si="9"/>
        <v>GammaDistribution(1; 0.001)</v>
      </c>
      <c r="L14" s="6" t="str">
        <f t="shared" si="10"/>
        <v>GammaDistribution(1; 0.001)</v>
      </c>
      <c r="M14" s="6" t="str">
        <f t="shared" si="11"/>
        <v>GammaDistribution(1; 0.001)</v>
      </c>
      <c r="N14" s="6" t="str">
        <f t="shared" si="12"/>
        <v>GammaDistribution(82.987950057818; 1.09772228646444E-02)</v>
      </c>
      <c r="O14" s="6" t="str">
        <f t="shared" si="13"/>
        <v>GammaDistribution(1; 0.001)</v>
      </c>
      <c r="P14" s="6" t="str">
        <f t="shared" si="14"/>
        <v>GammaDistribution(1; 0.001)</v>
      </c>
      <c r="Q14" s="6" t="str">
        <f t="shared" si="15"/>
        <v>GammaDistribution(1; 0.001)</v>
      </c>
      <c r="S14">
        <v>1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f>(AV14+0.9)/AV14</f>
        <v>82.987950057818011</v>
      </c>
      <c r="AF14">
        <v>1</v>
      </c>
      <c r="AG14">
        <v>1</v>
      </c>
      <c r="AH14">
        <v>1</v>
      </c>
      <c r="AJ14">
        <v>1E-3</v>
      </c>
      <c r="AK14">
        <v>1E-3</v>
      </c>
      <c r="AL14">
        <v>1E-3</v>
      </c>
      <c r="AM14">
        <v>1E-3</v>
      </c>
      <c r="AN14">
        <v>1E-3</v>
      </c>
      <c r="AO14">
        <v>1E-3</v>
      </c>
      <c r="AP14">
        <v>1E-3</v>
      </c>
      <c r="AQ14">
        <v>1E-3</v>
      </c>
      <c r="AR14">
        <v>1E-3</v>
      </c>
      <c r="AS14">
        <v>1E-3</v>
      </c>
      <c r="AT14">
        <v>1E-3</v>
      </c>
      <c r="AU14">
        <v>1E-3</v>
      </c>
      <c r="AV14">
        <f>(-0.9+SQRT(0.9*0.9+0.04))/2</f>
        <v>1.0977222864644365E-2</v>
      </c>
      <c r="AW14">
        <v>1E-3</v>
      </c>
      <c r="AX14">
        <v>1E-3</v>
      </c>
      <c r="AY14">
        <v>1E-3</v>
      </c>
      <c r="BA14">
        <f t="shared" si="57"/>
        <v>1E-3</v>
      </c>
      <c r="BB14">
        <f t="shared" si="16"/>
        <v>1E-3</v>
      </c>
      <c r="BC14">
        <f t="shared" si="17"/>
        <v>1E-3</v>
      </c>
      <c r="BD14">
        <f t="shared" si="18"/>
        <v>1E-3</v>
      </c>
      <c r="BE14">
        <f t="shared" si="19"/>
        <v>1E-3</v>
      </c>
      <c r="BF14">
        <f t="shared" si="20"/>
        <v>1E-3</v>
      </c>
      <c r="BG14">
        <f t="shared" si="21"/>
        <v>1E-3</v>
      </c>
      <c r="BH14">
        <f t="shared" si="22"/>
        <v>1E-3</v>
      </c>
      <c r="BI14">
        <f t="shared" si="23"/>
        <v>1E-3</v>
      </c>
      <c r="BJ14">
        <f t="shared" si="24"/>
        <v>1E-3</v>
      </c>
      <c r="BK14">
        <f t="shared" si="25"/>
        <v>1E-3</v>
      </c>
      <c r="BL14">
        <f t="shared" si="26"/>
        <v>1E-3</v>
      </c>
      <c r="BM14">
        <f t="shared" si="26"/>
        <v>0.91097722286464455</v>
      </c>
      <c r="BN14">
        <f t="shared" si="26"/>
        <v>1E-3</v>
      </c>
      <c r="BO14">
        <f t="shared" si="26"/>
        <v>1E-3</v>
      </c>
      <c r="BP14">
        <f t="shared" si="26"/>
        <v>1E-3</v>
      </c>
      <c r="BR14">
        <f t="shared" si="58"/>
        <v>0</v>
      </c>
      <c r="BS14">
        <f t="shared" si="27"/>
        <v>0</v>
      </c>
      <c r="BT14">
        <f t="shared" si="28"/>
        <v>0</v>
      </c>
      <c r="BU14">
        <f t="shared" si="29"/>
        <v>0</v>
      </c>
      <c r="BV14">
        <f t="shared" si="30"/>
        <v>0</v>
      </c>
      <c r="BW14">
        <f t="shared" si="31"/>
        <v>0</v>
      </c>
      <c r="BX14">
        <f t="shared" si="32"/>
        <v>0</v>
      </c>
      <c r="BY14">
        <f t="shared" si="33"/>
        <v>0</v>
      </c>
      <c r="BZ14">
        <f t="shared" si="34"/>
        <v>0</v>
      </c>
      <c r="CA14">
        <f t="shared" si="35"/>
        <v>0</v>
      </c>
      <c r="CB14">
        <f t="shared" si="36"/>
        <v>0</v>
      </c>
      <c r="CC14">
        <f t="shared" si="37"/>
        <v>0</v>
      </c>
      <c r="CD14">
        <f t="shared" si="38"/>
        <v>0.90000000000000013</v>
      </c>
      <c r="CE14">
        <f t="shared" si="39"/>
        <v>0</v>
      </c>
      <c r="CF14">
        <f t="shared" si="40"/>
        <v>0</v>
      </c>
      <c r="CG14">
        <f t="shared" si="41"/>
        <v>0</v>
      </c>
      <c r="CI14">
        <f t="shared" si="59"/>
        <v>1E-3</v>
      </c>
      <c r="CJ14">
        <f t="shared" si="42"/>
        <v>1E-3</v>
      </c>
      <c r="CK14">
        <f t="shared" si="43"/>
        <v>1E-3</v>
      </c>
      <c r="CL14">
        <f t="shared" si="44"/>
        <v>1E-3</v>
      </c>
      <c r="CM14">
        <f t="shared" si="45"/>
        <v>1E-3</v>
      </c>
      <c r="CN14">
        <f t="shared" si="46"/>
        <v>1E-3</v>
      </c>
      <c r="CO14">
        <f t="shared" si="47"/>
        <v>1E-3</v>
      </c>
      <c r="CP14">
        <f t="shared" si="48"/>
        <v>1E-3</v>
      </c>
      <c r="CQ14">
        <f t="shared" si="49"/>
        <v>1E-3</v>
      </c>
      <c r="CR14">
        <f t="shared" si="50"/>
        <v>1E-3</v>
      </c>
      <c r="CS14">
        <f t="shared" si="51"/>
        <v>1E-3</v>
      </c>
      <c r="CT14">
        <f t="shared" si="52"/>
        <v>1E-3</v>
      </c>
      <c r="CU14">
        <f t="shared" si="53"/>
        <v>0.1</v>
      </c>
      <c r="CV14">
        <f t="shared" si="54"/>
        <v>1E-3</v>
      </c>
      <c r="CW14">
        <f t="shared" si="55"/>
        <v>1E-3</v>
      </c>
      <c r="CX14">
        <f t="shared" si="56"/>
        <v>1E-3</v>
      </c>
    </row>
    <row r="15" spans="1:102">
      <c r="A15" s="1" t="s">
        <v>17</v>
      </c>
      <c r="B15" s="6" t="str">
        <f t="shared" si="0"/>
        <v>GammaDistribution(1; 0.001)</v>
      </c>
      <c r="C15" s="6" t="str">
        <f t="shared" si="1"/>
        <v>GammaDistribution(1; 0.001)</v>
      </c>
      <c r="D15" s="6" t="str">
        <f t="shared" si="2"/>
        <v>GammaDistribution(1; 0.001)</v>
      </c>
      <c r="E15" s="6" t="str">
        <f t="shared" si="3"/>
        <v>GammaDistribution(1; 0.001)</v>
      </c>
      <c r="F15" s="6" t="str">
        <f t="shared" si="4"/>
        <v>GammaDistribution(1; 0.001)</v>
      </c>
      <c r="G15" s="6" t="str">
        <f t="shared" si="5"/>
        <v>GammaDistribution(1; 0.001)</v>
      </c>
      <c r="H15" s="6" t="str">
        <f t="shared" si="6"/>
        <v>GammaDistribution(1; 0.001)</v>
      </c>
      <c r="I15" s="6" t="str">
        <f t="shared" si="7"/>
        <v>GammaDistribution(1; 0.001)</v>
      </c>
      <c r="J15" s="6" t="str">
        <f t="shared" si="8"/>
        <v>GammaDistribution(1; 0.001)</v>
      </c>
      <c r="K15" s="6" t="str">
        <f t="shared" si="9"/>
        <v>GammaDistribution(1; 0.001)</v>
      </c>
      <c r="L15" s="6" t="str">
        <f t="shared" si="10"/>
        <v>GammaDistribution(1; 0.001)</v>
      </c>
      <c r="M15" s="6" t="str">
        <f t="shared" si="11"/>
        <v>GammaDistribution(1; 0.001)</v>
      </c>
      <c r="N15" s="6" t="str">
        <f t="shared" si="12"/>
        <v>GammaDistribution(1; 0.001)</v>
      </c>
      <c r="O15" s="6" t="str">
        <f t="shared" si="13"/>
        <v>GammaDistribution(82.987950057818; 1.09772228646444E-02)</v>
      </c>
      <c r="P15" s="6" t="str">
        <f t="shared" si="14"/>
        <v>GammaDistribution(1; 0.005)</v>
      </c>
      <c r="Q15" s="6" t="str">
        <f t="shared" si="15"/>
        <v>GammaDistribution(1; 0.001)</v>
      </c>
      <c r="S15">
        <v>1</v>
      </c>
      <c r="T15">
        <v>1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f>(AW15+0.9)/AW15</f>
        <v>82.987950057818011</v>
      </c>
      <c r="AG15">
        <v>1</v>
      </c>
      <c r="AH15">
        <v>1</v>
      </c>
      <c r="AJ15">
        <v>1E-3</v>
      </c>
      <c r="AK15">
        <v>1E-3</v>
      </c>
      <c r="AL15">
        <v>1E-3</v>
      </c>
      <c r="AM15">
        <v>1E-3</v>
      </c>
      <c r="AN15">
        <v>1E-3</v>
      </c>
      <c r="AO15">
        <v>1E-3</v>
      </c>
      <c r="AP15">
        <v>1E-3</v>
      </c>
      <c r="AQ15">
        <v>1E-3</v>
      </c>
      <c r="AR15">
        <v>1E-3</v>
      </c>
      <c r="AS15">
        <v>1E-3</v>
      </c>
      <c r="AT15">
        <v>1E-3</v>
      </c>
      <c r="AU15">
        <v>1E-3</v>
      </c>
      <c r="AV15">
        <v>1E-3</v>
      </c>
      <c r="AW15">
        <f>(-0.9+SQRT(0.9*0.9+0.04))/2</f>
        <v>1.0977222864644365E-2</v>
      </c>
      <c r="AX15">
        <v>5.0000000000000001E-3</v>
      </c>
      <c r="AY15">
        <v>1E-3</v>
      </c>
      <c r="BA15">
        <f t="shared" si="57"/>
        <v>1E-3</v>
      </c>
      <c r="BB15">
        <f t="shared" si="16"/>
        <v>1E-3</v>
      </c>
      <c r="BC15">
        <f t="shared" si="17"/>
        <v>1E-3</v>
      </c>
      <c r="BD15">
        <f t="shared" si="18"/>
        <v>1E-3</v>
      </c>
      <c r="BE15">
        <f t="shared" si="19"/>
        <v>1E-3</v>
      </c>
      <c r="BF15">
        <f t="shared" si="20"/>
        <v>1E-3</v>
      </c>
      <c r="BG15">
        <f t="shared" si="21"/>
        <v>1E-3</v>
      </c>
      <c r="BH15">
        <f t="shared" si="22"/>
        <v>1E-3</v>
      </c>
      <c r="BI15">
        <f t="shared" si="23"/>
        <v>1E-3</v>
      </c>
      <c r="BJ15">
        <f t="shared" si="24"/>
        <v>1E-3</v>
      </c>
      <c r="BK15">
        <f t="shared" si="25"/>
        <v>1E-3</v>
      </c>
      <c r="BL15">
        <f t="shared" si="26"/>
        <v>1E-3</v>
      </c>
      <c r="BM15">
        <f t="shared" si="26"/>
        <v>1E-3</v>
      </c>
      <c r="BN15">
        <f t="shared" si="26"/>
        <v>0.91097722286464455</v>
      </c>
      <c r="BO15">
        <f t="shared" si="26"/>
        <v>5.0000000000000001E-3</v>
      </c>
      <c r="BP15">
        <f t="shared" si="26"/>
        <v>1E-3</v>
      </c>
      <c r="BR15">
        <f t="shared" si="58"/>
        <v>0</v>
      </c>
      <c r="BS15">
        <f t="shared" si="27"/>
        <v>0</v>
      </c>
      <c r="BT15">
        <f t="shared" si="28"/>
        <v>0</v>
      </c>
      <c r="BU15">
        <f t="shared" si="29"/>
        <v>0</v>
      </c>
      <c r="BV15">
        <f t="shared" si="30"/>
        <v>0</v>
      </c>
      <c r="BW15">
        <f t="shared" si="31"/>
        <v>0</v>
      </c>
      <c r="BX15">
        <f t="shared" si="32"/>
        <v>0</v>
      </c>
      <c r="BY15">
        <f t="shared" si="33"/>
        <v>0</v>
      </c>
      <c r="BZ15">
        <f t="shared" si="34"/>
        <v>0</v>
      </c>
      <c r="CA15">
        <f t="shared" si="35"/>
        <v>0</v>
      </c>
      <c r="CB15">
        <f t="shared" si="36"/>
        <v>0</v>
      </c>
      <c r="CC15">
        <f t="shared" si="37"/>
        <v>0</v>
      </c>
      <c r="CD15">
        <f t="shared" si="38"/>
        <v>0</v>
      </c>
      <c r="CE15">
        <f t="shared" si="39"/>
        <v>0.90000000000000013</v>
      </c>
      <c r="CF15">
        <f t="shared" si="40"/>
        <v>0</v>
      </c>
      <c r="CG15">
        <f t="shared" si="41"/>
        <v>0</v>
      </c>
      <c r="CI15">
        <f t="shared" si="59"/>
        <v>1E-3</v>
      </c>
      <c r="CJ15">
        <f t="shared" si="42"/>
        <v>1E-3</v>
      </c>
      <c r="CK15">
        <f t="shared" si="43"/>
        <v>1E-3</v>
      </c>
      <c r="CL15">
        <f t="shared" si="44"/>
        <v>1E-3</v>
      </c>
      <c r="CM15">
        <f t="shared" si="45"/>
        <v>1E-3</v>
      </c>
      <c r="CN15">
        <f t="shared" si="46"/>
        <v>1E-3</v>
      </c>
      <c r="CO15">
        <f t="shared" si="47"/>
        <v>1E-3</v>
      </c>
      <c r="CP15">
        <f t="shared" si="48"/>
        <v>1E-3</v>
      </c>
      <c r="CQ15">
        <f t="shared" si="49"/>
        <v>1E-3</v>
      </c>
      <c r="CR15">
        <f t="shared" si="50"/>
        <v>1E-3</v>
      </c>
      <c r="CS15">
        <f t="shared" si="51"/>
        <v>1E-3</v>
      </c>
      <c r="CT15">
        <f t="shared" si="52"/>
        <v>1E-3</v>
      </c>
      <c r="CU15">
        <f t="shared" si="53"/>
        <v>1E-3</v>
      </c>
      <c r="CV15">
        <f t="shared" si="54"/>
        <v>0.1</v>
      </c>
      <c r="CW15">
        <f t="shared" si="55"/>
        <v>5.0000000000000001E-3</v>
      </c>
      <c r="CX15">
        <f t="shared" si="56"/>
        <v>1E-3</v>
      </c>
    </row>
    <row r="16" spans="1:102">
      <c r="A16" s="1" t="s">
        <v>18</v>
      </c>
      <c r="B16" s="6" t="str">
        <f t="shared" si="0"/>
        <v>GammaDistribution(1; 0.001)</v>
      </c>
      <c r="C16" s="6" t="str">
        <f t="shared" si="1"/>
        <v>GammaDistribution(1; 0.001)</v>
      </c>
      <c r="D16" s="6" t="str">
        <f t="shared" si="2"/>
        <v>GammaDistribution(1; 0.001)</v>
      </c>
      <c r="E16" s="6" t="str">
        <f t="shared" si="3"/>
        <v>GammaDistribution(1; 0.001)</v>
      </c>
      <c r="F16" s="6" t="str">
        <f t="shared" si="4"/>
        <v>GammaDistribution(1; 0.001)</v>
      </c>
      <c r="G16" s="6" t="str">
        <f t="shared" si="5"/>
        <v>GammaDistribution(1; 0.001)</v>
      </c>
      <c r="H16" s="6" t="str">
        <f t="shared" si="6"/>
        <v>GammaDistribution(1; 0.001)</v>
      </c>
      <c r="I16" s="6" t="str">
        <f t="shared" si="7"/>
        <v>GammaDistribution(1; 0.001)</v>
      </c>
      <c r="J16" s="6" t="str">
        <f t="shared" si="8"/>
        <v>GammaDistribution(1; 0.001)</v>
      </c>
      <c r="K16" s="6" t="str">
        <f t="shared" si="9"/>
        <v>GammaDistribution(1; 0.001)</v>
      </c>
      <c r="L16" s="6" t="str">
        <f t="shared" si="10"/>
        <v>GammaDistribution(1; 0.001)</v>
      </c>
      <c r="M16" s="6" t="str">
        <f t="shared" si="11"/>
        <v>GammaDistribution(1; 0.001)</v>
      </c>
      <c r="N16" s="6" t="str">
        <f t="shared" si="12"/>
        <v>GammaDistribution(1; 0.001)</v>
      </c>
      <c r="O16" s="6" t="str">
        <f t="shared" si="13"/>
        <v>GammaDistribution(1; 0.001)</v>
      </c>
      <c r="P16" s="6" t="str">
        <f t="shared" si="14"/>
        <v>GammaDistribution(82.987950057818; 1.09772228646444E-02)</v>
      </c>
      <c r="Q16" s="6" t="str">
        <f t="shared" si="15"/>
        <v>GammaDistribution(1; 0.001)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f>(AX16+0.9)/AX16</f>
        <v>82.987950057818011</v>
      </c>
      <c r="AH16">
        <v>1</v>
      </c>
      <c r="AJ16">
        <v>1E-3</v>
      </c>
      <c r="AK16">
        <v>1E-3</v>
      </c>
      <c r="AL16">
        <v>1E-3</v>
      </c>
      <c r="AM16">
        <v>1E-3</v>
      </c>
      <c r="AN16">
        <v>1E-3</v>
      </c>
      <c r="AO16">
        <v>1E-3</v>
      </c>
      <c r="AP16">
        <v>1E-3</v>
      </c>
      <c r="AQ16">
        <v>1E-3</v>
      </c>
      <c r="AR16">
        <v>1E-3</v>
      </c>
      <c r="AS16">
        <v>1E-3</v>
      </c>
      <c r="AT16">
        <v>1E-3</v>
      </c>
      <c r="AU16">
        <v>1E-3</v>
      </c>
      <c r="AV16">
        <v>1E-3</v>
      </c>
      <c r="AW16">
        <v>1E-3</v>
      </c>
      <c r="AX16">
        <f>(-0.9+SQRT(0.9*0.9+0.04))/2</f>
        <v>1.0977222864644365E-2</v>
      </c>
      <c r="AY16">
        <v>1E-3</v>
      </c>
      <c r="BA16">
        <f t="shared" si="57"/>
        <v>1E-3</v>
      </c>
      <c r="BB16">
        <f t="shared" si="16"/>
        <v>1E-3</v>
      </c>
      <c r="BC16">
        <f t="shared" si="17"/>
        <v>1E-3</v>
      </c>
      <c r="BD16">
        <f t="shared" si="18"/>
        <v>1E-3</v>
      </c>
      <c r="BE16">
        <f t="shared" si="19"/>
        <v>1E-3</v>
      </c>
      <c r="BF16">
        <f t="shared" si="20"/>
        <v>1E-3</v>
      </c>
      <c r="BG16">
        <f t="shared" si="21"/>
        <v>1E-3</v>
      </c>
      <c r="BH16">
        <f t="shared" si="22"/>
        <v>1E-3</v>
      </c>
      <c r="BI16">
        <f t="shared" si="23"/>
        <v>1E-3</v>
      </c>
      <c r="BJ16">
        <f t="shared" si="24"/>
        <v>1E-3</v>
      </c>
      <c r="BK16">
        <f t="shared" si="25"/>
        <v>1E-3</v>
      </c>
      <c r="BL16">
        <f t="shared" si="26"/>
        <v>1E-3</v>
      </c>
      <c r="BM16">
        <f t="shared" si="26"/>
        <v>1E-3</v>
      </c>
      <c r="BN16">
        <f t="shared" si="26"/>
        <v>1E-3</v>
      </c>
      <c r="BO16">
        <f t="shared" si="26"/>
        <v>0.91097722286464455</v>
      </c>
      <c r="BP16">
        <f t="shared" si="26"/>
        <v>1E-3</v>
      </c>
      <c r="BR16">
        <f t="shared" si="58"/>
        <v>0</v>
      </c>
      <c r="BS16">
        <f t="shared" si="27"/>
        <v>0</v>
      </c>
      <c r="BT16">
        <f t="shared" si="28"/>
        <v>0</v>
      </c>
      <c r="BU16">
        <f t="shared" si="29"/>
        <v>0</v>
      </c>
      <c r="BV16">
        <f t="shared" si="30"/>
        <v>0</v>
      </c>
      <c r="BW16">
        <f t="shared" si="31"/>
        <v>0</v>
      </c>
      <c r="BX16">
        <f t="shared" si="32"/>
        <v>0</v>
      </c>
      <c r="BY16">
        <f t="shared" si="33"/>
        <v>0</v>
      </c>
      <c r="BZ16">
        <f t="shared" si="34"/>
        <v>0</v>
      </c>
      <c r="CA16">
        <f t="shared" si="35"/>
        <v>0</v>
      </c>
      <c r="CB16">
        <f t="shared" si="36"/>
        <v>0</v>
      </c>
      <c r="CC16">
        <f t="shared" si="37"/>
        <v>0</v>
      </c>
      <c r="CD16">
        <f t="shared" si="38"/>
        <v>0</v>
      </c>
      <c r="CE16">
        <f t="shared" si="39"/>
        <v>0</v>
      </c>
      <c r="CF16">
        <f t="shared" si="40"/>
        <v>0.90000000000000013</v>
      </c>
      <c r="CG16">
        <f t="shared" si="41"/>
        <v>0</v>
      </c>
      <c r="CI16">
        <f t="shared" si="59"/>
        <v>1E-3</v>
      </c>
      <c r="CJ16">
        <f t="shared" si="42"/>
        <v>1E-3</v>
      </c>
      <c r="CK16">
        <f t="shared" si="43"/>
        <v>1E-3</v>
      </c>
      <c r="CL16">
        <f t="shared" si="44"/>
        <v>1E-3</v>
      </c>
      <c r="CM16">
        <f t="shared" si="45"/>
        <v>1E-3</v>
      </c>
      <c r="CN16">
        <f t="shared" si="46"/>
        <v>1E-3</v>
      </c>
      <c r="CO16">
        <f t="shared" si="47"/>
        <v>1E-3</v>
      </c>
      <c r="CP16">
        <f t="shared" si="48"/>
        <v>1E-3</v>
      </c>
      <c r="CQ16">
        <f t="shared" si="49"/>
        <v>1E-3</v>
      </c>
      <c r="CR16">
        <f t="shared" si="50"/>
        <v>1E-3</v>
      </c>
      <c r="CS16">
        <f t="shared" si="51"/>
        <v>1E-3</v>
      </c>
      <c r="CT16">
        <f t="shared" si="52"/>
        <v>1E-3</v>
      </c>
      <c r="CU16">
        <f t="shared" si="53"/>
        <v>1E-3</v>
      </c>
      <c r="CV16">
        <f t="shared" si="54"/>
        <v>1E-3</v>
      </c>
      <c r="CW16">
        <f t="shared" si="55"/>
        <v>0.1</v>
      </c>
      <c r="CX16">
        <f t="shared" si="56"/>
        <v>1E-3</v>
      </c>
    </row>
    <row r="17" spans="1:102">
      <c r="A17" s="1" t="s">
        <v>19</v>
      </c>
      <c r="B17" s="6" t="str">
        <f t="shared" si="0"/>
        <v>GammaDistribution(1; 0.001)</v>
      </c>
      <c r="C17" s="6" t="str">
        <f t="shared" si="1"/>
        <v>GammaDistribution(1; 0.001)</v>
      </c>
      <c r="D17" s="6" t="str">
        <f t="shared" si="2"/>
        <v>GammaDistribution(1; 0.001)</v>
      </c>
      <c r="E17" s="6" t="str">
        <f t="shared" si="3"/>
        <v>GammaDistribution(1; 0.001)</v>
      </c>
      <c r="F17" s="6" t="str">
        <f t="shared" si="4"/>
        <v>GammaDistribution(1; 0.001)</v>
      </c>
      <c r="G17" s="6" t="str">
        <f t="shared" si="5"/>
        <v>GammaDistribution(1; 0.001)</v>
      </c>
      <c r="H17" s="6" t="str">
        <f t="shared" si="6"/>
        <v>GammaDistribution(1; 0.001)</v>
      </c>
      <c r="I17" s="6" t="str">
        <f t="shared" si="7"/>
        <v>GammaDistribution(1; 0.001)</v>
      </c>
      <c r="J17" s="6" t="str">
        <f t="shared" si="8"/>
        <v>GammaDistribution(1; 0.001)</v>
      </c>
      <c r="K17" s="6" t="str">
        <f t="shared" si="9"/>
        <v>GammaDistribution(1; 0.001)</v>
      </c>
      <c r="L17" s="6" t="str">
        <f t="shared" si="10"/>
        <v>GammaDistribution(1; 0.001)</v>
      </c>
      <c r="M17" s="6" t="str">
        <f t="shared" si="11"/>
        <v>GammaDistribution(1; 0.001)</v>
      </c>
      <c r="N17" s="6" t="str">
        <f t="shared" si="12"/>
        <v>GammaDistribution(1; 0.001)</v>
      </c>
      <c r="O17" s="6" t="str">
        <f t="shared" si="13"/>
        <v>GammaDistribution(1; 0.001)</v>
      </c>
      <c r="P17" s="6" t="str">
        <f t="shared" si="14"/>
        <v>GammaDistribution(1; 0.001)</v>
      </c>
      <c r="Q17" s="6" t="str">
        <f t="shared" si="15"/>
        <v>GammaDistribution(1; 0.1)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>
        <v>1</v>
      </c>
      <c r="AH17">
        <v>1</v>
      </c>
      <c r="AJ17">
        <v>1E-3</v>
      </c>
      <c r="AK17">
        <v>1E-3</v>
      </c>
      <c r="AL17">
        <v>1E-3</v>
      </c>
      <c r="AM17">
        <v>1E-3</v>
      </c>
      <c r="AN17">
        <v>1E-3</v>
      </c>
      <c r="AO17">
        <v>1E-3</v>
      </c>
      <c r="AP17">
        <v>1E-3</v>
      </c>
      <c r="AQ17">
        <v>1E-3</v>
      </c>
      <c r="AR17">
        <v>1E-3</v>
      </c>
      <c r="AS17">
        <v>1E-3</v>
      </c>
      <c r="AT17">
        <v>1E-3</v>
      </c>
      <c r="AU17">
        <v>1E-3</v>
      </c>
      <c r="AV17">
        <v>1E-3</v>
      </c>
      <c r="AW17">
        <v>1E-3</v>
      </c>
      <c r="AX17">
        <v>1E-3</v>
      </c>
      <c r="AY17">
        <v>0.1</v>
      </c>
      <c r="BA17">
        <f t="shared" si="57"/>
        <v>1E-3</v>
      </c>
      <c r="BB17">
        <f t="shared" si="16"/>
        <v>1E-3</v>
      </c>
      <c r="BC17">
        <f t="shared" si="17"/>
        <v>1E-3</v>
      </c>
      <c r="BD17">
        <f t="shared" si="18"/>
        <v>1E-3</v>
      </c>
      <c r="BE17">
        <f t="shared" si="19"/>
        <v>1E-3</v>
      </c>
      <c r="BF17">
        <f t="shared" si="20"/>
        <v>1E-3</v>
      </c>
      <c r="BG17">
        <f t="shared" si="21"/>
        <v>1E-3</v>
      </c>
      <c r="BH17">
        <f t="shared" si="22"/>
        <v>1E-3</v>
      </c>
      <c r="BI17">
        <f t="shared" si="23"/>
        <v>1E-3</v>
      </c>
      <c r="BJ17">
        <f t="shared" si="24"/>
        <v>1E-3</v>
      </c>
      <c r="BK17">
        <f t="shared" si="25"/>
        <v>1E-3</v>
      </c>
      <c r="BL17">
        <f t="shared" si="26"/>
        <v>1E-3</v>
      </c>
      <c r="BM17">
        <f t="shared" si="26"/>
        <v>1E-3</v>
      </c>
      <c r="BN17">
        <f t="shared" si="26"/>
        <v>1E-3</v>
      </c>
      <c r="BO17">
        <f t="shared" si="26"/>
        <v>1E-3</v>
      </c>
      <c r="BP17">
        <f t="shared" si="26"/>
        <v>0.1</v>
      </c>
      <c r="BR17">
        <f t="shared" si="58"/>
        <v>0</v>
      </c>
      <c r="BS17">
        <f t="shared" si="27"/>
        <v>0</v>
      </c>
      <c r="BT17">
        <f t="shared" si="28"/>
        <v>0</v>
      </c>
      <c r="BU17">
        <f t="shared" si="29"/>
        <v>0</v>
      </c>
      <c r="BV17">
        <f t="shared" si="30"/>
        <v>0</v>
      </c>
      <c r="BW17">
        <f t="shared" si="31"/>
        <v>0</v>
      </c>
      <c r="BX17">
        <f t="shared" si="32"/>
        <v>0</v>
      </c>
      <c r="BY17">
        <f t="shared" si="33"/>
        <v>0</v>
      </c>
      <c r="BZ17">
        <f t="shared" si="34"/>
        <v>0</v>
      </c>
      <c r="CA17">
        <f t="shared" si="35"/>
        <v>0</v>
      </c>
      <c r="CB17">
        <f t="shared" si="36"/>
        <v>0</v>
      </c>
      <c r="CC17">
        <f t="shared" si="37"/>
        <v>0</v>
      </c>
      <c r="CD17">
        <f t="shared" si="38"/>
        <v>0</v>
      </c>
      <c r="CE17">
        <f t="shared" si="39"/>
        <v>0</v>
      </c>
      <c r="CF17">
        <f t="shared" si="40"/>
        <v>0</v>
      </c>
      <c r="CG17">
        <f t="shared" si="41"/>
        <v>0</v>
      </c>
      <c r="CI17">
        <f t="shared" si="59"/>
        <v>1E-3</v>
      </c>
      <c r="CJ17">
        <f t="shared" si="42"/>
        <v>1E-3</v>
      </c>
      <c r="CK17">
        <f t="shared" si="43"/>
        <v>1E-3</v>
      </c>
      <c r="CL17">
        <f t="shared" si="44"/>
        <v>1E-3</v>
      </c>
      <c r="CM17">
        <f t="shared" si="45"/>
        <v>1E-3</v>
      </c>
      <c r="CN17">
        <f t="shared" si="46"/>
        <v>1E-3</v>
      </c>
      <c r="CO17">
        <f t="shared" si="47"/>
        <v>1E-3</v>
      </c>
      <c r="CP17">
        <f t="shared" si="48"/>
        <v>1E-3</v>
      </c>
      <c r="CQ17">
        <f t="shared" si="49"/>
        <v>1E-3</v>
      </c>
      <c r="CR17">
        <f t="shared" si="50"/>
        <v>1E-3</v>
      </c>
      <c r="CS17">
        <f t="shared" si="51"/>
        <v>1E-3</v>
      </c>
      <c r="CT17">
        <f t="shared" si="52"/>
        <v>1E-3</v>
      </c>
      <c r="CU17">
        <f t="shared" si="53"/>
        <v>1E-3</v>
      </c>
      <c r="CV17">
        <f t="shared" si="54"/>
        <v>1E-3</v>
      </c>
      <c r="CW17">
        <f t="shared" si="55"/>
        <v>1E-3</v>
      </c>
      <c r="CX17">
        <f t="shared" si="56"/>
        <v>0.1</v>
      </c>
    </row>
  </sheetData>
  <phoneticPr fontId="2" type="noConversion"/>
  <pageMargins left="0.7" right="0.7" top="0.78740157499999996" bottom="0.78740157499999996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>
  <sheetPr codeName="Tabelle26"/>
  <dimension ref="A7:B23"/>
  <sheetViews>
    <sheetView workbookViewId="0">
      <selection activeCell="A3" sqref="A3"/>
    </sheetView>
  </sheetViews>
  <sheetFormatPr defaultColWidth="11.5703125" defaultRowHeight="12.75"/>
  <sheetData>
    <row r="7" spans="1:2">
      <c r="A7" t="s">
        <v>143</v>
      </c>
      <c r="B7" t="s">
        <v>184</v>
      </c>
    </row>
    <row r="8" spans="1:2">
      <c r="A8" t="s">
        <v>2</v>
      </c>
      <c r="B8" s="7">
        <v>9207581</v>
      </c>
    </row>
    <row r="9" spans="1:2">
      <c r="A9" t="s">
        <v>3</v>
      </c>
      <c r="B9" s="7">
        <v>9872483</v>
      </c>
    </row>
    <row r="10" spans="1:2">
      <c r="A10" t="s">
        <v>6</v>
      </c>
      <c r="B10" s="7">
        <v>3705040</v>
      </c>
    </row>
    <row r="11" spans="1:2">
      <c r="A11" t="s">
        <v>7</v>
      </c>
      <c r="B11" s="7">
        <v>472934</v>
      </c>
    </row>
    <row r="12" spans="1:2">
      <c r="A12" t="s">
        <v>8</v>
      </c>
      <c r="B12" s="7">
        <v>9235211</v>
      </c>
    </row>
    <row r="13" spans="1:2">
      <c r="A13" t="s">
        <v>9</v>
      </c>
      <c r="B13" s="7">
        <v>2186128</v>
      </c>
    </row>
    <row r="14" spans="1:2">
      <c r="A14" t="s">
        <v>10</v>
      </c>
      <c r="B14" s="7">
        <v>21716915</v>
      </c>
    </row>
    <row r="15" spans="1:2">
      <c r="A15" t="s">
        <v>11</v>
      </c>
      <c r="B15" s="7">
        <v>6313671</v>
      </c>
    </row>
    <row r="16" spans="1:2">
      <c r="A16" t="s">
        <v>12</v>
      </c>
      <c r="B16" s="7">
        <v>2440575</v>
      </c>
    </row>
    <row r="17" spans="1:2">
      <c r="A17" t="s">
        <v>13</v>
      </c>
      <c r="B17" s="7">
        <v>17451759</v>
      </c>
    </row>
    <row r="18" spans="1:2">
      <c r="A18" t="s">
        <v>14</v>
      </c>
      <c r="B18" s="7">
        <v>5137567</v>
      </c>
    </row>
    <row r="19" spans="1:2">
      <c r="A19" t="s">
        <v>15</v>
      </c>
      <c r="B19" s="7">
        <v>4958546</v>
      </c>
    </row>
    <row r="20" spans="1:2">
      <c r="A20" t="s">
        <v>16</v>
      </c>
      <c r="B20" s="7">
        <v>10958008</v>
      </c>
    </row>
    <row r="21" spans="1:2">
      <c r="A21" t="s">
        <v>17</v>
      </c>
      <c r="B21" s="7">
        <v>3953026</v>
      </c>
    </row>
    <row r="22" spans="1:2">
      <c r="A22" t="s">
        <v>18</v>
      </c>
      <c r="B22" s="7">
        <v>24329621</v>
      </c>
    </row>
    <row r="23" spans="1:2">
      <c r="A23" t="s">
        <v>19</v>
      </c>
      <c r="B23" s="7">
        <v>332534</v>
      </c>
    </row>
  </sheetData>
  <phoneticPr fontId="0" type="noConversion"/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Tabelle27"/>
  <dimension ref="A4:J18"/>
  <sheetViews>
    <sheetView workbookViewId="0">
      <selection activeCell="B18" sqref="B18"/>
    </sheetView>
  </sheetViews>
  <sheetFormatPr defaultColWidth="11.5703125" defaultRowHeight="12.75"/>
  <cols>
    <col min="1" max="1" width="14.28515625" bestFit="1" customWidth="1"/>
    <col min="2" max="2" width="25.28515625" bestFit="1" customWidth="1"/>
  </cols>
  <sheetData>
    <row r="4" spans="1:10" s="1" customFormat="1">
      <c r="A4" s="4" t="s">
        <v>0</v>
      </c>
      <c r="B4" s="1" t="s">
        <v>1</v>
      </c>
      <c r="C4" s="8" t="s">
        <v>135</v>
      </c>
      <c r="D4" s="8" t="s">
        <v>136</v>
      </c>
      <c r="E4" s="8" t="s">
        <v>132</v>
      </c>
      <c r="F4" s="8" t="s">
        <v>133</v>
      </c>
      <c r="G4" s="8" t="s">
        <v>134</v>
      </c>
      <c r="H4" s="8" t="s">
        <v>130</v>
      </c>
      <c r="I4" s="8" t="s">
        <v>131</v>
      </c>
      <c r="J4" s="1" t="s">
        <v>129</v>
      </c>
    </row>
    <row r="5" spans="1:10" s="2" customFormat="1">
      <c r="A5" s="5" t="s">
        <v>185</v>
      </c>
      <c r="B5" s="6">
        <v>0.33</v>
      </c>
    </row>
    <row r="6" spans="1:10">
      <c r="A6" t="s">
        <v>186</v>
      </c>
      <c r="B6" s="6">
        <v>-0.45</v>
      </c>
    </row>
    <row r="7" spans="1:10">
      <c r="A7" t="s">
        <v>187</v>
      </c>
      <c r="B7" s="6">
        <v>1.02</v>
      </c>
    </row>
    <row r="8" spans="1:10">
      <c r="A8" t="s">
        <v>188</v>
      </c>
      <c r="B8" s="6">
        <v>0.9</v>
      </c>
    </row>
    <row r="9" spans="1:10">
      <c r="A9" t="s">
        <v>189</v>
      </c>
      <c r="B9" s="6">
        <v>0.1</v>
      </c>
    </row>
    <row r="10" spans="1:10">
      <c r="A10" t="s">
        <v>190</v>
      </c>
      <c r="B10" s="6">
        <f>21*22/6/1000</f>
        <v>7.6999999999999999E-2</v>
      </c>
    </row>
    <row r="11" spans="1:10">
      <c r="A11" t="s">
        <v>191</v>
      </c>
      <c r="B11" s="6">
        <f>310*7/6/1000</f>
        <v>0.36166666666666669</v>
      </c>
    </row>
    <row r="12" spans="1:10">
      <c r="A12" t="s">
        <v>192</v>
      </c>
      <c r="B12" s="6">
        <v>0.78400000000000003</v>
      </c>
    </row>
    <row r="13" spans="1:10">
      <c r="A13" t="s">
        <v>193</v>
      </c>
      <c r="B13" s="6">
        <v>8.4000000000000005E-2</v>
      </c>
    </row>
    <row r="14" spans="1:10">
      <c r="A14" t="s">
        <v>194</v>
      </c>
      <c r="B14" s="6">
        <v>100</v>
      </c>
    </row>
    <row r="15" spans="1:10">
      <c r="A15" t="s">
        <v>195</v>
      </c>
      <c r="B15" s="6">
        <v>0.1</v>
      </c>
    </row>
    <row r="16" spans="1:10">
      <c r="A16" t="s">
        <v>196</v>
      </c>
      <c r="B16" s="6">
        <v>10</v>
      </c>
    </row>
    <row r="17" spans="1:2" s="2" customFormat="1">
      <c r="A17" s="5" t="s">
        <v>138</v>
      </c>
      <c r="B17" s="6">
        <f>0.0054083/23.9</f>
        <v>2.2628870292887027E-4</v>
      </c>
    </row>
    <row r="18" spans="1:2" s="2" customFormat="1">
      <c r="A18" s="5" t="s">
        <v>139</v>
      </c>
      <c r="B18" s="6">
        <f>-0.000058961/23.9</f>
        <v>-2.4669874476987447E-6</v>
      </c>
    </row>
  </sheetData>
  <phoneticPr fontId="0" type="noConversion"/>
  <pageMargins left="0.7" right="0.7" top="0.78740157499999996" bottom="0.78740157499999996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Tabelle28"/>
  <dimension ref="A6:J8"/>
  <sheetViews>
    <sheetView workbookViewId="0">
      <selection activeCell="B7" sqref="B7"/>
    </sheetView>
  </sheetViews>
  <sheetFormatPr defaultColWidth="11.5703125" defaultRowHeight="12.75"/>
  <cols>
    <col min="1" max="1" width="13.7109375" bestFit="1" customWidth="1"/>
    <col min="2" max="2" width="42.140625" bestFit="1" customWidth="1"/>
  </cols>
  <sheetData>
    <row r="6" spans="1:10" s="1" customFormat="1">
      <c r="A6" s="4" t="s">
        <v>0</v>
      </c>
      <c r="B6" s="1" t="s">
        <v>1</v>
      </c>
      <c r="C6" s="8" t="s">
        <v>135</v>
      </c>
      <c r="D6" s="8" t="s">
        <v>136</v>
      </c>
      <c r="E6" s="8" t="s">
        <v>132</v>
      </c>
      <c r="F6" s="8" t="s">
        <v>133</v>
      </c>
      <c r="G6" s="8" t="s">
        <v>134</v>
      </c>
      <c r="H6" s="8" t="s">
        <v>130</v>
      </c>
      <c r="I6" s="8" t="s">
        <v>131</v>
      </c>
      <c r="J6" s="1" t="s">
        <v>129</v>
      </c>
    </row>
    <row r="7" spans="1:10" s="2" customFormat="1">
      <c r="A7" s="5" t="s">
        <v>197</v>
      </c>
      <c r="B7" s="6" t="str">
        <f>GammaDistribution(E7, F7)</f>
        <v>GammaDistribution(4.92255; 662.834125760029)</v>
      </c>
      <c r="C7"/>
      <c r="E7" s="2">
        <v>4.9225500000000002</v>
      </c>
      <c r="F7" s="2">
        <v>662.83412576002854</v>
      </c>
      <c r="J7" s="2">
        <f>(E7-1)*F7</f>
        <v>2600</v>
      </c>
    </row>
    <row r="8" spans="1:10">
      <c r="A8" t="s">
        <v>198</v>
      </c>
      <c r="B8" s="6">
        <v>1900000</v>
      </c>
    </row>
  </sheetData>
  <phoneticPr fontId="0" type="noConversion"/>
  <pageMargins left="0.7" right="0.7" top="0.78740157499999996" bottom="0.78740157499999996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Tabelle29"/>
  <dimension ref="A6:J21"/>
  <sheetViews>
    <sheetView tabSelected="1" workbookViewId="0">
      <selection activeCell="A10" sqref="A10:XFD10"/>
    </sheetView>
  </sheetViews>
  <sheetFormatPr defaultColWidth="11.42578125" defaultRowHeight="12.75"/>
  <cols>
    <col min="1" max="1" width="29.85546875" customWidth="1"/>
    <col min="2" max="2" width="51.140625" bestFit="1" customWidth="1"/>
    <col min="3" max="3" width="12.5703125" bestFit="1" customWidth="1"/>
    <col min="4" max="4" width="18.42578125" bestFit="1" customWidth="1"/>
  </cols>
  <sheetData>
    <row r="6" spans="1:10" s="1" customFormat="1">
      <c r="A6" s="4" t="s">
        <v>0</v>
      </c>
      <c r="B6" s="1" t="s">
        <v>1</v>
      </c>
      <c r="C6" s="8" t="s">
        <v>135</v>
      </c>
      <c r="D6" s="8" t="s">
        <v>136</v>
      </c>
      <c r="E6" s="8" t="s">
        <v>132</v>
      </c>
      <c r="F6" s="8" t="s">
        <v>133</v>
      </c>
      <c r="G6" s="8" t="s">
        <v>134</v>
      </c>
      <c r="H6" s="8" t="s">
        <v>130</v>
      </c>
      <c r="I6" s="8" t="s">
        <v>131</v>
      </c>
      <c r="J6" s="1" t="s">
        <v>129</v>
      </c>
    </row>
    <row r="7" spans="1:10">
      <c r="A7" t="s">
        <v>199</v>
      </c>
      <c r="B7" s="6" t="str">
        <f>NormalDistribution(C7,D7)</f>
        <v>NormalDistribution(-31.8978379263215; 0.12072054186561)</v>
      </c>
      <c r="C7">
        <v>-31.8978379263215</v>
      </c>
      <c r="D7">
        <v>0.12072054186560956</v>
      </c>
    </row>
    <row r="8" spans="1:10">
      <c r="A8" t="s">
        <v>200</v>
      </c>
      <c r="B8" s="6" t="str">
        <f>NormalDistribution(C8,D8)</f>
        <v>NormalDistribution(32.7266970287432; 2.56648976380545E-02)</v>
      </c>
      <c r="C8">
        <v>32.726697028743175</v>
      </c>
      <c r="D8">
        <v>2.566489763805448E-2</v>
      </c>
    </row>
    <row r="9" spans="1:10">
      <c r="A9" t="s">
        <v>231</v>
      </c>
      <c r="B9" s="6" t="str">
        <f>NormalDistribution(C9,D9)</f>
        <v>NormalDistribution(-0.00993; 0.001568)</v>
      </c>
      <c r="C9">
        <v>-9.9299999999999996E-3</v>
      </c>
      <c r="D9">
        <v>1.5679999999999999E-3</v>
      </c>
    </row>
    <row r="11" spans="1:10">
      <c r="A11" t="s">
        <v>233</v>
      </c>
      <c r="B11">
        <v>0.08</v>
      </c>
    </row>
    <row r="12" spans="1:10">
      <c r="A12" t="s">
        <v>234</v>
      </c>
      <c r="B12">
        <v>0.03</v>
      </c>
    </row>
    <row r="13" spans="1:10">
      <c r="A13" t="s">
        <v>235</v>
      </c>
      <c r="B13">
        <v>0.04</v>
      </c>
    </row>
    <row r="14" spans="1:10">
      <c r="A14" t="s">
        <v>236</v>
      </c>
      <c r="B14">
        <v>285</v>
      </c>
    </row>
    <row r="15" spans="1:10">
      <c r="A15" t="s">
        <v>237</v>
      </c>
      <c r="B15">
        <v>0.13</v>
      </c>
    </row>
    <row r="16" spans="1:10">
      <c r="A16" t="s">
        <v>238</v>
      </c>
      <c r="B16">
        <v>0.2</v>
      </c>
    </row>
    <row r="17" spans="1:2">
      <c r="A17" t="s">
        <v>239</v>
      </c>
      <c r="B17">
        <v>0.32</v>
      </c>
    </row>
    <row r="18" spans="1:2">
      <c r="A18" t="s">
        <v>240</v>
      </c>
      <c r="B18">
        <v>0.25</v>
      </c>
    </row>
    <row r="19" spans="1:2">
      <c r="A19" t="s">
        <v>241</v>
      </c>
      <c r="B19">
        <v>0.1</v>
      </c>
    </row>
    <row r="20" spans="1:2">
      <c r="A20" t="s">
        <v>242</v>
      </c>
      <c r="B20">
        <v>790</v>
      </c>
    </row>
    <row r="21" spans="1:2">
      <c r="A21" s="13" t="s">
        <v>243</v>
      </c>
      <c r="B21">
        <v>0.4</v>
      </c>
    </row>
  </sheetData>
  <phoneticPr fontId="0" type="noConversion"/>
  <pageMargins left="0.7" right="0.7" top="0.78740157499999996" bottom="0.78740157499999996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Tabelle30"/>
  <dimension ref="A7:J9"/>
  <sheetViews>
    <sheetView workbookViewId="0">
      <selection activeCell="B9" sqref="B9"/>
    </sheetView>
  </sheetViews>
  <sheetFormatPr defaultColWidth="11.5703125" defaultRowHeight="12.75"/>
  <cols>
    <col min="2" max="2" width="37" bestFit="1" customWidth="1"/>
  </cols>
  <sheetData>
    <row r="7" spans="1:10" s="1" customFormat="1">
      <c r="A7" s="4" t="s">
        <v>0</v>
      </c>
      <c r="B7" s="1" t="s">
        <v>1</v>
      </c>
      <c r="C7" s="8" t="s">
        <v>135</v>
      </c>
      <c r="D7" s="8" t="s">
        <v>136</v>
      </c>
      <c r="E7" s="8" t="s">
        <v>132</v>
      </c>
      <c r="F7" s="8" t="s">
        <v>133</v>
      </c>
      <c r="G7" s="8" t="s">
        <v>134</v>
      </c>
      <c r="H7" s="8" t="s">
        <v>130</v>
      </c>
      <c r="I7" s="8" t="s">
        <v>131</v>
      </c>
      <c r="J7" s="1" t="s">
        <v>129</v>
      </c>
    </row>
    <row r="8" spans="1:10" s="2" customFormat="1">
      <c r="A8" s="5" t="s">
        <v>21</v>
      </c>
      <c r="B8" s="6" t="str">
        <f>TriangularDistribution(H8,C8,I8)</f>
        <v>TriangularDistribution(250; 500; 1000)</v>
      </c>
      <c r="C8" s="2">
        <v>500</v>
      </c>
      <c r="H8" s="2">
        <v>250</v>
      </c>
      <c r="I8" s="2">
        <v>1000</v>
      </c>
    </row>
    <row r="9" spans="1:10" s="2" customFormat="1">
      <c r="A9" s="5" t="s">
        <v>201</v>
      </c>
      <c r="B9" s="6" t="str">
        <f>GammaDistribution(E9, F9)</f>
        <v>GammaDistribution(6; 0.4)</v>
      </c>
      <c r="C9"/>
      <c r="E9" s="2">
        <v>6</v>
      </c>
      <c r="F9" s="2">
        <v>0.4</v>
      </c>
      <c r="J9" s="2">
        <f>(E9-1)*F9</f>
        <v>2</v>
      </c>
    </row>
  </sheetData>
  <phoneticPr fontId="0" type="noConversion"/>
  <pageMargins left="0.7" right="0.7" top="0.78740157499999996" bottom="0.78740157499999996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Tabelle31"/>
  <dimension ref="A7:J34"/>
  <sheetViews>
    <sheetView workbookViewId="0">
      <selection activeCell="B9" sqref="B9"/>
    </sheetView>
  </sheetViews>
  <sheetFormatPr defaultColWidth="11.5703125" defaultRowHeight="12.75"/>
  <cols>
    <col min="2" max="2" width="38.85546875" bestFit="1" customWidth="1"/>
    <col min="3" max="3" width="10.140625" bestFit="1" customWidth="1"/>
    <col min="4" max="4" width="18.42578125" bestFit="1" customWidth="1"/>
  </cols>
  <sheetData>
    <row r="7" spans="1:10" s="1" customFormat="1">
      <c r="A7" s="4" t="s">
        <v>0</v>
      </c>
      <c r="B7" s="1" t="s">
        <v>1</v>
      </c>
      <c r="C7" s="8" t="s">
        <v>135</v>
      </c>
      <c r="D7" s="8" t="s">
        <v>136</v>
      </c>
      <c r="E7" s="8" t="s">
        <v>132</v>
      </c>
      <c r="F7" s="8" t="s">
        <v>133</v>
      </c>
      <c r="G7" s="8" t="s">
        <v>134</v>
      </c>
      <c r="H7" s="8" t="s">
        <v>130</v>
      </c>
      <c r="I7" s="8" t="s">
        <v>131</v>
      </c>
      <c r="J7" s="1" t="s">
        <v>129</v>
      </c>
    </row>
    <row r="8" spans="1:10" s="2" customFormat="1">
      <c r="A8" s="5" t="s">
        <v>30</v>
      </c>
      <c r="B8" s="6" t="str">
        <f>NormalDistribution(C8,D8,H8,I8)</f>
        <v>NormalDistribution(-0.31; 0.2; -1; 0)</v>
      </c>
      <c r="C8" s="2">
        <v>-0.31</v>
      </c>
      <c r="D8" s="2">
        <v>0.2</v>
      </c>
      <c r="H8" s="2">
        <v>-1</v>
      </c>
      <c r="I8" s="2">
        <v>0</v>
      </c>
    </row>
    <row r="9" spans="1:10" s="2" customFormat="1">
      <c r="A9" s="5" t="s">
        <v>31</v>
      </c>
      <c r="B9" s="6" t="str">
        <f>NormalDistribution(C9,D9,H9)</f>
        <v>NormalDistribution(1; 0.5; 0)</v>
      </c>
      <c r="C9" s="2">
        <v>1</v>
      </c>
      <c r="D9" s="2">
        <v>0.5</v>
      </c>
      <c r="H9" s="2">
        <v>0</v>
      </c>
    </row>
    <row r="10" spans="1:10" s="2" customFormat="1">
      <c r="A10" s="5" t="s">
        <v>44</v>
      </c>
      <c r="B10" s="6" t="str">
        <f>NormalDistribution(C10,D10,H10)</f>
        <v>NormalDistribution(2.2972; 1.1486; 0)</v>
      </c>
      <c r="C10" s="2">
        <v>2.2972000000000001</v>
      </c>
      <c r="D10" s="2">
        <v>1.1486000000000001</v>
      </c>
      <c r="H10" s="2">
        <v>0</v>
      </c>
    </row>
    <row r="16" spans="1:10">
      <c r="A16" t="s">
        <v>202</v>
      </c>
    </row>
    <row r="18" spans="1:4">
      <c r="A18" s="12" t="s">
        <v>143</v>
      </c>
      <c r="B18" s="12" t="s">
        <v>63</v>
      </c>
      <c r="C18" s="12" t="s">
        <v>135</v>
      </c>
      <c r="D18" s="12" t="s">
        <v>136</v>
      </c>
    </row>
    <row r="19" spans="1:4">
      <c r="A19" s="1" t="s">
        <v>2</v>
      </c>
      <c r="B19" s="6" t="str">
        <f>NormalDistribution(C19,D19)</f>
        <v>NormalDistribution(0.00005325; 0.00001422)</v>
      </c>
      <c r="C19" s="14">
        <v>5.325E-5</v>
      </c>
      <c r="D19" s="14">
        <v>1.4219999999999999E-5</v>
      </c>
    </row>
    <row r="20" spans="1:4">
      <c r="A20" s="1" t="s">
        <v>3</v>
      </c>
      <c r="B20" s="6" t="str">
        <f t="shared" ref="B20:B34" si="0">NormalDistribution(C20,D20)</f>
        <v>NormalDistribution(0.00001123; 0.00007152)</v>
      </c>
      <c r="C20" s="14">
        <v>1.1229999999999999E-5</v>
      </c>
      <c r="D20" s="14">
        <v>7.1520000000000006E-5</v>
      </c>
    </row>
    <row r="21" spans="1:4">
      <c r="A21" s="1" t="s">
        <v>6</v>
      </c>
      <c r="B21" s="6" t="str">
        <f t="shared" si="0"/>
        <v>NormalDistribution(0.00002528; 0.0000057)</v>
      </c>
      <c r="C21" s="14">
        <v>2.5279999999999999E-5</v>
      </c>
      <c r="D21" s="14">
        <v>5.6999999999999996E-6</v>
      </c>
    </row>
    <row r="22" spans="1:4">
      <c r="A22" s="1" t="s">
        <v>7</v>
      </c>
      <c r="B22" s="6" t="str">
        <f t="shared" si="0"/>
        <v>NormalDistribution(0.00004173; 0.00001235)</v>
      </c>
      <c r="C22" s="14">
        <v>4.1730000000000002E-5</v>
      </c>
      <c r="D22" s="14">
        <v>1.235E-5</v>
      </c>
    </row>
    <row r="23" spans="1:4">
      <c r="A23" s="1" t="s">
        <v>8</v>
      </c>
      <c r="B23" s="6" t="str">
        <f t="shared" si="0"/>
        <v>NormalDistribution(-0.0001211; 0.00003255)</v>
      </c>
      <c r="C23" s="14">
        <v>-1.211E-4</v>
      </c>
      <c r="D23" s="14">
        <v>3.2549999999999998E-5</v>
      </c>
    </row>
    <row r="24" spans="1:4">
      <c r="A24" s="1" t="s">
        <v>9</v>
      </c>
      <c r="B24" s="6" t="str">
        <f t="shared" si="0"/>
        <v>NormalDistribution(0.00005462; 0.00002472)</v>
      </c>
      <c r="C24" s="14">
        <v>5.4620000000000002E-5</v>
      </c>
      <c r="D24" s="14">
        <v>2.472E-5</v>
      </c>
    </row>
    <row r="25" spans="1:4">
      <c r="A25" s="1" t="s">
        <v>10</v>
      </c>
      <c r="B25" s="6" t="str">
        <f t="shared" si="0"/>
        <v>NormalDistribution(-0.00002348; 0.00005312)</v>
      </c>
      <c r="C25" s="14">
        <v>-2.3479999999999999E-5</v>
      </c>
      <c r="D25" s="14">
        <v>5.312E-5</v>
      </c>
    </row>
    <row r="26" spans="1:4">
      <c r="A26" s="1" t="s">
        <v>11</v>
      </c>
      <c r="B26" s="6" t="str">
        <f t="shared" si="0"/>
        <v>NormalDistribution(0; 0.00003386)</v>
      </c>
      <c r="C26" s="14">
        <v>0</v>
      </c>
      <c r="D26" s="14">
        <v>3.3859999999999998E-5</v>
      </c>
    </row>
    <row r="27" spans="1:4">
      <c r="A27" s="1" t="s">
        <v>12</v>
      </c>
      <c r="B27" s="6" t="str">
        <f t="shared" si="0"/>
        <v>NormalDistribution(0.00001806; 0.00003429)</v>
      </c>
      <c r="C27" s="14">
        <v>1.806E-5</v>
      </c>
      <c r="D27" s="14">
        <v>3.4289999999999999E-5</v>
      </c>
    </row>
    <row r="28" spans="1:4">
      <c r="A28" s="1" t="s">
        <v>13</v>
      </c>
      <c r="B28" s="6" t="str">
        <f t="shared" si="0"/>
        <v>NormalDistribution(0.00002411; 0.00001195)</v>
      </c>
      <c r="C28" s="14">
        <v>2.4110000000000001E-5</v>
      </c>
      <c r="D28" s="14">
        <v>1.1950000000000001E-5</v>
      </c>
    </row>
    <row r="29" spans="1:4">
      <c r="A29" s="1" t="s">
        <v>14</v>
      </c>
      <c r="B29" s="6" t="str">
        <f t="shared" si="0"/>
        <v>NormalDistribution(0.00006237; 0.00002294)</v>
      </c>
      <c r="C29" s="14">
        <v>6.2370000000000001E-5</v>
      </c>
      <c r="D29" s="14">
        <v>2.2940000000000001E-5</v>
      </c>
    </row>
    <row r="30" spans="1:4">
      <c r="A30" s="1" t="s">
        <v>15</v>
      </c>
      <c r="B30" s="6" t="str">
        <f t="shared" si="0"/>
        <v>NormalDistribution(0.00006674; 0.00002772)</v>
      </c>
      <c r="C30" s="14">
        <v>6.6740000000000001E-5</v>
      </c>
      <c r="D30" s="14">
        <v>2.7719999999999999E-5</v>
      </c>
    </row>
    <row r="31" spans="1:4">
      <c r="A31" s="1" t="s">
        <v>16</v>
      </c>
      <c r="B31" s="6" t="str">
        <f t="shared" si="0"/>
        <v>NormalDistribution(0.00008723; 0.0000322)</v>
      </c>
      <c r="C31" s="14">
        <v>8.7230000000000003E-5</v>
      </c>
      <c r="D31" s="14">
        <v>3.2199999999999997E-5</v>
      </c>
    </row>
    <row r="32" spans="1:4">
      <c r="A32" s="1" t="s">
        <v>17</v>
      </c>
      <c r="B32" s="6" t="str">
        <f t="shared" si="0"/>
        <v>NormalDistribution(0; 0.00003386)</v>
      </c>
      <c r="C32" s="14">
        <v>0</v>
      </c>
      <c r="D32" s="14">
        <v>3.3859999999999998E-5</v>
      </c>
    </row>
    <row r="33" spans="1:4">
      <c r="A33" s="1" t="s">
        <v>18</v>
      </c>
      <c r="B33" s="6" t="str">
        <f t="shared" si="0"/>
        <v>NormalDistribution(0.00001141; 0.00003459)</v>
      </c>
      <c r="C33" s="14">
        <v>1.1409999999999999E-5</v>
      </c>
      <c r="D33" s="14">
        <v>3.4589999999999999E-5</v>
      </c>
    </row>
    <row r="34" spans="1:4">
      <c r="A34" s="1" t="s">
        <v>19</v>
      </c>
      <c r="B34" s="6" t="str">
        <f t="shared" si="0"/>
        <v>NormalDistribution(0; 0.00003386)</v>
      </c>
      <c r="C34" s="14">
        <v>0</v>
      </c>
      <c r="D34" s="14">
        <v>3.3859999999999998E-5</v>
      </c>
    </row>
  </sheetData>
  <phoneticPr fontId="0" type="noConversion"/>
  <pageMargins left="0.7" right="0.7" top="0.78740157499999996" bottom="0.78740157499999996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Tabelle32"/>
  <dimension ref="A6:J77"/>
  <sheetViews>
    <sheetView workbookViewId="0">
      <selection activeCell="A18" sqref="A18:E34"/>
    </sheetView>
  </sheetViews>
  <sheetFormatPr defaultColWidth="11.5703125" defaultRowHeight="12.75"/>
  <cols>
    <col min="2" max="2" width="29" customWidth="1"/>
    <col min="3" max="3" width="34" customWidth="1"/>
  </cols>
  <sheetData>
    <row r="6" spans="1:10" s="1" customFormat="1">
      <c r="A6" s="4" t="s">
        <v>0</v>
      </c>
      <c r="B6" s="1" t="s">
        <v>1</v>
      </c>
      <c r="C6" s="8" t="s">
        <v>135</v>
      </c>
      <c r="D6" s="8" t="s">
        <v>136</v>
      </c>
      <c r="E6" s="8" t="s">
        <v>132</v>
      </c>
      <c r="F6" s="8" t="s">
        <v>133</v>
      </c>
      <c r="G6" s="8" t="s">
        <v>134</v>
      </c>
      <c r="H6" s="8" t="s">
        <v>130</v>
      </c>
      <c r="I6" s="8" t="s">
        <v>131</v>
      </c>
      <c r="J6" s="1" t="s">
        <v>129</v>
      </c>
    </row>
    <row r="7" spans="1:10" s="2" customFormat="1">
      <c r="A7" s="5" t="s">
        <v>41</v>
      </c>
      <c r="B7" s="6" t="str">
        <f>NormalDistribution(C7,D7,H7)</f>
        <v>NormalDistribution(1; 0.5; 0)</v>
      </c>
      <c r="C7" s="2">
        <v>1</v>
      </c>
      <c r="D7" s="2">
        <v>0.5</v>
      </c>
      <c r="H7" s="2">
        <v>0</v>
      </c>
    </row>
    <row r="8" spans="1:10" s="2" customFormat="1">
      <c r="A8" s="5" t="s">
        <v>42</v>
      </c>
      <c r="B8" s="6" t="str">
        <f>NormalDistribution(C8,D8,H8)</f>
        <v>NormalDistribution(1; 0.5; 0)</v>
      </c>
      <c r="C8" s="2">
        <v>1</v>
      </c>
      <c r="D8" s="2">
        <v>0.5</v>
      </c>
      <c r="H8" s="2">
        <v>0</v>
      </c>
    </row>
    <row r="9" spans="1:10" s="2" customFormat="1">
      <c r="A9" s="5" t="s">
        <v>43</v>
      </c>
      <c r="B9" s="6" t="str">
        <f>NormalDistribution(C9,D9,H9)</f>
        <v>NormalDistribution(1; 0.5; 0)</v>
      </c>
      <c r="C9" s="2">
        <v>1</v>
      </c>
      <c r="D9" s="2">
        <v>0.5</v>
      </c>
      <c r="H9" s="2">
        <v>0</v>
      </c>
    </row>
    <row r="10" spans="1:10" s="2" customFormat="1">
      <c r="A10" s="5" t="s">
        <v>39</v>
      </c>
      <c r="B10" s="6" t="str">
        <f>NormalDistribution(C10,D10,,I10)</f>
        <v>NormalDistribution(-2.65; 0.69;; 0)</v>
      </c>
      <c r="C10" s="2">
        <v>-2.65</v>
      </c>
      <c r="D10" s="2">
        <v>0.69</v>
      </c>
      <c r="I10" s="2">
        <v>0</v>
      </c>
    </row>
    <row r="15" spans="1:10">
      <c r="A15" t="s">
        <v>203</v>
      </c>
      <c r="B15" t="s">
        <v>204</v>
      </c>
    </row>
    <row r="16" spans="1:10">
      <c r="A16" t="s">
        <v>65</v>
      </c>
      <c r="B16" t="s">
        <v>205</v>
      </c>
    </row>
    <row r="18" spans="1:5">
      <c r="A18" s="12" t="s">
        <v>143</v>
      </c>
      <c r="B18" s="12" t="s">
        <v>64</v>
      </c>
      <c r="C18" s="12" t="s">
        <v>65</v>
      </c>
      <c r="D18" s="12" t="s">
        <v>135</v>
      </c>
      <c r="E18" s="12" t="s">
        <v>136</v>
      </c>
    </row>
    <row r="19" spans="1:5">
      <c r="A19" s="1" t="s">
        <v>2</v>
      </c>
      <c r="B19" s="6">
        <v>0</v>
      </c>
      <c r="C19" s="6" t="str">
        <f>NormalDistribution(D19,E19,0)</f>
        <v>NormalDistribution(0.3534; 0.0614; 0)</v>
      </c>
      <c r="D19" s="14">
        <v>0.35339999999999999</v>
      </c>
      <c r="E19" s="14">
        <v>6.1400000000000003E-2</v>
      </c>
    </row>
    <row r="20" spans="1:5">
      <c r="A20" s="1" t="s">
        <v>3</v>
      </c>
      <c r="B20" s="6">
        <v>0</v>
      </c>
      <c r="C20" s="6" t="str">
        <f t="shared" ref="C20:C34" si="0">NormalDistribution(D20,E20,0)</f>
        <v>NormalDistribution(0.3534; 0.0614; 0)</v>
      </c>
      <c r="D20" s="14">
        <v>0.35339999999999999</v>
      </c>
      <c r="E20" s="14">
        <v>6.1400000000000003E-2</v>
      </c>
    </row>
    <row r="21" spans="1:5">
      <c r="A21" s="1" t="s">
        <v>6</v>
      </c>
      <c r="B21" s="6">
        <v>0</v>
      </c>
      <c r="C21" s="6" t="str">
        <f t="shared" si="0"/>
        <v>NormalDistribution(0.3534; 0.0614; 0)</v>
      </c>
      <c r="D21" s="14">
        <v>0.35339999999999999</v>
      </c>
      <c r="E21" s="14">
        <v>6.1400000000000003E-2</v>
      </c>
    </row>
    <row r="22" spans="1:5">
      <c r="A22" s="1" t="s">
        <v>7</v>
      </c>
      <c r="B22" s="6">
        <v>0.125</v>
      </c>
      <c r="C22" s="6" t="str">
        <f t="shared" si="0"/>
        <v>NormalDistribution(0.3534; 0.0614; 0)</v>
      </c>
      <c r="D22" s="14">
        <v>0.35339999999999999</v>
      </c>
      <c r="E22" s="14">
        <v>6.1400000000000003E-2</v>
      </c>
    </row>
    <row r="23" spans="1:5">
      <c r="A23" s="1" t="s">
        <v>8</v>
      </c>
      <c r="B23" s="6">
        <v>0</v>
      </c>
      <c r="C23" s="6" t="str">
        <f t="shared" si="0"/>
        <v>NormalDistribution(0.3534; 0.0614; 0)</v>
      </c>
      <c r="D23" s="14">
        <v>0.35339999999999999</v>
      </c>
      <c r="E23" s="14">
        <v>6.1400000000000003E-2</v>
      </c>
    </row>
    <row r="24" spans="1:5">
      <c r="A24" s="1" t="s">
        <v>9</v>
      </c>
      <c r="B24" s="6">
        <v>0</v>
      </c>
      <c r="C24" s="6" t="str">
        <f t="shared" si="0"/>
        <v>NormalDistribution(0.3534; 0.0614; 0)</v>
      </c>
      <c r="D24" s="14">
        <v>0.35339999999999999</v>
      </c>
      <c r="E24" s="14">
        <v>6.1400000000000003E-2</v>
      </c>
    </row>
    <row r="25" spans="1:5">
      <c r="A25" s="1" t="s">
        <v>10</v>
      </c>
      <c r="B25" s="6">
        <v>0</v>
      </c>
      <c r="C25" s="6" t="str">
        <f t="shared" si="0"/>
        <v>NormalDistribution(0.3534; 0.0614; 0)</v>
      </c>
      <c r="D25" s="14">
        <v>0.35339999999999999</v>
      </c>
      <c r="E25" s="14">
        <v>6.1400000000000003E-2</v>
      </c>
    </row>
    <row r="26" spans="1:5">
      <c r="A26" s="1" t="s">
        <v>11</v>
      </c>
      <c r="B26" s="6">
        <v>0.28599999999999998</v>
      </c>
      <c r="C26" s="6" t="str">
        <f t="shared" si="0"/>
        <v>NormalDistribution(0.3534; 0.0614; 0)</v>
      </c>
      <c r="D26" s="14">
        <v>0.35339999999999999</v>
      </c>
      <c r="E26" s="14">
        <v>6.1400000000000003E-2</v>
      </c>
    </row>
    <row r="27" spans="1:5">
      <c r="A27" s="1" t="s">
        <v>12</v>
      </c>
      <c r="B27" s="6">
        <v>0.50800000000000001</v>
      </c>
      <c r="C27" s="6" t="str">
        <f t="shared" si="0"/>
        <v>NormalDistribution(0.3534; 0.0614; 0)</v>
      </c>
      <c r="D27" s="14">
        <v>0.35339999999999999</v>
      </c>
      <c r="E27" s="14">
        <v>6.1400000000000003E-2</v>
      </c>
    </row>
    <row r="28" spans="1:5">
      <c r="A28" s="1" t="s">
        <v>13</v>
      </c>
      <c r="B28" s="6">
        <v>0.54100000000000004</v>
      </c>
      <c r="C28" s="6" t="str">
        <f t="shared" si="0"/>
        <v>NormalDistribution(0.3534; 0.0614; 0)</v>
      </c>
      <c r="D28" s="14">
        <v>0.35339999999999999</v>
      </c>
      <c r="E28" s="14">
        <v>6.1400000000000003E-2</v>
      </c>
    </row>
    <row r="29" spans="1:5">
      <c r="A29" s="1" t="s">
        <v>14</v>
      </c>
      <c r="B29" s="6">
        <v>6.8959999999999999</v>
      </c>
      <c r="C29" s="6" t="str">
        <f t="shared" si="0"/>
        <v>NormalDistribution(0.3534; 0.0614; 0)</v>
      </c>
      <c r="D29" s="14">
        <v>0.35339999999999999</v>
      </c>
      <c r="E29" s="14">
        <v>6.1400000000000003E-2</v>
      </c>
    </row>
    <row r="30" spans="1:5">
      <c r="A30" s="1" t="s">
        <v>15</v>
      </c>
      <c r="B30" s="6">
        <v>2.0720000000000001</v>
      </c>
      <c r="C30" s="6" t="str">
        <f t="shared" si="0"/>
        <v>NormalDistribution(0.3534; 0.0614; 0)</v>
      </c>
      <c r="D30" s="14">
        <v>0.35339999999999999</v>
      </c>
      <c r="E30" s="14">
        <v>6.1400000000000003E-2</v>
      </c>
    </row>
    <row r="31" spans="1:5">
      <c r="A31" s="1" t="s">
        <v>16</v>
      </c>
      <c r="B31" s="6">
        <v>0.59299999999999997</v>
      </c>
      <c r="C31" s="6" t="str">
        <f t="shared" si="0"/>
        <v>NormalDistribution(0.3534; 0.0614; 0)</v>
      </c>
      <c r="D31" s="14">
        <v>0.35339999999999999</v>
      </c>
      <c r="E31" s="14">
        <v>6.1400000000000003E-2</v>
      </c>
    </row>
    <row r="32" spans="1:5">
      <c r="A32" s="1" t="s">
        <v>17</v>
      </c>
      <c r="B32" s="6">
        <v>1.089</v>
      </c>
      <c r="C32" s="6" t="str">
        <f t="shared" si="0"/>
        <v>NormalDistribution(0.3534; 0.0614; 0)</v>
      </c>
      <c r="D32" s="14">
        <v>0.35339999999999999</v>
      </c>
      <c r="E32" s="14">
        <v>6.1400000000000003E-2</v>
      </c>
    </row>
    <row r="33" spans="1:5">
      <c r="A33" s="1" t="s">
        <v>18</v>
      </c>
      <c r="B33" s="6">
        <v>0.35099999999999998</v>
      </c>
      <c r="C33" s="6" t="str">
        <f t="shared" si="0"/>
        <v>NormalDistribution(0.3534; 0.0614; 0)</v>
      </c>
      <c r="D33" s="14">
        <v>0.35339999999999999</v>
      </c>
      <c r="E33" s="14">
        <v>6.1400000000000003E-2</v>
      </c>
    </row>
    <row r="34" spans="1:5">
      <c r="A34" s="1" t="s">
        <v>19</v>
      </c>
      <c r="B34" s="6">
        <v>1.01</v>
      </c>
      <c r="C34" s="6" t="str">
        <f t="shared" si="0"/>
        <v>NormalDistribution(0.3534; 0.0614; 0)</v>
      </c>
      <c r="D34" s="14">
        <v>0.35339999999999999</v>
      </c>
      <c r="E34" s="14">
        <v>6.1400000000000003E-2</v>
      </c>
    </row>
    <row r="36" spans="1:5">
      <c r="A36" s="18" t="s">
        <v>66</v>
      </c>
      <c r="B36" t="s">
        <v>206</v>
      </c>
    </row>
    <row r="37" spans="1:5">
      <c r="A37" s="18" t="s">
        <v>67</v>
      </c>
      <c r="B37" t="s">
        <v>207</v>
      </c>
    </row>
    <row r="39" spans="1:5">
      <c r="A39" s="12" t="s">
        <v>143</v>
      </c>
      <c r="B39" s="12" t="s">
        <v>66</v>
      </c>
      <c r="C39" s="12" t="s">
        <v>67</v>
      </c>
      <c r="D39" s="12" t="s">
        <v>135</v>
      </c>
      <c r="E39" s="12" t="s">
        <v>136</v>
      </c>
    </row>
    <row r="40" spans="1:5">
      <c r="A40" s="1" t="s">
        <v>2</v>
      </c>
      <c r="B40" s="6">
        <v>7.0000000000000001E-3</v>
      </c>
      <c r="C40" s="6" t="str">
        <f>NormalDistribution(D40,E40,,0)</f>
        <v>NormalDistribution(-0.1149; 0.0614;; 0)</v>
      </c>
      <c r="D40" s="14">
        <v>-0.1149</v>
      </c>
      <c r="E40" s="14">
        <v>6.1400000000000003E-2</v>
      </c>
    </row>
    <row r="41" spans="1:5">
      <c r="A41" s="1" t="s">
        <v>3</v>
      </c>
      <c r="B41" s="6">
        <v>7.0000000000000001E-3</v>
      </c>
      <c r="C41" s="6" t="str">
        <f t="shared" ref="C41:C55" si="1">NormalDistribution(D41,E41,,0)</f>
        <v>NormalDistribution(-0.1149; 0.0614;; 0)</v>
      </c>
      <c r="D41" s="14">
        <v>-0.1149</v>
      </c>
      <c r="E41" s="14">
        <v>6.1400000000000003E-2</v>
      </c>
    </row>
    <row r="42" spans="1:5">
      <c r="A42" s="1" t="s">
        <v>6</v>
      </c>
      <c r="B42" s="6">
        <v>0.02</v>
      </c>
      <c r="C42" s="6" t="str">
        <f t="shared" si="1"/>
        <v>NormalDistribution(-0.1149; 0.0614;; 0)</v>
      </c>
      <c r="D42" s="14">
        <v>-0.1149</v>
      </c>
      <c r="E42" s="14">
        <v>6.1400000000000003E-2</v>
      </c>
    </row>
    <row r="43" spans="1:5">
      <c r="A43" s="1" t="s">
        <v>7</v>
      </c>
      <c r="B43" s="6">
        <v>0.42299999999999999</v>
      </c>
      <c r="C43" s="6" t="str">
        <f t="shared" si="1"/>
        <v>NormalDistribution(-0.1149; 0.0614;; 0)</v>
      </c>
      <c r="D43" s="14">
        <v>-0.1149</v>
      </c>
      <c r="E43" s="14">
        <v>6.1400000000000003E-2</v>
      </c>
    </row>
    <row r="44" spans="1:5">
      <c r="A44" s="1" t="s">
        <v>8</v>
      </c>
      <c r="B44" s="6">
        <v>3.6999999999999998E-2</v>
      </c>
      <c r="C44" s="6" t="str">
        <f t="shared" si="1"/>
        <v>NormalDistribution(-0.1149; 0.0614;; 0)</v>
      </c>
      <c r="D44" s="14">
        <v>-0.1149</v>
      </c>
      <c r="E44" s="14">
        <v>6.1400000000000003E-2</v>
      </c>
    </row>
    <row r="45" spans="1:5">
      <c r="A45" s="1" t="s">
        <v>9</v>
      </c>
      <c r="B45" s="6">
        <v>1.2E-2</v>
      </c>
      <c r="C45" s="6" t="str">
        <f t="shared" si="1"/>
        <v>NormalDistribution(-0.1149; 0.0614;; 0)</v>
      </c>
      <c r="D45" s="14">
        <v>-0.1149</v>
      </c>
      <c r="E45" s="14">
        <v>6.1400000000000003E-2</v>
      </c>
    </row>
    <row r="46" spans="1:5">
      <c r="A46" s="1" t="s">
        <v>10</v>
      </c>
      <c r="B46" s="6">
        <v>3.0000000000000001E-3</v>
      </c>
      <c r="C46" s="6" t="str">
        <f t="shared" si="1"/>
        <v>NormalDistribution(-0.1149; 0.0614;; 0)</v>
      </c>
      <c r="D46" s="14">
        <v>-0.1149</v>
      </c>
      <c r="E46" s="14">
        <v>6.1400000000000003E-2</v>
      </c>
    </row>
    <row r="47" spans="1:5">
      <c r="A47" s="1" t="s">
        <v>11</v>
      </c>
      <c r="B47" s="6">
        <v>4.2290000000000001</v>
      </c>
      <c r="C47" s="6" t="str">
        <f t="shared" si="1"/>
        <v>NormalDistribution(-0.1149; 0.0614;; 0)</v>
      </c>
      <c r="D47" s="14">
        <v>-0.1149</v>
      </c>
      <c r="E47" s="14">
        <v>6.1400000000000003E-2</v>
      </c>
    </row>
    <row r="48" spans="1:5">
      <c r="A48" s="1" t="s">
        <v>12</v>
      </c>
      <c r="B48" s="6">
        <v>1.2350000000000001</v>
      </c>
      <c r="C48" s="6" t="str">
        <f t="shared" si="1"/>
        <v>NormalDistribution(-0.1149; 0.0614;; 0)</v>
      </c>
      <c r="D48" s="14">
        <v>-0.1149</v>
      </c>
      <c r="E48" s="14">
        <v>6.1400000000000003E-2</v>
      </c>
    </row>
    <row r="49" spans="1:5">
      <c r="A49" s="1" t="s">
        <v>13</v>
      </c>
      <c r="B49" s="6">
        <v>1.2170000000000001</v>
      </c>
      <c r="C49" s="6" t="str">
        <f t="shared" si="1"/>
        <v>NormalDistribution(-0.1149; 0.0614;; 0)</v>
      </c>
      <c r="D49" s="14">
        <v>-0.1149</v>
      </c>
      <c r="E49" s="14">
        <v>6.1400000000000003E-2</v>
      </c>
    </row>
    <row r="50" spans="1:5">
      <c r="A50" s="1" t="s">
        <v>14</v>
      </c>
      <c r="B50" s="6">
        <v>0.89800000000000002</v>
      </c>
      <c r="C50" s="6" t="str">
        <f t="shared" si="1"/>
        <v>NormalDistribution(-0.1149; 0.0614;; 0)</v>
      </c>
      <c r="D50" s="14">
        <v>-0.1149</v>
      </c>
      <c r="E50" s="14">
        <v>6.1400000000000003E-2</v>
      </c>
    </row>
    <row r="51" spans="1:5">
      <c r="A51" s="1" t="s">
        <v>15</v>
      </c>
      <c r="B51" s="6">
        <v>0.629</v>
      </c>
      <c r="C51" s="6" t="str">
        <f t="shared" si="1"/>
        <v>NormalDistribution(-0.1149; 0.0614;; 0)</v>
      </c>
      <c r="D51" s="14">
        <v>-0.1149</v>
      </c>
      <c r="E51" s="14">
        <v>6.1400000000000003E-2</v>
      </c>
    </row>
    <row r="52" spans="1:5">
      <c r="A52" s="1" t="s">
        <v>16</v>
      </c>
      <c r="B52" s="6">
        <v>1.43</v>
      </c>
      <c r="C52" s="6" t="str">
        <f t="shared" si="1"/>
        <v>NormalDistribution(-0.1149; 0.0614;; 0)</v>
      </c>
      <c r="D52" s="14">
        <v>-0.1149</v>
      </c>
      <c r="E52" s="14">
        <v>6.1400000000000003E-2</v>
      </c>
    </row>
    <row r="53" spans="1:5">
      <c r="A53" s="1" t="s">
        <v>17</v>
      </c>
      <c r="B53" s="6">
        <v>7.4740000000000002</v>
      </c>
      <c r="C53" s="6" t="str">
        <f t="shared" si="1"/>
        <v>NormalDistribution(-0.1149; 0.0614;; 0)</v>
      </c>
      <c r="D53" s="14">
        <v>-0.1149</v>
      </c>
      <c r="E53" s="14">
        <v>6.1400000000000003E-2</v>
      </c>
    </row>
    <row r="54" spans="1:5">
      <c r="A54" s="1" t="s">
        <v>18</v>
      </c>
      <c r="B54" s="6">
        <v>8.2750000000000004</v>
      </c>
      <c r="C54" s="6" t="str">
        <f t="shared" si="1"/>
        <v>NormalDistribution(-0.1149; 0.0614;; 0)</v>
      </c>
      <c r="D54" s="14">
        <v>-0.1149</v>
      </c>
      <c r="E54" s="14">
        <v>6.1400000000000003E-2</v>
      </c>
    </row>
    <row r="55" spans="1:5">
      <c r="A55" s="1" t="s">
        <v>19</v>
      </c>
      <c r="B55" s="6">
        <v>1.296</v>
      </c>
      <c r="C55" s="6" t="str">
        <f t="shared" si="1"/>
        <v>NormalDistribution(-0.1149; 0.0614;; 0)</v>
      </c>
      <c r="D55" s="14">
        <v>-0.1149</v>
      </c>
      <c r="E55" s="14">
        <v>6.1400000000000003E-2</v>
      </c>
    </row>
    <row r="58" spans="1:5">
      <c r="A58" s="18" t="s">
        <v>68</v>
      </c>
      <c r="B58" t="s">
        <v>208</v>
      </c>
    </row>
    <row r="59" spans="1:5">
      <c r="A59" s="18" t="s">
        <v>69</v>
      </c>
      <c r="B59" t="s">
        <v>209</v>
      </c>
    </row>
    <row r="61" spans="1:5">
      <c r="A61" s="12" t="s">
        <v>143</v>
      </c>
      <c r="B61" s="12" t="s">
        <v>68</v>
      </c>
      <c r="C61" s="12" t="s">
        <v>69</v>
      </c>
      <c r="D61" s="12" t="s">
        <v>135</v>
      </c>
      <c r="E61" s="12" t="s">
        <v>136</v>
      </c>
    </row>
    <row r="62" spans="1:5">
      <c r="A62" s="1" t="s">
        <v>2</v>
      </c>
      <c r="B62" s="6">
        <v>2.3E-2</v>
      </c>
      <c r="C62" s="6" t="str">
        <f>NormalDistribution(D62,E62,0)</f>
        <v>NormalDistribution(0.0794; 0.0575; 0)</v>
      </c>
      <c r="D62" s="14">
        <v>7.9399999999999998E-2</v>
      </c>
      <c r="E62" s="14">
        <v>5.7500000000000002E-2</v>
      </c>
    </row>
    <row r="63" spans="1:5">
      <c r="A63" s="1" t="s">
        <v>3</v>
      </c>
      <c r="B63" s="6">
        <v>2.3E-2</v>
      </c>
      <c r="C63" s="6" t="str">
        <f t="shared" ref="C63:C77" si="2">NormalDistribution(D63,E63,0)</f>
        <v>NormalDistribution(0.0794; 0.0575; 0)</v>
      </c>
      <c r="D63" s="14">
        <v>7.9399999999999998E-2</v>
      </c>
      <c r="E63" s="14">
        <v>5.7500000000000002E-2</v>
      </c>
    </row>
    <row r="64" spans="1:5">
      <c r="A64" s="1" t="s">
        <v>6</v>
      </c>
      <c r="B64" s="6">
        <v>0.24</v>
      </c>
      <c r="C64" s="6" t="str">
        <f t="shared" si="2"/>
        <v>NormalDistribution(0.0794; 0.0575; 0)</v>
      </c>
      <c r="D64" s="14">
        <v>7.9399999999999998E-2</v>
      </c>
      <c r="E64" s="14">
        <v>5.7500000000000002E-2</v>
      </c>
    </row>
    <row r="65" spans="1:5">
      <c r="A65" s="1" t="s">
        <v>7</v>
      </c>
      <c r="B65" s="6">
        <v>2.3580000000000001</v>
      </c>
      <c r="C65" s="6" t="str">
        <f t="shared" si="2"/>
        <v>NormalDistribution(0.0794; 0.0575; 0)</v>
      </c>
      <c r="D65" s="14">
        <v>7.9399999999999998E-2</v>
      </c>
      <c r="E65" s="14">
        <v>5.7500000000000002E-2</v>
      </c>
    </row>
    <row r="66" spans="1:5">
      <c r="A66" s="1" t="s">
        <v>8</v>
      </c>
      <c r="B66" s="6">
        <v>6.9000000000000006E-2</v>
      </c>
      <c r="C66" s="6" t="str">
        <f t="shared" si="2"/>
        <v>NormalDistribution(0.0794; 0.0575; 0)</v>
      </c>
      <c r="D66" s="14">
        <v>7.9399999999999998E-2</v>
      </c>
      <c r="E66" s="14">
        <v>5.7500000000000002E-2</v>
      </c>
    </row>
    <row r="67" spans="1:5">
      <c r="A67" s="1" t="s">
        <v>9</v>
      </c>
      <c r="B67" s="6">
        <v>0.377</v>
      </c>
      <c r="C67" s="6" t="str">
        <f t="shared" si="2"/>
        <v>NormalDistribution(0.0794; 0.0575; 0)</v>
      </c>
      <c r="D67" s="14">
        <v>7.9399999999999998E-2</v>
      </c>
      <c r="E67" s="14">
        <v>5.7500000000000002E-2</v>
      </c>
    </row>
    <row r="68" spans="1:5">
      <c r="A68" s="1" t="s">
        <v>10</v>
      </c>
      <c r="B68" s="6">
        <v>0.13300000000000001</v>
      </c>
      <c r="C68" s="6" t="str">
        <f t="shared" si="2"/>
        <v>NormalDistribution(0.0794; 0.0575; 0)</v>
      </c>
      <c r="D68" s="14">
        <v>7.9399999999999998E-2</v>
      </c>
      <c r="E68" s="14">
        <v>5.7500000000000002E-2</v>
      </c>
    </row>
    <row r="69" spans="1:5">
      <c r="A69" s="1" t="s">
        <v>11</v>
      </c>
      <c r="B69" s="6">
        <v>24.113</v>
      </c>
      <c r="C69" s="6" t="str">
        <f t="shared" si="2"/>
        <v>NormalDistribution(0.0794; 0.0575; 0)</v>
      </c>
      <c r="D69" s="14">
        <v>7.9399999999999998E-2</v>
      </c>
      <c r="E69" s="14">
        <v>5.7500000000000002E-2</v>
      </c>
    </row>
    <row r="70" spans="1:5">
      <c r="A70" s="1" t="s">
        <v>12</v>
      </c>
      <c r="B70" s="6">
        <v>2.9129999999999998</v>
      </c>
      <c r="C70" s="6" t="str">
        <f t="shared" si="2"/>
        <v>NormalDistribution(0.0794; 0.0575; 0)</v>
      </c>
      <c r="D70" s="14">
        <v>7.9399999999999998E-2</v>
      </c>
      <c r="E70" s="14">
        <v>5.7500000000000002E-2</v>
      </c>
    </row>
    <row r="71" spans="1:5">
      <c r="A71" s="1" t="s">
        <v>13</v>
      </c>
      <c r="B71" s="6">
        <v>3.09</v>
      </c>
      <c r="C71" s="6" t="str">
        <f t="shared" si="2"/>
        <v>NormalDistribution(0.0794; 0.0575; 0)</v>
      </c>
      <c r="D71" s="14">
        <v>7.9399999999999998E-2</v>
      </c>
      <c r="E71" s="14">
        <v>5.7500000000000002E-2</v>
      </c>
    </row>
    <row r="72" spans="1:5">
      <c r="A72" s="1" t="s">
        <v>14</v>
      </c>
      <c r="B72" s="6">
        <v>48.412999999999997</v>
      </c>
      <c r="C72" s="6" t="str">
        <f t="shared" si="2"/>
        <v>NormalDistribution(0.0794; 0.0575; 0)</v>
      </c>
      <c r="D72" s="14">
        <v>7.9399999999999998E-2</v>
      </c>
      <c r="E72" s="14">
        <v>5.7500000000000002E-2</v>
      </c>
    </row>
    <row r="73" spans="1:5">
      <c r="A73" s="1" t="s">
        <v>15</v>
      </c>
      <c r="B73" s="6">
        <v>22.129000000000001</v>
      </c>
      <c r="C73" s="6" t="str">
        <f t="shared" si="2"/>
        <v>NormalDistribution(0.0794; 0.0575; 0)</v>
      </c>
      <c r="D73" s="14">
        <v>7.9399999999999998E-2</v>
      </c>
      <c r="E73" s="14">
        <v>5.7500000000000002E-2</v>
      </c>
    </row>
    <row r="74" spans="1:5">
      <c r="A74" s="1" t="s">
        <v>16</v>
      </c>
      <c r="B74" s="6">
        <v>8.9870000000000001</v>
      </c>
      <c r="C74" s="6" t="str">
        <f t="shared" si="2"/>
        <v>NormalDistribution(0.0794; 0.0575; 0)</v>
      </c>
      <c r="D74" s="14">
        <v>7.9399999999999998E-2</v>
      </c>
      <c r="E74" s="14">
        <v>5.7500000000000002E-2</v>
      </c>
    </row>
    <row r="75" spans="1:5">
      <c r="A75" s="1" t="s">
        <v>17</v>
      </c>
      <c r="B75" s="6">
        <v>458.13299999999998</v>
      </c>
      <c r="C75" s="6" t="str">
        <f t="shared" si="2"/>
        <v>NormalDistribution(0.0794; 0.0575; 0)</v>
      </c>
      <c r="D75" s="14">
        <v>7.9399999999999998E-2</v>
      </c>
      <c r="E75" s="14">
        <v>5.7500000000000002E-2</v>
      </c>
    </row>
    <row r="76" spans="1:5">
      <c r="A76" s="1" t="s">
        <v>18</v>
      </c>
      <c r="B76" s="6">
        <v>1414.2840000000001</v>
      </c>
      <c r="C76" s="6" t="str">
        <f t="shared" si="2"/>
        <v>NormalDistribution(0.0794; 0.0575; 0)</v>
      </c>
      <c r="D76" s="14">
        <v>7.9399999999999998E-2</v>
      </c>
      <c r="E76" s="14">
        <v>5.7500000000000002E-2</v>
      </c>
    </row>
    <row r="77" spans="1:5">
      <c r="A77" s="1" t="s">
        <v>19</v>
      </c>
      <c r="B77" s="6">
        <v>116.586</v>
      </c>
      <c r="C77" s="6" t="str">
        <f t="shared" si="2"/>
        <v>NormalDistribution(0.0794; 0.0575; 0)</v>
      </c>
      <c r="D77" s="14">
        <v>7.9399999999999998E-2</v>
      </c>
      <c r="E77" s="14">
        <v>5.7500000000000002E-2</v>
      </c>
    </row>
  </sheetData>
  <phoneticPr fontId="0" type="noConversion"/>
  <pageMargins left="0.7" right="0.7" top="0.78740157499999996" bottom="0.78740157499999996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>
  <sheetPr codeName="Tabelle33"/>
  <dimension ref="A7:J31"/>
  <sheetViews>
    <sheetView workbookViewId="0">
      <selection activeCell="E31" sqref="E31"/>
    </sheetView>
  </sheetViews>
  <sheetFormatPr defaultColWidth="11.5703125" defaultRowHeight="12.75"/>
  <sheetData>
    <row r="7" spans="1:10" s="1" customFormat="1">
      <c r="A7" s="4" t="s">
        <v>0</v>
      </c>
      <c r="B7" s="1" t="s">
        <v>1</v>
      </c>
      <c r="C7" s="8" t="s">
        <v>135</v>
      </c>
      <c r="D7" s="8" t="s">
        <v>136</v>
      </c>
      <c r="E7" s="8" t="s">
        <v>132</v>
      </c>
      <c r="F7" s="8" t="s">
        <v>133</v>
      </c>
      <c r="G7" s="8" t="s">
        <v>134</v>
      </c>
      <c r="H7" s="8" t="s">
        <v>130</v>
      </c>
      <c r="I7" s="8" t="s">
        <v>131</v>
      </c>
      <c r="J7" s="1" t="s">
        <v>129</v>
      </c>
    </row>
    <row r="8" spans="1:10" s="2" customFormat="1">
      <c r="A8" s="5" t="s">
        <v>45</v>
      </c>
      <c r="B8" s="6" t="str">
        <f>NormalDistribution(C8,D8,H8)</f>
        <v>NormalDistribution(0.25; 0.08; 0)</v>
      </c>
      <c r="C8" s="2">
        <v>0.25</v>
      </c>
      <c r="D8" s="2">
        <v>0.08</v>
      </c>
      <c r="H8" s="2">
        <v>0</v>
      </c>
    </row>
    <row r="15" spans="1:10">
      <c r="A15" s="12" t="s">
        <v>143</v>
      </c>
      <c r="B15" s="12" t="s">
        <v>163</v>
      </c>
      <c r="C15" s="12" t="s">
        <v>149</v>
      </c>
      <c r="D15" s="12" t="s">
        <v>150</v>
      </c>
      <c r="E15" s="12" t="s">
        <v>210</v>
      </c>
      <c r="F15" s="12" t="s">
        <v>116</v>
      </c>
      <c r="G15" s="12" t="s">
        <v>161</v>
      </c>
    </row>
    <row r="16" spans="1:10">
      <c r="A16" s="1" t="s">
        <v>2</v>
      </c>
      <c r="B16" s="6">
        <v>0.1239</v>
      </c>
      <c r="C16" s="6">
        <v>6343</v>
      </c>
      <c r="D16" s="6">
        <v>254.1</v>
      </c>
      <c r="E16" s="29">
        <v>1643.8994423689676</v>
      </c>
      <c r="F16" s="6">
        <v>157.80000000000001</v>
      </c>
      <c r="G16" s="6">
        <v>0.1163</v>
      </c>
    </row>
    <row r="17" spans="1:7">
      <c r="A17" s="1" t="s">
        <v>3</v>
      </c>
      <c r="B17" s="6">
        <v>0.11219999999999999</v>
      </c>
      <c r="C17" s="6">
        <v>532.5</v>
      </c>
      <c r="D17" s="6">
        <v>27.8</v>
      </c>
      <c r="E17" s="29">
        <v>84.822483139100513</v>
      </c>
      <c r="F17" s="6">
        <v>13.7</v>
      </c>
      <c r="G17" s="6">
        <v>6.59E-2</v>
      </c>
    </row>
    <row r="18" spans="1:7">
      <c r="A18" s="1" t="s">
        <v>6</v>
      </c>
      <c r="B18" s="6">
        <v>0.14729999999999999</v>
      </c>
      <c r="C18" s="6">
        <v>8285.4</v>
      </c>
      <c r="D18" s="6">
        <v>376.6</v>
      </c>
      <c r="E18" s="29">
        <v>1913.3150830827924</v>
      </c>
      <c r="F18" s="6">
        <v>304.3</v>
      </c>
      <c r="G18" s="6">
        <v>0.1578</v>
      </c>
    </row>
    <row r="19" spans="1:7">
      <c r="A19" s="1" t="s">
        <v>7</v>
      </c>
      <c r="B19" s="6">
        <v>0.14899999999999999</v>
      </c>
      <c r="C19" s="6">
        <v>5100.7</v>
      </c>
      <c r="D19" s="6">
        <v>166.4</v>
      </c>
      <c r="E19" s="29">
        <v>616.02198067233235</v>
      </c>
      <c r="F19" s="6">
        <v>104</v>
      </c>
      <c r="G19" s="6">
        <v>0.15579999999999999</v>
      </c>
    </row>
    <row r="20" spans="1:7">
      <c r="A20" s="1" t="s">
        <v>8</v>
      </c>
      <c r="B20" s="6">
        <v>0.1115</v>
      </c>
      <c r="C20" s="6">
        <v>359.5</v>
      </c>
      <c r="D20" s="6">
        <v>20.2</v>
      </c>
      <c r="E20" s="29">
        <v>119.05772811532377</v>
      </c>
      <c r="F20" s="6">
        <v>10.1</v>
      </c>
      <c r="G20" s="6">
        <v>-5.16E-2</v>
      </c>
    </row>
    <row r="21" spans="1:7">
      <c r="A21" s="1" t="s">
        <v>9</v>
      </c>
      <c r="B21" s="6">
        <v>0.10340000000000001</v>
      </c>
      <c r="C21" s="6">
        <v>338.1</v>
      </c>
      <c r="D21" s="6">
        <v>124.3</v>
      </c>
      <c r="E21" s="29">
        <v>87.919210894191139</v>
      </c>
      <c r="F21" s="6">
        <v>87.7</v>
      </c>
      <c r="G21" s="6">
        <v>5.1000000000000004E-3</v>
      </c>
    </row>
    <row r="22" spans="1:7">
      <c r="A22" s="1" t="s">
        <v>10</v>
      </c>
      <c r="B22" s="6">
        <v>9.3100000000000002E-2</v>
      </c>
      <c r="C22" s="6">
        <v>915.1</v>
      </c>
      <c r="D22" s="6">
        <v>289.60000000000002</v>
      </c>
      <c r="E22" s="29">
        <v>167.30887876184823</v>
      </c>
      <c r="F22" s="6">
        <v>180.1</v>
      </c>
      <c r="G22" s="6">
        <v>-1.21E-2</v>
      </c>
    </row>
    <row r="23" spans="1:7">
      <c r="A23" s="1" t="s">
        <v>11</v>
      </c>
      <c r="B23" s="6">
        <v>3.5799999999999998E-2</v>
      </c>
      <c r="C23" s="6">
        <v>447.3</v>
      </c>
      <c r="D23" s="6">
        <v>189.2</v>
      </c>
      <c r="E23" s="29">
        <v>76.06498296705729</v>
      </c>
      <c r="F23" s="6">
        <v>58.6</v>
      </c>
      <c r="G23" s="6">
        <v>-3.9100000000000003E-2</v>
      </c>
    </row>
    <row r="24" spans="1:7">
      <c r="A24" s="1" t="s">
        <v>12</v>
      </c>
      <c r="B24" s="6">
        <v>3.8399999999999997E-2</v>
      </c>
      <c r="C24" s="6">
        <v>296</v>
      </c>
      <c r="D24" s="6">
        <v>106.3</v>
      </c>
      <c r="E24" s="29">
        <v>40.513901034143075</v>
      </c>
      <c r="F24" s="6">
        <v>35</v>
      </c>
      <c r="G24" s="6">
        <v>-8.9200000000000002E-2</v>
      </c>
    </row>
    <row r="25" spans="1:7">
      <c r="A25" s="1" t="s">
        <v>13</v>
      </c>
      <c r="B25" s="6">
        <v>4.8599999999999997E-2</v>
      </c>
      <c r="C25" s="6">
        <v>1078</v>
      </c>
      <c r="D25" s="6">
        <v>300.2</v>
      </c>
      <c r="E25" s="29">
        <v>193.13852329038812</v>
      </c>
      <c r="F25" s="6">
        <v>114.9</v>
      </c>
      <c r="G25" s="6">
        <v>-0.15920000000000001</v>
      </c>
    </row>
    <row r="26" spans="1:7">
      <c r="A26" s="1" t="s">
        <v>14</v>
      </c>
      <c r="B26" s="6">
        <v>4.0599999999999997E-2</v>
      </c>
      <c r="C26" s="6">
        <v>351.5</v>
      </c>
      <c r="D26" s="6">
        <v>1131.7</v>
      </c>
      <c r="E26" s="29">
        <v>57.971370114835281</v>
      </c>
      <c r="F26" s="6">
        <v>464.1</v>
      </c>
      <c r="G26" s="6">
        <v>0.31319999999999998</v>
      </c>
    </row>
    <row r="27" spans="1:7">
      <c r="A27" s="1" t="s">
        <v>15</v>
      </c>
      <c r="B27" s="6">
        <v>0.04</v>
      </c>
      <c r="C27" s="6">
        <v>456.2</v>
      </c>
      <c r="D27" s="6">
        <v>444.1</v>
      </c>
      <c r="E27" s="29">
        <v>25.694254601656191</v>
      </c>
      <c r="F27" s="6">
        <v>183.2</v>
      </c>
      <c r="G27" s="6">
        <v>0.80259999999999998</v>
      </c>
    </row>
    <row r="28" spans="1:7">
      <c r="A28" s="1" t="s">
        <v>16</v>
      </c>
      <c r="B28" s="6">
        <v>8.5599999999999996E-2</v>
      </c>
      <c r="C28" s="6">
        <v>511.4</v>
      </c>
      <c r="D28" s="6">
        <v>1184.0999999999999</v>
      </c>
      <c r="E28" s="29">
        <v>18.801426605230276</v>
      </c>
      <c r="F28" s="6">
        <v>567.20000000000005</v>
      </c>
      <c r="G28" s="6">
        <v>0.60880000000000001</v>
      </c>
    </row>
    <row r="29" spans="1:7">
      <c r="A29" s="1" t="s">
        <v>17</v>
      </c>
      <c r="B29" s="6">
        <v>3.73E-2</v>
      </c>
      <c r="C29" s="6">
        <v>137.30000000000001</v>
      </c>
      <c r="D29" s="6">
        <v>117.8</v>
      </c>
      <c r="E29" s="29">
        <v>13.448246215232512</v>
      </c>
      <c r="F29" s="6">
        <v>44.1</v>
      </c>
      <c r="G29" s="6">
        <v>6.1100000000000002E-2</v>
      </c>
    </row>
    <row r="30" spans="1:7">
      <c r="A30" s="1" t="s">
        <v>18</v>
      </c>
      <c r="B30" s="6">
        <v>2.9100000000000001E-2</v>
      </c>
      <c r="C30" s="6">
        <v>275.10000000000002</v>
      </c>
      <c r="D30" s="6">
        <v>494.4</v>
      </c>
      <c r="E30" s="29">
        <v>94.685997763463206</v>
      </c>
      <c r="F30" s="6">
        <v>175.8</v>
      </c>
      <c r="G30" s="6">
        <v>0.38790000000000002</v>
      </c>
    </row>
    <row r="31" spans="1:7">
      <c r="A31" s="1" t="s">
        <v>19</v>
      </c>
      <c r="B31" s="6">
        <v>6.0400000000000002E-2</v>
      </c>
      <c r="C31" s="6">
        <v>37.200000000000003</v>
      </c>
      <c r="D31" s="6">
        <v>39.9</v>
      </c>
      <c r="E31" s="29">
        <v>6.8211373729697922</v>
      </c>
      <c r="F31" s="6">
        <v>19.8</v>
      </c>
      <c r="G31" s="6">
        <v>9.4999999999999998E-3</v>
      </c>
    </row>
  </sheetData>
  <phoneticPr fontId="0" type="noConversion"/>
  <pageMargins left="0.7" right="0.7" top="0.78740157499999996" bottom="0.78740157499999996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>
  <sheetPr codeName="Tabelle1"/>
  <dimension ref="A1:J15"/>
  <sheetViews>
    <sheetView workbookViewId="0">
      <pane ySplit="1" topLeftCell="A2" activePane="bottomLeft" state="frozen"/>
      <selection pane="bottomLeft" activeCell="C7" sqref="C7"/>
    </sheetView>
  </sheetViews>
  <sheetFormatPr defaultColWidth="11.42578125" defaultRowHeight="12.75"/>
  <cols>
    <col min="1" max="1" width="13.42578125" style="5" bestFit="1" customWidth="1"/>
    <col min="2" max="2" width="37.5703125" style="2" bestFit="1" customWidth="1"/>
    <col min="3" max="3" width="9.5703125" bestFit="1" customWidth="1"/>
    <col min="4" max="4" width="18.42578125" bestFit="1" customWidth="1"/>
    <col min="5" max="6" width="10" bestFit="1" customWidth="1"/>
    <col min="7" max="7" width="8.42578125" bestFit="1" customWidth="1"/>
    <col min="8" max="9" width="5" bestFit="1" customWidth="1"/>
    <col min="10" max="10" width="12" style="2" bestFit="1" customWidth="1"/>
    <col min="11" max="16384" width="11.42578125" style="2"/>
  </cols>
  <sheetData>
    <row r="1" spans="1:10" s="1" customFormat="1">
      <c r="A1" s="4" t="s">
        <v>0</v>
      </c>
      <c r="B1" s="1" t="s">
        <v>1</v>
      </c>
      <c r="C1" s="8" t="s">
        <v>135</v>
      </c>
      <c r="D1" s="8" t="s">
        <v>136</v>
      </c>
      <c r="E1" s="8" t="s">
        <v>132</v>
      </c>
      <c r="F1" s="8" t="s">
        <v>133</v>
      </c>
      <c r="G1" s="8" t="s">
        <v>134</v>
      </c>
      <c r="H1" s="8" t="s">
        <v>130</v>
      </c>
      <c r="I1" s="8" t="s">
        <v>131</v>
      </c>
      <c r="J1" s="1" t="s">
        <v>129</v>
      </c>
    </row>
    <row r="2" spans="1:10">
      <c r="A2" s="5" t="s">
        <v>5</v>
      </c>
      <c r="B2" s="6" t="str">
        <f>NormalDistribution(C2, D2)</f>
        <v>NormalDistribution(0; 0.0059)</v>
      </c>
      <c r="C2" s="2">
        <v>0</v>
      </c>
      <c r="D2" s="2">
        <v>5.8999999999999999E-3</v>
      </c>
      <c r="E2" s="2"/>
      <c r="F2" s="2"/>
      <c r="G2" s="2"/>
      <c r="H2" s="2"/>
      <c r="I2" s="2"/>
    </row>
    <row r="3" spans="1:10">
      <c r="A3" s="5" t="s">
        <v>20</v>
      </c>
      <c r="B3" s="6" t="str">
        <f>NormalDistribution(C3, D3)</f>
        <v>NormalDistribution(0; 6.8346)</v>
      </c>
      <c r="C3" s="2">
        <v>0</v>
      </c>
      <c r="D3" s="2">
        <v>6.8346</v>
      </c>
      <c r="E3" s="2"/>
      <c r="F3" s="2"/>
      <c r="G3" s="2"/>
      <c r="H3" s="2"/>
      <c r="I3" s="2"/>
    </row>
    <row r="4" spans="1:10">
      <c r="A4" s="5" t="s">
        <v>141</v>
      </c>
      <c r="B4" s="6" t="str">
        <f>NormalDistribution(0, 0.08)</f>
        <v>NormalDistribution(0; 0.08)</v>
      </c>
      <c r="C4" s="2"/>
      <c r="D4" s="2"/>
      <c r="E4" s="2"/>
      <c r="F4" s="2"/>
      <c r="G4" s="2"/>
      <c r="H4" s="2"/>
      <c r="I4" s="2"/>
    </row>
    <row r="5" spans="1:10">
      <c r="A5" s="5" t="s">
        <v>94</v>
      </c>
      <c r="B5" s="6" t="str">
        <f>TriangularDistribution(H5,C5,I5)</f>
        <v>TriangularDistribution(8; 12; 16)</v>
      </c>
      <c r="C5" s="2">
        <v>12</v>
      </c>
      <c r="D5" s="2"/>
      <c r="E5" s="2"/>
      <c r="F5" s="2"/>
      <c r="G5" s="2"/>
      <c r="H5" s="2">
        <v>8</v>
      </c>
      <c r="I5" s="2">
        <v>16</v>
      </c>
    </row>
    <row r="6" spans="1:10">
      <c r="A6" s="5" t="s">
        <v>95</v>
      </c>
      <c r="B6" s="6" t="str">
        <f>TriangularDistribution(H6,C6,I6)</f>
        <v>TriangularDistribution(100; 114; 170)</v>
      </c>
      <c r="C6" s="2">
        <v>114</v>
      </c>
      <c r="D6" s="2"/>
      <c r="E6" s="2"/>
      <c r="F6" s="2"/>
      <c r="G6" s="2"/>
      <c r="H6" s="2">
        <v>100</v>
      </c>
      <c r="I6" s="2">
        <v>170</v>
      </c>
    </row>
    <row r="7" spans="1:10">
      <c r="A7" s="5" t="s">
        <v>140</v>
      </c>
      <c r="B7" s="6" t="str">
        <f>TriangularDistribution(H7,C7,I7)</f>
        <v>TriangularDistribution(1600; 3200; 4800)</v>
      </c>
      <c r="C7" s="2">
        <v>3200</v>
      </c>
      <c r="D7" s="2"/>
      <c r="E7" s="2"/>
      <c r="F7" s="2"/>
      <c r="G7" s="2"/>
      <c r="H7" s="2">
        <v>1600</v>
      </c>
      <c r="I7" s="2">
        <v>4800</v>
      </c>
    </row>
    <row r="8" spans="1:10">
      <c r="A8" s="5" t="s">
        <v>127</v>
      </c>
      <c r="B8" s="6">
        <v>1</v>
      </c>
      <c r="C8" s="2"/>
      <c r="D8" s="2"/>
      <c r="E8" s="2"/>
      <c r="F8" s="2"/>
      <c r="G8" s="2"/>
      <c r="H8" s="2"/>
      <c r="I8" s="2"/>
    </row>
    <row r="9" spans="1:10">
      <c r="A9" s="5" t="s">
        <v>22</v>
      </c>
      <c r="B9" s="6" t="str">
        <f>NormalDistribution(C9,D9,H9)</f>
        <v>NormalDistribution(363; 90.75; 0)</v>
      </c>
      <c r="C9" s="2">
        <v>363</v>
      </c>
      <c r="D9" s="2">
        <v>90.75</v>
      </c>
      <c r="E9" s="2"/>
      <c r="F9" s="2"/>
      <c r="G9" s="2"/>
      <c r="H9" s="2">
        <v>0</v>
      </c>
      <c r="I9" s="2"/>
    </row>
    <row r="10" spans="1:10">
      <c r="A10" s="5" t="s">
        <v>23</v>
      </c>
      <c r="B10" s="6" t="str">
        <f>NormalDistribution(C10,D10,H10)</f>
        <v>NormalDistribution(74; 18.5; 0)</v>
      </c>
      <c r="C10" s="2">
        <v>74</v>
      </c>
      <c r="D10" s="2">
        <v>18.5</v>
      </c>
      <c r="E10" s="2"/>
      <c r="F10" s="2"/>
      <c r="G10" s="2"/>
      <c r="H10" s="2">
        <v>0</v>
      </c>
      <c r="I10" s="2"/>
    </row>
    <row r="11" spans="1:10">
      <c r="A11" s="5" t="s">
        <v>24</v>
      </c>
      <c r="B11" s="6" t="str">
        <f>NormalDistribution(C11,D11,H11)</f>
        <v>NormalDistribution(17; 4.25; 0)</v>
      </c>
      <c r="C11" s="2">
        <v>17</v>
      </c>
      <c r="D11" s="2">
        <v>4.25</v>
      </c>
      <c r="E11" s="2"/>
      <c r="F11" s="2"/>
      <c r="G11" s="2"/>
      <c r="H11" s="2">
        <v>0</v>
      </c>
      <c r="I11" s="2"/>
    </row>
    <row r="12" spans="1:10">
      <c r="A12" s="5" t="s">
        <v>25</v>
      </c>
      <c r="B12" s="6" t="str">
        <f>NormalDistribution(C12,D12,H12)</f>
        <v>NormalDistribution(2; 0.5; 0)</v>
      </c>
      <c r="C12" s="2">
        <v>2</v>
      </c>
      <c r="D12" s="2">
        <v>0.5</v>
      </c>
      <c r="E12" s="2"/>
      <c r="F12" s="2"/>
      <c r="G12" s="2"/>
      <c r="H12" s="2">
        <v>0</v>
      </c>
      <c r="I12" s="2"/>
    </row>
    <row r="13" spans="1:10">
      <c r="A13" s="5" t="s">
        <v>47</v>
      </c>
      <c r="B13" s="6" t="str">
        <f>NormalDistribution(C13,D13,H13)</f>
        <v>NormalDistribution(10; 5; 0)</v>
      </c>
      <c r="C13" s="2">
        <v>10</v>
      </c>
      <c r="D13" s="2">
        <v>5</v>
      </c>
      <c r="E13" s="2"/>
      <c r="F13" s="2"/>
      <c r="G13" s="2"/>
      <c r="H13" s="2">
        <v>0</v>
      </c>
      <c r="I13" s="2"/>
    </row>
    <row r="14" spans="1:10">
      <c r="A14" s="5" t="s">
        <v>151</v>
      </c>
      <c r="B14" s="9">
        <v>275</v>
      </c>
    </row>
    <row r="15" spans="1:10">
      <c r="A15" s="17" t="s">
        <v>183</v>
      </c>
      <c r="B15" s="9">
        <v>0.25</v>
      </c>
    </row>
  </sheetData>
  <dataConsolidate/>
  <phoneticPr fontId="2" type="noConversion"/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>
  <sheetPr codeName="Tabelle34"/>
  <dimension ref="A5:J222"/>
  <sheetViews>
    <sheetView workbookViewId="0">
      <selection activeCell="B105" sqref="B105"/>
    </sheetView>
  </sheetViews>
  <sheetFormatPr defaultColWidth="11.5703125" defaultRowHeight="12.75"/>
  <cols>
    <col min="2" max="2" width="36.28515625" bestFit="1" customWidth="1"/>
  </cols>
  <sheetData>
    <row r="5" spans="1:10" s="1" customFormat="1">
      <c r="A5" s="4" t="s">
        <v>0</v>
      </c>
      <c r="B5" s="1" t="s">
        <v>1</v>
      </c>
      <c r="C5" s="8" t="s">
        <v>135</v>
      </c>
      <c r="D5" s="8" t="s">
        <v>136</v>
      </c>
      <c r="E5" s="8" t="s">
        <v>132</v>
      </c>
      <c r="F5" s="8" t="s">
        <v>133</v>
      </c>
      <c r="G5" s="8" t="s">
        <v>134</v>
      </c>
      <c r="H5" s="8" t="s">
        <v>130</v>
      </c>
      <c r="I5" s="8" t="s">
        <v>131</v>
      </c>
      <c r="J5" s="1" t="s">
        <v>129</v>
      </c>
    </row>
    <row r="6" spans="1:10" s="2" customFormat="1">
      <c r="A6" s="5" t="s">
        <v>54</v>
      </c>
      <c r="B6" s="6" t="str">
        <f>NormalDistribution(C6,D6,H6)</f>
        <v>NormalDistribution(0.025901; 0.009574; 0)</v>
      </c>
      <c r="C6" s="2">
        <v>2.5901E-2</v>
      </c>
      <c r="D6" s="2">
        <v>9.5739999999999992E-3</v>
      </c>
      <c r="H6" s="2">
        <v>0</v>
      </c>
    </row>
    <row r="7" spans="1:10" s="2" customFormat="1">
      <c r="A7" s="5" t="s">
        <v>55</v>
      </c>
      <c r="B7" s="6" t="str">
        <f>NormalDistribution(C7,D7,H7)</f>
        <v>NormalDistribution(0.001583; 0.000457; 0)</v>
      </c>
      <c r="C7" s="2">
        <v>1.583E-3</v>
      </c>
      <c r="D7" s="2">
        <v>4.57E-4</v>
      </c>
      <c r="H7" s="2">
        <v>0</v>
      </c>
    </row>
    <row r="8" spans="1:10" s="2" customFormat="1">
      <c r="A8" s="5" t="s">
        <v>56</v>
      </c>
      <c r="B8" s="6" t="str">
        <f>NormalDistribution(C8,D8,H8)</f>
        <v>NormalDistribution(0.05; 0.02; 0)</v>
      </c>
      <c r="C8" s="2">
        <v>0.05</v>
      </c>
      <c r="D8" s="2">
        <v>0.02</v>
      </c>
      <c r="H8" s="2">
        <v>0</v>
      </c>
    </row>
    <row r="16" spans="1:10">
      <c r="A16" s="12" t="s">
        <v>143</v>
      </c>
      <c r="B16" s="12" t="s">
        <v>164</v>
      </c>
      <c r="C16" s="12" t="s">
        <v>165</v>
      </c>
    </row>
    <row r="17" spans="1:3">
      <c r="A17" s="1" t="s">
        <v>2</v>
      </c>
      <c r="B17" s="6">
        <v>3.5000000000000001E-3</v>
      </c>
      <c r="C17" s="6">
        <v>5.2999999999999998E-4</v>
      </c>
    </row>
    <row r="18" spans="1:3">
      <c r="A18" s="1" t="s">
        <v>3</v>
      </c>
      <c r="B18" s="6">
        <v>3.5000000000000001E-3</v>
      </c>
      <c r="C18" s="6">
        <v>5.2999999999999998E-4</v>
      </c>
    </row>
    <row r="19" spans="1:3">
      <c r="A19" s="1" t="s">
        <v>6</v>
      </c>
      <c r="B19" s="6">
        <v>4.3600000000000002E-3</v>
      </c>
      <c r="C19" s="6">
        <v>5.0000000000000001E-4</v>
      </c>
    </row>
    <row r="20" spans="1:3">
      <c r="A20" s="1" t="s">
        <v>7</v>
      </c>
      <c r="B20" s="6">
        <v>2.63E-3</v>
      </c>
      <c r="C20" s="6">
        <v>3.6999999999999999E-4</v>
      </c>
    </row>
    <row r="21" spans="1:3">
      <c r="A21" s="1" t="s">
        <v>8</v>
      </c>
      <c r="B21" s="6">
        <v>2.63E-3</v>
      </c>
      <c r="C21" s="6">
        <v>3.6999999999999999E-4</v>
      </c>
    </row>
    <row r="22" spans="1:3">
      <c r="A22" s="1" t="s">
        <v>9</v>
      </c>
      <c r="B22" s="6">
        <v>4.81E-3</v>
      </c>
      <c r="C22" s="6">
        <v>2.9999999999999997E-4</v>
      </c>
    </row>
    <row r="23" spans="1:3">
      <c r="A23" s="1" t="s">
        <v>10</v>
      </c>
      <c r="B23" s="6">
        <v>8.7399999999999995E-3</v>
      </c>
      <c r="C23" s="6">
        <v>5.1999999999999995E-4</v>
      </c>
    </row>
    <row r="24" spans="1:3">
      <c r="A24" s="1" t="s">
        <v>11</v>
      </c>
      <c r="B24" s="6">
        <v>1.98E-3</v>
      </c>
      <c r="C24" s="6">
        <v>1.9000000000000001E-4</v>
      </c>
    </row>
    <row r="25" spans="1:3">
      <c r="A25" s="1" t="s">
        <v>12</v>
      </c>
      <c r="B25" s="6">
        <v>1.82E-3</v>
      </c>
      <c r="C25" s="6">
        <v>3.8999999999999999E-4</v>
      </c>
    </row>
    <row r="26" spans="1:3">
      <c r="A26" s="1" t="s">
        <v>13</v>
      </c>
      <c r="B26" s="6">
        <v>1.82E-3</v>
      </c>
      <c r="C26" s="6">
        <v>3.8999999999999999E-4</v>
      </c>
    </row>
    <row r="27" spans="1:3">
      <c r="A27" s="1" t="s">
        <v>14</v>
      </c>
      <c r="B27" s="6">
        <v>2.81E-3</v>
      </c>
      <c r="C27" s="6">
        <v>3.8999999999999999E-4</v>
      </c>
    </row>
    <row r="28" spans="1:3">
      <c r="A28" s="1" t="s">
        <v>15</v>
      </c>
      <c r="B28" s="6">
        <v>2.0300000000000001E-3</v>
      </c>
      <c r="C28" s="6">
        <v>4.6000000000000001E-4</v>
      </c>
    </row>
    <row r="29" spans="1:3">
      <c r="A29" s="1" t="s">
        <v>16</v>
      </c>
      <c r="B29" s="6">
        <v>2.0500000000000002E-3</v>
      </c>
      <c r="C29" s="6">
        <v>1.1E-4</v>
      </c>
    </row>
    <row r="30" spans="1:3">
      <c r="A30" s="1" t="s">
        <v>17</v>
      </c>
      <c r="B30" s="6">
        <v>2.3700000000000001E-3</v>
      </c>
      <c r="C30" s="6">
        <v>3.6999999999999999E-4</v>
      </c>
    </row>
    <row r="31" spans="1:3">
      <c r="A31" s="1" t="s">
        <v>18</v>
      </c>
      <c r="B31" s="6">
        <v>1.49E-3</v>
      </c>
      <c r="C31" s="6">
        <v>3.8000000000000002E-4</v>
      </c>
    </row>
    <row r="32" spans="1:3">
      <c r="A32" s="1" t="s">
        <v>19</v>
      </c>
      <c r="B32" s="6">
        <v>1.82E-3</v>
      </c>
      <c r="C32" s="6">
        <v>3.8999999999999999E-4</v>
      </c>
    </row>
    <row r="35" spans="1:4">
      <c r="A35" s="12" t="s">
        <v>143</v>
      </c>
      <c r="B35" s="12" t="s">
        <v>70</v>
      </c>
      <c r="C35" s="12" t="s">
        <v>135</v>
      </c>
      <c r="D35" s="12" t="s">
        <v>136</v>
      </c>
    </row>
    <row r="36" spans="1:4">
      <c r="A36" s="1" t="s">
        <v>2</v>
      </c>
      <c r="B36" s="6" t="str">
        <f>NormalDistribution(C36,D36,0)</f>
        <v>NormalDistribution(1.0988; 1.0738; 0)</v>
      </c>
      <c r="C36">
        <v>1.0988</v>
      </c>
      <c r="D36">
        <v>1.0738000000000001</v>
      </c>
    </row>
    <row r="37" spans="1:4">
      <c r="A37" s="1" t="s">
        <v>3</v>
      </c>
      <c r="B37" s="6" t="str">
        <f t="shared" ref="B37:B51" si="0">NormalDistribution(C37,D37,0)</f>
        <v>NormalDistribution(1.0705; 1.0738; 0)</v>
      </c>
      <c r="C37">
        <v>1.0705</v>
      </c>
      <c r="D37">
        <v>1.0738000000000001</v>
      </c>
    </row>
    <row r="38" spans="1:4">
      <c r="A38" s="1" t="s">
        <v>6</v>
      </c>
      <c r="B38" s="6" t="str">
        <f t="shared" si="0"/>
        <v>NormalDistribution(0.4022; 0.4226; 0)</v>
      </c>
      <c r="C38">
        <v>0.4022</v>
      </c>
      <c r="D38">
        <v>0.42259999999999998</v>
      </c>
    </row>
    <row r="39" spans="1:4">
      <c r="A39" s="1" t="s">
        <v>7</v>
      </c>
      <c r="B39" s="6" t="str">
        <f t="shared" si="0"/>
        <v>NormalDistribution(1.0356; 1.1234; 0)</v>
      </c>
      <c r="C39">
        <v>1.0356000000000001</v>
      </c>
      <c r="D39">
        <v>1.1234</v>
      </c>
    </row>
    <row r="40" spans="1:4">
      <c r="A40" s="1" t="s">
        <v>8</v>
      </c>
      <c r="B40" s="6" t="str">
        <f t="shared" si="0"/>
        <v>NormalDistribution(0.4493; 0.9147; 0)</v>
      </c>
      <c r="C40">
        <v>0.44929999999999998</v>
      </c>
      <c r="D40">
        <v>0.91469999999999996</v>
      </c>
    </row>
    <row r="41" spans="1:4">
      <c r="A41" s="1" t="s">
        <v>9</v>
      </c>
      <c r="B41" s="6" t="str">
        <f t="shared" si="0"/>
        <v>NormalDistribution(0.6119; 0.4767; 0)</v>
      </c>
      <c r="C41">
        <v>0.6119</v>
      </c>
      <c r="D41">
        <v>0.47670000000000001</v>
      </c>
    </row>
    <row r="42" spans="1:4">
      <c r="A42" s="1" t="s">
        <v>10</v>
      </c>
      <c r="B42" s="6" t="str">
        <f t="shared" si="0"/>
        <v>NormalDistribution(0.6468; 1.0738; 0)</v>
      </c>
      <c r="C42">
        <v>0.64680000000000004</v>
      </c>
      <c r="D42">
        <v>1.0738000000000001</v>
      </c>
    </row>
    <row r="43" spans="1:4">
      <c r="A43" s="1" t="s">
        <v>11</v>
      </c>
      <c r="B43" s="6" t="str">
        <f t="shared" si="0"/>
        <v>NormalDistribution(1.0931; 0.4791; 0)</v>
      </c>
      <c r="C43">
        <v>1.0931</v>
      </c>
      <c r="D43">
        <v>0.47910000000000003</v>
      </c>
    </row>
    <row r="44" spans="1:4">
      <c r="A44" s="1" t="s">
        <v>12</v>
      </c>
      <c r="B44" s="6" t="str">
        <f t="shared" si="0"/>
        <v>NormalDistribution(0.9144; 0.8887; 0)</v>
      </c>
      <c r="C44">
        <v>0.91439999999999999</v>
      </c>
      <c r="D44">
        <v>0.88870000000000005</v>
      </c>
    </row>
    <row r="45" spans="1:4">
      <c r="A45" s="1" t="s">
        <v>13</v>
      </c>
      <c r="B45" s="6" t="str">
        <f t="shared" si="0"/>
        <v>NormalDistribution(0.5893; 0.5874; 0)</v>
      </c>
      <c r="C45">
        <v>0.58930000000000005</v>
      </c>
      <c r="D45">
        <v>0.58740000000000003</v>
      </c>
    </row>
    <row r="46" spans="1:4">
      <c r="A46" s="1" t="s">
        <v>14</v>
      </c>
      <c r="B46" s="6" t="str">
        <f t="shared" si="0"/>
        <v>NormalDistribution(1.6317; 0.8373; 0)</v>
      </c>
      <c r="C46">
        <v>1.6316999999999999</v>
      </c>
      <c r="D46">
        <v>0.83730000000000004</v>
      </c>
    </row>
    <row r="47" spans="1:4">
      <c r="A47" s="1" t="s">
        <v>15</v>
      </c>
      <c r="B47" s="6" t="str">
        <f t="shared" si="0"/>
        <v>NormalDistribution(0.8545; 0.4641; 0)</v>
      </c>
      <c r="C47">
        <v>0.85450000000000004</v>
      </c>
      <c r="D47">
        <v>0.46410000000000001</v>
      </c>
    </row>
    <row r="48" spans="1:4">
      <c r="A48" s="1" t="s">
        <v>16</v>
      </c>
      <c r="B48" s="6" t="str">
        <f t="shared" si="0"/>
        <v>NormalDistribution(0.7565; 1.0335; 0)</v>
      </c>
      <c r="C48">
        <v>0.75649999999999995</v>
      </c>
      <c r="D48">
        <v>1.0335000000000001</v>
      </c>
    </row>
    <row r="49" spans="1:4">
      <c r="A49" s="1" t="s">
        <v>17</v>
      </c>
      <c r="B49" s="6" t="str">
        <f t="shared" si="0"/>
        <v>NormalDistribution(1.0409; 0.5662; 0)</v>
      </c>
      <c r="C49">
        <v>1.0408999999999999</v>
      </c>
      <c r="D49">
        <v>0.56620000000000004</v>
      </c>
    </row>
    <row r="50" spans="1:4">
      <c r="A50" s="1" t="s">
        <v>18</v>
      </c>
      <c r="B50" s="6" t="str">
        <f t="shared" si="0"/>
        <v>NormalDistribution(0.8682; 0.3408; 0)</v>
      </c>
      <c r="C50">
        <v>0.86819999999999997</v>
      </c>
      <c r="D50">
        <v>0.34079999999999999</v>
      </c>
    </row>
    <row r="51" spans="1:4">
      <c r="A51" s="1" t="s">
        <v>19</v>
      </c>
      <c r="B51" s="6" t="str">
        <f t="shared" si="0"/>
        <v>NormalDistribution(1.0227; 0.4957; 0)</v>
      </c>
      <c r="C51">
        <v>1.0226999999999999</v>
      </c>
      <c r="D51">
        <v>0.49569999999999997</v>
      </c>
    </row>
    <row r="54" spans="1:4">
      <c r="A54" s="12" t="s">
        <v>143</v>
      </c>
      <c r="B54" s="12" t="s">
        <v>71</v>
      </c>
      <c r="C54" s="12" t="s">
        <v>135</v>
      </c>
      <c r="D54" s="12" t="s">
        <v>136</v>
      </c>
    </row>
    <row r="55" spans="1:4">
      <c r="A55" s="1" t="s">
        <v>2</v>
      </c>
      <c r="B55" s="6" t="str">
        <f>NormalDistribution(C55,D55,0)</f>
        <v>NormalDistribution(0.0471; 0.8815; 0)</v>
      </c>
      <c r="C55">
        <v>4.7100000000000003E-2</v>
      </c>
      <c r="D55">
        <v>0.88149999999999995</v>
      </c>
    </row>
    <row r="56" spans="1:4">
      <c r="A56" s="1" t="s">
        <v>3</v>
      </c>
      <c r="B56" s="6" t="str">
        <f t="shared" ref="B56:B70" si="1">NormalDistribution(C56,D56,0)</f>
        <v>NormalDistribution(0.0471; 0.8815; 0)</v>
      </c>
      <c r="C56">
        <v>4.7100000000000003E-2</v>
      </c>
      <c r="D56">
        <v>0.88149999999999995</v>
      </c>
    </row>
    <row r="57" spans="1:4">
      <c r="A57" s="1" t="s">
        <v>6</v>
      </c>
      <c r="B57" s="6" t="str">
        <f t="shared" si="1"/>
        <v>NormalDistribution(0.0467; 0.3469; 0)</v>
      </c>
      <c r="C57">
        <v>4.6699999999999998E-2</v>
      </c>
      <c r="D57">
        <v>0.34689999999999999</v>
      </c>
    </row>
    <row r="58" spans="1:4">
      <c r="A58" s="1" t="s">
        <v>7</v>
      </c>
      <c r="B58" s="6" t="str">
        <f t="shared" si="1"/>
        <v>NormalDistribution(0.0559; 0.9223; 0)</v>
      </c>
      <c r="C58">
        <v>5.5899999999999998E-2</v>
      </c>
      <c r="D58">
        <v>0.92230000000000001</v>
      </c>
    </row>
    <row r="59" spans="1:4">
      <c r="A59" s="1" t="s">
        <v>8</v>
      </c>
      <c r="B59" s="6" t="str">
        <f t="shared" si="1"/>
        <v>NormalDistribution(0.047; 0.7509; 0)</v>
      </c>
      <c r="C59">
        <v>4.7E-2</v>
      </c>
      <c r="D59">
        <v>0.75090000000000001</v>
      </c>
    </row>
    <row r="60" spans="1:4">
      <c r="A60" s="1" t="s">
        <v>9</v>
      </c>
      <c r="B60" s="6" t="str">
        <f t="shared" si="1"/>
        <v>NormalDistribution(0.047; 0.3914; 0)</v>
      </c>
      <c r="C60">
        <v>4.7E-2</v>
      </c>
      <c r="D60">
        <v>0.39140000000000003</v>
      </c>
    </row>
    <row r="61" spans="1:4">
      <c r="A61" s="1" t="s">
        <v>10</v>
      </c>
      <c r="B61" s="6" t="str">
        <f t="shared" si="1"/>
        <v>NormalDistribution(0.0471; 0.8815; 0)</v>
      </c>
      <c r="C61">
        <v>4.7100000000000003E-2</v>
      </c>
      <c r="D61">
        <v>0.88149999999999995</v>
      </c>
    </row>
    <row r="62" spans="1:4">
      <c r="A62" s="1" t="s">
        <v>11</v>
      </c>
      <c r="B62" s="6" t="str">
        <f t="shared" si="1"/>
        <v>NormalDistribution(0.0452; 0.3933; 0)</v>
      </c>
      <c r="C62">
        <v>4.5199999999999997E-2</v>
      </c>
      <c r="D62">
        <v>0.39329999999999998</v>
      </c>
    </row>
    <row r="63" spans="1:4">
      <c r="A63" s="1" t="s">
        <v>12</v>
      </c>
      <c r="B63" s="6" t="str">
        <f t="shared" si="1"/>
        <v>NormalDistribution(0.0471; 0.7296; 0)</v>
      </c>
      <c r="C63">
        <v>4.7100000000000003E-2</v>
      </c>
      <c r="D63">
        <v>0.72960000000000003</v>
      </c>
    </row>
    <row r="64" spans="1:4">
      <c r="A64" s="1" t="s">
        <v>13</v>
      </c>
      <c r="B64" s="6" t="str">
        <f t="shared" si="1"/>
        <v>NormalDistribution(0.047; 0.4823; 0)</v>
      </c>
      <c r="C64">
        <v>4.7E-2</v>
      </c>
      <c r="D64">
        <v>0.48230000000000001</v>
      </c>
    </row>
    <row r="65" spans="1:4">
      <c r="A65" s="1" t="s">
        <v>14</v>
      </c>
      <c r="B65" s="6" t="str">
        <f t="shared" si="1"/>
        <v>NormalDistribution(0.047; 0.6874; 0)</v>
      </c>
      <c r="C65">
        <v>4.7E-2</v>
      </c>
      <c r="D65">
        <v>0.68740000000000001</v>
      </c>
    </row>
    <row r="66" spans="1:4">
      <c r="A66" s="1" t="s">
        <v>15</v>
      </c>
      <c r="B66" s="6" t="str">
        <f t="shared" si="1"/>
        <v>NormalDistribution(0.0411; 0.381; 0)</v>
      </c>
      <c r="C66">
        <v>4.1099999999999998E-2</v>
      </c>
      <c r="D66">
        <v>0.38100000000000001</v>
      </c>
    </row>
    <row r="67" spans="1:4">
      <c r="A67" s="1" t="s">
        <v>16</v>
      </c>
      <c r="B67" s="6" t="str">
        <f t="shared" si="1"/>
        <v>NormalDistribution(0.0474; 0.8485; 0)</v>
      </c>
      <c r="C67">
        <v>4.7399999999999998E-2</v>
      </c>
      <c r="D67">
        <v>0.84850000000000003</v>
      </c>
    </row>
    <row r="68" spans="1:4">
      <c r="A68" s="1" t="s">
        <v>17</v>
      </c>
      <c r="B68" s="6" t="str">
        <f t="shared" si="1"/>
        <v>NormalDistribution(0.0471; 0.4648; 0)</v>
      </c>
      <c r="C68">
        <v>4.7100000000000003E-2</v>
      </c>
      <c r="D68">
        <v>0.46479999999999999</v>
      </c>
    </row>
    <row r="69" spans="1:4">
      <c r="A69" s="1" t="s">
        <v>18</v>
      </c>
      <c r="B69" s="6" t="str">
        <f t="shared" si="1"/>
        <v>NormalDistribution(0.044; 0.2798; 0)</v>
      </c>
      <c r="C69">
        <v>4.3999999999999997E-2</v>
      </c>
      <c r="D69">
        <v>0.27979999999999999</v>
      </c>
    </row>
    <row r="70" spans="1:4">
      <c r="A70" s="1" t="s">
        <v>19</v>
      </c>
      <c r="B70" s="6" t="str">
        <f t="shared" si="1"/>
        <v>NormalDistribution(0.0324; 0.407; 0)</v>
      </c>
      <c r="C70">
        <v>3.2399999999999998E-2</v>
      </c>
      <c r="D70">
        <v>0.40699999999999997</v>
      </c>
    </row>
    <row r="73" spans="1:4">
      <c r="A73" s="12" t="s">
        <v>143</v>
      </c>
      <c r="B73" s="12" t="s">
        <v>72</v>
      </c>
      <c r="C73" s="12" t="s">
        <v>135</v>
      </c>
      <c r="D73" s="12" t="s">
        <v>136</v>
      </c>
    </row>
    <row r="74" spans="1:4">
      <c r="A74" s="1" t="s">
        <v>2</v>
      </c>
      <c r="B74" s="6" t="str">
        <f>NormalDistribution(C74,D74,0)</f>
        <v>NormalDistribution(34.9374; 42.9155; 0)</v>
      </c>
      <c r="C74">
        <v>34.937399999999997</v>
      </c>
      <c r="D74">
        <v>42.915500000000002</v>
      </c>
    </row>
    <row r="75" spans="1:4">
      <c r="A75" s="1" t="s">
        <v>3</v>
      </c>
      <c r="B75" s="6" t="str">
        <f t="shared" ref="B75:B89" si="2">NormalDistribution(C75,D75,0)</f>
        <v>NormalDistribution(27.328; 42.9155; 0)</v>
      </c>
      <c r="C75">
        <v>27.327999999999999</v>
      </c>
      <c r="D75">
        <v>42.915500000000002</v>
      </c>
    </row>
    <row r="76" spans="1:4">
      <c r="A76" s="1" t="s">
        <v>6</v>
      </c>
      <c r="B76" s="6" t="str">
        <f t="shared" si="2"/>
        <v>NormalDistribution(25.757; 17.8447; 0)</v>
      </c>
      <c r="C76">
        <v>25.757000000000001</v>
      </c>
      <c r="D76">
        <v>17.8447</v>
      </c>
    </row>
    <row r="77" spans="1:4">
      <c r="A77" s="1" t="s">
        <v>7</v>
      </c>
      <c r="B77" s="6" t="str">
        <f t="shared" si="2"/>
        <v>NormalDistribution(8.2986; 17.7713; 0)</v>
      </c>
      <c r="C77">
        <v>8.2986000000000004</v>
      </c>
      <c r="D77">
        <v>17.7713</v>
      </c>
    </row>
    <row r="78" spans="1:4">
      <c r="A78" s="1" t="s">
        <v>8</v>
      </c>
      <c r="B78" s="6" t="str">
        <f t="shared" si="2"/>
        <v>NormalDistribution(18.8372; 36.7267; 0)</v>
      </c>
      <c r="C78">
        <v>18.837199999999999</v>
      </c>
      <c r="D78">
        <v>36.726700000000001</v>
      </c>
    </row>
    <row r="79" spans="1:4">
      <c r="A79" s="1" t="s">
        <v>9</v>
      </c>
      <c r="B79" s="6" t="str">
        <f t="shared" si="2"/>
        <v>NormalDistribution(29.6249; 18.8672; 0)</v>
      </c>
      <c r="C79">
        <v>29.6249</v>
      </c>
      <c r="D79">
        <v>18.8672</v>
      </c>
    </row>
    <row r="80" spans="1:4">
      <c r="A80" s="1" t="s">
        <v>10</v>
      </c>
      <c r="B80" s="6" t="str">
        <f t="shared" si="2"/>
        <v>NormalDistribution(36.4415; 42.9155; 0)</v>
      </c>
      <c r="C80">
        <v>36.441499999999998</v>
      </c>
      <c r="D80">
        <v>42.915500000000002</v>
      </c>
    </row>
    <row r="81" spans="1:4">
      <c r="A81" s="1" t="s">
        <v>11</v>
      </c>
      <c r="B81" s="6" t="str">
        <f t="shared" si="2"/>
        <v>NormalDistribution(50.5493; 20.6547; 0)</v>
      </c>
      <c r="C81">
        <v>50.549300000000002</v>
      </c>
      <c r="D81">
        <v>20.654699999999998</v>
      </c>
    </row>
    <row r="82" spans="1:4">
      <c r="A82" s="1" t="s">
        <v>12</v>
      </c>
      <c r="B82" s="6" t="str">
        <f t="shared" si="2"/>
        <v>NormalDistribution(44.7697; 34.4286; 0)</v>
      </c>
      <c r="C82">
        <v>44.7697</v>
      </c>
      <c r="D82">
        <v>34.428600000000003</v>
      </c>
    </row>
    <row r="83" spans="1:4">
      <c r="A83" s="1" t="s">
        <v>13</v>
      </c>
      <c r="B83" s="6" t="str">
        <f t="shared" si="2"/>
        <v>NormalDistribution(33.7621; 23.0347; 0)</v>
      </c>
      <c r="C83">
        <v>33.762099999999997</v>
      </c>
      <c r="D83">
        <v>23.034700000000001</v>
      </c>
    </row>
    <row r="84" spans="1:4">
      <c r="A84" s="1" t="s">
        <v>14</v>
      </c>
      <c r="B84" s="6" t="str">
        <f t="shared" si="2"/>
        <v>NormalDistribution(74.5092; 36.2131; 0)</v>
      </c>
      <c r="C84">
        <v>74.509200000000007</v>
      </c>
      <c r="D84">
        <v>36.213099999999997</v>
      </c>
    </row>
    <row r="85" spans="1:4">
      <c r="A85" s="1" t="s">
        <v>15</v>
      </c>
      <c r="B85" s="6" t="str">
        <f>NormalDistribution(C85,D85,,0)</f>
        <v>NormalDistribution(-18.7223; 8.1867;; 0)</v>
      </c>
      <c r="C85">
        <v>-18.722300000000001</v>
      </c>
      <c r="D85">
        <v>8.1867000000000001</v>
      </c>
    </row>
    <row r="86" spans="1:4">
      <c r="A86" s="1" t="s">
        <v>16</v>
      </c>
      <c r="B86" s="6" t="str">
        <f t="shared" si="2"/>
        <v>NormalDistribution(82.0355; 29.0776; 0)</v>
      </c>
      <c r="C86">
        <v>82.035499999999999</v>
      </c>
      <c r="D86">
        <v>29.0776</v>
      </c>
    </row>
    <row r="87" spans="1:4">
      <c r="A87" s="1" t="s">
        <v>17</v>
      </c>
      <c r="B87" s="6" t="str">
        <f t="shared" si="2"/>
        <v>NormalDistribution(50.4842; 23.0206; 0)</v>
      </c>
      <c r="C87">
        <v>50.484200000000001</v>
      </c>
      <c r="D87">
        <v>23.020600000000002</v>
      </c>
    </row>
    <row r="88" spans="1:4">
      <c r="A88" s="1" t="s">
        <v>18</v>
      </c>
      <c r="B88" s="6" t="str">
        <f t="shared" si="2"/>
        <v>NormalDistribution(43.4397; 13.5145; 0)</v>
      </c>
      <c r="C88">
        <v>43.439700000000002</v>
      </c>
      <c r="D88">
        <v>13.5145</v>
      </c>
    </row>
    <row r="89" spans="1:4">
      <c r="A89" s="1" t="s">
        <v>19</v>
      </c>
      <c r="B89" s="6" t="str">
        <f t="shared" si="2"/>
        <v>NormalDistribution(16.9938; 8.0489; 0)</v>
      </c>
      <c r="C89">
        <v>16.9938</v>
      </c>
      <c r="D89">
        <v>8.0488999999999997</v>
      </c>
    </row>
    <row r="92" spans="1:4">
      <c r="A92" s="12" t="s">
        <v>143</v>
      </c>
      <c r="B92" s="12" t="s">
        <v>73</v>
      </c>
      <c r="C92" s="12" t="s">
        <v>135</v>
      </c>
      <c r="D92" s="12" t="s">
        <v>136</v>
      </c>
    </row>
    <row r="93" spans="1:4">
      <c r="A93" s="1" t="s">
        <v>2</v>
      </c>
      <c r="B93" s="6" t="str">
        <f>NormalDistribution(C93,D93,0)</f>
        <v>NormalDistribution(1.7285; 35.2319; 0)</v>
      </c>
      <c r="C93">
        <v>1.7284999999999999</v>
      </c>
      <c r="D93">
        <v>35.231900000000003</v>
      </c>
    </row>
    <row r="94" spans="1:4">
      <c r="A94" s="1" t="s">
        <v>3</v>
      </c>
      <c r="B94" s="6" t="str">
        <f t="shared" ref="B94:B108" si="3">NormalDistribution(C94,D94,0)</f>
        <v>NormalDistribution(1.7285; 35.2319; 0)</v>
      </c>
      <c r="C94">
        <v>1.7284999999999999</v>
      </c>
      <c r="D94">
        <v>35.231900000000003</v>
      </c>
    </row>
    <row r="95" spans="1:4">
      <c r="A95" s="1" t="s">
        <v>6</v>
      </c>
      <c r="B95" s="6" t="str">
        <f t="shared" si="3"/>
        <v>NormalDistribution(1.7966; 14.6498; 0)</v>
      </c>
      <c r="C95">
        <v>1.7966</v>
      </c>
      <c r="D95">
        <v>14.649800000000001</v>
      </c>
    </row>
    <row r="96" spans="1:4">
      <c r="A96" s="1" t="s">
        <v>7</v>
      </c>
      <c r="B96" s="6" t="str">
        <f t="shared" si="3"/>
        <v>NormalDistribution(0.7493; 14.5895; 0)</v>
      </c>
      <c r="C96">
        <v>0.74929999999999997</v>
      </c>
      <c r="D96">
        <v>14.589499999999999</v>
      </c>
    </row>
    <row r="97" spans="1:4">
      <c r="A97" s="1" t="s">
        <v>8</v>
      </c>
      <c r="B97" s="6" t="str">
        <f t="shared" si="3"/>
        <v>NormalDistribution(1.7286; 30.1512; 0)</v>
      </c>
      <c r="C97">
        <v>1.7285999999999999</v>
      </c>
      <c r="D97">
        <v>30.151199999999999</v>
      </c>
    </row>
    <row r="98" spans="1:4">
      <c r="A98" s="1" t="s">
        <v>9</v>
      </c>
      <c r="B98" s="6" t="str">
        <f t="shared" si="3"/>
        <v>NormalDistribution(1.7531; 15.4893; 0)</v>
      </c>
      <c r="C98">
        <v>1.7531000000000001</v>
      </c>
      <c r="D98">
        <v>15.4893</v>
      </c>
    </row>
    <row r="99" spans="1:4">
      <c r="A99" s="1" t="s">
        <v>10</v>
      </c>
      <c r="B99" s="6" t="str">
        <f t="shared" si="3"/>
        <v>NormalDistribution(1.7285; 35.2319; 0)</v>
      </c>
      <c r="C99">
        <v>1.7284999999999999</v>
      </c>
      <c r="D99">
        <v>35.231900000000003</v>
      </c>
    </row>
    <row r="100" spans="1:4">
      <c r="A100" s="1" t="s">
        <v>11</v>
      </c>
      <c r="B100" s="6" t="str">
        <f t="shared" si="3"/>
        <v>NormalDistribution(1.7011; 16.9568; 0)</v>
      </c>
      <c r="C100">
        <v>1.7011000000000001</v>
      </c>
      <c r="D100">
        <v>16.956800000000001</v>
      </c>
    </row>
    <row r="101" spans="1:4">
      <c r="A101" s="1" t="s">
        <v>12</v>
      </c>
      <c r="B101" s="6" t="str">
        <f t="shared" si="3"/>
        <v>NormalDistribution(1.662; 28.2646; 0)</v>
      </c>
      <c r="C101">
        <v>1.6619999999999999</v>
      </c>
      <c r="D101">
        <v>28.264600000000002</v>
      </c>
    </row>
    <row r="102" spans="1:4">
      <c r="A102" s="1" t="s">
        <v>13</v>
      </c>
      <c r="B102" s="6" t="str">
        <f t="shared" si="3"/>
        <v>NormalDistribution(1.7535; 18.9106; 0)</v>
      </c>
      <c r="C102">
        <v>1.7535000000000001</v>
      </c>
      <c r="D102">
        <v>18.910599999999999</v>
      </c>
    </row>
    <row r="103" spans="1:4">
      <c r="A103" s="1" t="s">
        <v>14</v>
      </c>
      <c r="B103" s="6" t="str">
        <f t="shared" si="3"/>
        <v>NormalDistribution(1.7378; 29.7296; 0)</v>
      </c>
      <c r="C103">
        <v>1.7378</v>
      </c>
      <c r="D103">
        <v>29.729600000000001</v>
      </c>
    </row>
    <row r="104" spans="1:4">
      <c r="A104" s="1" t="s">
        <v>15</v>
      </c>
      <c r="B104" s="6" t="str">
        <f>NormalDistribution(C104,D104,,0)</f>
        <v>NormalDistribution(-0.6683; 6.721;; 0)</v>
      </c>
      <c r="C104">
        <v>-0.66830000000000001</v>
      </c>
      <c r="D104">
        <v>6.7210000000000001</v>
      </c>
    </row>
    <row r="105" spans="1:4">
      <c r="A105" s="1" t="s">
        <v>16</v>
      </c>
      <c r="B105" s="6" t="str">
        <f t="shared" si="3"/>
        <v>NormalDistribution(1.2095; 23.8716; 0)</v>
      </c>
      <c r="C105">
        <v>1.2095</v>
      </c>
      <c r="D105">
        <v>23.871600000000001</v>
      </c>
    </row>
    <row r="106" spans="1:4">
      <c r="A106" s="1" t="s">
        <v>17</v>
      </c>
      <c r="B106" s="6" t="str">
        <f t="shared" si="3"/>
        <v>NormalDistribution(1.7096; 18.8991; 0)</v>
      </c>
      <c r="C106">
        <v>1.7096</v>
      </c>
      <c r="D106">
        <v>18.899100000000001</v>
      </c>
    </row>
    <row r="107" spans="1:4">
      <c r="A107" s="1" t="s">
        <v>18</v>
      </c>
      <c r="B107" s="6" t="str">
        <f t="shared" si="3"/>
        <v>NormalDistribution(1.6578; 11.0949; 0)</v>
      </c>
      <c r="C107">
        <v>1.6577999999999999</v>
      </c>
      <c r="D107">
        <v>11.094900000000001</v>
      </c>
    </row>
    <row r="108" spans="1:4">
      <c r="A108" s="1" t="s">
        <v>19</v>
      </c>
      <c r="B108" s="6" t="str">
        <f t="shared" si="3"/>
        <v>NormalDistribution(0.4223; 6.6079; 0)</v>
      </c>
      <c r="C108">
        <v>0.42230000000000001</v>
      </c>
      <c r="D108">
        <v>6.6078999999999999</v>
      </c>
    </row>
    <row r="111" spans="1:4">
      <c r="A111" s="12" t="s">
        <v>143</v>
      </c>
      <c r="B111" s="12" t="s">
        <v>74</v>
      </c>
      <c r="C111" s="12" t="s">
        <v>135</v>
      </c>
      <c r="D111" s="12" t="s">
        <v>136</v>
      </c>
    </row>
    <row r="112" spans="1:4">
      <c r="A112" s="1" t="s">
        <v>2</v>
      </c>
      <c r="B112" s="6" t="str">
        <f>NormalDistribution(C112,D112,0)</f>
        <v>NormalDistribution(151.6768; 3.4583; 0)</v>
      </c>
      <c r="C112">
        <v>151.67679999999999</v>
      </c>
      <c r="D112">
        <v>3.4582999999999999</v>
      </c>
    </row>
    <row r="113" spans="1:4">
      <c r="A113" s="1" t="s">
        <v>3</v>
      </c>
      <c r="B113" s="6" t="str">
        <f t="shared" ref="B113:B117" si="4">NormalDistribution(C113,D113,0)</f>
        <v>NormalDistribution(195.6424; 3.4583; 0)</v>
      </c>
      <c r="C113">
        <v>195.64240000000001</v>
      </c>
      <c r="D113">
        <v>3.4582999999999999</v>
      </c>
    </row>
    <row r="114" spans="1:4">
      <c r="A114" s="1" t="s">
        <v>6</v>
      </c>
      <c r="B114" s="6" t="str">
        <f t="shared" si="4"/>
        <v>NormalDistribution(19.2327; 1.2716; 0)</v>
      </c>
      <c r="C114">
        <v>19.232700000000001</v>
      </c>
      <c r="D114">
        <v>1.2716000000000001</v>
      </c>
    </row>
    <row r="115" spans="1:4">
      <c r="A115" s="1" t="s">
        <v>7</v>
      </c>
      <c r="B115" s="6" t="str">
        <f t="shared" si="4"/>
        <v>NormalDistribution(65.5934; 3.5211; 0)</v>
      </c>
      <c r="C115">
        <v>65.593400000000003</v>
      </c>
      <c r="D115">
        <v>3.5211000000000001</v>
      </c>
    </row>
    <row r="116" spans="1:4">
      <c r="A116" s="1" t="s">
        <v>8</v>
      </c>
      <c r="B116" s="6" t="str">
        <f t="shared" si="4"/>
        <v>NormalDistribution(67.1775; 2.9403; 0)</v>
      </c>
      <c r="C116">
        <v>67.177499999999995</v>
      </c>
      <c r="D116">
        <v>2.9403000000000001</v>
      </c>
    </row>
    <row r="117" spans="1:4">
      <c r="A117" s="1" t="s">
        <v>9</v>
      </c>
      <c r="B117" s="6" t="str">
        <f t="shared" si="4"/>
        <v>NormalDistribution(61.484; 1.5395; 0)</v>
      </c>
      <c r="C117">
        <v>61.484000000000002</v>
      </c>
      <c r="D117">
        <v>1.5395000000000001</v>
      </c>
    </row>
    <row r="118" spans="1:4">
      <c r="A118" s="1" t="s">
        <v>10</v>
      </c>
      <c r="B118" s="6" t="str">
        <f>NormalDistribution(C118,D118,,0)</f>
        <v>NormalDistribution(-3.4422; 3.4583;; 0)</v>
      </c>
      <c r="C118">
        <v>-3.4422000000000001</v>
      </c>
      <c r="D118">
        <v>3.4582999999999999</v>
      </c>
    </row>
    <row r="119" spans="1:4">
      <c r="A119" s="1" t="s">
        <v>11</v>
      </c>
      <c r="B119" s="6" t="str">
        <f t="shared" ref="B119:B126" si="5">NormalDistribution(C119,D119,,0)</f>
        <v>NormalDistribution(-2.4508; 1.5732;; 0)</v>
      </c>
      <c r="C119">
        <v>-2.4508000000000001</v>
      </c>
      <c r="D119">
        <v>1.5731999999999999</v>
      </c>
    </row>
    <row r="120" spans="1:4">
      <c r="A120" s="1" t="s">
        <v>12</v>
      </c>
      <c r="B120" s="6" t="str">
        <f t="shared" si="5"/>
        <v>NormalDistribution(-0.6855; 2.6117;; 0)</v>
      </c>
      <c r="C120">
        <v>-0.6855</v>
      </c>
      <c r="D120">
        <v>2.6116999999999999</v>
      </c>
    </row>
    <row r="121" spans="1:4">
      <c r="A121" s="1" t="s">
        <v>13</v>
      </c>
      <c r="B121" s="6" t="str">
        <f t="shared" ref="B121" si="6">NormalDistribution(C121,D121,0)</f>
        <v>NormalDistribution(16.6942; 1.8829; 0)</v>
      </c>
      <c r="C121">
        <v>16.694199999999999</v>
      </c>
      <c r="D121">
        <v>1.8829</v>
      </c>
    </row>
    <row r="122" spans="1:4">
      <c r="A122" s="1" t="s">
        <v>14</v>
      </c>
      <c r="B122" s="6" t="str">
        <f t="shared" si="5"/>
        <v>NormalDistribution(-1.6072; 2.6242;; 0)</v>
      </c>
      <c r="C122">
        <v>-1.6072</v>
      </c>
      <c r="D122">
        <v>2.6242000000000001</v>
      </c>
    </row>
    <row r="123" spans="1:4">
      <c r="A123" s="1" t="s">
        <v>15</v>
      </c>
      <c r="B123" s="6" t="str">
        <f t="shared" si="5"/>
        <v>NormalDistribution(-0.6838; 1.4722;; 0)</v>
      </c>
      <c r="C123">
        <v>-0.68379999999999996</v>
      </c>
      <c r="D123">
        <v>1.4722</v>
      </c>
    </row>
    <row r="124" spans="1:4">
      <c r="A124" s="1" t="s">
        <v>16</v>
      </c>
      <c r="B124" s="6" t="str">
        <f t="shared" ref="B124" si="7">NormalDistribution(C124,D124,0)</f>
        <v>NormalDistribution(81.1077; 3.4522; 0)</v>
      </c>
      <c r="C124">
        <v>81.107699999999994</v>
      </c>
      <c r="D124">
        <v>3.4521999999999999</v>
      </c>
    </row>
    <row r="125" spans="1:4">
      <c r="A125" s="1" t="s">
        <v>17</v>
      </c>
      <c r="B125" s="6" t="str">
        <f t="shared" si="5"/>
        <v>NormalDistribution(-1.9826; 1.9196;; 0)</v>
      </c>
      <c r="C125">
        <v>-1.9825999999999999</v>
      </c>
      <c r="D125">
        <v>1.9196</v>
      </c>
    </row>
    <row r="126" spans="1:4">
      <c r="A126" s="1" t="s">
        <v>18</v>
      </c>
      <c r="B126" s="6" t="str">
        <f t="shared" si="5"/>
        <v>NormalDistribution(-1.0407; 0.9609;; 0)</v>
      </c>
      <c r="C126">
        <v>-1.0407</v>
      </c>
      <c r="D126">
        <v>0.96089999999999998</v>
      </c>
    </row>
    <row r="127" spans="1:4">
      <c r="A127" s="1" t="s">
        <v>19</v>
      </c>
      <c r="B127" s="6" t="str">
        <f>NormalDistribution(C127,D127,0)</f>
        <v>NormalDistribution(1.6035; 1.1897; 0)</v>
      </c>
      <c r="C127">
        <v>1.6034999999999999</v>
      </c>
      <c r="D127">
        <v>1.1897</v>
      </c>
    </row>
    <row r="130" spans="1:4">
      <c r="A130" s="12" t="s">
        <v>143</v>
      </c>
      <c r="B130" s="12" t="s">
        <v>75</v>
      </c>
      <c r="C130" s="12" t="s">
        <v>135</v>
      </c>
      <c r="D130" s="12" t="s">
        <v>136</v>
      </c>
    </row>
    <row r="131" spans="1:4">
      <c r="A131" s="1" t="s">
        <v>2</v>
      </c>
      <c r="B131" s="6" t="str">
        <f t="shared" ref="B131:B136" si="8">NormalDistribution(C131,D131,,0)</f>
        <v>NormalDistribution(-155.1251; 2.8292;; 0)</v>
      </c>
      <c r="C131">
        <v>-155.1251</v>
      </c>
      <c r="D131">
        <v>2.8292000000000002</v>
      </c>
    </row>
    <row r="132" spans="1:4">
      <c r="A132" s="1" t="s">
        <v>3</v>
      </c>
      <c r="B132" s="6" t="str">
        <f t="shared" si="8"/>
        <v>NormalDistribution(-199.0906; 2.8292;; 0)</v>
      </c>
      <c r="C132">
        <v>-199.09059999999999</v>
      </c>
      <c r="D132">
        <v>2.8292000000000002</v>
      </c>
    </row>
    <row r="133" spans="1:4">
      <c r="A133" s="1" t="s">
        <v>6</v>
      </c>
      <c r="B133" s="6" t="str">
        <f t="shared" si="8"/>
        <v>NormalDistribution(-21.7191; 1.0403;; 0)</v>
      </c>
      <c r="C133">
        <v>-21.719100000000001</v>
      </c>
      <c r="D133">
        <v>1.0403</v>
      </c>
    </row>
    <row r="134" spans="1:4">
      <c r="A134" s="1" t="s">
        <v>7</v>
      </c>
      <c r="B134" s="6" t="str">
        <f t="shared" si="8"/>
        <v>NormalDistribution(-67.185; 2.8805;; 0)</v>
      </c>
      <c r="C134">
        <v>-67.185000000000002</v>
      </c>
      <c r="D134">
        <v>2.8805000000000001</v>
      </c>
    </row>
    <row r="135" spans="1:4">
      <c r="A135" s="1" t="s">
        <v>8</v>
      </c>
      <c r="B135" s="6" t="str">
        <f t="shared" si="8"/>
        <v>NormalDistribution(-68.9576; 2.4054;; 0)</v>
      </c>
      <c r="C135">
        <v>-68.957599999999999</v>
      </c>
      <c r="D135">
        <v>2.4054000000000002</v>
      </c>
    </row>
    <row r="136" spans="1:4">
      <c r="A136" s="1" t="s">
        <v>9</v>
      </c>
      <c r="B136" s="6" t="str">
        <f t="shared" si="8"/>
        <v>NormalDistribution(-65.2217; 1.2594;; 0)</v>
      </c>
      <c r="C136">
        <v>-65.221699999999998</v>
      </c>
      <c r="D136">
        <v>1.2594000000000001</v>
      </c>
    </row>
    <row r="137" spans="1:4">
      <c r="A137" s="1" t="s">
        <v>10</v>
      </c>
      <c r="B137" s="6" t="str">
        <f>NormalDistribution(C137,D137,0)</f>
        <v>NormalDistribution(0.0473; 2.8292; 0)</v>
      </c>
      <c r="C137">
        <v>4.7300000000000002E-2</v>
      </c>
      <c r="D137">
        <v>2.8292000000000002</v>
      </c>
    </row>
    <row r="138" spans="1:4">
      <c r="A138" s="1" t="s">
        <v>11</v>
      </c>
      <c r="B138" s="6" t="str">
        <f>NormalDistribution(C138,D138,0)</f>
        <v>NormalDistribution(0.0457; 1.287; 0)</v>
      </c>
      <c r="C138">
        <v>4.5699999999999998E-2</v>
      </c>
      <c r="D138">
        <v>1.2869999999999999</v>
      </c>
    </row>
    <row r="139" spans="1:4">
      <c r="A139" s="1" t="s">
        <v>12</v>
      </c>
      <c r="B139" s="6" t="str">
        <f>NormalDistribution(C139,D139,,0)</f>
        <v>NormalDistribution(-0.484; 2.1366;; 0)</v>
      </c>
      <c r="C139">
        <v>-0.48399999999999999</v>
      </c>
      <c r="D139">
        <v>2.1366000000000001</v>
      </c>
    </row>
    <row r="140" spans="1:4">
      <c r="A140" s="1" t="s">
        <v>13</v>
      </c>
      <c r="B140" s="6" t="str">
        <f>NormalDistribution(C140,D140,,0)</f>
        <v>NormalDistribution(-18.2021; 1.5404;; 0)</v>
      </c>
      <c r="C140">
        <v>-18.202100000000002</v>
      </c>
      <c r="D140">
        <v>1.5404</v>
      </c>
    </row>
    <row r="141" spans="1:4">
      <c r="A141" s="1" t="s">
        <v>14</v>
      </c>
      <c r="B141" s="6" t="str">
        <f>NormalDistribution(C141,D141,0)</f>
        <v>NormalDistribution(0.0473; 2.1468; 0)</v>
      </c>
      <c r="C141">
        <v>4.7300000000000002E-2</v>
      </c>
      <c r="D141">
        <v>2.1467999999999998</v>
      </c>
    </row>
    <row r="142" spans="1:4">
      <c r="A142" s="1" t="s">
        <v>15</v>
      </c>
      <c r="B142" s="6" t="str">
        <f>NormalDistribution(C142,D142,0)</f>
        <v>NormalDistribution(0.0413; 1.2044; 0)</v>
      </c>
      <c r="C142">
        <v>4.1300000000000003E-2</v>
      </c>
      <c r="D142">
        <v>1.2043999999999999</v>
      </c>
    </row>
    <row r="143" spans="1:4">
      <c r="A143" s="1" t="s">
        <v>16</v>
      </c>
      <c r="B143" s="6" t="str">
        <f>NormalDistribution(C143,D143,,0)</f>
        <v>NormalDistribution(-84.8815; 2.8242;; 0)</v>
      </c>
      <c r="C143">
        <v>-84.881500000000003</v>
      </c>
      <c r="D143">
        <v>2.8241999999999998</v>
      </c>
    </row>
    <row r="144" spans="1:4">
      <c r="A144" s="1" t="s">
        <v>17</v>
      </c>
      <c r="B144" s="6" t="str">
        <f>NormalDistribution(C144,D144,0)</f>
        <v>NormalDistribution(0.0473; 1.5704; 0)</v>
      </c>
      <c r="C144">
        <v>4.7300000000000002E-2</v>
      </c>
      <c r="D144">
        <v>1.5704</v>
      </c>
    </row>
    <row r="145" spans="1:4">
      <c r="A145" s="1" t="s">
        <v>18</v>
      </c>
      <c r="B145" s="6" t="str">
        <f>NormalDistribution(C145,D145,0)</f>
        <v>NormalDistribution(0.0448; 0.7861; 0)</v>
      </c>
      <c r="C145">
        <v>4.48E-2</v>
      </c>
      <c r="D145">
        <v>0.78610000000000002</v>
      </c>
    </row>
    <row r="146" spans="1:4">
      <c r="A146" s="1" t="s">
        <v>19</v>
      </c>
      <c r="B146" s="6" t="str">
        <f>NormalDistribution(C146,D146,,0)</f>
        <v>NormalDistribution(-2.3428; 0.9733;; 0)</v>
      </c>
      <c r="C146">
        <v>-2.3428</v>
      </c>
      <c r="D146">
        <v>0.97330000000000005</v>
      </c>
    </row>
    <row r="149" spans="1:4">
      <c r="A149" s="12" t="s">
        <v>143</v>
      </c>
      <c r="B149" s="12" t="s">
        <v>76</v>
      </c>
      <c r="C149" s="12" t="s">
        <v>135</v>
      </c>
      <c r="D149" s="12" t="s">
        <v>136</v>
      </c>
    </row>
    <row r="150" spans="1:4">
      <c r="A150" s="1" t="s">
        <v>2</v>
      </c>
      <c r="B150" s="6" t="str">
        <f t="shared" ref="B150:B160" si="9">NormalDistribution(C150,D150,,0)</f>
        <v>NormalDistribution(-161.4521; 62.3397;; 0)</v>
      </c>
      <c r="C150">
        <v>-161.4521</v>
      </c>
      <c r="D150">
        <v>62.339700000000001</v>
      </c>
    </row>
    <row r="151" spans="1:4">
      <c r="A151" s="1" t="s">
        <v>3</v>
      </c>
      <c r="B151" s="6" t="str">
        <f t="shared" si="9"/>
        <v>NormalDistribution(-205.4176; 62.3397;; 0)</v>
      </c>
      <c r="C151">
        <v>-205.41759999999999</v>
      </c>
      <c r="D151">
        <v>62.339700000000001</v>
      </c>
    </row>
    <row r="152" spans="1:4">
      <c r="A152" s="1" t="s">
        <v>6</v>
      </c>
      <c r="B152" s="6" t="str">
        <f t="shared" si="9"/>
        <v>NormalDistribution(-145.9539; 23.8362;; 0)</v>
      </c>
      <c r="C152">
        <v>-145.9539</v>
      </c>
      <c r="D152">
        <v>23.836200000000002</v>
      </c>
    </row>
    <row r="153" spans="1:4">
      <c r="A153" s="1" t="s">
        <v>7</v>
      </c>
      <c r="B153" s="6" t="str">
        <f t="shared" si="9"/>
        <v>NormalDistribution(-33.683; 24.9641;; 0)</v>
      </c>
      <c r="C153">
        <v>-33.683</v>
      </c>
      <c r="D153">
        <v>24.964099999999998</v>
      </c>
    </row>
    <row r="154" spans="1:4">
      <c r="A154" s="1" t="s">
        <v>8</v>
      </c>
      <c r="B154" s="6" t="str">
        <f t="shared" si="9"/>
        <v>NormalDistribution(-91.0606; 53.2451;; 0)</v>
      </c>
      <c r="C154">
        <v>-91.060599999999994</v>
      </c>
      <c r="D154">
        <v>53.245100000000001</v>
      </c>
    </row>
    <row r="155" spans="1:4">
      <c r="A155" s="1" t="s">
        <v>9</v>
      </c>
      <c r="B155" s="6" t="str">
        <f t="shared" si="9"/>
        <v>NormalDistribution(-201.8789; 27.0842;; 0)</v>
      </c>
      <c r="C155">
        <v>-201.87889999999999</v>
      </c>
      <c r="D155">
        <v>27.084199999999999</v>
      </c>
    </row>
    <row r="156" spans="1:4">
      <c r="A156" s="1" t="s">
        <v>10</v>
      </c>
      <c r="B156" s="6" t="str">
        <f t="shared" si="9"/>
        <v>NormalDistribution(-190.3936; 62.3397;; 0)</v>
      </c>
      <c r="C156">
        <v>-190.39359999999999</v>
      </c>
      <c r="D156">
        <v>62.339700000000001</v>
      </c>
    </row>
    <row r="157" spans="1:4">
      <c r="A157" s="1" t="s">
        <v>11</v>
      </c>
      <c r="B157" s="6" t="str">
        <f t="shared" si="9"/>
        <v>NormalDistribution(-136.8033; 30.2768;; 0)</v>
      </c>
      <c r="C157">
        <v>-136.80330000000001</v>
      </c>
      <c r="D157">
        <v>30.276800000000001</v>
      </c>
    </row>
    <row r="158" spans="1:4">
      <c r="A158" s="1" t="s">
        <v>12</v>
      </c>
      <c r="B158" s="6" t="str">
        <f t="shared" si="9"/>
        <v>NormalDistribution(-54.1635; 45.5739;; 0)</v>
      </c>
      <c r="C158">
        <v>-54.163499999999999</v>
      </c>
      <c r="D158">
        <v>45.573900000000002</v>
      </c>
    </row>
    <row r="159" spans="1:4">
      <c r="A159" s="1" t="s">
        <v>13</v>
      </c>
      <c r="B159" s="6" t="str">
        <f t="shared" si="9"/>
        <v>NormalDistribution(-78.4126; 32.7397;; 0)</v>
      </c>
      <c r="C159">
        <v>-78.412599999999998</v>
      </c>
      <c r="D159">
        <v>32.739699999999999</v>
      </c>
    </row>
    <row r="160" spans="1:4">
      <c r="A160" s="1" t="s">
        <v>14</v>
      </c>
      <c r="B160" s="6" t="str">
        <f t="shared" si="9"/>
        <v>NormalDistribution(-80.232; 51.2055;; 0)</v>
      </c>
      <c r="C160">
        <v>-80.231999999999999</v>
      </c>
      <c r="D160">
        <v>51.205500000000001</v>
      </c>
    </row>
    <row r="161" spans="1:4">
      <c r="A161" s="1" t="s">
        <v>15</v>
      </c>
      <c r="B161" s="6" t="str">
        <f>NormalDistribution(C161,D161,0)</f>
        <v>NormalDistribution(12.0899; 12.0535; 0)</v>
      </c>
      <c r="C161">
        <v>12.0899</v>
      </c>
      <c r="D161">
        <v>12.0535</v>
      </c>
    </row>
    <row r="162" spans="1:4">
      <c r="A162" s="1" t="s">
        <v>16</v>
      </c>
      <c r="B162" s="6" t="str">
        <f>NormalDistribution(C162,D162,,0)</f>
        <v>NormalDistribution(-66.6796; 43.8249;; 0)</v>
      </c>
      <c r="C162">
        <v>-66.679599999999994</v>
      </c>
      <c r="D162">
        <v>43.8249</v>
      </c>
    </row>
    <row r="163" spans="1:4">
      <c r="A163" s="1" t="s">
        <v>17</v>
      </c>
      <c r="B163" s="6" t="str">
        <f>NormalDistribution(C163,D163,,0)</f>
        <v>NormalDistribution(-102.4339; 35.4522;; 0)</v>
      </c>
      <c r="C163">
        <v>-102.43389999999999</v>
      </c>
      <c r="D163">
        <v>35.452199999999998</v>
      </c>
    </row>
    <row r="164" spans="1:4">
      <c r="A164" s="1" t="s">
        <v>18</v>
      </c>
      <c r="B164" s="6" t="str">
        <f>NormalDistribution(C164,D164,,0)</f>
        <v>NormalDistribution(-49.97; 16.5999;; 0)</v>
      </c>
      <c r="C164">
        <v>-49.97</v>
      </c>
      <c r="D164">
        <v>16.599900000000002</v>
      </c>
    </row>
    <row r="165" spans="1:4">
      <c r="A165" s="1" t="s">
        <v>19</v>
      </c>
      <c r="B165" s="6" t="str">
        <f>NormalDistribution(C165,D165,,0)</f>
        <v>NormalDistribution(-10.4503; 7.4943;; 0)</v>
      </c>
      <c r="C165">
        <v>-10.4503</v>
      </c>
      <c r="D165">
        <v>7.4943</v>
      </c>
    </row>
    <row r="168" spans="1:4">
      <c r="A168" s="12" t="s">
        <v>143</v>
      </c>
      <c r="B168" s="12" t="s">
        <v>77</v>
      </c>
      <c r="C168" s="12" t="s">
        <v>135</v>
      </c>
      <c r="D168" s="12" t="s">
        <v>136</v>
      </c>
    </row>
    <row r="169" spans="1:4">
      <c r="A169" s="1" t="s">
        <v>2</v>
      </c>
      <c r="B169" s="6" t="str">
        <f>NormalDistribution(C169,D169,0)</f>
        <v>NormalDistribution(2.8314; 62.308; 0)</v>
      </c>
      <c r="C169">
        <v>2.8313999999999999</v>
      </c>
      <c r="D169">
        <v>62.308</v>
      </c>
    </row>
    <row r="170" spans="1:4">
      <c r="A170" s="1" t="s">
        <v>3</v>
      </c>
      <c r="B170" s="6" t="str">
        <f t="shared" ref="B170:B184" si="10">NormalDistribution(C170,D170,0)</f>
        <v>NormalDistribution(2.8314; 62.308; 0)</v>
      </c>
      <c r="C170">
        <v>2.8313999999999999</v>
      </c>
      <c r="D170">
        <v>62.308</v>
      </c>
    </row>
    <row r="171" spans="1:4">
      <c r="A171" s="1" t="s">
        <v>6</v>
      </c>
      <c r="B171" s="6" t="str">
        <f t="shared" si="10"/>
        <v>NormalDistribution(2.8279; 23.8241; 0)</v>
      </c>
      <c r="C171">
        <v>2.8279000000000001</v>
      </c>
      <c r="D171">
        <v>23.824100000000001</v>
      </c>
    </row>
    <row r="172" spans="1:4">
      <c r="A172" s="1" t="s">
        <v>7</v>
      </c>
      <c r="B172" s="6" t="str">
        <f t="shared" si="10"/>
        <v>NormalDistribution(1.2018; 24.9514; 0)</v>
      </c>
      <c r="C172">
        <v>1.2018</v>
      </c>
      <c r="D172">
        <v>24.9514</v>
      </c>
    </row>
    <row r="173" spans="1:4">
      <c r="A173" s="1" t="s">
        <v>8</v>
      </c>
      <c r="B173" s="6" t="str">
        <f t="shared" si="10"/>
        <v>NormalDistribution(2.8314; 53.218; 0)</v>
      </c>
      <c r="C173">
        <v>2.8313999999999999</v>
      </c>
      <c r="D173">
        <v>53.218000000000004</v>
      </c>
    </row>
    <row r="174" spans="1:4">
      <c r="A174" s="1" t="s">
        <v>9</v>
      </c>
      <c r="B174" s="6" t="str">
        <f t="shared" si="10"/>
        <v>NormalDistribution(2.8314; 27.0704; 0)</v>
      </c>
      <c r="C174">
        <v>2.8313999999999999</v>
      </c>
      <c r="D174">
        <v>27.070399999999999</v>
      </c>
    </row>
    <row r="175" spans="1:4">
      <c r="A175" s="1" t="s">
        <v>10</v>
      </c>
      <c r="B175" s="6" t="str">
        <f t="shared" si="10"/>
        <v>NormalDistribution(2.8314; 62.308; 0)</v>
      </c>
      <c r="C175">
        <v>2.8313999999999999</v>
      </c>
      <c r="D175">
        <v>62.308</v>
      </c>
    </row>
    <row r="176" spans="1:4">
      <c r="A176" s="1" t="s">
        <v>11</v>
      </c>
      <c r="B176" s="6" t="str">
        <f t="shared" si="10"/>
        <v>NormalDistribution(2.7443; 30.2614; 0)</v>
      </c>
      <c r="C176">
        <v>2.7443</v>
      </c>
      <c r="D176">
        <v>30.261399999999998</v>
      </c>
    </row>
    <row r="177" spans="1:4">
      <c r="A177" s="1" t="s">
        <v>12</v>
      </c>
      <c r="B177" s="6" t="str">
        <f t="shared" si="10"/>
        <v>NormalDistribution(2.7085; 45.5507; 0)</v>
      </c>
      <c r="C177">
        <v>2.7084999999999999</v>
      </c>
      <c r="D177">
        <v>45.550699999999999</v>
      </c>
    </row>
    <row r="178" spans="1:4">
      <c r="A178" s="1" t="s">
        <v>13</v>
      </c>
      <c r="B178" s="6" t="str">
        <f t="shared" si="10"/>
        <v>NormalDistribution(2.8094; 32.723; 0)</v>
      </c>
      <c r="C178">
        <v>2.8094000000000001</v>
      </c>
      <c r="D178">
        <v>32.722999999999999</v>
      </c>
    </row>
    <row r="179" spans="1:4">
      <c r="A179" s="1" t="s">
        <v>14</v>
      </c>
      <c r="B179" s="6" t="str">
        <f t="shared" si="10"/>
        <v>NormalDistribution(2.8314; 51.1794; 0)</v>
      </c>
      <c r="C179">
        <v>2.8313999999999999</v>
      </c>
      <c r="D179">
        <v>51.179400000000001</v>
      </c>
    </row>
    <row r="180" spans="1:4">
      <c r="A180" s="1" t="s">
        <v>15</v>
      </c>
      <c r="B180" s="6" t="str">
        <f>NormalDistribution(C180,D180,,0)</f>
        <v>NormalDistribution(-1.1081; 12.0474;; 0)</v>
      </c>
      <c r="C180">
        <v>-1.1081000000000001</v>
      </c>
      <c r="D180">
        <v>12.0474</v>
      </c>
    </row>
    <row r="181" spans="1:4">
      <c r="A181" s="1" t="s">
        <v>16</v>
      </c>
      <c r="B181" s="6" t="str">
        <f t="shared" si="10"/>
        <v>NormalDistribution(2.0193; 43.8025; 0)</v>
      </c>
      <c r="C181">
        <v>2.0192999999999999</v>
      </c>
      <c r="D181">
        <v>43.802500000000002</v>
      </c>
    </row>
    <row r="182" spans="1:4">
      <c r="A182" s="1" t="s">
        <v>17</v>
      </c>
      <c r="B182" s="6" t="str">
        <f t="shared" si="10"/>
        <v>NormalDistribution(2.8314; 35.4341; 0)</v>
      </c>
      <c r="C182">
        <v>2.8313999999999999</v>
      </c>
      <c r="D182">
        <v>35.434100000000001</v>
      </c>
    </row>
    <row r="183" spans="1:4">
      <c r="A183" s="1" t="s">
        <v>18</v>
      </c>
      <c r="B183" s="6" t="str">
        <f t="shared" si="10"/>
        <v>NormalDistribution(2.6771; 16.5915; 0)</v>
      </c>
      <c r="C183">
        <v>2.6770999999999998</v>
      </c>
      <c r="D183">
        <v>16.5915</v>
      </c>
    </row>
    <row r="184" spans="1:4">
      <c r="A184" s="1" t="s">
        <v>19</v>
      </c>
      <c r="B184" s="6" t="str">
        <f t="shared" si="10"/>
        <v>NormalDistribution(0.5138; 7.4905; 0)</v>
      </c>
      <c r="C184">
        <v>0.51380000000000003</v>
      </c>
      <c r="D184">
        <v>7.4904999999999999</v>
      </c>
    </row>
    <row r="187" spans="1:4">
      <c r="A187" s="12" t="s">
        <v>143</v>
      </c>
      <c r="B187" s="12" t="s">
        <v>78</v>
      </c>
      <c r="C187" s="12" t="s">
        <v>135</v>
      </c>
      <c r="D187" s="12" t="s">
        <v>136</v>
      </c>
    </row>
    <row r="188" spans="1:4">
      <c r="A188" s="1" t="s">
        <v>2</v>
      </c>
      <c r="B188" s="6" t="str">
        <f>NormalDistribution(C188,D188)</f>
        <v>NormalDistribution(0.9452; 6.7337)</v>
      </c>
      <c r="C188">
        <v>0.94520000000000004</v>
      </c>
      <c r="D188">
        <v>6.7336999999999998</v>
      </c>
    </row>
    <row r="189" spans="1:4">
      <c r="A189" s="1" t="s">
        <v>3</v>
      </c>
      <c r="B189" s="6" t="str">
        <f t="shared" ref="B189:B203" si="11">NormalDistribution(C189,D189)</f>
        <v>NormalDistribution(-1.9284; 6.7337)</v>
      </c>
      <c r="C189">
        <v>-1.9283999999999999</v>
      </c>
      <c r="D189">
        <v>6.7336999999999998</v>
      </c>
    </row>
    <row r="190" spans="1:4">
      <c r="A190" s="1" t="s">
        <v>6</v>
      </c>
      <c r="B190" s="6" t="str">
        <f t="shared" si="11"/>
        <v>NormalDistribution(-0.765; 2.4863)</v>
      </c>
      <c r="C190">
        <v>-0.76500000000000001</v>
      </c>
      <c r="D190">
        <v>2.4863</v>
      </c>
    </row>
    <row r="191" spans="1:4">
      <c r="A191" s="1" t="s">
        <v>7</v>
      </c>
      <c r="B191" s="6" t="str">
        <f t="shared" si="11"/>
        <v>NormalDistribution(0.4185; 5.813)</v>
      </c>
      <c r="C191">
        <v>0.41849999999999998</v>
      </c>
      <c r="D191">
        <v>5.8129999999999997</v>
      </c>
    </row>
    <row r="192" spans="1:4">
      <c r="A192" s="1" t="s">
        <v>8</v>
      </c>
      <c r="B192" s="6" t="str">
        <f t="shared" si="11"/>
        <v>NormalDistribution(0.2579; 5.7279)</v>
      </c>
      <c r="C192">
        <v>0.25790000000000002</v>
      </c>
      <c r="D192">
        <v>5.7279</v>
      </c>
    </row>
    <row r="193" spans="1:4">
      <c r="A193" s="1" t="s">
        <v>9</v>
      </c>
      <c r="B193" s="6" t="str">
        <f t="shared" si="11"/>
        <v>NormalDistribution(-1.2946; 2.9883)</v>
      </c>
      <c r="C193">
        <v>-1.2946</v>
      </c>
      <c r="D193">
        <v>2.9883000000000002</v>
      </c>
    </row>
    <row r="194" spans="1:4">
      <c r="A194" s="1" t="s">
        <v>10</v>
      </c>
      <c r="B194" s="6" t="str">
        <f t="shared" si="11"/>
        <v>NormalDistribution(1.5277; 6.7337)</v>
      </c>
      <c r="C194">
        <v>1.5277000000000001</v>
      </c>
      <c r="D194">
        <v>6.7336999999999998</v>
      </c>
    </row>
    <row r="195" spans="1:4">
      <c r="A195" s="1" t="s">
        <v>11</v>
      </c>
      <c r="B195" s="6" t="str">
        <f t="shared" si="11"/>
        <v>NormalDistribution(5.6711; 3.069)</v>
      </c>
      <c r="C195">
        <v>5.6711</v>
      </c>
      <c r="D195">
        <v>3.069</v>
      </c>
    </row>
    <row r="196" spans="1:4">
      <c r="A196" s="1" t="s">
        <v>12</v>
      </c>
      <c r="B196" s="6" t="str">
        <f t="shared" si="11"/>
        <v>NormalDistribution(3.8894; 5.0789)</v>
      </c>
      <c r="C196">
        <v>3.8894000000000002</v>
      </c>
      <c r="D196">
        <v>5.0789</v>
      </c>
    </row>
    <row r="197" spans="1:4">
      <c r="A197" s="1" t="s">
        <v>13</v>
      </c>
      <c r="B197" s="6" t="str">
        <f t="shared" si="11"/>
        <v>NormalDistribution(1.0893; 3.6563)</v>
      </c>
      <c r="C197">
        <v>1.0892999999999999</v>
      </c>
      <c r="D197">
        <v>3.6562999999999999</v>
      </c>
    </row>
    <row r="198" spans="1:4">
      <c r="A198" s="1" t="s">
        <v>14</v>
      </c>
      <c r="B198" s="6" t="str">
        <f t="shared" si="11"/>
        <v>NormalDistribution(10.2485; 5.1264)</v>
      </c>
      <c r="C198">
        <v>10.2485</v>
      </c>
      <c r="D198">
        <v>5.1264000000000003</v>
      </c>
    </row>
    <row r="199" spans="1:4">
      <c r="A199" s="1" t="s">
        <v>15</v>
      </c>
      <c r="B199" s="6" t="str">
        <f t="shared" si="11"/>
        <v>NormalDistribution(4.8562; 3.2809)</v>
      </c>
      <c r="C199">
        <v>4.8562000000000003</v>
      </c>
      <c r="D199">
        <v>3.2808999999999999</v>
      </c>
    </row>
    <row r="200" spans="1:4">
      <c r="A200" s="1" t="s">
        <v>16</v>
      </c>
      <c r="B200" s="6" t="str">
        <f t="shared" si="11"/>
        <v>NormalDistribution(4.4083; 6.5634)</v>
      </c>
      <c r="C200">
        <v>4.4082999999999997</v>
      </c>
      <c r="D200">
        <v>6.5633999999999997</v>
      </c>
    </row>
    <row r="201" spans="1:4">
      <c r="A201" s="1" t="s">
        <v>17</v>
      </c>
      <c r="B201" s="6" t="str">
        <f t="shared" si="11"/>
        <v>NormalDistribution(5.198; 3.7408)</v>
      </c>
      <c r="C201">
        <v>5.1980000000000004</v>
      </c>
      <c r="D201">
        <v>3.7408000000000001</v>
      </c>
    </row>
    <row r="202" spans="1:4">
      <c r="A202" s="1" t="s">
        <v>18</v>
      </c>
      <c r="B202" s="6" t="str">
        <f t="shared" si="11"/>
        <v>NormalDistribution(3.6196; 1.8681)</v>
      </c>
      <c r="C202">
        <v>3.6196000000000002</v>
      </c>
      <c r="D202">
        <v>1.8681000000000001</v>
      </c>
    </row>
    <row r="203" spans="1:4">
      <c r="A203" s="1" t="s">
        <v>19</v>
      </c>
      <c r="B203" s="6" t="str">
        <f t="shared" si="11"/>
        <v>NormalDistribution(4.1354; 2.033)</v>
      </c>
      <c r="C203">
        <v>4.1353999999999997</v>
      </c>
      <c r="D203">
        <v>2.0329999999999999</v>
      </c>
    </row>
    <row r="206" spans="1:4">
      <c r="A206" s="12" t="s">
        <v>143</v>
      </c>
      <c r="B206" s="12" t="s">
        <v>79</v>
      </c>
      <c r="C206" s="12" t="s">
        <v>135</v>
      </c>
      <c r="D206" s="12" t="s">
        <v>136</v>
      </c>
    </row>
    <row r="207" spans="1:4">
      <c r="A207" s="1" t="s">
        <v>2</v>
      </c>
      <c r="B207" s="6" t="str">
        <f>NormalDistribution(C207,D207)</f>
        <v>NormalDistribution(0.4342; 5.5281)</v>
      </c>
      <c r="C207">
        <v>0.43419999999999997</v>
      </c>
      <c r="D207">
        <v>5.5281000000000002</v>
      </c>
    </row>
    <row r="208" spans="1:4">
      <c r="A208" s="1" t="s">
        <v>3</v>
      </c>
      <c r="B208" s="6" t="str">
        <f t="shared" ref="B208:B222" si="12">NormalDistribution(C208,D208)</f>
        <v>NormalDistribution(0.4342; 5.5281)</v>
      </c>
      <c r="C208">
        <v>0.43419999999999997</v>
      </c>
      <c r="D208">
        <v>5.5281000000000002</v>
      </c>
    </row>
    <row r="209" spans="1:4">
      <c r="A209" s="1" t="s">
        <v>6</v>
      </c>
      <c r="B209" s="6" t="str">
        <f t="shared" si="12"/>
        <v>NormalDistribution(0.4341; 2.0412)</v>
      </c>
      <c r="C209">
        <v>0.43409999999999999</v>
      </c>
      <c r="D209">
        <v>2.0411999999999999</v>
      </c>
    </row>
    <row r="210" spans="1:4">
      <c r="A210" s="1" t="s">
        <v>7</v>
      </c>
      <c r="B210" s="6" t="str">
        <f t="shared" si="12"/>
        <v>NormalDistribution(0.4342; 4.7723)</v>
      </c>
      <c r="C210">
        <v>0.43419999999999997</v>
      </c>
      <c r="D210">
        <v>4.7723000000000004</v>
      </c>
    </row>
    <row r="211" spans="1:4">
      <c r="A211" s="1" t="s">
        <v>8</v>
      </c>
      <c r="B211" s="6" t="str">
        <f t="shared" si="12"/>
        <v>NormalDistribution(0.4342; 4.7024)</v>
      </c>
      <c r="C211">
        <v>0.43419999999999997</v>
      </c>
      <c r="D211">
        <v>4.7023999999999999</v>
      </c>
    </row>
    <row r="212" spans="1:4">
      <c r="A212" s="1" t="s">
        <v>9</v>
      </c>
      <c r="B212" s="6" t="str">
        <f t="shared" si="12"/>
        <v>NormalDistribution(0.4342; 2.4533)</v>
      </c>
      <c r="C212">
        <v>0.43419999999999997</v>
      </c>
      <c r="D212">
        <v>2.4533</v>
      </c>
    </row>
    <row r="213" spans="1:4">
      <c r="A213" s="1" t="s">
        <v>10</v>
      </c>
      <c r="B213" s="6" t="str">
        <f t="shared" si="12"/>
        <v>NormalDistribution(0.4342; 5.5281)</v>
      </c>
      <c r="C213">
        <v>0.43419999999999997</v>
      </c>
      <c r="D213">
        <v>5.5281000000000002</v>
      </c>
    </row>
    <row r="214" spans="1:4">
      <c r="A214" s="1" t="s">
        <v>11</v>
      </c>
      <c r="B214" s="6" t="str">
        <f t="shared" si="12"/>
        <v>NormalDistribution(0.4194; 2.5196)</v>
      </c>
      <c r="C214">
        <v>0.4194</v>
      </c>
      <c r="D214">
        <v>2.5196000000000001</v>
      </c>
    </row>
    <row r="215" spans="1:4">
      <c r="A215" s="1" t="s">
        <v>12</v>
      </c>
      <c r="B215" s="6" t="str">
        <f t="shared" si="12"/>
        <v>NormalDistribution(0.4342; 4.1696)</v>
      </c>
      <c r="C215">
        <v>0.43419999999999997</v>
      </c>
      <c r="D215">
        <v>4.1696</v>
      </c>
    </row>
    <row r="216" spans="1:4">
      <c r="A216" s="1" t="s">
        <v>13</v>
      </c>
      <c r="B216" s="6" t="str">
        <f t="shared" si="12"/>
        <v>NormalDistribution(0.4335; 3.0017)</v>
      </c>
      <c r="C216">
        <v>0.4335</v>
      </c>
      <c r="D216">
        <v>3.0017</v>
      </c>
    </row>
    <row r="217" spans="1:4">
      <c r="A217" s="1" t="s">
        <v>14</v>
      </c>
      <c r="B217" s="6" t="str">
        <f t="shared" si="12"/>
        <v>NormalDistribution(0.4342; 4.2086)</v>
      </c>
      <c r="C217">
        <v>0.43419999999999997</v>
      </c>
      <c r="D217">
        <v>4.2085999999999997</v>
      </c>
    </row>
    <row r="218" spans="1:4">
      <c r="A218" s="1" t="s">
        <v>15</v>
      </c>
      <c r="B218" s="6" t="str">
        <f t="shared" si="12"/>
        <v>NormalDistribution(0.4339; 2.6935)</v>
      </c>
      <c r="C218">
        <v>0.43390000000000001</v>
      </c>
      <c r="D218">
        <v>2.6934999999999998</v>
      </c>
    </row>
    <row r="219" spans="1:4">
      <c r="A219" s="1" t="s">
        <v>16</v>
      </c>
      <c r="B219" s="6" t="str">
        <f t="shared" si="12"/>
        <v>NormalDistribution(0.4319; 5.3883)</v>
      </c>
      <c r="C219">
        <v>0.43190000000000001</v>
      </c>
      <c r="D219">
        <v>5.3883000000000001</v>
      </c>
    </row>
    <row r="220" spans="1:4">
      <c r="A220" s="1" t="s">
        <v>17</v>
      </c>
      <c r="B220" s="6" t="str">
        <f t="shared" si="12"/>
        <v>NormalDistribution(0.4341; 3.0711)</v>
      </c>
      <c r="C220">
        <v>0.43409999999999999</v>
      </c>
      <c r="D220">
        <v>3.0710999999999999</v>
      </c>
    </row>
    <row r="221" spans="1:4">
      <c r="A221" s="1" t="s">
        <v>18</v>
      </c>
      <c r="B221" s="6" t="str">
        <f t="shared" si="12"/>
        <v>NormalDistribution(0.411; 1.5337)</v>
      </c>
      <c r="C221">
        <v>0.41099999999999998</v>
      </c>
      <c r="D221">
        <v>1.5337000000000001</v>
      </c>
    </row>
    <row r="222" spans="1:4">
      <c r="A222" s="1" t="s">
        <v>19</v>
      </c>
      <c r="B222" s="6" t="str">
        <f t="shared" si="12"/>
        <v>NormalDistribution(0.2522; 1.669)</v>
      </c>
      <c r="C222">
        <v>0.25219999999999998</v>
      </c>
      <c r="D222">
        <v>1.669</v>
      </c>
    </row>
  </sheetData>
  <phoneticPr fontId="0" type="noConversion"/>
  <pageMargins left="0.7" right="0.7" top="0.78740157499999996" bottom="0.78740157499999996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>
  <sheetPr codeName="Tabelle2"/>
  <dimension ref="A1:R2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6" sqref="A6:XFD6"/>
    </sheetView>
  </sheetViews>
  <sheetFormatPr defaultColWidth="11.42578125" defaultRowHeight="12.75"/>
  <cols>
    <col min="1" max="1" width="28.42578125" style="2" customWidth="1"/>
    <col min="2" max="2" width="16.28515625" style="2" bestFit="1" customWidth="1"/>
    <col min="3" max="4" width="38.28515625" style="2" bestFit="1" customWidth="1"/>
    <col min="5" max="5" width="37.28515625" style="2" bestFit="1" customWidth="1"/>
    <col min="6" max="6" width="38.28515625" style="2" bestFit="1" customWidth="1"/>
    <col min="7" max="7" width="37.85546875" style="2" bestFit="1" customWidth="1"/>
    <col min="8" max="8" width="38.28515625" style="2" bestFit="1" customWidth="1"/>
    <col min="9" max="9" width="38.85546875" style="2" bestFit="1" customWidth="1"/>
    <col min="10" max="10" width="34.85546875" style="2" bestFit="1" customWidth="1"/>
    <col min="11" max="14" width="38.28515625" style="2" bestFit="1" customWidth="1"/>
    <col min="15" max="15" width="37.28515625" style="2" bestFit="1" customWidth="1"/>
    <col min="16" max="16" width="34.85546875" style="2" bestFit="1" customWidth="1"/>
    <col min="17" max="17" width="38.28515625" style="2" bestFit="1" customWidth="1"/>
    <col min="18" max="18" width="33.85546875" style="2" bestFit="1" customWidth="1"/>
    <col min="19" max="19" width="11.42578125" style="2" customWidth="1"/>
    <col min="20" max="20" width="4.7109375" style="2" customWidth="1"/>
    <col min="21" max="16384" width="11.42578125" style="2"/>
  </cols>
  <sheetData>
    <row r="1" spans="1:18" s="1" customFormat="1">
      <c r="A1" s="1" t="s">
        <v>0</v>
      </c>
      <c r="C1" s="1" t="s">
        <v>2</v>
      </c>
      <c r="D1" s="1" t="s">
        <v>3</v>
      </c>
      <c r="E1" s="1" t="s">
        <v>6</v>
      </c>
      <c r="F1" s="1" t="s">
        <v>7</v>
      </c>
      <c r="G1" s="1" t="s">
        <v>8</v>
      </c>
      <c r="H1" s="1" t="s">
        <v>9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14</v>
      </c>
      <c r="N1" s="1" t="s">
        <v>15</v>
      </c>
      <c r="O1" s="1" t="s">
        <v>16</v>
      </c>
      <c r="P1" s="1" t="s">
        <v>17</v>
      </c>
      <c r="Q1" s="1" t="s">
        <v>18</v>
      </c>
      <c r="R1" s="1" t="s">
        <v>19</v>
      </c>
    </row>
    <row r="2" spans="1:18" customFormat="1">
      <c r="B2" t="s">
        <v>132</v>
      </c>
      <c r="C2">
        <v>5.8284000000000002</v>
      </c>
      <c r="D2">
        <v>5.8284000000000002</v>
      </c>
      <c r="E2">
        <v>5.8284000000000002</v>
      </c>
      <c r="F2">
        <v>5.8284000000000002</v>
      </c>
      <c r="G2">
        <v>5.8284000000000002</v>
      </c>
      <c r="H2">
        <v>5.8284000000000002</v>
      </c>
      <c r="I2">
        <v>5.8284000000000002</v>
      </c>
      <c r="J2">
        <v>5.8284000000000002</v>
      </c>
      <c r="K2">
        <v>5.8284000000000002</v>
      </c>
      <c r="L2">
        <v>5.8284000000000002</v>
      </c>
      <c r="M2">
        <v>5.8284000000000002</v>
      </c>
      <c r="N2">
        <v>5.8284000000000002</v>
      </c>
      <c r="O2">
        <v>5.8284000000000002</v>
      </c>
      <c r="P2">
        <v>5.8284000000000002</v>
      </c>
      <c r="Q2">
        <v>5.8284000000000002</v>
      </c>
      <c r="R2">
        <v>5.8284000000000002</v>
      </c>
    </row>
    <row r="3" spans="1:18" customFormat="1">
      <c r="B3" t="s">
        <v>133</v>
      </c>
      <c r="C3">
        <v>0.20710000000000001</v>
      </c>
      <c r="D3">
        <v>0.20710000000000001</v>
      </c>
      <c r="E3">
        <v>0.20710000000000001</v>
      </c>
      <c r="F3">
        <v>0.20710000000000001</v>
      </c>
      <c r="G3">
        <v>0.20710000000000001</v>
      </c>
      <c r="H3">
        <v>0.20710000000000001</v>
      </c>
      <c r="I3">
        <v>0.20710000000000001</v>
      </c>
      <c r="J3">
        <v>0.20710000000000001</v>
      </c>
      <c r="K3">
        <v>0.20710000000000001</v>
      </c>
      <c r="L3">
        <v>0.20710000000000001</v>
      </c>
      <c r="M3">
        <v>0.20710000000000001</v>
      </c>
      <c r="N3">
        <v>0.20710000000000001</v>
      </c>
      <c r="O3">
        <v>0.20710000000000001</v>
      </c>
      <c r="P3">
        <v>0.20710000000000001</v>
      </c>
      <c r="Q3">
        <v>0.20710000000000001</v>
      </c>
      <c r="R3">
        <v>0.20710000000000001</v>
      </c>
    </row>
    <row r="4" spans="1:18" customFormat="1">
      <c r="B4" t="s">
        <v>129</v>
      </c>
      <c r="C4">
        <f>(C2-1)*C3</f>
        <v>0.9999616400000001</v>
      </c>
      <c r="D4">
        <f t="shared" ref="D4:R4" si="0">(D2-1)*D3</f>
        <v>0.9999616400000001</v>
      </c>
      <c r="E4">
        <f t="shared" si="0"/>
        <v>0.9999616400000001</v>
      </c>
      <c r="F4">
        <f t="shared" si="0"/>
        <v>0.9999616400000001</v>
      </c>
      <c r="G4">
        <f t="shared" si="0"/>
        <v>0.9999616400000001</v>
      </c>
      <c r="H4">
        <f t="shared" si="0"/>
        <v>0.9999616400000001</v>
      </c>
      <c r="I4">
        <f t="shared" si="0"/>
        <v>0.9999616400000001</v>
      </c>
      <c r="J4">
        <f t="shared" si="0"/>
        <v>0.9999616400000001</v>
      </c>
      <c r="K4">
        <f t="shared" si="0"/>
        <v>0.9999616400000001</v>
      </c>
      <c r="L4">
        <f t="shared" si="0"/>
        <v>0.9999616400000001</v>
      </c>
      <c r="M4">
        <f t="shared" si="0"/>
        <v>0.9999616400000001</v>
      </c>
      <c r="N4">
        <f t="shared" si="0"/>
        <v>0.9999616400000001</v>
      </c>
      <c r="O4">
        <f t="shared" si="0"/>
        <v>0.9999616400000001</v>
      </c>
      <c r="P4">
        <f t="shared" si="0"/>
        <v>0.9999616400000001</v>
      </c>
      <c r="Q4">
        <f t="shared" si="0"/>
        <v>0.9999616400000001</v>
      </c>
      <c r="R4">
        <f t="shared" si="0"/>
        <v>0.9999616400000001</v>
      </c>
    </row>
    <row r="5" spans="1:18">
      <c r="A5" s="2" t="s">
        <v>59</v>
      </c>
      <c r="C5" s="6" t="str">
        <f>GammaDistribution(C2,C3)</f>
        <v>GammaDistribution(5.8284; 0.2071)</v>
      </c>
      <c r="D5" s="6" t="str">
        <f t="shared" ref="D5:R5" si="1">GammaDistribution(D2,D3)</f>
        <v>GammaDistribution(5.8284; 0.2071)</v>
      </c>
      <c r="E5" s="6" t="str">
        <f t="shared" si="1"/>
        <v>GammaDistribution(5.8284; 0.2071)</v>
      </c>
      <c r="F5" s="6" t="str">
        <f t="shared" si="1"/>
        <v>GammaDistribution(5.8284; 0.2071)</v>
      </c>
      <c r="G5" s="6" t="str">
        <f t="shared" si="1"/>
        <v>GammaDistribution(5.8284; 0.2071)</v>
      </c>
      <c r="H5" s="6" t="str">
        <f t="shared" si="1"/>
        <v>GammaDistribution(5.8284; 0.2071)</v>
      </c>
      <c r="I5" s="6" t="str">
        <f t="shared" si="1"/>
        <v>GammaDistribution(5.8284; 0.2071)</v>
      </c>
      <c r="J5" s="6" t="str">
        <f t="shared" si="1"/>
        <v>GammaDistribution(5.8284; 0.2071)</v>
      </c>
      <c r="K5" s="6" t="str">
        <f t="shared" si="1"/>
        <v>GammaDistribution(5.8284; 0.2071)</v>
      </c>
      <c r="L5" s="6" t="str">
        <f t="shared" si="1"/>
        <v>GammaDistribution(5.8284; 0.2071)</v>
      </c>
      <c r="M5" s="6" t="str">
        <f t="shared" si="1"/>
        <v>GammaDistribution(5.8284; 0.2071)</v>
      </c>
      <c r="N5" s="6" t="str">
        <f t="shared" si="1"/>
        <v>GammaDistribution(5.8284; 0.2071)</v>
      </c>
      <c r="O5" s="6" t="str">
        <f t="shared" si="1"/>
        <v>GammaDistribution(5.8284; 0.2071)</v>
      </c>
      <c r="P5" s="6" t="str">
        <f t="shared" si="1"/>
        <v>GammaDistribution(5.8284; 0.2071)</v>
      </c>
      <c r="Q5" s="6" t="str">
        <f t="shared" si="1"/>
        <v>GammaDistribution(5.8284; 0.2071)</v>
      </c>
      <c r="R5" s="6" t="str">
        <f t="shared" si="1"/>
        <v>GammaDistribution(5.8284; 0.2071)</v>
      </c>
    </row>
    <row r="6" spans="1:18">
      <c r="B6" t="s">
        <v>135</v>
      </c>
      <c r="C6" s="2">
        <v>20000</v>
      </c>
      <c r="D6" s="2">
        <v>970</v>
      </c>
      <c r="E6" s="2">
        <v>4212</v>
      </c>
      <c r="F6" s="2">
        <v>2687</v>
      </c>
      <c r="G6" s="2">
        <v>3135</v>
      </c>
      <c r="H6" s="2">
        <v>1889</v>
      </c>
      <c r="I6" s="2">
        <v>15138</v>
      </c>
      <c r="J6" s="2">
        <v>1621</v>
      </c>
      <c r="K6" s="2">
        <v>12004</v>
      </c>
      <c r="L6" s="2">
        <v>29407</v>
      </c>
      <c r="M6" s="2">
        <v>81275</v>
      </c>
      <c r="N6" s="2">
        <v>157286</v>
      </c>
      <c r="O6" s="2">
        <v>35000</v>
      </c>
      <c r="P6" s="2">
        <v>8354</v>
      </c>
      <c r="Q6" s="2">
        <v>126602</v>
      </c>
      <c r="R6" s="2">
        <v>1505</v>
      </c>
    </row>
    <row r="7" spans="1:18">
      <c r="B7" t="s">
        <v>136</v>
      </c>
      <c r="C7" s="2">
        <v>10000</v>
      </c>
      <c r="D7" s="2">
        <v>2462</v>
      </c>
      <c r="E7" s="2">
        <v>2013</v>
      </c>
      <c r="F7" s="2">
        <v>1512</v>
      </c>
      <c r="G7" s="2">
        <v>7407</v>
      </c>
      <c r="H7" s="2">
        <v>911</v>
      </c>
      <c r="I7" s="2">
        <v>38402</v>
      </c>
      <c r="J7" s="2">
        <v>2599</v>
      </c>
      <c r="K7" s="2">
        <v>20258</v>
      </c>
      <c r="L7" s="2">
        <v>28905</v>
      </c>
      <c r="M7" s="2">
        <v>121592</v>
      </c>
      <c r="N7" s="2">
        <v>228598</v>
      </c>
      <c r="O7" s="2">
        <v>17500</v>
      </c>
      <c r="P7" s="2">
        <v>5667</v>
      </c>
      <c r="Q7" s="2">
        <v>160283</v>
      </c>
      <c r="R7" s="2">
        <v>1592</v>
      </c>
    </row>
    <row r="8" spans="1:18">
      <c r="A8" s="2" t="s">
        <v>84</v>
      </c>
      <c r="C8" s="6">
        <v>28716</v>
      </c>
      <c r="D8" s="6">
        <v>4554</v>
      </c>
      <c r="E8" s="6">
        <v>58213</v>
      </c>
      <c r="F8" s="6">
        <v>5262</v>
      </c>
      <c r="G8" s="6">
        <v>18415</v>
      </c>
      <c r="H8" s="6">
        <v>3355</v>
      </c>
      <c r="I8" s="6">
        <v>22097</v>
      </c>
      <c r="J8" s="6">
        <v>5960</v>
      </c>
      <c r="K8" s="6">
        <v>10592</v>
      </c>
      <c r="L8" s="6">
        <v>25270</v>
      </c>
      <c r="M8" s="6">
        <v>50879</v>
      </c>
      <c r="N8" s="6">
        <v>50275</v>
      </c>
      <c r="O8" s="6">
        <v>26969</v>
      </c>
      <c r="P8" s="6">
        <v>6530</v>
      </c>
      <c r="Q8" s="6">
        <v>28155</v>
      </c>
      <c r="R8" s="6">
        <v>3133</v>
      </c>
    </row>
    <row r="9" spans="1:18">
      <c r="A9" s="2" t="s">
        <v>137</v>
      </c>
      <c r="C9" s="6">
        <v>1.869</v>
      </c>
      <c r="D9" s="6">
        <v>0.22650000000000001</v>
      </c>
      <c r="E9" s="6">
        <v>0.80879999999999996</v>
      </c>
      <c r="F9" s="6">
        <v>0.75219999999999998</v>
      </c>
      <c r="G9" s="6">
        <v>3.1899999999999998E-2</v>
      </c>
      <c r="H9" s="6">
        <v>1.6999999999999999E-3</v>
      </c>
      <c r="I9" s="6">
        <v>9.5500000000000002E-2</v>
      </c>
      <c r="J9" s="6">
        <v>0.35239999999999999</v>
      </c>
      <c r="K9" s="6">
        <v>2.9700000000000001E-2</v>
      </c>
      <c r="L9" s="6">
        <v>7.9600000000000004E-2</v>
      </c>
      <c r="M9" s="6">
        <v>0.26529999999999998</v>
      </c>
      <c r="N9" s="6">
        <v>0.21659999999999999</v>
      </c>
      <c r="O9" s="6">
        <v>6.7100000000000007E-2</v>
      </c>
      <c r="P9" s="6">
        <v>5.2400000000000002E-2</v>
      </c>
      <c r="Q9" s="6">
        <v>6.0299999999999999E-2</v>
      </c>
      <c r="R9" s="6">
        <v>0</v>
      </c>
    </row>
    <row r="10" spans="1:18">
      <c r="A10" s="2" t="s">
        <v>142</v>
      </c>
      <c r="C10" s="6">
        <v>1.6923999999999999</v>
      </c>
      <c r="D10" s="6">
        <v>0.12039999999999999</v>
      </c>
      <c r="E10" s="6">
        <v>2.0556000000000001</v>
      </c>
      <c r="F10" s="6">
        <v>8.9700000000000002E-2</v>
      </c>
      <c r="G10" s="6">
        <v>1.52E-2</v>
      </c>
      <c r="H10" s="6">
        <v>0.25850000000000001</v>
      </c>
      <c r="I10" s="6">
        <v>1.3184</v>
      </c>
      <c r="J10" s="6">
        <v>3.1099999999999999E-2</v>
      </c>
      <c r="K10" s="6">
        <v>5.5E-2</v>
      </c>
      <c r="L10" s="6">
        <v>0.20710000000000001</v>
      </c>
      <c r="M10" s="6">
        <v>0.43609999999999999</v>
      </c>
      <c r="N10" s="6">
        <v>0.15859999999999999</v>
      </c>
      <c r="O10" s="6">
        <v>1.3663000000000001</v>
      </c>
      <c r="P10" s="6">
        <v>4.1599999999999998E-2</v>
      </c>
      <c r="Q10" s="6">
        <v>0.2097</v>
      </c>
      <c r="R10" s="6">
        <v>1.52E-2</v>
      </c>
    </row>
    <row r="11" spans="1:18">
      <c r="A11" s="2" t="s">
        <v>98</v>
      </c>
      <c r="C11" s="6">
        <v>10.79</v>
      </c>
      <c r="D11" s="6">
        <v>-8.0299999999999994</v>
      </c>
      <c r="E11" s="6">
        <v>9.0299999999999994</v>
      </c>
      <c r="F11" s="6">
        <v>9.15</v>
      </c>
      <c r="G11" s="6">
        <v>18.84</v>
      </c>
      <c r="H11" s="6">
        <v>7.75</v>
      </c>
      <c r="I11" s="6">
        <v>4.5</v>
      </c>
      <c r="J11" s="6">
        <v>16.48</v>
      </c>
      <c r="K11" s="6">
        <v>20.67</v>
      </c>
      <c r="L11" s="6">
        <v>21.25</v>
      </c>
      <c r="M11" s="6">
        <v>21.78</v>
      </c>
      <c r="N11" s="6">
        <v>23.7</v>
      </c>
      <c r="O11" s="6">
        <v>4.54</v>
      </c>
      <c r="P11" s="6">
        <v>20.57</v>
      </c>
      <c r="Q11" s="6">
        <v>23.95</v>
      </c>
      <c r="R11" s="6">
        <v>24.48</v>
      </c>
    </row>
    <row r="12" spans="1:18">
      <c r="A12" s="2" t="s">
        <v>101</v>
      </c>
      <c r="C12" s="6">
        <v>5.0000000000000001E-3</v>
      </c>
      <c r="D12" s="6">
        <v>7.0000000000000001E-3</v>
      </c>
      <c r="E12" s="6">
        <v>4.0000000000000001E-3</v>
      </c>
      <c r="F12" s="6">
        <v>7.0000000000000001E-3</v>
      </c>
      <c r="G12" s="6">
        <v>3.0000000000000001E-3</v>
      </c>
      <c r="H12" s="6">
        <v>2E-3</v>
      </c>
      <c r="I12" s="6">
        <v>2E-3</v>
      </c>
      <c r="J12" s="6">
        <v>3.0000000000000001E-3</v>
      </c>
      <c r="K12" s="6">
        <v>2E-3</v>
      </c>
      <c r="L12" s="6">
        <v>2E-3</v>
      </c>
      <c r="M12" s="6">
        <v>2E-3</v>
      </c>
      <c r="N12" s="6">
        <v>2E-3</v>
      </c>
      <c r="O12" s="6">
        <v>2E-3</v>
      </c>
      <c r="P12" s="6">
        <v>2E-3</v>
      </c>
      <c r="Q12" s="6">
        <v>2E-3</v>
      </c>
      <c r="R12" s="6">
        <v>2E-3</v>
      </c>
    </row>
    <row r="13" spans="1:18">
      <c r="A13" s="2" t="s">
        <v>102</v>
      </c>
      <c r="C13" s="6">
        <v>-3.3300000000000003E-2</v>
      </c>
      <c r="D13" s="6">
        <v>-4.6699999999999998E-2</v>
      </c>
      <c r="E13" s="6">
        <v>-2.6700000000000002E-2</v>
      </c>
      <c r="F13" s="6">
        <v>-4.6699999999999998E-2</v>
      </c>
      <c r="G13" s="6">
        <v>-2.0500000000000001E-2</v>
      </c>
      <c r="H13" s="6">
        <v>-1.3299999999999999E-2</v>
      </c>
      <c r="I13" s="6">
        <v>-1.3299999999999999E-2</v>
      </c>
      <c r="J13" s="6">
        <v>-0.02</v>
      </c>
      <c r="K13" s="6">
        <v>-7.4999999999999997E-3</v>
      </c>
      <c r="L13" s="6">
        <v>-7.4999999999999997E-3</v>
      </c>
      <c r="M13" s="6">
        <v>-7.4999999999999997E-3</v>
      </c>
      <c r="N13" s="6">
        <v>-7.4999999999999997E-3</v>
      </c>
      <c r="O13" s="6">
        <v>-7.4999999999999997E-3</v>
      </c>
      <c r="P13" s="6">
        <v>-7.4999999999999997E-3</v>
      </c>
      <c r="Q13" s="6">
        <v>-7.4999999999999997E-3</v>
      </c>
      <c r="R13" s="6">
        <v>-7.4999999999999997E-3</v>
      </c>
    </row>
    <row r="14" spans="1:18">
      <c r="A14" s="2" t="s">
        <v>103</v>
      </c>
      <c r="C14" s="6">
        <v>6.2E-4</v>
      </c>
      <c r="D14" s="6">
        <v>5.5999999999999995E-4</v>
      </c>
      <c r="E14" s="6">
        <v>4.2000000000000002E-4</v>
      </c>
      <c r="F14" s="6">
        <v>4.8999999999999998E-4</v>
      </c>
      <c r="G14" s="6">
        <v>6.2599999999999999E-3</v>
      </c>
      <c r="H14" s="6">
        <v>6.0000000000000002E-5</v>
      </c>
      <c r="I14" s="6">
        <v>3.0000000000000001E-5</v>
      </c>
      <c r="J14" s="6">
        <v>2.0000000000000001E-4</v>
      </c>
      <c r="K14" s="6">
        <v>6.9999999999999994E-5</v>
      </c>
      <c r="L14" s="6">
        <v>6.9999999999999994E-5</v>
      </c>
      <c r="M14" s="6">
        <v>6.9999999999999994E-5</v>
      </c>
      <c r="N14" s="6">
        <v>6.9999999999999994E-5</v>
      </c>
      <c r="O14" s="6">
        <v>6.9999999999999994E-5</v>
      </c>
      <c r="P14" s="6">
        <v>6.9999999999999994E-5</v>
      </c>
      <c r="Q14" s="6">
        <v>6.9999999999999994E-5</v>
      </c>
      <c r="R14" s="6">
        <v>6.9999999999999994E-5</v>
      </c>
    </row>
    <row r="15" spans="1:18">
      <c r="B15" s="2" t="s">
        <v>106</v>
      </c>
      <c r="C15" s="2">
        <v>-12.123100000000001</v>
      </c>
      <c r="D15" s="2">
        <v>-11.776199999999999</v>
      </c>
      <c r="E15" s="2">
        <v>-13.2158</v>
      </c>
      <c r="F15" s="2">
        <v>-14.684799999999999</v>
      </c>
      <c r="G15" s="2">
        <v>-11.2913</v>
      </c>
      <c r="H15" s="2">
        <v>-10.372199999999999</v>
      </c>
      <c r="I15" s="2">
        <v>-9.3719000000000001</v>
      </c>
      <c r="J15" s="2">
        <v>-11.2806</v>
      </c>
      <c r="K15" s="2">
        <v>-11.2529</v>
      </c>
      <c r="L15" s="2">
        <v>-12.411799999999999</v>
      </c>
      <c r="M15" s="2">
        <v>-10.5923</v>
      </c>
      <c r="N15" s="2">
        <v>-10.8492</v>
      </c>
      <c r="O15" s="2">
        <v>-10.355</v>
      </c>
      <c r="P15" s="2">
        <v>-10.8492</v>
      </c>
      <c r="Q15" s="2">
        <v>-10.8492</v>
      </c>
      <c r="R15" s="2">
        <v>-10.8492</v>
      </c>
    </row>
    <row r="16" spans="1:18">
      <c r="B16" s="2" t="s">
        <v>107</v>
      </c>
      <c r="C16" s="2">
        <v>0.20130000000000001</v>
      </c>
      <c r="D16" s="2">
        <v>0.1983</v>
      </c>
      <c r="E16" s="2">
        <v>0.28770000000000001</v>
      </c>
      <c r="F16" s="2">
        <v>0.23219999999999999</v>
      </c>
      <c r="G16" s="2">
        <v>0.19</v>
      </c>
      <c r="H16" s="2">
        <v>0.20250000000000001</v>
      </c>
      <c r="I16" s="2">
        <v>0.1061</v>
      </c>
      <c r="J16" s="2">
        <v>0.16339999999999999</v>
      </c>
      <c r="K16" s="2">
        <v>0.14949999999999999</v>
      </c>
      <c r="L16" s="2">
        <v>0.25900000000000001</v>
      </c>
      <c r="M16" s="2">
        <v>0.16250000000000001</v>
      </c>
      <c r="N16" s="2">
        <v>0.1837</v>
      </c>
      <c r="O16" s="2">
        <v>0.1777</v>
      </c>
      <c r="P16" s="2">
        <v>0.1837</v>
      </c>
      <c r="Q16" s="2">
        <v>0.1837</v>
      </c>
      <c r="R16" s="2">
        <v>0.1837</v>
      </c>
    </row>
    <row r="17" spans="1:18">
      <c r="A17" s="2" t="s">
        <v>104</v>
      </c>
      <c r="C17" s="6">
        <f>EXP(C15)</f>
        <v>5.4325604358981413E-6</v>
      </c>
      <c r="D17" s="6">
        <f t="shared" ref="D17:R17" si="2">EXP(D15)</f>
        <v>7.6853087969868451E-6</v>
      </c>
      <c r="E17" s="6">
        <f t="shared" si="2"/>
        <v>1.8215914789337694E-6</v>
      </c>
      <c r="F17" s="6">
        <f t="shared" si="2"/>
        <v>4.1924934439542966E-7</v>
      </c>
      <c r="G17" s="6">
        <f t="shared" si="2"/>
        <v>1.2481038317077758E-5</v>
      </c>
      <c r="H17" s="6">
        <f t="shared" si="2"/>
        <v>3.1290375491123207E-5</v>
      </c>
      <c r="I17" s="6">
        <f t="shared" si="2"/>
        <v>8.5081579748816819E-5</v>
      </c>
      <c r="J17" s="6">
        <f t="shared" si="2"/>
        <v>1.2615302459241707E-5</v>
      </c>
      <c r="K17" s="6">
        <f t="shared" si="2"/>
        <v>1.2969631133723268E-5</v>
      </c>
      <c r="L17" s="6">
        <f t="shared" si="2"/>
        <v>4.070274972423027E-6</v>
      </c>
      <c r="M17" s="6">
        <f t="shared" si="2"/>
        <v>2.5108603541029478E-5</v>
      </c>
      <c r="N17" s="6">
        <f t="shared" si="2"/>
        <v>1.9420137787352082E-5</v>
      </c>
      <c r="O17" s="6">
        <f t="shared" si="2"/>
        <v>3.1833225072988836E-5</v>
      </c>
      <c r="P17" s="6">
        <f t="shared" si="2"/>
        <v>1.9420137787352082E-5</v>
      </c>
      <c r="Q17" s="6">
        <f t="shared" si="2"/>
        <v>1.9420137787352082E-5</v>
      </c>
      <c r="R17" s="6">
        <f t="shared" si="2"/>
        <v>1.9420137787352082E-5</v>
      </c>
    </row>
    <row r="18" spans="1:18">
      <c r="B18" s="2" t="s">
        <v>108</v>
      </c>
      <c r="C18" s="2">
        <v>10.2819</v>
      </c>
      <c r="D18" s="2">
        <v>12.4901</v>
      </c>
      <c r="E18" s="2">
        <v>14.273</v>
      </c>
      <c r="F18" s="2">
        <v>17.4298</v>
      </c>
      <c r="G18" s="2">
        <v>18.175699999999999</v>
      </c>
      <c r="H18" s="2">
        <v>11.1699</v>
      </c>
      <c r="I18" s="2">
        <v>10.208</v>
      </c>
      <c r="J18" s="2">
        <v>22.382100000000001</v>
      </c>
      <c r="K18" s="2">
        <v>16.7743</v>
      </c>
      <c r="L18" s="2">
        <v>82.236500000000007</v>
      </c>
      <c r="M18" s="2">
        <v>35.451500000000003</v>
      </c>
      <c r="N18" s="2">
        <v>27.154</v>
      </c>
      <c r="O18" s="2">
        <v>19.9252</v>
      </c>
      <c r="P18" s="2">
        <v>27.154</v>
      </c>
      <c r="Q18" s="2">
        <v>27.154</v>
      </c>
      <c r="R18" s="2">
        <v>27.154</v>
      </c>
    </row>
    <row r="19" spans="1:18">
      <c r="B19" s="2" t="s">
        <v>109</v>
      </c>
      <c r="C19" s="2">
        <v>0.61939999999999995</v>
      </c>
      <c r="D19" s="2">
        <v>0.74419999999999997</v>
      </c>
      <c r="E19" s="2">
        <v>1.1736</v>
      </c>
      <c r="F19" s="2">
        <v>1.2024999999999999</v>
      </c>
      <c r="G19" s="2">
        <v>1.0318000000000001</v>
      </c>
      <c r="H19" s="2">
        <v>0.67669999999999997</v>
      </c>
      <c r="I19" s="2">
        <v>0.31369999999999998</v>
      </c>
      <c r="J19" s="2">
        <v>1.0926</v>
      </c>
      <c r="K19" s="2">
        <v>0.74809999999999999</v>
      </c>
      <c r="L19" s="2">
        <v>6.3471000000000002</v>
      </c>
      <c r="M19" s="2">
        <v>1.7134</v>
      </c>
      <c r="N19" s="2">
        <v>1.4912000000000001</v>
      </c>
      <c r="O19" s="2">
        <v>1.0463</v>
      </c>
      <c r="P19" s="2">
        <v>1.4912000000000001</v>
      </c>
      <c r="Q19" s="2">
        <v>1.4912000000000001</v>
      </c>
      <c r="R19" s="2">
        <v>1.4912000000000001</v>
      </c>
    </row>
    <row r="20" spans="1:18">
      <c r="A20" s="2" t="s">
        <v>105</v>
      </c>
      <c r="C20" s="6">
        <f>C18</f>
        <v>10.2819</v>
      </c>
      <c r="D20" s="6">
        <f t="shared" ref="D20:R20" si="3">D18</f>
        <v>12.4901</v>
      </c>
      <c r="E20" s="6">
        <f t="shared" si="3"/>
        <v>14.273</v>
      </c>
      <c r="F20" s="6">
        <f t="shared" si="3"/>
        <v>17.4298</v>
      </c>
      <c r="G20" s="6">
        <f t="shared" si="3"/>
        <v>18.175699999999999</v>
      </c>
      <c r="H20" s="6">
        <f t="shared" si="3"/>
        <v>11.1699</v>
      </c>
      <c r="I20" s="6">
        <f t="shared" si="3"/>
        <v>10.208</v>
      </c>
      <c r="J20" s="6">
        <f t="shared" si="3"/>
        <v>22.382100000000001</v>
      </c>
      <c r="K20" s="6">
        <f t="shared" si="3"/>
        <v>16.7743</v>
      </c>
      <c r="L20" s="6">
        <f t="shared" si="3"/>
        <v>82.236500000000007</v>
      </c>
      <c r="M20" s="6">
        <f t="shared" si="3"/>
        <v>35.451500000000003</v>
      </c>
      <c r="N20" s="6">
        <f t="shared" si="3"/>
        <v>27.154</v>
      </c>
      <c r="O20" s="6">
        <f t="shared" si="3"/>
        <v>19.9252</v>
      </c>
      <c r="P20" s="6">
        <f t="shared" si="3"/>
        <v>27.154</v>
      </c>
      <c r="Q20" s="6">
        <f t="shared" si="3"/>
        <v>27.154</v>
      </c>
      <c r="R20" s="6">
        <f t="shared" si="3"/>
        <v>27.154</v>
      </c>
    </row>
    <row r="21" spans="1:18">
      <c r="B21" s="2" t="s">
        <v>112</v>
      </c>
      <c r="C21" s="2">
        <v>-18.110009999999999</v>
      </c>
      <c r="D21" s="2">
        <v>-17.937580000000001</v>
      </c>
      <c r="E21" s="2">
        <v>-17.740290000000002</v>
      </c>
      <c r="F21" s="2">
        <v>-18.46744</v>
      </c>
      <c r="G21" s="2">
        <v>-19.193200000000001</v>
      </c>
      <c r="H21" s="2">
        <v>-16.297930000000001</v>
      </c>
      <c r="I21" s="2">
        <v>-17.756360000000001</v>
      </c>
      <c r="J21" s="2">
        <v>-17.756360000000001</v>
      </c>
      <c r="K21" s="2">
        <v>-17.72569</v>
      </c>
      <c r="L21" s="2">
        <v>-17.756360000000001</v>
      </c>
      <c r="M21" s="2">
        <v>-15.58188</v>
      </c>
      <c r="N21" s="2">
        <v>-39.89461</v>
      </c>
      <c r="O21" s="2">
        <v>-15.766870000000001</v>
      </c>
      <c r="P21" s="2">
        <v>-17.756360000000001</v>
      </c>
      <c r="Q21" s="2">
        <v>-17.756360000000001</v>
      </c>
      <c r="R21" s="2">
        <v>-17.756360000000001</v>
      </c>
    </row>
    <row r="22" spans="1:18">
      <c r="B22" s="2" t="s">
        <v>113</v>
      </c>
      <c r="C22" s="2">
        <v>5.8860000000000003E-2</v>
      </c>
      <c r="D22" s="2">
        <v>0.05</v>
      </c>
      <c r="E22" s="2">
        <v>0.05</v>
      </c>
      <c r="F22" s="2">
        <v>0.25717000000000001</v>
      </c>
      <c r="G22" s="2">
        <v>0.05</v>
      </c>
      <c r="H22" s="2">
        <v>5.518E-2</v>
      </c>
      <c r="I22" s="2">
        <v>1.865E-2</v>
      </c>
      <c r="J22" s="2">
        <v>1.865E-2</v>
      </c>
      <c r="K22" s="2">
        <v>6.0010000000000001E-2</v>
      </c>
      <c r="L22" s="2">
        <v>1.865E-2</v>
      </c>
      <c r="M22" s="2">
        <v>5.2749999999999998E-2</v>
      </c>
      <c r="N22" s="2">
        <v>0.13506000000000001</v>
      </c>
      <c r="O22" s="2">
        <v>5.3379999999999997E-2</v>
      </c>
      <c r="P22" s="2">
        <v>1.865E-2</v>
      </c>
      <c r="Q22" s="2">
        <v>1.865E-2</v>
      </c>
      <c r="R22" s="2">
        <v>1.865E-2</v>
      </c>
    </row>
    <row r="23" spans="1:18">
      <c r="A23" s="2" t="s">
        <v>110</v>
      </c>
      <c r="C23" s="6">
        <f>EXP(C21)</f>
        <v>1.3643399300513113E-8</v>
      </c>
      <c r="D23" s="6">
        <f t="shared" ref="D23:R23" si="4">EXP(D21)</f>
        <v>1.6210932121231756E-8</v>
      </c>
      <c r="E23" s="6">
        <f t="shared" si="4"/>
        <v>1.9746491637233022E-8</v>
      </c>
      <c r="F23" s="6">
        <f t="shared" si="4"/>
        <v>9.5431711601192021E-9</v>
      </c>
      <c r="G23" s="6">
        <f t="shared" si="4"/>
        <v>4.6184808789687152E-9</v>
      </c>
      <c r="H23" s="6">
        <f t="shared" si="4"/>
        <v>8.3540858618288783E-8</v>
      </c>
      <c r="I23" s="6">
        <f t="shared" si="4"/>
        <v>1.943170162872146E-8</v>
      </c>
      <c r="J23" s="6">
        <f t="shared" si="4"/>
        <v>1.943170162872146E-8</v>
      </c>
      <c r="K23" s="6">
        <f t="shared" si="4"/>
        <v>2.0036905276003739E-8</v>
      </c>
      <c r="L23" s="6">
        <f t="shared" si="4"/>
        <v>1.943170162872146E-8</v>
      </c>
      <c r="M23" s="6">
        <f t="shared" si="4"/>
        <v>1.7095251654972804E-7</v>
      </c>
      <c r="N23" s="6">
        <f t="shared" si="4"/>
        <v>4.7205327967430534E-18</v>
      </c>
      <c r="O23" s="6">
        <f t="shared" si="4"/>
        <v>1.4208078964057265E-7</v>
      </c>
      <c r="P23" s="6">
        <f t="shared" si="4"/>
        <v>1.943170162872146E-8</v>
      </c>
      <c r="Q23" s="6">
        <f t="shared" si="4"/>
        <v>1.943170162872146E-8</v>
      </c>
      <c r="R23" s="6">
        <f t="shared" si="4"/>
        <v>1.943170162872146E-8</v>
      </c>
    </row>
    <row r="24" spans="1:18">
      <c r="B24" s="2" t="s">
        <v>114</v>
      </c>
      <c r="C24" s="2">
        <v>39.60689</v>
      </c>
      <c r="D24" s="2">
        <v>65.32902</v>
      </c>
      <c r="E24" s="2">
        <v>19.17755</v>
      </c>
      <c r="F24" s="2">
        <v>7.4646999999999997</v>
      </c>
      <c r="G24" s="2">
        <v>212.39648</v>
      </c>
      <c r="H24" s="2">
        <v>33.534570000000002</v>
      </c>
      <c r="I24" s="2">
        <v>23.254490000000001</v>
      </c>
      <c r="J24" s="2">
        <v>23.254490000000001</v>
      </c>
      <c r="K24" s="2">
        <v>108.39115</v>
      </c>
      <c r="L24" s="2">
        <v>23.254490000000001</v>
      </c>
      <c r="M24" s="2">
        <v>57.437820000000002</v>
      </c>
      <c r="N24" s="2">
        <v>23.254490000000001</v>
      </c>
      <c r="O24" s="2">
        <v>12.32164</v>
      </c>
      <c r="P24" s="2">
        <v>23.254490000000001</v>
      </c>
      <c r="Q24" s="2">
        <v>23.254490000000001</v>
      </c>
      <c r="R24" s="2">
        <v>23.254490000000001</v>
      </c>
    </row>
    <row r="25" spans="1:18">
      <c r="B25" s="2" t="s">
        <v>115</v>
      </c>
      <c r="C25" s="2">
        <v>1.0427</v>
      </c>
      <c r="D25" s="2">
        <v>1.4504999999999999</v>
      </c>
      <c r="E25" s="2">
        <v>0.42580000000000001</v>
      </c>
      <c r="F25" s="2">
        <v>0.86595</v>
      </c>
      <c r="G25" s="2">
        <v>4.7158499999999997</v>
      </c>
      <c r="H25" s="2">
        <v>0</v>
      </c>
      <c r="I25" s="2">
        <v>0.34733000000000003</v>
      </c>
      <c r="J25" s="2">
        <v>0.34733000000000003</v>
      </c>
      <c r="K25" s="2">
        <v>0.56230999999999998</v>
      </c>
      <c r="L25" s="2">
        <v>0.34733000000000003</v>
      </c>
      <c r="M25" s="2">
        <v>0.29798000000000002</v>
      </c>
      <c r="N25" s="2">
        <v>0.34733000000000003</v>
      </c>
      <c r="O25" s="2">
        <v>6.3920000000000005E-2</v>
      </c>
      <c r="P25" s="2">
        <v>0.34733000000000003</v>
      </c>
      <c r="Q25" s="2">
        <v>0.34733000000000003</v>
      </c>
      <c r="R25" s="2">
        <v>0.34733000000000003</v>
      </c>
    </row>
    <row r="26" spans="1:18">
      <c r="A26" s="2" t="s">
        <v>111</v>
      </c>
      <c r="C26" s="6">
        <f>C24</f>
        <v>39.60689</v>
      </c>
      <c r="D26" s="6">
        <f t="shared" ref="D26:R26" si="5">D24</f>
        <v>65.32902</v>
      </c>
      <c r="E26" s="6">
        <f t="shared" si="5"/>
        <v>19.17755</v>
      </c>
      <c r="F26" s="6">
        <f t="shared" si="5"/>
        <v>7.4646999999999997</v>
      </c>
      <c r="G26" s="6">
        <f t="shared" si="5"/>
        <v>212.39648</v>
      </c>
      <c r="H26" s="6">
        <f t="shared" si="5"/>
        <v>33.534570000000002</v>
      </c>
      <c r="I26" s="6">
        <f t="shared" si="5"/>
        <v>23.254490000000001</v>
      </c>
      <c r="J26" s="6">
        <f t="shared" si="5"/>
        <v>23.254490000000001</v>
      </c>
      <c r="K26" s="6">
        <f t="shared" si="5"/>
        <v>108.39115</v>
      </c>
      <c r="L26" s="6">
        <f t="shared" si="5"/>
        <v>23.254490000000001</v>
      </c>
      <c r="M26" s="6">
        <f t="shared" si="5"/>
        <v>57.437820000000002</v>
      </c>
      <c r="N26" s="6">
        <f t="shared" si="5"/>
        <v>23.254490000000001</v>
      </c>
      <c r="O26" s="6">
        <f t="shared" si="5"/>
        <v>12.32164</v>
      </c>
      <c r="P26" s="6">
        <f t="shared" si="5"/>
        <v>23.254490000000001</v>
      </c>
      <c r="Q26" s="6">
        <f t="shared" si="5"/>
        <v>23.254490000000001</v>
      </c>
      <c r="R26" s="6">
        <f t="shared" si="5"/>
        <v>23.254490000000001</v>
      </c>
    </row>
    <row r="27" spans="1:18">
      <c r="A27" s="2" t="s">
        <v>152</v>
      </c>
      <c r="C27" s="6">
        <f>1.315*0.273</f>
        <v>0.35899500000000001</v>
      </c>
      <c r="D27" s="6">
        <f>1.557*0.273</f>
        <v>0.42506100000000002</v>
      </c>
      <c r="E27" s="6">
        <f>0.645*0.273</f>
        <v>0.17608500000000002</v>
      </c>
      <c r="F27" s="6">
        <f>0.121*0.273</f>
        <v>3.3033E-2</v>
      </c>
      <c r="G27" s="6">
        <f>0.597*0.273</f>
        <v>0.16298100000000001</v>
      </c>
      <c r="H27" s="6">
        <f>2.678*0.273</f>
        <v>0.73109400000000002</v>
      </c>
      <c r="I27" s="6">
        <f>3.324*0.273</f>
        <v>0.90745200000000004</v>
      </c>
      <c r="J27" s="6">
        <f>0.381*0.273</f>
        <v>0.10401300000000001</v>
      </c>
      <c r="K27" s="6">
        <f>0.878*0.273</f>
        <v>0.23969400000000002</v>
      </c>
      <c r="L27" s="6">
        <f>0.648*0.273</f>
        <v>0.17690400000000001</v>
      </c>
      <c r="M27" s="6">
        <f>0.839*0.273</f>
        <v>0.229047</v>
      </c>
      <c r="N27" s="6">
        <f>0.437*0.273</f>
        <v>0.119301</v>
      </c>
      <c r="O27" s="6">
        <f>2.226*0.273*1248/1995</f>
        <v>0.3801539368421053</v>
      </c>
      <c r="P27" s="6">
        <f>1.174*0.273</f>
        <v>0.32050200000000001</v>
      </c>
      <c r="Q27" s="6">
        <f>0.796*0.273</f>
        <v>0.21730800000000003</v>
      </c>
      <c r="R27" s="6">
        <f>1.733*0.273</f>
        <v>0.47310900000000006</v>
      </c>
    </row>
  </sheetData>
  <dataConsolidate/>
  <phoneticPr fontId="2" type="noConversion"/>
  <pageMargins left="0.78740157499999996" right="0.78740157499999996" top="0.984251969" bottom="0.984251969" header="0.4921259845" footer="0.4921259845"/>
  <headerFooter alignWithMargins="0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>
  <sheetPr codeName="Tabelle25"/>
  <dimension ref="A1:K34"/>
  <sheetViews>
    <sheetView workbookViewId="0">
      <selection activeCell="I11" sqref="I11"/>
    </sheetView>
  </sheetViews>
  <sheetFormatPr defaultColWidth="11.5703125" defaultRowHeight="12.75"/>
  <cols>
    <col min="2" max="2" width="52.85546875" bestFit="1" customWidth="1"/>
  </cols>
  <sheetData>
    <row r="1" spans="1:10" s="1" customFormat="1">
      <c r="A1" s="4"/>
      <c r="C1" s="8"/>
      <c r="D1" s="8"/>
      <c r="E1" s="8"/>
      <c r="F1" s="8"/>
      <c r="G1" s="8"/>
      <c r="H1" s="8"/>
      <c r="I1" s="8"/>
    </row>
    <row r="7" spans="1:10" s="1" customFormat="1">
      <c r="A7" s="4" t="s">
        <v>0</v>
      </c>
      <c r="B7" s="1" t="s">
        <v>1</v>
      </c>
      <c r="C7" s="8" t="s">
        <v>135</v>
      </c>
      <c r="D7" s="8" t="s">
        <v>136</v>
      </c>
      <c r="E7" s="8" t="s">
        <v>132</v>
      </c>
      <c r="F7" s="8" t="s">
        <v>133</v>
      </c>
      <c r="G7" s="8" t="s">
        <v>134</v>
      </c>
      <c r="H7" s="8" t="s">
        <v>130</v>
      </c>
      <c r="I7" s="8" t="s">
        <v>131</v>
      </c>
      <c r="J7" s="1" t="s">
        <v>129</v>
      </c>
    </row>
    <row r="8" spans="1:10" s="2" customFormat="1">
      <c r="A8" s="28" t="s">
        <v>222</v>
      </c>
      <c r="B8" s="6" t="str">
        <f>NormalDistribution(C8,D8,H8)</f>
        <v>NormalDistribution(4992522.62888626; 2496261.31444313; 0)</v>
      </c>
      <c r="C8" s="18">
        <f>200*Fund.vslypc0</f>
        <v>4992522.6288862601</v>
      </c>
      <c r="D8" s="2">
        <f>100*Fund.vslypc0</f>
        <v>2496261.31444313</v>
      </c>
      <c r="H8" s="2">
        <v>0</v>
      </c>
    </row>
    <row r="9" spans="1:10" s="2" customFormat="1">
      <c r="A9" s="28" t="s">
        <v>223</v>
      </c>
      <c r="B9" s="6" t="str">
        <f>NormalDistribution(C9,D9,H9)</f>
        <v>NormalDistribution(19970.090515545; 29955.1357733176; 0)</v>
      </c>
      <c r="C9" s="2">
        <f>0.8*Fund.vmorbypc0</f>
        <v>19970.090515545042</v>
      </c>
      <c r="D9" s="2">
        <f>1.2*Fund.vmorbypc0</f>
        <v>29955.135773317557</v>
      </c>
      <c r="H9" s="2">
        <v>0</v>
      </c>
    </row>
    <row r="10" spans="1:10" s="2" customFormat="1">
      <c r="A10" s="28" t="s">
        <v>224</v>
      </c>
      <c r="B10" s="6">
        <v>24962.6131444313</v>
      </c>
    </row>
    <row r="11" spans="1:10">
      <c r="A11" s="17" t="s">
        <v>180</v>
      </c>
      <c r="B11" s="6" t="str">
        <f>NormalDistribution(C11,D11,H11)</f>
        <v>NormalDistribution(1; 0.2; 0)</v>
      </c>
      <c r="C11">
        <v>1</v>
      </c>
      <c r="D11">
        <v>0.2</v>
      </c>
      <c r="H11">
        <v>0</v>
      </c>
    </row>
    <row r="12" spans="1:10">
      <c r="A12" s="17" t="s">
        <v>225</v>
      </c>
      <c r="B12" s="27">
        <v>24962.6131444313</v>
      </c>
    </row>
    <row r="13" spans="1:10">
      <c r="A13" s="17" t="s">
        <v>181</v>
      </c>
      <c r="B13" s="6" t="str">
        <f>NormalDistribution(C13,D13,H13)</f>
        <v>NormalDistribution(1; 0.2; 0)</v>
      </c>
      <c r="C13">
        <v>1</v>
      </c>
      <c r="D13">
        <v>0.2</v>
      </c>
      <c r="H13">
        <v>0</v>
      </c>
    </row>
    <row r="18" spans="1:11">
      <c r="A18" s="12" t="s">
        <v>143</v>
      </c>
      <c r="B18" s="12" t="s">
        <v>117</v>
      </c>
      <c r="C18" s="12" t="s">
        <v>118</v>
      </c>
      <c r="D18" s="12" t="s">
        <v>119</v>
      </c>
      <c r="E18" s="12" t="s">
        <v>120</v>
      </c>
      <c r="F18" s="12" t="s">
        <v>121</v>
      </c>
      <c r="G18" s="12" t="s">
        <v>122</v>
      </c>
      <c r="H18" s="12" t="s">
        <v>123</v>
      </c>
      <c r="I18" s="12" t="s">
        <v>124</v>
      </c>
      <c r="J18" s="12" t="s">
        <v>125</v>
      </c>
      <c r="K18" s="12" t="s">
        <v>126</v>
      </c>
    </row>
    <row r="19" spans="1:11">
      <c r="A19" s="1" t="s">
        <v>2</v>
      </c>
      <c r="B19" s="6">
        <v>0</v>
      </c>
      <c r="C19" s="6">
        <v>0</v>
      </c>
      <c r="D19" s="6">
        <v>0</v>
      </c>
      <c r="E19" s="6">
        <v>0.96089999999999998</v>
      </c>
      <c r="F19" s="6">
        <v>8.7637999999999998</v>
      </c>
      <c r="G19" s="6">
        <v>0</v>
      </c>
      <c r="H19" s="6">
        <v>0</v>
      </c>
      <c r="I19" s="6">
        <v>0</v>
      </c>
      <c r="J19" s="6">
        <v>4.8151000000000002</v>
      </c>
      <c r="K19" s="6">
        <v>5.1544999999999996</v>
      </c>
    </row>
    <row r="20" spans="1:11">
      <c r="A20" s="1" t="s">
        <v>3</v>
      </c>
      <c r="B20" s="6">
        <v>0</v>
      </c>
      <c r="C20" s="6">
        <v>0</v>
      </c>
      <c r="D20" s="6">
        <v>0</v>
      </c>
      <c r="E20" s="6">
        <v>0.96089999999999998</v>
      </c>
      <c r="F20" s="6">
        <v>8.7637999999999998</v>
      </c>
      <c r="G20" s="6">
        <v>0</v>
      </c>
      <c r="H20" s="6">
        <v>0</v>
      </c>
      <c r="I20" s="6">
        <v>0</v>
      </c>
      <c r="J20" s="6">
        <v>4.8151000000000002</v>
      </c>
      <c r="K20" s="6">
        <v>5.1544999999999996</v>
      </c>
    </row>
    <row r="21" spans="1:11">
      <c r="A21" s="1" t="s">
        <v>6</v>
      </c>
      <c r="B21" s="6">
        <v>0</v>
      </c>
      <c r="C21" s="6">
        <v>0</v>
      </c>
      <c r="D21" s="6">
        <v>0</v>
      </c>
      <c r="E21" s="6">
        <v>0.96089999999999998</v>
      </c>
      <c r="F21" s="6">
        <v>8.7637999999999998</v>
      </c>
      <c r="G21" s="6">
        <v>0</v>
      </c>
      <c r="H21" s="6">
        <v>0</v>
      </c>
      <c r="I21" s="6">
        <v>0</v>
      </c>
      <c r="J21" s="6">
        <v>4.8151000000000002</v>
      </c>
      <c r="K21" s="6">
        <v>5.1544999999999996</v>
      </c>
    </row>
    <row r="22" spans="1:11">
      <c r="A22" s="1" t="s">
        <v>7</v>
      </c>
      <c r="B22" s="6">
        <v>0</v>
      </c>
      <c r="C22" s="6">
        <v>0</v>
      </c>
      <c r="D22" s="6">
        <v>0</v>
      </c>
      <c r="E22" s="6">
        <v>0.96089999999999998</v>
      </c>
      <c r="F22" s="6">
        <v>8.7637999999999998</v>
      </c>
      <c r="G22" s="6">
        <v>0</v>
      </c>
      <c r="H22" s="6">
        <v>0</v>
      </c>
      <c r="I22" s="6">
        <v>0</v>
      </c>
      <c r="J22" s="6">
        <v>4.8151000000000002</v>
      </c>
      <c r="K22" s="6">
        <v>5.1544999999999996</v>
      </c>
    </row>
    <row r="23" spans="1:11">
      <c r="A23" s="1" t="s">
        <v>8</v>
      </c>
      <c r="B23" s="6">
        <v>0</v>
      </c>
      <c r="C23" s="6">
        <v>0</v>
      </c>
      <c r="D23" s="6">
        <v>0</v>
      </c>
      <c r="E23" s="6">
        <v>0.96089999999999998</v>
      </c>
      <c r="F23" s="6">
        <v>8.7637999999999998</v>
      </c>
      <c r="G23" s="6">
        <v>0</v>
      </c>
      <c r="H23" s="6">
        <v>0</v>
      </c>
      <c r="I23" s="6">
        <v>0</v>
      </c>
      <c r="J23" s="6">
        <v>4.8151000000000002</v>
      </c>
      <c r="K23" s="6">
        <v>5.1544999999999996</v>
      </c>
    </row>
    <row r="24" spans="1:11">
      <c r="A24" s="1" t="s">
        <v>9</v>
      </c>
      <c r="B24" s="6">
        <v>0</v>
      </c>
      <c r="C24" s="6">
        <v>0</v>
      </c>
      <c r="D24" s="6">
        <v>0</v>
      </c>
      <c r="E24" s="6">
        <v>0.89859999999999995</v>
      </c>
      <c r="F24" s="6">
        <v>11.8101</v>
      </c>
      <c r="G24" s="6">
        <v>0</v>
      </c>
      <c r="H24" s="6">
        <v>0</v>
      </c>
      <c r="I24" s="6">
        <v>0</v>
      </c>
      <c r="J24" s="6">
        <v>6.0781999999999998</v>
      </c>
      <c r="K24" s="6">
        <v>6.9114000000000004</v>
      </c>
    </row>
    <row r="25" spans="1:11">
      <c r="A25" s="1" t="s">
        <v>10</v>
      </c>
      <c r="B25" s="6">
        <v>0</v>
      </c>
      <c r="C25" s="6">
        <v>0</v>
      </c>
      <c r="D25" s="6">
        <v>0</v>
      </c>
      <c r="E25" s="6">
        <v>0.89859999999999995</v>
      </c>
      <c r="F25" s="6">
        <v>11.8101</v>
      </c>
      <c r="G25" s="6">
        <v>0</v>
      </c>
      <c r="H25" s="6">
        <v>0</v>
      </c>
      <c r="I25" s="6">
        <v>0</v>
      </c>
      <c r="J25" s="6">
        <v>6.0781999999999998</v>
      </c>
      <c r="K25" s="6">
        <v>6.9114000000000004</v>
      </c>
    </row>
    <row r="26" spans="1:11">
      <c r="A26" s="1" t="s">
        <v>11</v>
      </c>
      <c r="B26" s="6">
        <v>24.857099999999999</v>
      </c>
      <c r="C26" s="6">
        <v>51.5</v>
      </c>
      <c r="D26" s="6">
        <v>0</v>
      </c>
      <c r="E26" s="6">
        <v>1.3459000000000001</v>
      </c>
      <c r="F26" s="6">
        <v>21.809799999999999</v>
      </c>
      <c r="G26" s="6">
        <v>29.142900000000001</v>
      </c>
      <c r="H26" s="6">
        <v>21.5</v>
      </c>
      <c r="I26" s="6">
        <v>0</v>
      </c>
      <c r="J26" s="6">
        <v>11.5846</v>
      </c>
      <c r="K26" s="6">
        <v>17.135000000000002</v>
      </c>
    </row>
    <row r="27" spans="1:11">
      <c r="A27" s="1" t="s">
        <v>12</v>
      </c>
      <c r="B27" s="6">
        <v>4.5713999999999997</v>
      </c>
      <c r="C27" s="6">
        <v>69</v>
      </c>
      <c r="D27" s="6">
        <v>0</v>
      </c>
      <c r="E27" s="6">
        <v>1.2547999999999999</v>
      </c>
      <c r="F27" s="6">
        <v>22.155200000000001</v>
      </c>
      <c r="G27" s="6">
        <v>28</v>
      </c>
      <c r="H27" s="6">
        <v>10</v>
      </c>
      <c r="I27" s="6">
        <v>0</v>
      </c>
      <c r="J27" s="6">
        <v>8.6425999999999998</v>
      </c>
      <c r="K27" s="6">
        <v>11.9483</v>
      </c>
    </row>
    <row r="28" spans="1:11">
      <c r="A28" s="1" t="s">
        <v>13</v>
      </c>
      <c r="B28" s="6">
        <v>4.5713999999999997</v>
      </c>
      <c r="C28" s="6">
        <v>69</v>
      </c>
      <c r="D28" s="6">
        <v>0</v>
      </c>
      <c r="E28" s="6">
        <v>1.2547999999999999</v>
      </c>
      <c r="F28" s="6">
        <v>22.155200000000001</v>
      </c>
      <c r="G28" s="6">
        <v>28</v>
      </c>
      <c r="H28" s="6">
        <v>10</v>
      </c>
      <c r="I28" s="6">
        <v>0</v>
      </c>
      <c r="J28" s="6">
        <v>8.6425999999999998</v>
      </c>
      <c r="K28" s="6">
        <v>11.9483</v>
      </c>
    </row>
    <row r="29" spans="1:11">
      <c r="A29" s="1" t="s">
        <v>14</v>
      </c>
      <c r="B29" s="6">
        <v>16.3462</v>
      </c>
      <c r="C29" s="6">
        <v>0</v>
      </c>
      <c r="D29" s="6">
        <v>0.25</v>
      </c>
      <c r="E29" s="6">
        <v>1.3878999999999999</v>
      </c>
      <c r="F29" s="6">
        <v>16.509399999999999</v>
      </c>
      <c r="G29" s="6">
        <v>29.576899999999998</v>
      </c>
      <c r="H29" s="6">
        <v>0</v>
      </c>
      <c r="I29" s="6">
        <v>36.666699999999999</v>
      </c>
      <c r="J29" s="6">
        <v>8.9594000000000005</v>
      </c>
      <c r="K29" s="6">
        <v>12.011200000000001</v>
      </c>
    </row>
    <row r="30" spans="1:11">
      <c r="A30" s="1" t="s">
        <v>15</v>
      </c>
      <c r="B30" s="6">
        <v>3.2726999999999999</v>
      </c>
      <c r="C30" s="6">
        <v>6</v>
      </c>
      <c r="D30" s="6">
        <v>0.42859999999999998</v>
      </c>
      <c r="E30" s="6">
        <v>1.3729</v>
      </c>
      <c r="F30" s="6">
        <v>20.054099999999998</v>
      </c>
      <c r="G30" s="6">
        <v>29.571400000000001</v>
      </c>
      <c r="H30" s="6">
        <v>7</v>
      </c>
      <c r="I30" s="6">
        <v>36</v>
      </c>
      <c r="J30" s="6">
        <v>11.934799999999999</v>
      </c>
      <c r="K30" s="6">
        <v>12.6351</v>
      </c>
    </row>
    <row r="31" spans="1:11">
      <c r="A31" s="1" t="s">
        <v>16</v>
      </c>
      <c r="B31" s="6">
        <v>0</v>
      </c>
      <c r="C31" s="6">
        <v>11</v>
      </c>
      <c r="D31" s="6">
        <v>0</v>
      </c>
      <c r="E31" s="6">
        <v>1.2399</v>
      </c>
      <c r="F31" s="6">
        <v>8.3071999999999999</v>
      </c>
      <c r="G31" s="6">
        <v>0</v>
      </c>
      <c r="H31" s="6">
        <v>16</v>
      </c>
      <c r="I31" s="6">
        <v>29</v>
      </c>
      <c r="J31" s="6">
        <v>7.6706000000000003</v>
      </c>
      <c r="K31" s="6">
        <v>6.2450999999999999</v>
      </c>
    </row>
    <row r="32" spans="1:11">
      <c r="A32" s="1" t="s">
        <v>17</v>
      </c>
      <c r="B32" s="6">
        <v>24.857099999999999</v>
      </c>
      <c r="C32" s="6">
        <v>51.5</v>
      </c>
      <c r="D32" s="6">
        <v>0</v>
      </c>
      <c r="E32" s="6">
        <v>1.3459000000000001</v>
      </c>
      <c r="F32" s="6">
        <v>21.809799999999999</v>
      </c>
      <c r="G32" s="6">
        <v>29.142900000000001</v>
      </c>
      <c r="H32" s="6">
        <v>21.5</v>
      </c>
      <c r="I32" s="6">
        <v>0</v>
      </c>
      <c r="J32" s="6">
        <v>11.5846</v>
      </c>
      <c r="K32" s="6">
        <v>17.135000000000002</v>
      </c>
    </row>
    <row r="33" spans="1:11">
      <c r="A33" s="1" t="s">
        <v>18</v>
      </c>
      <c r="B33" s="6">
        <v>3.694</v>
      </c>
      <c r="C33" s="6">
        <v>293.75</v>
      </c>
      <c r="D33" s="6">
        <v>0</v>
      </c>
      <c r="E33" s="6">
        <v>1.3301000000000001</v>
      </c>
      <c r="F33" s="6">
        <v>21.585699999999999</v>
      </c>
      <c r="G33" s="6">
        <v>33.312800000000003</v>
      </c>
      <c r="H33" s="6">
        <v>20</v>
      </c>
      <c r="I33" s="6">
        <v>21</v>
      </c>
      <c r="J33" s="6">
        <v>12.916600000000001</v>
      </c>
      <c r="K33" s="6">
        <v>14.685700000000001</v>
      </c>
    </row>
    <row r="34" spans="1:11">
      <c r="A34" s="1" t="s">
        <v>19</v>
      </c>
      <c r="B34" s="6">
        <v>4.5713999999999997</v>
      </c>
      <c r="C34" s="6">
        <v>69</v>
      </c>
      <c r="D34" s="6">
        <v>0</v>
      </c>
      <c r="E34" s="6">
        <v>1.2547999999999999</v>
      </c>
      <c r="F34" s="6">
        <v>22.155200000000001</v>
      </c>
      <c r="G34" s="6">
        <v>28</v>
      </c>
      <c r="H34" s="6">
        <v>10</v>
      </c>
      <c r="I34" s="6">
        <v>0</v>
      </c>
      <c r="J34" s="6">
        <v>8.6425999999999998</v>
      </c>
      <c r="K34" s="6">
        <v>11.9483</v>
      </c>
    </row>
  </sheetData>
  <phoneticPr fontId="0" type="noConversion"/>
  <pageMargins left="0.7" right="0.7" top="0.78740157499999996" bottom="0.78740157499999996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>
  <sheetPr codeName="Tabelle35"/>
  <dimension ref="A6:J7"/>
  <sheetViews>
    <sheetView workbookViewId="0">
      <selection activeCell="B11" sqref="B11"/>
    </sheetView>
  </sheetViews>
  <sheetFormatPr defaultColWidth="11.5703125" defaultRowHeight="12.75"/>
  <cols>
    <col min="1" max="1" width="29.85546875" style="20" customWidth="1"/>
    <col min="2" max="2" width="51.140625" style="20" bestFit="1" customWidth="1"/>
    <col min="3" max="3" width="12.5703125" style="20" bestFit="1" customWidth="1"/>
    <col min="4" max="4" width="18.42578125" style="20" bestFit="1" customWidth="1"/>
    <col min="5" max="16384" width="11.5703125" style="20"/>
  </cols>
  <sheetData>
    <row r="6" spans="1:10" s="31" customFormat="1">
      <c r="A6" s="30" t="s">
        <v>0</v>
      </c>
      <c r="B6" s="31" t="s">
        <v>1</v>
      </c>
      <c r="C6" s="32" t="s">
        <v>135</v>
      </c>
      <c r="D6" s="32" t="s">
        <v>136</v>
      </c>
      <c r="E6" s="32" t="s">
        <v>132</v>
      </c>
      <c r="F6" s="32" t="s">
        <v>133</v>
      </c>
      <c r="G6" s="32" t="s">
        <v>134</v>
      </c>
      <c r="H6" s="32" t="s">
        <v>130</v>
      </c>
      <c r="I6" s="32" t="s">
        <v>131</v>
      </c>
      <c r="J6" s="31" t="s">
        <v>129</v>
      </c>
    </row>
    <row r="7" spans="1:10" s="34" customFormat="1">
      <c r="A7" s="33" t="s">
        <v>244</v>
      </c>
      <c r="B7" s="6" t="str">
        <f>NormalDistribution(C7,D7,H7,I7)</f>
        <v>NormalDistribution(0.62; 0.18; -0.2; 0.88)</v>
      </c>
      <c r="C7" s="20">
        <v>0.62</v>
      </c>
      <c r="D7" s="34">
        <v>0.18</v>
      </c>
      <c r="H7" s="34">
        <v>-0.2</v>
      </c>
      <c r="I7" s="34">
        <v>0.88</v>
      </c>
    </row>
  </sheetData>
  <pageMargins left="0.7" right="0.7" top="0.78740157499999996" bottom="0.78740157499999996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>
  <dimension ref="A1:Q105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" sqref="B1:Q1"/>
    </sheetView>
  </sheetViews>
  <sheetFormatPr defaultColWidth="11.42578125" defaultRowHeight="12.75"/>
  <sheetData>
    <row r="1" spans="1:17">
      <c r="A1" s="1" t="s">
        <v>4</v>
      </c>
      <c r="B1" s="1" t="s">
        <v>2</v>
      </c>
      <c r="C1" s="1" t="s">
        <v>3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</row>
    <row r="2" spans="1:17">
      <c r="A2" s="3">
        <v>1950</v>
      </c>
      <c r="B2" s="7">
        <v>0</v>
      </c>
      <c r="C2" s="7">
        <v>0</v>
      </c>
      <c r="D2" s="7">
        <v>0</v>
      </c>
      <c r="E2" s="7">
        <v>0</v>
      </c>
      <c r="F2" s="7">
        <v>0</v>
      </c>
      <c r="G2" s="7">
        <v>0</v>
      </c>
      <c r="H2" s="7">
        <v>0</v>
      </c>
      <c r="I2" s="7">
        <v>0</v>
      </c>
      <c r="J2" s="7">
        <v>0</v>
      </c>
      <c r="K2" s="7">
        <v>0</v>
      </c>
      <c r="L2" s="7">
        <v>0</v>
      </c>
      <c r="M2" s="7">
        <v>0</v>
      </c>
      <c r="N2" s="7">
        <v>0</v>
      </c>
      <c r="O2" s="7">
        <v>0</v>
      </c>
      <c r="P2" s="7">
        <v>0</v>
      </c>
      <c r="Q2" s="7">
        <v>0</v>
      </c>
    </row>
    <row r="3" spans="1:17">
      <c r="A3" s="2">
        <v>1951</v>
      </c>
      <c r="B3" s="7">
        <v>0</v>
      </c>
      <c r="C3" s="7">
        <v>0</v>
      </c>
      <c r="D3" s="7">
        <v>0</v>
      </c>
      <c r="E3" s="7">
        <v>0</v>
      </c>
      <c r="F3" s="7">
        <v>0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</row>
    <row r="4" spans="1:17">
      <c r="A4" s="2">
        <v>1952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</row>
    <row r="5" spans="1:17">
      <c r="A5" s="2">
        <v>1953</v>
      </c>
      <c r="B5" s="7">
        <v>0</v>
      </c>
      <c r="C5" s="7">
        <v>0</v>
      </c>
      <c r="D5" s="7">
        <v>0</v>
      </c>
      <c r="E5" s="7">
        <v>0</v>
      </c>
      <c r="F5" s="7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  <c r="Q5" s="7">
        <v>0</v>
      </c>
    </row>
    <row r="6" spans="1:17">
      <c r="A6" s="2">
        <v>1954</v>
      </c>
      <c r="B6" s="7">
        <v>0</v>
      </c>
      <c r="C6" s="7">
        <v>0</v>
      </c>
      <c r="D6" s="7">
        <v>0</v>
      </c>
      <c r="E6" s="7">
        <v>0</v>
      </c>
      <c r="F6" s="7">
        <v>0</v>
      </c>
      <c r="G6" s="7">
        <v>0</v>
      </c>
      <c r="H6" s="7">
        <v>0</v>
      </c>
      <c r="I6" s="7">
        <v>0</v>
      </c>
      <c r="J6" s="7">
        <v>0</v>
      </c>
      <c r="K6" s="7">
        <v>0</v>
      </c>
      <c r="L6" s="7">
        <v>0</v>
      </c>
      <c r="M6" s="7">
        <v>0</v>
      </c>
      <c r="N6" s="7">
        <v>0</v>
      </c>
      <c r="O6" s="7">
        <v>0</v>
      </c>
      <c r="P6" s="7">
        <v>0</v>
      </c>
      <c r="Q6" s="7">
        <v>0</v>
      </c>
    </row>
    <row r="7" spans="1:17">
      <c r="A7" s="2">
        <v>1955</v>
      </c>
      <c r="B7" s="7">
        <v>0</v>
      </c>
      <c r="C7" s="7">
        <v>0</v>
      </c>
      <c r="D7" s="7">
        <v>0</v>
      </c>
      <c r="E7" s="7">
        <v>0</v>
      </c>
      <c r="F7" s="7">
        <v>0</v>
      </c>
      <c r="G7" s="7">
        <v>0</v>
      </c>
      <c r="H7" s="7">
        <v>0</v>
      </c>
      <c r="I7" s="7">
        <v>0</v>
      </c>
      <c r="J7" s="7">
        <v>0</v>
      </c>
      <c r="K7" s="7">
        <v>0</v>
      </c>
      <c r="L7" s="7">
        <v>0</v>
      </c>
      <c r="M7" s="7">
        <v>0</v>
      </c>
      <c r="N7" s="7">
        <v>0</v>
      </c>
      <c r="O7" s="7">
        <v>0</v>
      </c>
      <c r="P7" s="7">
        <v>0</v>
      </c>
      <c r="Q7" s="7">
        <v>0</v>
      </c>
    </row>
    <row r="8" spans="1:17">
      <c r="A8" s="2">
        <v>1956</v>
      </c>
      <c r="B8" s="7">
        <v>0</v>
      </c>
      <c r="C8" s="7">
        <v>0</v>
      </c>
      <c r="D8" s="7">
        <v>0</v>
      </c>
      <c r="E8" s="7">
        <v>0</v>
      </c>
      <c r="F8" s="7">
        <v>0</v>
      </c>
      <c r="G8" s="7">
        <v>0</v>
      </c>
      <c r="H8" s="7">
        <v>0</v>
      </c>
      <c r="I8" s="7">
        <v>0</v>
      </c>
      <c r="J8" s="7">
        <v>0</v>
      </c>
      <c r="K8" s="7">
        <v>0</v>
      </c>
      <c r="L8" s="7">
        <v>0</v>
      </c>
      <c r="M8" s="7">
        <v>0</v>
      </c>
      <c r="N8" s="7">
        <v>0</v>
      </c>
      <c r="O8" s="7">
        <v>0</v>
      </c>
      <c r="P8" s="7">
        <v>0</v>
      </c>
      <c r="Q8" s="7">
        <v>0</v>
      </c>
    </row>
    <row r="9" spans="1:17">
      <c r="A9" s="2">
        <v>1957</v>
      </c>
      <c r="B9" s="7">
        <v>0</v>
      </c>
      <c r="C9" s="7">
        <v>0</v>
      </c>
      <c r="D9" s="7">
        <v>0</v>
      </c>
      <c r="E9" s="7">
        <v>0</v>
      </c>
      <c r="F9" s="7">
        <v>0</v>
      </c>
      <c r="G9" s="7">
        <v>0</v>
      </c>
      <c r="H9" s="7">
        <v>0</v>
      </c>
      <c r="I9" s="7">
        <v>0</v>
      </c>
      <c r="J9" s="7">
        <v>0</v>
      </c>
      <c r="K9" s="7">
        <v>0</v>
      </c>
      <c r="L9" s="7">
        <v>0</v>
      </c>
      <c r="M9" s="7">
        <v>0</v>
      </c>
      <c r="N9" s="7">
        <v>0</v>
      </c>
      <c r="O9" s="7">
        <v>0</v>
      </c>
      <c r="P9" s="7">
        <v>0</v>
      </c>
      <c r="Q9" s="7">
        <v>0</v>
      </c>
    </row>
    <row r="10" spans="1:17">
      <c r="A10" s="2">
        <v>1958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</row>
    <row r="11" spans="1:17">
      <c r="A11" s="2">
        <v>1959</v>
      </c>
      <c r="B11" s="7">
        <v>0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</row>
    <row r="12" spans="1:17">
      <c r="A12" s="2">
        <v>1960</v>
      </c>
      <c r="B12" s="7">
        <v>0</v>
      </c>
      <c r="C12" s="7">
        <v>0</v>
      </c>
      <c r="D12" s="7">
        <v>0</v>
      </c>
      <c r="E12" s="7">
        <v>0</v>
      </c>
      <c r="F12" s="7">
        <v>0</v>
      </c>
      <c r="G12" s="7">
        <v>0</v>
      </c>
      <c r="H12" s="7">
        <v>0</v>
      </c>
      <c r="I12" s="7">
        <v>0</v>
      </c>
      <c r="J12" s="7">
        <v>0</v>
      </c>
      <c r="K12" s="7">
        <v>0</v>
      </c>
      <c r="L12" s="7">
        <v>0</v>
      </c>
      <c r="M12" s="7">
        <v>0</v>
      </c>
      <c r="N12" s="7">
        <v>0</v>
      </c>
      <c r="O12" s="7">
        <v>0</v>
      </c>
      <c r="P12" s="7">
        <v>0</v>
      </c>
      <c r="Q12" s="7">
        <v>0</v>
      </c>
    </row>
    <row r="13" spans="1:17">
      <c r="A13" s="2">
        <v>1961</v>
      </c>
      <c r="B13" s="7">
        <v>0</v>
      </c>
      <c r="C13" s="7">
        <v>0</v>
      </c>
      <c r="D13" s="7">
        <v>0</v>
      </c>
      <c r="E13" s="7">
        <v>0</v>
      </c>
      <c r="F13" s="7">
        <v>0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  <c r="N13" s="7">
        <v>0</v>
      </c>
      <c r="O13" s="7">
        <v>0</v>
      </c>
      <c r="P13" s="7">
        <v>0</v>
      </c>
      <c r="Q13" s="7">
        <v>0</v>
      </c>
    </row>
    <row r="14" spans="1:17">
      <c r="A14" s="2">
        <v>1962</v>
      </c>
      <c r="B14" s="7">
        <v>0</v>
      </c>
      <c r="C14" s="7">
        <v>0</v>
      </c>
      <c r="D14" s="7">
        <v>0</v>
      </c>
      <c r="E14" s="7">
        <v>0</v>
      </c>
      <c r="F14" s="7">
        <v>0</v>
      </c>
      <c r="G14" s="7">
        <v>0</v>
      </c>
      <c r="H14" s="7">
        <v>0</v>
      </c>
      <c r="I14" s="7">
        <v>0</v>
      </c>
      <c r="J14" s="7">
        <v>0</v>
      </c>
      <c r="K14" s="7">
        <v>0</v>
      </c>
      <c r="L14" s="7">
        <v>0</v>
      </c>
      <c r="M14" s="7">
        <v>0</v>
      </c>
      <c r="N14" s="7">
        <v>0</v>
      </c>
      <c r="O14" s="7">
        <v>0</v>
      </c>
      <c r="P14" s="7">
        <v>0</v>
      </c>
      <c r="Q14" s="7">
        <v>0</v>
      </c>
    </row>
    <row r="15" spans="1:17">
      <c r="A15" s="2">
        <v>1963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</row>
    <row r="16" spans="1:17">
      <c r="A16" s="2">
        <v>1964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</row>
    <row r="17" spans="1:17">
      <c r="A17" s="2">
        <v>1965</v>
      </c>
      <c r="B17" s="7">
        <v>0</v>
      </c>
      <c r="C17" s="7">
        <v>0</v>
      </c>
      <c r="D17" s="7">
        <v>0</v>
      </c>
      <c r="E17" s="7">
        <v>0</v>
      </c>
      <c r="F17" s="7">
        <v>0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</row>
    <row r="18" spans="1:17">
      <c r="A18" s="2">
        <v>1966</v>
      </c>
      <c r="B18" s="7">
        <v>0</v>
      </c>
      <c r="C18" s="7">
        <v>0</v>
      </c>
      <c r="D18" s="7">
        <v>0</v>
      </c>
      <c r="E18" s="7">
        <v>0</v>
      </c>
      <c r="F18" s="7">
        <v>0</v>
      </c>
      <c r="G18" s="7">
        <v>0</v>
      </c>
      <c r="H18" s="7">
        <v>0</v>
      </c>
      <c r="I18" s="7">
        <v>0</v>
      </c>
      <c r="J18" s="7">
        <v>0</v>
      </c>
      <c r="K18" s="7">
        <v>0</v>
      </c>
      <c r="L18" s="7">
        <v>0</v>
      </c>
      <c r="M18" s="7">
        <v>0</v>
      </c>
      <c r="N18" s="7">
        <v>0</v>
      </c>
      <c r="O18" s="7">
        <v>0</v>
      </c>
      <c r="P18" s="7">
        <v>0</v>
      </c>
      <c r="Q18" s="7">
        <v>0</v>
      </c>
    </row>
    <row r="19" spans="1:17">
      <c r="A19" s="2">
        <v>1967</v>
      </c>
      <c r="B19" s="7">
        <v>0</v>
      </c>
      <c r="C19" s="7">
        <v>0</v>
      </c>
      <c r="D19" s="7">
        <v>0</v>
      </c>
      <c r="E19" s="7">
        <v>0</v>
      </c>
      <c r="F19" s="7">
        <v>0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  <c r="O19" s="7">
        <v>0</v>
      </c>
      <c r="P19" s="7">
        <v>0</v>
      </c>
      <c r="Q19" s="7">
        <v>0</v>
      </c>
    </row>
    <row r="20" spans="1:17">
      <c r="A20" s="2">
        <v>1968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 s="7">
        <v>0</v>
      </c>
      <c r="M20" s="7">
        <v>0</v>
      </c>
      <c r="N20" s="7">
        <v>0</v>
      </c>
      <c r="O20" s="7">
        <v>0</v>
      </c>
      <c r="P20" s="7">
        <v>0</v>
      </c>
      <c r="Q20" s="7">
        <v>0</v>
      </c>
    </row>
    <row r="21" spans="1:17">
      <c r="A21" s="2">
        <v>1969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</row>
    <row r="22" spans="1:17">
      <c r="A22" s="2">
        <v>1970</v>
      </c>
      <c r="B22" s="7">
        <v>0</v>
      </c>
      <c r="C22" s="7">
        <v>0</v>
      </c>
      <c r="D22" s="7">
        <v>0</v>
      </c>
      <c r="E22" s="7">
        <v>0</v>
      </c>
      <c r="F22" s="7">
        <v>0</v>
      </c>
      <c r="G22" s="7">
        <v>0</v>
      </c>
      <c r="H22" s="7">
        <v>0</v>
      </c>
      <c r="I22" s="7">
        <v>0</v>
      </c>
      <c r="J22" s="7">
        <v>0</v>
      </c>
      <c r="K22" s="7">
        <v>0</v>
      </c>
      <c r="L22" s="7">
        <v>0</v>
      </c>
      <c r="M22" s="7">
        <v>0</v>
      </c>
      <c r="N22" s="7">
        <v>0</v>
      </c>
      <c r="O22" s="7">
        <v>0</v>
      </c>
      <c r="P22" s="7">
        <v>0</v>
      </c>
      <c r="Q22" s="7">
        <v>0</v>
      </c>
    </row>
    <row r="23" spans="1:17">
      <c r="A23" s="2">
        <v>1971</v>
      </c>
      <c r="B23" s="7">
        <v>0</v>
      </c>
      <c r="C23" s="7">
        <v>0</v>
      </c>
      <c r="D23" s="7">
        <v>0</v>
      </c>
      <c r="E23" s="7">
        <v>0</v>
      </c>
      <c r="F23" s="7">
        <v>0</v>
      </c>
      <c r="G23" s="7">
        <v>0</v>
      </c>
      <c r="H23" s="7">
        <v>0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</row>
    <row r="24" spans="1:17">
      <c r="A24" s="2">
        <v>1972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</row>
    <row r="25" spans="1:17">
      <c r="A25" s="2">
        <v>1973</v>
      </c>
      <c r="B25" s="7">
        <v>0</v>
      </c>
      <c r="C25" s="7">
        <v>0</v>
      </c>
      <c r="D25" s="7">
        <v>0</v>
      </c>
      <c r="E25" s="7">
        <v>0</v>
      </c>
      <c r="F25" s="7">
        <v>0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 s="7">
        <v>0</v>
      </c>
      <c r="M25" s="7">
        <v>0</v>
      </c>
      <c r="N25" s="7">
        <v>0</v>
      </c>
      <c r="O25" s="7">
        <v>0</v>
      </c>
      <c r="P25" s="7">
        <v>0</v>
      </c>
      <c r="Q25" s="7">
        <v>0</v>
      </c>
    </row>
    <row r="26" spans="1:17">
      <c r="A26" s="2">
        <v>1974</v>
      </c>
      <c r="B26" s="7">
        <v>0</v>
      </c>
      <c r="C26" s="7">
        <v>0</v>
      </c>
      <c r="D26" s="7">
        <v>0</v>
      </c>
      <c r="E26" s="7">
        <v>0</v>
      </c>
      <c r="F26" s="7">
        <v>0</v>
      </c>
      <c r="G26" s="7">
        <v>0</v>
      </c>
      <c r="H26" s="7">
        <v>0</v>
      </c>
      <c r="I26" s="7">
        <v>0</v>
      </c>
      <c r="J26" s="7">
        <v>0</v>
      </c>
      <c r="K26" s="7">
        <v>0</v>
      </c>
      <c r="L26" s="7">
        <v>0</v>
      </c>
      <c r="M26" s="7">
        <v>0</v>
      </c>
      <c r="N26" s="7">
        <v>0</v>
      </c>
      <c r="O26" s="7">
        <v>0</v>
      </c>
      <c r="P26" s="7">
        <v>0</v>
      </c>
      <c r="Q26" s="7">
        <v>0</v>
      </c>
    </row>
    <row r="27" spans="1:17">
      <c r="A27" s="2">
        <v>1975</v>
      </c>
      <c r="B27" s="7">
        <v>0</v>
      </c>
      <c r="C27" s="7">
        <v>0</v>
      </c>
      <c r="D27" s="7">
        <v>0</v>
      </c>
      <c r="E27" s="7">
        <v>0</v>
      </c>
      <c r="F27" s="7">
        <v>0</v>
      </c>
      <c r="G27" s="7">
        <v>0</v>
      </c>
      <c r="H27" s="7">
        <v>0</v>
      </c>
      <c r="I27" s="7">
        <v>0</v>
      </c>
      <c r="J27" s="7">
        <v>0</v>
      </c>
      <c r="K27" s="7">
        <v>0</v>
      </c>
      <c r="L27" s="7">
        <v>0</v>
      </c>
      <c r="M27" s="7">
        <v>0</v>
      </c>
      <c r="N27" s="7">
        <v>0</v>
      </c>
      <c r="O27" s="7">
        <v>0</v>
      </c>
      <c r="P27" s="7">
        <v>0</v>
      </c>
      <c r="Q27" s="7">
        <v>0</v>
      </c>
    </row>
    <row r="28" spans="1:17">
      <c r="A28" s="2">
        <v>1976</v>
      </c>
      <c r="B28" s="7">
        <v>0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</row>
    <row r="29" spans="1:17">
      <c r="A29" s="2">
        <v>1977</v>
      </c>
      <c r="B29" s="7">
        <v>0</v>
      </c>
      <c r="C29" s="7">
        <v>0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</row>
    <row r="30" spans="1:17">
      <c r="A30" s="2">
        <v>1978</v>
      </c>
      <c r="B30" s="7">
        <v>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</row>
    <row r="31" spans="1:17">
      <c r="A31" s="2">
        <v>1979</v>
      </c>
      <c r="B31" s="7">
        <v>0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</row>
    <row r="32" spans="1:17">
      <c r="A32" s="2">
        <v>1980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</row>
    <row r="33" spans="1:17">
      <c r="A33" s="2">
        <v>1981</v>
      </c>
      <c r="B33" s="7">
        <v>0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</row>
    <row r="34" spans="1:17">
      <c r="A34" s="2">
        <v>1982</v>
      </c>
      <c r="B34" s="7">
        <v>0</v>
      </c>
      <c r="C34" s="7">
        <v>0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</row>
    <row r="35" spans="1:17">
      <c r="A35" s="2">
        <v>1983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</row>
    <row r="36" spans="1:17">
      <c r="A36" s="2">
        <v>1984</v>
      </c>
      <c r="B36" s="7">
        <v>0</v>
      </c>
      <c r="C36" s="7">
        <v>0</v>
      </c>
      <c r="D36" s="7">
        <v>0</v>
      </c>
      <c r="E36" s="7">
        <v>0</v>
      </c>
      <c r="F36" s="7">
        <v>0</v>
      </c>
      <c r="G36" s="7">
        <v>0</v>
      </c>
      <c r="H36" s="7">
        <v>0</v>
      </c>
      <c r="I36" s="7">
        <v>0</v>
      </c>
      <c r="J36" s="7">
        <v>0</v>
      </c>
      <c r="K36" s="7">
        <v>0</v>
      </c>
      <c r="L36" s="7">
        <v>0</v>
      </c>
      <c r="M36" s="7">
        <v>0</v>
      </c>
      <c r="N36" s="7">
        <v>0</v>
      </c>
      <c r="O36" s="7">
        <v>0</v>
      </c>
      <c r="P36" s="7">
        <v>0</v>
      </c>
      <c r="Q36" s="7">
        <v>0</v>
      </c>
    </row>
    <row r="37" spans="1:17">
      <c r="A37" s="2">
        <v>1985</v>
      </c>
      <c r="B37" s="7">
        <v>0</v>
      </c>
      <c r="C37" s="7">
        <v>0</v>
      </c>
      <c r="D37" s="7">
        <v>0</v>
      </c>
      <c r="E37" s="7">
        <v>0</v>
      </c>
      <c r="F37" s="7">
        <v>0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</row>
    <row r="38" spans="1:17">
      <c r="A38" s="2">
        <v>1986</v>
      </c>
      <c r="B38" s="7">
        <v>0</v>
      </c>
      <c r="C38" s="7">
        <v>0</v>
      </c>
      <c r="D38" s="7">
        <v>0</v>
      </c>
      <c r="E38" s="7">
        <v>0</v>
      </c>
      <c r="F38" s="7">
        <v>0</v>
      </c>
      <c r="G38" s="7">
        <v>0</v>
      </c>
      <c r="H38" s="7">
        <v>0</v>
      </c>
      <c r="I38" s="7">
        <v>0</v>
      </c>
      <c r="J38" s="7">
        <v>0</v>
      </c>
      <c r="K38" s="7">
        <v>0</v>
      </c>
      <c r="L38" s="7">
        <v>0</v>
      </c>
      <c r="M38" s="7">
        <v>0</v>
      </c>
      <c r="N38" s="7">
        <v>0</v>
      </c>
      <c r="O38" s="7">
        <v>0</v>
      </c>
      <c r="P38" s="7">
        <v>0</v>
      </c>
      <c r="Q38" s="7">
        <v>0</v>
      </c>
    </row>
    <row r="39" spans="1:17">
      <c r="A39" s="2">
        <v>1987</v>
      </c>
      <c r="B39" s="7">
        <v>0</v>
      </c>
      <c r="C39" s="7">
        <v>0</v>
      </c>
      <c r="D39" s="7">
        <v>0</v>
      </c>
      <c r="E39" s="7">
        <v>0</v>
      </c>
      <c r="F39" s="7">
        <v>0</v>
      </c>
      <c r="G39" s="7">
        <v>0</v>
      </c>
      <c r="H39" s="7">
        <v>0</v>
      </c>
      <c r="I39" s="7">
        <v>0</v>
      </c>
      <c r="J39" s="7">
        <v>0</v>
      </c>
      <c r="K39" s="7">
        <v>0</v>
      </c>
      <c r="L39" s="7">
        <v>0</v>
      </c>
      <c r="M39" s="7">
        <v>0</v>
      </c>
      <c r="N39" s="7">
        <v>0</v>
      </c>
      <c r="O39" s="7">
        <v>0</v>
      </c>
      <c r="P39" s="7">
        <v>0</v>
      </c>
      <c r="Q39" s="7">
        <v>0</v>
      </c>
    </row>
    <row r="40" spans="1:17">
      <c r="A40" s="2">
        <v>1988</v>
      </c>
      <c r="B40" s="7">
        <v>0</v>
      </c>
      <c r="C40" s="7">
        <v>0</v>
      </c>
      <c r="D40" s="7">
        <v>0</v>
      </c>
      <c r="E40" s="7">
        <v>0</v>
      </c>
      <c r="F40" s="7">
        <v>0</v>
      </c>
      <c r="G40" s="7">
        <v>0</v>
      </c>
      <c r="H40" s="7">
        <v>0</v>
      </c>
      <c r="I40" s="7">
        <v>0</v>
      </c>
      <c r="J40" s="7">
        <v>0</v>
      </c>
      <c r="K40" s="7">
        <v>0</v>
      </c>
      <c r="L40" s="7">
        <v>0</v>
      </c>
      <c r="M40" s="7">
        <v>0</v>
      </c>
      <c r="N40" s="7">
        <v>0</v>
      </c>
      <c r="O40" s="7">
        <v>0</v>
      </c>
      <c r="P40" s="7">
        <v>0</v>
      </c>
      <c r="Q40" s="7">
        <v>0</v>
      </c>
    </row>
    <row r="41" spans="1:17">
      <c r="A41" s="2">
        <v>1989</v>
      </c>
      <c r="B41" s="7">
        <v>0</v>
      </c>
      <c r="C41" s="7">
        <v>0</v>
      </c>
      <c r="D41" s="7">
        <v>0</v>
      </c>
      <c r="E41" s="7">
        <v>0</v>
      </c>
      <c r="F41" s="7">
        <v>0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7">
        <v>0</v>
      </c>
      <c r="M41" s="7">
        <v>0</v>
      </c>
      <c r="N41" s="7">
        <v>0</v>
      </c>
      <c r="O41" s="7">
        <v>0</v>
      </c>
      <c r="P41" s="7">
        <v>0</v>
      </c>
      <c r="Q41" s="7">
        <v>0</v>
      </c>
    </row>
    <row r="42" spans="1:17">
      <c r="A42" s="2">
        <v>1990</v>
      </c>
      <c r="B42" s="7">
        <v>0</v>
      </c>
      <c r="C42" s="7">
        <v>0</v>
      </c>
      <c r="D42" s="7">
        <v>0</v>
      </c>
      <c r="E42" s="7">
        <v>0</v>
      </c>
      <c r="F42" s="7">
        <v>0</v>
      </c>
      <c r="G42" s="7">
        <v>0</v>
      </c>
      <c r="H42" s="7">
        <v>0</v>
      </c>
      <c r="I42" s="7">
        <v>0</v>
      </c>
      <c r="J42" s="7">
        <v>0</v>
      </c>
      <c r="K42" s="7">
        <v>0</v>
      </c>
      <c r="L42" s="7">
        <v>0</v>
      </c>
      <c r="M42" s="7">
        <v>0</v>
      </c>
      <c r="N42" s="7">
        <v>0</v>
      </c>
      <c r="O42" s="7">
        <v>0</v>
      </c>
      <c r="P42" s="7">
        <v>0</v>
      </c>
      <c r="Q42" s="7">
        <v>0</v>
      </c>
    </row>
    <row r="43" spans="1:17">
      <c r="A43" s="2">
        <v>1991</v>
      </c>
      <c r="B43" s="7">
        <v>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</row>
    <row r="44" spans="1:17">
      <c r="A44" s="2">
        <v>1992</v>
      </c>
      <c r="B44" s="7">
        <v>0</v>
      </c>
      <c r="C44" s="7">
        <v>0</v>
      </c>
      <c r="D44" s="7">
        <v>0</v>
      </c>
      <c r="E44" s="7">
        <v>0</v>
      </c>
      <c r="F44" s="7">
        <v>0</v>
      </c>
      <c r="G44" s="7">
        <v>0</v>
      </c>
      <c r="H44" s="7">
        <v>0</v>
      </c>
      <c r="I44" s="7">
        <v>0</v>
      </c>
      <c r="J44" s="7">
        <v>0</v>
      </c>
      <c r="K44" s="7">
        <v>0</v>
      </c>
      <c r="L44" s="7">
        <v>0</v>
      </c>
      <c r="M44" s="7">
        <v>0</v>
      </c>
      <c r="N44" s="7">
        <v>0</v>
      </c>
      <c r="O44" s="7">
        <v>0</v>
      </c>
      <c r="P44" s="7">
        <v>0</v>
      </c>
      <c r="Q44" s="7">
        <v>0</v>
      </c>
    </row>
    <row r="45" spans="1:17">
      <c r="A45" s="2">
        <v>1993</v>
      </c>
      <c r="B45" s="7">
        <v>0</v>
      </c>
      <c r="C45" s="7">
        <v>0</v>
      </c>
      <c r="D45" s="7">
        <v>0</v>
      </c>
      <c r="E45" s="7">
        <v>0</v>
      </c>
      <c r="F45" s="7">
        <v>0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 s="7">
        <v>0</v>
      </c>
      <c r="M45" s="7">
        <v>0</v>
      </c>
      <c r="N45" s="7">
        <v>0</v>
      </c>
      <c r="O45" s="7">
        <v>0</v>
      </c>
      <c r="P45" s="7">
        <v>0</v>
      </c>
      <c r="Q45" s="7">
        <v>0</v>
      </c>
    </row>
    <row r="46" spans="1:17">
      <c r="A46" s="2">
        <v>1994</v>
      </c>
      <c r="B46" s="7">
        <v>0</v>
      </c>
      <c r="C46" s="7">
        <v>0</v>
      </c>
      <c r="D46" s="7">
        <v>0</v>
      </c>
      <c r="E46" s="7">
        <v>0</v>
      </c>
      <c r="F46" s="7">
        <v>0</v>
      </c>
      <c r="G46" s="7">
        <v>0</v>
      </c>
      <c r="H46" s="7">
        <v>0</v>
      </c>
      <c r="I46" s="7">
        <v>0</v>
      </c>
      <c r="J46" s="7">
        <v>0</v>
      </c>
      <c r="K46" s="7">
        <v>0</v>
      </c>
      <c r="L46" s="7">
        <v>0</v>
      </c>
      <c r="M46" s="7">
        <v>0</v>
      </c>
      <c r="N46" s="7">
        <v>0</v>
      </c>
      <c r="O46" s="7">
        <v>0</v>
      </c>
      <c r="P46" s="7">
        <v>0</v>
      </c>
      <c r="Q46" s="7">
        <v>0</v>
      </c>
    </row>
    <row r="47" spans="1:17">
      <c r="A47" s="2">
        <v>1995</v>
      </c>
      <c r="B47" s="7">
        <v>0</v>
      </c>
      <c r="C47" s="7">
        <v>0</v>
      </c>
      <c r="D47" s="7">
        <v>0</v>
      </c>
      <c r="E47" s="7">
        <v>0</v>
      </c>
      <c r="F47" s="7">
        <v>0</v>
      </c>
      <c r="G47" s="7">
        <v>0</v>
      </c>
      <c r="H47" s="7">
        <v>0</v>
      </c>
      <c r="I47" s="7">
        <v>0</v>
      </c>
      <c r="J47" s="7">
        <v>0</v>
      </c>
      <c r="K47" s="7">
        <v>0</v>
      </c>
      <c r="L47" s="7">
        <v>0</v>
      </c>
      <c r="M47" s="7">
        <v>0</v>
      </c>
      <c r="N47" s="7">
        <v>0</v>
      </c>
      <c r="O47" s="7">
        <v>0</v>
      </c>
      <c r="P47" s="7">
        <v>0</v>
      </c>
      <c r="Q47" s="7">
        <v>0</v>
      </c>
    </row>
    <row r="48" spans="1:17">
      <c r="A48" s="2">
        <v>1996</v>
      </c>
      <c r="B48" s="7">
        <v>0</v>
      </c>
      <c r="C48" s="7">
        <v>0</v>
      </c>
      <c r="D48" s="7">
        <v>0</v>
      </c>
      <c r="E48" s="7">
        <v>0</v>
      </c>
      <c r="F48" s="7">
        <v>0</v>
      </c>
      <c r="G48" s="7">
        <v>0</v>
      </c>
      <c r="H48" s="7">
        <v>0</v>
      </c>
      <c r="I48" s="7">
        <v>0</v>
      </c>
      <c r="J48" s="7">
        <v>0</v>
      </c>
      <c r="K48" s="7">
        <v>0</v>
      </c>
      <c r="L48" s="7">
        <v>0</v>
      </c>
      <c r="M48" s="7">
        <v>0</v>
      </c>
      <c r="N48" s="7">
        <v>0</v>
      </c>
      <c r="O48" s="7">
        <v>0</v>
      </c>
      <c r="P48" s="7">
        <v>0</v>
      </c>
      <c r="Q48" s="7">
        <v>0</v>
      </c>
    </row>
    <row r="49" spans="1:17">
      <c r="A49" s="2">
        <v>1997</v>
      </c>
      <c r="B49" s="7">
        <v>0</v>
      </c>
      <c r="C49" s="7">
        <v>0</v>
      </c>
      <c r="D49" s="7">
        <v>0</v>
      </c>
      <c r="E49" s="7">
        <v>0</v>
      </c>
      <c r="F49" s="7">
        <v>0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 s="7">
        <v>0</v>
      </c>
      <c r="M49" s="7">
        <v>0</v>
      </c>
      <c r="N49" s="7">
        <v>0</v>
      </c>
      <c r="O49" s="7">
        <v>0</v>
      </c>
      <c r="P49" s="7">
        <v>0</v>
      </c>
      <c r="Q49" s="7">
        <v>0</v>
      </c>
    </row>
    <row r="50" spans="1:17">
      <c r="A50" s="2">
        <v>1998</v>
      </c>
      <c r="B50" s="7">
        <v>0</v>
      </c>
      <c r="C50" s="7">
        <v>0</v>
      </c>
      <c r="D50" s="7">
        <v>0</v>
      </c>
      <c r="E50" s="7">
        <v>0</v>
      </c>
      <c r="F50" s="7">
        <v>0</v>
      </c>
      <c r="G50" s="7">
        <v>0</v>
      </c>
      <c r="H50" s="7">
        <v>0</v>
      </c>
      <c r="I50" s="7">
        <v>0</v>
      </c>
      <c r="J50" s="7">
        <v>0</v>
      </c>
      <c r="K50" s="7">
        <v>0</v>
      </c>
      <c r="L50" s="7">
        <v>0</v>
      </c>
      <c r="M50" s="7">
        <v>0</v>
      </c>
      <c r="N50" s="7">
        <v>0</v>
      </c>
      <c r="O50" s="7">
        <v>0</v>
      </c>
      <c r="P50" s="7">
        <v>0</v>
      </c>
      <c r="Q50" s="7">
        <v>0</v>
      </c>
    </row>
    <row r="51" spans="1:17">
      <c r="A51" s="2">
        <v>1999</v>
      </c>
      <c r="B51" s="7">
        <v>0</v>
      </c>
      <c r="C51" s="7">
        <v>0</v>
      </c>
      <c r="D51" s="7">
        <v>0</v>
      </c>
      <c r="E51" s="7">
        <v>0</v>
      </c>
      <c r="F51" s="7">
        <v>0</v>
      </c>
      <c r="G51" s="7">
        <v>0</v>
      </c>
      <c r="H51" s="7">
        <v>0</v>
      </c>
      <c r="I51" s="7">
        <v>0</v>
      </c>
      <c r="J51" s="7">
        <v>0</v>
      </c>
      <c r="K51" s="7">
        <v>0</v>
      </c>
      <c r="L51" s="7">
        <v>0</v>
      </c>
      <c r="M51" s="7">
        <v>0</v>
      </c>
      <c r="N51" s="7">
        <v>0</v>
      </c>
      <c r="O51" s="7">
        <v>0</v>
      </c>
      <c r="P51" s="7">
        <v>0</v>
      </c>
      <c r="Q51" s="7">
        <v>0</v>
      </c>
    </row>
    <row r="52" spans="1:17">
      <c r="A52" s="2">
        <v>2000</v>
      </c>
      <c r="B52" s="7">
        <v>0</v>
      </c>
      <c r="C52" s="7">
        <v>0</v>
      </c>
      <c r="D52" s="7">
        <v>0</v>
      </c>
      <c r="E52" s="7">
        <v>0</v>
      </c>
      <c r="F52" s="7">
        <v>0</v>
      </c>
      <c r="G52" s="7">
        <v>0</v>
      </c>
      <c r="H52" s="7">
        <v>0</v>
      </c>
      <c r="I52" s="7">
        <v>0</v>
      </c>
      <c r="J52" s="7">
        <v>0</v>
      </c>
      <c r="K52" s="7">
        <v>0</v>
      </c>
      <c r="L52" s="7">
        <v>0</v>
      </c>
      <c r="M52" s="7">
        <v>0</v>
      </c>
      <c r="N52" s="7">
        <v>0</v>
      </c>
      <c r="O52" s="7">
        <v>0</v>
      </c>
      <c r="P52" s="7">
        <v>0</v>
      </c>
      <c r="Q52" s="7">
        <v>0</v>
      </c>
    </row>
    <row r="53" spans="1:17">
      <c r="A53" s="2">
        <v>2001</v>
      </c>
      <c r="B53" s="7">
        <v>0</v>
      </c>
      <c r="C53" s="7">
        <v>0</v>
      </c>
      <c r="D53" s="7">
        <v>0</v>
      </c>
      <c r="E53" s="7">
        <v>0</v>
      </c>
      <c r="F53" s="7">
        <v>0</v>
      </c>
      <c r="G53" s="7">
        <v>0</v>
      </c>
      <c r="H53" s="7">
        <v>0</v>
      </c>
      <c r="I53" s="7">
        <v>0</v>
      </c>
      <c r="J53" s="7">
        <v>0</v>
      </c>
      <c r="K53" s="7">
        <v>0</v>
      </c>
      <c r="L53" s="7">
        <v>0</v>
      </c>
      <c r="M53" s="7">
        <v>0</v>
      </c>
      <c r="N53" s="7">
        <v>0</v>
      </c>
      <c r="O53" s="7">
        <v>0</v>
      </c>
      <c r="P53" s="7">
        <v>0</v>
      </c>
      <c r="Q53" s="7">
        <v>0</v>
      </c>
    </row>
    <row r="54" spans="1:17">
      <c r="A54" s="2">
        <v>2002</v>
      </c>
      <c r="B54" s="7">
        <v>0</v>
      </c>
      <c r="C54" s="7">
        <v>0</v>
      </c>
      <c r="D54" s="7">
        <v>0</v>
      </c>
      <c r="E54" s="7">
        <v>0</v>
      </c>
      <c r="F54" s="7">
        <v>0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L54" s="7">
        <v>0</v>
      </c>
      <c r="M54" s="7">
        <v>0</v>
      </c>
      <c r="N54" s="7">
        <v>0</v>
      </c>
      <c r="O54" s="7">
        <v>0</v>
      </c>
      <c r="P54" s="7">
        <v>0</v>
      </c>
      <c r="Q54" s="7">
        <v>0</v>
      </c>
    </row>
    <row r="55" spans="1:17">
      <c r="A55" s="2">
        <v>2003</v>
      </c>
      <c r="B55" s="7">
        <v>0</v>
      </c>
      <c r="C55" s="7">
        <v>0</v>
      </c>
      <c r="D55" s="7">
        <v>0</v>
      </c>
      <c r="E55" s="7">
        <v>0</v>
      </c>
      <c r="F55" s="7">
        <v>0</v>
      </c>
      <c r="G55" s="7">
        <v>0</v>
      </c>
      <c r="H55" s="7">
        <v>0</v>
      </c>
      <c r="I55" s="7">
        <v>0</v>
      </c>
      <c r="J55" s="7">
        <v>0</v>
      </c>
      <c r="K55" s="7">
        <v>0</v>
      </c>
      <c r="L55" s="7">
        <v>0</v>
      </c>
      <c r="M55" s="7">
        <v>0</v>
      </c>
      <c r="N55" s="7">
        <v>0</v>
      </c>
      <c r="O55" s="7">
        <v>0</v>
      </c>
      <c r="P55" s="7">
        <v>0</v>
      </c>
      <c r="Q55" s="7">
        <v>0</v>
      </c>
    </row>
    <row r="56" spans="1:17">
      <c r="A56" s="2">
        <v>2004</v>
      </c>
      <c r="B56" s="7">
        <v>0</v>
      </c>
      <c r="C56" s="7">
        <v>0</v>
      </c>
      <c r="D56" s="7">
        <v>0</v>
      </c>
      <c r="E56" s="7">
        <v>0</v>
      </c>
      <c r="F56" s="7">
        <v>0</v>
      </c>
      <c r="G56" s="7">
        <v>0</v>
      </c>
      <c r="H56" s="7">
        <v>0</v>
      </c>
      <c r="I56" s="7">
        <v>0</v>
      </c>
      <c r="J56" s="7">
        <v>0</v>
      </c>
      <c r="K56" s="7">
        <v>0</v>
      </c>
      <c r="L56" s="7">
        <v>0</v>
      </c>
      <c r="M56" s="7">
        <v>0</v>
      </c>
      <c r="N56" s="7">
        <v>0</v>
      </c>
      <c r="O56" s="7">
        <v>0</v>
      </c>
      <c r="P56" s="7">
        <v>0</v>
      </c>
      <c r="Q56" s="7">
        <v>0</v>
      </c>
    </row>
    <row r="57" spans="1:17">
      <c r="A57" s="2">
        <v>2005</v>
      </c>
      <c r="B57" s="7">
        <v>0</v>
      </c>
      <c r="C57" s="7">
        <v>0</v>
      </c>
      <c r="D57" s="7">
        <v>0</v>
      </c>
      <c r="E57" s="7">
        <v>0</v>
      </c>
      <c r="F57" s="7">
        <v>0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 s="7">
        <v>0</v>
      </c>
      <c r="M57" s="7">
        <v>0</v>
      </c>
      <c r="N57" s="7">
        <v>0</v>
      </c>
      <c r="O57" s="7">
        <v>0</v>
      </c>
      <c r="P57" s="7">
        <v>0</v>
      </c>
      <c r="Q57" s="7">
        <v>0</v>
      </c>
    </row>
    <row r="58" spans="1:17">
      <c r="A58" s="2">
        <v>2006</v>
      </c>
      <c r="B58" s="7">
        <v>0</v>
      </c>
      <c r="C58" s="7">
        <v>0</v>
      </c>
      <c r="D58" s="7">
        <v>0</v>
      </c>
      <c r="E58" s="7">
        <v>0</v>
      </c>
      <c r="F58" s="7">
        <v>0</v>
      </c>
      <c r="G58" s="7">
        <v>0</v>
      </c>
      <c r="H58" s="7">
        <v>0</v>
      </c>
      <c r="I58" s="7">
        <v>0</v>
      </c>
      <c r="J58" s="7">
        <v>0</v>
      </c>
      <c r="K58" s="7">
        <v>0</v>
      </c>
      <c r="L58" s="7">
        <v>0</v>
      </c>
      <c r="M58" s="7">
        <v>0</v>
      </c>
      <c r="N58" s="7">
        <v>0</v>
      </c>
      <c r="O58" s="7">
        <v>0</v>
      </c>
      <c r="P58" s="7">
        <v>0</v>
      </c>
      <c r="Q58" s="7">
        <v>0</v>
      </c>
    </row>
    <row r="59" spans="1:17">
      <c r="A59" s="2">
        <v>2007</v>
      </c>
      <c r="B59" s="7">
        <v>0</v>
      </c>
      <c r="C59" s="7">
        <v>0</v>
      </c>
      <c r="D59" s="7">
        <v>0</v>
      </c>
      <c r="E59" s="7">
        <v>0</v>
      </c>
      <c r="F59" s="7">
        <v>0</v>
      </c>
      <c r="G59" s="7">
        <v>0</v>
      </c>
      <c r="H59" s="7">
        <v>0</v>
      </c>
      <c r="I59" s="7">
        <v>0</v>
      </c>
      <c r="J59" s="7">
        <v>0</v>
      </c>
      <c r="K59" s="7">
        <v>0</v>
      </c>
      <c r="L59" s="7">
        <v>0</v>
      </c>
      <c r="M59" s="7">
        <v>0</v>
      </c>
      <c r="N59" s="7">
        <v>0</v>
      </c>
      <c r="O59" s="7">
        <v>0</v>
      </c>
      <c r="P59" s="7">
        <v>0</v>
      </c>
      <c r="Q59" s="7">
        <v>0</v>
      </c>
    </row>
    <row r="60" spans="1:17">
      <c r="A60" s="2">
        <v>2008</v>
      </c>
      <c r="B60" s="7">
        <v>0</v>
      </c>
      <c r="C60" s="7">
        <v>0</v>
      </c>
      <c r="D60" s="7">
        <v>0</v>
      </c>
      <c r="E60" s="7">
        <v>0</v>
      </c>
      <c r="F60" s="7">
        <v>0</v>
      </c>
      <c r="G60" s="7">
        <v>0</v>
      </c>
      <c r="H60" s="7">
        <v>0</v>
      </c>
      <c r="I60" s="7">
        <v>0</v>
      </c>
      <c r="J60" s="7">
        <v>0</v>
      </c>
      <c r="K60" s="7">
        <v>0</v>
      </c>
      <c r="L60" s="7">
        <v>0</v>
      </c>
      <c r="M60" s="7">
        <v>0</v>
      </c>
      <c r="N60" s="7">
        <v>0</v>
      </c>
      <c r="O60" s="7">
        <v>0</v>
      </c>
      <c r="P60" s="7">
        <v>0</v>
      </c>
      <c r="Q60" s="7">
        <v>0</v>
      </c>
    </row>
    <row r="61" spans="1:17">
      <c r="A61" s="2">
        <v>2009</v>
      </c>
      <c r="B61" s="7">
        <v>0</v>
      </c>
      <c r="C61" s="7">
        <v>0</v>
      </c>
      <c r="D61" s="7">
        <v>0</v>
      </c>
      <c r="E61" s="7">
        <v>0</v>
      </c>
      <c r="F61" s="7">
        <v>0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 s="7">
        <v>0</v>
      </c>
      <c r="M61" s="7">
        <v>0</v>
      </c>
      <c r="N61" s="7">
        <v>0</v>
      </c>
      <c r="O61" s="7">
        <v>0</v>
      </c>
      <c r="P61" s="7">
        <v>0</v>
      </c>
      <c r="Q61" s="7">
        <v>0</v>
      </c>
    </row>
    <row r="62" spans="1:17">
      <c r="A62" s="2">
        <v>2010</v>
      </c>
      <c r="B62" s="7">
        <v>0</v>
      </c>
      <c r="C62" s="7">
        <v>0</v>
      </c>
      <c r="D62" s="7">
        <v>0</v>
      </c>
      <c r="E62" s="7">
        <v>0</v>
      </c>
      <c r="F62" s="7">
        <v>0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</row>
    <row r="63" spans="1:17">
      <c r="A63" s="2">
        <v>2011</v>
      </c>
      <c r="B63" s="7">
        <v>0</v>
      </c>
      <c r="C63" s="7">
        <v>0</v>
      </c>
      <c r="D63" s="7">
        <v>0</v>
      </c>
      <c r="E63" s="7">
        <v>0</v>
      </c>
      <c r="F63" s="7">
        <v>0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</row>
    <row r="64" spans="1:17">
      <c r="A64" s="2">
        <v>2012</v>
      </c>
      <c r="B64" s="7">
        <v>0</v>
      </c>
      <c r="C64" s="7">
        <v>0</v>
      </c>
      <c r="D64" s="7">
        <v>0</v>
      </c>
      <c r="E64" s="7">
        <v>0</v>
      </c>
      <c r="F64" s="7">
        <v>0</v>
      </c>
      <c r="G64" s="7">
        <v>0</v>
      </c>
      <c r="H64" s="7">
        <v>0</v>
      </c>
      <c r="I64" s="7">
        <v>0</v>
      </c>
      <c r="J64" s="7">
        <v>0</v>
      </c>
      <c r="K64" s="7">
        <v>0</v>
      </c>
      <c r="L64" s="7">
        <v>0</v>
      </c>
      <c r="M64" s="7">
        <v>0</v>
      </c>
      <c r="N64" s="7">
        <v>0</v>
      </c>
      <c r="O64" s="7">
        <v>0</v>
      </c>
      <c r="P64" s="7">
        <v>0</v>
      </c>
      <c r="Q64" s="7">
        <v>0</v>
      </c>
    </row>
    <row r="65" spans="1:17">
      <c r="A65" s="2">
        <v>2013</v>
      </c>
      <c r="B65" s="7">
        <v>0</v>
      </c>
      <c r="C65" s="7">
        <v>0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</row>
    <row r="66" spans="1:17">
      <c r="A66" s="2">
        <v>2014</v>
      </c>
      <c r="B66" s="7">
        <v>0</v>
      </c>
      <c r="C66" s="7">
        <v>0</v>
      </c>
      <c r="D66" s="7">
        <v>0</v>
      </c>
      <c r="E66" s="7">
        <v>0</v>
      </c>
      <c r="F66" s="7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</row>
    <row r="67" spans="1:17">
      <c r="A67" s="2">
        <v>2015</v>
      </c>
      <c r="B67" s="7">
        <v>0</v>
      </c>
      <c r="C67" s="7">
        <v>0</v>
      </c>
      <c r="D67" s="7">
        <v>0</v>
      </c>
      <c r="E67" s="7">
        <v>0</v>
      </c>
      <c r="F67" s="7">
        <v>0</v>
      </c>
      <c r="G67" s="7">
        <v>0</v>
      </c>
      <c r="H67" s="7">
        <v>0</v>
      </c>
      <c r="I67" s="7">
        <v>0</v>
      </c>
      <c r="J67" s="7">
        <v>0</v>
      </c>
      <c r="K67" s="7">
        <v>0</v>
      </c>
      <c r="L67" s="7">
        <v>0</v>
      </c>
      <c r="M67" s="7">
        <v>0</v>
      </c>
      <c r="N67" s="7">
        <v>0</v>
      </c>
      <c r="O67" s="7">
        <v>0</v>
      </c>
      <c r="P67" s="7">
        <v>0</v>
      </c>
      <c r="Q67" s="7">
        <v>0</v>
      </c>
    </row>
    <row r="68" spans="1:17">
      <c r="A68" s="2">
        <v>2016</v>
      </c>
      <c r="B68" s="7">
        <v>0</v>
      </c>
      <c r="C68" s="7">
        <v>0</v>
      </c>
      <c r="D68" s="7">
        <v>0</v>
      </c>
      <c r="E68" s="7">
        <v>0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</row>
    <row r="69" spans="1:17">
      <c r="A69" s="2">
        <v>2017</v>
      </c>
      <c r="B69" s="7">
        <v>0</v>
      </c>
      <c r="C69" s="7">
        <v>0</v>
      </c>
      <c r="D69" s="7">
        <v>0</v>
      </c>
      <c r="E69" s="7">
        <v>0</v>
      </c>
      <c r="F69" s="7">
        <v>0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 s="7">
        <v>0</v>
      </c>
      <c r="M69" s="7">
        <v>0</v>
      </c>
      <c r="N69" s="7">
        <v>0</v>
      </c>
      <c r="O69" s="7">
        <v>0</v>
      </c>
      <c r="P69" s="7">
        <v>0</v>
      </c>
      <c r="Q69" s="7">
        <v>0</v>
      </c>
    </row>
    <row r="70" spans="1:17">
      <c r="A70" s="2">
        <v>2018</v>
      </c>
      <c r="B70" s="7">
        <v>0</v>
      </c>
      <c r="C70" s="7">
        <v>0</v>
      </c>
      <c r="D70" s="7">
        <v>0</v>
      </c>
      <c r="E70" s="7">
        <v>0</v>
      </c>
      <c r="F70" s="7">
        <v>0</v>
      </c>
      <c r="G70" s="7">
        <v>0</v>
      </c>
      <c r="H70" s="7">
        <v>0</v>
      </c>
      <c r="I70" s="7">
        <v>0</v>
      </c>
      <c r="J70" s="7">
        <v>0</v>
      </c>
      <c r="K70" s="7">
        <v>0</v>
      </c>
      <c r="L70" s="7">
        <v>0</v>
      </c>
      <c r="M70" s="7">
        <v>0</v>
      </c>
      <c r="N70" s="7">
        <v>0</v>
      </c>
      <c r="O70" s="7">
        <v>0</v>
      </c>
      <c r="P70" s="7">
        <v>0</v>
      </c>
      <c r="Q70" s="7">
        <v>0</v>
      </c>
    </row>
    <row r="71" spans="1:17">
      <c r="A71" s="2">
        <v>2019</v>
      </c>
      <c r="B71" s="7">
        <v>0</v>
      </c>
      <c r="C71" s="7">
        <v>0</v>
      </c>
      <c r="D71" s="7">
        <v>0</v>
      </c>
      <c r="E71" s="7">
        <v>0</v>
      </c>
      <c r="F71" s="7">
        <v>0</v>
      </c>
      <c r="G71" s="7">
        <v>0</v>
      </c>
      <c r="H71" s="7">
        <v>0</v>
      </c>
      <c r="I71" s="7">
        <v>0</v>
      </c>
      <c r="J71" s="7">
        <v>0</v>
      </c>
      <c r="K71" s="7">
        <v>0</v>
      </c>
      <c r="L71" s="7">
        <v>0</v>
      </c>
      <c r="M71" s="7">
        <v>0</v>
      </c>
      <c r="N71" s="7">
        <v>0</v>
      </c>
      <c r="O71" s="7">
        <v>0</v>
      </c>
      <c r="P71" s="7">
        <v>0</v>
      </c>
      <c r="Q71" s="7">
        <v>0</v>
      </c>
    </row>
    <row r="72" spans="1:17">
      <c r="A72" s="2">
        <v>2020</v>
      </c>
      <c r="B72" s="7">
        <v>0</v>
      </c>
      <c r="C72" s="7">
        <v>0</v>
      </c>
      <c r="D72" s="7">
        <v>0</v>
      </c>
      <c r="E72" s="7">
        <v>0</v>
      </c>
      <c r="F72" s="7">
        <v>0</v>
      </c>
      <c r="G72" s="7">
        <v>0</v>
      </c>
      <c r="H72" s="7">
        <v>0</v>
      </c>
      <c r="I72" s="7">
        <v>0</v>
      </c>
      <c r="J72" s="7">
        <v>0</v>
      </c>
      <c r="K72" s="7">
        <v>0</v>
      </c>
      <c r="L72" s="7">
        <v>0</v>
      </c>
      <c r="M72" s="7">
        <v>0</v>
      </c>
      <c r="N72" s="7">
        <v>0</v>
      </c>
      <c r="O72" s="7">
        <v>0</v>
      </c>
      <c r="P72" s="7">
        <v>0</v>
      </c>
      <c r="Q72" s="7">
        <v>0</v>
      </c>
    </row>
    <row r="73" spans="1:17">
      <c r="A73" s="2">
        <v>2021</v>
      </c>
      <c r="B73" s="7">
        <v>0</v>
      </c>
      <c r="C73" s="7">
        <v>0</v>
      </c>
      <c r="D73" s="7">
        <v>0</v>
      </c>
      <c r="E73" s="7">
        <v>0</v>
      </c>
      <c r="F73" s="7">
        <v>0</v>
      </c>
      <c r="G73" s="7">
        <v>0</v>
      </c>
      <c r="H73" s="7">
        <v>0</v>
      </c>
      <c r="I73" s="7">
        <v>0</v>
      </c>
      <c r="J73" s="7">
        <v>0</v>
      </c>
      <c r="K73" s="7">
        <v>0</v>
      </c>
      <c r="L73" s="7">
        <v>0</v>
      </c>
      <c r="M73" s="7">
        <v>0</v>
      </c>
      <c r="N73" s="7">
        <v>0</v>
      </c>
      <c r="O73" s="7">
        <v>0</v>
      </c>
      <c r="P73" s="7">
        <v>0</v>
      </c>
      <c r="Q73" s="7">
        <v>0</v>
      </c>
    </row>
    <row r="74" spans="1:17">
      <c r="A74" s="2">
        <v>2022</v>
      </c>
      <c r="B74" s="7">
        <v>0</v>
      </c>
      <c r="C74" s="7">
        <v>0</v>
      </c>
      <c r="D74" s="7">
        <v>0</v>
      </c>
      <c r="E74" s="7">
        <v>0</v>
      </c>
      <c r="F74" s="7">
        <v>0</v>
      </c>
      <c r="G74" s="7">
        <v>0</v>
      </c>
      <c r="H74" s="7">
        <v>0</v>
      </c>
      <c r="I74" s="7">
        <v>0</v>
      </c>
      <c r="J74" s="7">
        <v>0</v>
      </c>
      <c r="K74" s="7">
        <v>0</v>
      </c>
      <c r="L74" s="7">
        <v>0</v>
      </c>
      <c r="M74" s="7">
        <v>0</v>
      </c>
      <c r="N74" s="7">
        <v>0</v>
      </c>
      <c r="O74" s="7">
        <v>0</v>
      </c>
      <c r="P74" s="7">
        <v>0</v>
      </c>
      <c r="Q74" s="7">
        <v>0</v>
      </c>
    </row>
    <row r="75" spans="1:17">
      <c r="A75" s="2">
        <v>2023</v>
      </c>
      <c r="B75" s="7">
        <v>0</v>
      </c>
      <c r="C75" s="7">
        <v>0</v>
      </c>
      <c r="D75" s="7">
        <v>0</v>
      </c>
      <c r="E75" s="7">
        <v>0</v>
      </c>
      <c r="F75" s="7">
        <v>0</v>
      </c>
      <c r="G75" s="7">
        <v>0</v>
      </c>
      <c r="H75" s="7">
        <v>0</v>
      </c>
      <c r="I75" s="7">
        <v>0</v>
      </c>
      <c r="J75" s="7">
        <v>0</v>
      </c>
      <c r="K75" s="7">
        <v>0</v>
      </c>
      <c r="L75" s="7">
        <v>0</v>
      </c>
      <c r="M75" s="7">
        <v>0</v>
      </c>
      <c r="N75" s="7">
        <v>0</v>
      </c>
      <c r="O75" s="7">
        <v>0</v>
      </c>
      <c r="P75" s="7">
        <v>0</v>
      </c>
      <c r="Q75" s="7">
        <v>0</v>
      </c>
    </row>
    <row r="76" spans="1:17">
      <c r="A76" s="2">
        <v>2024</v>
      </c>
      <c r="B76" s="7">
        <v>0</v>
      </c>
      <c r="C76" s="7">
        <v>0</v>
      </c>
      <c r="D76" s="7">
        <v>0</v>
      </c>
      <c r="E76" s="7">
        <v>0</v>
      </c>
      <c r="F76" s="7">
        <v>0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L76" s="7">
        <v>0</v>
      </c>
      <c r="M76" s="7">
        <v>0</v>
      </c>
      <c r="N76" s="7">
        <v>0</v>
      </c>
      <c r="O76" s="7">
        <v>0</v>
      </c>
      <c r="P76" s="7">
        <v>0</v>
      </c>
      <c r="Q76" s="7">
        <v>0</v>
      </c>
    </row>
    <row r="77" spans="1:17">
      <c r="A77" s="2">
        <v>2025</v>
      </c>
      <c r="B77" s="7">
        <v>0</v>
      </c>
      <c r="C77" s="7">
        <v>0</v>
      </c>
      <c r="D77" s="7">
        <v>0</v>
      </c>
      <c r="E77" s="7">
        <v>0</v>
      </c>
      <c r="F77" s="7">
        <v>0</v>
      </c>
      <c r="G77" s="7">
        <v>0</v>
      </c>
      <c r="H77" s="7">
        <v>0</v>
      </c>
      <c r="I77" s="7">
        <v>0</v>
      </c>
      <c r="J77" s="7">
        <v>0</v>
      </c>
      <c r="K77" s="7">
        <v>0</v>
      </c>
      <c r="L77" s="7">
        <v>0</v>
      </c>
      <c r="M77" s="7">
        <v>0</v>
      </c>
      <c r="N77" s="7">
        <v>0</v>
      </c>
      <c r="O77" s="7">
        <v>0</v>
      </c>
      <c r="P77" s="7">
        <v>0</v>
      </c>
      <c r="Q77" s="7">
        <v>0</v>
      </c>
    </row>
    <row r="78" spans="1:17">
      <c r="A78" s="2">
        <v>2026</v>
      </c>
      <c r="B78" s="7">
        <v>0</v>
      </c>
      <c r="C78" s="7">
        <v>0</v>
      </c>
      <c r="D78" s="7">
        <v>0</v>
      </c>
      <c r="E78" s="7">
        <v>0</v>
      </c>
      <c r="F78" s="7">
        <v>0</v>
      </c>
      <c r="G78" s="7">
        <v>0</v>
      </c>
      <c r="H78" s="7">
        <v>0</v>
      </c>
      <c r="I78" s="7">
        <v>0</v>
      </c>
      <c r="J78" s="7">
        <v>0</v>
      </c>
      <c r="K78" s="7">
        <v>0</v>
      </c>
      <c r="L78" s="7">
        <v>0</v>
      </c>
      <c r="M78" s="7">
        <v>0</v>
      </c>
      <c r="N78" s="7">
        <v>0</v>
      </c>
      <c r="O78" s="7">
        <v>0</v>
      </c>
      <c r="P78" s="7">
        <v>0</v>
      </c>
      <c r="Q78" s="7">
        <v>0</v>
      </c>
    </row>
    <row r="79" spans="1:17">
      <c r="A79" s="2">
        <v>2027</v>
      </c>
      <c r="B79" s="7">
        <v>0</v>
      </c>
      <c r="C79" s="7">
        <v>0</v>
      </c>
      <c r="D79" s="7">
        <v>0</v>
      </c>
      <c r="E79" s="7">
        <v>0</v>
      </c>
      <c r="F79" s="7">
        <v>0</v>
      </c>
      <c r="G79" s="7">
        <v>0</v>
      </c>
      <c r="H79" s="7">
        <v>0</v>
      </c>
      <c r="I79" s="7">
        <v>0</v>
      </c>
      <c r="J79" s="7">
        <v>0</v>
      </c>
      <c r="K79" s="7">
        <v>0</v>
      </c>
      <c r="L79" s="7">
        <v>0</v>
      </c>
      <c r="M79" s="7">
        <v>0</v>
      </c>
      <c r="N79" s="7">
        <v>0</v>
      </c>
      <c r="O79" s="7">
        <v>0</v>
      </c>
      <c r="P79" s="7">
        <v>0</v>
      </c>
      <c r="Q79" s="7">
        <v>0</v>
      </c>
    </row>
    <row r="80" spans="1:17">
      <c r="A80" s="2">
        <v>2028</v>
      </c>
      <c r="B80" s="7">
        <v>0</v>
      </c>
      <c r="C80" s="7">
        <v>0</v>
      </c>
      <c r="D80" s="7">
        <v>0</v>
      </c>
      <c r="E80" s="7">
        <v>0</v>
      </c>
      <c r="F80" s="7">
        <v>0</v>
      </c>
      <c r="G80" s="7">
        <v>0</v>
      </c>
      <c r="H80" s="7">
        <v>0</v>
      </c>
      <c r="I80" s="7">
        <v>0</v>
      </c>
      <c r="J80" s="7">
        <v>0</v>
      </c>
      <c r="K80" s="7">
        <v>0</v>
      </c>
      <c r="L80" s="7">
        <v>0</v>
      </c>
      <c r="M80" s="7">
        <v>0</v>
      </c>
      <c r="N80" s="7">
        <v>0</v>
      </c>
      <c r="O80" s="7">
        <v>0</v>
      </c>
      <c r="P80" s="7">
        <v>0</v>
      </c>
      <c r="Q80" s="7">
        <v>0</v>
      </c>
    </row>
    <row r="81" spans="1:17">
      <c r="A81" s="2">
        <v>2029</v>
      </c>
      <c r="B81" s="7">
        <v>0</v>
      </c>
      <c r="C81" s="7">
        <v>0</v>
      </c>
      <c r="D81" s="7">
        <v>0</v>
      </c>
      <c r="E81" s="7">
        <v>0</v>
      </c>
      <c r="F81" s="7">
        <v>0</v>
      </c>
      <c r="G81" s="7">
        <v>0</v>
      </c>
      <c r="H81" s="7">
        <v>0</v>
      </c>
      <c r="I81" s="7">
        <v>0</v>
      </c>
      <c r="J81" s="7">
        <v>0</v>
      </c>
      <c r="K81" s="7">
        <v>0</v>
      </c>
      <c r="L81" s="7">
        <v>0</v>
      </c>
      <c r="M81" s="7">
        <v>0</v>
      </c>
      <c r="N81" s="7">
        <v>0</v>
      </c>
      <c r="O81" s="7">
        <v>0</v>
      </c>
      <c r="P81" s="7">
        <v>0</v>
      </c>
      <c r="Q81" s="7">
        <v>0</v>
      </c>
    </row>
    <row r="82" spans="1:17">
      <c r="A82" s="2">
        <v>2030</v>
      </c>
      <c r="B82" s="7">
        <v>0</v>
      </c>
      <c r="C82" s="7">
        <v>0</v>
      </c>
      <c r="D82" s="7">
        <v>0</v>
      </c>
      <c r="E82" s="7">
        <v>0</v>
      </c>
      <c r="F82" s="7">
        <v>0</v>
      </c>
      <c r="G82" s="7">
        <v>0</v>
      </c>
      <c r="H82" s="7">
        <v>0</v>
      </c>
      <c r="I82" s="7">
        <v>0</v>
      </c>
      <c r="J82" s="7">
        <v>0</v>
      </c>
      <c r="K82" s="7">
        <v>0</v>
      </c>
      <c r="L82" s="7">
        <v>0</v>
      </c>
      <c r="M82" s="7">
        <v>0</v>
      </c>
      <c r="N82" s="7">
        <v>0</v>
      </c>
      <c r="O82" s="7">
        <v>0</v>
      </c>
      <c r="P82" s="7">
        <v>0</v>
      </c>
      <c r="Q82" s="7">
        <v>0</v>
      </c>
    </row>
    <row r="83" spans="1:17">
      <c r="A83" s="2">
        <v>2031</v>
      </c>
      <c r="B83" s="7">
        <v>0</v>
      </c>
      <c r="C83" s="7">
        <v>0</v>
      </c>
      <c r="D83" s="7">
        <v>0</v>
      </c>
      <c r="E83" s="7">
        <v>0</v>
      </c>
      <c r="F83" s="7">
        <v>0</v>
      </c>
      <c r="G83" s="7">
        <v>0</v>
      </c>
      <c r="H83" s="7">
        <v>0</v>
      </c>
      <c r="I83" s="7">
        <v>0</v>
      </c>
      <c r="J83" s="7">
        <v>0</v>
      </c>
      <c r="K83" s="7">
        <v>0</v>
      </c>
      <c r="L83" s="7">
        <v>0</v>
      </c>
      <c r="M83" s="7">
        <v>0</v>
      </c>
      <c r="N83" s="7">
        <v>0</v>
      </c>
      <c r="O83" s="7">
        <v>0</v>
      </c>
      <c r="P83" s="7">
        <v>0</v>
      </c>
      <c r="Q83" s="7">
        <v>0</v>
      </c>
    </row>
    <row r="84" spans="1:17">
      <c r="A84" s="2">
        <v>2032</v>
      </c>
      <c r="B84" s="7">
        <v>0</v>
      </c>
      <c r="C84" s="7">
        <v>0</v>
      </c>
      <c r="D84" s="7">
        <v>0</v>
      </c>
      <c r="E84" s="7">
        <v>0</v>
      </c>
      <c r="F84" s="7">
        <v>0</v>
      </c>
      <c r="G84" s="7">
        <v>0</v>
      </c>
      <c r="H84" s="7">
        <v>0</v>
      </c>
      <c r="I84" s="7">
        <v>0</v>
      </c>
      <c r="J84" s="7">
        <v>0</v>
      </c>
      <c r="K84" s="7">
        <v>0</v>
      </c>
      <c r="L84" s="7">
        <v>0</v>
      </c>
      <c r="M84" s="7">
        <v>0</v>
      </c>
      <c r="N84" s="7">
        <v>0</v>
      </c>
      <c r="O84" s="7">
        <v>0</v>
      </c>
      <c r="P84" s="7">
        <v>0</v>
      </c>
      <c r="Q84" s="7">
        <v>0</v>
      </c>
    </row>
    <row r="85" spans="1:17">
      <c r="A85" s="2">
        <v>2033</v>
      </c>
      <c r="B85" s="7">
        <v>0</v>
      </c>
      <c r="C85" s="7">
        <v>0</v>
      </c>
      <c r="D85" s="7">
        <v>0</v>
      </c>
      <c r="E85" s="7">
        <v>0</v>
      </c>
      <c r="F85" s="7">
        <v>0</v>
      </c>
      <c r="G85" s="7">
        <v>0</v>
      </c>
      <c r="H85" s="7">
        <v>0</v>
      </c>
      <c r="I85" s="7">
        <v>0</v>
      </c>
      <c r="J85" s="7">
        <v>0</v>
      </c>
      <c r="K85" s="7">
        <v>0</v>
      </c>
      <c r="L85" s="7">
        <v>0</v>
      </c>
      <c r="M85" s="7">
        <v>0</v>
      </c>
      <c r="N85" s="7">
        <v>0</v>
      </c>
      <c r="O85" s="7">
        <v>0</v>
      </c>
      <c r="P85" s="7">
        <v>0</v>
      </c>
      <c r="Q85" s="7">
        <v>0</v>
      </c>
    </row>
    <row r="86" spans="1:17">
      <c r="A86" s="2">
        <v>2034</v>
      </c>
      <c r="B86" s="7">
        <v>0</v>
      </c>
      <c r="C86" s="7">
        <v>0</v>
      </c>
      <c r="D86" s="7">
        <v>0</v>
      </c>
      <c r="E86" s="7">
        <v>0</v>
      </c>
      <c r="F86" s="7">
        <v>0</v>
      </c>
      <c r="G86" s="7">
        <v>0</v>
      </c>
      <c r="H86" s="7">
        <v>0</v>
      </c>
      <c r="I86" s="7">
        <v>0</v>
      </c>
      <c r="J86" s="7">
        <v>0</v>
      </c>
      <c r="K86" s="7">
        <v>0</v>
      </c>
      <c r="L86" s="7">
        <v>0</v>
      </c>
      <c r="M86" s="7">
        <v>0</v>
      </c>
      <c r="N86" s="7">
        <v>0</v>
      </c>
      <c r="O86" s="7">
        <v>0</v>
      </c>
      <c r="P86" s="7">
        <v>0</v>
      </c>
      <c r="Q86" s="7">
        <v>0</v>
      </c>
    </row>
    <row r="87" spans="1:17">
      <c r="A87" s="2">
        <v>2035</v>
      </c>
      <c r="B87" s="7">
        <v>0</v>
      </c>
      <c r="C87" s="7">
        <v>0</v>
      </c>
      <c r="D87" s="7">
        <v>0</v>
      </c>
      <c r="E87" s="7">
        <v>0</v>
      </c>
      <c r="F87" s="7">
        <v>0</v>
      </c>
      <c r="G87" s="7">
        <v>0</v>
      </c>
      <c r="H87" s="7">
        <v>0</v>
      </c>
      <c r="I87" s="7">
        <v>0</v>
      </c>
      <c r="J87" s="7">
        <v>0</v>
      </c>
      <c r="K87" s="7">
        <v>0</v>
      </c>
      <c r="L87" s="7">
        <v>0</v>
      </c>
      <c r="M87" s="7">
        <v>0</v>
      </c>
      <c r="N87" s="7">
        <v>0</v>
      </c>
      <c r="O87" s="7">
        <v>0</v>
      </c>
      <c r="P87" s="7">
        <v>0</v>
      </c>
      <c r="Q87" s="7">
        <v>0</v>
      </c>
    </row>
    <row r="88" spans="1:17">
      <c r="A88" s="2">
        <v>2036</v>
      </c>
      <c r="B88" s="7">
        <v>0</v>
      </c>
      <c r="C88" s="7">
        <v>0</v>
      </c>
      <c r="D88" s="7">
        <v>0</v>
      </c>
      <c r="E88" s="7">
        <v>0</v>
      </c>
      <c r="F88" s="7">
        <v>0</v>
      </c>
      <c r="G88" s="7">
        <v>0</v>
      </c>
      <c r="H88" s="7">
        <v>0</v>
      </c>
      <c r="I88" s="7">
        <v>0</v>
      </c>
      <c r="J88" s="7">
        <v>0</v>
      </c>
      <c r="K88" s="7">
        <v>0</v>
      </c>
      <c r="L88" s="7">
        <v>0</v>
      </c>
      <c r="M88" s="7">
        <v>0</v>
      </c>
      <c r="N88" s="7">
        <v>0</v>
      </c>
      <c r="O88" s="7">
        <v>0</v>
      </c>
      <c r="P88" s="7">
        <v>0</v>
      </c>
      <c r="Q88" s="7">
        <v>0</v>
      </c>
    </row>
    <row r="89" spans="1:17">
      <c r="A89" s="2">
        <v>2037</v>
      </c>
      <c r="B89" s="7">
        <v>0</v>
      </c>
      <c r="C89" s="7">
        <v>0</v>
      </c>
      <c r="D89" s="7">
        <v>0</v>
      </c>
      <c r="E89" s="7">
        <v>0</v>
      </c>
      <c r="F89" s="7">
        <v>0</v>
      </c>
      <c r="G89" s="7">
        <v>0</v>
      </c>
      <c r="H89" s="7">
        <v>0</v>
      </c>
      <c r="I89" s="7">
        <v>0</v>
      </c>
      <c r="J89" s="7">
        <v>0</v>
      </c>
      <c r="K89" s="7">
        <v>0</v>
      </c>
      <c r="L89" s="7">
        <v>0</v>
      </c>
      <c r="M89" s="7">
        <v>0</v>
      </c>
      <c r="N89" s="7">
        <v>0</v>
      </c>
      <c r="O89" s="7">
        <v>0</v>
      </c>
      <c r="P89" s="7">
        <v>0</v>
      </c>
      <c r="Q89" s="7">
        <v>0</v>
      </c>
    </row>
    <row r="90" spans="1:17">
      <c r="A90" s="2">
        <v>2038</v>
      </c>
      <c r="B90" s="7">
        <v>0</v>
      </c>
      <c r="C90" s="7">
        <v>0</v>
      </c>
      <c r="D90" s="7">
        <v>0</v>
      </c>
      <c r="E90" s="7">
        <v>0</v>
      </c>
      <c r="F90" s="7">
        <v>0</v>
      </c>
      <c r="G90" s="7">
        <v>0</v>
      </c>
      <c r="H90" s="7">
        <v>0</v>
      </c>
      <c r="I90" s="7">
        <v>0</v>
      </c>
      <c r="J90" s="7">
        <v>0</v>
      </c>
      <c r="K90" s="7">
        <v>0</v>
      </c>
      <c r="L90" s="7">
        <v>0</v>
      </c>
      <c r="M90" s="7">
        <v>0</v>
      </c>
      <c r="N90" s="7">
        <v>0</v>
      </c>
      <c r="O90" s="7">
        <v>0</v>
      </c>
      <c r="P90" s="7">
        <v>0</v>
      </c>
      <c r="Q90" s="7">
        <v>0</v>
      </c>
    </row>
    <row r="91" spans="1:17">
      <c r="A91" s="2">
        <v>2039</v>
      </c>
      <c r="B91" s="7">
        <v>0</v>
      </c>
      <c r="C91" s="7">
        <v>0</v>
      </c>
      <c r="D91" s="7">
        <v>0</v>
      </c>
      <c r="E91" s="7">
        <v>0</v>
      </c>
      <c r="F91" s="7">
        <v>0</v>
      </c>
      <c r="G91" s="7">
        <v>0</v>
      </c>
      <c r="H91" s="7">
        <v>0</v>
      </c>
      <c r="I91" s="7">
        <v>0</v>
      </c>
      <c r="J91" s="7">
        <v>0</v>
      </c>
      <c r="K91" s="7">
        <v>0</v>
      </c>
      <c r="L91" s="7">
        <v>0</v>
      </c>
      <c r="M91" s="7">
        <v>0</v>
      </c>
      <c r="N91" s="7">
        <v>0</v>
      </c>
      <c r="O91" s="7">
        <v>0</v>
      </c>
      <c r="P91" s="7">
        <v>0</v>
      </c>
      <c r="Q91" s="7">
        <v>0</v>
      </c>
    </row>
    <row r="92" spans="1:17">
      <c r="A92" s="2">
        <v>2040</v>
      </c>
      <c r="B92" s="7">
        <v>0</v>
      </c>
      <c r="C92" s="7">
        <v>0</v>
      </c>
      <c r="D92" s="7">
        <v>0</v>
      </c>
      <c r="E92" s="7">
        <v>0</v>
      </c>
      <c r="F92" s="7">
        <v>0</v>
      </c>
      <c r="G92" s="7">
        <v>0</v>
      </c>
      <c r="H92" s="7">
        <v>0</v>
      </c>
      <c r="I92" s="7">
        <v>0</v>
      </c>
      <c r="J92" s="7">
        <v>0</v>
      </c>
      <c r="K92" s="7">
        <v>0</v>
      </c>
      <c r="L92" s="7">
        <v>0</v>
      </c>
      <c r="M92" s="7">
        <v>0</v>
      </c>
      <c r="N92" s="7">
        <v>0</v>
      </c>
      <c r="O92" s="7">
        <v>0</v>
      </c>
      <c r="P92" s="7">
        <v>0</v>
      </c>
      <c r="Q92" s="7">
        <v>0</v>
      </c>
    </row>
    <row r="93" spans="1:17">
      <c r="A93" s="2">
        <v>2041</v>
      </c>
      <c r="B93" s="7">
        <v>0</v>
      </c>
      <c r="C93" s="7">
        <v>0</v>
      </c>
      <c r="D93" s="7">
        <v>0</v>
      </c>
      <c r="E93" s="7">
        <v>0</v>
      </c>
      <c r="F93" s="7">
        <v>0</v>
      </c>
      <c r="G93" s="7">
        <v>0</v>
      </c>
      <c r="H93" s="7">
        <v>0</v>
      </c>
      <c r="I93" s="7">
        <v>0</v>
      </c>
      <c r="J93" s="7">
        <v>0</v>
      </c>
      <c r="K93" s="7">
        <v>0</v>
      </c>
      <c r="L93" s="7">
        <v>0</v>
      </c>
      <c r="M93" s="7">
        <v>0</v>
      </c>
      <c r="N93" s="7">
        <v>0</v>
      </c>
      <c r="O93" s="7">
        <v>0</v>
      </c>
      <c r="P93" s="7">
        <v>0</v>
      </c>
      <c r="Q93" s="7">
        <v>0</v>
      </c>
    </row>
    <row r="94" spans="1:17">
      <c r="A94" s="2">
        <v>2042</v>
      </c>
      <c r="B94" s="7">
        <v>0</v>
      </c>
      <c r="C94" s="7">
        <v>0</v>
      </c>
      <c r="D94" s="7">
        <v>0</v>
      </c>
      <c r="E94" s="7">
        <v>0</v>
      </c>
      <c r="F94" s="7">
        <v>0</v>
      </c>
      <c r="G94" s="7">
        <v>0</v>
      </c>
      <c r="H94" s="7">
        <v>0</v>
      </c>
      <c r="I94" s="7">
        <v>0</v>
      </c>
      <c r="J94" s="7">
        <v>0</v>
      </c>
      <c r="K94" s="7">
        <v>0</v>
      </c>
      <c r="L94" s="7">
        <v>0</v>
      </c>
      <c r="M94" s="7">
        <v>0</v>
      </c>
      <c r="N94" s="7">
        <v>0</v>
      </c>
      <c r="O94" s="7">
        <v>0</v>
      </c>
      <c r="P94" s="7">
        <v>0</v>
      </c>
      <c r="Q94" s="7">
        <v>0</v>
      </c>
    </row>
    <row r="95" spans="1:17">
      <c r="A95" s="2">
        <v>2043</v>
      </c>
      <c r="B95" s="7">
        <v>0</v>
      </c>
      <c r="C95" s="7">
        <v>0</v>
      </c>
      <c r="D95" s="7">
        <v>0</v>
      </c>
      <c r="E95" s="7">
        <v>0</v>
      </c>
      <c r="F95" s="7">
        <v>0</v>
      </c>
      <c r="G95" s="7">
        <v>0</v>
      </c>
      <c r="H95" s="7">
        <v>0</v>
      </c>
      <c r="I95" s="7">
        <v>0</v>
      </c>
      <c r="J95" s="7">
        <v>0</v>
      </c>
      <c r="K95" s="7">
        <v>0</v>
      </c>
      <c r="L95" s="7">
        <v>0</v>
      </c>
      <c r="M95" s="7">
        <v>0</v>
      </c>
      <c r="N95" s="7">
        <v>0</v>
      </c>
      <c r="O95" s="7">
        <v>0</v>
      </c>
      <c r="P95" s="7">
        <v>0</v>
      </c>
      <c r="Q95" s="7">
        <v>0</v>
      </c>
    </row>
    <row r="96" spans="1:17">
      <c r="A96" s="2">
        <v>2044</v>
      </c>
      <c r="B96" s="7">
        <v>0</v>
      </c>
      <c r="C96" s="7">
        <v>0</v>
      </c>
      <c r="D96" s="7">
        <v>0</v>
      </c>
      <c r="E96" s="7">
        <v>0</v>
      </c>
      <c r="F96" s="7">
        <v>0</v>
      </c>
      <c r="G96" s="7">
        <v>0</v>
      </c>
      <c r="H96" s="7">
        <v>0</v>
      </c>
      <c r="I96" s="7">
        <v>0</v>
      </c>
      <c r="J96" s="7">
        <v>0</v>
      </c>
      <c r="K96" s="7">
        <v>0</v>
      </c>
      <c r="L96" s="7">
        <v>0</v>
      </c>
      <c r="M96" s="7">
        <v>0</v>
      </c>
      <c r="N96" s="7">
        <v>0</v>
      </c>
      <c r="O96" s="7">
        <v>0</v>
      </c>
      <c r="P96" s="7">
        <v>0</v>
      </c>
      <c r="Q96" s="7">
        <v>0</v>
      </c>
    </row>
    <row r="97" spans="1:17">
      <c r="A97" s="2">
        <v>2045</v>
      </c>
      <c r="B97" s="7">
        <v>0</v>
      </c>
      <c r="C97" s="7">
        <v>0</v>
      </c>
      <c r="D97" s="7">
        <v>0</v>
      </c>
      <c r="E97" s="7">
        <v>0</v>
      </c>
      <c r="F97" s="7">
        <v>0</v>
      </c>
      <c r="G97" s="7">
        <v>0</v>
      </c>
      <c r="H97" s="7">
        <v>0</v>
      </c>
      <c r="I97" s="7">
        <v>0</v>
      </c>
      <c r="J97" s="7">
        <v>0</v>
      </c>
      <c r="K97" s="7">
        <v>0</v>
      </c>
      <c r="L97" s="7">
        <v>0</v>
      </c>
      <c r="M97" s="7">
        <v>0</v>
      </c>
      <c r="N97" s="7">
        <v>0</v>
      </c>
      <c r="O97" s="7">
        <v>0</v>
      </c>
      <c r="P97" s="7">
        <v>0</v>
      </c>
      <c r="Q97" s="7">
        <v>0</v>
      </c>
    </row>
    <row r="98" spans="1:17">
      <c r="A98" s="2">
        <v>2046</v>
      </c>
      <c r="B98" s="7">
        <v>0</v>
      </c>
      <c r="C98" s="7">
        <v>0</v>
      </c>
      <c r="D98" s="7">
        <v>0</v>
      </c>
      <c r="E98" s="7">
        <v>0</v>
      </c>
      <c r="F98" s="7">
        <v>0</v>
      </c>
      <c r="G98" s="7">
        <v>0</v>
      </c>
      <c r="H98" s="7">
        <v>0</v>
      </c>
      <c r="I98" s="7">
        <v>0</v>
      </c>
      <c r="J98" s="7">
        <v>0</v>
      </c>
      <c r="K98" s="7">
        <v>0</v>
      </c>
      <c r="L98" s="7">
        <v>0</v>
      </c>
      <c r="M98" s="7">
        <v>0</v>
      </c>
      <c r="N98" s="7">
        <v>0</v>
      </c>
      <c r="O98" s="7">
        <v>0</v>
      </c>
      <c r="P98" s="7">
        <v>0</v>
      </c>
      <c r="Q98" s="7">
        <v>0</v>
      </c>
    </row>
    <row r="99" spans="1:17">
      <c r="A99" s="2">
        <v>2047</v>
      </c>
      <c r="B99" s="7">
        <v>0</v>
      </c>
      <c r="C99" s="7">
        <v>0</v>
      </c>
      <c r="D99" s="7">
        <v>0</v>
      </c>
      <c r="E99" s="7">
        <v>0</v>
      </c>
      <c r="F99" s="7">
        <v>0</v>
      </c>
      <c r="G99" s="7">
        <v>0</v>
      </c>
      <c r="H99" s="7">
        <v>0</v>
      </c>
      <c r="I99" s="7">
        <v>0</v>
      </c>
      <c r="J99" s="7">
        <v>0</v>
      </c>
      <c r="K99" s="7">
        <v>0</v>
      </c>
      <c r="L99" s="7">
        <v>0</v>
      </c>
      <c r="M99" s="7">
        <v>0</v>
      </c>
      <c r="N99" s="7">
        <v>0</v>
      </c>
      <c r="O99" s="7">
        <v>0</v>
      </c>
      <c r="P99" s="7">
        <v>0</v>
      </c>
      <c r="Q99" s="7">
        <v>0</v>
      </c>
    </row>
    <row r="100" spans="1:17">
      <c r="A100" s="2">
        <v>2048</v>
      </c>
      <c r="B100" s="7">
        <v>0</v>
      </c>
      <c r="C100" s="7">
        <v>0</v>
      </c>
      <c r="D100" s="7">
        <v>0</v>
      </c>
      <c r="E100" s="7">
        <v>0</v>
      </c>
      <c r="F100" s="7">
        <v>0</v>
      </c>
      <c r="G100" s="7">
        <v>0</v>
      </c>
      <c r="H100" s="7">
        <v>0</v>
      </c>
      <c r="I100" s="7">
        <v>0</v>
      </c>
      <c r="J100" s="7">
        <v>0</v>
      </c>
      <c r="K100" s="7">
        <v>0</v>
      </c>
      <c r="L100" s="7">
        <v>0</v>
      </c>
      <c r="M100" s="7">
        <v>0</v>
      </c>
      <c r="N100" s="7">
        <v>0</v>
      </c>
      <c r="O100" s="7">
        <v>0</v>
      </c>
      <c r="P100" s="7">
        <v>0</v>
      </c>
      <c r="Q100" s="7">
        <v>0</v>
      </c>
    </row>
    <row r="101" spans="1:17">
      <c r="A101" s="2">
        <v>2049</v>
      </c>
      <c r="B101" s="7">
        <v>0</v>
      </c>
      <c r="C101" s="7">
        <v>0</v>
      </c>
      <c r="D101" s="7">
        <v>0</v>
      </c>
      <c r="E101" s="7">
        <v>0</v>
      </c>
      <c r="F101" s="7">
        <v>0</v>
      </c>
      <c r="G101" s="7">
        <v>0</v>
      </c>
      <c r="H101" s="7">
        <v>0</v>
      </c>
      <c r="I101" s="7">
        <v>0</v>
      </c>
      <c r="J101" s="7">
        <v>0</v>
      </c>
      <c r="K101" s="7">
        <v>0</v>
      </c>
      <c r="L101" s="7">
        <v>0</v>
      </c>
      <c r="M101" s="7">
        <v>0</v>
      </c>
      <c r="N101" s="7">
        <v>0</v>
      </c>
      <c r="O101" s="7">
        <v>0</v>
      </c>
      <c r="P101" s="7">
        <v>0</v>
      </c>
      <c r="Q101" s="7">
        <v>0</v>
      </c>
    </row>
    <row r="102" spans="1:17">
      <c r="A102" s="2">
        <v>2050</v>
      </c>
      <c r="B102" s="7">
        <v>0</v>
      </c>
      <c r="C102" s="7">
        <v>0</v>
      </c>
      <c r="D102" s="7">
        <v>0</v>
      </c>
      <c r="E102" s="7">
        <v>0</v>
      </c>
      <c r="F102" s="7">
        <v>0</v>
      </c>
      <c r="G102" s="7">
        <v>0</v>
      </c>
      <c r="H102" s="7">
        <v>0</v>
      </c>
      <c r="I102" s="7">
        <v>0</v>
      </c>
      <c r="J102" s="7">
        <v>0</v>
      </c>
      <c r="K102" s="7">
        <v>0</v>
      </c>
      <c r="L102" s="7">
        <v>0</v>
      </c>
      <c r="M102" s="7">
        <v>0</v>
      </c>
      <c r="N102" s="7">
        <v>0</v>
      </c>
      <c r="O102" s="7">
        <v>0</v>
      </c>
      <c r="P102" s="7">
        <v>0</v>
      </c>
      <c r="Q102" s="7">
        <v>0</v>
      </c>
    </row>
    <row r="103" spans="1:17">
      <c r="A103" s="2">
        <v>2051</v>
      </c>
      <c r="B103" s="7">
        <v>0</v>
      </c>
      <c r="C103" s="7">
        <v>0</v>
      </c>
      <c r="D103" s="7">
        <v>0</v>
      </c>
      <c r="E103" s="7">
        <v>0</v>
      </c>
      <c r="F103" s="7">
        <v>0</v>
      </c>
      <c r="G103" s="7">
        <v>0</v>
      </c>
      <c r="H103" s="7">
        <v>0</v>
      </c>
      <c r="I103" s="7">
        <v>0</v>
      </c>
      <c r="J103" s="7">
        <v>0</v>
      </c>
      <c r="K103" s="7">
        <v>0</v>
      </c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</row>
    <row r="104" spans="1:17">
      <c r="A104" s="2">
        <v>2052</v>
      </c>
      <c r="B104" s="7">
        <v>0</v>
      </c>
      <c r="C104" s="7">
        <v>0</v>
      </c>
      <c r="D104" s="7">
        <v>0</v>
      </c>
      <c r="E104" s="7">
        <v>0</v>
      </c>
      <c r="F104" s="7">
        <v>0</v>
      </c>
      <c r="G104" s="7">
        <v>0</v>
      </c>
      <c r="H104" s="7">
        <v>0</v>
      </c>
      <c r="I104" s="7">
        <v>0</v>
      </c>
      <c r="J104" s="7">
        <v>0</v>
      </c>
      <c r="K104" s="7">
        <v>0</v>
      </c>
      <c r="L104" s="7">
        <v>0</v>
      </c>
      <c r="M104" s="7">
        <v>0</v>
      </c>
      <c r="N104" s="7">
        <v>0</v>
      </c>
      <c r="O104" s="7">
        <v>0</v>
      </c>
      <c r="P104" s="7">
        <v>0</v>
      </c>
      <c r="Q104" s="7">
        <v>0</v>
      </c>
    </row>
    <row r="105" spans="1:17">
      <c r="A105" s="2">
        <v>2053</v>
      </c>
      <c r="B105" s="7">
        <v>0</v>
      </c>
      <c r="C105" s="7">
        <v>0</v>
      </c>
      <c r="D105" s="7">
        <v>0</v>
      </c>
      <c r="E105" s="7">
        <v>0</v>
      </c>
      <c r="F105" s="7">
        <v>0</v>
      </c>
      <c r="G105" s="7">
        <v>0</v>
      </c>
      <c r="H105" s="7">
        <v>0</v>
      </c>
      <c r="I105" s="7">
        <v>0</v>
      </c>
      <c r="J105" s="7">
        <v>0</v>
      </c>
      <c r="K105" s="7">
        <v>0</v>
      </c>
      <c r="L105" s="7">
        <v>0</v>
      </c>
      <c r="M105" s="7">
        <v>0</v>
      </c>
      <c r="N105" s="7">
        <v>0</v>
      </c>
      <c r="O105" s="7">
        <v>0</v>
      </c>
      <c r="P105" s="7">
        <v>0</v>
      </c>
      <c r="Q105" s="7">
        <v>0</v>
      </c>
    </row>
    <row r="106" spans="1:17">
      <c r="A106" s="2">
        <v>2054</v>
      </c>
      <c r="B106" s="7">
        <v>0</v>
      </c>
      <c r="C106" s="7">
        <v>0</v>
      </c>
      <c r="D106" s="7">
        <v>0</v>
      </c>
      <c r="E106" s="7">
        <v>0</v>
      </c>
      <c r="F106" s="7">
        <v>0</v>
      </c>
      <c r="G106" s="7">
        <v>0</v>
      </c>
      <c r="H106" s="7">
        <v>0</v>
      </c>
      <c r="I106" s="7">
        <v>0</v>
      </c>
      <c r="J106" s="7">
        <v>0</v>
      </c>
      <c r="K106" s="7">
        <v>0</v>
      </c>
      <c r="L106" s="7">
        <v>0</v>
      </c>
      <c r="M106" s="7">
        <v>0</v>
      </c>
      <c r="N106" s="7">
        <v>0</v>
      </c>
      <c r="O106" s="7">
        <v>0</v>
      </c>
      <c r="P106" s="7">
        <v>0</v>
      </c>
      <c r="Q106" s="7">
        <v>0</v>
      </c>
    </row>
    <row r="107" spans="1:17">
      <c r="A107" s="2">
        <v>2055</v>
      </c>
      <c r="B107" s="7">
        <v>0</v>
      </c>
      <c r="C107" s="7">
        <v>0</v>
      </c>
      <c r="D107" s="7">
        <v>0</v>
      </c>
      <c r="E107" s="7">
        <v>0</v>
      </c>
      <c r="F107" s="7">
        <v>0</v>
      </c>
      <c r="G107" s="7">
        <v>0</v>
      </c>
      <c r="H107" s="7">
        <v>0</v>
      </c>
      <c r="I107" s="7">
        <v>0</v>
      </c>
      <c r="J107" s="7">
        <v>0</v>
      </c>
      <c r="K107" s="7">
        <v>0</v>
      </c>
      <c r="L107" s="7">
        <v>0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</row>
    <row r="108" spans="1:17">
      <c r="A108" s="2">
        <v>2056</v>
      </c>
      <c r="B108" s="7">
        <v>0</v>
      </c>
      <c r="C108" s="7">
        <v>0</v>
      </c>
      <c r="D108" s="7">
        <v>0</v>
      </c>
      <c r="E108" s="7">
        <v>0</v>
      </c>
      <c r="F108" s="7">
        <v>0</v>
      </c>
      <c r="G108" s="7">
        <v>0</v>
      </c>
      <c r="H108" s="7">
        <v>0</v>
      </c>
      <c r="I108" s="7">
        <v>0</v>
      </c>
      <c r="J108" s="7">
        <v>0</v>
      </c>
      <c r="K108" s="7">
        <v>0</v>
      </c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</row>
    <row r="109" spans="1:17">
      <c r="A109" s="2">
        <v>2057</v>
      </c>
      <c r="B109" s="7">
        <v>0</v>
      </c>
      <c r="C109" s="7">
        <v>0</v>
      </c>
      <c r="D109" s="7">
        <v>0</v>
      </c>
      <c r="E109" s="7">
        <v>0</v>
      </c>
      <c r="F109" s="7">
        <v>0</v>
      </c>
      <c r="G109" s="7">
        <v>0</v>
      </c>
      <c r="H109" s="7">
        <v>0</v>
      </c>
      <c r="I109" s="7">
        <v>0</v>
      </c>
      <c r="J109" s="7">
        <v>0</v>
      </c>
      <c r="K109" s="7">
        <v>0</v>
      </c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</row>
    <row r="110" spans="1:17">
      <c r="A110" s="2">
        <v>2058</v>
      </c>
      <c r="B110" s="7">
        <v>0</v>
      </c>
      <c r="C110" s="7">
        <v>0</v>
      </c>
      <c r="D110" s="7">
        <v>0</v>
      </c>
      <c r="E110" s="7">
        <v>0</v>
      </c>
      <c r="F110" s="7">
        <v>0</v>
      </c>
      <c r="G110" s="7">
        <v>0</v>
      </c>
      <c r="H110" s="7">
        <v>0</v>
      </c>
      <c r="I110" s="7">
        <v>0</v>
      </c>
      <c r="J110" s="7">
        <v>0</v>
      </c>
      <c r="K110" s="7">
        <v>0</v>
      </c>
      <c r="L110" s="7">
        <v>0</v>
      </c>
      <c r="M110" s="7">
        <v>0</v>
      </c>
      <c r="N110" s="7">
        <v>0</v>
      </c>
      <c r="O110" s="7">
        <v>0</v>
      </c>
      <c r="P110" s="7">
        <v>0</v>
      </c>
      <c r="Q110" s="7">
        <v>0</v>
      </c>
    </row>
    <row r="111" spans="1:17">
      <c r="A111" s="2">
        <v>2059</v>
      </c>
      <c r="B111" s="7">
        <v>0</v>
      </c>
      <c r="C111" s="7">
        <v>0</v>
      </c>
      <c r="D111" s="7">
        <v>0</v>
      </c>
      <c r="E111" s="7">
        <v>0</v>
      </c>
      <c r="F111" s="7">
        <v>0</v>
      </c>
      <c r="G111" s="7">
        <v>0</v>
      </c>
      <c r="H111" s="7">
        <v>0</v>
      </c>
      <c r="I111" s="7">
        <v>0</v>
      </c>
      <c r="J111" s="7">
        <v>0</v>
      </c>
      <c r="K111" s="7">
        <v>0</v>
      </c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</row>
    <row r="112" spans="1:17">
      <c r="A112" s="2">
        <v>2060</v>
      </c>
      <c r="B112" s="7">
        <v>0</v>
      </c>
      <c r="C112" s="7">
        <v>0</v>
      </c>
      <c r="D112" s="7">
        <v>0</v>
      </c>
      <c r="E112" s="7">
        <v>0</v>
      </c>
      <c r="F112" s="7">
        <v>0</v>
      </c>
      <c r="G112" s="7">
        <v>0</v>
      </c>
      <c r="H112" s="7">
        <v>0</v>
      </c>
      <c r="I112" s="7">
        <v>0</v>
      </c>
      <c r="J112" s="7">
        <v>0</v>
      </c>
      <c r="K112" s="7">
        <v>0</v>
      </c>
      <c r="L112" s="7">
        <v>0</v>
      </c>
      <c r="M112" s="7">
        <v>0</v>
      </c>
      <c r="N112" s="7">
        <v>0</v>
      </c>
      <c r="O112" s="7">
        <v>0</v>
      </c>
      <c r="P112" s="7">
        <v>0</v>
      </c>
      <c r="Q112" s="7">
        <v>0</v>
      </c>
    </row>
    <row r="113" spans="1:17">
      <c r="A113" s="2">
        <v>2061</v>
      </c>
      <c r="B113" s="7">
        <v>0</v>
      </c>
      <c r="C113" s="7">
        <v>0</v>
      </c>
      <c r="D113" s="7">
        <v>0</v>
      </c>
      <c r="E113" s="7">
        <v>0</v>
      </c>
      <c r="F113" s="7">
        <v>0</v>
      </c>
      <c r="G113" s="7">
        <v>0</v>
      </c>
      <c r="H113" s="7">
        <v>0</v>
      </c>
      <c r="I113" s="7">
        <v>0</v>
      </c>
      <c r="J113" s="7">
        <v>0</v>
      </c>
      <c r="K113" s="7">
        <v>0</v>
      </c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</row>
    <row r="114" spans="1:17">
      <c r="A114" s="2">
        <v>2062</v>
      </c>
      <c r="B114" s="7">
        <v>0</v>
      </c>
      <c r="C114" s="7">
        <v>0</v>
      </c>
      <c r="D114" s="7">
        <v>0</v>
      </c>
      <c r="E114" s="7">
        <v>0</v>
      </c>
      <c r="F114" s="7">
        <v>0</v>
      </c>
      <c r="G114" s="7">
        <v>0</v>
      </c>
      <c r="H114" s="7">
        <v>0</v>
      </c>
      <c r="I114" s="7">
        <v>0</v>
      </c>
      <c r="J114" s="7">
        <v>0</v>
      </c>
      <c r="K114" s="7">
        <v>0</v>
      </c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</row>
    <row r="115" spans="1:17">
      <c r="A115" s="2">
        <v>2063</v>
      </c>
      <c r="B115" s="7">
        <v>0</v>
      </c>
      <c r="C115" s="7">
        <v>0</v>
      </c>
      <c r="D115" s="7">
        <v>0</v>
      </c>
      <c r="E115" s="7">
        <v>0</v>
      </c>
      <c r="F115" s="7">
        <v>0</v>
      </c>
      <c r="G115" s="7">
        <v>0</v>
      </c>
      <c r="H115" s="7">
        <v>0</v>
      </c>
      <c r="I115" s="7">
        <v>0</v>
      </c>
      <c r="J115" s="7">
        <v>0</v>
      </c>
      <c r="K115" s="7">
        <v>0</v>
      </c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</row>
    <row r="116" spans="1:17">
      <c r="A116" s="2">
        <v>2064</v>
      </c>
      <c r="B116" s="7">
        <v>0</v>
      </c>
      <c r="C116" s="7">
        <v>0</v>
      </c>
      <c r="D116" s="7">
        <v>0</v>
      </c>
      <c r="E116" s="7">
        <v>0</v>
      </c>
      <c r="F116" s="7">
        <v>0</v>
      </c>
      <c r="G116" s="7">
        <v>0</v>
      </c>
      <c r="H116" s="7">
        <v>0</v>
      </c>
      <c r="I116" s="7">
        <v>0</v>
      </c>
      <c r="J116" s="7">
        <v>0</v>
      </c>
      <c r="K116" s="7">
        <v>0</v>
      </c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</row>
    <row r="117" spans="1:17">
      <c r="A117" s="2">
        <v>2065</v>
      </c>
      <c r="B117" s="7">
        <v>0</v>
      </c>
      <c r="C117" s="7">
        <v>0</v>
      </c>
      <c r="D117" s="7">
        <v>0</v>
      </c>
      <c r="E117" s="7">
        <v>0</v>
      </c>
      <c r="F117" s="7">
        <v>0</v>
      </c>
      <c r="G117" s="7">
        <v>0</v>
      </c>
      <c r="H117" s="7">
        <v>0</v>
      </c>
      <c r="I117" s="7">
        <v>0</v>
      </c>
      <c r="J117" s="7">
        <v>0</v>
      </c>
      <c r="K117" s="7">
        <v>0</v>
      </c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</row>
    <row r="118" spans="1:17">
      <c r="A118" s="2">
        <v>2066</v>
      </c>
      <c r="B118" s="7">
        <v>0</v>
      </c>
      <c r="C118" s="7">
        <v>0</v>
      </c>
      <c r="D118" s="7">
        <v>0</v>
      </c>
      <c r="E118" s="7">
        <v>0</v>
      </c>
      <c r="F118" s="7">
        <v>0</v>
      </c>
      <c r="G118" s="7">
        <v>0</v>
      </c>
      <c r="H118" s="7">
        <v>0</v>
      </c>
      <c r="I118" s="7">
        <v>0</v>
      </c>
      <c r="J118" s="7">
        <v>0</v>
      </c>
      <c r="K118" s="7">
        <v>0</v>
      </c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</row>
    <row r="119" spans="1:17">
      <c r="A119" s="2">
        <v>2067</v>
      </c>
      <c r="B119" s="7">
        <v>0</v>
      </c>
      <c r="C119" s="7">
        <v>0</v>
      </c>
      <c r="D119" s="7">
        <v>0</v>
      </c>
      <c r="E119" s="7">
        <v>0</v>
      </c>
      <c r="F119" s="7">
        <v>0</v>
      </c>
      <c r="G119" s="7">
        <v>0</v>
      </c>
      <c r="H119" s="7">
        <v>0</v>
      </c>
      <c r="I119" s="7">
        <v>0</v>
      </c>
      <c r="J119" s="7">
        <v>0</v>
      </c>
      <c r="K119" s="7">
        <v>0</v>
      </c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</row>
    <row r="120" spans="1:17">
      <c r="A120" s="2">
        <v>2068</v>
      </c>
      <c r="B120" s="7">
        <v>0</v>
      </c>
      <c r="C120" s="7">
        <v>0</v>
      </c>
      <c r="D120" s="7">
        <v>0</v>
      </c>
      <c r="E120" s="7">
        <v>0</v>
      </c>
      <c r="F120" s="7">
        <v>0</v>
      </c>
      <c r="G120" s="7">
        <v>0</v>
      </c>
      <c r="H120" s="7">
        <v>0</v>
      </c>
      <c r="I120" s="7">
        <v>0</v>
      </c>
      <c r="J120" s="7">
        <v>0</v>
      </c>
      <c r="K120" s="7">
        <v>0</v>
      </c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</row>
    <row r="121" spans="1:17">
      <c r="A121" s="2">
        <v>2069</v>
      </c>
      <c r="B121" s="7">
        <v>0</v>
      </c>
      <c r="C121" s="7">
        <v>0</v>
      </c>
      <c r="D121" s="7">
        <v>0</v>
      </c>
      <c r="E121" s="7">
        <v>0</v>
      </c>
      <c r="F121" s="7">
        <v>0</v>
      </c>
      <c r="G121" s="7">
        <v>0</v>
      </c>
      <c r="H121" s="7">
        <v>0</v>
      </c>
      <c r="I121" s="7">
        <v>0</v>
      </c>
      <c r="J121" s="7">
        <v>0</v>
      </c>
      <c r="K121" s="7">
        <v>0</v>
      </c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</row>
    <row r="122" spans="1:17">
      <c r="A122" s="2">
        <v>2070</v>
      </c>
      <c r="B122" s="7">
        <v>0</v>
      </c>
      <c r="C122" s="7">
        <v>0</v>
      </c>
      <c r="D122" s="7">
        <v>0</v>
      </c>
      <c r="E122" s="7">
        <v>0</v>
      </c>
      <c r="F122" s="7">
        <v>0</v>
      </c>
      <c r="G122" s="7">
        <v>0</v>
      </c>
      <c r="H122" s="7">
        <v>0</v>
      </c>
      <c r="I122" s="7">
        <v>0</v>
      </c>
      <c r="J122" s="7">
        <v>0</v>
      </c>
      <c r="K122" s="7">
        <v>0</v>
      </c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</row>
    <row r="123" spans="1:17">
      <c r="A123" s="2">
        <v>2071</v>
      </c>
      <c r="B123" s="7">
        <v>0</v>
      </c>
      <c r="C123" s="7">
        <v>0</v>
      </c>
      <c r="D123" s="7">
        <v>0</v>
      </c>
      <c r="E123" s="7">
        <v>0</v>
      </c>
      <c r="F123" s="7">
        <v>0</v>
      </c>
      <c r="G123" s="7">
        <v>0</v>
      </c>
      <c r="H123" s="7">
        <v>0</v>
      </c>
      <c r="I123" s="7">
        <v>0</v>
      </c>
      <c r="J123" s="7">
        <v>0</v>
      </c>
      <c r="K123" s="7">
        <v>0</v>
      </c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</row>
    <row r="124" spans="1:17">
      <c r="A124" s="2">
        <v>2072</v>
      </c>
      <c r="B124" s="7">
        <v>0</v>
      </c>
      <c r="C124" s="7">
        <v>0</v>
      </c>
      <c r="D124" s="7">
        <v>0</v>
      </c>
      <c r="E124" s="7">
        <v>0</v>
      </c>
      <c r="F124" s="7">
        <v>0</v>
      </c>
      <c r="G124" s="7">
        <v>0</v>
      </c>
      <c r="H124" s="7">
        <v>0</v>
      </c>
      <c r="I124" s="7">
        <v>0</v>
      </c>
      <c r="J124" s="7">
        <v>0</v>
      </c>
      <c r="K124" s="7">
        <v>0</v>
      </c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</row>
    <row r="125" spans="1:17">
      <c r="A125" s="2">
        <v>2073</v>
      </c>
      <c r="B125" s="7">
        <v>0</v>
      </c>
      <c r="C125" s="7">
        <v>0</v>
      </c>
      <c r="D125" s="7">
        <v>0</v>
      </c>
      <c r="E125" s="7">
        <v>0</v>
      </c>
      <c r="F125" s="7">
        <v>0</v>
      </c>
      <c r="G125" s="7">
        <v>0</v>
      </c>
      <c r="H125" s="7">
        <v>0</v>
      </c>
      <c r="I125" s="7">
        <v>0</v>
      </c>
      <c r="J125" s="7">
        <v>0</v>
      </c>
      <c r="K125" s="7">
        <v>0</v>
      </c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</row>
    <row r="126" spans="1:17">
      <c r="A126" s="2">
        <v>2074</v>
      </c>
      <c r="B126" s="7">
        <v>0</v>
      </c>
      <c r="C126" s="7">
        <v>0</v>
      </c>
      <c r="D126" s="7">
        <v>0</v>
      </c>
      <c r="E126" s="7">
        <v>0</v>
      </c>
      <c r="F126" s="7">
        <v>0</v>
      </c>
      <c r="G126" s="7">
        <v>0</v>
      </c>
      <c r="H126" s="7">
        <v>0</v>
      </c>
      <c r="I126" s="7">
        <v>0</v>
      </c>
      <c r="J126" s="7">
        <v>0</v>
      </c>
      <c r="K126" s="7">
        <v>0</v>
      </c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</row>
    <row r="127" spans="1:17">
      <c r="A127" s="2">
        <v>2075</v>
      </c>
      <c r="B127" s="7">
        <v>0</v>
      </c>
      <c r="C127" s="7">
        <v>0</v>
      </c>
      <c r="D127" s="7">
        <v>0</v>
      </c>
      <c r="E127" s="7">
        <v>0</v>
      </c>
      <c r="F127" s="7">
        <v>0</v>
      </c>
      <c r="G127" s="7">
        <v>0</v>
      </c>
      <c r="H127" s="7">
        <v>0</v>
      </c>
      <c r="I127" s="7">
        <v>0</v>
      </c>
      <c r="J127" s="7">
        <v>0</v>
      </c>
      <c r="K127" s="7">
        <v>0</v>
      </c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</row>
    <row r="128" spans="1:17">
      <c r="A128" s="2">
        <v>2076</v>
      </c>
      <c r="B128" s="7">
        <v>0</v>
      </c>
      <c r="C128" s="7">
        <v>0</v>
      </c>
      <c r="D128" s="7">
        <v>0</v>
      </c>
      <c r="E128" s="7">
        <v>0</v>
      </c>
      <c r="F128" s="7">
        <v>0</v>
      </c>
      <c r="G128" s="7">
        <v>0</v>
      </c>
      <c r="H128" s="7">
        <v>0</v>
      </c>
      <c r="I128" s="7">
        <v>0</v>
      </c>
      <c r="J128" s="7">
        <v>0</v>
      </c>
      <c r="K128" s="7">
        <v>0</v>
      </c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</row>
    <row r="129" spans="1:17">
      <c r="A129" s="2">
        <v>2077</v>
      </c>
      <c r="B129" s="7">
        <v>0</v>
      </c>
      <c r="C129" s="7">
        <v>0</v>
      </c>
      <c r="D129" s="7">
        <v>0</v>
      </c>
      <c r="E129" s="7">
        <v>0</v>
      </c>
      <c r="F129" s="7">
        <v>0</v>
      </c>
      <c r="G129" s="7">
        <v>0</v>
      </c>
      <c r="H129" s="7">
        <v>0</v>
      </c>
      <c r="I129" s="7">
        <v>0</v>
      </c>
      <c r="J129" s="7">
        <v>0</v>
      </c>
      <c r="K129" s="7">
        <v>0</v>
      </c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</row>
    <row r="130" spans="1:17">
      <c r="A130" s="2">
        <v>2078</v>
      </c>
      <c r="B130" s="7">
        <v>0</v>
      </c>
      <c r="C130" s="7">
        <v>0</v>
      </c>
      <c r="D130" s="7">
        <v>0</v>
      </c>
      <c r="E130" s="7">
        <v>0</v>
      </c>
      <c r="F130" s="7">
        <v>0</v>
      </c>
      <c r="G130" s="7">
        <v>0</v>
      </c>
      <c r="H130" s="7">
        <v>0</v>
      </c>
      <c r="I130" s="7">
        <v>0</v>
      </c>
      <c r="J130" s="7">
        <v>0</v>
      </c>
      <c r="K130" s="7">
        <v>0</v>
      </c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</row>
    <row r="131" spans="1:17">
      <c r="A131" s="2">
        <v>2079</v>
      </c>
      <c r="B131" s="7">
        <v>0</v>
      </c>
      <c r="C131" s="7">
        <v>0</v>
      </c>
      <c r="D131" s="7">
        <v>0</v>
      </c>
      <c r="E131" s="7">
        <v>0</v>
      </c>
      <c r="F131" s="7">
        <v>0</v>
      </c>
      <c r="G131" s="7">
        <v>0</v>
      </c>
      <c r="H131" s="7">
        <v>0</v>
      </c>
      <c r="I131" s="7">
        <v>0</v>
      </c>
      <c r="J131" s="7">
        <v>0</v>
      </c>
      <c r="K131" s="7">
        <v>0</v>
      </c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</row>
    <row r="132" spans="1:17">
      <c r="A132" s="2">
        <v>2080</v>
      </c>
      <c r="B132" s="7">
        <v>0</v>
      </c>
      <c r="C132" s="7">
        <v>0</v>
      </c>
      <c r="D132" s="7">
        <v>0</v>
      </c>
      <c r="E132" s="7">
        <v>0</v>
      </c>
      <c r="F132" s="7">
        <v>0</v>
      </c>
      <c r="G132" s="7">
        <v>0</v>
      </c>
      <c r="H132" s="7">
        <v>0</v>
      </c>
      <c r="I132" s="7">
        <v>0</v>
      </c>
      <c r="J132" s="7">
        <v>0</v>
      </c>
      <c r="K132" s="7">
        <v>0</v>
      </c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</row>
    <row r="133" spans="1:17">
      <c r="A133" s="2">
        <v>2081</v>
      </c>
      <c r="B133" s="7">
        <v>0</v>
      </c>
      <c r="C133" s="7">
        <v>0</v>
      </c>
      <c r="D133" s="7">
        <v>0</v>
      </c>
      <c r="E133" s="7">
        <v>0</v>
      </c>
      <c r="F133" s="7">
        <v>0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</row>
    <row r="134" spans="1:17">
      <c r="A134" s="2">
        <v>2082</v>
      </c>
      <c r="B134" s="7">
        <v>0</v>
      </c>
      <c r="C134" s="7">
        <v>0</v>
      </c>
      <c r="D134" s="7">
        <v>0</v>
      </c>
      <c r="E134" s="7">
        <v>0</v>
      </c>
      <c r="F134" s="7">
        <v>0</v>
      </c>
      <c r="G134" s="7">
        <v>0</v>
      </c>
      <c r="H134" s="7">
        <v>0</v>
      </c>
      <c r="I134" s="7">
        <v>0</v>
      </c>
      <c r="J134" s="7">
        <v>0</v>
      </c>
      <c r="K134" s="7">
        <v>0</v>
      </c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</row>
    <row r="135" spans="1:17">
      <c r="A135" s="2">
        <v>2083</v>
      </c>
      <c r="B135" s="7">
        <v>0</v>
      </c>
      <c r="C135" s="7">
        <v>0</v>
      </c>
      <c r="D135" s="7">
        <v>0</v>
      </c>
      <c r="E135" s="7">
        <v>0</v>
      </c>
      <c r="F135" s="7">
        <v>0</v>
      </c>
      <c r="G135" s="7">
        <v>0</v>
      </c>
      <c r="H135" s="7">
        <v>0</v>
      </c>
      <c r="I135" s="7">
        <v>0</v>
      </c>
      <c r="J135" s="7">
        <v>0</v>
      </c>
      <c r="K135" s="7">
        <v>0</v>
      </c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</row>
    <row r="136" spans="1:17">
      <c r="A136" s="2">
        <v>2084</v>
      </c>
      <c r="B136" s="7">
        <v>0</v>
      </c>
      <c r="C136" s="7">
        <v>0</v>
      </c>
      <c r="D136" s="7">
        <v>0</v>
      </c>
      <c r="E136" s="7">
        <v>0</v>
      </c>
      <c r="F136" s="7">
        <v>0</v>
      </c>
      <c r="G136" s="7">
        <v>0</v>
      </c>
      <c r="H136" s="7">
        <v>0</v>
      </c>
      <c r="I136" s="7">
        <v>0</v>
      </c>
      <c r="J136" s="7">
        <v>0</v>
      </c>
      <c r="K136" s="7">
        <v>0</v>
      </c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</row>
    <row r="137" spans="1:17">
      <c r="A137" s="2">
        <v>2085</v>
      </c>
      <c r="B137" s="7">
        <v>0</v>
      </c>
      <c r="C137" s="7">
        <v>0</v>
      </c>
      <c r="D137" s="7">
        <v>0</v>
      </c>
      <c r="E137" s="7">
        <v>0</v>
      </c>
      <c r="F137" s="7">
        <v>0</v>
      </c>
      <c r="G137" s="7">
        <v>0</v>
      </c>
      <c r="H137" s="7">
        <v>0</v>
      </c>
      <c r="I137" s="7">
        <v>0</v>
      </c>
      <c r="J137" s="7">
        <v>0</v>
      </c>
      <c r="K137" s="7">
        <v>0</v>
      </c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</row>
    <row r="138" spans="1:17">
      <c r="A138" s="2">
        <v>2086</v>
      </c>
      <c r="B138" s="7">
        <v>0</v>
      </c>
      <c r="C138" s="7">
        <v>0</v>
      </c>
      <c r="D138" s="7">
        <v>0</v>
      </c>
      <c r="E138" s="7">
        <v>0</v>
      </c>
      <c r="F138" s="7">
        <v>0</v>
      </c>
      <c r="G138" s="7">
        <v>0</v>
      </c>
      <c r="H138" s="7">
        <v>0</v>
      </c>
      <c r="I138" s="7">
        <v>0</v>
      </c>
      <c r="J138" s="7">
        <v>0</v>
      </c>
      <c r="K138" s="7">
        <v>0</v>
      </c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</row>
    <row r="139" spans="1:17">
      <c r="A139" s="2">
        <v>2087</v>
      </c>
      <c r="B139" s="7">
        <v>0</v>
      </c>
      <c r="C139" s="7">
        <v>0</v>
      </c>
      <c r="D139" s="7">
        <v>0</v>
      </c>
      <c r="E139" s="7">
        <v>0</v>
      </c>
      <c r="F139" s="7">
        <v>0</v>
      </c>
      <c r="G139" s="7">
        <v>0</v>
      </c>
      <c r="H139" s="7">
        <v>0</v>
      </c>
      <c r="I139" s="7">
        <v>0</v>
      </c>
      <c r="J139" s="7">
        <v>0</v>
      </c>
      <c r="K139" s="7">
        <v>0</v>
      </c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</row>
    <row r="140" spans="1:17">
      <c r="A140" s="2">
        <v>2088</v>
      </c>
      <c r="B140" s="7">
        <v>0</v>
      </c>
      <c r="C140" s="7">
        <v>0</v>
      </c>
      <c r="D140" s="7">
        <v>0</v>
      </c>
      <c r="E140" s="7">
        <v>0</v>
      </c>
      <c r="F140" s="7">
        <v>0</v>
      </c>
      <c r="G140" s="7">
        <v>0</v>
      </c>
      <c r="H140" s="7">
        <v>0</v>
      </c>
      <c r="I140" s="7">
        <v>0</v>
      </c>
      <c r="J140" s="7">
        <v>0</v>
      </c>
      <c r="K140" s="7">
        <v>0</v>
      </c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</row>
    <row r="141" spans="1:17">
      <c r="A141" s="2">
        <v>2089</v>
      </c>
      <c r="B141" s="7">
        <v>0</v>
      </c>
      <c r="C141" s="7">
        <v>0</v>
      </c>
      <c r="D141" s="7">
        <v>0</v>
      </c>
      <c r="E141" s="7">
        <v>0</v>
      </c>
      <c r="F141" s="7">
        <v>0</v>
      </c>
      <c r="G141" s="7">
        <v>0</v>
      </c>
      <c r="H141" s="7">
        <v>0</v>
      </c>
      <c r="I141" s="7">
        <v>0</v>
      </c>
      <c r="J141" s="7">
        <v>0</v>
      </c>
      <c r="K141" s="7">
        <v>0</v>
      </c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</row>
    <row r="142" spans="1:17">
      <c r="A142" s="2">
        <v>2090</v>
      </c>
      <c r="B142" s="7">
        <v>0</v>
      </c>
      <c r="C142" s="7">
        <v>0</v>
      </c>
      <c r="D142" s="7">
        <v>0</v>
      </c>
      <c r="E142" s="7">
        <v>0</v>
      </c>
      <c r="F142" s="7">
        <v>0</v>
      </c>
      <c r="G142" s="7">
        <v>0</v>
      </c>
      <c r="H142" s="7">
        <v>0</v>
      </c>
      <c r="I142" s="7">
        <v>0</v>
      </c>
      <c r="J142" s="7">
        <v>0</v>
      </c>
      <c r="K142" s="7">
        <v>0</v>
      </c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</row>
    <row r="143" spans="1:17">
      <c r="A143" s="2">
        <v>2091</v>
      </c>
      <c r="B143" s="7">
        <v>0</v>
      </c>
      <c r="C143" s="7">
        <v>0</v>
      </c>
      <c r="D143" s="7">
        <v>0</v>
      </c>
      <c r="E143" s="7">
        <v>0</v>
      </c>
      <c r="F143" s="7">
        <v>0</v>
      </c>
      <c r="G143" s="7">
        <v>0</v>
      </c>
      <c r="H143" s="7">
        <v>0</v>
      </c>
      <c r="I143" s="7">
        <v>0</v>
      </c>
      <c r="J143" s="7">
        <v>0</v>
      </c>
      <c r="K143" s="7">
        <v>0</v>
      </c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</row>
    <row r="144" spans="1:17">
      <c r="A144" s="2">
        <v>2092</v>
      </c>
      <c r="B144" s="7">
        <v>0</v>
      </c>
      <c r="C144" s="7">
        <v>0</v>
      </c>
      <c r="D144" s="7">
        <v>0</v>
      </c>
      <c r="E144" s="7">
        <v>0</v>
      </c>
      <c r="F144" s="7">
        <v>0</v>
      </c>
      <c r="G144" s="7">
        <v>0</v>
      </c>
      <c r="H144" s="7">
        <v>0</v>
      </c>
      <c r="I144" s="7">
        <v>0</v>
      </c>
      <c r="J144" s="7">
        <v>0</v>
      </c>
      <c r="K144" s="7">
        <v>0</v>
      </c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</row>
    <row r="145" spans="1:17">
      <c r="A145" s="2">
        <v>2093</v>
      </c>
      <c r="B145" s="7">
        <v>0</v>
      </c>
      <c r="C145" s="7">
        <v>0</v>
      </c>
      <c r="D145" s="7">
        <v>0</v>
      </c>
      <c r="E145" s="7">
        <v>0</v>
      </c>
      <c r="F145" s="7">
        <v>0</v>
      </c>
      <c r="G145" s="7">
        <v>0</v>
      </c>
      <c r="H145" s="7">
        <v>0</v>
      </c>
      <c r="I145" s="7">
        <v>0</v>
      </c>
      <c r="J145" s="7">
        <v>0</v>
      </c>
      <c r="K145" s="7">
        <v>0</v>
      </c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</row>
    <row r="146" spans="1:17">
      <c r="A146" s="2">
        <v>2094</v>
      </c>
      <c r="B146" s="7">
        <v>0</v>
      </c>
      <c r="C146" s="7">
        <v>0</v>
      </c>
      <c r="D146" s="7">
        <v>0</v>
      </c>
      <c r="E146" s="7">
        <v>0</v>
      </c>
      <c r="F146" s="7">
        <v>0</v>
      </c>
      <c r="G146" s="7">
        <v>0</v>
      </c>
      <c r="H146" s="7">
        <v>0</v>
      </c>
      <c r="I146" s="7">
        <v>0</v>
      </c>
      <c r="J146" s="7">
        <v>0</v>
      </c>
      <c r="K146" s="7">
        <v>0</v>
      </c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</row>
    <row r="147" spans="1:17">
      <c r="A147" s="2">
        <v>2095</v>
      </c>
      <c r="B147" s="7">
        <v>0</v>
      </c>
      <c r="C147" s="7">
        <v>0</v>
      </c>
      <c r="D147" s="7">
        <v>0</v>
      </c>
      <c r="E147" s="7">
        <v>0</v>
      </c>
      <c r="F147" s="7">
        <v>0</v>
      </c>
      <c r="G147" s="7">
        <v>0</v>
      </c>
      <c r="H147" s="7">
        <v>0</v>
      </c>
      <c r="I147" s="7">
        <v>0</v>
      </c>
      <c r="J147" s="7">
        <v>0</v>
      </c>
      <c r="K147" s="7">
        <v>0</v>
      </c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</row>
    <row r="148" spans="1:17">
      <c r="A148" s="2">
        <v>2096</v>
      </c>
      <c r="B148" s="7">
        <v>0</v>
      </c>
      <c r="C148" s="7">
        <v>0</v>
      </c>
      <c r="D148" s="7">
        <v>0</v>
      </c>
      <c r="E148" s="7">
        <v>0</v>
      </c>
      <c r="F148" s="7">
        <v>0</v>
      </c>
      <c r="G148" s="7">
        <v>0</v>
      </c>
      <c r="H148" s="7">
        <v>0</v>
      </c>
      <c r="I148" s="7">
        <v>0</v>
      </c>
      <c r="J148" s="7">
        <v>0</v>
      </c>
      <c r="K148" s="7">
        <v>0</v>
      </c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</row>
    <row r="149" spans="1:17">
      <c r="A149" s="2">
        <v>2097</v>
      </c>
      <c r="B149" s="7">
        <v>0</v>
      </c>
      <c r="C149" s="7">
        <v>0</v>
      </c>
      <c r="D149" s="7">
        <v>0</v>
      </c>
      <c r="E149" s="7">
        <v>0</v>
      </c>
      <c r="F149" s="7">
        <v>0</v>
      </c>
      <c r="G149" s="7">
        <v>0</v>
      </c>
      <c r="H149" s="7">
        <v>0</v>
      </c>
      <c r="I149" s="7">
        <v>0</v>
      </c>
      <c r="J149" s="7">
        <v>0</v>
      </c>
      <c r="K149" s="7">
        <v>0</v>
      </c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</row>
    <row r="150" spans="1:17">
      <c r="A150" s="2">
        <v>2098</v>
      </c>
      <c r="B150" s="7">
        <v>0</v>
      </c>
      <c r="C150" s="7">
        <v>0</v>
      </c>
      <c r="D150" s="7">
        <v>0</v>
      </c>
      <c r="E150" s="7">
        <v>0</v>
      </c>
      <c r="F150" s="7">
        <v>0</v>
      </c>
      <c r="G150" s="7">
        <v>0</v>
      </c>
      <c r="H150" s="7">
        <v>0</v>
      </c>
      <c r="I150" s="7">
        <v>0</v>
      </c>
      <c r="J150" s="7">
        <v>0</v>
      </c>
      <c r="K150" s="7">
        <v>0</v>
      </c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</row>
    <row r="151" spans="1:17">
      <c r="A151" s="2">
        <v>2099</v>
      </c>
      <c r="B151" s="7">
        <v>0</v>
      </c>
      <c r="C151" s="7">
        <v>0</v>
      </c>
      <c r="D151" s="7">
        <v>0</v>
      </c>
      <c r="E151" s="7">
        <v>0</v>
      </c>
      <c r="F151" s="7">
        <v>0</v>
      </c>
      <c r="G151" s="7">
        <v>0</v>
      </c>
      <c r="H151" s="7">
        <v>0</v>
      </c>
      <c r="I151" s="7">
        <v>0</v>
      </c>
      <c r="J151" s="7">
        <v>0</v>
      </c>
      <c r="K151" s="7">
        <v>0</v>
      </c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</row>
    <row r="152" spans="1:17">
      <c r="A152" s="2">
        <v>2100</v>
      </c>
      <c r="B152" s="7">
        <v>0</v>
      </c>
      <c r="C152" s="7">
        <v>0</v>
      </c>
      <c r="D152" s="7">
        <v>0</v>
      </c>
      <c r="E152" s="7">
        <v>0</v>
      </c>
      <c r="F152" s="7">
        <v>0</v>
      </c>
      <c r="G152" s="7">
        <v>0</v>
      </c>
      <c r="H152" s="7">
        <v>0</v>
      </c>
      <c r="I152" s="7">
        <v>0</v>
      </c>
      <c r="J152" s="7">
        <v>0</v>
      </c>
      <c r="K152" s="7">
        <v>0</v>
      </c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</row>
    <row r="153" spans="1:17">
      <c r="A153" s="2">
        <v>2101</v>
      </c>
      <c r="B153" s="7">
        <v>0</v>
      </c>
      <c r="C153" s="7">
        <v>0</v>
      </c>
      <c r="D153" s="7">
        <v>0</v>
      </c>
      <c r="E153" s="7">
        <v>0</v>
      </c>
      <c r="F153" s="7">
        <v>0</v>
      </c>
      <c r="G153" s="7">
        <v>0</v>
      </c>
      <c r="H153" s="7">
        <v>0</v>
      </c>
      <c r="I153" s="7">
        <v>0</v>
      </c>
      <c r="J153" s="7">
        <v>0</v>
      </c>
      <c r="K153" s="7">
        <v>0</v>
      </c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</row>
    <row r="154" spans="1:17">
      <c r="A154" s="2">
        <v>2102</v>
      </c>
      <c r="B154" s="7">
        <v>0</v>
      </c>
      <c r="C154" s="7">
        <v>0</v>
      </c>
      <c r="D154" s="7">
        <v>0</v>
      </c>
      <c r="E154" s="7">
        <v>0</v>
      </c>
      <c r="F154" s="7">
        <v>0</v>
      </c>
      <c r="G154" s="7">
        <v>0</v>
      </c>
      <c r="H154" s="7">
        <v>0</v>
      </c>
      <c r="I154" s="7">
        <v>0</v>
      </c>
      <c r="J154" s="7">
        <v>0</v>
      </c>
      <c r="K154" s="7">
        <v>0</v>
      </c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</row>
    <row r="155" spans="1:17">
      <c r="A155" s="2">
        <v>2103</v>
      </c>
      <c r="B155" s="7">
        <v>0</v>
      </c>
      <c r="C155" s="7">
        <v>0</v>
      </c>
      <c r="D155" s="7">
        <v>0</v>
      </c>
      <c r="E155" s="7">
        <v>0</v>
      </c>
      <c r="F155" s="7">
        <v>0</v>
      </c>
      <c r="G155" s="7">
        <v>0</v>
      </c>
      <c r="H155" s="7">
        <v>0</v>
      </c>
      <c r="I155" s="7">
        <v>0</v>
      </c>
      <c r="J155" s="7">
        <v>0</v>
      </c>
      <c r="K155" s="7">
        <v>0</v>
      </c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</row>
    <row r="156" spans="1:17">
      <c r="A156" s="2">
        <v>2104</v>
      </c>
      <c r="B156" s="7">
        <v>0</v>
      </c>
      <c r="C156" s="7">
        <v>0</v>
      </c>
      <c r="D156" s="7">
        <v>0</v>
      </c>
      <c r="E156" s="7">
        <v>0</v>
      </c>
      <c r="F156" s="7">
        <v>0</v>
      </c>
      <c r="G156" s="7">
        <v>0</v>
      </c>
      <c r="H156" s="7">
        <v>0</v>
      </c>
      <c r="I156" s="7">
        <v>0</v>
      </c>
      <c r="J156" s="7">
        <v>0</v>
      </c>
      <c r="K156" s="7">
        <v>0</v>
      </c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</row>
    <row r="157" spans="1:17">
      <c r="A157" s="2">
        <v>2105</v>
      </c>
      <c r="B157" s="7">
        <v>0</v>
      </c>
      <c r="C157" s="7">
        <v>0</v>
      </c>
      <c r="D157" s="7">
        <v>0</v>
      </c>
      <c r="E157" s="7">
        <v>0</v>
      </c>
      <c r="F157" s="7">
        <v>0</v>
      </c>
      <c r="G157" s="7">
        <v>0</v>
      </c>
      <c r="H157" s="7">
        <v>0</v>
      </c>
      <c r="I157" s="7">
        <v>0</v>
      </c>
      <c r="J157" s="7">
        <v>0</v>
      </c>
      <c r="K157" s="7">
        <v>0</v>
      </c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</row>
    <row r="158" spans="1:17">
      <c r="A158" s="2">
        <v>2106</v>
      </c>
      <c r="B158" s="7">
        <v>0</v>
      </c>
      <c r="C158" s="7">
        <v>0</v>
      </c>
      <c r="D158" s="7">
        <v>0</v>
      </c>
      <c r="E158" s="7">
        <v>0</v>
      </c>
      <c r="F158" s="7">
        <v>0</v>
      </c>
      <c r="G158" s="7">
        <v>0</v>
      </c>
      <c r="H158" s="7">
        <v>0</v>
      </c>
      <c r="I158" s="7">
        <v>0</v>
      </c>
      <c r="J158" s="7">
        <v>0</v>
      </c>
      <c r="K158" s="7">
        <v>0</v>
      </c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</row>
    <row r="159" spans="1:17">
      <c r="A159" s="2">
        <v>2107</v>
      </c>
      <c r="B159" s="7">
        <v>0</v>
      </c>
      <c r="C159" s="7">
        <v>0</v>
      </c>
      <c r="D159" s="7">
        <v>0</v>
      </c>
      <c r="E159" s="7">
        <v>0</v>
      </c>
      <c r="F159" s="7">
        <v>0</v>
      </c>
      <c r="G159" s="7">
        <v>0</v>
      </c>
      <c r="H159" s="7">
        <v>0</v>
      </c>
      <c r="I159" s="7">
        <v>0</v>
      </c>
      <c r="J159" s="7">
        <v>0</v>
      </c>
      <c r="K159" s="7">
        <v>0</v>
      </c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</row>
    <row r="160" spans="1:17">
      <c r="A160" s="2">
        <v>2108</v>
      </c>
      <c r="B160" s="7">
        <v>0</v>
      </c>
      <c r="C160" s="7">
        <v>0</v>
      </c>
      <c r="D160" s="7">
        <v>0</v>
      </c>
      <c r="E160" s="7">
        <v>0</v>
      </c>
      <c r="F160" s="7">
        <v>0</v>
      </c>
      <c r="G160" s="7">
        <v>0</v>
      </c>
      <c r="H160" s="7">
        <v>0</v>
      </c>
      <c r="I160" s="7">
        <v>0</v>
      </c>
      <c r="J160" s="7">
        <v>0</v>
      </c>
      <c r="K160" s="7">
        <v>0</v>
      </c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</row>
    <row r="161" spans="1:17">
      <c r="A161" s="2">
        <v>2109</v>
      </c>
      <c r="B161" s="7">
        <v>0</v>
      </c>
      <c r="C161" s="7">
        <v>0</v>
      </c>
      <c r="D161" s="7">
        <v>0</v>
      </c>
      <c r="E161" s="7">
        <v>0</v>
      </c>
      <c r="F161" s="7">
        <v>0</v>
      </c>
      <c r="G161" s="7">
        <v>0</v>
      </c>
      <c r="H161" s="7">
        <v>0</v>
      </c>
      <c r="I161" s="7">
        <v>0</v>
      </c>
      <c r="J161" s="7">
        <v>0</v>
      </c>
      <c r="K161" s="7">
        <v>0</v>
      </c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</row>
    <row r="162" spans="1:17">
      <c r="A162" s="2">
        <v>2110</v>
      </c>
      <c r="B162" s="7">
        <v>0</v>
      </c>
      <c r="C162" s="7">
        <v>0</v>
      </c>
      <c r="D162" s="7">
        <v>0</v>
      </c>
      <c r="E162" s="7">
        <v>0</v>
      </c>
      <c r="F162" s="7">
        <v>0</v>
      </c>
      <c r="G162" s="7">
        <v>0</v>
      </c>
      <c r="H162" s="7">
        <v>0</v>
      </c>
      <c r="I162" s="7">
        <v>0</v>
      </c>
      <c r="J162" s="7">
        <v>0</v>
      </c>
      <c r="K162" s="7">
        <v>0</v>
      </c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</row>
    <row r="163" spans="1:17">
      <c r="A163" s="2">
        <v>2111</v>
      </c>
      <c r="B163" s="7">
        <v>0</v>
      </c>
      <c r="C163" s="7">
        <v>0</v>
      </c>
      <c r="D163" s="7">
        <v>0</v>
      </c>
      <c r="E163" s="7">
        <v>0</v>
      </c>
      <c r="F163" s="7">
        <v>0</v>
      </c>
      <c r="G163" s="7">
        <v>0</v>
      </c>
      <c r="H163" s="7">
        <v>0</v>
      </c>
      <c r="I163" s="7">
        <v>0</v>
      </c>
      <c r="J163" s="7">
        <v>0</v>
      </c>
      <c r="K163" s="7">
        <v>0</v>
      </c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</row>
    <row r="164" spans="1:17">
      <c r="A164" s="2">
        <v>2112</v>
      </c>
      <c r="B164" s="7">
        <v>0</v>
      </c>
      <c r="C164" s="7">
        <v>0</v>
      </c>
      <c r="D164" s="7">
        <v>0</v>
      </c>
      <c r="E164" s="7">
        <v>0</v>
      </c>
      <c r="F164" s="7">
        <v>0</v>
      </c>
      <c r="G164" s="7">
        <v>0</v>
      </c>
      <c r="H164" s="7">
        <v>0</v>
      </c>
      <c r="I164" s="7">
        <v>0</v>
      </c>
      <c r="J164" s="7">
        <v>0</v>
      </c>
      <c r="K164" s="7">
        <v>0</v>
      </c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</row>
    <row r="165" spans="1:17">
      <c r="A165" s="2">
        <v>2113</v>
      </c>
      <c r="B165" s="7">
        <v>0</v>
      </c>
      <c r="C165" s="7">
        <v>0</v>
      </c>
      <c r="D165" s="7">
        <v>0</v>
      </c>
      <c r="E165" s="7">
        <v>0</v>
      </c>
      <c r="F165" s="7">
        <v>0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</row>
    <row r="166" spans="1:17">
      <c r="A166" s="2">
        <v>2114</v>
      </c>
      <c r="B166" s="7">
        <v>0</v>
      </c>
      <c r="C166" s="7">
        <v>0</v>
      </c>
      <c r="D166" s="7">
        <v>0</v>
      </c>
      <c r="E166" s="7">
        <v>0</v>
      </c>
      <c r="F166" s="7">
        <v>0</v>
      </c>
      <c r="G166" s="7">
        <v>0</v>
      </c>
      <c r="H166" s="7">
        <v>0</v>
      </c>
      <c r="I166" s="7">
        <v>0</v>
      </c>
      <c r="J166" s="7">
        <v>0</v>
      </c>
      <c r="K166" s="7">
        <v>0</v>
      </c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</row>
    <row r="167" spans="1:17">
      <c r="A167" s="2">
        <v>2115</v>
      </c>
      <c r="B167" s="7">
        <v>0</v>
      </c>
      <c r="C167" s="7">
        <v>0</v>
      </c>
      <c r="D167" s="7">
        <v>0</v>
      </c>
      <c r="E167" s="7">
        <v>0</v>
      </c>
      <c r="F167" s="7">
        <v>0</v>
      </c>
      <c r="G167" s="7">
        <v>0</v>
      </c>
      <c r="H167" s="7">
        <v>0</v>
      </c>
      <c r="I167" s="7">
        <v>0</v>
      </c>
      <c r="J167" s="7">
        <v>0</v>
      </c>
      <c r="K167" s="7">
        <v>0</v>
      </c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</row>
    <row r="168" spans="1:17">
      <c r="A168" s="2">
        <v>2116</v>
      </c>
      <c r="B168" s="7">
        <v>0</v>
      </c>
      <c r="C168" s="7">
        <v>0</v>
      </c>
      <c r="D168" s="7">
        <v>0</v>
      </c>
      <c r="E168" s="7">
        <v>0</v>
      </c>
      <c r="F168" s="7">
        <v>0</v>
      </c>
      <c r="G168" s="7">
        <v>0</v>
      </c>
      <c r="H168" s="7">
        <v>0</v>
      </c>
      <c r="I168" s="7">
        <v>0</v>
      </c>
      <c r="J168" s="7">
        <v>0</v>
      </c>
      <c r="K168" s="7">
        <v>0</v>
      </c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</row>
    <row r="169" spans="1:17">
      <c r="A169" s="2">
        <v>2117</v>
      </c>
      <c r="B169" s="7">
        <v>0</v>
      </c>
      <c r="C169" s="7">
        <v>0</v>
      </c>
      <c r="D169" s="7">
        <v>0</v>
      </c>
      <c r="E169" s="7">
        <v>0</v>
      </c>
      <c r="F169" s="7">
        <v>0</v>
      </c>
      <c r="G169" s="7">
        <v>0</v>
      </c>
      <c r="H169" s="7">
        <v>0</v>
      </c>
      <c r="I169" s="7">
        <v>0</v>
      </c>
      <c r="J169" s="7">
        <v>0</v>
      </c>
      <c r="K169" s="7">
        <v>0</v>
      </c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</row>
    <row r="170" spans="1:17">
      <c r="A170" s="2">
        <v>2118</v>
      </c>
      <c r="B170" s="7">
        <v>0</v>
      </c>
      <c r="C170" s="7">
        <v>0</v>
      </c>
      <c r="D170" s="7">
        <v>0</v>
      </c>
      <c r="E170" s="7">
        <v>0</v>
      </c>
      <c r="F170" s="7">
        <v>0</v>
      </c>
      <c r="G170" s="7">
        <v>0</v>
      </c>
      <c r="H170" s="7">
        <v>0</v>
      </c>
      <c r="I170" s="7">
        <v>0</v>
      </c>
      <c r="J170" s="7">
        <v>0</v>
      </c>
      <c r="K170" s="7">
        <v>0</v>
      </c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</row>
    <row r="171" spans="1:17">
      <c r="A171" s="2">
        <v>2119</v>
      </c>
      <c r="B171" s="7">
        <v>0</v>
      </c>
      <c r="C171" s="7">
        <v>0</v>
      </c>
      <c r="D171" s="7">
        <v>0</v>
      </c>
      <c r="E171" s="7">
        <v>0</v>
      </c>
      <c r="F171" s="7">
        <v>0</v>
      </c>
      <c r="G171" s="7">
        <v>0</v>
      </c>
      <c r="H171" s="7">
        <v>0</v>
      </c>
      <c r="I171" s="7">
        <v>0</v>
      </c>
      <c r="J171" s="7">
        <v>0</v>
      </c>
      <c r="K171" s="7">
        <v>0</v>
      </c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</row>
    <row r="172" spans="1:17">
      <c r="A172" s="2">
        <v>2120</v>
      </c>
      <c r="B172" s="7">
        <v>0</v>
      </c>
      <c r="C172" s="7">
        <v>0</v>
      </c>
      <c r="D172" s="7">
        <v>0</v>
      </c>
      <c r="E172" s="7">
        <v>0</v>
      </c>
      <c r="F172" s="7">
        <v>0</v>
      </c>
      <c r="G172" s="7">
        <v>0</v>
      </c>
      <c r="H172" s="7">
        <v>0</v>
      </c>
      <c r="I172" s="7">
        <v>0</v>
      </c>
      <c r="J172" s="7">
        <v>0</v>
      </c>
      <c r="K172" s="7">
        <v>0</v>
      </c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</row>
    <row r="173" spans="1:17">
      <c r="A173" s="2">
        <v>2121</v>
      </c>
      <c r="B173" s="7">
        <v>0</v>
      </c>
      <c r="C173" s="7">
        <v>0</v>
      </c>
      <c r="D173" s="7">
        <v>0</v>
      </c>
      <c r="E173" s="7">
        <v>0</v>
      </c>
      <c r="F173" s="7">
        <v>0</v>
      </c>
      <c r="G173" s="7">
        <v>0</v>
      </c>
      <c r="H173" s="7">
        <v>0</v>
      </c>
      <c r="I173" s="7">
        <v>0</v>
      </c>
      <c r="J173" s="7">
        <v>0</v>
      </c>
      <c r="K173" s="7">
        <v>0</v>
      </c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</row>
    <row r="174" spans="1:17">
      <c r="A174" s="2">
        <v>2122</v>
      </c>
      <c r="B174" s="7">
        <v>0</v>
      </c>
      <c r="C174" s="7">
        <v>0</v>
      </c>
      <c r="D174" s="7">
        <v>0</v>
      </c>
      <c r="E174" s="7">
        <v>0</v>
      </c>
      <c r="F174" s="7">
        <v>0</v>
      </c>
      <c r="G174" s="7">
        <v>0</v>
      </c>
      <c r="H174" s="7">
        <v>0</v>
      </c>
      <c r="I174" s="7">
        <v>0</v>
      </c>
      <c r="J174" s="7">
        <v>0</v>
      </c>
      <c r="K174" s="7">
        <v>0</v>
      </c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</row>
    <row r="175" spans="1:17">
      <c r="A175" s="2">
        <v>2123</v>
      </c>
      <c r="B175" s="7">
        <v>0</v>
      </c>
      <c r="C175" s="7">
        <v>0</v>
      </c>
      <c r="D175" s="7">
        <v>0</v>
      </c>
      <c r="E175" s="7">
        <v>0</v>
      </c>
      <c r="F175" s="7">
        <v>0</v>
      </c>
      <c r="G175" s="7">
        <v>0</v>
      </c>
      <c r="H175" s="7">
        <v>0</v>
      </c>
      <c r="I175" s="7">
        <v>0</v>
      </c>
      <c r="J175" s="7">
        <v>0</v>
      </c>
      <c r="K175" s="7">
        <v>0</v>
      </c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</row>
    <row r="176" spans="1:17">
      <c r="A176" s="2">
        <v>2124</v>
      </c>
      <c r="B176" s="7">
        <v>0</v>
      </c>
      <c r="C176" s="7">
        <v>0</v>
      </c>
      <c r="D176" s="7">
        <v>0</v>
      </c>
      <c r="E176" s="7">
        <v>0</v>
      </c>
      <c r="F176" s="7">
        <v>0</v>
      </c>
      <c r="G176" s="7">
        <v>0</v>
      </c>
      <c r="H176" s="7">
        <v>0</v>
      </c>
      <c r="I176" s="7">
        <v>0</v>
      </c>
      <c r="J176" s="7">
        <v>0</v>
      </c>
      <c r="K176" s="7">
        <v>0</v>
      </c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</row>
    <row r="177" spans="1:17">
      <c r="A177" s="2">
        <v>2125</v>
      </c>
      <c r="B177" s="7">
        <v>0</v>
      </c>
      <c r="C177" s="7">
        <v>0</v>
      </c>
      <c r="D177" s="7">
        <v>0</v>
      </c>
      <c r="E177" s="7">
        <v>0</v>
      </c>
      <c r="F177" s="7">
        <v>0</v>
      </c>
      <c r="G177" s="7">
        <v>0</v>
      </c>
      <c r="H177" s="7">
        <v>0</v>
      </c>
      <c r="I177" s="7">
        <v>0</v>
      </c>
      <c r="J177" s="7">
        <v>0</v>
      </c>
      <c r="K177" s="7">
        <v>0</v>
      </c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</row>
    <row r="178" spans="1:17">
      <c r="A178" s="2">
        <v>2126</v>
      </c>
      <c r="B178" s="7">
        <v>0</v>
      </c>
      <c r="C178" s="7">
        <v>0</v>
      </c>
      <c r="D178" s="7">
        <v>0</v>
      </c>
      <c r="E178" s="7">
        <v>0</v>
      </c>
      <c r="F178" s="7">
        <v>0</v>
      </c>
      <c r="G178" s="7">
        <v>0</v>
      </c>
      <c r="H178" s="7">
        <v>0</v>
      </c>
      <c r="I178" s="7">
        <v>0</v>
      </c>
      <c r="J178" s="7">
        <v>0</v>
      </c>
      <c r="K178" s="7">
        <v>0</v>
      </c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</row>
    <row r="179" spans="1:17">
      <c r="A179" s="2">
        <v>2127</v>
      </c>
      <c r="B179" s="7">
        <v>0</v>
      </c>
      <c r="C179" s="7">
        <v>0</v>
      </c>
      <c r="D179" s="7">
        <v>0</v>
      </c>
      <c r="E179" s="7">
        <v>0</v>
      </c>
      <c r="F179" s="7">
        <v>0</v>
      </c>
      <c r="G179" s="7">
        <v>0</v>
      </c>
      <c r="H179" s="7">
        <v>0</v>
      </c>
      <c r="I179" s="7">
        <v>0</v>
      </c>
      <c r="J179" s="7">
        <v>0</v>
      </c>
      <c r="K179" s="7">
        <v>0</v>
      </c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</row>
    <row r="180" spans="1:17">
      <c r="A180" s="2">
        <v>2128</v>
      </c>
      <c r="B180" s="7">
        <v>0</v>
      </c>
      <c r="C180" s="7">
        <v>0</v>
      </c>
      <c r="D180" s="7">
        <v>0</v>
      </c>
      <c r="E180" s="7">
        <v>0</v>
      </c>
      <c r="F180" s="7">
        <v>0</v>
      </c>
      <c r="G180" s="7">
        <v>0</v>
      </c>
      <c r="H180" s="7">
        <v>0</v>
      </c>
      <c r="I180" s="7">
        <v>0</v>
      </c>
      <c r="J180" s="7">
        <v>0</v>
      </c>
      <c r="K180" s="7">
        <v>0</v>
      </c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</row>
    <row r="181" spans="1:17">
      <c r="A181" s="2">
        <v>2129</v>
      </c>
      <c r="B181" s="7">
        <v>0</v>
      </c>
      <c r="C181" s="7">
        <v>0</v>
      </c>
      <c r="D181" s="7">
        <v>0</v>
      </c>
      <c r="E181" s="7">
        <v>0</v>
      </c>
      <c r="F181" s="7">
        <v>0</v>
      </c>
      <c r="G181" s="7">
        <v>0</v>
      </c>
      <c r="H181" s="7">
        <v>0</v>
      </c>
      <c r="I181" s="7">
        <v>0</v>
      </c>
      <c r="J181" s="7">
        <v>0</v>
      </c>
      <c r="K181" s="7">
        <v>0</v>
      </c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</row>
    <row r="182" spans="1:17">
      <c r="A182" s="2">
        <v>2130</v>
      </c>
      <c r="B182" s="7">
        <v>0</v>
      </c>
      <c r="C182" s="7">
        <v>0</v>
      </c>
      <c r="D182" s="7">
        <v>0</v>
      </c>
      <c r="E182" s="7">
        <v>0</v>
      </c>
      <c r="F182" s="7">
        <v>0</v>
      </c>
      <c r="G182" s="7">
        <v>0</v>
      </c>
      <c r="H182" s="7">
        <v>0</v>
      </c>
      <c r="I182" s="7">
        <v>0</v>
      </c>
      <c r="J182" s="7">
        <v>0</v>
      </c>
      <c r="K182" s="7">
        <v>0</v>
      </c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</row>
    <row r="183" spans="1:17">
      <c r="A183" s="2">
        <v>2131</v>
      </c>
      <c r="B183" s="7">
        <v>0</v>
      </c>
      <c r="C183" s="7">
        <v>0</v>
      </c>
      <c r="D183" s="7">
        <v>0</v>
      </c>
      <c r="E183" s="7">
        <v>0</v>
      </c>
      <c r="F183" s="7">
        <v>0</v>
      </c>
      <c r="G183" s="7">
        <v>0</v>
      </c>
      <c r="H183" s="7">
        <v>0</v>
      </c>
      <c r="I183" s="7">
        <v>0</v>
      </c>
      <c r="J183" s="7">
        <v>0</v>
      </c>
      <c r="K183" s="7">
        <v>0</v>
      </c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</row>
    <row r="184" spans="1:17">
      <c r="A184" s="2">
        <v>2132</v>
      </c>
      <c r="B184" s="7">
        <v>0</v>
      </c>
      <c r="C184" s="7">
        <v>0</v>
      </c>
      <c r="D184" s="7">
        <v>0</v>
      </c>
      <c r="E184" s="7">
        <v>0</v>
      </c>
      <c r="F184" s="7">
        <v>0</v>
      </c>
      <c r="G184" s="7">
        <v>0</v>
      </c>
      <c r="H184" s="7">
        <v>0</v>
      </c>
      <c r="I184" s="7">
        <v>0</v>
      </c>
      <c r="J184" s="7">
        <v>0</v>
      </c>
      <c r="K184" s="7">
        <v>0</v>
      </c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</row>
    <row r="185" spans="1:17">
      <c r="A185" s="2">
        <v>2133</v>
      </c>
      <c r="B185" s="7">
        <v>0</v>
      </c>
      <c r="C185" s="7">
        <v>0</v>
      </c>
      <c r="D185" s="7">
        <v>0</v>
      </c>
      <c r="E185" s="7">
        <v>0</v>
      </c>
      <c r="F185" s="7">
        <v>0</v>
      </c>
      <c r="G185" s="7">
        <v>0</v>
      </c>
      <c r="H185" s="7">
        <v>0</v>
      </c>
      <c r="I185" s="7">
        <v>0</v>
      </c>
      <c r="J185" s="7">
        <v>0</v>
      </c>
      <c r="K185" s="7">
        <v>0</v>
      </c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</row>
    <row r="186" spans="1:17">
      <c r="A186" s="2">
        <v>2134</v>
      </c>
      <c r="B186" s="7">
        <v>0</v>
      </c>
      <c r="C186" s="7">
        <v>0</v>
      </c>
      <c r="D186" s="7">
        <v>0</v>
      </c>
      <c r="E186" s="7">
        <v>0</v>
      </c>
      <c r="F186" s="7">
        <v>0</v>
      </c>
      <c r="G186" s="7">
        <v>0</v>
      </c>
      <c r="H186" s="7">
        <v>0</v>
      </c>
      <c r="I186" s="7">
        <v>0</v>
      </c>
      <c r="J186" s="7">
        <v>0</v>
      </c>
      <c r="K186" s="7">
        <v>0</v>
      </c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</row>
    <row r="187" spans="1:17">
      <c r="A187" s="2">
        <v>2135</v>
      </c>
      <c r="B187" s="7">
        <v>0</v>
      </c>
      <c r="C187" s="7">
        <v>0</v>
      </c>
      <c r="D187" s="7">
        <v>0</v>
      </c>
      <c r="E187" s="7">
        <v>0</v>
      </c>
      <c r="F187" s="7">
        <v>0</v>
      </c>
      <c r="G187" s="7">
        <v>0</v>
      </c>
      <c r="H187" s="7">
        <v>0</v>
      </c>
      <c r="I187" s="7">
        <v>0</v>
      </c>
      <c r="J187" s="7">
        <v>0</v>
      </c>
      <c r="K187" s="7">
        <v>0</v>
      </c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</row>
    <row r="188" spans="1:17">
      <c r="A188" s="2">
        <v>2136</v>
      </c>
      <c r="B188" s="7">
        <v>0</v>
      </c>
      <c r="C188" s="7">
        <v>0</v>
      </c>
      <c r="D188" s="7">
        <v>0</v>
      </c>
      <c r="E188" s="7">
        <v>0</v>
      </c>
      <c r="F188" s="7">
        <v>0</v>
      </c>
      <c r="G188" s="7">
        <v>0</v>
      </c>
      <c r="H188" s="7">
        <v>0</v>
      </c>
      <c r="I188" s="7">
        <v>0</v>
      </c>
      <c r="J188" s="7">
        <v>0</v>
      </c>
      <c r="K188" s="7">
        <v>0</v>
      </c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</row>
    <row r="189" spans="1:17">
      <c r="A189" s="2">
        <v>2137</v>
      </c>
      <c r="B189" s="7">
        <v>0</v>
      </c>
      <c r="C189" s="7">
        <v>0</v>
      </c>
      <c r="D189" s="7">
        <v>0</v>
      </c>
      <c r="E189" s="7">
        <v>0</v>
      </c>
      <c r="F189" s="7">
        <v>0</v>
      </c>
      <c r="G189" s="7">
        <v>0</v>
      </c>
      <c r="H189" s="7">
        <v>0</v>
      </c>
      <c r="I189" s="7">
        <v>0</v>
      </c>
      <c r="J189" s="7">
        <v>0</v>
      </c>
      <c r="K189" s="7">
        <v>0</v>
      </c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</row>
    <row r="190" spans="1:17">
      <c r="A190" s="2">
        <v>2138</v>
      </c>
      <c r="B190" s="7">
        <v>0</v>
      </c>
      <c r="C190" s="7">
        <v>0</v>
      </c>
      <c r="D190" s="7">
        <v>0</v>
      </c>
      <c r="E190" s="7">
        <v>0</v>
      </c>
      <c r="F190" s="7">
        <v>0</v>
      </c>
      <c r="G190" s="7">
        <v>0</v>
      </c>
      <c r="H190" s="7">
        <v>0</v>
      </c>
      <c r="I190" s="7">
        <v>0</v>
      </c>
      <c r="J190" s="7">
        <v>0</v>
      </c>
      <c r="K190" s="7">
        <v>0</v>
      </c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</row>
    <row r="191" spans="1:17">
      <c r="A191" s="2">
        <v>2139</v>
      </c>
      <c r="B191" s="7">
        <v>0</v>
      </c>
      <c r="C191" s="7">
        <v>0</v>
      </c>
      <c r="D191" s="7">
        <v>0</v>
      </c>
      <c r="E191" s="7">
        <v>0</v>
      </c>
      <c r="F191" s="7">
        <v>0</v>
      </c>
      <c r="G191" s="7">
        <v>0</v>
      </c>
      <c r="H191" s="7">
        <v>0</v>
      </c>
      <c r="I191" s="7">
        <v>0</v>
      </c>
      <c r="J191" s="7">
        <v>0</v>
      </c>
      <c r="K191" s="7">
        <v>0</v>
      </c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</row>
    <row r="192" spans="1:17">
      <c r="A192" s="2">
        <v>2140</v>
      </c>
      <c r="B192" s="7">
        <v>0</v>
      </c>
      <c r="C192" s="7">
        <v>0</v>
      </c>
      <c r="D192" s="7">
        <v>0</v>
      </c>
      <c r="E192" s="7">
        <v>0</v>
      </c>
      <c r="F192" s="7">
        <v>0</v>
      </c>
      <c r="G192" s="7">
        <v>0</v>
      </c>
      <c r="H192" s="7">
        <v>0</v>
      </c>
      <c r="I192" s="7">
        <v>0</v>
      </c>
      <c r="J192" s="7">
        <v>0</v>
      </c>
      <c r="K192" s="7">
        <v>0</v>
      </c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</row>
    <row r="193" spans="1:17">
      <c r="A193" s="2">
        <v>2141</v>
      </c>
      <c r="B193" s="7">
        <v>0</v>
      </c>
      <c r="C193" s="7">
        <v>0</v>
      </c>
      <c r="D193" s="7">
        <v>0</v>
      </c>
      <c r="E193" s="7">
        <v>0</v>
      </c>
      <c r="F193" s="7">
        <v>0</v>
      </c>
      <c r="G193" s="7">
        <v>0</v>
      </c>
      <c r="H193" s="7">
        <v>0</v>
      </c>
      <c r="I193" s="7">
        <v>0</v>
      </c>
      <c r="J193" s="7">
        <v>0</v>
      </c>
      <c r="K193" s="7">
        <v>0</v>
      </c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</row>
    <row r="194" spans="1:17">
      <c r="A194" s="2">
        <v>2142</v>
      </c>
      <c r="B194" s="7">
        <v>0</v>
      </c>
      <c r="C194" s="7">
        <v>0</v>
      </c>
      <c r="D194" s="7">
        <v>0</v>
      </c>
      <c r="E194" s="7">
        <v>0</v>
      </c>
      <c r="F194" s="7">
        <v>0</v>
      </c>
      <c r="G194" s="7">
        <v>0</v>
      </c>
      <c r="H194" s="7">
        <v>0</v>
      </c>
      <c r="I194" s="7">
        <v>0</v>
      </c>
      <c r="J194" s="7">
        <v>0</v>
      </c>
      <c r="K194" s="7">
        <v>0</v>
      </c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</row>
    <row r="195" spans="1:17">
      <c r="A195" s="2">
        <v>2143</v>
      </c>
      <c r="B195" s="7">
        <v>0</v>
      </c>
      <c r="C195" s="7">
        <v>0</v>
      </c>
      <c r="D195" s="7">
        <v>0</v>
      </c>
      <c r="E195" s="7">
        <v>0</v>
      </c>
      <c r="F195" s="7">
        <v>0</v>
      </c>
      <c r="G195" s="7">
        <v>0</v>
      </c>
      <c r="H195" s="7">
        <v>0</v>
      </c>
      <c r="I195" s="7">
        <v>0</v>
      </c>
      <c r="J195" s="7">
        <v>0</v>
      </c>
      <c r="K195" s="7">
        <v>0</v>
      </c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</row>
    <row r="196" spans="1:17">
      <c r="A196" s="2">
        <v>2144</v>
      </c>
      <c r="B196" s="7">
        <v>0</v>
      </c>
      <c r="C196" s="7">
        <v>0</v>
      </c>
      <c r="D196" s="7">
        <v>0</v>
      </c>
      <c r="E196" s="7">
        <v>0</v>
      </c>
      <c r="F196" s="7">
        <v>0</v>
      </c>
      <c r="G196" s="7">
        <v>0</v>
      </c>
      <c r="H196" s="7">
        <v>0</v>
      </c>
      <c r="I196" s="7">
        <v>0</v>
      </c>
      <c r="J196" s="7">
        <v>0</v>
      </c>
      <c r="K196" s="7">
        <v>0</v>
      </c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</row>
    <row r="197" spans="1:17">
      <c r="A197" s="2">
        <v>2145</v>
      </c>
      <c r="B197" s="7">
        <v>0</v>
      </c>
      <c r="C197" s="7">
        <v>0</v>
      </c>
      <c r="D197" s="7">
        <v>0</v>
      </c>
      <c r="E197" s="7">
        <v>0</v>
      </c>
      <c r="F197" s="7">
        <v>0</v>
      </c>
      <c r="G197" s="7">
        <v>0</v>
      </c>
      <c r="H197" s="7">
        <v>0</v>
      </c>
      <c r="I197" s="7">
        <v>0</v>
      </c>
      <c r="J197" s="7">
        <v>0</v>
      </c>
      <c r="K197" s="7">
        <v>0</v>
      </c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</row>
    <row r="198" spans="1:17">
      <c r="A198" s="2">
        <v>2146</v>
      </c>
      <c r="B198" s="7">
        <v>0</v>
      </c>
      <c r="C198" s="7">
        <v>0</v>
      </c>
      <c r="D198" s="7">
        <v>0</v>
      </c>
      <c r="E198" s="7">
        <v>0</v>
      </c>
      <c r="F198" s="7">
        <v>0</v>
      </c>
      <c r="G198" s="7">
        <v>0</v>
      </c>
      <c r="H198" s="7">
        <v>0</v>
      </c>
      <c r="I198" s="7">
        <v>0</v>
      </c>
      <c r="J198" s="7">
        <v>0</v>
      </c>
      <c r="K198" s="7">
        <v>0</v>
      </c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</row>
    <row r="199" spans="1:17">
      <c r="A199" s="2">
        <v>2147</v>
      </c>
      <c r="B199" s="7">
        <v>0</v>
      </c>
      <c r="C199" s="7">
        <v>0</v>
      </c>
      <c r="D199" s="7">
        <v>0</v>
      </c>
      <c r="E199" s="7">
        <v>0</v>
      </c>
      <c r="F199" s="7">
        <v>0</v>
      </c>
      <c r="G199" s="7">
        <v>0</v>
      </c>
      <c r="H199" s="7">
        <v>0</v>
      </c>
      <c r="I199" s="7">
        <v>0</v>
      </c>
      <c r="J199" s="7">
        <v>0</v>
      </c>
      <c r="K199" s="7">
        <v>0</v>
      </c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</row>
    <row r="200" spans="1:17">
      <c r="A200" s="2">
        <v>2148</v>
      </c>
      <c r="B200" s="7">
        <v>0</v>
      </c>
      <c r="C200" s="7">
        <v>0</v>
      </c>
      <c r="D200" s="7">
        <v>0</v>
      </c>
      <c r="E200" s="7">
        <v>0</v>
      </c>
      <c r="F200" s="7">
        <v>0</v>
      </c>
      <c r="G200" s="7">
        <v>0</v>
      </c>
      <c r="H200" s="7">
        <v>0</v>
      </c>
      <c r="I200" s="7">
        <v>0</v>
      </c>
      <c r="J200" s="7">
        <v>0</v>
      </c>
      <c r="K200" s="7">
        <v>0</v>
      </c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</row>
    <row r="201" spans="1:17">
      <c r="A201" s="2">
        <v>2149</v>
      </c>
      <c r="B201" s="7">
        <v>0</v>
      </c>
      <c r="C201" s="7">
        <v>0</v>
      </c>
      <c r="D201" s="7">
        <v>0</v>
      </c>
      <c r="E201" s="7">
        <v>0</v>
      </c>
      <c r="F201" s="7">
        <v>0</v>
      </c>
      <c r="G201" s="7">
        <v>0</v>
      </c>
      <c r="H201" s="7">
        <v>0</v>
      </c>
      <c r="I201" s="7">
        <v>0</v>
      </c>
      <c r="J201" s="7">
        <v>0</v>
      </c>
      <c r="K201" s="7">
        <v>0</v>
      </c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</row>
    <row r="202" spans="1:17">
      <c r="A202" s="2">
        <v>2150</v>
      </c>
      <c r="B202" s="7">
        <v>0</v>
      </c>
      <c r="C202" s="7">
        <v>0</v>
      </c>
      <c r="D202" s="7">
        <v>0</v>
      </c>
      <c r="E202" s="7">
        <v>0</v>
      </c>
      <c r="F202" s="7">
        <v>0</v>
      </c>
      <c r="G202" s="7">
        <v>0</v>
      </c>
      <c r="H202" s="7">
        <v>0</v>
      </c>
      <c r="I202" s="7">
        <v>0</v>
      </c>
      <c r="J202" s="7">
        <v>0</v>
      </c>
      <c r="K202" s="7">
        <v>0</v>
      </c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</row>
    <row r="203" spans="1:17">
      <c r="A203" s="2">
        <v>2151</v>
      </c>
      <c r="B203" s="7">
        <v>0</v>
      </c>
      <c r="C203" s="7">
        <v>0</v>
      </c>
      <c r="D203" s="7">
        <v>0</v>
      </c>
      <c r="E203" s="7">
        <v>0</v>
      </c>
      <c r="F203" s="7">
        <v>0</v>
      </c>
      <c r="G203" s="7">
        <v>0</v>
      </c>
      <c r="H203" s="7">
        <v>0</v>
      </c>
      <c r="I203" s="7">
        <v>0</v>
      </c>
      <c r="J203" s="7">
        <v>0</v>
      </c>
      <c r="K203" s="7">
        <v>0</v>
      </c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</row>
    <row r="204" spans="1:17">
      <c r="A204" s="2">
        <v>2152</v>
      </c>
      <c r="B204" s="7">
        <v>0</v>
      </c>
      <c r="C204" s="7">
        <v>0</v>
      </c>
      <c r="D204" s="7">
        <v>0</v>
      </c>
      <c r="E204" s="7">
        <v>0</v>
      </c>
      <c r="F204" s="7">
        <v>0</v>
      </c>
      <c r="G204" s="7">
        <v>0</v>
      </c>
      <c r="H204" s="7">
        <v>0</v>
      </c>
      <c r="I204" s="7">
        <v>0</v>
      </c>
      <c r="J204" s="7">
        <v>0</v>
      </c>
      <c r="K204" s="7">
        <v>0</v>
      </c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</row>
    <row r="205" spans="1:17">
      <c r="A205" s="2">
        <v>2153</v>
      </c>
      <c r="B205" s="7">
        <v>0</v>
      </c>
      <c r="C205" s="7">
        <v>0</v>
      </c>
      <c r="D205" s="7">
        <v>0</v>
      </c>
      <c r="E205" s="7">
        <v>0</v>
      </c>
      <c r="F205" s="7">
        <v>0</v>
      </c>
      <c r="G205" s="7">
        <v>0</v>
      </c>
      <c r="H205" s="7">
        <v>0</v>
      </c>
      <c r="I205" s="7">
        <v>0</v>
      </c>
      <c r="J205" s="7">
        <v>0</v>
      </c>
      <c r="K205" s="7">
        <v>0</v>
      </c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</row>
    <row r="206" spans="1:17">
      <c r="A206" s="2">
        <v>2154</v>
      </c>
      <c r="B206" s="7">
        <v>0</v>
      </c>
      <c r="C206" s="7">
        <v>0</v>
      </c>
      <c r="D206" s="7">
        <v>0</v>
      </c>
      <c r="E206" s="7">
        <v>0</v>
      </c>
      <c r="F206" s="7">
        <v>0</v>
      </c>
      <c r="G206" s="7">
        <v>0</v>
      </c>
      <c r="H206" s="7">
        <v>0</v>
      </c>
      <c r="I206" s="7">
        <v>0</v>
      </c>
      <c r="J206" s="7">
        <v>0</v>
      </c>
      <c r="K206" s="7">
        <v>0</v>
      </c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</row>
    <row r="207" spans="1:17">
      <c r="A207" s="2">
        <v>2155</v>
      </c>
      <c r="B207" s="7">
        <v>0</v>
      </c>
      <c r="C207" s="7">
        <v>0</v>
      </c>
      <c r="D207" s="7">
        <v>0</v>
      </c>
      <c r="E207" s="7">
        <v>0</v>
      </c>
      <c r="F207" s="7">
        <v>0</v>
      </c>
      <c r="G207" s="7">
        <v>0</v>
      </c>
      <c r="H207" s="7">
        <v>0</v>
      </c>
      <c r="I207" s="7">
        <v>0</v>
      </c>
      <c r="J207" s="7">
        <v>0</v>
      </c>
      <c r="K207" s="7">
        <v>0</v>
      </c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</row>
    <row r="208" spans="1:17">
      <c r="A208" s="2">
        <v>2156</v>
      </c>
      <c r="B208" s="7">
        <v>0</v>
      </c>
      <c r="C208" s="7">
        <v>0</v>
      </c>
      <c r="D208" s="7">
        <v>0</v>
      </c>
      <c r="E208" s="7">
        <v>0</v>
      </c>
      <c r="F208" s="7">
        <v>0</v>
      </c>
      <c r="G208" s="7">
        <v>0</v>
      </c>
      <c r="H208" s="7">
        <v>0</v>
      </c>
      <c r="I208" s="7">
        <v>0</v>
      </c>
      <c r="J208" s="7">
        <v>0</v>
      </c>
      <c r="K208" s="7">
        <v>0</v>
      </c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</row>
    <row r="209" spans="1:17">
      <c r="A209" s="2">
        <v>2157</v>
      </c>
      <c r="B209" s="7">
        <v>0</v>
      </c>
      <c r="C209" s="7">
        <v>0</v>
      </c>
      <c r="D209" s="7">
        <v>0</v>
      </c>
      <c r="E209" s="7">
        <v>0</v>
      </c>
      <c r="F209" s="7">
        <v>0</v>
      </c>
      <c r="G209" s="7">
        <v>0</v>
      </c>
      <c r="H209" s="7">
        <v>0</v>
      </c>
      <c r="I209" s="7">
        <v>0</v>
      </c>
      <c r="J209" s="7">
        <v>0</v>
      </c>
      <c r="K209" s="7">
        <v>0</v>
      </c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</row>
    <row r="210" spans="1:17">
      <c r="A210" s="2">
        <v>2158</v>
      </c>
      <c r="B210" s="7">
        <v>0</v>
      </c>
      <c r="C210" s="7">
        <v>0</v>
      </c>
      <c r="D210" s="7">
        <v>0</v>
      </c>
      <c r="E210" s="7">
        <v>0</v>
      </c>
      <c r="F210" s="7">
        <v>0</v>
      </c>
      <c r="G210" s="7">
        <v>0</v>
      </c>
      <c r="H210" s="7">
        <v>0</v>
      </c>
      <c r="I210" s="7">
        <v>0</v>
      </c>
      <c r="J210" s="7">
        <v>0</v>
      </c>
      <c r="K210" s="7">
        <v>0</v>
      </c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</row>
    <row r="211" spans="1:17">
      <c r="A211" s="2">
        <v>2159</v>
      </c>
      <c r="B211" s="7">
        <v>0</v>
      </c>
      <c r="C211" s="7">
        <v>0</v>
      </c>
      <c r="D211" s="7">
        <v>0</v>
      </c>
      <c r="E211" s="7">
        <v>0</v>
      </c>
      <c r="F211" s="7">
        <v>0</v>
      </c>
      <c r="G211" s="7">
        <v>0</v>
      </c>
      <c r="H211" s="7">
        <v>0</v>
      </c>
      <c r="I211" s="7">
        <v>0</v>
      </c>
      <c r="J211" s="7">
        <v>0</v>
      </c>
      <c r="K211" s="7">
        <v>0</v>
      </c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</row>
    <row r="212" spans="1:17">
      <c r="A212" s="2">
        <v>2160</v>
      </c>
      <c r="B212" s="7">
        <v>0</v>
      </c>
      <c r="C212" s="7">
        <v>0</v>
      </c>
      <c r="D212" s="7">
        <v>0</v>
      </c>
      <c r="E212" s="7">
        <v>0</v>
      </c>
      <c r="F212" s="7">
        <v>0</v>
      </c>
      <c r="G212" s="7">
        <v>0</v>
      </c>
      <c r="H212" s="7">
        <v>0</v>
      </c>
      <c r="I212" s="7">
        <v>0</v>
      </c>
      <c r="J212" s="7">
        <v>0</v>
      </c>
      <c r="K212" s="7">
        <v>0</v>
      </c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</row>
    <row r="213" spans="1:17">
      <c r="A213" s="2">
        <v>2161</v>
      </c>
      <c r="B213" s="7">
        <v>0</v>
      </c>
      <c r="C213" s="7">
        <v>0</v>
      </c>
      <c r="D213" s="7">
        <v>0</v>
      </c>
      <c r="E213" s="7">
        <v>0</v>
      </c>
      <c r="F213" s="7">
        <v>0</v>
      </c>
      <c r="G213" s="7">
        <v>0</v>
      </c>
      <c r="H213" s="7">
        <v>0</v>
      </c>
      <c r="I213" s="7">
        <v>0</v>
      </c>
      <c r="J213" s="7">
        <v>0</v>
      </c>
      <c r="K213" s="7">
        <v>0</v>
      </c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</row>
    <row r="214" spans="1:17">
      <c r="A214" s="2">
        <v>2162</v>
      </c>
      <c r="B214" s="7">
        <v>0</v>
      </c>
      <c r="C214" s="7">
        <v>0</v>
      </c>
      <c r="D214" s="7">
        <v>0</v>
      </c>
      <c r="E214" s="7">
        <v>0</v>
      </c>
      <c r="F214" s="7">
        <v>0</v>
      </c>
      <c r="G214" s="7">
        <v>0</v>
      </c>
      <c r="H214" s="7">
        <v>0</v>
      </c>
      <c r="I214" s="7">
        <v>0</v>
      </c>
      <c r="J214" s="7">
        <v>0</v>
      </c>
      <c r="K214" s="7">
        <v>0</v>
      </c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</row>
    <row r="215" spans="1:17">
      <c r="A215" s="2">
        <v>2163</v>
      </c>
      <c r="B215" s="7">
        <v>0</v>
      </c>
      <c r="C215" s="7">
        <v>0</v>
      </c>
      <c r="D215" s="7">
        <v>0</v>
      </c>
      <c r="E215" s="7">
        <v>0</v>
      </c>
      <c r="F215" s="7">
        <v>0</v>
      </c>
      <c r="G215" s="7">
        <v>0</v>
      </c>
      <c r="H215" s="7">
        <v>0</v>
      </c>
      <c r="I215" s="7">
        <v>0</v>
      </c>
      <c r="J215" s="7">
        <v>0</v>
      </c>
      <c r="K215" s="7">
        <v>0</v>
      </c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</row>
    <row r="216" spans="1:17">
      <c r="A216" s="2">
        <v>2164</v>
      </c>
      <c r="B216" s="7">
        <v>0</v>
      </c>
      <c r="C216" s="7">
        <v>0</v>
      </c>
      <c r="D216" s="7">
        <v>0</v>
      </c>
      <c r="E216" s="7">
        <v>0</v>
      </c>
      <c r="F216" s="7">
        <v>0</v>
      </c>
      <c r="G216" s="7">
        <v>0</v>
      </c>
      <c r="H216" s="7">
        <v>0</v>
      </c>
      <c r="I216" s="7">
        <v>0</v>
      </c>
      <c r="J216" s="7">
        <v>0</v>
      </c>
      <c r="K216" s="7">
        <v>0</v>
      </c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</row>
    <row r="217" spans="1:17">
      <c r="A217" s="2">
        <v>2165</v>
      </c>
      <c r="B217" s="7">
        <v>0</v>
      </c>
      <c r="C217" s="7">
        <v>0</v>
      </c>
      <c r="D217" s="7">
        <v>0</v>
      </c>
      <c r="E217" s="7">
        <v>0</v>
      </c>
      <c r="F217" s="7">
        <v>0</v>
      </c>
      <c r="G217" s="7">
        <v>0</v>
      </c>
      <c r="H217" s="7">
        <v>0</v>
      </c>
      <c r="I217" s="7">
        <v>0</v>
      </c>
      <c r="J217" s="7">
        <v>0</v>
      </c>
      <c r="K217" s="7">
        <v>0</v>
      </c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</row>
    <row r="218" spans="1:17">
      <c r="A218" s="2">
        <v>2166</v>
      </c>
      <c r="B218" s="7">
        <v>0</v>
      </c>
      <c r="C218" s="7">
        <v>0</v>
      </c>
      <c r="D218" s="7">
        <v>0</v>
      </c>
      <c r="E218" s="7">
        <v>0</v>
      </c>
      <c r="F218" s="7">
        <v>0</v>
      </c>
      <c r="G218" s="7">
        <v>0</v>
      </c>
      <c r="H218" s="7">
        <v>0</v>
      </c>
      <c r="I218" s="7">
        <v>0</v>
      </c>
      <c r="J218" s="7">
        <v>0</v>
      </c>
      <c r="K218" s="7">
        <v>0</v>
      </c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</row>
    <row r="219" spans="1:17">
      <c r="A219" s="2">
        <v>2167</v>
      </c>
      <c r="B219" s="7">
        <v>0</v>
      </c>
      <c r="C219" s="7">
        <v>0</v>
      </c>
      <c r="D219" s="7">
        <v>0</v>
      </c>
      <c r="E219" s="7">
        <v>0</v>
      </c>
      <c r="F219" s="7">
        <v>0</v>
      </c>
      <c r="G219" s="7">
        <v>0</v>
      </c>
      <c r="H219" s="7">
        <v>0</v>
      </c>
      <c r="I219" s="7">
        <v>0</v>
      </c>
      <c r="J219" s="7">
        <v>0</v>
      </c>
      <c r="K219" s="7">
        <v>0</v>
      </c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</row>
    <row r="220" spans="1:17">
      <c r="A220" s="2">
        <v>2168</v>
      </c>
      <c r="B220" s="7">
        <v>0</v>
      </c>
      <c r="C220" s="7">
        <v>0</v>
      </c>
      <c r="D220" s="7">
        <v>0</v>
      </c>
      <c r="E220" s="7">
        <v>0</v>
      </c>
      <c r="F220" s="7">
        <v>0</v>
      </c>
      <c r="G220" s="7">
        <v>0</v>
      </c>
      <c r="H220" s="7">
        <v>0</v>
      </c>
      <c r="I220" s="7">
        <v>0</v>
      </c>
      <c r="J220" s="7">
        <v>0</v>
      </c>
      <c r="K220" s="7">
        <v>0</v>
      </c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</row>
    <row r="221" spans="1:17">
      <c r="A221" s="2">
        <v>2169</v>
      </c>
      <c r="B221" s="7">
        <v>0</v>
      </c>
      <c r="C221" s="7">
        <v>0</v>
      </c>
      <c r="D221" s="7">
        <v>0</v>
      </c>
      <c r="E221" s="7">
        <v>0</v>
      </c>
      <c r="F221" s="7">
        <v>0</v>
      </c>
      <c r="G221" s="7">
        <v>0</v>
      </c>
      <c r="H221" s="7">
        <v>0</v>
      </c>
      <c r="I221" s="7">
        <v>0</v>
      </c>
      <c r="J221" s="7">
        <v>0</v>
      </c>
      <c r="K221" s="7">
        <v>0</v>
      </c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</row>
    <row r="222" spans="1:17">
      <c r="A222" s="2">
        <v>2170</v>
      </c>
      <c r="B222" s="7">
        <v>0</v>
      </c>
      <c r="C222" s="7">
        <v>0</v>
      </c>
      <c r="D222" s="7">
        <v>0</v>
      </c>
      <c r="E222" s="7">
        <v>0</v>
      </c>
      <c r="F222" s="7">
        <v>0</v>
      </c>
      <c r="G222" s="7">
        <v>0</v>
      </c>
      <c r="H222" s="7">
        <v>0</v>
      </c>
      <c r="I222" s="7">
        <v>0</v>
      </c>
      <c r="J222" s="7">
        <v>0</v>
      </c>
      <c r="K222" s="7">
        <v>0</v>
      </c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</row>
    <row r="223" spans="1:17">
      <c r="A223" s="2">
        <v>2171</v>
      </c>
      <c r="B223" s="7">
        <v>0</v>
      </c>
      <c r="C223" s="7">
        <v>0</v>
      </c>
      <c r="D223" s="7">
        <v>0</v>
      </c>
      <c r="E223" s="7">
        <v>0</v>
      </c>
      <c r="F223" s="7">
        <v>0</v>
      </c>
      <c r="G223" s="7">
        <v>0</v>
      </c>
      <c r="H223" s="7">
        <v>0</v>
      </c>
      <c r="I223" s="7">
        <v>0</v>
      </c>
      <c r="J223" s="7">
        <v>0</v>
      </c>
      <c r="K223" s="7">
        <v>0</v>
      </c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</row>
    <row r="224" spans="1:17">
      <c r="A224" s="2">
        <v>2172</v>
      </c>
      <c r="B224" s="7">
        <v>0</v>
      </c>
      <c r="C224" s="7">
        <v>0</v>
      </c>
      <c r="D224" s="7">
        <v>0</v>
      </c>
      <c r="E224" s="7">
        <v>0</v>
      </c>
      <c r="F224" s="7">
        <v>0</v>
      </c>
      <c r="G224" s="7">
        <v>0</v>
      </c>
      <c r="H224" s="7">
        <v>0</v>
      </c>
      <c r="I224" s="7">
        <v>0</v>
      </c>
      <c r="J224" s="7">
        <v>0</v>
      </c>
      <c r="K224" s="7">
        <v>0</v>
      </c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</row>
    <row r="225" spans="1:17">
      <c r="A225" s="2">
        <v>2173</v>
      </c>
      <c r="B225" s="7">
        <v>0</v>
      </c>
      <c r="C225" s="7">
        <v>0</v>
      </c>
      <c r="D225" s="7">
        <v>0</v>
      </c>
      <c r="E225" s="7">
        <v>0</v>
      </c>
      <c r="F225" s="7">
        <v>0</v>
      </c>
      <c r="G225" s="7">
        <v>0</v>
      </c>
      <c r="H225" s="7">
        <v>0</v>
      </c>
      <c r="I225" s="7">
        <v>0</v>
      </c>
      <c r="J225" s="7">
        <v>0</v>
      </c>
      <c r="K225" s="7">
        <v>0</v>
      </c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</row>
    <row r="226" spans="1:17">
      <c r="A226" s="2">
        <v>2174</v>
      </c>
      <c r="B226" s="7">
        <v>0</v>
      </c>
      <c r="C226" s="7">
        <v>0</v>
      </c>
      <c r="D226" s="7">
        <v>0</v>
      </c>
      <c r="E226" s="7">
        <v>0</v>
      </c>
      <c r="F226" s="7">
        <v>0</v>
      </c>
      <c r="G226" s="7">
        <v>0</v>
      </c>
      <c r="H226" s="7">
        <v>0</v>
      </c>
      <c r="I226" s="7">
        <v>0</v>
      </c>
      <c r="J226" s="7">
        <v>0</v>
      </c>
      <c r="K226" s="7">
        <v>0</v>
      </c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</row>
    <row r="227" spans="1:17">
      <c r="A227" s="2">
        <v>2175</v>
      </c>
      <c r="B227" s="7">
        <v>0</v>
      </c>
      <c r="C227" s="7">
        <v>0</v>
      </c>
      <c r="D227" s="7">
        <v>0</v>
      </c>
      <c r="E227" s="7">
        <v>0</v>
      </c>
      <c r="F227" s="7">
        <v>0</v>
      </c>
      <c r="G227" s="7">
        <v>0</v>
      </c>
      <c r="H227" s="7">
        <v>0</v>
      </c>
      <c r="I227" s="7">
        <v>0</v>
      </c>
      <c r="J227" s="7">
        <v>0</v>
      </c>
      <c r="K227" s="7">
        <v>0</v>
      </c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</row>
    <row r="228" spans="1:17">
      <c r="A228" s="2">
        <v>2176</v>
      </c>
      <c r="B228" s="7">
        <v>0</v>
      </c>
      <c r="C228" s="7">
        <v>0</v>
      </c>
      <c r="D228" s="7">
        <v>0</v>
      </c>
      <c r="E228" s="7">
        <v>0</v>
      </c>
      <c r="F228" s="7">
        <v>0</v>
      </c>
      <c r="G228" s="7">
        <v>0</v>
      </c>
      <c r="H228" s="7">
        <v>0</v>
      </c>
      <c r="I228" s="7">
        <v>0</v>
      </c>
      <c r="J228" s="7">
        <v>0</v>
      </c>
      <c r="K228" s="7">
        <v>0</v>
      </c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</row>
    <row r="229" spans="1:17">
      <c r="A229" s="2">
        <v>2177</v>
      </c>
      <c r="B229" s="7">
        <v>0</v>
      </c>
      <c r="C229" s="7">
        <v>0</v>
      </c>
      <c r="D229" s="7">
        <v>0</v>
      </c>
      <c r="E229" s="7">
        <v>0</v>
      </c>
      <c r="F229" s="7">
        <v>0</v>
      </c>
      <c r="G229" s="7">
        <v>0</v>
      </c>
      <c r="H229" s="7">
        <v>0</v>
      </c>
      <c r="I229" s="7">
        <v>0</v>
      </c>
      <c r="J229" s="7">
        <v>0</v>
      </c>
      <c r="K229" s="7">
        <v>0</v>
      </c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</row>
    <row r="230" spans="1:17">
      <c r="A230" s="2">
        <v>2178</v>
      </c>
      <c r="B230" s="7">
        <v>0</v>
      </c>
      <c r="C230" s="7">
        <v>0</v>
      </c>
      <c r="D230" s="7">
        <v>0</v>
      </c>
      <c r="E230" s="7">
        <v>0</v>
      </c>
      <c r="F230" s="7">
        <v>0</v>
      </c>
      <c r="G230" s="7">
        <v>0</v>
      </c>
      <c r="H230" s="7">
        <v>0</v>
      </c>
      <c r="I230" s="7">
        <v>0</v>
      </c>
      <c r="J230" s="7">
        <v>0</v>
      </c>
      <c r="K230" s="7">
        <v>0</v>
      </c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</row>
    <row r="231" spans="1:17">
      <c r="A231" s="2">
        <v>2179</v>
      </c>
      <c r="B231" s="7">
        <v>0</v>
      </c>
      <c r="C231" s="7">
        <v>0</v>
      </c>
      <c r="D231" s="7">
        <v>0</v>
      </c>
      <c r="E231" s="7">
        <v>0</v>
      </c>
      <c r="F231" s="7">
        <v>0</v>
      </c>
      <c r="G231" s="7">
        <v>0</v>
      </c>
      <c r="H231" s="7">
        <v>0</v>
      </c>
      <c r="I231" s="7">
        <v>0</v>
      </c>
      <c r="J231" s="7">
        <v>0</v>
      </c>
      <c r="K231" s="7">
        <v>0</v>
      </c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</row>
    <row r="232" spans="1:17">
      <c r="A232" s="2">
        <v>2180</v>
      </c>
      <c r="B232" s="7">
        <v>0</v>
      </c>
      <c r="C232" s="7">
        <v>0</v>
      </c>
      <c r="D232" s="7">
        <v>0</v>
      </c>
      <c r="E232" s="7">
        <v>0</v>
      </c>
      <c r="F232" s="7">
        <v>0</v>
      </c>
      <c r="G232" s="7">
        <v>0</v>
      </c>
      <c r="H232" s="7">
        <v>0</v>
      </c>
      <c r="I232" s="7">
        <v>0</v>
      </c>
      <c r="J232" s="7">
        <v>0</v>
      </c>
      <c r="K232" s="7">
        <v>0</v>
      </c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</row>
    <row r="233" spans="1:17">
      <c r="A233" s="2">
        <v>2181</v>
      </c>
      <c r="B233" s="7">
        <v>0</v>
      </c>
      <c r="C233" s="7">
        <v>0</v>
      </c>
      <c r="D233" s="7">
        <v>0</v>
      </c>
      <c r="E233" s="7">
        <v>0</v>
      </c>
      <c r="F233" s="7">
        <v>0</v>
      </c>
      <c r="G233" s="7">
        <v>0</v>
      </c>
      <c r="H233" s="7">
        <v>0</v>
      </c>
      <c r="I233" s="7">
        <v>0</v>
      </c>
      <c r="J233" s="7">
        <v>0</v>
      </c>
      <c r="K233" s="7">
        <v>0</v>
      </c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</row>
    <row r="234" spans="1:17">
      <c r="A234" s="2">
        <v>2182</v>
      </c>
      <c r="B234" s="7">
        <v>0</v>
      </c>
      <c r="C234" s="7">
        <v>0</v>
      </c>
      <c r="D234" s="7">
        <v>0</v>
      </c>
      <c r="E234" s="7">
        <v>0</v>
      </c>
      <c r="F234" s="7">
        <v>0</v>
      </c>
      <c r="G234" s="7">
        <v>0</v>
      </c>
      <c r="H234" s="7">
        <v>0</v>
      </c>
      <c r="I234" s="7">
        <v>0</v>
      </c>
      <c r="J234" s="7">
        <v>0</v>
      </c>
      <c r="K234" s="7">
        <v>0</v>
      </c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</row>
    <row r="235" spans="1:17">
      <c r="A235" s="2">
        <v>2183</v>
      </c>
      <c r="B235" s="7">
        <v>0</v>
      </c>
      <c r="C235" s="7">
        <v>0</v>
      </c>
      <c r="D235" s="7">
        <v>0</v>
      </c>
      <c r="E235" s="7">
        <v>0</v>
      </c>
      <c r="F235" s="7">
        <v>0</v>
      </c>
      <c r="G235" s="7">
        <v>0</v>
      </c>
      <c r="H235" s="7">
        <v>0</v>
      </c>
      <c r="I235" s="7">
        <v>0</v>
      </c>
      <c r="J235" s="7">
        <v>0</v>
      </c>
      <c r="K235" s="7">
        <v>0</v>
      </c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</row>
    <row r="236" spans="1:17">
      <c r="A236" s="2">
        <v>2184</v>
      </c>
      <c r="B236" s="7">
        <v>0</v>
      </c>
      <c r="C236" s="7">
        <v>0</v>
      </c>
      <c r="D236" s="7">
        <v>0</v>
      </c>
      <c r="E236" s="7">
        <v>0</v>
      </c>
      <c r="F236" s="7">
        <v>0</v>
      </c>
      <c r="G236" s="7">
        <v>0</v>
      </c>
      <c r="H236" s="7">
        <v>0</v>
      </c>
      <c r="I236" s="7">
        <v>0</v>
      </c>
      <c r="J236" s="7">
        <v>0</v>
      </c>
      <c r="K236" s="7">
        <v>0</v>
      </c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</row>
    <row r="237" spans="1:17">
      <c r="A237" s="2">
        <v>2185</v>
      </c>
      <c r="B237" s="7">
        <v>0</v>
      </c>
      <c r="C237" s="7">
        <v>0</v>
      </c>
      <c r="D237" s="7">
        <v>0</v>
      </c>
      <c r="E237" s="7">
        <v>0</v>
      </c>
      <c r="F237" s="7">
        <v>0</v>
      </c>
      <c r="G237" s="7">
        <v>0</v>
      </c>
      <c r="H237" s="7">
        <v>0</v>
      </c>
      <c r="I237" s="7">
        <v>0</v>
      </c>
      <c r="J237" s="7">
        <v>0</v>
      </c>
      <c r="K237" s="7">
        <v>0</v>
      </c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</row>
    <row r="238" spans="1:17">
      <c r="A238" s="2">
        <v>2186</v>
      </c>
      <c r="B238" s="7">
        <v>0</v>
      </c>
      <c r="C238" s="7">
        <v>0</v>
      </c>
      <c r="D238" s="7">
        <v>0</v>
      </c>
      <c r="E238" s="7">
        <v>0</v>
      </c>
      <c r="F238" s="7">
        <v>0</v>
      </c>
      <c r="G238" s="7">
        <v>0</v>
      </c>
      <c r="H238" s="7">
        <v>0</v>
      </c>
      <c r="I238" s="7">
        <v>0</v>
      </c>
      <c r="J238" s="7">
        <v>0</v>
      </c>
      <c r="K238" s="7">
        <v>0</v>
      </c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</row>
    <row r="239" spans="1:17">
      <c r="A239" s="2">
        <v>2187</v>
      </c>
      <c r="B239" s="7">
        <v>0</v>
      </c>
      <c r="C239" s="7">
        <v>0</v>
      </c>
      <c r="D239" s="7">
        <v>0</v>
      </c>
      <c r="E239" s="7">
        <v>0</v>
      </c>
      <c r="F239" s="7">
        <v>0</v>
      </c>
      <c r="G239" s="7">
        <v>0</v>
      </c>
      <c r="H239" s="7">
        <v>0</v>
      </c>
      <c r="I239" s="7">
        <v>0</v>
      </c>
      <c r="J239" s="7">
        <v>0</v>
      </c>
      <c r="K239" s="7">
        <v>0</v>
      </c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</row>
    <row r="240" spans="1:17">
      <c r="A240" s="2">
        <v>2188</v>
      </c>
      <c r="B240" s="7">
        <v>0</v>
      </c>
      <c r="C240" s="7">
        <v>0</v>
      </c>
      <c r="D240" s="7">
        <v>0</v>
      </c>
      <c r="E240" s="7">
        <v>0</v>
      </c>
      <c r="F240" s="7">
        <v>0</v>
      </c>
      <c r="G240" s="7">
        <v>0</v>
      </c>
      <c r="H240" s="7">
        <v>0</v>
      </c>
      <c r="I240" s="7">
        <v>0</v>
      </c>
      <c r="J240" s="7">
        <v>0</v>
      </c>
      <c r="K240" s="7">
        <v>0</v>
      </c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</row>
    <row r="241" spans="1:17">
      <c r="A241" s="2">
        <v>2189</v>
      </c>
      <c r="B241" s="7">
        <v>0</v>
      </c>
      <c r="C241" s="7">
        <v>0</v>
      </c>
      <c r="D241" s="7">
        <v>0</v>
      </c>
      <c r="E241" s="7">
        <v>0</v>
      </c>
      <c r="F241" s="7">
        <v>0</v>
      </c>
      <c r="G241" s="7">
        <v>0</v>
      </c>
      <c r="H241" s="7">
        <v>0</v>
      </c>
      <c r="I241" s="7">
        <v>0</v>
      </c>
      <c r="J241" s="7">
        <v>0</v>
      </c>
      <c r="K241" s="7">
        <v>0</v>
      </c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</row>
    <row r="242" spans="1:17">
      <c r="A242" s="2">
        <v>2190</v>
      </c>
      <c r="B242" s="7">
        <v>0</v>
      </c>
      <c r="C242" s="7">
        <v>0</v>
      </c>
      <c r="D242" s="7">
        <v>0</v>
      </c>
      <c r="E242" s="7">
        <v>0</v>
      </c>
      <c r="F242" s="7">
        <v>0</v>
      </c>
      <c r="G242" s="7">
        <v>0</v>
      </c>
      <c r="H242" s="7">
        <v>0</v>
      </c>
      <c r="I242" s="7">
        <v>0</v>
      </c>
      <c r="J242" s="7">
        <v>0</v>
      </c>
      <c r="K242" s="7">
        <v>0</v>
      </c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</row>
    <row r="243" spans="1:17">
      <c r="A243" s="2">
        <v>2191</v>
      </c>
      <c r="B243" s="7">
        <v>0</v>
      </c>
      <c r="C243" s="7">
        <v>0</v>
      </c>
      <c r="D243" s="7">
        <v>0</v>
      </c>
      <c r="E243" s="7">
        <v>0</v>
      </c>
      <c r="F243" s="7">
        <v>0</v>
      </c>
      <c r="G243" s="7">
        <v>0</v>
      </c>
      <c r="H243" s="7">
        <v>0</v>
      </c>
      <c r="I243" s="7">
        <v>0</v>
      </c>
      <c r="J243" s="7">
        <v>0</v>
      </c>
      <c r="K243" s="7">
        <v>0</v>
      </c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</row>
    <row r="244" spans="1:17">
      <c r="A244" s="2">
        <v>2192</v>
      </c>
      <c r="B244" s="7">
        <v>0</v>
      </c>
      <c r="C244" s="7">
        <v>0</v>
      </c>
      <c r="D244" s="7">
        <v>0</v>
      </c>
      <c r="E244" s="7">
        <v>0</v>
      </c>
      <c r="F244" s="7">
        <v>0</v>
      </c>
      <c r="G244" s="7">
        <v>0</v>
      </c>
      <c r="H244" s="7">
        <v>0</v>
      </c>
      <c r="I244" s="7">
        <v>0</v>
      </c>
      <c r="J244" s="7">
        <v>0</v>
      </c>
      <c r="K244" s="7">
        <v>0</v>
      </c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</row>
    <row r="245" spans="1:17">
      <c r="A245" s="2">
        <v>2193</v>
      </c>
      <c r="B245" s="7">
        <v>0</v>
      </c>
      <c r="C245" s="7">
        <v>0</v>
      </c>
      <c r="D245" s="7">
        <v>0</v>
      </c>
      <c r="E245" s="7">
        <v>0</v>
      </c>
      <c r="F245" s="7">
        <v>0</v>
      </c>
      <c r="G245" s="7">
        <v>0</v>
      </c>
      <c r="H245" s="7">
        <v>0</v>
      </c>
      <c r="I245" s="7">
        <v>0</v>
      </c>
      <c r="J245" s="7">
        <v>0</v>
      </c>
      <c r="K245" s="7">
        <v>0</v>
      </c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</row>
    <row r="246" spans="1:17">
      <c r="A246" s="2">
        <v>2194</v>
      </c>
      <c r="B246" s="7">
        <v>0</v>
      </c>
      <c r="C246" s="7">
        <v>0</v>
      </c>
      <c r="D246" s="7">
        <v>0</v>
      </c>
      <c r="E246" s="7">
        <v>0</v>
      </c>
      <c r="F246" s="7">
        <v>0</v>
      </c>
      <c r="G246" s="7">
        <v>0</v>
      </c>
      <c r="H246" s="7">
        <v>0</v>
      </c>
      <c r="I246" s="7">
        <v>0</v>
      </c>
      <c r="J246" s="7">
        <v>0</v>
      </c>
      <c r="K246" s="7">
        <v>0</v>
      </c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</row>
    <row r="247" spans="1:17">
      <c r="A247" s="2">
        <v>2195</v>
      </c>
      <c r="B247" s="7">
        <v>0</v>
      </c>
      <c r="C247" s="7">
        <v>0</v>
      </c>
      <c r="D247" s="7">
        <v>0</v>
      </c>
      <c r="E247" s="7">
        <v>0</v>
      </c>
      <c r="F247" s="7">
        <v>0</v>
      </c>
      <c r="G247" s="7">
        <v>0</v>
      </c>
      <c r="H247" s="7">
        <v>0</v>
      </c>
      <c r="I247" s="7">
        <v>0</v>
      </c>
      <c r="J247" s="7">
        <v>0</v>
      </c>
      <c r="K247" s="7">
        <v>0</v>
      </c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</row>
    <row r="248" spans="1:17">
      <c r="A248" s="2">
        <v>2196</v>
      </c>
      <c r="B248" s="7">
        <v>0</v>
      </c>
      <c r="C248" s="7">
        <v>0</v>
      </c>
      <c r="D248" s="7">
        <v>0</v>
      </c>
      <c r="E248" s="7">
        <v>0</v>
      </c>
      <c r="F248" s="7">
        <v>0</v>
      </c>
      <c r="G248" s="7">
        <v>0</v>
      </c>
      <c r="H248" s="7">
        <v>0</v>
      </c>
      <c r="I248" s="7">
        <v>0</v>
      </c>
      <c r="J248" s="7">
        <v>0</v>
      </c>
      <c r="K248" s="7">
        <v>0</v>
      </c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</row>
    <row r="249" spans="1:17">
      <c r="A249" s="2">
        <v>2197</v>
      </c>
      <c r="B249" s="7">
        <v>0</v>
      </c>
      <c r="C249" s="7">
        <v>0</v>
      </c>
      <c r="D249" s="7">
        <v>0</v>
      </c>
      <c r="E249" s="7">
        <v>0</v>
      </c>
      <c r="F249" s="7">
        <v>0</v>
      </c>
      <c r="G249" s="7">
        <v>0</v>
      </c>
      <c r="H249" s="7">
        <v>0</v>
      </c>
      <c r="I249" s="7">
        <v>0</v>
      </c>
      <c r="J249" s="7">
        <v>0</v>
      </c>
      <c r="K249" s="7">
        <v>0</v>
      </c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</row>
    <row r="250" spans="1:17">
      <c r="A250" s="2">
        <v>2198</v>
      </c>
      <c r="B250" s="7">
        <v>0</v>
      </c>
      <c r="C250" s="7">
        <v>0</v>
      </c>
      <c r="D250" s="7">
        <v>0</v>
      </c>
      <c r="E250" s="7">
        <v>0</v>
      </c>
      <c r="F250" s="7">
        <v>0</v>
      </c>
      <c r="G250" s="7">
        <v>0</v>
      </c>
      <c r="H250" s="7">
        <v>0</v>
      </c>
      <c r="I250" s="7">
        <v>0</v>
      </c>
      <c r="J250" s="7">
        <v>0</v>
      </c>
      <c r="K250" s="7">
        <v>0</v>
      </c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</row>
    <row r="251" spans="1:17">
      <c r="A251" s="2">
        <v>2199</v>
      </c>
      <c r="B251" s="7">
        <v>0</v>
      </c>
      <c r="C251" s="7">
        <v>0</v>
      </c>
      <c r="D251" s="7">
        <v>0</v>
      </c>
      <c r="E251" s="7">
        <v>0</v>
      </c>
      <c r="F251" s="7">
        <v>0</v>
      </c>
      <c r="G251" s="7">
        <v>0</v>
      </c>
      <c r="H251" s="7">
        <v>0</v>
      </c>
      <c r="I251" s="7">
        <v>0</v>
      </c>
      <c r="J251" s="7">
        <v>0</v>
      </c>
      <c r="K251" s="7">
        <v>0</v>
      </c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</row>
    <row r="252" spans="1:17">
      <c r="A252" s="2">
        <v>2200</v>
      </c>
      <c r="B252" s="7">
        <v>0</v>
      </c>
      <c r="C252" s="7">
        <v>0</v>
      </c>
      <c r="D252" s="7">
        <v>0</v>
      </c>
      <c r="E252" s="7">
        <v>0</v>
      </c>
      <c r="F252" s="7">
        <v>0</v>
      </c>
      <c r="G252" s="7">
        <v>0</v>
      </c>
      <c r="H252" s="7">
        <v>0</v>
      </c>
      <c r="I252" s="7">
        <v>0</v>
      </c>
      <c r="J252" s="7">
        <v>0</v>
      </c>
      <c r="K252" s="7">
        <v>0</v>
      </c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</row>
    <row r="253" spans="1:17">
      <c r="A253" s="2">
        <v>2201</v>
      </c>
      <c r="B253" s="7">
        <v>0</v>
      </c>
      <c r="C253" s="7">
        <v>0</v>
      </c>
      <c r="D253" s="7">
        <v>0</v>
      </c>
      <c r="E253" s="7">
        <v>0</v>
      </c>
      <c r="F253" s="7">
        <v>0</v>
      </c>
      <c r="G253" s="7">
        <v>0</v>
      </c>
      <c r="H253" s="7">
        <v>0</v>
      </c>
      <c r="I253" s="7">
        <v>0</v>
      </c>
      <c r="J253" s="7">
        <v>0</v>
      </c>
      <c r="K253" s="7">
        <v>0</v>
      </c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</row>
    <row r="254" spans="1:17">
      <c r="A254" s="2">
        <v>2202</v>
      </c>
      <c r="B254" s="7">
        <v>0</v>
      </c>
      <c r="C254" s="7">
        <v>0</v>
      </c>
      <c r="D254" s="7">
        <v>0</v>
      </c>
      <c r="E254" s="7">
        <v>0</v>
      </c>
      <c r="F254" s="7">
        <v>0</v>
      </c>
      <c r="G254" s="7">
        <v>0</v>
      </c>
      <c r="H254" s="7">
        <v>0</v>
      </c>
      <c r="I254" s="7">
        <v>0</v>
      </c>
      <c r="J254" s="7">
        <v>0</v>
      </c>
      <c r="K254" s="7">
        <v>0</v>
      </c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</row>
    <row r="255" spans="1:17">
      <c r="A255" s="2">
        <v>2203</v>
      </c>
      <c r="B255" s="7">
        <v>0</v>
      </c>
      <c r="C255" s="7">
        <v>0</v>
      </c>
      <c r="D255" s="7">
        <v>0</v>
      </c>
      <c r="E255" s="7">
        <v>0</v>
      </c>
      <c r="F255" s="7">
        <v>0</v>
      </c>
      <c r="G255" s="7">
        <v>0</v>
      </c>
      <c r="H255" s="7">
        <v>0</v>
      </c>
      <c r="I255" s="7">
        <v>0</v>
      </c>
      <c r="J255" s="7">
        <v>0</v>
      </c>
      <c r="K255" s="7">
        <v>0</v>
      </c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</row>
    <row r="256" spans="1:17">
      <c r="A256" s="2">
        <v>2204</v>
      </c>
      <c r="B256" s="7">
        <v>0</v>
      </c>
      <c r="C256" s="7">
        <v>0</v>
      </c>
      <c r="D256" s="7">
        <v>0</v>
      </c>
      <c r="E256" s="7">
        <v>0</v>
      </c>
      <c r="F256" s="7">
        <v>0</v>
      </c>
      <c r="G256" s="7">
        <v>0</v>
      </c>
      <c r="H256" s="7">
        <v>0</v>
      </c>
      <c r="I256" s="7">
        <v>0</v>
      </c>
      <c r="J256" s="7">
        <v>0</v>
      </c>
      <c r="K256" s="7">
        <v>0</v>
      </c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</row>
    <row r="257" spans="1:17">
      <c r="A257" s="2">
        <v>2205</v>
      </c>
      <c r="B257" s="7">
        <v>0</v>
      </c>
      <c r="C257" s="7">
        <v>0</v>
      </c>
      <c r="D257" s="7">
        <v>0</v>
      </c>
      <c r="E257" s="7">
        <v>0</v>
      </c>
      <c r="F257" s="7">
        <v>0</v>
      </c>
      <c r="G257" s="7">
        <v>0</v>
      </c>
      <c r="H257" s="7">
        <v>0</v>
      </c>
      <c r="I257" s="7">
        <v>0</v>
      </c>
      <c r="J257" s="7">
        <v>0</v>
      </c>
      <c r="K257" s="7">
        <v>0</v>
      </c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</row>
    <row r="258" spans="1:17">
      <c r="A258" s="2">
        <v>2206</v>
      </c>
      <c r="B258" s="7">
        <v>0</v>
      </c>
      <c r="C258" s="7">
        <v>0</v>
      </c>
      <c r="D258" s="7">
        <v>0</v>
      </c>
      <c r="E258" s="7">
        <v>0</v>
      </c>
      <c r="F258" s="7">
        <v>0</v>
      </c>
      <c r="G258" s="7">
        <v>0</v>
      </c>
      <c r="H258" s="7">
        <v>0</v>
      </c>
      <c r="I258" s="7">
        <v>0</v>
      </c>
      <c r="J258" s="7">
        <v>0</v>
      </c>
      <c r="K258" s="7">
        <v>0</v>
      </c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</row>
    <row r="259" spans="1:17">
      <c r="A259" s="2">
        <v>2207</v>
      </c>
      <c r="B259" s="7">
        <v>0</v>
      </c>
      <c r="C259" s="7">
        <v>0</v>
      </c>
      <c r="D259" s="7">
        <v>0</v>
      </c>
      <c r="E259" s="7">
        <v>0</v>
      </c>
      <c r="F259" s="7">
        <v>0</v>
      </c>
      <c r="G259" s="7">
        <v>0</v>
      </c>
      <c r="H259" s="7">
        <v>0</v>
      </c>
      <c r="I259" s="7">
        <v>0</v>
      </c>
      <c r="J259" s="7">
        <v>0</v>
      </c>
      <c r="K259" s="7">
        <v>0</v>
      </c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</row>
    <row r="260" spans="1:17">
      <c r="A260" s="2">
        <v>2208</v>
      </c>
      <c r="B260" s="7">
        <v>0</v>
      </c>
      <c r="C260" s="7">
        <v>0</v>
      </c>
      <c r="D260" s="7">
        <v>0</v>
      </c>
      <c r="E260" s="7">
        <v>0</v>
      </c>
      <c r="F260" s="7">
        <v>0</v>
      </c>
      <c r="G260" s="7">
        <v>0</v>
      </c>
      <c r="H260" s="7">
        <v>0</v>
      </c>
      <c r="I260" s="7">
        <v>0</v>
      </c>
      <c r="J260" s="7">
        <v>0</v>
      </c>
      <c r="K260" s="7">
        <v>0</v>
      </c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</row>
    <row r="261" spans="1:17">
      <c r="A261" s="2">
        <v>2209</v>
      </c>
      <c r="B261" s="7">
        <v>0</v>
      </c>
      <c r="C261" s="7">
        <v>0</v>
      </c>
      <c r="D261" s="7">
        <v>0</v>
      </c>
      <c r="E261" s="7">
        <v>0</v>
      </c>
      <c r="F261" s="7">
        <v>0</v>
      </c>
      <c r="G261" s="7">
        <v>0</v>
      </c>
      <c r="H261" s="7">
        <v>0</v>
      </c>
      <c r="I261" s="7">
        <v>0</v>
      </c>
      <c r="J261" s="7">
        <v>0</v>
      </c>
      <c r="K261" s="7">
        <v>0</v>
      </c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</row>
    <row r="262" spans="1:17">
      <c r="A262" s="2">
        <v>2210</v>
      </c>
      <c r="B262" s="7">
        <v>0</v>
      </c>
      <c r="C262" s="7">
        <v>0</v>
      </c>
      <c r="D262" s="7">
        <v>0</v>
      </c>
      <c r="E262" s="7">
        <v>0</v>
      </c>
      <c r="F262" s="7">
        <v>0</v>
      </c>
      <c r="G262" s="7">
        <v>0</v>
      </c>
      <c r="H262" s="7">
        <v>0</v>
      </c>
      <c r="I262" s="7">
        <v>0</v>
      </c>
      <c r="J262" s="7">
        <v>0</v>
      </c>
      <c r="K262" s="7">
        <v>0</v>
      </c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</row>
    <row r="263" spans="1:17">
      <c r="A263" s="2">
        <v>2211</v>
      </c>
      <c r="B263" s="7">
        <v>0</v>
      </c>
      <c r="C263" s="7">
        <v>0</v>
      </c>
      <c r="D263" s="7">
        <v>0</v>
      </c>
      <c r="E263" s="7">
        <v>0</v>
      </c>
      <c r="F263" s="7">
        <v>0</v>
      </c>
      <c r="G263" s="7">
        <v>0</v>
      </c>
      <c r="H263" s="7">
        <v>0</v>
      </c>
      <c r="I263" s="7">
        <v>0</v>
      </c>
      <c r="J263" s="7">
        <v>0</v>
      </c>
      <c r="K263" s="7">
        <v>0</v>
      </c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</row>
    <row r="264" spans="1:17">
      <c r="A264" s="2">
        <v>2212</v>
      </c>
      <c r="B264" s="7">
        <v>0</v>
      </c>
      <c r="C264" s="7">
        <v>0</v>
      </c>
      <c r="D264" s="7">
        <v>0</v>
      </c>
      <c r="E264" s="7">
        <v>0</v>
      </c>
      <c r="F264" s="7">
        <v>0</v>
      </c>
      <c r="G264" s="7">
        <v>0</v>
      </c>
      <c r="H264" s="7">
        <v>0</v>
      </c>
      <c r="I264" s="7">
        <v>0</v>
      </c>
      <c r="J264" s="7">
        <v>0</v>
      </c>
      <c r="K264" s="7">
        <v>0</v>
      </c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</row>
    <row r="265" spans="1:17">
      <c r="A265" s="2">
        <v>2213</v>
      </c>
      <c r="B265" s="7">
        <v>0</v>
      </c>
      <c r="C265" s="7">
        <v>0</v>
      </c>
      <c r="D265" s="7">
        <v>0</v>
      </c>
      <c r="E265" s="7">
        <v>0</v>
      </c>
      <c r="F265" s="7">
        <v>0</v>
      </c>
      <c r="G265" s="7">
        <v>0</v>
      </c>
      <c r="H265" s="7">
        <v>0</v>
      </c>
      <c r="I265" s="7">
        <v>0</v>
      </c>
      <c r="J265" s="7">
        <v>0</v>
      </c>
      <c r="K265" s="7">
        <v>0</v>
      </c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</row>
    <row r="266" spans="1:17">
      <c r="A266" s="2">
        <v>2214</v>
      </c>
      <c r="B266" s="7">
        <v>0</v>
      </c>
      <c r="C266" s="7">
        <v>0</v>
      </c>
      <c r="D266" s="7">
        <v>0</v>
      </c>
      <c r="E266" s="7">
        <v>0</v>
      </c>
      <c r="F266" s="7">
        <v>0</v>
      </c>
      <c r="G266" s="7">
        <v>0</v>
      </c>
      <c r="H266" s="7">
        <v>0</v>
      </c>
      <c r="I266" s="7">
        <v>0</v>
      </c>
      <c r="J266" s="7">
        <v>0</v>
      </c>
      <c r="K266" s="7">
        <v>0</v>
      </c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</row>
    <row r="267" spans="1:17">
      <c r="A267" s="2">
        <v>2215</v>
      </c>
      <c r="B267" s="7">
        <v>0</v>
      </c>
      <c r="C267" s="7">
        <v>0</v>
      </c>
      <c r="D267" s="7">
        <v>0</v>
      </c>
      <c r="E267" s="7">
        <v>0</v>
      </c>
      <c r="F267" s="7">
        <v>0</v>
      </c>
      <c r="G267" s="7">
        <v>0</v>
      </c>
      <c r="H267" s="7">
        <v>0</v>
      </c>
      <c r="I267" s="7">
        <v>0</v>
      </c>
      <c r="J267" s="7">
        <v>0</v>
      </c>
      <c r="K267" s="7">
        <v>0</v>
      </c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</row>
    <row r="268" spans="1:17">
      <c r="A268" s="2">
        <v>2216</v>
      </c>
      <c r="B268" s="7">
        <v>0</v>
      </c>
      <c r="C268" s="7">
        <v>0</v>
      </c>
      <c r="D268" s="7">
        <v>0</v>
      </c>
      <c r="E268" s="7">
        <v>0</v>
      </c>
      <c r="F268" s="7">
        <v>0</v>
      </c>
      <c r="G268" s="7">
        <v>0</v>
      </c>
      <c r="H268" s="7">
        <v>0</v>
      </c>
      <c r="I268" s="7">
        <v>0</v>
      </c>
      <c r="J268" s="7">
        <v>0</v>
      </c>
      <c r="K268" s="7">
        <v>0</v>
      </c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</row>
    <row r="269" spans="1:17">
      <c r="A269" s="2">
        <v>2217</v>
      </c>
      <c r="B269" s="7">
        <v>0</v>
      </c>
      <c r="C269" s="7">
        <v>0</v>
      </c>
      <c r="D269" s="7">
        <v>0</v>
      </c>
      <c r="E269" s="7">
        <v>0</v>
      </c>
      <c r="F269" s="7">
        <v>0</v>
      </c>
      <c r="G269" s="7">
        <v>0</v>
      </c>
      <c r="H269" s="7">
        <v>0</v>
      </c>
      <c r="I269" s="7">
        <v>0</v>
      </c>
      <c r="J269" s="7">
        <v>0</v>
      </c>
      <c r="K269" s="7">
        <v>0</v>
      </c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</row>
    <row r="270" spans="1:17">
      <c r="A270" s="2">
        <v>2218</v>
      </c>
      <c r="B270" s="7">
        <v>0</v>
      </c>
      <c r="C270" s="7">
        <v>0</v>
      </c>
      <c r="D270" s="7">
        <v>0</v>
      </c>
      <c r="E270" s="7">
        <v>0</v>
      </c>
      <c r="F270" s="7">
        <v>0</v>
      </c>
      <c r="G270" s="7">
        <v>0</v>
      </c>
      <c r="H270" s="7">
        <v>0</v>
      </c>
      <c r="I270" s="7">
        <v>0</v>
      </c>
      <c r="J270" s="7">
        <v>0</v>
      </c>
      <c r="K270" s="7">
        <v>0</v>
      </c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</row>
    <row r="271" spans="1:17">
      <c r="A271" s="2">
        <v>2219</v>
      </c>
      <c r="B271" s="7">
        <v>0</v>
      </c>
      <c r="C271" s="7">
        <v>0</v>
      </c>
      <c r="D271" s="7">
        <v>0</v>
      </c>
      <c r="E271" s="7">
        <v>0</v>
      </c>
      <c r="F271" s="7">
        <v>0</v>
      </c>
      <c r="G271" s="7">
        <v>0</v>
      </c>
      <c r="H271" s="7">
        <v>0</v>
      </c>
      <c r="I271" s="7">
        <v>0</v>
      </c>
      <c r="J271" s="7">
        <v>0</v>
      </c>
      <c r="K271" s="7">
        <v>0</v>
      </c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</row>
    <row r="272" spans="1:17">
      <c r="A272" s="2">
        <v>2220</v>
      </c>
      <c r="B272" s="7">
        <v>0</v>
      </c>
      <c r="C272" s="7">
        <v>0</v>
      </c>
      <c r="D272" s="7">
        <v>0</v>
      </c>
      <c r="E272" s="7">
        <v>0</v>
      </c>
      <c r="F272" s="7">
        <v>0</v>
      </c>
      <c r="G272" s="7">
        <v>0</v>
      </c>
      <c r="H272" s="7">
        <v>0</v>
      </c>
      <c r="I272" s="7">
        <v>0</v>
      </c>
      <c r="J272" s="7">
        <v>0</v>
      </c>
      <c r="K272" s="7">
        <v>0</v>
      </c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</row>
    <row r="273" spans="1:17">
      <c r="A273" s="2">
        <v>2221</v>
      </c>
      <c r="B273" s="7">
        <v>0</v>
      </c>
      <c r="C273" s="7">
        <v>0</v>
      </c>
      <c r="D273" s="7">
        <v>0</v>
      </c>
      <c r="E273" s="7">
        <v>0</v>
      </c>
      <c r="F273" s="7">
        <v>0</v>
      </c>
      <c r="G273" s="7">
        <v>0</v>
      </c>
      <c r="H273" s="7">
        <v>0</v>
      </c>
      <c r="I273" s="7">
        <v>0</v>
      </c>
      <c r="J273" s="7">
        <v>0</v>
      </c>
      <c r="K273" s="7">
        <v>0</v>
      </c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</row>
    <row r="274" spans="1:17">
      <c r="A274" s="2">
        <v>2222</v>
      </c>
      <c r="B274" s="7">
        <v>0</v>
      </c>
      <c r="C274" s="7">
        <v>0</v>
      </c>
      <c r="D274" s="7">
        <v>0</v>
      </c>
      <c r="E274" s="7">
        <v>0</v>
      </c>
      <c r="F274" s="7">
        <v>0</v>
      </c>
      <c r="G274" s="7">
        <v>0</v>
      </c>
      <c r="H274" s="7">
        <v>0</v>
      </c>
      <c r="I274" s="7">
        <v>0</v>
      </c>
      <c r="J274" s="7">
        <v>0</v>
      </c>
      <c r="K274" s="7">
        <v>0</v>
      </c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</row>
    <row r="275" spans="1:17">
      <c r="A275" s="2">
        <v>2223</v>
      </c>
      <c r="B275" s="7">
        <v>0</v>
      </c>
      <c r="C275" s="7">
        <v>0</v>
      </c>
      <c r="D275" s="7">
        <v>0</v>
      </c>
      <c r="E275" s="7">
        <v>0</v>
      </c>
      <c r="F275" s="7">
        <v>0</v>
      </c>
      <c r="G275" s="7">
        <v>0</v>
      </c>
      <c r="H275" s="7">
        <v>0</v>
      </c>
      <c r="I275" s="7">
        <v>0</v>
      </c>
      <c r="J275" s="7">
        <v>0</v>
      </c>
      <c r="K275" s="7">
        <v>0</v>
      </c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</row>
    <row r="276" spans="1:17">
      <c r="A276" s="2">
        <v>2224</v>
      </c>
      <c r="B276" s="7">
        <v>0</v>
      </c>
      <c r="C276" s="7">
        <v>0</v>
      </c>
      <c r="D276" s="7">
        <v>0</v>
      </c>
      <c r="E276" s="7">
        <v>0</v>
      </c>
      <c r="F276" s="7">
        <v>0</v>
      </c>
      <c r="G276" s="7">
        <v>0</v>
      </c>
      <c r="H276" s="7">
        <v>0</v>
      </c>
      <c r="I276" s="7">
        <v>0</v>
      </c>
      <c r="J276" s="7">
        <v>0</v>
      </c>
      <c r="K276" s="7">
        <v>0</v>
      </c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</row>
    <row r="277" spans="1:17">
      <c r="A277" s="2">
        <v>2225</v>
      </c>
      <c r="B277" s="7">
        <v>0</v>
      </c>
      <c r="C277" s="7">
        <v>0</v>
      </c>
      <c r="D277" s="7">
        <v>0</v>
      </c>
      <c r="E277" s="7">
        <v>0</v>
      </c>
      <c r="F277" s="7">
        <v>0</v>
      </c>
      <c r="G277" s="7">
        <v>0</v>
      </c>
      <c r="H277" s="7">
        <v>0</v>
      </c>
      <c r="I277" s="7">
        <v>0</v>
      </c>
      <c r="J277" s="7">
        <v>0</v>
      </c>
      <c r="K277" s="7">
        <v>0</v>
      </c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</row>
    <row r="278" spans="1:17">
      <c r="A278" s="2">
        <v>2226</v>
      </c>
      <c r="B278" s="7">
        <v>0</v>
      </c>
      <c r="C278" s="7">
        <v>0</v>
      </c>
      <c r="D278" s="7">
        <v>0</v>
      </c>
      <c r="E278" s="7">
        <v>0</v>
      </c>
      <c r="F278" s="7">
        <v>0</v>
      </c>
      <c r="G278" s="7">
        <v>0</v>
      </c>
      <c r="H278" s="7">
        <v>0</v>
      </c>
      <c r="I278" s="7">
        <v>0</v>
      </c>
      <c r="J278" s="7">
        <v>0</v>
      </c>
      <c r="K278" s="7">
        <v>0</v>
      </c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</row>
    <row r="279" spans="1:17">
      <c r="A279" s="2">
        <v>2227</v>
      </c>
      <c r="B279" s="7">
        <v>0</v>
      </c>
      <c r="C279" s="7">
        <v>0</v>
      </c>
      <c r="D279" s="7">
        <v>0</v>
      </c>
      <c r="E279" s="7">
        <v>0</v>
      </c>
      <c r="F279" s="7">
        <v>0</v>
      </c>
      <c r="G279" s="7">
        <v>0</v>
      </c>
      <c r="H279" s="7">
        <v>0</v>
      </c>
      <c r="I279" s="7">
        <v>0</v>
      </c>
      <c r="J279" s="7">
        <v>0</v>
      </c>
      <c r="K279" s="7">
        <v>0</v>
      </c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</row>
    <row r="280" spans="1:17">
      <c r="A280" s="2">
        <v>2228</v>
      </c>
      <c r="B280" s="7">
        <v>0</v>
      </c>
      <c r="C280" s="7">
        <v>0</v>
      </c>
      <c r="D280" s="7">
        <v>0</v>
      </c>
      <c r="E280" s="7">
        <v>0</v>
      </c>
      <c r="F280" s="7">
        <v>0</v>
      </c>
      <c r="G280" s="7">
        <v>0</v>
      </c>
      <c r="H280" s="7">
        <v>0</v>
      </c>
      <c r="I280" s="7">
        <v>0</v>
      </c>
      <c r="J280" s="7">
        <v>0</v>
      </c>
      <c r="K280" s="7">
        <v>0</v>
      </c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</row>
    <row r="281" spans="1:17">
      <c r="A281" s="2">
        <v>2229</v>
      </c>
      <c r="B281" s="7">
        <v>0</v>
      </c>
      <c r="C281" s="7">
        <v>0</v>
      </c>
      <c r="D281" s="7">
        <v>0</v>
      </c>
      <c r="E281" s="7">
        <v>0</v>
      </c>
      <c r="F281" s="7">
        <v>0</v>
      </c>
      <c r="G281" s="7">
        <v>0</v>
      </c>
      <c r="H281" s="7">
        <v>0</v>
      </c>
      <c r="I281" s="7">
        <v>0</v>
      </c>
      <c r="J281" s="7">
        <v>0</v>
      </c>
      <c r="K281" s="7">
        <v>0</v>
      </c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</row>
    <row r="282" spans="1:17">
      <c r="A282" s="2">
        <v>2230</v>
      </c>
      <c r="B282" s="7">
        <v>0</v>
      </c>
      <c r="C282" s="7">
        <v>0</v>
      </c>
      <c r="D282" s="7">
        <v>0</v>
      </c>
      <c r="E282" s="7">
        <v>0</v>
      </c>
      <c r="F282" s="7">
        <v>0</v>
      </c>
      <c r="G282" s="7">
        <v>0</v>
      </c>
      <c r="H282" s="7">
        <v>0</v>
      </c>
      <c r="I282" s="7">
        <v>0</v>
      </c>
      <c r="J282" s="7">
        <v>0</v>
      </c>
      <c r="K282" s="7">
        <v>0</v>
      </c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</row>
    <row r="283" spans="1:17">
      <c r="A283" s="2">
        <v>2231</v>
      </c>
      <c r="B283" s="7">
        <v>0</v>
      </c>
      <c r="C283" s="7">
        <v>0</v>
      </c>
      <c r="D283" s="7">
        <v>0</v>
      </c>
      <c r="E283" s="7">
        <v>0</v>
      </c>
      <c r="F283" s="7">
        <v>0</v>
      </c>
      <c r="G283" s="7">
        <v>0</v>
      </c>
      <c r="H283" s="7">
        <v>0</v>
      </c>
      <c r="I283" s="7">
        <v>0</v>
      </c>
      <c r="J283" s="7">
        <v>0</v>
      </c>
      <c r="K283" s="7">
        <v>0</v>
      </c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</row>
    <row r="284" spans="1:17">
      <c r="A284" s="2">
        <v>2232</v>
      </c>
      <c r="B284" s="7">
        <v>0</v>
      </c>
      <c r="C284" s="7">
        <v>0</v>
      </c>
      <c r="D284" s="7">
        <v>0</v>
      </c>
      <c r="E284" s="7">
        <v>0</v>
      </c>
      <c r="F284" s="7">
        <v>0</v>
      </c>
      <c r="G284" s="7">
        <v>0</v>
      </c>
      <c r="H284" s="7">
        <v>0</v>
      </c>
      <c r="I284" s="7">
        <v>0</v>
      </c>
      <c r="J284" s="7">
        <v>0</v>
      </c>
      <c r="K284" s="7">
        <v>0</v>
      </c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</row>
    <row r="285" spans="1:17">
      <c r="A285" s="2">
        <v>2233</v>
      </c>
      <c r="B285" s="7">
        <v>0</v>
      </c>
      <c r="C285" s="7">
        <v>0</v>
      </c>
      <c r="D285" s="7">
        <v>0</v>
      </c>
      <c r="E285" s="7">
        <v>0</v>
      </c>
      <c r="F285" s="7">
        <v>0</v>
      </c>
      <c r="G285" s="7">
        <v>0</v>
      </c>
      <c r="H285" s="7">
        <v>0</v>
      </c>
      <c r="I285" s="7">
        <v>0</v>
      </c>
      <c r="J285" s="7">
        <v>0</v>
      </c>
      <c r="K285" s="7">
        <v>0</v>
      </c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</row>
    <row r="286" spans="1:17">
      <c r="A286" s="2">
        <v>2234</v>
      </c>
      <c r="B286" s="7">
        <v>0</v>
      </c>
      <c r="C286" s="7">
        <v>0</v>
      </c>
      <c r="D286" s="7">
        <v>0</v>
      </c>
      <c r="E286" s="7">
        <v>0</v>
      </c>
      <c r="F286" s="7">
        <v>0</v>
      </c>
      <c r="G286" s="7">
        <v>0</v>
      </c>
      <c r="H286" s="7">
        <v>0</v>
      </c>
      <c r="I286" s="7">
        <v>0</v>
      </c>
      <c r="J286" s="7">
        <v>0</v>
      </c>
      <c r="K286" s="7">
        <v>0</v>
      </c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</row>
    <row r="287" spans="1:17">
      <c r="A287" s="2">
        <v>2235</v>
      </c>
      <c r="B287" s="7">
        <v>0</v>
      </c>
      <c r="C287" s="7">
        <v>0</v>
      </c>
      <c r="D287" s="7">
        <v>0</v>
      </c>
      <c r="E287" s="7">
        <v>0</v>
      </c>
      <c r="F287" s="7">
        <v>0</v>
      </c>
      <c r="G287" s="7">
        <v>0</v>
      </c>
      <c r="H287" s="7">
        <v>0</v>
      </c>
      <c r="I287" s="7">
        <v>0</v>
      </c>
      <c r="J287" s="7">
        <v>0</v>
      </c>
      <c r="K287" s="7">
        <v>0</v>
      </c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</row>
    <row r="288" spans="1:17">
      <c r="A288" s="2">
        <v>2236</v>
      </c>
      <c r="B288" s="7">
        <v>0</v>
      </c>
      <c r="C288" s="7">
        <v>0</v>
      </c>
      <c r="D288" s="7">
        <v>0</v>
      </c>
      <c r="E288" s="7">
        <v>0</v>
      </c>
      <c r="F288" s="7">
        <v>0</v>
      </c>
      <c r="G288" s="7">
        <v>0</v>
      </c>
      <c r="H288" s="7">
        <v>0</v>
      </c>
      <c r="I288" s="7">
        <v>0</v>
      </c>
      <c r="J288" s="7">
        <v>0</v>
      </c>
      <c r="K288" s="7">
        <v>0</v>
      </c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</row>
    <row r="289" spans="1:17">
      <c r="A289" s="2">
        <v>2237</v>
      </c>
      <c r="B289" s="7">
        <v>0</v>
      </c>
      <c r="C289" s="7">
        <v>0</v>
      </c>
      <c r="D289" s="7">
        <v>0</v>
      </c>
      <c r="E289" s="7">
        <v>0</v>
      </c>
      <c r="F289" s="7">
        <v>0</v>
      </c>
      <c r="G289" s="7">
        <v>0</v>
      </c>
      <c r="H289" s="7">
        <v>0</v>
      </c>
      <c r="I289" s="7">
        <v>0</v>
      </c>
      <c r="J289" s="7">
        <v>0</v>
      </c>
      <c r="K289" s="7">
        <v>0</v>
      </c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</row>
    <row r="290" spans="1:17">
      <c r="A290" s="2">
        <v>2238</v>
      </c>
      <c r="B290" s="7">
        <v>0</v>
      </c>
      <c r="C290" s="7">
        <v>0</v>
      </c>
      <c r="D290" s="7">
        <v>0</v>
      </c>
      <c r="E290" s="7">
        <v>0</v>
      </c>
      <c r="F290" s="7">
        <v>0</v>
      </c>
      <c r="G290" s="7">
        <v>0</v>
      </c>
      <c r="H290" s="7">
        <v>0</v>
      </c>
      <c r="I290" s="7">
        <v>0</v>
      </c>
      <c r="J290" s="7">
        <v>0</v>
      </c>
      <c r="K290" s="7">
        <v>0</v>
      </c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</row>
    <row r="291" spans="1:17">
      <c r="A291" s="2">
        <v>2239</v>
      </c>
      <c r="B291" s="7">
        <v>0</v>
      </c>
      <c r="C291" s="7">
        <v>0</v>
      </c>
      <c r="D291" s="7">
        <v>0</v>
      </c>
      <c r="E291" s="7">
        <v>0</v>
      </c>
      <c r="F291" s="7">
        <v>0</v>
      </c>
      <c r="G291" s="7">
        <v>0</v>
      </c>
      <c r="H291" s="7">
        <v>0</v>
      </c>
      <c r="I291" s="7">
        <v>0</v>
      </c>
      <c r="J291" s="7">
        <v>0</v>
      </c>
      <c r="K291" s="7">
        <v>0</v>
      </c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</row>
    <row r="292" spans="1:17">
      <c r="A292" s="2">
        <v>2240</v>
      </c>
      <c r="B292" s="7">
        <v>0</v>
      </c>
      <c r="C292" s="7">
        <v>0</v>
      </c>
      <c r="D292" s="7">
        <v>0</v>
      </c>
      <c r="E292" s="7">
        <v>0</v>
      </c>
      <c r="F292" s="7">
        <v>0</v>
      </c>
      <c r="G292" s="7">
        <v>0</v>
      </c>
      <c r="H292" s="7">
        <v>0</v>
      </c>
      <c r="I292" s="7">
        <v>0</v>
      </c>
      <c r="J292" s="7">
        <v>0</v>
      </c>
      <c r="K292" s="7">
        <v>0</v>
      </c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</row>
    <row r="293" spans="1:17">
      <c r="A293" s="2">
        <v>2241</v>
      </c>
      <c r="B293" s="7">
        <v>0</v>
      </c>
      <c r="C293" s="7">
        <v>0</v>
      </c>
      <c r="D293" s="7">
        <v>0</v>
      </c>
      <c r="E293" s="7">
        <v>0</v>
      </c>
      <c r="F293" s="7">
        <v>0</v>
      </c>
      <c r="G293" s="7">
        <v>0</v>
      </c>
      <c r="H293" s="7">
        <v>0</v>
      </c>
      <c r="I293" s="7">
        <v>0</v>
      </c>
      <c r="J293" s="7">
        <v>0</v>
      </c>
      <c r="K293" s="7">
        <v>0</v>
      </c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</row>
    <row r="294" spans="1:17">
      <c r="A294" s="2">
        <v>2242</v>
      </c>
      <c r="B294" s="7">
        <v>0</v>
      </c>
      <c r="C294" s="7">
        <v>0</v>
      </c>
      <c r="D294" s="7">
        <v>0</v>
      </c>
      <c r="E294" s="7">
        <v>0</v>
      </c>
      <c r="F294" s="7">
        <v>0</v>
      </c>
      <c r="G294" s="7">
        <v>0</v>
      </c>
      <c r="H294" s="7">
        <v>0</v>
      </c>
      <c r="I294" s="7">
        <v>0</v>
      </c>
      <c r="J294" s="7">
        <v>0</v>
      </c>
      <c r="K294" s="7">
        <v>0</v>
      </c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</row>
    <row r="295" spans="1:17">
      <c r="A295" s="2">
        <v>2243</v>
      </c>
      <c r="B295" s="7">
        <v>0</v>
      </c>
      <c r="C295" s="7">
        <v>0</v>
      </c>
      <c r="D295" s="7">
        <v>0</v>
      </c>
      <c r="E295" s="7">
        <v>0</v>
      </c>
      <c r="F295" s="7">
        <v>0</v>
      </c>
      <c r="G295" s="7">
        <v>0</v>
      </c>
      <c r="H295" s="7">
        <v>0</v>
      </c>
      <c r="I295" s="7">
        <v>0</v>
      </c>
      <c r="J295" s="7">
        <v>0</v>
      </c>
      <c r="K295" s="7">
        <v>0</v>
      </c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</row>
    <row r="296" spans="1:17">
      <c r="A296" s="2">
        <v>2244</v>
      </c>
      <c r="B296" s="7">
        <v>0</v>
      </c>
      <c r="C296" s="7">
        <v>0</v>
      </c>
      <c r="D296" s="7">
        <v>0</v>
      </c>
      <c r="E296" s="7">
        <v>0</v>
      </c>
      <c r="F296" s="7">
        <v>0</v>
      </c>
      <c r="G296" s="7">
        <v>0</v>
      </c>
      <c r="H296" s="7">
        <v>0</v>
      </c>
      <c r="I296" s="7">
        <v>0</v>
      </c>
      <c r="J296" s="7">
        <v>0</v>
      </c>
      <c r="K296" s="7">
        <v>0</v>
      </c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</row>
    <row r="297" spans="1:17">
      <c r="A297" s="2">
        <v>2245</v>
      </c>
      <c r="B297" s="7">
        <v>0</v>
      </c>
      <c r="C297" s="7">
        <v>0</v>
      </c>
      <c r="D297" s="7">
        <v>0</v>
      </c>
      <c r="E297" s="7">
        <v>0</v>
      </c>
      <c r="F297" s="7">
        <v>0</v>
      </c>
      <c r="G297" s="7">
        <v>0</v>
      </c>
      <c r="H297" s="7">
        <v>0</v>
      </c>
      <c r="I297" s="7">
        <v>0</v>
      </c>
      <c r="J297" s="7">
        <v>0</v>
      </c>
      <c r="K297" s="7">
        <v>0</v>
      </c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</row>
    <row r="298" spans="1:17">
      <c r="A298" s="2">
        <v>2246</v>
      </c>
      <c r="B298" s="7">
        <v>0</v>
      </c>
      <c r="C298" s="7">
        <v>0</v>
      </c>
      <c r="D298" s="7">
        <v>0</v>
      </c>
      <c r="E298" s="7">
        <v>0</v>
      </c>
      <c r="F298" s="7">
        <v>0</v>
      </c>
      <c r="G298" s="7">
        <v>0</v>
      </c>
      <c r="H298" s="7">
        <v>0</v>
      </c>
      <c r="I298" s="7">
        <v>0</v>
      </c>
      <c r="J298" s="7">
        <v>0</v>
      </c>
      <c r="K298" s="7">
        <v>0</v>
      </c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</row>
    <row r="299" spans="1:17">
      <c r="A299" s="2">
        <v>2247</v>
      </c>
      <c r="B299" s="7">
        <v>0</v>
      </c>
      <c r="C299" s="7">
        <v>0</v>
      </c>
      <c r="D299" s="7">
        <v>0</v>
      </c>
      <c r="E299" s="7">
        <v>0</v>
      </c>
      <c r="F299" s="7">
        <v>0</v>
      </c>
      <c r="G299" s="7">
        <v>0</v>
      </c>
      <c r="H299" s="7">
        <v>0</v>
      </c>
      <c r="I299" s="7">
        <v>0</v>
      </c>
      <c r="J299" s="7">
        <v>0</v>
      </c>
      <c r="K299" s="7">
        <v>0</v>
      </c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</row>
    <row r="300" spans="1:17">
      <c r="A300" s="2">
        <v>2248</v>
      </c>
      <c r="B300" s="7">
        <v>0</v>
      </c>
      <c r="C300" s="7">
        <v>0</v>
      </c>
      <c r="D300" s="7">
        <v>0</v>
      </c>
      <c r="E300" s="7">
        <v>0</v>
      </c>
      <c r="F300" s="7">
        <v>0</v>
      </c>
      <c r="G300" s="7">
        <v>0</v>
      </c>
      <c r="H300" s="7">
        <v>0</v>
      </c>
      <c r="I300" s="7">
        <v>0</v>
      </c>
      <c r="J300" s="7">
        <v>0</v>
      </c>
      <c r="K300" s="7">
        <v>0</v>
      </c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</row>
    <row r="301" spans="1:17">
      <c r="A301" s="2">
        <v>2249</v>
      </c>
      <c r="B301" s="7">
        <v>0</v>
      </c>
      <c r="C301" s="7">
        <v>0</v>
      </c>
      <c r="D301" s="7">
        <v>0</v>
      </c>
      <c r="E301" s="7">
        <v>0</v>
      </c>
      <c r="F301" s="7">
        <v>0</v>
      </c>
      <c r="G301" s="7">
        <v>0</v>
      </c>
      <c r="H301" s="7">
        <v>0</v>
      </c>
      <c r="I301" s="7">
        <v>0</v>
      </c>
      <c r="J301" s="7">
        <v>0</v>
      </c>
      <c r="K301" s="7">
        <v>0</v>
      </c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</row>
    <row r="302" spans="1:17">
      <c r="A302" s="2">
        <v>2250</v>
      </c>
      <c r="B302" s="7">
        <v>0</v>
      </c>
      <c r="C302" s="7">
        <v>0</v>
      </c>
      <c r="D302" s="7">
        <v>0</v>
      </c>
      <c r="E302" s="7">
        <v>0</v>
      </c>
      <c r="F302" s="7">
        <v>0</v>
      </c>
      <c r="G302" s="7">
        <v>0</v>
      </c>
      <c r="H302" s="7">
        <v>0</v>
      </c>
      <c r="I302" s="7">
        <v>0</v>
      </c>
      <c r="J302" s="7">
        <v>0</v>
      </c>
      <c r="K302" s="7">
        <v>0</v>
      </c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</row>
    <row r="303" spans="1:17">
      <c r="A303" s="2">
        <v>2251</v>
      </c>
      <c r="B303" s="7">
        <v>0</v>
      </c>
      <c r="C303" s="7">
        <v>0</v>
      </c>
      <c r="D303" s="7">
        <v>0</v>
      </c>
      <c r="E303" s="7">
        <v>0</v>
      </c>
      <c r="F303" s="7">
        <v>0</v>
      </c>
      <c r="G303" s="7">
        <v>0</v>
      </c>
      <c r="H303" s="7">
        <v>0</v>
      </c>
      <c r="I303" s="7">
        <v>0</v>
      </c>
      <c r="J303" s="7">
        <v>0</v>
      </c>
      <c r="K303" s="7">
        <v>0</v>
      </c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</row>
    <row r="304" spans="1:17">
      <c r="A304" s="2">
        <v>2252</v>
      </c>
      <c r="B304" s="7">
        <v>0</v>
      </c>
      <c r="C304" s="7">
        <v>0</v>
      </c>
      <c r="D304" s="7">
        <v>0</v>
      </c>
      <c r="E304" s="7">
        <v>0</v>
      </c>
      <c r="F304" s="7">
        <v>0</v>
      </c>
      <c r="G304" s="7">
        <v>0</v>
      </c>
      <c r="H304" s="7">
        <v>0</v>
      </c>
      <c r="I304" s="7">
        <v>0</v>
      </c>
      <c r="J304" s="7">
        <v>0</v>
      </c>
      <c r="K304" s="7">
        <v>0</v>
      </c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</row>
    <row r="305" spans="1:17">
      <c r="A305" s="2">
        <v>2253</v>
      </c>
      <c r="B305" s="7">
        <v>0</v>
      </c>
      <c r="C305" s="7">
        <v>0</v>
      </c>
      <c r="D305" s="7">
        <v>0</v>
      </c>
      <c r="E305" s="7">
        <v>0</v>
      </c>
      <c r="F305" s="7">
        <v>0</v>
      </c>
      <c r="G305" s="7">
        <v>0</v>
      </c>
      <c r="H305" s="7">
        <v>0</v>
      </c>
      <c r="I305" s="7">
        <v>0</v>
      </c>
      <c r="J305" s="7">
        <v>0</v>
      </c>
      <c r="K305" s="7">
        <v>0</v>
      </c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</row>
    <row r="306" spans="1:17">
      <c r="A306" s="2">
        <v>2254</v>
      </c>
      <c r="B306" s="7">
        <v>0</v>
      </c>
      <c r="C306" s="7">
        <v>0</v>
      </c>
      <c r="D306" s="7">
        <v>0</v>
      </c>
      <c r="E306" s="7">
        <v>0</v>
      </c>
      <c r="F306" s="7">
        <v>0</v>
      </c>
      <c r="G306" s="7">
        <v>0</v>
      </c>
      <c r="H306" s="7">
        <v>0</v>
      </c>
      <c r="I306" s="7">
        <v>0</v>
      </c>
      <c r="J306" s="7">
        <v>0</v>
      </c>
      <c r="K306" s="7">
        <v>0</v>
      </c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</row>
    <row r="307" spans="1:17">
      <c r="A307" s="2">
        <v>2255</v>
      </c>
      <c r="B307" s="7">
        <v>0</v>
      </c>
      <c r="C307" s="7">
        <v>0</v>
      </c>
      <c r="D307" s="7">
        <v>0</v>
      </c>
      <c r="E307" s="7">
        <v>0</v>
      </c>
      <c r="F307" s="7">
        <v>0</v>
      </c>
      <c r="G307" s="7">
        <v>0</v>
      </c>
      <c r="H307" s="7">
        <v>0</v>
      </c>
      <c r="I307" s="7">
        <v>0</v>
      </c>
      <c r="J307" s="7">
        <v>0</v>
      </c>
      <c r="K307" s="7">
        <v>0</v>
      </c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</row>
    <row r="308" spans="1:17">
      <c r="A308" s="2">
        <v>2256</v>
      </c>
      <c r="B308" s="7">
        <v>0</v>
      </c>
      <c r="C308" s="7">
        <v>0</v>
      </c>
      <c r="D308" s="7">
        <v>0</v>
      </c>
      <c r="E308" s="7">
        <v>0</v>
      </c>
      <c r="F308" s="7">
        <v>0</v>
      </c>
      <c r="G308" s="7">
        <v>0</v>
      </c>
      <c r="H308" s="7">
        <v>0</v>
      </c>
      <c r="I308" s="7">
        <v>0</v>
      </c>
      <c r="J308" s="7">
        <v>0</v>
      </c>
      <c r="K308" s="7">
        <v>0</v>
      </c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</row>
    <row r="309" spans="1:17">
      <c r="A309" s="2">
        <v>2257</v>
      </c>
      <c r="B309" s="7">
        <v>0</v>
      </c>
      <c r="C309" s="7">
        <v>0</v>
      </c>
      <c r="D309" s="7">
        <v>0</v>
      </c>
      <c r="E309" s="7">
        <v>0</v>
      </c>
      <c r="F309" s="7">
        <v>0</v>
      </c>
      <c r="G309" s="7">
        <v>0</v>
      </c>
      <c r="H309" s="7">
        <v>0</v>
      </c>
      <c r="I309" s="7">
        <v>0</v>
      </c>
      <c r="J309" s="7">
        <v>0</v>
      </c>
      <c r="K309" s="7">
        <v>0</v>
      </c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</row>
    <row r="310" spans="1:17">
      <c r="A310" s="2">
        <v>2258</v>
      </c>
      <c r="B310" s="7">
        <v>0</v>
      </c>
      <c r="C310" s="7">
        <v>0</v>
      </c>
      <c r="D310" s="7">
        <v>0</v>
      </c>
      <c r="E310" s="7">
        <v>0</v>
      </c>
      <c r="F310" s="7">
        <v>0</v>
      </c>
      <c r="G310" s="7">
        <v>0</v>
      </c>
      <c r="H310" s="7">
        <v>0</v>
      </c>
      <c r="I310" s="7">
        <v>0</v>
      </c>
      <c r="J310" s="7">
        <v>0</v>
      </c>
      <c r="K310" s="7">
        <v>0</v>
      </c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</row>
    <row r="311" spans="1:17">
      <c r="A311" s="2">
        <v>2259</v>
      </c>
      <c r="B311" s="7">
        <v>0</v>
      </c>
      <c r="C311" s="7">
        <v>0</v>
      </c>
      <c r="D311" s="7">
        <v>0</v>
      </c>
      <c r="E311" s="7">
        <v>0</v>
      </c>
      <c r="F311" s="7">
        <v>0</v>
      </c>
      <c r="G311" s="7">
        <v>0</v>
      </c>
      <c r="H311" s="7">
        <v>0</v>
      </c>
      <c r="I311" s="7">
        <v>0</v>
      </c>
      <c r="J311" s="7">
        <v>0</v>
      </c>
      <c r="K311" s="7">
        <v>0</v>
      </c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</row>
    <row r="312" spans="1:17">
      <c r="A312" s="2">
        <v>2260</v>
      </c>
      <c r="B312" s="7">
        <v>0</v>
      </c>
      <c r="C312" s="7">
        <v>0</v>
      </c>
      <c r="D312" s="7">
        <v>0</v>
      </c>
      <c r="E312" s="7">
        <v>0</v>
      </c>
      <c r="F312" s="7">
        <v>0</v>
      </c>
      <c r="G312" s="7">
        <v>0</v>
      </c>
      <c r="H312" s="7">
        <v>0</v>
      </c>
      <c r="I312" s="7">
        <v>0</v>
      </c>
      <c r="J312" s="7">
        <v>0</v>
      </c>
      <c r="K312" s="7">
        <v>0</v>
      </c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</row>
    <row r="313" spans="1:17">
      <c r="A313" s="2">
        <v>2261</v>
      </c>
      <c r="B313" s="7">
        <v>0</v>
      </c>
      <c r="C313" s="7">
        <v>0</v>
      </c>
      <c r="D313" s="7">
        <v>0</v>
      </c>
      <c r="E313" s="7">
        <v>0</v>
      </c>
      <c r="F313" s="7">
        <v>0</v>
      </c>
      <c r="G313" s="7">
        <v>0</v>
      </c>
      <c r="H313" s="7">
        <v>0</v>
      </c>
      <c r="I313" s="7">
        <v>0</v>
      </c>
      <c r="J313" s="7">
        <v>0</v>
      </c>
      <c r="K313" s="7">
        <v>0</v>
      </c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</row>
    <row r="314" spans="1:17">
      <c r="A314" s="2">
        <v>2262</v>
      </c>
      <c r="B314" s="7">
        <v>0</v>
      </c>
      <c r="C314" s="7">
        <v>0</v>
      </c>
      <c r="D314" s="7">
        <v>0</v>
      </c>
      <c r="E314" s="7">
        <v>0</v>
      </c>
      <c r="F314" s="7">
        <v>0</v>
      </c>
      <c r="G314" s="7">
        <v>0</v>
      </c>
      <c r="H314" s="7">
        <v>0</v>
      </c>
      <c r="I314" s="7">
        <v>0</v>
      </c>
      <c r="J314" s="7">
        <v>0</v>
      </c>
      <c r="K314" s="7">
        <v>0</v>
      </c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</row>
    <row r="315" spans="1:17">
      <c r="A315" s="2">
        <v>2263</v>
      </c>
      <c r="B315" s="7">
        <v>0</v>
      </c>
      <c r="C315" s="7">
        <v>0</v>
      </c>
      <c r="D315" s="7">
        <v>0</v>
      </c>
      <c r="E315" s="7">
        <v>0</v>
      </c>
      <c r="F315" s="7">
        <v>0</v>
      </c>
      <c r="G315" s="7">
        <v>0</v>
      </c>
      <c r="H315" s="7">
        <v>0</v>
      </c>
      <c r="I315" s="7">
        <v>0</v>
      </c>
      <c r="J315" s="7">
        <v>0</v>
      </c>
      <c r="K315" s="7">
        <v>0</v>
      </c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</row>
    <row r="316" spans="1:17">
      <c r="A316" s="2">
        <v>2264</v>
      </c>
      <c r="B316" s="7">
        <v>0</v>
      </c>
      <c r="C316" s="7">
        <v>0</v>
      </c>
      <c r="D316" s="7">
        <v>0</v>
      </c>
      <c r="E316" s="7">
        <v>0</v>
      </c>
      <c r="F316" s="7">
        <v>0</v>
      </c>
      <c r="G316" s="7">
        <v>0</v>
      </c>
      <c r="H316" s="7">
        <v>0</v>
      </c>
      <c r="I316" s="7">
        <v>0</v>
      </c>
      <c r="J316" s="7">
        <v>0</v>
      </c>
      <c r="K316" s="7">
        <v>0</v>
      </c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</row>
    <row r="317" spans="1:17">
      <c r="A317" s="2">
        <v>2265</v>
      </c>
      <c r="B317" s="7">
        <v>0</v>
      </c>
      <c r="C317" s="7">
        <v>0</v>
      </c>
      <c r="D317" s="7">
        <v>0</v>
      </c>
      <c r="E317" s="7">
        <v>0</v>
      </c>
      <c r="F317" s="7">
        <v>0</v>
      </c>
      <c r="G317" s="7">
        <v>0</v>
      </c>
      <c r="H317" s="7">
        <v>0</v>
      </c>
      <c r="I317" s="7">
        <v>0</v>
      </c>
      <c r="J317" s="7">
        <v>0</v>
      </c>
      <c r="K317" s="7">
        <v>0</v>
      </c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</row>
    <row r="318" spans="1:17">
      <c r="A318" s="2">
        <v>2266</v>
      </c>
      <c r="B318" s="7">
        <v>0</v>
      </c>
      <c r="C318" s="7">
        <v>0</v>
      </c>
      <c r="D318" s="7">
        <v>0</v>
      </c>
      <c r="E318" s="7">
        <v>0</v>
      </c>
      <c r="F318" s="7">
        <v>0</v>
      </c>
      <c r="G318" s="7">
        <v>0</v>
      </c>
      <c r="H318" s="7">
        <v>0</v>
      </c>
      <c r="I318" s="7">
        <v>0</v>
      </c>
      <c r="J318" s="7">
        <v>0</v>
      </c>
      <c r="K318" s="7">
        <v>0</v>
      </c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</row>
    <row r="319" spans="1:17">
      <c r="A319" s="2">
        <v>2267</v>
      </c>
      <c r="B319" s="7">
        <v>0</v>
      </c>
      <c r="C319" s="7">
        <v>0</v>
      </c>
      <c r="D319" s="7">
        <v>0</v>
      </c>
      <c r="E319" s="7">
        <v>0</v>
      </c>
      <c r="F319" s="7">
        <v>0</v>
      </c>
      <c r="G319" s="7">
        <v>0</v>
      </c>
      <c r="H319" s="7">
        <v>0</v>
      </c>
      <c r="I319" s="7">
        <v>0</v>
      </c>
      <c r="J319" s="7">
        <v>0</v>
      </c>
      <c r="K319" s="7">
        <v>0</v>
      </c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</row>
    <row r="320" spans="1:17">
      <c r="A320" s="2">
        <v>2268</v>
      </c>
      <c r="B320" s="7">
        <v>0</v>
      </c>
      <c r="C320" s="7">
        <v>0</v>
      </c>
      <c r="D320" s="7">
        <v>0</v>
      </c>
      <c r="E320" s="7">
        <v>0</v>
      </c>
      <c r="F320" s="7">
        <v>0</v>
      </c>
      <c r="G320" s="7">
        <v>0</v>
      </c>
      <c r="H320" s="7">
        <v>0</v>
      </c>
      <c r="I320" s="7">
        <v>0</v>
      </c>
      <c r="J320" s="7">
        <v>0</v>
      </c>
      <c r="K320" s="7">
        <v>0</v>
      </c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</row>
    <row r="321" spans="1:17">
      <c r="A321" s="2">
        <v>2269</v>
      </c>
      <c r="B321" s="7">
        <v>0</v>
      </c>
      <c r="C321" s="7">
        <v>0</v>
      </c>
      <c r="D321" s="7">
        <v>0</v>
      </c>
      <c r="E321" s="7">
        <v>0</v>
      </c>
      <c r="F321" s="7">
        <v>0</v>
      </c>
      <c r="G321" s="7">
        <v>0</v>
      </c>
      <c r="H321" s="7">
        <v>0</v>
      </c>
      <c r="I321" s="7">
        <v>0</v>
      </c>
      <c r="J321" s="7">
        <v>0</v>
      </c>
      <c r="K321" s="7">
        <v>0</v>
      </c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</row>
    <row r="322" spans="1:17">
      <c r="A322" s="2">
        <v>2270</v>
      </c>
      <c r="B322" s="7">
        <v>0</v>
      </c>
      <c r="C322" s="7">
        <v>0</v>
      </c>
      <c r="D322" s="7">
        <v>0</v>
      </c>
      <c r="E322" s="7">
        <v>0</v>
      </c>
      <c r="F322" s="7">
        <v>0</v>
      </c>
      <c r="G322" s="7">
        <v>0</v>
      </c>
      <c r="H322" s="7">
        <v>0</v>
      </c>
      <c r="I322" s="7">
        <v>0</v>
      </c>
      <c r="J322" s="7">
        <v>0</v>
      </c>
      <c r="K322" s="7">
        <v>0</v>
      </c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</row>
    <row r="323" spans="1:17">
      <c r="A323" s="2">
        <v>2271</v>
      </c>
      <c r="B323" s="7">
        <v>0</v>
      </c>
      <c r="C323" s="7">
        <v>0</v>
      </c>
      <c r="D323" s="7">
        <v>0</v>
      </c>
      <c r="E323" s="7">
        <v>0</v>
      </c>
      <c r="F323" s="7">
        <v>0</v>
      </c>
      <c r="G323" s="7">
        <v>0</v>
      </c>
      <c r="H323" s="7">
        <v>0</v>
      </c>
      <c r="I323" s="7">
        <v>0</v>
      </c>
      <c r="J323" s="7">
        <v>0</v>
      </c>
      <c r="K323" s="7">
        <v>0</v>
      </c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</row>
    <row r="324" spans="1:17">
      <c r="A324" s="2">
        <v>2272</v>
      </c>
      <c r="B324" s="7">
        <v>0</v>
      </c>
      <c r="C324" s="7">
        <v>0</v>
      </c>
      <c r="D324" s="7">
        <v>0</v>
      </c>
      <c r="E324" s="7">
        <v>0</v>
      </c>
      <c r="F324" s="7">
        <v>0</v>
      </c>
      <c r="G324" s="7">
        <v>0</v>
      </c>
      <c r="H324" s="7">
        <v>0</v>
      </c>
      <c r="I324" s="7">
        <v>0</v>
      </c>
      <c r="J324" s="7">
        <v>0</v>
      </c>
      <c r="K324" s="7">
        <v>0</v>
      </c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</row>
    <row r="325" spans="1:17">
      <c r="A325" s="2">
        <v>2273</v>
      </c>
      <c r="B325" s="7">
        <v>0</v>
      </c>
      <c r="C325" s="7">
        <v>0</v>
      </c>
      <c r="D325" s="7">
        <v>0</v>
      </c>
      <c r="E325" s="7">
        <v>0</v>
      </c>
      <c r="F325" s="7">
        <v>0</v>
      </c>
      <c r="G325" s="7">
        <v>0</v>
      </c>
      <c r="H325" s="7">
        <v>0</v>
      </c>
      <c r="I325" s="7">
        <v>0</v>
      </c>
      <c r="J325" s="7">
        <v>0</v>
      </c>
      <c r="K325" s="7">
        <v>0</v>
      </c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</row>
    <row r="326" spans="1:17">
      <c r="A326" s="2">
        <v>2274</v>
      </c>
      <c r="B326" s="7">
        <v>0</v>
      </c>
      <c r="C326" s="7">
        <v>0</v>
      </c>
      <c r="D326" s="7">
        <v>0</v>
      </c>
      <c r="E326" s="7">
        <v>0</v>
      </c>
      <c r="F326" s="7">
        <v>0</v>
      </c>
      <c r="G326" s="7">
        <v>0</v>
      </c>
      <c r="H326" s="7">
        <v>0</v>
      </c>
      <c r="I326" s="7">
        <v>0</v>
      </c>
      <c r="J326" s="7">
        <v>0</v>
      </c>
      <c r="K326" s="7">
        <v>0</v>
      </c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</row>
    <row r="327" spans="1:17">
      <c r="A327" s="2">
        <v>2275</v>
      </c>
      <c r="B327" s="7">
        <v>0</v>
      </c>
      <c r="C327" s="7">
        <v>0</v>
      </c>
      <c r="D327" s="7">
        <v>0</v>
      </c>
      <c r="E327" s="7">
        <v>0</v>
      </c>
      <c r="F327" s="7">
        <v>0</v>
      </c>
      <c r="G327" s="7">
        <v>0</v>
      </c>
      <c r="H327" s="7">
        <v>0</v>
      </c>
      <c r="I327" s="7">
        <v>0</v>
      </c>
      <c r="J327" s="7">
        <v>0</v>
      </c>
      <c r="K327" s="7">
        <v>0</v>
      </c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</row>
    <row r="328" spans="1:17">
      <c r="A328" s="2">
        <v>2276</v>
      </c>
      <c r="B328" s="7">
        <v>0</v>
      </c>
      <c r="C328" s="7">
        <v>0</v>
      </c>
      <c r="D328" s="7">
        <v>0</v>
      </c>
      <c r="E328" s="7">
        <v>0</v>
      </c>
      <c r="F328" s="7">
        <v>0</v>
      </c>
      <c r="G328" s="7">
        <v>0</v>
      </c>
      <c r="H328" s="7">
        <v>0</v>
      </c>
      <c r="I328" s="7">
        <v>0</v>
      </c>
      <c r="J328" s="7">
        <v>0</v>
      </c>
      <c r="K328" s="7">
        <v>0</v>
      </c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</row>
    <row r="329" spans="1:17">
      <c r="A329" s="2">
        <v>2277</v>
      </c>
      <c r="B329" s="7">
        <v>0</v>
      </c>
      <c r="C329" s="7">
        <v>0</v>
      </c>
      <c r="D329" s="7">
        <v>0</v>
      </c>
      <c r="E329" s="7">
        <v>0</v>
      </c>
      <c r="F329" s="7">
        <v>0</v>
      </c>
      <c r="G329" s="7">
        <v>0</v>
      </c>
      <c r="H329" s="7">
        <v>0</v>
      </c>
      <c r="I329" s="7">
        <v>0</v>
      </c>
      <c r="J329" s="7">
        <v>0</v>
      </c>
      <c r="K329" s="7">
        <v>0</v>
      </c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</row>
    <row r="330" spans="1:17">
      <c r="A330" s="2">
        <v>2278</v>
      </c>
      <c r="B330" s="7">
        <v>0</v>
      </c>
      <c r="C330" s="7">
        <v>0</v>
      </c>
      <c r="D330" s="7">
        <v>0</v>
      </c>
      <c r="E330" s="7">
        <v>0</v>
      </c>
      <c r="F330" s="7">
        <v>0</v>
      </c>
      <c r="G330" s="7">
        <v>0</v>
      </c>
      <c r="H330" s="7">
        <v>0</v>
      </c>
      <c r="I330" s="7">
        <v>0</v>
      </c>
      <c r="J330" s="7">
        <v>0</v>
      </c>
      <c r="K330" s="7">
        <v>0</v>
      </c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</row>
    <row r="331" spans="1:17">
      <c r="A331" s="2">
        <v>2279</v>
      </c>
      <c r="B331" s="7">
        <v>0</v>
      </c>
      <c r="C331" s="7">
        <v>0</v>
      </c>
      <c r="D331" s="7">
        <v>0</v>
      </c>
      <c r="E331" s="7">
        <v>0</v>
      </c>
      <c r="F331" s="7">
        <v>0</v>
      </c>
      <c r="G331" s="7">
        <v>0</v>
      </c>
      <c r="H331" s="7">
        <v>0</v>
      </c>
      <c r="I331" s="7">
        <v>0</v>
      </c>
      <c r="J331" s="7">
        <v>0</v>
      </c>
      <c r="K331" s="7">
        <v>0</v>
      </c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</row>
    <row r="332" spans="1:17">
      <c r="A332" s="2">
        <v>2280</v>
      </c>
      <c r="B332" s="7">
        <v>0</v>
      </c>
      <c r="C332" s="7">
        <v>0</v>
      </c>
      <c r="D332" s="7">
        <v>0</v>
      </c>
      <c r="E332" s="7">
        <v>0</v>
      </c>
      <c r="F332" s="7">
        <v>0</v>
      </c>
      <c r="G332" s="7">
        <v>0</v>
      </c>
      <c r="H332" s="7">
        <v>0</v>
      </c>
      <c r="I332" s="7">
        <v>0</v>
      </c>
      <c r="J332" s="7">
        <v>0</v>
      </c>
      <c r="K332" s="7">
        <v>0</v>
      </c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</row>
    <row r="333" spans="1:17">
      <c r="A333" s="2">
        <v>2281</v>
      </c>
      <c r="B333" s="7">
        <v>0</v>
      </c>
      <c r="C333" s="7">
        <v>0</v>
      </c>
      <c r="D333" s="7">
        <v>0</v>
      </c>
      <c r="E333" s="7">
        <v>0</v>
      </c>
      <c r="F333" s="7">
        <v>0</v>
      </c>
      <c r="G333" s="7">
        <v>0</v>
      </c>
      <c r="H333" s="7">
        <v>0</v>
      </c>
      <c r="I333" s="7">
        <v>0</v>
      </c>
      <c r="J333" s="7">
        <v>0</v>
      </c>
      <c r="K333" s="7">
        <v>0</v>
      </c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</row>
    <row r="334" spans="1:17">
      <c r="A334" s="2">
        <v>2282</v>
      </c>
      <c r="B334" s="7">
        <v>0</v>
      </c>
      <c r="C334" s="7">
        <v>0</v>
      </c>
      <c r="D334" s="7">
        <v>0</v>
      </c>
      <c r="E334" s="7">
        <v>0</v>
      </c>
      <c r="F334" s="7">
        <v>0</v>
      </c>
      <c r="G334" s="7">
        <v>0</v>
      </c>
      <c r="H334" s="7">
        <v>0</v>
      </c>
      <c r="I334" s="7">
        <v>0</v>
      </c>
      <c r="J334" s="7">
        <v>0</v>
      </c>
      <c r="K334" s="7">
        <v>0</v>
      </c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</row>
    <row r="335" spans="1:17">
      <c r="A335" s="2">
        <v>2283</v>
      </c>
      <c r="B335" s="7">
        <v>0</v>
      </c>
      <c r="C335" s="7">
        <v>0</v>
      </c>
      <c r="D335" s="7">
        <v>0</v>
      </c>
      <c r="E335" s="7">
        <v>0</v>
      </c>
      <c r="F335" s="7">
        <v>0</v>
      </c>
      <c r="G335" s="7">
        <v>0</v>
      </c>
      <c r="H335" s="7">
        <v>0</v>
      </c>
      <c r="I335" s="7">
        <v>0</v>
      </c>
      <c r="J335" s="7">
        <v>0</v>
      </c>
      <c r="K335" s="7">
        <v>0</v>
      </c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</row>
    <row r="336" spans="1:17">
      <c r="A336" s="2">
        <v>2284</v>
      </c>
      <c r="B336" s="7">
        <v>0</v>
      </c>
      <c r="C336" s="7">
        <v>0</v>
      </c>
      <c r="D336" s="7">
        <v>0</v>
      </c>
      <c r="E336" s="7">
        <v>0</v>
      </c>
      <c r="F336" s="7">
        <v>0</v>
      </c>
      <c r="G336" s="7">
        <v>0</v>
      </c>
      <c r="H336" s="7">
        <v>0</v>
      </c>
      <c r="I336" s="7">
        <v>0</v>
      </c>
      <c r="J336" s="7">
        <v>0</v>
      </c>
      <c r="K336" s="7">
        <v>0</v>
      </c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</row>
    <row r="337" spans="1:17">
      <c r="A337" s="2">
        <v>2285</v>
      </c>
      <c r="B337" s="7">
        <v>0</v>
      </c>
      <c r="C337" s="7">
        <v>0</v>
      </c>
      <c r="D337" s="7">
        <v>0</v>
      </c>
      <c r="E337" s="7">
        <v>0</v>
      </c>
      <c r="F337" s="7">
        <v>0</v>
      </c>
      <c r="G337" s="7">
        <v>0</v>
      </c>
      <c r="H337" s="7">
        <v>0</v>
      </c>
      <c r="I337" s="7">
        <v>0</v>
      </c>
      <c r="J337" s="7">
        <v>0</v>
      </c>
      <c r="K337" s="7">
        <v>0</v>
      </c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</row>
    <row r="338" spans="1:17">
      <c r="A338" s="2">
        <v>2286</v>
      </c>
      <c r="B338" s="7">
        <v>0</v>
      </c>
      <c r="C338" s="7">
        <v>0</v>
      </c>
      <c r="D338" s="7">
        <v>0</v>
      </c>
      <c r="E338" s="7">
        <v>0</v>
      </c>
      <c r="F338" s="7">
        <v>0</v>
      </c>
      <c r="G338" s="7">
        <v>0</v>
      </c>
      <c r="H338" s="7">
        <v>0</v>
      </c>
      <c r="I338" s="7">
        <v>0</v>
      </c>
      <c r="J338" s="7">
        <v>0</v>
      </c>
      <c r="K338" s="7">
        <v>0</v>
      </c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</row>
    <row r="339" spans="1:17">
      <c r="A339" s="2">
        <v>2287</v>
      </c>
      <c r="B339" s="7">
        <v>0</v>
      </c>
      <c r="C339" s="7">
        <v>0</v>
      </c>
      <c r="D339" s="7">
        <v>0</v>
      </c>
      <c r="E339" s="7">
        <v>0</v>
      </c>
      <c r="F339" s="7">
        <v>0</v>
      </c>
      <c r="G339" s="7">
        <v>0</v>
      </c>
      <c r="H339" s="7">
        <v>0</v>
      </c>
      <c r="I339" s="7">
        <v>0</v>
      </c>
      <c r="J339" s="7">
        <v>0</v>
      </c>
      <c r="K339" s="7">
        <v>0</v>
      </c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</row>
    <row r="340" spans="1:17">
      <c r="A340" s="2">
        <v>2288</v>
      </c>
      <c r="B340" s="7">
        <v>0</v>
      </c>
      <c r="C340" s="7">
        <v>0</v>
      </c>
      <c r="D340" s="7">
        <v>0</v>
      </c>
      <c r="E340" s="7">
        <v>0</v>
      </c>
      <c r="F340" s="7">
        <v>0</v>
      </c>
      <c r="G340" s="7">
        <v>0</v>
      </c>
      <c r="H340" s="7">
        <v>0</v>
      </c>
      <c r="I340" s="7">
        <v>0</v>
      </c>
      <c r="J340" s="7">
        <v>0</v>
      </c>
      <c r="K340" s="7">
        <v>0</v>
      </c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</row>
    <row r="341" spans="1:17">
      <c r="A341" s="2">
        <v>2289</v>
      </c>
      <c r="B341" s="7">
        <v>0</v>
      </c>
      <c r="C341" s="7">
        <v>0</v>
      </c>
      <c r="D341" s="7">
        <v>0</v>
      </c>
      <c r="E341" s="7">
        <v>0</v>
      </c>
      <c r="F341" s="7">
        <v>0</v>
      </c>
      <c r="G341" s="7">
        <v>0</v>
      </c>
      <c r="H341" s="7">
        <v>0</v>
      </c>
      <c r="I341" s="7">
        <v>0</v>
      </c>
      <c r="J341" s="7">
        <v>0</v>
      </c>
      <c r="K341" s="7">
        <v>0</v>
      </c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</row>
    <row r="342" spans="1:17">
      <c r="A342" s="2">
        <v>2290</v>
      </c>
      <c r="B342" s="7">
        <v>0</v>
      </c>
      <c r="C342" s="7">
        <v>0</v>
      </c>
      <c r="D342" s="7">
        <v>0</v>
      </c>
      <c r="E342" s="7">
        <v>0</v>
      </c>
      <c r="F342" s="7">
        <v>0</v>
      </c>
      <c r="G342" s="7">
        <v>0</v>
      </c>
      <c r="H342" s="7">
        <v>0</v>
      </c>
      <c r="I342" s="7">
        <v>0</v>
      </c>
      <c r="J342" s="7">
        <v>0</v>
      </c>
      <c r="K342" s="7">
        <v>0</v>
      </c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</row>
    <row r="343" spans="1:17">
      <c r="A343" s="2">
        <v>2291</v>
      </c>
      <c r="B343" s="7">
        <v>0</v>
      </c>
      <c r="C343" s="7">
        <v>0</v>
      </c>
      <c r="D343" s="7">
        <v>0</v>
      </c>
      <c r="E343" s="7">
        <v>0</v>
      </c>
      <c r="F343" s="7">
        <v>0</v>
      </c>
      <c r="G343" s="7">
        <v>0</v>
      </c>
      <c r="H343" s="7">
        <v>0</v>
      </c>
      <c r="I343" s="7">
        <v>0</v>
      </c>
      <c r="J343" s="7">
        <v>0</v>
      </c>
      <c r="K343" s="7">
        <v>0</v>
      </c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</row>
    <row r="344" spans="1:17">
      <c r="A344" s="2">
        <v>2292</v>
      </c>
      <c r="B344" s="7">
        <v>0</v>
      </c>
      <c r="C344" s="7">
        <v>0</v>
      </c>
      <c r="D344" s="7">
        <v>0</v>
      </c>
      <c r="E344" s="7">
        <v>0</v>
      </c>
      <c r="F344" s="7">
        <v>0</v>
      </c>
      <c r="G344" s="7">
        <v>0</v>
      </c>
      <c r="H344" s="7">
        <v>0</v>
      </c>
      <c r="I344" s="7">
        <v>0</v>
      </c>
      <c r="J344" s="7">
        <v>0</v>
      </c>
      <c r="K344" s="7">
        <v>0</v>
      </c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</row>
    <row r="345" spans="1:17">
      <c r="A345" s="2">
        <v>2293</v>
      </c>
      <c r="B345" s="7">
        <v>0</v>
      </c>
      <c r="C345" s="7">
        <v>0</v>
      </c>
      <c r="D345" s="7">
        <v>0</v>
      </c>
      <c r="E345" s="7">
        <v>0</v>
      </c>
      <c r="F345" s="7">
        <v>0</v>
      </c>
      <c r="G345" s="7">
        <v>0</v>
      </c>
      <c r="H345" s="7">
        <v>0</v>
      </c>
      <c r="I345" s="7">
        <v>0</v>
      </c>
      <c r="J345" s="7">
        <v>0</v>
      </c>
      <c r="K345" s="7">
        <v>0</v>
      </c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</row>
    <row r="346" spans="1:17">
      <c r="A346" s="2">
        <v>2294</v>
      </c>
      <c r="B346" s="7">
        <v>0</v>
      </c>
      <c r="C346" s="7">
        <v>0</v>
      </c>
      <c r="D346" s="7">
        <v>0</v>
      </c>
      <c r="E346" s="7">
        <v>0</v>
      </c>
      <c r="F346" s="7">
        <v>0</v>
      </c>
      <c r="G346" s="7">
        <v>0</v>
      </c>
      <c r="H346" s="7">
        <v>0</v>
      </c>
      <c r="I346" s="7">
        <v>0</v>
      </c>
      <c r="J346" s="7">
        <v>0</v>
      </c>
      <c r="K346" s="7">
        <v>0</v>
      </c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</row>
    <row r="347" spans="1:17">
      <c r="A347" s="2">
        <v>2295</v>
      </c>
      <c r="B347" s="7">
        <v>0</v>
      </c>
      <c r="C347" s="7">
        <v>0</v>
      </c>
      <c r="D347" s="7">
        <v>0</v>
      </c>
      <c r="E347" s="7">
        <v>0</v>
      </c>
      <c r="F347" s="7">
        <v>0</v>
      </c>
      <c r="G347" s="7">
        <v>0</v>
      </c>
      <c r="H347" s="7">
        <v>0</v>
      </c>
      <c r="I347" s="7">
        <v>0</v>
      </c>
      <c r="J347" s="7">
        <v>0</v>
      </c>
      <c r="K347" s="7">
        <v>0</v>
      </c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</row>
    <row r="348" spans="1:17">
      <c r="A348" s="2">
        <v>2296</v>
      </c>
      <c r="B348" s="7">
        <v>0</v>
      </c>
      <c r="C348" s="7">
        <v>0</v>
      </c>
      <c r="D348" s="7">
        <v>0</v>
      </c>
      <c r="E348" s="7">
        <v>0</v>
      </c>
      <c r="F348" s="7">
        <v>0</v>
      </c>
      <c r="G348" s="7">
        <v>0</v>
      </c>
      <c r="H348" s="7">
        <v>0</v>
      </c>
      <c r="I348" s="7">
        <v>0</v>
      </c>
      <c r="J348" s="7">
        <v>0</v>
      </c>
      <c r="K348" s="7">
        <v>0</v>
      </c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</row>
    <row r="349" spans="1:17">
      <c r="A349" s="2">
        <v>2297</v>
      </c>
      <c r="B349" s="7">
        <v>0</v>
      </c>
      <c r="C349" s="7">
        <v>0</v>
      </c>
      <c r="D349" s="7">
        <v>0</v>
      </c>
      <c r="E349" s="7">
        <v>0</v>
      </c>
      <c r="F349" s="7">
        <v>0</v>
      </c>
      <c r="G349" s="7">
        <v>0</v>
      </c>
      <c r="H349" s="7">
        <v>0</v>
      </c>
      <c r="I349" s="7">
        <v>0</v>
      </c>
      <c r="J349" s="7">
        <v>0</v>
      </c>
      <c r="K349" s="7">
        <v>0</v>
      </c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</row>
    <row r="350" spans="1:17">
      <c r="A350" s="2">
        <v>2298</v>
      </c>
      <c r="B350" s="7">
        <v>0</v>
      </c>
      <c r="C350" s="7">
        <v>0</v>
      </c>
      <c r="D350" s="7">
        <v>0</v>
      </c>
      <c r="E350" s="7">
        <v>0</v>
      </c>
      <c r="F350" s="7">
        <v>0</v>
      </c>
      <c r="G350" s="7">
        <v>0</v>
      </c>
      <c r="H350" s="7">
        <v>0</v>
      </c>
      <c r="I350" s="7">
        <v>0</v>
      </c>
      <c r="J350" s="7">
        <v>0</v>
      </c>
      <c r="K350" s="7">
        <v>0</v>
      </c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</row>
    <row r="351" spans="1:17">
      <c r="A351" s="2">
        <v>2299</v>
      </c>
      <c r="B351" s="7">
        <v>0</v>
      </c>
      <c r="C351" s="7">
        <v>0</v>
      </c>
      <c r="D351" s="7">
        <v>0</v>
      </c>
      <c r="E351" s="7">
        <v>0</v>
      </c>
      <c r="F351" s="7">
        <v>0</v>
      </c>
      <c r="G351" s="7">
        <v>0</v>
      </c>
      <c r="H351" s="7">
        <v>0</v>
      </c>
      <c r="I351" s="7">
        <v>0</v>
      </c>
      <c r="J351" s="7">
        <v>0</v>
      </c>
      <c r="K351" s="7">
        <v>0</v>
      </c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</row>
    <row r="352" spans="1:17">
      <c r="A352" s="2">
        <v>2300</v>
      </c>
      <c r="B352" s="7">
        <v>0</v>
      </c>
      <c r="C352" s="7">
        <v>0</v>
      </c>
      <c r="D352" s="7">
        <v>0</v>
      </c>
      <c r="E352" s="7">
        <v>0</v>
      </c>
      <c r="F352" s="7">
        <v>0</v>
      </c>
      <c r="G352" s="7">
        <v>0</v>
      </c>
      <c r="H352" s="7">
        <v>0</v>
      </c>
      <c r="I352" s="7">
        <v>0</v>
      </c>
      <c r="J352" s="7">
        <v>0</v>
      </c>
      <c r="K352" s="7">
        <v>0</v>
      </c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</row>
    <row r="353" spans="1:17">
      <c r="A353" s="2">
        <v>2301</v>
      </c>
      <c r="B353" s="7">
        <v>0</v>
      </c>
      <c r="C353" s="7">
        <v>0</v>
      </c>
      <c r="D353" s="7">
        <v>0</v>
      </c>
      <c r="E353" s="7">
        <v>0</v>
      </c>
      <c r="F353" s="7">
        <v>0</v>
      </c>
      <c r="G353" s="7">
        <v>0</v>
      </c>
      <c r="H353" s="7">
        <v>0</v>
      </c>
      <c r="I353" s="7">
        <v>0</v>
      </c>
      <c r="J353" s="7">
        <v>0</v>
      </c>
      <c r="K353" s="7">
        <v>0</v>
      </c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</row>
    <row r="354" spans="1:17">
      <c r="A354" s="2">
        <v>2302</v>
      </c>
      <c r="B354" s="7">
        <v>0</v>
      </c>
      <c r="C354" s="7">
        <v>0</v>
      </c>
      <c r="D354" s="7">
        <v>0</v>
      </c>
      <c r="E354" s="7">
        <v>0</v>
      </c>
      <c r="F354" s="7">
        <v>0</v>
      </c>
      <c r="G354" s="7">
        <v>0</v>
      </c>
      <c r="H354" s="7">
        <v>0</v>
      </c>
      <c r="I354" s="7">
        <v>0</v>
      </c>
      <c r="J354" s="7">
        <v>0</v>
      </c>
      <c r="K354" s="7">
        <v>0</v>
      </c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</row>
    <row r="355" spans="1:17">
      <c r="A355" s="2">
        <v>2303</v>
      </c>
      <c r="B355" s="7">
        <v>0</v>
      </c>
      <c r="C355" s="7">
        <v>0</v>
      </c>
      <c r="D355" s="7">
        <v>0</v>
      </c>
      <c r="E355" s="7">
        <v>0</v>
      </c>
      <c r="F355" s="7">
        <v>0</v>
      </c>
      <c r="G355" s="7">
        <v>0</v>
      </c>
      <c r="H355" s="7">
        <v>0</v>
      </c>
      <c r="I355" s="7">
        <v>0</v>
      </c>
      <c r="J355" s="7">
        <v>0</v>
      </c>
      <c r="K355" s="7">
        <v>0</v>
      </c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</row>
    <row r="356" spans="1:17">
      <c r="A356" s="2">
        <v>2304</v>
      </c>
      <c r="B356" s="7">
        <v>0</v>
      </c>
      <c r="C356" s="7">
        <v>0</v>
      </c>
      <c r="D356" s="7">
        <v>0</v>
      </c>
      <c r="E356" s="7">
        <v>0</v>
      </c>
      <c r="F356" s="7">
        <v>0</v>
      </c>
      <c r="G356" s="7">
        <v>0</v>
      </c>
      <c r="H356" s="7">
        <v>0</v>
      </c>
      <c r="I356" s="7">
        <v>0</v>
      </c>
      <c r="J356" s="7">
        <v>0</v>
      </c>
      <c r="K356" s="7">
        <v>0</v>
      </c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</row>
    <row r="357" spans="1:17">
      <c r="A357" s="2">
        <v>2305</v>
      </c>
      <c r="B357" s="7">
        <v>0</v>
      </c>
      <c r="C357" s="7">
        <v>0</v>
      </c>
      <c r="D357" s="7">
        <v>0</v>
      </c>
      <c r="E357" s="7">
        <v>0</v>
      </c>
      <c r="F357" s="7">
        <v>0</v>
      </c>
      <c r="G357" s="7">
        <v>0</v>
      </c>
      <c r="H357" s="7">
        <v>0</v>
      </c>
      <c r="I357" s="7">
        <v>0</v>
      </c>
      <c r="J357" s="7">
        <v>0</v>
      </c>
      <c r="K357" s="7">
        <v>0</v>
      </c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</row>
    <row r="358" spans="1:17">
      <c r="A358" s="2">
        <v>2306</v>
      </c>
      <c r="B358" s="7">
        <v>0</v>
      </c>
      <c r="C358" s="7">
        <v>0</v>
      </c>
      <c r="D358" s="7">
        <v>0</v>
      </c>
      <c r="E358" s="7">
        <v>0</v>
      </c>
      <c r="F358" s="7">
        <v>0</v>
      </c>
      <c r="G358" s="7">
        <v>0</v>
      </c>
      <c r="H358" s="7">
        <v>0</v>
      </c>
      <c r="I358" s="7">
        <v>0</v>
      </c>
      <c r="J358" s="7">
        <v>0</v>
      </c>
      <c r="K358" s="7">
        <v>0</v>
      </c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</row>
    <row r="359" spans="1:17">
      <c r="A359" s="2">
        <v>2307</v>
      </c>
      <c r="B359" s="7">
        <v>0</v>
      </c>
      <c r="C359" s="7">
        <v>0</v>
      </c>
      <c r="D359" s="7">
        <v>0</v>
      </c>
      <c r="E359" s="7">
        <v>0</v>
      </c>
      <c r="F359" s="7">
        <v>0</v>
      </c>
      <c r="G359" s="7">
        <v>0</v>
      </c>
      <c r="H359" s="7">
        <v>0</v>
      </c>
      <c r="I359" s="7">
        <v>0</v>
      </c>
      <c r="J359" s="7">
        <v>0</v>
      </c>
      <c r="K359" s="7">
        <v>0</v>
      </c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</row>
    <row r="360" spans="1:17">
      <c r="A360" s="2">
        <v>2308</v>
      </c>
      <c r="B360" s="7">
        <v>0</v>
      </c>
      <c r="C360" s="7">
        <v>0</v>
      </c>
      <c r="D360" s="7">
        <v>0</v>
      </c>
      <c r="E360" s="7">
        <v>0</v>
      </c>
      <c r="F360" s="7">
        <v>0</v>
      </c>
      <c r="G360" s="7">
        <v>0</v>
      </c>
      <c r="H360" s="7">
        <v>0</v>
      </c>
      <c r="I360" s="7">
        <v>0</v>
      </c>
      <c r="J360" s="7">
        <v>0</v>
      </c>
      <c r="K360" s="7">
        <v>0</v>
      </c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</row>
    <row r="361" spans="1:17">
      <c r="A361" s="2">
        <v>2309</v>
      </c>
      <c r="B361" s="7">
        <v>0</v>
      </c>
      <c r="C361" s="7">
        <v>0</v>
      </c>
      <c r="D361" s="7">
        <v>0</v>
      </c>
      <c r="E361" s="7">
        <v>0</v>
      </c>
      <c r="F361" s="7">
        <v>0</v>
      </c>
      <c r="G361" s="7">
        <v>0</v>
      </c>
      <c r="H361" s="7">
        <v>0</v>
      </c>
      <c r="I361" s="7">
        <v>0</v>
      </c>
      <c r="J361" s="7">
        <v>0</v>
      </c>
      <c r="K361" s="7">
        <v>0</v>
      </c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</row>
    <row r="362" spans="1:17">
      <c r="A362" s="2">
        <v>2310</v>
      </c>
      <c r="B362" s="7">
        <v>0</v>
      </c>
      <c r="C362" s="7">
        <v>0</v>
      </c>
      <c r="D362" s="7">
        <v>0</v>
      </c>
      <c r="E362" s="7">
        <v>0</v>
      </c>
      <c r="F362" s="7">
        <v>0</v>
      </c>
      <c r="G362" s="7">
        <v>0</v>
      </c>
      <c r="H362" s="7">
        <v>0</v>
      </c>
      <c r="I362" s="7">
        <v>0</v>
      </c>
      <c r="J362" s="7">
        <v>0</v>
      </c>
      <c r="K362" s="7">
        <v>0</v>
      </c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</row>
    <row r="363" spans="1:17">
      <c r="A363" s="2">
        <v>2311</v>
      </c>
      <c r="B363" s="7">
        <v>0</v>
      </c>
      <c r="C363" s="7">
        <v>0</v>
      </c>
      <c r="D363" s="7">
        <v>0</v>
      </c>
      <c r="E363" s="7">
        <v>0</v>
      </c>
      <c r="F363" s="7">
        <v>0</v>
      </c>
      <c r="G363" s="7">
        <v>0</v>
      </c>
      <c r="H363" s="7">
        <v>0</v>
      </c>
      <c r="I363" s="7">
        <v>0</v>
      </c>
      <c r="J363" s="7">
        <v>0</v>
      </c>
      <c r="K363" s="7">
        <v>0</v>
      </c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</row>
    <row r="364" spans="1:17">
      <c r="A364" s="2">
        <v>2312</v>
      </c>
      <c r="B364" s="7">
        <v>0</v>
      </c>
      <c r="C364" s="7">
        <v>0</v>
      </c>
      <c r="D364" s="7">
        <v>0</v>
      </c>
      <c r="E364" s="7">
        <v>0</v>
      </c>
      <c r="F364" s="7">
        <v>0</v>
      </c>
      <c r="G364" s="7">
        <v>0</v>
      </c>
      <c r="H364" s="7">
        <v>0</v>
      </c>
      <c r="I364" s="7">
        <v>0</v>
      </c>
      <c r="J364" s="7">
        <v>0</v>
      </c>
      <c r="K364" s="7">
        <v>0</v>
      </c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</row>
    <row r="365" spans="1:17">
      <c r="A365" s="2">
        <v>2313</v>
      </c>
      <c r="B365" s="7">
        <v>0</v>
      </c>
      <c r="C365" s="7">
        <v>0</v>
      </c>
      <c r="D365" s="7">
        <v>0</v>
      </c>
      <c r="E365" s="7">
        <v>0</v>
      </c>
      <c r="F365" s="7">
        <v>0</v>
      </c>
      <c r="G365" s="7">
        <v>0</v>
      </c>
      <c r="H365" s="7">
        <v>0</v>
      </c>
      <c r="I365" s="7">
        <v>0</v>
      </c>
      <c r="J365" s="7">
        <v>0</v>
      </c>
      <c r="K365" s="7">
        <v>0</v>
      </c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</row>
    <row r="366" spans="1:17">
      <c r="A366" s="2">
        <v>2314</v>
      </c>
      <c r="B366" s="7">
        <v>0</v>
      </c>
      <c r="C366" s="7">
        <v>0</v>
      </c>
      <c r="D366" s="7">
        <v>0</v>
      </c>
      <c r="E366" s="7">
        <v>0</v>
      </c>
      <c r="F366" s="7">
        <v>0</v>
      </c>
      <c r="G366" s="7">
        <v>0</v>
      </c>
      <c r="H366" s="7">
        <v>0</v>
      </c>
      <c r="I366" s="7">
        <v>0</v>
      </c>
      <c r="J366" s="7">
        <v>0</v>
      </c>
      <c r="K366" s="7">
        <v>0</v>
      </c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</row>
    <row r="367" spans="1:17">
      <c r="A367" s="2">
        <v>2315</v>
      </c>
      <c r="B367" s="7">
        <v>0</v>
      </c>
      <c r="C367" s="7">
        <v>0</v>
      </c>
      <c r="D367" s="7">
        <v>0</v>
      </c>
      <c r="E367" s="7">
        <v>0</v>
      </c>
      <c r="F367" s="7">
        <v>0</v>
      </c>
      <c r="G367" s="7">
        <v>0</v>
      </c>
      <c r="H367" s="7">
        <v>0</v>
      </c>
      <c r="I367" s="7">
        <v>0</v>
      </c>
      <c r="J367" s="7">
        <v>0</v>
      </c>
      <c r="K367" s="7">
        <v>0</v>
      </c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</row>
    <row r="368" spans="1:17">
      <c r="A368" s="2">
        <v>2316</v>
      </c>
      <c r="B368" s="7">
        <v>0</v>
      </c>
      <c r="C368" s="7">
        <v>0</v>
      </c>
      <c r="D368" s="7">
        <v>0</v>
      </c>
      <c r="E368" s="7">
        <v>0</v>
      </c>
      <c r="F368" s="7">
        <v>0</v>
      </c>
      <c r="G368" s="7">
        <v>0</v>
      </c>
      <c r="H368" s="7">
        <v>0</v>
      </c>
      <c r="I368" s="7">
        <v>0</v>
      </c>
      <c r="J368" s="7">
        <v>0</v>
      </c>
      <c r="K368" s="7">
        <v>0</v>
      </c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</row>
    <row r="369" spans="1:17">
      <c r="A369" s="2">
        <v>2317</v>
      </c>
      <c r="B369" s="7">
        <v>0</v>
      </c>
      <c r="C369" s="7">
        <v>0</v>
      </c>
      <c r="D369" s="7">
        <v>0</v>
      </c>
      <c r="E369" s="7">
        <v>0</v>
      </c>
      <c r="F369" s="7">
        <v>0</v>
      </c>
      <c r="G369" s="7">
        <v>0</v>
      </c>
      <c r="H369" s="7">
        <v>0</v>
      </c>
      <c r="I369" s="7">
        <v>0</v>
      </c>
      <c r="J369" s="7">
        <v>0</v>
      </c>
      <c r="K369" s="7">
        <v>0</v>
      </c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</row>
    <row r="370" spans="1:17">
      <c r="A370" s="2">
        <v>2318</v>
      </c>
      <c r="B370" s="7">
        <v>0</v>
      </c>
      <c r="C370" s="7">
        <v>0</v>
      </c>
      <c r="D370" s="7">
        <v>0</v>
      </c>
      <c r="E370" s="7">
        <v>0</v>
      </c>
      <c r="F370" s="7">
        <v>0</v>
      </c>
      <c r="G370" s="7">
        <v>0</v>
      </c>
      <c r="H370" s="7">
        <v>0</v>
      </c>
      <c r="I370" s="7">
        <v>0</v>
      </c>
      <c r="J370" s="7">
        <v>0</v>
      </c>
      <c r="K370" s="7">
        <v>0</v>
      </c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</row>
    <row r="371" spans="1:17">
      <c r="A371" s="2">
        <v>2319</v>
      </c>
      <c r="B371" s="7">
        <v>0</v>
      </c>
      <c r="C371" s="7">
        <v>0</v>
      </c>
      <c r="D371" s="7">
        <v>0</v>
      </c>
      <c r="E371" s="7">
        <v>0</v>
      </c>
      <c r="F371" s="7">
        <v>0</v>
      </c>
      <c r="G371" s="7">
        <v>0</v>
      </c>
      <c r="H371" s="7">
        <v>0</v>
      </c>
      <c r="I371" s="7">
        <v>0</v>
      </c>
      <c r="J371" s="7">
        <v>0</v>
      </c>
      <c r="K371" s="7">
        <v>0</v>
      </c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</row>
    <row r="372" spans="1:17">
      <c r="A372" s="2">
        <v>2320</v>
      </c>
      <c r="B372" s="7">
        <v>0</v>
      </c>
      <c r="C372" s="7">
        <v>0</v>
      </c>
      <c r="D372" s="7">
        <v>0</v>
      </c>
      <c r="E372" s="7">
        <v>0</v>
      </c>
      <c r="F372" s="7">
        <v>0</v>
      </c>
      <c r="G372" s="7">
        <v>0</v>
      </c>
      <c r="H372" s="7">
        <v>0</v>
      </c>
      <c r="I372" s="7">
        <v>0</v>
      </c>
      <c r="J372" s="7">
        <v>0</v>
      </c>
      <c r="K372" s="7">
        <v>0</v>
      </c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</row>
    <row r="373" spans="1:17">
      <c r="A373" s="2">
        <v>2321</v>
      </c>
      <c r="B373" s="7">
        <v>0</v>
      </c>
      <c r="C373" s="7">
        <v>0</v>
      </c>
      <c r="D373" s="7">
        <v>0</v>
      </c>
      <c r="E373" s="7">
        <v>0</v>
      </c>
      <c r="F373" s="7">
        <v>0</v>
      </c>
      <c r="G373" s="7">
        <v>0</v>
      </c>
      <c r="H373" s="7">
        <v>0</v>
      </c>
      <c r="I373" s="7">
        <v>0</v>
      </c>
      <c r="J373" s="7">
        <v>0</v>
      </c>
      <c r="K373" s="7">
        <v>0</v>
      </c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</row>
    <row r="374" spans="1:17">
      <c r="A374" s="2">
        <v>2322</v>
      </c>
      <c r="B374" s="7">
        <v>0</v>
      </c>
      <c r="C374" s="7">
        <v>0</v>
      </c>
      <c r="D374" s="7">
        <v>0</v>
      </c>
      <c r="E374" s="7">
        <v>0</v>
      </c>
      <c r="F374" s="7">
        <v>0</v>
      </c>
      <c r="G374" s="7">
        <v>0</v>
      </c>
      <c r="H374" s="7">
        <v>0</v>
      </c>
      <c r="I374" s="7">
        <v>0</v>
      </c>
      <c r="J374" s="7">
        <v>0</v>
      </c>
      <c r="K374" s="7">
        <v>0</v>
      </c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</row>
    <row r="375" spans="1:17">
      <c r="A375" s="2">
        <v>2323</v>
      </c>
      <c r="B375" s="7">
        <v>0</v>
      </c>
      <c r="C375" s="7">
        <v>0</v>
      </c>
      <c r="D375" s="7">
        <v>0</v>
      </c>
      <c r="E375" s="7">
        <v>0</v>
      </c>
      <c r="F375" s="7">
        <v>0</v>
      </c>
      <c r="G375" s="7">
        <v>0</v>
      </c>
      <c r="H375" s="7">
        <v>0</v>
      </c>
      <c r="I375" s="7">
        <v>0</v>
      </c>
      <c r="J375" s="7">
        <v>0</v>
      </c>
      <c r="K375" s="7">
        <v>0</v>
      </c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</row>
    <row r="376" spans="1:17">
      <c r="A376" s="2">
        <v>2324</v>
      </c>
      <c r="B376" s="7">
        <v>0</v>
      </c>
      <c r="C376" s="7">
        <v>0</v>
      </c>
      <c r="D376" s="7">
        <v>0</v>
      </c>
      <c r="E376" s="7">
        <v>0</v>
      </c>
      <c r="F376" s="7">
        <v>0</v>
      </c>
      <c r="G376" s="7">
        <v>0</v>
      </c>
      <c r="H376" s="7">
        <v>0</v>
      </c>
      <c r="I376" s="7">
        <v>0</v>
      </c>
      <c r="J376" s="7">
        <v>0</v>
      </c>
      <c r="K376" s="7">
        <v>0</v>
      </c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</row>
    <row r="377" spans="1:17">
      <c r="A377" s="2">
        <v>2325</v>
      </c>
      <c r="B377" s="7">
        <v>0</v>
      </c>
      <c r="C377" s="7">
        <v>0</v>
      </c>
      <c r="D377" s="7">
        <v>0</v>
      </c>
      <c r="E377" s="7">
        <v>0</v>
      </c>
      <c r="F377" s="7">
        <v>0</v>
      </c>
      <c r="G377" s="7">
        <v>0</v>
      </c>
      <c r="H377" s="7">
        <v>0</v>
      </c>
      <c r="I377" s="7">
        <v>0</v>
      </c>
      <c r="J377" s="7">
        <v>0</v>
      </c>
      <c r="K377" s="7">
        <v>0</v>
      </c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</row>
    <row r="378" spans="1:17">
      <c r="A378" s="2">
        <v>2326</v>
      </c>
      <c r="B378" s="7">
        <v>0</v>
      </c>
      <c r="C378" s="7">
        <v>0</v>
      </c>
      <c r="D378" s="7">
        <v>0</v>
      </c>
      <c r="E378" s="7">
        <v>0</v>
      </c>
      <c r="F378" s="7">
        <v>0</v>
      </c>
      <c r="G378" s="7">
        <v>0</v>
      </c>
      <c r="H378" s="7">
        <v>0</v>
      </c>
      <c r="I378" s="7">
        <v>0</v>
      </c>
      <c r="J378" s="7">
        <v>0</v>
      </c>
      <c r="K378" s="7">
        <v>0</v>
      </c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</row>
    <row r="379" spans="1:17">
      <c r="A379" s="2">
        <v>2327</v>
      </c>
      <c r="B379" s="7">
        <v>0</v>
      </c>
      <c r="C379" s="7">
        <v>0</v>
      </c>
      <c r="D379" s="7">
        <v>0</v>
      </c>
      <c r="E379" s="7">
        <v>0</v>
      </c>
      <c r="F379" s="7">
        <v>0</v>
      </c>
      <c r="G379" s="7">
        <v>0</v>
      </c>
      <c r="H379" s="7">
        <v>0</v>
      </c>
      <c r="I379" s="7">
        <v>0</v>
      </c>
      <c r="J379" s="7">
        <v>0</v>
      </c>
      <c r="K379" s="7">
        <v>0</v>
      </c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</row>
    <row r="380" spans="1:17">
      <c r="A380" s="2">
        <v>2328</v>
      </c>
      <c r="B380" s="7">
        <v>0</v>
      </c>
      <c r="C380" s="7">
        <v>0</v>
      </c>
      <c r="D380" s="7">
        <v>0</v>
      </c>
      <c r="E380" s="7">
        <v>0</v>
      </c>
      <c r="F380" s="7">
        <v>0</v>
      </c>
      <c r="G380" s="7">
        <v>0</v>
      </c>
      <c r="H380" s="7">
        <v>0</v>
      </c>
      <c r="I380" s="7">
        <v>0</v>
      </c>
      <c r="J380" s="7">
        <v>0</v>
      </c>
      <c r="K380" s="7">
        <v>0</v>
      </c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</row>
    <row r="381" spans="1:17">
      <c r="A381" s="2">
        <v>2329</v>
      </c>
      <c r="B381" s="7">
        <v>0</v>
      </c>
      <c r="C381" s="7">
        <v>0</v>
      </c>
      <c r="D381" s="7">
        <v>0</v>
      </c>
      <c r="E381" s="7">
        <v>0</v>
      </c>
      <c r="F381" s="7">
        <v>0</v>
      </c>
      <c r="G381" s="7">
        <v>0</v>
      </c>
      <c r="H381" s="7">
        <v>0</v>
      </c>
      <c r="I381" s="7">
        <v>0</v>
      </c>
      <c r="J381" s="7">
        <v>0</v>
      </c>
      <c r="K381" s="7">
        <v>0</v>
      </c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</row>
    <row r="382" spans="1:17">
      <c r="A382" s="2">
        <v>2330</v>
      </c>
      <c r="B382" s="7">
        <v>0</v>
      </c>
      <c r="C382" s="7">
        <v>0</v>
      </c>
      <c r="D382" s="7">
        <v>0</v>
      </c>
      <c r="E382" s="7">
        <v>0</v>
      </c>
      <c r="F382" s="7">
        <v>0</v>
      </c>
      <c r="G382" s="7">
        <v>0</v>
      </c>
      <c r="H382" s="7">
        <v>0</v>
      </c>
      <c r="I382" s="7">
        <v>0</v>
      </c>
      <c r="J382" s="7">
        <v>0</v>
      </c>
      <c r="K382" s="7">
        <v>0</v>
      </c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</row>
    <row r="383" spans="1:17">
      <c r="A383" s="2">
        <v>2331</v>
      </c>
      <c r="B383" s="7">
        <v>0</v>
      </c>
      <c r="C383" s="7">
        <v>0</v>
      </c>
      <c r="D383" s="7">
        <v>0</v>
      </c>
      <c r="E383" s="7">
        <v>0</v>
      </c>
      <c r="F383" s="7">
        <v>0</v>
      </c>
      <c r="G383" s="7">
        <v>0</v>
      </c>
      <c r="H383" s="7">
        <v>0</v>
      </c>
      <c r="I383" s="7">
        <v>0</v>
      </c>
      <c r="J383" s="7">
        <v>0</v>
      </c>
      <c r="K383" s="7">
        <v>0</v>
      </c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</row>
    <row r="384" spans="1:17">
      <c r="A384" s="2">
        <v>2332</v>
      </c>
      <c r="B384" s="7">
        <v>0</v>
      </c>
      <c r="C384" s="7">
        <v>0</v>
      </c>
      <c r="D384" s="7">
        <v>0</v>
      </c>
      <c r="E384" s="7">
        <v>0</v>
      </c>
      <c r="F384" s="7">
        <v>0</v>
      </c>
      <c r="G384" s="7">
        <v>0</v>
      </c>
      <c r="H384" s="7">
        <v>0</v>
      </c>
      <c r="I384" s="7">
        <v>0</v>
      </c>
      <c r="J384" s="7">
        <v>0</v>
      </c>
      <c r="K384" s="7">
        <v>0</v>
      </c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</row>
    <row r="385" spans="1:17">
      <c r="A385" s="2">
        <v>2333</v>
      </c>
      <c r="B385" s="7">
        <v>0</v>
      </c>
      <c r="C385" s="7">
        <v>0</v>
      </c>
      <c r="D385" s="7">
        <v>0</v>
      </c>
      <c r="E385" s="7">
        <v>0</v>
      </c>
      <c r="F385" s="7">
        <v>0</v>
      </c>
      <c r="G385" s="7">
        <v>0</v>
      </c>
      <c r="H385" s="7">
        <v>0</v>
      </c>
      <c r="I385" s="7">
        <v>0</v>
      </c>
      <c r="J385" s="7">
        <v>0</v>
      </c>
      <c r="K385" s="7">
        <v>0</v>
      </c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</row>
    <row r="386" spans="1:17">
      <c r="A386" s="2">
        <v>2334</v>
      </c>
      <c r="B386" s="7">
        <v>0</v>
      </c>
      <c r="C386" s="7">
        <v>0</v>
      </c>
      <c r="D386" s="7">
        <v>0</v>
      </c>
      <c r="E386" s="7">
        <v>0</v>
      </c>
      <c r="F386" s="7">
        <v>0</v>
      </c>
      <c r="G386" s="7">
        <v>0</v>
      </c>
      <c r="H386" s="7">
        <v>0</v>
      </c>
      <c r="I386" s="7">
        <v>0</v>
      </c>
      <c r="J386" s="7">
        <v>0</v>
      </c>
      <c r="K386" s="7">
        <v>0</v>
      </c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</row>
    <row r="387" spans="1:17">
      <c r="A387" s="2">
        <v>2335</v>
      </c>
      <c r="B387" s="7">
        <v>0</v>
      </c>
      <c r="C387" s="7">
        <v>0</v>
      </c>
      <c r="D387" s="7">
        <v>0</v>
      </c>
      <c r="E387" s="7">
        <v>0</v>
      </c>
      <c r="F387" s="7">
        <v>0</v>
      </c>
      <c r="G387" s="7">
        <v>0</v>
      </c>
      <c r="H387" s="7">
        <v>0</v>
      </c>
      <c r="I387" s="7">
        <v>0</v>
      </c>
      <c r="J387" s="7">
        <v>0</v>
      </c>
      <c r="K387" s="7">
        <v>0</v>
      </c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</row>
    <row r="388" spans="1:17">
      <c r="A388" s="2">
        <v>2336</v>
      </c>
      <c r="B388" s="7">
        <v>0</v>
      </c>
      <c r="C388" s="7">
        <v>0</v>
      </c>
      <c r="D388" s="7">
        <v>0</v>
      </c>
      <c r="E388" s="7">
        <v>0</v>
      </c>
      <c r="F388" s="7">
        <v>0</v>
      </c>
      <c r="G388" s="7">
        <v>0</v>
      </c>
      <c r="H388" s="7">
        <v>0</v>
      </c>
      <c r="I388" s="7">
        <v>0</v>
      </c>
      <c r="J388" s="7">
        <v>0</v>
      </c>
      <c r="K388" s="7">
        <v>0</v>
      </c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</row>
    <row r="389" spans="1:17">
      <c r="A389" s="2">
        <v>2337</v>
      </c>
      <c r="B389" s="7">
        <v>0</v>
      </c>
      <c r="C389" s="7">
        <v>0</v>
      </c>
      <c r="D389" s="7">
        <v>0</v>
      </c>
      <c r="E389" s="7">
        <v>0</v>
      </c>
      <c r="F389" s="7">
        <v>0</v>
      </c>
      <c r="G389" s="7">
        <v>0</v>
      </c>
      <c r="H389" s="7">
        <v>0</v>
      </c>
      <c r="I389" s="7">
        <v>0</v>
      </c>
      <c r="J389" s="7">
        <v>0</v>
      </c>
      <c r="K389" s="7">
        <v>0</v>
      </c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</row>
    <row r="390" spans="1:17">
      <c r="A390" s="2">
        <v>2338</v>
      </c>
      <c r="B390" s="7">
        <v>0</v>
      </c>
      <c r="C390" s="7">
        <v>0</v>
      </c>
      <c r="D390" s="7">
        <v>0</v>
      </c>
      <c r="E390" s="7">
        <v>0</v>
      </c>
      <c r="F390" s="7">
        <v>0</v>
      </c>
      <c r="G390" s="7">
        <v>0</v>
      </c>
      <c r="H390" s="7">
        <v>0</v>
      </c>
      <c r="I390" s="7">
        <v>0</v>
      </c>
      <c r="J390" s="7">
        <v>0</v>
      </c>
      <c r="K390" s="7">
        <v>0</v>
      </c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</row>
    <row r="391" spans="1:17">
      <c r="A391" s="2">
        <v>2339</v>
      </c>
      <c r="B391" s="7">
        <v>0</v>
      </c>
      <c r="C391" s="7">
        <v>0</v>
      </c>
      <c r="D391" s="7">
        <v>0</v>
      </c>
      <c r="E391" s="7">
        <v>0</v>
      </c>
      <c r="F391" s="7">
        <v>0</v>
      </c>
      <c r="G391" s="7">
        <v>0</v>
      </c>
      <c r="H391" s="7">
        <v>0</v>
      </c>
      <c r="I391" s="7">
        <v>0</v>
      </c>
      <c r="J391" s="7">
        <v>0</v>
      </c>
      <c r="K391" s="7">
        <v>0</v>
      </c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</row>
    <row r="392" spans="1:17">
      <c r="A392" s="2">
        <v>2340</v>
      </c>
      <c r="B392" s="7">
        <v>0</v>
      </c>
      <c r="C392" s="7">
        <v>0</v>
      </c>
      <c r="D392" s="7">
        <v>0</v>
      </c>
      <c r="E392" s="7">
        <v>0</v>
      </c>
      <c r="F392" s="7">
        <v>0</v>
      </c>
      <c r="G392" s="7">
        <v>0</v>
      </c>
      <c r="H392" s="7">
        <v>0</v>
      </c>
      <c r="I392" s="7">
        <v>0</v>
      </c>
      <c r="J392" s="7">
        <v>0</v>
      </c>
      <c r="K392" s="7">
        <v>0</v>
      </c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</row>
    <row r="393" spans="1:17">
      <c r="A393" s="2">
        <v>2341</v>
      </c>
      <c r="B393" s="7">
        <v>0</v>
      </c>
      <c r="C393" s="7">
        <v>0</v>
      </c>
      <c r="D393" s="7">
        <v>0</v>
      </c>
      <c r="E393" s="7">
        <v>0</v>
      </c>
      <c r="F393" s="7">
        <v>0</v>
      </c>
      <c r="G393" s="7">
        <v>0</v>
      </c>
      <c r="H393" s="7">
        <v>0</v>
      </c>
      <c r="I393" s="7">
        <v>0</v>
      </c>
      <c r="J393" s="7">
        <v>0</v>
      </c>
      <c r="K393" s="7">
        <v>0</v>
      </c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</row>
    <row r="394" spans="1:17">
      <c r="A394" s="2">
        <v>2342</v>
      </c>
      <c r="B394" s="7">
        <v>0</v>
      </c>
      <c r="C394" s="7">
        <v>0</v>
      </c>
      <c r="D394" s="7">
        <v>0</v>
      </c>
      <c r="E394" s="7">
        <v>0</v>
      </c>
      <c r="F394" s="7">
        <v>0</v>
      </c>
      <c r="G394" s="7">
        <v>0</v>
      </c>
      <c r="H394" s="7">
        <v>0</v>
      </c>
      <c r="I394" s="7">
        <v>0</v>
      </c>
      <c r="J394" s="7">
        <v>0</v>
      </c>
      <c r="K394" s="7">
        <v>0</v>
      </c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</row>
    <row r="395" spans="1:17">
      <c r="A395" s="2">
        <v>2343</v>
      </c>
      <c r="B395" s="7">
        <v>0</v>
      </c>
      <c r="C395" s="7">
        <v>0</v>
      </c>
      <c r="D395" s="7">
        <v>0</v>
      </c>
      <c r="E395" s="7">
        <v>0</v>
      </c>
      <c r="F395" s="7">
        <v>0</v>
      </c>
      <c r="G395" s="7">
        <v>0</v>
      </c>
      <c r="H395" s="7">
        <v>0</v>
      </c>
      <c r="I395" s="7">
        <v>0</v>
      </c>
      <c r="J395" s="7">
        <v>0</v>
      </c>
      <c r="K395" s="7">
        <v>0</v>
      </c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</row>
    <row r="396" spans="1:17">
      <c r="A396" s="2">
        <v>2344</v>
      </c>
      <c r="B396" s="7">
        <v>0</v>
      </c>
      <c r="C396" s="7">
        <v>0</v>
      </c>
      <c r="D396" s="7">
        <v>0</v>
      </c>
      <c r="E396" s="7">
        <v>0</v>
      </c>
      <c r="F396" s="7">
        <v>0</v>
      </c>
      <c r="G396" s="7">
        <v>0</v>
      </c>
      <c r="H396" s="7">
        <v>0</v>
      </c>
      <c r="I396" s="7">
        <v>0</v>
      </c>
      <c r="J396" s="7">
        <v>0</v>
      </c>
      <c r="K396" s="7">
        <v>0</v>
      </c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</row>
    <row r="397" spans="1:17">
      <c r="A397" s="2">
        <v>2345</v>
      </c>
      <c r="B397" s="7">
        <v>0</v>
      </c>
      <c r="C397" s="7">
        <v>0</v>
      </c>
      <c r="D397" s="7">
        <v>0</v>
      </c>
      <c r="E397" s="7">
        <v>0</v>
      </c>
      <c r="F397" s="7">
        <v>0</v>
      </c>
      <c r="G397" s="7">
        <v>0</v>
      </c>
      <c r="H397" s="7">
        <v>0</v>
      </c>
      <c r="I397" s="7">
        <v>0</v>
      </c>
      <c r="J397" s="7">
        <v>0</v>
      </c>
      <c r="K397" s="7">
        <v>0</v>
      </c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</row>
    <row r="398" spans="1:17">
      <c r="A398" s="2">
        <v>2346</v>
      </c>
      <c r="B398" s="7">
        <v>0</v>
      </c>
      <c r="C398" s="7">
        <v>0</v>
      </c>
      <c r="D398" s="7">
        <v>0</v>
      </c>
      <c r="E398" s="7">
        <v>0</v>
      </c>
      <c r="F398" s="7">
        <v>0</v>
      </c>
      <c r="G398" s="7">
        <v>0</v>
      </c>
      <c r="H398" s="7">
        <v>0</v>
      </c>
      <c r="I398" s="7">
        <v>0</v>
      </c>
      <c r="J398" s="7">
        <v>0</v>
      </c>
      <c r="K398" s="7">
        <v>0</v>
      </c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</row>
    <row r="399" spans="1:17">
      <c r="A399" s="2">
        <v>2347</v>
      </c>
      <c r="B399" s="7">
        <v>0</v>
      </c>
      <c r="C399" s="7">
        <v>0</v>
      </c>
      <c r="D399" s="7">
        <v>0</v>
      </c>
      <c r="E399" s="7">
        <v>0</v>
      </c>
      <c r="F399" s="7">
        <v>0</v>
      </c>
      <c r="G399" s="7">
        <v>0</v>
      </c>
      <c r="H399" s="7">
        <v>0</v>
      </c>
      <c r="I399" s="7">
        <v>0</v>
      </c>
      <c r="J399" s="7">
        <v>0</v>
      </c>
      <c r="K399" s="7">
        <v>0</v>
      </c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</row>
    <row r="400" spans="1:17">
      <c r="A400" s="2">
        <v>2348</v>
      </c>
      <c r="B400" s="7">
        <v>0</v>
      </c>
      <c r="C400" s="7">
        <v>0</v>
      </c>
      <c r="D400" s="7">
        <v>0</v>
      </c>
      <c r="E400" s="7">
        <v>0</v>
      </c>
      <c r="F400" s="7">
        <v>0</v>
      </c>
      <c r="G400" s="7">
        <v>0</v>
      </c>
      <c r="H400" s="7">
        <v>0</v>
      </c>
      <c r="I400" s="7">
        <v>0</v>
      </c>
      <c r="J400" s="7">
        <v>0</v>
      </c>
      <c r="K400" s="7">
        <v>0</v>
      </c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</row>
    <row r="401" spans="1:17">
      <c r="A401" s="2">
        <v>2349</v>
      </c>
      <c r="B401" s="7">
        <v>0</v>
      </c>
      <c r="C401" s="7">
        <v>0</v>
      </c>
      <c r="D401" s="7">
        <v>0</v>
      </c>
      <c r="E401" s="7">
        <v>0</v>
      </c>
      <c r="F401" s="7">
        <v>0</v>
      </c>
      <c r="G401" s="7">
        <v>0</v>
      </c>
      <c r="H401" s="7">
        <v>0</v>
      </c>
      <c r="I401" s="7">
        <v>0</v>
      </c>
      <c r="J401" s="7">
        <v>0</v>
      </c>
      <c r="K401" s="7">
        <v>0</v>
      </c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</row>
    <row r="402" spans="1:17">
      <c r="A402" s="2">
        <v>2350</v>
      </c>
      <c r="B402" s="7">
        <v>0</v>
      </c>
      <c r="C402" s="7">
        <v>0</v>
      </c>
      <c r="D402" s="7">
        <v>0</v>
      </c>
      <c r="E402" s="7">
        <v>0</v>
      </c>
      <c r="F402" s="7">
        <v>0</v>
      </c>
      <c r="G402" s="7">
        <v>0</v>
      </c>
      <c r="H402" s="7">
        <v>0</v>
      </c>
      <c r="I402" s="7">
        <v>0</v>
      </c>
      <c r="J402" s="7">
        <v>0</v>
      </c>
      <c r="K402" s="7">
        <v>0</v>
      </c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</row>
    <row r="403" spans="1:17">
      <c r="A403" s="2">
        <v>2351</v>
      </c>
      <c r="B403" s="7">
        <v>0</v>
      </c>
      <c r="C403" s="7">
        <v>0</v>
      </c>
      <c r="D403" s="7">
        <v>0</v>
      </c>
      <c r="E403" s="7">
        <v>0</v>
      </c>
      <c r="F403" s="7">
        <v>0</v>
      </c>
      <c r="G403" s="7">
        <v>0</v>
      </c>
      <c r="H403" s="7">
        <v>0</v>
      </c>
      <c r="I403" s="7">
        <v>0</v>
      </c>
      <c r="J403" s="7">
        <v>0</v>
      </c>
      <c r="K403" s="7">
        <v>0</v>
      </c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</row>
    <row r="404" spans="1:17">
      <c r="A404" s="2">
        <v>2352</v>
      </c>
      <c r="B404" s="7">
        <v>0</v>
      </c>
      <c r="C404" s="7">
        <v>0</v>
      </c>
      <c r="D404" s="7">
        <v>0</v>
      </c>
      <c r="E404" s="7">
        <v>0</v>
      </c>
      <c r="F404" s="7">
        <v>0</v>
      </c>
      <c r="G404" s="7">
        <v>0</v>
      </c>
      <c r="H404" s="7">
        <v>0</v>
      </c>
      <c r="I404" s="7">
        <v>0</v>
      </c>
      <c r="J404" s="7">
        <v>0</v>
      </c>
      <c r="K404" s="7">
        <v>0</v>
      </c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</row>
    <row r="405" spans="1:17">
      <c r="A405" s="2">
        <v>2353</v>
      </c>
      <c r="B405" s="7">
        <v>0</v>
      </c>
      <c r="C405" s="7">
        <v>0</v>
      </c>
      <c r="D405" s="7">
        <v>0</v>
      </c>
      <c r="E405" s="7">
        <v>0</v>
      </c>
      <c r="F405" s="7">
        <v>0</v>
      </c>
      <c r="G405" s="7">
        <v>0</v>
      </c>
      <c r="H405" s="7">
        <v>0</v>
      </c>
      <c r="I405" s="7">
        <v>0</v>
      </c>
      <c r="J405" s="7">
        <v>0</v>
      </c>
      <c r="K405" s="7">
        <v>0</v>
      </c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</row>
    <row r="406" spans="1:17">
      <c r="A406" s="2">
        <v>2354</v>
      </c>
      <c r="B406" s="7">
        <v>0</v>
      </c>
      <c r="C406" s="7">
        <v>0</v>
      </c>
      <c r="D406" s="7">
        <v>0</v>
      </c>
      <c r="E406" s="7">
        <v>0</v>
      </c>
      <c r="F406" s="7">
        <v>0</v>
      </c>
      <c r="G406" s="7">
        <v>0</v>
      </c>
      <c r="H406" s="7">
        <v>0</v>
      </c>
      <c r="I406" s="7">
        <v>0</v>
      </c>
      <c r="J406" s="7">
        <v>0</v>
      </c>
      <c r="K406" s="7">
        <v>0</v>
      </c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</row>
    <row r="407" spans="1:17">
      <c r="A407" s="2">
        <v>2355</v>
      </c>
      <c r="B407" s="7">
        <v>0</v>
      </c>
      <c r="C407" s="7">
        <v>0</v>
      </c>
      <c r="D407" s="7">
        <v>0</v>
      </c>
      <c r="E407" s="7">
        <v>0</v>
      </c>
      <c r="F407" s="7">
        <v>0</v>
      </c>
      <c r="G407" s="7">
        <v>0</v>
      </c>
      <c r="H407" s="7">
        <v>0</v>
      </c>
      <c r="I407" s="7">
        <v>0</v>
      </c>
      <c r="J407" s="7">
        <v>0</v>
      </c>
      <c r="K407" s="7">
        <v>0</v>
      </c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</row>
    <row r="408" spans="1:17">
      <c r="A408" s="2">
        <v>2356</v>
      </c>
      <c r="B408" s="7">
        <v>0</v>
      </c>
      <c r="C408" s="7">
        <v>0</v>
      </c>
      <c r="D408" s="7">
        <v>0</v>
      </c>
      <c r="E408" s="7">
        <v>0</v>
      </c>
      <c r="F408" s="7">
        <v>0</v>
      </c>
      <c r="G408" s="7">
        <v>0</v>
      </c>
      <c r="H408" s="7">
        <v>0</v>
      </c>
      <c r="I408" s="7">
        <v>0</v>
      </c>
      <c r="J408" s="7">
        <v>0</v>
      </c>
      <c r="K408" s="7">
        <v>0</v>
      </c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</row>
    <row r="409" spans="1:17">
      <c r="A409" s="2">
        <v>2357</v>
      </c>
      <c r="B409" s="7">
        <v>0</v>
      </c>
      <c r="C409" s="7">
        <v>0</v>
      </c>
      <c r="D409" s="7">
        <v>0</v>
      </c>
      <c r="E409" s="7">
        <v>0</v>
      </c>
      <c r="F409" s="7">
        <v>0</v>
      </c>
      <c r="G409" s="7">
        <v>0</v>
      </c>
      <c r="H409" s="7">
        <v>0</v>
      </c>
      <c r="I409" s="7">
        <v>0</v>
      </c>
      <c r="J409" s="7">
        <v>0</v>
      </c>
      <c r="K409" s="7">
        <v>0</v>
      </c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</row>
    <row r="410" spans="1:17">
      <c r="A410" s="2">
        <v>2358</v>
      </c>
      <c r="B410" s="7">
        <v>0</v>
      </c>
      <c r="C410" s="7">
        <v>0</v>
      </c>
      <c r="D410" s="7">
        <v>0</v>
      </c>
      <c r="E410" s="7">
        <v>0</v>
      </c>
      <c r="F410" s="7">
        <v>0</v>
      </c>
      <c r="G410" s="7">
        <v>0</v>
      </c>
      <c r="H410" s="7">
        <v>0</v>
      </c>
      <c r="I410" s="7">
        <v>0</v>
      </c>
      <c r="J410" s="7">
        <v>0</v>
      </c>
      <c r="K410" s="7">
        <v>0</v>
      </c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</row>
    <row r="411" spans="1:17">
      <c r="A411" s="2">
        <v>2359</v>
      </c>
      <c r="B411" s="7">
        <v>0</v>
      </c>
      <c r="C411" s="7">
        <v>0</v>
      </c>
      <c r="D411" s="7">
        <v>0</v>
      </c>
      <c r="E411" s="7">
        <v>0</v>
      </c>
      <c r="F411" s="7">
        <v>0</v>
      </c>
      <c r="G411" s="7">
        <v>0</v>
      </c>
      <c r="H411" s="7">
        <v>0</v>
      </c>
      <c r="I411" s="7">
        <v>0</v>
      </c>
      <c r="J411" s="7">
        <v>0</v>
      </c>
      <c r="K411" s="7">
        <v>0</v>
      </c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</row>
    <row r="412" spans="1:17">
      <c r="A412" s="2">
        <v>2360</v>
      </c>
      <c r="B412" s="7">
        <v>0</v>
      </c>
      <c r="C412" s="7">
        <v>0</v>
      </c>
      <c r="D412" s="7">
        <v>0</v>
      </c>
      <c r="E412" s="7">
        <v>0</v>
      </c>
      <c r="F412" s="7">
        <v>0</v>
      </c>
      <c r="G412" s="7">
        <v>0</v>
      </c>
      <c r="H412" s="7">
        <v>0</v>
      </c>
      <c r="I412" s="7">
        <v>0</v>
      </c>
      <c r="J412" s="7">
        <v>0</v>
      </c>
      <c r="K412" s="7">
        <v>0</v>
      </c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</row>
    <row r="413" spans="1:17">
      <c r="A413" s="2">
        <v>2361</v>
      </c>
      <c r="B413" s="7">
        <v>0</v>
      </c>
      <c r="C413" s="7">
        <v>0</v>
      </c>
      <c r="D413" s="7">
        <v>0</v>
      </c>
      <c r="E413" s="7">
        <v>0</v>
      </c>
      <c r="F413" s="7">
        <v>0</v>
      </c>
      <c r="G413" s="7">
        <v>0</v>
      </c>
      <c r="H413" s="7">
        <v>0</v>
      </c>
      <c r="I413" s="7">
        <v>0</v>
      </c>
      <c r="J413" s="7">
        <v>0</v>
      </c>
      <c r="K413" s="7">
        <v>0</v>
      </c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</row>
    <row r="414" spans="1:17">
      <c r="A414" s="2">
        <v>2362</v>
      </c>
      <c r="B414" s="7">
        <v>0</v>
      </c>
      <c r="C414" s="7">
        <v>0</v>
      </c>
      <c r="D414" s="7">
        <v>0</v>
      </c>
      <c r="E414" s="7">
        <v>0</v>
      </c>
      <c r="F414" s="7">
        <v>0</v>
      </c>
      <c r="G414" s="7">
        <v>0</v>
      </c>
      <c r="H414" s="7">
        <v>0</v>
      </c>
      <c r="I414" s="7">
        <v>0</v>
      </c>
      <c r="J414" s="7">
        <v>0</v>
      </c>
      <c r="K414" s="7">
        <v>0</v>
      </c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</row>
    <row r="415" spans="1:17">
      <c r="A415" s="2">
        <v>2363</v>
      </c>
      <c r="B415" s="7">
        <v>0</v>
      </c>
      <c r="C415" s="7">
        <v>0</v>
      </c>
      <c r="D415" s="7">
        <v>0</v>
      </c>
      <c r="E415" s="7">
        <v>0</v>
      </c>
      <c r="F415" s="7">
        <v>0</v>
      </c>
      <c r="G415" s="7">
        <v>0</v>
      </c>
      <c r="H415" s="7">
        <v>0</v>
      </c>
      <c r="I415" s="7">
        <v>0</v>
      </c>
      <c r="J415" s="7">
        <v>0</v>
      </c>
      <c r="K415" s="7">
        <v>0</v>
      </c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</row>
    <row r="416" spans="1:17">
      <c r="A416" s="2">
        <v>2364</v>
      </c>
      <c r="B416" s="7">
        <v>0</v>
      </c>
      <c r="C416" s="7">
        <v>0</v>
      </c>
      <c r="D416" s="7">
        <v>0</v>
      </c>
      <c r="E416" s="7">
        <v>0</v>
      </c>
      <c r="F416" s="7">
        <v>0</v>
      </c>
      <c r="G416" s="7">
        <v>0</v>
      </c>
      <c r="H416" s="7">
        <v>0</v>
      </c>
      <c r="I416" s="7">
        <v>0</v>
      </c>
      <c r="J416" s="7">
        <v>0</v>
      </c>
      <c r="K416" s="7">
        <v>0</v>
      </c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</row>
    <row r="417" spans="1:17">
      <c r="A417" s="2">
        <v>2365</v>
      </c>
      <c r="B417" s="7">
        <v>0</v>
      </c>
      <c r="C417" s="7">
        <v>0</v>
      </c>
      <c r="D417" s="7">
        <v>0</v>
      </c>
      <c r="E417" s="7">
        <v>0</v>
      </c>
      <c r="F417" s="7">
        <v>0</v>
      </c>
      <c r="G417" s="7">
        <v>0</v>
      </c>
      <c r="H417" s="7">
        <v>0</v>
      </c>
      <c r="I417" s="7">
        <v>0</v>
      </c>
      <c r="J417" s="7">
        <v>0</v>
      </c>
      <c r="K417" s="7">
        <v>0</v>
      </c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</row>
    <row r="418" spans="1:17">
      <c r="A418" s="2">
        <v>2366</v>
      </c>
      <c r="B418" s="7">
        <v>0</v>
      </c>
      <c r="C418" s="7">
        <v>0</v>
      </c>
      <c r="D418" s="7">
        <v>0</v>
      </c>
      <c r="E418" s="7">
        <v>0</v>
      </c>
      <c r="F418" s="7">
        <v>0</v>
      </c>
      <c r="G418" s="7">
        <v>0</v>
      </c>
      <c r="H418" s="7">
        <v>0</v>
      </c>
      <c r="I418" s="7">
        <v>0</v>
      </c>
      <c r="J418" s="7">
        <v>0</v>
      </c>
      <c r="K418" s="7">
        <v>0</v>
      </c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</row>
    <row r="419" spans="1:17">
      <c r="A419" s="2">
        <v>2367</v>
      </c>
      <c r="B419" s="7">
        <v>0</v>
      </c>
      <c r="C419" s="7">
        <v>0</v>
      </c>
      <c r="D419" s="7">
        <v>0</v>
      </c>
      <c r="E419" s="7">
        <v>0</v>
      </c>
      <c r="F419" s="7">
        <v>0</v>
      </c>
      <c r="G419" s="7">
        <v>0</v>
      </c>
      <c r="H419" s="7">
        <v>0</v>
      </c>
      <c r="I419" s="7">
        <v>0</v>
      </c>
      <c r="J419" s="7">
        <v>0</v>
      </c>
      <c r="K419" s="7">
        <v>0</v>
      </c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</row>
    <row r="420" spans="1:17">
      <c r="A420" s="2">
        <v>2368</v>
      </c>
      <c r="B420" s="7">
        <v>0</v>
      </c>
      <c r="C420" s="7">
        <v>0</v>
      </c>
      <c r="D420" s="7">
        <v>0</v>
      </c>
      <c r="E420" s="7">
        <v>0</v>
      </c>
      <c r="F420" s="7">
        <v>0</v>
      </c>
      <c r="G420" s="7">
        <v>0</v>
      </c>
      <c r="H420" s="7">
        <v>0</v>
      </c>
      <c r="I420" s="7">
        <v>0</v>
      </c>
      <c r="J420" s="7">
        <v>0</v>
      </c>
      <c r="K420" s="7">
        <v>0</v>
      </c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</row>
    <row r="421" spans="1:17">
      <c r="A421" s="2">
        <v>2369</v>
      </c>
      <c r="B421" s="7">
        <v>0</v>
      </c>
      <c r="C421" s="7">
        <v>0</v>
      </c>
      <c r="D421" s="7">
        <v>0</v>
      </c>
      <c r="E421" s="7">
        <v>0</v>
      </c>
      <c r="F421" s="7">
        <v>0</v>
      </c>
      <c r="G421" s="7">
        <v>0</v>
      </c>
      <c r="H421" s="7">
        <v>0</v>
      </c>
      <c r="I421" s="7">
        <v>0</v>
      </c>
      <c r="J421" s="7">
        <v>0</v>
      </c>
      <c r="K421" s="7">
        <v>0</v>
      </c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</row>
    <row r="422" spans="1:17">
      <c r="A422" s="2">
        <v>2370</v>
      </c>
      <c r="B422" s="7">
        <v>0</v>
      </c>
      <c r="C422" s="7">
        <v>0</v>
      </c>
      <c r="D422" s="7">
        <v>0</v>
      </c>
      <c r="E422" s="7">
        <v>0</v>
      </c>
      <c r="F422" s="7">
        <v>0</v>
      </c>
      <c r="G422" s="7">
        <v>0</v>
      </c>
      <c r="H422" s="7">
        <v>0</v>
      </c>
      <c r="I422" s="7">
        <v>0</v>
      </c>
      <c r="J422" s="7">
        <v>0</v>
      </c>
      <c r="K422" s="7">
        <v>0</v>
      </c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</row>
    <row r="423" spans="1:17">
      <c r="A423" s="2">
        <v>2371</v>
      </c>
      <c r="B423" s="7">
        <v>0</v>
      </c>
      <c r="C423" s="7">
        <v>0</v>
      </c>
      <c r="D423" s="7">
        <v>0</v>
      </c>
      <c r="E423" s="7">
        <v>0</v>
      </c>
      <c r="F423" s="7">
        <v>0</v>
      </c>
      <c r="G423" s="7">
        <v>0</v>
      </c>
      <c r="H423" s="7">
        <v>0</v>
      </c>
      <c r="I423" s="7">
        <v>0</v>
      </c>
      <c r="J423" s="7">
        <v>0</v>
      </c>
      <c r="K423" s="7">
        <v>0</v>
      </c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</row>
    <row r="424" spans="1:17">
      <c r="A424" s="2">
        <v>2372</v>
      </c>
      <c r="B424" s="7">
        <v>0</v>
      </c>
      <c r="C424" s="7">
        <v>0</v>
      </c>
      <c r="D424" s="7">
        <v>0</v>
      </c>
      <c r="E424" s="7">
        <v>0</v>
      </c>
      <c r="F424" s="7">
        <v>0</v>
      </c>
      <c r="G424" s="7">
        <v>0</v>
      </c>
      <c r="H424" s="7">
        <v>0</v>
      </c>
      <c r="I424" s="7">
        <v>0</v>
      </c>
      <c r="J424" s="7">
        <v>0</v>
      </c>
      <c r="K424" s="7">
        <v>0</v>
      </c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</row>
    <row r="425" spans="1:17">
      <c r="A425" s="2">
        <v>2373</v>
      </c>
      <c r="B425" s="7">
        <v>0</v>
      </c>
      <c r="C425" s="7">
        <v>0</v>
      </c>
      <c r="D425" s="7">
        <v>0</v>
      </c>
      <c r="E425" s="7">
        <v>0</v>
      </c>
      <c r="F425" s="7">
        <v>0</v>
      </c>
      <c r="G425" s="7">
        <v>0</v>
      </c>
      <c r="H425" s="7">
        <v>0</v>
      </c>
      <c r="I425" s="7">
        <v>0</v>
      </c>
      <c r="J425" s="7">
        <v>0</v>
      </c>
      <c r="K425" s="7">
        <v>0</v>
      </c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</row>
    <row r="426" spans="1:17">
      <c r="A426" s="2">
        <v>2374</v>
      </c>
      <c r="B426" s="7">
        <v>0</v>
      </c>
      <c r="C426" s="7">
        <v>0</v>
      </c>
      <c r="D426" s="7">
        <v>0</v>
      </c>
      <c r="E426" s="7">
        <v>0</v>
      </c>
      <c r="F426" s="7">
        <v>0</v>
      </c>
      <c r="G426" s="7">
        <v>0</v>
      </c>
      <c r="H426" s="7">
        <v>0</v>
      </c>
      <c r="I426" s="7">
        <v>0</v>
      </c>
      <c r="J426" s="7">
        <v>0</v>
      </c>
      <c r="K426" s="7">
        <v>0</v>
      </c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</row>
    <row r="427" spans="1:17">
      <c r="A427" s="2">
        <v>2375</v>
      </c>
      <c r="B427" s="7">
        <v>0</v>
      </c>
      <c r="C427" s="7">
        <v>0</v>
      </c>
      <c r="D427" s="7">
        <v>0</v>
      </c>
      <c r="E427" s="7">
        <v>0</v>
      </c>
      <c r="F427" s="7">
        <v>0</v>
      </c>
      <c r="G427" s="7">
        <v>0</v>
      </c>
      <c r="H427" s="7">
        <v>0</v>
      </c>
      <c r="I427" s="7">
        <v>0</v>
      </c>
      <c r="J427" s="7">
        <v>0</v>
      </c>
      <c r="K427" s="7">
        <v>0</v>
      </c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</row>
    <row r="428" spans="1:17">
      <c r="A428" s="2">
        <v>2376</v>
      </c>
      <c r="B428" s="7">
        <v>0</v>
      </c>
      <c r="C428" s="7">
        <v>0</v>
      </c>
      <c r="D428" s="7">
        <v>0</v>
      </c>
      <c r="E428" s="7">
        <v>0</v>
      </c>
      <c r="F428" s="7">
        <v>0</v>
      </c>
      <c r="G428" s="7">
        <v>0</v>
      </c>
      <c r="H428" s="7">
        <v>0</v>
      </c>
      <c r="I428" s="7">
        <v>0</v>
      </c>
      <c r="J428" s="7">
        <v>0</v>
      </c>
      <c r="K428" s="7">
        <v>0</v>
      </c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</row>
    <row r="429" spans="1:17">
      <c r="A429" s="2">
        <v>2377</v>
      </c>
      <c r="B429" s="7">
        <v>0</v>
      </c>
      <c r="C429" s="7">
        <v>0</v>
      </c>
      <c r="D429" s="7">
        <v>0</v>
      </c>
      <c r="E429" s="7">
        <v>0</v>
      </c>
      <c r="F429" s="7">
        <v>0</v>
      </c>
      <c r="G429" s="7">
        <v>0</v>
      </c>
      <c r="H429" s="7">
        <v>0</v>
      </c>
      <c r="I429" s="7">
        <v>0</v>
      </c>
      <c r="J429" s="7">
        <v>0</v>
      </c>
      <c r="K429" s="7">
        <v>0</v>
      </c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</row>
    <row r="430" spans="1:17">
      <c r="A430" s="2">
        <v>2378</v>
      </c>
      <c r="B430" s="7">
        <v>0</v>
      </c>
      <c r="C430" s="7">
        <v>0</v>
      </c>
      <c r="D430" s="7">
        <v>0</v>
      </c>
      <c r="E430" s="7">
        <v>0</v>
      </c>
      <c r="F430" s="7">
        <v>0</v>
      </c>
      <c r="G430" s="7">
        <v>0</v>
      </c>
      <c r="H430" s="7">
        <v>0</v>
      </c>
      <c r="I430" s="7">
        <v>0</v>
      </c>
      <c r="J430" s="7">
        <v>0</v>
      </c>
      <c r="K430" s="7">
        <v>0</v>
      </c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</row>
    <row r="431" spans="1:17">
      <c r="A431" s="2">
        <v>2379</v>
      </c>
      <c r="B431" s="7">
        <v>0</v>
      </c>
      <c r="C431" s="7">
        <v>0</v>
      </c>
      <c r="D431" s="7">
        <v>0</v>
      </c>
      <c r="E431" s="7">
        <v>0</v>
      </c>
      <c r="F431" s="7">
        <v>0</v>
      </c>
      <c r="G431" s="7">
        <v>0</v>
      </c>
      <c r="H431" s="7">
        <v>0</v>
      </c>
      <c r="I431" s="7">
        <v>0</v>
      </c>
      <c r="J431" s="7">
        <v>0</v>
      </c>
      <c r="K431" s="7">
        <v>0</v>
      </c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</row>
    <row r="432" spans="1:17">
      <c r="A432" s="2">
        <v>2380</v>
      </c>
      <c r="B432" s="7">
        <v>0</v>
      </c>
      <c r="C432" s="7">
        <v>0</v>
      </c>
      <c r="D432" s="7">
        <v>0</v>
      </c>
      <c r="E432" s="7">
        <v>0</v>
      </c>
      <c r="F432" s="7">
        <v>0</v>
      </c>
      <c r="G432" s="7">
        <v>0</v>
      </c>
      <c r="H432" s="7">
        <v>0</v>
      </c>
      <c r="I432" s="7">
        <v>0</v>
      </c>
      <c r="J432" s="7">
        <v>0</v>
      </c>
      <c r="K432" s="7">
        <v>0</v>
      </c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</row>
    <row r="433" spans="1:17">
      <c r="A433" s="2">
        <v>2381</v>
      </c>
      <c r="B433" s="7">
        <v>0</v>
      </c>
      <c r="C433" s="7">
        <v>0</v>
      </c>
      <c r="D433" s="7">
        <v>0</v>
      </c>
      <c r="E433" s="7">
        <v>0</v>
      </c>
      <c r="F433" s="7">
        <v>0</v>
      </c>
      <c r="G433" s="7">
        <v>0</v>
      </c>
      <c r="H433" s="7">
        <v>0</v>
      </c>
      <c r="I433" s="7">
        <v>0</v>
      </c>
      <c r="J433" s="7">
        <v>0</v>
      </c>
      <c r="K433" s="7">
        <v>0</v>
      </c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</row>
    <row r="434" spans="1:17">
      <c r="A434" s="2">
        <v>2382</v>
      </c>
      <c r="B434" s="7">
        <v>0</v>
      </c>
      <c r="C434" s="7">
        <v>0</v>
      </c>
      <c r="D434" s="7">
        <v>0</v>
      </c>
      <c r="E434" s="7">
        <v>0</v>
      </c>
      <c r="F434" s="7">
        <v>0</v>
      </c>
      <c r="G434" s="7">
        <v>0</v>
      </c>
      <c r="H434" s="7">
        <v>0</v>
      </c>
      <c r="I434" s="7">
        <v>0</v>
      </c>
      <c r="J434" s="7">
        <v>0</v>
      </c>
      <c r="K434" s="7">
        <v>0</v>
      </c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</row>
    <row r="435" spans="1:17">
      <c r="A435" s="2">
        <v>2383</v>
      </c>
      <c r="B435" s="7">
        <v>0</v>
      </c>
      <c r="C435" s="7">
        <v>0</v>
      </c>
      <c r="D435" s="7">
        <v>0</v>
      </c>
      <c r="E435" s="7">
        <v>0</v>
      </c>
      <c r="F435" s="7">
        <v>0</v>
      </c>
      <c r="G435" s="7">
        <v>0</v>
      </c>
      <c r="H435" s="7">
        <v>0</v>
      </c>
      <c r="I435" s="7">
        <v>0</v>
      </c>
      <c r="J435" s="7">
        <v>0</v>
      </c>
      <c r="K435" s="7">
        <v>0</v>
      </c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</row>
    <row r="436" spans="1:17">
      <c r="A436" s="2">
        <v>2384</v>
      </c>
      <c r="B436" s="7">
        <v>0</v>
      </c>
      <c r="C436" s="7">
        <v>0</v>
      </c>
      <c r="D436" s="7">
        <v>0</v>
      </c>
      <c r="E436" s="7">
        <v>0</v>
      </c>
      <c r="F436" s="7">
        <v>0</v>
      </c>
      <c r="G436" s="7">
        <v>0</v>
      </c>
      <c r="H436" s="7">
        <v>0</v>
      </c>
      <c r="I436" s="7">
        <v>0</v>
      </c>
      <c r="J436" s="7">
        <v>0</v>
      </c>
      <c r="K436" s="7">
        <v>0</v>
      </c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</row>
    <row r="437" spans="1:17">
      <c r="A437" s="2">
        <v>2385</v>
      </c>
      <c r="B437" s="7">
        <v>0</v>
      </c>
      <c r="C437" s="7">
        <v>0</v>
      </c>
      <c r="D437" s="7">
        <v>0</v>
      </c>
      <c r="E437" s="7">
        <v>0</v>
      </c>
      <c r="F437" s="7">
        <v>0</v>
      </c>
      <c r="G437" s="7">
        <v>0</v>
      </c>
      <c r="H437" s="7">
        <v>0</v>
      </c>
      <c r="I437" s="7">
        <v>0</v>
      </c>
      <c r="J437" s="7">
        <v>0</v>
      </c>
      <c r="K437" s="7">
        <v>0</v>
      </c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</row>
    <row r="438" spans="1:17">
      <c r="A438" s="2">
        <v>2386</v>
      </c>
      <c r="B438" s="7">
        <v>0</v>
      </c>
      <c r="C438" s="7">
        <v>0</v>
      </c>
      <c r="D438" s="7">
        <v>0</v>
      </c>
      <c r="E438" s="7">
        <v>0</v>
      </c>
      <c r="F438" s="7">
        <v>0</v>
      </c>
      <c r="G438" s="7">
        <v>0</v>
      </c>
      <c r="H438" s="7">
        <v>0</v>
      </c>
      <c r="I438" s="7">
        <v>0</v>
      </c>
      <c r="J438" s="7">
        <v>0</v>
      </c>
      <c r="K438" s="7">
        <v>0</v>
      </c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</row>
    <row r="439" spans="1:17">
      <c r="A439" s="2">
        <v>2387</v>
      </c>
      <c r="B439" s="7">
        <v>0</v>
      </c>
      <c r="C439" s="7">
        <v>0</v>
      </c>
      <c r="D439" s="7">
        <v>0</v>
      </c>
      <c r="E439" s="7">
        <v>0</v>
      </c>
      <c r="F439" s="7">
        <v>0</v>
      </c>
      <c r="G439" s="7">
        <v>0</v>
      </c>
      <c r="H439" s="7">
        <v>0</v>
      </c>
      <c r="I439" s="7">
        <v>0</v>
      </c>
      <c r="J439" s="7">
        <v>0</v>
      </c>
      <c r="K439" s="7">
        <v>0</v>
      </c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</row>
    <row r="440" spans="1:17">
      <c r="A440" s="2">
        <v>2388</v>
      </c>
      <c r="B440" s="7">
        <v>0</v>
      </c>
      <c r="C440" s="7">
        <v>0</v>
      </c>
      <c r="D440" s="7">
        <v>0</v>
      </c>
      <c r="E440" s="7">
        <v>0</v>
      </c>
      <c r="F440" s="7">
        <v>0</v>
      </c>
      <c r="G440" s="7">
        <v>0</v>
      </c>
      <c r="H440" s="7">
        <v>0</v>
      </c>
      <c r="I440" s="7">
        <v>0</v>
      </c>
      <c r="J440" s="7">
        <v>0</v>
      </c>
      <c r="K440" s="7">
        <v>0</v>
      </c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</row>
    <row r="441" spans="1:17">
      <c r="A441" s="2">
        <v>2389</v>
      </c>
      <c r="B441" s="7">
        <v>0</v>
      </c>
      <c r="C441" s="7">
        <v>0</v>
      </c>
      <c r="D441" s="7">
        <v>0</v>
      </c>
      <c r="E441" s="7">
        <v>0</v>
      </c>
      <c r="F441" s="7">
        <v>0</v>
      </c>
      <c r="G441" s="7">
        <v>0</v>
      </c>
      <c r="H441" s="7">
        <v>0</v>
      </c>
      <c r="I441" s="7">
        <v>0</v>
      </c>
      <c r="J441" s="7">
        <v>0</v>
      </c>
      <c r="K441" s="7">
        <v>0</v>
      </c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</row>
    <row r="442" spans="1:17">
      <c r="A442" s="2">
        <v>2390</v>
      </c>
      <c r="B442" s="7">
        <v>0</v>
      </c>
      <c r="C442" s="7">
        <v>0</v>
      </c>
      <c r="D442" s="7">
        <v>0</v>
      </c>
      <c r="E442" s="7">
        <v>0</v>
      </c>
      <c r="F442" s="7">
        <v>0</v>
      </c>
      <c r="G442" s="7">
        <v>0</v>
      </c>
      <c r="H442" s="7">
        <v>0</v>
      </c>
      <c r="I442" s="7">
        <v>0</v>
      </c>
      <c r="J442" s="7">
        <v>0</v>
      </c>
      <c r="K442" s="7">
        <v>0</v>
      </c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</row>
    <row r="443" spans="1:17">
      <c r="A443" s="2">
        <v>2391</v>
      </c>
      <c r="B443" s="7">
        <v>0</v>
      </c>
      <c r="C443" s="7">
        <v>0</v>
      </c>
      <c r="D443" s="7">
        <v>0</v>
      </c>
      <c r="E443" s="7">
        <v>0</v>
      </c>
      <c r="F443" s="7">
        <v>0</v>
      </c>
      <c r="G443" s="7">
        <v>0</v>
      </c>
      <c r="H443" s="7">
        <v>0</v>
      </c>
      <c r="I443" s="7">
        <v>0</v>
      </c>
      <c r="J443" s="7">
        <v>0</v>
      </c>
      <c r="K443" s="7">
        <v>0</v>
      </c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</row>
    <row r="444" spans="1:17">
      <c r="A444" s="2">
        <v>2392</v>
      </c>
      <c r="B444" s="7">
        <v>0</v>
      </c>
      <c r="C444" s="7">
        <v>0</v>
      </c>
      <c r="D444" s="7">
        <v>0</v>
      </c>
      <c r="E444" s="7">
        <v>0</v>
      </c>
      <c r="F444" s="7">
        <v>0</v>
      </c>
      <c r="G444" s="7">
        <v>0</v>
      </c>
      <c r="H444" s="7">
        <v>0</v>
      </c>
      <c r="I444" s="7">
        <v>0</v>
      </c>
      <c r="J444" s="7">
        <v>0</v>
      </c>
      <c r="K444" s="7">
        <v>0</v>
      </c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</row>
    <row r="445" spans="1:17">
      <c r="A445" s="2">
        <v>2393</v>
      </c>
      <c r="B445" s="7">
        <v>0</v>
      </c>
      <c r="C445" s="7">
        <v>0</v>
      </c>
      <c r="D445" s="7">
        <v>0</v>
      </c>
      <c r="E445" s="7">
        <v>0</v>
      </c>
      <c r="F445" s="7">
        <v>0</v>
      </c>
      <c r="G445" s="7">
        <v>0</v>
      </c>
      <c r="H445" s="7">
        <v>0</v>
      </c>
      <c r="I445" s="7">
        <v>0</v>
      </c>
      <c r="J445" s="7">
        <v>0</v>
      </c>
      <c r="K445" s="7">
        <v>0</v>
      </c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</row>
    <row r="446" spans="1:17">
      <c r="A446" s="2">
        <v>2394</v>
      </c>
      <c r="B446" s="7">
        <v>0</v>
      </c>
      <c r="C446" s="7">
        <v>0</v>
      </c>
      <c r="D446" s="7">
        <v>0</v>
      </c>
      <c r="E446" s="7">
        <v>0</v>
      </c>
      <c r="F446" s="7">
        <v>0</v>
      </c>
      <c r="G446" s="7">
        <v>0</v>
      </c>
      <c r="H446" s="7">
        <v>0</v>
      </c>
      <c r="I446" s="7">
        <v>0</v>
      </c>
      <c r="J446" s="7">
        <v>0</v>
      </c>
      <c r="K446" s="7">
        <v>0</v>
      </c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</row>
    <row r="447" spans="1:17">
      <c r="A447" s="2">
        <v>2395</v>
      </c>
      <c r="B447" s="7">
        <v>0</v>
      </c>
      <c r="C447" s="7">
        <v>0</v>
      </c>
      <c r="D447" s="7">
        <v>0</v>
      </c>
      <c r="E447" s="7">
        <v>0</v>
      </c>
      <c r="F447" s="7">
        <v>0</v>
      </c>
      <c r="G447" s="7">
        <v>0</v>
      </c>
      <c r="H447" s="7">
        <v>0</v>
      </c>
      <c r="I447" s="7">
        <v>0</v>
      </c>
      <c r="J447" s="7">
        <v>0</v>
      </c>
      <c r="K447" s="7">
        <v>0</v>
      </c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</row>
    <row r="448" spans="1:17">
      <c r="A448" s="2">
        <v>2396</v>
      </c>
      <c r="B448" s="7">
        <v>0</v>
      </c>
      <c r="C448" s="7">
        <v>0</v>
      </c>
      <c r="D448" s="7">
        <v>0</v>
      </c>
      <c r="E448" s="7">
        <v>0</v>
      </c>
      <c r="F448" s="7">
        <v>0</v>
      </c>
      <c r="G448" s="7">
        <v>0</v>
      </c>
      <c r="H448" s="7">
        <v>0</v>
      </c>
      <c r="I448" s="7">
        <v>0</v>
      </c>
      <c r="J448" s="7">
        <v>0</v>
      </c>
      <c r="K448" s="7">
        <v>0</v>
      </c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</row>
    <row r="449" spans="1:17">
      <c r="A449" s="2">
        <v>2397</v>
      </c>
      <c r="B449" s="7">
        <v>0</v>
      </c>
      <c r="C449" s="7">
        <v>0</v>
      </c>
      <c r="D449" s="7">
        <v>0</v>
      </c>
      <c r="E449" s="7">
        <v>0</v>
      </c>
      <c r="F449" s="7">
        <v>0</v>
      </c>
      <c r="G449" s="7">
        <v>0</v>
      </c>
      <c r="H449" s="7">
        <v>0</v>
      </c>
      <c r="I449" s="7">
        <v>0</v>
      </c>
      <c r="J449" s="7">
        <v>0</v>
      </c>
      <c r="K449" s="7">
        <v>0</v>
      </c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</row>
    <row r="450" spans="1:17">
      <c r="A450" s="2">
        <v>2398</v>
      </c>
      <c r="B450" s="7">
        <v>0</v>
      </c>
      <c r="C450" s="7">
        <v>0</v>
      </c>
      <c r="D450" s="7">
        <v>0</v>
      </c>
      <c r="E450" s="7">
        <v>0</v>
      </c>
      <c r="F450" s="7">
        <v>0</v>
      </c>
      <c r="G450" s="7">
        <v>0</v>
      </c>
      <c r="H450" s="7">
        <v>0</v>
      </c>
      <c r="I450" s="7">
        <v>0</v>
      </c>
      <c r="J450" s="7">
        <v>0</v>
      </c>
      <c r="K450" s="7">
        <v>0</v>
      </c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</row>
    <row r="451" spans="1:17">
      <c r="A451" s="2">
        <v>2399</v>
      </c>
      <c r="B451" s="7">
        <v>0</v>
      </c>
      <c r="C451" s="7">
        <v>0</v>
      </c>
      <c r="D451" s="7">
        <v>0</v>
      </c>
      <c r="E451" s="7">
        <v>0</v>
      </c>
      <c r="F451" s="7">
        <v>0</v>
      </c>
      <c r="G451" s="7">
        <v>0</v>
      </c>
      <c r="H451" s="7">
        <v>0</v>
      </c>
      <c r="I451" s="7">
        <v>0</v>
      </c>
      <c r="J451" s="7">
        <v>0</v>
      </c>
      <c r="K451" s="7">
        <v>0</v>
      </c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</row>
    <row r="452" spans="1:17">
      <c r="A452" s="2">
        <v>2400</v>
      </c>
      <c r="B452" s="7">
        <v>0</v>
      </c>
      <c r="C452" s="7">
        <v>0</v>
      </c>
      <c r="D452" s="7">
        <v>0</v>
      </c>
      <c r="E452" s="7">
        <v>0</v>
      </c>
      <c r="F452" s="7">
        <v>0</v>
      </c>
      <c r="G452" s="7">
        <v>0</v>
      </c>
      <c r="H452" s="7">
        <v>0</v>
      </c>
      <c r="I452" s="7">
        <v>0</v>
      </c>
      <c r="J452" s="7">
        <v>0</v>
      </c>
      <c r="K452" s="7">
        <v>0</v>
      </c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</row>
    <row r="453" spans="1:17">
      <c r="A453" s="2">
        <v>2401</v>
      </c>
      <c r="B453" s="7">
        <v>0</v>
      </c>
      <c r="C453" s="7">
        <v>0</v>
      </c>
      <c r="D453" s="7">
        <v>0</v>
      </c>
      <c r="E453" s="7">
        <v>0</v>
      </c>
      <c r="F453" s="7">
        <v>0</v>
      </c>
      <c r="G453" s="7">
        <v>0</v>
      </c>
      <c r="H453" s="7">
        <v>0</v>
      </c>
      <c r="I453" s="7">
        <v>0</v>
      </c>
      <c r="J453" s="7">
        <v>0</v>
      </c>
      <c r="K453" s="7">
        <v>0</v>
      </c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</row>
    <row r="454" spans="1:17">
      <c r="A454" s="2">
        <v>2402</v>
      </c>
      <c r="B454" s="7">
        <v>0</v>
      </c>
      <c r="C454" s="7">
        <v>0</v>
      </c>
      <c r="D454" s="7">
        <v>0</v>
      </c>
      <c r="E454" s="7">
        <v>0</v>
      </c>
      <c r="F454" s="7">
        <v>0</v>
      </c>
      <c r="G454" s="7">
        <v>0</v>
      </c>
      <c r="H454" s="7">
        <v>0</v>
      </c>
      <c r="I454" s="7">
        <v>0</v>
      </c>
      <c r="J454" s="7">
        <v>0</v>
      </c>
      <c r="K454" s="7">
        <v>0</v>
      </c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</row>
    <row r="455" spans="1:17">
      <c r="A455" s="2">
        <v>2403</v>
      </c>
      <c r="B455" s="7">
        <v>0</v>
      </c>
      <c r="C455" s="7">
        <v>0</v>
      </c>
      <c r="D455" s="7">
        <v>0</v>
      </c>
      <c r="E455" s="7">
        <v>0</v>
      </c>
      <c r="F455" s="7">
        <v>0</v>
      </c>
      <c r="G455" s="7">
        <v>0</v>
      </c>
      <c r="H455" s="7">
        <v>0</v>
      </c>
      <c r="I455" s="7">
        <v>0</v>
      </c>
      <c r="J455" s="7">
        <v>0</v>
      </c>
      <c r="K455" s="7">
        <v>0</v>
      </c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</row>
    <row r="456" spans="1:17">
      <c r="A456" s="2">
        <v>2404</v>
      </c>
      <c r="B456" s="7">
        <v>0</v>
      </c>
      <c r="C456" s="7">
        <v>0</v>
      </c>
      <c r="D456" s="7">
        <v>0</v>
      </c>
      <c r="E456" s="7">
        <v>0</v>
      </c>
      <c r="F456" s="7">
        <v>0</v>
      </c>
      <c r="G456" s="7">
        <v>0</v>
      </c>
      <c r="H456" s="7">
        <v>0</v>
      </c>
      <c r="I456" s="7">
        <v>0</v>
      </c>
      <c r="J456" s="7">
        <v>0</v>
      </c>
      <c r="K456" s="7">
        <v>0</v>
      </c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</row>
    <row r="457" spans="1:17">
      <c r="A457" s="2">
        <v>2405</v>
      </c>
      <c r="B457" s="7">
        <v>0</v>
      </c>
      <c r="C457" s="7">
        <v>0</v>
      </c>
      <c r="D457" s="7">
        <v>0</v>
      </c>
      <c r="E457" s="7">
        <v>0</v>
      </c>
      <c r="F457" s="7">
        <v>0</v>
      </c>
      <c r="G457" s="7">
        <v>0</v>
      </c>
      <c r="H457" s="7">
        <v>0</v>
      </c>
      <c r="I457" s="7">
        <v>0</v>
      </c>
      <c r="J457" s="7">
        <v>0</v>
      </c>
      <c r="K457" s="7">
        <v>0</v>
      </c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</row>
    <row r="458" spans="1:17">
      <c r="A458" s="2">
        <v>2406</v>
      </c>
      <c r="B458" s="7">
        <v>0</v>
      </c>
      <c r="C458" s="7">
        <v>0</v>
      </c>
      <c r="D458" s="7">
        <v>0</v>
      </c>
      <c r="E458" s="7">
        <v>0</v>
      </c>
      <c r="F458" s="7">
        <v>0</v>
      </c>
      <c r="G458" s="7">
        <v>0</v>
      </c>
      <c r="H458" s="7">
        <v>0</v>
      </c>
      <c r="I458" s="7">
        <v>0</v>
      </c>
      <c r="J458" s="7">
        <v>0</v>
      </c>
      <c r="K458" s="7">
        <v>0</v>
      </c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</row>
    <row r="459" spans="1:17">
      <c r="A459" s="2">
        <v>2407</v>
      </c>
      <c r="B459" s="7">
        <v>0</v>
      </c>
      <c r="C459" s="7">
        <v>0</v>
      </c>
      <c r="D459" s="7">
        <v>0</v>
      </c>
      <c r="E459" s="7">
        <v>0</v>
      </c>
      <c r="F459" s="7">
        <v>0</v>
      </c>
      <c r="G459" s="7">
        <v>0</v>
      </c>
      <c r="H459" s="7">
        <v>0</v>
      </c>
      <c r="I459" s="7">
        <v>0</v>
      </c>
      <c r="J459" s="7">
        <v>0</v>
      </c>
      <c r="K459" s="7">
        <v>0</v>
      </c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</row>
    <row r="460" spans="1:17">
      <c r="A460" s="2">
        <v>2408</v>
      </c>
      <c r="B460" s="7">
        <v>0</v>
      </c>
      <c r="C460" s="7">
        <v>0</v>
      </c>
      <c r="D460" s="7">
        <v>0</v>
      </c>
      <c r="E460" s="7">
        <v>0</v>
      </c>
      <c r="F460" s="7">
        <v>0</v>
      </c>
      <c r="G460" s="7">
        <v>0</v>
      </c>
      <c r="H460" s="7">
        <v>0</v>
      </c>
      <c r="I460" s="7">
        <v>0</v>
      </c>
      <c r="J460" s="7">
        <v>0</v>
      </c>
      <c r="K460" s="7">
        <v>0</v>
      </c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</row>
    <row r="461" spans="1:17">
      <c r="A461" s="2">
        <v>2409</v>
      </c>
      <c r="B461" s="7">
        <v>0</v>
      </c>
      <c r="C461" s="7">
        <v>0</v>
      </c>
      <c r="D461" s="7">
        <v>0</v>
      </c>
      <c r="E461" s="7">
        <v>0</v>
      </c>
      <c r="F461" s="7">
        <v>0</v>
      </c>
      <c r="G461" s="7">
        <v>0</v>
      </c>
      <c r="H461" s="7">
        <v>0</v>
      </c>
      <c r="I461" s="7">
        <v>0</v>
      </c>
      <c r="J461" s="7">
        <v>0</v>
      </c>
      <c r="K461" s="7">
        <v>0</v>
      </c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</row>
    <row r="462" spans="1:17">
      <c r="A462" s="2">
        <v>2410</v>
      </c>
      <c r="B462" s="7">
        <v>0</v>
      </c>
      <c r="C462" s="7">
        <v>0</v>
      </c>
      <c r="D462" s="7">
        <v>0</v>
      </c>
      <c r="E462" s="7">
        <v>0</v>
      </c>
      <c r="F462" s="7">
        <v>0</v>
      </c>
      <c r="G462" s="7">
        <v>0</v>
      </c>
      <c r="H462" s="7">
        <v>0</v>
      </c>
      <c r="I462" s="7">
        <v>0</v>
      </c>
      <c r="J462" s="7">
        <v>0</v>
      </c>
      <c r="K462" s="7">
        <v>0</v>
      </c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</row>
    <row r="463" spans="1:17">
      <c r="A463" s="2">
        <v>2411</v>
      </c>
      <c r="B463" s="7">
        <v>0</v>
      </c>
      <c r="C463" s="7">
        <v>0</v>
      </c>
      <c r="D463" s="7">
        <v>0</v>
      </c>
      <c r="E463" s="7">
        <v>0</v>
      </c>
      <c r="F463" s="7">
        <v>0</v>
      </c>
      <c r="G463" s="7">
        <v>0</v>
      </c>
      <c r="H463" s="7">
        <v>0</v>
      </c>
      <c r="I463" s="7">
        <v>0</v>
      </c>
      <c r="J463" s="7">
        <v>0</v>
      </c>
      <c r="K463" s="7">
        <v>0</v>
      </c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</row>
    <row r="464" spans="1:17">
      <c r="A464" s="2">
        <v>2412</v>
      </c>
      <c r="B464" s="7">
        <v>0</v>
      </c>
      <c r="C464" s="7">
        <v>0</v>
      </c>
      <c r="D464" s="7">
        <v>0</v>
      </c>
      <c r="E464" s="7">
        <v>0</v>
      </c>
      <c r="F464" s="7">
        <v>0</v>
      </c>
      <c r="G464" s="7">
        <v>0</v>
      </c>
      <c r="H464" s="7">
        <v>0</v>
      </c>
      <c r="I464" s="7">
        <v>0</v>
      </c>
      <c r="J464" s="7">
        <v>0</v>
      </c>
      <c r="K464" s="7">
        <v>0</v>
      </c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</row>
    <row r="465" spans="1:17">
      <c r="A465" s="2">
        <v>2413</v>
      </c>
      <c r="B465" s="7">
        <v>0</v>
      </c>
      <c r="C465" s="7">
        <v>0</v>
      </c>
      <c r="D465" s="7">
        <v>0</v>
      </c>
      <c r="E465" s="7">
        <v>0</v>
      </c>
      <c r="F465" s="7">
        <v>0</v>
      </c>
      <c r="G465" s="7">
        <v>0</v>
      </c>
      <c r="H465" s="7">
        <v>0</v>
      </c>
      <c r="I465" s="7">
        <v>0</v>
      </c>
      <c r="J465" s="7">
        <v>0</v>
      </c>
      <c r="K465" s="7">
        <v>0</v>
      </c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</row>
    <row r="466" spans="1:17">
      <c r="A466" s="2">
        <v>2414</v>
      </c>
      <c r="B466" s="7">
        <v>0</v>
      </c>
      <c r="C466" s="7">
        <v>0</v>
      </c>
      <c r="D466" s="7">
        <v>0</v>
      </c>
      <c r="E466" s="7">
        <v>0</v>
      </c>
      <c r="F466" s="7">
        <v>0</v>
      </c>
      <c r="G466" s="7">
        <v>0</v>
      </c>
      <c r="H466" s="7">
        <v>0</v>
      </c>
      <c r="I466" s="7">
        <v>0</v>
      </c>
      <c r="J466" s="7">
        <v>0</v>
      </c>
      <c r="K466" s="7">
        <v>0</v>
      </c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</row>
    <row r="467" spans="1:17">
      <c r="A467" s="2">
        <v>2415</v>
      </c>
      <c r="B467" s="7">
        <v>0</v>
      </c>
      <c r="C467" s="7">
        <v>0</v>
      </c>
      <c r="D467" s="7">
        <v>0</v>
      </c>
      <c r="E467" s="7">
        <v>0</v>
      </c>
      <c r="F467" s="7">
        <v>0</v>
      </c>
      <c r="G467" s="7">
        <v>0</v>
      </c>
      <c r="H467" s="7">
        <v>0</v>
      </c>
      <c r="I467" s="7">
        <v>0</v>
      </c>
      <c r="J467" s="7">
        <v>0</v>
      </c>
      <c r="K467" s="7">
        <v>0</v>
      </c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</row>
    <row r="468" spans="1:17">
      <c r="A468" s="2">
        <v>2416</v>
      </c>
      <c r="B468" s="7">
        <v>0</v>
      </c>
      <c r="C468" s="7">
        <v>0</v>
      </c>
      <c r="D468" s="7">
        <v>0</v>
      </c>
      <c r="E468" s="7">
        <v>0</v>
      </c>
      <c r="F468" s="7">
        <v>0</v>
      </c>
      <c r="G468" s="7">
        <v>0</v>
      </c>
      <c r="H468" s="7">
        <v>0</v>
      </c>
      <c r="I468" s="7">
        <v>0</v>
      </c>
      <c r="J468" s="7">
        <v>0</v>
      </c>
      <c r="K468" s="7">
        <v>0</v>
      </c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</row>
    <row r="469" spans="1:17">
      <c r="A469" s="2">
        <v>2417</v>
      </c>
      <c r="B469" s="7">
        <v>0</v>
      </c>
      <c r="C469" s="7">
        <v>0</v>
      </c>
      <c r="D469" s="7">
        <v>0</v>
      </c>
      <c r="E469" s="7">
        <v>0</v>
      </c>
      <c r="F469" s="7">
        <v>0</v>
      </c>
      <c r="G469" s="7">
        <v>0</v>
      </c>
      <c r="H469" s="7">
        <v>0</v>
      </c>
      <c r="I469" s="7">
        <v>0</v>
      </c>
      <c r="J469" s="7">
        <v>0</v>
      </c>
      <c r="K469" s="7">
        <v>0</v>
      </c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</row>
    <row r="470" spans="1:17">
      <c r="A470" s="2">
        <v>2418</v>
      </c>
      <c r="B470" s="7">
        <v>0</v>
      </c>
      <c r="C470" s="7">
        <v>0</v>
      </c>
      <c r="D470" s="7">
        <v>0</v>
      </c>
      <c r="E470" s="7">
        <v>0</v>
      </c>
      <c r="F470" s="7">
        <v>0</v>
      </c>
      <c r="G470" s="7">
        <v>0</v>
      </c>
      <c r="H470" s="7">
        <v>0</v>
      </c>
      <c r="I470" s="7">
        <v>0</v>
      </c>
      <c r="J470" s="7">
        <v>0</v>
      </c>
      <c r="K470" s="7">
        <v>0</v>
      </c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</row>
    <row r="471" spans="1:17">
      <c r="A471" s="2">
        <v>2419</v>
      </c>
      <c r="B471" s="7">
        <v>0</v>
      </c>
      <c r="C471" s="7">
        <v>0</v>
      </c>
      <c r="D471" s="7">
        <v>0</v>
      </c>
      <c r="E471" s="7">
        <v>0</v>
      </c>
      <c r="F471" s="7">
        <v>0</v>
      </c>
      <c r="G471" s="7">
        <v>0</v>
      </c>
      <c r="H471" s="7">
        <v>0</v>
      </c>
      <c r="I471" s="7">
        <v>0</v>
      </c>
      <c r="J471" s="7">
        <v>0</v>
      </c>
      <c r="K471" s="7">
        <v>0</v>
      </c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</row>
    <row r="472" spans="1:17">
      <c r="A472" s="2">
        <v>2420</v>
      </c>
      <c r="B472" s="7">
        <v>0</v>
      </c>
      <c r="C472" s="7">
        <v>0</v>
      </c>
      <c r="D472" s="7">
        <v>0</v>
      </c>
      <c r="E472" s="7">
        <v>0</v>
      </c>
      <c r="F472" s="7">
        <v>0</v>
      </c>
      <c r="G472" s="7">
        <v>0</v>
      </c>
      <c r="H472" s="7">
        <v>0</v>
      </c>
      <c r="I472" s="7">
        <v>0</v>
      </c>
      <c r="J472" s="7">
        <v>0</v>
      </c>
      <c r="K472" s="7">
        <v>0</v>
      </c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</row>
    <row r="473" spans="1:17">
      <c r="A473" s="2">
        <v>2421</v>
      </c>
      <c r="B473" s="7">
        <v>0</v>
      </c>
      <c r="C473" s="7">
        <v>0</v>
      </c>
      <c r="D473" s="7">
        <v>0</v>
      </c>
      <c r="E473" s="7">
        <v>0</v>
      </c>
      <c r="F473" s="7">
        <v>0</v>
      </c>
      <c r="G473" s="7">
        <v>0</v>
      </c>
      <c r="H473" s="7">
        <v>0</v>
      </c>
      <c r="I473" s="7">
        <v>0</v>
      </c>
      <c r="J473" s="7">
        <v>0</v>
      </c>
      <c r="K473" s="7">
        <v>0</v>
      </c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</row>
    <row r="474" spans="1:17">
      <c r="A474" s="2">
        <v>2422</v>
      </c>
      <c r="B474" s="7">
        <v>0</v>
      </c>
      <c r="C474" s="7">
        <v>0</v>
      </c>
      <c r="D474" s="7">
        <v>0</v>
      </c>
      <c r="E474" s="7">
        <v>0</v>
      </c>
      <c r="F474" s="7">
        <v>0</v>
      </c>
      <c r="G474" s="7">
        <v>0</v>
      </c>
      <c r="H474" s="7">
        <v>0</v>
      </c>
      <c r="I474" s="7">
        <v>0</v>
      </c>
      <c r="J474" s="7">
        <v>0</v>
      </c>
      <c r="K474" s="7">
        <v>0</v>
      </c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</row>
    <row r="475" spans="1:17">
      <c r="A475" s="2">
        <v>2423</v>
      </c>
      <c r="B475" s="7">
        <v>0</v>
      </c>
      <c r="C475" s="7">
        <v>0</v>
      </c>
      <c r="D475" s="7">
        <v>0</v>
      </c>
      <c r="E475" s="7">
        <v>0</v>
      </c>
      <c r="F475" s="7">
        <v>0</v>
      </c>
      <c r="G475" s="7">
        <v>0</v>
      </c>
      <c r="H475" s="7">
        <v>0</v>
      </c>
      <c r="I475" s="7">
        <v>0</v>
      </c>
      <c r="J475" s="7">
        <v>0</v>
      </c>
      <c r="K475" s="7">
        <v>0</v>
      </c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</row>
    <row r="476" spans="1:17">
      <c r="A476" s="2">
        <v>2424</v>
      </c>
      <c r="B476" s="7">
        <v>0</v>
      </c>
      <c r="C476" s="7">
        <v>0</v>
      </c>
      <c r="D476" s="7">
        <v>0</v>
      </c>
      <c r="E476" s="7">
        <v>0</v>
      </c>
      <c r="F476" s="7">
        <v>0</v>
      </c>
      <c r="G476" s="7">
        <v>0</v>
      </c>
      <c r="H476" s="7">
        <v>0</v>
      </c>
      <c r="I476" s="7">
        <v>0</v>
      </c>
      <c r="J476" s="7">
        <v>0</v>
      </c>
      <c r="K476" s="7">
        <v>0</v>
      </c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</row>
    <row r="477" spans="1:17">
      <c r="A477" s="2">
        <v>2425</v>
      </c>
      <c r="B477" s="7">
        <v>0</v>
      </c>
      <c r="C477" s="7">
        <v>0</v>
      </c>
      <c r="D477" s="7">
        <v>0</v>
      </c>
      <c r="E477" s="7">
        <v>0</v>
      </c>
      <c r="F477" s="7">
        <v>0</v>
      </c>
      <c r="G477" s="7">
        <v>0</v>
      </c>
      <c r="H477" s="7">
        <v>0</v>
      </c>
      <c r="I477" s="7">
        <v>0</v>
      </c>
      <c r="J477" s="7">
        <v>0</v>
      </c>
      <c r="K477" s="7">
        <v>0</v>
      </c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</row>
    <row r="478" spans="1:17">
      <c r="A478" s="2">
        <v>2426</v>
      </c>
      <c r="B478" s="7">
        <v>0</v>
      </c>
      <c r="C478" s="7">
        <v>0</v>
      </c>
      <c r="D478" s="7">
        <v>0</v>
      </c>
      <c r="E478" s="7">
        <v>0</v>
      </c>
      <c r="F478" s="7">
        <v>0</v>
      </c>
      <c r="G478" s="7">
        <v>0</v>
      </c>
      <c r="H478" s="7">
        <v>0</v>
      </c>
      <c r="I478" s="7">
        <v>0</v>
      </c>
      <c r="J478" s="7">
        <v>0</v>
      </c>
      <c r="K478" s="7">
        <v>0</v>
      </c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</row>
    <row r="479" spans="1:17">
      <c r="A479" s="2">
        <v>2427</v>
      </c>
      <c r="B479" s="7">
        <v>0</v>
      </c>
      <c r="C479" s="7">
        <v>0</v>
      </c>
      <c r="D479" s="7">
        <v>0</v>
      </c>
      <c r="E479" s="7">
        <v>0</v>
      </c>
      <c r="F479" s="7">
        <v>0</v>
      </c>
      <c r="G479" s="7">
        <v>0</v>
      </c>
      <c r="H479" s="7">
        <v>0</v>
      </c>
      <c r="I479" s="7">
        <v>0</v>
      </c>
      <c r="J479" s="7">
        <v>0</v>
      </c>
      <c r="K479" s="7">
        <v>0</v>
      </c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</row>
    <row r="480" spans="1:17">
      <c r="A480" s="2">
        <v>2428</v>
      </c>
      <c r="B480" s="7">
        <v>0</v>
      </c>
      <c r="C480" s="7">
        <v>0</v>
      </c>
      <c r="D480" s="7">
        <v>0</v>
      </c>
      <c r="E480" s="7">
        <v>0</v>
      </c>
      <c r="F480" s="7">
        <v>0</v>
      </c>
      <c r="G480" s="7">
        <v>0</v>
      </c>
      <c r="H480" s="7">
        <v>0</v>
      </c>
      <c r="I480" s="7">
        <v>0</v>
      </c>
      <c r="J480" s="7">
        <v>0</v>
      </c>
      <c r="K480" s="7">
        <v>0</v>
      </c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</row>
    <row r="481" spans="1:17">
      <c r="A481" s="2">
        <v>2429</v>
      </c>
      <c r="B481" s="7">
        <v>0</v>
      </c>
      <c r="C481" s="7">
        <v>0</v>
      </c>
      <c r="D481" s="7">
        <v>0</v>
      </c>
      <c r="E481" s="7">
        <v>0</v>
      </c>
      <c r="F481" s="7">
        <v>0</v>
      </c>
      <c r="G481" s="7">
        <v>0</v>
      </c>
      <c r="H481" s="7">
        <v>0</v>
      </c>
      <c r="I481" s="7">
        <v>0</v>
      </c>
      <c r="J481" s="7">
        <v>0</v>
      </c>
      <c r="K481" s="7">
        <v>0</v>
      </c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</row>
    <row r="482" spans="1:17">
      <c r="A482" s="2">
        <v>2430</v>
      </c>
      <c r="B482" s="7">
        <v>0</v>
      </c>
      <c r="C482" s="7">
        <v>0</v>
      </c>
      <c r="D482" s="7">
        <v>0</v>
      </c>
      <c r="E482" s="7">
        <v>0</v>
      </c>
      <c r="F482" s="7">
        <v>0</v>
      </c>
      <c r="G482" s="7">
        <v>0</v>
      </c>
      <c r="H482" s="7">
        <v>0</v>
      </c>
      <c r="I482" s="7">
        <v>0</v>
      </c>
      <c r="J482" s="7">
        <v>0</v>
      </c>
      <c r="K482" s="7">
        <v>0</v>
      </c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</row>
    <row r="483" spans="1:17">
      <c r="A483" s="2">
        <v>2431</v>
      </c>
      <c r="B483" s="7">
        <v>0</v>
      </c>
      <c r="C483" s="7">
        <v>0</v>
      </c>
      <c r="D483" s="7">
        <v>0</v>
      </c>
      <c r="E483" s="7">
        <v>0</v>
      </c>
      <c r="F483" s="7">
        <v>0</v>
      </c>
      <c r="G483" s="7">
        <v>0</v>
      </c>
      <c r="H483" s="7">
        <v>0</v>
      </c>
      <c r="I483" s="7">
        <v>0</v>
      </c>
      <c r="J483" s="7">
        <v>0</v>
      </c>
      <c r="K483" s="7">
        <v>0</v>
      </c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</row>
    <row r="484" spans="1:17">
      <c r="A484" s="2">
        <v>2432</v>
      </c>
      <c r="B484" s="7">
        <v>0</v>
      </c>
      <c r="C484" s="7">
        <v>0</v>
      </c>
      <c r="D484" s="7">
        <v>0</v>
      </c>
      <c r="E484" s="7">
        <v>0</v>
      </c>
      <c r="F484" s="7">
        <v>0</v>
      </c>
      <c r="G484" s="7">
        <v>0</v>
      </c>
      <c r="H484" s="7">
        <v>0</v>
      </c>
      <c r="I484" s="7">
        <v>0</v>
      </c>
      <c r="J484" s="7">
        <v>0</v>
      </c>
      <c r="K484" s="7">
        <v>0</v>
      </c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</row>
    <row r="485" spans="1:17">
      <c r="A485" s="2">
        <v>2433</v>
      </c>
      <c r="B485" s="7">
        <v>0</v>
      </c>
      <c r="C485" s="7">
        <v>0</v>
      </c>
      <c r="D485" s="7">
        <v>0</v>
      </c>
      <c r="E485" s="7">
        <v>0</v>
      </c>
      <c r="F485" s="7">
        <v>0</v>
      </c>
      <c r="G485" s="7">
        <v>0</v>
      </c>
      <c r="H485" s="7">
        <v>0</v>
      </c>
      <c r="I485" s="7">
        <v>0</v>
      </c>
      <c r="J485" s="7">
        <v>0</v>
      </c>
      <c r="K485" s="7">
        <v>0</v>
      </c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</row>
    <row r="486" spans="1:17">
      <c r="A486" s="2">
        <v>2434</v>
      </c>
      <c r="B486" s="7">
        <v>0</v>
      </c>
      <c r="C486" s="7">
        <v>0</v>
      </c>
      <c r="D486" s="7">
        <v>0</v>
      </c>
      <c r="E486" s="7">
        <v>0</v>
      </c>
      <c r="F486" s="7">
        <v>0</v>
      </c>
      <c r="G486" s="7">
        <v>0</v>
      </c>
      <c r="H486" s="7">
        <v>0</v>
      </c>
      <c r="I486" s="7">
        <v>0</v>
      </c>
      <c r="J486" s="7">
        <v>0</v>
      </c>
      <c r="K486" s="7">
        <v>0</v>
      </c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</row>
    <row r="487" spans="1:17">
      <c r="A487" s="2">
        <v>2435</v>
      </c>
      <c r="B487" s="7">
        <v>0</v>
      </c>
      <c r="C487" s="7">
        <v>0</v>
      </c>
      <c r="D487" s="7">
        <v>0</v>
      </c>
      <c r="E487" s="7">
        <v>0</v>
      </c>
      <c r="F487" s="7">
        <v>0</v>
      </c>
      <c r="G487" s="7">
        <v>0</v>
      </c>
      <c r="H487" s="7">
        <v>0</v>
      </c>
      <c r="I487" s="7">
        <v>0</v>
      </c>
      <c r="J487" s="7">
        <v>0</v>
      </c>
      <c r="K487" s="7">
        <v>0</v>
      </c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</row>
    <row r="488" spans="1:17">
      <c r="A488" s="2">
        <v>2436</v>
      </c>
      <c r="B488" s="7">
        <v>0</v>
      </c>
      <c r="C488" s="7">
        <v>0</v>
      </c>
      <c r="D488" s="7">
        <v>0</v>
      </c>
      <c r="E488" s="7">
        <v>0</v>
      </c>
      <c r="F488" s="7">
        <v>0</v>
      </c>
      <c r="G488" s="7">
        <v>0</v>
      </c>
      <c r="H488" s="7">
        <v>0</v>
      </c>
      <c r="I488" s="7">
        <v>0</v>
      </c>
      <c r="J488" s="7">
        <v>0</v>
      </c>
      <c r="K488" s="7">
        <v>0</v>
      </c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</row>
    <row r="489" spans="1:17">
      <c r="A489" s="2">
        <v>2437</v>
      </c>
      <c r="B489" s="7">
        <v>0</v>
      </c>
      <c r="C489" s="7">
        <v>0</v>
      </c>
      <c r="D489" s="7">
        <v>0</v>
      </c>
      <c r="E489" s="7">
        <v>0</v>
      </c>
      <c r="F489" s="7">
        <v>0</v>
      </c>
      <c r="G489" s="7">
        <v>0</v>
      </c>
      <c r="H489" s="7">
        <v>0</v>
      </c>
      <c r="I489" s="7">
        <v>0</v>
      </c>
      <c r="J489" s="7">
        <v>0</v>
      </c>
      <c r="K489" s="7">
        <v>0</v>
      </c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</row>
    <row r="490" spans="1:17">
      <c r="A490" s="2">
        <v>2438</v>
      </c>
      <c r="B490" s="7">
        <v>0</v>
      </c>
      <c r="C490" s="7">
        <v>0</v>
      </c>
      <c r="D490" s="7">
        <v>0</v>
      </c>
      <c r="E490" s="7">
        <v>0</v>
      </c>
      <c r="F490" s="7">
        <v>0</v>
      </c>
      <c r="G490" s="7">
        <v>0</v>
      </c>
      <c r="H490" s="7">
        <v>0</v>
      </c>
      <c r="I490" s="7">
        <v>0</v>
      </c>
      <c r="J490" s="7">
        <v>0</v>
      </c>
      <c r="K490" s="7">
        <v>0</v>
      </c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</row>
    <row r="491" spans="1:17">
      <c r="A491" s="2">
        <v>2439</v>
      </c>
      <c r="B491" s="7">
        <v>0</v>
      </c>
      <c r="C491" s="7">
        <v>0</v>
      </c>
      <c r="D491" s="7">
        <v>0</v>
      </c>
      <c r="E491" s="7">
        <v>0</v>
      </c>
      <c r="F491" s="7">
        <v>0</v>
      </c>
      <c r="G491" s="7">
        <v>0</v>
      </c>
      <c r="H491" s="7">
        <v>0</v>
      </c>
      <c r="I491" s="7">
        <v>0</v>
      </c>
      <c r="J491" s="7">
        <v>0</v>
      </c>
      <c r="K491" s="7">
        <v>0</v>
      </c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</row>
    <row r="492" spans="1:17">
      <c r="A492" s="2">
        <v>2440</v>
      </c>
      <c r="B492" s="7">
        <v>0</v>
      </c>
      <c r="C492" s="7">
        <v>0</v>
      </c>
      <c r="D492" s="7">
        <v>0</v>
      </c>
      <c r="E492" s="7">
        <v>0</v>
      </c>
      <c r="F492" s="7">
        <v>0</v>
      </c>
      <c r="G492" s="7">
        <v>0</v>
      </c>
      <c r="H492" s="7">
        <v>0</v>
      </c>
      <c r="I492" s="7">
        <v>0</v>
      </c>
      <c r="J492" s="7">
        <v>0</v>
      </c>
      <c r="K492" s="7">
        <v>0</v>
      </c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</row>
    <row r="493" spans="1:17">
      <c r="A493" s="2">
        <v>2441</v>
      </c>
      <c r="B493" s="7">
        <v>0</v>
      </c>
      <c r="C493" s="7">
        <v>0</v>
      </c>
      <c r="D493" s="7">
        <v>0</v>
      </c>
      <c r="E493" s="7">
        <v>0</v>
      </c>
      <c r="F493" s="7">
        <v>0</v>
      </c>
      <c r="G493" s="7">
        <v>0</v>
      </c>
      <c r="H493" s="7">
        <v>0</v>
      </c>
      <c r="I493" s="7">
        <v>0</v>
      </c>
      <c r="J493" s="7">
        <v>0</v>
      </c>
      <c r="K493" s="7">
        <v>0</v>
      </c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</row>
    <row r="494" spans="1:17">
      <c r="A494" s="2">
        <v>2442</v>
      </c>
      <c r="B494" s="7">
        <v>0</v>
      </c>
      <c r="C494" s="7">
        <v>0</v>
      </c>
      <c r="D494" s="7">
        <v>0</v>
      </c>
      <c r="E494" s="7">
        <v>0</v>
      </c>
      <c r="F494" s="7">
        <v>0</v>
      </c>
      <c r="G494" s="7">
        <v>0</v>
      </c>
      <c r="H494" s="7">
        <v>0</v>
      </c>
      <c r="I494" s="7">
        <v>0</v>
      </c>
      <c r="J494" s="7">
        <v>0</v>
      </c>
      <c r="K494" s="7">
        <v>0</v>
      </c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</row>
    <row r="495" spans="1:17">
      <c r="A495" s="2">
        <v>2443</v>
      </c>
      <c r="B495" s="7">
        <v>0</v>
      </c>
      <c r="C495" s="7">
        <v>0</v>
      </c>
      <c r="D495" s="7">
        <v>0</v>
      </c>
      <c r="E495" s="7">
        <v>0</v>
      </c>
      <c r="F495" s="7">
        <v>0</v>
      </c>
      <c r="G495" s="7">
        <v>0</v>
      </c>
      <c r="H495" s="7">
        <v>0</v>
      </c>
      <c r="I495" s="7">
        <v>0</v>
      </c>
      <c r="J495" s="7">
        <v>0</v>
      </c>
      <c r="K495" s="7">
        <v>0</v>
      </c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</row>
    <row r="496" spans="1:17">
      <c r="A496" s="2">
        <v>2444</v>
      </c>
      <c r="B496" s="7">
        <v>0</v>
      </c>
      <c r="C496" s="7">
        <v>0</v>
      </c>
      <c r="D496" s="7">
        <v>0</v>
      </c>
      <c r="E496" s="7">
        <v>0</v>
      </c>
      <c r="F496" s="7">
        <v>0</v>
      </c>
      <c r="G496" s="7">
        <v>0</v>
      </c>
      <c r="H496" s="7">
        <v>0</v>
      </c>
      <c r="I496" s="7">
        <v>0</v>
      </c>
      <c r="J496" s="7">
        <v>0</v>
      </c>
      <c r="K496" s="7">
        <v>0</v>
      </c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</row>
    <row r="497" spans="1:17">
      <c r="A497" s="2">
        <v>2445</v>
      </c>
      <c r="B497" s="7">
        <v>0</v>
      </c>
      <c r="C497" s="7">
        <v>0</v>
      </c>
      <c r="D497" s="7">
        <v>0</v>
      </c>
      <c r="E497" s="7">
        <v>0</v>
      </c>
      <c r="F497" s="7">
        <v>0</v>
      </c>
      <c r="G497" s="7">
        <v>0</v>
      </c>
      <c r="H497" s="7">
        <v>0</v>
      </c>
      <c r="I497" s="7">
        <v>0</v>
      </c>
      <c r="J497" s="7">
        <v>0</v>
      </c>
      <c r="K497" s="7">
        <v>0</v>
      </c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</row>
    <row r="498" spans="1:17">
      <c r="A498" s="2">
        <v>2446</v>
      </c>
      <c r="B498" s="7">
        <v>0</v>
      </c>
      <c r="C498" s="7">
        <v>0</v>
      </c>
      <c r="D498" s="7">
        <v>0</v>
      </c>
      <c r="E498" s="7">
        <v>0</v>
      </c>
      <c r="F498" s="7">
        <v>0</v>
      </c>
      <c r="G498" s="7">
        <v>0</v>
      </c>
      <c r="H498" s="7">
        <v>0</v>
      </c>
      <c r="I498" s="7">
        <v>0</v>
      </c>
      <c r="J498" s="7">
        <v>0</v>
      </c>
      <c r="K498" s="7">
        <v>0</v>
      </c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</row>
    <row r="499" spans="1:17">
      <c r="A499" s="2">
        <v>2447</v>
      </c>
      <c r="B499" s="7">
        <v>0</v>
      </c>
      <c r="C499" s="7">
        <v>0</v>
      </c>
      <c r="D499" s="7">
        <v>0</v>
      </c>
      <c r="E499" s="7">
        <v>0</v>
      </c>
      <c r="F499" s="7">
        <v>0</v>
      </c>
      <c r="G499" s="7">
        <v>0</v>
      </c>
      <c r="H499" s="7">
        <v>0</v>
      </c>
      <c r="I499" s="7">
        <v>0</v>
      </c>
      <c r="J499" s="7">
        <v>0</v>
      </c>
      <c r="K499" s="7">
        <v>0</v>
      </c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</row>
    <row r="500" spans="1:17">
      <c r="A500" s="2">
        <v>2448</v>
      </c>
      <c r="B500" s="7">
        <v>0</v>
      </c>
      <c r="C500" s="7">
        <v>0</v>
      </c>
      <c r="D500" s="7">
        <v>0</v>
      </c>
      <c r="E500" s="7">
        <v>0</v>
      </c>
      <c r="F500" s="7">
        <v>0</v>
      </c>
      <c r="G500" s="7">
        <v>0</v>
      </c>
      <c r="H500" s="7">
        <v>0</v>
      </c>
      <c r="I500" s="7">
        <v>0</v>
      </c>
      <c r="J500" s="7">
        <v>0</v>
      </c>
      <c r="K500" s="7">
        <v>0</v>
      </c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</row>
    <row r="501" spans="1:17">
      <c r="A501" s="2">
        <v>2449</v>
      </c>
      <c r="B501" s="7">
        <v>0</v>
      </c>
      <c r="C501" s="7">
        <v>0</v>
      </c>
      <c r="D501" s="7">
        <v>0</v>
      </c>
      <c r="E501" s="7">
        <v>0</v>
      </c>
      <c r="F501" s="7">
        <v>0</v>
      </c>
      <c r="G501" s="7">
        <v>0</v>
      </c>
      <c r="H501" s="7">
        <v>0</v>
      </c>
      <c r="I501" s="7">
        <v>0</v>
      </c>
      <c r="J501" s="7">
        <v>0</v>
      </c>
      <c r="K501" s="7">
        <v>0</v>
      </c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</row>
    <row r="502" spans="1:17">
      <c r="A502" s="2">
        <v>2450</v>
      </c>
      <c r="B502" s="7">
        <v>0</v>
      </c>
      <c r="C502" s="7">
        <v>0</v>
      </c>
      <c r="D502" s="7">
        <v>0</v>
      </c>
      <c r="E502" s="7">
        <v>0</v>
      </c>
      <c r="F502" s="7">
        <v>0</v>
      </c>
      <c r="G502" s="7">
        <v>0</v>
      </c>
      <c r="H502" s="7">
        <v>0</v>
      </c>
      <c r="I502" s="7">
        <v>0</v>
      </c>
      <c r="J502" s="7">
        <v>0</v>
      </c>
      <c r="K502" s="7">
        <v>0</v>
      </c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</row>
    <row r="503" spans="1:17">
      <c r="A503" s="2">
        <v>2451</v>
      </c>
      <c r="B503" s="7">
        <v>0</v>
      </c>
      <c r="C503" s="7">
        <v>0</v>
      </c>
      <c r="D503" s="7">
        <v>0</v>
      </c>
      <c r="E503" s="7">
        <v>0</v>
      </c>
      <c r="F503" s="7">
        <v>0</v>
      </c>
      <c r="G503" s="7">
        <v>0</v>
      </c>
      <c r="H503" s="7">
        <v>0</v>
      </c>
      <c r="I503" s="7">
        <v>0</v>
      </c>
      <c r="J503" s="7">
        <v>0</v>
      </c>
      <c r="K503" s="7">
        <v>0</v>
      </c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</row>
    <row r="504" spans="1:17">
      <c r="A504" s="2">
        <v>2452</v>
      </c>
      <c r="B504" s="7">
        <v>0</v>
      </c>
      <c r="C504" s="7">
        <v>0</v>
      </c>
      <c r="D504" s="7">
        <v>0</v>
      </c>
      <c r="E504" s="7">
        <v>0</v>
      </c>
      <c r="F504" s="7">
        <v>0</v>
      </c>
      <c r="G504" s="7">
        <v>0</v>
      </c>
      <c r="H504" s="7">
        <v>0</v>
      </c>
      <c r="I504" s="7">
        <v>0</v>
      </c>
      <c r="J504" s="7">
        <v>0</v>
      </c>
      <c r="K504" s="7">
        <v>0</v>
      </c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</row>
    <row r="505" spans="1:17">
      <c r="A505" s="2">
        <v>2453</v>
      </c>
      <c r="B505" s="7">
        <v>0</v>
      </c>
      <c r="C505" s="7">
        <v>0</v>
      </c>
      <c r="D505" s="7">
        <v>0</v>
      </c>
      <c r="E505" s="7">
        <v>0</v>
      </c>
      <c r="F505" s="7">
        <v>0</v>
      </c>
      <c r="G505" s="7">
        <v>0</v>
      </c>
      <c r="H505" s="7">
        <v>0</v>
      </c>
      <c r="I505" s="7">
        <v>0</v>
      </c>
      <c r="J505" s="7">
        <v>0</v>
      </c>
      <c r="K505" s="7">
        <v>0</v>
      </c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</row>
    <row r="506" spans="1:17">
      <c r="A506" s="2">
        <v>2454</v>
      </c>
      <c r="B506" s="7">
        <v>0</v>
      </c>
      <c r="C506" s="7">
        <v>0</v>
      </c>
      <c r="D506" s="7">
        <v>0</v>
      </c>
      <c r="E506" s="7">
        <v>0</v>
      </c>
      <c r="F506" s="7">
        <v>0</v>
      </c>
      <c r="G506" s="7">
        <v>0</v>
      </c>
      <c r="H506" s="7">
        <v>0</v>
      </c>
      <c r="I506" s="7">
        <v>0</v>
      </c>
      <c r="J506" s="7">
        <v>0</v>
      </c>
      <c r="K506" s="7">
        <v>0</v>
      </c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</row>
    <row r="507" spans="1:17">
      <c r="A507" s="2">
        <v>2455</v>
      </c>
      <c r="B507" s="7">
        <v>0</v>
      </c>
      <c r="C507" s="7">
        <v>0</v>
      </c>
      <c r="D507" s="7">
        <v>0</v>
      </c>
      <c r="E507" s="7">
        <v>0</v>
      </c>
      <c r="F507" s="7">
        <v>0</v>
      </c>
      <c r="G507" s="7">
        <v>0</v>
      </c>
      <c r="H507" s="7">
        <v>0</v>
      </c>
      <c r="I507" s="7">
        <v>0</v>
      </c>
      <c r="J507" s="7">
        <v>0</v>
      </c>
      <c r="K507" s="7">
        <v>0</v>
      </c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</row>
    <row r="508" spans="1:17">
      <c r="A508" s="2">
        <v>2456</v>
      </c>
      <c r="B508" s="7">
        <v>0</v>
      </c>
      <c r="C508" s="7">
        <v>0</v>
      </c>
      <c r="D508" s="7">
        <v>0</v>
      </c>
      <c r="E508" s="7">
        <v>0</v>
      </c>
      <c r="F508" s="7">
        <v>0</v>
      </c>
      <c r="G508" s="7">
        <v>0</v>
      </c>
      <c r="H508" s="7">
        <v>0</v>
      </c>
      <c r="I508" s="7">
        <v>0</v>
      </c>
      <c r="J508" s="7">
        <v>0</v>
      </c>
      <c r="K508" s="7">
        <v>0</v>
      </c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</row>
    <row r="509" spans="1:17">
      <c r="A509" s="2">
        <v>2457</v>
      </c>
      <c r="B509" s="7">
        <v>0</v>
      </c>
      <c r="C509" s="7">
        <v>0</v>
      </c>
      <c r="D509" s="7">
        <v>0</v>
      </c>
      <c r="E509" s="7">
        <v>0</v>
      </c>
      <c r="F509" s="7">
        <v>0</v>
      </c>
      <c r="G509" s="7">
        <v>0</v>
      </c>
      <c r="H509" s="7">
        <v>0</v>
      </c>
      <c r="I509" s="7">
        <v>0</v>
      </c>
      <c r="J509" s="7">
        <v>0</v>
      </c>
      <c r="K509" s="7">
        <v>0</v>
      </c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</row>
    <row r="510" spans="1:17">
      <c r="A510" s="2">
        <v>2458</v>
      </c>
      <c r="B510" s="7">
        <v>0</v>
      </c>
      <c r="C510" s="7">
        <v>0</v>
      </c>
      <c r="D510" s="7">
        <v>0</v>
      </c>
      <c r="E510" s="7">
        <v>0</v>
      </c>
      <c r="F510" s="7">
        <v>0</v>
      </c>
      <c r="G510" s="7">
        <v>0</v>
      </c>
      <c r="H510" s="7">
        <v>0</v>
      </c>
      <c r="I510" s="7">
        <v>0</v>
      </c>
      <c r="J510" s="7">
        <v>0</v>
      </c>
      <c r="K510" s="7">
        <v>0</v>
      </c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</row>
    <row r="511" spans="1:17">
      <c r="A511" s="2">
        <v>2459</v>
      </c>
      <c r="B511" s="7">
        <v>0</v>
      </c>
      <c r="C511" s="7">
        <v>0</v>
      </c>
      <c r="D511" s="7">
        <v>0</v>
      </c>
      <c r="E511" s="7">
        <v>0</v>
      </c>
      <c r="F511" s="7">
        <v>0</v>
      </c>
      <c r="G511" s="7">
        <v>0</v>
      </c>
      <c r="H511" s="7">
        <v>0</v>
      </c>
      <c r="I511" s="7">
        <v>0</v>
      </c>
      <c r="J511" s="7">
        <v>0</v>
      </c>
      <c r="K511" s="7">
        <v>0</v>
      </c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</row>
    <row r="512" spans="1:17">
      <c r="A512" s="2">
        <v>2460</v>
      </c>
      <c r="B512" s="7">
        <v>0</v>
      </c>
      <c r="C512" s="7">
        <v>0</v>
      </c>
      <c r="D512" s="7">
        <v>0</v>
      </c>
      <c r="E512" s="7">
        <v>0</v>
      </c>
      <c r="F512" s="7">
        <v>0</v>
      </c>
      <c r="G512" s="7">
        <v>0</v>
      </c>
      <c r="H512" s="7">
        <v>0</v>
      </c>
      <c r="I512" s="7">
        <v>0</v>
      </c>
      <c r="J512" s="7">
        <v>0</v>
      </c>
      <c r="K512" s="7">
        <v>0</v>
      </c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</row>
    <row r="513" spans="1:17">
      <c r="A513" s="2">
        <v>2461</v>
      </c>
      <c r="B513" s="7">
        <v>0</v>
      </c>
      <c r="C513" s="7">
        <v>0</v>
      </c>
      <c r="D513" s="7">
        <v>0</v>
      </c>
      <c r="E513" s="7">
        <v>0</v>
      </c>
      <c r="F513" s="7">
        <v>0</v>
      </c>
      <c r="G513" s="7">
        <v>0</v>
      </c>
      <c r="H513" s="7">
        <v>0</v>
      </c>
      <c r="I513" s="7">
        <v>0</v>
      </c>
      <c r="J513" s="7">
        <v>0</v>
      </c>
      <c r="K513" s="7">
        <v>0</v>
      </c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</row>
    <row r="514" spans="1:17">
      <c r="A514" s="2">
        <v>2462</v>
      </c>
      <c r="B514" s="7">
        <v>0</v>
      </c>
      <c r="C514" s="7">
        <v>0</v>
      </c>
      <c r="D514" s="7">
        <v>0</v>
      </c>
      <c r="E514" s="7">
        <v>0</v>
      </c>
      <c r="F514" s="7">
        <v>0</v>
      </c>
      <c r="G514" s="7">
        <v>0</v>
      </c>
      <c r="H514" s="7">
        <v>0</v>
      </c>
      <c r="I514" s="7">
        <v>0</v>
      </c>
      <c r="J514" s="7">
        <v>0</v>
      </c>
      <c r="K514" s="7">
        <v>0</v>
      </c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</row>
    <row r="515" spans="1:17">
      <c r="A515" s="2">
        <v>2463</v>
      </c>
      <c r="B515" s="7">
        <v>0</v>
      </c>
      <c r="C515" s="7">
        <v>0</v>
      </c>
      <c r="D515" s="7">
        <v>0</v>
      </c>
      <c r="E515" s="7">
        <v>0</v>
      </c>
      <c r="F515" s="7">
        <v>0</v>
      </c>
      <c r="G515" s="7">
        <v>0</v>
      </c>
      <c r="H515" s="7">
        <v>0</v>
      </c>
      <c r="I515" s="7">
        <v>0</v>
      </c>
      <c r="J515" s="7">
        <v>0</v>
      </c>
      <c r="K515" s="7">
        <v>0</v>
      </c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</row>
    <row r="516" spans="1:17">
      <c r="A516" s="2">
        <v>2464</v>
      </c>
      <c r="B516" s="7">
        <v>0</v>
      </c>
      <c r="C516" s="7">
        <v>0</v>
      </c>
      <c r="D516" s="7">
        <v>0</v>
      </c>
      <c r="E516" s="7">
        <v>0</v>
      </c>
      <c r="F516" s="7">
        <v>0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</row>
    <row r="517" spans="1:17">
      <c r="A517" s="2">
        <v>2465</v>
      </c>
      <c r="B517" s="7">
        <v>0</v>
      </c>
      <c r="C517" s="7">
        <v>0</v>
      </c>
      <c r="D517" s="7">
        <v>0</v>
      </c>
      <c r="E517" s="7">
        <v>0</v>
      </c>
      <c r="F517" s="7">
        <v>0</v>
      </c>
      <c r="G517" s="7">
        <v>0</v>
      </c>
      <c r="H517" s="7">
        <v>0</v>
      </c>
      <c r="I517" s="7">
        <v>0</v>
      </c>
      <c r="J517" s="7">
        <v>0</v>
      </c>
      <c r="K517" s="7">
        <v>0</v>
      </c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</row>
    <row r="518" spans="1:17">
      <c r="A518" s="2">
        <v>2466</v>
      </c>
      <c r="B518" s="7">
        <v>0</v>
      </c>
      <c r="C518" s="7">
        <v>0</v>
      </c>
      <c r="D518" s="7">
        <v>0</v>
      </c>
      <c r="E518" s="7">
        <v>0</v>
      </c>
      <c r="F518" s="7">
        <v>0</v>
      </c>
      <c r="G518" s="7">
        <v>0</v>
      </c>
      <c r="H518" s="7">
        <v>0</v>
      </c>
      <c r="I518" s="7">
        <v>0</v>
      </c>
      <c r="J518" s="7">
        <v>0</v>
      </c>
      <c r="K518" s="7">
        <v>0</v>
      </c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</row>
    <row r="519" spans="1:17">
      <c r="A519" s="2">
        <v>2467</v>
      </c>
      <c r="B519" s="7">
        <v>0</v>
      </c>
      <c r="C519" s="7">
        <v>0</v>
      </c>
      <c r="D519" s="7">
        <v>0</v>
      </c>
      <c r="E519" s="7">
        <v>0</v>
      </c>
      <c r="F519" s="7">
        <v>0</v>
      </c>
      <c r="G519" s="7">
        <v>0</v>
      </c>
      <c r="H519" s="7">
        <v>0</v>
      </c>
      <c r="I519" s="7">
        <v>0</v>
      </c>
      <c r="J519" s="7">
        <v>0</v>
      </c>
      <c r="K519" s="7">
        <v>0</v>
      </c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</row>
    <row r="520" spans="1:17">
      <c r="A520" s="2">
        <v>2468</v>
      </c>
      <c r="B520" s="7">
        <v>0</v>
      </c>
      <c r="C520" s="7">
        <v>0</v>
      </c>
      <c r="D520" s="7">
        <v>0</v>
      </c>
      <c r="E520" s="7">
        <v>0</v>
      </c>
      <c r="F520" s="7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</row>
    <row r="521" spans="1:17">
      <c r="A521" s="2">
        <v>2469</v>
      </c>
      <c r="B521" s="7">
        <v>0</v>
      </c>
      <c r="C521" s="7">
        <v>0</v>
      </c>
      <c r="D521" s="7">
        <v>0</v>
      </c>
      <c r="E521" s="7">
        <v>0</v>
      </c>
      <c r="F521" s="7">
        <v>0</v>
      </c>
      <c r="G521" s="7">
        <v>0</v>
      </c>
      <c r="H521" s="7">
        <v>0</v>
      </c>
      <c r="I521" s="7">
        <v>0</v>
      </c>
      <c r="J521" s="7">
        <v>0</v>
      </c>
      <c r="K521" s="7">
        <v>0</v>
      </c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</row>
    <row r="522" spans="1:17">
      <c r="A522" s="2">
        <v>2470</v>
      </c>
      <c r="B522" s="7">
        <v>0</v>
      </c>
      <c r="C522" s="7">
        <v>0</v>
      </c>
      <c r="D522" s="7">
        <v>0</v>
      </c>
      <c r="E522" s="7">
        <v>0</v>
      </c>
      <c r="F522" s="7">
        <v>0</v>
      </c>
      <c r="G522" s="7">
        <v>0</v>
      </c>
      <c r="H522" s="7">
        <v>0</v>
      </c>
      <c r="I522" s="7">
        <v>0</v>
      </c>
      <c r="J522" s="7">
        <v>0</v>
      </c>
      <c r="K522" s="7">
        <v>0</v>
      </c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</row>
    <row r="523" spans="1:17">
      <c r="A523" s="2">
        <v>2471</v>
      </c>
      <c r="B523" s="7">
        <v>0</v>
      </c>
      <c r="C523" s="7">
        <v>0</v>
      </c>
      <c r="D523" s="7">
        <v>0</v>
      </c>
      <c r="E523" s="7">
        <v>0</v>
      </c>
      <c r="F523" s="7">
        <v>0</v>
      </c>
      <c r="G523" s="7">
        <v>0</v>
      </c>
      <c r="H523" s="7">
        <v>0</v>
      </c>
      <c r="I523" s="7">
        <v>0</v>
      </c>
      <c r="J523" s="7">
        <v>0</v>
      </c>
      <c r="K523" s="7">
        <v>0</v>
      </c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</row>
    <row r="524" spans="1:17">
      <c r="A524" s="2">
        <v>2472</v>
      </c>
      <c r="B524" s="7">
        <v>0</v>
      </c>
      <c r="C524" s="7">
        <v>0</v>
      </c>
      <c r="D524" s="7">
        <v>0</v>
      </c>
      <c r="E524" s="7">
        <v>0</v>
      </c>
      <c r="F524" s="7">
        <v>0</v>
      </c>
      <c r="G524" s="7">
        <v>0</v>
      </c>
      <c r="H524" s="7">
        <v>0</v>
      </c>
      <c r="I524" s="7">
        <v>0</v>
      </c>
      <c r="J524" s="7">
        <v>0</v>
      </c>
      <c r="K524" s="7">
        <v>0</v>
      </c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</row>
    <row r="525" spans="1:17">
      <c r="A525" s="2">
        <v>2473</v>
      </c>
      <c r="B525" s="7">
        <v>0</v>
      </c>
      <c r="C525" s="7">
        <v>0</v>
      </c>
      <c r="D525" s="7">
        <v>0</v>
      </c>
      <c r="E525" s="7">
        <v>0</v>
      </c>
      <c r="F525" s="7">
        <v>0</v>
      </c>
      <c r="G525" s="7">
        <v>0</v>
      </c>
      <c r="H525" s="7">
        <v>0</v>
      </c>
      <c r="I525" s="7">
        <v>0</v>
      </c>
      <c r="J525" s="7">
        <v>0</v>
      </c>
      <c r="K525" s="7">
        <v>0</v>
      </c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</row>
    <row r="526" spans="1:17">
      <c r="A526" s="2">
        <v>2474</v>
      </c>
      <c r="B526" s="7">
        <v>0</v>
      </c>
      <c r="C526" s="7">
        <v>0</v>
      </c>
      <c r="D526" s="7">
        <v>0</v>
      </c>
      <c r="E526" s="7">
        <v>0</v>
      </c>
      <c r="F526" s="7">
        <v>0</v>
      </c>
      <c r="G526" s="7">
        <v>0</v>
      </c>
      <c r="H526" s="7">
        <v>0</v>
      </c>
      <c r="I526" s="7">
        <v>0</v>
      </c>
      <c r="J526" s="7">
        <v>0</v>
      </c>
      <c r="K526" s="7">
        <v>0</v>
      </c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</row>
    <row r="527" spans="1:17">
      <c r="A527" s="2">
        <v>2475</v>
      </c>
      <c r="B527" s="7">
        <v>0</v>
      </c>
      <c r="C527" s="7">
        <v>0</v>
      </c>
      <c r="D527" s="7">
        <v>0</v>
      </c>
      <c r="E527" s="7">
        <v>0</v>
      </c>
      <c r="F527" s="7">
        <v>0</v>
      </c>
      <c r="G527" s="7">
        <v>0</v>
      </c>
      <c r="H527" s="7">
        <v>0</v>
      </c>
      <c r="I527" s="7">
        <v>0</v>
      </c>
      <c r="J527" s="7">
        <v>0</v>
      </c>
      <c r="K527" s="7">
        <v>0</v>
      </c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</row>
    <row r="528" spans="1:17">
      <c r="A528" s="2">
        <v>2476</v>
      </c>
      <c r="B528" s="7">
        <v>0</v>
      </c>
      <c r="C528" s="7">
        <v>0</v>
      </c>
      <c r="D528" s="7">
        <v>0</v>
      </c>
      <c r="E528" s="7">
        <v>0</v>
      </c>
      <c r="F528" s="7">
        <v>0</v>
      </c>
      <c r="G528" s="7">
        <v>0</v>
      </c>
      <c r="H528" s="7">
        <v>0</v>
      </c>
      <c r="I528" s="7">
        <v>0</v>
      </c>
      <c r="J528" s="7">
        <v>0</v>
      </c>
      <c r="K528" s="7">
        <v>0</v>
      </c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</row>
    <row r="529" spans="1:17">
      <c r="A529" s="2">
        <v>2477</v>
      </c>
      <c r="B529" s="7">
        <v>0</v>
      </c>
      <c r="C529" s="7">
        <v>0</v>
      </c>
      <c r="D529" s="7">
        <v>0</v>
      </c>
      <c r="E529" s="7">
        <v>0</v>
      </c>
      <c r="F529" s="7">
        <v>0</v>
      </c>
      <c r="G529" s="7">
        <v>0</v>
      </c>
      <c r="H529" s="7">
        <v>0</v>
      </c>
      <c r="I529" s="7">
        <v>0</v>
      </c>
      <c r="J529" s="7">
        <v>0</v>
      </c>
      <c r="K529" s="7">
        <v>0</v>
      </c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</row>
    <row r="530" spans="1:17">
      <c r="A530" s="2">
        <v>2478</v>
      </c>
      <c r="B530" s="7">
        <v>0</v>
      </c>
      <c r="C530" s="7">
        <v>0</v>
      </c>
      <c r="D530" s="7">
        <v>0</v>
      </c>
      <c r="E530" s="7">
        <v>0</v>
      </c>
      <c r="F530" s="7">
        <v>0</v>
      </c>
      <c r="G530" s="7">
        <v>0</v>
      </c>
      <c r="H530" s="7">
        <v>0</v>
      </c>
      <c r="I530" s="7">
        <v>0</v>
      </c>
      <c r="J530" s="7">
        <v>0</v>
      </c>
      <c r="K530" s="7">
        <v>0</v>
      </c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</row>
    <row r="531" spans="1:17">
      <c r="A531" s="2">
        <v>2479</v>
      </c>
      <c r="B531" s="7">
        <v>0</v>
      </c>
      <c r="C531" s="7">
        <v>0</v>
      </c>
      <c r="D531" s="7">
        <v>0</v>
      </c>
      <c r="E531" s="7">
        <v>0</v>
      </c>
      <c r="F531" s="7">
        <v>0</v>
      </c>
      <c r="G531" s="7">
        <v>0</v>
      </c>
      <c r="H531" s="7">
        <v>0</v>
      </c>
      <c r="I531" s="7">
        <v>0</v>
      </c>
      <c r="J531" s="7">
        <v>0</v>
      </c>
      <c r="K531" s="7">
        <v>0</v>
      </c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</row>
    <row r="532" spans="1:17">
      <c r="A532" s="2">
        <v>2480</v>
      </c>
      <c r="B532" s="7">
        <v>0</v>
      </c>
      <c r="C532" s="7">
        <v>0</v>
      </c>
      <c r="D532" s="7">
        <v>0</v>
      </c>
      <c r="E532" s="7">
        <v>0</v>
      </c>
      <c r="F532" s="7">
        <v>0</v>
      </c>
      <c r="G532" s="7">
        <v>0</v>
      </c>
      <c r="H532" s="7">
        <v>0</v>
      </c>
      <c r="I532" s="7">
        <v>0</v>
      </c>
      <c r="J532" s="7">
        <v>0</v>
      </c>
      <c r="K532" s="7">
        <v>0</v>
      </c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</row>
    <row r="533" spans="1:17">
      <c r="A533" s="2">
        <v>2481</v>
      </c>
      <c r="B533" s="7">
        <v>0</v>
      </c>
      <c r="C533" s="7">
        <v>0</v>
      </c>
      <c r="D533" s="7">
        <v>0</v>
      </c>
      <c r="E533" s="7">
        <v>0</v>
      </c>
      <c r="F533" s="7">
        <v>0</v>
      </c>
      <c r="G533" s="7">
        <v>0</v>
      </c>
      <c r="H533" s="7">
        <v>0</v>
      </c>
      <c r="I533" s="7">
        <v>0</v>
      </c>
      <c r="J533" s="7">
        <v>0</v>
      </c>
      <c r="K533" s="7">
        <v>0</v>
      </c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</row>
    <row r="534" spans="1:17">
      <c r="A534" s="2">
        <v>2482</v>
      </c>
      <c r="B534" s="7">
        <v>0</v>
      </c>
      <c r="C534" s="7">
        <v>0</v>
      </c>
      <c r="D534" s="7">
        <v>0</v>
      </c>
      <c r="E534" s="7">
        <v>0</v>
      </c>
      <c r="F534" s="7">
        <v>0</v>
      </c>
      <c r="G534" s="7">
        <v>0</v>
      </c>
      <c r="H534" s="7">
        <v>0</v>
      </c>
      <c r="I534" s="7">
        <v>0</v>
      </c>
      <c r="J534" s="7">
        <v>0</v>
      </c>
      <c r="K534" s="7">
        <v>0</v>
      </c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</row>
    <row r="535" spans="1:17">
      <c r="A535" s="2">
        <v>2483</v>
      </c>
      <c r="B535" s="7">
        <v>0</v>
      </c>
      <c r="C535" s="7">
        <v>0</v>
      </c>
      <c r="D535" s="7">
        <v>0</v>
      </c>
      <c r="E535" s="7">
        <v>0</v>
      </c>
      <c r="F535" s="7">
        <v>0</v>
      </c>
      <c r="G535" s="7">
        <v>0</v>
      </c>
      <c r="H535" s="7">
        <v>0</v>
      </c>
      <c r="I535" s="7">
        <v>0</v>
      </c>
      <c r="J535" s="7">
        <v>0</v>
      </c>
      <c r="K535" s="7">
        <v>0</v>
      </c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</row>
    <row r="536" spans="1:17">
      <c r="A536" s="2">
        <v>2484</v>
      </c>
      <c r="B536" s="7">
        <v>0</v>
      </c>
      <c r="C536" s="7">
        <v>0</v>
      </c>
      <c r="D536" s="7">
        <v>0</v>
      </c>
      <c r="E536" s="7">
        <v>0</v>
      </c>
      <c r="F536" s="7">
        <v>0</v>
      </c>
      <c r="G536" s="7">
        <v>0</v>
      </c>
      <c r="H536" s="7">
        <v>0</v>
      </c>
      <c r="I536" s="7">
        <v>0</v>
      </c>
      <c r="J536" s="7">
        <v>0</v>
      </c>
      <c r="K536" s="7">
        <v>0</v>
      </c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</row>
    <row r="537" spans="1:17">
      <c r="A537" s="2">
        <v>2485</v>
      </c>
      <c r="B537" s="7">
        <v>0</v>
      </c>
      <c r="C537" s="7">
        <v>0</v>
      </c>
      <c r="D537" s="7">
        <v>0</v>
      </c>
      <c r="E537" s="7">
        <v>0</v>
      </c>
      <c r="F537" s="7">
        <v>0</v>
      </c>
      <c r="G537" s="7">
        <v>0</v>
      </c>
      <c r="H537" s="7">
        <v>0</v>
      </c>
      <c r="I537" s="7">
        <v>0</v>
      </c>
      <c r="J537" s="7">
        <v>0</v>
      </c>
      <c r="K537" s="7">
        <v>0</v>
      </c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</row>
    <row r="538" spans="1:17">
      <c r="A538" s="2">
        <v>2486</v>
      </c>
      <c r="B538" s="7">
        <v>0</v>
      </c>
      <c r="C538" s="7">
        <v>0</v>
      </c>
      <c r="D538" s="7">
        <v>0</v>
      </c>
      <c r="E538" s="7">
        <v>0</v>
      </c>
      <c r="F538" s="7">
        <v>0</v>
      </c>
      <c r="G538" s="7">
        <v>0</v>
      </c>
      <c r="H538" s="7">
        <v>0</v>
      </c>
      <c r="I538" s="7">
        <v>0</v>
      </c>
      <c r="J538" s="7">
        <v>0</v>
      </c>
      <c r="K538" s="7">
        <v>0</v>
      </c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</row>
    <row r="539" spans="1:17">
      <c r="A539" s="2">
        <v>2487</v>
      </c>
      <c r="B539" s="7">
        <v>0</v>
      </c>
      <c r="C539" s="7">
        <v>0</v>
      </c>
      <c r="D539" s="7">
        <v>0</v>
      </c>
      <c r="E539" s="7">
        <v>0</v>
      </c>
      <c r="F539" s="7">
        <v>0</v>
      </c>
      <c r="G539" s="7">
        <v>0</v>
      </c>
      <c r="H539" s="7">
        <v>0</v>
      </c>
      <c r="I539" s="7">
        <v>0</v>
      </c>
      <c r="J539" s="7">
        <v>0</v>
      </c>
      <c r="K539" s="7">
        <v>0</v>
      </c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</row>
    <row r="540" spans="1:17">
      <c r="A540" s="2">
        <v>2488</v>
      </c>
      <c r="B540" s="7">
        <v>0</v>
      </c>
      <c r="C540" s="7">
        <v>0</v>
      </c>
      <c r="D540" s="7">
        <v>0</v>
      </c>
      <c r="E540" s="7">
        <v>0</v>
      </c>
      <c r="F540" s="7">
        <v>0</v>
      </c>
      <c r="G540" s="7">
        <v>0</v>
      </c>
      <c r="H540" s="7">
        <v>0</v>
      </c>
      <c r="I540" s="7">
        <v>0</v>
      </c>
      <c r="J540" s="7">
        <v>0</v>
      </c>
      <c r="K540" s="7">
        <v>0</v>
      </c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</row>
    <row r="541" spans="1:17">
      <c r="A541" s="2">
        <v>2489</v>
      </c>
      <c r="B541" s="7">
        <v>0</v>
      </c>
      <c r="C541" s="7">
        <v>0</v>
      </c>
      <c r="D541" s="7">
        <v>0</v>
      </c>
      <c r="E541" s="7">
        <v>0</v>
      </c>
      <c r="F541" s="7">
        <v>0</v>
      </c>
      <c r="G541" s="7">
        <v>0</v>
      </c>
      <c r="H541" s="7">
        <v>0</v>
      </c>
      <c r="I541" s="7">
        <v>0</v>
      </c>
      <c r="J541" s="7">
        <v>0</v>
      </c>
      <c r="K541" s="7">
        <v>0</v>
      </c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</row>
    <row r="542" spans="1:17">
      <c r="A542" s="2">
        <v>2490</v>
      </c>
      <c r="B542" s="7">
        <v>0</v>
      </c>
      <c r="C542" s="7">
        <v>0</v>
      </c>
      <c r="D542" s="7">
        <v>0</v>
      </c>
      <c r="E542" s="7">
        <v>0</v>
      </c>
      <c r="F542" s="7">
        <v>0</v>
      </c>
      <c r="G542" s="7">
        <v>0</v>
      </c>
      <c r="H542" s="7">
        <v>0</v>
      </c>
      <c r="I542" s="7">
        <v>0</v>
      </c>
      <c r="J542" s="7">
        <v>0</v>
      </c>
      <c r="K542" s="7">
        <v>0</v>
      </c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</row>
    <row r="543" spans="1:17">
      <c r="A543" s="2">
        <v>2491</v>
      </c>
      <c r="B543" s="7">
        <v>0</v>
      </c>
      <c r="C543" s="7">
        <v>0</v>
      </c>
      <c r="D543" s="7">
        <v>0</v>
      </c>
      <c r="E543" s="7">
        <v>0</v>
      </c>
      <c r="F543" s="7">
        <v>0</v>
      </c>
      <c r="G543" s="7">
        <v>0</v>
      </c>
      <c r="H543" s="7">
        <v>0</v>
      </c>
      <c r="I543" s="7">
        <v>0</v>
      </c>
      <c r="J543" s="7">
        <v>0</v>
      </c>
      <c r="K543" s="7">
        <v>0</v>
      </c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</row>
    <row r="544" spans="1:17">
      <c r="A544" s="2">
        <v>2492</v>
      </c>
      <c r="B544" s="7">
        <v>0</v>
      </c>
      <c r="C544" s="7">
        <v>0</v>
      </c>
      <c r="D544" s="7">
        <v>0</v>
      </c>
      <c r="E544" s="7">
        <v>0</v>
      </c>
      <c r="F544" s="7">
        <v>0</v>
      </c>
      <c r="G544" s="7">
        <v>0</v>
      </c>
      <c r="H544" s="7">
        <v>0</v>
      </c>
      <c r="I544" s="7">
        <v>0</v>
      </c>
      <c r="J544" s="7">
        <v>0</v>
      </c>
      <c r="K544" s="7">
        <v>0</v>
      </c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</row>
    <row r="545" spans="1:17">
      <c r="A545" s="2">
        <v>2493</v>
      </c>
      <c r="B545" s="7">
        <v>0</v>
      </c>
      <c r="C545" s="7">
        <v>0</v>
      </c>
      <c r="D545" s="7">
        <v>0</v>
      </c>
      <c r="E545" s="7">
        <v>0</v>
      </c>
      <c r="F545" s="7">
        <v>0</v>
      </c>
      <c r="G545" s="7">
        <v>0</v>
      </c>
      <c r="H545" s="7">
        <v>0</v>
      </c>
      <c r="I545" s="7">
        <v>0</v>
      </c>
      <c r="J545" s="7">
        <v>0</v>
      </c>
      <c r="K545" s="7">
        <v>0</v>
      </c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</row>
    <row r="546" spans="1:17">
      <c r="A546" s="2">
        <v>2494</v>
      </c>
      <c r="B546" s="7">
        <v>0</v>
      </c>
      <c r="C546" s="7">
        <v>0</v>
      </c>
      <c r="D546" s="7">
        <v>0</v>
      </c>
      <c r="E546" s="7">
        <v>0</v>
      </c>
      <c r="F546" s="7">
        <v>0</v>
      </c>
      <c r="G546" s="7">
        <v>0</v>
      </c>
      <c r="H546" s="7">
        <v>0</v>
      </c>
      <c r="I546" s="7">
        <v>0</v>
      </c>
      <c r="J546" s="7">
        <v>0</v>
      </c>
      <c r="K546" s="7">
        <v>0</v>
      </c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</row>
    <row r="547" spans="1:17">
      <c r="A547" s="2">
        <v>2495</v>
      </c>
      <c r="B547" s="7">
        <v>0</v>
      </c>
      <c r="C547" s="7">
        <v>0</v>
      </c>
      <c r="D547" s="7">
        <v>0</v>
      </c>
      <c r="E547" s="7">
        <v>0</v>
      </c>
      <c r="F547" s="7">
        <v>0</v>
      </c>
      <c r="G547" s="7">
        <v>0</v>
      </c>
      <c r="H547" s="7">
        <v>0</v>
      </c>
      <c r="I547" s="7">
        <v>0</v>
      </c>
      <c r="J547" s="7">
        <v>0</v>
      </c>
      <c r="K547" s="7">
        <v>0</v>
      </c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</row>
    <row r="548" spans="1:17">
      <c r="A548" s="2">
        <v>2496</v>
      </c>
      <c r="B548" s="7">
        <v>0</v>
      </c>
      <c r="C548" s="7">
        <v>0</v>
      </c>
      <c r="D548" s="7">
        <v>0</v>
      </c>
      <c r="E548" s="7">
        <v>0</v>
      </c>
      <c r="F548" s="7">
        <v>0</v>
      </c>
      <c r="G548" s="7">
        <v>0</v>
      </c>
      <c r="H548" s="7">
        <v>0</v>
      </c>
      <c r="I548" s="7">
        <v>0</v>
      </c>
      <c r="J548" s="7">
        <v>0</v>
      </c>
      <c r="K548" s="7">
        <v>0</v>
      </c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</row>
    <row r="549" spans="1:17">
      <c r="A549" s="2">
        <v>2497</v>
      </c>
      <c r="B549" s="7">
        <v>0</v>
      </c>
      <c r="C549" s="7">
        <v>0</v>
      </c>
      <c r="D549" s="7">
        <v>0</v>
      </c>
      <c r="E549" s="7">
        <v>0</v>
      </c>
      <c r="F549" s="7">
        <v>0</v>
      </c>
      <c r="G549" s="7">
        <v>0</v>
      </c>
      <c r="H549" s="7">
        <v>0</v>
      </c>
      <c r="I549" s="7">
        <v>0</v>
      </c>
      <c r="J549" s="7">
        <v>0</v>
      </c>
      <c r="K549" s="7">
        <v>0</v>
      </c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</row>
    <row r="550" spans="1:17">
      <c r="A550" s="2">
        <v>2498</v>
      </c>
      <c r="B550" s="7">
        <v>0</v>
      </c>
      <c r="C550" s="7">
        <v>0</v>
      </c>
      <c r="D550" s="7">
        <v>0</v>
      </c>
      <c r="E550" s="7">
        <v>0</v>
      </c>
      <c r="F550" s="7">
        <v>0</v>
      </c>
      <c r="G550" s="7">
        <v>0</v>
      </c>
      <c r="H550" s="7">
        <v>0</v>
      </c>
      <c r="I550" s="7">
        <v>0</v>
      </c>
      <c r="J550" s="7">
        <v>0</v>
      </c>
      <c r="K550" s="7">
        <v>0</v>
      </c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</row>
    <row r="551" spans="1:17">
      <c r="A551" s="2">
        <v>2499</v>
      </c>
      <c r="B551" s="7">
        <v>0</v>
      </c>
      <c r="C551" s="7">
        <v>0</v>
      </c>
      <c r="D551" s="7">
        <v>0</v>
      </c>
      <c r="E551" s="7">
        <v>0</v>
      </c>
      <c r="F551" s="7">
        <v>0</v>
      </c>
      <c r="G551" s="7">
        <v>0</v>
      </c>
      <c r="H551" s="7">
        <v>0</v>
      </c>
      <c r="I551" s="7">
        <v>0</v>
      </c>
      <c r="J551" s="7">
        <v>0</v>
      </c>
      <c r="K551" s="7">
        <v>0</v>
      </c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</row>
    <row r="552" spans="1:17">
      <c r="A552" s="2">
        <v>2500</v>
      </c>
      <c r="B552" s="7">
        <v>0</v>
      </c>
      <c r="C552" s="7">
        <v>0</v>
      </c>
      <c r="D552" s="7">
        <v>0</v>
      </c>
      <c r="E552" s="7">
        <v>0</v>
      </c>
      <c r="F552" s="7">
        <v>0</v>
      </c>
      <c r="G552" s="7">
        <v>0</v>
      </c>
      <c r="H552" s="7">
        <v>0</v>
      </c>
      <c r="I552" s="7">
        <v>0</v>
      </c>
      <c r="J552" s="7">
        <v>0</v>
      </c>
      <c r="K552" s="7">
        <v>0</v>
      </c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</row>
    <row r="553" spans="1:17">
      <c r="A553" s="2">
        <v>2501</v>
      </c>
      <c r="B553" s="7">
        <v>0</v>
      </c>
      <c r="C553" s="7">
        <v>0</v>
      </c>
      <c r="D553" s="7">
        <v>0</v>
      </c>
      <c r="E553" s="7">
        <v>0</v>
      </c>
      <c r="F553" s="7">
        <v>0</v>
      </c>
      <c r="G553" s="7">
        <v>0</v>
      </c>
      <c r="H553" s="7">
        <v>0</v>
      </c>
      <c r="I553" s="7">
        <v>0</v>
      </c>
      <c r="J553" s="7">
        <v>0</v>
      </c>
      <c r="K553" s="7">
        <v>0</v>
      </c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</row>
    <row r="554" spans="1:17">
      <c r="A554" s="2">
        <v>2502</v>
      </c>
      <c r="B554" s="7">
        <v>0</v>
      </c>
      <c r="C554" s="7">
        <v>0</v>
      </c>
      <c r="D554" s="7">
        <v>0</v>
      </c>
      <c r="E554" s="7">
        <v>0</v>
      </c>
      <c r="F554" s="7">
        <v>0</v>
      </c>
      <c r="G554" s="7">
        <v>0</v>
      </c>
      <c r="H554" s="7">
        <v>0</v>
      </c>
      <c r="I554" s="7">
        <v>0</v>
      </c>
      <c r="J554" s="7">
        <v>0</v>
      </c>
      <c r="K554" s="7">
        <v>0</v>
      </c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</row>
    <row r="555" spans="1:17">
      <c r="A555" s="2">
        <v>2503</v>
      </c>
      <c r="B555" s="7">
        <v>0</v>
      </c>
      <c r="C555" s="7">
        <v>0</v>
      </c>
      <c r="D555" s="7">
        <v>0</v>
      </c>
      <c r="E555" s="7">
        <v>0</v>
      </c>
      <c r="F555" s="7">
        <v>0</v>
      </c>
      <c r="G555" s="7">
        <v>0</v>
      </c>
      <c r="H555" s="7">
        <v>0</v>
      </c>
      <c r="I555" s="7">
        <v>0</v>
      </c>
      <c r="J555" s="7">
        <v>0</v>
      </c>
      <c r="K555" s="7">
        <v>0</v>
      </c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</row>
    <row r="556" spans="1:17">
      <c r="A556" s="2">
        <v>2504</v>
      </c>
      <c r="B556" s="7">
        <v>0</v>
      </c>
      <c r="C556" s="7">
        <v>0</v>
      </c>
      <c r="D556" s="7">
        <v>0</v>
      </c>
      <c r="E556" s="7">
        <v>0</v>
      </c>
      <c r="F556" s="7">
        <v>0</v>
      </c>
      <c r="G556" s="7">
        <v>0</v>
      </c>
      <c r="H556" s="7">
        <v>0</v>
      </c>
      <c r="I556" s="7">
        <v>0</v>
      </c>
      <c r="J556" s="7">
        <v>0</v>
      </c>
      <c r="K556" s="7">
        <v>0</v>
      </c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</row>
    <row r="557" spans="1:17">
      <c r="A557" s="2">
        <v>2505</v>
      </c>
      <c r="B557" s="7">
        <v>0</v>
      </c>
      <c r="C557" s="7">
        <v>0</v>
      </c>
      <c r="D557" s="7">
        <v>0</v>
      </c>
      <c r="E557" s="7">
        <v>0</v>
      </c>
      <c r="F557" s="7">
        <v>0</v>
      </c>
      <c r="G557" s="7">
        <v>0</v>
      </c>
      <c r="H557" s="7">
        <v>0</v>
      </c>
      <c r="I557" s="7">
        <v>0</v>
      </c>
      <c r="J557" s="7">
        <v>0</v>
      </c>
      <c r="K557" s="7">
        <v>0</v>
      </c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</row>
    <row r="558" spans="1:17">
      <c r="A558" s="2">
        <v>2506</v>
      </c>
      <c r="B558" s="7">
        <v>0</v>
      </c>
      <c r="C558" s="7">
        <v>0</v>
      </c>
      <c r="D558" s="7">
        <v>0</v>
      </c>
      <c r="E558" s="7">
        <v>0</v>
      </c>
      <c r="F558" s="7">
        <v>0</v>
      </c>
      <c r="G558" s="7">
        <v>0</v>
      </c>
      <c r="H558" s="7">
        <v>0</v>
      </c>
      <c r="I558" s="7">
        <v>0</v>
      </c>
      <c r="J558" s="7">
        <v>0</v>
      </c>
      <c r="K558" s="7">
        <v>0</v>
      </c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</row>
    <row r="559" spans="1:17">
      <c r="A559" s="2">
        <v>2507</v>
      </c>
      <c r="B559" s="7">
        <v>0</v>
      </c>
      <c r="C559" s="7">
        <v>0</v>
      </c>
      <c r="D559" s="7">
        <v>0</v>
      </c>
      <c r="E559" s="7">
        <v>0</v>
      </c>
      <c r="F559" s="7">
        <v>0</v>
      </c>
      <c r="G559" s="7">
        <v>0</v>
      </c>
      <c r="H559" s="7">
        <v>0</v>
      </c>
      <c r="I559" s="7">
        <v>0</v>
      </c>
      <c r="J559" s="7">
        <v>0</v>
      </c>
      <c r="K559" s="7">
        <v>0</v>
      </c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</row>
    <row r="560" spans="1:17">
      <c r="A560" s="2">
        <v>2508</v>
      </c>
      <c r="B560" s="7">
        <v>0</v>
      </c>
      <c r="C560" s="7">
        <v>0</v>
      </c>
      <c r="D560" s="7">
        <v>0</v>
      </c>
      <c r="E560" s="7">
        <v>0</v>
      </c>
      <c r="F560" s="7">
        <v>0</v>
      </c>
      <c r="G560" s="7">
        <v>0</v>
      </c>
      <c r="H560" s="7">
        <v>0</v>
      </c>
      <c r="I560" s="7">
        <v>0</v>
      </c>
      <c r="J560" s="7">
        <v>0</v>
      </c>
      <c r="K560" s="7">
        <v>0</v>
      </c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</row>
    <row r="561" spans="1:17">
      <c r="A561" s="2">
        <v>2509</v>
      </c>
      <c r="B561" s="7">
        <v>0</v>
      </c>
      <c r="C561" s="7">
        <v>0</v>
      </c>
      <c r="D561" s="7">
        <v>0</v>
      </c>
      <c r="E561" s="7">
        <v>0</v>
      </c>
      <c r="F561" s="7">
        <v>0</v>
      </c>
      <c r="G561" s="7">
        <v>0</v>
      </c>
      <c r="H561" s="7">
        <v>0</v>
      </c>
      <c r="I561" s="7">
        <v>0</v>
      </c>
      <c r="J561" s="7">
        <v>0</v>
      </c>
      <c r="K561" s="7">
        <v>0</v>
      </c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</row>
    <row r="562" spans="1:17">
      <c r="A562" s="2">
        <v>2510</v>
      </c>
      <c r="B562" s="7">
        <v>0</v>
      </c>
      <c r="C562" s="7">
        <v>0</v>
      </c>
      <c r="D562" s="7">
        <v>0</v>
      </c>
      <c r="E562" s="7">
        <v>0</v>
      </c>
      <c r="F562" s="7">
        <v>0</v>
      </c>
      <c r="G562" s="7">
        <v>0</v>
      </c>
      <c r="H562" s="7">
        <v>0</v>
      </c>
      <c r="I562" s="7">
        <v>0</v>
      </c>
      <c r="J562" s="7">
        <v>0</v>
      </c>
      <c r="K562" s="7">
        <v>0</v>
      </c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</row>
    <row r="563" spans="1:17">
      <c r="A563" s="2">
        <v>2511</v>
      </c>
      <c r="B563" s="7">
        <v>0</v>
      </c>
      <c r="C563" s="7">
        <v>0</v>
      </c>
      <c r="D563" s="7">
        <v>0</v>
      </c>
      <c r="E563" s="7">
        <v>0</v>
      </c>
      <c r="F563" s="7">
        <v>0</v>
      </c>
      <c r="G563" s="7">
        <v>0</v>
      </c>
      <c r="H563" s="7">
        <v>0</v>
      </c>
      <c r="I563" s="7">
        <v>0</v>
      </c>
      <c r="J563" s="7">
        <v>0</v>
      </c>
      <c r="K563" s="7">
        <v>0</v>
      </c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</row>
    <row r="564" spans="1:17">
      <c r="A564" s="2">
        <v>2512</v>
      </c>
      <c r="B564" s="7">
        <v>0</v>
      </c>
      <c r="C564" s="7">
        <v>0</v>
      </c>
      <c r="D564" s="7">
        <v>0</v>
      </c>
      <c r="E564" s="7">
        <v>0</v>
      </c>
      <c r="F564" s="7">
        <v>0</v>
      </c>
      <c r="G564" s="7">
        <v>0</v>
      </c>
      <c r="H564" s="7">
        <v>0</v>
      </c>
      <c r="I564" s="7">
        <v>0</v>
      </c>
      <c r="J564" s="7">
        <v>0</v>
      </c>
      <c r="K564" s="7">
        <v>0</v>
      </c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</row>
    <row r="565" spans="1:17">
      <c r="A565" s="2">
        <v>2513</v>
      </c>
      <c r="B565" s="7">
        <v>0</v>
      </c>
      <c r="C565" s="7">
        <v>0</v>
      </c>
      <c r="D565" s="7">
        <v>0</v>
      </c>
      <c r="E565" s="7">
        <v>0</v>
      </c>
      <c r="F565" s="7">
        <v>0</v>
      </c>
      <c r="G565" s="7">
        <v>0</v>
      </c>
      <c r="H565" s="7">
        <v>0</v>
      </c>
      <c r="I565" s="7">
        <v>0</v>
      </c>
      <c r="J565" s="7">
        <v>0</v>
      </c>
      <c r="K565" s="7">
        <v>0</v>
      </c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</row>
    <row r="566" spans="1:17">
      <c r="A566" s="2">
        <v>2514</v>
      </c>
      <c r="B566" s="7">
        <v>0</v>
      </c>
      <c r="C566" s="7">
        <v>0</v>
      </c>
      <c r="D566" s="7">
        <v>0</v>
      </c>
      <c r="E566" s="7">
        <v>0</v>
      </c>
      <c r="F566" s="7">
        <v>0</v>
      </c>
      <c r="G566" s="7">
        <v>0</v>
      </c>
      <c r="H566" s="7">
        <v>0</v>
      </c>
      <c r="I566" s="7">
        <v>0</v>
      </c>
      <c r="J566" s="7">
        <v>0</v>
      </c>
      <c r="K566" s="7">
        <v>0</v>
      </c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</row>
    <row r="567" spans="1:17">
      <c r="A567" s="2">
        <v>2515</v>
      </c>
      <c r="B567" s="7">
        <v>0</v>
      </c>
      <c r="C567" s="7">
        <v>0</v>
      </c>
      <c r="D567" s="7">
        <v>0</v>
      </c>
      <c r="E567" s="7">
        <v>0</v>
      </c>
      <c r="F567" s="7">
        <v>0</v>
      </c>
      <c r="G567" s="7">
        <v>0</v>
      </c>
      <c r="H567" s="7">
        <v>0</v>
      </c>
      <c r="I567" s="7">
        <v>0</v>
      </c>
      <c r="J567" s="7">
        <v>0</v>
      </c>
      <c r="K567" s="7">
        <v>0</v>
      </c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</row>
    <row r="568" spans="1:17">
      <c r="A568" s="2">
        <v>2516</v>
      </c>
      <c r="B568" s="7">
        <v>0</v>
      </c>
      <c r="C568" s="7">
        <v>0</v>
      </c>
      <c r="D568" s="7">
        <v>0</v>
      </c>
      <c r="E568" s="7">
        <v>0</v>
      </c>
      <c r="F568" s="7">
        <v>0</v>
      </c>
      <c r="G568" s="7">
        <v>0</v>
      </c>
      <c r="H568" s="7">
        <v>0</v>
      </c>
      <c r="I568" s="7">
        <v>0</v>
      </c>
      <c r="J568" s="7">
        <v>0</v>
      </c>
      <c r="K568" s="7">
        <v>0</v>
      </c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</row>
    <row r="569" spans="1:17">
      <c r="A569" s="2">
        <v>2517</v>
      </c>
      <c r="B569" s="7">
        <v>0</v>
      </c>
      <c r="C569" s="7">
        <v>0</v>
      </c>
      <c r="D569" s="7">
        <v>0</v>
      </c>
      <c r="E569" s="7">
        <v>0</v>
      </c>
      <c r="F569" s="7">
        <v>0</v>
      </c>
      <c r="G569" s="7">
        <v>0</v>
      </c>
      <c r="H569" s="7">
        <v>0</v>
      </c>
      <c r="I569" s="7">
        <v>0</v>
      </c>
      <c r="J569" s="7">
        <v>0</v>
      </c>
      <c r="K569" s="7">
        <v>0</v>
      </c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</row>
    <row r="570" spans="1:17">
      <c r="A570" s="2">
        <v>2518</v>
      </c>
      <c r="B570" s="7">
        <v>0</v>
      </c>
      <c r="C570" s="7">
        <v>0</v>
      </c>
      <c r="D570" s="7">
        <v>0</v>
      </c>
      <c r="E570" s="7">
        <v>0</v>
      </c>
      <c r="F570" s="7">
        <v>0</v>
      </c>
      <c r="G570" s="7">
        <v>0</v>
      </c>
      <c r="H570" s="7">
        <v>0</v>
      </c>
      <c r="I570" s="7">
        <v>0</v>
      </c>
      <c r="J570" s="7">
        <v>0</v>
      </c>
      <c r="K570" s="7">
        <v>0</v>
      </c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</row>
    <row r="571" spans="1:17">
      <c r="A571" s="2">
        <v>2519</v>
      </c>
      <c r="B571" s="7">
        <v>0</v>
      </c>
      <c r="C571" s="7">
        <v>0</v>
      </c>
      <c r="D571" s="7">
        <v>0</v>
      </c>
      <c r="E571" s="7">
        <v>0</v>
      </c>
      <c r="F571" s="7">
        <v>0</v>
      </c>
      <c r="G571" s="7">
        <v>0</v>
      </c>
      <c r="H571" s="7">
        <v>0</v>
      </c>
      <c r="I571" s="7">
        <v>0</v>
      </c>
      <c r="J571" s="7">
        <v>0</v>
      </c>
      <c r="K571" s="7">
        <v>0</v>
      </c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</row>
    <row r="572" spans="1:17">
      <c r="A572" s="2">
        <v>2520</v>
      </c>
      <c r="B572" s="7">
        <v>0</v>
      </c>
      <c r="C572" s="7">
        <v>0</v>
      </c>
      <c r="D572" s="7">
        <v>0</v>
      </c>
      <c r="E572" s="7">
        <v>0</v>
      </c>
      <c r="F572" s="7">
        <v>0</v>
      </c>
      <c r="G572" s="7">
        <v>0</v>
      </c>
      <c r="H572" s="7">
        <v>0</v>
      </c>
      <c r="I572" s="7">
        <v>0</v>
      </c>
      <c r="J572" s="7">
        <v>0</v>
      </c>
      <c r="K572" s="7">
        <v>0</v>
      </c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</row>
    <row r="573" spans="1:17">
      <c r="A573" s="2">
        <v>2521</v>
      </c>
      <c r="B573" s="7">
        <v>0</v>
      </c>
      <c r="C573" s="7">
        <v>0</v>
      </c>
      <c r="D573" s="7">
        <v>0</v>
      </c>
      <c r="E573" s="7">
        <v>0</v>
      </c>
      <c r="F573" s="7">
        <v>0</v>
      </c>
      <c r="G573" s="7">
        <v>0</v>
      </c>
      <c r="H573" s="7">
        <v>0</v>
      </c>
      <c r="I573" s="7">
        <v>0</v>
      </c>
      <c r="J573" s="7">
        <v>0</v>
      </c>
      <c r="K573" s="7">
        <v>0</v>
      </c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</row>
    <row r="574" spans="1:17">
      <c r="A574" s="2">
        <v>2522</v>
      </c>
      <c r="B574" s="7">
        <v>0</v>
      </c>
      <c r="C574" s="7">
        <v>0</v>
      </c>
      <c r="D574" s="7">
        <v>0</v>
      </c>
      <c r="E574" s="7">
        <v>0</v>
      </c>
      <c r="F574" s="7">
        <v>0</v>
      </c>
      <c r="G574" s="7">
        <v>0</v>
      </c>
      <c r="H574" s="7">
        <v>0</v>
      </c>
      <c r="I574" s="7">
        <v>0</v>
      </c>
      <c r="J574" s="7">
        <v>0</v>
      </c>
      <c r="K574" s="7">
        <v>0</v>
      </c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</row>
    <row r="575" spans="1:17">
      <c r="A575" s="2">
        <v>2523</v>
      </c>
      <c r="B575" s="7">
        <v>0</v>
      </c>
      <c r="C575" s="7">
        <v>0</v>
      </c>
      <c r="D575" s="7">
        <v>0</v>
      </c>
      <c r="E575" s="7">
        <v>0</v>
      </c>
      <c r="F575" s="7">
        <v>0</v>
      </c>
      <c r="G575" s="7">
        <v>0</v>
      </c>
      <c r="H575" s="7">
        <v>0</v>
      </c>
      <c r="I575" s="7">
        <v>0</v>
      </c>
      <c r="J575" s="7">
        <v>0</v>
      </c>
      <c r="K575" s="7">
        <v>0</v>
      </c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</row>
    <row r="576" spans="1:17">
      <c r="A576" s="2">
        <v>2524</v>
      </c>
      <c r="B576" s="7">
        <v>0</v>
      </c>
      <c r="C576" s="7">
        <v>0</v>
      </c>
      <c r="D576" s="7">
        <v>0</v>
      </c>
      <c r="E576" s="7">
        <v>0</v>
      </c>
      <c r="F576" s="7">
        <v>0</v>
      </c>
      <c r="G576" s="7">
        <v>0</v>
      </c>
      <c r="H576" s="7">
        <v>0</v>
      </c>
      <c r="I576" s="7">
        <v>0</v>
      </c>
      <c r="J576" s="7">
        <v>0</v>
      </c>
      <c r="K576" s="7">
        <v>0</v>
      </c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</row>
    <row r="577" spans="1:17">
      <c r="A577" s="2">
        <v>2525</v>
      </c>
      <c r="B577" s="7">
        <v>0</v>
      </c>
      <c r="C577" s="7">
        <v>0</v>
      </c>
      <c r="D577" s="7">
        <v>0</v>
      </c>
      <c r="E577" s="7">
        <v>0</v>
      </c>
      <c r="F577" s="7">
        <v>0</v>
      </c>
      <c r="G577" s="7">
        <v>0</v>
      </c>
      <c r="H577" s="7">
        <v>0</v>
      </c>
      <c r="I577" s="7">
        <v>0</v>
      </c>
      <c r="J577" s="7">
        <v>0</v>
      </c>
      <c r="K577" s="7">
        <v>0</v>
      </c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</row>
    <row r="578" spans="1:17">
      <c r="A578" s="2">
        <v>2526</v>
      </c>
      <c r="B578" s="7">
        <v>0</v>
      </c>
      <c r="C578" s="7">
        <v>0</v>
      </c>
      <c r="D578" s="7">
        <v>0</v>
      </c>
      <c r="E578" s="7">
        <v>0</v>
      </c>
      <c r="F578" s="7">
        <v>0</v>
      </c>
      <c r="G578" s="7">
        <v>0</v>
      </c>
      <c r="H578" s="7">
        <v>0</v>
      </c>
      <c r="I578" s="7">
        <v>0</v>
      </c>
      <c r="J578" s="7">
        <v>0</v>
      </c>
      <c r="K578" s="7">
        <v>0</v>
      </c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</row>
    <row r="579" spans="1:17">
      <c r="A579" s="2">
        <v>2527</v>
      </c>
      <c r="B579" s="7">
        <v>0</v>
      </c>
      <c r="C579" s="7">
        <v>0</v>
      </c>
      <c r="D579" s="7">
        <v>0</v>
      </c>
      <c r="E579" s="7">
        <v>0</v>
      </c>
      <c r="F579" s="7">
        <v>0</v>
      </c>
      <c r="G579" s="7">
        <v>0</v>
      </c>
      <c r="H579" s="7">
        <v>0</v>
      </c>
      <c r="I579" s="7">
        <v>0</v>
      </c>
      <c r="J579" s="7">
        <v>0</v>
      </c>
      <c r="K579" s="7">
        <v>0</v>
      </c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</row>
    <row r="580" spans="1:17">
      <c r="A580" s="2">
        <v>2528</v>
      </c>
      <c r="B580" s="7">
        <v>0</v>
      </c>
      <c r="C580" s="7">
        <v>0</v>
      </c>
      <c r="D580" s="7">
        <v>0</v>
      </c>
      <c r="E580" s="7">
        <v>0</v>
      </c>
      <c r="F580" s="7">
        <v>0</v>
      </c>
      <c r="G580" s="7">
        <v>0</v>
      </c>
      <c r="H580" s="7">
        <v>0</v>
      </c>
      <c r="I580" s="7">
        <v>0</v>
      </c>
      <c r="J580" s="7">
        <v>0</v>
      </c>
      <c r="K580" s="7">
        <v>0</v>
      </c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</row>
    <row r="581" spans="1:17">
      <c r="A581" s="2">
        <v>2529</v>
      </c>
      <c r="B581" s="7">
        <v>0</v>
      </c>
      <c r="C581" s="7">
        <v>0</v>
      </c>
      <c r="D581" s="7">
        <v>0</v>
      </c>
      <c r="E581" s="7">
        <v>0</v>
      </c>
      <c r="F581" s="7">
        <v>0</v>
      </c>
      <c r="G581" s="7">
        <v>0</v>
      </c>
      <c r="H581" s="7">
        <v>0</v>
      </c>
      <c r="I581" s="7">
        <v>0</v>
      </c>
      <c r="J581" s="7">
        <v>0</v>
      </c>
      <c r="K581" s="7">
        <v>0</v>
      </c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</row>
    <row r="582" spans="1:17">
      <c r="A582" s="2">
        <v>2530</v>
      </c>
      <c r="B582" s="7">
        <v>0</v>
      </c>
      <c r="C582" s="7">
        <v>0</v>
      </c>
      <c r="D582" s="7">
        <v>0</v>
      </c>
      <c r="E582" s="7">
        <v>0</v>
      </c>
      <c r="F582" s="7">
        <v>0</v>
      </c>
      <c r="G582" s="7">
        <v>0</v>
      </c>
      <c r="H582" s="7">
        <v>0</v>
      </c>
      <c r="I582" s="7">
        <v>0</v>
      </c>
      <c r="J582" s="7">
        <v>0</v>
      </c>
      <c r="K582" s="7">
        <v>0</v>
      </c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</row>
    <row r="583" spans="1:17">
      <c r="A583" s="2">
        <v>2531</v>
      </c>
      <c r="B583" s="7">
        <v>0</v>
      </c>
      <c r="C583" s="7">
        <v>0</v>
      </c>
      <c r="D583" s="7">
        <v>0</v>
      </c>
      <c r="E583" s="7">
        <v>0</v>
      </c>
      <c r="F583" s="7">
        <v>0</v>
      </c>
      <c r="G583" s="7">
        <v>0</v>
      </c>
      <c r="H583" s="7">
        <v>0</v>
      </c>
      <c r="I583" s="7">
        <v>0</v>
      </c>
      <c r="J583" s="7">
        <v>0</v>
      </c>
      <c r="K583" s="7">
        <v>0</v>
      </c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</row>
    <row r="584" spans="1:17">
      <c r="A584" s="2">
        <v>2532</v>
      </c>
      <c r="B584" s="7">
        <v>0</v>
      </c>
      <c r="C584" s="7">
        <v>0</v>
      </c>
      <c r="D584" s="7">
        <v>0</v>
      </c>
      <c r="E584" s="7">
        <v>0</v>
      </c>
      <c r="F584" s="7">
        <v>0</v>
      </c>
      <c r="G584" s="7">
        <v>0</v>
      </c>
      <c r="H584" s="7">
        <v>0</v>
      </c>
      <c r="I584" s="7">
        <v>0</v>
      </c>
      <c r="J584" s="7">
        <v>0</v>
      </c>
      <c r="K584" s="7">
        <v>0</v>
      </c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</row>
    <row r="585" spans="1:17">
      <c r="A585" s="2">
        <v>2533</v>
      </c>
      <c r="B585" s="7">
        <v>0</v>
      </c>
      <c r="C585" s="7">
        <v>0</v>
      </c>
      <c r="D585" s="7">
        <v>0</v>
      </c>
      <c r="E585" s="7">
        <v>0</v>
      </c>
      <c r="F585" s="7">
        <v>0</v>
      </c>
      <c r="G585" s="7">
        <v>0</v>
      </c>
      <c r="H585" s="7">
        <v>0</v>
      </c>
      <c r="I585" s="7">
        <v>0</v>
      </c>
      <c r="J585" s="7">
        <v>0</v>
      </c>
      <c r="K585" s="7">
        <v>0</v>
      </c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</row>
    <row r="586" spans="1:17">
      <c r="A586" s="2">
        <v>2534</v>
      </c>
      <c r="B586" s="7">
        <v>0</v>
      </c>
      <c r="C586" s="7">
        <v>0</v>
      </c>
      <c r="D586" s="7">
        <v>0</v>
      </c>
      <c r="E586" s="7">
        <v>0</v>
      </c>
      <c r="F586" s="7">
        <v>0</v>
      </c>
      <c r="G586" s="7">
        <v>0</v>
      </c>
      <c r="H586" s="7">
        <v>0</v>
      </c>
      <c r="I586" s="7">
        <v>0</v>
      </c>
      <c r="J586" s="7">
        <v>0</v>
      </c>
      <c r="K586" s="7">
        <v>0</v>
      </c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</row>
    <row r="587" spans="1:17">
      <c r="A587" s="2">
        <v>2535</v>
      </c>
      <c r="B587" s="7">
        <v>0</v>
      </c>
      <c r="C587" s="7">
        <v>0</v>
      </c>
      <c r="D587" s="7">
        <v>0</v>
      </c>
      <c r="E587" s="7">
        <v>0</v>
      </c>
      <c r="F587" s="7">
        <v>0</v>
      </c>
      <c r="G587" s="7">
        <v>0</v>
      </c>
      <c r="H587" s="7">
        <v>0</v>
      </c>
      <c r="I587" s="7">
        <v>0</v>
      </c>
      <c r="J587" s="7">
        <v>0</v>
      </c>
      <c r="K587" s="7">
        <v>0</v>
      </c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</row>
    <row r="588" spans="1:17">
      <c r="A588" s="2">
        <v>2536</v>
      </c>
      <c r="B588" s="7">
        <v>0</v>
      </c>
      <c r="C588" s="7">
        <v>0</v>
      </c>
      <c r="D588" s="7">
        <v>0</v>
      </c>
      <c r="E588" s="7">
        <v>0</v>
      </c>
      <c r="F588" s="7">
        <v>0</v>
      </c>
      <c r="G588" s="7">
        <v>0</v>
      </c>
      <c r="H588" s="7">
        <v>0</v>
      </c>
      <c r="I588" s="7">
        <v>0</v>
      </c>
      <c r="J588" s="7">
        <v>0</v>
      </c>
      <c r="K588" s="7">
        <v>0</v>
      </c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</row>
    <row r="589" spans="1:17">
      <c r="A589" s="2">
        <v>2537</v>
      </c>
      <c r="B589" s="7">
        <v>0</v>
      </c>
      <c r="C589" s="7">
        <v>0</v>
      </c>
      <c r="D589" s="7">
        <v>0</v>
      </c>
      <c r="E589" s="7">
        <v>0</v>
      </c>
      <c r="F589" s="7">
        <v>0</v>
      </c>
      <c r="G589" s="7">
        <v>0</v>
      </c>
      <c r="H589" s="7">
        <v>0</v>
      </c>
      <c r="I589" s="7">
        <v>0</v>
      </c>
      <c r="J589" s="7">
        <v>0</v>
      </c>
      <c r="K589" s="7">
        <v>0</v>
      </c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</row>
    <row r="590" spans="1:17">
      <c r="A590" s="2">
        <v>2538</v>
      </c>
      <c r="B590" s="7">
        <v>0</v>
      </c>
      <c r="C590" s="7">
        <v>0</v>
      </c>
      <c r="D590" s="7">
        <v>0</v>
      </c>
      <c r="E590" s="7">
        <v>0</v>
      </c>
      <c r="F590" s="7">
        <v>0</v>
      </c>
      <c r="G590" s="7">
        <v>0</v>
      </c>
      <c r="H590" s="7">
        <v>0</v>
      </c>
      <c r="I590" s="7">
        <v>0</v>
      </c>
      <c r="J590" s="7">
        <v>0</v>
      </c>
      <c r="K590" s="7">
        <v>0</v>
      </c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</row>
    <row r="591" spans="1:17">
      <c r="A591" s="2">
        <v>2539</v>
      </c>
      <c r="B591" s="7">
        <v>0</v>
      </c>
      <c r="C591" s="7">
        <v>0</v>
      </c>
      <c r="D591" s="7">
        <v>0</v>
      </c>
      <c r="E591" s="7">
        <v>0</v>
      </c>
      <c r="F591" s="7">
        <v>0</v>
      </c>
      <c r="G591" s="7">
        <v>0</v>
      </c>
      <c r="H591" s="7">
        <v>0</v>
      </c>
      <c r="I591" s="7">
        <v>0</v>
      </c>
      <c r="J591" s="7">
        <v>0</v>
      </c>
      <c r="K591" s="7">
        <v>0</v>
      </c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</row>
    <row r="592" spans="1:17">
      <c r="A592" s="2">
        <v>2540</v>
      </c>
      <c r="B592" s="7">
        <v>0</v>
      </c>
      <c r="C592" s="7">
        <v>0</v>
      </c>
      <c r="D592" s="7">
        <v>0</v>
      </c>
      <c r="E592" s="7">
        <v>0</v>
      </c>
      <c r="F592" s="7">
        <v>0</v>
      </c>
      <c r="G592" s="7">
        <v>0</v>
      </c>
      <c r="H592" s="7">
        <v>0</v>
      </c>
      <c r="I592" s="7">
        <v>0</v>
      </c>
      <c r="J592" s="7">
        <v>0</v>
      </c>
      <c r="K592" s="7">
        <v>0</v>
      </c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</row>
    <row r="593" spans="1:17">
      <c r="A593" s="2">
        <v>2541</v>
      </c>
      <c r="B593" s="7">
        <v>0</v>
      </c>
      <c r="C593" s="7">
        <v>0</v>
      </c>
      <c r="D593" s="7">
        <v>0</v>
      </c>
      <c r="E593" s="7">
        <v>0</v>
      </c>
      <c r="F593" s="7">
        <v>0</v>
      </c>
      <c r="G593" s="7">
        <v>0</v>
      </c>
      <c r="H593" s="7">
        <v>0</v>
      </c>
      <c r="I593" s="7">
        <v>0</v>
      </c>
      <c r="J593" s="7">
        <v>0</v>
      </c>
      <c r="K593" s="7">
        <v>0</v>
      </c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</row>
    <row r="594" spans="1:17">
      <c r="A594" s="2">
        <v>2542</v>
      </c>
      <c r="B594" s="7">
        <v>0</v>
      </c>
      <c r="C594" s="7">
        <v>0</v>
      </c>
      <c r="D594" s="7">
        <v>0</v>
      </c>
      <c r="E594" s="7">
        <v>0</v>
      </c>
      <c r="F594" s="7">
        <v>0</v>
      </c>
      <c r="G594" s="7">
        <v>0</v>
      </c>
      <c r="H594" s="7">
        <v>0</v>
      </c>
      <c r="I594" s="7">
        <v>0</v>
      </c>
      <c r="J594" s="7">
        <v>0</v>
      </c>
      <c r="K594" s="7">
        <v>0</v>
      </c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</row>
    <row r="595" spans="1:17">
      <c r="A595" s="2">
        <v>2543</v>
      </c>
      <c r="B595" s="7">
        <v>0</v>
      </c>
      <c r="C595" s="7">
        <v>0</v>
      </c>
      <c r="D595" s="7">
        <v>0</v>
      </c>
      <c r="E595" s="7">
        <v>0</v>
      </c>
      <c r="F595" s="7">
        <v>0</v>
      </c>
      <c r="G595" s="7">
        <v>0</v>
      </c>
      <c r="H595" s="7">
        <v>0</v>
      </c>
      <c r="I595" s="7">
        <v>0</v>
      </c>
      <c r="J595" s="7">
        <v>0</v>
      </c>
      <c r="K595" s="7">
        <v>0</v>
      </c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</row>
    <row r="596" spans="1:17">
      <c r="A596" s="2">
        <v>2544</v>
      </c>
      <c r="B596" s="7">
        <v>0</v>
      </c>
      <c r="C596" s="7">
        <v>0</v>
      </c>
      <c r="D596" s="7">
        <v>0</v>
      </c>
      <c r="E596" s="7">
        <v>0</v>
      </c>
      <c r="F596" s="7">
        <v>0</v>
      </c>
      <c r="G596" s="7">
        <v>0</v>
      </c>
      <c r="H596" s="7">
        <v>0</v>
      </c>
      <c r="I596" s="7">
        <v>0</v>
      </c>
      <c r="J596" s="7">
        <v>0</v>
      </c>
      <c r="K596" s="7">
        <v>0</v>
      </c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</row>
    <row r="597" spans="1:17">
      <c r="A597" s="2">
        <v>2545</v>
      </c>
      <c r="B597" s="7">
        <v>0</v>
      </c>
      <c r="C597" s="7">
        <v>0</v>
      </c>
      <c r="D597" s="7">
        <v>0</v>
      </c>
      <c r="E597" s="7">
        <v>0</v>
      </c>
      <c r="F597" s="7">
        <v>0</v>
      </c>
      <c r="G597" s="7">
        <v>0</v>
      </c>
      <c r="H597" s="7">
        <v>0</v>
      </c>
      <c r="I597" s="7">
        <v>0</v>
      </c>
      <c r="J597" s="7">
        <v>0</v>
      </c>
      <c r="K597" s="7">
        <v>0</v>
      </c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</row>
    <row r="598" spans="1:17">
      <c r="A598" s="2">
        <v>2546</v>
      </c>
      <c r="B598" s="7">
        <v>0</v>
      </c>
      <c r="C598" s="7">
        <v>0</v>
      </c>
      <c r="D598" s="7">
        <v>0</v>
      </c>
      <c r="E598" s="7">
        <v>0</v>
      </c>
      <c r="F598" s="7">
        <v>0</v>
      </c>
      <c r="G598" s="7">
        <v>0</v>
      </c>
      <c r="H598" s="7">
        <v>0</v>
      </c>
      <c r="I598" s="7">
        <v>0</v>
      </c>
      <c r="J598" s="7">
        <v>0</v>
      </c>
      <c r="K598" s="7">
        <v>0</v>
      </c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</row>
    <row r="599" spans="1:17">
      <c r="A599" s="2">
        <v>2547</v>
      </c>
      <c r="B599" s="7">
        <v>0</v>
      </c>
      <c r="C599" s="7">
        <v>0</v>
      </c>
      <c r="D599" s="7">
        <v>0</v>
      </c>
      <c r="E599" s="7">
        <v>0</v>
      </c>
      <c r="F599" s="7">
        <v>0</v>
      </c>
      <c r="G599" s="7">
        <v>0</v>
      </c>
      <c r="H599" s="7">
        <v>0</v>
      </c>
      <c r="I599" s="7">
        <v>0</v>
      </c>
      <c r="J599" s="7">
        <v>0</v>
      </c>
      <c r="K599" s="7">
        <v>0</v>
      </c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</row>
    <row r="600" spans="1:17">
      <c r="A600" s="2">
        <v>2548</v>
      </c>
      <c r="B600" s="7">
        <v>0</v>
      </c>
      <c r="C600" s="7">
        <v>0</v>
      </c>
      <c r="D600" s="7">
        <v>0</v>
      </c>
      <c r="E600" s="7">
        <v>0</v>
      </c>
      <c r="F600" s="7">
        <v>0</v>
      </c>
      <c r="G600" s="7">
        <v>0</v>
      </c>
      <c r="H600" s="7">
        <v>0</v>
      </c>
      <c r="I600" s="7">
        <v>0</v>
      </c>
      <c r="J600" s="7">
        <v>0</v>
      </c>
      <c r="K600" s="7">
        <v>0</v>
      </c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</row>
    <row r="601" spans="1:17">
      <c r="A601" s="2">
        <v>2549</v>
      </c>
      <c r="B601" s="7">
        <v>0</v>
      </c>
      <c r="C601" s="7">
        <v>0</v>
      </c>
      <c r="D601" s="7">
        <v>0</v>
      </c>
      <c r="E601" s="7">
        <v>0</v>
      </c>
      <c r="F601" s="7">
        <v>0</v>
      </c>
      <c r="G601" s="7">
        <v>0</v>
      </c>
      <c r="H601" s="7">
        <v>0</v>
      </c>
      <c r="I601" s="7">
        <v>0</v>
      </c>
      <c r="J601" s="7">
        <v>0</v>
      </c>
      <c r="K601" s="7">
        <v>0</v>
      </c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</row>
    <row r="602" spans="1:17">
      <c r="A602" s="2">
        <v>2550</v>
      </c>
      <c r="B602" s="7">
        <v>0</v>
      </c>
      <c r="C602" s="7">
        <v>0</v>
      </c>
      <c r="D602" s="7">
        <v>0</v>
      </c>
      <c r="E602" s="7">
        <v>0</v>
      </c>
      <c r="F602" s="7">
        <v>0</v>
      </c>
      <c r="G602" s="7">
        <v>0</v>
      </c>
      <c r="H602" s="7">
        <v>0</v>
      </c>
      <c r="I602" s="7">
        <v>0</v>
      </c>
      <c r="J602" s="7">
        <v>0</v>
      </c>
      <c r="K602" s="7">
        <v>0</v>
      </c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</row>
    <row r="603" spans="1:17">
      <c r="A603" s="2">
        <v>2551</v>
      </c>
      <c r="B603" s="7">
        <v>0</v>
      </c>
      <c r="C603" s="7">
        <v>0</v>
      </c>
      <c r="D603" s="7">
        <v>0</v>
      </c>
      <c r="E603" s="7">
        <v>0</v>
      </c>
      <c r="F603" s="7">
        <v>0</v>
      </c>
      <c r="G603" s="7">
        <v>0</v>
      </c>
      <c r="H603" s="7">
        <v>0</v>
      </c>
      <c r="I603" s="7">
        <v>0</v>
      </c>
      <c r="J603" s="7">
        <v>0</v>
      </c>
      <c r="K603" s="7">
        <v>0</v>
      </c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</row>
    <row r="604" spans="1:17">
      <c r="A604" s="2">
        <v>2552</v>
      </c>
      <c r="B604" s="7">
        <v>0</v>
      </c>
      <c r="C604" s="7">
        <v>0</v>
      </c>
      <c r="D604" s="7">
        <v>0</v>
      </c>
      <c r="E604" s="7">
        <v>0</v>
      </c>
      <c r="F604" s="7">
        <v>0</v>
      </c>
      <c r="G604" s="7">
        <v>0</v>
      </c>
      <c r="H604" s="7">
        <v>0</v>
      </c>
      <c r="I604" s="7">
        <v>0</v>
      </c>
      <c r="J604" s="7">
        <v>0</v>
      </c>
      <c r="K604" s="7">
        <v>0</v>
      </c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</row>
    <row r="605" spans="1:17">
      <c r="A605" s="2">
        <v>2553</v>
      </c>
      <c r="B605" s="7">
        <v>0</v>
      </c>
      <c r="C605" s="7">
        <v>0</v>
      </c>
      <c r="D605" s="7">
        <v>0</v>
      </c>
      <c r="E605" s="7">
        <v>0</v>
      </c>
      <c r="F605" s="7">
        <v>0</v>
      </c>
      <c r="G605" s="7">
        <v>0</v>
      </c>
      <c r="H605" s="7">
        <v>0</v>
      </c>
      <c r="I605" s="7">
        <v>0</v>
      </c>
      <c r="J605" s="7">
        <v>0</v>
      </c>
      <c r="K605" s="7">
        <v>0</v>
      </c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</row>
    <row r="606" spans="1:17">
      <c r="A606" s="2">
        <v>2554</v>
      </c>
      <c r="B606" s="7">
        <v>0</v>
      </c>
      <c r="C606" s="7">
        <v>0</v>
      </c>
      <c r="D606" s="7">
        <v>0</v>
      </c>
      <c r="E606" s="7">
        <v>0</v>
      </c>
      <c r="F606" s="7">
        <v>0</v>
      </c>
      <c r="G606" s="7">
        <v>0</v>
      </c>
      <c r="H606" s="7">
        <v>0</v>
      </c>
      <c r="I606" s="7">
        <v>0</v>
      </c>
      <c r="J606" s="7">
        <v>0</v>
      </c>
      <c r="K606" s="7">
        <v>0</v>
      </c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</row>
    <row r="607" spans="1:17">
      <c r="A607" s="2">
        <v>2555</v>
      </c>
      <c r="B607" s="7">
        <v>0</v>
      </c>
      <c r="C607" s="7">
        <v>0</v>
      </c>
      <c r="D607" s="7">
        <v>0</v>
      </c>
      <c r="E607" s="7">
        <v>0</v>
      </c>
      <c r="F607" s="7">
        <v>0</v>
      </c>
      <c r="G607" s="7">
        <v>0</v>
      </c>
      <c r="H607" s="7">
        <v>0</v>
      </c>
      <c r="I607" s="7">
        <v>0</v>
      </c>
      <c r="J607" s="7">
        <v>0</v>
      </c>
      <c r="K607" s="7">
        <v>0</v>
      </c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</row>
    <row r="608" spans="1:17">
      <c r="A608" s="2">
        <v>2556</v>
      </c>
      <c r="B608" s="7">
        <v>0</v>
      </c>
      <c r="C608" s="7">
        <v>0</v>
      </c>
      <c r="D608" s="7">
        <v>0</v>
      </c>
      <c r="E608" s="7">
        <v>0</v>
      </c>
      <c r="F608" s="7">
        <v>0</v>
      </c>
      <c r="G608" s="7">
        <v>0</v>
      </c>
      <c r="H608" s="7">
        <v>0</v>
      </c>
      <c r="I608" s="7">
        <v>0</v>
      </c>
      <c r="J608" s="7">
        <v>0</v>
      </c>
      <c r="K608" s="7">
        <v>0</v>
      </c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</row>
    <row r="609" spans="1:17">
      <c r="A609" s="2">
        <v>2557</v>
      </c>
      <c r="B609" s="7">
        <v>0</v>
      </c>
      <c r="C609" s="7">
        <v>0</v>
      </c>
      <c r="D609" s="7">
        <v>0</v>
      </c>
      <c r="E609" s="7">
        <v>0</v>
      </c>
      <c r="F609" s="7">
        <v>0</v>
      </c>
      <c r="G609" s="7">
        <v>0</v>
      </c>
      <c r="H609" s="7">
        <v>0</v>
      </c>
      <c r="I609" s="7">
        <v>0</v>
      </c>
      <c r="J609" s="7">
        <v>0</v>
      </c>
      <c r="K609" s="7">
        <v>0</v>
      </c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</row>
    <row r="610" spans="1:17">
      <c r="A610" s="2">
        <v>2558</v>
      </c>
      <c r="B610" s="7">
        <v>0</v>
      </c>
      <c r="C610" s="7">
        <v>0</v>
      </c>
      <c r="D610" s="7">
        <v>0</v>
      </c>
      <c r="E610" s="7">
        <v>0</v>
      </c>
      <c r="F610" s="7">
        <v>0</v>
      </c>
      <c r="G610" s="7">
        <v>0</v>
      </c>
      <c r="H610" s="7">
        <v>0</v>
      </c>
      <c r="I610" s="7">
        <v>0</v>
      </c>
      <c r="J610" s="7">
        <v>0</v>
      </c>
      <c r="K610" s="7">
        <v>0</v>
      </c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</row>
    <row r="611" spans="1:17">
      <c r="A611" s="2">
        <v>2559</v>
      </c>
      <c r="B611" s="7">
        <v>0</v>
      </c>
      <c r="C611" s="7">
        <v>0</v>
      </c>
      <c r="D611" s="7">
        <v>0</v>
      </c>
      <c r="E611" s="7">
        <v>0</v>
      </c>
      <c r="F611" s="7">
        <v>0</v>
      </c>
      <c r="G611" s="7">
        <v>0</v>
      </c>
      <c r="H611" s="7">
        <v>0</v>
      </c>
      <c r="I611" s="7">
        <v>0</v>
      </c>
      <c r="J611" s="7">
        <v>0</v>
      </c>
      <c r="K611" s="7">
        <v>0</v>
      </c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</row>
    <row r="612" spans="1:17">
      <c r="A612" s="2">
        <v>2560</v>
      </c>
      <c r="B612" s="7">
        <v>0</v>
      </c>
      <c r="C612" s="7">
        <v>0</v>
      </c>
      <c r="D612" s="7">
        <v>0</v>
      </c>
      <c r="E612" s="7">
        <v>0</v>
      </c>
      <c r="F612" s="7">
        <v>0</v>
      </c>
      <c r="G612" s="7">
        <v>0</v>
      </c>
      <c r="H612" s="7">
        <v>0</v>
      </c>
      <c r="I612" s="7">
        <v>0</v>
      </c>
      <c r="J612" s="7">
        <v>0</v>
      </c>
      <c r="K612" s="7">
        <v>0</v>
      </c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</row>
    <row r="613" spans="1:17">
      <c r="A613" s="2">
        <v>2561</v>
      </c>
      <c r="B613" s="7">
        <v>0</v>
      </c>
      <c r="C613" s="7">
        <v>0</v>
      </c>
      <c r="D613" s="7">
        <v>0</v>
      </c>
      <c r="E613" s="7">
        <v>0</v>
      </c>
      <c r="F613" s="7">
        <v>0</v>
      </c>
      <c r="G613" s="7">
        <v>0</v>
      </c>
      <c r="H613" s="7">
        <v>0</v>
      </c>
      <c r="I613" s="7">
        <v>0</v>
      </c>
      <c r="J613" s="7">
        <v>0</v>
      </c>
      <c r="K613" s="7">
        <v>0</v>
      </c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</row>
    <row r="614" spans="1:17">
      <c r="A614" s="2">
        <v>2562</v>
      </c>
      <c r="B614" s="7">
        <v>0</v>
      </c>
      <c r="C614" s="7">
        <v>0</v>
      </c>
      <c r="D614" s="7">
        <v>0</v>
      </c>
      <c r="E614" s="7">
        <v>0</v>
      </c>
      <c r="F614" s="7">
        <v>0</v>
      </c>
      <c r="G614" s="7">
        <v>0</v>
      </c>
      <c r="H614" s="7">
        <v>0</v>
      </c>
      <c r="I614" s="7">
        <v>0</v>
      </c>
      <c r="J614" s="7">
        <v>0</v>
      </c>
      <c r="K614" s="7">
        <v>0</v>
      </c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</row>
    <row r="615" spans="1:17">
      <c r="A615" s="2">
        <v>2563</v>
      </c>
      <c r="B615" s="7">
        <v>0</v>
      </c>
      <c r="C615" s="7">
        <v>0</v>
      </c>
      <c r="D615" s="7">
        <v>0</v>
      </c>
      <c r="E615" s="7">
        <v>0</v>
      </c>
      <c r="F615" s="7">
        <v>0</v>
      </c>
      <c r="G615" s="7">
        <v>0</v>
      </c>
      <c r="H615" s="7">
        <v>0</v>
      </c>
      <c r="I615" s="7">
        <v>0</v>
      </c>
      <c r="J615" s="7">
        <v>0</v>
      </c>
      <c r="K615" s="7">
        <v>0</v>
      </c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</row>
    <row r="616" spans="1:17">
      <c r="A616" s="2">
        <v>2564</v>
      </c>
      <c r="B616" s="7">
        <v>0</v>
      </c>
      <c r="C616" s="7">
        <v>0</v>
      </c>
      <c r="D616" s="7">
        <v>0</v>
      </c>
      <c r="E616" s="7">
        <v>0</v>
      </c>
      <c r="F616" s="7">
        <v>0</v>
      </c>
      <c r="G616" s="7">
        <v>0</v>
      </c>
      <c r="H616" s="7">
        <v>0</v>
      </c>
      <c r="I616" s="7">
        <v>0</v>
      </c>
      <c r="J616" s="7">
        <v>0</v>
      </c>
      <c r="K616" s="7">
        <v>0</v>
      </c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</row>
    <row r="617" spans="1:17">
      <c r="A617" s="2">
        <v>2565</v>
      </c>
      <c r="B617" s="7">
        <v>0</v>
      </c>
      <c r="C617" s="7">
        <v>0</v>
      </c>
      <c r="D617" s="7">
        <v>0</v>
      </c>
      <c r="E617" s="7">
        <v>0</v>
      </c>
      <c r="F617" s="7">
        <v>0</v>
      </c>
      <c r="G617" s="7">
        <v>0</v>
      </c>
      <c r="H617" s="7">
        <v>0</v>
      </c>
      <c r="I617" s="7">
        <v>0</v>
      </c>
      <c r="J617" s="7">
        <v>0</v>
      </c>
      <c r="K617" s="7">
        <v>0</v>
      </c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</row>
    <row r="618" spans="1:17">
      <c r="A618" s="2">
        <v>2566</v>
      </c>
      <c r="B618" s="7">
        <v>0</v>
      </c>
      <c r="C618" s="7">
        <v>0</v>
      </c>
      <c r="D618" s="7">
        <v>0</v>
      </c>
      <c r="E618" s="7">
        <v>0</v>
      </c>
      <c r="F618" s="7">
        <v>0</v>
      </c>
      <c r="G618" s="7">
        <v>0</v>
      </c>
      <c r="H618" s="7">
        <v>0</v>
      </c>
      <c r="I618" s="7">
        <v>0</v>
      </c>
      <c r="J618" s="7">
        <v>0</v>
      </c>
      <c r="K618" s="7">
        <v>0</v>
      </c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</row>
    <row r="619" spans="1:17">
      <c r="A619" s="2">
        <v>2567</v>
      </c>
      <c r="B619" s="7">
        <v>0</v>
      </c>
      <c r="C619" s="7">
        <v>0</v>
      </c>
      <c r="D619" s="7">
        <v>0</v>
      </c>
      <c r="E619" s="7">
        <v>0</v>
      </c>
      <c r="F619" s="7">
        <v>0</v>
      </c>
      <c r="G619" s="7">
        <v>0</v>
      </c>
      <c r="H619" s="7">
        <v>0</v>
      </c>
      <c r="I619" s="7">
        <v>0</v>
      </c>
      <c r="J619" s="7">
        <v>0</v>
      </c>
      <c r="K619" s="7">
        <v>0</v>
      </c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</row>
    <row r="620" spans="1:17">
      <c r="A620" s="2">
        <v>2568</v>
      </c>
      <c r="B620" s="7">
        <v>0</v>
      </c>
      <c r="C620" s="7">
        <v>0</v>
      </c>
      <c r="D620" s="7">
        <v>0</v>
      </c>
      <c r="E620" s="7">
        <v>0</v>
      </c>
      <c r="F620" s="7">
        <v>0</v>
      </c>
      <c r="G620" s="7">
        <v>0</v>
      </c>
      <c r="H620" s="7">
        <v>0</v>
      </c>
      <c r="I620" s="7">
        <v>0</v>
      </c>
      <c r="J620" s="7">
        <v>0</v>
      </c>
      <c r="K620" s="7">
        <v>0</v>
      </c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</row>
    <row r="621" spans="1:17">
      <c r="A621" s="2">
        <v>2569</v>
      </c>
      <c r="B621" s="7">
        <v>0</v>
      </c>
      <c r="C621" s="7">
        <v>0</v>
      </c>
      <c r="D621" s="7">
        <v>0</v>
      </c>
      <c r="E621" s="7">
        <v>0</v>
      </c>
      <c r="F621" s="7">
        <v>0</v>
      </c>
      <c r="G621" s="7">
        <v>0</v>
      </c>
      <c r="H621" s="7">
        <v>0</v>
      </c>
      <c r="I621" s="7">
        <v>0</v>
      </c>
      <c r="J621" s="7">
        <v>0</v>
      </c>
      <c r="K621" s="7">
        <v>0</v>
      </c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</row>
    <row r="622" spans="1:17">
      <c r="A622" s="2">
        <v>2570</v>
      </c>
      <c r="B622" s="7">
        <v>0</v>
      </c>
      <c r="C622" s="7">
        <v>0</v>
      </c>
      <c r="D622" s="7">
        <v>0</v>
      </c>
      <c r="E622" s="7">
        <v>0</v>
      </c>
      <c r="F622" s="7">
        <v>0</v>
      </c>
      <c r="G622" s="7">
        <v>0</v>
      </c>
      <c r="H622" s="7">
        <v>0</v>
      </c>
      <c r="I622" s="7">
        <v>0</v>
      </c>
      <c r="J622" s="7">
        <v>0</v>
      </c>
      <c r="K622" s="7">
        <v>0</v>
      </c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</row>
    <row r="623" spans="1:17">
      <c r="A623" s="2">
        <v>2571</v>
      </c>
      <c r="B623" s="7">
        <v>0</v>
      </c>
      <c r="C623" s="7">
        <v>0</v>
      </c>
      <c r="D623" s="7">
        <v>0</v>
      </c>
      <c r="E623" s="7">
        <v>0</v>
      </c>
      <c r="F623" s="7">
        <v>0</v>
      </c>
      <c r="G623" s="7">
        <v>0</v>
      </c>
      <c r="H623" s="7">
        <v>0</v>
      </c>
      <c r="I623" s="7">
        <v>0</v>
      </c>
      <c r="J623" s="7">
        <v>0</v>
      </c>
      <c r="K623" s="7">
        <v>0</v>
      </c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</row>
    <row r="624" spans="1:17">
      <c r="A624" s="2">
        <v>2572</v>
      </c>
      <c r="B624" s="7">
        <v>0</v>
      </c>
      <c r="C624" s="7">
        <v>0</v>
      </c>
      <c r="D624" s="7">
        <v>0</v>
      </c>
      <c r="E624" s="7">
        <v>0</v>
      </c>
      <c r="F624" s="7">
        <v>0</v>
      </c>
      <c r="G624" s="7">
        <v>0</v>
      </c>
      <c r="H624" s="7">
        <v>0</v>
      </c>
      <c r="I624" s="7">
        <v>0</v>
      </c>
      <c r="J624" s="7">
        <v>0</v>
      </c>
      <c r="K624" s="7">
        <v>0</v>
      </c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</row>
    <row r="625" spans="1:17">
      <c r="A625" s="2">
        <v>2573</v>
      </c>
      <c r="B625" s="7">
        <v>0</v>
      </c>
      <c r="C625" s="7">
        <v>0</v>
      </c>
      <c r="D625" s="7">
        <v>0</v>
      </c>
      <c r="E625" s="7">
        <v>0</v>
      </c>
      <c r="F625" s="7">
        <v>0</v>
      </c>
      <c r="G625" s="7">
        <v>0</v>
      </c>
      <c r="H625" s="7">
        <v>0</v>
      </c>
      <c r="I625" s="7">
        <v>0</v>
      </c>
      <c r="J625" s="7">
        <v>0</v>
      </c>
      <c r="K625" s="7">
        <v>0</v>
      </c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</row>
    <row r="626" spans="1:17">
      <c r="A626" s="2">
        <v>2574</v>
      </c>
      <c r="B626" s="7">
        <v>0</v>
      </c>
      <c r="C626" s="7">
        <v>0</v>
      </c>
      <c r="D626" s="7">
        <v>0</v>
      </c>
      <c r="E626" s="7">
        <v>0</v>
      </c>
      <c r="F626" s="7">
        <v>0</v>
      </c>
      <c r="G626" s="7">
        <v>0</v>
      </c>
      <c r="H626" s="7">
        <v>0</v>
      </c>
      <c r="I626" s="7">
        <v>0</v>
      </c>
      <c r="J626" s="7">
        <v>0</v>
      </c>
      <c r="K626" s="7">
        <v>0</v>
      </c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</row>
    <row r="627" spans="1:17">
      <c r="A627" s="2">
        <v>2575</v>
      </c>
      <c r="B627" s="7">
        <v>0</v>
      </c>
      <c r="C627" s="7">
        <v>0</v>
      </c>
      <c r="D627" s="7">
        <v>0</v>
      </c>
      <c r="E627" s="7">
        <v>0</v>
      </c>
      <c r="F627" s="7">
        <v>0</v>
      </c>
      <c r="G627" s="7">
        <v>0</v>
      </c>
      <c r="H627" s="7">
        <v>0</v>
      </c>
      <c r="I627" s="7">
        <v>0</v>
      </c>
      <c r="J627" s="7">
        <v>0</v>
      </c>
      <c r="K627" s="7">
        <v>0</v>
      </c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</row>
    <row r="628" spans="1:17">
      <c r="A628" s="2">
        <v>2576</v>
      </c>
      <c r="B628" s="7">
        <v>0</v>
      </c>
      <c r="C628" s="7">
        <v>0</v>
      </c>
      <c r="D628" s="7">
        <v>0</v>
      </c>
      <c r="E628" s="7">
        <v>0</v>
      </c>
      <c r="F628" s="7">
        <v>0</v>
      </c>
      <c r="G628" s="7">
        <v>0</v>
      </c>
      <c r="H628" s="7">
        <v>0</v>
      </c>
      <c r="I628" s="7">
        <v>0</v>
      </c>
      <c r="J628" s="7">
        <v>0</v>
      </c>
      <c r="K628" s="7">
        <v>0</v>
      </c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</row>
    <row r="629" spans="1:17">
      <c r="A629" s="2">
        <v>2577</v>
      </c>
      <c r="B629" s="7">
        <v>0</v>
      </c>
      <c r="C629" s="7">
        <v>0</v>
      </c>
      <c r="D629" s="7">
        <v>0</v>
      </c>
      <c r="E629" s="7">
        <v>0</v>
      </c>
      <c r="F629" s="7">
        <v>0</v>
      </c>
      <c r="G629" s="7">
        <v>0</v>
      </c>
      <c r="H629" s="7">
        <v>0</v>
      </c>
      <c r="I629" s="7">
        <v>0</v>
      </c>
      <c r="J629" s="7">
        <v>0</v>
      </c>
      <c r="K629" s="7">
        <v>0</v>
      </c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</row>
    <row r="630" spans="1:17">
      <c r="A630" s="2">
        <v>2578</v>
      </c>
      <c r="B630" s="7">
        <v>0</v>
      </c>
      <c r="C630" s="7">
        <v>0</v>
      </c>
      <c r="D630" s="7">
        <v>0</v>
      </c>
      <c r="E630" s="7">
        <v>0</v>
      </c>
      <c r="F630" s="7">
        <v>0</v>
      </c>
      <c r="G630" s="7">
        <v>0</v>
      </c>
      <c r="H630" s="7">
        <v>0</v>
      </c>
      <c r="I630" s="7">
        <v>0</v>
      </c>
      <c r="J630" s="7">
        <v>0</v>
      </c>
      <c r="K630" s="7">
        <v>0</v>
      </c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</row>
    <row r="631" spans="1:17">
      <c r="A631" s="2">
        <v>2579</v>
      </c>
      <c r="B631" s="7">
        <v>0</v>
      </c>
      <c r="C631" s="7">
        <v>0</v>
      </c>
      <c r="D631" s="7">
        <v>0</v>
      </c>
      <c r="E631" s="7">
        <v>0</v>
      </c>
      <c r="F631" s="7">
        <v>0</v>
      </c>
      <c r="G631" s="7">
        <v>0</v>
      </c>
      <c r="H631" s="7">
        <v>0</v>
      </c>
      <c r="I631" s="7">
        <v>0</v>
      </c>
      <c r="J631" s="7">
        <v>0</v>
      </c>
      <c r="K631" s="7">
        <v>0</v>
      </c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</row>
    <row r="632" spans="1:17">
      <c r="A632" s="2">
        <v>2580</v>
      </c>
      <c r="B632" s="7">
        <v>0</v>
      </c>
      <c r="C632" s="7">
        <v>0</v>
      </c>
      <c r="D632" s="7">
        <v>0</v>
      </c>
      <c r="E632" s="7">
        <v>0</v>
      </c>
      <c r="F632" s="7">
        <v>0</v>
      </c>
      <c r="G632" s="7">
        <v>0</v>
      </c>
      <c r="H632" s="7">
        <v>0</v>
      </c>
      <c r="I632" s="7">
        <v>0</v>
      </c>
      <c r="J632" s="7">
        <v>0</v>
      </c>
      <c r="K632" s="7">
        <v>0</v>
      </c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</row>
    <row r="633" spans="1:17">
      <c r="A633" s="2">
        <v>2581</v>
      </c>
      <c r="B633" s="7">
        <v>0</v>
      </c>
      <c r="C633" s="7">
        <v>0</v>
      </c>
      <c r="D633" s="7">
        <v>0</v>
      </c>
      <c r="E633" s="7">
        <v>0</v>
      </c>
      <c r="F633" s="7">
        <v>0</v>
      </c>
      <c r="G633" s="7">
        <v>0</v>
      </c>
      <c r="H633" s="7">
        <v>0</v>
      </c>
      <c r="I633" s="7">
        <v>0</v>
      </c>
      <c r="J633" s="7">
        <v>0</v>
      </c>
      <c r="K633" s="7">
        <v>0</v>
      </c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</row>
    <row r="634" spans="1:17">
      <c r="A634" s="2">
        <v>2582</v>
      </c>
      <c r="B634" s="7">
        <v>0</v>
      </c>
      <c r="C634" s="7">
        <v>0</v>
      </c>
      <c r="D634" s="7">
        <v>0</v>
      </c>
      <c r="E634" s="7">
        <v>0</v>
      </c>
      <c r="F634" s="7">
        <v>0</v>
      </c>
      <c r="G634" s="7">
        <v>0</v>
      </c>
      <c r="H634" s="7">
        <v>0</v>
      </c>
      <c r="I634" s="7">
        <v>0</v>
      </c>
      <c r="J634" s="7">
        <v>0</v>
      </c>
      <c r="K634" s="7">
        <v>0</v>
      </c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</row>
    <row r="635" spans="1:17">
      <c r="A635" s="2">
        <v>2583</v>
      </c>
      <c r="B635" s="7">
        <v>0</v>
      </c>
      <c r="C635" s="7">
        <v>0</v>
      </c>
      <c r="D635" s="7">
        <v>0</v>
      </c>
      <c r="E635" s="7">
        <v>0</v>
      </c>
      <c r="F635" s="7">
        <v>0</v>
      </c>
      <c r="G635" s="7">
        <v>0</v>
      </c>
      <c r="H635" s="7">
        <v>0</v>
      </c>
      <c r="I635" s="7">
        <v>0</v>
      </c>
      <c r="J635" s="7">
        <v>0</v>
      </c>
      <c r="K635" s="7">
        <v>0</v>
      </c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</row>
    <row r="636" spans="1:17">
      <c r="A636" s="2">
        <v>2584</v>
      </c>
      <c r="B636" s="7">
        <v>0</v>
      </c>
      <c r="C636" s="7">
        <v>0</v>
      </c>
      <c r="D636" s="7">
        <v>0</v>
      </c>
      <c r="E636" s="7">
        <v>0</v>
      </c>
      <c r="F636" s="7">
        <v>0</v>
      </c>
      <c r="G636" s="7">
        <v>0</v>
      </c>
      <c r="H636" s="7">
        <v>0</v>
      </c>
      <c r="I636" s="7">
        <v>0</v>
      </c>
      <c r="J636" s="7">
        <v>0</v>
      </c>
      <c r="K636" s="7">
        <v>0</v>
      </c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</row>
    <row r="637" spans="1:17">
      <c r="A637" s="2">
        <v>2585</v>
      </c>
      <c r="B637" s="7">
        <v>0</v>
      </c>
      <c r="C637" s="7">
        <v>0</v>
      </c>
      <c r="D637" s="7">
        <v>0</v>
      </c>
      <c r="E637" s="7">
        <v>0</v>
      </c>
      <c r="F637" s="7">
        <v>0</v>
      </c>
      <c r="G637" s="7">
        <v>0</v>
      </c>
      <c r="H637" s="7">
        <v>0</v>
      </c>
      <c r="I637" s="7">
        <v>0</v>
      </c>
      <c r="J637" s="7">
        <v>0</v>
      </c>
      <c r="K637" s="7">
        <v>0</v>
      </c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</row>
    <row r="638" spans="1:17">
      <c r="A638" s="2">
        <v>2586</v>
      </c>
      <c r="B638" s="7">
        <v>0</v>
      </c>
      <c r="C638" s="7">
        <v>0</v>
      </c>
      <c r="D638" s="7">
        <v>0</v>
      </c>
      <c r="E638" s="7">
        <v>0</v>
      </c>
      <c r="F638" s="7">
        <v>0</v>
      </c>
      <c r="G638" s="7">
        <v>0</v>
      </c>
      <c r="H638" s="7">
        <v>0</v>
      </c>
      <c r="I638" s="7">
        <v>0</v>
      </c>
      <c r="J638" s="7">
        <v>0</v>
      </c>
      <c r="K638" s="7">
        <v>0</v>
      </c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</row>
    <row r="639" spans="1:17">
      <c r="A639" s="2">
        <v>2587</v>
      </c>
      <c r="B639" s="7">
        <v>0</v>
      </c>
      <c r="C639" s="7">
        <v>0</v>
      </c>
      <c r="D639" s="7">
        <v>0</v>
      </c>
      <c r="E639" s="7">
        <v>0</v>
      </c>
      <c r="F639" s="7">
        <v>0</v>
      </c>
      <c r="G639" s="7">
        <v>0</v>
      </c>
      <c r="H639" s="7">
        <v>0</v>
      </c>
      <c r="I639" s="7">
        <v>0</v>
      </c>
      <c r="J639" s="7">
        <v>0</v>
      </c>
      <c r="K639" s="7">
        <v>0</v>
      </c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</row>
    <row r="640" spans="1:17">
      <c r="A640" s="2">
        <v>2588</v>
      </c>
      <c r="B640" s="7">
        <v>0</v>
      </c>
      <c r="C640" s="7">
        <v>0</v>
      </c>
      <c r="D640" s="7">
        <v>0</v>
      </c>
      <c r="E640" s="7">
        <v>0</v>
      </c>
      <c r="F640" s="7">
        <v>0</v>
      </c>
      <c r="G640" s="7">
        <v>0</v>
      </c>
      <c r="H640" s="7">
        <v>0</v>
      </c>
      <c r="I640" s="7">
        <v>0</v>
      </c>
      <c r="J640" s="7">
        <v>0</v>
      </c>
      <c r="K640" s="7">
        <v>0</v>
      </c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</row>
    <row r="641" spans="1:17">
      <c r="A641" s="2">
        <v>2589</v>
      </c>
      <c r="B641" s="7">
        <v>0</v>
      </c>
      <c r="C641" s="7">
        <v>0</v>
      </c>
      <c r="D641" s="7">
        <v>0</v>
      </c>
      <c r="E641" s="7">
        <v>0</v>
      </c>
      <c r="F641" s="7">
        <v>0</v>
      </c>
      <c r="G641" s="7">
        <v>0</v>
      </c>
      <c r="H641" s="7">
        <v>0</v>
      </c>
      <c r="I641" s="7">
        <v>0</v>
      </c>
      <c r="J641" s="7">
        <v>0</v>
      </c>
      <c r="K641" s="7">
        <v>0</v>
      </c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</row>
    <row r="642" spans="1:17">
      <c r="A642" s="2">
        <v>2590</v>
      </c>
      <c r="B642" s="7">
        <v>0</v>
      </c>
      <c r="C642" s="7">
        <v>0</v>
      </c>
      <c r="D642" s="7">
        <v>0</v>
      </c>
      <c r="E642" s="7">
        <v>0</v>
      </c>
      <c r="F642" s="7">
        <v>0</v>
      </c>
      <c r="G642" s="7">
        <v>0</v>
      </c>
      <c r="H642" s="7">
        <v>0</v>
      </c>
      <c r="I642" s="7">
        <v>0</v>
      </c>
      <c r="J642" s="7">
        <v>0</v>
      </c>
      <c r="K642" s="7">
        <v>0</v>
      </c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</row>
    <row r="643" spans="1:17">
      <c r="A643" s="2">
        <v>2591</v>
      </c>
      <c r="B643" s="7">
        <v>0</v>
      </c>
      <c r="C643" s="7">
        <v>0</v>
      </c>
      <c r="D643" s="7">
        <v>0</v>
      </c>
      <c r="E643" s="7">
        <v>0</v>
      </c>
      <c r="F643" s="7">
        <v>0</v>
      </c>
      <c r="G643" s="7">
        <v>0</v>
      </c>
      <c r="H643" s="7">
        <v>0</v>
      </c>
      <c r="I643" s="7">
        <v>0</v>
      </c>
      <c r="J643" s="7">
        <v>0</v>
      </c>
      <c r="K643" s="7">
        <v>0</v>
      </c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</row>
    <row r="644" spans="1:17">
      <c r="A644" s="2">
        <v>2592</v>
      </c>
      <c r="B644" s="7">
        <v>0</v>
      </c>
      <c r="C644" s="7">
        <v>0</v>
      </c>
      <c r="D644" s="7">
        <v>0</v>
      </c>
      <c r="E644" s="7">
        <v>0</v>
      </c>
      <c r="F644" s="7">
        <v>0</v>
      </c>
      <c r="G644" s="7">
        <v>0</v>
      </c>
      <c r="H644" s="7">
        <v>0</v>
      </c>
      <c r="I644" s="7">
        <v>0</v>
      </c>
      <c r="J644" s="7">
        <v>0</v>
      </c>
      <c r="K644" s="7">
        <v>0</v>
      </c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</row>
    <row r="645" spans="1:17">
      <c r="A645" s="2">
        <v>2593</v>
      </c>
      <c r="B645" s="7">
        <v>0</v>
      </c>
      <c r="C645" s="7">
        <v>0</v>
      </c>
      <c r="D645" s="7">
        <v>0</v>
      </c>
      <c r="E645" s="7">
        <v>0</v>
      </c>
      <c r="F645" s="7">
        <v>0</v>
      </c>
      <c r="G645" s="7">
        <v>0</v>
      </c>
      <c r="H645" s="7">
        <v>0</v>
      </c>
      <c r="I645" s="7">
        <v>0</v>
      </c>
      <c r="J645" s="7">
        <v>0</v>
      </c>
      <c r="K645" s="7">
        <v>0</v>
      </c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</row>
    <row r="646" spans="1:17">
      <c r="A646" s="2">
        <v>2594</v>
      </c>
      <c r="B646" s="7">
        <v>0</v>
      </c>
      <c r="C646" s="7">
        <v>0</v>
      </c>
      <c r="D646" s="7">
        <v>0</v>
      </c>
      <c r="E646" s="7">
        <v>0</v>
      </c>
      <c r="F646" s="7">
        <v>0</v>
      </c>
      <c r="G646" s="7">
        <v>0</v>
      </c>
      <c r="H646" s="7">
        <v>0</v>
      </c>
      <c r="I646" s="7">
        <v>0</v>
      </c>
      <c r="J646" s="7">
        <v>0</v>
      </c>
      <c r="K646" s="7">
        <v>0</v>
      </c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</row>
    <row r="647" spans="1:17">
      <c r="A647" s="2">
        <v>2595</v>
      </c>
      <c r="B647" s="7">
        <v>0</v>
      </c>
      <c r="C647" s="7">
        <v>0</v>
      </c>
      <c r="D647" s="7">
        <v>0</v>
      </c>
      <c r="E647" s="7">
        <v>0</v>
      </c>
      <c r="F647" s="7">
        <v>0</v>
      </c>
      <c r="G647" s="7">
        <v>0</v>
      </c>
      <c r="H647" s="7">
        <v>0</v>
      </c>
      <c r="I647" s="7">
        <v>0</v>
      </c>
      <c r="J647" s="7">
        <v>0</v>
      </c>
      <c r="K647" s="7">
        <v>0</v>
      </c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</row>
    <row r="648" spans="1:17">
      <c r="A648" s="2">
        <v>2596</v>
      </c>
      <c r="B648" s="7">
        <v>0</v>
      </c>
      <c r="C648" s="7">
        <v>0</v>
      </c>
      <c r="D648" s="7">
        <v>0</v>
      </c>
      <c r="E648" s="7">
        <v>0</v>
      </c>
      <c r="F648" s="7">
        <v>0</v>
      </c>
      <c r="G648" s="7">
        <v>0</v>
      </c>
      <c r="H648" s="7">
        <v>0</v>
      </c>
      <c r="I648" s="7">
        <v>0</v>
      </c>
      <c r="J648" s="7">
        <v>0</v>
      </c>
      <c r="K648" s="7">
        <v>0</v>
      </c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</row>
    <row r="649" spans="1:17">
      <c r="A649" s="2">
        <v>2597</v>
      </c>
      <c r="B649" s="7">
        <v>0</v>
      </c>
      <c r="C649" s="7">
        <v>0</v>
      </c>
      <c r="D649" s="7">
        <v>0</v>
      </c>
      <c r="E649" s="7">
        <v>0</v>
      </c>
      <c r="F649" s="7">
        <v>0</v>
      </c>
      <c r="G649" s="7">
        <v>0</v>
      </c>
      <c r="H649" s="7">
        <v>0</v>
      </c>
      <c r="I649" s="7">
        <v>0</v>
      </c>
      <c r="J649" s="7">
        <v>0</v>
      </c>
      <c r="K649" s="7">
        <v>0</v>
      </c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</row>
    <row r="650" spans="1:17">
      <c r="A650" s="2">
        <v>2598</v>
      </c>
      <c r="B650" s="7">
        <v>0</v>
      </c>
      <c r="C650" s="7">
        <v>0</v>
      </c>
      <c r="D650" s="7">
        <v>0</v>
      </c>
      <c r="E650" s="7">
        <v>0</v>
      </c>
      <c r="F650" s="7">
        <v>0</v>
      </c>
      <c r="G650" s="7">
        <v>0</v>
      </c>
      <c r="H650" s="7">
        <v>0</v>
      </c>
      <c r="I650" s="7">
        <v>0</v>
      </c>
      <c r="J650" s="7">
        <v>0</v>
      </c>
      <c r="K650" s="7">
        <v>0</v>
      </c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</row>
    <row r="651" spans="1:17">
      <c r="A651" s="2">
        <v>2599</v>
      </c>
      <c r="B651" s="7">
        <v>0</v>
      </c>
      <c r="C651" s="7">
        <v>0</v>
      </c>
      <c r="D651" s="7">
        <v>0</v>
      </c>
      <c r="E651" s="7">
        <v>0</v>
      </c>
      <c r="F651" s="7">
        <v>0</v>
      </c>
      <c r="G651" s="7">
        <v>0</v>
      </c>
      <c r="H651" s="7">
        <v>0</v>
      </c>
      <c r="I651" s="7">
        <v>0</v>
      </c>
      <c r="J651" s="7">
        <v>0</v>
      </c>
      <c r="K651" s="7">
        <v>0</v>
      </c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</row>
    <row r="652" spans="1:17">
      <c r="A652" s="2">
        <v>2600</v>
      </c>
      <c r="B652" s="7">
        <v>0</v>
      </c>
      <c r="C652" s="7">
        <v>0</v>
      </c>
      <c r="D652" s="7">
        <v>0</v>
      </c>
      <c r="E652" s="7">
        <v>0</v>
      </c>
      <c r="F652" s="7">
        <v>0</v>
      </c>
      <c r="G652" s="7">
        <v>0</v>
      </c>
      <c r="H652" s="7">
        <v>0</v>
      </c>
      <c r="I652" s="7">
        <v>0</v>
      </c>
      <c r="J652" s="7">
        <v>0</v>
      </c>
      <c r="K652" s="7">
        <v>0</v>
      </c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</row>
    <row r="653" spans="1:17">
      <c r="A653" s="2">
        <v>2601</v>
      </c>
      <c r="B653" s="7">
        <v>0</v>
      </c>
      <c r="C653" s="7">
        <v>0</v>
      </c>
      <c r="D653" s="7">
        <v>0</v>
      </c>
      <c r="E653" s="7">
        <v>0</v>
      </c>
      <c r="F653" s="7">
        <v>0</v>
      </c>
      <c r="G653" s="7">
        <v>0</v>
      </c>
      <c r="H653" s="7">
        <v>0</v>
      </c>
      <c r="I653" s="7">
        <v>0</v>
      </c>
      <c r="J653" s="7">
        <v>0</v>
      </c>
      <c r="K653" s="7">
        <v>0</v>
      </c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</row>
    <row r="654" spans="1:17">
      <c r="A654" s="2">
        <v>2602</v>
      </c>
      <c r="B654" s="7">
        <v>0</v>
      </c>
      <c r="C654" s="7">
        <v>0</v>
      </c>
      <c r="D654" s="7">
        <v>0</v>
      </c>
      <c r="E654" s="7">
        <v>0</v>
      </c>
      <c r="F654" s="7">
        <v>0</v>
      </c>
      <c r="G654" s="7">
        <v>0</v>
      </c>
      <c r="H654" s="7">
        <v>0</v>
      </c>
      <c r="I654" s="7">
        <v>0</v>
      </c>
      <c r="J654" s="7">
        <v>0</v>
      </c>
      <c r="K654" s="7">
        <v>0</v>
      </c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</row>
    <row r="655" spans="1:17">
      <c r="A655" s="2">
        <v>2603</v>
      </c>
      <c r="B655" s="7">
        <v>0</v>
      </c>
      <c r="C655" s="7">
        <v>0</v>
      </c>
      <c r="D655" s="7">
        <v>0</v>
      </c>
      <c r="E655" s="7">
        <v>0</v>
      </c>
      <c r="F655" s="7">
        <v>0</v>
      </c>
      <c r="G655" s="7">
        <v>0</v>
      </c>
      <c r="H655" s="7">
        <v>0</v>
      </c>
      <c r="I655" s="7">
        <v>0</v>
      </c>
      <c r="J655" s="7">
        <v>0</v>
      </c>
      <c r="K655" s="7">
        <v>0</v>
      </c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</row>
    <row r="656" spans="1:17">
      <c r="A656" s="2">
        <v>2604</v>
      </c>
      <c r="B656" s="7">
        <v>0</v>
      </c>
      <c r="C656" s="7">
        <v>0</v>
      </c>
      <c r="D656" s="7">
        <v>0</v>
      </c>
      <c r="E656" s="7">
        <v>0</v>
      </c>
      <c r="F656" s="7">
        <v>0</v>
      </c>
      <c r="G656" s="7">
        <v>0</v>
      </c>
      <c r="H656" s="7">
        <v>0</v>
      </c>
      <c r="I656" s="7">
        <v>0</v>
      </c>
      <c r="J656" s="7">
        <v>0</v>
      </c>
      <c r="K656" s="7">
        <v>0</v>
      </c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</row>
    <row r="657" spans="1:17">
      <c r="A657" s="2">
        <v>2605</v>
      </c>
      <c r="B657" s="7">
        <v>0</v>
      </c>
      <c r="C657" s="7">
        <v>0</v>
      </c>
      <c r="D657" s="7">
        <v>0</v>
      </c>
      <c r="E657" s="7">
        <v>0</v>
      </c>
      <c r="F657" s="7">
        <v>0</v>
      </c>
      <c r="G657" s="7">
        <v>0</v>
      </c>
      <c r="H657" s="7">
        <v>0</v>
      </c>
      <c r="I657" s="7">
        <v>0</v>
      </c>
      <c r="J657" s="7">
        <v>0</v>
      </c>
      <c r="K657" s="7">
        <v>0</v>
      </c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</row>
    <row r="658" spans="1:17">
      <c r="A658" s="2">
        <v>2606</v>
      </c>
      <c r="B658" s="7">
        <v>0</v>
      </c>
      <c r="C658" s="7">
        <v>0</v>
      </c>
      <c r="D658" s="7">
        <v>0</v>
      </c>
      <c r="E658" s="7">
        <v>0</v>
      </c>
      <c r="F658" s="7">
        <v>0</v>
      </c>
      <c r="G658" s="7">
        <v>0</v>
      </c>
      <c r="H658" s="7">
        <v>0</v>
      </c>
      <c r="I658" s="7">
        <v>0</v>
      </c>
      <c r="J658" s="7">
        <v>0</v>
      </c>
      <c r="K658" s="7">
        <v>0</v>
      </c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</row>
    <row r="659" spans="1:17">
      <c r="A659" s="2">
        <v>2607</v>
      </c>
      <c r="B659" s="7">
        <v>0</v>
      </c>
      <c r="C659" s="7">
        <v>0</v>
      </c>
      <c r="D659" s="7">
        <v>0</v>
      </c>
      <c r="E659" s="7">
        <v>0</v>
      </c>
      <c r="F659" s="7">
        <v>0</v>
      </c>
      <c r="G659" s="7">
        <v>0</v>
      </c>
      <c r="H659" s="7">
        <v>0</v>
      </c>
      <c r="I659" s="7">
        <v>0</v>
      </c>
      <c r="J659" s="7">
        <v>0</v>
      </c>
      <c r="K659" s="7">
        <v>0</v>
      </c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</row>
    <row r="660" spans="1:17">
      <c r="A660" s="2">
        <v>2608</v>
      </c>
      <c r="B660" s="7">
        <v>0</v>
      </c>
      <c r="C660" s="7">
        <v>0</v>
      </c>
      <c r="D660" s="7">
        <v>0</v>
      </c>
      <c r="E660" s="7">
        <v>0</v>
      </c>
      <c r="F660" s="7">
        <v>0</v>
      </c>
      <c r="G660" s="7">
        <v>0</v>
      </c>
      <c r="H660" s="7">
        <v>0</v>
      </c>
      <c r="I660" s="7">
        <v>0</v>
      </c>
      <c r="J660" s="7">
        <v>0</v>
      </c>
      <c r="K660" s="7">
        <v>0</v>
      </c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</row>
    <row r="661" spans="1:17">
      <c r="A661" s="2">
        <v>2609</v>
      </c>
      <c r="B661" s="7">
        <v>0</v>
      </c>
      <c r="C661" s="7">
        <v>0</v>
      </c>
      <c r="D661" s="7">
        <v>0</v>
      </c>
      <c r="E661" s="7">
        <v>0</v>
      </c>
      <c r="F661" s="7">
        <v>0</v>
      </c>
      <c r="G661" s="7">
        <v>0</v>
      </c>
      <c r="H661" s="7">
        <v>0</v>
      </c>
      <c r="I661" s="7">
        <v>0</v>
      </c>
      <c r="J661" s="7">
        <v>0</v>
      </c>
      <c r="K661" s="7">
        <v>0</v>
      </c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</row>
    <row r="662" spans="1:17">
      <c r="A662" s="2">
        <v>2610</v>
      </c>
      <c r="B662" s="7">
        <v>0</v>
      </c>
      <c r="C662" s="7">
        <v>0</v>
      </c>
      <c r="D662" s="7">
        <v>0</v>
      </c>
      <c r="E662" s="7">
        <v>0</v>
      </c>
      <c r="F662" s="7">
        <v>0</v>
      </c>
      <c r="G662" s="7">
        <v>0</v>
      </c>
      <c r="H662" s="7">
        <v>0</v>
      </c>
      <c r="I662" s="7">
        <v>0</v>
      </c>
      <c r="J662" s="7">
        <v>0</v>
      </c>
      <c r="K662" s="7">
        <v>0</v>
      </c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</row>
    <row r="663" spans="1:17">
      <c r="A663" s="2">
        <v>2611</v>
      </c>
      <c r="B663" s="7">
        <v>0</v>
      </c>
      <c r="C663" s="7">
        <v>0</v>
      </c>
      <c r="D663" s="7">
        <v>0</v>
      </c>
      <c r="E663" s="7">
        <v>0</v>
      </c>
      <c r="F663" s="7">
        <v>0</v>
      </c>
      <c r="G663" s="7">
        <v>0</v>
      </c>
      <c r="H663" s="7">
        <v>0</v>
      </c>
      <c r="I663" s="7">
        <v>0</v>
      </c>
      <c r="J663" s="7">
        <v>0</v>
      </c>
      <c r="K663" s="7">
        <v>0</v>
      </c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</row>
    <row r="664" spans="1:17">
      <c r="A664" s="2">
        <v>2612</v>
      </c>
      <c r="B664" s="7">
        <v>0</v>
      </c>
      <c r="C664" s="7">
        <v>0</v>
      </c>
      <c r="D664" s="7">
        <v>0</v>
      </c>
      <c r="E664" s="7">
        <v>0</v>
      </c>
      <c r="F664" s="7">
        <v>0</v>
      </c>
      <c r="G664" s="7">
        <v>0</v>
      </c>
      <c r="H664" s="7">
        <v>0</v>
      </c>
      <c r="I664" s="7">
        <v>0</v>
      </c>
      <c r="J664" s="7">
        <v>0</v>
      </c>
      <c r="K664" s="7">
        <v>0</v>
      </c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</row>
    <row r="665" spans="1:17">
      <c r="A665" s="2">
        <v>2613</v>
      </c>
      <c r="B665" s="7">
        <v>0</v>
      </c>
      <c r="C665" s="7">
        <v>0</v>
      </c>
      <c r="D665" s="7">
        <v>0</v>
      </c>
      <c r="E665" s="7">
        <v>0</v>
      </c>
      <c r="F665" s="7">
        <v>0</v>
      </c>
      <c r="G665" s="7">
        <v>0</v>
      </c>
      <c r="H665" s="7">
        <v>0</v>
      </c>
      <c r="I665" s="7">
        <v>0</v>
      </c>
      <c r="J665" s="7">
        <v>0</v>
      </c>
      <c r="K665" s="7">
        <v>0</v>
      </c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</row>
    <row r="666" spans="1:17">
      <c r="A666" s="2">
        <v>2614</v>
      </c>
      <c r="B666" s="7">
        <v>0</v>
      </c>
      <c r="C666" s="7">
        <v>0</v>
      </c>
      <c r="D666" s="7">
        <v>0</v>
      </c>
      <c r="E666" s="7">
        <v>0</v>
      </c>
      <c r="F666" s="7">
        <v>0</v>
      </c>
      <c r="G666" s="7">
        <v>0</v>
      </c>
      <c r="H666" s="7">
        <v>0</v>
      </c>
      <c r="I666" s="7">
        <v>0</v>
      </c>
      <c r="J666" s="7">
        <v>0</v>
      </c>
      <c r="K666" s="7">
        <v>0</v>
      </c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</row>
    <row r="667" spans="1:17">
      <c r="A667" s="2">
        <v>2615</v>
      </c>
      <c r="B667" s="7">
        <v>0</v>
      </c>
      <c r="C667" s="7">
        <v>0</v>
      </c>
      <c r="D667" s="7">
        <v>0</v>
      </c>
      <c r="E667" s="7">
        <v>0</v>
      </c>
      <c r="F667" s="7">
        <v>0</v>
      </c>
      <c r="G667" s="7">
        <v>0</v>
      </c>
      <c r="H667" s="7">
        <v>0</v>
      </c>
      <c r="I667" s="7">
        <v>0</v>
      </c>
      <c r="J667" s="7">
        <v>0</v>
      </c>
      <c r="K667" s="7">
        <v>0</v>
      </c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</row>
    <row r="668" spans="1:17">
      <c r="A668" s="2">
        <v>2616</v>
      </c>
      <c r="B668" s="7">
        <v>0</v>
      </c>
      <c r="C668" s="7">
        <v>0</v>
      </c>
      <c r="D668" s="7">
        <v>0</v>
      </c>
      <c r="E668" s="7">
        <v>0</v>
      </c>
      <c r="F668" s="7">
        <v>0</v>
      </c>
      <c r="G668" s="7">
        <v>0</v>
      </c>
      <c r="H668" s="7">
        <v>0</v>
      </c>
      <c r="I668" s="7">
        <v>0</v>
      </c>
      <c r="J668" s="7">
        <v>0</v>
      </c>
      <c r="K668" s="7">
        <v>0</v>
      </c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</row>
    <row r="669" spans="1:17">
      <c r="A669" s="2">
        <v>2617</v>
      </c>
      <c r="B669" s="7">
        <v>0</v>
      </c>
      <c r="C669" s="7">
        <v>0</v>
      </c>
      <c r="D669" s="7">
        <v>0</v>
      </c>
      <c r="E669" s="7">
        <v>0</v>
      </c>
      <c r="F669" s="7">
        <v>0</v>
      </c>
      <c r="G669" s="7">
        <v>0</v>
      </c>
      <c r="H669" s="7">
        <v>0</v>
      </c>
      <c r="I669" s="7">
        <v>0</v>
      </c>
      <c r="J669" s="7">
        <v>0</v>
      </c>
      <c r="K669" s="7">
        <v>0</v>
      </c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</row>
    <row r="670" spans="1:17">
      <c r="A670" s="2">
        <v>2618</v>
      </c>
      <c r="B670" s="7">
        <v>0</v>
      </c>
      <c r="C670" s="7">
        <v>0</v>
      </c>
      <c r="D670" s="7">
        <v>0</v>
      </c>
      <c r="E670" s="7">
        <v>0</v>
      </c>
      <c r="F670" s="7">
        <v>0</v>
      </c>
      <c r="G670" s="7">
        <v>0</v>
      </c>
      <c r="H670" s="7">
        <v>0</v>
      </c>
      <c r="I670" s="7">
        <v>0</v>
      </c>
      <c r="J670" s="7">
        <v>0</v>
      </c>
      <c r="K670" s="7">
        <v>0</v>
      </c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</row>
    <row r="671" spans="1:17">
      <c r="A671" s="2">
        <v>2619</v>
      </c>
      <c r="B671" s="7">
        <v>0</v>
      </c>
      <c r="C671" s="7">
        <v>0</v>
      </c>
      <c r="D671" s="7">
        <v>0</v>
      </c>
      <c r="E671" s="7">
        <v>0</v>
      </c>
      <c r="F671" s="7">
        <v>0</v>
      </c>
      <c r="G671" s="7">
        <v>0</v>
      </c>
      <c r="H671" s="7">
        <v>0</v>
      </c>
      <c r="I671" s="7">
        <v>0</v>
      </c>
      <c r="J671" s="7">
        <v>0</v>
      </c>
      <c r="K671" s="7">
        <v>0</v>
      </c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</row>
    <row r="672" spans="1:17">
      <c r="A672" s="2">
        <v>2620</v>
      </c>
      <c r="B672" s="7">
        <v>0</v>
      </c>
      <c r="C672" s="7">
        <v>0</v>
      </c>
      <c r="D672" s="7">
        <v>0</v>
      </c>
      <c r="E672" s="7">
        <v>0</v>
      </c>
      <c r="F672" s="7">
        <v>0</v>
      </c>
      <c r="G672" s="7">
        <v>0</v>
      </c>
      <c r="H672" s="7">
        <v>0</v>
      </c>
      <c r="I672" s="7">
        <v>0</v>
      </c>
      <c r="J672" s="7">
        <v>0</v>
      </c>
      <c r="K672" s="7">
        <v>0</v>
      </c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</row>
    <row r="673" spans="1:17">
      <c r="A673" s="2">
        <v>2621</v>
      </c>
      <c r="B673" s="7">
        <v>0</v>
      </c>
      <c r="C673" s="7">
        <v>0</v>
      </c>
      <c r="D673" s="7">
        <v>0</v>
      </c>
      <c r="E673" s="7">
        <v>0</v>
      </c>
      <c r="F673" s="7">
        <v>0</v>
      </c>
      <c r="G673" s="7">
        <v>0</v>
      </c>
      <c r="H673" s="7">
        <v>0</v>
      </c>
      <c r="I673" s="7">
        <v>0</v>
      </c>
      <c r="J673" s="7">
        <v>0</v>
      </c>
      <c r="K673" s="7">
        <v>0</v>
      </c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</row>
    <row r="674" spans="1:17">
      <c r="A674" s="2">
        <v>2622</v>
      </c>
      <c r="B674" s="7">
        <v>0</v>
      </c>
      <c r="C674" s="7">
        <v>0</v>
      </c>
      <c r="D674" s="7">
        <v>0</v>
      </c>
      <c r="E674" s="7">
        <v>0</v>
      </c>
      <c r="F674" s="7">
        <v>0</v>
      </c>
      <c r="G674" s="7">
        <v>0</v>
      </c>
      <c r="H674" s="7">
        <v>0</v>
      </c>
      <c r="I674" s="7">
        <v>0</v>
      </c>
      <c r="J674" s="7">
        <v>0</v>
      </c>
      <c r="K674" s="7">
        <v>0</v>
      </c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</row>
    <row r="675" spans="1:17">
      <c r="A675" s="2">
        <v>2623</v>
      </c>
      <c r="B675" s="7">
        <v>0</v>
      </c>
      <c r="C675" s="7">
        <v>0</v>
      </c>
      <c r="D675" s="7">
        <v>0</v>
      </c>
      <c r="E675" s="7">
        <v>0</v>
      </c>
      <c r="F675" s="7">
        <v>0</v>
      </c>
      <c r="G675" s="7">
        <v>0</v>
      </c>
      <c r="H675" s="7">
        <v>0</v>
      </c>
      <c r="I675" s="7">
        <v>0</v>
      </c>
      <c r="J675" s="7">
        <v>0</v>
      </c>
      <c r="K675" s="7">
        <v>0</v>
      </c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</row>
    <row r="676" spans="1:17">
      <c r="A676" s="2">
        <v>2624</v>
      </c>
      <c r="B676" s="7">
        <v>0</v>
      </c>
      <c r="C676" s="7">
        <v>0</v>
      </c>
      <c r="D676" s="7">
        <v>0</v>
      </c>
      <c r="E676" s="7">
        <v>0</v>
      </c>
      <c r="F676" s="7">
        <v>0</v>
      </c>
      <c r="G676" s="7">
        <v>0</v>
      </c>
      <c r="H676" s="7">
        <v>0</v>
      </c>
      <c r="I676" s="7">
        <v>0</v>
      </c>
      <c r="J676" s="7">
        <v>0</v>
      </c>
      <c r="K676" s="7">
        <v>0</v>
      </c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</row>
    <row r="677" spans="1:17">
      <c r="A677" s="2">
        <v>2625</v>
      </c>
      <c r="B677" s="7">
        <v>0</v>
      </c>
      <c r="C677" s="7">
        <v>0</v>
      </c>
      <c r="D677" s="7">
        <v>0</v>
      </c>
      <c r="E677" s="7">
        <v>0</v>
      </c>
      <c r="F677" s="7">
        <v>0</v>
      </c>
      <c r="G677" s="7">
        <v>0</v>
      </c>
      <c r="H677" s="7">
        <v>0</v>
      </c>
      <c r="I677" s="7">
        <v>0</v>
      </c>
      <c r="J677" s="7">
        <v>0</v>
      </c>
      <c r="K677" s="7">
        <v>0</v>
      </c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</row>
    <row r="678" spans="1:17">
      <c r="A678" s="2">
        <v>2626</v>
      </c>
      <c r="B678" s="7">
        <v>0</v>
      </c>
      <c r="C678" s="7">
        <v>0</v>
      </c>
      <c r="D678" s="7">
        <v>0</v>
      </c>
      <c r="E678" s="7">
        <v>0</v>
      </c>
      <c r="F678" s="7">
        <v>0</v>
      </c>
      <c r="G678" s="7">
        <v>0</v>
      </c>
      <c r="H678" s="7">
        <v>0</v>
      </c>
      <c r="I678" s="7">
        <v>0</v>
      </c>
      <c r="J678" s="7">
        <v>0</v>
      </c>
      <c r="K678" s="7">
        <v>0</v>
      </c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</row>
    <row r="679" spans="1:17">
      <c r="A679" s="2">
        <v>2627</v>
      </c>
      <c r="B679" s="7">
        <v>0</v>
      </c>
      <c r="C679" s="7">
        <v>0</v>
      </c>
      <c r="D679" s="7">
        <v>0</v>
      </c>
      <c r="E679" s="7">
        <v>0</v>
      </c>
      <c r="F679" s="7">
        <v>0</v>
      </c>
      <c r="G679" s="7">
        <v>0</v>
      </c>
      <c r="H679" s="7">
        <v>0</v>
      </c>
      <c r="I679" s="7">
        <v>0</v>
      </c>
      <c r="J679" s="7">
        <v>0</v>
      </c>
      <c r="K679" s="7">
        <v>0</v>
      </c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</row>
    <row r="680" spans="1:17">
      <c r="A680" s="2">
        <v>2628</v>
      </c>
      <c r="B680" s="7">
        <v>0</v>
      </c>
      <c r="C680" s="7">
        <v>0</v>
      </c>
      <c r="D680" s="7">
        <v>0</v>
      </c>
      <c r="E680" s="7">
        <v>0</v>
      </c>
      <c r="F680" s="7">
        <v>0</v>
      </c>
      <c r="G680" s="7">
        <v>0</v>
      </c>
      <c r="H680" s="7">
        <v>0</v>
      </c>
      <c r="I680" s="7">
        <v>0</v>
      </c>
      <c r="J680" s="7">
        <v>0</v>
      </c>
      <c r="K680" s="7">
        <v>0</v>
      </c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</row>
    <row r="681" spans="1:17">
      <c r="A681" s="2">
        <v>2629</v>
      </c>
      <c r="B681" s="7">
        <v>0</v>
      </c>
      <c r="C681" s="7">
        <v>0</v>
      </c>
      <c r="D681" s="7">
        <v>0</v>
      </c>
      <c r="E681" s="7">
        <v>0</v>
      </c>
      <c r="F681" s="7">
        <v>0</v>
      </c>
      <c r="G681" s="7">
        <v>0</v>
      </c>
      <c r="H681" s="7">
        <v>0</v>
      </c>
      <c r="I681" s="7">
        <v>0</v>
      </c>
      <c r="J681" s="7">
        <v>0</v>
      </c>
      <c r="K681" s="7">
        <v>0</v>
      </c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</row>
    <row r="682" spans="1:17">
      <c r="A682" s="2">
        <v>2630</v>
      </c>
      <c r="B682" s="7">
        <v>0</v>
      </c>
      <c r="C682" s="7">
        <v>0</v>
      </c>
      <c r="D682" s="7">
        <v>0</v>
      </c>
      <c r="E682" s="7">
        <v>0</v>
      </c>
      <c r="F682" s="7">
        <v>0</v>
      </c>
      <c r="G682" s="7">
        <v>0</v>
      </c>
      <c r="H682" s="7">
        <v>0</v>
      </c>
      <c r="I682" s="7">
        <v>0</v>
      </c>
      <c r="J682" s="7">
        <v>0</v>
      </c>
      <c r="K682" s="7">
        <v>0</v>
      </c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</row>
    <row r="683" spans="1:17">
      <c r="A683" s="2">
        <v>2631</v>
      </c>
      <c r="B683" s="7">
        <v>0</v>
      </c>
      <c r="C683" s="7">
        <v>0</v>
      </c>
      <c r="D683" s="7">
        <v>0</v>
      </c>
      <c r="E683" s="7">
        <v>0</v>
      </c>
      <c r="F683" s="7">
        <v>0</v>
      </c>
      <c r="G683" s="7">
        <v>0</v>
      </c>
      <c r="H683" s="7">
        <v>0</v>
      </c>
      <c r="I683" s="7">
        <v>0</v>
      </c>
      <c r="J683" s="7">
        <v>0</v>
      </c>
      <c r="K683" s="7">
        <v>0</v>
      </c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</row>
    <row r="684" spans="1:17">
      <c r="A684" s="2">
        <v>2632</v>
      </c>
      <c r="B684" s="7">
        <v>0</v>
      </c>
      <c r="C684" s="7">
        <v>0</v>
      </c>
      <c r="D684" s="7">
        <v>0</v>
      </c>
      <c r="E684" s="7">
        <v>0</v>
      </c>
      <c r="F684" s="7">
        <v>0</v>
      </c>
      <c r="G684" s="7">
        <v>0</v>
      </c>
      <c r="H684" s="7">
        <v>0</v>
      </c>
      <c r="I684" s="7">
        <v>0</v>
      </c>
      <c r="J684" s="7">
        <v>0</v>
      </c>
      <c r="K684" s="7">
        <v>0</v>
      </c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</row>
    <row r="685" spans="1:17">
      <c r="A685" s="2">
        <v>2633</v>
      </c>
      <c r="B685" s="7">
        <v>0</v>
      </c>
      <c r="C685" s="7">
        <v>0</v>
      </c>
      <c r="D685" s="7">
        <v>0</v>
      </c>
      <c r="E685" s="7">
        <v>0</v>
      </c>
      <c r="F685" s="7">
        <v>0</v>
      </c>
      <c r="G685" s="7">
        <v>0</v>
      </c>
      <c r="H685" s="7">
        <v>0</v>
      </c>
      <c r="I685" s="7">
        <v>0</v>
      </c>
      <c r="J685" s="7">
        <v>0</v>
      </c>
      <c r="K685" s="7">
        <v>0</v>
      </c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</row>
    <row r="686" spans="1:17">
      <c r="A686" s="2">
        <v>2634</v>
      </c>
      <c r="B686" s="7">
        <v>0</v>
      </c>
      <c r="C686" s="7">
        <v>0</v>
      </c>
      <c r="D686" s="7">
        <v>0</v>
      </c>
      <c r="E686" s="7">
        <v>0</v>
      </c>
      <c r="F686" s="7">
        <v>0</v>
      </c>
      <c r="G686" s="7">
        <v>0</v>
      </c>
      <c r="H686" s="7">
        <v>0</v>
      </c>
      <c r="I686" s="7">
        <v>0</v>
      </c>
      <c r="J686" s="7">
        <v>0</v>
      </c>
      <c r="K686" s="7">
        <v>0</v>
      </c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</row>
    <row r="687" spans="1:17">
      <c r="A687" s="2">
        <v>2635</v>
      </c>
      <c r="B687" s="7">
        <v>0</v>
      </c>
      <c r="C687" s="7">
        <v>0</v>
      </c>
      <c r="D687" s="7">
        <v>0</v>
      </c>
      <c r="E687" s="7">
        <v>0</v>
      </c>
      <c r="F687" s="7">
        <v>0</v>
      </c>
      <c r="G687" s="7">
        <v>0</v>
      </c>
      <c r="H687" s="7">
        <v>0</v>
      </c>
      <c r="I687" s="7">
        <v>0</v>
      </c>
      <c r="J687" s="7">
        <v>0</v>
      </c>
      <c r="K687" s="7">
        <v>0</v>
      </c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</row>
    <row r="688" spans="1:17">
      <c r="A688" s="2">
        <v>2636</v>
      </c>
      <c r="B688" s="7">
        <v>0</v>
      </c>
      <c r="C688" s="7">
        <v>0</v>
      </c>
      <c r="D688" s="7">
        <v>0</v>
      </c>
      <c r="E688" s="7">
        <v>0</v>
      </c>
      <c r="F688" s="7">
        <v>0</v>
      </c>
      <c r="G688" s="7">
        <v>0</v>
      </c>
      <c r="H688" s="7">
        <v>0</v>
      </c>
      <c r="I688" s="7">
        <v>0</v>
      </c>
      <c r="J688" s="7">
        <v>0</v>
      </c>
      <c r="K688" s="7">
        <v>0</v>
      </c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</row>
    <row r="689" spans="1:17">
      <c r="A689" s="2">
        <v>2637</v>
      </c>
      <c r="B689" s="7">
        <v>0</v>
      </c>
      <c r="C689" s="7">
        <v>0</v>
      </c>
      <c r="D689" s="7">
        <v>0</v>
      </c>
      <c r="E689" s="7">
        <v>0</v>
      </c>
      <c r="F689" s="7">
        <v>0</v>
      </c>
      <c r="G689" s="7">
        <v>0</v>
      </c>
      <c r="H689" s="7">
        <v>0</v>
      </c>
      <c r="I689" s="7">
        <v>0</v>
      </c>
      <c r="J689" s="7">
        <v>0</v>
      </c>
      <c r="K689" s="7">
        <v>0</v>
      </c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</row>
    <row r="690" spans="1:17">
      <c r="A690" s="2">
        <v>2638</v>
      </c>
      <c r="B690" s="7">
        <v>0</v>
      </c>
      <c r="C690" s="7">
        <v>0</v>
      </c>
      <c r="D690" s="7">
        <v>0</v>
      </c>
      <c r="E690" s="7">
        <v>0</v>
      </c>
      <c r="F690" s="7">
        <v>0</v>
      </c>
      <c r="G690" s="7">
        <v>0</v>
      </c>
      <c r="H690" s="7">
        <v>0</v>
      </c>
      <c r="I690" s="7">
        <v>0</v>
      </c>
      <c r="J690" s="7">
        <v>0</v>
      </c>
      <c r="K690" s="7">
        <v>0</v>
      </c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</row>
    <row r="691" spans="1:17">
      <c r="A691" s="2">
        <v>2639</v>
      </c>
      <c r="B691" s="7">
        <v>0</v>
      </c>
      <c r="C691" s="7">
        <v>0</v>
      </c>
      <c r="D691" s="7">
        <v>0</v>
      </c>
      <c r="E691" s="7">
        <v>0</v>
      </c>
      <c r="F691" s="7">
        <v>0</v>
      </c>
      <c r="G691" s="7">
        <v>0</v>
      </c>
      <c r="H691" s="7">
        <v>0</v>
      </c>
      <c r="I691" s="7">
        <v>0</v>
      </c>
      <c r="J691" s="7">
        <v>0</v>
      </c>
      <c r="K691" s="7">
        <v>0</v>
      </c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</row>
    <row r="692" spans="1:17">
      <c r="A692" s="2">
        <v>2640</v>
      </c>
      <c r="B692" s="7">
        <v>0</v>
      </c>
      <c r="C692" s="7">
        <v>0</v>
      </c>
      <c r="D692" s="7">
        <v>0</v>
      </c>
      <c r="E692" s="7">
        <v>0</v>
      </c>
      <c r="F692" s="7">
        <v>0</v>
      </c>
      <c r="G692" s="7">
        <v>0</v>
      </c>
      <c r="H692" s="7">
        <v>0</v>
      </c>
      <c r="I692" s="7">
        <v>0</v>
      </c>
      <c r="J692" s="7">
        <v>0</v>
      </c>
      <c r="K692" s="7">
        <v>0</v>
      </c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</row>
    <row r="693" spans="1:17">
      <c r="A693" s="2">
        <v>2641</v>
      </c>
      <c r="B693" s="7">
        <v>0</v>
      </c>
      <c r="C693" s="7">
        <v>0</v>
      </c>
      <c r="D693" s="7">
        <v>0</v>
      </c>
      <c r="E693" s="7">
        <v>0</v>
      </c>
      <c r="F693" s="7">
        <v>0</v>
      </c>
      <c r="G693" s="7">
        <v>0</v>
      </c>
      <c r="H693" s="7">
        <v>0</v>
      </c>
      <c r="I693" s="7">
        <v>0</v>
      </c>
      <c r="J693" s="7">
        <v>0</v>
      </c>
      <c r="K693" s="7">
        <v>0</v>
      </c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</row>
    <row r="694" spans="1:17">
      <c r="A694" s="2">
        <v>2642</v>
      </c>
      <c r="B694" s="7">
        <v>0</v>
      </c>
      <c r="C694" s="7">
        <v>0</v>
      </c>
      <c r="D694" s="7">
        <v>0</v>
      </c>
      <c r="E694" s="7">
        <v>0</v>
      </c>
      <c r="F694" s="7">
        <v>0</v>
      </c>
      <c r="G694" s="7">
        <v>0</v>
      </c>
      <c r="H694" s="7">
        <v>0</v>
      </c>
      <c r="I694" s="7">
        <v>0</v>
      </c>
      <c r="J694" s="7">
        <v>0</v>
      </c>
      <c r="K694" s="7">
        <v>0</v>
      </c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</row>
    <row r="695" spans="1:17">
      <c r="A695" s="2">
        <v>2643</v>
      </c>
      <c r="B695" s="7">
        <v>0</v>
      </c>
      <c r="C695" s="7">
        <v>0</v>
      </c>
      <c r="D695" s="7">
        <v>0</v>
      </c>
      <c r="E695" s="7">
        <v>0</v>
      </c>
      <c r="F695" s="7">
        <v>0</v>
      </c>
      <c r="G695" s="7">
        <v>0</v>
      </c>
      <c r="H695" s="7">
        <v>0</v>
      </c>
      <c r="I695" s="7">
        <v>0</v>
      </c>
      <c r="J695" s="7">
        <v>0</v>
      </c>
      <c r="K695" s="7">
        <v>0</v>
      </c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</row>
    <row r="696" spans="1:17">
      <c r="A696" s="2">
        <v>2644</v>
      </c>
      <c r="B696" s="7">
        <v>0</v>
      </c>
      <c r="C696" s="7">
        <v>0</v>
      </c>
      <c r="D696" s="7">
        <v>0</v>
      </c>
      <c r="E696" s="7">
        <v>0</v>
      </c>
      <c r="F696" s="7">
        <v>0</v>
      </c>
      <c r="G696" s="7">
        <v>0</v>
      </c>
      <c r="H696" s="7">
        <v>0</v>
      </c>
      <c r="I696" s="7">
        <v>0</v>
      </c>
      <c r="J696" s="7">
        <v>0</v>
      </c>
      <c r="K696" s="7">
        <v>0</v>
      </c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</row>
    <row r="697" spans="1:17">
      <c r="A697" s="2">
        <v>2645</v>
      </c>
      <c r="B697" s="7">
        <v>0</v>
      </c>
      <c r="C697" s="7">
        <v>0</v>
      </c>
      <c r="D697" s="7">
        <v>0</v>
      </c>
      <c r="E697" s="7">
        <v>0</v>
      </c>
      <c r="F697" s="7">
        <v>0</v>
      </c>
      <c r="G697" s="7">
        <v>0</v>
      </c>
      <c r="H697" s="7">
        <v>0</v>
      </c>
      <c r="I697" s="7">
        <v>0</v>
      </c>
      <c r="J697" s="7">
        <v>0</v>
      </c>
      <c r="K697" s="7">
        <v>0</v>
      </c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</row>
    <row r="698" spans="1:17">
      <c r="A698" s="2">
        <v>2646</v>
      </c>
      <c r="B698" s="7">
        <v>0</v>
      </c>
      <c r="C698" s="7">
        <v>0</v>
      </c>
      <c r="D698" s="7">
        <v>0</v>
      </c>
      <c r="E698" s="7">
        <v>0</v>
      </c>
      <c r="F698" s="7">
        <v>0</v>
      </c>
      <c r="G698" s="7">
        <v>0</v>
      </c>
      <c r="H698" s="7">
        <v>0</v>
      </c>
      <c r="I698" s="7">
        <v>0</v>
      </c>
      <c r="J698" s="7">
        <v>0</v>
      </c>
      <c r="K698" s="7">
        <v>0</v>
      </c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</row>
    <row r="699" spans="1:17">
      <c r="A699" s="2">
        <v>2647</v>
      </c>
      <c r="B699" s="7">
        <v>0</v>
      </c>
      <c r="C699" s="7">
        <v>0</v>
      </c>
      <c r="D699" s="7">
        <v>0</v>
      </c>
      <c r="E699" s="7">
        <v>0</v>
      </c>
      <c r="F699" s="7">
        <v>0</v>
      </c>
      <c r="G699" s="7">
        <v>0</v>
      </c>
      <c r="H699" s="7">
        <v>0</v>
      </c>
      <c r="I699" s="7">
        <v>0</v>
      </c>
      <c r="J699" s="7">
        <v>0</v>
      </c>
      <c r="K699" s="7">
        <v>0</v>
      </c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</row>
    <row r="700" spans="1:17">
      <c r="A700" s="2">
        <v>2648</v>
      </c>
      <c r="B700" s="7">
        <v>0</v>
      </c>
      <c r="C700" s="7">
        <v>0</v>
      </c>
      <c r="D700" s="7">
        <v>0</v>
      </c>
      <c r="E700" s="7">
        <v>0</v>
      </c>
      <c r="F700" s="7">
        <v>0</v>
      </c>
      <c r="G700" s="7">
        <v>0</v>
      </c>
      <c r="H700" s="7">
        <v>0</v>
      </c>
      <c r="I700" s="7">
        <v>0</v>
      </c>
      <c r="J700" s="7">
        <v>0</v>
      </c>
      <c r="K700" s="7">
        <v>0</v>
      </c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</row>
    <row r="701" spans="1:17">
      <c r="A701" s="2">
        <v>2649</v>
      </c>
      <c r="B701" s="7">
        <v>0</v>
      </c>
      <c r="C701" s="7">
        <v>0</v>
      </c>
      <c r="D701" s="7">
        <v>0</v>
      </c>
      <c r="E701" s="7">
        <v>0</v>
      </c>
      <c r="F701" s="7">
        <v>0</v>
      </c>
      <c r="G701" s="7">
        <v>0</v>
      </c>
      <c r="H701" s="7">
        <v>0</v>
      </c>
      <c r="I701" s="7">
        <v>0</v>
      </c>
      <c r="J701" s="7">
        <v>0</v>
      </c>
      <c r="K701" s="7">
        <v>0</v>
      </c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</row>
    <row r="702" spans="1:17">
      <c r="A702" s="2">
        <v>2650</v>
      </c>
      <c r="B702" s="7">
        <v>0</v>
      </c>
      <c r="C702" s="7">
        <v>0</v>
      </c>
      <c r="D702" s="7">
        <v>0</v>
      </c>
      <c r="E702" s="7">
        <v>0</v>
      </c>
      <c r="F702" s="7">
        <v>0</v>
      </c>
      <c r="G702" s="7">
        <v>0</v>
      </c>
      <c r="H702" s="7">
        <v>0</v>
      </c>
      <c r="I702" s="7">
        <v>0</v>
      </c>
      <c r="J702" s="7">
        <v>0</v>
      </c>
      <c r="K702" s="7">
        <v>0</v>
      </c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</row>
    <row r="703" spans="1:17">
      <c r="A703" s="2">
        <v>2651</v>
      </c>
      <c r="B703" s="7">
        <v>0</v>
      </c>
      <c r="C703" s="7">
        <v>0</v>
      </c>
      <c r="D703" s="7">
        <v>0</v>
      </c>
      <c r="E703" s="7">
        <v>0</v>
      </c>
      <c r="F703" s="7">
        <v>0</v>
      </c>
      <c r="G703" s="7">
        <v>0</v>
      </c>
      <c r="H703" s="7">
        <v>0</v>
      </c>
      <c r="I703" s="7">
        <v>0</v>
      </c>
      <c r="J703" s="7">
        <v>0</v>
      </c>
      <c r="K703" s="7">
        <v>0</v>
      </c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</row>
    <row r="704" spans="1:17">
      <c r="A704" s="2">
        <v>2652</v>
      </c>
      <c r="B704" s="7">
        <v>0</v>
      </c>
      <c r="C704" s="7">
        <v>0</v>
      </c>
      <c r="D704" s="7">
        <v>0</v>
      </c>
      <c r="E704" s="7">
        <v>0</v>
      </c>
      <c r="F704" s="7">
        <v>0</v>
      </c>
      <c r="G704" s="7">
        <v>0</v>
      </c>
      <c r="H704" s="7">
        <v>0</v>
      </c>
      <c r="I704" s="7">
        <v>0</v>
      </c>
      <c r="J704" s="7">
        <v>0</v>
      </c>
      <c r="K704" s="7">
        <v>0</v>
      </c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</row>
    <row r="705" spans="1:17">
      <c r="A705" s="2">
        <v>2653</v>
      </c>
      <c r="B705" s="7">
        <v>0</v>
      </c>
      <c r="C705" s="7">
        <v>0</v>
      </c>
      <c r="D705" s="7">
        <v>0</v>
      </c>
      <c r="E705" s="7">
        <v>0</v>
      </c>
      <c r="F705" s="7">
        <v>0</v>
      </c>
      <c r="G705" s="7">
        <v>0</v>
      </c>
      <c r="H705" s="7">
        <v>0</v>
      </c>
      <c r="I705" s="7">
        <v>0</v>
      </c>
      <c r="J705" s="7">
        <v>0</v>
      </c>
      <c r="K705" s="7">
        <v>0</v>
      </c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</row>
    <row r="706" spans="1:17">
      <c r="A706" s="2">
        <v>2654</v>
      </c>
      <c r="B706" s="7">
        <v>0</v>
      </c>
      <c r="C706" s="7">
        <v>0</v>
      </c>
      <c r="D706" s="7">
        <v>0</v>
      </c>
      <c r="E706" s="7">
        <v>0</v>
      </c>
      <c r="F706" s="7">
        <v>0</v>
      </c>
      <c r="G706" s="7">
        <v>0</v>
      </c>
      <c r="H706" s="7">
        <v>0</v>
      </c>
      <c r="I706" s="7">
        <v>0</v>
      </c>
      <c r="J706" s="7">
        <v>0</v>
      </c>
      <c r="K706" s="7">
        <v>0</v>
      </c>
      <c r="L706" s="7">
        <v>0</v>
      </c>
      <c r="M706" s="7">
        <v>0</v>
      </c>
      <c r="N706" s="7">
        <v>0</v>
      </c>
      <c r="O706" s="7">
        <v>0</v>
      </c>
      <c r="P706" s="7">
        <v>0</v>
      </c>
      <c r="Q706" s="7">
        <v>0</v>
      </c>
    </row>
    <row r="707" spans="1:17">
      <c r="A707" s="2">
        <v>2655</v>
      </c>
      <c r="B707" s="7">
        <v>0</v>
      </c>
      <c r="C707" s="7">
        <v>0</v>
      </c>
      <c r="D707" s="7">
        <v>0</v>
      </c>
      <c r="E707" s="7">
        <v>0</v>
      </c>
      <c r="F707" s="7">
        <v>0</v>
      </c>
      <c r="G707" s="7">
        <v>0</v>
      </c>
      <c r="H707" s="7">
        <v>0</v>
      </c>
      <c r="I707" s="7">
        <v>0</v>
      </c>
      <c r="J707" s="7">
        <v>0</v>
      </c>
      <c r="K707" s="7">
        <v>0</v>
      </c>
      <c r="L707" s="7">
        <v>0</v>
      </c>
      <c r="M707" s="7">
        <v>0</v>
      </c>
      <c r="N707" s="7">
        <v>0</v>
      </c>
      <c r="O707" s="7">
        <v>0</v>
      </c>
      <c r="P707" s="7">
        <v>0</v>
      </c>
      <c r="Q707" s="7">
        <v>0</v>
      </c>
    </row>
    <row r="708" spans="1:17">
      <c r="A708" s="2">
        <v>2656</v>
      </c>
      <c r="B708" s="7">
        <v>0</v>
      </c>
      <c r="C708" s="7">
        <v>0</v>
      </c>
      <c r="D708" s="7">
        <v>0</v>
      </c>
      <c r="E708" s="7">
        <v>0</v>
      </c>
      <c r="F708" s="7">
        <v>0</v>
      </c>
      <c r="G708" s="7">
        <v>0</v>
      </c>
      <c r="H708" s="7">
        <v>0</v>
      </c>
      <c r="I708" s="7">
        <v>0</v>
      </c>
      <c r="J708" s="7">
        <v>0</v>
      </c>
      <c r="K708" s="7">
        <v>0</v>
      </c>
      <c r="L708" s="7">
        <v>0</v>
      </c>
      <c r="M708" s="7">
        <v>0</v>
      </c>
      <c r="N708" s="7">
        <v>0</v>
      </c>
      <c r="O708" s="7">
        <v>0</v>
      </c>
      <c r="P708" s="7">
        <v>0</v>
      </c>
      <c r="Q708" s="7">
        <v>0</v>
      </c>
    </row>
    <row r="709" spans="1:17">
      <c r="A709" s="2">
        <v>2657</v>
      </c>
      <c r="B709" s="7">
        <v>0</v>
      </c>
      <c r="C709" s="7">
        <v>0</v>
      </c>
      <c r="D709" s="7">
        <v>0</v>
      </c>
      <c r="E709" s="7">
        <v>0</v>
      </c>
      <c r="F709" s="7">
        <v>0</v>
      </c>
      <c r="G709" s="7">
        <v>0</v>
      </c>
      <c r="H709" s="7">
        <v>0</v>
      </c>
      <c r="I709" s="7">
        <v>0</v>
      </c>
      <c r="J709" s="7">
        <v>0</v>
      </c>
      <c r="K709" s="7">
        <v>0</v>
      </c>
      <c r="L709" s="7">
        <v>0</v>
      </c>
      <c r="M709" s="7">
        <v>0</v>
      </c>
      <c r="N709" s="7">
        <v>0</v>
      </c>
      <c r="O709" s="7">
        <v>0</v>
      </c>
      <c r="P709" s="7">
        <v>0</v>
      </c>
      <c r="Q709" s="7">
        <v>0</v>
      </c>
    </row>
    <row r="710" spans="1:17">
      <c r="A710" s="2">
        <v>2658</v>
      </c>
      <c r="B710" s="7">
        <v>0</v>
      </c>
      <c r="C710" s="7">
        <v>0</v>
      </c>
      <c r="D710" s="7">
        <v>0</v>
      </c>
      <c r="E710" s="7">
        <v>0</v>
      </c>
      <c r="F710" s="7">
        <v>0</v>
      </c>
      <c r="G710" s="7">
        <v>0</v>
      </c>
      <c r="H710" s="7">
        <v>0</v>
      </c>
      <c r="I710" s="7">
        <v>0</v>
      </c>
      <c r="J710" s="7">
        <v>0</v>
      </c>
      <c r="K710" s="7">
        <v>0</v>
      </c>
      <c r="L710" s="7">
        <v>0</v>
      </c>
      <c r="M710" s="7">
        <v>0</v>
      </c>
      <c r="N710" s="7">
        <v>0</v>
      </c>
      <c r="O710" s="7">
        <v>0</v>
      </c>
      <c r="P710" s="7">
        <v>0</v>
      </c>
      <c r="Q710" s="7">
        <v>0</v>
      </c>
    </row>
    <row r="711" spans="1:17">
      <c r="A711" s="2">
        <v>2659</v>
      </c>
      <c r="B711" s="7">
        <v>0</v>
      </c>
      <c r="C711" s="7">
        <v>0</v>
      </c>
      <c r="D711" s="7">
        <v>0</v>
      </c>
      <c r="E711" s="7">
        <v>0</v>
      </c>
      <c r="F711" s="7">
        <v>0</v>
      </c>
      <c r="G711" s="7">
        <v>0</v>
      </c>
      <c r="H711" s="7">
        <v>0</v>
      </c>
      <c r="I711" s="7">
        <v>0</v>
      </c>
      <c r="J711" s="7">
        <v>0</v>
      </c>
      <c r="K711" s="7">
        <v>0</v>
      </c>
      <c r="L711" s="7">
        <v>0</v>
      </c>
      <c r="M711" s="7">
        <v>0</v>
      </c>
      <c r="N711" s="7">
        <v>0</v>
      </c>
      <c r="O711" s="7">
        <v>0</v>
      </c>
      <c r="P711" s="7">
        <v>0</v>
      </c>
      <c r="Q711" s="7">
        <v>0</v>
      </c>
    </row>
    <row r="712" spans="1:17">
      <c r="A712" s="2">
        <v>2660</v>
      </c>
      <c r="B712" s="7">
        <v>0</v>
      </c>
      <c r="C712" s="7">
        <v>0</v>
      </c>
      <c r="D712" s="7">
        <v>0</v>
      </c>
      <c r="E712" s="7">
        <v>0</v>
      </c>
      <c r="F712" s="7">
        <v>0</v>
      </c>
      <c r="G712" s="7">
        <v>0</v>
      </c>
      <c r="H712" s="7">
        <v>0</v>
      </c>
      <c r="I712" s="7">
        <v>0</v>
      </c>
      <c r="J712" s="7">
        <v>0</v>
      </c>
      <c r="K712" s="7">
        <v>0</v>
      </c>
      <c r="L712" s="7">
        <v>0</v>
      </c>
      <c r="M712" s="7">
        <v>0</v>
      </c>
      <c r="N712" s="7">
        <v>0</v>
      </c>
      <c r="O712" s="7">
        <v>0</v>
      </c>
      <c r="P712" s="7">
        <v>0</v>
      </c>
      <c r="Q712" s="7">
        <v>0</v>
      </c>
    </row>
    <row r="713" spans="1:17">
      <c r="A713" s="2">
        <v>2661</v>
      </c>
      <c r="B713" s="7">
        <v>0</v>
      </c>
      <c r="C713" s="7">
        <v>0</v>
      </c>
      <c r="D713" s="7">
        <v>0</v>
      </c>
      <c r="E713" s="7">
        <v>0</v>
      </c>
      <c r="F713" s="7">
        <v>0</v>
      </c>
      <c r="G713" s="7">
        <v>0</v>
      </c>
      <c r="H713" s="7">
        <v>0</v>
      </c>
      <c r="I713" s="7">
        <v>0</v>
      </c>
      <c r="J713" s="7">
        <v>0</v>
      </c>
      <c r="K713" s="7">
        <v>0</v>
      </c>
      <c r="L713" s="7">
        <v>0</v>
      </c>
      <c r="M713" s="7">
        <v>0</v>
      </c>
      <c r="N713" s="7">
        <v>0</v>
      </c>
      <c r="O713" s="7">
        <v>0</v>
      </c>
      <c r="P713" s="7">
        <v>0</v>
      </c>
      <c r="Q713" s="7">
        <v>0</v>
      </c>
    </row>
    <row r="714" spans="1:17">
      <c r="A714" s="2">
        <v>2662</v>
      </c>
      <c r="B714" s="7">
        <v>0</v>
      </c>
      <c r="C714" s="7">
        <v>0</v>
      </c>
      <c r="D714" s="7">
        <v>0</v>
      </c>
      <c r="E714" s="7">
        <v>0</v>
      </c>
      <c r="F714" s="7">
        <v>0</v>
      </c>
      <c r="G714" s="7">
        <v>0</v>
      </c>
      <c r="H714" s="7">
        <v>0</v>
      </c>
      <c r="I714" s="7">
        <v>0</v>
      </c>
      <c r="J714" s="7">
        <v>0</v>
      </c>
      <c r="K714" s="7">
        <v>0</v>
      </c>
      <c r="L714" s="7">
        <v>0</v>
      </c>
      <c r="M714" s="7">
        <v>0</v>
      </c>
      <c r="N714" s="7">
        <v>0</v>
      </c>
      <c r="O714" s="7">
        <v>0</v>
      </c>
      <c r="P714" s="7">
        <v>0</v>
      </c>
      <c r="Q714" s="7">
        <v>0</v>
      </c>
    </row>
    <row r="715" spans="1:17">
      <c r="A715" s="2">
        <v>2663</v>
      </c>
      <c r="B715" s="7">
        <v>0</v>
      </c>
      <c r="C715" s="7">
        <v>0</v>
      </c>
      <c r="D715" s="7">
        <v>0</v>
      </c>
      <c r="E715" s="7">
        <v>0</v>
      </c>
      <c r="F715" s="7">
        <v>0</v>
      </c>
      <c r="G715" s="7">
        <v>0</v>
      </c>
      <c r="H715" s="7">
        <v>0</v>
      </c>
      <c r="I715" s="7">
        <v>0</v>
      </c>
      <c r="J715" s="7">
        <v>0</v>
      </c>
      <c r="K715" s="7">
        <v>0</v>
      </c>
      <c r="L715" s="7">
        <v>0</v>
      </c>
      <c r="M715" s="7">
        <v>0</v>
      </c>
      <c r="N715" s="7">
        <v>0</v>
      </c>
      <c r="O715" s="7">
        <v>0</v>
      </c>
      <c r="P715" s="7">
        <v>0</v>
      </c>
      <c r="Q715" s="7">
        <v>0</v>
      </c>
    </row>
    <row r="716" spans="1:17">
      <c r="A716" s="2">
        <v>2664</v>
      </c>
      <c r="B716" s="7">
        <v>0</v>
      </c>
      <c r="C716" s="7">
        <v>0</v>
      </c>
      <c r="D716" s="7">
        <v>0</v>
      </c>
      <c r="E716" s="7">
        <v>0</v>
      </c>
      <c r="F716" s="7">
        <v>0</v>
      </c>
      <c r="G716" s="7">
        <v>0</v>
      </c>
      <c r="H716" s="7">
        <v>0</v>
      </c>
      <c r="I716" s="7">
        <v>0</v>
      </c>
      <c r="J716" s="7">
        <v>0</v>
      </c>
      <c r="K716" s="7">
        <v>0</v>
      </c>
      <c r="L716" s="7">
        <v>0</v>
      </c>
      <c r="M716" s="7">
        <v>0</v>
      </c>
      <c r="N716" s="7">
        <v>0</v>
      </c>
      <c r="O716" s="7">
        <v>0</v>
      </c>
      <c r="P716" s="7">
        <v>0</v>
      </c>
      <c r="Q716" s="7">
        <v>0</v>
      </c>
    </row>
    <row r="717" spans="1:17">
      <c r="A717" s="2">
        <v>2665</v>
      </c>
      <c r="B717" s="7">
        <v>0</v>
      </c>
      <c r="C717" s="7">
        <v>0</v>
      </c>
      <c r="D717" s="7">
        <v>0</v>
      </c>
      <c r="E717" s="7">
        <v>0</v>
      </c>
      <c r="F717" s="7">
        <v>0</v>
      </c>
      <c r="G717" s="7">
        <v>0</v>
      </c>
      <c r="H717" s="7">
        <v>0</v>
      </c>
      <c r="I717" s="7">
        <v>0</v>
      </c>
      <c r="J717" s="7">
        <v>0</v>
      </c>
      <c r="K717" s="7">
        <v>0</v>
      </c>
      <c r="L717" s="7">
        <v>0</v>
      </c>
      <c r="M717" s="7">
        <v>0</v>
      </c>
      <c r="N717" s="7">
        <v>0</v>
      </c>
      <c r="O717" s="7">
        <v>0</v>
      </c>
      <c r="P717" s="7">
        <v>0</v>
      </c>
      <c r="Q717" s="7">
        <v>0</v>
      </c>
    </row>
    <row r="718" spans="1:17">
      <c r="A718" s="2">
        <v>2666</v>
      </c>
      <c r="B718" s="7">
        <v>0</v>
      </c>
      <c r="C718" s="7">
        <v>0</v>
      </c>
      <c r="D718" s="7">
        <v>0</v>
      </c>
      <c r="E718" s="7">
        <v>0</v>
      </c>
      <c r="F718" s="7">
        <v>0</v>
      </c>
      <c r="G718" s="7">
        <v>0</v>
      </c>
      <c r="H718" s="7">
        <v>0</v>
      </c>
      <c r="I718" s="7">
        <v>0</v>
      </c>
      <c r="J718" s="7">
        <v>0</v>
      </c>
      <c r="K718" s="7">
        <v>0</v>
      </c>
      <c r="L718" s="7">
        <v>0</v>
      </c>
      <c r="M718" s="7">
        <v>0</v>
      </c>
      <c r="N718" s="7">
        <v>0</v>
      </c>
      <c r="O718" s="7">
        <v>0</v>
      </c>
      <c r="P718" s="7">
        <v>0</v>
      </c>
      <c r="Q718" s="7">
        <v>0</v>
      </c>
    </row>
    <row r="719" spans="1:17">
      <c r="A719" s="2">
        <v>2667</v>
      </c>
      <c r="B719" s="7">
        <v>0</v>
      </c>
      <c r="C719" s="7">
        <v>0</v>
      </c>
      <c r="D719" s="7">
        <v>0</v>
      </c>
      <c r="E719" s="7">
        <v>0</v>
      </c>
      <c r="F719" s="7">
        <v>0</v>
      </c>
      <c r="G719" s="7">
        <v>0</v>
      </c>
      <c r="H719" s="7">
        <v>0</v>
      </c>
      <c r="I719" s="7">
        <v>0</v>
      </c>
      <c r="J719" s="7">
        <v>0</v>
      </c>
      <c r="K719" s="7">
        <v>0</v>
      </c>
      <c r="L719" s="7">
        <v>0</v>
      </c>
      <c r="M719" s="7">
        <v>0</v>
      </c>
      <c r="N719" s="7">
        <v>0</v>
      </c>
      <c r="O719" s="7">
        <v>0</v>
      </c>
      <c r="P719" s="7">
        <v>0</v>
      </c>
      <c r="Q719" s="7">
        <v>0</v>
      </c>
    </row>
    <row r="720" spans="1:17">
      <c r="A720" s="2">
        <v>2668</v>
      </c>
      <c r="B720" s="7">
        <v>0</v>
      </c>
      <c r="C720" s="7">
        <v>0</v>
      </c>
      <c r="D720" s="7">
        <v>0</v>
      </c>
      <c r="E720" s="7">
        <v>0</v>
      </c>
      <c r="F720" s="7">
        <v>0</v>
      </c>
      <c r="G720" s="7">
        <v>0</v>
      </c>
      <c r="H720" s="7">
        <v>0</v>
      </c>
      <c r="I720" s="7">
        <v>0</v>
      </c>
      <c r="J720" s="7">
        <v>0</v>
      </c>
      <c r="K720" s="7">
        <v>0</v>
      </c>
      <c r="L720" s="7">
        <v>0</v>
      </c>
      <c r="M720" s="7">
        <v>0</v>
      </c>
      <c r="N720" s="7">
        <v>0</v>
      </c>
      <c r="O720" s="7">
        <v>0</v>
      </c>
      <c r="P720" s="7">
        <v>0</v>
      </c>
      <c r="Q720" s="7">
        <v>0</v>
      </c>
    </row>
    <row r="721" spans="1:17">
      <c r="A721" s="2">
        <v>2669</v>
      </c>
      <c r="B721" s="7">
        <v>0</v>
      </c>
      <c r="C721" s="7">
        <v>0</v>
      </c>
      <c r="D721" s="7">
        <v>0</v>
      </c>
      <c r="E721" s="7">
        <v>0</v>
      </c>
      <c r="F721" s="7">
        <v>0</v>
      </c>
      <c r="G721" s="7">
        <v>0</v>
      </c>
      <c r="H721" s="7">
        <v>0</v>
      </c>
      <c r="I721" s="7">
        <v>0</v>
      </c>
      <c r="J721" s="7">
        <v>0</v>
      </c>
      <c r="K721" s="7">
        <v>0</v>
      </c>
      <c r="L721" s="7">
        <v>0</v>
      </c>
      <c r="M721" s="7">
        <v>0</v>
      </c>
      <c r="N721" s="7">
        <v>0</v>
      </c>
      <c r="O721" s="7">
        <v>0</v>
      </c>
      <c r="P721" s="7">
        <v>0</v>
      </c>
      <c r="Q721" s="7">
        <v>0</v>
      </c>
    </row>
    <row r="722" spans="1:17">
      <c r="A722" s="2">
        <v>2670</v>
      </c>
      <c r="B722" s="7">
        <v>0</v>
      </c>
      <c r="C722" s="7">
        <v>0</v>
      </c>
      <c r="D722" s="7">
        <v>0</v>
      </c>
      <c r="E722" s="7">
        <v>0</v>
      </c>
      <c r="F722" s="7">
        <v>0</v>
      </c>
      <c r="G722" s="7">
        <v>0</v>
      </c>
      <c r="H722" s="7">
        <v>0</v>
      </c>
      <c r="I722" s="7">
        <v>0</v>
      </c>
      <c r="J722" s="7">
        <v>0</v>
      </c>
      <c r="K722" s="7">
        <v>0</v>
      </c>
      <c r="L722" s="7">
        <v>0</v>
      </c>
      <c r="M722" s="7">
        <v>0</v>
      </c>
      <c r="N722" s="7">
        <v>0</v>
      </c>
      <c r="O722" s="7">
        <v>0</v>
      </c>
      <c r="P722" s="7">
        <v>0</v>
      </c>
      <c r="Q722" s="7">
        <v>0</v>
      </c>
    </row>
    <row r="723" spans="1:17">
      <c r="A723" s="2">
        <v>2671</v>
      </c>
      <c r="B723" s="7">
        <v>0</v>
      </c>
      <c r="C723" s="7">
        <v>0</v>
      </c>
      <c r="D723" s="7">
        <v>0</v>
      </c>
      <c r="E723" s="7">
        <v>0</v>
      </c>
      <c r="F723" s="7">
        <v>0</v>
      </c>
      <c r="G723" s="7">
        <v>0</v>
      </c>
      <c r="H723" s="7">
        <v>0</v>
      </c>
      <c r="I723" s="7">
        <v>0</v>
      </c>
      <c r="J723" s="7">
        <v>0</v>
      </c>
      <c r="K723" s="7">
        <v>0</v>
      </c>
      <c r="L723" s="7">
        <v>0</v>
      </c>
      <c r="M723" s="7">
        <v>0</v>
      </c>
      <c r="N723" s="7">
        <v>0</v>
      </c>
      <c r="O723" s="7">
        <v>0</v>
      </c>
      <c r="P723" s="7">
        <v>0</v>
      </c>
      <c r="Q723" s="7">
        <v>0</v>
      </c>
    </row>
    <row r="724" spans="1:17">
      <c r="A724" s="2">
        <v>2672</v>
      </c>
      <c r="B724" s="7">
        <v>0</v>
      </c>
      <c r="C724" s="7">
        <v>0</v>
      </c>
      <c r="D724" s="7">
        <v>0</v>
      </c>
      <c r="E724" s="7">
        <v>0</v>
      </c>
      <c r="F724" s="7">
        <v>0</v>
      </c>
      <c r="G724" s="7">
        <v>0</v>
      </c>
      <c r="H724" s="7">
        <v>0</v>
      </c>
      <c r="I724" s="7">
        <v>0</v>
      </c>
      <c r="J724" s="7">
        <v>0</v>
      </c>
      <c r="K724" s="7">
        <v>0</v>
      </c>
      <c r="L724" s="7">
        <v>0</v>
      </c>
      <c r="M724" s="7">
        <v>0</v>
      </c>
      <c r="N724" s="7">
        <v>0</v>
      </c>
      <c r="O724" s="7">
        <v>0</v>
      </c>
      <c r="P724" s="7">
        <v>0</v>
      </c>
      <c r="Q724" s="7">
        <v>0</v>
      </c>
    </row>
    <row r="725" spans="1:17">
      <c r="A725" s="2">
        <v>2673</v>
      </c>
      <c r="B725" s="7">
        <v>0</v>
      </c>
      <c r="C725" s="7">
        <v>0</v>
      </c>
      <c r="D725" s="7">
        <v>0</v>
      </c>
      <c r="E725" s="7">
        <v>0</v>
      </c>
      <c r="F725" s="7">
        <v>0</v>
      </c>
      <c r="G725" s="7">
        <v>0</v>
      </c>
      <c r="H725" s="7">
        <v>0</v>
      </c>
      <c r="I725" s="7">
        <v>0</v>
      </c>
      <c r="J725" s="7">
        <v>0</v>
      </c>
      <c r="K725" s="7">
        <v>0</v>
      </c>
      <c r="L725" s="7">
        <v>0</v>
      </c>
      <c r="M725" s="7">
        <v>0</v>
      </c>
      <c r="N725" s="7">
        <v>0</v>
      </c>
      <c r="O725" s="7">
        <v>0</v>
      </c>
      <c r="P725" s="7">
        <v>0</v>
      </c>
      <c r="Q725" s="7">
        <v>0</v>
      </c>
    </row>
    <row r="726" spans="1:17">
      <c r="A726" s="2">
        <v>2674</v>
      </c>
      <c r="B726" s="7">
        <v>0</v>
      </c>
      <c r="C726" s="7">
        <v>0</v>
      </c>
      <c r="D726" s="7">
        <v>0</v>
      </c>
      <c r="E726" s="7">
        <v>0</v>
      </c>
      <c r="F726" s="7">
        <v>0</v>
      </c>
      <c r="G726" s="7">
        <v>0</v>
      </c>
      <c r="H726" s="7">
        <v>0</v>
      </c>
      <c r="I726" s="7">
        <v>0</v>
      </c>
      <c r="J726" s="7">
        <v>0</v>
      </c>
      <c r="K726" s="7">
        <v>0</v>
      </c>
      <c r="L726" s="7">
        <v>0</v>
      </c>
      <c r="M726" s="7">
        <v>0</v>
      </c>
      <c r="N726" s="7">
        <v>0</v>
      </c>
      <c r="O726" s="7">
        <v>0</v>
      </c>
      <c r="P726" s="7">
        <v>0</v>
      </c>
      <c r="Q726" s="7">
        <v>0</v>
      </c>
    </row>
    <row r="727" spans="1:17">
      <c r="A727" s="2">
        <v>2675</v>
      </c>
      <c r="B727" s="7">
        <v>0</v>
      </c>
      <c r="C727" s="7">
        <v>0</v>
      </c>
      <c r="D727" s="7">
        <v>0</v>
      </c>
      <c r="E727" s="7">
        <v>0</v>
      </c>
      <c r="F727" s="7">
        <v>0</v>
      </c>
      <c r="G727" s="7">
        <v>0</v>
      </c>
      <c r="H727" s="7">
        <v>0</v>
      </c>
      <c r="I727" s="7">
        <v>0</v>
      </c>
      <c r="J727" s="7">
        <v>0</v>
      </c>
      <c r="K727" s="7">
        <v>0</v>
      </c>
      <c r="L727" s="7">
        <v>0</v>
      </c>
      <c r="M727" s="7">
        <v>0</v>
      </c>
      <c r="N727" s="7">
        <v>0</v>
      </c>
      <c r="O727" s="7">
        <v>0</v>
      </c>
      <c r="P727" s="7">
        <v>0</v>
      </c>
      <c r="Q727" s="7">
        <v>0</v>
      </c>
    </row>
    <row r="728" spans="1:17">
      <c r="A728" s="2">
        <v>2676</v>
      </c>
      <c r="B728" s="7">
        <v>0</v>
      </c>
      <c r="C728" s="7">
        <v>0</v>
      </c>
      <c r="D728" s="7">
        <v>0</v>
      </c>
      <c r="E728" s="7">
        <v>0</v>
      </c>
      <c r="F728" s="7">
        <v>0</v>
      </c>
      <c r="G728" s="7">
        <v>0</v>
      </c>
      <c r="H728" s="7">
        <v>0</v>
      </c>
      <c r="I728" s="7">
        <v>0</v>
      </c>
      <c r="J728" s="7">
        <v>0</v>
      </c>
      <c r="K728" s="7">
        <v>0</v>
      </c>
      <c r="L728" s="7">
        <v>0</v>
      </c>
      <c r="M728" s="7">
        <v>0</v>
      </c>
      <c r="N728" s="7">
        <v>0</v>
      </c>
      <c r="O728" s="7">
        <v>0</v>
      </c>
      <c r="P728" s="7">
        <v>0</v>
      </c>
      <c r="Q728" s="7">
        <v>0</v>
      </c>
    </row>
    <row r="729" spans="1:17">
      <c r="A729" s="2">
        <v>2677</v>
      </c>
      <c r="B729" s="7">
        <v>0</v>
      </c>
      <c r="C729" s="7">
        <v>0</v>
      </c>
      <c r="D729" s="7">
        <v>0</v>
      </c>
      <c r="E729" s="7">
        <v>0</v>
      </c>
      <c r="F729" s="7">
        <v>0</v>
      </c>
      <c r="G729" s="7">
        <v>0</v>
      </c>
      <c r="H729" s="7">
        <v>0</v>
      </c>
      <c r="I729" s="7">
        <v>0</v>
      </c>
      <c r="J729" s="7">
        <v>0</v>
      </c>
      <c r="K729" s="7">
        <v>0</v>
      </c>
      <c r="L729" s="7">
        <v>0</v>
      </c>
      <c r="M729" s="7">
        <v>0</v>
      </c>
      <c r="N729" s="7">
        <v>0</v>
      </c>
      <c r="O729" s="7">
        <v>0</v>
      </c>
      <c r="P729" s="7">
        <v>0</v>
      </c>
      <c r="Q729" s="7">
        <v>0</v>
      </c>
    </row>
    <row r="730" spans="1:17">
      <c r="A730" s="2">
        <v>2678</v>
      </c>
      <c r="B730" s="7">
        <v>0</v>
      </c>
      <c r="C730" s="7">
        <v>0</v>
      </c>
      <c r="D730" s="7">
        <v>0</v>
      </c>
      <c r="E730" s="7">
        <v>0</v>
      </c>
      <c r="F730" s="7">
        <v>0</v>
      </c>
      <c r="G730" s="7">
        <v>0</v>
      </c>
      <c r="H730" s="7">
        <v>0</v>
      </c>
      <c r="I730" s="7">
        <v>0</v>
      </c>
      <c r="J730" s="7">
        <v>0</v>
      </c>
      <c r="K730" s="7">
        <v>0</v>
      </c>
      <c r="L730" s="7">
        <v>0</v>
      </c>
      <c r="M730" s="7">
        <v>0</v>
      </c>
      <c r="N730" s="7">
        <v>0</v>
      </c>
      <c r="O730" s="7">
        <v>0</v>
      </c>
      <c r="P730" s="7">
        <v>0</v>
      </c>
      <c r="Q730" s="7">
        <v>0</v>
      </c>
    </row>
    <row r="731" spans="1:17">
      <c r="A731" s="2">
        <v>2679</v>
      </c>
      <c r="B731" s="7">
        <v>0</v>
      </c>
      <c r="C731" s="7">
        <v>0</v>
      </c>
      <c r="D731" s="7">
        <v>0</v>
      </c>
      <c r="E731" s="7">
        <v>0</v>
      </c>
      <c r="F731" s="7">
        <v>0</v>
      </c>
      <c r="G731" s="7">
        <v>0</v>
      </c>
      <c r="H731" s="7">
        <v>0</v>
      </c>
      <c r="I731" s="7">
        <v>0</v>
      </c>
      <c r="J731" s="7">
        <v>0</v>
      </c>
      <c r="K731" s="7">
        <v>0</v>
      </c>
      <c r="L731" s="7">
        <v>0</v>
      </c>
      <c r="M731" s="7">
        <v>0</v>
      </c>
      <c r="N731" s="7">
        <v>0</v>
      </c>
      <c r="O731" s="7">
        <v>0</v>
      </c>
      <c r="P731" s="7">
        <v>0</v>
      </c>
      <c r="Q731" s="7">
        <v>0</v>
      </c>
    </row>
    <row r="732" spans="1:17">
      <c r="A732" s="2">
        <v>2680</v>
      </c>
      <c r="B732" s="7">
        <v>0</v>
      </c>
      <c r="C732" s="7">
        <v>0</v>
      </c>
      <c r="D732" s="7">
        <v>0</v>
      </c>
      <c r="E732" s="7">
        <v>0</v>
      </c>
      <c r="F732" s="7">
        <v>0</v>
      </c>
      <c r="G732" s="7">
        <v>0</v>
      </c>
      <c r="H732" s="7">
        <v>0</v>
      </c>
      <c r="I732" s="7">
        <v>0</v>
      </c>
      <c r="J732" s="7">
        <v>0</v>
      </c>
      <c r="K732" s="7">
        <v>0</v>
      </c>
      <c r="L732" s="7">
        <v>0</v>
      </c>
      <c r="M732" s="7">
        <v>0</v>
      </c>
      <c r="N732" s="7">
        <v>0</v>
      </c>
      <c r="O732" s="7">
        <v>0</v>
      </c>
      <c r="P732" s="7">
        <v>0</v>
      </c>
      <c r="Q732" s="7">
        <v>0</v>
      </c>
    </row>
    <row r="733" spans="1:17">
      <c r="A733" s="2">
        <v>2681</v>
      </c>
      <c r="B733" s="7">
        <v>0</v>
      </c>
      <c r="C733" s="7">
        <v>0</v>
      </c>
      <c r="D733" s="7">
        <v>0</v>
      </c>
      <c r="E733" s="7">
        <v>0</v>
      </c>
      <c r="F733" s="7">
        <v>0</v>
      </c>
      <c r="G733" s="7">
        <v>0</v>
      </c>
      <c r="H733" s="7">
        <v>0</v>
      </c>
      <c r="I733" s="7">
        <v>0</v>
      </c>
      <c r="J733" s="7">
        <v>0</v>
      </c>
      <c r="K733" s="7">
        <v>0</v>
      </c>
      <c r="L733" s="7">
        <v>0</v>
      </c>
      <c r="M733" s="7">
        <v>0</v>
      </c>
      <c r="N733" s="7">
        <v>0</v>
      </c>
      <c r="O733" s="7">
        <v>0</v>
      </c>
      <c r="P733" s="7">
        <v>0</v>
      </c>
      <c r="Q733" s="7">
        <v>0</v>
      </c>
    </row>
    <row r="734" spans="1:17">
      <c r="A734" s="2">
        <v>2682</v>
      </c>
      <c r="B734" s="7">
        <v>0</v>
      </c>
      <c r="C734" s="7">
        <v>0</v>
      </c>
      <c r="D734" s="7">
        <v>0</v>
      </c>
      <c r="E734" s="7">
        <v>0</v>
      </c>
      <c r="F734" s="7">
        <v>0</v>
      </c>
      <c r="G734" s="7">
        <v>0</v>
      </c>
      <c r="H734" s="7">
        <v>0</v>
      </c>
      <c r="I734" s="7">
        <v>0</v>
      </c>
      <c r="J734" s="7">
        <v>0</v>
      </c>
      <c r="K734" s="7">
        <v>0</v>
      </c>
      <c r="L734" s="7">
        <v>0</v>
      </c>
      <c r="M734" s="7">
        <v>0</v>
      </c>
      <c r="N734" s="7">
        <v>0</v>
      </c>
      <c r="O734" s="7">
        <v>0</v>
      </c>
      <c r="P734" s="7">
        <v>0</v>
      </c>
      <c r="Q734" s="7">
        <v>0</v>
      </c>
    </row>
    <row r="735" spans="1:17">
      <c r="A735" s="2">
        <v>2683</v>
      </c>
      <c r="B735" s="7">
        <v>0</v>
      </c>
      <c r="C735" s="7">
        <v>0</v>
      </c>
      <c r="D735" s="7">
        <v>0</v>
      </c>
      <c r="E735" s="7">
        <v>0</v>
      </c>
      <c r="F735" s="7">
        <v>0</v>
      </c>
      <c r="G735" s="7">
        <v>0</v>
      </c>
      <c r="H735" s="7">
        <v>0</v>
      </c>
      <c r="I735" s="7">
        <v>0</v>
      </c>
      <c r="J735" s="7">
        <v>0</v>
      </c>
      <c r="K735" s="7">
        <v>0</v>
      </c>
      <c r="L735" s="7">
        <v>0</v>
      </c>
      <c r="M735" s="7">
        <v>0</v>
      </c>
      <c r="N735" s="7">
        <v>0</v>
      </c>
      <c r="O735" s="7">
        <v>0</v>
      </c>
      <c r="P735" s="7">
        <v>0</v>
      </c>
      <c r="Q735" s="7">
        <v>0</v>
      </c>
    </row>
    <row r="736" spans="1:17">
      <c r="A736" s="2">
        <v>2684</v>
      </c>
      <c r="B736" s="7">
        <v>0</v>
      </c>
      <c r="C736" s="7">
        <v>0</v>
      </c>
      <c r="D736" s="7">
        <v>0</v>
      </c>
      <c r="E736" s="7">
        <v>0</v>
      </c>
      <c r="F736" s="7">
        <v>0</v>
      </c>
      <c r="G736" s="7">
        <v>0</v>
      </c>
      <c r="H736" s="7">
        <v>0</v>
      </c>
      <c r="I736" s="7">
        <v>0</v>
      </c>
      <c r="J736" s="7">
        <v>0</v>
      </c>
      <c r="K736" s="7">
        <v>0</v>
      </c>
      <c r="L736" s="7">
        <v>0</v>
      </c>
      <c r="M736" s="7">
        <v>0</v>
      </c>
      <c r="N736" s="7">
        <v>0</v>
      </c>
      <c r="O736" s="7">
        <v>0</v>
      </c>
      <c r="P736" s="7">
        <v>0</v>
      </c>
      <c r="Q736" s="7">
        <v>0</v>
      </c>
    </row>
    <row r="737" spans="1:17">
      <c r="A737" s="2">
        <v>2685</v>
      </c>
      <c r="B737" s="7">
        <v>0</v>
      </c>
      <c r="C737" s="7">
        <v>0</v>
      </c>
      <c r="D737" s="7">
        <v>0</v>
      </c>
      <c r="E737" s="7">
        <v>0</v>
      </c>
      <c r="F737" s="7">
        <v>0</v>
      </c>
      <c r="G737" s="7">
        <v>0</v>
      </c>
      <c r="H737" s="7">
        <v>0</v>
      </c>
      <c r="I737" s="7">
        <v>0</v>
      </c>
      <c r="J737" s="7">
        <v>0</v>
      </c>
      <c r="K737" s="7">
        <v>0</v>
      </c>
      <c r="L737" s="7">
        <v>0</v>
      </c>
      <c r="M737" s="7">
        <v>0</v>
      </c>
      <c r="N737" s="7">
        <v>0</v>
      </c>
      <c r="O737" s="7">
        <v>0</v>
      </c>
      <c r="P737" s="7">
        <v>0</v>
      </c>
      <c r="Q737" s="7">
        <v>0</v>
      </c>
    </row>
    <row r="738" spans="1:17">
      <c r="A738" s="2">
        <v>2686</v>
      </c>
      <c r="B738" s="7">
        <v>0</v>
      </c>
      <c r="C738" s="7">
        <v>0</v>
      </c>
      <c r="D738" s="7">
        <v>0</v>
      </c>
      <c r="E738" s="7">
        <v>0</v>
      </c>
      <c r="F738" s="7">
        <v>0</v>
      </c>
      <c r="G738" s="7">
        <v>0</v>
      </c>
      <c r="H738" s="7">
        <v>0</v>
      </c>
      <c r="I738" s="7">
        <v>0</v>
      </c>
      <c r="J738" s="7">
        <v>0</v>
      </c>
      <c r="K738" s="7">
        <v>0</v>
      </c>
      <c r="L738" s="7">
        <v>0</v>
      </c>
      <c r="M738" s="7">
        <v>0</v>
      </c>
      <c r="N738" s="7">
        <v>0</v>
      </c>
      <c r="O738" s="7">
        <v>0</v>
      </c>
      <c r="P738" s="7">
        <v>0</v>
      </c>
      <c r="Q738" s="7">
        <v>0</v>
      </c>
    </row>
    <row r="739" spans="1:17">
      <c r="A739" s="2">
        <v>2687</v>
      </c>
      <c r="B739" s="7">
        <v>0</v>
      </c>
      <c r="C739" s="7">
        <v>0</v>
      </c>
      <c r="D739" s="7">
        <v>0</v>
      </c>
      <c r="E739" s="7">
        <v>0</v>
      </c>
      <c r="F739" s="7">
        <v>0</v>
      </c>
      <c r="G739" s="7">
        <v>0</v>
      </c>
      <c r="H739" s="7">
        <v>0</v>
      </c>
      <c r="I739" s="7">
        <v>0</v>
      </c>
      <c r="J739" s="7">
        <v>0</v>
      </c>
      <c r="K739" s="7">
        <v>0</v>
      </c>
      <c r="L739" s="7">
        <v>0</v>
      </c>
      <c r="M739" s="7">
        <v>0</v>
      </c>
      <c r="N739" s="7">
        <v>0</v>
      </c>
      <c r="O739" s="7">
        <v>0</v>
      </c>
      <c r="P739" s="7">
        <v>0</v>
      </c>
      <c r="Q739" s="7">
        <v>0</v>
      </c>
    </row>
    <row r="740" spans="1:17">
      <c r="A740" s="2">
        <v>2688</v>
      </c>
      <c r="B740" s="7">
        <v>0</v>
      </c>
      <c r="C740" s="7">
        <v>0</v>
      </c>
      <c r="D740" s="7">
        <v>0</v>
      </c>
      <c r="E740" s="7">
        <v>0</v>
      </c>
      <c r="F740" s="7">
        <v>0</v>
      </c>
      <c r="G740" s="7">
        <v>0</v>
      </c>
      <c r="H740" s="7">
        <v>0</v>
      </c>
      <c r="I740" s="7">
        <v>0</v>
      </c>
      <c r="J740" s="7">
        <v>0</v>
      </c>
      <c r="K740" s="7">
        <v>0</v>
      </c>
      <c r="L740" s="7">
        <v>0</v>
      </c>
      <c r="M740" s="7">
        <v>0</v>
      </c>
      <c r="N740" s="7">
        <v>0</v>
      </c>
      <c r="O740" s="7">
        <v>0</v>
      </c>
      <c r="P740" s="7">
        <v>0</v>
      </c>
      <c r="Q740" s="7">
        <v>0</v>
      </c>
    </row>
    <row r="741" spans="1:17">
      <c r="A741" s="2">
        <v>2689</v>
      </c>
      <c r="B741" s="7">
        <v>0</v>
      </c>
      <c r="C741" s="7">
        <v>0</v>
      </c>
      <c r="D741" s="7">
        <v>0</v>
      </c>
      <c r="E741" s="7">
        <v>0</v>
      </c>
      <c r="F741" s="7">
        <v>0</v>
      </c>
      <c r="G741" s="7">
        <v>0</v>
      </c>
      <c r="H741" s="7">
        <v>0</v>
      </c>
      <c r="I741" s="7">
        <v>0</v>
      </c>
      <c r="J741" s="7">
        <v>0</v>
      </c>
      <c r="K741" s="7">
        <v>0</v>
      </c>
      <c r="L741" s="7">
        <v>0</v>
      </c>
      <c r="M741" s="7">
        <v>0</v>
      </c>
      <c r="N741" s="7">
        <v>0</v>
      </c>
      <c r="O741" s="7">
        <v>0</v>
      </c>
      <c r="P741" s="7">
        <v>0</v>
      </c>
      <c r="Q741" s="7">
        <v>0</v>
      </c>
    </row>
    <row r="742" spans="1:17">
      <c r="A742" s="2">
        <v>2690</v>
      </c>
      <c r="B742" s="7">
        <v>0</v>
      </c>
      <c r="C742" s="7">
        <v>0</v>
      </c>
      <c r="D742" s="7">
        <v>0</v>
      </c>
      <c r="E742" s="7">
        <v>0</v>
      </c>
      <c r="F742" s="7">
        <v>0</v>
      </c>
      <c r="G742" s="7">
        <v>0</v>
      </c>
      <c r="H742" s="7">
        <v>0</v>
      </c>
      <c r="I742" s="7">
        <v>0</v>
      </c>
      <c r="J742" s="7">
        <v>0</v>
      </c>
      <c r="K742" s="7">
        <v>0</v>
      </c>
      <c r="L742" s="7">
        <v>0</v>
      </c>
      <c r="M742" s="7">
        <v>0</v>
      </c>
      <c r="N742" s="7">
        <v>0</v>
      </c>
      <c r="O742" s="7">
        <v>0</v>
      </c>
      <c r="P742" s="7">
        <v>0</v>
      </c>
      <c r="Q742" s="7">
        <v>0</v>
      </c>
    </row>
    <row r="743" spans="1:17">
      <c r="A743" s="2">
        <v>2691</v>
      </c>
      <c r="B743" s="7">
        <v>0</v>
      </c>
      <c r="C743" s="7">
        <v>0</v>
      </c>
      <c r="D743" s="7">
        <v>0</v>
      </c>
      <c r="E743" s="7">
        <v>0</v>
      </c>
      <c r="F743" s="7">
        <v>0</v>
      </c>
      <c r="G743" s="7">
        <v>0</v>
      </c>
      <c r="H743" s="7">
        <v>0</v>
      </c>
      <c r="I743" s="7">
        <v>0</v>
      </c>
      <c r="J743" s="7">
        <v>0</v>
      </c>
      <c r="K743" s="7">
        <v>0</v>
      </c>
      <c r="L743" s="7">
        <v>0</v>
      </c>
      <c r="M743" s="7">
        <v>0</v>
      </c>
      <c r="N743" s="7">
        <v>0</v>
      </c>
      <c r="O743" s="7">
        <v>0</v>
      </c>
      <c r="P743" s="7">
        <v>0</v>
      </c>
      <c r="Q743" s="7">
        <v>0</v>
      </c>
    </row>
    <row r="744" spans="1:17">
      <c r="A744" s="2">
        <v>2692</v>
      </c>
      <c r="B744" s="7">
        <v>0</v>
      </c>
      <c r="C744" s="7">
        <v>0</v>
      </c>
      <c r="D744" s="7">
        <v>0</v>
      </c>
      <c r="E744" s="7">
        <v>0</v>
      </c>
      <c r="F744" s="7">
        <v>0</v>
      </c>
      <c r="G744" s="7">
        <v>0</v>
      </c>
      <c r="H744" s="7">
        <v>0</v>
      </c>
      <c r="I744" s="7">
        <v>0</v>
      </c>
      <c r="J744" s="7">
        <v>0</v>
      </c>
      <c r="K744" s="7">
        <v>0</v>
      </c>
      <c r="L744" s="7">
        <v>0</v>
      </c>
      <c r="M744" s="7">
        <v>0</v>
      </c>
      <c r="N744" s="7">
        <v>0</v>
      </c>
      <c r="O744" s="7">
        <v>0</v>
      </c>
      <c r="P744" s="7">
        <v>0</v>
      </c>
      <c r="Q744" s="7">
        <v>0</v>
      </c>
    </row>
    <row r="745" spans="1:17">
      <c r="A745" s="2">
        <v>2693</v>
      </c>
      <c r="B745" s="7">
        <v>0</v>
      </c>
      <c r="C745" s="7">
        <v>0</v>
      </c>
      <c r="D745" s="7">
        <v>0</v>
      </c>
      <c r="E745" s="7">
        <v>0</v>
      </c>
      <c r="F745" s="7">
        <v>0</v>
      </c>
      <c r="G745" s="7">
        <v>0</v>
      </c>
      <c r="H745" s="7">
        <v>0</v>
      </c>
      <c r="I745" s="7">
        <v>0</v>
      </c>
      <c r="J745" s="7">
        <v>0</v>
      </c>
      <c r="K745" s="7">
        <v>0</v>
      </c>
      <c r="L745" s="7">
        <v>0</v>
      </c>
      <c r="M745" s="7">
        <v>0</v>
      </c>
      <c r="N745" s="7">
        <v>0</v>
      </c>
      <c r="O745" s="7">
        <v>0</v>
      </c>
      <c r="P745" s="7">
        <v>0</v>
      </c>
      <c r="Q745" s="7">
        <v>0</v>
      </c>
    </row>
    <row r="746" spans="1:17">
      <c r="A746" s="2">
        <v>2694</v>
      </c>
      <c r="B746" s="7">
        <v>0</v>
      </c>
      <c r="C746" s="7">
        <v>0</v>
      </c>
      <c r="D746" s="7">
        <v>0</v>
      </c>
      <c r="E746" s="7">
        <v>0</v>
      </c>
      <c r="F746" s="7">
        <v>0</v>
      </c>
      <c r="G746" s="7">
        <v>0</v>
      </c>
      <c r="H746" s="7">
        <v>0</v>
      </c>
      <c r="I746" s="7">
        <v>0</v>
      </c>
      <c r="J746" s="7">
        <v>0</v>
      </c>
      <c r="K746" s="7">
        <v>0</v>
      </c>
      <c r="L746" s="7">
        <v>0</v>
      </c>
      <c r="M746" s="7">
        <v>0</v>
      </c>
      <c r="N746" s="7">
        <v>0</v>
      </c>
      <c r="O746" s="7">
        <v>0</v>
      </c>
      <c r="P746" s="7">
        <v>0</v>
      </c>
      <c r="Q746" s="7">
        <v>0</v>
      </c>
    </row>
    <row r="747" spans="1:17">
      <c r="A747" s="2">
        <v>2695</v>
      </c>
      <c r="B747" s="7">
        <v>0</v>
      </c>
      <c r="C747" s="7">
        <v>0</v>
      </c>
      <c r="D747" s="7">
        <v>0</v>
      </c>
      <c r="E747" s="7">
        <v>0</v>
      </c>
      <c r="F747" s="7">
        <v>0</v>
      </c>
      <c r="G747" s="7">
        <v>0</v>
      </c>
      <c r="H747" s="7">
        <v>0</v>
      </c>
      <c r="I747" s="7">
        <v>0</v>
      </c>
      <c r="J747" s="7">
        <v>0</v>
      </c>
      <c r="K747" s="7">
        <v>0</v>
      </c>
      <c r="L747" s="7">
        <v>0</v>
      </c>
      <c r="M747" s="7">
        <v>0</v>
      </c>
      <c r="N747" s="7">
        <v>0</v>
      </c>
      <c r="O747" s="7">
        <v>0</v>
      </c>
      <c r="P747" s="7">
        <v>0</v>
      </c>
      <c r="Q747" s="7">
        <v>0</v>
      </c>
    </row>
    <row r="748" spans="1:17">
      <c r="A748" s="2">
        <v>2696</v>
      </c>
      <c r="B748" s="7">
        <v>0</v>
      </c>
      <c r="C748" s="7">
        <v>0</v>
      </c>
      <c r="D748" s="7">
        <v>0</v>
      </c>
      <c r="E748" s="7">
        <v>0</v>
      </c>
      <c r="F748" s="7">
        <v>0</v>
      </c>
      <c r="G748" s="7">
        <v>0</v>
      </c>
      <c r="H748" s="7">
        <v>0</v>
      </c>
      <c r="I748" s="7">
        <v>0</v>
      </c>
      <c r="J748" s="7">
        <v>0</v>
      </c>
      <c r="K748" s="7">
        <v>0</v>
      </c>
      <c r="L748" s="7">
        <v>0</v>
      </c>
      <c r="M748" s="7">
        <v>0</v>
      </c>
      <c r="N748" s="7">
        <v>0</v>
      </c>
      <c r="O748" s="7">
        <v>0</v>
      </c>
      <c r="P748" s="7">
        <v>0</v>
      </c>
      <c r="Q748" s="7">
        <v>0</v>
      </c>
    </row>
    <row r="749" spans="1:17">
      <c r="A749" s="2">
        <v>2697</v>
      </c>
      <c r="B749" s="7">
        <v>0</v>
      </c>
      <c r="C749" s="7">
        <v>0</v>
      </c>
      <c r="D749" s="7">
        <v>0</v>
      </c>
      <c r="E749" s="7">
        <v>0</v>
      </c>
      <c r="F749" s="7">
        <v>0</v>
      </c>
      <c r="G749" s="7">
        <v>0</v>
      </c>
      <c r="H749" s="7">
        <v>0</v>
      </c>
      <c r="I749" s="7">
        <v>0</v>
      </c>
      <c r="J749" s="7">
        <v>0</v>
      </c>
      <c r="K749" s="7">
        <v>0</v>
      </c>
      <c r="L749" s="7">
        <v>0</v>
      </c>
      <c r="M749" s="7">
        <v>0</v>
      </c>
      <c r="N749" s="7">
        <v>0</v>
      </c>
      <c r="O749" s="7">
        <v>0</v>
      </c>
      <c r="P749" s="7">
        <v>0</v>
      </c>
      <c r="Q749" s="7">
        <v>0</v>
      </c>
    </row>
    <row r="750" spans="1:17">
      <c r="A750" s="2">
        <v>2698</v>
      </c>
      <c r="B750" s="7">
        <v>0</v>
      </c>
      <c r="C750" s="7">
        <v>0</v>
      </c>
      <c r="D750" s="7">
        <v>0</v>
      </c>
      <c r="E750" s="7">
        <v>0</v>
      </c>
      <c r="F750" s="7">
        <v>0</v>
      </c>
      <c r="G750" s="7">
        <v>0</v>
      </c>
      <c r="H750" s="7">
        <v>0</v>
      </c>
      <c r="I750" s="7">
        <v>0</v>
      </c>
      <c r="J750" s="7">
        <v>0</v>
      </c>
      <c r="K750" s="7">
        <v>0</v>
      </c>
      <c r="L750" s="7">
        <v>0</v>
      </c>
      <c r="M750" s="7">
        <v>0</v>
      </c>
      <c r="N750" s="7">
        <v>0</v>
      </c>
      <c r="O750" s="7">
        <v>0</v>
      </c>
      <c r="P750" s="7">
        <v>0</v>
      </c>
      <c r="Q750" s="7">
        <v>0</v>
      </c>
    </row>
    <row r="751" spans="1:17">
      <c r="A751" s="2">
        <v>2699</v>
      </c>
      <c r="B751" s="7">
        <v>0</v>
      </c>
      <c r="C751" s="7">
        <v>0</v>
      </c>
      <c r="D751" s="7">
        <v>0</v>
      </c>
      <c r="E751" s="7">
        <v>0</v>
      </c>
      <c r="F751" s="7">
        <v>0</v>
      </c>
      <c r="G751" s="7">
        <v>0</v>
      </c>
      <c r="H751" s="7">
        <v>0</v>
      </c>
      <c r="I751" s="7">
        <v>0</v>
      </c>
      <c r="J751" s="7">
        <v>0</v>
      </c>
      <c r="K751" s="7">
        <v>0</v>
      </c>
      <c r="L751" s="7">
        <v>0</v>
      </c>
      <c r="M751" s="7">
        <v>0</v>
      </c>
      <c r="N751" s="7">
        <v>0</v>
      </c>
      <c r="O751" s="7">
        <v>0</v>
      </c>
      <c r="P751" s="7">
        <v>0</v>
      </c>
      <c r="Q751" s="7">
        <v>0</v>
      </c>
    </row>
    <row r="752" spans="1:17">
      <c r="A752" s="2">
        <v>2700</v>
      </c>
      <c r="B752" s="7">
        <v>0</v>
      </c>
      <c r="C752" s="7">
        <v>0</v>
      </c>
      <c r="D752" s="7">
        <v>0</v>
      </c>
      <c r="E752" s="7">
        <v>0</v>
      </c>
      <c r="F752" s="7">
        <v>0</v>
      </c>
      <c r="G752" s="7">
        <v>0</v>
      </c>
      <c r="H752" s="7">
        <v>0</v>
      </c>
      <c r="I752" s="7">
        <v>0</v>
      </c>
      <c r="J752" s="7">
        <v>0</v>
      </c>
      <c r="K752" s="7">
        <v>0</v>
      </c>
      <c r="L752" s="7">
        <v>0</v>
      </c>
      <c r="M752" s="7">
        <v>0</v>
      </c>
      <c r="N752" s="7">
        <v>0</v>
      </c>
      <c r="O752" s="7">
        <v>0</v>
      </c>
      <c r="P752" s="7">
        <v>0</v>
      </c>
      <c r="Q752" s="7">
        <v>0</v>
      </c>
    </row>
    <row r="753" spans="1:17">
      <c r="A753" s="2">
        <v>2701</v>
      </c>
      <c r="B753" s="7">
        <v>0</v>
      </c>
      <c r="C753" s="7">
        <v>0</v>
      </c>
      <c r="D753" s="7">
        <v>0</v>
      </c>
      <c r="E753" s="7">
        <v>0</v>
      </c>
      <c r="F753" s="7">
        <v>0</v>
      </c>
      <c r="G753" s="7">
        <v>0</v>
      </c>
      <c r="H753" s="7">
        <v>0</v>
      </c>
      <c r="I753" s="7">
        <v>0</v>
      </c>
      <c r="J753" s="7">
        <v>0</v>
      </c>
      <c r="K753" s="7">
        <v>0</v>
      </c>
      <c r="L753" s="7">
        <v>0</v>
      </c>
      <c r="M753" s="7">
        <v>0</v>
      </c>
      <c r="N753" s="7">
        <v>0</v>
      </c>
      <c r="O753" s="7">
        <v>0</v>
      </c>
      <c r="P753" s="7">
        <v>0</v>
      </c>
      <c r="Q753" s="7">
        <v>0</v>
      </c>
    </row>
    <row r="754" spans="1:17">
      <c r="A754" s="2">
        <v>2702</v>
      </c>
      <c r="B754" s="7">
        <v>0</v>
      </c>
      <c r="C754" s="7">
        <v>0</v>
      </c>
      <c r="D754" s="7">
        <v>0</v>
      </c>
      <c r="E754" s="7">
        <v>0</v>
      </c>
      <c r="F754" s="7">
        <v>0</v>
      </c>
      <c r="G754" s="7">
        <v>0</v>
      </c>
      <c r="H754" s="7">
        <v>0</v>
      </c>
      <c r="I754" s="7">
        <v>0</v>
      </c>
      <c r="J754" s="7">
        <v>0</v>
      </c>
      <c r="K754" s="7">
        <v>0</v>
      </c>
      <c r="L754" s="7">
        <v>0</v>
      </c>
      <c r="M754" s="7">
        <v>0</v>
      </c>
      <c r="N754" s="7">
        <v>0</v>
      </c>
      <c r="O754" s="7">
        <v>0</v>
      </c>
      <c r="P754" s="7">
        <v>0</v>
      </c>
      <c r="Q754" s="7">
        <v>0</v>
      </c>
    </row>
    <row r="755" spans="1:17">
      <c r="A755" s="2">
        <v>2703</v>
      </c>
      <c r="B755" s="7">
        <v>0</v>
      </c>
      <c r="C755" s="7">
        <v>0</v>
      </c>
      <c r="D755" s="7">
        <v>0</v>
      </c>
      <c r="E755" s="7">
        <v>0</v>
      </c>
      <c r="F755" s="7">
        <v>0</v>
      </c>
      <c r="G755" s="7">
        <v>0</v>
      </c>
      <c r="H755" s="7">
        <v>0</v>
      </c>
      <c r="I755" s="7">
        <v>0</v>
      </c>
      <c r="J755" s="7">
        <v>0</v>
      </c>
      <c r="K755" s="7">
        <v>0</v>
      </c>
      <c r="L755" s="7">
        <v>0</v>
      </c>
      <c r="M755" s="7">
        <v>0</v>
      </c>
      <c r="N755" s="7">
        <v>0</v>
      </c>
      <c r="O755" s="7">
        <v>0</v>
      </c>
      <c r="P755" s="7">
        <v>0</v>
      </c>
      <c r="Q755" s="7">
        <v>0</v>
      </c>
    </row>
    <row r="756" spans="1:17">
      <c r="A756" s="2">
        <v>2704</v>
      </c>
      <c r="B756" s="7">
        <v>0</v>
      </c>
      <c r="C756" s="7">
        <v>0</v>
      </c>
      <c r="D756" s="7">
        <v>0</v>
      </c>
      <c r="E756" s="7">
        <v>0</v>
      </c>
      <c r="F756" s="7">
        <v>0</v>
      </c>
      <c r="G756" s="7">
        <v>0</v>
      </c>
      <c r="H756" s="7">
        <v>0</v>
      </c>
      <c r="I756" s="7">
        <v>0</v>
      </c>
      <c r="J756" s="7">
        <v>0</v>
      </c>
      <c r="K756" s="7">
        <v>0</v>
      </c>
      <c r="L756" s="7">
        <v>0</v>
      </c>
      <c r="M756" s="7">
        <v>0</v>
      </c>
      <c r="N756" s="7">
        <v>0</v>
      </c>
      <c r="O756" s="7">
        <v>0</v>
      </c>
      <c r="P756" s="7">
        <v>0</v>
      </c>
      <c r="Q756" s="7">
        <v>0</v>
      </c>
    </row>
    <row r="757" spans="1:17">
      <c r="A757" s="2">
        <v>2705</v>
      </c>
      <c r="B757" s="7">
        <v>0</v>
      </c>
      <c r="C757" s="7">
        <v>0</v>
      </c>
      <c r="D757" s="7">
        <v>0</v>
      </c>
      <c r="E757" s="7">
        <v>0</v>
      </c>
      <c r="F757" s="7">
        <v>0</v>
      </c>
      <c r="G757" s="7">
        <v>0</v>
      </c>
      <c r="H757" s="7">
        <v>0</v>
      </c>
      <c r="I757" s="7">
        <v>0</v>
      </c>
      <c r="J757" s="7">
        <v>0</v>
      </c>
      <c r="K757" s="7">
        <v>0</v>
      </c>
      <c r="L757" s="7">
        <v>0</v>
      </c>
      <c r="M757" s="7">
        <v>0</v>
      </c>
      <c r="N757" s="7">
        <v>0</v>
      </c>
      <c r="O757" s="7">
        <v>0</v>
      </c>
      <c r="P757" s="7">
        <v>0</v>
      </c>
      <c r="Q757" s="7">
        <v>0</v>
      </c>
    </row>
    <row r="758" spans="1:17">
      <c r="A758" s="2">
        <v>2706</v>
      </c>
      <c r="B758" s="7">
        <v>0</v>
      </c>
      <c r="C758" s="7">
        <v>0</v>
      </c>
      <c r="D758" s="7">
        <v>0</v>
      </c>
      <c r="E758" s="7">
        <v>0</v>
      </c>
      <c r="F758" s="7">
        <v>0</v>
      </c>
      <c r="G758" s="7">
        <v>0</v>
      </c>
      <c r="H758" s="7">
        <v>0</v>
      </c>
      <c r="I758" s="7">
        <v>0</v>
      </c>
      <c r="J758" s="7">
        <v>0</v>
      </c>
      <c r="K758" s="7">
        <v>0</v>
      </c>
      <c r="L758" s="7">
        <v>0</v>
      </c>
      <c r="M758" s="7">
        <v>0</v>
      </c>
      <c r="N758" s="7">
        <v>0</v>
      </c>
      <c r="O758" s="7">
        <v>0</v>
      </c>
      <c r="P758" s="7">
        <v>0</v>
      </c>
      <c r="Q758" s="7">
        <v>0</v>
      </c>
    </row>
    <row r="759" spans="1:17">
      <c r="A759" s="2">
        <v>2707</v>
      </c>
      <c r="B759" s="7">
        <v>0</v>
      </c>
      <c r="C759" s="7">
        <v>0</v>
      </c>
      <c r="D759" s="7">
        <v>0</v>
      </c>
      <c r="E759" s="7">
        <v>0</v>
      </c>
      <c r="F759" s="7">
        <v>0</v>
      </c>
      <c r="G759" s="7">
        <v>0</v>
      </c>
      <c r="H759" s="7">
        <v>0</v>
      </c>
      <c r="I759" s="7">
        <v>0</v>
      </c>
      <c r="J759" s="7">
        <v>0</v>
      </c>
      <c r="K759" s="7">
        <v>0</v>
      </c>
      <c r="L759" s="7">
        <v>0</v>
      </c>
      <c r="M759" s="7">
        <v>0</v>
      </c>
      <c r="N759" s="7">
        <v>0</v>
      </c>
      <c r="O759" s="7">
        <v>0</v>
      </c>
      <c r="P759" s="7">
        <v>0</v>
      </c>
      <c r="Q759" s="7">
        <v>0</v>
      </c>
    </row>
    <row r="760" spans="1:17">
      <c r="A760" s="2">
        <v>2708</v>
      </c>
      <c r="B760" s="7">
        <v>0</v>
      </c>
      <c r="C760" s="7">
        <v>0</v>
      </c>
      <c r="D760" s="7">
        <v>0</v>
      </c>
      <c r="E760" s="7">
        <v>0</v>
      </c>
      <c r="F760" s="7">
        <v>0</v>
      </c>
      <c r="G760" s="7">
        <v>0</v>
      </c>
      <c r="H760" s="7">
        <v>0</v>
      </c>
      <c r="I760" s="7">
        <v>0</v>
      </c>
      <c r="J760" s="7">
        <v>0</v>
      </c>
      <c r="K760" s="7">
        <v>0</v>
      </c>
      <c r="L760" s="7">
        <v>0</v>
      </c>
      <c r="M760" s="7">
        <v>0</v>
      </c>
      <c r="N760" s="7">
        <v>0</v>
      </c>
      <c r="O760" s="7">
        <v>0</v>
      </c>
      <c r="P760" s="7">
        <v>0</v>
      </c>
      <c r="Q760" s="7">
        <v>0</v>
      </c>
    </row>
    <row r="761" spans="1:17">
      <c r="A761" s="2">
        <v>2709</v>
      </c>
      <c r="B761" s="7">
        <v>0</v>
      </c>
      <c r="C761" s="7">
        <v>0</v>
      </c>
      <c r="D761" s="7">
        <v>0</v>
      </c>
      <c r="E761" s="7">
        <v>0</v>
      </c>
      <c r="F761" s="7">
        <v>0</v>
      </c>
      <c r="G761" s="7">
        <v>0</v>
      </c>
      <c r="H761" s="7">
        <v>0</v>
      </c>
      <c r="I761" s="7">
        <v>0</v>
      </c>
      <c r="J761" s="7">
        <v>0</v>
      </c>
      <c r="K761" s="7">
        <v>0</v>
      </c>
      <c r="L761" s="7">
        <v>0</v>
      </c>
      <c r="M761" s="7">
        <v>0</v>
      </c>
      <c r="N761" s="7">
        <v>0</v>
      </c>
      <c r="O761" s="7">
        <v>0</v>
      </c>
      <c r="P761" s="7">
        <v>0</v>
      </c>
      <c r="Q761" s="7">
        <v>0</v>
      </c>
    </row>
    <row r="762" spans="1:17">
      <c r="A762" s="2">
        <v>2710</v>
      </c>
      <c r="B762" s="7">
        <v>0</v>
      </c>
      <c r="C762" s="7">
        <v>0</v>
      </c>
      <c r="D762" s="7">
        <v>0</v>
      </c>
      <c r="E762" s="7">
        <v>0</v>
      </c>
      <c r="F762" s="7">
        <v>0</v>
      </c>
      <c r="G762" s="7">
        <v>0</v>
      </c>
      <c r="H762" s="7">
        <v>0</v>
      </c>
      <c r="I762" s="7">
        <v>0</v>
      </c>
      <c r="J762" s="7">
        <v>0</v>
      </c>
      <c r="K762" s="7">
        <v>0</v>
      </c>
      <c r="L762" s="7">
        <v>0</v>
      </c>
      <c r="M762" s="7">
        <v>0</v>
      </c>
      <c r="N762" s="7">
        <v>0</v>
      </c>
      <c r="O762" s="7">
        <v>0</v>
      </c>
      <c r="P762" s="7">
        <v>0</v>
      </c>
      <c r="Q762" s="7">
        <v>0</v>
      </c>
    </row>
    <row r="763" spans="1:17">
      <c r="A763" s="2">
        <v>2711</v>
      </c>
      <c r="B763" s="7">
        <v>0</v>
      </c>
      <c r="C763" s="7">
        <v>0</v>
      </c>
      <c r="D763" s="7">
        <v>0</v>
      </c>
      <c r="E763" s="7">
        <v>0</v>
      </c>
      <c r="F763" s="7">
        <v>0</v>
      </c>
      <c r="G763" s="7">
        <v>0</v>
      </c>
      <c r="H763" s="7">
        <v>0</v>
      </c>
      <c r="I763" s="7">
        <v>0</v>
      </c>
      <c r="J763" s="7">
        <v>0</v>
      </c>
      <c r="K763" s="7">
        <v>0</v>
      </c>
      <c r="L763" s="7">
        <v>0</v>
      </c>
      <c r="M763" s="7">
        <v>0</v>
      </c>
      <c r="N763" s="7">
        <v>0</v>
      </c>
      <c r="O763" s="7">
        <v>0</v>
      </c>
      <c r="P763" s="7">
        <v>0</v>
      </c>
      <c r="Q763" s="7">
        <v>0</v>
      </c>
    </row>
    <row r="764" spans="1:17">
      <c r="A764" s="2">
        <v>2712</v>
      </c>
      <c r="B764" s="7">
        <v>0</v>
      </c>
      <c r="C764" s="7">
        <v>0</v>
      </c>
      <c r="D764" s="7">
        <v>0</v>
      </c>
      <c r="E764" s="7">
        <v>0</v>
      </c>
      <c r="F764" s="7">
        <v>0</v>
      </c>
      <c r="G764" s="7">
        <v>0</v>
      </c>
      <c r="H764" s="7">
        <v>0</v>
      </c>
      <c r="I764" s="7">
        <v>0</v>
      </c>
      <c r="J764" s="7">
        <v>0</v>
      </c>
      <c r="K764" s="7">
        <v>0</v>
      </c>
      <c r="L764" s="7">
        <v>0</v>
      </c>
      <c r="M764" s="7">
        <v>0</v>
      </c>
      <c r="N764" s="7">
        <v>0</v>
      </c>
      <c r="O764" s="7">
        <v>0</v>
      </c>
      <c r="P764" s="7">
        <v>0</v>
      </c>
      <c r="Q764" s="7">
        <v>0</v>
      </c>
    </row>
    <row r="765" spans="1:17">
      <c r="A765" s="2">
        <v>2713</v>
      </c>
      <c r="B765" s="7">
        <v>0</v>
      </c>
      <c r="C765" s="7">
        <v>0</v>
      </c>
      <c r="D765" s="7">
        <v>0</v>
      </c>
      <c r="E765" s="7">
        <v>0</v>
      </c>
      <c r="F765" s="7">
        <v>0</v>
      </c>
      <c r="G765" s="7">
        <v>0</v>
      </c>
      <c r="H765" s="7">
        <v>0</v>
      </c>
      <c r="I765" s="7">
        <v>0</v>
      </c>
      <c r="J765" s="7">
        <v>0</v>
      </c>
      <c r="K765" s="7">
        <v>0</v>
      </c>
      <c r="L765" s="7">
        <v>0</v>
      </c>
      <c r="M765" s="7">
        <v>0</v>
      </c>
      <c r="N765" s="7">
        <v>0</v>
      </c>
      <c r="O765" s="7">
        <v>0</v>
      </c>
      <c r="P765" s="7">
        <v>0</v>
      </c>
      <c r="Q765" s="7">
        <v>0</v>
      </c>
    </row>
    <row r="766" spans="1:17">
      <c r="A766" s="2">
        <v>2714</v>
      </c>
      <c r="B766" s="7">
        <v>0</v>
      </c>
      <c r="C766" s="7">
        <v>0</v>
      </c>
      <c r="D766" s="7">
        <v>0</v>
      </c>
      <c r="E766" s="7">
        <v>0</v>
      </c>
      <c r="F766" s="7">
        <v>0</v>
      </c>
      <c r="G766" s="7">
        <v>0</v>
      </c>
      <c r="H766" s="7">
        <v>0</v>
      </c>
      <c r="I766" s="7">
        <v>0</v>
      </c>
      <c r="J766" s="7">
        <v>0</v>
      </c>
      <c r="K766" s="7">
        <v>0</v>
      </c>
      <c r="L766" s="7">
        <v>0</v>
      </c>
      <c r="M766" s="7">
        <v>0</v>
      </c>
      <c r="N766" s="7">
        <v>0</v>
      </c>
      <c r="O766" s="7">
        <v>0</v>
      </c>
      <c r="P766" s="7">
        <v>0</v>
      </c>
      <c r="Q766" s="7">
        <v>0</v>
      </c>
    </row>
    <row r="767" spans="1:17">
      <c r="A767" s="2">
        <v>2715</v>
      </c>
      <c r="B767" s="7">
        <v>0</v>
      </c>
      <c r="C767" s="7">
        <v>0</v>
      </c>
      <c r="D767" s="7">
        <v>0</v>
      </c>
      <c r="E767" s="7">
        <v>0</v>
      </c>
      <c r="F767" s="7">
        <v>0</v>
      </c>
      <c r="G767" s="7">
        <v>0</v>
      </c>
      <c r="H767" s="7">
        <v>0</v>
      </c>
      <c r="I767" s="7">
        <v>0</v>
      </c>
      <c r="J767" s="7">
        <v>0</v>
      </c>
      <c r="K767" s="7">
        <v>0</v>
      </c>
      <c r="L767" s="7">
        <v>0</v>
      </c>
      <c r="M767" s="7">
        <v>0</v>
      </c>
      <c r="N767" s="7">
        <v>0</v>
      </c>
      <c r="O767" s="7">
        <v>0</v>
      </c>
      <c r="P767" s="7">
        <v>0</v>
      </c>
      <c r="Q767" s="7">
        <v>0</v>
      </c>
    </row>
    <row r="768" spans="1:17">
      <c r="A768" s="2">
        <v>2716</v>
      </c>
      <c r="B768" s="7">
        <v>0</v>
      </c>
      <c r="C768" s="7">
        <v>0</v>
      </c>
      <c r="D768" s="7">
        <v>0</v>
      </c>
      <c r="E768" s="7">
        <v>0</v>
      </c>
      <c r="F768" s="7">
        <v>0</v>
      </c>
      <c r="G768" s="7">
        <v>0</v>
      </c>
      <c r="H768" s="7">
        <v>0</v>
      </c>
      <c r="I768" s="7">
        <v>0</v>
      </c>
      <c r="J768" s="7">
        <v>0</v>
      </c>
      <c r="K768" s="7">
        <v>0</v>
      </c>
      <c r="L768" s="7">
        <v>0</v>
      </c>
      <c r="M768" s="7">
        <v>0</v>
      </c>
      <c r="N768" s="7">
        <v>0</v>
      </c>
      <c r="O768" s="7">
        <v>0</v>
      </c>
      <c r="P768" s="7">
        <v>0</v>
      </c>
      <c r="Q768" s="7">
        <v>0</v>
      </c>
    </row>
    <row r="769" spans="1:17">
      <c r="A769" s="2">
        <v>2717</v>
      </c>
      <c r="B769" s="7">
        <v>0</v>
      </c>
      <c r="C769" s="7">
        <v>0</v>
      </c>
      <c r="D769" s="7">
        <v>0</v>
      </c>
      <c r="E769" s="7">
        <v>0</v>
      </c>
      <c r="F769" s="7">
        <v>0</v>
      </c>
      <c r="G769" s="7">
        <v>0</v>
      </c>
      <c r="H769" s="7">
        <v>0</v>
      </c>
      <c r="I769" s="7">
        <v>0</v>
      </c>
      <c r="J769" s="7">
        <v>0</v>
      </c>
      <c r="K769" s="7">
        <v>0</v>
      </c>
      <c r="L769" s="7">
        <v>0</v>
      </c>
      <c r="M769" s="7">
        <v>0</v>
      </c>
      <c r="N769" s="7">
        <v>0</v>
      </c>
      <c r="O769" s="7">
        <v>0</v>
      </c>
      <c r="P769" s="7">
        <v>0</v>
      </c>
      <c r="Q769" s="7">
        <v>0</v>
      </c>
    </row>
    <row r="770" spans="1:17">
      <c r="A770" s="2">
        <v>2718</v>
      </c>
      <c r="B770" s="7">
        <v>0</v>
      </c>
      <c r="C770" s="7">
        <v>0</v>
      </c>
      <c r="D770" s="7">
        <v>0</v>
      </c>
      <c r="E770" s="7">
        <v>0</v>
      </c>
      <c r="F770" s="7">
        <v>0</v>
      </c>
      <c r="G770" s="7">
        <v>0</v>
      </c>
      <c r="H770" s="7">
        <v>0</v>
      </c>
      <c r="I770" s="7">
        <v>0</v>
      </c>
      <c r="J770" s="7">
        <v>0</v>
      </c>
      <c r="K770" s="7">
        <v>0</v>
      </c>
      <c r="L770" s="7">
        <v>0</v>
      </c>
      <c r="M770" s="7">
        <v>0</v>
      </c>
      <c r="N770" s="7">
        <v>0</v>
      </c>
      <c r="O770" s="7">
        <v>0</v>
      </c>
      <c r="P770" s="7">
        <v>0</v>
      </c>
      <c r="Q770" s="7">
        <v>0</v>
      </c>
    </row>
    <row r="771" spans="1:17">
      <c r="A771" s="2">
        <v>2719</v>
      </c>
      <c r="B771" s="7">
        <v>0</v>
      </c>
      <c r="C771" s="7">
        <v>0</v>
      </c>
      <c r="D771" s="7">
        <v>0</v>
      </c>
      <c r="E771" s="7">
        <v>0</v>
      </c>
      <c r="F771" s="7">
        <v>0</v>
      </c>
      <c r="G771" s="7">
        <v>0</v>
      </c>
      <c r="H771" s="7">
        <v>0</v>
      </c>
      <c r="I771" s="7">
        <v>0</v>
      </c>
      <c r="J771" s="7">
        <v>0</v>
      </c>
      <c r="K771" s="7">
        <v>0</v>
      </c>
      <c r="L771" s="7">
        <v>0</v>
      </c>
      <c r="M771" s="7">
        <v>0</v>
      </c>
      <c r="N771" s="7">
        <v>0</v>
      </c>
      <c r="O771" s="7">
        <v>0</v>
      </c>
      <c r="P771" s="7">
        <v>0</v>
      </c>
      <c r="Q771" s="7">
        <v>0</v>
      </c>
    </row>
    <row r="772" spans="1:17">
      <c r="A772" s="2">
        <v>2720</v>
      </c>
      <c r="B772" s="7">
        <v>0</v>
      </c>
      <c r="C772" s="7">
        <v>0</v>
      </c>
      <c r="D772" s="7">
        <v>0</v>
      </c>
      <c r="E772" s="7">
        <v>0</v>
      </c>
      <c r="F772" s="7">
        <v>0</v>
      </c>
      <c r="G772" s="7">
        <v>0</v>
      </c>
      <c r="H772" s="7">
        <v>0</v>
      </c>
      <c r="I772" s="7">
        <v>0</v>
      </c>
      <c r="J772" s="7">
        <v>0</v>
      </c>
      <c r="K772" s="7">
        <v>0</v>
      </c>
      <c r="L772" s="7">
        <v>0</v>
      </c>
      <c r="M772" s="7">
        <v>0</v>
      </c>
      <c r="N772" s="7">
        <v>0</v>
      </c>
      <c r="O772" s="7">
        <v>0</v>
      </c>
      <c r="P772" s="7">
        <v>0</v>
      </c>
      <c r="Q772" s="7">
        <v>0</v>
      </c>
    </row>
    <row r="773" spans="1:17">
      <c r="A773" s="2">
        <v>2721</v>
      </c>
      <c r="B773" s="7">
        <v>0</v>
      </c>
      <c r="C773" s="7">
        <v>0</v>
      </c>
      <c r="D773" s="7">
        <v>0</v>
      </c>
      <c r="E773" s="7">
        <v>0</v>
      </c>
      <c r="F773" s="7">
        <v>0</v>
      </c>
      <c r="G773" s="7">
        <v>0</v>
      </c>
      <c r="H773" s="7">
        <v>0</v>
      </c>
      <c r="I773" s="7">
        <v>0</v>
      </c>
      <c r="J773" s="7">
        <v>0</v>
      </c>
      <c r="K773" s="7">
        <v>0</v>
      </c>
      <c r="L773" s="7">
        <v>0</v>
      </c>
      <c r="M773" s="7">
        <v>0</v>
      </c>
      <c r="N773" s="7">
        <v>0</v>
      </c>
      <c r="O773" s="7">
        <v>0</v>
      </c>
      <c r="P773" s="7">
        <v>0</v>
      </c>
      <c r="Q773" s="7">
        <v>0</v>
      </c>
    </row>
    <row r="774" spans="1:17">
      <c r="A774" s="2">
        <v>2722</v>
      </c>
      <c r="B774" s="7">
        <v>0</v>
      </c>
      <c r="C774" s="7">
        <v>0</v>
      </c>
      <c r="D774" s="7">
        <v>0</v>
      </c>
      <c r="E774" s="7">
        <v>0</v>
      </c>
      <c r="F774" s="7">
        <v>0</v>
      </c>
      <c r="G774" s="7">
        <v>0</v>
      </c>
      <c r="H774" s="7">
        <v>0</v>
      </c>
      <c r="I774" s="7">
        <v>0</v>
      </c>
      <c r="J774" s="7">
        <v>0</v>
      </c>
      <c r="K774" s="7">
        <v>0</v>
      </c>
      <c r="L774" s="7">
        <v>0</v>
      </c>
      <c r="M774" s="7">
        <v>0</v>
      </c>
      <c r="N774" s="7">
        <v>0</v>
      </c>
      <c r="O774" s="7">
        <v>0</v>
      </c>
      <c r="P774" s="7">
        <v>0</v>
      </c>
      <c r="Q774" s="7">
        <v>0</v>
      </c>
    </row>
    <row r="775" spans="1:17">
      <c r="A775" s="2">
        <v>2723</v>
      </c>
      <c r="B775" s="7">
        <v>0</v>
      </c>
      <c r="C775" s="7">
        <v>0</v>
      </c>
      <c r="D775" s="7">
        <v>0</v>
      </c>
      <c r="E775" s="7">
        <v>0</v>
      </c>
      <c r="F775" s="7">
        <v>0</v>
      </c>
      <c r="G775" s="7">
        <v>0</v>
      </c>
      <c r="H775" s="7">
        <v>0</v>
      </c>
      <c r="I775" s="7">
        <v>0</v>
      </c>
      <c r="J775" s="7">
        <v>0</v>
      </c>
      <c r="K775" s="7">
        <v>0</v>
      </c>
      <c r="L775" s="7">
        <v>0</v>
      </c>
      <c r="M775" s="7">
        <v>0</v>
      </c>
      <c r="N775" s="7">
        <v>0</v>
      </c>
      <c r="O775" s="7">
        <v>0</v>
      </c>
      <c r="P775" s="7">
        <v>0</v>
      </c>
      <c r="Q775" s="7">
        <v>0</v>
      </c>
    </row>
    <row r="776" spans="1:17">
      <c r="A776" s="2">
        <v>2724</v>
      </c>
      <c r="B776" s="7">
        <v>0</v>
      </c>
      <c r="C776" s="7">
        <v>0</v>
      </c>
      <c r="D776" s="7">
        <v>0</v>
      </c>
      <c r="E776" s="7">
        <v>0</v>
      </c>
      <c r="F776" s="7">
        <v>0</v>
      </c>
      <c r="G776" s="7">
        <v>0</v>
      </c>
      <c r="H776" s="7">
        <v>0</v>
      </c>
      <c r="I776" s="7">
        <v>0</v>
      </c>
      <c r="J776" s="7">
        <v>0</v>
      </c>
      <c r="K776" s="7">
        <v>0</v>
      </c>
      <c r="L776" s="7">
        <v>0</v>
      </c>
      <c r="M776" s="7">
        <v>0</v>
      </c>
      <c r="N776" s="7">
        <v>0</v>
      </c>
      <c r="O776" s="7">
        <v>0</v>
      </c>
      <c r="P776" s="7">
        <v>0</v>
      </c>
      <c r="Q776" s="7">
        <v>0</v>
      </c>
    </row>
    <row r="777" spans="1:17">
      <c r="A777" s="2">
        <v>2725</v>
      </c>
      <c r="B777" s="7">
        <v>0</v>
      </c>
      <c r="C777" s="7">
        <v>0</v>
      </c>
      <c r="D777" s="7">
        <v>0</v>
      </c>
      <c r="E777" s="7">
        <v>0</v>
      </c>
      <c r="F777" s="7">
        <v>0</v>
      </c>
      <c r="G777" s="7">
        <v>0</v>
      </c>
      <c r="H777" s="7">
        <v>0</v>
      </c>
      <c r="I777" s="7">
        <v>0</v>
      </c>
      <c r="J777" s="7">
        <v>0</v>
      </c>
      <c r="K777" s="7">
        <v>0</v>
      </c>
      <c r="L777" s="7">
        <v>0</v>
      </c>
      <c r="M777" s="7">
        <v>0</v>
      </c>
      <c r="N777" s="7">
        <v>0</v>
      </c>
      <c r="O777" s="7">
        <v>0</v>
      </c>
      <c r="P777" s="7">
        <v>0</v>
      </c>
      <c r="Q777" s="7">
        <v>0</v>
      </c>
    </row>
    <row r="778" spans="1:17">
      <c r="A778" s="2">
        <v>2726</v>
      </c>
      <c r="B778" s="7">
        <v>0</v>
      </c>
      <c r="C778" s="7">
        <v>0</v>
      </c>
      <c r="D778" s="7">
        <v>0</v>
      </c>
      <c r="E778" s="7">
        <v>0</v>
      </c>
      <c r="F778" s="7">
        <v>0</v>
      </c>
      <c r="G778" s="7">
        <v>0</v>
      </c>
      <c r="H778" s="7">
        <v>0</v>
      </c>
      <c r="I778" s="7">
        <v>0</v>
      </c>
      <c r="J778" s="7">
        <v>0</v>
      </c>
      <c r="K778" s="7">
        <v>0</v>
      </c>
      <c r="L778" s="7">
        <v>0</v>
      </c>
      <c r="M778" s="7">
        <v>0</v>
      </c>
      <c r="N778" s="7">
        <v>0</v>
      </c>
      <c r="O778" s="7">
        <v>0</v>
      </c>
      <c r="P778" s="7">
        <v>0</v>
      </c>
      <c r="Q778" s="7">
        <v>0</v>
      </c>
    </row>
    <row r="779" spans="1:17">
      <c r="A779" s="2">
        <v>2727</v>
      </c>
      <c r="B779" s="7">
        <v>0</v>
      </c>
      <c r="C779" s="7">
        <v>0</v>
      </c>
      <c r="D779" s="7">
        <v>0</v>
      </c>
      <c r="E779" s="7">
        <v>0</v>
      </c>
      <c r="F779" s="7">
        <v>0</v>
      </c>
      <c r="G779" s="7">
        <v>0</v>
      </c>
      <c r="H779" s="7">
        <v>0</v>
      </c>
      <c r="I779" s="7">
        <v>0</v>
      </c>
      <c r="J779" s="7">
        <v>0</v>
      </c>
      <c r="K779" s="7">
        <v>0</v>
      </c>
      <c r="L779" s="7">
        <v>0</v>
      </c>
      <c r="M779" s="7">
        <v>0</v>
      </c>
      <c r="N779" s="7">
        <v>0</v>
      </c>
      <c r="O779" s="7">
        <v>0</v>
      </c>
      <c r="P779" s="7">
        <v>0</v>
      </c>
      <c r="Q779" s="7">
        <v>0</v>
      </c>
    </row>
    <row r="780" spans="1:17">
      <c r="A780" s="2">
        <v>2728</v>
      </c>
      <c r="B780" s="7">
        <v>0</v>
      </c>
      <c r="C780" s="7">
        <v>0</v>
      </c>
      <c r="D780" s="7">
        <v>0</v>
      </c>
      <c r="E780" s="7">
        <v>0</v>
      </c>
      <c r="F780" s="7">
        <v>0</v>
      </c>
      <c r="G780" s="7">
        <v>0</v>
      </c>
      <c r="H780" s="7">
        <v>0</v>
      </c>
      <c r="I780" s="7">
        <v>0</v>
      </c>
      <c r="J780" s="7">
        <v>0</v>
      </c>
      <c r="K780" s="7">
        <v>0</v>
      </c>
      <c r="L780" s="7">
        <v>0</v>
      </c>
      <c r="M780" s="7">
        <v>0</v>
      </c>
      <c r="N780" s="7">
        <v>0</v>
      </c>
      <c r="O780" s="7">
        <v>0</v>
      </c>
      <c r="P780" s="7">
        <v>0</v>
      </c>
      <c r="Q780" s="7">
        <v>0</v>
      </c>
    </row>
    <row r="781" spans="1:17">
      <c r="A781" s="2">
        <v>2729</v>
      </c>
      <c r="B781" s="7">
        <v>0</v>
      </c>
      <c r="C781" s="7">
        <v>0</v>
      </c>
      <c r="D781" s="7">
        <v>0</v>
      </c>
      <c r="E781" s="7">
        <v>0</v>
      </c>
      <c r="F781" s="7">
        <v>0</v>
      </c>
      <c r="G781" s="7">
        <v>0</v>
      </c>
      <c r="H781" s="7">
        <v>0</v>
      </c>
      <c r="I781" s="7">
        <v>0</v>
      </c>
      <c r="J781" s="7">
        <v>0</v>
      </c>
      <c r="K781" s="7">
        <v>0</v>
      </c>
      <c r="L781" s="7">
        <v>0</v>
      </c>
      <c r="M781" s="7">
        <v>0</v>
      </c>
      <c r="N781" s="7">
        <v>0</v>
      </c>
      <c r="O781" s="7">
        <v>0</v>
      </c>
      <c r="P781" s="7">
        <v>0</v>
      </c>
      <c r="Q781" s="7">
        <v>0</v>
      </c>
    </row>
    <row r="782" spans="1:17">
      <c r="A782" s="2">
        <v>2730</v>
      </c>
      <c r="B782" s="7">
        <v>0</v>
      </c>
      <c r="C782" s="7">
        <v>0</v>
      </c>
      <c r="D782" s="7">
        <v>0</v>
      </c>
      <c r="E782" s="7">
        <v>0</v>
      </c>
      <c r="F782" s="7">
        <v>0</v>
      </c>
      <c r="G782" s="7">
        <v>0</v>
      </c>
      <c r="H782" s="7">
        <v>0</v>
      </c>
      <c r="I782" s="7">
        <v>0</v>
      </c>
      <c r="J782" s="7">
        <v>0</v>
      </c>
      <c r="K782" s="7">
        <v>0</v>
      </c>
      <c r="L782" s="7">
        <v>0</v>
      </c>
      <c r="M782" s="7">
        <v>0</v>
      </c>
      <c r="N782" s="7">
        <v>0</v>
      </c>
      <c r="O782" s="7">
        <v>0</v>
      </c>
      <c r="P782" s="7">
        <v>0</v>
      </c>
      <c r="Q782" s="7">
        <v>0</v>
      </c>
    </row>
    <row r="783" spans="1:17">
      <c r="A783" s="2">
        <v>2731</v>
      </c>
      <c r="B783" s="7">
        <v>0</v>
      </c>
      <c r="C783" s="7">
        <v>0</v>
      </c>
      <c r="D783" s="7">
        <v>0</v>
      </c>
      <c r="E783" s="7">
        <v>0</v>
      </c>
      <c r="F783" s="7">
        <v>0</v>
      </c>
      <c r="G783" s="7">
        <v>0</v>
      </c>
      <c r="H783" s="7">
        <v>0</v>
      </c>
      <c r="I783" s="7">
        <v>0</v>
      </c>
      <c r="J783" s="7">
        <v>0</v>
      </c>
      <c r="K783" s="7">
        <v>0</v>
      </c>
      <c r="L783" s="7">
        <v>0</v>
      </c>
      <c r="M783" s="7">
        <v>0</v>
      </c>
      <c r="N783" s="7">
        <v>0</v>
      </c>
      <c r="O783" s="7">
        <v>0</v>
      </c>
      <c r="P783" s="7">
        <v>0</v>
      </c>
      <c r="Q783" s="7">
        <v>0</v>
      </c>
    </row>
    <row r="784" spans="1:17">
      <c r="A784" s="2">
        <v>2732</v>
      </c>
      <c r="B784" s="7">
        <v>0</v>
      </c>
      <c r="C784" s="7">
        <v>0</v>
      </c>
      <c r="D784" s="7">
        <v>0</v>
      </c>
      <c r="E784" s="7">
        <v>0</v>
      </c>
      <c r="F784" s="7">
        <v>0</v>
      </c>
      <c r="G784" s="7">
        <v>0</v>
      </c>
      <c r="H784" s="7">
        <v>0</v>
      </c>
      <c r="I784" s="7">
        <v>0</v>
      </c>
      <c r="J784" s="7">
        <v>0</v>
      </c>
      <c r="K784" s="7">
        <v>0</v>
      </c>
      <c r="L784" s="7">
        <v>0</v>
      </c>
      <c r="M784" s="7">
        <v>0</v>
      </c>
      <c r="N784" s="7">
        <v>0</v>
      </c>
      <c r="O784" s="7">
        <v>0</v>
      </c>
      <c r="P784" s="7">
        <v>0</v>
      </c>
      <c r="Q784" s="7">
        <v>0</v>
      </c>
    </row>
    <row r="785" spans="1:17">
      <c r="A785" s="2">
        <v>2733</v>
      </c>
      <c r="B785" s="7">
        <v>0</v>
      </c>
      <c r="C785" s="7">
        <v>0</v>
      </c>
      <c r="D785" s="7">
        <v>0</v>
      </c>
      <c r="E785" s="7">
        <v>0</v>
      </c>
      <c r="F785" s="7">
        <v>0</v>
      </c>
      <c r="G785" s="7">
        <v>0</v>
      </c>
      <c r="H785" s="7">
        <v>0</v>
      </c>
      <c r="I785" s="7">
        <v>0</v>
      </c>
      <c r="J785" s="7">
        <v>0</v>
      </c>
      <c r="K785" s="7">
        <v>0</v>
      </c>
      <c r="L785" s="7">
        <v>0</v>
      </c>
      <c r="M785" s="7">
        <v>0</v>
      </c>
      <c r="N785" s="7">
        <v>0</v>
      </c>
      <c r="O785" s="7">
        <v>0</v>
      </c>
      <c r="P785" s="7">
        <v>0</v>
      </c>
      <c r="Q785" s="7">
        <v>0</v>
      </c>
    </row>
    <row r="786" spans="1:17">
      <c r="A786" s="2">
        <v>2734</v>
      </c>
      <c r="B786" s="7">
        <v>0</v>
      </c>
      <c r="C786" s="7">
        <v>0</v>
      </c>
      <c r="D786" s="7">
        <v>0</v>
      </c>
      <c r="E786" s="7">
        <v>0</v>
      </c>
      <c r="F786" s="7">
        <v>0</v>
      </c>
      <c r="G786" s="7">
        <v>0</v>
      </c>
      <c r="H786" s="7">
        <v>0</v>
      </c>
      <c r="I786" s="7">
        <v>0</v>
      </c>
      <c r="J786" s="7">
        <v>0</v>
      </c>
      <c r="K786" s="7">
        <v>0</v>
      </c>
      <c r="L786" s="7">
        <v>0</v>
      </c>
      <c r="M786" s="7">
        <v>0</v>
      </c>
      <c r="N786" s="7">
        <v>0</v>
      </c>
      <c r="O786" s="7">
        <v>0</v>
      </c>
      <c r="P786" s="7">
        <v>0</v>
      </c>
      <c r="Q786" s="7">
        <v>0</v>
      </c>
    </row>
    <row r="787" spans="1:17">
      <c r="A787" s="2">
        <v>2735</v>
      </c>
      <c r="B787" s="7">
        <v>0</v>
      </c>
      <c r="C787" s="7">
        <v>0</v>
      </c>
      <c r="D787" s="7">
        <v>0</v>
      </c>
      <c r="E787" s="7">
        <v>0</v>
      </c>
      <c r="F787" s="7">
        <v>0</v>
      </c>
      <c r="G787" s="7">
        <v>0</v>
      </c>
      <c r="H787" s="7">
        <v>0</v>
      </c>
      <c r="I787" s="7">
        <v>0</v>
      </c>
      <c r="J787" s="7">
        <v>0</v>
      </c>
      <c r="K787" s="7">
        <v>0</v>
      </c>
      <c r="L787" s="7">
        <v>0</v>
      </c>
      <c r="M787" s="7">
        <v>0</v>
      </c>
      <c r="N787" s="7">
        <v>0</v>
      </c>
      <c r="O787" s="7">
        <v>0</v>
      </c>
      <c r="P787" s="7">
        <v>0</v>
      </c>
      <c r="Q787" s="7">
        <v>0</v>
      </c>
    </row>
    <row r="788" spans="1:17">
      <c r="A788" s="2">
        <v>2736</v>
      </c>
      <c r="B788" s="7">
        <v>0</v>
      </c>
      <c r="C788" s="7">
        <v>0</v>
      </c>
      <c r="D788" s="7">
        <v>0</v>
      </c>
      <c r="E788" s="7">
        <v>0</v>
      </c>
      <c r="F788" s="7">
        <v>0</v>
      </c>
      <c r="G788" s="7">
        <v>0</v>
      </c>
      <c r="H788" s="7">
        <v>0</v>
      </c>
      <c r="I788" s="7">
        <v>0</v>
      </c>
      <c r="J788" s="7">
        <v>0</v>
      </c>
      <c r="K788" s="7">
        <v>0</v>
      </c>
      <c r="L788" s="7">
        <v>0</v>
      </c>
      <c r="M788" s="7">
        <v>0</v>
      </c>
      <c r="N788" s="7">
        <v>0</v>
      </c>
      <c r="O788" s="7">
        <v>0</v>
      </c>
      <c r="P788" s="7">
        <v>0</v>
      </c>
      <c r="Q788" s="7">
        <v>0</v>
      </c>
    </row>
    <row r="789" spans="1:17">
      <c r="A789" s="2">
        <v>2737</v>
      </c>
      <c r="B789" s="7">
        <v>0</v>
      </c>
      <c r="C789" s="7">
        <v>0</v>
      </c>
      <c r="D789" s="7">
        <v>0</v>
      </c>
      <c r="E789" s="7">
        <v>0</v>
      </c>
      <c r="F789" s="7">
        <v>0</v>
      </c>
      <c r="G789" s="7">
        <v>0</v>
      </c>
      <c r="H789" s="7">
        <v>0</v>
      </c>
      <c r="I789" s="7">
        <v>0</v>
      </c>
      <c r="J789" s="7">
        <v>0</v>
      </c>
      <c r="K789" s="7">
        <v>0</v>
      </c>
      <c r="L789" s="7">
        <v>0</v>
      </c>
      <c r="M789" s="7">
        <v>0</v>
      </c>
      <c r="N789" s="7">
        <v>0</v>
      </c>
      <c r="O789" s="7">
        <v>0</v>
      </c>
      <c r="P789" s="7">
        <v>0</v>
      </c>
      <c r="Q789" s="7">
        <v>0</v>
      </c>
    </row>
    <row r="790" spans="1:17">
      <c r="A790" s="2">
        <v>2738</v>
      </c>
      <c r="B790" s="7">
        <v>0</v>
      </c>
      <c r="C790" s="7">
        <v>0</v>
      </c>
      <c r="D790" s="7">
        <v>0</v>
      </c>
      <c r="E790" s="7">
        <v>0</v>
      </c>
      <c r="F790" s="7">
        <v>0</v>
      </c>
      <c r="G790" s="7">
        <v>0</v>
      </c>
      <c r="H790" s="7">
        <v>0</v>
      </c>
      <c r="I790" s="7">
        <v>0</v>
      </c>
      <c r="J790" s="7">
        <v>0</v>
      </c>
      <c r="K790" s="7">
        <v>0</v>
      </c>
      <c r="L790" s="7">
        <v>0</v>
      </c>
      <c r="M790" s="7">
        <v>0</v>
      </c>
      <c r="N790" s="7">
        <v>0</v>
      </c>
      <c r="O790" s="7">
        <v>0</v>
      </c>
      <c r="P790" s="7">
        <v>0</v>
      </c>
      <c r="Q790" s="7">
        <v>0</v>
      </c>
    </row>
    <row r="791" spans="1:17">
      <c r="A791" s="2">
        <v>2739</v>
      </c>
      <c r="B791" s="7">
        <v>0</v>
      </c>
      <c r="C791" s="7">
        <v>0</v>
      </c>
      <c r="D791" s="7">
        <v>0</v>
      </c>
      <c r="E791" s="7">
        <v>0</v>
      </c>
      <c r="F791" s="7">
        <v>0</v>
      </c>
      <c r="G791" s="7">
        <v>0</v>
      </c>
      <c r="H791" s="7">
        <v>0</v>
      </c>
      <c r="I791" s="7">
        <v>0</v>
      </c>
      <c r="J791" s="7">
        <v>0</v>
      </c>
      <c r="K791" s="7">
        <v>0</v>
      </c>
      <c r="L791" s="7">
        <v>0</v>
      </c>
      <c r="M791" s="7">
        <v>0</v>
      </c>
      <c r="N791" s="7">
        <v>0</v>
      </c>
      <c r="O791" s="7">
        <v>0</v>
      </c>
      <c r="P791" s="7">
        <v>0</v>
      </c>
      <c r="Q791" s="7">
        <v>0</v>
      </c>
    </row>
    <row r="792" spans="1:17">
      <c r="A792" s="2">
        <v>2740</v>
      </c>
      <c r="B792" s="7">
        <v>0</v>
      </c>
      <c r="C792" s="7">
        <v>0</v>
      </c>
      <c r="D792" s="7">
        <v>0</v>
      </c>
      <c r="E792" s="7">
        <v>0</v>
      </c>
      <c r="F792" s="7">
        <v>0</v>
      </c>
      <c r="G792" s="7">
        <v>0</v>
      </c>
      <c r="H792" s="7">
        <v>0</v>
      </c>
      <c r="I792" s="7">
        <v>0</v>
      </c>
      <c r="J792" s="7">
        <v>0</v>
      </c>
      <c r="K792" s="7">
        <v>0</v>
      </c>
      <c r="L792" s="7">
        <v>0</v>
      </c>
      <c r="M792" s="7">
        <v>0</v>
      </c>
      <c r="N792" s="7">
        <v>0</v>
      </c>
      <c r="O792" s="7">
        <v>0</v>
      </c>
      <c r="P792" s="7">
        <v>0</v>
      </c>
      <c r="Q792" s="7">
        <v>0</v>
      </c>
    </row>
    <row r="793" spans="1:17">
      <c r="A793" s="2">
        <v>2741</v>
      </c>
      <c r="B793" s="7">
        <v>0</v>
      </c>
      <c r="C793" s="7">
        <v>0</v>
      </c>
      <c r="D793" s="7">
        <v>0</v>
      </c>
      <c r="E793" s="7">
        <v>0</v>
      </c>
      <c r="F793" s="7">
        <v>0</v>
      </c>
      <c r="G793" s="7">
        <v>0</v>
      </c>
      <c r="H793" s="7">
        <v>0</v>
      </c>
      <c r="I793" s="7">
        <v>0</v>
      </c>
      <c r="J793" s="7">
        <v>0</v>
      </c>
      <c r="K793" s="7">
        <v>0</v>
      </c>
      <c r="L793" s="7">
        <v>0</v>
      </c>
      <c r="M793" s="7">
        <v>0</v>
      </c>
      <c r="N793" s="7">
        <v>0</v>
      </c>
      <c r="O793" s="7">
        <v>0</v>
      </c>
      <c r="P793" s="7">
        <v>0</v>
      </c>
      <c r="Q793" s="7">
        <v>0</v>
      </c>
    </row>
    <row r="794" spans="1:17">
      <c r="A794" s="2">
        <v>2742</v>
      </c>
      <c r="B794" s="7">
        <v>0</v>
      </c>
      <c r="C794" s="7">
        <v>0</v>
      </c>
      <c r="D794" s="7">
        <v>0</v>
      </c>
      <c r="E794" s="7">
        <v>0</v>
      </c>
      <c r="F794" s="7">
        <v>0</v>
      </c>
      <c r="G794" s="7">
        <v>0</v>
      </c>
      <c r="H794" s="7">
        <v>0</v>
      </c>
      <c r="I794" s="7">
        <v>0</v>
      </c>
      <c r="J794" s="7">
        <v>0</v>
      </c>
      <c r="K794" s="7">
        <v>0</v>
      </c>
      <c r="L794" s="7">
        <v>0</v>
      </c>
      <c r="M794" s="7">
        <v>0</v>
      </c>
      <c r="N794" s="7">
        <v>0</v>
      </c>
      <c r="O794" s="7">
        <v>0</v>
      </c>
      <c r="P794" s="7">
        <v>0</v>
      </c>
      <c r="Q794" s="7">
        <v>0</v>
      </c>
    </row>
    <row r="795" spans="1:17">
      <c r="A795" s="2">
        <v>2743</v>
      </c>
      <c r="B795" s="7">
        <v>0</v>
      </c>
      <c r="C795" s="7">
        <v>0</v>
      </c>
      <c r="D795" s="7">
        <v>0</v>
      </c>
      <c r="E795" s="7">
        <v>0</v>
      </c>
      <c r="F795" s="7">
        <v>0</v>
      </c>
      <c r="G795" s="7">
        <v>0</v>
      </c>
      <c r="H795" s="7">
        <v>0</v>
      </c>
      <c r="I795" s="7">
        <v>0</v>
      </c>
      <c r="J795" s="7">
        <v>0</v>
      </c>
      <c r="K795" s="7">
        <v>0</v>
      </c>
      <c r="L795" s="7">
        <v>0</v>
      </c>
      <c r="M795" s="7">
        <v>0</v>
      </c>
      <c r="N795" s="7">
        <v>0</v>
      </c>
      <c r="O795" s="7">
        <v>0</v>
      </c>
      <c r="P795" s="7">
        <v>0</v>
      </c>
      <c r="Q795" s="7">
        <v>0</v>
      </c>
    </row>
    <row r="796" spans="1:17">
      <c r="A796" s="2">
        <v>2744</v>
      </c>
      <c r="B796" s="7">
        <v>0</v>
      </c>
      <c r="C796" s="7">
        <v>0</v>
      </c>
      <c r="D796" s="7">
        <v>0</v>
      </c>
      <c r="E796" s="7">
        <v>0</v>
      </c>
      <c r="F796" s="7">
        <v>0</v>
      </c>
      <c r="G796" s="7">
        <v>0</v>
      </c>
      <c r="H796" s="7">
        <v>0</v>
      </c>
      <c r="I796" s="7">
        <v>0</v>
      </c>
      <c r="J796" s="7">
        <v>0</v>
      </c>
      <c r="K796" s="7">
        <v>0</v>
      </c>
      <c r="L796" s="7">
        <v>0</v>
      </c>
      <c r="M796" s="7">
        <v>0</v>
      </c>
      <c r="N796" s="7">
        <v>0</v>
      </c>
      <c r="O796" s="7">
        <v>0</v>
      </c>
      <c r="P796" s="7">
        <v>0</v>
      </c>
      <c r="Q796" s="7">
        <v>0</v>
      </c>
    </row>
    <row r="797" spans="1:17">
      <c r="A797" s="2">
        <v>2745</v>
      </c>
      <c r="B797" s="7">
        <v>0</v>
      </c>
      <c r="C797" s="7">
        <v>0</v>
      </c>
      <c r="D797" s="7">
        <v>0</v>
      </c>
      <c r="E797" s="7">
        <v>0</v>
      </c>
      <c r="F797" s="7">
        <v>0</v>
      </c>
      <c r="G797" s="7">
        <v>0</v>
      </c>
      <c r="H797" s="7">
        <v>0</v>
      </c>
      <c r="I797" s="7">
        <v>0</v>
      </c>
      <c r="J797" s="7">
        <v>0</v>
      </c>
      <c r="K797" s="7">
        <v>0</v>
      </c>
      <c r="L797" s="7">
        <v>0</v>
      </c>
      <c r="M797" s="7">
        <v>0</v>
      </c>
      <c r="N797" s="7">
        <v>0</v>
      </c>
      <c r="O797" s="7">
        <v>0</v>
      </c>
      <c r="P797" s="7">
        <v>0</v>
      </c>
      <c r="Q797" s="7">
        <v>0</v>
      </c>
    </row>
    <row r="798" spans="1:17">
      <c r="A798" s="2">
        <v>2746</v>
      </c>
      <c r="B798" s="7">
        <v>0</v>
      </c>
      <c r="C798" s="7">
        <v>0</v>
      </c>
      <c r="D798" s="7">
        <v>0</v>
      </c>
      <c r="E798" s="7">
        <v>0</v>
      </c>
      <c r="F798" s="7">
        <v>0</v>
      </c>
      <c r="G798" s="7">
        <v>0</v>
      </c>
      <c r="H798" s="7">
        <v>0</v>
      </c>
      <c r="I798" s="7">
        <v>0</v>
      </c>
      <c r="J798" s="7">
        <v>0</v>
      </c>
      <c r="K798" s="7">
        <v>0</v>
      </c>
      <c r="L798" s="7">
        <v>0</v>
      </c>
      <c r="M798" s="7">
        <v>0</v>
      </c>
      <c r="N798" s="7">
        <v>0</v>
      </c>
      <c r="O798" s="7">
        <v>0</v>
      </c>
      <c r="P798" s="7">
        <v>0</v>
      </c>
      <c r="Q798" s="7">
        <v>0</v>
      </c>
    </row>
    <row r="799" spans="1:17">
      <c r="A799" s="2">
        <v>2747</v>
      </c>
      <c r="B799" s="7">
        <v>0</v>
      </c>
      <c r="C799" s="7">
        <v>0</v>
      </c>
      <c r="D799" s="7">
        <v>0</v>
      </c>
      <c r="E799" s="7">
        <v>0</v>
      </c>
      <c r="F799" s="7">
        <v>0</v>
      </c>
      <c r="G799" s="7">
        <v>0</v>
      </c>
      <c r="H799" s="7">
        <v>0</v>
      </c>
      <c r="I799" s="7">
        <v>0</v>
      </c>
      <c r="J799" s="7">
        <v>0</v>
      </c>
      <c r="K799" s="7">
        <v>0</v>
      </c>
      <c r="L799" s="7">
        <v>0</v>
      </c>
      <c r="M799" s="7">
        <v>0</v>
      </c>
      <c r="N799" s="7">
        <v>0</v>
      </c>
      <c r="O799" s="7">
        <v>0</v>
      </c>
      <c r="P799" s="7">
        <v>0</v>
      </c>
      <c r="Q799" s="7">
        <v>0</v>
      </c>
    </row>
    <row r="800" spans="1:17">
      <c r="A800" s="2">
        <v>2748</v>
      </c>
      <c r="B800" s="7">
        <v>0</v>
      </c>
      <c r="C800" s="7">
        <v>0</v>
      </c>
      <c r="D800" s="7">
        <v>0</v>
      </c>
      <c r="E800" s="7">
        <v>0</v>
      </c>
      <c r="F800" s="7">
        <v>0</v>
      </c>
      <c r="G800" s="7">
        <v>0</v>
      </c>
      <c r="H800" s="7">
        <v>0</v>
      </c>
      <c r="I800" s="7">
        <v>0</v>
      </c>
      <c r="J800" s="7">
        <v>0</v>
      </c>
      <c r="K800" s="7">
        <v>0</v>
      </c>
      <c r="L800" s="7">
        <v>0</v>
      </c>
      <c r="M800" s="7">
        <v>0</v>
      </c>
      <c r="N800" s="7">
        <v>0</v>
      </c>
      <c r="O800" s="7">
        <v>0</v>
      </c>
      <c r="P800" s="7">
        <v>0</v>
      </c>
      <c r="Q800" s="7">
        <v>0</v>
      </c>
    </row>
    <row r="801" spans="1:17">
      <c r="A801" s="2">
        <v>2749</v>
      </c>
      <c r="B801" s="7">
        <v>0</v>
      </c>
      <c r="C801" s="7">
        <v>0</v>
      </c>
      <c r="D801" s="7">
        <v>0</v>
      </c>
      <c r="E801" s="7">
        <v>0</v>
      </c>
      <c r="F801" s="7">
        <v>0</v>
      </c>
      <c r="G801" s="7">
        <v>0</v>
      </c>
      <c r="H801" s="7">
        <v>0</v>
      </c>
      <c r="I801" s="7">
        <v>0</v>
      </c>
      <c r="J801" s="7">
        <v>0</v>
      </c>
      <c r="K801" s="7">
        <v>0</v>
      </c>
      <c r="L801" s="7">
        <v>0</v>
      </c>
      <c r="M801" s="7">
        <v>0</v>
      </c>
      <c r="N801" s="7">
        <v>0</v>
      </c>
      <c r="O801" s="7">
        <v>0</v>
      </c>
      <c r="P801" s="7">
        <v>0</v>
      </c>
      <c r="Q801" s="7">
        <v>0</v>
      </c>
    </row>
    <row r="802" spans="1:17">
      <c r="A802" s="2">
        <v>2750</v>
      </c>
      <c r="B802" s="7">
        <v>0</v>
      </c>
      <c r="C802" s="7">
        <v>0</v>
      </c>
      <c r="D802" s="7">
        <v>0</v>
      </c>
      <c r="E802" s="7">
        <v>0</v>
      </c>
      <c r="F802" s="7">
        <v>0</v>
      </c>
      <c r="G802" s="7">
        <v>0</v>
      </c>
      <c r="H802" s="7">
        <v>0</v>
      </c>
      <c r="I802" s="7">
        <v>0</v>
      </c>
      <c r="J802" s="7">
        <v>0</v>
      </c>
      <c r="K802" s="7">
        <v>0</v>
      </c>
      <c r="L802" s="7">
        <v>0</v>
      </c>
      <c r="M802" s="7">
        <v>0</v>
      </c>
      <c r="N802" s="7">
        <v>0</v>
      </c>
      <c r="O802" s="7">
        <v>0</v>
      </c>
      <c r="P802" s="7">
        <v>0</v>
      </c>
      <c r="Q802" s="7">
        <v>0</v>
      </c>
    </row>
    <row r="803" spans="1:17">
      <c r="A803" s="2">
        <v>2751</v>
      </c>
      <c r="B803" s="7">
        <v>0</v>
      </c>
      <c r="C803" s="7">
        <v>0</v>
      </c>
      <c r="D803" s="7">
        <v>0</v>
      </c>
      <c r="E803" s="7">
        <v>0</v>
      </c>
      <c r="F803" s="7">
        <v>0</v>
      </c>
      <c r="G803" s="7">
        <v>0</v>
      </c>
      <c r="H803" s="7">
        <v>0</v>
      </c>
      <c r="I803" s="7">
        <v>0</v>
      </c>
      <c r="J803" s="7">
        <v>0</v>
      </c>
      <c r="K803" s="7">
        <v>0</v>
      </c>
      <c r="L803" s="7">
        <v>0</v>
      </c>
      <c r="M803" s="7">
        <v>0</v>
      </c>
      <c r="N803" s="7">
        <v>0</v>
      </c>
      <c r="O803" s="7">
        <v>0</v>
      </c>
      <c r="P803" s="7">
        <v>0</v>
      </c>
      <c r="Q803" s="7">
        <v>0</v>
      </c>
    </row>
    <row r="804" spans="1:17">
      <c r="A804" s="2">
        <v>2752</v>
      </c>
      <c r="B804" s="7">
        <v>0</v>
      </c>
      <c r="C804" s="7">
        <v>0</v>
      </c>
      <c r="D804" s="7">
        <v>0</v>
      </c>
      <c r="E804" s="7">
        <v>0</v>
      </c>
      <c r="F804" s="7">
        <v>0</v>
      </c>
      <c r="G804" s="7">
        <v>0</v>
      </c>
      <c r="H804" s="7">
        <v>0</v>
      </c>
      <c r="I804" s="7">
        <v>0</v>
      </c>
      <c r="J804" s="7">
        <v>0</v>
      </c>
      <c r="K804" s="7">
        <v>0</v>
      </c>
      <c r="L804" s="7">
        <v>0</v>
      </c>
      <c r="M804" s="7">
        <v>0</v>
      </c>
      <c r="N804" s="7">
        <v>0</v>
      </c>
      <c r="O804" s="7">
        <v>0</v>
      </c>
      <c r="P804" s="7">
        <v>0</v>
      </c>
      <c r="Q804" s="7">
        <v>0</v>
      </c>
    </row>
    <row r="805" spans="1:17">
      <c r="A805" s="2">
        <v>2753</v>
      </c>
      <c r="B805" s="7">
        <v>0</v>
      </c>
      <c r="C805" s="7">
        <v>0</v>
      </c>
      <c r="D805" s="7">
        <v>0</v>
      </c>
      <c r="E805" s="7">
        <v>0</v>
      </c>
      <c r="F805" s="7">
        <v>0</v>
      </c>
      <c r="G805" s="7">
        <v>0</v>
      </c>
      <c r="H805" s="7">
        <v>0</v>
      </c>
      <c r="I805" s="7">
        <v>0</v>
      </c>
      <c r="J805" s="7">
        <v>0</v>
      </c>
      <c r="K805" s="7">
        <v>0</v>
      </c>
      <c r="L805" s="7">
        <v>0</v>
      </c>
      <c r="M805" s="7">
        <v>0</v>
      </c>
      <c r="N805" s="7">
        <v>0</v>
      </c>
      <c r="O805" s="7">
        <v>0</v>
      </c>
      <c r="P805" s="7">
        <v>0</v>
      </c>
      <c r="Q805" s="7">
        <v>0</v>
      </c>
    </row>
    <row r="806" spans="1:17">
      <c r="A806" s="2">
        <v>2754</v>
      </c>
      <c r="B806" s="7">
        <v>0</v>
      </c>
      <c r="C806" s="7">
        <v>0</v>
      </c>
      <c r="D806" s="7">
        <v>0</v>
      </c>
      <c r="E806" s="7">
        <v>0</v>
      </c>
      <c r="F806" s="7">
        <v>0</v>
      </c>
      <c r="G806" s="7">
        <v>0</v>
      </c>
      <c r="H806" s="7">
        <v>0</v>
      </c>
      <c r="I806" s="7">
        <v>0</v>
      </c>
      <c r="J806" s="7">
        <v>0</v>
      </c>
      <c r="K806" s="7">
        <v>0</v>
      </c>
      <c r="L806" s="7">
        <v>0</v>
      </c>
      <c r="M806" s="7">
        <v>0</v>
      </c>
      <c r="N806" s="7">
        <v>0</v>
      </c>
      <c r="O806" s="7">
        <v>0</v>
      </c>
      <c r="P806" s="7">
        <v>0</v>
      </c>
      <c r="Q806" s="7">
        <v>0</v>
      </c>
    </row>
    <row r="807" spans="1:17">
      <c r="A807" s="2">
        <v>2755</v>
      </c>
      <c r="B807" s="7">
        <v>0</v>
      </c>
      <c r="C807" s="7">
        <v>0</v>
      </c>
      <c r="D807" s="7">
        <v>0</v>
      </c>
      <c r="E807" s="7">
        <v>0</v>
      </c>
      <c r="F807" s="7">
        <v>0</v>
      </c>
      <c r="G807" s="7">
        <v>0</v>
      </c>
      <c r="H807" s="7">
        <v>0</v>
      </c>
      <c r="I807" s="7">
        <v>0</v>
      </c>
      <c r="J807" s="7">
        <v>0</v>
      </c>
      <c r="K807" s="7">
        <v>0</v>
      </c>
      <c r="L807" s="7">
        <v>0</v>
      </c>
      <c r="M807" s="7">
        <v>0</v>
      </c>
      <c r="N807" s="7">
        <v>0</v>
      </c>
      <c r="O807" s="7">
        <v>0</v>
      </c>
      <c r="P807" s="7">
        <v>0</v>
      </c>
      <c r="Q807" s="7">
        <v>0</v>
      </c>
    </row>
    <row r="808" spans="1:17">
      <c r="A808" s="2">
        <v>2756</v>
      </c>
      <c r="B808" s="7">
        <v>0</v>
      </c>
      <c r="C808" s="7">
        <v>0</v>
      </c>
      <c r="D808" s="7">
        <v>0</v>
      </c>
      <c r="E808" s="7">
        <v>0</v>
      </c>
      <c r="F808" s="7">
        <v>0</v>
      </c>
      <c r="G808" s="7">
        <v>0</v>
      </c>
      <c r="H808" s="7">
        <v>0</v>
      </c>
      <c r="I808" s="7">
        <v>0</v>
      </c>
      <c r="J808" s="7">
        <v>0</v>
      </c>
      <c r="K808" s="7">
        <v>0</v>
      </c>
      <c r="L808" s="7">
        <v>0</v>
      </c>
      <c r="M808" s="7">
        <v>0</v>
      </c>
      <c r="N808" s="7">
        <v>0</v>
      </c>
      <c r="O808" s="7">
        <v>0</v>
      </c>
      <c r="P808" s="7">
        <v>0</v>
      </c>
      <c r="Q808" s="7">
        <v>0</v>
      </c>
    </row>
    <row r="809" spans="1:17">
      <c r="A809" s="2">
        <v>2757</v>
      </c>
      <c r="B809" s="7">
        <v>0</v>
      </c>
      <c r="C809" s="7">
        <v>0</v>
      </c>
      <c r="D809" s="7">
        <v>0</v>
      </c>
      <c r="E809" s="7">
        <v>0</v>
      </c>
      <c r="F809" s="7">
        <v>0</v>
      </c>
      <c r="G809" s="7">
        <v>0</v>
      </c>
      <c r="H809" s="7">
        <v>0</v>
      </c>
      <c r="I809" s="7">
        <v>0</v>
      </c>
      <c r="J809" s="7">
        <v>0</v>
      </c>
      <c r="K809" s="7">
        <v>0</v>
      </c>
      <c r="L809" s="7">
        <v>0</v>
      </c>
      <c r="M809" s="7">
        <v>0</v>
      </c>
      <c r="N809" s="7">
        <v>0</v>
      </c>
      <c r="O809" s="7">
        <v>0</v>
      </c>
      <c r="P809" s="7">
        <v>0</v>
      </c>
      <c r="Q809" s="7">
        <v>0</v>
      </c>
    </row>
    <row r="810" spans="1:17">
      <c r="A810" s="2">
        <v>2758</v>
      </c>
      <c r="B810" s="7">
        <v>0</v>
      </c>
      <c r="C810" s="7">
        <v>0</v>
      </c>
      <c r="D810" s="7">
        <v>0</v>
      </c>
      <c r="E810" s="7">
        <v>0</v>
      </c>
      <c r="F810" s="7">
        <v>0</v>
      </c>
      <c r="G810" s="7">
        <v>0</v>
      </c>
      <c r="H810" s="7">
        <v>0</v>
      </c>
      <c r="I810" s="7">
        <v>0</v>
      </c>
      <c r="J810" s="7">
        <v>0</v>
      </c>
      <c r="K810" s="7">
        <v>0</v>
      </c>
      <c r="L810" s="7">
        <v>0</v>
      </c>
      <c r="M810" s="7">
        <v>0</v>
      </c>
      <c r="N810" s="7">
        <v>0</v>
      </c>
      <c r="O810" s="7">
        <v>0</v>
      </c>
      <c r="P810" s="7">
        <v>0</v>
      </c>
      <c r="Q810" s="7">
        <v>0</v>
      </c>
    </row>
    <row r="811" spans="1:17">
      <c r="A811" s="2">
        <v>2759</v>
      </c>
      <c r="B811" s="7">
        <v>0</v>
      </c>
      <c r="C811" s="7">
        <v>0</v>
      </c>
      <c r="D811" s="7">
        <v>0</v>
      </c>
      <c r="E811" s="7">
        <v>0</v>
      </c>
      <c r="F811" s="7">
        <v>0</v>
      </c>
      <c r="G811" s="7">
        <v>0</v>
      </c>
      <c r="H811" s="7">
        <v>0</v>
      </c>
      <c r="I811" s="7">
        <v>0</v>
      </c>
      <c r="J811" s="7">
        <v>0</v>
      </c>
      <c r="K811" s="7">
        <v>0</v>
      </c>
      <c r="L811" s="7">
        <v>0</v>
      </c>
      <c r="M811" s="7">
        <v>0</v>
      </c>
      <c r="N811" s="7">
        <v>0</v>
      </c>
      <c r="O811" s="7">
        <v>0</v>
      </c>
      <c r="P811" s="7">
        <v>0</v>
      </c>
      <c r="Q811" s="7">
        <v>0</v>
      </c>
    </row>
    <row r="812" spans="1:17">
      <c r="A812" s="2">
        <v>2760</v>
      </c>
      <c r="B812" s="7">
        <v>0</v>
      </c>
      <c r="C812" s="7">
        <v>0</v>
      </c>
      <c r="D812" s="7">
        <v>0</v>
      </c>
      <c r="E812" s="7">
        <v>0</v>
      </c>
      <c r="F812" s="7">
        <v>0</v>
      </c>
      <c r="G812" s="7">
        <v>0</v>
      </c>
      <c r="H812" s="7">
        <v>0</v>
      </c>
      <c r="I812" s="7">
        <v>0</v>
      </c>
      <c r="J812" s="7">
        <v>0</v>
      </c>
      <c r="K812" s="7">
        <v>0</v>
      </c>
      <c r="L812" s="7">
        <v>0</v>
      </c>
      <c r="M812" s="7">
        <v>0</v>
      </c>
      <c r="N812" s="7">
        <v>0</v>
      </c>
      <c r="O812" s="7">
        <v>0</v>
      </c>
      <c r="P812" s="7">
        <v>0</v>
      </c>
      <c r="Q812" s="7">
        <v>0</v>
      </c>
    </row>
    <row r="813" spans="1:17">
      <c r="A813" s="2">
        <v>2761</v>
      </c>
      <c r="B813" s="7">
        <v>0</v>
      </c>
      <c r="C813" s="7">
        <v>0</v>
      </c>
      <c r="D813" s="7">
        <v>0</v>
      </c>
      <c r="E813" s="7">
        <v>0</v>
      </c>
      <c r="F813" s="7">
        <v>0</v>
      </c>
      <c r="G813" s="7">
        <v>0</v>
      </c>
      <c r="H813" s="7">
        <v>0</v>
      </c>
      <c r="I813" s="7">
        <v>0</v>
      </c>
      <c r="J813" s="7">
        <v>0</v>
      </c>
      <c r="K813" s="7">
        <v>0</v>
      </c>
      <c r="L813" s="7">
        <v>0</v>
      </c>
      <c r="M813" s="7">
        <v>0</v>
      </c>
      <c r="N813" s="7">
        <v>0</v>
      </c>
      <c r="O813" s="7">
        <v>0</v>
      </c>
      <c r="P813" s="7">
        <v>0</v>
      </c>
      <c r="Q813" s="7">
        <v>0</v>
      </c>
    </row>
    <row r="814" spans="1:17">
      <c r="A814" s="2">
        <v>2762</v>
      </c>
      <c r="B814" s="7">
        <v>0</v>
      </c>
      <c r="C814" s="7">
        <v>0</v>
      </c>
      <c r="D814" s="7">
        <v>0</v>
      </c>
      <c r="E814" s="7">
        <v>0</v>
      </c>
      <c r="F814" s="7">
        <v>0</v>
      </c>
      <c r="G814" s="7">
        <v>0</v>
      </c>
      <c r="H814" s="7">
        <v>0</v>
      </c>
      <c r="I814" s="7">
        <v>0</v>
      </c>
      <c r="J814" s="7">
        <v>0</v>
      </c>
      <c r="K814" s="7">
        <v>0</v>
      </c>
      <c r="L814" s="7">
        <v>0</v>
      </c>
      <c r="M814" s="7">
        <v>0</v>
      </c>
      <c r="N814" s="7">
        <v>0</v>
      </c>
      <c r="O814" s="7">
        <v>0</v>
      </c>
      <c r="P814" s="7">
        <v>0</v>
      </c>
      <c r="Q814" s="7">
        <v>0</v>
      </c>
    </row>
    <row r="815" spans="1:17">
      <c r="A815" s="2">
        <v>2763</v>
      </c>
      <c r="B815" s="7">
        <v>0</v>
      </c>
      <c r="C815" s="7">
        <v>0</v>
      </c>
      <c r="D815" s="7">
        <v>0</v>
      </c>
      <c r="E815" s="7">
        <v>0</v>
      </c>
      <c r="F815" s="7">
        <v>0</v>
      </c>
      <c r="G815" s="7">
        <v>0</v>
      </c>
      <c r="H815" s="7">
        <v>0</v>
      </c>
      <c r="I815" s="7">
        <v>0</v>
      </c>
      <c r="J815" s="7">
        <v>0</v>
      </c>
      <c r="K815" s="7">
        <v>0</v>
      </c>
      <c r="L815" s="7">
        <v>0</v>
      </c>
      <c r="M815" s="7">
        <v>0</v>
      </c>
      <c r="N815" s="7">
        <v>0</v>
      </c>
      <c r="O815" s="7">
        <v>0</v>
      </c>
      <c r="P815" s="7">
        <v>0</v>
      </c>
      <c r="Q815" s="7">
        <v>0</v>
      </c>
    </row>
    <row r="816" spans="1:17">
      <c r="A816" s="2">
        <v>2764</v>
      </c>
      <c r="B816" s="7">
        <v>0</v>
      </c>
      <c r="C816" s="7">
        <v>0</v>
      </c>
      <c r="D816" s="7">
        <v>0</v>
      </c>
      <c r="E816" s="7">
        <v>0</v>
      </c>
      <c r="F816" s="7">
        <v>0</v>
      </c>
      <c r="G816" s="7">
        <v>0</v>
      </c>
      <c r="H816" s="7">
        <v>0</v>
      </c>
      <c r="I816" s="7">
        <v>0</v>
      </c>
      <c r="J816" s="7">
        <v>0</v>
      </c>
      <c r="K816" s="7">
        <v>0</v>
      </c>
      <c r="L816" s="7">
        <v>0</v>
      </c>
      <c r="M816" s="7">
        <v>0</v>
      </c>
      <c r="N816" s="7">
        <v>0</v>
      </c>
      <c r="O816" s="7">
        <v>0</v>
      </c>
      <c r="P816" s="7">
        <v>0</v>
      </c>
      <c r="Q816" s="7">
        <v>0</v>
      </c>
    </row>
    <row r="817" spans="1:17">
      <c r="A817" s="2">
        <v>2765</v>
      </c>
      <c r="B817" s="7">
        <v>0</v>
      </c>
      <c r="C817" s="7">
        <v>0</v>
      </c>
      <c r="D817" s="7">
        <v>0</v>
      </c>
      <c r="E817" s="7">
        <v>0</v>
      </c>
      <c r="F817" s="7">
        <v>0</v>
      </c>
      <c r="G817" s="7">
        <v>0</v>
      </c>
      <c r="H817" s="7">
        <v>0</v>
      </c>
      <c r="I817" s="7">
        <v>0</v>
      </c>
      <c r="J817" s="7">
        <v>0</v>
      </c>
      <c r="K817" s="7">
        <v>0</v>
      </c>
      <c r="L817" s="7">
        <v>0</v>
      </c>
      <c r="M817" s="7">
        <v>0</v>
      </c>
      <c r="N817" s="7">
        <v>0</v>
      </c>
      <c r="O817" s="7">
        <v>0</v>
      </c>
      <c r="P817" s="7">
        <v>0</v>
      </c>
      <c r="Q817" s="7">
        <v>0</v>
      </c>
    </row>
    <row r="818" spans="1:17">
      <c r="A818" s="2">
        <v>2766</v>
      </c>
      <c r="B818" s="7">
        <v>0</v>
      </c>
      <c r="C818" s="7">
        <v>0</v>
      </c>
      <c r="D818" s="7">
        <v>0</v>
      </c>
      <c r="E818" s="7">
        <v>0</v>
      </c>
      <c r="F818" s="7">
        <v>0</v>
      </c>
      <c r="G818" s="7">
        <v>0</v>
      </c>
      <c r="H818" s="7">
        <v>0</v>
      </c>
      <c r="I818" s="7">
        <v>0</v>
      </c>
      <c r="J818" s="7">
        <v>0</v>
      </c>
      <c r="K818" s="7">
        <v>0</v>
      </c>
      <c r="L818" s="7">
        <v>0</v>
      </c>
      <c r="M818" s="7">
        <v>0</v>
      </c>
      <c r="N818" s="7">
        <v>0</v>
      </c>
      <c r="O818" s="7">
        <v>0</v>
      </c>
      <c r="P818" s="7">
        <v>0</v>
      </c>
      <c r="Q818" s="7">
        <v>0</v>
      </c>
    </row>
    <row r="819" spans="1:17">
      <c r="A819" s="2">
        <v>2767</v>
      </c>
      <c r="B819" s="7">
        <v>0</v>
      </c>
      <c r="C819" s="7">
        <v>0</v>
      </c>
      <c r="D819" s="7">
        <v>0</v>
      </c>
      <c r="E819" s="7">
        <v>0</v>
      </c>
      <c r="F819" s="7">
        <v>0</v>
      </c>
      <c r="G819" s="7">
        <v>0</v>
      </c>
      <c r="H819" s="7">
        <v>0</v>
      </c>
      <c r="I819" s="7">
        <v>0</v>
      </c>
      <c r="J819" s="7">
        <v>0</v>
      </c>
      <c r="K819" s="7">
        <v>0</v>
      </c>
      <c r="L819" s="7">
        <v>0</v>
      </c>
      <c r="M819" s="7">
        <v>0</v>
      </c>
      <c r="N819" s="7">
        <v>0</v>
      </c>
      <c r="O819" s="7">
        <v>0</v>
      </c>
      <c r="P819" s="7">
        <v>0</v>
      </c>
      <c r="Q819" s="7">
        <v>0</v>
      </c>
    </row>
    <row r="820" spans="1:17">
      <c r="A820" s="2">
        <v>2768</v>
      </c>
      <c r="B820" s="7">
        <v>0</v>
      </c>
      <c r="C820" s="7">
        <v>0</v>
      </c>
      <c r="D820" s="7">
        <v>0</v>
      </c>
      <c r="E820" s="7">
        <v>0</v>
      </c>
      <c r="F820" s="7">
        <v>0</v>
      </c>
      <c r="G820" s="7">
        <v>0</v>
      </c>
      <c r="H820" s="7">
        <v>0</v>
      </c>
      <c r="I820" s="7">
        <v>0</v>
      </c>
      <c r="J820" s="7">
        <v>0</v>
      </c>
      <c r="K820" s="7">
        <v>0</v>
      </c>
      <c r="L820" s="7">
        <v>0</v>
      </c>
      <c r="M820" s="7">
        <v>0</v>
      </c>
      <c r="N820" s="7">
        <v>0</v>
      </c>
      <c r="O820" s="7">
        <v>0</v>
      </c>
      <c r="P820" s="7">
        <v>0</v>
      </c>
      <c r="Q820" s="7">
        <v>0</v>
      </c>
    </row>
    <row r="821" spans="1:17">
      <c r="A821" s="2">
        <v>2769</v>
      </c>
      <c r="B821" s="7">
        <v>0</v>
      </c>
      <c r="C821" s="7">
        <v>0</v>
      </c>
      <c r="D821" s="7">
        <v>0</v>
      </c>
      <c r="E821" s="7">
        <v>0</v>
      </c>
      <c r="F821" s="7">
        <v>0</v>
      </c>
      <c r="G821" s="7">
        <v>0</v>
      </c>
      <c r="H821" s="7">
        <v>0</v>
      </c>
      <c r="I821" s="7">
        <v>0</v>
      </c>
      <c r="J821" s="7">
        <v>0</v>
      </c>
      <c r="K821" s="7">
        <v>0</v>
      </c>
      <c r="L821" s="7">
        <v>0</v>
      </c>
      <c r="M821" s="7">
        <v>0</v>
      </c>
      <c r="N821" s="7">
        <v>0</v>
      </c>
      <c r="O821" s="7">
        <v>0</v>
      </c>
      <c r="P821" s="7">
        <v>0</v>
      </c>
      <c r="Q821" s="7">
        <v>0</v>
      </c>
    </row>
    <row r="822" spans="1:17">
      <c r="A822" s="2">
        <v>2770</v>
      </c>
      <c r="B822" s="7">
        <v>0</v>
      </c>
      <c r="C822" s="7">
        <v>0</v>
      </c>
      <c r="D822" s="7">
        <v>0</v>
      </c>
      <c r="E822" s="7">
        <v>0</v>
      </c>
      <c r="F822" s="7">
        <v>0</v>
      </c>
      <c r="G822" s="7">
        <v>0</v>
      </c>
      <c r="H822" s="7">
        <v>0</v>
      </c>
      <c r="I822" s="7">
        <v>0</v>
      </c>
      <c r="J822" s="7">
        <v>0</v>
      </c>
      <c r="K822" s="7">
        <v>0</v>
      </c>
      <c r="L822" s="7">
        <v>0</v>
      </c>
      <c r="M822" s="7">
        <v>0</v>
      </c>
      <c r="N822" s="7">
        <v>0</v>
      </c>
      <c r="O822" s="7">
        <v>0</v>
      </c>
      <c r="P822" s="7">
        <v>0</v>
      </c>
      <c r="Q822" s="7">
        <v>0</v>
      </c>
    </row>
    <row r="823" spans="1:17">
      <c r="A823" s="2">
        <v>2771</v>
      </c>
      <c r="B823" s="7">
        <v>0</v>
      </c>
      <c r="C823" s="7">
        <v>0</v>
      </c>
      <c r="D823" s="7">
        <v>0</v>
      </c>
      <c r="E823" s="7">
        <v>0</v>
      </c>
      <c r="F823" s="7">
        <v>0</v>
      </c>
      <c r="G823" s="7">
        <v>0</v>
      </c>
      <c r="H823" s="7">
        <v>0</v>
      </c>
      <c r="I823" s="7">
        <v>0</v>
      </c>
      <c r="J823" s="7">
        <v>0</v>
      </c>
      <c r="K823" s="7">
        <v>0</v>
      </c>
      <c r="L823" s="7">
        <v>0</v>
      </c>
      <c r="M823" s="7">
        <v>0</v>
      </c>
      <c r="N823" s="7">
        <v>0</v>
      </c>
      <c r="O823" s="7">
        <v>0</v>
      </c>
      <c r="P823" s="7">
        <v>0</v>
      </c>
      <c r="Q823" s="7">
        <v>0</v>
      </c>
    </row>
    <row r="824" spans="1:17">
      <c r="A824" s="2">
        <v>2772</v>
      </c>
      <c r="B824" s="7">
        <v>0</v>
      </c>
      <c r="C824" s="7">
        <v>0</v>
      </c>
      <c r="D824" s="7">
        <v>0</v>
      </c>
      <c r="E824" s="7">
        <v>0</v>
      </c>
      <c r="F824" s="7">
        <v>0</v>
      </c>
      <c r="G824" s="7">
        <v>0</v>
      </c>
      <c r="H824" s="7">
        <v>0</v>
      </c>
      <c r="I824" s="7">
        <v>0</v>
      </c>
      <c r="J824" s="7">
        <v>0</v>
      </c>
      <c r="K824" s="7">
        <v>0</v>
      </c>
      <c r="L824" s="7">
        <v>0</v>
      </c>
      <c r="M824" s="7">
        <v>0</v>
      </c>
      <c r="N824" s="7">
        <v>0</v>
      </c>
      <c r="O824" s="7">
        <v>0</v>
      </c>
      <c r="P824" s="7">
        <v>0</v>
      </c>
      <c r="Q824" s="7">
        <v>0</v>
      </c>
    </row>
    <row r="825" spans="1:17">
      <c r="A825" s="2">
        <v>2773</v>
      </c>
      <c r="B825" s="7">
        <v>0</v>
      </c>
      <c r="C825" s="7">
        <v>0</v>
      </c>
      <c r="D825" s="7">
        <v>0</v>
      </c>
      <c r="E825" s="7">
        <v>0</v>
      </c>
      <c r="F825" s="7">
        <v>0</v>
      </c>
      <c r="G825" s="7">
        <v>0</v>
      </c>
      <c r="H825" s="7">
        <v>0</v>
      </c>
      <c r="I825" s="7">
        <v>0</v>
      </c>
      <c r="J825" s="7">
        <v>0</v>
      </c>
      <c r="K825" s="7">
        <v>0</v>
      </c>
      <c r="L825" s="7">
        <v>0</v>
      </c>
      <c r="M825" s="7">
        <v>0</v>
      </c>
      <c r="N825" s="7">
        <v>0</v>
      </c>
      <c r="O825" s="7">
        <v>0</v>
      </c>
      <c r="P825" s="7">
        <v>0</v>
      </c>
      <c r="Q825" s="7">
        <v>0</v>
      </c>
    </row>
    <row r="826" spans="1:17">
      <c r="A826" s="2">
        <v>2774</v>
      </c>
      <c r="B826" s="7">
        <v>0</v>
      </c>
      <c r="C826" s="7">
        <v>0</v>
      </c>
      <c r="D826" s="7">
        <v>0</v>
      </c>
      <c r="E826" s="7">
        <v>0</v>
      </c>
      <c r="F826" s="7">
        <v>0</v>
      </c>
      <c r="G826" s="7">
        <v>0</v>
      </c>
      <c r="H826" s="7">
        <v>0</v>
      </c>
      <c r="I826" s="7">
        <v>0</v>
      </c>
      <c r="J826" s="7">
        <v>0</v>
      </c>
      <c r="K826" s="7">
        <v>0</v>
      </c>
      <c r="L826" s="7">
        <v>0</v>
      </c>
      <c r="M826" s="7">
        <v>0</v>
      </c>
      <c r="N826" s="7">
        <v>0</v>
      </c>
      <c r="O826" s="7">
        <v>0</v>
      </c>
      <c r="P826" s="7">
        <v>0</v>
      </c>
      <c r="Q826" s="7">
        <v>0</v>
      </c>
    </row>
    <row r="827" spans="1:17">
      <c r="A827" s="2">
        <v>2775</v>
      </c>
      <c r="B827" s="7">
        <v>0</v>
      </c>
      <c r="C827" s="7">
        <v>0</v>
      </c>
      <c r="D827" s="7">
        <v>0</v>
      </c>
      <c r="E827" s="7">
        <v>0</v>
      </c>
      <c r="F827" s="7">
        <v>0</v>
      </c>
      <c r="G827" s="7">
        <v>0</v>
      </c>
      <c r="H827" s="7">
        <v>0</v>
      </c>
      <c r="I827" s="7">
        <v>0</v>
      </c>
      <c r="J827" s="7">
        <v>0</v>
      </c>
      <c r="K827" s="7">
        <v>0</v>
      </c>
      <c r="L827" s="7">
        <v>0</v>
      </c>
      <c r="M827" s="7">
        <v>0</v>
      </c>
      <c r="N827" s="7">
        <v>0</v>
      </c>
      <c r="O827" s="7">
        <v>0</v>
      </c>
      <c r="P827" s="7">
        <v>0</v>
      </c>
      <c r="Q827" s="7">
        <v>0</v>
      </c>
    </row>
    <row r="828" spans="1:17">
      <c r="A828" s="2">
        <v>2776</v>
      </c>
      <c r="B828" s="7">
        <v>0</v>
      </c>
      <c r="C828" s="7">
        <v>0</v>
      </c>
      <c r="D828" s="7">
        <v>0</v>
      </c>
      <c r="E828" s="7">
        <v>0</v>
      </c>
      <c r="F828" s="7">
        <v>0</v>
      </c>
      <c r="G828" s="7">
        <v>0</v>
      </c>
      <c r="H828" s="7">
        <v>0</v>
      </c>
      <c r="I828" s="7">
        <v>0</v>
      </c>
      <c r="J828" s="7">
        <v>0</v>
      </c>
      <c r="K828" s="7">
        <v>0</v>
      </c>
      <c r="L828" s="7">
        <v>0</v>
      </c>
      <c r="M828" s="7">
        <v>0</v>
      </c>
      <c r="N828" s="7">
        <v>0</v>
      </c>
      <c r="O828" s="7">
        <v>0</v>
      </c>
      <c r="P828" s="7">
        <v>0</v>
      </c>
      <c r="Q828" s="7">
        <v>0</v>
      </c>
    </row>
    <row r="829" spans="1:17">
      <c r="A829" s="2">
        <v>2777</v>
      </c>
      <c r="B829" s="7">
        <v>0</v>
      </c>
      <c r="C829" s="7">
        <v>0</v>
      </c>
      <c r="D829" s="7">
        <v>0</v>
      </c>
      <c r="E829" s="7">
        <v>0</v>
      </c>
      <c r="F829" s="7">
        <v>0</v>
      </c>
      <c r="G829" s="7">
        <v>0</v>
      </c>
      <c r="H829" s="7">
        <v>0</v>
      </c>
      <c r="I829" s="7">
        <v>0</v>
      </c>
      <c r="J829" s="7">
        <v>0</v>
      </c>
      <c r="K829" s="7">
        <v>0</v>
      </c>
      <c r="L829" s="7">
        <v>0</v>
      </c>
      <c r="M829" s="7">
        <v>0</v>
      </c>
      <c r="N829" s="7">
        <v>0</v>
      </c>
      <c r="O829" s="7">
        <v>0</v>
      </c>
      <c r="P829" s="7">
        <v>0</v>
      </c>
      <c r="Q829" s="7">
        <v>0</v>
      </c>
    </row>
    <row r="830" spans="1:17">
      <c r="A830" s="2">
        <v>2778</v>
      </c>
      <c r="B830" s="7">
        <v>0</v>
      </c>
      <c r="C830" s="7">
        <v>0</v>
      </c>
      <c r="D830" s="7">
        <v>0</v>
      </c>
      <c r="E830" s="7">
        <v>0</v>
      </c>
      <c r="F830" s="7">
        <v>0</v>
      </c>
      <c r="G830" s="7">
        <v>0</v>
      </c>
      <c r="H830" s="7">
        <v>0</v>
      </c>
      <c r="I830" s="7">
        <v>0</v>
      </c>
      <c r="J830" s="7">
        <v>0</v>
      </c>
      <c r="K830" s="7">
        <v>0</v>
      </c>
      <c r="L830" s="7">
        <v>0</v>
      </c>
      <c r="M830" s="7">
        <v>0</v>
      </c>
      <c r="N830" s="7">
        <v>0</v>
      </c>
      <c r="O830" s="7">
        <v>0</v>
      </c>
      <c r="P830" s="7">
        <v>0</v>
      </c>
      <c r="Q830" s="7">
        <v>0</v>
      </c>
    </row>
    <row r="831" spans="1:17">
      <c r="A831" s="2">
        <v>2779</v>
      </c>
      <c r="B831" s="7">
        <v>0</v>
      </c>
      <c r="C831" s="7">
        <v>0</v>
      </c>
      <c r="D831" s="7">
        <v>0</v>
      </c>
      <c r="E831" s="7">
        <v>0</v>
      </c>
      <c r="F831" s="7">
        <v>0</v>
      </c>
      <c r="G831" s="7">
        <v>0</v>
      </c>
      <c r="H831" s="7">
        <v>0</v>
      </c>
      <c r="I831" s="7">
        <v>0</v>
      </c>
      <c r="J831" s="7">
        <v>0</v>
      </c>
      <c r="K831" s="7">
        <v>0</v>
      </c>
      <c r="L831" s="7">
        <v>0</v>
      </c>
      <c r="M831" s="7">
        <v>0</v>
      </c>
      <c r="N831" s="7">
        <v>0</v>
      </c>
      <c r="O831" s="7">
        <v>0</v>
      </c>
      <c r="P831" s="7">
        <v>0</v>
      </c>
      <c r="Q831" s="7">
        <v>0</v>
      </c>
    </row>
    <row r="832" spans="1:17">
      <c r="A832" s="2">
        <v>2780</v>
      </c>
      <c r="B832" s="7">
        <v>0</v>
      </c>
      <c r="C832" s="7">
        <v>0</v>
      </c>
      <c r="D832" s="7">
        <v>0</v>
      </c>
      <c r="E832" s="7">
        <v>0</v>
      </c>
      <c r="F832" s="7">
        <v>0</v>
      </c>
      <c r="G832" s="7">
        <v>0</v>
      </c>
      <c r="H832" s="7">
        <v>0</v>
      </c>
      <c r="I832" s="7">
        <v>0</v>
      </c>
      <c r="J832" s="7">
        <v>0</v>
      </c>
      <c r="K832" s="7">
        <v>0</v>
      </c>
      <c r="L832" s="7">
        <v>0</v>
      </c>
      <c r="M832" s="7">
        <v>0</v>
      </c>
      <c r="N832" s="7">
        <v>0</v>
      </c>
      <c r="O832" s="7">
        <v>0</v>
      </c>
      <c r="P832" s="7">
        <v>0</v>
      </c>
      <c r="Q832" s="7">
        <v>0</v>
      </c>
    </row>
    <row r="833" spans="1:17">
      <c r="A833" s="2">
        <v>2781</v>
      </c>
      <c r="B833" s="7">
        <v>0</v>
      </c>
      <c r="C833" s="7">
        <v>0</v>
      </c>
      <c r="D833" s="7">
        <v>0</v>
      </c>
      <c r="E833" s="7">
        <v>0</v>
      </c>
      <c r="F833" s="7">
        <v>0</v>
      </c>
      <c r="G833" s="7">
        <v>0</v>
      </c>
      <c r="H833" s="7">
        <v>0</v>
      </c>
      <c r="I833" s="7">
        <v>0</v>
      </c>
      <c r="J833" s="7">
        <v>0</v>
      </c>
      <c r="K833" s="7">
        <v>0</v>
      </c>
      <c r="L833" s="7">
        <v>0</v>
      </c>
      <c r="M833" s="7">
        <v>0</v>
      </c>
      <c r="N833" s="7">
        <v>0</v>
      </c>
      <c r="O833" s="7">
        <v>0</v>
      </c>
      <c r="P833" s="7">
        <v>0</v>
      </c>
      <c r="Q833" s="7">
        <v>0</v>
      </c>
    </row>
    <row r="834" spans="1:17">
      <c r="A834" s="2">
        <v>2782</v>
      </c>
      <c r="B834" s="7">
        <v>0</v>
      </c>
      <c r="C834" s="7">
        <v>0</v>
      </c>
      <c r="D834" s="7">
        <v>0</v>
      </c>
      <c r="E834" s="7">
        <v>0</v>
      </c>
      <c r="F834" s="7">
        <v>0</v>
      </c>
      <c r="G834" s="7">
        <v>0</v>
      </c>
      <c r="H834" s="7">
        <v>0</v>
      </c>
      <c r="I834" s="7">
        <v>0</v>
      </c>
      <c r="J834" s="7">
        <v>0</v>
      </c>
      <c r="K834" s="7">
        <v>0</v>
      </c>
      <c r="L834" s="7">
        <v>0</v>
      </c>
      <c r="M834" s="7">
        <v>0</v>
      </c>
      <c r="N834" s="7">
        <v>0</v>
      </c>
      <c r="O834" s="7">
        <v>0</v>
      </c>
      <c r="P834" s="7">
        <v>0</v>
      </c>
      <c r="Q834" s="7">
        <v>0</v>
      </c>
    </row>
    <row r="835" spans="1:17">
      <c r="A835" s="2">
        <v>2783</v>
      </c>
      <c r="B835" s="7">
        <v>0</v>
      </c>
      <c r="C835" s="7">
        <v>0</v>
      </c>
      <c r="D835" s="7">
        <v>0</v>
      </c>
      <c r="E835" s="7">
        <v>0</v>
      </c>
      <c r="F835" s="7">
        <v>0</v>
      </c>
      <c r="G835" s="7">
        <v>0</v>
      </c>
      <c r="H835" s="7">
        <v>0</v>
      </c>
      <c r="I835" s="7">
        <v>0</v>
      </c>
      <c r="J835" s="7">
        <v>0</v>
      </c>
      <c r="K835" s="7">
        <v>0</v>
      </c>
      <c r="L835" s="7">
        <v>0</v>
      </c>
      <c r="M835" s="7">
        <v>0</v>
      </c>
      <c r="N835" s="7">
        <v>0</v>
      </c>
      <c r="O835" s="7">
        <v>0</v>
      </c>
      <c r="P835" s="7">
        <v>0</v>
      </c>
      <c r="Q835" s="7">
        <v>0</v>
      </c>
    </row>
    <row r="836" spans="1:17">
      <c r="A836" s="2">
        <v>2784</v>
      </c>
      <c r="B836" s="7">
        <v>0</v>
      </c>
      <c r="C836" s="7">
        <v>0</v>
      </c>
      <c r="D836" s="7">
        <v>0</v>
      </c>
      <c r="E836" s="7">
        <v>0</v>
      </c>
      <c r="F836" s="7">
        <v>0</v>
      </c>
      <c r="G836" s="7">
        <v>0</v>
      </c>
      <c r="H836" s="7">
        <v>0</v>
      </c>
      <c r="I836" s="7">
        <v>0</v>
      </c>
      <c r="J836" s="7">
        <v>0</v>
      </c>
      <c r="K836" s="7">
        <v>0</v>
      </c>
      <c r="L836" s="7">
        <v>0</v>
      </c>
      <c r="M836" s="7">
        <v>0</v>
      </c>
      <c r="N836" s="7">
        <v>0</v>
      </c>
      <c r="O836" s="7">
        <v>0</v>
      </c>
      <c r="P836" s="7">
        <v>0</v>
      </c>
      <c r="Q836" s="7">
        <v>0</v>
      </c>
    </row>
    <row r="837" spans="1:17">
      <c r="A837" s="2">
        <v>2785</v>
      </c>
      <c r="B837" s="7">
        <v>0</v>
      </c>
      <c r="C837" s="7">
        <v>0</v>
      </c>
      <c r="D837" s="7">
        <v>0</v>
      </c>
      <c r="E837" s="7">
        <v>0</v>
      </c>
      <c r="F837" s="7">
        <v>0</v>
      </c>
      <c r="G837" s="7">
        <v>0</v>
      </c>
      <c r="H837" s="7">
        <v>0</v>
      </c>
      <c r="I837" s="7">
        <v>0</v>
      </c>
      <c r="J837" s="7">
        <v>0</v>
      </c>
      <c r="K837" s="7">
        <v>0</v>
      </c>
      <c r="L837" s="7">
        <v>0</v>
      </c>
      <c r="M837" s="7">
        <v>0</v>
      </c>
      <c r="N837" s="7">
        <v>0</v>
      </c>
      <c r="O837" s="7">
        <v>0</v>
      </c>
      <c r="P837" s="7">
        <v>0</v>
      </c>
      <c r="Q837" s="7">
        <v>0</v>
      </c>
    </row>
    <row r="838" spans="1:17">
      <c r="A838" s="2">
        <v>2786</v>
      </c>
      <c r="B838" s="7">
        <v>0</v>
      </c>
      <c r="C838" s="7">
        <v>0</v>
      </c>
      <c r="D838" s="7">
        <v>0</v>
      </c>
      <c r="E838" s="7">
        <v>0</v>
      </c>
      <c r="F838" s="7">
        <v>0</v>
      </c>
      <c r="G838" s="7">
        <v>0</v>
      </c>
      <c r="H838" s="7">
        <v>0</v>
      </c>
      <c r="I838" s="7">
        <v>0</v>
      </c>
      <c r="J838" s="7">
        <v>0</v>
      </c>
      <c r="K838" s="7">
        <v>0</v>
      </c>
      <c r="L838" s="7">
        <v>0</v>
      </c>
      <c r="M838" s="7">
        <v>0</v>
      </c>
      <c r="N838" s="7">
        <v>0</v>
      </c>
      <c r="O838" s="7">
        <v>0</v>
      </c>
      <c r="P838" s="7">
        <v>0</v>
      </c>
      <c r="Q838" s="7">
        <v>0</v>
      </c>
    </row>
    <row r="839" spans="1:17">
      <c r="A839" s="2">
        <v>2787</v>
      </c>
      <c r="B839" s="7">
        <v>0</v>
      </c>
      <c r="C839" s="7">
        <v>0</v>
      </c>
      <c r="D839" s="7">
        <v>0</v>
      </c>
      <c r="E839" s="7">
        <v>0</v>
      </c>
      <c r="F839" s="7">
        <v>0</v>
      </c>
      <c r="G839" s="7">
        <v>0</v>
      </c>
      <c r="H839" s="7">
        <v>0</v>
      </c>
      <c r="I839" s="7">
        <v>0</v>
      </c>
      <c r="J839" s="7">
        <v>0</v>
      </c>
      <c r="K839" s="7">
        <v>0</v>
      </c>
      <c r="L839" s="7">
        <v>0</v>
      </c>
      <c r="M839" s="7">
        <v>0</v>
      </c>
      <c r="N839" s="7">
        <v>0</v>
      </c>
      <c r="O839" s="7">
        <v>0</v>
      </c>
      <c r="P839" s="7">
        <v>0</v>
      </c>
      <c r="Q839" s="7">
        <v>0</v>
      </c>
    </row>
    <row r="840" spans="1:17">
      <c r="A840" s="2">
        <v>2788</v>
      </c>
      <c r="B840" s="7">
        <v>0</v>
      </c>
      <c r="C840" s="7">
        <v>0</v>
      </c>
      <c r="D840" s="7">
        <v>0</v>
      </c>
      <c r="E840" s="7">
        <v>0</v>
      </c>
      <c r="F840" s="7">
        <v>0</v>
      </c>
      <c r="G840" s="7">
        <v>0</v>
      </c>
      <c r="H840" s="7">
        <v>0</v>
      </c>
      <c r="I840" s="7">
        <v>0</v>
      </c>
      <c r="J840" s="7">
        <v>0</v>
      </c>
      <c r="K840" s="7">
        <v>0</v>
      </c>
      <c r="L840" s="7">
        <v>0</v>
      </c>
      <c r="M840" s="7">
        <v>0</v>
      </c>
      <c r="N840" s="7">
        <v>0</v>
      </c>
      <c r="O840" s="7">
        <v>0</v>
      </c>
      <c r="P840" s="7">
        <v>0</v>
      </c>
      <c r="Q840" s="7">
        <v>0</v>
      </c>
    </row>
    <row r="841" spans="1:17">
      <c r="A841" s="2">
        <v>2789</v>
      </c>
      <c r="B841" s="7">
        <v>0</v>
      </c>
      <c r="C841" s="7">
        <v>0</v>
      </c>
      <c r="D841" s="7">
        <v>0</v>
      </c>
      <c r="E841" s="7">
        <v>0</v>
      </c>
      <c r="F841" s="7">
        <v>0</v>
      </c>
      <c r="G841" s="7">
        <v>0</v>
      </c>
      <c r="H841" s="7">
        <v>0</v>
      </c>
      <c r="I841" s="7">
        <v>0</v>
      </c>
      <c r="J841" s="7">
        <v>0</v>
      </c>
      <c r="K841" s="7">
        <v>0</v>
      </c>
      <c r="L841" s="7">
        <v>0</v>
      </c>
      <c r="M841" s="7">
        <v>0</v>
      </c>
      <c r="N841" s="7">
        <v>0</v>
      </c>
      <c r="O841" s="7">
        <v>0</v>
      </c>
      <c r="P841" s="7">
        <v>0</v>
      </c>
      <c r="Q841" s="7">
        <v>0</v>
      </c>
    </row>
    <row r="842" spans="1:17">
      <c r="A842" s="2">
        <v>2790</v>
      </c>
      <c r="B842" s="7">
        <v>0</v>
      </c>
      <c r="C842" s="7">
        <v>0</v>
      </c>
      <c r="D842" s="7">
        <v>0</v>
      </c>
      <c r="E842" s="7">
        <v>0</v>
      </c>
      <c r="F842" s="7">
        <v>0</v>
      </c>
      <c r="G842" s="7">
        <v>0</v>
      </c>
      <c r="H842" s="7">
        <v>0</v>
      </c>
      <c r="I842" s="7">
        <v>0</v>
      </c>
      <c r="J842" s="7">
        <v>0</v>
      </c>
      <c r="K842" s="7">
        <v>0</v>
      </c>
      <c r="L842" s="7">
        <v>0</v>
      </c>
      <c r="M842" s="7">
        <v>0</v>
      </c>
      <c r="N842" s="7">
        <v>0</v>
      </c>
      <c r="O842" s="7">
        <v>0</v>
      </c>
      <c r="P842" s="7">
        <v>0</v>
      </c>
      <c r="Q842" s="7">
        <v>0</v>
      </c>
    </row>
    <row r="843" spans="1:17">
      <c r="A843" s="2">
        <v>2791</v>
      </c>
      <c r="B843" s="7">
        <v>0</v>
      </c>
      <c r="C843" s="7">
        <v>0</v>
      </c>
      <c r="D843" s="7">
        <v>0</v>
      </c>
      <c r="E843" s="7">
        <v>0</v>
      </c>
      <c r="F843" s="7">
        <v>0</v>
      </c>
      <c r="G843" s="7">
        <v>0</v>
      </c>
      <c r="H843" s="7">
        <v>0</v>
      </c>
      <c r="I843" s="7">
        <v>0</v>
      </c>
      <c r="J843" s="7">
        <v>0</v>
      </c>
      <c r="K843" s="7">
        <v>0</v>
      </c>
      <c r="L843" s="7">
        <v>0</v>
      </c>
      <c r="M843" s="7">
        <v>0</v>
      </c>
      <c r="N843" s="7">
        <v>0</v>
      </c>
      <c r="O843" s="7">
        <v>0</v>
      </c>
      <c r="P843" s="7">
        <v>0</v>
      </c>
      <c r="Q843" s="7">
        <v>0</v>
      </c>
    </row>
    <row r="844" spans="1:17">
      <c r="A844" s="2">
        <v>2792</v>
      </c>
      <c r="B844" s="7">
        <v>0</v>
      </c>
      <c r="C844" s="7">
        <v>0</v>
      </c>
      <c r="D844" s="7">
        <v>0</v>
      </c>
      <c r="E844" s="7">
        <v>0</v>
      </c>
      <c r="F844" s="7">
        <v>0</v>
      </c>
      <c r="G844" s="7">
        <v>0</v>
      </c>
      <c r="H844" s="7">
        <v>0</v>
      </c>
      <c r="I844" s="7">
        <v>0</v>
      </c>
      <c r="J844" s="7">
        <v>0</v>
      </c>
      <c r="K844" s="7">
        <v>0</v>
      </c>
      <c r="L844" s="7">
        <v>0</v>
      </c>
      <c r="M844" s="7">
        <v>0</v>
      </c>
      <c r="N844" s="7">
        <v>0</v>
      </c>
      <c r="O844" s="7">
        <v>0</v>
      </c>
      <c r="P844" s="7">
        <v>0</v>
      </c>
      <c r="Q844" s="7">
        <v>0</v>
      </c>
    </row>
    <row r="845" spans="1:17">
      <c r="A845" s="2">
        <v>2793</v>
      </c>
      <c r="B845" s="7">
        <v>0</v>
      </c>
      <c r="C845" s="7">
        <v>0</v>
      </c>
      <c r="D845" s="7">
        <v>0</v>
      </c>
      <c r="E845" s="7">
        <v>0</v>
      </c>
      <c r="F845" s="7">
        <v>0</v>
      </c>
      <c r="G845" s="7">
        <v>0</v>
      </c>
      <c r="H845" s="7">
        <v>0</v>
      </c>
      <c r="I845" s="7">
        <v>0</v>
      </c>
      <c r="J845" s="7">
        <v>0</v>
      </c>
      <c r="K845" s="7">
        <v>0</v>
      </c>
      <c r="L845" s="7">
        <v>0</v>
      </c>
      <c r="M845" s="7">
        <v>0</v>
      </c>
      <c r="N845" s="7">
        <v>0</v>
      </c>
      <c r="O845" s="7">
        <v>0</v>
      </c>
      <c r="P845" s="7">
        <v>0</v>
      </c>
      <c r="Q845" s="7">
        <v>0</v>
      </c>
    </row>
    <row r="846" spans="1:17">
      <c r="A846" s="2">
        <v>2794</v>
      </c>
      <c r="B846" s="7">
        <v>0</v>
      </c>
      <c r="C846" s="7">
        <v>0</v>
      </c>
      <c r="D846" s="7">
        <v>0</v>
      </c>
      <c r="E846" s="7">
        <v>0</v>
      </c>
      <c r="F846" s="7">
        <v>0</v>
      </c>
      <c r="G846" s="7">
        <v>0</v>
      </c>
      <c r="H846" s="7">
        <v>0</v>
      </c>
      <c r="I846" s="7">
        <v>0</v>
      </c>
      <c r="J846" s="7">
        <v>0</v>
      </c>
      <c r="K846" s="7">
        <v>0</v>
      </c>
      <c r="L846" s="7">
        <v>0</v>
      </c>
      <c r="M846" s="7">
        <v>0</v>
      </c>
      <c r="N846" s="7">
        <v>0</v>
      </c>
      <c r="O846" s="7">
        <v>0</v>
      </c>
      <c r="P846" s="7">
        <v>0</v>
      </c>
      <c r="Q846" s="7">
        <v>0</v>
      </c>
    </row>
    <row r="847" spans="1:17">
      <c r="A847" s="2">
        <v>2795</v>
      </c>
      <c r="B847" s="7">
        <v>0</v>
      </c>
      <c r="C847" s="7">
        <v>0</v>
      </c>
      <c r="D847" s="7">
        <v>0</v>
      </c>
      <c r="E847" s="7">
        <v>0</v>
      </c>
      <c r="F847" s="7">
        <v>0</v>
      </c>
      <c r="G847" s="7">
        <v>0</v>
      </c>
      <c r="H847" s="7">
        <v>0</v>
      </c>
      <c r="I847" s="7">
        <v>0</v>
      </c>
      <c r="J847" s="7">
        <v>0</v>
      </c>
      <c r="K847" s="7">
        <v>0</v>
      </c>
      <c r="L847" s="7">
        <v>0</v>
      </c>
      <c r="M847" s="7">
        <v>0</v>
      </c>
      <c r="N847" s="7">
        <v>0</v>
      </c>
      <c r="O847" s="7">
        <v>0</v>
      </c>
      <c r="P847" s="7">
        <v>0</v>
      </c>
      <c r="Q847" s="7">
        <v>0</v>
      </c>
    </row>
    <row r="848" spans="1:17">
      <c r="A848" s="2">
        <v>2796</v>
      </c>
      <c r="B848" s="7">
        <v>0</v>
      </c>
      <c r="C848" s="7">
        <v>0</v>
      </c>
      <c r="D848" s="7">
        <v>0</v>
      </c>
      <c r="E848" s="7">
        <v>0</v>
      </c>
      <c r="F848" s="7">
        <v>0</v>
      </c>
      <c r="G848" s="7">
        <v>0</v>
      </c>
      <c r="H848" s="7">
        <v>0</v>
      </c>
      <c r="I848" s="7">
        <v>0</v>
      </c>
      <c r="J848" s="7">
        <v>0</v>
      </c>
      <c r="K848" s="7">
        <v>0</v>
      </c>
      <c r="L848" s="7">
        <v>0</v>
      </c>
      <c r="M848" s="7">
        <v>0</v>
      </c>
      <c r="N848" s="7">
        <v>0</v>
      </c>
      <c r="O848" s="7">
        <v>0</v>
      </c>
      <c r="P848" s="7">
        <v>0</v>
      </c>
      <c r="Q848" s="7">
        <v>0</v>
      </c>
    </row>
    <row r="849" spans="1:17">
      <c r="A849" s="2">
        <v>2797</v>
      </c>
      <c r="B849" s="7">
        <v>0</v>
      </c>
      <c r="C849" s="7">
        <v>0</v>
      </c>
      <c r="D849" s="7">
        <v>0</v>
      </c>
      <c r="E849" s="7">
        <v>0</v>
      </c>
      <c r="F849" s="7">
        <v>0</v>
      </c>
      <c r="G849" s="7">
        <v>0</v>
      </c>
      <c r="H849" s="7">
        <v>0</v>
      </c>
      <c r="I849" s="7">
        <v>0</v>
      </c>
      <c r="J849" s="7">
        <v>0</v>
      </c>
      <c r="K849" s="7">
        <v>0</v>
      </c>
      <c r="L849" s="7">
        <v>0</v>
      </c>
      <c r="M849" s="7">
        <v>0</v>
      </c>
      <c r="N849" s="7">
        <v>0</v>
      </c>
      <c r="O849" s="7">
        <v>0</v>
      </c>
      <c r="P849" s="7">
        <v>0</v>
      </c>
      <c r="Q849" s="7">
        <v>0</v>
      </c>
    </row>
    <row r="850" spans="1:17">
      <c r="A850" s="2">
        <v>2798</v>
      </c>
      <c r="B850" s="7">
        <v>0</v>
      </c>
      <c r="C850" s="7">
        <v>0</v>
      </c>
      <c r="D850" s="7">
        <v>0</v>
      </c>
      <c r="E850" s="7">
        <v>0</v>
      </c>
      <c r="F850" s="7">
        <v>0</v>
      </c>
      <c r="G850" s="7">
        <v>0</v>
      </c>
      <c r="H850" s="7">
        <v>0</v>
      </c>
      <c r="I850" s="7">
        <v>0</v>
      </c>
      <c r="J850" s="7">
        <v>0</v>
      </c>
      <c r="K850" s="7">
        <v>0</v>
      </c>
      <c r="L850" s="7">
        <v>0</v>
      </c>
      <c r="M850" s="7">
        <v>0</v>
      </c>
      <c r="N850" s="7">
        <v>0</v>
      </c>
      <c r="O850" s="7">
        <v>0</v>
      </c>
      <c r="P850" s="7">
        <v>0</v>
      </c>
      <c r="Q850" s="7">
        <v>0</v>
      </c>
    </row>
    <row r="851" spans="1:17">
      <c r="A851" s="2">
        <v>2799</v>
      </c>
      <c r="B851" s="7">
        <v>0</v>
      </c>
      <c r="C851" s="7">
        <v>0</v>
      </c>
      <c r="D851" s="7">
        <v>0</v>
      </c>
      <c r="E851" s="7">
        <v>0</v>
      </c>
      <c r="F851" s="7">
        <v>0</v>
      </c>
      <c r="G851" s="7">
        <v>0</v>
      </c>
      <c r="H851" s="7">
        <v>0</v>
      </c>
      <c r="I851" s="7">
        <v>0</v>
      </c>
      <c r="J851" s="7">
        <v>0</v>
      </c>
      <c r="K851" s="7">
        <v>0</v>
      </c>
      <c r="L851" s="7">
        <v>0</v>
      </c>
      <c r="M851" s="7">
        <v>0</v>
      </c>
      <c r="N851" s="7">
        <v>0</v>
      </c>
      <c r="O851" s="7">
        <v>0</v>
      </c>
      <c r="P851" s="7">
        <v>0</v>
      </c>
      <c r="Q851" s="7">
        <v>0</v>
      </c>
    </row>
    <row r="852" spans="1:17">
      <c r="A852" s="2">
        <v>2800</v>
      </c>
      <c r="B852" s="7">
        <v>0</v>
      </c>
      <c r="C852" s="7">
        <v>0</v>
      </c>
      <c r="D852" s="7">
        <v>0</v>
      </c>
      <c r="E852" s="7">
        <v>0</v>
      </c>
      <c r="F852" s="7">
        <v>0</v>
      </c>
      <c r="G852" s="7">
        <v>0</v>
      </c>
      <c r="H852" s="7">
        <v>0</v>
      </c>
      <c r="I852" s="7">
        <v>0</v>
      </c>
      <c r="J852" s="7">
        <v>0</v>
      </c>
      <c r="K852" s="7">
        <v>0</v>
      </c>
      <c r="L852" s="7">
        <v>0</v>
      </c>
      <c r="M852" s="7">
        <v>0</v>
      </c>
      <c r="N852" s="7">
        <v>0</v>
      </c>
      <c r="O852" s="7">
        <v>0</v>
      </c>
      <c r="P852" s="7">
        <v>0</v>
      </c>
      <c r="Q852" s="7">
        <v>0</v>
      </c>
    </row>
    <row r="853" spans="1:17">
      <c r="A853" s="2">
        <v>2801</v>
      </c>
      <c r="B853" s="7">
        <v>0</v>
      </c>
      <c r="C853" s="7">
        <v>0</v>
      </c>
      <c r="D853" s="7">
        <v>0</v>
      </c>
      <c r="E853" s="7">
        <v>0</v>
      </c>
      <c r="F853" s="7">
        <v>0</v>
      </c>
      <c r="G853" s="7">
        <v>0</v>
      </c>
      <c r="H853" s="7">
        <v>0</v>
      </c>
      <c r="I853" s="7">
        <v>0</v>
      </c>
      <c r="J853" s="7">
        <v>0</v>
      </c>
      <c r="K853" s="7">
        <v>0</v>
      </c>
      <c r="L853" s="7">
        <v>0</v>
      </c>
      <c r="M853" s="7">
        <v>0</v>
      </c>
      <c r="N853" s="7">
        <v>0</v>
      </c>
      <c r="O853" s="7">
        <v>0</v>
      </c>
      <c r="P853" s="7">
        <v>0</v>
      </c>
      <c r="Q853" s="7">
        <v>0</v>
      </c>
    </row>
    <row r="854" spans="1:17">
      <c r="A854" s="2">
        <v>2802</v>
      </c>
      <c r="B854" s="7">
        <v>0</v>
      </c>
      <c r="C854" s="7">
        <v>0</v>
      </c>
      <c r="D854" s="7">
        <v>0</v>
      </c>
      <c r="E854" s="7">
        <v>0</v>
      </c>
      <c r="F854" s="7">
        <v>0</v>
      </c>
      <c r="G854" s="7">
        <v>0</v>
      </c>
      <c r="H854" s="7">
        <v>0</v>
      </c>
      <c r="I854" s="7">
        <v>0</v>
      </c>
      <c r="J854" s="7">
        <v>0</v>
      </c>
      <c r="K854" s="7">
        <v>0</v>
      </c>
      <c r="L854" s="7">
        <v>0</v>
      </c>
      <c r="M854" s="7">
        <v>0</v>
      </c>
      <c r="N854" s="7">
        <v>0</v>
      </c>
      <c r="O854" s="7">
        <v>0</v>
      </c>
      <c r="P854" s="7">
        <v>0</v>
      </c>
      <c r="Q854" s="7">
        <v>0</v>
      </c>
    </row>
    <row r="855" spans="1:17">
      <c r="A855" s="2">
        <v>2803</v>
      </c>
      <c r="B855" s="7">
        <v>0</v>
      </c>
      <c r="C855" s="7">
        <v>0</v>
      </c>
      <c r="D855" s="7">
        <v>0</v>
      </c>
      <c r="E855" s="7">
        <v>0</v>
      </c>
      <c r="F855" s="7">
        <v>0</v>
      </c>
      <c r="G855" s="7">
        <v>0</v>
      </c>
      <c r="H855" s="7">
        <v>0</v>
      </c>
      <c r="I855" s="7">
        <v>0</v>
      </c>
      <c r="J855" s="7">
        <v>0</v>
      </c>
      <c r="K855" s="7">
        <v>0</v>
      </c>
      <c r="L855" s="7">
        <v>0</v>
      </c>
      <c r="M855" s="7">
        <v>0</v>
      </c>
      <c r="N855" s="7">
        <v>0</v>
      </c>
      <c r="O855" s="7">
        <v>0</v>
      </c>
      <c r="P855" s="7">
        <v>0</v>
      </c>
      <c r="Q855" s="7">
        <v>0</v>
      </c>
    </row>
    <row r="856" spans="1:17">
      <c r="A856" s="2">
        <v>2804</v>
      </c>
      <c r="B856" s="7">
        <v>0</v>
      </c>
      <c r="C856" s="7">
        <v>0</v>
      </c>
      <c r="D856" s="7">
        <v>0</v>
      </c>
      <c r="E856" s="7">
        <v>0</v>
      </c>
      <c r="F856" s="7">
        <v>0</v>
      </c>
      <c r="G856" s="7">
        <v>0</v>
      </c>
      <c r="H856" s="7">
        <v>0</v>
      </c>
      <c r="I856" s="7">
        <v>0</v>
      </c>
      <c r="J856" s="7">
        <v>0</v>
      </c>
      <c r="K856" s="7">
        <v>0</v>
      </c>
      <c r="L856" s="7">
        <v>0</v>
      </c>
      <c r="M856" s="7">
        <v>0</v>
      </c>
      <c r="N856" s="7">
        <v>0</v>
      </c>
      <c r="O856" s="7">
        <v>0</v>
      </c>
      <c r="P856" s="7">
        <v>0</v>
      </c>
      <c r="Q856" s="7">
        <v>0</v>
      </c>
    </row>
    <row r="857" spans="1:17">
      <c r="A857" s="2">
        <v>2805</v>
      </c>
      <c r="B857" s="7">
        <v>0</v>
      </c>
      <c r="C857" s="7">
        <v>0</v>
      </c>
      <c r="D857" s="7">
        <v>0</v>
      </c>
      <c r="E857" s="7">
        <v>0</v>
      </c>
      <c r="F857" s="7">
        <v>0</v>
      </c>
      <c r="G857" s="7">
        <v>0</v>
      </c>
      <c r="H857" s="7">
        <v>0</v>
      </c>
      <c r="I857" s="7">
        <v>0</v>
      </c>
      <c r="J857" s="7">
        <v>0</v>
      </c>
      <c r="K857" s="7">
        <v>0</v>
      </c>
      <c r="L857" s="7">
        <v>0</v>
      </c>
      <c r="M857" s="7">
        <v>0</v>
      </c>
      <c r="N857" s="7">
        <v>0</v>
      </c>
      <c r="O857" s="7">
        <v>0</v>
      </c>
      <c r="P857" s="7">
        <v>0</v>
      </c>
      <c r="Q857" s="7">
        <v>0</v>
      </c>
    </row>
    <row r="858" spans="1:17">
      <c r="A858" s="2">
        <v>2806</v>
      </c>
      <c r="B858" s="7">
        <v>0</v>
      </c>
      <c r="C858" s="7">
        <v>0</v>
      </c>
      <c r="D858" s="7">
        <v>0</v>
      </c>
      <c r="E858" s="7">
        <v>0</v>
      </c>
      <c r="F858" s="7">
        <v>0</v>
      </c>
      <c r="G858" s="7">
        <v>0</v>
      </c>
      <c r="H858" s="7">
        <v>0</v>
      </c>
      <c r="I858" s="7">
        <v>0</v>
      </c>
      <c r="J858" s="7">
        <v>0</v>
      </c>
      <c r="K858" s="7">
        <v>0</v>
      </c>
      <c r="L858" s="7">
        <v>0</v>
      </c>
      <c r="M858" s="7">
        <v>0</v>
      </c>
      <c r="N858" s="7">
        <v>0</v>
      </c>
      <c r="O858" s="7">
        <v>0</v>
      </c>
      <c r="P858" s="7">
        <v>0</v>
      </c>
      <c r="Q858" s="7">
        <v>0</v>
      </c>
    </row>
    <row r="859" spans="1:17">
      <c r="A859" s="2">
        <v>2807</v>
      </c>
      <c r="B859" s="7">
        <v>0</v>
      </c>
      <c r="C859" s="7">
        <v>0</v>
      </c>
      <c r="D859" s="7">
        <v>0</v>
      </c>
      <c r="E859" s="7">
        <v>0</v>
      </c>
      <c r="F859" s="7">
        <v>0</v>
      </c>
      <c r="G859" s="7">
        <v>0</v>
      </c>
      <c r="H859" s="7">
        <v>0</v>
      </c>
      <c r="I859" s="7">
        <v>0</v>
      </c>
      <c r="J859" s="7">
        <v>0</v>
      </c>
      <c r="K859" s="7">
        <v>0</v>
      </c>
      <c r="L859" s="7">
        <v>0</v>
      </c>
      <c r="M859" s="7">
        <v>0</v>
      </c>
      <c r="N859" s="7">
        <v>0</v>
      </c>
      <c r="O859" s="7">
        <v>0</v>
      </c>
      <c r="P859" s="7">
        <v>0</v>
      </c>
      <c r="Q859" s="7">
        <v>0</v>
      </c>
    </row>
    <row r="860" spans="1:17">
      <c r="A860" s="2">
        <v>2808</v>
      </c>
      <c r="B860" s="7">
        <v>0</v>
      </c>
      <c r="C860" s="7">
        <v>0</v>
      </c>
      <c r="D860" s="7">
        <v>0</v>
      </c>
      <c r="E860" s="7">
        <v>0</v>
      </c>
      <c r="F860" s="7">
        <v>0</v>
      </c>
      <c r="G860" s="7">
        <v>0</v>
      </c>
      <c r="H860" s="7">
        <v>0</v>
      </c>
      <c r="I860" s="7">
        <v>0</v>
      </c>
      <c r="J860" s="7">
        <v>0</v>
      </c>
      <c r="K860" s="7">
        <v>0</v>
      </c>
      <c r="L860" s="7">
        <v>0</v>
      </c>
      <c r="M860" s="7">
        <v>0</v>
      </c>
      <c r="N860" s="7">
        <v>0</v>
      </c>
      <c r="O860" s="7">
        <v>0</v>
      </c>
      <c r="P860" s="7">
        <v>0</v>
      </c>
      <c r="Q860" s="7">
        <v>0</v>
      </c>
    </row>
    <row r="861" spans="1:17">
      <c r="A861" s="2">
        <v>2809</v>
      </c>
      <c r="B861" s="7">
        <v>0</v>
      </c>
      <c r="C861" s="7">
        <v>0</v>
      </c>
      <c r="D861" s="7">
        <v>0</v>
      </c>
      <c r="E861" s="7">
        <v>0</v>
      </c>
      <c r="F861" s="7">
        <v>0</v>
      </c>
      <c r="G861" s="7">
        <v>0</v>
      </c>
      <c r="H861" s="7">
        <v>0</v>
      </c>
      <c r="I861" s="7">
        <v>0</v>
      </c>
      <c r="J861" s="7">
        <v>0</v>
      </c>
      <c r="K861" s="7">
        <v>0</v>
      </c>
      <c r="L861" s="7">
        <v>0</v>
      </c>
      <c r="M861" s="7">
        <v>0</v>
      </c>
      <c r="N861" s="7">
        <v>0</v>
      </c>
      <c r="O861" s="7">
        <v>0</v>
      </c>
      <c r="P861" s="7">
        <v>0</v>
      </c>
      <c r="Q861" s="7">
        <v>0</v>
      </c>
    </row>
    <row r="862" spans="1:17">
      <c r="A862" s="2">
        <v>2810</v>
      </c>
      <c r="B862" s="7">
        <v>0</v>
      </c>
      <c r="C862" s="7">
        <v>0</v>
      </c>
      <c r="D862" s="7">
        <v>0</v>
      </c>
      <c r="E862" s="7">
        <v>0</v>
      </c>
      <c r="F862" s="7">
        <v>0</v>
      </c>
      <c r="G862" s="7">
        <v>0</v>
      </c>
      <c r="H862" s="7">
        <v>0</v>
      </c>
      <c r="I862" s="7">
        <v>0</v>
      </c>
      <c r="J862" s="7">
        <v>0</v>
      </c>
      <c r="K862" s="7">
        <v>0</v>
      </c>
      <c r="L862" s="7">
        <v>0</v>
      </c>
      <c r="M862" s="7">
        <v>0</v>
      </c>
      <c r="N862" s="7">
        <v>0</v>
      </c>
      <c r="O862" s="7">
        <v>0</v>
      </c>
      <c r="P862" s="7">
        <v>0</v>
      </c>
      <c r="Q862" s="7">
        <v>0</v>
      </c>
    </row>
    <row r="863" spans="1:17">
      <c r="A863" s="2">
        <v>2811</v>
      </c>
      <c r="B863" s="7">
        <v>0</v>
      </c>
      <c r="C863" s="7">
        <v>0</v>
      </c>
      <c r="D863" s="7">
        <v>0</v>
      </c>
      <c r="E863" s="7">
        <v>0</v>
      </c>
      <c r="F863" s="7">
        <v>0</v>
      </c>
      <c r="G863" s="7">
        <v>0</v>
      </c>
      <c r="H863" s="7">
        <v>0</v>
      </c>
      <c r="I863" s="7">
        <v>0</v>
      </c>
      <c r="J863" s="7">
        <v>0</v>
      </c>
      <c r="K863" s="7">
        <v>0</v>
      </c>
      <c r="L863" s="7">
        <v>0</v>
      </c>
      <c r="M863" s="7">
        <v>0</v>
      </c>
      <c r="N863" s="7">
        <v>0</v>
      </c>
      <c r="O863" s="7">
        <v>0</v>
      </c>
      <c r="P863" s="7">
        <v>0</v>
      </c>
      <c r="Q863" s="7">
        <v>0</v>
      </c>
    </row>
    <row r="864" spans="1:17">
      <c r="A864" s="2">
        <v>2812</v>
      </c>
      <c r="B864" s="7">
        <v>0</v>
      </c>
      <c r="C864" s="7">
        <v>0</v>
      </c>
      <c r="D864" s="7">
        <v>0</v>
      </c>
      <c r="E864" s="7">
        <v>0</v>
      </c>
      <c r="F864" s="7">
        <v>0</v>
      </c>
      <c r="G864" s="7">
        <v>0</v>
      </c>
      <c r="H864" s="7">
        <v>0</v>
      </c>
      <c r="I864" s="7">
        <v>0</v>
      </c>
      <c r="J864" s="7">
        <v>0</v>
      </c>
      <c r="K864" s="7">
        <v>0</v>
      </c>
      <c r="L864" s="7">
        <v>0</v>
      </c>
      <c r="M864" s="7">
        <v>0</v>
      </c>
      <c r="N864" s="7">
        <v>0</v>
      </c>
      <c r="O864" s="7">
        <v>0</v>
      </c>
      <c r="P864" s="7">
        <v>0</v>
      </c>
      <c r="Q864" s="7">
        <v>0</v>
      </c>
    </row>
    <row r="865" spans="1:17">
      <c r="A865" s="2">
        <v>2813</v>
      </c>
      <c r="B865" s="7">
        <v>0</v>
      </c>
      <c r="C865" s="7">
        <v>0</v>
      </c>
      <c r="D865" s="7">
        <v>0</v>
      </c>
      <c r="E865" s="7">
        <v>0</v>
      </c>
      <c r="F865" s="7">
        <v>0</v>
      </c>
      <c r="G865" s="7">
        <v>0</v>
      </c>
      <c r="H865" s="7">
        <v>0</v>
      </c>
      <c r="I865" s="7">
        <v>0</v>
      </c>
      <c r="J865" s="7">
        <v>0</v>
      </c>
      <c r="K865" s="7">
        <v>0</v>
      </c>
      <c r="L865" s="7">
        <v>0</v>
      </c>
      <c r="M865" s="7">
        <v>0</v>
      </c>
      <c r="N865" s="7">
        <v>0</v>
      </c>
      <c r="O865" s="7">
        <v>0</v>
      </c>
      <c r="P865" s="7">
        <v>0</v>
      </c>
      <c r="Q865" s="7">
        <v>0</v>
      </c>
    </row>
    <row r="866" spans="1:17">
      <c r="A866" s="2">
        <v>2814</v>
      </c>
      <c r="B866" s="7">
        <v>0</v>
      </c>
      <c r="C866" s="7">
        <v>0</v>
      </c>
      <c r="D866" s="7">
        <v>0</v>
      </c>
      <c r="E866" s="7">
        <v>0</v>
      </c>
      <c r="F866" s="7">
        <v>0</v>
      </c>
      <c r="G866" s="7">
        <v>0</v>
      </c>
      <c r="H866" s="7">
        <v>0</v>
      </c>
      <c r="I866" s="7">
        <v>0</v>
      </c>
      <c r="J866" s="7">
        <v>0</v>
      </c>
      <c r="K866" s="7">
        <v>0</v>
      </c>
      <c r="L866" s="7">
        <v>0</v>
      </c>
      <c r="M866" s="7">
        <v>0</v>
      </c>
      <c r="N866" s="7">
        <v>0</v>
      </c>
      <c r="O866" s="7">
        <v>0</v>
      </c>
      <c r="P866" s="7">
        <v>0</v>
      </c>
      <c r="Q866" s="7">
        <v>0</v>
      </c>
    </row>
    <row r="867" spans="1:17">
      <c r="A867" s="2">
        <v>2815</v>
      </c>
      <c r="B867" s="7">
        <v>0</v>
      </c>
      <c r="C867" s="7">
        <v>0</v>
      </c>
      <c r="D867" s="7">
        <v>0</v>
      </c>
      <c r="E867" s="7">
        <v>0</v>
      </c>
      <c r="F867" s="7">
        <v>0</v>
      </c>
      <c r="G867" s="7">
        <v>0</v>
      </c>
      <c r="H867" s="7">
        <v>0</v>
      </c>
      <c r="I867" s="7">
        <v>0</v>
      </c>
      <c r="J867" s="7">
        <v>0</v>
      </c>
      <c r="K867" s="7">
        <v>0</v>
      </c>
      <c r="L867" s="7">
        <v>0</v>
      </c>
      <c r="M867" s="7">
        <v>0</v>
      </c>
      <c r="N867" s="7">
        <v>0</v>
      </c>
      <c r="O867" s="7">
        <v>0</v>
      </c>
      <c r="P867" s="7">
        <v>0</v>
      </c>
      <c r="Q867" s="7">
        <v>0</v>
      </c>
    </row>
    <row r="868" spans="1:17">
      <c r="A868" s="2">
        <v>2816</v>
      </c>
      <c r="B868" s="7">
        <v>0</v>
      </c>
      <c r="C868" s="7">
        <v>0</v>
      </c>
      <c r="D868" s="7">
        <v>0</v>
      </c>
      <c r="E868" s="7">
        <v>0</v>
      </c>
      <c r="F868" s="7">
        <v>0</v>
      </c>
      <c r="G868" s="7">
        <v>0</v>
      </c>
      <c r="H868" s="7">
        <v>0</v>
      </c>
      <c r="I868" s="7">
        <v>0</v>
      </c>
      <c r="J868" s="7">
        <v>0</v>
      </c>
      <c r="K868" s="7">
        <v>0</v>
      </c>
      <c r="L868" s="7">
        <v>0</v>
      </c>
      <c r="M868" s="7">
        <v>0</v>
      </c>
      <c r="N868" s="7">
        <v>0</v>
      </c>
      <c r="O868" s="7">
        <v>0</v>
      </c>
      <c r="P868" s="7">
        <v>0</v>
      </c>
      <c r="Q868" s="7">
        <v>0</v>
      </c>
    </row>
    <row r="869" spans="1:17">
      <c r="A869" s="2">
        <v>2817</v>
      </c>
      <c r="B869" s="7">
        <v>0</v>
      </c>
      <c r="C869" s="7">
        <v>0</v>
      </c>
      <c r="D869" s="7">
        <v>0</v>
      </c>
      <c r="E869" s="7">
        <v>0</v>
      </c>
      <c r="F869" s="7">
        <v>0</v>
      </c>
      <c r="G869" s="7">
        <v>0</v>
      </c>
      <c r="H869" s="7">
        <v>0</v>
      </c>
      <c r="I869" s="7">
        <v>0</v>
      </c>
      <c r="J869" s="7">
        <v>0</v>
      </c>
      <c r="K869" s="7">
        <v>0</v>
      </c>
      <c r="L869" s="7">
        <v>0</v>
      </c>
      <c r="M869" s="7">
        <v>0</v>
      </c>
      <c r="N869" s="7">
        <v>0</v>
      </c>
      <c r="O869" s="7">
        <v>0</v>
      </c>
      <c r="P869" s="7">
        <v>0</v>
      </c>
      <c r="Q869" s="7">
        <v>0</v>
      </c>
    </row>
    <row r="870" spans="1:17">
      <c r="A870" s="2">
        <v>2818</v>
      </c>
      <c r="B870" s="7">
        <v>0</v>
      </c>
      <c r="C870" s="7">
        <v>0</v>
      </c>
      <c r="D870" s="7">
        <v>0</v>
      </c>
      <c r="E870" s="7">
        <v>0</v>
      </c>
      <c r="F870" s="7">
        <v>0</v>
      </c>
      <c r="G870" s="7">
        <v>0</v>
      </c>
      <c r="H870" s="7">
        <v>0</v>
      </c>
      <c r="I870" s="7">
        <v>0</v>
      </c>
      <c r="J870" s="7">
        <v>0</v>
      </c>
      <c r="K870" s="7">
        <v>0</v>
      </c>
      <c r="L870" s="7">
        <v>0</v>
      </c>
      <c r="M870" s="7">
        <v>0</v>
      </c>
      <c r="N870" s="7">
        <v>0</v>
      </c>
      <c r="O870" s="7">
        <v>0</v>
      </c>
      <c r="P870" s="7">
        <v>0</v>
      </c>
      <c r="Q870" s="7">
        <v>0</v>
      </c>
    </row>
    <row r="871" spans="1:17">
      <c r="A871" s="2">
        <v>2819</v>
      </c>
      <c r="B871" s="7">
        <v>0</v>
      </c>
      <c r="C871" s="7">
        <v>0</v>
      </c>
      <c r="D871" s="7">
        <v>0</v>
      </c>
      <c r="E871" s="7">
        <v>0</v>
      </c>
      <c r="F871" s="7">
        <v>0</v>
      </c>
      <c r="G871" s="7">
        <v>0</v>
      </c>
      <c r="H871" s="7">
        <v>0</v>
      </c>
      <c r="I871" s="7">
        <v>0</v>
      </c>
      <c r="J871" s="7">
        <v>0</v>
      </c>
      <c r="K871" s="7">
        <v>0</v>
      </c>
      <c r="L871" s="7">
        <v>0</v>
      </c>
      <c r="M871" s="7">
        <v>0</v>
      </c>
      <c r="N871" s="7">
        <v>0</v>
      </c>
      <c r="O871" s="7">
        <v>0</v>
      </c>
      <c r="P871" s="7">
        <v>0</v>
      </c>
      <c r="Q871" s="7">
        <v>0</v>
      </c>
    </row>
    <row r="872" spans="1:17">
      <c r="A872" s="2">
        <v>2820</v>
      </c>
      <c r="B872" s="7">
        <v>0</v>
      </c>
      <c r="C872" s="7">
        <v>0</v>
      </c>
      <c r="D872" s="7">
        <v>0</v>
      </c>
      <c r="E872" s="7">
        <v>0</v>
      </c>
      <c r="F872" s="7">
        <v>0</v>
      </c>
      <c r="G872" s="7">
        <v>0</v>
      </c>
      <c r="H872" s="7">
        <v>0</v>
      </c>
      <c r="I872" s="7">
        <v>0</v>
      </c>
      <c r="J872" s="7">
        <v>0</v>
      </c>
      <c r="K872" s="7">
        <v>0</v>
      </c>
      <c r="L872" s="7">
        <v>0</v>
      </c>
      <c r="M872" s="7">
        <v>0</v>
      </c>
      <c r="N872" s="7">
        <v>0</v>
      </c>
      <c r="O872" s="7">
        <v>0</v>
      </c>
      <c r="P872" s="7">
        <v>0</v>
      </c>
      <c r="Q872" s="7">
        <v>0</v>
      </c>
    </row>
    <row r="873" spans="1:17">
      <c r="A873" s="2">
        <v>2821</v>
      </c>
      <c r="B873" s="7">
        <v>0</v>
      </c>
      <c r="C873" s="7">
        <v>0</v>
      </c>
      <c r="D873" s="7">
        <v>0</v>
      </c>
      <c r="E873" s="7">
        <v>0</v>
      </c>
      <c r="F873" s="7">
        <v>0</v>
      </c>
      <c r="G873" s="7">
        <v>0</v>
      </c>
      <c r="H873" s="7">
        <v>0</v>
      </c>
      <c r="I873" s="7">
        <v>0</v>
      </c>
      <c r="J873" s="7">
        <v>0</v>
      </c>
      <c r="K873" s="7">
        <v>0</v>
      </c>
      <c r="L873" s="7">
        <v>0</v>
      </c>
      <c r="M873" s="7">
        <v>0</v>
      </c>
      <c r="N873" s="7">
        <v>0</v>
      </c>
      <c r="O873" s="7">
        <v>0</v>
      </c>
      <c r="P873" s="7">
        <v>0</v>
      </c>
      <c r="Q873" s="7">
        <v>0</v>
      </c>
    </row>
    <row r="874" spans="1:17">
      <c r="A874" s="2">
        <v>2822</v>
      </c>
      <c r="B874" s="7">
        <v>0</v>
      </c>
      <c r="C874" s="7">
        <v>0</v>
      </c>
      <c r="D874" s="7">
        <v>0</v>
      </c>
      <c r="E874" s="7">
        <v>0</v>
      </c>
      <c r="F874" s="7">
        <v>0</v>
      </c>
      <c r="G874" s="7">
        <v>0</v>
      </c>
      <c r="H874" s="7">
        <v>0</v>
      </c>
      <c r="I874" s="7">
        <v>0</v>
      </c>
      <c r="J874" s="7">
        <v>0</v>
      </c>
      <c r="K874" s="7">
        <v>0</v>
      </c>
      <c r="L874" s="7">
        <v>0</v>
      </c>
      <c r="M874" s="7">
        <v>0</v>
      </c>
      <c r="N874" s="7">
        <v>0</v>
      </c>
      <c r="O874" s="7">
        <v>0</v>
      </c>
      <c r="P874" s="7">
        <v>0</v>
      </c>
      <c r="Q874" s="7">
        <v>0</v>
      </c>
    </row>
    <row r="875" spans="1:17">
      <c r="A875" s="2">
        <v>2823</v>
      </c>
      <c r="B875" s="7">
        <v>0</v>
      </c>
      <c r="C875" s="7">
        <v>0</v>
      </c>
      <c r="D875" s="7">
        <v>0</v>
      </c>
      <c r="E875" s="7">
        <v>0</v>
      </c>
      <c r="F875" s="7">
        <v>0</v>
      </c>
      <c r="G875" s="7">
        <v>0</v>
      </c>
      <c r="H875" s="7">
        <v>0</v>
      </c>
      <c r="I875" s="7">
        <v>0</v>
      </c>
      <c r="J875" s="7">
        <v>0</v>
      </c>
      <c r="K875" s="7">
        <v>0</v>
      </c>
      <c r="L875" s="7">
        <v>0</v>
      </c>
      <c r="M875" s="7">
        <v>0</v>
      </c>
      <c r="N875" s="7">
        <v>0</v>
      </c>
      <c r="O875" s="7">
        <v>0</v>
      </c>
      <c r="P875" s="7">
        <v>0</v>
      </c>
      <c r="Q875" s="7">
        <v>0</v>
      </c>
    </row>
    <row r="876" spans="1:17">
      <c r="A876" s="2">
        <v>2824</v>
      </c>
      <c r="B876" s="7">
        <v>0</v>
      </c>
      <c r="C876" s="7">
        <v>0</v>
      </c>
      <c r="D876" s="7">
        <v>0</v>
      </c>
      <c r="E876" s="7">
        <v>0</v>
      </c>
      <c r="F876" s="7">
        <v>0</v>
      </c>
      <c r="G876" s="7">
        <v>0</v>
      </c>
      <c r="H876" s="7">
        <v>0</v>
      </c>
      <c r="I876" s="7">
        <v>0</v>
      </c>
      <c r="J876" s="7">
        <v>0</v>
      </c>
      <c r="K876" s="7">
        <v>0</v>
      </c>
      <c r="L876" s="7">
        <v>0</v>
      </c>
      <c r="M876" s="7">
        <v>0</v>
      </c>
      <c r="N876" s="7">
        <v>0</v>
      </c>
      <c r="O876" s="7">
        <v>0</v>
      </c>
      <c r="P876" s="7">
        <v>0</v>
      </c>
      <c r="Q876" s="7">
        <v>0</v>
      </c>
    </row>
    <row r="877" spans="1:17">
      <c r="A877" s="2">
        <v>2825</v>
      </c>
      <c r="B877" s="7">
        <v>0</v>
      </c>
      <c r="C877" s="7">
        <v>0</v>
      </c>
      <c r="D877" s="7">
        <v>0</v>
      </c>
      <c r="E877" s="7">
        <v>0</v>
      </c>
      <c r="F877" s="7">
        <v>0</v>
      </c>
      <c r="G877" s="7">
        <v>0</v>
      </c>
      <c r="H877" s="7">
        <v>0</v>
      </c>
      <c r="I877" s="7">
        <v>0</v>
      </c>
      <c r="J877" s="7">
        <v>0</v>
      </c>
      <c r="K877" s="7">
        <v>0</v>
      </c>
      <c r="L877" s="7">
        <v>0</v>
      </c>
      <c r="M877" s="7">
        <v>0</v>
      </c>
      <c r="N877" s="7">
        <v>0</v>
      </c>
      <c r="O877" s="7">
        <v>0</v>
      </c>
      <c r="P877" s="7">
        <v>0</v>
      </c>
      <c r="Q877" s="7">
        <v>0</v>
      </c>
    </row>
    <row r="878" spans="1:17">
      <c r="A878" s="2">
        <v>2826</v>
      </c>
      <c r="B878" s="7">
        <v>0</v>
      </c>
      <c r="C878" s="7">
        <v>0</v>
      </c>
      <c r="D878" s="7">
        <v>0</v>
      </c>
      <c r="E878" s="7">
        <v>0</v>
      </c>
      <c r="F878" s="7">
        <v>0</v>
      </c>
      <c r="G878" s="7">
        <v>0</v>
      </c>
      <c r="H878" s="7">
        <v>0</v>
      </c>
      <c r="I878" s="7">
        <v>0</v>
      </c>
      <c r="J878" s="7">
        <v>0</v>
      </c>
      <c r="K878" s="7">
        <v>0</v>
      </c>
      <c r="L878" s="7">
        <v>0</v>
      </c>
      <c r="M878" s="7">
        <v>0</v>
      </c>
      <c r="N878" s="7">
        <v>0</v>
      </c>
      <c r="O878" s="7">
        <v>0</v>
      </c>
      <c r="P878" s="7">
        <v>0</v>
      </c>
      <c r="Q878" s="7">
        <v>0</v>
      </c>
    </row>
    <row r="879" spans="1:17">
      <c r="A879" s="2">
        <v>2827</v>
      </c>
      <c r="B879" s="7">
        <v>0</v>
      </c>
      <c r="C879" s="7">
        <v>0</v>
      </c>
      <c r="D879" s="7">
        <v>0</v>
      </c>
      <c r="E879" s="7">
        <v>0</v>
      </c>
      <c r="F879" s="7">
        <v>0</v>
      </c>
      <c r="G879" s="7">
        <v>0</v>
      </c>
      <c r="H879" s="7">
        <v>0</v>
      </c>
      <c r="I879" s="7">
        <v>0</v>
      </c>
      <c r="J879" s="7">
        <v>0</v>
      </c>
      <c r="K879" s="7">
        <v>0</v>
      </c>
      <c r="L879" s="7">
        <v>0</v>
      </c>
      <c r="M879" s="7">
        <v>0</v>
      </c>
      <c r="N879" s="7">
        <v>0</v>
      </c>
      <c r="O879" s="7">
        <v>0</v>
      </c>
      <c r="P879" s="7">
        <v>0</v>
      </c>
      <c r="Q879" s="7">
        <v>0</v>
      </c>
    </row>
    <row r="880" spans="1:17">
      <c r="A880" s="2">
        <v>2828</v>
      </c>
      <c r="B880" s="7">
        <v>0</v>
      </c>
      <c r="C880" s="7">
        <v>0</v>
      </c>
      <c r="D880" s="7">
        <v>0</v>
      </c>
      <c r="E880" s="7">
        <v>0</v>
      </c>
      <c r="F880" s="7">
        <v>0</v>
      </c>
      <c r="G880" s="7">
        <v>0</v>
      </c>
      <c r="H880" s="7">
        <v>0</v>
      </c>
      <c r="I880" s="7">
        <v>0</v>
      </c>
      <c r="J880" s="7">
        <v>0</v>
      </c>
      <c r="K880" s="7">
        <v>0</v>
      </c>
      <c r="L880" s="7">
        <v>0</v>
      </c>
      <c r="M880" s="7">
        <v>0</v>
      </c>
      <c r="N880" s="7">
        <v>0</v>
      </c>
      <c r="O880" s="7">
        <v>0</v>
      </c>
      <c r="P880" s="7">
        <v>0</v>
      </c>
      <c r="Q880" s="7">
        <v>0</v>
      </c>
    </row>
    <row r="881" spans="1:17">
      <c r="A881" s="2">
        <v>2829</v>
      </c>
      <c r="B881" s="7">
        <v>0</v>
      </c>
      <c r="C881" s="7">
        <v>0</v>
      </c>
      <c r="D881" s="7">
        <v>0</v>
      </c>
      <c r="E881" s="7">
        <v>0</v>
      </c>
      <c r="F881" s="7">
        <v>0</v>
      </c>
      <c r="G881" s="7">
        <v>0</v>
      </c>
      <c r="H881" s="7">
        <v>0</v>
      </c>
      <c r="I881" s="7">
        <v>0</v>
      </c>
      <c r="J881" s="7">
        <v>0</v>
      </c>
      <c r="K881" s="7">
        <v>0</v>
      </c>
      <c r="L881" s="7">
        <v>0</v>
      </c>
      <c r="M881" s="7">
        <v>0</v>
      </c>
      <c r="N881" s="7">
        <v>0</v>
      </c>
      <c r="O881" s="7">
        <v>0</v>
      </c>
      <c r="P881" s="7">
        <v>0</v>
      </c>
      <c r="Q881" s="7">
        <v>0</v>
      </c>
    </row>
    <row r="882" spans="1:17">
      <c r="A882" s="2">
        <v>2830</v>
      </c>
      <c r="B882" s="7">
        <v>0</v>
      </c>
      <c r="C882" s="7">
        <v>0</v>
      </c>
      <c r="D882" s="7">
        <v>0</v>
      </c>
      <c r="E882" s="7">
        <v>0</v>
      </c>
      <c r="F882" s="7">
        <v>0</v>
      </c>
      <c r="G882" s="7">
        <v>0</v>
      </c>
      <c r="H882" s="7">
        <v>0</v>
      </c>
      <c r="I882" s="7">
        <v>0</v>
      </c>
      <c r="J882" s="7">
        <v>0</v>
      </c>
      <c r="K882" s="7">
        <v>0</v>
      </c>
      <c r="L882" s="7">
        <v>0</v>
      </c>
      <c r="M882" s="7">
        <v>0</v>
      </c>
      <c r="N882" s="7">
        <v>0</v>
      </c>
      <c r="O882" s="7">
        <v>0</v>
      </c>
      <c r="P882" s="7">
        <v>0</v>
      </c>
      <c r="Q882" s="7">
        <v>0</v>
      </c>
    </row>
    <row r="883" spans="1:17">
      <c r="A883" s="2">
        <v>2831</v>
      </c>
      <c r="B883" s="7">
        <v>0</v>
      </c>
      <c r="C883" s="7">
        <v>0</v>
      </c>
      <c r="D883" s="7">
        <v>0</v>
      </c>
      <c r="E883" s="7">
        <v>0</v>
      </c>
      <c r="F883" s="7">
        <v>0</v>
      </c>
      <c r="G883" s="7">
        <v>0</v>
      </c>
      <c r="H883" s="7">
        <v>0</v>
      </c>
      <c r="I883" s="7">
        <v>0</v>
      </c>
      <c r="J883" s="7">
        <v>0</v>
      </c>
      <c r="K883" s="7">
        <v>0</v>
      </c>
      <c r="L883" s="7">
        <v>0</v>
      </c>
      <c r="M883" s="7">
        <v>0</v>
      </c>
      <c r="N883" s="7">
        <v>0</v>
      </c>
      <c r="O883" s="7">
        <v>0</v>
      </c>
      <c r="P883" s="7">
        <v>0</v>
      </c>
      <c r="Q883" s="7">
        <v>0</v>
      </c>
    </row>
    <row r="884" spans="1:17">
      <c r="A884" s="2">
        <v>2832</v>
      </c>
      <c r="B884" s="7">
        <v>0</v>
      </c>
      <c r="C884" s="7">
        <v>0</v>
      </c>
      <c r="D884" s="7">
        <v>0</v>
      </c>
      <c r="E884" s="7">
        <v>0</v>
      </c>
      <c r="F884" s="7">
        <v>0</v>
      </c>
      <c r="G884" s="7">
        <v>0</v>
      </c>
      <c r="H884" s="7">
        <v>0</v>
      </c>
      <c r="I884" s="7">
        <v>0</v>
      </c>
      <c r="J884" s="7">
        <v>0</v>
      </c>
      <c r="K884" s="7">
        <v>0</v>
      </c>
      <c r="L884" s="7">
        <v>0</v>
      </c>
      <c r="M884" s="7">
        <v>0</v>
      </c>
      <c r="N884" s="7">
        <v>0</v>
      </c>
      <c r="O884" s="7">
        <v>0</v>
      </c>
      <c r="P884" s="7">
        <v>0</v>
      </c>
      <c r="Q884" s="7">
        <v>0</v>
      </c>
    </row>
    <row r="885" spans="1:17">
      <c r="A885" s="2">
        <v>2833</v>
      </c>
      <c r="B885" s="7">
        <v>0</v>
      </c>
      <c r="C885" s="7">
        <v>0</v>
      </c>
      <c r="D885" s="7">
        <v>0</v>
      </c>
      <c r="E885" s="7">
        <v>0</v>
      </c>
      <c r="F885" s="7">
        <v>0</v>
      </c>
      <c r="G885" s="7">
        <v>0</v>
      </c>
      <c r="H885" s="7">
        <v>0</v>
      </c>
      <c r="I885" s="7">
        <v>0</v>
      </c>
      <c r="J885" s="7">
        <v>0</v>
      </c>
      <c r="K885" s="7">
        <v>0</v>
      </c>
      <c r="L885" s="7">
        <v>0</v>
      </c>
      <c r="M885" s="7">
        <v>0</v>
      </c>
      <c r="N885" s="7">
        <v>0</v>
      </c>
      <c r="O885" s="7">
        <v>0</v>
      </c>
      <c r="P885" s="7">
        <v>0</v>
      </c>
      <c r="Q885" s="7">
        <v>0</v>
      </c>
    </row>
    <row r="886" spans="1:17">
      <c r="A886" s="2">
        <v>2834</v>
      </c>
      <c r="B886" s="7">
        <v>0</v>
      </c>
      <c r="C886" s="7">
        <v>0</v>
      </c>
      <c r="D886" s="7">
        <v>0</v>
      </c>
      <c r="E886" s="7">
        <v>0</v>
      </c>
      <c r="F886" s="7">
        <v>0</v>
      </c>
      <c r="G886" s="7">
        <v>0</v>
      </c>
      <c r="H886" s="7">
        <v>0</v>
      </c>
      <c r="I886" s="7">
        <v>0</v>
      </c>
      <c r="J886" s="7">
        <v>0</v>
      </c>
      <c r="K886" s="7">
        <v>0</v>
      </c>
      <c r="L886" s="7">
        <v>0</v>
      </c>
      <c r="M886" s="7">
        <v>0</v>
      </c>
      <c r="N886" s="7">
        <v>0</v>
      </c>
      <c r="O886" s="7">
        <v>0</v>
      </c>
      <c r="P886" s="7">
        <v>0</v>
      </c>
      <c r="Q886" s="7">
        <v>0</v>
      </c>
    </row>
    <row r="887" spans="1:17">
      <c r="A887" s="2">
        <v>2835</v>
      </c>
      <c r="B887" s="7">
        <v>0</v>
      </c>
      <c r="C887" s="7">
        <v>0</v>
      </c>
      <c r="D887" s="7">
        <v>0</v>
      </c>
      <c r="E887" s="7">
        <v>0</v>
      </c>
      <c r="F887" s="7">
        <v>0</v>
      </c>
      <c r="G887" s="7">
        <v>0</v>
      </c>
      <c r="H887" s="7">
        <v>0</v>
      </c>
      <c r="I887" s="7">
        <v>0</v>
      </c>
      <c r="J887" s="7">
        <v>0</v>
      </c>
      <c r="K887" s="7">
        <v>0</v>
      </c>
      <c r="L887" s="7">
        <v>0</v>
      </c>
      <c r="M887" s="7">
        <v>0</v>
      </c>
      <c r="N887" s="7">
        <v>0</v>
      </c>
      <c r="O887" s="7">
        <v>0</v>
      </c>
      <c r="P887" s="7">
        <v>0</v>
      </c>
      <c r="Q887" s="7">
        <v>0</v>
      </c>
    </row>
    <row r="888" spans="1:17">
      <c r="A888" s="2">
        <v>2836</v>
      </c>
      <c r="B888" s="7">
        <v>0</v>
      </c>
      <c r="C888" s="7">
        <v>0</v>
      </c>
      <c r="D888" s="7">
        <v>0</v>
      </c>
      <c r="E888" s="7">
        <v>0</v>
      </c>
      <c r="F888" s="7">
        <v>0</v>
      </c>
      <c r="G888" s="7">
        <v>0</v>
      </c>
      <c r="H888" s="7">
        <v>0</v>
      </c>
      <c r="I888" s="7">
        <v>0</v>
      </c>
      <c r="J888" s="7">
        <v>0</v>
      </c>
      <c r="K888" s="7">
        <v>0</v>
      </c>
      <c r="L888" s="7">
        <v>0</v>
      </c>
      <c r="M888" s="7">
        <v>0</v>
      </c>
      <c r="N888" s="7">
        <v>0</v>
      </c>
      <c r="O888" s="7">
        <v>0</v>
      </c>
      <c r="P888" s="7">
        <v>0</v>
      </c>
      <c r="Q888" s="7">
        <v>0</v>
      </c>
    </row>
    <row r="889" spans="1:17">
      <c r="A889" s="2">
        <v>2837</v>
      </c>
      <c r="B889" s="7">
        <v>0</v>
      </c>
      <c r="C889" s="7">
        <v>0</v>
      </c>
      <c r="D889" s="7">
        <v>0</v>
      </c>
      <c r="E889" s="7">
        <v>0</v>
      </c>
      <c r="F889" s="7">
        <v>0</v>
      </c>
      <c r="G889" s="7">
        <v>0</v>
      </c>
      <c r="H889" s="7">
        <v>0</v>
      </c>
      <c r="I889" s="7">
        <v>0</v>
      </c>
      <c r="J889" s="7">
        <v>0</v>
      </c>
      <c r="K889" s="7">
        <v>0</v>
      </c>
      <c r="L889" s="7">
        <v>0</v>
      </c>
      <c r="M889" s="7">
        <v>0</v>
      </c>
      <c r="N889" s="7">
        <v>0</v>
      </c>
      <c r="O889" s="7">
        <v>0</v>
      </c>
      <c r="P889" s="7">
        <v>0</v>
      </c>
      <c r="Q889" s="7">
        <v>0</v>
      </c>
    </row>
    <row r="890" spans="1:17">
      <c r="A890" s="2">
        <v>2838</v>
      </c>
      <c r="B890" s="7">
        <v>0</v>
      </c>
      <c r="C890" s="7">
        <v>0</v>
      </c>
      <c r="D890" s="7">
        <v>0</v>
      </c>
      <c r="E890" s="7">
        <v>0</v>
      </c>
      <c r="F890" s="7">
        <v>0</v>
      </c>
      <c r="G890" s="7">
        <v>0</v>
      </c>
      <c r="H890" s="7">
        <v>0</v>
      </c>
      <c r="I890" s="7">
        <v>0</v>
      </c>
      <c r="J890" s="7">
        <v>0</v>
      </c>
      <c r="K890" s="7">
        <v>0</v>
      </c>
      <c r="L890" s="7">
        <v>0</v>
      </c>
      <c r="M890" s="7">
        <v>0</v>
      </c>
      <c r="N890" s="7">
        <v>0</v>
      </c>
      <c r="O890" s="7">
        <v>0</v>
      </c>
      <c r="P890" s="7">
        <v>0</v>
      </c>
      <c r="Q890" s="7">
        <v>0</v>
      </c>
    </row>
    <row r="891" spans="1:17">
      <c r="A891" s="2">
        <v>2839</v>
      </c>
      <c r="B891" s="7">
        <v>0</v>
      </c>
      <c r="C891" s="7">
        <v>0</v>
      </c>
      <c r="D891" s="7">
        <v>0</v>
      </c>
      <c r="E891" s="7">
        <v>0</v>
      </c>
      <c r="F891" s="7">
        <v>0</v>
      </c>
      <c r="G891" s="7">
        <v>0</v>
      </c>
      <c r="H891" s="7">
        <v>0</v>
      </c>
      <c r="I891" s="7">
        <v>0</v>
      </c>
      <c r="J891" s="7">
        <v>0</v>
      </c>
      <c r="K891" s="7">
        <v>0</v>
      </c>
      <c r="L891" s="7">
        <v>0</v>
      </c>
      <c r="M891" s="7">
        <v>0</v>
      </c>
      <c r="N891" s="7">
        <v>0</v>
      </c>
      <c r="O891" s="7">
        <v>0</v>
      </c>
      <c r="P891" s="7">
        <v>0</v>
      </c>
      <c r="Q891" s="7">
        <v>0</v>
      </c>
    </row>
    <row r="892" spans="1:17">
      <c r="A892" s="2">
        <v>2840</v>
      </c>
      <c r="B892" s="7">
        <v>0</v>
      </c>
      <c r="C892" s="7">
        <v>0</v>
      </c>
      <c r="D892" s="7">
        <v>0</v>
      </c>
      <c r="E892" s="7">
        <v>0</v>
      </c>
      <c r="F892" s="7">
        <v>0</v>
      </c>
      <c r="G892" s="7">
        <v>0</v>
      </c>
      <c r="H892" s="7">
        <v>0</v>
      </c>
      <c r="I892" s="7">
        <v>0</v>
      </c>
      <c r="J892" s="7">
        <v>0</v>
      </c>
      <c r="K892" s="7">
        <v>0</v>
      </c>
      <c r="L892" s="7">
        <v>0</v>
      </c>
      <c r="M892" s="7">
        <v>0</v>
      </c>
      <c r="N892" s="7">
        <v>0</v>
      </c>
      <c r="O892" s="7">
        <v>0</v>
      </c>
      <c r="P892" s="7">
        <v>0</v>
      </c>
      <c r="Q892" s="7">
        <v>0</v>
      </c>
    </row>
    <row r="893" spans="1:17">
      <c r="A893" s="2">
        <v>2841</v>
      </c>
      <c r="B893" s="7">
        <v>0</v>
      </c>
      <c r="C893" s="7">
        <v>0</v>
      </c>
      <c r="D893" s="7">
        <v>0</v>
      </c>
      <c r="E893" s="7">
        <v>0</v>
      </c>
      <c r="F893" s="7">
        <v>0</v>
      </c>
      <c r="G893" s="7">
        <v>0</v>
      </c>
      <c r="H893" s="7">
        <v>0</v>
      </c>
      <c r="I893" s="7">
        <v>0</v>
      </c>
      <c r="J893" s="7">
        <v>0</v>
      </c>
      <c r="K893" s="7">
        <v>0</v>
      </c>
      <c r="L893" s="7">
        <v>0</v>
      </c>
      <c r="M893" s="7">
        <v>0</v>
      </c>
      <c r="N893" s="7">
        <v>0</v>
      </c>
      <c r="O893" s="7">
        <v>0</v>
      </c>
      <c r="P893" s="7">
        <v>0</v>
      </c>
      <c r="Q893" s="7">
        <v>0</v>
      </c>
    </row>
    <row r="894" spans="1:17">
      <c r="A894" s="2">
        <v>2842</v>
      </c>
      <c r="B894" s="7">
        <v>0</v>
      </c>
      <c r="C894" s="7">
        <v>0</v>
      </c>
      <c r="D894" s="7">
        <v>0</v>
      </c>
      <c r="E894" s="7">
        <v>0</v>
      </c>
      <c r="F894" s="7">
        <v>0</v>
      </c>
      <c r="G894" s="7">
        <v>0</v>
      </c>
      <c r="H894" s="7">
        <v>0</v>
      </c>
      <c r="I894" s="7">
        <v>0</v>
      </c>
      <c r="J894" s="7">
        <v>0</v>
      </c>
      <c r="K894" s="7">
        <v>0</v>
      </c>
      <c r="L894" s="7">
        <v>0</v>
      </c>
      <c r="M894" s="7">
        <v>0</v>
      </c>
      <c r="N894" s="7">
        <v>0</v>
      </c>
      <c r="O894" s="7">
        <v>0</v>
      </c>
      <c r="P894" s="7">
        <v>0</v>
      </c>
      <c r="Q894" s="7">
        <v>0</v>
      </c>
    </row>
    <row r="895" spans="1:17">
      <c r="A895" s="2">
        <v>2843</v>
      </c>
      <c r="B895" s="7">
        <v>0</v>
      </c>
      <c r="C895" s="7">
        <v>0</v>
      </c>
      <c r="D895" s="7">
        <v>0</v>
      </c>
      <c r="E895" s="7">
        <v>0</v>
      </c>
      <c r="F895" s="7">
        <v>0</v>
      </c>
      <c r="G895" s="7">
        <v>0</v>
      </c>
      <c r="H895" s="7">
        <v>0</v>
      </c>
      <c r="I895" s="7">
        <v>0</v>
      </c>
      <c r="J895" s="7">
        <v>0</v>
      </c>
      <c r="K895" s="7">
        <v>0</v>
      </c>
      <c r="L895" s="7">
        <v>0</v>
      </c>
      <c r="M895" s="7">
        <v>0</v>
      </c>
      <c r="N895" s="7">
        <v>0</v>
      </c>
      <c r="O895" s="7">
        <v>0</v>
      </c>
      <c r="P895" s="7">
        <v>0</v>
      </c>
      <c r="Q895" s="7">
        <v>0</v>
      </c>
    </row>
    <row r="896" spans="1:17">
      <c r="A896" s="2">
        <v>2844</v>
      </c>
      <c r="B896" s="7">
        <v>0</v>
      </c>
      <c r="C896" s="7">
        <v>0</v>
      </c>
      <c r="D896" s="7">
        <v>0</v>
      </c>
      <c r="E896" s="7">
        <v>0</v>
      </c>
      <c r="F896" s="7">
        <v>0</v>
      </c>
      <c r="G896" s="7">
        <v>0</v>
      </c>
      <c r="H896" s="7">
        <v>0</v>
      </c>
      <c r="I896" s="7">
        <v>0</v>
      </c>
      <c r="J896" s="7">
        <v>0</v>
      </c>
      <c r="K896" s="7">
        <v>0</v>
      </c>
      <c r="L896" s="7">
        <v>0</v>
      </c>
      <c r="M896" s="7">
        <v>0</v>
      </c>
      <c r="N896" s="7">
        <v>0</v>
      </c>
      <c r="O896" s="7">
        <v>0</v>
      </c>
      <c r="P896" s="7">
        <v>0</v>
      </c>
      <c r="Q896" s="7">
        <v>0</v>
      </c>
    </row>
    <row r="897" spans="1:17">
      <c r="A897" s="2">
        <v>2845</v>
      </c>
      <c r="B897" s="7">
        <v>0</v>
      </c>
      <c r="C897" s="7">
        <v>0</v>
      </c>
      <c r="D897" s="7">
        <v>0</v>
      </c>
      <c r="E897" s="7">
        <v>0</v>
      </c>
      <c r="F897" s="7">
        <v>0</v>
      </c>
      <c r="G897" s="7">
        <v>0</v>
      </c>
      <c r="H897" s="7">
        <v>0</v>
      </c>
      <c r="I897" s="7">
        <v>0</v>
      </c>
      <c r="J897" s="7">
        <v>0</v>
      </c>
      <c r="K897" s="7">
        <v>0</v>
      </c>
      <c r="L897" s="7">
        <v>0</v>
      </c>
      <c r="M897" s="7">
        <v>0</v>
      </c>
      <c r="N897" s="7">
        <v>0</v>
      </c>
      <c r="O897" s="7">
        <v>0</v>
      </c>
      <c r="P897" s="7">
        <v>0</v>
      </c>
      <c r="Q897" s="7">
        <v>0</v>
      </c>
    </row>
    <row r="898" spans="1:17">
      <c r="A898" s="2">
        <v>2846</v>
      </c>
      <c r="B898" s="7">
        <v>0</v>
      </c>
      <c r="C898" s="7">
        <v>0</v>
      </c>
      <c r="D898" s="7">
        <v>0</v>
      </c>
      <c r="E898" s="7">
        <v>0</v>
      </c>
      <c r="F898" s="7">
        <v>0</v>
      </c>
      <c r="G898" s="7">
        <v>0</v>
      </c>
      <c r="H898" s="7">
        <v>0</v>
      </c>
      <c r="I898" s="7">
        <v>0</v>
      </c>
      <c r="J898" s="7">
        <v>0</v>
      </c>
      <c r="K898" s="7">
        <v>0</v>
      </c>
      <c r="L898" s="7">
        <v>0</v>
      </c>
      <c r="M898" s="7">
        <v>0</v>
      </c>
      <c r="N898" s="7">
        <v>0</v>
      </c>
      <c r="O898" s="7">
        <v>0</v>
      </c>
      <c r="P898" s="7">
        <v>0</v>
      </c>
      <c r="Q898" s="7">
        <v>0</v>
      </c>
    </row>
    <row r="899" spans="1:17">
      <c r="A899" s="2">
        <v>2847</v>
      </c>
      <c r="B899" s="7">
        <v>0</v>
      </c>
      <c r="C899" s="7">
        <v>0</v>
      </c>
      <c r="D899" s="7">
        <v>0</v>
      </c>
      <c r="E899" s="7">
        <v>0</v>
      </c>
      <c r="F899" s="7">
        <v>0</v>
      </c>
      <c r="G899" s="7">
        <v>0</v>
      </c>
      <c r="H899" s="7">
        <v>0</v>
      </c>
      <c r="I899" s="7">
        <v>0</v>
      </c>
      <c r="J899" s="7">
        <v>0</v>
      </c>
      <c r="K899" s="7">
        <v>0</v>
      </c>
      <c r="L899" s="7">
        <v>0</v>
      </c>
      <c r="M899" s="7">
        <v>0</v>
      </c>
      <c r="N899" s="7">
        <v>0</v>
      </c>
      <c r="O899" s="7">
        <v>0</v>
      </c>
      <c r="P899" s="7">
        <v>0</v>
      </c>
      <c r="Q899" s="7">
        <v>0</v>
      </c>
    </row>
    <row r="900" spans="1:17">
      <c r="A900" s="2">
        <v>2848</v>
      </c>
      <c r="B900" s="7">
        <v>0</v>
      </c>
      <c r="C900" s="7">
        <v>0</v>
      </c>
      <c r="D900" s="7">
        <v>0</v>
      </c>
      <c r="E900" s="7">
        <v>0</v>
      </c>
      <c r="F900" s="7">
        <v>0</v>
      </c>
      <c r="G900" s="7">
        <v>0</v>
      </c>
      <c r="H900" s="7">
        <v>0</v>
      </c>
      <c r="I900" s="7">
        <v>0</v>
      </c>
      <c r="J900" s="7">
        <v>0</v>
      </c>
      <c r="K900" s="7">
        <v>0</v>
      </c>
      <c r="L900" s="7">
        <v>0</v>
      </c>
      <c r="M900" s="7">
        <v>0</v>
      </c>
      <c r="N900" s="7">
        <v>0</v>
      </c>
      <c r="O900" s="7">
        <v>0</v>
      </c>
      <c r="P900" s="7">
        <v>0</v>
      </c>
      <c r="Q900" s="7">
        <v>0</v>
      </c>
    </row>
    <row r="901" spans="1:17">
      <c r="A901" s="2">
        <v>2849</v>
      </c>
      <c r="B901" s="7">
        <v>0</v>
      </c>
      <c r="C901" s="7">
        <v>0</v>
      </c>
      <c r="D901" s="7">
        <v>0</v>
      </c>
      <c r="E901" s="7">
        <v>0</v>
      </c>
      <c r="F901" s="7">
        <v>0</v>
      </c>
      <c r="G901" s="7">
        <v>0</v>
      </c>
      <c r="H901" s="7">
        <v>0</v>
      </c>
      <c r="I901" s="7">
        <v>0</v>
      </c>
      <c r="J901" s="7">
        <v>0</v>
      </c>
      <c r="K901" s="7">
        <v>0</v>
      </c>
      <c r="L901" s="7">
        <v>0</v>
      </c>
      <c r="M901" s="7">
        <v>0</v>
      </c>
      <c r="N901" s="7">
        <v>0</v>
      </c>
      <c r="O901" s="7">
        <v>0</v>
      </c>
      <c r="P901" s="7">
        <v>0</v>
      </c>
      <c r="Q901" s="7">
        <v>0</v>
      </c>
    </row>
    <row r="902" spans="1:17">
      <c r="A902" s="2">
        <v>2850</v>
      </c>
      <c r="B902" s="7">
        <v>0</v>
      </c>
      <c r="C902" s="7">
        <v>0</v>
      </c>
      <c r="D902" s="7">
        <v>0</v>
      </c>
      <c r="E902" s="7">
        <v>0</v>
      </c>
      <c r="F902" s="7">
        <v>0</v>
      </c>
      <c r="G902" s="7">
        <v>0</v>
      </c>
      <c r="H902" s="7">
        <v>0</v>
      </c>
      <c r="I902" s="7">
        <v>0</v>
      </c>
      <c r="J902" s="7">
        <v>0</v>
      </c>
      <c r="K902" s="7">
        <v>0</v>
      </c>
      <c r="L902" s="7">
        <v>0</v>
      </c>
      <c r="M902" s="7">
        <v>0</v>
      </c>
      <c r="N902" s="7">
        <v>0</v>
      </c>
      <c r="O902" s="7">
        <v>0</v>
      </c>
      <c r="P902" s="7">
        <v>0</v>
      </c>
      <c r="Q902" s="7">
        <v>0</v>
      </c>
    </row>
    <row r="903" spans="1:17">
      <c r="A903" s="2">
        <v>2851</v>
      </c>
      <c r="B903" s="7">
        <v>0</v>
      </c>
      <c r="C903" s="7">
        <v>0</v>
      </c>
      <c r="D903" s="7">
        <v>0</v>
      </c>
      <c r="E903" s="7">
        <v>0</v>
      </c>
      <c r="F903" s="7">
        <v>0</v>
      </c>
      <c r="G903" s="7">
        <v>0</v>
      </c>
      <c r="H903" s="7">
        <v>0</v>
      </c>
      <c r="I903" s="7">
        <v>0</v>
      </c>
      <c r="J903" s="7">
        <v>0</v>
      </c>
      <c r="K903" s="7">
        <v>0</v>
      </c>
      <c r="L903" s="7">
        <v>0</v>
      </c>
      <c r="M903" s="7">
        <v>0</v>
      </c>
      <c r="N903" s="7">
        <v>0</v>
      </c>
      <c r="O903" s="7">
        <v>0</v>
      </c>
      <c r="P903" s="7">
        <v>0</v>
      </c>
      <c r="Q903" s="7">
        <v>0</v>
      </c>
    </row>
    <row r="904" spans="1:17">
      <c r="A904" s="2">
        <v>2852</v>
      </c>
      <c r="B904" s="7">
        <v>0</v>
      </c>
      <c r="C904" s="7">
        <v>0</v>
      </c>
      <c r="D904" s="7">
        <v>0</v>
      </c>
      <c r="E904" s="7">
        <v>0</v>
      </c>
      <c r="F904" s="7">
        <v>0</v>
      </c>
      <c r="G904" s="7">
        <v>0</v>
      </c>
      <c r="H904" s="7">
        <v>0</v>
      </c>
      <c r="I904" s="7">
        <v>0</v>
      </c>
      <c r="J904" s="7">
        <v>0</v>
      </c>
      <c r="K904" s="7">
        <v>0</v>
      </c>
      <c r="L904" s="7">
        <v>0</v>
      </c>
      <c r="M904" s="7">
        <v>0</v>
      </c>
      <c r="N904" s="7">
        <v>0</v>
      </c>
      <c r="O904" s="7">
        <v>0</v>
      </c>
      <c r="P904" s="7">
        <v>0</v>
      </c>
      <c r="Q904" s="7">
        <v>0</v>
      </c>
    </row>
    <row r="905" spans="1:17">
      <c r="A905" s="2">
        <v>2853</v>
      </c>
      <c r="B905" s="7">
        <v>0</v>
      </c>
      <c r="C905" s="7">
        <v>0</v>
      </c>
      <c r="D905" s="7">
        <v>0</v>
      </c>
      <c r="E905" s="7">
        <v>0</v>
      </c>
      <c r="F905" s="7">
        <v>0</v>
      </c>
      <c r="G905" s="7">
        <v>0</v>
      </c>
      <c r="H905" s="7">
        <v>0</v>
      </c>
      <c r="I905" s="7">
        <v>0</v>
      </c>
      <c r="J905" s="7">
        <v>0</v>
      </c>
      <c r="K905" s="7">
        <v>0</v>
      </c>
      <c r="L905" s="7">
        <v>0</v>
      </c>
      <c r="M905" s="7">
        <v>0</v>
      </c>
      <c r="N905" s="7">
        <v>0</v>
      </c>
      <c r="O905" s="7">
        <v>0</v>
      </c>
      <c r="P905" s="7">
        <v>0</v>
      </c>
      <c r="Q905" s="7">
        <v>0</v>
      </c>
    </row>
    <row r="906" spans="1:17">
      <c r="A906" s="2">
        <v>2854</v>
      </c>
      <c r="B906" s="7">
        <v>0</v>
      </c>
      <c r="C906" s="7">
        <v>0</v>
      </c>
      <c r="D906" s="7">
        <v>0</v>
      </c>
      <c r="E906" s="7">
        <v>0</v>
      </c>
      <c r="F906" s="7">
        <v>0</v>
      </c>
      <c r="G906" s="7">
        <v>0</v>
      </c>
      <c r="H906" s="7">
        <v>0</v>
      </c>
      <c r="I906" s="7">
        <v>0</v>
      </c>
      <c r="J906" s="7">
        <v>0</v>
      </c>
      <c r="K906" s="7">
        <v>0</v>
      </c>
      <c r="L906" s="7">
        <v>0</v>
      </c>
      <c r="M906" s="7">
        <v>0</v>
      </c>
      <c r="N906" s="7">
        <v>0</v>
      </c>
      <c r="O906" s="7">
        <v>0</v>
      </c>
      <c r="P906" s="7">
        <v>0</v>
      </c>
      <c r="Q906" s="7">
        <v>0</v>
      </c>
    </row>
    <row r="907" spans="1:17">
      <c r="A907" s="2">
        <v>2855</v>
      </c>
      <c r="B907" s="7">
        <v>0</v>
      </c>
      <c r="C907" s="7">
        <v>0</v>
      </c>
      <c r="D907" s="7">
        <v>0</v>
      </c>
      <c r="E907" s="7">
        <v>0</v>
      </c>
      <c r="F907" s="7">
        <v>0</v>
      </c>
      <c r="G907" s="7">
        <v>0</v>
      </c>
      <c r="H907" s="7">
        <v>0</v>
      </c>
      <c r="I907" s="7">
        <v>0</v>
      </c>
      <c r="J907" s="7">
        <v>0</v>
      </c>
      <c r="K907" s="7">
        <v>0</v>
      </c>
      <c r="L907" s="7">
        <v>0</v>
      </c>
      <c r="M907" s="7">
        <v>0</v>
      </c>
      <c r="N907" s="7">
        <v>0</v>
      </c>
      <c r="O907" s="7">
        <v>0</v>
      </c>
      <c r="P907" s="7">
        <v>0</v>
      </c>
      <c r="Q907" s="7">
        <v>0</v>
      </c>
    </row>
    <row r="908" spans="1:17">
      <c r="A908" s="2">
        <v>2856</v>
      </c>
      <c r="B908" s="7">
        <v>0</v>
      </c>
      <c r="C908" s="7">
        <v>0</v>
      </c>
      <c r="D908" s="7">
        <v>0</v>
      </c>
      <c r="E908" s="7">
        <v>0</v>
      </c>
      <c r="F908" s="7">
        <v>0</v>
      </c>
      <c r="G908" s="7">
        <v>0</v>
      </c>
      <c r="H908" s="7">
        <v>0</v>
      </c>
      <c r="I908" s="7">
        <v>0</v>
      </c>
      <c r="J908" s="7">
        <v>0</v>
      </c>
      <c r="K908" s="7">
        <v>0</v>
      </c>
      <c r="L908" s="7">
        <v>0</v>
      </c>
      <c r="M908" s="7">
        <v>0</v>
      </c>
      <c r="N908" s="7">
        <v>0</v>
      </c>
      <c r="O908" s="7">
        <v>0</v>
      </c>
      <c r="P908" s="7">
        <v>0</v>
      </c>
      <c r="Q908" s="7">
        <v>0</v>
      </c>
    </row>
    <row r="909" spans="1:17">
      <c r="A909" s="2">
        <v>2857</v>
      </c>
      <c r="B909" s="7">
        <v>0</v>
      </c>
      <c r="C909" s="7">
        <v>0</v>
      </c>
      <c r="D909" s="7">
        <v>0</v>
      </c>
      <c r="E909" s="7">
        <v>0</v>
      </c>
      <c r="F909" s="7">
        <v>0</v>
      </c>
      <c r="G909" s="7">
        <v>0</v>
      </c>
      <c r="H909" s="7">
        <v>0</v>
      </c>
      <c r="I909" s="7">
        <v>0</v>
      </c>
      <c r="J909" s="7">
        <v>0</v>
      </c>
      <c r="K909" s="7">
        <v>0</v>
      </c>
      <c r="L909" s="7">
        <v>0</v>
      </c>
      <c r="M909" s="7">
        <v>0</v>
      </c>
      <c r="N909" s="7">
        <v>0</v>
      </c>
      <c r="O909" s="7">
        <v>0</v>
      </c>
      <c r="P909" s="7">
        <v>0</v>
      </c>
      <c r="Q909" s="7">
        <v>0</v>
      </c>
    </row>
    <row r="910" spans="1:17">
      <c r="A910" s="2">
        <v>2858</v>
      </c>
      <c r="B910" s="7">
        <v>0</v>
      </c>
      <c r="C910" s="7">
        <v>0</v>
      </c>
      <c r="D910" s="7">
        <v>0</v>
      </c>
      <c r="E910" s="7">
        <v>0</v>
      </c>
      <c r="F910" s="7">
        <v>0</v>
      </c>
      <c r="G910" s="7">
        <v>0</v>
      </c>
      <c r="H910" s="7">
        <v>0</v>
      </c>
      <c r="I910" s="7">
        <v>0</v>
      </c>
      <c r="J910" s="7">
        <v>0</v>
      </c>
      <c r="K910" s="7">
        <v>0</v>
      </c>
      <c r="L910" s="7">
        <v>0</v>
      </c>
      <c r="M910" s="7">
        <v>0</v>
      </c>
      <c r="N910" s="7">
        <v>0</v>
      </c>
      <c r="O910" s="7">
        <v>0</v>
      </c>
      <c r="P910" s="7">
        <v>0</v>
      </c>
      <c r="Q910" s="7">
        <v>0</v>
      </c>
    </row>
    <row r="911" spans="1:17">
      <c r="A911" s="2">
        <v>2859</v>
      </c>
      <c r="B911" s="7">
        <v>0</v>
      </c>
      <c r="C911" s="7">
        <v>0</v>
      </c>
      <c r="D911" s="7">
        <v>0</v>
      </c>
      <c r="E911" s="7">
        <v>0</v>
      </c>
      <c r="F911" s="7">
        <v>0</v>
      </c>
      <c r="G911" s="7">
        <v>0</v>
      </c>
      <c r="H911" s="7">
        <v>0</v>
      </c>
      <c r="I911" s="7">
        <v>0</v>
      </c>
      <c r="J911" s="7">
        <v>0</v>
      </c>
      <c r="K911" s="7">
        <v>0</v>
      </c>
      <c r="L911" s="7">
        <v>0</v>
      </c>
      <c r="M911" s="7">
        <v>0</v>
      </c>
      <c r="N911" s="7">
        <v>0</v>
      </c>
      <c r="O911" s="7">
        <v>0</v>
      </c>
      <c r="P911" s="7">
        <v>0</v>
      </c>
      <c r="Q911" s="7">
        <v>0</v>
      </c>
    </row>
    <row r="912" spans="1:17">
      <c r="A912" s="2">
        <v>2860</v>
      </c>
      <c r="B912" s="7">
        <v>0</v>
      </c>
      <c r="C912" s="7">
        <v>0</v>
      </c>
      <c r="D912" s="7">
        <v>0</v>
      </c>
      <c r="E912" s="7">
        <v>0</v>
      </c>
      <c r="F912" s="7">
        <v>0</v>
      </c>
      <c r="G912" s="7">
        <v>0</v>
      </c>
      <c r="H912" s="7">
        <v>0</v>
      </c>
      <c r="I912" s="7">
        <v>0</v>
      </c>
      <c r="J912" s="7">
        <v>0</v>
      </c>
      <c r="K912" s="7">
        <v>0</v>
      </c>
      <c r="L912" s="7">
        <v>0</v>
      </c>
      <c r="M912" s="7">
        <v>0</v>
      </c>
      <c r="N912" s="7">
        <v>0</v>
      </c>
      <c r="O912" s="7">
        <v>0</v>
      </c>
      <c r="P912" s="7">
        <v>0</v>
      </c>
      <c r="Q912" s="7">
        <v>0</v>
      </c>
    </row>
    <row r="913" spans="1:17">
      <c r="A913" s="2">
        <v>2861</v>
      </c>
      <c r="B913" s="7">
        <v>0</v>
      </c>
      <c r="C913" s="7">
        <v>0</v>
      </c>
      <c r="D913" s="7">
        <v>0</v>
      </c>
      <c r="E913" s="7">
        <v>0</v>
      </c>
      <c r="F913" s="7">
        <v>0</v>
      </c>
      <c r="G913" s="7">
        <v>0</v>
      </c>
      <c r="H913" s="7">
        <v>0</v>
      </c>
      <c r="I913" s="7">
        <v>0</v>
      </c>
      <c r="J913" s="7">
        <v>0</v>
      </c>
      <c r="K913" s="7">
        <v>0</v>
      </c>
      <c r="L913" s="7">
        <v>0</v>
      </c>
      <c r="M913" s="7">
        <v>0</v>
      </c>
      <c r="N913" s="7">
        <v>0</v>
      </c>
      <c r="O913" s="7">
        <v>0</v>
      </c>
      <c r="P913" s="7">
        <v>0</v>
      </c>
      <c r="Q913" s="7">
        <v>0</v>
      </c>
    </row>
    <row r="914" spans="1:17">
      <c r="A914" s="2">
        <v>2862</v>
      </c>
      <c r="B914" s="7">
        <v>0</v>
      </c>
      <c r="C914" s="7">
        <v>0</v>
      </c>
      <c r="D914" s="7">
        <v>0</v>
      </c>
      <c r="E914" s="7">
        <v>0</v>
      </c>
      <c r="F914" s="7">
        <v>0</v>
      </c>
      <c r="G914" s="7">
        <v>0</v>
      </c>
      <c r="H914" s="7">
        <v>0</v>
      </c>
      <c r="I914" s="7">
        <v>0</v>
      </c>
      <c r="J914" s="7">
        <v>0</v>
      </c>
      <c r="K914" s="7">
        <v>0</v>
      </c>
      <c r="L914" s="7">
        <v>0</v>
      </c>
      <c r="M914" s="7">
        <v>0</v>
      </c>
      <c r="N914" s="7">
        <v>0</v>
      </c>
      <c r="O914" s="7">
        <v>0</v>
      </c>
      <c r="P914" s="7">
        <v>0</v>
      </c>
      <c r="Q914" s="7">
        <v>0</v>
      </c>
    </row>
    <row r="915" spans="1:17">
      <c r="A915" s="2">
        <v>2863</v>
      </c>
      <c r="B915" s="7">
        <v>0</v>
      </c>
      <c r="C915" s="7">
        <v>0</v>
      </c>
      <c r="D915" s="7">
        <v>0</v>
      </c>
      <c r="E915" s="7">
        <v>0</v>
      </c>
      <c r="F915" s="7">
        <v>0</v>
      </c>
      <c r="G915" s="7">
        <v>0</v>
      </c>
      <c r="H915" s="7">
        <v>0</v>
      </c>
      <c r="I915" s="7">
        <v>0</v>
      </c>
      <c r="J915" s="7">
        <v>0</v>
      </c>
      <c r="K915" s="7">
        <v>0</v>
      </c>
      <c r="L915" s="7">
        <v>0</v>
      </c>
      <c r="M915" s="7">
        <v>0</v>
      </c>
      <c r="N915" s="7">
        <v>0</v>
      </c>
      <c r="O915" s="7">
        <v>0</v>
      </c>
      <c r="P915" s="7">
        <v>0</v>
      </c>
      <c r="Q915" s="7">
        <v>0</v>
      </c>
    </row>
    <row r="916" spans="1:17">
      <c r="A916" s="2">
        <v>2864</v>
      </c>
      <c r="B916" s="7">
        <v>0</v>
      </c>
      <c r="C916" s="7">
        <v>0</v>
      </c>
      <c r="D916" s="7">
        <v>0</v>
      </c>
      <c r="E916" s="7">
        <v>0</v>
      </c>
      <c r="F916" s="7">
        <v>0</v>
      </c>
      <c r="G916" s="7">
        <v>0</v>
      </c>
      <c r="H916" s="7">
        <v>0</v>
      </c>
      <c r="I916" s="7">
        <v>0</v>
      </c>
      <c r="J916" s="7">
        <v>0</v>
      </c>
      <c r="K916" s="7">
        <v>0</v>
      </c>
      <c r="L916" s="7">
        <v>0</v>
      </c>
      <c r="M916" s="7">
        <v>0</v>
      </c>
      <c r="N916" s="7">
        <v>0</v>
      </c>
      <c r="O916" s="7">
        <v>0</v>
      </c>
      <c r="P916" s="7">
        <v>0</v>
      </c>
      <c r="Q916" s="7">
        <v>0</v>
      </c>
    </row>
    <row r="917" spans="1:17">
      <c r="A917" s="2">
        <v>2865</v>
      </c>
      <c r="B917" s="7">
        <v>0</v>
      </c>
      <c r="C917" s="7">
        <v>0</v>
      </c>
      <c r="D917" s="7">
        <v>0</v>
      </c>
      <c r="E917" s="7">
        <v>0</v>
      </c>
      <c r="F917" s="7">
        <v>0</v>
      </c>
      <c r="G917" s="7">
        <v>0</v>
      </c>
      <c r="H917" s="7">
        <v>0</v>
      </c>
      <c r="I917" s="7">
        <v>0</v>
      </c>
      <c r="J917" s="7">
        <v>0</v>
      </c>
      <c r="K917" s="7">
        <v>0</v>
      </c>
      <c r="L917" s="7">
        <v>0</v>
      </c>
      <c r="M917" s="7">
        <v>0</v>
      </c>
      <c r="N917" s="7">
        <v>0</v>
      </c>
      <c r="O917" s="7">
        <v>0</v>
      </c>
      <c r="P917" s="7">
        <v>0</v>
      </c>
      <c r="Q917" s="7">
        <v>0</v>
      </c>
    </row>
    <row r="918" spans="1:17">
      <c r="A918" s="2">
        <v>2866</v>
      </c>
      <c r="B918" s="7">
        <v>0</v>
      </c>
      <c r="C918" s="7">
        <v>0</v>
      </c>
      <c r="D918" s="7">
        <v>0</v>
      </c>
      <c r="E918" s="7">
        <v>0</v>
      </c>
      <c r="F918" s="7">
        <v>0</v>
      </c>
      <c r="G918" s="7">
        <v>0</v>
      </c>
      <c r="H918" s="7">
        <v>0</v>
      </c>
      <c r="I918" s="7">
        <v>0</v>
      </c>
      <c r="J918" s="7">
        <v>0</v>
      </c>
      <c r="K918" s="7">
        <v>0</v>
      </c>
      <c r="L918" s="7">
        <v>0</v>
      </c>
      <c r="M918" s="7">
        <v>0</v>
      </c>
      <c r="N918" s="7">
        <v>0</v>
      </c>
      <c r="O918" s="7">
        <v>0</v>
      </c>
      <c r="P918" s="7">
        <v>0</v>
      </c>
      <c r="Q918" s="7">
        <v>0</v>
      </c>
    </row>
    <row r="919" spans="1:17">
      <c r="A919" s="2">
        <v>2867</v>
      </c>
      <c r="B919" s="7">
        <v>0</v>
      </c>
      <c r="C919" s="7">
        <v>0</v>
      </c>
      <c r="D919" s="7">
        <v>0</v>
      </c>
      <c r="E919" s="7">
        <v>0</v>
      </c>
      <c r="F919" s="7">
        <v>0</v>
      </c>
      <c r="G919" s="7">
        <v>0</v>
      </c>
      <c r="H919" s="7">
        <v>0</v>
      </c>
      <c r="I919" s="7">
        <v>0</v>
      </c>
      <c r="J919" s="7">
        <v>0</v>
      </c>
      <c r="K919" s="7">
        <v>0</v>
      </c>
      <c r="L919" s="7">
        <v>0</v>
      </c>
      <c r="M919" s="7">
        <v>0</v>
      </c>
      <c r="N919" s="7">
        <v>0</v>
      </c>
      <c r="O919" s="7">
        <v>0</v>
      </c>
      <c r="P919" s="7">
        <v>0</v>
      </c>
      <c r="Q919" s="7">
        <v>0</v>
      </c>
    </row>
    <row r="920" spans="1:17">
      <c r="A920" s="2">
        <v>2868</v>
      </c>
      <c r="B920" s="7">
        <v>0</v>
      </c>
      <c r="C920" s="7">
        <v>0</v>
      </c>
      <c r="D920" s="7">
        <v>0</v>
      </c>
      <c r="E920" s="7">
        <v>0</v>
      </c>
      <c r="F920" s="7">
        <v>0</v>
      </c>
      <c r="G920" s="7">
        <v>0</v>
      </c>
      <c r="H920" s="7">
        <v>0</v>
      </c>
      <c r="I920" s="7">
        <v>0</v>
      </c>
      <c r="J920" s="7">
        <v>0</v>
      </c>
      <c r="K920" s="7">
        <v>0</v>
      </c>
      <c r="L920" s="7">
        <v>0</v>
      </c>
      <c r="M920" s="7">
        <v>0</v>
      </c>
      <c r="N920" s="7">
        <v>0</v>
      </c>
      <c r="O920" s="7">
        <v>0</v>
      </c>
      <c r="P920" s="7">
        <v>0</v>
      </c>
      <c r="Q920" s="7">
        <v>0</v>
      </c>
    </row>
    <row r="921" spans="1:17">
      <c r="A921" s="2">
        <v>2869</v>
      </c>
      <c r="B921" s="7">
        <v>0</v>
      </c>
      <c r="C921" s="7">
        <v>0</v>
      </c>
      <c r="D921" s="7">
        <v>0</v>
      </c>
      <c r="E921" s="7">
        <v>0</v>
      </c>
      <c r="F921" s="7">
        <v>0</v>
      </c>
      <c r="G921" s="7">
        <v>0</v>
      </c>
      <c r="H921" s="7">
        <v>0</v>
      </c>
      <c r="I921" s="7">
        <v>0</v>
      </c>
      <c r="J921" s="7">
        <v>0</v>
      </c>
      <c r="K921" s="7">
        <v>0</v>
      </c>
      <c r="L921" s="7">
        <v>0</v>
      </c>
      <c r="M921" s="7">
        <v>0</v>
      </c>
      <c r="N921" s="7">
        <v>0</v>
      </c>
      <c r="O921" s="7">
        <v>0</v>
      </c>
      <c r="P921" s="7">
        <v>0</v>
      </c>
      <c r="Q921" s="7">
        <v>0</v>
      </c>
    </row>
    <row r="922" spans="1:17">
      <c r="A922" s="2">
        <v>2870</v>
      </c>
      <c r="B922" s="7">
        <v>0</v>
      </c>
      <c r="C922" s="7">
        <v>0</v>
      </c>
      <c r="D922" s="7">
        <v>0</v>
      </c>
      <c r="E922" s="7">
        <v>0</v>
      </c>
      <c r="F922" s="7">
        <v>0</v>
      </c>
      <c r="G922" s="7">
        <v>0</v>
      </c>
      <c r="H922" s="7">
        <v>0</v>
      </c>
      <c r="I922" s="7">
        <v>0</v>
      </c>
      <c r="J922" s="7">
        <v>0</v>
      </c>
      <c r="K922" s="7">
        <v>0</v>
      </c>
      <c r="L922" s="7">
        <v>0</v>
      </c>
      <c r="M922" s="7">
        <v>0</v>
      </c>
      <c r="N922" s="7">
        <v>0</v>
      </c>
      <c r="O922" s="7">
        <v>0</v>
      </c>
      <c r="P922" s="7">
        <v>0</v>
      </c>
      <c r="Q922" s="7">
        <v>0</v>
      </c>
    </row>
    <row r="923" spans="1:17">
      <c r="A923" s="2">
        <v>2871</v>
      </c>
      <c r="B923" s="7">
        <v>0</v>
      </c>
      <c r="C923" s="7">
        <v>0</v>
      </c>
      <c r="D923" s="7">
        <v>0</v>
      </c>
      <c r="E923" s="7">
        <v>0</v>
      </c>
      <c r="F923" s="7">
        <v>0</v>
      </c>
      <c r="G923" s="7">
        <v>0</v>
      </c>
      <c r="H923" s="7">
        <v>0</v>
      </c>
      <c r="I923" s="7">
        <v>0</v>
      </c>
      <c r="J923" s="7">
        <v>0</v>
      </c>
      <c r="K923" s="7">
        <v>0</v>
      </c>
      <c r="L923" s="7">
        <v>0</v>
      </c>
      <c r="M923" s="7">
        <v>0</v>
      </c>
      <c r="N923" s="7">
        <v>0</v>
      </c>
      <c r="O923" s="7">
        <v>0</v>
      </c>
      <c r="P923" s="7">
        <v>0</v>
      </c>
      <c r="Q923" s="7">
        <v>0</v>
      </c>
    </row>
    <row r="924" spans="1:17">
      <c r="A924" s="2">
        <v>2872</v>
      </c>
      <c r="B924" s="7">
        <v>0</v>
      </c>
      <c r="C924" s="7">
        <v>0</v>
      </c>
      <c r="D924" s="7">
        <v>0</v>
      </c>
      <c r="E924" s="7">
        <v>0</v>
      </c>
      <c r="F924" s="7">
        <v>0</v>
      </c>
      <c r="G924" s="7">
        <v>0</v>
      </c>
      <c r="H924" s="7">
        <v>0</v>
      </c>
      <c r="I924" s="7">
        <v>0</v>
      </c>
      <c r="J924" s="7">
        <v>0</v>
      </c>
      <c r="K924" s="7">
        <v>0</v>
      </c>
      <c r="L924" s="7">
        <v>0</v>
      </c>
      <c r="M924" s="7">
        <v>0</v>
      </c>
      <c r="N924" s="7">
        <v>0</v>
      </c>
      <c r="O924" s="7">
        <v>0</v>
      </c>
      <c r="P924" s="7">
        <v>0</v>
      </c>
      <c r="Q924" s="7">
        <v>0</v>
      </c>
    </row>
    <row r="925" spans="1:17">
      <c r="A925" s="2">
        <v>2873</v>
      </c>
      <c r="B925" s="7">
        <v>0</v>
      </c>
      <c r="C925" s="7">
        <v>0</v>
      </c>
      <c r="D925" s="7">
        <v>0</v>
      </c>
      <c r="E925" s="7">
        <v>0</v>
      </c>
      <c r="F925" s="7">
        <v>0</v>
      </c>
      <c r="G925" s="7">
        <v>0</v>
      </c>
      <c r="H925" s="7">
        <v>0</v>
      </c>
      <c r="I925" s="7">
        <v>0</v>
      </c>
      <c r="J925" s="7">
        <v>0</v>
      </c>
      <c r="K925" s="7">
        <v>0</v>
      </c>
      <c r="L925" s="7">
        <v>0</v>
      </c>
      <c r="M925" s="7">
        <v>0</v>
      </c>
      <c r="N925" s="7">
        <v>0</v>
      </c>
      <c r="O925" s="7">
        <v>0</v>
      </c>
      <c r="P925" s="7">
        <v>0</v>
      </c>
      <c r="Q925" s="7">
        <v>0</v>
      </c>
    </row>
    <row r="926" spans="1:17">
      <c r="A926" s="2">
        <v>2874</v>
      </c>
      <c r="B926" s="7">
        <v>0</v>
      </c>
      <c r="C926" s="7">
        <v>0</v>
      </c>
      <c r="D926" s="7">
        <v>0</v>
      </c>
      <c r="E926" s="7">
        <v>0</v>
      </c>
      <c r="F926" s="7">
        <v>0</v>
      </c>
      <c r="G926" s="7">
        <v>0</v>
      </c>
      <c r="H926" s="7">
        <v>0</v>
      </c>
      <c r="I926" s="7">
        <v>0</v>
      </c>
      <c r="J926" s="7">
        <v>0</v>
      </c>
      <c r="K926" s="7">
        <v>0</v>
      </c>
      <c r="L926" s="7">
        <v>0</v>
      </c>
      <c r="M926" s="7">
        <v>0</v>
      </c>
      <c r="N926" s="7">
        <v>0</v>
      </c>
      <c r="O926" s="7">
        <v>0</v>
      </c>
      <c r="P926" s="7">
        <v>0</v>
      </c>
      <c r="Q926" s="7">
        <v>0</v>
      </c>
    </row>
    <row r="927" spans="1:17">
      <c r="A927" s="2">
        <v>2875</v>
      </c>
      <c r="B927" s="7">
        <v>0</v>
      </c>
      <c r="C927" s="7">
        <v>0</v>
      </c>
      <c r="D927" s="7">
        <v>0</v>
      </c>
      <c r="E927" s="7">
        <v>0</v>
      </c>
      <c r="F927" s="7">
        <v>0</v>
      </c>
      <c r="G927" s="7">
        <v>0</v>
      </c>
      <c r="H927" s="7">
        <v>0</v>
      </c>
      <c r="I927" s="7">
        <v>0</v>
      </c>
      <c r="J927" s="7">
        <v>0</v>
      </c>
      <c r="K927" s="7">
        <v>0</v>
      </c>
      <c r="L927" s="7">
        <v>0</v>
      </c>
      <c r="M927" s="7">
        <v>0</v>
      </c>
      <c r="N927" s="7">
        <v>0</v>
      </c>
      <c r="O927" s="7">
        <v>0</v>
      </c>
      <c r="P927" s="7">
        <v>0</v>
      </c>
      <c r="Q927" s="7">
        <v>0</v>
      </c>
    </row>
    <row r="928" spans="1:17">
      <c r="A928" s="2">
        <v>2876</v>
      </c>
      <c r="B928" s="7">
        <v>0</v>
      </c>
      <c r="C928" s="7">
        <v>0</v>
      </c>
      <c r="D928" s="7">
        <v>0</v>
      </c>
      <c r="E928" s="7">
        <v>0</v>
      </c>
      <c r="F928" s="7">
        <v>0</v>
      </c>
      <c r="G928" s="7">
        <v>0</v>
      </c>
      <c r="H928" s="7">
        <v>0</v>
      </c>
      <c r="I928" s="7">
        <v>0</v>
      </c>
      <c r="J928" s="7">
        <v>0</v>
      </c>
      <c r="K928" s="7">
        <v>0</v>
      </c>
      <c r="L928" s="7">
        <v>0</v>
      </c>
      <c r="M928" s="7">
        <v>0</v>
      </c>
      <c r="N928" s="7">
        <v>0</v>
      </c>
      <c r="O928" s="7">
        <v>0</v>
      </c>
      <c r="P928" s="7">
        <v>0</v>
      </c>
      <c r="Q928" s="7">
        <v>0</v>
      </c>
    </row>
    <row r="929" spans="1:17">
      <c r="A929" s="2">
        <v>2877</v>
      </c>
      <c r="B929" s="7">
        <v>0</v>
      </c>
      <c r="C929" s="7">
        <v>0</v>
      </c>
      <c r="D929" s="7">
        <v>0</v>
      </c>
      <c r="E929" s="7">
        <v>0</v>
      </c>
      <c r="F929" s="7">
        <v>0</v>
      </c>
      <c r="G929" s="7">
        <v>0</v>
      </c>
      <c r="H929" s="7">
        <v>0</v>
      </c>
      <c r="I929" s="7">
        <v>0</v>
      </c>
      <c r="J929" s="7">
        <v>0</v>
      </c>
      <c r="K929" s="7">
        <v>0</v>
      </c>
      <c r="L929" s="7">
        <v>0</v>
      </c>
      <c r="M929" s="7">
        <v>0</v>
      </c>
      <c r="N929" s="7">
        <v>0</v>
      </c>
      <c r="O929" s="7">
        <v>0</v>
      </c>
      <c r="P929" s="7">
        <v>0</v>
      </c>
      <c r="Q929" s="7">
        <v>0</v>
      </c>
    </row>
    <row r="930" spans="1:17">
      <c r="A930" s="2">
        <v>2878</v>
      </c>
      <c r="B930" s="7">
        <v>0</v>
      </c>
      <c r="C930" s="7">
        <v>0</v>
      </c>
      <c r="D930" s="7">
        <v>0</v>
      </c>
      <c r="E930" s="7">
        <v>0</v>
      </c>
      <c r="F930" s="7">
        <v>0</v>
      </c>
      <c r="G930" s="7">
        <v>0</v>
      </c>
      <c r="H930" s="7">
        <v>0</v>
      </c>
      <c r="I930" s="7">
        <v>0</v>
      </c>
      <c r="J930" s="7">
        <v>0</v>
      </c>
      <c r="K930" s="7">
        <v>0</v>
      </c>
      <c r="L930" s="7">
        <v>0</v>
      </c>
      <c r="M930" s="7">
        <v>0</v>
      </c>
      <c r="N930" s="7">
        <v>0</v>
      </c>
      <c r="O930" s="7">
        <v>0</v>
      </c>
      <c r="P930" s="7">
        <v>0</v>
      </c>
      <c r="Q930" s="7">
        <v>0</v>
      </c>
    </row>
    <row r="931" spans="1:17">
      <c r="A931" s="2">
        <v>2879</v>
      </c>
      <c r="B931" s="7">
        <v>0</v>
      </c>
      <c r="C931" s="7">
        <v>0</v>
      </c>
      <c r="D931" s="7">
        <v>0</v>
      </c>
      <c r="E931" s="7">
        <v>0</v>
      </c>
      <c r="F931" s="7">
        <v>0</v>
      </c>
      <c r="G931" s="7">
        <v>0</v>
      </c>
      <c r="H931" s="7">
        <v>0</v>
      </c>
      <c r="I931" s="7">
        <v>0</v>
      </c>
      <c r="J931" s="7">
        <v>0</v>
      </c>
      <c r="K931" s="7">
        <v>0</v>
      </c>
      <c r="L931" s="7">
        <v>0</v>
      </c>
      <c r="M931" s="7">
        <v>0</v>
      </c>
      <c r="N931" s="7">
        <v>0</v>
      </c>
      <c r="O931" s="7">
        <v>0</v>
      </c>
      <c r="P931" s="7">
        <v>0</v>
      </c>
      <c r="Q931" s="7">
        <v>0</v>
      </c>
    </row>
    <row r="932" spans="1:17">
      <c r="A932" s="2">
        <v>2880</v>
      </c>
      <c r="B932" s="7">
        <v>0</v>
      </c>
      <c r="C932" s="7">
        <v>0</v>
      </c>
      <c r="D932" s="7">
        <v>0</v>
      </c>
      <c r="E932" s="7">
        <v>0</v>
      </c>
      <c r="F932" s="7">
        <v>0</v>
      </c>
      <c r="G932" s="7">
        <v>0</v>
      </c>
      <c r="H932" s="7">
        <v>0</v>
      </c>
      <c r="I932" s="7">
        <v>0</v>
      </c>
      <c r="J932" s="7">
        <v>0</v>
      </c>
      <c r="K932" s="7">
        <v>0</v>
      </c>
      <c r="L932" s="7">
        <v>0</v>
      </c>
      <c r="M932" s="7">
        <v>0</v>
      </c>
      <c r="N932" s="7">
        <v>0</v>
      </c>
      <c r="O932" s="7">
        <v>0</v>
      </c>
      <c r="P932" s="7">
        <v>0</v>
      </c>
      <c r="Q932" s="7">
        <v>0</v>
      </c>
    </row>
    <row r="933" spans="1:17">
      <c r="A933" s="2">
        <v>2881</v>
      </c>
      <c r="B933" s="7">
        <v>0</v>
      </c>
      <c r="C933" s="7">
        <v>0</v>
      </c>
      <c r="D933" s="7">
        <v>0</v>
      </c>
      <c r="E933" s="7">
        <v>0</v>
      </c>
      <c r="F933" s="7">
        <v>0</v>
      </c>
      <c r="G933" s="7">
        <v>0</v>
      </c>
      <c r="H933" s="7">
        <v>0</v>
      </c>
      <c r="I933" s="7">
        <v>0</v>
      </c>
      <c r="J933" s="7">
        <v>0</v>
      </c>
      <c r="K933" s="7">
        <v>0</v>
      </c>
      <c r="L933" s="7">
        <v>0</v>
      </c>
      <c r="M933" s="7">
        <v>0</v>
      </c>
      <c r="N933" s="7">
        <v>0</v>
      </c>
      <c r="O933" s="7">
        <v>0</v>
      </c>
      <c r="P933" s="7">
        <v>0</v>
      </c>
      <c r="Q933" s="7">
        <v>0</v>
      </c>
    </row>
    <row r="934" spans="1:17">
      <c r="A934" s="2">
        <v>2882</v>
      </c>
      <c r="B934" s="7">
        <v>0</v>
      </c>
      <c r="C934" s="7">
        <v>0</v>
      </c>
      <c r="D934" s="7">
        <v>0</v>
      </c>
      <c r="E934" s="7">
        <v>0</v>
      </c>
      <c r="F934" s="7">
        <v>0</v>
      </c>
      <c r="G934" s="7">
        <v>0</v>
      </c>
      <c r="H934" s="7">
        <v>0</v>
      </c>
      <c r="I934" s="7">
        <v>0</v>
      </c>
      <c r="J934" s="7">
        <v>0</v>
      </c>
      <c r="K934" s="7">
        <v>0</v>
      </c>
      <c r="L934" s="7">
        <v>0</v>
      </c>
      <c r="M934" s="7">
        <v>0</v>
      </c>
      <c r="N934" s="7">
        <v>0</v>
      </c>
      <c r="O934" s="7">
        <v>0</v>
      </c>
      <c r="P934" s="7">
        <v>0</v>
      </c>
      <c r="Q934" s="7">
        <v>0</v>
      </c>
    </row>
    <row r="935" spans="1:17">
      <c r="A935" s="2">
        <v>2883</v>
      </c>
      <c r="B935" s="7">
        <v>0</v>
      </c>
      <c r="C935" s="7">
        <v>0</v>
      </c>
      <c r="D935" s="7">
        <v>0</v>
      </c>
      <c r="E935" s="7">
        <v>0</v>
      </c>
      <c r="F935" s="7">
        <v>0</v>
      </c>
      <c r="G935" s="7">
        <v>0</v>
      </c>
      <c r="H935" s="7">
        <v>0</v>
      </c>
      <c r="I935" s="7">
        <v>0</v>
      </c>
      <c r="J935" s="7">
        <v>0</v>
      </c>
      <c r="K935" s="7">
        <v>0</v>
      </c>
      <c r="L935" s="7">
        <v>0</v>
      </c>
      <c r="M935" s="7">
        <v>0</v>
      </c>
      <c r="N935" s="7">
        <v>0</v>
      </c>
      <c r="O935" s="7">
        <v>0</v>
      </c>
      <c r="P935" s="7">
        <v>0</v>
      </c>
      <c r="Q935" s="7">
        <v>0</v>
      </c>
    </row>
    <row r="936" spans="1:17">
      <c r="A936" s="2">
        <v>2884</v>
      </c>
      <c r="B936" s="7">
        <v>0</v>
      </c>
      <c r="C936" s="7">
        <v>0</v>
      </c>
      <c r="D936" s="7">
        <v>0</v>
      </c>
      <c r="E936" s="7">
        <v>0</v>
      </c>
      <c r="F936" s="7">
        <v>0</v>
      </c>
      <c r="G936" s="7">
        <v>0</v>
      </c>
      <c r="H936" s="7">
        <v>0</v>
      </c>
      <c r="I936" s="7">
        <v>0</v>
      </c>
      <c r="J936" s="7">
        <v>0</v>
      </c>
      <c r="K936" s="7">
        <v>0</v>
      </c>
      <c r="L936" s="7">
        <v>0</v>
      </c>
      <c r="M936" s="7">
        <v>0</v>
      </c>
      <c r="N936" s="7">
        <v>0</v>
      </c>
      <c r="O936" s="7">
        <v>0</v>
      </c>
      <c r="P936" s="7">
        <v>0</v>
      </c>
      <c r="Q936" s="7">
        <v>0</v>
      </c>
    </row>
    <row r="937" spans="1:17">
      <c r="A937" s="2">
        <v>2885</v>
      </c>
      <c r="B937" s="7">
        <v>0</v>
      </c>
      <c r="C937" s="7">
        <v>0</v>
      </c>
      <c r="D937" s="7">
        <v>0</v>
      </c>
      <c r="E937" s="7">
        <v>0</v>
      </c>
      <c r="F937" s="7">
        <v>0</v>
      </c>
      <c r="G937" s="7">
        <v>0</v>
      </c>
      <c r="H937" s="7">
        <v>0</v>
      </c>
      <c r="I937" s="7">
        <v>0</v>
      </c>
      <c r="J937" s="7">
        <v>0</v>
      </c>
      <c r="K937" s="7">
        <v>0</v>
      </c>
      <c r="L937" s="7">
        <v>0</v>
      </c>
      <c r="M937" s="7">
        <v>0</v>
      </c>
      <c r="N937" s="7">
        <v>0</v>
      </c>
      <c r="O937" s="7">
        <v>0</v>
      </c>
      <c r="P937" s="7">
        <v>0</v>
      </c>
      <c r="Q937" s="7">
        <v>0</v>
      </c>
    </row>
    <row r="938" spans="1:17">
      <c r="A938" s="2">
        <v>2886</v>
      </c>
      <c r="B938" s="7">
        <v>0</v>
      </c>
      <c r="C938" s="7">
        <v>0</v>
      </c>
      <c r="D938" s="7">
        <v>0</v>
      </c>
      <c r="E938" s="7">
        <v>0</v>
      </c>
      <c r="F938" s="7">
        <v>0</v>
      </c>
      <c r="G938" s="7">
        <v>0</v>
      </c>
      <c r="H938" s="7">
        <v>0</v>
      </c>
      <c r="I938" s="7">
        <v>0</v>
      </c>
      <c r="J938" s="7">
        <v>0</v>
      </c>
      <c r="K938" s="7">
        <v>0</v>
      </c>
      <c r="L938" s="7">
        <v>0</v>
      </c>
      <c r="M938" s="7">
        <v>0</v>
      </c>
      <c r="N938" s="7">
        <v>0</v>
      </c>
      <c r="O938" s="7">
        <v>0</v>
      </c>
      <c r="P938" s="7">
        <v>0</v>
      </c>
      <c r="Q938" s="7">
        <v>0</v>
      </c>
    </row>
    <row r="939" spans="1:17">
      <c r="A939" s="2">
        <v>2887</v>
      </c>
      <c r="B939" s="7">
        <v>0</v>
      </c>
      <c r="C939" s="7">
        <v>0</v>
      </c>
      <c r="D939" s="7">
        <v>0</v>
      </c>
      <c r="E939" s="7">
        <v>0</v>
      </c>
      <c r="F939" s="7">
        <v>0</v>
      </c>
      <c r="G939" s="7">
        <v>0</v>
      </c>
      <c r="H939" s="7">
        <v>0</v>
      </c>
      <c r="I939" s="7">
        <v>0</v>
      </c>
      <c r="J939" s="7">
        <v>0</v>
      </c>
      <c r="K939" s="7">
        <v>0</v>
      </c>
      <c r="L939" s="7">
        <v>0</v>
      </c>
      <c r="M939" s="7">
        <v>0</v>
      </c>
      <c r="N939" s="7">
        <v>0</v>
      </c>
      <c r="O939" s="7">
        <v>0</v>
      </c>
      <c r="P939" s="7">
        <v>0</v>
      </c>
      <c r="Q939" s="7">
        <v>0</v>
      </c>
    </row>
    <row r="940" spans="1:17">
      <c r="A940" s="2">
        <v>2888</v>
      </c>
      <c r="B940" s="7">
        <v>0</v>
      </c>
      <c r="C940" s="7">
        <v>0</v>
      </c>
      <c r="D940" s="7">
        <v>0</v>
      </c>
      <c r="E940" s="7">
        <v>0</v>
      </c>
      <c r="F940" s="7">
        <v>0</v>
      </c>
      <c r="G940" s="7">
        <v>0</v>
      </c>
      <c r="H940" s="7">
        <v>0</v>
      </c>
      <c r="I940" s="7">
        <v>0</v>
      </c>
      <c r="J940" s="7">
        <v>0</v>
      </c>
      <c r="K940" s="7">
        <v>0</v>
      </c>
      <c r="L940" s="7">
        <v>0</v>
      </c>
      <c r="M940" s="7">
        <v>0</v>
      </c>
      <c r="N940" s="7">
        <v>0</v>
      </c>
      <c r="O940" s="7">
        <v>0</v>
      </c>
      <c r="P940" s="7">
        <v>0</v>
      </c>
      <c r="Q940" s="7">
        <v>0</v>
      </c>
    </row>
    <row r="941" spans="1:17">
      <c r="A941" s="2">
        <v>2889</v>
      </c>
      <c r="B941" s="7">
        <v>0</v>
      </c>
      <c r="C941" s="7">
        <v>0</v>
      </c>
      <c r="D941" s="7">
        <v>0</v>
      </c>
      <c r="E941" s="7">
        <v>0</v>
      </c>
      <c r="F941" s="7">
        <v>0</v>
      </c>
      <c r="G941" s="7">
        <v>0</v>
      </c>
      <c r="H941" s="7">
        <v>0</v>
      </c>
      <c r="I941" s="7">
        <v>0</v>
      </c>
      <c r="J941" s="7">
        <v>0</v>
      </c>
      <c r="K941" s="7">
        <v>0</v>
      </c>
      <c r="L941" s="7">
        <v>0</v>
      </c>
      <c r="M941" s="7">
        <v>0</v>
      </c>
      <c r="N941" s="7">
        <v>0</v>
      </c>
      <c r="O941" s="7">
        <v>0</v>
      </c>
      <c r="P941" s="7">
        <v>0</v>
      </c>
      <c r="Q941" s="7">
        <v>0</v>
      </c>
    </row>
    <row r="942" spans="1:17">
      <c r="A942" s="2">
        <v>2890</v>
      </c>
      <c r="B942" s="7">
        <v>0</v>
      </c>
      <c r="C942" s="7">
        <v>0</v>
      </c>
      <c r="D942" s="7">
        <v>0</v>
      </c>
      <c r="E942" s="7">
        <v>0</v>
      </c>
      <c r="F942" s="7">
        <v>0</v>
      </c>
      <c r="G942" s="7">
        <v>0</v>
      </c>
      <c r="H942" s="7">
        <v>0</v>
      </c>
      <c r="I942" s="7">
        <v>0</v>
      </c>
      <c r="J942" s="7">
        <v>0</v>
      </c>
      <c r="K942" s="7">
        <v>0</v>
      </c>
      <c r="L942" s="7">
        <v>0</v>
      </c>
      <c r="M942" s="7">
        <v>0</v>
      </c>
      <c r="N942" s="7">
        <v>0</v>
      </c>
      <c r="O942" s="7">
        <v>0</v>
      </c>
      <c r="P942" s="7">
        <v>0</v>
      </c>
      <c r="Q942" s="7">
        <v>0</v>
      </c>
    </row>
    <row r="943" spans="1:17">
      <c r="A943" s="2">
        <v>2891</v>
      </c>
      <c r="B943" s="7">
        <v>0</v>
      </c>
      <c r="C943" s="7">
        <v>0</v>
      </c>
      <c r="D943" s="7">
        <v>0</v>
      </c>
      <c r="E943" s="7">
        <v>0</v>
      </c>
      <c r="F943" s="7">
        <v>0</v>
      </c>
      <c r="G943" s="7">
        <v>0</v>
      </c>
      <c r="H943" s="7">
        <v>0</v>
      </c>
      <c r="I943" s="7">
        <v>0</v>
      </c>
      <c r="J943" s="7">
        <v>0</v>
      </c>
      <c r="K943" s="7">
        <v>0</v>
      </c>
      <c r="L943" s="7">
        <v>0</v>
      </c>
      <c r="M943" s="7">
        <v>0</v>
      </c>
      <c r="N943" s="7">
        <v>0</v>
      </c>
      <c r="O943" s="7">
        <v>0</v>
      </c>
      <c r="P943" s="7">
        <v>0</v>
      </c>
      <c r="Q943" s="7">
        <v>0</v>
      </c>
    </row>
    <row r="944" spans="1:17">
      <c r="A944" s="2">
        <v>2892</v>
      </c>
      <c r="B944" s="7">
        <v>0</v>
      </c>
      <c r="C944" s="7">
        <v>0</v>
      </c>
      <c r="D944" s="7">
        <v>0</v>
      </c>
      <c r="E944" s="7">
        <v>0</v>
      </c>
      <c r="F944" s="7">
        <v>0</v>
      </c>
      <c r="G944" s="7">
        <v>0</v>
      </c>
      <c r="H944" s="7">
        <v>0</v>
      </c>
      <c r="I944" s="7">
        <v>0</v>
      </c>
      <c r="J944" s="7">
        <v>0</v>
      </c>
      <c r="K944" s="7">
        <v>0</v>
      </c>
      <c r="L944" s="7">
        <v>0</v>
      </c>
      <c r="M944" s="7">
        <v>0</v>
      </c>
      <c r="N944" s="7">
        <v>0</v>
      </c>
      <c r="O944" s="7">
        <v>0</v>
      </c>
      <c r="P944" s="7">
        <v>0</v>
      </c>
      <c r="Q944" s="7">
        <v>0</v>
      </c>
    </row>
    <row r="945" spans="1:17">
      <c r="A945" s="2">
        <v>2893</v>
      </c>
      <c r="B945" s="7">
        <v>0</v>
      </c>
      <c r="C945" s="7">
        <v>0</v>
      </c>
      <c r="D945" s="7">
        <v>0</v>
      </c>
      <c r="E945" s="7">
        <v>0</v>
      </c>
      <c r="F945" s="7">
        <v>0</v>
      </c>
      <c r="G945" s="7">
        <v>0</v>
      </c>
      <c r="H945" s="7">
        <v>0</v>
      </c>
      <c r="I945" s="7">
        <v>0</v>
      </c>
      <c r="J945" s="7">
        <v>0</v>
      </c>
      <c r="K945" s="7">
        <v>0</v>
      </c>
      <c r="L945" s="7">
        <v>0</v>
      </c>
      <c r="M945" s="7">
        <v>0</v>
      </c>
      <c r="N945" s="7">
        <v>0</v>
      </c>
      <c r="O945" s="7">
        <v>0</v>
      </c>
      <c r="P945" s="7">
        <v>0</v>
      </c>
      <c r="Q945" s="7">
        <v>0</v>
      </c>
    </row>
    <row r="946" spans="1:17">
      <c r="A946" s="2">
        <v>2894</v>
      </c>
      <c r="B946" s="7">
        <v>0</v>
      </c>
      <c r="C946" s="7">
        <v>0</v>
      </c>
      <c r="D946" s="7">
        <v>0</v>
      </c>
      <c r="E946" s="7">
        <v>0</v>
      </c>
      <c r="F946" s="7">
        <v>0</v>
      </c>
      <c r="G946" s="7">
        <v>0</v>
      </c>
      <c r="H946" s="7">
        <v>0</v>
      </c>
      <c r="I946" s="7">
        <v>0</v>
      </c>
      <c r="J946" s="7">
        <v>0</v>
      </c>
      <c r="K946" s="7">
        <v>0</v>
      </c>
      <c r="L946" s="7">
        <v>0</v>
      </c>
      <c r="M946" s="7">
        <v>0</v>
      </c>
      <c r="N946" s="7">
        <v>0</v>
      </c>
      <c r="O946" s="7">
        <v>0</v>
      </c>
      <c r="P946" s="7">
        <v>0</v>
      </c>
      <c r="Q946" s="7">
        <v>0</v>
      </c>
    </row>
    <row r="947" spans="1:17">
      <c r="A947" s="2">
        <v>2895</v>
      </c>
      <c r="B947" s="7">
        <v>0</v>
      </c>
      <c r="C947" s="7">
        <v>0</v>
      </c>
      <c r="D947" s="7">
        <v>0</v>
      </c>
      <c r="E947" s="7">
        <v>0</v>
      </c>
      <c r="F947" s="7">
        <v>0</v>
      </c>
      <c r="G947" s="7">
        <v>0</v>
      </c>
      <c r="H947" s="7">
        <v>0</v>
      </c>
      <c r="I947" s="7">
        <v>0</v>
      </c>
      <c r="J947" s="7">
        <v>0</v>
      </c>
      <c r="K947" s="7">
        <v>0</v>
      </c>
      <c r="L947" s="7">
        <v>0</v>
      </c>
      <c r="M947" s="7">
        <v>0</v>
      </c>
      <c r="N947" s="7">
        <v>0</v>
      </c>
      <c r="O947" s="7">
        <v>0</v>
      </c>
      <c r="P947" s="7">
        <v>0</v>
      </c>
      <c r="Q947" s="7">
        <v>0</v>
      </c>
    </row>
    <row r="948" spans="1:17">
      <c r="A948" s="2">
        <v>2896</v>
      </c>
      <c r="B948" s="7">
        <v>0</v>
      </c>
      <c r="C948" s="7">
        <v>0</v>
      </c>
      <c r="D948" s="7">
        <v>0</v>
      </c>
      <c r="E948" s="7">
        <v>0</v>
      </c>
      <c r="F948" s="7">
        <v>0</v>
      </c>
      <c r="G948" s="7">
        <v>0</v>
      </c>
      <c r="H948" s="7">
        <v>0</v>
      </c>
      <c r="I948" s="7">
        <v>0</v>
      </c>
      <c r="J948" s="7">
        <v>0</v>
      </c>
      <c r="K948" s="7">
        <v>0</v>
      </c>
      <c r="L948" s="7">
        <v>0</v>
      </c>
      <c r="M948" s="7">
        <v>0</v>
      </c>
      <c r="N948" s="7">
        <v>0</v>
      </c>
      <c r="O948" s="7">
        <v>0</v>
      </c>
      <c r="P948" s="7">
        <v>0</v>
      </c>
      <c r="Q948" s="7">
        <v>0</v>
      </c>
    </row>
    <row r="949" spans="1:17">
      <c r="A949" s="2">
        <v>2897</v>
      </c>
      <c r="B949" s="7">
        <v>0</v>
      </c>
      <c r="C949" s="7">
        <v>0</v>
      </c>
      <c r="D949" s="7">
        <v>0</v>
      </c>
      <c r="E949" s="7">
        <v>0</v>
      </c>
      <c r="F949" s="7">
        <v>0</v>
      </c>
      <c r="G949" s="7">
        <v>0</v>
      </c>
      <c r="H949" s="7">
        <v>0</v>
      </c>
      <c r="I949" s="7">
        <v>0</v>
      </c>
      <c r="J949" s="7">
        <v>0</v>
      </c>
      <c r="K949" s="7">
        <v>0</v>
      </c>
      <c r="L949" s="7">
        <v>0</v>
      </c>
      <c r="M949" s="7">
        <v>0</v>
      </c>
      <c r="N949" s="7">
        <v>0</v>
      </c>
      <c r="O949" s="7">
        <v>0</v>
      </c>
      <c r="P949" s="7">
        <v>0</v>
      </c>
      <c r="Q949" s="7">
        <v>0</v>
      </c>
    </row>
    <row r="950" spans="1:17">
      <c r="A950" s="2">
        <v>2898</v>
      </c>
      <c r="B950" s="7">
        <v>0</v>
      </c>
      <c r="C950" s="7">
        <v>0</v>
      </c>
      <c r="D950" s="7">
        <v>0</v>
      </c>
      <c r="E950" s="7">
        <v>0</v>
      </c>
      <c r="F950" s="7">
        <v>0</v>
      </c>
      <c r="G950" s="7">
        <v>0</v>
      </c>
      <c r="H950" s="7">
        <v>0</v>
      </c>
      <c r="I950" s="7">
        <v>0</v>
      </c>
      <c r="J950" s="7">
        <v>0</v>
      </c>
      <c r="K950" s="7">
        <v>0</v>
      </c>
      <c r="L950" s="7">
        <v>0</v>
      </c>
      <c r="M950" s="7">
        <v>0</v>
      </c>
      <c r="N950" s="7">
        <v>0</v>
      </c>
      <c r="O950" s="7">
        <v>0</v>
      </c>
      <c r="P950" s="7">
        <v>0</v>
      </c>
      <c r="Q950" s="7">
        <v>0</v>
      </c>
    </row>
    <row r="951" spans="1:17">
      <c r="A951" s="2">
        <v>2899</v>
      </c>
      <c r="B951" s="7">
        <v>0</v>
      </c>
      <c r="C951" s="7">
        <v>0</v>
      </c>
      <c r="D951" s="7">
        <v>0</v>
      </c>
      <c r="E951" s="7">
        <v>0</v>
      </c>
      <c r="F951" s="7">
        <v>0</v>
      </c>
      <c r="G951" s="7">
        <v>0</v>
      </c>
      <c r="H951" s="7">
        <v>0</v>
      </c>
      <c r="I951" s="7">
        <v>0</v>
      </c>
      <c r="J951" s="7">
        <v>0</v>
      </c>
      <c r="K951" s="7">
        <v>0</v>
      </c>
      <c r="L951" s="7">
        <v>0</v>
      </c>
      <c r="M951" s="7">
        <v>0</v>
      </c>
      <c r="N951" s="7">
        <v>0</v>
      </c>
      <c r="O951" s="7">
        <v>0</v>
      </c>
      <c r="P951" s="7">
        <v>0</v>
      </c>
      <c r="Q951" s="7">
        <v>0</v>
      </c>
    </row>
    <row r="952" spans="1:17">
      <c r="A952" s="2">
        <v>2900</v>
      </c>
      <c r="B952" s="7">
        <v>0</v>
      </c>
      <c r="C952" s="7">
        <v>0</v>
      </c>
      <c r="D952" s="7">
        <v>0</v>
      </c>
      <c r="E952" s="7">
        <v>0</v>
      </c>
      <c r="F952" s="7">
        <v>0</v>
      </c>
      <c r="G952" s="7">
        <v>0</v>
      </c>
      <c r="H952" s="7">
        <v>0</v>
      </c>
      <c r="I952" s="7">
        <v>0</v>
      </c>
      <c r="J952" s="7">
        <v>0</v>
      </c>
      <c r="K952" s="7">
        <v>0</v>
      </c>
      <c r="L952" s="7">
        <v>0</v>
      </c>
      <c r="M952" s="7">
        <v>0</v>
      </c>
      <c r="N952" s="7">
        <v>0</v>
      </c>
      <c r="O952" s="7">
        <v>0</v>
      </c>
      <c r="P952" s="7">
        <v>0</v>
      </c>
      <c r="Q952" s="7">
        <v>0</v>
      </c>
    </row>
    <row r="953" spans="1:17">
      <c r="A953" s="2">
        <v>2901</v>
      </c>
      <c r="B953" s="7">
        <v>0</v>
      </c>
      <c r="C953" s="7">
        <v>0</v>
      </c>
      <c r="D953" s="7">
        <v>0</v>
      </c>
      <c r="E953" s="7">
        <v>0</v>
      </c>
      <c r="F953" s="7">
        <v>0</v>
      </c>
      <c r="G953" s="7">
        <v>0</v>
      </c>
      <c r="H953" s="7">
        <v>0</v>
      </c>
      <c r="I953" s="7">
        <v>0</v>
      </c>
      <c r="J953" s="7">
        <v>0</v>
      </c>
      <c r="K953" s="7">
        <v>0</v>
      </c>
      <c r="L953" s="7">
        <v>0</v>
      </c>
      <c r="M953" s="7">
        <v>0</v>
      </c>
      <c r="N953" s="7">
        <v>0</v>
      </c>
      <c r="O953" s="7">
        <v>0</v>
      </c>
      <c r="P953" s="7">
        <v>0</v>
      </c>
      <c r="Q953" s="7">
        <v>0</v>
      </c>
    </row>
    <row r="954" spans="1:17">
      <c r="A954" s="2">
        <v>2902</v>
      </c>
      <c r="B954" s="7">
        <v>0</v>
      </c>
      <c r="C954" s="7">
        <v>0</v>
      </c>
      <c r="D954" s="7">
        <v>0</v>
      </c>
      <c r="E954" s="7">
        <v>0</v>
      </c>
      <c r="F954" s="7">
        <v>0</v>
      </c>
      <c r="G954" s="7">
        <v>0</v>
      </c>
      <c r="H954" s="7">
        <v>0</v>
      </c>
      <c r="I954" s="7">
        <v>0</v>
      </c>
      <c r="J954" s="7">
        <v>0</v>
      </c>
      <c r="K954" s="7">
        <v>0</v>
      </c>
      <c r="L954" s="7">
        <v>0</v>
      </c>
      <c r="M954" s="7">
        <v>0</v>
      </c>
      <c r="N954" s="7">
        <v>0</v>
      </c>
      <c r="O954" s="7">
        <v>0</v>
      </c>
      <c r="P954" s="7">
        <v>0</v>
      </c>
      <c r="Q954" s="7">
        <v>0</v>
      </c>
    </row>
    <row r="955" spans="1:17">
      <c r="A955" s="2">
        <v>2903</v>
      </c>
      <c r="B955" s="7">
        <v>0</v>
      </c>
      <c r="C955" s="7">
        <v>0</v>
      </c>
      <c r="D955" s="7">
        <v>0</v>
      </c>
      <c r="E955" s="7">
        <v>0</v>
      </c>
      <c r="F955" s="7">
        <v>0</v>
      </c>
      <c r="G955" s="7">
        <v>0</v>
      </c>
      <c r="H955" s="7">
        <v>0</v>
      </c>
      <c r="I955" s="7">
        <v>0</v>
      </c>
      <c r="J955" s="7">
        <v>0</v>
      </c>
      <c r="K955" s="7">
        <v>0</v>
      </c>
      <c r="L955" s="7">
        <v>0</v>
      </c>
      <c r="M955" s="7">
        <v>0</v>
      </c>
      <c r="N955" s="7">
        <v>0</v>
      </c>
      <c r="O955" s="7">
        <v>0</v>
      </c>
      <c r="P955" s="7">
        <v>0</v>
      </c>
      <c r="Q955" s="7">
        <v>0</v>
      </c>
    </row>
    <row r="956" spans="1:17">
      <c r="A956" s="2">
        <v>2904</v>
      </c>
      <c r="B956" s="7">
        <v>0</v>
      </c>
      <c r="C956" s="7">
        <v>0</v>
      </c>
      <c r="D956" s="7">
        <v>0</v>
      </c>
      <c r="E956" s="7">
        <v>0</v>
      </c>
      <c r="F956" s="7">
        <v>0</v>
      </c>
      <c r="G956" s="7">
        <v>0</v>
      </c>
      <c r="H956" s="7">
        <v>0</v>
      </c>
      <c r="I956" s="7">
        <v>0</v>
      </c>
      <c r="J956" s="7">
        <v>0</v>
      </c>
      <c r="K956" s="7">
        <v>0</v>
      </c>
      <c r="L956" s="7">
        <v>0</v>
      </c>
      <c r="M956" s="7">
        <v>0</v>
      </c>
      <c r="N956" s="7">
        <v>0</v>
      </c>
      <c r="O956" s="7">
        <v>0</v>
      </c>
      <c r="P956" s="7">
        <v>0</v>
      </c>
      <c r="Q956" s="7">
        <v>0</v>
      </c>
    </row>
    <row r="957" spans="1:17">
      <c r="A957" s="2">
        <v>2905</v>
      </c>
      <c r="B957" s="7">
        <v>0</v>
      </c>
      <c r="C957" s="7">
        <v>0</v>
      </c>
      <c r="D957" s="7">
        <v>0</v>
      </c>
      <c r="E957" s="7">
        <v>0</v>
      </c>
      <c r="F957" s="7">
        <v>0</v>
      </c>
      <c r="G957" s="7">
        <v>0</v>
      </c>
      <c r="H957" s="7">
        <v>0</v>
      </c>
      <c r="I957" s="7">
        <v>0</v>
      </c>
      <c r="J957" s="7">
        <v>0</v>
      </c>
      <c r="K957" s="7">
        <v>0</v>
      </c>
      <c r="L957" s="7">
        <v>0</v>
      </c>
      <c r="M957" s="7">
        <v>0</v>
      </c>
      <c r="N957" s="7">
        <v>0</v>
      </c>
      <c r="O957" s="7">
        <v>0</v>
      </c>
      <c r="P957" s="7">
        <v>0</v>
      </c>
      <c r="Q957" s="7">
        <v>0</v>
      </c>
    </row>
    <row r="958" spans="1:17">
      <c r="A958" s="2">
        <v>2906</v>
      </c>
      <c r="B958" s="7">
        <v>0</v>
      </c>
      <c r="C958" s="7">
        <v>0</v>
      </c>
      <c r="D958" s="7">
        <v>0</v>
      </c>
      <c r="E958" s="7">
        <v>0</v>
      </c>
      <c r="F958" s="7">
        <v>0</v>
      </c>
      <c r="G958" s="7">
        <v>0</v>
      </c>
      <c r="H958" s="7">
        <v>0</v>
      </c>
      <c r="I958" s="7">
        <v>0</v>
      </c>
      <c r="J958" s="7">
        <v>0</v>
      </c>
      <c r="K958" s="7">
        <v>0</v>
      </c>
      <c r="L958" s="7">
        <v>0</v>
      </c>
      <c r="M958" s="7">
        <v>0</v>
      </c>
      <c r="N958" s="7">
        <v>0</v>
      </c>
      <c r="O958" s="7">
        <v>0</v>
      </c>
      <c r="P958" s="7">
        <v>0</v>
      </c>
      <c r="Q958" s="7">
        <v>0</v>
      </c>
    </row>
    <row r="959" spans="1:17">
      <c r="A959" s="2">
        <v>2907</v>
      </c>
      <c r="B959" s="7">
        <v>0</v>
      </c>
      <c r="C959" s="7">
        <v>0</v>
      </c>
      <c r="D959" s="7">
        <v>0</v>
      </c>
      <c r="E959" s="7">
        <v>0</v>
      </c>
      <c r="F959" s="7">
        <v>0</v>
      </c>
      <c r="G959" s="7">
        <v>0</v>
      </c>
      <c r="H959" s="7">
        <v>0</v>
      </c>
      <c r="I959" s="7">
        <v>0</v>
      </c>
      <c r="J959" s="7">
        <v>0</v>
      </c>
      <c r="K959" s="7">
        <v>0</v>
      </c>
      <c r="L959" s="7">
        <v>0</v>
      </c>
      <c r="M959" s="7">
        <v>0</v>
      </c>
      <c r="N959" s="7">
        <v>0</v>
      </c>
      <c r="O959" s="7">
        <v>0</v>
      </c>
      <c r="P959" s="7">
        <v>0</v>
      </c>
      <c r="Q959" s="7">
        <v>0</v>
      </c>
    </row>
    <row r="960" spans="1:17">
      <c r="A960" s="2">
        <v>2908</v>
      </c>
      <c r="B960" s="7">
        <v>0</v>
      </c>
      <c r="C960" s="7">
        <v>0</v>
      </c>
      <c r="D960" s="7">
        <v>0</v>
      </c>
      <c r="E960" s="7">
        <v>0</v>
      </c>
      <c r="F960" s="7">
        <v>0</v>
      </c>
      <c r="G960" s="7">
        <v>0</v>
      </c>
      <c r="H960" s="7">
        <v>0</v>
      </c>
      <c r="I960" s="7">
        <v>0</v>
      </c>
      <c r="J960" s="7">
        <v>0</v>
      </c>
      <c r="K960" s="7">
        <v>0</v>
      </c>
      <c r="L960" s="7">
        <v>0</v>
      </c>
      <c r="M960" s="7">
        <v>0</v>
      </c>
      <c r="N960" s="7">
        <v>0</v>
      </c>
      <c r="O960" s="7">
        <v>0</v>
      </c>
      <c r="P960" s="7">
        <v>0</v>
      </c>
      <c r="Q960" s="7">
        <v>0</v>
      </c>
    </row>
    <row r="961" spans="1:17">
      <c r="A961" s="2">
        <v>2909</v>
      </c>
      <c r="B961" s="7">
        <v>0</v>
      </c>
      <c r="C961" s="7">
        <v>0</v>
      </c>
      <c r="D961" s="7">
        <v>0</v>
      </c>
      <c r="E961" s="7">
        <v>0</v>
      </c>
      <c r="F961" s="7">
        <v>0</v>
      </c>
      <c r="G961" s="7">
        <v>0</v>
      </c>
      <c r="H961" s="7">
        <v>0</v>
      </c>
      <c r="I961" s="7">
        <v>0</v>
      </c>
      <c r="J961" s="7">
        <v>0</v>
      </c>
      <c r="K961" s="7">
        <v>0</v>
      </c>
      <c r="L961" s="7">
        <v>0</v>
      </c>
      <c r="M961" s="7">
        <v>0</v>
      </c>
      <c r="N961" s="7">
        <v>0</v>
      </c>
      <c r="O961" s="7">
        <v>0</v>
      </c>
      <c r="P961" s="7">
        <v>0</v>
      </c>
      <c r="Q961" s="7">
        <v>0</v>
      </c>
    </row>
    <row r="962" spans="1:17">
      <c r="A962" s="2">
        <v>2910</v>
      </c>
      <c r="B962" s="7">
        <v>0</v>
      </c>
      <c r="C962" s="7">
        <v>0</v>
      </c>
      <c r="D962" s="7">
        <v>0</v>
      </c>
      <c r="E962" s="7">
        <v>0</v>
      </c>
      <c r="F962" s="7">
        <v>0</v>
      </c>
      <c r="G962" s="7">
        <v>0</v>
      </c>
      <c r="H962" s="7">
        <v>0</v>
      </c>
      <c r="I962" s="7">
        <v>0</v>
      </c>
      <c r="J962" s="7">
        <v>0</v>
      </c>
      <c r="K962" s="7">
        <v>0</v>
      </c>
      <c r="L962" s="7">
        <v>0</v>
      </c>
      <c r="M962" s="7">
        <v>0</v>
      </c>
      <c r="N962" s="7">
        <v>0</v>
      </c>
      <c r="O962" s="7">
        <v>0</v>
      </c>
      <c r="P962" s="7">
        <v>0</v>
      </c>
      <c r="Q962" s="7">
        <v>0</v>
      </c>
    </row>
    <row r="963" spans="1:17">
      <c r="A963" s="2">
        <v>2911</v>
      </c>
      <c r="B963" s="7">
        <v>0</v>
      </c>
      <c r="C963" s="7">
        <v>0</v>
      </c>
      <c r="D963" s="7">
        <v>0</v>
      </c>
      <c r="E963" s="7">
        <v>0</v>
      </c>
      <c r="F963" s="7">
        <v>0</v>
      </c>
      <c r="G963" s="7">
        <v>0</v>
      </c>
      <c r="H963" s="7">
        <v>0</v>
      </c>
      <c r="I963" s="7">
        <v>0</v>
      </c>
      <c r="J963" s="7">
        <v>0</v>
      </c>
      <c r="K963" s="7">
        <v>0</v>
      </c>
      <c r="L963" s="7">
        <v>0</v>
      </c>
      <c r="M963" s="7">
        <v>0</v>
      </c>
      <c r="N963" s="7">
        <v>0</v>
      </c>
      <c r="O963" s="7">
        <v>0</v>
      </c>
      <c r="P963" s="7">
        <v>0</v>
      </c>
      <c r="Q963" s="7">
        <v>0</v>
      </c>
    </row>
    <row r="964" spans="1:17">
      <c r="A964" s="2">
        <v>2912</v>
      </c>
      <c r="B964" s="7">
        <v>0</v>
      </c>
      <c r="C964" s="7">
        <v>0</v>
      </c>
      <c r="D964" s="7">
        <v>0</v>
      </c>
      <c r="E964" s="7">
        <v>0</v>
      </c>
      <c r="F964" s="7">
        <v>0</v>
      </c>
      <c r="G964" s="7">
        <v>0</v>
      </c>
      <c r="H964" s="7">
        <v>0</v>
      </c>
      <c r="I964" s="7">
        <v>0</v>
      </c>
      <c r="J964" s="7">
        <v>0</v>
      </c>
      <c r="K964" s="7">
        <v>0</v>
      </c>
      <c r="L964" s="7">
        <v>0</v>
      </c>
      <c r="M964" s="7">
        <v>0</v>
      </c>
      <c r="N964" s="7">
        <v>0</v>
      </c>
      <c r="O964" s="7">
        <v>0</v>
      </c>
      <c r="P964" s="7">
        <v>0</v>
      </c>
      <c r="Q964" s="7">
        <v>0</v>
      </c>
    </row>
    <row r="965" spans="1:17">
      <c r="A965" s="2">
        <v>2913</v>
      </c>
      <c r="B965" s="7">
        <v>0</v>
      </c>
      <c r="C965" s="7">
        <v>0</v>
      </c>
      <c r="D965" s="7">
        <v>0</v>
      </c>
      <c r="E965" s="7">
        <v>0</v>
      </c>
      <c r="F965" s="7">
        <v>0</v>
      </c>
      <c r="G965" s="7">
        <v>0</v>
      </c>
      <c r="H965" s="7">
        <v>0</v>
      </c>
      <c r="I965" s="7">
        <v>0</v>
      </c>
      <c r="J965" s="7">
        <v>0</v>
      </c>
      <c r="K965" s="7">
        <v>0</v>
      </c>
      <c r="L965" s="7">
        <v>0</v>
      </c>
      <c r="M965" s="7">
        <v>0</v>
      </c>
      <c r="N965" s="7">
        <v>0</v>
      </c>
      <c r="O965" s="7">
        <v>0</v>
      </c>
      <c r="P965" s="7">
        <v>0</v>
      </c>
      <c r="Q965" s="7">
        <v>0</v>
      </c>
    </row>
    <row r="966" spans="1:17">
      <c r="A966" s="2">
        <v>2914</v>
      </c>
      <c r="B966" s="7">
        <v>0</v>
      </c>
      <c r="C966" s="7">
        <v>0</v>
      </c>
      <c r="D966" s="7">
        <v>0</v>
      </c>
      <c r="E966" s="7">
        <v>0</v>
      </c>
      <c r="F966" s="7">
        <v>0</v>
      </c>
      <c r="G966" s="7">
        <v>0</v>
      </c>
      <c r="H966" s="7">
        <v>0</v>
      </c>
      <c r="I966" s="7">
        <v>0</v>
      </c>
      <c r="J966" s="7">
        <v>0</v>
      </c>
      <c r="K966" s="7">
        <v>0</v>
      </c>
      <c r="L966" s="7">
        <v>0</v>
      </c>
      <c r="M966" s="7">
        <v>0</v>
      </c>
      <c r="N966" s="7">
        <v>0</v>
      </c>
      <c r="O966" s="7">
        <v>0</v>
      </c>
      <c r="P966" s="7">
        <v>0</v>
      </c>
      <c r="Q966" s="7">
        <v>0</v>
      </c>
    </row>
    <row r="967" spans="1:17">
      <c r="A967" s="2">
        <v>2915</v>
      </c>
      <c r="B967" s="7">
        <v>0</v>
      </c>
      <c r="C967" s="7">
        <v>0</v>
      </c>
      <c r="D967" s="7">
        <v>0</v>
      </c>
      <c r="E967" s="7">
        <v>0</v>
      </c>
      <c r="F967" s="7">
        <v>0</v>
      </c>
      <c r="G967" s="7">
        <v>0</v>
      </c>
      <c r="H967" s="7">
        <v>0</v>
      </c>
      <c r="I967" s="7">
        <v>0</v>
      </c>
      <c r="J967" s="7">
        <v>0</v>
      </c>
      <c r="K967" s="7">
        <v>0</v>
      </c>
      <c r="L967" s="7">
        <v>0</v>
      </c>
      <c r="M967" s="7">
        <v>0</v>
      </c>
      <c r="N967" s="7">
        <v>0</v>
      </c>
      <c r="O967" s="7">
        <v>0</v>
      </c>
      <c r="P967" s="7">
        <v>0</v>
      </c>
      <c r="Q967" s="7">
        <v>0</v>
      </c>
    </row>
    <row r="968" spans="1:17">
      <c r="A968" s="2">
        <v>2916</v>
      </c>
      <c r="B968" s="7">
        <v>0</v>
      </c>
      <c r="C968" s="7">
        <v>0</v>
      </c>
      <c r="D968" s="7">
        <v>0</v>
      </c>
      <c r="E968" s="7">
        <v>0</v>
      </c>
      <c r="F968" s="7">
        <v>0</v>
      </c>
      <c r="G968" s="7">
        <v>0</v>
      </c>
      <c r="H968" s="7">
        <v>0</v>
      </c>
      <c r="I968" s="7">
        <v>0</v>
      </c>
      <c r="J968" s="7">
        <v>0</v>
      </c>
      <c r="K968" s="7">
        <v>0</v>
      </c>
      <c r="L968" s="7">
        <v>0</v>
      </c>
      <c r="M968" s="7">
        <v>0</v>
      </c>
      <c r="N968" s="7">
        <v>0</v>
      </c>
      <c r="O968" s="7">
        <v>0</v>
      </c>
      <c r="P968" s="7">
        <v>0</v>
      </c>
      <c r="Q968" s="7">
        <v>0</v>
      </c>
    </row>
    <row r="969" spans="1:17">
      <c r="A969" s="2">
        <v>2917</v>
      </c>
      <c r="B969" s="7">
        <v>0</v>
      </c>
      <c r="C969" s="7">
        <v>0</v>
      </c>
      <c r="D969" s="7">
        <v>0</v>
      </c>
      <c r="E969" s="7">
        <v>0</v>
      </c>
      <c r="F969" s="7">
        <v>0</v>
      </c>
      <c r="G969" s="7">
        <v>0</v>
      </c>
      <c r="H969" s="7">
        <v>0</v>
      </c>
      <c r="I969" s="7">
        <v>0</v>
      </c>
      <c r="J969" s="7">
        <v>0</v>
      </c>
      <c r="K969" s="7">
        <v>0</v>
      </c>
      <c r="L969" s="7">
        <v>0</v>
      </c>
      <c r="M969" s="7">
        <v>0</v>
      </c>
      <c r="N969" s="7">
        <v>0</v>
      </c>
      <c r="O969" s="7">
        <v>0</v>
      </c>
      <c r="P969" s="7">
        <v>0</v>
      </c>
      <c r="Q969" s="7">
        <v>0</v>
      </c>
    </row>
    <row r="970" spans="1:17">
      <c r="A970" s="2">
        <v>2918</v>
      </c>
      <c r="B970" s="7">
        <v>0</v>
      </c>
      <c r="C970" s="7">
        <v>0</v>
      </c>
      <c r="D970" s="7">
        <v>0</v>
      </c>
      <c r="E970" s="7">
        <v>0</v>
      </c>
      <c r="F970" s="7">
        <v>0</v>
      </c>
      <c r="G970" s="7">
        <v>0</v>
      </c>
      <c r="H970" s="7">
        <v>0</v>
      </c>
      <c r="I970" s="7">
        <v>0</v>
      </c>
      <c r="J970" s="7">
        <v>0</v>
      </c>
      <c r="K970" s="7">
        <v>0</v>
      </c>
      <c r="L970" s="7">
        <v>0</v>
      </c>
      <c r="M970" s="7">
        <v>0</v>
      </c>
      <c r="N970" s="7">
        <v>0</v>
      </c>
      <c r="O970" s="7">
        <v>0</v>
      </c>
      <c r="P970" s="7">
        <v>0</v>
      </c>
      <c r="Q970" s="7">
        <v>0</v>
      </c>
    </row>
    <row r="971" spans="1:17">
      <c r="A971" s="2">
        <v>2919</v>
      </c>
      <c r="B971" s="7">
        <v>0</v>
      </c>
      <c r="C971" s="7">
        <v>0</v>
      </c>
      <c r="D971" s="7">
        <v>0</v>
      </c>
      <c r="E971" s="7">
        <v>0</v>
      </c>
      <c r="F971" s="7">
        <v>0</v>
      </c>
      <c r="G971" s="7">
        <v>0</v>
      </c>
      <c r="H971" s="7">
        <v>0</v>
      </c>
      <c r="I971" s="7">
        <v>0</v>
      </c>
      <c r="J971" s="7">
        <v>0</v>
      </c>
      <c r="K971" s="7">
        <v>0</v>
      </c>
      <c r="L971" s="7">
        <v>0</v>
      </c>
      <c r="M971" s="7">
        <v>0</v>
      </c>
      <c r="N971" s="7">
        <v>0</v>
      </c>
      <c r="O971" s="7">
        <v>0</v>
      </c>
      <c r="P971" s="7">
        <v>0</v>
      </c>
      <c r="Q971" s="7">
        <v>0</v>
      </c>
    </row>
    <row r="972" spans="1:17">
      <c r="A972" s="2">
        <v>2920</v>
      </c>
      <c r="B972" s="7">
        <v>0</v>
      </c>
      <c r="C972" s="7">
        <v>0</v>
      </c>
      <c r="D972" s="7">
        <v>0</v>
      </c>
      <c r="E972" s="7">
        <v>0</v>
      </c>
      <c r="F972" s="7">
        <v>0</v>
      </c>
      <c r="G972" s="7">
        <v>0</v>
      </c>
      <c r="H972" s="7">
        <v>0</v>
      </c>
      <c r="I972" s="7">
        <v>0</v>
      </c>
      <c r="J972" s="7">
        <v>0</v>
      </c>
      <c r="K972" s="7">
        <v>0</v>
      </c>
      <c r="L972" s="7">
        <v>0</v>
      </c>
      <c r="M972" s="7">
        <v>0</v>
      </c>
      <c r="N972" s="7">
        <v>0</v>
      </c>
      <c r="O972" s="7">
        <v>0</v>
      </c>
      <c r="P972" s="7">
        <v>0</v>
      </c>
      <c r="Q972" s="7">
        <v>0</v>
      </c>
    </row>
    <row r="973" spans="1:17">
      <c r="A973" s="2">
        <v>2921</v>
      </c>
      <c r="B973" s="7">
        <v>0</v>
      </c>
      <c r="C973" s="7">
        <v>0</v>
      </c>
      <c r="D973" s="7">
        <v>0</v>
      </c>
      <c r="E973" s="7">
        <v>0</v>
      </c>
      <c r="F973" s="7">
        <v>0</v>
      </c>
      <c r="G973" s="7">
        <v>0</v>
      </c>
      <c r="H973" s="7">
        <v>0</v>
      </c>
      <c r="I973" s="7">
        <v>0</v>
      </c>
      <c r="J973" s="7">
        <v>0</v>
      </c>
      <c r="K973" s="7">
        <v>0</v>
      </c>
      <c r="L973" s="7">
        <v>0</v>
      </c>
      <c r="M973" s="7">
        <v>0</v>
      </c>
      <c r="N973" s="7">
        <v>0</v>
      </c>
      <c r="O973" s="7">
        <v>0</v>
      </c>
      <c r="P973" s="7">
        <v>0</v>
      </c>
      <c r="Q973" s="7">
        <v>0</v>
      </c>
    </row>
    <row r="974" spans="1:17">
      <c r="A974" s="2">
        <v>2922</v>
      </c>
      <c r="B974" s="7">
        <v>0</v>
      </c>
      <c r="C974" s="7">
        <v>0</v>
      </c>
      <c r="D974" s="7">
        <v>0</v>
      </c>
      <c r="E974" s="7">
        <v>0</v>
      </c>
      <c r="F974" s="7">
        <v>0</v>
      </c>
      <c r="G974" s="7">
        <v>0</v>
      </c>
      <c r="H974" s="7">
        <v>0</v>
      </c>
      <c r="I974" s="7">
        <v>0</v>
      </c>
      <c r="J974" s="7">
        <v>0</v>
      </c>
      <c r="K974" s="7">
        <v>0</v>
      </c>
      <c r="L974" s="7">
        <v>0</v>
      </c>
      <c r="M974" s="7">
        <v>0</v>
      </c>
      <c r="N974" s="7">
        <v>0</v>
      </c>
      <c r="O974" s="7">
        <v>0</v>
      </c>
      <c r="P974" s="7">
        <v>0</v>
      </c>
      <c r="Q974" s="7">
        <v>0</v>
      </c>
    </row>
    <row r="975" spans="1:17">
      <c r="A975" s="2">
        <v>2923</v>
      </c>
      <c r="B975" s="7">
        <v>0</v>
      </c>
      <c r="C975" s="7">
        <v>0</v>
      </c>
      <c r="D975" s="7">
        <v>0</v>
      </c>
      <c r="E975" s="7">
        <v>0</v>
      </c>
      <c r="F975" s="7">
        <v>0</v>
      </c>
      <c r="G975" s="7">
        <v>0</v>
      </c>
      <c r="H975" s="7">
        <v>0</v>
      </c>
      <c r="I975" s="7">
        <v>0</v>
      </c>
      <c r="J975" s="7">
        <v>0</v>
      </c>
      <c r="K975" s="7">
        <v>0</v>
      </c>
      <c r="L975" s="7">
        <v>0</v>
      </c>
      <c r="M975" s="7">
        <v>0</v>
      </c>
      <c r="N975" s="7">
        <v>0</v>
      </c>
      <c r="O975" s="7">
        <v>0</v>
      </c>
      <c r="P975" s="7">
        <v>0</v>
      </c>
      <c r="Q975" s="7">
        <v>0</v>
      </c>
    </row>
    <row r="976" spans="1:17">
      <c r="A976" s="2">
        <v>2924</v>
      </c>
      <c r="B976" s="7">
        <v>0</v>
      </c>
      <c r="C976" s="7">
        <v>0</v>
      </c>
      <c r="D976" s="7">
        <v>0</v>
      </c>
      <c r="E976" s="7">
        <v>0</v>
      </c>
      <c r="F976" s="7">
        <v>0</v>
      </c>
      <c r="G976" s="7">
        <v>0</v>
      </c>
      <c r="H976" s="7">
        <v>0</v>
      </c>
      <c r="I976" s="7">
        <v>0</v>
      </c>
      <c r="J976" s="7">
        <v>0</v>
      </c>
      <c r="K976" s="7">
        <v>0</v>
      </c>
      <c r="L976" s="7">
        <v>0</v>
      </c>
      <c r="M976" s="7">
        <v>0</v>
      </c>
      <c r="N976" s="7">
        <v>0</v>
      </c>
      <c r="O976" s="7">
        <v>0</v>
      </c>
      <c r="P976" s="7">
        <v>0</v>
      </c>
      <c r="Q976" s="7">
        <v>0</v>
      </c>
    </row>
    <row r="977" spans="1:17">
      <c r="A977" s="2">
        <v>2925</v>
      </c>
      <c r="B977" s="7">
        <v>0</v>
      </c>
      <c r="C977" s="7">
        <v>0</v>
      </c>
      <c r="D977" s="7">
        <v>0</v>
      </c>
      <c r="E977" s="7">
        <v>0</v>
      </c>
      <c r="F977" s="7">
        <v>0</v>
      </c>
      <c r="G977" s="7">
        <v>0</v>
      </c>
      <c r="H977" s="7">
        <v>0</v>
      </c>
      <c r="I977" s="7">
        <v>0</v>
      </c>
      <c r="J977" s="7">
        <v>0</v>
      </c>
      <c r="K977" s="7">
        <v>0</v>
      </c>
      <c r="L977" s="7">
        <v>0</v>
      </c>
      <c r="M977" s="7">
        <v>0</v>
      </c>
      <c r="N977" s="7">
        <v>0</v>
      </c>
      <c r="O977" s="7">
        <v>0</v>
      </c>
      <c r="P977" s="7">
        <v>0</v>
      </c>
      <c r="Q977" s="7">
        <v>0</v>
      </c>
    </row>
    <row r="978" spans="1:17">
      <c r="A978" s="2">
        <v>2926</v>
      </c>
      <c r="B978" s="7">
        <v>0</v>
      </c>
      <c r="C978" s="7">
        <v>0</v>
      </c>
      <c r="D978" s="7">
        <v>0</v>
      </c>
      <c r="E978" s="7">
        <v>0</v>
      </c>
      <c r="F978" s="7">
        <v>0</v>
      </c>
      <c r="G978" s="7">
        <v>0</v>
      </c>
      <c r="H978" s="7">
        <v>0</v>
      </c>
      <c r="I978" s="7">
        <v>0</v>
      </c>
      <c r="J978" s="7">
        <v>0</v>
      </c>
      <c r="K978" s="7">
        <v>0</v>
      </c>
      <c r="L978" s="7">
        <v>0</v>
      </c>
      <c r="M978" s="7">
        <v>0</v>
      </c>
      <c r="N978" s="7">
        <v>0</v>
      </c>
      <c r="O978" s="7">
        <v>0</v>
      </c>
      <c r="P978" s="7">
        <v>0</v>
      </c>
      <c r="Q978" s="7">
        <v>0</v>
      </c>
    </row>
    <row r="979" spans="1:17">
      <c r="A979" s="2">
        <v>2927</v>
      </c>
      <c r="B979" s="7">
        <v>0</v>
      </c>
      <c r="C979" s="7">
        <v>0</v>
      </c>
      <c r="D979" s="7">
        <v>0</v>
      </c>
      <c r="E979" s="7">
        <v>0</v>
      </c>
      <c r="F979" s="7">
        <v>0</v>
      </c>
      <c r="G979" s="7">
        <v>0</v>
      </c>
      <c r="H979" s="7">
        <v>0</v>
      </c>
      <c r="I979" s="7">
        <v>0</v>
      </c>
      <c r="J979" s="7">
        <v>0</v>
      </c>
      <c r="K979" s="7">
        <v>0</v>
      </c>
      <c r="L979" s="7">
        <v>0</v>
      </c>
      <c r="M979" s="7">
        <v>0</v>
      </c>
      <c r="N979" s="7">
        <v>0</v>
      </c>
      <c r="O979" s="7">
        <v>0</v>
      </c>
      <c r="P979" s="7">
        <v>0</v>
      </c>
      <c r="Q979" s="7">
        <v>0</v>
      </c>
    </row>
    <row r="980" spans="1:17">
      <c r="A980" s="2">
        <v>2928</v>
      </c>
      <c r="B980" s="7">
        <v>0</v>
      </c>
      <c r="C980" s="7">
        <v>0</v>
      </c>
      <c r="D980" s="7">
        <v>0</v>
      </c>
      <c r="E980" s="7">
        <v>0</v>
      </c>
      <c r="F980" s="7">
        <v>0</v>
      </c>
      <c r="G980" s="7">
        <v>0</v>
      </c>
      <c r="H980" s="7">
        <v>0</v>
      </c>
      <c r="I980" s="7">
        <v>0</v>
      </c>
      <c r="J980" s="7">
        <v>0</v>
      </c>
      <c r="K980" s="7">
        <v>0</v>
      </c>
      <c r="L980" s="7">
        <v>0</v>
      </c>
      <c r="M980" s="7">
        <v>0</v>
      </c>
      <c r="N980" s="7">
        <v>0</v>
      </c>
      <c r="O980" s="7">
        <v>0</v>
      </c>
      <c r="P980" s="7">
        <v>0</v>
      </c>
      <c r="Q980" s="7">
        <v>0</v>
      </c>
    </row>
    <row r="981" spans="1:17">
      <c r="A981" s="2">
        <v>2929</v>
      </c>
      <c r="B981" s="7">
        <v>0</v>
      </c>
      <c r="C981" s="7">
        <v>0</v>
      </c>
      <c r="D981" s="7">
        <v>0</v>
      </c>
      <c r="E981" s="7">
        <v>0</v>
      </c>
      <c r="F981" s="7">
        <v>0</v>
      </c>
      <c r="G981" s="7">
        <v>0</v>
      </c>
      <c r="H981" s="7">
        <v>0</v>
      </c>
      <c r="I981" s="7">
        <v>0</v>
      </c>
      <c r="J981" s="7">
        <v>0</v>
      </c>
      <c r="K981" s="7">
        <v>0</v>
      </c>
      <c r="L981" s="7">
        <v>0</v>
      </c>
      <c r="M981" s="7">
        <v>0</v>
      </c>
      <c r="N981" s="7">
        <v>0</v>
      </c>
      <c r="O981" s="7">
        <v>0</v>
      </c>
      <c r="P981" s="7">
        <v>0</v>
      </c>
      <c r="Q981" s="7">
        <v>0</v>
      </c>
    </row>
    <row r="982" spans="1:17">
      <c r="A982" s="2">
        <v>2930</v>
      </c>
      <c r="B982" s="7">
        <v>0</v>
      </c>
      <c r="C982" s="7">
        <v>0</v>
      </c>
      <c r="D982" s="7">
        <v>0</v>
      </c>
      <c r="E982" s="7">
        <v>0</v>
      </c>
      <c r="F982" s="7">
        <v>0</v>
      </c>
      <c r="G982" s="7">
        <v>0</v>
      </c>
      <c r="H982" s="7">
        <v>0</v>
      </c>
      <c r="I982" s="7">
        <v>0</v>
      </c>
      <c r="J982" s="7">
        <v>0</v>
      </c>
      <c r="K982" s="7">
        <v>0</v>
      </c>
      <c r="L982" s="7">
        <v>0</v>
      </c>
      <c r="M982" s="7">
        <v>0</v>
      </c>
      <c r="N982" s="7">
        <v>0</v>
      </c>
      <c r="O982" s="7">
        <v>0</v>
      </c>
      <c r="P982" s="7">
        <v>0</v>
      </c>
      <c r="Q982" s="7">
        <v>0</v>
      </c>
    </row>
    <row r="983" spans="1:17">
      <c r="A983" s="2">
        <v>2931</v>
      </c>
      <c r="B983" s="7">
        <v>0</v>
      </c>
      <c r="C983" s="7">
        <v>0</v>
      </c>
      <c r="D983" s="7">
        <v>0</v>
      </c>
      <c r="E983" s="7">
        <v>0</v>
      </c>
      <c r="F983" s="7">
        <v>0</v>
      </c>
      <c r="G983" s="7">
        <v>0</v>
      </c>
      <c r="H983" s="7">
        <v>0</v>
      </c>
      <c r="I983" s="7">
        <v>0</v>
      </c>
      <c r="J983" s="7">
        <v>0</v>
      </c>
      <c r="K983" s="7">
        <v>0</v>
      </c>
      <c r="L983" s="7">
        <v>0</v>
      </c>
      <c r="M983" s="7">
        <v>0</v>
      </c>
      <c r="N983" s="7">
        <v>0</v>
      </c>
      <c r="O983" s="7">
        <v>0</v>
      </c>
      <c r="P983" s="7">
        <v>0</v>
      </c>
      <c r="Q983" s="7">
        <v>0</v>
      </c>
    </row>
    <row r="984" spans="1:17">
      <c r="A984" s="2">
        <v>2932</v>
      </c>
      <c r="B984" s="7">
        <v>0</v>
      </c>
      <c r="C984" s="7">
        <v>0</v>
      </c>
      <c r="D984" s="7">
        <v>0</v>
      </c>
      <c r="E984" s="7">
        <v>0</v>
      </c>
      <c r="F984" s="7">
        <v>0</v>
      </c>
      <c r="G984" s="7">
        <v>0</v>
      </c>
      <c r="H984" s="7">
        <v>0</v>
      </c>
      <c r="I984" s="7">
        <v>0</v>
      </c>
      <c r="J984" s="7">
        <v>0</v>
      </c>
      <c r="K984" s="7">
        <v>0</v>
      </c>
      <c r="L984" s="7">
        <v>0</v>
      </c>
      <c r="M984" s="7">
        <v>0</v>
      </c>
      <c r="N984" s="7">
        <v>0</v>
      </c>
      <c r="O984" s="7">
        <v>0</v>
      </c>
      <c r="P984" s="7">
        <v>0</v>
      </c>
      <c r="Q984" s="7">
        <v>0</v>
      </c>
    </row>
    <row r="985" spans="1:17">
      <c r="A985" s="2">
        <v>2933</v>
      </c>
      <c r="B985" s="7">
        <v>0</v>
      </c>
      <c r="C985" s="7">
        <v>0</v>
      </c>
      <c r="D985" s="7">
        <v>0</v>
      </c>
      <c r="E985" s="7">
        <v>0</v>
      </c>
      <c r="F985" s="7">
        <v>0</v>
      </c>
      <c r="G985" s="7">
        <v>0</v>
      </c>
      <c r="H985" s="7">
        <v>0</v>
      </c>
      <c r="I985" s="7">
        <v>0</v>
      </c>
      <c r="J985" s="7">
        <v>0</v>
      </c>
      <c r="K985" s="7">
        <v>0</v>
      </c>
      <c r="L985" s="7">
        <v>0</v>
      </c>
      <c r="M985" s="7">
        <v>0</v>
      </c>
      <c r="N985" s="7">
        <v>0</v>
      </c>
      <c r="O985" s="7">
        <v>0</v>
      </c>
      <c r="P985" s="7">
        <v>0</v>
      </c>
      <c r="Q985" s="7">
        <v>0</v>
      </c>
    </row>
    <row r="986" spans="1:17">
      <c r="A986" s="2">
        <v>2934</v>
      </c>
      <c r="B986" s="7">
        <v>0</v>
      </c>
      <c r="C986" s="7">
        <v>0</v>
      </c>
      <c r="D986" s="7">
        <v>0</v>
      </c>
      <c r="E986" s="7">
        <v>0</v>
      </c>
      <c r="F986" s="7">
        <v>0</v>
      </c>
      <c r="G986" s="7">
        <v>0</v>
      </c>
      <c r="H986" s="7">
        <v>0</v>
      </c>
      <c r="I986" s="7">
        <v>0</v>
      </c>
      <c r="J986" s="7">
        <v>0</v>
      </c>
      <c r="K986" s="7">
        <v>0</v>
      </c>
      <c r="L986" s="7">
        <v>0</v>
      </c>
      <c r="M986" s="7">
        <v>0</v>
      </c>
      <c r="N986" s="7">
        <v>0</v>
      </c>
      <c r="O986" s="7">
        <v>0</v>
      </c>
      <c r="P986" s="7">
        <v>0</v>
      </c>
      <c r="Q986" s="7">
        <v>0</v>
      </c>
    </row>
    <row r="987" spans="1:17">
      <c r="A987" s="2">
        <v>2935</v>
      </c>
      <c r="B987" s="7">
        <v>0</v>
      </c>
      <c r="C987" s="7">
        <v>0</v>
      </c>
      <c r="D987" s="7">
        <v>0</v>
      </c>
      <c r="E987" s="7">
        <v>0</v>
      </c>
      <c r="F987" s="7">
        <v>0</v>
      </c>
      <c r="G987" s="7">
        <v>0</v>
      </c>
      <c r="H987" s="7">
        <v>0</v>
      </c>
      <c r="I987" s="7">
        <v>0</v>
      </c>
      <c r="J987" s="7">
        <v>0</v>
      </c>
      <c r="K987" s="7">
        <v>0</v>
      </c>
      <c r="L987" s="7">
        <v>0</v>
      </c>
      <c r="M987" s="7">
        <v>0</v>
      </c>
      <c r="N987" s="7">
        <v>0</v>
      </c>
      <c r="O987" s="7">
        <v>0</v>
      </c>
      <c r="P987" s="7">
        <v>0</v>
      </c>
      <c r="Q987" s="7">
        <v>0</v>
      </c>
    </row>
    <row r="988" spans="1:17">
      <c r="A988" s="2">
        <v>2936</v>
      </c>
      <c r="B988" s="7">
        <v>0</v>
      </c>
      <c r="C988" s="7">
        <v>0</v>
      </c>
      <c r="D988" s="7">
        <v>0</v>
      </c>
      <c r="E988" s="7">
        <v>0</v>
      </c>
      <c r="F988" s="7">
        <v>0</v>
      </c>
      <c r="G988" s="7">
        <v>0</v>
      </c>
      <c r="H988" s="7">
        <v>0</v>
      </c>
      <c r="I988" s="7">
        <v>0</v>
      </c>
      <c r="J988" s="7">
        <v>0</v>
      </c>
      <c r="K988" s="7">
        <v>0</v>
      </c>
      <c r="L988" s="7">
        <v>0</v>
      </c>
      <c r="M988" s="7">
        <v>0</v>
      </c>
      <c r="N988" s="7">
        <v>0</v>
      </c>
      <c r="O988" s="7">
        <v>0</v>
      </c>
      <c r="P988" s="7">
        <v>0</v>
      </c>
      <c r="Q988" s="7">
        <v>0</v>
      </c>
    </row>
    <row r="989" spans="1:17">
      <c r="A989" s="2">
        <v>2937</v>
      </c>
      <c r="B989" s="7">
        <v>0</v>
      </c>
      <c r="C989" s="7">
        <v>0</v>
      </c>
      <c r="D989" s="7">
        <v>0</v>
      </c>
      <c r="E989" s="7">
        <v>0</v>
      </c>
      <c r="F989" s="7">
        <v>0</v>
      </c>
      <c r="G989" s="7">
        <v>0</v>
      </c>
      <c r="H989" s="7">
        <v>0</v>
      </c>
      <c r="I989" s="7">
        <v>0</v>
      </c>
      <c r="J989" s="7">
        <v>0</v>
      </c>
      <c r="K989" s="7">
        <v>0</v>
      </c>
      <c r="L989" s="7">
        <v>0</v>
      </c>
      <c r="M989" s="7">
        <v>0</v>
      </c>
      <c r="N989" s="7">
        <v>0</v>
      </c>
      <c r="O989" s="7">
        <v>0</v>
      </c>
      <c r="P989" s="7">
        <v>0</v>
      </c>
      <c r="Q989" s="7">
        <v>0</v>
      </c>
    </row>
    <row r="990" spans="1:17">
      <c r="A990" s="2">
        <v>2938</v>
      </c>
      <c r="B990" s="7">
        <v>0</v>
      </c>
      <c r="C990" s="7">
        <v>0</v>
      </c>
      <c r="D990" s="7">
        <v>0</v>
      </c>
      <c r="E990" s="7">
        <v>0</v>
      </c>
      <c r="F990" s="7">
        <v>0</v>
      </c>
      <c r="G990" s="7">
        <v>0</v>
      </c>
      <c r="H990" s="7">
        <v>0</v>
      </c>
      <c r="I990" s="7">
        <v>0</v>
      </c>
      <c r="J990" s="7">
        <v>0</v>
      </c>
      <c r="K990" s="7">
        <v>0</v>
      </c>
      <c r="L990" s="7">
        <v>0</v>
      </c>
      <c r="M990" s="7">
        <v>0</v>
      </c>
      <c r="N990" s="7">
        <v>0</v>
      </c>
      <c r="O990" s="7">
        <v>0</v>
      </c>
      <c r="P990" s="7">
        <v>0</v>
      </c>
      <c r="Q990" s="7">
        <v>0</v>
      </c>
    </row>
    <row r="991" spans="1:17">
      <c r="A991" s="2">
        <v>2939</v>
      </c>
      <c r="B991" s="7">
        <v>0</v>
      </c>
      <c r="C991" s="7">
        <v>0</v>
      </c>
      <c r="D991" s="7">
        <v>0</v>
      </c>
      <c r="E991" s="7">
        <v>0</v>
      </c>
      <c r="F991" s="7">
        <v>0</v>
      </c>
      <c r="G991" s="7">
        <v>0</v>
      </c>
      <c r="H991" s="7">
        <v>0</v>
      </c>
      <c r="I991" s="7">
        <v>0</v>
      </c>
      <c r="J991" s="7">
        <v>0</v>
      </c>
      <c r="K991" s="7">
        <v>0</v>
      </c>
      <c r="L991" s="7">
        <v>0</v>
      </c>
      <c r="M991" s="7">
        <v>0</v>
      </c>
      <c r="N991" s="7">
        <v>0</v>
      </c>
      <c r="O991" s="7">
        <v>0</v>
      </c>
      <c r="P991" s="7">
        <v>0</v>
      </c>
      <c r="Q991" s="7">
        <v>0</v>
      </c>
    </row>
    <row r="992" spans="1:17">
      <c r="A992" s="2">
        <v>2940</v>
      </c>
      <c r="B992" s="7">
        <v>0</v>
      </c>
      <c r="C992" s="7">
        <v>0</v>
      </c>
      <c r="D992" s="7">
        <v>0</v>
      </c>
      <c r="E992" s="7">
        <v>0</v>
      </c>
      <c r="F992" s="7">
        <v>0</v>
      </c>
      <c r="G992" s="7">
        <v>0</v>
      </c>
      <c r="H992" s="7">
        <v>0</v>
      </c>
      <c r="I992" s="7">
        <v>0</v>
      </c>
      <c r="J992" s="7">
        <v>0</v>
      </c>
      <c r="K992" s="7">
        <v>0</v>
      </c>
      <c r="L992" s="7">
        <v>0</v>
      </c>
      <c r="M992" s="7">
        <v>0</v>
      </c>
      <c r="N992" s="7">
        <v>0</v>
      </c>
      <c r="O992" s="7">
        <v>0</v>
      </c>
      <c r="P992" s="7">
        <v>0</v>
      </c>
      <c r="Q992" s="7">
        <v>0</v>
      </c>
    </row>
    <row r="993" spans="1:17">
      <c r="A993" s="2">
        <v>2941</v>
      </c>
      <c r="B993" s="7">
        <v>0</v>
      </c>
      <c r="C993" s="7">
        <v>0</v>
      </c>
      <c r="D993" s="7">
        <v>0</v>
      </c>
      <c r="E993" s="7">
        <v>0</v>
      </c>
      <c r="F993" s="7">
        <v>0</v>
      </c>
      <c r="G993" s="7">
        <v>0</v>
      </c>
      <c r="H993" s="7">
        <v>0</v>
      </c>
      <c r="I993" s="7">
        <v>0</v>
      </c>
      <c r="J993" s="7">
        <v>0</v>
      </c>
      <c r="K993" s="7">
        <v>0</v>
      </c>
      <c r="L993" s="7">
        <v>0</v>
      </c>
      <c r="M993" s="7">
        <v>0</v>
      </c>
      <c r="N993" s="7">
        <v>0</v>
      </c>
      <c r="O993" s="7">
        <v>0</v>
      </c>
      <c r="P993" s="7">
        <v>0</v>
      </c>
      <c r="Q993" s="7">
        <v>0</v>
      </c>
    </row>
    <row r="994" spans="1:17">
      <c r="A994" s="2">
        <v>2942</v>
      </c>
      <c r="B994" s="7">
        <v>0</v>
      </c>
      <c r="C994" s="7">
        <v>0</v>
      </c>
      <c r="D994" s="7">
        <v>0</v>
      </c>
      <c r="E994" s="7">
        <v>0</v>
      </c>
      <c r="F994" s="7">
        <v>0</v>
      </c>
      <c r="G994" s="7">
        <v>0</v>
      </c>
      <c r="H994" s="7">
        <v>0</v>
      </c>
      <c r="I994" s="7">
        <v>0</v>
      </c>
      <c r="J994" s="7">
        <v>0</v>
      </c>
      <c r="K994" s="7">
        <v>0</v>
      </c>
      <c r="L994" s="7">
        <v>0</v>
      </c>
      <c r="M994" s="7">
        <v>0</v>
      </c>
      <c r="N994" s="7">
        <v>0</v>
      </c>
      <c r="O994" s="7">
        <v>0</v>
      </c>
      <c r="P994" s="7">
        <v>0</v>
      </c>
      <c r="Q994" s="7">
        <v>0</v>
      </c>
    </row>
    <row r="995" spans="1:17">
      <c r="A995" s="2">
        <v>2943</v>
      </c>
      <c r="B995" s="7">
        <v>0</v>
      </c>
      <c r="C995" s="7">
        <v>0</v>
      </c>
      <c r="D995" s="7">
        <v>0</v>
      </c>
      <c r="E995" s="7">
        <v>0</v>
      </c>
      <c r="F995" s="7">
        <v>0</v>
      </c>
      <c r="G995" s="7">
        <v>0</v>
      </c>
      <c r="H995" s="7">
        <v>0</v>
      </c>
      <c r="I995" s="7">
        <v>0</v>
      </c>
      <c r="J995" s="7">
        <v>0</v>
      </c>
      <c r="K995" s="7">
        <v>0</v>
      </c>
      <c r="L995" s="7">
        <v>0</v>
      </c>
      <c r="M995" s="7">
        <v>0</v>
      </c>
      <c r="N995" s="7">
        <v>0</v>
      </c>
      <c r="O995" s="7">
        <v>0</v>
      </c>
      <c r="P995" s="7">
        <v>0</v>
      </c>
      <c r="Q995" s="7">
        <v>0</v>
      </c>
    </row>
    <row r="996" spans="1:17">
      <c r="A996" s="2">
        <v>2944</v>
      </c>
      <c r="B996" s="7">
        <v>0</v>
      </c>
      <c r="C996" s="7">
        <v>0</v>
      </c>
      <c r="D996" s="7">
        <v>0</v>
      </c>
      <c r="E996" s="7">
        <v>0</v>
      </c>
      <c r="F996" s="7">
        <v>0</v>
      </c>
      <c r="G996" s="7">
        <v>0</v>
      </c>
      <c r="H996" s="7">
        <v>0</v>
      </c>
      <c r="I996" s="7">
        <v>0</v>
      </c>
      <c r="J996" s="7">
        <v>0</v>
      </c>
      <c r="K996" s="7">
        <v>0</v>
      </c>
      <c r="L996" s="7">
        <v>0</v>
      </c>
      <c r="M996" s="7">
        <v>0</v>
      </c>
      <c r="N996" s="7">
        <v>0</v>
      </c>
      <c r="O996" s="7">
        <v>0</v>
      </c>
      <c r="P996" s="7">
        <v>0</v>
      </c>
      <c r="Q996" s="7">
        <v>0</v>
      </c>
    </row>
    <row r="997" spans="1:17">
      <c r="A997" s="2">
        <v>2945</v>
      </c>
      <c r="B997" s="7">
        <v>0</v>
      </c>
      <c r="C997" s="7">
        <v>0</v>
      </c>
      <c r="D997" s="7">
        <v>0</v>
      </c>
      <c r="E997" s="7">
        <v>0</v>
      </c>
      <c r="F997" s="7">
        <v>0</v>
      </c>
      <c r="G997" s="7">
        <v>0</v>
      </c>
      <c r="H997" s="7">
        <v>0</v>
      </c>
      <c r="I997" s="7">
        <v>0</v>
      </c>
      <c r="J997" s="7">
        <v>0</v>
      </c>
      <c r="K997" s="7">
        <v>0</v>
      </c>
      <c r="L997" s="7">
        <v>0</v>
      </c>
      <c r="M997" s="7">
        <v>0</v>
      </c>
      <c r="N997" s="7">
        <v>0</v>
      </c>
      <c r="O997" s="7">
        <v>0</v>
      </c>
      <c r="P997" s="7">
        <v>0</v>
      </c>
      <c r="Q997" s="7">
        <v>0</v>
      </c>
    </row>
    <row r="998" spans="1:17">
      <c r="A998" s="2">
        <v>2946</v>
      </c>
      <c r="B998" s="7">
        <v>0</v>
      </c>
      <c r="C998" s="7">
        <v>0</v>
      </c>
      <c r="D998" s="7">
        <v>0</v>
      </c>
      <c r="E998" s="7">
        <v>0</v>
      </c>
      <c r="F998" s="7">
        <v>0</v>
      </c>
      <c r="G998" s="7">
        <v>0</v>
      </c>
      <c r="H998" s="7">
        <v>0</v>
      </c>
      <c r="I998" s="7">
        <v>0</v>
      </c>
      <c r="J998" s="7">
        <v>0</v>
      </c>
      <c r="K998" s="7">
        <v>0</v>
      </c>
      <c r="L998" s="7">
        <v>0</v>
      </c>
      <c r="M998" s="7">
        <v>0</v>
      </c>
      <c r="N998" s="7">
        <v>0</v>
      </c>
      <c r="O998" s="7">
        <v>0</v>
      </c>
      <c r="P998" s="7">
        <v>0</v>
      </c>
      <c r="Q998" s="7">
        <v>0</v>
      </c>
    </row>
    <row r="999" spans="1:17">
      <c r="A999" s="2">
        <v>2947</v>
      </c>
      <c r="B999" s="7">
        <v>0</v>
      </c>
      <c r="C999" s="7">
        <v>0</v>
      </c>
      <c r="D999" s="7">
        <v>0</v>
      </c>
      <c r="E999" s="7">
        <v>0</v>
      </c>
      <c r="F999" s="7">
        <v>0</v>
      </c>
      <c r="G999" s="7">
        <v>0</v>
      </c>
      <c r="H999" s="7">
        <v>0</v>
      </c>
      <c r="I999" s="7">
        <v>0</v>
      </c>
      <c r="J999" s="7">
        <v>0</v>
      </c>
      <c r="K999" s="7">
        <v>0</v>
      </c>
      <c r="L999" s="7">
        <v>0</v>
      </c>
      <c r="M999" s="7">
        <v>0</v>
      </c>
      <c r="N999" s="7">
        <v>0</v>
      </c>
      <c r="O999" s="7">
        <v>0</v>
      </c>
      <c r="P999" s="7">
        <v>0</v>
      </c>
      <c r="Q999" s="7">
        <v>0</v>
      </c>
    </row>
    <row r="1000" spans="1:17">
      <c r="A1000" s="2">
        <v>2948</v>
      </c>
      <c r="B1000" s="7">
        <v>0</v>
      </c>
      <c r="C1000" s="7">
        <v>0</v>
      </c>
      <c r="D1000" s="7">
        <v>0</v>
      </c>
      <c r="E1000" s="7">
        <v>0</v>
      </c>
      <c r="F1000" s="7">
        <v>0</v>
      </c>
      <c r="G1000" s="7">
        <v>0</v>
      </c>
      <c r="H1000" s="7">
        <v>0</v>
      </c>
      <c r="I1000" s="7">
        <v>0</v>
      </c>
      <c r="J1000" s="7">
        <v>0</v>
      </c>
      <c r="K1000" s="7">
        <v>0</v>
      </c>
      <c r="L1000" s="7">
        <v>0</v>
      </c>
      <c r="M1000" s="7">
        <v>0</v>
      </c>
      <c r="N1000" s="7">
        <v>0</v>
      </c>
      <c r="O1000" s="7">
        <v>0</v>
      </c>
      <c r="P1000" s="7">
        <v>0</v>
      </c>
      <c r="Q1000" s="7">
        <v>0</v>
      </c>
    </row>
    <row r="1001" spans="1:17">
      <c r="A1001" s="2">
        <v>2949</v>
      </c>
      <c r="B1001" s="7">
        <v>0</v>
      </c>
      <c r="C1001" s="7">
        <v>0</v>
      </c>
      <c r="D1001" s="7">
        <v>0</v>
      </c>
      <c r="E1001" s="7">
        <v>0</v>
      </c>
      <c r="F1001" s="7">
        <v>0</v>
      </c>
      <c r="G1001" s="7">
        <v>0</v>
      </c>
      <c r="H1001" s="7">
        <v>0</v>
      </c>
      <c r="I1001" s="7">
        <v>0</v>
      </c>
      <c r="J1001" s="7">
        <v>0</v>
      </c>
      <c r="K1001" s="7">
        <v>0</v>
      </c>
      <c r="L1001" s="7">
        <v>0</v>
      </c>
      <c r="M1001" s="7">
        <v>0</v>
      </c>
      <c r="N1001" s="7">
        <v>0</v>
      </c>
      <c r="O1001" s="7">
        <v>0</v>
      </c>
      <c r="P1001" s="7">
        <v>0</v>
      </c>
      <c r="Q1001" s="7">
        <v>0</v>
      </c>
    </row>
    <row r="1002" spans="1:17">
      <c r="A1002" s="2">
        <v>2950</v>
      </c>
      <c r="B1002" s="7">
        <v>0</v>
      </c>
      <c r="C1002" s="7">
        <v>0</v>
      </c>
      <c r="D1002" s="7">
        <v>0</v>
      </c>
      <c r="E1002" s="7">
        <v>0</v>
      </c>
      <c r="F1002" s="7">
        <v>0</v>
      </c>
      <c r="G1002" s="7">
        <v>0</v>
      </c>
      <c r="H1002" s="7">
        <v>0</v>
      </c>
      <c r="I1002" s="7">
        <v>0</v>
      </c>
      <c r="J1002" s="7">
        <v>0</v>
      </c>
      <c r="K1002" s="7">
        <v>0</v>
      </c>
      <c r="L1002" s="7">
        <v>0</v>
      </c>
      <c r="M1002" s="7">
        <v>0</v>
      </c>
      <c r="N1002" s="7">
        <v>0</v>
      </c>
      <c r="O1002" s="7">
        <v>0</v>
      </c>
      <c r="P1002" s="7">
        <v>0</v>
      </c>
      <c r="Q1002" s="7">
        <v>0</v>
      </c>
    </row>
    <row r="1003" spans="1:17">
      <c r="A1003" s="2">
        <v>2951</v>
      </c>
      <c r="B1003" s="7">
        <v>0</v>
      </c>
      <c r="C1003" s="7">
        <v>0</v>
      </c>
      <c r="D1003" s="7">
        <v>0</v>
      </c>
      <c r="E1003" s="7">
        <v>0</v>
      </c>
      <c r="F1003" s="7">
        <v>0</v>
      </c>
      <c r="G1003" s="7">
        <v>0</v>
      </c>
      <c r="H1003" s="7">
        <v>0</v>
      </c>
      <c r="I1003" s="7">
        <v>0</v>
      </c>
      <c r="J1003" s="7">
        <v>0</v>
      </c>
      <c r="K1003" s="7">
        <v>0</v>
      </c>
      <c r="L1003" s="7">
        <v>0</v>
      </c>
      <c r="M1003" s="7">
        <v>0</v>
      </c>
      <c r="N1003" s="7">
        <v>0</v>
      </c>
      <c r="O1003" s="7">
        <v>0</v>
      </c>
      <c r="P1003" s="7">
        <v>0</v>
      </c>
      <c r="Q1003" s="7">
        <v>0</v>
      </c>
    </row>
    <row r="1004" spans="1:17">
      <c r="A1004" s="2">
        <v>2952</v>
      </c>
      <c r="B1004" s="7">
        <v>0</v>
      </c>
      <c r="C1004" s="7">
        <v>0</v>
      </c>
      <c r="D1004" s="7">
        <v>0</v>
      </c>
      <c r="E1004" s="7">
        <v>0</v>
      </c>
      <c r="F1004" s="7">
        <v>0</v>
      </c>
      <c r="G1004" s="7">
        <v>0</v>
      </c>
      <c r="H1004" s="7">
        <v>0</v>
      </c>
      <c r="I1004" s="7">
        <v>0</v>
      </c>
      <c r="J1004" s="7">
        <v>0</v>
      </c>
      <c r="K1004" s="7">
        <v>0</v>
      </c>
      <c r="L1004" s="7">
        <v>0</v>
      </c>
      <c r="M1004" s="7">
        <v>0</v>
      </c>
      <c r="N1004" s="7">
        <v>0</v>
      </c>
      <c r="O1004" s="7">
        <v>0</v>
      </c>
      <c r="P1004" s="7">
        <v>0</v>
      </c>
      <c r="Q1004" s="7">
        <v>0</v>
      </c>
    </row>
    <row r="1005" spans="1:17">
      <c r="A1005" s="2">
        <v>2953</v>
      </c>
      <c r="B1005" s="7">
        <v>0</v>
      </c>
      <c r="C1005" s="7">
        <v>0</v>
      </c>
      <c r="D1005" s="7">
        <v>0</v>
      </c>
      <c r="E1005" s="7">
        <v>0</v>
      </c>
      <c r="F1005" s="7">
        <v>0</v>
      </c>
      <c r="G1005" s="7">
        <v>0</v>
      </c>
      <c r="H1005" s="7">
        <v>0</v>
      </c>
      <c r="I1005" s="7">
        <v>0</v>
      </c>
      <c r="J1005" s="7">
        <v>0</v>
      </c>
      <c r="K1005" s="7">
        <v>0</v>
      </c>
      <c r="L1005" s="7">
        <v>0</v>
      </c>
      <c r="M1005" s="7">
        <v>0</v>
      </c>
      <c r="N1005" s="7">
        <v>0</v>
      </c>
      <c r="O1005" s="7">
        <v>0</v>
      </c>
      <c r="P1005" s="7">
        <v>0</v>
      </c>
      <c r="Q1005" s="7">
        <v>0</v>
      </c>
    </row>
    <row r="1006" spans="1:17">
      <c r="A1006" s="2">
        <v>2954</v>
      </c>
      <c r="B1006" s="7">
        <v>0</v>
      </c>
      <c r="C1006" s="7">
        <v>0</v>
      </c>
      <c r="D1006" s="7">
        <v>0</v>
      </c>
      <c r="E1006" s="7">
        <v>0</v>
      </c>
      <c r="F1006" s="7">
        <v>0</v>
      </c>
      <c r="G1006" s="7">
        <v>0</v>
      </c>
      <c r="H1006" s="7">
        <v>0</v>
      </c>
      <c r="I1006" s="7">
        <v>0</v>
      </c>
      <c r="J1006" s="7">
        <v>0</v>
      </c>
      <c r="K1006" s="7">
        <v>0</v>
      </c>
      <c r="L1006" s="7">
        <v>0</v>
      </c>
      <c r="M1006" s="7">
        <v>0</v>
      </c>
      <c r="N1006" s="7">
        <v>0</v>
      </c>
      <c r="O1006" s="7">
        <v>0</v>
      </c>
      <c r="P1006" s="7">
        <v>0</v>
      </c>
      <c r="Q1006" s="7">
        <v>0</v>
      </c>
    </row>
    <row r="1007" spans="1:17">
      <c r="A1007" s="2">
        <v>2955</v>
      </c>
      <c r="B1007" s="7">
        <v>0</v>
      </c>
      <c r="C1007" s="7">
        <v>0</v>
      </c>
      <c r="D1007" s="7">
        <v>0</v>
      </c>
      <c r="E1007" s="7">
        <v>0</v>
      </c>
      <c r="F1007" s="7">
        <v>0</v>
      </c>
      <c r="G1007" s="7">
        <v>0</v>
      </c>
      <c r="H1007" s="7">
        <v>0</v>
      </c>
      <c r="I1007" s="7">
        <v>0</v>
      </c>
      <c r="J1007" s="7">
        <v>0</v>
      </c>
      <c r="K1007" s="7">
        <v>0</v>
      </c>
      <c r="L1007" s="7">
        <v>0</v>
      </c>
      <c r="M1007" s="7">
        <v>0</v>
      </c>
      <c r="N1007" s="7">
        <v>0</v>
      </c>
      <c r="O1007" s="7">
        <v>0</v>
      </c>
      <c r="P1007" s="7">
        <v>0</v>
      </c>
      <c r="Q1007" s="7">
        <v>0</v>
      </c>
    </row>
    <row r="1008" spans="1:17">
      <c r="A1008" s="2">
        <v>2956</v>
      </c>
      <c r="B1008" s="7">
        <v>0</v>
      </c>
      <c r="C1008" s="7">
        <v>0</v>
      </c>
      <c r="D1008" s="7">
        <v>0</v>
      </c>
      <c r="E1008" s="7">
        <v>0</v>
      </c>
      <c r="F1008" s="7">
        <v>0</v>
      </c>
      <c r="G1008" s="7">
        <v>0</v>
      </c>
      <c r="H1008" s="7">
        <v>0</v>
      </c>
      <c r="I1008" s="7">
        <v>0</v>
      </c>
      <c r="J1008" s="7">
        <v>0</v>
      </c>
      <c r="K1008" s="7">
        <v>0</v>
      </c>
      <c r="L1008" s="7">
        <v>0</v>
      </c>
      <c r="M1008" s="7">
        <v>0</v>
      </c>
      <c r="N1008" s="7">
        <v>0</v>
      </c>
      <c r="O1008" s="7">
        <v>0</v>
      </c>
      <c r="P1008" s="7">
        <v>0</v>
      </c>
      <c r="Q1008" s="7">
        <v>0</v>
      </c>
    </row>
    <row r="1009" spans="1:17">
      <c r="A1009" s="2">
        <v>2957</v>
      </c>
      <c r="B1009" s="7">
        <v>0</v>
      </c>
      <c r="C1009" s="7">
        <v>0</v>
      </c>
      <c r="D1009" s="7">
        <v>0</v>
      </c>
      <c r="E1009" s="7">
        <v>0</v>
      </c>
      <c r="F1009" s="7">
        <v>0</v>
      </c>
      <c r="G1009" s="7">
        <v>0</v>
      </c>
      <c r="H1009" s="7">
        <v>0</v>
      </c>
      <c r="I1009" s="7">
        <v>0</v>
      </c>
      <c r="J1009" s="7">
        <v>0</v>
      </c>
      <c r="K1009" s="7">
        <v>0</v>
      </c>
      <c r="L1009" s="7">
        <v>0</v>
      </c>
      <c r="M1009" s="7">
        <v>0</v>
      </c>
      <c r="N1009" s="7">
        <v>0</v>
      </c>
      <c r="O1009" s="7">
        <v>0</v>
      </c>
      <c r="P1009" s="7">
        <v>0</v>
      </c>
      <c r="Q1009" s="7">
        <v>0</v>
      </c>
    </row>
    <row r="1010" spans="1:17">
      <c r="A1010" s="2">
        <v>2958</v>
      </c>
      <c r="B1010" s="7">
        <v>0</v>
      </c>
      <c r="C1010" s="7">
        <v>0</v>
      </c>
      <c r="D1010" s="7">
        <v>0</v>
      </c>
      <c r="E1010" s="7">
        <v>0</v>
      </c>
      <c r="F1010" s="7">
        <v>0</v>
      </c>
      <c r="G1010" s="7">
        <v>0</v>
      </c>
      <c r="H1010" s="7">
        <v>0</v>
      </c>
      <c r="I1010" s="7">
        <v>0</v>
      </c>
      <c r="J1010" s="7">
        <v>0</v>
      </c>
      <c r="K1010" s="7">
        <v>0</v>
      </c>
      <c r="L1010" s="7">
        <v>0</v>
      </c>
      <c r="M1010" s="7">
        <v>0</v>
      </c>
      <c r="N1010" s="7">
        <v>0</v>
      </c>
      <c r="O1010" s="7">
        <v>0</v>
      </c>
      <c r="P1010" s="7">
        <v>0</v>
      </c>
      <c r="Q1010" s="7">
        <v>0</v>
      </c>
    </row>
    <row r="1011" spans="1:17">
      <c r="A1011" s="2">
        <v>2959</v>
      </c>
      <c r="B1011" s="7">
        <v>0</v>
      </c>
      <c r="C1011" s="7">
        <v>0</v>
      </c>
      <c r="D1011" s="7">
        <v>0</v>
      </c>
      <c r="E1011" s="7">
        <v>0</v>
      </c>
      <c r="F1011" s="7">
        <v>0</v>
      </c>
      <c r="G1011" s="7">
        <v>0</v>
      </c>
      <c r="H1011" s="7">
        <v>0</v>
      </c>
      <c r="I1011" s="7">
        <v>0</v>
      </c>
      <c r="J1011" s="7">
        <v>0</v>
      </c>
      <c r="K1011" s="7">
        <v>0</v>
      </c>
      <c r="L1011" s="7">
        <v>0</v>
      </c>
      <c r="M1011" s="7">
        <v>0</v>
      </c>
      <c r="N1011" s="7">
        <v>0</v>
      </c>
      <c r="O1011" s="7">
        <v>0</v>
      </c>
      <c r="P1011" s="7">
        <v>0</v>
      </c>
      <c r="Q1011" s="7">
        <v>0</v>
      </c>
    </row>
    <row r="1012" spans="1:17">
      <c r="A1012" s="2">
        <v>2960</v>
      </c>
      <c r="B1012" s="7">
        <v>0</v>
      </c>
      <c r="C1012" s="7">
        <v>0</v>
      </c>
      <c r="D1012" s="7">
        <v>0</v>
      </c>
      <c r="E1012" s="7">
        <v>0</v>
      </c>
      <c r="F1012" s="7">
        <v>0</v>
      </c>
      <c r="G1012" s="7">
        <v>0</v>
      </c>
      <c r="H1012" s="7">
        <v>0</v>
      </c>
      <c r="I1012" s="7">
        <v>0</v>
      </c>
      <c r="J1012" s="7">
        <v>0</v>
      </c>
      <c r="K1012" s="7">
        <v>0</v>
      </c>
      <c r="L1012" s="7">
        <v>0</v>
      </c>
      <c r="M1012" s="7">
        <v>0</v>
      </c>
      <c r="N1012" s="7">
        <v>0</v>
      </c>
      <c r="O1012" s="7">
        <v>0</v>
      </c>
      <c r="P1012" s="7">
        <v>0</v>
      </c>
      <c r="Q1012" s="7">
        <v>0</v>
      </c>
    </row>
    <row r="1013" spans="1:17">
      <c r="A1013" s="2">
        <v>2961</v>
      </c>
      <c r="B1013" s="7">
        <v>0</v>
      </c>
      <c r="C1013" s="7">
        <v>0</v>
      </c>
      <c r="D1013" s="7">
        <v>0</v>
      </c>
      <c r="E1013" s="7">
        <v>0</v>
      </c>
      <c r="F1013" s="7">
        <v>0</v>
      </c>
      <c r="G1013" s="7">
        <v>0</v>
      </c>
      <c r="H1013" s="7">
        <v>0</v>
      </c>
      <c r="I1013" s="7">
        <v>0</v>
      </c>
      <c r="J1013" s="7">
        <v>0</v>
      </c>
      <c r="K1013" s="7">
        <v>0</v>
      </c>
      <c r="L1013" s="7">
        <v>0</v>
      </c>
      <c r="M1013" s="7">
        <v>0</v>
      </c>
      <c r="N1013" s="7">
        <v>0</v>
      </c>
      <c r="O1013" s="7">
        <v>0</v>
      </c>
      <c r="P1013" s="7">
        <v>0</v>
      </c>
      <c r="Q1013" s="7">
        <v>0</v>
      </c>
    </row>
    <row r="1014" spans="1:17">
      <c r="A1014" s="2">
        <v>2962</v>
      </c>
      <c r="B1014" s="7">
        <v>0</v>
      </c>
      <c r="C1014" s="7">
        <v>0</v>
      </c>
      <c r="D1014" s="7">
        <v>0</v>
      </c>
      <c r="E1014" s="7">
        <v>0</v>
      </c>
      <c r="F1014" s="7">
        <v>0</v>
      </c>
      <c r="G1014" s="7">
        <v>0</v>
      </c>
      <c r="H1014" s="7">
        <v>0</v>
      </c>
      <c r="I1014" s="7">
        <v>0</v>
      </c>
      <c r="J1014" s="7">
        <v>0</v>
      </c>
      <c r="K1014" s="7">
        <v>0</v>
      </c>
      <c r="L1014" s="7">
        <v>0</v>
      </c>
      <c r="M1014" s="7">
        <v>0</v>
      </c>
      <c r="N1014" s="7">
        <v>0</v>
      </c>
      <c r="O1014" s="7">
        <v>0</v>
      </c>
      <c r="P1014" s="7">
        <v>0</v>
      </c>
      <c r="Q1014" s="7">
        <v>0</v>
      </c>
    </row>
    <row r="1015" spans="1:17">
      <c r="A1015" s="2">
        <v>2963</v>
      </c>
      <c r="B1015" s="7">
        <v>0</v>
      </c>
      <c r="C1015" s="7">
        <v>0</v>
      </c>
      <c r="D1015" s="7">
        <v>0</v>
      </c>
      <c r="E1015" s="7">
        <v>0</v>
      </c>
      <c r="F1015" s="7">
        <v>0</v>
      </c>
      <c r="G1015" s="7">
        <v>0</v>
      </c>
      <c r="H1015" s="7">
        <v>0</v>
      </c>
      <c r="I1015" s="7">
        <v>0</v>
      </c>
      <c r="J1015" s="7">
        <v>0</v>
      </c>
      <c r="K1015" s="7">
        <v>0</v>
      </c>
      <c r="L1015" s="7">
        <v>0</v>
      </c>
      <c r="M1015" s="7">
        <v>0</v>
      </c>
      <c r="N1015" s="7">
        <v>0</v>
      </c>
      <c r="O1015" s="7">
        <v>0</v>
      </c>
      <c r="P1015" s="7">
        <v>0</v>
      </c>
      <c r="Q1015" s="7">
        <v>0</v>
      </c>
    </row>
    <row r="1016" spans="1:17">
      <c r="A1016" s="2">
        <v>2964</v>
      </c>
      <c r="B1016" s="7">
        <v>0</v>
      </c>
      <c r="C1016" s="7">
        <v>0</v>
      </c>
      <c r="D1016" s="7">
        <v>0</v>
      </c>
      <c r="E1016" s="7">
        <v>0</v>
      </c>
      <c r="F1016" s="7">
        <v>0</v>
      </c>
      <c r="G1016" s="7">
        <v>0</v>
      </c>
      <c r="H1016" s="7">
        <v>0</v>
      </c>
      <c r="I1016" s="7">
        <v>0</v>
      </c>
      <c r="J1016" s="7">
        <v>0</v>
      </c>
      <c r="K1016" s="7">
        <v>0</v>
      </c>
      <c r="L1016" s="7">
        <v>0</v>
      </c>
      <c r="M1016" s="7">
        <v>0</v>
      </c>
      <c r="N1016" s="7">
        <v>0</v>
      </c>
      <c r="O1016" s="7">
        <v>0</v>
      </c>
      <c r="P1016" s="7">
        <v>0</v>
      </c>
      <c r="Q1016" s="7">
        <v>0</v>
      </c>
    </row>
    <row r="1017" spans="1:17">
      <c r="A1017" s="2">
        <v>2965</v>
      </c>
      <c r="B1017" s="7">
        <v>0</v>
      </c>
      <c r="C1017" s="7">
        <v>0</v>
      </c>
      <c r="D1017" s="7">
        <v>0</v>
      </c>
      <c r="E1017" s="7">
        <v>0</v>
      </c>
      <c r="F1017" s="7">
        <v>0</v>
      </c>
      <c r="G1017" s="7">
        <v>0</v>
      </c>
      <c r="H1017" s="7">
        <v>0</v>
      </c>
      <c r="I1017" s="7">
        <v>0</v>
      </c>
      <c r="J1017" s="7">
        <v>0</v>
      </c>
      <c r="K1017" s="7">
        <v>0</v>
      </c>
      <c r="L1017" s="7">
        <v>0</v>
      </c>
      <c r="M1017" s="7">
        <v>0</v>
      </c>
      <c r="N1017" s="7">
        <v>0</v>
      </c>
      <c r="O1017" s="7">
        <v>0</v>
      </c>
      <c r="P1017" s="7">
        <v>0</v>
      </c>
      <c r="Q1017" s="7">
        <v>0</v>
      </c>
    </row>
    <row r="1018" spans="1:17">
      <c r="A1018" s="2">
        <v>2966</v>
      </c>
      <c r="B1018" s="7">
        <v>0</v>
      </c>
      <c r="C1018" s="7">
        <v>0</v>
      </c>
      <c r="D1018" s="7">
        <v>0</v>
      </c>
      <c r="E1018" s="7">
        <v>0</v>
      </c>
      <c r="F1018" s="7">
        <v>0</v>
      </c>
      <c r="G1018" s="7">
        <v>0</v>
      </c>
      <c r="H1018" s="7">
        <v>0</v>
      </c>
      <c r="I1018" s="7">
        <v>0</v>
      </c>
      <c r="J1018" s="7">
        <v>0</v>
      </c>
      <c r="K1018" s="7">
        <v>0</v>
      </c>
      <c r="L1018" s="7">
        <v>0</v>
      </c>
      <c r="M1018" s="7">
        <v>0</v>
      </c>
      <c r="N1018" s="7">
        <v>0</v>
      </c>
      <c r="O1018" s="7">
        <v>0</v>
      </c>
      <c r="P1018" s="7">
        <v>0</v>
      </c>
      <c r="Q1018" s="7">
        <v>0</v>
      </c>
    </row>
    <row r="1019" spans="1:17">
      <c r="A1019" s="2">
        <v>2967</v>
      </c>
      <c r="B1019" s="7">
        <v>0</v>
      </c>
      <c r="C1019" s="7">
        <v>0</v>
      </c>
      <c r="D1019" s="7">
        <v>0</v>
      </c>
      <c r="E1019" s="7">
        <v>0</v>
      </c>
      <c r="F1019" s="7">
        <v>0</v>
      </c>
      <c r="G1019" s="7">
        <v>0</v>
      </c>
      <c r="H1019" s="7">
        <v>0</v>
      </c>
      <c r="I1019" s="7">
        <v>0</v>
      </c>
      <c r="J1019" s="7">
        <v>0</v>
      </c>
      <c r="K1019" s="7">
        <v>0</v>
      </c>
      <c r="L1019" s="7">
        <v>0</v>
      </c>
      <c r="M1019" s="7">
        <v>0</v>
      </c>
      <c r="N1019" s="7">
        <v>0</v>
      </c>
      <c r="O1019" s="7">
        <v>0</v>
      </c>
      <c r="P1019" s="7">
        <v>0</v>
      </c>
      <c r="Q1019" s="7">
        <v>0</v>
      </c>
    </row>
    <row r="1020" spans="1:17">
      <c r="A1020" s="2">
        <v>2968</v>
      </c>
      <c r="B1020" s="7">
        <v>0</v>
      </c>
      <c r="C1020" s="7">
        <v>0</v>
      </c>
      <c r="D1020" s="7">
        <v>0</v>
      </c>
      <c r="E1020" s="7">
        <v>0</v>
      </c>
      <c r="F1020" s="7">
        <v>0</v>
      </c>
      <c r="G1020" s="7">
        <v>0</v>
      </c>
      <c r="H1020" s="7">
        <v>0</v>
      </c>
      <c r="I1020" s="7">
        <v>0</v>
      </c>
      <c r="J1020" s="7">
        <v>0</v>
      </c>
      <c r="K1020" s="7">
        <v>0</v>
      </c>
      <c r="L1020" s="7">
        <v>0</v>
      </c>
      <c r="M1020" s="7">
        <v>0</v>
      </c>
      <c r="N1020" s="7">
        <v>0</v>
      </c>
      <c r="O1020" s="7">
        <v>0</v>
      </c>
      <c r="P1020" s="7">
        <v>0</v>
      </c>
      <c r="Q1020" s="7">
        <v>0</v>
      </c>
    </row>
    <row r="1021" spans="1:17">
      <c r="A1021" s="2">
        <v>2969</v>
      </c>
      <c r="B1021" s="7">
        <v>0</v>
      </c>
      <c r="C1021" s="7">
        <v>0</v>
      </c>
      <c r="D1021" s="7">
        <v>0</v>
      </c>
      <c r="E1021" s="7">
        <v>0</v>
      </c>
      <c r="F1021" s="7">
        <v>0</v>
      </c>
      <c r="G1021" s="7">
        <v>0</v>
      </c>
      <c r="H1021" s="7">
        <v>0</v>
      </c>
      <c r="I1021" s="7">
        <v>0</v>
      </c>
      <c r="J1021" s="7">
        <v>0</v>
      </c>
      <c r="K1021" s="7">
        <v>0</v>
      </c>
      <c r="L1021" s="7">
        <v>0</v>
      </c>
      <c r="M1021" s="7">
        <v>0</v>
      </c>
      <c r="N1021" s="7">
        <v>0</v>
      </c>
      <c r="O1021" s="7">
        <v>0</v>
      </c>
      <c r="P1021" s="7">
        <v>0</v>
      </c>
      <c r="Q1021" s="7">
        <v>0</v>
      </c>
    </row>
    <row r="1022" spans="1:17">
      <c r="A1022" s="2">
        <v>2970</v>
      </c>
      <c r="B1022" s="7">
        <v>0</v>
      </c>
      <c r="C1022" s="7">
        <v>0</v>
      </c>
      <c r="D1022" s="7">
        <v>0</v>
      </c>
      <c r="E1022" s="7">
        <v>0</v>
      </c>
      <c r="F1022" s="7">
        <v>0</v>
      </c>
      <c r="G1022" s="7">
        <v>0</v>
      </c>
      <c r="H1022" s="7">
        <v>0</v>
      </c>
      <c r="I1022" s="7">
        <v>0</v>
      </c>
      <c r="J1022" s="7">
        <v>0</v>
      </c>
      <c r="K1022" s="7">
        <v>0</v>
      </c>
      <c r="L1022" s="7">
        <v>0</v>
      </c>
      <c r="M1022" s="7">
        <v>0</v>
      </c>
      <c r="N1022" s="7">
        <v>0</v>
      </c>
      <c r="O1022" s="7">
        <v>0</v>
      </c>
      <c r="P1022" s="7">
        <v>0</v>
      </c>
      <c r="Q1022" s="7">
        <v>0</v>
      </c>
    </row>
    <row r="1023" spans="1:17">
      <c r="A1023" s="2">
        <v>2971</v>
      </c>
      <c r="B1023" s="7">
        <v>0</v>
      </c>
      <c r="C1023" s="7">
        <v>0</v>
      </c>
      <c r="D1023" s="7">
        <v>0</v>
      </c>
      <c r="E1023" s="7">
        <v>0</v>
      </c>
      <c r="F1023" s="7">
        <v>0</v>
      </c>
      <c r="G1023" s="7">
        <v>0</v>
      </c>
      <c r="H1023" s="7">
        <v>0</v>
      </c>
      <c r="I1023" s="7">
        <v>0</v>
      </c>
      <c r="J1023" s="7">
        <v>0</v>
      </c>
      <c r="K1023" s="7">
        <v>0</v>
      </c>
      <c r="L1023" s="7">
        <v>0</v>
      </c>
      <c r="M1023" s="7">
        <v>0</v>
      </c>
      <c r="N1023" s="7">
        <v>0</v>
      </c>
      <c r="O1023" s="7">
        <v>0</v>
      </c>
      <c r="P1023" s="7">
        <v>0</v>
      </c>
      <c r="Q1023" s="7">
        <v>0</v>
      </c>
    </row>
    <row r="1024" spans="1:17">
      <c r="A1024" s="2">
        <v>2972</v>
      </c>
      <c r="B1024" s="7">
        <v>0</v>
      </c>
      <c r="C1024" s="7">
        <v>0</v>
      </c>
      <c r="D1024" s="7">
        <v>0</v>
      </c>
      <c r="E1024" s="7">
        <v>0</v>
      </c>
      <c r="F1024" s="7">
        <v>0</v>
      </c>
      <c r="G1024" s="7">
        <v>0</v>
      </c>
      <c r="H1024" s="7">
        <v>0</v>
      </c>
      <c r="I1024" s="7">
        <v>0</v>
      </c>
      <c r="J1024" s="7">
        <v>0</v>
      </c>
      <c r="K1024" s="7">
        <v>0</v>
      </c>
      <c r="L1024" s="7">
        <v>0</v>
      </c>
      <c r="M1024" s="7">
        <v>0</v>
      </c>
      <c r="N1024" s="7">
        <v>0</v>
      </c>
      <c r="O1024" s="7">
        <v>0</v>
      </c>
      <c r="P1024" s="7">
        <v>0</v>
      </c>
      <c r="Q1024" s="7">
        <v>0</v>
      </c>
    </row>
    <row r="1025" spans="1:17">
      <c r="A1025" s="2">
        <v>2973</v>
      </c>
      <c r="B1025" s="7">
        <v>0</v>
      </c>
      <c r="C1025" s="7">
        <v>0</v>
      </c>
      <c r="D1025" s="7">
        <v>0</v>
      </c>
      <c r="E1025" s="7">
        <v>0</v>
      </c>
      <c r="F1025" s="7">
        <v>0</v>
      </c>
      <c r="G1025" s="7">
        <v>0</v>
      </c>
      <c r="H1025" s="7">
        <v>0</v>
      </c>
      <c r="I1025" s="7">
        <v>0</v>
      </c>
      <c r="J1025" s="7">
        <v>0</v>
      </c>
      <c r="K1025" s="7">
        <v>0</v>
      </c>
      <c r="L1025" s="7">
        <v>0</v>
      </c>
      <c r="M1025" s="7">
        <v>0</v>
      </c>
      <c r="N1025" s="7">
        <v>0</v>
      </c>
      <c r="O1025" s="7">
        <v>0</v>
      </c>
      <c r="P1025" s="7">
        <v>0</v>
      </c>
      <c r="Q1025" s="7">
        <v>0</v>
      </c>
    </row>
    <row r="1026" spans="1:17">
      <c r="A1026" s="2">
        <v>2974</v>
      </c>
      <c r="B1026" s="7">
        <v>0</v>
      </c>
      <c r="C1026" s="7">
        <v>0</v>
      </c>
      <c r="D1026" s="7">
        <v>0</v>
      </c>
      <c r="E1026" s="7">
        <v>0</v>
      </c>
      <c r="F1026" s="7">
        <v>0</v>
      </c>
      <c r="G1026" s="7">
        <v>0</v>
      </c>
      <c r="H1026" s="7">
        <v>0</v>
      </c>
      <c r="I1026" s="7">
        <v>0</v>
      </c>
      <c r="J1026" s="7">
        <v>0</v>
      </c>
      <c r="K1026" s="7">
        <v>0</v>
      </c>
      <c r="L1026" s="7">
        <v>0</v>
      </c>
      <c r="M1026" s="7">
        <v>0</v>
      </c>
      <c r="N1026" s="7">
        <v>0</v>
      </c>
      <c r="O1026" s="7">
        <v>0</v>
      </c>
      <c r="P1026" s="7">
        <v>0</v>
      </c>
      <c r="Q1026" s="7">
        <v>0</v>
      </c>
    </row>
    <row r="1027" spans="1:17">
      <c r="A1027" s="2">
        <v>2975</v>
      </c>
      <c r="B1027" s="7">
        <v>0</v>
      </c>
      <c r="C1027" s="7">
        <v>0</v>
      </c>
      <c r="D1027" s="7">
        <v>0</v>
      </c>
      <c r="E1027" s="7">
        <v>0</v>
      </c>
      <c r="F1027" s="7">
        <v>0</v>
      </c>
      <c r="G1027" s="7">
        <v>0</v>
      </c>
      <c r="H1027" s="7">
        <v>0</v>
      </c>
      <c r="I1027" s="7">
        <v>0</v>
      </c>
      <c r="J1027" s="7">
        <v>0</v>
      </c>
      <c r="K1027" s="7">
        <v>0</v>
      </c>
      <c r="L1027" s="7">
        <v>0</v>
      </c>
      <c r="M1027" s="7">
        <v>0</v>
      </c>
      <c r="N1027" s="7">
        <v>0</v>
      </c>
      <c r="O1027" s="7">
        <v>0</v>
      </c>
      <c r="P1027" s="7">
        <v>0</v>
      </c>
      <c r="Q1027" s="7">
        <v>0</v>
      </c>
    </row>
    <row r="1028" spans="1:17">
      <c r="A1028" s="2">
        <v>2976</v>
      </c>
      <c r="B1028" s="7">
        <v>0</v>
      </c>
      <c r="C1028" s="7">
        <v>0</v>
      </c>
      <c r="D1028" s="7">
        <v>0</v>
      </c>
      <c r="E1028" s="7">
        <v>0</v>
      </c>
      <c r="F1028" s="7">
        <v>0</v>
      </c>
      <c r="G1028" s="7">
        <v>0</v>
      </c>
      <c r="H1028" s="7">
        <v>0</v>
      </c>
      <c r="I1028" s="7">
        <v>0</v>
      </c>
      <c r="J1028" s="7">
        <v>0</v>
      </c>
      <c r="K1028" s="7">
        <v>0</v>
      </c>
      <c r="L1028" s="7">
        <v>0</v>
      </c>
      <c r="M1028" s="7">
        <v>0</v>
      </c>
      <c r="N1028" s="7">
        <v>0</v>
      </c>
      <c r="O1028" s="7">
        <v>0</v>
      </c>
      <c r="P1028" s="7">
        <v>0</v>
      </c>
      <c r="Q1028" s="7">
        <v>0</v>
      </c>
    </row>
    <row r="1029" spans="1:17">
      <c r="A1029" s="2">
        <v>2977</v>
      </c>
      <c r="B1029" s="7">
        <v>0</v>
      </c>
      <c r="C1029" s="7">
        <v>0</v>
      </c>
      <c r="D1029" s="7">
        <v>0</v>
      </c>
      <c r="E1029" s="7">
        <v>0</v>
      </c>
      <c r="F1029" s="7">
        <v>0</v>
      </c>
      <c r="G1029" s="7">
        <v>0</v>
      </c>
      <c r="H1029" s="7">
        <v>0</v>
      </c>
      <c r="I1029" s="7">
        <v>0</v>
      </c>
      <c r="J1029" s="7">
        <v>0</v>
      </c>
      <c r="K1029" s="7">
        <v>0</v>
      </c>
      <c r="L1029" s="7">
        <v>0</v>
      </c>
      <c r="M1029" s="7">
        <v>0</v>
      </c>
      <c r="N1029" s="7">
        <v>0</v>
      </c>
      <c r="O1029" s="7">
        <v>0</v>
      </c>
      <c r="P1029" s="7">
        <v>0</v>
      </c>
      <c r="Q1029" s="7">
        <v>0</v>
      </c>
    </row>
    <row r="1030" spans="1:17">
      <c r="A1030" s="2">
        <v>2978</v>
      </c>
      <c r="B1030" s="7">
        <v>0</v>
      </c>
      <c r="C1030" s="7">
        <v>0</v>
      </c>
      <c r="D1030" s="7">
        <v>0</v>
      </c>
      <c r="E1030" s="7">
        <v>0</v>
      </c>
      <c r="F1030" s="7">
        <v>0</v>
      </c>
      <c r="G1030" s="7">
        <v>0</v>
      </c>
      <c r="H1030" s="7">
        <v>0</v>
      </c>
      <c r="I1030" s="7">
        <v>0</v>
      </c>
      <c r="J1030" s="7">
        <v>0</v>
      </c>
      <c r="K1030" s="7">
        <v>0</v>
      </c>
      <c r="L1030" s="7">
        <v>0</v>
      </c>
      <c r="M1030" s="7">
        <v>0</v>
      </c>
      <c r="N1030" s="7">
        <v>0</v>
      </c>
      <c r="O1030" s="7">
        <v>0</v>
      </c>
      <c r="P1030" s="7">
        <v>0</v>
      </c>
      <c r="Q1030" s="7">
        <v>0</v>
      </c>
    </row>
    <row r="1031" spans="1:17">
      <c r="A1031" s="2">
        <v>2979</v>
      </c>
      <c r="B1031" s="7">
        <v>0</v>
      </c>
      <c r="C1031" s="7">
        <v>0</v>
      </c>
      <c r="D1031" s="7">
        <v>0</v>
      </c>
      <c r="E1031" s="7">
        <v>0</v>
      </c>
      <c r="F1031" s="7">
        <v>0</v>
      </c>
      <c r="G1031" s="7">
        <v>0</v>
      </c>
      <c r="H1031" s="7">
        <v>0</v>
      </c>
      <c r="I1031" s="7">
        <v>0</v>
      </c>
      <c r="J1031" s="7">
        <v>0</v>
      </c>
      <c r="K1031" s="7">
        <v>0</v>
      </c>
      <c r="L1031" s="7">
        <v>0</v>
      </c>
      <c r="M1031" s="7">
        <v>0</v>
      </c>
      <c r="N1031" s="7">
        <v>0</v>
      </c>
      <c r="O1031" s="7">
        <v>0</v>
      </c>
      <c r="P1031" s="7">
        <v>0</v>
      </c>
      <c r="Q1031" s="7">
        <v>0</v>
      </c>
    </row>
    <row r="1032" spans="1:17">
      <c r="A1032" s="2">
        <v>2980</v>
      </c>
      <c r="B1032" s="7">
        <v>0</v>
      </c>
      <c r="C1032" s="7">
        <v>0</v>
      </c>
      <c r="D1032" s="7">
        <v>0</v>
      </c>
      <c r="E1032" s="7">
        <v>0</v>
      </c>
      <c r="F1032" s="7">
        <v>0</v>
      </c>
      <c r="G1032" s="7">
        <v>0</v>
      </c>
      <c r="H1032" s="7">
        <v>0</v>
      </c>
      <c r="I1032" s="7">
        <v>0</v>
      </c>
      <c r="J1032" s="7">
        <v>0</v>
      </c>
      <c r="K1032" s="7">
        <v>0</v>
      </c>
      <c r="L1032" s="7">
        <v>0</v>
      </c>
      <c r="M1032" s="7">
        <v>0</v>
      </c>
      <c r="N1032" s="7">
        <v>0</v>
      </c>
      <c r="O1032" s="7">
        <v>0</v>
      </c>
      <c r="P1032" s="7">
        <v>0</v>
      </c>
      <c r="Q1032" s="7">
        <v>0</v>
      </c>
    </row>
    <row r="1033" spans="1:17">
      <c r="A1033" s="2">
        <v>2981</v>
      </c>
      <c r="B1033" s="7">
        <v>0</v>
      </c>
      <c r="C1033" s="7">
        <v>0</v>
      </c>
      <c r="D1033" s="7">
        <v>0</v>
      </c>
      <c r="E1033" s="7">
        <v>0</v>
      </c>
      <c r="F1033" s="7">
        <v>0</v>
      </c>
      <c r="G1033" s="7">
        <v>0</v>
      </c>
      <c r="H1033" s="7">
        <v>0</v>
      </c>
      <c r="I1033" s="7">
        <v>0</v>
      </c>
      <c r="J1033" s="7">
        <v>0</v>
      </c>
      <c r="K1033" s="7">
        <v>0</v>
      </c>
      <c r="L1033" s="7">
        <v>0</v>
      </c>
      <c r="M1033" s="7">
        <v>0</v>
      </c>
      <c r="N1033" s="7">
        <v>0</v>
      </c>
      <c r="O1033" s="7">
        <v>0</v>
      </c>
      <c r="P1033" s="7">
        <v>0</v>
      </c>
      <c r="Q1033" s="7">
        <v>0</v>
      </c>
    </row>
    <row r="1034" spans="1:17">
      <c r="A1034" s="2">
        <v>2982</v>
      </c>
      <c r="B1034" s="7">
        <v>0</v>
      </c>
      <c r="C1034" s="7">
        <v>0</v>
      </c>
      <c r="D1034" s="7">
        <v>0</v>
      </c>
      <c r="E1034" s="7">
        <v>0</v>
      </c>
      <c r="F1034" s="7">
        <v>0</v>
      </c>
      <c r="G1034" s="7">
        <v>0</v>
      </c>
      <c r="H1034" s="7">
        <v>0</v>
      </c>
      <c r="I1034" s="7">
        <v>0</v>
      </c>
      <c r="J1034" s="7">
        <v>0</v>
      </c>
      <c r="K1034" s="7">
        <v>0</v>
      </c>
      <c r="L1034" s="7">
        <v>0</v>
      </c>
      <c r="M1034" s="7">
        <v>0</v>
      </c>
      <c r="N1034" s="7">
        <v>0</v>
      </c>
      <c r="O1034" s="7">
        <v>0</v>
      </c>
      <c r="P1034" s="7">
        <v>0</v>
      </c>
      <c r="Q1034" s="7">
        <v>0</v>
      </c>
    </row>
    <row r="1035" spans="1:17">
      <c r="A1035" s="2">
        <v>2983</v>
      </c>
      <c r="B1035" s="7">
        <v>0</v>
      </c>
      <c r="C1035" s="7">
        <v>0</v>
      </c>
      <c r="D1035" s="7">
        <v>0</v>
      </c>
      <c r="E1035" s="7">
        <v>0</v>
      </c>
      <c r="F1035" s="7">
        <v>0</v>
      </c>
      <c r="G1035" s="7">
        <v>0</v>
      </c>
      <c r="H1035" s="7">
        <v>0</v>
      </c>
      <c r="I1035" s="7">
        <v>0</v>
      </c>
      <c r="J1035" s="7">
        <v>0</v>
      </c>
      <c r="K1035" s="7">
        <v>0</v>
      </c>
      <c r="L1035" s="7">
        <v>0</v>
      </c>
      <c r="M1035" s="7">
        <v>0</v>
      </c>
      <c r="N1035" s="7">
        <v>0</v>
      </c>
      <c r="O1035" s="7">
        <v>0</v>
      </c>
      <c r="P1035" s="7">
        <v>0</v>
      </c>
      <c r="Q1035" s="7">
        <v>0</v>
      </c>
    </row>
    <row r="1036" spans="1:17">
      <c r="A1036" s="2">
        <v>2984</v>
      </c>
      <c r="B1036" s="7">
        <v>0</v>
      </c>
      <c r="C1036" s="7">
        <v>0</v>
      </c>
      <c r="D1036" s="7">
        <v>0</v>
      </c>
      <c r="E1036" s="7">
        <v>0</v>
      </c>
      <c r="F1036" s="7">
        <v>0</v>
      </c>
      <c r="G1036" s="7">
        <v>0</v>
      </c>
      <c r="H1036" s="7">
        <v>0</v>
      </c>
      <c r="I1036" s="7">
        <v>0</v>
      </c>
      <c r="J1036" s="7">
        <v>0</v>
      </c>
      <c r="K1036" s="7">
        <v>0</v>
      </c>
      <c r="L1036" s="7">
        <v>0</v>
      </c>
      <c r="M1036" s="7">
        <v>0</v>
      </c>
      <c r="N1036" s="7">
        <v>0</v>
      </c>
      <c r="O1036" s="7">
        <v>0</v>
      </c>
      <c r="P1036" s="7">
        <v>0</v>
      </c>
      <c r="Q1036" s="7">
        <v>0</v>
      </c>
    </row>
    <row r="1037" spans="1:17">
      <c r="A1037" s="2">
        <v>2985</v>
      </c>
      <c r="B1037" s="7">
        <v>0</v>
      </c>
      <c r="C1037" s="7">
        <v>0</v>
      </c>
      <c r="D1037" s="7">
        <v>0</v>
      </c>
      <c r="E1037" s="7">
        <v>0</v>
      </c>
      <c r="F1037" s="7">
        <v>0</v>
      </c>
      <c r="G1037" s="7">
        <v>0</v>
      </c>
      <c r="H1037" s="7">
        <v>0</v>
      </c>
      <c r="I1037" s="7">
        <v>0</v>
      </c>
      <c r="J1037" s="7">
        <v>0</v>
      </c>
      <c r="K1037" s="7">
        <v>0</v>
      </c>
      <c r="L1037" s="7">
        <v>0</v>
      </c>
      <c r="M1037" s="7">
        <v>0</v>
      </c>
      <c r="N1037" s="7">
        <v>0</v>
      </c>
      <c r="O1037" s="7">
        <v>0</v>
      </c>
      <c r="P1037" s="7">
        <v>0</v>
      </c>
      <c r="Q1037" s="7">
        <v>0</v>
      </c>
    </row>
    <row r="1038" spans="1:17">
      <c r="A1038" s="2">
        <v>2986</v>
      </c>
      <c r="B1038" s="7">
        <v>0</v>
      </c>
      <c r="C1038" s="7">
        <v>0</v>
      </c>
      <c r="D1038" s="7">
        <v>0</v>
      </c>
      <c r="E1038" s="7">
        <v>0</v>
      </c>
      <c r="F1038" s="7">
        <v>0</v>
      </c>
      <c r="G1038" s="7">
        <v>0</v>
      </c>
      <c r="H1038" s="7">
        <v>0</v>
      </c>
      <c r="I1038" s="7">
        <v>0</v>
      </c>
      <c r="J1038" s="7">
        <v>0</v>
      </c>
      <c r="K1038" s="7">
        <v>0</v>
      </c>
      <c r="L1038" s="7">
        <v>0</v>
      </c>
      <c r="M1038" s="7">
        <v>0</v>
      </c>
      <c r="N1038" s="7">
        <v>0</v>
      </c>
      <c r="O1038" s="7">
        <v>0</v>
      </c>
      <c r="P1038" s="7">
        <v>0</v>
      </c>
      <c r="Q1038" s="7">
        <v>0</v>
      </c>
    </row>
    <row r="1039" spans="1:17">
      <c r="A1039" s="2">
        <v>2987</v>
      </c>
      <c r="B1039" s="7">
        <v>0</v>
      </c>
      <c r="C1039" s="7">
        <v>0</v>
      </c>
      <c r="D1039" s="7">
        <v>0</v>
      </c>
      <c r="E1039" s="7">
        <v>0</v>
      </c>
      <c r="F1039" s="7">
        <v>0</v>
      </c>
      <c r="G1039" s="7">
        <v>0</v>
      </c>
      <c r="H1039" s="7">
        <v>0</v>
      </c>
      <c r="I1039" s="7">
        <v>0</v>
      </c>
      <c r="J1039" s="7">
        <v>0</v>
      </c>
      <c r="K1039" s="7">
        <v>0</v>
      </c>
      <c r="L1039" s="7">
        <v>0</v>
      </c>
      <c r="M1039" s="7">
        <v>0</v>
      </c>
      <c r="N1039" s="7">
        <v>0</v>
      </c>
      <c r="O1039" s="7">
        <v>0</v>
      </c>
      <c r="P1039" s="7">
        <v>0</v>
      </c>
      <c r="Q1039" s="7">
        <v>0</v>
      </c>
    </row>
    <row r="1040" spans="1:17">
      <c r="A1040" s="2">
        <v>2988</v>
      </c>
      <c r="B1040" s="7">
        <v>0</v>
      </c>
      <c r="C1040" s="7">
        <v>0</v>
      </c>
      <c r="D1040" s="7">
        <v>0</v>
      </c>
      <c r="E1040" s="7">
        <v>0</v>
      </c>
      <c r="F1040" s="7">
        <v>0</v>
      </c>
      <c r="G1040" s="7">
        <v>0</v>
      </c>
      <c r="H1040" s="7">
        <v>0</v>
      </c>
      <c r="I1040" s="7">
        <v>0</v>
      </c>
      <c r="J1040" s="7">
        <v>0</v>
      </c>
      <c r="K1040" s="7">
        <v>0</v>
      </c>
      <c r="L1040" s="7">
        <v>0</v>
      </c>
      <c r="M1040" s="7">
        <v>0</v>
      </c>
      <c r="N1040" s="7">
        <v>0</v>
      </c>
      <c r="O1040" s="7">
        <v>0</v>
      </c>
      <c r="P1040" s="7">
        <v>0</v>
      </c>
      <c r="Q1040" s="7">
        <v>0</v>
      </c>
    </row>
    <row r="1041" spans="1:17">
      <c r="A1041" s="2">
        <v>2989</v>
      </c>
      <c r="B1041" s="7">
        <v>0</v>
      </c>
      <c r="C1041" s="7">
        <v>0</v>
      </c>
      <c r="D1041" s="7">
        <v>0</v>
      </c>
      <c r="E1041" s="7">
        <v>0</v>
      </c>
      <c r="F1041" s="7">
        <v>0</v>
      </c>
      <c r="G1041" s="7">
        <v>0</v>
      </c>
      <c r="H1041" s="7">
        <v>0</v>
      </c>
      <c r="I1041" s="7">
        <v>0</v>
      </c>
      <c r="J1041" s="7">
        <v>0</v>
      </c>
      <c r="K1041" s="7">
        <v>0</v>
      </c>
      <c r="L1041" s="7">
        <v>0</v>
      </c>
      <c r="M1041" s="7">
        <v>0</v>
      </c>
      <c r="N1041" s="7">
        <v>0</v>
      </c>
      <c r="O1041" s="7">
        <v>0</v>
      </c>
      <c r="P1041" s="7">
        <v>0</v>
      </c>
      <c r="Q1041" s="7">
        <v>0</v>
      </c>
    </row>
    <row r="1042" spans="1:17">
      <c r="A1042" s="2">
        <v>2990</v>
      </c>
      <c r="B1042" s="7">
        <v>0</v>
      </c>
      <c r="C1042" s="7">
        <v>0</v>
      </c>
      <c r="D1042" s="7">
        <v>0</v>
      </c>
      <c r="E1042" s="7">
        <v>0</v>
      </c>
      <c r="F1042" s="7">
        <v>0</v>
      </c>
      <c r="G1042" s="7">
        <v>0</v>
      </c>
      <c r="H1042" s="7">
        <v>0</v>
      </c>
      <c r="I1042" s="7">
        <v>0</v>
      </c>
      <c r="J1042" s="7">
        <v>0</v>
      </c>
      <c r="K1042" s="7">
        <v>0</v>
      </c>
      <c r="L1042" s="7">
        <v>0</v>
      </c>
      <c r="M1042" s="7">
        <v>0</v>
      </c>
      <c r="N1042" s="7">
        <v>0</v>
      </c>
      <c r="O1042" s="7">
        <v>0</v>
      </c>
      <c r="P1042" s="7">
        <v>0</v>
      </c>
      <c r="Q1042" s="7">
        <v>0</v>
      </c>
    </row>
    <row r="1043" spans="1:17">
      <c r="A1043" s="2">
        <v>2991</v>
      </c>
      <c r="B1043" s="7">
        <v>0</v>
      </c>
      <c r="C1043" s="7">
        <v>0</v>
      </c>
      <c r="D1043" s="7">
        <v>0</v>
      </c>
      <c r="E1043" s="7">
        <v>0</v>
      </c>
      <c r="F1043" s="7">
        <v>0</v>
      </c>
      <c r="G1043" s="7">
        <v>0</v>
      </c>
      <c r="H1043" s="7">
        <v>0</v>
      </c>
      <c r="I1043" s="7">
        <v>0</v>
      </c>
      <c r="J1043" s="7">
        <v>0</v>
      </c>
      <c r="K1043" s="7">
        <v>0</v>
      </c>
      <c r="L1043" s="7">
        <v>0</v>
      </c>
      <c r="M1043" s="7">
        <v>0</v>
      </c>
      <c r="N1043" s="7">
        <v>0</v>
      </c>
      <c r="O1043" s="7">
        <v>0</v>
      </c>
      <c r="P1043" s="7">
        <v>0</v>
      </c>
      <c r="Q1043" s="7">
        <v>0</v>
      </c>
    </row>
    <row r="1044" spans="1:17">
      <c r="A1044" s="2">
        <v>2992</v>
      </c>
      <c r="B1044" s="7">
        <v>0</v>
      </c>
      <c r="C1044" s="7">
        <v>0</v>
      </c>
      <c r="D1044" s="7">
        <v>0</v>
      </c>
      <c r="E1044" s="7">
        <v>0</v>
      </c>
      <c r="F1044" s="7">
        <v>0</v>
      </c>
      <c r="G1044" s="7">
        <v>0</v>
      </c>
      <c r="H1044" s="7">
        <v>0</v>
      </c>
      <c r="I1044" s="7">
        <v>0</v>
      </c>
      <c r="J1044" s="7">
        <v>0</v>
      </c>
      <c r="K1044" s="7">
        <v>0</v>
      </c>
      <c r="L1044" s="7">
        <v>0</v>
      </c>
      <c r="M1044" s="7">
        <v>0</v>
      </c>
      <c r="N1044" s="7">
        <v>0</v>
      </c>
      <c r="O1044" s="7">
        <v>0</v>
      </c>
      <c r="P1044" s="7">
        <v>0</v>
      </c>
      <c r="Q1044" s="7">
        <v>0</v>
      </c>
    </row>
    <row r="1045" spans="1:17">
      <c r="A1045" s="2">
        <v>2993</v>
      </c>
      <c r="B1045" s="7">
        <v>0</v>
      </c>
      <c r="C1045" s="7">
        <v>0</v>
      </c>
      <c r="D1045" s="7">
        <v>0</v>
      </c>
      <c r="E1045" s="7">
        <v>0</v>
      </c>
      <c r="F1045" s="7">
        <v>0</v>
      </c>
      <c r="G1045" s="7">
        <v>0</v>
      </c>
      <c r="H1045" s="7">
        <v>0</v>
      </c>
      <c r="I1045" s="7">
        <v>0</v>
      </c>
      <c r="J1045" s="7">
        <v>0</v>
      </c>
      <c r="K1045" s="7">
        <v>0</v>
      </c>
      <c r="L1045" s="7">
        <v>0</v>
      </c>
      <c r="M1045" s="7">
        <v>0</v>
      </c>
      <c r="N1045" s="7">
        <v>0</v>
      </c>
      <c r="O1045" s="7">
        <v>0</v>
      </c>
      <c r="P1045" s="7">
        <v>0</v>
      </c>
      <c r="Q1045" s="7">
        <v>0</v>
      </c>
    </row>
    <row r="1046" spans="1:17">
      <c r="A1046" s="2">
        <v>2994</v>
      </c>
      <c r="B1046" s="7">
        <v>0</v>
      </c>
      <c r="C1046" s="7">
        <v>0</v>
      </c>
      <c r="D1046" s="7">
        <v>0</v>
      </c>
      <c r="E1046" s="7">
        <v>0</v>
      </c>
      <c r="F1046" s="7">
        <v>0</v>
      </c>
      <c r="G1046" s="7">
        <v>0</v>
      </c>
      <c r="H1046" s="7">
        <v>0</v>
      </c>
      <c r="I1046" s="7">
        <v>0</v>
      </c>
      <c r="J1046" s="7">
        <v>0</v>
      </c>
      <c r="K1046" s="7">
        <v>0</v>
      </c>
      <c r="L1046" s="7">
        <v>0</v>
      </c>
      <c r="M1046" s="7">
        <v>0</v>
      </c>
      <c r="N1046" s="7">
        <v>0</v>
      </c>
      <c r="O1046" s="7">
        <v>0</v>
      </c>
      <c r="P1046" s="7">
        <v>0</v>
      </c>
      <c r="Q1046" s="7">
        <v>0</v>
      </c>
    </row>
    <row r="1047" spans="1:17">
      <c r="A1047" s="2">
        <v>2995</v>
      </c>
      <c r="B1047" s="7">
        <v>0</v>
      </c>
      <c r="C1047" s="7">
        <v>0</v>
      </c>
      <c r="D1047" s="7">
        <v>0</v>
      </c>
      <c r="E1047" s="7">
        <v>0</v>
      </c>
      <c r="F1047" s="7">
        <v>0</v>
      </c>
      <c r="G1047" s="7">
        <v>0</v>
      </c>
      <c r="H1047" s="7">
        <v>0</v>
      </c>
      <c r="I1047" s="7">
        <v>0</v>
      </c>
      <c r="J1047" s="7">
        <v>0</v>
      </c>
      <c r="K1047" s="7">
        <v>0</v>
      </c>
      <c r="L1047" s="7">
        <v>0</v>
      </c>
      <c r="M1047" s="7">
        <v>0</v>
      </c>
      <c r="N1047" s="7">
        <v>0</v>
      </c>
      <c r="O1047" s="7">
        <v>0</v>
      </c>
      <c r="P1047" s="7">
        <v>0</v>
      </c>
      <c r="Q1047" s="7">
        <v>0</v>
      </c>
    </row>
    <row r="1048" spans="1:17">
      <c r="A1048" s="2">
        <v>2996</v>
      </c>
      <c r="B1048" s="7">
        <v>0</v>
      </c>
      <c r="C1048" s="7">
        <v>0</v>
      </c>
      <c r="D1048" s="7">
        <v>0</v>
      </c>
      <c r="E1048" s="7">
        <v>0</v>
      </c>
      <c r="F1048" s="7">
        <v>0</v>
      </c>
      <c r="G1048" s="7">
        <v>0</v>
      </c>
      <c r="H1048" s="7">
        <v>0</v>
      </c>
      <c r="I1048" s="7">
        <v>0</v>
      </c>
      <c r="J1048" s="7">
        <v>0</v>
      </c>
      <c r="K1048" s="7">
        <v>0</v>
      </c>
      <c r="L1048" s="7">
        <v>0</v>
      </c>
      <c r="M1048" s="7">
        <v>0</v>
      </c>
      <c r="N1048" s="7">
        <v>0</v>
      </c>
      <c r="O1048" s="7">
        <v>0</v>
      </c>
      <c r="P1048" s="7">
        <v>0</v>
      </c>
      <c r="Q1048" s="7">
        <v>0</v>
      </c>
    </row>
    <row r="1049" spans="1:17">
      <c r="A1049" s="2">
        <v>2997</v>
      </c>
      <c r="B1049" s="7">
        <v>0</v>
      </c>
      <c r="C1049" s="7">
        <v>0</v>
      </c>
      <c r="D1049" s="7">
        <v>0</v>
      </c>
      <c r="E1049" s="7">
        <v>0</v>
      </c>
      <c r="F1049" s="7">
        <v>0</v>
      </c>
      <c r="G1049" s="7">
        <v>0</v>
      </c>
      <c r="H1049" s="7">
        <v>0</v>
      </c>
      <c r="I1049" s="7">
        <v>0</v>
      </c>
      <c r="J1049" s="7">
        <v>0</v>
      </c>
      <c r="K1049" s="7">
        <v>0</v>
      </c>
      <c r="L1049" s="7">
        <v>0</v>
      </c>
      <c r="M1049" s="7">
        <v>0</v>
      </c>
      <c r="N1049" s="7">
        <v>0</v>
      </c>
      <c r="O1049" s="7">
        <v>0</v>
      </c>
      <c r="P1049" s="7">
        <v>0</v>
      </c>
      <c r="Q1049" s="7">
        <v>0</v>
      </c>
    </row>
    <row r="1050" spans="1:17">
      <c r="A1050" s="2">
        <v>2998</v>
      </c>
      <c r="B1050" s="7">
        <v>0</v>
      </c>
      <c r="C1050" s="7">
        <v>0</v>
      </c>
      <c r="D1050" s="7">
        <v>0</v>
      </c>
      <c r="E1050" s="7">
        <v>0</v>
      </c>
      <c r="F1050" s="7">
        <v>0</v>
      </c>
      <c r="G1050" s="7">
        <v>0</v>
      </c>
      <c r="H1050" s="7">
        <v>0</v>
      </c>
      <c r="I1050" s="7">
        <v>0</v>
      </c>
      <c r="J1050" s="7">
        <v>0</v>
      </c>
      <c r="K1050" s="7">
        <v>0</v>
      </c>
      <c r="L1050" s="7">
        <v>0</v>
      </c>
      <c r="M1050" s="7">
        <v>0</v>
      </c>
      <c r="N1050" s="7">
        <v>0</v>
      </c>
      <c r="O1050" s="7">
        <v>0</v>
      </c>
      <c r="P1050" s="7">
        <v>0</v>
      </c>
      <c r="Q1050" s="7">
        <v>0</v>
      </c>
    </row>
    <row r="1051" spans="1:17">
      <c r="A1051" s="2">
        <v>2999</v>
      </c>
      <c r="B1051" s="7">
        <v>0</v>
      </c>
      <c r="C1051" s="7">
        <v>0</v>
      </c>
      <c r="D1051" s="7">
        <v>0</v>
      </c>
      <c r="E1051" s="7">
        <v>0</v>
      </c>
      <c r="F1051" s="7">
        <v>0</v>
      </c>
      <c r="G1051" s="7">
        <v>0</v>
      </c>
      <c r="H1051" s="7">
        <v>0</v>
      </c>
      <c r="I1051" s="7">
        <v>0</v>
      </c>
      <c r="J1051" s="7">
        <v>0</v>
      </c>
      <c r="K1051" s="7">
        <v>0</v>
      </c>
      <c r="L1051" s="7">
        <v>0</v>
      </c>
      <c r="M1051" s="7">
        <v>0</v>
      </c>
      <c r="N1051" s="7">
        <v>0</v>
      </c>
      <c r="O1051" s="7">
        <v>0</v>
      </c>
      <c r="P1051" s="7">
        <v>0</v>
      </c>
      <c r="Q1051" s="7">
        <v>0</v>
      </c>
    </row>
    <row r="1052" spans="1:17">
      <c r="A1052" s="2">
        <v>3000</v>
      </c>
      <c r="B1052" s="7">
        <v>0</v>
      </c>
      <c r="C1052" s="7">
        <v>0</v>
      </c>
      <c r="D1052" s="7">
        <v>0</v>
      </c>
      <c r="E1052" s="7">
        <v>0</v>
      </c>
      <c r="F1052" s="7">
        <v>0</v>
      </c>
      <c r="G1052" s="7">
        <v>0</v>
      </c>
      <c r="H1052" s="7">
        <v>0</v>
      </c>
      <c r="I1052" s="7">
        <v>0</v>
      </c>
      <c r="J1052" s="7">
        <v>0</v>
      </c>
      <c r="K1052" s="7">
        <v>0</v>
      </c>
      <c r="L1052" s="7">
        <v>0</v>
      </c>
      <c r="M1052" s="7">
        <v>0</v>
      </c>
      <c r="N1052" s="7">
        <v>0</v>
      </c>
      <c r="O1052" s="7">
        <v>0</v>
      </c>
      <c r="P1052" s="7">
        <v>0</v>
      </c>
      <c r="Q1052" s="7">
        <v>0</v>
      </c>
    </row>
  </sheetData>
  <pageMargins left="0.7" right="0.7" top="0.78740157499999996" bottom="0.78740157499999996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>
  <dimension ref="A1:Q105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1.42578125" defaultRowHeight="12.75"/>
  <sheetData>
    <row r="1" spans="1:17">
      <c r="A1" s="1" t="s">
        <v>4</v>
      </c>
      <c r="B1" s="1" t="s">
        <v>2</v>
      </c>
      <c r="C1" s="1" t="s">
        <v>3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</row>
    <row r="2" spans="1:17">
      <c r="A2" s="3">
        <v>1950</v>
      </c>
      <c r="B2" s="7">
        <v>0</v>
      </c>
      <c r="C2" s="7">
        <v>0</v>
      </c>
      <c r="D2" s="7">
        <v>0</v>
      </c>
      <c r="E2" s="7">
        <v>0</v>
      </c>
      <c r="F2" s="7">
        <v>0</v>
      </c>
      <c r="G2" s="7">
        <v>0</v>
      </c>
      <c r="H2" s="7">
        <v>0</v>
      </c>
      <c r="I2" s="7">
        <v>0</v>
      </c>
      <c r="J2" s="7">
        <v>0</v>
      </c>
      <c r="K2" s="7">
        <v>0</v>
      </c>
      <c r="L2" s="7">
        <v>0</v>
      </c>
      <c r="M2" s="7">
        <v>0</v>
      </c>
      <c r="N2" s="7">
        <v>0</v>
      </c>
      <c r="O2" s="7">
        <v>0</v>
      </c>
      <c r="P2" s="7">
        <v>0</v>
      </c>
      <c r="Q2" s="7">
        <v>0</v>
      </c>
    </row>
    <row r="3" spans="1:17">
      <c r="A3" s="2">
        <v>1951</v>
      </c>
      <c r="B3" s="7">
        <v>0</v>
      </c>
      <c r="C3" s="7">
        <v>0</v>
      </c>
      <c r="D3" s="7">
        <v>0</v>
      </c>
      <c r="E3" s="7">
        <v>0</v>
      </c>
      <c r="F3" s="7">
        <v>0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</row>
    <row r="4" spans="1:17">
      <c r="A4" s="2">
        <v>1952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</row>
    <row r="5" spans="1:17">
      <c r="A5" s="2">
        <v>1953</v>
      </c>
      <c r="B5" s="7">
        <v>0</v>
      </c>
      <c r="C5" s="7">
        <v>0</v>
      </c>
      <c r="D5" s="7">
        <v>0</v>
      </c>
      <c r="E5" s="7">
        <v>0</v>
      </c>
      <c r="F5" s="7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  <c r="Q5" s="7">
        <v>0</v>
      </c>
    </row>
    <row r="6" spans="1:17">
      <c r="A6" s="2">
        <v>1954</v>
      </c>
      <c r="B6" s="7">
        <v>0</v>
      </c>
      <c r="C6" s="7">
        <v>0</v>
      </c>
      <c r="D6" s="7">
        <v>0</v>
      </c>
      <c r="E6" s="7">
        <v>0</v>
      </c>
      <c r="F6" s="7">
        <v>0</v>
      </c>
      <c r="G6" s="7">
        <v>0</v>
      </c>
      <c r="H6" s="7">
        <v>0</v>
      </c>
      <c r="I6" s="7">
        <v>0</v>
      </c>
      <c r="J6" s="7">
        <v>0</v>
      </c>
      <c r="K6" s="7">
        <v>0</v>
      </c>
      <c r="L6" s="7">
        <v>0</v>
      </c>
      <c r="M6" s="7">
        <v>0</v>
      </c>
      <c r="N6" s="7">
        <v>0</v>
      </c>
      <c r="O6" s="7">
        <v>0</v>
      </c>
      <c r="P6" s="7">
        <v>0</v>
      </c>
      <c r="Q6" s="7">
        <v>0</v>
      </c>
    </row>
    <row r="7" spans="1:17">
      <c r="A7" s="2">
        <v>1955</v>
      </c>
      <c r="B7" s="7">
        <v>0</v>
      </c>
      <c r="C7" s="7">
        <v>0</v>
      </c>
      <c r="D7" s="7">
        <v>0</v>
      </c>
      <c r="E7" s="7">
        <v>0</v>
      </c>
      <c r="F7" s="7">
        <v>0</v>
      </c>
      <c r="G7" s="7">
        <v>0</v>
      </c>
      <c r="H7" s="7">
        <v>0</v>
      </c>
      <c r="I7" s="7">
        <v>0</v>
      </c>
      <c r="J7" s="7">
        <v>0</v>
      </c>
      <c r="K7" s="7">
        <v>0</v>
      </c>
      <c r="L7" s="7">
        <v>0</v>
      </c>
      <c r="M7" s="7">
        <v>0</v>
      </c>
      <c r="N7" s="7">
        <v>0</v>
      </c>
      <c r="O7" s="7">
        <v>0</v>
      </c>
      <c r="P7" s="7">
        <v>0</v>
      </c>
      <c r="Q7" s="7">
        <v>0</v>
      </c>
    </row>
    <row r="8" spans="1:17">
      <c r="A8" s="2">
        <v>1956</v>
      </c>
      <c r="B8" s="7">
        <v>0</v>
      </c>
      <c r="C8" s="7">
        <v>0</v>
      </c>
      <c r="D8" s="7">
        <v>0</v>
      </c>
      <c r="E8" s="7">
        <v>0</v>
      </c>
      <c r="F8" s="7">
        <v>0</v>
      </c>
      <c r="G8" s="7">
        <v>0</v>
      </c>
      <c r="H8" s="7">
        <v>0</v>
      </c>
      <c r="I8" s="7">
        <v>0</v>
      </c>
      <c r="J8" s="7">
        <v>0</v>
      </c>
      <c r="K8" s="7">
        <v>0</v>
      </c>
      <c r="L8" s="7">
        <v>0</v>
      </c>
      <c r="M8" s="7">
        <v>0</v>
      </c>
      <c r="N8" s="7">
        <v>0</v>
      </c>
      <c r="O8" s="7">
        <v>0</v>
      </c>
      <c r="P8" s="7">
        <v>0</v>
      </c>
      <c r="Q8" s="7">
        <v>0</v>
      </c>
    </row>
    <row r="9" spans="1:17">
      <c r="A9" s="2">
        <v>1957</v>
      </c>
      <c r="B9" s="7">
        <v>0</v>
      </c>
      <c r="C9" s="7">
        <v>0</v>
      </c>
      <c r="D9" s="7">
        <v>0</v>
      </c>
      <c r="E9" s="7">
        <v>0</v>
      </c>
      <c r="F9" s="7">
        <v>0</v>
      </c>
      <c r="G9" s="7">
        <v>0</v>
      </c>
      <c r="H9" s="7">
        <v>0</v>
      </c>
      <c r="I9" s="7">
        <v>0</v>
      </c>
      <c r="J9" s="7">
        <v>0</v>
      </c>
      <c r="K9" s="7">
        <v>0</v>
      </c>
      <c r="L9" s="7">
        <v>0</v>
      </c>
      <c r="M9" s="7">
        <v>0</v>
      </c>
      <c r="N9" s="7">
        <v>0</v>
      </c>
      <c r="O9" s="7">
        <v>0</v>
      </c>
      <c r="P9" s="7">
        <v>0</v>
      </c>
      <c r="Q9" s="7">
        <v>0</v>
      </c>
    </row>
    <row r="10" spans="1:17">
      <c r="A10" s="2">
        <v>1958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</row>
    <row r="11" spans="1:17">
      <c r="A11" s="2">
        <v>1959</v>
      </c>
      <c r="B11" s="7">
        <v>0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</row>
    <row r="12" spans="1:17">
      <c r="A12" s="2">
        <v>1960</v>
      </c>
      <c r="B12" s="7">
        <v>0</v>
      </c>
      <c r="C12" s="7">
        <v>0</v>
      </c>
      <c r="D12" s="7">
        <v>0</v>
      </c>
      <c r="E12" s="7">
        <v>0</v>
      </c>
      <c r="F12" s="7">
        <v>0</v>
      </c>
      <c r="G12" s="7">
        <v>0</v>
      </c>
      <c r="H12" s="7">
        <v>0</v>
      </c>
      <c r="I12" s="7">
        <v>0</v>
      </c>
      <c r="J12" s="7">
        <v>0</v>
      </c>
      <c r="K12" s="7">
        <v>0</v>
      </c>
      <c r="L12" s="7">
        <v>0</v>
      </c>
      <c r="M12" s="7">
        <v>0</v>
      </c>
      <c r="N12" s="7">
        <v>0</v>
      </c>
      <c r="O12" s="7">
        <v>0</v>
      </c>
      <c r="P12" s="7">
        <v>0</v>
      </c>
      <c r="Q12" s="7">
        <v>0</v>
      </c>
    </row>
    <row r="13" spans="1:17">
      <c r="A13" s="2">
        <v>1961</v>
      </c>
      <c r="B13" s="7">
        <v>0</v>
      </c>
      <c r="C13" s="7">
        <v>0</v>
      </c>
      <c r="D13" s="7">
        <v>0</v>
      </c>
      <c r="E13" s="7">
        <v>0</v>
      </c>
      <c r="F13" s="7">
        <v>0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  <c r="N13" s="7">
        <v>0</v>
      </c>
      <c r="O13" s="7">
        <v>0</v>
      </c>
      <c r="P13" s="7">
        <v>0</v>
      </c>
      <c r="Q13" s="7">
        <v>0</v>
      </c>
    </row>
    <row r="14" spans="1:17">
      <c r="A14" s="2">
        <v>1962</v>
      </c>
      <c r="B14" s="7">
        <v>0</v>
      </c>
      <c r="C14" s="7">
        <v>0</v>
      </c>
      <c r="D14" s="7">
        <v>0</v>
      </c>
      <c r="E14" s="7">
        <v>0</v>
      </c>
      <c r="F14" s="7">
        <v>0</v>
      </c>
      <c r="G14" s="7">
        <v>0</v>
      </c>
      <c r="H14" s="7">
        <v>0</v>
      </c>
      <c r="I14" s="7">
        <v>0</v>
      </c>
      <c r="J14" s="7">
        <v>0</v>
      </c>
      <c r="K14" s="7">
        <v>0</v>
      </c>
      <c r="L14" s="7">
        <v>0</v>
      </c>
      <c r="M14" s="7">
        <v>0</v>
      </c>
      <c r="N14" s="7">
        <v>0</v>
      </c>
      <c r="O14" s="7">
        <v>0</v>
      </c>
      <c r="P14" s="7">
        <v>0</v>
      </c>
      <c r="Q14" s="7">
        <v>0</v>
      </c>
    </row>
    <row r="15" spans="1:17">
      <c r="A15" s="2">
        <v>1963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</row>
    <row r="16" spans="1:17">
      <c r="A16" s="2">
        <v>1964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</row>
    <row r="17" spans="1:17">
      <c r="A17" s="2">
        <v>1965</v>
      </c>
      <c r="B17" s="7">
        <v>0</v>
      </c>
      <c r="C17" s="7">
        <v>0</v>
      </c>
      <c r="D17" s="7">
        <v>0</v>
      </c>
      <c r="E17" s="7">
        <v>0</v>
      </c>
      <c r="F17" s="7">
        <v>0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</row>
    <row r="18" spans="1:17">
      <c r="A18" s="2">
        <v>1966</v>
      </c>
      <c r="B18" s="7">
        <v>0</v>
      </c>
      <c r="C18" s="7">
        <v>0</v>
      </c>
      <c r="D18" s="7">
        <v>0</v>
      </c>
      <c r="E18" s="7">
        <v>0</v>
      </c>
      <c r="F18" s="7">
        <v>0</v>
      </c>
      <c r="G18" s="7">
        <v>0</v>
      </c>
      <c r="H18" s="7">
        <v>0</v>
      </c>
      <c r="I18" s="7">
        <v>0</v>
      </c>
      <c r="J18" s="7">
        <v>0</v>
      </c>
      <c r="K18" s="7">
        <v>0</v>
      </c>
      <c r="L18" s="7">
        <v>0</v>
      </c>
      <c r="M18" s="7">
        <v>0</v>
      </c>
      <c r="N18" s="7">
        <v>0</v>
      </c>
      <c r="O18" s="7">
        <v>0</v>
      </c>
      <c r="P18" s="7">
        <v>0</v>
      </c>
      <c r="Q18" s="7">
        <v>0</v>
      </c>
    </row>
    <row r="19" spans="1:17">
      <c r="A19" s="2">
        <v>1967</v>
      </c>
      <c r="B19" s="7">
        <v>0</v>
      </c>
      <c r="C19" s="7">
        <v>0</v>
      </c>
      <c r="D19" s="7">
        <v>0</v>
      </c>
      <c r="E19" s="7">
        <v>0</v>
      </c>
      <c r="F19" s="7">
        <v>0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  <c r="O19" s="7">
        <v>0</v>
      </c>
      <c r="P19" s="7">
        <v>0</v>
      </c>
      <c r="Q19" s="7">
        <v>0</v>
      </c>
    </row>
    <row r="20" spans="1:17">
      <c r="A20" s="2">
        <v>1968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 s="7">
        <v>0</v>
      </c>
      <c r="M20" s="7">
        <v>0</v>
      </c>
      <c r="N20" s="7">
        <v>0</v>
      </c>
      <c r="O20" s="7">
        <v>0</v>
      </c>
      <c r="P20" s="7">
        <v>0</v>
      </c>
      <c r="Q20" s="7">
        <v>0</v>
      </c>
    </row>
    <row r="21" spans="1:17">
      <c r="A21" s="2">
        <v>1969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</row>
    <row r="22" spans="1:17">
      <c r="A22" s="2">
        <v>1970</v>
      </c>
      <c r="B22" s="7">
        <v>0</v>
      </c>
      <c r="C22" s="7">
        <v>0</v>
      </c>
      <c r="D22" s="7">
        <v>0</v>
      </c>
      <c r="E22" s="7">
        <v>0</v>
      </c>
      <c r="F22" s="7">
        <v>0</v>
      </c>
      <c r="G22" s="7">
        <v>0</v>
      </c>
      <c r="H22" s="7">
        <v>0</v>
      </c>
      <c r="I22" s="7">
        <v>0</v>
      </c>
      <c r="J22" s="7">
        <v>0</v>
      </c>
      <c r="K22" s="7">
        <v>0</v>
      </c>
      <c r="L22" s="7">
        <v>0</v>
      </c>
      <c r="M22" s="7">
        <v>0</v>
      </c>
      <c r="N22" s="7">
        <v>0</v>
      </c>
      <c r="O22" s="7">
        <v>0</v>
      </c>
      <c r="P22" s="7">
        <v>0</v>
      </c>
      <c r="Q22" s="7">
        <v>0</v>
      </c>
    </row>
    <row r="23" spans="1:17">
      <c r="A23" s="2">
        <v>1971</v>
      </c>
      <c r="B23" s="7">
        <v>0</v>
      </c>
      <c r="C23" s="7">
        <v>0</v>
      </c>
      <c r="D23" s="7">
        <v>0</v>
      </c>
      <c r="E23" s="7">
        <v>0</v>
      </c>
      <c r="F23" s="7">
        <v>0</v>
      </c>
      <c r="G23" s="7">
        <v>0</v>
      </c>
      <c r="H23" s="7">
        <v>0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</row>
    <row r="24" spans="1:17">
      <c r="A24" s="2">
        <v>1972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</row>
    <row r="25" spans="1:17">
      <c r="A25" s="2">
        <v>1973</v>
      </c>
      <c r="B25" s="7">
        <v>0</v>
      </c>
      <c r="C25" s="7">
        <v>0</v>
      </c>
      <c r="D25" s="7">
        <v>0</v>
      </c>
      <c r="E25" s="7">
        <v>0</v>
      </c>
      <c r="F25" s="7">
        <v>0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 s="7">
        <v>0</v>
      </c>
      <c r="M25" s="7">
        <v>0</v>
      </c>
      <c r="N25" s="7">
        <v>0</v>
      </c>
      <c r="O25" s="7">
        <v>0</v>
      </c>
      <c r="P25" s="7">
        <v>0</v>
      </c>
      <c r="Q25" s="7">
        <v>0</v>
      </c>
    </row>
    <row r="26" spans="1:17">
      <c r="A26" s="2">
        <v>1974</v>
      </c>
      <c r="B26" s="7">
        <v>0</v>
      </c>
      <c r="C26" s="7">
        <v>0</v>
      </c>
      <c r="D26" s="7">
        <v>0</v>
      </c>
      <c r="E26" s="7">
        <v>0</v>
      </c>
      <c r="F26" s="7">
        <v>0</v>
      </c>
      <c r="G26" s="7">
        <v>0</v>
      </c>
      <c r="H26" s="7">
        <v>0</v>
      </c>
      <c r="I26" s="7">
        <v>0</v>
      </c>
      <c r="J26" s="7">
        <v>0</v>
      </c>
      <c r="K26" s="7">
        <v>0</v>
      </c>
      <c r="L26" s="7">
        <v>0</v>
      </c>
      <c r="M26" s="7">
        <v>0</v>
      </c>
      <c r="N26" s="7">
        <v>0</v>
      </c>
      <c r="O26" s="7">
        <v>0</v>
      </c>
      <c r="P26" s="7">
        <v>0</v>
      </c>
      <c r="Q26" s="7">
        <v>0</v>
      </c>
    </row>
    <row r="27" spans="1:17">
      <c r="A27" s="2">
        <v>1975</v>
      </c>
      <c r="B27" s="7">
        <v>0</v>
      </c>
      <c r="C27" s="7">
        <v>0</v>
      </c>
      <c r="D27" s="7">
        <v>0</v>
      </c>
      <c r="E27" s="7">
        <v>0</v>
      </c>
      <c r="F27" s="7">
        <v>0</v>
      </c>
      <c r="G27" s="7">
        <v>0</v>
      </c>
      <c r="H27" s="7">
        <v>0</v>
      </c>
      <c r="I27" s="7">
        <v>0</v>
      </c>
      <c r="J27" s="7">
        <v>0</v>
      </c>
      <c r="K27" s="7">
        <v>0</v>
      </c>
      <c r="L27" s="7">
        <v>0</v>
      </c>
      <c r="M27" s="7">
        <v>0</v>
      </c>
      <c r="N27" s="7">
        <v>0</v>
      </c>
      <c r="O27" s="7">
        <v>0</v>
      </c>
      <c r="P27" s="7">
        <v>0</v>
      </c>
      <c r="Q27" s="7">
        <v>0</v>
      </c>
    </row>
    <row r="28" spans="1:17">
      <c r="A28" s="2">
        <v>1976</v>
      </c>
      <c r="B28" s="7">
        <v>0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</row>
    <row r="29" spans="1:17">
      <c r="A29" s="2">
        <v>1977</v>
      </c>
      <c r="B29" s="7">
        <v>0</v>
      </c>
      <c r="C29" s="7">
        <v>0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</row>
    <row r="30" spans="1:17">
      <c r="A30" s="2">
        <v>1978</v>
      </c>
      <c r="B30" s="7">
        <v>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</row>
    <row r="31" spans="1:17">
      <c r="A31" s="2">
        <v>1979</v>
      </c>
      <c r="B31" s="7">
        <v>0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</row>
    <row r="32" spans="1:17">
      <c r="A32" s="2">
        <v>1980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</row>
    <row r="33" spans="1:17">
      <c r="A33" s="2">
        <v>1981</v>
      </c>
      <c r="B33" s="7">
        <v>0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</row>
    <row r="34" spans="1:17">
      <c r="A34" s="2">
        <v>1982</v>
      </c>
      <c r="B34" s="7">
        <v>0</v>
      </c>
      <c r="C34" s="7">
        <v>0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</row>
    <row r="35" spans="1:17">
      <c r="A35" s="2">
        <v>1983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</row>
    <row r="36" spans="1:17">
      <c r="A36" s="2">
        <v>1984</v>
      </c>
      <c r="B36" s="7">
        <v>0</v>
      </c>
      <c r="C36" s="7">
        <v>0</v>
      </c>
      <c r="D36" s="7">
        <v>0</v>
      </c>
      <c r="E36" s="7">
        <v>0</v>
      </c>
      <c r="F36" s="7">
        <v>0</v>
      </c>
      <c r="G36" s="7">
        <v>0</v>
      </c>
      <c r="H36" s="7">
        <v>0</v>
      </c>
      <c r="I36" s="7">
        <v>0</v>
      </c>
      <c r="J36" s="7">
        <v>0</v>
      </c>
      <c r="K36" s="7">
        <v>0</v>
      </c>
      <c r="L36" s="7">
        <v>0</v>
      </c>
      <c r="M36" s="7">
        <v>0</v>
      </c>
      <c r="N36" s="7">
        <v>0</v>
      </c>
      <c r="O36" s="7">
        <v>0</v>
      </c>
      <c r="P36" s="7">
        <v>0</v>
      </c>
      <c r="Q36" s="7">
        <v>0</v>
      </c>
    </row>
    <row r="37" spans="1:17">
      <c r="A37" s="2">
        <v>1985</v>
      </c>
      <c r="B37" s="7">
        <v>0</v>
      </c>
      <c r="C37" s="7">
        <v>0</v>
      </c>
      <c r="D37" s="7">
        <v>0</v>
      </c>
      <c r="E37" s="7">
        <v>0</v>
      </c>
      <c r="F37" s="7">
        <v>0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</row>
    <row r="38" spans="1:17">
      <c r="A38" s="2">
        <v>1986</v>
      </c>
      <c r="B38" s="7">
        <v>0</v>
      </c>
      <c r="C38" s="7">
        <v>0</v>
      </c>
      <c r="D38" s="7">
        <v>0</v>
      </c>
      <c r="E38" s="7">
        <v>0</v>
      </c>
      <c r="F38" s="7">
        <v>0</v>
      </c>
      <c r="G38" s="7">
        <v>0</v>
      </c>
      <c r="H38" s="7">
        <v>0</v>
      </c>
      <c r="I38" s="7">
        <v>0</v>
      </c>
      <c r="J38" s="7">
        <v>0</v>
      </c>
      <c r="K38" s="7">
        <v>0</v>
      </c>
      <c r="L38" s="7">
        <v>0</v>
      </c>
      <c r="M38" s="7">
        <v>0</v>
      </c>
      <c r="N38" s="7">
        <v>0</v>
      </c>
      <c r="O38" s="7">
        <v>0</v>
      </c>
      <c r="P38" s="7">
        <v>0</v>
      </c>
      <c r="Q38" s="7">
        <v>0</v>
      </c>
    </row>
    <row r="39" spans="1:17">
      <c r="A39" s="2">
        <v>1987</v>
      </c>
      <c r="B39" s="7">
        <v>0</v>
      </c>
      <c r="C39" s="7">
        <v>0</v>
      </c>
      <c r="D39" s="7">
        <v>0</v>
      </c>
      <c r="E39" s="7">
        <v>0</v>
      </c>
      <c r="F39" s="7">
        <v>0</v>
      </c>
      <c r="G39" s="7">
        <v>0</v>
      </c>
      <c r="H39" s="7">
        <v>0</v>
      </c>
      <c r="I39" s="7">
        <v>0</v>
      </c>
      <c r="J39" s="7">
        <v>0</v>
      </c>
      <c r="K39" s="7">
        <v>0</v>
      </c>
      <c r="L39" s="7">
        <v>0</v>
      </c>
      <c r="M39" s="7">
        <v>0</v>
      </c>
      <c r="N39" s="7">
        <v>0</v>
      </c>
      <c r="O39" s="7">
        <v>0</v>
      </c>
      <c r="P39" s="7">
        <v>0</v>
      </c>
      <c r="Q39" s="7">
        <v>0</v>
      </c>
    </row>
    <row r="40" spans="1:17">
      <c r="A40" s="2">
        <v>1988</v>
      </c>
      <c r="B40" s="7">
        <v>0</v>
      </c>
      <c r="C40" s="7">
        <v>0</v>
      </c>
      <c r="D40" s="7">
        <v>0</v>
      </c>
      <c r="E40" s="7">
        <v>0</v>
      </c>
      <c r="F40" s="7">
        <v>0</v>
      </c>
      <c r="G40" s="7">
        <v>0</v>
      </c>
      <c r="H40" s="7">
        <v>0</v>
      </c>
      <c r="I40" s="7">
        <v>0</v>
      </c>
      <c r="J40" s="7">
        <v>0</v>
      </c>
      <c r="K40" s="7">
        <v>0</v>
      </c>
      <c r="L40" s="7">
        <v>0</v>
      </c>
      <c r="M40" s="7">
        <v>0</v>
      </c>
      <c r="N40" s="7">
        <v>0</v>
      </c>
      <c r="O40" s="7">
        <v>0</v>
      </c>
      <c r="P40" s="7">
        <v>0</v>
      </c>
      <c r="Q40" s="7">
        <v>0</v>
      </c>
    </row>
    <row r="41" spans="1:17">
      <c r="A41" s="2">
        <v>1989</v>
      </c>
      <c r="B41" s="7">
        <v>0</v>
      </c>
      <c r="C41" s="7">
        <v>0</v>
      </c>
      <c r="D41" s="7">
        <v>0</v>
      </c>
      <c r="E41" s="7">
        <v>0</v>
      </c>
      <c r="F41" s="7">
        <v>0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7">
        <v>0</v>
      </c>
      <c r="M41" s="7">
        <v>0</v>
      </c>
      <c r="N41" s="7">
        <v>0</v>
      </c>
      <c r="O41" s="7">
        <v>0</v>
      </c>
      <c r="P41" s="7">
        <v>0</v>
      </c>
      <c r="Q41" s="7">
        <v>0</v>
      </c>
    </row>
    <row r="42" spans="1:17">
      <c r="A42" s="2">
        <v>1990</v>
      </c>
      <c r="B42" s="7">
        <v>0</v>
      </c>
      <c r="C42" s="7">
        <v>0</v>
      </c>
      <c r="D42" s="7">
        <v>0</v>
      </c>
      <c r="E42" s="7">
        <v>0</v>
      </c>
      <c r="F42" s="7">
        <v>0</v>
      </c>
      <c r="G42" s="7">
        <v>0</v>
      </c>
      <c r="H42" s="7">
        <v>0</v>
      </c>
      <c r="I42" s="7">
        <v>0</v>
      </c>
      <c r="J42" s="7">
        <v>0</v>
      </c>
      <c r="K42" s="7">
        <v>0</v>
      </c>
      <c r="L42" s="7">
        <v>0</v>
      </c>
      <c r="M42" s="7">
        <v>0</v>
      </c>
      <c r="N42" s="7">
        <v>0</v>
      </c>
      <c r="O42" s="7">
        <v>0</v>
      </c>
      <c r="P42" s="7">
        <v>0</v>
      </c>
      <c r="Q42" s="7">
        <v>0</v>
      </c>
    </row>
    <row r="43" spans="1:17">
      <c r="A43" s="2">
        <v>1991</v>
      </c>
      <c r="B43" s="7">
        <v>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</row>
    <row r="44" spans="1:17">
      <c r="A44" s="2">
        <v>1992</v>
      </c>
      <c r="B44" s="7">
        <v>0</v>
      </c>
      <c r="C44" s="7">
        <v>0</v>
      </c>
      <c r="D44" s="7">
        <v>0</v>
      </c>
      <c r="E44" s="7">
        <v>0</v>
      </c>
      <c r="F44" s="7">
        <v>0</v>
      </c>
      <c r="G44" s="7">
        <v>0</v>
      </c>
      <c r="H44" s="7">
        <v>0</v>
      </c>
      <c r="I44" s="7">
        <v>0</v>
      </c>
      <c r="J44" s="7">
        <v>0</v>
      </c>
      <c r="K44" s="7">
        <v>0</v>
      </c>
      <c r="L44" s="7">
        <v>0</v>
      </c>
      <c r="M44" s="7">
        <v>0</v>
      </c>
      <c r="N44" s="7">
        <v>0</v>
      </c>
      <c r="O44" s="7">
        <v>0</v>
      </c>
      <c r="P44" s="7">
        <v>0</v>
      </c>
      <c r="Q44" s="7">
        <v>0</v>
      </c>
    </row>
    <row r="45" spans="1:17">
      <c r="A45" s="2">
        <v>1993</v>
      </c>
      <c r="B45" s="7">
        <v>0</v>
      </c>
      <c r="C45" s="7">
        <v>0</v>
      </c>
      <c r="D45" s="7">
        <v>0</v>
      </c>
      <c r="E45" s="7">
        <v>0</v>
      </c>
      <c r="F45" s="7">
        <v>0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 s="7">
        <v>0</v>
      </c>
      <c r="M45" s="7">
        <v>0</v>
      </c>
      <c r="N45" s="7">
        <v>0</v>
      </c>
      <c r="O45" s="7">
        <v>0</v>
      </c>
      <c r="P45" s="7">
        <v>0</v>
      </c>
      <c r="Q45" s="7">
        <v>0</v>
      </c>
    </row>
    <row r="46" spans="1:17">
      <c r="A46" s="2">
        <v>1994</v>
      </c>
      <c r="B46" s="7">
        <v>0</v>
      </c>
      <c r="C46" s="7">
        <v>0</v>
      </c>
      <c r="D46" s="7">
        <v>0</v>
      </c>
      <c r="E46" s="7">
        <v>0</v>
      </c>
      <c r="F46" s="7">
        <v>0</v>
      </c>
      <c r="G46" s="7">
        <v>0</v>
      </c>
      <c r="H46" s="7">
        <v>0</v>
      </c>
      <c r="I46" s="7">
        <v>0</v>
      </c>
      <c r="J46" s="7">
        <v>0</v>
      </c>
      <c r="K46" s="7">
        <v>0</v>
      </c>
      <c r="L46" s="7">
        <v>0</v>
      </c>
      <c r="M46" s="7">
        <v>0</v>
      </c>
      <c r="N46" s="7">
        <v>0</v>
      </c>
      <c r="O46" s="7">
        <v>0</v>
      </c>
      <c r="P46" s="7">
        <v>0</v>
      </c>
      <c r="Q46" s="7">
        <v>0</v>
      </c>
    </row>
    <row r="47" spans="1:17">
      <c r="A47" s="2">
        <v>1995</v>
      </c>
      <c r="B47" s="7">
        <v>0</v>
      </c>
      <c r="C47" s="7">
        <v>0</v>
      </c>
      <c r="D47" s="7">
        <v>0</v>
      </c>
      <c r="E47" s="7">
        <v>0</v>
      </c>
      <c r="F47" s="7">
        <v>0</v>
      </c>
      <c r="G47" s="7">
        <v>0</v>
      </c>
      <c r="H47" s="7">
        <v>0</v>
      </c>
      <c r="I47" s="7">
        <v>0</v>
      </c>
      <c r="J47" s="7">
        <v>0</v>
      </c>
      <c r="K47" s="7">
        <v>0</v>
      </c>
      <c r="L47" s="7">
        <v>0</v>
      </c>
      <c r="M47" s="7">
        <v>0</v>
      </c>
      <c r="N47" s="7">
        <v>0</v>
      </c>
      <c r="O47" s="7">
        <v>0</v>
      </c>
      <c r="P47" s="7">
        <v>0</v>
      </c>
      <c r="Q47" s="7">
        <v>0</v>
      </c>
    </row>
    <row r="48" spans="1:17">
      <c r="A48" s="2">
        <v>1996</v>
      </c>
      <c r="B48" s="7">
        <v>0</v>
      </c>
      <c r="C48" s="7">
        <v>0</v>
      </c>
      <c r="D48" s="7">
        <v>0</v>
      </c>
      <c r="E48" s="7">
        <v>0</v>
      </c>
      <c r="F48" s="7">
        <v>0</v>
      </c>
      <c r="G48" s="7">
        <v>0</v>
      </c>
      <c r="H48" s="7">
        <v>0</v>
      </c>
      <c r="I48" s="7">
        <v>0</v>
      </c>
      <c r="J48" s="7">
        <v>0</v>
      </c>
      <c r="K48" s="7">
        <v>0</v>
      </c>
      <c r="L48" s="7">
        <v>0</v>
      </c>
      <c r="M48" s="7">
        <v>0</v>
      </c>
      <c r="N48" s="7">
        <v>0</v>
      </c>
      <c r="O48" s="7">
        <v>0</v>
      </c>
      <c r="P48" s="7">
        <v>0</v>
      </c>
      <c r="Q48" s="7">
        <v>0</v>
      </c>
    </row>
    <row r="49" spans="1:17">
      <c r="A49" s="2">
        <v>1997</v>
      </c>
      <c r="B49" s="7">
        <v>0</v>
      </c>
      <c r="C49" s="7">
        <v>0</v>
      </c>
      <c r="D49" s="7">
        <v>0</v>
      </c>
      <c r="E49" s="7">
        <v>0</v>
      </c>
      <c r="F49" s="7">
        <v>0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 s="7">
        <v>0</v>
      </c>
      <c r="M49" s="7">
        <v>0</v>
      </c>
      <c r="N49" s="7">
        <v>0</v>
      </c>
      <c r="O49" s="7">
        <v>0</v>
      </c>
      <c r="P49" s="7">
        <v>0</v>
      </c>
      <c r="Q49" s="7">
        <v>0</v>
      </c>
    </row>
    <row r="50" spans="1:17">
      <c r="A50" s="2">
        <v>1998</v>
      </c>
      <c r="B50" s="7">
        <v>0</v>
      </c>
      <c r="C50" s="7">
        <v>0</v>
      </c>
      <c r="D50" s="7">
        <v>0</v>
      </c>
      <c r="E50" s="7">
        <v>0</v>
      </c>
      <c r="F50" s="7">
        <v>0</v>
      </c>
      <c r="G50" s="7">
        <v>0</v>
      </c>
      <c r="H50" s="7">
        <v>0</v>
      </c>
      <c r="I50" s="7">
        <v>0</v>
      </c>
      <c r="J50" s="7">
        <v>0</v>
      </c>
      <c r="K50" s="7">
        <v>0</v>
      </c>
      <c r="L50" s="7">
        <v>0</v>
      </c>
      <c r="M50" s="7">
        <v>0</v>
      </c>
      <c r="N50" s="7">
        <v>0</v>
      </c>
      <c r="O50" s="7">
        <v>0</v>
      </c>
      <c r="P50" s="7">
        <v>0</v>
      </c>
      <c r="Q50" s="7">
        <v>0</v>
      </c>
    </row>
    <row r="51" spans="1:17">
      <c r="A51" s="2">
        <v>1999</v>
      </c>
      <c r="B51" s="7">
        <v>0</v>
      </c>
      <c r="C51" s="7">
        <v>0</v>
      </c>
      <c r="D51" s="7">
        <v>0</v>
      </c>
      <c r="E51" s="7">
        <v>0</v>
      </c>
      <c r="F51" s="7">
        <v>0</v>
      </c>
      <c r="G51" s="7">
        <v>0</v>
      </c>
      <c r="H51" s="7">
        <v>0</v>
      </c>
      <c r="I51" s="7">
        <v>0</v>
      </c>
      <c r="J51" s="7">
        <v>0</v>
      </c>
      <c r="K51" s="7">
        <v>0</v>
      </c>
      <c r="L51" s="7">
        <v>0</v>
      </c>
      <c r="M51" s="7">
        <v>0</v>
      </c>
      <c r="N51" s="7">
        <v>0</v>
      </c>
      <c r="O51" s="7">
        <v>0</v>
      </c>
      <c r="P51" s="7">
        <v>0</v>
      </c>
      <c r="Q51" s="7">
        <v>0</v>
      </c>
    </row>
    <row r="52" spans="1:17">
      <c r="A52" s="2">
        <v>2000</v>
      </c>
      <c r="B52" s="7">
        <v>0</v>
      </c>
      <c r="C52" s="7">
        <v>0</v>
      </c>
      <c r="D52" s="7">
        <v>0</v>
      </c>
      <c r="E52" s="7">
        <v>0</v>
      </c>
      <c r="F52" s="7">
        <v>0</v>
      </c>
      <c r="G52" s="7">
        <v>0</v>
      </c>
      <c r="H52" s="7">
        <v>0</v>
      </c>
      <c r="I52" s="7">
        <v>0</v>
      </c>
      <c r="J52" s="7">
        <v>0</v>
      </c>
      <c r="K52" s="7">
        <v>0</v>
      </c>
      <c r="L52" s="7">
        <v>0</v>
      </c>
      <c r="M52" s="7">
        <v>0</v>
      </c>
      <c r="N52" s="7">
        <v>0</v>
      </c>
      <c r="O52" s="7">
        <v>0</v>
      </c>
      <c r="P52" s="7">
        <v>0</v>
      </c>
      <c r="Q52" s="7">
        <v>0</v>
      </c>
    </row>
    <row r="53" spans="1:17">
      <c r="A53" s="2">
        <v>2001</v>
      </c>
      <c r="B53" s="7">
        <v>0</v>
      </c>
      <c r="C53" s="7">
        <v>0</v>
      </c>
      <c r="D53" s="7">
        <v>0</v>
      </c>
      <c r="E53" s="7">
        <v>0</v>
      </c>
      <c r="F53" s="7">
        <v>0</v>
      </c>
      <c r="G53" s="7">
        <v>0</v>
      </c>
      <c r="H53" s="7">
        <v>0</v>
      </c>
      <c r="I53" s="7">
        <v>0</v>
      </c>
      <c r="J53" s="7">
        <v>0</v>
      </c>
      <c r="K53" s="7">
        <v>0</v>
      </c>
      <c r="L53" s="7">
        <v>0</v>
      </c>
      <c r="M53" s="7">
        <v>0</v>
      </c>
      <c r="N53" s="7">
        <v>0</v>
      </c>
      <c r="O53" s="7">
        <v>0</v>
      </c>
      <c r="P53" s="7">
        <v>0</v>
      </c>
      <c r="Q53" s="7">
        <v>0</v>
      </c>
    </row>
    <row r="54" spans="1:17">
      <c r="A54" s="2">
        <v>2002</v>
      </c>
      <c r="B54" s="7">
        <v>0</v>
      </c>
      <c r="C54" s="7">
        <v>0</v>
      </c>
      <c r="D54" s="7">
        <v>0</v>
      </c>
      <c r="E54" s="7">
        <v>0</v>
      </c>
      <c r="F54" s="7">
        <v>0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L54" s="7">
        <v>0</v>
      </c>
      <c r="M54" s="7">
        <v>0</v>
      </c>
      <c r="N54" s="7">
        <v>0</v>
      </c>
      <c r="O54" s="7">
        <v>0</v>
      </c>
      <c r="P54" s="7">
        <v>0</v>
      </c>
      <c r="Q54" s="7">
        <v>0</v>
      </c>
    </row>
    <row r="55" spans="1:17">
      <c r="A55" s="2">
        <v>2003</v>
      </c>
      <c r="B55" s="7">
        <v>0</v>
      </c>
      <c r="C55" s="7">
        <v>0</v>
      </c>
      <c r="D55" s="7">
        <v>0</v>
      </c>
      <c r="E55" s="7">
        <v>0</v>
      </c>
      <c r="F55" s="7">
        <v>0</v>
      </c>
      <c r="G55" s="7">
        <v>0</v>
      </c>
      <c r="H55" s="7">
        <v>0</v>
      </c>
      <c r="I55" s="7">
        <v>0</v>
      </c>
      <c r="J55" s="7">
        <v>0</v>
      </c>
      <c r="K55" s="7">
        <v>0</v>
      </c>
      <c r="L55" s="7">
        <v>0</v>
      </c>
      <c r="M55" s="7">
        <v>0</v>
      </c>
      <c r="N55" s="7">
        <v>0</v>
      </c>
      <c r="O55" s="7">
        <v>0</v>
      </c>
      <c r="P55" s="7">
        <v>0</v>
      </c>
      <c r="Q55" s="7">
        <v>0</v>
      </c>
    </row>
    <row r="56" spans="1:17">
      <c r="A56" s="2">
        <v>2004</v>
      </c>
      <c r="B56" s="7">
        <v>0</v>
      </c>
      <c r="C56" s="7">
        <v>0</v>
      </c>
      <c r="D56" s="7">
        <v>0</v>
      </c>
      <c r="E56" s="7">
        <v>0</v>
      </c>
      <c r="F56" s="7">
        <v>0</v>
      </c>
      <c r="G56" s="7">
        <v>0</v>
      </c>
      <c r="H56" s="7">
        <v>0</v>
      </c>
      <c r="I56" s="7">
        <v>0</v>
      </c>
      <c r="J56" s="7">
        <v>0</v>
      </c>
      <c r="K56" s="7">
        <v>0</v>
      </c>
      <c r="L56" s="7">
        <v>0</v>
      </c>
      <c r="M56" s="7">
        <v>0</v>
      </c>
      <c r="N56" s="7">
        <v>0</v>
      </c>
      <c r="O56" s="7">
        <v>0</v>
      </c>
      <c r="P56" s="7">
        <v>0</v>
      </c>
      <c r="Q56" s="7">
        <v>0</v>
      </c>
    </row>
    <row r="57" spans="1:17">
      <c r="A57" s="2">
        <v>2005</v>
      </c>
      <c r="B57" s="7">
        <v>0</v>
      </c>
      <c r="C57" s="7">
        <v>0</v>
      </c>
      <c r="D57" s="7">
        <v>0</v>
      </c>
      <c r="E57" s="7">
        <v>0</v>
      </c>
      <c r="F57" s="7">
        <v>0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 s="7">
        <v>0</v>
      </c>
      <c r="M57" s="7">
        <v>0</v>
      </c>
      <c r="N57" s="7">
        <v>0</v>
      </c>
      <c r="O57" s="7">
        <v>0</v>
      </c>
      <c r="P57" s="7">
        <v>0</v>
      </c>
      <c r="Q57" s="7">
        <v>0</v>
      </c>
    </row>
    <row r="58" spans="1:17">
      <c r="A58" s="2">
        <v>2006</v>
      </c>
      <c r="B58" s="7">
        <v>0</v>
      </c>
      <c r="C58" s="7">
        <v>0</v>
      </c>
      <c r="D58" s="7">
        <v>0</v>
      </c>
      <c r="E58" s="7">
        <v>0</v>
      </c>
      <c r="F58" s="7">
        <v>0</v>
      </c>
      <c r="G58" s="7">
        <v>0</v>
      </c>
      <c r="H58" s="7">
        <v>0</v>
      </c>
      <c r="I58" s="7">
        <v>0</v>
      </c>
      <c r="J58" s="7">
        <v>0</v>
      </c>
      <c r="K58" s="7">
        <v>0</v>
      </c>
      <c r="L58" s="7">
        <v>0</v>
      </c>
      <c r="M58" s="7">
        <v>0</v>
      </c>
      <c r="N58" s="7">
        <v>0</v>
      </c>
      <c r="O58" s="7">
        <v>0</v>
      </c>
      <c r="P58" s="7">
        <v>0</v>
      </c>
      <c r="Q58" s="7">
        <v>0</v>
      </c>
    </row>
    <row r="59" spans="1:17">
      <c r="A59" s="2">
        <v>2007</v>
      </c>
      <c r="B59" s="7">
        <v>0</v>
      </c>
      <c r="C59" s="7">
        <v>0</v>
      </c>
      <c r="D59" s="7">
        <v>0</v>
      </c>
      <c r="E59" s="7">
        <v>0</v>
      </c>
      <c r="F59" s="7">
        <v>0</v>
      </c>
      <c r="G59" s="7">
        <v>0</v>
      </c>
      <c r="H59" s="7">
        <v>0</v>
      </c>
      <c r="I59" s="7">
        <v>0</v>
      </c>
      <c r="J59" s="7">
        <v>0</v>
      </c>
      <c r="K59" s="7">
        <v>0</v>
      </c>
      <c r="L59" s="7">
        <v>0</v>
      </c>
      <c r="M59" s="7">
        <v>0</v>
      </c>
      <c r="N59" s="7">
        <v>0</v>
      </c>
      <c r="O59" s="7">
        <v>0</v>
      </c>
      <c r="P59" s="7">
        <v>0</v>
      </c>
      <c r="Q59" s="7">
        <v>0</v>
      </c>
    </row>
    <row r="60" spans="1:17">
      <c r="A60" s="2">
        <v>2008</v>
      </c>
      <c r="B60" s="7">
        <v>0</v>
      </c>
      <c r="C60" s="7">
        <v>0</v>
      </c>
      <c r="D60" s="7">
        <v>0</v>
      </c>
      <c r="E60" s="7">
        <v>0</v>
      </c>
      <c r="F60" s="7">
        <v>0</v>
      </c>
      <c r="G60" s="7">
        <v>0</v>
      </c>
      <c r="H60" s="7">
        <v>0</v>
      </c>
      <c r="I60" s="7">
        <v>0</v>
      </c>
      <c r="J60" s="7">
        <v>0</v>
      </c>
      <c r="K60" s="7">
        <v>0</v>
      </c>
      <c r="L60" s="7">
        <v>0</v>
      </c>
      <c r="M60" s="7">
        <v>0</v>
      </c>
      <c r="N60" s="7">
        <v>0</v>
      </c>
      <c r="O60" s="7">
        <v>0</v>
      </c>
      <c r="P60" s="7">
        <v>0</v>
      </c>
      <c r="Q60" s="7">
        <v>0</v>
      </c>
    </row>
    <row r="61" spans="1:17">
      <c r="A61" s="2">
        <v>2009</v>
      </c>
      <c r="B61" s="7">
        <v>0</v>
      </c>
      <c r="C61" s="7">
        <v>0</v>
      </c>
      <c r="D61" s="7">
        <v>0</v>
      </c>
      <c r="E61" s="7">
        <v>0</v>
      </c>
      <c r="F61" s="7">
        <v>0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 s="7">
        <v>0</v>
      </c>
      <c r="M61" s="7">
        <v>0</v>
      </c>
      <c r="N61" s="7">
        <v>0</v>
      </c>
      <c r="O61" s="7">
        <v>0</v>
      </c>
      <c r="P61" s="7">
        <v>0</v>
      </c>
      <c r="Q61" s="7">
        <v>0</v>
      </c>
    </row>
    <row r="62" spans="1:17">
      <c r="A62" s="2">
        <v>2010</v>
      </c>
      <c r="B62" s="7">
        <v>0</v>
      </c>
      <c r="C62" s="7">
        <v>0</v>
      </c>
      <c r="D62" s="7">
        <v>0</v>
      </c>
      <c r="E62" s="7">
        <v>0</v>
      </c>
      <c r="F62" s="7">
        <v>0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</row>
    <row r="63" spans="1:17">
      <c r="A63" s="2">
        <v>2011</v>
      </c>
      <c r="B63" s="7">
        <v>0</v>
      </c>
      <c r="C63" s="7">
        <v>0</v>
      </c>
      <c r="D63" s="7">
        <v>0</v>
      </c>
      <c r="E63" s="7">
        <v>0</v>
      </c>
      <c r="F63" s="7">
        <v>0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</row>
    <row r="64" spans="1:17">
      <c r="A64" s="2">
        <v>2012</v>
      </c>
      <c r="B64" s="7">
        <v>0</v>
      </c>
      <c r="C64" s="7">
        <v>0</v>
      </c>
      <c r="D64" s="7">
        <v>0</v>
      </c>
      <c r="E64" s="7">
        <v>0</v>
      </c>
      <c r="F64" s="7">
        <v>0</v>
      </c>
      <c r="G64" s="7">
        <v>0</v>
      </c>
      <c r="H64" s="7">
        <v>0</v>
      </c>
      <c r="I64" s="7">
        <v>0</v>
      </c>
      <c r="J64" s="7">
        <v>0</v>
      </c>
      <c r="K64" s="7">
        <v>0</v>
      </c>
      <c r="L64" s="7">
        <v>0</v>
      </c>
      <c r="M64" s="7">
        <v>0</v>
      </c>
      <c r="N64" s="7">
        <v>0</v>
      </c>
      <c r="O64" s="7">
        <v>0</v>
      </c>
      <c r="P64" s="7">
        <v>0</v>
      </c>
      <c r="Q64" s="7">
        <v>0</v>
      </c>
    </row>
    <row r="65" spans="1:17">
      <c r="A65" s="2">
        <v>2013</v>
      </c>
      <c r="B65" s="7">
        <v>0</v>
      </c>
      <c r="C65" s="7">
        <v>0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</row>
    <row r="66" spans="1:17">
      <c r="A66" s="2">
        <v>2014</v>
      </c>
      <c r="B66" s="7">
        <v>0</v>
      </c>
      <c r="C66" s="7">
        <v>0</v>
      </c>
      <c r="D66" s="7">
        <v>0</v>
      </c>
      <c r="E66" s="7">
        <v>0</v>
      </c>
      <c r="F66" s="7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</row>
    <row r="67" spans="1:17">
      <c r="A67" s="2">
        <v>2015</v>
      </c>
      <c r="B67" s="7">
        <v>0</v>
      </c>
      <c r="C67" s="7">
        <v>0</v>
      </c>
      <c r="D67" s="7">
        <v>0</v>
      </c>
      <c r="E67" s="7">
        <v>0</v>
      </c>
      <c r="F67" s="7">
        <v>0</v>
      </c>
      <c r="G67" s="7">
        <v>0</v>
      </c>
      <c r="H67" s="7">
        <v>0</v>
      </c>
      <c r="I67" s="7">
        <v>0</v>
      </c>
      <c r="J67" s="7">
        <v>0</v>
      </c>
      <c r="K67" s="7">
        <v>0</v>
      </c>
      <c r="L67" s="7">
        <v>0</v>
      </c>
      <c r="M67" s="7">
        <v>0</v>
      </c>
      <c r="N67" s="7">
        <v>0</v>
      </c>
      <c r="O67" s="7">
        <v>0</v>
      </c>
      <c r="P67" s="7">
        <v>0</v>
      </c>
      <c r="Q67" s="7">
        <v>0</v>
      </c>
    </row>
    <row r="68" spans="1:17">
      <c r="A68" s="2">
        <v>2016</v>
      </c>
      <c r="B68" s="7">
        <v>0</v>
      </c>
      <c r="C68" s="7">
        <v>0</v>
      </c>
      <c r="D68" s="7">
        <v>0</v>
      </c>
      <c r="E68" s="7">
        <v>0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</row>
    <row r="69" spans="1:17">
      <c r="A69" s="2">
        <v>2017</v>
      </c>
      <c r="B69" s="7">
        <v>0</v>
      </c>
      <c r="C69" s="7">
        <v>0</v>
      </c>
      <c r="D69" s="7">
        <v>0</v>
      </c>
      <c r="E69" s="7">
        <v>0</v>
      </c>
      <c r="F69" s="7">
        <v>0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 s="7">
        <v>0</v>
      </c>
      <c r="M69" s="7">
        <v>0</v>
      </c>
      <c r="N69" s="7">
        <v>0</v>
      </c>
      <c r="O69" s="7">
        <v>0</v>
      </c>
      <c r="P69" s="7">
        <v>0</v>
      </c>
      <c r="Q69" s="7">
        <v>0</v>
      </c>
    </row>
    <row r="70" spans="1:17">
      <c r="A70" s="2">
        <v>2018</v>
      </c>
      <c r="B70" s="7">
        <v>0</v>
      </c>
      <c r="C70" s="7">
        <v>0</v>
      </c>
      <c r="D70" s="7">
        <v>0</v>
      </c>
      <c r="E70" s="7">
        <v>0</v>
      </c>
      <c r="F70" s="7">
        <v>0</v>
      </c>
      <c r="G70" s="7">
        <v>0</v>
      </c>
      <c r="H70" s="7">
        <v>0</v>
      </c>
      <c r="I70" s="7">
        <v>0</v>
      </c>
      <c r="J70" s="7">
        <v>0</v>
      </c>
      <c r="K70" s="7">
        <v>0</v>
      </c>
      <c r="L70" s="7">
        <v>0</v>
      </c>
      <c r="M70" s="7">
        <v>0</v>
      </c>
      <c r="N70" s="7">
        <v>0</v>
      </c>
      <c r="O70" s="7">
        <v>0</v>
      </c>
      <c r="P70" s="7">
        <v>0</v>
      </c>
      <c r="Q70" s="7">
        <v>0</v>
      </c>
    </row>
    <row r="71" spans="1:17">
      <c r="A71" s="2">
        <v>2019</v>
      </c>
      <c r="B71" s="7">
        <v>0</v>
      </c>
      <c r="C71" s="7">
        <v>0</v>
      </c>
      <c r="D71" s="7">
        <v>0</v>
      </c>
      <c r="E71" s="7">
        <v>0</v>
      </c>
      <c r="F71" s="7">
        <v>0</v>
      </c>
      <c r="G71" s="7">
        <v>0</v>
      </c>
      <c r="H71" s="7">
        <v>0</v>
      </c>
      <c r="I71" s="7">
        <v>0</v>
      </c>
      <c r="J71" s="7">
        <v>0</v>
      </c>
      <c r="K71" s="7">
        <v>0</v>
      </c>
      <c r="L71" s="7">
        <v>0</v>
      </c>
      <c r="M71" s="7">
        <v>0</v>
      </c>
      <c r="N71" s="7">
        <v>0</v>
      </c>
      <c r="O71" s="7">
        <v>0</v>
      </c>
      <c r="P71" s="7">
        <v>0</v>
      </c>
      <c r="Q71" s="7">
        <v>0</v>
      </c>
    </row>
    <row r="72" spans="1:17">
      <c r="A72" s="2">
        <v>2020</v>
      </c>
      <c r="B72" s="7">
        <v>0</v>
      </c>
      <c r="C72" s="7">
        <v>0</v>
      </c>
      <c r="D72" s="7">
        <v>0</v>
      </c>
      <c r="E72" s="7">
        <v>0</v>
      </c>
      <c r="F72" s="7">
        <v>0</v>
      </c>
      <c r="G72" s="7">
        <v>0</v>
      </c>
      <c r="H72" s="7">
        <v>0</v>
      </c>
      <c r="I72" s="7">
        <v>0</v>
      </c>
      <c r="J72" s="7">
        <v>0</v>
      </c>
      <c r="K72" s="7">
        <v>0</v>
      </c>
      <c r="L72" s="7">
        <v>0</v>
      </c>
      <c r="M72" s="7">
        <v>0</v>
      </c>
      <c r="N72" s="7">
        <v>0</v>
      </c>
      <c r="O72" s="7">
        <v>0</v>
      </c>
      <c r="P72" s="7">
        <v>0</v>
      </c>
      <c r="Q72" s="7">
        <v>0</v>
      </c>
    </row>
    <row r="73" spans="1:17">
      <c r="A73" s="2">
        <v>2021</v>
      </c>
      <c r="B73" s="7">
        <v>0</v>
      </c>
      <c r="C73" s="7">
        <v>0</v>
      </c>
      <c r="D73" s="7">
        <v>0</v>
      </c>
      <c r="E73" s="7">
        <v>0</v>
      </c>
      <c r="F73" s="7">
        <v>0</v>
      </c>
      <c r="G73" s="7">
        <v>0</v>
      </c>
      <c r="H73" s="7">
        <v>0</v>
      </c>
      <c r="I73" s="7">
        <v>0</v>
      </c>
      <c r="J73" s="7">
        <v>0</v>
      </c>
      <c r="K73" s="7">
        <v>0</v>
      </c>
      <c r="L73" s="7">
        <v>0</v>
      </c>
      <c r="M73" s="7">
        <v>0</v>
      </c>
      <c r="N73" s="7">
        <v>0</v>
      </c>
      <c r="O73" s="7">
        <v>0</v>
      </c>
      <c r="P73" s="7">
        <v>0</v>
      </c>
      <c r="Q73" s="7">
        <v>0</v>
      </c>
    </row>
    <row r="74" spans="1:17">
      <c r="A74" s="2">
        <v>2022</v>
      </c>
      <c r="B74" s="7">
        <v>0</v>
      </c>
      <c r="C74" s="7">
        <v>0</v>
      </c>
      <c r="D74" s="7">
        <v>0</v>
      </c>
      <c r="E74" s="7">
        <v>0</v>
      </c>
      <c r="F74" s="7">
        <v>0</v>
      </c>
      <c r="G74" s="7">
        <v>0</v>
      </c>
      <c r="H74" s="7">
        <v>0</v>
      </c>
      <c r="I74" s="7">
        <v>0</v>
      </c>
      <c r="J74" s="7">
        <v>0</v>
      </c>
      <c r="K74" s="7">
        <v>0</v>
      </c>
      <c r="L74" s="7">
        <v>0</v>
      </c>
      <c r="M74" s="7">
        <v>0</v>
      </c>
      <c r="N74" s="7">
        <v>0</v>
      </c>
      <c r="O74" s="7">
        <v>0</v>
      </c>
      <c r="P74" s="7">
        <v>0</v>
      </c>
      <c r="Q74" s="7">
        <v>0</v>
      </c>
    </row>
    <row r="75" spans="1:17">
      <c r="A75" s="2">
        <v>2023</v>
      </c>
      <c r="B75" s="7">
        <v>0</v>
      </c>
      <c r="C75" s="7">
        <v>0</v>
      </c>
      <c r="D75" s="7">
        <v>0</v>
      </c>
      <c r="E75" s="7">
        <v>0</v>
      </c>
      <c r="F75" s="7">
        <v>0</v>
      </c>
      <c r="G75" s="7">
        <v>0</v>
      </c>
      <c r="H75" s="7">
        <v>0</v>
      </c>
      <c r="I75" s="7">
        <v>0</v>
      </c>
      <c r="J75" s="7">
        <v>0</v>
      </c>
      <c r="K75" s="7">
        <v>0</v>
      </c>
      <c r="L75" s="7">
        <v>0</v>
      </c>
      <c r="M75" s="7">
        <v>0</v>
      </c>
      <c r="N75" s="7">
        <v>0</v>
      </c>
      <c r="O75" s="7">
        <v>0</v>
      </c>
      <c r="P75" s="7">
        <v>0</v>
      </c>
      <c r="Q75" s="7">
        <v>0</v>
      </c>
    </row>
    <row r="76" spans="1:17">
      <c r="A76" s="2">
        <v>2024</v>
      </c>
      <c r="B76" s="7">
        <v>0</v>
      </c>
      <c r="C76" s="7">
        <v>0</v>
      </c>
      <c r="D76" s="7">
        <v>0</v>
      </c>
      <c r="E76" s="7">
        <v>0</v>
      </c>
      <c r="F76" s="7">
        <v>0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L76" s="7">
        <v>0</v>
      </c>
      <c r="M76" s="7">
        <v>0</v>
      </c>
      <c r="N76" s="7">
        <v>0</v>
      </c>
      <c r="O76" s="7">
        <v>0</v>
      </c>
      <c r="P76" s="7">
        <v>0</v>
      </c>
      <c r="Q76" s="7">
        <v>0</v>
      </c>
    </row>
    <row r="77" spans="1:17">
      <c r="A77" s="2">
        <v>2025</v>
      </c>
      <c r="B77" s="7">
        <v>0</v>
      </c>
      <c r="C77" s="7">
        <v>0</v>
      </c>
      <c r="D77" s="7">
        <v>0</v>
      </c>
      <c r="E77" s="7">
        <v>0</v>
      </c>
      <c r="F77" s="7">
        <v>0</v>
      </c>
      <c r="G77" s="7">
        <v>0</v>
      </c>
      <c r="H77" s="7">
        <v>0</v>
      </c>
      <c r="I77" s="7">
        <v>0</v>
      </c>
      <c r="J77" s="7">
        <v>0</v>
      </c>
      <c r="K77" s="7">
        <v>0</v>
      </c>
      <c r="L77" s="7">
        <v>0</v>
      </c>
      <c r="M77" s="7">
        <v>0</v>
      </c>
      <c r="N77" s="7">
        <v>0</v>
      </c>
      <c r="O77" s="7">
        <v>0</v>
      </c>
      <c r="P77" s="7">
        <v>0</v>
      </c>
      <c r="Q77" s="7">
        <v>0</v>
      </c>
    </row>
    <row r="78" spans="1:17">
      <c r="A78" s="2">
        <v>2026</v>
      </c>
      <c r="B78" s="7">
        <v>0</v>
      </c>
      <c r="C78" s="7">
        <v>0</v>
      </c>
      <c r="D78" s="7">
        <v>0</v>
      </c>
      <c r="E78" s="7">
        <v>0</v>
      </c>
      <c r="F78" s="7">
        <v>0</v>
      </c>
      <c r="G78" s="7">
        <v>0</v>
      </c>
      <c r="H78" s="7">
        <v>0</v>
      </c>
      <c r="I78" s="7">
        <v>0</v>
      </c>
      <c r="J78" s="7">
        <v>0</v>
      </c>
      <c r="K78" s="7">
        <v>0</v>
      </c>
      <c r="L78" s="7">
        <v>0</v>
      </c>
      <c r="M78" s="7">
        <v>0</v>
      </c>
      <c r="N78" s="7">
        <v>0</v>
      </c>
      <c r="O78" s="7">
        <v>0</v>
      </c>
      <c r="P78" s="7">
        <v>0</v>
      </c>
      <c r="Q78" s="7">
        <v>0</v>
      </c>
    </row>
    <row r="79" spans="1:17">
      <c r="A79" s="2">
        <v>2027</v>
      </c>
      <c r="B79" s="7">
        <v>0</v>
      </c>
      <c r="C79" s="7">
        <v>0</v>
      </c>
      <c r="D79" s="7">
        <v>0</v>
      </c>
      <c r="E79" s="7">
        <v>0</v>
      </c>
      <c r="F79" s="7">
        <v>0</v>
      </c>
      <c r="G79" s="7">
        <v>0</v>
      </c>
      <c r="H79" s="7">
        <v>0</v>
      </c>
      <c r="I79" s="7">
        <v>0</v>
      </c>
      <c r="J79" s="7">
        <v>0</v>
      </c>
      <c r="K79" s="7">
        <v>0</v>
      </c>
      <c r="L79" s="7">
        <v>0</v>
      </c>
      <c r="M79" s="7">
        <v>0</v>
      </c>
      <c r="N79" s="7">
        <v>0</v>
      </c>
      <c r="O79" s="7">
        <v>0</v>
      </c>
      <c r="P79" s="7">
        <v>0</v>
      </c>
      <c r="Q79" s="7">
        <v>0</v>
      </c>
    </row>
    <row r="80" spans="1:17">
      <c r="A80" s="2">
        <v>2028</v>
      </c>
      <c r="B80" s="7">
        <v>0</v>
      </c>
      <c r="C80" s="7">
        <v>0</v>
      </c>
      <c r="D80" s="7">
        <v>0</v>
      </c>
      <c r="E80" s="7">
        <v>0</v>
      </c>
      <c r="F80" s="7">
        <v>0</v>
      </c>
      <c r="G80" s="7">
        <v>0</v>
      </c>
      <c r="H80" s="7">
        <v>0</v>
      </c>
      <c r="I80" s="7">
        <v>0</v>
      </c>
      <c r="J80" s="7">
        <v>0</v>
      </c>
      <c r="K80" s="7">
        <v>0</v>
      </c>
      <c r="L80" s="7">
        <v>0</v>
      </c>
      <c r="M80" s="7">
        <v>0</v>
      </c>
      <c r="N80" s="7">
        <v>0</v>
      </c>
      <c r="O80" s="7">
        <v>0</v>
      </c>
      <c r="P80" s="7">
        <v>0</v>
      </c>
      <c r="Q80" s="7">
        <v>0</v>
      </c>
    </row>
    <row r="81" spans="1:17">
      <c r="A81" s="2">
        <v>2029</v>
      </c>
      <c r="B81" s="7">
        <v>0</v>
      </c>
      <c r="C81" s="7">
        <v>0</v>
      </c>
      <c r="D81" s="7">
        <v>0</v>
      </c>
      <c r="E81" s="7">
        <v>0</v>
      </c>
      <c r="F81" s="7">
        <v>0</v>
      </c>
      <c r="G81" s="7">
        <v>0</v>
      </c>
      <c r="H81" s="7">
        <v>0</v>
      </c>
      <c r="I81" s="7">
        <v>0</v>
      </c>
      <c r="J81" s="7">
        <v>0</v>
      </c>
      <c r="K81" s="7">
        <v>0</v>
      </c>
      <c r="L81" s="7">
        <v>0</v>
      </c>
      <c r="M81" s="7">
        <v>0</v>
      </c>
      <c r="N81" s="7">
        <v>0</v>
      </c>
      <c r="O81" s="7">
        <v>0</v>
      </c>
      <c r="P81" s="7">
        <v>0</v>
      </c>
      <c r="Q81" s="7">
        <v>0</v>
      </c>
    </row>
    <row r="82" spans="1:17">
      <c r="A82" s="2">
        <v>2030</v>
      </c>
      <c r="B82" s="7">
        <v>0</v>
      </c>
      <c r="C82" s="7">
        <v>0</v>
      </c>
      <c r="D82" s="7">
        <v>0</v>
      </c>
      <c r="E82" s="7">
        <v>0</v>
      </c>
      <c r="F82" s="7">
        <v>0</v>
      </c>
      <c r="G82" s="7">
        <v>0</v>
      </c>
      <c r="H82" s="7">
        <v>0</v>
      </c>
      <c r="I82" s="7">
        <v>0</v>
      </c>
      <c r="J82" s="7">
        <v>0</v>
      </c>
      <c r="K82" s="7">
        <v>0</v>
      </c>
      <c r="L82" s="7">
        <v>0</v>
      </c>
      <c r="M82" s="7">
        <v>0</v>
      </c>
      <c r="N82" s="7">
        <v>0</v>
      </c>
      <c r="O82" s="7">
        <v>0</v>
      </c>
      <c r="P82" s="7">
        <v>0</v>
      </c>
      <c r="Q82" s="7">
        <v>0</v>
      </c>
    </row>
    <row r="83" spans="1:17">
      <c r="A83" s="2">
        <v>2031</v>
      </c>
      <c r="B83" s="7">
        <v>0</v>
      </c>
      <c r="C83" s="7">
        <v>0</v>
      </c>
      <c r="D83" s="7">
        <v>0</v>
      </c>
      <c r="E83" s="7">
        <v>0</v>
      </c>
      <c r="F83" s="7">
        <v>0</v>
      </c>
      <c r="G83" s="7">
        <v>0</v>
      </c>
      <c r="H83" s="7">
        <v>0</v>
      </c>
      <c r="I83" s="7">
        <v>0</v>
      </c>
      <c r="J83" s="7">
        <v>0</v>
      </c>
      <c r="K83" s="7">
        <v>0</v>
      </c>
      <c r="L83" s="7">
        <v>0</v>
      </c>
      <c r="M83" s="7">
        <v>0</v>
      </c>
      <c r="N83" s="7">
        <v>0</v>
      </c>
      <c r="O83" s="7">
        <v>0</v>
      </c>
      <c r="P83" s="7">
        <v>0</v>
      </c>
      <c r="Q83" s="7">
        <v>0</v>
      </c>
    </row>
    <row r="84" spans="1:17">
      <c r="A84" s="2">
        <v>2032</v>
      </c>
      <c r="B84" s="7">
        <v>0</v>
      </c>
      <c r="C84" s="7">
        <v>0</v>
      </c>
      <c r="D84" s="7">
        <v>0</v>
      </c>
      <c r="E84" s="7">
        <v>0</v>
      </c>
      <c r="F84" s="7">
        <v>0</v>
      </c>
      <c r="G84" s="7">
        <v>0</v>
      </c>
      <c r="H84" s="7">
        <v>0</v>
      </c>
      <c r="I84" s="7">
        <v>0</v>
      </c>
      <c r="J84" s="7">
        <v>0</v>
      </c>
      <c r="K84" s="7">
        <v>0</v>
      </c>
      <c r="L84" s="7">
        <v>0</v>
      </c>
      <c r="M84" s="7">
        <v>0</v>
      </c>
      <c r="N84" s="7">
        <v>0</v>
      </c>
      <c r="O84" s="7">
        <v>0</v>
      </c>
      <c r="P84" s="7">
        <v>0</v>
      </c>
      <c r="Q84" s="7">
        <v>0</v>
      </c>
    </row>
    <row r="85" spans="1:17">
      <c r="A85" s="2">
        <v>2033</v>
      </c>
      <c r="B85" s="7">
        <v>0</v>
      </c>
      <c r="C85" s="7">
        <v>0</v>
      </c>
      <c r="D85" s="7">
        <v>0</v>
      </c>
      <c r="E85" s="7">
        <v>0</v>
      </c>
      <c r="F85" s="7">
        <v>0</v>
      </c>
      <c r="G85" s="7">
        <v>0</v>
      </c>
      <c r="H85" s="7">
        <v>0</v>
      </c>
      <c r="I85" s="7">
        <v>0</v>
      </c>
      <c r="J85" s="7">
        <v>0</v>
      </c>
      <c r="K85" s="7">
        <v>0</v>
      </c>
      <c r="L85" s="7">
        <v>0</v>
      </c>
      <c r="M85" s="7">
        <v>0</v>
      </c>
      <c r="N85" s="7">
        <v>0</v>
      </c>
      <c r="O85" s="7">
        <v>0</v>
      </c>
      <c r="P85" s="7">
        <v>0</v>
      </c>
      <c r="Q85" s="7">
        <v>0</v>
      </c>
    </row>
    <row r="86" spans="1:17">
      <c r="A86" s="2">
        <v>2034</v>
      </c>
      <c r="B86" s="7">
        <v>0</v>
      </c>
      <c r="C86" s="7">
        <v>0</v>
      </c>
      <c r="D86" s="7">
        <v>0</v>
      </c>
      <c r="E86" s="7">
        <v>0</v>
      </c>
      <c r="F86" s="7">
        <v>0</v>
      </c>
      <c r="G86" s="7">
        <v>0</v>
      </c>
      <c r="H86" s="7">
        <v>0</v>
      </c>
      <c r="I86" s="7">
        <v>0</v>
      </c>
      <c r="J86" s="7">
        <v>0</v>
      </c>
      <c r="K86" s="7">
        <v>0</v>
      </c>
      <c r="L86" s="7">
        <v>0</v>
      </c>
      <c r="M86" s="7">
        <v>0</v>
      </c>
      <c r="N86" s="7">
        <v>0</v>
      </c>
      <c r="O86" s="7">
        <v>0</v>
      </c>
      <c r="P86" s="7">
        <v>0</v>
      </c>
      <c r="Q86" s="7">
        <v>0</v>
      </c>
    </row>
    <row r="87" spans="1:17">
      <c r="A87" s="2">
        <v>2035</v>
      </c>
      <c r="B87" s="7">
        <v>0</v>
      </c>
      <c r="C87" s="7">
        <v>0</v>
      </c>
      <c r="D87" s="7">
        <v>0</v>
      </c>
      <c r="E87" s="7">
        <v>0</v>
      </c>
      <c r="F87" s="7">
        <v>0</v>
      </c>
      <c r="G87" s="7">
        <v>0</v>
      </c>
      <c r="H87" s="7">
        <v>0</v>
      </c>
      <c r="I87" s="7">
        <v>0</v>
      </c>
      <c r="J87" s="7">
        <v>0</v>
      </c>
      <c r="K87" s="7">
        <v>0</v>
      </c>
      <c r="L87" s="7">
        <v>0</v>
      </c>
      <c r="M87" s="7">
        <v>0</v>
      </c>
      <c r="N87" s="7">
        <v>0</v>
      </c>
      <c r="O87" s="7">
        <v>0</v>
      </c>
      <c r="P87" s="7">
        <v>0</v>
      </c>
      <c r="Q87" s="7">
        <v>0</v>
      </c>
    </row>
    <row r="88" spans="1:17">
      <c r="A88" s="2">
        <v>2036</v>
      </c>
      <c r="B88" s="7">
        <v>0</v>
      </c>
      <c r="C88" s="7">
        <v>0</v>
      </c>
      <c r="D88" s="7">
        <v>0</v>
      </c>
      <c r="E88" s="7">
        <v>0</v>
      </c>
      <c r="F88" s="7">
        <v>0</v>
      </c>
      <c r="G88" s="7">
        <v>0</v>
      </c>
      <c r="H88" s="7">
        <v>0</v>
      </c>
      <c r="I88" s="7">
        <v>0</v>
      </c>
      <c r="J88" s="7">
        <v>0</v>
      </c>
      <c r="K88" s="7">
        <v>0</v>
      </c>
      <c r="L88" s="7">
        <v>0</v>
      </c>
      <c r="M88" s="7">
        <v>0</v>
      </c>
      <c r="N88" s="7">
        <v>0</v>
      </c>
      <c r="O88" s="7">
        <v>0</v>
      </c>
      <c r="P88" s="7">
        <v>0</v>
      </c>
      <c r="Q88" s="7">
        <v>0</v>
      </c>
    </row>
    <row r="89" spans="1:17">
      <c r="A89" s="2">
        <v>2037</v>
      </c>
      <c r="B89" s="7">
        <v>0</v>
      </c>
      <c r="C89" s="7">
        <v>0</v>
      </c>
      <c r="D89" s="7">
        <v>0</v>
      </c>
      <c r="E89" s="7">
        <v>0</v>
      </c>
      <c r="F89" s="7">
        <v>0</v>
      </c>
      <c r="G89" s="7">
        <v>0</v>
      </c>
      <c r="H89" s="7">
        <v>0</v>
      </c>
      <c r="I89" s="7">
        <v>0</v>
      </c>
      <c r="J89" s="7">
        <v>0</v>
      </c>
      <c r="K89" s="7">
        <v>0</v>
      </c>
      <c r="L89" s="7">
        <v>0</v>
      </c>
      <c r="M89" s="7">
        <v>0</v>
      </c>
      <c r="N89" s="7">
        <v>0</v>
      </c>
      <c r="O89" s="7">
        <v>0</v>
      </c>
      <c r="P89" s="7">
        <v>0</v>
      </c>
      <c r="Q89" s="7">
        <v>0</v>
      </c>
    </row>
    <row r="90" spans="1:17">
      <c r="A90" s="2">
        <v>2038</v>
      </c>
      <c r="B90" s="7">
        <v>0</v>
      </c>
      <c r="C90" s="7">
        <v>0</v>
      </c>
      <c r="D90" s="7">
        <v>0</v>
      </c>
      <c r="E90" s="7">
        <v>0</v>
      </c>
      <c r="F90" s="7">
        <v>0</v>
      </c>
      <c r="G90" s="7">
        <v>0</v>
      </c>
      <c r="H90" s="7">
        <v>0</v>
      </c>
      <c r="I90" s="7">
        <v>0</v>
      </c>
      <c r="J90" s="7">
        <v>0</v>
      </c>
      <c r="K90" s="7">
        <v>0</v>
      </c>
      <c r="L90" s="7">
        <v>0</v>
      </c>
      <c r="M90" s="7">
        <v>0</v>
      </c>
      <c r="N90" s="7">
        <v>0</v>
      </c>
      <c r="O90" s="7">
        <v>0</v>
      </c>
      <c r="P90" s="7">
        <v>0</v>
      </c>
      <c r="Q90" s="7">
        <v>0</v>
      </c>
    </row>
    <row r="91" spans="1:17">
      <c r="A91" s="2">
        <v>2039</v>
      </c>
      <c r="B91" s="7">
        <v>0</v>
      </c>
      <c r="C91" s="7">
        <v>0</v>
      </c>
      <c r="D91" s="7">
        <v>0</v>
      </c>
      <c r="E91" s="7">
        <v>0</v>
      </c>
      <c r="F91" s="7">
        <v>0</v>
      </c>
      <c r="G91" s="7">
        <v>0</v>
      </c>
      <c r="H91" s="7">
        <v>0</v>
      </c>
      <c r="I91" s="7">
        <v>0</v>
      </c>
      <c r="J91" s="7">
        <v>0</v>
      </c>
      <c r="K91" s="7">
        <v>0</v>
      </c>
      <c r="L91" s="7">
        <v>0</v>
      </c>
      <c r="M91" s="7">
        <v>0</v>
      </c>
      <c r="N91" s="7">
        <v>0</v>
      </c>
      <c r="O91" s="7">
        <v>0</v>
      </c>
      <c r="P91" s="7">
        <v>0</v>
      </c>
      <c r="Q91" s="7">
        <v>0</v>
      </c>
    </row>
    <row r="92" spans="1:17">
      <c r="A92" s="2">
        <v>2040</v>
      </c>
      <c r="B92" s="7">
        <v>0</v>
      </c>
      <c r="C92" s="7">
        <v>0</v>
      </c>
      <c r="D92" s="7">
        <v>0</v>
      </c>
      <c r="E92" s="7">
        <v>0</v>
      </c>
      <c r="F92" s="7">
        <v>0</v>
      </c>
      <c r="G92" s="7">
        <v>0</v>
      </c>
      <c r="H92" s="7">
        <v>0</v>
      </c>
      <c r="I92" s="7">
        <v>0</v>
      </c>
      <c r="J92" s="7">
        <v>0</v>
      </c>
      <c r="K92" s="7">
        <v>0</v>
      </c>
      <c r="L92" s="7">
        <v>0</v>
      </c>
      <c r="M92" s="7">
        <v>0</v>
      </c>
      <c r="N92" s="7">
        <v>0</v>
      </c>
      <c r="O92" s="7">
        <v>0</v>
      </c>
      <c r="P92" s="7">
        <v>0</v>
      </c>
      <c r="Q92" s="7">
        <v>0</v>
      </c>
    </row>
    <row r="93" spans="1:17">
      <c r="A93" s="2">
        <v>2041</v>
      </c>
      <c r="B93" s="7">
        <v>0</v>
      </c>
      <c r="C93" s="7">
        <v>0</v>
      </c>
      <c r="D93" s="7">
        <v>0</v>
      </c>
      <c r="E93" s="7">
        <v>0</v>
      </c>
      <c r="F93" s="7">
        <v>0</v>
      </c>
      <c r="G93" s="7">
        <v>0</v>
      </c>
      <c r="H93" s="7">
        <v>0</v>
      </c>
      <c r="I93" s="7">
        <v>0</v>
      </c>
      <c r="J93" s="7">
        <v>0</v>
      </c>
      <c r="K93" s="7">
        <v>0</v>
      </c>
      <c r="L93" s="7">
        <v>0</v>
      </c>
      <c r="M93" s="7">
        <v>0</v>
      </c>
      <c r="N93" s="7">
        <v>0</v>
      </c>
      <c r="O93" s="7">
        <v>0</v>
      </c>
      <c r="P93" s="7">
        <v>0</v>
      </c>
      <c r="Q93" s="7">
        <v>0</v>
      </c>
    </row>
    <row r="94" spans="1:17">
      <c r="A94" s="2">
        <v>2042</v>
      </c>
      <c r="B94" s="7">
        <v>0</v>
      </c>
      <c r="C94" s="7">
        <v>0</v>
      </c>
      <c r="D94" s="7">
        <v>0</v>
      </c>
      <c r="E94" s="7">
        <v>0</v>
      </c>
      <c r="F94" s="7">
        <v>0</v>
      </c>
      <c r="G94" s="7">
        <v>0</v>
      </c>
      <c r="H94" s="7">
        <v>0</v>
      </c>
      <c r="I94" s="7">
        <v>0</v>
      </c>
      <c r="J94" s="7">
        <v>0</v>
      </c>
      <c r="K94" s="7">
        <v>0</v>
      </c>
      <c r="L94" s="7">
        <v>0</v>
      </c>
      <c r="M94" s="7">
        <v>0</v>
      </c>
      <c r="N94" s="7">
        <v>0</v>
      </c>
      <c r="O94" s="7">
        <v>0</v>
      </c>
      <c r="P94" s="7">
        <v>0</v>
      </c>
      <c r="Q94" s="7">
        <v>0</v>
      </c>
    </row>
    <row r="95" spans="1:17">
      <c r="A95" s="2">
        <v>2043</v>
      </c>
      <c r="B95" s="7">
        <v>0</v>
      </c>
      <c r="C95" s="7">
        <v>0</v>
      </c>
      <c r="D95" s="7">
        <v>0</v>
      </c>
      <c r="E95" s="7">
        <v>0</v>
      </c>
      <c r="F95" s="7">
        <v>0</v>
      </c>
      <c r="G95" s="7">
        <v>0</v>
      </c>
      <c r="H95" s="7">
        <v>0</v>
      </c>
      <c r="I95" s="7">
        <v>0</v>
      </c>
      <c r="J95" s="7">
        <v>0</v>
      </c>
      <c r="K95" s="7">
        <v>0</v>
      </c>
      <c r="L95" s="7">
        <v>0</v>
      </c>
      <c r="M95" s="7">
        <v>0</v>
      </c>
      <c r="N95" s="7">
        <v>0</v>
      </c>
      <c r="O95" s="7">
        <v>0</v>
      </c>
      <c r="P95" s="7">
        <v>0</v>
      </c>
      <c r="Q95" s="7">
        <v>0</v>
      </c>
    </row>
    <row r="96" spans="1:17">
      <c r="A96" s="2">
        <v>2044</v>
      </c>
      <c r="B96" s="7">
        <v>0</v>
      </c>
      <c r="C96" s="7">
        <v>0</v>
      </c>
      <c r="D96" s="7">
        <v>0</v>
      </c>
      <c r="E96" s="7">
        <v>0</v>
      </c>
      <c r="F96" s="7">
        <v>0</v>
      </c>
      <c r="G96" s="7">
        <v>0</v>
      </c>
      <c r="H96" s="7">
        <v>0</v>
      </c>
      <c r="I96" s="7">
        <v>0</v>
      </c>
      <c r="J96" s="7">
        <v>0</v>
      </c>
      <c r="K96" s="7">
        <v>0</v>
      </c>
      <c r="L96" s="7">
        <v>0</v>
      </c>
      <c r="M96" s="7">
        <v>0</v>
      </c>
      <c r="N96" s="7">
        <v>0</v>
      </c>
      <c r="O96" s="7">
        <v>0</v>
      </c>
      <c r="P96" s="7">
        <v>0</v>
      </c>
      <c r="Q96" s="7">
        <v>0</v>
      </c>
    </row>
    <row r="97" spans="1:17">
      <c r="A97" s="2">
        <v>2045</v>
      </c>
      <c r="B97" s="7">
        <v>0</v>
      </c>
      <c r="C97" s="7">
        <v>0</v>
      </c>
      <c r="D97" s="7">
        <v>0</v>
      </c>
      <c r="E97" s="7">
        <v>0</v>
      </c>
      <c r="F97" s="7">
        <v>0</v>
      </c>
      <c r="G97" s="7">
        <v>0</v>
      </c>
      <c r="H97" s="7">
        <v>0</v>
      </c>
      <c r="I97" s="7">
        <v>0</v>
      </c>
      <c r="J97" s="7">
        <v>0</v>
      </c>
      <c r="K97" s="7">
        <v>0</v>
      </c>
      <c r="L97" s="7">
        <v>0</v>
      </c>
      <c r="M97" s="7">
        <v>0</v>
      </c>
      <c r="N97" s="7">
        <v>0</v>
      </c>
      <c r="O97" s="7">
        <v>0</v>
      </c>
      <c r="P97" s="7">
        <v>0</v>
      </c>
      <c r="Q97" s="7">
        <v>0</v>
      </c>
    </row>
    <row r="98" spans="1:17">
      <c r="A98" s="2">
        <v>2046</v>
      </c>
      <c r="B98" s="7">
        <v>0</v>
      </c>
      <c r="C98" s="7">
        <v>0</v>
      </c>
      <c r="D98" s="7">
        <v>0</v>
      </c>
      <c r="E98" s="7">
        <v>0</v>
      </c>
      <c r="F98" s="7">
        <v>0</v>
      </c>
      <c r="G98" s="7">
        <v>0</v>
      </c>
      <c r="H98" s="7">
        <v>0</v>
      </c>
      <c r="I98" s="7">
        <v>0</v>
      </c>
      <c r="J98" s="7">
        <v>0</v>
      </c>
      <c r="K98" s="7">
        <v>0</v>
      </c>
      <c r="L98" s="7">
        <v>0</v>
      </c>
      <c r="M98" s="7">
        <v>0</v>
      </c>
      <c r="N98" s="7">
        <v>0</v>
      </c>
      <c r="O98" s="7">
        <v>0</v>
      </c>
      <c r="P98" s="7">
        <v>0</v>
      </c>
      <c r="Q98" s="7">
        <v>0</v>
      </c>
    </row>
    <row r="99" spans="1:17">
      <c r="A99" s="2">
        <v>2047</v>
      </c>
      <c r="B99" s="7">
        <v>0</v>
      </c>
      <c r="C99" s="7">
        <v>0</v>
      </c>
      <c r="D99" s="7">
        <v>0</v>
      </c>
      <c r="E99" s="7">
        <v>0</v>
      </c>
      <c r="F99" s="7">
        <v>0</v>
      </c>
      <c r="G99" s="7">
        <v>0</v>
      </c>
      <c r="H99" s="7">
        <v>0</v>
      </c>
      <c r="I99" s="7">
        <v>0</v>
      </c>
      <c r="J99" s="7">
        <v>0</v>
      </c>
      <c r="K99" s="7">
        <v>0</v>
      </c>
      <c r="L99" s="7">
        <v>0</v>
      </c>
      <c r="M99" s="7">
        <v>0</v>
      </c>
      <c r="N99" s="7">
        <v>0</v>
      </c>
      <c r="O99" s="7">
        <v>0</v>
      </c>
      <c r="P99" s="7">
        <v>0</v>
      </c>
      <c r="Q99" s="7">
        <v>0</v>
      </c>
    </row>
    <row r="100" spans="1:17">
      <c r="A100" s="2">
        <v>2048</v>
      </c>
      <c r="B100" s="7">
        <v>0</v>
      </c>
      <c r="C100" s="7">
        <v>0</v>
      </c>
      <c r="D100" s="7">
        <v>0</v>
      </c>
      <c r="E100" s="7">
        <v>0</v>
      </c>
      <c r="F100" s="7">
        <v>0</v>
      </c>
      <c r="G100" s="7">
        <v>0</v>
      </c>
      <c r="H100" s="7">
        <v>0</v>
      </c>
      <c r="I100" s="7">
        <v>0</v>
      </c>
      <c r="J100" s="7">
        <v>0</v>
      </c>
      <c r="K100" s="7">
        <v>0</v>
      </c>
      <c r="L100" s="7">
        <v>0</v>
      </c>
      <c r="M100" s="7">
        <v>0</v>
      </c>
      <c r="N100" s="7">
        <v>0</v>
      </c>
      <c r="O100" s="7">
        <v>0</v>
      </c>
      <c r="P100" s="7">
        <v>0</v>
      </c>
      <c r="Q100" s="7">
        <v>0</v>
      </c>
    </row>
    <row r="101" spans="1:17">
      <c r="A101" s="2">
        <v>2049</v>
      </c>
      <c r="B101" s="7">
        <v>0</v>
      </c>
      <c r="C101" s="7">
        <v>0</v>
      </c>
      <c r="D101" s="7">
        <v>0</v>
      </c>
      <c r="E101" s="7">
        <v>0</v>
      </c>
      <c r="F101" s="7">
        <v>0</v>
      </c>
      <c r="G101" s="7">
        <v>0</v>
      </c>
      <c r="H101" s="7">
        <v>0</v>
      </c>
      <c r="I101" s="7">
        <v>0</v>
      </c>
      <c r="J101" s="7">
        <v>0</v>
      </c>
      <c r="K101" s="7">
        <v>0</v>
      </c>
      <c r="L101" s="7">
        <v>0</v>
      </c>
      <c r="M101" s="7">
        <v>0</v>
      </c>
      <c r="N101" s="7">
        <v>0</v>
      </c>
      <c r="O101" s="7">
        <v>0</v>
      </c>
      <c r="P101" s="7">
        <v>0</v>
      </c>
      <c r="Q101" s="7">
        <v>0</v>
      </c>
    </row>
    <row r="102" spans="1:17">
      <c r="A102" s="2">
        <v>2050</v>
      </c>
      <c r="B102" s="7">
        <v>0</v>
      </c>
      <c r="C102" s="7">
        <v>0</v>
      </c>
      <c r="D102" s="7">
        <v>0</v>
      </c>
      <c r="E102" s="7">
        <v>0</v>
      </c>
      <c r="F102" s="7">
        <v>0</v>
      </c>
      <c r="G102" s="7">
        <v>0</v>
      </c>
      <c r="H102" s="7">
        <v>0</v>
      </c>
      <c r="I102" s="7">
        <v>0</v>
      </c>
      <c r="J102" s="7">
        <v>0</v>
      </c>
      <c r="K102" s="7">
        <v>0</v>
      </c>
      <c r="L102" s="7">
        <v>0</v>
      </c>
      <c r="M102" s="7">
        <v>0</v>
      </c>
      <c r="N102" s="7">
        <v>0</v>
      </c>
      <c r="O102" s="7">
        <v>0</v>
      </c>
      <c r="P102" s="7">
        <v>0</v>
      </c>
      <c r="Q102" s="7">
        <v>0</v>
      </c>
    </row>
    <row r="103" spans="1:17">
      <c r="A103" s="2">
        <v>2051</v>
      </c>
      <c r="B103" s="7">
        <v>0</v>
      </c>
      <c r="C103" s="7">
        <v>0</v>
      </c>
      <c r="D103" s="7">
        <v>0</v>
      </c>
      <c r="E103" s="7">
        <v>0</v>
      </c>
      <c r="F103" s="7">
        <v>0</v>
      </c>
      <c r="G103" s="7">
        <v>0</v>
      </c>
      <c r="H103" s="7">
        <v>0</v>
      </c>
      <c r="I103" s="7">
        <v>0</v>
      </c>
      <c r="J103" s="7">
        <v>0</v>
      </c>
      <c r="K103" s="7">
        <v>0</v>
      </c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</row>
    <row r="104" spans="1:17">
      <c r="A104" s="2">
        <v>2052</v>
      </c>
      <c r="B104" s="7">
        <v>0</v>
      </c>
      <c r="C104" s="7">
        <v>0</v>
      </c>
      <c r="D104" s="7">
        <v>0</v>
      </c>
      <c r="E104" s="7">
        <v>0</v>
      </c>
      <c r="F104" s="7">
        <v>0</v>
      </c>
      <c r="G104" s="7">
        <v>0</v>
      </c>
      <c r="H104" s="7">
        <v>0</v>
      </c>
      <c r="I104" s="7">
        <v>0</v>
      </c>
      <c r="J104" s="7">
        <v>0</v>
      </c>
      <c r="K104" s="7">
        <v>0</v>
      </c>
      <c r="L104" s="7">
        <v>0</v>
      </c>
      <c r="M104" s="7">
        <v>0</v>
      </c>
      <c r="N104" s="7">
        <v>0</v>
      </c>
      <c r="O104" s="7">
        <v>0</v>
      </c>
      <c r="P104" s="7">
        <v>0</v>
      </c>
      <c r="Q104" s="7">
        <v>0</v>
      </c>
    </row>
    <row r="105" spans="1:17">
      <c r="A105" s="2">
        <v>2053</v>
      </c>
      <c r="B105" s="7">
        <v>0</v>
      </c>
      <c r="C105" s="7">
        <v>0</v>
      </c>
      <c r="D105" s="7">
        <v>0</v>
      </c>
      <c r="E105" s="7">
        <v>0</v>
      </c>
      <c r="F105" s="7">
        <v>0</v>
      </c>
      <c r="G105" s="7">
        <v>0</v>
      </c>
      <c r="H105" s="7">
        <v>0</v>
      </c>
      <c r="I105" s="7">
        <v>0</v>
      </c>
      <c r="J105" s="7">
        <v>0</v>
      </c>
      <c r="K105" s="7">
        <v>0</v>
      </c>
      <c r="L105" s="7">
        <v>0</v>
      </c>
      <c r="M105" s="7">
        <v>0</v>
      </c>
      <c r="N105" s="7">
        <v>0</v>
      </c>
      <c r="O105" s="7">
        <v>0</v>
      </c>
      <c r="P105" s="7">
        <v>0</v>
      </c>
      <c r="Q105" s="7">
        <v>0</v>
      </c>
    </row>
    <row r="106" spans="1:17">
      <c r="A106" s="2">
        <v>2054</v>
      </c>
      <c r="B106" s="7">
        <v>0</v>
      </c>
      <c r="C106" s="7">
        <v>0</v>
      </c>
      <c r="D106" s="7">
        <v>0</v>
      </c>
      <c r="E106" s="7">
        <v>0</v>
      </c>
      <c r="F106" s="7">
        <v>0</v>
      </c>
      <c r="G106" s="7">
        <v>0</v>
      </c>
      <c r="H106" s="7">
        <v>0</v>
      </c>
      <c r="I106" s="7">
        <v>0</v>
      </c>
      <c r="J106" s="7">
        <v>0</v>
      </c>
      <c r="K106" s="7">
        <v>0</v>
      </c>
      <c r="L106" s="7">
        <v>0</v>
      </c>
      <c r="M106" s="7">
        <v>0</v>
      </c>
      <c r="N106" s="7">
        <v>0</v>
      </c>
      <c r="O106" s="7">
        <v>0</v>
      </c>
      <c r="P106" s="7">
        <v>0</v>
      </c>
      <c r="Q106" s="7">
        <v>0</v>
      </c>
    </row>
    <row r="107" spans="1:17">
      <c r="A107" s="2">
        <v>2055</v>
      </c>
      <c r="B107" s="7">
        <v>0</v>
      </c>
      <c r="C107" s="7">
        <v>0</v>
      </c>
      <c r="D107" s="7">
        <v>0</v>
      </c>
      <c r="E107" s="7">
        <v>0</v>
      </c>
      <c r="F107" s="7">
        <v>0</v>
      </c>
      <c r="G107" s="7">
        <v>0</v>
      </c>
      <c r="H107" s="7">
        <v>0</v>
      </c>
      <c r="I107" s="7">
        <v>0</v>
      </c>
      <c r="J107" s="7">
        <v>0</v>
      </c>
      <c r="K107" s="7">
        <v>0</v>
      </c>
      <c r="L107" s="7">
        <v>0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</row>
    <row r="108" spans="1:17">
      <c r="A108" s="2">
        <v>2056</v>
      </c>
      <c r="B108" s="7">
        <v>0</v>
      </c>
      <c r="C108" s="7">
        <v>0</v>
      </c>
      <c r="D108" s="7">
        <v>0</v>
      </c>
      <c r="E108" s="7">
        <v>0</v>
      </c>
      <c r="F108" s="7">
        <v>0</v>
      </c>
      <c r="G108" s="7">
        <v>0</v>
      </c>
      <c r="H108" s="7">
        <v>0</v>
      </c>
      <c r="I108" s="7">
        <v>0</v>
      </c>
      <c r="J108" s="7">
        <v>0</v>
      </c>
      <c r="K108" s="7">
        <v>0</v>
      </c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</row>
    <row r="109" spans="1:17">
      <c r="A109" s="2">
        <v>2057</v>
      </c>
      <c r="B109" s="7">
        <v>0</v>
      </c>
      <c r="C109" s="7">
        <v>0</v>
      </c>
      <c r="D109" s="7">
        <v>0</v>
      </c>
      <c r="E109" s="7">
        <v>0</v>
      </c>
      <c r="F109" s="7">
        <v>0</v>
      </c>
      <c r="G109" s="7">
        <v>0</v>
      </c>
      <c r="H109" s="7">
        <v>0</v>
      </c>
      <c r="I109" s="7">
        <v>0</v>
      </c>
      <c r="J109" s="7">
        <v>0</v>
      </c>
      <c r="K109" s="7">
        <v>0</v>
      </c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</row>
    <row r="110" spans="1:17">
      <c r="A110" s="2">
        <v>2058</v>
      </c>
      <c r="B110" s="7">
        <v>0</v>
      </c>
      <c r="C110" s="7">
        <v>0</v>
      </c>
      <c r="D110" s="7">
        <v>0</v>
      </c>
      <c r="E110" s="7">
        <v>0</v>
      </c>
      <c r="F110" s="7">
        <v>0</v>
      </c>
      <c r="G110" s="7">
        <v>0</v>
      </c>
      <c r="H110" s="7">
        <v>0</v>
      </c>
      <c r="I110" s="7">
        <v>0</v>
      </c>
      <c r="J110" s="7">
        <v>0</v>
      </c>
      <c r="K110" s="7">
        <v>0</v>
      </c>
      <c r="L110" s="7">
        <v>0</v>
      </c>
      <c r="M110" s="7">
        <v>0</v>
      </c>
      <c r="N110" s="7">
        <v>0</v>
      </c>
      <c r="O110" s="7">
        <v>0</v>
      </c>
      <c r="P110" s="7">
        <v>0</v>
      </c>
      <c r="Q110" s="7">
        <v>0</v>
      </c>
    </row>
    <row r="111" spans="1:17">
      <c r="A111" s="2">
        <v>2059</v>
      </c>
      <c r="B111" s="7">
        <v>0</v>
      </c>
      <c r="C111" s="7">
        <v>0</v>
      </c>
      <c r="D111" s="7">
        <v>0</v>
      </c>
      <c r="E111" s="7">
        <v>0</v>
      </c>
      <c r="F111" s="7">
        <v>0</v>
      </c>
      <c r="G111" s="7">
        <v>0</v>
      </c>
      <c r="H111" s="7">
        <v>0</v>
      </c>
      <c r="I111" s="7">
        <v>0</v>
      </c>
      <c r="J111" s="7">
        <v>0</v>
      </c>
      <c r="K111" s="7">
        <v>0</v>
      </c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</row>
    <row r="112" spans="1:17">
      <c r="A112" s="2">
        <v>2060</v>
      </c>
      <c r="B112" s="7">
        <v>0</v>
      </c>
      <c r="C112" s="7">
        <v>0</v>
      </c>
      <c r="D112" s="7">
        <v>0</v>
      </c>
      <c r="E112" s="7">
        <v>0</v>
      </c>
      <c r="F112" s="7">
        <v>0</v>
      </c>
      <c r="G112" s="7">
        <v>0</v>
      </c>
      <c r="H112" s="7">
        <v>0</v>
      </c>
      <c r="I112" s="7">
        <v>0</v>
      </c>
      <c r="J112" s="7">
        <v>0</v>
      </c>
      <c r="K112" s="7">
        <v>0</v>
      </c>
      <c r="L112" s="7">
        <v>0</v>
      </c>
      <c r="M112" s="7">
        <v>0</v>
      </c>
      <c r="N112" s="7">
        <v>0</v>
      </c>
      <c r="O112" s="7">
        <v>0</v>
      </c>
      <c r="P112" s="7">
        <v>0</v>
      </c>
      <c r="Q112" s="7">
        <v>0</v>
      </c>
    </row>
    <row r="113" spans="1:17">
      <c r="A113" s="2">
        <v>2061</v>
      </c>
      <c r="B113" s="7">
        <v>0</v>
      </c>
      <c r="C113" s="7">
        <v>0</v>
      </c>
      <c r="D113" s="7">
        <v>0</v>
      </c>
      <c r="E113" s="7">
        <v>0</v>
      </c>
      <c r="F113" s="7">
        <v>0</v>
      </c>
      <c r="G113" s="7">
        <v>0</v>
      </c>
      <c r="H113" s="7">
        <v>0</v>
      </c>
      <c r="I113" s="7">
        <v>0</v>
      </c>
      <c r="J113" s="7">
        <v>0</v>
      </c>
      <c r="K113" s="7">
        <v>0</v>
      </c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</row>
    <row r="114" spans="1:17">
      <c r="A114" s="2">
        <v>2062</v>
      </c>
      <c r="B114" s="7">
        <v>0</v>
      </c>
      <c r="C114" s="7">
        <v>0</v>
      </c>
      <c r="D114" s="7">
        <v>0</v>
      </c>
      <c r="E114" s="7">
        <v>0</v>
      </c>
      <c r="F114" s="7">
        <v>0</v>
      </c>
      <c r="G114" s="7">
        <v>0</v>
      </c>
      <c r="H114" s="7">
        <v>0</v>
      </c>
      <c r="I114" s="7">
        <v>0</v>
      </c>
      <c r="J114" s="7">
        <v>0</v>
      </c>
      <c r="K114" s="7">
        <v>0</v>
      </c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</row>
    <row r="115" spans="1:17">
      <c r="A115" s="2">
        <v>2063</v>
      </c>
      <c r="B115" s="7">
        <v>0</v>
      </c>
      <c r="C115" s="7">
        <v>0</v>
      </c>
      <c r="D115" s="7">
        <v>0</v>
      </c>
      <c r="E115" s="7">
        <v>0</v>
      </c>
      <c r="F115" s="7">
        <v>0</v>
      </c>
      <c r="G115" s="7">
        <v>0</v>
      </c>
      <c r="H115" s="7">
        <v>0</v>
      </c>
      <c r="I115" s="7">
        <v>0</v>
      </c>
      <c r="J115" s="7">
        <v>0</v>
      </c>
      <c r="K115" s="7">
        <v>0</v>
      </c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</row>
    <row r="116" spans="1:17">
      <c r="A116" s="2">
        <v>2064</v>
      </c>
      <c r="B116" s="7">
        <v>0</v>
      </c>
      <c r="C116" s="7">
        <v>0</v>
      </c>
      <c r="D116" s="7">
        <v>0</v>
      </c>
      <c r="E116" s="7">
        <v>0</v>
      </c>
      <c r="F116" s="7">
        <v>0</v>
      </c>
      <c r="G116" s="7">
        <v>0</v>
      </c>
      <c r="H116" s="7">
        <v>0</v>
      </c>
      <c r="I116" s="7">
        <v>0</v>
      </c>
      <c r="J116" s="7">
        <v>0</v>
      </c>
      <c r="K116" s="7">
        <v>0</v>
      </c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</row>
    <row r="117" spans="1:17">
      <c r="A117" s="2">
        <v>2065</v>
      </c>
      <c r="B117" s="7">
        <v>0</v>
      </c>
      <c r="C117" s="7">
        <v>0</v>
      </c>
      <c r="D117" s="7">
        <v>0</v>
      </c>
      <c r="E117" s="7">
        <v>0</v>
      </c>
      <c r="F117" s="7">
        <v>0</v>
      </c>
      <c r="G117" s="7">
        <v>0</v>
      </c>
      <c r="H117" s="7">
        <v>0</v>
      </c>
      <c r="I117" s="7">
        <v>0</v>
      </c>
      <c r="J117" s="7">
        <v>0</v>
      </c>
      <c r="K117" s="7">
        <v>0</v>
      </c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</row>
    <row r="118" spans="1:17">
      <c r="A118" s="2">
        <v>2066</v>
      </c>
      <c r="B118" s="7">
        <v>0</v>
      </c>
      <c r="C118" s="7">
        <v>0</v>
      </c>
      <c r="D118" s="7">
        <v>0</v>
      </c>
      <c r="E118" s="7">
        <v>0</v>
      </c>
      <c r="F118" s="7">
        <v>0</v>
      </c>
      <c r="G118" s="7">
        <v>0</v>
      </c>
      <c r="H118" s="7">
        <v>0</v>
      </c>
      <c r="I118" s="7">
        <v>0</v>
      </c>
      <c r="J118" s="7">
        <v>0</v>
      </c>
      <c r="K118" s="7">
        <v>0</v>
      </c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</row>
    <row r="119" spans="1:17">
      <c r="A119" s="2">
        <v>2067</v>
      </c>
      <c r="B119" s="7">
        <v>0</v>
      </c>
      <c r="C119" s="7">
        <v>0</v>
      </c>
      <c r="D119" s="7">
        <v>0</v>
      </c>
      <c r="E119" s="7">
        <v>0</v>
      </c>
      <c r="F119" s="7">
        <v>0</v>
      </c>
      <c r="G119" s="7">
        <v>0</v>
      </c>
      <c r="H119" s="7">
        <v>0</v>
      </c>
      <c r="I119" s="7">
        <v>0</v>
      </c>
      <c r="J119" s="7">
        <v>0</v>
      </c>
      <c r="K119" s="7">
        <v>0</v>
      </c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</row>
    <row r="120" spans="1:17">
      <c r="A120" s="2">
        <v>2068</v>
      </c>
      <c r="B120" s="7">
        <v>0</v>
      </c>
      <c r="C120" s="7">
        <v>0</v>
      </c>
      <c r="D120" s="7">
        <v>0</v>
      </c>
      <c r="E120" s="7">
        <v>0</v>
      </c>
      <c r="F120" s="7">
        <v>0</v>
      </c>
      <c r="G120" s="7">
        <v>0</v>
      </c>
      <c r="H120" s="7">
        <v>0</v>
      </c>
      <c r="I120" s="7">
        <v>0</v>
      </c>
      <c r="J120" s="7">
        <v>0</v>
      </c>
      <c r="K120" s="7">
        <v>0</v>
      </c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</row>
    <row r="121" spans="1:17">
      <c r="A121" s="2">
        <v>2069</v>
      </c>
      <c r="B121" s="7">
        <v>0</v>
      </c>
      <c r="C121" s="7">
        <v>0</v>
      </c>
      <c r="D121" s="7">
        <v>0</v>
      </c>
      <c r="E121" s="7">
        <v>0</v>
      </c>
      <c r="F121" s="7">
        <v>0</v>
      </c>
      <c r="G121" s="7">
        <v>0</v>
      </c>
      <c r="H121" s="7">
        <v>0</v>
      </c>
      <c r="I121" s="7">
        <v>0</v>
      </c>
      <c r="J121" s="7">
        <v>0</v>
      </c>
      <c r="K121" s="7">
        <v>0</v>
      </c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</row>
    <row r="122" spans="1:17">
      <c r="A122" s="2">
        <v>2070</v>
      </c>
      <c r="B122" s="7">
        <v>0</v>
      </c>
      <c r="C122" s="7">
        <v>0</v>
      </c>
      <c r="D122" s="7">
        <v>0</v>
      </c>
      <c r="E122" s="7">
        <v>0</v>
      </c>
      <c r="F122" s="7">
        <v>0</v>
      </c>
      <c r="G122" s="7">
        <v>0</v>
      </c>
      <c r="H122" s="7">
        <v>0</v>
      </c>
      <c r="I122" s="7">
        <v>0</v>
      </c>
      <c r="J122" s="7">
        <v>0</v>
      </c>
      <c r="K122" s="7">
        <v>0</v>
      </c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</row>
    <row r="123" spans="1:17">
      <c r="A123" s="2">
        <v>2071</v>
      </c>
      <c r="B123" s="7">
        <v>0</v>
      </c>
      <c r="C123" s="7">
        <v>0</v>
      </c>
      <c r="D123" s="7">
        <v>0</v>
      </c>
      <c r="E123" s="7">
        <v>0</v>
      </c>
      <c r="F123" s="7">
        <v>0</v>
      </c>
      <c r="G123" s="7">
        <v>0</v>
      </c>
      <c r="H123" s="7">
        <v>0</v>
      </c>
      <c r="I123" s="7">
        <v>0</v>
      </c>
      <c r="J123" s="7">
        <v>0</v>
      </c>
      <c r="K123" s="7">
        <v>0</v>
      </c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</row>
    <row r="124" spans="1:17">
      <c r="A124" s="2">
        <v>2072</v>
      </c>
      <c r="B124" s="7">
        <v>0</v>
      </c>
      <c r="C124" s="7">
        <v>0</v>
      </c>
      <c r="D124" s="7">
        <v>0</v>
      </c>
      <c r="E124" s="7">
        <v>0</v>
      </c>
      <c r="F124" s="7">
        <v>0</v>
      </c>
      <c r="G124" s="7">
        <v>0</v>
      </c>
      <c r="H124" s="7">
        <v>0</v>
      </c>
      <c r="I124" s="7">
        <v>0</v>
      </c>
      <c r="J124" s="7">
        <v>0</v>
      </c>
      <c r="K124" s="7">
        <v>0</v>
      </c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</row>
    <row r="125" spans="1:17">
      <c r="A125" s="2">
        <v>2073</v>
      </c>
      <c r="B125" s="7">
        <v>0</v>
      </c>
      <c r="C125" s="7">
        <v>0</v>
      </c>
      <c r="D125" s="7">
        <v>0</v>
      </c>
      <c r="E125" s="7">
        <v>0</v>
      </c>
      <c r="F125" s="7">
        <v>0</v>
      </c>
      <c r="G125" s="7">
        <v>0</v>
      </c>
      <c r="H125" s="7">
        <v>0</v>
      </c>
      <c r="I125" s="7">
        <v>0</v>
      </c>
      <c r="J125" s="7">
        <v>0</v>
      </c>
      <c r="K125" s="7">
        <v>0</v>
      </c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</row>
    <row r="126" spans="1:17">
      <c r="A126" s="2">
        <v>2074</v>
      </c>
      <c r="B126" s="7">
        <v>0</v>
      </c>
      <c r="C126" s="7">
        <v>0</v>
      </c>
      <c r="D126" s="7">
        <v>0</v>
      </c>
      <c r="E126" s="7">
        <v>0</v>
      </c>
      <c r="F126" s="7">
        <v>0</v>
      </c>
      <c r="G126" s="7">
        <v>0</v>
      </c>
      <c r="H126" s="7">
        <v>0</v>
      </c>
      <c r="I126" s="7">
        <v>0</v>
      </c>
      <c r="J126" s="7">
        <v>0</v>
      </c>
      <c r="K126" s="7">
        <v>0</v>
      </c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</row>
    <row r="127" spans="1:17">
      <c r="A127" s="2">
        <v>2075</v>
      </c>
      <c r="B127" s="7">
        <v>0</v>
      </c>
      <c r="C127" s="7">
        <v>0</v>
      </c>
      <c r="D127" s="7">
        <v>0</v>
      </c>
      <c r="E127" s="7">
        <v>0</v>
      </c>
      <c r="F127" s="7">
        <v>0</v>
      </c>
      <c r="G127" s="7">
        <v>0</v>
      </c>
      <c r="H127" s="7">
        <v>0</v>
      </c>
      <c r="I127" s="7">
        <v>0</v>
      </c>
      <c r="J127" s="7">
        <v>0</v>
      </c>
      <c r="K127" s="7">
        <v>0</v>
      </c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</row>
    <row r="128" spans="1:17">
      <c r="A128" s="2">
        <v>2076</v>
      </c>
      <c r="B128" s="7">
        <v>0</v>
      </c>
      <c r="C128" s="7">
        <v>0</v>
      </c>
      <c r="D128" s="7">
        <v>0</v>
      </c>
      <c r="E128" s="7">
        <v>0</v>
      </c>
      <c r="F128" s="7">
        <v>0</v>
      </c>
      <c r="G128" s="7">
        <v>0</v>
      </c>
      <c r="H128" s="7">
        <v>0</v>
      </c>
      <c r="I128" s="7">
        <v>0</v>
      </c>
      <c r="J128" s="7">
        <v>0</v>
      </c>
      <c r="K128" s="7">
        <v>0</v>
      </c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</row>
    <row r="129" spans="1:17">
      <c r="A129" s="2">
        <v>2077</v>
      </c>
      <c r="B129" s="7">
        <v>0</v>
      </c>
      <c r="C129" s="7">
        <v>0</v>
      </c>
      <c r="D129" s="7">
        <v>0</v>
      </c>
      <c r="E129" s="7">
        <v>0</v>
      </c>
      <c r="F129" s="7">
        <v>0</v>
      </c>
      <c r="G129" s="7">
        <v>0</v>
      </c>
      <c r="H129" s="7">
        <v>0</v>
      </c>
      <c r="I129" s="7">
        <v>0</v>
      </c>
      <c r="J129" s="7">
        <v>0</v>
      </c>
      <c r="K129" s="7">
        <v>0</v>
      </c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</row>
    <row r="130" spans="1:17">
      <c r="A130" s="2">
        <v>2078</v>
      </c>
      <c r="B130" s="7">
        <v>0</v>
      </c>
      <c r="C130" s="7">
        <v>0</v>
      </c>
      <c r="D130" s="7">
        <v>0</v>
      </c>
      <c r="E130" s="7">
        <v>0</v>
      </c>
      <c r="F130" s="7">
        <v>0</v>
      </c>
      <c r="G130" s="7">
        <v>0</v>
      </c>
      <c r="H130" s="7">
        <v>0</v>
      </c>
      <c r="I130" s="7">
        <v>0</v>
      </c>
      <c r="J130" s="7">
        <v>0</v>
      </c>
      <c r="K130" s="7">
        <v>0</v>
      </c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</row>
    <row r="131" spans="1:17">
      <c r="A131" s="2">
        <v>2079</v>
      </c>
      <c r="B131" s="7">
        <v>0</v>
      </c>
      <c r="C131" s="7">
        <v>0</v>
      </c>
      <c r="D131" s="7">
        <v>0</v>
      </c>
      <c r="E131" s="7">
        <v>0</v>
      </c>
      <c r="F131" s="7">
        <v>0</v>
      </c>
      <c r="G131" s="7">
        <v>0</v>
      </c>
      <c r="H131" s="7">
        <v>0</v>
      </c>
      <c r="I131" s="7">
        <v>0</v>
      </c>
      <c r="J131" s="7">
        <v>0</v>
      </c>
      <c r="K131" s="7">
        <v>0</v>
      </c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</row>
    <row r="132" spans="1:17">
      <c r="A132" s="2">
        <v>2080</v>
      </c>
      <c r="B132" s="7">
        <v>0</v>
      </c>
      <c r="C132" s="7">
        <v>0</v>
      </c>
      <c r="D132" s="7">
        <v>0</v>
      </c>
      <c r="E132" s="7">
        <v>0</v>
      </c>
      <c r="F132" s="7">
        <v>0</v>
      </c>
      <c r="G132" s="7">
        <v>0</v>
      </c>
      <c r="H132" s="7">
        <v>0</v>
      </c>
      <c r="I132" s="7">
        <v>0</v>
      </c>
      <c r="J132" s="7">
        <v>0</v>
      </c>
      <c r="K132" s="7">
        <v>0</v>
      </c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</row>
    <row r="133" spans="1:17">
      <c r="A133" s="2">
        <v>2081</v>
      </c>
      <c r="B133" s="7">
        <v>0</v>
      </c>
      <c r="C133" s="7">
        <v>0</v>
      </c>
      <c r="D133" s="7">
        <v>0</v>
      </c>
      <c r="E133" s="7">
        <v>0</v>
      </c>
      <c r="F133" s="7">
        <v>0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</row>
    <row r="134" spans="1:17">
      <c r="A134" s="2">
        <v>2082</v>
      </c>
      <c r="B134" s="7">
        <v>0</v>
      </c>
      <c r="C134" s="7">
        <v>0</v>
      </c>
      <c r="D134" s="7">
        <v>0</v>
      </c>
      <c r="E134" s="7">
        <v>0</v>
      </c>
      <c r="F134" s="7">
        <v>0</v>
      </c>
      <c r="G134" s="7">
        <v>0</v>
      </c>
      <c r="H134" s="7">
        <v>0</v>
      </c>
      <c r="I134" s="7">
        <v>0</v>
      </c>
      <c r="J134" s="7">
        <v>0</v>
      </c>
      <c r="K134" s="7">
        <v>0</v>
      </c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</row>
    <row r="135" spans="1:17">
      <c r="A135" s="2">
        <v>2083</v>
      </c>
      <c r="B135" s="7">
        <v>0</v>
      </c>
      <c r="C135" s="7">
        <v>0</v>
      </c>
      <c r="D135" s="7">
        <v>0</v>
      </c>
      <c r="E135" s="7">
        <v>0</v>
      </c>
      <c r="F135" s="7">
        <v>0</v>
      </c>
      <c r="G135" s="7">
        <v>0</v>
      </c>
      <c r="H135" s="7">
        <v>0</v>
      </c>
      <c r="I135" s="7">
        <v>0</v>
      </c>
      <c r="J135" s="7">
        <v>0</v>
      </c>
      <c r="K135" s="7">
        <v>0</v>
      </c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</row>
    <row r="136" spans="1:17">
      <c r="A136" s="2">
        <v>2084</v>
      </c>
      <c r="B136" s="7">
        <v>0</v>
      </c>
      <c r="C136" s="7">
        <v>0</v>
      </c>
      <c r="D136" s="7">
        <v>0</v>
      </c>
      <c r="E136" s="7">
        <v>0</v>
      </c>
      <c r="F136" s="7">
        <v>0</v>
      </c>
      <c r="G136" s="7">
        <v>0</v>
      </c>
      <c r="H136" s="7">
        <v>0</v>
      </c>
      <c r="I136" s="7">
        <v>0</v>
      </c>
      <c r="J136" s="7">
        <v>0</v>
      </c>
      <c r="K136" s="7">
        <v>0</v>
      </c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</row>
    <row r="137" spans="1:17">
      <c r="A137" s="2">
        <v>2085</v>
      </c>
      <c r="B137" s="7">
        <v>0</v>
      </c>
      <c r="C137" s="7">
        <v>0</v>
      </c>
      <c r="D137" s="7">
        <v>0</v>
      </c>
      <c r="E137" s="7">
        <v>0</v>
      </c>
      <c r="F137" s="7">
        <v>0</v>
      </c>
      <c r="G137" s="7">
        <v>0</v>
      </c>
      <c r="H137" s="7">
        <v>0</v>
      </c>
      <c r="I137" s="7">
        <v>0</v>
      </c>
      <c r="J137" s="7">
        <v>0</v>
      </c>
      <c r="K137" s="7">
        <v>0</v>
      </c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</row>
    <row r="138" spans="1:17">
      <c r="A138" s="2">
        <v>2086</v>
      </c>
      <c r="B138" s="7">
        <v>0</v>
      </c>
      <c r="C138" s="7">
        <v>0</v>
      </c>
      <c r="D138" s="7">
        <v>0</v>
      </c>
      <c r="E138" s="7">
        <v>0</v>
      </c>
      <c r="F138" s="7">
        <v>0</v>
      </c>
      <c r="G138" s="7">
        <v>0</v>
      </c>
      <c r="H138" s="7">
        <v>0</v>
      </c>
      <c r="I138" s="7">
        <v>0</v>
      </c>
      <c r="J138" s="7">
        <v>0</v>
      </c>
      <c r="K138" s="7">
        <v>0</v>
      </c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</row>
    <row r="139" spans="1:17">
      <c r="A139" s="2">
        <v>2087</v>
      </c>
      <c r="B139" s="7">
        <v>0</v>
      </c>
      <c r="C139" s="7">
        <v>0</v>
      </c>
      <c r="D139" s="7">
        <v>0</v>
      </c>
      <c r="E139" s="7">
        <v>0</v>
      </c>
      <c r="F139" s="7">
        <v>0</v>
      </c>
      <c r="G139" s="7">
        <v>0</v>
      </c>
      <c r="H139" s="7">
        <v>0</v>
      </c>
      <c r="I139" s="7">
        <v>0</v>
      </c>
      <c r="J139" s="7">
        <v>0</v>
      </c>
      <c r="K139" s="7">
        <v>0</v>
      </c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</row>
    <row r="140" spans="1:17">
      <c r="A140" s="2">
        <v>2088</v>
      </c>
      <c r="B140" s="7">
        <v>0</v>
      </c>
      <c r="C140" s="7">
        <v>0</v>
      </c>
      <c r="D140" s="7">
        <v>0</v>
      </c>
      <c r="E140" s="7">
        <v>0</v>
      </c>
      <c r="F140" s="7">
        <v>0</v>
      </c>
      <c r="G140" s="7">
        <v>0</v>
      </c>
      <c r="H140" s="7">
        <v>0</v>
      </c>
      <c r="I140" s="7">
        <v>0</v>
      </c>
      <c r="J140" s="7">
        <v>0</v>
      </c>
      <c r="K140" s="7">
        <v>0</v>
      </c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</row>
    <row r="141" spans="1:17">
      <c r="A141" s="2">
        <v>2089</v>
      </c>
      <c r="B141" s="7">
        <v>0</v>
      </c>
      <c r="C141" s="7">
        <v>0</v>
      </c>
      <c r="D141" s="7">
        <v>0</v>
      </c>
      <c r="E141" s="7">
        <v>0</v>
      </c>
      <c r="F141" s="7">
        <v>0</v>
      </c>
      <c r="G141" s="7">
        <v>0</v>
      </c>
      <c r="H141" s="7">
        <v>0</v>
      </c>
      <c r="I141" s="7">
        <v>0</v>
      </c>
      <c r="J141" s="7">
        <v>0</v>
      </c>
      <c r="K141" s="7">
        <v>0</v>
      </c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</row>
    <row r="142" spans="1:17">
      <c r="A142" s="2">
        <v>2090</v>
      </c>
      <c r="B142" s="7">
        <v>0</v>
      </c>
      <c r="C142" s="7">
        <v>0</v>
      </c>
      <c r="D142" s="7">
        <v>0</v>
      </c>
      <c r="E142" s="7">
        <v>0</v>
      </c>
      <c r="F142" s="7">
        <v>0</v>
      </c>
      <c r="G142" s="7">
        <v>0</v>
      </c>
      <c r="H142" s="7">
        <v>0</v>
      </c>
      <c r="I142" s="7">
        <v>0</v>
      </c>
      <c r="J142" s="7">
        <v>0</v>
      </c>
      <c r="K142" s="7">
        <v>0</v>
      </c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</row>
    <row r="143" spans="1:17">
      <c r="A143" s="2">
        <v>2091</v>
      </c>
      <c r="B143" s="7">
        <v>0</v>
      </c>
      <c r="C143" s="7">
        <v>0</v>
      </c>
      <c r="D143" s="7">
        <v>0</v>
      </c>
      <c r="E143" s="7">
        <v>0</v>
      </c>
      <c r="F143" s="7">
        <v>0</v>
      </c>
      <c r="G143" s="7">
        <v>0</v>
      </c>
      <c r="H143" s="7">
        <v>0</v>
      </c>
      <c r="I143" s="7">
        <v>0</v>
      </c>
      <c r="J143" s="7">
        <v>0</v>
      </c>
      <c r="K143" s="7">
        <v>0</v>
      </c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</row>
    <row r="144" spans="1:17">
      <c r="A144" s="2">
        <v>2092</v>
      </c>
      <c r="B144" s="7">
        <v>0</v>
      </c>
      <c r="C144" s="7">
        <v>0</v>
      </c>
      <c r="D144" s="7">
        <v>0</v>
      </c>
      <c r="E144" s="7">
        <v>0</v>
      </c>
      <c r="F144" s="7">
        <v>0</v>
      </c>
      <c r="G144" s="7">
        <v>0</v>
      </c>
      <c r="H144" s="7">
        <v>0</v>
      </c>
      <c r="I144" s="7">
        <v>0</v>
      </c>
      <c r="J144" s="7">
        <v>0</v>
      </c>
      <c r="K144" s="7">
        <v>0</v>
      </c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</row>
    <row r="145" spans="1:17">
      <c r="A145" s="2">
        <v>2093</v>
      </c>
      <c r="B145" s="7">
        <v>0</v>
      </c>
      <c r="C145" s="7">
        <v>0</v>
      </c>
      <c r="D145" s="7">
        <v>0</v>
      </c>
      <c r="E145" s="7">
        <v>0</v>
      </c>
      <c r="F145" s="7">
        <v>0</v>
      </c>
      <c r="G145" s="7">
        <v>0</v>
      </c>
      <c r="H145" s="7">
        <v>0</v>
      </c>
      <c r="I145" s="7">
        <v>0</v>
      </c>
      <c r="J145" s="7">
        <v>0</v>
      </c>
      <c r="K145" s="7">
        <v>0</v>
      </c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</row>
    <row r="146" spans="1:17">
      <c r="A146" s="2">
        <v>2094</v>
      </c>
      <c r="B146" s="7">
        <v>0</v>
      </c>
      <c r="C146" s="7">
        <v>0</v>
      </c>
      <c r="D146" s="7">
        <v>0</v>
      </c>
      <c r="E146" s="7">
        <v>0</v>
      </c>
      <c r="F146" s="7">
        <v>0</v>
      </c>
      <c r="G146" s="7">
        <v>0</v>
      </c>
      <c r="H146" s="7">
        <v>0</v>
      </c>
      <c r="I146" s="7">
        <v>0</v>
      </c>
      <c r="J146" s="7">
        <v>0</v>
      </c>
      <c r="K146" s="7">
        <v>0</v>
      </c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</row>
    <row r="147" spans="1:17">
      <c r="A147" s="2">
        <v>2095</v>
      </c>
      <c r="B147" s="7">
        <v>0</v>
      </c>
      <c r="C147" s="7">
        <v>0</v>
      </c>
      <c r="D147" s="7">
        <v>0</v>
      </c>
      <c r="E147" s="7">
        <v>0</v>
      </c>
      <c r="F147" s="7">
        <v>0</v>
      </c>
      <c r="G147" s="7">
        <v>0</v>
      </c>
      <c r="H147" s="7">
        <v>0</v>
      </c>
      <c r="I147" s="7">
        <v>0</v>
      </c>
      <c r="J147" s="7">
        <v>0</v>
      </c>
      <c r="K147" s="7">
        <v>0</v>
      </c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</row>
    <row r="148" spans="1:17">
      <c r="A148" s="2">
        <v>2096</v>
      </c>
      <c r="B148" s="7">
        <v>0</v>
      </c>
      <c r="C148" s="7">
        <v>0</v>
      </c>
      <c r="D148" s="7">
        <v>0</v>
      </c>
      <c r="E148" s="7">
        <v>0</v>
      </c>
      <c r="F148" s="7">
        <v>0</v>
      </c>
      <c r="G148" s="7">
        <v>0</v>
      </c>
      <c r="H148" s="7">
        <v>0</v>
      </c>
      <c r="I148" s="7">
        <v>0</v>
      </c>
      <c r="J148" s="7">
        <v>0</v>
      </c>
      <c r="K148" s="7">
        <v>0</v>
      </c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</row>
    <row r="149" spans="1:17">
      <c r="A149" s="2">
        <v>2097</v>
      </c>
      <c r="B149" s="7">
        <v>0</v>
      </c>
      <c r="C149" s="7">
        <v>0</v>
      </c>
      <c r="D149" s="7">
        <v>0</v>
      </c>
      <c r="E149" s="7">
        <v>0</v>
      </c>
      <c r="F149" s="7">
        <v>0</v>
      </c>
      <c r="G149" s="7">
        <v>0</v>
      </c>
      <c r="H149" s="7">
        <v>0</v>
      </c>
      <c r="I149" s="7">
        <v>0</v>
      </c>
      <c r="J149" s="7">
        <v>0</v>
      </c>
      <c r="K149" s="7">
        <v>0</v>
      </c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</row>
    <row r="150" spans="1:17">
      <c r="A150" s="2">
        <v>2098</v>
      </c>
      <c r="B150" s="7">
        <v>0</v>
      </c>
      <c r="C150" s="7">
        <v>0</v>
      </c>
      <c r="D150" s="7">
        <v>0</v>
      </c>
      <c r="E150" s="7">
        <v>0</v>
      </c>
      <c r="F150" s="7">
        <v>0</v>
      </c>
      <c r="G150" s="7">
        <v>0</v>
      </c>
      <c r="H150" s="7">
        <v>0</v>
      </c>
      <c r="I150" s="7">
        <v>0</v>
      </c>
      <c r="J150" s="7">
        <v>0</v>
      </c>
      <c r="K150" s="7">
        <v>0</v>
      </c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</row>
    <row r="151" spans="1:17">
      <c r="A151" s="2">
        <v>2099</v>
      </c>
      <c r="B151" s="7">
        <v>0</v>
      </c>
      <c r="C151" s="7">
        <v>0</v>
      </c>
      <c r="D151" s="7">
        <v>0</v>
      </c>
      <c r="E151" s="7">
        <v>0</v>
      </c>
      <c r="F151" s="7">
        <v>0</v>
      </c>
      <c r="G151" s="7">
        <v>0</v>
      </c>
      <c r="H151" s="7">
        <v>0</v>
      </c>
      <c r="I151" s="7">
        <v>0</v>
      </c>
      <c r="J151" s="7">
        <v>0</v>
      </c>
      <c r="K151" s="7">
        <v>0</v>
      </c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</row>
    <row r="152" spans="1:17">
      <c r="A152" s="2">
        <v>2100</v>
      </c>
      <c r="B152" s="7">
        <v>0</v>
      </c>
      <c r="C152" s="7">
        <v>0</v>
      </c>
      <c r="D152" s="7">
        <v>0</v>
      </c>
      <c r="E152" s="7">
        <v>0</v>
      </c>
      <c r="F152" s="7">
        <v>0</v>
      </c>
      <c r="G152" s="7">
        <v>0</v>
      </c>
      <c r="H152" s="7">
        <v>0</v>
      </c>
      <c r="I152" s="7">
        <v>0</v>
      </c>
      <c r="J152" s="7">
        <v>0</v>
      </c>
      <c r="K152" s="7">
        <v>0</v>
      </c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</row>
    <row r="153" spans="1:17">
      <c r="A153" s="2">
        <v>2101</v>
      </c>
      <c r="B153" s="7">
        <v>0</v>
      </c>
      <c r="C153" s="7">
        <v>0</v>
      </c>
      <c r="D153" s="7">
        <v>0</v>
      </c>
      <c r="E153" s="7">
        <v>0</v>
      </c>
      <c r="F153" s="7">
        <v>0</v>
      </c>
      <c r="G153" s="7">
        <v>0</v>
      </c>
      <c r="H153" s="7">
        <v>0</v>
      </c>
      <c r="I153" s="7">
        <v>0</v>
      </c>
      <c r="J153" s="7">
        <v>0</v>
      </c>
      <c r="K153" s="7">
        <v>0</v>
      </c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</row>
    <row r="154" spans="1:17">
      <c r="A154" s="2">
        <v>2102</v>
      </c>
      <c r="B154" s="7">
        <v>0</v>
      </c>
      <c r="C154" s="7">
        <v>0</v>
      </c>
      <c r="D154" s="7">
        <v>0</v>
      </c>
      <c r="E154" s="7">
        <v>0</v>
      </c>
      <c r="F154" s="7">
        <v>0</v>
      </c>
      <c r="G154" s="7">
        <v>0</v>
      </c>
      <c r="H154" s="7">
        <v>0</v>
      </c>
      <c r="I154" s="7">
        <v>0</v>
      </c>
      <c r="J154" s="7">
        <v>0</v>
      </c>
      <c r="K154" s="7">
        <v>0</v>
      </c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</row>
    <row r="155" spans="1:17">
      <c r="A155" s="2">
        <v>2103</v>
      </c>
      <c r="B155" s="7">
        <v>0</v>
      </c>
      <c r="C155" s="7">
        <v>0</v>
      </c>
      <c r="D155" s="7">
        <v>0</v>
      </c>
      <c r="E155" s="7">
        <v>0</v>
      </c>
      <c r="F155" s="7">
        <v>0</v>
      </c>
      <c r="G155" s="7">
        <v>0</v>
      </c>
      <c r="H155" s="7">
        <v>0</v>
      </c>
      <c r="I155" s="7">
        <v>0</v>
      </c>
      <c r="J155" s="7">
        <v>0</v>
      </c>
      <c r="K155" s="7">
        <v>0</v>
      </c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</row>
    <row r="156" spans="1:17">
      <c r="A156" s="2">
        <v>2104</v>
      </c>
      <c r="B156" s="7">
        <v>0</v>
      </c>
      <c r="C156" s="7">
        <v>0</v>
      </c>
      <c r="D156" s="7">
        <v>0</v>
      </c>
      <c r="E156" s="7">
        <v>0</v>
      </c>
      <c r="F156" s="7">
        <v>0</v>
      </c>
      <c r="G156" s="7">
        <v>0</v>
      </c>
      <c r="H156" s="7">
        <v>0</v>
      </c>
      <c r="I156" s="7">
        <v>0</v>
      </c>
      <c r="J156" s="7">
        <v>0</v>
      </c>
      <c r="K156" s="7">
        <v>0</v>
      </c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</row>
    <row r="157" spans="1:17">
      <c r="A157" s="2">
        <v>2105</v>
      </c>
      <c r="B157" s="7">
        <v>0</v>
      </c>
      <c r="C157" s="7">
        <v>0</v>
      </c>
      <c r="D157" s="7">
        <v>0</v>
      </c>
      <c r="E157" s="7">
        <v>0</v>
      </c>
      <c r="F157" s="7">
        <v>0</v>
      </c>
      <c r="G157" s="7">
        <v>0</v>
      </c>
      <c r="H157" s="7">
        <v>0</v>
      </c>
      <c r="I157" s="7">
        <v>0</v>
      </c>
      <c r="J157" s="7">
        <v>0</v>
      </c>
      <c r="K157" s="7">
        <v>0</v>
      </c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</row>
    <row r="158" spans="1:17">
      <c r="A158" s="2">
        <v>2106</v>
      </c>
      <c r="B158" s="7">
        <v>0</v>
      </c>
      <c r="C158" s="7">
        <v>0</v>
      </c>
      <c r="D158" s="7">
        <v>0</v>
      </c>
      <c r="E158" s="7">
        <v>0</v>
      </c>
      <c r="F158" s="7">
        <v>0</v>
      </c>
      <c r="G158" s="7">
        <v>0</v>
      </c>
      <c r="H158" s="7">
        <v>0</v>
      </c>
      <c r="I158" s="7">
        <v>0</v>
      </c>
      <c r="J158" s="7">
        <v>0</v>
      </c>
      <c r="K158" s="7">
        <v>0</v>
      </c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</row>
    <row r="159" spans="1:17">
      <c r="A159" s="2">
        <v>2107</v>
      </c>
      <c r="B159" s="7">
        <v>0</v>
      </c>
      <c r="C159" s="7">
        <v>0</v>
      </c>
      <c r="D159" s="7">
        <v>0</v>
      </c>
      <c r="E159" s="7">
        <v>0</v>
      </c>
      <c r="F159" s="7">
        <v>0</v>
      </c>
      <c r="G159" s="7">
        <v>0</v>
      </c>
      <c r="H159" s="7">
        <v>0</v>
      </c>
      <c r="I159" s="7">
        <v>0</v>
      </c>
      <c r="J159" s="7">
        <v>0</v>
      </c>
      <c r="K159" s="7">
        <v>0</v>
      </c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</row>
    <row r="160" spans="1:17">
      <c r="A160" s="2">
        <v>2108</v>
      </c>
      <c r="B160" s="7">
        <v>0</v>
      </c>
      <c r="C160" s="7">
        <v>0</v>
      </c>
      <c r="D160" s="7">
        <v>0</v>
      </c>
      <c r="E160" s="7">
        <v>0</v>
      </c>
      <c r="F160" s="7">
        <v>0</v>
      </c>
      <c r="G160" s="7">
        <v>0</v>
      </c>
      <c r="H160" s="7">
        <v>0</v>
      </c>
      <c r="I160" s="7">
        <v>0</v>
      </c>
      <c r="J160" s="7">
        <v>0</v>
      </c>
      <c r="K160" s="7">
        <v>0</v>
      </c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</row>
    <row r="161" spans="1:17">
      <c r="A161" s="2">
        <v>2109</v>
      </c>
      <c r="B161" s="7">
        <v>0</v>
      </c>
      <c r="C161" s="7">
        <v>0</v>
      </c>
      <c r="D161" s="7">
        <v>0</v>
      </c>
      <c r="E161" s="7">
        <v>0</v>
      </c>
      <c r="F161" s="7">
        <v>0</v>
      </c>
      <c r="G161" s="7">
        <v>0</v>
      </c>
      <c r="H161" s="7">
        <v>0</v>
      </c>
      <c r="I161" s="7">
        <v>0</v>
      </c>
      <c r="J161" s="7">
        <v>0</v>
      </c>
      <c r="K161" s="7">
        <v>0</v>
      </c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</row>
    <row r="162" spans="1:17">
      <c r="A162" s="2">
        <v>2110</v>
      </c>
      <c r="B162" s="7">
        <v>0</v>
      </c>
      <c r="C162" s="7">
        <v>0</v>
      </c>
      <c r="D162" s="7">
        <v>0</v>
      </c>
      <c r="E162" s="7">
        <v>0</v>
      </c>
      <c r="F162" s="7">
        <v>0</v>
      </c>
      <c r="G162" s="7">
        <v>0</v>
      </c>
      <c r="H162" s="7">
        <v>0</v>
      </c>
      <c r="I162" s="7">
        <v>0</v>
      </c>
      <c r="J162" s="7">
        <v>0</v>
      </c>
      <c r="K162" s="7">
        <v>0</v>
      </c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</row>
    <row r="163" spans="1:17">
      <c r="A163" s="2">
        <v>2111</v>
      </c>
      <c r="B163" s="7">
        <v>0</v>
      </c>
      <c r="C163" s="7">
        <v>0</v>
      </c>
      <c r="D163" s="7">
        <v>0</v>
      </c>
      <c r="E163" s="7">
        <v>0</v>
      </c>
      <c r="F163" s="7">
        <v>0</v>
      </c>
      <c r="G163" s="7">
        <v>0</v>
      </c>
      <c r="H163" s="7">
        <v>0</v>
      </c>
      <c r="I163" s="7">
        <v>0</v>
      </c>
      <c r="J163" s="7">
        <v>0</v>
      </c>
      <c r="K163" s="7">
        <v>0</v>
      </c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</row>
    <row r="164" spans="1:17">
      <c r="A164" s="2">
        <v>2112</v>
      </c>
      <c r="B164" s="7">
        <v>0</v>
      </c>
      <c r="C164" s="7">
        <v>0</v>
      </c>
      <c r="D164" s="7">
        <v>0</v>
      </c>
      <c r="E164" s="7">
        <v>0</v>
      </c>
      <c r="F164" s="7">
        <v>0</v>
      </c>
      <c r="G164" s="7">
        <v>0</v>
      </c>
      <c r="H164" s="7">
        <v>0</v>
      </c>
      <c r="I164" s="7">
        <v>0</v>
      </c>
      <c r="J164" s="7">
        <v>0</v>
      </c>
      <c r="K164" s="7">
        <v>0</v>
      </c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</row>
    <row r="165" spans="1:17">
      <c r="A165" s="2">
        <v>2113</v>
      </c>
      <c r="B165" s="7">
        <v>0</v>
      </c>
      <c r="C165" s="7">
        <v>0</v>
      </c>
      <c r="D165" s="7">
        <v>0</v>
      </c>
      <c r="E165" s="7">
        <v>0</v>
      </c>
      <c r="F165" s="7">
        <v>0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</row>
    <row r="166" spans="1:17">
      <c r="A166" s="2">
        <v>2114</v>
      </c>
      <c r="B166" s="7">
        <v>0</v>
      </c>
      <c r="C166" s="7">
        <v>0</v>
      </c>
      <c r="D166" s="7">
        <v>0</v>
      </c>
      <c r="E166" s="7">
        <v>0</v>
      </c>
      <c r="F166" s="7">
        <v>0</v>
      </c>
      <c r="G166" s="7">
        <v>0</v>
      </c>
      <c r="H166" s="7">
        <v>0</v>
      </c>
      <c r="I166" s="7">
        <v>0</v>
      </c>
      <c r="J166" s="7">
        <v>0</v>
      </c>
      <c r="K166" s="7">
        <v>0</v>
      </c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</row>
    <row r="167" spans="1:17">
      <c r="A167" s="2">
        <v>2115</v>
      </c>
      <c r="B167" s="7">
        <v>0</v>
      </c>
      <c r="C167" s="7">
        <v>0</v>
      </c>
      <c r="D167" s="7">
        <v>0</v>
      </c>
      <c r="E167" s="7">
        <v>0</v>
      </c>
      <c r="F167" s="7">
        <v>0</v>
      </c>
      <c r="G167" s="7">
        <v>0</v>
      </c>
      <c r="H167" s="7">
        <v>0</v>
      </c>
      <c r="I167" s="7">
        <v>0</v>
      </c>
      <c r="J167" s="7">
        <v>0</v>
      </c>
      <c r="K167" s="7">
        <v>0</v>
      </c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</row>
    <row r="168" spans="1:17">
      <c r="A168" s="2">
        <v>2116</v>
      </c>
      <c r="B168" s="7">
        <v>0</v>
      </c>
      <c r="C168" s="7">
        <v>0</v>
      </c>
      <c r="D168" s="7">
        <v>0</v>
      </c>
      <c r="E168" s="7">
        <v>0</v>
      </c>
      <c r="F168" s="7">
        <v>0</v>
      </c>
      <c r="G168" s="7">
        <v>0</v>
      </c>
      <c r="H168" s="7">
        <v>0</v>
      </c>
      <c r="I168" s="7">
        <v>0</v>
      </c>
      <c r="J168" s="7">
        <v>0</v>
      </c>
      <c r="K168" s="7">
        <v>0</v>
      </c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</row>
    <row r="169" spans="1:17">
      <c r="A169" s="2">
        <v>2117</v>
      </c>
      <c r="B169" s="7">
        <v>0</v>
      </c>
      <c r="C169" s="7">
        <v>0</v>
      </c>
      <c r="D169" s="7">
        <v>0</v>
      </c>
      <c r="E169" s="7">
        <v>0</v>
      </c>
      <c r="F169" s="7">
        <v>0</v>
      </c>
      <c r="G169" s="7">
        <v>0</v>
      </c>
      <c r="H169" s="7">
        <v>0</v>
      </c>
      <c r="I169" s="7">
        <v>0</v>
      </c>
      <c r="J169" s="7">
        <v>0</v>
      </c>
      <c r="K169" s="7">
        <v>0</v>
      </c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</row>
    <row r="170" spans="1:17">
      <c r="A170" s="2">
        <v>2118</v>
      </c>
      <c r="B170" s="7">
        <v>0</v>
      </c>
      <c r="C170" s="7">
        <v>0</v>
      </c>
      <c r="D170" s="7">
        <v>0</v>
      </c>
      <c r="E170" s="7">
        <v>0</v>
      </c>
      <c r="F170" s="7">
        <v>0</v>
      </c>
      <c r="G170" s="7">
        <v>0</v>
      </c>
      <c r="H170" s="7">
        <v>0</v>
      </c>
      <c r="I170" s="7">
        <v>0</v>
      </c>
      <c r="J170" s="7">
        <v>0</v>
      </c>
      <c r="K170" s="7">
        <v>0</v>
      </c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</row>
    <row r="171" spans="1:17">
      <c r="A171" s="2">
        <v>2119</v>
      </c>
      <c r="B171" s="7">
        <v>0</v>
      </c>
      <c r="C171" s="7">
        <v>0</v>
      </c>
      <c r="D171" s="7">
        <v>0</v>
      </c>
      <c r="E171" s="7">
        <v>0</v>
      </c>
      <c r="F171" s="7">
        <v>0</v>
      </c>
      <c r="G171" s="7">
        <v>0</v>
      </c>
      <c r="H171" s="7">
        <v>0</v>
      </c>
      <c r="I171" s="7">
        <v>0</v>
      </c>
      <c r="J171" s="7">
        <v>0</v>
      </c>
      <c r="K171" s="7">
        <v>0</v>
      </c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</row>
    <row r="172" spans="1:17">
      <c r="A172" s="2">
        <v>2120</v>
      </c>
      <c r="B172" s="7">
        <v>0</v>
      </c>
      <c r="C172" s="7">
        <v>0</v>
      </c>
      <c r="D172" s="7">
        <v>0</v>
      </c>
      <c r="E172" s="7">
        <v>0</v>
      </c>
      <c r="F172" s="7">
        <v>0</v>
      </c>
      <c r="G172" s="7">
        <v>0</v>
      </c>
      <c r="H172" s="7">
        <v>0</v>
      </c>
      <c r="I172" s="7">
        <v>0</v>
      </c>
      <c r="J172" s="7">
        <v>0</v>
      </c>
      <c r="K172" s="7">
        <v>0</v>
      </c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</row>
    <row r="173" spans="1:17">
      <c r="A173" s="2">
        <v>2121</v>
      </c>
      <c r="B173" s="7">
        <v>0</v>
      </c>
      <c r="C173" s="7">
        <v>0</v>
      </c>
      <c r="D173" s="7">
        <v>0</v>
      </c>
      <c r="E173" s="7">
        <v>0</v>
      </c>
      <c r="F173" s="7">
        <v>0</v>
      </c>
      <c r="G173" s="7">
        <v>0</v>
      </c>
      <c r="H173" s="7">
        <v>0</v>
      </c>
      <c r="I173" s="7">
        <v>0</v>
      </c>
      <c r="J173" s="7">
        <v>0</v>
      </c>
      <c r="K173" s="7">
        <v>0</v>
      </c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</row>
    <row r="174" spans="1:17">
      <c r="A174" s="2">
        <v>2122</v>
      </c>
      <c r="B174" s="7">
        <v>0</v>
      </c>
      <c r="C174" s="7">
        <v>0</v>
      </c>
      <c r="D174" s="7">
        <v>0</v>
      </c>
      <c r="E174" s="7">
        <v>0</v>
      </c>
      <c r="F174" s="7">
        <v>0</v>
      </c>
      <c r="G174" s="7">
        <v>0</v>
      </c>
      <c r="H174" s="7">
        <v>0</v>
      </c>
      <c r="I174" s="7">
        <v>0</v>
      </c>
      <c r="J174" s="7">
        <v>0</v>
      </c>
      <c r="K174" s="7">
        <v>0</v>
      </c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</row>
    <row r="175" spans="1:17">
      <c r="A175" s="2">
        <v>2123</v>
      </c>
      <c r="B175" s="7">
        <v>0</v>
      </c>
      <c r="C175" s="7">
        <v>0</v>
      </c>
      <c r="D175" s="7">
        <v>0</v>
      </c>
      <c r="E175" s="7">
        <v>0</v>
      </c>
      <c r="F175" s="7">
        <v>0</v>
      </c>
      <c r="G175" s="7">
        <v>0</v>
      </c>
      <c r="H175" s="7">
        <v>0</v>
      </c>
      <c r="I175" s="7">
        <v>0</v>
      </c>
      <c r="J175" s="7">
        <v>0</v>
      </c>
      <c r="K175" s="7">
        <v>0</v>
      </c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</row>
    <row r="176" spans="1:17">
      <c r="A176" s="2">
        <v>2124</v>
      </c>
      <c r="B176" s="7">
        <v>0</v>
      </c>
      <c r="C176" s="7">
        <v>0</v>
      </c>
      <c r="D176" s="7">
        <v>0</v>
      </c>
      <c r="E176" s="7">
        <v>0</v>
      </c>
      <c r="F176" s="7">
        <v>0</v>
      </c>
      <c r="G176" s="7">
        <v>0</v>
      </c>
      <c r="H176" s="7">
        <v>0</v>
      </c>
      <c r="I176" s="7">
        <v>0</v>
      </c>
      <c r="J176" s="7">
        <v>0</v>
      </c>
      <c r="K176" s="7">
        <v>0</v>
      </c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</row>
    <row r="177" spans="1:17">
      <c r="A177" s="2">
        <v>2125</v>
      </c>
      <c r="B177" s="7">
        <v>0</v>
      </c>
      <c r="C177" s="7">
        <v>0</v>
      </c>
      <c r="D177" s="7">
        <v>0</v>
      </c>
      <c r="E177" s="7">
        <v>0</v>
      </c>
      <c r="F177" s="7">
        <v>0</v>
      </c>
      <c r="G177" s="7">
        <v>0</v>
      </c>
      <c r="H177" s="7">
        <v>0</v>
      </c>
      <c r="I177" s="7">
        <v>0</v>
      </c>
      <c r="J177" s="7">
        <v>0</v>
      </c>
      <c r="K177" s="7">
        <v>0</v>
      </c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</row>
    <row r="178" spans="1:17">
      <c r="A178" s="2">
        <v>2126</v>
      </c>
      <c r="B178" s="7">
        <v>0</v>
      </c>
      <c r="C178" s="7">
        <v>0</v>
      </c>
      <c r="D178" s="7">
        <v>0</v>
      </c>
      <c r="E178" s="7">
        <v>0</v>
      </c>
      <c r="F178" s="7">
        <v>0</v>
      </c>
      <c r="G178" s="7">
        <v>0</v>
      </c>
      <c r="H178" s="7">
        <v>0</v>
      </c>
      <c r="I178" s="7">
        <v>0</v>
      </c>
      <c r="J178" s="7">
        <v>0</v>
      </c>
      <c r="K178" s="7">
        <v>0</v>
      </c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</row>
    <row r="179" spans="1:17">
      <c r="A179" s="2">
        <v>2127</v>
      </c>
      <c r="B179" s="7">
        <v>0</v>
      </c>
      <c r="C179" s="7">
        <v>0</v>
      </c>
      <c r="D179" s="7">
        <v>0</v>
      </c>
      <c r="E179" s="7">
        <v>0</v>
      </c>
      <c r="F179" s="7">
        <v>0</v>
      </c>
      <c r="G179" s="7">
        <v>0</v>
      </c>
      <c r="H179" s="7">
        <v>0</v>
      </c>
      <c r="I179" s="7">
        <v>0</v>
      </c>
      <c r="J179" s="7">
        <v>0</v>
      </c>
      <c r="K179" s="7">
        <v>0</v>
      </c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</row>
    <row r="180" spans="1:17">
      <c r="A180" s="2">
        <v>2128</v>
      </c>
      <c r="B180" s="7">
        <v>0</v>
      </c>
      <c r="C180" s="7">
        <v>0</v>
      </c>
      <c r="D180" s="7">
        <v>0</v>
      </c>
      <c r="E180" s="7">
        <v>0</v>
      </c>
      <c r="F180" s="7">
        <v>0</v>
      </c>
      <c r="G180" s="7">
        <v>0</v>
      </c>
      <c r="H180" s="7">
        <v>0</v>
      </c>
      <c r="I180" s="7">
        <v>0</v>
      </c>
      <c r="J180" s="7">
        <v>0</v>
      </c>
      <c r="K180" s="7">
        <v>0</v>
      </c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</row>
    <row r="181" spans="1:17">
      <c r="A181" s="2">
        <v>2129</v>
      </c>
      <c r="B181" s="7">
        <v>0</v>
      </c>
      <c r="C181" s="7">
        <v>0</v>
      </c>
      <c r="D181" s="7">
        <v>0</v>
      </c>
      <c r="E181" s="7">
        <v>0</v>
      </c>
      <c r="F181" s="7">
        <v>0</v>
      </c>
      <c r="G181" s="7">
        <v>0</v>
      </c>
      <c r="H181" s="7">
        <v>0</v>
      </c>
      <c r="I181" s="7">
        <v>0</v>
      </c>
      <c r="J181" s="7">
        <v>0</v>
      </c>
      <c r="K181" s="7">
        <v>0</v>
      </c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</row>
    <row r="182" spans="1:17">
      <c r="A182" s="2">
        <v>2130</v>
      </c>
      <c r="B182" s="7">
        <v>0</v>
      </c>
      <c r="C182" s="7">
        <v>0</v>
      </c>
      <c r="D182" s="7">
        <v>0</v>
      </c>
      <c r="E182" s="7">
        <v>0</v>
      </c>
      <c r="F182" s="7">
        <v>0</v>
      </c>
      <c r="G182" s="7">
        <v>0</v>
      </c>
      <c r="H182" s="7">
        <v>0</v>
      </c>
      <c r="I182" s="7">
        <v>0</v>
      </c>
      <c r="J182" s="7">
        <v>0</v>
      </c>
      <c r="K182" s="7">
        <v>0</v>
      </c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</row>
    <row r="183" spans="1:17">
      <c r="A183" s="2">
        <v>2131</v>
      </c>
      <c r="B183" s="7">
        <v>0</v>
      </c>
      <c r="C183" s="7">
        <v>0</v>
      </c>
      <c r="D183" s="7">
        <v>0</v>
      </c>
      <c r="E183" s="7">
        <v>0</v>
      </c>
      <c r="F183" s="7">
        <v>0</v>
      </c>
      <c r="G183" s="7">
        <v>0</v>
      </c>
      <c r="H183" s="7">
        <v>0</v>
      </c>
      <c r="I183" s="7">
        <v>0</v>
      </c>
      <c r="J183" s="7">
        <v>0</v>
      </c>
      <c r="K183" s="7">
        <v>0</v>
      </c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</row>
    <row r="184" spans="1:17">
      <c r="A184" s="2">
        <v>2132</v>
      </c>
      <c r="B184" s="7">
        <v>0</v>
      </c>
      <c r="C184" s="7">
        <v>0</v>
      </c>
      <c r="D184" s="7">
        <v>0</v>
      </c>
      <c r="E184" s="7">
        <v>0</v>
      </c>
      <c r="F184" s="7">
        <v>0</v>
      </c>
      <c r="G184" s="7">
        <v>0</v>
      </c>
      <c r="H184" s="7">
        <v>0</v>
      </c>
      <c r="I184" s="7">
        <v>0</v>
      </c>
      <c r="J184" s="7">
        <v>0</v>
      </c>
      <c r="K184" s="7">
        <v>0</v>
      </c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</row>
    <row r="185" spans="1:17">
      <c r="A185" s="2">
        <v>2133</v>
      </c>
      <c r="B185" s="7">
        <v>0</v>
      </c>
      <c r="C185" s="7">
        <v>0</v>
      </c>
      <c r="D185" s="7">
        <v>0</v>
      </c>
      <c r="E185" s="7">
        <v>0</v>
      </c>
      <c r="F185" s="7">
        <v>0</v>
      </c>
      <c r="G185" s="7">
        <v>0</v>
      </c>
      <c r="H185" s="7">
        <v>0</v>
      </c>
      <c r="I185" s="7">
        <v>0</v>
      </c>
      <c r="J185" s="7">
        <v>0</v>
      </c>
      <c r="K185" s="7">
        <v>0</v>
      </c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</row>
    <row r="186" spans="1:17">
      <c r="A186" s="2">
        <v>2134</v>
      </c>
      <c r="B186" s="7">
        <v>0</v>
      </c>
      <c r="C186" s="7">
        <v>0</v>
      </c>
      <c r="D186" s="7">
        <v>0</v>
      </c>
      <c r="E186" s="7">
        <v>0</v>
      </c>
      <c r="F186" s="7">
        <v>0</v>
      </c>
      <c r="G186" s="7">
        <v>0</v>
      </c>
      <c r="H186" s="7">
        <v>0</v>
      </c>
      <c r="I186" s="7">
        <v>0</v>
      </c>
      <c r="J186" s="7">
        <v>0</v>
      </c>
      <c r="K186" s="7">
        <v>0</v>
      </c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</row>
    <row r="187" spans="1:17">
      <c r="A187" s="2">
        <v>2135</v>
      </c>
      <c r="B187" s="7">
        <v>0</v>
      </c>
      <c r="C187" s="7">
        <v>0</v>
      </c>
      <c r="D187" s="7">
        <v>0</v>
      </c>
      <c r="E187" s="7">
        <v>0</v>
      </c>
      <c r="F187" s="7">
        <v>0</v>
      </c>
      <c r="G187" s="7">
        <v>0</v>
      </c>
      <c r="H187" s="7">
        <v>0</v>
      </c>
      <c r="I187" s="7">
        <v>0</v>
      </c>
      <c r="J187" s="7">
        <v>0</v>
      </c>
      <c r="K187" s="7">
        <v>0</v>
      </c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</row>
    <row r="188" spans="1:17">
      <c r="A188" s="2">
        <v>2136</v>
      </c>
      <c r="B188" s="7">
        <v>0</v>
      </c>
      <c r="C188" s="7">
        <v>0</v>
      </c>
      <c r="D188" s="7">
        <v>0</v>
      </c>
      <c r="E188" s="7">
        <v>0</v>
      </c>
      <c r="F188" s="7">
        <v>0</v>
      </c>
      <c r="G188" s="7">
        <v>0</v>
      </c>
      <c r="H188" s="7">
        <v>0</v>
      </c>
      <c r="I188" s="7">
        <v>0</v>
      </c>
      <c r="J188" s="7">
        <v>0</v>
      </c>
      <c r="K188" s="7">
        <v>0</v>
      </c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</row>
    <row r="189" spans="1:17">
      <c r="A189" s="2">
        <v>2137</v>
      </c>
      <c r="B189" s="7">
        <v>0</v>
      </c>
      <c r="C189" s="7">
        <v>0</v>
      </c>
      <c r="D189" s="7">
        <v>0</v>
      </c>
      <c r="E189" s="7">
        <v>0</v>
      </c>
      <c r="F189" s="7">
        <v>0</v>
      </c>
      <c r="G189" s="7">
        <v>0</v>
      </c>
      <c r="H189" s="7">
        <v>0</v>
      </c>
      <c r="I189" s="7">
        <v>0</v>
      </c>
      <c r="J189" s="7">
        <v>0</v>
      </c>
      <c r="K189" s="7">
        <v>0</v>
      </c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</row>
    <row r="190" spans="1:17">
      <c r="A190" s="2">
        <v>2138</v>
      </c>
      <c r="B190" s="7">
        <v>0</v>
      </c>
      <c r="C190" s="7">
        <v>0</v>
      </c>
      <c r="D190" s="7">
        <v>0</v>
      </c>
      <c r="E190" s="7">
        <v>0</v>
      </c>
      <c r="F190" s="7">
        <v>0</v>
      </c>
      <c r="G190" s="7">
        <v>0</v>
      </c>
      <c r="H190" s="7">
        <v>0</v>
      </c>
      <c r="I190" s="7">
        <v>0</v>
      </c>
      <c r="J190" s="7">
        <v>0</v>
      </c>
      <c r="K190" s="7">
        <v>0</v>
      </c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</row>
    <row r="191" spans="1:17">
      <c r="A191" s="2">
        <v>2139</v>
      </c>
      <c r="B191" s="7">
        <v>0</v>
      </c>
      <c r="C191" s="7">
        <v>0</v>
      </c>
      <c r="D191" s="7">
        <v>0</v>
      </c>
      <c r="E191" s="7">
        <v>0</v>
      </c>
      <c r="F191" s="7">
        <v>0</v>
      </c>
      <c r="G191" s="7">
        <v>0</v>
      </c>
      <c r="H191" s="7">
        <v>0</v>
      </c>
      <c r="I191" s="7">
        <v>0</v>
      </c>
      <c r="J191" s="7">
        <v>0</v>
      </c>
      <c r="K191" s="7">
        <v>0</v>
      </c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</row>
    <row r="192" spans="1:17">
      <c r="A192" s="2">
        <v>2140</v>
      </c>
      <c r="B192" s="7">
        <v>0</v>
      </c>
      <c r="C192" s="7">
        <v>0</v>
      </c>
      <c r="D192" s="7">
        <v>0</v>
      </c>
      <c r="E192" s="7">
        <v>0</v>
      </c>
      <c r="F192" s="7">
        <v>0</v>
      </c>
      <c r="G192" s="7">
        <v>0</v>
      </c>
      <c r="H192" s="7">
        <v>0</v>
      </c>
      <c r="I192" s="7">
        <v>0</v>
      </c>
      <c r="J192" s="7">
        <v>0</v>
      </c>
      <c r="K192" s="7">
        <v>0</v>
      </c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</row>
    <row r="193" spans="1:17">
      <c r="A193" s="2">
        <v>2141</v>
      </c>
      <c r="B193" s="7">
        <v>0</v>
      </c>
      <c r="C193" s="7">
        <v>0</v>
      </c>
      <c r="D193" s="7">
        <v>0</v>
      </c>
      <c r="E193" s="7">
        <v>0</v>
      </c>
      <c r="F193" s="7">
        <v>0</v>
      </c>
      <c r="G193" s="7">
        <v>0</v>
      </c>
      <c r="H193" s="7">
        <v>0</v>
      </c>
      <c r="I193" s="7">
        <v>0</v>
      </c>
      <c r="J193" s="7">
        <v>0</v>
      </c>
      <c r="K193" s="7">
        <v>0</v>
      </c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</row>
    <row r="194" spans="1:17">
      <c r="A194" s="2">
        <v>2142</v>
      </c>
      <c r="B194" s="7">
        <v>0</v>
      </c>
      <c r="C194" s="7">
        <v>0</v>
      </c>
      <c r="D194" s="7">
        <v>0</v>
      </c>
      <c r="E194" s="7">
        <v>0</v>
      </c>
      <c r="F194" s="7">
        <v>0</v>
      </c>
      <c r="G194" s="7">
        <v>0</v>
      </c>
      <c r="H194" s="7">
        <v>0</v>
      </c>
      <c r="I194" s="7">
        <v>0</v>
      </c>
      <c r="J194" s="7">
        <v>0</v>
      </c>
      <c r="K194" s="7">
        <v>0</v>
      </c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</row>
    <row r="195" spans="1:17">
      <c r="A195" s="2">
        <v>2143</v>
      </c>
      <c r="B195" s="7">
        <v>0</v>
      </c>
      <c r="C195" s="7">
        <v>0</v>
      </c>
      <c r="D195" s="7">
        <v>0</v>
      </c>
      <c r="E195" s="7">
        <v>0</v>
      </c>
      <c r="F195" s="7">
        <v>0</v>
      </c>
      <c r="G195" s="7">
        <v>0</v>
      </c>
      <c r="H195" s="7">
        <v>0</v>
      </c>
      <c r="I195" s="7">
        <v>0</v>
      </c>
      <c r="J195" s="7">
        <v>0</v>
      </c>
      <c r="K195" s="7">
        <v>0</v>
      </c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</row>
    <row r="196" spans="1:17">
      <c r="A196" s="2">
        <v>2144</v>
      </c>
      <c r="B196" s="7">
        <v>0</v>
      </c>
      <c r="C196" s="7">
        <v>0</v>
      </c>
      <c r="D196" s="7">
        <v>0</v>
      </c>
      <c r="E196" s="7">
        <v>0</v>
      </c>
      <c r="F196" s="7">
        <v>0</v>
      </c>
      <c r="G196" s="7">
        <v>0</v>
      </c>
      <c r="H196" s="7">
        <v>0</v>
      </c>
      <c r="I196" s="7">
        <v>0</v>
      </c>
      <c r="J196" s="7">
        <v>0</v>
      </c>
      <c r="K196" s="7">
        <v>0</v>
      </c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</row>
    <row r="197" spans="1:17">
      <c r="A197" s="2">
        <v>2145</v>
      </c>
      <c r="B197" s="7">
        <v>0</v>
      </c>
      <c r="C197" s="7">
        <v>0</v>
      </c>
      <c r="D197" s="7">
        <v>0</v>
      </c>
      <c r="E197" s="7">
        <v>0</v>
      </c>
      <c r="F197" s="7">
        <v>0</v>
      </c>
      <c r="G197" s="7">
        <v>0</v>
      </c>
      <c r="H197" s="7">
        <v>0</v>
      </c>
      <c r="I197" s="7">
        <v>0</v>
      </c>
      <c r="J197" s="7">
        <v>0</v>
      </c>
      <c r="K197" s="7">
        <v>0</v>
      </c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</row>
    <row r="198" spans="1:17">
      <c r="A198" s="2">
        <v>2146</v>
      </c>
      <c r="B198" s="7">
        <v>0</v>
      </c>
      <c r="C198" s="7">
        <v>0</v>
      </c>
      <c r="D198" s="7">
        <v>0</v>
      </c>
      <c r="E198" s="7">
        <v>0</v>
      </c>
      <c r="F198" s="7">
        <v>0</v>
      </c>
      <c r="G198" s="7">
        <v>0</v>
      </c>
      <c r="H198" s="7">
        <v>0</v>
      </c>
      <c r="I198" s="7">
        <v>0</v>
      </c>
      <c r="J198" s="7">
        <v>0</v>
      </c>
      <c r="K198" s="7">
        <v>0</v>
      </c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</row>
    <row r="199" spans="1:17">
      <c r="A199" s="2">
        <v>2147</v>
      </c>
      <c r="B199" s="7">
        <v>0</v>
      </c>
      <c r="C199" s="7">
        <v>0</v>
      </c>
      <c r="D199" s="7">
        <v>0</v>
      </c>
      <c r="E199" s="7">
        <v>0</v>
      </c>
      <c r="F199" s="7">
        <v>0</v>
      </c>
      <c r="G199" s="7">
        <v>0</v>
      </c>
      <c r="H199" s="7">
        <v>0</v>
      </c>
      <c r="I199" s="7">
        <v>0</v>
      </c>
      <c r="J199" s="7">
        <v>0</v>
      </c>
      <c r="K199" s="7">
        <v>0</v>
      </c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</row>
    <row r="200" spans="1:17">
      <c r="A200" s="2">
        <v>2148</v>
      </c>
      <c r="B200" s="7">
        <v>0</v>
      </c>
      <c r="C200" s="7">
        <v>0</v>
      </c>
      <c r="D200" s="7">
        <v>0</v>
      </c>
      <c r="E200" s="7">
        <v>0</v>
      </c>
      <c r="F200" s="7">
        <v>0</v>
      </c>
      <c r="G200" s="7">
        <v>0</v>
      </c>
      <c r="H200" s="7">
        <v>0</v>
      </c>
      <c r="I200" s="7">
        <v>0</v>
      </c>
      <c r="J200" s="7">
        <v>0</v>
      </c>
      <c r="K200" s="7">
        <v>0</v>
      </c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</row>
    <row r="201" spans="1:17">
      <c r="A201" s="2">
        <v>2149</v>
      </c>
      <c r="B201" s="7">
        <v>0</v>
      </c>
      <c r="C201" s="7">
        <v>0</v>
      </c>
      <c r="D201" s="7">
        <v>0</v>
      </c>
      <c r="E201" s="7">
        <v>0</v>
      </c>
      <c r="F201" s="7">
        <v>0</v>
      </c>
      <c r="G201" s="7">
        <v>0</v>
      </c>
      <c r="H201" s="7">
        <v>0</v>
      </c>
      <c r="I201" s="7">
        <v>0</v>
      </c>
      <c r="J201" s="7">
        <v>0</v>
      </c>
      <c r="K201" s="7">
        <v>0</v>
      </c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</row>
    <row r="202" spans="1:17">
      <c r="A202" s="2">
        <v>2150</v>
      </c>
      <c r="B202" s="7">
        <v>0</v>
      </c>
      <c r="C202" s="7">
        <v>0</v>
      </c>
      <c r="D202" s="7">
        <v>0</v>
      </c>
      <c r="E202" s="7">
        <v>0</v>
      </c>
      <c r="F202" s="7">
        <v>0</v>
      </c>
      <c r="G202" s="7">
        <v>0</v>
      </c>
      <c r="H202" s="7">
        <v>0</v>
      </c>
      <c r="I202" s="7">
        <v>0</v>
      </c>
      <c r="J202" s="7">
        <v>0</v>
      </c>
      <c r="K202" s="7">
        <v>0</v>
      </c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</row>
    <row r="203" spans="1:17">
      <c r="A203" s="2">
        <v>2151</v>
      </c>
      <c r="B203" s="7">
        <v>0</v>
      </c>
      <c r="C203" s="7">
        <v>0</v>
      </c>
      <c r="D203" s="7">
        <v>0</v>
      </c>
      <c r="E203" s="7">
        <v>0</v>
      </c>
      <c r="F203" s="7">
        <v>0</v>
      </c>
      <c r="G203" s="7">
        <v>0</v>
      </c>
      <c r="H203" s="7">
        <v>0</v>
      </c>
      <c r="I203" s="7">
        <v>0</v>
      </c>
      <c r="J203" s="7">
        <v>0</v>
      </c>
      <c r="K203" s="7">
        <v>0</v>
      </c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</row>
    <row r="204" spans="1:17">
      <c r="A204" s="2">
        <v>2152</v>
      </c>
      <c r="B204" s="7">
        <v>0</v>
      </c>
      <c r="C204" s="7">
        <v>0</v>
      </c>
      <c r="D204" s="7">
        <v>0</v>
      </c>
      <c r="E204" s="7">
        <v>0</v>
      </c>
      <c r="F204" s="7">
        <v>0</v>
      </c>
      <c r="G204" s="7">
        <v>0</v>
      </c>
      <c r="H204" s="7">
        <v>0</v>
      </c>
      <c r="I204" s="7">
        <v>0</v>
      </c>
      <c r="J204" s="7">
        <v>0</v>
      </c>
      <c r="K204" s="7">
        <v>0</v>
      </c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</row>
    <row r="205" spans="1:17">
      <c r="A205" s="2">
        <v>2153</v>
      </c>
      <c r="B205" s="7">
        <v>0</v>
      </c>
      <c r="C205" s="7">
        <v>0</v>
      </c>
      <c r="D205" s="7">
        <v>0</v>
      </c>
      <c r="E205" s="7">
        <v>0</v>
      </c>
      <c r="F205" s="7">
        <v>0</v>
      </c>
      <c r="G205" s="7">
        <v>0</v>
      </c>
      <c r="H205" s="7">
        <v>0</v>
      </c>
      <c r="I205" s="7">
        <v>0</v>
      </c>
      <c r="J205" s="7">
        <v>0</v>
      </c>
      <c r="K205" s="7">
        <v>0</v>
      </c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</row>
    <row r="206" spans="1:17">
      <c r="A206" s="2">
        <v>2154</v>
      </c>
      <c r="B206" s="7">
        <v>0</v>
      </c>
      <c r="C206" s="7">
        <v>0</v>
      </c>
      <c r="D206" s="7">
        <v>0</v>
      </c>
      <c r="E206" s="7">
        <v>0</v>
      </c>
      <c r="F206" s="7">
        <v>0</v>
      </c>
      <c r="G206" s="7">
        <v>0</v>
      </c>
      <c r="H206" s="7">
        <v>0</v>
      </c>
      <c r="I206" s="7">
        <v>0</v>
      </c>
      <c r="J206" s="7">
        <v>0</v>
      </c>
      <c r="K206" s="7">
        <v>0</v>
      </c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</row>
    <row r="207" spans="1:17">
      <c r="A207" s="2">
        <v>2155</v>
      </c>
      <c r="B207" s="7">
        <v>0</v>
      </c>
      <c r="C207" s="7">
        <v>0</v>
      </c>
      <c r="D207" s="7">
        <v>0</v>
      </c>
      <c r="E207" s="7">
        <v>0</v>
      </c>
      <c r="F207" s="7">
        <v>0</v>
      </c>
      <c r="G207" s="7">
        <v>0</v>
      </c>
      <c r="H207" s="7">
        <v>0</v>
      </c>
      <c r="I207" s="7">
        <v>0</v>
      </c>
      <c r="J207" s="7">
        <v>0</v>
      </c>
      <c r="K207" s="7">
        <v>0</v>
      </c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</row>
    <row r="208" spans="1:17">
      <c r="A208" s="2">
        <v>2156</v>
      </c>
      <c r="B208" s="7">
        <v>0</v>
      </c>
      <c r="C208" s="7">
        <v>0</v>
      </c>
      <c r="D208" s="7">
        <v>0</v>
      </c>
      <c r="E208" s="7">
        <v>0</v>
      </c>
      <c r="F208" s="7">
        <v>0</v>
      </c>
      <c r="G208" s="7">
        <v>0</v>
      </c>
      <c r="H208" s="7">
        <v>0</v>
      </c>
      <c r="I208" s="7">
        <v>0</v>
      </c>
      <c r="J208" s="7">
        <v>0</v>
      </c>
      <c r="K208" s="7">
        <v>0</v>
      </c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</row>
    <row r="209" spans="1:17">
      <c r="A209" s="2">
        <v>2157</v>
      </c>
      <c r="B209" s="7">
        <v>0</v>
      </c>
      <c r="C209" s="7">
        <v>0</v>
      </c>
      <c r="D209" s="7">
        <v>0</v>
      </c>
      <c r="E209" s="7">
        <v>0</v>
      </c>
      <c r="F209" s="7">
        <v>0</v>
      </c>
      <c r="G209" s="7">
        <v>0</v>
      </c>
      <c r="H209" s="7">
        <v>0</v>
      </c>
      <c r="I209" s="7">
        <v>0</v>
      </c>
      <c r="J209" s="7">
        <v>0</v>
      </c>
      <c r="K209" s="7">
        <v>0</v>
      </c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</row>
    <row r="210" spans="1:17">
      <c r="A210" s="2">
        <v>2158</v>
      </c>
      <c r="B210" s="7">
        <v>0</v>
      </c>
      <c r="C210" s="7">
        <v>0</v>
      </c>
      <c r="D210" s="7">
        <v>0</v>
      </c>
      <c r="E210" s="7">
        <v>0</v>
      </c>
      <c r="F210" s="7">
        <v>0</v>
      </c>
      <c r="G210" s="7">
        <v>0</v>
      </c>
      <c r="H210" s="7">
        <v>0</v>
      </c>
      <c r="I210" s="7">
        <v>0</v>
      </c>
      <c r="J210" s="7">
        <v>0</v>
      </c>
      <c r="K210" s="7">
        <v>0</v>
      </c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</row>
    <row r="211" spans="1:17">
      <c r="A211" s="2">
        <v>2159</v>
      </c>
      <c r="B211" s="7">
        <v>0</v>
      </c>
      <c r="C211" s="7">
        <v>0</v>
      </c>
      <c r="D211" s="7">
        <v>0</v>
      </c>
      <c r="E211" s="7">
        <v>0</v>
      </c>
      <c r="F211" s="7">
        <v>0</v>
      </c>
      <c r="G211" s="7">
        <v>0</v>
      </c>
      <c r="H211" s="7">
        <v>0</v>
      </c>
      <c r="I211" s="7">
        <v>0</v>
      </c>
      <c r="J211" s="7">
        <v>0</v>
      </c>
      <c r="K211" s="7">
        <v>0</v>
      </c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</row>
    <row r="212" spans="1:17">
      <c r="A212" s="2">
        <v>2160</v>
      </c>
      <c r="B212" s="7">
        <v>0</v>
      </c>
      <c r="C212" s="7">
        <v>0</v>
      </c>
      <c r="D212" s="7">
        <v>0</v>
      </c>
      <c r="E212" s="7">
        <v>0</v>
      </c>
      <c r="F212" s="7">
        <v>0</v>
      </c>
      <c r="G212" s="7">
        <v>0</v>
      </c>
      <c r="H212" s="7">
        <v>0</v>
      </c>
      <c r="I212" s="7">
        <v>0</v>
      </c>
      <c r="J212" s="7">
        <v>0</v>
      </c>
      <c r="K212" s="7">
        <v>0</v>
      </c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</row>
    <row r="213" spans="1:17">
      <c r="A213" s="2">
        <v>2161</v>
      </c>
      <c r="B213" s="7">
        <v>0</v>
      </c>
      <c r="C213" s="7">
        <v>0</v>
      </c>
      <c r="D213" s="7">
        <v>0</v>
      </c>
      <c r="E213" s="7">
        <v>0</v>
      </c>
      <c r="F213" s="7">
        <v>0</v>
      </c>
      <c r="G213" s="7">
        <v>0</v>
      </c>
      <c r="H213" s="7">
        <v>0</v>
      </c>
      <c r="I213" s="7">
        <v>0</v>
      </c>
      <c r="J213" s="7">
        <v>0</v>
      </c>
      <c r="K213" s="7">
        <v>0</v>
      </c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</row>
    <row r="214" spans="1:17">
      <c r="A214" s="2">
        <v>2162</v>
      </c>
      <c r="B214" s="7">
        <v>0</v>
      </c>
      <c r="C214" s="7">
        <v>0</v>
      </c>
      <c r="D214" s="7">
        <v>0</v>
      </c>
      <c r="E214" s="7">
        <v>0</v>
      </c>
      <c r="F214" s="7">
        <v>0</v>
      </c>
      <c r="G214" s="7">
        <v>0</v>
      </c>
      <c r="H214" s="7">
        <v>0</v>
      </c>
      <c r="I214" s="7">
        <v>0</v>
      </c>
      <c r="J214" s="7">
        <v>0</v>
      </c>
      <c r="K214" s="7">
        <v>0</v>
      </c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</row>
    <row r="215" spans="1:17">
      <c r="A215" s="2">
        <v>2163</v>
      </c>
      <c r="B215" s="7">
        <v>0</v>
      </c>
      <c r="C215" s="7">
        <v>0</v>
      </c>
      <c r="D215" s="7">
        <v>0</v>
      </c>
      <c r="E215" s="7">
        <v>0</v>
      </c>
      <c r="F215" s="7">
        <v>0</v>
      </c>
      <c r="G215" s="7">
        <v>0</v>
      </c>
      <c r="H215" s="7">
        <v>0</v>
      </c>
      <c r="I215" s="7">
        <v>0</v>
      </c>
      <c r="J215" s="7">
        <v>0</v>
      </c>
      <c r="K215" s="7">
        <v>0</v>
      </c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</row>
    <row r="216" spans="1:17">
      <c r="A216" s="2">
        <v>2164</v>
      </c>
      <c r="B216" s="7">
        <v>0</v>
      </c>
      <c r="C216" s="7">
        <v>0</v>
      </c>
      <c r="D216" s="7">
        <v>0</v>
      </c>
      <c r="E216" s="7">
        <v>0</v>
      </c>
      <c r="F216" s="7">
        <v>0</v>
      </c>
      <c r="G216" s="7">
        <v>0</v>
      </c>
      <c r="H216" s="7">
        <v>0</v>
      </c>
      <c r="I216" s="7">
        <v>0</v>
      </c>
      <c r="J216" s="7">
        <v>0</v>
      </c>
      <c r="K216" s="7">
        <v>0</v>
      </c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</row>
    <row r="217" spans="1:17">
      <c r="A217" s="2">
        <v>2165</v>
      </c>
      <c r="B217" s="7">
        <v>0</v>
      </c>
      <c r="C217" s="7">
        <v>0</v>
      </c>
      <c r="D217" s="7">
        <v>0</v>
      </c>
      <c r="E217" s="7">
        <v>0</v>
      </c>
      <c r="F217" s="7">
        <v>0</v>
      </c>
      <c r="G217" s="7">
        <v>0</v>
      </c>
      <c r="H217" s="7">
        <v>0</v>
      </c>
      <c r="I217" s="7">
        <v>0</v>
      </c>
      <c r="J217" s="7">
        <v>0</v>
      </c>
      <c r="K217" s="7">
        <v>0</v>
      </c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</row>
    <row r="218" spans="1:17">
      <c r="A218" s="2">
        <v>2166</v>
      </c>
      <c r="B218" s="7">
        <v>0</v>
      </c>
      <c r="C218" s="7">
        <v>0</v>
      </c>
      <c r="D218" s="7">
        <v>0</v>
      </c>
      <c r="E218" s="7">
        <v>0</v>
      </c>
      <c r="F218" s="7">
        <v>0</v>
      </c>
      <c r="G218" s="7">
        <v>0</v>
      </c>
      <c r="H218" s="7">
        <v>0</v>
      </c>
      <c r="I218" s="7">
        <v>0</v>
      </c>
      <c r="J218" s="7">
        <v>0</v>
      </c>
      <c r="K218" s="7">
        <v>0</v>
      </c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</row>
    <row r="219" spans="1:17">
      <c r="A219" s="2">
        <v>2167</v>
      </c>
      <c r="B219" s="7">
        <v>0</v>
      </c>
      <c r="C219" s="7">
        <v>0</v>
      </c>
      <c r="D219" s="7">
        <v>0</v>
      </c>
      <c r="E219" s="7">
        <v>0</v>
      </c>
      <c r="F219" s="7">
        <v>0</v>
      </c>
      <c r="G219" s="7">
        <v>0</v>
      </c>
      <c r="H219" s="7">
        <v>0</v>
      </c>
      <c r="I219" s="7">
        <v>0</v>
      </c>
      <c r="J219" s="7">
        <v>0</v>
      </c>
      <c r="K219" s="7">
        <v>0</v>
      </c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</row>
    <row r="220" spans="1:17">
      <c r="A220" s="2">
        <v>2168</v>
      </c>
      <c r="B220" s="7">
        <v>0</v>
      </c>
      <c r="C220" s="7">
        <v>0</v>
      </c>
      <c r="D220" s="7">
        <v>0</v>
      </c>
      <c r="E220" s="7">
        <v>0</v>
      </c>
      <c r="F220" s="7">
        <v>0</v>
      </c>
      <c r="G220" s="7">
        <v>0</v>
      </c>
      <c r="H220" s="7">
        <v>0</v>
      </c>
      <c r="I220" s="7">
        <v>0</v>
      </c>
      <c r="J220" s="7">
        <v>0</v>
      </c>
      <c r="K220" s="7">
        <v>0</v>
      </c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</row>
    <row r="221" spans="1:17">
      <c r="A221" s="2">
        <v>2169</v>
      </c>
      <c r="B221" s="7">
        <v>0</v>
      </c>
      <c r="C221" s="7">
        <v>0</v>
      </c>
      <c r="D221" s="7">
        <v>0</v>
      </c>
      <c r="E221" s="7">
        <v>0</v>
      </c>
      <c r="F221" s="7">
        <v>0</v>
      </c>
      <c r="G221" s="7">
        <v>0</v>
      </c>
      <c r="H221" s="7">
        <v>0</v>
      </c>
      <c r="I221" s="7">
        <v>0</v>
      </c>
      <c r="J221" s="7">
        <v>0</v>
      </c>
      <c r="K221" s="7">
        <v>0</v>
      </c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</row>
    <row r="222" spans="1:17">
      <c r="A222" s="2">
        <v>2170</v>
      </c>
      <c r="B222" s="7">
        <v>0</v>
      </c>
      <c r="C222" s="7">
        <v>0</v>
      </c>
      <c r="D222" s="7">
        <v>0</v>
      </c>
      <c r="E222" s="7">
        <v>0</v>
      </c>
      <c r="F222" s="7">
        <v>0</v>
      </c>
      <c r="G222" s="7">
        <v>0</v>
      </c>
      <c r="H222" s="7">
        <v>0</v>
      </c>
      <c r="I222" s="7">
        <v>0</v>
      </c>
      <c r="J222" s="7">
        <v>0</v>
      </c>
      <c r="K222" s="7">
        <v>0</v>
      </c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</row>
    <row r="223" spans="1:17">
      <c r="A223" s="2">
        <v>2171</v>
      </c>
      <c r="B223" s="7">
        <v>0</v>
      </c>
      <c r="C223" s="7">
        <v>0</v>
      </c>
      <c r="D223" s="7">
        <v>0</v>
      </c>
      <c r="E223" s="7">
        <v>0</v>
      </c>
      <c r="F223" s="7">
        <v>0</v>
      </c>
      <c r="G223" s="7">
        <v>0</v>
      </c>
      <c r="H223" s="7">
        <v>0</v>
      </c>
      <c r="I223" s="7">
        <v>0</v>
      </c>
      <c r="J223" s="7">
        <v>0</v>
      </c>
      <c r="K223" s="7">
        <v>0</v>
      </c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</row>
    <row r="224" spans="1:17">
      <c r="A224" s="2">
        <v>2172</v>
      </c>
      <c r="B224" s="7">
        <v>0</v>
      </c>
      <c r="C224" s="7">
        <v>0</v>
      </c>
      <c r="D224" s="7">
        <v>0</v>
      </c>
      <c r="E224" s="7">
        <v>0</v>
      </c>
      <c r="F224" s="7">
        <v>0</v>
      </c>
      <c r="G224" s="7">
        <v>0</v>
      </c>
      <c r="H224" s="7">
        <v>0</v>
      </c>
      <c r="I224" s="7">
        <v>0</v>
      </c>
      <c r="J224" s="7">
        <v>0</v>
      </c>
      <c r="K224" s="7">
        <v>0</v>
      </c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</row>
    <row r="225" spans="1:17">
      <c r="A225" s="2">
        <v>2173</v>
      </c>
      <c r="B225" s="7">
        <v>0</v>
      </c>
      <c r="C225" s="7">
        <v>0</v>
      </c>
      <c r="D225" s="7">
        <v>0</v>
      </c>
      <c r="E225" s="7">
        <v>0</v>
      </c>
      <c r="F225" s="7">
        <v>0</v>
      </c>
      <c r="G225" s="7">
        <v>0</v>
      </c>
      <c r="H225" s="7">
        <v>0</v>
      </c>
      <c r="I225" s="7">
        <v>0</v>
      </c>
      <c r="J225" s="7">
        <v>0</v>
      </c>
      <c r="K225" s="7">
        <v>0</v>
      </c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</row>
    <row r="226" spans="1:17">
      <c r="A226" s="2">
        <v>2174</v>
      </c>
      <c r="B226" s="7">
        <v>0</v>
      </c>
      <c r="C226" s="7">
        <v>0</v>
      </c>
      <c r="D226" s="7">
        <v>0</v>
      </c>
      <c r="E226" s="7">
        <v>0</v>
      </c>
      <c r="F226" s="7">
        <v>0</v>
      </c>
      <c r="G226" s="7">
        <v>0</v>
      </c>
      <c r="H226" s="7">
        <v>0</v>
      </c>
      <c r="I226" s="7">
        <v>0</v>
      </c>
      <c r="J226" s="7">
        <v>0</v>
      </c>
      <c r="K226" s="7">
        <v>0</v>
      </c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</row>
    <row r="227" spans="1:17">
      <c r="A227" s="2">
        <v>2175</v>
      </c>
      <c r="B227" s="7">
        <v>0</v>
      </c>
      <c r="C227" s="7">
        <v>0</v>
      </c>
      <c r="D227" s="7">
        <v>0</v>
      </c>
      <c r="E227" s="7">
        <v>0</v>
      </c>
      <c r="F227" s="7">
        <v>0</v>
      </c>
      <c r="G227" s="7">
        <v>0</v>
      </c>
      <c r="H227" s="7">
        <v>0</v>
      </c>
      <c r="I227" s="7">
        <v>0</v>
      </c>
      <c r="J227" s="7">
        <v>0</v>
      </c>
      <c r="K227" s="7">
        <v>0</v>
      </c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</row>
    <row r="228" spans="1:17">
      <c r="A228" s="2">
        <v>2176</v>
      </c>
      <c r="B228" s="7">
        <v>0</v>
      </c>
      <c r="C228" s="7">
        <v>0</v>
      </c>
      <c r="D228" s="7">
        <v>0</v>
      </c>
      <c r="E228" s="7">
        <v>0</v>
      </c>
      <c r="F228" s="7">
        <v>0</v>
      </c>
      <c r="G228" s="7">
        <v>0</v>
      </c>
      <c r="H228" s="7">
        <v>0</v>
      </c>
      <c r="I228" s="7">
        <v>0</v>
      </c>
      <c r="J228" s="7">
        <v>0</v>
      </c>
      <c r="K228" s="7">
        <v>0</v>
      </c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</row>
    <row r="229" spans="1:17">
      <c r="A229" s="2">
        <v>2177</v>
      </c>
      <c r="B229" s="7">
        <v>0</v>
      </c>
      <c r="C229" s="7">
        <v>0</v>
      </c>
      <c r="D229" s="7">
        <v>0</v>
      </c>
      <c r="E229" s="7">
        <v>0</v>
      </c>
      <c r="F229" s="7">
        <v>0</v>
      </c>
      <c r="G229" s="7">
        <v>0</v>
      </c>
      <c r="H229" s="7">
        <v>0</v>
      </c>
      <c r="I229" s="7">
        <v>0</v>
      </c>
      <c r="J229" s="7">
        <v>0</v>
      </c>
      <c r="K229" s="7">
        <v>0</v>
      </c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</row>
    <row r="230" spans="1:17">
      <c r="A230" s="2">
        <v>2178</v>
      </c>
      <c r="B230" s="7">
        <v>0</v>
      </c>
      <c r="C230" s="7">
        <v>0</v>
      </c>
      <c r="D230" s="7">
        <v>0</v>
      </c>
      <c r="E230" s="7">
        <v>0</v>
      </c>
      <c r="F230" s="7">
        <v>0</v>
      </c>
      <c r="G230" s="7">
        <v>0</v>
      </c>
      <c r="H230" s="7">
        <v>0</v>
      </c>
      <c r="I230" s="7">
        <v>0</v>
      </c>
      <c r="J230" s="7">
        <v>0</v>
      </c>
      <c r="K230" s="7">
        <v>0</v>
      </c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</row>
    <row r="231" spans="1:17">
      <c r="A231" s="2">
        <v>2179</v>
      </c>
      <c r="B231" s="7">
        <v>0</v>
      </c>
      <c r="C231" s="7">
        <v>0</v>
      </c>
      <c r="D231" s="7">
        <v>0</v>
      </c>
      <c r="E231" s="7">
        <v>0</v>
      </c>
      <c r="F231" s="7">
        <v>0</v>
      </c>
      <c r="G231" s="7">
        <v>0</v>
      </c>
      <c r="H231" s="7">
        <v>0</v>
      </c>
      <c r="I231" s="7">
        <v>0</v>
      </c>
      <c r="J231" s="7">
        <v>0</v>
      </c>
      <c r="K231" s="7">
        <v>0</v>
      </c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</row>
    <row r="232" spans="1:17">
      <c r="A232" s="2">
        <v>2180</v>
      </c>
      <c r="B232" s="7">
        <v>0</v>
      </c>
      <c r="C232" s="7">
        <v>0</v>
      </c>
      <c r="D232" s="7">
        <v>0</v>
      </c>
      <c r="E232" s="7">
        <v>0</v>
      </c>
      <c r="F232" s="7">
        <v>0</v>
      </c>
      <c r="G232" s="7">
        <v>0</v>
      </c>
      <c r="H232" s="7">
        <v>0</v>
      </c>
      <c r="I232" s="7">
        <v>0</v>
      </c>
      <c r="J232" s="7">
        <v>0</v>
      </c>
      <c r="K232" s="7">
        <v>0</v>
      </c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</row>
    <row r="233" spans="1:17">
      <c r="A233" s="2">
        <v>2181</v>
      </c>
      <c r="B233" s="7">
        <v>0</v>
      </c>
      <c r="C233" s="7">
        <v>0</v>
      </c>
      <c r="D233" s="7">
        <v>0</v>
      </c>
      <c r="E233" s="7">
        <v>0</v>
      </c>
      <c r="F233" s="7">
        <v>0</v>
      </c>
      <c r="G233" s="7">
        <v>0</v>
      </c>
      <c r="H233" s="7">
        <v>0</v>
      </c>
      <c r="I233" s="7">
        <v>0</v>
      </c>
      <c r="J233" s="7">
        <v>0</v>
      </c>
      <c r="K233" s="7">
        <v>0</v>
      </c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</row>
    <row r="234" spans="1:17">
      <c r="A234" s="2">
        <v>2182</v>
      </c>
      <c r="B234" s="7">
        <v>0</v>
      </c>
      <c r="C234" s="7">
        <v>0</v>
      </c>
      <c r="D234" s="7">
        <v>0</v>
      </c>
      <c r="E234" s="7">
        <v>0</v>
      </c>
      <c r="F234" s="7">
        <v>0</v>
      </c>
      <c r="G234" s="7">
        <v>0</v>
      </c>
      <c r="H234" s="7">
        <v>0</v>
      </c>
      <c r="I234" s="7">
        <v>0</v>
      </c>
      <c r="J234" s="7">
        <v>0</v>
      </c>
      <c r="K234" s="7">
        <v>0</v>
      </c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</row>
    <row r="235" spans="1:17">
      <c r="A235" s="2">
        <v>2183</v>
      </c>
      <c r="B235" s="7">
        <v>0</v>
      </c>
      <c r="C235" s="7">
        <v>0</v>
      </c>
      <c r="D235" s="7">
        <v>0</v>
      </c>
      <c r="E235" s="7">
        <v>0</v>
      </c>
      <c r="F235" s="7">
        <v>0</v>
      </c>
      <c r="G235" s="7">
        <v>0</v>
      </c>
      <c r="H235" s="7">
        <v>0</v>
      </c>
      <c r="I235" s="7">
        <v>0</v>
      </c>
      <c r="J235" s="7">
        <v>0</v>
      </c>
      <c r="K235" s="7">
        <v>0</v>
      </c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</row>
    <row r="236" spans="1:17">
      <c r="A236" s="2">
        <v>2184</v>
      </c>
      <c r="B236" s="7">
        <v>0</v>
      </c>
      <c r="C236" s="7">
        <v>0</v>
      </c>
      <c r="D236" s="7">
        <v>0</v>
      </c>
      <c r="E236" s="7">
        <v>0</v>
      </c>
      <c r="F236" s="7">
        <v>0</v>
      </c>
      <c r="G236" s="7">
        <v>0</v>
      </c>
      <c r="H236" s="7">
        <v>0</v>
      </c>
      <c r="I236" s="7">
        <v>0</v>
      </c>
      <c r="J236" s="7">
        <v>0</v>
      </c>
      <c r="K236" s="7">
        <v>0</v>
      </c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</row>
    <row r="237" spans="1:17">
      <c r="A237" s="2">
        <v>2185</v>
      </c>
      <c r="B237" s="7">
        <v>0</v>
      </c>
      <c r="C237" s="7">
        <v>0</v>
      </c>
      <c r="D237" s="7">
        <v>0</v>
      </c>
      <c r="E237" s="7">
        <v>0</v>
      </c>
      <c r="F237" s="7">
        <v>0</v>
      </c>
      <c r="G237" s="7">
        <v>0</v>
      </c>
      <c r="H237" s="7">
        <v>0</v>
      </c>
      <c r="I237" s="7">
        <v>0</v>
      </c>
      <c r="J237" s="7">
        <v>0</v>
      </c>
      <c r="K237" s="7">
        <v>0</v>
      </c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</row>
    <row r="238" spans="1:17">
      <c r="A238" s="2">
        <v>2186</v>
      </c>
      <c r="B238" s="7">
        <v>0</v>
      </c>
      <c r="C238" s="7">
        <v>0</v>
      </c>
      <c r="D238" s="7">
        <v>0</v>
      </c>
      <c r="E238" s="7">
        <v>0</v>
      </c>
      <c r="F238" s="7">
        <v>0</v>
      </c>
      <c r="G238" s="7">
        <v>0</v>
      </c>
      <c r="H238" s="7">
        <v>0</v>
      </c>
      <c r="I238" s="7">
        <v>0</v>
      </c>
      <c r="J238" s="7">
        <v>0</v>
      </c>
      <c r="K238" s="7">
        <v>0</v>
      </c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</row>
    <row r="239" spans="1:17">
      <c r="A239" s="2">
        <v>2187</v>
      </c>
      <c r="B239" s="7">
        <v>0</v>
      </c>
      <c r="C239" s="7">
        <v>0</v>
      </c>
      <c r="D239" s="7">
        <v>0</v>
      </c>
      <c r="E239" s="7">
        <v>0</v>
      </c>
      <c r="F239" s="7">
        <v>0</v>
      </c>
      <c r="G239" s="7">
        <v>0</v>
      </c>
      <c r="H239" s="7">
        <v>0</v>
      </c>
      <c r="I239" s="7">
        <v>0</v>
      </c>
      <c r="J239" s="7">
        <v>0</v>
      </c>
      <c r="K239" s="7">
        <v>0</v>
      </c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</row>
    <row r="240" spans="1:17">
      <c r="A240" s="2">
        <v>2188</v>
      </c>
      <c r="B240" s="7">
        <v>0</v>
      </c>
      <c r="C240" s="7">
        <v>0</v>
      </c>
      <c r="D240" s="7">
        <v>0</v>
      </c>
      <c r="E240" s="7">
        <v>0</v>
      </c>
      <c r="F240" s="7">
        <v>0</v>
      </c>
      <c r="G240" s="7">
        <v>0</v>
      </c>
      <c r="H240" s="7">
        <v>0</v>
      </c>
      <c r="I240" s="7">
        <v>0</v>
      </c>
      <c r="J240" s="7">
        <v>0</v>
      </c>
      <c r="K240" s="7">
        <v>0</v>
      </c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</row>
    <row r="241" spans="1:17">
      <c r="A241" s="2">
        <v>2189</v>
      </c>
      <c r="B241" s="7">
        <v>0</v>
      </c>
      <c r="C241" s="7">
        <v>0</v>
      </c>
      <c r="D241" s="7">
        <v>0</v>
      </c>
      <c r="E241" s="7">
        <v>0</v>
      </c>
      <c r="F241" s="7">
        <v>0</v>
      </c>
      <c r="G241" s="7">
        <v>0</v>
      </c>
      <c r="H241" s="7">
        <v>0</v>
      </c>
      <c r="I241" s="7">
        <v>0</v>
      </c>
      <c r="J241" s="7">
        <v>0</v>
      </c>
      <c r="K241" s="7">
        <v>0</v>
      </c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</row>
    <row r="242" spans="1:17">
      <c r="A242" s="2">
        <v>2190</v>
      </c>
      <c r="B242" s="7">
        <v>0</v>
      </c>
      <c r="C242" s="7">
        <v>0</v>
      </c>
      <c r="D242" s="7">
        <v>0</v>
      </c>
      <c r="E242" s="7">
        <v>0</v>
      </c>
      <c r="F242" s="7">
        <v>0</v>
      </c>
      <c r="G242" s="7">
        <v>0</v>
      </c>
      <c r="H242" s="7">
        <v>0</v>
      </c>
      <c r="I242" s="7">
        <v>0</v>
      </c>
      <c r="J242" s="7">
        <v>0</v>
      </c>
      <c r="K242" s="7">
        <v>0</v>
      </c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</row>
    <row r="243" spans="1:17">
      <c r="A243" s="2">
        <v>2191</v>
      </c>
      <c r="B243" s="7">
        <v>0</v>
      </c>
      <c r="C243" s="7">
        <v>0</v>
      </c>
      <c r="D243" s="7">
        <v>0</v>
      </c>
      <c r="E243" s="7">
        <v>0</v>
      </c>
      <c r="F243" s="7">
        <v>0</v>
      </c>
      <c r="G243" s="7">
        <v>0</v>
      </c>
      <c r="H243" s="7">
        <v>0</v>
      </c>
      <c r="I243" s="7">
        <v>0</v>
      </c>
      <c r="J243" s="7">
        <v>0</v>
      </c>
      <c r="K243" s="7">
        <v>0</v>
      </c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</row>
    <row r="244" spans="1:17">
      <c r="A244" s="2">
        <v>2192</v>
      </c>
      <c r="B244" s="7">
        <v>0</v>
      </c>
      <c r="C244" s="7">
        <v>0</v>
      </c>
      <c r="D244" s="7">
        <v>0</v>
      </c>
      <c r="E244" s="7">
        <v>0</v>
      </c>
      <c r="F244" s="7">
        <v>0</v>
      </c>
      <c r="G244" s="7">
        <v>0</v>
      </c>
      <c r="H244" s="7">
        <v>0</v>
      </c>
      <c r="I244" s="7">
        <v>0</v>
      </c>
      <c r="J244" s="7">
        <v>0</v>
      </c>
      <c r="K244" s="7">
        <v>0</v>
      </c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</row>
    <row r="245" spans="1:17">
      <c r="A245" s="2">
        <v>2193</v>
      </c>
      <c r="B245" s="7">
        <v>0</v>
      </c>
      <c r="C245" s="7">
        <v>0</v>
      </c>
      <c r="D245" s="7">
        <v>0</v>
      </c>
      <c r="E245" s="7">
        <v>0</v>
      </c>
      <c r="F245" s="7">
        <v>0</v>
      </c>
      <c r="G245" s="7">
        <v>0</v>
      </c>
      <c r="H245" s="7">
        <v>0</v>
      </c>
      <c r="I245" s="7">
        <v>0</v>
      </c>
      <c r="J245" s="7">
        <v>0</v>
      </c>
      <c r="K245" s="7">
        <v>0</v>
      </c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</row>
    <row r="246" spans="1:17">
      <c r="A246" s="2">
        <v>2194</v>
      </c>
      <c r="B246" s="7">
        <v>0</v>
      </c>
      <c r="C246" s="7">
        <v>0</v>
      </c>
      <c r="D246" s="7">
        <v>0</v>
      </c>
      <c r="E246" s="7">
        <v>0</v>
      </c>
      <c r="F246" s="7">
        <v>0</v>
      </c>
      <c r="G246" s="7">
        <v>0</v>
      </c>
      <c r="H246" s="7">
        <v>0</v>
      </c>
      <c r="I246" s="7">
        <v>0</v>
      </c>
      <c r="J246" s="7">
        <v>0</v>
      </c>
      <c r="K246" s="7">
        <v>0</v>
      </c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</row>
    <row r="247" spans="1:17">
      <c r="A247" s="2">
        <v>2195</v>
      </c>
      <c r="B247" s="7">
        <v>0</v>
      </c>
      <c r="C247" s="7">
        <v>0</v>
      </c>
      <c r="D247" s="7">
        <v>0</v>
      </c>
      <c r="E247" s="7">
        <v>0</v>
      </c>
      <c r="F247" s="7">
        <v>0</v>
      </c>
      <c r="G247" s="7">
        <v>0</v>
      </c>
      <c r="H247" s="7">
        <v>0</v>
      </c>
      <c r="I247" s="7">
        <v>0</v>
      </c>
      <c r="J247" s="7">
        <v>0</v>
      </c>
      <c r="K247" s="7">
        <v>0</v>
      </c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</row>
    <row r="248" spans="1:17">
      <c r="A248" s="2">
        <v>2196</v>
      </c>
      <c r="B248" s="7">
        <v>0</v>
      </c>
      <c r="C248" s="7">
        <v>0</v>
      </c>
      <c r="D248" s="7">
        <v>0</v>
      </c>
      <c r="E248" s="7">
        <v>0</v>
      </c>
      <c r="F248" s="7">
        <v>0</v>
      </c>
      <c r="G248" s="7">
        <v>0</v>
      </c>
      <c r="H248" s="7">
        <v>0</v>
      </c>
      <c r="I248" s="7">
        <v>0</v>
      </c>
      <c r="J248" s="7">
        <v>0</v>
      </c>
      <c r="K248" s="7">
        <v>0</v>
      </c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</row>
    <row r="249" spans="1:17">
      <c r="A249" s="2">
        <v>2197</v>
      </c>
      <c r="B249" s="7">
        <v>0</v>
      </c>
      <c r="C249" s="7">
        <v>0</v>
      </c>
      <c r="D249" s="7">
        <v>0</v>
      </c>
      <c r="E249" s="7">
        <v>0</v>
      </c>
      <c r="F249" s="7">
        <v>0</v>
      </c>
      <c r="G249" s="7">
        <v>0</v>
      </c>
      <c r="H249" s="7">
        <v>0</v>
      </c>
      <c r="I249" s="7">
        <v>0</v>
      </c>
      <c r="J249" s="7">
        <v>0</v>
      </c>
      <c r="K249" s="7">
        <v>0</v>
      </c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</row>
    <row r="250" spans="1:17">
      <c r="A250" s="2">
        <v>2198</v>
      </c>
      <c r="B250" s="7">
        <v>0</v>
      </c>
      <c r="C250" s="7">
        <v>0</v>
      </c>
      <c r="D250" s="7">
        <v>0</v>
      </c>
      <c r="E250" s="7">
        <v>0</v>
      </c>
      <c r="F250" s="7">
        <v>0</v>
      </c>
      <c r="G250" s="7">
        <v>0</v>
      </c>
      <c r="H250" s="7">
        <v>0</v>
      </c>
      <c r="I250" s="7">
        <v>0</v>
      </c>
      <c r="J250" s="7">
        <v>0</v>
      </c>
      <c r="K250" s="7">
        <v>0</v>
      </c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</row>
    <row r="251" spans="1:17">
      <c r="A251" s="2">
        <v>2199</v>
      </c>
      <c r="B251" s="7">
        <v>0</v>
      </c>
      <c r="C251" s="7">
        <v>0</v>
      </c>
      <c r="D251" s="7">
        <v>0</v>
      </c>
      <c r="E251" s="7">
        <v>0</v>
      </c>
      <c r="F251" s="7">
        <v>0</v>
      </c>
      <c r="G251" s="7">
        <v>0</v>
      </c>
      <c r="H251" s="7">
        <v>0</v>
      </c>
      <c r="I251" s="7">
        <v>0</v>
      </c>
      <c r="J251" s="7">
        <v>0</v>
      </c>
      <c r="K251" s="7">
        <v>0</v>
      </c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</row>
    <row r="252" spans="1:17">
      <c r="A252" s="2">
        <v>2200</v>
      </c>
      <c r="B252" s="7">
        <v>0</v>
      </c>
      <c r="C252" s="7">
        <v>0</v>
      </c>
      <c r="D252" s="7">
        <v>0</v>
      </c>
      <c r="E252" s="7">
        <v>0</v>
      </c>
      <c r="F252" s="7">
        <v>0</v>
      </c>
      <c r="G252" s="7">
        <v>0</v>
      </c>
      <c r="H252" s="7">
        <v>0</v>
      </c>
      <c r="I252" s="7">
        <v>0</v>
      </c>
      <c r="J252" s="7">
        <v>0</v>
      </c>
      <c r="K252" s="7">
        <v>0</v>
      </c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</row>
    <row r="253" spans="1:17">
      <c r="A253" s="2">
        <v>2201</v>
      </c>
      <c r="B253" s="7">
        <v>0</v>
      </c>
      <c r="C253" s="7">
        <v>0</v>
      </c>
      <c r="D253" s="7">
        <v>0</v>
      </c>
      <c r="E253" s="7">
        <v>0</v>
      </c>
      <c r="F253" s="7">
        <v>0</v>
      </c>
      <c r="G253" s="7">
        <v>0</v>
      </c>
      <c r="H253" s="7">
        <v>0</v>
      </c>
      <c r="I253" s="7">
        <v>0</v>
      </c>
      <c r="J253" s="7">
        <v>0</v>
      </c>
      <c r="K253" s="7">
        <v>0</v>
      </c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</row>
    <row r="254" spans="1:17">
      <c r="A254" s="2">
        <v>2202</v>
      </c>
      <c r="B254" s="7">
        <v>0</v>
      </c>
      <c r="C254" s="7">
        <v>0</v>
      </c>
      <c r="D254" s="7">
        <v>0</v>
      </c>
      <c r="E254" s="7">
        <v>0</v>
      </c>
      <c r="F254" s="7">
        <v>0</v>
      </c>
      <c r="G254" s="7">
        <v>0</v>
      </c>
      <c r="H254" s="7">
        <v>0</v>
      </c>
      <c r="I254" s="7">
        <v>0</v>
      </c>
      <c r="J254" s="7">
        <v>0</v>
      </c>
      <c r="K254" s="7">
        <v>0</v>
      </c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</row>
    <row r="255" spans="1:17">
      <c r="A255" s="2">
        <v>2203</v>
      </c>
      <c r="B255" s="7">
        <v>0</v>
      </c>
      <c r="C255" s="7">
        <v>0</v>
      </c>
      <c r="D255" s="7">
        <v>0</v>
      </c>
      <c r="E255" s="7">
        <v>0</v>
      </c>
      <c r="F255" s="7">
        <v>0</v>
      </c>
      <c r="G255" s="7">
        <v>0</v>
      </c>
      <c r="H255" s="7">
        <v>0</v>
      </c>
      <c r="I255" s="7">
        <v>0</v>
      </c>
      <c r="J255" s="7">
        <v>0</v>
      </c>
      <c r="K255" s="7">
        <v>0</v>
      </c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</row>
    <row r="256" spans="1:17">
      <c r="A256" s="2">
        <v>2204</v>
      </c>
      <c r="B256" s="7">
        <v>0</v>
      </c>
      <c r="C256" s="7">
        <v>0</v>
      </c>
      <c r="D256" s="7">
        <v>0</v>
      </c>
      <c r="E256" s="7">
        <v>0</v>
      </c>
      <c r="F256" s="7">
        <v>0</v>
      </c>
      <c r="G256" s="7">
        <v>0</v>
      </c>
      <c r="H256" s="7">
        <v>0</v>
      </c>
      <c r="I256" s="7">
        <v>0</v>
      </c>
      <c r="J256" s="7">
        <v>0</v>
      </c>
      <c r="K256" s="7">
        <v>0</v>
      </c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</row>
    <row r="257" spans="1:17">
      <c r="A257" s="2">
        <v>2205</v>
      </c>
      <c r="B257" s="7">
        <v>0</v>
      </c>
      <c r="C257" s="7">
        <v>0</v>
      </c>
      <c r="D257" s="7">
        <v>0</v>
      </c>
      <c r="E257" s="7">
        <v>0</v>
      </c>
      <c r="F257" s="7">
        <v>0</v>
      </c>
      <c r="G257" s="7">
        <v>0</v>
      </c>
      <c r="H257" s="7">
        <v>0</v>
      </c>
      <c r="I257" s="7">
        <v>0</v>
      </c>
      <c r="J257" s="7">
        <v>0</v>
      </c>
      <c r="K257" s="7">
        <v>0</v>
      </c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</row>
    <row r="258" spans="1:17">
      <c r="A258" s="2">
        <v>2206</v>
      </c>
      <c r="B258" s="7">
        <v>0</v>
      </c>
      <c r="C258" s="7">
        <v>0</v>
      </c>
      <c r="D258" s="7">
        <v>0</v>
      </c>
      <c r="E258" s="7">
        <v>0</v>
      </c>
      <c r="F258" s="7">
        <v>0</v>
      </c>
      <c r="G258" s="7">
        <v>0</v>
      </c>
      <c r="H258" s="7">
        <v>0</v>
      </c>
      <c r="I258" s="7">
        <v>0</v>
      </c>
      <c r="J258" s="7">
        <v>0</v>
      </c>
      <c r="K258" s="7">
        <v>0</v>
      </c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</row>
    <row r="259" spans="1:17">
      <c r="A259" s="2">
        <v>2207</v>
      </c>
      <c r="B259" s="7">
        <v>0</v>
      </c>
      <c r="C259" s="7">
        <v>0</v>
      </c>
      <c r="D259" s="7">
        <v>0</v>
      </c>
      <c r="E259" s="7">
        <v>0</v>
      </c>
      <c r="F259" s="7">
        <v>0</v>
      </c>
      <c r="G259" s="7">
        <v>0</v>
      </c>
      <c r="H259" s="7">
        <v>0</v>
      </c>
      <c r="I259" s="7">
        <v>0</v>
      </c>
      <c r="J259" s="7">
        <v>0</v>
      </c>
      <c r="K259" s="7">
        <v>0</v>
      </c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</row>
    <row r="260" spans="1:17">
      <c r="A260" s="2">
        <v>2208</v>
      </c>
      <c r="B260" s="7">
        <v>0</v>
      </c>
      <c r="C260" s="7">
        <v>0</v>
      </c>
      <c r="D260" s="7">
        <v>0</v>
      </c>
      <c r="E260" s="7">
        <v>0</v>
      </c>
      <c r="F260" s="7">
        <v>0</v>
      </c>
      <c r="G260" s="7">
        <v>0</v>
      </c>
      <c r="H260" s="7">
        <v>0</v>
      </c>
      <c r="I260" s="7">
        <v>0</v>
      </c>
      <c r="J260" s="7">
        <v>0</v>
      </c>
      <c r="K260" s="7">
        <v>0</v>
      </c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</row>
    <row r="261" spans="1:17">
      <c r="A261" s="2">
        <v>2209</v>
      </c>
      <c r="B261" s="7">
        <v>0</v>
      </c>
      <c r="C261" s="7">
        <v>0</v>
      </c>
      <c r="D261" s="7">
        <v>0</v>
      </c>
      <c r="E261" s="7">
        <v>0</v>
      </c>
      <c r="F261" s="7">
        <v>0</v>
      </c>
      <c r="G261" s="7">
        <v>0</v>
      </c>
      <c r="H261" s="7">
        <v>0</v>
      </c>
      <c r="I261" s="7">
        <v>0</v>
      </c>
      <c r="J261" s="7">
        <v>0</v>
      </c>
      <c r="K261" s="7">
        <v>0</v>
      </c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</row>
    <row r="262" spans="1:17">
      <c r="A262" s="2">
        <v>2210</v>
      </c>
      <c r="B262" s="7">
        <v>0</v>
      </c>
      <c r="C262" s="7">
        <v>0</v>
      </c>
      <c r="D262" s="7">
        <v>0</v>
      </c>
      <c r="E262" s="7">
        <v>0</v>
      </c>
      <c r="F262" s="7">
        <v>0</v>
      </c>
      <c r="G262" s="7">
        <v>0</v>
      </c>
      <c r="H262" s="7">
        <v>0</v>
      </c>
      <c r="I262" s="7">
        <v>0</v>
      </c>
      <c r="J262" s="7">
        <v>0</v>
      </c>
      <c r="K262" s="7">
        <v>0</v>
      </c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</row>
    <row r="263" spans="1:17">
      <c r="A263" s="2">
        <v>2211</v>
      </c>
      <c r="B263" s="7">
        <v>0</v>
      </c>
      <c r="C263" s="7">
        <v>0</v>
      </c>
      <c r="D263" s="7">
        <v>0</v>
      </c>
      <c r="E263" s="7">
        <v>0</v>
      </c>
      <c r="F263" s="7">
        <v>0</v>
      </c>
      <c r="G263" s="7">
        <v>0</v>
      </c>
      <c r="H263" s="7">
        <v>0</v>
      </c>
      <c r="I263" s="7">
        <v>0</v>
      </c>
      <c r="J263" s="7">
        <v>0</v>
      </c>
      <c r="K263" s="7">
        <v>0</v>
      </c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</row>
    <row r="264" spans="1:17">
      <c r="A264" s="2">
        <v>2212</v>
      </c>
      <c r="B264" s="7">
        <v>0</v>
      </c>
      <c r="C264" s="7">
        <v>0</v>
      </c>
      <c r="D264" s="7">
        <v>0</v>
      </c>
      <c r="E264" s="7">
        <v>0</v>
      </c>
      <c r="F264" s="7">
        <v>0</v>
      </c>
      <c r="G264" s="7">
        <v>0</v>
      </c>
      <c r="H264" s="7">
        <v>0</v>
      </c>
      <c r="I264" s="7">
        <v>0</v>
      </c>
      <c r="J264" s="7">
        <v>0</v>
      </c>
      <c r="K264" s="7">
        <v>0</v>
      </c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</row>
    <row r="265" spans="1:17">
      <c r="A265" s="2">
        <v>2213</v>
      </c>
      <c r="B265" s="7">
        <v>0</v>
      </c>
      <c r="C265" s="7">
        <v>0</v>
      </c>
      <c r="D265" s="7">
        <v>0</v>
      </c>
      <c r="E265" s="7">
        <v>0</v>
      </c>
      <c r="F265" s="7">
        <v>0</v>
      </c>
      <c r="G265" s="7">
        <v>0</v>
      </c>
      <c r="H265" s="7">
        <v>0</v>
      </c>
      <c r="I265" s="7">
        <v>0</v>
      </c>
      <c r="J265" s="7">
        <v>0</v>
      </c>
      <c r="K265" s="7">
        <v>0</v>
      </c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</row>
    <row r="266" spans="1:17">
      <c r="A266" s="2">
        <v>2214</v>
      </c>
      <c r="B266" s="7">
        <v>0</v>
      </c>
      <c r="C266" s="7">
        <v>0</v>
      </c>
      <c r="D266" s="7">
        <v>0</v>
      </c>
      <c r="E266" s="7">
        <v>0</v>
      </c>
      <c r="F266" s="7">
        <v>0</v>
      </c>
      <c r="G266" s="7">
        <v>0</v>
      </c>
      <c r="H266" s="7">
        <v>0</v>
      </c>
      <c r="I266" s="7">
        <v>0</v>
      </c>
      <c r="J266" s="7">
        <v>0</v>
      </c>
      <c r="K266" s="7">
        <v>0</v>
      </c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</row>
    <row r="267" spans="1:17">
      <c r="A267" s="2">
        <v>2215</v>
      </c>
      <c r="B267" s="7">
        <v>0</v>
      </c>
      <c r="C267" s="7">
        <v>0</v>
      </c>
      <c r="D267" s="7">
        <v>0</v>
      </c>
      <c r="E267" s="7">
        <v>0</v>
      </c>
      <c r="F267" s="7">
        <v>0</v>
      </c>
      <c r="G267" s="7">
        <v>0</v>
      </c>
      <c r="H267" s="7">
        <v>0</v>
      </c>
      <c r="I267" s="7">
        <v>0</v>
      </c>
      <c r="J267" s="7">
        <v>0</v>
      </c>
      <c r="K267" s="7">
        <v>0</v>
      </c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</row>
    <row r="268" spans="1:17">
      <c r="A268" s="2">
        <v>2216</v>
      </c>
      <c r="B268" s="7">
        <v>0</v>
      </c>
      <c r="C268" s="7">
        <v>0</v>
      </c>
      <c r="D268" s="7">
        <v>0</v>
      </c>
      <c r="E268" s="7">
        <v>0</v>
      </c>
      <c r="F268" s="7">
        <v>0</v>
      </c>
      <c r="G268" s="7">
        <v>0</v>
      </c>
      <c r="H268" s="7">
        <v>0</v>
      </c>
      <c r="I268" s="7">
        <v>0</v>
      </c>
      <c r="J268" s="7">
        <v>0</v>
      </c>
      <c r="K268" s="7">
        <v>0</v>
      </c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</row>
    <row r="269" spans="1:17">
      <c r="A269" s="2">
        <v>2217</v>
      </c>
      <c r="B269" s="7">
        <v>0</v>
      </c>
      <c r="C269" s="7">
        <v>0</v>
      </c>
      <c r="D269" s="7">
        <v>0</v>
      </c>
      <c r="E269" s="7">
        <v>0</v>
      </c>
      <c r="F269" s="7">
        <v>0</v>
      </c>
      <c r="G269" s="7">
        <v>0</v>
      </c>
      <c r="H269" s="7">
        <v>0</v>
      </c>
      <c r="I269" s="7">
        <v>0</v>
      </c>
      <c r="J269" s="7">
        <v>0</v>
      </c>
      <c r="K269" s="7">
        <v>0</v>
      </c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</row>
    <row r="270" spans="1:17">
      <c r="A270" s="2">
        <v>2218</v>
      </c>
      <c r="B270" s="7">
        <v>0</v>
      </c>
      <c r="C270" s="7">
        <v>0</v>
      </c>
      <c r="D270" s="7">
        <v>0</v>
      </c>
      <c r="E270" s="7">
        <v>0</v>
      </c>
      <c r="F270" s="7">
        <v>0</v>
      </c>
      <c r="G270" s="7">
        <v>0</v>
      </c>
      <c r="H270" s="7">
        <v>0</v>
      </c>
      <c r="I270" s="7">
        <v>0</v>
      </c>
      <c r="J270" s="7">
        <v>0</v>
      </c>
      <c r="K270" s="7">
        <v>0</v>
      </c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</row>
    <row r="271" spans="1:17">
      <c r="A271" s="2">
        <v>2219</v>
      </c>
      <c r="B271" s="7">
        <v>0</v>
      </c>
      <c r="C271" s="7">
        <v>0</v>
      </c>
      <c r="D271" s="7">
        <v>0</v>
      </c>
      <c r="E271" s="7">
        <v>0</v>
      </c>
      <c r="F271" s="7">
        <v>0</v>
      </c>
      <c r="G271" s="7">
        <v>0</v>
      </c>
      <c r="H271" s="7">
        <v>0</v>
      </c>
      <c r="I271" s="7">
        <v>0</v>
      </c>
      <c r="J271" s="7">
        <v>0</v>
      </c>
      <c r="K271" s="7">
        <v>0</v>
      </c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</row>
    <row r="272" spans="1:17">
      <c r="A272" s="2">
        <v>2220</v>
      </c>
      <c r="B272" s="7">
        <v>0</v>
      </c>
      <c r="C272" s="7">
        <v>0</v>
      </c>
      <c r="D272" s="7">
        <v>0</v>
      </c>
      <c r="E272" s="7">
        <v>0</v>
      </c>
      <c r="F272" s="7">
        <v>0</v>
      </c>
      <c r="G272" s="7">
        <v>0</v>
      </c>
      <c r="H272" s="7">
        <v>0</v>
      </c>
      <c r="I272" s="7">
        <v>0</v>
      </c>
      <c r="J272" s="7">
        <v>0</v>
      </c>
      <c r="K272" s="7">
        <v>0</v>
      </c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</row>
    <row r="273" spans="1:17">
      <c r="A273" s="2">
        <v>2221</v>
      </c>
      <c r="B273" s="7">
        <v>0</v>
      </c>
      <c r="C273" s="7">
        <v>0</v>
      </c>
      <c r="D273" s="7">
        <v>0</v>
      </c>
      <c r="E273" s="7">
        <v>0</v>
      </c>
      <c r="F273" s="7">
        <v>0</v>
      </c>
      <c r="G273" s="7">
        <v>0</v>
      </c>
      <c r="H273" s="7">
        <v>0</v>
      </c>
      <c r="I273" s="7">
        <v>0</v>
      </c>
      <c r="J273" s="7">
        <v>0</v>
      </c>
      <c r="K273" s="7">
        <v>0</v>
      </c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</row>
    <row r="274" spans="1:17">
      <c r="A274" s="2">
        <v>2222</v>
      </c>
      <c r="B274" s="7">
        <v>0</v>
      </c>
      <c r="C274" s="7">
        <v>0</v>
      </c>
      <c r="D274" s="7">
        <v>0</v>
      </c>
      <c r="E274" s="7">
        <v>0</v>
      </c>
      <c r="F274" s="7">
        <v>0</v>
      </c>
      <c r="G274" s="7">
        <v>0</v>
      </c>
      <c r="H274" s="7">
        <v>0</v>
      </c>
      <c r="I274" s="7">
        <v>0</v>
      </c>
      <c r="J274" s="7">
        <v>0</v>
      </c>
      <c r="K274" s="7">
        <v>0</v>
      </c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</row>
    <row r="275" spans="1:17">
      <c r="A275" s="2">
        <v>2223</v>
      </c>
      <c r="B275" s="7">
        <v>0</v>
      </c>
      <c r="C275" s="7">
        <v>0</v>
      </c>
      <c r="D275" s="7">
        <v>0</v>
      </c>
      <c r="E275" s="7">
        <v>0</v>
      </c>
      <c r="F275" s="7">
        <v>0</v>
      </c>
      <c r="G275" s="7">
        <v>0</v>
      </c>
      <c r="H275" s="7">
        <v>0</v>
      </c>
      <c r="I275" s="7">
        <v>0</v>
      </c>
      <c r="J275" s="7">
        <v>0</v>
      </c>
      <c r="K275" s="7">
        <v>0</v>
      </c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</row>
    <row r="276" spans="1:17">
      <c r="A276" s="2">
        <v>2224</v>
      </c>
      <c r="B276" s="7">
        <v>0</v>
      </c>
      <c r="C276" s="7">
        <v>0</v>
      </c>
      <c r="D276" s="7">
        <v>0</v>
      </c>
      <c r="E276" s="7">
        <v>0</v>
      </c>
      <c r="F276" s="7">
        <v>0</v>
      </c>
      <c r="G276" s="7">
        <v>0</v>
      </c>
      <c r="H276" s="7">
        <v>0</v>
      </c>
      <c r="I276" s="7">
        <v>0</v>
      </c>
      <c r="J276" s="7">
        <v>0</v>
      </c>
      <c r="K276" s="7">
        <v>0</v>
      </c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</row>
    <row r="277" spans="1:17">
      <c r="A277" s="2">
        <v>2225</v>
      </c>
      <c r="B277" s="7">
        <v>0</v>
      </c>
      <c r="C277" s="7">
        <v>0</v>
      </c>
      <c r="D277" s="7">
        <v>0</v>
      </c>
      <c r="E277" s="7">
        <v>0</v>
      </c>
      <c r="F277" s="7">
        <v>0</v>
      </c>
      <c r="G277" s="7">
        <v>0</v>
      </c>
      <c r="H277" s="7">
        <v>0</v>
      </c>
      <c r="I277" s="7">
        <v>0</v>
      </c>
      <c r="J277" s="7">
        <v>0</v>
      </c>
      <c r="K277" s="7">
        <v>0</v>
      </c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</row>
    <row r="278" spans="1:17">
      <c r="A278" s="2">
        <v>2226</v>
      </c>
      <c r="B278" s="7">
        <v>0</v>
      </c>
      <c r="C278" s="7">
        <v>0</v>
      </c>
      <c r="D278" s="7">
        <v>0</v>
      </c>
      <c r="E278" s="7">
        <v>0</v>
      </c>
      <c r="F278" s="7">
        <v>0</v>
      </c>
      <c r="G278" s="7">
        <v>0</v>
      </c>
      <c r="H278" s="7">
        <v>0</v>
      </c>
      <c r="I278" s="7">
        <v>0</v>
      </c>
      <c r="J278" s="7">
        <v>0</v>
      </c>
      <c r="K278" s="7">
        <v>0</v>
      </c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</row>
    <row r="279" spans="1:17">
      <c r="A279" s="2">
        <v>2227</v>
      </c>
      <c r="B279" s="7">
        <v>0</v>
      </c>
      <c r="C279" s="7">
        <v>0</v>
      </c>
      <c r="D279" s="7">
        <v>0</v>
      </c>
      <c r="E279" s="7">
        <v>0</v>
      </c>
      <c r="F279" s="7">
        <v>0</v>
      </c>
      <c r="G279" s="7">
        <v>0</v>
      </c>
      <c r="H279" s="7">
        <v>0</v>
      </c>
      <c r="I279" s="7">
        <v>0</v>
      </c>
      <c r="J279" s="7">
        <v>0</v>
      </c>
      <c r="K279" s="7">
        <v>0</v>
      </c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</row>
    <row r="280" spans="1:17">
      <c r="A280" s="2">
        <v>2228</v>
      </c>
      <c r="B280" s="7">
        <v>0</v>
      </c>
      <c r="C280" s="7">
        <v>0</v>
      </c>
      <c r="D280" s="7">
        <v>0</v>
      </c>
      <c r="E280" s="7">
        <v>0</v>
      </c>
      <c r="F280" s="7">
        <v>0</v>
      </c>
      <c r="G280" s="7">
        <v>0</v>
      </c>
      <c r="H280" s="7">
        <v>0</v>
      </c>
      <c r="I280" s="7">
        <v>0</v>
      </c>
      <c r="J280" s="7">
        <v>0</v>
      </c>
      <c r="K280" s="7">
        <v>0</v>
      </c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</row>
    <row r="281" spans="1:17">
      <c r="A281" s="2">
        <v>2229</v>
      </c>
      <c r="B281" s="7">
        <v>0</v>
      </c>
      <c r="C281" s="7">
        <v>0</v>
      </c>
      <c r="D281" s="7">
        <v>0</v>
      </c>
      <c r="E281" s="7">
        <v>0</v>
      </c>
      <c r="F281" s="7">
        <v>0</v>
      </c>
      <c r="G281" s="7">
        <v>0</v>
      </c>
      <c r="H281" s="7">
        <v>0</v>
      </c>
      <c r="I281" s="7">
        <v>0</v>
      </c>
      <c r="J281" s="7">
        <v>0</v>
      </c>
      <c r="K281" s="7">
        <v>0</v>
      </c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</row>
    <row r="282" spans="1:17">
      <c r="A282" s="2">
        <v>2230</v>
      </c>
      <c r="B282" s="7">
        <v>0</v>
      </c>
      <c r="C282" s="7">
        <v>0</v>
      </c>
      <c r="D282" s="7">
        <v>0</v>
      </c>
      <c r="E282" s="7">
        <v>0</v>
      </c>
      <c r="F282" s="7">
        <v>0</v>
      </c>
      <c r="G282" s="7">
        <v>0</v>
      </c>
      <c r="H282" s="7">
        <v>0</v>
      </c>
      <c r="I282" s="7">
        <v>0</v>
      </c>
      <c r="J282" s="7">
        <v>0</v>
      </c>
      <c r="K282" s="7">
        <v>0</v>
      </c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</row>
    <row r="283" spans="1:17">
      <c r="A283" s="2">
        <v>2231</v>
      </c>
      <c r="B283" s="7">
        <v>0</v>
      </c>
      <c r="C283" s="7">
        <v>0</v>
      </c>
      <c r="D283" s="7">
        <v>0</v>
      </c>
      <c r="E283" s="7">
        <v>0</v>
      </c>
      <c r="F283" s="7">
        <v>0</v>
      </c>
      <c r="G283" s="7">
        <v>0</v>
      </c>
      <c r="H283" s="7">
        <v>0</v>
      </c>
      <c r="I283" s="7">
        <v>0</v>
      </c>
      <c r="J283" s="7">
        <v>0</v>
      </c>
      <c r="K283" s="7">
        <v>0</v>
      </c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</row>
    <row r="284" spans="1:17">
      <c r="A284" s="2">
        <v>2232</v>
      </c>
      <c r="B284" s="7">
        <v>0</v>
      </c>
      <c r="C284" s="7">
        <v>0</v>
      </c>
      <c r="D284" s="7">
        <v>0</v>
      </c>
      <c r="E284" s="7">
        <v>0</v>
      </c>
      <c r="F284" s="7">
        <v>0</v>
      </c>
      <c r="G284" s="7">
        <v>0</v>
      </c>
      <c r="H284" s="7">
        <v>0</v>
      </c>
      <c r="I284" s="7">
        <v>0</v>
      </c>
      <c r="J284" s="7">
        <v>0</v>
      </c>
      <c r="K284" s="7">
        <v>0</v>
      </c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</row>
    <row r="285" spans="1:17">
      <c r="A285" s="2">
        <v>2233</v>
      </c>
      <c r="B285" s="7">
        <v>0</v>
      </c>
      <c r="C285" s="7">
        <v>0</v>
      </c>
      <c r="D285" s="7">
        <v>0</v>
      </c>
      <c r="E285" s="7">
        <v>0</v>
      </c>
      <c r="F285" s="7">
        <v>0</v>
      </c>
      <c r="G285" s="7">
        <v>0</v>
      </c>
      <c r="H285" s="7">
        <v>0</v>
      </c>
      <c r="I285" s="7">
        <v>0</v>
      </c>
      <c r="J285" s="7">
        <v>0</v>
      </c>
      <c r="K285" s="7">
        <v>0</v>
      </c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</row>
    <row r="286" spans="1:17">
      <c r="A286" s="2">
        <v>2234</v>
      </c>
      <c r="B286" s="7">
        <v>0</v>
      </c>
      <c r="C286" s="7">
        <v>0</v>
      </c>
      <c r="D286" s="7">
        <v>0</v>
      </c>
      <c r="E286" s="7">
        <v>0</v>
      </c>
      <c r="F286" s="7">
        <v>0</v>
      </c>
      <c r="G286" s="7">
        <v>0</v>
      </c>
      <c r="H286" s="7">
        <v>0</v>
      </c>
      <c r="I286" s="7">
        <v>0</v>
      </c>
      <c r="J286" s="7">
        <v>0</v>
      </c>
      <c r="K286" s="7">
        <v>0</v>
      </c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</row>
    <row r="287" spans="1:17">
      <c r="A287" s="2">
        <v>2235</v>
      </c>
      <c r="B287" s="7">
        <v>0</v>
      </c>
      <c r="C287" s="7">
        <v>0</v>
      </c>
      <c r="D287" s="7">
        <v>0</v>
      </c>
      <c r="E287" s="7">
        <v>0</v>
      </c>
      <c r="F287" s="7">
        <v>0</v>
      </c>
      <c r="G287" s="7">
        <v>0</v>
      </c>
      <c r="H287" s="7">
        <v>0</v>
      </c>
      <c r="I287" s="7">
        <v>0</v>
      </c>
      <c r="J287" s="7">
        <v>0</v>
      </c>
      <c r="K287" s="7">
        <v>0</v>
      </c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</row>
    <row r="288" spans="1:17">
      <c r="A288" s="2">
        <v>2236</v>
      </c>
      <c r="B288" s="7">
        <v>0</v>
      </c>
      <c r="C288" s="7">
        <v>0</v>
      </c>
      <c r="D288" s="7">
        <v>0</v>
      </c>
      <c r="E288" s="7">
        <v>0</v>
      </c>
      <c r="F288" s="7">
        <v>0</v>
      </c>
      <c r="G288" s="7">
        <v>0</v>
      </c>
      <c r="H288" s="7">
        <v>0</v>
      </c>
      <c r="I288" s="7">
        <v>0</v>
      </c>
      <c r="J288" s="7">
        <v>0</v>
      </c>
      <c r="K288" s="7">
        <v>0</v>
      </c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</row>
    <row r="289" spans="1:17">
      <c r="A289" s="2">
        <v>2237</v>
      </c>
      <c r="B289" s="7">
        <v>0</v>
      </c>
      <c r="C289" s="7">
        <v>0</v>
      </c>
      <c r="D289" s="7">
        <v>0</v>
      </c>
      <c r="E289" s="7">
        <v>0</v>
      </c>
      <c r="F289" s="7">
        <v>0</v>
      </c>
      <c r="G289" s="7">
        <v>0</v>
      </c>
      <c r="H289" s="7">
        <v>0</v>
      </c>
      <c r="I289" s="7">
        <v>0</v>
      </c>
      <c r="J289" s="7">
        <v>0</v>
      </c>
      <c r="K289" s="7">
        <v>0</v>
      </c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</row>
    <row r="290" spans="1:17">
      <c r="A290" s="2">
        <v>2238</v>
      </c>
      <c r="B290" s="7">
        <v>0</v>
      </c>
      <c r="C290" s="7">
        <v>0</v>
      </c>
      <c r="D290" s="7">
        <v>0</v>
      </c>
      <c r="E290" s="7">
        <v>0</v>
      </c>
      <c r="F290" s="7">
        <v>0</v>
      </c>
      <c r="G290" s="7">
        <v>0</v>
      </c>
      <c r="H290" s="7">
        <v>0</v>
      </c>
      <c r="I290" s="7">
        <v>0</v>
      </c>
      <c r="J290" s="7">
        <v>0</v>
      </c>
      <c r="K290" s="7">
        <v>0</v>
      </c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</row>
    <row r="291" spans="1:17">
      <c r="A291" s="2">
        <v>2239</v>
      </c>
      <c r="B291" s="7">
        <v>0</v>
      </c>
      <c r="C291" s="7">
        <v>0</v>
      </c>
      <c r="D291" s="7">
        <v>0</v>
      </c>
      <c r="E291" s="7">
        <v>0</v>
      </c>
      <c r="F291" s="7">
        <v>0</v>
      </c>
      <c r="G291" s="7">
        <v>0</v>
      </c>
      <c r="H291" s="7">
        <v>0</v>
      </c>
      <c r="I291" s="7">
        <v>0</v>
      </c>
      <c r="J291" s="7">
        <v>0</v>
      </c>
      <c r="K291" s="7">
        <v>0</v>
      </c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</row>
    <row r="292" spans="1:17">
      <c r="A292" s="2">
        <v>2240</v>
      </c>
      <c r="B292" s="7">
        <v>0</v>
      </c>
      <c r="C292" s="7">
        <v>0</v>
      </c>
      <c r="D292" s="7">
        <v>0</v>
      </c>
      <c r="E292" s="7">
        <v>0</v>
      </c>
      <c r="F292" s="7">
        <v>0</v>
      </c>
      <c r="G292" s="7">
        <v>0</v>
      </c>
      <c r="H292" s="7">
        <v>0</v>
      </c>
      <c r="I292" s="7">
        <v>0</v>
      </c>
      <c r="J292" s="7">
        <v>0</v>
      </c>
      <c r="K292" s="7">
        <v>0</v>
      </c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</row>
    <row r="293" spans="1:17">
      <c r="A293" s="2">
        <v>2241</v>
      </c>
      <c r="B293" s="7">
        <v>0</v>
      </c>
      <c r="C293" s="7">
        <v>0</v>
      </c>
      <c r="D293" s="7">
        <v>0</v>
      </c>
      <c r="E293" s="7">
        <v>0</v>
      </c>
      <c r="F293" s="7">
        <v>0</v>
      </c>
      <c r="G293" s="7">
        <v>0</v>
      </c>
      <c r="H293" s="7">
        <v>0</v>
      </c>
      <c r="I293" s="7">
        <v>0</v>
      </c>
      <c r="J293" s="7">
        <v>0</v>
      </c>
      <c r="K293" s="7">
        <v>0</v>
      </c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</row>
    <row r="294" spans="1:17">
      <c r="A294" s="2">
        <v>2242</v>
      </c>
      <c r="B294" s="7">
        <v>0</v>
      </c>
      <c r="C294" s="7">
        <v>0</v>
      </c>
      <c r="D294" s="7">
        <v>0</v>
      </c>
      <c r="E294" s="7">
        <v>0</v>
      </c>
      <c r="F294" s="7">
        <v>0</v>
      </c>
      <c r="G294" s="7">
        <v>0</v>
      </c>
      <c r="H294" s="7">
        <v>0</v>
      </c>
      <c r="I294" s="7">
        <v>0</v>
      </c>
      <c r="J294" s="7">
        <v>0</v>
      </c>
      <c r="K294" s="7">
        <v>0</v>
      </c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</row>
    <row r="295" spans="1:17">
      <c r="A295" s="2">
        <v>2243</v>
      </c>
      <c r="B295" s="7">
        <v>0</v>
      </c>
      <c r="C295" s="7">
        <v>0</v>
      </c>
      <c r="D295" s="7">
        <v>0</v>
      </c>
      <c r="E295" s="7">
        <v>0</v>
      </c>
      <c r="F295" s="7">
        <v>0</v>
      </c>
      <c r="G295" s="7">
        <v>0</v>
      </c>
      <c r="H295" s="7">
        <v>0</v>
      </c>
      <c r="I295" s="7">
        <v>0</v>
      </c>
      <c r="J295" s="7">
        <v>0</v>
      </c>
      <c r="K295" s="7">
        <v>0</v>
      </c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</row>
    <row r="296" spans="1:17">
      <c r="A296" s="2">
        <v>2244</v>
      </c>
      <c r="B296" s="7">
        <v>0</v>
      </c>
      <c r="C296" s="7">
        <v>0</v>
      </c>
      <c r="D296" s="7">
        <v>0</v>
      </c>
      <c r="E296" s="7">
        <v>0</v>
      </c>
      <c r="F296" s="7">
        <v>0</v>
      </c>
      <c r="G296" s="7">
        <v>0</v>
      </c>
      <c r="H296" s="7">
        <v>0</v>
      </c>
      <c r="I296" s="7">
        <v>0</v>
      </c>
      <c r="J296" s="7">
        <v>0</v>
      </c>
      <c r="K296" s="7">
        <v>0</v>
      </c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</row>
    <row r="297" spans="1:17">
      <c r="A297" s="2">
        <v>2245</v>
      </c>
      <c r="B297" s="7">
        <v>0</v>
      </c>
      <c r="C297" s="7">
        <v>0</v>
      </c>
      <c r="D297" s="7">
        <v>0</v>
      </c>
      <c r="E297" s="7">
        <v>0</v>
      </c>
      <c r="F297" s="7">
        <v>0</v>
      </c>
      <c r="G297" s="7">
        <v>0</v>
      </c>
      <c r="H297" s="7">
        <v>0</v>
      </c>
      <c r="I297" s="7">
        <v>0</v>
      </c>
      <c r="J297" s="7">
        <v>0</v>
      </c>
      <c r="K297" s="7">
        <v>0</v>
      </c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</row>
    <row r="298" spans="1:17">
      <c r="A298" s="2">
        <v>2246</v>
      </c>
      <c r="B298" s="7">
        <v>0</v>
      </c>
      <c r="C298" s="7">
        <v>0</v>
      </c>
      <c r="D298" s="7">
        <v>0</v>
      </c>
      <c r="E298" s="7">
        <v>0</v>
      </c>
      <c r="F298" s="7">
        <v>0</v>
      </c>
      <c r="G298" s="7">
        <v>0</v>
      </c>
      <c r="H298" s="7">
        <v>0</v>
      </c>
      <c r="I298" s="7">
        <v>0</v>
      </c>
      <c r="J298" s="7">
        <v>0</v>
      </c>
      <c r="K298" s="7">
        <v>0</v>
      </c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</row>
    <row r="299" spans="1:17">
      <c r="A299" s="2">
        <v>2247</v>
      </c>
      <c r="B299" s="7">
        <v>0</v>
      </c>
      <c r="C299" s="7">
        <v>0</v>
      </c>
      <c r="D299" s="7">
        <v>0</v>
      </c>
      <c r="E299" s="7">
        <v>0</v>
      </c>
      <c r="F299" s="7">
        <v>0</v>
      </c>
      <c r="G299" s="7">
        <v>0</v>
      </c>
      <c r="H299" s="7">
        <v>0</v>
      </c>
      <c r="I299" s="7">
        <v>0</v>
      </c>
      <c r="J299" s="7">
        <v>0</v>
      </c>
      <c r="K299" s="7">
        <v>0</v>
      </c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</row>
    <row r="300" spans="1:17">
      <c r="A300" s="2">
        <v>2248</v>
      </c>
      <c r="B300" s="7">
        <v>0</v>
      </c>
      <c r="C300" s="7">
        <v>0</v>
      </c>
      <c r="D300" s="7">
        <v>0</v>
      </c>
      <c r="E300" s="7">
        <v>0</v>
      </c>
      <c r="F300" s="7">
        <v>0</v>
      </c>
      <c r="G300" s="7">
        <v>0</v>
      </c>
      <c r="H300" s="7">
        <v>0</v>
      </c>
      <c r="I300" s="7">
        <v>0</v>
      </c>
      <c r="J300" s="7">
        <v>0</v>
      </c>
      <c r="K300" s="7">
        <v>0</v>
      </c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</row>
    <row r="301" spans="1:17">
      <c r="A301" s="2">
        <v>2249</v>
      </c>
      <c r="B301" s="7">
        <v>0</v>
      </c>
      <c r="C301" s="7">
        <v>0</v>
      </c>
      <c r="D301" s="7">
        <v>0</v>
      </c>
      <c r="E301" s="7">
        <v>0</v>
      </c>
      <c r="F301" s="7">
        <v>0</v>
      </c>
      <c r="G301" s="7">
        <v>0</v>
      </c>
      <c r="H301" s="7">
        <v>0</v>
      </c>
      <c r="I301" s="7">
        <v>0</v>
      </c>
      <c r="J301" s="7">
        <v>0</v>
      </c>
      <c r="K301" s="7">
        <v>0</v>
      </c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</row>
    <row r="302" spans="1:17">
      <c r="A302" s="2">
        <v>2250</v>
      </c>
      <c r="B302" s="7">
        <v>0</v>
      </c>
      <c r="C302" s="7">
        <v>0</v>
      </c>
      <c r="D302" s="7">
        <v>0</v>
      </c>
      <c r="E302" s="7">
        <v>0</v>
      </c>
      <c r="F302" s="7">
        <v>0</v>
      </c>
      <c r="G302" s="7">
        <v>0</v>
      </c>
      <c r="H302" s="7">
        <v>0</v>
      </c>
      <c r="I302" s="7">
        <v>0</v>
      </c>
      <c r="J302" s="7">
        <v>0</v>
      </c>
      <c r="K302" s="7">
        <v>0</v>
      </c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</row>
    <row r="303" spans="1:17">
      <c r="A303" s="2">
        <v>2251</v>
      </c>
      <c r="B303" s="7">
        <v>0</v>
      </c>
      <c r="C303" s="7">
        <v>0</v>
      </c>
      <c r="D303" s="7">
        <v>0</v>
      </c>
      <c r="E303" s="7">
        <v>0</v>
      </c>
      <c r="F303" s="7">
        <v>0</v>
      </c>
      <c r="G303" s="7">
        <v>0</v>
      </c>
      <c r="H303" s="7">
        <v>0</v>
      </c>
      <c r="I303" s="7">
        <v>0</v>
      </c>
      <c r="J303" s="7">
        <v>0</v>
      </c>
      <c r="K303" s="7">
        <v>0</v>
      </c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</row>
    <row r="304" spans="1:17">
      <c r="A304" s="2">
        <v>2252</v>
      </c>
      <c r="B304" s="7">
        <v>0</v>
      </c>
      <c r="C304" s="7">
        <v>0</v>
      </c>
      <c r="D304" s="7">
        <v>0</v>
      </c>
      <c r="E304" s="7">
        <v>0</v>
      </c>
      <c r="F304" s="7">
        <v>0</v>
      </c>
      <c r="G304" s="7">
        <v>0</v>
      </c>
      <c r="H304" s="7">
        <v>0</v>
      </c>
      <c r="I304" s="7">
        <v>0</v>
      </c>
      <c r="J304" s="7">
        <v>0</v>
      </c>
      <c r="K304" s="7">
        <v>0</v>
      </c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</row>
    <row r="305" spans="1:17">
      <c r="A305" s="2">
        <v>2253</v>
      </c>
      <c r="B305" s="7">
        <v>0</v>
      </c>
      <c r="C305" s="7">
        <v>0</v>
      </c>
      <c r="D305" s="7">
        <v>0</v>
      </c>
      <c r="E305" s="7">
        <v>0</v>
      </c>
      <c r="F305" s="7">
        <v>0</v>
      </c>
      <c r="G305" s="7">
        <v>0</v>
      </c>
      <c r="H305" s="7">
        <v>0</v>
      </c>
      <c r="I305" s="7">
        <v>0</v>
      </c>
      <c r="J305" s="7">
        <v>0</v>
      </c>
      <c r="K305" s="7">
        <v>0</v>
      </c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</row>
    <row r="306" spans="1:17">
      <c r="A306" s="2">
        <v>2254</v>
      </c>
      <c r="B306" s="7">
        <v>0</v>
      </c>
      <c r="C306" s="7">
        <v>0</v>
      </c>
      <c r="D306" s="7">
        <v>0</v>
      </c>
      <c r="E306" s="7">
        <v>0</v>
      </c>
      <c r="F306" s="7">
        <v>0</v>
      </c>
      <c r="G306" s="7">
        <v>0</v>
      </c>
      <c r="H306" s="7">
        <v>0</v>
      </c>
      <c r="I306" s="7">
        <v>0</v>
      </c>
      <c r="J306" s="7">
        <v>0</v>
      </c>
      <c r="K306" s="7">
        <v>0</v>
      </c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</row>
    <row r="307" spans="1:17">
      <c r="A307" s="2">
        <v>2255</v>
      </c>
      <c r="B307" s="7">
        <v>0</v>
      </c>
      <c r="C307" s="7">
        <v>0</v>
      </c>
      <c r="D307" s="7">
        <v>0</v>
      </c>
      <c r="E307" s="7">
        <v>0</v>
      </c>
      <c r="F307" s="7">
        <v>0</v>
      </c>
      <c r="G307" s="7">
        <v>0</v>
      </c>
      <c r="H307" s="7">
        <v>0</v>
      </c>
      <c r="I307" s="7">
        <v>0</v>
      </c>
      <c r="J307" s="7">
        <v>0</v>
      </c>
      <c r="K307" s="7">
        <v>0</v>
      </c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</row>
    <row r="308" spans="1:17">
      <c r="A308" s="2">
        <v>2256</v>
      </c>
      <c r="B308" s="7">
        <v>0</v>
      </c>
      <c r="C308" s="7">
        <v>0</v>
      </c>
      <c r="D308" s="7">
        <v>0</v>
      </c>
      <c r="E308" s="7">
        <v>0</v>
      </c>
      <c r="F308" s="7">
        <v>0</v>
      </c>
      <c r="G308" s="7">
        <v>0</v>
      </c>
      <c r="H308" s="7">
        <v>0</v>
      </c>
      <c r="I308" s="7">
        <v>0</v>
      </c>
      <c r="J308" s="7">
        <v>0</v>
      </c>
      <c r="K308" s="7">
        <v>0</v>
      </c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</row>
    <row r="309" spans="1:17">
      <c r="A309" s="2">
        <v>2257</v>
      </c>
      <c r="B309" s="7">
        <v>0</v>
      </c>
      <c r="C309" s="7">
        <v>0</v>
      </c>
      <c r="D309" s="7">
        <v>0</v>
      </c>
      <c r="E309" s="7">
        <v>0</v>
      </c>
      <c r="F309" s="7">
        <v>0</v>
      </c>
      <c r="G309" s="7">
        <v>0</v>
      </c>
      <c r="H309" s="7">
        <v>0</v>
      </c>
      <c r="I309" s="7">
        <v>0</v>
      </c>
      <c r="J309" s="7">
        <v>0</v>
      </c>
      <c r="K309" s="7">
        <v>0</v>
      </c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</row>
    <row r="310" spans="1:17">
      <c r="A310" s="2">
        <v>2258</v>
      </c>
      <c r="B310" s="7">
        <v>0</v>
      </c>
      <c r="C310" s="7">
        <v>0</v>
      </c>
      <c r="D310" s="7">
        <v>0</v>
      </c>
      <c r="E310" s="7">
        <v>0</v>
      </c>
      <c r="F310" s="7">
        <v>0</v>
      </c>
      <c r="G310" s="7">
        <v>0</v>
      </c>
      <c r="H310" s="7">
        <v>0</v>
      </c>
      <c r="I310" s="7">
        <v>0</v>
      </c>
      <c r="J310" s="7">
        <v>0</v>
      </c>
      <c r="K310" s="7">
        <v>0</v>
      </c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</row>
    <row r="311" spans="1:17">
      <c r="A311" s="2">
        <v>2259</v>
      </c>
      <c r="B311" s="7">
        <v>0</v>
      </c>
      <c r="C311" s="7">
        <v>0</v>
      </c>
      <c r="D311" s="7">
        <v>0</v>
      </c>
      <c r="E311" s="7">
        <v>0</v>
      </c>
      <c r="F311" s="7">
        <v>0</v>
      </c>
      <c r="G311" s="7">
        <v>0</v>
      </c>
      <c r="H311" s="7">
        <v>0</v>
      </c>
      <c r="I311" s="7">
        <v>0</v>
      </c>
      <c r="J311" s="7">
        <v>0</v>
      </c>
      <c r="K311" s="7">
        <v>0</v>
      </c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</row>
    <row r="312" spans="1:17">
      <c r="A312" s="2">
        <v>2260</v>
      </c>
      <c r="B312" s="7">
        <v>0</v>
      </c>
      <c r="C312" s="7">
        <v>0</v>
      </c>
      <c r="D312" s="7">
        <v>0</v>
      </c>
      <c r="E312" s="7">
        <v>0</v>
      </c>
      <c r="F312" s="7">
        <v>0</v>
      </c>
      <c r="G312" s="7">
        <v>0</v>
      </c>
      <c r="H312" s="7">
        <v>0</v>
      </c>
      <c r="I312" s="7">
        <v>0</v>
      </c>
      <c r="J312" s="7">
        <v>0</v>
      </c>
      <c r="K312" s="7">
        <v>0</v>
      </c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</row>
    <row r="313" spans="1:17">
      <c r="A313" s="2">
        <v>2261</v>
      </c>
      <c r="B313" s="7">
        <v>0</v>
      </c>
      <c r="C313" s="7">
        <v>0</v>
      </c>
      <c r="D313" s="7">
        <v>0</v>
      </c>
      <c r="E313" s="7">
        <v>0</v>
      </c>
      <c r="F313" s="7">
        <v>0</v>
      </c>
      <c r="G313" s="7">
        <v>0</v>
      </c>
      <c r="H313" s="7">
        <v>0</v>
      </c>
      <c r="I313" s="7">
        <v>0</v>
      </c>
      <c r="J313" s="7">
        <v>0</v>
      </c>
      <c r="K313" s="7">
        <v>0</v>
      </c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</row>
    <row r="314" spans="1:17">
      <c r="A314" s="2">
        <v>2262</v>
      </c>
      <c r="B314" s="7">
        <v>0</v>
      </c>
      <c r="C314" s="7">
        <v>0</v>
      </c>
      <c r="D314" s="7">
        <v>0</v>
      </c>
      <c r="E314" s="7">
        <v>0</v>
      </c>
      <c r="F314" s="7">
        <v>0</v>
      </c>
      <c r="G314" s="7">
        <v>0</v>
      </c>
      <c r="H314" s="7">
        <v>0</v>
      </c>
      <c r="I314" s="7">
        <v>0</v>
      </c>
      <c r="J314" s="7">
        <v>0</v>
      </c>
      <c r="K314" s="7">
        <v>0</v>
      </c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</row>
    <row r="315" spans="1:17">
      <c r="A315" s="2">
        <v>2263</v>
      </c>
      <c r="B315" s="7">
        <v>0</v>
      </c>
      <c r="C315" s="7">
        <v>0</v>
      </c>
      <c r="D315" s="7">
        <v>0</v>
      </c>
      <c r="E315" s="7">
        <v>0</v>
      </c>
      <c r="F315" s="7">
        <v>0</v>
      </c>
      <c r="G315" s="7">
        <v>0</v>
      </c>
      <c r="H315" s="7">
        <v>0</v>
      </c>
      <c r="I315" s="7">
        <v>0</v>
      </c>
      <c r="J315" s="7">
        <v>0</v>
      </c>
      <c r="K315" s="7">
        <v>0</v>
      </c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</row>
    <row r="316" spans="1:17">
      <c r="A316" s="2">
        <v>2264</v>
      </c>
      <c r="B316" s="7">
        <v>0</v>
      </c>
      <c r="C316" s="7">
        <v>0</v>
      </c>
      <c r="D316" s="7">
        <v>0</v>
      </c>
      <c r="E316" s="7">
        <v>0</v>
      </c>
      <c r="F316" s="7">
        <v>0</v>
      </c>
      <c r="G316" s="7">
        <v>0</v>
      </c>
      <c r="H316" s="7">
        <v>0</v>
      </c>
      <c r="I316" s="7">
        <v>0</v>
      </c>
      <c r="J316" s="7">
        <v>0</v>
      </c>
      <c r="K316" s="7">
        <v>0</v>
      </c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</row>
    <row r="317" spans="1:17">
      <c r="A317" s="2">
        <v>2265</v>
      </c>
      <c r="B317" s="7">
        <v>0</v>
      </c>
      <c r="C317" s="7">
        <v>0</v>
      </c>
      <c r="D317" s="7">
        <v>0</v>
      </c>
      <c r="E317" s="7">
        <v>0</v>
      </c>
      <c r="F317" s="7">
        <v>0</v>
      </c>
      <c r="G317" s="7">
        <v>0</v>
      </c>
      <c r="H317" s="7">
        <v>0</v>
      </c>
      <c r="I317" s="7">
        <v>0</v>
      </c>
      <c r="J317" s="7">
        <v>0</v>
      </c>
      <c r="K317" s="7">
        <v>0</v>
      </c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</row>
    <row r="318" spans="1:17">
      <c r="A318" s="2">
        <v>2266</v>
      </c>
      <c r="B318" s="7">
        <v>0</v>
      </c>
      <c r="C318" s="7">
        <v>0</v>
      </c>
      <c r="D318" s="7">
        <v>0</v>
      </c>
      <c r="E318" s="7">
        <v>0</v>
      </c>
      <c r="F318" s="7">
        <v>0</v>
      </c>
      <c r="G318" s="7">
        <v>0</v>
      </c>
      <c r="H318" s="7">
        <v>0</v>
      </c>
      <c r="I318" s="7">
        <v>0</v>
      </c>
      <c r="J318" s="7">
        <v>0</v>
      </c>
      <c r="K318" s="7">
        <v>0</v>
      </c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</row>
    <row r="319" spans="1:17">
      <c r="A319" s="2">
        <v>2267</v>
      </c>
      <c r="B319" s="7">
        <v>0</v>
      </c>
      <c r="C319" s="7">
        <v>0</v>
      </c>
      <c r="D319" s="7">
        <v>0</v>
      </c>
      <c r="E319" s="7">
        <v>0</v>
      </c>
      <c r="F319" s="7">
        <v>0</v>
      </c>
      <c r="G319" s="7">
        <v>0</v>
      </c>
      <c r="H319" s="7">
        <v>0</v>
      </c>
      <c r="I319" s="7">
        <v>0</v>
      </c>
      <c r="J319" s="7">
        <v>0</v>
      </c>
      <c r="K319" s="7">
        <v>0</v>
      </c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</row>
    <row r="320" spans="1:17">
      <c r="A320" s="2">
        <v>2268</v>
      </c>
      <c r="B320" s="7">
        <v>0</v>
      </c>
      <c r="C320" s="7">
        <v>0</v>
      </c>
      <c r="D320" s="7">
        <v>0</v>
      </c>
      <c r="E320" s="7">
        <v>0</v>
      </c>
      <c r="F320" s="7">
        <v>0</v>
      </c>
      <c r="G320" s="7">
        <v>0</v>
      </c>
      <c r="H320" s="7">
        <v>0</v>
      </c>
      <c r="I320" s="7">
        <v>0</v>
      </c>
      <c r="J320" s="7">
        <v>0</v>
      </c>
      <c r="K320" s="7">
        <v>0</v>
      </c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</row>
    <row r="321" spans="1:17">
      <c r="A321" s="2">
        <v>2269</v>
      </c>
      <c r="B321" s="7">
        <v>0</v>
      </c>
      <c r="C321" s="7">
        <v>0</v>
      </c>
      <c r="D321" s="7">
        <v>0</v>
      </c>
      <c r="E321" s="7">
        <v>0</v>
      </c>
      <c r="F321" s="7">
        <v>0</v>
      </c>
      <c r="G321" s="7">
        <v>0</v>
      </c>
      <c r="H321" s="7">
        <v>0</v>
      </c>
      <c r="I321" s="7">
        <v>0</v>
      </c>
      <c r="J321" s="7">
        <v>0</v>
      </c>
      <c r="K321" s="7">
        <v>0</v>
      </c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</row>
    <row r="322" spans="1:17">
      <c r="A322" s="2">
        <v>2270</v>
      </c>
      <c r="B322" s="7">
        <v>0</v>
      </c>
      <c r="C322" s="7">
        <v>0</v>
      </c>
      <c r="D322" s="7">
        <v>0</v>
      </c>
      <c r="E322" s="7">
        <v>0</v>
      </c>
      <c r="F322" s="7">
        <v>0</v>
      </c>
      <c r="G322" s="7">
        <v>0</v>
      </c>
      <c r="H322" s="7">
        <v>0</v>
      </c>
      <c r="I322" s="7">
        <v>0</v>
      </c>
      <c r="J322" s="7">
        <v>0</v>
      </c>
      <c r="K322" s="7">
        <v>0</v>
      </c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</row>
    <row r="323" spans="1:17">
      <c r="A323" s="2">
        <v>2271</v>
      </c>
      <c r="B323" s="7">
        <v>0</v>
      </c>
      <c r="C323" s="7">
        <v>0</v>
      </c>
      <c r="D323" s="7">
        <v>0</v>
      </c>
      <c r="E323" s="7">
        <v>0</v>
      </c>
      <c r="F323" s="7">
        <v>0</v>
      </c>
      <c r="G323" s="7">
        <v>0</v>
      </c>
      <c r="H323" s="7">
        <v>0</v>
      </c>
      <c r="I323" s="7">
        <v>0</v>
      </c>
      <c r="J323" s="7">
        <v>0</v>
      </c>
      <c r="K323" s="7">
        <v>0</v>
      </c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</row>
    <row r="324" spans="1:17">
      <c r="A324" s="2">
        <v>2272</v>
      </c>
      <c r="B324" s="7">
        <v>0</v>
      </c>
      <c r="C324" s="7">
        <v>0</v>
      </c>
      <c r="D324" s="7">
        <v>0</v>
      </c>
      <c r="E324" s="7">
        <v>0</v>
      </c>
      <c r="F324" s="7">
        <v>0</v>
      </c>
      <c r="G324" s="7">
        <v>0</v>
      </c>
      <c r="H324" s="7">
        <v>0</v>
      </c>
      <c r="I324" s="7">
        <v>0</v>
      </c>
      <c r="J324" s="7">
        <v>0</v>
      </c>
      <c r="K324" s="7">
        <v>0</v>
      </c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</row>
    <row r="325" spans="1:17">
      <c r="A325" s="2">
        <v>2273</v>
      </c>
      <c r="B325" s="7">
        <v>0</v>
      </c>
      <c r="C325" s="7">
        <v>0</v>
      </c>
      <c r="D325" s="7">
        <v>0</v>
      </c>
      <c r="E325" s="7">
        <v>0</v>
      </c>
      <c r="F325" s="7">
        <v>0</v>
      </c>
      <c r="G325" s="7">
        <v>0</v>
      </c>
      <c r="H325" s="7">
        <v>0</v>
      </c>
      <c r="I325" s="7">
        <v>0</v>
      </c>
      <c r="J325" s="7">
        <v>0</v>
      </c>
      <c r="K325" s="7">
        <v>0</v>
      </c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</row>
    <row r="326" spans="1:17">
      <c r="A326" s="2">
        <v>2274</v>
      </c>
      <c r="B326" s="7">
        <v>0</v>
      </c>
      <c r="C326" s="7">
        <v>0</v>
      </c>
      <c r="D326" s="7">
        <v>0</v>
      </c>
      <c r="E326" s="7">
        <v>0</v>
      </c>
      <c r="F326" s="7">
        <v>0</v>
      </c>
      <c r="G326" s="7">
        <v>0</v>
      </c>
      <c r="H326" s="7">
        <v>0</v>
      </c>
      <c r="I326" s="7">
        <v>0</v>
      </c>
      <c r="J326" s="7">
        <v>0</v>
      </c>
      <c r="K326" s="7">
        <v>0</v>
      </c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</row>
    <row r="327" spans="1:17">
      <c r="A327" s="2">
        <v>2275</v>
      </c>
      <c r="B327" s="7">
        <v>0</v>
      </c>
      <c r="C327" s="7">
        <v>0</v>
      </c>
      <c r="D327" s="7">
        <v>0</v>
      </c>
      <c r="E327" s="7">
        <v>0</v>
      </c>
      <c r="F327" s="7">
        <v>0</v>
      </c>
      <c r="G327" s="7">
        <v>0</v>
      </c>
      <c r="H327" s="7">
        <v>0</v>
      </c>
      <c r="I327" s="7">
        <v>0</v>
      </c>
      <c r="J327" s="7">
        <v>0</v>
      </c>
      <c r="K327" s="7">
        <v>0</v>
      </c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</row>
    <row r="328" spans="1:17">
      <c r="A328" s="2">
        <v>2276</v>
      </c>
      <c r="B328" s="7">
        <v>0</v>
      </c>
      <c r="C328" s="7">
        <v>0</v>
      </c>
      <c r="D328" s="7">
        <v>0</v>
      </c>
      <c r="E328" s="7">
        <v>0</v>
      </c>
      <c r="F328" s="7">
        <v>0</v>
      </c>
      <c r="G328" s="7">
        <v>0</v>
      </c>
      <c r="H328" s="7">
        <v>0</v>
      </c>
      <c r="I328" s="7">
        <v>0</v>
      </c>
      <c r="J328" s="7">
        <v>0</v>
      </c>
      <c r="K328" s="7">
        <v>0</v>
      </c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</row>
    <row r="329" spans="1:17">
      <c r="A329" s="2">
        <v>2277</v>
      </c>
      <c r="B329" s="7">
        <v>0</v>
      </c>
      <c r="C329" s="7">
        <v>0</v>
      </c>
      <c r="D329" s="7">
        <v>0</v>
      </c>
      <c r="E329" s="7">
        <v>0</v>
      </c>
      <c r="F329" s="7">
        <v>0</v>
      </c>
      <c r="G329" s="7">
        <v>0</v>
      </c>
      <c r="H329" s="7">
        <v>0</v>
      </c>
      <c r="I329" s="7">
        <v>0</v>
      </c>
      <c r="J329" s="7">
        <v>0</v>
      </c>
      <c r="K329" s="7">
        <v>0</v>
      </c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</row>
    <row r="330" spans="1:17">
      <c r="A330" s="2">
        <v>2278</v>
      </c>
      <c r="B330" s="7">
        <v>0</v>
      </c>
      <c r="C330" s="7">
        <v>0</v>
      </c>
      <c r="D330" s="7">
        <v>0</v>
      </c>
      <c r="E330" s="7">
        <v>0</v>
      </c>
      <c r="F330" s="7">
        <v>0</v>
      </c>
      <c r="G330" s="7">
        <v>0</v>
      </c>
      <c r="H330" s="7">
        <v>0</v>
      </c>
      <c r="I330" s="7">
        <v>0</v>
      </c>
      <c r="J330" s="7">
        <v>0</v>
      </c>
      <c r="K330" s="7">
        <v>0</v>
      </c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</row>
    <row r="331" spans="1:17">
      <c r="A331" s="2">
        <v>2279</v>
      </c>
      <c r="B331" s="7">
        <v>0</v>
      </c>
      <c r="C331" s="7">
        <v>0</v>
      </c>
      <c r="D331" s="7">
        <v>0</v>
      </c>
      <c r="E331" s="7">
        <v>0</v>
      </c>
      <c r="F331" s="7">
        <v>0</v>
      </c>
      <c r="G331" s="7">
        <v>0</v>
      </c>
      <c r="H331" s="7">
        <v>0</v>
      </c>
      <c r="I331" s="7">
        <v>0</v>
      </c>
      <c r="J331" s="7">
        <v>0</v>
      </c>
      <c r="K331" s="7">
        <v>0</v>
      </c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</row>
    <row r="332" spans="1:17">
      <c r="A332" s="2">
        <v>2280</v>
      </c>
      <c r="B332" s="7">
        <v>0</v>
      </c>
      <c r="C332" s="7">
        <v>0</v>
      </c>
      <c r="D332" s="7">
        <v>0</v>
      </c>
      <c r="E332" s="7">
        <v>0</v>
      </c>
      <c r="F332" s="7">
        <v>0</v>
      </c>
      <c r="G332" s="7">
        <v>0</v>
      </c>
      <c r="H332" s="7">
        <v>0</v>
      </c>
      <c r="I332" s="7">
        <v>0</v>
      </c>
      <c r="J332" s="7">
        <v>0</v>
      </c>
      <c r="K332" s="7">
        <v>0</v>
      </c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</row>
    <row r="333" spans="1:17">
      <c r="A333" s="2">
        <v>2281</v>
      </c>
      <c r="B333" s="7">
        <v>0</v>
      </c>
      <c r="C333" s="7">
        <v>0</v>
      </c>
      <c r="D333" s="7">
        <v>0</v>
      </c>
      <c r="E333" s="7">
        <v>0</v>
      </c>
      <c r="F333" s="7">
        <v>0</v>
      </c>
      <c r="G333" s="7">
        <v>0</v>
      </c>
      <c r="H333" s="7">
        <v>0</v>
      </c>
      <c r="I333" s="7">
        <v>0</v>
      </c>
      <c r="J333" s="7">
        <v>0</v>
      </c>
      <c r="K333" s="7">
        <v>0</v>
      </c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</row>
    <row r="334" spans="1:17">
      <c r="A334" s="2">
        <v>2282</v>
      </c>
      <c r="B334" s="7">
        <v>0</v>
      </c>
      <c r="C334" s="7">
        <v>0</v>
      </c>
      <c r="D334" s="7">
        <v>0</v>
      </c>
      <c r="E334" s="7">
        <v>0</v>
      </c>
      <c r="F334" s="7">
        <v>0</v>
      </c>
      <c r="G334" s="7">
        <v>0</v>
      </c>
      <c r="H334" s="7">
        <v>0</v>
      </c>
      <c r="I334" s="7">
        <v>0</v>
      </c>
      <c r="J334" s="7">
        <v>0</v>
      </c>
      <c r="K334" s="7">
        <v>0</v>
      </c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</row>
    <row r="335" spans="1:17">
      <c r="A335" s="2">
        <v>2283</v>
      </c>
      <c r="B335" s="7">
        <v>0</v>
      </c>
      <c r="C335" s="7">
        <v>0</v>
      </c>
      <c r="D335" s="7">
        <v>0</v>
      </c>
      <c r="E335" s="7">
        <v>0</v>
      </c>
      <c r="F335" s="7">
        <v>0</v>
      </c>
      <c r="G335" s="7">
        <v>0</v>
      </c>
      <c r="H335" s="7">
        <v>0</v>
      </c>
      <c r="I335" s="7">
        <v>0</v>
      </c>
      <c r="J335" s="7">
        <v>0</v>
      </c>
      <c r="K335" s="7">
        <v>0</v>
      </c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</row>
    <row r="336" spans="1:17">
      <c r="A336" s="2">
        <v>2284</v>
      </c>
      <c r="B336" s="7">
        <v>0</v>
      </c>
      <c r="C336" s="7">
        <v>0</v>
      </c>
      <c r="D336" s="7">
        <v>0</v>
      </c>
      <c r="E336" s="7">
        <v>0</v>
      </c>
      <c r="F336" s="7">
        <v>0</v>
      </c>
      <c r="G336" s="7">
        <v>0</v>
      </c>
      <c r="H336" s="7">
        <v>0</v>
      </c>
      <c r="I336" s="7">
        <v>0</v>
      </c>
      <c r="J336" s="7">
        <v>0</v>
      </c>
      <c r="K336" s="7">
        <v>0</v>
      </c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</row>
    <row r="337" spans="1:17">
      <c r="A337" s="2">
        <v>2285</v>
      </c>
      <c r="B337" s="7">
        <v>0</v>
      </c>
      <c r="C337" s="7">
        <v>0</v>
      </c>
      <c r="D337" s="7">
        <v>0</v>
      </c>
      <c r="E337" s="7">
        <v>0</v>
      </c>
      <c r="F337" s="7">
        <v>0</v>
      </c>
      <c r="G337" s="7">
        <v>0</v>
      </c>
      <c r="H337" s="7">
        <v>0</v>
      </c>
      <c r="I337" s="7">
        <v>0</v>
      </c>
      <c r="J337" s="7">
        <v>0</v>
      </c>
      <c r="K337" s="7">
        <v>0</v>
      </c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</row>
    <row r="338" spans="1:17">
      <c r="A338" s="2">
        <v>2286</v>
      </c>
      <c r="B338" s="7">
        <v>0</v>
      </c>
      <c r="C338" s="7">
        <v>0</v>
      </c>
      <c r="D338" s="7">
        <v>0</v>
      </c>
      <c r="E338" s="7">
        <v>0</v>
      </c>
      <c r="F338" s="7">
        <v>0</v>
      </c>
      <c r="G338" s="7">
        <v>0</v>
      </c>
      <c r="H338" s="7">
        <v>0</v>
      </c>
      <c r="I338" s="7">
        <v>0</v>
      </c>
      <c r="J338" s="7">
        <v>0</v>
      </c>
      <c r="K338" s="7">
        <v>0</v>
      </c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</row>
    <row r="339" spans="1:17">
      <c r="A339" s="2">
        <v>2287</v>
      </c>
      <c r="B339" s="7">
        <v>0</v>
      </c>
      <c r="C339" s="7">
        <v>0</v>
      </c>
      <c r="D339" s="7">
        <v>0</v>
      </c>
      <c r="E339" s="7">
        <v>0</v>
      </c>
      <c r="F339" s="7">
        <v>0</v>
      </c>
      <c r="G339" s="7">
        <v>0</v>
      </c>
      <c r="H339" s="7">
        <v>0</v>
      </c>
      <c r="I339" s="7">
        <v>0</v>
      </c>
      <c r="J339" s="7">
        <v>0</v>
      </c>
      <c r="K339" s="7">
        <v>0</v>
      </c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</row>
    <row r="340" spans="1:17">
      <c r="A340" s="2">
        <v>2288</v>
      </c>
      <c r="B340" s="7">
        <v>0</v>
      </c>
      <c r="C340" s="7">
        <v>0</v>
      </c>
      <c r="D340" s="7">
        <v>0</v>
      </c>
      <c r="E340" s="7">
        <v>0</v>
      </c>
      <c r="F340" s="7">
        <v>0</v>
      </c>
      <c r="G340" s="7">
        <v>0</v>
      </c>
      <c r="H340" s="7">
        <v>0</v>
      </c>
      <c r="I340" s="7">
        <v>0</v>
      </c>
      <c r="J340" s="7">
        <v>0</v>
      </c>
      <c r="K340" s="7">
        <v>0</v>
      </c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</row>
    <row r="341" spans="1:17">
      <c r="A341" s="2">
        <v>2289</v>
      </c>
      <c r="B341" s="7">
        <v>0</v>
      </c>
      <c r="C341" s="7">
        <v>0</v>
      </c>
      <c r="D341" s="7">
        <v>0</v>
      </c>
      <c r="E341" s="7">
        <v>0</v>
      </c>
      <c r="F341" s="7">
        <v>0</v>
      </c>
      <c r="G341" s="7">
        <v>0</v>
      </c>
      <c r="H341" s="7">
        <v>0</v>
      </c>
      <c r="I341" s="7">
        <v>0</v>
      </c>
      <c r="J341" s="7">
        <v>0</v>
      </c>
      <c r="K341" s="7">
        <v>0</v>
      </c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</row>
    <row r="342" spans="1:17">
      <c r="A342" s="2">
        <v>2290</v>
      </c>
      <c r="B342" s="7">
        <v>0</v>
      </c>
      <c r="C342" s="7">
        <v>0</v>
      </c>
      <c r="D342" s="7">
        <v>0</v>
      </c>
      <c r="E342" s="7">
        <v>0</v>
      </c>
      <c r="F342" s="7">
        <v>0</v>
      </c>
      <c r="G342" s="7">
        <v>0</v>
      </c>
      <c r="H342" s="7">
        <v>0</v>
      </c>
      <c r="I342" s="7">
        <v>0</v>
      </c>
      <c r="J342" s="7">
        <v>0</v>
      </c>
      <c r="K342" s="7">
        <v>0</v>
      </c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</row>
    <row r="343" spans="1:17">
      <c r="A343" s="2">
        <v>2291</v>
      </c>
      <c r="B343" s="7">
        <v>0</v>
      </c>
      <c r="C343" s="7">
        <v>0</v>
      </c>
      <c r="D343" s="7">
        <v>0</v>
      </c>
      <c r="E343" s="7">
        <v>0</v>
      </c>
      <c r="F343" s="7">
        <v>0</v>
      </c>
      <c r="G343" s="7">
        <v>0</v>
      </c>
      <c r="H343" s="7">
        <v>0</v>
      </c>
      <c r="I343" s="7">
        <v>0</v>
      </c>
      <c r="J343" s="7">
        <v>0</v>
      </c>
      <c r="K343" s="7">
        <v>0</v>
      </c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</row>
    <row r="344" spans="1:17">
      <c r="A344" s="2">
        <v>2292</v>
      </c>
      <c r="B344" s="7">
        <v>0</v>
      </c>
      <c r="C344" s="7">
        <v>0</v>
      </c>
      <c r="D344" s="7">
        <v>0</v>
      </c>
      <c r="E344" s="7">
        <v>0</v>
      </c>
      <c r="F344" s="7">
        <v>0</v>
      </c>
      <c r="G344" s="7">
        <v>0</v>
      </c>
      <c r="H344" s="7">
        <v>0</v>
      </c>
      <c r="I344" s="7">
        <v>0</v>
      </c>
      <c r="J344" s="7">
        <v>0</v>
      </c>
      <c r="K344" s="7">
        <v>0</v>
      </c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</row>
    <row r="345" spans="1:17">
      <c r="A345" s="2">
        <v>2293</v>
      </c>
      <c r="B345" s="7">
        <v>0</v>
      </c>
      <c r="C345" s="7">
        <v>0</v>
      </c>
      <c r="D345" s="7">
        <v>0</v>
      </c>
      <c r="E345" s="7">
        <v>0</v>
      </c>
      <c r="F345" s="7">
        <v>0</v>
      </c>
      <c r="G345" s="7">
        <v>0</v>
      </c>
      <c r="H345" s="7">
        <v>0</v>
      </c>
      <c r="I345" s="7">
        <v>0</v>
      </c>
      <c r="J345" s="7">
        <v>0</v>
      </c>
      <c r="K345" s="7">
        <v>0</v>
      </c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</row>
    <row r="346" spans="1:17">
      <c r="A346" s="2">
        <v>2294</v>
      </c>
      <c r="B346" s="7">
        <v>0</v>
      </c>
      <c r="C346" s="7">
        <v>0</v>
      </c>
      <c r="D346" s="7">
        <v>0</v>
      </c>
      <c r="E346" s="7">
        <v>0</v>
      </c>
      <c r="F346" s="7">
        <v>0</v>
      </c>
      <c r="G346" s="7">
        <v>0</v>
      </c>
      <c r="H346" s="7">
        <v>0</v>
      </c>
      <c r="I346" s="7">
        <v>0</v>
      </c>
      <c r="J346" s="7">
        <v>0</v>
      </c>
      <c r="K346" s="7">
        <v>0</v>
      </c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</row>
    <row r="347" spans="1:17">
      <c r="A347" s="2">
        <v>2295</v>
      </c>
      <c r="B347" s="7">
        <v>0</v>
      </c>
      <c r="C347" s="7">
        <v>0</v>
      </c>
      <c r="D347" s="7">
        <v>0</v>
      </c>
      <c r="E347" s="7">
        <v>0</v>
      </c>
      <c r="F347" s="7">
        <v>0</v>
      </c>
      <c r="G347" s="7">
        <v>0</v>
      </c>
      <c r="H347" s="7">
        <v>0</v>
      </c>
      <c r="I347" s="7">
        <v>0</v>
      </c>
      <c r="J347" s="7">
        <v>0</v>
      </c>
      <c r="K347" s="7">
        <v>0</v>
      </c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</row>
    <row r="348" spans="1:17">
      <c r="A348" s="2">
        <v>2296</v>
      </c>
      <c r="B348" s="7">
        <v>0</v>
      </c>
      <c r="C348" s="7">
        <v>0</v>
      </c>
      <c r="D348" s="7">
        <v>0</v>
      </c>
      <c r="E348" s="7">
        <v>0</v>
      </c>
      <c r="F348" s="7">
        <v>0</v>
      </c>
      <c r="G348" s="7">
        <v>0</v>
      </c>
      <c r="H348" s="7">
        <v>0</v>
      </c>
      <c r="I348" s="7">
        <v>0</v>
      </c>
      <c r="J348" s="7">
        <v>0</v>
      </c>
      <c r="K348" s="7">
        <v>0</v>
      </c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</row>
    <row r="349" spans="1:17">
      <c r="A349" s="2">
        <v>2297</v>
      </c>
      <c r="B349" s="7">
        <v>0</v>
      </c>
      <c r="C349" s="7">
        <v>0</v>
      </c>
      <c r="D349" s="7">
        <v>0</v>
      </c>
      <c r="E349" s="7">
        <v>0</v>
      </c>
      <c r="F349" s="7">
        <v>0</v>
      </c>
      <c r="G349" s="7">
        <v>0</v>
      </c>
      <c r="H349" s="7">
        <v>0</v>
      </c>
      <c r="I349" s="7">
        <v>0</v>
      </c>
      <c r="J349" s="7">
        <v>0</v>
      </c>
      <c r="K349" s="7">
        <v>0</v>
      </c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</row>
    <row r="350" spans="1:17">
      <c r="A350" s="2">
        <v>2298</v>
      </c>
      <c r="B350" s="7">
        <v>0</v>
      </c>
      <c r="C350" s="7">
        <v>0</v>
      </c>
      <c r="D350" s="7">
        <v>0</v>
      </c>
      <c r="E350" s="7">
        <v>0</v>
      </c>
      <c r="F350" s="7">
        <v>0</v>
      </c>
      <c r="G350" s="7">
        <v>0</v>
      </c>
      <c r="H350" s="7">
        <v>0</v>
      </c>
      <c r="I350" s="7">
        <v>0</v>
      </c>
      <c r="J350" s="7">
        <v>0</v>
      </c>
      <c r="K350" s="7">
        <v>0</v>
      </c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</row>
    <row r="351" spans="1:17">
      <c r="A351" s="2">
        <v>2299</v>
      </c>
      <c r="B351" s="7">
        <v>0</v>
      </c>
      <c r="C351" s="7">
        <v>0</v>
      </c>
      <c r="D351" s="7">
        <v>0</v>
      </c>
      <c r="E351" s="7">
        <v>0</v>
      </c>
      <c r="F351" s="7">
        <v>0</v>
      </c>
      <c r="G351" s="7">
        <v>0</v>
      </c>
      <c r="H351" s="7">
        <v>0</v>
      </c>
      <c r="I351" s="7">
        <v>0</v>
      </c>
      <c r="J351" s="7">
        <v>0</v>
      </c>
      <c r="K351" s="7">
        <v>0</v>
      </c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</row>
    <row r="352" spans="1:17">
      <c r="A352" s="2">
        <v>2300</v>
      </c>
      <c r="B352" s="7">
        <v>0</v>
      </c>
      <c r="C352" s="7">
        <v>0</v>
      </c>
      <c r="D352" s="7">
        <v>0</v>
      </c>
      <c r="E352" s="7">
        <v>0</v>
      </c>
      <c r="F352" s="7">
        <v>0</v>
      </c>
      <c r="G352" s="7">
        <v>0</v>
      </c>
      <c r="H352" s="7">
        <v>0</v>
      </c>
      <c r="I352" s="7">
        <v>0</v>
      </c>
      <c r="J352" s="7">
        <v>0</v>
      </c>
      <c r="K352" s="7">
        <v>0</v>
      </c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</row>
    <row r="353" spans="1:17">
      <c r="A353" s="2">
        <v>2301</v>
      </c>
      <c r="B353" s="7">
        <v>0</v>
      </c>
      <c r="C353" s="7">
        <v>0</v>
      </c>
      <c r="D353" s="7">
        <v>0</v>
      </c>
      <c r="E353" s="7">
        <v>0</v>
      </c>
      <c r="F353" s="7">
        <v>0</v>
      </c>
      <c r="G353" s="7">
        <v>0</v>
      </c>
      <c r="H353" s="7">
        <v>0</v>
      </c>
      <c r="I353" s="7">
        <v>0</v>
      </c>
      <c r="J353" s="7">
        <v>0</v>
      </c>
      <c r="K353" s="7">
        <v>0</v>
      </c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</row>
    <row r="354" spans="1:17">
      <c r="A354" s="2">
        <v>2302</v>
      </c>
      <c r="B354" s="7">
        <v>0</v>
      </c>
      <c r="C354" s="7">
        <v>0</v>
      </c>
      <c r="D354" s="7">
        <v>0</v>
      </c>
      <c r="E354" s="7">
        <v>0</v>
      </c>
      <c r="F354" s="7">
        <v>0</v>
      </c>
      <c r="G354" s="7">
        <v>0</v>
      </c>
      <c r="H354" s="7">
        <v>0</v>
      </c>
      <c r="I354" s="7">
        <v>0</v>
      </c>
      <c r="J354" s="7">
        <v>0</v>
      </c>
      <c r="K354" s="7">
        <v>0</v>
      </c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</row>
    <row r="355" spans="1:17">
      <c r="A355" s="2">
        <v>2303</v>
      </c>
      <c r="B355" s="7">
        <v>0</v>
      </c>
      <c r="C355" s="7">
        <v>0</v>
      </c>
      <c r="D355" s="7">
        <v>0</v>
      </c>
      <c r="E355" s="7">
        <v>0</v>
      </c>
      <c r="F355" s="7">
        <v>0</v>
      </c>
      <c r="G355" s="7">
        <v>0</v>
      </c>
      <c r="H355" s="7">
        <v>0</v>
      </c>
      <c r="I355" s="7">
        <v>0</v>
      </c>
      <c r="J355" s="7">
        <v>0</v>
      </c>
      <c r="K355" s="7">
        <v>0</v>
      </c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</row>
    <row r="356" spans="1:17">
      <c r="A356" s="2">
        <v>2304</v>
      </c>
      <c r="B356" s="7">
        <v>0</v>
      </c>
      <c r="C356" s="7">
        <v>0</v>
      </c>
      <c r="D356" s="7">
        <v>0</v>
      </c>
      <c r="E356" s="7">
        <v>0</v>
      </c>
      <c r="F356" s="7">
        <v>0</v>
      </c>
      <c r="G356" s="7">
        <v>0</v>
      </c>
      <c r="H356" s="7">
        <v>0</v>
      </c>
      <c r="I356" s="7">
        <v>0</v>
      </c>
      <c r="J356" s="7">
        <v>0</v>
      </c>
      <c r="K356" s="7">
        <v>0</v>
      </c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</row>
    <row r="357" spans="1:17">
      <c r="A357" s="2">
        <v>2305</v>
      </c>
      <c r="B357" s="7">
        <v>0</v>
      </c>
      <c r="C357" s="7">
        <v>0</v>
      </c>
      <c r="D357" s="7">
        <v>0</v>
      </c>
      <c r="E357" s="7">
        <v>0</v>
      </c>
      <c r="F357" s="7">
        <v>0</v>
      </c>
      <c r="G357" s="7">
        <v>0</v>
      </c>
      <c r="H357" s="7">
        <v>0</v>
      </c>
      <c r="I357" s="7">
        <v>0</v>
      </c>
      <c r="J357" s="7">
        <v>0</v>
      </c>
      <c r="K357" s="7">
        <v>0</v>
      </c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</row>
    <row r="358" spans="1:17">
      <c r="A358" s="2">
        <v>2306</v>
      </c>
      <c r="B358" s="7">
        <v>0</v>
      </c>
      <c r="C358" s="7">
        <v>0</v>
      </c>
      <c r="D358" s="7">
        <v>0</v>
      </c>
      <c r="E358" s="7">
        <v>0</v>
      </c>
      <c r="F358" s="7">
        <v>0</v>
      </c>
      <c r="G358" s="7">
        <v>0</v>
      </c>
      <c r="H358" s="7">
        <v>0</v>
      </c>
      <c r="I358" s="7">
        <v>0</v>
      </c>
      <c r="J358" s="7">
        <v>0</v>
      </c>
      <c r="K358" s="7">
        <v>0</v>
      </c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</row>
    <row r="359" spans="1:17">
      <c r="A359" s="2">
        <v>2307</v>
      </c>
      <c r="B359" s="7">
        <v>0</v>
      </c>
      <c r="C359" s="7">
        <v>0</v>
      </c>
      <c r="D359" s="7">
        <v>0</v>
      </c>
      <c r="E359" s="7">
        <v>0</v>
      </c>
      <c r="F359" s="7">
        <v>0</v>
      </c>
      <c r="G359" s="7">
        <v>0</v>
      </c>
      <c r="H359" s="7">
        <v>0</v>
      </c>
      <c r="I359" s="7">
        <v>0</v>
      </c>
      <c r="J359" s="7">
        <v>0</v>
      </c>
      <c r="K359" s="7">
        <v>0</v>
      </c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</row>
    <row r="360" spans="1:17">
      <c r="A360" s="2">
        <v>2308</v>
      </c>
      <c r="B360" s="7">
        <v>0</v>
      </c>
      <c r="C360" s="7">
        <v>0</v>
      </c>
      <c r="D360" s="7">
        <v>0</v>
      </c>
      <c r="E360" s="7">
        <v>0</v>
      </c>
      <c r="F360" s="7">
        <v>0</v>
      </c>
      <c r="G360" s="7">
        <v>0</v>
      </c>
      <c r="H360" s="7">
        <v>0</v>
      </c>
      <c r="I360" s="7">
        <v>0</v>
      </c>
      <c r="J360" s="7">
        <v>0</v>
      </c>
      <c r="K360" s="7">
        <v>0</v>
      </c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</row>
    <row r="361" spans="1:17">
      <c r="A361" s="2">
        <v>2309</v>
      </c>
      <c r="B361" s="7">
        <v>0</v>
      </c>
      <c r="C361" s="7">
        <v>0</v>
      </c>
      <c r="D361" s="7">
        <v>0</v>
      </c>
      <c r="E361" s="7">
        <v>0</v>
      </c>
      <c r="F361" s="7">
        <v>0</v>
      </c>
      <c r="G361" s="7">
        <v>0</v>
      </c>
      <c r="H361" s="7">
        <v>0</v>
      </c>
      <c r="I361" s="7">
        <v>0</v>
      </c>
      <c r="J361" s="7">
        <v>0</v>
      </c>
      <c r="K361" s="7">
        <v>0</v>
      </c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</row>
    <row r="362" spans="1:17">
      <c r="A362" s="2">
        <v>2310</v>
      </c>
      <c r="B362" s="7">
        <v>0</v>
      </c>
      <c r="C362" s="7">
        <v>0</v>
      </c>
      <c r="D362" s="7">
        <v>0</v>
      </c>
      <c r="E362" s="7">
        <v>0</v>
      </c>
      <c r="F362" s="7">
        <v>0</v>
      </c>
      <c r="G362" s="7">
        <v>0</v>
      </c>
      <c r="H362" s="7">
        <v>0</v>
      </c>
      <c r="I362" s="7">
        <v>0</v>
      </c>
      <c r="J362" s="7">
        <v>0</v>
      </c>
      <c r="K362" s="7">
        <v>0</v>
      </c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</row>
    <row r="363" spans="1:17">
      <c r="A363" s="2">
        <v>2311</v>
      </c>
      <c r="B363" s="7">
        <v>0</v>
      </c>
      <c r="C363" s="7">
        <v>0</v>
      </c>
      <c r="D363" s="7">
        <v>0</v>
      </c>
      <c r="E363" s="7">
        <v>0</v>
      </c>
      <c r="F363" s="7">
        <v>0</v>
      </c>
      <c r="G363" s="7">
        <v>0</v>
      </c>
      <c r="H363" s="7">
        <v>0</v>
      </c>
      <c r="I363" s="7">
        <v>0</v>
      </c>
      <c r="J363" s="7">
        <v>0</v>
      </c>
      <c r="K363" s="7">
        <v>0</v>
      </c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</row>
    <row r="364" spans="1:17">
      <c r="A364" s="2">
        <v>2312</v>
      </c>
      <c r="B364" s="7">
        <v>0</v>
      </c>
      <c r="C364" s="7">
        <v>0</v>
      </c>
      <c r="D364" s="7">
        <v>0</v>
      </c>
      <c r="E364" s="7">
        <v>0</v>
      </c>
      <c r="F364" s="7">
        <v>0</v>
      </c>
      <c r="G364" s="7">
        <v>0</v>
      </c>
      <c r="H364" s="7">
        <v>0</v>
      </c>
      <c r="I364" s="7">
        <v>0</v>
      </c>
      <c r="J364" s="7">
        <v>0</v>
      </c>
      <c r="K364" s="7">
        <v>0</v>
      </c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</row>
    <row r="365" spans="1:17">
      <c r="A365" s="2">
        <v>2313</v>
      </c>
      <c r="B365" s="7">
        <v>0</v>
      </c>
      <c r="C365" s="7">
        <v>0</v>
      </c>
      <c r="D365" s="7">
        <v>0</v>
      </c>
      <c r="E365" s="7">
        <v>0</v>
      </c>
      <c r="F365" s="7">
        <v>0</v>
      </c>
      <c r="G365" s="7">
        <v>0</v>
      </c>
      <c r="H365" s="7">
        <v>0</v>
      </c>
      <c r="I365" s="7">
        <v>0</v>
      </c>
      <c r="J365" s="7">
        <v>0</v>
      </c>
      <c r="K365" s="7">
        <v>0</v>
      </c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</row>
    <row r="366" spans="1:17">
      <c r="A366" s="2">
        <v>2314</v>
      </c>
      <c r="B366" s="7">
        <v>0</v>
      </c>
      <c r="C366" s="7">
        <v>0</v>
      </c>
      <c r="D366" s="7">
        <v>0</v>
      </c>
      <c r="E366" s="7">
        <v>0</v>
      </c>
      <c r="F366" s="7">
        <v>0</v>
      </c>
      <c r="G366" s="7">
        <v>0</v>
      </c>
      <c r="H366" s="7">
        <v>0</v>
      </c>
      <c r="I366" s="7">
        <v>0</v>
      </c>
      <c r="J366" s="7">
        <v>0</v>
      </c>
      <c r="K366" s="7">
        <v>0</v>
      </c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</row>
    <row r="367" spans="1:17">
      <c r="A367" s="2">
        <v>2315</v>
      </c>
      <c r="B367" s="7">
        <v>0</v>
      </c>
      <c r="C367" s="7">
        <v>0</v>
      </c>
      <c r="D367" s="7">
        <v>0</v>
      </c>
      <c r="E367" s="7">
        <v>0</v>
      </c>
      <c r="F367" s="7">
        <v>0</v>
      </c>
      <c r="G367" s="7">
        <v>0</v>
      </c>
      <c r="H367" s="7">
        <v>0</v>
      </c>
      <c r="I367" s="7">
        <v>0</v>
      </c>
      <c r="J367" s="7">
        <v>0</v>
      </c>
      <c r="K367" s="7">
        <v>0</v>
      </c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</row>
    <row r="368" spans="1:17">
      <c r="A368" s="2">
        <v>2316</v>
      </c>
      <c r="B368" s="7">
        <v>0</v>
      </c>
      <c r="C368" s="7">
        <v>0</v>
      </c>
      <c r="D368" s="7">
        <v>0</v>
      </c>
      <c r="E368" s="7">
        <v>0</v>
      </c>
      <c r="F368" s="7">
        <v>0</v>
      </c>
      <c r="G368" s="7">
        <v>0</v>
      </c>
      <c r="H368" s="7">
        <v>0</v>
      </c>
      <c r="I368" s="7">
        <v>0</v>
      </c>
      <c r="J368" s="7">
        <v>0</v>
      </c>
      <c r="K368" s="7">
        <v>0</v>
      </c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</row>
    <row r="369" spans="1:17">
      <c r="A369" s="2">
        <v>2317</v>
      </c>
      <c r="B369" s="7">
        <v>0</v>
      </c>
      <c r="C369" s="7">
        <v>0</v>
      </c>
      <c r="D369" s="7">
        <v>0</v>
      </c>
      <c r="E369" s="7">
        <v>0</v>
      </c>
      <c r="F369" s="7">
        <v>0</v>
      </c>
      <c r="G369" s="7">
        <v>0</v>
      </c>
      <c r="H369" s="7">
        <v>0</v>
      </c>
      <c r="I369" s="7">
        <v>0</v>
      </c>
      <c r="J369" s="7">
        <v>0</v>
      </c>
      <c r="K369" s="7">
        <v>0</v>
      </c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</row>
    <row r="370" spans="1:17">
      <c r="A370" s="2">
        <v>2318</v>
      </c>
      <c r="B370" s="7">
        <v>0</v>
      </c>
      <c r="C370" s="7">
        <v>0</v>
      </c>
      <c r="D370" s="7">
        <v>0</v>
      </c>
      <c r="E370" s="7">
        <v>0</v>
      </c>
      <c r="F370" s="7">
        <v>0</v>
      </c>
      <c r="G370" s="7">
        <v>0</v>
      </c>
      <c r="H370" s="7">
        <v>0</v>
      </c>
      <c r="I370" s="7">
        <v>0</v>
      </c>
      <c r="J370" s="7">
        <v>0</v>
      </c>
      <c r="K370" s="7">
        <v>0</v>
      </c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</row>
    <row r="371" spans="1:17">
      <c r="A371" s="2">
        <v>2319</v>
      </c>
      <c r="B371" s="7">
        <v>0</v>
      </c>
      <c r="C371" s="7">
        <v>0</v>
      </c>
      <c r="D371" s="7">
        <v>0</v>
      </c>
      <c r="E371" s="7">
        <v>0</v>
      </c>
      <c r="F371" s="7">
        <v>0</v>
      </c>
      <c r="G371" s="7">
        <v>0</v>
      </c>
      <c r="H371" s="7">
        <v>0</v>
      </c>
      <c r="I371" s="7">
        <v>0</v>
      </c>
      <c r="J371" s="7">
        <v>0</v>
      </c>
      <c r="K371" s="7">
        <v>0</v>
      </c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</row>
    <row r="372" spans="1:17">
      <c r="A372" s="2">
        <v>2320</v>
      </c>
      <c r="B372" s="7">
        <v>0</v>
      </c>
      <c r="C372" s="7">
        <v>0</v>
      </c>
      <c r="D372" s="7">
        <v>0</v>
      </c>
      <c r="E372" s="7">
        <v>0</v>
      </c>
      <c r="F372" s="7">
        <v>0</v>
      </c>
      <c r="G372" s="7">
        <v>0</v>
      </c>
      <c r="H372" s="7">
        <v>0</v>
      </c>
      <c r="I372" s="7">
        <v>0</v>
      </c>
      <c r="J372" s="7">
        <v>0</v>
      </c>
      <c r="K372" s="7">
        <v>0</v>
      </c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</row>
    <row r="373" spans="1:17">
      <c r="A373" s="2">
        <v>2321</v>
      </c>
      <c r="B373" s="7">
        <v>0</v>
      </c>
      <c r="C373" s="7">
        <v>0</v>
      </c>
      <c r="D373" s="7">
        <v>0</v>
      </c>
      <c r="E373" s="7">
        <v>0</v>
      </c>
      <c r="F373" s="7">
        <v>0</v>
      </c>
      <c r="G373" s="7">
        <v>0</v>
      </c>
      <c r="H373" s="7">
        <v>0</v>
      </c>
      <c r="I373" s="7">
        <v>0</v>
      </c>
      <c r="J373" s="7">
        <v>0</v>
      </c>
      <c r="K373" s="7">
        <v>0</v>
      </c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</row>
    <row r="374" spans="1:17">
      <c r="A374" s="2">
        <v>2322</v>
      </c>
      <c r="B374" s="7">
        <v>0</v>
      </c>
      <c r="C374" s="7">
        <v>0</v>
      </c>
      <c r="D374" s="7">
        <v>0</v>
      </c>
      <c r="E374" s="7">
        <v>0</v>
      </c>
      <c r="F374" s="7">
        <v>0</v>
      </c>
      <c r="G374" s="7">
        <v>0</v>
      </c>
      <c r="H374" s="7">
        <v>0</v>
      </c>
      <c r="I374" s="7">
        <v>0</v>
      </c>
      <c r="J374" s="7">
        <v>0</v>
      </c>
      <c r="K374" s="7">
        <v>0</v>
      </c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</row>
    <row r="375" spans="1:17">
      <c r="A375" s="2">
        <v>2323</v>
      </c>
      <c r="B375" s="7">
        <v>0</v>
      </c>
      <c r="C375" s="7">
        <v>0</v>
      </c>
      <c r="D375" s="7">
        <v>0</v>
      </c>
      <c r="E375" s="7">
        <v>0</v>
      </c>
      <c r="F375" s="7">
        <v>0</v>
      </c>
      <c r="G375" s="7">
        <v>0</v>
      </c>
      <c r="H375" s="7">
        <v>0</v>
      </c>
      <c r="I375" s="7">
        <v>0</v>
      </c>
      <c r="J375" s="7">
        <v>0</v>
      </c>
      <c r="K375" s="7">
        <v>0</v>
      </c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</row>
    <row r="376" spans="1:17">
      <c r="A376" s="2">
        <v>2324</v>
      </c>
      <c r="B376" s="7">
        <v>0</v>
      </c>
      <c r="C376" s="7">
        <v>0</v>
      </c>
      <c r="D376" s="7">
        <v>0</v>
      </c>
      <c r="E376" s="7">
        <v>0</v>
      </c>
      <c r="F376" s="7">
        <v>0</v>
      </c>
      <c r="G376" s="7">
        <v>0</v>
      </c>
      <c r="H376" s="7">
        <v>0</v>
      </c>
      <c r="I376" s="7">
        <v>0</v>
      </c>
      <c r="J376" s="7">
        <v>0</v>
      </c>
      <c r="K376" s="7">
        <v>0</v>
      </c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</row>
    <row r="377" spans="1:17">
      <c r="A377" s="2">
        <v>2325</v>
      </c>
      <c r="B377" s="7">
        <v>0</v>
      </c>
      <c r="C377" s="7">
        <v>0</v>
      </c>
      <c r="D377" s="7">
        <v>0</v>
      </c>
      <c r="E377" s="7">
        <v>0</v>
      </c>
      <c r="F377" s="7">
        <v>0</v>
      </c>
      <c r="G377" s="7">
        <v>0</v>
      </c>
      <c r="H377" s="7">
        <v>0</v>
      </c>
      <c r="I377" s="7">
        <v>0</v>
      </c>
      <c r="J377" s="7">
        <v>0</v>
      </c>
      <c r="K377" s="7">
        <v>0</v>
      </c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</row>
    <row r="378" spans="1:17">
      <c r="A378" s="2">
        <v>2326</v>
      </c>
      <c r="B378" s="7">
        <v>0</v>
      </c>
      <c r="C378" s="7">
        <v>0</v>
      </c>
      <c r="D378" s="7">
        <v>0</v>
      </c>
      <c r="E378" s="7">
        <v>0</v>
      </c>
      <c r="F378" s="7">
        <v>0</v>
      </c>
      <c r="G378" s="7">
        <v>0</v>
      </c>
      <c r="H378" s="7">
        <v>0</v>
      </c>
      <c r="I378" s="7">
        <v>0</v>
      </c>
      <c r="J378" s="7">
        <v>0</v>
      </c>
      <c r="K378" s="7">
        <v>0</v>
      </c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</row>
    <row r="379" spans="1:17">
      <c r="A379" s="2">
        <v>2327</v>
      </c>
      <c r="B379" s="7">
        <v>0</v>
      </c>
      <c r="C379" s="7">
        <v>0</v>
      </c>
      <c r="D379" s="7">
        <v>0</v>
      </c>
      <c r="E379" s="7">
        <v>0</v>
      </c>
      <c r="F379" s="7">
        <v>0</v>
      </c>
      <c r="G379" s="7">
        <v>0</v>
      </c>
      <c r="H379" s="7">
        <v>0</v>
      </c>
      <c r="I379" s="7">
        <v>0</v>
      </c>
      <c r="J379" s="7">
        <v>0</v>
      </c>
      <c r="K379" s="7">
        <v>0</v>
      </c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</row>
    <row r="380" spans="1:17">
      <c r="A380" s="2">
        <v>2328</v>
      </c>
      <c r="B380" s="7">
        <v>0</v>
      </c>
      <c r="C380" s="7">
        <v>0</v>
      </c>
      <c r="D380" s="7">
        <v>0</v>
      </c>
      <c r="E380" s="7">
        <v>0</v>
      </c>
      <c r="F380" s="7">
        <v>0</v>
      </c>
      <c r="G380" s="7">
        <v>0</v>
      </c>
      <c r="H380" s="7">
        <v>0</v>
      </c>
      <c r="I380" s="7">
        <v>0</v>
      </c>
      <c r="J380" s="7">
        <v>0</v>
      </c>
      <c r="K380" s="7">
        <v>0</v>
      </c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</row>
    <row r="381" spans="1:17">
      <c r="A381" s="2">
        <v>2329</v>
      </c>
      <c r="B381" s="7">
        <v>0</v>
      </c>
      <c r="C381" s="7">
        <v>0</v>
      </c>
      <c r="D381" s="7">
        <v>0</v>
      </c>
      <c r="E381" s="7">
        <v>0</v>
      </c>
      <c r="F381" s="7">
        <v>0</v>
      </c>
      <c r="G381" s="7">
        <v>0</v>
      </c>
      <c r="H381" s="7">
        <v>0</v>
      </c>
      <c r="I381" s="7">
        <v>0</v>
      </c>
      <c r="J381" s="7">
        <v>0</v>
      </c>
      <c r="K381" s="7">
        <v>0</v>
      </c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</row>
    <row r="382" spans="1:17">
      <c r="A382" s="2">
        <v>2330</v>
      </c>
      <c r="B382" s="7">
        <v>0</v>
      </c>
      <c r="C382" s="7">
        <v>0</v>
      </c>
      <c r="D382" s="7">
        <v>0</v>
      </c>
      <c r="E382" s="7">
        <v>0</v>
      </c>
      <c r="F382" s="7">
        <v>0</v>
      </c>
      <c r="G382" s="7">
        <v>0</v>
      </c>
      <c r="H382" s="7">
        <v>0</v>
      </c>
      <c r="I382" s="7">
        <v>0</v>
      </c>
      <c r="J382" s="7">
        <v>0</v>
      </c>
      <c r="K382" s="7">
        <v>0</v>
      </c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</row>
    <row r="383" spans="1:17">
      <c r="A383" s="2">
        <v>2331</v>
      </c>
      <c r="B383" s="7">
        <v>0</v>
      </c>
      <c r="C383" s="7">
        <v>0</v>
      </c>
      <c r="D383" s="7">
        <v>0</v>
      </c>
      <c r="E383" s="7">
        <v>0</v>
      </c>
      <c r="F383" s="7">
        <v>0</v>
      </c>
      <c r="G383" s="7">
        <v>0</v>
      </c>
      <c r="H383" s="7">
        <v>0</v>
      </c>
      <c r="I383" s="7">
        <v>0</v>
      </c>
      <c r="J383" s="7">
        <v>0</v>
      </c>
      <c r="K383" s="7">
        <v>0</v>
      </c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</row>
    <row r="384" spans="1:17">
      <c r="A384" s="2">
        <v>2332</v>
      </c>
      <c r="B384" s="7">
        <v>0</v>
      </c>
      <c r="C384" s="7">
        <v>0</v>
      </c>
      <c r="D384" s="7">
        <v>0</v>
      </c>
      <c r="E384" s="7">
        <v>0</v>
      </c>
      <c r="F384" s="7">
        <v>0</v>
      </c>
      <c r="G384" s="7">
        <v>0</v>
      </c>
      <c r="H384" s="7">
        <v>0</v>
      </c>
      <c r="I384" s="7">
        <v>0</v>
      </c>
      <c r="J384" s="7">
        <v>0</v>
      </c>
      <c r="K384" s="7">
        <v>0</v>
      </c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</row>
    <row r="385" spans="1:17">
      <c r="A385" s="2">
        <v>2333</v>
      </c>
      <c r="B385" s="7">
        <v>0</v>
      </c>
      <c r="C385" s="7">
        <v>0</v>
      </c>
      <c r="D385" s="7">
        <v>0</v>
      </c>
      <c r="E385" s="7">
        <v>0</v>
      </c>
      <c r="F385" s="7">
        <v>0</v>
      </c>
      <c r="G385" s="7">
        <v>0</v>
      </c>
      <c r="H385" s="7">
        <v>0</v>
      </c>
      <c r="I385" s="7">
        <v>0</v>
      </c>
      <c r="J385" s="7">
        <v>0</v>
      </c>
      <c r="K385" s="7">
        <v>0</v>
      </c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</row>
    <row r="386" spans="1:17">
      <c r="A386" s="2">
        <v>2334</v>
      </c>
      <c r="B386" s="7">
        <v>0</v>
      </c>
      <c r="C386" s="7">
        <v>0</v>
      </c>
      <c r="D386" s="7">
        <v>0</v>
      </c>
      <c r="E386" s="7">
        <v>0</v>
      </c>
      <c r="F386" s="7">
        <v>0</v>
      </c>
      <c r="G386" s="7">
        <v>0</v>
      </c>
      <c r="H386" s="7">
        <v>0</v>
      </c>
      <c r="I386" s="7">
        <v>0</v>
      </c>
      <c r="J386" s="7">
        <v>0</v>
      </c>
      <c r="K386" s="7">
        <v>0</v>
      </c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</row>
    <row r="387" spans="1:17">
      <c r="A387" s="2">
        <v>2335</v>
      </c>
      <c r="B387" s="7">
        <v>0</v>
      </c>
      <c r="C387" s="7">
        <v>0</v>
      </c>
      <c r="D387" s="7">
        <v>0</v>
      </c>
      <c r="E387" s="7">
        <v>0</v>
      </c>
      <c r="F387" s="7">
        <v>0</v>
      </c>
      <c r="G387" s="7">
        <v>0</v>
      </c>
      <c r="H387" s="7">
        <v>0</v>
      </c>
      <c r="I387" s="7">
        <v>0</v>
      </c>
      <c r="J387" s="7">
        <v>0</v>
      </c>
      <c r="K387" s="7">
        <v>0</v>
      </c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</row>
    <row r="388" spans="1:17">
      <c r="A388" s="2">
        <v>2336</v>
      </c>
      <c r="B388" s="7">
        <v>0</v>
      </c>
      <c r="C388" s="7">
        <v>0</v>
      </c>
      <c r="D388" s="7">
        <v>0</v>
      </c>
      <c r="E388" s="7">
        <v>0</v>
      </c>
      <c r="F388" s="7">
        <v>0</v>
      </c>
      <c r="G388" s="7">
        <v>0</v>
      </c>
      <c r="H388" s="7">
        <v>0</v>
      </c>
      <c r="I388" s="7">
        <v>0</v>
      </c>
      <c r="J388" s="7">
        <v>0</v>
      </c>
      <c r="K388" s="7">
        <v>0</v>
      </c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</row>
    <row r="389" spans="1:17">
      <c r="A389" s="2">
        <v>2337</v>
      </c>
      <c r="B389" s="7">
        <v>0</v>
      </c>
      <c r="C389" s="7">
        <v>0</v>
      </c>
      <c r="D389" s="7">
        <v>0</v>
      </c>
      <c r="E389" s="7">
        <v>0</v>
      </c>
      <c r="F389" s="7">
        <v>0</v>
      </c>
      <c r="G389" s="7">
        <v>0</v>
      </c>
      <c r="H389" s="7">
        <v>0</v>
      </c>
      <c r="I389" s="7">
        <v>0</v>
      </c>
      <c r="J389" s="7">
        <v>0</v>
      </c>
      <c r="K389" s="7">
        <v>0</v>
      </c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</row>
    <row r="390" spans="1:17">
      <c r="A390" s="2">
        <v>2338</v>
      </c>
      <c r="B390" s="7">
        <v>0</v>
      </c>
      <c r="C390" s="7">
        <v>0</v>
      </c>
      <c r="D390" s="7">
        <v>0</v>
      </c>
      <c r="E390" s="7">
        <v>0</v>
      </c>
      <c r="F390" s="7">
        <v>0</v>
      </c>
      <c r="G390" s="7">
        <v>0</v>
      </c>
      <c r="H390" s="7">
        <v>0</v>
      </c>
      <c r="I390" s="7">
        <v>0</v>
      </c>
      <c r="J390" s="7">
        <v>0</v>
      </c>
      <c r="K390" s="7">
        <v>0</v>
      </c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</row>
    <row r="391" spans="1:17">
      <c r="A391" s="2">
        <v>2339</v>
      </c>
      <c r="B391" s="7">
        <v>0</v>
      </c>
      <c r="C391" s="7">
        <v>0</v>
      </c>
      <c r="D391" s="7">
        <v>0</v>
      </c>
      <c r="E391" s="7">
        <v>0</v>
      </c>
      <c r="F391" s="7">
        <v>0</v>
      </c>
      <c r="G391" s="7">
        <v>0</v>
      </c>
      <c r="H391" s="7">
        <v>0</v>
      </c>
      <c r="I391" s="7">
        <v>0</v>
      </c>
      <c r="J391" s="7">
        <v>0</v>
      </c>
      <c r="K391" s="7">
        <v>0</v>
      </c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</row>
    <row r="392" spans="1:17">
      <c r="A392" s="2">
        <v>2340</v>
      </c>
      <c r="B392" s="7">
        <v>0</v>
      </c>
      <c r="C392" s="7">
        <v>0</v>
      </c>
      <c r="D392" s="7">
        <v>0</v>
      </c>
      <c r="E392" s="7">
        <v>0</v>
      </c>
      <c r="F392" s="7">
        <v>0</v>
      </c>
      <c r="G392" s="7">
        <v>0</v>
      </c>
      <c r="H392" s="7">
        <v>0</v>
      </c>
      <c r="I392" s="7">
        <v>0</v>
      </c>
      <c r="J392" s="7">
        <v>0</v>
      </c>
      <c r="K392" s="7">
        <v>0</v>
      </c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</row>
    <row r="393" spans="1:17">
      <c r="A393" s="2">
        <v>2341</v>
      </c>
      <c r="B393" s="7">
        <v>0</v>
      </c>
      <c r="C393" s="7">
        <v>0</v>
      </c>
      <c r="D393" s="7">
        <v>0</v>
      </c>
      <c r="E393" s="7">
        <v>0</v>
      </c>
      <c r="F393" s="7">
        <v>0</v>
      </c>
      <c r="G393" s="7">
        <v>0</v>
      </c>
      <c r="H393" s="7">
        <v>0</v>
      </c>
      <c r="I393" s="7">
        <v>0</v>
      </c>
      <c r="J393" s="7">
        <v>0</v>
      </c>
      <c r="K393" s="7">
        <v>0</v>
      </c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</row>
    <row r="394" spans="1:17">
      <c r="A394" s="2">
        <v>2342</v>
      </c>
      <c r="B394" s="7">
        <v>0</v>
      </c>
      <c r="C394" s="7">
        <v>0</v>
      </c>
      <c r="D394" s="7">
        <v>0</v>
      </c>
      <c r="E394" s="7">
        <v>0</v>
      </c>
      <c r="F394" s="7">
        <v>0</v>
      </c>
      <c r="G394" s="7">
        <v>0</v>
      </c>
      <c r="H394" s="7">
        <v>0</v>
      </c>
      <c r="I394" s="7">
        <v>0</v>
      </c>
      <c r="J394" s="7">
        <v>0</v>
      </c>
      <c r="K394" s="7">
        <v>0</v>
      </c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</row>
    <row r="395" spans="1:17">
      <c r="A395" s="2">
        <v>2343</v>
      </c>
      <c r="B395" s="7">
        <v>0</v>
      </c>
      <c r="C395" s="7">
        <v>0</v>
      </c>
      <c r="D395" s="7">
        <v>0</v>
      </c>
      <c r="E395" s="7">
        <v>0</v>
      </c>
      <c r="F395" s="7">
        <v>0</v>
      </c>
      <c r="G395" s="7">
        <v>0</v>
      </c>
      <c r="H395" s="7">
        <v>0</v>
      </c>
      <c r="I395" s="7">
        <v>0</v>
      </c>
      <c r="J395" s="7">
        <v>0</v>
      </c>
      <c r="K395" s="7">
        <v>0</v>
      </c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</row>
    <row r="396" spans="1:17">
      <c r="A396" s="2">
        <v>2344</v>
      </c>
      <c r="B396" s="7">
        <v>0</v>
      </c>
      <c r="C396" s="7">
        <v>0</v>
      </c>
      <c r="D396" s="7">
        <v>0</v>
      </c>
      <c r="E396" s="7">
        <v>0</v>
      </c>
      <c r="F396" s="7">
        <v>0</v>
      </c>
      <c r="G396" s="7">
        <v>0</v>
      </c>
      <c r="H396" s="7">
        <v>0</v>
      </c>
      <c r="I396" s="7">
        <v>0</v>
      </c>
      <c r="J396" s="7">
        <v>0</v>
      </c>
      <c r="K396" s="7">
        <v>0</v>
      </c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</row>
    <row r="397" spans="1:17">
      <c r="A397" s="2">
        <v>2345</v>
      </c>
      <c r="B397" s="7">
        <v>0</v>
      </c>
      <c r="C397" s="7">
        <v>0</v>
      </c>
      <c r="D397" s="7">
        <v>0</v>
      </c>
      <c r="E397" s="7">
        <v>0</v>
      </c>
      <c r="F397" s="7">
        <v>0</v>
      </c>
      <c r="G397" s="7">
        <v>0</v>
      </c>
      <c r="H397" s="7">
        <v>0</v>
      </c>
      <c r="I397" s="7">
        <v>0</v>
      </c>
      <c r="J397" s="7">
        <v>0</v>
      </c>
      <c r="K397" s="7">
        <v>0</v>
      </c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</row>
    <row r="398" spans="1:17">
      <c r="A398" s="2">
        <v>2346</v>
      </c>
      <c r="B398" s="7">
        <v>0</v>
      </c>
      <c r="C398" s="7">
        <v>0</v>
      </c>
      <c r="D398" s="7">
        <v>0</v>
      </c>
      <c r="E398" s="7">
        <v>0</v>
      </c>
      <c r="F398" s="7">
        <v>0</v>
      </c>
      <c r="G398" s="7">
        <v>0</v>
      </c>
      <c r="H398" s="7">
        <v>0</v>
      </c>
      <c r="I398" s="7">
        <v>0</v>
      </c>
      <c r="J398" s="7">
        <v>0</v>
      </c>
      <c r="K398" s="7">
        <v>0</v>
      </c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</row>
    <row r="399" spans="1:17">
      <c r="A399" s="2">
        <v>2347</v>
      </c>
      <c r="B399" s="7">
        <v>0</v>
      </c>
      <c r="C399" s="7">
        <v>0</v>
      </c>
      <c r="D399" s="7">
        <v>0</v>
      </c>
      <c r="E399" s="7">
        <v>0</v>
      </c>
      <c r="F399" s="7">
        <v>0</v>
      </c>
      <c r="G399" s="7">
        <v>0</v>
      </c>
      <c r="H399" s="7">
        <v>0</v>
      </c>
      <c r="I399" s="7">
        <v>0</v>
      </c>
      <c r="J399" s="7">
        <v>0</v>
      </c>
      <c r="K399" s="7">
        <v>0</v>
      </c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</row>
    <row r="400" spans="1:17">
      <c r="A400" s="2">
        <v>2348</v>
      </c>
      <c r="B400" s="7">
        <v>0</v>
      </c>
      <c r="C400" s="7">
        <v>0</v>
      </c>
      <c r="D400" s="7">
        <v>0</v>
      </c>
      <c r="E400" s="7">
        <v>0</v>
      </c>
      <c r="F400" s="7">
        <v>0</v>
      </c>
      <c r="G400" s="7">
        <v>0</v>
      </c>
      <c r="H400" s="7">
        <v>0</v>
      </c>
      <c r="I400" s="7">
        <v>0</v>
      </c>
      <c r="J400" s="7">
        <v>0</v>
      </c>
      <c r="K400" s="7">
        <v>0</v>
      </c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</row>
    <row r="401" spans="1:17">
      <c r="A401" s="2">
        <v>2349</v>
      </c>
      <c r="B401" s="7">
        <v>0</v>
      </c>
      <c r="C401" s="7">
        <v>0</v>
      </c>
      <c r="D401" s="7">
        <v>0</v>
      </c>
      <c r="E401" s="7">
        <v>0</v>
      </c>
      <c r="F401" s="7">
        <v>0</v>
      </c>
      <c r="G401" s="7">
        <v>0</v>
      </c>
      <c r="H401" s="7">
        <v>0</v>
      </c>
      <c r="I401" s="7">
        <v>0</v>
      </c>
      <c r="J401" s="7">
        <v>0</v>
      </c>
      <c r="K401" s="7">
        <v>0</v>
      </c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</row>
    <row r="402" spans="1:17">
      <c r="A402" s="2">
        <v>2350</v>
      </c>
      <c r="B402" s="7">
        <v>0</v>
      </c>
      <c r="C402" s="7">
        <v>0</v>
      </c>
      <c r="D402" s="7">
        <v>0</v>
      </c>
      <c r="E402" s="7">
        <v>0</v>
      </c>
      <c r="F402" s="7">
        <v>0</v>
      </c>
      <c r="G402" s="7">
        <v>0</v>
      </c>
      <c r="H402" s="7">
        <v>0</v>
      </c>
      <c r="I402" s="7">
        <v>0</v>
      </c>
      <c r="J402" s="7">
        <v>0</v>
      </c>
      <c r="K402" s="7">
        <v>0</v>
      </c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</row>
    <row r="403" spans="1:17">
      <c r="A403" s="2">
        <v>2351</v>
      </c>
      <c r="B403" s="7">
        <v>0</v>
      </c>
      <c r="C403" s="7">
        <v>0</v>
      </c>
      <c r="D403" s="7">
        <v>0</v>
      </c>
      <c r="E403" s="7">
        <v>0</v>
      </c>
      <c r="F403" s="7">
        <v>0</v>
      </c>
      <c r="G403" s="7">
        <v>0</v>
      </c>
      <c r="H403" s="7">
        <v>0</v>
      </c>
      <c r="I403" s="7">
        <v>0</v>
      </c>
      <c r="J403" s="7">
        <v>0</v>
      </c>
      <c r="K403" s="7">
        <v>0</v>
      </c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</row>
    <row r="404" spans="1:17">
      <c r="A404" s="2">
        <v>2352</v>
      </c>
      <c r="B404" s="7">
        <v>0</v>
      </c>
      <c r="C404" s="7">
        <v>0</v>
      </c>
      <c r="D404" s="7">
        <v>0</v>
      </c>
      <c r="E404" s="7">
        <v>0</v>
      </c>
      <c r="F404" s="7">
        <v>0</v>
      </c>
      <c r="G404" s="7">
        <v>0</v>
      </c>
      <c r="H404" s="7">
        <v>0</v>
      </c>
      <c r="I404" s="7">
        <v>0</v>
      </c>
      <c r="J404" s="7">
        <v>0</v>
      </c>
      <c r="K404" s="7">
        <v>0</v>
      </c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</row>
    <row r="405" spans="1:17">
      <c r="A405" s="2">
        <v>2353</v>
      </c>
      <c r="B405" s="7">
        <v>0</v>
      </c>
      <c r="C405" s="7">
        <v>0</v>
      </c>
      <c r="D405" s="7">
        <v>0</v>
      </c>
      <c r="E405" s="7">
        <v>0</v>
      </c>
      <c r="F405" s="7">
        <v>0</v>
      </c>
      <c r="G405" s="7">
        <v>0</v>
      </c>
      <c r="H405" s="7">
        <v>0</v>
      </c>
      <c r="I405" s="7">
        <v>0</v>
      </c>
      <c r="J405" s="7">
        <v>0</v>
      </c>
      <c r="K405" s="7">
        <v>0</v>
      </c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</row>
    <row r="406" spans="1:17">
      <c r="A406" s="2">
        <v>2354</v>
      </c>
      <c r="B406" s="7">
        <v>0</v>
      </c>
      <c r="C406" s="7">
        <v>0</v>
      </c>
      <c r="D406" s="7">
        <v>0</v>
      </c>
      <c r="E406" s="7">
        <v>0</v>
      </c>
      <c r="F406" s="7">
        <v>0</v>
      </c>
      <c r="G406" s="7">
        <v>0</v>
      </c>
      <c r="H406" s="7">
        <v>0</v>
      </c>
      <c r="I406" s="7">
        <v>0</v>
      </c>
      <c r="J406" s="7">
        <v>0</v>
      </c>
      <c r="K406" s="7">
        <v>0</v>
      </c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</row>
    <row r="407" spans="1:17">
      <c r="A407" s="2">
        <v>2355</v>
      </c>
      <c r="B407" s="7">
        <v>0</v>
      </c>
      <c r="C407" s="7">
        <v>0</v>
      </c>
      <c r="D407" s="7">
        <v>0</v>
      </c>
      <c r="E407" s="7">
        <v>0</v>
      </c>
      <c r="F407" s="7">
        <v>0</v>
      </c>
      <c r="G407" s="7">
        <v>0</v>
      </c>
      <c r="H407" s="7">
        <v>0</v>
      </c>
      <c r="I407" s="7">
        <v>0</v>
      </c>
      <c r="J407" s="7">
        <v>0</v>
      </c>
      <c r="K407" s="7">
        <v>0</v>
      </c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</row>
    <row r="408" spans="1:17">
      <c r="A408" s="2">
        <v>2356</v>
      </c>
      <c r="B408" s="7">
        <v>0</v>
      </c>
      <c r="C408" s="7">
        <v>0</v>
      </c>
      <c r="D408" s="7">
        <v>0</v>
      </c>
      <c r="E408" s="7">
        <v>0</v>
      </c>
      <c r="F408" s="7">
        <v>0</v>
      </c>
      <c r="G408" s="7">
        <v>0</v>
      </c>
      <c r="H408" s="7">
        <v>0</v>
      </c>
      <c r="I408" s="7">
        <v>0</v>
      </c>
      <c r="J408" s="7">
        <v>0</v>
      </c>
      <c r="K408" s="7">
        <v>0</v>
      </c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</row>
    <row r="409" spans="1:17">
      <c r="A409" s="2">
        <v>2357</v>
      </c>
      <c r="B409" s="7">
        <v>0</v>
      </c>
      <c r="C409" s="7">
        <v>0</v>
      </c>
      <c r="D409" s="7">
        <v>0</v>
      </c>
      <c r="E409" s="7">
        <v>0</v>
      </c>
      <c r="F409" s="7">
        <v>0</v>
      </c>
      <c r="G409" s="7">
        <v>0</v>
      </c>
      <c r="H409" s="7">
        <v>0</v>
      </c>
      <c r="I409" s="7">
        <v>0</v>
      </c>
      <c r="J409" s="7">
        <v>0</v>
      </c>
      <c r="K409" s="7">
        <v>0</v>
      </c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</row>
    <row r="410" spans="1:17">
      <c r="A410" s="2">
        <v>2358</v>
      </c>
      <c r="B410" s="7">
        <v>0</v>
      </c>
      <c r="C410" s="7">
        <v>0</v>
      </c>
      <c r="D410" s="7">
        <v>0</v>
      </c>
      <c r="E410" s="7">
        <v>0</v>
      </c>
      <c r="F410" s="7">
        <v>0</v>
      </c>
      <c r="G410" s="7">
        <v>0</v>
      </c>
      <c r="H410" s="7">
        <v>0</v>
      </c>
      <c r="I410" s="7">
        <v>0</v>
      </c>
      <c r="J410" s="7">
        <v>0</v>
      </c>
      <c r="K410" s="7">
        <v>0</v>
      </c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</row>
    <row r="411" spans="1:17">
      <c r="A411" s="2">
        <v>2359</v>
      </c>
      <c r="B411" s="7">
        <v>0</v>
      </c>
      <c r="C411" s="7">
        <v>0</v>
      </c>
      <c r="D411" s="7">
        <v>0</v>
      </c>
      <c r="E411" s="7">
        <v>0</v>
      </c>
      <c r="F411" s="7">
        <v>0</v>
      </c>
      <c r="G411" s="7">
        <v>0</v>
      </c>
      <c r="H411" s="7">
        <v>0</v>
      </c>
      <c r="I411" s="7">
        <v>0</v>
      </c>
      <c r="J411" s="7">
        <v>0</v>
      </c>
      <c r="K411" s="7">
        <v>0</v>
      </c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</row>
    <row r="412" spans="1:17">
      <c r="A412" s="2">
        <v>2360</v>
      </c>
      <c r="B412" s="7">
        <v>0</v>
      </c>
      <c r="C412" s="7">
        <v>0</v>
      </c>
      <c r="D412" s="7">
        <v>0</v>
      </c>
      <c r="E412" s="7">
        <v>0</v>
      </c>
      <c r="F412" s="7">
        <v>0</v>
      </c>
      <c r="G412" s="7">
        <v>0</v>
      </c>
      <c r="H412" s="7">
        <v>0</v>
      </c>
      <c r="I412" s="7">
        <v>0</v>
      </c>
      <c r="J412" s="7">
        <v>0</v>
      </c>
      <c r="K412" s="7">
        <v>0</v>
      </c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</row>
    <row r="413" spans="1:17">
      <c r="A413" s="2">
        <v>2361</v>
      </c>
      <c r="B413" s="7">
        <v>0</v>
      </c>
      <c r="C413" s="7">
        <v>0</v>
      </c>
      <c r="D413" s="7">
        <v>0</v>
      </c>
      <c r="E413" s="7">
        <v>0</v>
      </c>
      <c r="F413" s="7">
        <v>0</v>
      </c>
      <c r="G413" s="7">
        <v>0</v>
      </c>
      <c r="H413" s="7">
        <v>0</v>
      </c>
      <c r="I413" s="7">
        <v>0</v>
      </c>
      <c r="J413" s="7">
        <v>0</v>
      </c>
      <c r="K413" s="7">
        <v>0</v>
      </c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</row>
    <row r="414" spans="1:17">
      <c r="A414" s="2">
        <v>2362</v>
      </c>
      <c r="B414" s="7">
        <v>0</v>
      </c>
      <c r="C414" s="7">
        <v>0</v>
      </c>
      <c r="D414" s="7">
        <v>0</v>
      </c>
      <c r="E414" s="7">
        <v>0</v>
      </c>
      <c r="F414" s="7">
        <v>0</v>
      </c>
      <c r="G414" s="7">
        <v>0</v>
      </c>
      <c r="H414" s="7">
        <v>0</v>
      </c>
      <c r="I414" s="7">
        <v>0</v>
      </c>
      <c r="J414" s="7">
        <v>0</v>
      </c>
      <c r="K414" s="7">
        <v>0</v>
      </c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</row>
    <row r="415" spans="1:17">
      <c r="A415" s="2">
        <v>2363</v>
      </c>
      <c r="B415" s="7">
        <v>0</v>
      </c>
      <c r="C415" s="7">
        <v>0</v>
      </c>
      <c r="D415" s="7">
        <v>0</v>
      </c>
      <c r="E415" s="7">
        <v>0</v>
      </c>
      <c r="F415" s="7">
        <v>0</v>
      </c>
      <c r="G415" s="7">
        <v>0</v>
      </c>
      <c r="H415" s="7">
        <v>0</v>
      </c>
      <c r="I415" s="7">
        <v>0</v>
      </c>
      <c r="J415" s="7">
        <v>0</v>
      </c>
      <c r="K415" s="7">
        <v>0</v>
      </c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</row>
    <row r="416" spans="1:17">
      <c r="A416" s="2">
        <v>2364</v>
      </c>
      <c r="B416" s="7">
        <v>0</v>
      </c>
      <c r="C416" s="7">
        <v>0</v>
      </c>
      <c r="D416" s="7">
        <v>0</v>
      </c>
      <c r="E416" s="7">
        <v>0</v>
      </c>
      <c r="F416" s="7">
        <v>0</v>
      </c>
      <c r="G416" s="7">
        <v>0</v>
      </c>
      <c r="H416" s="7">
        <v>0</v>
      </c>
      <c r="I416" s="7">
        <v>0</v>
      </c>
      <c r="J416" s="7">
        <v>0</v>
      </c>
      <c r="K416" s="7">
        <v>0</v>
      </c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</row>
    <row r="417" spans="1:17">
      <c r="A417" s="2">
        <v>2365</v>
      </c>
      <c r="B417" s="7">
        <v>0</v>
      </c>
      <c r="C417" s="7">
        <v>0</v>
      </c>
      <c r="D417" s="7">
        <v>0</v>
      </c>
      <c r="E417" s="7">
        <v>0</v>
      </c>
      <c r="F417" s="7">
        <v>0</v>
      </c>
      <c r="G417" s="7">
        <v>0</v>
      </c>
      <c r="H417" s="7">
        <v>0</v>
      </c>
      <c r="I417" s="7">
        <v>0</v>
      </c>
      <c r="J417" s="7">
        <v>0</v>
      </c>
      <c r="K417" s="7">
        <v>0</v>
      </c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</row>
    <row r="418" spans="1:17">
      <c r="A418" s="2">
        <v>2366</v>
      </c>
      <c r="B418" s="7">
        <v>0</v>
      </c>
      <c r="C418" s="7">
        <v>0</v>
      </c>
      <c r="D418" s="7">
        <v>0</v>
      </c>
      <c r="E418" s="7">
        <v>0</v>
      </c>
      <c r="F418" s="7">
        <v>0</v>
      </c>
      <c r="G418" s="7">
        <v>0</v>
      </c>
      <c r="H418" s="7">
        <v>0</v>
      </c>
      <c r="I418" s="7">
        <v>0</v>
      </c>
      <c r="J418" s="7">
        <v>0</v>
      </c>
      <c r="K418" s="7">
        <v>0</v>
      </c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</row>
    <row r="419" spans="1:17">
      <c r="A419" s="2">
        <v>2367</v>
      </c>
      <c r="B419" s="7">
        <v>0</v>
      </c>
      <c r="C419" s="7">
        <v>0</v>
      </c>
      <c r="D419" s="7">
        <v>0</v>
      </c>
      <c r="E419" s="7">
        <v>0</v>
      </c>
      <c r="F419" s="7">
        <v>0</v>
      </c>
      <c r="G419" s="7">
        <v>0</v>
      </c>
      <c r="H419" s="7">
        <v>0</v>
      </c>
      <c r="I419" s="7">
        <v>0</v>
      </c>
      <c r="J419" s="7">
        <v>0</v>
      </c>
      <c r="K419" s="7">
        <v>0</v>
      </c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</row>
    <row r="420" spans="1:17">
      <c r="A420" s="2">
        <v>2368</v>
      </c>
      <c r="B420" s="7">
        <v>0</v>
      </c>
      <c r="C420" s="7">
        <v>0</v>
      </c>
      <c r="D420" s="7">
        <v>0</v>
      </c>
      <c r="E420" s="7">
        <v>0</v>
      </c>
      <c r="F420" s="7">
        <v>0</v>
      </c>
      <c r="G420" s="7">
        <v>0</v>
      </c>
      <c r="H420" s="7">
        <v>0</v>
      </c>
      <c r="I420" s="7">
        <v>0</v>
      </c>
      <c r="J420" s="7">
        <v>0</v>
      </c>
      <c r="K420" s="7">
        <v>0</v>
      </c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</row>
    <row r="421" spans="1:17">
      <c r="A421" s="2">
        <v>2369</v>
      </c>
      <c r="B421" s="7">
        <v>0</v>
      </c>
      <c r="C421" s="7">
        <v>0</v>
      </c>
      <c r="D421" s="7">
        <v>0</v>
      </c>
      <c r="E421" s="7">
        <v>0</v>
      </c>
      <c r="F421" s="7">
        <v>0</v>
      </c>
      <c r="G421" s="7">
        <v>0</v>
      </c>
      <c r="H421" s="7">
        <v>0</v>
      </c>
      <c r="I421" s="7">
        <v>0</v>
      </c>
      <c r="J421" s="7">
        <v>0</v>
      </c>
      <c r="K421" s="7">
        <v>0</v>
      </c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</row>
    <row r="422" spans="1:17">
      <c r="A422" s="2">
        <v>2370</v>
      </c>
      <c r="B422" s="7">
        <v>0</v>
      </c>
      <c r="C422" s="7">
        <v>0</v>
      </c>
      <c r="D422" s="7">
        <v>0</v>
      </c>
      <c r="E422" s="7">
        <v>0</v>
      </c>
      <c r="F422" s="7">
        <v>0</v>
      </c>
      <c r="G422" s="7">
        <v>0</v>
      </c>
      <c r="H422" s="7">
        <v>0</v>
      </c>
      <c r="I422" s="7">
        <v>0</v>
      </c>
      <c r="J422" s="7">
        <v>0</v>
      </c>
      <c r="K422" s="7">
        <v>0</v>
      </c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</row>
    <row r="423" spans="1:17">
      <c r="A423" s="2">
        <v>2371</v>
      </c>
      <c r="B423" s="7">
        <v>0</v>
      </c>
      <c r="C423" s="7">
        <v>0</v>
      </c>
      <c r="D423" s="7">
        <v>0</v>
      </c>
      <c r="E423" s="7">
        <v>0</v>
      </c>
      <c r="F423" s="7">
        <v>0</v>
      </c>
      <c r="G423" s="7">
        <v>0</v>
      </c>
      <c r="H423" s="7">
        <v>0</v>
      </c>
      <c r="I423" s="7">
        <v>0</v>
      </c>
      <c r="J423" s="7">
        <v>0</v>
      </c>
      <c r="K423" s="7">
        <v>0</v>
      </c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</row>
    <row r="424" spans="1:17">
      <c r="A424" s="2">
        <v>2372</v>
      </c>
      <c r="B424" s="7">
        <v>0</v>
      </c>
      <c r="C424" s="7">
        <v>0</v>
      </c>
      <c r="D424" s="7">
        <v>0</v>
      </c>
      <c r="E424" s="7">
        <v>0</v>
      </c>
      <c r="F424" s="7">
        <v>0</v>
      </c>
      <c r="G424" s="7">
        <v>0</v>
      </c>
      <c r="H424" s="7">
        <v>0</v>
      </c>
      <c r="I424" s="7">
        <v>0</v>
      </c>
      <c r="J424" s="7">
        <v>0</v>
      </c>
      <c r="K424" s="7">
        <v>0</v>
      </c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</row>
    <row r="425" spans="1:17">
      <c r="A425" s="2">
        <v>2373</v>
      </c>
      <c r="B425" s="7">
        <v>0</v>
      </c>
      <c r="C425" s="7">
        <v>0</v>
      </c>
      <c r="D425" s="7">
        <v>0</v>
      </c>
      <c r="E425" s="7">
        <v>0</v>
      </c>
      <c r="F425" s="7">
        <v>0</v>
      </c>
      <c r="G425" s="7">
        <v>0</v>
      </c>
      <c r="H425" s="7">
        <v>0</v>
      </c>
      <c r="I425" s="7">
        <v>0</v>
      </c>
      <c r="J425" s="7">
        <v>0</v>
      </c>
      <c r="K425" s="7">
        <v>0</v>
      </c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</row>
    <row r="426" spans="1:17">
      <c r="A426" s="2">
        <v>2374</v>
      </c>
      <c r="B426" s="7">
        <v>0</v>
      </c>
      <c r="C426" s="7">
        <v>0</v>
      </c>
      <c r="D426" s="7">
        <v>0</v>
      </c>
      <c r="E426" s="7">
        <v>0</v>
      </c>
      <c r="F426" s="7">
        <v>0</v>
      </c>
      <c r="G426" s="7">
        <v>0</v>
      </c>
      <c r="H426" s="7">
        <v>0</v>
      </c>
      <c r="I426" s="7">
        <v>0</v>
      </c>
      <c r="J426" s="7">
        <v>0</v>
      </c>
      <c r="K426" s="7">
        <v>0</v>
      </c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</row>
    <row r="427" spans="1:17">
      <c r="A427" s="2">
        <v>2375</v>
      </c>
      <c r="B427" s="7">
        <v>0</v>
      </c>
      <c r="C427" s="7">
        <v>0</v>
      </c>
      <c r="D427" s="7">
        <v>0</v>
      </c>
      <c r="E427" s="7">
        <v>0</v>
      </c>
      <c r="F427" s="7">
        <v>0</v>
      </c>
      <c r="G427" s="7">
        <v>0</v>
      </c>
      <c r="H427" s="7">
        <v>0</v>
      </c>
      <c r="I427" s="7">
        <v>0</v>
      </c>
      <c r="J427" s="7">
        <v>0</v>
      </c>
      <c r="K427" s="7">
        <v>0</v>
      </c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</row>
    <row r="428" spans="1:17">
      <c r="A428" s="2">
        <v>2376</v>
      </c>
      <c r="B428" s="7">
        <v>0</v>
      </c>
      <c r="C428" s="7">
        <v>0</v>
      </c>
      <c r="D428" s="7">
        <v>0</v>
      </c>
      <c r="E428" s="7">
        <v>0</v>
      </c>
      <c r="F428" s="7">
        <v>0</v>
      </c>
      <c r="G428" s="7">
        <v>0</v>
      </c>
      <c r="H428" s="7">
        <v>0</v>
      </c>
      <c r="I428" s="7">
        <v>0</v>
      </c>
      <c r="J428" s="7">
        <v>0</v>
      </c>
      <c r="K428" s="7">
        <v>0</v>
      </c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</row>
    <row r="429" spans="1:17">
      <c r="A429" s="2">
        <v>2377</v>
      </c>
      <c r="B429" s="7">
        <v>0</v>
      </c>
      <c r="C429" s="7">
        <v>0</v>
      </c>
      <c r="D429" s="7">
        <v>0</v>
      </c>
      <c r="E429" s="7">
        <v>0</v>
      </c>
      <c r="F429" s="7">
        <v>0</v>
      </c>
      <c r="G429" s="7">
        <v>0</v>
      </c>
      <c r="H429" s="7">
        <v>0</v>
      </c>
      <c r="I429" s="7">
        <v>0</v>
      </c>
      <c r="J429" s="7">
        <v>0</v>
      </c>
      <c r="K429" s="7">
        <v>0</v>
      </c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</row>
    <row r="430" spans="1:17">
      <c r="A430" s="2">
        <v>2378</v>
      </c>
      <c r="B430" s="7">
        <v>0</v>
      </c>
      <c r="C430" s="7">
        <v>0</v>
      </c>
      <c r="D430" s="7">
        <v>0</v>
      </c>
      <c r="E430" s="7">
        <v>0</v>
      </c>
      <c r="F430" s="7">
        <v>0</v>
      </c>
      <c r="G430" s="7">
        <v>0</v>
      </c>
      <c r="H430" s="7">
        <v>0</v>
      </c>
      <c r="I430" s="7">
        <v>0</v>
      </c>
      <c r="J430" s="7">
        <v>0</v>
      </c>
      <c r="K430" s="7">
        <v>0</v>
      </c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</row>
    <row r="431" spans="1:17">
      <c r="A431" s="2">
        <v>2379</v>
      </c>
      <c r="B431" s="7">
        <v>0</v>
      </c>
      <c r="C431" s="7">
        <v>0</v>
      </c>
      <c r="D431" s="7">
        <v>0</v>
      </c>
      <c r="E431" s="7">
        <v>0</v>
      </c>
      <c r="F431" s="7">
        <v>0</v>
      </c>
      <c r="G431" s="7">
        <v>0</v>
      </c>
      <c r="H431" s="7">
        <v>0</v>
      </c>
      <c r="I431" s="7">
        <v>0</v>
      </c>
      <c r="J431" s="7">
        <v>0</v>
      </c>
      <c r="K431" s="7">
        <v>0</v>
      </c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</row>
    <row r="432" spans="1:17">
      <c r="A432" s="2">
        <v>2380</v>
      </c>
      <c r="B432" s="7">
        <v>0</v>
      </c>
      <c r="C432" s="7">
        <v>0</v>
      </c>
      <c r="D432" s="7">
        <v>0</v>
      </c>
      <c r="E432" s="7">
        <v>0</v>
      </c>
      <c r="F432" s="7">
        <v>0</v>
      </c>
      <c r="G432" s="7">
        <v>0</v>
      </c>
      <c r="H432" s="7">
        <v>0</v>
      </c>
      <c r="I432" s="7">
        <v>0</v>
      </c>
      <c r="J432" s="7">
        <v>0</v>
      </c>
      <c r="K432" s="7">
        <v>0</v>
      </c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</row>
    <row r="433" spans="1:17">
      <c r="A433" s="2">
        <v>2381</v>
      </c>
      <c r="B433" s="7">
        <v>0</v>
      </c>
      <c r="C433" s="7">
        <v>0</v>
      </c>
      <c r="D433" s="7">
        <v>0</v>
      </c>
      <c r="E433" s="7">
        <v>0</v>
      </c>
      <c r="F433" s="7">
        <v>0</v>
      </c>
      <c r="G433" s="7">
        <v>0</v>
      </c>
      <c r="H433" s="7">
        <v>0</v>
      </c>
      <c r="I433" s="7">
        <v>0</v>
      </c>
      <c r="J433" s="7">
        <v>0</v>
      </c>
      <c r="K433" s="7">
        <v>0</v>
      </c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</row>
    <row r="434" spans="1:17">
      <c r="A434" s="2">
        <v>2382</v>
      </c>
      <c r="B434" s="7">
        <v>0</v>
      </c>
      <c r="C434" s="7">
        <v>0</v>
      </c>
      <c r="D434" s="7">
        <v>0</v>
      </c>
      <c r="E434" s="7">
        <v>0</v>
      </c>
      <c r="F434" s="7">
        <v>0</v>
      </c>
      <c r="G434" s="7">
        <v>0</v>
      </c>
      <c r="H434" s="7">
        <v>0</v>
      </c>
      <c r="I434" s="7">
        <v>0</v>
      </c>
      <c r="J434" s="7">
        <v>0</v>
      </c>
      <c r="K434" s="7">
        <v>0</v>
      </c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</row>
    <row r="435" spans="1:17">
      <c r="A435" s="2">
        <v>2383</v>
      </c>
      <c r="B435" s="7">
        <v>0</v>
      </c>
      <c r="C435" s="7">
        <v>0</v>
      </c>
      <c r="D435" s="7">
        <v>0</v>
      </c>
      <c r="E435" s="7">
        <v>0</v>
      </c>
      <c r="F435" s="7">
        <v>0</v>
      </c>
      <c r="G435" s="7">
        <v>0</v>
      </c>
      <c r="H435" s="7">
        <v>0</v>
      </c>
      <c r="I435" s="7">
        <v>0</v>
      </c>
      <c r="J435" s="7">
        <v>0</v>
      </c>
      <c r="K435" s="7">
        <v>0</v>
      </c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</row>
    <row r="436" spans="1:17">
      <c r="A436" s="2">
        <v>2384</v>
      </c>
      <c r="B436" s="7">
        <v>0</v>
      </c>
      <c r="C436" s="7">
        <v>0</v>
      </c>
      <c r="D436" s="7">
        <v>0</v>
      </c>
      <c r="E436" s="7">
        <v>0</v>
      </c>
      <c r="F436" s="7">
        <v>0</v>
      </c>
      <c r="G436" s="7">
        <v>0</v>
      </c>
      <c r="H436" s="7">
        <v>0</v>
      </c>
      <c r="I436" s="7">
        <v>0</v>
      </c>
      <c r="J436" s="7">
        <v>0</v>
      </c>
      <c r="K436" s="7">
        <v>0</v>
      </c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</row>
    <row r="437" spans="1:17">
      <c r="A437" s="2">
        <v>2385</v>
      </c>
      <c r="B437" s="7">
        <v>0</v>
      </c>
      <c r="C437" s="7">
        <v>0</v>
      </c>
      <c r="D437" s="7">
        <v>0</v>
      </c>
      <c r="E437" s="7">
        <v>0</v>
      </c>
      <c r="F437" s="7">
        <v>0</v>
      </c>
      <c r="G437" s="7">
        <v>0</v>
      </c>
      <c r="H437" s="7">
        <v>0</v>
      </c>
      <c r="I437" s="7">
        <v>0</v>
      </c>
      <c r="J437" s="7">
        <v>0</v>
      </c>
      <c r="K437" s="7">
        <v>0</v>
      </c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</row>
    <row r="438" spans="1:17">
      <c r="A438" s="2">
        <v>2386</v>
      </c>
      <c r="B438" s="7">
        <v>0</v>
      </c>
      <c r="C438" s="7">
        <v>0</v>
      </c>
      <c r="D438" s="7">
        <v>0</v>
      </c>
      <c r="E438" s="7">
        <v>0</v>
      </c>
      <c r="F438" s="7">
        <v>0</v>
      </c>
      <c r="G438" s="7">
        <v>0</v>
      </c>
      <c r="H438" s="7">
        <v>0</v>
      </c>
      <c r="I438" s="7">
        <v>0</v>
      </c>
      <c r="J438" s="7">
        <v>0</v>
      </c>
      <c r="K438" s="7">
        <v>0</v>
      </c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</row>
    <row r="439" spans="1:17">
      <c r="A439" s="2">
        <v>2387</v>
      </c>
      <c r="B439" s="7">
        <v>0</v>
      </c>
      <c r="C439" s="7">
        <v>0</v>
      </c>
      <c r="D439" s="7">
        <v>0</v>
      </c>
      <c r="E439" s="7">
        <v>0</v>
      </c>
      <c r="F439" s="7">
        <v>0</v>
      </c>
      <c r="G439" s="7">
        <v>0</v>
      </c>
      <c r="H439" s="7">
        <v>0</v>
      </c>
      <c r="I439" s="7">
        <v>0</v>
      </c>
      <c r="J439" s="7">
        <v>0</v>
      </c>
      <c r="K439" s="7">
        <v>0</v>
      </c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</row>
    <row r="440" spans="1:17">
      <c r="A440" s="2">
        <v>2388</v>
      </c>
      <c r="B440" s="7">
        <v>0</v>
      </c>
      <c r="C440" s="7">
        <v>0</v>
      </c>
      <c r="D440" s="7">
        <v>0</v>
      </c>
      <c r="E440" s="7">
        <v>0</v>
      </c>
      <c r="F440" s="7">
        <v>0</v>
      </c>
      <c r="G440" s="7">
        <v>0</v>
      </c>
      <c r="H440" s="7">
        <v>0</v>
      </c>
      <c r="I440" s="7">
        <v>0</v>
      </c>
      <c r="J440" s="7">
        <v>0</v>
      </c>
      <c r="K440" s="7">
        <v>0</v>
      </c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</row>
    <row r="441" spans="1:17">
      <c r="A441" s="2">
        <v>2389</v>
      </c>
      <c r="B441" s="7">
        <v>0</v>
      </c>
      <c r="C441" s="7">
        <v>0</v>
      </c>
      <c r="D441" s="7">
        <v>0</v>
      </c>
      <c r="E441" s="7">
        <v>0</v>
      </c>
      <c r="F441" s="7">
        <v>0</v>
      </c>
      <c r="G441" s="7">
        <v>0</v>
      </c>
      <c r="H441" s="7">
        <v>0</v>
      </c>
      <c r="I441" s="7">
        <v>0</v>
      </c>
      <c r="J441" s="7">
        <v>0</v>
      </c>
      <c r="K441" s="7">
        <v>0</v>
      </c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</row>
    <row r="442" spans="1:17">
      <c r="A442" s="2">
        <v>2390</v>
      </c>
      <c r="B442" s="7">
        <v>0</v>
      </c>
      <c r="C442" s="7">
        <v>0</v>
      </c>
      <c r="D442" s="7">
        <v>0</v>
      </c>
      <c r="E442" s="7">
        <v>0</v>
      </c>
      <c r="F442" s="7">
        <v>0</v>
      </c>
      <c r="G442" s="7">
        <v>0</v>
      </c>
      <c r="H442" s="7">
        <v>0</v>
      </c>
      <c r="I442" s="7">
        <v>0</v>
      </c>
      <c r="J442" s="7">
        <v>0</v>
      </c>
      <c r="K442" s="7">
        <v>0</v>
      </c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</row>
    <row r="443" spans="1:17">
      <c r="A443" s="2">
        <v>2391</v>
      </c>
      <c r="B443" s="7">
        <v>0</v>
      </c>
      <c r="C443" s="7">
        <v>0</v>
      </c>
      <c r="D443" s="7">
        <v>0</v>
      </c>
      <c r="E443" s="7">
        <v>0</v>
      </c>
      <c r="F443" s="7">
        <v>0</v>
      </c>
      <c r="G443" s="7">
        <v>0</v>
      </c>
      <c r="H443" s="7">
        <v>0</v>
      </c>
      <c r="I443" s="7">
        <v>0</v>
      </c>
      <c r="J443" s="7">
        <v>0</v>
      </c>
      <c r="K443" s="7">
        <v>0</v>
      </c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</row>
    <row r="444" spans="1:17">
      <c r="A444" s="2">
        <v>2392</v>
      </c>
      <c r="B444" s="7">
        <v>0</v>
      </c>
      <c r="C444" s="7">
        <v>0</v>
      </c>
      <c r="D444" s="7">
        <v>0</v>
      </c>
      <c r="E444" s="7">
        <v>0</v>
      </c>
      <c r="F444" s="7">
        <v>0</v>
      </c>
      <c r="G444" s="7">
        <v>0</v>
      </c>
      <c r="H444" s="7">
        <v>0</v>
      </c>
      <c r="I444" s="7">
        <v>0</v>
      </c>
      <c r="J444" s="7">
        <v>0</v>
      </c>
      <c r="K444" s="7">
        <v>0</v>
      </c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</row>
    <row r="445" spans="1:17">
      <c r="A445" s="2">
        <v>2393</v>
      </c>
      <c r="B445" s="7">
        <v>0</v>
      </c>
      <c r="C445" s="7">
        <v>0</v>
      </c>
      <c r="D445" s="7">
        <v>0</v>
      </c>
      <c r="E445" s="7">
        <v>0</v>
      </c>
      <c r="F445" s="7">
        <v>0</v>
      </c>
      <c r="G445" s="7">
        <v>0</v>
      </c>
      <c r="H445" s="7">
        <v>0</v>
      </c>
      <c r="I445" s="7">
        <v>0</v>
      </c>
      <c r="J445" s="7">
        <v>0</v>
      </c>
      <c r="K445" s="7">
        <v>0</v>
      </c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</row>
    <row r="446" spans="1:17">
      <c r="A446" s="2">
        <v>2394</v>
      </c>
      <c r="B446" s="7">
        <v>0</v>
      </c>
      <c r="C446" s="7">
        <v>0</v>
      </c>
      <c r="D446" s="7">
        <v>0</v>
      </c>
      <c r="E446" s="7">
        <v>0</v>
      </c>
      <c r="F446" s="7">
        <v>0</v>
      </c>
      <c r="G446" s="7">
        <v>0</v>
      </c>
      <c r="H446" s="7">
        <v>0</v>
      </c>
      <c r="I446" s="7">
        <v>0</v>
      </c>
      <c r="J446" s="7">
        <v>0</v>
      </c>
      <c r="K446" s="7">
        <v>0</v>
      </c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</row>
    <row r="447" spans="1:17">
      <c r="A447" s="2">
        <v>2395</v>
      </c>
      <c r="B447" s="7">
        <v>0</v>
      </c>
      <c r="C447" s="7">
        <v>0</v>
      </c>
      <c r="D447" s="7">
        <v>0</v>
      </c>
      <c r="E447" s="7">
        <v>0</v>
      </c>
      <c r="F447" s="7">
        <v>0</v>
      </c>
      <c r="G447" s="7">
        <v>0</v>
      </c>
      <c r="H447" s="7">
        <v>0</v>
      </c>
      <c r="I447" s="7">
        <v>0</v>
      </c>
      <c r="J447" s="7">
        <v>0</v>
      </c>
      <c r="K447" s="7">
        <v>0</v>
      </c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</row>
    <row r="448" spans="1:17">
      <c r="A448" s="2">
        <v>2396</v>
      </c>
      <c r="B448" s="7">
        <v>0</v>
      </c>
      <c r="C448" s="7">
        <v>0</v>
      </c>
      <c r="D448" s="7">
        <v>0</v>
      </c>
      <c r="E448" s="7">
        <v>0</v>
      </c>
      <c r="F448" s="7">
        <v>0</v>
      </c>
      <c r="G448" s="7">
        <v>0</v>
      </c>
      <c r="H448" s="7">
        <v>0</v>
      </c>
      <c r="I448" s="7">
        <v>0</v>
      </c>
      <c r="J448" s="7">
        <v>0</v>
      </c>
      <c r="K448" s="7">
        <v>0</v>
      </c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</row>
    <row r="449" spans="1:17">
      <c r="A449" s="2">
        <v>2397</v>
      </c>
      <c r="B449" s="7">
        <v>0</v>
      </c>
      <c r="C449" s="7">
        <v>0</v>
      </c>
      <c r="D449" s="7">
        <v>0</v>
      </c>
      <c r="E449" s="7">
        <v>0</v>
      </c>
      <c r="F449" s="7">
        <v>0</v>
      </c>
      <c r="G449" s="7">
        <v>0</v>
      </c>
      <c r="H449" s="7">
        <v>0</v>
      </c>
      <c r="I449" s="7">
        <v>0</v>
      </c>
      <c r="J449" s="7">
        <v>0</v>
      </c>
      <c r="K449" s="7">
        <v>0</v>
      </c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</row>
    <row r="450" spans="1:17">
      <c r="A450" s="2">
        <v>2398</v>
      </c>
      <c r="B450" s="7">
        <v>0</v>
      </c>
      <c r="C450" s="7">
        <v>0</v>
      </c>
      <c r="D450" s="7">
        <v>0</v>
      </c>
      <c r="E450" s="7">
        <v>0</v>
      </c>
      <c r="F450" s="7">
        <v>0</v>
      </c>
      <c r="G450" s="7">
        <v>0</v>
      </c>
      <c r="H450" s="7">
        <v>0</v>
      </c>
      <c r="I450" s="7">
        <v>0</v>
      </c>
      <c r="J450" s="7">
        <v>0</v>
      </c>
      <c r="K450" s="7">
        <v>0</v>
      </c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</row>
    <row r="451" spans="1:17">
      <c r="A451" s="2">
        <v>2399</v>
      </c>
      <c r="B451" s="7">
        <v>0</v>
      </c>
      <c r="C451" s="7">
        <v>0</v>
      </c>
      <c r="D451" s="7">
        <v>0</v>
      </c>
      <c r="E451" s="7">
        <v>0</v>
      </c>
      <c r="F451" s="7">
        <v>0</v>
      </c>
      <c r="G451" s="7">
        <v>0</v>
      </c>
      <c r="H451" s="7">
        <v>0</v>
      </c>
      <c r="I451" s="7">
        <v>0</v>
      </c>
      <c r="J451" s="7">
        <v>0</v>
      </c>
      <c r="K451" s="7">
        <v>0</v>
      </c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</row>
    <row r="452" spans="1:17">
      <c r="A452" s="2">
        <v>2400</v>
      </c>
      <c r="B452" s="7">
        <v>0</v>
      </c>
      <c r="C452" s="7">
        <v>0</v>
      </c>
      <c r="D452" s="7">
        <v>0</v>
      </c>
      <c r="E452" s="7">
        <v>0</v>
      </c>
      <c r="F452" s="7">
        <v>0</v>
      </c>
      <c r="G452" s="7">
        <v>0</v>
      </c>
      <c r="H452" s="7">
        <v>0</v>
      </c>
      <c r="I452" s="7">
        <v>0</v>
      </c>
      <c r="J452" s="7">
        <v>0</v>
      </c>
      <c r="K452" s="7">
        <v>0</v>
      </c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</row>
    <row r="453" spans="1:17">
      <c r="A453" s="2">
        <v>2401</v>
      </c>
      <c r="B453" s="7">
        <v>0</v>
      </c>
      <c r="C453" s="7">
        <v>0</v>
      </c>
      <c r="D453" s="7">
        <v>0</v>
      </c>
      <c r="E453" s="7">
        <v>0</v>
      </c>
      <c r="F453" s="7">
        <v>0</v>
      </c>
      <c r="G453" s="7">
        <v>0</v>
      </c>
      <c r="H453" s="7">
        <v>0</v>
      </c>
      <c r="I453" s="7">
        <v>0</v>
      </c>
      <c r="J453" s="7">
        <v>0</v>
      </c>
      <c r="K453" s="7">
        <v>0</v>
      </c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</row>
    <row r="454" spans="1:17">
      <c r="A454" s="2">
        <v>2402</v>
      </c>
      <c r="B454" s="7">
        <v>0</v>
      </c>
      <c r="C454" s="7">
        <v>0</v>
      </c>
      <c r="D454" s="7">
        <v>0</v>
      </c>
      <c r="E454" s="7">
        <v>0</v>
      </c>
      <c r="F454" s="7">
        <v>0</v>
      </c>
      <c r="G454" s="7">
        <v>0</v>
      </c>
      <c r="H454" s="7">
        <v>0</v>
      </c>
      <c r="I454" s="7">
        <v>0</v>
      </c>
      <c r="J454" s="7">
        <v>0</v>
      </c>
      <c r="K454" s="7">
        <v>0</v>
      </c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</row>
    <row r="455" spans="1:17">
      <c r="A455" s="2">
        <v>2403</v>
      </c>
      <c r="B455" s="7">
        <v>0</v>
      </c>
      <c r="C455" s="7">
        <v>0</v>
      </c>
      <c r="D455" s="7">
        <v>0</v>
      </c>
      <c r="E455" s="7">
        <v>0</v>
      </c>
      <c r="F455" s="7">
        <v>0</v>
      </c>
      <c r="G455" s="7">
        <v>0</v>
      </c>
      <c r="H455" s="7">
        <v>0</v>
      </c>
      <c r="I455" s="7">
        <v>0</v>
      </c>
      <c r="J455" s="7">
        <v>0</v>
      </c>
      <c r="K455" s="7">
        <v>0</v>
      </c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</row>
    <row r="456" spans="1:17">
      <c r="A456" s="2">
        <v>2404</v>
      </c>
      <c r="B456" s="7">
        <v>0</v>
      </c>
      <c r="C456" s="7">
        <v>0</v>
      </c>
      <c r="D456" s="7">
        <v>0</v>
      </c>
      <c r="E456" s="7">
        <v>0</v>
      </c>
      <c r="F456" s="7">
        <v>0</v>
      </c>
      <c r="G456" s="7">
        <v>0</v>
      </c>
      <c r="H456" s="7">
        <v>0</v>
      </c>
      <c r="I456" s="7">
        <v>0</v>
      </c>
      <c r="J456" s="7">
        <v>0</v>
      </c>
      <c r="K456" s="7">
        <v>0</v>
      </c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</row>
    <row r="457" spans="1:17">
      <c r="A457" s="2">
        <v>2405</v>
      </c>
      <c r="B457" s="7">
        <v>0</v>
      </c>
      <c r="C457" s="7">
        <v>0</v>
      </c>
      <c r="D457" s="7">
        <v>0</v>
      </c>
      <c r="E457" s="7">
        <v>0</v>
      </c>
      <c r="F457" s="7">
        <v>0</v>
      </c>
      <c r="G457" s="7">
        <v>0</v>
      </c>
      <c r="H457" s="7">
        <v>0</v>
      </c>
      <c r="I457" s="7">
        <v>0</v>
      </c>
      <c r="J457" s="7">
        <v>0</v>
      </c>
      <c r="K457" s="7">
        <v>0</v>
      </c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</row>
    <row r="458" spans="1:17">
      <c r="A458" s="2">
        <v>2406</v>
      </c>
      <c r="B458" s="7">
        <v>0</v>
      </c>
      <c r="C458" s="7">
        <v>0</v>
      </c>
      <c r="D458" s="7">
        <v>0</v>
      </c>
      <c r="E458" s="7">
        <v>0</v>
      </c>
      <c r="F458" s="7">
        <v>0</v>
      </c>
      <c r="G458" s="7">
        <v>0</v>
      </c>
      <c r="H458" s="7">
        <v>0</v>
      </c>
      <c r="I458" s="7">
        <v>0</v>
      </c>
      <c r="J458" s="7">
        <v>0</v>
      </c>
      <c r="K458" s="7">
        <v>0</v>
      </c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</row>
    <row r="459" spans="1:17">
      <c r="A459" s="2">
        <v>2407</v>
      </c>
      <c r="B459" s="7">
        <v>0</v>
      </c>
      <c r="C459" s="7">
        <v>0</v>
      </c>
      <c r="D459" s="7">
        <v>0</v>
      </c>
      <c r="E459" s="7">
        <v>0</v>
      </c>
      <c r="F459" s="7">
        <v>0</v>
      </c>
      <c r="G459" s="7">
        <v>0</v>
      </c>
      <c r="H459" s="7">
        <v>0</v>
      </c>
      <c r="I459" s="7">
        <v>0</v>
      </c>
      <c r="J459" s="7">
        <v>0</v>
      </c>
      <c r="K459" s="7">
        <v>0</v>
      </c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</row>
    <row r="460" spans="1:17">
      <c r="A460" s="2">
        <v>2408</v>
      </c>
      <c r="B460" s="7">
        <v>0</v>
      </c>
      <c r="C460" s="7">
        <v>0</v>
      </c>
      <c r="D460" s="7">
        <v>0</v>
      </c>
      <c r="E460" s="7">
        <v>0</v>
      </c>
      <c r="F460" s="7">
        <v>0</v>
      </c>
      <c r="G460" s="7">
        <v>0</v>
      </c>
      <c r="H460" s="7">
        <v>0</v>
      </c>
      <c r="I460" s="7">
        <v>0</v>
      </c>
      <c r="J460" s="7">
        <v>0</v>
      </c>
      <c r="K460" s="7">
        <v>0</v>
      </c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</row>
    <row r="461" spans="1:17">
      <c r="A461" s="2">
        <v>2409</v>
      </c>
      <c r="B461" s="7">
        <v>0</v>
      </c>
      <c r="C461" s="7">
        <v>0</v>
      </c>
      <c r="D461" s="7">
        <v>0</v>
      </c>
      <c r="E461" s="7">
        <v>0</v>
      </c>
      <c r="F461" s="7">
        <v>0</v>
      </c>
      <c r="G461" s="7">
        <v>0</v>
      </c>
      <c r="H461" s="7">
        <v>0</v>
      </c>
      <c r="I461" s="7">
        <v>0</v>
      </c>
      <c r="J461" s="7">
        <v>0</v>
      </c>
      <c r="K461" s="7">
        <v>0</v>
      </c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</row>
    <row r="462" spans="1:17">
      <c r="A462" s="2">
        <v>2410</v>
      </c>
      <c r="B462" s="7">
        <v>0</v>
      </c>
      <c r="C462" s="7">
        <v>0</v>
      </c>
      <c r="D462" s="7">
        <v>0</v>
      </c>
      <c r="E462" s="7">
        <v>0</v>
      </c>
      <c r="F462" s="7">
        <v>0</v>
      </c>
      <c r="G462" s="7">
        <v>0</v>
      </c>
      <c r="H462" s="7">
        <v>0</v>
      </c>
      <c r="I462" s="7">
        <v>0</v>
      </c>
      <c r="J462" s="7">
        <v>0</v>
      </c>
      <c r="K462" s="7">
        <v>0</v>
      </c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</row>
    <row r="463" spans="1:17">
      <c r="A463" s="2">
        <v>2411</v>
      </c>
      <c r="B463" s="7">
        <v>0</v>
      </c>
      <c r="C463" s="7">
        <v>0</v>
      </c>
      <c r="D463" s="7">
        <v>0</v>
      </c>
      <c r="E463" s="7">
        <v>0</v>
      </c>
      <c r="F463" s="7">
        <v>0</v>
      </c>
      <c r="G463" s="7">
        <v>0</v>
      </c>
      <c r="H463" s="7">
        <v>0</v>
      </c>
      <c r="I463" s="7">
        <v>0</v>
      </c>
      <c r="J463" s="7">
        <v>0</v>
      </c>
      <c r="K463" s="7">
        <v>0</v>
      </c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</row>
    <row r="464" spans="1:17">
      <c r="A464" s="2">
        <v>2412</v>
      </c>
      <c r="B464" s="7">
        <v>0</v>
      </c>
      <c r="C464" s="7">
        <v>0</v>
      </c>
      <c r="D464" s="7">
        <v>0</v>
      </c>
      <c r="E464" s="7">
        <v>0</v>
      </c>
      <c r="F464" s="7">
        <v>0</v>
      </c>
      <c r="G464" s="7">
        <v>0</v>
      </c>
      <c r="H464" s="7">
        <v>0</v>
      </c>
      <c r="I464" s="7">
        <v>0</v>
      </c>
      <c r="J464" s="7">
        <v>0</v>
      </c>
      <c r="K464" s="7">
        <v>0</v>
      </c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</row>
    <row r="465" spans="1:17">
      <c r="A465" s="2">
        <v>2413</v>
      </c>
      <c r="B465" s="7">
        <v>0</v>
      </c>
      <c r="C465" s="7">
        <v>0</v>
      </c>
      <c r="D465" s="7">
        <v>0</v>
      </c>
      <c r="E465" s="7">
        <v>0</v>
      </c>
      <c r="F465" s="7">
        <v>0</v>
      </c>
      <c r="G465" s="7">
        <v>0</v>
      </c>
      <c r="H465" s="7">
        <v>0</v>
      </c>
      <c r="I465" s="7">
        <v>0</v>
      </c>
      <c r="J465" s="7">
        <v>0</v>
      </c>
      <c r="K465" s="7">
        <v>0</v>
      </c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</row>
    <row r="466" spans="1:17">
      <c r="A466" s="2">
        <v>2414</v>
      </c>
      <c r="B466" s="7">
        <v>0</v>
      </c>
      <c r="C466" s="7">
        <v>0</v>
      </c>
      <c r="D466" s="7">
        <v>0</v>
      </c>
      <c r="E466" s="7">
        <v>0</v>
      </c>
      <c r="F466" s="7">
        <v>0</v>
      </c>
      <c r="G466" s="7">
        <v>0</v>
      </c>
      <c r="H466" s="7">
        <v>0</v>
      </c>
      <c r="I466" s="7">
        <v>0</v>
      </c>
      <c r="J466" s="7">
        <v>0</v>
      </c>
      <c r="K466" s="7">
        <v>0</v>
      </c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</row>
    <row r="467" spans="1:17">
      <c r="A467" s="2">
        <v>2415</v>
      </c>
      <c r="B467" s="7">
        <v>0</v>
      </c>
      <c r="C467" s="7">
        <v>0</v>
      </c>
      <c r="D467" s="7">
        <v>0</v>
      </c>
      <c r="E467" s="7">
        <v>0</v>
      </c>
      <c r="F467" s="7">
        <v>0</v>
      </c>
      <c r="G467" s="7">
        <v>0</v>
      </c>
      <c r="H467" s="7">
        <v>0</v>
      </c>
      <c r="I467" s="7">
        <v>0</v>
      </c>
      <c r="J467" s="7">
        <v>0</v>
      </c>
      <c r="K467" s="7">
        <v>0</v>
      </c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</row>
    <row r="468" spans="1:17">
      <c r="A468" s="2">
        <v>2416</v>
      </c>
      <c r="B468" s="7">
        <v>0</v>
      </c>
      <c r="C468" s="7">
        <v>0</v>
      </c>
      <c r="D468" s="7">
        <v>0</v>
      </c>
      <c r="E468" s="7">
        <v>0</v>
      </c>
      <c r="F468" s="7">
        <v>0</v>
      </c>
      <c r="G468" s="7">
        <v>0</v>
      </c>
      <c r="H468" s="7">
        <v>0</v>
      </c>
      <c r="I468" s="7">
        <v>0</v>
      </c>
      <c r="J468" s="7">
        <v>0</v>
      </c>
      <c r="K468" s="7">
        <v>0</v>
      </c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</row>
    <row r="469" spans="1:17">
      <c r="A469" s="2">
        <v>2417</v>
      </c>
      <c r="B469" s="7">
        <v>0</v>
      </c>
      <c r="C469" s="7">
        <v>0</v>
      </c>
      <c r="D469" s="7">
        <v>0</v>
      </c>
      <c r="E469" s="7">
        <v>0</v>
      </c>
      <c r="F469" s="7">
        <v>0</v>
      </c>
      <c r="G469" s="7">
        <v>0</v>
      </c>
      <c r="H469" s="7">
        <v>0</v>
      </c>
      <c r="I469" s="7">
        <v>0</v>
      </c>
      <c r="J469" s="7">
        <v>0</v>
      </c>
      <c r="K469" s="7">
        <v>0</v>
      </c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</row>
    <row r="470" spans="1:17">
      <c r="A470" s="2">
        <v>2418</v>
      </c>
      <c r="B470" s="7">
        <v>0</v>
      </c>
      <c r="C470" s="7">
        <v>0</v>
      </c>
      <c r="D470" s="7">
        <v>0</v>
      </c>
      <c r="E470" s="7">
        <v>0</v>
      </c>
      <c r="F470" s="7">
        <v>0</v>
      </c>
      <c r="G470" s="7">
        <v>0</v>
      </c>
      <c r="H470" s="7">
        <v>0</v>
      </c>
      <c r="I470" s="7">
        <v>0</v>
      </c>
      <c r="J470" s="7">
        <v>0</v>
      </c>
      <c r="K470" s="7">
        <v>0</v>
      </c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</row>
    <row r="471" spans="1:17">
      <c r="A471" s="2">
        <v>2419</v>
      </c>
      <c r="B471" s="7">
        <v>0</v>
      </c>
      <c r="C471" s="7">
        <v>0</v>
      </c>
      <c r="D471" s="7">
        <v>0</v>
      </c>
      <c r="E471" s="7">
        <v>0</v>
      </c>
      <c r="F471" s="7">
        <v>0</v>
      </c>
      <c r="G471" s="7">
        <v>0</v>
      </c>
      <c r="H471" s="7">
        <v>0</v>
      </c>
      <c r="I471" s="7">
        <v>0</v>
      </c>
      <c r="J471" s="7">
        <v>0</v>
      </c>
      <c r="K471" s="7">
        <v>0</v>
      </c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</row>
    <row r="472" spans="1:17">
      <c r="A472" s="2">
        <v>2420</v>
      </c>
      <c r="B472" s="7">
        <v>0</v>
      </c>
      <c r="C472" s="7">
        <v>0</v>
      </c>
      <c r="D472" s="7">
        <v>0</v>
      </c>
      <c r="E472" s="7">
        <v>0</v>
      </c>
      <c r="F472" s="7">
        <v>0</v>
      </c>
      <c r="G472" s="7">
        <v>0</v>
      </c>
      <c r="H472" s="7">
        <v>0</v>
      </c>
      <c r="I472" s="7">
        <v>0</v>
      </c>
      <c r="J472" s="7">
        <v>0</v>
      </c>
      <c r="K472" s="7">
        <v>0</v>
      </c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</row>
    <row r="473" spans="1:17">
      <c r="A473" s="2">
        <v>2421</v>
      </c>
      <c r="B473" s="7">
        <v>0</v>
      </c>
      <c r="C473" s="7">
        <v>0</v>
      </c>
      <c r="D473" s="7">
        <v>0</v>
      </c>
      <c r="E473" s="7">
        <v>0</v>
      </c>
      <c r="F473" s="7">
        <v>0</v>
      </c>
      <c r="G473" s="7">
        <v>0</v>
      </c>
      <c r="H473" s="7">
        <v>0</v>
      </c>
      <c r="I473" s="7">
        <v>0</v>
      </c>
      <c r="J473" s="7">
        <v>0</v>
      </c>
      <c r="K473" s="7">
        <v>0</v>
      </c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</row>
    <row r="474" spans="1:17">
      <c r="A474" s="2">
        <v>2422</v>
      </c>
      <c r="B474" s="7">
        <v>0</v>
      </c>
      <c r="C474" s="7">
        <v>0</v>
      </c>
      <c r="D474" s="7">
        <v>0</v>
      </c>
      <c r="E474" s="7">
        <v>0</v>
      </c>
      <c r="F474" s="7">
        <v>0</v>
      </c>
      <c r="G474" s="7">
        <v>0</v>
      </c>
      <c r="H474" s="7">
        <v>0</v>
      </c>
      <c r="I474" s="7">
        <v>0</v>
      </c>
      <c r="J474" s="7">
        <v>0</v>
      </c>
      <c r="K474" s="7">
        <v>0</v>
      </c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</row>
    <row r="475" spans="1:17">
      <c r="A475" s="2">
        <v>2423</v>
      </c>
      <c r="B475" s="7">
        <v>0</v>
      </c>
      <c r="C475" s="7">
        <v>0</v>
      </c>
      <c r="D475" s="7">
        <v>0</v>
      </c>
      <c r="E475" s="7">
        <v>0</v>
      </c>
      <c r="F475" s="7">
        <v>0</v>
      </c>
      <c r="G475" s="7">
        <v>0</v>
      </c>
      <c r="H475" s="7">
        <v>0</v>
      </c>
      <c r="I475" s="7">
        <v>0</v>
      </c>
      <c r="J475" s="7">
        <v>0</v>
      </c>
      <c r="K475" s="7">
        <v>0</v>
      </c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</row>
    <row r="476" spans="1:17">
      <c r="A476" s="2">
        <v>2424</v>
      </c>
      <c r="B476" s="7">
        <v>0</v>
      </c>
      <c r="C476" s="7">
        <v>0</v>
      </c>
      <c r="D476" s="7">
        <v>0</v>
      </c>
      <c r="E476" s="7">
        <v>0</v>
      </c>
      <c r="F476" s="7">
        <v>0</v>
      </c>
      <c r="G476" s="7">
        <v>0</v>
      </c>
      <c r="H476" s="7">
        <v>0</v>
      </c>
      <c r="I476" s="7">
        <v>0</v>
      </c>
      <c r="J476" s="7">
        <v>0</v>
      </c>
      <c r="K476" s="7">
        <v>0</v>
      </c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</row>
    <row r="477" spans="1:17">
      <c r="A477" s="2">
        <v>2425</v>
      </c>
      <c r="B477" s="7">
        <v>0</v>
      </c>
      <c r="C477" s="7">
        <v>0</v>
      </c>
      <c r="D477" s="7">
        <v>0</v>
      </c>
      <c r="E477" s="7">
        <v>0</v>
      </c>
      <c r="F477" s="7">
        <v>0</v>
      </c>
      <c r="G477" s="7">
        <v>0</v>
      </c>
      <c r="H477" s="7">
        <v>0</v>
      </c>
      <c r="I477" s="7">
        <v>0</v>
      </c>
      <c r="J477" s="7">
        <v>0</v>
      </c>
      <c r="K477" s="7">
        <v>0</v>
      </c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</row>
    <row r="478" spans="1:17">
      <c r="A478" s="2">
        <v>2426</v>
      </c>
      <c r="B478" s="7">
        <v>0</v>
      </c>
      <c r="C478" s="7">
        <v>0</v>
      </c>
      <c r="D478" s="7">
        <v>0</v>
      </c>
      <c r="E478" s="7">
        <v>0</v>
      </c>
      <c r="F478" s="7">
        <v>0</v>
      </c>
      <c r="G478" s="7">
        <v>0</v>
      </c>
      <c r="H478" s="7">
        <v>0</v>
      </c>
      <c r="I478" s="7">
        <v>0</v>
      </c>
      <c r="J478" s="7">
        <v>0</v>
      </c>
      <c r="K478" s="7">
        <v>0</v>
      </c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</row>
    <row r="479" spans="1:17">
      <c r="A479" s="2">
        <v>2427</v>
      </c>
      <c r="B479" s="7">
        <v>0</v>
      </c>
      <c r="C479" s="7">
        <v>0</v>
      </c>
      <c r="D479" s="7">
        <v>0</v>
      </c>
      <c r="E479" s="7">
        <v>0</v>
      </c>
      <c r="F479" s="7">
        <v>0</v>
      </c>
      <c r="G479" s="7">
        <v>0</v>
      </c>
      <c r="H479" s="7">
        <v>0</v>
      </c>
      <c r="I479" s="7">
        <v>0</v>
      </c>
      <c r="J479" s="7">
        <v>0</v>
      </c>
      <c r="K479" s="7">
        <v>0</v>
      </c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</row>
    <row r="480" spans="1:17">
      <c r="A480" s="2">
        <v>2428</v>
      </c>
      <c r="B480" s="7">
        <v>0</v>
      </c>
      <c r="C480" s="7">
        <v>0</v>
      </c>
      <c r="D480" s="7">
        <v>0</v>
      </c>
      <c r="E480" s="7">
        <v>0</v>
      </c>
      <c r="F480" s="7">
        <v>0</v>
      </c>
      <c r="G480" s="7">
        <v>0</v>
      </c>
      <c r="H480" s="7">
        <v>0</v>
      </c>
      <c r="I480" s="7">
        <v>0</v>
      </c>
      <c r="J480" s="7">
        <v>0</v>
      </c>
      <c r="K480" s="7">
        <v>0</v>
      </c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</row>
    <row r="481" spans="1:17">
      <c r="A481" s="2">
        <v>2429</v>
      </c>
      <c r="B481" s="7">
        <v>0</v>
      </c>
      <c r="C481" s="7">
        <v>0</v>
      </c>
      <c r="D481" s="7">
        <v>0</v>
      </c>
      <c r="E481" s="7">
        <v>0</v>
      </c>
      <c r="F481" s="7">
        <v>0</v>
      </c>
      <c r="G481" s="7">
        <v>0</v>
      </c>
      <c r="H481" s="7">
        <v>0</v>
      </c>
      <c r="I481" s="7">
        <v>0</v>
      </c>
      <c r="J481" s="7">
        <v>0</v>
      </c>
      <c r="K481" s="7">
        <v>0</v>
      </c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</row>
    <row r="482" spans="1:17">
      <c r="A482" s="2">
        <v>2430</v>
      </c>
      <c r="B482" s="7">
        <v>0</v>
      </c>
      <c r="C482" s="7">
        <v>0</v>
      </c>
      <c r="D482" s="7">
        <v>0</v>
      </c>
      <c r="E482" s="7">
        <v>0</v>
      </c>
      <c r="F482" s="7">
        <v>0</v>
      </c>
      <c r="G482" s="7">
        <v>0</v>
      </c>
      <c r="H482" s="7">
        <v>0</v>
      </c>
      <c r="I482" s="7">
        <v>0</v>
      </c>
      <c r="J482" s="7">
        <v>0</v>
      </c>
      <c r="K482" s="7">
        <v>0</v>
      </c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</row>
    <row r="483" spans="1:17">
      <c r="A483" s="2">
        <v>2431</v>
      </c>
      <c r="B483" s="7">
        <v>0</v>
      </c>
      <c r="C483" s="7">
        <v>0</v>
      </c>
      <c r="D483" s="7">
        <v>0</v>
      </c>
      <c r="E483" s="7">
        <v>0</v>
      </c>
      <c r="F483" s="7">
        <v>0</v>
      </c>
      <c r="G483" s="7">
        <v>0</v>
      </c>
      <c r="H483" s="7">
        <v>0</v>
      </c>
      <c r="I483" s="7">
        <v>0</v>
      </c>
      <c r="J483" s="7">
        <v>0</v>
      </c>
      <c r="K483" s="7">
        <v>0</v>
      </c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</row>
    <row r="484" spans="1:17">
      <c r="A484" s="2">
        <v>2432</v>
      </c>
      <c r="B484" s="7">
        <v>0</v>
      </c>
      <c r="C484" s="7">
        <v>0</v>
      </c>
      <c r="D484" s="7">
        <v>0</v>
      </c>
      <c r="E484" s="7">
        <v>0</v>
      </c>
      <c r="F484" s="7">
        <v>0</v>
      </c>
      <c r="G484" s="7">
        <v>0</v>
      </c>
      <c r="H484" s="7">
        <v>0</v>
      </c>
      <c r="I484" s="7">
        <v>0</v>
      </c>
      <c r="J484" s="7">
        <v>0</v>
      </c>
      <c r="K484" s="7">
        <v>0</v>
      </c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</row>
    <row r="485" spans="1:17">
      <c r="A485" s="2">
        <v>2433</v>
      </c>
      <c r="B485" s="7">
        <v>0</v>
      </c>
      <c r="C485" s="7">
        <v>0</v>
      </c>
      <c r="D485" s="7">
        <v>0</v>
      </c>
      <c r="E485" s="7">
        <v>0</v>
      </c>
      <c r="F485" s="7">
        <v>0</v>
      </c>
      <c r="G485" s="7">
        <v>0</v>
      </c>
      <c r="H485" s="7">
        <v>0</v>
      </c>
      <c r="I485" s="7">
        <v>0</v>
      </c>
      <c r="J485" s="7">
        <v>0</v>
      </c>
      <c r="K485" s="7">
        <v>0</v>
      </c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</row>
    <row r="486" spans="1:17">
      <c r="A486" s="2">
        <v>2434</v>
      </c>
      <c r="B486" s="7">
        <v>0</v>
      </c>
      <c r="C486" s="7">
        <v>0</v>
      </c>
      <c r="D486" s="7">
        <v>0</v>
      </c>
      <c r="E486" s="7">
        <v>0</v>
      </c>
      <c r="F486" s="7">
        <v>0</v>
      </c>
      <c r="G486" s="7">
        <v>0</v>
      </c>
      <c r="H486" s="7">
        <v>0</v>
      </c>
      <c r="I486" s="7">
        <v>0</v>
      </c>
      <c r="J486" s="7">
        <v>0</v>
      </c>
      <c r="K486" s="7">
        <v>0</v>
      </c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</row>
    <row r="487" spans="1:17">
      <c r="A487" s="2">
        <v>2435</v>
      </c>
      <c r="B487" s="7">
        <v>0</v>
      </c>
      <c r="C487" s="7">
        <v>0</v>
      </c>
      <c r="D487" s="7">
        <v>0</v>
      </c>
      <c r="E487" s="7">
        <v>0</v>
      </c>
      <c r="F487" s="7">
        <v>0</v>
      </c>
      <c r="G487" s="7">
        <v>0</v>
      </c>
      <c r="H487" s="7">
        <v>0</v>
      </c>
      <c r="I487" s="7">
        <v>0</v>
      </c>
      <c r="J487" s="7">
        <v>0</v>
      </c>
      <c r="K487" s="7">
        <v>0</v>
      </c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</row>
    <row r="488" spans="1:17">
      <c r="A488" s="2">
        <v>2436</v>
      </c>
      <c r="B488" s="7">
        <v>0</v>
      </c>
      <c r="C488" s="7">
        <v>0</v>
      </c>
      <c r="D488" s="7">
        <v>0</v>
      </c>
      <c r="E488" s="7">
        <v>0</v>
      </c>
      <c r="F488" s="7">
        <v>0</v>
      </c>
      <c r="G488" s="7">
        <v>0</v>
      </c>
      <c r="H488" s="7">
        <v>0</v>
      </c>
      <c r="I488" s="7">
        <v>0</v>
      </c>
      <c r="J488" s="7">
        <v>0</v>
      </c>
      <c r="K488" s="7">
        <v>0</v>
      </c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</row>
    <row r="489" spans="1:17">
      <c r="A489" s="2">
        <v>2437</v>
      </c>
      <c r="B489" s="7">
        <v>0</v>
      </c>
      <c r="C489" s="7">
        <v>0</v>
      </c>
      <c r="D489" s="7">
        <v>0</v>
      </c>
      <c r="E489" s="7">
        <v>0</v>
      </c>
      <c r="F489" s="7">
        <v>0</v>
      </c>
      <c r="G489" s="7">
        <v>0</v>
      </c>
      <c r="H489" s="7">
        <v>0</v>
      </c>
      <c r="I489" s="7">
        <v>0</v>
      </c>
      <c r="J489" s="7">
        <v>0</v>
      </c>
      <c r="K489" s="7">
        <v>0</v>
      </c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</row>
    <row r="490" spans="1:17">
      <c r="A490" s="2">
        <v>2438</v>
      </c>
      <c r="B490" s="7">
        <v>0</v>
      </c>
      <c r="C490" s="7">
        <v>0</v>
      </c>
      <c r="D490" s="7">
        <v>0</v>
      </c>
      <c r="E490" s="7">
        <v>0</v>
      </c>
      <c r="F490" s="7">
        <v>0</v>
      </c>
      <c r="G490" s="7">
        <v>0</v>
      </c>
      <c r="H490" s="7">
        <v>0</v>
      </c>
      <c r="I490" s="7">
        <v>0</v>
      </c>
      <c r="J490" s="7">
        <v>0</v>
      </c>
      <c r="K490" s="7">
        <v>0</v>
      </c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</row>
    <row r="491" spans="1:17">
      <c r="A491" s="2">
        <v>2439</v>
      </c>
      <c r="B491" s="7">
        <v>0</v>
      </c>
      <c r="C491" s="7">
        <v>0</v>
      </c>
      <c r="D491" s="7">
        <v>0</v>
      </c>
      <c r="E491" s="7">
        <v>0</v>
      </c>
      <c r="F491" s="7">
        <v>0</v>
      </c>
      <c r="G491" s="7">
        <v>0</v>
      </c>
      <c r="H491" s="7">
        <v>0</v>
      </c>
      <c r="I491" s="7">
        <v>0</v>
      </c>
      <c r="J491" s="7">
        <v>0</v>
      </c>
      <c r="K491" s="7">
        <v>0</v>
      </c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</row>
    <row r="492" spans="1:17">
      <c r="A492" s="2">
        <v>2440</v>
      </c>
      <c r="B492" s="7">
        <v>0</v>
      </c>
      <c r="C492" s="7">
        <v>0</v>
      </c>
      <c r="D492" s="7">
        <v>0</v>
      </c>
      <c r="E492" s="7">
        <v>0</v>
      </c>
      <c r="F492" s="7">
        <v>0</v>
      </c>
      <c r="G492" s="7">
        <v>0</v>
      </c>
      <c r="H492" s="7">
        <v>0</v>
      </c>
      <c r="I492" s="7">
        <v>0</v>
      </c>
      <c r="J492" s="7">
        <v>0</v>
      </c>
      <c r="K492" s="7">
        <v>0</v>
      </c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</row>
    <row r="493" spans="1:17">
      <c r="A493" s="2">
        <v>2441</v>
      </c>
      <c r="B493" s="7">
        <v>0</v>
      </c>
      <c r="C493" s="7">
        <v>0</v>
      </c>
      <c r="D493" s="7">
        <v>0</v>
      </c>
      <c r="E493" s="7">
        <v>0</v>
      </c>
      <c r="F493" s="7">
        <v>0</v>
      </c>
      <c r="G493" s="7">
        <v>0</v>
      </c>
      <c r="H493" s="7">
        <v>0</v>
      </c>
      <c r="I493" s="7">
        <v>0</v>
      </c>
      <c r="J493" s="7">
        <v>0</v>
      </c>
      <c r="K493" s="7">
        <v>0</v>
      </c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</row>
    <row r="494" spans="1:17">
      <c r="A494" s="2">
        <v>2442</v>
      </c>
      <c r="B494" s="7">
        <v>0</v>
      </c>
      <c r="C494" s="7">
        <v>0</v>
      </c>
      <c r="D494" s="7">
        <v>0</v>
      </c>
      <c r="E494" s="7">
        <v>0</v>
      </c>
      <c r="F494" s="7">
        <v>0</v>
      </c>
      <c r="G494" s="7">
        <v>0</v>
      </c>
      <c r="H494" s="7">
        <v>0</v>
      </c>
      <c r="I494" s="7">
        <v>0</v>
      </c>
      <c r="J494" s="7">
        <v>0</v>
      </c>
      <c r="K494" s="7">
        <v>0</v>
      </c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</row>
    <row r="495" spans="1:17">
      <c r="A495" s="2">
        <v>2443</v>
      </c>
      <c r="B495" s="7">
        <v>0</v>
      </c>
      <c r="C495" s="7">
        <v>0</v>
      </c>
      <c r="D495" s="7">
        <v>0</v>
      </c>
      <c r="E495" s="7">
        <v>0</v>
      </c>
      <c r="F495" s="7">
        <v>0</v>
      </c>
      <c r="G495" s="7">
        <v>0</v>
      </c>
      <c r="H495" s="7">
        <v>0</v>
      </c>
      <c r="I495" s="7">
        <v>0</v>
      </c>
      <c r="J495" s="7">
        <v>0</v>
      </c>
      <c r="K495" s="7">
        <v>0</v>
      </c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</row>
    <row r="496" spans="1:17">
      <c r="A496" s="2">
        <v>2444</v>
      </c>
      <c r="B496" s="7">
        <v>0</v>
      </c>
      <c r="C496" s="7">
        <v>0</v>
      </c>
      <c r="D496" s="7">
        <v>0</v>
      </c>
      <c r="E496" s="7">
        <v>0</v>
      </c>
      <c r="F496" s="7">
        <v>0</v>
      </c>
      <c r="G496" s="7">
        <v>0</v>
      </c>
      <c r="H496" s="7">
        <v>0</v>
      </c>
      <c r="I496" s="7">
        <v>0</v>
      </c>
      <c r="J496" s="7">
        <v>0</v>
      </c>
      <c r="K496" s="7">
        <v>0</v>
      </c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</row>
    <row r="497" spans="1:17">
      <c r="A497" s="2">
        <v>2445</v>
      </c>
      <c r="B497" s="7">
        <v>0</v>
      </c>
      <c r="C497" s="7">
        <v>0</v>
      </c>
      <c r="D497" s="7">
        <v>0</v>
      </c>
      <c r="E497" s="7">
        <v>0</v>
      </c>
      <c r="F497" s="7">
        <v>0</v>
      </c>
      <c r="G497" s="7">
        <v>0</v>
      </c>
      <c r="H497" s="7">
        <v>0</v>
      </c>
      <c r="I497" s="7">
        <v>0</v>
      </c>
      <c r="J497" s="7">
        <v>0</v>
      </c>
      <c r="K497" s="7">
        <v>0</v>
      </c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</row>
    <row r="498" spans="1:17">
      <c r="A498" s="2">
        <v>2446</v>
      </c>
      <c r="B498" s="7">
        <v>0</v>
      </c>
      <c r="C498" s="7">
        <v>0</v>
      </c>
      <c r="D498" s="7">
        <v>0</v>
      </c>
      <c r="E498" s="7">
        <v>0</v>
      </c>
      <c r="F498" s="7">
        <v>0</v>
      </c>
      <c r="G498" s="7">
        <v>0</v>
      </c>
      <c r="H498" s="7">
        <v>0</v>
      </c>
      <c r="I498" s="7">
        <v>0</v>
      </c>
      <c r="J498" s="7">
        <v>0</v>
      </c>
      <c r="K498" s="7">
        <v>0</v>
      </c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</row>
    <row r="499" spans="1:17">
      <c r="A499" s="2">
        <v>2447</v>
      </c>
      <c r="B499" s="7">
        <v>0</v>
      </c>
      <c r="C499" s="7">
        <v>0</v>
      </c>
      <c r="D499" s="7">
        <v>0</v>
      </c>
      <c r="E499" s="7">
        <v>0</v>
      </c>
      <c r="F499" s="7">
        <v>0</v>
      </c>
      <c r="G499" s="7">
        <v>0</v>
      </c>
      <c r="H499" s="7">
        <v>0</v>
      </c>
      <c r="I499" s="7">
        <v>0</v>
      </c>
      <c r="J499" s="7">
        <v>0</v>
      </c>
      <c r="K499" s="7">
        <v>0</v>
      </c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</row>
    <row r="500" spans="1:17">
      <c r="A500" s="2">
        <v>2448</v>
      </c>
      <c r="B500" s="7">
        <v>0</v>
      </c>
      <c r="C500" s="7">
        <v>0</v>
      </c>
      <c r="D500" s="7">
        <v>0</v>
      </c>
      <c r="E500" s="7">
        <v>0</v>
      </c>
      <c r="F500" s="7">
        <v>0</v>
      </c>
      <c r="G500" s="7">
        <v>0</v>
      </c>
      <c r="H500" s="7">
        <v>0</v>
      </c>
      <c r="I500" s="7">
        <v>0</v>
      </c>
      <c r="J500" s="7">
        <v>0</v>
      </c>
      <c r="K500" s="7">
        <v>0</v>
      </c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</row>
    <row r="501" spans="1:17">
      <c r="A501" s="2">
        <v>2449</v>
      </c>
      <c r="B501" s="7">
        <v>0</v>
      </c>
      <c r="C501" s="7">
        <v>0</v>
      </c>
      <c r="D501" s="7">
        <v>0</v>
      </c>
      <c r="E501" s="7">
        <v>0</v>
      </c>
      <c r="F501" s="7">
        <v>0</v>
      </c>
      <c r="G501" s="7">
        <v>0</v>
      </c>
      <c r="H501" s="7">
        <v>0</v>
      </c>
      <c r="I501" s="7">
        <v>0</v>
      </c>
      <c r="J501" s="7">
        <v>0</v>
      </c>
      <c r="K501" s="7">
        <v>0</v>
      </c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</row>
    <row r="502" spans="1:17">
      <c r="A502" s="2">
        <v>2450</v>
      </c>
      <c r="B502" s="7">
        <v>0</v>
      </c>
      <c r="C502" s="7">
        <v>0</v>
      </c>
      <c r="D502" s="7">
        <v>0</v>
      </c>
      <c r="E502" s="7">
        <v>0</v>
      </c>
      <c r="F502" s="7">
        <v>0</v>
      </c>
      <c r="G502" s="7">
        <v>0</v>
      </c>
      <c r="H502" s="7">
        <v>0</v>
      </c>
      <c r="I502" s="7">
        <v>0</v>
      </c>
      <c r="J502" s="7">
        <v>0</v>
      </c>
      <c r="K502" s="7">
        <v>0</v>
      </c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</row>
    <row r="503" spans="1:17">
      <c r="A503" s="2">
        <v>2451</v>
      </c>
      <c r="B503" s="7">
        <v>0</v>
      </c>
      <c r="C503" s="7">
        <v>0</v>
      </c>
      <c r="D503" s="7">
        <v>0</v>
      </c>
      <c r="E503" s="7">
        <v>0</v>
      </c>
      <c r="F503" s="7">
        <v>0</v>
      </c>
      <c r="G503" s="7">
        <v>0</v>
      </c>
      <c r="H503" s="7">
        <v>0</v>
      </c>
      <c r="I503" s="7">
        <v>0</v>
      </c>
      <c r="J503" s="7">
        <v>0</v>
      </c>
      <c r="K503" s="7">
        <v>0</v>
      </c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</row>
    <row r="504" spans="1:17">
      <c r="A504" s="2">
        <v>2452</v>
      </c>
      <c r="B504" s="7">
        <v>0</v>
      </c>
      <c r="C504" s="7">
        <v>0</v>
      </c>
      <c r="D504" s="7">
        <v>0</v>
      </c>
      <c r="E504" s="7">
        <v>0</v>
      </c>
      <c r="F504" s="7">
        <v>0</v>
      </c>
      <c r="G504" s="7">
        <v>0</v>
      </c>
      <c r="H504" s="7">
        <v>0</v>
      </c>
      <c r="I504" s="7">
        <v>0</v>
      </c>
      <c r="J504" s="7">
        <v>0</v>
      </c>
      <c r="K504" s="7">
        <v>0</v>
      </c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</row>
    <row r="505" spans="1:17">
      <c r="A505" s="2">
        <v>2453</v>
      </c>
      <c r="B505" s="7">
        <v>0</v>
      </c>
      <c r="C505" s="7">
        <v>0</v>
      </c>
      <c r="D505" s="7">
        <v>0</v>
      </c>
      <c r="E505" s="7">
        <v>0</v>
      </c>
      <c r="F505" s="7">
        <v>0</v>
      </c>
      <c r="G505" s="7">
        <v>0</v>
      </c>
      <c r="H505" s="7">
        <v>0</v>
      </c>
      <c r="I505" s="7">
        <v>0</v>
      </c>
      <c r="J505" s="7">
        <v>0</v>
      </c>
      <c r="K505" s="7">
        <v>0</v>
      </c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</row>
    <row r="506" spans="1:17">
      <c r="A506" s="2">
        <v>2454</v>
      </c>
      <c r="B506" s="7">
        <v>0</v>
      </c>
      <c r="C506" s="7">
        <v>0</v>
      </c>
      <c r="D506" s="7">
        <v>0</v>
      </c>
      <c r="E506" s="7">
        <v>0</v>
      </c>
      <c r="F506" s="7">
        <v>0</v>
      </c>
      <c r="G506" s="7">
        <v>0</v>
      </c>
      <c r="H506" s="7">
        <v>0</v>
      </c>
      <c r="I506" s="7">
        <v>0</v>
      </c>
      <c r="J506" s="7">
        <v>0</v>
      </c>
      <c r="K506" s="7">
        <v>0</v>
      </c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</row>
    <row r="507" spans="1:17">
      <c r="A507" s="2">
        <v>2455</v>
      </c>
      <c r="B507" s="7">
        <v>0</v>
      </c>
      <c r="C507" s="7">
        <v>0</v>
      </c>
      <c r="D507" s="7">
        <v>0</v>
      </c>
      <c r="E507" s="7">
        <v>0</v>
      </c>
      <c r="F507" s="7">
        <v>0</v>
      </c>
      <c r="G507" s="7">
        <v>0</v>
      </c>
      <c r="H507" s="7">
        <v>0</v>
      </c>
      <c r="I507" s="7">
        <v>0</v>
      </c>
      <c r="J507" s="7">
        <v>0</v>
      </c>
      <c r="K507" s="7">
        <v>0</v>
      </c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</row>
    <row r="508" spans="1:17">
      <c r="A508" s="2">
        <v>2456</v>
      </c>
      <c r="B508" s="7">
        <v>0</v>
      </c>
      <c r="C508" s="7">
        <v>0</v>
      </c>
      <c r="D508" s="7">
        <v>0</v>
      </c>
      <c r="E508" s="7">
        <v>0</v>
      </c>
      <c r="F508" s="7">
        <v>0</v>
      </c>
      <c r="G508" s="7">
        <v>0</v>
      </c>
      <c r="H508" s="7">
        <v>0</v>
      </c>
      <c r="I508" s="7">
        <v>0</v>
      </c>
      <c r="J508" s="7">
        <v>0</v>
      </c>
      <c r="K508" s="7">
        <v>0</v>
      </c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</row>
    <row r="509" spans="1:17">
      <c r="A509" s="2">
        <v>2457</v>
      </c>
      <c r="B509" s="7">
        <v>0</v>
      </c>
      <c r="C509" s="7">
        <v>0</v>
      </c>
      <c r="D509" s="7">
        <v>0</v>
      </c>
      <c r="E509" s="7">
        <v>0</v>
      </c>
      <c r="F509" s="7">
        <v>0</v>
      </c>
      <c r="G509" s="7">
        <v>0</v>
      </c>
      <c r="H509" s="7">
        <v>0</v>
      </c>
      <c r="I509" s="7">
        <v>0</v>
      </c>
      <c r="J509" s="7">
        <v>0</v>
      </c>
      <c r="K509" s="7">
        <v>0</v>
      </c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</row>
    <row r="510" spans="1:17">
      <c r="A510" s="2">
        <v>2458</v>
      </c>
      <c r="B510" s="7">
        <v>0</v>
      </c>
      <c r="C510" s="7">
        <v>0</v>
      </c>
      <c r="D510" s="7">
        <v>0</v>
      </c>
      <c r="E510" s="7">
        <v>0</v>
      </c>
      <c r="F510" s="7">
        <v>0</v>
      </c>
      <c r="G510" s="7">
        <v>0</v>
      </c>
      <c r="H510" s="7">
        <v>0</v>
      </c>
      <c r="I510" s="7">
        <v>0</v>
      </c>
      <c r="J510" s="7">
        <v>0</v>
      </c>
      <c r="K510" s="7">
        <v>0</v>
      </c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</row>
    <row r="511" spans="1:17">
      <c r="A511" s="2">
        <v>2459</v>
      </c>
      <c r="B511" s="7">
        <v>0</v>
      </c>
      <c r="C511" s="7">
        <v>0</v>
      </c>
      <c r="D511" s="7">
        <v>0</v>
      </c>
      <c r="E511" s="7">
        <v>0</v>
      </c>
      <c r="F511" s="7">
        <v>0</v>
      </c>
      <c r="G511" s="7">
        <v>0</v>
      </c>
      <c r="H511" s="7">
        <v>0</v>
      </c>
      <c r="I511" s="7">
        <v>0</v>
      </c>
      <c r="J511" s="7">
        <v>0</v>
      </c>
      <c r="K511" s="7">
        <v>0</v>
      </c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</row>
    <row r="512" spans="1:17">
      <c r="A512" s="2">
        <v>2460</v>
      </c>
      <c r="B512" s="7">
        <v>0</v>
      </c>
      <c r="C512" s="7">
        <v>0</v>
      </c>
      <c r="D512" s="7">
        <v>0</v>
      </c>
      <c r="E512" s="7">
        <v>0</v>
      </c>
      <c r="F512" s="7">
        <v>0</v>
      </c>
      <c r="G512" s="7">
        <v>0</v>
      </c>
      <c r="H512" s="7">
        <v>0</v>
      </c>
      <c r="I512" s="7">
        <v>0</v>
      </c>
      <c r="J512" s="7">
        <v>0</v>
      </c>
      <c r="K512" s="7">
        <v>0</v>
      </c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</row>
    <row r="513" spans="1:17">
      <c r="A513" s="2">
        <v>2461</v>
      </c>
      <c r="B513" s="7">
        <v>0</v>
      </c>
      <c r="C513" s="7">
        <v>0</v>
      </c>
      <c r="D513" s="7">
        <v>0</v>
      </c>
      <c r="E513" s="7">
        <v>0</v>
      </c>
      <c r="F513" s="7">
        <v>0</v>
      </c>
      <c r="G513" s="7">
        <v>0</v>
      </c>
      <c r="H513" s="7">
        <v>0</v>
      </c>
      <c r="I513" s="7">
        <v>0</v>
      </c>
      <c r="J513" s="7">
        <v>0</v>
      </c>
      <c r="K513" s="7">
        <v>0</v>
      </c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</row>
    <row r="514" spans="1:17">
      <c r="A514" s="2">
        <v>2462</v>
      </c>
      <c r="B514" s="7">
        <v>0</v>
      </c>
      <c r="C514" s="7">
        <v>0</v>
      </c>
      <c r="D514" s="7">
        <v>0</v>
      </c>
      <c r="E514" s="7">
        <v>0</v>
      </c>
      <c r="F514" s="7">
        <v>0</v>
      </c>
      <c r="G514" s="7">
        <v>0</v>
      </c>
      <c r="H514" s="7">
        <v>0</v>
      </c>
      <c r="I514" s="7">
        <v>0</v>
      </c>
      <c r="J514" s="7">
        <v>0</v>
      </c>
      <c r="K514" s="7">
        <v>0</v>
      </c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</row>
    <row r="515" spans="1:17">
      <c r="A515" s="2">
        <v>2463</v>
      </c>
      <c r="B515" s="7">
        <v>0</v>
      </c>
      <c r="C515" s="7">
        <v>0</v>
      </c>
      <c r="D515" s="7">
        <v>0</v>
      </c>
      <c r="E515" s="7">
        <v>0</v>
      </c>
      <c r="F515" s="7">
        <v>0</v>
      </c>
      <c r="G515" s="7">
        <v>0</v>
      </c>
      <c r="H515" s="7">
        <v>0</v>
      </c>
      <c r="I515" s="7">
        <v>0</v>
      </c>
      <c r="J515" s="7">
        <v>0</v>
      </c>
      <c r="K515" s="7">
        <v>0</v>
      </c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</row>
    <row r="516" spans="1:17">
      <c r="A516" s="2">
        <v>2464</v>
      </c>
      <c r="B516" s="7">
        <v>0</v>
      </c>
      <c r="C516" s="7">
        <v>0</v>
      </c>
      <c r="D516" s="7">
        <v>0</v>
      </c>
      <c r="E516" s="7">
        <v>0</v>
      </c>
      <c r="F516" s="7">
        <v>0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</row>
    <row r="517" spans="1:17">
      <c r="A517" s="2">
        <v>2465</v>
      </c>
      <c r="B517" s="7">
        <v>0</v>
      </c>
      <c r="C517" s="7">
        <v>0</v>
      </c>
      <c r="D517" s="7">
        <v>0</v>
      </c>
      <c r="E517" s="7">
        <v>0</v>
      </c>
      <c r="F517" s="7">
        <v>0</v>
      </c>
      <c r="G517" s="7">
        <v>0</v>
      </c>
      <c r="H517" s="7">
        <v>0</v>
      </c>
      <c r="I517" s="7">
        <v>0</v>
      </c>
      <c r="J517" s="7">
        <v>0</v>
      </c>
      <c r="K517" s="7">
        <v>0</v>
      </c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</row>
    <row r="518" spans="1:17">
      <c r="A518" s="2">
        <v>2466</v>
      </c>
      <c r="B518" s="7">
        <v>0</v>
      </c>
      <c r="C518" s="7">
        <v>0</v>
      </c>
      <c r="D518" s="7">
        <v>0</v>
      </c>
      <c r="E518" s="7">
        <v>0</v>
      </c>
      <c r="F518" s="7">
        <v>0</v>
      </c>
      <c r="G518" s="7">
        <v>0</v>
      </c>
      <c r="H518" s="7">
        <v>0</v>
      </c>
      <c r="I518" s="7">
        <v>0</v>
      </c>
      <c r="J518" s="7">
        <v>0</v>
      </c>
      <c r="K518" s="7">
        <v>0</v>
      </c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</row>
    <row r="519" spans="1:17">
      <c r="A519" s="2">
        <v>2467</v>
      </c>
      <c r="B519" s="7">
        <v>0</v>
      </c>
      <c r="C519" s="7">
        <v>0</v>
      </c>
      <c r="D519" s="7">
        <v>0</v>
      </c>
      <c r="E519" s="7">
        <v>0</v>
      </c>
      <c r="F519" s="7">
        <v>0</v>
      </c>
      <c r="G519" s="7">
        <v>0</v>
      </c>
      <c r="H519" s="7">
        <v>0</v>
      </c>
      <c r="I519" s="7">
        <v>0</v>
      </c>
      <c r="J519" s="7">
        <v>0</v>
      </c>
      <c r="K519" s="7">
        <v>0</v>
      </c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</row>
    <row r="520" spans="1:17">
      <c r="A520" s="2">
        <v>2468</v>
      </c>
      <c r="B520" s="7">
        <v>0</v>
      </c>
      <c r="C520" s="7">
        <v>0</v>
      </c>
      <c r="D520" s="7">
        <v>0</v>
      </c>
      <c r="E520" s="7">
        <v>0</v>
      </c>
      <c r="F520" s="7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</row>
    <row r="521" spans="1:17">
      <c r="A521" s="2">
        <v>2469</v>
      </c>
      <c r="B521" s="7">
        <v>0</v>
      </c>
      <c r="C521" s="7">
        <v>0</v>
      </c>
      <c r="D521" s="7">
        <v>0</v>
      </c>
      <c r="E521" s="7">
        <v>0</v>
      </c>
      <c r="F521" s="7">
        <v>0</v>
      </c>
      <c r="G521" s="7">
        <v>0</v>
      </c>
      <c r="H521" s="7">
        <v>0</v>
      </c>
      <c r="I521" s="7">
        <v>0</v>
      </c>
      <c r="J521" s="7">
        <v>0</v>
      </c>
      <c r="K521" s="7">
        <v>0</v>
      </c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</row>
    <row r="522" spans="1:17">
      <c r="A522" s="2">
        <v>2470</v>
      </c>
      <c r="B522" s="7">
        <v>0</v>
      </c>
      <c r="C522" s="7">
        <v>0</v>
      </c>
      <c r="D522" s="7">
        <v>0</v>
      </c>
      <c r="E522" s="7">
        <v>0</v>
      </c>
      <c r="F522" s="7">
        <v>0</v>
      </c>
      <c r="G522" s="7">
        <v>0</v>
      </c>
      <c r="H522" s="7">
        <v>0</v>
      </c>
      <c r="I522" s="7">
        <v>0</v>
      </c>
      <c r="J522" s="7">
        <v>0</v>
      </c>
      <c r="K522" s="7">
        <v>0</v>
      </c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</row>
    <row r="523" spans="1:17">
      <c r="A523" s="2">
        <v>2471</v>
      </c>
      <c r="B523" s="7">
        <v>0</v>
      </c>
      <c r="C523" s="7">
        <v>0</v>
      </c>
      <c r="D523" s="7">
        <v>0</v>
      </c>
      <c r="E523" s="7">
        <v>0</v>
      </c>
      <c r="F523" s="7">
        <v>0</v>
      </c>
      <c r="G523" s="7">
        <v>0</v>
      </c>
      <c r="H523" s="7">
        <v>0</v>
      </c>
      <c r="I523" s="7">
        <v>0</v>
      </c>
      <c r="J523" s="7">
        <v>0</v>
      </c>
      <c r="K523" s="7">
        <v>0</v>
      </c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</row>
    <row r="524" spans="1:17">
      <c r="A524" s="2">
        <v>2472</v>
      </c>
      <c r="B524" s="7">
        <v>0</v>
      </c>
      <c r="C524" s="7">
        <v>0</v>
      </c>
      <c r="D524" s="7">
        <v>0</v>
      </c>
      <c r="E524" s="7">
        <v>0</v>
      </c>
      <c r="F524" s="7">
        <v>0</v>
      </c>
      <c r="G524" s="7">
        <v>0</v>
      </c>
      <c r="H524" s="7">
        <v>0</v>
      </c>
      <c r="I524" s="7">
        <v>0</v>
      </c>
      <c r="J524" s="7">
        <v>0</v>
      </c>
      <c r="K524" s="7">
        <v>0</v>
      </c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</row>
    <row r="525" spans="1:17">
      <c r="A525" s="2">
        <v>2473</v>
      </c>
      <c r="B525" s="7">
        <v>0</v>
      </c>
      <c r="C525" s="7">
        <v>0</v>
      </c>
      <c r="D525" s="7">
        <v>0</v>
      </c>
      <c r="E525" s="7">
        <v>0</v>
      </c>
      <c r="F525" s="7">
        <v>0</v>
      </c>
      <c r="G525" s="7">
        <v>0</v>
      </c>
      <c r="H525" s="7">
        <v>0</v>
      </c>
      <c r="I525" s="7">
        <v>0</v>
      </c>
      <c r="J525" s="7">
        <v>0</v>
      </c>
      <c r="K525" s="7">
        <v>0</v>
      </c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</row>
    <row r="526" spans="1:17">
      <c r="A526" s="2">
        <v>2474</v>
      </c>
      <c r="B526" s="7">
        <v>0</v>
      </c>
      <c r="C526" s="7">
        <v>0</v>
      </c>
      <c r="D526" s="7">
        <v>0</v>
      </c>
      <c r="E526" s="7">
        <v>0</v>
      </c>
      <c r="F526" s="7">
        <v>0</v>
      </c>
      <c r="G526" s="7">
        <v>0</v>
      </c>
      <c r="H526" s="7">
        <v>0</v>
      </c>
      <c r="I526" s="7">
        <v>0</v>
      </c>
      <c r="J526" s="7">
        <v>0</v>
      </c>
      <c r="K526" s="7">
        <v>0</v>
      </c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</row>
    <row r="527" spans="1:17">
      <c r="A527" s="2">
        <v>2475</v>
      </c>
      <c r="B527" s="7">
        <v>0</v>
      </c>
      <c r="C527" s="7">
        <v>0</v>
      </c>
      <c r="D527" s="7">
        <v>0</v>
      </c>
      <c r="E527" s="7">
        <v>0</v>
      </c>
      <c r="F527" s="7">
        <v>0</v>
      </c>
      <c r="G527" s="7">
        <v>0</v>
      </c>
      <c r="H527" s="7">
        <v>0</v>
      </c>
      <c r="I527" s="7">
        <v>0</v>
      </c>
      <c r="J527" s="7">
        <v>0</v>
      </c>
      <c r="K527" s="7">
        <v>0</v>
      </c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</row>
    <row r="528" spans="1:17">
      <c r="A528" s="2">
        <v>2476</v>
      </c>
      <c r="B528" s="7">
        <v>0</v>
      </c>
      <c r="C528" s="7">
        <v>0</v>
      </c>
      <c r="D528" s="7">
        <v>0</v>
      </c>
      <c r="E528" s="7">
        <v>0</v>
      </c>
      <c r="F528" s="7">
        <v>0</v>
      </c>
      <c r="G528" s="7">
        <v>0</v>
      </c>
      <c r="H528" s="7">
        <v>0</v>
      </c>
      <c r="I528" s="7">
        <v>0</v>
      </c>
      <c r="J528" s="7">
        <v>0</v>
      </c>
      <c r="K528" s="7">
        <v>0</v>
      </c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</row>
    <row r="529" spans="1:17">
      <c r="A529" s="2">
        <v>2477</v>
      </c>
      <c r="B529" s="7">
        <v>0</v>
      </c>
      <c r="C529" s="7">
        <v>0</v>
      </c>
      <c r="D529" s="7">
        <v>0</v>
      </c>
      <c r="E529" s="7">
        <v>0</v>
      </c>
      <c r="F529" s="7">
        <v>0</v>
      </c>
      <c r="G529" s="7">
        <v>0</v>
      </c>
      <c r="H529" s="7">
        <v>0</v>
      </c>
      <c r="I529" s="7">
        <v>0</v>
      </c>
      <c r="J529" s="7">
        <v>0</v>
      </c>
      <c r="K529" s="7">
        <v>0</v>
      </c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</row>
    <row r="530" spans="1:17">
      <c r="A530" s="2">
        <v>2478</v>
      </c>
      <c r="B530" s="7">
        <v>0</v>
      </c>
      <c r="C530" s="7">
        <v>0</v>
      </c>
      <c r="D530" s="7">
        <v>0</v>
      </c>
      <c r="E530" s="7">
        <v>0</v>
      </c>
      <c r="F530" s="7">
        <v>0</v>
      </c>
      <c r="G530" s="7">
        <v>0</v>
      </c>
      <c r="H530" s="7">
        <v>0</v>
      </c>
      <c r="I530" s="7">
        <v>0</v>
      </c>
      <c r="J530" s="7">
        <v>0</v>
      </c>
      <c r="K530" s="7">
        <v>0</v>
      </c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</row>
    <row r="531" spans="1:17">
      <c r="A531" s="2">
        <v>2479</v>
      </c>
      <c r="B531" s="7">
        <v>0</v>
      </c>
      <c r="C531" s="7">
        <v>0</v>
      </c>
      <c r="D531" s="7">
        <v>0</v>
      </c>
      <c r="E531" s="7">
        <v>0</v>
      </c>
      <c r="F531" s="7">
        <v>0</v>
      </c>
      <c r="G531" s="7">
        <v>0</v>
      </c>
      <c r="H531" s="7">
        <v>0</v>
      </c>
      <c r="I531" s="7">
        <v>0</v>
      </c>
      <c r="J531" s="7">
        <v>0</v>
      </c>
      <c r="K531" s="7">
        <v>0</v>
      </c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</row>
    <row r="532" spans="1:17">
      <c r="A532" s="2">
        <v>2480</v>
      </c>
      <c r="B532" s="7">
        <v>0</v>
      </c>
      <c r="C532" s="7">
        <v>0</v>
      </c>
      <c r="D532" s="7">
        <v>0</v>
      </c>
      <c r="E532" s="7">
        <v>0</v>
      </c>
      <c r="F532" s="7">
        <v>0</v>
      </c>
      <c r="G532" s="7">
        <v>0</v>
      </c>
      <c r="H532" s="7">
        <v>0</v>
      </c>
      <c r="I532" s="7">
        <v>0</v>
      </c>
      <c r="J532" s="7">
        <v>0</v>
      </c>
      <c r="K532" s="7">
        <v>0</v>
      </c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</row>
    <row r="533" spans="1:17">
      <c r="A533" s="2">
        <v>2481</v>
      </c>
      <c r="B533" s="7">
        <v>0</v>
      </c>
      <c r="C533" s="7">
        <v>0</v>
      </c>
      <c r="D533" s="7">
        <v>0</v>
      </c>
      <c r="E533" s="7">
        <v>0</v>
      </c>
      <c r="F533" s="7">
        <v>0</v>
      </c>
      <c r="G533" s="7">
        <v>0</v>
      </c>
      <c r="H533" s="7">
        <v>0</v>
      </c>
      <c r="I533" s="7">
        <v>0</v>
      </c>
      <c r="J533" s="7">
        <v>0</v>
      </c>
      <c r="K533" s="7">
        <v>0</v>
      </c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</row>
    <row r="534" spans="1:17">
      <c r="A534" s="2">
        <v>2482</v>
      </c>
      <c r="B534" s="7">
        <v>0</v>
      </c>
      <c r="C534" s="7">
        <v>0</v>
      </c>
      <c r="D534" s="7">
        <v>0</v>
      </c>
      <c r="E534" s="7">
        <v>0</v>
      </c>
      <c r="F534" s="7">
        <v>0</v>
      </c>
      <c r="G534" s="7">
        <v>0</v>
      </c>
      <c r="H534" s="7">
        <v>0</v>
      </c>
      <c r="I534" s="7">
        <v>0</v>
      </c>
      <c r="J534" s="7">
        <v>0</v>
      </c>
      <c r="K534" s="7">
        <v>0</v>
      </c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</row>
    <row r="535" spans="1:17">
      <c r="A535" s="2">
        <v>2483</v>
      </c>
      <c r="B535" s="7">
        <v>0</v>
      </c>
      <c r="C535" s="7">
        <v>0</v>
      </c>
      <c r="D535" s="7">
        <v>0</v>
      </c>
      <c r="E535" s="7">
        <v>0</v>
      </c>
      <c r="F535" s="7">
        <v>0</v>
      </c>
      <c r="G535" s="7">
        <v>0</v>
      </c>
      <c r="H535" s="7">
        <v>0</v>
      </c>
      <c r="I535" s="7">
        <v>0</v>
      </c>
      <c r="J535" s="7">
        <v>0</v>
      </c>
      <c r="K535" s="7">
        <v>0</v>
      </c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</row>
    <row r="536" spans="1:17">
      <c r="A536" s="2">
        <v>2484</v>
      </c>
      <c r="B536" s="7">
        <v>0</v>
      </c>
      <c r="C536" s="7">
        <v>0</v>
      </c>
      <c r="D536" s="7">
        <v>0</v>
      </c>
      <c r="E536" s="7">
        <v>0</v>
      </c>
      <c r="F536" s="7">
        <v>0</v>
      </c>
      <c r="G536" s="7">
        <v>0</v>
      </c>
      <c r="H536" s="7">
        <v>0</v>
      </c>
      <c r="I536" s="7">
        <v>0</v>
      </c>
      <c r="J536" s="7">
        <v>0</v>
      </c>
      <c r="K536" s="7">
        <v>0</v>
      </c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</row>
    <row r="537" spans="1:17">
      <c r="A537" s="2">
        <v>2485</v>
      </c>
      <c r="B537" s="7">
        <v>0</v>
      </c>
      <c r="C537" s="7">
        <v>0</v>
      </c>
      <c r="D537" s="7">
        <v>0</v>
      </c>
      <c r="E537" s="7">
        <v>0</v>
      </c>
      <c r="F537" s="7">
        <v>0</v>
      </c>
      <c r="G537" s="7">
        <v>0</v>
      </c>
      <c r="H537" s="7">
        <v>0</v>
      </c>
      <c r="I537" s="7">
        <v>0</v>
      </c>
      <c r="J537" s="7">
        <v>0</v>
      </c>
      <c r="K537" s="7">
        <v>0</v>
      </c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</row>
    <row r="538" spans="1:17">
      <c r="A538" s="2">
        <v>2486</v>
      </c>
      <c r="B538" s="7">
        <v>0</v>
      </c>
      <c r="C538" s="7">
        <v>0</v>
      </c>
      <c r="D538" s="7">
        <v>0</v>
      </c>
      <c r="E538" s="7">
        <v>0</v>
      </c>
      <c r="F538" s="7">
        <v>0</v>
      </c>
      <c r="G538" s="7">
        <v>0</v>
      </c>
      <c r="H538" s="7">
        <v>0</v>
      </c>
      <c r="I538" s="7">
        <v>0</v>
      </c>
      <c r="J538" s="7">
        <v>0</v>
      </c>
      <c r="K538" s="7">
        <v>0</v>
      </c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</row>
    <row r="539" spans="1:17">
      <c r="A539" s="2">
        <v>2487</v>
      </c>
      <c r="B539" s="7">
        <v>0</v>
      </c>
      <c r="C539" s="7">
        <v>0</v>
      </c>
      <c r="D539" s="7">
        <v>0</v>
      </c>
      <c r="E539" s="7">
        <v>0</v>
      </c>
      <c r="F539" s="7">
        <v>0</v>
      </c>
      <c r="G539" s="7">
        <v>0</v>
      </c>
      <c r="H539" s="7">
        <v>0</v>
      </c>
      <c r="I539" s="7">
        <v>0</v>
      </c>
      <c r="J539" s="7">
        <v>0</v>
      </c>
      <c r="K539" s="7">
        <v>0</v>
      </c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</row>
    <row r="540" spans="1:17">
      <c r="A540" s="2">
        <v>2488</v>
      </c>
      <c r="B540" s="7">
        <v>0</v>
      </c>
      <c r="C540" s="7">
        <v>0</v>
      </c>
      <c r="D540" s="7">
        <v>0</v>
      </c>
      <c r="E540" s="7">
        <v>0</v>
      </c>
      <c r="F540" s="7">
        <v>0</v>
      </c>
      <c r="G540" s="7">
        <v>0</v>
      </c>
      <c r="H540" s="7">
        <v>0</v>
      </c>
      <c r="I540" s="7">
        <v>0</v>
      </c>
      <c r="J540" s="7">
        <v>0</v>
      </c>
      <c r="K540" s="7">
        <v>0</v>
      </c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</row>
    <row r="541" spans="1:17">
      <c r="A541" s="2">
        <v>2489</v>
      </c>
      <c r="B541" s="7">
        <v>0</v>
      </c>
      <c r="C541" s="7">
        <v>0</v>
      </c>
      <c r="D541" s="7">
        <v>0</v>
      </c>
      <c r="E541" s="7">
        <v>0</v>
      </c>
      <c r="F541" s="7">
        <v>0</v>
      </c>
      <c r="G541" s="7">
        <v>0</v>
      </c>
      <c r="H541" s="7">
        <v>0</v>
      </c>
      <c r="I541" s="7">
        <v>0</v>
      </c>
      <c r="J541" s="7">
        <v>0</v>
      </c>
      <c r="K541" s="7">
        <v>0</v>
      </c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</row>
    <row r="542" spans="1:17">
      <c r="A542" s="2">
        <v>2490</v>
      </c>
      <c r="B542" s="7">
        <v>0</v>
      </c>
      <c r="C542" s="7">
        <v>0</v>
      </c>
      <c r="D542" s="7">
        <v>0</v>
      </c>
      <c r="E542" s="7">
        <v>0</v>
      </c>
      <c r="F542" s="7">
        <v>0</v>
      </c>
      <c r="G542" s="7">
        <v>0</v>
      </c>
      <c r="H542" s="7">
        <v>0</v>
      </c>
      <c r="I542" s="7">
        <v>0</v>
      </c>
      <c r="J542" s="7">
        <v>0</v>
      </c>
      <c r="K542" s="7">
        <v>0</v>
      </c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</row>
    <row r="543" spans="1:17">
      <c r="A543" s="2">
        <v>2491</v>
      </c>
      <c r="B543" s="7">
        <v>0</v>
      </c>
      <c r="C543" s="7">
        <v>0</v>
      </c>
      <c r="D543" s="7">
        <v>0</v>
      </c>
      <c r="E543" s="7">
        <v>0</v>
      </c>
      <c r="F543" s="7">
        <v>0</v>
      </c>
      <c r="G543" s="7">
        <v>0</v>
      </c>
      <c r="H543" s="7">
        <v>0</v>
      </c>
      <c r="I543" s="7">
        <v>0</v>
      </c>
      <c r="J543" s="7">
        <v>0</v>
      </c>
      <c r="K543" s="7">
        <v>0</v>
      </c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</row>
    <row r="544" spans="1:17">
      <c r="A544" s="2">
        <v>2492</v>
      </c>
      <c r="B544" s="7">
        <v>0</v>
      </c>
      <c r="C544" s="7">
        <v>0</v>
      </c>
      <c r="D544" s="7">
        <v>0</v>
      </c>
      <c r="E544" s="7">
        <v>0</v>
      </c>
      <c r="F544" s="7">
        <v>0</v>
      </c>
      <c r="G544" s="7">
        <v>0</v>
      </c>
      <c r="H544" s="7">
        <v>0</v>
      </c>
      <c r="I544" s="7">
        <v>0</v>
      </c>
      <c r="J544" s="7">
        <v>0</v>
      </c>
      <c r="K544" s="7">
        <v>0</v>
      </c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</row>
    <row r="545" spans="1:17">
      <c r="A545" s="2">
        <v>2493</v>
      </c>
      <c r="B545" s="7">
        <v>0</v>
      </c>
      <c r="C545" s="7">
        <v>0</v>
      </c>
      <c r="D545" s="7">
        <v>0</v>
      </c>
      <c r="E545" s="7">
        <v>0</v>
      </c>
      <c r="F545" s="7">
        <v>0</v>
      </c>
      <c r="G545" s="7">
        <v>0</v>
      </c>
      <c r="H545" s="7">
        <v>0</v>
      </c>
      <c r="I545" s="7">
        <v>0</v>
      </c>
      <c r="J545" s="7">
        <v>0</v>
      </c>
      <c r="K545" s="7">
        <v>0</v>
      </c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</row>
    <row r="546" spans="1:17">
      <c r="A546" s="2">
        <v>2494</v>
      </c>
      <c r="B546" s="7">
        <v>0</v>
      </c>
      <c r="C546" s="7">
        <v>0</v>
      </c>
      <c r="D546" s="7">
        <v>0</v>
      </c>
      <c r="E546" s="7">
        <v>0</v>
      </c>
      <c r="F546" s="7">
        <v>0</v>
      </c>
      <c r="G546" s="7">
        <v>0</v>
      </c>
      <c r="H546" s="7">
        <v>0</v>
      </c>
      <c r="I546" s="7">
        <v>0</v>
      </c>
      <c r="J546" s="7">
        <v>0</v>
      </c>
      <c r="K546" s="7">
        <v>0</v>
      </c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</row>
    <row r="547" spans="1:17">
      <c r="A547" s="2">
        <v>2495</v>
      </c>
      <c r="B547" s="7">
        <v>0</v>
      </c>
      <c r="C547" s="7">
        <v>0</v>
      </c>
      <c r="D547" s="7">
        <v>0</v>
      </c>
      <c r="E547" s="7">
        <v>0</v>
      </c>
      <c r="F547" s="7">
        <v>0</v>
      </c>
      <c r="G547" s="7">
        <v>0</v>
      </c>
      <c r="H547" s="7">
        <v>0</v>
      </c>
      <c r="I547" s="7">
        <v>0</v>
      </c>
      <c r="J547" s="7">
        <v>0</v>
      </c>
      <c r="K547" s="7">
        <v>0</v>
      </c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</row>
    <row r="548" spans="1:17">
      <c r="A548" s="2">
        <v>2496</v>
      </c>
      <c r="B548" s="7">
        <v>0</v>
      </c>
      <c r="C548" s="7">
        <v>0</v>
      </c>
      <c r="D548" s="7">
        <v>0</v>
      </c>
      <c r="E548" s="7">
        <v>0</v>
      </c>
      <c r="F548" s="7">
        <v>0</v>
      </c>
      <c r="G548" s="7">
        <v>0</v>
      </c>
      <c r="H548" s="7">
        <v>0</v>
      </c>
      <c r="I548" s="7">
        <v>0</v>
      </c>
      <c r="J548" s="7">
        <v>0</v>
      </c>
      <c r="K548" s="7">
        <v>0</v>
      </c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</row>
    <row r="549" spans="1:17">
      <c r="A549" s="2">
        <v>2497</v>
      </c>
      <c r="B549" s="7">
        <v>0</v>
      </c>
      <c r="C549" s="7">
        <v>0</v>
      </c>
      <c r="D549" s="7">
        <v>0</v>
      </c>
      <c r="E549" s="7">
        <v>0</v>
      </c>
      <c r="F549" s="7">
        <v>0</v>
      </c>
      <c r="G549" s="7">
        <v>0</v>
      </c>
      <c r="H549" s="7">
        <v>0</v>
      </c>
      <c r="I549" s="7">
        <v>0</v>
      </c>
      <c r="J549" s="7">
        <v>0</v>
      </c>
      <c r="K549" s="7">
        <v>0</v>
      </c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</row>
    <row r="550" spans="1:17">
      <c r="A550" s="2">
        <v>2498</v>
      </c>
      <c r="B550" s="7">
        <v>0</v>
      </c>
      <c r="C550" s="7">
        <v>0</v>
      </c>
      <c r="D550" s="7">
        <v>0</v>
      </c>
      <c r="E550" s="7">
        <v>0</v>
      </c>
      <c r="F550" s="7">
        <v>0</v>
      </c>
      <c r="G550" s="7">
        <v>0</v>
      </c>
      <c r="H550" s="7">
        <v>0</v>
      </c>
      <c r="I550" s="7">
        <v>0</v>
      </c>
      <c r="J550" s="7">
        <v>0</v>
      </c>
      <c r="K550" s="7">
        <v>0</v>
      </c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</row>
    <row r="551" spans="1:17">
      <c r="A551" s="2">
        <v>2499</v>
      </c>
      <c r="B551" s="7">
        <v>0</v>
      </c>
      <c r="C551" s="7">
        <v>0</v>
      </c>
      <c r="D551" s="7">
        <v>0</v>
      </c>
      <c r="E551" s="7">
        <v>0</v>
      </c>
      <c r="F551" s="7">
        <v>0</v>
      </c>
      <c r="G551" s="7">
        <v>0</v>
      </c>
      <c r="H551" s="7">
        <v>0</v>
      </c>
      <c r="I551" s="7">
        <v>0</v>
      </c>
      <c r="J551" s="7">
        <v>0</v>
      </c>
      <c r="K551" s="7">
        <v>0</v>
      </c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</row>
    <row r="552" spans="1:17">
      <c r="A552" s="2">
        <v>2500</v>
      </c>
      <c r="B552" s="7">
        <v>0</v>
      </c>
      <c r="C552" s="7">
        <v>0</v>
      </c>
      <c r="D552" s="7">
        <v>0</v>
      </c>
      <c r="E552" s="7">
        <v>0</v>
      </c>
      <c r="F552" s="7">
        <v>0</v>
      </c>
      <c r="G552" s="7">
        <v>0</v>
      </c>
      <c r="H552" s="7">
        <v>0</v>
      </c>
      <c r="I552" s="7">
        <v>0</v>
      </c>
      <c r="J552" s="7">
        <v>0</v>
      </c>
      <c r="K552" s="7">
        <v>0</v>
      </c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</row>
    <row r="553" spans="1:17">
      <c r="A553" s="2">
        <v>2501</v>
      </c>
      <c r="B553" s="7">
        <v>0</v>
      </c>
      <c r="C553" s="7">
        <v>0</v>
      </c>
      <c r="D553" s="7">
        <v>0</v>
      </c>
      <c r="E553" s="7">
        <v>0</v>
      </c>
      <c r="F553" s="7">
        <v>0</v>
      </c>
      <c r="G553" s="7">
        <v>0</v>
      </c>
      <c r="H553" s="7">
        <v>0</v>
      </c>
      <c r="I553" s="7">
        <v>0</v>
      </c>
      <c r="J553" s="7">
        <v>0</v>
      </c>
      <c r="K553" s="7">
        <v>0</v>
      </c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</row>
    <row r="554" spans="1:17">
      <c r="A554" s="2">
        <v>2502</v>
      </c>
      <c r="B554" s="7">
        <v>0</v>
      </c>
      <c r="C554" s="7">
        <v>0</v>
      </c>
      <c r="D554" s="7">
        <v>0</v>
      </c>
      <c r="E554" s="7">
        <v>0</v>
      </c>
      <c r="F554" s="7">
        <v>0</v>
      </c>
      <c r="G554" s="7">
        <v>0</v>
      </c>
      <c r="H554" s="7">
        <v>0</v>
      </c>
      <c r="I554" s="7">
        <v>0</v>
      </c>
      <c r="J554" s="7">
        <v>0</v>
      </c>
      <c r="K554" s="7">
        <v>0</v>
      </c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</row>
    <row r="555" spans="1:17">
      <c r="A555" s="2">
        <v>2503</v>
      </c>
      <c r="B555" s="7">
        <v>0</v>
      </c>
      <c r="C555" s="7">
        <v>0</v>
      </c>
      <c r="D555" s="7">
        <v>0</v>
      </c>
      <c r="E555" s="7">
        <v>0</v>
      </c>
      <c r="F555" s="7">
        <v>0</v>
      </c>
      <c r="G555" s="7">
        <v>0</v>
      </c>
      <c r="H555" s="7">
        <v>0</v>
      </c>
      <c r="I555" s="7">
        <v>0</v>
      </c>
      <c r="J555" s="7">
        <v>0</v>
      </c>
      <c r="K555" s="7">
        <v>0</v>
      </c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</row>
    <row r="556" spans="1:17">
      <c r="A556" s="2">
        <v>2504</v>
      </c>
      <c r="B556" s="7">
        <v>0</v>
      </c>
      <c r="C556" s="7">
        <v>0</v>
      </c>
      <c r="D556" s="7">
        <v>0</v>
      </c>
      <c r="E556" s="7">
        <v>0</v>
      </c>
      <c r="F556" s="7">
        <v>0</v>
      </c>
      <c r="G556" s="7">
        <v>0</v>
      </c>
      <c r="H556" s="7">
        <v>0</v>
      </c>
      <c r="I556" s="7">
        <v>0</v>
      </c>
      <c r="J556" s="7">
        <v>0</v>
      </c>
      <c r="K556" s="7">
        <v>0</v>
      </c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</row>
    <row r="557" spans="1:17">
      <c r="A557" s="2">
        <v>2505</v>
      </c>
      <c r="B557" s="7">
        <v>0</v>
      </c>
      <c r="C557" s="7">
        <v>0</v>
      </c>
      <c r="D557" s="7">
        <v>0</v>
      </c>
      <c r="E557" s="7">
        <v>0</v>
      </c>
      <c r="F557" s="7">
        <v>0</v>
      </c>
      <c r="G557" s="7">
        <v>0</v>
      </c>
      <c r="H557" s="7">
        <v>0</v>
      </c>
      <c r="I557" s="7">
        <v>0</v>
      </c>
      <c r="J557" s="7">
        <v>0</v>
      </c>
      <c r="K557" s="7">
        <v>0</v>
      </c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</row>
    <row r="558" spans="1:17">
      <c r="A558" s="2">
        <v>2506</v>
      </c>
      <c r="B558" s="7">
        <v>0</v>
      </c>
      <c r="C558" s="7">
        <v>0</v>
      </c>
      <c r="D558" s="7">
        <v>0</v>
      </c>
      <c r="E558" s="7">
        <v>0</v>
      </c>
      <c r="F558" s="7">
        <v>0</v>
      </c>
      <c r="G558" s="7">
        <v>0</v>
      </c>
      <c r="H558" s="7">
        <v>0</v>
      </c>
      <c r="I558" s="7">
        <v>0</v>
      </c>
      <c r="J558" s="7">
        <v>0</v>
      </c>
      <c r="K558" s="7">
        <v>0</v>
      </c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</row>
    <row r="559" spans="1:17">
      <c r="A559" s="2">
        <v>2507</v>
      </c>
      <c r="B559" s="7">
        <v>0</v>
      </c>
      <c r="C559" s="7">
        <v>0</v>
      </c>
      <c r="D559" s="7">
        <v>0</v>
      </c>
      <c r="E559" s="7">
        <v>0</v>
      </c>
      <c r="F559" s="7">
        <v>0</v>
      </c>
      <c r="G559" s="7">
        <v>0</v>
      </c>
      <c r="H559" s="7">
        <v>0</v>
      </c>
      <c r="I559" s="7">
        <v>0</v>
      </c>
      <c r="J559" s="7">
        <v>0</v>
      </c>
      <c r="K559" s="7">
        <v>0</v>
      </c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</row>
    <row r="560" spans="1:17">
      <c r="A560" s="2">
        <v>2508</v>
      </c>
      <c r="B560" s="7">
        <v>0</v>
      </c>
      <c r="C560" s="7">
        <v>0</v>
      </c>
      <c r="D560" s="7">
        <v>0</v>
      </c>
      <c r="E560" s="7">
        <v>0</v>
      </c>
      <c r="F560" s="7">
        <v>0</v>
      </c>
      <c r="G560" s="7">
        <v>0</v>
      </c>
      <c r="H560" s="7">
        <v>0</v>
      </c>
      <c r="I560" s="7">
        <v>0</v>
      </c>
      <c r="J560" s="7">
        <v>0</v>
      </c>
      <c r="K560" s="7">
        <v>0</v>
      </c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</row>
    <row r="561" spans="1:17">
      <c r="A561" s="2">
        <v>2509</v>
      </c>
      <c r="B561" s="7">
        <v>0</v>
      </c>
      <c r="C561" s="7">
        <v>0</v>
      </c>
      <c r="D561" s="7">
        <v>0</v>
      </c>
      <c r="E561" s="7">
        <v>0</v>
      </c>
      <c r="F561" s="7">
        <v>0</v>
      </c>
      <c r="G561" s="7">
        <v>0</v>
      </c>
      <c r="H561" s="7">
        <v>0</v>
      </c>
      <c r="I561" s="7">
        <v>0</v>
      </c>
      <c r="J561" s="7">
        <v>0</v>
      </c>
      <c r="K561" s="7">
        <v>0</v>
      </c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</row>
    <row r="562" spans="1:17">
      <c r="A562" s="2">
        <v>2510</v>
      </c>
      <c r="B562" s="7">
        <v>0</v>
      </c>
      <c r="C562" s="7">
        <v>0</v>
      </c>
      <c r="D562" s="7">
        <v>0</v>
      </c>
      <c r="E562" s="7">
        <v>0</v>
      </c>
      <c r="F562" s="7">
        <v>0</v>
      </c>
      <c r="G562" s="7">
        <v>0</v>
      </c>
      <c r="H562" s="7">
        <v>0</v>
      </c>
      <c r="I562" s="7">
        <v>0</v>
      </c>
      <c r="J562" s="7">
        <v>0</v>
      </c>
      <c r="K562" s="7">
        <v>0</v>
      </c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</row>
    <row r="563" spans="1:17">
      <c r="A563" s="2">
        <v>2511</v>
      </c>
      <c r="B563" s="7">
        <v>0</v>
      </c>
      <c r="C563" s="7">
        <v>0</v>
      </c>
      <c r="D563" s="7">
        <v>0</v>
      </c>
      <c r="E563" s="7">
        <v>0</v>
      </c>
      <c r="F563" s="7">
        <v>0</v>
      </c>
      <c r="G563" s="7">
        <v>0</v>
      </c>
      <c r="H563" s="7">
        <v>0</v>
      </c>
      <c r="I563" s="7">
        <v>0</v>
      </c>
      <c r="J563" s="7">
        <v>0</v>
      </c>
      <c r="K563" s="7">
        <v>0</v>
      </c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</row>
    <row r="564" spans="1:17">
      <c r="A564" s="2">
        <v>2512</v>
      </c>
      <c r="B564" s="7">
        <v>0</v>
      </c>
      <c r="C564" s="7">
        <v>0</v>
      </c>
      <c r="D564" s="7">
        <v>0</v>
      </c>
      <c r="E564" s="7">
        <v>0</v>
      </c>
      <c r="F564" s="7">
        <v>0</v>
      </c>
      <c r="G564" s="7">
        <v>0</v>
      </c>
      <c r="H564" s="7">
        <v>0</v>
      </c>
      <c r="I564" s="7">
        <v>0</v>
      </c>
      <c r="J564" s="7">
        <v>0</v>
      </c>
      <c r="K564" s="7">
        <v>0</v>
      </c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</row>
    <row r="565" spans="1:17">
      <c r="A565" s="2">
        <v>2513</v>
      </c>
      <c r="B565" s="7">
        <v>0</v>
      </c>
      <c r="C565" s="7">
        <v>0</v>
      </c>
      <c r="D565" s="7">
        <v>0</v>
      </c>
      <c r="E565" s="7">
        <v>0</v>
      </c>
      <c r="F565" s="7">
        <v>0</v>
      </c>
      <c r="G565" s="7">
        <v>0</v>
      </c>
      <c r="H565" s="7">
        <v>0</v>
      </c>
      <c r="I565" s="7">
        <v>0</v>
      </c>
      <c r="J565" s="7">
        <v>0</v>
      </c>
      <c r="K565" s="7">
        <v>0</v>
      </c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</row>
    <row r="566" spans="1:17">
      <c r="A566" s="2">
        <v>2514</v>
      </c>
      <c r="B566" s="7">
        <v>0</v>
      </c>
      <c r="C566" s="7">
        <v>0</v>
      </c>
      <c r="D566" s="7">
        <v>0</v>
      </c>
      <c r="E566" s="7">
        <v>0</v>
      </c>
      <c r="F566" s="7">
        <v>0</v>
      </c>
      <c r="G566" s="7">
        <v>0</v>
      </c>
      <c r="H566" s="7">
        <v>0</v>
      </c>
      <c r="I566" s="7">
        <v>0</v>
      </c>
      <c r="J566" s="7">
        <v>0</v>
      </c>
      <c r="K566" s="7">
        <v>0</v>
      </c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</row>
    <row r="567" spans="1:17">
      <c r="A567" s="2">
        <v>2515</v>
      </c>
      <c r="B567" s="7">
        <v>0</v>
      </c>
      <c r="C567" s="7">
        <v>0</v>
      </c>
      <c r="D567" s="7">
        <v>0</v>
      </c>
      <c r="E567" s="7">
        <v>0</v>
      </c>
      <c r="F567" s="7">
        <v>0</v>
      </c>
      <c r="G567" s="7">
        <v>0</v>
      </c>
      <c r="H567" s="7">
        <v>0</v>
      </c>
      <c r="I567" s="7">
        <v>0</v>
      </c>
      <c r="J567" s="7">
        <v>0</v>
      </c>
      <c r="K567" s="7">
        <v>0</v>
      </c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</row>
    <row r="568" spans="1:17">
      <c r="A568" s="2">
        <v>2516</v>
      </c>
      <c r="B568" s="7">
        <v>0</v>
      </c>
      <c r="C568" s="7">
        <v>0</v>
      </c>
      <c r="D568" s="7">
        <v>0</v>
      </c>
      <c r="E568" s="7">
        <v>0</v>
      </c>
      <c r="F568" s="7">
        <v>0</v>
      </c>
      <c r="G568" s="7">
        <v>0</v>
      </c>
      <c r="H568" s="7">
        <v>0</v>
      </c>
      <c r="I568" s="7">
        <v>0</v>
      </c>
      <c r="J568" s="7">
        <v>0</v>
      </c>
      <c r="K568" s="7">
        <v>0</v>
      </c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</row>
    <row r="569" spans="1:17">
      <c r="A569" s="2">
        <v>2517</v>
      </c>
      <c r="B569" s="7">
        <v>0</v>
      </c>
      <c r="C569" s="7">
        <v>0</v>
      </c>
      <c r="D569" s="7">
        <v>0</v>
      </c>
      <c r="E569" s="7">
        <v>0</v>
      </c>
      <c r="F569" s="7">
        <v>0</v>
      </c>
      <c r="G569" s="7">
        <v>0</v>
      </c>
      <c r="H569" s="7">
        <v>0</v>
      </c>
      <c r="I569" s="7">
        <v>0</v>
      </c>
      <c r="J569" s="7">
        <v>0</v>
      </c>
      <c r="K569" s="7">
        <v>0</v>
      </c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</row>
    <row r="570" spans="1:17">
      <c r="A570" s="2">
        <v>2518</v>
      </c>
      <c r="B570" s="7">
        <v>0</v>
      </c>
      <c r="C570" s="7">
        <v>0</v>
      </c>
      <c r="D570" s="7">
        <v>0</v>
      </c>
      <c r="E570" s="7">
        <v>0</v>
      </c>
      <c r="F570" s="7">
        <v>0</v>
      </c>
      <c r="G570" s="7">
        <v>0</v>
      </c>
      <c r="H570" s="7">
        <v>0</v>
      </c>
      <c r="I570" s="7">
        <v>0</v>
      </c>
      <c r="J570" s="7">
        <v>0</v>
      </c>
      <c r="K570" s="7">
        <v>0</v>
      </c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</row>
    <row r="571" spans="1:17">
      <c r="A571" s="2">
        <v>2519</v>
      </c>
      <c r="B571" s="7">
        <v>0</v>
      </c>
      <c r="C571" s="7">
        <v>0</v>
      </c>
      <c r="D571" s="7">
        <v>0</v>
      </c>
      <c r="E571" s="7">
        <v>0</v>
      </c>
      <c r="F571" s="7">
        <v>0</v>
      </c>
      <c r="G571" s="7">
        <v>0</v>
      </c>
      <c r="H571" s="7">
        <v>0</v>
      </c>
      <c r="I571" s="7">
        <v>0</v>
      </c>
      <c r="J571" s="7">
        <v>0</v>
      </c>
      <c r="K571" s="7">
        <v>0</v>
      </c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</row>
    <row r="572" spans="1:17">
      <c r="A572" s="2">
        <v>2520</v>
      </c>
      <c r="B572" s="7">
        <v>0</v>
      </c>
      <c r="C572" s="7">
        <v>0</v>
      </c>
      <c r="D572" s="7">
        <v>0</v>
      </c>
      <c r="E572" s="7">
        <v>0</v>
      </c>
      <c r="F572" s="7">
        <v>0</v>
      </c>
      <c r="G572" s="7">
        <v>0</v>
      </c>
      <c r="H572" s="7">
        <v>0</v>
      </c>
      <c r="I572" s="7">
        <v>0</v>
      </c>
      <c r="J572" s="7">
        <v>0</v>
      </c>
      <c r="K572" s="7">
        <v>0</v>
      </c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</row>
    <row r="573" spans="1:17">
      <c r="A573" s="2">
        <v>2521</v>
      </c>
      <c r="B573" s="7">
        <v>0</v>
      </c>
      <c r="C573" s="7">
        <v>0</v>
      </c>
      <c r="D573" s="7">
        <v>0</v>
      </c>
      <c r="E573" s="7">
        <v>0</v>
      </c>
      <c r="F573" s="7">
        <v>0</v>
      </c>
      <c r="G573" s="7">
        <v>0</v>
      </c>
      <c r="H573" s="7">
        <v>0</v>
      </c>
      <c r="I573" s="7">
        <v>0</v>
      </c>
      <c r="J573" s="7">
        <v>0</v>
      </c>
      <c r="K573" s="7">
        <v>0</v>
      </c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</row>
    <row r="574" spans="1:17">
      <c r="A574" s="2">
        <v>2522</v>
      </c>
      <c r="B574" s="7">
        <v>0</v>
      </c>
      <c r="C574" s="7">
        <v>0</v>
      </c>
      <c r="D574" s="7">
        <v>0</v>
      </c>
      <c r="E574" s="7">
        <v>0</v>
      </c>
      <c r="F574" s="7">
        <v>0</v>
      </c>
      <c r="G574" s="7">
        <v>0</v>
      </c>
      <c r="H574" s="7">
        <v>0</v>
      </c>
      <c r="I574" s="7">
        <v>0</v>
      </c>
      <c r="J574" s="7">
        <v>0</v>
      </c>
      <c r="K574" s="7">
        <v>0</v>
      </c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</row>
    <row r="575" spans="1:17">
      <c r="A575" s="2">
        <v>2523</v>
      </c>
      <c r="B575" s="7">
        <v>0</v>
      </c>
      <c r="C575" s="7">
        <v>0</v>
      </c>
      <c r="D575" s="7">
        <v>0</v>
      </c>
      <c r="E575" s="7">
        <v>0</v>
      </c>
      <c r="F575" s="7">
        <v>0</v>
      </c>
      <c r="G575" s="7">
        <v>0</v>
      </c>
      <c r="H575" s="7">
        <v>0</v>
      </c>
      <c r="I575" s="7">
        <v>0</v>
      </c>
      <c r="J575" s="7">
        <v>0</v>
      </c>
      <c r="K575" s="7">
        <v>0</v>
      </c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</row>
    <row r="576" spans="1:17">
      <c r="A576" s="2">
        <v>2524</v>
      </c>
      <c r="B576" s="7">
        <v>0</v>
      </c>
      <c r="C576" s="7">
        <v>0</v>
      </c>
      <c r="D576" s="7">
        <v>0</v>
      </c>
      <c r="E576" s="7">
        <v>0</v>
      </c>
      <c r="F576" s="7">
        <v>0</v>
      </c>
      <c r="G576" s="7">
        <v>0</v>
      </c>
      <c r="H576" s="7">
        <v>0</v>
      </c>
      <c r="I576" s="7">
        <v>0</v>
      </c>
      <c r="J576" s="7">
        <v>0</v>
      </c>
      <c r="K576" s="7">
        <v>0</v>
      </c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</row>
    <row r="577" spans="1:17">
      <c r="A577" s="2">
        <v>2525</v>
      </c>
      <c r="B577" s="7">
        <v>0</v>
      </c>
      <c r="C577" s="7">
        <v>0</v>
      </c>
      <c r="D577" s="7">
        <v>0</v>
      </c>
      <c r="E577" s="7">
        <v>0</v>
      </c>
      <c r="F577" s="7">
        <v>0</v>
      </c>
      <c r="G577" s="7">
        <v>0</v>
      </c>
      <c r="H577" s="7">
        <v>0</v>
      </c>
      <c r="I577" s="7">
        <v>0</v>
      </c>
      <c r="J577" s="7">
        <v>0</v>
      </c>
      <c r="K577" s="7">
        <v>0</v>
      </c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</row>
    <row r="578" spans="1:17">
      <c r="A578" s="2">
        <v>2526</v>
      </c>
      <c r="B578" s="7">
        <v>0</v>
      </c>
      <c r="C578" s="7">
        <v>0</v>
      </c>
      <c r="D578" s="7">
        <v>0</v>
      </c>
      <c r="E578" s="7">
        <v>0</v>
      </c>
      <c r="F578" s="7">
        <v>0</v>
      </c>
      <c r="G578" s="7">
        <v>0</v>
      </c>
      <c r="H578" s="7">
        <v>0</v>
      </c>
      <c r="I578" s="7">
        <v>0</v>
      </c>
      <c r="J578" s="7">
        <v>0</v>
      </c>
      <c r="K578" s="7">
        <v>0</v>
      </c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</row>
    <row r="579" spans="1:17">
      <c r="A579" s="2">
        <v>2527</v>
      </c>
      <c r="B579" s="7">
        <v>0</v>
      </c>
      <c r="C579" s="7">
        <v>0</v>
      </c>
      <c r="D579" s="7">
        <v>0</v>
      </c>
      <c r="E579" s="7">
        <v>0</v>
      </c>
      <c r="F579" s="7">
        <v>0</v>
      </c>
      <c r="G579" s="7">
        <v>0</v>
      </c>
      <c r="H579" s="7">
        <v>0</v>
      </c>
      <c r="I579" s="7">
        <v>0</v>
      </c>
      <c r="J579" s="7">
        <v>0</v>
      </c>
      <c r="K579" s="7">
        <v>0</v>
      </c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</row>
    <row r="580" spans="1:17">
      <c r="A580" s="2">
        <v>2528</v>
      </c>
      <c r="B580" s="7">
        <v>0</v>
      </c>
      <c r="C580" s="7">
        <v>0</v>
      </c>
      <c r="D580" s="7">
        <v>0</v>
      </c>
      <c r="E580" s="7">
        <v>0</v>
      </c>
      <c r="F580" s="7">
        <v>0</v>
      </c>
      <c r="G580" s="7">
        <v>0</v>
      </c>
      <c r="H580" s="7">
        <v>0</v>
      </c>
      <c r="I580" s="7">
        <v>0</v>
      </c>
      <c r="J580" s="7">
        <v>0</v>
      </c>
      <c r="K580" s="7">
        <v>0</v>
      </c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</row>
    <row r="581" spans="1:17">
      <c r="A581" s="2">
        <v>2529</v>
      </c>
      <c r="B581" s="7">
        <v>0</v>
      </c>
      <c r="C581" s="7">
        <v>0</v>
      </c>
      <c r="D581" s="7">
        <v>0</v>
      </c>
      <c r="E581" s="7">
        <v>0</v>
      </c>
      <c r="F581" s="7">
        <v>0</v>
      </c>
      <c r="G581" s="7">
        <v>0</v>
      </c>
      <c r="H581" s="7">
        <v>0</v>
      </c>
      <c r="I581" s="7">
        <v>0</v>
      </c>
      <c r="J581" s="7">
        <v>0</v>
      </c>
      <c r="K581" s="7">
        <v>0</v>
      </c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</row>
    <row r="582" spans="1:17">
      <c r="A582" s="2">
        <v>2530</v>
      </c>
      <c r="B582" s="7">
        <v>0</v>
      </c>
      <c r="C582" s="7">
        <v>0</v>
      </c>
      <c r="D582" s="7">
        <v>0</v>
      </c>
      <c r="E582" s="7">
        <v>0</v>
      </c>
      <c r="F582" s="7">
        <v>0</v>
      </c>
      <c r="G582" s="7">
        <v>0</v>
      </c>
      <c r="H582" s="7">
        <v>0</v>
      </c>
      <c r="I582" s="7">
        <v>0</v>
      </c>
      <c r="J582" s="7">
        <v>0</v>
      </c>
      <c r="K582" s="7">
        <v>0</v>
      </c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</row>
    <row r="583" spans="1:17">
      <c r="A583" s="2">
        <v>2531</v>
      </c>
      <c r="B583" s="7">
        <v>0</v>
      </c>
      <c r="C583" s="7">
        <v>0</v>
      </c>
      <c r="D583" s="7">
        <v>0</v>
      </c>
      <c r="E583" s="7">
        <v>0</v>
      </c>
      <c r="F583" s="7">
        <v>0</v>
      </c>
      <c r="G583" s="7">
        <v>0</v>
      </c>
      <c r="H583" s="7">
        <v>0</v>
      </c>
      <c r="I583" s="7">
        <v>0</v>
      </c>
      <c r="J583" s="7">
        <v>0</v>
      </c>
      <c r="K583" s="7">
        <v>0</v>
      </c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</row>
    <row r="584" spans="1:17">
      <c r="A584" s="2">
        <v>2532</v>
      </c>
      <c r="B584" s="7">
        <v>0</v>
      </c>
      <c r="C584" s="7">
        <v>0</v>
      </c>
      <c r="D584" s="7">
        <v>0</v>
      </c>
      <c r="E584" s="7">
        <v>0</v>
      </c>
      <c r="F584" s="7">
        <v>0</v>
      </c>
      <c r="G584" s="7">
        <v>0</v>
      </c>
      <c r="H584" s="7">
        <v>0</v>
      </c>
      <c r="I584" s="7">
        <v>0</v>
      </c>
      <c r="J584" s="7">
        <v>0</v>
      </c>
      <c r="K584" s="7">
        <v>0</v>
      </c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</row>
    <row r="585" spans="1:17">
      <c r="A585" s="2">
        <v>2533</v>
      </c>
      <c r="B585" s="7">
        <v>0</v>
      </c>
      <c r="C585" s="7">
        <v>0</v>
      </c>
      <c r="D585" s="7">
        <v>0</v>
      </c>
      <c r="E585" s="7">
        <v>0</v>
      </c>
      <c r="F585" s="7">
        <v>0</v>
      </c>
      <c r="G585" s="7">
        <v>0</v>
      </c>
      <c r="H585" s="7">
        <v>0</v>
      </c>
      <c r="I585" s="7">
        <v>0</v>
      </c>
      <c r="J585" s="7">
        <v>0</v>
      </c>
      <c r="K585" s="7">
        <v>0</v>
      </c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</row>
    <row r="586" spans="1:17">
      <c r="A586" s="2">
        <v>2534</v>
      </c>
      <c r="B586" s="7">
        <v>0</v>
      </c>
      <c r="C586" s="7">
        <v>0</v>
      </c>
      <c r="D586" s="7">
        <v>0</v>
      </c>
      <c r="E586" s="7">
        <v>0</v>
      </c>
      <c r="F586" s="7">
        <v>0</v>
      </c>
      <c r="G586" s="7">
        <v>0</v>
      </c>
      <c r="H586" s="7">
        <v>0</v>
      </c>
      <c r="I586" s="7">
        <v>0</v>
      </c>
      <c r="J586" s="7">
        <v>0</v>
      </c>
      <c r="K586" s="7">
        <v>0</v>
      </c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</row>
    <row r="587" spans="1:17">
      <c r="A587" s="2">
        <v>2535</v>
      </c>
      <c r="B587" s="7">
        <v>0</v>
      </c>
      <c r="C587" s="7">
        <v>0</v>
      </c>
      <c r="D587" s="7">
        <v>0</v>
      </c>
      <c r="E587" s="7">
        <v>0</v>
      </c>
      <c r="F587" s="7">
        <v>0</v>
      </c>
      <c r="G587" s="7">
        <v>0</v>
      </c>
      <c r="H587" s="7">
        <v>0</v>
      </c>
      <c r="I587" s="7">
        <v>0</v>
      </c>
      <c r="J587" s="7">
        <v>0</v>
      </c>
      <c r="K587" s="7">
        <v>0</v>
      </c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</row>
    <row r="588" spans="1:17">
      <c r="A588" s="2">
        <v>2536</v>
      </c>
      <c r="B588" s="7">
        <v>0</v>
      </c>
      <c r="C588" s="7">
        <v>0</v>
      </c>
      <c r="D588" s="7">
        <v>0</v>
      </c>
      <c r="E588" s="7">
        <v>0</v>
      </c>
      <c r="F588" s="7">
        <v>0</v>
      </c>
      <c r="G588" s="7">
        <v>0</v>
      </c>
      <c r="H588" s="7">
        <v>0</v>
      </c>
      <c r="I588" s="7">
        <v>0</v>
      </c>
      <c r="J588" s="7">
        <v>0</v>
      </c>
      <c r="K588" s="7">
        <v>0</v>
      </c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</row>
    <row r="589" spans="1:17">
      <c r="A589" s="2">
        <v>2537</v>
      </c>
      <c r="B589" s="7">
        <v>0</v>
      </c>
      <c r="C589" s="7">
        <v>0</v>
      </c>
      <c r="D589" s="7">
        <v>0</v>
      </c>
      <c r="E589" s="7">
        <v>0</v>
      </c>
      <c r="F589" s="7">
        <v>0</v>
      </c>
      <c r="G589" s="7">
        <v>0</v>
      </c>
      <c r="H589" s="7">
        <v>0</v>
      </c>
      <c r="I589" s="7">
        <v>0</v>
      </c>
      <c r="J589" s="7">
        <v>0</v>
      </c>
      <c r="K589" s="7">
        <v>0</v>
      </c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</row>
    <row r="590" spans="1:17">
      <c r="A590" s="2">
        <v>2538</v>
      </c>
      <c r="B590" s="7">
        <v>0</v>
      </c>
      <c r="C590" s="7">
        <v>0</v>
      </c>
      <c r="D590" s="7">
        <v>0</v>
      </c>
      <c r="E590" s="7">
        <v>0</v>
      </c>
      <c r="F590" s="7">
        <v>0</v>
      </c>
      <c r="G590" s="7">
        <v>0</v>
      </c>
      <c r="H590" s="7">
        <v>0</v>
      </c>
      <c r="I590" s="7">
        <v>0</v>
      </c>
      <c r="J590" s="7">
        <v>0</v>
      </c>
      <c r="K590" s="7">
        <v>0</v>
      </c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</row>
    <row r="591" spans="1:17">
      <c r="A591" s="2">
        <v>2539</v>
      </c>
      <c r="B591" s="7">
        <v>0</v>
      </c>
      <c r="C591" s="7">
        <v>0</v>
      </c>
      <c r="D591" s="7">
        <v>0</v>
      </c>
      <c r="E591" s="7">
        <v>0</v>
      </c>
      <c r="F591" s="7">
        <v>0</v>
      </c>
      <c r="G591" s="7">
        <v>0</v>
      </c>
      <c r="H591" s="7">
        <v>0</v>
      </c>
      <c r="I591" s="7">
        <v>0</v>
      </c>
      <c r="J591" s="7">
        <v>0</v>
      </c>
      <c r="K591" s="7">
        <v>0</v>
      </c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</row>
    <row r="592" spans="1:17">
      <c r="A592" s="2">
        <v>2540</v>
      </c>
      <c r="B592" s="7">
        <v>0</v>
      </c>
      <c r="C592" s="7">
        <v>0</v>
      </c>
      <c r="D592" s="7">
        <v>0</v>
      </c>
      <c r="E592" s="7">
        <v>0</v>
      </c>
      <c r="F592" s="7">
        <v>0</v>
      </c>
      <c r="G592" s="7">
        <v>0</v>
      </c>
      <c r="H592" s="7">
        <v>0</v>
      </c>
      <c r="I592" s="7">
        <v>0</v>
      </c>
      <c r="J592" s="7">
        <v>0</v>
      </c>
      <c r="K592" s="7">
        <v>0</v>
      </c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</row>
    <row r="593" spans="1:17">
      <c r="A593" s="2">
        <v>2541</v>
      </c>
      <c r="B593" s="7">
        <v>0</v>
      </c>
      <c r="C593" s="7">
        <v>0</v>
      </c>
      <c r="D593" s="7">
        <v>0</v>
      </c>
      <c r="E593" s="7">
        <v>0</v>
      </c>
      <c r="F593" s="7">
        <v>0</v>
      </c>
      <c r="G593" s="7">
        <v>0</v>
      </c>
      <c r="H593" s="7">
        <v>0</v>
      </c>
      <c r="I593" s="7">
        <v>0</v>
      </c>
      <c r="J593" s="7">
        <v>0</v>
      </c>
      <c r="K593" s="7">
        <v>0</v>
      </c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</row>
    <row r="594" spans="1:17">
      <c r="A594" s="2">
        <v>2542</v>
      </c>
      <c r="B594" s="7">
        <v>0</v>
      </c>
      <c r="C594" s="7">
        <v>0</v>
      </c>
      <c r="D594" s="7">
        <v>0</v>
      </c>
      <c r="E594" s="7">
        <v>0</v>
      </c>
      <c r="F594" s="7">
        <v>0</v>
      </c>
      <c r="G594" s="7">
        <v>0</v>
      </c>
      <c r="H594" s="7">
        <v>0</v>
      </c>
      <c r="I594" s="7">
        <v>0</v>
      </c>
      <c r="J594" s="7">
        <v>0</v>
      </c>
      <c r="K594" s="7">
        <v>0</v>
      </c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</row>
    <row r="595" spans="1:17">
      <c r="A595" s="2">
        <v>2543</v>
      </c>
      <c r="B595" s="7">
        <v>0</v>
      </c>
      <c r="C595" s="7">
        <v>0</v>
      </c>
      <c r="D595" s="7">
        <v>0</v>
      </c>
      <c r="E595" s="7">
        <v>0</v>
      </c>
      <c r="F595" s="7">
        <v>0</v>
      </c>
      <c r="G595" s="7">
        <v>0</v>
      </c>
      <c r="H595" s="7">
        <v>0</v>
      </c>
      <c r="I595" s="7">
        <v>0</v>
      </c>
      <c r="J595" s="7">
        <v>0</v>
      </c>
      <c r="K595" s="7">
        <v>0</v>
      </c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</row>
    <row r="596" spans="1:17">
      <c r="A596" s="2">
        <v>2544</v>
      </c>
      <c r="B596" s="7">
        <v>0</v>
      </c>
      <c r="C596" s="7">
        <v>0</v>
      </c>
      <c r="D596" s="7">
        <v>0</v>
      </c>
      <c r="E596" s="7">
        <v>0</v>
      </c>
      <c r="F596" s="7">
        <v>0</v>
      </c>
      <c r="G596" s="7">
        <v>0</v>
      </c>
      <c r="H596" s="7">
        <v>0</v>
      </c>
      <c r="I596" s="7">
        <v>0</v>
      </c>
      <c r="J596" s="7">
        <v>0</v>
      </c>
      <c r="K596" s="7">
        <v>0</v>
      </c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</row>
    <row r="597" spans="1:17">
      <c r="A597" s="2">
        <v>2545</v>
      </c>
      <c r="B597" s="7">
        <v>0</v>
      </c>
      <c r="C597" s="7">
        <v>0</v>
      </c>
      <c r="D597" s="7">
        <v>0</v>
      </c>
      <c r="E597" s="7">
        <v>0</v>
      </c>
      <c r="F597" s="7">
        <v>0</v>
      </c>
      <c r="G597" s="7">
        <v>0</v>
      </c>
      <c r="H597" s="7">
        <v>0</v>
      </c>
      <c r="I597" s="7">
        <v>0</v>
      </c>
      <c r="J597" s="7">
        <v>0</v>
      </c>
      <c r="K597" s="7">
        <v>0</v>
      </c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</row>
    <row r="598" spans="1:17">
      <c r="A598" s="2">
        <v>2546</v>
      </c>
      <c r="B598" s="7">
        <v>0</v>
      </c>
      <c r="C598" s="7">
        <v>0</v>
      </c>
      <c r="D598" s="7">
        <v>0</v>
      </c>
      <c r="E598" s="7">
        <v>0</v>
      </c>
      <c r="F598" s="7">
        <v>0</v>
      </c>
      <c r="G598" s="7">
        <v>0</v>
      </c>
      <c r="H598" s="7">
        <v>0</v>
      </c>
      <c r="I598" s="7">
        <v>0</v>
      </c>
      <c r="J598" s="7">
        <v>0</v>
      </c>
      <c r="K598" s="7">
        <v>0</v>
      </c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</row>
    <row r="599" spans="1:17">
      <c r="A599" s="2">
        <v>2547</v>
      </c>
      <c r="B599" s="7">
        <v>0</v>
      </c>
      <c r="C599" s="7">
        <v>0</v>
      </c>
      <c r="D599" s="7">
        <v>0</v>
      </c>
      <c r="E599" s="7">
        <v>0</v>
      </c>
      <c r="F599" s="7">
        <v>0</v>
      </c>
      <c r="G599" s="7">
        <v>0</v>
      </c>
      <c r="H599" s="7">
        <v>0</v>
      </c>
      <c r="I599" s="7">
        <v>0</v>
      </c>
      <c r="J599" s="7">
        <v>0</v>
      </c>
      <c r="K599" s="7">
        <v>0</v>
      </c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</row>
    <row r="600" spans="1:17">
      <c r="A600" s="2">
        <v>2548</v>
      </c>
      <c r="B600" s="7">
        <v>0</v>
      </c>
      <c r="C600" s="7">
        <v>0</v>
      </c>
      <c r="D600" s="7">
        <v>0</v>
      </c>
      <c r="E600" s="7">
        <v>0</v>
      </c>
      <c r="F600" s="7">
        <v>0</v>
      </c>
      <c r="G600" s="7">
        <v>0</v>
      </c>
      <c r="H600" s="7">
        <v>0</v>
      </c>
      <c r="I600" s="7">
        <v>0</v>
      </c>
      <c r="J600" s="7">
        <v>0</v>
      </c>
      <c r="K600" s="7">
        <v>0</v>
      </c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</row>
    <row r="601" spans="1:17">
      <c r="A601" s="2">
        <v>2549</v>
      </c>
      <c r="B601" s="7">
        <v>0</v>
      </c>
      <c r="C601" s="7">
        <v>0</v>
      </c>
      <c r="D601" s="7">
        <v>0</v>
      </c>
      <c r="E601" s="7">
        <v>0</v>
      </c>
      <c r="F601" s="7">
        <v>0</v>
      </c>
      <c r="G601" s="7">
        <v>0</v>
      </c>
      <c r="H601" s="7">
        <v>0</v>
      </c>
      <c r="I601" s="7">
        <v>0</v>
      </c>
      <c r="J601" s="7">
        <v>0</v>
      </c>
      <c r="K601" s="7">
        <v>0</v>
      </c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</row>
    <row r="602" spans="1:17">
      <c r="A602" s="2">
        <v>2550</v>
      </c>
      <c r="B602" s="7">
        <v>0</v>
      </c>
      <c r="C602" s="7">
        <v>0</v>
      </c>
      <c r="D602" s="7">
        <v>0</v>
      </c>
      <c r="E602" s="7">
        <v>0</v>
      </c>
      <c r="F602" s="7">
        <v>0</v>
      </c>
      <c r="G602" s="7">
        <v>0</v>
      </c>
      <c r="H602" s="7">
        <v>0</v>
      </c>
      <c r="I602" s="7">
        <v>0</v>
      </c>
      <c r="J602" s="7">
        <v>0</v>
      </c>
      <c r="K602" s="7">
        <v>0</v>
      </c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</row>
    <row r="603" spans="1:17">
      <c r="A603" s="2">
        <v>2551</v>
      </c>
      <c r="B603" s="7">
        <v>0</v>
      </c>
      <c r="C603" s="7">
        <v>0</v>
      </c>
      <c r="D603" s="7">
        <v>0</v>
      </c>
      <c r="E603" s="7">
        <v>0</v>
      </c>
      <c r="F603" s="7">
        <v>0</v>
      </c>
      <c r="G603" s="7">
        <v>0</v>
      </c>
      <c r="H603" s="7">
        <v>0</v>
      </c>
      <c r="I603" s="7">
        <v>0</v>
      </c>
      <c r="J603" s="7">
        <v>0</v>
      </c>
      <c r="K603" s="7">
        <v>0</v>
      </c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</row>
    <row r="604" spans="1:17">
      <c r="A604" s="2">
        <v>2552</v>
      </c>
      <c r="B604" s="7">
        <v>0</v>
      </c>
      <c r="C604" s="7">
        <v>0</v>
      </c>
      <c r="D604" s="7">
        <v>0</v>
      </c>
      <c r="E604" s="7">
        <v>0</v>
      </c>
      <c r="F604" s="7">
        <v>0</v>
      </c>
      <c r="G604" s="7">
        <v>0</v>
      </c>
      <c r="H604" s="7">
        <v>0</v>
      </c>
      <c r="I604" s="7">
        <v>0</v>
      </c>
      <c r="J604" s="7">
        <v>0</v>
      </c>
      <c r="K604" s="7">
        <v>0</v>
      </c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</row>
    <row r="605" spans="1:17">
      <c r="A605" s="2">
        <v>2553</v>
      </c>
      <c r="B605" s="7">
        <v>0</v>
      </c>
      <c r="C605" s="7">
        <v>0</v>
      </c>
      <c r="D605" s="7">
        <v>0</v>
      </c>
      <c r="E605" s="7">
        <v>0</v>
      </c>
      <c r="F605" s="7">
        <v>0</v>
      </c>
      <c r="G605" s="7">
        <v>0</v>
      </c>
      <c r="H605" s="7">
        <v>0</v>
      </c>
      <c r="I605" s="7">
        <v>0</v>
      </c>
      <c r="J605" s="7">
        <v>0</v>
      </c>
      <c r="K605" s="7">
        <v>0</v>
      </c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</row>
    <row r="606" spans="1:17">
      <c r="A606" s="2">
        <v>2554</v>
      </c>
      <c r="B606" s="7">
        <v>0</v>
      </c>
      <c r="C606" s="7">
        <v>0</v>
      </c>
      <c r="D606" s="7">
        <v>0</v>
      </c>
      <c r="E606" s="7">
        <v>0</v>
      </c>
      <c r="F606" s="7">
        <v>0</v>
      </c>
      <c r="G606" s="7">
        <v>0</v>
      </c>
      <c r="H606" s="7">
        <v>0</v>
      </c>
      <c r="I606" s="7">
        <v>0</v>
      </c>
      <c r="J606" s="7">
        <v>0</v>
      </c>
      <c r="K606" s="7">
        <v>0</v>
      </c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</row>
    <row r="607" spans="1:17">
      <c r="A607" s="2">
        <v>2555</v>
      </c>
      <c r="B607" s="7">
        <v>0</v>
      </c>
      <c r="C607" s="7">
        <v>0</v>
      </c>
      <c r="D607" s="7">
        <v>0</v>
      </c>
      <c r="E607" s="7">
        <v>0</v>
      </c>
      <c r="F607" s="7">
        <v>0</v>
      </c>
      <c r="G607" s="7">
        <v>0</v>
      </c>
      <c r="H607" s="7">
        <v>0</v>
      </c>
      <c r="I607" s="7">
        <v>0</v>
      </c>
      <c r="J607" s="7">
        <v>0</v>
      </c>
      <c r="K607" s="7">
        <v>0</v>
      </c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</row>
    <row r="608" spans="1:17">
      <c r="A608" s="2">
        <v>2556</v>
      </c>
      <c r="B608" s="7">
        <v>0</v>
      </c>
      <c r="C608" s="7">
        <v>0</v>
      </c>
      <c r="D608" s="7">
        <v>0</v>
      </c>
      <c r="E608" s="7">
        <v>0</v>
      </c>
      <c r="F608" s="7">
        <v>0</v>
      </c>
      <c r="G608" s="7">
        <v>0</v>
      </c>
      <c r="H608" s="7">
        <v>0</v>
      </c>
      <c r="I608" s="7">
        <v>0</v>
      </c>
      <c r="J608" s="7">
        <v>0</v>
      </c>
      <c r="K608" s="7">
        <v>0</v>
      </c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</row>
    <row r="609" spans="1:17">
      <c r="A609" s="2">
        <v>2557</v>
      </c>
      <c r="B609" s="7">
        <v>0</v>
      </c>
      <c r="C609" s="7">
        <v>0</v>
      </c>
      <c r="D609" s="7">
        <v>0</v>
      </c>
      <c r="E609" s="7">
        <v>0</v>
      </c>
      <c r="F609" s="7">
        <v>0</v>
      </c>
      <c r="G609" s="7">
        <v>0</v>
      </c>
      <c r="H609" s="7">
        <v>0</v>
      </c>
      <c r="I609" s="7">
        <v>0</v>
      </c>
      <c r="J609" s="7">
        <v>0</v>
      </c>
      <c r="K609" s="7">
        <v>0</v>
      </c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</row>
    <row r="610" spans="1:17">
      <c r="A610" s="2">
        <v>2558</v>
      </c>
      <c r="B610" s="7">
        <v>0</v>
      </c>
      <c r="C610" s="7">
        <v>0</v>
      </c>
      <c r="D610" s="7">
        <v>0</v>
      </c>
      <c r="E610" s="7">
        <v>0</v>
      </c>
      <c r="F610" s="7">
        <v>0</v>
      </c>
      <c r="G610" s="7">
        <v>0</v>
      </c>
      <c r="H610" s="7">
        <v>0</v>
      </c>
      <c r="I610" s="7">
        <v>0</v>
      </c>
      <c r="J610" s="7">
        <v>0</v>
      </c>
      <c r="K610" s="7">
        <v>0</v>
      </c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</row>
    <row r="611" spans="1:17">
      <c r="A611" s="2">
        <v>2559</v>
      </c>
      <c r="B611" s="7">
        <v>0</v>
      </c>
      <c r="C611" s="7">
        <v>0</v>
      </c>
      <c r="D611" s="7">
        <v>0</v>
      </c>
      <c r="E611" s="7">
        <v>0</v>
      </c>
      <c r="F611" s="7">
        <v>0</v>
      </c>
      <c r="G611" s="7">
        <v>0</v>
      </c>
      <c r="H611" s="7">
        <v>0</v>
      </c>
      <c r="I611" s="7">
        <v>0</v>
      </c>
      <c r="J611" s="7">
        <v>0</v>
      </c>
      <c r="K611" s="7">
        <v>0</v>
      </c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</row>
    <row r="612" spans="1:17">
      <c r="A612" s="2">
        <v>2560</v>
      </c>
      <c r="B612" s="7">
        <v>0</v>
      </c>
      <c r="C612" s="7">
        <v>0</v>
      </c>
      <c r="D612" s="7">
        <v>0</v>
      </c>
      <c r="E612" s="7">
        <v>0</v>
      </c>
      <c r="F612" s="7">
        <v>0</v>
      </c>
      <c r="G612" s="7">
        <v>0</v>
      </c>
      <c r="H612" s="7">
        <v>0</v>
      </c>
      <c r="I612" s="7">
        <v>0</v>
      </c>
      <c r="J612" s="7">
        <v>0</v>
      </c>
      <c r="K612" s="7">
        <v>0</v>
      </c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</row>
    <row r="613" spans="1:17">
      <c r="A613" s="2">
        <v>2561</v>
      </c>
      <c r="B613" s="7">
        <v>0</v>
      </c>
      <c r="C613" s="7">
        <v>0</v>
      </c>
      <c r="D613" s="7">
        <v>0</v>
      </c>
      <c r="E613" s="7">
        <v>0</v>
      </c>
      <c r="F613" s="7">
        <v>0</v>
      </c>
      <c r="G613" s="7">
        <v>0</v>
      </c>
      <c r="H613" s="7">
        <v>0</v>
      </c>
      <c r="I613" s="7">
        <v>0</v>
      </c>
      <c r="J613" s="7">
        <v>0</v>
      </c>
      <c r="K613" s="7">
        <v>0</v>
      </c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</row>
    <row r="614" spans="1:17">
      <c r="A614" s="2">
        <v>2562</v>
      </c>
      <c r="B614" s="7">
        <v>0</v>
      </c>
      <c r="C614" s="7">
        <v>0</v>
      </c>
      <c r="D614" s="7">
        <v>0</v>
      </c>
      <c r="E614" s="7">
        <v>0</v>
      </c>
      <c r="F614" s="7">
        <v>0</v>
      </c>
      <c r="G614" s="7">
        <v>0</v>
      </c>
      <c r="H614" s="7">
        <v>0</v>
      </c>
      <c r="I614" s="7">
        <v>0</v>
      </c>
      <c r="J614" s="7">
        <v>0</v>
      </c>
      <c r="K614" s="7">
        <v>0</v>
      </c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</row>
    <row r="615" spans="1:17">
      <c r="A615" s="2">
        <v>2563</v>
      </c>
      <c r="B615" s="7">
        <v>0</v>
      </c>
      <c r="C615" s="7">
        <v>0</v>
      </c>
      <c r="D615" s="7">
        <v>0</v>
      </c>
      <c r="E615" s="7">
        <v>0</v>
      </c>
      <c r="F615" s="7">
        <v>0</v>
      </c>
      <c r="G615" s="7">
        <v>0</v>
      </c>
      <c r="H615" s="7">
        <v>0</v>
      </c>
      <c r="I615" s="7">
        <v>0</v>
      </c>
      <c r="J615" s="7">
        <v>0</v>
      </c>
      <c r="K615" s="7">
        <v>0</v>
      </c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</row>
    <row r="616" spans="1:17">
      <c r="A616" s="2">
        <v>2564</v>
      </c>
      <c r="B616" s="7">
        <v>0</v>
      </c>
      <c r="C616" s="7">
        <v>0</v>
      </c>
      <c r="D616" s="7">
        <v>0</v>
      </c>
      <c r="E616" s="7">
        <v>0</v>
      </c>
      <c r="F616" s="7">
        <v>0</v>
      </c>
      <c r="G616" s="7">
        <v>0</v>
      </c>
      <c r="H616" s="7">
        <v>0</v>
      </c>
      <c r="I616" s="7">
        <v>0</v>
      </c>
      <c r="J616" s="7">
        <v>0</v>
      </c>
      <c r="K616" s="7">
        <v>0</v>
      </c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</row>
    <row r="617" spans="1:17">
      <c r="A617" s="2">
        <v>2565</v>
      </c>
      <c r="B617" s="7">
        <v>0</v>
      </c>
      <c r="C617" s="7">
        <v>0</v>
      </c>
      <c r="D617" s="7">
        <v>0</v>
      </c>
      <c r="E617" s="7">
        <v>0</v>
      </c>
      <c r="F617" s="7">
        <v>0</v>
      </c>
      <c r="G617" s="7">
        <v>0</v>
      </c>
      <c r="H617" s="7">
        <v>0</v>
      </c>
      <c r="I617" s="7">
        <v>0</v>
      </c>
      <c r="J617" s="7">
        <v>0</v>
      </c>
      <c r="K617" s="7">
        <v>0</v>
      </c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</row>
    <row r="618" spans="1:17">
      <c r="A618" s="2">
        <v>2566</v>
      </c>
      <c r="B618" s="7">
        <v>0</v>
      </c>
      <c r="C618" s="7">
        <v>0</v>
      </c>
      <c r="D618" s="7">
        <v>0</v>
      </c>
      <c r="E618" s="7">
        <v>0</v>
      </c>
      <c r="F618" s="7">
        <v>0</v>
      </c>
      <c r="G618" s="7">
        <v>0</v>
      </c>
      <c r="H618" s="7">
        <v>0</v>
      </c>
      <c r="I618" s="7">
        <v>0</v>
      </c>
      <c r="J618" s="7">
        <v>0</v>
      </c>
      <c r="K618" s="7">
        <v>0</v>
      </c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</row>
    <row r="619" spans="1:17">
      <c r="A619" s="2">
        <v>2567</v>
      </c>
      <c r="B619" s="7">
        <v>0</v>
      </c>
      <c r="C619" s="7">
        <v>0</v>
      </c>
      <c r="D619" s="7">
        <v>0</v>
      </c>
      <c r="E619" s="7">
        <v>0</v>
      </c>
      <c r="F619" s="7">
        <v>0</v>
      </c>
      <c r="G619" s="7">
        <v>0</v>
      </c>
      <c r="H619" s="7">
        <v>0</v>
      </c>
      <c r="I619" s="7">
        <v>0</v>
      </c>
      <c r="J619" s="7">
        <v>0</v>
      </c>
      <c r="K619" s="7">
        <v>0</v>
      </c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</row>
    <row r="620" spans="1:17">
      <c r="A620" s="2">
        <v>2568</v>
      </c>
      <c r="B620" s="7">
        <v>0</v>
      </c>
      <c r="C620" s="7">
        <v>0</v>
      </c>
      <c r="D620" s="7">
        <v>0</v>
      </c>
      <c r="E620" s="7">
        <v>0</v>
      </c>
      <c r="F620" s="7">
        <v>0</v>
      </c>
      <c r="G620" s="7">
        <v>0</v>
      </c>
      <c r="H620" s="7">
        <v>0</v>
      </c>
      <c r="I620" s="7">
        <v>0</v>
      </c>
      <c r="J620" s="7">
        <v>0</v>
      </c>
      <c r="K620" s="7">
        <v>0</v>
      </c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</row>
    <row r="621" spans="1:17">
      <c r="A621" s="2">
        <v>2569</v>
      </c>
      <c r="B621" s="7">
        <v>0</v>
      </c>
      <c r="C621" s="7">
        <v>0</v>
      </c>
      <c r="D621" s="7">
        <v>0</v>
      </c>
      <c r="E621" s="7">
        <v>0</v>
      </c>
      <c r="F621" s="7">
        <v>0</v>
      </c>
      <c r="G621" s="7">
        <v>0</v>
      </c>
      <c r="H621" s="7">
        <v>0</v>
      </c>
      <c r="I621" s="7">
        <v>0</v>
      </c>
      <c r="J621" s="7">
        <v>0</v>
      </c>
      <c r="K621" s="7">
        <v>0</v>
      </c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</row>
    <row r="622" spans="1:17">
      <c r="A622" s="2">
        <v>2570</v>
      </c>
      <c r="B622" s="7">
        <v>0</v>
      </c>
      <c r="C622" s="7">
        <v>0</v>
      </c>
      <c r="D622" s="7">
        <v>0</v>
      </c>
      <c r="E622" s="7">
        <v>0</v>
      </c>
      <c r="F622" s="7">
        <v>0</v>
      </c>
      <c r="G622" s="7">
        <v>0</v>
      </c>
      <c r="H622" s="7">
        <v>0</v>
      </c>
      <c r="I622" s="7">
        <v>0</v>
      </c>
      <c r="J622" s="7">
        <v>0</v>
      </c>
      <c r="K622" s="7">
        <v>0</v>
      </c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</row>
    <row r="623" spans="1:17">
      <c r="A623" s="2">
        <v>2571</v>
      </c>
      <c r="B623" s="7">
        <v>0</v>
      </c>
      <c r="C623" s="7">
        <v>0</v>
      </c>
      <c r="D623" s="7">
        <v>0</v>
      </c>
      <c r="E623" s="7">
        <v>0</v>
      </c>
      <c r="F623" s="7">
        <v>0</v>
      </c>
      <c r="G623" s="7">
        <v>0</v>
      </c>
      <c r="H623" s="7">
        <v>0</v>
      </c>
      <c r="I623" s="7">
        <v>0</v>
      </c>
      <c r="J623" s="7">
        <v>0</v>
      </c>
      <c r="K623" s="7">
        <v>0</v>
      </c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</row>
    <row r="624" spans="1:17">
      <c r="A624" s="2">
        <v>2572</v>
      </c>
      <c r="B624" s="7">
        <v>0</v>
      </c>
      <c r="C624" s="7">
        <v>0</v>
      </c>
      <c r="D624" s="7">
        <v>0</v>
      </c>
      <c r="E624" s="7">
        <v>0</v>
      </c>
      <c r="F624" s="7">
        <v>0</v>
      </c>
      <c r="G624" s="7">
        <v>0</v>
      </c>
      <c r="H624" s="7">
        <v>0</v>
      </c>
      <c r="I624" s="7">
        <v>0</v>
      </c>
      <c r="J624" s="7">
        <v>0</v>
      </c>
      <c r="K624" s="7">
        <v>0</v>
      </c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</row>
    <row r="625" spans="1:17">
      <c r="A625" s="2">
        <v>2573</v>
      </c>
      <c r="B625" s="7">
        <v>0</v>
      </c>
      <c r="C625" s="7">
        <v>0</v>
      </c>
      <c r="D625" s="7">
        <v>0</v>
      </c>
      <c r="E625" s="7">
        <v>0</v>
      </c>
      <c r="F625" s="7">
        <v>0</v>
      </c>
      <c r="G625" s="7">
        <v>0</v>
      </c>
      <c r="H625" s="7">
        <v>0</v>
      </c>
      <c r="I625" s="7">
        <v>0</v>
      </c>
      <c r="J625" s="7">
        <v>0</v>
      </c>
      <c r="K625" s="7">
        <v>0</v>
      </c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</row>
    <row r="626" spans="1:17">
      <c r="A626" s="2">
        <v>2574</v>
      </c>
      <c r="B626" s="7">
        <v>0</v>
      </c>
      <c r="C626" s="7">
        <v>0</v>
      </c>
      <c r="D626" s="7">
        <v>0</v>
      </c>
      <c r="E626" s="7">
        <v>0</v>
      </c>
      <c r="F626" s="7">
        <v>0</v>
      </c>
      <c r="G626" s="7">
        <v>0</v>
      </c>
      <c r="H626" s="7">
        <v>0</v>
      </c>
      <c r="I626" s="7">
        <v>0</v>
      </c>
      <c r="J626" s="7">
        <v>0</v>
      </c>
      <c r="K626" s="7">
        <v>0</v>
      </c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</row>
    <row r="627" spans="1:17">
      <c r="A627" s="2">
        <v>2575</v>
      </c>
      <c r="B627" s="7">
        <v>0</v>
      </c>
      <c r="C627" s="7">
        <v>0</v>
      </c>
      <c r="D627" s="7">
        <v>0</v>
      </c>
      <c r="E627" s="7">
        <v>0</v>
      </c>
      <c r="F627" s="7">
        <v>0</v>
      </c>
      <c r="G627" s="7">
        <v>0</v>
      </c>
      <c r="H627" s="7">
        <v>0</v>
      </c>
      <c r="I627" s="7">
        <v>0</v>
      </c>
      <c r="J627" s="7">
        <v>0</v>
      </c>
      <c r="K627" s="7">
        <v>0</v>
      </c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</row>
    <row r="628" spans="1:17">
      <c r="A628" s="2">
        <v>2576</v>
      </c>
      <c r="B628" s="7">
        <v>0</v>
      </c>
      <c r="C628" s="7">
        <v>0</v>
      </c>
      <c r="D628" s="7">
        <v>0</v>
      </c>
      <c r="E628" s="7">
        <v>0</v>
      </c>
      <c r="F628" s="7">
        <v>0</v>
      </c>
      <c r="G628" s="7">
        <v>0</v>
      </c>
      <c r="H628" s="7">
        <v>0</v>
      </c>
      <c r="I628" s="7">
        <v>0</v>
      </c>
      <c r="J628" s="7">
        <v>0</v>
      </c>
      <c r="K628" s="7">
        <v>0</v>
      </c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</row>
    <row r="629" spans="1:17">
      <c r="A629" s="2">
        <v>2577</v>
      </c>
      <c r="B629" s="7">
        <v>0</v>
      </c>
      <c r="C629" s="7">
        <v>0</v>
      </c>
      <c r="D629" s="7">
        <v>0</v>
      </c>
      <c r="E629" s="7">
        <v>0</v>
      </c>
      <c r="F629" s="7">
        <v>0</v>
      </c>
      <c r="G629" s="7">
        <v>0</v>
      </c>
      <c r="H629" s="7">
        <v>0</v>
      </c>
      <c r="I629" s="7">
        <v>0</v>
      </c>
      <c r="J629" s="7">
        <v>0</v>
      </c>
      <c r="K629" s="7">
        <v>0</v>
      </c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</row>
    <row r="630" spans="1:17">
      <c r="A630" s="2">
        <v>2578</v>
      </c>
      <c r="B630" s="7">
        <v>0</v>
      </c>
      <c r="C630" s="7">
        <v>0</v>
      </c>
      <c r="D630" s="7">
        <v>0</v>
      </c>
      <c r="E630" s="7">
        <v>0</v>
      </c>
      <c r="F630" s="7">
        <v>0</v>
      </c>
      <c r="G630" s="7">
        <v>0</v>
      </c>
      <c r="H630" s="7">
        <v>0</v>
      </c>
      <c r="I630" s="7">
        <v>0</v>
      </c>
      <c r="J630" s="7">
        <v>0</v>
      </c>
      <c r="K630" s="7">
        <v>0</v>
      </c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</row>
    <row r="631" spans="1:17">
      <c r="A631" s="2">
        <v>2579</v>
      </c>
      <c r="B631" s="7">
        <v>0</v>
      </c>
      <c r="C631" s="7">
        <v>0</v>
      </c>
      <c r="D631" s="7">
        <v>0</v>
      </c>
      <c r="E631" s="7">
        <v>0</v>
      </c>
      <c r="F631" s="7">
        <v>0</v>
      </c>
      <c r="G631" s="7">
        <v>0</v>
      </c>
      <c r="H631" s="7">
        <v>0</v>
      </c>
      <c r="I631" s="7">
        <v>0</v>
      </c>
      <c r="J631" s="7">
        <v>0</v>
      </c>
      <c r="K631" s="7">
        <v>0</v>
      </c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</row>
    <row r="632" spans="1:17">
      <c r="A632" s="2">
        <v>2580</v>
      </c>
      <c r="B632" s="7">
        <v>0</v>
      </c>
      <c r="C632" s="7">
        <v>0</v>
      </c>
      <c r="D632" s="7">
        <v>0</v>
      </c>
      <c r="E632" s="7">
        <v>0</v>
      </c>
      <c r="F632" s="7">
        <v>0</v>
      </c>
      <c r="G632" s="7">
        <v>0</v>
      </c>
      <c r="H632" s="7">
        <v>0</v>
      </c>
      <c r="I632" s="7">
        <v>0</v>
      </c>
      <c r="J632" s="7">
        <v>0</v>
      </c>
      <c r="K632" s="7">
        <v>0</v>
      </c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</row>
    <row r="633" spans="1:17">
      <c r="A633" s="2">
        <v>2581</v>
      </c>
      <c r="B633" s="7">
        <v>0</v>
      </c>
      <c r="C633" s="7">
        <v>0</v>
      </c>
      <c r="D633" s="7">
        <v>0</v>
      </c>
      <c r="E633" s="7">
        <v>0</v>
      </c>
      <c r="F633" s="7">
        <v>0</v>
      </c>
      <c r="G633" s="7">
        <v>0</v>
      </c>
      <c r="H633" s="7">
        <v>0</v>
      </c>
      <c r="I633" s="7">
        <v>0</v>
      </c>
      <c r="J633" s="7">
        <v>0</v>
      </c>
      <c r="K633" s="7">
        <v>0</v>
      </c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</row>
    <row r="634" spans="1:17">
      <c r="A634" s="2">
        <v>2582</v>
      </c>
      <c r="B634" s="7">
        <v>0</v>
      </c>
      <c r="C634" s="7">
        <v>0</v>
      </c>
      <c r="D634" s="7">
        <v>0</v>
      </c>
      <c r="E634" s="7">
        <v>0</v>
      </c>
      <c r="F634" s="7">
        <v>0</v>
      </c>
      <c r="G634" s="7">
        <v>0</v>
      </c>
      <c r="H634" s="7">
        <v>0</v>
      </c>
      <c r="I634" s="7">
        <v>0</v>
      </c>
      <c r="J634" s="7">
        <v>0</v>
      </c>
      <c r="K634" s="7">
        <v>0</v>
      </c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</row>
    <row r="635" spans="1:17">
      <c r="A635" s="2">
        <v>2583</v>
      </c>
      <c r="B635" s="7">
        <v>0</v>
      </c>
      <c r="C635" s="7">
        <v>0</v>
      </c>
      <c r="D635" s="7">
        <v>0</v>
      </c>
      <c r="E635" s="7">
        <v>0</v>
      </c>
      <c r="F635" s="7">
        <v>0</v>
      </c>
      <c r="G635" s="7">
        <v>0</v>
      </c>
      <c r="H635" s="7">
        <v>0</v>
      </c>
      <c r="I635" s="7">
        <v>0</v>
      </c>
      <c r="J635" s="7">
        <v>0</v>
      </c>
      <c r="K635" s="7">
        <v>0</v>
      </c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</row>
    <row r="636" spans="1:17">
      <c r="A636" s="2">
        <v>2584</v>
      </c>
      <c r="B636" s="7">
        <v>0</v>
      </c>
      <c r="C636" s="7">
        <v>0</v>
      </c>
      <c r="D636" s="7">
        <v>0</v>
      </c>
      <c r="E636" s="7">
        <v>0</v>
      </c>
      <c r="F636" s="7">
        <v>0</v>
      </c>
      <c r="G636" s="7">
        <v>0</v>
      </c>
      <c r="H636" s="7">
        <v>0</v>
      </c>
      <c r="I636" s="7">
        <v>0</v>
      </c>
      <c r="J636" s="7">
        <v>0</v>
      </c>
      <c r="K636" s="7">
        <v>0</v>
      </c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</row>
    <row r="637" spans="1:17">
      <c r="A637" s="2">
        <v>2585</v>
      </c>
      <c r="B637" s="7">
        <v>0</v>
      </c>
      <c r="C637" s="7">
        <v>0</v>
      </c>
      <c r="D637" s="7">
        <v>0</v>
      </c>
      <c r="E637" s="7">
        <v>0</v>
      </c>
      <c r="F637" s="7">
        <v>0</v>
      </c>
      <c r="G637" s="7">
        <v>0</v>
      </c>
      <c r="H637" s="7">
        <v>0</v>
      </c>
      <c r="I637" s="7">
        <v>0</v>
      </c>
      <c r="J637" s="7">
        <v>0</v>
      </c>
      <c r="K637" s="7">
        <v>0</v>
      </c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</row>
    <row r="638" spans="1:17">
      <c r="A638" s="2">
        <v>2586</v>
      </c>
      <c r="B638" s="7">
        <v>0</v>
      </c>
      <c r="C638" s="7">
        <v>0</v>
      </c>
      <c r="D638" s="7">
        <v>0</v>
      </c>
      <c r="E638" s="7">
        <v>0</v>
      </c>
      <c r="F638" s="7">
        <v>0</v>
      </c>
      <c r="G638" s="7">
        <v>0</v>
      </c>
      <c r="H638" s="7">
        <v>0</v>
      </c>
      <c r="I638" s="7">
        <v>0</v>
      </c>
      <c r="J638" s="7">
        <v>0</v>
      </c>
      <c r="K638" s="7">
        <v>0</v>
      </c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</row>
    <row r="639" spans="1:17">
      <c r="A639" s="2">
        <v>2587</v>
      </c>
      <c r="B639" s="7">
        <v>0</v>
      </c>
      <c r="C639" s="7">
        <v>0</v>
      </c>
      <c r="D639" s="7">
        <v>0</v>
      </c>
      <c r="E639" s="7">
        <v>0</v>
      </c>
      <c r="F639" s="7">
        <v>0</v>
      </c>
      <c r="G639" s="7">
        <v>0</v>
      </c>
      <c r="H639" s="7">
        <v>0</v>
      </c>
      <c r="I639" s="7">
        <v>0</v>
      </c>
      <c r="J639" s="7">
        <v>0</v>
      </c>
      <c r="K639" s="7">
        <v>0</v>
      </c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</row>
    <row r="640" spans="1:17">
      <c r="A640" s="2">
        <v>2588</v>
      </c>
      <c r="B640" s="7">
        <v>0</v>
      </c>
      <c r="C640" s="7">
        <v>0</v>
      </c>
      <c r="D640" s="7">
        <v>0</v>
      </c>
      <c r="E640" s="7">
        <v>0</v>
      </c>
      <c r="F640" s="7">
        <v>0</v>
      </c>
      <c r="G640" s="7">
        <v>0</v>
      </c>
      <c r="H640" s="7">
        <v>0</v>
      </c>
      <c r="I640" s="7">
        <v>0</v>
      </c>
      <c r="J640" s="7">
        <v>0</v>
      </c>
      <c r="K640" s="7">
        <v>0</v>
      </c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</row>
    <row r="641" spans="1:17">
      <c r="A641" s="2">
        <v>2589</v>
      </c>
      <c r="B641" s="7">
        <v>0</v>
      </c>
      <c r="C641" s="7">
        <v>0</v>
      </c>
      <c r="D641" s="7">
        <v>0</v>
      </c>
      <c r="E641" s="7">
        <v>0</v>
      </c>
      <c r="F641" s="7">
        <v>0</v>
      </c>
      <c r="G641" s="7">
        <v>0</v>
      </c>
      <c r="H641" s="7">
        <v>0</v>
      </c>
      <c r="I641" s="7">
        <v>0</v>
      </c>
      <c r="J641" s="7">
        <v>0</v>
      </c>
      <c r="K641" s="7">
        <v>0</v>
      </c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</row>
    <row r="642" spans="1:17">
      <c r="A642" s="2">
        <v>2590</v>
      </c>
      <c r="B642" s="7">
        <v>0</v>
      </c>
      <c r="C642" s="7">
        <v>0</v>
      </c>
      <c r="D642" s="7">
        <v>0</v>
      </c>
      <c r="E642" s="7">
        <v>0</v>
      </c>
      <c r="F642" s="7">
        <v>0</v>
      </c>
      <c r="G642" s="7">
        <v>0</v>
      </c>
      <c r="H642" s="7">
        <v>0</v>
      </c>
      <c r="I642" s="7">
        <v>0</v>
      </c>
      <c r="J642" s="7">
        <v>0</v>
      </c>
      <c r="K642" s="7">
        <v>0</v>
      </c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</row>
    <row r="643" spans="1:17">
      <c r="A643" s="2">
        <v>2591</v>
      </c>
      <c r="B643" s="7">
        <v>0</v>
      </c>
      <c r="C643" s="7">
        <v>0</v>
      </c>
      <c r="D643" s="7">
        <v>0</v>
      </c>
      <c r="E643" s="7">
        <v>0</v>
      </c>
      <c r="F643" s="7">
        <v>0</v>
      </c>
      <c r="G643" s="7">
        <v>0</v>
      </c>
      <c r="H643" s="7">
        <v>0</v>
      </c>
      <c r="I643" s="7">
        <v>0</v>
      </c>
      <c r="J643" s="7">
        <v>0</v>
      </c>
      <c r="K643" s="7">
        <v>0</v>
      </c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</row>
    <row r="644" spans="1:17">
      <c r="A644" s="2">
        <v>2592</v>
      </c>
      <c r="B644" s="7">
        <v>0</v>
      </c>
      <c r="C644" s="7">
        <v>0</v>
      </c>
      <c r="D644" s="7">
        <v>0</v>
      </c>
      <c r="E644" s="7">
        <v>0</v>
      </c>
      <c r="F644" s="7">
        <v>0</v>
      </c>
      <c r="G644" s="7">
        <v>0</v>
      </c>
      <c r="H644" s="7">
        <v>0</v>
      </c>
      <c r="I644" s="7">
        <v>0</v>
      </c>
      <c r="J644" s="7">
        <v>0</v>
      </c>
      <c r="K644" s="7">
        <v>0</v>
      </c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</row>
    <row r="645" spans="1:17">
      <c r="A645" s="2">
        <v>2593</v>
      </c>
      <c r="B645" s="7">
        <v>0</v>
      </c>
      <c r="C645" s="7">
        <v>0</v>
      </c>
      <c r="D645" s="7">
        <v>0</v>
      </c>
      <c r="E645" s="7">
        <v>0</v>
      </c>
      <c r="F645" s="7">
        <v>0</v>
      </c>
      <c r="G645" s="7">
        <v>0</v>
      </c>
      <c r="H645" s="7">
        <v>0</v>
      </c>
      <c r="I645" s="7">
        <v>0</v>
      </c>
      <c r="J645" s="7">
        <v>0</v>
      </c>
      <c r="K645" s="7">
        <v>0</v>
      </c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</row>
    <row r="646" spans="1:17">
      <c r="A646" s="2">
        <v>2594</v>
      </c>
      <c r="B646" s="7">
        <v>0</v>
      </c>
      <c r="C646" s="7">
        <v>0</v>
      </c>
      <c r="D646" s="7">
        <v>0</v>
      </c>
      <c r="E646" s="7">
        <v>0</v>
      </c>
      <c r="F646" s="7">
        <v>0</v>
      </c>
      <c r="G646" s="7">
        <v>0</v>
      </c>
      <c r="H646" s="7">
        <v>0</v>
      </c>
      <c r="I646" s="7">
        <v>0</v>
      </c>
      <c r="J646" s="7">
        <v>0</v>
      </c>
      <c r="K646" s="7">
        <v>0</v>
      </c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</row>
    <row r="647" spans="1:17">
      <c r="A647" s="2">
        <v>2595</v>
      </c>
      <c r="B647" s="7">
        <v>0</v>
      </c>
      <c r="C647" s="7">
        <v>0</v>
      </c>
      <c r="D647" s="7">
        <v>0</v>
      </c>
      <c r="E647" s="7">
        <v>0</v>
      </c>
      <c r="F647" s="7">
        <v>0</v>
      </c>
      <c r="G647" s="7">
        <v>0</v>
      </c>
      <c r="H647" s="7">
        <v>0</v>
      </c>
      <c r="I647" s="7">
        <v>0</v>
      </c>
      <c r="J647" s="7">
        <v>0</v>
      </c>
      <c r="K647" s="7">
        <v>0</v>
      </c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</row>
    <row r="648" spans="1:17">
      <c r="A648" s="2">
        <v>2596</v>
      </c>
      <c r="B648" s="7">
        <v>0</v>
      </c>
      <c r="C648" s="7">
        <v>0</v>
      </c>
      <c r="D648" s="7">
        <v>0</v>
      </c>
      <c r="E648" s="7">
        <v>0</v>
      </c>
      <c r="F648" s="7">
        <v>0</v>
      </c>
      <c r="G648" s="7">
        <v>0</v>
      </c>
      <c r="H648" s="7">
        <v>0</v>
      </c>
      <c r="I648" s="7">
        <v>0</v>
      </c>
      <c r="J648" s="7">
        <v>0</v>
      </c>
      <c r="K648" s="7">
        <v>0</v>
      </c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</row>
    <row r="649" spans="1:17">
      <c r="A649" s="2">
        <v>2597</v>
      </c>
      <c r="B649" s="7">
        <v>0</v>
      </c>
      <c r="C649" s="7">
        <v>0</v>
      </c>
      <c r="D649" s="7">
        <v>0</v>
      </c>
      <c r="E649" s="7">
        <v>0</v>
      </c>
      <c r="F649" s="7">
        <v>0</v>
      </c>
      <c r="G649" s="7">
        <v>0</v>
      </c>
      <c r="H649" s="7">
        <v>0</v>
      </c>
      <c r="I649" s="7">
        <v>0</v>
      </c>
      <c r="J649" s="7">
        <v>0</v>
      </c>
      <c r="K649" s="7">
        <v>0</v>
      </c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</row>
    <row r="650" spans="1:17">
      <c r="A650" s="2">
        <v>2598</v>
      </c>
      <c r="B650" s="7">
        <v>0</v>
      </c>
      <c r="C650" s="7">
        <v>0</v>
      </c>
      <c r="D650" s="7">
        <v>0</v>
      </c>
      <c r="E650" s="7">
        <v>0</v>
      </c>
      <c r="F650" s="7">
        <v>0</v>
      </c>
      <c r="G650" s="7">
        <v>0</v>
      </c>
      <c r="H650" s="7">
        <v>0</v>
      </c>
      <c r="I650" s="7">
        <v>0</v>
      </c>
      <c r="J650" s="7">
        <v>0</v>
      </c>
      <c r="K650" s="7">
        <v>0</v>
      </c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</row>
    <row r="651" spans="1:17">
      <c r="A651" s="2">
        <v>2599</v>
      </c>
      <c r="B651" s="7">
        <v>0</v>
      </c>
      <c r="C651" s="7">
        <v>0</v>
      </c>
      <c r="D651" s="7">
        <v>0</v>
      </c>
      <c r="E651" s="7">
        <v>0</v>
      </c>
      <c r="F651" s="7">
        <v>0</v>
      </c>
      <c r="G651" s="7">
        <v>0</v>
      </c>
      <c r="H651" s="7">
        <v>0</v>
      </c>
      <c r="I651" s="7">
        <v>0</v>
      </c>
      <c r="J651" s="7">
        <v>0</v>
      </c>
      <c r="K651" s="7">
        <v>0</v>
      </c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</row>
    <row r="652" spans="1:17">
      <c r="A652" s="2">
        <v>2600</v>
      </c>
      <c r="B652" s="7">
        <v>0</v>
      </c>
      <c r="C652" s="7">
        <v>0</v>
      </c>
      <c r="D652" s="7">
        <v>0</v>
      </c>
      <c r="E652" s="7">
        <v>0</v>
      </c>
      <c r="F652" s="7">
        <v>0</v>
      </c>
      <c r="G652" s="7">
        <v>0</v>
      </c>
      <c r="H652" s="7">
        <v>0</v>
      </c>
      <c r="I652" s="7">
        <v>0</v>
      </c>
      <c r="J652" s="7">
        <v>0</v>
      </c>
      <c r="K652" s="7">
        <v>0</v>
      </c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</row>
    <row r="653" spans="1:17">
      <c r="A653" s="2">
        <v>2601</v>
      </c>
      <c r="B653" s="7">
        <v>0</v>
      </c>
      <c r="C653" s="7">
        <v>0</v>
      </c>
      <c r="D653" s="7">
        <v>0</v>
      </c>
      <c r="E653" s="7">
        <v>0</v>
      </c>
      <c r="F653" s="7">
        <v>0</v>
      </c>
      <c r="G653" s="7">
        <v>0</v>
      </c>
      <c r="H653" s="7">
        <v>0</v>
      </c>
      <c r="I653" s="7">
        <v>0</v>
      </c>
      <c r="J653" s="7">
        <v>0</v>
      </c>
      <c r="K653" s="7">
        <v>0</v>
      </c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</row>
    <row r="654" spans="1:17">
      <c r="A654" s="2">
        <v>2602</v>
      </c>
      <c r="B654" s="7">
        <v>0</v>
      </c>
      <c r="C654" s="7">
        <v>0</v>
      </c>
      <c r="D654" s="7">
        <v>0</v>
      </c>
      <c r="E654" s="7">
        <v>0</v>
      </c>
      <c r="F654" s="7">
        <v>0</v>
      </c>
      <c r="G654" s="7">
        <v>0</v>
      </c>
      <c r="H654" s="7">
        <v>0</v>
      </c>
      <c r="I654" s="7">
        <v>0</v>
      </c>
      <c r="J654" s="7">
        <v>0</v>
      </c>
      <c r="K654" s="7">
        <v>0</v>
      </c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</row>
    <row r="655" spans="1:17">
      <c r="A655" s="2">
        <v>2603</v>
      </c>
      <c r="B655" s="7">
        <v>0</v>
      </c>
      <c r="C655" s="7">
        <v>0</v>
      </c>
      <c r="D655" s="7">
        <v>0</v>
      </c>
      <c r="E655" s="7">
        <v>0</v>
      </c>
      <c r="F655" s="7">
        <v>0</v>
      </c>
      <c r="G655" s="7">
        <v>0</v>
      </c>
      <c r="H655" s="7">
        <v>0</v>
      </c>
      <c r="I655" s="7">
        <v>0</v>
      </c>
      <c r="J655" s="7">
        <v>0</v>
      </c>
      <c r="K655" s="7">
        <v>0</v>
      </c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</row>
    <row r="656" spans="1:17">
      <c r="A656" s="2">
        <v>2604</v>
      </c>
      <c r="B656" s="7">
        <v>0</v>
      </c>
      <c r="C656" s="7">
        <v>0</v>
      </c>
      <c r="D656" s="7">
        <v>0</v>
      </c>
      <c r="E656" s="7">
        <v>0</v>
      </c>
      <c r="F656" s="7">
        <v>0</v>
      </c>
      <c r="G656" s="7">
        <v>0</v>
      </c>
      <c r="H656" s="7">
        <v>0</v>
      </c>
      <c r="I656" s="7">
        <v>0</v>
      </c>
      <c r="J656" s="7">
        <v>0</v>
      </c>
      <c r="K656" s="7">
        <v>0</v>
      </c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</row>
    <row r="657" spans="1:17">
      <c r="A657" s="2">
        <v>2605</v>
      </c>
      <c r="B657" s="7">
        <v>0</v>
      </c>
      <c r="C657" s="7">
        <v>0</v>
      </c>
      <c r="D657" s="7">
        <v>0</v>
      </c>
      <c r="E657" s="7">
        <v>0</v>
      </c>
      <c r="F657" s="7">
        <v>0</v>
      </c>
      <c r="G657" s="7">
        <v>0</v>
      </c>
      <c r="H657" s="7">
        <v>0</v>
      </c>
      <c r="I657" s="7">
        <v>0</v>
      </c>
      <c r="J657" s="7">
        <v>0</v>
      </c>
      <c r="K657" s="7">
        <v>0</v>
      </c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</row>
    <row r="658" spans="1:17">
      <c r="A658" s="2">
        <v>2606</v>
      </c>
      <c r="B658" s="7">
        <v>0</v>
      </c>
      <c r="C658" s="7">
        <v>0</v>
      </c>
      <c r="D658" s="7">
        <v>0</v>
      </c>
      <c r="E658" s="7">
        <v>0</v>
      </c>
      <c r="F658" s="7">
        <v>0</v>
      </c>
      <c r="G658" s="7">
        <v>0</v>
      </c>
      <c r="H658" s="7">
        <v>0</v>
      </c>
      <c r="I658" s="7">
        <v>0</v>
      </c>
      <c r="J658" s="7">
        <v>0</v>
      </c>
      <c r="K658" s="7">
        <v>0</v>
      </c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</row>
    <row r="659" spans="1:17">
      <c r="A659" s="2">
        <v>2607</v>
      </c>
      <c r="B659" s="7">
        <v>0</v>
      </c>
      <c r="C659" s="7">
        <v>0</v>
      </c>
      <c r="D659" s="7">
        <v>0</v>
      </c>
      <c r="E659" s="7">
        <v>0</v>
      </c>
      <c r="F659" s="7">
        <v>0</v>
      </c>
      <c r="G659" s="7">
        <v>0</v>
      </c>
      <c r="H659" s="7">
        <v>0</v>
      </c>
      <c r="I659" s="7">
        <v>0</v>
      </c>
      <c r="J659" s="7">
        <v>0</v>
      </c>
      <c r="K659" s="7">
        <v>0</v>
      </c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</row>
    <row r="660" spans="1:17">
      <c r="A660" s="2">
        <v>2608</v>
      </c>
      <c r="B660" s="7">
        <v>0</v>
      </c>
      <c r="C660" s="7">
        <v>0</v>
      </c>
      <c r="D660" s="7">
        <v>0</v>
      </c>
      <c r="E660" s="7">
        <v>0</v>
      </c>
      <c r="F660" s="7">
        <v>0</v>
      </c>
      <c r="G660" s="7">
        <v>0</v>
      </c>
      <c r="H660" s="7">
        <v>0</v>
      </c>
      <c r="I660" s="7">
        <v>0</v>
      </c>
      <c r="J660" s="7">
        <v>0</v>
      </c>
      <c r="K660" s="7">
        <v>0</v>
      </c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</row>
    <row r="661" spans="1:17">
      <c r="A661" s="2">
        <v>2609</v>
      </c>
      <c r="B661" s="7">
        <v>0</v>
      </c>
      <c r="C661" s="7">
        <v>0</v>
      </c>
      <c r="D661" s="7">
        <v>0</v>
      </c>
      <c r="E661" s="7">
        <v>0</v>
      </c>
      <c r="F661" s="7">
        <v>0</v>
      </c>
      <c r="G661" s="7">
        <v>0</v>
      </c>
      <c r="H661" s="7">
        <v>0</v>
      </c>
      <c r="I661" s="7">
        <v>0</v>
      </c>
      <c r="J661" s="7">
        <v>0</v>
      </c>
      <c r="K661" s="7">
        <v>0</v>
      </c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</row>
    <row r="662" spans="1:17">
      <c r="A662" s="2">
        <v>2610</v>
      </c>
      <c r="B662" s="7">
        <v>0</v>
      </c>
      <c r="C662" s="7">
        <v>0</v>
      </c>
      <c r="D662" s="7">
        <v>0</v>
      </c>
      <c r="E662" s="7">
        <v>0</v>
      </c>
      <c r="F662" s="7">
        <v>0</v>
      </c>
      <c r="G662" s="7">
        <v>0</v>
      </c>
      <c r="H662" s="7">
        <v>0</v>
      </c>
      <c r="I662" s="7">
        <v>0</v>
      </c>
      <c r="J662" s="7">
        <v>0</v>
      </c>
      <c r="K662" s="7">
        <v>0</v>
      </c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</row>
    <row r="663" spans="1:17">
      <c r="A663" s="2">
        <v>2611</v>
      </c>
      <c r="B663" s="7">
        <v>0</v>
      </c>
      <c r="C663" s="7">
        <v>0</v>
      </c>
      <c r="D663" s="7">
        <v>0</v>
      </c>
      <c r="E663" s="7">
        <v>0</v>
      </c>
      <c r="F663" s="7">
        <v>0</v>
      </c>
      <c r="G663" s="7">
        <v>0</v>
      </c>
      <c r="H663" s="7">
        <v>0</v>
      </c>
      <c r="I663" s="7">
        <v>0</v>
      </c>
      <c r="J663" s="7">
        <v>0</v>
      </c>
      <c r="K663" s="7">
        <v>0</v>
      </c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</row>
    <row r="664" spans="1:17">
      <c r="A664" s="2">
        <v>2612</v>
      </c>
      <c r="B664" s="7">
        <v>0</v>
      </c>
      <c r="C664" s="7">
        <v>0</v>
      </c>
      <c r="D664" s="7">
        <v>0</v>
      </c>
      <c r="E664" s="7">
        <v>0</v>
      </c>
      <c r="F664" s="7">
        <v>0</v>
      </c>
      <c r="G664" s="7">
        <v>0</v>
      </c>
      <c r="H664" s="7">
        <v>0</v>
      </c>
      <c r="I664" s="7">
        <v>0</v>
      </c>
      <c r="J664" s="7">
        <v>0</v>
      </c>
      <c r="K664" s="7">
        <v>0</v>
      </c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</row>
    <row r="665" spans="1:17">
      <c r="A665" s="2">
        <v>2613</v>
      </c>
      <c r="B665" s="7">
        <v>0</v>
      </c>
      <c r="C665" s="7">
        <v>0</v>
      </c>
      <c r="D665" s="7">
        <v>0</v>
      </c>
      <c r="E665" s="7">
        <v>0</v>
      </c>
      <c r="F665" s="7">
        <v>0</v>
      </c>
      <c r="G665" s="7">
        <v>0</v>
      </c>
      <c r="H665" s="7">
        <v>0</v>
      </c>
      <c r="I665" s="7">
        <v>0</v>
      </c>
      <c r="J665" s="7">
        <v>0</v>
      </c>
      <c r="K665" s="7">
        <v>0</v>
      </c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</row>
    <row r="666" spans="1:17">
      <c r="A666" s="2">
        <v>2614</v>
      </c>
      <c r="B666" s="7">
        <v>0</v>
      </c>
      <c r="C666" s="7">
        <v>0</v>
      </c>
      <c r="D666" s="7">
        <v>0</v>
      </c>
      <c r="E666" s="7">
        <v>0</v>
      </c>
      <c r="F666" s="7">
        <v>0</v>
      </c>
      <c r="G666" s="7">
        <v>0</v>
      </c>
      <c r="H666" s="7">
        <v>0</v>
      </c>
      <c r="I666" s="7">
        <v>0</v>
      </c>
      <c r="J666" s="7">
        <v>0</v>
      </c>
      <c r="K666" s="7">
        <v>0</v>
      </c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</row>
    <row r="667" spans="1:17">
      <c r="A667" s="2">
        <v>2615</v>
      </c>
      <c r="B667" s="7">
        <v>0</v>
      </c>
      <c r="C667" s="7">
        <v>0</v>
      </c>
      <c r="D667" s="7">
        <v>0</v>
      </c>
      <c r="E667" s="7">
        <v>0</v>
      </c>
      <c r="F667" s="7">
        <v>0</v>
      </c>
      <c r="G667" s="7">
        <v>0</v>
      </c>
      <c r="H667" s="7">
        <v>0</v>
      </c>
      <c r="I667" s="7">
        <v>0</v>
      </c>
      <c r="J667" s="7">
        <v>0</v>
      </c>
      <c r="K667" s="7">
        <v>0</v>
      </c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</row>
    <row r="668" spans="1:17">
      <c r="A668" s="2">
        <v>2616</v>
      </c>
      <c r="B668" s="7">
        <v>0</v>
      </c>
      <c r="C668" s="7">
        <v>0</v>
      </c>
      <c r="D668" s="7">
        <v>0</v>
      </c>
      <c r="E668" s="7">
        <v>0</v>
      </c>
      <c r="F668" s="7">
        <v>0</v>
      </c>
      <c r="G668" s="7">
        <v>0</v>
      </c>
      <c r="H668" s="7">
        <v>0</v>
      </c>
      <c r="I668" s="7">
        <v>0</v>
      </c>
      <c r="J668" s="7">
        <v>0</v>
      </c>
      <c r="K668" s="7">
        <v>0</v>
      </c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</row>
    <row r="669" spans="1:17">
      <c r="A669" s="2">
        <v>2617</v>
      </c>
      <c r="B669" s="7">
        <v>0</v>
      </c>
      <c r="C669" s="7">
        <v>0</v>
      </c>
      <c r="D669" s="7">
        <v>0</v>
      </c>
      <c r="E669" s="7">
        <v>0</v>
      </c>
      <c r="F669" s="7">
        <v>0</v>
      </c>
      <c r="G669" s="7">
        <v>0</v>
      </c>
      <c r="H669" s="7">
        <v>0</v>
      </c>
      <c r="I669" s="7">
        <v>0</v>
      </c>
      <c r="J669" s="7">
        <v>0</v>
      </c>
      <c r="K669" s="7">
        <v>0</v>
      </c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</row>
    <row r="670" spans="1:17">
      <c r="A670" s="2">
        <v>2618</v>
      </c>
      <c r="B670" s="7">
        <v>0</v>
      </c>
      <c r="C670" s="7">
        <v>0</v>
      </c>
      <c r="D670" s="7">
        <v>0</v>
      </c>
      <c r="E670" s="7">
        <v>0</v>
      </c>
      <c r="F670" s="7">
        <v>0</v>
      </c>
      <c r="G670" s="7">
        <v>0</v>
      </c>
      <c r="H670" s="7">
        <v>0</v>
      </c>
      <c r="I670" s="7">
        <v>0</v>
      </c>
      <c r="J670" s="7">
        <v>0</v>
      </c>
      <c r="K670" s="7">
        <v>0</v>
      </c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</row>
    <row r="671" spans="1:17">
      <c r="A671" s="2">
        <v>2619</v>
      </c>
      <c r="B671" s="7">
        <v>0</v>
      </c>
      <c r="C671" s="7">
        <v>0</v>
      </c>
      <c r="D671" s="7">
        <v>0</v>
      </c>
      <c r="E671" s="7">
        <v>0</v>
      </c>
      <c r="F671" s="7">
        <v>0</v>
      </c>
      <c r="G671" s="7">
        <v>0</v>
      </c>
      <c r="H671" s="7">
        <v>0</v>
      </c>
      <c r="I671" s="7">
        <v>0</v>
      </c>
      <c r="J671" s="7">
        <v>0</v>
      </c>
      <c r="K671" s="7">
        <v>0</v>
      </c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</row>
    <row r="672" spans="1:17">
      <c r="A672" s="2">
        <v>2620</v>
      </c>
      <c r="B672" s="7">
        <v>0</v>
      </c>
      <c r="C672" s="7">
        <v>0</v>
      </c>
      <c r="D672" s="7">
        <v>0</v>
      </c>
      <c r="E672" s="7">
        <v>0</v>
      </c>
      <c r="F672" s="7">
        <v>0</v>
      </c>
      <c r="G672" s="7">
        <v>0</v>
      </c>
      <c r="H672" s="7">
        <v>0</v>
      </c>
      <c r="I672" s="7">
        <v>0</v>
      </c>
      <c r="J672" s="7">
        <v>0</v>
      </c>
      <c r="K672" s="7">
        <v>0</v>
      </c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</row>
    <row r="673" spans="1:17">
      <c r="A673" s="2">
        <v>2621</v>
      </c>
      <c r="B673" s="7">
        <v>0</v>
      </c>
      <c r="C673" s="7">
        <v>0</v>
      </c>
      <c r="D673" s="7">
        <v>0</v>
      </c>
      <c r="E673" s="7">
        <v>0</v>
      </c>
      <c r="F673" s="7">
        <v>0</v>
      </c>
      <c r="G673" s="7">
        <v>0</v>
      </c>
      <c r="H673" s="7">
        <v>0</v>
      </c>
      <c r="I673" s="7">
        <v>0</v>
      </c>
      <c r="J673" s="7">
        <v>0</v>
      </c>
      <c r="K673" s="7">
        <v>0</v>
      </c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</row>
    <row r="674" spans="1:17">
      <c r="A674" s="2">
        <v>2622</v>
      </c>
      <c r="B674" s="7">
        <v>0</v>
      </c>
      <c r="C674" s="7">
        <v>0</v>
      </c>
      <c r="D674" s="7">
        <v>0</v>
      </c>
      <c r="E674" s="7">
        <v>0</v>
      </c>
      <c r="F674" s="7">
        <v>0</v>
      </c>
      <c r="G674" s="7">
        <v>0</v>
      </c>
      <c r="H674" s="7">
        <v>0</v>
      </c>
      <c r="I674" s="7">
        <v>0</v>
      </c>
      <c r="J674" s="7">
        <v>0</v>
      </c>
      <c r="K674" s="7">
        <v>0</v>
      </c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</row>
    <row r="675" spans="1:17">
      <c r="A675" s="2">
        <v>2623</v>
      </c>
      <c r="B675" s="7">
        <v>0</v>
      </c>
      <c r="C675" s="7">
        <v>0</v>
      </c>
      <c r="D675" s="7">
        <v>0</v>
      </c>
      <c r="E675" s="7">
        <v>0</v>
      </c>
      <c r="F675" s="7">
        <v>0</v>
      </c>
      <c r="G675" s="7">
        <v>0</v>
      </c>
      <c r="H675" s="7">
        <v>0</v>
      </c>
      <c r="I675" s="7">
        <v>0</v>
      </c>
      <c r="J675" s="7">
        <v>0</v>
      </c>
      <c r="K675" s="7">
        <v>0</v>
      </c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</row>
    <row r="676" spans="1:17">
      <c r="A676" s="2">
        <v>2624</v>
      </c>
      <c r="B676" s="7">
        <v>0</v>
      </c>
      <c r="C676" s="7">
        <v>0</v>
      </c>
      <c r="D676" s="7">
        <v>0</v>
      </c>
      <c r="E676" s="7">
        <v>0</v>
      </c>
      <c r="F676" s="7">
        <v>0</v>
      </c>
      <c r="G676" s="7">
        <v>0</v>
      </c>
      <c r="H676" s="7">
        <v>0</v>
      </c>
      <c r="I676" s="7">
        <v>0</v>
      </c>
      <c r="J676" s="7">
        <v>0</v>
      </c>
      <c r="K676" s="7">
        <v>0</v>
      </c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</row>
    <row r="677" spans="1:17">
      <c r="A677" s="2">
        <v>2625</v>
      </c>
      <c r="B677" s="7">
        <v>0</v>
      </c>
      <c r="C677" s="7">
        <v>0</v>
      </c>
      <c r="D677" s="7">
        <v>0</v>
      </c>
      <c r="E677" s="7">
        <v>0</v>
      </c>
      <c r="F677" s="7">
        <v>0</v>
      </c>
      <c r="G677" s="7">
        <v>0</v>
      </c>
      <c r="H677" s="7">
        <v>0</v>
      </c>
      <c r="I677" s="7">
        <v>0</v>
      </c>
      <c r="J677" s="7">
        <v>0</v>
      </c>
      <c r="K677" s="7">
        <v>0</v>
      </c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</row>
    <row r="678" spans="1:17">
      <c r="A678" s="2">
        <v>2626</v>
      </c>
      <c r="B678" s="7">
        <v>0</v>
      </c>
      <c r="C678" s="7">
        <v>0</v>
      </c>
      <c r="D678" s="7">
        <v>0</v>
      </c>
      <c r="E678" s="7">
        <v>0</v>
      </c>
      <c r="F678" s="7">
        <v>0</v>
      </c>
      <c r="G678" s="7">
        <v>0</v>
      </c>
      <c r="H678" s="7">
        <v>0</v>
      </c>
      <c r="I678" s="7">
        <v>0</v>
      </c>
      <c r="J678" s="7">
        <v>0</v>
      </c>
      <c r="K678" s="7">
        <v>0</v>
      </c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</row>
    <row r="679" spans="1:17">
      <c r="A679" s="2">
        <v>2627</v>
      </c>
      <c r="B679" s="7">
        <v>0</v>
      </c>
      <c r="C679" s="7">
        <v>0</v>
      </c>
      <c r="D679" s="7">
        <v>0</v>
      </c>
      <c r="E679" s="7">
        <v>0</v>
      </c>
      <c r="F679" s="7">
        <v>0</v>
      </c>
      <c r="G679" s="7">
        <v>0</v>
      </c>
      <c r="H679" s="7">
        <v>0</v>
      </c>
      <c r="I679" s="7">
        <v>0</v>
      </c>
      <c r="J679" s="7">
        <v>0</v>
      </c>
      <c r="K679" s="7">
        <v>0</v>
      </c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</row>
    <row r="680" spans="1:17">
      <c r="A680" s="2">
        <v>2628</v>
      </c>
      <c r="B680" s="7">
        <v>0</v>
      </c>
      <c r="C680" s="7">
        <v>0</v>
      </c>
      <c r="D680" s="7">
        <v>0</v>
      </c>
      <c r="E680" s="7">
        <v>0</v>
      </c>
      <c r="F680" s="7">
        <v>0</v>
      </c>
      <c r="G680" s="7">
        <v>0</v>
      </c>
      <c r="H680" s="7">
        <v>0</v>
      </c>
      <c r="I680" s="7">
        <v>0</v>
      </c>
      <c r="J680" s="7">
        <v>0</v>
      </c>
      <c r="K680" s="7">
        <v>0</v>
      </c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</row>
    <row r="681" spans="1:17">
      <c r="A681" s="2">
        <v>2629</v>
      </c>
      <c r="B681" s="7">
        <v>0</v>
      </c>
      <c r="C681" s="7">
        <v>0</v>
      </c>
      <c r="D681" s="7">
        <v>0</v>
      </c>
      <c r="E681" s="7">
        <v>0</v>
      </c>
      <c r="F681" s="7">
        <v>0</v>
      </c>
      <c r="G681" s="7">
        <v>0</v>
      </c>
      <c r="H681" s="7">
        <v>0</v>
      </c>
      <c r="I681" s="7">
        <v>0</v>
      </c>
      <c r="J681" s="7">
        <v>0</v>
      </c>
      <c r="K681" s="7">
        <v>0</v>
      </c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</row>
    <row r="682" spans="1:17">
      <c r="A682" s="2">
        <v>2630</v>
      </c>
      <c r="B682" s="7">
        <v>0</v>
      </c>
      <c r="C682" s="7">
        <v>0</v>
      </c>
      <c r="D682" s="7">
        <v>0</v>
      </c>
      <c r="E682" s="7">
        <v>0</v>
      </c>
      <c r="F682" s="7">
        <v>0</v>
      </c>
      <c r="G682" s="7">
        <v>0</v>
      </c>
      <c r="H682" s="7">
        <v>0</v>
      </c>
      <c r="I682" s="7">
        <v>0</v>
      </c>
      <c r="J682" s="7">
        <v>0</v>
      </c>
      <c r="K682" s="7">
        <v>0</v>
      </c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</row>
    <row r="683" spans="1:17">
      <c r="A683" s="2">
        <v>2631</v>
      </c>
      <c r="B683" s="7">
        <v>0</v>
      </c>
      <c r="C683" s="7">
        <v>0</v>
      </c>
      <c r="D683" s="7">
        <v>0</v>
      </c>
      <c r="E683" s="7">
        <v>0</v>
      </c>
      <c r="F683" s="7">
        <v>0</v>
      </c>
      <c r="G683" s="7">
        <v>0</v>
      </c>
      <c r="H683" s="7">
        <v>0</v>
      </c>
      <c r="I683" s="7">
        <v>0</v>
      </c>
      <c r="J683" s="7">
        <v>0</v>
      </c>
      <c r="K683" s="7">
        <v>0</v>
      </c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</row>
    <row r="684" spans="1:17">
      <c r="A684" s="2">
        <v>2632</v>
      </c>
      <c r="B684" s="7">
        <v>0</v>
      </c>
      <c r="C684" s="7">
        <v>0</v>
      </c>
      <c r="D684" s="7">
        <v>0</v>
      </c>
      <c r="E684" s="7">
        <v>0</v>
      </c>
      <c r="F684" s="7">
        <v>0</v>
      </c>
      <c r="G684" s="7">
        <v>0</v>
      </c>
      <c r="H684" s="7">
        <v>0</v>
      </c>
      <c r="I684" s="7">
        <v>0</v>
      </c>
      <c r="J684" s="7">
        <v>0</v>
      </c>
      <c r="K684" s="7">
        <v>0</v>
      </c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</row>
    <row r="685" spans="1:17">
      <c r="A685" s="2">
        <v>2633</v>
      </c>
      <c r="B685" s="7">
        <v>0</v>
      </c>
      <c r="C685" s="7">
        <v>0</v>
      </c>
      <c r="D685" s="7">
        <v>0</v>
      </c>
      <c r="E685" s="7">
        <v>0</v>
      </c>
      <c r="F685" s="7">
        <v>0</v>
      </c>
      <c r="G685" s="7">
        <v>0</v>
      </c>
      <c r="H685" s="7">
        <v>0</v>
      </c>
      <c r="I685" s="7">
        <v>0</v>
      </c>
      <c r="J685" s="7">
        <v>0</v>
      </c>
      <c r="K685" s="7">
        <v>0</v>
      </c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</row>
    <row r="686" spans="1:17">
      <c r="A686" s="2">
        <v>2634</v>
      </c>
      <c r="B686" s="7">
        <v>0</v>
      </c>
      <c r="C686" s="7">
        <v>0</v>
      </c>
      <c r="D686" s="7">
        <v>0</v>
      </c>
      <c r="E686" s="7">
        <v>0</v>
      </c>
      <c r="F686" s="7">
        <v>0</v>
      </c>
      <c r="G686" s="7">
        <v>0</v>
      </c>
      <c r="H686" s="7">
        <v>0</v>
      </c>
      <c r="I686" s="7">
        <v>0</v>
      </c>
      <c r="J686" s="7">
        <v>0</v>
      </c>
      <c r="K686" s="7">
        <v>0</v>
      </c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</row>
    <row r="687" spans="1:17">
      <c r="A687" s="2">
        <v>2635</v>
      </c>
      <c r="B687" s="7">
        <v>0</v>
      </c>
      <c r="C687" s="7">
        <v>0</v>
      </c>
      <c r="D687" s="7">
        <v>0</v>
      </c>
      <c r="E687" s="7">
        <v>0</v>
      </c>
      <c r="F687" s="7">
        <v>0</v>
      </c>
      <c r="G687" s="7">
        <v>0</v>
      </c>
      <c r="H687" s="7">
        <v>0</v>
      </c>
      <c r="I687" s="7">
        <v>0</v>
      </c>
      <c r="J687" s="7">
        <v>0</v>
      </c>
      <c r="K687" s="7">
        <v>0</v>
      </c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</row>
    <row r="688" spans="1:17">
      <c r="A688" s="2">
        <v>2636</v>
      </c>
      <c r="B688" s="7">
        <v>0</v>
      </c>
      <c r="C688" s="7">
        <v>0</v>
      </c>
      <c r="D688" s="7">
        <v>0</v>
      </c>
      <c r="E688" s="7">
        <v>0</v>
      </c>
      <c r="F688" s="7">
        <v>0</v>
      </c>
      <c r="G688" s="7">
        <v>0</v>
      </c>
      <c r="H688" s="7">
        <v>0</v>
      </c>
      <c r="I688" s="7">
        <v>0</v>
      </c>
      <c r="J688" s="7">
        <v>0</v>
      </c>
      <c r="K688" s="7">
        <v>0</v>
      </c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</row>
    <row r="689" spans="1:17">
      <c r="A689" s="2">
        <v>2637</v>
      </c>
      <c r="B689" s="7">
        <v>0</v>
      </c>
      <c r="C689" s="7">
        <v>0</v>
      </c>
      <c r="D689" s="7">
        <v>0</v>
      </c>
      <c r="E689" s="7">
        <v>0</v>
      </c>
      <c r="F689" s="7">
        <v>0</v>
      </c>
      <c r="G689" s="7">
        <v>0</v>
      </c>
      <c r="H689" s="7">
        <v>0</v>
      </c>
      <c r="I689" s="7">
        <v>0</v>
      </c>
      <c r="J689" s="7">
        <v>0</v>
      </c>
      <c r="K689" s="7">
        <v>0</v>
      </c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</row>
    <row r="690" spans="1:17">
      <c r="A690" s="2">
        <v>2638</v>
      </c>
      <c r="B690" s="7">
        <v>0</v>
      </c>
      <c r="C690" s="7">
        <v>0</v>
      </c>
      <c r="D690" s="7">
        <v>0</v>
      </c>
      <c r="E690" s="7">
        <v>0</v>
      </c>
      <c r="F690" s="7">
        <v>0</v>
      </c>
      <c r="G690" s="7">
        <v>0</v>
      </c>
      <c r="H690" s="7">
        <v>0</v>
      </c>
      <c r="I690" s="7">
        <v>0</v>
      </c>
      <c r="J690" s="7">
        <v>0</v>
      </c>
      <c r="K690" s="7">
        <v>0</v>
      </c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</row>
    <row r="691" spans="1:17">
      <c r="A691" s="2">
        <v>2639</v>
      </c>
      <c r="B691" s="7">
        <v>0</v>
      </c>
      <c r="C691" s="7">
        <v>0</v>
      </c>
      <c r="D691" s="7">
        <v>0</v>
      </c>
      <c r="E691" s="7">
        <v>0</v>
      </c>
      <c r="F691" s="7">
        <v>0</v>
      </c>
      <c r="G691" s="7">
        <v>0</v>
      </c>
      <c r="H691" s="7">
        <v>0</v>
      </c>
      <c r="I691" s="7">
        <v>0</v>
      </c>
      <c r="J691" s="7">
        <v>0</v>
      </c>
      <c r="K691" s="7">
        <v>0</v>
      </c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</row>
    <row r="692" spans="1:17">
      <c r="A692" s="2">
        <v>2640</v>
      </c>
      <c r="B692" s="7">
        <v>0</v>
      </c>
      <c r="C692" s="7">
        <v>0</v>
      </c>
      <c r="D692" s="7">
        <v>0</v>
      </c>
      <c r="E692" s="7">
        <v>0</v>
      </c>
      <c r="F692" s="7">
        <v>0</v>
      </c>
      <c r="G692" s="7">
        <v>0</v>
      </c>
      <c r="H692" s="7">
        <v>0</v>
      </c>
      <c r="I692" s="7">
        <v>0</v>
      </c>
      <c r="J692" s="7">
        <v>0</v>
      </c>
      <c r="K692" s="7">
        <v>0</v>
      </c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</row>
    <row r="693" spans="1:17">
      <c r="A693" s="2">
        <v>2641</v>
      </c>
      <c r="B693" s="7">
        <v>0</v>
      </c>
      <c r="C693" s="7">
        <v>0</v>
      </c>
      <c r="D693" s="7">
        <v>0</v>
      </c>
      <c r="E693" s="7">
        <v>0</v>
      </c>
      <c r="F693" s="7">
        <v>0</v>
      </c>
      <c r="G693" s="7">
        <v>0</v>
      </c>
      <c r="H693" s="7">
        <v>0</v>
      </c>
      <c r="I693" s="7">
        <v>0</v>
      </c>
      <c r="J693" s="7">
        <v>0</v>
      </c>
      <c r="K693" s="7">
        <v>0</v>
      </c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</row>
    <row r="694" spans="1:17">
      <c r="A694" s="2">
        <v>2642</v>
      </c>
      <c r="B694" s="7">
        <v>0</v>
      </c>
      <c r="C694" s="7">
        <v>0</v>
      </c>
      <c r="D694" s="7">
        <v>0</v>
      </c>
      <c r="E694" s="7">
        <v>0</v>
      </c>
      <c r="F694" s="7">
        <v>0</v>
      </c>
      <c r="G694" s="7">
        <v>0</v>
      </c>
      <c r="H694" s="7">
        <v>0</v>
      </c>
      <c r="I694" s="7">
        <v>0</v>
      </c>
      <c r="J694" s="7">
        <v>0</v>
      </c>
      <c r="K694" s="7">
        <v>0</v>
      </c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</row>
    <row r="695" spans="1:17">
      <c r="A695" s="2">
        <v>2643</v>
      </c>
      <c r="B695" s="7">
        <v>0</v>
      </c>
      <c r="C695" s="7">
        <v>0</v>
      </c>
      <c r="D695" s="7">
        <v>0</v>
      </c>
      <c r="E695" s="7">
        <v>0</v>
      </c>
      <c r="F695" s="7">
        <v>0</v>
      </c>
      <c r="G695" s="7">
        <v>0</v>
      </c>
      <c r="H695" s="7">
        <v>0</v>
      </c>
      <c r="I695" s="7">
        <v>0</v>
      </c>
      <c r="J695" s="7">
        <v>0</v>
      </c>
      <c r="K695" s="7">
        <v>0</v>
      </c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</row>
    <row r="696" spans="1:17">
      <c r="A696" s="2">
        <v>2644</v>
      </c>
      <c r="B696" s="7">
        <v>0</v>
      </c>
      <c r="C696" s="7">
        <v>0</v>
      </c>
      <c r="D696" s="7">
        <v>0</v>
      </c>
      <c r="E696" s="7">
        <v>0</v>
      </c>
      <c r="F696" s="7">
        <v>0</v>
      </c>
      <c r="G696" s="7">
        <v>0</v>
      </c>
      <c r="H696" s="7">
        <v>0</v>
      </c>
      <c r="I696" s="7">
        <v>0</v>
      </c>
      <c r="J696" s="7">
        <v>0</v>
      </c>
      <c r="K696" s="7">
        <v>0</v>
      </c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</row>
    <row r="697" spans="1:17">
      <c r="A697" s="2">
        <v>2645</v>
      </c>
      <c r="B697" s="7">
        <v>0</v>
      </c>
      <c r="C697" s="7">
        <v>0</v>
      </c>
      <c r="D697" s="7">
        <v>0</v>
      </c>
      <c r="E697" s="7">
        <v>0</v>
      </c>
      <c r="F697" s="7">
        <v>0</v>
      </c>
      <c r="G697" s="7">
        <v>0</v>
      </c>
      <c r="H697" s="7">
        <v>0</v>
      </c>
      <c r="I697" s="7">
        <v>0</v>
      </c>
      <c r="J697" s="7">
        <v>0</v>
      </c>
      <c r="K697" s="7">
        <v>0</v>
      </c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</row>
    <row r="698" spans="1:17">
      <c r="A698" s="2">
        <v>2646</v>
      </c>
      <c r="B698" s="7">
        <v>0</v>
      </c>
      <c r="C698" s="7">
        <v>0</v>
      </c>
      <c r="D698" s="7">
        <v>0</v>
      </c>
      <c r="E698" s="7">
        <v>0</v>
      </c>
      <c r="F698" s="7">
        <v>0</v>
      </c>
      <c r="G698" s="7">
        <v>0</v>
      </c>
      <c r="H698" s="7">
        <v>0</v>
      </c>
      <c r="I698" s="7">
        <v>0</v>
      </c>
      <c r="J698" s="7">
        <v>0</v>
      </c>
      <c r="K698" s="7">
        <v>0</v>
      </c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</row>
    <row r="699" spans="1:17">
      <c r="A699" s="2">
        <v>2647</v>
      </c>
      <c r="B699" s="7">
        <v>0</v>
      </c>
      <c r="C699" s="7">
        <v>0</v>
      </c>
      <c r="D699" s="7">
        <v>0</v>
      </c>
      <c r="E699" s="7">
        <v>0</v>
      </c>
      <c r="F699" s="7">
        <v>0</v>
      </c>
      <c r="G699" s="7">
        <v>0</v>
      </c>
      <c r="H699" s="7">
        <v>0</v>
      </c>
      <c r="I699" s="7">
        <v>0</v>
      </c>
      <c r="J699" s="7">
        <v>0</v>
      </c>
      <c r="K699" s="7">
        <v>0</v>
      </c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</row>
    <row r="700" spans="1:17">
      <c r="A700" s="2">
        <v>2648</v>
      </c>
      <c r="B700" s="7">
        <v>0</v>
      </c>
      <c r="C700" s="7">
        <v>0</v>
      </c>
      <c r="D700" s="7">
        <v>0</v>
      </c>
      <c r="E700" s="7">
        <v>0</v>
      </c>
      <c r="F700" s="7">
        <v>0</v>
      </c>
      <c r="G700" s="7">
        <v>0</v>
      </c>
      <c r="H700" s="7">
        <v>0</v>
      </c>
      <c r="I700" s="7">
        <v>0</v>
      </c>
      <c r="J700" s="7">
        <v>0</v>
      </c>
      <c r="K700" s="7">
        <v>0</v>
      </c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</row>
    <row r="701" spans="1:17">
      <c r="A701" s="2">
        <v>2649</v>
      </c>
      <c r="B701" s="7">
        <v>0</v>
      </c>
      <c r="C701" s="7">
        <v>0</v>
      </c>
      <c r="D701" s="7">
        <v>0</v>
      </c>
      <c r="E701" s="7">
        <v>0</v>
      </c>
      <c r="F701" s="7">
        <v>0</v>
      </c>
      <c r="G701" s="7">
        <v>0</v>
      </c>
      <c r="H701" s="7">
        <v>0</v>
      </c>
      <c r="I701" s="7">
        <v>0</v>
      </c>
      <c r="J701" s="7">
        <v>0</v>
      </c>
      <c r="K701" s="7">
        <v>0</v>
      </c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</row>
    <row r="702" spans="1:17">
      <c r="A702" s="2">
        <v>2650</v>
      </c>
      <c r="B702" s="7">
        <v>0</v>
      </c>
      <c r="C702" s="7">
        <v>0</v>
      </c>
      <c r="D702" s="7">
        <v>0</v>
      </c>
      <c r="E702" s="7">
        <v>0</v>
      </c>
      <c r="F702" s="7">
        <v>0</v>
      </c>
      <c r="G702" s="7">
        <v>0</v>
      </c>
      <c r="H702" s="7">
        <v>0</v>
      </c>
      <c r="I702" s="7">
        <v>0</v>
      </c>
      <c r="J702" s="7">
        <v>0</v>
      </c>
      <c r="K702" s="7">
        <v>0</v>
      </c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</row>
    <row r="703" spans="1:17">
      <c r="A703" s="2">
        <v>2651</v>
      </c>
      <c r="B703" s="7">
        <v>0</v>
      </c>
      <c r="C703" s="7">
        <v>0</v>
      </c>
      <c r="D703" s="7">
        <v>0</v>
      </c>
      <c r="E703" s="7">
        <v>0</v>
      </c>
      <c r="F703" s="7">
        <v>0</v>
      </c>
      <c r="G703" s="7">
        <v>0</v>
      </c>
      <c r="H703" s="7">
        <v>0</v>
      </c>
      <c r="I703" s="7">
        <v>0</v>
      </c>
      <c r="J703" s="7">
        <v>0</v>
      </c>
      <c r="K703" s="7">
        <v>0</v>
      </c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</row>
    <row r="704" spans="1:17">
      <c r="A704" s="2">
        <v>2652</v>
      </c>
      <c r="B704" s="7">
        <v>0</v>
      </c>
      <c r="C704" s="7">
        <v>0</v>
      </c>
      <c r="D704" s="7">
        <v>0</v>
      </c>
      <c r="E704" s="7">
        <v>0</v>
      </c>
      <c r="F704" s="7">
        <v>0</v>
      </c>
      <c r="G704" s="7">
        <v>0</v>
      </c>
      <c r="H704" s="7">
        <v>0</v>
      </c>
      <c r="I704" s="7">
        <v>0</v>
      </c>
      <c r="J704" s="7">
        <v>0</v>
      </c>
      <c r="K704" s="7">
        <v>0</v>
      </c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</row>
    <row r="705" spans="1:17">
      <c r="A705" s="2">
        <v>2653</v>
      </c>
      <c r="B705" s="7">
        <v>0</v>
      </c>
      <c r="C705" s="7">
        <v>0</v>
      </c>
      <c r="D705" s="7">
        <v>0</v>
      </c>
      <c r="E705" s="7">
        <v>0</v>
      </c>
      <c r="F705" s="7">
        <v>0</v>
      </c>
      <c r="G705" s="7">
        <v>0</v>
      </c>
      <c r="H705" s="7">
        <v>0</v>
      </c>
      <c r="I705" s="7">
        <v>0</v>
      </c>
      <c r="J705" s="7">
        <v>0</v>
      </c>
      <c r="K705" s="7">
        <v>0</v>
      </c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</row>
    <row r="706" spans="1:17">
      <c r="A706" s="2">
        <v>2654</v>
      </c>
      <c r="B706" s="7">
        <v>0</v>
      </c>
      <c r="C706" s="7">
        <v>0</v>
      </c>
      <c r="D706" s="7">
        <v>0</v>
      </c>
      <c r="E706" s="7">
        <v>0</v>
      </c>
      <c r="F706" s="7">
        <v>0</v>
      </c>
      <c r="G706" s="7">
        <v>0</v>
      </c>
      <c r="H706" s="7">
        <v>0</v>
      </c>
      <c r="I706" s="7">
        <v>0</v>
      </c>
      <c r="J706" s="7">
        <v>0</v>
      </c>
      <c r="K706" s="7">
        <v>0</v>
      </c>
      <c r="L706" s="7">
        <v>0</v>
      </c>
      <c r="M706" s="7">
        <v>0</v>
      </c>
      <c r="N706" s="7">
        <v>0</v>
      </c>
      <c r="O706" s="7">
        <v>0</v>
      </c>
      <c r="P706" s="7">
        <v>0</v>
      </c>
      <c r="Q706" s="7">
        <v>0</v>
      </c>
    </row>
    <row r="707" spans="1:17">
      <c r="A707" s="2">
        <v>2655</v>
      </c>
      <c r="B707" s="7">
        <v>0</v>
      </c>
      <c r="C707" s="7">
        <v>0</v>
      </c>
      <c r="D707" s="7">
        <v>0</v>
      </c>
      <c r="E707" s="7">
        <v>0</v>
      </c>
      <c r="F707" s="7">
        <v>0</v>
      </c>
      <c r="G707" s="7">
        <v>0</v>
      </c>
      <c r="H707" s="7">
        <v>0</v>
      </c>
      <c r="I707" s="7">
        <v>0</v>
      </c>
      <c r="J707" s="7">
        <v>0</v>
      </c>
      <c r="K707" s="7">
        <v>0</v>
      </c>
      <c r="L707" s="7">
        <v>0</v>
      </c>
      <c r="M707" s="7">
        <v>0</v>
      </c>
      <c r="N707" s="7">
        <v>0</v>
      </c>
      <c r="O707" s="7">
        <v>0</v>
      </c>
      <c r="P707" s="7">
        <v>0</v>
      </c>
      <c r="Q707" s="7">
        <v>0</v>
      </c>
    </row>
    <row r="708" spans="1:17">
      <c r="A708" s="2">
        <v>2656</v>
      </c>
      <c r="B708" s="7">
        <v>0</v>
      </c>
      <c r="C708" s="7">
        <v>0</v>
      </c>
      <c r="D708" s="7">
        <v>0</v>
      </c>
      <c r="E708" s="7">
        <v>0</v>
      </c>
      <c r="F708" s="7">
        <v>0</v>
      </c>
      <c r="G708" s="7">
        <v>0</v>
      </c>
      <c r="H708" s="7">
        <v>0</v>
      </c>
      <c r="I708" s="7">
        <v>0</v>
      </c>
      <c r="J708" s="7">
        <v>0</v>
      </c>
      <c r="K708" s="7">
        <v>0</v>
      </c>
      <c r="L708" s="7">
        <v>0</v>
      </c>
      <c r="M708" s="7">
        <v>0</v>
      </c>
      <c r="N708" s="7">
        <v>0</v>
      </c>
      <c r="O708" s="7">
        <v>0</v>
      </c>
      <c r="P708" s="7">
        <v>0</v>
      </c>
      <c r="Q708" s="7">
        <v>0</v>
      </c>
    </row>
    <row r="709" spans="1:17">
      <c r="A709" s="2">
        <v>2657</v>
      </c>
      <c r="B709" s="7">
        <v>0</v>
      </c>
      <c r="C709" s="7">
        <v>0</v>
      </c>
      <c r="D709" s="7">
        <v>0</v>
      </c>
      <c r="E709" s="7">
        <v>0</v>
      </c>
      <c r="F709" s="7">
        <v>0</v>
      </c>
      <c r="G709" s="7">
        <v>0</v>
      </c>
      <c r="H709" s="7">
        <v>0</v>
      </c>
      <c r="I709" s="7">
        <v>0</v>
      </c>
      <c r="J709" s="7">
        <v>0</v>
      </c>
      <c r="K709" s="7">
        <v>0</v>
      </c>
      <c r="L709" s="7">
        <v>0</v>
      </c>
      <c r="M709" s="7">
        <v>0</v>
      </c>
      <c r="N709" s="7">
        <v>0</v>
      </c>
      <c r="O709" s="7">
        <v>0</v>
      </c>
      <c r="P709" s="7">
        <v>0</v>
      </c>
      <c r="Q709" s="7">
        <v>0</v>
      </c>
    </row>
    <row r="710" spans="1:17">
      <c r="A710" s="2">
        <v>2658</v>
      </c>
      <c r="B710" s="7">
        <v>0</v>
      </c>
      <c r="C710" s="7">
        <v>0</v>
      </c>
      <c r="D710" s="7">
        <v>0</v>
      </c>
      <c r="E710" s="7">
        <v>0</v>
      </c>
      <c r="F710" s="7">
        <v>0</v>
      </c>
      <c r="G710" s="7">
        <v>0</v>
      </c>
      <c r="H710" s="7">
        <v>0</v>
      </c>
      <c r="I710" s="7">
        <v>0</v>
      </c>
      <c r="J710" s="7">
        <v>0</v>
      </c>
      <c r="K710" s="7">
        <v>0</v>
      </c>
      <c r="L710" s="7">
        <v>0</v>
      </c>
      <c r="M710" s="7">
        <v>0</v>
      </c>
      <c r="N710" s="7">
        <v>0</v>
      </c>
      <c r="O710" s="7">
        <v>0</v>
      </c>
      <c r="P710" s="7">
        <v>0</v>
      </c>
      <c r="Q710" s="7">
        <v>0</v>
      </c>
    </row>
    <row r="711" spans="1:17">
      <c r="A711" s="2">
        <v>2659</v>
      </c>
      <c r="B711" s="7">
        <v>0</v>
      </c>
      <c r="C711" s="7">
        <v>0</v>
      </c>
      <c r="D711" s="7">
        <v>0</v>
      </c>
      <c r="E711" s="7">
        <v>0</v>
      </c>
      <c r="F711" s="7">
        <v>0</v>
      </c>
      <c r="G711" s="7">
        <v>0</v>
      </c>
      <c r="H711" s="7">
        <v>0</v>
      </c>
      <c r="I711" s="7">
        <v>0</v>
      </c>
      <c r="J711" s="7">
        <v>0</v>
      </c>
      <c r="K711" s="7">
        <v>0</v>
      </c>
      <c r="L711" s="7">
        <v>0</v>
      </c>
      <c r="M711" s="7">
        <v>0</v>
      </c>
      <c r="N711" s="7">
        <v>0</v>
      </c>
      <c r="O711" s="7">
        <v>0</v>
      </c>
      <c r="P711" s="7">
        <v>0</v>
      </c>
      <c r="Q711" s="7">
        <v>0</v>
      </c>
    </row>
    <row r="712" spans="1:17">
      <c r="A712" s="2">
        <v>2660</v>
      </c>
      <c r="B712" s="7">
        <v>0</v>
      </c>
      <c r="C712" s="7">
        <v>0</v>
      </c>
      <c r="D712" s="7">
        <v>0</v>
      </c>
      <c r="E712" s="7">
        <v>0</v>
      </c>
      <c r="F712" s="7">
        <v>0</v>
      </c>
      <c r="G712" s="7">
        <v>0</v>
      </c>
      <c r="H712" s="7">
        <v>0</v>
      </c>
      <c r="I712" s="7">
        <v>0</v>
      </c>
      <c r="J712" s="7">
        <v>0</v>
      </c>
      <c r="K712" s="7">
        <v>0</v>
      </c>
      <c r="L712" s="7">
        <v>0</v>
      </c>
      <c r="M712" s="7">
        <v>0</v>
      </c>
      <c r="N712" s="7">
        <v>0</v>
      </c>
      <c r="O712" s="7">
        <v>0</v>
      </c>
      <c r="P712" s="7">
        <v>0</v>
      </c>
      <c r="Q712" s="7">
        <v>0</v>
      </c>
    </row>
    <row r="713" spans="1:17">
      <c r="A713" s="2">
        <v>2661</v>
      </c>
      <c r="B713" s="7">
        <v>0</v>
      </c>
      <c r="C713" s="7">
        <v>0</v>
      </c>
      <c r="D713" s="7">
        <v>0</v>
      </c>
      <c r="E713" s="7">
        <v>0</v>
      </c>
      <c r="F713" s="7">
        <v>0</v>
      </c>
      <c r="G713" s="7">
        <v>0</v>
      </c>
      <c r="H713" s="7">
        <v>0</v>
      </c>
      <c r="I713" s="7">
        <v>0</v>
      </c>
      <c r="J713" s="7">
        <v>0</v>
      </c>
      <c r="K713" s="7">
        <v>0</v>
      </c>
      <c r="L713" s="7">
        <v>0</v>
      </c>
      <c r="M713" s="7">
        <v>0</v>
      </c>
      <c r="N713" s="7">
        <v>0</v>
      </c>
      <c r="O713" s="7">
        <v>0</v>
      </c>
      <c r="P713" s="7">
        <v>0</v>
      </c>
      <c r="Q713" s="7">
        <v>0</v>
      </c>
    </row>
    <row r="714" spans="1:17">
      <c r="A714" s="2">
        <v>2662</v>
      </c>
      <c r="B714" s="7">
        <v>0</v>
      </c>
      <c r="C714" s="7">
        <v>0</v>
      </c>
      <c r="D714" s="7">
        <v>0</v>
      </c>
      <c r="E714" s="7">
        <v>0</v>
      </c>
      <c r="F714" s="7">
        <v>0</v>
      </c>
      <c r="G714" s="7">
        <v>0</v>
      </c>
      <c r="H714" s="7">
        <v>0</v>
      </c>
      <c r="I714" s="7">
        <v>0</v>
      </c>
      <c r="J714" s="7">
        <v>0</v>
      </c>
      <c r="K714" s="7">
        <v>0</v>
      </c>
      <c r="L714" s="7">
        <v>0</v>
      </c>
      <c r="M714" s="7">
        <v>0</v>
      </c>
      <c r="N714" s="7">
        <v>0</v>
      </c>
      <c r="O714" s="7">
        <v>0</v>
      </c>
      <c r="P714" s="7">
        <v>0</v>
      </c>
      <c r="Q714" s="7">
        <v>0</v>
      </c>
    </row>
    <row r="715" spans="1:17">
      <c r="A715" s="2">
        <v>2663</v>
      </c>
      <c r="B715" s="7">
        <v>0</v>
      </c>
      <c r="C715" s="7">
        <v>0</v>
      </c>
      <c r="D715" s="7">
        <v>0</v>
      </c>
      <c r="E715" s="7">
        <v>0</v>
      </c>
      <c r="F715" s="7">
        <v>0</v>
      </c>
      <c r="G715" s="7">
        <v>0</v>
      </c>
      <c r="H715" s="7">
        <v>0</v>
      </c>
      <c r="I715" s="7">
        <v>0</v>
      </c>
      <c r="J715" s="7">
        <v>0</v>
      </c>
      <c r="K715" s="7">
        <v>0</v>
      </c>
      <c r="L715" s="7">
        <v>0</v>
      </c>
      <c r="M715" s="7">
        <v>0</v>
      </c>
      <c r="N715" s="7">
        <v>0</v>
      </c>
      <c r="O715" s="7">
        <v>0</v>
      </c>
      <c r="P715" s="7">
        <v>0</v>
      </c>
      <c r="Q715" s="7">
        <v>0</v>
      </c>
    </row>
    <row r="716" spans="1:17">
      <c r="A716" s="2">
        <v>2664</v>
      </c>
      <c r="B716" s="7">
        <v>0</v>
      </c>
      <c r="C716" s="7">
        <v>0</v>
      </c>
      <c r="D716" s="7">
        <v>0</v>
      </c>
      <c r="E716" s="7">
        <v>0</v>
      </c>
      <c r="F716" s="7">
        <v>0</v>
      </c>
      <c r="G716" s="7">
        <v>0</v>
      </c>
      <c r="H716" s="7">
        <v>0</v>
      </c>
      <c r="I716" s="7">
        <v>0</v>
      </c>
      <c r="J716" s="7">
        <v>0</v>
      </c>
      <c r="K716" s="7">
        <v>0</v>
      </c>
      <c r="L716" s="7">
        <v>0</v>
      </c>
      <c r="M716" s="7">
        <v>0</v>
      </c>
      <c r="N716" s="7">
        <v>0</v>
      </c>
      <c r="O716" s="7">
        <v>0</v>
      </c>
      <c r="P716" s="7">
        <v>0</v>
      </c>
      <c r="Q716" s="7">
        <v>0</v>
      </c>
    </row>
    <row r="717" spans="1:17">
      <c r="A717" s="2">
        <v>2665</v>
      </c>
      <c r="B717" s="7">
        <v>0</v>
      </c>
      <c r="C717" s="7">
        <v>0</v>
      </c>
      <c r="D717" s="7">
        <v>0</v>
      </c>
      <c r="E717" s="7">
        <v>0</v>
      </c>
      <c r="F717" s="7">
        <v>0</v>
      </c>
      <c r="G717" s="7">
        <v>0</v>
      </c>
      <c r="H717" s="7">
        <v>0</v>
      </c>
      <c r="I717" s="7">
        <v>0</v>
      </c>
      <c r="J717" s="7">
        <v>0</v>
      </c>
      <c r="K717" s="7">
        <v>0</v>
      </c>
      <c r="L717" s="7">
        <v>0</v>
      </c>
      <c r="M717" s="7">
        <v>0</v>
      </c>
      <c r="N717" s="7">
        <v>0</v>
      </c>
      <c r="O717" s="7">
        <v>0</v>
      </c>
      <c r="P717" s="7">
        <v>0</v>
      </c>
      <c r="Q717" s="7">
        <v>0</v>
      </c>
    </row>
    <row r="718" spans="1:17">
      <c r="A718" s="2">
        <v>2666</v>
      </c>
      <c r="B718" s="7">
        <v>0</v>
      </c>
      <c r="C718" s="7">
        <v>0</v>
      </c>
      <c r="D718" s="7">
        <v>0</v>
      </c>
      <c r="E718" s="7">
        <v>0</v>
      </c>
      <c r="F718" s="7">
        <v>0</v>
      </c>
      <c r="G718" s="7">
        <v>0</v>
      </c>
      <c r="H718" s="7">
        <v>0</v>
      </c>
      <c r="I718" s="7">
        <v>0</v>
      </c>
      <c r="J718" s="7">
        <v>0</v>
      </c>
      <c r="K718" s="7">
        <v>0</v>
      </c>
      <c r="L718" s="7">
        <v>0</v>
      </c>
      <c r="M718" s="7">
        <v>0</v>
      </c>
      <c r="N718" s="7">
        <v>0</v>
      </c>
      <c r="O718" s="7">
        <v>0</v>
      </c>
      <c r="P718" s="7">
        <v>0</v>
      </c>
      <c r="Q718" s="7">
        <v>0</v>
      </c>
    </row>
    <row r="719" spans="1:17">
      <c r="A719" s="2">
        <v>2667</v>
      </c>
      <c r="B719" s="7">
        <v>0</v>
      </c>
      <c r="C719" s="7">
        <v>0</v>
      </c>
      <c r="D719" s="7">
        <v>0</v>
      </c>
      <c r="E719" s="7">
        <v>0</v>
      </c>
      <c r="F719" s="7">
        <v>0</v>
      </c>
      <c r="G719" s="7">
        <v>0</v>
      </c>
      <c r="H719" s="7">
        <v>0</v>
      </c>
      <c r="I719" s="7">
        <v>0</v>
      </c>
      <c r="J719" s="7">
        <v>0</v>
      </c>
      <c r="K719" s="7">
        <v>0</v>
      </c>
      <c r="L719" s="7">
        <v>0</v>
      </c>
      <c r="M719" s="7">
        <v>0</v>
      </c>
      <c r="N719" s="7">
        <v>0</v>
      </c>
      <c r="O719" s="7">
        <v>0</v>
      </c>
      <c r="P719" s="7">
        <v>0</v>
      </c>
      <c r="Q719" s="7">
        <v>0</v>
      </c>
    </row>
    <row r="720" spans="1:17">
      <c r="A720" s="2">
        <v>2668</v>
      </c>
      <c r="B720" s="7">
        <v>0</v>
      </c>
      <c r="C720" s="7">
        <v>0</v>
      </c>
      <c r="D720" s="7">
        <v>0</v>
      </c>
      <c r="E720" s="7">
        <v>0</v>
      </c>
      <c r="F720" s="7">
        <v>0</v>
      </c>
      <c r="G720" s="7">
        <v>0</v>
      </c>
      <c r="H720" s="7">
        <v>0</v>
      </c>
      <c r="I720" s="7">
        <v>0</v>
      </c>
      <c r="J720" s="7">
        <v>0</v>
      </c>
      <c r="K720" s="7">
        <v>0</v>
      </c>
      <c r="L720" s="7">
        <v>0</v>
      </c>
      <c r="M720" s="7">
        <v>0</v>
      </c>
      <c r="N720" s="7">
        <v>0</v>
      </c>
      <c r="O720" s="7">
        <v>0</v>
      </c>
      <c r="P720" s="7">
        <v>0</v>
      </c>
      <c r="Q720" s="7">
        <v>0</v>
      </c>
    </row>
    <row r="721" spans="1:17">
      <c r="A721" s="2">
        <v>2669</v>
      </c>
      <c r="B721" s="7">
        <v>0</v>
      </c>
      <c r="C721" s="7">
        <v>0</v>
      </c>
      <c r="D721" s="7">
        <v>0</v>
      </c>
      <c r="E721" s="7">
        <v>0</v>
      </c>
      <c r="F721" s="7">
        <v>0</v>
      </c>
      <c r="G721" s="7">
        <v>0</v>
      </c>
      <c r="H721" s="7">
        <v>0</v>
      </c>
      <c r="I721" s="7">
        <v>0</v>
      </c>
      <c r="J721" s="7">
        <v>0</v>
      </c>
      <c r="K721" s="7">
        <v>0</v>
      </c>
      <c r="L721" s="7">
        <v>0</v>
      </c>
      <c r="M721" s="7">
        <v>0</v>
      </c>
      <c r="N721" s="7">
        <v>0</v>
      </c>
      <c r="O721" s="7">
        <v>0</v>
      </c>
      <c r="P721" s="7">
        <v>0</v>
      </c>
      <c r="Q721" s="7">
        <v>0</v>
      </c>
    </row>
    <row r="722" spans="1:17">
      <c r="A722" s="2">
        <v>2670</v>
      </c>
      <c r="B722" s="7">
        <v>0</v>
      </c>
      <c r="C722" s="7">
        <v>0</v>
      </c>
      <c r="D722" s="7">
        <v>0</v>
      </c>
      <c r="E722" s="7">
        <v>0</v>
      </c>
      <c r="F722" s="7">
        <v>0</v>
      </c>
      <c r="G722" s="7">
        <v>0</v>
      </c>
      <c r="H722" s="7">
        <v>0</v>
      </c>
      <c r="I722" s="7">
        <v>0</v>
      </c>
      <c r="J722" s="7">
        <v>0</v>
      </c>
      <c r="K722" s="7">
        <v>0</v>
      </c>
      <c r="L722" s="7">
        <v>0</v>
      </c>
      <c r="M722" s="7">
        <v>0</v>
      </c>
      <c r="N722" s="7">
        <v>0</v>
      </c>
      <c r="O722" s="7">
        <v>0</v>
      </c>
      <c r="P722" s="7">
        <v>0</v>
      </c>
      <c r="Q722" s="7">
        <v>0</v>
      </c>
    </row>
    <row r="723" spans="1:17">
      <c r="A723" s="2">
        <v>2671</v>
      </c>
      <c r="B723" s="7">
        <v>0</v>
      </c>
      <c r="C723" s="7">
        <v>0</v>
      </c>
      <c r="D723" s="7">
        <v>0</v>
      </c>
      <c r="E723" s="7">
        <v>0</v>
      </c>
      <c r="F723" s="7">
        <v>0</v>
      </c>
      <c r="G723" s="7">
        <v>0</v>
      </c>
      <c r="H723" s="7">
        <v>0</v>
      </c>
      <c r="I723" s="7">
        <v>0</v>
      </c>
      <c r="J723" s="7">
        <v>0</v>
      </c>
      <c r="K723" s="7">
        <v>0</v>
      </c>
      <c r="L723" s="7">
        <v>0</v>
      </c>
      <c r="M723" s="7">
        <v>0</v>
      </c>
      <c r="N723" s="7">
        <v>0</v>
      </c>
      <c r="O723" s="7">
        <v>0</v>
      </c>
      <c r="P723" s="7">
        <v>0</v>
      </c>
      <c r="Q723" s="7">
        <v>0</v>
      </c>
    </row>
    <row r="724" spans="1:17">
      <c r="A724" s="2">
        <v>2672</v>
      </c>
      <c r="B724" s="7">
        <v>0</v>
      </c>
      <c r="C724" s="7">
        <v>0</v>
      </c>
      <c r="D724" s="7">
        <v>0</v>
      </c>
      <c r="E724" s="7">
        <v>0</v>
      </c>
      <c r="F724" s="7">
        <v>0</v>
      </c>
      <c r="G724" s="7">
        <v>0</v>
      </c>
      <c r="H724" s="7">
        <v>0</v>
      </c>
      <c r="I724" s="7">
        <v>0</v>
      </c>
      <c r="J724" s="7">
        <v>0</v>
      </c>
      <c r="K724" s="7">
        <v>0</v>
      </c>
      <c r="L724" s="7">
        <v>0</v>
      </c>
      <c r="M724" s="7">
        <v>0</v>
      </c>
      <c r="N724" s="7">
        <v>0</v>
      </c>
      <c r="O724" s="7">
        <v>0</v>
      </c>
      <c r="P724" s="7">
        <v>0</v>
      </c>
      <c r="Q724" s="7">
        <v>0</v>
      </c>
    </row>
    <row r="725" spans="1:17">
      <c r="A725" s="2">
        <v>2673</v>
      </c>
      <c r="B725" s="7">
        <v>0</v>
      </c>
      <c r="C725" s="7">
        <v>0</v>
      </c>
      <c r="D725" s="7">
        <v>0</v>
      </c>
      <c r="E725" s="7">
        <v>0</v>
      </c>
      <c r="F725" s="7">
        <v>0</v>
      </c>
      <c r="G725" s="7">
        <v>0</v>
      </c>
      <c r="H725" s="7">
        <v>0</v>
      </c>
      <c r="I725" s="7">
        <v>0</v>
      </c>
      <c r="J725" s="7">
        <v>0</v>
      </c>
      <c r="K725" s="7">
        <v>0</v>
      </c>
      <c r="L725" s="7">
        <v>0</v>
      </c>
      <c r="M725" s="7">
        <v>0</v>
      </c>
      <c r="N725" s="7">
        <v>0</v>
      </c>
      <c r="O725" s="7">
        <v>0</v>
      </c>
      <c r="P725" s="7">
        <v>0</v>
      </c>
      <c r="Q725" s="7">
        <v>0</v>
      </c>
    </row>
    <row r="726" spans="1:17">
      <c r="A726" s="2">
        <v>2674</v>
      </c>
      <c r="B726" s="7">
        <v>0</v>
      </c>
      <c r="C726" s="7">
        <v>0</v>
      </c>
      <c r="D726" s="7">
        <v>0</v>
      </c>
      <c r="E726" s="7">
        <v>0</v>
      </c>
      <c r="F726" s="7">
        <v>0</v>
      </c>
      <c r="G726" s="7">
        <v>0</v>
      </c>
      <c r="H726" s="7">
        <v>0</v>
      </c>
      <c r="I726" s="7">
        <v>0</v>
      </c>
      <c r="J726" s="7">
        <v>0</v>
      </c>
      <c r="K726" s="7">
        <v>0</v>
      </c>
      <c r="L726" s="7">
        <v>0</v>
      </c>
      <c r="M726" s="7">
        <v>0</v>
      </c>
      <c r="N726" s="7">
        <v>0</v>
      </c>
      <c r="O726" s="7">
        <v>0</v>
      </c>
      <c r="P726" s="7">
        <v>0</v>
      </c>
      <c r="Q726" s="7">
        <v>0</v>
      </c>
    </row>
    <row r="727" spans="1:17">
      <c r="A727" s="2">
        <v>2675</v>
      </c>
      <c r="B727" s="7">
        <v>0</v>
      </c>
      <c r="C727" s="7">
        <v>0</v>
      </c>
      <c r="D727" s="7">
        <v>0</v>
      </c>
      <c r="E727" s="7">
        <v>0</v>
      </c>
      <c r="F727" s="7">
        <v>0</v>
      </c>
      <c r="G727" s="7">
        <v>0</v>
      </c>
      <c r="H727" s="7">
        <v>0</v>
      </c>
      <c r="I727" s="7">
        <v>0</v>
      </c>
      <c r="J727" s="7">
        <v>0</v>
      </c>
      <c r="K727" s="7">
        <v>0</v>
      </c>
      <c r="L727" s="7">
        <v>0</v>
      </c>
      <c r="M727" s="7">
        <v>0</v>
      </c>
      <c r="N727" s="7">
        <v>0</v>
      </c>
      <c r="O727" s="7">
        <v>0</v>
      </c>
      <c r="P727" s="7">
        <v>0</v>
      </c>
      <c r="Q727" s="7">
        <v>0</v>
      </c>
    </row>
    <row r="728" spans="1:17">
      <c r="A728" s="2">
        <v>2676</v>
      </c>
      <c r="B728" s="7">
        <v>0</v>
      </c>
      <c r="C728" s="7">
        <v>0</v>
      </c>
      <c r="D728" s="7">
        <v>0</v>
      </c>
      <c r="E728" s="7">
        <v>0</v>
      </c>
      <c r="F728" s="7">
        <v>0</v>
      </c>
      <c r="G728" s="7">
        <v>0</v>
      </c>
      <c r="H728" s="7">
        <v>0</v>
      </c>
      <c r="I728" s="7">
        <v>0</v>
      </c>
      <c r="J728" s="7">
        <v>0</v>
      </c>
      <c r="K728" s="7">
        <v>0</v>
      </c>
      <c r="L728" s="7">
        <v>0</v>
      </c>
      <c r="M728" s="7">
        <v>0</v>
      </c>
      <c r="N728" s="7">
        <v>0</v>
      </c>
      <c r="O728" s="7">
        <v>0</v>
      </c>
      <c r="P728" s="7">
        <v>0</v>
      </c>
      <c r="Q728" s="7">
        <v>0</v>
      </c>
    </row>
    <row r="729" spans="1:17">
      <c r="A729" s="2">
        <v>2677</v>
      </c>
      <c r="B729" s="7">
        <v>0</v>
      </c>
      <c r="C729" s="7">
        <v>0</v>
      </c>
      <c r="D729" s="7">
        <v>0</v>
      </c>
      <c r="E729" s="7">
        <v>0</v>
      </c>
      <c r="F729" s="7">
        <v>0</v>
      </c>
      <c r="G729" s="7">
        <v>0</v>
      </c>
      <c r="H729" s="7">
        <v>0</v>
      </c>
      <c r="I729" s="7">
        <v>0</v>
      </c>
      <c r="J729" s="7">
        <v>0</v>
      </c>
      <c r="K729" s="7">
        <v>0</v>
      </c>
      <c r="L729" s="7">
        <v>0</v>
      </c>
      <c r="M729" s="7">
        <v>0</v>
      </c>
      <c r="N729" s="7">
        <v>0</v>
      </c>
      <c r="O729" s="7">
        <v>0</v>
      </c>
      <c r="P729" s="7">
        <v>0</v>
      </c>
      <c r="Q729" s="7">
        <v>0</v>
      </c>
    </row>
    <row r="730" spans="1:17">
      <c r="A730" s="2">
        <v>2678</v>
      </c>
      <c r="B730" s="7">
        <v>0</v>
      </c>
      <c r="C730" s="7">
        <v>0</v>
      </c>
      <c r="D730" s="7">
        <v>0</v>
      </c>
      <c r="E730" s="7">
        <v>0</v>
      </c>
      <c r="F730" s="7">
        <v>0</v>
      </c>
      <c r="G730" s="7">
        <v>0</v>
      </c>
      <c r="H730" s="7">
        <v>0</v>
      </c>
      <c r="I730" s="7">
        <v>0</v>
      </c>
      <c r="J730" s="7">
        <v>0</v>
      </c>
      <c r="K730" s="7">
        <v>0</v>
      </c>
      <c r="L730" s="7">
        <v>0</v>
      </c>
      <c r="M730" s="7">
        <v>0</v>
      </c>
      <c r="N730" s="7">
        <v>0</v>
      </c>
      <c r="O730" s="7">
        <v>0</v>
      </c>
      <c r="P730" s="7">
        <v>0</v>
      </c>
      <c r="Q730" s="7">
        <v>0</v>
      </c>
    </row>
    <row r="731" spans="1:17">
      <c r="A731" s="2">
        <v>2679</v>
      </c>
      <c r="B731" s="7">
        <v>0</v>
      </c>
      <c r="C731" s="7">
        <v>0</v>
      </c>
      <c r="D731" s="7">
        <v>0</v>
      </c>
      <c r="E731" s="7">
        <v>0</v>
      </c>
      <c r="F731" s="7">
        <v>0</v>
      </c>
      <c r="G731" s="7">
        <v>0</v>
      </c>
      <c r="H731" s="7">
        <v>0</v>
      </c>
      <c r="I731" s="7">
        <v>0</v>
      </c>
      <c r="J731" s="7">
        <v>0</v>
      </c>
      <c r="K731" s="7">
        <v>0</v>
      </c>
      <c r="L731" s="7">
        <v>0</v>
      </c>
      <c r="M731" s="7">
        <v>0</v>
      </c>
      <c r="N731" s="7">
        <v>0</v>
      </c>
      <c r="O731" s="7">
        <v>0</v>
      </c>
      <c r="P731" s="7">
        <v>0</v>
      </c>
      <c r="Q731" s="7">
        <v>0</v>
      </c>
    </row>
    <row r="732" spans="1:17">
      <c r="A732" s="2">
        <v>2680</v>
      </c>
      <c r="B732" s="7">
        <v>0</v>
      </c>
      <c r="C732" s="7">
        <v>0</v>
      </c>
      <c r="D732" s="7">
        <v>0</v>
      </c>
      <c r="E732" s="7">
        <v>0</v>
      </c>
      <c r="F732" s="7">
        <v>0</v>
      </c>
      <c r="G732" s="7">
        <v>0</v>
      </c>
      <c r="H732" s="7">
        <v>0</v>
      </c>
      <c r="I732" s="7">
        <v>0</v>
      </c>
      <c r="J732" s="7">
        <v>0</v>
      </c>
      <c r="K732" s="7">
        <v>0</v>
      </c>
      <c r="L732" s="7">
        <v>0</v>
      </c>
      <c r="M732" s="7">
        <v>0</v>
      </c>
      <c r="N732" s="7">
        <v>0</v>
      </c>
      <c r="O732" s="7">
        <v>0</v>
      </c>
      <c r="P732" s="7">
        <v>0</v>
      </c>
      <c r="Q732" s="7">
        <v>0</v>
      </c>
    </row>
    <row r="733" spans="1:17">
      <c r="A733" s="2">
        <v>2681</v>
      </c>
      <c r="B733" s="7">
        <v>0</v>
      </c>
      <c r="C733" s="7">
        <v>0</v>
      </c>
      <c r="D733" s="7">
        <v>0</v>
      </c>
      <c r="E733" s="7">
        <v>0</v>
      </c>
      <c r="F733" s="7">
        <v>0</v>
      </c>
      <c r="G733" s="7">
        <v>0</v>
      </c>
      <c r="H733" s="7">
        <v>0</v>
      </c>
      <c r="I733" s="7">
        <v>0</v>
      </c>
      <c r="J733" s="7">
        <v>0</v>
      </c>
      <c r="K733" s="7">
        <v>0</v>
      </c>
      <c r="L733" s="7">
        <v>0</v>
      </c>
      <c r="M733" s="7">
        <v>0</v>
      </c>
      <c r="N733" s="7">
        <v>0</v>
      </c>
      <c r="O733" s="7">
        <v>0</v>
      </c>
      <c r="P733" s="7">
        <v>0</v>
      </c>
      <c r="Q733" s="7">
        <v>0</v>
      </c>
    </row>
    <row r="734" spans="1:17">
      <c r="A734" s="2">
        <v>2682</v>
      </c>
      <c r="B734" s="7">
        <v>0</v>
      </c>
      <c r="C734" s="7">
        <v>0</v>
      </c>
      <c r="D734" s="7">
        <v>0</v>
      </c>
      <c r="E734" s="7">
        <v>0</v>
      </c>
      <c r="F734" s="7">
        <v>0</v>
      </c>
      <c r="G734" s="7">
        <v>0</v>
      </c>
      <c r="H734" s="7">
        <v>0</v>
      </c>
      <c r="I734" s="7">
        <v>0</v>
      </c>
      <c r="J734" s="7">
        <v>0</v>
      </c>
      <c r="K734" s="7">
        <v>0</v>
      </c>
      <c r="L734" s="7">
        <v>0</v>
      </c>
      <c r="M734" s="7">
        <v>0</v>
      </c>
      <c r="N734" s="7">
        <v>0</v>
      </c>
      <c r="O734" s="7">
        <v>0</v>
      </c>
      <c r="P734" s="7">
        <v>0</v>
      </c>
      <c r="Q734" s="7">
        <v>0</v>
      </c>
    </row>
    <row r="735" spans="1:17">
      <c r="A735" s="2">
        <v>2683</v>
      </c>
      <c r="B735" s="7">
        <v>0</v>
      </c>
      <c r="C735" s="7">
        <v>0</v>
      </c>
      <c r="D735" s="7">
        <v>0</v>
      </c>
      <c r="E735" s="7">
        <v>0</v>
      </c>
      <c r="F735" s="7">
        <v>0</v>
      </c>
      <c r="G735" s="7">
        <v>0</v>
      </c>
      <c r="H735" s="7">
        <v>0</v>
      </c>
      <c r="I735" s="7">
        <v>0</v>
      </c>
      <c r="J735" s="7">
        <v>0</v>
      </c>
      <c r="K735" s="7">
        <v>0</v>
      </c>
      <c r="L735" s="7">
        <v>0</v>
      </c>
      <c r="M735" s="7">
        <v>0</v>
      </c>
      <c r="N735" s="7">
        <v>0</v>
      </c>
      <c r="O735" s="7">
        <v>0</v>
      </c>
      <c r="P735" s="7">
        <v>0</v>
      </c>
      <c r="Q735" s="7">
        <v>0</v>
      </c>
    </row>
    <row r="736" spans="1:17">
      <c r="A736" s="2">
        <v>2684</v>
      </c>
      <c r="B736" s="7">
        <v>0</v>
      </c>
      <c r="C736" s="7">
        <v>0</v>
      </c>
      <c r="D736" s="7">
        <v>0</v>
      </c>
      <c r="E736" s="7">
        <v>0</v>
      </c>
      <c r="F736" s="7">
        <v>0</v>
      </c>
      <c r="G736" s="7">
        <v>0</v>
      </c>
      <c r="H736" s="7">
        <v>0</v>
      </c>
      <c r="I736" s="7">
        <v>0</v>
      </c>
      <c r="J736" s="7">
        <v>0</v>
      </c>
      <c r="K736" s="7">
        <v>0</v>
      </c>
      <c r="L736" s="7">
        <v>0</v>
      </c>
      <c r="M736" s="7">
        <v>0</v>
      </c>
      <c r="N736" s="7">
        <v>0</v>
      </c>
      <c r="O736" s="7">
        <v>0</v>
      </c>
      <c r="P736" s="7">
        <v>0</v>
      </c>
      <c r="Q736" s="7">
        <v>0</v>
      </c>
    </row>
    <row r="737" spans="1:17">
      <c r="A737" s="2">
        <v>2685</v>
      </c>
      <c r="B737" s="7">
        <v>0</v>
      </c>
      <c r="C737" s="7">
        <v>0</v>
      </c>
      <c r="D737" s="7">
        <v>0</v>
      </c>
      <c r="E737" s="7">
        <v>0</v>
      </c>
      <c r="F737" s="7">
        <v>0</v>
      </c>
      <c r="G737" s="7">
        <v>0</v>
      </c>
      <c r="H737" s="7">
        <v>0</v>
      </c>
      <c r="I737" s="7">
        <v>0</v>
      </c>
      <c r="J737" s="7">
        <v>0</v>
      </c>
      <c r="K737" s="7">
        <v>0</v>
      </c>
      <c r="L737" s="7">
        <v>0</v>
      </c>
      <c r="M737" s="7">
        <v>0</v>
      </c>
      <c r="N737" s="7">
        <v>0</v>
      </c>
      <c r="O737" s="7">
        <v>0</v>
      </c>
      <c r="P737" s="7">
        <v>0</v>
      </c>
      <c r="Q737" s="7">
        <v>0</v>
      </c>
    </row>
    <row r="738" spans="1:17">
      <c r="A738" s="2">
        <v>2686</v>
      </c>
      <c r="B738" s="7">
        <v>0</v>
      </c>
      <c r="C738" s="7">
        <v>0</v>
      </c>
      <c r="D738" s="7">
        <v>0</v>
      </c>
      <c r="E738" s="7">
        <v>0</v>
      </c>
      <c r="F738" s="7">
        <v>0</v>
      </c>
      <c r="G738" s="7">
        <v>0</v>
      </c>
      <c r="H738" s="7">
        <v>0</v>
      </c>
      <c r="I738" s="7">
        <v>0</v>
      </c>
      <c r="J738" s="7">
        <v>0</v>
      </c>
      <c r="K738" s="7">
        <v>0</v>
      </c>
      <c r="L738" s="7">
        <v>0</v>
      </c>
      <c r="M738" s="7">
        <v>0</v>
      </c>
      <c r="N738" s="7">
        <v>0</v>
      </c>
      <c r="O738" s="7">
        <v>0</v>
      </c>
      <c r="P738" s="7">
        <v>0</v>
      </c>
      <c r="Q738" s="7">
        <v>0</v>
      </c>
    </row>
    <row r="739" spans="1:17">
      <c r="A739" s="2">
        <v>2687</v>
      </c>
      <c r="B739" s="7">
        <v>0</v>
      </c>
      <c r="C739" s="7">
        <v>0</v>
      </c>
      <c r="D739" s="7">
        <v>0</v>
      </c>
      <c r="E739" s="7">
        <v>0</v>
      </c>
      <c r="F739" s="7">
        <v>0</v>
      </c>
      <c r="G739" s="7">
        <v>0</v>
      </c>
      <c r="H739" s="7">
        <v>0</v>
      </c>
      <c r="I739" s="7">
        <v>0</v>
      </c>
      <c r="J739" s="7">
        <v>0</v>
      </c>
      <c r="K739" s="7">
        <v>0</v>
      </c>
      <c r="L739" s="7">
        <v>0</v>
      </c>
      <c r="M739" s="7">
        <v>0</v>
      </c>
      <c r="N739" s="7">
        <v>0</v>
      </c>
      <c r="O739" s="7">
        <v>0</v>
      </c>
      <c r="P739" s="7">
        <v>0</v>
      </c>
      <c r="Q739" s="7">
        <v>0</v>
      </c>
    </row>
    <row r="740" spans="1:17">
      <c r="A740" s="2">
        <v>2688</v>
      </c>
      <c r="B740" s="7">
        <v>0</v>
      </c>
      <c r="C740" s="7">
        <v>0</v>
      </c>
      <c r="D740" s="7">
        <v>0</v>
      </c>
      <c r="E740" s="7">
        <v>0</v>
      </c>
      <c r="F740" s="7">
        <v>0</v>
      </c>
      <c r="G740" s="7">
        <v>0</v>
      </c>
      <c r="H740" s="7">
        <v>0</v>
      </c>
      <c r="I740" s="7">
        <v>0</v>
      </c>
      <c r="J740" s="7">
        <v>0</v>
      </c>
      <c r="K740" s="7">
        <v>0</v>
      </c>
      <c r="L740" s="7">
        <v>0</v>
      </c>
      <c r="M740" s="7">
        <v>0</v>
      </c>
      <c r="N740" s="7">
        <v>0</v>
      </c>
      <c r="O740" s="7">
        <v>0</v>
      </c>
      <c r="P740" s="7">
        <v>0</v>
      </c>
      <c r="Q740" s="7">
        <v>0</v>
      </c>
    </row>
    <row r="741" spans="1:17">
      <c r="A741" s="2">
        <v>2689</v>
      </c>
      <c r="B741" s="7">
        <v>0</v>
      </c>
      <c r="C741" s="7">
        <v>0</v>
      </c>
      <c r="D741" s="7">
        <v>0</v>
      </c>
      <c r="E741" s="7">
        <v>0</v>
      </c>
      <c r="F741" s="7">
        <v>0</v>
      </c>
      <c r="G741" s="7">
        <v>0</v>
      </c>
      <c r="H741" s="7">
        <v>0</v>
      </c>
      <c r="I741" s="7">
        <v>0</v>
      </c>
      <c r="J741" s="7">
        <v>0</v>
      </c>
      <c r="K741" s="7">
        <v>0</v>
      </c>
      <c r="L741" s="7">
        <v>0</v>
      </c>
      <c r="M741" s="7">
        <v>0</v>
      </c>
      <c r="N741" s="7">
        <v>0</v>
      </c>
      <c r="O741" s="7">
        <v>0</v>
      </c>
      <c r="P741" s="7">
        <v>0</v>
      </c>
      <c r="Q741" s="7">
        <v>0</v>
      </c>
    </row>
    <row r="742" spans="1:17">
      <c r="A742" s="2">
        <v>2690</v>
      </c>
      <c r="B742" s="7">
        <v>0</v>
      </c>
      <c r="C742" s="7">
        <v>0</v>
      </c>
      <c r="D742" s="7">
        <v>0</v>
      </c>
      <c r="E742" s="7">
        <v>0</v>
      </c>
      <c r="F742" s="7">
        <v>0</v>
      </c>
      <c r="G742" s="7">
        <v>0</v>
      </c>
      <c r="H742" s="7">
        <v>0</v>
      </c>
      <c r="I742" s="7">
        <v>0</v>
      </c>
      <c r="J742" s="7">
        <v>0</v>
      </c>
      <c r="K742" s="7">
        <v>0</v>
      </c>
      <c r="L742" s="7">
        <v>0</v>
      </c>
      <c r="M742" s="7">
        <v>0</v>
      </c>
      <c r="N742" s="7">
        <v>0</v>
      </c>
      <c r="O742" s="7">
        <v>0</v>
      </c>
      <c r="P742" s="7">
        <v>0</v>
      </c>
      <c r="Q742" s="7">
        <v>0</v>
      </c>
    </row>
    <row r="743" spans="1:17">
      <c r="A743" s="2">
        <v>2691</v>
      </c>
      <c r="B743" s="7">
        <v>0</v>
      </c>
      <c r="C743" s="7">
        <v>0</v>
      </c>
      <c r="D743" s="7">
        <v>0</v>
      </c>
      <c r="E743" s="7">
        <v>0</v>
      </c>
      <c r="F743" s="7">
        <v>0</v>
      </c>
      <c r="G743" s="7">
        <v>0</v>
      </c>
      <c r="H743" s="7">
        <v>0</v>
      </c>
      <c r="I743" s="7">
        <v>0</v>
      </c>
      <c r="J743" s="7">
        <v>0</v>
      </c>
      <c r="K743" s="7">
        <v>0</v>
      </c>
      <c r="L743" s="7">
        <v>0</v>
      </c>
      <c r="M743" s="7">
        <v>0</v>
      </c>
      <c r="N743" s="7">
        <v>0</v>
      </c>
      <c r="O743" s="7">
        <v>0</v>
      </c>
      <c r="P743" s="7">
        <v>0</v>
      </c>
      <c r="Q743" s="7">
        <v>0</v>
      </c>
    </row>
    <row r="744" spans="1:17">
      <c r="A744" s="2">
        <v>2692</v>
      </c>
      <c r="B744" s="7">
        <v>0</v>
      </c>
      <c r="C744" s="7">
        <v>0</v>
      </c>
      <c r="D744" s="7">
        <v>0</v>
      </c>
      <c r="E744" s="7">
        <v>0</v>
      </c>
      <c r="F744" s="7">
        <v>0</v>
      </c>
      <c r="G744" s="7">
        <v>0</v>
      </c>
      <c r="H744" s="7">
        <v>0</v>
      </c>
      <c r="I744" s="7">
        <v>0</v>
      </c>
      <c r="J744" s="7">
        <v>0</v>
      </c>
      <c r="K744" s="7">
        <v>0</v>
      </c>
      <c r="L744" s="7">
        <v>0</v>
      </c>
      <c r="M744" s="7">
        <v>0</v>
      </c>
      <c r="N744" s="7">
        <v>0</v>
      </c>
      <c r="O744" s="7">
        <v>0</v>
      </c>
      <c r="P744" s="7">
        <v>0</v>
      </c>
      <c r="Q744" s="7">
        <v>0</v>
      </c>
    </row>
    <row r="745" spans="1:17">
      <c r="A745" s="2">
        <v>2693</v>
      </c>
      <c r="B745" s="7">
        <v>0</v>
      </c>
      <c r="C745" s="7">
        <v>0</v>
      </c>
      <c r="D745" s="7">
        <v>0</v>
      </c>
      <c r="E745" s="7">
        <v>0</v>
      </c>
      <c r="F745" s="7">
        <v>0</v>
      </c>
      <c r="G745" s="7">
        <v>0</v>
      </c>
      <c r="H745" s="7">
        <v>0</v>
      </c>
      <c r="I745" s="7">
        <v>0</v>
      </c>
      <c r="J745" s="7">
        <v>0</v>
      </c>
      <c r="K745" s="7">
        <v>0</v>
      </c>
      <c r="L745" s="7">
        <v>0</v>
      </c>
      <c r="M745" s="7">
        <v>0</v>
      </c>
      <c r="N745" s="7">
        <v>0</v>
      </c>
      <c r="O745" s="7">
        <v>0</v>
      </c>
      <c r="P745" s="7">
        <v>0</v>
      </c>
      <c r="Q745" s="7">
        <v>0</v>
      </c>
    </row>
    <row r="746" spans="1:17">
      <c r="A746" s="2">
        <v>2694</v>
      </c>
      <c r="B746" s="7">
        <v>0</v>
      </c>
      <c r="C746" s="7">
        <v>0</v>
      </c>
      <c r="D746" s="7">
        <v>0</v>
      </c>
      <c r="E746" s="7">
        <v>0</v>
      </c>
      <c r="F746" s="7">
        <v>0</v>
      </c>
      <c r="G746" s="7">
        <v>0</v>
      </c>
      <c r="H746" s="7">
        <v>0</v>
      </c>
      <c r="I746" s="7">
        <v>0</v>
      </c>
      <c r="J746" s="7">
        <v>0</v>
      </c>
      <c r="K746" s="7">
        <v>0</v>
      </c>
      <c r="L746" s="7">
        <v>0</v>
      </c>
      <c r="M746" s="7">
        <v>0</v>
      </c>
      <c r="N746" s="7">
        <v>0</v>
      </c>
      <c r="O746" s="7">
        <v>0</v>
      </c>
      <c r="P746" s="7">
        <v>0</v>
      </c>
      <c r="Q746" s="7">
        <v>0</v>
      </c>
    </row>
    <row r="747" spans="1:17">
      <c r="A747" s="2">
        <v>2695</v>
      </c>
      <c r="B747" s="7">
        <v>0</v>
      </c>
      <c r="C747" s="7">
        <v>0</v>
      </c>
      <c r="D747" s="7">
        <v>0</v>
      </c>
      <c r="E747" s="7">
        <v>0</v>
      </c>
      <c r="F747" s="7">
        <v>0</v>
      </c>
      <c r="G747" s="7">
        <v>0</v>
      </c>
      <c r="H747" s="7">
        <v>0</v>
      </c>
      <c r="I747" s="7">
        <v>0</v>
      </c>
      <c r="J747" s="7">
        <v>0</v>
      </c>
      <c r="K747" s="7">
        <v>0</v>
      </c>
      <c r="L747" s="7">
        <v>0</v>
      </c>
      <c r="M747" s="7">
        <v>0</v>
      </c>
      <c r="N747" s="7">
        <v>0</v>
      </c>
      <c r="O747" s="7">
        <v>0</v>
      </c>
      <c r="P747" s="7">
        <v>0</v>
      </c>
      <c r="Q747" s="7">
        <v>0</v>
      </c>
    </row>
    <row r="748" spans="1:17">
      <c r="A748" s="2">
        <v>2696</v>
      </c>
      <c r="B748" s="7">
        <v>0</v>
      </c>
      <c r="C748" s="7">
        <v>0</v>
      </c>
      <c r="D748" s="7">
        <v>0</v>
      </c>
      <c r="E748" s="7">
        <v>0</v>
      </c>
      <c r="F748" s="7">
        <v>0</v>
      </c>
      <c r="G748" s="7">
        <v>0</v>
      </c>
      <c r="H748" s="7">
        <v>0</v>
      </c>
      <c r="I748" s="7">
        <v>0</v>
      </c>
      <c r="J748" s="7">
        <v>0</v>
      </c>
      <c r="K748" s="7">
        <v>0</v>
      </c>
      <c r="L748" s="7">
        <v>0</v>
      </c>
      <c r="M748" s="7">
        <v>0</v>
      </c>
      <c r="N748" s="7">
        <v>0</v>
      </c>
      <c r="O748" s="7">
        <v>0</v>
      </c>
      <c r="P748" s="7">
        <v>0</v>
      </c>
      <c r="Q748" s="7">
        <v>0</v>
      </c>
    </row>
    <row r="749" spans="1:17">
      <c r="A749" s="2">
        <v>2697</v>
      </c>
      <c r="B749" s="7">
        <v>0</v>
      </c>
      <c r="C749" s="7">
        <v>0</v>
      </c>
      <c r="D749" s="7">
        <v>0</v>
      </c>
      <c r="E749" s="7">
        <v>0</v>
      </c>
      <c r="F749" s="7">
        <v>0</v>
      </c>
      <c r="G749" s="7">
        <v>0</v>
      </c>
      <c r="H749" s="7">
        <v>0</v>
      </c>
      <c r="I749" s="7">
        <v>0</v>
      </c>
      <c r="J749" s="7">
        <v>0</v>
      </c>
      <c r="K749" s="7">
        <v>0</v>
      </c>
      <c r="L749" s="7">
        <v>0</v>
      </c>
      <c r="M749" s="7">
        <v>0</v>
      </c>
      <c r="N749" s="7">
        <v>0</v>
      </c>
      <c r="O749" s="7">
        <v>0</v>
      </c>
      <c r="P749" s="7">
        <v>0</v>
      </c>
      <c r="Q749" s="7">
        <v>0</v>
      </c>
    </row>
    <row r="750" spans="1:17">
      <c r="A750" s="2">
        <v>2698</v>
      </c>
      <c r="B750" s="7">
        <v>0</v>
      </c>
      <c r="C750" s="7">
        <v>0</v>
      </c>
      <c r="D750" s="7">
        <v>0</v>
      </c>
      <c r="E750" s="7">
        <v>0</v>
      </c>
      <c r="F750" s="7">
        <v>0</v>
      </c>
      <c r="G750" s="7">
        <v>0</v>
      </c>
      <c r="H750" s="7">
        <v>0</v>
      </c>
      <c r="I750" s="7">
        <v>0</v>
      </c>
      <c r="J750" s="7">
        <v>0</v>
      </c>
      <c r="K750" s="7">
        <v>0</v>
      </c>
      <c r="L750" s="7">
        <v>0</v>
      </c>
      <c r="M750" s="7">
        <v>0</v>
      </c>
      <c r="N750" s="7">
        <v>0</v>
      </c>
      <c r="O750" s="7">
        <v>0</v>
      </c>
      <c r="P750" s="7">
        <v>0</v>
      </c>
      <c r="Q750" s="7">
        <v>0</v>
      </c>
    </row>
    <row r="751" spans="1:17">
      <c r="A751" s="2">
        <v>2699</v>
      </c>
      <c r="B751" s="7">
        <v>0</v>
      </c>
      <c r="C751" s="7">
        <v>0</v>
      </c>
      <c r="D751" s="7">
        <v>0</v>
      </c>
      <c r="E751" s="7">
        <v>0</v>
      </c>
      <c r="F751" s="7">
        <v>0</v>
      </c>
      <c r="G751" s="7">
        <v>0</v>
      </c>
      <c r="H751" s="7">
        <v>0</v>
      </c>
      <c r="I751" s="7">
        <v>0</v>
      </c>
      <c r="J751" s="7">
        <v>0</v>
      </c>
      <c r="K751" s="7">
        <v>0</v>
      </c>
      <c r="L751" s="7">
        <v>0</v>
      </c>
      <c r="M751" s="7">
        <v>0</v>
      </c>
      <c r="N751" s="7">
        <v>0</v>
      </c>
      <c r="O751" s="7">
        <v>0</v>
      </c>
      <c r="P751" s="7">
        <v>0</v>
      </c>
      <c r="Q751" s="7">
        <v>0</v>
      </c>
    </row>
    <row r="752" spans="1:17">
      <c r="A752" s="2">
        <v>2700</v>
      </c>
      <c r="B752" s="7">
        <v>0</v>
      </c>
      <c r="C752" s="7">
        <v>0</v>
      </c>
      <c r="D752" s="7">
        <v>0</v>
      </c>
      <c r="E752" s="7">
        <v>0</v>
      </c>
      <c r="F752" s="7">
        <v>0</v>
      </c>
      <c r="G752" s="7">
        <v>0</v>
      </c>
      <c r="H752" s="7">
        <v>0</v>
      </c>
      <c r="I752" s="7">
        <v>0</v>
      </c>
      <c r="J752" s="7">
        <v>0</v>
      </c>
      <c r="K752" s="7">
        <v>0</v>
      </c>
      <c r="L752" s="7">
        <v>0</v>
      </c>
      <c r="M752" s="7">
        <v>0</v>
      </c>
      <c r="N752" s="7">
        <v>0</v>
      </c>
      <c r="O752" s="7">
        <v>0</v>
      </c>
      <c r="P752" s="7">
        <v>0</v>
      </c>
      <c r="Q752" s="7">
        <v>0</v>
      </c>
    </row>
    <row r="753" spans="1:17">
      <c r="A753" s="2">
        <v>2701</v>
      </c>
      <c r="B753" s="7">
        <v>0</v>
      </c>
      <c r="C753" s="7">
        <v>0</v>
      </c>
      <c r="D753" s="7">
        <v>0</v>
      </c>
      <c r="E753" s="7">
        <v>0</v>
      </c>
      <c r="F753" s="7">
        <v>0</v>
      </c>
      <c r="G753" s="7">
        <v>0</v>
      </c>
      <c r="H753" s="7">
        <v>0</v>
      </c>
      <c r="I753" s="7">
        <v>0</v>
      </c>
      <c r="J753" s="7">
        <v>0</v>
      </c>
      <c r="K753" s="7">
        <v>0</v>
      </c>
      <c r="L753" s="7">
        <v>0</v>
      </c>
      <c r="M753" s="7">
        <v>0</v>
      </c>
      <c r="N753" s="7">
        <v>0</v>
      </c>
      <c r="O753" s="7">
        <v>0</v>
      </c>
      <c r="P753" s="7">
        <v>0</v>
      </c>
      <c r="Q753" s="7">
        <v>0</v>
      </c>
    </row>
    <row r="754" spans="1:17">
      <c r="A754" s="2">
        <v>2702</v>
      </c>
      <c r="B754" s="7">
        <v>0</v>
      </c>
      <c r="C754" s="7">
        <v>0</v>
      </c>
      <c r="D754" s="7">
        <v>0</v>
      </c>
      <c r="E754" s="7">
        <v>0</v>
      </c>
      <c r="F754" s="7">
        <v>0</v>
      </c>
      <c r="G754" s="7">
        <v>0</v>
      </c>
      <c r="H754" s="7">
        <v>0</v>
      </c>
      <c r="I754" s="7">
        <v>0</v>
      </c>
      <c r="J754" s="7">
        <v>0</v>
      </c>
      <c r="K754" s="7">
        <v>0</v>
      </c>
      <c r="L754" s="7">
        <v>0</v>
      </c>
      <c r="M754" s="7">
        <v>0</v>
      </c>
      <c r="N754" s="7">
        <v>0</v>
      </c>
      <c r="O754" s="7">
        <v>0</v>
      </c>
      <c r="P754" s="7">
        <v>0</v>
      </c>
      <c r="Q754" s="7">
        <v>0</v>
      </c>
    </row>
    <row r="755" spans="1:17">
      <c r="A755" s="2">
        <v>2703</v>
      </c>
      <c r="B755" s="7">
        <v>0</v>
      </c>
      <c r="C755" s="7">
        <v>0</v>
      </c>
      <c r="D755" s="7">
        <v>0</v>
      </c>
      <c r="E755" s="7">
        <v>0</v>
      </c>
      <c r="F755" s="7">
        <v>0</v>
      </c>
      <c r="G755" s="7">
        <v>0</v>
      </c>
      <c r="H755" s="7">
        <v>0</v>
      </c>
      <c r="I755" s="7">
        <v>0</v>
      </c>
      <c r="J755" s="7">
        <v>0</v>
      </c>
      <c r="K755" s="7">
        <v>0</v>
      </c>
      <c r="L755" s="7">
        <v>0</v>
      </c>
      <c r="M755" s="7">
        <v>0</v>
      </c>
      <c r="N755" s="7">
        <v>0</v>
      </c>
      <c r="O755" s="7">
        <v>0</v>
      </c>
      <c r="P755" s="7">
        <v>0</v>
      </c>
      <c r="Q755" s="7">
        <v>0</v>
      </c>
    </row>
    <row r="756" spans="1:17">
      <c r="A756" s="2">
        <v>2704</v>
      </c>
      <c r="B756" s="7">
        <v>0</v>
      </c>
      <c r="C756" s="7">
        <v>0</v>
      </c>
      <c r="D756" s="7">
        <v>0</v>
      </c>
      <c r="E756" s="7">
        <v>0</v>
      </c>
      <c r="F756" s="7">
        <v>0</v>
      </c>
      <c r="G756" s="7">
        <v>0</v>
      </c>
      <c r="H756" s="7">
        <v>0</v>
      </c>
      <c r="I756" s="7">
        <v>0</v>
      </c>
      <c r="J756" s="7">
        <v>0</v>
      </c>
      <c r="K756" s="7">
        <v>0</v>
      </c>
      <c r="L756" s="7">
        <v>0</v>
      </c>
      <c r="M756" s="7">
        <v>0</v>
      </c>
      <c r="N756" s="7">
        <v>0</v>
      </c>
      <c r="O756" s="7">
        <v>0</v>
      </c>
      <c r="P756" s="7">
        <v>0</v>
      </c>
      <c r="Q756" s="7">
        <v>0</v>
      </c>
    </row>
    <row r="757" spans="1:17">
      <c r="A757" s="2">
        <v>2705</v>
      </c>
      <c r="B757" s="7">
        <v>0</v>
      </c>
      <c r="C757" s="7">
        <v>0</v>
      </c>
      <c r="D757" s="7">
        <v>0</v>
      </c>
      <c r="E757" s="7">
        <v>0</v>
      </c>
      <c r="F757" s="7">
        <v>0</v>
      </c>
      <c r="G757" s="7">
        <v>0</v>
      </c>
      <c r="H757" s="7">
        <v>0</v>
      </c>
      <c r="I757" s="7">
        <v>0</v>
      </c>
      <c r="J757" s="7">
        <v>0</v>
      </c>
      <c r="K757" s="7">
        <v>0</v>
      </c>
      <c r="L757" s="7">
        <v>0</v>
      </c>
      <c r="M757" s="7">
        <v>0</v>
      </c>
      <c r="N757" s="7">
        <v>0</v>
      </c>
      <c r="O757" s="7">
        <v>0</v>
      </c>
      <c r="P757" s="7">
        <v>0</v>
      </c>
      <c r="Q757" s="7">
        <v>0</v>
      </c>
    </row>
    <row r="758" spans="1:17">
      <c r="A758" s="2">
        <v>2706</v>
      </c>
      <c r="B758" s="7">
        <v>0</v>
      </c>
      <c r="C758" s="7">
        <v>0</v>
      </c>
      <c r="D758" s="7">
        <v>0</v>
      </c>
      <c r="E758" s="7">
        <v>0</v>
      </c>
      <c r="F758" s="7">
        <v>0</v>
      </c>
      <c r="G758" s="7">
        <v>0</v>
      </c>
      <c r="H758" s="7">
        <v>0</v>
      </c>
      <c r="I758" s="7">
        <v>0</v>
      </c>
      <c r="J758" s="7">
        <v>0</v>
      </c>
      <c r="K758" s="7">
        <v>0</v>
      </c>
      <c r="L758" s="7">
        <v>0</v>
      </c>
      <c r="M758" s="7">
        <v>0</v>
      </c>
      <c r="N758" s="7">
        <v>0</v>
      </c>
      <c r="O758" s="7">
        <v>0</v>
      </c>
      <c r="P758" s="7">
        <v>0</v>
      </c>
      <c r="Q758" s="7">
        <v>0</v>
      </c>
    </row>
    <row r="759" spans="1:17">
      <c r="A759" s="2">
        <v>2707</v>
      </c>
      <c r="B759" s="7">
        <v>0</v>
      </c>
      <c r="C759" s="7">
        <v>0</v>
      </c>
      <c r="D759" s="7">
        <v>0</v>
      </c>
      <c r="E759" s="7">
        <v>0</v>
      </c>
      <c r="F759" s="7">
        <v>0</v>
      </c>
      <c r="G759" s="7">
        <v>0</v>
      </c>
      <c r="H759" s="7">
        <v>0</v>
      </c>
      <c r="I759" s="7">
        <v>0</v>
      </c>
      <c r="J759" s="7">
        <v>0</v>
      </c>
      <c r="K759" s="7">
        <v>0</v>
      </c>
      <c r="L759" s="7">
        <v>0</v>
      </c>
      <c r="M759" s="7">
        <v>0</v>
      </c>
      <c r="N759" s="7">
        <v>0</v>
      </c>
      <c r="O759" s="7">
        <v>0</v>
      </c>
      <c r="P759" s="7">
        <v>0</v>
      </c>
      <c r="Q759" s="7">
        <v>0</v>
      </c>
    </row>
    <row r="760" spans="1:17">
      <c r="A760" s="2">
        <v>2708</v>
      </c>
      <c r="B760" s="7">
        <v>0</v>
      </c>
      <c r="C760" s="7">
        <v>0</v>
      </c>
      <c r="D760" s="7">
        <v>0</v>
      </c>
      <c r="E760" s="7">
        <v>0</v>
      </c>
      <c r="F760" s="7">
        <v>0</v>
      </c>
      <c r="G760" s="7">
        <v>0</v>
      </c>
      <c r="H760" s="7">
        <v>0</v>
      </c>
      <c r="I760" s="7">
        <v>0</v>
      </c>
      <c r="J760" s="7">
        <v>0</v>
      </c>
      <c r="K760" s="7">
        <v>0</v>
      </c>
      <c r="L760" s="7">
        <v>0</v>
      </c>
      <c r="M760" s="7">
        <v>0</v>
      </c>
      <c r="N760" s="7">
        <v>0</v>
      </c>
      <c r="O760" s="7">
        <v>0</v>
      </c>
      <c r="P760" s="7">
        <v>0</v>
      </c>
      <c r="Q760" s="7">
        <v>0</v>
      </c>
    </row>
    <row r="761" spans="1:17">
      <c r="A761" s="2">
        <v>2709</v>
      </c>
      <c r="B761" s="7">
        <v>0</v>
      </c>
      <c r="C761" s="7">
        <v>0</v>
      </c>
      <c r="D761" s="7">
        <v>0</v>
      </c>
      <c r="E761" s="7">
        <v>0</v>
      </c>
      <c r="F761" s="7">
        <v>0</v>
      </c>
      <c r="G761" s="7">
        <v>0</v>
      </c>
      <c r="H761" s="7">
        <v>0</v>
      </c>
      <c r="I761" s="7">
        <v>0</v>
      </c>
      <c r="J761" s="7">
        <v>0</v>
      </c>
      <c r="K761" s="7">
        <v>0</v>
      </c>
      <c r="L761" s="7">
        <v>0</v>
      </c>
      <c r="M761" s="7">
        <v>0</v>
      </c>
      <c r="N761" s="7">
        <v>0</v>
      </c>
      <c r="O761" s="7">
        <v>0</v>
      </c>
      <c r="P761" s="7">
        <v>0</v>
      </c>
      <c r="Q761" s="7">
        <v>0</v>
      </c>
    </row>
    <row r="762" spans="1:17">
      <c r="A762" s="2">
        <v>2710</v>
      </c>
      <c r="B762" s="7">
        <v>0</v>
      </c>
      <c r="C762" s="7">
        <v>0</v>
      </c>
      <c r="D762" s="7">
        <v>0</v>
      </c>
      <c r="E762" s="7">
        <v>0</v>
      </c>
      <c r="F762" s="7">
        <v>0</v>
      </c>
      <c r="G762" s="7">
        <v>0</v>
      </c>
      <c r="H762" s="7">
        <v>0</v>
      </c>
      <c r="I762" s="7">
        <v>0</v>
      </c>
      <c r="J762" s="7">
        <v>0</v>
      </c>
      <c r="K762" s="7">
        <v>0</v>
      </c>
      <c r="L762" s="7">
        <v>0</v>
      </c>
      <c r="M762" s="7">
        <v>0</v>
      </c>
      <c r="N762" s="7">
        <v>0</v>
      </c>
      <c r="O762" s="7">
        <v>0</v>
      </c>
      <c r="P762" s="7">
        <v>0</v>
      </c>
      <c r="Q762" s="7">
        <v>0</v>
      </c>
    </row>
    <row r="763" spans="1:17">
      <c r="A763" s="2">
        <v>2711</v>
      </c>
      <c r="B763" s="7">
        <v>0</v>
      </c>
      <c r="C763" s="7">
        <v>0</v>
      </c>
      <c r="D763" s="7">
        <v>0</v>
      </c>
      <c r="E763" s="7">
        <v>0</v>
      </c>
      <c r="F763" s="7">
        <v>0</v>
      </c>
      <c r="G763" s="7">
        <v>0</v>
      </c>
      <c r="H763" s="7">
        <v>0</v>
      </c>
      <c r="I763" s="7">
        <v>0</v>
      </c>
      <c r="J763" s="7">
        <v>0</v>
      </c>
      <c r="K763" s="7">
        <v>0</v>
      </c>
      <c r="L763" s="7">
        <v>0</v>
      </c>
      <c r="M763" s="7">
        <v>0</v>
      </c>
      <c r="N763" s="7">
        <v>0</v>
      </c>
      <c r="O763" s="7">
        <v>0</v>
      </c>
      <c r="P763" s="7">
        <v>0</v>
      </c>
      <c r="Q763" s="7">
        <v>0</v>
      </c>
    </row>
    <row r="764" spans="1:17">
      <c r="A764" s="2">
        <v>2712</v>
      </c>
      <c r="B764" s="7">
        <v>0</v>
      </c>
      <c r="C764" s="7">
        <v>0</v>
      </c>
      <c r="D764" s="7">
        <v>0</v>
      </c>
      <c r="E764" s="7">
        <v>0</v>
      </c>
      <c r="F764" s="7">
        <v>0</v>
      </c>
      <c r="G764" s="7">
        <v>0</v>
      </c>
      <c r="H764" s="7">
        <v>0</v>
      </c>
      <c r="I764" s="7">
        <v>0</v>
      </c>
      <c r="J764" s="7">
        <v>0</v>
      </c>
      <c r="K764" s="7">
        <v>0</v>
      </c>
      <c r="L764" s="7">
        <v>0</v>
      </c>
      <c r="M764" s="7">
        <v>0</v>
      </c>
      <c r="N764" s="7">
        <v>0</v>
      </c>
      <c r="O764" s="7">
        <v>0</v>
      </c>
      <c r="P764" s="7">
        <v>0</v>
      </c>
      <c r="Q764" s="7">
        <v>0</v>
      </c>
    </row>
    <row r="765" spans="1:17">
      <c r="A765" s="2">
        <v>2713</v>
      </c>
      <c r="B765" s="7">
        <v>0</v>
      </c>
      <c r="C765" s="7">
        <v>0</v>
      </c>
      <c r="D765" s="7">
        <v>0</v>
      </c>
      <c r="E765" s="7">
        <v>0</v>
      </c>
      <c r="F765" s="7">
        <v>0</v>
      </c>
      <c r="G765" s="7">
        <v>0</v>
      </c>
      <c r="H765" s="7">
        <v>0</v>
      </c>
      <c r="I765" s="7">
        <v>0</v>
      </c>
      <c r="J765" s="7">
        <v>0</v>
      </c>
      <c r="K765" s="7">
        <v>0</v>
      </c>
      <c r="L765" s="7">
        <v>0</v>
      </c>
      <c r="M765" s="7">
        <v>0</v>
      </c>
      <c r="N765" s="7">
        <v>0</v>
      </c>
      <c r="O765" s="7">
        <v>0</v>
      </c>
      <c r="P765" s="7">
        <v>0</v>
      </c>
      <c r="Q765" s="7">
        <v>0</v>
      </c>
    </row>
    <row r="766" spans="1:17">
      <c r="A766" s="2">
        <v>2714</v>
      </c>
      <c r="B766" s="7">
        <v>0</v>
      </c>
      <c r="C766" s="7">
        <v>0</v>
      </c>
      <c r="D766" s="7">
        <v>0</v>
      </c>
      <c r="E766" s="7">
        <v>0</v>
      </c>
      <c r="F766" s="7">
        <v>0</v>
      </c>
      <c r="G766" s="7">
        <v>0</v>
      </c>
      <c r="H766" s="7">
        <v>0</v>
      </c>
      <c r="I766" s="7">
        <v>0</v>
      </c>
      <c r="J766" s="7">
        <v>0</v>
      </c>
      <c r="K766" s="7">
        <v>0</v>
      </c>
      <c r="L766" s="7">
        <v>0</v>
      </c>
      <c r="M766" s="7">
        <v>0</v>
      </c>
      <c r="N766" s="7">
        <v>0</v>
      </c>
      <c r="O766" s="7">
        <v>0</v>
      </c>
      <c r="P766" s="7">
        <v>0</v>
      </c>
      <c r="Q766" s="7">
        <v>0</v>
      </c>
    </row>
    <row r="767" spans="1:17">
      <c r="A767" s="2">
        <v>2715</v>
      </c>
      <c r="B767" s="7">
        <v>0</v>
      </c>
      <c r="C767" s="7">
        <v>0</v>
      </c>
      <c r="D767" s="7">
        <v>0</v>
      </c>
      <c r="E767" s="7">
        <v>0</v>
      </c>
      <c r="F767" s="7">
        <v>0</v>
      </c>
      <c r="G767" s="7">
        <v>0</v>
      </c>
      <c r="H767" s="7">
        <v>0</v>
      </c>
      <c r="I767" s="7">
        <v>0</v>
      </c>
      <c r="J767" s="7">
        <v>0</v>
      </c>
      <c r="K767" s="7">
        <v>0</v>
      </c>
      <c r="L767" s="7">
        <v>0</v>
      </c>
      <c r="M767" s="7">
        <v>0</v>
      </c>
      <c r="N767" s="7">
        <v>0</v>
      </c>
      <c r="O767" s="7">
        <v>0</v>
      </c>
      <c r="P767" s="7">
        <v>0</v>
      </c>
      <c r="Q767" s="7">
        <v>0</v>
      </c>
    </row>
    <row r="768" spans="1:17">
      <c r="A768" s="2">
        <v>2716</v>
      </c>
      <c r="B768" s="7">
        <v>0</v>
      </c>
      <c r="C768" s="7">
        <v>0</v>
      </c>
      <c r="D768" s="7">
        <v>0</v>
      </c>
      <c r="E768" s="7">
        <v>0</v>
      </c>
      <c r="F768" s="7">
        <v>0</v>
      </c>
      <c r="G768" s="7">
        <v>0</v>
      </c>
      <c r="H768" s="7">
        <v>0</v>
      </c>
      <c r="I768" s="7">
        <v>0</v>
      </c>
      <c r="J768" s="7">
        <v>0</v>
      </c>
      <c r="K768" s="7">
        <v>0</v>
      </c>
      <c r="L768" s="7">
        <v>0</v>
      </c>
      <c r="M768" s="7">
        <v>0</v>
      </c>
      <c r="N768" s="7">
        <v>0</v>
      </c>
      <c r="O768" s="7">
        <v>0</v>
      </c>
      <c r="P768" s="7">
        <v>0</v>
      </c>
      <c r="Q768" s="7">
        <v>0</v>
      </c>
    </row>
    <row r="769" spans="1:17">
      <c r="A769" s="2">
        <v>2717</v>
      </c>
      <c r="B769" s="7">
        <v>0</v>
      </c>
      <c r="C769" s="7">
        <v>0</v>
      </c>
      <c r="D769" s="7">
        <v>0</v>
      </c>
      <c r="E769" s="7">
        <v>0</v>
      </c>
      <c r="F769" s="7">
        <v>0</v>
      </c>
      <c r="G769" s="7">
        <v>0</v>
      </c>
      <c r="H769" s="7">
        <v>0</v>
      </c>
      <c r="I769" s="7">
        <v>0</v>
      </c>
      <c r="J769" s="7">
        <v>0</v>
      </c>
      <c r="K769" s="7">
        <v>0</v>
      </c>
      <c r="L769" s="7">
        <v>0</v>
      </c>
      <c r="M769" s="7">
        <v>0</v>
      </c>
      <c r="N769" s="7">
        <v>0</v>
      </c>
      <c r="O769" s="7">
        <v>0</v>
      </c>
      <c r="P769" s="7">
        <v>0</v>
      </c>
      <c r="Q769" s="7">
        <v>0</v>
      </c>
    </row>
    <row r="770" spans="1:17">
      <c r="A770" s="2">
        <v>2718</v>
      </c>
      <c r="B770" s="7">
        <v>0</v>
      </c>
      <c r="C770" s="7">
        <v>0</v>
      </c>
      <c r="D770" s="7">
        <v>0</v>
      </c>
      <c r="E770" s="7">
        <v>0</v>
      </c>
      <c r="F770" s="7">
        <v>0</v>
      </c>
      <c r="G770" s="7">
        <v>0</v>
      </c>
      <c r="H770" s="7">
        <v>0</v>
      </c>
      <c r="I770" s="7">
        <v>0</v>
      </c>
      <c r="J770" s="7">
        <v>0</v>
      </c>
      <c r="K770" s="7">
        <v>0</v>
      </c>
      <c r="L770" s="7">
        <v>0</v>
      </c>
      <c r="M770" s="7">
        <v>0</v>
      </c>
      <c r="N770" s="7">
        <v>0</v>
      </c>
      <c r="O770" s="7">
        <v>0</v>
      </c>
      <c r="P770" s="7">
        <v>0</v>
      </c>
      <c r="Q770" s="7">
        <v>0</v>
      </c>
    </row>
    <row r="771" spans="1:17">
      <c r="A771" s="2">
        <v>2719</v>
      </c>
      <c r="B771" s="7">
        <v>0</v>
      </c>
      <c r="C771" s="7">
        <v>0</v>
      </c>
      <c r="D771" s="7">
        <v>0</v>
      </c>
      <c r="E771" s="7">
        <v>0</v>
      </c>
      <c r="F771" s="7">
        <v>0</v>
      </c>
      <c r="G771" s="7">
        <v>0</v>
      </c>
      <c r="H771" s="7">
        <v>0</v>
      </c>
      <c r="I771" s="7">
        <v>0</v>
      </c>
      <c r="J771" s="7">
        <v>0</v>
      </c>
      <c r="K771" s="7">
        <v>0</v>
      </c>
      <c r="L771" s="7">
        <v>0</v>
      </c>
      <c r="M771" s="7">
        <v>0</v>
      </c>
      <c r="N771" s="7">
        <v>0</v>
      </c>
      <c r="O771" s="7">
        <v>0</v>
      </c>
      <c r="P771" s="7">
        <v>0</v>
      </c>
      <c r="Q771" s="7">
        <v>0</v>
      </c>
    </row>
    <row r="772" spans="1:17">
      <c r="A772" s="2">
        <v>2720</v>
      </c>
      <c r="B772" s="7">
        <v>0</v>
      </c>
      <c r="C772" s="7">
        <v>0</v>
      </c>
      <c r="D772" s="7">
        <v>0</v>
      </c>
      <c r="E772" s="7">
        <v>0</v>
      </c>
      <c r="F772" s="7">
        <v>0</v>
      </c>
      <c r="G772" s="7">
        <v>0</v>
      </c>
      <c r="H772" s="7">
        <v>0</v>
      </c>
      <c r="I772" s="7">
        <v>0</v>
      </c>
      <c r="J772" s="7">
        <v>0</v>
      </c>
      <c r="K772" s="7">
        <v>0</v>
      </c>
      <c r="L772" s="7">
        <v>0</v>
      </c>
      <c r="M772" s="7">
        <v>0</v>
      </c>
      <c r="N772" s="7">
        <v>0</v>
      </c>
      <c r="O772" s="7">
        <v>0</v>
      </c>
      <c r="P772" s="7">
        <v>0</v>
      </c>
      <c r="Q772" s="7">
        <v>0</v>
      </c>
    </row>
    <row r="773" spans="1:17">
      <c r="A773" s="2">
        <v>2721</v>
      </c>
      <c r="B773" s="7">
        <v>0</v>
      </c>
      <c r="C773" s="7">
        <v>0</v>
      </c>
      <c r="D773" s="7">
        <v>0</v>
      </c>
      <c r="E773" s="7">
        <v>0</v>
      </c>
      <c r="F773" s="7">
        <v>0</v>
      </c>
      <c r="G773" s="7">
        <v>0</v>
      </c>
      <c r="H773" s="7">
        <v>0</v>
      </c>
      <c r="I773" s="7">
        <v>0</v>
      </c>
      <c r="J773" s="7">
        <v>0</v>
      </c>
      <c r="K773" s="7">
        <v>0</v>
      </c>
      <c r="L773" s="7">
        <v>0</v>
      </c>
      <c r="M773" s="7">
        <v>0</v>
      </c>
      <c r="N773" s="7">
        <v>0</v>
      </c>
      <c r="O773" s="7">
        <v>0</v>
      </c>
      <c r="P773" s="7">
        <v>0</v>
      </c>
      <c r="Q773" s="7">
        <v>0</v>
      </c>
    </row>
    <row r="774" spans="1:17">
      <c r="A774" s="2">
        <v>2722</v>
      </c>
      <c r="B774" s="7">
        <v>0</v>
      </c>
      <c r="C774" s="7">
        <v>0</v>
      </c>
      <c r="D774" s="7">
        <v>0</v>
      </c>
      <c r="E774" s="7">
        <v>0</v>
      </c>
      <c r="F774" s="7">
        <v>0</v>
      </c>
      <c r="G774" s="7">
        <v>0</v>
      </c>
      <c r="H774" s="7">
        <v>0</v>
      </c>
      <c r="I774" s="7">
        <v>0</v>
      </c>
      <c r="J774" s="7">
        <v>0</v>
      </c>
      <c r="K774" s="7">
        <v>0</v>
      </c>
      <c r="L774" s="7">
        <v>0</v>
      </c>
      <c r="M774" s="7">
        <v>0</v>
      </c>
      <c r="N774" s="7">
        <v>0</v>
      </c>
      <c r="O774" s="7">
        <v>0</v>
      </c>
      <c r="P774" s="7">
        <v>0</v>
      </c>
      <c r="Q774" s="7">
        <v>0</v>
      </c>
    </row>
    <row r="775" spans="1:17">
      <c r="A775" s="2">
        <v>2723</v>
      </c>
      <c r="B775" s="7">
        <v>0</v>
      </c>
      <c r="C775" s="7">
        <v>0</v>
      </c>
      <c r="D775" s="7">
        <v>0</v>
      </c>
      <c r="E775" s="7">
        <v>0</v>
      </c>
      <c r="F775" s="7">
        <v>0</v>
      </c>
      <c r="G775" s="7">
        <v>0</v>
      </c>
      <c r="H775" s="7">
        <v>0</v>
      </c>
      <c r="I775" s="7">
        <v>0</v>
      </c>
      <c r="J775" s="7">
        <v>0</v>
      </c>
      <c r="K775" s="7">
        <v>0</v>
      </c>
      <c r="L775" s="7">
        <v>0</v>
      </c>
      <c r="M775" s="7">
        <v>0</v>
      </c>
      <c r="N775" s="7">
        <v>0</v>
      </c>
      <c r="O775" s="7">
        <v>0</v>
      </c>
      <c r="P775" s="7">
        <v>0</v>
      </c>
      <c r="Q775" s="7">
        <v>0</v>
      </c>
    </row>
    <row r="776" spans="1:17">
      <c r="A776" s="2">
        <v>2724</v>
      </c>
      <c r="B776" s="7">
        <v>0</v>
      </c>
      <c r="C776" s="7">
        <v>0</v>
      </c>
      <c r="D776" s="7">
        <v>0</v>
      </c>
      <c r="E776" s="7">
        <v>0</v>
      </c>
      <c r="F776" s="7">
        <v>0</v>
      </c>
      <c r="G776" s="7">
        <v>0</v>
      </c>
      <c r="H776" s="7">
        <v>0</v>
      </c>
      <c r="I776" s="7">
        <v>0</v>
      </c>
      <c r="J776" s="7">
        <v>0</v>
      </c>
      <c r="K776" s="7">
        <v>0</v>
      </c>
      <c r="L776" s="7">
        <v>0</v>
      </c>
      <c r="M776" s="7">
        <v>0</v>
      </c>
      <c r="N776" s="7">
        <v>0</v>
      </c>
      <c r="O776" s="7">
        <v>0</v>
      </c>
      <c r="P776" s="7">
        <v>0</v>
      </c>
      <c r="Q776" s="7">
        <v>0</v>
      </c>
    </row>
    <row r="777" spans="1:17">
      <c r="A777" s="2">
        <v>2725</v>
      </c>
      <c r="B777" s="7">
        <v>0</v>
      </c>
      <c r="C777" s="7">
        <v>0</v>
      </c>
      <c r="D777" s="7">
        <v>0</v>
      </c>
      <c r="E777" s="7">
        <v>0</v>
      </c>
      <c r="F777" s="7">
        <v>0</v>
      </c>
      <c r="G777" s="7">
        <v>0</v>
      </c>
      <c r="H777" s="7">
        <v>0</v>
      </c>
      <c r="I777" s="7">
        <v>0</v>
      </c>
      <c r="J777" s="7">
        <v>0</v>
      </c>
      <c r="K777" s="7">
        <v>0</v>
      </c>
      <c r="L777" s="7">
        <v>0</v>
      </c>
      <c r="M777" s="7">
        <v>0</v>
      </c>
      <c r="N777" s="7">
        <v>0</v>
      </c>
      <c r="O777" s="7">
        <v>0</v>
      </c>
      <c r="P777" s="7">
        <v>0</v>
      </c>
      <c r="Q777" s="7">
        <v>0</v>
      </c>
    </row>
    <row r="778" spans="1:17">
      <c r="A778" s="2">
        <v>2726</v>
      </c>
      <c r="B778" s="7">
        <v>0</v>
      </c>
      <c r="C778" s="7">
        <v>0</v>
      </c>
      <c r="D778" s="7">
        <v>0</v>
      </c>
      <c r="E778" s="7">
        <v>0</v>
      </c>
      <c r="F778" s="7">
        <v>0</v>
      </c>
      <c r="G778" s="7">
        <v>0</v>
      </c>
      <c r="H778" s="7">
        <v>0</v>
      </c>
      <c r="I778" s="7">
        <v>0</v>
      </c>
      <c r="J778" s="7">
        <v>0</v>
      </c>
      <c r="K778" s="7">
        <v>0</v>
      </c>
      <c r="L778" s="7">
        <v>0</v>
      </c>
      <c r="M778" s="7">
        <v>0</v>
      </c>
      <c r="N778" s="7">
        <v>0</v>
      </c>
      <c r="O778" s="7">
        <v>0</v>
      </c>
      <c r="P778" s="7">
        <v>0</v>
      </c>
      <c r="Q778" s="7">
        <v>0</v>
      </c>
    </row>
    <row r="779" spans="1:17">
      <c r="A779" s="2">
        <v>2727</v>
      </c>
      <c r="B779" s="7">
        <v>0</v>
      </c>
      <c r="C779" s="7">
        <v>0</v>
      </c>
      <c r="D779" s="7">
        <v>0</v>
      </c>
      <c r="E779" s="7">
        <v>0</v>
      </c>
      <c r="F779" s="7">
        <v>0</v>
      </c>
      <c r="G779" s="7">
        <v>0</v>
      </c>
      <c r="H779" s="7">
        <v>0</v>
      </c>
      <c r="I779" s="7">
        <v>0</v>
      </c>
      <c r="J779" s="7">
        <v>0</v>
      </c>
      <c r="K779" s="7">
        <v>0</v>
      </c>
      <c r="L779" s="7">
        <v>0</v>
      </c>
      <c r="M779" s="7">
        <v>0</v>
      </c>
      <c r="N779" s="7">
        <v>0</v>
      </c>
      <c r="O779" s="7">
        <v>0</v>
      </c>
      <c r="P779" s="7">
        <v>0</v>
      </c>
      <c r="Q779" s="7">
        <v>0</v>
      </c>
    </row>
    <row r="780" spans="1:17">
      <c r="A780" s="2">
        <v>2728</v>
      </c>
      <c r="B780" s="7">
        <v>0</v>
      </c>
      <c r="C780" s="7">
        <v>0</v>
      </c>
      <c r="D780" s="7">
        <v>0</v>
      </c>
      <c r="E780" s="7">
        <v>0</v>
      </c>
      <c r="F780" s="7">
        <v>0</v>
      </c>
      <c r="G780" s="7">
        <v>0</v>
      </c>
      <c r="H780" s="7">
        <v>0</v>
      </c>
      <c r="I780" s="7">
        <v>0</v>
      </c>
      <c r="J780" s="7">
        <v>0</v>
      </c>
      <c r="K780" s="7">
        <v>0</v>
      </c>
      <c r="L780" s="7">
        <v>0</v>
      </c>
      <c r="M780" s="7">
        <v>0</v>
      </c>
      <c r="N780" s="7">
        <v>0</v>
      </c>
      <c r="O780" s="7">
        <v>0</v>
      </c>
      <c r="P780" s="7">
        <v>0</v>
      </c>
      <c r="Q780" s="7">
        <v>0</v>
      </c>
    </row>
    <row r="781" spans="1:17">
      <c r="A781" s="2">
        <v>2729</v>
      </c>
      <c r="B781" s="7">
        <v>0</v>
      </c>
      <c r="C781" s="7">
        <v>0</v>
      </c>
      <c r="D781" s="7">
        <v>0</v>
      </c>
      <c r="E781" s="7">
        <v>0</v>
      </c>
      <c r="F781" s="7">
        <v>0</v>
      </c>
      <c r="G781" s="7">
        <v>0</v>
      </c>
      <c r="H781" s="7">
        <v>0</v>
      </c>
      <c r="I781" s="7">
        <v>0</v>
      </c>
      <c r="J781" s="7">
        <v>0</v>
      </c>
      <c r="K781" s="7">
        <v>0</v>
      </c>
      <c r="L781" s="7">
        <v>0</v>
      </c>
      <c r="M781" s="7">
        <v>0</v>
      </c>
      <c r="N781" s="7">
        <v>0</v>
      </c>
      <c r="O781" s="7">
        <v>0</v>
      </c>
      <c r="P781" s="7">
        <v>0</v>
      </c>
      <c r="Q781" s="7">
        <v>0</v>
      </c>
    </row>
    <row r="782" spans="1:17">
      <c r="A782" s="2">
        <v>2730</v>
      </c>
      <c r="B782" s="7">
        <v>0</v>
      </c>
      <c r="C782" s="7">
        <v>0</v>
      </c>
      <c r="D782" s="7">
        <v>0</v>
      </c>
      <c r="E782" s="7">
        <v>0</v>
      </c>
      <c r="F782" s="7">
        <v>0</v>
      </c>
      <c r="G782" s="7">
        <v>0</v>
      </c>
      <c r="H782" s="7">
        <v>0</v>
      </c>
      <c r="I782" s="7">
        <v>0</v>
      </c>
      <c r="J782" s="7">
        <v>0</v>
      </c>
      <c r="K782" s="7">
        <v>0</v>
      </c>
      <c r="L782" s="7">
        <v>0</v>
      </c>
      <c r="M782" s="7">
        <v>0</v>
      </c>
      <c r="N782" s="7">
        <v>0</v>
      </c>
      <c r="O782" s="7">
        <v>0</v>
      </c>
      <c r="P782" s="7">
        <v>0</v>
      </c>
      <c r="Q782" s="7">
        <v>0</v>
      </c>
    </row>
    <row r="783" spans="1:17">
      <c r="A783" s="2">
        <v>2731</v>
      </c>
      <c r="B783" s="7">
        <v>0</v>
      </c>
      <c r="C783" s="7">
        <v>0</v>
      </c>
      <c r="D783" s="7">
        <v>0</v>
      </c>
      <c r="E783" s="7">
        <v>0</v>
      </c>
      <c r="F783" s="7">
        <v>0</v>
      </c>
      <c r="G783" s="7">
        <v>0</v>
      </c>
      <c r="H783" s="7">
        <v>0</v>
      </c>
      <c r="I783" s="7">
        <v>0</v>
      </c>
      <c r="J783" s="7">
        <v>0</v>
      </c>
      <c r="K783" s="7">
        <v>0</v>
      </c>
      <c r="L783" s="7">
        <v>0</v>
      </c>
      <c r="M783" s="7">
        <v>0</v>
      </c>
      <c r="N783" s="7">
        <v>0</v>
      </c>
      <c r="O783" s="7">
        <v>0</v>
      </c>
      <c r="P783" s="7">
        <v>0</v>
      </c>
      <c r="Q783" s="7">
        <v>0</v>
      </c>
    </row>
    <row r="784" spans="1:17">
      <c r="A784" s="2">
        <v>2732</v>
      </c>
      <c r="B784" s="7">
        <v>0</v>
      </c>
      <c r="C784" s="7">
        <v>0</v>
      </c>
      <c r="D784" s="7">
        <v>0</v>
      </c>
      <c r="E784" s="7">
        <v>0</v>
      </c>
      <c r="F784" s="7">
        <v>0</v>
      </c>
      <c r="G784" s="7">
        <v>0</v>
      </c>
      <c r="H784" s="7">
        <v>0</v>
      </c>
      <c r="I784" s="7">
        <v>0</v>
      </c>
      <c r="J784" s="7">
        <v>0</v>
      </c>
      <c r="K784" s="7">
        <v>0</v>
      </c>
      <c r="L784" s="7">
        <v>0</v>
      </c>
      <c r="M784" s="7">
        <v>0</v>
      </c>
      <c r="N784" s="7">
        <v>0</v>
      </c>
      <c r="O784" s="7">
        <v>0</v>
      </c>
      <c r="P784" s="7">
        <v>0</v>
      </c>
      <c r="Q784" s="7">
        <v>0</v>
      </c>
    </row>
    <row r="785" spans="1:17">
      <c r="A785" s="2">
        <v>2733</v>
      </c>
      <c r="B785" s="7">
        <v>0</v>
      </c>
      <c r="C785" s="7">
        <v>0</v>
      </c>
      <c r="D785" s="7">
        <v>0</v>
      </c>
      <c r="E785" s="7">
        <v>0</v>
      </c>
      <c r="F785" s="7">
        <v>0</v>
      </c>
      <c r="G785" s="7">
        <v>0</v>
      </c>
      <c r="H785" s="7">
        <v>0</v>
      </c>
      <c r="I785" s="7">
        <v>0</v>
      </c>
      <c r="J785" s="7">
        <v>0</v>
      </c>
      <c r="K785" s="7">
        <v>0</v>
      </c>
      <c r="L785" s="7">
        <v>0</v>
      </c>
      <c r="M785" s="7">
        <v>0</v>
      </c>
      <c r="N785" s="7">
        <v>0</v>
      </c>
      <c r="O785" s="7">
        <v>0</v>
      </c>
      <c r="P785" s="7">
        <v>0</v>
      </c>
      <c r="Q785" s="7">
        <v>0</v>
      </c>
    </row>
    <row r="786" spans="1:17">
      <c r="A786" s="2">
        <v>2734</v>
      </c>
      <c r="B786" s="7">
        <v>0</v>
      </c>
      <c r="C786" s="7">
        <v>0</v>
      </c>
      <c r="D786" s="7">
        <v>0</v>
      </c>
      <c r="E786" s="7">
        <v>0</v>
      </c>
      <c r="F786" s="7">
        <v>0</v>
      </c>
      <c r="G786" s="7">
        <v>0</v>
      </c>
      <c r="H786" s="7">
        <v>0</v>
      </c>
      <c r="I786" s="7">
        <v>0</v>
      </c>
      <c r="J786" s="7">
        <v>0</v>
      </c>
      <c r="K786" s="7">
        <v>0</v>
      </c>
      <c r="L786" s="7">
        <v>0</v>
      </c>
      <c r="M786" s="7">
        <v>0</v>
      </c>
      <c r="N786" s="7">
        <v>0</v>
      </c>
      <c r="O786" s="7">
        <v>0</v>
      </c>
      <c r="P786" s="7">
        <v>0</v>
      </c>
      <c r="Q786" s="7">
        <v>0</v>
      </c>
    </row>
    <row r="787" spans="1:17">
      <c r="A787" s="2">
        <v>2735</v>
      </c>
      <c r="B787" s="7">
        <v>0</v>
      </c>
      <c r="C787" s="7">
        <v>0</v>
      </c>
      <c r="D787" s="7">
        <v>0</v>
      </c>
      <c r="E787" s="7">
        <v>0</v>
      </c>
      <c r="F787" s="7">
        <v>0</v>
      </c>
      <c r="G787" s="7">
        <v>0</v>
      </c>
      <c r="H787" s="7">
        <v>0</v>
      </c>
      <c r="I787" s="7">
        <v>0</v>
      </c>
      <c r="J787" s="7">
        <v>0</v>
      </c>
      <c r="K787" s="7">
        <v>0</v>
      </c>
      <c r="L787" s="7">
        <v>0</v>
      </c>
      <c r="M787" s="7">
        <v>0</v>
      </c>
      <c r="N787" s="7">
        <v>0</v>
      </c>
      <c r="O787" s="7">
        <v>0</v>
      </c>
      <c r="P787" s="7">
        <v>0</v>
      </c>
      <c r="Q787" s="7">
        <v>0</v>
      </c>
    </row>
    <row r="788" spans="1:17">
      <c r="A788" s="2">
        <v>2736</v>
      </c>
      <c r="B788" s="7">
        <v>0</v>
      </c>
      <c r="C788" s="7">
        <v>0</v>
      </c>
      <c r="D788" s="7">
        <v>0</v>
      </c>
      <c r="E788" s="7">
        <v>0</v>
      </c>
      <c r="F788" s="7">
        <v>0</v>
      </c>
      <c r="G788" s="7">
        <v>0</v>
      </c>
      <c r="H788" s="7">
        <v>0</v>
      </c>
      <c r="I788" s="7">
        <v>0</v>
      </c>
      <c r="J788" s="7">
        <v>0</v>
      </c>
      <c r="K788" s="7">
        <v>0</v>
      </c>
      <c r="L788" s="7">
        <v>0</v>
      </c>
      <c r="M788" s="7">
        <v>0</v>
      </c>
      <c r="N788" s="7">
        <v>0</v>
      </c>
      <c r="O788" s="7">
        <v>0</v>
      </c>
      <c r="P788" s="7">
        <v>0</v>
      </c>
      <c r="Q788" s="7">
        <v>0</v>
      </c>
    </row>
    <row r="789" spans="1:17">
      <c r="A789" s="2">
        <v>2737</v>
      </c>
      <c r="B789" s="7">
        <v>0</v>
      </c>
      <c r="C789" s="7">
        <v>0</v>
      </c>
      <c r="D789" s="7">
        <v>0</v>
      </c>
      <c r="E789" s="7">
        <v>0</v>
      </c>
      <c r="F789" s="7">
        <v>0</v>
      </c>
      <c r="G789" s="7">
        <v>0</v>
      </c>
      <c r="H789" s="7">
        <v>0</v>
      </c>
      <c r="I789" s="7">
        <v>0</v>
      </c>
      <c r="J789" s="7">
        <v>0</v>
      </c>
      <c r="K789" s="7">
        <v>0</v>
      </c>
      <c r="L789" s="7">
        <v>0</v>
      </c>
      <c r="M789" s="7">
        <v>0</v>
      </c>
      <c r="N789" s="7">
        <v>0</v>
      </c>
      <c r="O789" s="7">
        <v>0</v>
      </c>
      <c r="P789" s="7">
        <v>0</v>
      </c>
      <c r="Q789" s="7">
        <v>0</v>
      </c>
    </row>
    <row r="790" spans="1:17">
      <c r="A790" s="2">
        <v>2738</v>
      </c>
      <c r="B790" s="7">
        <v>0</v>
      </c>
      <c r="C790" s="7">
        <v>0</v>
      </c>
      <c r="D790" s="7">
        <v>0</v>
      </c>
      <c r="E790" s="7">
        <v>0</v>
      </c>
      <c r="F790" s="7">
        <v>0</v>
      </c>
      <c r="G790" s="7">
        <v>0</v>
      </c>
      <c r="H790" s="7">
        <v>0</v>
      </c>
      <c r="I790" s="7">
        <v>0</v>
      </c>
      <c r="J790" s="7">
        <v>0</v>
      </c>
      <c r="K790" s="7">
        <v>0</v>
      </c>
      <c r="L790" s="7">
        <v>0</v>
      </c>
      <c r="M790" s="7">
        <v>0</v>
      </c>
      <c r="N790" s="7">
        <v>0</v>
      </c>
      <c r="O790" s="7">
        <v>0</v>
      </c>
      <c r="P790" s="7">
        <v>0</v>
      </c>
      <c r="Q790" s="7">
        <v>0</v>
      </c>
    </row>
    <row r="791" spans="1:17">
      <c r="A791" s="2">
        <v>2739</v>
      </c>
      <c r="B791" s="7">
        <v>0</v>
      </c>
      <c r="C791" s="7">
        <v>0</v>
      </c>
      <c r="D791" s="7">
        <v>0</v>
      </c>
      <c r="E791" s="7">
        <v>0</v>
      </c>
      <c r="F791" s="7">
        <v>0</v>
      </c>
      <c r="G791" s="7">
        <v>0</v>
      </c>
      <c r="H791" s="7">
        <v>0</v>
      </c>
      <c r="I791" s="7">
        <v>0</v>
      </c>
      <c r="J791" s="7">
        <v>0</v>
      </c>
      <c r="K791" s="7">
        <v>0</v>
      </c>
      <c r="L791" s="7">
        <v>0</v>
      </c>
      <c r="M791" s="7">
        <v>0</v>
      </c>
      <c r="N791" s="7">
        <v>0</v>
      </c>
      <c r="O791" s="7">
        <v>0</v>
      </c>
      <c r="P791" s="7">
        <v>0</v>
      </c>
      <c r="Q791" s="7">
        <v>0</v>
      </c>
    </row>
    <row r="792" spans="1:17">
      <c r="A792" s="2">
        <v>2740</v>
      </c>
      <c r="B792" s="7">
        <v>0</v>
      </c>
      <c r="C792" s="7">
        <v>0</v>
      </c>
      <c r="D792" s="7">
        <v>0</v>
      </c>
      <c r="E792" s="7">
        <v>0</v>
      </c>
      <c r="F792" s="7">
        <v>0</v>
      </c>
      <c r="G792" s="7">
        <v>0</v>
      </c>
      <c r="H792" s="7">
        <v>0</v>
      </c>
      <c r="I792" s="7">
        <v>0</v>
      </c>
      <c r="J792" s="7">
        <v>0</v>
      </c>
      <c r="K792" s="7">
        <v>0</v>
      </c>
      <c r="L792" s="7">
        <v>0</v>
      </c>
      <c r="M792" s="7">
        <v>0</v>
      </c>
      <c r="N792" s="7">
        <v>0</v>
      </c>
      <c r="O792" s="7">
        <v>0</v>
      </c>
      <c r="P792" s="7">
        <v>0</v>
      </c>
      <c r="Q792" s="7">
        <v>0</v>
      </c>
    </row>
    <row r="793" spans="1:17">
      <c r="A793" s="2">
        <v>2741</v>
      </c>
      <c r="B793" s="7">
        <v>0</v>
      </c>
      <c r="C793" s="7">
        <v>0</v>
      </c>
      <c r="D793" s="7">
        <v>0</v>
      </c>
      <c r="E793" s="7">
        <v>0</v>
      </c>
      <c r="F793" s="7">
        <v>0</v>
      </c>
      <c r="G793" s="7">
        <v>0</v>
      </c>
      <c r="H793" s="7">
        <v>0</v>
      </c>
      <c r="I793" s="7">
        <v>0</v>
      </c>
      <c r="J793" s="7">
        <v>0</v>
      </c>
      <c r="K793" s="7">
        <v>0</v>
      </c>
      <c r="L793" s="7">
        <v>0</v>
      </c>
      <c r="M793" s="7">
        <v>0</v>
      </c>
      <c r="N793" s="7">
        <v>0</v>
      </c>
      <c r="O793" s="7">
        <v>0</v>
      </c>
      <c r="P793" s="7">
        <v>0</v>
      </c>
      <c r="Q793" s="7">
        <v>0</v>
      </c>
    </row>
    <row r="794" spans="1:17">
      <c r="A794" s="2">
        <v>2742</v>
      </c>
      <c r="B794" s="7">
        <v>0</v>
      </c>
      <c r="C794" s="7">
        <v>0</v>
      </c>
      <c r="D794" s="7">
        <v>0</v>
      </c>
      <c r="E794" s="7">
        <v>0</v>
      </c>
      <c r="F794" s="7">
        <v>0</v>
      </c>
      <c r="G794" s="7">
        <v>0</v>
      </c>
      <c r="H794" s="7">
        <v>0</v>
      </c>
      <c r="I794" s="7">
        <v>0</v>
      </c>
      <c r="J794" s="7">
        <v>0</v>
      </c>
      <c r="K794" s="7">
        <v>0</v>
      </c>
      <c r="L794" s="7">
        <v>0</v>
      </c>
      <c r="M794" s="7">
        <v>0</v>
      </c>
      <c r="N794" s="7">
        <v>0</v>
      </c>
      <c r="O794" s="7">
        <v>0</v>
      </c>
      <c r="P794" s="7">
        <v>0</v>
      </c>
      <c r="Q794" s="7">
        <v>0</v>
      </c>
    </row>
    <row r="795" spans="1:17">
      <c r="A795" s="2">
        <v>2743</v>
      </c>
      <c r="B795" s="7">
        <v>0</v>
      </c>
      <c r="C795" s="7">
        <v>0</v>
      </c>
      <c r="D795" s="7">
        <v>0</v>
      </c>
      <c r="E795" s="7">
        <v>0</v>
      </c>
      <c r="F795" s="7">
        <v>0</v>
      </c>
      <c r="G795" s="7">
        <v>0</v>
      </c>
      <c r="H795" s="7">
        <v>0</v>
      </c>
      <c r="I795" s="7">
        <v>0</v>
      </c>
      <c r="J795" s="7">
        <v>0</v>
      </c>
      <c r="K795" s="7">
        <v>0</v>
      </c>
      <c r="L795" s="7">
        <v>0</v>
      </c>
      <c r="M795" s="7">
        <v>0</v>
      </c>
      <c r="N795" s="7">
        <v>0</v>
      </c>
      <c r="O795" s="7">
        <v>0</v>
      </c>
      <c r="P795" s="7">
        <v>0</v>
      </c>
      <c r="Q795" s="7">
        <v>0</v>
      </c>
    </row>
    <row r="796" spans="1:17">
      <c r="A796" s="2">
        <v>2744</v>
      </c>
      <c r="B796" s="7">
        <v>0</v>
      </c>
      <c r="C796" s="7">
        <v>0</v>
      </c>
      <c r="D796" s="7">
        <v>0</v>
      </c>
      <c r="E796" s="7">
        <v>0</v>
      </c>
      <c r="F796" s="7">
        <v>0</v>
      </c>
      <c r="G796" s="7">
        <v>0</v>
      </c>
      <c r="H796" s="7">
        <v>0</v>
      </c>
      <c r="I796" s="7">
        <v>0</v>
      </c>
      <c r="J796" s="7">
        <v>0</v>
      </c>
      <c r="K796" s="7">
        <v>0</v>
      </c>
      <c r="L796" s="7">
        <v>0</v>
      </c>
      <c r="M796" s="7">
        <v>0</v>
      </c>
      <c r="N796" s="7">
        <v>0</v>
      </c>
      <c r="O796" s="7">
        <v>0</v>
      </c>
      <c r="P796" s="7">
        <v>0</v>
      </c>
      <c r="Q796" s="7">
        <v>0</v>
      </c>
    </row>
    <row r="797" spans="1:17">
      <c r="A797" s="2">
        <v>2745</v>
      </c>
      <c r="B797" s="7">
        <v>0</v>
      </c>
      <c r="C797" s="7">
        <v>0</v>
      </c>
      <c r="D797" s="7">
        <v>0</v>
      </c>
      <c r="E797" s="7">
        <v>0</v>
      </c>
      <c r="F797" s="7">
        <v>0</v>
      </c>
      <c r="G797" s="7">
        <v>0</v>
      </c>
      <c r="H797" s="7">
        <v>0</v>
      </c>
      <c r="I797" s="7">
        <v>0</v>
      </c>
      <c r="J797" s="7">
        <v>0</v>
      </c>
      <c r="K797" s="7">
        <v>0</v>
      </c>
      <c r="L797" s="7">
        <v>0</v>
      </c>
      <c r="M797" s="7">
        <v>0</v>
      </c>
      <c r="N797" s="7">
        <v>0</v>
      </c>
      <c r="O797" s="7">
        <v>0</v>
      </c>
      <c r="P797" s="7">
        <v>0</v>
      </c>
      <c r="Q797" s="7">
        <v>0</v>
      </c>
    </row>
    <row r="798" spans="1:17">
      <c r="A798" s="2">
        <v>2746</v>
      </c>
      <c r="B798" s="7">
        <v>0</v>
      </c>
      <c r="C798" s="7">
        <v>0</v>
      </c>
      <c r="D798" s="7">
        <v>0</v>
      </c>
      <c r="E798" s="7">
        <v>0</v>
      </c>
      <c r="F798" s="7">
        <v>0</v>
      </c>
      <c r="G798" s="7">
        <v>0</v>
      </c>
      <c r="H798" s="7">
        <v>0</v>
      </c>
      <c r="I798" s="7">
        <v>0</v>
      </c>
      <c r="J798" s="7">
        <v>0</v>
      </c>
      <c r="K798" s="7">
        <v>0</v>
      </c>
      <c r="L798" s="7">
        <v>0</v>
      </c>
      <c r="M798" s="7">
        <v>0</v>
      </c>
      <c r="N798" s="7">
        <v>0</v>
      </c>
      <c r="O798" s="7">
        <v>0</v>
      </c>
      <c r="P798" s="7">
        <v>0</v>
      </c>
      <c r="Q798" s="7">
        <v>0</v>
      </c>
    </row>
    <row r="799" spans="1:17">
      <c r="A799" s="2">
        <v>2747</v>
      </c>
      <c r="B799" s="7">
        <v>0</v>
      </c>
      <c r="C799" s="7">
        <v>0</v>
      </c>
      <c r="D799" s="7">
        <v>0</v>
      </c>
      <c r="E799" s="7">
        <v>0</v>
      </c>
      <c r="F799" s="7">
        <v>0</v>
      </c>
      <c r="G799" s="7">
        <v>0</v>
      </c>
      <c r="H799" s="7">
        <v>0</v>
      </c>
      <c r="I799" s="7">
        <v>0</v>
      </c>
      <c r="J799" s="7">
        <v>0</v>
      </c>
      <c r="K799" s="7">
        <v>0</v>
      </c>
      <c r="L799" s="7">
        <v>0</v>
      </c>
      <c r="M799" s="7">
        <v>0</v>
      </c>
      <c r="N799" s="7">
        <v>0</v>
      </c>
      <c r="O799" s="7">
        <v>0</v>
      </c>
      <c r="P799" s="7">
        <v>0</v>
      </c>
      <c r="Q799" s="7">
        <v>0</v>
      </c>
    </row>
    <row r="800" spans="1:17">
      <c r="A800" s="2">
        <v>2748</v>
      </c>
      <c r="B800" s="7">
        <v>0</v>
      </c>
      <c r="C800" s="7">
        <v>0</v>
      </c>
      <c r="D800" s="7">
        <v>0</v>
      </c>
      <c r="E800" s="7">
        <v>0</v>
      </c>
      <c r="F800" s="7">
        <v>0</v>
      </c>
      <c r="G800" s="7">
        <v>0</v>
      </c>
      <c r="H800" s="7">
        <v>0</v>
      </c>
      <c r="I800" s="7">
        <v>0</v>
      </c>
      <c r="J800" s="7">
        <v>0</v>
      </c>
      <c r="K800" s="7">
        <v>0</v>
      </c>
      <c r="L800" s="7">
        <v>0</v>
      </c>
      <c r="M800" s="7">
        <v>0</v>
      </c>
      <c r="N800" s="7">
        <v>0</v>
      </c>
      <c r="O800" s="7">
        <v>0</v>
      </c>
      <c r="P800" s="7">
        <v>0</v>
      </c>
      <c r="Q800" s="7">
        <v>0</v>
      </c>
    </row>
    <row r="801" spans="1:17">
      <c r="A801" s="2">
        <v>2749</v>
      </c>
      <c r="B801" s="7">
        <v>0</v>
      </c>
      <c r="C801" s="7">
        <v>0</v>
      </c>
      <c r="D801" s="7">
        <v>0</v>
      </c>
      <c r="E801" s="7">
        <v>0</v>
      </c>
      <c r="F801" s="7">
        <v>0</v>
      </c>
      <c r="G801" s="7">
        <v>0</v>
      </c>
      <c r="H801" s="7">
        <v>0</v>
      </c>
      <c r="I801" s="7">
        <v>0</v>
      </c>
      <c r="J801" s="7">
        <v>0</v>
      </c>
      <c r="K801" s="7">
        <v>0</v>
      </c>
      <c r="L801" s="7">
        <v>0</v>
      </c>
      <c r="M801" s="7">
        <v>0</v>
      </c>
      <c r="N801" s="7">
        <v>0</v>
      </c>
      <c r="O801" s="7">
        <v>0</v>
      </c>
      <c r="P801" s="7">
        <v>0</v>
      </c>
      <c r="Q801" s="7">
        <v>0</v>
      </c>
    </row>
    <row r="802" spans="1:17">
      <c r="A802" s="2">
        <v>2750</v>
      </c>
      <c r="B802" s="7">
        <v>0</v>
      </c>
      <c r="C802" s="7">
        <v>0</v>
      </c>
      <c r="D802" s="7">
        <v>0</v>
      </c>
      <c r="E802" s="7">
        <v>0</v>
      </c>
      <c r="F802" s="7">
        <v>0</v>
      </c>
      <c r="G802" s="7">
        <v>0</v>
      </c>
      <c r="H802" s="7">
        <v>0</v>
      </c>
      <c r="I802" s="7">
        <v>0</v>
      </c>
      <c r="J802" s="7">
        <v>0</v>
      </c>
      <c r="K802" s="7">
        <v>0</v>
      </c>
      <c r="L802" s="7">
        <v>0</v>
      </c>
      <c r="M802" s="7">
        <v>0</v>
      </c>
      <c r="N802" s="7">
        <v>0</v>
      </c>
      <c r="O802" s="7">
        <v>0</v>
      </c>
      <c r="P802" s="7">
        <v>0</v>
      </c>
      <c r="Q802" s="7">
        <v>0</v>
      </c>
    </row>
    <row r="803" spans="1:17">
      <c r="A803" s="2">
        <v>2751</v>
      </c>
      <c r="B803" s="7">
        <v>0</v>
      </c>
      <c r="C803" s="7">
        <v>0</v>
      </c>
      <c r="D803" s="7">
        <v>0</v>
      </c>
      <c r="E803" s="7">
        <v>0</v>
      </c>
      <c r="F803" s="7">
        <v>0</v>
      </c>
      <c r="G803" s="7">
        <v>0</v>
      </c>
      <c r="H803" s="7">
        <v>0</v>
      </c>
      <c r="I803" s="7">
        <v>0</v>
      </c>
      <c r="J803" s="7">
        <v>0</v>
      </c>
      <c r="K803" s="7">
        <v>0</v>
      </c>
      <c r="L803" s="7">
        <v>0</v>
      </c>
      <c r="M803" s="7">
        <v>0</v>
      </c>
      <c r="N803" s="7">
        <v>0</v>
      </c>
      <c r="O803" s="7">
        <v>0</v>
      </c>
      <c r="P803" s="7">
        <v>0</v>
      </c>
      <c r="Q803" s="7">
        <v>0</v>
      </c>
    </row>
    <row r="804" spans="1:17">
      <c r="A804" s="2">
        <v>2752</v>
      </c>
      <c r="B804" s="7">
        <v>0</v>
      </c>
      <c r="C804" s="7">
        <v>0</v>
      </c>
      <c r="D804" s="7">
        <v>0</v>
      </c>
      <c r="E804" s="7">
        <v>0</v>
      </c>
      <c r="F804" s="7">
        <v>0</v>
      </c>
      <c r="G804" s="7">
        <v>0</v>
      </c>
      <c r="H804" s="7">
        <v>0</v>
      </c>
      <c r="I804" s="7">
        <v>0</v>
      </c>
      <c r="J804" s="7">
        <v>0</v>
      </c>
      <c r="K804" s="7">
        <v>0</v>
      </c>
      <c r="L804" s="7">
        <v>0</v>
      </c>
      <c r="M804" s="7">
        <v>0</v>
      </c>
      <c r="N804" s="7">
        <v>0</v>
      </c>
      <c r="O804" s="7">
        <v>0</v>
      </c>
      <c r="P804" s="7">
        <v>0</v>
      </c>
      <c r="Q804" s="7">
        <v>0</v>
      </c>
    </row>
    <row r="805" spans="1:17">
      <c r="A805" s="2">
        <v>2753</v>
      </c>
      <c r="B805" s="7">
        <v>0</v>
      </c>
      <c r="C805" s="7">
        <v>0</v>
      </c>
      <c r="D805" s="7">
        <v>0</v>
      </c>
      <c r="E805" s="7">
        <v>0</v>
      </c>
      <c r="F805" s="7">
        <v>0</v>
      </c>
      <c r="G805" s="7">
        <v>0</v>
      </c>
      <c r="H805" s="7">
        <v>0</v>
      </c>
      <c r="I805" s="7">
        <v>0</v>
      </c>
      <c r="J805" s="7">
        <v>0</v>
      </c>
      <c r="K805" s="7">
        <v>0</v>
      </c>
      <c r="L805" s="7">
        <v>0</v>
      </c>
      <c r="M805" s="7">
        <v>0</v>
      </c>
      <c r="N805" s="7">
        <v>0</v>
      </c>
      <c r="O805" s="7">
        <v>0</v>
      </c>
      <c r="P805" s="7">
        <v>0</v>
      </c>
      <c r="Q805" s="7">
        <v>0</v>
      </c>
    </row>
    <row r="806" spans="1:17">
      <c r="A806" s="2">
        <v>2754</v>
      </c>
      <c r="B806" s="7">
        <v>0</v>
      </c>
      <c r="C806" s="7">
        <v>0</v>
      </c>
      <c r="D806" s="7">
        <v>0</v>
      </c>
      <c r="E806" s="7">
        <v>0</v>
      </c>
      <c r="F806" s="7">
        <v>0</v>
      </c>
      <c r="G806" s="7">
        <v>0</v>
      </c>
      <c r="H806" s="7">
        <v>0</v>
      </c>
      <c r="I806" s="7">
        <v>0</v>
      </c>
      <c r="J806" s="7">
        <v>0</v>
      </c>
      <c r="K806" s="7">
        <v>0</v>
      </c>
      <c r="L806" s="7">
        <v>0</v>
      </c>
      <c r="M806" s="7">
        <v>0</v>
      </c>
      <c r="N806" s="7">
        <v>0</v>
      </c>
      <c r="O806" s="7">
        <v>0</v>
      </c>
      <c r="P806" s="7">
        <v>0</v>
      </c>
      <c r="Q806" s="7">
        <v>0</v>
      </c>
    </row>
    <row r="807" spans="1:17">
      <c r="A807" s="2">
        <v>2755</v>
      </c>
      <c r="B807" s="7">
        <v>0</v>
      </c>
      <c r="C807" s="7">
        <v>0</v>
      </c>
      <c r="D807" s="7">
        <v>0</v>
      </c>
      <c r="E807" s="7">
        <v>0</v>
      </c>
      <c r="F807" s="7">
        <v>0</v>
      </c>
      <c r="G807" s="7">
        <v>0</v>
      </c>
      <c r="H807" s="7">
        <v>0</v>
      </c>
      <c r="I807" s="7">
        <v>0</v>
      </c>
      <c r="J807" s="7">
        <v>0</v>
      </c>
      <c r="K807" s="7">
        <v>0</v>
      </c>
      <c r="L807" s="7">
        <v>0</v>
      </c>
      <c r="M807" s="7">
        <v>0</v>
      </c>
      <c r="N807" s="7">
        <v>0</v>
      </c>
      <c r="O807" s="7">
        <v>0</v>
      </c>
      <c r="P807" s="7">
        <v>0</v>
      </c>
      <c r="Q807" s="7">
        <v>0</v>
      </c>
    </row>
    <row r="808" spans="1:17">
      <c r="A808" s="2">
        <v>2756</v>
      </c>
      <c r="B808" s="7">
        <v>0</v>
      </c>
      <c r="C808" s="7">
        <v>0</v>
      </c>
      <c r="D808" s="7">
        <v>0</v>
      </c>
      <c r="E808" s="7">
        <v>0</v>
      </c>
      <c r="F808" s="7">
        <v>0</v>
      </c>
      <c r="G808" s="7">
        <v>0</v>
      </c>
      <c r="H808" s="7">
        <v>0</v>
      </c>
      <c r="I808" s="7">
        <v>0</v>
      </c>
      <c r="J808" s="7">
        <v>0</v>
      </c>
      <c r="K808" s="7">
        <v>0</v>
      </c>
      <c r="L808" s="7">
        <v>0</v>
      </c>
      <c r="M808" s="7">
        <v>0</v>
      </c>
      <c r="N808" s="7">
        <v>0</v>
      </c>
      <c r="O808" s="7">
        <v>0</v>
      </c>
      <c r="P808" s="7">
        <v>0</v>
      </c>
      <c r="Q808" s="7">
        <v>0</v>
      </c>
    </row>
    <row r="809" spans="1:17">
      <c r="A809" s="2">
        <v>2757</v>
      </c>
      <c r="B809" s="7">
        <v>0</v>
      </c>
      <c r="C809" s="7">
        <v>0</v>
      </c>
      <c r="D809" s="7">
        <v>0</v>
      </c>
      <c r="E809" s="7">
        <v>0</v>
      </c>
      <c r="F809" s="7">
        <v>0</v>
      </c>
      <c r="G809" s="7">
        <v>0</v>
      </c>
      <c r="H809" s="7">
        <v>0</v>
      </c>
      <c r="I809" s="7">
        <v>0</v>
      </c>
      <c r="J809" s="7">
        <v>0</v>
      </c>
      <c r="K809" s="7">
        <v>0</v>
      </c>
      <c r="L809" s="7">
        <v>0</v>
      </c>
      <c r="M809" s="7">
        <v>0</v>
      </c>
      <c r="N809" s="7">
        <v>0</v>
      </c>
      <c r="O809" s="7">
        <v>0</v>
      </c>
      <c r="P809" s="7">
        <v>0</v>
      </c>
      <c r="Q809" s="7">
        <v>0</v>
      </c>
    </row>
    <row r="810" spans="1:17">
      <c r="A810" s="2">
        <v>2758</v>
      </c>
      <c r="B810" s="7">
        <v>0</v>
      </c>
      <c r="C810" s="7">
        <v>0</v>
      </c>
      <c r="D810" s="7">
        <v>0</v>
      </c>
      <c r="E810" s="7">
        <v>0</v>
      </c>
      <c r="F810" s="7">
        <v>0</v>
      </c>
      <c r="G810" s="7">
        <v>0</v>
      </c>
      <c r="H810" s="7">
        <v>0</v>
      </c>
      <c r="I810" s="7">
        <v>0</v>
      </c>
      <c r="J810" s="7">
        <v>0</v>
      </c>
      <c r="K810" s="7">
        <v>0</v>
      </c>
      <c r="L810" s="7">
        <v>0</v>
      </c>
      <c r="M810" s="7">
        <v>0</v>
      </c>
      <c r="N810" s="7">
        <v>0</v>
      </c>
      <c r="O810" s="7">
        <v>0</v>
      </c>
      <c r="P810" s="7">
        <v>0</v>
      </c>
      <c r="Q810" s="7">
        <v>0</v>
      </c>
    </row>
    <row r="811" spans="1:17">
      <c r="A811" s="2">
        <v>2759</v>
      </c>
      <c r="B811" s="7">
        <v>0</v>
      </c>
      <c r="C811" s="7">
        <v>0</v>
      </c>
      <c r="D811" s="7">
        <v>0</v>
      </c>
      <c r="E811" s="7">
        <v>0</v>
      </c>
      <c r="F811" s="7">
        <v>0</v>
      </c>
      <c r="G811" s="7">
        <v>0</v>
      </c>
      <c r="H811" s="7">
        <v>0</v>
      </c>
      <c r="I811" s="7">
        <v>0</v>
      </c>
      <c r="J811" s="7">
        <v>0</v>
      </c>
      <c r="K811" s="7">
        <v>0</v>
      </c>
      <c r="L811" s="7">
        <v>0</v>
      </c>
      <c r="M811" s="7">
        <v>0</v>
      </c>
      <c r="N811" s="7">
        <v>0</v>
      </c>
      <c r="O811" s="7">
        <v>0</v>
      </c>
      <c r="P811" s="7">
        <v>0</v>
      </c>
      <c r="Q811" s="7">
        <v>0</v>
      </c>
    </row>
    <row r="812" spans="1:17">
      <c r="A812" s="2">
        <v>2760</v>
      </c>
      <c r="B812" s="7">
        <v>0</v>
      </c>
      <c r="C812" s="7">
        <v>0</v>
      </c>
      <c r="D812" s="7">
        <v>0</v>
      </c>
      <c r="E812" s="7">
        <v>0</v>
      </c>
      <c r="F812" s="7">
        <v>0</v>
      </c>
      <c r="G812" s="7">
        <v>0</v>
      </c>
      <c r="H812" s="7">
        <v>0</v>
      </c>
      <c r="I812" s="7">
        <v>0</v>
      </c>
      <c r="J812" s="7">
        <v>0</v>
      </c>
      <c r="K812" s="7">
        <v>0</v>
      </c>
      <c r="L812" s="7">
        <v>0</v>
      </c>
      <c r="M812" s="7">
        <v>0</v>
      </c>
      <c r="N812" s="7">
        <v>0</v>
      </c>
      <c r="O812" s="7">
        <v>0</v>
      </c>
      <c r="P812" s="7">
        <v>0</v>
      </c>
      <c r="Q812" s="7">
        <v>0</v>
      </c>
    </row>
    <row r="813" spans="1:17">
      <c r="A813" s="2">
        <v>2761</v>
      </c>
      <c r="B813" s="7">
        <v>0</v>
      </c>
      <c r="C813" s="7">
        <v>0</v>
      </c>
      <c r="D813" s="7">
        <v>0</v>
      </c>
      <c r="E813" s="7">
        <v>0</v>
      </c>
      <c r="F813" s="7">
        <v>0</v>
      </c>
      <c r="G813" s="7">
        <v>0</v>
      </c>
      <c r="H813" s="7">
        <v>0</v>
      </c>
      <c r="I813" s="7">
        <v>0</v>
      </c>
      <c r="J813" s="7">
        <v>0</v>
      </c>
      <c r="K813" s="7">
        <v>0</v>
      </c>
      <c r="L813" s="7">
        <v>0</v>
      </c>
      <c r="M813" s="7">
        <v>0</v>
      </c>
      <c r="N813" s="7">
        <v>0</v>
      </c>
      <c r="O813" s="7">
        <v>0</v>
      </c>
      <c r="P813" s="7">
        <v>0</v>
      </c>
      <c r="Q813" s="7">
        <v>0</v>
      </c>
    </row>
    <row r="814" spans="1:17">
      <c r="A814" s="2">
        <v>2762</v>
      </c>
      <c r="B814" s="7">
        <v>0</v>
      </c>
      <c r="C814" s="7">
        <v>0</v>
      </c>
      <c r="D814" s="7">
        <v>0</v>
      </c>
      <c r="E814" s="7">
        <v>0</v>
      </c>
      <c r="F814" s="7">
        <v>0</v>
      </c>
      <c r="G814" s="7">
        <v>0</v>
      </c>
      <c r="H814" s="7">
        <v>0</v>
      </c>
      <c r="I814" s="7">
        <v>0</v>
      </c>
      <c r="J814" s="7">
        <v>0</v>
      </c>
      <c r="K814" s="7">
        <v>0</v>
      </c>
      <c r="L814" s="7">
        <v>0</v>
      </c>
      <c r="M814" s="7">
        <v>0</v>
      </c>
      <c r="N814" s="7">
        <v>0</v>
      </c>
      <c r="O814" s="7">
        <v>0</v>
      </c>
      <c r="P814" s="7">
        <v>0</v>
      </c>
      <c r="Q814" s="7">
        <v>0</v>
      </c>
    </row>
    <row r="815" spans="1:17">
      <c r="A815" s="2">
        <v>2763</v>
      </c>
      <c r="B815" s="7">
        <v>0</v>
      </c>
      <c r="C815" s="7">
        <v>0</v>
      </c>
      <c r="D815" s="7">
        <v>0</v>
      </c>
      <c r="E815" s="7">
        <v>0</v>
      </c>
      <c r="F815" s="7">
        <v>0</v>
      </c>
      <c r="G815" s="7">
        <v>0</v>
      </c>
      <c r="H815" s="7">
        <v>0</v>
      </c>
      <c r="I815" s="7">
        <v>0</v>
      </c>
      <c r="J815" s="7">
        <v>0</v>
      </c>
      <c r="K815" s="7">
        <v>0</v>
      </c>
      <c r="L815" s="7">
        <v>0</v>
      </c>
      <c r="M815" s="7">
        <v>0</v>
      </c>
      <c r="N815" s="7">
        <v>0</v>
      </c>
      <c r="O815" s="7">
        <v>0</v>
      </c>
      <c r="P815" s="7">
        <v>0</v>
      </c>
      <c r="Q815" s="7">
        <v>0</v>
      </c>
    </row>
    <row r="816" spans="1:17">
      <c r="A816" s="2">
        <v>2764</v>
      </c>
      <c r="B816" s="7">
        <v>0</v>
      </c>
      <c r="C816" s="7">
        <v>0</v>
      </c>
      <c r="D816" s="7">
        <v>0</v>
      </c>
      <c r="E816" s="7">
        <v>0</v>
      </c>
      <c r="F816" s="7">
        <v>0</v>
      </c>
      <c r="G816" s="7">
        <v>0</v>
      </c>
      <c r="H816" s="7">
        <v>0</v>
      </c>
      <c r="I816" s="7">
        <v>0</v>
      </c>
      <c r="J816" s="7">
        <v>0</v>
      </c>
      <c r="K816" s="7">
        <v>0</v>
      </c>
      <c r="L816" s="7">
        <v>0</v>
      </c>
      <c r="M816" s="7">
        <v>0</v>
      </c>
      <c r="N816" s="7">
        <v>0</v>
      </c>
      <c r="O816" s="7">
        <v>0</v>
      </c>
      <c r="P816" s="7">
        <v>0</v>
      </c>
      <c r="Q816" s="7">
        <v>0</v>
      </c>
    </row>
    <row r="817" spans="1:17">
      <c r="A817" s="2">
        <v>2765</v>
      </c>
      <c r="B817" s="7">
        <v>0</v>
      </c>
      <c r="C817" s="7">
        <v>0</v>
      </c>
      <c r="D817" s="7">
        <v>0</v>
      </c>
      <c r="E817" s="7">
        <v>0</v>
      </c>
      <c r="F817" s="7">
        <v>0</v>
      </c>
      <c r="G817" s="7">
        <v>0</v>
      </c>
      <c r="H817" s="7">
        <v>0</v>
      </c>
      <c r="I817" s="7">
        <v>0</v>
      </c>
      <c r="J817" s="7">
        <v>0</v>
      </c>
      <c r="K817" s="7">
        <v>0</v>
      </c>
      <c r="L817" s="7">
        <v>0</v>
      </c>
      <c r="M817" s="7">
        <v>0</v>
      </c>
      <c r="N817" s="7">
        <v>0</v>
      </c>
      <c r="O817" s="7">
        <v>0</v>
      </c>
      <c r="P817" s="7">
        <v>0</v>
      </c>
      <c r="Q817" s="7">
        <v>0</v>
      </c>
    </row>
    <row r="818" spans="1:17">
      <c r="A818" s="2">
        <v>2766</v>
      </c>
      <c r="B818" s="7">
        <v>0</v>
      </c>
      <c r="C818" s="7">
        <v>0</v>
      </c>
      <c r="D818" s="7">
        <v>0</v>
      </c>
      <c r="E818" s="7">
        <v>0</v>
      </c>
      <c r="F818" s="7">
        <v>0</v>
      </c>
      <c r="G818" s="7">
        <v>0</v>
      </c>
      <c r="H818" s="7">
        <v>0</v>
      </c>
      <c r="I818" s="7">
        <v>0</v>
      </c>
      <c r="J818" s="7">
        <v>0</v>
      </c>
      <c r="K818" s="7">
        <v>0</v>
      </c>
      <c r="L818" s="7">
        <v>0</v>
      </c>
      <c r="M818" s="7">
        <v>0</v>
      </c>
      <c r="N818" s="7">
        <v>0</v>
      </c>
      <c r="O818" s="7">
        <v>0</v>
      </c>
      <c r="P818" s="7">
        <v>0</v>
      </c>
      <c r="Q818" s="7">
        <v>0</v>
      </c>
    </row>
    <row r="819" spans="1:17">
      <c r="A819" s="2">
        <v>2767</v>
      </c>
      <c r="B819" s="7">
        <v>0</v>
      </c>
      <c r="C819" s="7">
        <v>0</v>
      </c>
      <c r="D819" s="7">
        <v>0</v>
      </c>
      <c r="E819" s="7">
        <v>0</v>
      </c>
      <c r="F819" s="7">
        <v>0</v>
      </c>
      <c r="G819" s="7">
        <v>0</v>
      </c>
      <c r="H819" s="7">
        <v>0</v>
      </c>
      <c r="I819" s="7">
        <v>0</v>
      </c>
      <c r="J819" s="7">
        <v>0</v>
      </c>
      <c r="K819" s="7">
        <v>0</v>
      </c>
      <c r="L819" s="7">
        <v>0</v>
      </c>
      <c r="M819" s="7">
        <v>0</v>
      </c>
      <c r="N819" s="7">
        <v>0</v>
      </c>
      <c r="O819" s="7">
        <v>0</v>
      </c>
      <c r="P819" s="7">
        <v>0</v>
      </c>
      <c r="Q819" s="7">
        <v>0</v>
      </c>
    </row>
    <row r="820" spans="1:17">
      <c r="A820" s="2">
        <v>2768</v>
      </c>
      <c r="B820" s="7">
        <v>0</v>
      </c>
      <c r="C820" s="7">
        <v>0</v>
      </c>
      <c r="D820" s="7">
        <v>0</v>
      </c>
      <c r="E820" s="7">
        <v>0</v>
      </c>
      <c r="F820" s="7">
        <v>0</v>
      </c>
      <c r="G820" s="7">
        <v>0</v>
      </c>
      <c r="H820" s="7">
        <v>0</v>
      </c>
      <c r="I820" s="7">
        <v>0</v>
      </c>
      <c r="J820" s="7">
        <v>0</v>
      </c>
      <c r="K820" s="7">
        <v>0</v>
      </c>
      <c r="L820" s="7">
        <v>0</v>
      </c>
      <c r="M820" s="7">
        <v>0</v>
      </c>
      <c r="N820" s="7">
        <v>0</v>
      </c>
      <c r="O820" s="7">
        <v>0</v>
      </c>
      <c r="P820" s="7">
        <v>0</v>
      </c>
      <c r="Q820" s="7">
        <v>0</v>
      </c>
    </row>
    <row r="821" spans="1:17">
      <c r="A821" s="2">
        <v>2769</v>
      </c>
      <c r="B821" s="7">
        <v>0</v>
      </c>
      <c r="C821" s="7">
        <v>0</v>
      </c>
      <c r="D821" s="7">
        <v>0</v>
      </c>
      <c r="E821" s="7">
        <v>0</v>
      </c>
      <c r="F821" s="7">
        <v>0</v>
      </c>
      <c r="G821" s="7">
        <v>0</v>
      </c>
      <c r="H821" s="7">
        <v>0</v>
      </c>
      <c r="I821" s="7">
        <v>0</v>
      </c>
      <c r="J821" s="7">
        <v>0</v>
      </c>
      <c r="K821" s="7">
        <v>0</v>
      </c>
      <c r="L821" s="7">
        <v>0</v>
      </c>
      <c r="M821" s="7">
        <v>0</v>
      </c>
      <c r="N821" s="7">
        <v>0</v>
      </c>
      <c r="O821" s="7">
        <v>0</v>
      </c>
      <c r="P821" s="7">
        <v>0</v>
      </c>
      <c r="Q821" s="7">
        <v>0</v>
      </c>
    </row>
    <row r="822" spans="1:17">
      <c r="A822" s="2">
        <v>2770</v>
      </c>
      <c r="B822" s="7">
        <v>0</v>
      </c>
      <c r="C822" s="7">
        <v>0</v>
      </c>
      <c r="D822" s="7">
        <v>0</v>
      </c>
      <c r="E822" s="7">
        <v>0</v>
      </c>
      <c r="F822" s="7">
        <v>0</v>
      </c>
      <c r="G822" s="7">
        <v>0</v>
      </c>
      <c r="H822" s="7">
        <v>0</v>
      </c>
      <c r="I822" s="7">
        <v>0</v>
      </c>
      <c r="J822" s="7">
        <v>0</v>
      </c>
      <c r="K822" s="7">
        <v>0</v>
      </c>
      <c r="L822" s="7">
        <v>0</v>
      </c>
      <c r="M822" s="7">
        <v>0</v>
      </c>
      <c r="N822" s="7">
        <v>0</v>
      </c>
      <c r="O822" s="7">
        <v>0</v>
      </c>
      <c r="P822" s="7">
        <v>0</v>
      </c>
      <c r="Q822" s="7">
        <v>0</v>
      </c>
    </row>
    <row r="823" spans="1:17">
      <c r="A823" s="2">
        <v>2771</v>
      </c>
      <c r="B823" s="7">
        <v>0</v>
      </c>
      <c r="C823" s="7">
        <v>0</v>
      </c>
      <c r="D823" s="7">
        <v>0</v>
      </c>
      <c r="E823" s="7">
        <v>0</v>
      </c>
      <c r="F823" s="7">
        <v>0</v>
      </c>
      <c r="G823" s="7">
        <v>0</v>
      </c>
      <c r="H823" s="7">
        <v>0</v>
      </c>
      <c r="I823" s="7">
        <v>0</v>
      </c>
      <c r="J823" s="7">
        <v>0</v>
      </c>
      <c r="K823" s="7">
        <v>0</v>
      </c>
      <c r="L823" s="7">
        <v>0</v>
      </c>
      <c r="M823" s="7">
        <v>0</v>
      </c>
      <c r="N823" s="7">
        <v>0</v>
      </c>
      <c r="O823" s="7">
        <v>0</v>
      </c>
      <c r="P823" s="7">
        <v>0</v>
      </c>
      <c r="Q823" s="7">
        <v>0</v>
      </c>
    </row>
    <row r="824" spans="1:17">
      <c r="A824" s="2">
        <v>2772</v>
      </c>
      <c r="B824" s="7">
        <v>0</v>
      </c>
      <c r="C824" s="7">
        <v>0</v>
      </c>
      <c r="D824" s="7">
        <v>0</v>
      </c>
      <c r="E824" s="7">
        <v>0</v>
      </c>
      <c r="F824" s="7">
        <v>0</v>
      </c>
      <c r="G824" s="7">
        <v>0</v>
      </c>
      <c r="H824" s="7">
        <v>0</v>
      </c>
      <c r="I824" s="7">
        <v>0</v>
      </c>
      <c r="J824" s="7">
        <v>0</v>
      </c>
      <c r="K824" s="7">
        <v>0</v>
      </c>
      <c r="L824" s="7">
        <v>0</v>
      </c>
      <c r="M824" s="7">
        <v>0</v>
      </c>
      <c r="N824" s="7">
        <v>0</v>
      </c>
      <c r="O824" s="7">
        <v>0</v>
      </c>
      <c r="P824" s="7">
        <v>0</v>
      </c>
      <c r="Q824" s="7">
        <v>0</v>
      </c>
    </row>
    <row r="825" spans="1:17">
      <c r="A825" s="2">
        <v>2773</v>
      </c>
      <c r="B825" s="7">
        <v>0</v>
      </c>
      <c r="C825" s="7">
        <v>0</v>
      </c>
      <c r="D825" s="7">
        <v>0</v>
      </c>
      <c r="E825" s="7">
        <v>0</v>
      </c>
      <c r="F825" s="7">
        <v>0</v>
      </c>
      <c r="G825" s="7">
        <v>0</v>
      </c>
      <c r="H825" s="7">
        <v>0</v>
      </c>
      <c r="I825" s="7">
        <v>0</v>
      </c>
      <c r="J825" s="7">
        <v>0</v>
      </c>
      <c r="K825" s="7">
        <v>0</v>
      </c>
      <c r="L825" s="7">
        <v>0</v>
      </c>
      <c r="M825" s="7">
        <v>0</v>
      </c>
      <c r="N825" s="7">
        <v>0</v>
      </c>
      <c r="O825" s="7">
        <v>0</v>
      </c>
      <c r="P825" s="7">
        <v>0</v>
      </c>
      <c r="Q825" s="7">
        <v>0</v>
      </c>
    </row>
    <row r="826" spans="1:17">
      <c r="A826" s="2">
        <v>2774</v>
      </c>
      <c r="B826" s="7">
        <v>0</v>
      </c>
      <c r="C826" s="7">
        <v>0</v>
      </c>
      <c r="D826" s="7">
        <v>0</v>
      </c>
      <c r="E826" s="7">
        <v>0</v>
      </c>
      <c r="F826" s="7">
        <v>0</v>
      </c>
      <c r="G826" s="7">
        <v>0</v>
      </c>
      <c r="H826" s="7">
        <v>0</v>
      </c>
      <c r="I826" s="7">
        <v>0</v>
      </c>
      <c r="J826" s="7">
        <v>0</v>
      </c>
      <c r="K826" s="7">
        <v>0</v>
      </c>
      <c r="L826" s="7">
        <v>0</v>
      </c>
      <c r="M826" s="7">
        <v>0</v>
      </c>
      <c r="N826" s="7">
        <v>0</v>
      </c>
      <c r="O826" s="7">
        <v>0</v>
      </c>
      <c r="P826" s="7">
        <v>0</v>
      </c>
      <c r="Q826" s="7">
        <v>0</v>
      </c>
    </row>
    <row r="827" spans="1:17">
      <c r="A827" s="2">
        <v>2775</v>
      </c>
      <c r="B827" s="7">
        <v>0</v>
      </c>
      <c r="C827" s="7">
        <v>0</v>
      </c>
      <c r="D827" s="7">
        <v>0</v>
      </c>
      <c r="E827" s="7">
        <v>0</v>
      </c>
      <c r="F827" s="7">
        <v>0</v>
      </c>
      <c r="G827" s="7">
        <v>0</v>
      </c>
      <c r="H827" s="7">
        <v>0</v>
      </c>
      <c r="I827" s="7">
        <v>0</v>
      </c>
      <c r="J827" s="7">
        <v>0</v>
      </c>
      <c r="K827" s="7">
        <v>0</v>
      </c>
      <c r="L827" s="7">
        <v>0</v>
      </c>
      <c r="M827" s="7">
        <v>0</v>
      </c>
      <c r="N827" s="7">
        <v>0</v>
      </c>
      <c r="O827" s="7">
        <v>0</v>
      </c>
      <c r="P827" s="7">
        <v>0</v>
      </c>
      <c r="Q827" s="7">
        <v>0</v>
      </c>
    </row>
    <row r="828" spans="1:17">
      <c r="A828" s="2">
        <v>2776</v>
      </c>
      <c r="B828" s="7">
        <v>0</v>
      </c>
      <c r="C828" s="7">
        <v>0</v>
      </c>
      <c r="D828" s="7">
        <v>0</v>
      </c>
      <c r="E828" s="7">
        <v>0</v>
      </c>
      <c r="F828" s="7">
        <v>0</v>
      </c>
      <c r="G828" s="7">
        <v>0</v>
      </c>
      <c r="H828" s="7">
        <v>0</v>
      </c>
      <c r="I828" s="7">
        <v>0</v>
      </c>
      <c r="J828" s="7">
        <v>0</v>
      </c>
      <c r="K828" s="7">
        <v>0</v>
      </c>
      <c r="L828" s="7">
        <v>0</v>
      </c>
      <c r="M828" s="7">
        <v>0</v>
      </c>
      <c r="N828" s="7">
        <v>0</v>
      </c>
      <c r="O828" s="7">
        <v>0</v>
      </c>
      <c r="P828" s="7">
        <v>0</v>
      </c>
      <c r="Q828" s="7">
        <v>0</v>
      </c>
    </row>
    <row r="829" spans="1:17">
      <c r="A829" s="2">
        <v>2777</v>
      </c>
      <c r="B829" s="7">
        <v>0</v>
      </c>
      <c r="C829" s="7">
        <v>0</v>
      </c>
      <c r="D829" s="7">
        <v>0</v>
      </c>
      <c r="E829" s="7">
        <v>0</v>
      </c>
      <c r="F829" s="7">
        <v>0</v>
      </c>
      <c r="G829" s="7">
        <v>0</v>
      </c>
      <c r="H829" s="7">
        <v>0</v>
      </c>
      <c r="I829" s="7">
        <v>0</v>
      </c>
      <c r="J829" s="7">
        <v>0</v>
      </c>
      <c r="K829" s="7">
        <v>0</v>
      </c>
      <c r="L829" s="7">
        <v>0</v>
      </c>
      <c r="M829" s="7">
        <v>0</v>
      </c>
      <c r="N829" s="7">
        <v>0</v>
      </c>
      <c r="O829" s="7">
        <v>0</v>
      </c>
      <c r="P829" s="7">
        <v>0</v>
      </c>
      <c r="Q829" s="7">
        <v>0</v>
      </c>
    </row>
    <row r="830" spans="1:17">
      <c r="A830" s="2">
        <v>2778</v>
      </c>
      <c r="B830" s="7">
        <v>0</v>
      </c>
      <c r="C830" s="7">
        <v>0</v>
      </c>
      <c r="D830" s="7">
        <v>0</v>
      </c>
      <c r="E830" s="7">
        <v>0</v>
      </c>
      <c r="F830" s="7">
        <v>0</v>
      </c>
      <c r="G830" s="7">
        <v>0</v>
      </c>
      <c r="H830" s="7">
        <v>0</v>
      </c>
      <c r="I830" s="7">
        <v>0</v>
      </c>
      <c r="J830" s="7">
        <v>0</v>
      </c>
      <c r="K830" s="7">
        <v>0</v>
      </c>
      <c r="L830" s="7">
        <v>0</v>
      </c>
      <c r="M830" s="7">
        <v>0</v>
      </c>
      <c r="N830" s="7">
        <v>0</v>
      </c>
      <c r="O830" s="7">
        <v>0</v>
      </c>
      <c r="P830" s="7">
        <v>0</v>
      </c>
      <c r="Q830" s="7">
        <v>0</v>
      </c>
    </row>
    <row r="831" spans="1:17">
      <c r="A831" s="2">
        <v>2779</v>
      </c>
      <c r="B831" s="7">
        <v>0</v>
      </c>
      <c r="C831" s="7">
        <v>0</v>
      </c>
      <c r="D831" s="7">
        <v>0</v>
      </c>
      <c r="E831" s="7">
        <v>0</v>
      </c>
      <c r="F831" s="7">
        <v>0</v>
      </c>
      <c r="G831" s="7">
        <v>0</v>
      </c>
      <c r="H831" s="7">
        <v>0</v>
      </c>
      <c r="I831" s="7">
        <v>0</v>
      </c>
      <c r="J831" s="7">
        <v>0</v>
      </c>
      <c r="K831" s="7">
        <v>0</v>
      </c>
      <c r="L831" s="7">
        <v>0</v>
      </c>
      <c r="M831" s="7">
        <v>0</v>
      </c>
      <c r="N831" s="7">
        <v>0</v>
      </c>
      <c r="O831" s="7">
        <v>0</v>
      </c>
      <c r="P831" s="7">
        <v>0</v>
      </c>
      <c r="Q831" s="7">
        <v>0</v>
      </c>
    </row>
    <row r="832" spans="1:17">
      <c r="A832" s="2">
        <v>2780</v>
      </c>
      <c r="B832" s="7">
        <v>0</v>
      </c>
      <c r="C832" s="7">
        <v>0</v>
      </c>
      <c r="D832" s="7">
        <v>0</v>
      </c>
      <c r="E832" s="7">
        <v>0</v>
      </c>
      <c r="F832" s="7">
        <v>0</v>
      </c>
      <c r="G832" s="7">
        <v>0</v>
      </c>
      <c r="H832" s="7">
        <v>0</v>
      </c>
      <c r="I832" s="7">
        <v>0</v>
      </c>
      <c r="J832" s="7">
        <v>0</v>
      </c>
      <c r="K832" s="7">
        <v>0</v>
      </c>
      <c r="L832" s="7">
        <v>0</v>
      </c>
      <c r="M832" s="7">
        <v>0</v>
      </c>
      <c r="N832" s="7">
        <v>0</v>
      </c>
      <c r="O832" s="7">
        <v>0</v>
      </c>
      <c r="P832" s="7">
        <v>0</v>
      </c>
      <c r="Q832" s="7">
        <v>0</v>
      </c>
    </row>
    <row r="833" spans="1:17">
      <c r="A833" s="2">
        <v>2781</v>
      </c>
      <c r="B833" s="7">
        <v>0</v>
      </c>
      <c r="C833" s="7">
        <v>0</v>
      </c>
      <c r="D833" s="7">
        <v>0</v>
      </c>
      <c r="E833" s="7">
        <v>0</v>
      </c>
      <c r="F833" s="7">
        <v>0</v>
      </c>
      <c r="G833" s="7">
        <v>0</v>
      </c>
      <c r="H833" s="7">
        <v>0</v>
      </c>
      <c r="I833" s="7">
        <v>0</v>
      </c>
      <c r="J833" s="7">
        <v>0</v>
      </c>
      <c r="K833" s="7">
        <v>0</v>
      </c>
      <c r="L833" s="7">
        <v>0</v>
      </c>
      <c r="M833" s="7">
        <v>0</v>
      </c>
      <c r="N833" s="7">
        <v>0</v>
      </c>
      <c r="O833" s="7">
        <v>0</v>
      </c>
      <c r="P833" s="7">
        <v>0</v>
      </c>
      <c r="Q833" s="7">
        <v>0</v>
      </c>
    </row>
    <row r="834" spans="1:17">
      <c r="A834" s="2">
        <v>2782</v>
      </c>
      <c r="B834" s="7">
        <v>0</v>
      </c>
      <c r="C834" s="7">
        <v>0</v>
      </c>
      <c r="D834" s="7">
        <v>0</v>
      </c>
      <c r="E834" s="7">
        <v>0</v>
      </c>
      <c r="F834" s="7">
        <v>0</v>
      </c>
      <c r="G834" s="7">
        <v>0</v>
      </c>
      <c r="H834" s="7">
        <v>0</v>
      </c>
      <c r="I834" s="7">
        <v>0</v>
      </c>
      <c r="J834" s="7">
        <v>0</v>
      </c>
      <c r="K834" s="7">
        <v>0</v>
      </c>
      <c r="L834" s="7">
        <v>0</v>
      </c>
      <c r="M834" s="7">
        <v>0</v>
      </c>
      <c r="N834" s="7">
        <v>0</v>
      </c>
      <c r="O834" s="7">
        <v>0</v>
      </c>
      <c r="P834" s="7">
        <v>0</v>
      </c>
      <c r="Q834" s="7">
        <v>0</v>
      </c>
    </row>
    <row r="835" spans="1:17">
      <c r="A835" s="2">
        <v>2783</v>
      </c>
      <c r="B835" s="7">
        <v>0</v>
      </c>
      <c r="C835" s="7">
        <v>0</v>
      </c>
      <c r="D835" s="7">
        <v>0</v>
      </c>
      <c r="E835" s="7">
        <v>0</v>
      </c>
      <c r="F835" s="7">
        <v>0</v>
      </c>
      <c r="G835" s="7">
        <v>0</v>
      </c>
      <c r="H835" s="7">
        <v>0</v>
      </c>
      <c r="I835" s="7">
        <v>0</v>
      </c>
      <c r="J835" s="7">
        <v>0</v>
      </c>
      <c r="K835" s="7">
        <v>0</v>
      </c>
      <c r="L835" s="7">
        <v>0</v>
      </c>
      <c r="M835" s="7">
        <v>0</v>
      </c>
      <c r="N835" s="7">
        <v>0</v>
      </c>
      <c r="O835" s="7">
        <v>0</v>
      </c>
      <c r="P835" s="7">
        <v>0</v>
      </c>
      <c r="Q835" s="7">
        <v>0</v>
      </c>
    </row>
    <row r="836" spans="1:17">
      <c r="A836" s="2">
        <v>2784</v>
      </c>
      <c r="B836" s="7">
        <v>0</v>
      </c>
      <c r="C836" s="7">
        <v>0</v>
      </c>
      <c r="D836" s="7">
        <v>0</v>
      </c>
      <c r="E836" s="7">
        <v>0</v>
      </c>
      <c r="F836" s="7">
        <v>0</v>
      </c>
      <c r="G836" s="7">
        <v>0</v>
      </c>
      <c r="H836" s="7">
        <v>0</v>
      </c>
      <c r="I836" s="7">
        <v>0</v>
      </c>
      <c r="J836" s="7">
        <v>0</v>
      </c>
      <c r="K836" s="7">
        <v>0</v>
      </c>
      <c r="L836" s="7">
        <v>0</v>
      </c>
      <c r="M836" s="7">
        <v>0</v>
      </c>
      <c r="N836" s="7">
        <v>0</v>
      </c>
      <c r="O836" s="7">
        <v>0</v>
      </c>
      <c r="P836" s="7">
        <v>0</v>
      </c>
      <c r="Q836" s="7">
        <v>0</v>
      </c>
    </row>
    <row r="837" spans="1:17">
      <c r="A837" s="2">
        <v>2785</v>
      </c>
      <c r="B837" s="7">
        <v>0</v>
      </c>
      <c r="C837" s="7">
        <v>0</v>
      </c>
      <c r="D837" s="7">
        <v>0</v>
      </c>
      <c r="E837" s="7">
        <v>0</v>
      </c>
      <c r="F837" s="7">
        <v>0</v>
      </c>
      <c r="G837" s="7">
        <v>0</v>
      </c>
      <c r="H837" s="7">
        <v>0</v>
      </c>
      <c r="I837" s="7">
        <v>0</v>
      </c>
      <c r="J837" s="7">
        <v>0</v>
      </c>
      <c r="K837" s="7">
        <v>0</v>
      </c>
      <c r="L837" s="7">
        <v>0</v>
      </c>
      <c r="M837" s="7">
        <v>0</v>
      </c>
      <c r="N837" s="7">
        <v>0</v>
      </c>
      <c r="O837" s="7">
        <v>0</v>
      </c>
      <c r="P837" s="7">
        <v>0</v>
      </c>
      <c r="Q837" s="7">
        <v>0</v>
      </c>
    </row>
    <row r="838" spans="1:17">
      <c r="A838" s="2">
        <v>2786</v>
      </c>
      <c r="B838" s="7">
        <v>0</v>
      </c>
      <c r="C838" s="7">
        <v>0</v>
      </c>
      <c r="D838" s="7">
        <v>0</v>
      </c>
      <c r="E838" s="7">
        <v>0</v>
      </c>
      <c r="F838" s="7">
        <v>0</v>
      </c>
      <c r="G838" s="7">
        <v>0</v>
      </c>
      <c r="H838" s="7">
        <v>0</v>
      </c>
      <c r="I838" s="7">
        <v>0</v>
      </c>
      <c r="J838" s="7">
        <v>0</v>
      </c>
      <c r="K838" s="7">
        <v>0</v>
      </c>
      <c r="L838" s="7">
        <v>0</v>
      </c>
      <c r="M838" s="7">
        <v>0</v>
      </c>
      <c r="N838" s="7">
        <v>0</v>
      </c>
      <c r="O838" s="7">
        <v>0</v>
      </c>
      <c r="P838" s="7">
        <v>0</v>
      </c>
      <c r="Q838" s="7">
        <v>0</v>
      </c>
    </row>
    <row r="839" spans="1:17">
      <c r="A839" s="2">
        <v>2787</v>
      </c>
      <c r="B839" s="7">
        <v>0</v>
      </c>
      <c r="C839" s="7">
        <v>0</v>
      </c>
      <c r="D839" s="7">
        <v>0</v>
      </c>
      <c r="E839" s="7">
        <v>0</v>
      </c>
      <c r="F839" s="7">
        <v>0</v>
      </c>
      <c r="G839" s="7">
        <v>0</v>
      </c>
      <c r="H839" s="7">
        <v>0</v>
      </c>
      <c r="I839" s="7">
        <v>0</v>
      </c>
      <c r="J839" s="7">
        <v>0</v>
      </c>
      <c r="K839" s="7">
        <v>0</v>
      </c>
      <c r="L839" s="7">
        <v>0</v>
      </c>
      <c r="M839" s="7">
        <v>0</v>
      </c>
      <c r="N839" s="7">
        <v>0</v>
      </c>
      <c r="O839" s="7">
        <v>0</v>
      </c>
      <c r="P839" s="7">
        <v>0</v>
      </c>
      <c r="Q839" s="7">
        <v>0</v>
      </c>
    </row>
    <row r="840" spans="1:17">
      <c r="A840" s="2">
        <v>2788</v>
      </c>
      <c r="B840" s="7">
        <v>0</v>
      </c>
      <c r="C840" s="7">
        <v>0</v>
      </c>
      <c r="D840" s="7">
        <v>0</v>
      </c>
      <c r="E840" s="7">
        <v>0</v>
      </c>
      <c r="F840" s="7">
        <v>0</v>
      </c>
      <c r="G840" s="7">
        <v>0</v>
      </c>
      <c r="H840" s="7">
        <v>0</v>
      </c>
      <c r="I840" s="7">
        <v>0</v>
      </c>
      <c r="J840" s="7">
        <v>0</v>
      </c>
      <c r="K840" s="7">
        <v>0</v>
      </c>
      <c r="L840" s="7">
        <v>0</v>
      </c>
      <c r="M840" s="7">
        <v>0</v>
      </c>
      <c r="N840" s="7">
        <v>0</v>
      </c>
      <c r="O840" s="7">
        <v>0</v>
      </c>
      <c r="P840" s="7">
        <v>0</v>
      </c>
      <c r="Q840" s="7">
        <v>0</v>
      </c>
    </row>
    <row r="841" spans="1:17">
      <c r="A841" s="2">
        <v>2789</v>
      </c>
      <c r="B841" s="7">
        <v>0</v>
      </c>
      <c r="C841" s="7">
        <v>0</v>
      </c>
      <c r="D841" s="7">
        <v>0</v>
      </c>
      <c r="E841" s="7">
        <v>0</v>
      </c>
      <c r="F841" s="7">
        <v>0</v>
      </c>
      <c r="G841" s="7">
        <v>0</v>
      </c>
      <c r="H841" s="7">
        <v>0</v>
      </c>
      <c r="I841" s="7">
        <v>0</v>
      </c>
      <c r="J841" s="7">
        <v>0</v>
      </c>
      <c r="K841" s="7">
        <v>0</v>
      </c>
      <c r="L841" s="7">
        <v>0</v>
      </c>
      <c r="M841" s="7">
        <v>0</v>
      </c>
      <c r="N841" s="7">
        <v>0</v>
      </c>
      <c r="O841" s="7">
        <v>0</v>
      </c>
      <c r="P841" s="7">
        <v>0</v>
      </c>
      <c r="Q841" s="7">
        <v>0</v>
      </c>
    </row>
    <row r="842" spans="1:17">
      <c r="A842" s="2">
        <v>2790</v>
      </c>
      <c r="B842" s="7">
        <v>0</v>
      </c>
      <c r="C842" s="7">
        <v>0</v>
      </c>
      <c r="D842" s="7">
        <v>0</v>
      </c>
      <c r="E842" s="7">
        <v>0</v>
      </c>
      <c r="F842" s="7">
        <v>0</v>
      </c>
      <c r="G842" s="7">
        <v>0</v>
      </c>
      <c r="H842" s="7">
        <v>0</v>
      </c>
      <c r="I842" s="7">
        <v>0</v>
      </c>
      <c r="J842" s="7">
        <v>0</v>
      </c>
      <c r="K842" s="7">
        <v>0</v>
      </c>
      <c r="L842" s="7">
        <v>0</v>
      </c>
      <c r="M842" s="7">
        <v>0</v>
      </c>
      <c r="N842" s="7">
        <v>0</v>
      </c>
      <c r="O842" s="7">
        <v>0</v>
      </c>
      <c r="P842" s="7">
        <v>0</v>
      </c>
      <c r="Q842" s="7">
        <v>0</v>
      </c>
    </row>
    <row r="843" spans="1:17">
      <c r="A843" s="2">
        <v>2791</v>
      </c>
      <c r="B843" s="7">
        <v>0</v>
      </c>
      <c r="C843" s="7">
        <v>0</v>
      </c>
      <c r="D843" s="7">
        <v>0</v>
      </c>
      <c r="E843" s="7">
        <v>0</v>
      </c>
      <c r="F843" s="7">
        <v>0</v>
      </c>
      <c r="G843" s="7">
        <v>0</v>
      </c>
      <c r="H843" s="7">
        <v>0</v>
      </c>
      <c r="I843" s="7">
        <v>0</v>
      </c>
      <c r="J843" s="7">
        <v>0</v>
      </c>
      <c r="K843" s="7">
        <v>0</v>
      </c>
      <c r="L843" s="7">
        <v>0</v>
      </c>
      <c r="M843" s="7">
        <v>0</v>
      </c>
      <c r="N843" s="7">
        <v>0</v>
      </c>
      <c r="O843" s="7">
        <v>0</v>
      </c>
      <c r="P843" s="7">
        <v>0</v>
      </c>
      <c r="Q843" s="7">
        <v>0</v>
      </c>
    </row>
    <row r="844" spans="1:17">
      <c r="A844" s="2">
        <v>2792</v>
      </c>
      <c r="B844" s="7">
        <v>0</v>
      </c>
      <c r="C844" s="7">
        <v>0</v>
      </c>
      <c r="D844" s="7">
        <v>0</v>
      </c>
      <c r="E844" s="7">
        <v>0</v>
      </c>
      <c r="F844" s="7">
        <v>0</v>
      </c>
      <c r="G844" s="7">
        <v>0</v>
      </c>
      <c r="H844" s="7">
        <v>0</v>
      </c>
      <c r="I844" s="7">
        <v>0</v>
      </c>
      <c r="J844" s="7">
        <v>0</v>
      </c>
      <c r="K844" s="7">
        <v>0</v>
      </c>
      <c r="L844" s="7">
        <v>0</v>
      </c>
      <c r="M844" s="7">
        <v>0</v>
      </c>
      <c r="N844" s="7">
        <v>0</v>
      </c>
      <c r="O844" s="7">
        <v>0</v>
      </c>
      <c r="P844" s="7">
        <v>0</v>
      </c>
      <c r="Q844" s="7">
        <v>0</v>
      </c>
    </row>
    <row r="845" spans="1:17">
      <c r="A845" s="2">
        <v>2793</v>
      </c>
      <c r="B845" s="7">
        <v>0</v>
      </c>
      <c r="C845" s="7">
        <v>0</v>
      </c>
      <c r="D845" s="7">
        <v>0</v>
      </c>
      <c r="E845" s="7">
        <v>0</v>
      </c>
      <c r="F845" s="7">
        <v>0</v>
      </c>
      <c r="G845" s="7">
        <v>0</v>
      </c>
      <c r="H845" s="7">
        <v>0</v>
      </c>
      <c r="I845" s="7">
        <v>0</v>
      </c>
      <c r="J845" s="7">
        <v>0</v>
      </c>
      <c r="K845" s="7">
        <v>0</v>
      </c>
      <c r="L845" s="7">
        <v>0</v>
      </c>
      <c r="M845" s="7">
        <v>0</v>
      </c>
      <c r="N845" s="7">
        <v>0</v>
      </c>
      <c r="O845" s="7">
        <v>0</v>
      </c>
      <c r="P845" s="7">
        <v>0</v>
      </c>
      <c r="Q845" s="7">
        <v>0</v>
      </c>
    </row>
    <row r="846" spans="1:17">
      <c r="A846" s="2">
        <v>2794</v>
      </c>
      <c r="B846" s="7">
        <v>0</v>
      </c>
      <c r="C846" s="7">
        <v>0</v>
      </c>
      <c r="D846" s="7">
        <v>0</v>
      </c>
      <c r="E846" s="7">
        <v>0</v>
      </c>
      <c r="F846" s="7">
        <v>0</v>
      </c>
      <c r="G846" s="7">
        <v>0</v>
      </c>
      <c r="H846" s="7">
        <v>0</v>
      </c>
      <c r="I846" s="7">
        <v>0</v>
      </c>
      <c r="J846" s="7">
        <v>0</v>
      </c>
      <c r="K846" s="7">
        <v>0</v>
      </c>
      <c r="L846" s="7">
        <v>0</v>
      </c>
      <c r="M846" s="7">
        <v>0</v>
      </c>
      <c r="N846" s="7">
        <v>0</v>
      </c>
      <c r="O846" s="7">
        <v>0</v>
      </c>
      <c r="P846" s="7">
        <v>0</v>
      </c>
      <c r="Q846" s="7">
        <v>0</v>
      </c>
    </row>
    <row r="847" spans="1:17">
      <c r="A847" s="2">
        <v>2795</v>
      </c>
      <c r="B847" s="7">
        <v>0</v>
      </c>
      <c r="C847" s="7">
        <v>0</v>
      </c>
      <c r="D847" s="7">
        <v>0</v>
      </c>
      <c r="E847" s="7">
        <v>0</v>
      </c>
      <c r="F847" s="7">
        <v>0</v>
      </c>
      <c r="G847" s="7">
        <v>0</v>
      </c>
      <c r="H847" s="7">
        <v>0</v>
      </c>
      <c r="I847" s="7">
        <v>0</v>
      </c>
      <c r="J847" s="7">
        <v>0</v>
      </c>
      <c r="K847" s="7">
        <v>0</v>
      </c>
      <c r="L847" s="7">
        <v>0</v>
      </c>
      <c r="M847" s="7">
        <v>0</v>
      </c>
      <c r="N847" s="7">
        <v>0</v>
      </c>
      <c r="O847" s="7">
        <v>0</v>
      </c>
      <c r="P847" s="7">
        <v>0</v>
      </c>
      <c r="Q847" s="7">
        <v>0</v>
      </c>
    </row>
    <row r="848" spans="1:17">
      <c r="A848" s="2">
        <v>2796</v>
      </c>
      <c r="B848" s="7">
        <v>0</v>
      </c>
      <c r="C848" s="7">
        <v>0</v>
      </c>
      <c r="D848" s="7">
        <v>0</v>
      </c>
      <c r="E848" s="7">
        <v>0</v>
      </c>
      <c r="F848" s="7">
        <v>0</v>
      </c>
      <c r="G848" s="7">
        <v>0</v>
      </c>
      <c r="H848" s="7">
        <v>0</v>
      </c>
      <c r="I848" s="7">
        <v>0</v>
      </c>
      <c r="J848" s="7">
        <v>0</v>
      </c>
      <c r="K848" s="7">
        <v>0</v>
      </c>
      <c r="L848" s="7">
        <v>0</v>
      </c>
      <c r="M848" s="7">
        <v>0</v>
      </c>
      <c r="N848" s="7">
        <v>0</v>
      </c>
      <c r="O848" s="7">
        <v>0</v>
      </c>
      <c r="P848" s="7">
        <v>0</v>
      </c>
      <c r="Q848" s="7">
        <v>0</v>
      </c>
    </row>
    <row r="849" spans="1:17">
      <c r="A849" s="2">
        <v>2797</v>
      </c>
      <c r="B849" s="7">
        <v>0</v>
      </c>
      <c r="C849" s="7">
        <v>0</v>
      </c>
      <c r="D849" s="7">
        <v>0</v>
      </c>
      <c r="E849" s="7">
        <v>0</v>
      </c>
      <c r="F849" s="7">
        <v>0</v>
      </c>
      <c r="G849" s="7">
        <v>0</v>
      </c>
      <c r="H849" s="7">
        <v>0</v>
      </c>
      <c r="I849" s="7">
        <v>0</v>
      </c>
      <c r="J849" s="7">
        <v>0</v>
      </c>
      <c r="K849" s="7">
        <v>0</v>
      </c>
      <c r="L849" s="7">
        <v>0</v>
      </c>
      <c r="M849" s="7">
        <v>0</v>
      </c>
      <c r="N849" s="7">
        <v>0</v>
      </c>
      <c r="O849" s="7">
        <v>0</v>
      </c>
      <c r="P849" s="7">
        <v>0</v>
      </c>
      <c r="Q849" s="7">
        <v>0</v>
      </c>
    </row>
    <row r="850" spans="1:17">
      <c r="A850" s="2">
        <v>2798</v>
      </c>
      <c r="B850" s="7">
        <v>0</v>
      </c>
      <c r="C850" s="7">
        <v>0</v>
      </c>
      <c r="D850" s="7">
        <v>0</v>
      </c>
      <c r="E850" s="7">
        <v>0</v>
      </c>
      <c r="F850" s="7">
        <v>0</v>
      </c>
      <c r="G850" s="7">
        <v>0</v>
      </c>
      <c r="H850" s="7">
        <v>0</v>
      </c>
      <c r="I850" s="7">
        <v>0</v>
      </c>
      <c r="J850" s="7">
        <v>0</v>
      </c>
      <c r="K850" s="7">
        <v>0</v>
      </c>
      <c r="L850" s="7">
        <v>0</v>
      </c>
      <c r="M850" s="7">
        <v>0</v>
      </c>
      <c r="N850" s="7">
        <v>0</v>
      </c>
      <c r="O850" s="7">
        <v>0</v>
      </c>
      <c r="P850" s="7">
        <v>0</v>
      </c>
      <c r="Q850" s="7">
        <v>0</v>
      </c>
    </row>
    <row r="851" spans="1:17">
      <c r="A851" s="2">
        <v>2799</v>
      </c>
      <c r="B851" s="7">
        <v>0</v>
      </c>
      <c r="C851" s="7">
        <v>0</v>
      </c>
      <c r="D851" s="7">
        <v>0</v>
      </c>
      <c r="E851" s="7">
        <v>0</v>
      </c>
      <c r="F851" s="7">
        <v>0</v>
      </c>
      <c r="G851" s="7">
        <v>0</v>
      </c>
      <c r="H851" s="7">
        <v>0</v>
      </c>
      <c r="I851" s="7">
        <v>0</v>
      </c>
      <c r="J851" s="7">
        <v>0</v>
      </c>
      <c r="K851" s="7">
        <v>0</v>
      </c>
      <c r="L851" s="7">
        <v>0</v>
      </c>
      <c r="M851" s="7">
        <v>0</v>
      </c>
      <c r="N851" s="7">
        <v>0</v>
      </c>
      <c r="O851" s="7">
        <v>0</v>
      </c>
      <c r="P851" s="7">
        <v>0</v>
      </c>
      <c r="Q851" s="7">
        <v>0</v>
      </c>
    </row>
    <row r="852" spans="1:17">
      <c r="A852" s="2">
        <v>2800</v>
      </c>
      <c r="B852" s="7">
        <v>0</v>
      </c>
      <c r="C852" s="7">
        <v>0</v>
      </c>
      <c r="D852" s="7">
        <v>0</v>
      </c>
      <c r="E852" s="7">
        <v>0</v>
      </c>
      <c r="F852" s="7">
        <v>0</v>
      </c>
      <c r="G852" s="7">
        <v>0</v>
      </c>
      <c r="H852" s="7">
        <v>0</v>
      </c>
      <c r="I852" s="7">
        <v>0</v>
      </c>
      <c r="J852" s="7">
        <v>0</v>
      </c>
      <c r="K852" s="7">
        <v>0</v>
      </c>
      <c r="L852" s="7">
        <v>0</v>
      </c>
      <c r="M852" s="7">
        <v>0</v>
      </c>
      <c r="N852" s="7">
        <v>0</v>
      </c>
      <c r="O852" s="7">
        <v>0</v>
      </c>
      <c r="P852" s="7">
        <v>0</v>
      </c>
      <c r="Q852" s="7">
        <v>0</v>
      </c>
    </row>
    <row r="853" spans="1:17">
      <c r="A853" s="2">
        <v>2801</v>
      </c>
      <c r="B853" s="7">
        <v>0</v>
      </c>
      <c r="C853" s="7">
        <v>0</v>
      </c>
      <c r="D853" s="7">
        <v>0</v>
      </c>
      <c r="E853" s="7">
        <v>0</v>
      </c>
      <c r="F853" s="7">
        <v>0</v>
      </c>
      <c r="G853" s="7">
        <v>0</v>
      </c>
      <c r="H853" s="7">
        <v>0</v>
      </c>
      <c r="I853" s="7">
        <v>0</v>
      </c>
      <c r="J853" s="7">
        <v>0</v>
      </c>
      <c r="K853" s="7">
        <v>0</v>
      </c>
      <c r="L853" s="7">
        <v>0</v>
      </c>
      <c r="M853" s="7">
        <v>0</v>
      </c>
      <c r="N853" s="7">
        <v>0</v>
      </c>
      <c r="O853" s="7">
        <v>0</v>
      </c>
      <c r="P853" s="7">
        <v>0</v>
      </c>
      <c r="Q853" s="7">
        <v>0</v>
      </c>
    </row>
    <row r="854" spans="1:17">
      <c r="A854" s="2">
        <v>2802</v>
      </c>
      <c r="B854" s="7">
        <v>0</v>
      </c>
      <c r="C854" s="7">
        <v>0</v>
      </c>
      <c r="D854" s="7">
        <v>0</v>
      </c>
      <c r="E854" s="7">
        <v>0</v>
      </c>
      <c r="F854" s="7">
        <v>0</v>
      </c>
      <c r="G854" s="7">
        <v>0</v>
      </c>
      <c r="H854" s="7">
        <v>0</v>
      </c>
      <c r="I854" s="7">
        <v>0</v>
      </c>
      <c r="J854" s="7">
        <v>0</v>
      </c>
      <c r="K854" s="7">
        <v>0</v>
      </c>
      <c r="L854" s="7">
        <v>0</v>
      </c>
      <c r="M854" s="7">
        <v>0</v>
      </c>
      <c r="N854" s="7">
        <v>0</v>
      </c>
      <c r="O854" s="7">
        <v>0</v>
      </c>
      <c r="P854" s="7">
        <v>0</v>
      </c>
      <c r="Q854" s="7">
        <v>0</v>
      </c>
    </row>
    <row r="855" spans="1:17">
      <c r="A855" s="2">
        <v>2803</v>
      </c>
      <c r="B855" s="7">
        <v>0</v>
      </c>
      <c r="C855" s="7">
        <v>0</v>
      </c>
      <c r="D855" s="7">
        <v>0</v>
      </c>
      <c r="E855" s="7">
        <v>0</v>
      </c>
      <c r="F855" s="7">
        <v>0</v>
      </c>
      <c r="G855" s="7">
        <v>0</v>
      </c>
      <c r="H855" s="7">
        <v>0</v>
      </c>
      <c r="I855" s="7">
        <v>0</v>
      </c>
      <c r="J855" s="7">
        <v>0</v>
      </c>
      <c r="K855" s="7">
        <v>0</v>
      </c>
      <c r="L855" s="7">
        <v>0</v>
      </c>
      <c r="M855" s="7">
        <v>0</v>
      </c>
      <c r="N855" s="7">
        <v>0</v>
      </c>
      <c r="O855" s="7">
        <v>0</v>
      </c>
      <c r="P855" s="7">
        <v>0</v>
      </c>
      <c r="Q855" s="7">
        <v>0</v>
      </c>
    </row>
    <row r="856" spans="1:17">
      <c r="A856" s="2">
        <v>2804</v>
      </c>
      <c r="B856" s="7">
        <v>0</v>
      </c>
      <c r="C856" s="7">
        <v>0</v>
      </c>
      <c r="D856" s="7">
        <v>0</v>
      </c>
      <c r="E856" s="7">
        <v>0</v>
      </c>
      <c r="F856" s="7">
        <v>0</v>
      </c>
      <c r="G856" s="7">
        <v>0</v>
      </c>
      <c r="H856" s="7">
        <v>0</v>
      </c>
      <c r="I856" s="7">
        <v>0</v>
      </c>
      <c r="J856" s="7">
        <v>0</v>
      </c>
      <c r="K856" s="7">
        <v>0</v>
      </c>
      <c r="L856" s="7">
        <v>0</v>
      </c>
      <c r="M856" s="7">
        <v>0</v>
      </c>
      <c r="N856" s="7">
        <v>0</v>
      </c>
      <c r="O856" s="7">
        <v>0</v>
      </c>
      <c r="P856" s="7">
        <v>0</v>
      </c>
      <c r="Q856" s="7">
        <v>0</v>
      </c>
    </row>
    <row r="857" spans="1:17">
      <c r="A857" s="2">
        <v>2805</v>
      </c>
      <c r="B857" s="7">
        <v>0</v>
      </c>
      <c r="C857" s="7">
        <v>0</v>
      </c>
      <c r="D857" s="7">
        <v>0</v>
      </c>
      <c r="E857" s="7">
        <v>0</v>
      </c>
      <c r="F857" s="7">
        <v>0</v>
      </c>
      <c r="G857" s="7">
        <v>0</v>
      </c>
      <c r="H857" s="7">
        <v>0</v>
      </c>
      <c r="I857" s="7">
        <v>0</v>
      </c>
      <c r="J857" s="7">
        <v>0</v>
      </c>
      <c r="K857" s="7">
        <v>0</v>
      </c>
      <c r="L857" s="7">
        <v>0</v>
      </c>
      <c r="M857" s="7">
        <v>0</v>
      </c>
      <c r="N857" s="7">
        <v>0</v>
      </c>
      <c r="O857" s="7">
        <v>0</v>
      </c>
      <c r="P857" s="7">
        <v>0</v>
      </c>
      <c r="Q857" s="7">
        <v>0</v>
      </c>
    </row>
    <row r="858" spans="1:17">
      <c r="A858" s="2">
        <v>2806</v>
      </c>
      <c r="B858" s="7">
        <v>0</v>
      </c>
      <c r="C858" s="7">
        <v>0</v>
      </c>
      <c r="D858" s="7">
        <v>0</v>
      </c>
      <c r="E858" s="7">
        <v>0</v>
      </c>
      <c r="F858" s="7">
        <v>0</v>
      </c>
      <c r="G858" s="7">
        <v>0</v>
      </c>
      <c r="H858" s="7">
        <v>0</v>
      </c>
      <c r="I858" s="7">
        <v>0</v>
      </c>
      <c r="J858" s="7">
        <v>0</v>
      </c>
      <c r="K858" s="7">
        <v>0</v>
      </c>
      <c r="L858" s="7">
        <v>0</v>
      </c>
      <c r="M858" s="7">
        <v>0</v>
      </c>
      <c r="N858" s="7">
        <v>0</v>
      </c>
      <c r="O858" s="7">
        <v>0</v>
      </c>
      <c r="P858" s="7">
        <v>0</v>
      </c>
      <c r="Q858" s="7">
        <v>0</v>
      </c>
    </row>
    <row r="859" spans="1:17">
      <c r="A859" s="2">
        <v>2807</v>
      </c>
      <c r="B859" s="7">
        <v>0</v>
      </c>
      <c r="C859" s="7">
        <v>0</v>
      </c>
      <c r="D859" s="7">
        <v>0</v>
      </c>
      <c r="E859" s="7">
        <v>0</v>
      </c>
      <c r="F859" s="7">
        <v>0</v>
      </c>
      <c r="G859" s="7">
        <v>0</v>
      </c>
      <c r="H859" s="7">
        <v>0</v>
      </c>
      <c r="I859" s="7">
        <v>0</v>
      </c>
      <c r="J859" s="7">
        <v>0</v>
      </c>
      <c r="K859" s="7">
        <v>0</v>
      </c>
      <c r="L859" s="7">
        <v>0</v>
      </c>
      <c r="M859" s="7">
        <v>0</v>
      </c>
      <c r="N859" s="7">
        <v>0</v>
      </c>
      <c r="O859" s="7">
        <v>0</v>
      </c>
      <c r="P859" s="7">
        <v>0</v>
      </c>
      <c r="Q859" s="7">
        <v>0</v>
      </c>
    </row>
    <row r="860" spans="1:17">
      <c r="A860" s="2">
        <v>2808</v>
      </c>
      <c r="B860" s="7">
        <v>0</v>
      </c>
      <c r="C860" s="7">
        <v>0</v>
      </c>
      <c r="D860" s="7">
        <v>0</v>
      </c>
      <c r="E860" s="7">
        <v>0</v>
      </c>
      <c r="F860" s="7">
        <v>0</v>
      </c>
      <c r="G860" s="7">
        <v>0</v>
      </c>
      <c r="H860" s="7">
        <v>0</v>
      </c>
      <c r="I860" s="7">
        <v>0</v>
      </c>
      <c r="J860" s="7">
        <v>0</v>
      </c>
      <c r="K860" s="7">
        <v>0</v>
      </c>
      <c r="L860" s="7">
        <v>0</v>
      </c>
      <c r="M860" s="7">
        <v>0</v>
      </c>
      <c r="N860" s="7">
        <v>0</v>
      </c>
      <c r="O860" s="7">
        <v>0</v>
      </c>
      <c r="P860" s="7">
        <v>0</v>
      </c>
      <c r="Q860" s="7">
        <v>0</v>
      </c>
    </row>
    <row r="861" spans="1:17">
      <c r="A861" s="2">
        <v>2809</v>
      </c>
      <c r="B861" s="7">
        <v>0</v>
      </c>
      <c r="C861" s="7">
        <v>0</v>
      </c>
      <c r="D861" s="7">
        <v>0</v>
      </c>
      <c r="E861" s="7">
        <v>0</v>
      </c>
      <c r="F861" s="7">
        <v>0</v>
      </c>
      <c r="G861" s="7">
        <v>0</v>
      </c>
      <c r="H861" s="7">
        <v>0</v>
      </c>
      <c r="I861" s="7">
        <v>0</v>
      </c>
      <c r="J861" s="7">
        <v>0</v>
      </c>
      <c r="K861" s="7">
        <v>0</v>
      </c>
      <c r="L861" s="7">
        <v>0</v>
      </c>
      <c r="M861" s="7">
        <v>0</v>
      </c>
      <c r="N861" s="7">
        <v>0</v>
      </c>
      <c r="O861" s="7">
        <v>0</v>
      </c>
      <c r="P861" s="7">
        <v>0</v>
      </c>
      <c r="Q861" s="7">
        <v>0</v>
      </c>
    </row>
    <row r="862" spans="1:17">
      <c r="A862" s="2">
        <v>2810</v>
      </c>
      <c r="B862" s="7">
        <v>0</v>
      </c>
      <c r="C862" s="7">
        <v>0</v>
      </c>
      <c r="D862" s="7">
        <v>0</v>
      </c>
      <c r="E862" s="7">
        <v>0</v>
      </c>
      <c r="F862" s="7">
        <v>0</v>
      </c>
      <c r="G862" s="7">
        <v>0</v>
      </c>
      <c r="H862" s="7">
        <v>0</v>
      </c>
      <c r="I862" s="7">
        <v>0</v>
      </c>
      <c r="J862" s="7">
        <v>0</v>
      </c>
      <c r="K862" s="7">
        <v>0</v>
      </c>
      <c r="L862" s="7">
        <v>0</v>
      </c>
      <c r="M862" s="7">
        <v>0</v>
      </c>
      <c r="N862" s="7">
        <v>0</v>
      </c>
      <c r="O862" s="7">
        <v>0</v>
      </c>
      <c r="P862" s="7">
        <v>0</v>
      </c>
      <c r="Q862" s="7">
        <v>0</v>
      </c>
    </row>
    <row r="863" spans="1:17">
      <c r="A863" s="2">
        <v>2811</v>
      </c>
      <c r="B863" s="7">
        <v>0</v>
      </c>
      <c r="C863" s="7">
        <v>0</v>
      </c>
      <c r="D863" s="7">
        <v>0</v>
      </c>
      <c r="E863" s="7">
        <v>0</v>
      </c>
      <c r="F863" s="7">
        <v>0</v>
      </c>
      <c r="G863" s="7">
        <v>0</v>
      </c>
      <c r="H863" s="7">
        <v>0</v>
      </c>
      <c r="I863" s="7">
        <v>0</v>
      </c>
      <c r="J863" s="7">
        <v>0</v>
      </c>
      <c r="K863" s="7">
        <v>0</v>
      </c>
      <c r="L863" s="7">
        <v>0</v>
      </c>
      <c r="M863" s="7">
        <v>0</v>
      </c>
      <c r="N863" s="7">
        <v>0</v>
      </c>
      <c r="O863" s="7">
        <v>0</v>
      </c>
      <c r="P863" s="7">
        <v>0</v>
      </c>
      <c r="Q863" s="7">
        <v>0</v>
      </c>
    </row>
    <row r="864" spans="1:17">
      <c r="A864" s="2">
        <v>2812</v>
      </c>
      <c r="B864" s="7">
        <v>0</v>
      </c>
      <c r="C864" s="7">
        <v>0</v>
      </c>
      <c r="D864" s="7">
        <v>0</v>
      </c>
      <c r="E864" s="7">
        <v>0</v>
      </c>
      <c r="F864" s="7">
        <v>0</v>
      </c>
      <c r="G864" s="7">
        <v>0</v>
      </c>
      <c r="H864" s="7">
        <v>0</v>
      </c>
      <c r="I864" s="7">
        <v>0</v>
      </c>
      <c r="J864" s="7">
        <v>0</v>
      </c>
      <c r="K864" s="7">
        <v>0</v>
      </c>
      <c r="L864" s="7">
        <v>0</v>
      </c>
      <c r="M864" s="7">
        <v>0</v>
      </c>
      <c r="N864" s="7">
        <v>0</v>
      </c>
      <c r="O864" s="7">
        <v>0</v>
      </c>
      <c r="P864" s="7">
        <v>0</v>
      </c>
      <c r="Q864" s="7">
        <v>0</v>
      </c>
    </row>
    <row r="865" spans="1:17">
      <c r="A865" s="2">
        <v>2813</v>
      </c>
      <c r="B865" s="7">
        <v>0</v>
      </c>
      <c r="C865" s="7">
        <v>0</v>
      </c>
      <c r="D865" s="7">
        <v>0</v>
      </c>
      <c r="E865" s="7">
        <v>0</v>
      </c>
      <c r="F865" s="7">
        <v>0</v>
      </c>
      <c r="G865" s="7">
        <v>0</v>
      </c>
      <c r="H865" s="7">
        <v>0</v>
      </c>
      <c r="I865" s="7">
        <v>0</v>
      </c>
      <c r="J865" s="7">
        <v>0</v>
      </c>
      <c r="K865" s="7">
        <v>0</v>
      </c>
      <c r="L865" s="7">
        <v>0</v>
      </c>
      <c r="M865" s="7">
        <v>0</v>
      </c>
      <c r="N865" s="7">
        <v>0</v>
      </c>
      <c r="O865" s="7">
        <v>0</v>
      </c>
      <c r="P865" s="7">
        <v>0</v>
      </c>
      <c r="Q865" s="7">
        <v>0</v>
      </c>
    </row>
    <row r="866" spans="1:17">
      <c r="A866" s="2">
        <v>2814</v>
      </c>
      <c r="B866" s="7">
        <v>0</v>
      </c>
      <c r="C866" s="7">
        <v>0</v>
      </c>
      <c r="D866" s="7">
        <v>0</v>
      </c>
      <c r="E866" s="7">
        <v>0</v>
      </c>
      <c r="F866" s="7">
        <v>0</v>
      </c>
      <c r="G866" s="7">
        <v>0</v>
      </c>
      <c r="H866" s="7">
        <v>0</v>
      </c>
      <c r="I866" s="7">
        <v>0</v>
      </c>
      <c r="J866" s="7">
        <v>0</v>
      </c>
      <c r="K866" s="7">
        <v>0</v>
      </c>
      <c r="L866" s="7">
        <v>0</v>
      </c>
      <c r="M866" s="7">
        <v>0</v>
      </c>
      <c r="N866" s="7">
        <v>0</v>
      </c>
      <c r="O866" s="7">
        <v>0</v>
      </c>
      <c r="P866" s="7">
        <v>0</v>
      </c>
      <c r="Q866" s="7">
        <v>0</v>
      </c>
    </row>
    <row r="867" spans="1:17">
      <c r="A867" s="2">
        <v>2815</v>
      </c>
      <c r="B867" s="7">
        <v>0</v>
      </c>
      <c r="C867" s="7">
        <v>0</v>
      </c>
      <c r="D867" s="7">
        <v>0</v>
      </c>
      <c r="E867" s="7">
        <v>0</v>
      </c>
      <c r="F867" s="7">
        <v>0</v>
      </c>
      <c r="G867" s="7">
        <v>0</v>
      </c>
      <c r="H867" s="7">
        <v>0</v>
      </c>
      <c r="I867" s="7">
        <v>0</v>
      </c>
      <c r="J867" s="7">
        <v>0</v>
      </c>
      <c r="K867" s="7">
        <v>0</v>
      </c>
      <c r="L867" s="7">
        <v>0</v>
      </c>
      <c r="M867" s="7">
        <v>0</v>
      </c>
      <c r="N867" s="7">
        <v>0</v>
      </c>
      <c r="O867" s="7">
        <v>0</v>
      </c>
      <c r="P867" s="7">
        <v>0</v>
      </c>
      <c r="Q867" s="7">
        <v>0</v>
      </c>
    </row>
    <row r="868" spans="1:17">
      <c r="A868" s="2">
        <v>2816</v>
      </c>
      <c r="B868" s="7">
        <v>0</v>
      </c>
      <c r="C868" s="7">
        <v>0</v>
      </c>
      <c r="D868" s="7">
        <v>0</v>
      </c>
      <c r="E868" s="7">
        <v>0</v>
      </c>
      <c r="F868" s="7">
        <v>0</v>
      </c>
      <c r="G868" s="7">
        <v>0</v>
      </c>
      <c r="H868" s="7">
        <v>0</v>
      </c>
      <c r="I868" s="7">
        <v>0</v>
      </c>
      <c r="J868" s="7">
        <v>0</v>
      </c>
      <c r="K868" s="7">
        <v>0</v>
      </c>
      <c r="L868" s="7">
        <v>0</v>
      </c>
      <c r="M868" s="7">
        <v>0</v>
      </c>
      <c r="N868" s="7">
        <v>0</v>
      </c>
      <c r="O868" s="7">
        <v>0</v>
      </c>
      <c r="P868" s="7">
        <v>0</v>
      </c>
      <c r="Q868" s="7">
        <v>0</v>
      </c>
    </row>
    <row r="869" spans="1:17">
      <c r="A869" s="2">
        <v>2817</v>
      </c>
      <c r="B869" s="7">
        <v>0</v>
      </c>
      <c r="C869" s="7">
        <v>0</v>
      </c>
      <c r="D869" s="7">
        <v>0</v>
      </c>
      <c r="E869" s="7">
        <v>0</v>
      </c>
      <c r="F869" s="7">
        <v>0</v>
      </c>
      <c r="G869" s="7">
        <v>0</v>
      </c>
      <c r="H869" s="7">
        <v>0</v>
      </c>
      <c r="I869" s="7">
        <v>0</v>
      </c>
      <c r="J869" s="7">
        <v>0</v>
      </c>
      <c r="K869" s="7">
        <v>0</v>
      </c>
      <c r="L869" s="7">
        <v>0</v>
      </c>
      <c r="M869" s="7">
        <v>0</v>
      </c>
      <c r="N869" s="7">
        <v>0</v>
      </c>
      <c r="O869" s="7">
        <v>0</v>
      </c>
      <c r="P869" s="7">
        <v>0</v>
      </c>
      <c r="Q869" s="7">
        <v>0</v>
      </c>
    </row>
    <row r="870" spans="1:17">
      <c r="A870" s="2">
        <v>2818</v>
      </c>
      <c r="B870" s="7">
        <v>0</v>
      </c>
      <c r="C870" s="7">
        <v>0</v>
      </c>
      <c r="D870" s="7">
        <v>0</v>
      </c>
      <c r="E870" s="7">
        <v>0</v>
      </c>
      <c r="F870" s="7">
        <v>0</v>
      </c>
      <c r="G870" s="7">
        <v>0</v>
      </c>
      <c r="H870" s="7">
        <v>0</v>
      </c>
      <c r="I870" s="7">
        <v>0</v>
      </c>
      <c r="J870" s="7">
        <v>0</v>
      </c>
      <c r="K870" s="7">
        <v>0</v>
      </c>
      <c r="L870" s="7">
        <v>0</v>
      </c>
      <c r="M870" s="7">
        <v>0</v>
      </c>
      <c r="N870" s="7">
        <v>0</v>
      </c>
      <c r="O870" s="7">
        <v>0</v>
      </c>
      <c r="P870" s="7">
        <v>0</v>
      </c>
      <c r="Q870" s="7">
        <v>0</v>
      </c>
    </row>
    <row r="871" spans="1:17">
      <c r="A871" s="2">
        <v>2819</v>
      </c>
      <c r="B871" s="7">
        <v>0</v>
      </c>
      <c r="C871" s="7">
        <v>0</v>
      </c>
      <c r="D871" s="7">
        <v>0</v>
      </c>
      <c r="E871" s="7">
        <v>0</v>
      </c>
      <c r="F871" s="7">
        <v>0</v>
      </c>
      <c r="G871" s="7">
        <v>0</v>
      </c>
      <c r="H871" s="7">
        <v>0</v>
      </c>
      <c r="I871" s="7">
        <v>0</v>
      </c>
      <c r="J871" s="7">
        <v>0</v>
      </c>
      <c r="K871" s="7">
        <v>0</v>
      </c>
      <c r="L871" s="7">
        <v>0</v>
      </c>
      <c r="M871" s="7">
        <v>0</v>
      </c>
      <c r="N871" s="7">
        <v>0</v>
      </c>
      <c r="O871" s="7">
        <v>0</v>
      </c>
      <c r="P871" s="7">
        <v>0</v>
      </c>
      <c r="Q871" s="7">
        <v>0</v>
      </c>
    </row>
    <row r="872" spans="1:17">
      <c r="A872" s="2">
        <v>2820</v>
      </c>
      <c r="B872" s="7">
        <v>0</v>
      </c>
      <c r="C872" s="7">
        <v>0</v>
      </c>
      <c r="D872" s="7">
        <v>0</v>
      </c>
      <c r="E872" s="7">
        <v>0</v>
      </c>
      <c r="F872" s="7">
        <v>0</v>
      </c>
      <c r="G872" s="7">
        <v>0</v>
      </c>
      <c r="H872" s="7">
        <v>0</v>
      </c>
      <c r="I872" s="7">
        <v>0</v>
      </c>
      <c r="J872" s="7">
        <v>0</v>
      </c>
      <c r="K872" s="7">
        <v>0</v>
      </c>
      <c r="L872" s="7">
        <v>0</v>
      </c>
      <c r="M872" s="7">
        <v>0</v>
      </c>
      <c r="N872" s="7">
        <v>0</v>
      </c>
      <c r="O872" s="7">
        <v>0</v>
      </c>
      <c r="P872" s="7">
        <v>0</v>
      </c>
      <c r="Q872" s="7">
        <v>0</v>
      </c>
    </row>
    <row r="873" spans="1:17">
      <c r="A873" s="2">
        <v>2821</v>
      </c>
      <c r="B873" s="7">
        <v>0</v>
      </c>
      <c r="C873" s="7">
        <v>0</v>
      </c>
      <c r="D873" s="7">
        <v>0</v>
      </c>
      <c r="E873" s="7">
        <v>0</v>
      </c>
      <c r="F873" s="7">
        <v>0</v>
      </c>
      <c r="G873" s="7">
        <v>0</v>
      </c>
      <c r="H873" s="7">
        <v>0</v>
      </c>
      <c r="I873" s="7">
        <v>0</v>
      </c>
      <c r="J873" s="7">
        <v>0</v>
      </c>
      <c r="K873" s="7">
        <v>0</v>
      </c>
      <c r="L873" s="7">
        <v>0</v>
      </c>
      <c r="M873" s="7">
        <v>0</v>
      </c>
      <c r="N873" s="7">
        <v>0</v>
      </c>
      <c r="O873" s="7">
        <v>0</v>
      </c>
      <c r="P873" s="7">
        <v>0</v>
      </c>
      <c r="Q873" s="7">
        <v>0</v>
      </c>
    </row>
    <row r="874" spans="1:17">
      <c r="A874" s="2">
        <v>2822</v>
      </c>
      <c r="B874" s="7">
        <v>0</v>
      </c>
      <c r="C874" s="7">
        <v>0</v>
      </c>
      <c r="D874" s="7">
        <v>0</v>
      </c>
      <c r="E874" s="7">
        <v>0</v>
      </c>
      <c r="F874" s="7">
        <v>0</v>
      </c>
      <c r="G874" s="7">
        <v>0</v>
      </c>
      <c r="H874" s="7">
        <v>0</v>
      </c>
      <c r="I874" s="7">
        <v>0</v>
      </c>
      <c r="J874" s="7">
        <v>0</v>
      </c>
      <c r="K874" s="7">
        <v>0</v>
      </c>
      <c r="L874" s="7">
        <v>0</v>
      </c>
      <c r="M874" s="7">
        <v>0</v>
      </c>
      <c r="N874" s="7">
        <v>0</v>
      </c>
      <c r="O874" s="7">
        <v>0</v>
      </c>
      <c r="P874" s="7">
        <v>0</v>
      </c>
      <c r="Q874" s="7">
        <v>0</v>
      </c>
    </row>
    <row r="875" spans="1:17">
      <c r="A875" s="2">
        <v>2823</v>
      </c>
      <c r="B875" s="7">
        <v>0</v>
      </c>
      <c r="C875" s="7">
        <v>0</v>
      </c>
      <c r="D875" s="7">
        <v>0</v>
      </c>
      <c r="E875" s="7">
        <v>0</v>
      </c>
      <c r="F875" s="7">
        <v>0</v>
      </c>
      <c r="G875" s="7">
        <v>0</v>
      </c>
      <c r="H875" s="7">
        <v>0</v>
      </c>
      <c r="I875" s="7">
        <v>0</v>
      </c>
      <c r="J875" s="7">
        <v>0</v>
      </c>
      <c r="K875" s="7">
        <v>0</v>
      </c>
      <c r="L875" s="7">
        <v>0</v>
      </c>
      <c r="M875" s="7">
        <v>0</v>
      </c>
      <c r="N875" s="7">
        <v>0</v>
      </c>
      <c r="O875" s="7">
        <v>0</v>
      </c>
      <c r="P875" s="7">
        <v>0</v>
      </c>
      <c r="Q875" s="7">
        <v>0</v>
      </c>
    </row>
    <row r="876" spans="1:17">
      <c r="A876" s="2">
        <v>2824</v>
      </c>
      <c r="B876" s="7">
        <v>0</v>
      </c>
      <c r="C876" s="7">
        <v>0</v>
      </c>
      <c r="D876" s="7">
        <v>0</v>
      </c>
      <c r="E876" s="7">
        <v>0</v>
      </c>
      <c r="F876" s="7">
        <v>0</v>
      </c>
      <c r="G876" s="7">
        <v>0</v>
      </c>
      <c r="H876" s="7">
        <v>0</v>
      </c>
      <c r="I876" s="7">
        <v>0</v>
      </c>
      <c r="J876" s="7">
        <v>0</v>
      </c>
      <c r="K876" s="7">
        <v>0</v>
      </c>
      <c r="L876" s="7">
        <v>0</v>
      </c>
      <c r="M876" s="7">
        <v>0</v>
      </c>
      <c r="N876" s="7">
        <v>0</v>
      </c>
      <c r="O876" s="7">
        <v>0</v>
      </c>
      <c r="P876" s="7">
        <v>0</v>
      </c>
      <c r="Q876" s="7">
        <v>0</v>
      </c>
    </row>
    <row r="877" spans="1:17">
      <c r="A877" s="2">
        <v>2825</v>
      </c>
      <c r="B877" s="7">
        <v>0</v>
      </c>
      <c r="C877" s="7">
        <v>0</v>
      </c>
      <c r="D877" s="7">
        <v>0</v>
      </c>
      <c r="E877" s="7">
        <v>0</v>
      </c>
      <c r="F877" s="7">
        <v>0</v>
      </c>
      <c r="G877" s="7">
        <v>0</v>
      </c>
      <c r="H877" s="7">
        <v>0</v>
      </c>
      <c r="I877" s="7">
        <v>0</v>
      </c>
      <c r="J877" s="7">
        <v>0</v>
      </c>
      <c r="K877" s="7">
        <v>0</v>
      </c>
      <c r="L877" s="7">
        <v>0</v>
      </c>
      <c r="M877" s="7">
        <v>0</v>
      </c>
      <c r="N877" s="7">
        <v>0</v>
      </c>
      <c r="O877" s="7">
        <v>0</v>
      </c>
      <c r="P877" s="7">
        <v>0</v>
      </c>
      <c r="Q877" s="7">
        <v>0</v>
      </c>
    </row>
    <row r="878" spans="1:17">
      <c r="A878" s="2">
        <v>2826</v>
      </c>
      <c r="B878" s="7">
        <v>0</v>
      </c>
      <c r="C878" s="7">
        <v>0</v>
      </c>
      <c r="D878" s="7">
        <v>0</v>
      </c>
      <c r="E878" s="7">
        <v>0</v>
      </c>
      <c r="F878" s="7">
        <v>0</v>
      </c>
      <c r="G878" s="7">
        <v>0</v>
      </c>
      <c r="H878" s="7">
        <v>0</v>
      </c>
      <c r="I878" s="7">
        <v>0</v>
      </c>
      <c r="J878" s="7">
        <v>0</v>
      </c>
      <c r="K878" s="7">
        <v>0</v>
      </c>
      <c r="L878" s="7">
        <v>0</v>
      </c>
      <c r="M878" s="7">
        <v>0</v>
      </c>
      <c r="N878" s="7">
        <v>0</v>
      </c>
      <c r="O878" s="7">
        <v>0</v>
      </c>
      <c r="P878" s="7">
        <v>0</v>
      </c>
      <c r="Q878" s="7">
        <v>0</v>
      </c>
    </row>
    <row r="879" spans="1:17">
      <c r="A879" s="2">
        <v>2827</v>
      </c>
      <c r="B879" s="7">
        <v>0</v>
      </c>
      <c r="C879" s="7">
        <v>0</v>
      </c>
      <c r="D879" s="7">
        <v>0</v>
      </c>
      <c r="E879" s="7">
        <v>0</v>
      </c>
      <c r="F879" s="7">
        <v>0</v>
      </c>
      <c r="G879" s="7">
        <v>0</v>
      </c>
      <c r="H879" s="7">
        <v>0</v>
      </c>
      <c r="I879" s="7">
        <v>0</v>
      </c>
      <c r="J879" s="7">
        <v>0</v>
      </c>
      <c r="K879" s="7">
        <v>0</v>
      </c>
      <c r="L879" s="7">
        <v>0</v>
      </c>
      <c r="M879" s="7">
        <v>0</v>
      </c>
      <c r="N879" s="7">
        <v>0</v>
      </c>
      <c r="O879" s="7">
        <v>0</v>
      </c>
      <c r="P879" s="7">
        <v>0</v>
      </c>
      <c r="Q879" s="7">
        <v>0</v>
      </c>
    </row>
    <row r="880" spans="1:17">
      <c r="A880" s="2">
        <v>2828</v>
      </c>
      <c r="B880" s="7">
        <v>0</v>
      </c>
      <c r="C880" s="7">
        <v>0</v>
      </c>
      <c r="D880" s="7">
        <v>0</v>
      </c>
      <c r="E880" s="7">
        <v>0</v>
      </c>
      <c r="F880" s="7">
        <v>0</v>
      </c>
      <c r="G880" s="7">
        <v>0</v>
      </c>
      <c r="H880" s="7">
        <v>0</v>
      </c>
      <c r="I880" s="7">
        <v>0</v>
      </c>
      <c r="J880" s="7">
        <v>0</v>
      </c>
      <c r="K880" s="7">
        <v>0</v>
      </c>
      <c r="L880" s="7">
        <v>0</v>
      </c>
      <c r="M880" s="7">
        <v>0</v>
      </c>
      <c r="N880" s="7">
        <v>0</v>
      </c>
      <c r="O880" s="7">
        <v>0</v>
      </c>
      <c r="P880" s="7">
        <v>0</v>
      </c>
      <c r="Q880" s="7">
        <v>0</v>
      </c>
    </row>
    <row r="881" spans="1:17">
      <c r="A881" s="2">
        <v>2829</v>
      </c>
      <c r="B881" s="7">
        <v>0</v>
      </c>
      <c r="C881" s="7">
        <v>0</v>
      </c>
      <c r="D881" s="7">
        <v>0</v>
      </c>
      <c r="E881" s="7">
        <v>0</v>
      </c>
      <c r="F881" s="7">
        <v>0</v>
      </c>
      <c r="G881" s="7">
        <v>0</v>
      </c>
      <c r="H881" s="7">
        <v>0</v>
      </c>
      <c r="I881" s="7">
        <v>0</v>
      </c>
      <c r="J881" s="7">
        <v>0</v>
      </c>
      <c r="K881" s="7">
        <v>0</v>
      </c>
      <c r="L881" s="7">
        <v>0</v>
      </c>
      <c r="M881" s="7">
        <v>0</v>
      </c>
      <c r="N881" s="7">
        <v>0</v>
      </c>
      <c r="O881" s="7">
        <v>0</v>
      </c>
      <c r="P881" s="7">
        <v>0</v>
      </c>
      <c r="Q881" s="7">
        <v>0</v>
      </c>
    </row>
    <row r="882" spans="1:17">
      <c r="A882" s="2">
        <v>2830</v>
      </c>
      <c r="B882" s="7">
        <v>0</v>
      </c>
      <c r="C882" s="7">
        <v>0</v>
      </c>
      <c r="D882" s="7">
        <v>0</v>
      </c>
      <c r="E882" s="7">
        <v>0</v>
      </c>
      <c r="F882" s="7">
        <v>0</v>
      </c>
      <c r="G882" s="7">
        <v>0</v>
      </c>
      <c r="H882" s="7">
        <v>0</v>
      </c>
      <c r="I882" s="7">
        <v>0</v>
      </c>
      <c r="J882" s="7">
        <v>0</v>
      </c>
      <c r="K882" s="7">
        <v>0</v>
      </c>
      <c r="L882" s="7">
        <v>0</v>
      </c>
      <c r="M882" s="7">
        <v>0</v>
      </c>
      <c r="N882" s="7">
        <v>0</v>
      </c>
      <c r="O882" s="7">
        <v>0</v>
      </c>
      <c r="P882" s="7">
        <v>0</v>
      </c>
      <c r="Q882" s="7">
        <v>0</v>
      </c>
    </row>
    <row r="883" spans="1:17">
      <c r="A883" s="2">
        <v>2831</v>
      </c>
      <c r="B883" s="7">
        <v>0</v>
      </c>
      <c r="C883" s="7">
        <v>0</v>
      </c>
      <c r="D883" s="7">
        <v>0</v>
      </c>
      <c r="E883" s="7">
        <v>0</v>
      </c>
      <c r="F883" s="7">
        <v>0</v>
      </c>
      <c r="G883" s="7">
        <v>0</v>
      </c>
      <c r="H883" s="7">
        <v>0</v>
      </c>
      <c r="I883" s="7">
        <v>0</v>
      </c>
      <c r="J883" s="7">
        <v>0</v>
      </c>
      <c r="K883" s="7">
        <v>0</v>
      </c>
      <c r="L883" s="7">
        <v>0</v>
      </c>
      <c r="M883" s="7">
        <v>0</v>
      </c>
      <c r="N883" s="7">
        <v>0</v>
      </c>
      <c r="O883" s="7">
        <v>0</v>
      </c>
      <c r="P883" s="7">
        <v>0</v>
      </c>
      <c r="Q883" s="7">
        <v>0</v>
      </c>
    </row>
    <row r="884" spans="1:17">
      <c r="A884" s="2">
        <v>2832</v>
      </c>
      <c r="B884" s="7">
        <v>0</v>
      </c>
      <c r="C884" s="7">
        <v>0</v>
      </c>
      <c r="D884" s="7">
        <v>0</v>
      </c>
      <c r="E884" s="7">
        <v>0</v>
      </c>
      <c r="F884" s="7">
        <v>0</v>
      </c>
      <c r="G884" s="7">
        <v>0</v>
      </c>
      <c r="H884" s="7">
        <v>0</v>
      </c>
      <c r="I884" s="7">
        <v>0</v>
      </c>
      <c r="J884" s="7">
        <v>0</v>
      </c>
      <c r="K884" s="7">
        <v>0</v>
      </c>
      <c r="L884" s="7">
        <v>0</v>
      </c>
      <c r="M884" s="7">
        <v>0</v>
      </c>
      <c r="N884" s="7">
        <v>0</v>
      </c>
      <c r="O884" s="7">
        <v>0</v>
      </c>
      <c r="P884" s="7">
        <v>0</v>
      </c>
      <c r="Q884" s="7">
        <v>0</v>
      </c>
    </row>
    <row r="885" spans="1:17">
      <c r="A885" s="2">
        <v>2833</v>
      </c>
      <c r="B885" s="7">
        <v>0</v>
      </c>
      <c r="C885" s="7">
        <v>0</v>
      </c>
      <c r="D885" s="7">
        <v>0</v>
      </c>
      <c r="E885" s="7">
        <v>0</v>
      </c>
      <c r="F885" s="7">
        <v>0</v>
      </c>
      <c r="G885" s="7">
        <v>0</v>
      </c>
      <c r="H885" s="7">
        <v>0</v>
      </c>
      <c r="I885" s="7">
        <v>0</v>
      </c>
      <c r="J885" s="7">
        <v>0</v>
      </c>
      <c r="K885" s="7">
        <v>0</v>
      </c>
      <c r="L885" s="7">
        <v>0</v>
      </c>
      <c r="M885" s="7">
        <v>0</v>
      </c>
      <c r="N885" s="7">
        <v>0</v>
      </c>
      <c r="O885" s="7">
        <v>0</v>
      </c>
      <c r="P885" s="7">
        <v>0</v>
      </c>
      <c r="Q885" s="7">
        <v>0</v>
      </c>
    </row>
    <row r="886" spans="1:17">
      <c r="A886" s="2">
        <v>2834</v>
      </c>
      <c r="B886" s="7">
        <v>0</v>
      </c>
      <c r="C886" s="7">
        <v>0</v>
      </c>
      <c r="D886" s="7">
        <v>0</v>
      </c>
      <c r="E886" s="7">
        <v>0</v>
      </c>
      <c r="F886" s="7">
        <v>0</v>
      </c>
      <c r="G886" s="7">
        <v>0</v>
      </c>
      <c r="H886" s="7">
        <v>0</v>
      </c>
      <c r="I886" s="7">
        <v>0</v>
      </c>
      <c r="J886" s="7">
        <v>0</v>
      </c>
      <c r="K886" s="7">
        <v>0</v>
      </c>
      <c r="L886" s="7">
        <v>0</v>
      </c>
      <c r="M886" s="7">
        <v>0</v>
      </c>
      <c r="N886" s="7">
        <v>0</v>
      </c>
      <c r="O886" s="7">
        <v>0</v>
      </c>
      <c r="P886" s="7">
        <v>0</v>
      </c>
      <c r="Q886" s="7">
        <v>0</v>
      </c>
    </row>
    <row r="887" spans="1:17">
      <c r="A887" s="2">
        <v>2835</v>
      </c>
      <c r="B887" s="7">
        <v>0</v>
      </c>
      <c r="C887" s="7">
        <v>0</v>
      </c>
      <c r="D887" s="7">
        <v>0</v>
      </c>
      <c r="E887" s="7">
        <v>0</v>
      </c>
      <c r="F887" s="7">
        <v>0</v>
      </c>
      <c r="G887" s="7">
        <v>0</v>
      </c>
      <c r="H887" s="7">
        <v>0</v>
      </c>
      <c r="I887" s="7">
        <v>0</v>
      </c>
      <c r="J887" s="7">
        <v>0</v>
      </c>
      <c r="K887" s="7">
        <v>0</v>
      </c>
      <c r="L887" s="7">
        <v>0</v>
      </c>
      <c r="M887" s="7">
        <v>0</v>
      </c>
      <c r="N887" s="7">
        <v>0</v>
      </c>
      <c r="O887" s="7">
        <v>0</v>
      </c>
      <c r="P887" s="7">
        <v>0</v>
      </c>
      <c r="Q887" s="7">
        <v>0</v>
      </c>
    </row>
    <row r="888" spans="1:17">
      <c r="A888" s="2">
        <v>2836</v>
      </c>
      <c r="B888" s="7">
        <v>0</v>
      </c>
      <c r="C888" s="7">
        <v>0</v>
      </c>
      <c r="D888" s="7">
        <v>0</v>
      </c>
      <c r="E888" s="7">
        <v>0</v>
      </c>
      <c r="F888" s="7">
        <v>0</v>
      </c>
      <c r="G888" s="7">
        <v>0</v>
      </c>
      <c r="H888" s="7">
        <v>0</v>
      </c>
      <c r="I888" s="7">
        <v>0</v>
      </c>
      <c r="J888" s="7">
        <v>0</v>
      </c>
      <c r="K888" s="7">
        <v>0</v>
      </c>
      <c r="L888" s="7">
        <v>0</v>
      </c>
      <c r="M888" s="7">
        <v>0</v>
      </c>
      <c r="N888" s="7">
        <v>0</v>
      </c>
      <c r="O888" s="7">
        <v>0</v>
      </c>
      <c r="P888" s="7">
        <v>0</v>
      </c>
      <c r="Q888" s="7">
        <v>0</v>
      </c>
    </row>
    <row r="889" spans="1:17">
      <c r="A889" s="2">
        <v>2837</v>
      </c>
      <c r="B889" s="7">
        <v>0</v>
      </c>
      <c r="C889" s="7">
        <v>0</v>
      </c>
      <c r="D889" s="7">
        <v>0</v>
      </c>
      <c r="E889" s="7">
        <v>0</v>
      </c>
      <c r="F889" s="7">
        <v>0</v>
      </c>
      <c r="G889" s="7">
        <v>0</v>
      </c>
      <c r="H889" s="7">
        <v>0</v>
      </c>
      <c r="I889" s="7">
        <v>0</v>
      </c>
      <c r="J889" s="7">
        <v>0</v>
      </c>
      <c r="K889" s="7">
        <v>0</v>
      </c>
      <c r="L889" s="7">
        <v>0</v>
      </c>
      <c r="M889" s="7">
        <v>0</v>
      </c>
      <c r="N889" s="7">
        <v>0</v>
      </c>
      <c r="O889" s="7">
        <v>0</v>
      </c>
      <c r="P889" s="7">
        <v>0</v>
      </c>
      <c r="Q889" s="7">
        <v>0</v>
      </c>
    </row>
    <row r="890" spans="1:17">
      <c r="A890" s="2">
        <v>2838</v>
      </c>
      <c r="B890" s="7">
        <v>0</v>
      </c>
      <c r="C890" s="7">
        <v>0</v>
      </c>
      <c r="D890" s="7">
        <v>0</v>
      </c>
      <c r="E890" s="7">
        <v>0</v>
      </c>
      <c r="F890" s="7">
        <v>0</v>
      </c>
      <c r="G890" s="7">
        <v>0</v>
      </c>
      <c r="H890" s="7">
        <v>0</v>
      </c>
      <c r="I890" s="7">
        <v>0</v>
      </c>
      <c r="J890" s="7">
        <v>0</v>
      </c>
      <c r="K890" s="7">
        <v>0</v>
      </c>
      <c r="L890" s="7">
        <v>0</v>
      </c>
      <c r="M890" s="7">
        <v>0</v>
      </c>
      <c r="N890" s="7">
        <v>0</v>
      </c>
      <c r="O890" s="7">
        <v>0</v>
      </c>
      <c r="P890" s="7">
        <v>0</v>
      </c>
      <c r="Q890" s="7">
        <v>0</v>
      </c>
    </row>
    <row r="891" spans="1:17">
      <c r="A891" s="2">
        <v>2839</v>
      </c>
      <c r="B891" s="7">
        <v>0</v>
      </c>
      <c r="C891" s="7">
        <v>0</v>
      </c>
      <c r="D891" s="7">
        <v>0</v>
      </c>
      <c r="E891" s="7">
        <v>0</v>
      </c>
      <c r="F891" s="7">
        <v>0</v>
      </c>
      <c r="G891" s="7">
        <v>0</v>
      </c>
      <c r="H891" s="7">
        <v>0</v>
      </c>
      <c r="I891" s="7">
        <v>0</v>
      </c>
      <c r="J891" s="7">
        <v>0</v>
      </c>
      <c r="K891" s="7">
        <v>0</v>
      </c>
      <c r="L891" s="7">
        <v>0</v>
      </c>
      <c r="M891" s="7">
        <v>0</v>
      </c>
      <c r="N891" s="7">
        <v>0</v>
      </c>
      <c r="O891" s="7">
        <v>0</v>
      </c>
      <c r="P891" s="7">
        <v>0</v>
      </c>
      <c r="Q891" s="7">
        <v>0</v>
      </c>
    </row>
    <row r="892" spans="1:17">
      <c r="A892" s="2">
        <v>2840</v>
      </c>
      <c r="B892" s="7">
        <v>0</v>
      </c>
      <c r="C892" s="7">
        <v>0</v>
      </c>
      <c r="D892" s="7">
        <v>0</v>
      </c>
      <c r="E892" s="7">
        <v>0</v>
      </c>
      <c r="F892" s="7">
        <v>0</v>
      </c>
      <c r="G892" s="7">
        <v>0</v>
      </c>
      <c r="H892" s="7">
        <v>0</v>
      </c>
      <c r="I892" s="7">
        <v>0</v>
      </c>
      <c r="J892" s="7">
        <v>0</v>
      </c>
      <c r="K892" s="7">
        <v>0</v>
      </c>
      <c r="L892" s="7">
        <v>0</v>
      </c>
      <c r="M892" s="7">
        <v>0</v>
      </c>
      <c r="N892" s="7">
        <v>0</v>
      </c>
      <c r="O892" s="7">
        <v>0</v>
      </c>
      <c r="P892" s="7">
        <v>0</v>
      </c>
      <c r="Q892" s="7">
        <v>0</v>
      </c>
    </row>
    <row r="893" spans="1:17">
      <c r="A893" s="2">
        <v>2841</v>
      </c>
      <c r="B893" s="7">
        <v>0</v>
      </c>
      <c r="C893" s="7">
        <v>0</v>
      </c>
      <c r="D893" s="7">
        <v>0</v>
      </c>
      <c r="E893" s="7">
        <v>0</v>
      </c>
      <c r="F893" s="7">
        <v>0</v>
      </c>
      <c r="G893" s="7">
        <v>0</v>
      </c>
      <c r="H893" s="7">
        <v>0</v>
      </c>
      <c r="I893" s="7">
        <v>0</v>
      </c>
      <c r="J893" s="7">
        <v>0</v>
      </c>
      <c r="K893" s="7">
        <v>0</v>
      </c>
      <c r="L893" s="7">
        <v>0</v>
      </c>
      <c r="M893" s="7">
        <v>0</v>
      </c>
      <c r="N893" s="7">
        <v>0</v>
      </c>
      <c r="O893" s="7">
        <v>0</v>
      </c>
      <c r="P893" s="7">
        <v>0</v>
      </c>
      <c r="Q893" s="7">
        <v>0</v>
      </c>
    </row>
    <row r="894" spans="1:17">
      <c r="A894" s="2">
        <v>2842</v>
      </c>
      <c r="B894" s="7">
        <v>0</v>
      </c>
      <c r="C894" s="7">
        <v>0</v>
      </c>
      <c r="D894" s="7">
        <v>0</v>
      </c>
      <c r="E894" s="7">
        <v>0</v>
      </c>
      <c r="F894" s="7">
        <v>0</v>
      </c>
      <c r="G894" s="7">
        <v>0</v>
      </c>
      <c r="H894" s="7">
        <v>0</v>
      </c>
      <c r="I894" s="7">
        <v>0</v>
      </c>
      <c r="J894" s="7">
        <v>0</v>
      </c>
      <c r="K894" s="7">
        <v>0</v>
      </c>
      <c r="L894" s="7">
        <v>0</v>
      </c>
      <c r="M894" s="7">
        <v>0</v>
      </c>
      <c r="N894" s="7">
        <v>0</v>
      </c>
      <c r="O894" s="7">
        <v>0</v>
      </c>
      <c r="P894" s="7">
        <v>0</v>
      </c>
      <c r="Q894" s="7">
        <v>0</v>
      </c>
    </row>
    <row r="895" spans="1:17">
      <c r="A895" s="2">
        <v>2843</v>
      </c>
      <c r="B895" s="7">
        <v>0</v>
      </c>
      <c r="C895" s="7">
        <v>0</v>
      </c>
      <c r="D895" s="7">
        <v>0</v>
      </c>
      <c r="E895" s="7">
        <v>0</v>
      </c>
      <c r="F895" s="7">
        <v>0</v>
      </c>
      <c r="G895" s="7">
        <v>0</v>
      </c>
      <c r="H895" s="7">
        <v>0</v>
      </c>
      <c r="I895" s="7">
        <v>0</v>
      </c>
      <c r="J895" s="7">
        <v>0</v>
      </c>
      <c r="K895" s="7">
        <v>0</v>
      </c>
      <c r="L895" s="7">
        <v>0</v>
      </c>
      <c r="M895" s="7">
        <v>0</v>
      </c>
      <c r="N895" s="7">
        <v>0</v>
      </c>
      <c r="O895" s="7">
        <v>0</v>
      </c>
      <c r="P895" s="7">
        <v>0</v>
      </c>
      <c r="Q895" s="7">
        <v>0</v>
      </c>
    </row>
    <row r="896" spans="1:17">
      <c r="A896" s="2">
        <v>2844</v>
      </c>
      <c r="B896" s="7">
        <v>0</v>
      </c>
      <c r="C896" s="7">
        <v>0</v>
      </c>
      <c r="D896" s="7">
        <v>0</v>
      </c>
      <c r="E896" s="7">
        <v>0</v>
      </c>
      <c r="F896" s="7">
        <v>0</v>
      </c>
      <c r="G896" s="7">
        <v>0</v>
      </c>
      <c r="H896" s="7">
        <v>0</v>
      </c>
      <c r="I896" s="7">
        <v>0</v>
      </c>
      <c r="J896" s="7">
        <v>0</v>
      </c>
      <c r="K896" s="7">
        <v>0</v>
      </c>
      <c r="L896" s="7">
        <v>0</v>
      </c>
      <c r="M896" s="7">
        <v>0</v>
      </c>
      <c r="N896" s="7">
        <v>0</v>
      </c>
      <c r="O896" s="7">
        <v>0</v>
      </c>
      <c r="P896" s="7">
        <v>0</v>
      </c>
      <c r="Q896" s="7">
        <v>0</v>
      </c>
    </row>
    <row r="897" spans="1:17">
      <c r="A897" s="2">
        <v>2845</v>
      </c>
      <c r="B897" s="7">
        <v>0</v>
      </c>
      <c r="C897" s="7">
        <v>0</v>
      </c>
      <c r="D897" s="7">
        <v>0</v>
      </c>
      <c r="E897" s="7">
        <v>0</v>
      </c>
      <c r="F897" s="7">
        <v>0</v>
      </c>
      <c r="G897" s="7">
        <v>0</v>
      </c>
      <c r="H897" s="7">
        <v>0</v>
      </c>
      <c r="I897" s="7">
        <v>0</v>
      </c>
      <c r="J897" s="7">
        <v>0</v>
      </c>
      <c r="K897" s="7">
        <v>0</v>
      </c>
      <c r="L897" s="7">
        <v>0</v>
      </c>
      <c r="M897" s="7">
        <v>0</v>
      </c>
      <c r="N897" s="7">
        <v>0</v>
      </c>
      <c r="O897" s="7">
        <v>0</v>
      </c>
      <c r="P897" s="7">
        <v>0</v>
      </c>
      <c r="Q897" s="7">
        <v>0</v>
      </c>
    </row>
    <row r="898" spans="1:17">
      <c r="A898" s="2">
        <v>2846</v>
      </c>
      <c r="B898" s="7">
        <v>0</v>
      </c>
      <c r="C898" s="7">
        <v>0</v>
      </c>
      <c r="D898" s="7">
        <v>0</v>
      </c>
      <c r="E898" s="7">
        <v>0</v>
      </c>
      <c r="F898" s="7">
        <v>0</v>
      </c>
      <c r="G898" s="7">
        <v>0</v>
      </c>
      <c r="H898" s="7">
        <v>0</v>
      </c>
      <c r="I898" s="7">
        <v>0</v>
      </c>
      <c r="J898" s="7">
        <v>0</v>
      </c>
      <c r="K898" s="7">
        <v>0</v>
      </c>
      <c r="L898" s="7">
        <v>0</v>
      </c>
      <c r="M898" s="7">
        <v>0</v>
      </c>
      <c r="N898" s="7">
        <v>0</v>
      </c>
      <c r="O898" s="7">
        <v>0</v>
      </c>
      <c r="P898" s="7">
        <v>0</v>
      </c>
      <c r="Q898" s="7">
        <v>0</v>
      </c>
    </row>
    <row r="899" spans="1:17">
      <c r="A899" s="2">
        <v>2847</v>
      </c>
      <c r="B899" s="7">
        <v>0</v>
      </c>
      <c r="C899" s="7">
        <v>0</v>
      </c>
      <c r="D899" s="7">
        <v>0</v>
      </c>
      <c r="E899" s="7">
        <v>0</v>
      </c>
      <c r="F899" s="7">
        <v>0</v>
      </c>
      <c r="G899" s="7">
        <v>0</v>
      </c>
      <c r="H899" s="7">
        <v>0</v>
      </c>
      <c r="I899" s="7">
        <v>0</v>
      </c>
      <c r="J899" s="7">
        <v>0</v>
      </c>
      <c r="K899" s="7">
        <v>0</v>
      </c>
      <c r="L899" s="7">
        <v>0</v>
      </c>
      <c r="M899" s="7">
        <v>0</v>
      </c>
      <c r="N899" s="7">
        <v>0</v>
      </c>
      <c r="O899" s="7">
        <v>0</v>
      </c>
      <c r="P899" s="7">
        <v>0</v>
      </c>
      <c r="Q899" s="7">
        <v>0</v>
      </c>
    </row>
    <row r="900" spans="1:17">
      <c r="A900" s="2">
        <v>2848</v>
      </c>
      <c r="B900" s="7">
        <v>0</v>
      </c>
      <c r="C900" s="7">
        <v>0</v>
      </c>
      <c r="D900" s="7">
        <v>0</v>
      </c>
      <c r="E900" s="7">
        <v>0</v>
      </c>
      <c r="F900" s="7">
        <v>0</v>
      </c>
      <c r="G900" s="7">
        <v>0</v>
      </c>
      <c r="H900" s="7">
        <v>0</v>
      </c>
      <c r="I900" s="7">
        <v>0</v>
      </c>
      <c r="J900" s="7">
        <v>0</v>
      </c>
      <c r="K900" s="7">
        <v>0</v>
      </c>
      <c r="L900" s="7">
        <v>0</v>
      </c>
      <c r="M900" s="7">
        <v>0</v>
      </c>
      <c r="N900" s="7">
        <v>0</v>
      </c>
      <c r="O900" s="7">
        <v>0</v>
      </c>
      <c r="P900" s="7">
        <v>0</v>
      </c>
      <c r="Q900" s="7">
        <v>0</v>
      </c>
    </row>
    <row r="901" spans="1:17">
      <c r="A901" s="2">
        <v>2849</v>
      </c>
      <c r="B901" s="7">
        <v>0</v>
      </c>
      <c r="C901" s="7">
        <v>0</v>
      </c>
      <c r="D901" s="7">
        <v>0</v>
      </c>
      <c r="E901" s="7">
        <v>0</v>
      </c>
      <c r="F901" s="7">
        <v>0</v>
      </c>
      <c r="G901" s="7">
        <v>0</v>
      </c>
      <c r="H901" s="7">
        <v>0</v>
      </c>
      <c r="I901" s="7">
        <v>0</v>
      </c>
      <c r="J901" s="7">
        <v>0</v>
      </c>
      <c r="K901" s="7">
        <v>0</v>
      </c>
      <c r="L901" s="7">
        <v>0</v>
      </c>
      <c r="M901" s="7">
        <v>0</v>
      </c>
      <c r="N901" s="7">
        <v>0</v>
      </c>
      <c r="O901" s="7">
        <v>0</v>
      </c>
      <c r="P901" s="7">
        <v>0</v>
      </c>
      <c r="Q901" s="7">
        <v>0</v>
      </c>
    </row>
    <row r="902" spans="1:17">
      <c r="A902" s="2">
        <v>2850</v>
      </c>
      <c r="B902" s="7">
        <v>0</v>
      </c>
      <c r="C902" s="7">
        <v>0</v>
      </c>
      <c r="D902" s="7">
        <v>0</v>
      </c>
      <c r="E902" s="7">
        <v>0</v>
      </c>
      <c r="F902" s="7">
        <v>0</v>
      </c>
      <c r="G902" s="7">
        <v>0</v>
      </c>
      <c r="H902" s="7">
        <v>0</v>
      </c>
      <c r="I902" s="7">
        <v>0</v>
      </c>
      <c r="J902" s="7">
        <v>0</v>
      </c>
      <c r="K902" s="7">
        <v>0</v>
      </c>
      <c r="L902" s="7">
        <v>0</v>
      </c>
      <c r="M902" s="7">
        <v>0</v>
      </c>
      <c r="N902" s="7">
        <v>0</v>
      </c>
      <c r="O902" s="7">
        <v>0</v>
      </c>
      <c r="P902" s="7">
        <v>0</v>
      </c>
      <c r="Q902" s="7">
        <v>0</v>
      </c>
    </row>
    <row r="903" spans="1:17">
      <c r="A903" s="2">
        <v>2851</v>
      </c>
      <c r="B903" s="7">
        <v>0</v>
      </c>
      <c r="C903" s="7">
        <v>0</v>
      </c>
      <c r="D903" s="7">
        <v>0</v>
      </c>
      <c r="E903" s="7">
        <v>0</v>
      </c>
      <c r="F903" s="7">
        <v>0</v>
      </c>
      <c r="G903" s="7">
        <v>0</v>
      </c>
      <c r="H903" s="7">
        <v>0</v>
      </c>
      <c r="I903" s="7">
        <v>0</v>
      </c>
      <c r="J903" s="7">
        <v>0</v>
      </c>
      <c r="K903" s="7">
        <v>0</v>
      </c>
      <c r="L903" s="7">
        <v>0</v>
      </c>
      <c r="M903" s="7">
        <v>0</v>
      </c>
      <c r="N903" s="7">
        <v>0</v>
      </c>
      <c r="O903" s="7">
        <v>0</v>
      </c>
      <c r="P903" s="7">
        <v>0</v>
      </c>
      <c r="Q903" s="7">
        <v>0</v>
      </c>
    </row>
    <row r="904" spans="1:17">
      <c r="A904" s="2">
        <v>2852</v>
      </c>
      <c r="B904" s="7">
        <v>0</v>
      </c>
      <c r="C904" s="7">
        <v>0</v>
      </c>
      <c r="D904" s="7">
        <v>0</v>
      </c>
      <c r="E904" s="7">
        <v>0</v>
      </c>
      <c r="F904" s="7">
        <v>0</v>
      </c>
      <c r="G904" s="7">
        <v>0</v>
      </c>
      <c r="H904" s="7">
        <v>0</v>
      </c>
      <c r="I904" s="7">
        <v>0</v>
      </c>
      <c r="J904" s="7">
        <v>0</v>
      </c>
      <c r="K904" s="7">
        <v>0</v>
      </c>
      <c r="L904" s="7">
        <v>0</v>
      </c>
      <c r="M904" s="7">
        <v>0</v>
      </c>
      <c r="N904" s="7">
        <v>0</v>
      </c>
      <c r="O904" s="7">
        <v>0</v>
      </c>
      <c r="P904" s="7">
        <v>0</v>
      </c>
      <c r="Q904" s="7">
        <v>0</v>
      </c>
    </row>
    <row r="905" spans="1:17">
      <c r="A905" s="2">
        <v>2853</v>
      </c>
      <c r="B905" s="7">
        <v>0</v>
      </c>
      <c r="C905" s="7">
        <v>0</v>
      </c>
      <c r="D905" s="7">
        <v>0</v>
      </c>
      <c r="E905" s="7">
        <v>0</v>
      </c>
      <c r="F905" s="7">
        <v>0</v>
      </c>
      <c r="G905" s="7">
        <v>0</v>
      </c>
      <c r="H905" s="7">
        <v>0</v>
      </c>
      <c r="I905" s="7">
        <v>0</v>
      </c>
      <c r="J905" s="7">
        <v>0</v>
      </c>
      <c r="K905" s="7">
        <v>0</v>
      </c>
      <c r="L905" s="7">
        <v>0</v>
      </c>
      <c r="M905" s="7">
        <v>0</v>
      </c>
      <c r="N905" s="7">
        <v>0</v>
      </c>
      <c r="O905" s="7">
        <v>0</v>
      </c>
      <c r="P905" s="7">
        <v>0</v>
      </c>
      <c r="Q905" s="7">
        <v>0</v>
      </c>
    </row>
    <row r="906" spans="1:17">
      <c r="A906" s="2">
        <v>2854</v>
      </c>
      <c r="B906" s="7">
        <v>0</v>
      </c>
      <c r="C906" s="7">
        <v>0</v>
      </c>
      <c r="D906" s="7">
        <v>0</v>
      </c>
      <c r="E906" s="7">
        <v>0</v>
      </c>
      <c r="F906" s="7">
        <v>0</v>
      </c>
      <c r="G906" s="7">
        <v>0</v>
      </c>
      <c r="H906" s="7">
        <v>0</v>
      </c>
      <c r="I906" s="7">
        <v>0</v>
      </c>
      <c r="J906" s="7">
        <v>0</v>
      </c>
      <c r="K906" s="7">
        <v>0</v>
      </c>
      <c r="L906" s="7">
        <v>0</v>
      </c>
      <c r="M906" s="7">
        <v>0</v>
      </c>
      <c r="N906" s="7">
        <v>0</v>
      </c>
      <c r="O906" s="7">
        <v>0</v>
      </c>
      <c r="P906" s="7">
        <v>0</v>
      </c>
      <c r="Q906" s="7">
        <v>0</v>
      </c>
    </row>
    <row r="907" spans="1:17">
      <c r="A907" s="2">
        <v>2855</v>
      </c>
      <c r="B907" s="7">
        <v>0</v>
      </c>
      <c r="C907" s="7">
        <v>0</v>
      </c>
      <c r="D907" s="7">
        <v>0</v>
      </c>
      <c r="E907" s="7">
        <v>0</v>
      </c>
      <c r="F907" s="7">
        <v>0</v>
      </c>
      <c r="G907" s="7">
        <v>0</v>
      </c>
      <c r="H907" s="7">
        <v>0</v>
      </c>
      <c r="I907" s="7">
        <v>0</v>
      </c>
      <c r="J907" s="7">
        <v>0</v>
      </c>
      <c r="K907" s="7">
        <v>0</v>
      </c>
      <c r="L907" s="7">
        <v>0</v>
      </c>
      <c r="M907" s="7">
        <v>0</v>
      </c>
      <c r="N907" s="7">
        <v>0</v>
      </c>
      <c r="O907" s="7">
        <v>0</v>
      </c>
      <c r="P907" s="7">
        <v>0</v>
      </c>
      <c r="Q907" s="7">
        <v>0</v>
      </c>
    </row>
    <row r="908" spans="1:17">
      <c r="A908" s="2">
        <v>2856</v>
      </c>
      <c r="B908" s="7">
        <v>0</v>
      </c>
      <c r="C908" s="7">
        <v>0</v>
      </c>
      <c r="D908" s="7">
        <v>0</v>
      </c>
      <c r="E908" s="7">
        <v>0</v>
      </c>
      <c r="F908" s="7">
        <v>0</v>
      </c>
      <c r="G908" s="7">
        <v>0</v>
      </c>
      <c r="H908" s="7">
        <v>0</v>
      </c>
      <c r="I908" s="7">
        <v>0</v>
      </c>
      <c r="J908" s="7">
        <v>0</v>
      </c>
      <c r="K908" s="7">
        <v>0</v>
      </c>
      <c r="L908" s="7">
        <v>0</v>
      </c>
      <c r="M908" s="7">
        <v>0</v>
      </c>
      <c r="N908" s="7">
        <v>0</v>
      </c>
      <c r="O908" s="7">
        <v>0</v>
      </c>
      <c r="P908" s="7">
        <v>0</v>
      </c>
      <c r="Q908" s="7">
        <v>0</v>
      </c>
    </row>
    <row r="909" spans="1:17">
      <c r="A909" s="2">
        <v>2857</v>
      </c>
      <c r="B909" s="7">
        <v>0</v>
      </c>
      <c r="C909" s="7">
        <v>0</v>
      </c>
      <c r="D909" s="7">
        <v>0</v>
      </c>
      <c r="E909" s="7">
        <v>0</v>
      </c>
      <c r="F909" s="7">
        <v>0</v>
      </c>
      <c r="G909" s="7">
        <v>0</v>
      </c>
      <c r="H909" s="7">
        <v>0</v>
      </c>
      <c r="I909" s="7">
        <v>0</v>
      </c>
      <c r="J909" s="7">
        <v>0</v>
      </c>
      <c r="K909" s="7">
        <v>0</v>
      </c>
      <c r="L909" s="7">
        <v>0</v>
      </c>
      <c r="M909" s="7">
        <v>0</v>
      </c>
      <c r="N909" s="7">
        <v>0</v>
      </c>
      <c r="O909" s="7">
        <v>0</v>
      </c>
      <c r="P909" s="7">
        <v>0</v>
      </c>
      <c r="Q909" s="7">
        <v>0</v>
      </c>
    </row>
    <row r="910" spans="1:17">
      <c r="A910" s="2">
        <v>2858</v>
      </c>
      <c r="B910" s="7">
        <v>0</v>
      </c>
      <c r="C910" s="7">
        <v>0</v>
      </c>
      <c r="D910" s="7">
        <v>0</v>
      </c>
      <c r="E910" s="7">
        <v>0</v>
      </c>
      <c r="F910" s="7">
        <v>0</v>
      </c>
      <c r="G910" s="7">
        <v>0</v>
      </c>
      <c r="H910" s="7">
        <v>0</v>
      </c>
      <c r="I910" s="7">
        <v>0</v>
      </c>
      <c r="J910" s="7">
        <v>0</v>
      </c>
      <c r="K910" s="7">
        <v>0</v>
      </c>
      <c r="L910" s="7">
        <v>0</v>
      </c>
      <c r="M910" s="7">
        <v>0</v>
      </c>
      <c r="N910" s="7">
        <v>0</v>
      </c>
      <c r="O910" s="7">
        <v>0</v>
      </c>
      <c r="P910" s="7">
        <v>0</v>
      </c>
      <c r="Q910" s="7">
        <v>0</v>
      </c>
    </row>
    <row r="911" spans="1:17">
      <c r="A911" s="2">
        <v>2859</v>
      </c>
      <c r="B911" s="7">
        <v>0</v>
      </c>
      <c r="C911" s="7">
        <v>0</v>
      </c>
      <c r="D911" s="7">
        <v>0</v>
      </c>
      <c r="E911" s="7">
        <v>0</v>
      </c>
      <c r="F911" s="7">
        <v>0</v>
      </c>
      <c r="G911" s="7">
        <v>0</v>
      </c>
      <c r="H911" s="7">
        <v>0</v>
      </c>
      <c r="I911" s="7">
        <v>0</v>
      </c>
      <c r="J911" s="7">
        <v>0</v>
      </c>
      <c r="K911" s="7">
        <v>0</v>
      </c>
      <c r="L911" s="7">
        <v>0</v>
      </c>
      <c r="M911" s="7">
        <v>0</v>
      </c>
      <c r="N911" s="7">
        <v>0</v>
      </c>
      <c r="O911" s="7">
        <v>0</v>
      </c>
      <c r="P911" s="7">
        <v>0</v>
      </c>
      <c r="Q911" s="7">
        <v>0</v>
      </c>
    </row>
    <row r="912" spans="1:17">
      <c r="A912" s="2">
        <v>2860</v>
      </c>
      <c r="B912" s="7">
        <v>0</v>
      </c>
      <c r="C912" s="7">
        <v>0</v>
      </c>
      <c r="D912" s="7">
        <v>0</v>
      </c>
      <c r="E912" s="7">
        <v>0</v>
      </c>
      <c r="F912" s="7">
        <v>0</v>
      </c>
      <c r="G912" s="7">
        <v>0</v>
      </c>
      <c r="H912" s="7">
        <v>0</v>
      </c>
      <c r="I912" s="7">
        <v>0</v>
      </c>
      <c r="J912" s="7">
        <v>0</v>
      </c>
      <c r="K912" s="7">
        <v>0</v>
      </c>
      <c r="L912" s="7">
        <v>0</v>
      </c>
      <c r="M912" s="7">
        <v>0</v>
      </c>
      <c r="N912" s="7">
        <v>0</v>
      </c>
      <c r="O912" s="7">
        <v>0</v>
      </c>
      <c r="P912" s="7">
        <v>0</v>
      </c>
      <c r="Q912" s="7">
        <v>0</v>
      </c>
    </row>
    <row r="913" spans="1:17">
      <c r="A913" s="2">
        <v>2861</v>
      </c>
      <c r="B913" s="7">
        <v>0</v>
      </c>
      <c r="C913" s="7">
        <v>0</v>
      </c>
      <c r="D913" s="7">
        <v>0</v>
      </c>
      <c r="E913" s="7">
        <v>0</v>
      </c>
      <c r="F913" s="7">
        <v>0</v>
      </c>
      <c r="G913" s="7">
        <v>0</v>
      </c>
      <c r="H913" s="7">
        <v>0</v>
      </c>
      <c r="I913" s="7">
        <v>0</v>
      </c>
      <c r="J913" s="7">
        <v>0</v>
      </c>
      <c r="K913" s="7">
        <v>0</v>
      </c>
      <c r="L913" s="7">
        <v>0</v>
      </c>
      <c r="M913" s="7">
        <v>0</v>
      </c>
      <c r="N913" s="7">
        <v>0</v>
      </c>
      <c r="O913" s="7">
        <v>0</v>
      </c>
      <c r="P913" s="7">
        <v>0</v>
      </c>
      <c r="Q913" s="7">
        <v>0</v>
      </c>
    </row>
    <row r="914" spans="1:17">
      <c r="A914" s="2">
        <v>2862</v>
      </c>
      <c r="B914" s="7">
        <v>0</v>
      </c>
      <c r="C914" s="7">
        <v>0</v>
      </c>
      <c r="D914" s="7">
        <v>0</v>
      </c>
      <c r="E914" s="7">
        <v>0</v>
      </c>
      <c r="F914" s="7">
        <v>0</v>
      </c>
      <c r="G914" s="7">
        <v>0</v>
      </c>
      <c r="H914" s="7">
        <v>0</v>
      </c>
      <c r="I914" s="7">
        <v>0</v>
      </c>
      <c r="J914" s="7">
        <v>0</v>
      </c>
      <c r="K914" s="7">
        <v>0</v>
      </c>
      <c r="L914" s="7">
        <v>0</v>
      </c>
      <c r="M914" s="7">
        <v>0</v>
      </c>
      <c r="N914" s="7">
        <v>0</v>
      </c>
      <c r="O914" s="7">
        <v>0</v>
      </c>
      <c r="P914" s="7">
        <v>0</v>
      </c>
      <c r="Q914" s="7">
        <v>0</v>
      </c>
    </row>
    <row r="915" spans="1:17">
      <c r="A915" s="2">
        <v>2863</v>
      </c>
      <c r="B915" s="7">
        <v>0</v>
      </c>
      <c r="C915" s="7">
        <v>0</v>
      </c>
      <c r="D915" s="7">
        <v>0</v>
      </c>
      <c r="E915" s="7">
        <v>0</v>
      </c>
      <c r="F915" s="7">
        <v>0</v>
      </c>
      <c r="G915" s="7">
        <v>0</v>
      </c>
      <c r="H915" s="7">
        <v>0</v>
      </c>
      <c r="I915" s="7">
        <v>0</v>
      </c>
      <c r="J915" s="7">
        <v>0</v>
      </c>
      <c r="K915" s="7">
        <v>0</v>
      </c>
      <c r="L915" s="7">
        <v>0</v>
      </c>
      <c r="M915" s="7">
        <v>0</v>
      </c>
      <c r="N915" s="7">
        <v>0</v>
      </c>
      <c r="O915" s="7">
        <v>0</v>
      </c>
      <c r="P915" s="7">
        <v>0</v>
      </c>
      <c r="Q915" s="7">
        <v>0</v>
      </c>
    </row>
    <row r="916" spans="1:17">
      <c r="A916" s="2">
        <v>2864</v>
      </c>
      <c r="B916" s="7">
        <v>0</v>
      </c>
      <c r="C916" s="7">
        <v>0</v>
      </c>
      <c r="D916" s="7">
        <v>0</v>
      </c>
      <c r="E916" s="7">
        <v>0</v>
      </c>
      <c r="F916" s="7">
        <v>0</v>
      </c>
      <c r="G916" s="7">
        <v>0</v>
      </c>
      <c r="H916" s="7">
        <v>0</v>
      </c>
      <c r="I916" s="7">
        <v>0</v>
      </c>
      <c r="J916" s="7">
        <v>0</v>
      </c>
      <c r="K916" s="7">
        <v>0</v>
      </c>
      <c r="L916" s="7">
        <v>0</v>
      </c>
      <c r="M916" s="7">
        <v>0</v>
      </c>
      <c r="N916" s="7">
        <v>0</v>
      </c>
      <c r="O916" s="7">
        <v>0</v>
      </c>
      <c r="P916" s="7">
        <v>0</v>
      </c>
      <c r="Q916" s="7">
        <v>0</v>
      </c>
    </row>
    <row r="917" spans="1:17">
      <c r="A917" s="2">
        <v>2865</v>
      </c>
      <c r="B917" s="7">
        <v>0</v>
      </c>
      <c r="C917" s="7">
        <v>0</v>
      </c>
      <c r="D917" s="7">
        <v>0</v>
      </c>
      <c r="E917" s="7">
        <v>0</v>
      </c>
      <c r="F917" s="7">
        <v>0</v>
      </c>
      <c r="G917" s="7">
        <v>0</v>
      </c>
      <c r="H917" s="7">
        <v>0</v>
      </c>
      <c r="I917" s="7">
        <v>0</v>
      </c>
      <c r="J917" s="7">
        <v>0</v>
      </c>
      <c r="K917" s="7">
        <v>0</v>
      </c>
      <c r="L917" s="7">
        <v>0</v>
      </c>
      <c r="M917" s="7">
        <v>0</v>
      </c>
      <c r="N917" s="7">
        <v>0</v>
      </c>
      <c r="O917" s="7">
        <v>0</v>
      </c>
      <c r="P917" s="7">
        <v>0</v>
      </c>
      <c r="Q917" s="7">
        <v>0</v>
      </c>
    </row>
    <row r="918" spans="1:17">
      <c r="A918" s="2">
        <v>2866</v>
      </c>
      <c r="B918" s="7">
        <v>0</v>
      </c>
      <c r="C918" s="7">
        <v>0</v>
      </c>
      <c r="D918" s="7">
        <v>0</v>
      </c>
      <c r="E918" s="7">
        <v>0</v>
      </c>
      <c r="F918" s="7">
        <v>0</v>
      </c>
      <c r="G918" s="7">
        <v>0</v>
      </c>
      <c r="H918" s="7">
        <v>0</v>
      </c>
      <c r="I918" s="7">
        <v>0</v>
      </c>
      <c r="J918" s="7">
        <v>0</v>
      </c>
      <c r="K918" s="7">
        <v>0</v>
      </c>
      <c r="L918" s="7">
        <v>0</v>
      </c>
      <c r="M918" s="7">
        <v>0</v>
      </c>
      <c r="N918" s="7">
        <v>0</v>
      </c>
      <c r="O918" s="7">
        <v>0</v>
      </c>
      <c r="P918" s="7">
        <v>0</v>
      </c>
      <c r="Q918" s="7">
        <v>0</v>
      </c>
    </row>
    <row r="919" spans="1:17">
      <c r="A919" s="2">
        <v>2867</v>
      </c>
      <c r="B919" s="7">
        <v>0</v>
      </c>
      <c r="C919" s="7">
        <v>0</v>
      </c>
      <c r="D919" s="7">
        <v>0</v>
      </c>
      <c r="E919" s="7">
        <v>0</v>
      </c>
      <c r="F919" s="7">
        <v>0</v>
      </c>
      <c r="G919" s="7">
        <v>0</v>
      </c>
      <c r="H919" s="7">
        <v>0</v>
      </c>
      <c r="I919" s="7">
        <v>0</v>
      </c>
      <c r="J919" s="7">
        <v>0</v>
      </c>
      <c r="K919" s="7">
        <v>0</v>
      </c>
      <c r="L919" s="7">
        <v>0</v>
      </c>
      <c r="M919" s="7">
        <v>0</v>
      </c>
      <c r="N919" s="7">
        <v>0</v>
      </c>
      <c r="O919" s="7">
        <v>0</v>
      </c>
      <c r="P919" s="7">
        <v>0</v>
      </c>
      <c r="Q919" s="7">
        <v>0</v>
      </c>
    </row>
    <row r="920" spans="1:17">
      <c r="A920" s="2">
        <v>2868</v>
      </c>
      <c r="B920" s="7">
        <v>0</v>
      </c>
      <c r="C920" s="7">
        <v>0</v>
      </c>
      <c r="D920" s="7">
        <v>0</v>
      </c>
      <c r="E920" s="7">
        <v>0</v>
      </c>
      <c r="F920" s="7">
        <v>0</v>
      </c>
      <c r="G920" s="7">
        <v>0</v>
      </c>
      <c r="H920" s="7">
        <v>0</v>
      </c>
      <c r="I920" s="7">
        <v>0</v>
      </c>
      <c r="J920" s="7">
        <v>0</v>
      </c>
      <c r="K920" s="7">
        <v>0</v>
      </c>
      <c r="L920" s="7">
        <v>0</v>
      </c>
      <c r="M920" s="7">
        <v>0</v>
      </c>
      <c r="N920" s="7">
        <v>0</v>
      </c>
      <c r="O920" s="7">
        <v>0</v>
      </c>
      <c r="P920" s="7">
        <v>0</v>
      </c>
      <c r="Q920" s="7">
        <v>0</v>
      </c>
    </row>
    <row r="921" spans="1:17">
      <c r="A921" s="2">
        <v>2869</v>
      </c>
      <c r="B921" s="7">
        <v>0</v>
      </c>
      <c r="C921" s="7">
        <v>0</v>
      </c>
      <c r="D921" s="7">
        <v>0</v>
      </c>
      <c r="E921" s="7">
        <v>0</v>
      </c>
      <c r="F921" s="7">
        <v>0</v>
      </c>
      <c r="G921" s="7">
        <v>0</v>
      </c>
      <c r="H921" s="7">
        <v>0</v>
      </c>
      <c r="I921" s="7">
        <v>0</v>
      </c>
      <c r="J921" s="7">
        <v>0</v>
      </c>
      <c r="K921" s="7">
        <v>0</v>
      </c>
      <c r="L921" s="7">
        <v>0</v>
      </c>
      <c r="M921" s="7">
        <v>0</v>
      </c>
      <c r="N921" s="7">
        <v>0</v>
      </c>
      <c r="O921" s="7">
        <v>0</v>
      </c>
      <c r="P921" s="7">
        <v>0</v>
      </c>
      <c r="Q921" s="7">
        <v>0</v>
      </c>
    </row>
    <row r="922" spans="1:17">
      <c r="A922" s="2">
        <v>2870</v>
      </c>
      <c r="B922" s="7">
        <v>0</v>
      </c>
      <c r="C922" s="7">
        <v>0</v>
      </c>
      <c r="D922" s="7">
        <v>0</v>
      </c>
      <c r="E922" s="7">
        <v>0</v>
      </c>
      <c r="F922" s="7">
        <v>0</v>
      </c>
      <c r="G922" s="7">
        <v>0</v>
      </c>
      <c r="H922" s="7">
        <v>0</v>
      </c>
      <c r="I922" s="7">
        <v>0</v>
      </c>
      <c r="J922" s="7">
        <v>0</v>
      </c>
      <c r="K922" s="7">
        <v>0</v>
      </c>
      <c r="L922" s="7">
        <v>0</v>
      </c>
      <c r="M922" s="7">
        <v>0</v>
      </c>
      <c r="N922" s="7">
        <v>0</v>
      </c>
      <c r="O922" s="7">
        <v>0</v>
      </c>
      <c r="P922" s="7">
        <v>0</v>
      </c>
      <c r="Q922" s="7">
        <v>0</v>
      </c>
    </row>
    <row r="923" spans="1:17">
      <c r="A923" s="2">
        <v>2871</v>
      </c>
      <c r="B923" s="7">
        <v>0</v>
      </c>
      <c r="C923" s="7">
        <v>0</v>
      </c>
      <c r="D923" s="7">
        <v>0</v>
      </c>
      <c r="E923" s="7">
        <v>0</v>
      </c>
      <c r="F923" s="7">
        <v>0</v>
      </c>
      <c r="G923" s="7">
        <v>0</v>
      </c>
      <c r="H923" s="7">
        <v>0</v>
      </c>
      <c r="I923" s="7">
        <v>0</v>
      </c>
      <c r="J923" s="7">
        <v>0</v>
      </c>
      <c r="K923" s="7">
        <v>0</v>
      </c>
      <c r="L923" s="7">
        <v>0</v>
      </c>
      <c r="M923" s="7">
        <v>0</v>
      </c>
      <c r="N923" s="7">
        <v>0</v>
      </c>
      <c r="O923" s="7">
        <v>0</v>
      </c>
      <c r="P923" s="7">
        <v>0</v>
      </c>
      <c r="Q923" s="7">
        <v>0</v>
      </c>
    </row>
    <row r="924" spans="1:17">
      <c r="A924" s="2">
        <v>2872</v>
      </c>
      <c r="B924" s="7">
        <v>0</v>
      </c>
      <c r="C924" s="7">
        <v>0</v>
      </c>
      <c r="D924" s="7">
        <v>0</v>
      </c>
      <c r="E924" s="7">
        <v>0</v>
      </c>
      <c r="F924" s="7">
        <v>0</v>
      </c>
      <c r="G924" s="7">
        <v>0</v>
      </c>
      <c r="H924" s="7">
        <v>0</v>
      </c>
      <c r="I924" s="7">
        <v>0</v>
      </c>
      <c r="J924" s="7">
        <v>0</v>
      </c>
      <c r="K924" s="7">
        <v>0</v>
      </c>
      <c r="L924" s="7">
        <v>0</v>
      </c>
      <c r="M924" s="7">
        <v>0</v>
      </c>
      <c r="N924" s="7">
        <v>0</v>
      </c>
      <c r="O924" s="7">
        <v>0</v>
      </c>
      <c r="P924" s="7">
        <v>0</v>
      </c>
      <c r="Q924" s="7">
        <v>0</v>
      </c>
    </row>
    <row r="925" spans="1:17">
      <c r="A925" s="2">
        <v>2873</v>
      </c>
      <c r="B925" s="7">
        <v>0</v>
      </c>
      <c r="C925" s="7">
        <v>0</v>
      </c>
      <c r="D925" s="7">
        <v>0</v>
      </c>
      <c r="E925" s="7">
        <v>0</v>
      </c>
      <c r="F925" s="7">
        <v>0</v>
      </c>
      <c r="G925" s="7">
        <v>0</v>
      </c>
      <c r="H925" s="7">
        <v>0</v>
      </c>
      <c r="I925" s="7">
        <v>0</v>
      </c>
      <c r="J925" s="7">
        <v>0</v>
      </c>
      <c r="K925" s="7">
        <v>0</v>
      </c>
      <c r="L925" s="7">
        <v>0</v>
      </c>
      <c r="M925" s="7">
        <v>0</v>
      </c>
      <c r="N925" s="7">
        <v>0</v>
      </c>
      <c r="O925" s="7">
        <v>0</v>
      </c>
      <c r="P925" s="7">
        <v>0</v>
      </c>
      <c r="Q925" s="7">
        <v>0</v>
      </c>
    </row>
    <row r="926" spans="1:17">
      <c r="A926" s="2">
        <v>2874</v>
      </c>
      <c r="B926" s="7">
        <v>0</v>
      </c>
      <c r="C926" s="7">
        <v>0</v>
      </c>
      <c r="D926" s="7">
        <v>0</v>
      </c>
      <c r="E926" s="7">
        <v>0</v>
      </c>
      <c r="F926" s="7">
        <v>0</v>
      </c>
      <c r="G926" s="7">
        <v>0</v>
      </c>
      <c r="H926" s="7">
        <v>0</v>
      </c>
      <c r="I926" s="7">
        <v>0</v>
      </c>
      <c r="J926" s="7">
        <v>0</v>
      </c>
      <c r="K926" s="7">
        <v>0</v>
      </c>
      <c r="L926" s="7">
        <v>0</v>
      </c>
      <c r="M926" s="7">
        <v>0</v>
      </c>
      <c r="N926" s="7">
        <v>0</v>
      </c>
      <c r="O926" s="7">
        <v>0</v>
      </c>
      <c r="P926" s="7">
        <v>0</v>
      </c>
      <c r="Q926" s="7">
        <v>0</v>
      </c>
    </row>
    <row r="927" spans="1:17">
      <c r="A927" s="2">
        <v>2875</v>
      </c>
      <c r="B927" s="7">
        <v>0</v>
      </c>
      <c r="C927" s="7">
        <v>0</v>
      </c>
      <c r="D927" s="7">
        <v>0</v>
      </c>
      <c r="E927" s="7">
        <v>0</v>
      </c>
      <c r="F927" s="7">
        <v>0</v>
      </c>
      <c r="G927" s="7">
        <v>0</v>
      </c>
      <c r="H927" s="7">
        <v>0</v>
      </c>
      <c r="I927" s="7">
        <v>0</v>
      </c>
      <c r="J927" s="7">
        <v>0</v>
      </c>
      <c r="K927" s="7">
        <v>0</v>
      </c>
      <c r="L927" s="7">
        <v>0</v>
      </c>
      <c r="M927" s="7">
        <v>0</v>
      </c>
      <c r="N927" s="7">
        <v>0</v>
      </c>
      <c r="O927" s="7">
        <v>0</v>
      </c>
      <c r="P927" s="7">
        <v>0</v>
      </c>
      <c r="Q927" s="7">
        <v>0</v>
      </c>
    </row>
    <row r="928" spans="1:17">
      <c r="A928" s="2">
        <v>2876</v>
      </c>
      <c r="B928" s="7">
        <v>0</v>
      </c>
      <c r="C928" s="7">
        <v>0</v>
      </c>
      <c r="D928" s="7">
        <v>0</v>
      </c>
      <c r="E928" s="7">
        <v>0</v>
      </c>
      <c r="F928" s="7">
        <v>0</v>
      </c>
      <c r="G928" s="7">
        <v>0</v>
      </c>
      <c r="H928" s="7">
        <v>0</v>
      </c>
      <c r="I928" s="7">
        <v>0</v>
      </c>
      <c r="J928" s="7">
        <v>0</v>
      </c>
      <c r="K928" s="7">
        <v>0</v>
      </c>
      <c r="L928" s="7">
        <v>0</v>
      </c>
      <c r="M928" s="7">
        <v>0</v>
      </c>
      <c r="N928" s="7">
        <v>0</v>
      </c>
      <c r="O928" s="7">
        <v>0</v>
      </c>
      <c r="P928" s="7">
        <v>0</v>
      </c>
      <c r="Q928" s="7">
        <v>0</v>
      </c>
    </row>
    <row r="929" spans="1:17">
      <c r="A929" s="2">
        <v>2877</v>
      </c>
      <c r="B929" s="7">
        <v>0</v>
      </c>
      <c r="C929" s="7">
        <v>0</v>
      </c>
      <c r="D929" s="7">
        <v>0</v>
      </c>
      <c r="E929" s="7">
        <v>0</v>
      </c>
      <c r="F929" s="7">
        <v>0</v>
      </c>
      <c r="G929" s="7">
        <v>0</v>
      </c>
      <c r="H929" s="7">
        <v>0</v>
      </c>
      <c r="I929" s="7">
        <v>0</v>
      </c>
      <c r="J929" s="7">
        <v>0</v>
      </c>
      <c r="K929" s="7">
        <v>0</v>
      </c>
      <c r="L929" s="7">
        <v>0</v>
      </c>
      <c r="M929" s="7">
        <v>0</v>
      </c>
      <c r="N929" s="7">
        <v>0</v>
      </c>
      <c r="O929" s="7">
        <v>0</v>
      </c>
      <c r="P929" s="7">
        <v>0</v>
      </c>
      <c r="Q929" s="7">
        <v>0</v>
      </c>
    </row>
    <row r="930" spans="1:17">
      <c r="A930" s="2">
        <v>2878</v>
      </c>
      <c r="B930" s="7">
        <v>0</v>
      </c>
      <c r="C930" s="7">
        <v>0</v>
      </c>
      <c r="D930" s="7">
        <v>0</v>
      </c>
      <c r="E930" s="7">
        <v>0</v>
      </c>
      <c r="F930" s="7">
        <v>0</v>
      </c>
      <c r="G930" s="7">
        <v>0</v>
      </c>
      <c r="H930" s="7">
        <v>0</v>
      </c>
      <c r="I930" s="7">
        <v>0</v>
      </c>
      <c r="J930" s="7">
        <v>0</v>
      </c>
      <c r="K930" s="7">
        <v>0</v>
      </c>
      <c r="L930" s="7">
        <v>0</v>
      </c>
      <c r="M930" s="7">
        <v>0</v>
      </c>
      <c r="N930" s="7">
        <v>0</v>
      </c>
      <c r="O930" s="7">
        <v>0</v>
      </c>
      <c r="P930" s="7">
        <v>0</v>
      </c>
      <c r="Q930" s="7">
        <v>0</v>
      </c>
    </row>
    <row r="931" spans="1:17">
      <c r="A931" s="2">
        <v>2879</v>
      </c>
      <c r="B931" s="7">
        <v>0</v>
      </c>
      <c r="C931" s="7">
        <v>0</v>
      </c>
      <c r="D931" s="7">
        <v>0</v>
      </c>
      <c r="E931" s="7">
        <v>0</v>
      </c>
      <c r="F931" s="7">
        <v>0</v>
      </c>
      <c r="G931" s="7">
        <v>0</v>
      </c>
      <c r="H931" s="7">
        <v>0</v>
      </c>
      <c r="I931" s="7">
        <v>0</v>
      </c>
      <c r="J931" s="7">
        <v>0</v>
      </c>
      <c r="K931" s="7">
        <v>0</v>
      </c>
      <c r="L931" s="7">
        <v>0</v>
      </c>
      <c r="M931" s="7">
        <v>0</v>
      </c>
      <c r="N931" s="7">
        <v>0</v>
      </c>
      <c r="O931" s="7">
        <v>0</v>
      </c>
      <c r="P931" s="7">
        <v>0</v>
      </c>
      <c r="Q931" s="7">
        <v>0</v>
      </c>
    </row>
    <row r="932" spans="1:17">
      <c r="A932" s="2">
        <v>2880</v>
      </c>
      <c r="B932" s="7">
        <v>0</v>
      </c>
      <c r="C932" s="7">
        <v>0</v>
      </c>
      <c r="D932" s="7">
        <v>0</v>
      </c>
      <c r="E932" s="7">
        <v>0</v>
      </c>
      <c r="F932" s="7">
        <v>0</v>
      </c>
      <c r="G932" s="7">
        <v>0</v>
      </c>
      <c r="H932" s="7">
        <v>0</v>
      </c>
      <c r="I932" s="7">
        <v>0</v>
      </c>
      <c r="J932" s="7">
        <v>0</v>
      </c>
      <c r="K932" s="7">
        <v>0</v>
      </c>
      <c r="L932" s="7">
        <v>0</v>
      </c>
      <c r="M932" s="7">
        <v>0</v>
      </c>
      <c r="N932" s="7">
        <v>0</v>
      </c>
      <c r="O932" s="7">
        <v>0</v>
      </c>
      <c r="P932" s="7">
        <v>0</v>
      </c>
      <c r="Q932" s="7">
        <v>0</v>
      </c>
    </row>
    <row r="933" spans="1:17">
      <c r="A933" s="2">
        <v>2881</v>
      </c>
      <c r="B933" s="7">
        <v>0</v>
      </c>
      <c r="C933" s="7">
        <v>0</v>
      </c>
      <c r="D933" s="7">
        <v>0</v>
      </c>
      <c r="E933" s="7">
        <v>0</v>
      </c>
      <c r="F933" s="7">
        <v>0</v>
      </c>
      <c r="G933" s="7">
        <v>0</v>
      </c>
      <c r="H933" s="7">
        <v>0</v>
      </c>
      <c r="I933" s="7">
        <v>0</v>
      </c>
      <c r="J933" s="7">
        <v>0</v>
      </c>
      <c r="K933" s="7">
        <v>0</v>
      </c>
      <c r="L933" s="7">
        <v>0</v>
      </c>
      <c r="M933" s="7">
        <v>0</v>
      </c>
      <c r="N933" s="7">
        <v>0</v>
      </c>
      <c r="O933" s="7">
        <v>0</v>
      </c>
      <c r="P933" s="7">
        <v>0</v>
      </c>
      <c r="Q933" s="7">
        <v>0</v>
      </c>
    </row>
    <row r="934" spans="1:17">
      <c r="A934" s="2">
        <v>2882</v>
      </c>
      <c r="B934" s="7">
        <v>0</v>
      </c>
      <c r="C934" s="7">
        <v>0</v>
      </c>
      <c r="D934" s="7">
        <v>0</v>
      </c>
      <c r="E934" s="7">
        <v>0</v>
      </c>
      <c r="F934" s="7">
        <v>0</v>
      </c>
      <c r="G934" s="7">
        <v>0</v>
      </c>
      <c r="H934" s="7">
        <v>0</v>
      </c>
      <c r="I934" s="7">
        <v>0</v>
      </c>
      <c r="J934" s="7">
        <v>0</v>
      </c>
      <c r="K934" s="7">
        <v>0</v>
      </c>
      <c r="L934" s="7">
        <v>0</v>
      </c>
      <c r="M934" s="7">
        <v>0</v>
      </c>
      <c r="N934" s="7">
        <v>0</v>
      </c>
      <c r="O934" s="7">
        <v>0</v>
      </c>
      <c r="P934" s="7">
        <v>0</v>
      </c>
      <c r="Q934" s="7">
        <v>0</v>
      </c>
    </row>
    <row r="935" spans="1:17">
      <c r="A935" s="2">
        <v>2883</v>
      </c>
      <c r="B935" s="7">
        <v>0</v>
      </c>
      <c r="C935" s="7">
        <v>0</v>
      </c>
      <c r="D935" s="7">
        <v>0</v>
      </c>
      <c r="E935" s="7">
        <v>0</v>
      </c>
      <c r="F935" s="7">
        <v>0</v>
      </c>
      <c r="G935" s="7">
        <v>0</v>
      </c>
      <c r="H935" s="7">
        <v>0</v>
      </c>
      <c r="I935" s="7">
        <v>0</v>
      </c>
      <c r="J935" s="7">
        <v>0</v>
      </c>
      <c r="K935" s="7">
        <v>0</v>
      </c>
      <c r="L935" s="7">
        <v>0</v>
      </c>
      <c r="M935" s="7">
        <v>0</v>
      </c>
      <c r="N935" s="7">
        <v>0</v>
      </c>
      <c r="O935" s="7">
        <v>0</v>
      </c>
      <c r="P935" s="7">
        <v>0</v>
      </c>
      <c r="Q935" s="7">
        <v>0</v>
      </c>
    </row>
    <row r="936" spans="1:17">
      <c r="A936" s="2">
        <v>2884</v>
      </c>
      <c r="B936" s="7">
        <v>0</v>
      </c>
      <c r="C936" s="7">
        <v>0</v>
      </c>
      <c r="D936" s="7">
        <v>0</v>
      </c>
      <c r="E936" s="7">
        <v>0</v>
      </c>
      <c r="F936" s="7">
        <v>0</v>
      </c>
      <c r="G936" s="7">
        <v>0</v>
      </c>
      <c r="H936" s="7">
        <v>0</v>
      </c>
      <c r="I936" s="7">
        <v>0</v>
      </c>
      <c r="J936" s="7">
        <v>0</v>
      </c>
      <c r="K936" s="7">
        <v>0</v>
      </c>
      <c r="L936" s="7">
        <v>0</v>
      </c>
      <c r="M936" s="7">
        <v>0</v>
      </c>
      <c r="N936" s="7">
        <v>0</v>
      </c>
      <c r="O936" s="7">
        <v>0</v>
      </c>
      <c r="P936" s="7">
        <v>0</v>
      </c>
      <c r="Q936" s="7">
        <v>0</v>
      </c>
    </row>
    <row r="937" spans="1:17">
      <c r="A937" s="2">
        <v>2885</v>
      </c>
      <c r="B937" s="7">
        <v>0</v>
      </c>
      <c r="C937" s="7">
        <v>0</v>
      </c>
      <c r="D937" s="7">
        <v>0</v>
      </c>
      <c r="E937" s="7">
        <v>0</v>
      </c>
      <c r="F937" s="7">
        <v>0</v>
      </c>
      <c r="G937" s="7">
        <v>0</v>
      </c>
      <c r="H937" s="7">
        <v>0</v>
      </c>
      <c r="I937" s="7">
        <v>0</v>
      </c>
      <c r="J937" s="7">
        <v>0</v>
      </c>
      <c r="K937" s="7">
        <v>0</v>
      </c>
      <c r="L937" s="7">
        <v>0</v>
      </c>
      <c r="M937" s="7">
        <v>0</v>
      </c>
      <c r="N937" s="7">
        <v>0</v>
      </c>
      <c r="O937" s="7">
        <v>0</v>
      </c>
      <c r="P937" s="7">
        <v>0</v>
      </c>
      <c r="Q937" s="7">
        <v>0</v>
      </c>
    </row>
    <row r="938" spans="1:17">
      <c r="A938" s="2">
        <v>2886</v>
      </c>
      <c r="B938" s="7">
        <v>0</v>
      </c>
      <c r="C938" s="7">
        <v>0</v>
      </c>
      <c r="D938" s="7">
        <v>0</v>
      </c>
      <c r="E938" s="7">
        <v>0</v>
      </c>
      <c r="F938" s="7">
        <v>0</v>
      </c>
      <c r="G938" s="7">
        <v>0</v>
      </c>
      <c r="H938" s="7">
        <v>0</v>
      </c>
      <c r="I938" s="7">
        <v>0</v>
      </c>
      <c r="J938" s="7">
        <v>0</v>
      </c>
      <c r="K938" s="7">
        <v>0</v>
      </c>
      <c r="L938" s="7">
        <v>0</v>
      </c>
      <c r="M938" s="7">
        <v>0</v>
      </c>
      <c r="N938" s="7">
        <v>0</v>
      </c>
      <c r="O938" s="7">
        <v>0</v>
      </c>
      <c r="P938" s="7">
        <v>0</v>
      </c>
      <c r="Q938" s="7">
        <v>0</v>
      </c>
    </row>
    <row r="939" spans="1:17">
      <c r="A939" s="2">
        <v>2887</v>
      </c>
      <c r="B939" s="7">
        <v>0</v>
      </c>
      <c r="C939" s="7">
        <v>0</v>
      </c>
      <c r="D939" s="7">
        <v>0</v>
      </c>
      <c r="E939" s="7">
        <v>0</v>
      </c>
      <c r="F939" s="7">
        <v>0</v>
      </c>
      <c r="G939" s="7">
        <v>0</v>
      </c>
      <c r="H939" s="7">
        <v>0</v>
      </c>
      <c r="I939" s="7">
        <v>0</v>
      </c>
      <c r="J939" s="7">
        <v>0</v>
      </c>
      <c r="K939" s="7">
        <v>0</v>
      </c>
      <c r="L939" s="7">
        <v>0</v>
      </c>
      <c r="M939" s="7">
        <v>0</v>
      </c>
      <c r="N939" s="7">
        <v>0</v>
      </c>
      <c r="O939" s="7">
        <v>0</v>
      </c>
      <c r="P939" s="7">
        <v>0</v>
      </c>
      <c r="Q939" s="7">
        <v>0</v>
      </c>
    </row>
    <row r="940" spans="1:17">
      <c r="A940" s="2">
        <v>2888</v>
      </c>
      <c r="B940" s="7">
        <v>0</v>
      </c>
      <c r="C940" s="7">
        <v>0</v>
      </c>
      <c r="D940" s="7">
        <v>0</v>
      </c>
      <c r="E940" s="7">
        <v>0</v>
      </c>
      <c r="F940" s="7">
        <v>0</v>
      </c>
      <c r="G940" s="7">
        <v>0</v>
      </c>
      <c r="H940" s="7">
        <v>0</v>
      </c>
      <c r="I940" s="7">
        <v>0</v>
      </c>
      <c r="J940" s="7">
        <v>0</v>
      </c>
      <c r="K940" s="7">
        <v>0</v>
      </c>
      <c r="L940" s="7">
        <v>0</v>
      </c>
      <c r="M940" s="7">
        <v>0</v>
      </c>
      <c r="N940" s="7">
        <v>0</v>
      </c>
      <c r="O940" s="7">
        <v>0</v>
      </c>
      <c r="P940" s="7">
        <v>0</v>
      </c>
      <c r="Q940" s="7">
        <v>0</v>
      </c>
    </row>
    <row r="941" spans="1:17">
      <c r="A941" s="2">
        <v>2889</v>
      </c>
      <c r="B941" s="7">
        <v>0</v>
      </c>
      <c r="C941" s="7">
        <v>0</v>
      </c>
      <c r="D941" s="7">
        <v>0</v>
      </c>
      <c r="E941" s="7">
        <v>0</v>
      </c>
      <c r="F941" s="7">
        <v>0</v>
      </c>
      <c r="G941" s="7">
        <v>0</v>
      </c>
      <c r="H941" s="7">
        <v>0</v>
      </c>
      <c r="I941" s="7">
        <v>0</v>
      </c>
      <c r="J941" s="7">
        <v>0</v>
      </c>
      <c r="K941" s="7">
        <v>0</v>
      </c>
      <c r="L941" s="7">
        <v>0</v>
      </c>
      <c r="M941" s="7">
        <v>0</v>
      </c>
      <c r="N941" s="7">
        <v>0</v>
      </c>
      <c r="O941" s="7">
        <v>0</v>
      </c>
      <c r="P941" s="7">
        <v>0</v>
      </c>
      <c r="Q941" s="7">
        <v>0</v>
      </c>
    </row>
    <row r="942" spans="1:17">
      <c r="A942" s="2">
        <v>2890</v>
      </c>
      <c r="B942" s="7">
        <v>0</v>
      </c>
      <c r="C942" s="7">
        <v>0</v>
      </c>
      <c r="D942" s="7">
        <v>0</v>
      </c>
      <c r="E942" s="7">
        <v>0</v>
      </c>
      <c r="F942" s="7">
        <v>0</v>
      </c>
      <c r="G942" s="7">
        <v>0</v>
      </c>
      <c r="H942" s="7">
        <v>0</v>
      </c>
      <c r="I942" s="7">
        <v>0</v>
      </c>
      <c r="J942" s="7">
        <v>0</v>
      </c>
      <c r="K942" s="7">
        <v>0</v>
      </c>
      <c r="L942" s="7">
        <v>0</v>
      </c>
      <c r="M942" s="7">
        <v>0</v>
      </c>
      <c r="N942" s="7">
        <v>0</v>
      </c>
      <c r="O942" s="7">
        <v>0</v>
      </c>
      <c r="P942" s="7">
        <v>0</v>
      </c>
      <c r="Q942" s="7">
        <v>0</v>
      </c>
    </row>
    <row r="943" spans="1:17">
      <c r="A943" s="2">
        <v>2891</v>
      </c>
      <c r="B943" s="7">
        <v>0</v>
      </c>
      <c r="C943" s="7">
        <v>0</v>
      </c>
      <c r="D943" s="7">
        <v>0</v>
      </c>
      <c r="E943" s="7">
        <v>0</v>
      </c>
      <c r="F943" s="7">
        <v>0</v>
      </c>
      <c r="G943" s="7">
        <v>0</v>
      </c>
      <c r="H943" s="7">
        <v>0</v>
      </c>
      <c r="I943" s="7">
        <v>0</v>
      </c>
      <c r="J943" s="7">
        <v>0</v>
      </c>
      <c r="K943" s="7">
        <v>0</v>
      </c>
      <c r="L943" s="7">
        <v>0</v>
      </c>
      <c r="M943" s="7">
        <v>0</v>
      </c>
      <c r="N943" s="7">
        <v>0</v>
      </c>
      <c r="O943" s="7">
        <v>0</v>
      </c>
      <c r="P943" s="7">
        <v>0</v>
      </c>
      <c r="Q943" s="7">
        <v>0</v>
      </c>
    </row>
    <row r="944" spans="1:17">
      <c r="A944" s="2">
        <v>2892</v>
      </c>
      <c r="B944" s="7">
        <v>0</v>
      </c>
      <c r="C944" s="7">
        <v>0</v>
      </c>
      <c r="D944" s="7">
        <v>0</v>
      </c>
      <c r="E944" s="7">
        <v>0</v>
      </c>
      <c r="F944" s="7">
        <v>0</v>
      </c>
      <c r="G944" s="7">
        <v>0</v>
      </c>
      <c r="H944" s="7">
        <v>0</v>
      </c>
      <c r="I944" s="7">
        <v>0</v>
      </c>
      <c r="J944" s="7">
        <v>0</v>
      </c>
      <c r="K944" s="7">
        <v>0</v>
      </c>
      <c r="L944" s="7">
        <v>0</v>
      </c>
      <c r="M944" s="7">
        <v>0</v>
      </c>
      <c r="N944" s="7">
        <v>0</v>
      </c>
      <c r="O944" s="7">
        <v>0</v>
      </c>
      <c r="P944" s="7">
        <v>0</v>
      </c>
      <c r="Q944" s="7">
        <v>0</v>
      </c>
    </row>
    <row r="945" spans="1:17">
      <c r="A945" s="2">
        <v>2893</v>
      </c>
      <c r="B945" s="7">
        <v>0</v>
      </c>
      <c r="C945" s="7">
        <v>0</v>
      </c>
      <c r="D945" s="7">
        <v>0</v>
      </c>
      <c r="E945" s="7">
        <v>0</v>
      </c>
      <c r="F945" s="7">
        <v>0</v>
      </c>
      <c r="G945" s="7">
        <v>0</v>
      </c>
      <c r="H945" s="7">
        <v>0</v>
      </c>
      <c r="I945" s="7">
        <v>0</v>
      </c>
      <c r="J945" s="7">
        <v>0</v>
      </c>
      <c r="K945" s="7">
        <v>0</v>
      </c>
      <c r="L945" s="7">
        <v>0</v>
      </c>
      <c r="M945" s="7">
        <v>0</v>
      </c>
      <c r="N945" s="7">
        <v>0</v>
      </c>
      <c r="O945" s="7">
        <v>0</v>
      </c>
      <c r="P945" s="7">
        <v>0</v>
      </c>
      <c r="Q945" s="7">
        <v>0</v>
      </c>
    </row>
    <row r="946" spans="1:17">
      <c r="A946" s="2">
        <v>2894</v>
      </c>
      <c r="B946" s="7">
        <v>0</v>
      </c>
      <c r="C946" s="7">
        <v>0</v>
      </c>
      <c r="D946" s="7">
        <v>0</v>
      </c>
      <c r="E946" s="7">
        <v>0</v>
      </c>
      <c r="F946" s="7">
        <v>0</v>
      </c>
      <c r="G946" s="7">
        <v>0</v>
      </c>
      <c r="H946" s="7">
        <v>0</v>
      </c>
      <c r="I946" s="7">
        <v>0</v>
      </c>
      <c r="J946" s="7">
        <v>0</v>
      </c>
      <c r="K946" s="7">
        <v>0</v>
      </c>
      <c r="L946" s="7">
        <v>0</v>
      </c>
      <c r="M946" s="7">
        <v>0</v>
      </c>
      <c r="N946" s="7">
        <v>0</v>
      </c>
      <c r="O946" s="7">
        <v>0</v>
      </c>
      <c r="P946" s="7">
        <v>0</v>
      </c>
      <c r="Q946" s="7">
        <v>0</v>
      </c>
    </row>
    <row r="947" spans="1:17">
      <c r="A947" s="2">
        <v>2895</v>
      </c>
      <c r="B947" s="7">
        <v>0</v>
      </c>
      <c r="C947" s="7">
        <v>0</v>
      </c>
      <c r="D947" s="7">
        <v>0</v>
      </c>
      <c r="E947" s="7">
        <v>0</v>
      </c>
      <c r="F947" s="7">
        <v>0</v>
      </c>
      <c r="G947" s="7">
        <v>0</v>
      </c>
      <c r="H947" s="7">
        <v>0</v>
      </c>
      <c r="I947" s="7">
        <v>0</v>
      </c>
      <c r="J947" s="7">
        <v>0</v>
      </c>
      <c r="K947" s="7">
        <v>0</v>
      </c>
      <c r="L947" s="7">
        <v>0</v>
      </c>
      <c r="M947" s="7">
        <v>0</v>
      </c>
      <c r="N947" s="7">
        <v>0</v>
      </c>
      <c r="O947" s="7">
        <v>0</v>
      </c>
      <c r="P947" s="7">
        <v>0</v>
      </c>
      <c r="Q947" s="7">
        <v>0</v>
      </c>
    </row>
    <row r="948" spans="1:17">
      <c r="A948" s="2">
        <v>2896</v>
      </c>
      <c r="B948" s="7">
        <v>0</v>
      </c>
      <c r="C948" s="7">
        <v>0</v>
      </c>
      <c r="D948" s="7">
        <v>0</v>
      </c>
      <c r="E948" s="7">
        <v>0</v>
      </c>
      <c r="F948" s="7">
        <v>0</v>
      </c>
      <c r="G948" s="7">
        <v>0</v>
      </c>
      <c r="H948" s="7">
        <v>0</v>
      </c>
      <c r="I948" s="7">
        <v>0</v>
      </c>
      <c r="J948" s="7">
        <v>0</v>
      </c>
      <c r="K948" s="7">
        <v>0</v>
      </c>
      <c r="L948" s="7">
        <v>0</v>
      </c>
      <c r="M948" s="7">
        <v>0</v>
      </c>
      <c r="N948" s="7">
        <v>0</v>
      </c>
      <c r="O948" s="7">
        <v>0</v>
      </c>
      <c r="P948" s="7">
        <v>0</v>
      </c>
      <c r="Q948" s="7">
        <v>0</v>
      </c>
    </row>
    <row r="949" spans="1:17">
      <c r="A949" s="2">
        <v>2897</v>
      </c>
      <c r="B949" s="7">
        <v>0</v>
      </c>
      <c r="C949" s="7">
        <v>0</v>
      </c>
      <c r="D949" s="7">
        <v>0</v>
      </c>
      <c r="E949" s="7">
        <v>0</v>
      </c>
      <c r="F949" s="7">
        <v>0</v>
      </c>
      <c r="G949" s="7">
        <v>0</v>
      </c>
      <c r="H949" s="7">
        <v>0</v>
      </c>
      <c r="I949" s="7">
        <v>0</v>
      </c>
      <c r="J949" s="7">
        <v>0</v>
      </c>
      <c r="K949" s="7">
        <v>0</v>
      </c>
      <c r="L949" s="7">
        <v>0</v>
      </c>
      <c r="M949" s="7">
        <v>0</v>
      </c>
      <c r="N949" s="7">
        <v>0</v>
      </c>
      <c r="O949" s="7">
        <v>0</v>
      </c>
      <c r="P949" s="7">
        <v>0</v>
      </c>
      <c r="Q949" s="7">
        <v>0</v>
      </c>
    </row>
    <row r="950" spans="1:17">
      <c r="A950" s="2">
        <v>2898</v>
      </c>
      <c r="B950" s="7">
        <v>0</v>
      </c>
      <c r="C950" s="7">
        <v>0</v>
      </c>
      <c r="D950" s="7">
        <v>0</v>
      </c>
      <c r="E950" s="7">
        <v>0</v>
      </c>
      <c r="F950" s="7">
        <v>0</v>
      </c>
      <c r="G950" s="7">
        <v>0</v>
      </c>
      <c r="H950" s="7">
        <v>0</v>
      </c>
      <c r="I950" s="7">
        <v>0</v>
      </c>
      <c r="J950" s="7">
        <v>0</v>
      </c>
      <c r="K950" s="7">
        <v>0</v>
      </c>
      <c r="L950" s="7">
        <v>0</v>
      </c>
      <c r="M950" s="7">
        <v>0</v>
      </c>
      <c r="N950" s="7">
        <v>0</v>
      </c>
      <c r="O950" s="7">
        <v>0</v>
      </c>
      <c r="P950" s="7">
        <v>0</v>
      </c>
      <c r="Q950" s="7">
        <v>0</v>
      </c>
    </row>
    <row r="951" spans="1:17">
      <c r="A951" s="2">
        <v>2899</v>
      </c>
      <c r="B951" s="7">
        <v>0</v>
      </c>
      <c r="C951" s="7">
        <v>0</v>
      </c>
      <c r="D951" s="7">
        <v>0</v>
      </c>
      <c r="E951" s="7">
        <v>0</v>
      </c>
      <c r="F951" s="7">
        <v>0</v>
      </c>
      <c r="G951" s="7">
        <v>0</v>
      </c>
      <c r="H951" s="7">
        <v>0</v>
      </c>
      <c r="I951" s="7">
        <v>0</v>
      </c>
      <c r="J951" s="7">
        <v>0</v>
      </c>
      <c r="K951" s="7">
        <v>0</v>
      </c>
      <c r="L951" s="7">
        <v>0</v>
      </c>
      <c r="M951" s="7">
        <v>0</v>
      </c>
      <c r="N951" s="7">
        <v>0</v>
      </c>
      <c r="O951" s="7">
        <v>0</v>
      </c>
      <c r="P951" s="7">
        <v>0</v>
      </c>
      <c r="Q951" s="7">
        <v>0</v>
      </c>
    </row>
    <row r="952" spans="1:17">
      <c r="A952" s="2">
        <v>2900</v>
      </c>
      <c r="B952" s="7">
        <v>0</v>
      </c>
      <c r="C952" s="7">
        <v>0</v>
      </c>
      <c r="D952" s="7">
        <v>0</v>
      </c>
      <c r="E952" s="7">
        <v>0</v>
      </c>
      <c r="F952" s="7">
        <v>0</v>
      </c>
      <c r="G952" s="7">
        <v>0</v>
      </c>
      <c r="H952" s="7">
        <v>0</v>
      </c>
      <c r="I952" s="7">
        <v>0</v>
      </c>
      <c r="J952" s="7">
        <v>0</v>
      </c>
      <c r="K952" s="7">
        <v>0</v>
      </c>
      <c r="L952" s="7">
        <v>0</v>
      </c>
      <c r="M952" s="7">
        <v>0</v>
      </c>
      <c r="N952" s="7">
        <v>0</v>
      </c>
      <c r="O952" s="7">
        <v>0</v>
      </c>
      <c r="P952" s="7">
        <v>0</v>
      </c>
      <c r="Q952" s="7">
        <v>0</v>
      </c>
    </row>
    <row r="953" spans="1:17">
      <c r="A953" s="2">
        <v>2901</v>
      </c>
      <c r="B953" s="7">
        <v>0</v>
      </c>
      <c r="C953" s="7">
        <v>0</v>
      </c>
      <c r="D953" s="7">
        <v>0</v>
      </c>
      <c r="E953" s="7">
        <v>0</v>
      </c>
      <c r="F953" s="7">
        <v>0</v>
      </c>
      <c r="G953" s="7">
        <v>0</v>
      </c>
      <c r="H953" s="7">
        <v>0</v>
      </c>
      <c r="I953" s="7">
        <v>0</v>
      </c>
      <c r="J953" s="7">
        <v>0</v>
      </c>
      <c r="K953" s="7">
        <v>0</v>
      </c>
      <c r="L953" s="7">
        <v>0</v>
      </c>
      <c r="M953" s="7">
        <v>0</v>
      </c>
      <c r="N953" s="7">
        <v>0</v>
      </c>
      <c r="O953" s="7">
        <v>0</v>
      </c>
      <c r="P953" s="7">
        <v>0</v>
      </c>
      <c r="Q953" s="7">
        <v>0</v>
      </c>
    </row>
    <row r="954" spans="1:17">
      <c r="A954" s="2">
        <v>2902</v>
      </c>
      <c r="B954" s="7">
        <v>0</v>
      </c>
      <c r="C954" s="7">
        <v>0</v>
      </c>
      <c r="D954" s="7">
        <v>0</v>
      </c>
      <c r="E954" s="7">
        <v>0</v>
      </c>
      <c r="F954" s="7">
        <v>0</v>
      </c>
      <c r="G954" s="7">
        <v>0</v>
      </c>
      <c r="H954" s="7">
        <v>0</v>
      </c>
      <c r="I954" s="7">
        <v>0</v>
      </c>
      <c r="J954" s="7">
        <v>0</v>
      </c>
      <c r="K954" s="7">
        <v>0</v>
      </c>
      <c r="L954" s="7">
        <v>0</v>
      </c>
      <c r="M954" s="7">
        <v>0</v>
      </c>
      <c r="N954" s="7">
        <v>0</v>
      </c>
      <c r="O954" s="7">
        <v>0</v>
      </c>
      <c r="P954" s="7">
        <v>0</v>
      </c>
      <c r="Q954" s="7">
        <v>0</v>
      </c>
    </row>
    <row r="955" spans="1:17">
      <c r="A955" s="2">
        <v>2903</v>
      </c>
      <c r="B955" s="7">
        <v>0</v>
      </c>
      <c r="C955" s="7">
        <v>0</v>
      </c>
      <c r="D955" s="7">
        <v>0</v>
      </c>
      <c r="E955" s="7">
        <v>0</v>
      </c>
      <c r="F955" s="7">
        <v>0</v>
      </c>
      <c r="G955" s="7">
        <v>0</v>
      </c>
      <c r="H955" s="7">
        <v>0</v>
      </c>
      <c r="I955" s="7">
        <v>0</v>
      </c>
      <c r="J955" s="7">
        <v>0</v>
      </c>
      <c r="K955" s="7">
        <v>0</v>
      </c>
      <c r="L955" s="7">
        <v>0</v>
      </c>
      <c r="M955" s="7">
        <v>0</v>
      </c>
      <c r="N955" s="7">
        <v>0</v>
      </c>
      <c r="O955" s="7">
        <v>0</v>
      </c>
      <c r="P955" s="7">
        <v>0</v>
      </c>
      <c r="Q955" s="7">
        <v>0</v>
      </c>
    </row>
    <row r="956" spans="1:17">
      <c r="A956" s="2">
        <v>2904</v>
      </c>
      <c r="B956" s="7">
        <v>0</v>
      </c>
      <c r="C956" s="7">
        <v>0</v>
      </c>
      <c r="D956" s="7">
        <v>0</v>
      </c>
      <c r="E956" s="7">
        <v>0</v>
      </c>
      <c r="F956" s="7">
        <v>0</v>
      </c>
      <c r="G956" s="7">
        <v>0</v>
      </c>
      <c r="H956" s="7">
        <v>0</v>
      </c>
      <c r="I956" s="7">
        <v>0</v>
      </c>
      <c r="J956" s="7">
        <v>0</v>
      </c>
      <c r="K956" s="7">
        <v>0</v>
      </c>
      <c r="L956" s="7">
        <v>0</v>
      </c>
      <c r="M956" s="7">
        <v>0</v>
      </c>
      <c r="N956" s="7">
        <v>0</v>
      </c>
      <c r="O956" s="7">
        <v>0</v>
      </c>
      <c r="P956" s="7">
        <v>0</v>
      </c>
      <c r="Q956" s="7">
        <v>0</v>
      </c>
    </row>
    <row r="957" spans="1:17">
      <c r="A957" s="2">
        <v>2905</v>
      </c>
      <c r="B957" s="7">
        <v>0</v>
      </c>
      <c r="C957" s="7">
        <v>0</v>
      </c>
      <c r="D957" s="7">
        <v>0</v>
      </c>
      <c r="E957" s="7">
        <v>0</v>
      </c>
      <c r="F957" s="7">
        <v>0</v>
      </c>
      <c r="G957" s="7">
        <v>0</v>
      </c>
      <c r="H957" s="7">
        <v>0</v>
      </c>
      <c r="I957" s="7">
        <v>0</v>
      </c>
      <c r="J957" s="7">
        <v>0</v>
      </c>
      <c r="K957" s="7">
        <v>0</v>
      </c>
      <c r="L957" s="7">
        <v>0</v>
      </c>
      <c r="M957" s="7">
        <v>0</v>
      </c>
      <c r="N957" s="7">
        <v>0</v>
      </c>
      <c r="O957" s="7">
        <v>0</v>
      </c>
      <c r="P957" s="7">
        <v>0</v>
      </c>
      <c r="Q957" s="7">
        <v>0</v>
      </c>
    </row>
    <row r="958" spans="1:17">
      <c r="A958" s="2">
        <v>2906</v>
      </c>
      <c r="B958" s="7">
        <v>0</v>
      </c>
      <c r="C958" s="7">
        <v>0</v>
      </c>
      <c r="D958" s="7">
        <v>0</v>
      </c>
      <c r="E958" s="7">
        <v>0</v>
      </c>
      <c r="F958" s="7">
        <v>0</v>
      </c>
      <c r="G958" s="7">
        <v>0</v>
      </c>
      <c r="H958" s="7">
        <v>0</v>
      </c>
      <c r="I958" s="7">
        <v>0</v>
      </c>
      <c r="J958" s="7">
        <v>0</v>
      </c>
      <c r="K958" s="7">
        <v>0</v>
      </c>
      <c r="L958" s="7">
        <v>0</v>
      </c>
      <c r="M958" s="7">
        <v>0</v>
      </c>
      <c r="N958" s="7">
        <v>0</v>
      </c>
      <c r="O958" s="7">
        <v>0</v>
      </c>
      <c r="P958" s="7">
        <v>0</v>
      </c>
      <c r="Q958" s="7">
        <v>0</v>
      </c>
    </row>
    <row r="959" spans="1:17">
      <c r="A959" s="2">
        <v>2907</v>
      </c>
      <c r="B959" s="7">
        <v>0</v>
      </c>
      <c r="C959" s="7">
        <v>0</v>
      </c>
      <c r="D959" s="7">
        <v>0</v>
      </c>
      <c r="E959" s="7">
        <v>0</v>
      </c>
      <c r="F959" s="7">
        <v>0</v>
      </c>
      <c r="G959" s="7">
        <v>0</v>
      </c>
      <c r="H959" s="7">
        <v>0</v>
      </c>
      <c r="I959" s="7">
        <v>0</v>
      </c>
      <c r="J959" s="7">
        <v>0</v>
      </c>
      <c r="K959" s="7">
        <v>0</v>
      </c>
      <c r="L959" s="7">
        <v>0</v>
      </c>
      <c r="M959" s="7">
        <v>0</v>
      </c>
      <c r="N959" s="7">
        <v>0</v>
      </c>
      <c r="O959" s="7">
        <v>0</v>
      </c>
      <c r="P959" s="7">
        <v>0</v>
      </c>
      <c r="Q959" s="7">
        <v>0</v>
      </c>
    </row>
    <row r="960" spans="1:17">
      <c r="A960" s="2">
        <v>2908</v>
      </c>
      <c r="B960" s="7">
        <v>0</v>
      </c>
      <c r="C960" s="7">
        <v>0</v>
      </c>
      <c r="D960" s="7">
        <v>0</v>
      </c>
      <c r="E960" s="7">
        <v>0</v>
      </c>
      <c r="F960" s="7">
        <v>0</v>
      </c>
      <c r="G960" s="7">
        <v>0</v>
      </c>
      <c r="H960" s="7">
        <v>0</v>
      </c>
      <c r="I960" s="7">
        <v>0</v>
      </c>
      <c r="J960" s="7">
        <v>0</v>
      </c>
      <c r="K960" s="7">
        <v>0</v>
      </c>
      <c r="L960" s="7">
        <v>0</v>
      </c>
      <c r="M960" s="7">
        <v>0</v>
      </c>
      <c r="N960" s="7">
        <v>0</v>
      </c>
      <c r="O960" s="7">
        <v>0</v>
      </c>
      <c r="P960" s="7">
        <v>0</v>
      </c>
      <c r="Q960" s="7">
        <v>0</v>
      </c>
    </row>
    <row r="961" spans="1:17">
      <c r="A961" s="2">
        <v>2909</v>
      </c>
      <c r="B961" s="7">
        <v>0</v>
      </c>
      <c r="C961" s="7">
        <v>0</v>
      </c>
      <c r="D961" s="7">
        <v>0</v>
      </c>
      <c r="E961" s="7">
        <v>0</v>
      </c>
      <c r="F961" s="7">
        <v>0</v>
      </c>
      <c r="G961" s="7">
        <v>0</v>
      </c>
      <c r="H961" s="7">
        <v>0</v>
      </c>
      <c r="I961" s="7">
        <v>0</v>
      </c>
      <c r="J961" s="7">
        <v>0</v>
      </c>
      <c r="K961" s="7">
        <v>0</v>
      </c>
      <c r="L961" s="7">
        <v>0</v>
      </c>
      <c r="M961" s="7">
        <v>0</v>
      </c>
      <c r="N961" s="7">
        <v>0</v>
      </c>
      <c r="O961" s="7">
        <v>0</v>
      </c>
      <c r="P961" s="7">
        <v>0</v>
      </c>
      <c r="Q961" s="7">
        <v>0</v>
      </c>
    </row>
    <row r="962" spans="1:17">
      <c r="A962" s="2">
        <v>2910</v>
      </c>
      <c r="B962" s="7">
        <v>0</v>
      </c>
      <c r="C962" s="7">
        <v>0</v>
      </c>
      <c r="D962" s="7">
        <v>0</v>
      </c>
      <c r="E962" s="7">
        <v>0</v>
      </c>
      <c r="F962" s="7">
        <v>0</v>
      </c>
      <c r="G962" s="7">
        <v>0</v>
      </c>
      <c r="H962" s="7">
        <v>0</v>
      </c>
      <c r="I962" s="7">
        <v>0</v>
      </c>
      <c r="J962" s="7">
        <v>0</v>
      </c>
      <c r="K962" s="7">
        <v>0</v>
      </c>
      <c r="L962" s="7">
        <v>0</v>
      </c>
      <c r="M962" s="7">
        <v>0</v>
      </c>
      <c r="N962" s="7">
        <v>0</v>
      </c>
      <c r="O962" s="7">
        <v>0</v>
      </c>
      <c r="P962" s="7">
        <v>0</v>
      </c>
      <c r="Q962" s="7">
        <v>0</v>
      </c>
    </row>
    <row r="963" spans="1:17">
      <c r="A963" s="2">
        <v>2911</v>
      </c>
      <c r="B963" s="7">
        <v>0</v>
      </c>
      <c r="C963" s="7">
        <v>0</v>
      </c>
      <c r="D963" s="7">
        <v>0</v>
      </c>
      <c r="E963" s="7">
        <v>0</v>
      </c>
      <c r="F963" s="7">
        <v>0</v>
      </c>
      <c r="G963" s="7">
        <v>0</v>
      </c>
      <c r="H963" s="7">
        <v>0</v>
      </c>
      <c r="I963" s="7">
        <v>0</v>
      </c>
      <c r="J963" s="7">
        <v>0</v>
      </c>
      <c r="K963" s="7">
        <v>0</v>
      </c>
      <c r="L963" s="7">
        <v>0</v>
      </c>
      <c r="M963" s="7">
        <v>0</v>
      </c>
      <c r="N963" s="7">
        <v>0</v>
      </c>
      <c r="O963" s="7">
        <v>0</v>
      </c>
      <c r="P963" s="7">
        <v>0</v>
      </c>
      <c r="Q963" s="7">
        <v>0</v>
      </c>
    </row>
    <row r="964" spans="1:17">
      <c r="A964" s="2">
        <v>2912</v>
      </c>
      <c r="B964" s="7">
        <v>0</v>
      </c>
      <c r="C964" s="7">
        <v>0</v>
      </c>
      <c r="D964" s="7">
        <v>0</v>
      </c>
      <c r="E964" s="7">
        <v>0</v>
      </c>
      <c r="F964" s="7">
        <v>0</v>
      </c>
      <c r="G964" s="7">
        <v>0</v>
      </c>
      <c r="H964" s="7">
        <v>0</v>
      </c>
      <c r="I964" s="7">
        <v>0</v>
      </c>
      <c r="J964" s="7">
        <v>0</v>
      </c>
      <c r="K964" s="7">
        <v>0</v>
      </c>
      <c r="L964" s="7">
        <v>0</v>
      </c>
      <c r="M964" s="7">
        <v>0</v>
      </c>
      <c r="N964" s="7">
        <v>0</v>
      </c>
      <c r="O964" s="7">
        <v>0</v>
      </c>
      <c r="P964" s="7">
        <v>0</v>
      </c>
      <c r="Q964" s="7">
        <v>0</v>
      </c>
    </row>
    <row r="965" spans="1:17">
      <c r="A965" s="2">
        <v>2913</v>
      </c>
      <c r="B965" s="7">
        <v>0</v>
      </c>
      <c r="C965" s="7">
        <v>0</v>
      </c>
      <c r="D965" s="7">
        <v>0</v>
      </c>
      <c r="E965" s="7">
        <v>0</v>
      </c>
      <c r="F965" s="7">
        <v>0</v>
      </c>
      <c r="G965" s="7">
        <v>0</v>
      </c>
      <c r="H965" s="7">
        <v>0</v>
      </c>
      <c r="I965" s="7">
        <v>0</v>
      </c>
      <c r="J965" s="7">
        <v>0</v>
      </c>
      <c r="K965" s="7">
        <v>0</v>
      </c>
      <c r="L965" s="7">
        <v>0</v>
      </c>
      <c r="M965" s="7">
        <v>0</v>
      </c>
      <c r="N965" s="7">
        <v>0</v>
      </c>
      <c r="O965" s="7">
        <v>0</v>
      </c>
      <c r="P965" s="7">
        <v>0</v>
      </c>
      <c r="Q965" s="7">
        <v>0</v>
      </c>
    </row>
    <row r="966" spans="1:17">
      <c r="A966" s="2">
        <v>2914</v>
      </c>
      <c r="B966" s="7">
        <v>0</v>
      </c>
      <c r="C966" s="7">
        <v>0</v>
      </c>
      <c r="D966" s="7">
        <v>0</v>
      </c>
      <c r="E966" s="7">
        <v>0</v>
      </c>
      <c r="F966" s="7">
        <v>0</v>
      </c>
      <c r="G966" s="7">
        <v>0</v>
      </c>
      <c r="H966" s="7">
        <v>0</v>
      </c>
      <c r="I966" s="7">
        <v>0</v>
      </c>
      <c r="J966" s="7">
        <v>0</v>
      </c>
      <c r="K966" s="7">
        <v>0</v>
      </c>
      <c r="L966" s="7">
        <v>0</v>
      </c>
      <c r="M966" s="7">
        <v>0</v>
      </c>
      <c r="N966" s="7">
        <v>0</v>
      </c>
      <c r="O966" s="7">
        <v>0</v>
      </c>
      <c r="P966" s="7">
        <v>0</v>
      </c>
      <c r="Q966" s="7">
        <v>0</v>
      </c>
    </row>
    <row r="967" spans="1:17">
      <c r="A967" s="2">
        <v>2915</v>
      </c>
      <c r="B967" s="7">
        <v>0</v>
      </c>
      <c r="C967" s="7">
        <v>0</v>
      </c>
      <c r="D967" s="7">
        <v>0</v>
      </c>
      <c r="E967" s="7">
        <v>0</v>
      </c>
      <c r="F967" s="7">
        <v>0</v>
      </c>
      <c r="G967" s="7">
        <v>0</v>
      </c>
      <c r="H967" s="7">
        <v>0</v>
      </c>
      <c r="I967" s="7">
        <v>0</v>
      </c>
      <c r="J967" s="7">
        <v>0</v>
      </c>
      <c r="K967" s="7">
        <v>0</v>
      </c>
      <c r="L967" s="7">
        <v>0</v>
      </c>
      <c r="M967" s="7">
        <v>0</v>
      </c>
      <c r="N967" s="7">
        <v>0</v>
      </c>
      <c r="O967" s="7">
        <v>0</v>
      </c>
      <c r="P967" s="7">
        <v>0</v>
      </c>
      <c r="Q967" s="7">
        <v>0</v>
      </c>
    </row>
    <row r="968" spans="1:17">
      <c r="A968" s="2">
        <v>2916</v>
      </c>
      <c r="B968" s="7">
        <v>0</v>
      </c>
      <c r="C968" s="7">
        <v>0</v>
      </c>
      <c r="D968" s="7">
        <v>0</v>
      </c>
      <c r="E968" s="7">
        <v>0</v>
      </c>
      <c r="F968" s="7">
        <v>0</v>
      </c>
      <c r="G968" s="7">
        <v>0</v>
      </c>
      <c r="H968" s="7">
        <v>0</v>
      </c>
      <c r="I968" s="7">
        <v>0</v>
      </c>
      <c r="J968" s="7">
        <v>0</v>
      </c>
      <c r="K968" s="7">
        <v>0</v>
      </c>
      <c r="L968" s="7">
        <v>0</v>
      </c>
      <c r="M968" s="7">
        <v>0</v>
      </c>
      <c r="N968" s="7">
        <v>0</v>
      </c>
      <c r="O968" s="7">
        <v>0</v>
      </c>
      <c r="P968" s="7">
        <v>0</v>
      </c>
      <c r="Q968" s="7">
        <v>0</v>
      </c>
    </row>
    <row r="969" spans="1:17">
      <c r="A969" s="2">
        <v>2917</v>
      </c>
      <c r="B969" s="7">
        <v>0</v>
      </c>
      <c r="C969" s="7">
        <v>0</v>
      </c>
      <c r="D969" s="7">
        <v>0</v>
      </c>
      <c r="E969" s="7">
        <v>0</v>
      </c>
      <c r="F969" s="7">
        <v>0</v>
      </c>
      <c r="G969" s="7">
        <v>0</v>
      </c>
      <c r="H969" s="7">
        <v>0</v>
      </c>
      <c r="I969" s="7">
        <v>0</v>
      </c>
      <c r="J969" s="7">
        <v>0</v>
      </c>
      <c r="K969" s="7">
        <v>0</v>
      </c>
      <c r="L969" s="7">
        <v>0</v>
      </c>
      <c r="M969" s="7">
        <v>0</v>
      </c>
      <c r="N969" s="7">
        <v>0</v>
      </c>
      <c r="O969" s="7">
        <v>0</v>
      </c>
      <c r="P969" s="7">
        <v>0</v>
      </c>
      <c r="Q969" s="7">
        <v>0</v>
      </c>
    </row>
    <row r="970" spans="1:17">
      <c r="A970" s="2">
        <v>2918</v>
      </c>
      <c r="B970" s="7">
        <v>0</v>
      </c>
      <c r="C970" s="7">
        <v>0</v>
      </c>
      <c r="D970" s="7">
        <v>0</v>
      </c>
      <c r="E970" s="7">
        <v>0</v>
      </c>
      <c r="F970" s="7">
        <v>0</v>
      </c>
      <c r="G970" s="7">
        <v>0</v>
      </c>
      <c r="H970" s="7">
        <v>0</v>
      </c>
      <c r="I970" s="7">
        <v>0</v>
      </c>
      <c r="J970" s="7">
        <v>0</v>
      </c>
      <c r="K970" s="7">
        <v>0</v>
      </c>
      <c r="L970" s="7">
        <v>0</v>
      </c>
      <c r="M970" s="7">
        <v>0</v>
      </c>
      <c r="N970" s="7">
        <v>0</v>
      </c>
      <c r="O970" s="7">
        <v>0</v>
      </c>
      <c r="P970" s="7">
        <v>0</v>
      </c>
      <c r="Q970" s="7">
        <v>0</v>
      </c>
    </row>
    <row r="971" spans="1:17">
      <c r="A971" s="2">
        <v>2919</v>
      </c>
      <c r="B971" s="7">
        <v>0</v>
      </c>
      <c r="C971" s="7">
        <v>0</v>
      </c>
      <c r="D971" s="7">
        <v>0</v>
      </c>
      <c r="E971" s="7">
        <v>0</v>
      </c>
      <c r="F971" s="7">
        <v>0</v>
      </c>
      <c r="G971" s="7">
        <v>0</v>
      </c>
      <c r="H971" s="7">
        <v>0</v>
      </c>
      <c r="I971" s="7">
        <v>0</v>
      </c>
      <c r="J971" s="7">
        <v>0</v>
      </c>
      <c r="K971" s="7">
        <v>0</v>
      </c>
      <c r="L971" s="7">
        <v>0</v>
      </c>
      <c r="M971" s="7">
        <v>0</v>
      </c>
      <c r="N971" s="7">
        <v>0</v>
      </c>
      <c r="O971" s="7">
        <v>0</v>
      </c>
      <c r="P971" s="7">
        <v>0</v>
      </c>
      <c r="Q971" s="7">
        <v>0</v>
      </c>
    </row>
    <row r="972" spans="1:17">
      <c r="A972" s="2">
        <v>2920</v>
      </c>
      <c r="B972" s="7">
        <v>0</v>
      </c>
      <c r="C972" s="7">
        <v>0</v>
      </c>
      <c r="D972" s="7">
        <v>0</v>
      </c>
      <c r="E972" s="7">
        <v>0</v>
      </c>
      <c r="F972" s="7">
        <v>0</v>
      </c>
      <c r="G972" s="7">
        <v>0</v>
      </c>
      <c r="H972" s="7">
        <v>0</v>
      </c>
      <c r="I972" s="7">
        <v>0</v>
      </c>
      <c r="J972" s="7">
        <v>0</v>
      </c>
      <c r="K972" s="7">
        <v>0</v>
      </c>
      <c r="L972" s="7">
        <v>0</v>
      </c>
      <c r="M972" s="7">
        <v>0</v>
      </c>
      <c r="N972" s="7">
        <v>0</v>
      </c>
      <c r="O972" s="7">
        <v>0</v>
      </c>
      <c r="P972" s="7">
        <v>0</v>
      </c>
      <c r="Q972" s="7">
        <v>0</v>
      </c>
    </row>
    <row r="973" spans="1:17">
      <c r="A973" s="2">
        <v>2921</v>
      </c>
      <c r="B973" s="7">
        <v>0</v>
      </c>
      <c r="C973" s="7">
        <v>0</v>
      </c>
      <c r="D973" s="7">
        <v>0</v>
      </c>
      <c r="E973" s="7">
        <v>0</v>
      </c>
      <c r="F973" s="7">
        <v>0</v>
      </c>
      <c r="G973" s="7">
        <v>0</v>
      </c>
      <c r="H973" s="7">
        <v>0</v>
      </c>
      <c r="I973" s="7">
        <v>0</v>
      </c>
      <c r="J973" s="7">
        <v>0</v>
      </c>
      <c r="K973" s="7">
        <v>0</v>
      </c>
      <c r="L973" s="7">
        <v>0</v>
      </c>
      <c r="M973" s="7">
        <v>0</v>
      </c>
      <c r="N973" s="7">
        <v>0</v>
      </c>
      <c r="O973" s="7">
        <v>0</v>
      </c>
      <c r="P973" s="7">
        <v>0</v>
      </c>
      <c r="Q973" s="7">
        <v>0</v>
      </c>
    </row>
    <row r="974" spans="1:17">
      <c r="A974" s="2">
        <v>2922</v>
      </c>
      <c r="B974" s="7">
        <v>0</v>
      </c>
      <c r="C974" s="7">
        <v>0</v>
      </c>
      <c r="D974" s="7">
        <v>0</v>
      </c>
      <c r="E974" s="7">
        <v>0</v>
      </c>
      <c r="F974" s="7">
        <v>0</v>
      </c>
      <c r="G974" s="7">
        <v>0</v>
      </c>
      <c r="H974" s="7">
        <v>0</v>
      </c>
      <c r="I974" s="7">
        <v>0</v>
      </c>
      <c r="J974" s="7">
        <v>0</v>
      </c>
      <c r="K974" s="7">
        <v>0</v>
      </c>
      <c r="L974" s="7">
        <v>0</v>
      </c>
      <c r="M974" s="7">
        <v>0</v>
      </c>
      <c r="N974" s="7">
        <v>0</v>
      </c>
      <c r="O974" s="7">
        <v>0</v>
      </c>
      <c r="P974" s="7">
        <v>0</v>
      </c>
      <c r="Q974" s="7">
        <v>0</v>
      </c>
    </row>
    <row r="975" spans="1:17">
      <c r="A975" s="2">
        <v>2923</v>
      </c>
      <c r="B975" s="7">
        <v>0</v>
      </c>
      <c r="C975" s="7">
        <v>0</v>
      </c>
      <c r="D975" s="7">
        <v>0</v>
      </c>
      <c r="E975" s="7">
        <v>0</v>
      </c>
      <c r="F975" s="7">
        <v>0</v>
      </c>
      <c r="G975" s="7">
        <v>0</v>
      </c>
      <c r="H975" s="7">
        <v>0</v>
      </c>
      <c r="I975" s="7">
        <v>0</v>
      </c>
      <c r="J975" s="7">
        <v>0</v>
      </c>
      <c r="K975" s="7">
        <v>0</v>
      </c>
      <c r="L975" s="7">
        <v>0</v>
      </c>
      <c r="M975" s="7">
        <v>0</v>
      </c>
      <c r="N975" s="7">
        <v>0</v>
      </c>
      <c r="O975" s="7">
        <v>0</v>
      </c>
      <c r="P975" s="7">
        <v>0</v>
      </c>
      <c r="Q975" s="7">
        <v>0</v>
      </c>
    </row>
    <row r="976" spans="1:17">
      <c r="A976" s="2">
        <v>2924</v>
      </c>
      <c r="B976" s="7">
        <v>0</v>
      </c>
      <c r="C976" s="7">
        <v>0</v>
      </c>
      <c r="D976" s="7">
        <v>0</v>
      </c>
      <c r="E976" s="7">
        <v>0</v>
      </c>
      <c r="F976" s="7">
        <v>0</v>
      </c>
      <c r="G976" s="7">
        <v>0</v>
      </c>
      <c r="H976" s="7">
        <v>0</v>
      </c>
      <c r="I976" s="7">
        <v>0</v>
      </c>
      <c r="J976" s="7">
        <v>0</v>
      </c>
      <c r="K976" s="7">
        <v>0</v>
      </c>
      <c r="L976" s="7">
        <v>0</v>
      </c>
      <c r="M976" s="7">
        <v>0</v>
      </c>
      <c r="N976" s="7">
        <v>0</v>
      </c>
      <c r="O976" s="7">
        <v>0</v>
      </c>
      <c r="P976" s="7">
        <v>0</v>
      </c>
      <c r="Q976" s="7">
        <v>0</v>
      </c>
    </row>
    <row r="977" spans="1:17">
      <c r="A977" s="2">
        <v>2925</v>
      </c>
      <c r="B977" s="7">
        <v>0</v>
      </c>
      <c r="C977" s="7">
        <v>0</v>
      </c>
      <c r="D977" s="7">
        <v>0</v>
      </c>
      <c r="E977" s="7">
        <v>0</v>
      </c>
      <c r="F977" s="7">
        <v>0</v>
      </c>
      <c r="G977" s="7">
        <v>0</v>
      </c>
      <c r="H977" s="7">
        <v>0</v>
      </c>
      <c r="I977" s="7">
        <v>0</v>
      </c>
      <c r="J977" s="7">
        <v>0</v>
      </c>
      <c r="K977" s="7">
        <v>0</v>
      </c>
      <c r="L977" s="7">
        <v>0</v>
      </c>
      <c r="M977" s="7">
        <v>0</v>
      </c>
      <c r="N977" s="7">
        <v>0</v>
      </c>
      <c r="O977" s="7">
        <v>0</v>
      </c>
      <c r="P977" s="7">
        <v>0</v>
      </c>
      <c r="Q977" s="7">
        <v>0</v>
      </c>
    </row>
    <row r="978" spans="1:17">
      <c r="A978" s="2">
        <v>2926</v>
      </c>
      <c r="B978" s="7">
        <v>0</v>
      </c>
      <c r="C978" s="7">
        <v>0</v>
      </c>
      <c r="D978" s="7">
        <v>0</v>
      </c>
      <c r="E978" s="7">
        <v>0</v>
      </c>
      <c r="F978" s="7">
        <v>0</v>
      </c>
      <c r="G978" s="7">
        <v>0</v>
      </c>
      <c r="H978" s="7">
        <v>0</v>
      </c>
      <c r="I978" s="7">
        <v>0</v>
      </c>
      <c r="J978" s="7">
        <v>0</v>
      </c>
      <c r="K978" s="7">
        <v>0</v>
      </c>
      <c r="L978" s="7">
        <v>0</v>
      </c>
      <c r="M978" s="7">
        <v>0</v>
      </c>
      <c r="N978" s="7">
        <v>0</v>
      </c>
      <c r="O978" s="7">
        <v>0</v>
      </c>
      <c r="P978" s="7">
        <v>0</v>
      </c>
      <c r="Q978" s="7">
        <v>0</v>
      </c>
    </row>
    <row r="979" spans="1:17">
      <c r="A979" s="2">
        <v>2927</v>
      </c>
      <c r="B979" s="7">
        <v>0</v>
      </c>
      <c r="C979" s="7">
        <v>0</v>
      </c>
      <c r="D979" s="7">
        <v>0</v>
      </c>
      <c r="E979" s="7">
        <v>0</v>
      </c>
      <c r="F979" s="7">
        <v>0</v>
      </c>
      <c r="G979" s="7">
        <v>0</v>
      </c>
      <c r="H979" s="7">
        <v>0</v>
      </c>
      <c r="I979" s="7">
        <v>0</v>
      </c>
      <c r="J979" s="7">
        <v>0</v>
      </c>
      <c r="K979" s="7">
        <v>0</v>
      </c>
      <c r="L979" s="7">
        <v>0</v>
      </c>
      <c r="M979" s="7">
        <v>0</v>
      </c>
      <c r="N979" s="7">
        <v>0</v>
      </c>
      <c r="O979" s="7">
        <v>0</v>
      </c>
      <c r="P979" s="7">
        <v>0</v>
      </c>
      <c r="Q979" s="7">
        <v>0</v>
      </c>
    </row>
    <row r="980" spans="1:17">
      <c r="A980" s="2">
        <v>2928</v>
      </c>
      <c r="B980" s="7">
        <v>0</v>
      </c>
      <c r="C980" s="7">
        <v>0</v>
      </c>
      <c r="D980" s="7">
        <v>0</v>
      </c>
      <c r="E980" s="7">
        <v>0</v>
      </c>
      <c r="F980" s="7">
        <v>0</v>
      </c>
      <c r="G980" s="7">
        <v>0</v>
      </c>
      <c r="H980" s="7">
        <v>0</v>
      </c>
      <c r="I980" s="7">
        <v>0</v>
      </c>
      <c r="J980" s="7">
        <v>0</v>
      </c>
      <c r="K980" s="7">
        <v>0</v>
      </c>
      <c r="L980" s="7">
        <v>0</v>
      </c>
      <c r="M980" s="7">
        <v>0</v>
      </c>
      <c r="N980" s="7">
        <v>0</v>
      </c>
      <c r="O980" s="7">
        <v>0</v>
      </c>
      <c r="P980" s="7">
        <v>0</v>
      </c>
      <c r="Q980" s="7">
        <v>0</v>
      </c>
    </row>
    <row r="981" spans="1:17">
      <c r="A981" s="2">
        <v>2929</v>
      </c>
      <c r="B981" s="7">
        <v>0</v>
      </c>
      <c r="C981" s="7">
        <v>0</v>
      </c>
      <c r="D981" s="7">
        <v>0</v>
      </c>
      <c r="E981" s="7">
        <v>0</v>
      </c>
      <c r="F981" s="7">
        <v>0</v>
      </c>
      <c r="G981" s="7">
        <v>0</v>
      </c>
      <c r="H981" s="7">
        <v>0</v>
      </c>
      <c r="I981" s="7">
        <v>0</v>
      </c>
      <c r="J981" s="7">
        <v>0</v>
      </c>
      <c r="K981" s="7">
        <v>0</v>
      </c>
      <c r="L981" s="7">
        <v>0</v>
      </c>
      <c r="M981" s="7">
        <v>0</v>
      </c>
      <c r="N981" s="7">
        <v>0</v>
      </c>
      <c r="O981" s="7">
        <v>0</v>
      </c>
      <c r="P981" s="7">
        <v>0</v>
      </c>
      <c r="Q981" s="7">
        <v>0</v>
      </c>
    </row>
    <row r="982" spans="1:17">
      <c r="A982" s="2">
        <v>2930</v>
      </c>
      <c r="B982" s="7">
        <v>0</v>
      </c>
      <c r="C982" s="7">
        <v>0</v>
      </c>
      <c r="D982" s="7">
        <v>0</v>
      </c>
      <c r="E982" s="7">
        <v>0</v>
      </c>
      <c r="F982" s="7">
        <v>0</v>
      </c>
      <c r="G982" s="7">
        <v>0</v>
      </c>
      <c r="H982" s="7">
        <v>0</v>
      </c>
      <c r="I982" s="7">
        <v>0</v>
      </c>
      <c r="J982" s="7">
        <v>0</v>
      </c>
      <c r="K982" s="7">
        <v>0</v>
      </c>
      <c r="L982" s="7">
        <v>0</v>
      </c>
      <c r="M982" s="7">
        <v>0</v>
      </c>
      <c r="N982" s="7">
        <v>0</v>
      </c>
      <c r="O982" s="7">
        <v>0</v>
      </c>
      <c r="P982" s="7">
        <v>0</v>
      </c>
      <c r="Q982" s="7">
        <v>0</v>
      </c>
    </row>
    <row r="983" spans="1:17">
      <c r="A983" s="2">
        <v>2931</v>
      </c>
      <c r="B983" s="7">
        <v>0</v>
      </c>
      <c r="C983" s="7">
        <v>0</v>
      </c>
      <c r="D983" s="7">
        <v>0</v>
      </c>
      <c r="E983" s="7">
        <v>0</v>
      </c>
      <c r="F983" s="7">
        <v>0</v>
      </c>
      <c r="G983" s="7">
        <v>0</v>
      </c>
      <c r="H983" s="7">
        <v>0</v>
      </c>
      <c r="I983" s="7">
        <v>0</v>
      </c>
      <c r="J983" s="7">
        <v>0</v>
      </c>
      <c r="K983" s="7">
        <v>0</v>
      </c>
      <c r="L983" s="7">
        <v>0</v>
      </c>
      <c r="M983" s="7">
        <v>0</v>
      </c>
      <c r="N983" s="7">
        <v>0</v>
      </c>
      <c r="O983" s="7">
        <v>0</v>
      </c>
      <c r="P983" s="7">
        <v>0</v>
      </c>
      <c r="Q983" s="7">
        <v>0</v>
      </c>
    </row>
    <row r="984" spans="1:17">
      <c r="A984" s="2">
        <v>2932</v>
      </c>
      <c r="B984" s="7">
        <v>0</v>
      </c>
      <c r="C984" s="7">
        <v>0</v>
      </c>
      <c r="D984" s="7">
        <v>0</v>
      </c>
      <c r="E984" s="7">
        <v>0</v>
      </c>
      <c r="F984" s="7">
        <v>0</v>
      </c>
      <c r="G984" s="7">
        <v>0</v>
      </c>
      <c r="H984" s="7">
        <v>0</v>
      </c>
      <c r="I984" s="7">
        <v>0</v>
      </c>
      <c r="J984" s="7">
        <v>0</v>
      </c>
      <c r="K984" s="7">
        <v>0</v>
      </c>
      <c r="L984" s="7">
        <v>0</v>
      </c>
      <c r="M984" s="7">
        <v>0</v>
      </c>
      <c r="N984" s="7">
        <v>0</v>
      </c>
      <c r="O984" s="7">
        <v>0</v>
      </c>
      <c r="P984" s="7">
        <v>0</v>
      </c>
      <c r="Q984" s="7">
        <v>0</v>
      </c>
    </row>
    <row r="985" spans="1:17">
      <c r="A985" s="2">
        <v>2933</v>
      </c>
      <c r="B985" s="7">
        <v>0</v>
      </c>
      <c r="C985" s="7">
        <v>0</v>
      </c>
      <c r="D985" s="7">
        <v>0</v>
      </c>
      <c r="E985" s="7">
        <v>0</v>
      </c>
      <c r="F985" s="7">
        <v>0</v>
      </c>
      <c r="G985" s="7">
        <v>0</v>
      </c>
      <c r="H985" s="7">
        <v>0</v>
      </c>
      <c r="I985" s="7">
        <v>0</v>
      </c>
      <c r="J985" s="7">
        <v>0</v>
      </c>
      <c r="K985" s="7">
        <v>0</v>
      </c>
      <c r="L985" s="7">
        <v>0</v>
      </c>
      <c r="M985" s="7">
        <v>0</v>
      </c>
      <c r="N985" s="7">
        <v>0</v>
      </c>
      <c r="O985" s="7">
        <v>0</v>
      </c>
      <c r="P985" s="7">
        <v>0</v>
      </c>
      <c r="Q985" s="7">
        <v>0</v>
      </c>
    </row>
    <row r="986" spans="1:17">
      <c r="A986" s="2">
        <v>2934</v>
      </c>
      <c r="B986" s="7">
        <v>0</v>
      </c>
      <c r="C986" s="7">
        <v>0</v>
      </c>
      <c r="D986" s="7">
        <v>0</v>
      </c>
      <c r="E986" s="7">
        <v>0</v>
      </c>
      <c r="F986" s="7">
        <v>0</v>
      </c>
      <c r="G986" s="7">
        <v>0</v>
      </c>
      <c r="H986" s="7">
        <v>0</v>
      </c>
      <c r="I986" s="7">
        <v>0</v>
      </c>
      <c r="J986" s="7">
        <v>0</v>
      </c>
      <c r="K986" s="7">
        <v>0</v>
      </c>
      <c r="L986" s="7">
        <v>0</v>
      </c>
      <c r="M986" s="7">
        <v>0</v>
      </c>
      <c r="N986" s="7">
        <v>0</v>
      </c>
      <c r="O986" s="7">
        <v>0</v>
      </c>
      <c r="P986" s="7">
        <v>0</v>
      </c>
      <c r="Q986" s="7">
        <v>0</v>
      </c>
    </row>
    <row r="987" spans="1:17">
      <c r="A987" s="2">
        <v>2935</v>
      </c>
      <c r="B987" s="7">
        <v>0</v>
      </c>
      <c r="C987" s="7">
        <v>0</v>
      </c>
      <c r="D987" s="7">
        <v>0</v>
      </c>
      <c r="E987" s="7">
        <v>0</v>
      </c>
      <c r="F987" s="7">
        <v>0</v>
      </c>
      <c r="G987" s="7">
        <v>0</v>
      </c>
      <c r="H987" s="7">
        <v>0</v>
      </c>
      <c r="I987" s="7">
        <v>0</v>
      </c>
      <c r="J987" s="7">
        <v>0</v>
      </c>
      <c r="K987" s="7">
        <v>0</v>
      </c>
      <c r="L987" s="7">
        <v>0</v>
      </c>
      <c r="M987" s="7">
        <v>0</v>
      </c>
      <c r="N987" s="7">
        <v>0</v>
      </c>
      <c r="O987" s="7">
        <v>0</v>
      </c>
      <c r="P987" s="7">
        <v>0</v>
      </c>
      <c r="Q987" s="7">
        <v>0</v>
      </c>
    </row>
    <row r="988" spans="1:17">
      <c r="A988" s="2">
        <v>2936</v>
      </c>
      <c r="B988" s="7">
        <v>0</v>
      </c>
      <c r="C988" s="7">
        <v>0</v>
      </c>
      <c r="D988" s="7">
        <v>0</v>
      </c>
      <c r="E988" s="7">
        <v>0</v>
      </c>
      <c r="F988" s="7">
        <v>0</v>
      </c>
      <c r="G988" s="7">
        <v>0</v>
      </c>
      <c r="H988" s="7">
        <v>0</v>
      </c>
      <c r="I988" s="7">
        <v>0</v>
      </c>
      <c r="J988" s="7">
        <v>0</v>
      </c>
      <c r="K988" s="7">
        <v>0</v>
      </c>
      <c r="L988" s="7">
        <v>0</v>
      </c>
      <c r="M988" s="7">
        <v>0</v>
      </c>
      <c r="N988" s="7">
        <v>0</v>
      </c>
      <c r="O988" s="7">
        <v>0</v>
      </c>
      <c r="P988" s="7">
        <v>0</v>
      </c>
      <c r="Q988" s="7">
        <v>0</v>
      </c>
    </row>
    <row r="989" spans="1:17">
      <c r="A989" s="2">
        <v>2937</v>
      </c>
      <c r="B989" s="7">
        <v>0</v>
      </c>
      <c r="C989" s="7">
        <v>0</v>
      </c>
      <c r="D989" s="7">
        <v>0</v>
      </c>
      <c r="E989" s="7">
        <v>0</v>
      </c>
      <c r="F989" s="7">
        <v>0</v>
      </c>
      <c r="G989" s="7">
        <v>0</v>
      </c>
      <c r="H989" s="7">
        <v>0</v>
      </c>
      <c r="I989" s="7">
        <v>0</v>
      </c>
      <c r="J989" s="7">
        <v>0</v>
      </c>
      <c r="K989" s="7">
        <v>0</v>
      </c>
      <c r="L989" s="7">
        <v>0</v>
      </c>
      <c r="M989" s="7">
        <v>0</v>
      </c>
      <c r="N989" s="7">
        <v>0</v>
      </c>
      <c r="O989" s="7">
        <v>0</v>
      </c>
      <c r="P989" s="7">
        <v>0</v>
      </c>
      <c r="Q989" s="7">
        <v>0</v>
      </c>
    </row>
    <row r="990" spans="1:17">
      <c r="A990" s="2">
        <v>2938</v>
      </c>
      <c r="B990" s="7">
        <v>0</v>
      </c>
      <c r="C990" s="7">
        <v>0</v>
      </c>
      <c r="D990" s="7">
        <v>0</v>
      </c>
      <c r="E990" s="7">
        <v>0</v>
      </c>
      <c r="F990" s="7">
        <v>0</v>
      </c>
      <c r="G990" s="7">
        <v>0</v>
      </c>
      <c r="H990" s="7">
        <v>0</v>
      </c>
      <c r="I990" s="7">
        <v>0</v>
      </c>
      <c r="J990" s="7">
        <v>0</v>
      </c>
      <c r="K990" s="7">
        <v>0</v>
      </c>
      <c r="L990" s="7">
        <v>0</v>
      </c>
      <c r="M990" s="7">
        <v>0</v>
      </c>
      <c r="N990" s="7">
        <v>0</v>
      </c>
      <c r="O990" s="7">
        <v>0</v>
      </c>
      <c r="P990" s="7">
        <v>0</v>
      </c>
      <c r="Q990" s="7">
        <v>0</v>
      </c>
    </row>
    <row r="991" spans="1:17">
      <c r="A991" s="2">
        <v>2939</v>
      </c>
      <c r="B991" s="7">
        <v>0</v>
      </c>
      <c r="C991" s="7">
        <v>0</v>
      </c>
      <c r="D991" s="7">
        <v>0</v>
      </c>
      <c r="E991" s="7">
        <v>0</v>
      </c>
      <c r="F991" s="7">
        <v>0</v>
      </c>
      <c r="G991" s="7">
        <v>0</v>
      </c>
      <c r="H991" s="7">
        <v>0</v>
      </c>
      <c r="I991" s="7">
        <v>0</v>
      </c>
      <c r="J991" s="7">
        <v>0</v>
      </c>
      <c r="K991" s="7">
        <v>0</v>
      </c>
      <c r="L991" s="7">
        <v>0</v>
      </c>
      <c r="M991" s="7">
        <v>0</v>
      </c>
      <c r="N991" s="7">
        <v>0</v>
      </c>
      <c r="O991" s="7">
        <v>0</v>
      </c>
      <c r="P991" s="7">
        <v>0</v>
      </c>
      <c r="Q991" s="7">
        <v>0</v>
      </c>
    </row>
    <row r="992" spans="1:17">
      <c r="A992" s="2">
        <v>2940</v>
      </c>
      <c r="B992" s="7">
        <v>0</v>
      </c>
      <c r="C992" s="7">
        <v>0</v>
      </c>
      <c r="D992" s="7">
        <v>0</v>
      </c>
      <c r="E992" s="7">
        <v>0</v>
      </c>
      <c r="F992" s="7">
        <v>0</v>
      </c>
      <c r="G992" s="7">
        <v>0</v>
      </c>
      <c r="H992" s="7">
        <v>0</v>
      </c>
      <c r="I992" s="7">
        <v>0</v>
      </c>
      <c r="J992" s="7">
        <v>0</v>
      </c>
      <c r="K992" s="7">
        <v>0</v>
      </c>
      <c r="L992" s="7">
        <v>0</v>
      </c>
      <c r="M992" s="7">
        <v>0</v>
      </c>
      <c r="N992" s="7">
        <v>0</v>
      </c>
      <c r="O992" s="7">
        <v>0</v>
      </c>
      <c r="P992" s="7">
        <v>0</v>
      </c>
      <c r="Q992" s="7">
        <v>0</v>
      </c>
    </row>
    <row r="993" spans="1:17">
      <c r="A993" s="2">
        <v>2941</v>
      </c>
      <c r="B993" s="7">
        <v>0</v>
      </c>
      <c r="C993" s="7">
        <v>0</v>
      </c>
      <c r="D993" s="7">
        <v>0</v>
      </c>
      <c r="E993" s="7">
        <v>0</v>
      </c>
      <c r="F993" s="7">
        <v>0</v>
      </c>
      <c r="G993" s="7">
        <v>0</v>
      </c>
      <c r="H993" s="7">
        <v>0</v>
      </c>
      <c r="I993" s="7">
        <v>0</v>
      </c>
      <c r="J993" s="7">
        <v>0</v>
      </c>
      <c r="K993" s="7">
        <v>0</v>
      </c>
      <c r="L993" s="7">
        <v>0</v>
      </c>
      <c r="M993" s="7">
        <v>0</v>
      </c>
      <c r="N993" s="7">
        <v>0</v>
      </c>
      <c r="O993" s="7">
        <v>0</v>
      </c>
      <c r="P993" s="7">
        <v>0</v>
      </c>
      <c r="Q993" s="7">
        <v>0</v>
      </c>
    </row>
    <row r="994" spans="1:17">
      <c r="A994" s="2">
        <v>2942</v>
      </c>
      <c r="B994" s="7">
        <v>0</v>
      </c>
      <c r="C994" s="7">
        <v>0</v>
      </c>
      <c r="D994" s="7">
        <v>0</v>
      </c>
      <c r="E994" s="7">
        <v>0</v>
      </c>
      <c r="F994" s="7">
        <v>0</v>
      </c>
      <c r="G994" s="7">
        <v>0</v>
      </c>
      <c r="H994" s="7">
        <v>0</v>
      </c>
      <c r="I994" s="7">
        <v>0</v>
      </c>
      <c r="J994" s="7">
        <v>0</v>
      </c>
      <c r="K994" s="7">
        <v>0</v>
      </c>
      <c r="L994" s="7">
        <v>0</v>
      </c>
      <c r="M994" s="7">
        <v>0</v>
      </c>
      <c r="N994" s="7">
        <v>0</v>
      </c>
      <c r="O994" s="7">
        <v>0</v>
      </c>
      <c r="P994" s="7">
        <v>0</v>
      </c>
      <c r="Q994" s="7">
        <v>0</v>
      </c>
    </row>
    <row r="995" spans="1:17">
      <c r="A995" s="2">
        <v>2943</v>
      </c>
      <c r="B995" s="7">
        <v>0</v>
      </c>
      <c r="C995" s="7">
        <v>0</v>
      </c>
      <c r="D995" s="7">
        <v>0</v>
      </c>
      <c r="E995" s="7">
        <v>0</v>
      </c>
      <c r="F995" s="7">
        <v>0</v>
      </c>
      <c r="G995" s="7">
        <v>0</v>
      </c>
      <c r="H995" s="7">
        <v>0</v>
      </c>
      <c r="I995" s="7">
        <v>0</v>
      </c>
      <c r="J995" s="7">
        <v>0</v>
      </c>
      <c r="K995" s="7">
        <v>0</v>
      </c>
      <c r="L995" s="7">
        <v>0</v>
      </c>
      <c r="M995" s="7">
        <v>0</v>
      </c>
      <c r="N995" s="7">
        <v>0</v>
      </c>
      <c r="O995" s="7">
        <v>0</v>
      </c>
      <c r="P995" s="7">
        <v>0</v>
      </c>
      <c r="Q995" s="7">
        <v>0</v>
      </c>
    </row>
    <row r="996" spans="1:17">
      <c r="A996" s="2">
        <v>2944</v>
      </c>
      <c r="B996" s="7">
        <v>0</v>
      </c>
      <c r="C996" s="7">
        <v>0</v>
      </c>
      <c r="D996" s="7">
        <v>0</v>
      </c>
      <c r="E996" s="7">
        <v>0</v>
      </c>
      <c r="F996" s="7">
        <v>0</v>
      </c>
      <c r="G996" s="7">
        <v>0</v>
      </c>
      <c r="H996" s="7">
        <v>0</v>
      </c>
      <c r="I996" s="7">
        <v>0</v>
      </c>
      <c r="J996" s="7">
        <v>0</v>
      </c>
      <c r="K996" s="7">
        <v>0</v>
      </c>
      <c r="L996" s="7">
        <v>0</v>
      </c>
      <c r="M996" s="7">
        <v>0</v>
      </c>
      <c r="N996" s="7">
        <v>0</v>
      </c>
      <c r="O996" s="7">
        <v>0</v>
      </c>
      <c r="P996" s="7">
        <v>0</v>
      </c>
      <c r="Q996" s="7">
        <v>0</v>
      </c>
    </row>
    <row r="997" spans="1:17">
      <c r="A997" s="2">
        <v>2945</v>
      </c>
      <c r="B997" s="7">
        <v>0</v>
      </c>
      <c r="C997" s="7">
        <v>0</v>
      </c>
      <c r="D997" s="7">
        <v>0</v>
      </c>
      <c r="E997" s="7">
        <v>0</v>
      </c>
      <c r="F997" s="7">
        <v>0</v>
      </c>
      <c r="G997" s="7">
        <v>0</v>
      </c>
      <c r="H997" s="7">
        <v>0</v>
      </c>
      <c r="I997" s="7">
        <v>0</v>
      </c>
      <c r="J997" s="7">
        <v>0</v>
      </c>
      <c r="K997" s="7">
        <v>0</v>
      </c>
      <c r="L997" s="7">
        <v>0</v>
      </c>
      <c r="M997" s="7">
        <v>0</v>
      </c>
      <c r="N997" s="7">
        <v>0</v>
      </c>
      <c r="O997" s="7">
        <v>0</v>
      </c>
      <c r="P997" s="7">
        <v>0</v>
      </c>
      <c r="Q997" s="7">
        <v>0</v>
      </c>
    </row>
    <row r="998" spans="1:17">
      <c r="A998" s="2">
        <v>2946</v>
      </c>
      <c r="B998" s="7">
        <v>0</v>
      </c>
      <c r="C998" s="7">
        <v>0</v>
      </c>
      <c r="D998" s="7">
        <v>0</v>
      </c>
      <c r="E998" s="7">
        <v>0</v>
      </c>
      <c r="F998" s="7">
        <v>0</v>
      </c>
      <c r="G998" s="7">
        <v>0</v>
      </c>
      <c r="H998" s="7">
        <v>0</v>
      </c>
      <c r="I998" s="7">
        <v>0</v>
      </c>
      <c r="J998" s="7">
        <v>0</v>
      </c>
      <c r="K998" s="7">
        <v>0</v>
      </c>
      <c r="L998" s="7">
        <v>0</v>
      </c>
      <c r="M998" s="7">
        <v>0</v>
      </c>
      <c r="N998" s="7">
        <v>0</v>
      </c>
      <c r="O998" s="7">
        <v>0</v>
      </c>
      <c r="P998" s="7">
        <v>0</v>
      </c>
      <c r="Q998" s="7">
        <v>0</v>
      </c>
    </row>
    <row r="999" spans="1:17">
      <c r="A999" s="2">
        <v>2947</v>
      </c>
      <c r="B999" s="7">
        <v>0</v>
      </c>
      <c r="C999" s="7">
        <v>0</v>
      </c>
      <c r="D999" s="7">
        <v>0</v>
      </c>
      <c r="E999" s="7">
        <v>0</v>
      </c>
      <c r="F999" s="7">
        <v>0</v>
      </c>
      <c r="G999" s="7">
        <v>0</v>
      </c>
      <c r="H999" s="7">
        <v>0</v>
      </c>
      <c r="I999" s="7">
        <v>0</v>
      </c>
      <c r="J999" s="7">
        <v>0</v>
      </c>
      <c r="K999" s="7">
        <v>0</v>
      </c>
      <c r="L999" s="7">
        <v>0</v>
      </c>
      <c r="M999" s="7">
        <v>0</v>
      </c>
      <c r="N999" s="7">
        <v>0</v>
      </c>
      <c r="O999" s="7">
        <v>0</v>
      </c>
      <c r="P999" s="7">
        <v>0</v>
      </c>
      <c r="Q999" s="7">
        <v>0</v>
      </c>
    </row>
    <row r="1000" spans="1:17">
      <c r="A1000" s="2">
        <v>2948</v>
      </c>
      <c r="B1000" s="7">
        <v>0</v>
      </c>
      <c r="C1000" s="7">
        <v>0</v>
      </c>
      <c r="D1000" s="7">
        <v>0</v>
      </c>
      <c r="E1000" s="7">
        <v>0</v>
      </c>
      <c r="F1000" s="7">
        <v>0</v>
      </c>
      <c r="G1000" s="7">
        <v>0</v>
      </c>
      <c r="H1000" s="7">
        <v>0</v>
      </c>
      <c r="I1000" s="7">
        <v>0</v>
      </c>
      <c r="J1000" s="7">
        <v>0</v>
      </c>
      <c r="K1000" s="7">
        <v>0</v>
      </c>
      <c r="L1000" s="7">
        <v>0</v>
      </c>
      <c r="M1000" s="7">
        <v>0</v>
      </c>
      <c r="N1000" s="7">
        <v>0</v>
      </c>
      <c r="O1000" s="7">
        <v>0</v>
      </c>
      <c r="P1000" s="7">
        <v>0</v>
      </c>
      <c r="Q1000" s="7">
        <v>0</v>
      </c>
    </row>
    <row r="1001" spans="1:17">
      <c r="A1001" s="2">
        <v>2949</v>
      </c>
      <c r="B1001" s="7">
        <v>0</v>
      </c>
      <c r="C1001" s="7">
        <v>0</v>
      </c>
      <c r="D1001" s="7">
        <v>0</v>
      </c>
      <c r="E1001" s="7">
        <v>0</v>
      </c>
      <c r="F1001" s="7">
        <v>0</v>
      </c>
      <c r="G1001" s="7">
        <v>0</v>
      </c>
      <c r="H1001" s="7">
        <v>0</v>
      </c>
      <c r="I1001" s="7">
        <v>0</v>
      </c>
      <c r="J1001" s="7">
        <v>0</v>
      </c>
      <c r="K1001" s="7">
        <v>0</v>
      </c>
      <c r="L1001" s="7">
        <v>0</v>
      </c>
      <c r="M1001" s="7">
        <v>0</v>
      </c>
      <c r="N1001" s="7">
        <v>0</v>
      </c>
      <c r="O1001" s="7">
        <v>0</v>
      </c>
      <c r="P1001" s="7">
        <v>0</v>
      </c>
      <c r="Q1001" s="7">
        <v>0</v>
      </c>
    </row>
    <row r="1002" spans="1:17">
      <c r="A1002" s="2">
        <v>2950</v>
      </c>
      <c r="B1002" s="7">
        <v>0</v>
      </c>
      <c r="C1002" s="7">
        <v>0</v>
      </c>
      <c r="D1002" s="7">
        <v>0</v>
      </c>
      <c r="E1002" s="7">
        <v>0</v>
      </c>
      <c r="F1002" s="7">
        <v>0</v>
      </c>
      <c r="G1002" s="7">
        <v>0</v>
      </c>
      <c r="H1002" s="7">
        <v>0</v>
      </c>
      <c r="I1002" s="7">
        <v>0</v>
      </c>
      <c r="J1002" s="7">
        <v>0</v>
      </c>
      <c r="K1002" s="7">
        <v>0</v>
      </c>
      <c r="L1002" s="7">
        <v>0</v>
      </c>
      <c r="M1002" s="7">
        <v>0</v>
      </c>
      <c r="N1002" s="7">
        <v>0</v>
      </c>
      <c r="O1002" s="7">
        <v>0</v>
      </c>
      <c r="P1002" s="7">
        <v>0</v>
      </c>
      <c r="Q1002" s="7">
        <v>0</v>
      </c>
    </row>
    <row r="1003" spans="1:17">
      <c r="A1003" s="2">
        <v>2951</v>
      </c>
      <c r="B1003" s="7">
        <v>0</v>
      </c>
      <c r="C1003" s="7">
        <v>0</v>
      </c>
      <c r="D1003" s="7">
        <v>0</v>
      </c>
      <c r="E1003" s="7">
        <v>0</v>
      </c>
      <c r="F1003" s="7">
        <v>0</v>
      </c>
      <c r="G1003" s="7">
        <v>0</v>
      </c>
      <c r="H1003" s="7">
        <v>0</v>
      </c>
      <c r="I1003" s="7">
        <v>0</v>
      </c>
      <c r="J1003" s="7">
        <v>0</v>
      </c>
      <c r="K1003" s="7">
        <v>0</v>
      </c>
      <c r="L1003" s="7">
        <v>0</v>
      </c>
      <c r="M1003" s="7">
        <v>0</v>
      </c>
      <c r="N1003" s="7">
        <v>0</v>
      </c>
      <c r="O1003" s="7">
        <v>0</v>
      </c>
      <c r="P1003" s="7">
        <v>0</v>
      </c>
      <c r="Q1003" s="7">
        <v>0</v>
      </c>
    </row>
    <row r="1004" spans="1:17">
      <c r="A1004" s="2">
        <v>2952</v>
      </c>
      <c r="B1004" s="7">
        <v>0</v>
      </c>
      <c r="C1004" s="7">
        <v>0</v>
      </c>
      <c r="D1004" s="7">
        <v>0</v>
      </c>
      <c r="E1004" s="7">
        <v>0</v>
      </c>
      <c r="F1004" s="7">
        <v>0</v>
      </c>
      <c r="G1004" s="7">
        <v>0</v>
      </c>
      <c r="H1004" s="7">
        <v>0</v>
      </c>
      <c r="I1004" s="7">
        <v>0</v>
      </c>
      <c r="J1004" s="7">
        <v>0</v>
      </c>
      <c r="K1004" s="7">
        <v>0</v>
      </c>
      <c r="L1004" s="7">
        <v>0</v>
      </c>
      <c r="M1004" s="7">
        <v>0</v>
      </c>
      <c r="N1004" s="7">
        <v>0</v>
      </c>
      <c r="O1004" s="7">
        <v>0</v>
      </c>
      <c r="P1004" s="7">
        <v>0</v>
      </c>
      <c r="Q1004" s="7">
        <v>0</v>
      </c>
    </row>
    <row r="1005" spans="1:17">
      <c r="A1005" s="2">
        <v>2953</v>
      </c>
      <c r="B1005" s="7">
        <v>0</v>
      </c>
      <c r="C1005" s="7">
        <v>0</v>
      </c>
      <c r="D1005" s="7">
        <v>0</v>
      </c>
      <c r="E1005" s="7">
        <v>0</v>
      </c>
      <c r="F1005" s="7">
        <v>0</v>
      </c>
      <c r="G1005" s="7">
        <v>0</v>
      </c>
      <c r="H1005" s="7">
        <v>0</v>
      </c>
      <c r="I1005" s="7">
        <v>0</v>
      </c>
      <c r="J1005" s="7">
        <v>0</v>
      </c>
      <c r="K1005" s="7">
        <v>0</v>
      </c>
      <c r="L1005" s="7">
        <v>0</v>
      </c>
      <c r="M1005" s="7">
        <v>0</v>
      </c>
      <c r="N1005" s="7">
        <v>0</v>
      </c>
      <c r="O1005" s="7">
        <v>0</v>
      </c>
      <c r="P1005" s="7">
        <v>0</v>
      </c>
      <c r="Q1005" s="7">
        <v>0</v>
      </c>
    </row>
    <row r="1006" spans="1:17">
      <c r="A1006" s="2">
        <v>2954</v>
      </c>
      <c r="B1006" s="7">
        <v>0</v>
      </c>
      <c r="C1006" s="7">
        <v>0</v>
      </c>
      <c r="D1006" s="7">
        <v>0</v>
      </c>
      <c r="E1006" s="7">
        <v>0</v>
      </c>
      <c r="F1006" s="7">
        <v>0</v>
      </c>
      <c r="G1006" s="7">
        <v>0</v>
      </c>
      <c r="H1006" s="7">
        <v>0</v>
      </c>
      <c r="I1006" s="7">
        <v>0</v>
      </c>
      <c r="J1006" s="7">
        <v>0</v>
      </c>
      <c r="K1006" s="7">
        <v>0</v>
      </c>
      <c r="L1006" s="7">
        <v>0</v>
      </c>
      <c r="M1006" s="7">
        <v>0</v>
      </c>
      <c r="N1006" s="7">
        <v>0</v>
      </c>
      <c r="O1006" s="7">
        <v>0</v>
      </c>
      <c r="P1006" s="7">
        <v>0</v>
      </c>
      <c r="Q1006" s="7">
        <v>0</v>
      </c>
    </row>
    <row r="1007" spans="1:17">
      <c r="A1007" s="2">
        <v>2955</v>
      </c>
      <c r="B1007" s="7">
        <v>0</v>
      </c>
      <c r="C1007" s="7">
        <v>0</v>
      </c>
      <c r="D1007" s="7">
        <v>0</v>
      </c>
      <c r="E1007" s="7">
        <v>0</v>
      </c>
      <c r="F1007" s="7">
        <v>0</v>
      </c>
      <c r="G1007" s="7">
        <v>0</v>
      </c>
      <c r="H1007" s="7">
        <v>0</v>
      </c>
      <c r="I1007" s="7">
        <v>0</v>
      </c>
      <c r="J1007" s="7">
        <v>0</v>
      </c>
      <c r="K1007" s="7">
        <v>0</v>
      </c>
      <c r="L1007" s="7">
        <v>0</v>
      </c>
      <c r="M1007" s="7">
        <v>0</v>
      </c>
      <c r="N1007" s="7">
        <v>0</v>
      </c>
      <c r="O1007" s="7">
        <v>0</v>
      </c>
      <c r="P1007" s="7">
        <v>0</v>
      </c>
      <c r="Q1007" s="7">
        <v>0</v>
      </c>
    </row>
    <row r="1008" spans="1:17">
      <c r="A1008" s="2">
        <v>2956</v>
      </c>
      <c r="B1008" s="7">
        <v>0</v>
      </c>
      <c r="C1008" s="7">
        <v>0</v>
      </c>
      <c r="D1008" s="7">
        <v>0</v>
      </c>
      <c r="E1008" s="7">
        <v>0</v>
      </c>
      <c r="F1008" s="7">
        <v>0</v>
      </c>
      <c r="G1008" s="7">
        <v>0</v>
      </c>
      <c r="H1008" s="7">
        <v>0</v>
      </c>
      <c r="I1008" s="7">
        <v>0</v>
      </c>
      <c r="J1008" s="7">
        <v>0</v>
      </c>
      <c r="K1008" s="7">
        <v>0</v>
      </c>
      <c r="L1008" s="7">
        <v>0</v>
      </c>
      <c r="M1008" s="7">
        <v>0</v>
      </c>
      <c r="N1008" s="7">
        <v>0</v>
      </c>
      <c r="O1008" s="7">
        <v>0</v>
      </c>
      <c r="P1008" s="7">
        <v>0</v>
      </c>
      <c r="Q1008" s="7">
        <v>0</v>
      </c>
    </row>
    <row r="1009" spans="1:17">
      <c r="A1009" s="2">
        <v>2957</v>
      </c>
      <c r="B1009" s="7">
        <v>0</v>
      </c>
      <c r="C1009" s="7">
        <v>0</v>
      </c>
      <c r="D1009" s="7">
        <v>0</v>
      </c>
      <c r="E1009" s="7">
        <v>0</v>
      </c>
      <c r="F1009" s="7">
        <v>0</v>
      </c>
      <c r="G1009" s="7">
        <v>0</v>
      </c>
      <c r="H1009" s="7">
        <v>0</v>
      </c>
      <c r="I1009" s="7">
        <v>0</v>
      </c>
      <c r="J1009" s="7">
        <v>0</v>
      </c>
      <c r="K1009" s="7">
        <v>0</v>
      </c>
      <c r="L1009" s="7">
        <v>0</v>
      </c>
      <c r="M1009" s="7">
        <v>0</v>
      </c>
      <c r="N1009" s="7">
        <v>0</v>
      </c>
      <c r="O1009" s="7">
        <v>0</v>
      </c>
      <c r="P1009" s="7">
        <v>0</v>
      </c>
      <c r="Q1009" s="7">
        <v>0</v>
      </c>
    </row>
    <row r="1010" spans="1:17">
      <c r="A1010" s="2">
        <v>2958</v>
      </c>
      <c r="B1010" s="7">
        <v>0</v>
      </c>
      <c r="C1010" s="7">
        <v>0</v>
      </c>
      <c r="D1010" s="7">
        <v>0</v>
      </c>
      <c r="E1010" s="7">
        <v>0</v>
      </c>
      <c r="F1010" s="7">
        <v>0</v>
      </c>
      <c r="G1010" s="7">
        <v>0</v>
      </c>
      <c r="H1010" s="7">
        <v>0</v>
      </c>
      <c r="I1010" s="7">
        <v>0</v>
      </c>
      <c r="J1010" s="7">
        <v>0</v>
      </c>
      <c r="K1010" s="7">
        <v>0</v>
      </c>
      <c r="L1010" s="7">
        <v>0</v>
      </c>
      <c r="M1010" s="7">
        <v>0</v>
      </c>
      <c r="N1010" s="7">
        <v>0</v>
      </c>
      <c r="O1010" s="7">
        <v>0</v>
      </c>
      <c r="P1010" s="7">
        <v>0</v>
      </c>
      <c r="Q1010" s="7">
        <v>0</v>
      </c>
    </row>
    <row r="1011" spans="1:17">
      <c r="A1011" s="2">
        <v>2959</v>
      </c>
      <c r="B1011" s="7">
        <v>0</v>
      </c>
      <c r="C1011" s="7">
        <v>0</v>
      </c>
      <c r="D1011" s="7">
        <v>0</v>
      </c>
      <c r="E1011" s="7">
        <v>0</v>
      </c>
      <c r="F1011" s="7">
        <v>0</v>
      </c>
      <c r="G1011" s="7">
        <v>0</v>
      </c>
      <c r="H1011" s="7">
        <v>0</v>
      </c>
      <c r="I1011" s="7">
        <v>0</v>
      </c>
      <c r="J1011" s="7">
        <v>0</v>
      </c>
      <c r="K1011" s="7">
        <v>0</v>
      </c>
      <c r="L1011" s="7">
        <v>0</v>
      </c>
      <c r="M1011" s="7">
        <v>0</v>
      </c>
      <c r="N1011" s="7">
        <v>0</v>
      </c>
      <c r="O1011" s="7">
        <v>0</v>
      </c>
      <c r="P1011" s="7">
        <v>0</v>
      </c>
      <c r="Q1011" s="7">
        <v>0</v>
      </c>
    </row>
    <row r="1012" spans="1:17">
      <c r="A1012" s="2">
        <v>2960</v>
      </c>
      <c r="B1012" s="7">
        <v>0</v>
      </c>
      <c r="C1012" s="7">
        <v>0</v>
      </c>
      <c r="D1012" s="7">
        <v>0</v>
      </c>
      <c r="E1012" s="7">
        <v>0</v>
      </c>
      <c r="F1012" s="7">
        <v>0</v>
      </c>
      <c r="G1012" s="7">
        <v>0</v>
      </c>
      <c r="H1012" s="7">
        <v>0</v>
      </c>
      <c r="I1012" s="7">
        <v>0</v>
      </c>
      <c r="J1012" s="7">
        <v>0</v>
      </c>
      <c r="K1012" s="7">
        <v>0</v>
      </c>
      <c r="L1012" s="7">
        <v>0</v>
      </c>
      <c r="M1012" s="7">
        <v>0</v>
      </c>
      <c r="N1012" s="7">
        <v>0</v>
      </c>
      <c r="O1012" s="7">
        <v>0</v>
      </c>
      <c r="P1012" s="7">
        <v>0</v>
      </c>
      <c r="Q1012" s="7">
        <v>0</v>
      </c>
    </row>
    <row r="1013" spans="1:17">
      <c r="A1013" s="2">
        <v>2961</v>
      </c>
      <c r="B1013" s="7">
        <v>0</v>
      </c>
      <c r="C1013" s="7">
        <v>0</v>
      </c>
      <c r="D1013" s="7">
        <v>0</v>
      </c>
      <c r="E1013" s="7">
        <v>0</v>
      </c>
      <c r="F1013" s="7">
        <v>0</v>
      </c>
      <c r="G1013" s="7">
        <v>0</v>
      </c>
      <c r="H1013" s="7">
        <v>0</v>
      </c>
      <c r="I1013" s="7">
        <v>0</v>
      </c>
      <c r="J1013" s="7">
        <v>0</v>
      </c>
      <c r="K1013" s="7">
        <v>0</v>
      </c>
      <c r="L1013" s="7">
        <v>0</v>
      </c>
      <c r="M1013" s="7">
        <v>0</v>
      </c>
      <c r="N1013" s="7">
        <v>0</v>
      </c>
      <c r="O1013" s="7">
        <v>0</v>
      </c>
      <c r="P1013" s="7">
        <v>0</v>
      </c>
      <c r="Q1013" s="7">
        <v>0</v>
      </c>
    </row>
    <row r="1014" spans="1:17">
      <c r="A1014" s="2">
        <v>2962</v>
      </c>
      <c r="B1014" s="7">
        <v>0</v>
      </c>
      <c r="C1014" s="7">
        <v>0</v>
      </c>
      <c r="D1014" s="7">
        <v>0</v>
      </c>
      <c r="E1014" s="7">
        <v>0</v>
      </c>
      <c r="F1014" s="7">
        <v>0</v>
      </c>
      <c r="G1014" s="7">
        <v>0</v>
      </c>
      <c r="H1014" s="7">
        <v>0</v>
      </c>
      <c r="I1014" s="7">
        <v>0</v>
      </c>
      <c r="J1014" s="7">
        <v>0</v>
      </c>
      <c r="K1014" s="7">
        <v>0</v>
      </c>
      <c r="L1014" s="7">
        <v>0</v>
      </c>
      <c r="M1014" s="7">
        <v>0</v>
      </c>
      <c r="N1014" s="7">
        <v>0</v>
      </c>
      <c r="O1014" s="7">
        <v>0</v>
      </c>
      <c r="P1014" s="7">
        <v>0</v>
      </c>
      <c r="Q1014" s="7">
        <v>0</v>
      </c>
    </row>
    <row r="1015" spans="1:17">
      <c r="A1015" s="2">
        <v>2963</v>
      </c>
      <c r="B1015" s="7">
        <v>0</v>
      </c>
      <c r="C1015" s="7">
        <v>0</v>
      </c>
      <c r="D1015" s="7">
        <v>0</v>
      </c>
      <c r="E1015" s="7">
        <v>0</v>
      </c>
      <c r="F1015" s="7">
        <v>0</v>
      </c>
      <c r="G1015" s="7">
        <v>0</v>
      </c>
      <c r="H1015" s="7">
        <v>0</v>
      </c>
      <c r="I1015" s="7">
        <v>0</v>
      </c>
      <c r="J1015" s="7">
        <v>0</v>
      </c>
      <c r="K1015" s="7">
        <v>0</v>
      </c>
      <c r="L1015" s="7">
        <v>0</v>
      </c>
      <c r="M1015" s="7">
        <v>0</v>
      </c>
      <c r="N1015" s="7">
        <v>0</v>
      </c>
      <c r="O1015" s="7">
        <v>0</v>
      </c>
      <c r="P1015" s="7">
        <v>0</v>
      </c>
      <c r="Q1015" s="7">
        <v>0</v>
      </c>
    </row>
    <row r="1016" spans="1:17">
      <c r="A1016" s="2">
        <v>2964</v>
      </c>
      <c r="B1016" s="7">
        <v>0</v>
      </c>
      <c r="C1016" s="7">
        <v>0</v>
      </c>
      <c r="D1016" s="7">
        <v>0</v>
      </c>
      <c r="E1016" s="7">
        <v>0</v>
      </c>
      <c r="F1016" s="7">
        <v>0</v>
      </c>
      <c r="G1016" s="7">
        <v>0</v>
      </c>
      <c r="H1016" s="7">
        <v>0</v>
      </c>
      <c r="I1016" s="7">
        <v>0</v>
      </c>
      <c r="J1016" s="7">
        <v>0</v>
      </c>
      <c r="K1016" s="7">
        <v>0</v>
      </c>
      <c r="L1016" s="7">
        <v>0</v>
      </c>
      <c r="M1016" s="7">
        <v>0</v>
      </c>
      <c r="N1016" s="7">
        <v>0</v>
      </c>
      <c r="O1016" s="7">
        <v>0</v>
      </c>
      <c r="P1016" s="7">
        <v>0</v>
      </c>
      <c r="Q1016" s="7">
        <v>0</v>
      </c>
    </row>
    <row r="1017" spans="1:17">
      <c r="A1017" s="2">
        <v>2965</v>
      </c>
      <c r="B1017" s="7">
        <v>0</v>
      </c>
      <c r="C1017" s="7">
        <v>0</v>
      </c>
      <c r="D1017" s="7">
        <v>0</v>
      </c>
      <c r="E1017" s="7">
        <v>0</v>
      </c>
      <c r="F1017" s="7">
        <v>0</v>
      </c>
      <c r="G1017" s="7">
        <v>0</v>
      </c>
      <c r="H1017" s="7">
        <v>0</v>
      </c>
      <c r="I1017" s="7">
        <v>0</v>
      </c>
      <c r="J1017" s="7">
        <v>0</v>
      </c>
      <c r="K1017" s="7">
        <v>0</v>
      </c>
      <c r="L1017" s="7">
        <v>0</v>
      </c>
      <c r="M1017" s="7">
        <v>0</v>
      </c>
      <c r="N1017" s="7">
        <v>0</v>
      </c>
      <c r="O1017" s="7">
        <v>0</v>
      </c>
      <c r="P1017" s="7">
        <v>0</v>
      </c>
      <c r="Q1017" s="7">
        <v>0</v>
      </c>
    </row>
    <row r="1018" spans="1:17">
      <c r="A1018" s="2">
        <v>2966</v>
      </c>
      <c r="B1018" s="7">
        <v>0</v>
      </c>
      <c r="C1018" s="7">
        <v>0</v>
      </c>
      <c r="D1018" s="7">
        <v>0</v>
      </c>
      <c r="E1018" s="7">
        <v>0</v>
      </c>
      <c r="F1018" s="7">
        <v>0</v>
      </c>
      <c r="G1018" s="7">
        <v>0</v>
      </c>
      <c r="H1018" s="7">
        <v>0</v>
      </c>
      <c r="I1018" s="7">
        <v>0</v>
      </c>
      <c r="J1018" s="7">
        <v>0</v>
      </c>
      <c r="K1018" s="7">
        <v>0</v>
      </c>
      <c r="L1018" s="7">
        <v>0</v>
      </c>
      <c r="M1018" s="7">
        <v>0</v>
      </c>
      <c r="N1018" s="7">
        <v>0</v>
      </c>
      <c r="O1018" s="7">
        <v>0</v>
      </c>
      <c r="P1018" s="7">
        <v>0</v>
      </c>
      <c r="Q1018" s="7">
        <v>0</v>
      </c>
    </row>
    <row r="1019" spans="1:17">
      <c r="A1019" s="2">
        <v>2967</v>
      </c>
      <c r="B1019" s="7">
        <v>0</v>
      </c>
      <c r="C1019" s="7">
        <v>0</v>
      </c>
      <c r="D1019" s="7">
        <v>0</v>
      </c>
      <c r="E1019" s="7">
        <v>0</v>
      </c>
      <c r="F1019" s="7">
        <v>0</v>
      </c>
      <c r="G1019" s="7">
        <v>0</v>
      </c>
      <c r="H1019" s="7">
        <v>0</v>
      </c>
      <c r="I1019" s="7">
        <v>0</v>
      </c>
      <c r="J1019" s="7">
        <v>0</v>
      </c>
      <c r="K1019" s="7">
        <v>0</v>
      </c>
      <c r="L1019" s="7">
        <v>0</v>
      </c>
      <c r="M1019" s="7">
        <v>0</v>
      </c>
      <c r="N1019" s="7">
        <v>0</v>
      </c>
      <c r="O1019" s="7">
        <v>0</v>
      </c>
      <c r="P1019" s="7">
        <v>0</v>
      </c>
      <c r="Q1019" s="7">
        <v>0</v>
      </c>
    </row>
    <row r="1020" spans="1:17">
      <c r="A1020" s="2">
        <v>2968</v>
      </c>
      <c r="B1020" s="7">
        <v>0</v>
      </c>
      <c r="C1020" s="7">
        <v>0</v>
      </c>
      <c r="D1020" s="7">
        <v>0</v>
      </c>
      <c r="E1020" s="7">
        <v>0</v>
      </c>
      <c r="F1020" s="7">
        <v>0</v>
      </c>
      <c r="G1020" s="7">
        <v>0</v>
      </c>
      <c r="H1020" s="7">
        <v>0</v>
      </c>
      <c r="I1020" s="7">
        <v>0</v>
      </c>
      <c r="J1020" s="7">
        <v>0</v>
      </c>
      <c r="K1020" s="7">
        <v>0</v>
      </c>
      <c r="L1020" s="7">
        <v>0</v>
      </c>
      <c r="M1020" s="7">
        <v>0</v>
      </c>
      <c r="N1020" s="7">
        <v>0</v>
      </c>
      <c r="O1020" s="7">
        <v>0</v>
      </c>
      <c r="P1020" s="7">
        <v>0</v>
      </c>
      <c r="Q1020" s="7">
        <v>0</v>
      </c>
    </row>
    <row r="1021" spans="1:17">
      <c r="A1021" s="2">
        <v>2969</v>
      </c>
      <c r="B1021" s="7">
        <v>0</v>
      </c>
      <c r="C1021" s="7">
        <v>0</v>
      </c>
      <c r="D1021" s="7">
        <v>0</v>
      </c>
      <c r="E1021" s="7">
        <v>0</v>
      </c>
      <c r="F1021" s="7">
        <v>0</v>
      </c>
      <c r="G1021" s="7">
        <v>0</v>
      </c>
      <c r="H1021" s="7">
        <v>0</v>
      </c>
      <c r="I1021" s="7">
        <v>0</v>
      </c>
      <c r="J1021" s="7">
        <v>0</v>
      </c>
      <c r="K1021" s="7">
        <v>0</v>
      </c>
      <c r="L1021" s="7">
        <v>0</v>
      </c>
      <c r="M1021" s="7">
        <v>0</v>
      </c>
      <c r="N1021" s="7">
        <v>0</v>
      </c>
      <c r="O1021" s="7">
        <v>0</v>
      </c>
      <c r="P1021" s="7">
        <v>0</v>
      </c>
      <c r="Q1021" s="7">
        <v>0</v>
      </c>
    </row>
    <row r="1022" spans="1:17">
      <c r="A1022" s="2">
        <v>2970</v>
      </c>
      <c r="B1022" s="7">
        <v>0</v>
      </c>
      <c r="C1022" s="7">
        <v>0</v>
      </c>
      <c r="D1022" s="7">
        <v>0</v>
      </c>
      <c r="E1022" s="7">
        <v>0</v>
      </c>
      <c r="F1022" s="7">
        <v>0</v>
      </c>
      <c r="G1022" s="7">
        <v>0</v>
      </c>
      <c r="H1022" s="7">
        <v>0</v>
      </c>
      <c r="I1022" s="7">
        <v>0</v>
      </c>
      <c r="J1022" s="7">
        <v>0</v>
      </c>
      <c r="K1022" s="7">
        <v>0</v>
      </c>
      <c r="L1022" s="7">
        <v>0</v>
      </c>
      <c r="M1022" s="7">
        <v>0</v>
      </c>
      <c r="N1022" s="7">
        <v>0</v>
      </c>
      <c r="O1022" s="7">
        <v>0</v>
      </c>
      <c r="P1022" s="7">
        <v>0</v>
      </c>
      <c r="Q1022" s="7">
        <v>0</v>
      </c>
    </row>
    <row r="1023" spans="1:17">
      <c r="A1023" s="2">
        <v>2971</v>
      </c>
      <c r="B1023" s="7">
        <v>0</v>
      </c>
      <c r="C1023" s="7">
        <v>0</v>
      </c>
      <c r="D1023" s="7">
        <v>0</v>
      </c>
      <c r="E1023" s="7">
        <v>0</v>
      </c>
      <c r="F1023" s="7">
        <v>0</v>
      </c>
      <c r="G1023" s="7">
        <v>0</v>
      </c>
      <c r="H1023" s="7">
        <v>0</v>
      </c>
      <c r="I1023" s="7">
        <v>0</v>
      </c>
      <c r="J1023" s="7">
        <v>0</v>
      </c>
      <c r="K1023" s="7">
        <v>0</v>
      </c>
      <c r="L1023" s="7">
        <v>0</v>
      </c>
      <c r="M1023" s="7">
        <v>0</v>
      </c>
      <c r="N1023" s="7">
        <v>0</v>
      </c>
      <c r="O1023" s="7">
        <v>0</v>
      </c>
      <c r="P1023" s="7">
        <v>0</v>
      </c>
      <c r="Q1023" s="7">
        <v>0</v>
      </c>
    </row>
    <row r="1024" spans="1:17">
      <c r="A1024" s="2">
        <v>2972</v>
      </c>
      <c r="B1024" s="7">
        <v>0</v>
      </c>
      <c r="C1024" s="7">
        <v>0</v>
      </c>
      <c r="D1024" s="7">
        <v>0</v>
      </c>
      <c r="E1024" s="7">
        <v>0</v>
      </c>
      <c r="F1024" s="7">
        <v>0</v>
      </c>
      <c r="G1024" s="7">
        <v>0</v>
      </c>
      <c r="H1024" s="7">
        <v>0</v>
      </c>
      <c r="I1024" s="7">
        <v>0</v>
      </c>
      <c r="J1024" s="7">
        <v>0</v>
      </c>
      <c r="K1024" s="7">
        <v>0</v>
      </c>
      <c r="L1024" s="7">
        <v>0</v>
      </c>
      <c r="M1024" s="7">
        <v>0</v>
      </c>
      <c r="N1024" s="7">
        <v>0</v>
      </c>
      <c r="O1024" s="7">
        <v>0</v>
      </c>
      <c r="P1024" s="7">
        <v>0</v>
      </c>
      <c r="Q1024" s="7">
        <v>0</v>
      </c>
    </row>
    <row r="1025" spans="1:17">
      <c r="A1025" s="2">
        <v>2973</v>
      </c>
      <c r="B1025" s="7">
        <v>0</v>
      </c>
      <c r="C1025" s="7">
        <v>0</v>
      </c>
      <c r="D1025" s="7">
        <v>0</v>
      </c>
      <c r="E1025" s="7">
        <v>0</v>
      </c>
      <c r="F1025" s="7">
        <v>0</v>
      </c>
      <c r="G1025" s="7">
        <v>0</v>
      </c>
      <c r="H1025" s="7">
        <v>0</v>
      </c>
      <c r="I1025" s="7">
        <v>0</v>
      </c>
      <c r="J1025" s="7">
        <v>0</v>
      </c>
      <c r="K1025" s="7">
        <v>0</v>
      </c>
      <c r="L1025" s="7">
        <v>0</v>
      </c>
      <c r="M1025" s="7">
        <v>0</v>
      </c>
      <c r="N1025" s="7">
        <v>0</v>
      </c>
      <c r="O1025" s="7">
        <v>0</v>
      </c>
      <c r="P1025" s="7">
        <v>0</v>
      </c>
      <c r="Q1025" s="7">
        <v>0</v>
      </c>
    </row>
    <row r="1026" spans="1:17">
      <c r="A1026" s="2">
        <v>2974</v>
      </c>
      <c r="B1026" s="7">
        <v>0</v>
      </c>
      <c r="C1026" s="7">
        <v>0</v>
      </c>
      <c r="D1026" s="7">
        <v>0</v>
      </c>
      <c r="E1026" s="7">
        <v>0</v>
      </c>
      <c r="F1026" s="7">
        <v>0</v>
      </c>
      <c r="G1026" s="7">
        <v>0</v>
      </c>
      <c r="H1026" s="7">
        <v>0</v>
      </c>
      <c r="I1026" s="7">
        <v>0</v>
      </c>
      <c r="J1026" s="7">
        <v>0</v>
      </c>
      <c r="K1026" s="7">
        <v>0</v>
      </c>
      <c r="L1026" s="7">
        <v>0</v>
      </c>
      <c r="M1026" s="7">
        <v>0</v>
      </c>
      <c r="N1026" s="7">
        <v>0</v>
      </c>
      <c r="O1026" s="7">
        <v>0</v>
      </c>
      <c r="P1026" s="7">
        <v>0</v>
      </c>
      <c r="Q1026" s="7">
        <v>0</v>
      </c>
    </row>
    <row r="1027" spans="1:17">
      <c r="A1027" s="2">
        <v>2975</v>
      </c>
      <c r="B1027" s="7">
        <v>0</v>
      </c>
      <c r="C1027" s="7">
        <v>0</v>
      </c>
      <c r="D1027" s="7">
        <v>0</v>
      </c>
      <c r="E1027" s="7">
        <v>0</v>
      </c>
      <c r="F1027" s="7">
        <v>0</v>
      </c>
      <c r="G1027" s="7">
        <v>0</v>
      </c>
      <c r="H1027" s="7">
        <v>0</v>
      </c>
      <c r="I1027" s="7">
        <v>0</v>
      </c>
      <c r="J1027" s="7">
        <v>0</v>
      </c>
      <c r="K1027" s="7">
        <v>0</v>
      </c>
      <c r="L1027" s="7">
        <v>0</v>
      </c>
      <c r="M1027" s="7">
        <v>0</v>
      </c>
      <c r="N1027" s="7">
        <v>0</v>
      </c>
      <c r="O1027" s="7">
        <v>0</v>
      </c>
      <c r="P1027" s="7">
        <v>0</v>
      </c>
      <c r="Q1027" s="7">
        <v>0</v>
      </c>
    </row>
    <row r="1028" spans="1:17">
      <c r="A1028" s="2">
        <v>2976</v>
      </c>
      <c r="B1028" s="7">
        <v>0</v>
      </c>
      <c r="C1028" s="7">
        <v>0</v>
      </c>
      <c r="D1028" s="7">
        <v>0</v>
      </c>
      <c r="E1028" s="7">
        <v>0</v>
      </c>
      <c r="F1028" s="7">
        <v>0</v>
      </c>
      <c r="G1028" s="7">
        <v>0</v>
      </c>
      <c r="H1028" s="7">
        <v>0</v>
      </c>
      <c r="I1028" s="7">
        <v>0</v>
      </c>
      <c r="J1028" s="7">
        <v>0</v>
      </c>
      <c r="K1028" s="7">
        <v>0</v>
      </c>
      <c r="L1028" s="7">
        <v>0</v>
      </c>
      <c r="M1028" s="7">
        <v>0</v>
      </c>
      <c r="N1028" s="7">
        <v>0</v>
      </c>
      <c r="O1028" s="7">
        <v>0</v>
      </c>
      <c r="P1028" s="7">
        <v>0</v>
      </c>
      <c r="Q1028" s="7">
        <v>0</v>
      </c>
    </row>
    <row r="1029" spans="1:17">
      <c r="A1029" s="2">
        <v>2977</v>
      </c>
      <c r="B1029" s="7">
        <v>0</v>
      </c>
      <c r="C1029" s="7">
        <v>0</v>
      </c>
      <c r="D1029" s="7">
        <v>0</v>
      </c>
      <c r="E1029" s="7">
        <v>0</v>
      </c>
      <c r="F1029" s="7">
        <v>0</v>
      </c>
      <c r="G1029" s="7">
        <v>0</v>
      </c>
      <c r="H1029" s="7">
        <v>0</v>
      </c>
      <c r="I1029" s="7">
        <v>0</v>
      </c>
      <c r="J1029" s="7">
        <v>0</v>
      </c>
      <c r="K1029" s="7">
        <v>0</v>
      </c>
      <c r="L1029" s="7">
        <v>0</v>
      </c>
      <c r="M1029" s="7">
        <v>0</v>
      </c>
      <c r="N1029" s="7">
        <v>0</v>
      </c>
      <c r="O1029" s="7">
        <v>0</v>
      </c>
      <c r="P1029" s="7">
        <v>0</v>
      </c>
      <c r="Q1029" s="7">
        <v>0</v>
      </c>
    </row>
    <row r="1030" spans="1:17">
      <c r="A1030" s="2">
        <v>2978</v>
      </c>
      <c r="B1030" s="7">
        <v>0</v>
      </c>
      <c r="C1030" s="7">
        <v>0</v>
      </c>
      <c r="D1030" s="7">
        <v>0</v>
      </c>
      <c r="E1030" s="7">
        <v>0</v>
      </c>
      <c r="F1030" s="7">
        <v>0</v>
      </c>
      <c r="G1030" s="7">
        <v>0</v>
      </c>
      <c r="H1030" s="7">
        <v>0</v>
      </c>
      <c r="I1030" s="7">
        <v>0</v>
      </c>
      <c r="J1030" s="7">
        <v>0</v>
      </c>
      <c r="K1030" s="7">
        <v>0</v>
      </c>
      <c r="L1030" s="7">
        <v>0</v>
      </c>
      <c r="M1030" s="7">
        <v>0</v>
      </c>
      <c r="N1030" s="7">
        <v>0</v>
      </c>
      <c r="O1030" s="7">
        <v>0</v>
      </c>
      <c r="P1030" s="7">
        <v>0</v>
      </c>
      <c r="Q1030" s="7">
        <v>0</v>
      </c>
    </row>
    <row r="1031" spans="1:17">
      <c r="A1031" s="2">
        <v>2979</v>
      </c>
      <c r="B1031" s="7">
        <v>0</v>
      </c>
      <c r="C1031" s="7">
        <v>0</v>
      </c>
      <c r="D1031" s="7">
        <v>0</v>
      </c>
      <c r="E1031" s="7">
        <v>0</v>
      </c>
      <c r="F1031" s="7">
        <v>0</v>
      </c>
      <c r="G1031" s="7">
        <v>0</v>
      </c>
      <c r="H1031" s="7">
        <v>0</v>
      </c>
      <c r="I1031" s="7">
        <v>0</v>
      </c>
      <c r="J1031" s="7">
        <v>0</v>
      </c>
      <c r="K1031" s="7">
        <v>0</v>
      </c>
      <c r="L1031" s="7">
        <v>0</v>
      </c>
      <c r="M1031" s="7">
        <v>0</v>
      </c>
      <c r="N1031" s="7">
        <v>0</v>
      </c>
      <c r="O1031" s="7">
        <v>0</v>
      </c>
      <c r="P1031" s="7">
        <v>0</v>
      </c>
      <c r="Q1031" s="7">
        <v>0</v>
      </c>
    </row>
    <row r="1032" spans="1:17">
      <c r="A1032" s="2">
        <v>2980</v>
      </c>
      <c r="B1032" s="7">
        <v>0</v>
      </c>
      <c r="C1032" s="7">
        <v>0</v>
      </c>
      <c r="D1032" s="7">
        <v>0</v>
      </c>
      <c r="E1032" s="7">
        <v>0</v>
      </c>
      <c r="F1032" s="7">
        <v>0</v>
      </c>
      <c r="G1032" s="7">
        <v>0</v>
      </c>
      <c r="H1032" s="7">
        <v>0</v>
      </c>
      <c r="I1032" s="7">
        <v>0</v>
      </c>
      <c r="J1032" s="7">
        <v>0</v>
      </c>
      <c r="K1032" s="7">
        <v>0</v>
      </c>
      <c r="L1032" s="7">
        <v>0</v>
      </c>
      <c r="M1032" s="7">
        <v>0</v>
      </c>
      <c r="N1032" s="7">
        <v>0</v>
      </c>
      <c r="O1032" s="7">
        <v>0</v>
      </c>
      <c r="P1032" s="7">
        <v>0</v>
      </c>
      <c r="Q1032" s="7">
        <v>0</v>
      </c>
    </row>
    <row r="1033" spans="1:17">
      <c r="A1033" s="2">
        <v>2981</v>
      </c>
      <c r="B1033" s="7">
        <v>0</v>
      </c>
      <c r="C1033" s="7">
        <v>0</v>
      </c>
      <c r="D1033" s="7">
        <v>0</v>
      </c>
      <c r="E1033" s="7">
        <v>0</v>
      </c>
      <c r="F1033" s="7">
        <v>0</v>
      </c>
      <c r="G1033" s="7">
        <v>0</v>
      </c>
      <c r="H1033" s="7">
        <v>0</v>
      </c>
      <c r="I1033" s="7">
        <v>0</v>
      </c>
      <c r="J1033" s="7">
        <v>0</v>
      </c>
      <c r="K1033" s="7">
        <v>0</v>
      </c>
      <c r="L1033" s="7">
        <v>0</v>
      </c>
      <c r="M1033" s="7">
        <v>0</v>
      </c>
      <c r="N1033" s="7">
        <v>0</v>
      </c>
      <c r="O1033" s="7">
        <v>0</v>
      </c>
      <c r="P1033" s="7">
        <v>0</v>
      </c>
      <c r="Q1033" s="7">
        <v>0</v>
      </c>
    </row>
    <row r="1034" spans="1:17">
      <c r="A1034" s="2">
        <v>2982</v>
      </c>
      <c r="B1034" s="7">
        <v>0</v>
      </c>
      <c r="C1034" s="7">
        <v>0</v>
      </c>
      <c r="D1034" s="7">
        <v>0</v>
      </c>
      <c r="E1034" s="7">
        <v>0</v>
      </c>
      <c r="F1034" s="7">
        <v>0</v>
      </c>
      <c r="G1034" s="7">
        <v>0</v>
      </c>
      <c r="H1034" s="7">
        <v>0</v>
      </c>
      <c r="I1034" s="7">
        <v>0</v>
      </c>
      <c r="J1034" s="7">
        <v>0</v>
      </c>
      <c r="K1034" s="7">
        <v>0</v>
      </c>
      <c r="L1034" s="7">
        <v>0</v>
      </c>
      <c r="M1034" s="7">
        <v>0</v>
      </c>
      <c r="N1034" s="7">
        <v>0</v>
      </c>
      <c r="O1034" s="7">
        <v>0</v>
      </c>
      <c r="P1034" s="7">
        <v>0</v>
      </c>
      <c r="Q1034" s="7">
        <v>0</v>
      </c>
    </row>
    <row r="1035" spans="1:17">
      <c r="A1035" s="2">
        <v>2983</v>
      </c>
      <c r="B1035" s="7">
        <v>0</v>
      </c>
      <c r="C1035" s="7">
        <v>0</v>
      </c>
      <c r="D1035" s="7">
        <v>0</v>
      </c>
      <c r="E1035" s="7">
        <v>0</v>
      </c>
      <c r="F1035" s="7">
        <v>0</v>
      </c>
      <c r="G1035" s="7">
        <v>0</v>
      </c>
      <c r="H1035" s="7">
        <v>0</v>
      </c>
      <c r="I1035" s="7">
        <v>0</v>
      </c>
      <c r="J1035" s="7">
        <v>0</v>
      </c>
      <c r="K1035" s="7">
        <v>0</v>
      </c>
      <c r="L1035" s="7">
        <v>0</v>
      </c>
      <c r="M1035" s="7">
        <v>0</v>
      </c>
      <c r="N1035" s="7">
        <v>0</v>
      </c>
      <c r="O1035" s="7">
        <v>0</v>
      </c>
      <c r="P1035" s="7">
        <v>0</v>
      </c>
      <c r="Q1035" s="7">
        <v>0</v>
      </c>
    </row>
    <row r="1036" spans="1:17">
      <c r="A1036" s="2">
        <v>2984</v>
      </c>
      <c r="B1036" s="7">
        <v>0</v>
      </c>
      <c r="C1036" s="7">
        <v>0</v>
      </c>
      <c r="D1036" s="7">
        <v>0</v>
      </c>
      <c r="E1036" s="7">
        <v>0</v>
      </c>
      <c r="F1036" s="7">
        <v>0</v>
      </c>
      <c r="G1036" s="7">
        <v>0</v>
      </c>
      <c r="H1036" s="7">
        <v>0</v>
      </c>
      <c r="I1036" s="7">
        <v>0</v>
      </c>
      <c r="J1036" s="7">
        <v>0</v>
      </c>
      <c r="K1036" s="7">
        <v>0</v>
      </c>
      <c r="L1036" s="7">
        <v>0</v>
      </c>
      <c r="M1036" s="7">
        <v>0</v>
      </c>
      <c r="N1036" s="7">
        <v>0</v>
      </c>
      <c r="O1036" s="7">
        <v>0</v>
      </c>
      <c r="P1036" s="7">
        <v>0</v>
      </c>
      <c r="Q1036" s="7">
        <v>0</v>
      </c>
    </row>
    <row r="1037" spans="1:17">
      <c r="A1037" s="2">
        <v>2985</v>
      </c>
      <c r="B1037" s="7">
        <v>0</v>
      </c>
      <c r="C1037" s="7">
        <v>0</v>
      </c>
      <c r="D1037" s="7">
        <v>0</v>
      </c>
      <c r="E1037" s="7">
        <v>0</v>
      </c>
      <c r="F1037" s="7">
        <v>0</v>
      </c>
      <c r="G1037" s="7">
        <v>0</v>
      </c>
      <c r="H1037" s="7">
        <v>0</v>
      </c>
      <c r="I1037" s="7">
        <v>0</v>
      </c>
      <c r="J1037" s="7">
        <v>0</v>
      </c>
      <c r="K1037" s="7">
        <v>0</v>
      </c>
      <c r="L1037" s="7">
        <v>0</v>
      </c>
      <c r="M1037" s="7">
        <v>0</v>
      </c>
      <c r="N1037" s="7">
        <v>0</v>
      </c>
      <c r="O1037" s="7">
        <v>0</v>
      </c>
      <c r="P1037" s="7">
        <v>0</v>
      </c>
      <c r="Q1037" s="7">
        <v>0</v>
      </c>
    </row>
    <row r="1038" spans="1:17">
      <c r="A1038" s="2">
        <v>2986</v>
      </c>
      <c r="B1038" s="7">
        <v>0</v>
      </c>
      <c r="C1038" s="7">
        <v>0</v>
      </c>
      <c r="D1038" s="7">
        <v>0</v>
      </c>
      <c r="E1038" s="7">
        <v>0</v>
      </c>
      <c r="F1038" s="7">
        <v>0</v>
      </c>
      <c r="G1038" s="7">
        <v>0</v>
      </c>
      <c r="H1038" s="7">
        <v>0</v>
      </c>
      <c r="I1038" s="7">
        <v>0</v>
      </c>
      <c r="J1038" s="7">
        <v>0</v>
      </c>
      <c r="K1038" s="7">
        <v>0</v>
      </c>
      <c r="L1038" s="7">
        <v>0</v>
      </c>
      <c r="M1038" s="7">
        <v>0</v>
      </c>
      <c r="N1038" s="7">
        <v>0</v>
      </c>
      <c r="O1038" s="7">
        <v>0</v>
      </c>
      <c r="P1038" s="7">
        <v>0</v>
      </c>
      <c r="Q1038" s="7">
        <v>0</v>
      </c>
    </row>
    <row r="1039" spans="1:17">
      <c r="A1039" s="2">
        <v>2987</v>
      </c>
      <c r="B1039" s="7">
        <v>0</v>
      </c>
      <c r="C1039" s="7">
        <v>0</v>
      </c>
      <c r="D1039" s="7">
        <v>0</v>
      </c>
      <c r="E1039" s="7">
        <v>0</v>
      </c>
      <c r="F1039" s="7">
        <v>0</v>
      </c>
      <c r="G1039" s="7">
        <v>0</v>
      </c>
      <c r="H1039" s="7">
        <v>0</v>
      </c>
      <c r="I1039" s="7">
        <v>0</v>
      </c>
      <c r="J1039" s="7">
        <v>0</v>
      </c>
      <c r="K1039" s="7">
        <v>0</v>
      </c>
      <c r="L1039" s="7">
        <v>0</v>
      </c>
      <c r="M1039" s="7">
        <v>0</v>
      </c>
      <c r="N1039" s="7">
        <v>0</v>
      </c>
      <c r="O1039" s="7">
        <v>0</v>
      </c>
      <c r="P1039" s="7">
        <v>0</v>
      </c>
      <c r="Q1039" s="7">
        <v>0</v>
      </c>
    </row>
    <row r="1040" spans="1:17">
      <c r="A1040" s="2">
        <v>2988</v>
      </c>
      <c r="B1040" s="7">
        <v>0</v>
      </c>
      <c r="C1040" s="7">
        <v>0</v>
      </c>
      <c r="D1040" s="7">
        <v>0</v>
      </c>
      <c r="E1040" s="7">
        <v>0</v>
      </c>
      <c r="F1040" s="7">
        <v>0</v>
      </c>
      <c r="G1040" s="7">
        <v>0</v>
      </c>
      <c r="H1040" s="7">
        <v>0</v>
      </c>
      <c r="I1040" s="7">
        <v>0</v>
      </c>
      <c r="J1040" s="7">
        <v>0</v>
      </c>
      <c r="K1040" s="7">
        <v>0</v>
      </c>
      <c r="L1040" s="7">
        <v>0</v>
      </c>
      <c r="M1040" s="7">
        <v>0</v>
      </c>
      <c r="N1040" s="7">
        <v>0</v>
      </c>
      <c r="O1040" s="7">
        <v>0</v>
      </c>
      <c r="P1040" s="7">
        <v>0</v>
      </c>
      <c r="Q1040" s="7">
        <v>0</v>
      </c>
    </row>
    <row r="1041" spans="1:17">
      <c r="A1041" s="2">
        <v>2989</v>
      </c>
      <c r="B1041" s="7">
        <v>0</v>
      </c>
      <c r="C1041" s="7">
        <v>0</v>
      </c>
      <c r="D1041" s="7">
        <v>0</v>
      </c>
      <c r="E1041" s="7">
        <v>0</v>
      </c>
      <c r="F1041" s="7">
        <v>0</v>
      </c>
      <c r="G1041" s="7">
        <v>0</v>
      </c>
      <c r="H1041" s="7">
        <v>0</v>
      </c>
      <c r="I1041" s="7">
        <v>0</v>
      </c>
      <c r="J1041" s="7">
        <v>0</v>
      </c>
      <c r="K1041" s="7">
        <v>0</v>
      </c>
      <c r="L1041" s="7">
        <v>0</v>
      </c>
      <c r="M1041" s="7">
        <v>0</v>
      </c>
      <c r="N1041" s="7">
        <v>0</v>
      </c>
      <c r="O1041" s="7">
        <v>0</v>
      </c>
      <c r="P1041" s="7">
        <v>0</v>
      </c>
      <c r="Q1041" s="7">
        <v>0</v>
      </c>
    </row>
    <row r="1042" spans="1:17">
      <c r="A1042" s="2">
        <v>2990</v>
      </c>
      <c r="B1042" s="7">
        <v>0</v>
      </c>
      <c r="C1042" s="7">
        <v>0</v>
      </c>
      <c r="D1042" s="7">
        <v>0</v>
      </c>
      <c r="E1042" s="7">
        <v>0</v>
      </c>
      <c r="F1042" s="7">
        <v>0</v>
      </c>
      <c r="G1042" s="7">
        <v>0</v>
      </c>
      <c r="H1042" s="7">
        <v>0</v>
      </c>
      <c r="I1042" s="7">
        <v>0</v>
      </c>
      <c r="J1042" s="7">
        <v>0</v>
      </c>
      <c r="K1042" s="7">
        <v>0</v>
      </c>
      <c r="L1042" s="7">
        <v>0</v>
      </c>
      <c r="M1042" s="7">
        <v>0</v>
      </c>
      <c r="N1042" s="7">
        <v>0</v>
      </c>
      <c r="O1042" s="7">
        <v>0</v>
      </c>
      <c r="P1042" s="7">
        <v>0</v>
      </c>
      <c r="Q1042" s="7">
        <v>0</v>
      </c>
    </row>
    <row r="1043" spans="1:17">
      <c r="A1043" s="2">
        <v>2991</v>
      </c>
      <c r="B1043" s="7">
        <v>0</v>
      </c>
      <c r="C1043" s="7">
        <v>0</v>
      </c>
      <c r="D1043" s="7">
        <v>0</v>
      </c>
      <c r="E1043" s="7">
        <v>0</v>
      </c>
      <c r="F1043" s="7">
        <v>0</v>
      </c>
      <c r="G1043" s="7">
        <v>0</v>
      </c>
      <c r="H1043" s="7">
        <v>0</v>
      </c>
      <c r="I1043" s="7">
        <v>0</v>
      </c>
      <c r="J1043" s="7">
        <v>0</v>
      </c>
      <c r="K1043" s="7">
        <v>0</v>
      </c>
      <c r="L1043" s="7">
        <v>0</v>
      </c>
      <c r="M1043" s="7">
        <v>0</v>
      </c>
      <c r="N1043" s="7">
        <v>0</v>
      </c>
      <c r="O1043" s="7">
        <v>0</v>
      </c>
      <c r="P1043" s="7">
        <v>0</v>
      </c>
      <c r="Q1043" s="7">
        <v>0</v>
      </c>
    </row>
    <row r="1044" spans="1:17">
      <c r="A1044" s="2">
        <v>2992</v>
      </c>
      <c r="B1044" s="7">
        <v>0</v>
      </c>
      <c r="C1044" s="7">
        <v>0</v>
      </c>
      <c r="D1044" s="7">
        <v>0</v>
      </c>
      <c r="E1044" s="7">
        <v>0</v>
      </c>
      <c r="F1044" s="7">
        <v>0</v>
      </c>
      <c r="G1044" s="7">
        <v>0</v>
      </c>
      <c r="H1044" s="7">
        <v>0</v>
      </c>
      <c r="I1044" s="7">
        <v>0</v>
      </c>
      <c r="J1044" s="7">
        <v>0</v>
      </c>
      <c r="K1044" s="7">
        <v>0</v>
      </c>
      <c r="L1044" s="7">
        <v>0</v>
      </c>
      <c r="M1044" s="7">
        <v>0</v>
      </c>
      <c r="N1044" s="7">
        <v>0</v>
      </c>
      <c r="O1044" s="7">
        <v>0</v>
      </c>
      <c r="P1044" s="7">
        <v>0</v>
      </c>
      <c r="Q1044" s="7">
        <v>0</v>
      </c>
    </row>
    <row r="1045" spans="1:17">
      <c r="A1045" s="2">
        <v>2993</v>
      </c>
      <c r="B1045" s="7">
        <v>0</v>
      </c>
      <c r="C1045" s="7">
        <v>0</v>
      </c>
      <c r="D1045" s="7">
        <v>0</v>
      </c>
      <c r="E1045" s="7">
        <v>0</v>
      </c>
      <c r="F1045" s="7">
        <v>0</v>
      </c>
      <c r="G1045" s="7">
        <v>0</v>
      </c>
      <c r="H1045" s="7">
        <v>0</v>
      </c>
      <c r="I1045" s="7">
        <v>0</v>
      </c>
      <c r="J1045" s="7">
        <v>0</v>
      </c>
      <c r="K1045" s="7">
        <v>0</v>
      </c>
      <c r="L1045" s="7">
        <v>0</v>
      </c>
      <c r="M1045" s="7">
        <v>0</v>
      </c>
      <c r="N1045" s="7">
        <v>0</v>
      </c>
      <c r="O1045" s="7">
        <v>0</v>
      </c>
      <c r="P1045" s="7">
        <v>0</v>
      </c>
      <c r="Q1045" s="7">
        <v>0</v>
      </c>
    </row>
    <row r="1046" spans="1:17">
      <c r="A1046" s="2">
        <v>2994</v>
      </c>
      <c r="B1046" s="7">
        <v>0</v>
      </c>
      <c r="C1046" s="7">
        <v>0</v>
      </c>
      <c r="D1046" s="7">
        <v>0</v>
      </c>
      <c r="E1046" s="7">
        <v>0</v>
      </c>
      <c r="F1046" s="7">
        <v>0</v>
      </c>
      <c r="G1046" s="7">
        <v>0</v>
      </c>
      <c r="H1046" s="7">
        <v>0</v>
      </c>
      <c r="I1046" s="7">
        <v>0</v>
      </c>
      <c r="J1046" s="7">
        <v>0</v>
      </c>
      <c r="K1046" s="7">
        <v>0</v>
      </c>
      <c r="L1046" s="7">
        <v>0</v>
      </c>
      <c r="M1046" s="7">
        <v>0</v>
      </c>
      <c r="N1046" s="7">
        <v>0</v>
      </c>
      <c r="O1046" s="7">
        <v>0</v>
      </c>
      <c r="P1046" s="7">
        <v>0</v>
      </c>
      <c r="Q1046" s="7">
        <v>0</v>
      </c>
    </row>
    <row r="1047" spans="1:17">
      <c r="A1047" s="2">
        <v>2995</v>
      </c>
      <c r="B1047" s="7">
        <v>0</v>
      </c>
      <c r="C1047" s="7">
        <v>0</v>
      </c>
      <c r="D1047" s="7">
        <v>0</v>
      </c>
      <c r="E1047" s="7">
        <v>0</v>
      </c>
      <c r="F1047" s="7">
        <v>0</v>
      </c>
      <c r="G1047" s="7">
        <v>0</v>
      </c>
      <c r="H1047" s="7">
        <v>0</v>
      </c>
      <c r="I1047" s="7">
        <v>0</v>
      </c>
      <c r="J1047" s="7">
        <v>0</v>
      </c>
      <c r="K1047" s="7">
        <v>0</v>
      </c>
      <c r="L1047" s="7">
        <v>0</v>
      </c>
      <c r="M1047" s="7">
        <v>0</v>
      </c>
      <c r="N1047" s="7">
        <v>0</v>
      </c>
      <c r="O1047" s="7">
        <v>0</v>
      </c>
      <c r="P1047" s="7">
        <v>0</v>
      </c>
      <c r="Q1047" s="7">
        <v>0</v>
      </c>
    </row>
    <row r="1048" spans="1:17">
      <c r="A1048" s="2">
        <v>2996</v>
      </c>
      <c r="B1048" s="7">
        <v>0</v>
      </c>
      <c r="C1048" s="7">
        <v>0</v>
      </c>
      <c r="D1048" s="7">
        <v>0</v>
      </c>
      <c r="E1048" s="7">
        <v>0</v>
      </c>
      <c r="F1048" s="7">
        <v>0</v>
      </c>
      <c r="G1048" s="7">
        <v>0</v>
      </c>
      <c r="H1048" s="7">
        <v>0</v>
      </c>
      <c r="I1048" s="7">
        <v>0</v>
      </c>
      <c r="J1048" s="7">
        <v>0</v>
      </c>
      <c r="K1048" s="7">
        <v>0</v>
      </c>
      <c r="L1048" s="7">
        <v>0</v>
      </c>
      <c r="M1048" s="7">
        <v>0</v>
      </c>
      <c r="N1048" s="7">
        <v>0</v>
      </c>
      <c r="O1048" s="7">
        <v>0</v>
      </c>
      <c r="P1048" s="7">
        <v>0</v>
      </c>
      <c r="Q1048" s="7">
        <v>0</v>
      </c>
    </row>
    <row r="1049" spans="1:17">
      <c r="A1049" s="2">
        <v>2997</v>
      </c>
      <c r="B1049" s="7">
        <v>0</v>
      </c>
      <c r="C1049" s="7">
        <v>0</v>
      </c>
      <c r="D1049" s="7">
        <v>0</v>
      </c>
      <c r="E1049" s="7">
        <v>0</v>
      </c>
      <c r="F1049" s="7">
        <v>0</v>
      </c>
      <c r="G1049" s="7">
        <v>0</v>
      </c>
      <c r="H1049" s="7">
        <v>0</v>
      </c>
      <c r="I1049" s="7">
        <v>0</v>
      </c>
      <c r="J1049" s="7">
        <v>0</v>
      </c>
      <c r="K1049" s="7">
        <v>0</v>
      </c>
      <c r="L1049" s="7">
        <v>0</v>
      </c>
      <c r="M1049" s="7">
        <v>0</v>
      </c>
      <c r="N1049" s="7">
        <v>0</v>
      </c>
      <c r="O1049" s="7">
        <v>0</v>
      </c>
      <c r="P1049" s="7">
        <v>0</v>
      </c>
      <c r="Q1049" s="7">
        <v>0</v>
      </c>
    </row>
    <row r="1050" spans="1:17">
      <c r="A1050" s="2">
        <v>2998</v>
      </c>
      <c r="B1050" s="7">
        <v>0</v>
      </c>
      <c r="C1050" s="7">
        <v>0</v>
      </c>
      <c r="D1050" s="7">
        <v>0</v>
      </c>
      <c r="E1050" s="7">
        <v>0</v>
      </c>
      <c r="F1050" s="7">
        <v>0</v>
      </c>
      <c r="G1050" s="7">
        <v>0</v>
      </c>
      <c r="H1050" s="7">
        <v>0</v>
      </c>
      <c r="I1050" s="7">
        <v>0</v>
      </c>
      <c r="J1050" s="7">
        <v>0</v>
      </c>
      <c r="K1050" s="7">
        <v>0</v>
      </c>
      <c r="L1050" s="7">
        <v>0</v>
      </c>
      <c r="M1050" s="7">
        <v>0</v>
      </c>
      <c r="N1050" s="7">
        <v>0</v>
      </c>
      <c r="O1050" s="7">
        <v>0</v>
      </c>
      <c r="P1050" s="7">
        <v>0</v>
      </c>
      <c r="Q1050" s="7">
        <v>0</v>
      </c>
    </row>
    <row r="1051" spans="1:17">
      <c r="A1051" s="2">
        <v>2999</v>
      </c>
      <c r="B1051" s="7">
        <v>0</v>
      </c>
      <c r="C1051" s="7">
        <v>0</v>
      </c>
      <c r="D1051" s="7">
        <v>0</v>
      </c>
      <c r="E1051" s="7">
        <v>0</v>
      </c>
      <c r="F1051" s="7">
        <v>0</v>
      </c>
      <c r="G1051" s="7">
        <v>0</v>
      </c>
      <c r="H1051" s="7">
        <v>0</v>
      </c>
      <c r="I1051" s="7">
        <v>0</v>
      </c>
      <c r="J1051" s="7">
        <v>0</v>
      </c>
      <c r="K1051" s="7">
        <v>0</v>
      </c>
      <c r="L1051" s="7">
        <v>0</v>
      </c>
      <c r="M1051" s="7">
        <v>0</v>
      </c>
      <c r="N1051" s="7">
        <v>0</v>
      </c>
      <c r="O1051" s="7">
        <v>0</v>
      </c>
      <c r="P1051" s="7">
        <v>0</v>
      </c>
      <c r="Q1051" s="7">
        <v>0</v>
      </c>
    </row>
    <row r="1052" spans="1:17">
      <c r="A1052" s="2">
        <v>3000</v>
      </c>
      <c r="B1052" s="7">
        <v>0</v>
      </c>
      <c r="C1052" s="7">
        <v>0</v>
      </c>
      <c r="D1052" s="7">
        <v>0</v>
      </c>
      <c r="E1052" s="7">
        <v>0</v>
      </c>
      <c r="F1052" s="7">
        <v>0</v>
      </c>
      <c r="G1052" s="7">
        <v>0</v>
      </c>
      <c r="H1052" s="7">
        <v>0</v>
      </c>
      <c r="I1052" s="7">
        <v>0</v>
      </c>
      <c r="J1052" s="7">
        <v>0</v>
      </c>
      <c r="K1052" s="7">
        <v>0</v>
      </c>
      <c r="L1052" s="7">
        <v>0</v>
      </c>
      <c r="M1052" s="7">
        <v>0</v>
      </c>
      <c r="N1052" s="7">
        <v>0</v>
      </c>
      <c r="O1052" s="7">
        <v>0</v>
      </c>
      <c r="P1052" s="7">
        <v>0</v>
      </c>
      <c r="Q1052" s="7">
        <v>0</v>
      </c>
    </row>
  </sheetData>
  <pageMargins left="0.7" right="0.7" top="0.78740157499999996" bottom="0.78740157499999996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>
  <dimension ref="A1:Q105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1.42578125" defaultRowHeight="12.75"/>
  <sheetData>
    <row r="1" spans="1:17">
      <c r="A1" s="1" t="s">
        <v>4</v>
      </c>
      <c r="B1" s="1" t="s">
        <v>2</v>
      </c>
      <c r="C1" s="1" t="s">
        <v>3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</row>
    <row r="2" spans="1:17">
      <c r="A2" s="3">
        <v>1950</v>
      </c>
      <c r="B2" s="7">
        <v>0</v>
      </c>
      <c r="C2" s="7">
        <v>0</v>
      </c>
      <c r="D2" s="7">
        <v>0</v>
      </c>
      <c r="E2" s="7">
        <v>0</v>
      </c>
      <c r="F2" s="7">
        <v>0</v>
      </c>
      <c r="G2" s="7">
        <v>0</v>
      </c>
      <c r="H2" s="7">
        <v>0</v>
      </c>
      <c r="I2" s="7">
        <v>0</v>
      </c>
      <c r="J2" s="7">
        <v>0</v>
      </c>
      <c r="K2" s="7">
        <v>0</v>
      </c>
      <c r="L2" s="7">
        <v>0</v>
      </c>
      <c r="M2" s="7">
        <v>0</v>
      </c>
      <c r="N2" s="7">
        <v>0</v>
      </c>
      <c r="O2" s="7">
        <v>0</v>
      </c>
      <c r="P2" s="7">
        <v>0</v>
      </c>
      <c r="Q2" s="7">
        <v>0</v>
      </c>
    </row>
    <row r="3" spans="1:17">
      <c r="A3" s="2">
        <v>1951</v>
      </c>
      <c r="B3" s="7">
        <v>0</v>
      </c>
      <c r="C3" s="7">
        <v>0</v>
      </c>
      <c r="D3" s="7">
        <v>0</v>
      </c>
      <c r="E3" s="7">
        <v>0</v>
      </c>
      <c r="F3" s="7">
        <v>0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</row>
    <row r="4" spans="1:17">
      <c r="A4" s="2">
        <v>1952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</row>
    <row r="5" spans="1:17">
      <c r="A5" s="2">
        <v>1953</v>
      </c>
      <c r="B5" s="7">
        <v>0</v>
      </c>
      <c r="C5" s="7">
        <v>0</v>
      </c>
      <c r="D5" s="7">
        <v>0</v>
      </c>
      <c r="E5" s="7">
        <v>0</v>
      </c>
      <c r="F5" s="7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  <c r="Q5" s="7">
        <v>0</v>
      </c>
    </row>
    <row r="6" spans="1:17">
      <c r="A6" s="2">
        <v>1954</v>
      </c>
      <c r="B6" s="7">
        <v>0</v>
      </c>
      <c r="C6" s="7">
        <v>0</v>
      </c>
      <c r="D6" s="7">
        <v>0</v>
      </c>
      <c r="E6" s="7">
        <v>0</v>
      </c>
      <c r="F6" s="7">
        <v>0</v>
      </c>
      <c r="G6" s="7">
        <v>0</v>
      </c>
      <c r="H6" s="7">
        <v>0</v>
      </c>
      <c r="I6" s="7">
        <v>0</v>
      </c>
      <c r="J6" s="7">
        <v>0</v>
      </c>
      <c r="K6" s="7">
        <v>0</v>
      </c>
      <c r="L6" s="7">
        <v>0</v>
      </c>
      <c r="M6" s="7">
        <v>0</v>
      </c>
      <c r="N6" s="7">
        <v>0</v>
      </c>
      <c r="O6" s="7">
        <v>0</v>
      </c>
      <c r="P6" s="7">
        <v>0</v>
      </c>
      <c r="Q6" s="7">
        <v>0</v>
      </c>
    </row>
    <row r="7" spans="1:17">
      <c r="A7" s="2">
        <v>1955</v>
      </c>
      <c r="B7" s="7">
        <v>0</v>
      </c>
      <c r="C7" s="7">
        <v>0</v>
      </c>
      <c r="D7" s="7">
        <v>0</v>
      </c>
      <c r="E7" s="7">
        <v>0</v>
      </c>
      <c r="F7" s="7">
        <v>0</v>
      </c>
      <c r="G7" s="7">
        <v>0</v>
      </c>
      <c r="H7" s="7">
        <v>0</v>
      </c>
      <c r="I7" s="7">
        <v>0</v>
      </c>
      <c r="J7" s="7">
        <v>0</v>
      </c>
      <c r="K7" s="7">
        <v>0</v>
      </c>
      <c r="L7" s="7">
        <v>0</v>
      </c>
      <c r="M7" s="7">
        <v>0</v>
      </c>
      <c r="N7" s="7">
        <v>0</v>
      </c>
      <c r="O7" s="7">
        <v>0</v>
      </c>
      <c r="P7" s="7">
        <v>0</v>
      </c>
      <c r="Q7" s="7">
        <v>0</v>
      </c>
    </row>
    <row r="8" spans="1:17">
      <c r="A8" s="2">
        <v>1956</v>
      </c>
      <c r="B8" s="7">
        <v>0</v>
      </c>
      <c r="C8" s="7">
        <v>0</v>
      </c>
      <c r="D8" s="7">
        <v>0</v>
      </c>
      <c r="E8" s="7">
        <v>0</v>
      </c>
      <c r="F8" s="7">
        <v>0</v>
      </c>
      <c r="G8" s="7">
        <v>0</v>
      </c>
      <c r="H8" s="7">
        <v>0</v>
      </c>
      <c r="I8" s="7">
        <v>0</v>
      </c>
      <c r="J8" s="7">
        <v>0</v>
      </c>
      <c r="K8" s="7">
        <v>0</v>
      </c>
      <c r="L8" s="7">
        <v>0</v>
      </c>
      <c r="M8" s="7">
        <v>0</v>
      </c>
      <c r="N8" s="7">
        <v>0</v>
      </c>
      <c r="O8" s="7">
        <v>0</v>
      </c>
      <c r="P8" s="7">
        <v>0</v>
      </c>
      <c r="Q8" s="7">
        <v>0</v>
      </c>
    </row>
    <row r="9" spans="1:17">
      <c r="A9" s="2">
        <v>1957</v>
      </c>
      <c r="B9" s="7">
        <v>0</v>
      </c>
      <c r="C9" s="7">
        <v>0</v>
      </c>
      <c r="D9" s="7">
        <v>0</v>
      </c>
      <c r="E9" s="7">
        <v>0</v>
      </c>
      <c r="F9" s="7">
        <v>0</v>
      </c>
      <c r="G9" s="7">
        <v>0</v>
      </c>
      <c r="H9" s="7">
        <v>0</v>
      </c>
      <c r="I9" s="7">
        <v>0</v>
      </c>
      <c r="J9" s="7">
        <v>0</v>
      </c>
      <c r="K9" s="7">
        <v>0</v>
      </c>
      <c r="L9" s="7">
        <v>0</v>
      </c>
      <c r="M9" s="7">
        <v>0</v>
      </c>
      <c r="N9" s="7">
        <v>0</v>
      </c>
      <c r="O9" s="7">
        <v>0</v>
      </c>
      <c r="P9" s="7">
        <v>0</v>
      </c>
      <c r="Q9" s="7">
        <v>0</v>
      </c>
    </row>
    <row r="10" spans="1:17">
      <c r="A10" s="2">
        <v>1958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</row>
    <row r="11" spans="1:17">
      <c r="A11" s="2">
        <v>1959</v>
      </c>
      <c r="B11" s="7">
        <v>0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</row>
    <row r="12" spans="1:17">
      <c r="A12" s="2">
        <v>1960</v>
      </c>
      <c r="B12" s="7">
        <v>0</v>
      </c>
      <c r="C12" s="7">
        <v>0</v>
      </c>
      <c r="D12" s="7">
        <v>0</v>
      </c>
      <c r="E12" s="7">
        <v>0</v>
      </c>
      <c r="F12" s="7">
        <v>0</v>
      </c>
      <c r="G12" s="7">
        <v>0</v>
      </c>
      <c r="H12" s="7">
        <v>0</v>
      </c>
      <c r="I12" s="7">
        <v>0</v>
      </c>
      <c r="J12" s="7">
        <v>0</v>
      </c>
      <c r="K12" s="7">
        <v>0</v>
      </c>
      <c r="L12" s="7">
        <v>0</v>
      </c>
      <c r="M12" s="7">
        <v>0</v>
      </c>
      <c r="N12" s="7">
        <v>0</v>
      </c>
      <c r="O12" s="7">
        <v>0</v>
      </c>
      <c r="P12" s="7">
        <v>0</v>
      </c>
      <c r="Q12" s="7">
        <v>0</v>
      </c>
    </row>
    <row r="13" spans="1:17">
      <c r="A13" s="2">
        <v>1961</v>
      </c>
      <c r="B13" s="7">
        <v>0</v>
      </c>
      <c r="C13" s="7">
        <v>0</v>
      </c>
      <c r="D13" s="7">
        <v>0</v>
      </c>
      <c r="E13" s="7">
        <v>0</v>
      </c>
      <c r="F13" s="7">
        <v>0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  <c r="N13" s="7">
        <v>0</v>
      </c>
      <c r="O13" s="7">
        <v>0</v>
      </c>
      <c r="P13" s="7">
        <v>0</v>
      </c>
      <c r="Q13" s="7">
        <v>0</v>
      </c>
    </row>
    <row r="14" spans="1:17">
      <c r="A14" s="2">
        <v>1962</v>
      </c>
      <c r="B14" s="7">
        <v>0</v>
      </c>
      <c r="C14" s="7">
        <v>0</v>
      </c>
      <c r="D14" s="7">
        <v>0</v>
      </c>
      <c r="E14" s="7">
        <v>0</v>
      </c>
      <c r="F14" s="7">
        <v>0</v>
      </c>
      <c r="G14" s="7">
        <v>0</v>
      </c>
      <c r="H14" s="7">
        <v>0</v>
      </c>
      <c r="I14" s="7">
        <v>0</v>
      </c>
      <c r="J14" s="7">
        <v>0</v>
      </c>
      <c r="K14" s="7">
        <v>0</v>
      </c>
      <c r="L14" s="7">
        <v>0</v>
      </c>
      <c r="M14" s="7">
        <v>0</v>
      </c>
      <c r="N14" s="7">
        <v>0</v>
      </c>
      <c r="O14" s="7">
        <v>0</v>
      </c>
      <c r="P14" s="7">
        <v>0</v>
      </c>
      <c r="Q14" s="7">
        <v>0</v>
      </c>
    </row>
    <row r="15" spans="1:17">
      <c r="A15" s="2">
        <v>1963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</row>
    <row r="16" spans="1:17">
      <c r="A16" s="2">
        <v>1964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</row>
    <row r="17" spans="1:17">
      <c r="A17" s="2">
        <v>1965</v>
      </c>
      <c r="B17" s="7">
        <v>0</v>
      </c>
      <c r="C17" s="7">
        <v>0</v>
      </c>
      <c r="D17" s="7">
        <v>0</v>
      </c>
      <c r="E17" s="7">
        <v>0</v>
      </c>
      <c r="F17" s="7">
        <v>0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</row>
    <row r="18" spans="1:17">
      <c r="A18" s="2">
        <v>1966</v>
      </c>
      <c r="B18" s="7">
        <v>0</v>
      </c>
      <c r="C18" s="7">
        <v>0</v>
      </c>
      <c r="D18" s="7">
        <v>0</v>
      </c>
      <c r="E18" s="7">
        <v>0</v>
      </c>
      <c r="F18" s="7">
        <v>0</v>
      </c>
      <c r="G18" s="7">
        <v>0</v>
      </c>
      <c r="H18" s="7">
        <v>0</v>
      </c>
      <c r="I18" s="7">
        <v>0</v>
      </c>
      <c r="J18" s="7">
        <v>0</v>
      </c>
      <c r="K18" s="7">
        <v>0</v>
      </c>
      <c r="L18" s="7">
        <v>0</v>
      </c>
      <c r="M18" s="7">
        <v>0</v>
      </c>
      <c r="N18" s="7">
        <v>0</v>
      </c>
      <c r="O18" s="7">
        <v>0</v>
      </c>
      <c r="P18" s="7">
        <v>0</v>
      </c>
      <c r="Q18" s="7">
        <v>0</v>
      </c>
    </row>
    <row r="19" spans="1:17">
      <c r="A19" s="2">
        <v>1967</v>
      </c>
      <c r="B19" s="7">
        <v>0</v>
      </c>
      <c r="C19" s="7">
        <v>0</v>
      </c>
      <c r="D19" s="7">
        <v>0</v>
      </c>
      <c r="E19" s="7">
        <v>0</v>
      </c>
      <c r="F19" s="7">
        <v>0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  <c r="O19" s="7">
        <v>0</v>
      </c>
      <c r="P19" s="7">
        <v>0</v>
      </c>
      <c r="Q19" s="7">
        <v>0</v>
      </c>
    </row>
    <row r="20" spans="1:17">
      <c r="A20" s="2">
        <v>1968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 s="7">
        <v>0</v>
      </c>
      <c r="M20" s="7">
        <v>0</v>
      </c>
      <c r="N20" s="7">
        <v>0</v>
      </c>
      <c r="O20" s="7">
        <v>0</v>
      </c>
      <c r="P20" s="7">
        <v>0</v>
      </c>
      <c r="Q20" s="7">
        <v>0</v>
      </c>
    </row>
    <row r="21" spans="1:17">
      <c r="A21" s="2">
        <v>1969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</row>
    <row r="22" spans="1:17">
      <c r="A22" s="2">
        <v>1970</v>
      </c>
      <c r="B22" s="7">
        <v>0</v>
      </c>
      <c r="C22" s="7">
        <v>0</v>
      </c>
      <c r="D22" s="7">
        <v>0</v>
      </c>
      <c r="E22" s="7">
        <v>0</v>
      </c>
      <c r="F22" s="7">
        <v>0</v>
      </c>
      <c r="G22" s="7">
        <v>0</v>
      </c>
      <c r="H22" s="7">
        <v>0</v>
      </c>
      <c r="I22" s="7">
        <v>0</v>
      </c>
      <c r="J22" s="7">
        <v>0</v>
      </c>
      <c r="K22" s="7">
        <v>0</v>
      </c>
      <c r="L22" s="7">
        <v>0</v>
      </c>
      <c r="M22" s="7">
        <v>0</v>
      </c>
      <c r="N22" s="7">
        <v>0</v>
      </c>
      <c r="O22" s="7">
        <v>0</v>
      </c>
      <c r="P22" s="7">
        <v>0</v>
      </c>
      <c r="Q22" s="7">
        <v>0</v>
      </c>
    </row>
    <row r="23" spans="1:17">
      <c r="A23" s="2">
        <v>1971</v>
      </c>
      <c r="B23" s="7">
        <v>0</v>
      </c>
      <c r="C23" s="7">
        <v>0</v>
      </c>
      <c r="D23" s="7">
        <v>0</v>
      </c>
      <c r="E23" s="7">
        <v>0</v>
      </c>
      <c r="F23" s="7">
        <v>0</v>
      </c>
      <c r="G23" s="7">
        <v>0</v>
      </c>
      <c r="H23" s="7">
        <v>0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</row>
    <row r="24" spans="1:17">
      <c r="A24" s="2">
        <v>1972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</row>
    <row r="25" spans="1:17">
      <c r="A25" s="2">
        <v>1973</v>
      </c>
      <c r="B25" s="7">
        <v>0</v>
      </c>
      <c r="C25" s="7">
        <v>0</v>
      </c>
      <c r="D25" s="7">
        <v>0</v>
      </c>
      <c r="E25" s="7">
        <v>0</v>
      </c>
      <c r="F25" s="7">
        <v>0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 s="7">
        <v>0</v>
      </c>
      <c r="M25" s="7">
        <v>0</v>
      </c>
      <c r="N25" s="7">
        <v>0</v>
      </c>
      <c r="O25" s="7">
        <v>0</v>
      </c>
      <c r="P25" s="7">
        <v>0</v>
      </c>
      <c r="Q25" s="7">
        <v>0</v>
      </c>
    </row>
    <row r="26" spans="1:17">
      <c r="A26" s="2">
        <v>1974</v>
      </c>
      <c r="B26" s="7">
        <v>0</v>
      </c>
      <c r="C26" s="7">
        <v>0</v>
      </c>
      <c r="D26" s="7">
        <v>0</v>
      </c>
      <c r="E26" s="7">
        <v>0</v>
      </c>
      <c r="F26" s="7">
        <v>0</v>
      </c>
      <c r="G26" s="7">
        <v>0</v>
      </c>
      <c r="H26" s="7">
        <v>0</v>
      </c>
      <c r="I26" s="7">
        <v>0</v>
      </c>
      <c r="J26" s="7">
        <v>0</v>
      </c>
      <c r="K26" s="7">
        <v>0</v>
      </c>
      <c r="L26" s="7">
        <v>0</v>
      </c>
      <c r="M26" s="7">
        <v>0</v>
      </c>
      <c r="N26" s="7">
        <v>0</v>
      </c>
      <c r="O26" s="7">
        <v>0</v>
      </c>
      <c r="P26" s="7">
        <v>0</v>
      </c>
      <c r="Q26" s="7">
        <v>0</v>
      </c>
    </row>
    <row r="27" spans="1:17">
      <c r="A27" s="2">
        <v>1975</v>
      </c>
      <c r="B27" s="7">
        <v>0</v>
      </c>
      <c r="C27" s="7">
        <v>0</v>
      </c>
      <c r="D27" s="7">
        <v>0</v>
      </c>
      <c r="E27" s="7">
        <v>0</v>
      </c>
      <c r="F27" s="7">
        <v>0</v>
      </c>
      <c r="G27" s="7">
        <v>0</v>
      </c>
      <c r="H27" s="7">
        <v>0</v>
      </c>
      <c r="I27" s="7">
        <v>0</v>
      </c>
      <c r="J27" s="7">
        <v>0</v>
      </c>
      <c r="K27" s="7">
        <v>0</v>
      </c>
      <c r="L27" s="7">
        <v>0</v>
      </c>
      <c r="M27" s="7">
        <v>0</v>
      </c>
      <c r="N27" s="7">
        <v>0</v>
      </c>
      <c r="O27" s="7">
        <v>0</v>
      </c>
      <c r="P27" s="7">
        <v>0</v>
      </c>
      <c r="Q27" s="7">
        <v>0</v>
      </c>
    </row>
    <row r="28" spans="1:17">
      <c r="A28" s="2">
        <v>1976</v>
      </c>
      <c r="B28" s="7">
        <v>0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</row>
    <row r="29" spans="1:17">
      <c r="A29" s="2">
        <v>1977</v>
      </c>
      <c r="B29" s="7">
        <v>0</v>
      </c>
      <c r="C29" s="7">
        <v>0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</row>
    <row r="30" spans="1:17">
      <c r="A30" s="2">
        <v>1978</v>
      </c>
      <c r="B30" s="7">
        <v>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</row>
    <row r="31" spans="1:17">
      <c r="A31" s="2">
        <v>1979</v>
      </c>
      <c r="B31" s="7">
        <v>0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</row>
    <row r="32" spans="1:17">
      <c r="A32" s="2">
        <v>1980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</row>
    <row r="33" spans="1:17">
      <c r="A33" s="2">
        <v>1981</v>
      </c>
      <c r="B33" s="7">
        <v>0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</row>
    <row r="34" spans="1:17">
      <c r="A34" s="2">
        <v>1982</v>
      </c>
      <c r="B34" s="7">
        <v>0</v>
      </c>
      <c r="C34" s="7">
        <v>0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</row>
    <row r="35" spans="1:17">
      <c r="A35" s="2">
        <v>1983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</row>
    <row r="36" spans="1:17">
      <c r="A36" s="2">
        <v>1984</v>
      </c>
      <c r="B36" s="7">
        <v>0</v>
      </c>
      <c r="C36" s="7">
        <v>0</v>
      </c>
      <c r="D36" s="7">
        <v>0</v>
      </c>
      <c r="E36" s="7">
        <v>0</v>
      </c>
      <c r="F36" s="7">
        <v>0</v>
      </c>
      <c r="G36" s="7">
        <v>0</v>
      </c>
      <c r="H36" s="7">
        <v>0</v>
      </c>
      <c r="I36" s="7">
        <v>0</v>
      </c>
      <c r="J36" s="7">
        <v>0</v>
      </c>
      <c r="K36" s="7">
        <v>0</v>
      </c>
      <c r="L36" s="7">
        <v>0</v>
      </c>
      <c r="M36" s="7">
        <v>0</v>
      </c>
      <c r="N36" s="7">
        <v>0</v>
      </c>
      <c r="O36" s="7">
        <v>0</v>
      </c>
      <c r="P36" s="7">
        <v>0</v>
      </c>
      <c r="Q36" s="7">
        <v>0</v>
      </c>
    </row>
    <row r="37" spans="1:17">
      <c r="A37" s="2">
        <v>1985</v>
      </c>
      <c r="B37" s="7">
        <v>0</v>
      </c>
      <c r="C37" s="7">
        <v>0</v>
      </c>
      <c r="D37" s="7">
        <v>0</v>
      </c>
      <c r="E37" s="7">
        <v>0</v>
      </c>
      <c r="F37" s="7">
        <v>0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</row>
    <row r="38" spans="1:17">
      <c r="A38" s="2">
        <v>1986</v>
      </c>
      <c r="B38" s="7">
        <v>0</v>
      </c>
      <c r="C38" s="7">
        <v>0</v>
      </c>
      <c r="D38" s="7">
        <v>0</v>
      </c>
      <c r="E38" s="7">
        <v>0</v>
      </c>
      <c r="F38" s="7">
        <v>0</v>
      </c>
      <c r="G38" s="7">
        <v>0</v>
      </c>
      <c r="H38" s="7">
        <v>0</v>
      </c>
      <c r="I38" s="7">
        <v>0</v>
      </c>
      <c r="J38" s="7">
        <v>0</v>
      </c>
      <c r="K38" s="7">
        <v>0</v>
      </c>
      <c r="L38" s="7">
        <v>0</v>
      </c>
      <c r="M38" s="7">
        <v>0</v>
      </c>
      <c r="N38" s="7">
        <v>0</v>
      </c>
      <c r="O38" s="7">
        <v>0</v>
      </c>
      <c r="P38" s="7">
        <v>0</v>
      </c>
      <c r="Q38" s="7">
        <v>0</v>
      </c>
    </row>
    <row r="39" spans="1:17">
      <c r="A39" s="2">
        <v>1987</v>
      </c>
      <c r="B39" s="7">
        <v>0</v>
      </c>
      <c r="C39" s="7">
        <v>0</v>
      </c>
      <c r="D39" s="7">
        <v>0</v>
      </c>
      <c r="E39" s="7">
        <v>0</v>
      </c>
      <c r="F39" s="7">
        <v>0</v>
      </c>
      <c r="G39" s="7">
        <v>0</v>
      </c>
      <c r="H39" s="7">
        <v>0</v>
      </c>
      <c r="I39" s="7">
        <v>0</v>
      </c>
      <c r="J39" s="7">
        <v>0</v>
      </c>
      <c r="K39" s="7">
        <v>0</v>
      </c>
      <c r="L39" s="7">
        <v>0</v>
      </c>
      <c r="M39" s="7">
        <v>0</v>
      </c>
      <c r="N39" s="7">
        <v>0</v>
      </c>
      <c r="O39" s="7">
        <v>0</v>
      </c>
      <c r="P39" s="7">
        <v>0</v>
      </c>
      <c r="Q39" s="7">
        <v>0</v>
      </c>
    </row>
    <row r="40" spans="1:17">
      <c r="A40" s="2">
        <v>1988</v>
      </c>
      <c r="B40" s="7">
        <v>0</v>
      </c>
      <c r="C40" s="7">
        <v>0</v>
      </c>
      <c r="D40" s="7">
        <v>0</v>
      </c>
      <c r="E40" s="7">
        <v>0</v>
      </c>
      <c r="F40" s="7">
        <v>0</v>
      </c>
      <c r="G40" s="7">
        <v>0</v>
      </c>
      <c r="H40" s="7">
        <v>0</v>
      </c>
      <c r="I40" s="7">
        <v>0</v>
      </c>
      <c r="J40" s="7">
        <v>0</v>
      </c>
      <c r="K40" s="7">
        <v>0</v>
      </c>
      <c r="L40" s="7">
        <v>0</v>
      </c>
      <c r="M40" s="7">
        <v>0</v>
      </c>
      <c r="N40" s="7">
        <v>0</v>
      </c>
      <c r="O40" s="7">
        <v>0</v>
      </c>
      <c r="P40" s="7">
        <v>0</v>
      </c>
      <c r="Q40" s="7">
        <v>0</v>
      </c>
    </row>
    <row r="41" spans="1:17">
      <c r="A41" s="2">
        <v>1989</v>
      </c>
      <c r="B41" s="7">
        <v>0</v>
      </c>
      <c r="C41" s="7">
        <v>0</v>
      </c>
      <c r="D41" s="7">
        <v>0</v>
      </c>
      <c r="E41" s="7">
        <v>0</v>
      </c>
      <c r="F41" s="7">
        <v>0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7">
        <v>0</v>
      </c>
      <c r="M41" s="7">
        <v>0</v>
      </c>
      <c r="N41" s="7">
        <v>0</v>
      </c>
      <c r="O41" s="7">
        <v>0</v>
      </c>
      <c r="P41" s="7">
        <v>0</v>
      </c>
      <c r="Q41" s="7">
        <v>0</v>
      </c>
    </row>
    <row r="42" spans="1:17">
      <c r="A42" s="2">
        <v>1990</v>
      </c>
      <c r="B42" s="7">
        <v>0</v>
      </c>
      <c r="C42" s="7">
        <v>0</v>
      </c>
      <c r="D42" s="7">
        <v>0</v>
      </c>
      <c r="E42" s="7">
        <v>0</v>
      </c>
      <c r="F42" s="7">
        <v>0</v>
      </c>
      <c r="G42" s="7">
        <v>0</v>
      </c>
      <c r="H42" s="7">
        <v>0</v>
      </c>
      <c r="I42" s="7">
        <v>0</v>
      </c>
      <c r="J42" s="7">
        <v>0</v>
      </c>
      <c r="K42" s="7">
        <v>0</v>
      </c>
      <c r="L42" s="7">
        <v>0</v>
      </c>
      <c r="M42" s="7">
        <v>0</v>
      </c>
      <c r="N42" s="7">
        <v>0</v>
      </c>
      <c r="O42" s="7">
        <v>0</v>
      </c>
      <c r="P42" s="7">
        <v>0</v>
      </c>
      <c r="Q42" s="7">
        <v>0</v>
      </c>
    </row>
    <row r="43" spans="1:17">
      <c r="A43" s="2">
        <v>1991</v>
      </c>
      <c r="B43" s="7">
        <v>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</row>
    <row r="44" spans="1:17">
      <c r="A44" s="2">
        <v>1992</v>
      </c>
      <c r="B44" s="7">
        <v>0</v>
      </c>
      <c r="C44" s="7">
        <v>0</v>
      </c>
      <c r="D44" s="7">
        <v>0</v>
      </c>
      <c r="E44" s="7">
        <v>0</v>
      </c>
      <c r="F44" s="7">
        <v>0</v>
      </c>
      <c r="G44" s="7">
        <v>0</v>
      </c>
      <c r="H44" s="7">
        <v>0</v>
      </c>
      <c r="I44" s="7">
        <v>0</v>
      </c>
      <c r="J44" s="7">
        <v>0</v>
      </c>
      <c r="K44" s="7">
        <v>0</v>
      </c>
      <c r="L44" s="7">
        <v>0</v>
      </c>
      <c r="M44" s="7">
        <v>0</v>
      </c>
      <c r="N44" s="7">
        <v>0</v>
      </c>
      <c r="O44" s="7">
        <v>0</v>
      </c>
      <c r="P44" s="7">
        <v>0</v>
      </c>
      <c r="Q44" s="7">
        <v>0</v>
      </c>
    </row>
    <row r="45" spans="1:17">
      <c r="A45" s="2">
        <v>1993</v>
      </c>
      <c r="B45" s="7">
        <v>0</v>
      </c>
      <c r="C45" s="7">
        <v>0</v>
      </c>
      <c r="D45" s="7">
        <v>0</v>
      </c>
      <c r="E45" s="7">
        <v>0</v>
      </c>
      <c r="F45" s="7">
        <v>0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 s="7">
        <v>0</v>
      </c>
      <c r="M45" s="7">
        <v>0</v>
      </c>
      <c r="N45" s="7">
        <v>0</v>
      </c>
      <c r="O45" s="7">
        <v>0</v>
      </c>
      <c r="P45" s="7">
        <v>0</v>
      </c>
      <c r="Q45" s="7">
        <v>0</v>
      </c>
    </row>
    <row r="46" spans="1:17">
      <c r="A46" s="2">
        <v>1994</v>
      </c>
      <c r="B46" s="7">
        <v>0</v>
      </c>
      <c r="C46" s="7">
        <v>0</v>
      </c>
      <c r="D46" s="7">
        <v>0</v>
      </c>
      <c r="E46" s="7">
        <v>0</v>
      </c>
      <c r="F46" s="7">
        <v>0</v>
      </c>
      <c r="G46" s="7">
        <v>0</v>
      </c>
      <c r="H46" s="7">
        <v>0</v>
      </c>
      <c r="I46" s="7">
        <v>0</v>
      </c>
      <c r="J46" s="7">
        <v>0</v>
      </c>
      <c r="K46" s="7">
        <v>0</v>
      </c>
      <c r="L46" s="7">
        <v>0</v>
      </c>
      <c r="M46" s="7">
        <v>0</v>
      </c>
      <c r="N46" s="7">
        <v>0</v>
      </c>
      <c r="O46" s="7">
        <v>0</v>
      </c>
      <c r="P46" s="7">
        <v>0</v>
      </c>
      <c r="Q46" s="7">
        <v>0</v>
      </c>
    </row>
    <row r="47" spans="1:17">
      <c r="A47" s="2">
        <v>1995</v>
      </c>
      <c r="B47" s="7">
        <v>0</v>
      </c>
      <c r="C47" s="7">
        <v>0</v>
      </c>
      <c r="D47" s="7">
        <v>0</v>
      </c>
      <c r="E47" s="7">
        <v>0</v>
      </c>
      <c r="F47" s="7">
        <v>0</v>
      </c>
      <c r="G47" s="7">
        <v>0</v>
      </c>
      <c r="H47" s="7">
        <v>0</v>
      </c>
      <c r="I47" s="7">
        <v>0</v>
      </c>
      <c r="J47" s="7">
        <v>0</v>
      </c>
      <c r="K47" s="7">
        <v>0</v>
      </c>
      <c r="L47" s="7">
        <v>0</v>
      </c>
      <c r="M47" s="7">
        <v>0</v>
      </c>
      <c r="N47" s="7">
        <v>0</v>
      </c>
      <c r="O47" s="7">
        <v>0</v>
      </c>
      <c r="P47" s="7">
        <v>0</v>
      </c>
      <c r="Q47" s="7">
        <v>0</v>
      </c>
    </row>
    <row r="48" spans="1:17">
      <c r="A48" s="2">
        <v>1996</v>
      </c>
      <c r="B48" s="7">
        <v>0</v>
      </c>
      <c r="C48" s="7">
        <v>0</v>
      </c>
      <c r="D48" s="7">
        <v>0</v>
      </c>
      <c r="E48" s="7">
        <v>0</v>
      </c>
      <c r="F48" s="7">
        <v>0</v>
      </c>
      <c r="G48" s="7">
        <v>0</v>
      </c>
      <c r="H48" s="7">
        <v>0</v>
      </c>
      <c r="I48" s="7">
        <v>0</v>
      </c>
      <c r="J48" s="7">
        <v>0</v>
      </c>
      <c r="K48" s="7">
        <v>0</v>
      </c>
      <c r="L48" s="7">
        <v>0</v>
      </c>
      <c r="M48" s="7">
        <v>0</v>
      </c>
      <c r="N48" s="7">
        <v>0</v>
      </c>
      <c r="O48" s="7">
        <v>0</v>
      </c>
      <c r="P48" s="7">
        <v>0</v>
      </c>
      <c r="Q48" s="7">
        <v>0</v>
      </c>
    </row>
    <row r="49" spans="1:17">
      <c r="A49" s="2">
        <v>1997</v>
      </c>
      <c r="B49" s="7">
        <v>0</v>
      </c>
      <c r="C49" s="7">
        <v>0</v>
      </c>
      <c r="D49" s="7">
        <v>0</v>
      </c>
      <c r="E49" s="7">
        <v>0</v>
      </c>
      <c r="F49" s="7">
        <v>0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 s="7">
        <v>0</v>
      </c>
      <c r="M49" s="7">
        <v>0</v>
      </c>
      <c r="N49" s="7">
        <v>0</v>
      </c>
      <c r="O49" s="7">
        <v>0</v>
      </c>
      <c r="P49" s="7">
        <v>0</v>
      </c>
      <c r="Q49" s="7">
        <v>0</v>
      </c>
    </row>
    <row r="50" spans="1:17">
      <c r="A50" s="2">
        <v>1998</v>
      </c>
      <c r="B50" s="7">
        <v>0</v>
      </c>
      <c r="C50" s="7">
        <v>0</v>
      </c>
      <c r="D50" s="7">
        <v>0</v>
      </c>
      <c r="E50" s="7">
        <v>0</v>
      </c>
      <c r="F50" s="7">
        <v>0</v>
      </c>
      <c r="G50" s="7">
        <v>0</v>
      </c>
      <c r="H50" s="7">
        <v>0</v>
      </c>
      <c r="I50" s="7">
        <v>0</v>
      </c>
      <c r="J50" s="7">
        <v>0</v>
      </c>
      <c r="K50" s="7">
        <v>0</v>
      </c>
      <c r="L50" s="7">
        <v>0</v>
      </c>
      <c r="M50" s="7">
        <v>0</v>
      </c>
      <c r="N50" s="7">
        <v>0</v>
      </c>
      <c r="O50" s="7">
        <v>0</v>
      </c>
      <c r="P50" s="7">
        <v>0</v>
      </c>
      <c r="Q50" s="7">
        <v>0</v>
      </c>
    </row>
    <row r="51" spans="1:17">
      <c r="A51" s="2">
        <v>1999</v>
      </c>
      <c r="B51" s="7">
        <v>0</v>
      </c>
      <c r="C51" s="7">
        <v>0</v>
      </c>
      <c r="D51" s="7">
        <v>0</v>
      </c>
      <c r="E51" s="7">
        <v>0</v>
      </c>
      <c r="F51" s="7">
        <v>0</v>
      </c>
      <c r="G51" s="7">
        <v>0</v>
      </c>
      <c r="H51" s="7">
        <v>0</v>
      </c>
      <c r="I51" s="7">
        <v>0</v>
      </c>
      <c r="J51" s="7">
        <v>0</v>
      </c>
      <c r="K51" s="7">
        <v>0</v>
      </c>
      <c r="L51" s="7">
        <v>0</v>
      </c>
      <c r="M51" s="7">
        <v>0</v>
      </c>
      <c r="N51" s="7">
        <v>0</v>
      </c>
      <c r="O51" s="7">
        <v>0</v>
      </c>
      <c r="P51" s="7">
        <v>0</v>
      </c>
      <c r="Q51" s="7">
        <v>0</v>
      </c>
    </row>
    <row r="52" spans="1:17">
      <c r="A52" s="2">
        <v>2000</v>
      </c>
      <c r="B52" s="7">
        <v>0</v>
      </c>
      <c r="C52" s="7">
        <v>0</v>
      </c>
      <c r="D52" s="7">
        <v>0</v>
      </c>
      <c r="E52" s="7">
        <v>0</v>
      </c>
      <c r="F52" s="7">
        <v>0</v>
      </c>
      <c r="G52" s="7">
        <v>0</v>
      </c>
      <c r="H52" s="7">
        <v>0</v>
      </c>
      <c r="I52" s="7">
        <v>0</v>
      </c>
      <c r="J52" s="7">
        <v>0</v>
      </c>
      <c r="K52" s="7">
        <v>0</v>
      </c>
      <c r="L52" s="7">
        <v>0</v>
      </c>
      <c r="M52" s="7">
        <v>0</v>
      </c>
      <c r="N52" s="7">
        <v>0</v>
      </c>
      <c r="O52" s="7">
        <v>0</v>
      </c>
      <c r="P52" s="7">
        <v>0</v>
      </c>
      <c r="Q52" s="7">
        <v>0</v>
      </c>
    </row>
    <row r="53" spans="1:17">
      <c r="A53" s="2">
        <v>2001</v>
      </c>
      <c r="B53" s="7">
        <v>0</v>
      </c>
      <c r="C53" s="7">
        <v>0</v>
      </c>
      <c r="D53" s="7">
        <v>0</v>
      </c>
      <c r="E53" s="7">
        <v>0</v>
      </c>
      <c r="F53" s="7">
        <v>0</v>
      </c>
      <c r="G53" s="7">
        <v>0</v>
      </c>
      <c r="H53" s="7">
        <v>0</v>
      </c>
      <c r="I53" s="7">
        <v>0</v>
      </c>
      <c r="J53" s="7">
        <v>0</v>
      </c>
      <c r="K53" s="7">
        <v>0</v>
      </c>
      <c r="L53" s="7">
        <v>0</v>
      </c>
      <c r="M53" s="7">
        <v>0</v>
      </c>
      <c r="N53" s="7">
        <v>0</v>
      </c>
      <c r="O53" s="7">
        <v>0</v>
      </c>
      <c r="P53" s="7">
        <v>0</v>
      </c>
      <c r="Q53" s="7">
        <v>0</v>
      </c>
    </row>
    <row r="54" spans="1:17">
      <c r="A54" s="2">
        <v>2002</v>
      </c>
      <c r="B54" s="7">
        <v>0</v>
      </c>
      <c r="C54" s="7">
        <v>0</v>
      </c>
      <c r="D54" s="7">
        <v>0</v>
      </c>
      <c r="E54" s="7">
        <v>0</v>
      </c>
      <c r="F54" s="7">
        <v>0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L54" s="7">
        <v>0</v>
      </c>
      <c r="M54" s="7">
        <v>0</v>
      </c>
      <c r="N54" s="7">
        <v>0</v>
      </c>
      <c r="O54" s="7">
        <v>0</v>
      </c>
      <c r="P54" s="7">
        <v>0</v>
      </c>
      <c r="Q54" s="7">
        <v>0</v>
      </c>
    </row>
    <row r="55" spans="1:17">
      <c r="A55" s="2">
        <v>2003</v>
      </c>
      <c r="B55" s="7">
        <v>0</v>
      </c>
      <c r="C55" s="7">
        <v>0</v>
      </c>
      <c r="D55" s="7">
        <v>0</v>
      </c>
      <c r="E55" s="7">
        <v>0</v>
      </c>
      <c r="F55" s="7">
        <v>0</v>
      </c>
      <c r="G55" s="7">
        <v>0</v>
      </c>
      <c r="H55" s="7">
        <v>0</v>
      </c>
      <c r="I55" s="7">
        <v>0</v>
      </c>
      <c r="J55" s="7">
        <v>0</v>
      </c>
      <c r="K55" s="7">
        <v>0</v>
      </c>
      <c r="L55" s="7">
        <v>0</v>
      </c>
      <c r="M55" s="7">
        <v>0</v>
      </c>
      <c r="N55" s="7">
        <v>0</v>
      </c>
      <c r="O55" s="7">
        <v>0</v>
      </c>
      <c r="P55" s="7">
        <v>0</v>
      </c>
      <c r="Q55" s="7">
        <v>0</v>
      </c>
    </row>
    <row r="56" spans="1:17">
      <c r="A56" s="2">
        <v>2004</v>
      </c>
      <c r="B56" s="7">
        <v>0</v>
      </c>
      <c r="C56" s="7">
        <v>0</v>
      </c>
      <c r="D56" s="7">
        <v>0</v>
      </c>
      <c r="E56" s="7">
        <v>0</v>
      </c>
      <c r="F56" s="7">
        <v>0</v>
      </c>
      <c r="G56" s="7">
        <v>0</v>
      </c>
      <c r="H56" s="7">
        <v>0</v>
      </c>
      <c r="I56" s="7">
        <v>0</v>
      </c>
      <c r="J56" s="7">
        <v>0</v>
      </c>
      <c r="K56" s="7">
        <v>0</v>
      </c>
      <c r="L56" s="7">
        <v>0</v>
      </c>
      <c r="M56" s="7">
        <v>0</v>
      </c>
      <c r="N56" s="7">
        <v>0</v>
      </c>
      <c r="O56" s="7">
        <v>0</v>
      </c>
      <c r="P56" s="7">
        <v>0</v>
      </c>
      <c r="Q56" s="7">
        <v>0</v>
      </c>
    </row>
    <row r="57" spans="1:17">
      <c r="A57" s="2">
        <v>2005</v>
      </c>
      <c r="B57" s="7">
        <v>0</v>
      </c>
      <c r="C57" s="7">
        <v>0</v>
      </c>
      <c r="D57" s="7">
        <v>0</v>
      </c>
      <c r="E57" s="7">
        <v>0</v>
      </c>
      <c r="F57" s="7">
        <v>0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 s="7">
        <v>0</v>
      </c>
      <c r="M57" s="7">
        <v>0</v>
      </c>
      <c r="N57" s="7">
        <v>0</v>
      </c>
      <c r="O57" s="7">
        <v>0</v>
      </c>
      <c r="P57" s="7">
        <v>0</v>
      </c>
      <c r="Q57" s="7">
        <v>0</v>
      </c>
    </row>
    <row r="58" spans="1:17">
      <c r="A58" s="2">
        <v>2006</v>
      </c>
      <c r="B58" s="7">
        <v>0</v>
      </c>
      <c r="C58" s="7">
        <v>0</v>
      </c>
      <c r="D58" s="7">
        <v>0</v>
      </c>
      <c r="E58" s="7">
        <v>0</v>
      </c>
      <c r="F58" s="7">
        <v>0</v>
      </c>
      <c r="G58" s="7">
        <v>0</v>
      </c>
      <c r="H58" s="7">
        <v>0</v>
      </c>
      <c r="I58" s="7">
        <v>0</v>
      </c>
      <c r="J58" s="7">
        <v>0</v>
      </c>
      <c r="K58" s="7">
        <v>0</v>
      </c>
      <c r="L58" s="7">
        <v>0</v>
      </c>
      <c r="M58" s="7">
        <v>0</v>
      </c>
      <c r="N58" s="7">
        <v>0</v>
      </c>
      <c r="O58" s="7">
        <v>0</v>
      </c>
      <c r="P58" s="7">
        <v>0</v>
      </c>
      <c r="Q58" s="7">
        <v>0</v>
      </c>
    </row>
    <row r="59" spans="1:17">
      <c r="A59" s="2">
        <v>2007</v>
      </c>
      <c r="B59" s="7">
        <v>0</v>
      </c>
      <c r="C59" s="7">
        <v>0</v>
      </c>
      <c r="D59" s="7">
        <v>0</v>
      </c>
      <c r="E59" s="7">
        <v>0</v>
      </c>
      <c r="F59" s="7">
        <v>0</v>
      </c>
      <c r="G59" s="7">
        <v>0</v>
      </c>
      <c r="H59" s="7">
        <v>0</v>
      </c>
      <c r="I59" s="7">
        <v>0</v>
      </c>
      <c r="J59" s="7">
        <v>0</v>
      </c>
      <c r="K59" s="7">
        <v>0</v>
      </c>
      <c r="L59" s="7">
        <v>0</v>
      </c>
      <c r="M59" s="7">
        <v>0</v>
      </c>
      <c r="N59" s="7">
        <v>0</v>
      </c>
      <c r="O59" s="7">
        <v>0</v>
      </c>
      <c r="P59" s="7">
        <v>0</v>
      </c>
      <c r="Q59" s="7">
        <v>0</v>
      </c>
    </row>
    <row r="60" spans="1:17">
      <c r="A60" s="2">
        <v>2008</v>
      </c>
      <c r="B60" s="7">
        <v>0</v>
      </c>
      <c r="C60" s="7">
        <v>0</v>
      </c>
      <c r="D60" s="7">
        <v>0</v>
      </c>
      <c r="E60" s="7">
        <v>0</v>
      </c>
      <c r="F60" s="7">
        <v>0</v>
      </c>
      <c r="G60" s="7">
        <v>0</v>
      </c>
      <c r="H60" s="7">
        <v>0</v>
      </c>
      <c r="I60" s="7">
        <v>0</v>
      </c>
      <c r="J60" s="7">
        <v>0</v>
      </c>
      <c r="K60" s="7">
        <v>0</v>
      </c>
      <c r="L60" s="7">
        <v>0</v>
      </c>
      <c r="M60" s="7">
        <v>0</v>
      </c>
      <c r="N60" s="7">
        <v>0</v>
      </c>
      <c r="O60" s="7">
        <v>0</v>
      </c>
      <c r="P60" s="7">
        <v>0</v>
      </c>
      <c r="Q60" s="7">
        <v>0</v>
      </c>
    </row>
    <row r="61" spans="1:17">
      <c r="A61" s="2">
        <v>2009</v>
      </c>
      <c r="B61" s="7">
        <v>0</v>
      </c>
      <c r="C61" s="7">
        <v>0</v>
      </c>
      <c r="D61" s="7">
        <v>0</v>
      </c>
      <c r="E61" s="7">
        <v>0</v>
      </c>
      <c r="F61" s="7">
        <v>0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 s="7">
        <v>0</v>
      </c>
      <c r="M61" s="7">
        <v>0</v>
      </c>
      <c r="N61" s="7">
        <v>0</v>
      </c>
      <c r="O61" s="7">
        <v>0</v>
      </c>
      <c r="P61" s="7">
        <v>0</v>
      </c>
      <c r="Q61" s="7">
        <v>0</v>
      </c>
    </row>
    <row r="62" spans="1:17">
      <c r="A62" s="2">
        <v>2010</v>
      </c>
      <c r="B62" s="7">
        <v>0</v>
      </c>
      <c r="C62" s="7">
        <v>0</v>
      </c>
      <c r="D62" s="7">
        <v>0</v>
      </c>
      <c r="E62" s="7">
        <v>0</v>
      </c>
      <c r="F62" s="7">
        <v>0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</row>
    <row r="63" spans="1:17">
      <c r="A63" s="2">
        <v>2011</v>
      </c>
      <c r="B63" s="7">
        <v>0</v>
      </c>
      <c r="C63" s="7">
        <v>0</v>
      </c>
      <c r="D63" s="7">
        <v>0</v>
      </c>
      <c r="E63" s="7">
        <v>0</v>
      </c>
      <c r="F63" s="7">
        <v>0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</row>
    <row r="64" spans="1:17">
      <c r="A64" s="2">
        <v>2012</v>
      </c>
      <c r="B64" s="7">
        <v>0</v>
      </c>
      <c r="C64" s="7">
        <v>0</v>
      </c>
      <c r="D64" s="7">
        <v>0</v>
      </c>
      <c r="E64" s="7">
        <v>0</v>
      </c>
      <c r="F64" s="7">
        <v>0</v>
      </c>
      <c r="G64" s="7">
        <v>0</v>
      </c>
      <c r="H64" s="7">
        <v>0</v>
      </c>
      <c r="I64" s="7">
        <v>0</v>
      </c>
      <c r="J64" s="7">
        <v>0</v>
      </c>
      <c r="K64" s="7">
        <v>0</v>
      </c>
      <c r="L64" s="7">
        <v>0</v>
      </c>
      <c r="M64" s="7">
        <v>0</v>
      </c>
      <c r="N64" s="7">
        <v>0</v>
      </c>
      <c r="O64" s="7">
        <v>0</v>
      </c>
      <c r="P64" s="7">
        <v>0</v>
      </c>
      <c r="Q64" s="7">
        <v>0</v>
      </c>
    </row>
    <row r="65" spans="1:17">
      <c r="A65" s="2">
        <v>2013</v>
      </c>
      <c r="B65" s="7">
        <v>0</v>
      </c>
      <c r="C65" s="7">
        <v>0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</row>
    <row r="66" spans="1:17">
      <c r="A66" s="2">
        <v>2014</v>
      </c>
      <c r="B66" s="7">
        <v>0</v>
      </c>
      <c r="C66" s="7">
        <v>0</v>
      </c>
      <c r="D66" s="7">
        <v>0</v>
      </c>
      <c r="E66" s="7">
        <v>0</v>
      </c>
      <c r="F66" s="7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</row>
    <row r="67" spans="1:17">
      <c r="A67" s="2">
        <v>2015</v>
      </c>
      <c r="B67" s="7">
        <v>0</v>
      </c>
      <c r="C67" s="7">
        <v>0</v>
      </c>
      <c r="D67" s="7">
        <v>0</v>
      </c>
      <c r="E67" s="7">
        <v>0</v>
      </c>
      <c r="F67" s="7">
        <v>0</v>
      </c>
      <c r="G67" s="7">
        <v>0</v>
      </c>
      <c r="H67" s="7">
        <v>0</v>
      </c>
      <c r="I67" s="7">
        <v>0</v>
      </c>
      <c r="J67" s="7">
        <v>0</v>
      </c>
      <c r="K67" s="7">
        <v>0</v>
      </c>
      <c r="L67" s="7">
        <v>0</v>
      </c>
      <c r="M67" s="7">
        <v>0</v>
      </c>
      <c r="N67" s="7">
        <v>0</v>
      </c>
      <c r="O67" s="7">
        <v>0</v>
      </c>
      <c r="P67" s="7">
        <v>0</v>
      </c>
      <c r="Q67" s="7">
        <v>0</v>
      </c>
    </row>
    <row r="68" spans="1:17">
      <c r="A68" s="2">
        <v>2016</v>
      </c>
      <c r="B68" s="7">
        <v>0</v>
      </c>
      <c r="C68" s="7">
        <v>0</v>
      </c>
      <c r="D68" s="7">
        <v>0</v>
      </c>
      <c r="E68" s="7">
        <v>0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</row>
    <row r="69" spans="1:17">
      <c r="A69" s="2">
        <v>2017</v>
      </c>
      <c r="B69" s="7">
        <v>0</v>
      </c>
      <c r="C69" s="7">
        <v>0</v>
      </c>
      <c r="D69" s="7">
        <v>0</v>
      </c>
      <c r="E69" s="7">
        <v>0</v>
      </c>
      <c r="F69" s="7">
        <v>0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 s="7">
        <v>0</v>
      </c>
      <c r="M69" s="7">
        <v>0</v>
      </c>
      <c r="N69" s="7">
        <v>0</v>
      </c>
      <c r="O69" s="7">
        <v>0</v>
      </c>
      <c r="P69" s="7">
        <v>0</v>
      </c>
      <c r="Q69" s="7">
        <v>0</v>
      </c>
    </row>
    <row r="70" spans="1:17">
      <c r="A70" s="2">
        <v>2018</v>
      </c>
      <c r="B70" s="7">
        <v>0</v>
      </c>
      <c r="C70" s="7">
        <v>0</v>
      </c>
      <c r="D70" s="7">
        <v>0</v>
      </c>
      <c r="E70" s="7">
        <v>0</v>
      </c>
      <c r="F70" s="7">
        <v>0</v>
      </c>
      <c r="G70" s="7">
        <v>0</v>
      </c>
      <c r="H70" s="7">
        <v>0</v>
      </c>
      <c r="I70" s="7">
        <v>0</v>
      </c>
      <c r="J70" s="7">
        <v>0</v>
      </c>
      <c r="K70" s="7">
        <v>0</v>
      </c>
      <c r="L70" s="7">
        <v>0</v>
      </c>
      <c r="M70" s="7">
        <v>0</v>
      </c>
      <c r="N70" s="7">
        <v>0</v>
      </c>
      <c r="O70" s="7">
        <v>0</v>
      </c>
      <c r="P70" s="7">
        <v>0</v>
      </c>
      <c r="Q70" s="7">
        <v>0</v>
      </c>
    </row>
    <row r="71" spans="1:17">
      <c r="A71" s="2">
        <v>2019</v>
      </c>
      <c r="B71" s="7">
        <v>0</v>
      </c>
      <c r="C71" s="7">
        <v>0</v>
      </c>
      <c r="D71" s="7">
        <v>0</v>
      </c>
      <c r="E71" s="7">
        <v>0</v>
      </c>
      <c r="F71" s="7">
        <v>0</v>
      </c>
      <c r="G71" s="7">
        <v>0</v>
      </c>
      <c r="H71" s="7">
        <v>0</v>
      </c>
      <c r="I71" s="7">
        <v>0</v>
      </c>
      <c r="J71" s="7">
        <v>0</v>
      </c>
      <c r="K71" s="7">
        <v>0</v>
      </c>
      <c r="L71" s="7">
        <v>0</v>
      </c>
      <c r="M71" s="7">
        <v>0</v>
      </c>
      <c r="N71" s="7">
        <v>0</v>
      </c>
      <c r="O71" s="7">
        <v>0</v>
      </c>
      <c r="P71" s="7">
        <v>0</v>
      </c>
      <c r="Q71" s="7">
        <v>0</v>
      </c>
    </row>
    <row r="72" spans="1:17">
      <c r="A72" s="2">
        <v>2020</v>
      </c>
      <c r="B72" s="7">
        <v>0</v>
      </c>
      <c r="C72" s="7">
        <v>0</v>
      </c>
      <c r="D72" s="7">
        <v>0</v>
      </c>
      <c r="E72" s="7">
        <v>0</v>
      </c>
      <c r="F72" s="7">
        <v>0</v>
      </c>
      <c r="G72" s="7">
        <v>0</v>
      </c>
      <c r="H72" s="7">
        <v>0</v>
      </c>
      <c r="I72" s="7">
        <v>0</v>
      </c>
      <c r="J72" s="7">
        <v>0</v>
      </c>
      <c r="K72" s="7">
        <v>0</v>
      </c>
      <c r="L72" s="7">
        <v>0</v>
      </c>
      <c r="M72" s="7">
        <v>0</v>
      </c>
      <c r="N72" s="7">
        <v>0</v>
      </c>
      <c r="O72" s="7">
        <v>0</v>
      </c>
      <c r="P72" s="7">
        <v>0</v>
      </c>
      <c r="Q72" s="7">
        <v>0</v>
      </c>
    </row>
    <row r="73" spans="1:17">
      <c r="A73" s="2">
        <v>2021</v>
      </c>
      <c r="B73" s="7">
        <v>0</v>
      </c>
      <c r="C73" s="7">
        <v>0</v>
      </c>
      <c r="D73" s="7">
        <v>0</v>
      </c>
      <c r="E73" s="7">
        <v>0</v>
      </c>
      <c r="F73" s="7">
        <v>0</v>
      </c>
      <c r="G73" s="7">
        <v>0</v>
      </c>
      <c r="H73" s="7">
        <v>0</v>
      </c>
      <c r="I73" s="7">
        <v>0</v>
      </c>
      <c r="J73" s="7">
        <v>0</v>
      </c>
      <c r="K73" s="7">
        <v>0</v>
      </c>
      <c r="L73" s="7">
        <v>0</v>
      </c>
      <c r="M73" s="7">
        <v>0</v>
      </c>
      <c r="N73" s="7">
        <v>0</v>
      </c>
      <c r="O73" s="7">
        <v>0</v>
      </c>
      <c r="P73" s="7">
        <v>0</v>
      </c>
      <c r="Q73" s="7">
        <v>0</v>
      </c>
    </row>
    <row r="74" spans="1:17">
      <c r="A74" s="2">
        <v>2022</v>
      </c>
      <c r="B74" s="7">
        <v>0</v>
      </c>
      <c r="C74" s="7">
        <v>0</v>
      </c>
      <c r="D74" s="7">
        <v>0</v>
      </c>
      <c r="E74" s="7">
        <v>0</v>
      </c>
      <c r="F74" s="7">
        <v>0</v>
      </c>
      <c r="G74" s="7">
        <v>0</v>
      </c>
      <c r="H74" s="7">
        <v>0</v>
      </c>
      <c r="I74" s="7">
        <v>0</v>
      </c>
      <c r="J74" s="7">
        <v>0</v>
      </c>
      <c r="K74" s="7">
        <v>0</v>
      </c>
      <c r="L74" s="7">
        <v>0</v>
      </c>
      <c r="M74" s="7">
        <v>0</v>
      </c>
      <c r="N74" s="7">
        <v>0</v>
      </c>
      <c r="O74" s="7">
        <v>0</v>
      </c>
      <c r="P74" s="7">
        <v>0</v>
      </c>
      <c r="Q74" s="7">
        <v>0</v>
      </c>
    </row>
    <row r="75" spans="1:17">
      <c r="A75" s="2">
        <v>2023</v>
      </c>
      <c r="B75" s="7">
        <v>0</v>
      </c>
      <c r="C75" s="7">
        <v>0</v>
      </c>
      <c r="D75" s="7">
        <v>0</v>
      </c>
      <c r="E75" s="7">
        <v>0</v>
      </c>
      <c r="F75" s="7">
        <v>0</v>
      </c>
      <c r="G75" s="7">
        <v>0</v>
      </c>
      <c r="H75" s="7">
        <v>0</v>
      </c>
      <c r="I75" s="7">
        <v>0</v>
      </c>
      <c r="J75" s="7">
        <v>0</v>
      </c>
      <c r="K75" s="7">
        <v>0</v>
      </c>
      <c r="L75" s="7">
        <v>0</v>
      </c>
      <c r="M75" s="7">
        <v>0</v>
      </c>
      <c r="N75" s="7">
        <v>0</v>
      </c>
      <c r="O75" s="7">
        <v>0</v>
      </c>
      <c r="P75" s="7">
        <v>0</v>
      </c>
      <c r="Q75" s="7">
        <v>0</v>
      </c>
    </row>
    <row r="76" spans="1:17">
      <c r="A76" s="2">
        <v>2024</v>
      </c>
      <c r="B76" s="7">
        <v>0</v>
      </c>
      <c r="C76" s="7">
        <v>0</v>
      </c>
      <c r="D76" s="7">
        <v>0</v>
      </c>
      <c r="E76" s="7">
        <v>0</v>
      </c>
      <c r="F76" s="7">
        <v>0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L76" s="7">
        <v>0</v>
      </c>
      <c r="M76" s="7">
        <v>0</v>
      </c>
      <c r="N76" s="7">
        <v>0</v>
      </c>
      <c r="O76" s="7">
        <v>0</v>
      </c>
      <c r="P76" s="7">
        <v>0</v>
      </c>
      <c r="Q76" s="7">
        <v>0</v>
      </c>
    </row>
    <row r="77" spans="1:17">
      <c r="A77" s="2">
        <v>2025</v>
      </c>
      <c r="B77" s="7">
        <v>0</v>
      </c>
      <c r="C77" s="7">
        <v>0</v>
      </c>
      <c r="D77" s="7">
        <v>0</v>
      </c>
      <c r="E77" s="7">
        <v>0</v>
      </c>
      <c r="F77" s="7">
        <v>0</v>
      </c>
      <c r="G77" s="7">
        <v>0</v>
      </c>
      <c r="H77" s="7">
        <v>0</v>
      </c>
      <c r="I77" s="7">
        <v>0</v>
      </c>
      <c r="J77" s="7">
        <v>0</v>
      </c>
      <c r="K77" s="7">
        <v>0</v>
      </c>
      <c r="L77" s="7">
        <v>0</v>
      </c>
      <c r="M77" s="7">
        <v>0</v>
      </c>
      <c r="N77" s="7">
        <v>0</v>
      </c>
      <c r="O77" s="7">
        <v>0</v>
      </c>
      <c r="P77" s="7">
        <v>0</v>
      </c>
      <c r="Q77" s="7">
        <v>0</v>
      </c>
    </row>
    <row r="78" spans="1:17">
      <c r="A78" s="2">
        <v>2026</v>
      </c>
      <c r="B78" s="7">
        <v>0</v>
      </c>
      <c r="C78" s="7">
        <v>0</v>
      </c>
      <c r="D78" s="7">
        <v>0</v>
      </c>
      <c r="E78" s="7">
        <v>0</v>
      </c>
      <c r="F78" s="7">
        <v>0</v>
      </c>
      <c r="G78" s="7">
        <v>0</v>
      </c>
      <c r="H78" s="7">
        <v>0</v>
      </c>
      <c r="I78" s="7">
        <v>0</v>
      </c>
      <c r="J78" s="7">
        <v>0</v>
      </c>
      <c r="K78" s="7">
        <v>0</v>
      </c>
      <c r="L78" s="7">
        <v>0</v>
      </c>
      <c r="M78" s="7">
        <v>0</v>
      </c>
      <c r="N78" s="7">
        <v>0</v>
      </c>
      <c r="O78" s="7">
        <v>0</v>
      </c>
      <c r="P78" s="7">
        <v>0</v>
      </c>
      <c r="Q78" s="7">
        <v>0</v>
      </c>
    </row>
    <row r="79" spans="1:17">
      <c r="A79" s="2">
        <v>2027</v>
      </c>
      <c r="B79" s="7">
        <v>0</v>
      </c>
      <c r="C79" s="7">
        <v>0</v>
      </c>
      <c r="D79" s="7">
        <v>0</v>
      </c>
      <c r="E79" s="7">
        <v>0</v>
      </c>
      <c r="F79" s="7">
        <v>0</v>
      </c>
      <c r="G79" s="7">
        <v>0</v>
      </c>
      <c r="H79" s="7">
        <v>0</v>
      </c>
      <c r="I79" s="7">
        <v>0</v>
      </c>
      <c r="J79" s="7">
        <v>0</v>
      </c>
      <c r="K79" s="7">
        <v>0</v>
      </c>
      <c r="L79" s="7">
        <v>0</v>
      </c>
      <c r="M79" s="7">
        <v>0</v>
      </c>
      <c r="N79" s="7">
        <v>0</v>
      </c>
      <c r="O79" s="7">
        <v>0</v>
      </c>
      <c r="P79" s="7">
        <v>0</v>
      </c>
      <c r="Q79" s="7">
        <v>0</v>
      </c>
    </row>
    <row r="80" spans="1:17">
      <c r="A80" s="2">
        <v>2028</v>
      </c>
      <c r="B80" s="7">
        <v>0</v>
      </c>
      <c r="C80" s="7">
        <v>0</v>
      </c>
      <c r="D80" s="7">
        <v>0</v>
      </c>
      <c r="E80" s="7">
        <v>0</v>
      </c>
      <c r="F80" s="7">
        <v>0</v>
      </c>
      <c r="G80" s="7">
        <v>0</v>
      </c>
      <c r="H80" s="7">
        <v>0</v>
      </c>
      <c r="I80" s="7">
        <v>0</v>
      </c>
      <c r="J80" s="7">
        <v>0</v>
      </c>
      <c r="K80" s="7">
        <v>0</v>
      </c>
      <c r="L80" s="7">
        <v>0</v>
      </c>
      <c r="M80" s="7">
        <v>0</v>
      </c>
      <c r="N80" s="7">
        <v>0</v>
      </c>
      <c r="O80" s="7">
        <v>0</v>
      </c>
      <c r="P80" s="7">
        <v>0</v>
      </c>
      <c r="Q80" s="7">
        <v>0</v>
      </c>
    </row>
    <row r="81" spans="1:17">
      <c r="A81" s="2">
        <v>2029</v>
      </c>
      <c r="B81" s="7">
        <v>0</v>
      </c>
      <c r="C81" s="7">
        <v>0</v>
      </c>
      <c r="D81" s="7">
        <v>0</v>
      </c>
      <c r="E81" s="7">
        <v>0</v>
      </c>
      <c r="F81" s="7">
        <v>0</v>
      </c>
      <c r="G81" s="7">
        <v>0</v>
      </c>
      <c r="H81" s="7">
        <v>0</v>
      </c>
      <c r="I81" s="7">
        <v>0</v>
      </c>
      <c r="J81" s="7">
        <v>0</v>
      </c>
      <c r="K81" s="7">
        <v>0</v>
      </c>
      <c r="L81" s="7">
        <v>0</v>
      </c>
      <c r="M81" s="7">
        <v>0</v>
      </c>
      <c r="N81" s="7">
        <v>0</v>
      </c>
      <c r="O81" s="7">
        <v>0</v>
      </c>
      <c r="P81" s="7">
        <v>0</v>
      </c>
      <c r="Q81" s="7">
        <v>0</v>
      </c>
    </row>
    <row r="82" spans="1:17">
      <c r="A82" s="2">
        <v>2030</v>
      </c>
      <c r="B82" s="7">
        <v>0</v>
      </c>
      <c r="C82" s="7">
        <v>0</v>
      </c>
      <c r="D82" s="7">
        <v>0</v>
      </c>
      <c r="E82" s="7">
        <v>0</v>
      </c>
      <c r="F82" s="7">
        <v>0</v>
      </c>
      <c r="G82" s="7">
        <v>0</v>
      </c>
      <c r="H82" s="7">
        <v>0</v>
      </c>
      <c r="I82" s="7">
        <v>0</v>
      </c>
      <c r="J82" s="7">
        <v>0</v>
      </c>
      <c r="K82" s="7">
        <v>0</v>
      </c>
      <c r="L82" s="7">
        <v>0</v>
      </c>
      <c r="M82" s="7">
        <v>0</v>
      </c>
      <c r="N82" s="7">
        <v>0</v>
      </c>
      <c r="O82" s="7">
        <v>0</v>
      </c>
      <c r="P82" s="7">
        <v>0</v>
      </c>
      <c r="Q82" s="7">
        <v>0</v>
      </c>
    </row>
    <row r="83" spans="1:17">
      <c r="A83" s="2">
        <v>2031</v>
      </c>
      <c r="B83" s="7">
        <v>0</v>
      </c>
      <c r="C83" s="7">
        <v>0</v>
      </c>
      <c r="D83" s="7">
        <v>0</v>
      </c>
      <c r="E83" s="7">
        <v>0</v>
      </c>
      <c r="F83" s="7">
        <v>0</v>
      </c>
      <c r="G83" s="7">
        <v>0</v>
      </c>
      <c r="H83" s="7">
        <v>0</v>
      </c>
      <c r="I83" s="7">
        <v>0</v>
      </c>
      <c r="J83" s="7">
        <v>0</v>
      </c>
      <c r="K83" s="7">
        <v>0</v>
      </c>
      <c r="L83" s="7">
        <v>0</v>
      </c>
      <c r="M83" s="7">
        <v>0</v>
      </c>
      <c r="N83" s="7">
        <v>0</v>
      </c>
      <c r="O83" s="7">
        <v>0</v>
      </c>
      <c r="P83" s="7">
        <v>0</v>
      </c>
      <c r="Q83" s="7">
        <v>0</v>
      </c>
    </row>
    <row r="84" spans="1:17">
      <c r="A84" s="2">
        <v>2032</v>
      </c>
      <c r="B84" s="7">
        <v>0</v>
      </c>
      <c r="C84" s="7">
        <v>0</v>
      </c>
      <c r="D84" s="7">
        <v>0</v>
      </c>
      <c r="E84" s="7">
        <v>0</v>
      </c>
      <c r="F84" s="7">
        <v>0</v>
      </c>
      <c r="G84" s="7">
        <v>0</v>
      </c>
      <c r="H84" s="7">
        <v>0</v>
      </c>
      <c r="I84" s="7">
        <v>0</v>
      </c>
      <c r="J84" s="7">
        <v>0</v>
      </c>
      <c r="K84" s="7">
        <v>0</v>
      </c>
      <c r="L84" s="7">
        <v>0</v>
      </c>
      <c r="M84" s="7">
        <v>0</v>
      </c>
      <c r="N84" s="7">
        <v>0</v>
      </c>
      <c r="O84" s="7">
        <v>0</v>
      </c>
      <c r="P84" s="7">
        <v>0</v>
      </c>
      <c r="Q84" s="7">
        <v>0</v>
      </c>
    </row>
    <row r="85" spans="1:17">
      <c r="A85" s="2">
        <v>2033</v>
      </c>
      <c r="B85" s="7">
        <v>0</v>
      </c>
      <c r="C85" s="7">
        <v>0</v>
      </c>
      <c r="D85" s="7">
        <v>0</v>
      </c>
      <c r="E85" s="7">
        <v>0</v>
      </c>
      <c r="F85" s="7">
        <v>0</v>
      </c>
      <c r="G85" s="7">
        <v>0</v>
      </c>
      <c r="H85" s="7">
        <v>0</v>
      </c>
      <c r="I85" s="7">
        <v>0</v>
      </c>
      <c r="J85" s="7">
        <v>0</v>
      </c>
      <c r="K85" s="7">
        <v>0</v>
      </c>
      <c r="L85" s="7">
        <v>0</v>
      </c>
      <c r="M85" s="7">
        <v>0</v>
      </c>
      <c r="N85" s="7">
        <v>0</v>
      </c>
      <c r="O85" s="7">
        <v>0</v>
      </c>
      <c r="P85" s="7">
        <v>0</v>
      </c>
      <c r="Q85" s="7">
        <v>0</v>
      </c>
    </row>
    <row r="86" spans="1:17">
      <c r="A86" s="2">
        <v>2034</v>
      </c>
      <c r="B86" s="7">
        <v>0</v>
      </c>
      <c r="C86" s="7">
        <v>0</v>
      </c>
      <c r="D86" s="7">
        <v>0</v>
      </c>
      <c r="E86" s="7">
        <v>0</v>
      </c>
      <c r="F86" s="7">
        <v>0</v>
      </c>
      <c r="G86" s="7">
        <v>0</v>
      </c>
      <c r="H86" s="7">
        <v>0</v>
      </c>
      <c r="I86" s="7">
        <v>0</v>
      </c>
      <c r="J86" s="7">
        <v>0</v>
      </c>
      <c r="K86" s="7">
        <v>0</v>
      </c>
      <c r="L86" s="7">
        <v>0</v>
      </c>
      <c r="M86" s="7">
        <v>0</v>
      </c>
      <c r="N86" s="7">
        <v>0</v>
      </c>
      <c r="O86" s="7">
        <v>0</v>
      </c>
      <c r="P86" s="7">
        <v>0</v>
      </c>
      <c r="Q86" s="7">
        <v>0</v>
      </c>
    </row>
    <row r="87" spans="1:17">
      <c r="A87" s="2">
        <v>2035</v>
      </c>
      <c r="B87" s="7">
        <v>0</v>
      </c>
      <c r="C87" s="7">
        <v>0</v>
      </c>
      <c r="D87" s="7">
        <v>0</v>
      </c>
      <c r="E87" s="7">
        <v>0</v>
      </c>
      <c r="F87" s="7">
        <v>0</v>
      </c>
      <c r="G87" s="7">
        <v>0</v>
      </c>
      <c r="H87" s="7">
        <v>0</v>
      </c>
      <c r="I87" s="7">
        <v>0</v>
      </c>
      <c r="J87" s="7">
        <v>0</v>
      </c>
      <c r="K87" s="7">
        <v>0</v>
      </c>
      <c r="L87" s="7">
        <v>0</v>
      </c>
      <c r="M87" s="7">
        <v>0</v>
      </c>
      <c r="N87" s="7">
        <v>0</v>
      </c>
      <c r="O87" s="7">
        <v>0</v>
      </c>
      <c r="P87" s="7">
        <v>0</v>
      </c>
      <c r="Q87" s="7">
        <v>0</v>
      </c>
    </row>
    <row r="88" spans="1:17">
      <c r="A88" s="2">
        <v>2036</v>
      </c>
      <c r="B88" s="7">
        <v>0</v>
      </c>
      <c r="C88" s="7">
        <v>0</v>
      </c>
      <c r="D88" s="7">
        <v>0</v>
      </c>
      <c r="E88" s="7">
        <v>0</v>
      </c>
      <c r="F88" s="7">
        <v>0</v>
      </c>
      <c r="G88" s="7">
        <v>0</v>
      </c>
      <c r="H88" s="7">
        <v>0</v>
      </c>
      <c r="I88" s="7">
        <v>0</v>
      </c>
      <c r="J88" s="7">
        <v>0</v>
      </c>
      <c r="K88" s="7">
        <v>0</v>
      </c>
      <c r="L88" s="7">
        <v>0</v>
      </c>
      <c r="M88" s="7">
        <v>0</v>
      </c>
      <c r="N88" s="7">
        <v>0</v>
      </c>
      <c r="O88" s="7">
        <v>0</v>
      </c>
      <c r="P88" s="7">
        <v>0</v>
      </c>
      <c r="Q88" s="7">
        <v>0</v>
      </c>
    </row>
    <row r="89" spans="1:17">
      <c r="A89" s="2">
        <v>2037</v>
      </c>
      <c r="B89" s="7">
        <v>0</v>
      </c>
      <c r="C89" s="7">
        <v>0</v>
      </c>
      <c r="D89" s="7">
        <v>0</v>
      </c>
      <c r="E89" s="7">
        <v>0</v>
      </c>
      <c r="F89" s="7">
        <v>0</v>
      </c>
      <c r="G89" s="7">
        <v>0</v>
      </c>
      <c r="H89" s="7">
        <v>0</v>
      </c>
      <c r="I89" s="7">
        <v>0</v>
      </c>
      <c r="J89" s="7">
        <v>0</v>
      </c>
      <c r="K89" s="7">
        <v>0</v>
      </c>
      <c r="L89" s="7">
        <v>0</v>
      </c>
      <c r="M89" s="7">
        <v>0</v>
      </c>
      <c r="N89" s="7">
        <v>0</v>
      </c>
      <c r="O89" s="7">
        <v>0</v>
      </c>
      <c r="P89" s="7">
        <v>0</v>
      </c>
      <c r="Q89" s="7">
        <v>0</v>
      </c>
    </row>
    <row r="90" spans="1:17">
      <c r="A90" s="2">
        <v>2038</v>
      </c>
      <c r="B90" s="7">
        <v>0</v>
      </c>
      <c r="C90" s="7">
        <v>0</v>
      </c>
      <c r="D90" s="7">
        <v>0</v>
      </c>
      <c r="E90" s="7">
        <v>0</v>
      </c>
      <c r="F90" s="7">
        <v>0</v>
      </c>
      <c r="G90" s="7">
        <v>0</v>
      </c>
      <c r="H90" s="7">
        <v>0</v>
      </c>
      <c r="I90" s="7">
        <v>0</v>
      </c>
      <c r="J90" s="7">
        <v>0</v>
      </c>
      <c r="K90" s="7">
        <v>0</v>
      </c>
      <c r="L90" s="7">
        <v>0</v>
      </c>
      <c r="M90" s="7">
        <v>0</v>
      </c>
      <c r="N90" s="7">
        <v>0</v>
      </c>
      <c r="O90" s="7">
        <v>0</v>
      </c>
      <c r="P90" s="7">
        <v>0</v>
      </c>
      <c r="Q90" s="7">
        <v>0</v>
      </c>
    </row>
    <row r="91" spans="1:17">
      <c r="A91" s="2">
        <v>2039</v>
      </c>
      <c r="B91" s="7">
        <v>0</v>
      </c>
      <c r="C91" s="7">
        <v>0</v>
      </c>
      <c r="D91" s="7">
        <v>0</v>
      </c>
      <c r="E91" s="7">
        <v>0</v>
      </c>
      <c r="F91" s="7">
        <v>0</v>
      </c>
      <c r="G91" s="7">
        <v>0</v>
      </c>
      <c r="H91" s="7">
        <v>0</v>
      </c>
      <c r="I91" s="7">
        <v>0</v>
      </c>
      <c r="J91" s="7">
        <v>0</v>
      </c>
      <c r="K91" s="7">
        <v>0</v>
      </c>
      <c r="L91" s="7">
        <v>0</v>
      </c>
      <c r="M91" s="7">
        <v>0</v>
      </c>
      <c r="N91" s="7">
        <v>0</v>
      </c>
      <c r="O91" s="7">
        <v>0</v>
      </c>
      <c r="P91" s="7">
        <v>0</v>
      </c>
      <c r="Q91" s="7">
        <v>0</v>
      </c>
    </row>
    <row r="92" spans="1:17">
      <c r="A92" s="2">
        <v>2040</v>
      </c>
      <c r="B92" s="7">
        <v>0</v>
      </c>
      <c r="C92" s="7">
        <v>0</v>
      </c>
      <c r="D92" s="7">
        <v>0</v>
      </c>
      <c r="E92" s="7">
        <v>0</v>
      </c>
      <c r="F92" s="7">
        <v>0</v>
      </c>
      <c r="G92" s="7">
        <v>0</v>
      </c>
      <c r="H92" s="7">
        <v>0</v>
      </c>
      <c r="I92" s="7">
        <v>0</v>
      </c>
      <c r="J92" s="7">
        <v>0</v>
      </c>
      <c r="K92" s="7">
        <v>0</v>
      </c>
      <c r="L92" s="7">
        <v>0</v>
      </c>
      <c r="M92" s="7">
        <v>0</v>
      </c>
      <c r="N92" s="7">
        <v>0</v>
      </c>
      <c r="O92" s="7">
        <v>0</v>
      </c>
      <c r="P92" s="7">
        <v>0</v>
      </c>
      <c r="Q92" s="7">
        <v>0</v>
      </c>
    </row>
    <row r="93" spans="1:17">
      <c r="A93" s="2">
        <v>2041</v>
      </c>
      <c r="B93" s="7">
        <v>0</v>
      </c>
      <c r="C93" s="7">
        <v>0</v>
      </c>
      <c r="D93" s="7">
        <v>0</v>
      </c>
      <c r="E93" s="7">
        <v>0</v>
      </c>
      <c r="F93" s="7">
        <v>0</v>
      </c>
      <c r="G93" s="7">
        <v>0</v>
      </c>
      <c r="H93" s="7">
        <v>0</v>
      </c>
      <c r="I93" s="7">
        <v>0</v>
      </c>
      <c r="J93" s="7">
        <v>0</v>
      </c>
      <c r="K93" s="7">
        <v>0</v>
      </c>
      <c r="L93" s="7">
        <v>0</v>
      </c>
      <c r="M93" s="7">
        <v>0</v>
      </c>
      <c r="N93" s="7">
        <v>0</v>
      </c>
      <c r="O93" s="7">
        <v>0</v>
      </c>
      <c r="P93" s="7">
        <v>0</v>
      </c>
      <c r="Q93" s="7">
        <v>0</v>
      </c>
    </row>
    <row r="94" spans="1:17">
      <c r="A94" s="2">
        <v>2042</v>
      </c>
      <c r="B94" s="7">
        <v>0</v>
      </c>
      <c r="C94" s="7">
        <v>0</v>
      </c>
      <c r="D94" s="7">
        <v>0</v>
      </c>
      <c r="E94" s="7">
        <v>0</v>
      </c>
      <c r="F94" s="7">
        <v>0</v>
      </c>
      <c r="G94" s="7">
        <v>0</v>
      </c>
      <c r="H94" s="7">
        <v>0</v>
      </c>
      <c r="I94" s="7">
        <v>0</v>
      </c>
      <c r="J94" s="7">
        <v>0</v>
      </c>
      <c r="K94" s="7">
        <v>0</v>
      </c>
      <c r="L94" s="7">
        <v>0</v>
      </c>
      <c r="M94" s="7">
        <v>0</v>
      </c>
      <c r="N94" s="7">
        <v>0</v>
      </c>
      <c r="O94" s="7">
        <v>0</v>
      </c>
      <c r="P94" s="7">
        <v>0</v>
      </c>
      <c r="Q94" s="7">
        <v>0</v>
      </c>
    </row>
    <row r="95" spans="1:17">
      <c r="A95" s="2">
        <v>2043</v>
      </c>
      <c r="B95" s="7">
        <v>0</v>
      </c>
      <c r="C95" s="7">
        <v>0</v>
      </c>
      <c r="D95" s="7">
        <v>0</v>
      </c>
      <c r="E95" s="7">
        <v>0</v>
      </c>
      <c r="F95" s="7">
        <v>0</v>
      </c>
      <c r="G95" s="7">
        <v>0</v>
      </c>
      <c r="H95" s="7">
        <v>0</v>
      </c>
      <c r="I95" s="7">
        <v>0</v>
      </c>
      <c r="J95" s="7">
        <v>0</v>
      </c>
      <c r="K95" s="7">
        <v>0</v>
      </c>
      <c r="L95" s="7">
        <v>0</v>
      </c>
      <c r="M95" s="7">
        <v>0</v>
      </c>
      <c r="N95" s="7">
        <v>0</v>
      </c>
      <c r="O95" s="7">
        <v>0</v>
      </c>
      <c r="P95" s="7">
        <v>0</v>
      </c>
      <c r="Q95" s="7">
        <v>0</v>
      </c>
    </row>
    <row r="96" spans="1:17">
      <c r="A96" s="2">
        <v>2044</v>
      </c>
      <c r="B96" s="7">
        <v>0</v>
      </c>
      <c r="C96" s="7">
        <v>0</v>
      </c>
      <c r="D96" s="7">
        <v>0</v>
      </c>
      <c r="E96" s="7">
        <v>0</v>
      </c>
      <c r="F96" s="7">
        <v>0</v>
      </c>
      <c r="G96" s="7">
        <v>0</v>
      </c>
      <c r="H96" s="7">
        <v>0</v>
      </c>
      <c r="I96" s="7">
        <v>0</v>
      </c>
      <c r="J96" s="7">
        <v>0</v>
      </c>
      <c r="K96" s="7">
        <v>0</v>
      </c>
      <c r="L96" s="7">
        <v>0</v>
      </c>
      <c r="M96" s="7">
        <v>0</v>
      </c>
      <c r="N96" s="7">
        <v>0</v>
      </c>
      <c r="O96" s="7">
        <v>0</v>
      </c>
      <c r="P96" s="7">
        <v>0</v>
      </c>
      <c r="Q96" s="7">
        <v>0</v>
      </c>
    </row>
    <row r="97" spans="1:17">
      <c r="A97" s="2">
        <v>2045</v>
      </c>
      <c r="B97" s="7">
        <v>0</v>
      </c>
      <c r="C97" s="7">
        <v>0</v>
      </c>
      <c r="D97" s="7">
        <v>0</v>
      </c>
      <c r="E97" s="7">
        <v>0</v>
      </c>
      <c r="F97" s="7">
        <v>0</v>
      </c>
      <c r="G97" s="7">
        <v>0</v>
      </c>
      <c r="H97" s="7">
        <v>0</v>
      </c>
      <c r="I97" s="7">
        <v>0</v>
      </c>
      <c r="J97" s="7">
        <v>0</v>
      </c>
      <c r="K97" s="7">
        <v>0</v>
      </c>
      <c r="L97" s="7">
        <v>0</v>
      </c>
      <c r="M97" s="7">
        <v>0</v>
      </c>
      <c r="N97" s="7">
        <v>0</v>
      </c>
      <c r="O97" s="7">
        <v>0</v>
      </c>
      <c r="P97" s="7">
        <v>0</v>
      </c>
      <c r="Q97" s="7">
        <v>0</v>
      </c>
    </row>
    <row r="98" spans="1:17">
      <c r="A98" s="2">
        <v>2046</v>
      </c>
      <c r="B98" s="7">
        <v>0</v>
      </c>
      <c r="C98" s="7">
        <v>0</v>
      </c>
      <c r="D98" s="7">
        <v>0</v>
      </c>
      <c r="E98" s="7">
        <v>0</v>
      </c>
      <c r="F98" s="7">
        <v>0</v>
      </c>
      <c r="G98" s="7">
        <v>0</v>
      </c>
      <c r="H98" s="7">
        <v>0</v>
      </c>
      <c r="I98" s="7">
        <v>0</v>
      </c>
      <c r="J98" s="7">
        <v>0</v>
      </c>
      <c r="K98" s="7">
        <v>0</v>
      </c>
      <c r="L98" s="7">
        <v>0</v>
      </c>
      <c r="M98" s="7">
        <v>0</v>
      </c>
      <c r="N98" s="7">
        <v>0</v>
      </c>
      <c r="O98" s="7">
        <v>0</v>
      </c>
      <c r="P98" s="7">
        <v>0</v>
      </c>
      <c r="Q98" s="7">
        <v>0</v>
      </c>
    </row>
    <row r="99" spans="1:17">
      <c r="A99" s="2">
        <v>2047</v>
      </c>
      <c r="B99" s="7">
        <v>0</v>
      </c>
      <c r="C99" s="7">
        <v>0</v>
      </c>
      <c r="D99" s="7">
        <v>0</v>
      </c>
      <c r="E99" s="7">
        <v>0</v>
      </c>
      <c r="F99" s="7">
        <v>0</v>
      </c>
      <c r="G99" s="7">
        <v>0</v>
      </c>
      <c r="H99" s="7">
        <v>0</v>
      </c>
      <c r="I99" s="7">
        <v>0</v>
      </c>
      <c r="J99" s="7">
        <v>0</v>
      </c>
      <c r="K99" s="7">
        <v>0</v>
      </c>
      <c r="L99" s="7">
        <v>0</v>
      </c>
      <c r="M99" s="7">
        <v>0</v>
      </c>
      <c r="N99" s="7">
        <v>0</v>
      </c>
      <c r="O99" s="7">
        <v>0</v>
      </c>
      <c r="P99" s="7">
        <v>0</v>
      </c>
      <c r="Q99" s="7">
        <v>0</v>
      </c>
    </row>
    <row r="100" spans="1:17">
      <c r="A100" s="2">
        <v>2048</v>
      </c>
      <c r="B100" s="7">
        <v>0</v>
      </c>
      <c r="C100" s="7">
        <v>0</v>
      </c>
      <c r="D100" s="7">
        <v>0</v>
      </c>
      <c r="E100" s="7">
        <v>0</v>
      </c>
      <c r="F100" s="7">
        <v>0</v>
      </c>
      <c r="G100" s="7">
        <v>0</v>
      </c>
      <c r="H100" s="7">
        <v>0</v>
      </c>
      <c r="I100" s="7">
        <v>0</v>
      </c>
      <c r="J100" s="7">
        <v>0</v>
      </c>
      <c r="K100" s="7">
        <v>0</v>
      </c>
      <c r="L100" s="7">
        <v>0</v>
      </c>
      <c r="M100" s="7">
        <v>0</v>
      </c>
      <c r="N100" s="7">
        <v>0</v>
      </c>
      <c r="O100" s="7">
        <v>0</v>
      </c>
      <c r="P100" s="7">
        <v>0</v>
      </c>
      <c r="Q100" s="7">
        <v>0</v>
      </c>
    </row>
    <row r="101" spans="1:17">
      <c r="A101" s="2">
        <v>2049</v>
      </c>
      <c r="B101" s="7">
        <v>0</v>
      </c>
      <c r="C101" s="7">
        <v>0</v>
      </c>
      <c r="D101" s="7">
        <v>0</v>
      </c>
      <c r="E101" s="7">
        <v>0</v>
      </c>
      <c r="F101" s="7">
        <v>0</v>
      </c>
      <c r="G101" s="7">
        <v>0</v>
      </c>
      <c r="H101" s="7">
        <v>0</v>
      </c>
      <c r="I101" s="7">
        <v>0</v>
      </c>
      <c r="J101" s="7">
        <v>0</v>
      </c>
      <c r="K101" s="7">
        <v>0</v>
      </c>
      <c r="L101" s="7">
        <v>0</v>
      </c>
      <c r="M101" s="7">
        <v>0</v>
      </c>
      <c r="N101" s="7">
        <v>0</v>
      </c>
      <c r="O101" s="7">
        <v>0</v>
      </c>
      <c r="P101" s="7">
        <v>0</v>
      </c>
      <c r="Q101" s="7">
        <v>0</v>
      </c>
    </row>
    <row r="102" spans="1:17">
      <c r="A102" s="2">
        <v>2050</v>
      </c>
      <c r="B102" s="7">
        <v>0</v>
      </c>
      <c r="C102" s="7">
        <v>0</v>
      </c>
      <c r="D102" s="7">
        <v>0</v>
      </c>
      <c r="E102" s="7">
        <v>0</v>
      </c>
      <c r="F102" s="7">
        <v>0</v>
      </c>
      <c r="G102" s="7">
        <v>0</v>
      </c>
      <c r="H102" s="7">
        <v>0</v>
      </c>
      <c r="I102" s="7">
        <v>0</v>
      </c>
      <c r="J102" s="7">
        <v>0</v>
      </c>
      <c r="K102" s="7">
        <v>0</v>
      </c>
      <c r="L102" s="7">
        <v>0</v>
      </c>
      <c r="M102" s="7">
        <v>0</v>
      </c>
      <c r="N102" s="7">
        <v>0</v>
      </c>
      <c r="O102" s="7">
        <v>0</v>
      </c>
      <c r="P102" s="7">
        <v>0</v>
      </c>
      <c r="Q102" s="7">
        <v>0</v>
      </c>
    </row>
    <row r="103" spans="1:17">
      <c r="A103" s="2">
        <v>2051</v>
      </c>
      <c r="B103" s="7">
        <v>0</v>
      </c>
      <c r="C103" s="7">
        <v>0</v>
      </c>
      <c r="D103" s="7">
        <v>0</v>
      </c>
      <c r="E103" s="7">
        <v>0</v>
      </c>
      <c r="F103" s="7">
        <v>0</v>
      </c>
      <c r="G103" s="7">
        <v>0</v>
      </c>
      <c r="H103" s="7">
        <v>0</v>
      </c>
      <c r="I103" s="7">
        <v>0</v>
      </c>
      <c r="J103" s="7">
        <v>0</v>
      </c>
      <c r="K103" s="7">
        <v>0</v>
      </c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</row>
    <row r="104" spans="1:17">
      <c r="A104" s="2">
        <v>2052</v>
      </c>
      <c r="B104" s="7">
        <v>0</v>
      </c>
      <c r="C104" s="7">
        <v>0</v>
      </c>
      <c r="D104" s="7">
        <v>0</v>
      </c>
      <c r="E104" s="7">
        <v>0</v>
      </c>
      <c r="F104" s="7">
        <v>0</v>
      </c>
      <c r="G104" s="7">
        <v>0</v>
      </c>
      <c r="H104" s="7">
        <v>0</v>
      </c>
      <c r="I104" s="7">
        <v>0</v>
      </c>
      <c r="J104" s="7">
        <v>0</v>
      </c>
      <c r="K104" s="7">
        <v>0</v>
      </c>
      <c r="L104" s="7">
        <v>0</v>
      </c>
      <c r="M104" s="7">
        <v>0</v>
      </c>
      <c r="N104" s="7">
        <v>0</v>
      </c>
      <c r="O104" s="7">
        <v>0</v>
      </c>
      <c r="P104" s="7">
        <v>0</v>
      </c>
      <c r="Q104" s="7">
        <v>0</v>
      </c>
    </row>
    <row r="105" spans="1:17">
      <c r="A105" s="2">
        <v>2053</v>
      </c>
      <c r="B105" s="7">
        <v>0</v>
      </c>
      <c r="C105" s="7">
        <v>0</v>
      </c>
      <c r="D105" s="7">
        <v>0</v>
      </c>
      <c r="E105" s="7">
        <v>0</v>
      </c>
      <c r="F105" s="7">
        <v>0</v>
      </c>
      <c r="G105" s="7">
        <v>0</v>
      </c>
      <c r="H105" s="7">
        <v>0</v>
      </c>
      <c r="I105" s="7">
        <v>0</v>
      </c>
      <c r="J105" s="7">
        <v>0</v>
      </c>
      <c r="K105" s="7">
        <v>0</v>
      </c>
      <c r="L105" s="7">
        <v>0</v>
      </c>
      <c r="M105" s="7">
        <v>0</v>
      </c>
      <c r="N105" s="7">
        <v>0</v>
      </c>
      <c r="O105" s="7">
        <v>0</v>
      </c>
      <c r="P105" s="7">
        <v>0</v>
      </c>
      <c r="Q105" s="7">
        <v>0</v>
      </c>
    </row>
    <row r="106" spans="1:17">
      <c r="A106" s="2">
        <v>2054</v>
      </c>
      <c r="B106" s="7">
        <v>0</v>
      </c>
      <c r="C106" s="7">
        <v>0</v>
      </c>
      <c r="D106" s="7">
        <v>0</v>
      </c>
      <c r="E106" s="7">
        <v>0</v>
      </c>
      <c r="F106" s="7">
        <v>0</v>
      </c>
      <c r="G106" s="7">
        <v>0</v>
      </c>
      <c r="H106" s="7">
        <v>0</v>
      </c>
      <c r="I106" s="7">
        <v>0</v>
      </c>
      <c r="J106" s="7">
        <v>0</v>
      </c>
      <c r="K106" s="7">
        <v>0</v>
      </c>
      <c r="L106" s="7">
        <v>0</v>
      </c>
      <c r="M106" s="7">
        <v>0</v>
      </c>
      <c r="N106" s="7">
        <v>0</v>
      </c>
      <c r="O106" s="7">
        <v>0</v>
      </c>
      <c r="P106" s="7">
        <v>0</v>
      </c>
      <c r="Q106" s="7">
        <v>0</v>
      </c>
    </row>
    <row r="107" spans="1:17">
      <c r="A107" s="2">
        <v>2055</v>
      </c>
      <c r="B107" s="7">
        <v>0</v>
      </c>
      <c r="C107" s="7">
        <v>0</v>
      </c>
      <c r="D107" s="7">
        <v>0</v>
      </c>
      <c r="E107" s="7">
        <v>0</v>
      </c>
      <c r="F107" s="7">
        <v>0</v>
      </c>
      <c r="G107" s="7">
        <v>0</v>
      </c>
      <c r="H107" s="7">
        <v>0</v>
      </c>
      <c r="I107" s="7">
        <v>0</v>
      </c>
      <c r="J107" s="7">
        <v>0</v>
      </c>
      <c r="K107" s="7">
        <v>0</v>
      </c>
      <c r="L107" s="7">
        <v>0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</row>
    <row r="108" spans="1:17">
      <c r="A108" s="2">
        <v>2056</v>
      </c>
      <c r="B108" s="7">
        <v>0</v>
      </c>
      <c r="C108" s="7">
        <v>0</v>
      </c>
      <c r="D108" s="7">
        <v>0</v>
      </c>
      <c r="E108" s="7">
        <v>0</v>
      </c>
      <c r="F108" s="7">
        <v>0</v>
      </c>
      <c r="G108" s="7">
        <v>0</v>
      </c>
      <c r="H108" s="7">
        <v>0</v>
      </c>
      <c r="I108" s="7">
        <v>0</v>
      </c>
      <c r="J108" s="7">
        <v>0</v>
      </c>
      <c r="K108" s="7">
        <v>0</v>
      </c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</row>
    <row r="109" spans="1:17">
      <c r="A109" s="2">
        <v>2057</v>
      </c>
      <c r="B109" s="7">
        <v>0</v>
      </c>
      <c r="C109" s="7">
        <v>0</v>
      </c>
      <c r="D109" s="7">
        <v>0</v>
      </c>
      <c r="E109" s="7">
        <v>0</v>
      </c>
      <c r="F109" s="7">
        <v>0</v>
      </c>
      <c r="G109" s="7">
        <v>0</v>
      </c>
      <c r="H109" s="7">
        <v>0</v>
      </c>
      <c r="I109" s="7">
        <v>0</v>
      </c>
      <c r="J109" s="7">
        <v>0</v>
      </c>
      <c r="K109" s="7">
        <v>0</v>
      </c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</row>
    <row r="110" spans="1:17">
      <c r="A110" s="2">
        <v>2058</v>
      </c>
      <c r="B110" s="7">
        <v>0</v>
      </c>
      <c r="C110" s="7">
        <v>0</v>
      </c>
      <c r="D110" s="7">
        <v>0</v>
      </c>
      <c r="E110" s="7">
        <v>0</v>
      </c>
      <c r="F110" s="7">
        <v>0</v>
      </c>
      <c r="G110" s="7">
        <v>0</v>
      </c>
      <c r="H110" s="7">
        <v>0</v>
      </c>
      <c r="I110" s="7">
        <v>0</v>
      </c>
      <c r="J110" s="7">
        <v>0</v>
      </c>
      <c r="K110" s="7">
        <v>0</v>
      </c>
      <c r="L110" s="7">
        <v>0</v>
      </c>
      <c r="M110" s="7">
        <v>0</v>
      </c>
      <c r="N110" s="7">
        <v>0</v>
      </c>
      <c r="O110" s="7">
        <v>0</v>
      </c>
      <c r="P110" s="7">
        <v>0</v>
      </c>
      <c r="Q110" s="7">
        <v>0</v>
      </c>
    </row>
    <row r="111" spans="1:17">
      <c r="A111" s="2">
        <v>2059</v>
      </c>
      <c r="B111" s="7">
        <v>0</v>
      </c>
      <c r="C111" s="7">
        <v>0</v>
      </c>
      <c r="D111" s="7">
        <v>0</v>
      </c>
      <c r="E111" s="7">
        <v>0</v>
      </c>
      <c r="F111" s="7">
        <v>0</v>
      </c>
      <c r="G111" s="7">
        <v>0</v>
      </c>
      <c r="H111" s="7">
        <v>0</v>
      </c>
      <c r="I111" s="7">
        <v>0</v>
      </c>
      <c r="J111" s="7">
        <v>0</v>
      </c>
      <c r="K111" s="7">
        <v>0</v>
      </c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</row>
    <row r="112" spans="1:17">
      <c r="A112" s="2">
        <v>2060</v>
      </c>
      <c r="B112" s="7">
        <v>0</v>
      </c>
      <c r="C112" s="7">
        <v>0</v>
      </c>
      <c r="D112" s="7">
        <v>0</v>
      </c>
      <c r="E112" s="7">
        <v>0</v>
      </c>
      <c r="F112" s="7">
        <v>0</v>
      </c>
      <c r="G112" s="7">
        <v>0</v>
      </c>
      <c r="H112" s="7">
        <v>0</v>
      </c>
      <c r="I112" s="7">
        <v>0</v>
      </c>
      <c r="J112" s="7">
        <v>0</v>
      </c>
      <c r="K112" s="7">
        <v>0</v>
      </c>
      <c r="L112" s="7">
        <v>0</v>
      </c>
      <c r="M112" s="7">
        <v>0</v>
      </c>
      <c r="N112" s="7">
        <v>0</v>
      </c>
      <c r="O112" s="7">
        <v>0</v>
      </c>
      <c r="P112" s="7">
        <v>0</v>
      </c>
      <c r="Q112" s="7">
        <v>0</v>
      </c>
    </row>
    <row r="113" spans="1:17">
      <c r="A113" s="2">
        <v>2061</v>
      </c>
      <c r="B113" s="7">
        <v>0</v>
      </c>
      <c r="C113" s="7">
        <v>0</v>
      </c>
      <c r="D113" s="7">
        <v>0</v>
      </c>
      <c r="E113" s="7">
        <v>0</v>
      </c>
      <c r="F113" s="7">
        <v>0</v>
      </c>
      <c r="G113" s="7">
        <v>0</v>
      </c>
      <c r="H113" s="7">
        <v>0</v>
      </c>
      <c r="I113" s="7">
        <v>0</v>
      </c>
      <c r="J113" s="7">
        <v>0</v>
      </c>
      <c r="K113" s="7">
        <v>0</v>
      </c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</row>
    <row r="114" spans="1:17">
      <c r="A114" s="2">
        <v>2062</v>
      </c>
      <c r="B114" s="7">
        <v>0</v>
      </c>
      <c r="C114" s="7">
        <v>0</v>
      </c>
      <c r="D114" s="7">
        <v>0</v>
      </c>
      <c r="E114" s="7">
        <v>0</v>
      </c>
      <c r="F114" s="7">
        <v>0</v>
      </c>
      <c r="G114" s="7">
        <v>0</v>
      </c>
      <c r="H114" s="7">
        <v>0</v>
      </c>
      <c r="I114" s="7">
        <v>0</v>
      </c>
      <c r="J114" s="7">
        <v>0</v>
      </c>
      <c r="K114" s="7">
        <v>0</v>
      </c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</row>
    <row r="115" spans="1:17">
      <c r="A115" s="2">
        <v>2063</v>
      </c>
      <c r="B115" s="7">
        <v>0</v>
      </c>
      <c r="C115" s="7">
        <v>0</v>
      </c>
      <c r="D115" s="7">
        <v>0</v>
      </c>
      <c r="E115" s="7">
        <v>0</v>
      </c>
      <c r="F115" s="7">
        <v>0</v>
      </c>
      <c r="G115" s="7">
        <v>0</v>
      </c>
      <c r="H115" s="7">
        <v>0</v>
      </c>
      <c r="I115" s="7">
        <v>0</v>
      </c>
      <c r="J115" s="7">
        <v>0</v>
      </c>
      <c r="K115" s="7">
        <v>0</v>
      </c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</row>
    <row r="116" spans="1:17">
      <c r="A116" s="2">
        <v>2064</v>
      </c>
      <c r="B116" s="7">
        <v>0</v>
      </c>
      <c r="C116" s="7">
        <v>0</v>
      </c>
      <c r="D116" s="7">
        <v>0</v>
      </c>
      <c r="E116" s="7">
        <v>0</v>
      </c>
      <c r="F116" s="7">
        <v>0</v>
      </c>
      <c r="G116" s="7">
        <v>0</v>
      </c>
      <c r="H116" s="7">
        <v>0</v>
      </c>
      <c r="I116" s="7">
        <v>0</v>
      </c>
      <c r="J116" s="7">
        <v>0</v>
      </c>
      <c r="K116" s="7">
        <v>0</v>
      </c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</row>
    <row r="117" spans="1:17">
      <c r="A117" s="2">
        <v>2065</v>
      </c>
      <c r="B117" s="7">
        <v>0</v>
      </c>
      <c r="C117" s="7">
        <v>0</v>
      </c>
      <c r="D117" s="7">
        <v>0</v>
      </c>
      <c r="E117" s="7">
        <v>0</v>
      </c>
      <c r="F117" s="7">
        <v>0</v>
      </c>
      <c r="G117" s="7">
        <v>0</v>
      </c>
      <c r="H117" s="7">
        <v>0</v>
      </c>
      <c r="I117" s="7">
        <v>0</v>
      </c>
      <c r="J117" s="7">
        <v>0</v>
      </c>
      <c r="K117" s="7">
        <v>0</v>
      </c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</row>
    <row r="118" spans="1:17">
      <c r="A118" s="2">
        <v>2066</v>
      </c>
      <c r="B118" s="7">
        <v>0</v>
      </c>
      <c r="C118" s="7">
        <v>0</v>
      </c>
      <c r="D118" s="7">
        <v>0</v>
      </c>
      <c r="E118" s="7">
        <v>0</v>
      </c>
      <c r="F118" s="7">
        <v>0</v>
      </c>
      <c r="G118" s="7">
        <v>0</v>
      </c>
      <c r="H118" s="7">
        <v>0</v>
      </c>
      <c r="I118" s="7">
        <v>0</v>
      </c>
      <c r="J118" s="7">
        <v>0</v>
      </c>
      <c r="K118" s="7">
        <v>0</v>
      </c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</row>
    <row r="119" spans="1:17">
      <c r="A119" s="2">
        <v>2067</v>
      </c>
      <c r="B119" s="7">
        <v>0</v>
      </c>
      <c r="C119" s="7">
        <v>0</v>
      </c>
      <c r="D119" s="7">
        <v>0</v>
      </c>
      <c r="E119" s="7">
        <v>0</v>
      </c>
      <c r="F119" s="7">
        <v>0</v>
      </c>
      <c r="G119" s="7">
        <v>0</v>
      </c>
      <c r="H119" s="7">
        <v>0</v>
      </c>
      <c r="I119" s="7">
        <v>0</v>
      </c>
      <c r="J119" s="7">
        <v>0</v>
      </c>
      <c r="K119" s="7">
        <v>0</v>
      </c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</row>
    <row r="120" spans="1:17">
      <c r="A120" s="2">
        <v>2068</v>
      </c>
      <c r="B120" s="7">
        <v>0</v>
      </c>
      <c r="C120" s="7">
        <v>0</v>
      </c>
      <c r="D120" s="7">
        <v>0</v>
      </c>
      <c r="E120" s="7">
        <v>0</v>
      </c>
      <c r="F120" s="7">
        <v>0</v>
      </c>
      <c r="G120" s="7">
        <v>0</v>
      </c>
      <c r="H120" s="7">
        <v>0</v>
      </c>
      <c r="I120" s="7">
        <v>0</v>
      </c>
      <c r="J120" s="7">
        <v>0</v>
      </c>
      <c r="K120" s="7">
        <v>0</v>
      </c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</row>
    <row r="121" spans="1:17">
      <c r="A121" s="2">
        <v>2069</v>
      </c>
      <c r="B121" s="7">
        <v>0</v>
      </c>
      <c r="C121" s="7">
        <v>0</v>
      </c>
      <c r="D121" s="7">
        <v>0</v>
      </c>
      <c r="E121" s="7">
        <v>0</v>
      </c>
      <c r="F121" s="7">
        <v>0</v>
      </c>
      <c r="G121" s="7">
        <v>0</v>
      </c>
      <c r="H121" s="7">
        <v>0</v>
      </c>
      <c r="I121" s="7">
        <v>0</v>
      </c>
      <c r="J121" s="7">
        <v>0</v>
      </c>
      <c r="K121" s="7">
        <v>0</v>
      </c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</row>
    <row r="122" spans="1:17">
      <c r="A122" s="2">
        <v>2070</v>
      </c>
      <c r="B122" s="7">
        <v>0</v>
      </c>
      <c r="C122" s="7">
        <v>0</v>
      </c>
      <c r="D122" s="7">
        <v>0</v>
      </c>
      <c r="E122" s="7">
        <v>0</v>
      </c>
      <c r="F122" s="7">
        <v>0</v>
      </c>
      <c r="G122" s="7">
        <v>0</v>
      </c>
      <c r="H122" s="7">
        <v>0</v>
      </c>
      <c r="I122" s="7">
        <v>0</v>
      </c>
      <c r="J122" s="7">
        <v>0</v>
      </c>
      <c r="K122" s="7">
        <v>0</v>
      </c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</row>
    <row r="123" spans="1:17">
      <c r="A123" s="2">
        <v>2071</v>
      </c>
      <c r="B123" s="7">
        <v>0</v>
      </c>
      <c r="C123" s="7">
        <v>0</v>
      </c>
      <c r="D123" s="7">
        <v>0</v>
      </c>
      <c r="E123" s="7">
        <v>0</v>
      </c>
      <c r="F123" s="7">
        <v>0</v>
      </c>
      <c r="G123" s="7">
        <v>0</v>
      </c>
      <c r="H123" s="7">
        <v>0</v>
      </c>
      <c r="I123" s="7">
        <v>0</v>
      </c>
      <c r="J123" s="7">
        <v>0</v>
      </c>
      <c r="K123" s="7">
        <v>0</v>
      </c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</row>
    <row r="124" spans="1:17">
      <c r="A124" s="2">
        <v>2072</v>
      </c>
      <c r="B124" s="7">
        <v>0</v>
      </c>
      <c r="C124" s="7">
        <v>0</v>
      </c>
      <c r="D124" s="7">
        <v>0</v>
      </c>
      <c r="E124" s="7">
        <v>0</v>
      </c>
      <c r="F124" s="7">
        <v>0</v>
      </c>
      <c r="G124" s="7">
        <v>0</v>
      </c>
      <c r="H124" s="7">
        <v>0</v>
      </c>
      <c r="I124" s="7">
        <v>0</v>
      </c>
      <c r="J124" s="7">
        <v>0</v>
      </c>
      <c r="K124" s="7">
        <v>0</v>
      </c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</row>
    <row r="125" spans="1:17">
      <c r="A125" s="2">
        <v>2073</v>
      </c>
      <c r="B125" s="7">
        <v>0</v>
      </c>
      <c r="C125" s="7">
        <v>0</v>
      </c>
      <c r="D125" s="7">
        <v>0</v>
      </c>
      <c r="E125" s="7">
        <v>0</v>
      </c>
      <c r="F125" s="7">
        <v>0</v>
      </c>
      <c r="G125" s="7">
        <v>0</v>
      </c>
      <c r="H125" s="7">
        <v>0</v>
      </c>
      <c r="I125" s="7">
        <v>0</v>
      </c>
      <c r="J125" s="7">
        <v>0</v>
      </c>
      <c r="K125" s="7">
        <v>0</v>
      </c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</row>
    <row r="126" spans="1:17">
      <c r="A126" s="2">
        <v>2074</v>
      </c>
      <c r="B126" s="7">
        <v>0</v>
      </c>
      <c r="C126" s="7">
        <v>0</v>
      </c>
      <c r="D126" s="7">
        <v>0</v>
      </c>
      <c r="E126" s="7">
        <v>0</v>
      </c>
      <c r="F126" s="7">
        <v>0</v>
      </c>
      <c r="G126" s="7">
        <v>0</v>
      </c>
      <c r="H126" s="7">
        <v>0</v>
      </c>
      <c r="I126" s="7">
        <v>0</v>
      </c>
      <c r="J126" s="7">
        <v>0</v>
      </c>
      <c r="K126" s="7">
        <v>0</v>
      </c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</row>
    <row r="127" spans="1:17">
      <c r="A127" s="2">
        <v>2075</v>
      </c>
      <c r="B127" s="7">
        <v>0</v>
      </c>
      <c r="C127" s="7">
        <v>0</v>
      </c>
      <c r="D127" s="7">
        <v>0</v>
      </c>
      <c r="E127" s="7">
        <v>0</v>
      </c>
      <c r="F127" s="7">
        <v>0</v>
      </c>
      <c r="G127" s="7">
        <v>0</v>
      </c>
      <c r="H127" s="7">
        <v>0</v>
      </c>
      <c r="I127" s="7">
        <v>0</v>
      </c>
      <c r="J127" s="7">
        <v>0</v>
      </c>
      <c r="K127" s="7">
        <v>0</v>
      </c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</row>
    <row r="128" spans="1:17">
      <c r="A128" s="2">
        <v>2076</v>
      </c>
      <c r="B128" s="7">
        <v>0</v>
      </c>
      <c r="C128" s="7">
        <v>0</v>
      </c>
      <c r="D128" s="7">
        <v>0</v>
      </c>
      <c r="E128" s="7">
        <v>0</v>
      </c>
      <c r="F128" s="7">
        <v>0</v>
      </c>
      <c r="G128" s="7">
        <v>0</v>
      </c>
      <c r="H128" s="7">
        <v>0</v>
      </c>
      <c r="I128" s="7">
        <v>0</v>
      </c>
      <c r="J128" s="7">
        <v>0</v>
      </c>
      <c r="K128" s="7">
        <v>0</v>
      </c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</row>
    <row r="129" spans="1:17">
      <c r="A129" s="2">
        <v>2077</v>
      </c>
      <c r="B129" s="7">
        <v>0</v>
      </c>
      <c r="C129" s="7">
        <v>0</v>
      </c>
      <c r="D129" s="7">
        <v>0</v>
      </c>
      <c r="E129" s="7">
        <v>0</v>
      </c>
      <c r="F129" s="7">
        <v>0</v>
      </c>
      <c r="G129" s="7">
        <v>0</v>
      </c>
      <c r="H129" s="7">
        <v>0</v>
      </c>
      <c r="I129" s="7">
        <v>0</v>
      </c>
      <c r="J129" s="7">
        <v>0</v>
      </c>
      <c r="K129" s="7">
        <v>0</v>
      </c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</row>
    <row r="130" spans="1:17">
      <c r="A130" s="2">
        <v>2078</v>
      </c>
      <c r="B130" s="7">
        <v>0</v>
      </c>
      <c r="C130" s="7">
        <v>0</v>
      </c>
      <c r="D130" s="7">
        <v>0</v>
      </c>
      <c r="E130" s="7">
        <v>0</v>
      </c>
      <c r="F130" s="7">
        <v>0</v>
      </c>
      <c r="G130" s="7">
        <v>0</v>
      </c>
      <c r="H130" s="7">
        <v>0</v>
      </c>
      <c r="I130" s="7">
        <v>0</v>
      </c>
      <c r="J130" s="7">
        <v>0</v>
      </c>
      <c r="K130" s="7">
        <v>0</v>
      </c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</row>
    <row r="131" spans="1:17">
      <c r="A131" s="2">
        <v>2079</v>
      </c>
      <c r="B131" s="7">
        <v>0</v>
      </c>
      <c r="C131" s="7">
        <v>0</v>
      </c>
      <c r="D131" s="7">
        <v>0</v>
      </c>
      <c r="E131" s="7">
        <v>0</v>
      </c>
      <c r="F131" s="7">
        <v>0</v>
      </c>
      <c r="G131" s="7">
        <v>0</v>
      </c>
      <c r="H131" s="7">
        <v>0</v>
      </c>
      <c r="I131" s="7">
        <v>0</v>
      </c>
      <c r="J131" s="7">
        <v>0</v>
      </c>
      <c r="K131" s="7">
        <v>0</v>
      </c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</row>
    <row r="132" spans="1:17">
      <c r="A132" s="2">
        <v>2080</v>
      </c>
      <c r="B132" s="7">
        <v>0</v>
      </c>
      <c r="C132" s="7">
        <v>0</v>
      </c>
      <c r="D132" s="7">
        <v>0</v>
      </c>
      <c r="E132" s="7">
        <v>0</v>
      </c>
      <c r="F132" s="7">
        <v>0</v>
      </c>
      <c r="G132" s="7">
        <v>0</v>
      </c>
      <c r="H132" s="7">
        <v>0</v>
      </c>
      <c r="I132" s="7">
        <v>0</v>
      </c>
      <c r="J132" s="7">
        <v>0</v>
      </c>
      <c r="K132" s="7">
        <v>0</v>
      </c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</row>
    <row r="133" spans="1:17">
      <c r="A133" s="2">
        <v>2081</v>
      </c>
      <c r="B133" s="7">
        <v>0</v>
      </c>
      <c r="C133" s="7">
        <v>0</v>
      </c>
      <c r="D133" s="7">
        <v>0</v>
      </c>
      <c r="E133" s="7">
        <v>0</v>
      </c>
      <c r="F133" s="7">
        <v>0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</row>
    <row r="134" spans="1:17">
      <c r="A134" s="2">
        <v>2082</v>
      </c>
      <c r="B134" s="7">
        <v>0</v>
      </c>
      <c r="C134" s="7">
        <v>0</v>
      </c>
      <c r="D134" s="7">
        <v>0</v>
      </c>
      <c r="E134" s="7">
        <v>0</v>
      </c>
      <c r="F134" s="7">
        <v>0</v>
      </c>
      <c r="G134" s="7">
        <v>0</v>
      </c>
      <c r="H134" s="7">
        <v>0</v>
      </c>
      <c r="I134" s="7">
        <v>0</v>
      </c>
      <c r="J134" s="7">
        <v>0</v>
      </c>
      <c r="K134" s="7">
        <v>0</v>
      </c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</row>
    <row r="135" spans="1:17">
      <c r="A135" s="2">
        <v>2083</v>
      </c>
      <c r="B135" s="7">
        <v>0</v>
      </c>
      <c r="C135" s="7">
        <v>0</v>
      </c>
      <c r="D135" s="7">
        <v>0</v>
      </c>
      <c r="E135" s="7">
        <v>0</v>
      </c>
      <c r="F135" s="7">
        <v>0</v>
      </c>
      <c r="G135" s="7">
        <v>0</v>
      </c>
      <c r="H135" s="7">
        <v>0</v>
      </c>
      <c r="I135" s="7">
        <v>0</v>
      </c>
      <c r="J135" s="7">
        <v>0</v>
      </c>
      <c r="K135" s="7">
        <v>0</v>
      </c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</row>
    <row r="136" spans="1:17">
      <c r="A136" s="2">
        <v>2084</v>
      </c>
      <c r="B136" s="7">
        <v>0</v>
      </c>
      <c r="C136" s="7">
        <v>0</v>
      </c>
      <c r="D136" s="7">
        <v>0</v>
      </c>
      <c r="E136" s="7">
        <v>0</v>
      </c>
      <c r="F136" s="7">
        <v>0</v>
      </c>
      <c r="G136" s="7">
        <v>0</v>
      </c>
      <c r="H136" s="7">
        <v>0</v>
      </c>
      <c r="I136" s="7">
        <v>0</v>
      </c>
      <c r="J136" s="7">
        <v>0</v>
      </c>
      <c r="K136" s="7">
        <v>0</v>
      </c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</row>
    <row r="137" spans="1:17">
      <c r="A137" s="2">
        <v>2085</v>
      </c>
      <c r="B137" s="7">
        <v>0</v>
      </c>
      <c r="C137" s="7">
        <v>0</v>
      </c>
      <c r="D137" s="7">
        <v>0</v>
      </c>
      <c r="E137" s="7">
        <v>0</v>
      </c>
      <c r="F137" s="7">
        <v>0</v>
      </c>
      <c r="G137" s="7">
        <v>0</v>
      </c>
      <c r="H137" s="7">
        <v>0</v>
      </c>
      <c r="I137" s="7">
        <v>0</v>
      </c>
      <c r="J137" s="7">
        <v>0</v>
      </c>
      <c r="K137" s="7">
        <v>0</v>
      </c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</row>
    <row r="138" spans="1:17">
      <c r="A138" s="2">
        <v>2086</v>
      </c>
      <c r="B138" s="7">
        <v>0</v>
      </c>
      <c r="C138" s="7">
        <v>0</v>
      </c>
      <c r="D138" s="7">
        <v>0</v>
      </c>
      <c r="E138" s="7">
        <v>0</v>
      </c>
      <c r="F138" s="7">
        <v>0</v>
      </c>
      <c r="G138" s="7">
        <v>0</v>
      </c>
      <c r="H138" s="7">
        <v>0</v>
      </c>
      <c r="I138" s="7">
        <v>0</v>
      </c>
      <c r="J138" s="7">
        <v>0</v>
      </c>
      <c r="K138" s="7">
        <v>0</v>
      </c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</row>
    <row r="139" spans="1:17">
      <c r="A139" s="2">
        <v>2087</v>
      </c>
      <c r="B139" s="7">
        <v>0</v>
      </c>
      <c r="C139" s="7">
        <v>0</v>
      </c>
      <c r="D139" s="7">
        <v>0</v>
      </c>
      <c r="E139" s="7">
        <v>0</v>
      </c>
      <c r="F139" s="7">
        <v>0</v>
      </c>
      <c r="G139" s="7">
        <v>0</v>
      </c>
      <c r="H139" s="7">
        <v>0</v>
      </c>
      <c r="I139" s="7">
        <v>0</v>
      </c>
      <c r="J139" s="7">
        <v>0</v>
      </c>
      <c r="K139" s="7">
        <v>0</v>
      </c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</row>
    <row r="140" spans="1:17">
      <c r="A140" s="2">
        <v>2088</v>
      </c>
      <c r="B140" s="7">
        <v>0</v>
      </c>
      <c r="C140" s="7">
        <v>0</v>
      </c>
      <c r="D140" s="7">
        <v>0</v>
      </c>
      <c r="E140" s="7">
        <v>0</v>
      </c>
      <c r="F140" s="7">
        <v>0</v>
      </c>
      <c r="G140" s="7">
        <v>0</v>
      </c>
      <c r="H140" s="7">
        <v>0</v>
      </c>
      <c r="I140" s="7">
        <v>0</v>
      </c>
      <c r="J140" s="7">
        <v>0</v>
      </c>
      <c r="K140" s="7">
        <v>0</v>
      </c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</row>
    <row r="141" spans="1:17">
      <c r="A141" s="2">
        <v>2089</v>
      </c>
      <c r="B141" s="7">
        <v>0</v>
      </c>
      <c r="C141" s="7">
        <v>0</v>
      </c>
      <c r="D141" s="7">
        <v>0</v>
      </c>
      <c r="E141" s="7">
        <v>0</v>
      </c>
      <c r="F141" s="7">
        <v>0</v>
      </c>
      <c r="G141" s="7">
        <v>0</v>
      </c>
      <c r="H141" s="7">
        <v>0</v>
      </c>
      <c r="I141" s="7">
        <v>0</v>
      </c>
      <c r="J141" s="7">
        <v>0</v>
      </c>
      <c r="K141" s="7">
        <v>0</v>
      </c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</row>
    <row r="142" spans="1:17">
      <c r="A142" s="2">
        <v>2090</v>
      </c>
      <c r="B142" s="7">
        <v>0</v>
      </c>
      <c r="C142" s="7">
        <v>0</v>
      </c>
      <c r="D142" s="7">
        <v>0</v>
      </c>
      <c r="E142" s="7">
        <v>0</v>
      </c>
      <c r="F142" s="7">
        <v>0</v>
      </c>
      <c r="G142" s="7">
        <v>0</v>
      </c>
      <c r="H142" s="7">
        <v>0</v>
      </c>
      <c r="I142" s="7">
        <v>0</v>
      </c>
      <c r="J142" s="7">
        <v>0</v>
      </c>
      <c r="K142" s="7">
        <v>0</v>
      </c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</row>
    <row r="143" spans="1:17">
      <c r="A143" s="2">
        <v>2091</v>
      </c>
      <c r="B143" s="7">
        <v>0</v>
      </c>
      <c r="C143" s="7">
        <v>0</v>
      </c>
      <c r="D143" s="7">
        <v>0</v>
      </c>
      <c r="E143" s="7">
        <v>0</v>
      </c>
      <c r="F143" s="7">
        <v>0</v>
      </c>
      <c r="G143" s="7">
        <v>0</v>
      </c>
      <c r="H143" s="7">
        <v>0</v>
      </c>
      <c r="I143" s="7">
        <v>0</v>
      </c>
      <c r="J143" s="7">
        <v>0</v>
      </c>
      <c r="K143" s="7">
        <v>0</v>
      </c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</row>
    <row r="144" spans="1:17">
      <c r="A144" s="2">
        <v>2092</v>
      </c>
      <c r="B144" s="7">
        <v>0</v>
      </c>
      <c r="C144" s="7">
        <v>0</v>
      </c>
      <c r="D144" s="7">
        <v>0</v>
      </c>
      <c r="E144" s="7">
        <v>0</v>
      </c>
      <c r="F144" s="7">
        <v>0</v>
      </c>
      <c r="G144" s="7">
        <v>0</v>
      </c>
      <c r="H144" s="7">
        <v>0</v>
      </c>
      <c r="I144" s="7">
        <v>0</v>
      </c>
      <c r="J144" s="7">
        <v>0</v>
      </c>
      <c r="K144" s="7">
        <v>0</v>
      </c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</row>
    <row r="145" spans="1:17">
      <c r="A145" s="2">
        <v>2093</v>
      </c>
      <c r="B145" s="7">
        <v>0</v>
      </c>
      <c r="C145" s="7">
        <v>0</v>
      </c>
      <c r="D145" s="7">
        <v>0</v>
      </c>
      <c r="E145" s="7">
        <v>0</v>
      </c>
      <c r="F145" s="7">
        <v>0</v>
      </c>
      <c r="G145" s="7">
        <v>0</v>
      </c>
      <c r="H145" s="7">
        <v>0</v>
      </c>
      <c r="I145" s="7">
        <v>0</v>
      </c>
      <c r="J145" s="7">
        <v>0</v>
      </c>
      <c r="K145" s="7">
        <v>0</v>
      </c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</row>
    <row r="146" spans="1:17">
      <c r="A146" s="2">
        <v>2094</v>
      </c>
      <c r="B146" s="7">
        <v>0</v>
      </c>
      <c r="C146" s="7">
        <v>0</v>
      </c>
      <c r="D146" s="7">
        <v>0</v>
      </c>
      <c r="E146" s="7">
        <v>0</v>
      </c>
      <c r="F146" s="7">
        <v>0</v>
      </c>
      <c r="G146" s="7">
        <v>0</v>
      </c>
      <c r="H146" s="7">
        <v>0</v>
      </c>
      <c r="I146" s="7">
        <v>0</v>
      </c>
      <c r="J146" s="7">
        <v>0</v>
      </c>
      <c r="K146" s="7">
        <v>0</v>
      </c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</row>
    <row r="147" spans="1:17">
      <c r="A147" s="2">
        <v>2095</v>
      </c>
      <c r="B147" s="7">
        <v>0</v>
      </c>
      <c r="C147" s="7">
        <v>0</v>
      </c>
      <c r="D147" s="7">
        <v>0</v>
      </c>
      <c r="E147" s="7">
        <v>0</v>
      </c>
      <c r="F147" s="7">
        <v>0</v>
      </c>
      <c r="G147" s="7">
        <v>0</v>
      </c>
      <c r="H147" s="7">
        <v>0</v>
      </c>
      <c r="I147" s="7">
        <v>0</v>
      </c>
      <c r="J147" s="7">
        <v>0</v>
      </c>
      <c r="K147" s="7">
        <v>0</v>
      </c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</row>
    <row r="148" spans="1:17">
      <c r="A148" s="2">
        <v>2096</v>
      </c>
      <c r="B148" s="7">
        <v>0</v>
      </c>
      <c r="C148" s="7">
        <v>0</v>
      </c>
      <c r="D148" s="7">
        <v>0</v>
      </c>
      <c r="E148" s="7">
        <v>0</v>
      </c>
      <c r="F148" s="7">
        <v>0</v>
      </c>
      <c r="G148" s="7">
        <v>0</v>
      </c>
      <c r="H148" s="7">
        <v>0</v>
      </c>
      <c r="I148" s="7">
        <v>0</v>
      </c>
      <c r="J148" s="7">
        <v>0</v>
      </c>
      <c r="K148" s="7">
        <v>0</v>
      </c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</row>
    <row r="149" spans="1:17">
      <c r="A149" s="2">
        <v>2097</v>
      </c>
      <c r="B149" s="7">
        <v>0</v>
      </c>
      <c r="C149" s="7">
        <v>0</v>
      </c>
      <c r="D149" s="7">
        <v>0</v>
      </c>
      <c r="E149" s="7">
        <v>0</v>
      </c>
      <c r="F149" s="7">
        <v>0</v>
      </c>
      <c r="G149" s="7">
        <v>0</v>
      </c>
      <c r="H149" s="7">
        <v>0</v>
      </c>
      <c r="I149" s="7">
        <v>0</v>
      </c>
      <c r="J149" s="7">
        <v>0</v>
      </c>
      <c r="K149" s="7">
        <v>0</v>
      </c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</row>
    <row r="150" spans="1:17">
      <c r="A150" s="2">
        <v>2098</v>
      </c>
      <c r="B150" s="7">
        <v>0</v>
      </c>
      <c r="C150" s="7">
        <v>0</v>
      </c>
      <c r="D150" s="7">
        <v>0</v>
      </c>
      <c r="E150" s="7">
        <v>0</v>
      </c>
      <c r="F150" s="7">
        <v>0</v>
      </c>
      <c r="G150" s="7">
        <v>0</v>
      </c>
      <c r="H150" s="7">
        <v>0</v>
      </c>
      <c r="I150" s="7">
        <v>0</v>
      </c>
      <c r="J150" s="7">
        <v>0</v>
      </c>
      <c r="K150" s="7">
        <v>0</v>
      </c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</row>
    <row r="151" spans="1:17">
      <c r="A151" s="2">
        <v>2099</v>
      </c>
      <c r="B151" s="7">
        <v>0</v>
      </c>
      <c r="C151" s="7">
        <v>0</v>
      </c>
      <c r="D151" s="7">
        <v>0</v>
      </c>
      <c r="E151" s="7">
        <v>0</v>
      </c>
      <c r="F151" s="7">
        <v>0</v>
      </c>
      <c r="G151" s="7">
        <v>0</v>
      </c>
      <c r="H151" s="7">
        <v>0</v>
      </c>
      <c r="I151" s="7">
        <v>0</v>
      </c>
      <c r="J151" s="7">
        <v>0</v>
      </c>
      <c r="K151" s="7">
        <v>0</v>
      </c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</row>
    <row r="152" spans="1:17">
      <c r="A152" s="2">
        <v>2100</v>
      </c>
      <c r="B152" s="7">
        <v>0</v>
      </c>
      <c r="C152" s="7">
        <v>0</v>
      </c>
      <c r="D152" s="7">
        <v>0</v>
      </c>
      <c r="E152" s="7">
        <v>0</v>
      </c>
      <c r="F152" s="7">
        <v>0</v>
      </c>
      <c r="G152" s="7">
        <v>0</v>
      </c>
      <c r="H152" s="7">
        <v>0</v>
      </c>
      <c r="I152" s="7">
        <v>0</v>
      </c>
      <c r="J152" s="7">
        <v>0</v>
      </c>
      <c r="K152" s="7">
        <v>0</v>
      </c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</row>
    <row r="153" spans="1:17">
      <c r="A153" s="2">
        <v>2101</v>
      </c>
      <c r="B153" s="7">
        <v>0</v>
      </c>
      <c r="C153" s="7">
        <v>0</v>
      </c>
      <c r="D153" s="7">
        <v>0</v>
      </c>
      <c r="E153" s="7">
        <v>0</v>
      </c>
      <c r="F153" s="7">
        <v>0</v>
      </c>
      <c r="G153" s="7">
        <v>0</v>
      </c>
      <c r="H153" s="7">
        <v>0</v>
      </c>
      <c r="I153" s="7">
        <v>0</v>
      </c>
      <c r="J153" s="7">
        <v>0</v>
      </c>
      <c r="K153" s="7">
        <v>0</v>
      </c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</row>
    <row r="154" spans="1:17">
      <c r="A154" s="2">
        <v>2102</v>
      </c>
      <c r="B154" s="7">
        <v>0</v>
      </c>
      <c r="C154" s="7">
        <v>0</v>
      </c>
      <c r="D154" s="7">
        <v>0</v>
      </c>
      <c r="E154" s="7">
        <v>0</v>
      </c>
      <c r="F154" s="7">
        <v>0</v>
      </c>
      <c r="G154" s="7">
        <v>0</v>
      </c>
      <c r="H154" s="7">
        <v>0</v>
      </c>
      <c r="I154" s="7">
        <v>0</v>
      </c>
      <c r="J154" s="7">
        <v>0</v>
      </c>
      <c r="K154" s="7">
        <v>0</v>
      </c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</row>
    <row r="155" spans="1:17">
      <c r="A155" s="2">
        <v>2103</v>
      </c>
      <c r="B155" s="7">
        <v>0</v>
      </c>
      <c r="C155" s="7">
        <v>0</v>
      </c>
      <c r="D155" s="7">
        <v>0</v>
      </c>
      <c r="E155" s="7">
        <v>0</v>
      </c>
      <c r="F155" s="7">
        <v>0</v>
      </c>
      <c r="G155" s="7">
        <v>0</v>
      </c>
      <c r="H155" s="7">
        <v>0</v>
      </c>
      <c r="I155" s="7">
        <v>0</v>
      </c>
      <c r="J155" s="7">
        <v>0</v>
      </c>
      <c r="K155" s="7">
        <v>0</v>
      </c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</row>
    <row r="156" spans="1:17">
      <c r="A156" s="2">
        <v>2104</v>
      </c>
      <c r="B156" s="7">
        <v>0</v>
      </c>
      <c r="C156" s="7">
        <v>0</v>
      </c>
      <c r="D156" s="7">
        <v>0</v>
      </c>
      <c r="E156" s="7">
        <v>0</v>
      </c>
      <c r="F156" s="7">
        <v>0</v>
      </c>
      <c r="G156" s="7">
        <v>0</v>
      </c>
      <c r="H156" s="7">
        <v>0</v>
      </c>
      <c r="I156" s="7">
        <v>0</v>
      </c>
      <c r="J156" s="7">
        <v>0</v>
      </c>
      <c r="K156" s="7">
        <v>0</v>
      </c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</row>
    <row r="157" spans="1:17">
      <c r="A157" s="2">
        <v>2105</v>
      </c>
      <c r="B157" s="7">
        <v>0</v>
      </c>
      <c r="C157" s="7">
        <v>0</v>
      </c>
      <c r="D157" s="7">
        <v>0</v>
      </c>
      <c r="E157" s="7">
        <v>0</v>
      </c>
      <c r="F157" s="7">
        <v>0</v>
      </c>
      <c r="G157" s="7">
        <v>0</v>
      </c>
      <c r="H157" s="7">
        <v>0</v>
      </c>
      <c r="I157" s="7">
        <v>0</v>
      </c>
      <c r="J157" s="7">
        <v>0</v>
      </c>
      <c r="K157" s="7">
        <v>0</v>
      </c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</row>
    <row r="158" spans="1:17">
      <c r="A158" s="2">
        <v>2106</v>
      </c>
      <c r="B158" s="7">
        <v>0</v>
      </c>
      <c r="C158" s="7">
        <v>0</v>
      </c>
      <c r="D158" s="7">
        <v>0</v>
      </c>
      <c r="E158" s="7">
        <v>0</v>
      </c>
      <c r="F158" s="7">
        <v>0</v>
      </c>
      <c r="G158" s="7">
        <v>0</v>
      </c>
      <c r="H158" s="7">
        <v>0</v>
      </c>
      <c r="I158" s="7">
        <v>0</v>
      </c>
      <c r="J158" s="7">
        <v>0</v>
      </c>
      <c r="K158" s="7">
        <v>0</v>
      </c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</row>
    <row r="159" spans="1:17">
      <c r="A159" s="2">
        <v>2107</v>
      </c>
      <c r="B159" s="7">
        <v>0</v>
      </c>
      <c r="C159" s="7">
        <v>0</v>
      </c>
      <c r="D159" s="7">
        <v>0</v>
      </c>
      <c r="E159" s="7">
        <v>0</v>
      </c>
      <c r="F159" s="7">
        <v>0</v>
      </c>
      <c r="G159" s="7">
        <v>0</v>
      </c>
      <c r="H159" s="7">
        <v>0</v>
      </c>
      <c r="I159" s="7">
        <v>0</v>
      </c>
      <c r="J159" s="7">
        <v>0</v>
      </c>
      <c r="K159" s="7">
        <v>0</v>
      </c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</row>
    <row r="160" spans="1:17">
      <c r="A160" s="2">
        <v>2108</v>
      </c>
      <c r="B160" s="7">
        <v>0</v>
      </c>
      <c r="C160" s="7">
        <v>0</v>
      </c>
      <c r="D160" s="7">
        <v>0</v>
      </c>
      <c r="E160" s="7">
        <v>0</v>
      </c>
      <c r="F160" s="7">
        <v>0</v>
      </c>
      <c r="G160" s="7">
        <v>0</v>
      </c>
      <c r="H160" s="7">
        <v>0</v>
      </c>
      <c r="I160" s="7">
        <v>0</v>
      </c>
      <c r="J160" s="7">
        <v>0</v>
      </c>
      <c r="K160" s="7">
        <v>0</v>
      </c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</row>
    <row r="161" spans="1:17">
      <c r="A161" s="2">
        <v>2109</v>
      </c>
      <c r="B161" s="7">
        <v>0</v>
      </c>
      <c r="C161" s="7">
        <v>0</v>
      </c>
      <c r="D161" s="7">
        <v>0</v>
      </c>
      <c r="E161" s="7">
        <v>0</v>
      </c>
      <c r="F161" s="7">
        <v>0</v>
      </c>
      <c r="G161" s="7">
        <v>0</v>
      </c>
      <c r="H161" s="7">
        <v>0</v>
      </c>
      <c r="I161" s="7">
        <v>0</v>
      </c>
      <c r="J161" s="7">
        <v>0</v>
      </c>
      <c r="K161" s="7">
        <v>0</v>
      </c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</row>
    <row r="162" spans="1:17">
      <c r="A162" s="2">
        <v>2110</v>
      </c>
      <c r="B162" s="7">
        <v>0</v>
      </c>
      <c r="C162" s="7">
        <v>0</v>
      </c>
      <c r="D162" s="7">
        <v>0</v>
      </c>
      <c r="E162" s="7">
        <v>0</v>
      </c>
      <c r="F162" s="7">
        <v>0</v>
      </c>
      <c r="G162" s="7">
        <v>0</v>
      </c>
      <c r="H162" s="7">
        <v>0</v>
      </c>
      <c r="I162" s="7">
        <v>0</v>
      </c>
      <c r="J162" s="7">
        <v>0</v>
      </c>
      <c r="K162" s="7">
        <v>0</v>
      </c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</row>
    <row r="163" spans="1:17">
      <c r="A163" s="2">
        <v>2111</v>
      </c>
      <c r="B163" s="7">
        <v>0</v>
      </c>
      <c r="C163" s="7">
        <v>0</v>
      </c>
      <c r="D163" s="7">
        <v>0</v>
      </c>
      <c r="E163" s="7">
        <v>0</v>
      </c>
      <c r="F163" s="7">
        <v>0</v>
      </c>
      <c r="G163" s="7">
        <v>0</v>
      </c>
      <c r="H163" s="7">
        <v>0</v>
      </c>
      <c r="I163" s="7">
        <v>0</v>
      </c>
      <c r="J163" s="7">
        <v>0</v>
      </c>
      <c r="K163" s="7">
        <v>0</v>
      </c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</row>
    <row r="164" spans="1:17">
      <c r="A164" s="2">
        <v>2112</v>
      </c>
      <c r="B164" s="7">
        <v>0</v>
      </c>
      <c r="C164" s="7">
        <v>0</v>
      </c>
      <c r="D164" s="7">
        <v>0</v>
      </c>
      <c r="E164" s="7">
        <v>0</v>
      </c>
      <c r="F164" s="7">
        <v>0</v>
      </c>
      <c r="G164" s="7">
        <v>0</v>
      </c>
      <c r="H164" s="7">
        <v>0</v>
      </c>
      <c r="I164" s="7">
        <v>0</v>
      </c>
      <c r="J164" s="7">
        <v>0</v>
      </c>
      <c r="K164" s="7">
        <v>0</v>
      </c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</row>
    <row r="165" spans="1:17">
      <c r="A165" s="2">
        <v>2113</v>
      </c>
      <c r="B165" s="7">
        <v>0</v>
      </c>
      <c r="C165" s="7">
        <v>0</v>
      </c>
      <c r="D165" s="7">
        <v>0</v>
      </c>
      <c r="E165" s="7">
        <v>0</v>
      </c>
      <c r="F165" s="7">
        <v>0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</row>
    <row r="166" spans="1:17">
      <c r="A166" s="2">
        <v>2114</v>
      </c>
      <c r="B166" s="7">
        <v>0</v>
      </c>
      <c r="C166" s="7">
        <v>0</v>
      </c>
      <c r="D166" s="7">
        <v>0</v>
      </c>
      <c r="E166" s="7">
        <v>0</v>
      </c>
      <c r="F166" s="7">
        <v>0</v>
      </c>
      <c r="G166" s="7">
        <v>0</v>
      </c>
      <c r="H166" s="7">
        <v>0</v>
      </c>
      <c r="I166" s="7">
        <v>0</v>
      </c>
      <c r="J166" s="7">
        <v>0</v>
      </c>
      <c r="K166" s="7">
        <v>0</v>
      </c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</row>
    <row r="167" spans="1:17">
      <c r="A167" s="2">
        <v>2115</v>
      </c>
      <c r="B167" s="7">
        <v>0</v>
      </c>
      <c r="C167" s="7">
        <v>0</v>
      </c>
      <c r="D167" s="7">
        <v>0</v>
      </c>
      <c r="E167" s="7">
        <v>0</v>
      </c>
      <c r="F167" s="7">
        <v>0</v>
      </c>
      <c r="G167" s="7">
        <v>0</v>
      </c>
      <c r="H167" s="7">
        <v>0</v>
      </c>
      <c r="I167" s="7">
        <v>0</v>
      </c>
      <c r="J167" s="7">
        <v>0</v>
      </c>
      <c r="K167" s="7">
        <v>0</v>
      </c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</row>
    <row r="168" spans="1:17">
      <c r="A168" s="2">
        <v>2116</v>
      </c>
      <c r="B168" s="7">
        <v>0</v>
      </c>
      <c r="C168" s="7">
        <v>0</v>
      </c>
      <c r="D168" s="7">
        <v>0</v>
      </c>
      <c r="E168" s="7">
        <v>0</v>
      </c>
      <c r="F168" s="7">
        <v>0</v>
      </c>
      <c r="G168" s="7">
        <v>0</v>
      </c>
      <c r="H168" s="7">
        <v>0</v>
      </c>
      <c r="I168" s="7">
        <v>0</v>
      </c>
      <c r="J168" s="7">
        <v>0</v>
      </c>
      <c r="K168" s="7">
        <v>0</v>
      </c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</row>
    <row r="169" spans="1:17">
      <c r="A169" s="2">
        <v>2117</v>
      </c>
      <c r="B169" s="7">
        <v>0</v>
      </c>
      <c r="C169" s="7">
        <v>0</v>
      </c>
      <c r="D169" s="7">
        <v>0</v>
      </c>
      <c r="E169" s="7">
        <v>0</v>
      </c>
      <c r="F169" s="7">
        <v>0</v>
      </c>
      <c r="G169" s="7">
        <v>0</v>
      </c>
      <c r="H169" s="7">
        <v>0</v>
      </c>
      <c r="I169" s="7">
        <v>0</v>
      </c>
      <c r="J169" s="7">
        <v>0</v>
      </c>
      <c r="K169" s="7">
        <v>0</v>
      </c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</row>
    <row r="170" spans="1:17">
      <c r="A170" s="2">
        <v>2118</v>
      </c>
      <c r="B170" s="7">
        <v>0</v>
      </c>
      <c r="C170" s="7">
        <v>0</v>
      </c>
      <c r="D170" s="7">
        <v>0</v>
      </c>
      <c r="E170" s="7">
        <v>0</v>
      </c>
      <c r="F170" s="7">
        <v>0</v>
      </c>
      <c r="G170" s="7">
        <v>0</v>
      </c>
      <c r="H170" s="7">
        <v>0</v>
      </c>
      <c r="I170" s="7">
        <v>0</v>
      </c>
      <c r="J170" s="7">
        <v>0</v>
      </c>
      <c r="K170" s="7">
        <v>0</v>
      </c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</row>
    <row r="171" spans="1:17">
      <c r="A171" s="2">
        <v>2119</v>
      </c>
      <c r="B171" s="7">
        <v>0</v>
      </c>
      <c r="C171" s="7">
        <v>0</v>
      </c>
      <c r="D171" s="7">
        <v>0</v>
      </c>
      <c r="E171" s="7">
        <v>0</v>
      </c>
      <c r="F171" s="7">
        <v>0</v>
      </c>
      <c r="G171" s="7">
        <v>0</v>
      </c>
      <c r="H171" s="7">
        <v>0</v>
      </c>
      <c r="I171" s="7">
        <v>0</v>
      </c>
      <c r="J171" s="7">
        <v>0</v>
      </c>
      <c r="K171" s="7">
        <v>0</v>
      </c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</row>
    <row r="172" spans="1:17">
      <c r="A172" s="2">
        <v>2120</v>
      </c>
      <c r="B172" s="7">
        <v>0</v>
      </c>
      <c r="C172" s="7">
        <v>0</v>
      </c>
      <c r="D172" s="7">
        <v>0</v>
      </c>
      <c r="E172" s="7">
        <v>0</v>
      </c>
      <c r="F172" s="7">
        <v>0</v>
      </c>
      <c r="G172" s="7">
        <v>0</v>
      </c>
      <c r="H172" s="7">
        <v>0</v>
      </c>
      <c r="I172" s="7">
        <v>0</v>
      </c>
      <c r="J172" s="7">
        <v>0</v>
      </c>
      <c r="K172" s="7">
        <v>0</v>
      </c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</row>
    <row r="173" spans="1:17">
      <c r="A173" s="2">
        <v>2121</v>
      </c>
      <c r="B173" s="7">
        <v>0</v>
      </c>
      <c r="C173" s="7">
        <v>0</v>
      </c>
      <c r="D173" s="7">
        <v>0</v>
      </c>
      <c r="E173" s="7">
        <v>0</v>
      </c>
      <c r="F173" s="7">
        <v>0</v>
      </c>
      <c r="G173" s="7">
        <v>0</v>
      </c>
      <c r="H173" s="7">
        <v>0</v>
      </c>
      <c r="I173" s="7">
        <v>0</v>
      </c>
      <c r="J173" s="7">
        <v>0</v>
      </c>
      <c r="K173" s="7">
        <v>0</v>
      </c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</row>
    <row r="174" spans="1:17">
      <c r="A174" s="2">
        <v>2122</v>
      </c>
      <c r="B174" s="7">
        <v>0</v>
      </c>
      <c r="C174" s="7">
        <v>0</v>
      </c>
      <c r="D174" s="7">
        <v>0</v>
      </c>
      <c r="E174" s="7">
        <v>0</v>
      </c>
      <c r="F174" s="7">
        <v>0</v>
      </c>
      <c r="G174" s="7">
        <v>0</v>
      </c>
      <c r="H174" s="7">
        <v>0</v>
      </c>
      <c r="I174" s="7">
        <v>0</v>
      </c>
      <c r="J174" s="7">
        <v>0</v>
      </c>
      <c r="K174" s="7">
        <v>0</v>
      </c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</row>
    <row r="175" spans="1:17">
      <c r="A175" s="2">
        <v>2123</v>
      </c>
      <c r="B175" s="7">
        <v>0</v>
      </c>
      <c r="C175" s="7">
        <v>0</v>
      </c>
      <c r="D175" s="7">
        <v>0</v>
      </c>
      <c r="E175" s="7">
        <v>0</v>
      </c>
      <c r="F175" s="7">
        <v>0</v>
      </c>
      <c r="G175" s="7">
        <v>0</v>
      </c>
      <c r="H175" s="7">
        <v>0</v>
      </c>
      <c r="I175" s="7">
        <v>0</v>
      </c>
      <c r="J175" s="7">
        <v>0</v>
      </c>
      <c r="K175" s="7">
        <v>0</v>
      </c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</row>
    <row r="176" spans="1:17">
      <c r="A176" s="2">
        <v>2124</v>
      </c>
      <c r="B176" s="7">
        <v>0</v>
      </c>
      <c r="C176" s="7">
        <v>0</v>
      </c>
      <c r="D176" s="7">
        <v>0</v>
      </c>
      <c r="E176" s="7">
        <v>0</v>
      </c>
      <c r="F176" s="7">
        <v>0</v>
      </c>
      <c r="G176" s="7">
        <v>0</v>
      </c>
      <c r="H176" s="7">
        <v>0</v>
      </c>
      <c r="I176" s="7">
        <v>0</v>
      </c>
      <c r="J176" s="7">
        <v>0</v>
      </c>
      <c r="K176" s="7">
        <v>0</v>
      </c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</row>
    <row r="177" spans="1:17">
      <c r="A177" s="2">
        <v>2125</v>
      </c>
      <c r="B177" s="7">
        <v>0</v>
      </c>
      <c r="C177" s="7">
        <v>0</v>
      </c>
      <c r="D177" s="7">
        <v>0</v>
      </c>
      <c r="E177" s="7">
        <v>0</v>
      </c>
      <c r="F177" s="7">
        <v>0</v>
      </c>
      <c r="G177" s="7">
        <v>0</v>
      </c>
      <c r="H177" s="7">
        <v>0</v>
      </c>
      <c r="I177" s="7">
        <v>0</v>
      </c>
      <c r="J177" s="7">
        <v>0</v>
      </c>
      <c r="K177" s="7">
        <v>0</v>
      </c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</row>
    <row r="178" spans="1:17">
      <c r="A178" s="2">
        <v>2126</v>
      </c>
      <c r="B178" s="7">
        <v>0</v>
      </c>
      <c r="C178" s="7">
        <v>0</v>
      </c>
      <c r="D178" s="7">
        <v>0</v>
      </c>
      <c r="E178" s="7">
        <v>0</v>
      </c>
      <c r="F178" s="7">
        <v>0</v>
      </c>
      <c r="G178" s="7">
        <v>0</v>
      </c>
      <c r="H178" s="7">
        <v>0</v>
      </c>
      <c r="I178" s="7">
        <v>0</v>
      </c>
      <c r="J178" s="7">
        <v>0</v>
      </c>
      <c r="K178" s="7">
        <v>0</v>
      </c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</row>
    <row r="179" spans="1:17">
      <c r="A179" s="2">
        <v>2127</v>
      </c>
      <c r="B179" s="7">
        <v>0</v>
      </c>
      <c r="C179" s="7">
        <v>0</v>
      </c>
      <c r="D179" s="7">
        <v>0</v>
      </c>
      <c r="E179" s="7">
        <v>0</v>
      </c>
      <c r="F179" s="7">
        <v>0</v>
      </c>
      <c r="G179" s="7">
        <v>0</v>
      </c>
      <c r="H179" s="7">
        <v>0</v>
      </c>
      <c r="I179" s="7">
        <v>0</v>
      </c>
      <c r="J179" s="7">
        <v>0</v>
      </c>
      <c r="K179" s="7">
        <v>0</v>
      </c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</row>
    <row r="180" spans="1:17">
      <c r="A180" s="2">
        <v>2128</v>
      </c>
      <c r="B180" s="7">
        <v>0</v>
      </c>
      <c r="C180" s="7">
        <v>0</v>
      </c>
      <c r="D180" s="7">
        <v>0</v>
      </c>
      <c r="E180" s="7">
        <v>0</v>
      </c>
      <c r="F180" s="7">
        <v>0</v>
      </c>
      <c r="G180" s="7">
        <v>0</v>
      </c>
      <c r="H180" s="7">
        <v>0</v>
      </c>
      <c r="I180" s="7">
        <v>0</v>
      </c>
      <c r="J180" s="7">
        <v>0</v>
      </c>
      <c r="K180" s="7">
        <v>0</v>
      </c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</row>
    <row r="181" spans="1:17">
      <c r="A181" s="2">
        <v>2129</v>
      </c>
      <c r="B181" s="7">
        <v>0</v>
      </c>
      <c r="C181" s="7">
        <v>0</v>
      </c>
      <c r="D181" s="7">
        <v>0</v>
      </c>
      <c r="E181" s="7">
        <v>0</v>
      </c>
      <c r="F181" s="7">
        <v>0</v>
      </c>
      <c r="G181" s="7">
        <v>0</v>
      </c>
      <c r="H181" s="7">
        <v>0</v>
      </c>
      <c r="I181" s="7">
        <v>0</v>
      </c>
      <c r="J181" s="7">
        <v>0</v>
      </c>
      <c r="K181" s="7">
        <v>0</v>
      </c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</row>
    <row r="182" spans="1:17">
      <c r="A182" s="2">
        <v>2130</v>
      </c>
      <c r="B182" s="7">
        <v>0</v>
      </c>
      <c r="C182" s="7">
        <v>0</v>
      </c>
      <c r="D182" s="7">
        <v>0</v>
      </c>
      <c r="E182" s="7">
        <v>0</v>
      </c>
      <c r="F182" s="7">
        <v>0</v>
      </c>
      <c r="G182" s="7">
        <v>0</v>
      </c>
      <c r="H182" s="7">
        <v>0</v>
      </c>
      <c r="I182" s="7">
        <v>0</v>
      </c>
      <c r="J182" s="7">
        <v>0</v>
      </c>
      <c r="K182" s="7">
        <v>0</v>
      </c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</row>
    <row r="183" spans="1:17">
      <c r="A183" s="2">
        <v>2131</v>
      </c>
      <c r="B183" s="7">
        <v>0</v>
      </c>
      <c r="C183" s="7">
        <v>0</v>
      </c>
      <c r="D183" s="7">
        <v>0</v>
      </c>
      <c r="E183" s="7">
        <v>0</v>
      </c>
      <c r="F183" s="7">
        <v>0</v>
      </c>
      <c r="G183" s="7">
        <v>0</v>
      </c>
      <c r="H183" s="7">
        <v>0</v>
      </c>
      <c r="I183" s="7">
        <v>0</v>
      </c>
      <c r="J183" s="7">
        <v>0</v>
      </c>
      <c r="K183" s="7">
        <v>0</v>
      </c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</row>
    <row r="184" spans="1:17">
      <c r="A184" s="2">
        <v>2132</v>
      </c>
      <c r="B184" s="7">
        <v>0</v>
      </c>
      <c r="C184" s="7">
        <v>0</v>
      </c>
      <c r="D184" s="7">
        <v>0</v>
      </c>
      <c r="E184" s="7">
        <v>0</v>
      </c>
      <c r="F184" s="7">
        <v>0</v>
      </c>
      <c r="G184" s="7">
        <v>0</v>
      </c>
      <c r="H184" s="7">
        <v>0</v>
      </c>
      <c r="I184" s="7">
        <v>0</v>
      </c>
      <c r="J184" s="7">
        <v>0</v>
      </c>
      <c r="K184" s="7">
        <v>0</v>
      </c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</row>
    <row r="185" spans="1:17">
      <c r="A185" s="2">
        <v>2133</v>
      </c>
      <c r="B185" s="7">
        <v>0</v>
      </c>
      <c r="C185" s="7">
        <v>0</v>
      </c>
      <c r="D185" s="7">
        <v>0</v>
      </c>
      <c r="E185" s="7">
        <v>0</v>
      </c>
      <c r="F185" s="7">
        <v>0</v>
      </c>
      <c r="G185" s="7">
        <v>0</v>
      </c>
      <c r="H185" s="7">
        <v>0</v>
      </c>
      <c r="I185" s="7">
        <v>0</v>
      </c>
      <c r="J185" s="7">
        <v>0</v>
      </c>
      <c r="K185" s="7">
        <v>0</v>
      </c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</row>
    <row r="186" spans="1:17">
      <c r="A186" s="2">
        <v>2134</v>
      </c>
      <c r="B186" s="7">
        <v>0</v>
      </c>
      <c r="C186" s="7">
        <v>0</v>
      </c>
      <c r="D186" s="7">
        <v>0</v>
      </c>
      <c r="E186" s="7">
        <v>0</v>
      </c>
      <c r="F186" s="7">
        <v>0</v>
      </c>
      <c r="G186" s="7">
        <v>0</v>
      </c>
      <c r="H186" s="7">
        <v>0</v>
      </c>
      <c r="I186" s="7">
        <v>0</v>
      </c>
      <c r="J186" s="7">
        <v>0</v>
      </c>
      <c r="K186" s="7">
        <v>0</v>
      </c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</row>
    <row r="187" spans="1:17">
      <c r="A187" s="2">
        <v>2135</v>
      </c>
      <c r="B187" s="7">
        <v>0</v>
      </c>
      <c r="C187" s="7">
        <v>0</v>
      </c>
      <c r="D187" s="7">
        <v>0</v>
      </c>
      <c r="E187" s="7">
        <v>0</v>
      </c>
      <c r="F187" s="7">
        <v>0</v>
      </c>
      <c r="G187" s="7">
        <v>0</v>
      </c>
      <c r="H187" s="7">
        <v>0</v>
      </c>
      <c r="I187" s="7">
        <v>0</v>
      </c>
      <c r="J187" s="7">
        <v>0</v>
      </c>
      <c r="K187" s="7">
        <v>0</v>
      </c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</row>
    <row r="188" spans="1:17">
      <c r="A188" s="2">
        <v>2136</v>
      </c>
      <c r="B188" s="7">
        <v>0</v>
      </c>
      <c r="C188" s="7">
        <v>0</v>
      </c>
      <c r="D188" s="7">
        <v>0</v>
      </c>
      <c r="E188" s="7">
        <v>0</v>
      </c>
      <c r="F188" s="7">
        <v>0</v>
      </c>
      <c r="G188" s="7">
        <v>0</v>
      </c>
      <c r="H188" s="7">
        <v>0</v>
      </c>
      <c r="I188" s="7">
        <v>0</v>
      </c>
      <c r="J188" s="7">
        <v>0</v>
      </c>
      <c r="K188" s="7">
        <v>0</v>
      </c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</row>
    <row r="189" spans="1:17">
      <c r="A189" s="2">
        <v>2137</v>
      </c>
      <c r="B189" s="7">
        <v>0</v>
      </c>
      <c r="C189" s="7">
        <v>0</v>
      </c>
      <c r="D189" s="7">
        <v>0</v>
      </c>
      <c r="E189" s="7">
        <v>0</v>
      </c>
      <c r="F189" s="7">
        <v>0</v>
      </c>
      <c r="G189" s="7">
        <v>0</v>
      </c>
      <c r="H189" s="7">
        <v>0</v>
      </c>
      <c r="I189" s="7">
        <v>0</v>
      </c>
      <c r="J189" s="7">
        <v>0</v>
      </c>
      <c r="K189" s="7">
        <v>0</v>
      </c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</row>
    <row r="190" spans="1:17">
      <c r="A190" s="2">
        <v>2138</v>
      </c>
      <c r="B190" s="7">
        <v>0</v>
      </c>
      <c r="C190" s="7">
        <v>0</v>
      </c>
      <c r="D190" s="7">
        <v>0</v>
      </c>
      <c r="E190" s="7">
        <v>0</v>
      </c>
      <c r="F190" s="7">
        <v>0</v>
      </c>
      <c r="G190" s="7">
        <v>0</v>
      </c>
      <c r="H190" s="7">
        <v>0</v>
      </c>
      <c r="I190" s="7">
        <v>0</v>
      </c>
      <c r="J190" s="7">
        <v>0</v>
      </c>
      <c r="K190" s="7">
        <v>0</v>
      </c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</row>
    <row r="191" spans="1:17">
      <c r="A191" s="2">
        <v>2139</v>
      </c>
      <c r="B191" s="7">
        <v>0</v>
      </c>
      <c r="C191" s="7">
        <v>0</v>
      </c>
      <c r="D191" s="7">
        <v>0</v>
      </c>
      <c r="E191" s="7">
        <v>0</v>
      </c>
      <c r="F191" s="7">
        <v>0</v>
      </c>
      <c r="G191" s="7">
        <v>0</v>
      </c>
      <c r="H191" s="7">
        <v>0</v>
      </c>
      <c r="I191" s="7">
        <v>0</v>
      </c>
      <c r="J191" s="7">
        <v>0</v>
      </c>
      <c r="K191" s="7">
        <v>0</v>
      </c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</row>
    <row r="192" spans="1:17">
      <c r="A192" s="2">
        <v>2140</v>
      </c>
      <c r="B192" s="7">
        <v>0</v>
      </c>
      <c r="C192" s="7">
        <v>0</v>
      </c>
      <c r="D192" s="7">
        <v>0</v>
      </c>
      <c r="E192" s="7">
        <v>0</v>
      </c>
      <c r="F192" s="7">
        <v>0</v>
      </c>
      <c r="G192" s="7">
        <v>0</v>
      </c>
      <c r="H192" s="7">
        <v>0</v>
      </c>
      <c r="I192" s="7">
        <v>0</v>
      </c>
      <c r="J192" s="7">
        <v>0</v>
      </c>
      <c r="K192" s="7">
        <v>0</v>
      </c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</row>
    <row r="193" spans="1:17">
      <c r="A193" s="2">
        <v>2141</v>
      </c>
      <c r="B193" s="7">
        <v>0</v>
      </c>
      <c r="C193" s="7">
        <v>0</v>
      </c>
      <c r="D193" s="7">
        <v>0</v>
      </c>
      <c r="E193" s="7">
        <v>0</v>
      </c>
      <c r="F193" s="7">
        <v>0</v>
      </c>
      <c r="G193" s="7">
        <v>0</v>
      </c>
      <c r="H193" s="7">
        <v>0</v>
      </c>
      <c r="I193" s="7">
        <v>0</v>
      </c>
      <c r="J193" s="7">
        <v>0</v>
      </c>
      <c r="K193" s="7">
        <v>0</v>
      </c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</row>
    <row r="194" spans="1:17">
      <c r="A194" s="2">
        <v>2142</v>
      </c>
      <c r="B194" s="7">
        <v>0</v>
      </c>
      <c r="C194" s="7">
        <v>0</v>
      </c>
      <c r="D194" s="7">
        <v>0</v>
      </c>
      <c r="E194" s="7">
        <v>0</v>
      </c>
      <c r="F194" s="7">
        <v>0</v>
      </c>
      <c r="G194" s="7">
        <v>0</v>
      </c>
      <c r="H194" s="7">
        <v>0</v>
      </c>
      <c r="I194" s="7">
        <v>0</v>
      </c>
      <c r="J194" s="7">
        <v>0</v>
      </c>
      <c r="K194" s="7">
        <v>0</v>
      </c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</row>
    <row r="195" spans="1:17">
      <c r="A195" s="2">
        <v>2143</v>
      </c>
      <c r="B195" s="7">
        <v>0</v>
      </c>
      <c r="C195" s="7">
        <v>0</v>
      </c>
      <c r="D195" s="7">
        <v>0</v>
      </c>
      <c r="E195" s="7">
        <v>0</v>
      </c>
      <c r="F195" s="7">
        <v>0</v>
      </c>
      <c r="G195" s="7">
        <v>0</v>
      </c>
      <c r="H195" s="7">
        <v>0</v>
      </c>
      <c r="I195" s="7">
        <v>0</v>
      </c>
      <c r="J195" s="7">
        <v>0</v>
      </c>
      <c r="K195" s="7">
        <v>0</v>
      </c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</row>
    <row r="196" spans="1:17">
      <c r="A196" s="2">
        <v>2144</v>
      </c>
      <c r="B196" s="7">
        <v>0</v>
      </c>
      <c r="C196" s="7">
        <v>0</v>
      </c>
      <c r="D196" s="7">
        <v>0</v>
      </c>
      <c r="E196" s="7">
        <v>0</v>
      </c>
      <c r="F196" s="7">
        <v>0</v>
      </c>
      <c r="G196" s="7">
        <v>0</v>
      </c>
      <c r="H196" s="7">
        <v>0</v>
      </c>
      <c r="I196" s="7">
        <v>0</v>
      </c>
      <c r="J196" s="7">
        <v>0</v>
      </c>
      <c r="K196" s="7">
        <v>0</v>
      </c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</row>
    <row r="197" spans="1:17">
      <c r="A197" s="2">
        <v>2145</v>
      </c>
      <c r="B197" s="7">
        <v>0</v>
      </c>
      <c r="C197" s="7">
        <v>0</v>
      </c>
      <c r="D197" s="7">
        <v>0</v>
      </c>
      <c r="E197" s="7">
        <v>0</v>
      </c>
      <c r="F197" s="7">
        <v>0</v>
      </c>
      <c r="G197" s="7">
        <v>0</v>
      </c>
      <c r="H197" s="7">
        <v>0</v>
      </c>
      <c r="I197" s="7">
        <v>0</v>
      </c>
      <c r="J197" s="7">
        <v>0</v>
      </c>
      <c r="K197" s="7">
        <v>0</v>
      </c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</row>
    <row r="198" spans="1:17">
      <c r="A198" s="2">
        <v>2146</v>
      </c>
      <c r="B198" s="7">
        <v>0</v>
      </c>
      <c r="C198" s="7">
        <v>0</v>
      </c>
      <c r="D198" s="7">
        <v>0</v>
      </c>
      <c r="E198" s="7">
        <v>0</v>
      </c>
      <c r="F198" s="7">
        <v>0</v>
      </c>
      <c r="G198" s="7">
        <v>0</v>
      </c>
      <c r="H198" s="7">
        <v>0</v>
      </c>
      <c r="I198" s="7">
        <v>0</v>
      </c>
      <c r="J198" s="7">
        <v>0</v>
      </c>
      <c r="K198" s="7">
        <v>0</v>
      </c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</row>
    <row r="199" spans="1:17">
      <c r="A199" s="2">
        <v>2147</v>
      </c>
      <c r="B199" s="7">
        <v>0</v>
      </c>
      <c r="C199" s="7">
        <v>0</v>
      </c>
      <c r="D199" s="7">
        <v>0</v>
      </c>
      <c r="E199" s="7">
        <v>0</v>
      </c>
      <c r="F199" s="7">
        <v>0</v>
      </c>
      <c r="G199" s="7">
        <v>0</v>
      </c>
      <c r="H199" s="7">
        <v>0</v>
      </c>
      <c r="I199" s="7">
        <v>0</v>
      </c>
      <c r="J199" s="7">
        <v>0</v>
      </c>
      <c r="K199" s="7">
        <v>0</v>
      </c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</row>
    <row r="200" spans="1:17">
      <c r="A200" s="2">
        <v>2148</v>
      </c>
      <c r="B200" s="7">
        <v>0</v>
      </c>
      <c r="C200" s="7">
        <v>0</v>
      </c>
      <c r="D200" s="7">
        <v>0</v>
      </c>
      <c r="E200" s="7">
        <v>0</v>
      </c>
      <c r="F200" s="7">
        <v>0</v>
      </c>
      <c r="G200" s="7">
        <v>0</v>
      </c>
      <c r="H200" s="7">
        <v>0</v>
      </c>
      <c r="I200" s="7">
        <v>0</v>
      </c>
      <c r="J200" s="7">
        <v>0</v>
      </c>
      <c r="K200" s="7">
        <v>0</v>
      </c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</row>
    <row r="201" spans="1:17">
      <c r="A201" s="2">
        <v>2149</v>
      </c>
      <c r="B201" s="7">
        <v>0</v>
      </c>
      <c r="C201" s="7">
        <v>0</v>
      </c>
      <c r="D201" s="7">
        <v>0</v>
      </c>
      <c r="E201" s="7">
        <v>0</v>
      </c>
      <c r="F201" s="7">
        <v>0</v>
      </c>
      <c r="G201" s="7">
        <v>0</v>
      </c>
      <c r="H201" s="7">
        <v>0</v>
      </c>
      <c r="I201" s="7">
        <v>0</v>
      </c>
      <c r="J201" s="7">
        <v>0</v>
      </c>
      <c r="K201" s="7">
        <v>0</v>
      </c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</row>
    <row r="202" spans="1:17">
      <c r="A202" s="2">
        <v>2150</v>
      </c>
      <c r="B202" s="7">
        <v>0</v>
      </c>
      <c r="C202" s="7">
        <v>0</v>
      </c>
      <c r="D202" s="7">
        <v>0</v>
      </c>
      <c r="E202" s="7">
        <v>0</v>
      </c>
      <c r="F202" s="7">
        <v>0</v>
      </c>
      <c r="G202" s="7">
        <v>0</v>
      </c>
      <c r="H202" s="7">
        <v>0</v>
      </c>
      <c r="I202" s="7">
        <v>0</v>
      </c>
      <c r="J202" s="7">
        <v>0</v>
      </c>
      <c r="K202" s="7">
        <v>0</v>
      </c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</row>
    <row r="203" spans="1:17">
      <c r="A203" s="2">
        <v>2151</v>
      </c>
      <c r="B203" s="7">
        <v>0</v>
      </c>
      <c r="C203" s="7">
        <v>0</v>
      </c>
      <c r="D203" s="7">
        <v>0</v>
      </c>
      <c r="E203" s="7">
        <v>0</v>
      </c>
      <c r="F203" s="7">
        <v>0</v>
      </c>
      <c r="G203" s="7">
        <v>0</v>
      </c>
      <c r="H203" s="7">
        <v>0</v>
      </c>
      <c r="I203" s="7">
        <v>0</v>
      </c>
      <c r="J203" s="7">
        <v>0</v>
      </c>
      <c r="K203" s="7">
        <v>0</v>
      </c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</row>
    <row r="204" spans="1:17">
      <c r="A204" s="2">
        <v>2152</v>
      </c>
      <c r="B204" s="7">
        <v>0</v>
      </c>
      <c r="C204" s="7">
        <v>0</v>
      </c>
      <c r="D204" s="7">
        <v>0</v>
      </c>
      <c r="E204" s="7">
        <v>0</v>
      </c>
      <c r="F204" s="7">
        <v>0</v>
      </c>
      <c r="G204" s="7">
        <v>0</v>
      </c>
      <c r="H204" s="7">
        <v>0</v>
      </c>
      <c r="I204" s="7">
        <v>0</v>
      </c>
      <c r="J204" s="7">
        <v>0</v>
      </c>
      <c r="K204" s="7">
        <v>0</v>
      </c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</row>
    <row r="205" spans="1:17">
      <c r="A205" s="2">
        <v>2153</v>
      </c>
      <c r="B205" s="7">
        <v>0</v>
      </c>
      <c r="C205" s="7">
        <v>0</v>
      </c>
      <c r="D205" s="7">
        <v>0</v>
      </c>
      <c r="E205" s="7">
        <v>0</v>
      </c>
      <c r="F205" s="7">
        <v>0</v>
      </c>
      <c r="G205" s="7">
        <v>0</v>
      </c>
      <c r="H205" s="7">
        <v>0</v>
      </c>
      <c r="I205" s="7">
        <v>0</v>
      </c>
      <c r="J205" s="7">
        <v>0</v>
      </c>
      <c r="K205" s="7">
        <v>0</v>
      </c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</row>
    <row r="206" spans="1:17">
      <c r="A206" s="2">
        <v>2154</v>
      </c>
      <c r="B206" s="7">
        <v>0</v>
      </c>
      <c r="C206" s="7">
        <v>0</v>
      </c>
      <c r="D206" s="7">
        <v>0</v>
      </c>
      <c r="E206" s="7">
        <v>0</v>
      </c>
      <c r="F206" s="7">
        <v>0</v>
      </c>
      <c r="G206" s="7">
        <v>0</v>
      </c>
      <c r="H206" s="7">
        <v>0</v>
      </c>
      <c r="I206" s="7">
        <v>0</v>
      </c>
      <c r="J206" s="7">
        <v>0</v>
      </c>
      <c r="K206" s="7">
        <v>0</v>
      </c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</row>
    <row r="207" spans="1:17">
      <c r="A207" s="2">
        <v>2155</v>
      </c>
      <c r="B207" s="7">
        <v>0</v>
      </c>
      <c r="C207" s="7">
        <v>0</v>
      </c>
      <c r="D207" s="7">
        <v>0</v>
      </c>
      <c r="E207" s="7">
        <v>0</v>
      </c>
      <c r="F207" s="7">
        <v>0</v>
      </c>
      <c r="G207" s="7">
        <v>0</v>
      </c>
      <c r="H207" s="7">
        <v>0</v>
      </c>
      <c r="I207" s="7">
        <v>0</v>
      </c>
      <c r="J207" s="7">
        <v>0</v>
      </c>
      <c r="K207" s="7">
        <v>0</v>
      </c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</row>
    <row r="208" spans="1:17">
      <c r="A208" s="2">
        <v>2156</v>
      </c>
      <c r="B208" s="7">
        <v>0</v>
      </c>
      <c r="C208" s="7">
        <v>0</v>
      </c>
      <c r="D208" s="7">
        <v>0</v>
      </c>
      <c r="E208" s="7">
        <v>0</v>
      </c>
      <c r="F208" s="7">
        <v>0</v>
      </c>
      <c r="G208" s="7">
        <v>0</v>
      </c>
      <c r="H208" s="7">
        <v>0</v>
      </c>
      <c r="I208" s="7">
        <v>0</v>
      </c>
      <c r="J208" s="7">
        <v>0</v>
      </c>
      <c r="K208" s="7">
        <v>0</v>
      </c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</row>
    <row r="209" spans="1:17">
      <c r="A209" s="2">
        <v>2157</v>
      </c>
      <c r="B209" s="7">
        <v>0</v>
      </c>
      <c r="C209" s="7">
        <v>0</v>
      </c>
      <c r="D209" s="7">
        <v>0</v>
      </c>
      <c r="E209" s="7">
        <v>0</v>
      </c>
      <c r="F209" s="7">
        <v>0</v>
      </c>
      <c r="G209" s="7">
        <v>0</v>
      </c>
      <c r="H209" s="7">
        <v>0</v>
      </c>
      <c r="I209" s="7">
        <v>0</v>
      </c>
      <c r="J209" s="7">
        <v>0</v>
      </c>
      <c r="K209" s="7">
        <v>0</v>
      </c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</row>
    <row r="210" spans="1:17">
      <c r="A210" s="2">
        <v>2158</v>
      </c>
      <c r="B210" s="7">
        <v>0</v>
      </c>
      <c r="C210" s="7">
        <v>0</v>
      </c>
      <c r="D210" s="7">
        <v>0</v>
      </c>
      <c r="E210" s="7">
        <v>0</v>
      </c>
      <c r="F210" s="7">
        <v>0</v>
      </c>
      <c r="G210" s="7">
        <v>0</v>
      </c>
      <c r="H210" s="7">
        <v>0</v>
      </c>
      <c r="I210" s="7">
        <v>0</v>
      </c>
      <c r="J210" s="7">
        <v>0</v>
      </c>
      <c r="K210" s="7">
        <v>0</v>
      </c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</row>
    <row r="211" spans="1:17">
      <c r="A211" s="2">
        <v>2159</v>
      </c>
      <c r="B211" s="7">
        <v>0</v>
      </c>
      <c r="C211" s="7">
        <v>0</v>
      </c>
      <c r="D211" s="7">
        <v>0</v>
      </c>
      <c r="E211" s="7">
        <v>0</v>
      </c>
      <c r="F211" s="7">
        <v>0</v>
      </c>
      <c r="G211" s="7">
        <v>0</v>
      </c>
      <c r="H211" s="7">
        <v>0</v>
      </c>
      <c r="I211" s="7">
        <v>0</v>
      </c>
      <c r="J211" s="7">
        <v>0</v>
      </c>
      <c r="K211" s="7">
        <v>0</v>
      </c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</row>
    <row r="212" spans="1:17">
      <c r="A212" s="2">
        <v>2160</v>
      </c>
      <c r="B212" s="7">
        <v>0</v>
      </c>
      <c r="C212" s="7">
        <v>0</v>
      </c>
      <c r="D212" s="7">
        <v>0</v>
      </c>
      <c r="E212" s="7">
        <v>0</v>
      </c>
      <c r="F212" s="7">
        <v>0</v>
      </c>
      <c r="G212" s="7">
        <v>0</v>
      </c>
      <c r="H212" s="7">
        <v>0</v>
      </c>
      <c r="I212" s="7">
        <v>0</v>
      </c>
      <c r="J212" s="7">
        <v>0</v>
      </c>
      <c r="K212" s="7">
        <v>0</v>
      </c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</row>
    <row r="213" spans="1:17">
      <c r="A213" s="2">
        <v>2161</v>
      </c>
      <c r="B213" s="7">
        <v>0</v>
      </c>
      <c r="C213" s="7">
        <v>0</v>
      </c>
      <c r="D213" s="7">
        <v>0</v>
      </c>
      <c r="E213" s="7">
        <v>0</v>
      </c>
      <c r="F213" s="7">
        <v>0</v>
      </c>
      <c r="G213" s="7">
        <v>0</v>
      </c>
      <c r="H213" s="7">
        <v>0</v>
      </c>
      <c r="I213" s="7">
        <v>0</v>
      </c>
      <c r="J213" s="7">
        <v>0</v>
      </c>
      <c r="K213" s="7">
        <v>0</v>
      </c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</row>
    <row r="214" spans="1:17">
      <c r="A214" s="2">
        <v>2162</v>
      </c>
      <c r="B214" s="7">
        <v>0</v>
      </c>
      <c r="C214" s="7">
        <v>0</v>
      </c>
      <c r="D214" s="7">
        <v>0</v>
      </c>
      <c r="E214" s="7">
        <v>0</v>
      </c>
      <c r="F214" s="7">
        <v>0</v>
      </c>
      <c r="G214" s="7">
        <v>0</v>
      </c>
      <c r="H214" s="7">
        <v>0</v>
      </c>
      <c r="I214" s="7">
        <v>0</v>
      </c>
      <c r="J214" s="7">
        <v>0</v>
      </c>
      <c r="K214" s="7">
        <v>0</v>
      </c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</row>
    <row r="215" spans="1:17">
      <c r="A215" s="2">
        <v>2163</v>
      </c>
      <c r="B215" s="7">
        <v>0</v>
      </c>
      <c r="C215" s="7">
        <v>0</v>
      </c>
      <c r="D215" s="7">
        <v>0</v>
      </c>
      <c r="E215" s="7">
        <v>0</v>
      </c>
      <c r="F215" s="7">
        <v>0</v>
      </c>
      <c r="G215" s="7">
        <v>0</v>
      </c>
      <c r="H215" s="7">
        <v>0</v>
      </c>
      <c r="I215" s="7">
        <v>0</v>
      </c>
      <c r="J215" s="7">
        <v>0</v>
      </c>
      <c r="K215" s="7">
        <v>0</v>
      </c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</row>
    <row r="216" spans="1:17">
      <c r="A216" s="2">
        <v>2164</v>
      </c>
      <c r="B216" s="7">
        <v>0</v>
      </c>
      <c r="C216" s="7">
        <v>0</v>
      </c>
      <c r="D216" s="7">
        <v>0</v>
      </c>
      <c r="E216" s="7">
        <v>0</v>
      </c>
      <c r="F216" s="7">
        <v>0</v>
      </c>
      <c r="G216" s="7">
        <v>0</v>
      </c>
      <c r="H216" s="7">
        <v>0</v>
      </c>
      <c r="I216" s="7">
        <v>0</v>
      </c>
      <c r="J216" s="7">
        <v>0</v>
      </c>
      <c r="K216" s="7">
        <v>0</v>
      </c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</row>
    <row r="217" spans="1:17">
      <c r="A217" s="2">
        <v>2165</v>
      </c>
      <c r="B217" s="7">
        <v>0</v>
      </c>
      <c r="C217" s="7">
        <v>0</v>
      </c>
      <c r="D217" s="7">
        <v>0</v>
      </c>
      <c r="E217" s="7">
        <v>0</v>
      </c>
      <c r="F217" s="7">
        <v>0</v>
      </c>
      <c r="G217" s="7">
        <v>0</v>
      </c>
      <c r="H217" s="7">
        <v>0</v>
      </c>
      <c r="I217" s="7">
        <v>0</v>
      </c>
      <c r="J217" s="7">
        <v>0</v>
      </c>
      <c r="K217" s="7">
        <v>0</v>
      </c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</row>
    <row r="218" spans="1:17">
      <c r="A218" s="2">
        <v>2166</v>
      </c>
      <c r="B218" s="7">
        <v>0</v>
      </c>
      <c r="C218" s="7">
        <v>0</v>
      </c>
      <c r="D218" s="7">
        <v>0</v>
      </c>
      <c r="E218" s="7">
        <v>0</v>
      </c>
      <c r="F218" s="7">
        <v>0</v>
      </c>
      <c r="G218" s="7">
        <v>0</v>
      </c>
      <c r="H218" s="7">
        <v>0</v>
      </c>
      <c r="I218" s="7">
        <v>0</v>
      </c>
      <c r="J218" s="7">
        <v>0</v>
      </c>
      <c r="K218" s="7">
        <v>0</v>
      </c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</row>
    <row r="219" spans="1:17">
      <c r="A219" s="2">
        <v>2167</v>
      </c>
      <c r="B219" s="7">
        <v>0</v>
      </c>
      <c r="C219" s="7">
        <v>0</v>
      </c>
      <c r="D219" s="7">
        <v>0</v>
      </c>
      <c r="E219" s="7">
        <v>0</v>
      </c>
      <c r="F219" s="7">
        <v>0</v>
      </c>
      <c r="G219" s="7">
        <v>0</v>
      </c>
      <c r="H219" s="7">
        <v>0</v>
      </c>
      <c r="I219" s="7">
        <v>0</v>
      </c>
      <c r="J219" s="7">
        <v>0</v>
      </c>
      <c r="K219" s="7">
        <v>0</v>
      </c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</row>
    <row r="220" spans="1:17">
      <c r="A220" s="2">
        <v>2168</v>
      </c>
      <c r="B220" s="7">
        <v>0</v>
      </c>
      <c r="C220" s="7">
        <v>0</v>
      </c>
      <c r="D220" s="7">
        <v>0</v>
      </c>
      <c r="E220" s="7">
        <v>0</v>
      </c>
      <c r="F220" s="7">
        <v>0</v>
      </c>
      <c r="G220" s="7">
        <v>0</v>
      </c>
      <c r="H220" s="7">
        <v>0</v>
      </c>
      <c r="I220" s="7">
        <v>0</v>
      </c>
      <c r="J220" s="7">
        <v>0</v>
      </c>
      <c r="K220" s="7">
        <v>0</v>
      </c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</row>
    <row r="221" spans="1:17">
      <c r="A221" s="2">
        <v>2169</v>
      </c>
      <c r="B221" s="7">
        <v>0</v>
      </c>
      <c r="C221" s="7">
        <v>0</v>
      </c>
      <c r="D221" s="7">
        <v>0</v>
      </c>
      <c r="E221" s="7">
        <v>0</v>
      </c>
      <c r="F221" s="7">
        <v>0</v>
      </c>
      <c r="G221" s="7">
        <v>0</v>
      </c>
      <c r="H221" s="7">
        <v>0</v>
      </c>
      <c r="I221" s="7">
        <v>0</v>
      </c>
      <c r="J221" s="7">
        <v>0</v>
      </c>
      <c r="K221" s="7">
        <v>0</v>
      </c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</row>
    <row r="222" spans="1:17">
      <c r="A222" s="2">
        <v>2170</v>
      </c>
      <c r="B222" s="7">
        <v>0</v>
      </c>
      <c r="C222" s="7">
        <v>0</v>
      </c>
      <c r="D222" s="7">
        <v>0</v>
      </c>
      <c r="E222" s="7">
        <v>0</v>
      </c>
      <c r="F222" s="7">
        <v>0</v>
      </c>
      <c r="G222" s="7">
        <v>0</v>
      </c>
      <c r="H222" s="7">
        <v>0</v>
      </c>
      <c r="I222" s="7">
        <v>0</v>
      </c>
      <c r="J222" s="7">
        <v>0</v>
      </c>
      <c r="K222" s="7">
        <v>0</v>
      </c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</row>
    <row r="223" spans="1:17">
      <c r="A223" s="2">
        <v>2171</v>
      </c>
      <c r="B223" s="7">
        <v>0</v>
      </c>
      <c r="C223" s="7">
        <v>0</v>
      </c>
      <c r="D223" s="7">
        <v>0</v>
      </c>
      <c r="E223" s="7">
        <v>0</v>
      </c>
      <c r="F223" s="7">
        <v>0</v>
      </c>
      <c r="G223" s="7">
        <v>0</v>
      </c>
      <c r="H223" s="7">
        <v>0</v>
      </c>
      <c r="I223" s="7">
        <v>0</v>
      </c>
      <c r="J223" s="7">
        <v>0</v>
      </c>
      <c r="K223" s="7">
        <v>0</v>
      </c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</row>
    <row r="224" spans="1:17">
      <c r="A224" s="2">
        <v>2172</v>
      </c>
      <c r="B224" s="7">
        <v>0</v>
      </c>
      <c r="C224" s="7">
        <v>0</v>
      </c>
      <c r="D224" s="7">
        <v>0</v>
      </c>
      <c r="E224" s="7">
        <v>0</v>
      </c>
      <c r="F224" s="7">
        <v>0</v>
      </c>
      <c r="G224" s="7">
        <v>0</v>
      </c>
      <c r="H224" s="7">
        <v>0</v>
      </c>
      <c r="I224" s="7">
        <v>0</v>
      </c>
      <c r="J224" s="7">
        <v>0</v>
      </c>
      <c r="K224" s="7">
        <v>0</v>
      </c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</row>
    <row r="225" spans="1:17">
      <c r="A225" s="2">
        <v>2173</v>
      </c>
      <c r="B225" s="7">
        <v>0</v>
      </c>
      <c r="C225" s="7">
        <v>0</v>
      </c>
      <c r="D225" s="7">
        <v>0</v>
      </c>
      <c r="E225" s="7">
        <v>0</v>
      </c>
      <c r="F225" s="7">
        <v>0</v>
      </c>
      <c r="G225" s="7">
        <v>0</v>
      </c>
      <c r="H225" s="7">
        <v>0</v>
      </c>
      <c r="I225" s="7">
        <v>0</v>
      </c>
      <c r="J225" s="7">
        <v>0</v>
      </c>
      <c r="K225" s="7">
        <v>0</v>
      </c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</row>
    <row r="226" spans="1:17">
      <c r="A226" s="2">
        <v>2174</v>
      </c>
      <c r="B226" s="7">
        <v>0</v>
      </c>
      <c r="C226" s="7">
        <v>0</v>
      </c>
      <c r="D226" s="7">
        <v>0</v>
      </c>
      <c r="E226" s="7">
        <v>0</v>
      </c>
      <c r="F226" s="7">
        <v>0</v>
      </c>
      <c r="G226" s="7">
        <v>0</v>
      </c>
      <c r="H226" s="7">
        <v>0</v>
      </c>
      <c r="I226" s="7">
        <v>0</v>
      </c>
      <c r="J226" s="7">
        <v>0</v>
      </c>
      <c r="K226" s="7">
        <v>0</v>
      </c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</row>
    <row r="227" spans="1:17">
      <c r="A227" s="2">
        <v>2175</v>
      </c>
      <c r="B227" s="7">
        <v>0</v>
      </c>
      <c r="C227" s="7">
        <v>0</v>
      </c>
      <c r="D227" s="7">
        <v>0</v>
      </c>
      <c r="E227" s="7">
        <v>0</v>
      </c>
      <c r="F227" s="7">
        <v>0</v>
      </c>
      <c r="G227" s="7">
        <v>0</v>
      </c>
      <c r="H227" s="7">
        <v>0</v>
      </c>
      <c r="I227" s="7">
        <v>0</v>
      </c>
      <c r="J227" s="7">
        <v>0</v>
      </c>
      <c r="K227" s="7">
        <v>0</v>
      </c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</row>
    <row r="228" spans="1:17">
      <c r="A228" s="2">
        <v>2176</v>
      </c>
      <c r="B228" s="7">
        <v>0</v>
      </c>
      <c r="C228" s="7">
        <v>0</v>
      </c>
      <c r="D228" s="7">
        <v>0</v>
      </c>
      <c r="E228" s="7">
        <v>0</v>
      </c>
      <c r="F228" s="7">
        <v>0</v>
      </c>
      <c r="G228" s="7">
        <v>0</v>
      </c>
      <c r="H228" s="7">
        <v>0</v>
      </c>
      <c r="I228" s="7">
        <v>0</v>
      </c>
      <c r="J228" s="7">
        <v>0</v>
      </c>
      <c r="K228" s="7">
        <v>0</v>
      </c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</row>
    <row r="229" spans="1:17">
      <c r="A229" s="2">
        <v>2177</v>
      </c>
      <c r="B229" s="7">
        <v>0</v>
      </c>
      <c r="C229" s="7">
        <v>0</v>
      </c>
      <c r="D229" s="7">
        <v>0</v>
      </c>
      <c r="E229" s="7">
        <v>0</v>
      </c>
      <c r="F229" s="7">
        <v>0</v>
      </c>
      <c r="G229" s="7">
        <v>0</v>
      </c>
      <c r="H229" s="7">
        <v>0</v>
      </c>
      <c r="I229" s="7">
        <v>0</v>
      </c>
      <c r="J229" s="7">
        <v>0</v>
      </c>
      <c r="K229" s="7">
        <v>0</v>
      </c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</row>
    <row r="230" spans="1:17">
      <c r="A230" s="2">
        <v>2178</v>
      </c>
      <c r="B230" s="7">
        <v>0</v>
      </c>
      <c r="C230" s="7">
        <v>0</v>
      </c>
      <c r="D230" s="7">
        <v>0</v>
      </c>
      <c r="E230" s="7">
        <v>0</v>
      </c>
      <c r="F230" s="7">
        <v>0</v>
      </c>
      <c r="G230" s="7">
        <v>0</v>
      </c>
      <c r="H230" s="7">
        <v>0</v>
      </c>
      <c r="I230" s="7">
        <v>0</v>
      </c>
      <c r="J230" s="7">
        <v>0</v>
      </c>
      <c r="K230" s="7">
        <v>0</v>
      </c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</row>
    <row r="231" spans="1:17">
      <c r="A231" s="2">
        <v>2179</v>
      </c>
      <c r="B231" s="7">
        <v>0</v>
      </c>
      <c r="C231" s="7">
        <v>0</v>
      </c>
      <c r="D231" s="7">
        <v>0</v>
      </c>
      <c r="E231" s="7">
        <v>0</v>
      </c>
      <c r="F231" s="7">
        <v>0</v>
      </c>
      <c r="G231" s="7">
        <v>0</v>
      </c>
      <c r="H231" s="7">
        <v>0</v>
      </c>
      <c r="I231" s="7">
        <v>0</v>
      </c>
      <c r="J231" s="7">
        <v>0</v>
      </c>
      <c r="K231" s="7">
        <v>0</v>
      </c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</row>
    <row r="232" spans="1:17">
      <c r="A232" s="2">
        <v>2180</v>
      </c>
      <c r="B232" s="7">
        <v>0</v>
      </c>
      <c r="C232" s="7">
        <v>0</v>
      </c>
      <c r="D232" s="7">
        <v>0</v>
      </c>
      <c r="E232" s="7">
        <v>0</v>
      </c>
      <c r="F232" s="7">
        <v>0</v>
      </c>
      <c r="G232" s="7">
        <v>0</v>
      </c>
      <c r="H232" s="7">
        <v>0</v>
      </c>
      <c r="I232" s="7">
        <v>0</v>
      </c>
      <c r="J232" s="7">
        <v>0</v>
      </c>
      <c r="K232" s="7">
        <v>0</v>
      </c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</row>
    <row r="233" spans="1:17">
      <c r="A233" s="2">
        <v>2181</v>
      </c>
      <c r="B233" s="7">
        <v>0</v>
      </c>
      <c r="C233" s="7">
        <v>0</v>
      </c>
      <c r="D233" s="7">
        <v>0</v>
      </c>
      <c r="E233" s="7">
        <v>0</v>
      </c>
      <c r="F233" s="7">
        <v>0</v>
      </c>
      <c r="G233" s="7">
        <v>0</v>
      </c>
      <c r="H233" s="7">
        <v>0</v>
      </c>
      <c r="I233" s="7">
        <v>0</v>
      </c>
      <c r="J233" s="7">
        <v>0</v>
      </c>
      <c r="K233" s="7">
        <v>0</v>
      </c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</row>
    <row r="234" spans="1:17">
      <c r="A234" s="2">
        <v>2182</v>
      </c>
      <c r="B234" s="7">
        <v>0</v>
      </c>
      <c r="C234" s="7">
        <v>0</v>
      </c>
      <c r="D234" s="7">
        <v>0</v>
      </c>
      <c r="E234" s="7">
        <v>0</v>
      </c>
      <c r="F234" s="7">
        <v>0</v>
      </c>
      <c r="G234" s="7">
        <v>0</v>
      </c>
      <c r="H234" s="7">
        <v>0</v>
      </c>
      <c r="I234" s="7">
        <v>0</v>
      </c>
      <c r="J234" s="7">
        <v>0</v>
      </c>
      <c r="K234" s="7">
        <v>0</v>
      </c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</row>
    <row r="235" spans="1:17">
      <c r="A235" s="2">
        <v>2183</v>
      </c>
      <c r="B235" s="7">
        <v>0</v>
      </c>
      <c r="C235" s="7">
        <v>0</v>
      </c>
      <c r="D235" s="7">
        <v>0</v>
      </c>
      <c r="E235" s="7">
        <v>0</v>
      </c>
      <c r="F235" s="7">
        <v>0</v>
      </c>
      <c r="G235" s="7">
        <v>0</v>
      </c>
      <c r="H235" s="7">
        <v>0</v>
      </c>
      <c r="I235" s="7">
        <v>0</v>
      </c>
      <c r="J235" s="7">
        <v>0</v>
      </c>
      <c r="K235" s="7">
        <v>0</v>
      </c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</row>
    <row r="236" spans="1:17">
      <c r="A236" s="2">
        <v>2184</v>
      </c>
      <c r="B236" s="7">
        <v>0</v>
      </c>
      <c r="C236" s="7">
        <v>0</v>
      </c>
      <c r="D236" s="7">
        <v>0</v>
      </c>
      <c r="E236" s="7">
        <v>0</v>
      </c>
      <c r="F236" s="7">
        <v>0</v>
      </c>
      <c r="G236" s="7">
        <v>0</v>
      </c>
      <c r="H236" s="7">
        <v>0</v>
      </c>
      <c r="I236" s="7">
        <v>0</v>
      </c>
      <c r="J236" s="7">
        <v>0</v>
      </c>
      <c r="K236" s="7">
        <v>0</v>
      </c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</row>
    <row r="237" spans="1:17">
      <c r="A237" s="2">
        <v>2185</v>
      </c>
      <c r="B237" s="7">
        <v>0</v>
      </c>
      <c r="C237" s="7">
        <v>0</v>
      </c>
      <c r="D237" s="7">
        <v>0</v>
      </c>
      <c r="E237" s="7">
        <v>0</v>
      </c>
      <c r="F237" s="7">
        <v>0</v>
      </c>
      <c r="G237" s="7">
        <v>0</v>
      </c>
      <c r="H237" s="7">
        <v>0</v>
      </c>
      <c r="I237" s="7">
        <v>0</v>
      </c>
      <c r="J237" s="7">
        <v>0</v>
      </c>
      <c r="K237" s="7">
        <v>0</v>
      </c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</row>
    <row r="238" spans="1:17">
      <c r="A238" s="2">
        <v>2186</v>
      </c>
      <c r="B238" s="7">
        <v>0</v>
      </c>
      <c r="C238" s="7">
        <v>0</v>
      </c>
      <c r="D238" s="7">
        <v>0</v>
      </c>
      <c r="E238" s="7">
        <v>0</v>
      </c>
      <c r="F238" s="7">
        <v>0</v>
      </c>
      <c r="G238" s="7">
        <v>0</v>
      </c>
      <c r="H238" s="7">
        <v>0</v>
      </c>
      <c r="I238" s="7">
        <v>0</v>
      </c>
      <c r="J238" s="7">
        <v>0</v>
      </c>
      <c r="K238" s="7">
        <v>0</v>
      </c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</row>
    <row r="239" spans="1:17">
      <c r="A239" s="2">
        <v>2187</v>
      </c>
      <c r="B239" s="7">
        <v>0</v>
      </c>
      <c r="C239" s="7">
        <v>0</v>
      </c>
      <c r="D239" s="7">
        <v>0</v>
      </c>
      <c r="E239" s="7">
        <v>0</v>
      </c>
      <c r="F239" s="7">
        <v>0</v>
      </c>
      <c r="G239" s="7">
        <v>0</v>
      </c>
      <c r="H239" s="7">
        <v>0</v>
      </c>
      <c r="I239" s="7">
        <v>0</v>
      </c>
      <c r="J239" s="7">
        <v>0</v>
      </c>
      <c r="K239" s="7">
        <v>0</v>
      </c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</row>
    <row r="240" spans="1:17">
      <c r="A240" s="2">
        <v>2188</v>
      </c>
      <c r="B240" s="7">
        <v>0</v>
      </c>
      <c r="C240" s="7">
        <v>0</v>
      </c>
      <c r="D240" s="7">
        <v>0</v>
      </c>
      <c r="E240" s="7">
        <v>0</v>
      </c>
      <c r="F240" s="7">
        <v>0</v>
      </c>
      <c r="G240" s="7">
        <v>0</v>
      </c>
      <c r="H240" s="7">
        <v>0</v>
      </c>
      <c r="I240" s="7">
        <v>0</v>
      </c>
      <c r="J240" s="7">
        <v>0</v>
      </c>
      <c r="K240" s="7">
        <v>0</v>
      </c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</row>
    <row r="241" spans="1:17">
      <c r="A241" s="2">
        <v>2189</v>
      </c>
      <c r="B241" s="7">
        <v>0</v>
      </c>
      <c r="C241" s="7">
        <v>0</v>
      </c>
      <c r="D241" s="7">
        <v>0</v>
      </c>
      <c r="E241" s="7">
        <v>0</v>
      </c>
      <c r="F241" s="7">
        <v>0</v>
      </c>
      <c r="G241" s="7">
        <v>0</v>
      </c>
      <c r="H241" s="7">
        <v>0</v>
      </c>
      <c r="I241" s="7">
        <v>0</v>
      </c>
      <c r="J241" s="7">
        <v>0</v>
      </c>
      <c r="K241" s="7">
        <v>0</v>
      </c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</row>
    <row r="242" spans="1:17">
      <c r="A242" s="2">
        <v>2190</v>
      </c>
      <c r="B242" s="7">
        <v>0</v>
      </c>
      <c r="C242" s="7">
        <v>0</v>
      </c>
      <c r="D242" s="7">
        <v>0</v>
      </c>
      <c r="E242" s="7">
        <v>0</v>
      </c>
      <c r="F242" s="7">
        <v>0</v>
      </c>
      <c r="G242" s="7">
        <v>0</v>
      </c>
      <c r="H242" s="7">
        <v>0</v>
      </c>
      <c r="I242" s="7">
        <v>0</v>
      </c>
      <c r="J242" s="7">
        <v>0</v>
      </c>
      <c r="K242" s="7">
        <v>0</v>
      </c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</row>
    <row r="243" spans="1:17">
      <c r="A243" s="2">
        <v>2191</v>
      </c>
      <c r="B243" s="7">
        <v>0</v>
      </c>
      <c r="C243" s="7">
        <v>0</v>
      </c>
      <c r="D243" s="7">
        <v>0</v>
      </c>
      <c r="E243" s="7">
        <v>0</v>
      </c>
      <c r="F243" s="7">
        <v>0</v>
      </c>
      <c r="G243" s="7">
        <v>0</v>
      </c>
      <c r="H243" s="7">
        <v>0</v>
      </c>
      <c r="I243" s="7">
        <v>0</v>
      </c>
      <c r="J243" s="7">
        <v>0</v>
      </c>
      <c r="K243" s="7">
        <v>0</v>
      </c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</row>
    <row r="244" spans="1:17">
      <c r="A244" s="2">
        <v>2192</v>
      </c>
      <c r="B244" s="7">
        <v>0</v>
      </c>
      <c r="C244" s="7">
        <v>0</v>
      </c>
      <c r="D244" s="7">
        <v>0</v>
      </c>
      <c r="E244" s="7">
        <v>0</v>
      </c>
      <c r="F244" s="7">
        <v>0</v>
      </c>
      <c r="G244" s="7">
        <v>0</v>
      </c>
      <c r="H244" s="7">
        <v>0</v>
      </c>
      <c r="I244" s="7">
        <v>0</v>
      </c>
      <c r="J244" s="7">
        <v>0</v>
      </c>
      <c r="K244" s="7">
        <v>0</v>
      </c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</row>
    <row r="245" spans="1:17">
      <c r="A245" s="2">
        <v>2193</v>
      </c>
      <c r="B245" s="7">
        <v>0</v>
      </c>
      <c r="C245" s="7">
        <v>0</v>
      </c>
      <c r="D245" s="7">
        <v>0</v>
      </c>
      <c r="E245" s="7">
        <v>0</v>
      </c>
      <c r="F245" s="7">
        <v>0</v>
      </c>
      <c r="G245" s="7">
        <v>0</v>
      </c>
      <c r="H245" s="7">
        <v>0</v>
      </c>
      <c r="I245" s="7">
        <v>0</v>
      </c>
      <c r="J245" s="7">
        <v>0</v>
      </c>
      <c r="K245" s="7">
        <v>0</v>
      </c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</row>
    <row r="246" spans="1:17">
      <c r="A246" s="2">
        <v>2194</v>
      </c>
      <c r="B246" s="7">
        <v>0</v>
      </c>
      <c r="C246" s="7">
        <v>0</v>
      </c>
      <c r="D246" s="7">
        <v>0</v>
      </c>
      <c r="E246" s="7">
        <v>0</v>
      </c>
      <c r="F246" s="7">
        <v>0</v>
      </c>
      <c r="G246" s="7">
        <v>0</v>
      </c>
      <c r="H246" s="7">
        <v>0</v>
      </c>
      <c r="I246" s="7">
        <v>0</v>
      </c>
      <c r="J246" s="7">
        <v>0</v>
      </c>
      <c r="K246" s="7">
        <v>0</v>
      </c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</row>
    <row r="247" spans="1:17">
      <c r="A247" s="2">
        <v>2195</v>
      </c>
      <c r="B247" s="7">
        <v>0</v>
      </c>
      <c r="C247" s="7">
        <v>0</v>
      </c>
      <c r="D247" s="7">
        <v>0</v>
      </c>
      <c r="E247" s="7">
        <v>0</v>
      </c>
      <c r="F247" s="7">
        <v>0</v>
      </c>
      <c r="G247" s="7">
        <v>0</v>
      </c>
      <c r="H247" s="7">
        <v>0</v>
      </c>
      <c r="I247" s="7">
        <v>0</v>
      </c>
      <c r="J247" s="7">
        <v>0</v>
      </c>
      <c r="K247" s="7">
        <v>0</v>
      </c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</row>
    <row r="248" spans="1:17">
      <c r="A248" s="2">
        <v>2196</v>
      </c>
      <c r="B248" s="7">
        <v>0</v>
      </c>
      <c r="C248" s="7">
        <v>0</v>
      </c>
      <c r="D248" s="7">
        <v>0</v>
      </c>
      <c r="E248" s="7">
        <v>0</v>
      </c>
      <c r="F248" s="7">
        <v>0</v>
      </c>
      <c r="G248" s="7">
        <v>0</v>
      </c>
      <c r="H248" s="7">
        <v>0</v>
      </c>
      <c r="I248" s="7">
        <v>0</v>
      </c>
      <c r="J248" s="7">
        <v>0</v>
      </c>
      <c r="K248" s="7">
        <v>0</v>
      </c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</row>
    <row r="249" spans="1:17">
      <c r="A249" s="2">
        <v>2197</v>
      </c>
      <c r="B249" s="7">
        <v>0</v>
      </c>
      <c r="C249" s="7">
        <v>0</v>
      </c>
      <c r="D249" s="7">
        <v>0</v>
      </c>
      <c r="E249" s="7">
        <v>0</v>
      </c>
      <c r="F249" s="7">
        <v>0</v>
      </c>
      <c r="G249" s="7">
        <v>0</v>
      </c>
      <c r="H249" s="7">
        <v>0</v>
      </c>
      <c r="I249" s="7">
        <v>0</v>
      </c>
      <c r="J249" s="7">
        <v>0</v>
      </c>
      <c r="K249" s="7">
        <v>0</v>
      </c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</row>
    <row r="250" spans="1:17">
      <c r="A250" s="2">
        <v>2198</v>
      </c>
      <c r="B250" s="7">
        <v>0</v>
      </c>
      <c r="C250" s="7">
        <v>0</v>
      </c>
      <c r="D250" s="7">
        <v>0</v>
      </c>
      <c r="E250" s="7">
        <v>0</v>
      </c>
      <c r="F250" s="7">
        <v>0</v>
      </c>
      <c r="G250" s="7">
        <v>0</v>
      </c>
      <c r="H250" s="7">
        <v>0</v>
      </c>
      <c r="I250" s="7">
        <v>0</v>
      </c>
      <c r="J250" s="7">
        <v>0</v>
      </c>
      <c r="K250" s="7">
        <v>0</v>
      </c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</row>
    <row r="251" spans="1:17">
      <c r="A251" s="2">
        <v>2199</v>
      </c>
      <c r="B251" s="7">
        <v>0</v>
      </c>
      <c r="C251" s="7">
        <v>0</v>
      </c>
      <c r="D251" s="7">
        <v>0</v>
      </c>
      <c r="E251" s="7">
        <v>0</v>
      </c>
      <c r="F251" s="7">
        <v>0</v>
      </c>
      <c r="G251" s="7">
        <v>0</v>
      </c>
      <c r="H251" s="7">
        <v>0</v>
      </c>
      <c r="I251" s="7">
        <v>0</v>
      </c>
      <c r="J251" s="7">
        <v>0</v>
      </c>
      <c r="K251" s="7">
        <v>0</v>
      </c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</row>
    <row r="252" spans="1:17">
      <c r="A252" s="2">
        <v>2200</v>
      </c>
      <c r="B252" s="7">
        <v>0</v>
      </c>
      <c r="C252" s="7">
        <v>0</v>
      </c>
      <c r="D252" s="7">
        <v>0</v>
      </c>
      <c r="E252" s="7">
        <v>0</v>
      </c>
      <c r="F252" s="7">
        <v>0</v>
      </c>
      <c r="G252" s="7">
        <v>0</v>
      </c>
      <c r="H252" s="7">
        <v>0</v>
      </c>
      <c r="I252" s="7">
        <v>0</v>
      </c>
      <c r="J252" s="7">
        <v>0</v>
      </c>
      <c r="K252" s="7">
        <v>0</v>
      </c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</row>
    <row r="253" spans="1:17">
      <c r="A253" s="2">
        <v>2201</v>
      </c>
      <c r="B253" s="7">
        <v>0</v>
      </c>
      <c r="C253" s="7">
        <v>0</v>
      </c>
      <c r="D253" s="7">
        <v>0</v>
      </c>
      <c r="E253" s="7">
        <v>0</v>
      </c>
      <c r="F253" s="7">
        <v>0</v>
      </c>
      <c r="G253" s="7">
        <v>0</v>
      </c>
      <c r="H253" s="7">
        <v>0</v>
      </c>
      <c r="I253" s="7">
        <v>0</v>
      </c>
      <c r="J253" s="7">
        <v>0</v>
      </c>
      <c r="K253" s="7">
        <v>0</v>
      </c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</row>
    <row r="254" spans="1:17">
      <c r="A254" s="2">
        <v>2202</v>
      </c>
      <c r="B254" s="7">
        <v>0</v>
      </c>
      <c r="C254" s="7">
        <v>0</v>
      </c>
      <c r="D254" s="7">
        <v>0</v>
      </c>
      <c r="E254" s="7">
        <v>0</v>
      </c>
      <c r="F254" s="7">
        <v>0</v>
      </c>
      <c r="G254" s="7">
        <v>0</v>
      </c>
      <c r="H254" s="7">
        <v>0</v>
      </c>
      <c r="I254" s="7">
        <v>0</v>
      </c>
      <c r="J254" s="7">
        <v>0</v>
      </c>
      <c r="K254" s="7">
        <v>0</v>
      </c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</row>
    <row r="255" spans="1:17">
      <c r="A255" s="2">
        <v>2203</v>
      </c>
      <c r="B255" s="7">
        <v>0</v>
      </c>
      <c r="C255" s="7">
        <v>0</v>
      </c>
      <c r="D255" s="7">
        <v>0</v>
      </c>
      <c r="E255" s="7">
        <v>0</v>
      </c>
      <c r="F255" s="7">
        <v>0</v>
      </c>
      <c r="G255" s="7">
        <v>0</v>
      </c>
      <c r="H255" s="7">
        <v>0</v>
      </c>
      <c r="I255" s="7">
        <v>0</v>
      </c>
      <c r="J255" s="7">
        <v>0</v>
      </c>
      <c r="K255" s="7">
        <v>0</v>
      </c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</row>
    <row r="256" spans="1:17">
      <c r="A256" s="2">
        <v>2204</v>
      </c>
      <c r="B256" s="7">
        <v>0</v>
      </c>
      <c r="C256" s="7">
        <v>0</v>
      </c>
      <c r="D256" s="7">
        <v>0</v>
      </c>
      <c r="E256" s="7">
        <v>0</v>
      </c>
      <c r="F256" s="7">
        <v>0</v>
      </c>
      <c r="G256" s="7">
        <v>0</v>
      </c>
      <c r="H256" s="7">
        <v>0</v>
      </c>
      <c r="I256" s="7">
        <v>0</v>
      </c>
      <c r="J256" s="7">
        <v>0</v>
      </c>
      <c r="K256" s="7">
        <v>0</v>
      </c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</row>
    <row r="257" spans="1:17">
      <c r="A257" s="2">
        <v>2205</v>
      </c>
      <c r="B257" s="7">
        <v>0</v>
      </c>
      <c r="C257" s="7">
        <v>0</v>
      </c>
      <c r="D257" s="7">
        <v>0</v>
      </c>
      <c r="E257" s="7">
        <v>0</v>
      </c>
      <c r="F257" s="7">
        <v>0</v>
      </c>
      <c r="G257" s="7">
        <v>0</v>
      </c>
      <c r="H257" s="7">
        <v>0</v>
      </c>
      <c r="I257" s="7">
        <v>0</v>
      </c>
      <c r="J257" s="7">
        <v>0</v>
      </c>
      <c r="K257" s="7">
        <v>0</v>
      </c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</row>
    <row r="258" spans="1:17">
      <c r="A258" s="2">
        <v>2206</v>
      </c>
      <c r="B258" s="7">
        <v>0</v>
      </c>
      <c r="C258" s="7">
        <v>0</v>
      </c>
      <c r="D258" s="7">
        <v>0</v>
      </c>
      <c r="E258" s="7">
        <v>0</v>
      </c>
      <c r="F258" s="7">
        <v>0</v>
      </c>
      <c r="G258" s="7">
        <v>0</v>
      </c>
      <c r="H258" s="7">
        <v>0</v>
      </c>
      <c r="I258" s="7">
        <v>0</v>
      </c>
      <c r="J258" s="7">
        <v>0</v>
      </c>
      <c r="K258" s="7">
        <v>0</v>
      </c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</row>
    <row r="259" spans="1:17">
      <c r="A259" s="2">
        <v>2207</v>
      </c>
      <c r="B259" s="7">
        <v>0</v>
      </c>
      <c r="C259" s="7">
        <v>0</v>
      </c>
      <c r="D259" s="7">
        <v>0</v>
      </c>
      <c r="E259" s="7">
        <v>0</v>
      </c>
      <c r="F259" s="7">
        <v>0</v>
      </c>
      <c r="G259" s="7">
        <v>0</v>
      </c>
      <c r="H259" s="7">
        <v>0</v>
      </c>
      <c r="I259" s="7">
        <v>0</v>
      </c>
      <c r="J259" s="7">
        <v>0</v>
      </c>
      <c r="K259" s="7">
        <v>0</v>
      </c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</row>
    <row r="260" spans="1:17">
      <c r="A260" s="2">
        <v>2208</v>
      </c>
      <c r="B260" s="7">
        <v>0</v>
      </c>
      <c r="C260" s="7">
        <v>0</v>
      </c>
      <c r="D260" s="7">
        <v>0</v>
      </c>
      <c r="E260" s="7">
        <v>0</v>
      </c>
      <c r="F260" s="7">
        <v>0</v>
      </c>
      <c r="G260" s="7">
        <v>0</v>
      </c>
      <c r="H260" s="7">
        <v>0</v>
      </c>
      <c r="I260" s="7">
        <v>0</v>
      </c>
      <c r="J260" s="7">
        <v>0</v>
      </c>
      <c r="K260" s="7">
        <v>0</v>
      </c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</row>
    <row r="261" spans="1:17">
      <c r="A261" s="2">
        <v>2209</v>
      </c>
      <c r="B261" s="7">
        <v>0</v>
      </c>
      <c r="C261" s="7">
        <v>0</v>
      </c>
      <c r="D261" s="7">
        <v>0</v>
      </c>
      <c r="E261" s="7">
        <v>0</v>
      </c>
      <c r="F261" s="7">
        <v>0</v>
      </c>
      <c r="G261" s="7">
        <v>0</v>
      </c>
      <c r="H261" s="7">
        <v>0</v>
      </c>
      <c r="I261" s="7">
        <v>0</v>
      </c>
      <c r="J261" s="7">
        <v>0</v>
      </c>
      <c r="K261" s="7">
        <v>0</v>
      </c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</row>
    <row r="262" spans="1:17">
      <c r="A262" s="2">
        <v>2210</v>
      </c>
      <c r="B262" s="7">
        <v>0</v>
      </c>
      <c r="C262" s="7">
        <v>0</v>
      </c>
      <c r="D262" s="7">
        <v>0</v>
      </c>
      <c r="E262" s="7">
        <v>0</v>
      </c>
      <c r="F262" s="7">
        <v>0</v>
      </c>
      <c r="G262" s="7">
        <v>0</v>
      </c>
      <c r="H262" s="7">
        <v>0</v>
      </c>
      <c r="I262" s="7">
        <v>0</v>
      </c>
      <c r="J262" s="7">
        <v>0</v>
      </c>
      <c r="K262" s="7">
        <v>0</v>
      </c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</row>
    <row r="263" spans="1:17">
      <c r="A263" s="2">
        <v>2211</v>
      </c>
      <c r="B263" s="7">
        <v>0</v>
      </c>
      <c r="C263" s="7">
        <v>0</v>
      </c>
      <c r="D263" s="7">
        <v>0</v>
      </c>
      <c r="E263" s="7">
        <v>0</v>
      </c>
      <c r="F263" s="7">
        <v>0</v>
      </c>
      <c r="G263" s="7">
        <v>0</v>
      </c>
      <c r="H263" s="7">
        <v>0</v>
      </c>
      <c r="I263" s="7">
        <v>0</v>
      </c>
      <c r="J263" s="7">
        <v>0</v>
      </c>
      <c r="K263" s="7">
        <v>0</v>
      </c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</row>
    <row r="264" spans="1:17">
      <c r="A264" s="2">
        <v>2212</v>
      </c>
      <c r="B264" s="7">
        <v>0</v>
      </c>
      <c r="C264" s="7">
        <v>0</v>
      </c>
      <c r="D264" s="7">
        <v>0</v>
      </c>
      <c r="E264" s="7">
        <v>0</v>
      </c>
      <c r="F264" s="7">
        <v>0</v>
      </c>
      <c r="G264" s="7">
        <v>0</v>
      </c>
      <c r="H264" s="7">
        <v>0</v>
      </c>
      <c r="I264" s="7">
        <v>0</v>
      </c>
      <c r="J264" s="7">
        <v>0</v>
      </c>
      <c r="K264" s="7">
        <v>0</v>
      </c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</row>
    <row r="265" spans="1:17">
      <c r="A265" s="2">
        <v>2213</v>
      </c>
      <c r="B265" s="7">
        <v>0</v>
      </c>
      <c r="C265" s="7">
        <v>0</v>
      </c>
      <c r="D265" s="7">
        <v>0</v>
      </c>
      <c r="E265" s="7">
        <v>0</v>
      </c>
      <c r="F265" s="7">
        <v>0</v>
      </c>
      <c r="G265" s="7">
        <v>0</v>
      </c>
      <c r="H265" s="7">
        <v>0</v>
      </c>
      <c r="I265" s="7">
        <v>0</v>
      </c>
      <c r="J265" s="7">
        <v>0</v>
      </c>
      <c r="K265" s="7">
        <v>0</v>
      </c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</row>
    <row r="266" spans="1:17">
      <c r="A266" s="2">
        <v>2214</v>
      </c>
      <c r="B266" s="7">
        <v>0</v>
      </c>
      <c r="C266" s="7">
        <v>0</v>
      </c>
      <c r="D266" s="7">
        <v>0</v>
      </c>
      <c r="E266" s="7">
        <v>0</v>
      </c>
      <c r="F266" s="7">
        <v>0</v>
      </c>
      <c r="G266" s="7">
        <v>0</v>
      </c>
      <c r="H266" s="7">
        <v>0</v>
      </c>
      <c r="I266" s="7">
        <v>0</v>
      </c>
      <c r="J266" s="7">
        <v>0</v>
      </c>
      <c r="K266" s="7">
        <v>0</v>
      </c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</row>
    <row r="267" spans="1:17">
      <c r="A267" s="2">
        <v>2215</v>
      </c>
      <c r="B267" s="7">
        <v>0</v>
      </c>
      <c r="C267" s="7">
        <v>0</v>
      </c>
      <c r="D267" s="7">
        <v>0</v>
      </c>
      <c r="E267" s="7">
        <v>0</v>
      </c>
      <c r="F267" s="7">
        <v>0</v>
      </c>
      <c r="G267" s="7">
        <v>0</v>
      </c>
      <c r="H267" s="7">
        <v>0</v>
      </c>
      <c r="I267" s="7">
        <v>0</v>
      </c>
      <c r="J267" s="7">
        <v>0</v>
      </c>
      <c r="K267" s="7">
        <v>0</v>
      </c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</row>
    <row r="268" spans="1:17">
      <c r="A268" s="2">
        <v>2216</v>
      </c>
      <c r="B268" s="7">
        <v>0</v>
      </c>
      <c r="C268" s="7">
        <v>0</v>
      </c>
      <c r="D268" s="7">
        <v>0</v>
      </c>
      <c r="E268" s="7">
        <v>0</v>
      </c>
      <c r="F268" s="7">
        <v>0</v>
      </c>
      <c r="G268" s="7">
        <v>0</v>
      </c>
      <c r="H268" s="7">
        <v>0</v>
      </c>
      <c r="I268" s="7">
        <v>0</v>
      </c>
      <c r="J268" s="7">
        <v>0</v>
      </c>
      <c r="K268" s="7">
        <v>0</v>
      </c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</row>
    <row r="269" spans="1:17">
      <c r="A269" s="2">
        <v>2217</v>
      </c>
      <c r="B269" s="7">
        <v>0</v>
      </c>
      <c r="C269" s="7">
        <v>0</v>
      </c>
      <c r="D269" s="7">
        <v>0</v>
      </c>
      <c r="E269" s="7">
        <v>0</v>
      </c>
      <c r="F269" s="7">
        <v>0</v>
      </c>
      <c r="G269" s="7">
        <v>0</v>
      </c>
      <c r="H269" s="7">
        <v>0</v>
      </c>
      <c r="I269" s="7">
        <v>0</v>
      </c>
      <c r="J269" s="7">
        <v>0</v>
      </c>
      <c r="K269" s="7">
        <v>0</v>
      </c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</row>
    <row r="270" spans="1:17">
      <c r="A270" s="2">
        <v>2218</v>
      </c>
      <c r="B270" s="7">
        <v>0</v>
      </c>
      <c r="C270" s="7">
        <v>0</v>
      </c>
      <c r="D270" s="7">
        <v>0</v>
      </c>
      <c r="E270" s="7">
        <v>0</v>
      </c>
      <c r="F270" s="7">
        <v>0</v>
      </c>
      <c r="G270" s="7">
        <v>0</v>
      </c>
      <c r="H270" s="7">
        <v>0</v>
      </c>
      <c r="I270" s="7">
        <v>0</v>
      </c>
      <c r="J270" s="7">
        <v>0</v>
      </c>
      <c r="K270" s="7">
        <v>0</v>
      </c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</row>
    <row r="271" spans="1:17">
      <c r="A271" s="2">
        <v>2219</v>
      </c>
      <c r="B271" s="7">
        <v>0</v>
      </c>
      <c r="C271" s="7">
        <v>0</v>
      </c>
      <c r="D271" s="7">
        <v>0</v>
      </c>
      <c r="E271" s="7">
        <v>0</v>
      </c>
      <c r="F271" s="7">
        <v>0</v>
      </c>
      <c r="G271" s="7">
        <v>0</v>
      </c>
      <c r="H271" s="7">
        <v>0</v>
      </c>
      <c r="I271" s="7">
        <v>0</v>
      </c>
      <c r="J271" s="7">
        <v>0</v>
      </c>
      <c r="K271" s="7">
        <v>0</v>
      </c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</row>
    <row r="272" spans="1:17">
      <c r="A272" s="2">
        <v>2220</v>
      </c>
      <c r="B272" s="7">
        <v>0</v>
      </c>
      <c r="C272" s="7">
        <v>0</v>
      </c>
      <c r="D272" s="7">
        <v>0</v>
      </c>
      <c r="E272" s="7">
        <v>0</v>
      </c>
      <c r="F272" s="7">
        <v>0</v>
      </c>
      <c r="G272" s="7">
        <v>0</v>
      </c>
      <c r="H272" s="7">
        <v>0</v>
      </c>
      <c r="I272" s="7">
        <v>0</v>
      </c>
      <c r="J272" s="7">
        <v>0</v>
      </c>
      <c r="K272" s="7">
        <v>0</v>
      </c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</row>
    <row r="273" spans="1:17">
      <c r="A273" s="2">
        <v>2221</v>
      </c>
      <c r="B273" s="7">
        <v>0</v>
      </c>
      <c r="C273" s="7">
        <v>0</v>
      </c>
      <c r="D273" s="7">
        <v>0</v>
      </c>
      <c r="E273" s="7">
        <v>0</v>
      </c>
      <c r="F273" s="7">
        <v>0</v>
      </c>
      <c r="G273" s="7">
        <v>0</v>
      </c>
      <c r="H273" s="7">
        <v>0</v>
      </c>
      <c r="I273" s="7">
        <v>0</v>
      </c>
      <c r="J273" s="7">
        <v>0</v>
      </c>
      <c r="K273" s="7">
        <v>0</v>
      </c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</row>
    <row r="274" spans="1:17">
      <c r="A274" s="2">
        <v>2222</v>
      </c>
      <c r="B274" s="7">
        <v>0</v>
      </c>
      <c r="C274" s="7">
        <v>0</v>
      </c>
      <c r="D274" s="7">
        <v>0</v>
      </c>
      <c r="E274" s="7">
        <v>0</v>
      </c>
      <c r="F274" s="7">
        <v>0</v>
      </c>
      <c r="G274" s="7">
        <v>0</v>
      </c>
      <c r="H274" s="7">
        <v>0</v>
      </c>
      <c r="I274" s="7">
        <v>0</v>
      </c>
      <c r="J274" s="7">
        <v>0</v>
      </c>
      <c r="K274" s="7">
        <v>0</v>
      </c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</row>
    <row r="275" spans="1:17">
      <c r="A275" s="2">
        <v>2223</v>
      </c>
      <c r="B275" s="7">
        <v>0</v>
      </c>
      <c r="C275" s="7">
        <v>0</v>
      </c>
      <c r="D275" s="7">
        <v>0</v>
      </c>
      <c r="E275" s="7">
        <v>0</v>
      </c>
      <c r="F275" s="7">
        <v>0</v>
      </c>
      <c r="G275" s="7">
        <v>0</v>
      </c>
      <c r="H275" s="7">
        <v>0</v>
      </c>
      <c r="I275" s="7">
        <v>0</v>
      </c>
      <c r="J275" s="7">
        <v>0</v>
      </c>
      <c r="K275" s="7">
        <v>0</v>
      </c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</row>
    <row r="276" spans="1:17">
      <c r="A276" s="2">
        <v>2224</v>
      </c>
      <c r="B276" s="7">
        <v>0</v>
      </c>
      <c r="C276" s="7">
        <v>0</v>
      </c>
      <c r="D276" s="7">
        <v>0</v>
      </c>
      <c r="E276" s="7">
        <v>0</v>
      </c>
      <c r="F276" s="7">
        <v>0</v>
      </c>
      <c r="G276" s="7">
        <v>0</v>
      </c>
      <c r="H276" s="7">
        <v>0</v>
      </c>
      <c r="I276" s="7">
        <v>0</v>
      </c>
      <c r="J276" s="7">
        <v>0</v>
      </c>
      <c r="K276" s="7">
        <v>0</v>
      </c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</row>
    <row r="277" spans="1:17">
      <c r="A277" s="2">
        <v>2225</v>
      </c>
      <c r="B277" s="7">
        <v>0</v>
      </c>
      <c r="C277" s="7">
        <v>0</v>
      </c>
      <c r="D277" s="7">
        <v>0</v>
      </c>
      <c r="E277" s="7">
        <v>0</v>
      </c>
      <c r="F277" s="7">
        <v>0</v>
      </c>
      <c r="G277" s="7">
        <v>0</v>
      </c>
      <c r="H277" s="7">
        <v>0</v>
      </c>
      <c r="I277" s="7">
        <v>0</v>
      </c>
      <c r="J277" s="7">
        <v>0</v>
      </c>
      <c r="K277" s="7">
        <v>0</v>
      </c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</row>
    <row r="278" spans="1:17">
      <c r="A278" s="2">
        <v>2226</v>
      </c>
      <c r="B278" s="7">
        <v>0</v>
      </c>
      <c r="C278" s="7">
        <v>0</v>
      </c>
      <c r="D278" s="7">
        <v>0</v>
      </c>
      <c r="E278" s="7">
        <v>0</v>
      </c>
      <c r="F278" s="7">
        <v>0</v>
      </c>
      <c r="G278" s="7">
        <v>0</v>
      </c>
      <c r="H278" s="7">
        <v>0</v>
      </c>
      <c r="I278" s="7">
        <v>0</v>
      </c>
      <c r="J278" s="7">
        <v>0</v>
      </c>
      <c r="K278" s="7">
        <v>0</v>
      </c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</row>
    <row r="279" spans="1:17">
      <c r="A279" s="2">
        <v>2227</v>
      </c>
      <c r="B279" s="7">
        <v>0</v>
      </c>
      <c r="C279" s="7">
        <v>0</v>
      </c>
      <c r="D279" s="7">
        <v>0</v>
      </c>
      <c r="E279" s="7">
        <v>0</v>
      </c>
      <c r="F279" s="7">
        <v>0</v>
      </c>
      <c r="G279" s="7">
        <v>0</v>
      </c>
      <c r="H279" s="7">
        <v>0</v>
      </c>
      <c r="I279" s="7">
        <v>0</v>
      </c>
      <c r="J279" s="7">
        <v>0</v>
      </c>
      <c r="K279" s="7">
        <v>0</v>
      </c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</row>
    <row r="280" spans="1:17">
      <c r="A280" s="2">
        <v>2228</v>
      </c>
      <c r="B280" s="7">
        <v>0</v>
      </c>
      <c r="C280" s="7">
        <v>0</v>
      </c>
      <c r="D280" s="7">
        <v>0</v>
      </c>
      <c r="E280" s="7">
        <v>0</v>
      </c>
      <c r="F280" s="7">
        <v>0</v>
      </c>
      <c r="G280" s="7">
        <v>0</v>
      </c>
      <c r="H280" s="7">
        <v>0</v>
      </c>
      <c r="I280" s="7">
        <v>0</v>
      </c>
      <c r="J280" s="7">
        <v>0</v>
      </c>
      <c r="K280" s="7">
        <v>0</v>
      </c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</row>
    <row r="281" spans="1:17">
      <c r="A281" s="2">
        <v>2229</v>
      </c>
      <c r="B281" s="7">
        <v>0</v>
      </c>
      <c r="C281" s="7">
        <v>0</v>
      </c>
      <c r="D281" s="7">
        <v>0</v>
      </c>
      <c r="E281" s="7">
        <v>0</v>
      </c>
      <c r="F281" s="7">
        <v>0</v>
      </c>
      <c r="G281" s="7">
        <v>0</v>
      </c>
      <c r="H281" s="7">
        <v>0</v>
      </c>
      <c r="I281" s="7">
        <v>0</v>
      </c>
      <c r="J281" s="7">
        <v>0</v>
      </c>
      <c r="K281" s="7">
        <v>0</v>
      </c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</row>
    <row r="282" spans="1:17">
      <c r="A282" s="2">
        <v>2230</v>
      </c>
      <c r="B282" s="7">
        <v>0</v>
      </c>
      <c r="C282" s="7">
        <v>0</v>
      </c>
      <c r="D282" s="7">
        <v>0</v>
      </c>
      <c r="E282" s="7">
        <v>0</v>
      </c>
      <c r="F282" s="7">
        <v>0</v>
      </c>
      <c r="G282" s="7">
        <v>0</v>
      </c>
      <c r="H282" s="7">
        <v>0</v>
      </c>
      <c r="I282" s="7">
        <v>0</v>
      </c>
      <c r="J282" s="7">
        <v>0</v>
      </c>
      <c r="K282" s="7">
        <v>0</v>
      </c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</row>
    <row r="283" spans="1:17">
      <c r="A283" s="2">
        <v>2231</v>
      </c>
      <c r="B283" s="7">
        <v>0</v>
      </c>
      <c r="C283" s="7">
        <v>0</v>
      </c>
      <c r="D283" s="7">
        <v>0</v>
      </c>
      <c r="E283" s="7">
        <v>0</v>
      </c>
      <c r="F283" s="7">
        <v>0</v>
      </c>
      <c r="G283" s="7">
        <v>0</v>
      </c>
      <c r="H283" s="7">
        <v>0</v>
      </c>
      <c r="I283" s="7">
        <v>0</v>
      </c>
      <c r="J283" s="7">
        <v>0</v>
      </c>
      <c r="K283" s="7">
        <v>0</v>
      </c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</row>
    <row r="284" spans="1:17">
      <c r="A284" s="2">
        <v>2232</v>
      </c>
      <c r="B284" s="7">
        <v>0</v>
      </c>
      <c r="C284" s="7">
        <v>0</v>
      </c>
      <c r="D284" s="7">
        <v>0</v>
      </c>
      <c r="E284" s="7">
        <v>0</v>
      </c>
      <c r="F284" s="7">
        <v>0</v>
      </c>
      <c r="G284" s="7">
        <v>0</v>
      </c>
      <c r="H284" s="7">
        <v>0</v>
      </c>
      <c r="I284" s="7">
        <v>0</v>
      </c>
      <c r="J284" s="7">
        <v>0</v>
      </c>
      <c r="K284" s="7">
        <v>0</v>
      </c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</row>
    <row r="285" spans="1:17">
      <c r="A285" s="2">
        <v>2233</v>
      </c>
      <c r="B285" s="7">
        <v>0</v>
      </c>
      <c r="C285" s="7">
        <v>0</v>
      </c>
      <c r="D285" s="7">
        <v>0</v>
      </c>
      <c r="E285" s="7">
        <v>0</v>
      </c>
      <c r="F285" s="7">
        <v>0</v>
      </c>
      <c r="G285" s="7">
        <v>0</v>
      </c>
      <c r="H285" s="7">
        <v>0</v>
      </c>
      <c r="I285" s="7">
        <v>0</v>
      </c>
      <c r="J285" s="7">
        <v>0</v>
      </c>
      <c r="K285" s="7">
        <v>0</v>
      </c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</row>
    <row r="286" spans="1:17">
      <c r="A286" s="2">
        <v>2234</v>
      </c>
      <c r="B286" s="7">
        <v>0</v>
      </c>
      <c r="C286" s="7">
        <v>0</v>
      </c>
      <c r="D286" s="7">
        <v>0</v>
      </c>
      <c r="E286" s="7">
        <v>0</v>
      </c>
      <c r="F286" s="7">
        <v>0</v>
      </c>
      <c r="G286" s="7">
        <v>0</v>
      </c>
      <c r="H286" s="7">
        <v>0</v>
      </c>
      <c r="I286" s="7">
        <v>0</v>
      </c>
      <c r="J286" s="7">
        <v>0</v>
      </c>
      <c r="K286" s="7">
        <v>0</v>
      </c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</row>
    <row r="287" spans="1:17">
      <c r="A287" s="2">
        <v>2235</v>
      </c>
      <c r="B287" s="7">
        <v>0</v>
      </c>
      <c r="C287" s="7">
        <v>0</v>
      </c>
      <c r="D287" s="7">
        <v>0</v>
      </c>
      <c r="E287" s="7">
        <v>0</v>
      </c>
      <c r="F287" s="7">
        <v>0</v>
      </c>
      <c r="G287" s="7">
        <v>0</v>
      </c>
      <c r="H287" s="7">
        <v>0</v>
      </c>
      <c r="I287" s="7">
        <v>0</v>
      </c>
      <c r="J287" s="7">
        <v>0</v>
      </c>
      <c r="K287" s="7">
        <v>0</v>
      </c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</row>
    <row r="288" spans="1:17">
      <c r="A288" s="2">
        <v>2236</v>
      </c>
      <c r="B288" s="7">
        <v>0</v>
      </c>
      <c r="C288" s="7">
        <v>0</v>
      </c>
      <c r="D288" s="7">
        <v>0</v>
      </c>
      <c r="E288" s="7">
        <v>0</v>
      </c>
      <c r="F288" s="7">
        <v>0</v>
      </c>
      <c r="G288" s="7">
        <v>0</v>
      </c>
      <c r="H288" s="7">
        <v>0</v>
      </c>
      <c r="I288" s="7">
        <v>0</v>
      </c>
      <c r="J288" s="7">
        <v>0</v>
      </c>
      <c r="K288" s="7">
        <v>0</v>
      </c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</row>
    <row r="289" spans="1:17">
      <c r="A289" s="2">
        <v>2237</v>
      </c>
      <c r="B289" s="7">
        <v>0</v>
      </c>
      <c r="C289" s="7">
        <v>0</v>
      </c>
      <c r="D289" s="7">
        <v>0</v>
      </c>
      <c r="E289" s="7">
        <v>0</v>
      </c>
      <c r="F289" s="7">
        <v>0</v>
      </c>
      <c r="G289" s="7">
        <v>0</v>
      </c>
      <c r="H289" s="7">
        <v>0</v>
      </c>
      <c r="I289" s="7">
        <v>0</v>
      </c>
      <c r="J289" s="7">
        <v>0</v>
      </c>
      <c r="K289" s="7">
        <v>0</v>
      </c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</row>
    <row r="290" spans="1:17">
      <c r="A290" s="2">
        <v>2238</v>
      </c>
      <c r="B290" s="7">
        <v>0</v>
      </c>
      <c r="C290" s="7">
        <v>0</v>
      </c>
      <c r="D290" s="7">
        <v>0</v>
      </c>
      <c r="E290" s="7">
        <v>0</v>
      </c>
      <c r="F290" s="7">
        <v>0</v>
      </c>
      <c r="G290" s="7">
        <v>0</v>
      </c>
      <c r="H290" s="7">
        <v>0</v>
      </c>
      <c r="I290" s="7">
        <v>0</v>
      </c>
      <c r="J290" s="7">
        <v>0</v>
      </c>
      <c r="K290" s="7">
        <v>0</v>
      </c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</row>
    <row r="291" spans="1:17">
      <c r="A291" s="2">
        <v>2239</v>
      </c>
      <c r="B291" s="7">
        <v>0</v>
      </c>
      <c r="C291" s="7">
        <v>0</v>
      </c>
      <c r="D291" s="7">
        <v>0</v>
      </c>
      <c r="E291" s="7">
        <v>0</v>
      </c>
      <c r="F291" s="7">
        <v>0</v>
      </c>
      <c r="G291" s="7">
        <v>0</v>
      </c>
      <c r="H291" s="7">
        <v>0</v>
      </c>
      <c r="I291" s="7">
        <v>0</v>
      </c>
      <c r="J291" s="7">
        <v>0</v>
      </c>
      <c r="K291" s="7">
        <v>0</v>
      </c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</row>
    <row r="292" spans="1:17">
      <c r="A292" s="2">
        <v>2240</v>
      </c>
      <c r="B292" s="7">
        <v>0</v>
      </c>
      <c r="C292" s="7">
        <v>0</v>
      </c>
      <c r="D292" s="7">
        <v>0</v>
      </c>
      <c r="E292" s="7">
        <v>0</v>
      </c>
      <c r="F292" s="7">
        <v>0</v>
      </c>
      <c r="G292" s="7">
        <v>0</v>
      </c>
      <c r="H292" s="7">
        <v>0</v>
      </c>
      <c r="I292" s="7">
        <v>0</v>
      </c>
      <c r="J292" s="7">
        <v>0</v>
      </c>
      <c r="K292" s="7">
        <v>0</v>
      </c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</row>
    <row r="293" spans="1:17">
      <c r="A293" s="2">
        <v>2241</v>
      </c>
      <c r="B293" s="7">
        <v>0</v>
      </c>
      <c r="C293" s="7">
        <v>0</v>
      </c>
      <c r="D293" s="7">
        <v>0</v>
      </c>
      <c r="E293" s="7">
        <v>0</v>
      </c>
      <c r="F293" s="7">
        <v>0</v>
      </c>
      <c r="G293" s="7">
        <v>0</v>
      </c>
      <c r="H293" s="7">
        <v>0</v>
      </c>
      <c r="I293" s="7">
        <v>0</v>
      </c>
      <c r="J293" s="7">
        <v>0</v>
      </c>
      <c r="K293" s="7">
        <v>0</v>
      </c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</row>
    <row r="294" spans="1:17">
      <c r="A294" s="2">
        <v>2242</v>
      </c>
      <c r="B294" s="7">
        <v>0</v>
      </c>
      <c r="C294" s="7">
        <v>0</v>
      </c>
      <c r="D294" s="7">
        <v>0</v>
      </c>
      <c r="E294" s="7">
        <v>0</v>
      </c>
      <c r="F294" s="7">
        <v>0</v>
      </c>
      <c r="G294" s="7">
        <v>0</v>
      </c>
      <c r="H294" s="7">
        <v>0</v>
      </c>
      <c r="I294" s="7">
        <v>0</v>
      </c>
      <c r="J294" s="7">
        <v>0</v>
      </c>
      <c r="K294" s="7">
        <v>0</v>
      </c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</row>
    <row r="295" spans="1:17">
      <c r="A295" s="2">
        <v>2243</v>
      </c>
      <c r="B295" s="7">
        <v>0</v>
      </c>
      <c r="C295" s="7">
        <v>0</v>
      </c>
      <c r="D295" s="7">
        <v>0</v>
      </c>
      <c r="E295" s="7">
        <v>0</v>
      </c>
      <c r="F295" s="7">
        <v>0</v>
      </c>
      <c r="G295" s="7">
        <v>0</v>
      </c>
      <c r="H295" s="7">
        <v>0</v>
      </c>
      <c r="I295" s="7">
        <v>0</v>
      </c>
      <c r="J295" s="7">
        <v>0</v>
      </c>
      <c r="K295" s="7">
        <v>0</v>
      </c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</row>
    <row r="296" spans="1:17">
      <c r="A296" s="2">
        <v>2244</v>
      </c>
      <c r="B296" s="7">
        <v>0</v>
      </c>
      <c r="C296" s="7">
        <v>0</v>
      </c>
      <c r="D296" s="7">
        <v>0</v>
      </c>
      <c r="E296" s="7">
        <v>0</v>
      </c>
      <c r="F296" s="7">
        <v>0</v>
      </c>
      <c r="G296" s="7">
        <v>0</v>
      </c>
      <c r="H296" s="7">
        <v>0</v>
      </c>
      <c r="I296" s="7">
        <v>0</v>
      </c>
      <c r="J296" s="7">
        <v>0</v>
      </c>
      <c r="K296" s="7">
        <v>0</v>
      </c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</row>
    <row r="297" spans="1:17">
      <c r="A297" s="2">
        <v>2245</v>
      </c>
      <c r="B297" s="7">
        <v>0</v>
      </c>
      <c r="C297" s="7">
        <v>0</v>
      </c>
      <c r="D297" s="7">
        <v>0</v>
      </c>
      <c r="E297" s="7">
        <v>0</v>
      </c>
      <c r="F297" s="7">
        <v>0</v>
      </c>
      <c r="G297" s="7">
        <v>0</v>
      </c>
      <c r="H297" s="7">
        <v>0</v>
      </c>
      <c r="I297" s="7">
        <v>0</v>
      </c>
      <c r="J297" s="7">
        <v>0</v>
      </c>
      <c r="K297" s="7">
        <v>0</v>
      </c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</row>
    <row r="298" spans="1:17">
      <c r="A298" s="2">
        <v>2246</v>
      </c>
      <c r="B298" s="7">
        <v>0</v>
      </c>
      <c r="C298" s="7">
        <v>0</v>
      </c>
      <c r="D298" s="7">
        <v>0</v>
      </c>
      <c r="E298" s="7">
        <v>0</v>
      </c>
      <c r="F298" s="7">
        <v>0</v>
      </c>
      <c r="G298" s="7">
        <v>0</v>
      </c>
      <c r="H298" s="7">
        <v>0</v>
      </c>
      <c r="I298" s="7">
        <v>0</v>
      </c>
      <c r="J298" s="7">
        <v>0</v>
      </c>
      <c r="K298" s="7">
        <v>0</v>
      </c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</row>
    <row r="299" spans="1:17">
      <c r="A299" s="2">
        <v>2247</v>
      </c>
      <c r="B299" s="7">
        <v>0</v>
      </c>
      <c r="C299" s="7">
        <v>0</v>
      </c>
      <c r="D299" s="7">
        <v>0</v>
      </c>
      <c r="E299" s="7">
        <v>0</v>
      </c>
      <c r="F299" s="7">
        <v>0</v>
      </c>
      <c r="G299" s="7">
        <v>0</v>
      </c>
      <c r="H299" s="7">
        <v>0</v>
      </c>
      <c r="I299" s="7">
        <v>0</v>
      </c>
      <c r="J299" s="7">
        <v>0</v>
      </c>
      <c r="K299" s="7">
        <v>0</v>
      </c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</row>
    <row r="300" spans="1:17">
      <c r="A300" s="2">
        <v>2248</v>
      </c>
      <c r="B300" s="7">
        <v>0</v>
      </c>
      <c r="C300" s="7">
        <v>0</v>
      </c>
      <c r="D300" s="7">
        <v>0</v>
      </c>
      <c r="E300" s="7">
        <v>0</v>
      </c>
      <c r="F300" s="7">
        <v>0</v>
      </c>
      <c r="G300" s="7">
        <v>0</v>
      </c>
      <c r="H300" s="7">
        <v>0</v>
      </c>
      <c r="I300" s="7">
        <v>0</v>
      </c>
      <c r="J300" s="7">
        <v>0</v>
      </c>
      <c r="K300" s="7">
        <v>0</v>
      </c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</row>
    <row r="301" spans="1:17">
      <c r="A301" s="2">
        <v>2249</v>
      </c>
      <c r="B301" s="7">
        <v>0</v>
      </c>
      <c r="C301" s="7">
        <v>0</v>
      </c>
      <c r="D301" s="7">
        <v>0</v>
      </c>
      <c r="E301" s="7">
        <v>0</v>
      </c>
      <c r="F301" s="7">
        <v>0</v>
      </c>
      <c r="G301" s="7">
        <v>0</v>
      </c>
      <c r="H301" s="7">
        <v>0</v>
      </c>
      <c r="I301" s="7">
        <v>0</v>
      </c>
      <c r="J301" s="7">
        <v>0</v>
      </c>
      <c r="K301" s="7">
        <v>0</v>
      </c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</row>
    <row r="302" spans="1:17">
      <c r="A302" s="2">
        <v>2250</v>
      </c>
      <c r="B302" s="7">
        <v>0</v>
      </c>
      <c r="C302" s="7">
        <v>0</v>
      </c>
      <c r="D302" s="7">
        <v>0</v>
      </c>
      <c r="E302" s="7">
        <v>0</v>
      </c>
      <c r="F302" s="7">
        <v>0</v>
      </c>
      <c r="G302" s="7">
        <v>0</v>
      </c>
      <c r="H302" s="7">
        <v>0</v>
      </c>
      <c r="I302" s="7">
        <v>0</v>
      </c>
      <c r="J302" s="7">
        <v>0</v>
      </c>
      <c r="K302" s="7">
        <v>0</v>
      </c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</row>
    <row r="303" spans="1:17">
      <c r="A303" s="2">
        <v>2251</v>
      </c>
      <c r="B303" s="7">
        <v>0</v>
      </c>
      <c r="C303" s="7">
        <v>0</v>
      </c>
      <c r="D303" s="7">
        <v>0</v>
      </c>
      <c r="E303" s="7">
        <v>0</v>
      </c>
      <c r="F303" s="7">
        <v>0</v>
      </c>
      <c r="G303" s="7">
        <v>0</v>
      </c>
      <c r="H303" s="7">
        <v>0</v>
      </c>
      <c r="I303" s="7">
        <v>0</v>
      </c>
      <c r="J303" s="7">
        <v>0</v>
      </c>
      <c r="K303" s="7">
        <v>0</v>
      </c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</row>
    <row r="304" spans="1:17">
      <c r="A304" s="2">
        <v>2252</v>
      </c>
      <c r="B304" s="7">
        <v>0</v>
      </c>
      <c r="C304" s="7">
        <v>0</v>
      </c>
      <c r="D304" s="7">
        <v>0</v>
      </c>
      <c r="E304" s="7">
        <v>0</v>
      </c>
      <c r="F304" s="7">
        <v>0</v>
      </c>
      <c r="G304" s="7">
        <v>0</v>
      </c>
      <c r="H304" s="7">
        <v>0</v>
      </c>
      <c r="I304" s="7">
        <v>0</v>
      </c>
      <c r="J304" s="7">
        <v>0</v>
      </c>
      <c r="K304" s="7">
        <v>0</v>
      </c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</row>
    <row r="305" spans="1:17">
      <c r="A305" s="2">
        <v>2253</v>
      </c>
      <c r="B305" s="7">
        <v>0</v>
      </c>
      <c r="C305" s="7">
        <v>0</v>
      </c>
      <c r="D305" s="7">
        <v>0</v>
      </c>
      <c r="E305" s="7">
        <v>0</v>
      </c>
      <c r="F305" s="7">
        <v>0</v>
      </c>
      <c r="G305" s="7">
        <v>0</v>
      </c>
      <c r="H305" s="7">
        <v>0</v>
      </c>
      <c r="I305" s="7">
        <v>0</v>
      </c>
      <c r="J305" s="7">
        <v>0</v>
      </c>
      <c r="K305" s="7">
        <v>0</v>
      </c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</row>
    <row r="306" spans="1:17">
      <c r="A306" s="2">
        <v>2254</v>
      </c>
      <c r="B306" s="7">
        <v>0</v>
      </c>
      <c r="C306" s="7">
        <v>0</v>
      </c>
      <c r="D306" s="7">
        <v>0</v>
      </c>
      <c r="E306" s="7">
        <v>0</v>
      </c>
      <c r="F306" s="7">
        <v>0</v>
      </c>
      <c r="G306" s="7">
        <v>0</v>
      </c>
      <c r="H306" s="7">
        <v>0</v>
      </c>
      <c r="I306" s="7">
        <v>0</v>
      </c>
      <c r="J306" s="7">
        <v>0</v>
      </c>
      <c r="K306" s="7">
        <v>0</v>
      </c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</row>
    <row r="307" spans="1:17">
      <c r="A307" s="2">
        <v>2255</v>
      </c>
      <c r="B307" s="7">
        <v>0</v>
      </c>
      <c r="C307" s="7">
        <v>0</v>
      </c>
      <c r="D307" s="7">
        <v>0</v>
      </c>
      <c r="E307" s="7">
        <v>0</v>
      </c>
      <c r="F307" s="7">
        <v>0</v>
      </c>
      <c r="G307" s="7">
        <v>0</v>
      </c>
      <c r="H307" s="7">
        <v>0</v>
      </c>
      <c r="I307" s="7">
        <v>0</v>
      </c>
      <c r="J307" s="7">
        <v>0</v>
      </c>
      <c r="K307" s="7">
        <v>0</v>
      </c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</row>
    <row r="308" spans="1:17">
      <c r="A308" s="2">
        <v>2256</v>
      </c>
      <c r="B308" s="7">
        <v>0</v>
      </c>
      <c r="C308" s="7">
        <v>0</v>
      </c>
      <c r="D308" s="7">
        <v>0</v>
      </c>
      <c r="E308" s="7">
        <v>0</v>
      </c>
      <c r="F308" s="7">
        <v>0</v>
      </c>
      <c r="G308" s="7">
        <v>0</v>
      </c>
      <c r="H308" s="7">
        <v>0</v>
      </c>
      <c r="I308" s="7">
        <v>0</v>
      </c>
      <c r="J308" s="7">
        <v>0</v>
      </c>
      <c r="K308" s="7">
        <v>0</v>
      </c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</row>
    <row r="309" spans="1:17">
      <c r="A309" s="2">
        <v>2257</v>
      </c>
      <c r="B309" s="7">
        <v>0</v>
      </c>
      <c r="C309" s="7">
        <v>0</v>
      </c>
      <c r="D309" s="7">
        <v>0</v>
      </c>
      <c r="E309" s="7">
        <v>0</v>
      </c>
      <c r="F309" s="7">
        <v>0</v>
      </c>
      <c r="G309" s="7">
        <v>0</v>
      </c>
      <c r="H309" s="7">
        <v>0</v>
      </c>
      <c r="I309" s="7">
        <v>0</v>
      </c>
      <c r="J309" s="7">
        <v>0</v>
      </c>
      <c r="K309" s="7">
        <v>0</v>
      </c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</row>
    <row r="310" spans="1:17">
      <c r="A310" s="2">
        <v>2258</v>
      </c>
      <c r="B310" s="7">
        <v>0</v>
      </c>
      <c r="C310" s="7">
        <v>0</v>
      </c>
      <c r="D310" s="7">
        <v>0</v>
      </c>
      <c r="E310" s="7">
        <v>0</v>
      </c>
      <c r="F310" s="7">
        <v>0</v>
      </c>
      <c r="G310" s="7">
        <v>0</v>
      </c>
      <c r="H310" s="7">
        <v>0</v>
      </c>
      <c r="I310" s="7">
        <v>0</v>
      </c>
      <c r="J310" s="7">
        <v>0</v>
      </c>
      <c r="K310" s="7">
        <v>0</v>
      </c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</row>
    <row r="311" spans="1:17">
      <c r="A311" s="2">
        <v>2259</v>
      </c>
      <c r="B311" s="7">
        <v>0</v>
      </c>
      <c r="C311" s="7">
        <v>0</v>
      </c>
      <c r="D311" s="7">
        <v>0</v>
      </c>
      <c r="E311" s="7">
        <v>0</v>
      </c>
      <c r="F311" s="7">
        <v>0</v>
      </c>
      <c r="G311" s="7">
        <v>0</v>
      </c>
      <c r="H311" s="7">
        <v>0</v>
      </c>
      <c r="I311" s="7">
        <v>0</v>
      </c>
      <c r="J311" s="7">
        <v>0</v>
      </c>
      <c r="K311" s="7">
        <v>0</v>
      </c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</row>
    <row r="312" spans="1:17">
      <c r="A312" s="2">
        <v>2260</v>
      </c>
      <c r="B312" s="7">
        <v>0</v>
      </c>
      <c r="C312" s="7">
        <v>0</v>
      </c>
      <c r="D312" s="7">
        <v>0</v>
      </c>
      <c r="E312" s="7">
        <v>0</v>
      </c>
      <c r="F312" s="7">
        <v>0</v>
      </c>
      <c r="G312" s="7">
        <v>0</v>
      </c>
      <c r="H312" s="7">
        <v>0</v>
      </c>
      <c r="I312" s="7">
        <v>0</v>
      </c>
      <c r="J312" s="7">
        <v>0</v>
      </c>
      <c r="K312" s="7">
        <v>0</v>
      </c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</row>
    <row r="313" spans="1:17">
      <c r="A313" s="2">
        <v>2261</v>
      </c>
      <c r="B313" s="7">
        <v>0</v>
      </c>
      <c r="C313" s="7">
        <v>0</v>
      </c>
      <c r="D313" s="7">
        <v>0</v>
      </c>
      <c r="E313" s="7">
        <v>0</v>
      </c>
      <c r="F313" s="7">
        <v>0</v>
      </c>
      <c r="G313" s="7">
        <v>0</v>
      </c>
      <c r="H313" s="7">
        <v>0</v>
      </c>
      <c r="I313" s="7">
        <v>0</v>
      </c>
      <c r="J313" s="7">
        <v>0</v>
      </c>
      <c r="K313" s="7">
        <v>0</v>
      </c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</row>
    <row r="314" spans="1:17">
      <c r="A314" s="2">
        <v>2262</v>
      </c>
      <c r="B314" s="7">
        <v>0</v>
      </c>
      <c r="C314" s="7">
        <v>0</v>
      </c>
      <c r="D314" s="7">
        <v>0</v>
      </c>
      <c r="E314" s="7">
        <v>0</v>
      </c>
      <c r="F314" s="7">
        <v>0</v>
      </c>
      <c r="G314" s="7">
        <v>0</v>
      </c>
      <c r="H314" s="7">
        <v>0</v>
      </c>
      <c r="I314" s="7">
        <v>0</v>
      </c>
      <c r="J314" s="7">
        <v>0</v>
      </c>
      <c r="K314" s="7">
        <v>0</v>
      </c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</row>
    <row r="315" spans="1:17">
      <c r="A315" s="2">
        <v>2263</v>
      </c>
      <c r="B315" s="7">
        <v>0</v>
      </c>
      <c r="C315" s="7">
        <v>0</v>
      </c>
      <c r="D315" s="7">
        <v>0</v>
      </c>
      <c r="E315" s="7">
        <v>0</v>
      </c>
      <c r="F315" s="7">
        <v>0</v>
      </c>
      <c r="G315" s="7">
        <v>0</v>
      </c>
      <c r="H315" s="7">
        <v>0</v>
      </c>
      <c r="I315" s="7">
        <v>0</v>
      </c>
      <c r="J315" s="7">
        <v>0</v>
      </c>
      <c r="K315" s="7">
        <v>0</v>
      </c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</row>
    <row r="316" spans="1:17">
      <c r="A316" s="2">
        <v>2264</v>
      </c>
      <c r="B316" s="7">
        <v>0</v>
      </c>
      <c r="C316" s="7">
        <v>0</v>
      </c>
      <c r="D316" s="7">
        <v>0</v>
      </c>
      <c r="E316" s="7">
        <v>0</v>
      </c>
      <c r="F316" s="7">
        <v>0</v>
      </c>
      <c r="G316" s="7">
        <v>0</v>
      </c>
      <c r="H316" s="7">
        <v>0</v>
      </c>
      <c r="I316" s="7">
        <v>0</v>
      </c>
      <c r="J316" s="7">
        <v>0</v>
      </c>
      <c r="K316" s="7">
        <v>0</v>
      </c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</row>
    <row r="317" spans="1:17">
      <c r="A317" s="2">
        <v>2265</v>
      </c>
      <c r="B317" s="7">
        <v>0</v>
      </c>
      <c r="C317" s="7">
        <v>0</v>
      </c>
      <c r="D317" s="7">
        <v>0</v>
      </c>
      <c r="E317" s="7">
        <v>0</v>
      </c>
      <c r="F317" s="7">
        <v>0</v>
      </c>
      <c r="G317" s="7">
        <v>0</v>
      </c>
      <c r="H317" s="7">
        <v>0</v>
      </c>
      <c r="I317" s="7">
        <v>0</v>
      </c>
      <c r="J317" s="7">
        <v>0</v>
      </c>
      <c r="K317" s="7">
        <v>0</v>
      </c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</row>
    <row r="318" spans="1:17">
      <c r="A318" s="2">
        <v>2266</v>
      </c>
      <c r="B318" s="7">
        <v>0</v>
      </c>
      <c r="C318" s="7">
        <v>0</v>
      </c>
      <c r="D318" s="7">
        <v>0</v>
      </c>
      <c r="E318" s="7">
        <v>0</v>
      </c>
      <c r="F318" s="7">
        <v>0</v>
      </c>
      <c r="G318" s="7">
        <v>0</v>
      </c>
      <c r="H318" s="7">
        <v>0</v>
      </c>
      <c r="I318" s="7">
        <v>0</v>
      </c>
      <c r="J318" s="7">
        <v>0</v>
      </c>
      <c r="K318" s="7">
        <v>0</v>
      </c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</row>
    <row r="319" spans="1:17">
      <c r="A319" s="2">
        <v>2267</v>
      </c>
      <c r="B319" s="7">
        <v>0</v>
      </c>
      <c r="C319" s="7">
        <v>0</v>
      </c>
      <c r="D319" s="7">
        <v>0</v>
      </c>
      <c r="E319" s="7">
        <v>0</v>
      </c>
      <c r="F319" s="7">
        <v>0</v>
      </c>
      <c r="G319" s="7">
        <v>0</v>
      </c>
      <c r="H319" s="7">
        <v>0</v>
      </c>
      <c r="I319" s="7">
        <v>0</v>
      </c>
      <c r="J319" s="7">
        <v>0</v>
      </c>
      <c r="K319" s="7">
        <v>0</v>
      </c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</row>
    <row r="320" spans="1:17">
      <c r="A320" s="2">
        <v>2268</v>
      </c>
      <c r="B320" s="7">
        <v>0</v>
      </c>
      <c r="C320" s="7">
        <v>0</v>
      </c>
      <c r="D320" s="7">
        <v>0</v>
      </c>
      <c r="E320" s="7">
        <v>0</v>
      </c>
      <c r="F320" s="7">
        <v>0</v>
      </c>
      <c r="G320" s="7">
        <v>0</v>
      </c>
      <c r="H320" s="7">
        <v>0</v>
      </c>
      <c r="I320" s="7">
        <v>0</v>
      </c>
      <c r="J320" s="7">
        <v>0</v>
      </c>
      <c r="K320" s="7">
        <v>0</v>
      </c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</row>
    <row r="321" spans="1:17">
      <c r="A321" s="2">
        <v>2269</v>
      </c>
      <c r="B321" s="7">
        <v>0</v>
      </c>
      <c r="C321" s="7">
        <v>0</v>
      </c>
      <c r="D321" s="7">
        <v>0</v>
      </c>
      <c r="E321" s="7">
        <v>0</v>
      </c>
      <c r="F321" s="7">
        <v>0</v>
      </c>
      <c r="G321" s="7">
        <v>0</v>
      </c>
      <c r="H321" s="7">
        <v>0</v>
      </c>
      <c r="I321" s="7">
        <v>0</v>
      </c>
      <c r="J321" s="7">
        <v>0</v>
      </c>
      <c r="K321" s="7">
        <v>0</v>
      </c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</row>
    <row r="322" spans="1:17">
      <c r="A322" s="2">
        <v>2270</v>
      </c>
      <c r="B322" s="7">
        <v>0</v>
      </c>
      <c r="C322" s="7">
        <v>0</v>
      </c>
      <c r="D322" s="7">
        <v>0</v>
      </c>
      <c r="E322" s="7">
        <v>0</v>
      </c>
      <c r="F322" s="7">
        <v>0</v>
      </c>
      <c r="G322" s="7">
        <v>0</v>
      </c>
      <c r="H322" s="7">
        <v>0</v>
      </c>
      <c r="I322" s="7">
        <v>0</v>
      </c>
      <c r="J322" s="7">
        <v>0</v>
      </c>
      <c r="K322" s="7">
        <v>0</v>
      </c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</row>
    <row r="323" spans="1:17">
      <c r="A323" s="2">
        <v>2271</v>
      </c>
      <c r="B323" s="7">
        <v>0</v>
      </c>
      <c r="C323" s="7">
        <v>0</v>
      </c>
      <c r="D323" s="7">
        <v>0</v>
      </c>
      <c r="E323" s="7">
        <v>0</v>
      </c>
      <c r="F323" s="7">
        <v>0</v>
      </c>
      <c r="G323" s="7">
        <v>0</v>
      </c>
      <c r="H323" s="7">
        <v>0</v>
      </c>
      <c r="I323" s="7">
        <v>0</v>
      </c>
      <c r="J323" s="7">
        <v>0</v>
      </c>
      <c r="K323" s="7">
        <v>0</v>
      </c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</row>
    <row r="324" spans="1:17">
      <c r="A324" s="2">
        <v>2272</v>
      </c>
      <c r="B324" s="7">
        <v>0</v>
      </c>
      <c r="C324" s="7">
        <v>0</v>
      </c>
      <c r="D324" s="7">
        <v>0</v>
      </c>
      <c r="E324" s="7">
        <v>0</v>
      </c>
      <c r="F324" s="7">
        <v>0</v>
      </c>
      <c r="G324" s="7">
        <v>0</v>
      </c>
      <c r="H324" s="7">
        <v>0</v>
      </c>
      <c r="I324" s="7">
        <v>0</v>
      </c>
      <c r="J324" s="7">
        <v>0</v>
      </c>
      <c r="K324" s="7">
        <v>0</v>
      </c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</row>
    <row r="325" spans="1:17">
      <c r="A325" s="2">
        <v>2273</v>
      </c>
      <c r="B325" s="7">
        <v>0</v>
      </c>
      <c r="C325" s="7">
        <v>0</v>
      </c>
      <c r="D325" s="7">
        <v>0</v>
      </c>
      <c r="E325" s="7">
        <v>0</v>
      </c>
      <c r="F325" s="7">
        <v>0</v>
      </c>
      <c r="G325" s="7">
        <v>0</v>
      </c>
      <c r="H325" s="7">
        <v>0</v>
      </c>
      <c r="I325" s="7">
        <v>0</v>
      </c>
      <c r="J325" s="7">
        <v>0</v>
      </c>
      <c r="K325" s="7">
        <v>0</v>
      </c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</row>
    <row r="326" spans="1:17">
      <c r="A326" s="2">
        <v>2274</v>
      </c>
      <c r="B326" s="7">
        <v>0</v>
      </c>
      <c r="C326" s="7">
        <v>0</v>
      </c>
      <c r="D326" s="7">
        <v>0</v>
      </c>
      <c r="E326" s="7">
        <v>0</v>
      </c>
      <c r="F326" s="7">
        <v>0</v>
      </c>
      <c r="G326" s="7">
        <v>0</v>
      </c>
      <c r="H326" s="7">
        <v>0</v>
      </c>
      <c r="I326" s="7">
        <v>0</v>
      </c>
      <c r="J326" s="7">
        <v>0</v>
      </c>
      <c r="K326" s="7">
        <v>0</v>
      </c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</row>
    <row r="327" spans="1:17">
      <c r="A327" s="2">
        <v>2275</v>
      </c>
      <c r="B327" s="7">
        <v>0</v>
      </c>
      <c r="C327" s="7">
        <v>0</v>
      </c>
      <c r="D327" s="7">
        <v>0</v>
      </c>
      <c r="E327" s="7">
        <v>0</v>
      </c>
      <c r="F327" s="7">
        <v>0</v>
      </c>
      <c r="G327" s="7">
        <v>0</v>
      </c>
      <c r="H327" s="7">
        <v>0</v>
      </c>
      <c r="I327" s="7">
        <v>0</v>
      </c>
      <c r="J327" s="7">
        <v>0</v>
      </c>
      <c r="K327" s="7">
        <v>0</v>
      </c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</row>
    <row r="328" spans="1:17">
      <c r="A328" s="2">
        <v>2276</v>
      </c>
      <c r="B328" s="7">
        <v>0</v>
      </c>
      <c r="C328" s="7">
        <v>0</v>
      </c>
      <c r="D328" s="7">
        <v>0</v>
      </c>
      <c r="E328" s="7">
        <v>0</v>
      </c>
      <c r="F328" s="7">
        <v>0</v>
      </c>
      <c r="G328" s="7">
        <v>0</v>
      </c>
      <c r="H328" s="7">
        <v>0</v>
      </c>
      <c r="I328" s="7">
        <v>0</v>
      </c>
      <c r="J328" s="7">
        <v>0</v>
      </c>
      <c r="K328" s="7">
        <v>0</v>
      </c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</row>
    <row r="329" spans="1:17">
      <c r="A329" s="2">
        <v>2277</v>
      </c>
      <c r="B329" s="7">
        <v>0</v>
      </c>
      <c r="C329" s="7">
        <v>0</v>
      </c>
      <c r="D329" s="7">
        <v>0</v>
      </c>
      <c r="E329" s="7">
        <v>0</v>
      </c>
      <c r="F329" s="7">
        <v>0</v>
      </c>
      <c r="G329" s="7">
        <v>0</v>
      </c>
      <c r="H329" s="7">
        <v>0</v>
      </c>
      <c r="I329" s="7">
        <v>0</v>
      </c>
      <c r="J329" s="7">
        <v>0</v>
      </c>
      <c r="K329" s="7">
        <v>0</v>
      </c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</row>
    <row r="330" spans="1:17">
      <c r="A330" s="2">
        <v>2278</v>
      </c>
      <c r="B330" s="7">
        <v>0</v>
      </c>
      <c r="C330" s="7">
        <v>0</v>
      </c>
      <c r="D330" s="7">
        <v>0</v>
      </c>
      <c r="E330" s="7">
        <v>0</v>
      </c>
      <c r="F330" s="7">
        <v>0</v>
      </c>
      <c r="G330" s="7">
        <v>0</v>
      </c>
      <c r="H330" s="7">
        <v>0</v>
      </c>
      <c r="I330" s="7">
        <v>0</v>
      </c>
      <c r="J330" s="7">
        <v>0</v>
      </c>
      <c r="K330" s="7">
        <v>0</v>
      </c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</row>
    <row r="331" spans="1:17">
      <c r="A331" s="2">
        <v>2279</v>
      </c>
      <c r="B331" s="7">
        <v>0</v>
      </c>
      <c r="C331" s="7">
        <v>0</v>
      </c>
      <c r="D331" s="7">
        <v>0</v>
      </c>
      <c r="E331" s="7">
        <v>0</v>
      </c>
      <c r="F331" s="7">
        <v>0</v>
      </c>
      <c r="G331" s="7">
        <v>0</v>
      </c>
      <c r="H331" s="7">
        <v>0</v>
      </c>
      <c r="I331" s="7">
        <v>0</v>
      </c>
      <c r="J331" s="7">
        <v>0</v>
      </c>
      <c r="K331" s="7">
        <v>0</v>
      </c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</row>
    <row r="332" spans="1:17">
      <c r="A332" s="2">
        <v>2280</v>
      </c>
      <c r="B332" s="7">
        <v>0</v>
      </c>
      <c r="C332" s="7">
        <v>0</v>
      </c>
      <c r="D332" s="7">
        <v>0</v>
      </c>
      <c r="E332" s="7">
        <v>0</v>
      </c>
      <c r="F332" s="7">
        <v>0</v>
      </c>
      <c r="G332" s="7">
        <v>0</v>
      </c>
      <c r="H332" s="7">
        <v>0</v>
      </c>
      <c r="I332" s="7">
        <v>0</v>
      </c>
      <c r="J332" s="7">
        <v>0</v>
      </c>
      <c r="K332" s="7">
        <v>0</v>
      </c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</row>
    <row r="333" spans="1:17">
      <c r="A333" s="2">
        <v>2281</v>
      </c>
      <c r="B333" s="7">
        <v>0</v>
      </c>
      <c r="C333" s="7">
        <v>0</v>
      </c>
      <c r="D333" s="7">
        <v>0</v>
      </c>
      <c r="E333" s="7">
        <v>0</v>
      </c>
      <c r="F333" s="7">
        <v>0</v>
      </c>
      <c r="G333" s="7">
        <v>0</v>
      </c>
      <c r="H333" s="7">
        <v>0</v>
      </c>
      <c r="I333" s="7">
        <v>0</v>
      </c>
      <c r="J333" s="7">
        <v>0</v>
      </c>
      <c r="K333" s="7">
        <v>0</v>
      </c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</row>
    <row r="334" spans="1:17">
      <c r="A334" s="2">
        <v>2282</v>
      </c>
      <c r="B334" s="7">
        <v>0</v>
      </c>
      <c r="C334" s="7">
        <v>0</v>
      </c>
      <c r="D334" s="7">
        <v>0</v>
      </c>
      <c r="E334" s="7">
        <v>0</v>
      </c>
      <c r="F334" s="7">
        <v>0</v>
      </c>
      <c r="G334" s="7">
        <v>0</v>
      </c>
      <c r="H334" s="7">
        <v>0</v>
      </c>
      <c r="I334" s="7">
        <v>0</v>
      </c>
      <c r="J334" s="7">
        <v>0</v>
      </c>
      <c r="K334" s="7">
        <v>0</v>
      </c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</row>
    <row r="335" spans="1:17">
      <c r="A335" s="2">
        <v>2283</v>
      </c>
      <c r="B335" s="7">
        <v>0</v>
      </c>
      <c r="C335" s="7">
        <v>0</v>
      </c>
      <c r="D335" s="7">
        <v>0</v>
      </c>
      <c r="E335" s="7">
        <v>0</v>
      </c>
      <c r="F335" s="7">
        <v>0</v>
      </c>
      <c r="G335" s="7">
        <v>0</v>
      </c>
      <c r="H335" s="7">
        <v>0</v>
      </c>
      <c r="I335" s="7">
        <v>0</v>
      </c>
      <c r="J335" s="7">
        <v>0</v>
      </c>
      <c r="K335" s="7">
        <v>0</v>
      </c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</row>
    <row r="336" spans="1:17">
      <c r="A336" s="2">
        <v>2284</v>
      </c>
      <c r="B336" s="7">
        <v>0</v>
      </c>
      <c r="C336" s="7">
        <v>0</v>
      </c>
      <c r="D336" s="7">
        <v>0</v>
      </c>
      <c r="E336" s="7">
        <v>0</v>
      </c>
      <c r="F336" s="7">
        <v>0</v>
      </c>
      <c r="G336" s="7">
        <v>0</v>
      </c>
      <c r="H336" s="7">
        <v>0</v>
      </c>
      <c r="I336" s="7">
        <v>0</v>
      </c>
      <c r="J336" s="7">
        <v>0</v>
      </c>
      <c r="K336" s="7">
        <v>0</v>
      </c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</row>
    <row r="337" spans="1:17">
      <c r="A337" s="2">
        <v>2285</v>
      </c>
      <c r="B337" s="7">
        <v>0</v>
      </c>
      <c r="C337" s="7">
        <v>0</v>
      </c>
      <c r="D337" s="7">
        <v>0</v>
      </c>
      <c r="E337" s="7">
        <v>0</v>
      </c>
      <c r="F337" s="7">
        <v>0</v>
      </c>
      <c r="G337" s="7">
        <v>0</v>
      </c>
      <c r="H337" s="7">
        <v>0</v>
      </c>
      <c r="I337" s="7">
        <v>0</v>
      </c>
      <c r="J337" s="7">
        <v>0</v>
      </c>
      <c r="K337" s="7">
        <v>0</v>
      </c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</row>
    <row r="338" spans="1:17">
      <c r="A338" s="2">
        <v>2286</v>
      </c>
      <c r="B338" s="7">
        <v>0</v>
      </c>
      <c r="C338" s="7">
        <v>0</v>
      </c>
      <c r="D338" s="7">
        <v>0</v>
      </c>
      <c r="E338" s="7">
        <v>0</v>
      </c>
      <c r="F338" s="7">
        <v>0</v>
      </c>
      <c r="G338" s="7">
        <v>0</v>
      </c>
      <c r="H338" s="7">
        <v>0</v>
      </c>
      <c r="I338" s="7">
        <v>0</v>
      </c>
      <c r="J338" s="7">
        <v>0</v>
      </c>
      <c r="K338" s="7">
        <v>0</v>
      </c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</row>
    <row r="339" spans="1:17">
      <c r="A339" s="2">
        <v>2287</v>
      </c>
      <c r="B339" s="7">
        <v>0</v>
      </c>
      <c r="C339" s="7">
        <v>0</v>
      </c>
      <c r="D339" s="7">
        <v>0</v>
      </c>
      <c r="E339" s="7">
        <v>0</v>
      </c>
      <c r="F339" s="7">
        <v>0</v>
      </c>
      <c r="G339" s="7">
        <v>0</v>
      </c>
      <c r="H339" s="7">
        <v>0</v>
      </c>
      <c r="I339" s="7">
        <v>0</v>
      </c>
      <c r="J339" s="7">
        <v>0</v>
      </c>
      <c r="K339" s="7">
        <v>0</v>
      </c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</row>
    <row r="340" spans="1:17">
      <c r="A340" s="2">
        <v>2288</v>
      </c>
      <c r="B340" s="7">
        <v>0</v>
      </c>
      <c r="C340" s="7">
        <v>0</v>
      </c>
      <c r="D340" s="7">
        <v>0</v>
      </c>
      <c r="E340" s="7">
        <v>0</v>
      </c>
      <c r="F340" s="7">
        <v>0</v>
      </c>
      <c r="G340" s="7">
        <v>0</v>
      </c>
      <c r="H340" s="7">
        <v>0</v>
      </c>
      <c r="I340" s="7">
        <v>0</v>
      </c>
      <c r="J340" s="7">
        <v>0</v>
      </c>
      <c r="K340" s="7">
        <v>0</v>
      </c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</row>
    <row r="341" spans="1:17">
      <c r="A341" s="2">
        <v>2289</v>
      </c>
      <c r="B341" s="7">
        <v>0</v>
      </c>
      <c r="C341" s="7">
        <v>0</v>
      </c>
      <c r="D341" s="7">
        <v>0</v>
      </c>
      <c r="E341" s="7">
        <v>0</v>
      </c>
      <c r="F341" s="7">
        <v>0</v>
      </c>
      <c r="G341" s="7">
        <v>0</v>
      </c>
      <c r="H341" s="7">
        <v>0</v>
      </c>
      <c r="I341" s="7">
        <v>0</v>
      </c>
      <c r="J341" s="7">
        <v>0</v>
      </c>
      <c r="K341" s="7">
        <v>0</v>
      </c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</row>
    <row r="342" spans="1:17">
      <c r="A342" s="2">
        <v>2290</v>
      </c>
      <c r="B342" s="7">
        <v>0</v>
      </c>
      <c r="C342" s="7">
        <v>0</v>
      </c>
      <c r="D342" s="7">
        <v>0</v>
      </c>
      <c r="E342" s="7">
        <v>0</v>
      </c>
      <c r="F342" s="7">
        <v>0</v>
      </c>
      <c r="G342" s="7">
        <v>0</v>
      </c>
      <c r="H342" s="7">
        <v>0</v>
      </c>
      <c r="I342" s="7">
        <v>0</v>
      </c>
      <c r="J342" s="7">
        <v>0</v>
      </c>
      <c r="K342" s="7">
        <v>0</v>
      </c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</row>
    <row r="343" spans="1:17">
      <c r="A343" s="2">
        <v>2291</v>
      </c>
      <c r="B343" s="7">
        <v>0</v>
      </c>
      <c r="C343" s="7">
        <v>0</v>
      </c>
      <c r="D343" s="7">
        <v>0</v>
      </c>
      <c r="E343" s="7">
        <v>0</v>
      </c>
      <c r="F343" s="7">
        <v>0</v>
      </c>
      <c r="G343" s="7">
        <v>0</v>
      </c>
      <c r="H343" s="7">
        <v>0</v>
      </c>
      <c r="I343" s="7">
        <v>0</v>
      </c>
      <c r="J343" s="7">
        <v>0</v>
      </c>
      <c r="K343" s="7">
        <v>0</v>
      </c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</row>
    <row r="344" spans="1:17">
      <c r="A344" s="2">
        <v>2292</v>
      </c>
      <c r="B344" s="7">
        <v>0</v>
      </c>
      <c r="C344" s="7">
        <v>0</v>
      </c>
      <c r="D344" s="7">
        <v>0</v>
      </c>
      <c r="E344" s="7">
        <v>0</v>
      </c>
      <c r="F344" s="7">
        <v>0</v>
      </c>
      <c r="G344" s="7">
        <v>0</v>
      </c>
      <c r="H344" s="7">
        <v>0</v>
      </c>
      <c r="I344" s="7">
        <v>0</v>
      </c>
      <c r="J344" s="7">
        <v>0</v>
      </c>
      <c r="K344" s="7">
        <v>0</v>
      </c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</row>
    <row r="345" spans="1:17">
      <c r="A345" s="2">
        <v>2293</v>
      </c>
      <c r="B345" s="7">
        <v>0</v>
      </c>
      <c r="C345" s="7">
        <v>0</v>
      </c>
      <c r="D345" s="7">
        <v>0</v>
      </c>
      <c r="E345" s="7">
        <v>0</v>
      </c>
      <c r="F345" s="7">
        <v>0</v>
      </c>
      <c r="G345" s="7">
        <v>0</v>
      </c>
      <c r="H345" s="7">
        <v>0</v>
      </c>
      <c r="I345" s="7">
        <v>0</v>
      </c>
      <c r="J345" s="7">
        <v>0</v>
      </c>
      <c r="K345" s="7">
        <v>0</v>
      </c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</row>
    <row r="346" spans="1:17">
      <c r="A346" s="2">
        <v>2294</v>
      </c>
      <c r="B346" s="7">
        <v>0</v>
      </c>
      <c r="C346" s="7">
        <v>0</v>
      </c>
      <c r="D346" s="7">
        <v>0</v>
      </c>
      <c r="E346" s="7">
        <v>0</v>
      </c>
      <c r="F346" s="7">
        <v>0</v>
      </c>
      <c r="G346" s="7">
        <v>0</v>
      </c>
      <c r="H346" s="7">
        <v>0</v>
      </c>
      <c r="I346" s="7">
        <v>0</v>
      </c>
      <c r="J346" s="7">
        <v>0</v>
      </c>
      <c r="K346" s="7">
        <v>0</v>
      </c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</row>
    <row r="347" spans="1:17">
      <c r="A347" s="2">
        <v>2295</v>
      </c>
      <c r="B347" s="7">
        <v>0</v>
      </c>
      <c r="C347" s="7">
        <v>0</v>
      </c>
      <c r="D347" s="7">
        <v>0</v>
      </c>
      <c r="E347" s="7">
        <v>0</v>
      </c>
      <c r="F347" s="7">
        <v>0</v>
      </c>
      <c r="G347" s="7">
        <v>0</v>
      </c>
      <c r="H347" s="7">
        <v>0</v>
      </c>
      <c r="I347" s="7">
        <v>0</v>
      </c>
      <c r="J347" s="7">
        <v>0</v>
      </c>
      <c r="K347" s="7">
        <v>0</v>
      </c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</row>
    <row r="348" spans="1:17">
      <c r="A348" s="2">
        <v>2296</v>
      </c>
      <c r="B348" s="7">
        <v>0</v>
      </c>
      <c r="C348" s="7">
        <v>0</v>
      </c>
      <c r="D348" s="7">
        <v>0</v>
      </c>
      <c r="E348" s="7">
        <v>0</v>
      </c>
      <c r="F348" s="7">
        <v>0</v>
      </c>
      <c r="G348" s="7">
        <v>0</v>
      </c>
      <c r="H348" s="7">
        <v>0</v>
      </c>
      <c r="I348" s="7">
        <v>0</v>
      </c>
      <c r="J348" s="7">
        <v>0</v>
      </c>
      <c r="K348" s="7">
        <v>0</v>
      </c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</row>
    <row r="349" spans="1:17">
      <c r="A349" s="2">
        <v>2297</v>
      </c>
      <c r="B349" s="7">
        <v>0</v>
      </c>
      <c r="C349" s="7">
        <v>0</v>
      </c>
      <c r="D349" s="7">
        <v>0</v>
      </c>
      <c r="E349" s="7">
        <v>0</v>
      </c>
      <c r="F349" s="7">
        <v>0</v>
      </c>
      <c r="G349" s="7">
        <v>0</v>
      </c>
      <c r="H349" s="7">
        <v>0</v>
      </c>
      <c r="I349" s="7">
        <v>0</v>
      </c>
      <c r="J349" s="7">
        <v>0</v>
      </c>
      <c r="K349" s="7">
        <v>0</v>
      </c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</row>
    <row r="350" spans="1:17">
      <c r="A350" s="2">
        <v>2298</v>
      </c>
      <c r="B350" s="7">
        <v>0</v>
      </c>
      <c r="C350" s="7">
        <v>0</v>
      </c>
      <c r="D350" s="7">
        <v>0</v>
      </c>
      <c r="E350" s="7">
        <v>0</v>
      </c>
      <c r="F350" s="7">
        <v>0</v>
      </c>
      <c r="G350" s="7">
        <v>0</v>
      </c>
      <c r="H350" s="7">
        <v>0</v>
      </c>
      <c r="I350" s="7">
        <v>0</v>
      </c>
      <c r="J350" s="7">
        <v>0</v>
      </c>
      <c r="K350" s="7">
        <v>0</v>
      </c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</row>
    <row r="351" spans="1:17">
      <c r="A351" s="2">
        <v>2299</v>
      </c>
      <c r="B351" s="7">
        <v>0</v>
      </c>
      <c r="C351" s="7">
        <v>0</v>
      </c>
      <c r="D351" s="7">
        <v>0</v>
      </c>
      <c r="E351" s="7">
        <v>0</v>
      </c>
      <c r="F351" s="7">
        <v>0</v>
      </c>
      <c r="G351" s="7">
        <v>0</v>
      </c>
      <c r="H351" s="7">
        <v>0</v>
      </c>
      <c r="I351" s="7">
        <v>0</v>
      </c>
      <c r="J351" s="7">
        <v>0</v>
      </c>
      <c r="K351" s="7">
        <v>0</v>
      </c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</row>
    <row r="352" spans="1:17">
      <c r="A352" s="2">
        <v>2300</v>
      </c>
      <c r="B352" s="7">
        <v>0</v>
      </c>
      <c r="C352" s="7">
        <v>0</v>
      </c>
      <c r="D352" s="7">
        <v>0</v>
      </c>
      <c r="E352" s="7">
        <v>0</v>
      </c>
      <c r="F352" s="7">
        <v>0</v>
      </c>
      <c r="G352" s="7">
        <v>0</v>
      </c>
      <c r="H352" s="7">
        <v>0</v>
      </c>
      <c r="I352" s="7">
        <v>0</v>
      </c>
      <c r="J352" s="7">
        <v>0</v>
      </c>
      <c r="K352" s="7">
        <v>0</v>
      </c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</row>
    <row r="353" spans="1:17">
      <c r="A353" s="2">
        <v>2301</v>
      </c>
      <c r="B353" s="7">
        <v>0</v>
      </c>
      <c r="C353" s="7">
        <v>0</v>
      </c>
      <c r="D353" s="7">
        <v>0</v>
      </c>
      <c r="E353" s="7">
        <v>0</v>
      </c>
      <c r="F353" s="7">
        <v>0</v>
      </c>
      <c r="G353" s="7">
        <v>0</v>
      </c>
      <c r="H353" s="7">
        <v>0</v>
      </c>
      <c r="I353" s="7">
        <v>0</v>
      </c>
      <c r="J353" s="7">
        <v>0</v>
      </c>
      <c r="K353" s="7">
        <v>0</v>
      </c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</row>
    <row r="354" spans="1:17">
      <c r="A354" s="2">
        <v>2302</v>
      </c>
      <c r="B354" s="7">
        <v>0</v>
      </c>
      <c r="C354" s="7">
        <v>0</v>
      </c>
      <c r="D354" s="7">
        <v>0</v>
      </c>
      <c r="E354" s="7">
        <v>0</v>
      </c>
      <c r="F354" s="7">
        <v>0</v>
      </c>
      <c r="G354" s="7">
        <v>0</v>
      </c>
      <c r="H354" s="7">
        <v>0</v>
      </c>
      <c r="I354" s="7">
        <v>0</v>
      </c>
      <c r="J354" s="7">
        <v>0</v>
      </c>
      <c r="K354" s="7">
        <v>0</v>
      </c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</row>
    <row r="355" spans="1:17">
      <c r="A355" s="2">
        <v>2303</v>
      </c>
      <c r="B355" s="7">
        <v>0</v>
      </c>
      <c r="C355" s="7">
        <v>0</v>
      </c>
      <c r="D355" s="7">
        <v>0</v>
      </c>
      <c r="E355" s="7">
        <v>0</v>
      </c>
      <c r="F355" s="7">
        <v>0</v>
      </c>
      <c r="G355" s="7">
        <v>0</v>
      </c>
      <c r="H355" s="7">
        <v>0</v>
      </c>
      <c r="I355" s="7">
        <v>0</v>
      </c>
      <c r="J355" s="7">
        <v>0</v>
      </c>
      <c r="K355" s="7">
        <v>0</v>
      </c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</row>
    <row r="356" spans="1:17">
      <c r="A356" s="2">
        <v>2304</v>
      </c>
      <c r="B356" s="7">
        <v>0</v>
      </c>
      <c r="C356" s="7">
        <v>0</v>
      </c>
      <c r="D356" s="7">
        <v>0</v>
      </c>
      <c r="E356" s="7">
        <v>0</v>
      </c>
      <c r="F356" s="7">
        <v>0</v>
      </c>
      <c r="G356" s="7">
        <v>0</v>
      </c>
      <c r="H356" s="7">
        <v>0</v>
      </c>
      <c r="I356" s="7">
        <v>0</v>
      </c>
      <c r="J356" s="7">
        <v>0</v>
      </c>
      <c r="K356" s="7">
        <v>0</v>
      </c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</row>
    <row r="357" spans="1:17">
      <c r="A357" s="2">
        <v>2305</v>
      </c>
      <c r="B357" s="7">
        <v>0</v>
      </c>
      <c r="C357" s="7">
        <v>0</v>
      </c>
      <c r="D357" s="7">
        <v>0</v>
      </c>
      <c r="E357" s="7">
        <v>0</v>
      </c>
      <c r="F357" s="7">
        <v>0</v>
      </c>
      <c r="G357" s="7">
        <v>0</v>
      </c>
      <c r="H357" s="7">
        <v>0</v>
      </c>
      <c r="I357" s="7">
        <v>0</v>
      </c>
      <c r="J357" s="7">
        <v>0</v>
      </c>
      <c r="K357" s="7">
        <v>0</v>
      </c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</row>
    <row r="358" spans="1:17">
      <c r="A358" s="2">
        <v>2306</v>
      </c>
      <c r="B358" s="7">
        <v>0</v>
      </c>
      <c r="C358" s="7">
        <v>0</v>
      </c>
      <c r="D358" s="7">
        <v>0</v>
      </c>
      <c r="E358" s="7">
        <v>0</v>
      </c>
      <c r="F358" s="7">
        <v>0</v>
      </c>
      <c r="G358" s="7">
        <v>0</v>
      </c>
      <c r="H358" s="7">
        <v>0</v>
      </c>
      <c r="I358" s="7">
        <v>0</v>
      </c>
      <c r="J358" s="7">
        <v>0</v>
      </c>
      <c r="K358" s="7">
        <v>0</v>
      </c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</row>
    <row r="359" spans="1:17">
      <c r="A359" s="2">
        <v>2307</v>
      </c>
      <c r="B359" s="7">
        <v>0</v>
      </c>
      <c r="C359" s="7">
        <v>0</v>
      </c>
      <c r="D359" s="7">
        <v>0</v>
      </c>
      <c r="E359" s="7">
        <v>0</v>
      </c>
      <c r="F359" s="7">
        <v>0</v>
      </c>
      <c r="G359" s="7">
        <v>0</v>
      </c>
      <c r="H359" s="7">
        <v>0</v>
      </c>
      <c r="I359" s="7">
        <v>0</v>
      </c>
      <c r="J359" s="7">
        <v>0</v>
      </c>
      <c r="K359" s="7">
        <v>0</v>
      </c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</row>
    <row r="360" spans="1:17">
      <c r="A360" s="2">
        <v>2308</v>
      </c>
      <c r="B360" s="7">
        <v>0</v>
      </c>
      <c r="C360" s="7">
        <v>0</v>
      </c>
      <c r="D360" s="7">
        <v>0</v>
      </c>
      <c r="E360" s="7">
        <v>0</v>
      </c>
      <c r="F360" s="7">
        <v>0</v>
      </c>
      <c r="G360" s="7">
        <v>0</v>
      </c>
      <c r="H360" s="7">
        <v>0</v>
      </c>
      <c r="I360" s="7">
        <v>0</v>
      </c>
      <c r="J360" s="7">
        <v>0</v>
      </c>
      <c r="K360" s="7">
        <v>0</v>
      </c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</row>
    <row r="361" spans="1:17">
      <c r="A361" s="2">
        <v>2309</v>
      </c>
      <c r="B361" s="7">
        <v>0</v>
      </c>
      <c r="C361" s="7">
        <v>0</v>
      </c>
      <c r="D361" s="7">
        <v>0</v>
      </c>
      <c r="E361" s="7">
        <v>0</v>
      </c>
      <c r="F361" s="7">
        <v>0</v>
      </c>
      <c r="G361" s="7">
        <v>0</v>
      </c>
      <c r="H361" s="7">
        <v>0</v>
      </c>
      <c r="I361" s="7">
        <v>0</v>
      </c>
      <c r="J361" s="7">
        <v>0</v>
      </c>
      <c r="K361" s="7">
        <v>0</v>
      </c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</row>
    <row r="362" spans="1:17">
      <c r="A362" s="2">
        <v>2310</v>
      </c>
      <c r="B362" s="7">
        <v>0</v>
      </c>
      <c r="C362" s="7">
        <v>0</v>
      </c>
      <c r="D362" s="7">
        <v>0</v>
      </c>
      <c r="E362" s="7">
        <v>0</v>
      </c>
      <c r="F362" s="7">
        <v>0</v>
      </c>
      <c r="G362" s="7">
        <v>0</v>
      </c>
      <c r="H362" s="7">
        <v>0</v>
      </c>
      <c r="I362" s="7">
        <v>0</v>
      </c>
      <c r="J362" s="7">
        <v>0</v>
      </c>
      <c r="K362" s="7">
        <v>0</v>
      </c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</row>
    <row r="363" spans="1:17">
      <c r="A363" s="2">
        <v>2311</v>
      </c>
      <c r="B363" s="7">
        <v>0</v>
      </c>
      <c r="C363" s="7">
        <v>0</v>
      </c>
      <c r="D363" s="7">
        <v>0</v>
      </c>
      <c r="E363" s="7">
        <v>0</v>
      </c>
      <c r="F363" s="7">
        <v>0</v>
      </c>
      <c r="G363" s="7">
        <v>0</v>
      </c>
      <c r="H363" s="7">
        <v>0</v>
      </c>
      <c r="I363" s="7">
        <v>0</v>
      </c>
      <c r="J363" s="7">
        <v>0</v>
      </c>
      <c r="K363" s="7">
        <v>0</v>
      </c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</row>
    <row r="364" spans="1:17">
      <c r="A364" s="2">
        <v>2312</v>
      </c>
      <c r="B364" s="7">
        <v>0</v>
      </c>
      <c r="C364" s="7">
        <v>0</v>
      </c>
      <c r="D364" s="7">
        <v>0</v>
      </c>
      <c r="E364" s="7">
        <v>0</v>
      </c>
      <c r="F364" s="7">
        <v>0</v>
      </c>
      <c r="G364" s="7">
        <v>0</v>
      </c>
      <c r="H364" s="7">
        <v>0</v>
      </c>
      <c r="I364" s="7">
        <v>0</v>
      </c>
      <c r="J364" s="7">
        <v>0</v>
      </c>
      <c r="K364" s="7">
        <v>0</v>
      </c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</row>
    <row r="365" spans="1:17">
      <c r="A365" s="2">
        <v>2313</v>
      </c>
      <c r="B365" s="7">
        <v>0</v>
      </c>
      <c r="C365" s="7">
        <v>0</v>
      </c>
      <c r="D365" s="7">
        <v>0</v>
      </c>
      <c r="E365" s="7">
        <v>0</v>
      </c>
      <c r="F365" s="7">
        <v>0</v>
      </c>
      <c r="G365" s="7">
        <v>0</v>
      </c>
      <c r="H365" s="7">
        <v>0</v>
      </c>
      <c r="I365" s="7">
        <v>0</v>
      </c>
      <c r="J365" s="7">
        <v>0</v>
      </c>
      <c r="K365" s="7">
        <v>0</v>
      </c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</row>
    <row r="366" spans="1:17">
      <c r="A366" s="2">
        <v>2314</v>
      </c>
      <c r="B366" s="7">
        <v>0</v>
      </c>
      <c r="C366" s="7">
        <v>0</v>
      </c>
      <c r="D366" s="7">
        <v>0</v>
      </c>
      <c r="E366" s="7">
        <v>0</v>
      </c>
      <c r="F366" s="7">
        <v>0</v>
      </c>
      <c r="G366" s="7">
        <v>0</v>
      </c>
      <c r="H366" s="7">
        <v>0</v>
      </c>
      <c r="I366" s="7">
        <v>0</v>
      </c>
      <c r="J366" s="7">
        <v>0</v>
      </c>
      <c r="K366" s="7">
        <v>0</v>
      </c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</row>
    <row r="367" spans="1:17">
      <c r="A367" s="2">
        <v>2315</v>
      </c>
      <c r="B367" s="7">
        <v>0</v>
      </c>
      <c r="C367" s="7">
        <v>0</v>
      </c>
      <c r="D367" s="7">
        <v>0</v>
      </c>
      <c r="E367" s="7">
        <v>0</v>
      </c>
      <c r="F367" s="7">
        <v>0</v>
      </c>
      <c r="G367" s="7">
        <v>0</v>
      </c>
      <c r="H367" s="7">
        <v>0</v>
      </c>
      <c r="I367" s="7">
        <v>0</v>
      </c>
      <c r="J367" s="7">
        <v>0</v>
      </c>
      <c r="K367" s="7">
        <v>0</v>
      </c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</row>
    <row r="368" spans="1:17">
      <c r="A368" s="2">
        <v>2316</v>
      </c>
      <c r="B368" s="7">
        <v>0</v>
      </c>
      <c r="C368" s="7">
        <v>0</v>
      </c>
      <c r="D368" s="7">
        <v>0</v>
      </c>
      <c r="E368" s="7">
        <v>0</v>
      </c>
      <c r="F368" s="7">
        <v>0</v>
      </c>
      <c r="G368" s="7">
        <v>0</v>
      </c>
      <c r="H368" s="7">
        <v>0</v>
      </c>
      <c r="I368" s="7">
        <v>0</v>
      </c>
      <c r="J368" s="7">
        <v>0</v>
      </c>
      <c r="K368" s="7">
        <v>0</v>
      </c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</row>
    <row r="369" spans="1:17">
      <c r="A369" s="2">
        <v>2317</v>
      </c>
      <c r="B369" s="7">
        <v>0</v>
      </c>
      <c r="C369" s="7">
        <v>0</v>
      </c>
      <c r="D369" s="7">
        <v>0</v>
      </c>
      <c r="E369" s="7">
        <v>0</v>
      </c>
      <c r="F369" s="7">
        <v>0</v>
      </c>
      <c r="G369" s="7">
        <v>0</v>
      </c>
      <c r="H369" s="7">
        <v>0</v>
      </c>
      <c r="I369" s="7">
        <v>0</v>
      </c>
      <c r="J369" s="7">
        <v>0</v>
      </c>
      <c r="K369" s="7">
        <v>0</v>
      </c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</row>
    <row r="370" spans="1:17">
      <c r="A370" s="2">
        <v>2318</v>
      </c>
      <c r="B370" s="7">
        <v>0</v>
      </c>
      <c r="C370" s="7">
        <v>0</v>
      </c>
      <c r="D370" s="7">
        <v>0</v>
      </c>
      <c r="E370" s="7">
        <v>0</v>
      </c>
      <c r="F370" s="7">
        <v>0</v>
      </c>
      <c r="G370" s="7">
        <v>0</v>
      </c>
      <c r="H370" s="7">
        <v>0</v>
      </c>
      <c r="I370" s="7">
        <v>0</v>
      </c>
      <c r="J370" s="7">
        <v>0</v>
      </c>
      <c r="K370" s="7">
        <v>0</v>
      </c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</row>
    <row r="371" spans="1:17">
      <c r="A371" s="2">
        <v>2319</v>
      </c>
      <c r="B371" s="7">
        <v>0</v>
      </c>
      <c r="C371" s="7">
        <v>0</v>
      </c>
      <c r="D371" s="7">
        <v>0</v>
      </c>
      <c r="E371" s="7">
        <v>0</v>
      </c>
      <c r="F371" s="7">
        <v>0</v>
      </c>
      <c r="G371" s="7">
        <v>0</v>
      </c>
      <c r="H371" s="7">
        <v>0</v>
      </c>
      <c r="I371" s="7">
        <v>0</v>
      </c>
      <c r="J371" s="7">
        <v>0</v>
      </c>
      <c r="K371" s="7">
        <v>0</v>
      </c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</row>
    <row r="372" spans="1:17">
      <c r="A372" s="2">
        <v>2320</v>
      </c>
      <c r="B372" s="7">
        <v>0</v>
      </c>
      <c r="C372" s="7">
        <v>0</v>
      </c>
      <c r="D372" s="7">
        <v>0</v>
      </c>
      <c r="E372" s="7">
        <v>0</v>
      </c>
      <c r="F372" s="7">
        <v>0</v>
      </c>
      <c r="G372" s="7">
        <v>0</v>
      </c>
      <c r="H372" s="7">
        <v>0</v>
      </c>
      <c r="I372" s="7">
        <v>0</v>
      </c>
      <c r="J372" s="7">
        <v>0</v>
      </c>
      <c r="K372" s="7">
        <v>0</v>
      </c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</row>
    <row r="373" spans="1:17">
      <c r="A373" s="2">
        <v>2321</v>
      </c>
      <c r="B373" s="7">
        <v>0</v>
      </c>
      <c r="C373" s="7">
        <v>0</v>
      </c>
      <c r="D373" s="7">
        <v>0</v>
      </c>
      <c r="E373" s="7">
        <v>0</v>
      </c>
      <c r="F373" s="7">
        <v>0</v>
      </c>
      <c r="G373" s="7">
        <v>0</v>
      </c>
      <c r="H373" s="7">
        <v>0</v>
      </c>
      <c r="I373" s="7">
        <v>0</v>
      </c>
      <c r="J373" s="7">
        <v>0</v>
      </c>
      <c r="K373" s="7">
        <v>0</v>
      </c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</row>
    <row r="374" spans="1:17">
      <c r="A374" s="2">
        <v>2322</v>
      </c>
      <c r="B374" s="7">
        <v>0</v>
      </c>
      <c r="C374" s="7">
        <v>0</v>
      </c>
      <c r="D374" s="7">
        <v>0</v>
      </c>
      <c r="E374" s="7">
        <v>0</v>
      </c>
      <c r="F374" s="7">
        <v>0</v>
      </c>
      <c r="G374" s="7">
        <v>0</v>
      </c>
      <c r="H374" s="7">
        <v>0</v>
      </c>
      <c r="I374" s="7">
        <v>0</v>
      </c>
      <c r="J374" s="7">
        <v>0</v>
      </c>
      <c r="K374" s="7">
        <v>0</v>
      </c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</row>
    <row r="375" spans="1:17">
      <c r="A375" s="2">
        <v>2323</v>
      </c>
      <c r="B375" s="7">
        <v>0</v>
      </c>
      <c r="C375" s="7">
        <v>0</v>
      </c>
      <c r="D375" s="7">
        <v>0</v>
      </c>
      <c r="E375" s="7">
        <v>0</v>
      </c>
      <c r="F375" s="7">
        <v>0</v>
      </c>
      <c r="G375" s="7">
        <v>0</v>
      </c>
      <c r="H375" s="7">
        <v>0</v>
      </c>
      <c r="I375" s="7">
        <v>0</v>
      </c>
      <c r="J375" s="7">
        <v>0</v>
      </c>
      <c r="K375" s="7">
        <v>0</v>
      </c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</row>
    <row r="376" spans="1:17">
      <c r="A376" s="2">
        <v>2324</v>
      </c>
      <c r="B376" s="7">
        <v>0</v>
      </c>
      <c r="C376" s="7">
        <v>0</v>
      </c>
      <c r="D376" s="7">
        <v>0</v>
      </c>
      <c r="E376" s="7">
        <v>0</v>
      </c>
      <c r="F376" s="7">
        <v>0</v>
      </c>
      <c r="G376" s="7">
        <v>0</v>
      </c>
      <c r="H376" s="7">
        <v>0</v>
      </c>
      <c r="I376" s="7">
        <v>0</v>
      </c>
      <c r="J376" s="7">
        <v>0</v>
      </c>
      <c r="K376" s="7">
        <v>0</v>
      </c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</row>
    <row r="377" spans="1:17">
      <c r="A377" s="2">
        <v>2325</v>
      </c>
      <c r="B377" s="7">
        <v>0</v>
      </c>
      <c r="C377" s="7">
        <v>0</v>
      </c>
      <c r="D377" s="7">
        <v>0</v>
      </c>
      <c r="E377" s="7">
        <v>0</v>
      </c>
      <c r="F377" s="7">
        <v>0</v>
      </c>
      <c r="G377" s="7">
        <v>0</v>
      </c>
      <c r="H377" s="7">
        <v>0</v>
      </c>
      <c r="I377" s="7">
        <v>0</v>
      </c>
      <c r="J377" s="7">
        <v>0</v>
      </c>
      <c r="K377" s="7">
        <v>0</v>
      </c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</row>
    <row r="378" spans="1:17">
      <c r="A378" s="2">
        <v>2326</v>
      </c>
      <c r="B378" s="7">
        <v>0</v>
      </c>
      <c r="C378" s="7">
        <v>0</v>
      </c>
      <c r="D378" s="7">
        <v>0</v>
      </c>
      <c r="E378" s="7">
        <v>0</v>
      </c>
      <c r="F378" s="7">
        <v>0</v>
      </c>
      <c r="G378" s="7">
        <v>0</v>
      </c>
      <c r="H378" s="7">
        <v>0</v>
      </c>
      <c r="I378" s="7">
        <v>0</v>
      </c>
      <c r="J378" s="7">
        <v>0</v>
      </c>
      <c r="K378" s="7">
        <v>0</v>
      </c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</row>
    <row r="379" spans="1:17">
      <c r="A379" s="2">
        <v>2327</v>
      </c>
      <c r="B379" s="7">
        <v>0</v>
      </c>
      <c r="C379" s="7">
        <v>0</v>
      </c>
      <c r="D379" s="7">
        <v>0</v>
      </c>
      <c r="E379" s="7">
        <v>0</v>
      </c>
      <c r="F379" s="7">
        <v>0</v>
      </c>
      <c r="G379" s="7">
        <v>0</v>
      </c>
      <c r="H379" s="7">
        <v>0</v>
      </c>
      <c r="I379" s="7">
        <v>0</v>
      </c>
      <c r="J379" s="7">
        <v>0</v>
      </c>
      <c r="K379" s="7">
        <v>0</v>
      </c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</row>
    <row r="380" spans="1:17">
      <c r="A380" s="2">
        <v>2328</v>
      </c>
      <c r="B380" s="7">
        <v>0</v>
      </c>
      <c r="C380" s="7">
        <v>0</v>
      </c>
      <c r="D380" s="7">
        <v>0</v>
      </c>
      <c r="E380" s="7">
        <v>0</v>
      </c>
      <c r="F380" s="7">
        <v>0</v>
      </c>
      <c r="G380" s="7">
        <v>0</v>
      </c>
      <c r="H380" s="7">
        <v>0</v>
      </c>
      <c r="I380" s="7">
        <v>0</v>
      </c>
      <c r="J380" s="7">
        <v>0</v>
      </c>
      <c r="K380" s="7">
        <v>0</v>
      </c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</row>
    <row r="381" spans="1:17">
      <c r="A381" s="2">
        <v>2329</v>
      </c>
      <c r="B381" s="7">
        <v>0</v>
      </c>
      <c r="C381" s="7">
        <v>0</v>
      </c>
      <c r="D381" s="7">
        <v>0</v>
      </c>
      <c r="E381" s="7">
        <v>0</v>
      </c>
      <c r="F381" s="7">
        <v>0</v>
      </c>
      <c r="G381" s="7">
        <v>0</v>
      </c>
      <c r="H381" s="7">
        <v>0</v>
      </c>
      <c r="I381" s="7">
        <v>0</v>
      </c>
      <c r="J381" s="7">
        <v>0</v>
      </c>
      <c r="K381" s="7">
        <v>0</v>
      </c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</row>
    <row r="382" spans="1:17">
      <c r="A382" s="2">
        <v>2330</v>
      </c>
      <c r="B382" s="7">
        <v>0</v>
      </c>
      <c r="C382" s="7">
        <v>0</v>
      </c>
      <c r="D382" s="7">
        <v>0</v>
      </c>
      <c r="E382" s="7">
        <v>0</v>
      </c>
      <c r="F382" s="7">
        <v>0</v>
      </c>
      <c r="G382" s="7">
        <v>0</v>
      </c>
      <c r="H382" s="7">
        <v>0</v>
      </c>
      <c r="I382" s="7">
        <v>0</v>
      </c>
      <c r="J382" s="7">
        <v>0</v>
      </c>
      <c r="K382" s="7">
        <v>0</v>
      </c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</row>
    <row r="383" spans="1:17">
      <c r="A383" s="2">
        <v>2331</v>
      </c>
      <c r="B383" s="7">
        <v>0</v>
      </c>
      <c r="C383" s="7">
        <v>0</v>
      </c>
      <c r="D383" s="7">
        <v>0</v>
      </c>
      <c r="E383" s="7">
        <v>0</v>
      </c>
      <c r="F383" s="7">
        <v>0</v>
      </c>
      <c r="G383" s="7">
        <v>0</v>
      </c>
      <c r="H383" s="7">
        <v>0</v>
      </c>
      <c r="I383" s="7">
        <v>0</v>
      </c>
      <c r="J383" s="7">
        <v>0</v>
      </c>
      <c r="K383" s="7">
        <v>0</v>
      </c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</row>
    <row r="384" spans="1:17">
      <c r="A384" s="2">
        <v>2332</v>
      </c>
      <c r="B384" s="7">
        <v>0</v>
      </c>
      <c r="C384" s="7">
        <v>0</v>
      </c>
      <c r="D384" s="7">
        <v>0</v>
      </c>
      <c r="E384" s="7">
        <v>0</v>
      </c>
      <c r="F384" s="7">
        <v>0</v>
      </c>
      <c r="G384" s="7">
        <v>0</v>
      </c>
      <c r="H384" s="7">
        <v>0</v>
      </c>
      <c r="I384" s="7">
        <v>0</v>
      </c>
      <c r="J384" s="7">
        <v>0</v>
      </c>
      <c r="K384" s="7">
        <v>0</v>
      </c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</row>
    <row r="385" spans="1:17">
      <c r="A385" s="2">
        <v>2333</v>
      </c>
      <c r="B385" s="7">
        <v>0</v>
      </c>
      <c r="C385" s="7">
        <v>0</v>
      </c>
      <c r="D385" s="7">
        <v>0</v>
      </c>
      <c r="E385" s="7">
        <v>0</v>
      </c>
      <c r="F385" s="7">
        <v>0</v>
      </c>
      <c r="G385" s="7">
        <v>0</v>
      </c>
      <c r="H385" s="7">
        <v>0</v>
      </c>
      <c r="I385" s="7">
        <v>0</v>
      </c>
      <c r="J385" s="7">
        <v>0</v>
      </c>
      <c r="K385" s="7">
        <v>0</v>
      </c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</row>
    <row r="386" spans="1:17">
      <c r="A386" s="2">
        <v>2334</v>
      </c>
      <c r="B386" s="7">
        <v>0</v>
      </c>
      <c r="C386" s="7">
        <v>0</v>
      </c>
      <c r="D386" s="7">
        <v>0</v>
      </c>
      <c r="E386" s="7">
        <v>0</v>
      </c>
      <c r="F386" s="7">
        <v>0</v>
      </c>
      <c r="G386" s="7">
        <v>0</v>
      </c>
      <c r="H386" s="7">
        <v>0</v>
      </c>
      <c r="I386" s="7">
        <v>0</v>
      </c>
      <c r="J386" s="7">
        <v>0</v>
      </c>
      <c r="K386" s="7">
        <v>0</v>
      </c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</row>
    <row r="387" spans="1:17">
      <c r="A387" s="2">
        <v>2335</v>
      </c>
      <c r="B387" s="7">
        <v>0</v>
      </c>
      <c r="C387" s="7">
        <v>0</v>
      </c>
      <c r="D387" s="7">
        <v>0</v>
      </c>
      <c r="E387" s="7">
        <v>0</v>
      </c>
      <c r="F387" s="7">
        <v>0</v>
      </c>
      <c r="G387" s="7">
        <v>0</v>
      </c>
      <c r="H387" s="7">
        <v>0</v>
      </c>
      <c r="I387" s="7">
        <v>0</v>
      </c>
      <c r="J387" s="7">
        <v>0</v>
      </c>
      <c r="K387" s="7">
        <v>0</v>
      </c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</row>
    <row r="388" spans="1:17">
      <c r="A388" s="2">
        <v>2336</v>
      </c>
      <c r="B388" s="7">
        <v>0</v>
      </c>
      <c r="C388" s="7">
        <v>0</v>
      </c>
      <c r="D388" s="7">
        <v>0</v>
      </c>
      <c r="E388" s="7">
        <v>0</v>
      </c>
      <c r="F388" s="7">
        <v>0</v>
      </c>
      <c r="G388" s="7">
        <v>0</v>
      </c>
      <c r="H388" s="7">
        <v>0</v>
      </c>
      <c r="I388" s="7">
        <v>0</v>
      </c>
      <c r="J388" s="7">
        <v>0</v>
      </c>
      <c r="K388" s="7">
        <v>0</v>
      </c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</row>
    <row r="389" spans="1:17">
      <c r="A389" s="2">
        <v>2337</v>
      </c>
      <c r="B389" s="7">
        <v>0</v>
      </c>
      <c r="C389" s="7">
        <v>0</v>
      </c>
      <c r="D389" s="7">
        <v>0</v>
      </c>
      <c r="E389" s="7">
        <v>0</v>
      </c>
      <c r="F389" s="7">
        <v>0</v>
      </c>
      <c r="G389" s="7">
        <v>0</v>
      </c>
      <c r="H389" s="7">
        <v>0</v>
      </c>
      <c r="I389" s="7">
        <v>0</v>
      </c>
      <c r="J389" s="7">
        <v>0</v>
      </c>
      <c r="K389" s="7">
        <v>0</v>
      </c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</row>
    <row r="390" spans="1:17">
      <c r="A390" s="2">
        <v>2338</v>
      </c>
      <c r="B390" s="7">
        <v>0</v>
      </c>
      <c r="C390" s="7">
        <v>0</v>
      </c>
      <c r="D390" s="7">
        <v>0</v>
      </c>
      <c r="E390" s="7">
        <v>0</v>
      </c>
      <c r="F390" s="7">
        <v>0</v>
      </c>
      <c r="G390" s="7">
        <v>0</v>
      </c>
      <c r="H390" s="7">
        <v>0</v>
      </c>
      <c r="I390" s="7">
        <v>0</v>
      </c>
      <c r="J390" s="7">
        <v>0</v>
      </c>
      <c r="K390" s="7">
        <v>0</v>
      </c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</row>
    <row r="391" spans="1:17">
      <c r="A391" s="2">
        <v>2339</v>
      </c>
      <c r="B391" s="7">
        <v>0</v>
      </c>
      <c r="C391" s="7">
        <v>0</v>
      </c>
      <c r="D391" s="7">
        <v>0</v>
      </c>
      <c r="E391" s="7">
        <v>0</v>
      </c>
      <c r="F391" s="7">
        <v>0</v>
      </c>
      <c r="G391" s="7">
        <v>0</v>
      </c>
      <c r="H391" s="7">
        <v>0</v>
      </c>
      <c r="I391" s="7">
        <v>0</v>
      </c>
      <c r="J391" s="7">
        <v>0</v>
      </c>
      <c r="K391" s="7">
        <v>0</v>
      </c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</row>
    <row r="392" spans="1:17">
      <c r="A392" s="2">
        <v>2340</v>
      </c>
      <c r="B392" s="7">
        <v>0</v>
      </c>
      <c r="C392" s="7">
        <v>0</v>
      </c>
      <c r="D392" s="7">
        <v>0</v>
      </c>
      <c r="E392" s="7">
        <v>0</v>
      </c>
      <c r="F392" s="7">
        <v>0</v>
      </c>
      <c r="G392" s="7">
        <v>0</v>
      </c>
      <c r="H392" s="7">
        <v>0</v>
      </c>
      <c r="I392" s="7">
        <v>0</v>
      </c>
      <c r="J392" s="7">
        <v>0</v>
      </c>
      <c r="K392" s="7">
        <v>0</v>
      </c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</row>
    <row r="393" spans="1:17">
      <c r="A393" s="2">
        <v>2341</v>
      </c>
      <c r="B393" s="7">
        <v>0</v>
      </c>
      <c r="C393" s="7">
        <v>0</v>
      </c>
      <c r="D393" s="7">
        <v>0</v>
      </c>
      <c r="E393" s="7">
        <v>0</v>
      </c>
      <c r="F393" s="7">
        <v>0</v>
      </c>
      <c r="G393" s="7">
        <v>0</v>
      </c>
      <c r="H393" s="7">
        <v>0</v>
      </c>
      <c r="I393" s="7">
        <v>0</v>
      </c>
      <c r="J393" s="7">
        <v>0</v>
      </c>
      <c r="K393" s="7">
        <v>0</v>
      </c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</row>
    <row r="394" spans="1:17">
      <c r="A394" s="2">
        <v>2342</v>
      </c>
      <c r="B394" s="7">
        <v>0</v>
      </c>
      <c r="C394" s="7">
        <v>0</v>
      </c>
      <c r="D394" s="7">
        <v>0</v>
      </c>
      <c r="E394" s="7">
        <v>0</v>
      </c>
      <c r="F394" s="7">
        <v>0</v>
      </c>
      <c r="G394" s="7">
        <v>0</v>
      </c>
      <c r="H394" s="7">
        <v>0</v>
      </c>
      <c r="I394" s="7">
        <v>0</v>
      </c>
      <c r="J394" s="7">
        <v>0</v>
      </c>
      <c r="K394" s="7">
        <v>0</v>
      </c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</row>
    <row r="395" spans="1:17">
      <c r="A395" s="2">
        <v>2343</v>
      </c>
      <c r="B395" s="7">
        <v>0</v>
      </c>
      <c r="C395" s="7">
        <v>0</v>
      </c>
      <c r="D395" s="7">
        <v>0</v>
      </c>
      <c r="E395" s="7">
        <v>0</v>
      </c>
      <c r="F395" s="7">
        <v>0</v>
      </c>
      <c r="G395" s="7">
        <v>0</v>
      </c>
      <c r="H395" s="7">
        <v>0</v>
      </c>
      <c r="I395" s="7">
        <v>0</v>
      </c>
      <c r="J395" s="7">
        <v>0</v>
      </c>
      <c r="K395" s="7">
        <v>0</v>
      </c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</row>
    <row r="396" spans="1:17">
      <c r="A396" s="2">
        <v>2344</v>
      </c>
      <c r="B396" s="7">
        <v>0</v>
      </c>
      <c r="C396" s="7">
        <v>0</v>
      </c>
      <c r="D396" s="7">
        <v>0</v>
      </c>
      <c r="E396" s="7">
        <v>0</v>
      </c>
      <c r="F396" s="7">
        <v>0</v>
      </c>
      <c r="G396" s="7">
        <v>0</v>
      </c>
      <c r="H396" s="7">
        <v>0</v>
      </c>
      <c r="I396" s="7">
        <v>0</v>
      </c>
      <c r="J396" s="7">
        <v>0</v>
      </c>
      <c r="K396" s="7">
        <v>0</v>
      </c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</row>
    <row r="397" spans="1:17">
      <c r="A397" s="2">
        <v>2345</v>
      </c>
      <c r="B397" s="7">
        <v>0</v>
      </c>
      <c r="C397" s="7">
        <v>0</v>
      </c>
      <c r="D397" s="7">
        <v>0</v>
      </c>
      <c r="E397" s="7">
        <v>0</v>
      </c>
      <c r="F397" s="7">
        <v>0</v>
      </c>
      <c r="G397" s="7">
        <v>0</v>
      </c>
      <c r="H397" s="7">
        <v>0</v>
      </c>
      <c r="I397" s="7">
        <v>0</v>
      </c>
      <c r="J397" s="7">
        <v>0</v>
      </c>
      <c r="K397" s="7">
        <v>0</v>
      </c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</row>
    <row r="398" spans="1:17">
      <c r="A398" s="2">
        <v>2346</v>
      </c>
      <c r="B398" s="7">
        <v>0</v>
      </c>
      <c r="C398" s="7">
        <v>0</v>
      </c>
      <c r="D398" s="7">
        <v>0</v>
      </c>
      <c r="E398" s="7">
        <v>0</v>
      </c>
      <c r="F398" s="7">
        <v>0</v>
      </c>
      <c r="G398" s="7">
        <v>0</v>
      </c>
      <c r="H398" s="7">
        <v>0</v>
      </c>
      <c r="I398" s="7">
        <v>0</v>
      </c>
      <c r="J398" s="7">
        <v>0</v>
      </c>
      <c r="K398" s="7">
        <v>0</v>
      </c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</row>
    <row r="399" spans="1:17">
      <c r="A399" s="2">
        <v>2347</v>
      </c>
      <c r="B399" s="7">
        <v>0</v>
      </c>
      <c r="C399" s="7">
        <v>0</v>
      </c>
      <c r="D399" s="7">
        <v>0</v>
      </c>
      <c r="E399" s="7">
        <v>0</v>
      </c>
      <c r="F399" s="7">
        <v>0</v>
      </c>
      <c r="G399" s="7">
        <v>0</v>
      </c>
      <c r="H399" s="7">
        <v>0</v>
      </c>
      <c r="I399" s="7">
        <v>0</v>
      </c>
      <c r="J399" s="7">
        <v>0</v>
      </c>
      <c r="K399" s="7">
        <v>0</v>
      </c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</row>
    <row r="400" spans="1:17">
      <c r="A400" s="2">
        <v>2348</v>
      </c>
      <c r="B400" s="7">
        <v>0</v>
      </c>
      <c r="C400" s="7">
        <v>0</v>
      </c>
      <c r="D400" s="7">
        <v>0</v>
      </c>
      <c r="E400" s="7">
        <v>0</v>
      </c>
      <c r="F400" s="7">
        <v>0</v>
      </c>
      <c r="G400" s="7">
        <v>0</v>
      </c>
      <c r="H400" s="7">
        <v>0</v>
      </c>
      <c r="I400" s="7">
        <v>0</v>
      </c>
      <c r="J400" s="7">
        <v>0</v>
      </c>
      <c r="K400" s="7">
        <v>0</v>
      </c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</row>
    <row r="401" spans="1:17">
      <c r="A401" s="2">
        <v>2349</v>
      </c>
      <c r="B401" s="7">
        <v>0</v>
      </c>
      <c r="C401" s="7">
        <v>0</v>
      </c>
      <c r="D401" s="7">
        <v>0</v>
      </c>
      <c r="E401" s="7">
        <v>0</v>
      </c>
      <c r="F401" s="7">
        <v>0</v>
      </c>
      <c r="G401" s="7">
        <v>0</v>
      </c>
      <c r="H401" s="7">
        <v>0</v>
      </c>
      <c r="I401" s="7">
        <v>0</v>
      </c>
      <c r="J401" s="7">
        <v>0</v>
      </c>
      <c r="K401" s="7">
        <v>0</v>
      </c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</row>
    <row r="402" spans="1:17">
      <c r="A402" s="2">
        <v>2350</v>
      </c>
      <c r="B402" s="7">
        <v>0</v>
      </c>
      <c r="C402" s="7">
        <v>0</v>
      </c>
      <c r="D402" s="7">
        <v>0</v>
      </c>
      <c r="E402" s="7">
        <v>0</v>
      </c>
      <c r="F402" s="7">
        <v>0</v>
      </c>
      <c r="G402" s="7">
        <v>0</v>
      </c>
      <c r="H402" s="7">
        <v>0</v>
      </c>
      <c r="I402" s="7">
        <v>0</v>
      </c>
      <c r="J402" s="7">
        <v>0</v>
      </c>
      <c r="K402" s="7">
        <v>0</v>
      </c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</row>
    <row r="403" spans="1:17">
      <c r="A403" s="2">
        <v>2351</v>
      </c>
      <c r="B403" s="7">
        <v>0</v>
      </c>
      <c r="C403" s="7">
        <v>0</v>
      </c>
      <c r="D403" s="7">
        <v>0</v>
      </c>
      <c r="E403" s="7">
        <v>0</v>
      </c>
      <c r="F403" s="7">
        <v>0</v>
      </c>
      <c r="G403" s="7">
        <v>0</v>
      </c>
      <c r="H403" s="7">
        <v>0</v>
      </c>
      <c r="I403" s="7">
        <v>0</v>
      </c>
      <c r="J403" s="7">
        <v>0</v>
      </c>
      <c r="K403" s="7">
        <v>0</v>
      </c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</row>
    <row r="404" spans="1:17">
      <c r="A404" s="2">
        <v>2352</v>
      </c>
      <c r="B404" s="7">
        <v>0</v>
      </c>
      <c r="C404" s="7">
        <v>0</v>
      </c>
      <c r="D404" s="7">
        <v>0</v>
      </c>
      <c r="E404" s="7">
        <v>0</v>
      </c>
      <c r="F404" s="7">
        <v>0</v>
      </c>
      <c r="G404" s="7">
        <v>0</v>
      </c>
      <c r="H404" s="7">
        <v>0</v>
      </c>
      <c r="I404" s="7">
        <v>0</v>
      </c>
      <c r="J404" s="7">
        <v>0</v>
      </c>
      <c r="K404" s="7">
        <v>0</v>
      </c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</row>
    <row r="405" spans="1:17">
      <c r="A405" s="2">
        <v>2353</v>
      </c>
      <c r="B405" s="7">
        <v>0</v>
      </c>
      <c r="C405" s="7">
        <v>0</v>
      </c>
      <c r="D405" s="7">
        <v>0</v>
      </c>
      <c r="E405" s="7">
        <v>0</v>
      </c>
      <c r="F405" s="7">
        <v>0</v>
      </c>
      <c r="G405" s="7">
        <v>0</v>
      </c>
      <c r="H405" s="7">
        <v>0</v>
      </c>
      <c r="I405" s="7">
        <v>0</v>
      </c>
      <c r="J405" s="7">
        <v>0</v>
      </c>
      <c r="K405" s="7">
        <v>0</v>
      </c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</row>
    <row r="406" spans="1:17">
      <c r="A406" s="2">
        <v>2354</v>
      </c>
      <c r="B406" s="7">
        <v>0</v>
      </c>
      <c r="C406" s="7">
        <v>0</v>
      </c>
      <c r="D406" s="7">
        <v>0</v>
      </c>
      <c r="E406" s="7">
        <v>0</v>
      </c>
      <c r="F406" s="7">
        <v>0</v>
      </c>
      <c r="G406" s="7">
        <v>0</v>
      </c>
      <c r="H406" s="7">
        <v>0</v>
      </c>
      <c r="I406" s="7">
        <v>0</v>
      </c>
      <c r="J406" s="7">
        <v>0</v>
      </c>
      <c r="K406" s="7">
        <v>0</v>
      </c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</row>
    <row r="407" spans="1:17">
      <c r="A407" s="2">
        <v>2355</v>
      </c>
      <c r="B407" s="7">
        <v>0</v>
      </c>
      <c r="C407" s="7">
        <v>0</v>
      </c>
      <c r="D407" s="7">
        <v>0</v>
      </c>
      <c r="E407" s="7">
        <v>0</v>
      </c>
      <c r="F407" s="7">
        <v>0</v>
      </c>
      <c r="G407" s="7">
        <v>0</v>
      </c>
      <c r="H407" s="7">
        <v>0</v>
      </c>
      <c r="I407" s="7">
        <v>0</v>
      </c>
      <c r="J407" s="7">
        <v>0</v>
      </c>
      <c r="K407" s="7">
        <v>0</v>
      </c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</row>
    <row r="408" spans="1:17">
      <c r="A408" s="2">
        <v>2356</v>
      </c>
      <c r="B408" s="7">
        <v>0</v>
      </c>
      <c r="C408" s="7">
        <v>0</v>
      </c>
      <c r="D408" s="7">
        <v>0</v>
      </c>
      <c r="E408" s="7">
        <v>0</v>
      </c>
      <c r="F408" s="7">
        <v>0</v>
      </c>
      <c r="G408" s="7">
        <v>0</v>
      </c>
      <c r="H408" s="7">
        <v>0</v>
      </c>
      <c r="I408" s="7">
        <v>0</v>
      </c>
      <c r="J408" s="7">
        <v>0</v>
      </c>
      <c r="K408" s="7">
        <v>0</v>
      </c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</row>
    <row r="409" spans="1:17">
      <c r="A409" s="2">
        <v>2357</v>
      </c>
      <c r="B409" s="7">
        <v>0</v>
      </c>
      <c r="C409" s="7">
        <v>0</v>
      </c>
      <c r="D409" s="7">
        <v>0</v>
      </c>
      <c r="E409" s="7">
        <v>0</v>
      </c>
      <c r="F409" s="7">
        <v>0</v>
      </c>
      <c r="G409" s="7">
        <v>0</v>
      </c>
      <c r="H409" s="7">
        <v>0</v>
      </c>
      <c r="I409" s="7">
        <v>0</v>
      </c>
      <c r="J409" s="7">
        <v>0</v>
      </c>
      <c r="K409" s="7">
        <v>0</v>
      </c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</row>
    <row r="410" spans="1:17">
      <c r="A410" s="2">
        <v>2358</v>
      </c>
      <c r="B410" s="7">
        <v>0</v>
      </c>
      <c r="C410" s="7">
        <v>0</v>
      </c>
      <c r="D410" s="7">
        <v>0</v>
      </c>
      <c r="E410" s="7">
        <v>0</v>
      </c>
      <c r="F410" s="7">
        <v>0</v>
      </c>
      <c r="G410" s="7">
        <v>0</v>
      </c>
      <c r="H410" s="7">
        <v>0</v>
      </c>
      <c r="I410" s="7">
        <v>0</v>
      </c>
      <c r="J410" s="7">
        <v>0</v>
      </c>
      <c r="K410" s="7">
        <v>0</v>
      </c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</row>
    <row r="411" spans="1:17">
      <c r="A411" s="2">
        <v>2359</v>
      </c>
      <c r="B411" s="7">
        <v>0</v>
      </c>
      <c r="C411" s="7">
        <v>0</v>
      </c>
      <c r="D411" s="7">
        <v>0</v>
      </c>
      <c r="E411" s="7">
        <v>0</v>
      </c>
      <c r="F411" s="7">
        <v>0</v>
      </c>
      <c r="G411" s="7">
        <v>0</v>
      </c>
      <c r="H411" s="7">
        <v>0</v>
      </c>
      <c r="I411" s="7">
        <v>0</v>
      </c>
      <c r="J411" s="7">
        <v>0</v>
      </c>
      <c r="K411" s="7">
        <v>0</v>
      </c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</row>
    <row r="412" spans="1:17">
      <c r="A412" s="2">
        <v>2360</v>
      </c>
      <c r="B412" s="7">
        <v>0</v>
      </c>
      <c r="C412" s="7">
        <v>0</v>
      </c>
      <c r="D412" s="7">
        <v>0</v>
      </c>
      <c r="E412" s="7">
        <v>0</v>
      </c>
      <c r="F412" s="7">
        <v>0</v>
      </c>
      <c r="G412" s="7">
        <v>0</v>
      </c>
      <c r="H412" s="7">
        <v>0</v>
      </c>
      <c r="I412" s="7">
        <v>0</v>
      </c>
      <c r="J412" s="7">
        <v>0</v>
      </c>
      <c r="K412" s="7">
        <v>0</v>
      </c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</row>
    <row r="413" spans="1:17">
      <c r="A413" s="2">
        <v>2361</v>
      </c>
      <c r="B413" s="7">
        <v>0</v>
      </c>
      <c r="C413" s="7">
        <v>0</v>
      </c>
      <c r="D413" s="7">
        <v>0</v>
      </c>
      <c r="E413" s="7">
        <v>0</v>
      </c>
      <c r="F413" s="7">
        <v>0</v>
      </c>
      <c r="G413" s="7">
        <v>0</v>
      </c>
      <c r="H413" s="7">
        <v>0</v>
      </c>
      <c r="I413" s="7">
        <v>0</v>
      </c>
      <c r="J413" s="7">
        <v>0</v>
      </c>
      <c r="K413" s="7">
        <v>0</v>
      </c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</row>
    <row r="414" spans="1:17">
      <c r="A414" s="2">
        <v>2362</v>
      </c>
      <c r="B414" s="7">
        <v>0</v>
      </c>
      <c r="C414" s="7">
        <v>0</v>
      </c>
      <c r="D414" s="7">
        <v>0</v>
      </c>
      <c r="E414" s="7">
        <v>0</v>
      </c>
      <c r="F414" s="7">
        <v>0</v>
      </c>
      <c r="G414" s="7">
        <v>0</v>
      </c>
      <c r="H414" s="7">
        <v>0</v>
      </c>
      <c r="I414" s="7">
        <v>0</v>
      </c>
      <c r="J414" s="7">
        <v>0</v>
      </c>
      <c r="K414" s="7">
        <v>0</v>
      </c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</row>
    <row r="415" spans="1:17">
      <c r="A415" s="2">
        <v>2363</v>
      </c>
      <c r="B415" s="7">
        <v>0</v>
      </c>
      <c r="C415" s="7">
        <v>0</v>
      </c>
      <c r="D415" s="7">
        <v>0</v>
      </c>
      <c r="E415" s="7">
        <v>0</v>
      </c>
      <c r="F415" s="7">
        <v>0</v>
      </c>
      <c r="G415" s="7">
        <v>0</v>
      </c>
      <c r="H415" s="7">
        <v>0</v>
      </c>
      <c r="I415" s="7">
        <v>0</v>
      </c>
      <c r="J415" s="7">
        <v>0</v>
      </c>
      <c r="K415" s="7">
        <v>0</v>
      </c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</row>
    <row r="416" spans="1:17">
      <c r="A416" s="2">
        <v>2364</v>
      </c>
      <c r="B416" s="7">
        <v>0</v>
      </c>
      <c r="C416" s="7">
        <v>0</v>
      </c>
      <c r="D416" s="7">
        <v>0</v>
      </c>
      <c r="E416" s="7">
        <v>0</v>
      </c>
      <c r="F416" s="7">
        <v>0</v>
      </c>
      <c r="G416" s="7">
        <v>0</v>
      </c>
      <c r="H416" s="7">
        <v>0</v>
      </c>
      <c r="I416" s="7">
        <v>0</v>
      </c>
      <c r="J416" s="7">
        <v>0</v>
      </c>
      <c r="K416" s="7">
        <v>0</v>
      </c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</row>
    <row r="417" spans="1:17">
      <c r="A417" s="2">
        <v>2365</v>
      </c>
      <c r="B417" s="7">
        <v>0</v>
      </c>
      <c r="C417" s="7">
        <v>0</v>
      </c>
      <c r="D417" s="7">
        <v>0</v>
      </c>
      <c r="E417" s="7">
        <v>0</v>
      </c>
      <c r="F417" s="7">
        <v>0</v>
      </c>
      <c r="G417" s="7">
        <v>0</v>
      </c>
      <c r="H417" s="7">
        <v>0</v>
      </c>
      <c r="I417" s="7">
        <v>0</v>
      </c>
      <c r="J417" s="7">
        <v>0</v>
      </c>
      <c r="K417" s="7">
        <v>0</v>
      </c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</row>
    <row r="418" spans="1:17">
      <c r="A418" s="2">
        <v>2366</v>
      </c>
      <c r="B418" s="7">
        <v>0</v>
      </c>
      <c r="C418" s="7">
        <v>0</v>
      </c>
      <c r="D418" s="7">
        <v>0</v>
      </c>
      <c r="E418" s="7">
        <v>0</v>
      </c>
      <c r="F418" s="7">
        <v>0</v>
      </c>
      <c r="G418" s="7">
        <v>0</v>
      </c>
      <c r="H418" s="7">
        <v>0</v>
      </c>
      <c r="I418" s="7">
        <v>0</v>
      </c>
      <c r="J418" s="7">
        <v>0</v>
      </c>
      <c r="K418" s="7">
        <v>0</v>
      </c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</row>
    <row r="419" spans="1:17">
      <c r="A419" s="2">
        <v>2367</v>
      </c>
      <c r="B419" s="7">
        <v>0</v>
      </c>
      <c r="C419" s="7">
        <v>0</v>
      </c>
      <c r="D419" s="7">
        <v>0</v>
      </c>
      <c r="E419" s="7">
        <v>0</v>
      </c>
      <c r="F419" s="7">
        <v>0</v>
      </c>
      <c r="G419" s="7">
        <v>0</v>
      </c>
      <c r="H419" s="7">
        <v>0</v>
      </c>
      <c r="I419" s="7">
        <v>0</v>
      </c>
      <c r="J419" s="7">
        <v>0</v>
      </c>
      <c r="K419" s="7">
        <v>0</v>
      </c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</row>
    <row r="420" spans="1:17">
      <c r="A420" s="2">
        <v>2368</v>
      </c>
      <c r="B420" s="7">
        <v>0</v>
      </c>
      <c r="C420" s="7">
        <v>0</v>
      </c>
      <c r="D420" s="7">
        <v>0</v>
      </c>
      <c r="E420" s="7">
        <v>0</v>
      </c>
      <c r="F420" s="7">
        <v>0</v>
      </c>
      <c r="G420" s="7">
        <v>0</v>
      </c>
      <c r="H420" s="7">
        <v>0</v>
      </c>
      <c r="I420" s="7">
        <v>0</v>
      </c>
      <c r="J420" s="7">
        <v>0</v>
      </c>
      <c r="K420" s="7">
        <v>0</v>
      </c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</row>
    <row r="421" spans="1:17">
      <c r="A421" s="2">
        <v>2369</v>
      </c>
      <c r="B421" s="7">
        <v>0</v>
      </c>
      <c r="C421" s="7">
        <v>0</v>
      </c>
      <c r="D421" s="7">
        <v>0</v>
      </c>
      <c r="E421" s="7">
        <v>0</v>
      </c>
      <c r="F421" s="7">
        <v>0</v>
      </c>
      <c r="G421" s="7">
        <v>0</v>
      </c>
      <c r="H421" s="7">
        <v>0</v>
      </c>
      <c r="I421" s="7">
        <v>0</v>
      </c>
      <c r="J421" s="7">
        <v>0</v>
      </c>
      <c r="K421" s="7">
        <v>0</v>
      </c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</row>
    <row r="422" spans="1:17">
      <c r="A422" s="2">
        <v>2370</v>
      </c>
      <c r="B422" s="7">
        <v>0</v>
      </c>
      <c r="C422" s="7">
        <v>0</v>
      </c>
      <c r="D422" s="7">
        <v>0</v>
      </c>
      <c r="E422" s="7">
        <v>0</v>
      </c>
      <c r="F422" s="7">
        <v>0</v>
      </c>
      <c r="G422" s="7">
        <v>0</v>
      </c>
      <c r="H422" s="7">
        <v>0</v>
      </c>
      <c r="I422" s="7">
        <v>0</v>
      </c>
      <c r="J422" s="7">
        <v>0</v>
      </c>
      <c r="K422" s="7">
        <v>0</v>
      </c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</row>
    <row r="423" spans="1:17">
      <c r="A423" s="2">
        <v>2371</v>
      </c>
      <c r="B423" s="7">
        <v>0</v>
      </c>
      <c r="C423" s="7">
        <v>0</v>
      </c>
      <c r="D423" s="7">
        <v>0</v>
      </c>
      <c r="E423" s="7">
        <v>0</v>
      </c>
      <c r="F423" s="7">
        <v>0</v>
      </c>
      <c r="G423" s="7">
        <v>0</v>
      </c>
      <c r="H423" s="7">
        <v>0</v>
      </c>
      <c r="I423" s="7">
        <v>0</v>
      </c>
      <c r="J423" s="7">
        <v>0</v>
      </c>
      <c r="K423" s="7">
        <v>0</v>
      </c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</row>
    <row r="424" spans="1:17">
      <c r="A424" s="2">
        <v>2372</v>
      </c>
      <c r="B424" s="7">
        <v>0</v>
      </c>
      <c r="C424" s="7">
        <v>0</v>
      </c>
      <c r="D424" s="7">
        <v>0</v>
      </c>
      <c r="E424" s="7">
        <v>0</v>
      </c>
      <c r="F424" s="7">
        <v>0</v>
      </c>
      <c r="G424" s="7">
        <v>0</v>
      </c>
      <c r="H424" s="7">
        <v>0</v>
      </c>
      <c r="I424" s="7">
        <v>0</v>
      </c>
      <c r="J424" s="7">
        <v>0</v>
      </c>
      <c r="K424" s="7">
        <v>0</v>
      </c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</row>
    <row r="425" spans="1:17">
      <c r="A425" s="2">
        <v>2373</v>
      </c>
      <c r="B425" s="7">
        <v>0</v>
      </c>
      <c r="C425" s="7">
        <v>0</v>
      </c>
      <c r="D425" s="7">
        <v>0</v>
      </c>
      <c r="E425" s="7">
        <v>0</v>
      </c>
      <c r="F425" s="7">
        <v>0</v>
      </c>
      <c r="G425" s="7">
        <v>0</v>
      </c>
      <c r="H425" s="7">
        <v>0</v>
      </c>
      <c r="I425" s="7">
        <v>0</v>
      </c>
      <c r="J425" s="7">
        <v>0</v>
      </c>
      <c r="K425" s="7">
        <v>0</v>
      </c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</row>
    <row r="426" spans="1:17">
      <c r="A426" s="2">
        <v>2374</v>
      </c>
      <c r="B426" s="7">
        <v>0</v>
      </c>
      <c r="C426" s="7">
        <v>0</v>
      </c>
      <c r="D426" s="7">
        <v>0</v>
      </c>
      <c r="E426" s="7">
        <v>0</v>
      </c>
      <c r="F426" s="7">
        <v>0</v>
      </c>
      <c r="G426" s="7">
        <v>0</v>
      </c>
      <c r="H426" s="7">
        <v>0</v>
      </c>
      <c r="I426" s="7">
        <v>0</v>
      </c>
      <c r="J426" s="7">
        <v>0</v>
      </c>
      <c r="K426" s="7">
        <v>0</v>
      </c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</row>
    <row r="427" spans="1:17">
      <c r="A427" s="2">
        <v>2375</v>
      </c>
      <c r="B427" s="7">
        <v>0</v>
      </c>
      <c r="C427" s="7">
        <v>0</v>
      </c>
      <c r="D427" s="7">
        <v>0</v>
      </c>
      <c r="E427" s="7">
        <v>0</v>
      </c>
      <c r="F427" s="7">
        <v>0</v>
      </c>
      <c r="G427" s="7">
        <v>0</v>
      </c>
      <c r="H427" s="7">
        <v>0</v>
      </c>
      <c r="I427" s="7">
        <v>0</v>
      </c>
      <c r="J427" s="7">
        <v>0</v>
      </c>
      <c r="K427" s="7">
        <v>0</v>
      </c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</row>
    <row r="428" spans="1:17">
      <c r="A428" s="2">
        <v>2376</v>
      </c>
      <c r="B428" s="7">
        <v>0</v>
      </c>
      <c r="C428" s="7">
        <v>0</v>
      </c>
      <c r="D428" s="7">
        <v>0</v>
      </c>
      <c r="E428" s="7">
        <v>0</v>
      </c>
      <c r="F428" s="7">
        <v>0</v>
      </c>
      <c r="G428" s="7">
        <v>0</v>
      </c>
      <c r="H428" s="7">
        <v>0</v>
      </c>
      <c r="I428" s="7">
        <v>0</v>
      </c>
      <c r="J428" s="7">
        <v>0</v>
      </c>
      <c r="K428" s="7">
        <v>0</v>
      </c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</row>
    <row r="429" spans="1:17">
      <c r="A429" s="2">
        <v>2377</v>
      </c>
      <c r="B429" s="7">
        <v>0</v>
      </c>
      <c r="C429" s="7">
        <v>0</v>
      </c>
      <c r="D429" s="7">
        <v>0</v>
      </c>
      <c r="E429" s="7">
        <v>0</v>
      </c>
      <c r="F429" s="7">
        <v>0</v>
      </c>
      <c r="G429" s="7">
        <v>0</v>
      </c>
      <c r="H429" s="7">
        <v>0</v>
      </c>
      <c r="I429" s="7">
        <v>0</v>
      </c>
      <c r="J429" s="7">
        <v>0</v>
      </c>
      <c r="K429" s="7">
        <v>0</v>
      </c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</row>
    <row r="430" spans="1:17">
      <c r="A430" s="2">
        <v>2378</v>
      </c>
      <c r="B430" s="7">
        <v>0</v>
      </c>
      <c r="C430" s="7">
        <v>0</v>
      </c>
      <c r="D430" s="7">
        <v>0</v>
      </c>
      <c r="E430" s="7">
        <v>0</v>
      </c>
      <c r="F430" s="7">
        <v>0</v>
      </c>
      <c r="G430" s="7">
        <v>0</v>
      </c>
      <c r="H430" s="7">
        <v>0</v>
      </c>
      <c r="I430" s="7">
        <v>0</v>
      </c>
      <c r="J430" s="7">
        <v>0</v>
      </c>
      <c r="K430" s="7">
        <v>0</v>
      </c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</row>
    <row r="431" spans="1:17">
      <c r="A431" s="2">
        <v>2379</v>
      </c>
      <c r="B431" s="7">
        <v>0</v>
      </c>
      <c r="C431" s="7">
        <v>0</v>
      </c>
      <c r="D431" s="7">
        <v>0</v>
      </c>
      <c r="E431" s="7">
        <v>0</v>
      </c>
      <c r="F431" s="7">
        <v>0</v>
      </c>
      <c r="G431" s="7">
        <v>0</v>
      </c>
      <c r="H431" s="7">
        <v>0</v>
      </c>
      <c r="I431" s="7">
        <v>0</v>
      </c>
      <c r="J431" s="7">
        <v>0</v>
      </c>
      <c r="K431" s="7">
        <v>0</v>
      </c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</row>
    <row r="432" spans="1:17">
      <c r="A432" s="2">
        <v>2380</v>
      </c>
      <c r="B432" s="7">
        <v>0</v>
      </c>
      <c r="C432" s="7">
        <v>0</v>
      </c>
      <c r="D432" s="7">
        <v>0</v>
      </c>
      <c r="E432" s="7">
        <v>0</v>
      </c>
      <c r="F432" s="7">
        <v>0</v>
      </c>
      <c r="G432" s="7">
        <v>0</v>
      </c>
      <c r="H432" s="7">
        <v>0</v>
      </c>
      <c r="I432" s="7">
        <v>0</v>
      </c>
      <c r="J432" s="7">
        <v>0</v>
      </c>
      <c r="K432" s="7">
        <v>0</v>
      </c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</row>
    <row r="433" spans="1:17">
      <c r="A433" s="2">
        <v>2381</v>
      </c>
      <c r="B433" s="7">
        <v>0</v>
      </c>
      <c r="C433" s="7">
        <v>0</v>
      </c>
      <c r="D433" s="7">
        <v>0</v>
      </c>
      <c r="E433" s="7">
        <v>0</v>
      </c>
      <c r="F433" s="7">
        <v>0</v>
      </c>
      <c r="G433" s="7">
        <v>0</v>
      </c>
      <c r="H433" s="7">
        <v>0</v>
      </c>
      <c r="I433" s="7">
        <v>0</v>
      </c>
      <c r="J433" s="7">
        <v>0</v>
      </c>
      <c r="K433" s="7">
        <v>0</v>
      </c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</row>
    <row r="434" spans="1:17">
      <c r="A434" s="2">
        <v>2382</v>
      </c>
      <c r="B434" s="7">
        <v>0</v>
      </c>
      <c r="C434" s="7">
        <v>0</v>
      </c>
      <c r="D434" s="7">
        <v>0</v>
      </c>
      <c r="E434" s="7">
        <v>0</v>
      </c>
      <c r="F434" s="7">
        <v>0</v>
      </c>
      <c r="G434" s="7">
        <v>0</v>
      </c>
      <c r="H434" s="7">
        <v>0</v>
      </c>
      <c r="I434" s="7">
        <v>0</v>
      </c>
      <c r="J434" s="7">
        <v>0</v>
      </c>
      <c r="K434" s="7">
        <v>0</v>
      </c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</row>
    <row r="435" spans="1:17">
      <c r="A435" s="2">
        <v>2383</v>
      </c>
      <c r="B435" s="7">
        <v>0</v>
      </c>
      <c r="C435" s="7">
        <v>0</v>
      </c>
      <c r="D435" s="7">
        <v>0</v>
      </c>
      <c r="E435" s="7">
        <v>0</v>
      </c>
      <c r="F435" s="7">
        <v>0</v>
      </c>
      <c r="G435" s="7">
        <v>0</v>
      </c>
      <c r="H435" s="7">
        <v>0</v>
      </c>
      <c r="I435" s="7">
        <v>0</v>
      </c>
      <c r="J435" s="7">
        <v>0</v>
      </c>
      <c r="K435" s="7">
        <v>0</v>
      </c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</row>
    <row r="436" spans="1:17">
      <c r="A436" s="2">
        <v>2384</v>
      </c>
      <c r="B436" s="7">
        <v>0</v>
      </c>
      <c r="C436" s="7">
        <v>0</v>
      </c>
      <c r="D436" s="7">
        <v>0</v>
      </c>
      <c r="E436" s="7">
        <v>0</v>
      </c>
      <c r="F436" s="7">
        <v>0</v>
      </c>
      <c r="G436" s="7">
        <v>0</v>
      </c>
      <c r="H436" s="7">
        <v>0</v>
      </c>
      <c r="I436" s="7">
        <v>0</v>
      </c>
      <c r="J436" s="7">
        <v>0</v>
      </c>
      <c r="K436" s="7">
        <v>0</v>
      </c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</row>
    <row r="437" spans="1:17">
      <c r="A437" s="2">
        <v>2385</v>
      </c>
      <c r="B437" s="7">
        <v>0</v>
      </c>
      <c r="C437" s="7">
        <v>0</v>
      </c>
      <c r="D437" s="7">
        <v>0</v>
      </c>
      <c r="E437" s="7">
        <v>0</v>
      </c>
      <c r="F437" s="7">
        <v>0</v>
      </c>
      <c r="G437" s="7">
        <v>0</v>
      </c>
      <c r="H437" s="7">
        <v>0</v>
      </c>
      <c r="I437" s="7">
        <v>0</v>
      </c>
      <c r="J437" s="7">
        <v>0</v>
      </c>
      <c r="K437" s="7">
        <v>0</v>
      </c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</row>
    <row r="438" spans="1:17">
      <c r="A438" s="2">
        <v>2386</v>
      </c>
      <c r="B438" s="7">
        <v>0</v>
      </c>
      <c r="C438" s="7">
        <v>0</v>
      </c>
      <c r="D438" s="7">
        <v>0</v>
      </c>
      <c r="E438" s="7">
        <v>0</v>
      </c>
      <c r="F438" s="7">
        <v>0</v>
      </c>
      <c r="G438" s="7">
        <v>0</v>
      </c>
      <c r="H438" s="7">
        <v>0</v>
      </c>
      <c r="I438" s="7">
        <v>0</v>
      </c>
      <c r="J438" s="7">
        <v>0</v>
      </c>
      <c r="K438" s="7">
        <v>0</v>
      </c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</row>
    <row r="439" spans="1:17">
      <c r="A439" s="2">
        <v>2387</v>
      </c>
      <c r="B439" s="7">
        <v>0</v>
      </c>
      <c r="C439" s="7">
        <v>0</v>
      </c>
      <c r="D439" s="7">
        <v>0</v>
      </c>
      <c r="E439" s="7">
        <v>0</v>
      </c>
      <c r="F439" s="7">
        <v>0</v>
      </c>
      <c r="G439" s="7">
        <v>0</v>
      </c>
      <c r="H439" s="7">
        <v>0</v>
      </c>
      <c r="I439" s="7">
        <v>0</v>
      </c>
      <c r="J439" s="7">
        <v>0</v>
      </c>
      <c r="K439" s="7">
        <v>0</v>
      </c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</row>
    <row r="440" spans="1:17">
      <c r="A440" s="2">
        <v>2388</v>
      </c>
      <c r="B440" s="7">
        <v>0</v>
      </c>
      <c r="C440" s="7">
        <v>0</v>
      </c>
      <c r="D440" s="7">
        <v>0</v>
      </c>
      <c r="E440" s="7">
        <v>0</v>
      </c>
      <c r="F440" s="7">
        <v>0</v>
      </c>
      <c r="G440" s="7">
        <v>0</v>
      </c>
      <c r="H440" s="7">
        <v>0</v>
      </c>
      <c r="I440" s="7">
        <v>0</v>
      </c>
      <c r="J440" s="7">
        <v>0</v>
      </c>
      <c r="K440" s="7">
        <v>0</v>
      </c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</row>
    <row r="441" spans="1:17">
      <c r="A441" s="2">
        <v>2389</v>
      </c>
      <c r="B441" s="7">
        <v>0</v>
      </c>
      <c r="C441" s="7">
        <v>0</v>
      </c>
      <c r="D441" s="7">
        <v>0</v>
      </c>
      <c r="E441" s="7">
        <v>0</v>
      </c>
      <c r="F441" s="7">
        <v>0</v>
      </c>
      <c r="G441" s="7">
        <v>0</v>
      </c>
      <c r="H441" s="7">
        <v>0</v>
      </c>
      <c r="I441" s="7">
        <v>0</v>
      </c>
      <c r="J441" s="7">
        <v>0</v>
      </c>
      <c r="K441" s="7">
        <v>0</v>
      </c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</row>
    <row r="442" spans="1:17">
      <c r="A442" s="2">
        <v>2390</v>
      </c>
      <c r="B442" s="7">
        <v>0</v>
      </c>
      <c r="C442" s="7">
        <v>0</v>
      </c>
      <c r="D442" s="7">
        <v>0</v>
      </c>
      <c r="E442" s="7">
        <v>0</v>
      </c>
      <c r="F442" s="7">
        <v>0</v>
      </c>
      <c r="G442" s="7">
        <v>0</v>
      </c>
      <c r="H442" s="7">
        <v>0</v>
      </c>
      <c r="I442" s="7">
        <v>0</v>
      </c>
      <c r="J442" s="7">
        <v>0</v>
      </c>
      <c r="K442" s="7">
        <v>0</v>
      </c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</row>
    <row r="443" spans="1:17">
      <c r="A443" s="2">
        <v>2391</v>
      </c>
      <c r="B443" s="7">
        <v>0</v>
      </c>
      <c r="C443" s="7">
        <v>0</v>
      </c>
      <c r="D443" s="7">
        <v>0</v>
      </c>
      <c r="E443" s="7">
        <v>0</v>
      </c>
      <c r="F443" s="7">
        <v>0</v>
      </c>
      <c r="G443" s="7">
        <v>0</v>
      </c>
      <c r="H443" s="7">
        <v>0</v>
      </c>
      <c r="I443" s="7">
        <v>0</v>
      </c>
      <c r="J443" s="7">
        <v>0</v>
      </c>
      <c r="K443" s="7">
        <v>0</v>
      </c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</row>
    <row r="444" spans="1:17">
      <c r="A444" s="2">
        <v>2392</v>
      </c>
      <c r="B444" s="7">
        <v>0</v>
      </c>
      <c r="C444" s="7">
        <v>0</v>
      </c>
      <c r="D444" s="7">
        <v>0</v>
      </c>
      <c r="E444" s="7">
        <v>0</v>
      </c>
      <c r="F444" s="7">
        <v>0</v>
      </c>
      <c r="G444" s="7">
        <v>0</v>
      </c>
      <c r="H444" s="7">
        <v>0</v>
      </c>
      <c r="I444" s="7">
        <v>0</v>
      </c>
      <c r="J444" s="7">
        <v>0</v>
      </c>
      <c r="K444" s="7">
        <v>0</v>
      </c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</row>
    <row r="445" spans="1:17">
      <c r="A445" s="2">
        <v>2393</v>
      </c>
      <c r="B445" s="7">
        <v>0</v>
      </c>
      <c r="C445" s="7">
        <v>0</v>
      </c>
      <c r="D445" s="7">
        <v>0</v>
      </c>
      <c r="E445" s="7">
        <v>0</v>
      </c>
      <c r="F445" s="7">
        <v>0</v>
      </c>
      <c r="G445" s="7">
        <v>0</v>
      </c>
      <c r="H445" s="7">
        <v>0</v>
      </c>
      <c r="I445" s="7">
        <v>0</v>
      </c>
      <c r="J445" s="7">
        <v>0</v>
      </c>
      <c r="K445" s="7">
        <v>0</v>
      </c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</row>
    <row r="446" spans="1:17">
      <c r="A446" s="2">
        <v>2394</v>
      </c>
      <c r="B446" s="7">
        <v>0</v>
      </c>
      <c r="C446" s="7">
        <v>0</v>
      </c>
      <c r="D446" s="7">
        <v>0</v>
      </c>
      <c r="E446" s="7">
        <v>0</v>
      </c>
      <c r="F446" s="7">
        <v>0</v>
      </c>
      <c r="G446" s="7">
        <v>0</v>
      </c>
      <c r="H446" s="7">
        <v>0</v>
      </c>
      <c r="I446" s="7">
        <v>0</v>
      </c>
      <c r="J446" s="7">
        <v>0</v>
      </c>
      <c r="K446" s="7">
        <v>0</v>
      </c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</row>
    <row r="447" spans="1:17">
      <c r="A447" s="2">
        <v>2395</v>
      </c>
      <c r="B447" s="7">
        <v>0</v>
      </c>
      <c r="C447" s="7">
        <v>0</v>
      </c>
      <c r="D447" s="7">
        <v>0</v>
      </c>
      <c r="E447" s="7">
        <v>0</v>
      </c>
      <c r="F447" s="7">
        <v>0</v>
      </c>
      <c r="G447" s="7">
        <v>0</v>
      </c>
      <c r="H447" s="7">
        <v>0</v>
      </c>
      <c r="I447" s="7">
        <v>0</v>
      </c>
      <c r="J447" s="7">
        <v>0</v>
      </c>
      <c r="K447" s="7">
        <v>0</v>
      </c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</row>
    <row r="448" spans="1:17">
      <c r="A448" s="2">
        <v>2396</v>
      </c>
      <c r="B448" s="7">
        <v>0</v>
      </c>
      <c r="C448" s="7">
        <v>0</v>
      </c>
      <c r="D448" s="7">
        <v>0</v>
      </c>
      <c r="E448" s="7">
        <v>0</v>
      </c>
      <c r="F448" s="7">
        <v>0</v>
      </c>
      <c r="G448" s="7">
        <v>0</v>
      </c>
      <c r="H448" s="7">
        <v>0</v>
      </c>
      <c r="I448" s="7">
        <v>0</v>
      </c>
      <c r="J448" s="7">
        <v>0</v>
      </c>
      <c r="K448" s="7">
        <v>0</v>
      </c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</row>
    <row r="449" spans="1:17">
      <c r="A449" s="2">
        <v>2397</v>
      </c>
      <c r="B449" s="7">
        <v>0</v>
      </c>
      <c r="C449" s="7">
        <v>0</v>
      </c>
      <c r="D449" s="7">
        <v>0</v>
      </c>
      <c r="E449" s="7">
        <v>0</v>
      </c>
      <c r="F449" s="7">
        <v>0</v>
      </c>
      <c r="G449" s="7">
        <v>0</v>
      </c>
      <c r="H449" s="7">
        <v>0</v>
      </c>
      <c r="I449" s="7">
        <v>0</v>
      </c>
      <c r="J449" s="7">
        <v>0</v>
      </c>
      <c r="K449" s="7">
        <v>0</v>
      </c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</row>
    <row r="450" spans="1:17">
      <c r="A450" s="2">
        <v>2398</v>
      </c>
      <c r="B450" s="7">
        <v>0</v>
      </c>
      <c r="C450" s="7">
        <v>0</v>
      </c>
      <c r="D450" s="7">
        <v>0</v>
      </c>
      <c r="E450" s="7">
        <v>0</v>
      </c>
      <c r="F450" s="7">
        <v>0</v>
      </c>
      <c r="G450" s="7">
        <v>0</v>
      </c>
      <c r="H450" s="7">
        <v>0</v>
      </c>
      <c r="I450" s="7">
        <v>0</v>
      </c>
      <c r="J450" s="7">
        <v>0</v>
      </c>
      <c r="K450" s="7">
        <v>0</v>
      </c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</row>
    <row r="451" spans="1:17">
      <c r="A451" s="2">
        <v>2399</v>
      </c>
      <c r="B451" s="7">
        <v>0</v>
      </c>
      <c r="C451" s="7">
        <v>0</v>
      </c>
      <c r="D451" s="7">
        <v>0</v>
      </c>
      <c r="E451" s="7">
        <v>0</v>
      </c>
      <c r="F451" s="7">
        <v>0</v>
      </c>
      <c r="G451" s="7">
        <v>0</v>
      </c>
      <c r="H451" s="7">
        <v>0</v>
      </c>
      <c r="I451" s="7">
        <v>0</v>
      </c>
      <c r="J451" s="7">
        <v>0</v>
      </c>
      <c r="K451" s="7">
        <v>0</v>
      </c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</row>
    <row r="452" spans="1:17">
      <c r="A452" s="2">
        <v>2400</v>
      </c>
      <c r="B452" s="7">
        <v>0</v>
      </c>
      <c r="C452" s="7">
        <v>0</v>
      </c>
      <c r="D452" s="7">
        <v>0</v>
      </c>
      <c r="E452" s="7">
        <v>0</v>
      </c>
      <c r="F452" s="7">
        <v>0</v>
      </c>
      <c r="G452" s="7">
        <v>0</v>
      </c>
      <c r="H452" s="7">
        <v>0</v>
      </c>
      <c r="I452" s="7">
        <v>0</v>
      </c>
      <c r="J452" s="7">
        <v>0</v>
      </c>
      <c r="K452" s="7">
        <v>0</v>
      </c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</row>
    <row r="453" spans="1:17">
      <c r="A453" s="2">
        <v>2401</v>
      </c>
      <c r="B453" s="7">
        <v>0</v>
      </c>
      <c r="C453" s="7">
        <v>0</v>
      </c>
      <c r="D453" s="7">
        <v>0</v>
      </c>
      <c r="E453" s="7">
        <v>0</v>
      </c>
      <c r="F453" s="7">
        <v>0</v>
      </c>
      <c r="G453" s="7">
        <v>0</v>
      </c>
      <c r="H453" s="7">
        <v>0</v>
      </c>
      <c r="I453" s="7">
        <v>0</v>
      </c>
      <c r="J453" s="7">
        <v>0</v>
      </c>
      <c r="K453" s="7">
        <v>0</v>
      </c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</row>
    <row r="454" spans="1:17">
      <c r="A454" s="2">
        <v>2402</v>
      </c>
      <c r="B454" s="7">
        <v>0</v>
      </c>
      <c r="C454" s="7">
        <v>0</v>
      </c>
      <c r="D454" s="7">
        <v>0</v>
      </c>
      <c r="E454" s="7">
        <v>0</v>
      </c>
      <c r="F454" s="7">
        <v>0</v>
      </c>
      <c r="G454" s="7">
        <v>0</v>
      </c>
      <c r="H454" s="7">
        <v>0</v>
      </c>
      <c r="I454" s="7">
        <v>0</v>
      </c>
      <c r="J454" s="7">
        <v>0</v>
      </c>
      <c r="K454" s="7">
        <v>0</v>
      </c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</row>
    <row r="455" spans="1:17">
      <c r="A455" s="2">
        <v>2403</v>
      </c>
      <c r="B455" s="7">
        <v>0</v>
      </c>
      <c r="C455" s="7">
        <v>0</v>
      </c>
      <c r="D455" s="7">
        <v>0</v>
      </c>
      <c r="E455" s="7">
        <v>0</v>
      </c>
      <c r="F455" s="7">
        <v>0</v>
      </c>
      <c r="G455" s="7">
        <v>0</v>
      </c>
      <c r="H455" s="7">
        <v>0</v>
      </c>
      <c r="I455" s="7">
        <v>0</v>
      </c>
      <c r="J455" s="7">
        <v>0</v>
      </c>
      <c r="K455" s="7">
        <v>0</v>
      </c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</row>
    <row r="456" spans="1:17">
      <c r="A456" s="2">
        <v>2404</v>
      </c>
      <c r="B456" s="7">
        <v>0</v>
      </c>
      <c r="C456" s="7">
        <v>0</v>
      </c>
      <c r="D456" s="7">
        <v>0</v>
      </c>
      <c r="E456" s="7">
        <v>0</v>
      </c>
      <c r="F456" s="7">
        <v>0</v>
      </c>
      <c r="G456" s="7">
        <v>0</v>
      </c>
      <c r="H456" s="7">
        <v>0</v>
      </c>
      <c r="I456" s="7">
        <v>0</v>
      </c>
      <c r="J456" s="7">
        <v>0</v>
      </c>
      <c r="K456" s="7">
        <v>0</v>
      </c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</row>
    <row r="457" spans="1:17">
      <c r="A457" s="2">
        <v>2405</v>
      </c>
      <c r="B457" s="7">
        <v>0</v>
      </c>
      <c r="C457" s="7">
        <v>0</v>
      </c>
      <c r="D457" s="7">
        <v>0</v>
      </c>
      <c r="E457" s="7">
        <v>0</v>
      </c>
      <c r="F457" s="7">
        <v>0</v>
      </c>
      <c r="G457" s="7">
        <v>0</v>
      </c>
      <c r="H457" s="7">
        <v>0</v>
      </c>
      <c r="I457" s="7">
        <v>0</v>
      </c>
      <c r="J457" s="7">
        <v>0</v>
      </c>
      <c r="K457" s="7">
        <v>0</v>
      </c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</row>
    <row r="458" spans="1:17">
      <c r="A458" s="2">
        <v>2406</v>
      </c>
      <c r="B458" s="7">
        <v>0</v>
      </c>
      <c r="C458" s="7">
        <v>0</v>
      </c>
      <c r="D458" s="7">
        <v>0</v>
      </c>
      <c r="E458" s="7">
        <v>0</v>
      </c>
      <c r="F458" s="7">
        <v>0</v>
      </c>
      <c r="G458" s="7">
        <v>0</v>
      </c>
      <c r="H458" s="7">
        <v>0</v>
      </c>
      <c r="I458" s="7">
        <v>0</v>
      </c>
      <c r="J458" s="7">
        <v>0</v>
      </c>
      <c r="K458" s="7">
        <v>0</v>
      </c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</row>
    <row r="459" spans="1:17">
      <c r="A459" s="2">
        <v>2407</v>
      </c>
      <c r="B459" s="7">
        <v>0</v>
      </c>
      <c r="C459" s="7">
        <v>0</v>
      </c>
      <c r="D459" s="7">
        <v>0</v>
      </c>
      <c r="E459" s="7">
        <v>0</v>
      </c>
      <c r="F459" s="7">
        <v>0</v>
      </c>
      <c r="G459" s="7">
        <v>0</v>
      </c>
      <c r="H459" s="7">
        <v>0</v>
      </c>
      <c r="I459" s="7">
        <v>0</v>
      </c>
      <c r="J459" s="7">
        <v>0</v>
      </c>
      <c r="K459" s="7">
        <v>0</v>
      </c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</row>
    <row r="460" spans="1:17">
      <c r="A460" s="2">
        <v>2408</v>
      </c>
      <c r="B460" s="7">
        <v>0</v>
      </c>
      <c r="C460" s="7">
        <v>0</v>
      </c>
      <c r="D460" s="7">
        <v>0</v>
      </c>
      <c r="E460" s="7">
        <v>0</v>
      </c>
      <c r="F460" s="7">
        <v>0</v>
      </c>
      <c r="G460" s="7">
        <v>0</v>
      </c>
      <c r="H460" s="7">
        <v>0</v>
      </c>
      <c r="I460" s="7">
        <v>0</v>
      </c>
      <c r="J460" s="7">
        <v>0</v>
      </c>
      <c r="K460" s="7">
        <v>0</v>
      </c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</row>
    <row r="461" spans="1:17">
      <c r="A461" s="2">
        <v>2409</v>
      </c>
      <c r="B461" s="7">
        <v>0</v>
      </c>
      <c r="C461" s="7">
        <v>0</v>
      </c>
      <c r="D461" s="7">
        <v>0</v>
      </c>
      <c r="E461" s="7">
        <v>0</v>
      </c>
      <c r="F461" s="7">
        <v>0</v>
      </c>
      <c r="G461" s="7">
        <v>0</v>
      </c>
      <c r="H461" s="7">
        <v>0</v>
      </c>
      <c r="I461" s="7">
        <v>0</v>
      </c>
      <c r="J461" s="7">
        <v>0</v>
      </c>
      <c r="K461" s="7">
        <v>0</v>
      </c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</row>
    <row r="462" spans="1:17">
      <c r="A462" s="2">
        <v>2410</v>
      </c>
      <c r="B462" s="7">
        <v>0</v>
      </c>
      <c r="C462" s="7">
        <v>0</v>
      </c>
      <c r="D462" s="7">
        <v>0</v>
      </c>
      <c r="E462" s="7">
        <v>0</v>
      </c>
      <c r="F462" s="7">
        <v>0</v>
      </c>
      <c r="G462" s="7">
        <v>0</v>
      </c>
      <c r="H462" s="7">
        <v>0</v>
      </c>
      <c r="I462" s="7">
        <v>0</v>
      </c>
      <c r="J462" s="7">
        <v>0</v>
      </c>
      <c r="K462" s="7">
        <v>0</v>
      </c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</row>
    <row r="463" spans="1:17">
      <c r="A463" s="2">
        <v>2411</v>
      </c>
      <c r="B463" s="7">
        <v>0</v>
      </c>
      <c r="C463" s="7">
        <v>0</v>
      </c>
      <c r="D463" s="7">
        <v>0</v>
      </c>
      <c r="E463" s="7">
        <v>0</v>
      </c>
      <c r="F463" s="7">
        <v>0</v>
      </c>
      <c r="G463" s="7">
        <v>0</v>
      </c>
      <c r="H463" s="7">
        <v>0</v>
      </c>
      <c r="I463" s="7">
        <v>0</v>
      </c>
      <c r="J463" s="7">
        <v>0</v>
      </c>
      <c r="K463" s="7">
        <v>0</v>
      </c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</row>
    <row r="464" spans="1:17">
      <c r="A464" s="2">
        <v>2412</v>
      </c>
      <c r="B464" s="7">
        <v>0</v>
      </c>
      <c r="C464" s="7">
        <v>0</v>
      </c>
      <c r="D464" s="7">
        <v>0</v>
      </c>
      <c r="E464" s="7">
        <v>0</v>
      </c>
      <c r="F464" s="7">
        <v>0</v>
      </c>
      <c r="G464" s="7">
        <v>0</v>
      </c>
      <c r="H464" s="7">
        <v>0</v>
      </c>
      <c r="I464" s="7">
        <v>0</v>
      </c>
      <c r="J464" s="7">
        <v>0</v>
      </c>
      <c r="K464" s="7">
        <v>0</v>
      </c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</row>
    <row r="465" spans="1:17">
      <c r="A465" s="2">
        <v>2413</v>
      </c>
      <c r="B465" s="7">
        <v>0</v>
      </c>
      <c r="C465" s="7">
        <v>0</v>
      </c>
      <c r="D465" s="7">
        <v>0</v>
      </c>
      <c r="E465" s="7">
        <v>0</v>
      </c>
      <c r="F465" s="7">
        <v>0</v>
      </c>
      <c r="G465" s="7">
        <v>0</v>
      </c>
      <c r="H465" s="7">
        <v>0</v>
      </c>
      <c r="I465" s="7">
        <v>0</v>
      </c>
      <c r="J465" s="7">
        <v>0</v>
      </c>
      <c r="K465" s="7">
        <v>0</v>
      </c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</row>
    <row r="466" spans="1:17">
      <c r="A466" s="2">
        <v>2414</v>
      </c>
      <c r="B466" s="7">
        <v>0</v>
      </c>
      <c r="C466" s="7">
        <v>0</v>
      </c>
      <c r="D466" s="7">
        <v>0</v>
      </c>
      <c r="E466" s="7">
        <v>0</v>
      </c>
      <c r="F466" s="7">
        <v>0</v>
      </c>
      <c r="G466" s="7">
        <v>0</v>
      </c>
      <c r="H466" s="7">
        <v>0</v>
      </c>
      <c r="I466" s="7">
        <v>0</v>
      </c>
      <c r="J466" s="7">
        <v>0</v>
      </c>
      <c r="K466" s="7">
        <v>0</v>
      </c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</row>
    <row r="467" spans="1:17">
      <c r="A467" s="2">
        <v>2415</v>
      </c>
      <c r="B467" s="7">
        <v>0</v>
      </c>
      <c r="C467" s="7">
        <v>0</v>
      </c>
      <c r="D467" s="7">
        <v>0</v>
      </c>
      <c r="E467" s="7">
        <v>0</v>
      </c>
      <c r="F467" s="7">
        <v>0</v>
      </c>
      <c r="G467" s="7">
        <v>0</v>
      </c>
      <c r="H467" s="7">
        <v>0</v>
      </c>
      <c r="I467" s="7">
        <v>0</v>
      </c>
      <c r="J467" s="7">
        <v>0</v>
      </c>
      <c r="K467" s="7">
        <v>0</v>
      </c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</row>
    <row r="468" spans="1:17">
      <c r="A468" s="2">
        <v>2416</v>
      </c>
      <c r="B468" s="7">
        <v>0</v>
      </c>
      <c r="C468" s="7">
        <v>0</v>
      </c>
      <c r="D468" s="7">
        <v>0</v>
      </c>
      <c r="E468" s="7">
        <v>0</v>
      </c>
      <c r="F468" s="7">
        <v>0</v>
      </c>
      <c r="G468" s="7">
        <v>0</v>
      </c>
      <c r="H468" s="7">
        <v>0</v>
      </c>
      <c r="I468" s="7">
        <v>0</v>
      </c>
      <c r="J468" s="7">
        <v>0</v>
      </c>
      <c r="K468" s="7">
        <v>0</v>
      </c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</row>
    <row r="469" spans="1:17">
      <c r="A469" s="2">
        <v>2417</v>
      </c>
      <c r="B469" s="7">
        <v>0</v>
      </c>
      <c r="C469" s="7">
        <v>0</v>
      </c>
      <c r="D469" s="7">
        <v>0</v>
      </c>
      <c r="E469" s="7">
        <v>0</v>
      </c>
      <c r="F469" s="7">
        <v>0</v>
      </c>
      <c r="G469" s="7">
        <v>0</v>
      </c>
      <c r="H469" s="7">
        <v>0</v>
      </c>
      <c r="I469" s="7">
        <v>0</v>
      </c>
      <c r="J469" s="7">
        <v>0</v>
      </c>
      <c r="K469" s="7">
        <v>0</v>
      </c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</row>
    <row r="470" spans="1:17">
      <c r="A470" s="2">
        <v>2418</v>
      </c>
      <c r="B470" s="7">
        <v>0</v>
      </c>
      <c r="C470" s="7">
        <v>0</v>
      </c>
      <c r="D470" s="7">
        <v>0</v>
      </c>
      <c r="E470" s="7">
        <v>0</v>
      </c>
      <c r="F470" s="7">
        <v>0</v>
      </c>
      <c r="G470" s="7">
        <v>0</v>
      </c>
      <c r="H470" s="7">
        <v>0</v>
      </c>
      <c r="I470" s="7">
        <v>0</v>
      </c>
      <c r="J470" s="7">
        <v>0</v>
      </c>
      <c r="K470" s="7">
        <v>0</v>
      </c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</row>
    <row r="471" spans="1:17">
      <c r="A471" s="2">
        <v>2419</v>
      </c>
      <c r="B471" s="7">
        <v>0</v>
      </c>
      <c r="C471" s="7">
        <v>0</v>
      </c>
      <c r="D471" s="7">
        <v>0</v>
      </c>
      <c r="E471" s="7">
        <v>0</v>
      </c>
      <c r="F471" s="7">
        <v>0</v>
      </c>
      <c r="G471" s="7">
        <v>0</v>
      </c>
      <c r="H471" s="7">
        <v>0</v>
      </c>
      <c r="I471" s="7">
        <v>0</v>
      </c>
      <c r="J471" s="7">
        <v>0</v>
      </c>
      <c r="K471" s="7">
        <v>0</v>
      </c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</row>
    <row r="472" spans="1:17">
      <c r="A472" s="2">
        <v>2420</v>
      </c>
      <c r="B472" s="7">
        <v>0</v>
      </c>
      <c r="C472" s="7">
        <v>0</v>
      </c>
      <c r="D472" s="7">
        <v>0</v>
      </c>
      <c r="E472" s="7">
        <v>0</v>
      </c>
      <c r="F472" s="7">
        <v>0</v>
      </c>
      <c r="G472" s="7">
        <v>0</v>
      </c>
      <c r="H472" s="7">
        <v>0</v>
      </c>
      <c r="I472" s="7">
        <v>0</v>
      </c>
      <c r="J472" s="7">
        <v>0</v>
      </c>
      <c r="K472" s="7">
        <v>0</v>
      </c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</row>
    <row r="473" spans="1:17">
      <c r="A473" s="2">
        <v>2421</v>
      </c>
      <c r="B473" s="7">
        <v>0</v>
      </c>
      <c r="C473" s="7">
        <v>0</v>
      </c>
      <c r="D473" s="7">
        <v>0</v>
      </c>
      <c r="E473" s="7">
        <v>0</v>
      </c>
      <c r="F473" s="7">
        <v>0</v>
      </c>
      <c r="G473" s="7">
        <v>0</v>
      </c>
      <c r="H473" s="7">
        <v>0</v>
      </c>
      <c r="I473" s="7">
        <v>0</v>
      </c>
      <c r="J473" s="7">
        <v>0</v>
      </c>
      <c r="K473" s="7">
        <v>0</v>
      </c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</row>
    <row r="474" spans="1:17">
      <c r="A474" s="2">
        <v>2422</v>
      </c>
      <c r="B474" s="7">
        <v>0</v>
      </c>
      <c r="C474" s="7">
        <v>0</v>
      </c>
      <c r="D474" s="7">
        <v>0</v>
      </c>
      <c r="E474" s="7">
        <v>0</v>
      </c>
      <c r="F474" s="7">
        <v>0</v>
      </c>
      <c r="G474" s="7">
        <v>0</v>
      </c>
      <c r="H474" s="7">
        <v>0</v>
      </c>
      <c r="I474" s="7">
        <v>0</v>
      </c>
      <c r="J474" s="7">
        <v>0</v>
      </c>
      <c r="K474" s="7">
        <v>0</v>
      </c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</row>
    <row r="475" spans="1:17">
      <c r="A475" s="2">
        <v>2423</v>
      </c>
      <c r="B475" s="7">
        <v>0</v>
      </c>
      <c r="C475" s="7">
        <v>0</v>
      </c>
      <c r="D475" s="7">
        <v>0</v>
      </c>
      <c r="E475" s="7">
        <v>0</v>
      </c>
      <c r="F475" s="7">
        <v>0</v>
      </c>
      <c r="G475" s="7">
        <v>0</v>
      </c>
      <c r="H475" s="7">
        <v>0</v>
      </c>
      <c r="I475" s="7">
        <v>0</v>
      </c>
      <c r="J475" s="7">
        <v>0</v>
      </c>
      <c r="K475" s="7">
        <v>0</v>
      </c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</row>
    <row r="476" spans="1:17">
      <c r="A476" s="2">
        <v>2424</v>
      </c>
      <c r="B476" s="7">
        <v>0</v>
      </c>
      <c r="C476" s="7">
        <v>0</v>
      </c>
      <c r="D476" s="7">
        <v>0</v>
      </c>
      <c r="E476" s="7">
        <v>0</v>
      </c>
      <c r="F476" s="7">
        <v>0</v>
      </c>
      <c r="G476" s="7">
        <v>0</v>
      </c>
      <c r="H476" s="7">
        <v>0</v>
      </c>
      <c r="I476" s="7">
        <v>0</v>
      </c>
      <c r="J476" s="7">
        <v>0</v>
      </c>
      <c r="K476" s="7">
        <v>0</v>
      </c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</row>
    <row r="477" spans="1:17">
      <c r="A477" s="2">
        <v>2425</v>
      </c>
      <c r="B477" s="7">
        <v>0</v>
      </c>
      <c r="C477" s="7">
        <v>0</v>
      </c>
      <c r="D477" s="7">
        <v>0</v>
      </c>
      <c r="E477" s="7">
        <v>0</v>
      </c>
      <c r="F477" s="7">
        <v>0</v>
      </c>
      <c r="G477" s="7">
        <v>0</v>
      </c>
      <c r="H477" s="7">
        <v>0</v>
      </c>
      <c r="I477" s="7">
        <v>0</v>
      </c>
      <c r="J477" s="7">
        <v>0</v>
      </c>
      <c r="K477" s="7">
        <v>0</v>
      </c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</row>
    <row r="478" spans="1:17">
      <c r="A478" s="2">
        <v>2426</v>
      </c>
      <c r="B478" s="7">
        <v>0</v>
      </c>
      <c r="C478" s="7">
        <v>0</v>
      </c>
      <c r="D478" s="7">
        <v>0</v>
      </c>
      <c r="E478" s="7">
        <v>0</v>
      </c>
      <c r="F478" s="7">
        <v>0</v>
      </c>
      <c r="G478" s="7">
        <v>0</v>
      </c>
      <c r="H478" s="7">
        <v>0</v>
      </c>
      <c r="I478" s="7">
        <v>0</v>
      </c>
      <c r="J478" s="7">
        <v>0</v>
      </c>
      <c r="K478" s="7">
        <v>0</v>
      </c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</row>
    <row r="479" spans="1:17">
      <c r="A479" s="2">
        <v>2427</v>
      </c>
      <c r="B479" s="7">
        <v>0</v>
      </c>
      <c r="C479" s="7">
        <v>0</v>
      </c>
      <c r="D479" s="7">
        <v>0</v>
      </c>
      <c r="E479" s="7">
        <v>0</v>
      </c>
      <c r="F479" s="7">
        <v>0</v>
      </c>
      <c r="G479" s="7">
        <v>0</v>
      </c>
      <c r="H479" s="7">
        <v>0</v>
      </c>
      <c r="I479" s="7">
        <v>0</v>
      </c>
      <c r="J479" s="7">
        <v>0</v>
      </c>
      <c r="K479" s="7">
        <v>0</v>
      </c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</row>
    <row r="480" spans="1:17">
      <c r="A480" s="2">
        <v>2428</v>
      </c>
      <c r="B480" s="7">
        <v>0</v>
      </c>
      <c r="C480" s="7">
        <v>0</v>
      </c>
      <c r="D480" s="7">
        <v>0</v>
      </c>
      <c r="E480" s="7">
        <v>0</v>
      </c>
      <c r="F480" s="7">
        <v>0</v>
      </c>
      <c r="G480" s="7">
        <v>0</v>
      </c>
      <c r="H480" s="7">
        <v>0</v>
      </c>
      <c r="I480" s="7">
        <v>0</v>
      </c>
      <c r="J480" s="7">
        <v>0</v>
      </c>
      <c r="K480" s="7">
        <v>0</v>
      </c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</row>
    <row r="481" spans="1:17">
      <c r="A481" s="2">
        <v>2429</v>
      </c>
      <c r="B481" s="7">
        <v>0</v>
      </c>
      <c r="C481" s="7">
        <v>0</v>
      </c>
      <c r="D481" s="7">
        <v>0</v>
      </c>
      <c r="E481" s="7">
        <v>0</v>
      </c>
      <c r="F481" s="7">
        <v>0</v>
      </c>
      <c r="G481" s="7">
        <v>0</v>
      </c>
      <c r="H481" s="7">
        <v>0</v>
      </c>
      <c r="I481" s="7">
        <v>0</v>
      </c>
      <c r="J481" s="7">
        <v>0</v>
      </c>
      <c r="K481" s="7">
        <v>0</v>
      </c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</row>
    <row r="482" spans="1:17">
      <c r="A482" s="2">
        <v>2430</v>
      </c>
      <c r="B482" s="7">
        <v>0</v>
      </c>
      <c r="C482" s="7">
        <v>0</v>
      </c>
      <c r="D482" s="7">
        <v>0</v>
      </c>
      <c r="E482" s="7">
        <v>0</v>
      </c>
      <c r="F482" s="7">
        <v>0</v>
      </c>
      <c r="G482" s="7">
        <v>0</v>
      </c>
      <c r="H482" s="7">
        <v>0</v>
      </c>
      <c r="I482" s="7">
        <v>0</v>
      </c>
      <c r="J482" s="7">
        <v>0</v>
      </c>
      <c r="K482" s="7">
        <v>0</v>
      </c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</row>
    <row r="483" spans="1:17">
      <c r="A483" s="2">
        <v>2431</v>
      </c>
      <c r="B483" s="7">
        <v>0</v>
      </c>
      <c r="C483" s="7">
        <v>0</v>
      </c>
      <c r="D483" s="7">
        <v>0</v>
      </c>
      <c r="E483" s="7">
        <v>0</v>
      </c>
      <c r="F483" s="7">
        <v>0</v>
      </c>
      <c r="G483" s="7">
        <v>0</v>
      </c>
      <c r="H483" s="7">
        <v>0</v>
      </c>
      <c r="I483" s="7">
        <v>0</v>
      </c>
      <c r="J483" s="7">
        <v>0</v>
      </c>
      <c r="K483" s="7">
        <v>0</v>
      </c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</row>
    <row r="484" spans="1:17">
      <c r="A484" s="2">
        <v>2432</v>
      </c>
      <c r="B484" s="7">
        <v>0</v>
      </c>
      <c r="C484" s="7">
        <v>0</v>
      </c>
      <c r="D484" s="7">
        <v>0</v>
      </c>
      <c r="E484" s="7">
        <v>0</v>
      </c>
      <c r="F484" s="7">
        <v>0</v>
      </c>
      <c r="G484" s="7">
        <v>0</v>
      </c>
      <c r="H484" s="7">
        <v>0</v>
      </c>
      <c r="I484" s="7">
        <v>0</v>
      </c>
      <c r="J484" s="7">
        <v>0</v>
      </c>
      <c r="K484" s="7">
        <v>0</v>
      </c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</row>
    <row r="485" spans="1:17">
      <c r="A485" s="2">
        <v>2433</v>
      </c>
      <c r="B485" s="7">
        <v>0</v>
      </c>
      <c r="C485" s="7">
        <v>0</v>
      </c>
      <c r="D485" s="7">
        <v>0</v>
      </c>
      <c r="E485" s="7">
        <v>0</v>
      </c>
      <c r="F485" s="7">
        <v>0</v>
      </c>
      <c r="G485" s="7">
        <v>0</v>
      </c>
      <c r="H485" s="7">
        <v>0</v>
      </c>
      <c r="I485" s="7">
        <v>0</v>
      </c>
      <c r="J485" s="7">
        <v>0</v>
      </c>
      <c r="K485" s="7">
        <v>0</v>
      </c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</row>
    <row r="486" spans="1:17">
      <c r="A486" s="2">
        <v>2434</v>
      </c>
      <c r="B486" s="7">
        <v>0</v>
      </c>
      <c r="C486" s="7">
        <v>0</v>
      </c>
      <c r="D486" s="7">
        <v>0</v>
      </c>
      <c r="E486" s="7">
        <v>0</v>
      </c>
      <c r="F486" s="7">
        <v>0</v>
      </c>
      <c r="G486" s="7">
        <v>0</v>
      </c>
      <c r="H486" s="7">
        <v>0</v>
      </c>
      <c r="I486" s="7">
        <v>0</v>
      </c>
      <c r="J486" s="7">
        <v>0</v>
      </c>
      <c r="K486" s="7">
        <v>0</v>
      </c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</row>
    <row r="487" spans="1:17">
      <c r="A487" s="2">
        <v>2435</v>
      </c>
      <c r="B487" s="7">
        <v>0</v>
      </c>
      <c r="C487" s="7">
        <v>0</v>
      </c>
      <c r="D487" s="7">
        <v>0</v>
      </c>
      <c r="E487" s="7">
        <v>0</v>
      </c>
      <c r="F487" s="7">
        <v>0</v>
      </c>
      <c r="G487" s="7">
        <v>0</v>
      </c>
      <c r="H487" s="7">
        <v>0</v>
      </c>
      <c r="I487" s="7">
        <v>0</v>
      </c>
      <c r="J487" s="7">
        <v>0</v>
      </c>
      <c r="K487" s="7">
        <v>0</v>
      </c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</row>
    <row r="488" spans="1:17">
      <c r="A488" s="2">
        <v>2436</v>
      </c>
      <c r="B488" s="7">
        <v>0</v>
      </c>
      <c r="C488" s="7">
        <v>0</v>
      </c>
      <c r="D488" s="7">
        <v>0</v>
      </c>
      <c r="E488" s="7">
        <v>0</v>
      </c>
      <c r="F488" s="7">
        <v>0</v>
      </c>
      <c r="G488" s="7">
        <v>0</v>
      </c>
      <c r="H488" s="7">
        <v>0</v>
      </c>
      <c r="I488" s="7">
        <v>0</v>
      </c>
      <c r="J488" s="7">
        <v>0</v>
      </c>
      <c r="K488" s="7">
        <v>0</v>
      </c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</row>
    <row r="489" spans="1:17">
      <c r="A489" s="2">
        <v>2437</v>
      </c>
      <c r="B489" s="7">
        <v>0</v>
      </c>
      <c r="C489" s="7">
        <v>0</v>
      </c>
      <c r="D489" s="7">
        <v>0</v>
      </c>
      <c r="E489" s="7">
        <v>0</v>
      </c>
      <c r="F489" s="7">
        <v>0</v>
      </c>
      <c r="G489" s="7">
        <v>0</v>
      </c>
      <c r="H489" s="7">
        <v>0</v>
      </c>
      <c r="I489" s="7">
        <v>0</v>
      </c>
      <c r="J489" s="7">
        <v>0</v>
      </c>
      <c r="K489" s="7">
        <v>0</v>
      </c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</row>
    <row r="490" spans="1:17">
      <c r="A490" s="2">
        <v>2438</v>
      </c>
      <c r="B490" s="7">
        <v>0</v>
      </c>
      <c r="C490" s="7">
        <v>0</v>
      </c>
      <c r="D490" s="7">
        <v>0</v>
      </c>
      <c r="E490" s="7">
        <v>0</v>
      </c>
      <c r="F490" s="7">
        <v>0</v>
      </c>
      <c r="G490" s="7">
        <v>0</v>
      </c>
      <c r="H490" s="7">
        <v>0</v>
      </c>
      <c r="I490" s="7">
        <v>0</v>
      </c>
      <c r="J490" s="7">
        <v>0</v>
      </c>
      <c r="K490" s="7">
        <v>0</v>
      </c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</row>
    <row r="491" spans="1:17">
      <c r="A491" s="2">
        <v>2439</v>
      </c>
      <c r="B491" s="7">
        <v>0</v>
      </c>
      <c r="C491" s="7">
        <v>0</v>
      </c>
      <c r="D491" s="7">
        <v>0</v>
      </c>
      <c r="E491" s="7">
        <v>0</v>
      </c>
      <c r="F491" s="7">
        <v>0</v>
      </c>
      <c r="G491" s="7">
        <v>0</v>
      </c>
      <c r="H491" s="7">
        <v>0</v>
      </c>
      <c r="I491" s="7">
        <v>0</v>
      </c>
      <c r="J491" s="7">
        <v>0</v>
      </c>
      <c r="K491" s="7">
        <v>0</v>
      </c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</row>
    <row r="492" spans="1:17">
      <c r="A492" s="2">
        <v>2440</v>
      </c>
      <c r="B492" s="7">
        <v>0</v>
      </c>
      <c r="C492" s="7">
        <v>0</v>
      </c>
      <c r="D492" s="7">
        <v>0</v>
      </c>
      <c r="E492" s="7">
        <v>0</v>
      </c>
      <c r="F492" s="7">
        <v>0</v>
      </c>
      <c r="G492" s="7">
        <v>0</v>
      </c>
      <c r="H492" s="7">
        <v>0</v>
      </c>
      <c r="I492" s="7">
        <v>0</v>
      </c>
      <c r="J492" s="7">
        <v>0</v>
      </c>
      <c r="K492" s="7">
        <v>0</v>
      </c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</row>
    <row r="493" spans="1:17">
      <c r="A493" s="2">
        <v>2441</v>
      </c>
      <c r="B493" s="7">
        <v>0</v>
      </c>
      <c r="C493" s="7">
        <v>0</v>
      </c>
      <c r="D493" s="7">
        <v>0</v>
      </c>
      <c r="E493" s="7">
        <v>0</v>
      </c>
      <c r="F493" s="7">
        <v>0</v>
      </c>
      <c r="G493" s="7">
        <v>0</v>
      </c>
      <c r="H493" s="7">
        <v>0</v>
      </c>
      <c r="I493" s="7">
        <v>0</v>
      </c>
      <c r="J493" s="7">
        <v>0</v>
      </c>
      <c r="K493" s="7">
        <v>0</v>
      </c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</row>
    <row r="494" spans="1:17">
      <c r="A494" s="2">
        <v>2442</v>
      </c>
      <c r="B494" s="7">
        <v>0</v>
      </c>
      <c r="C494" s="7">
        <v>0</v>
      </c>
      <c r="D494" s="7">
        <v>0</v>
      </c>
      <c r="E494" s="7">
        <v>0</v>
      </c>
      <c r="F494" s="7">
        <v>0</v>
      </c>
      <c r="G494" s="7">
        <v>0</v>
      </c>
      <c r="H494" s="7">
        <v>0</v>
      </c>
      <c r="I494" s="7">
        <v>0</v>
      </c>
      <c r="J494" s="7">
        <v>0</v>
      </c>
      <c r="K494" s="7">
        <v>0</v>
      </c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</row>
    <row r="495" spans="1:17">
      <c r="A495" s="2">
        <v>2443</v>
      </c>
      <c r="B495" s="7">
        <v>0</v>
      </c>
      <c r="C495" s="7">
        <v>0</v>
      </c>
      <c r="D495" s="7">
        <v>0</v>
      </c>
      <c r="E495" s="7">
        <v>0</v>
      </c>
      <c r="F495" s="7">
        <v>0</v>
      </c>
      <c r="G495" s="7">
        <v>0</v>
      </c>
      <c r="H495" s="7">
        <v>0</v>
      </c>
      <c r="I495" s="7">
        <v>0</v>
      </c>
      <c r="J495" s="7">
        <v>0</v>
      </c>
      <c r="K495" s="7">
        <v>0</v>
      </c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</row>
    <row r="496" spans="1:17">
      <c r="A496" s="2">
        <v>2444</v>
      </c>
      <c r="B496" s="7">
        <v>0</v>
      </c>
      <c r="C496" s="7">
        <v>0</v>
      </c>
      <c r="D496" s="7">
        <v>0</v>
      </c>
      <c r="E496" s="7">
        <v>0</v>
      </c>
      <c r="F496" s="7">
        <v>0</v>
      </c>
      <c r="G496" s="7">
        <v>0</v>
      </c>
      <c r="H496" s="7">
        <v>0</v>
      </c>
      <c r="I496" s="7">
        <v>0</v>
      </c>
      <c r="J496" s="7">
        <v>0</v>
      </c>
      <c r="K496" s="7">
        <v>0</v>
      </c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</row>
    <row r="497" spans="1:17">
      <c r="A497" s="2">
        <v>2445</v>
      </c>
      <c r="B497" s="7">
        <v>0</v>
      </c>
      <c r="C497" s="7">
        <v>0</v>
      </c>
      <c r="D497" s="7">
        <v>0</v>
      </c>
      <c r="E497" s="7">
        <v>0</v>
      </c>
      <c r="F497" s="7">
        <v>0</v>
      </c>
      <c r="G497" s="7">
        <v>0</v>
      </c>
      <c r="H497" s="7">
        <v>0</v>
      </c>
      <c r="I497" s="7">
        <v>0</v>
      </c>
      <c r="J497" s="7">
        <v>0</v>
      </c>
      <c r="K497" s="7">
        <v>0</v>
      </c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</row>
    <row r="498" spans="1:17">
      <c r="A498" s="2">
        <v>2446</v>
      </c>
      <c r="B498" s="7">
        <v>0</v>
      </c>
      <c r="C498" s="7">
        <v>0</v>
      </c>
      <c r="D498" s="7">
        <v>0</v>
      </c>
      <c r="E498" s="7">
        <v>0</v>
      </c>
      <c r="F498" s="7">
        <v>0</v>
      </c>
      <c r="G498" s="7">
        <v>0</v>
      </c>
      <c r="H498" s="7">
        <v>0</v>
      </c>
      <c r="I498" s="7">
        <v>0</v>
      </c>
      <c r="J498" s="7">
        <v>0</v>
      </c>
      <c r="K498" s="7">
        <v>0</v>
      </c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</row>
    <row r="499" spans="1:17">
      <c r="A499" s="2">
        <v>2447</v>
      </c>
      <c r="B499" s="7">
        <v>0</v>
      </c>
      <c r="C499" s="7">
        <v>0</v>
      </c>
      <c r="D499" s="7">
        <v>0</v>
      </c>
      <c r="E499" s="7">
        <v>0</v>
      </c>
      <c r="F499" s="7">
        <v>0</v>
      </c>
      <c r="G499" s="7">
        <v>0</v>
      </c>
      <c r="H499" s="7">
        <v>0</v>
      </c>
      <c r="I499" s="7">
        <v>0</v>
      </c>
      <c r="J499" s="7">
        <v>0</v>
      </c>
      <c r="K499" s="7">
        <v>0</v>
      </c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</row>
    <row r="500" spans="1:17">
      <c r="A500" s="2">
        <v>2448</v>
      </c>
      <c r="B500" s="7">
        <v>0</v>
      </c>
      <c r="C500" s="7">
        <v>0</v>
      </c>
      <c r="D500" s="7">
        <v>0</v>
      </c>
      <c r="E500" s="7">
        <v>0</v>
      </c>
      <c r="F500" s="7">
        <v>0</v>
      </c>
      <c r="G500" s="7">
        <v>0</v>
      </c>
      <c r="H500" s="7">
        <v>0</v>
      </c>
      <c r="I500" s="7">
        <v>0</v>
      </c>
      <c r="J500" s="7">
        <v>0</v>
      </c>
      <c r="K500" s="7">
        <v>0</v>
      </c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</row>
    <row r="501" spans="1:17">
      <c r="A501" s="2">
        <v>2449</v>
      </c>
      <c r="B501" s="7">
        <v>0</v>
      </c>
      <c r="C501" s="7">
        <v>0</v>
      </c>
      <c r="D501" s="7">
        <v>0</v>
      </c>
      <c r="E501" s="7">
        <v>0</v>
      </c>
      <c r="F501" s="7">
        <v>0</v>
      </c>
      <c r="G501" s="7">
        <v>0</v>
      </c>
      <c r="H501" s="7">
        <v>0</v>
      </c>
      <c r="I501" s="7">
        <v>0</v>
      </c>
      <c r="J501" s="7">
        <v>0</v>
      </c>
      <c r="K501" s="7">
        <v>0</v>
      </c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</row>
    <row r="502" spans="1:17">
      <c r="A502" s="2">
        <v>2450</v>
      </c>
      <c r="B502" s="7">
        <v>0</v>
      </c>
      <c r="C502" s="7">
        <v>0</v>
      </c>
      <c r="D502" s="7">
        <v>0</v>
      </c>
      <c r="E502" s="7">
        <v>0</v>
      </c>
      <c r="F502" s="7">
        <v>0</v>
      </c>
      <c r="G502" s="7">
        <v>0</v>
      </c>
      <c r="H502" s="7">
        <v>0</v>
      </c>
      <c r="I502" s="7">
        <v>0</v>
      </c>
      <c r="J502" s="7">
        <v>0</v>
      </c>
      <c r="K502" s="7">
        <v>0</v>
      </c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</row>
    <row r="503" spans="1:17">
      <c r="A503" s="2">
        <v>2451</v>
      </c>
      <c r="B503" s="7">
        <v>0</v>
      </c>
      <c r="C503" s="7">
        <v>0</v>
      </c>
      <c r="D503" s="7">
        <v>0</v>
      </c>
      <c r="E503" s="7">
        <v>0</v>
      </c>
      <c r="F503" s="7">
        <v>0</v>
      </c>
      <c r="G503" s="7">
        <v>0</v>
      </c>
      <c r="H503" s="7">
        <v>0</v>
      </c>
      <c r="I503" s="7">
        <v>0</v>
      </c>
      <c r="J503" s="7">
        <v>0</v>
      </c>
      <c r="K503" s="7">
        <v>0</v>
      </c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</row>
    <row r="504" spans="1:17">
      <c r="A504" s="2">
        <v>2452</v>
      </c>
      <c r="B504" s="7">
        <v>0</v>
      </c>
      <c r="C504" s="7">
        <v>0</v>
      </c>
      <c r="D504" s="7">
        <v>0</v>
      </c>
      <c r="E504" s="7">
        <v>0</v>
      </c>
      <c r="F504" s="7">
        <v>0</v>
      </c>
      <c r="G504" s="7">
        <v>0</v>
      </c>
      <c r="H504" s="7">
        <v>0</v>
      </c>
      <c r="I504" s="7">
        <v>0</v>
      </c>
      <c r="J504" s="7">
        <v>0</v>
      </c>
      <c r="K504" s="7">
        <v>0</v>
      </c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</row>
    <row r="505" spans="1:17">
      <c r="A505" s="2">
        <v>2453</v>
      </c>
      <c r="B505" s="7">
        <v>0</v>
      </c>
      <c r="C505" s="7">
        <v>0</v>
      </c>
      <c r="D505" s="7">
        <v>0</v>
      </c>
      <c r="E505" s="7">
        <v>0</v>
      </c>
      <c r="F505" s="7">
        <v>0</v>
      </c>
      <c r="G505" s="7">
        <v>0</v>
      </c>
      <c r="H505" s="7">
        <v>0</v>
      </c>
      <c r="I505" s="7">
        <v>0</v>
      </c>
      <c r="J505" s="7">
        <v>0</v>
      </c>
      <c r="K505" s="7">
        <v>0</v>
      </c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</row>
    <row r="506" spans="1:17">
      <c r="A506" s="2">
        <v>2454</v>
      </c>
      <c r="B506" s="7">
        <v>0</v>
      </c>
      <c r="C506" s="7">
        <v>0</v>
      </c>
      <c r="D506" s="7">
        <v>0</v>
      </c>
      <c r="E506" s="7">
        <v>0</v>
      </c>
      <c r="F506" s="7">
        <v>0</v>
      </c>
      <c r="G506" s="7">
        <v>0</v>
      </c>
      <c r="H506" s="7">
        <v>0</v>
      </c>
      <c r="I506" s="7">
        <v>0</v>
      </c>
      <c r="J506" s="7">
        <v>0</v>
      </c>
      <c r="K506" s="7">
        <v>0</v>
      </c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</row>
    <row r="507" spans="1:17">
      <c r="A507" s="2">
        <v>2455</v>
      </c>
      <c r="B507" s="7">
        <v>0</v>
      </c>
      <c r="C507" s="7">
        <v>0</v>
      </c>
      <c r="D507" s="7">
        <v>0</v>
      </c>
      <c r="E507" s="7">
        <v>0</v>
      </c>
      <c r="F507" s="7">
        <v>0</v>
      </c>
      <c r="G507" s="7">
        <v>0</v>
      </c>
      <c r="H507" s="7">
        <v>0</v>
      </c>
      <c r="I507" s="7">
        <v>0</v>
      </c>
      <c r="J507" s="7">
        <v>0</v>
      </c>
      <c r="K507" s="7">
        <v>0</v>
      </c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</row>
    <row r="508" spans="1:17">
      <c r="A508" s="2">
        <v>2456</v>
      </c>
      <c r="B508" s="7">
        <v>0</v>
      </c>
      <c r="C508" s="7">
        <v>0</v>
      </c>
      <c r="D508" s="7">
        <v>0</v>
      </c>
      <c r="E508" s="7">
        <v>0</v>
      </c>
      <c r="F508" s="7">
        <v>0</v>
      </c>
      <c r="G508" s="7">
        <v>0</v>
      </c>
      <c r="H508" s="7">
        <v>0</v>
      </c>
      <c r="I508" s="7">
        <v>0</v>
      </c>
      <c r="J508" s="7">
        <v>0</v>
      </c>
      <c r="K508" s="7">
        <v>0</v>
      </c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</row>
    <row r="509" spans="1:17">
      <c r="A509" s="2">
        <v>2457</v>
      </c>
      <c r="B509" s="7">
        <v>0</v>
      </c>
      <c r="C509" s="7">
        <v>0</v>
      </c>
      <c r="D509" s="7">
        <v>0</v>
      </c>
      <c r="E509" s="7">
        <v>0</v>
      </c>
      <c r="F509" s="7">
        <v>0</v>
      </c>
      <c r="G509" s="7">
        <v>0</v>
      </c>
      <c r="H509" s="7">
        <v>0</v>
      </c>
      <c r="I509" s="7">
        <v>0</v>
      </c>
      <c r="J509" s="7">
        <v>0</v>
      </c>
      <c r="K509" s="7">
        <v>0</v>
      </c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</row>
    <row r="510" spans="1:17">
      <c r="A510" s="2">
        <v>2458</v>
      </c>
      <c r="B510" s="7">
        <v>0</v>
      </c>
      <c r="C510" s="7">
        <v>0</v>
      </c>
      <c r="D510" s="7">
        <v>0</v>
      </c>
      <c r="E510" s="7">
        <v>0</v>
      </c>
      <c r="F510" s="7">
        <v>0</v>
      </c>
      <c r="G510" s="7">
        <v>0</v>
      </c>
      <c r="H510" s="7">
        <v>0</v>
      </c>
      <c r="I510" s="7">
        <v>0</v>
      </c>
      <c r="J510" s="7">
        <v>0</v>
      </c>
      <c r="K510" s="7">
        <v>0</v>
      </c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</row>
    <row r="511" spans="1:17">
      <c r="A511" s="2">
        <v>2459</v>
      </c>
      <c r="B511" s="7">
        <v>0</v>
      </c>
      <c r="C511" s="7">
        <v>0</v>
      </c>
      <c r="D511" s="7">
        <v>0</v>
      </c>
      <c r="E511" s="7">
        <v>0</v>
      </c>
      <c r="F511" s="7">
        <v>0</v>
      </c>
      <c r="G511" s="7">
        <v>0</v>
      </c>
      <c r="H511" s="7">
        <v>0</v>
      </c>
      <c r="I511" s="7">
        <v>0</v>
      </c>
      <c r="J511" s="7">
        <v>0</v>
      </c>
      <c r="K511" s="7">
        <v>0</v>
      </c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</row>
    <row r="512" spans="1:17">
      <c r="A512" s="2">
        <v>2460</v>
      </c>
      <c r="B512" s="7">
        <v>0</v>
      </c>
      <c r="C512" s="7">
        <v>0</v>
      </c>
      <c r="D512" s="7">
        <v>0</v>
      </c>
      <c r="E512" s="7">
        <v>0</v>
      </c>
      <c r="F512" s="7">
        <v>0</v>
      </c>
      <c r="G512" s="7">
        <v>0</v>
      </c>
      <c r="H512" s="7">
        <v>0</v>
      </c>
      <c r="I512" s="7">
        <v>0</v>
      </c>
      <c r="J512" s="7">
        <v>0</v>
      </c>
      <c r="K512" s="7">
        <v>0</v>
      </c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</row>
    <row r="513" spans="1:17">
      <c r="A513" s="2">
        <v>2461</v>
      </c>
      <c r="B513" s="7">
        <v>0</v>
      </c>
      <c r="C513" s="7">
        <v>0</v>
      </c>
      <c r="D513" s="7">
        <v>0</v>
      </c>
      <c r="E513" s="7">
        <v>0</v>
      </c>
      <c r="F513" s="7">
        <v>0</v>
      </c>
      <c r="G513" s="7">
        <v>0</v>
      </c>
      <c r="H513" s="7">
        <v>0</v>
      </c>
      <c r="I513" s="7">
        <v>0</v>
      </c>
      <c r="J513" s="7">
        <v>0</v>
      </c>
      <c r="K513" s="7">
        <v>0</v>
      </c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</row>
    <row r="514" spans="1:17">
      <c r="A514" s="2">
        <v>2462</v>
      </c>
      <c r="B514" s="7">
        <v>0</v>
      </c>
      <c r="C514" s="7">
        <v>0</v>
      </c>
      <c r="D514" s="7">
        <v>0</v>
      </c>
      <c r="E514" s="7">
        <v>0</v>
      </c>
      <c r="F514" s="7">
        <v>0</v>
      </c>
      <c r="G514" s="7">
        <v>0</v>
      </c>
      <c r="H514" s="7">
        <v>0</v>
      </c>
      <c r="I514" s="7">
        <v>0</v>
      </c>
      <c r="J514" s="7">
        <v>0</v>
      </c>
      <c r="K514" s="7">
        <v>0</v>
      </c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</row>
    <row r="515" spans="1:17">
      <c r="A515" s="2">
        <v>2463</v>
      </c>
      <c r="B515" s="7">
        <v>0</v>
      </c>
      <c r="C515" s="7">
        <v>0</v>
      </c>
      <c r="D515" s="7">
        <v>0</v>
      </c>
      <c r="E515" s="7">
        <v>0</v>
      </c>
      <c r="F515" s="7">
        <v>0</v>
      </c>
      <c r="G515" s="7">
        <v>0</v>
      </c>
      <c r="H515" s="7">
        <v>0</v>
      </c>
      <c r="I515" s="7">
        <v>0</v>
      </c>
      <c r="J515" s="7">
        <v>0</v>
      </c>
      <c r="K515" s="7">
        <v>0</v>
      </c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</row>
    <row r="516" spans="1:17">
      <c r="A516" s="2">
        <v>2464</v>
      </c>
      <c r="B516" s="7">
        <v>0</v>
      </c>
      <c r="C516" s="7">
        <v>0</v>
      </c>
      <c r="D516" s="7">
        <v>0</v>
      </c>
      <c r="E516" s="7">
        <v>0</v>
      </c>
      <c r="F516" s="7">
        <v>0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</row>
    <row r="517" spans="1:17">
      <c r="A517" s="2">
        <v>2465</v>
      </c>
      <c r="B517" s="7">
        <v>0</v>
      </c>
      <c r="C517" s="7">
        <v>0</v>
      </c>
      <c r="D517" s="7">
        <v>0</v>
      </c>
      <c r="E517" s="7">
        <v>0</v>
      </c>
      <c r="F517" s="7">
        <v>0</v>
      </c>
      <c r="G517" s="7">
        <v>0</v>
      </c>
      <c r="H517" s="7">
        <v>0</v>
      </c>
      <c r="I517" s="7">
        <v>0</v>
      </c>
      <c r="J517" s="7">
        <v>0</v>
      </c>
      <c r="K517" s="7">
        <v>0</v>
      </c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</row>
    <row r="518" spans="1:17">
      <c r="A518" s="2">
        <v>2466</v>
      </c>
      <c r="B518" s="7">
        <v>0</v>
      </c>
      <c r="C518" s="7">
        <v>0</v>
      </c>
      <c r="D518" s="7">
        <v>0</v>
      </c>
      <c r="E518" s="7">
        <v>0</v>
      </c>
      <c r="F518" s="7">
        <v>0</v>
      </c>
      <c r="G518" s="7">
        <v>0</v>
      </c>
      <c r="H518" s="7">
        <v>0</v>
      </c>
      <c r="I518" s="7">
        <v>0</v>
      </c>
      <c r="J518" s="7">
        <v>0</v>
      </c>
      <c r="K518" s="7">
        <v>0</v>
      </c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</row>
    <row r="519" spans="1:17">
      <c r="A519" s="2">
        <v>2467</v>
      </c>
      <c r="B519" s="7">
        <v>0</v>
      </c>
      <c r="C519" s="7">
        <v>0</v>
      </c>
      <c r="D519" s="7">
        <v>0</v>
      </c>
      <c r="E519" s="7">
        <v>0</v>
      </c>
      <c r="F519" s="7">
        <v>0</v>
      </c>
      <c r="G519" s="7">
        <v>0</v>
      </c>
      <c r="H519" s="7">
        <v>0</v>
      </c>
      <c r="I519" s="7">
        <v>0</v>
      </c>
      <c r="J519" s="7">
        <v>0</v>
      </c>
      <c r="K519" s="7">
        <v>0</v>
      </c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</row>
    <row r="520" spans="1:17">
      <c r="A520" s="2">
        <v>2468</v>
      </c>
      <c r="B520" s="7">
        <v>0</v>
      </c>
      <c r="C520" s="7">
        <v>0</v>
      </c>
      <c r="D520" s="7">
        <v>0</v>
      </c>
      <c r="E520" s="7">
        <v>0</v>
      </c>
      <c r="F520" s="7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</row>
    <row r="521" spans="1:17">
      <c r="A521" s="2">
        <v>2469</v>
      </c>
      <c r="B521" s="7">
        <v>0</v>
      </c>
      <c r="C521" s="7">
        <v>0</v>
      </c>
      <c r="D521" s="7">
        <v>0</v>
      </c>
      <c r="E521" s="7">
        <v>0</v>
      </c>
      <c r="F521" s="7">
        <v>0</v>
      </c>
      <c r="G521" s="7">
        <v>0</v>
      </c>
      <c r="H521" s="7">
        <v>0</v>
      </c>
      <c r="I521" s="7">
        <v>0</v>
      </c>
      <c r="J521" s="7">
        <v>0</v>
      </c>
      <c r="K521" s="7">
        <v>0</v>
      </c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</row>
    <row r="522" spans="1:17">
      <c r="A522" s="2">
        <v>2470</v>
      </c>
      <c r="B522" s="7">
        <v>0</v>
      </c>
      <c r="C522" s="7">
        <v>0</v>
      </c>
      <c r="D522" s="7">
        <v>0</v>
      </c>
      <c r="E522" s="7">
        <v>0</v>
      </c>
      <c r="F522" s="7">
        <v>0</v>
      </c>
      <c r="G522" s="7">
        <v>0</v>
      </c>
      <c r="H522" s="7">
        <v>0</v>
      </c>
      <c r="I522" s="7">
        <v>0</v>
      </c>
      <c r="J522" s="7">
        <v>0</v>
      </c>
      <c r="K522" s="7">
        <v>0</v>
      </c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</row>
    <row r="523" spans="1:17">
      <c r="A523" s="2">
        <v>2471</v>
      </c>
      <c r="B523" s="7">
        <v>0</v>
      </c>
      <c r="C523" s="7">
        <v>0</v>
      </c>
      <c r="D523" s="7">
        <v>0</v>
      </c>
      <c r="E523" s="7">
        <v>0</v>
      </c>
      <c r="F523" s="7">
        <v>0</v>
      </c>
      <c r="G523" s="7">
        <v>0</v>
      </c>
      <c r="H523" s="7">
        <v>0</v>
      </c>
      <c r="I523" s="7">
        <v>0</v>
      </c>
      <c r="J523" s="7">
        <v>0</v>
      </c>
      <c r="K523" s="7">
        <v>0</v>
      </c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</row>
    <row r="524" spans="1:17">
      <c r="A524" s="2">
        <v>2472</v>
      </c>
      <c r="B524" s="7">
        <v>0</v>
      </c>
      <c r="C524" s="7">
        <v>0</v>
      </c>
      <c r="D524" s="7">
        <v>0</v>
      </c>
      <c r="E524" s="7">
        <v>0</v>
      </c>
      <c r="F524" s="7">
        <v>0</v>
      </c>
      <c r="G524" s="7">
        <v>0</v>
      </c>
      <c r="H524" s="7">
        <v>0</v>
      </c>
      <c r="I524" s="7">
        <v>0</v>
      </c>
      <c r="J524" s="7">
        <v>0</v>
      </c>
      <c r="K524" s="7">
        <v>0</v>
      </c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</row>
    <row r="525" spans="1:17">
      <c r="A525" s="2">
        <v>2473</v>
      </c>
      <c r="B525" s="7">
        <v>0</v>
      </c>
      <c r="C525" s="7">
        <v>0</v>
      </c>
      <c r="D525" s="7">
        <v>0</v>
      </c>
      <c r="E525" s="7">
        <v>0</v>
      </c>
      <c r="F525" s="7">
        <v>0</v>
      </c>
      <c r="G525" s="7">
        <v>0</v>
      </c>
      <c r="H525" s="7">
        <v>0</v>
      </c>
      <c r="I525" s="7">
        <v>0</v>
      </c>
      <c r="J525" s="7">
        <v>0</v>
      </c>
      <c r="K525" s="7">
        <v>0</v>
      </c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</row>
    <row r="526" spans="1:17">
      <c r="A526" s="2">
        <v>2474</v>
      </c>
      <c r="B526" s="7">
        <v>0</v>
      </c>
      <c r="C526" s="7">
        <v>0</v>
      </c>
      <c r="D526" s="7">
        <v>0</v>
      </c>
      <c r="E526" s="7">
        <v>0</v>
      </c>
      <c r="F526" s="7">
        <v>0</v>
      </c>
      <c r="G526" s="7">
        <v>0</v>
      </c>
      <c r="H526" s="7">
        <v>0</v>
      </c>
      <c r="I526" s="7">
        <v>0</v>
      </c>
      <c r="J526" s="7">
        <v>0</v>
      </c>
      <c r="K526" s="7">
        <v>0</v>
      </c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</row>
    <row r="527" spans="1:17">
      <c r="A527" s="2">
        <v>2475</v>
      </c>
      <c r="B527" s="7">
        <v>0</v>
      </c>
      <c r="C527" s="7">
        <v>0</v>
      </c>
      <c r="D527" s="7">
        <v>0</v>
      </c>
      <c r="E527" s="7">
        <v>0</v>
      </c>
      <c r="F527" s="7">
        <v>0</v>
      </c>
      <c r="G527" s="7">
        <v>0</v>
      </c>
      <c r="H527" s="7">
        <v>0</v>
      </c>
      <c r="I527" s="7">
        <v>0</v>
      </c>
      <c r="J527" s="7">
        <v>0</v>
      </c>
      <c r="K527" s="7">
        <v>0</v>
      </c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</row>
    <row r="528" spans="1:17">
      <c r="A528" s="2">
        <v>2476</v>
      </c>
      <c r="B528" s="7">
        <v>0</v>
      </c>
      <c r="C528" s="7">
        <v>0</v>
      </c>
      <c r="D528" s="7">
        <v>0</v>
      </c>
      <c r="E528" s="7">
        <v>0</v>
      </c>
      <c r="F528" s="7">
        <v>0</v>
      </c>
      <c r="G528" s="7">
        <v>0</v>
      </c>
      <c r="H528" s="7">
        <v>0</v>
      </c>
      <c r="I528" s="7">
        <v>0</v>
      </c>
      <c r="J528" s="7">
        <v>0</v>
      </c>
      <c r="K528" s="7">
        <v>0</v>
      </c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</row>
    <row r="529" spans="1:17">
      <c r="A529" s="2">
        <v>2477</v>
      </c>
      <c r="B529" s="7">
        <v>0</v>
      </c>
      <c r="C529" s="7">
        <v>0</v>
      </c>
      <c r="D529" s="7">
        <v>0</v>
      </c>
      <c r="E529" s="7">
        <v>0</v>
      </c>
      <c r="F529" s="7">
        <v>0</v>
      </c>
      <c r="G529" s="7">
        <v>0</v>
      </c>
      <c r="H529" s="7">
        <v>0</v>
      </c>
      <c r="I529" s="7">
        <v>0</v>
      </c>
      <c r="J529" s="7">
        <v>0</v>
      </c>
      <c r="K529" s="7">
        <v>0</v>
      </c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</row>
    <row r="530" spans="1:17">
      <c r="A530" s="2">
        <v>2478</v>
      </c>
      <c r="B530" s="7">
        <v>0</v>
      </c>
      <c r="C530" s="7">
        <v>0</v>
      </c>
      <c r="D530" s="7">
        <v>0</v>
      </c>
      <c r="E530" s="7">
        <v>0</v>
      </c>
      <c r="F530" s="7">
        <v>0</v>
      </c>
      <c r="G530" s="7">
        <v>0</v>
      </c>
      <c r="H530" s="7">
        <v>0</v>
      </c>
      <c r="I530" s="7">
        <v>0</v>
      </c>
      <c r="J530" s="7">
        <v>0</v>
      </c>
      <c r="K530" s="7">
        <v>0</v>
      </c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</row>
    <row r="531" spans="1:17">
      <c r="A531" s="2">
        <v>2479</v>
      </c>
      <c r="B531" s="7">
        <v>0</v>
      </c>
      <c r="C531" s="7">
        <v>0</v>
      </c>
      <c r="D531" s="7">
        <v>0</v>
      </c>
      <c r="E531" s="7">
        <v>0</v>
      </c>
      <c r="F531" s="7">
        <v>0</v>
      </c>
      <c r="G531" s="7">
        <v>0</v>
      </c>
      <c r="H531" s="7">
        <v>0</v>
      </c>
      <c r="I531" s="7">
        <v>0</v>
      </c>
      <c r="J531" s="7">
        <v>0</v>
      </c>
      <c r="K531" s="7">
        <v>0</v>
      </c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</row>
    <row r="532" spans="1:17">
      <c r="A532" s="2">
        <v>2480</v>
      </c>
      <c r="B532" s="7">
        <v>0</v>
      </c>
      <c r="C532" s="7">
        <v>0</v>
      </c>
      <c r="D532" s="7">
        <v>0</v>
      </c>
      <c r="E532" s="7">
        <v>0</v>
      </c>
      <c r="F532" s="7">
        <v>0</v>
      </c>
      <c r="G532" s="7">
        <v>0</v>
      </c>
      <c r="H532" s="7">
        <v>0</v>
      </c>
      <c r="I532" s="7">
        <v>0</v>
      </c>
      <c r="J532" s="7">
        <v>0</v>
      </c>
      <c r="K532" s="7">
        <v>0</v>
      </c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</row>
    <row r="533" spans="1:17">
      <c r="A533" s="2">
        <v>2481</v>
      </c>
      <c r="B533" s="7">
        <v>0</v>
      </c>
      <c r="C533" s="7">
        <v>0</v>
      </c>
      <c r="D533" s="7">
        <v>0</v>
      </c>
      <c r="E533" s="7">
        <v>0</v>
      </c>
      <c r="F533" s="7">
        <v>0</v>
      </c>
      <c r="G533" s="7">
        <v>0</v>
      </c>
      <c r="H533" s="7">
        <v>0</v>
      </c>
      <c r="I533" s="7">
        <v>0</v>
      </c>
      <c r="J533" s="7">
        <v>0</v>
      </c>
      <c r="K533" s="7">
        <v>0</v>
      </c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</row>
    <row r="534" spans="1:17">
      <c r="A534" s="2">
        <v>2482</v>
      </c>
      <c r="B534" s="7">
        <v>0</v>
      </c>
      <c r="C534" s="7">
        <v>0</v>
      </c>
      <c r="D534" s="7">
        <v>0</v>
      </c>
      <c r="E534" s="7">
        <v>0</v>
      </c>
      <c r="F534" s="7">
        <v>0</v>
      </c>
      <c r="G534" s="7">
        <v>0</v>
      </c>
      <c r="H534" s="7">
        <v>0</v>
      </c>
      <c r="I534" s="7">
        <v>0</v>
      </c>
      <c r="J534" s="7">
        <v>0</v>
      </c>
      <c r="K534" s="7">
        <v>0</v>
      </c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</row>
    <row r="535" spans="1:17">
      <c r="A535" s="2">
        <v>2483</v>
      </c>
      <c r="B535" s="7">
        <v>0</v>
      </c>
      <c r="C535" s="7">
        <v>0</v>
      </c>
      <c r="D535" s="7">
        <v>0</v>
      </c>
      <c r="E535" s="7">
        <v>0</v>
      </c>
      <c r="F535" s="7">
        <v>0</v>
      </c>
      <c r="G535" s="7">
        <v>0</v>
      </c>
      <c r="H535" s="7">
        <v>0</v>
      </c>
      <c r="I535" s="7">
        <v>0</v>
      </c>
      <c r="J535" s="7">
        <v>0</v>
      </c>
      <c r="K535" s="7">
        <v>0</v>
      </c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</row>
    <row r="536" spans="1:17">
      <c r="A536" s="2">
        <v>2484</v>
      </c>
      <c r="B536" s="7">
        <v>0</v>
      </c>
      <c r="C536" s="7">
        <v>0</v>
      </c>
      <c r="D536" s="7">
        <v>0</v>
      </c>
      <c r="E536" s="7">
        <v>0</v>
      </c>
      <c r="F536" s="7">
        <v>0</v>
      </c>
      <c r="G536" s="7">
        <v>0</v>
      </c>
      <c r="H536" s="7">
        <v>0</v>
      </c>
      <c r="I536" s="7">
        <v>0</v>
      </c>
      <c r="J536" s="7">
        <v>0</v>
      </c>
      <c r="K536" s="7">
        <v>0</v>
      </c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</row>
    <row r="537" spans="1:17">
      <c r="A537" s="2">
        <v>2485</v>
      </c>
      <c r="B537" s="7">
        <v>0</v>
      </c>
      <c r="C537" s="7">
        <v>0</v>
      </c>
      <c r="D537" s="7">
        <v>0</v>
      </c>
      <c r="E537" s="7">
        <v>0</v>
      </c>
      <c r="F537" s="7">
        <v>0</v>
      </c>
      <c r="G537" s="7">
        <v>0</v>
      </c>
      <c r="H537" s="7">
        <v>0</v>
      </c>
      <c r="I537" s="7">
        <v>0</v>
      </c>
      <c r="J537" s="7">
        <v>0</v>
      </c>
      <c r="K537" s="7">
        <v>0</v>
      </c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</row>
    <row r="538" spans="1:17">
      <c r="A538" s="2">
        <v>2486</v>
      </c>
      <c r="B538" s="7">
        <v>0</v>
      </c>
      <c r="C538" s="7">
        <v>0</v>
      </c>
      <c r="D538" s="7">
        <v>0</v>
      </c>
      <c r="E538" s="7">
        <v>0</v>
      </c>
      <c r="F538" s="7">
        <v>0</v>
      </c>
      <c r="G538" s="7">
        <v>0</v>
      </c>
      <c r="H538" s="7">
        <v>0</v>
      </c>
      <c r="I538" s="7">
        <v>0</v>
      </c>
      <c r="J538" s="7">
        <v>0</v>
      </c>
      <c r="K538" s="7">
        <v>0</v>
      </c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</row>
    <row r="539" spans="1:17">
      <c r="A539" s="2">
        <v>2487</v>
      </c>
      <c r="B539" s="7">
        <v>0</v>
      </c>
      <c r="C539" s="7">
        <v>0</v>
      </c>
      <c r="D539" s="7">
        <v>0</v>
      </c>
      <c r="E539" s="7">
        <v>0</v>
      </c>
      <c r="F539" s="7">
        <v>0</v>
      </c>
      <c r="G539" s="7">
        <v>0</v>
      </c>
      <c r="H539" s="7">
        <v>0</v>
      </c>
      <c r="I539" s="7">
        <v>0</v>
      </c>
      <c r="J539" s="7">
        <v>0</v>
      </c>
      <c r="K539" s="7">
        <v>0</v>
      </c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</row>
    <row r="540" spans="1:17">
      <c r="A540" s="2">
        <v>2488</v>
      </c>
      <c r="B540" s="7">
        <v>0</v>
      </c>
      <c r="C540" s="7">
        <v>0</v>
      </c>
      <c r="D540" s="7">
        <v>0</v>
      </c>
      <c r="E540" s="7">
        <v>0</v>
      </c>
      <c r="F540" s="7">
        <v>0</v>
      </c>
      <c r="G540" s="7">
        <v>0</v>
      </c>
      <c r="H540" s="7">
        <v>0</v>
      </c>
      <c r="I540" s="7">
        <v>0</v>
      </c>
      <c r="J540" s="7">
        <v>0</v>
      </c>
      <c r="K540" s="7">
        <v>0</v>
      </c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</row>
    <row r="541" spans="1:17">
      <c r="A541" s="2">
        <v>2489</v>
      </c>
      <c r="B541" s="7">
        <v>0</v>
      </c>
      <c r="C541" s="7">
        <v>0</v>
      </c>
      <c r="D541" s="7">
        <v>0</v>
      </c>
      <c r="E541" s="7">
        <v>0</v>
      </c>
      <c r="F541" s="7">
        <v>0</v>
      </c>
      <c r="G541" s="7">
        <v>0</v>
      </c>
      <c r="H541" s="7">
        <v>0</v>
      </c>
      <c r="I541" s="7">
        <v>0</v>
      </c>
      <c r="J541" s="7">
        <v>0</v>
      </c>
      <c r="K541" s="7">
        <v>0</v>
      </c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</row>
    <row r="542" spans="1:17">
      <c r="A542" s="2">
        <v>2490</v>
      </c>
      <c r="B542" s="7">
        <v>0</v>
      </c>
      <c r="C542" s="7">
        <v>0</v>
      </c>
      <c r="D542" s="7">
        <v>0</v>
      </c>
      <c r="E542" s="7">
        <v>0</v>
      </c>
      <c r="F542" s="7">
        <v>0</v>
      </c>
      <c r="G542" s="7">
        <v>0</v>
      </c>
      <c r="H542" s="7">
        <v>0</v>
      </c>
      <c r="I542" s="7">
        <v>0</v>
      </c>
      <c r="J542" s="7">
        <v>0</v>
      </c>
      <c r="K542" s="7">
        <v>0</v>
      </c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</row>
    <row r="543" spans="1:17">
      <c r="A543" s="2">
        <v>2491</v>
      </c>
      <c r="B543" s="7">
        <v>0</v>
      </c>
      <c r="C543" s="7">
        <v>0</v>
      </c>
      <c r="D543" s="7">
        <v>0</v>
      </c>
      <c r="E543" s="7">
        <v>0</v>
      </c>
      <c r="F543" s="7">
        <v>0</v>
      </c>
      <c r="G543" s="7">
        <v>0</v>
      </c>
      <c r="H543" s="7">
        <v>0</v>
      </c>
      <c r="I543" s="7">
        <v>0</v>
      </c>
      <c r="J543" s="7">
        <v>0</v>
      </c>
      <c r="K543" s="7">
        <v>0</v>
      </c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</row>
    <row r="544" spans="1:17">
      <c r="A544" s="2">
        <v>2492</v>
      </c>
      <c r="B544" s="7">
        <v>0</v>
      </c>
      <c r="C544" s="7">
        <v>0</v>
      </c>
      <c r="D544" s="7">
        <v>0</v>
      </c>
      <c r="E544" s="7">
        <v>0</v>
      </c>
      <c r="F544" s="7">
        <v>0</v>
      </c>
      <c r="G544" s="7">
        <v>0</v>
      </c>
      <c r="H544" s="7">
        <v>0</v>
      </c>
      <c r="I544" s="7">
        <v>0</v>
      </c>
      <c r="J544" s="7">
        <v>0</v>
      </c>
      <c r="K544" s="7">
        <v>0</v>
      </c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</row>
    <row r="545" spans="1:17">
      <c r="A545" s="2">
        <v>2493</v>
      </c>
      <c r="B545" s="7">
        <v>0</v>
      </c>
      <c r="C545" s="7">
        <v>0</v>
      </c>
      <c r="D545" s="7">
        <v>0</v>
      </c>
      <c r="E545" s="7">
        <v>0</v>
      </c>
      <c r="F545" s="7">
        <v>0</v>
      </c>
      <c r="G545" s="7">
        <v>0</v>
      </c>
      <c r="H545" s="7">
        <v>0</v>
      </c>
      <c r="I545" s="7">
        <v>0</v>
      </c>
      <c r="J545" s="7">
        <v>0</v>
      </c>
      <c r="K545" s="7">
        <v>0</v>
      </c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</row>
    <row r="546" spans="1:17">
      <c r="A546" s="2">
        <v>2494</v>
      </c>
      <c r="B546" s="7">
        <v>0</v>
      </c>
      <c r="C546" s="7">
        <v>0</v>
      </c>
      <c r="D546" s="7">
        <v>0</v>
      </c>
      <c r="E546" s="7">
        <v>0</v>
      </c>
      <c r="F546" s="7">
        <v>0</v>
      </c>
      <c r="G546" s="7">
        <v>0</v>
      </c>
      <c r="H546" s="7">
        <v>0</v>
      </c>
      <c r="I546" s="7">
        <v>0</v>
      </c>
      <c r="J546" s="7">
        <v>0</v>
      </c>
      <c r="K546" s="7">
        <v>0</v>
      </c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</row>
    <row r="547" spans="1:17">
      <c r="A547" s="2">
        <v>2495</v>
      </c>
      <c r="B547" s="7">
        <v>0</v>
      </c>
      <c r="C547" s="7">
        <v>0</v>
      </c>
      <c r="D547" s="7">
        <v>0</v>
      </c>
      <c r="E547" s="7">
        <v>0</v>
      </c>
      <c r="F547" s="7">
        <v>0</v>
      </c>
      <c r="G547" s="7">
        <v>0</v>
      </c>
      <c r="H547" s="7">
        <v>0</v>
      </c>
      <c r="I547" s="7">
        <v>0</v>
      </c>
      <c r="J547" s="7">
        <v>0</v>
      </c>
      <c r="K547" s="7">
        <v>0</v>
      </c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</row>
    <row r="548" spans="1:17">
      <c r="A548" s="2">
        <v>2496</v>
      </c>
      <c r="B548" s="7">
        <v>0</v>
      </c>
      <c r="C548" s="7">
        <v>0</v>
      </c>
      <c r="D548" s="7">
        <v>0</v>
      </c>
      <c r="E548" s="7">
        <v>0</v>
      </c>
      <c r="F548" s="7">
        <v>0</v>
      </c>
      <c r="G548" s="7">
        <v>0</v>
      </c>
      <c r="H548" s="7">
        <v>0</v>
      </c>
      <c r="I548" s="7">
        <v>0</v>
      </c>
      <c r="J548" s="7">
        <v>0</v>
      </c>
      <c r="K548" s="7">
        <v>0</v>
      </c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</row>
    <row r="549" spans="1:17">
      <c r="A549" s="2">
        <v>2497</v>
      </c>
      <c r="B549" s="7">
        <v>0</v>
      </c>
      <c r="C549" s="7">
        <v>0</v>
      </c>
      <c r="D549" s="7">
        <v>0</v>
      </c>
      <c r="E549" s="7">
        <v>0</v>
      </c>
      <c r="F549" s="7">
        <v>0</v>
      </c>
      <c r="G549" s="7">
        <v>0</v>
      </c>
      <c r="H549" s="7">
        <v>0</v>
      </c>
      <c r="I549" s="7">
        <v>0</v>
      </c>
      <c r="J549" s="7">
        <v>0</v>
      </c>
      <c r="K549" s="7">
        <v>0</v>
      </c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</row>
    <row r="550" spans="1:17">
      <c r="A550" s="2">
        <v>2498</v>
      </c>
      <c r="B550" s="7">
        <v>0</v>
      </c>
      <c r="C550" s="7">
        <v>0</v>
      </c>
      <c r="D550" s="7">
        <v>0</v>
      </c>
      <c r="E550" s="7">
        <v>0</v>
      </c>
      <c r="F550" s="7">
        <v>0</v>
      </c>
      <c r="G550" s="7">
        <v>0</v>
      </c>
      <c r="H550" s="7">
        <v>0</v>
      </c>
      <c r="I550" s="7">
        <v>0</v>
      </c>
      <c r="J550" s="7">
        <v>0</v>
      </c>
      <c r="K550" s="7">
        <v>0</v>
      </c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</row>
    <row r="551" spans="1:17">
      <c r="A551" s="2">
        <v>2499</v>
      </c>
      <c r="B551" s="7">
        <v>0</v>
      </c>
      <c r="C551" s="7">
        <v>0</v>
      </c>
      <c r="D551" s="7">
        <v>0</v>
      </c>
      <c r="E551" s="7">
        <v>0</v>
      </c>
      <c r="F551" s="7">
        <v>0</v>
      </c>
      <c r="G551" s="7">
        <v>0</v>
      </c>
      <c r="H551" s="7">
        <v>0</v>
      </c>
      <c r="I551" s="7">
        <v>0</v>
      </c>
      <c r="J551" s="7">
        <v>0</v>
      </c>
      <c r="K551" s="7">
        <v>0</v>
      </c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</row>
    <row r="552" spans="1:17">
      <c r="A552" s="2">
        <v>2500</v>
      </c>
      <c r="B552" s="7">
        <v>0</v>
      </c>
      <c r="C552" s="7">
        <v>0</v>
      </c>
      <c r="D552" s="7">
        <v>0</v>
      </c>
      <c r="E552" s="7">
        <v>0</v>
      </c>
      <c r="F552" s="7">
        <v>0</v>
      </c>
      <c r="G552" s="7">
        <v>0</v>
      </c>
      <c r="H552" s="7">
        <v>0</v>
      </c>
      <c r="I552" s="7">
        <v>0</v>
      </c>
      <c r="J552" s="7">
        <v>0</v>
      </c>
      <c r="K552" s="7">
        <v>0</v>
      </c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</row>
    <row r="553" spans="1:17">
      <c r="A553" s="2">
        <v>2501</v>
      </c>
      <c r="B553" s="7">
        <v>0</v>
      </c>
      <c r="C553" s="7">
        <v>0</v>
      </c>
      <c r="D553" s="7">
        <v>0</v>
      </c>
      <c r="E553" s="7">
        <v>0</v>
      </c>
      <c r="F553" s="7">
        <v>0</v>
      </c>
      <c r="G553" s="7">
        <v>0</v>
      </c>
      <c r="H553" s="7">
        <v>0</v>
      </c>
      <c r="I553" s="7">
        <v>0</v>
      </c>
      <c r="J553" s="7">
        <v>0</v>
      </c>
      <c r="K553" s="7">
        <v>0</v>
      </c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</row>
    <row r="554" spans="1:17">
      <c r="A554" s="2">
        <v>2502</v>
      </c>
      <c r="B554" s="7">
        <v>0</v>
      </c>
      <c r="C554" s="7">
        <v>0</v>
      </c>
      <c r="D554" s="7">
        <v>0</v>
      </c>
      <c r="E554" s="7">
        <v>0</v>
      </c>
      <c r="F554" s="7">
        <v>0</v>
      </c>
      <c r="G554" s="7">
        <v>0</v>
      </c>
      <c r="H554" s="7">
        <v>0</v>
      </c>
      <c r="I554" s="7">
        <v>0</v>
      </c>
      <c r="J554" s="7">
        <v>0</v>
      </c>
      <c r="K554" s="7">
        <v>0</v>
      </c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</row>
    <row r="555" spans="1:17">
      <c r="A555" s="2">
        <v>2503</v>
      </c>
      <c r="B555" s="7">
        <v>0</v>
      </c>
      <c r="C555" s="7">
        <v>0</v>
      </c>
      <c r="D555" s="7">
        <v>0</v>
      </c>
      <c r="E555" s="7">
        <v>0</v>
      </c>
      <c r="F555" s="7">
        <v>0</v>
      </c>
      <c r="G555" s="7">
        <v>0</v>
      </c>
      <c r="H555" s="7">
        <v>0</v>
      </c>
      <c r="I555" s="7">
        <v>0</v>
      </c>
      <c r="J555" s="7">
        <v>0</v>
      </c>
      <c r="K555" s="7">
        <v>0</v>
      </c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</row>
    <row r="556" spans="1:17">
      <c r="A556" s="2">
        <v>2504</v>
      </c>
      <c r="B556" s="7">
        <v>0</v>
      </c>
      <c r="C556" s="7">
        <v>0</v>
      </c>
      <c r="D556" s="7">
        <v>0</v>
      </c>
      <c r="E556" s="7">
        <v>0</v>
      </c>
      <c r="F556" s="7">
        <v>0</v>
      </c>
      <c r="G556" s="7">
        <v>0</v>
      </c>
      <c r="H556" s="7">
        <v>0</v>
      </c>
      <c r="I556" s="7">
        <v>0</v>
      </c>
      <c r="J556" s="7">
        <v>0</v>
      </c>
      <c r="K556" s="7">
        <v>0</v>
      </c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</row>
    <row r="557" spans="1:17">
      <c r="A557" s="2">
        <v>2505</v>
      </c>
      <c r="B557" s="7">
        <v>0</v>
      </c>
      <c r="C557" s="7">
        <v>0</v>
      </c>
      <c r="D557" s="7">
        <v>0</v>
      </c>
      <c r="E557" s="7">
        <v>0</v>
      </c>
      <c r="F557" s="7">
        <v>0</v>
      </c>
      <c r="G557" s="7">
        <v>0</v>
      </c>
      <c r="H557" s="7">
        <v>0</v>
      </c>
      <c r="I557" s="7">
        <v>0</v>
      </c>
      <c r="J557" s="7">
        <v>0</v>
      </c>
      <c r="K557" s="7">
        <v>0</v>
      </c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</row>
    <row r="558" spans="1:17">
      <c r="A558" s="2">
        <v>2506</v>
      </c>
      <c r="B558" s="7">
        <v>0</v>
      </c>
      <c r="C558" s="7">
        <v>0</v>
      </c>
      <c r="D558" s="7">
        <v>0</v>
      </c>
      <c r="E558" s="7">
        <v>0</v>
      </c>
      <c r="F558" s="7">
        <v>0</v>
      </c>
      <c r="G558" s="7">
        <v>0</v>
      </c>
      <c r="H558" s="7">
        <v>0</v>
      </c>
      <c r="I558" s="7">
        <v>0</v>
      </c>
      <c r="J558" s="7">
        <v>0</v>
      </c>
      <c r="K558" s="7">
        <v>0</v>
      </c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</row>
    <row r="559" spans="1:17">
      <c r="A559" s="2">
        <v>2507</v>
      </c>
      <c r="B559" s="7">
        <v>0</v>
      </c>
      <c r="C559" s="7">
        <v>0</v>
      </c>
      <c r="D559" s="7">
        <v>0</v>
      </c>
      <c r="E559" s="7">
        <v>0</v>
      </c>
      <c r="F559" s="7">
        <v>0</v>
      </c>
      <c r="G559" s="7">
        <v>0</v>
      </c>
      <c r="H559" s="7">
        <v>0</v>
      </c>
      <c r="I559" s="7">
        <v>0</v>
      </c>
      <c r="J559" s="7">
        <v>0</v>
      </c>
      <c r="K559" s="7">
        <v>0</v>
      </c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</row>
    <row r="560" spans="1:17">
      <c r="A560" s="2">
        <v>2508</v>
      </c>
      <c r="B560" s="7">
        <v>0</v>
      </c>
      <c r="C560" s="7">
        <v>0</v>
      </c>
      <c r="D560" s="7">
        <v>0</v>
      </c>
      <c r="E560" s="7">
        <v>0</v>
      </c>
      <c r="F560" s="7">
        <v>0</v>
      </c>
      <c r="G560" s="7">
        <v>0</v>
      </c>
      <c r="H560" s="7">
        <v>0</v>
      </c>
      <c r="I560" s="7">
        <v>0</v>
      </c>
      <c r="J560" s="7">
        <v>0</v>
      </c>
      <c r="K560" s="7">
        <v>0</v>
      </c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</row>
    <row r="561" spans="1:17">
      <c r="A561" s="2">
        <v>2509</v>
      </c>
      <c r="B561" s="7">
        <v>0</v>
      </c>
      <c r="C561" s="7">
        <v>0</v>
      </c>
      <c r="D561" s="7">
        <v>0</v>
      </c>
      <c r="E561" s="7">
        <v>0</v>
      </c>
      <c r="F561" s="7">
        <v>0</v>
      </c>
      <c r="G561" s="7">
        <v>0</v>
      </c>
      <c r="H561" s="7">
        <v>0</v>
      </c>
      <c r="I561" s="7">
        <v>0</v>
      </c>
      <c r="J561" s="7">
        <v>0</v>
      </c>
      <c r="K561" s="7">
        <v>0</v>
      </c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</row>
    <row r="562" spans="1:17">
      <c r="A562" s="2">
        <v>2510</v>
      </c>
      <c r="B562" s="7">
        <v>0</v>
      </c>
      <c r="C562" s="7">
        <v>0</v>
      </c>
      <c r="D562" s="7">
        <v>0</v>
      </c>
      <c r="E562" s="7">
        <v>0</v>
      </c>
      <c r="F562" s="7">
        <v>0</v>
      </c>
      <c r="G562" s="7">
        <v>0</v>
      </c>
      <c r="H562" s="7">
        <v>0</v>
      </c>
      <c r="I562" s="7">
        <v>0</v>
      </c>
      <c r="J562" s="7">
        <v>0</v>
      </c>
      <c r="K562" s="7">
        <v>0</v>
      </c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</row>
    <row r="563" spans="1:17">
      <c r="A563" s="2">
        <v>2511</v>
      </c>
      <c r="B563" s="7">
        <v>0</v>
      </c>
      <c r="C563" s="7">
        <v>0</v>
      </c>
      <c r="D563" s="7">
        <v>0</v>
      </c>
      <c r="E563" s="7">
        <v>0</v>
      </c>
      <c r="F563" s="7">
        <v>0</v>
      </c>
      <c r="G563" s="7">
        <v>0</v>
      </c>
      <c r="H563" s="7">
        <v>0</v>
      </c>
      <c r="I563" s="7">
        <v>0</v>
      </c>
      <c r="J563" s="7">
        <v>0</v>
      </c>
      <c r="K563" s="7">
        <v>0</v>
      </c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</row>
    <row r="564" spans="1:17">
      <c r="A564" s="2">
        <v>2512</v>
      </c>
      <c r="B564" s="7">
        <v>0</v>
      </c>
      <c r="C564" s="7">
        <v>0</v>
      </c>
      <c r="D564" s="7">
        <v>0</v>
      </c>
      <c r="E564" s="7">
        <v>0</v>
      </c>
      <c r="F564" s="7">
        <v>0</v>
      </c>
      <c r="G564" s="7">
        <v>0</v>
      </c>
      <c r="H564" s="7">
        <v>0</v>
      </c>
      <c r="I564" s="7">
        <v>0</v>
      </c>
      <c r="J564" s="7">
        <v>0</v>
      </c>
      <c r="K564" s="7">
        <v>0</v>
      </c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</row>
    <row r="565" spans="1:17">
      <c r="A565" s="2">
        <v>2513</v>
      </c>
      <c r="B565" s="7">
        <v>0</v>
      </c>
      <c r="C565" s="7">
        <v>0</v>
      </c>
      <c r="D565" s="7">
        <v>0</v>
      </c>
      <c r="E565" s="7">
        <v>0</v>
      </c>
      <c r="F565" s="7">
        <v>0</v>
      </c>
      <c r="G565" s="7">
        <v>0</v>
      </c>
      <c r="H565" s="7">
        <v>0</v>
      </c>
      <c r="I565" s="7">
        <v>0</v>
      </c>
      <c r="J565" s="7">
        <v>0</v>
      </c>
      <c r="K565" s="7">
        <v>0</v>
      </c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</row>
    <row r="566" spans="1:17">
      <c r="A566" s="2">
        <v>2514</v>
      </c>
      <c r="B566" s="7">
        <v>0</v>
      </c>
      <c r="C566" s="7">
        <v>0</v>
      </c>
      <c r="D566" s="7">
        <v>0</v>
      </c>
      <c r="E566" s="7">
        <v>0</v>
      </c>
      <c r="F566" s="7">
        <v>0</v>
      </c>
      <c r="G566" s="7">
        <v>0</v>
      </c>
      <c r="H566" s="7">
        <v>0</v>
      </c>
      <c r="I566" s="7">
        <v>0</v>
      </c>
      <c r="J566" s="7">
        <v>0</v>
      </c>
      <c r="K566" s="7">
        <v>0</v>
      </c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</row>
    <row r="567" spans="1:17">
      <c r="A567" s="2">
        <v>2515</v>
      </c>
      <c r="B567" s="7">
        <v>0</v>
      </c>
      <c r="C567" s="7">
        <v>0</v>
      </c>
      <c r="D567" s="7">
        <v>0</v>
      </c>
      <c r="E567" s="7">
        <v>0</v>
      </c>
      <c r="F567" s="7">
        <v>0</v>
      </c>
      <c r="G567" s="7">
        <v>0</v>
      </c>
      <c r="H567" s="7">
        <v>0</v>
      </c>
      <c r="I567" s="7">
        <v>0</v>
      </c>
      <c r="J567" s="7">
        <v>0</v>
      </c>
      <c r="K567" s="7">
        <v>0</v>
      </c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</row>
    <row r="568" spans="1:17">
      <c r="A568" s="2">
        <v>2516</v>
      </c>
      <c r="B568" s="7">
        <v>0</v>
      </c>
      <c r="C568" s="7">
        <v>0</v>
      </c>
      <c r="D568" s="7">
        <v>0</v>
      </c>
      <c r="E568" s="7">
        <v>0</v>
      </c>
      <c r="F568" s="7">
        <v>0</v>
      </c>
      <c r="G568" s="7">
        <v>0</v>
      </c>
      <c r="H568" s="7">
        <v>0</v>
      </c>
      <c r="I568" s="7">
        <v>0</v>
      </c>
      <c r="J568" s="7">
        <v>0</v>
      </c>
      <c r="K568" s="7">
        <v>0</v>
      </c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</row>
    <row r="569" spans="1:17">
      <c r="A569" s="2">
        <v>2517</v>
      </c>
      <c r="B569" s="7">
        <v>0</v>
      </c>
      <c r="C569" s="7">
        <v>0</v>
      </c>
      <c r="D569" s="7">
        <v>0</v>
      </c>
      <c r="E569" s="7">
        <v>0</v>
      </c>
      <c r="F569" s="7">
        <v>0</v>
      </c>
      <c r="G569" s="7">
        <v>0</v>
      </c>
      <c r="H569" s="7">
        <v>0</v>
      </c>
      <c r="I569" s="7">
        <v>0</v>
      </c>
      <c r="J569" s="7">
        <v>0</v>
      </c>
      <c r="K569" s="7">
        <v>0</v>
      </c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</row>
    <row r="570" spans="1:17">
      <c r="A570" s="2">
        <v>2518</v>
      </c>
      <c r="B570" s="7">
        <v>0</v>
      </c>
      <c r="C570" s="7">
        <v>0</v>
      </c>
      <c r="D570" s="7">
        <v>0</v>
      </c>
      <c r="E570" s="7">
        <v>0</v>
      </c>
      <c r="F570" s="7">
        <v>0</v>
      </c>
      <c r="G570" s="7">
        <v>0</v>
      </c>
      <c r="H570" s="7">
        <v>0</v>
      </c>
      <c r="I570" s="7">
        <v>0</v>
      </c>
      <c r="J570" s="7">
        <v>0</v>
      </c>
      <c r="K570" s="7">
        <v>0</v>
      </c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</row>
    <row r="571" spans="1:17">
      <c r="A571" s="2">
        <v>2519</v>
      </c>
      <c r="B571" s="7">
        <v>0</v>
      </c>
      <c r="C571" s="7">
        <v>0</v>
      </c>
      <c r="D571" s="7">
        <v>0</v>
      </c>
      <c r="E571" s="7">
        <v>0</v>
      </c>
      <c r="F571" s="7">
        <v>0</v>
      </c>
      <c r="G571" s="7">
        <v>0</v>
      </c>
      <c r="H571" s="7">
        <v>0</v>
      </c>
      <c r="I571" s="7">
        <v>0</v>
      </c>
      <c r="J571" s="7">
        <v>0</v>
      </c>
      <c r="K571" s="7">
        <v>0</v>
      </c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</row>
    <row r="572" spans="1:17">
      <c r="A572" s="2">
        <v>2520</v>
      </c>
      <c r="B572" s="7">
        <v>0</v>
      </c>
      <c r="C572" s="7">
        <v>0</v>
      </c>
      <c r="D572" s="7">
        <v>0</v>
      </c>
      <c r="E572" s="7">
        <v>0</v>
      </c>
      <c r="F572" s="7">
        <v>0</v>
      </c>
      <c r="G572" s="7">
        <v>0</v>
      </c>
      <c r="H572" s="7">
        <v>0</v>
      </c>
      <c r="I572" s="7">
        <v>0</v>
      </c>
      <c r="J572" s="7">
        <v>0</v>
      </c>
      <c r="K572" s="7">
        <v>0</v>
      </c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</row>
    <row r="573" spans="1:17">
      <c r="A573" s="2">
        <v>2521</v>
      </c>
      <c r="B573" s="7">
        <v>0</v>
      </c>
      <c r="C573" s="7">
        <v>0</v>
      </c>
      <c r="D573" s="7">
        <v>0</v>
      </c>
      <c r="E573" s="7">
        <v>0</v>
      </c>
      <c r="F573" s="7">
        <v>0</v>
      </c>
      <c r="G573" s="7">
        <v>0</v>
      </c>
      <c r="H573" s="7">
        <v>0</v>
      </c>
      <c r="I573" s="7">
        <v>0</v>
      </c>
      <c r="J573" s="7">
        <v>0</v>
      </c>
      <c r="K573" s="7">
        <v>0</v>
      </c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</row>
    <row r="574" spans="1:17">
      <c r="A574" s="2">
        <v>2522</v>
      </c>
      <c r="B574" s="7">
        <v>0</v>
      </c>
      <c r="C574" s="7">
        <v>0</v>
      </c>
      <c r="D574" s="7">
        <v>0</v>
      </c>
      <c r="E574" s="7">
        <v>0</v>
      </c>
      <c r="F574" s="7">
        <v>0</v>
      </c>
      <c r="G574" s="7">
        <v>0</v>
      </c>
      <c r="H574" s="7">
        <v>0</v>
      </c>
      <c r="I574" s="7">
        <v>0</v>
      </c>
      <c r="J574" s="7">
        <v>0</v>
      </c>
      <c r="K574" s="7">
        <v>0</v>
      </c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</row>
    <row r="575" spans="1:17">
      <c r="A575" s="2">
        <v>2523</v>
      </c>
      <c r="B575" s="7">
        <v>0</v>
      </c>
      <c r="C575" s="7">
        <v>0</v>
      </c>
      <c r="D575" s="7">
        <v>0</v>
      </c>
      <c r="E575" s="7">
        <v>0</v>
      </c>
      <c r="F575" s="7">
        <v>0</v>
      </c>
      <c r="G575" s="7">
        <v>0</v>
      </c>
      <c r="H575" s="7">
        <v>0</v>
      </c>
      <c r="I575" s="7">
        <v>0</v>
      </c>
      <c r="J575" s="7">
        <v>0</v>
      </c>
      <c r="K575" s="7">
        <v>0</v>
      </c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</row>
    <row r="576" spans="1:17">
      <c r="A576" s="2">
        <v>2524</v>
      </c>
      <c r="B576" s="7">
        <v>0</v>
      </c>
      <c r="C576" s="7">
        <v>0</v>
      </c>
      <c r="D576" s="7">
        <v>0</v>
      </c>
      <c r="E576" s="7">
        <v>0</v>
      </c>
      <c r="F576" s="7">
        <v>0</v>
      </c>
      <c r="G576" s="7">
        <v>0</v>
      </c>
      <c r="H576" s="7">
        <v>0</v>
      </c>
      <c r="I576" s="7">
        <v>0</v>
      </c>
      <c r="J576" s="7">
        <v>0</v>
      </c>
      <c r="K576" s="7">
        <v>0</v>
      </c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</row>
    <row r="577" spans="1:17">
      <c r="A577" s="2">
        <v>2525</v>
      </c>
      <c r="B577" s="7">
        <v>0</v>
      </c>
      <c r="C577" s="7">
        <v>0</v>
      </c>
      <c r="D577" s="7">
        <v>0</v>
      </c>
      <c r="E577" s="7">
        <v>0</v>
      </c>
      <c r="F577" s="7">
        <v>0</v>
      </c>
      <c r="G577" s="7">
        <v>0</v>
      </c>
      <c r="H577" s="7">
        <v>0</v>
      </c>
      <c r="I577" s="7">
        <v>0</v>
      </c>
      <c r="J577" s="7">
        <v>0</v>
      </c>
      <c r="K577" s="7">
        <v>0</v>
      </c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</row>
    <row r="578" spans="1:17">
      <c r="A578" s="2">
        <v>2526</v>
      </c>
      <c r="B578" s="7">
        <v>0</v>
      </c>
      <c r="C578" s="7">
        <v>0</v>
      </c>
      <c r="D578" s="7">
        <v>0</v>
      </c>
      <c r="E578" s="7">
        <v>0</v>
      </c>
      <c r="F578" s="7">
        <v>0</v>
      </c>
      <c r="G578" s="7">
        <v>0</v>
      </c>
      <c r="H578" s="7">
        <v>0</v>
      </c>
      <c r="I578" s="7">
        <v>0</v>
      </c>
      <c r="J578" s="7">
        <v>0</v>
      </c>
      <c r="K578" s="7">
        <v>0</v>
      </c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</row>
    <row r="579" spans="1:17">
      <c r="A579" s="2">
        <v>2527</v>
      </c>
      <c r="B579" s="7">
        <v>0</v>
      </c>
      <c r="C579" s="7">
        <v>0</v>
      </c>
      <c r="D579" s="7">
        <v>0</v>
      </c>
      <c r="E579" s="7">
        <v>0</v>
      </c>
      <c r="F579" s="7">
        <v>0</v>
      </c>
      <c r="G579" s="7">
        <v>0</v>
      </c>
      <c r="H579" s="7">
        <v>0</v>
      </c>
      <c r="I579" s="7">
        <v>0</v>
      </c>
      <c r="J579" s="7">
        <v>0</v>
      </c>
      <c r="K579" s="7">
        <v>0</v>
      </c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</row>
    <row r="580" spans="1:17">
      <c r="A580" s="2">
        <v>2528</v>
      </c>
      <c r="B580" s="7">
        <v>0</v>
      </c>
      <c r="C580" s="7">
        <v>0</v>
      </c>
      <c r="D580" s="7">
        <v>0</v>
      </c>
      <c r="E580" s="7">
        <v>0</v>
      </c>
      <c r="F580" s="7">
        <v>0</v>
      </c>
      <c r="G580" s="7">
        <v>0</v>
      </c>
      <c r="H580" s="7">
        <v>0</v>
      </c>
      <c r="I580" s="7">
        <v>0</v>
      </c>
      <c r="J580" s="7">
        <v>0</v>
      </c>
      <c r="K580" s="7">
        <v>0</v>
      </c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</row>
    <row r="581" spans="1:17">
      <c r="A581" s="2">
        <v>2529</v>
      </c>
      <c r="B581" s="7">
        <v>0</v>
      </c>
      <c r="C581" s="7">
        <v>0</v>
      </c>
      <c r="D581" s="7">
        <v>0</v>
      </c>
      <c r="E581" s="7">
        <v>0</v>
      </c>
      <c r="F581" s="7">
        <v>0</v>
      </c>
      <c r="G581" s="7">
        <v>0</v>
      </c>
      <c r="H581" s="7">
        <v>0</v>
      </c>
      <c r="I581" s="7">
        <v>0</v>
      </c>
      <c r="J581" s="7">
        <v>0</v>
      </c>
      <c r="K581" s="7">
        <v>0</v>
      </c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</row>
    <row r="582" spans="1:17">
      <c r="A582" s="2">
        <v>2530</v>
      </c>
      <c r="B582" s="7">
        <v>0</v>
      </c>
      <c r="C582" s="7">
        <v>0</v>
      </c>
      <c r="D582" s="7">
        <v>0</v>
      </c>
      <c r="E582" s="7">
        <v>0</v>
      </c>
      <c r="F582" s="7">
        <v>0</v>
      </c>
      <c r="G582" s="7">
        <v>0</v>
      </c>
      <c r="H582" s="7">
        <v>0</v>
      </c>
      <c r="I582" s="7">
        <v>0</v>
      </c>
      <c r="J582" s="7">
        <v>0</v>
      </c>
      <c r="K582" s="7">
        <v>0</v>
      </c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</row>
    <row r="583" spans="1:17">
      <c r="A583" s="2">
        <v>2531</v>
      </c>
      <c r="B583" s="7">
        <v>0</v>
      </c>
      <c r="C583" s="7">
        <v>0</v>
      </c>
      <c r="D583" s="7">
        <v>0</v>
      </c>
      <c r="E583" s="7">
        <v>0</v>
      </c>
      <c r="F583" s="7">
        <v>0</v>
      </c>
      <c r="G583" s="7">
        <v>0</v>
      </c>
      <c r="H583" s="7">
        <v>0</v>
      </c>
      <c r="I583" s="7">
        <v>0</v>
      </c>
      <c r="J583" s="7">
        <v>0</v>
      </c>
      <c r="K583" s="7">
        <v>0</v>
      </c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</row>
    <row r="584" spans="1:17">
      <c r="A584" s="2">
        <v>2532</v>
      </c>
      <c r="B584" s="7">
        <v>0</v>
      </c>
      <c r="C584" s="7">
        <v>0</v>
      </c>
      <c r="D584" s="7">
        <v>0</v>
      </c>
      <c r="E584" s="7">
        <v>0</v>
      </c>
      <c r="F584" s="7">
        <v>0</v>
      </c>
      <c r="G584" s="7">
        <v>0</v>
      </c>
      <c r="H584" s="7">
        <v>0</v>
      </c>
      <c r="I584" s="7">
        <v>0</v>
      </c>
      <c r="J584" s="7">
        <v>0</v>
      </c>
      <c r="K584" s="7">
        <v>0</v>
      </c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</row>
    <row r="585" spans="1:17">
      <c r="A585" s="2">
        <v>2533</v>
      </c>
      <c r="B585" s="7">
        <v>0</v>
      </c>
      <c r="C585" s="7">
        <v>0</v>
      </c>
      <c r="D585" s="7">
        <v>0</v>
      </c>
      <c r="E585" s="7">
        <v>0</v>
      </c>
      <c r="F585" s="7">
        <v>0</v>
      </c>
      <c r="G585" s="7">
        <v>0</v>
      </c>
      <c r="H585" s="7">
        <v>0</v>
      </c>
      <c r="I585" s="7">
        <v>0</v>
      </c>
      <c r="J585" s="7">
        <v>0</v>
      </c>
      <c r="K585" s="7">
        <v>0</v>
      </c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</row>
    <row r="586" spans="1:17">
      <c r="A586" s="2">
        <v>2534</v>
      </c>
      <c r="B586" s="7">
        <v>0</v>
      </c>
      <c r="C586" s="7">
        <v>0</v>
      </c>
      <c r="D586" s="7">
        <v>0</v>
      </c>
      <c r="E586" s="7">
        <v>0</v>
      </c>
      <c r="F586" s="7">
        <v>0</v>
      </c>
      <c r="G586" s="7">
        <v>0</v>
      </c>
      <c r="H586" s="7">
        <v>0</v>
      </c>
      <c r="I586" s="7">
        <v>0</v>
      </c>
      <c r="J586" s="7">
        <v>0</v>
      </c>
      <c r="K586" s="7">
        <v>0</v>
      </c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</row>
    <row r="587" spans="1:17">
      <c r="A587" s="2">
        <v>2535</v>
      </c>
      <c r="B587" s="7">
        <v>0</v>
      </c>
      <c r="C587" s="7">
        <v>0</v>
      </c>
      <c r="D587" s="7">
        <v>0</v>
      </c>
      <c r="E587" s="7">
        <v>0</v>
      </c>
      <c r="F587" s="7">
        <v>0</v>
      </c>
      <c r="G587" s="7">
        <v>0</v>
      </c>
      <c r="H587" s="7">
        <v>0</v>
      </c>
      <c r="I587" s="7">
        <v>0</v>
      </c>
      <c r="J587" s="7">
        <v>0</v>
      </c>
      <c r="K587" s="7">
        <v>0</v>
      </c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</row>
    <row r="588" spans="1:17">
      <c r="A588" s="2">
        <v>2536</v>
      </c>
      <c r="B588" s="7">
        <v>0</v>
      </c>
      <c r="C588" s="7">
        <v>0</v>
      </c>
      <c r="D588" s="7">
        <v>0</v>
      </c>
      <c r="E588" s="7">
        <v>0</v>
      </c>
      <c r="F588" s="7">
        <v>0</v>
      </c>
      <c r="G588" s="7">
        <v>0</v>
      </c>
      <c r="H588" s="7">
        <v>0</v>
      </c>
      <c r="I588" s="7">
        <v>0</v>
      </c>
      <c r="J588" s="7">
        <v>0</v>
      </c>
      <c r="K588" s="7">
        <v>0</v>
      </c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</row>
    <row r="589" spans="1:17">
      <c r="A589" s="2">
        <v>2537</v>
      </c>
      <c r="B589" s="7">
        <v>0</v>
      </c>
      <c r="C589" s="7">
        <v>0</v>
      </c>
      <c r="D589" s="7">
        <v>0</v>
      </c>
      <c r="E589" s="7">
        <v>0</v>
      </c>
      <c r="F589" s="7">
        <v>0</v>
      </c>
      <c r="G589" s="7">
        <v>0</v>
      </c>
      <c r="H589" s="7">
        <v>0</v>
      </c>
      <c r="I589" s="7">
        <v>0</v>
      </c>
      <c r="J589" s="7">
        <v>0</v>
      </c>
      <c r="K589" s="7">
        <v>0</v>
      </c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</row>
    <row r="590" spans="1:17">
      <c r="A590" s="2">
        <v>2538</v>
      </c>
      <c r="B590" s="7">
        <v>0</v>
      </c>
      <c r="C590" s="7">
        <v>0</v>
      </c>
      <c r="D590" s="7">
        <v>0</v>
      </c>
      <c r="E590" s="7">
        <v>0</v>
      </c>
      <c r="F590" s="7">
        <v>0</v>
      </c>
      <c r="G590" s="7">
        <v>0</v>
      </c>
      <c r="H590" s="7">
        <v>0</v>
      </c>
      <c r="I590" s="7">
        <v>0</v>
      </c>
      <c r="J590" s="7">
        <v>0</v>
      </c>
      <c r="K590" s="7">
        <v>0</v>
      </c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</row>
    <row r="591" spans="1:17">
      <c r="A591" s="2">
        <v>2539</v>
      </c>
      <c r="B591" s="7">
        <v>0</v>
      </c>
      <c r="C591" s="7">
        <v>0</v>
      </c>
      <c r="D591" s="7">
        <v>0</v>
      </c>
      <c r="E591" s="7">
        <v>0</v>
      </c>
      <c r="F591" s="7">
        <v>0</v>
      </c>
      <c r="G591" s="7">
        <v>0</v>
      </c>
      <c r="H591" s="7">
        <v>0</v>
      </c>
      <c r="I591" s="7">
        <v>0</v>
      </c>
      <c r="J591" s="7">
        <v>0</v>
      </c>
      <c r="K591" s="7">
        <v>0</v>
      </c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</row>
    <row r="592" spans="1:17">
      <c r="A592" s="2">
        <v>2540</v>
      </c>
      <c r="B592" s="7">
        <v>0</v>
      </c>
      <c r="C592" s="7">
        <v>0</v>
      </c>
      <c r="D592" s="7">
        <v>0</v>
      </c>
      <c r="E592" s="7">
        <v>0</v>
      </c>
      <c r="F592" s="7">
        <v>0</v>
      </c>
      <c r="G592" s="7">
        <v>0</v>
      </c>
      <c r="H592" s="7">
        <v>0</v>
      </c>
      <c r="I592" s="7">
        <v>0</v>
      </c>
      <c r="J592" s="7">
        <v>0</v>
      </c>
      <c r="K592" s="7">
        <v>0</v>
      </c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</row>
    <row r="593" spans="1:17">
      <c r="A593" s="2">
        <v>2541</v>
      </c>
      <c r="B593" s="7">
        <v>0</v>
      </c>
      <c r="C593" s="7">
        <v>0</v>
      </c>
      <c r="D593" s="7">
        <v>0</v>
      </c>
      <c r="E593" s="7">
        <v>0</v>
      </c>
      <c r="F593" s="7">
        <v>0</v>
      </c>
      <c r="G593" s="7">
        <v>0</v>
      </c>
      <c r="H593" s="7">
        <v>0</v>
      </c>
      <c r="I593" s="7">
        <v>0</v>
      </c>
      <c r="J593" s="7">
        <v>0</v>
      </c>
      <c r="K593" s="7">
        <v>0</v>
      </c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</row>
    <row r="594" spans="1:17">
      <c r="A594" s="2">
        <v>2542</v>
      </c>
      <c r="B594" s="7">
        <v>0</v>
      </c>
      <c r="C594" s="7">
        <v>0</v>
      </c>
      <c r="D594" s="7">
        <v>0</v>
      </c>
      <c r="E594" s="7">
        <v>0</v>
      </c>
      <c r="F594" s="7">
        <v>0</v>
      </c>
      <c r="G594" s="7">
        <v>0</v>
      </c>
      <c r="H594" s="7">
        <v>0</v>
      </c>
      <c r="I594" s="7">
        <v>0</v>
      </c>
      <c r="J594" s="7">
        <v>0</v>
      </c>
      <c r="K594" s="7">
        <v>0</v>
      </c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</row>
    <row r="595" spans="1:17">
      <c r="A595" s="2">
        <v>2543</v>
      </c>
      <c r="B595" s="7">
        <v>0</v>
      </c>
      <c r="C595" s="7">
        <v>0</v>
      </c>
      <c r="D595" s="7">
        <v>0</v>
      </c>
      <c r="E595" s="7">
        <v>0</v>
      </c>
      <c r="F595" s="7">
        <v>0</v>
      </c>
      <c r="G595" s="7">
        <v>0</v>
      </c>
      <c r="H595" s="7">
        <v>0</v>
      </c>
      <c r="I595" s="7">
        <v>0</v>
      </c>
      <c r="J595" s="7">
        <v>0</v>
      </c>
      <c r="K595" s="7">
        <v>0</v>
      </c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</row>
    <row r="596" spans="1:17">
      <c r="A596" s="2">
        <v>2544</v>
      </c>
      <c r="B596" s="7">
        <v>0</v>
      </c>
      <c r="C596" s="7">
        <v>0</v>
      </c>
      <c r="D596" s="7">
        <v>0</v>
      </c>
      <c r="E596" s="7">
        <v>0</v>
      </c>
      <c r="F596" s="7">
        <v>0</v>
      </c>
      <c r="G596" s="7">
        <v>0</v>
      </c>
      <c r="H596" s="7">
        <v>0</v>
      </c>
      <c r="I596" s="7">
        <v>0</v>
      </c>
      <c r="J596" s="7">
        <v>0</v>
      </c>
      <c r="K596" s="7">
        <v>0</v>
      </c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</row>
    <row r="597" spans="1:17">
      <c r="A597" s="2">
        <v>2545</v>
      </c>
      <c r="B597" s="7">
        <v>0</v>
      </c>
      <c r="C597" s="7">
        <v>0</v>
      </c>
      <c r="D597" s="7">
        <v>0</v>
      </c>
      <c r="E597" s="7">
        <v>0</v>
      </c>
      <c r="F597" s="7">
        <v>0</v>
      </c>
      <c r="G597" s="7">
        <v>0</v>
      </c>
      <c r="H597" s="7">
        <v>0</v>
      </c>
      <c r="I597" s="7">
        <v>0</v>
      </c>
      <c r="J597" s="7">
        <v>0</v>
      </c>
      <c r="K597" s="7">
        <v>0</v>
      </c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</row>
    <row r="598" spans="1:17">
      <c r="A598" s="2">
        <v>2546</v>
      </c>
      <c r="B598" s="7">
        <v>0</v>
      </c>
      <c r="C598" s="7">
        <v>0</v>
      </c>
      <c r="D598" s="7">
        <v>0</v>
      </c>
      <c r="E598" s="7">
        <v>0</v>
      </c>
      <c r="F598" s="7">
        <v>0</v>
      </c>
      <c r="G598" s="7">
        <v>0</v>
      </c>
      <c r="H598" s="7">
        <v>0</v>
      </c>
      <c r="I598" s="7">
        <v>0</v>
      </c>
      <c r="J598" s="7">
        <v>0</v>
      </c>
      <c r="K598" s="7">
        <v>0</v>
      </c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</row>
    <row r="599" spans="1:17">
      <c r="A599" s="2">
        <v>2547</v>
      </c>
      <c r="B599" s="7">
        <v>0</v>
      </c>
      <c r="C599" s="7">
        <v>0</v>
      </c>
      <c r="D599" s="7">
        <v>0</v>
      </c>
      <c r="E599" s="7">
        <v>0</v>
      </c>
      <c r="F599" s="7">
        <v>0</v>
      </c>
      <c r="G599" s="7">
        <v>0</v>
      </c>
      <c r="H599" s="7">
        <v>0</v>
      </c>
      <c r="I599" s="7">
        <v>0</v>
      </c>
      <c r="J599" s="7">
        <v>0</v>
      </c>
      <c r="K599" s="7">
        <v>0</v>
      </c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</row>
    <row r="600" spans="1:17">
      <c r="A600" s="2">
        <v>2548</v>
      </c>
      <c r="B600" s="7">
        <v>0</v>
      </c>
      <c r="C600" s="7">
        <v>0</v>
      </c>
      <c r="D600" s="7">
        <v>0</v>
      </c>
      <c r="E600" s="7">
        <v>0</v>
      </c>
      <c r="F600" s="7">
        <v>0</v>
      </c>
      <c r="G600" s="7">
        <v>0</v>
      </c>
      <c r="H600" s="7">
        <v>0</v>
      </c>
      <c r="I600" s="7">
        <v>0</v>
      </c>
      <c r="J600" s="7">
        <v>0</v>
      </c>
      <c r="K600" s="7">
        <v>0</v>
      </c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</row>
    <row r="601" spans="1:17">
      <c r="A601" s="2">
        <v>2549</v>
      </c>
      <c r="B601" s="7">
        <v>0</v>
      </c>
      <c r="C601" s="7">
        <v>0</v>
      </c>
      <c r="D601" s="7">
        <v>0</v>
      </c>
      <c r="E601" s="7">
        <v>0</v>
      </c>
      <c r="F601" s="7">
        <v>0</v>
      </c>
      <c r="G601" s="7">
        <v>0</v>
      </c>
      <c r="H601" s="7">
        <v>0</v>
      </c>
      <c r="I601" s="7">
        <v>0</v>
      </c>
      <c r="J601" s="7">
        <v>0</v>
      </c>
      <c r="K601" s="7">
        <v>0</v>
      </c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</row>
    <row r="602" spans="1:17">
      <c r="A602" s="2">
        <v>2550</v>
      </c>
      <c r="B602" s="7">
        <v>0</v>
      </c>
      <c r="C602" s="7">
        <v>0</v>
      </c>
      <c r="D602" s="7">
        <v>0</v>
      </c>
      <c r="E602" s="7">
        <v>0</v>
      </c>
      <c r="F602" s="7">
        <v>0</v>
      </c>
      <c r="G602" s="7">
        <v>0</v>
      </c>
      <c r="H602" s="7">
        <v>0</v>
      </c>
      <c r="I602" s="7">
        <v>0</v>
      </c>
      <c r="J602" s="7">
        <v>0</v>
      </c>
      <c r="K602" s="7">
        <v>0</v>
      </c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</row>
    <row r="603" spans="1:17">
      <c r="A603" s="2">
        <v>2551</v>
      </c>
      <c r="B603" s="7">
        <v>0</v>
      </c>
      <c r="C603" s="7">
        <v>0</v>
      </c>
      <c r="D603" s="7">
        <v>0</v>
      </c>
      <c r="E603" s="7">
        <v>0</v>
      </c>
      <c r="F603" s="7">
        <v>0</v>
      </c>
      <c r="G603" s="7">
        <v>0</v>
      </c>
      <c r="H603" s="7">
        <v>0</v>
      </c>
      <c r="I603" s="7">
        <v>0</v>
      </c>
      <c r="J603" s="7">
        <v>0</v>
      </c>
      <c r="K603" s="7">
        <v>0</v>
      </c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</row>
    <row r="604" spans="1:17">
      <c r="A604" s="2">
        <v>2552</v>
      </c>
      <c r="B604" s="7">
        <v>0</v>
      </c>
      <c r="C604" s="7">
        <v>0</v>
      </c>
      <c r="D604" s="7">
        <v>0</v>
      </c>
      <c r="E604" s="7">
        <v>0</v>
      </c>
      <c r="F604" s="7">
        <v>0</v>
      </c>
      <c r="G604" s="7">
        <v>0</v>
      </c>
      <c r="H604" s="7">
        <v>0</v>
      </c>
      <c r="I604" s="7">
        <v>0</v>
      </c>
      <c r="J604" s="7">
        <v>0</v>
      </c>
      <c r="K604" s="7">
        <v>0</v>
      </c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</row>
    <row r="605" spans="1:17">
      <c r="A605" s="2">
        <v>2553</v>
      </c>
      <c r="B605" s="7">
        <v>0</v>
      </c>
      <c r="C605" s="7">
        <v>0</v>
      </c>
      <c r="D605" s="7">
        <v>0</v>
      </c>
      <c r="E605" s="7">
        <v>0</v>
      </c>
      <c r="F605" s="7">
        <v>0</v>
      </c>
      <c r="G605" s="7">
        <v>0</v>
      </c>
      <c r="H605" s="7">
        <v>0</v>
      </c>
      <c r="I605" s="7">
        <v>0</v>
      </c>
      <c r="J605" s="7">
        <v>0</v>
      </c>
      <c r="K605" s="7">
        <v>0</v>
      </c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</row>
    <row r="606" spans="1:17">
      <c r="A606" s="2">
        <v>2554</v>
      </c>
      <c r="B606" s="7">
        <v>0</v>
      </c>
      <c r="C606" s="7">
        <v>0</v>
      </c>
      <c r="D606" s="7">
        <v>0</v>
      </c>
      <c r="E606" s="7">
        <v>0</v>
      </c>
      <c r="F606" s="7">
        <v>0</v>
      </c>
      <c r="G606" s="7">
        <v>0</v>
      </c>
      <c r="H606" s="7">
        <v>0</v>
      </c>
      <c r="I606" s="7">
        <v>0</v>
      </c>
      <c r="J606" s="7">
        <v>0</v>
      </c>
      <c r="K606" s="7">
        <v>0</v>
      </c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</row>
    <row r="607" spans="1:17">
      <c r="A607" s="2">
        <v>2555</v>
      </c>
      <c r="B607" s="7">
        <v>0</v>
      </c>
      <c r="C607" s="7">
        <v>0</v>
      </c>
      <c r="D607" s="7">
        <v>0</v>
      </c>
      <c r="E607" s="7">
        <v>0</v>
      </c>
      <c r="F607" s="7">
        <v>0</v>
      </c>
      <c r="G607" s="7">
        <v>0</v>
      </c>
      <c r="H607" s="7">
        <v>0</v>
      </c>
      <c r="I607" s="7">
        <v>0</v>
      </c>
      <c r="J607" s="7">
        <v>0</v>
      </c>
      <c r="K607" s="7">
        <v>0</v>
      </c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</row>
    <row r="608" spans="1:17">
      <c r="A608" s="2">
        <v>2556</v>
      </c>
      <c r="B608" s="7">
        <v>0</v>
      </c>
      <c r="C608" s="7">
        <v>0</v>
      </c>
      <c r="D608" s="7">
        <v>0</v>
      </c>
      <c r="E608" s="7">
        <v>0</v>
      </c>
      <c r="F608" s="7">
        <v>0</v>
      </c>
      <c r="G608" s="7">
        <v>0</v>
      </c>
      <c r="H608" s="7">
        <v>0</v>
      </c>
      <c r="I608" s="7">
        <v>0</v>
      </c>
      <c r="J608" s="7">
        <v>0</v>
      </c>
      <c r="K608" s="7">
        <v>0</v>
      </c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</row>
    <row r="609" spans="1:17">
      <c r="A609" s="2">
        <v>2557</v>
      </c>
      <c r="B609" s="7">
        <v>0</v>
      </c>
      <c r="C609" s="7">
        <v>0</v>
      </c>
      <c r="D609" s="7">
        <v>0</v>
      </c>
      <c r="E609" s="7">
        <v>0</v>
      </c>
      <c r="F609" s="7">
        <v>0</v>
      </c>
      <c r="G609" s="7">
        <v>0</v>
      </c>
      <c r="H609" s="7">
        <v>0</v>
      </c>
      <c r="I609" s="7">
        <v>0</v>
      </c>
      <c r="J609" s="7">
        <v>0</v>
      </c>
      <c r="K609" s="7">
        <v>0</v>
      </c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</row>
    <row r="610" spans="1:17">
      <c r="A610" s="2">
        <v>2558</v>
      </c>
      <c r="B610" s="7">
        <v>0</v>
      </c>
      <c r="C610" s="7">
        <v>0</v>
      </c>
      <c r="D610" s="7">
        <v>0</v>
      </c>
      <c r="E610" s="7">
        <v>0</v>
      </c>
      <c r="F610" s="7">
        <v>0</v>
      </c>
      <c r="G610" s="7">
        <v>0</v>
      </c>
      <c r="H610" s="7">
        <v>0</v>
      </c>
      <c r="I610" s="7">
        <v>0</v>
      </c>
      <c r="J610" s="7">
        <v>0</v>
      </c>
      <c r="K610" s="7">
        <v>0</v>
      </c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</row>
    <row r="611" spans="1:17">
      <c r="A611" s="2">
        <v>2559</v>
      </c>
      <c r="B611" s="7">
        <v>0</v>
      </c>
      <c r="C611" s="7">
        <v>0</v>
      </c>
      <c r="D611" s="7">
        <v>0</v>
      </c>
      <c r="E611" s="7">
        <v>0</v>
      </c>
      <c r="F611" s="7">
        <v>0</v>
      </c>
      <c r="G611" s="7">
        <v>0</v>
      </c>
      <c r="H611" s="7">
        <v>0</v>
      </c>
      <c r="I611" s="7">
        <v>0</v>
      </c>
      <c r="J611" s="7">
        <v>0</v>
      </c>
      <c r="K611" s="7">
        <v>0</v>
      </c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</row>
    <row r="612" spans="1:17">
      <c r="A612" s="2">
        <v>2560</v>
      </c>
      <c r="B612" s="7">
        <v>0</v>
      </c>
      <c r="C612" s="7">
        <v>0</v>
      </c>
      <c r="D612" s="7">
        <v>0</v>
      </c>
      <c r="E612" s="7">
        <v>0</v>
      </c>
      <c r="F612" s="7">
        <v>0</v>
      </c>
      <c r="G612" s="7">
        <v>0</v>
      </c>
      <c r="H612" s="7">
        <v>0</v>
      </c>
      <c r="I612" s="7">
        <v>0</v>
      </c>
      <c r="J612" s="7">
        <v>0</v>
      </c>
      <c r="K612" s="7">
        <v>0</v>
      </c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</row>
    <row r="613" spans="1:17">
      <c r="A613" s="2">
        <v>2561</v>
      </c>
      <c r="B613" s="7">
        <v>0</v>
      </c>
      <c r="C613" s="7">
        <v>0</v>
      </c>
      <c r="D613" s="7">
        <v>0</v>
      </c>
      <c r="E613" s="7">
        <v>0</v>
      </c>
      <c r="F613" s="7">
        <v>0</v>
      </c>
      <c r="G613" s="7">
        <v>0</v>
      </c>
      <c r="H613" s="7">
        <v>0</v>
      </c>
      <c r="I613" s="7">
        <v>0</v>
      </c>
      <c r="J613" s="7">
        <v>0</v>
      </c>
      <c r="K613" s="7">
        <v>0</v>
      </c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</row>
    <row r="614" spans="1:17">
      <c r="A614" s="2">
        <v>2562</v>
      </c>
      <c r="B614" s="7">
        <v>0</v>
      </c>
      <c r="C614" s="7">
        <v>0</v>
      </c>
      <c r="D614" s="7">
        <v>0</v>
      </c>
      <c r="E614" s="7">
        <v>0</v>
      </c>
      <c r="F614" s="7">
        <v>0</v>
      </c>
      <c r="G614" s="7">
        <v>0</v>
      </c>
      <c r="H614" s="7">
        <v>0</v>
      </c>
      <c r="I614" s="7">
        <v>0</v>
      </c>
      <c r="J614" s="7">
        <v>0</v>
      </c>
      <c r="K614" s="7">
        <v>0</v>
      </c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</row>
    <row r="615" spans="1:17">
      <c r="A615" s="2">
        <v>2563</v>
      </c>
      <c r="B615" s="7">
        <v>0</v>
      </c>
      <c r="C615" s="7">
        <v>0</v>
      </c>
      <c r="D615" s="7">
        <v>0</v>
      </c>
      <c r="E615" s="7">
        <v>0</v>
      </c>
      <c r="F615" s="7">
        <v>0</v>
      </c>
      <c r="G615" s="7">
        <v>0</v>
      </c>
      <c r="H615" s="7">
        <v>0</v>
      </c>
      <c r="I615" s="7">
        <v>0</v>
      </c>
      <c r="J615" s="7">
        <v>0</v>
      </c>
      <c r="K615" s="7">
        <v>0</v>
      </c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</row>
    <row r="616" spans="1:17">
      <c r="A616" s="2">
        <v>2564</v>
      </c>
      <c r="B616" s="7">
        <v>0</v>
      </c>
      <c r="C616" s="7">
        <v>0</v>
      </c>
      <c r="D616" s="7">
        <v>0</v>
      </c>
      <c r="E616" s="7">
        <v>0</v>
      </c>
      <c r="F616" s="7">
        <v>0</v>
      </c>
      <c r="G616" s="7">
        <v>0</v>
      </c>
      <c r="H616" s="7">
        <v>0</v>
      </c>
      <c r="I616" s="7">
        <v>0</v>
      </c>
      <c r="J616" s="7">
        <v>0</v>
      </c>
      <c r="K616" s="7">
        <v>0</v>
      </c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</row>
    <row r="617" spans="1:17">
      <c r="A617" s="2">
        <v>2565</v>
      </c>
      <c r="B617" s="7">
        <v>0</v>
      </c>
      <c r="C617" s="7">
        <v>0</v>
      </c>
      <c r="D617" s="7">
        <v>0</v>
      </c>
      <c r="E617" s="7">
        <v>0</v>
      </c>
      <c r="F617" s="7">
        <v>0</v>
      </c>
      <c r="G617" s="7">
        <v>0</v>
      </c>
      <c r="H617" s="7">
        <v>0</v>
      </c>
      <c r="I617" s="7">
        <v>0</v>
      </c>
      <c r="J617" s="7">
        <v>0</v>
      </c>
      <c r="K617" s="7">
        <v>0</v>
      </c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</row>
    <row r="618" spans="1:17">
      <c r="A618" s="2">
        <v>2566</v>
      </c>
      <c r="B618" s="7">
        <v>0</v>
      </c>
      <c r="C618" s="7">
        <v>0</v>
      </c>
      <c r="D618" s="7">
        <v>0</v>
      </c>
      <c r="E618" s="7">
        <v>0</v>
      </c>
      <c r="F618" s="7">
        <v>0</v>
      </c>
      <c r="G618" s="7">
        <v>0</v>
      </c>
      <c r="H618" s="7">
        <v>0</v>
      </c>
      <c r="I618" s="7">
        <v>0</v>
      </c>
      <c r="J618" s="7">
        <v>0</v>
      </c>
      <c r="K618" s="7">
        <v>0</v>
      </c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</row>
    <row r="619" spans="1:17">
      <c r="A619" s="2">
        <v>2567</v>
      </c>
      <c r="B619" s="7">
        <v>0</v>
      </c>
      <c r="C619" s="7">
        <v>0</v>
      </c>
      <c r="D619" s="7">
        <v>0</v>
      </c>
      <c r="E619" s="7">
        <v>0</v>
      </c>
      <c r="F619" s="7">
        <v>0</v>
      </c>
      <c r="G619" s="7">
        <v>0</v>
      </c>
      <c r="H619" s="7">
        <v>0</v>
      </c>
      <c r="I619" s="7">
        <v>0</v>
      </c>
      <c r="J619" s="7">
        <v>0</v>
      </c>
      <c r="K619" s="7">
        <v>0</v>
      </c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</row>
    <row r="620" spans="1:17">
      <c r="A620" s="2">
        <v>2568</v>
      </c>
      <c r="B620" s="7">
        <v>0</v>
      </c>
      <c r="C620" s="7">
        <v>0</v>
      </c>
      <c r="D620" s="7">
        <v>0</v>
      </c>
      <c r="E620" s="7">
        <v>0</v>
      </c>
      <c r="F620" s="7">
        <v>0</v>
      </c>
      <c r="G620" s="7">
        <v>0</v>
      </c>
      <c r="H620" s="7">
        <v>0</v>
      </c>
      <c r="I620" s="7">
        <v>0</v>
      </c>
      <c r="J620" s="7">
        <v>0</v>
      </c>
      <c r="K620" s="7">
        <v>0</v>
      </c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</row>
    <row r="621" spans="1:17">
      <c r="A621" s="2">
        <v>2569</v>
      </c>
      <c r="B621" s="7">
        <v>0</v>
      </c>
      <c r="C621" s="7">
        <v>0</v>
      </c>
      <c r="D621" s="7">
        <v>0</v>
      </c>
      <c r="E621" s="7">
        <v>0</v>
      </c>
      <c r="F621" s="7">
        <v>0</v>
      </c>
      <c r="G621" s="7">
        <v>0</v>
      </c>
      <c r="H621" s="7">
        <v>0</v>
      </c>
      <c r="I621" s="7">
        <v>0</v>
      </c>
      <c r="J621" s="7">
        <v>0</v>
      </c>
      <c r="K621" s="7">
        <v>0</v>
      </c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</row>
    <row r="622" spans="1:17">
      <c r="A622" s="2">
        <v>2570</v>
      </c>
      <c r="B622" s="7">
        <v>0</v>
      </c>
      <c r="C622" s="7">
        <v>0</v>
      </c>
      <c r="D622" s="7">
        <v>0</v>
      </c>
      <c r="E622" s="7">
        <v>0</v>
      </c>
      <c r="F622" s="7">
        <v>0</v>
      </c>
      <c r="G622" s="7">
        <v>0</v>
      </c>
      <c r="H622" s="7">
        <v>0</v>
      </c>
      <c r="I622" s="7">
        <v>0</v>
      </c>
      <c r="J622" s="7">
        <v>0</v>
      </c>
      <c r="K622" s="7">
        <v>0</v>
      </c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</row>
    <row r="623" spans="1:17">
      <c r="A623" s="2">
        <v>2571</v>
      </c>
      <c r="B623" s="7">
        <v>0</v>
      </c>
      <c r="C623" s="7">
        <v>0</v>
      </c>
      <c r="D623" s="7">
        <v>0</v>
      </c>
      <c r="E623" s="7">
        <v>0</v>
      </c>
      <c r="F623" s="7">
        <v>0</v>
      </c>
      <c r="G623" s="7">
        <v>0</v>
      </c>
      <c r="H623" s="7">
        <v>0</v>
      </c>
      <c r="I623" s="7">
        <v>0</v>
      </c>
      <c r="J623" s="7">
        <v>0</v>
      </c>
      <c r="K623" s="7">
        <v>0</v>
      </c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</row>
    <row r="624" spans="1:17">
      <c r="A624" s="2">
        <v>2572</v>
      </c>
      <c r="B624" s="7">
        <v>0</v>
      </c>
      <c r="C624" s="7">
        <v>0</v>
      </c>
      <c r="D624" s="7">
        <v>0</v>
      </c>
      <c r="E624" s="7">
        <v>0</v>
      </c>
      <c r="F624" s="7">
        <v>0</v>
      </c>
      <c r="G624" s="7">
        <v>0</v>
      </c>
      <c r="H624" s="7">
        <v>0</v>
      </c>
      <c r="I624" s="7">
        <v>0</v>
      </c>
      <c r="J624" s="7">
        <v>0</v>
      </c>
      <c r="K624" s="7">
        <v>0</v>
      </c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</row>
    <row r="625" spans="1:17">
      <c r="A625" s="2">
        <v>2573</v>
      </c>
      <c r="B625" s="7">
        <v>0</v>
      </c>
      <c r="C625" s="7">
        <v>0</v>
      </c>
      <c r="D625" s="7">
        <v>0</v>
      </c>
      <c r="E625" s="7">
        <v>0</v>
      </c>
      <c r="F625" s="7">
        <v>0</v>
      </c>
      <c r="G625" s="7">
        <v>0</v>
      </c>
      <c r="H625" s="7">
        <v>0</v>
      </c>
      <c r="I625" s="7">
        <v>0</v>
      </c>
      <c r="J625" s="7">
        <v>0</v>
      </c>
      <c r="K625" s="7">
        <v>0</v>
      </c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</row>
    <row r="626" spans="1:17">
      <c r="A626" s="2">
        <v>2574</v>
      </c>
      <c r="B626" s="7">
        <v>0</v>
      </c>
      <c r="C626" s="7">
        <v>0</v>
      </c>
      <c r="D626" s="7">
        <v>0</v>
      </c>
      <c r="E626" s="7">
        <v>0</v>
      </c>
      <c r="F626" s="7">
        <v>0</v>
      </c>
      <c r="G626" s="7">
        <v>0</v>
      </c>
      <c r="H626" s="7">
        <v>0</v>
      </c>
      <c r="I626" s="7">
        <v>0</v>
      </c>
      <c r="J626" s="7">
        <v>0</v>
      </c>
      <c r="K626" s="7">
        <v>0</v>
      </c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</row>
    <row r="627" spans="1:17">
      <c r="A627" s="2">
        <v>2575</v>
      </c>
      <c r="B627" s="7">
        <v>0</v>
      </c>
      <c r="C627" s="7">
        <v>0</v>
      </c>
      <c r="D627" s="7">
        <v>0</v>
      </c>
      <c r="E627" s="7">
        <v>0</v>
      </c>
      <c r="F627" s="7">
        <v>0</v>
      </c>
      <c r="G627" s="7">
        <v>0</v>
      </c>
      <c r="H627" s="7">
        <v>0</v>
      </c>
      <c r="I627" s="7">
        <v>0</v>
      </c>
      <c r="J627" s="7">
        <v>0</v>
      </c>
      <c r="K627" s="7">
        <v>0</v>
      </c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</row>
    <row r="628" spans="1:17">
      <c r="A628" s="2">
        <v>2576</v>
      </c>
      <c r="B628" s="7">
        <v>0</v>
      </c>
      <c r="C628" s="7">
        <v>0</v>
      </c>
      <c r="D628" s="7">
        <v>0</v>
      </c>
      <c r="E628" s="7">
        <v>0</v>
      </c>
      <c r="F628" s="7">
        <v>0</v>
      </c>
      <c r="G628" s="7">
        <v>0</v>
      </c>
      <c r="H628" s="7">
        <v>0</v>
      </c>
      <c r="I628" s="7">
        <v>0</v>
      </c>
      <c r="J628" s="7">
        <v>0</v>
      </c>
      <c r="K628" s="7">
        <v>0</v>
      </c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</row>
    <row r="629" spans="1:17">
      <c r="A629" s="2">
        <v>2577</v>
      </c>
      <c r="B629" s="7">
        <v>0</v>
      </c>
      <c r="C629" s="7">
        <v>0</v>
      </c>
      <c r="D629" s="7">
        <v>0</v>
      </c>
      <c r="E629" s="7">
        <v>0</v>
      </c>
      <c r="F629" s="7">
        <v>0</v>
      </c>
      <c r="G629" s="7">
        <v>0</v>
      </c>
      <c r="H629" s="7">
        <v>0</v>
      </c>
      <c r="I629" s="7">
        <v>0</v>
      </c>
      <c r="J629" s="7">
        <v>0</v>
      </c>
      <c r="K629" s="7">
        <v>0</v>
      </c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</row>
    <row r="630" spans="1:17">
      <c r="A630" s="2">
        <v>2578</v>
      </c>
      <c r="B630" s="7">
        <v>0</v>
      </c>
      <c r="C630" s="7">
        <v>0</v>
      </c>
      <c r="D630" s="7">
        <v>0</v>
      </c>
      <c r="E630" s="7">
        <v>0</v>
      </c>
      <c r="F630" s="7">
        <v>0</v>
      </c>
      <c r="G630" s="7">
        <v>0</v>
      </c>
      <c r="H630" s="7">
        <v>0</v>
      </c>
      <c r="I630" s="7">
        <v>0</v>
      </c>
      <c r="J630" s="7">
        <v>0</v>
      </c>
      <c r="K630" s="7">
        <v>0</v>
      </c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</row>
    <row r="631" spans="1:17">
      <c r="A631" s="2">
        <v>2579</v>
      </c>
      <c r="B631" s="7">
        <v>0</v>
      </c>
      <c r="C631" s="7">
        <v>0</v>
      </c>
      <c r="D631" s="7">
        <v>0</v>
      </c>
      <c r="E631" s="7">
        <v>0</v>
      </c>
      <c r="F631" s="7">
        <v>0</v>
      </c>
      <c r="G631" s="7">
        <v>0</v>
      </c>
      <c r="H631" s="7">
        <v>0</v>
      </c>
      <c r="I631" s="7">
        <v>0</v>
      </c>
      <c r="J631" s="7">
        <v>0</v>
      </c>
      <c r="K631" s="7">
        <v>0</v>
      </c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</row>
    <row r="632" spans="1:17">
      <c r="A632" s="2">
        <v>2580</v>
      </c>
      <c r="B632" s="7">
        <v>0</v>
      </c>
      <c r="C632" s="7">
        <v>0</v>
      </c>
      <c r="D632" s="7">
        <v>0</v>
      </c>
      <c r="E632" s="7">
        <v>0</v>
      </c>
      <c r="F632" s="7">
        <v>0</v>
      </c>
      <c r="G632" s="7">
        <v>0</v>
      </c>
      <c r="H632" s="7">
        <v>0</v>
      </c>
      <c r="I632" s="7">
        <v>0</v>
      </c>
      <c r="J632" s="7">
        <v>0</v>
      </c>
      <c r="K632" s="7">
        <v>0</v>
      </c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</row>
    <row r="633" spans="1:17">
      <c r="A633" s="2">
        <v>2581</v>
      </c>
      <c r="B633" s="7">
        <v>0</v>
      </c>
      <c r="C633" s="7">
        <v>0</v>
      </c>
      <c r="D633" s="7">
        <v>0</v>
      </c>
      <c r="E633" s="7">
        <v>0</v>
      </c>
      <c r="F633" s="7">
        <v>0</v>
      </c>
      <c r="G633" s="7">
        <v>0</v>
      </c>
      <c r="H633" s="7">
        <v>0</v>
      </c>
      <c r="I633" s="7">
        <v>0</v>
      </c>
      <c r="J633" s="7">
        <v>0</v>
      </c>
      <c r="K633" s="7">
        <v>0</v>
      </c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</row>
    <row r="634" spans="1:17">
      <c r="A634" s="2">
        <v>2582</v>
      </c>
      <c r="B634" s="7">
        <v>0</v>
      </c>
      <c r="C634" s="7">
        <v>0</v>
      </c>
      <c r="D634" s="7">
        <v>0</v>
      </c>
      <c r="E634" s="7">
        <v>0</v>
      </c>
      <c r="F634" s="7">
        <v>0</v>
      </c>
      <c r="G634" s="7">
        <v>0</v>
      </c>
      <c r="H634" s="7">
        <v>0</v>
      </c>
      <c r="I634" s="7">
        <v>0</v>
      </c>
      <c r="J634" s="7">
        <v>0</v>
      </c>
      <c r="K634" s="7">
        <v>0</v>
      </c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</row>
    <row r="635" spans="1:17">
      <c r="A635" s="2">
        <v>2583</v>
      </c>
      <c r="B635" s="7">
        <v>0</v>
      </c>
      <c r="C635" s="7">
        <v>0</v>
      </c>
      <c r="D635" s="7">
        <v>0</v>
      </c>
      <c r="E635" s="7">
        <v>0</v>
      </c>
      <c r="F635" s="7">
        <v>0</v>
      </c>
      <c r="G635" s="7">
        <v>0</v>
      </c>
      <c r="H635" s="7">
        <v>0</v>
      </c>
      <c r="I635" s="7">
        <v>0</v>
      </c>
      <c r="J635" s="7">
        <v>0</v>
      </c>
      <c r="K635" s="7">
        <v>0</v>
      </c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</row>
    <row r="636" spans="1:17">
      <c r="A636" s="2">
        <v>2584</v>
      </c>
      <c r="B636" s="7">
        <v>0</v>
      </c>
      <c r="C636" s="7">
        <v>0</v>
      </c>
      <c r="D636" s="7">
        <v>0</v>
      </c>
      <c r="E636" s="7">
        <v>0</v>
      </c>
      <c r="F636" s="7">
        <v>0</v>
      </c>
      <c r="G636" s="7">
        <v>0</v>
      </c>
      <c r="H636" s="7">
        <v>0</v>
      </c>
      <c r="I636" s="7">
        <v>0</v>
      </c>
      <c r="J636" s="7">
        <v>0</v>
      </c>
      <c r="K636" s="7">
        <v>0</v>
      </c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</row>
    <row r="637" spans="1:17">
      <c r="A637" s="2">
        <v>2585</v>
      </c>
      <c r="B637" s="7">
        <v>0</v>
      </c>
      <c r="C637" s="7">
        <v>0</v>
      </c>
      <c r="D637" s="7">
        <v>0</v>
      </c>
      <c r="E637" s="7">
        <v>0</v>
      </c>
      <c r="F637" s="7">
        <v>0</v>
      </c>
      <c r="G637" s="7">
        <v>0</v>
      </c>
      <c r="H637" s="7">
        <v>0</v>
      </c>
      <c r="I637" s="7">
        <v>0</v>
      </c>
      <c r="J637" s="7">
        <v>0</v>
      </c>
      <c r="K637" s="7">
        <v>0</v>
      </c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</row>
    <row r="638" spans="1:17">
      <c r="A638" s="2">
        <v>2586</v>
      </c>
      <c r="B638" s="7">
        <v>0</v>
      </c>
      <c r="C638" s="7">
        <v>0</v>
      </c>
      <c r="D638" s="7">
        <v>0</v>
      </c>
      <c r="E638" s="7">
        <v>0</v>
      </c>
      <c r="F638" s="7">
        <v>0</v>
      </c>
      <c r="G638" s="7">
        <v>0</v>
      </c>
      <c r="H638" s="7">
        <v>0</v>
      </c>
      <c r="I638" s="7">
        <v>0</v>
      </c>
      <c r="J638" s="7">
        <v>0</v>
      </c>
      <c r="K638" s="7">
        <v>0</v>
      </c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</row>
    <row r="639" spans="1:17">
      <c r="A639" s="2">
        <v>2587</v>
      </c>
      <c r="B639" s="7">
        <v>0</v>
      </c>
      <c r="C639" s="7">
        <v>0</v>
      </c>
      <c r="D639" s="7">
        <v>0</v>
      </c>
      <c r="E639" s="7">
        <v>0</v>
      </c>
      <c r="F639" s="7">
        <v>0</v>
      </c>
      <c r="G639" s="7">
        <v>0</v>
      </c>
      <c r="H639" s="7">
        <v>0</v>
      </c>
      <c r="I639" s="7">
        <v>0</v>
      </c>
      <c r="J639" s="7">
        <v>0</v>
      </c>
      <c r="K639" s="7">
        <v>0</v>
      </c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</row>
    <row r="640" spans="1:17">
      <c r="A640" s="2">
        <v>2588</v>
      </c>
      <c r="B640" s="7">
        <v>0</v>
      </c>
      <c r="C640" s="7">
        <v>0</v>
      </c>
      <c r="D640" s="7">
        <v>0</v>
      </c>
      <c r="E640" s="7">
        <v>0</v>
      </c>
      <c r="F640" s="7">
        <v>0</v>
      </c>
      <c r="G640" s="7">
        <v>0</v>
      </c>
      <c r="H640" s="7">
        <v>0</v>
      </c>
      <c r="I640" s="7">
        <v>0</v>
      </c>
      <c r="J640" s="7">
        <v>0</v>
      </c>
      <c r="K640" s="7">
        <v>0</v>
      </c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</row>
    <row r="641" spans="1:17">
      <c r="A641" s="2">
        <v>2589</v>
      </c>
      <c r="B641" s="7">
        <v>0</v>
      </c>
      <c r="C641" s="7">
        <v>0</v>
      </c>
      <c r="D641" s="7">
        <v>0</v>
      </c>
      <c r="E641" s="7">
        <v>0</v>
      </c>
      <c r="F641" s="7">
        <v>0</v>
      </c>
      <c r="G641" s="7">
        <v>0</v>
      </c>
      <c r="H641" s="7">
        <v>0</v>
      </c>
      <c r="I641" s="7">
        <v>0</v>
      </c>
      <c r="J641" s="7">
        <v>0</v>
      </c>
      <c r="K641" s="7">
        <v>0</v>
      </c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</row>
    <row r="642" spans="1:17">
      <c r="A642" s="2">
        <v>2590</v>
      </c>
      <c r="B642" s="7">
        <v>0</v>
      </c>
      <c r="C642" s="7">
        <v>0</v>
      </c>
      <c r="D642" s="7">
        <v>0</v>
      </c>
      <c r="E642" s="7">
        <v>0</v>
      </c>
      <c r="F642" s="7">
        <v>0</v>
      </c>
      <c r="G642" s="7">
        <v>0</v>
      </c>
      <c r="H642" s="7">
        <v>0</v>
      </c>
      <c r="I642" s="7">
        <v>0</v>
      </c>
      <c r="J642" s="7">
        <v>0</v>
      </c>
      <c r="K642" s="7">
        <v>0</v>
      </c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</row>
    <row r="643" spans="1:17">
      <c r="A643" s="2">
        <v>2591</v>
      </c>
      <c r="B643" s="7">
        <v>0</v>
      </c>
      <c r="C643" s="7">
        <v>0</v>
      </c>
      <c r="D643" s="7">
        <v>0</v>
      </c>
      <c r="E643" s="7">
        <v>0</v>
      </c>
      <c r="F643" s="7">
        <v>0</v>
      </c>
      <c r="G643" s="7">
        <v>0</v>
      </c>
      <c r="H643" s="7">
        <v>0</v>
      </c>
      <c r="I643" s="7">
        <v>0</v>
      </c>
      <c r="J643" s="7">
        <v>0</v>
      </c>
      <c r="K643" s="7">
        <v>0</v>
      </c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</row>
    <row r="644" spans="1:17">
      <c r="A644" s="2">
        <v>2592</v>
      </c>
      <c r="B644" s="7">
        <v>0</v>
      </c>
      <c r="C644" s="7">
        <v>0</v>
      </c>
      <c r="D644" s="7">
        <v>0</v>
      </c>
      <c r="E644" s="7">
        <v>0</v>
      </c>
      <c r="F644" s="7">
        <v>0</v>
      </c>
      <c r="G644" s="7">
        <v>0</v>
      </c>
      <c r="H644" s="7">
        <v>0</v>
      </c>
      <c r="I644" s="7">
        <v>0</v>
      </c>
      <c r="J644" s="7">
        <v>0</v>
      </c>
      <c r="K644" s="7">
        <v>0</v>
      </c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</row>
    <row r="645" spans="1:17">
      <c r="A645" s="2">
        <v>2593</v>
      </c>
      <c r="B645" s="7">
        <v>0</v>
      </c>
      <c r="C645" s="7">
        <v>0</v>
      </c>
      <c r="D645" s="7">
        <v>0</v>
      </c>
      <c r="E645" s="7">
        <v>0</v>
      </c>
      <c r="F645" s="7">
        <v>0</v>
      </c>
      <c r="G645" s="7">
        <v>0</v>
      </c>
      <c r="H645" s="7">
        <v>0</v>
      </c>
      <c r="I645" s="7">
        <v>0</v>
      </c>
      <c r="J645" s="7">
        <v>0</v>
      </c>
      <c r="K645" s="7">
        <v>0</v>
      </c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</row>
    <row r="646" spans="1:17">
      <c r="A646" s="2">
        <v>2594</v>
      </c>
      <c r="B646" s="7">
        <v>0</v>
      </c>
      <c r="C646" s="7">
        <v>0</v>
      </c>
      <c r="D646" s="7">
        <v>0</v>
      </c>
      <c r="E646" s="7">
        <v>0</v>
      </c>
      <c r="F646" s="7">
        <v>0</v>
      </c>
      <c r="G646" s="7">
        <v>0</v>
      </c>
      <c r="H646" s="7">
        <v>0</v>
      </c>
      <c r="I646" s="7">
        <v>0</v>
      </c>
      <c r="J646" s="7">
        <v>0</v>
      </c>
      <c r="K646" s="7">
        <v>0</v>
      </c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</row>
    <row r="647" spans="1:17">
      <c r="A647" s="2">
        <v>2595</v>
      </c>
      <c r="B647" s="7">
        <v>0</v>
      </c>
      <c r="C647" s="7">
        <v>0</v>
      </c>
      <c r="D647" s="7">
        <v>0</v>
      </c>
      <c r="E647" s="7">
        <v>0</v>
      </c>
      <c r="F647" s="7">
        <v>0</v>
      </c>
      <c r="G647" s="7">
        <v>0</v>
      </c>
      <c r="H647" s="7">
        <v>0</v>
      </c>
      <c r="I647" s="7">
        <v>0</v>
      </c>
      <c r="J647" s="7">
        <v>0</v>
      </c>
      <c r="K647" s="7">
        <v>0</v>
      </c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</row>
    <row r="648" spans="1:17">
      <c r="A648" s="2">
        <v>2596</v>
      </c>
      <c r="B648" s="7">
        <v>0</v>
      </c>
      <c r="C648" s="7">
        <v>0</v>
      </c>
      <c r="D648" s="7">
        <v>0</v>
      </c>
      <c r="E648" s="7">
        <v>0</v>
      </c>
      <c r="F648" s="7">
        <v>0</v>
      </c>
      <c r="G648" s="7">
        <v>0</v>
      </c>
      <c r="H648" s="7">
        <v>0</v>
      </c>
      <c r="I648" s="7">
        <v>0</v>
      </c>
      <c r="J648" s="7">
        <v>0</v>
      </c>
      <c r="K648" s="7">
        <v>0</v>
      </c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</row>
    <row r="649" spans="1:17">
      <c r="A649" s="2">
        <v>2597</v>
      </c>
      <c r="B649" s="7">
        <v>0</v>
      </c>
      <c r="C649" s="7">
        <v>0</v>
      </c>
      <c r="D649" s="7">
        <v>0</v>
      </c>
      <c r="E649" s="7">
        <v>0</v>
      </c>
      <c r="F649" s="7">
        <v>0</v>
      </c>
      <c r="G649" s="7">
        <v>0</v>
      </c>
      <c r="H649" s="7">
        <v>0</v>
      </c>
      <c r="I649" s="7">
        <v>0</v>
      </c>
      <c r="J649" s="7">
        <v>0</v>
      </c>
      <c r="K649" s="7">
        <v>0</v>
      </c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</row>
    <row r="650" spans="1:17">
      <c r="A650" s="2">
        <v>2598</v>
      </c>
      <c r="B650" s="7">
        <v>0</v>
      </c>
      <c r="C650" s="7">
        <v>0</v>
      </c>
      <c r="D650" s="7">
        <v>0</v>
      </c>
      <c r="E650" s="7">
        <v>0</v>
      </c>
      <c r="F650" s="7">
        <v>0</v>
      </c>
      <c r="G650" s="7">
        <v>0</v>
      </c>
      <c r="H650" s="7">
        <v>0</v>
      </c>
      <c r="I650" s="7">
        <v>0</v>
      </c>
      <c r="J650" s="7">
        <v>0</v>
      </c>
      <c r="K650" s="7">
        <v>0</v>
      </c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</row>
    <row r="651" spans="1:17">
      <c r="A651" s="2">
        <v>2599</v>
      </c>
      <c r="B651" s="7">
        <v>0</v>
      </c>
      <c r="C651" s="7">
        <v>0</v>
      </c>
      <c r="D651" s="7">
        <v>0</v>
      </c>
      <c r="E651" s="7">
        <v>0</v>
      </c>
      <c r="F651" s="7">
        <v>0</v>
      </c>
      <c r="G651" s="7">
        <v>0</v>
      </c>
      <c r="H651" s="7">
        <v>0</v>
      </c>
      <c r="I651" s="7">
        <v>0</v>
      </c>
      <c r="J651" s="7">
        <v>0</v>
      </c>
      <c r="K651" s="7">
        <v>0</v>
      </c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</row>
    <row r="652" spans="1:17">
      <c r="A652" s="2">
        <v>2600</v>
      </c>
      <c r="B652" s="7">
        <v>0</v>
      </c>
      <c r="C652" s="7">
        <v>0</v>
      </c>
      <c r="D652" s="7">
        <v>0</v>
      </c>
      <c r="E652" s="7">
        <v>0</v>
      </c>
      <c r="F652" s="7">
        <v>0</v>
      </c>
      <c r="G652" s="7">
        <v>0</v>
      </c>
      <c r="H652" s="7">
        <v>0</v>
      </c>
      <c r="I652" s="7">
        <v>0</v>
      </c>
      <c r="J652" s="7">
        <v>0</v>
      </c>
      <c r="K652" s="7">
        <v>0</v>
      </c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</row>
    <row r="653" spans="1:17">
      <c r="A653" s="2">
        <v>2601</v>
      </c>
      <c r="B653" s="7">
        <v>0</v>
      </c>
      <c r="C653" s="7">
        <v>0</v>
      </c>
      <c r="D653" s="7">
        <v>0</v>
      </c>
      <c r="E653" s="7">
        <v>0</v>
      </c>
      <c r="F653" s="7">
        <v>0</v>
      </c>
      <c r="G653" s="7">
        <v>0</v>
      </c>
      <c r="H653" s="7">
        <v>0</v>
      </c>
      <c r="I653" s="7">
        <v>0</v>
      </c>
      <c r="J653" s="7">
        <v>0</v>
      </c>
      <c r="K653" s="7">
        <v>0</v>
      </c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</row>
    <row r="654" spans="1:17">
      <c r="A654" s="2">
        <v>2602</v>
      </c>
      <c r="B654" s="7">
        <v>0</v>
      </c>
      <c r="C654" s="7">
        <v>0</v>
      </c>
      <c r="D654" s="7">
        <v>0</v>
      </c>
      <c r="E654" s="7">
        <v>0</v>
      </c>
      <c r="F654" s="7">
        <v>0</v>
      </c>
      <c r="G654" s="7">
        <v>0</v>
      </c>
      <c r="H654" s="7">
        <v>0</v>
      </c>
      <c r="I654" s="7">
        <v>0</v>
      </c>
      <c r="J654" s="7">
        <v>0</v>
      </c>
      <c r="K654" s="7">
        <v>0</v>
      </c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</row>
    <row r="655" spans="1:17">
      <c r="A655" s="2">
        <v>2603</v>
      </c>
      <c r="B655" s="7">
        <v>0</v>
      </c>
      <c r="C655" s="7">
        <v>0</v>
      </c>
      <c r="D655" s="7">
        <v>0</v>
      </c>
      <c r="E655" s="7">
        <v>0</v>
      </c>
      <c r="F655" s="7">
        <v>0</v>
      </c>
      <c r="G655" s="7">
        <v>0</v>
      </c>
      <c r="H655" s="7">
        <v>0</v>
      </c>
      <c r="I655" s="7">
        <v>0</v>
      </c>
      <c r="J655" s="7">
        <v>0</v>
      </c>
      <c r="K655" s="7">
        <v>0</v>
      </c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</row>
    <row r="656" spans="1:17">
      <c r="A656" s="2">
        <v>2604</v>
      </c>
      <c r="B656" s="7">
        <v>0</v>
      </c>
      <c r="C656" s="7">
        <v>0</v>
      </c>
      <c r="D656" s="7">
        <v>0</v>
      </c>
      <c r="E656" s="7">
        <v>0</v>
      </c>
      <c r="F656" s="7">
        <v>0</v>
      </c>
      <c r="G656" s="7">
        <v>0</v>
      </c>
      <c r="H656" s="7">
        <v>0</v>
      </c>
      <c r="I656" s="7">
        <v>0</v>
      </c>
      <c r="J656" s="7">
        <v>0</v>
      </c>
      <c r="K656" s="7">
        <v>0</v>
      </c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</row>
    <row r="657" spans="1:17">
      <c r="A657" s="2">
        <v>2605</v>
      </c>
      <c r="B657" s="7">
        <v>0</v>
      </c>
      <c r="C657" s="7">
        <v>0</v>
      </c>
      <c r="D657" s="7">
        <v>0</v>
      </c>
      <c r="E657" s="7">
        <v>0</v>
      </c>
      <c r="F657" s="7">
        <v>0</v>
      </c>
      <c r="G657" s="7">
        <v>0</v>
      </c>
      <c r="H657" s="7">
        <v>0</v>
      </c>
      <c r="I657" s="7">
        <v>0</v>
      </c>
      <c r="J657" s="7">
        <v>0</v>
      </c>
      <c r="K657" s="7">
        <v>0</v>
      </c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</row>
    <row r="658" spans="1:17">
      <c r="A658" s="2">
        <v>2606</v>
      </c>
      <c r="B658" s="7">
        <v>0</v>
      </c>
      <c r="C658" s="7">
        <v>0</v>
      </c>
      <c r="D658" s="7">
        <v>0</v>
      </c>
      <c r="E658" s="7">
        <v>0</v>
      </c>
      <c r="F658" s="7">
        <v>0</v>
      </c>
      <c r="G658" s="7">
        <v>0</v>
      </c>
      <c r="H658" s="7">
        <v>0</v>
      </c>
      <c r="I658" s="7">
        <v>0</v>
      </c>
      <c r="J658" s="7">
        <v>0</v>
      </c>
      <c r="K658" s="7">
        <v>0</v>
      </c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</row>
    <row r="659" spans="1:17">
      <c r="A659" s="2">
        <v>2607</v>
      </c>
      <c r="B659" s="7">
        <v>0</v>
      </c>
      <c r="C659" s="7">
        <v>0</v>
      </c>
      <c r="D659" s="7">
        <v>0</v>
      </c>
      <c r="E659" s="7">
        <v>0</v>
      </c>
      <c r="F659" s="7">
        <v>0</v>
      </c>
      <c r="G659" s="7">
        <v>0</v>
      </c>
      <c r="H659" s="7">
        <v>0</v>
      </c>
      <c r="I659" s="7">
        <v>0</v>
      </c>
      <c r="J659" s="7">
        <v>0</v>
      </c>
      <c r="K659" s="7">
        <v>0</v>
      </c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</row>
    <row r="660" spans="1:17">
      <c r="A660" s="2">
        <v>2608</v>
      </c>
      <c r="B660" s="7">
        <v>0</v>
      </c>
      <c r="C660" s="7">
        <v>0</v>
      </c>
      <c r="D660" s="7">
        <v>0</v>
      </c>
      <c r="E660" s="7">
        <v>0</v>
      </c>
      <c r="F660" s="7">
        <v>0</v>
      </c>
      <c r="G660" s="7">
        <v>0</v>
      </c>
      <c r="H660" s="7">
        <v>0</v>
      </c>
      <c r="I660" s="7">
        <v>0</v>
      </c>
      <c r="J660" s="7">
        <v>0</v>
      </c>
      <c r="K660" s="7">
        <v>0</v>
      </c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</row>
    <row r="661" spans="1:17">
      <c r="A661" s="2">
        <v>2609</v>
      </c>
      <c r="B661" s="7">
        <v>0</v>
      </c>
      <c r="C661" s="7">
        <v>0</v>
      </c>
      <c r="D661" s="7">
        <v>0</v>
      </c>
      <c r="E661" s="7">
        <v>0</v>
      </c>
      <c r="F661" s="7">
        <v>0</v>
      </c>
      <c r="G661" s="7">
        <v>0</v>
      </c>
      <c r="H661" s="7">
        <v>0</v>
      </c>
      <c r="I661" s="7">
        <v>0</v>
      </c>
      <c r="J661" s="7">
        <v>0</v>
      </c>
      <c r="K661" s="7">
        <v>0</v>
      </c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</row>
    <row r="662" spans="1:17">
      <c r="A662" s="2">
        <v>2610</v>
      </c>
      <c r="B662" s="7">
        <v>0</v>
      </c>
      <c r="C662" s="7">
        <v>0</v>
      </c>
      <c r="D662" s="7">
        <v>0</v>
      </c>
      <c r="E662" s="7">
        <v>0</v>
      </c>
      <c r="F662" s="7">
        <v>0</v>
      </c>
      <c r="G662" s="7">
        <v>0</v>
      </c>
      <c r="H662" s="7">
        <v>0</v>
      </c>
      <c r="I662" s="7">
        <v>0</v>
      </c>
      <c r="J662" s="7">
        <v>0</v>
      </c>
      <c r="K662" s="7">
        <v>0</v>
      </c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</row>
    <row r="663" spans="1:17">
      <c r="A663" s="2">
        <v>2611</v>
      </c>
      <c r="B663" s="7">
        <v>0</v>
      </c>
      <c r="C663" s="7">
        <v>0</v>
      </c>
      <c r="D663" s="7">
        <v>0</v>
      </c>
      <c r="E663" s="7">
        <v>0</v>
      </c>
      <c r="F663" s="7">
        <v>0</v>
      </c>
      <c r="G663" s="7">
        <v>0</v>
      </c>
      <c r="H663" s="7">
        <v>0</v>
      </c>
      <c r="I663" s="7">
        <v>0</v>
      </c>
      <c r="J663" s="7">
        <v>0</v>
      </c>
      <c r="K663" s="7">
        <v>0</v>
      </c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</row>
    <row r="664" spans="1:17">
      <c r="A664" s="2">
        <v>2612</v>
      </c>
      <c r="B664" s="7">
        <v>0</v>
      </c>
      <c r="C664" s="7">
        <v>0</v>
      </c>
      <c r="D664" s="7">
        <v>0</v>
      </c>
      <c r="E664" s="7">
        <v>0</v>
      </c>
      <c r="F664" s="7">
        <v>0</v>
      </c>
      <c r="G664" s="7">
        <v>0</v>
      </c>
      <c r="H664" s="7">
        <v>0</v>
      </c>
      <c r="I664" s="7">
        <v>0</v>
      </c>
      <c r="J664" s="7">
        <v>0</v>
      </c>
      <c r="K664" s="7">
        <v>0</v>
      </c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</row>
    <row r="665" spans="1:17">
      <c r="A665" s="2">
        <v>2613</v>
      </c>
      <c r="B665" s="7">
        <v>0</v>
      </c>
      <c r="C665" s="7">
        <v>0</v>
      </c>
      <c r="D665" s="7">
        <v>0</v>
      </c>
      <c r="E665" s="7">
        <v>0</v>
      </c>
      <c r="F665" s="7">
        <v>0</v>
      </c>
      <c r="G665" s="7">
        <v>0</v>
      </c>
      <c r="H665" s="7">
        <v>0</v>
      </c>
      <c r="I665" s="7">
        <v>0</v>
      </c>
      <c r="J665" s="7">
        <v>0</v>
      </c>
      <c r="K665" s="7">
        <v>0</v>
      </c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</row>
    <row r="666" spans="1:17">
      <c r="A666" s="2">
        <v>2614</v>
      </c>
      <c r="B666" s="7">
        <v>0</v>
      </c>
      <c r="C666" s="7">
        <v>0</v>
      </c>
      <c r="D666" s="7">
        <v>0</v>
      </c>
      <c r="E666" s="7">
        <v>0</v>
      </c>
      <c r="F666" s="7">
        <v>0</v>
      </c>
      <c r="G666" s="7">
        <v>0</v>
      </c>
      <c r="H666" s="7">
        <v>0</v>
      </c>
      <c r="I666" s="7">
        <v>0</v>
      </c>
      <c r="J666" s="7">
        <v>0</v>
      </c>
      <c r="K666" s="7">
        <v>0</v>
      </c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</row>
    <row r="667" spans="1:17">
      <c r="A667" s="2">
        <v>2615</v>
      </c>
      <c r="B667" s="7">
        <v>0</v>
      </c>
      <c r="C667" s="7">
        <v>0</v>
      </c>
      <c r="D667" s="7">
        <v>0</v>
      </c>
      <c r="E667" s="7">
        <v>0</v>
      </c>
      <c r="F667" s="7">
        <v>0</v>
      </c>
      <c r="G667" s="7">
        <v>0</v>
      </c>
      <c r="H667" s="7">
        <v>0</v>
      </c>
      <c r="I667" s="7">
        <v>0</v>
      </c>
      <c r="J667" s="7">
        <v>0</v>
      </c>
      <c r="K667" s="7">
        <v>0</v>
      </c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</row>
    <row r="668" spans="1:17">
      <c r="A668" s="2">
        <v>2616</v>
      </c>
      <c r="B668" s="7">
        <v>0</v>
      </c>
      <c r="C668" s="7">
        <v>0</v>
      </c>
      <c r="D668" s="7">
        <v>0</v>
      </c>
      <c r="E668" s="7">
        <v>0</v>
      </c>
      <c r="F668" s="7">
        <v>0</v>
      </c>
      <c r="G668" s="7">
        <v>0</v>
      </c>
      <c r="H668" s="7">
        <v>0</v>
      </c>
      <c r="I668" s="7">
        <v>0</v>
      </c>
      <c r="J668" s="7">
        <v>0</v>
      </c>
      <c r="K668" s="7">
        <v>0</v>
      </c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</row>
    <row r="669" spans="1:17">
      <c r="A669" s="2">
        <v>2617</v>
      </c>
      <c r="B669" s="7">
        <v>0</v>
      </c>
      <c r="C669" s="7">
        <v>0</v>
      </c>
      <c r="D669" s="7">
        <v>0</v>
      </c>
      <c r="E669" s="7">
        <v>0</v>
      </c>
      <c r="F669" s="7">
        <v>0</v>
      </c>
      <c r="G669" s="7">
        <v>0</v>
      </c>
      <c r="H669" s="7">
        <v>0</v>
      </c>
      <c r="I669" s="7">
        <v>0</v>
      </c>
      <c r="J669" s="7">
        <v>0</v>
      </c>
      <c r="K669" s="7">
        <v>0</v>
      </c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</row>
    <row r="670" spans="1:17">
      <c r="A670" s="2">
        <v>2618</v>
      </c>
      <c r="B670" s="7">
        <v>0</v>
      </c>
      <c r="C670" s="7">
        <v>0</v>
      </c>
      <c r="D670" s="7">
        <v>0</v>
      </c>
      <c r="E670" s="7">
        <v>0</v>
      </c>
      <c r="F670" s="7">
        <v>0</v>
      </c>
      <c r="G670" s="7">
        <v>0</v>
      </c>
      <c r="H670" s="7">
        <v>0</v>
      </c>
      <c r="I670" s="7">
        <v>0</v>
      </c>
      <c r="J670" s="7">
        <v>0</v>
      </c>
      <c r="K670" s="7">
        <v>0</v>
      </c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</row>
    <row r="671" spans="1:17">
      <c r="A671" s="2">
        <v>2619</v>
      </c>
      <c r="B671" s="7">
        <v>0</v>
      </c>
      <c r="C671" s="7">
        <v>0</v>
      </c>
      <c r="D671" s="7">
        <v>0</v>
      </c>
      <c r="E671" s="7">
        <v>0</v>
      </c>
      <c r="F671" s="7">
        <v>0</v>
      </c>
      <c r="G671" s="7">
        <v>0</v>
      </c>
      <c r="H671" s="7">
        <v>0</v>
      </c>
      <c r="I671" s="7">
        <v>0</v>
      </c>
      <c r="J671" s="7">
        <v>0</v>
      </c>
      <c r="K671" s="7">
        <v>0</v>
      </c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</row>
    <row r="672" spans="1:17">
      <c r="A672" s="2">
        <v>2620</v>
      </c>
      <c r="B672" s="7">
        <v>0</v>
      </c>
      <c r="C672" s="7">
        <v>0</v>
      </c>
      <c r="D672" s="7">
        <v>0</v>
      </c>
      <c r="E672" s="7">
        <v>0</v>
      </c>
      <c r="F672" s="7">
        <v>0</v>
      </c>
      <c r="G672" s="7">
        <v>0</v>
      </c>
      <c r="H672" s="7">
        <v>0</v>
      </c>
      <c r="I672" s="7">
        <v>0</v>
      </c>
      <c r="J672" s="7">
        <v>0</v>
      </c>
      <c r="K672" s="7">
        <v>0</v>
      </c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</row>
    <row r="673" spans="1:17">
      <c r="A673" s="2">
        <v>2621</v>
      </c>
      <c r="B673" s="7">
        <v>0</v>
      </c>
      <c r="C673" s="7">
        <v>0</v>
      </c>
      <c r="D673" s="7">
        <v>0</v>
      </c>
      <c r="E673" s="7">
        <v>0</v>
      </c>
      <c r="F673" s="7">
        <v>0</v>
      </c>
      <c r="G673" s="7">
        <v>0</v>
      </c>
      <c r="H673" s="7">
        <v>0</v>
      </c>
      <c r="I673" s="7">
        <v>0</v>
      </c>
      <c r="J673" s="7">
        <v>0</v>
      </c>
      <c r="K673" s="7">
        <v>0</v>
      </c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</row>
    <row r="674" spans="1:17">
      <c r="A674" s="2">
        <v>2622</v>
      </c>
      <c r="B674" s="7">
        <v>0</v>
      </c>
      <c r="C674" s="7">
        <v>0</v>
      </c>
      <c r="D674" s="7">
        <v>0</v>
      </c>
      <c r="E674" s="7">
        <v>0</v>
      </c>
      <c r="F674" s="7">
        <v>0</v>
      </c>
      <c r="G674" s="7">
        <v>0</v>
      </c>
      <c r="H674" s="7">
        <v>0</v>
      </c>
      <c r="I674" s="7">
        <v>0</v>
      </c>
      <c r="J674" s="7">
        <v>0</v>
      </c>
      <c r="K674" s="7">
        <v>0</v>
      </c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</row>
    <row r="675" spans="1:17">
      <c r="A675" s="2">
        <v>2623</v>
      </c>
      <c r="B675" s="7">
        <v>0</v>
      </c>
      <c r="C675" s="7">
        <v>0</v>
      </c>
      <c r="D675" s="7">
        <v>0</v>
      </c>
      <c r="E675" s="7">
        <v>0</v>
      </c>
      <c r="F675" s="7">
        <v>0</v>
      </c>
      <c r="G675" s="7">
        <v>0</v>
      </c>
      <c r="H675" s="7">
        <v>0</v>
      </c>
      <c r="I675" s="7">
        <v>0</v>
      </c>
      <c r="J675" s="7">
        <v>0</v>
      </c>
      <c r="K675" s="7">
        <v>0</v>
      </c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</row>
    <row r="676" spans="1:17">
      <c r="A676" s="2">
        <v>2624</v>
      </c>
      <c r="B676" s="7">
        <v>0</v>
      </c>
      <c r="C676" s="7">
        <v>0</v>
      </c>
      <c r="D676" s="7">
        <v>0</v>
      </c>
      <c r="E676" s="7">
        <v>0</v>
      </c>
      <c r="F676" s="7">
        <v>0</v>
      </c>
      <c r="G676" s="7">
        <v>0</v>
      </c>
      <c r="H676" s="7">
        <v>0</v>
      </c>
      <c r="I676" s="7">
        <v>0</v>
      </c>
      <c r="J676" s="7">
        <v>0</v>
      </c>
      <c r="K676" s="7">
        <v>0</v>
      </c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</row>
    <row r="677" spans="1:17">
      <c r="A677" s="2">
        <v>2625</v>
      </c>
      <c r="B677" s="7">
        <v>0</v>
      </c>
      <c r="C677" s="7">
        <v>0</v>
      </c>
      <c r="D677" s="7">
        <v>0</v>
      </c>
      <c r="E677" s="7">
        <v>0</v>
      </c>
      <c r="F677" s="7">
        <v>0</v>
      </c>
      <c r="G677" s="7">
        <v>0</v>
      </c>
      <c r="H677" s="7">
        <v>0</v>
      </c>
      <c r="I677" s="7">
        <v>0</v>
      </c>
      <c r="J677" s="7">
        <v>0</v>
      </c>
      <c r="K677" s="7">
        <v>0</v>
      </c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</row>
    <row r="678" spans="1:17">
      <c r="A678" s="2">
        <v>2626</v>
      </c>
      <c r="B678" s="7">
        <v>0</v>
      </c>
      <c r="C678" s="7">
        <v>0</v>
      </c>
      <c r="D678" s="7">
        <v>0</v>
      </c>
      <c r="E678" s="7">
        <v>0</v>
      </c>
      <c r="F678" s="7">
        <v>0</v>
      </c>
      <c r="G678" s="7">
        <v>0</v>
      </c>
      <c r="H678" s="7">
        <v>0</v>
      </c>
      <c r="I678" s="7">
        <v>0</v>
      </c>
      <c r="J678" s="7">
        <v>0</v>
      </c>
      <c r="K678" s="7">
        <v>0</v>
      </c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</row>
    <row r="679" spans="1:17">
      <c r="A679" s="2">
        <v>2627</v>
      </c>
      <c r="B679" s="7">
        <v>0</v>
      </c>
      <c r="C679" s="7">
        <v>0</v>
      </c>
      <c r="D679" s="7">
        <v>0</v>
      </c>
      <c r="E679" s="7">
        <v>0</v>
      </c>
      <c r="F679" s="7">
        <v>0</v>
      </c>
      <c r="G679" s="7">
        <v>0</v>
      </c>
      <c r="H679" s="7">
        <v>0</v>
      </c>
      <c r="I679" s="7">
        <v>0</v>
      </c>
      <c r="J679" s="7">
        <v>0</v>
      </c>
      <c r="K679" s="7">
        <v>0</v>
      </c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</row>
    <row r="680" spans="1:17">
      <c r="A680" s="2">
        <v>2628</v>
      </c>
      <c r="B680" s="7">
        <v>0</v>
      </c>
      <c r="C680" s="7">
        <v>0</v>
      </c>
      <c r="D680" s="7">
        <v>0</v>
      </c>
      <c r="E680" s="7">
        <v>0</v>
      </c>
      <c r="F680" s="7">
        <v>0</v>
      </c>
      <c r="G680" s="7">
        <v>0</v>
      </c>
      <c r="H680" s="7">
        <v>0</v>
      </c>
      <c r="I680" s="7">
        <v>0</v>
      </c>
      <c r="J680" s="7">
        <v>0</v>
      </c>
      <c r="K680" s="7">
        <v>0</v>
      </c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</row>
    <row r="681" spans="1:17">
      <c r="A681" s="2">
        <v>2629</v>
      </c>
      <c r="B681" s="7">
        <v>0</v>
      </c>
      <c r="C681" s="7">
        <v>0</v>
      </c>
      <c r="D681" s="7">
        <v>0</v>
      </c>
      <c r="E681" s="7">
        <v>0</v>
      </c>
      <c r="F681" s="7">
        <v>0</v>
      </c>
      <c r="G681" s="7">
        <v>0</v>
      </c>
      <c r="H681" s="7">
        <v>0</v>
      </c>
      <c r="I681" s="7">
        <v>0</v>
      </c>
      <c r="J681" s="7">
        <v>0</v>
      </c>
      <c r="K681" s="7">
        <v>0</v>
      </c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</row>
    <row r="682" spans="1:17">
      <c r="A682" s="2">
        <v>2630</v>
      </c>
      <c r="B682" s="7">
        <v>0</v>
      </c>
      <c r="C682" s="7">
        <v>0</v>
      </c>
      <c r="D682" s="7">
        <v>0</v>
      </c>
      <c r="E682" s="7">
        <v>0</v>
      </c>
      <c r="F682" s="7">
        <v>0</v>
      </c>
      <c r="G682" s="7">
        <v>0</v>
      </c>
      <c r="H682" s="7">
        <v>0</v>
      </c>
      <c r="I682" s="7">
        <v>0</v>
      </c>
      <c r="J682" s="7">
        <v>0</v>
      </c>
      <c r="K682" s="7">
        <v>0</v>
      </c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</row>
    <row r="683" spans="1:17">
      <c r="A683" s="2">
        <v>2631</v>
      </c>
      <c r="B683" s="7">
        <v>0</v>
      </c>
      <c r="C683" s="7">
        <v>0</v>
      </c>
      <c r="D683" s="7">
        <v>0</v>
      </c>
      <c r="E683" s="7">
        <v>0</v>
      </c>
      <c r="F683" s="7">
        <v>0</v>
      </c>
      <c r="G683" s="7">
        <v>0</v>
      </c>
      <c r="H683" s="7">
        <v>0</v>
      </c>
      <c r="I683" s="7">
        <v>0</v>
      </c>
      <c r="J683" s="7">
        <v>0</v>
      </c>
      <c r="K683" s="7">
        <v>0</v>
      </c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</row>
    <row r="684" spans="1:17">
      <c r="A684" s="2">
        <v>2632</v>
      </c>
      <c r="B684" s="7">
        <v>0</v>
      </c>
      <c r="C684" s="7">
        <v>0</v>
      </c>
      <c r="D684" s="7">
        <v>0</v>
      </c>
      <c r="E684" s="7">
        <v>0</v>
      </c>
      <c r="F684" s="7">
        <v>0</v>
      </c>
      <c r="G684" s="7">
        <v>0</v>
      </c>
      <c r="H684" s="7">
        <v>0</v>
      </c>
      <c r="I684" s="7">
        <v>0</v>
      </c>
      <c r="J684" s="7">
        <v>0</v>
      </c>
      <c r="K684" s="7">
        <v>0</v>
      </c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</row>
    <row r="685" spans="1:17">
      <c r="A685" s="2">
        <v>2633</v>
      </c>
      <c r="B685" s="7">
        <v>0</v>
      </c>
      <c r="C685" s="7">
        <v>0</v>
      </c>
      <c r="D685" s="7">
        <v>0</v>
      </c>
      <c r="E685" s="7">
        <v>0</v>
      </c>
      <c r="F685" s="7">
        <v>0</v>
      </c>
      <c r="G685" s="7">
        <v>0</v>
      </c>
      <c r="H685" s="7">
        <v>0</v>
      </c>
      <c r="I685" s="7">
        <v>0</v>
      </c>
      <c r="J685" s="7">
        <v>0</v>
      </c>
      <c r="K685" s="7">
        <v>0</v>
      </c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</row>
    <row r="686" spans="1:17">
      <c r="A686" s="2">
        <v>2634</v>
      </c>
      <c r="B686" s="7">
        <v>0</v>
      </c>
      <c r="C686" s="7">
        <v>0</v>
      </c>
      <c r="D686" s="7">
        <v>0</v>
      </c>
      <c r="E686" s="7">
        <v>0</v>
      </c>
      <c r="F686" s="7">
        <v>0</v>
      </c>
      <c r="G686" s="7">
        <v>0</v>
      </c>
      <c r="H686" s="7">
        <v>0</v>
      </c>
      <c r="I686" s="7">
        <v>0</v>
      </c>
      <c r="J686" s="7">
        <v>0</v>
      </c>
      <c r="K686" s="7">
        <v>0</v>
      </c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</row>
    <row r="687" spans="1:17">
      <c r="A687" s="2">
        <v>2635</v>
      </c>
      <c r="B687" s="7">
        <v>0</v>
      </c>
      <c r="C687" s="7">
        <v>0</v>
      </c>
      <c r="D687" s="7">
        <v>0</v>
      </c>
      <c r="E687" s="7">
        <v>0</v>
      </c>
      <c r="F687" s="7">
        <v>0</v>
      </c>
      <c r="G687" s="7">
        <v>0</v>
      </c>
      <c r="H687" s="7">
        <v>0</v>
      </c>
      <c r="I687" s="7">
        <v>0</v>
      </c>
      <c r="J687" s="7">
        <v>0</v>
      </c>
      <c r="K687" s="7">
        <v>0</v>
      </c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</row>
    <row r="688" spans="1:17">
      <c r="A688" s="2">
        <v>2636</v>
      </c>
      <c r="B688" s="7">
        <v>0</v>
      </c>
      <c r="C688" s="7">
        <v>0</v>
      </c>
      <c r="D688" s="7">
        <v>0</v>
      </c>
      <c r="E688" s="7">
        <v>0</v>
      </c>
      <c r="F688" s="7">
        <v>0</v>
      </c>
      <c r="G688" s="7">
        <v>0</v>
      </c>
      <c r="H688" s="7">
        <v>0</v>
      </c>
      <c r="I688" s="7">
        <v>0</v>
      </c>
      <c r="J688" s="7">
        <v>0</v>
      </c>
      <c r="K688" s="7">
        <v>0</v>
      </c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</row>
    <row r="689" spans="1:17">
      <c r="A689" s="2">
        <v>2637</v>
      </c>
      <c r="B689" s="7">
        <v>0</v>
      </c>
      <c r="C689" s="7">
        <v>0</v>
      </c>
      <c r="D689" s="7">
        <v>0</v>
      </c>
      <c r="E689" s="7">
        <v>0</v>
      </c>
      <c r="F689" s="7">
        <v>0</v>
      </c>
      <c r="G689" s="7">
        <v>0</v>
      </c>
      <c r="H689" s="7">
        <v>0</v>
      </c>
      <c r="I689" s="7">
        <v>0</v>
      </c>
      <c r="J689" s="7">
        <v>0</v>
      </c>
      <c r="K689" s="7">
        <v>0</v>
      </c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</row>
    <row r="690" spans="1:17">
      <c r="A690" s="2">
        <v>2638</v>
      </c>
      <c r="B690" s="7">
        <v>0</v>
      </c>
      <c r="C690" s="7">
        <v>0</v>
      </c>
      <c r="D690" s="7">
        <v>0</v>
      </c>
      <c r="E690" s="7">
        <v>0</v>
      </c>
      <c r="F690" s="7">
        <v>0</v>
      </c>
      <c r="G690" s="7">
        <v>0</v>
      </c>
      <c r="H690" s="7">
        <v>0</v>
      </c>
      <c r="I690" s="7">
        <v>0</v>
      </c>
      <c r="J690" s="7">
        <v>0</v>
      </c>
      <c r="K690" s="7">
        <v>0</v>
      </c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</row>
    <row r="691" spans="1:17">
      <c r="A691" s="2">
        <v>2639</v>
      </c>
      <c r="B691" s="7">
        <v>0</v>
      </c>
      <c r="C691" s="7">
        <v>0</v>
      </c>
      <c r="D691" s="7">
        <v>0</v>
      </c>
      <c r="E691" s="7">
        <v>0</v>
      </c>
      <c r="F691" s="7">
        <v>0</v>
      </c>
      <c r="G691" s="7">
        <v>0</v>
      </c>
      <c r="H691" s="7">
        <v>0</v>
      </c>
      <c r="I691" s="7">
        <v>0</v>
      </c>
      <c r="J691" s="7">
        <v>0</v>
      </c>
      <c r="K691" s="7">
        <v>0</v>
      </c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</row>
    <row r="692" spans="1:17">
      <c r="A692" s="2">
        <v>2640</v>
      </c>
      <c r="B692" s="7">
        <v>0</v>
      </c>
      <c r="C692" s="7">
        <v>0</v>
      </c>
      <c r="D692" s="7">
        <v>0</v>
      </c>
      <c r="E692" s="7">
        <v>0</v>
      </c>
      <c r="F692" s="7">
        <v>0</v>
      </c>
      <c r="G692" s="7">
        <v>0</v>
      </c>
      <c r="H692" s="7">
        <v>0</v>
      </c>
      <c r="I692" s="7">
        <v>0</v>
      </c>
      <c r="J692" s="7">
        <v>0</v>
      </c>
      <c r="K692" s="7">
        <v>0</v>
      </c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</row>
    <row r="693" spans="1:17">
      <c r="A693" s="2">
        <v>2641</v>
      </c>
      <c r="B693" s="7">
        <v>0</v>
      </c>
      <c r="C693" s="7">
        <v>0</v>
      </c>
      <c r="D693" s="7">
        <v>0</v>
      </c>
      <c r="E693" s="7">
        <v>0</v>
      </c>
      <c r="F693" s="7">
        <v>0</v>
      </c>
      <c r="G693" s="7">
        <v>0</v>
      </c>
      <c r="H693" s="7">
        <v>0</v>
      </c>
      <c r="I693" s="7">
        <v>0</v>
      </c>
      <c r="J693" s="7">
        <v>0</v>
      </c>
      <c r="K693" s="7">
        <v>0</v>
      </c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</row>
    <row r="694" spans="1:17">
      <c r="A694" s="2">
        <v>2642</v>
      </c>
      <c r="B694" s="7">
        <v>0</v>
      </c>
      <c r="C694" s="7">
        <v>0</v>
      </c>
      <c r="D694" s="7">
        <v>0</v>
      </c>
      <c r="E694" s="7">
        <v>0</v>
      </c>
      <c r="F694" s="7">
        <v>0</v>
      </c>
      <c r="G694" s="7">
        <v>0</v>
      </c>
      <c r="H694" s="7">
        <v>0</v>
      </c>
      <c r="I694" s="7">
        <v>0</v>
      </c>
      <c r="J694" s="7">
        <v>0</v>
      </c>
      <c r="K694" s="7">
        <v>0</v>
      </c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</row>
    <row r="695" spans="1:17">
      <c r="A695" s="2">
        <v>2643</v>
      </c>
      <c r="B695" s="7">
        <v>0</v>
      </c>
      <c r="C695" s="7">
        <v>0</v>
      </c>
      <c r="D695" s="7">
        <v>0</v>
      </c>
      <c r="E695" s="7">
        <v>0</v>
      </c>
      <c r="F695" s="7">
        <v>0</v>
      </c>
      <c r="G695" s="7">
        <v>0</v>
      </c>
      <c r="H695" s="7">
        <v>0</v>
      </c>
      <c r="I695" s="7">
        <v>0</v>
      </c>
      <c r="J695" s="7">
        <v>0</v>
      </c>
      <c r="K695" s="7">
        <v>0</v>
      </c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</row>
    <row r="696" spans="1:17">
      <c r="A696" s="2">
        <v>2644</v>
      </c>
      <c r="B696" s="7">
        <v>0</v>
      </c>
      <c r="C696" s="7">
        <v>0</v>
      </c>
      <c r="D696" s="7">
        <v>0</v>
      </c>
      <c r="E696" s="7">
        <v>0</v>
      </c>
      <c r="F696" s="7">
        <v>0</v>
      </c>
      <c r="G696" s="7">
        <v>0</v>
      </c>
      <c r="H696" s="7">
        <v>0</v>
      </c>
      <c r="I696" s="7">
        <v>0</v>
      </c>
      <c r="J696" s="7">
        <v>0</v>
      </c>
      <c r="K696" s="7">
        <v>0</v>
      </c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</row>
    <row r="697" spans="1:17">
      <c r="A697" s="2">
        <v>2645</v>
      </c>
      <c r="B697" s="7">
        <v>0</v>
      </c>
      <c r="C697" s="7">
        <v>0</v>
      </c>
      <c r="D697" s="7">
        <v>0</v>
      </c>
      <c r="E697" s="7">
        <v>0</v>
      </c>
      <c r="F697" s="7">
        <v>0</v>
      </c>
      <c r="G697" s="7">
        <v>0</v>
      </c>
      <c r="H697" s="7">
        <v>0</v>
      </c>
      <c r="I697" s="7">
        <v>0</v>
      </c>
      <c r="J697" s="7">
        <v>0</v>
      </c>
      <c r="K697" s="7">
        <v>0</v>
      </c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</row>
    <row r="698" spans="1:17">
      <c r="A698" s="2">
        <v>2646</v>
      </c>
      <c r="B698" s="7">
        <v>0</v>
      </c>
      <c r="C698" s="7">
        <v>0</v>
      </c>
      <c r="D698" s="7">
        <v>0</v>
      </c>
      <c r="E698" s="7">
        <v>0</v>
      </c>
      <c r="F698" s="7">
        <v>0</v>
      </c>
      <c r="G698" s="7">
        <v>0</v>
      </c>
      <c r="H698" s="7">
        <v>0</v>
      </c>
      <c r="I698" s="7">
        <v>0</v>
      </c>
      <c r="J698" s="7">
        <v>0</v>
      </c>
      <c r="K698" s="7">
        <v>0</v>
      </c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</row>
    <row r="699" spans="1:17">
      <c r="A699" s="2">
        <v>2647</v>
      </c>
      <c r="B699" s="7">
        <v>0</v>
      </c>
      <c r="C699" s="7">
        <v>0</v>
      </c>
      <c r="D699" s="7">
        <v>0</v>
      </c>
      <c r="E699" s="7">
        <v>0</v>
      </c>
      <c r="F699" s="7">
        <v>0</v>
      </c>
      <c r="G699" s="7">
        <v>0</v>
      </c>
      <c r="H699" s="7">
        <v>0</v>
      </c>
      <c r="I699" s="7">
        <v>0</v>
      </c>
      <c r="J699" s="7">
        <v>0</v>
      </c>
      <c r="K699" s="7">
        <v>0</v>
      </c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</row>
    <row r="700" spans="1:17">
      <c r="A700" s="2">
        <v>2648</v>
      </c>
      <c r="B700" s="7">
        <v>0</v>
      </c>
      <c r="C700" s="7">
        <v>0</v>
      </c>
      <c r="D700" s="7">
        <v>0</v>
      </c>
      <c r="E700" s="7">
        <v>0</v>
      </c>
      <c r="F700" s="7">
        <v>0</v>
      </c>
      <c r="G700" s="7">
        <v>0</v>
      </c>
      <c r="H700" s="7">
        <v>0</v>
      </c>
      <c r="I700" s="7">
        <v>0</v>
      </c>
      <c r="J700" s="7">
        <v>0</v>
      </c>
      <c r="K700" s="7">
        <v>0</v>
      </c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</row>
    <row r="701" spans="1:17">
      <c r="A701" s="2">
        <v>2649</v>
      </c>
      <c r="B701" s="7">
        <v>0</v>
      </c>
      <c r="C701" s="7">
        <v>0</v>
      </c>
      <c r="D701" s="7">
        <v>0</v>
      </c>
      <c r="E701" s="7">
        <v>0</v>
      </c>
      <c r="F701" s="7">
        <v>0</v>
      </c>
      <c r="G701" s="7">
        <v>0</v>
      </c>
      <c r="H701" s="7">
        <v>0</v>
      </c>
      <c r="I701" s="7">
        <v>0</v>
      </c>
      <c r="J701" s="7">
        <v>0</v>
      </c>
      <c r="K701" s="7">
        <v>0</v>
      </c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</row>
    <row r="702" spans="1:17">
      <c r="A702" s="2">
        <v>2650</v>
      </c>
      <c r="B702" s="7">
        <v>0</v>
      </c>
      <c r="C702" s="7">
        <v>0</v>
      </c>
      <c r="D702" s="7">
        <v>0</v>
      </c>
      <c r="E702" s="7">
        <v>0</v>
      </c>
      <c r="F702" s="7">
        <v>0</v>
      </c>
      <c r="G702" s="7">
        <v>0</v>
      </c>
      <c r="H702" s="7">
        <v>0</v>
      </c>
      <c r="I702" s="7">
        <v>0</v>
      </c>
      <c r="J702" s="7">
        <v>0</v>
      </c>
      <c r="K702" s="7">
        <v>0</v>
      </c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</row>
    <row r="703" spans="1:17">
      <c r="A703" s="2">
        <v>2651</v>
      </c>
      <c r="B703" s="7">
        <v>0</v>
      </c>
      <c r="C703" s="7">
        <v>0</v>
      </c>
      <c r="D703" s="7">
        <v>0</v>
      </c>
      <c r="E703" s="7">
        <v>0</v>
      </c>
      <c r="F703" s="7">
        <v>0</v>
      </c>
      <c r="G703" s="7">
        <v>0</v>
      </c>
      <c r="H703" s="7">
        <v>0</v>
      </c>
      <c r="I703" s="7">
        <v>0</v>
      </c>
      <c r="J703" s="7">
        <v>0</v>
      </c>
      <c r="K703" s="7">
        <v>0</v>
      </c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</row>
    <row r="704" spans="1:17">
      <c r="A704" s="2">
        <v>2652</v>
      </c>
      <c r="B704" s="7">
        <v>0</v>
      </c>
      <c r="C704" s="7">
        <v>0</v>
      </c>
      <c r="D704" s="7">
        <v>0</v>
      </c>
      <c r="E704" s="7">
        <v>0</v>
      </c>
      <c r="F704" s="7">
        <v>0</v>
      </c>
      <c r="G704" s="7">
        <v>0</v>
      </c>
      <c r="H704" s="7">
        <v>0</v>
      </c>
      <c r="I704" s="7">
        <v>0</v>
      </c>
      <c r="J704" s="7">
        <v>0</v>
      </c>
      <c r="K704" s="7">
        <v>0</v>
      </c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</row>
    <row r="705" spans="1:17">
      <c r="A705" s="2">
        <v>2653</v>
      </c>
      <c r="B705" s="7">
        <v>0</v>
      </c>
      <c r="C705" s="7">
        <v>0</v>
      </c>
      <c r="D705" s="7">
        <v>0</v>
      </c>
      <c r="E705" s="7">
        <v>0</v>
      </c>
      <c r="F705" s="7">
        <v>0</v>
      </c>
      <c r="G705" s="7">
        <v>0</v>
      </c>
      <c r="H705" s="7">
        <v>0</v>
      </c>
      <c r="I705" s="7">
        <v>0</v>
      </c>
      <c r="J705" s="7">
        <v>0</v>
      </c>
      <c r="K705" s="7">
        <v>0</v>
      </c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</row>
    <row r="706" spans="1:17">
      <c r="A706" s="2">
        <v>2654</v>
      </c>
      <c r="B706" s="7">
        <v>0</v>
      </c>
      <c r="C706" s="7">
        <v>0</v>
      </c>
      <c r="D706" s="7">
        <v>0</v>
      </c>
      <c r="E706" s="7">
        <v>0</v>
      </c>
      <c r="F706" s="7">
        <v>0</v>
      </c>
      <c r="G706" s="7">
        <v>0</v>
      </c>
      <c r="H706" s="7">
        <v>0</v>
      </c>
      <c r="I706" s="7">
        <v>0</v>
      </c>
      <c r="J706" s="7">
        <v>0</v>
      </c>
      <c r="K706" s="7">
        <v>0</v>
      </c>
      <c r="L706" s="7">
        <v>0</v>
      </c>
      <c r="M706" s="7">
        <v>0</v>
      </c>
      <c r="N706" s="7">
        <v>0</v>
      </c>
      <c r="O706" s="7">
        <v>0</v>
      </c>
      <c r="P706" s="7">
        <v>0</v>
      </c>
      <c r="Q706" s="7">
        <v>0</v>
      </c>
    </row>
    <row r="707" spans="1:17">
      <c r="A707" s="2">
        <v>2655</v>
      </c>
      <c r="B707" s="7">
        <v>0</v>
      </c>
      <c r="C707" s="7">
        <v>0</v>
      </c>
      <c r="D707" s="7">
        <v>0</v>
      </c>
      <c r="E707" s="7">
        <v>0</v>
      </c>
      <c r="F707" s="7">
        <v>0</v>
      </c>
      <c r="G707" s="7">
        <v>0</v>
      </c>
      <c r="H707" s="7">
        <v>0</v>
      </c>
      <c r="I707" s="7">
        <v>0</v>
      </c>
      <c r="J707" s="7">
        <v>0</v>
      </c>
      <c r="K707" s="7">
        <v>0</v>
      </c>
      <c r="L707" s="7">
        <v>0</v>
      </c>
      <c r="M707" s="7">
        <v>0</v>
      </c>
      <c r="N707" s="7">
        <v>0</v>
      </c>
      <c r="O707" s="7">
        <v>0</v>
      </c>
      <c r="P707" s="7">
        <v>0</v>
      </c>
      <c r="Q707" s="7">
        <v>0</v>
      </c>
    </row>
    <row r="708" spans="1:17">
      <c r="A708" s="2">
        <v>2656</v>
      </c>
      <c r="B708" s="7">
        <v>0</v>
      </c>
      <c r="C708" s="7">
        <v>0</v>
      </c>
      <c r="D708" s="7">
        <v>0</v>
      </c>
      <c r="E708" s="7">
        <v>0</v>
      </c>
      <c r="F708" s="7">
        <v>0</v>
      </c>
      <c r="G708" s="7">
        <v>0</v>
      </c>
      <c r="H708" s="7">
        <v>0</v>
      </c>
      <c r="I708" s="7">
        <v>0</v>
      </c>
      <c r="J708" s="7">
        <v>0</v>
      </c>
      <c r="K708" s="7">
        <v>0</v>
      </c>
      <c r="L708" s="7">
        <v>0</v>
      </c>
      <c r="M708" s="7">
        <v>0</v>
      </c>
      <c r="N708" s="7">
        <v>0</v>
      </c>
      <c r="O708" s="7">
        <v>0</v>
      </c>
      <c r="P708" s="7">
        <v>0</v>
      </c>
      <c r="Q708" s="7">
        <v>0</v>
      </c>
    </row>
    <row r="709" spans="1:17">
      <c r="A709" s="2">
        <v>2657</v>
      </c>
      <c r="B709" s="7">
        <v>0</v>
      </c>
      <c r="C709" s="7">
        <v>0</v>
      </c>
      <c r="D709" s="7">
        <v>0</v>
      </c>
      <c r="E709" s="7">
        <v>0</v>
      </c>
      <c r="F709" s="7">
        <v>0</v>
      </c>
      <c r="G709" s="7">
        <v>0</v>
      </c>
      <c r="H709" s="7">
        <v>0</v>
      </c>
      <c r="I709" s="7">
        <v>0</v>
      </c>
      <c r="J709" s="7">
        <v>0</v>
      </c>
      <c r="K709" s="7">
        <v>0</v>
      </c>
      <c r="L709" s="7">
        <v>0</v>
      </c>
      <c r="M709" s="7">
        <v>0</v>
      </c>
      <c r="N709" s="7">
        <v>0</v>
      </c>
      <c r="O709" s="7">
        <v>0</v>
      </c>
      <c r="P709" s="7">
        <v>0</v>
      </c>
      <c r="Q709" s="7">
        <v>0</v>
      </c>
    </row>
    <row r="710" spans="1:17">
      <c r="A710" s="2">
        <v>2658</v>
      </c>
      <c r="B710" s="7">
        <v>0</v>
      </c>
      <c r="C710" s="7">
        <v>0</v>
      </c>
      <c r="D710" s="7">
        <v>0</v>
      </c>
      <c r="E710" s="7">
        <v>0</v>
      </c>
      <c r="F710" s="7">
        <v>0</v>
      </c>
      <c r="G710" s="7">
        <v>0</v>
      </c>
      <c r="H710" s="7">
        <v>0</v>
      </c>
      <c r="I710" s="7">
        <v>0</v>
      </c>
      <c r="J710" s="7">
        <v>0</v>
      </c>
      <c r="K710" s="7">
        <v>0</v>
      </c>
      <c r="L710" s="7">
        <v>0</v>
      </c>
      <c r="M710" s="7">
        <v>0</v>
      </c>
      <c r="N710" s="7">
        <v>0</v>
      </c>
      <c r="O710" s="7">
        <v>0</v>
      </c>
      <c r="P710" s="7">
        <v>0</v>
      </c>
      <c r="Q710" s="7">
        <v>0</v>
      </c>
    </row>
    <row r="711" spans="1:17">
      <c r="A711" s="2">
        <v>2659</v>
      </c>
      <c r="B711" s="7">
        <v>0</v>
      </c>
      <c r="C711" s="7">
        <v>0</v>
      </c>
      <c r="D711" s="7">
        <v>0</v>
      </c>
      <c r="E711" s="7">
        <v>0</v>
      </c>
      <c r="F711" s="7">
        <v>0</v>
      </c>
      <c r="G711" s="7">
        <v>0</v>
      </c>
      <c r="H711" s="7">
        <v>0</v>
      </c>
      <c r="I711" s="7">
        <v>0</v>
      </c>
      <c r="J711" s="7">
        <v>0</v>
      </c>
      <c r="K711" s="7">
        <v>0</v>
      </c>
      <c r="L711" s="7">
        <v>0</v>
      </c>
      <c r="M711" s="7">
        <v>0</v>
      </c>
      <c r="N711" s="7">
        <v>0</v>
      </c>
      <c r="O711" s="7">
        <v>0</v>
      </c>
      <c r="P711" s="7">
        <v>0</v>
      </c>
      <c r="Q711" s="7">
        <v>0</v>
      </c>
    </row>
    <row r="712" spans="1:17">
      <c r="A712" s="2">
        <v>2660</v>
      </c>
      <c r="B712" s="7">
        <v>0</v>
      </c>
      <c r="C712" s="7">
        <v>0</v>
      </c>
      <c r="D712" s="7">
        <v>0</v>
      </c>
      <c r="E712" s="7">
        <v>0</v>
      </c>
      <c r="F712" s="7">
        <v>0</v>
      </c>
      <c r="G712" s="7">
        <v>0</v>
      </c>
      <c r="H712" s="7">
        <v>0</v>
      </c>
      <c r="I712" s="7">
        <v>0</v>
      </c>
      <c r="J712" s="7">
        <v>0</v>
      </c>
      <c r="K712" s="7">
        <v>0</v>
      </c>
      <c r="L712" s="7">
        <v>0</v>
      </c>
      <c r="M712" s="7">
        <v>0</v>
      </c>
      <c r="N712" s="7">
        <v>0</v>
      </c>
      <c r="O712" s="7">
        <v>0</v>
      </c>
      <c r="P712" s="7">
        <v>0</v>
      </c>
      <c r="Q712" s="7">
        <v>0</v>
      </c>
    </row>
    <row r="713" spans="1:17">
      <c r="A713" s="2">
        <v>2661</v>
      </c>
      <c r="B713" s="7">
        <v>0</v>
      </c>
      <c r="C713" s="7">
        <v>0</v>
      </c>
      <c r="D713" s="7">
        <v>0</v>
      </c>
      <c r="E713" s="7">
        <v>0</v>
      </c>
      <c r="F713" s="7">
        <v>0</v>
      </c>
      <c r="G713" s="7">
        <v>0</v>
      </c>
      <c r="H713" s="7">
        <v>0</v>
      </c>
      <c r="I713" s="7">
        <v>0</v>
      </c>
      <c r="J713" s="7">
        <v>0</v>
      </c>
      <c r="K713" s="7">
        <v>0</v>
      </c>
      <c r="L713" s="7">
        <v>0</v>
      </c>
      <c r="M713" s="7">
        <v>0</v>
      </c>
      <c r="N713" s="7">
        <v>0</v>
      </c>
      <c r="O713" s="7">
        <v>0</v>
      </c>
      <c r="P713" s="7">
        <v>0</v>
      </c>
      <c r="Q713" s="7">
        <v>0</v>
      </c>
    </row>
    <row r="714" spans="1:17">
      <c r="A714" s="2">
        <v>2662</v>
      </c>
      <c r="B714" s="7">
        <v>0</v>
      </c>
      <c r="C714" s="7">
        <v>0</v>
      </c>
      <c r="D714" s="7">
        <v>0</v>
      </c>
      <c r="E714" s="7">
        <v>0</v>
      </c>
      <c r="F714" s="7">
        <v>0</v>
      </c>
      <c r="G714" s="7">
        <v>0</v>
      </c>
      <c r="H714" s="7">
        <v>0</v>
      </c>
      <c r="I714" s="7">
        <v>0</v>
      </c>
      <c r="J714" s="7">
        <v>0</v>
      </c>
      <c r="K714" s="7">
        <v>0</v>
      </c>
      <c r="L714" s="7">
        <v>0</v>
      </c>
      <c r="M714" s="7">
        <v>0</v>
      </c>
      <c r="N714" s="7">
        <v>0</v>
      </c>
      <c r="O714" s="7">
        <v>0</v>
      </c>
      <c r="P714" s="7">
        <v>0</v>
      </c>
      <c r="Q714" s="7">
        <v>0</v>
      </c>
    </row>
    <row r="715" spans="1:17">
      <c r="A715" s="2">
        <v>2663</v>
      </c>
      <c r="B715" s="7">
        <v>0</v>
      </c>
      <c r="C715" s="7">
        <v>0</v>
      </c>
      <c r="D715" s="7">
        <v>0</v>
      </c>
      <c r="E715" s="7">
        <v>0</v>
      </c>
      <c r="F715" s="7">
        <v>0</v>
      </c>
      <c r="G715" s="7">
        <v>0</v>
      </c>
      <c r="H715" s="7">
        <v>0</v>
      </c>
      <c r="I715" s="7">
        <v>0</v>
      </c>
      <c r="J715" s="7">
        <v>0</v>
      </c>
      <c r="K715" s="7">
        <v>0</v>
      </c>
      <c r="L715" s="7">
        <v>0</v>
      </c>
      <c r="M715" s="7">
        <v>0</v>
      </c>
      <c r="N715" s="7">
        <v>0</v>
      </c>
      <c r="O715" s="7">
        <v>0</v>
      </c>
      <c r="P715" s="7">
        <v>0</v>
      </c>
      <c r="Q715" s="7">
        <v>0</v>
      </c>
    </row>
    <row r="716" spans="1:17">
      <c r="A716" s="2">
        <v>2664</v>
      </c>
      <c r="B716" s="7">
        <v>0</v>
      </c>
      <c r="C716" s="7">
        <v>0</v>
      </c>
      <c r="D716" s="7">
        <v>0</v>
      </c>
      <c r="E716" s="7">
        <v>0</v>
      </c>
      <c r="F716" s="7">
        <v>0</v>
      </c>
      <c r="G716" s="7">
        <v>0</v>
      </c>
      <c r="H716" s="7">
        <v>0</v>
      </c>
      <c r="I716" s="7">
        <v>0</v>
      </c>
      <c r="J716" s="7">
        <v>0</v>
      </c>
      <c r="K716" s="7">
        <v>0</v>
      </c>
      <c r="L716" s="7">
        <v>0</v>
      </c>
      <c r="M716" s="7">
        <v>0</v>
      </c>
      <c r="N716" s="7">
        <v>0</v>
      </c>
      <c r="O716" s="7">
        <v>0</v>
      </c>
      <c r="P716" s="7">
        <v>0</v>
      </c>
      <c r="Q716" s="7">
        <v>0</v>
      </c>
    </row>
    <row r="717" spans="1:17">
      <c r="A717" s="2">
        <v>2665</v>
      </c>
      <c r="B717" s="7">
        <v>0</v>
      </c>
      <c r="C717" s="7">
        <v>0</v>
      </c>
      <c r="D717" s="7">
        <v>0</v>
      </c>
      <c r="E717" s="7">
        <v>0</v>
      </c>
      <c r="F717" s="7">
        <v>0</v>
      </c>
      <c r="G717" s="7">
        <v>0</v>
      </c>
      <c r="H717" s="7">
        <v>0</v>
      </c>
      <c r="I717" s="7">
        <v>0</v>
      </c>
      <c r="J717" s="7">
        <v>0</v>
      </c>
      <c r="K717" s="7">
        <v>0</v>
      </c>
      <c r="L717" s="7">
        <v>0</v>
      </c>
      <c r="M717" s="7">
        <v>0</v>
      </c>
      <c r="N717" s="7">
        <v>0</v>
      </c>
      <c r="O717" s="7">
        <v>0</v>
      </c>
      <c r="P717" s="7">
        <v>0</v>
      </c>
      <c r="Q717" s="7">
        <v>0</v>
      </c>
    </row>
    <row r="718" spans="1:17">
      <c r="A718" s="2">
        <v>2666</v>
      </c>
      <c r="B718" s="7">
        <v>0</v>
      </c>
      <c r="C718" s="7">
        <v>0</v>
      </c>
      <c r="D718" s="7">
        <v>0</v>
      </c>
      <c r="E718" s="7">
        <v>0</v>
      </c>
      <c r="F718" s="7">
        <v>0</v>
      </c>
      <c r="G718" s="7">
        <v>0</v>
      </c>
      <c r="H718" s="7">
        <v>0</v>
      </c>
      <c r="I718" s="7">
        <v>0</v>
      </c>
      <c r="J718" s="7">
        <v>0</v>
      </c>
      <c r="K718" s="7">
        <v>0</v>
      </c>
      <c r="L718" s="7">
        <v>0</v>
      </c>
      <c r="M718" s="7">
        <v>0</v>
      </c>
      <c r="N718" s="7">
        <v>0</v>
      </c>
      <c r="O718" s="7">
        <v>0</v>
      </c>
      <c r="P718" s="7">
        <v>0</v>
      </c>
      <c r="Q718" s="7">
        <v>0</v>
      </c>
    </row>
    <row r="719" spans="1:17">
      <c r="A719" s="2">
        <v>2667</v>
      </c>
      <c r="B719" s="7">
        <v>0</v>
      </c>
      <c r="C719" s="7">
        <v>0</v>
      </c>
      <c r="D719" s="7">
        <v>0</v>
      </c>
      <c r="E719" s="7">
        <v>0</v>
      </c>
      <c r="F719" s="7">
        <v>0</v>
      </c>
      <c r="G719" s="7">
        <v>0</v>
      </c>
      <c r="H719" s="7">
        <v>0</v>
      </c>
      <c r="I719" s="7">
        <v>0</v>
      </c>
      <c r="J719" s="7">
        <v>0</v>
      </c>
      <c r="K719" s="7">
        <v>0</v>
      </c>
      <c r="L719" s="7">
        <v>0</v>
      </c>
      <c r="M719" s="7">
        <v>0</v>
      </c>
      <c r="N719" s="7">
        <v>0</v>
      </c>
      <c r="O719" s="7">
        <v>0</v>
      </c>
      <c r="P719" s="7">
        <v>0</v>
      </c>
      <c r="Q719" s="7">
        <v>0</v>
      </c>
    </row>
    <row r="720" spans="1:17">
      <c r="A720" s="2">
        <v>2668</v>
      </c>
      <c r="B720" s="7">
        <v>0</v>
      </c>
      <c r="C720" s="7">
        <v>0</v>
      </c>
      <c r="D720" s="7">
        <v>0</v>
      </c>
      <c r="E720" s="7">
        <v>0</v>
      </c>
      <c r="F720" s="7">
        <v>0</v>
      </c>
      <c r="G720" s="7">
        <v>0</v>
      </c>
      <c r="H720" s="7">
        <v>0</v>
      </c>
      <c r="I720" s="7">
        <v>0</v>
      </c>
      <c r="J720" s="7">
        <v>0</v>
      </c>
      <c r="K720" s="7">
        <v>0</v>
      </c>
      <c r="L720" s="7">
        <v>0</v>
      </c>
      <c r="M720" s="7">
        <v>0</v>
      </c>
      <c r="N720" s="7">
        <v>0</v>
      </c>
      <c r="O720" s="7">
        <v>0</v>
      </c>
      <c r="P720" s="7">
        <v>0</v>
      </c>
      <c r="Q720" s="7">
        <v>0</v>
      </c>
    </row>
    <row r="721" spans="1:17">
      <c r="A721" s="2">
        <v>2669</v>
      </c>
      <c r="B721" s="7">
        <v>0</v>
      </c>
      <c r="C721" s="7">
        <v>0</v>
      </c>
      <c r="D721" s="7">
        <v>0</v>
      </c>
      <c r="E721" s="7">
        <v>0</v>
      </c>
      <c r="F721" s="7">
        <v>0</v>
      </c>
      <c r="G721" s="7">
        <v>0</v>
      </c>
      <c r="H721" s="7">
        <v>0</v>
      </c>
      <c r="I721" s="7">
        <v>0</v>
      </c>
      <c r="J721" s="7">
        <v>0</v>
      </c>
      <c r="K721" s="7">
        <v>0</v>
      </c>
      <c r="L721" s="7">
        <v>0</v>
      </c>
      <c r="M721" s="7">
        <v>0</v>
      </c>
      <c r="N721" s="7">
        <v>0</v>
      </c>
      <c r="O721" s="7">
        <v>0</v>
      </c>
      <c r="P721" s="7">
        <v>0</v>
      </c>
      <c r="Q721" s="7">
        <v>0</v>
      </c>
    </row>
    <row r="722" spans="1:17">
      <c r="A722" s="2">
        <v>2670</v>
      </c>
      <c r="B722" s="7">
        <v>0</v>
      </c>
      <c r="C722" s="7">
        <v>0</v>
      </c>
      <c r="D722" s="7">
        <v>0</v>
      </c>
      <c r="E722" s="7">
        <v>0</v>
      </c>
      <c r="F722" s="7">
        <v>0</v>
      </c>
      <c r="G722" s="7">
        <v>0</v>
      </c>
      <c r="H722" s="7">
        <v>0</v>
      </c>
      <c r="I722" s="7">
        <v>0</v>
      </c>
      <c r="J722" s="7">
        <v>0</v>
      </c>
      <c r="K722" s="7">
        <v>0</v>
      </c>
      <c r="L722" s="7">
        <v>0</v>
      </c>
      <c r="M722" s="7">
        <v>0</v>
      </c>
      <c r="N722" s="7">
        <v>0</v>
      </c>
      <c r="O722" s="7">
        <v>0</v>
      </c>
      <c r="P722" s="7">
        <v>0</v>
      </c>
      <c r="Q722" s="7">
        <v>0</v>
      </c>
    </row>
    <row r="723" spans="1:17">
      <c r="A723" s="2">
        <v>2671</v>
      </c>
      <c r="B723" s="7">
        <v>0</v>
      </c>
      <c r="C723" s="7">
        <v>0</v>
      </c>
      <c r="D723" s="7">
        <v>0</v>
      </c>
      <c r="E723" s="7">
        <v>0</v>
      </c>
      <c r="F723" s="7">
        <v>0</v>
      </c>
      <c r="G723" s="7">
        <v>0</v>
      </c>
      <c r="H723" s="7">
        <v>0</v>
      </c>
      <c r="I723" s="7">
        <v>0</v>
      </c>
      <c r="J723" s="7">
        <v>0</v>
      </c>
      <c r="K723" s="7">
        <v>0</v>
      </c>
      <c r="L723" s="7">
        <v>0</v>
      </c>
      <c r="M723" s="7">
        <v>0</v>
      </c>
      <c r="N723" s="7">
        <v>0</v>
      </c>
      <c r="O723" s="7">
        <v>0</v>
      </c>
      <c r="P723" s="7">
        <v>0</v>
      </c>
      <c r="Q723" s="7">
        <v>0</v>
      </c>
    </row>
    <row r="724" spans="1:17">
      <c r="A724" s="2">
        <v>2672</v>
      </c>
      <c r="B724" s="7">
        <v>0</v>
      </c>
      <c r="C724" s="7">
        <v>0</v>
      </c>
      <c r="D724" s="7">
        <v>0</v>
      </c>
      <c r="E724" s="7">
        <v>0</v>
      </c>
      <c r="F724" s="7">
        <v>0</v>
      </c>
      <c r="G724" s="7">
        <v>0</v>
      </c>
      <c r="H724" s="7">
        <v>0</v>
      </c>
      <c r="I724" s="7">
        <v>0</v>
      </c>
      <c r="J724" s="7">
        <v>0</v>
      </c>
      <c r="K724" s="7">
        <v>0</v>
      </c>
      <c r="L724" s="7">
        <v>0</v>
      </c>
      <c r="M724" s="7">
        <v>0</v>
      </c>
      <c r="N724" s="7">
        <v>0</v>
      </c>
      <c r="O724" s="7">
        <v>0</v>
      </c>
      <c r="P724" s="7">
        <v>0</v>
      </c>
      <c r="Q724" s="7">
        <v>0</v>
      </c>
    </row>
    <row r="725" spans="1:17">
      <c r="A725" s="2">
        <v>2673</v>
      </c>
      <c r="B725" s="7">
        <v>0</v>
      </c>
      <c r="C725" s="7">
        <v>0</v>
      </c>
      <c r="D725" s="7">
        <v>0</v>
      </c>
      <c r="E725" s="7">
        <v>0</v>
      </c>
      <c r="F725" s="7">
        <v>0</v>
      </c>
      <c r="G725" s="7">
        <v>0</v>
      </c>
      <c r="H725" s="7">
        <v>0</v>
      </c>
      <c r="I725" s="7">
        <v>0</v>
      </c>
      <c r="J725" s="7">
        <v>0</v>
      </c>
      <c r="K725" s="7">
        <v>0</v>
      </c>
      <c r="L725" s="7">
        <v>0</v>
      </c>
      <c r="M725" s="7">
        <v>0</v>
      </c>
      <c r="N725" s="7">
        <v>0</v>
      </c>
      <c r="O725" s="7">
        <v>0</v>
      </c>
      <c r="P725" s="7">
        <v>0</v>
      </c>
      <c r="Q725" s="7">
        <v>0</v>
      </c>
    </row>
    <row r="726" spans="1:17">
      <c r="A726" s="2">
        <v>2674</v>
      </c>
      <c r="B726" s="7">
        <v>0</v>
      </c>
      <c r="C726" s="7">
        <v>0</v>
      </c>
      <c r="D726" s="7">
        <v>0</v>
      </c>
      <c r="E726" s="7">
        <v>0</v>
      </c>
      <c r="F726" s="7">
        <v>0</v>
      </c>
      <c r="G726" s="7">
        <v>0</v>
      </c>
      <c r="H726" s="7">
        <v>0</v>
      </c>
      <c r="I726" s="7">
        <v>0</v>
      </c>
      <c r="J726" s="7">
        <v>0</v>
      </c>
      <c r="K726" s="7">
        <v>0</v>
      </c>
      <c r="L726" s="7">
        <v>0</v>
      </c>
      <c r="M726" s="7">
        <v>0</v>
      </c>
      <c r="N726" s="7">
        <v>0</v>
      </c>
      <c r="O726" s="7">
        <v>0</v>
      </c>
      <c r="P726" s="7">
        <v>0</v>
      </c>
      <c r="Q726" s="7">
        <v>0</v>
      </c>
    </row>
    <row r="727" spans="1:17">
      <c r="A727" s="2">
        <v>2675</v>
      </c>
      <c r="B727" s="7">
        <v>0</v>
      </c>
      <c r="C727" s="7">
        <v>0</v>
      </c>
      <c r="D727" s="7">
        <v>0</v>
      </c>
      <c r="E727" s="7">
        <v>0</v>
      </c>
      <c r="F727" s="7">
        <v>0</v>
      </c>
      <c r="G727" s="7">
        <v>0</v>
      </c>
      <c r="H727" s="7">
        <v>0</v>
      </c>
      <c r="I727" s="7">
        <v>0</v>
      </c>
      <c r="J727" s="7">
        <v>0</v>
      </c>
      <c r="K727" s="7">
        <v>0</v>
      </c>
      <c r="L727" s="7">
        <v>0</v>
      </c>
      <c r="M727" s="7">
        <v>0</v>
      </c>
      <c r="N727" s="7">
        <v>0</v>
      </c>
      <c r="O727" s="7">
        <v>0</v>
      </c>
      <c r="P727" s="7">
        <v>0</v>
      </c>
      <c r="Q727" s="7">
        <v>0</v>
      </c>
    </row>
    <row r="728" spans="1:17">
      <c r="A728" s="2">
        <v>2676</v>
      </c>
      <c r="B728" s="7">
        <v>0</v>
      </c>
      <c r="C728" s="7">
        <v>0</v>
      </c>
      <c r="D728" s="7">
        <v>0</v>
      </c>
      <c r="E728" s="7">
        <v>0</v>
      </c>
      <c r="F728" s="7">
        <v>0</v>
      </c>
      <c r="G728" s="7">
        <v>0</v>
      </c>
      <c r="H728" s="7">
        <v>0</v>
      </c>
      <c r="I728" s="7">
        <v>0</v>
      </c>
      <c r="J728" s="7">
        <v>0</v>
      </c>
      <c r="K728" s="7">
        <v>0</v>
      </c>
      <c r="L728" s="7">
        <v>0</v>
      </c>
      <c r="M728" s="7">
        <v>0</v>
      </c>
      <c r="N728" s="7">
        <v>0</v>
      </c>
      <c r="O728" s="7">
        <v>0</v>
      </c>
      <c r="P728" s="7">
        <v>0</v>
      </c>
      <c r="Q728" s="7">
        <v>0</v>
      </c>
    </row>
    <row r="729" spans="1:17">
      <c r="A729" s="2">
        <v>2677</v>
      </c>
      <c r="B729" s="7">
        <v>0</v>
      </c>
      <c r="C729" s="7">
        <v>0</v>
      </c>
      <c r="D729" s="7">
        <v>0</v>
      </c>
      <c r="E729" s="7">
        <v>0</v>
      </c>
      <c r="F729" s="7">
        <v>0</v>
      </c>
      <c r="G729" s="7">
        <v>0</v>
      </c>
      <c r="H729" s="7">
        <v>0</v>
      </c>
      <c r="I729" s="7">
        <v>0</v>
      </c>
      <c r="J729" s="7">
        <v>0</v>
      </c>
      <c r="K729" s="7">
        <v>0</v>
      </c>
      <c r="L729" s="7">
        <v>0</v>
      </c>
      <c r="M729" s="7">
        <v>0</v>
      </c>
      <c r="N729" s="7">
        <v>0</v>
      </c>
      <c r="O729" s="7">
        <v>0</v>
      </c>
      <c r="P729" s="7">
        <v>0</v>
      </c>
      <c r="Q729" s="7">
        <v>0</v>
      </c>
    </row>
    <row r="730" spans="1:17">
      <c r="A730" s="2">
        <v>2678</v>
      </c>
      <c r="B730" s="7">
        <v>0</v>
      </c>
      <c r="C730" s="7">
        <v>0</v>
      </c>
      <c r="D730" s="7">
        <v>0</v>
      </c>
      <c r="E730" s="7">
        <v>0</v>
      </c>
      <c r="F730" s="7">
        <v>0</v>
      </c>
      <c r="G730" s="7">
        <v>0</v>
      </c>
      <c r="H730" s="7">
        <v>0</v>
      </c>
      <c r="I730" s="7">
        <v>0</v>
      </c>
      <c r="J730" s="7">
        <v>0</v>
      </c>
      <c r="K730" s="7">
        <v>0</v>
      </c>
      <c r="L730" s="7">
        <v>0</v>
      </c>
      <c r="M730" s="7">
        <v>0</v>
      </c>
      <c r="N730" s="7">
        <v>0</v>
      </c>
      <c r="O730" s="7">
        <v>0</v>
      </c>
      <c r="P730" s="7">
        <v>0</v>
      </c>
      <c r="Q730" s="7">
        <v>0</v>
      </c>
    </row>
    <row r="731" spans="1:17">
      <c r="A731" s="2">
        <v>2679</v>
      </c>
      <c r="B731" s="7">
        <v>0</v>
      </c>
      <c r="C731" s="7">
        <v>0</v>
      </c>
      <c r="D731" s="7">
        <v>0</v>
      </c>
      <c r="E731" s="7">
        <v>0</v>
      </c>
      <c r="F731" s="7">
        <v>0</v>
      </c>
      <c r="G731" s="7">
        <v>0</v>
      </c>
      <c r="H731" s="7">
        <v>0</v>
      </c>
      <c r="I731" s="7">
        <v>0</v>
      </c>
      <c r="J731" s="7">
        <v>0</v>
      </c>
      <c r="K731" s="7">
        <v>0</v>
      </c>
      <c r="L731" s="7">
        <v>0</v>
      </c>
      <c r="M731" s="7">
        <v>0</v>
      </c>
      <c r="N731" s="7">
        <v>0</v>
      </c>
      <c r="O731" s="7">
        <v>0</v>
      </c>
      <c r="P731" s="7">
        <v>0</v>
      </c>
      <c r="Q731" s="7">
        <v>0</v>
      </c>
    </row>
    <row r="732" spans="1:17">
      <c r="A732" s="2">
        <v>2680</v>
      </c>
      <c r="B732" s="7">
        <v>0</v>
      </c>
      <c r="C732" s="7">
        <v>0</v>
      </c>
      <c r="D732" s="7">
        <v>0</v>
      </c>
      <c r="E732" s="7">
        <v>0</v>
      </c>
      <c r="F732" s="7">
        <v>0</v>
      </c>
      <c r="G732" s="7">
        <v>0</v>
      </c>
      <c r="H732" s="7">
        <v>0</v>
      </c>
      <c r="I732" s="7">
        <v>0</v>
      </c>
      <c r="J732" s="7">
        <v>0</v>
      </c>
      <c r="K732" s="7">
        <v>0</v>
      </c>
      <c r="L732" s="7">
        <v>0</v>
      </c>
      <c r="M732" s="7">
        <v>0</v>
      </c>
      <c r="N732" s="7">
        <v>0</v>
      </c>
      <c r="O732" s="7">
        <v>0</v>
      </c>
      <c r="P732" s="7">
        <v>0</v>
      </c>
      <c r="Q732" s="7">
        <v>0</v>
      </c>
    </row>
    <row r="733" spans="1:17">
      <c r="A733" s="2">
        <v>2681</v>
      </c>
      <c r="B733" s="7">
        <v>0</v>
      </c>
      <c r="C733" s="7">
        <v>0</v>
      </c>
      <c r="D733" s="7">
        <v>0</v>
      </c>
      <c r="E733" s="7">
        <v>0</v>
      </c>
      <c r="F733" s="7">
        <v>0</v>
      </c>
      <c r="G733" s="7">
        <v>0</v>
      </c>
      <c r="H733" s="7">
        <v>0</v>
      </c>
      <c r="I733" s="7">
        <v>0</v>
      </c>
      <c r="J733" s="7">
        <v>0</v>
      </c>
      <c r="K733" s="7">
        <v>0</v>
      </c>
      <c r="L733" s="7">
        <v>0</v>
      </c>
      <c r="M733" s="7">
        <v>0</v>
      </c>
      <c r="N733" s="7">
        <v>0</v>
      </c>
      <c r="O733" s="7">
        <v>0</v>
      </c>
      <c r="P733" s="7">
        <v>0</v>
      </c>
      <c r="Q733" s="7">
        <v>0</v>
      </c>
    </row>
    <row r="734" spans="1:17">
      <c r="A734" s="2">
        <v>2682</v>
      </c>
      <c r="B734" s="7">
        <v>0</v>
      </c>
      <c r="C734" s="7">
        <v>0</v>
      </c>
      <c r="D734" s="7">
        <v>0</v>
      </c>
      <c r="E734" s="7">
        <v>0</v>
      </c>
      <c r="F734" s="7">
        <v>0</v>
      </c>
      <c r="G734" s="7">
        <v>0</v>
      </c>
      <c r="H734" s="7">
        <v>0</v>
      </c>
      <c r="I734" s="7">
        <v>0</v>
      </c>
      <c r="J734" s="7">
        <v>0</v>
      </c>
      <c r="K734" s="7">
        <v>0</v>
      </c>
      <c r="L734" s="7">
        <v>0</v>
      </c>
      <c r="M734" s="7">
        <v>0</v>
      </c>
      <c r="N734" s="7">
        <v>0</v>
      </c>
      <c r="O734" s="7">
        <v>0</v>
      </c>
      <c r="P734" s="7">
        <v>0</v>
      </c>
      <c r="Q734" s="7">
        <v>0</v>
      </c>
    </row>
    <row r="735" spans="1:17">
      <c r="A735" s="2">
        <v>2683</v>
      </c>
      <c r="B735" s="7">
        <v>0</v>
      </c>
      <c r="C735" s="7">
        <v>0</v>
      </c>
      <c r="D735" s="7">
        <v>0</v>
      </c>
      <c r="E735" s="7">
        <v>0</v>
      </c>
      <c r="F735" s="7">
        <v>0</v>
      </c>
      <c r="G735" s="7">
        <v>0</v>
      </c>
      <c r="H735" s="7">
        <v>0</v>
      </c>
      <c r="I735" s="7">
        <v>0</v>
      </c>
      <c r="J735" s="7">
        <v>0</v>
      </c>
      <c r="K735" s="7">
        <v>0</v>
      </c>
      <c r="L735" s="7">
        <v>0</v>
      </c>
      <c r="M735" s="7">
        <v>0</v>
      </c>
      <c r="N735" s="7">
        <v>0</v>
      </c>
      <c r="O735" s="7">
        <v>0</v>
      </c>
      <c r="P735" s="7">
        <v>0</v>
      </c>
      <c r="Q735" s="7">
        <v>0</v>
      </c>
    </row>
    <row r="736" spans="1:17">
      <c r="A736" s="2">
        <v>2684</v>
      </c>
      <c r="B736" s="7">
        <v>0</v>
      </c>
      <c r="C736" s="7">
        <v>0</v>
      </c>
      <c r="D736" s="7">
        <v>0</v>
      </c>
      <c r="E736" s="7">
        <v>0</v>
      </c>
      <c r="F736" s="7">
        <v>0</v>
      </c>
      <c r="G736" s="7">
        <v>0</v>
      </c>
      <c r="H736" s="7">
        <v>0</v>
      </c>
      <c r="I736" s="7">
        <v>0</v>
      </c>
      <c r="J736" s="7">
        <v>0</v>
      </c>
      <c r="K736" s="7">
        <v>0</v>
      </c>
      <c r="L736" s="7">
        <v>0</v>
      </c>
      <c r="M736" s="7">
        <v>0</v>
      </c>
      <c r="N736" s="7">
        <v>0</v>
      </c>
      <c r="O736" s="7">
        <v>0</v>
      </c>
      <c r="P736" s="7">
        <v>0</v>
      </c>
      <c r="Q736" s="7">
        <v>0</v>
      </c>
    </row>
    <row r="737" spans="1:17">
      <c r="A737" s="2">
        <v>2685</v>
      </c>
      <c r="B737" s="7">
        <v>0</v>
      </c>
      <c r="C737" s="7">
        <v>0</v>
      </c>
      <c r="D737" s="7">
        <v>0</v>
      </c>
      <c r="E737" s="7">
        <v>0</v>
      </c>
      <c r="F737" s="7">
        <v>0</v>
      </c>
      <c r="G737" s="7">
        <v>0</v>
      </c>
      <c r="H737" s="7">
        <v>0</v>
      </c>
      <c r="I737" s="7">
        <v>0</v>
      </c>
      <c r="J737" s="7">
        <v>0</v>
      </c>
      <c r="K737" s="7">
        <v>0</v>
      </c>
      <c r="L737" s="7">
        <v>0</v>
      </c>
      <c r="M737" s="7">
        <v>0</v>
      </c>
      <c r="N737" s="7">
        <v>0</v>
      </c>
      <c r="O737" s="7">
        <v>0</v>
      </c>
      <c r="P737" s="7">
        <v>0</v>
      </c>
      <c r="Q737" s="7">
        <v>0</v>
      </c>
    </row>
    <row r="738" spans="1:17">
      <c r="A738" s="2">
        <v>2686</v>
      </c>
      <c r="B738" s="7">
        <v>0</v>
      </c>
      <c r="C738" s="7">
        <v>0</v>
      </c>
      <c r="D738" s="7">
        <v>0</v>
      </c>
      <c r="E738" s="7">
        <v>0</v>
      </c>
      <c r="F738" s="7">
        <v>0</v>
      </c>
      <c r="G738" s="7">
        <v>0</v>
      </c>
      <c r="H738" s="7">
        <v>0</v>
      </c>
      <c r="I738" s="7">
        <v>0</v>
      </c>
      <c r="J738" s="7">
        <v>0</v>
      </c>
      <c r="K738" s="7">
        <v>0</v>
      </c>
      <c r="L738" s="7">
        <v>0</v>
      </c>
      <c r="M738" s="7">
        <v>0</v>
      </c>
      <c r="N738" s="7">
        <v>0</v>
      </c>
      <c r="O738" s="7">
        <v>0</v>
      </c>
      <c r="P738" s="7">
        <v>0</v>
      </c>
      <c r="Q738" s="7">
        <v>0</v>
      </c>
    </row>
    <row r="739" spans="1:17">
      <c r="A739" s="2">
        <v>2687</v>
      </c>
      <c r="B739" s="7">
        <v>0</v>
      </c>
      <c r="C739" s="7">
        <v>0</v>
      </c>
      <c r="D739" s="7">
        <v>0</v>
      </c>
      <c r="E739" s="7">
        <v>0</v>
      </c>
      <c r="F739" s="7">
        <v>0</v>
      </c>
      <c r="G739" s="7">
        <v>0</v>
      </c>
      <c r="H739" s="7">
        <v>0</v>
      </c>
      <c r="I739" s="7">
        <v>0</v>
      </c>
      <c r="J739" s="7">
        <v>0</v>
      </c>
      <c r="K739" s="7">
        <v>0</v>
      </c>
      <c r="L739" s="7">
        <v>0</v>
      </c>
      <c r="M739" s="7">
        <v>0</v>
      </c>
      <c r="N739" s="7">
        <v>0</v>
      </c>
      <c r="O739" s="7">
        <v>0</v>
      </c>
      <c r="P739" s="7">
        <v>0</v>
      </c>
      <c r="Q739" s="7">
        <v>0</v>
      </c>
    </row>
    <row r="740" spans="1:17">
      <c r="A740" s="2">
        <v>2688</v>
      </c>
      <c r="B740" s="7">
        <v>0</v>
      </c>
      <c r="C740" s="7">
        <v>0</v>
      </c>
      <c r="D740" s="7">
        <v>0</v>
      </c>
      <c r="E740" s="7">
        <v>0</v>
      </c>
      <c r="F740" s="7">
        <v>0</v>
      </c>
      <c r="G740" s="7">
        <v>0</v>
      </c>
      <c r="H740" s="7">
        <v>0</v>
      </c>
      <c r="I740" s="7">
        <v>0</v>
      </c>
      <c r="J740" s="7">
        <v>0</v>
      </c>
      <c r="K740" s="7">
        <v>0</v>
      </c>
      <c r="L740" s="7">
        <v>0</v>
      </c>
      <c r="M740" s="7">
        <v>0</v>
      </c>
      <c r="N740" s="7">
        <v>0</v>
      </c>
      <c r="O740" s="7">
        <v>0</v>
      </c>
      <c r="P740" s="7">
        <v>0</v>
      </c>
      <c r="Q740" s="7">
        <v>0</v>
      </c>
    </row>
    <row r="741" spans="1:17">
      <c r="A741" s="2">
        <v>2689</v>
      </c>
      <c r="B741" s="7">
        <v>0</v>
      </c>
      <c r="C741" s="7">
        <v>0</v>
      </c>
      <c r="D741" s="7">
        <v>0</v>
      </c>
      <c r="E741" s="7">
        <v>0</v>
      </c>
      <c r="F741" s="7">
        <v>0</v>
      </c>
      <c r="G741" s="7">
        <v>0</v>
      </c>
      <c r="H741" s="7">
        <v>0</v>
      </c>
      <c r="I741" s="7">
        <v>0</v>
      </c>
      <c r="J741" s="7">
        <v>0</v>
      </c>
      <c r="K741" s="7">
        <v>0</v>
      </c>
      <c r="L741" s="7">
        <v>0</v>
      </c>
      <c r="M741" s="7">
        <v>0</v>
      </c>
      <c r="N741" s="7">
        <v>0</v>
      </c>
      <c r="O741" s="7">
        <v>0</v>
      </c>
      <c r="P741" s="7">
        <v>0</v>
      </c>
      <c r="Q741" s="7">
        <v>0</v>
      </c>
    </row>
    <row r="742" spans="1:17">
      <c r="A742" s="2">
        <v>2690</v>
      </c>
      <c r="B742" s="7">
        <v>0</v>
      </c>
      <c r="C742" s="7">
        <v>0</v>
      </c>
      <c r="D742" s="7">
        <v>0</v>
      </c>
      <c r="E742" s="7">
        <v>0</v>
      </c>
      <c r="F742" s="7">
        <v>0</v>
      </c>
      <c r="G742" s="7">
        <v>0</v>
      </c>
      <c r="H742" s="7">
        <v>0</v>
      </c>
      <c r="I742" s="7">
        <v>0</v>
      </c>
      <c r="J742" s="7">
        <v>0</v>
      </c>
      <c r="K742" s="7">
        <v>0</v>
      </c>
      <c r="L742" s="7">
        <v>0</v>
      </c>
      <c r="M742" s="7">
        <v>0</v>
      </c>
      <c r="N742" s="7">
        <v>0</v>
      </c>
      <c r="O742" s="7">
        <v>0</v>
      </c>
      <c r="P742" s="7">
        <v>0</v>
      </c>
      <c r="Q742" s="7">
        <v>0</v>
      </c>
    </row>
    <row r="743" spans="1:17">
      <c r="A743" s="2">
        <v>2691</v>
      </c>
      <c r="B743" s="7">
        <v>0</v>
      </c>
      <c r="C743" s="7">
        <v>0</v>
      </c>
      <c r="D743" s="7">
        <v>0</v>
      </c>
      <c r="E743" s="7">
        <v>0</v>
      </c>
      <c r="F743" s="7">
        <v>0</v>
      </c>
      <c r="G743" s="7">
        <v>0</v>
      </c>
      <c r="H743" s="7">
        <v>0</v>
      </c>
      <c r="I743" s="7">
        <v>0</v>
      </c>
      <c r="J743" s="7">
        <v>0</v>
      </c>
      <c r="K743" s="7">
        <v>0</v>
      </c>
      <c r="L743" s="7">
        <v>0</v>
      </c>
      <c r="M743" s="7">
        <v>0</v>
      </c>
      <c r="N743" s="7">
        <v>0</v>
      </c>
      <c r="O743" s="7">
        <v>0</v>
      </c>
      <c r="P743" s="7">
        <v>0</v>
      </c>
      <c r="Q743" s="7">
        <v>0</v>
      </c>
    </row>
    <row r="744" spans="1:17">
      <c r="A744" s="2">
        <v>2692</v>
      </c>
      <c r="B744" s="7">
        <v>0</v>
      </c>
      <c r="C744" s="7">
        <v>0</v>
      </c>
      <c r="D744" s="7">
        <v>0</v>
      </c>
      <c r="E744" s="7">
        <v>0</v>
      </c>
      <c r="F744" s="7">
        <v>0</v>
      </c>
      <c r="G744" s="7">
        <v>0</v>
      </c>
      <c r="H744" s="7">
        <v>0</v>
      </c>
      <c r="I744" s="7">
        <v>0</v>
      </c>
      <c r="J744" s="7">
        <v>0</v>
      </c>
      <c r="K744" s="7">
        <v>0</v>
      </c>
      <c r="L744" s="7">
        <v>0</v>
      </c>
      <c r="M744" s="7">
        <v>0</v>
      </c>
      <c r="N744" s="7">
        <v>0</v>
      </c>
      <c r="O744" s="7">
        <v>0</v>
      </c>
      <c r="P744" s="7">
        <v>0</v>
      </c>
      <c r="Q744" s="7">
        <v>0</v>
      </c>
    </row>
    <row r="745" spans="1:17">
      <c r="A745" s="2">
        <v>2693</v>
      </c>
      <c r="B745" s="7">
        <v>0</v>
      </c>
      <c r="C745" s="7">
        <v>0</v>
      </c>
      <c r="D745" s="7">
        <v>0</v>
      </c>
      <c r="E745" s="7">
        <v>0</v>
      </c>
      <c r="F745" s="7">
        <v>0</v>
      </c>
      <c r="G745" s="7">
        <v>0</v>
      </c>
      <c r="H745" s="7">
        <v>0</v>
      </c>
      <c r="I745" s="7">
        <v>0</v>
      </c>
      <c r="J745" s="7">
        <v>0</v>
      </c>
      <c r="K745" s="7">
        <v>0</v>
      </c>
      <c r="L745" s="7">
        <v>0</v>
      </c>
      <c r="M745" s="7">
        <v>0</v>
      </c>
      <c r="N745" s="7">
        <v>0</v>
      </c>
      <c r="O745" s="7">
        <v>0</v>
      </c>
      <c r="P745" s="7">
        <v>0</v>
      </c>
      <c r="Q745" s="7">
        <v>0</v>
      </c>
    </row>
    <row r="746" spans="1:17">
      <c r="A746" s="2">
        <v>2694</v>
      </c>
      <c r="B746" s="7">
        <v>0</v>
      </c>
      <c r="C746" s="7">
        <v>0</v>
      </c>
      <c r="D746" s="7">
        <v>0</v>
      </c>
      <c r="E746" s="7">
        <v>0</v>
      </c>
      <c r="F746" s="7">
        <v>0</v>
      </c>
      <c r="G746" s="7">
        <v>0</v>
      </c>
      <c r="H746" s="7">
        <v>0</v>
      </c>
      <c r="I746" s="7">
        <v>0</v>
      </c>
      <c r="J746" s="7">
        <v>0</v>
      </c>
      <c r="K746" s="7">
        <v>0</v>
      </c>
      <c r="L746" s="7">
        <v>0</v>
      </c>
      <c r="M746" s="7">
        <v>0</v>
      </c>
      <c r="N746" s="7">
        <v>0</v>
      </c>
      <c r="O746" s="7">
        <v>0</v>
      </c>
      <c r="P746" s="7">
        <v>0</v>
      </c>
      <c r="Q746" s="7">
        <v>0</v>
      </c>
    </row>
    <row r="747" spans="1:17">
      <c r="A747" s="2">
        <v>2695</v>
      </c>
      <c r="B747" s="7">
        <v>0</v>
      </c>
      <c r="C747" s="7">
        <v>0</v>
      </c>
      <c r="D747" s="7">
        <v>0</v>
      </c>
      <c r="E747" s="7">
        <v>0</v>
      </c>
      <c r="F747" s="7">
        <v>0</v>
      </c>
      <c r="G747" s="7">
        <v>0</v>
      </c>
      <c r="H747" s="7">
        <v>0</v>
      </c>
      <c r="I747" s="7">
        <v>0</v>
      </c>
      <c r="J747" s="7">
        <v>0</v>
      </c>
      <c r="K747" s="7">
        <v>0</v>
      </c>
      <c r="L747" s="7">
        <v>0</v>
      </c>
      <c r="M747" s="7">
        <v>0</v>
      </c>
      <c r="N747" s="7">
        <v>0</v>
      </c>
      <c r="O747" s="7">
        <v>0</v>
      </c>
      <c r="P747" s="7">
        <v>0</v>
      </c>
      <c r="Q747" s="7">
        <v>0</v>
      </c>
    </row>
    <row r="748" spans="1:17">
      <c r="A748" s="2">
        <v>2696</v>
      </c>
      <c r="B748" s="7">
        <v>0</v>
      </c>
      <c r="C748" s="7">
        <v>0</v>
      </c>
      <c r="D748" s="7">
        <v>0</v>
      </c>
      <c r="E748" s="7">
        <v>0</v>
      </c>
      <c r="F748" s="7">
        <v>0</v>
      </c>
      <c r="G748" s="7">
        <v>0</v>
      </c>
      <c r="H748" s="7">
        <v>0</v>
      </c>
      <c r="I748" s="7">
        <v>0</v>
      </c>
      <c r="J748" s="7">
        <v>0</v>
      </c>
      <c r="K748" s="7">
        <v>0</v>
      </c>
      <c r="L748" s="7">
        <v>0</v>
      </c>
      <c r="M748" s="7">
        <v>0</v>
      </c>
      <c r="N748" s="7">
        <v>0</v>
      </c>
      <c r="O748" s="7">
        <v>0</v>
      </c>
      <c r="P748" s="7">
        <v>0</v>
      </c>
      <c r="Q748" s="7">
        <v>0</v>
      </c>
    </row>
    <row r="749" spans="1:17">
      <c r="A749" s="2">
        <v>2697</v>
      </c>
      <c r="B749" s="7">
        <v>0</v>
      </c>
      <c r="C749" s="7">
        <v>0</v>
      </c>
      <c r="D749" s="7">
        <v>0</v>
      </c>
      <c r="E749" s="7">
        <v>0</v>
      </c>
      <c r="F749" s="7">
        <v>0</v>
      </c>
      <c r="G749" s="7">
        <v>0</v>
      </c>
      <c r="H749" s="7">
        <v>0</v>
      </c>
      <c r="I749" s="7">
        <v>0</v>
      </c>
      <c r="J749" s="7">
        <v>0</v>
      </c>
      <c r="K749" s="7">
        <v>0</v>
      </c>
      <c r="L749" s="7">
        <v>0</v>
      </c>
      <c r="M749" s="7">
        <v>0</v>
      </c>
      <c r="N749" s="7">
        <v>0</v>
      </c>
      <c r="O749" s="7">
        <v>0</v>
      </c>
      <c r="P749" s="7">
        <v>0</v>
      </c>
      <c r="Q749" s="7">
        <v>0</v>
      </c>
    </row>
    <row r="750" spans="1:17">
      <c r="A750" s="2">
        <v>2698</v>
      </c>
      <c r="B750" s="7">
        <v>0</v>
      </c>
      <c r="C750" s="7">
        <v>0</v>
      </c>
      <c r="D750" s="7">
        <v>0</v>
      </c>
      <c r="E750" s="7">
        <v>0</v>
      </c>
      <c r="F750" s="7">
        <v>0</v>
      </c>
      <c r="G750" s="7">
        <v>0</v>
      </c>
      <c r="H750" s="7">
        <v>0</v>
      </c>
      <c r="I750" s="7">
        <v>0</v>
      </c>
      <c r="J750" s="7">
        <v>0</v>
      </c>
      <c r="K750" s="7">
        <v>0</v>
      </c>
      <c r="L750" s="7">
        <v>0</v>
      </c>
      <c r="M750" s="7">
        <v>0</v>
      </c>
      <c r="N750" s="7">
        <v>0</v>
      </c>
      <c r="O750" s="7">
        <v>0</v>
      </c>
      <c r="P750" s="7">
        <v>0</v>
      </c>
      <c r="Q750" s="7">
        <v>0</v>
      </c>
    </row>
    <row r="751" spans="1:17">
      <c r="A751" s="2">
        <v>2699</v>
      </c>
      <c r="B751" s="7">
        <v>0</v>
      </c>
      <c r="C751" s="7">
        <v>0</v>
      </c>
      <c r="D751" s="7">
        <v>0</v>
      </c>
      <c r="E751" s="7">
        <v>0</v>
      </c>
      <c r="F751" s="7">
        <v>0</v>
      </c>
      <c r="G751" s="7">
        <v>0</v>
      </c>
      <c r="H751" s="7">
        <v>0</v>
      </c>
      <c r="I751" s="7">
        <v>0</v>
      </c>
      <c r="J751" s="7">
        <v>0</v>
      </c>
      <c r="K751" s="7">
        <v>0</v>
      </c>
      <c r="L751" s="7">
        <v>0</v>
      </c>
      <c r="M751" s="7">
        <v>0</v>
      </c>
      <c r="N751" s="7">
        <v>0</v>
      </c>
      <c r="O751" s="7">
        <v>0</v>
      </c>
      <c r="P751" s="7">
        <v>0</v>
      </c>
      <c r="Q751" s="7">
        <v>0</v>
      </c>
    </row>
    <row r="752" spans="1:17">
      <c r="A752" s="2">
        <v>2700</v>
      </c>
      <c r="B752" s="7">
        <v>0</v>
      </c>
      <c r="C752" s="7">
        <v>0</v>
      </c>
      <c r="D752" s="7">
        <v>0</v>
      </c>
      <c r="E752" s="7">
        <v>0</v>
      </c>
      <c r="F752" s="7">
        <v>0</v>
      </c>
      <c r="G752" s="7">
        <v>0</v>
      </c>
      <c r="H752" s="7">
        <v>0</v>
      </c>
      <c r="I752" s="7">
        <v>0</v>
      </c>
      <c r="J752" s="7">
        <v>0</v>
      </c>
      <c r="K752" s="7">
        <v>0</v>
      </c>
      <c r="L752" s="7">
        <v>0</v>
      </c>
      <c r="M752" s="7">
        <v>0</v>
      </c>
      <c r="N752" s="7">
        <v>0</v>
      </c>
      <c r="O752" s="7">
        <v>0</v>
      </c>
      <c r="P752" s="7">
        <v>0</v>
      </c>
      <c r="Q752" s="7">
        <v>0</v>
      </c>
    </row>
    <row r="753" spans="1:17">
      <c r="A753" s="2">
        <v>2701</v>
      </c>
      <c r="B753" s="7">
        <v>0</v>
      </c>
      <c r="C753" s="7">
        <v>0</v>
      </c>
      <c r="D753" s="7">
        <v>0</v>
      </c>
      <c r="E753" s="7">
        <v>0</v>
      </c>
      <c r="F753" s="7">
        <v>0</v>
      </c>
      <c r="G753" s="7">
        <v>0</v>
      </c>
      <c r="H753" s="7">
        <v>0</v>
      </c>
      <c r="I753" s="7">
        <v>0</v>
      </c>
      <c r="J753" s="7">
        <v>0</v>
      </c>
      <c r="K753" s="7">
        <v>0</v>
      </c>
      <c r="L753" s="7">
        <v>0</v>
      </c>
      <c r="M753" s="7">
        <v>0</v>
      </c>
      <c r="N753" s="7">
        <v>0</v>
      </c>
      <c r="O753" s="7">
        <v>0</v>
      </c>
      <c r="P753" s="7">
        <v>0</v>
      </c>
      <c r="Q753" s="7">
        <v>0</v>
      </c>
    </row>
    <row r="754" spans="1:17">
      <c r="A754" s="2">
        <v>2702</v>
      </c>
      <c r="B754" s="7">
        <v>0</v>
      </c>
      <c r="C754" s="7">
        <v>0</v>
      </c>
      <c r="D754" s="7">
        <v>0</v>
      </c>
      <c r="E754" s="7">
        <v>0</v>
      </c>
      <c r="F754" s="7">
        <v>0</v>
      </c>
      <c r="G754" s="7">
        <v>0</v>
      </c>
      <c r="H754" s="7">
        <v>0</v>
      </c>
      <c r="I754" s="7">
        <v>0</v>
      </c>
      <c r="J754" s="7">
        <v>0</v>
      </c>
      <c r="K754" s="7">
        <v>0</v>
      </c>
      <c r="L754" s="7">
        <v>0</v>
      </c>
      <c r="M754" s="7">
        <v>0</v>
      </c>
      <c r="N754" s="7">
        <v>0</v>
      </c>
      <c r="O754" s="7">
        <v>0</v>
      </c>
      <c r="P754" s="7">
        <v>0</v>
      </c>
      <c r="Q754" s="7">
        <v>0</v>
      </c>
    </row>
    <row r="755" spans="1:17">
      <c r="A755" s="2">
        <v>2703</v>
      </c>
      <c r="B755" s="7">
        <v>0</v>
      </c>
      <c r="C755" s="7">
        <v>0</v>
      </c>
      <c r="D755" s="7">
        <v>0</v>
      </c>
      <c r="E755" s="7">
        <v>0</v>
      </c>
      <c r="F755" s="7">
        <v>0</v>
      </c>
      <c r="G755" s="7">
        <v>0</v>
      </c>
      <c r="H755" s="7">
        <v>0</v>
      </c>
      <c r="I755" s="7">
        <v>0</v>
      </c>
      <c r="J755" s="7">
        <v>0</v>
      </c>
      <c r="K755" s="7">
        <v>0</v>
      </c>
      <c r="L755" s="7">
        <v>0</v>
      </c>
      <c r="M755" s="7">
        <v>0</v>
      </c>
      <c r="N755" s="7">
        <v>0</v>
      </c>
      <c r="O755" s="7">
        <v>0</v>
      </c>
      <c r="P755" s="7">
        <v>0</v>
      </c>
      <c r="Q755" s="7">
        <v>0</v>
      </c>
    </row>
    <row r="756" spans="1:17">
      <c r="A756" s="2">
        <v>2704</v>
      </c>
      <c r="B756" s="7">
        <v>0</v>
      </c>
      <c r="C756" s="7">
        <v>0</v>
      </c>
      <c r="D756" s="7">
        <v>0</v>
      </c>
      <c r="E756" s="7">
        <v>0</v>
      </c>
      <c r="F756" s="7">
        <v>0</v>
      </c>
      <c r="G756" s="7">
        <v>0</v>
      </c>
      <c r="H756" s="7">
        <v>0</v>
      </c>
      <c r="I756" s="7">
        <v>0</v>
      </c>
      <c r="J756" s="7">
        <v>0</v>
      </c>
      <c r="K756" s="7">
        <v>0</v>
      </c>
      <c r="L756" s="7">
        <v>0</v>
      </c>
      <c r="M756" s="7">
        <v>0</v>
      </c>
      <c r="N756" s="7">
        <v>0</v>
      </c>
      <c r="O756" s="7">
        <v>0</v>
      </c>
      <c r="P756" s="7">
        <v>0</v>
      </c>
      <c r="Q756" s="7">
        <v>0</v>
      </c>
    </row>
    <row r="757" spans="1:17">
      <c r="A757" s="2">
        <v>2705</v>
      </c>
      <c r="B757" s="7">
        <v>0</v>
      </c>
      <c r="C757" s="7">
        <v>0</v>
      </c>
      <c r="D757" s="7">
        <v>0</v>
      </c>
      <c r="E757" s="7">
        <v>0</v>
      </c>
      <c r="F757" s="7">
        <v>0</v>
      </c>
      <c r="G757" s="7">
        <v>0</v>
      </c>
      <c r="H757" s="7">
        <v>0</v>
      </c>
      <c r="I757" s="7">
        <v>0</v>
      </c>
      <c r="J757" s="7">
        <v>0</v>
      </c>
      <c r="K757" s="7">
        <v>0</v>
      </c>
      <c r="L757" s="7">
        <v>0</v>
      </c>
      <c r="M757" s="7">
        <v>0</v>
      </c>
      <c r="N757" s="7">
        <v>0</v>
      </c>
      <c r="O757" s="7">
        <v>0</v>
      </c>
      <c r="P757" s="7">
        <v>0</v>
      </c>
      <c r="Q757" s="7">
        <v>0</v>
      </c>
    </row>
    <row r="758" spans="1:17">
      <c r="A758" s="2">
        <v>2706</v>
      </c>
      <c r="B758" s="7">
        <v>0</v>
      </c>
      <c r="C758" s="7">
        <v>0</v>
      </c>
      <c r="D758" s="7">
        <v>0</v>
      </c>
      <c r="E758" s="7">
        <v>0</v>
      </c>
      <c r="F758" s="7">
        <v>0</v>
      </c>
      <c r="G758" s="7">
        <v>0</v>
      </c>
      <c r="H758" s="7">
        <v>0</v>
      </c>
      <c r="I758" s="7">
        <v>0</v>
      </c>
      <c r="J758" s="7">
        <v>0</v>
      </c>
      <c r="K758" s="7">
        <v>0</v>
      </c>
      <c r="L758" s="7">
        <v>0</v>
      </c>
      <c r="M758" s="7">
        <v>0</v>
      </c>
      <c r="N758" s="7">
        <v>0</v>
      </c>
      <c r="O758" s="7">
        <v>0</v>
      </c>
      <c r="P758" s="7">
        <v>0</v>
      </c>
      <c r="Q758" s="7">
        <v>0</v>
      </c>
    </row>
    <row r="759" spans="1:17">
      <c r="A759" s="2">
        <v>2707</v>
      </c>
      <c r="B759" s="7">
        <v>0</v>
      </c>
      <c r="C759" s="7">
        <v>0</v>
      </c>
      <c r="D759" s="7">
        <v>0</v>
      </c>
      <c r="E759" s="7">
        <v>0</v>
      </c>
      <c r="F759" s="7">
        <v>0</v>
      </c>
      <c r="G759" s="7">
        <v>0</v>
      </c>
      <c r="H759" s="7">
        <v>0</v>
      </c>
      <c r="I759" s="7">
        <v>0</v>
      </c>
      <c r="J759" s="7">
        <v>0</v>
      </c>
      <c r="K759" s="7">
        <v>0</v>
      </c>
      <c r="L759" s="7">
        <v>0</v>
      </c>
      <c r="M759" s="7">
        <v>0</v>
      </c>
      <c r="N759" s="7">
        <v>0</v>
      </c>
      <c r="O759" s="7">
        <v>0</v>
      </c>
      <c r="P759" s="7">
        <v>0</v>
      </c>
      <c r="Q759" s="7">
        <v>0</v>
      </c>
    </row>
    <row r="760" spans="1:17">
      <c r="A760" s="2">
        <v>2708</v>
      </c>
      <c r="B760" s="7">
        <v>0</v>
      </c>
      <c r="C760" s="7">
        <v>0</v>
      </c>
      <c r="D760" s="7">
        <v>0</v>
      </c>
      <c r="E760" s="7">
        <v>0</v>
      </c>
      <c r="F760" s="7">
        <v>0</v>
      </c>
      <c r="G760" s="7">
        <v>0</v>
      </c>
      <c r="H760" s="7">
        <v>0</v>
      </c>
      <c r="I760" s="7">
        <v>0</v>
      </c>
      <c r="J760" s="7">
        <v>0</v>
      </c>
      <c r="K760" s="7">
        <v>0</v>
      </c>
      <c r="L760" s="7">
        <v>0</v>
      </c>
      <c r="M760" s="7">
        <v>0</v>
      </c>
      <c r="N760" s="7">
        <v>0</v>
      </c>
      <c r="O760" s="7">
        <v>0</v>
      </c>
      <c r="P760" s="7">
        <v>0</v>
      </c>
      <c r="Q760" s="7">
        <v>0</v>
      </c>
    </row>
    <row r="761" spans="1:17">
      <c r="A761" s="2">
        <v>2709</v>
      </c>
      <c r="B761" s="7">
        <v>0</v>
      </c>
      <c r="C761" s="7">
        <v>0</v>
      </c>
      <c r="D761" s="7">
        <v>0</v>
      </c>
      <c r="E761" s="7">
        <v>0</v>
      </c>
      <c r="F761" s="7">
        <v>0</v>
      </c>
      <c r="G761" s="7">
        <v>0</v>
      </c>
      <c r="H761" s="7">
        <v>0</v>
      </c>
      <c r="I761" s="7">
        <v>0</v>
      </c>
      <c r="J761" s="7">
        <v>0</v>
      </c>
      <c r="K761" s="7">
        <v>0</v>
      </c>
      <c r="L761" s="7">
        <v>0</v>
      </c>
      <c r="M761" s="7">
        <v>0</v>
      </c>
      <c r="N761" s="7">
        <v>0</v>
      </c>
      <c r="O761" s="7">
        <v>0</v>
      </c>
      <c r="P761" s="7">
        <v>0</v>
      </c>
      <c r="Q761" s="7">
        <v>0</v>
      </c>
    </row>
    <row r="762" spans="1:17">
      <c r="A762" s="2">
        <v>2710</v>
      </c>
      <c r="B762" s="7">
        <v>0</v>
      </c>
      <c r="C762" s="7">
        <v>0</v>
      </c>
      <c r="D762" s="7">
        <v>0</v>
      </c>
      <c r="E762" s="7">
        <v>0</v>
      </c>
      <c r="F762" s="7">
        <v>0</v>
      </c>
      <c r="G762" s="7">
        <v>0</v>
      </c>
      <c r="H762" s="7">
        <v>0</v>
      </c>
      <c r="I762" s="7">
        <v>0</v>
      </c>
      <c r="J762" s="7">
        <v>0</v>
      </c>
      <c r="K762" s="7">
        <v>0</v>
      </c>
      <c r="L762" s="7">
        <v>0</v>
      </c>
      <c r="M762" s="7">
        <v>0</v>
      </c>
      <c r="N762" s="7">
        <v>0</v>
      </c>
      <c r="O762" s="7">
        <v>0</v>
      </c>
      <c r="P762" s="7">
        <v>0</v>
      </c>
      <c r="Q762" s="7">
        <v>0</v>
      </c>
    </row>
    <row r="763" spans="1:17">
      <c r="A763" s="2">
        <v>2711</v>
      </c>
      <c r="B763" s="7">
        <v>0</v>
      </c>
      <c r="C763" s="7">
        <v>0</v>
      </c>
      <c r="D763" s="7">
        <v>0</v>
      </c>
      <c r="E763" s="7">
        <v>0</v>
      </c>
      <c r="F763" s="7">
        <v>0</v>
      </c>
      <c r="G763" s="7">
        <v>0</v>
      </c>
      <c r="H763" s="7">
        <v>0</v>
      </c>
      <c r="I763" s="7">
        <v>0</v>
      </c>
      <c r="J763" s="7">
        <v>0</v>
      </c>
      <c r="K763" s="7">
        <v>0</v>
      </c>
      <c r="L763" s="7">
        <v>0</v>
      </c>
      <c r="M763" s="7">
        <v>0</v>
      </c>
      <c r="N763" s="7">
        <v>0</v>
      </c>
      <c r="O763" s="7">
        <v>0</v>
      </c>
      <c r="P763" s="7">
        <v>0</v>
      </c>
      <c r="Q763" s="7">
        <v>0</v>
      </c>
    </row>
    <row r="764" spans="1:17">
      <c r="A764" s="2">
        <v>2712</v>
      </c>
      <c r="B764" s="7">
        <v>0</v>
      </c>
      <c r="C764" s="7">
        <v>0</v>
      </c>
      <c r="D764" s="7">
        <v>0</v>
      </c>
      <c r="E764" s="7">
        <v>0</v>
      </c>
      <c r="F764" s="7">
        <v>0</v>
      </c>
      <c r="G764" s="7">
        <v>0</v>
      </c>
      <c r="H764" s="7">
        <v>0</v>
      </c>
      <c r="I764" s="7">
        <v>0</v>
      </c>
      <c r="J764" s="7">
        <v>0</v>
      </c>
      <c r="K764" s="7">
        <v>0</v>
      </c>
      <c r="L764" s="7">
        <v>0</v>
      </c>
      <c r="M764" s="7">
        <v>0</v>
      </c>
      <c r="N764" s="7">
        <v>0</v>
      </c>
      <c r="O764" s="7">
        <v>0</v>
      </c>
      <c r="P764" s="7">
        <v>0</v>
      </c>
      <c r="Q764" s="7">
        <v>0</v>
      </c>
    </row>
    <row r="765" spans="1:17">
      <c r="A765" s="2">
        <v>2713</v>
      </c>
      <c r="B765" s="7">
        <v>0</v>
      </c>
      <c r="C765" s="7">
        <v>0</v>
      </c>
      <c r="D765" s="7">
        <v>0</v>
      </c>
      <c r="E765" s="7">
        <v>0</v>
      </c>
      <c r="F765" s="7">
        <v>0</v>
      </c>
      <c r="G765" s="7">
        <v>0</v>
      </c>
      <c r="H765" s="7">
        <v>0</v>
      </c>
      <c r="I765" s="7">
        <v>0</v>
      </c>
      <c r="J765" s="7">
        <v>0</v>
      </c>
      <c r="K765" s="7">
        <v>0</v>
      </c>
      <c r="L765" s="7">
        <v>0</v>
      </c>
      <c r="M765" s="7">
        <v>0</v>
      </c>
      <c r="N765" s="7">
        <v>0</v>
      </c>
      <c r="O765" s="7">
        <v>0</v>
      </c>
      <c r="P765" s="7">
        <v>0</v>
      </c>
      <c r="Q765" s="7">
        <v>0</v>
      </c>
    </row>
    <row r="766" spans="1:17">
      <c r="A766" s="2">
        <v>2714</v>
      </c>
      <c r="B766" s="7">
        <v>0</v>
      </c>
      <c r="C766" s="7">
        <v>0</v>
      </c>
      <c r="D766" s="7">
        <v>0</v>
      </c>
      <c r="E766" s="7">
        <v>0</v>
      </c>
      <c r="F766" s="7">
        <v>0</v>
      </c>
      <c r="G766" s="7">
        <v>0</v>
      </c>
      <c r="H766" s="7">
        <v>0</v>
      </c>
      <c r="I766" s="7">
        <v>0</v>
      </c>
      <c r="J766" s="7">
        <v>0</v>
      </c>
      <c r="K766" s="7">
        <v>0</v>
      </c>
      <c r="L766" s="7">
        <v>0</v>
      </c>
      <c r="M766" s="7">
        <v>0</v>
      </c>
      <c r="N766" s="7">
        <v>0</v>
      </c>
      <c r="O766" s="7">
        <v>0</v>
      </c>
      <c r="P766" s="7">
        <v>0</v>
      </c>
      <c r="Q766" s="7">
        <v>0</v>
      </c>
    </row>
    <row r="767" spans="1:17">
      <c r="A767" s="2">
        <v>2715</v>
      </c>
      <c r="B767" s="7">
        <v>0</v>
      </c>
      <c r="C767" s="7">
        <v>0</v>
      </c>
      <c r="D767" s="7">
        <v>0</v>
      </c>
      <c r="E767" s="7">
        <v>0</v>
      </c>
      <c r="F767" s="7">
        <v>0</v>
      </c>
      <c r="G767" s="7">
        <v>0</v>
      </c>
      <c r="H767" s="7">
        <v>0</v>
      </c>
      <c r="I767" s="7">
        <v>0</v>
      </c>
      <c r="J767" s="7">
        <v>0</v>
      </c>
      <c r="K767" s="7">
        <v>0</v>
      </c>
      <c r="L767" s="7">
        <v>0</v>
      </c>
      <c r="M767" s="7">
        <v>0</v>
      </c>
      <c r="N767" s="7">
        <v>0</v>
      </c>
      <c r="O767" s="7">
        <v>0</v>
      </c>
      <c r="P767" s="7">
        <v>0</v>
      </c>
      <c r="Q767" s="7">
        <v>0</v>
      </c>
    </row>
    <row r="768" spans="1:17">
      <c r="A768" s="2">
        <v>2716</v>
      </c>
      <c r="B768" s="7">
        <v>0</v>
      </c>
      <c r="C768" s="7">
        <v>0</v>
      </c>
      <c r="D768" s="7">
        <v>0</v>
      </c>
      <c r="E768" s="7">
        <v>0</v>
      </c>
      <c r="F768" s="7">
        <v>0</v>
      </c>
      <c r="G768" s="7">
        <v>0</v>
      </c>
      <c r="H768" s="7">
        <v>0</v>
      </c>
      <c r="I768" s="7">
        <v>0</v>
      </c>
      <c r="J768" s="7">
        <v>0</v>
      </c>
      <c r="K768" s="7">
        <v>0</v>
      </c>
      <c r="L768" s="7">
        <v>0</v>
      </c>
      <c r="M768" s="7">
        <v>0</v>
      </c>
      <c r="N768" s="7">
        <v>0</v>
      </c>
      <c r="O768" s="7">
        <v>0</v>
      </c>
      <c r="P768" s="7">
        <v>0</v>
      </c>
      <c r="Q768" s="7">
        <v>0</v>
      </c>
    </row>
    <row r="769" spans="1:17">
      <c r="A769" s="2">
        <v>2717</v>
      </c>
      <c r="B769" s="7">
        <v>0</v>
      </c>
      <c r="C769" s="7">
        <v>0</v>
      </c>
      <c r="D769" s="7">
        <v>0</v>
      </c>
      <c r="E769" s="7">
        <v>0</v>
      </c>
      <c r="F769" s="7">
        <v>0</v>
      </c>
      <c r="G769" s="7">
        <v>0</v>
      </c>
      <c r="H769" s="7">
        <v>0</v>
      </c>
      <c r="I769" s="7">
        <v>0</v>
      </c>
      <c r="J769" s="7">
        <v>0</v>
      </c>
      <c r="K769" s="7">
        <v>0</v>
      </c>
      <c r="L769" s="7">
        <v>0</v>
      </c>
      <c r="M769" s="7">
        <v>0</v>
      </c>
      <c r="N769" s="7">
        <v>0</v>
      </c>
      <c r="O769" s="7">
        <v>0</v>
      </c>
      <c r="P769" s="7">
        <v>0</v>
      </c>
      <c r="Q769" s="7">
        <v>0</v>
      </c>
    </row>
    <row r="770" spans="1:17">
      <c r="A770" s="2">
        <v>2718</v>
      </c>
      <c r="B770" s="7">
        <v>0</v>
      </c>
      <c r="C770" s="7">
        <v>0</v>
      </c>
      <c r="D770" s="7">
        <v>0</v>
      </c>
      <c r="E770" s="7">
        <v>0</v>
      </c>
      <c r="F770" s="7">
        <v>0</v>
      </c>
      <c r="G770" s="7">
        <v>0</v>
      </c>
      <c r="H770" s="7">
        <v>0</v>
      </c>
      <c r="I770" s="7">
        <v>0</v>
      </c>
      <c r="J770" s="7">
        <v>0</v>
      </c>
      <c r="K770" s="7">
        <v>0</v>
      </c>
      <c r="L770" s="7">
        <v>0</v>
      </c>
      <c r="M770" s="7">
        <v>0</v>
      </c>
      <c r="N770" s="7">
        <v>0</v>
      </c>
      <c r="O770" s="7">
        <v>0</v>
      </c>
      <c r="P770" s="7">
        <v>0</v>
      </c>
      <c r="Q770" s="7">
        <v>0</v>
      </c>
    </row>
    <row r="771" spans="1:17">
      <c r="A771" s="2">
        <v>2719</v>
      </c>
      <c r="B771" s="7">
        <v>0</v>
      </c>
      <c r="C771" s="7">
        <v>0</v>
      </c>
      <c r="D771" s="7">
        <v>0</v>
      </c>
      <c r="E771" s="7">
        <v>0</v>
      </c>
      <c r="F771" s="7">
        <v>0</v>
      </c>
      <c r="G771" s="7">
        <v>0</v>
      </c>
      <c r="H771" s="7">
        <v>0</v>
      </c>
      <c r="I771" s="7">
        <v>0</v>
      </c>
      <c r="J771" s="7">
        <v>0</v>
      </c>
      <c r="K771" s="7">
        <v>0</v>
      </c>
      <c r="L771" s="7">
        <v>0</v>
      </c>
      <c r="M771" s="7">
        <v>0</v>
      </c>
      <c r="N771" s="7">
        <v>0</v>
      </c>
      <c r="O771" s="7">
        <v>0</v>
      </c>
      <c r="P771" s="7">
        <v>0</v>
      </c>
      <c r="Q771" s="7">
        <v>0</v>
      </c>
    </row>
    <row r="772" spans="1:17">
      <c r="A772" s="2">
        <v>2720</v>
      </c>
      <c r="B772" s="7">
        <v>0</v>
      </c>
      <c r="C772" s="7">
        <v>0</v>
      </c>
      <c r="D772" s="7">
        <v>0</v>
      </c>
      <c r="E772" s="7">
        <v>0</v>
      </c>
      <c r="F772" s="7">
        <v>0</v>
      </c>
      <c r="G772" s="7">
        <v>0</v>
      </c>
      <c r="H772" s="7">
        <v>0</v>
      </c>
      <c r="I772" s="7">
        <v>0</v>
      </c>
      <c r="J772" s="7">
        <v>0</v>
      </c>
      <c r="K772" s="7">
        <v>0</v>
      </c>
      <c r="L772" s="7">
        <v>0</v>
      </c>
      <c r="M772" s="7">
        <v>0</v>
      </c>
      <c r="N772" s="7">
        <v>0</v>
      </c>
      <c r="O772" s="7">
        <v>0</v>
      </c>
      <c r="P772" s="7">
        <v>0</v>
      </c>
      <c r="Q772" s="7">
        <v>0</v>
      </c>
    </row>
    <row r="773" spans="1:17">
      <c r="A773" s="2">
        <v>2721</v>
      </c>
      <c r="B773" s="7">
        <v>0</v>
      </c>
      <c r="C773" s="7">
        <v>0</v>
      </c>
      <c r="D773" s="7">
        <v>0</v>
      </c>
      <c r="E773" s="7">
        <v>0</v>
      </c>
      <c r="F773" s="7">
        <v>0</v>
      </c>
      <c r="G773" s="7">
        <v>0</v>
      </c>
      <c r="H773" s="7">
        <v>0</v>
      </c>
      <c r="I773" s="7">
        <v>0</v>
      </c>
      <c r="J773" s="7">
        <v>0</v>
      </c>
      <c r="K773" s="7">
        <v>0</v>
      </c>
      <c r="L773" s="7">
        <v>0</v>
      </c>
      <c r="M773" s="7">
        <v>0</v>
      </c>
      <c r="N773" s="7">
        <v>0</v>
      </c>
      <c r="O773" s="7">
        <v>0</v>
      </c>
      <c r="P773" s="7">
        <v>0</v>
      </c>
      <c r="Q773" s="7">
        <v>0</v>
      </c>
    </row>
    <row r="774" spans="1:17">
      <c r="A774" s="2">
        <v>2722</v>
      </c>
      <c r="B774" s="7">
        <v>0</v>
      </c>
      <c r="C774" s="7">
        <v>0</v>
      </c>
      <c r="D774" s="7">
        <v>0</v>
      </c>
      <c r="E774" s="7">
        <v>0</v>
      </c>
      <c r="F774" s="7">
        <v>0</v>
      </c>
      <c r="G774" s="7">
        <v>0</v>
      </c>
      <c r="H774" s="7">
        <v>0</v>
      </c>
      <c r="I774" s="7">
        <v>0</v>
      </c>
      <c r="J774" s="7">
        <v>0</v>
      </c>
      <c r="K774" s="7">
        <v>0</v>
      </c>
      <c r="L774" s="7">
        <v>0</v>
      </c>
      <c r="M774" s="7">
        <v>0</v>
      </c>
      <c r="N774" s="7">
        <v>0</v>
      </c>
      <c r="O774" s="7">
        <v>0</v>
      </c>
      <c r="P774" s="7">
        <v>0</v>
      </c>
      <c r="Q774" s="7">
        <v>0</v>
      </c>
    </row>
    <row r="775" spans="1:17">
      <c r="A775" s="2">
        <v>2723</v>
      </c>
      <c r="B775" s="7">
        <v>0</v>
      </c>
      <c r="C775" s="7">
        <v>0</v>
      </c>
      <c r="D775" s="7">
        <v>0</v>
      </c>
      <c r="E775" s="7">
        <v>0</v>
      </c>
      <c r="F775" s="7">
        <v>0</v>
      </c>
      <c r="G775" s="7">
        <v>0</v>
      </c>
      <c r="H775" s="7">
        <v>0</v>
      </c>
      <c r="I775" s="7">
        <v>0</v>
      </c>
      <c r="J775" s="7">
        <v>0</v>
      </c>
      <c r="K775" s="7">
        <v>0</v>
      </c>
      <c r="L775" s="7">
        <v>0</v>
      </c>
      <c r="M775" s="7">
        <v>0</v>
      </c>
      <c r="N775" s="7">
        <v>0</v>
      </c>
      <c r="O775" s="7">
        <v>0</v>
      </c>
      <c r="P775" s="7">
        <v>0</v>
      </c>
      <c r="Q775" s="7">
        <v>0</v>
      </c>
    </row>
    <row r="776" spans="1:17">
      <c r="A776" s="2">
        <v>2724</v>
      </c>
      <c r="B776" s="7">
        <v>0</v>
      </c>
      <c r="C776" s="7">
        <v>0</v>
      </c>
      <c r="D776" s="7">
        <v>0</v>
      </c>
      <c r="E776" s="7">
        <v>0</v>
      </c>
      <c r="F776" s="7">
        <v>0</v>
      </c>
      <c r="G776" s="7">
        <v>0</v>
      </c>
      <c r="H776" s="7">
        <v>0</v>
      </c>
      <c r="I776" s="7">
        <v>0</v>
      </c>
      <c r="J776" s="7">
        <v>0</v>
      </c>
      <c r="K776" s="7">
        <v>0</v>
      </c>
      <c r="L776" s="7">
        <v>0</v>
      </c>
      <c r="M776" s="7">
        <v>0</v>
      </c>
      <c r="N776" s="7">
        <v>0</v>
      </c>
      <c r="O776" s="7">
        <v>0</v>
      </c>
      <c r="P776" s="7">
        <v>0</v>
      </c>
      <c r="Q776" s="7">
        <v>0</v>
      </c>
    </row>
    <row r="777" spans="1:17">
      <c r="A777" s="2">
        <v>2725</v>
      </c>
      <c r="B777" s="7">
        <v>0</v>
      </c>
      <c r="C777" s="7">
        <v>0</v>
      </c>
      <c r="D777" s="7">
        <v>0</v>
      </c>
      <c r="E777" s="7">
        <v>0</v>
      </c>
      <c r="F777" s="7">
        <v>0</v>
      </c>
      <c r="G777" s="7">
        <v>0</v>
      </c>
      <c r="H777" s="7">
        <v>0</v>
      </c>
      <c r="I777" s="7">
        <v>0</v>
      </c>
      <c r="J777" s="7">
        <v>0</v>
      </c>
      <c r="K777" s="7">
        <v>0</v>
      </c>
      <c r="L777" s="7">
        <v>0</v>
      </c>
      <c r="M777" s="7">
        <v>0</v>
      </c>
      <c r="N777" s="7">
        <v>0</v>
      </c>
      <c r="O777" s="7">
        <v>0</v>
      </c>
      <c r="P777" s="7">
        <v>0</v>
      </c>
      <c r="Q777" s="7">
        <v>0</v>
      </c>
    </row>
    <row r="778" spans="1:17">
      <c r="A778" s="2">
        <v>2726</v>
      </c>
      <c r="B778" s="7">
        <v>0</v>
      </c>
      <c r="C778" s="7">
        <v>0</v>
      </c>
      <c r="D778" s="7">
        <v>0</v>
      </c>
      <c r="E778" s="7">
        <v>0</v>
      </c>
      <c r="F778" s="7">
        <v>0</v>
      </c>
      <c r="G778" s="7">
        <v>0</v>
      </c>
      <c r="H778" s="7">
        <v>0</v>
      </c>
      <c r="I778" s="7">
        <v>0</v>
      </c>
      <c r="J778" s="7">
        <v>0</v>
      </c>
      <c r="K778" s="7">
        <v>0</v>
      </c>
      <c r="L778" s="7">
        <v>0</v>
      </c>
      <c r="M778" s="7">
        <v>0</v>
      </c>
      <c r="N778" s="7">
        <v>0</v>
      </c>
      <c r="O778" s="7">
        <v>0</v>
      </c>
      <c r="P778" s="7">
        <v>0</v>
      </c>
      <c r="Q778" s="7">
        <v>0</v>
      </c>
    </row>
    <row r="779" spans="1:17">
      <c r="A779" s="2">
        <v>2727</v>
      </c>
      <c r="B779" s="7">
        <v>0</v>
      </c>
      <c r="C779" s="7">
        <v>0</v>
      </c>
      <c r="D779" s="7">
        <v>0</v>
      </c>
      <c r="E779" s="7">
        <v>0</v>
      </c>
      <c r="F779" s="7">
        <v>0</v>
      </c>
      <c r="G779" s="7">
        <v>0</v>
      </c>
      <c r="H779" s="7">
        <v>0</v>
      </c>
      <c r="I779" s="7">
        <v>0</v>
      </c>
      <c r="J779" s="7">
        <v>0</v>
      </c>
      <c r="K779" s="7">
        <v>0</v>
      </c>
      <c r="L779" s="7">
        <v>0</v>
      </c>
      <c r="M779" s="7">
        <v>0</v>
      </c>
      <c r="N779" s="7">
        <v>0</v>
      </c>
      <c r="O779" s="7">
        <v>0</v>
      </c>
      <c r="P779" s="7">
        <v>0</v>
      </c>
      <c r="Q779" s="7">
        <v>0</v>
      </c>
    </row>
    <row r="780" spans="1:17">
      <c r="A780" s="2">
        <v>2728</v>
      </c>
      <c r="B780" s="7">
        <v>0</v>
      </c>
      <c r="C780" s="7">
        <v>0</v>
      </c>
      <c r="D780" s="7">
        <v>0</v>
      </c>
      <c r="E780" s="7">
        <v>0</v>
      </c>
      <c r="F780" s="7">
        <v>0</v>
      </c>
      <c r="G780" s="7">
        <v>0</v>
      </c>
      <c r="H780" s="7">
        <v>0</v>
      </c>
      <c r="I780" s="7">
        <v>0</v>
      </c>
      <c r="J780" s="7">
        <v>0</v>
      </c>
      <c r="K780" s="7">
        <v>0</v>
      </c>
      <c r="L780" s="7">
        <v>0</v>
      </c>
      <c r="M780" s="7">
        <v>0</v>
      </c>
      <c r="N780" s="7">
        <v>0</v>
      </c>
      <c r="O780" s="7">
        <v>0</v>
      </c>
      <c r="P780" s="7">
        <v>0</v>
      </c>
      <c r="Q780" s="7">
        <v>0</v>
      </c>
    </row>
    <row r="781" spans="1:17">
      <c r="A781" s="2">
        <v>2729</v>
      </c>
      <c r="B781" s="7">
        <v>0</v>
      </c>
      <c r="C781" s="7">
        <v>0</v>
      </c>
      <c r="D781" s="7">
        <v>0</v>
      </c>
      <c r="E781" s="7">
        <v>0</v>
      </c>
      <c r="F781" s="7">
        <v>0</v>
      </c>
      <c r="G781" s="7">
        <v>0</v>
      </c>
      <c r="H781" s="7">
        <v>0</v>
      </c>
      <c r="I781" s="7">
        <v>0</v>
      </c>
      <c r="J781" s="7">
        <v>0</v>
      </c>
      <c r="K781" s="7">
        <v>0</v>
      </c>
      <c r="L781" s="7">
        <v>0</v>
      </c>
      <c r="M781" s="7">
        <v>0</v>
      </c>
      <c r="N781" s="7">
        <v>0</v>
      </c>
      <c r="O781" s="7">
        <v>0</v>
      </c>
      <c r="P781" s="7">
        <v>0</v>
      </c>
      <c r="Q781" s="7">
        <v>0</v>
      </c>
    </row>
    <row r="782" spans="1:17">
      <c r="A782" s="2">
        <v>2730</v>
      </c>
      <c r="B782" s="7">
        <v>0</v>
      </c>
      <c r="C782" s="7">
        <v>0</v>
      </c>
      <c r="D782" s="7">
        <v>0</v>
      </c>
      <c r="E782" s="7">
        <v>0</v>
      </c>
      <c r="F782" s="7">
        <v>0</v>
      </c>
      <c r="G782" s="7">
        <v>0</v>
      </c>
      <c r="H782" s="7">
        <v>0</v>
      </c>
      <c r="I782" s="7">
        <v>0</v>
      </c>
      <c r="J782" s="7">
        <v>0</v>
      </c>
      <c r="K782" s="7">
        <v>0</v>
      </c>
      <c r="L782" s="7">
        <v>0</v>
      </c>
      <c r="M782" s="7">
        <v>0</v>
      </c>
      <c r="N782" s="7">
        <v>0</v>
      </c>
      <c r="O782" s="7">
        <v>0</v>
      </c>
      <c r="P782" s="7">
        <v>0</v>
      </c>
      <c r="Q782" s="7">
        <v>0</v>
      </c>
    </row>
    <row r="783" spans="1:17">
      <c r="A783" s="2">
        <v>2731</v>
      </c>
      <c r="B783" s="7">
        <v>0</v>
      </c>
      <c r="C783" s="7">
        <v>0</v>
      </c>
      <c r="D783" s="7">
        <v>0</v>
      </c>
      <c r="E783" s="7">
        <v>0</v>
      </c>
      <c r="F783" s="7">
        <v>0</v>
      </c>
      <c r="G783" s="7">
        <v>0</v>
      </c>
      <c r="H783" s="7">
        <v>0</v>
      </c>
      <c r="I783" s="7">
        <v>0</v>
      </c>
      <c r="J783" s="7">
        <v>0</v>
      </c>
      <c r="K783" s="7">
        <v>0</v>
      </c>
      <c r="L783" s="7">
        <v>0</v>
      </c>
      <c r="M783" s="7">
        <v>0</v>
      </c>
      <c r="N783" s="7">
        <v>0</v>
      </c>
      <c r="O783" s="7">
        <v>0</v>
      </c>
      <c r="P783" s="7">
        <v>0</v>
      </c>
      <c r="Q783" s="7">
        <v>0</v>
      </c>
    </row>
    <row r="784" spans="1:17">
      <c r="A784" s="2">
        <v>2732</v>
      </c>
      <c r="B784" s="7">
        <v>0</v>
      </c>
      <c r="C784" s="7">
        <v>0</v>
      </c>
      <c r="D784" s="7">
        <v>0</v>
      </c>
      <c r="E784" s="7">
        <v>0</v>
      </c>
      <c r="F784" s="7">
        <v>0</v>
      </c>
      <c r="G784" s="7">
        <v>0</v>
      </c>
      <c r="H784" s="7">
        <v>0</v>
      </c>
      <c r="I784" s="7">
        <v>0</v>
      </c>
      <c r="J784" s="7">
        <v>0</v>
      </c>
      <c r="K784" s="7">
        <v>0</v>
      </c>
      <c r="L784" s="7">
        <v>0</v>
      </c>
      <c r="M784" s="7">
        <v>0</v>
      </c>
      <c r="N784" s="7">
        <v>0</v>
      </c>
      <c r="O784" s="7">
        <v>0</v>
      </c>
      <c r="P784" s="7">
        <v>0</v>
      </c>
      <c r="Q784" s="7">
        <v>0</v>
      </c>
    </row>
    <row r="785" spans="1:17">
      <c r="A785" s="2">
        <v>2733</v>
      </c>
      <c r="B785" s="7">
        <v>0</v>
      </c>
      <c r="C785" s="7">
        <v>0</v>
      </c>
      <c r="D785" s="7">
        <v>0</v>
      </c>
      <c r="E785" s="7">
        <v>0</v>
      </c>
      <c r="F785" s="7">
        <v>0</v>
      </c>
      <c r="G785" s="7">
        <v>0</v>
      </c>
      <c r="H785" s="7">
        <v>0</v>
      </c>
      <c r="I785" s="7">
        <v>0</v>
      </c>
      <c r="J785" s="7">
        <v>0</v>
      </c>
      <c r="K785" s="7">
        <v>0</v>
      </c>
      <c r="L785" s="7">
        <v>0</v>
      </c>
      <c r="M785" s="7">
        <v>0</v>
      </c>
      <c r="N785" s="7">
        <v>0</v>
      </c>
      <c r="O785" s="7">
        <v>0</v>
      </c>
      <c r="P785" s="7">
        <v>0</v>
      </c>
      <c r="Q785" s="7">
        <v>0</v>
      </c>
    </row>
    <row r="786" spans="1:17">
      <c r="A786" s="2">
        <v>2734</v>
      </c>
      <c r="B786" s="7">
        <v>0</v>
      </c>
      <c r="C786" s="7">
        <v>0</v>
      </c>
      <c r="D786" s="7">
        <v>0</v>
      </c>
      <c r="E786" s="7">
        <v>0</v>
      </c>
      <c r="F786" s="7">
        <v>0</v>
      </c>
      <c r="G786" s="7">
        <v>0</v>
      </c>
      <c r="H786" s="7">
        <v>0</v>
      </c>
      <c r="I786" s="7">
        <v>0</v>
      </c>
      <c r="J786" s="7">
        <v>0</v>
      </c>
      <c r="K786" s="7">
        <v>0</v>
      </c>
      <c r="L786" s="7">
        <v>0</v>
      </c>
      <c r="M786" s="7">
        <v>0</v>
      </c>
      <c r="N786" s="7">
        <v>0</v>
      </c>
      <c r="O786" s="7">
        <v>0</v>
      </c>
      <c r="P786" s="7">
        <v>0</v>
      </c>
      <c r="Q786" s="7">
        <v>0</v>
      </c>
    </row>
    <row r="787" spans="1:17">
      <c r="A787" s="2">
        <v>2735</v>
      </c>
      <c r="B787" s="7">
        <v>0</v>
      </c>
      <c r="C787" s="7">
        <v>0</v>
      </c>
      <c r="D787" s="7">
        <v>0</v>
      </c>
      <c r="E787" s="7">
        <v>0</v>
      </c>
      <c r="F787" s="7">
        <v>0</v>
      </c>
      <c r="G787" s="7">
        <v>0</v>
      </c>
      <c r="H787" s="7">
        <v>0</v>
      </c>
      <c r="I787" s="7">
        <v>0</v>
      </c>
      <c r="J787" s="7">
        <v>0</v>
      </c>
      <c r="K787" s="7">
        <v>0</v>
      </c>
      <c r="L787" s="7">
        <v>0</v>
      </c>
      <c r="M787" s="7">
        <v>0</v>
      </c>
      <c r="N787" s="7">
        <v>0</v>
      </c>
      <c r="O787" s="7">
        <v>0</v>
      </c>
      <c r="P787" s="7">
        <v>0</v>
      </c>
      <c r="Q787" s="7">
        <v>0</v>
      </c>
    </row>
    <row r="788" spans="1:17">
      <c r="A788" s="2">
        <v>2736</v>
      </c>
      <c r="B788" s="7">
        <v>0</v>
      </c>
      <c r="C788" s="7">
        <v>0</v>
      </c>
      <c r="D788" s="7">
        <v>0</v>
      </c>
      <c r="E788" s="7">
        <v>0</v>
      </c>
      <c r="F788" s="7">
        <v>0</v>
      </c>
      <c r="G788" s="7">
        <v>0</v>
      </c>
      <c r="H788" s="7">
        <v>0</v>
      </c>
      <c r="I788" s="7">
        <v>0</v>
      </c>
      <c r="J788" s="7">
        <v>0</v>
      </c>
      <c r="K788" s="7">
        <v>0</v>
      </c>
      <c r="L788" s="7">
        <v>0</v>
      </c>
      <c r="M788" s="7">
        <v>0</v>
      </c>
      <c r="N788" s="7">
        <v>0</v>
      </c>
      <c r="O788" s="7">
        <v>0</v>
      </c>
      <c r="P788" s="7">
        <v>0</v>
      </c>
      <c r="Q788" s="7">
        <v>0</v>
      </c>
    </row>
    <row r="789" spans="1:17">
      <c r="A789" s="2">
        <v>2737</v>
      </c>
      <c r="B789" s="7">
        <v>0</v>
      </c>
      <c r="C789" s="7">
        <v>0</v>
      </c>
      <c r="D789" s="7">
        <v>0</v>
      </c>
      <c r="E789" s="7">
        <v>0</v>
      </c>
      <c r="F789" s="7">
        <v>0</v>
      </c>
      <c r="G789" s="7">
        <v>0</v>
      </c>
      <c r="H789" s="7">
        <v>0</v>
      </c>
      <c r="I789" s="7">
        <v>0</v>
      </c>
      <c r="J789" s="7">
        <v>0</v>
      </c>
      <c r="K789" s="7">
        <v>0</v>
      </c>
      <c r="L789" s="7">
        <v>0</v>
      </c>
      <c r="M789" s="7">
        <v>0</v>
      </c>
      <c r="N789" s="7">
        <v>0</v>
      </c>
      <c r="O789" s="7">
        <v>0</v>
      </c>
      <c r="P789" s="7">
        <v>0</v>
      </c>
      <c r="Q789" s="7">
        <v>0</v>
      </c>
    </row>
    <row r="790" spans="1:17">
      <c r="A790" s="2">
        <v>2738</v>
      </c>
      <c r="B790" s="7">
        <v>0</v>
      </c>
      <c r="C790" s="7">
        <v>0</v>
      </c>
      <c r="D790" s="7">
        <v>0</v>
      </c>
      <c r="E790" s="7">
        <v>0</v>
      </c>
      <c r="F790" s="7">
        <v>0</v>
      </c>
      <c r="G790" s="7">
        <v>0</v>
      </c>
      <c r="H790" s="7">
        <v>0</v>
      </c>
      <c r="I790" s="7">
        <v>0</v>
      </c>
      <c r="J790" s="7">
        <v>0</v>
      </c>
      <c r="K790" s="7">
        <v>0</v>
      </c>
      <c r="L790" s="7">
        <v>0</v>
      </c>
      <c r="M790" s="7">
        <v>0</v>
      </c>
      <c r="N790" s="7">
        <v>0</v>
      </c>
      <c r="O790" s="7">
        <v>0</v>
      </c>
      <c r="P790" s="7">
        <v>0</v>
      </c>
      <c r="Q790" s="7">
        <v>0</v>
      </c>
    </row>
    <row r="791" spans="1:17">
      <c r="A791" s="2">
        <v>2739</v>
      </c>
      <c r="B791" s="7">
        <v>0</v>
      </c>
      <c r="C791" s="7">
        <v>0</v>
      </c>
      <c r="D791" s="7">
        <v>0</v>
      </c>
      <c r="E791" s="7">
        <v>0</v>
      </c>
      <c r="F791" s="7">
        <v>0</v>
      </c>
      <c r="G791" s="7">
        <v>0</v>
      </c>
      <c r="H791" s="7">
        <v>0</v>
      </c>
      <c r="I791" s="7">
        <v>0</v>
      </c>
      <c r="J791" s="7">
        <v>0</v>
      </c>
      <c r="K791" s="7">
        <v>0</v>
      </c>
      <c r="L791" s="7">
        <v>0</v>
      </c>
      <c r="M791" s="7">
        <v>0</v>
      </c>
      <c r="N791" s="7">
        <v>0</v>
      </c>
      <c r="O791" s="7">
        <v>0</v>
      </c>
      <c r="P791" s="7">
        <v>0</v>
      </c>
      <c r="Q791" s="7">
        <v>0</v>
      </c>
    </row>
    <row r="792" spans="1:17">
      <c r="A792" s="2">
        <v>2740</v>
      </c>
      <c r="B792" s="7">
        <v>0</v>
      </c>
      <c r="C792" s="7">
        <v>0</v>
      </c>
      <c r="D792" s="7">
        <v>0</v>
      </c>
      <c r="E792" s="7">
        <v>0</v>
      </c>
      <c r="F792" s="7">
        <v>0</v>
      </c>
      <c r="G792" s="7">
        <v>0</v>
      </c>
      <c r="H792" s="7">
        <v>0</v>
      </c>
      <c r="I792" s="7">
        <v>0</v>
      </c>
      <c r="J792" s="7">
        <v>0</v>
      </c>
      <c r="K792" s="7">
        <v>0</v>
      </c>
      <c r="L792" s="7">
        <v>0</v>
      </c>
      <c r="M792" s="7">
        <v>0</v>
      </c>
      <c r="N792" s="7">
        <v>0</v>
      </c>
      <c r="O792" s="7">
        <v>0</v>
      </c>
      <c r="P792" s="7">
        <v>0</v>
      </c>
      <c r="Q792" s="7">
        <v>0</v>
      </c>
    </row>
    <row r="793" spans="1:17">
      <c r="A793" s="2">
        <v>2741</v>
      </c>
      <c r="B793" s="7">
        <v>0</v>
      </c>
      <c r="C793" s="7">
        <v>0</v>
      </c>
      <c r="D793" s="7">
        <v>0</v>
      </c>
      <c r="E793" s="7">
        <v>0</v>
      </c>
      <c r="F793" s="7">
        <v>0</v>
      </c>
      <c r="G793" s="7">
        <v>0</v>
      </c>
      <c r="H793" s="7">
        <v>0</v>
      </c>
      <c r="I793" s="7">
        <v>0</v>
      </c>
      <c r="J793" s="7">
        <v>0</v>
      </c>
      <c r="K793" s="7">
        <v>0</v>
      </c>
      <c r="L793" s="7">
        <v>0</v>
      </c>
      <c r="M793" s="7">
        <v>0</v>
      </c>
      <c r="N793" s="7">
        <v>0</v>
      </c>
      <c r="O793" s="7">
        <v>0</v>
      </c>
      <c r="P793" s="7">
        <v>0</v>
      </c>
      <c r="Q793" s="7">
        <v>0</v>
      </c>
    </row>
    <row r="794" spans="1:17">
      <c r="A794" s="2">
        <v>2742</v>
      </c>
      <c r="B794" s="7">
        <v>0</v>
      </c>
      <c r="C794" s="7">
        <v>0</v>
      </c>
      <c r="D794" s="7">
        <v>0</v>
      </c>
      <c r="E794" s="7">
        <v>0</v>
      </c>
      <c r="F794" s="7">
        <v>0</v>
      </c>
      <c r="G794" s="7">
        <v>0</v>
      </c>
      <c r="H794" s="7">
        <v>0</v>
      </c>
      <c r="I794" s="7">
        <v>0</v>
      </c>
      <c r="J794" s="7">
        <v>0</v>
      </c>
      <c r="K794" s="7">
        <v>0</v>
      </c>
      <c r="L794" s="7">
        <v>0</v>
      </c>
      <c r="M794" s="7">
        <v>0</v>
      </c>
      <c r="N794" s="7">
        <v>0</v>
      </c>
      <c r="O794" s="7">
        <v>0</v>
      </c>
      <c r="P794" s="7">
        <v>0</v>
      </c>
      <c r="Q794" s="7">
        <v>0</v>
      </c>
    </row>
    <row r="795" spans="1:17">
      <c r="A795" s="2">
        <v>2743</v>
      </c>
      <c r="B795" s="7">
        <v>0</v>
      </c>
      <c r="C795" s="7">
        <v>0</v>
      </c>
      <c r="D795" s="7">
        <v>0</v>
      </c>
      <c r="E795" s="7">
        <v>0</v>
      </c>
      <c r="F795" s="7">
        <v>0</v>
      </c>
      <c r="G795" s="7">
        <v>0</v>
      </c>
      <c r="H795" s="7">
        <v>0</v>
      </c>
      <c r="I795" s="7">
        <v>0</v>
      </c>
      <c r="J795" s="7">
        <v>0</v>
      </c>
      <c r="K795" s="7">
        <v>0</v>
      </c>
      <c r="L795" s="7">
        <v>0</v>
      </c>
      <c r="M795" s="7">
        <v>0</v>
      </c>
      <c r="N795" s="7">
        <v>0</v>
      </c>
      <c r="O795" s="7">
        <v>0</v>
      </c>
      <c r="P795" s="7">
        <v>0</v>
      </c>
      <c r="Q795" s="7">
        <v>0</v>
      </c>
    </row>
    <row r="796" spans="1:17">
      <c r="A796" s="2">
        <v>2744</v>
      </c>
      <c r="B796" s="7">
        <v>0</v>
      </c>
      <c r="C796" s="7">
        <v>0</v>
      </c>
      <c r="D796" s="7">
        <v>0</v>
      </c>
      <c r="E796" s="7">
        <v>0</v>
      </c>
      <c r="F796" s="7">
        <v>0</v>
      </c>
      <c r="G796" s="7">
        <v>0</v>
      </c>
      <c r="H796" s="7">
        <v>0</v>
      </c>
      <c r="I796" s="7">
        <v>0</v>
      </c>
      <c r="J796" s="7">
        <v>0</v>
      </c>
      <c r="K796" s="7">
        <v>0</v>
      </c>
      <c r="L796" s="7">
        <v>0</v>
      </c>
      <c r="M796" s="7">
        <v>0</v>
      </c>
      <c r="N796" s="7">
        <v>0</v>
      </c>
      <c r="O796" s="7">
        <v>0</v>
      </c>
      <c r="P796" s="7">
        <v>0</v>
      </c>
      <c r="Q796" s="7">
        <v>0</v>
      </c>
    </row>
    <row r="797" spans="1:17">
      <c r="A797" s="2">
        <v>2745</v>
      </c>
      <c r="B797" s="7">
        <v>0</v>
      </c>
      <c r="C797" s="7">
        <v>0</v>
      </c>
      <c r="D797" s="7">
        <v>0</v>
      </c>
      <c r="E797" s="7">
        <v>0</v>
      </c>
      <c r="F797" s="7">
        <v>0</v>
      </c>
      <c r="G797" s="7">
        <v>0</v>
      </c>
      <c r="H797" s="7">
        <v>0</v>
      </c>
      <c r="I797" s="7">
        <v>0</v>
      </c>
      <c r="J797" s="7">
        <v>0</v>
      </c>
      <c r="K797" s="7">
        <v>0</v>
      </c>
      <c r="L797" s="7">
        <v>0</v>
      </c>
      <c r="M797" s="7">
        <v>0</v>
      </c>
      <c r="N797" s="7">
        <v>0</v>
      </c>
      <c r="O797" s="7">
        <v>0</v>
      </c>
      <c r="P797" s="7">
        <v>0</v>
      </c>
      <c r="Q797" s="7">
        <v>0</v>
      </c>
    </row>
    <row r="798" spans="1:17">
      <c r="A798" s="2">
        <v>2746</v>
      </c>
      <c r="B798" s="7">
        <v>0</v>
      </c>
      <c r="C798" s="7">
        <v>0</v>
      </c>
      <c r="D798" s="7">
        <v>0</v>
      </c>
      <c r="E798" s="7">
        <v>0</v>
      </c>
      <c r="F798" s="7">
        <v>0</v>
      </c>
      <c r="G798" s="7">
        <v>0</v>
      </c>
      <c r="H798" s="7">
        <v>0</v>
      </c>
      <c r="I798" s="7">
        <v>0</v>
      </c>
      <c r="J798" s="7">
        <v>0</v>
      </c>
      <c r="K798" s="7">
        <v>0</v>
      </c>
      <c r="L798" s="7">
        <v>0</v>
      </c>
      <c r="M798" s="7">
        <v>0</v>
      </c>
      <c r="N798" s="7">
        <v>0</v>
      </c>
      <c r="O798" s="7">
        <v>0</v>
      </c>
      <c r="P798" s="7">
        <v>0</v>
      </c>
      <c r="Q798" s="7">
        <v>0</v>
      </c>
    </row>
    <row r="799" spans="1:17">
      <c r="A799" s="2">
        <v>2747</v>
      </c>
      <c r="B799" s="7">
        <v>0</v>
      </c>
      <c r="C799" s="7">
        <v>0</v>
      </c>
      <c r="D799" s="7">
        <v>0</v>
      </c>
      <c r="E799" s="7">
        <v>0</v>
      </c>
      <c r="F799" s="7">
        <v>0</v>
      </c>
      <c r="G799" s="7">
        <v>0</v>
      </c>
      <c r="H799" s="7">
        <v>0</v>
      </c>
      <c r="I799" s="7">
        <v>0</v>
      </c>
      <c r="J799" s="7">
        <v>0</v>
      </c>
      <c r="K799" s="7">
        <v>0</v>
      </c>
      <c r="L799" s="7">
        <v>0</v>
      </c>
      <c r="M799" s="7">
        <v>0</v>
      </c>
      <c r="N799" s="7">
        <v>0</v>
      </c>
      <c r="O799" s="7">
        <v>0</v>
      </c>
      <c r="P799" s="7">
        <v>0</v>
      </c>
      <c r="Q799" s="7">
        <v>0</v>
      </c>
    </row>
    <row r="800" spans="1:17">
      <c r="A800" s="2">
        <v>2748</v>
      </c>
      <c r="B800" s="7">
        <v>0</v>
      </c>
      <c r="C800" s="7">
        <v>0</v>
      </c>
      <c r="D800" s="7">
        <v>0</v>
      </c>
      <c r="E800" s="7">
        <v>0</v>
      </c>
      <c r="F800" s="7">
        <v>0</v>
      </c>
      <c r="G800" s="7">
        <v>0</v>
      </c>
      <c r="H800" s="7">
        <v>0</v>
      </c>
      <c r="I800" s="7">
        <v>0</v>
      </c>
      <c r="J800" s="7">
        <v>0</v>
      </c>
      <c r="K800" s="7">
        <v>0</v>
      </c>
      <c r="L800" s="7">
        <v>0</v>
      </c>
      <c r="M800" s="7">
        <v>0</v>
      </c>
      <c r="N800" s="7">
        <v>0</v>
      </c>
      <c r="O800" s="7">
        <v>0</v>
      </c>
      <c r="P800" s="7">
        <v>0</v>
      </c>
      <c r="Q800" s="7">
        <v>0</v>
      </c>
    </row>
    <row r="801" spans="1:17">
      <c r="A801" s="2">
        <v>2749</v>
      </c>
      <c r="B801" s="7">
        <v>0</v>
      </c>
      <c r="C801" s="7">
        <v>0</v>
      </c>
      <c r="D801" s="7">
        <v>0</v>
      </c>
      <c r="E801" s="7">
        <v>0</v>
      </c>
      <c r="F801" s="7">
        <v>0</v>
      </c>
      <c r="G801" s="7">
        <v>0</v>
      </c>
      <c r="H801" s="7">
        <v>0</v>
      </c>
      <c r="I801" s="7">
        <v>0</v>
      </c>
      <c r="J801" s="7">
        <v>0</v>
      </c>
      <c r="K801" s="7">
        <v>0</v>
      </c>
      <c r="L801" s="7">
        <v>0</v>
      </c>
      <c r="M801" s="7">
        <v>0</v>
      </c>
      <c r="N801" s="7">
        <v>0</v>
      </c>
      <c r="O801" s="7">
        <v>0</v>
      </c>
      <c r="P801" s="7">
        <v>0</v>
      </c>
      <c r="Q801" s="7">
        <v>0</v>
      </c>
    </row>
    <row r="802" spans="1:17">
      <c r="A802" s="2">
        <v>2750</v>
      </c>
      <c r="B802" s="7">
        <v>0</v>
      </c>
      <c r="C802" s="7">
        <v>0</v>
      </c>
      <c r="D802" s="7">
        <v>0</v>
      </c>
      <c r="E802" s="7">
        <v>0</v>
      </c>
      <c r="F802" s="7">
        <v>0</v>
      </c>
      <c r="G802" s="7">
        <v>0</v>
      </c>
      <c r="H802" s="7">
        <v>0</v>
      </c>
      <c r="I802" s="7">
        <v>0</v>
      </c>
      <c r="J802" s="7">
        <v>0</v>
      </c>
      <c r="K802" s="7">
        <v>0</v>
      </c>
      <c r="L802" s="7">
        <v>0</v>
      </c>
      <c r="M802" s="7">
        <v>0</v>
      </c>
      <c r="N802" s="7">
        <v>0</v>
      </c>
      <c r="O802" s="7">
        <v>0</v>
      </c>
      <c r="P802" s="7">
        <v>0</v>
      </c>
      <c r="Q802" s="7">
        <v>0</v>
      </c>
    </row>
    <row r="803" spans="1:17">
      <c r="A803" s="2">
        <v>2751</v>
      </c>
      <c r="B803" s="7">
        <v>0</v>
      </c>
      <c r="C803" s="7">
        <v>0</v>
      </c>
      <c r="D803" s="7">
        <v>0</v>
      </c>
      <c r="E803" s="7">
        <v>0</v>
      </c>
      <c r="F803" s="7">
        <v>0</v>
      </c>
      <c r="G803" s="7">
        <v>0</v>
      </c>
      <c r="H803" s="7">
        <v>0</v>
      </c>
      <c r="I803" s="7">
        <v>0</v>
      </c>
      <c r="J803" s="7">
        <v>0</v>
      </c>
      <c r="K803" s="7">
        <v>0</v>
      </c>
      <c r="L803" s="7">
        <v>0</v>
      </c>
      <c r="M803" s="7">
        <v>0</v>
      </c>
      <c r="N803" s="7">
        <v>0</v>
      </c>
      <c r="O803" s="7">
        <v>0</v>
      </c>
      <c r="P803" s="7">
        <v>0</v>
      </c>
      <c r="Q803" s="7">
        <v>0</v>
      </c>
    </row>
    <row r="804" spans="1:17">
      <c r="A804" s="2">
        <v>2752</v>
      </c>
      <c r="B804" s="7">
        <v>0</v>
      </c>
      <c r="C804" s="7">
        <v>0</v>
      </c>
      <c r="D804" s="7">
        <v>0</v>
      </c>
      <c r="E804" s="7">
        <v>0</v>
      </c>
      <c r="F804" s="7">
        <v>0</v>
      </c>
      <c r="G804" s="7">
        <v>0</v>
      </c>
      <c r="H804" s="7">
        <v>0</v>
      </c>
      <c r="I804" s="7">
        <v>0</v>
      </c>
      <c r="J804" s="7">
        <v>0</v>
      </c>
      <c r="K804" s="7">
        <v>0</v>
      </c>
      <c r="L804" s="7">
        <v>0</v>
      </c>
      <c r="M804" s="7">
        <v>0</v>
      </c>
      <c r="N804" s="7">
        <v>0</v>
      </c>
      <c r="O804" s="7">
        <v>0</v>
      </c>
      <c r="P804" s="7">
        <v>0</v>
      </c>
      <c r="Q804" s="7">
        <v>0</v>
      </c>
    </row>
    <row r="805" spans="1:17">
      <c r="A805" s="2">
        <v>2753</v>
      </c>
      <c r="B805" s="7">
        <v>0</v>
      </c>
      <c r="C805" s="7">
        <v>0</v>
      </c>
      <c r="D805" s="7">
        <v>0</v>
      </c>
      <c r="E805" s="7">
        <v>0</v>
      </c>
      <c r="F805" s="7">
        <v>0</v>
      </c>
      <c r="G805" s="7">
        <v>0</v>
      </c>
      <c r="H805" s="7">
        <v>0</v>
      </c>
      <c r="I805" s="7">
        <v>0</v>
      </c>
      <c r="J805" s="7">
        <v>0</v>
      </c>
      <c r="K805" s="7">
        <v>0</v>
      </c>
      <c r="L805" s="7">
        <v>0</v>
      </c>
      <c r="M805" s="7">
        <v>0</v>
      </c>
      <c r="N805" s="7">
        <v>0</v>
      </c>
      <c r="O805" s="7">
        <v>0</v>
      </c>
      <c r="P805" s="7">
        <v>0</v>
      </c>
      <c r="Q805" s="7">
        <v>0</v>
      </c>
    </row>
    <row r="806" spans="1:17">
      <c r="A806" s="2">
        <v>2754</v>
      </c>
      <c r="B806" s="7">
        <v>0</v>
      </c>
      <c r="C806" s="7">
        <v>0</v>
      </c>
      <c r="D806" s="7">
        <v>0</v>
      </c>
      <c r="E806" s="7">
        <v>0</v>
      </c>
      <c r="F806" s="7">
        <v>0</v>
      </c>
      <c r="G806" s="7">
        <v>0</v>
      </c>
      <c r="H806" s="7">
        <v>0</v>
      </c>
      <c r="I806" s="7">
        <v>0</v>
      </c>
      <c r="J806" s="7">
        <v>0</v>
      </c>
      <c r="K806" s="7">
        <v>0</v>
      </c>
      <c r="L806" s="7">
        <v>0</v>
      </c>
      <c r="M806" s="7">
        <v>0</v>
      </c>
      <c r="N806" s="7">
        <v>0</v>
      </c>
      <c r="O806" s="7">
        <v>0</v>
      </c>
      <c r="P806" s="7">
        <v>0</v>
      </c>
      <c r="Q806" s="7">
        <v>0</v>
      </c>
    </row>
    <row r="807" spans="1:17">
      <c r="A807" s="2">
        <v>2755</v>
      </c>
      <c r="B807" s="7">
        <v>0</v>
      </c>
      <c r="C807" s="7">
        <v>0</v>
      </c>
      <c r="D807" s="7">
        <v>0</v>
      </c>
      <c r="E807" s="7">
        <v>0</v>
      </c>
      <c r="F807" s="7">
        <v>0</v>
      </c>
      <c r="G807" s="7">
        <v>0</v>
      </c>
      <c r="H807" s="7">
        <v>0</v>
      </c>
      <c r="I807" s="7">
        <v>0</v>
      </c>
      <c r="J807" s="7">
        <v>0</v>
      </c>
      <c r="K807" s="7">
        <v>0</v>
      </c>
      <c r="L807" s="7">
        <v>0</v>
      </c>
      <c r="M807" s="7">
        <v>0</v>
      </c>
      <c r="N807" s="7">
        <v>0</v>
      </c>
      <c r="O807" s="7">
        <v>0</v>
      </c>
      <c r="P807" s="7">
        <v>0</v>
      </c>
      <c r="Q807" s="7">
        <v>0</v>
      </c>
    </row>
    <row r="808" spans="1:17">
      <c r="A808" s="2">
        <v>2756</v>
      </c>
      <c r="B808" s="7">
        <v>0</v>
      </c>
      <c r="C808" s="7">
        <v>0</v>
      </c>
      <c r="D808" s="7">
        <v>0</v>
      </c>
      <c r="E808" s="7">
        <v>0</v>
      </c>
      <c r="F808" s="7">
        <v>0</v>
      </c>
      <c r="G808" s="7">
        <v>0</v>
      </c>
      <c r="H808" s="7">
        <v>0</v>
      </c>
      <c r="I808" s="7">
        <v>0</v>
      </c>
      <c r="J808" s="7">
        <v>0</v>
      </c>
      <c r="K808" s="7">
        <v>0</v>
      </c>
      <c r="L808" s="7">
        <v>0</v>
      </c>
      <c r="M808" s="7">
        <v>0</v>
      </c>
      <c r="N808" s="7">
        <v>0</v>
      </c>
      <c r="O808" s="7">
        <v>0</v>
      </c>
      <c r="P808" s="7">
        <v>0</v>
      </c>
      <c r="Q808" s="7">
        <v>0</v>
      </c>
    </row>
    <row r="809" spans="1:17">
      <c r="A809" s="2">
        <v>2757</v>
      </c>
      <c r="B809" s="7">
        <v>0</v>
      </c>
      <c r="C809" s="7">
        <v>0</v>
      </c>
      <c r="D809" s="7">
        <v>0</v>
      </c>
      <c r="E809" s="7">
        <v>0</v>
      </c>
      <c r="F809" s="7">
        <v>0</v>
      </c>
      <c r="G809" s="7">
        <v>0</v>
      </c>
      <c r="H809" s="7">
        <v>0</v>
      </c>
      <c r="I809" s="7">
        <v>0</v>
      </c>
      <c r="J809" s="7">
        <v>0</v>
      </c>
      <c r="K809" s="7">
        <v>0</v>
      </c>
      <c r="L809" s="7">
        <v>0</v>
      </c>
      <c r="M809" s="7">
        <v>0</v>
      </c>
      <c r="N809" s="7">
        <v>0</v>
      </c>
      <c r="O809" s="7">
        <v>0</v>
      </c>
      <c r="P809" s="7">
        <v>0</v>
      </c>
      <c r="Q809" s="7">
        <v>0</v>
      </c>
    </row>
    <row r="810" spans="1:17">
      <c r="A810" s="2">
        <v>2758</v>
      </c>
      <c r="B810" s="7">
        <v>0</v>
      </c>
      <c r="C810" s="7">
        <v>0</v>
      </c>
      <c r="D810" s="7">
        <v>0</v>
      </c>
      <c r="E810" s="7">
        <v>0</v>
      </c>
      <c r="F810" s="7">
        <v>0</v>
      </c>
      <c r="G810" s="7">
        <v>0</v>
      </c>
      <c r="H810" s="7">
        <v>0</v>
      </c>
      <c r="I810" s="7">
        <v>0</v>
      </c>
      <c r="J810" s="7">
        <v>0</v>
      </c>
      <c r="K810" s="7">
        <v>0</v>
      </c>
      <c r="L810" s="7">
        <v>0</v>
      </c>
      <c r="M810" s="7">
        <v>0</v>
      </c>
      <c r="N810" s="7">
        <v>0</v>
      </c>
      <c r="O810" s="7">
        <v>0</v>
      </c>
      <c r="P810" s="7">
        <v>0</v>
      </c>
      <c r="Q810" s="7">
        <v>0</v>
      </c>
    </row>
    <row r="811" spans="1:17">
      <c r="A811" s="2">
        <v>2759</v>
      </c>
      <c r="B811" s="7">
        <v>0</v>
      </c>
      <c r="C811" s="7">
        <v>0</v>
      </c>
      <c r="D811" s="7">
        <v>0</v>
      </c>
      <c r="E811" s="7">
        <v>0</v>
      </c>
      <c r="F811" s="7">
        <v>0</v>
      </c>
      <c r="G811" s="7">
        <v>0</v>
      </c>
      <c r="H811" s="7">
        <v>0</v>
      </c>
      <c r="I811" s="7">
        <v>0</v>
      </c>
      <c r="J811" s="7">
        <v>0</v>
      </c>
      <c r="K811" s="7">
        <v>0</v>
      </c>
      <c r="L811" s="7">
        <v>0</v>
      </c>
      <c r="M811" s="7">
        <v>0</v>
      </c>
      <c r="N811" s="7">
        <v>0</v>
      </c>
      <c r="O811" s="7">
        <v>0</v>
      </c>
      <c r="P811" s="7">
        <v>0</v>
      </c>
      <c r="Q811" s="7">
        <v>0</v>
      </c>
    </row>
    <row r="812" spans="1:17">
      <c r="A812" s="2">
        <v>2760</v>
      </c>
      <c r="B812" s="7">
        <v>0</v>
      </c>
      <c r="C812" s="7">
        <v>0</v>
      </c>
      <c r="D812" s="7">
        <v>0</v>
      </c>
      <c r="E812" s="7">
        <v>0</v>
      </c>
      <c r="F812" s="7">
        <v>0</v>
      </c>
      <c r="G812" s="7">
        <v>0</v>
      </c>
      <c r="H812" s="7">
        <v>0</v>
      </c>
      <c r="I812" s="7">
        <v>0</v>
      </c>
      <c r="J812" s="7">
        <v>0</v>
      </c>
      <c r="K812" s="7">
        <v>0</v>
      </c>
      <c r="L812" s="7">
        <v>0</v>
      </c>
      <c r="M812" s="7">
        <v>0</v>
      </c>
      <c r="N812" s="7">
        <v>0</v>
      </c>
      <c r="O812" s="7">
        <v>0</v>
      </c>
      <c r="P812" s="7">
        <v>0</v>
      </c>
      <c r="Q812" s="7">
        <v>0</v>
      </c>
    </row>
    <row r="813" spans="1:17">
      <c r="A813" s="2">
        <v>2761</v>
      </c>
      <c r="B813" s="7">
        <v>0</v>
      </c>
      <c r="C813" s="7">
        <v>0</v>
      </c>
      <c r="D813" s="7">
        <v>0</v>
      </c>
      <c r="E813" s="7">
        <v>0</v>
      </c>
      <c r="F813" s="7">
        <v>0</v>
      </c>
      <c r="G813" s="7">
        <v>0</v>
      </c>
      <c r="H813" s="7">
        <v>0</v>
      </c>
      <c r="I813" s="7">
        <v>0</v>
      </c>
      <c r="J813" s="7">
        <v>0</v>
      </c>
      <c r="K813" s="7">
        <v>0</v>
      </c>
      <c r="L813" s="7">
        <v>0</v>
      </c>
      <c r="M813" s="7">
        <v>0</v>
      </c>
      <c r="N813" s="7">
        <v>0</v>
      </c>
      <c r="O813" s="7">
        <v>0</v>
      </c>
      <c r="P813" s="7">
        <v>0</v>
      </c>
      <c r="Q813" s="7">
        <v>0</v>
      </c>
    </row>
    <row r="814" spans="1:17">
      <c r="A814" s="2">
        <v>2762</v>
      </c>
      <c r="B814" s="7">
        <v>0</v>
      </c>
      <c r="C814" s="7">
        <v>0</v>
      </c>
      <c r="D814" s="7">
        <v>0</v>
      </c>
      <c r="E814" s="7">
        <v>0</v>
      </c>
      <c r="F814" s="7">
        <v>0</v>
      </c>
      <c r="G814" s="7">
        <v>0</v>
      </c>
      <c r="H814" s="7">
        <v>0</v>
      </c>
      <c r="I814" s="7">
        <v>0</v>
      </c>
      <c r="J814" s="7">
        <v>0</v>
      </c>
      <c r="K814" s="7">
        <v>0</v>
      </c>
      <c r="L814" s="7">
        <v>0</v>
      </c>
      <c r="M814" s="7">
        <v>0</v>
      </c>
      <c r="N814" s="7">
        <v>0</v>
      </c>
      <c r="O814" s="7">
        <v>0</v>
      </c>
      <c r="P814" s="7">
        <v>0</v>
      </c>
      <c r="Q814" s="7">
        <v>0</v>
      </c>
    </row>
    <row r="815" spans="1:17">
      <c r="A815" s="2">
        <v>2763</v>
      </c>
      <c r="B815" s="7">
        <v>0</v>
      </c>
      <c r="C815" s="7">
        <v>0</v>
      </c>
      <c r="D815" s="7">
        <v>0</v>
      </c>
      <c r="E815" s="7">
        <v>0</v>
      </c>
      <c r="F815" s="7">
        <v>0</v>
      </c>
      <c r="G815" s="7">
        <v>0</v>
      </c>
      <c r="H815" s="7">
        <v>0</v>
      </c>
      <c r="I815" s="7">
        <v>0</v>
      </c>
      <c r="J815" s="7">
        <v>0</v>
      </c>
      <c r="K815" s="7">
        <v>0</v>
      </c>
      <c r="L815" s="7">
        <v>0</v>
      </c>
      <c r="M815" s="7">
        <v>0</v>
      </c>
      <c r="N815" s="7">
        <v>0</v>
      </c>
      <c r="O815" s="7">
        <v>0</v>
      </c>
      <c r="P815" s="7">
        <v>0</v>
      </c>
      <c r="Q815" s="7">
        <v>0</v>
      </c>
    </row>
    <row r="816" spans="1:17">
      <c r="A816" s="2">
        <v>2764</v>
      </c>
      <c r="B816" s="7">
        <v>0</v>
      </c>
      <c r="C816" s="7">
        <v>0</v>
      </c>
      <c r="D816" s="7">
        <v>0</v>
      </c>
      <c r="E816" s="7">
        <v>0</v>
      </c>
      <c r="F816" s="7">
        <v>0</v>
      </c>
      <c r="G816" s="7">
        <v>0</v>
      </c>
      <c r="H816" s="7">
        <v>0</v>
      </c>
      <c r="I816" s="7">
        <v>0</v>
      </c>
      <c r="J816" s="7">
        <v>0</v>
      </c>
      <c r="K816" s="7">
        <v>0</v>
      </c>
      <c r="L816" s="7">
        <v>0</v>
      </c>
      <c r="M816" s="7">
        <v>0</v>
      </c>
      <c r="N816" s="7">
        <v>0</v>
      </c>
      <c r="O816" s="7">
        <v>0</v>
      </c>
      <c r="P816" s="7">
        <v>0</v>
      </c>
      <c r="Q816" s="7">
        <v>0</v>
      </c>
    </row>
    <row r="817" spans="1:17">
      <c r="A817" s="2">
        <v>2765</v>
      </c>
      <c r="B817" s="7">
        <v>0</v>
      </c>
      <c r="C817" s="7">
        <v>0</v>
      </c>
      <c r="D817" s="7">
        <v>0</v>
      </c>
      <c r="E817" s="7">
        <v>0</v>
      </c>
      <c r="F817" s="7">
        <v>0</v>
      </c>
      <c r="G817" s="7">
        <v>0</v>
      </c>
      <c r="H817" s="7">
        <v>0</v>
      </c>
      <c r="I817" s="7">
        <v>0</v>
      </c>
      <c r="J817" s="7">
        <v>0</v>
      </c>
      <c r="K817" s="7">
        <v>0</v>
      </c>
      <c r="L817" s="7">
        <v>0</v>
      </c>
      <c r="M817" s="7">
        <v>0</v>
      </c>
      <c r="N817" s="7">
        <v>0</v>
      </c>
      <c r="O817" s="7">
        <v>0</v>
      </c>
      <c r="P817" s="7">
        <v>0</v>
      </c>
      <c r="Q817" s="7">
        <v>0</v>
      </c>
    </row>
    <row r="818" spans="1:17">
      <c r="A818" s="2">
        <v>2766</v>
      </c>
      <c r="B818" s="7">
        <v>0</v>
      </c>
      <c r="C818" s="7">
        <v>0</v>
      </c>
      <c r="D818" s="7">
        <v>0</v>
      </c>
      <c r="E818" s="7">
        <v>0</v>
      </c>
      <c r="F818" s="7">
        <v>0</v>
      </c>
      <c r="G818" s="7">
        <v>0</v>
      </c>
      <c r="H818" s="7">
        <v>0</v>
      </c>
      <c r="I818" s="7">
        <v>0</v>
      </c>
      <c r="J818" s="7">
        <v>0</v>
      </c>
      <c r="K818" s="7">
        <v>0</v>
      </c>
      <c r="L818" s="7">
        <v>0</v>
      </c>
      <c r="M818" s="7">
        <v>0</v>
      </c>
      <c r="N818" s="7">
        <v>0</v>
      </c>
      <c r="O818" s="7">
        <v>0</v>
      </c>
      <c r="P818" s="7">
        <v>0</v>
      </c>
      <c r="Q818" s="7">
        <v>0</v>
      </c>
    </row>
    <row r="819" spans="1:17">
      <c r="A819" s="2">
        <v>2767</v>
      </c>
      <c r="B819" s="7">
        <v>0</v>
      </c>
      <c r="C819" s="7">
        <v>0</v>
      </c>
      <c r="D819" s="7">
        <v>0</v>
      </c>
      <c r="E819" s="7">
        <v>0</v>
      </c>
      <c r="F819" s="7">
        <v>0</v>
      </c>
      <c r="G819" s="7">
        <v>0</v>
      </c>
      <c r="H819" s="7">
        <v>0</v>
      </c>
      <c r="I819" s="7">
        <v>0</v>
      </c>
      <c r="J819" s="7">
        <v>0</v>
      </c>
      <c r="K819" s="7">
        <v>0</v>
      </c>
      <c r="L819" s="7">
        <v>0</v>
      </c>
      <c r="M819" s="7">
        <v>0</v>
      </c>
      <c r="N819" s="7">
        <v>0</v>
      </c>
      <c r="O819" s="7">
        <v>0</v>
      </c>
      <c r="P819" s="7">
        <v>0</v>
      </c>
      <c r="Q819" s="7">
        <v>0</v>
      </c>
    </row>
    <row r="820" spans="1:17">
      <c r="A820" s="2">
        <v>2768</v>
      </c>
      <c r="B820" s="7">
        <v>0</v>
      </c>
      <c r="C820" s="7">
        <v>0</v>
      </c>
      <c r="D820" s="7">
        <v>0</v>
      </c>
      <c r="E820" s="7">
        <v>0</v>
      </c>
      <c r="F820" s="7">
        <v>0</v>
      </c>
      <c r="G820" s="7">
        <v>0</v>
      </c>
      <c r="H820" s="7">
        <v>0</v>
      </c>
      <c r="I820" s="7">
        <v>0</v>
      </c>
      <c r="J820" s="7">
        <v>0</v>
      </c>
      <c r="K820" s="7">
        <v>0</v>
      </c>
      <c r="L820" s="7">
        <v>0</v>
      </c>
      <c r="M820" s="7">
        <v>0</v>
      </c>
      <c r="N820" s="7">
        <v>0</v>
      </c>
      <c r="O820" s="7">
        <v>0</v>
      </c>
      <c r="P820" s="7">
        <v>0</v>
      </c>
      <c r="Q820" s="7">
        <v>0</v>
      </c>
    </row>
    <row r="821" spans="1:17">
      <c r="A821" s="2">
        <v>2769</v>
      </c>
      <c r="B821" s="7">
        <v>0</v>
      </c>
      <c r="C821" s="7">
        <v>0</v>
      </c>
      <c r="D821" s="7">
        <v>0</v>
      </c>
      <c r="E821" s="7">
        <v>0</v>
      </c>
      <c r="F821" s="7">
        <v>0</v>
      </c>
      <c r="G821" s="7">
        <v>0</v>
      </c>
      <c r="H821" s="7">
        <v>0</v>
      </c>
      <c r="I821" s="7">
        <v>0</v>
      </c>
      <c r="J821" s="7">
        <v>0</v>
      </c>
      <c r="K821" s="7">
        <v>0</v>
      </c>
      <c r="L821" s="7">
        <v>0</v>
      </c>
      <c r="M821" s="7">
        <v>0</v>
      </c>
      <c r="N821" s="7">
        <v>0</v>
      </c>
      <c r="O821" s="7">
        <v>0</v>
      </c>
      <c r="P821" s="7">
        <v>0</v>
      </c>
      <c r="Q821" s="7">
        <v>0</v>
      </c>
    </row>
    <row r="822" spans="1:17">
      <c r="A822" s="2">
        <v>2770</v>
      </c>
      <c r="B822" s="7">
        <v>0</v>
      </c>
      <c r="C822" s="7">
        <v>0</v>
      </c>
      <c r="D822" s="7">
        <v>0</v>
      </c>
      <c r="E822" s="7">
        <v>0</v>
      </c>
      <c r="F822" s="7">
        <v>0</v>
      </c>
      <c r="G822" s="7">
        <v>0</v>
      </c>
      <c r="H822" s="7">
        <v>0</v>
      </c>
      <c r="I822" s="7">
        <v>0</v>
      </c>
      <c r="J822" s="7">
        <v>0</v>
      </c>
      <c r="K822" s="7">
        <v>0</v>
      </c>
      <c r="L822" s="7">
        <v>0</v>
      </c>
      <c r="M822" s="7">
        <v>0</v>
      </c>
      <c r="N822" s="7">
        <v>0</v>
      </c>
      <c r="O822" s="7">
        <v>0</v>
      </c>
      <c r="P822" s="7">
        <v>0</v>
      </c>
      <c r="Q822" s="7">
        <v>0</v>
      </c>
    </row>
    <row r="823" spans="1:17">
      <c r="A823" s="2">
        <v>2771</v>
      </c>
      <c r="B823" s="7">
        <v>0</v>
      </c>
      <c r="C823" s="7">
        <v>0</v>
      </c>
      <c r="D823" s="7">
        <v>0</v>
      </c>
      <c r="E823" s="7">
        <v>0</v>
      </c>
      <c r="F823" s="7">
        <v>0</v>
      </c>
      <c r="G823" s="7">
        <v>0</v>
      </c>
      <c r="H823" s="7">
        <v>0</v>
      </c>
      <c r="I823" s="7">
        <v>0</v>
      </c>
      <c r="J823" s="7">
        <v>0</v>
      </c>
      <c r="K823" s="7">
        <v>0</v>
      </c>
      <c r="L823" s="7">
        <v>0</v>
      </c>
      <c r="M823" s="7">
        <v>0</v>
      </c>
      <c r="N823" s="7">
        <v>0</v>
      </c>
      <c r="O823" s="7">
        <v>0</v>
      </c>
      <c r="P823" s="7">
        <v>0</v>
      </c>
      <c r="Q823" s="7">
        <v>0</v>
      </c>
    </row>
    <row r="824" spans="1:17">
      <c r="A824" s="2">
        <v>2772</v>
      </c>
      <c r="B824" s="7">
        <v>0</v>
      </c>
      <c r="C824" s="7">
        <v>0</v>
      </c>
      <c r="D824" s="7">
        <v>0</v>
      </c>
      <c r="E824" s="7">
        <v>0</v>
      </c>
      <c r="F824" s="7">
        <v>0</v>
      </c>
      <c r="G824" s="7">
        <v>0</v>
      </c>
      <c r="H824" s="7">
        <v>0</v>
      </c>
      <c r="I824" s="7">
        <v>0</v>
      </c>
      <c r="J824" s="7">
        <v>0</v>
      </c>
      <c r="K824" s="7">
        <v>0</v>
      </c>
      <c r="L824" s="7">
        <v>0</v>
      </c>
      <c r="M824" s="7">
        <v>0</v>
      </c>
      <c r="N824" s="7">
        <v>0</v>
      </c>
      <c r="O824" s="7">
        <v>0</v>
      </c>
      <c r="P824" s="7">
        <v>0</v>
      </c>
      <c r="Q824" s="7">
        <v>0</v>
      </c>
    </row>
    <row r="825" spans="1:17">
      <c r="A825" s="2">
        <v>2773</v>
      </c>
      <c r="B825" s="7">
        <v>0</v>
      </c>
      <c r="C825" s="7">
        <v>0</v>
      </c>
      <c r="D825" s="7">
        <v>0</v>
      </c>
      <c r="E825" s="7">
        <v>0</v>
      </c>
      <c r="F825" s="7">
        <v>0</v>
      </c>
      <c r="G825" s="7">
        <v>0</v>
      </c>
      <c r="H825" s="7">
        <v>0</v>
      </c>
      <c r="I825" s="7">
        <v>0</v>
      </c>
      <c r="J825" s="7">
        <v>0</v>
      </c>
      <c r="K825" s="7">
        <v>0</v>
      </c>
      <c r="L825" s="7">
        <v>0</v>
      </c>
      <c r="M825" s="7">
        <v>0</v>
      </c>
      <c r="N825" s="7">
        <v>0</v>
      </c>
      <c r="O825" s="7">
        <v>0</v>
      </c>
      <c r="P825" s="7">
        <v>0</v>
      </c>
      <c r="Q825" s="7">
        <v>0</v>
      </c>
    </row>
    <row r="826" spans="1:17">
      <c r="A826" s="2">
        <v>2774</v>
      </c>
      <c r="B826" s="7">
        <v>0</v>
      </c>
      <c r="C826" s="7">
        <v>0</v>
      </c>
      <c r="D826" s="7">
        <v>0</v>
      </c>
      <c r="E826" s="7">
        <v>0</v>
      </c>
      <c r="F826" s="7">
        <v>0</v>
      </c>
      <c r="G826" s="7">
        <v>0</v>
      </c>
      <c r="H826" s="7">
        <v>0</v>
      </c>
      <c r="I826" s="7">
        <v>0</v>
      </c>
      <c r="J826" s="7">
        <v>0</v>
      </c>
      <c r="K826" s="7">
        <v>0</v>
      </c>
      <c r="L826" s="7">
        <v>0</v>
      </c>
      <c r="M826" s="7">
        <v>0</v>
      </c>
      <c r="N826" s="7">
        <v>0</v>
      </c>
      <c r="O826" s="7">
        <v>0</v>
      </c>
      <c r="P826" s="7">
        <v>0</v>
      </c>
      <c r="Q826" s="7">
        <v>0</v>
      </c>
    </row>
    <row r="827" spans="1:17">
      <c r="A827" s="2">
        <v>2775</v>
      </c>
      <c r="B827" s="7">
        <v>0</v>
      </c>
      <c r="C827" s="7">
        <v>0</v>
      </c>
      <c r="D827" s="7">
        <v>0</v>
      </c>
      <c r="E827" s="7">
        <v>0</v>
      </c>
      <c r="F827" s="7">
        <v>0</v>
      </c>
      <c r="G827" s="7">
        <v>0</v>
      </c>
      <c r="H827" s="7">
        <v>0</v>
      </c>
      <c r="I827" s="7">
        <v>0</v>
      </c>
      <c r="J827" s="7">
        <v>0</v>
      </c>
      <c r="K827" s="7">
        <v>0</v>
      </c>
      <c r="L827" s="7">
        <v>0</v>
      </c>
      <c r="M827" s="7">
        <v>0</v>
      </c>
      <c r="N827" s="7">
        <v>0</v>
      </c>
      <c r="O827" s="7">
        <v>0</v>
      </c>
      <c r="P827" s="7">
        <v>0</v>
      </c>
      <c r="Q827" s="7">
        <v>0</v>
      </c>
    </row>
    <row r="828" spans="1:17">
      <c r="A828" s="2">
        <v>2776</v>
      </c>
      <c r="B828" s="7">
        <v>0</v>
      </c>
      <c r="C828" s="7">
        <v>0</v>
      </c>
      <c r="D828" s="7">
        <v>0</v>
      </c>
      <c r="E828" s="7">
        <v>0</v>
      </c>
      <c r="F828" s="7">
        <v>0</v>
      </c>
      <c r="G828" s="7">
        <v>0</v>
      </c>
      <c r="H828" s="7">
        <v>0</v>
      </c>
      <c r="I828" s="7">
        <v>0</v>
      </c>
      <c r="J828" s="7">
        <v>0</v>
      </c>
      <c r="K828" s="7">
        <v>0</v>
      </c>
      <c r="L828" s="7">
        <v>0</v>
      </c>
      <c r="M828" s="7">
        <v>0</v>
      </c>
      <c r="N828" s="7">
        <v>0</v>
      </c>
      <c r="O828" s="7">
        <v>0</v>
      </c>
      <c r="P828" s="7">
        <v>0</v>
      </c>
      <c r="Q828" s="7">
        <v>0</v>
      </c>
    </row>
    <row r="829" spans="1:17">
      <c r="A829" s="2">
        <v>2777</v>
      </c>
      <c r="B829" s="7">
        <v>0</v>
      </c>
      <c r="C829" s="7">
        <v>0</v>
      </c>
      <c r="D829" s="7">
        <v>0</v>
      </c>
      <c r="E829" s="7">
        <v>0</v>
      </c>
      <c r="F829" s="7">
        <v>0</v>
      </c>
      <c r="G829" s="7">
        <v>0</v>
      </c>
      <c r="H829" s="7">
        <v>0</v>
      </c>
      <c r="I829" s="7">
        <v>0</v>
      </c>
      <c r="J829" s="7">
        <v>0</v>
      </c>
      <c r="K829" s="7">
        <v>0</v>
      </c>
      <c r="L829" s="7">
        <v>0</v>
      </c>
      <c r="M829" s="7">
        <v>0</v>
      </c>
      <c r="N829" s="7">
        <v>0</v>
      </c>
      <c r="O829" s="7">
        <v>0</v>
      </c>
      <c r="P829" s="7">
        <v>0</v>
      </c>
      <c r="Q829" s="7">
        <v>0</v>
      </c>
    </row>
    <row r="830" spans="1:17">
      <c r="A830" s="2">
        <v>2778</v>
      </c>
      <c r="B830" s="7">
        <v>0</v>
      </c>
      <c r="C830" s="7">
        <v>0</v>
      </c>
      <c r="D830" s="7">
        <v>0</v>
      </c>
      <c r="E830" s="7">
        <v>0</v>
      </c>
      <c r="F830" s="7">
        <v>0</v>
      </c>
      <c r="G830" s="7">
        <v>0</v>
      </c>
      <c r="H830" s="7">
        <v>0</v>
      </c>
      <c r="I830" s="7">
        <v>0</v>
      </c>
      <c r="J830" s="7">
        <v>0</v>
      </c>
      <c r="K830" s="7">
        <v>0</v>
      </c>
      <c r="L830" s="7">
        <v>0</v>
      </c>
      <c r="M830" s="7">
        <v>0</v>
      </c>
      <c r="N830" s="7">
        <v>0</v>
      </c>
      <c r="O830" s="7">
        <v>0</v>
      </c>
      <c r="P830" s="7">
        <v>0</v>
      </c>
      <c r="Q830" s="7">
        <v>0</v>
      </c>
    </row>
    <row r="831" spans="1:17">
      <c r="A831" s="2">
        <v>2779</v>
      </c>
      <c r="B831" s="7">
        <v>0</v>
      </c>
      <c r="C831" s="7">
        <v>0</v>
      </c>
      <c r="D831" s="7">
        <v>0</v>
      </c>
      <c r="E831" s="7">
        <v>0</v>
      </c>
      <c r="F831" s="7">
        <v>0</v>
      </c>
      <c r="G831" s="7">
        <v>0</v>
      </c>
      <c r="H831" s="7">
        <v>0</v>
      </c>
      <c r="I831" s="7">
        <v>0</v>
      </c>
      <c r="J831" s="7">
        <v>0</v>
      </c>
      <c r="K831" s="7">
        <v>0</v>
      </c>
      <c r="L831" s="7">
        <v>0</v>
      </c>
      <c r="M831" s="7">
        <v>0</v>
      </c>
      <c r="N831" s="7">
        <v>0</v>
      </c>
      <c r="O831" s="7">
        <v>0</v>
      </c>
      <c r="P831" s="7">
        <v>0</v>
      </c>
      <c r="Q831" s="7">
        <v>0</v>
      </c>
    </row>
    <row r="832" spans="1:17">
      <c r="A832" s="2">
        <v>2780</v>
      </c>
      <c r="B832" s="7">
        <v>0</v>
      </c>
      <c r="C832" s="7">
        <v>0</v>
      </c>
      <c r="D832" s="7">
        <v>0</v>
      </c>
      <c r="E832" s="7">
        <v>0</v>
      </c>
      <c r="F832" s="7">
        <v>0</v>
      </c>
      <c r="G832" s="7">
        <v>0</v>
      </c>
      <c r="H832" s="7">
        <v>0</v>
      </c>
      <c r="I832" s="7">
        <v>0</v>
      </c>
      <c r="J832" s="7">
        <v>0</v>
      </c>
      <c r="K832" s="7">
        <v>0</v>
      </c>
      <c r="L832" s="7">
        <v>0</v>
      </c>
      <c r="M832" s="7">
        <v>0</v>
      </c>
      <c r="N832" s="7">
        <v>0</v>
      </c>
      <c r="O832" s="7">
        <v>0</v>
      </c>
      <c r="P832" s="7">
        <v>0</v>
      </c>
      <c r="Q832" s="7">
        <v>0</v>
      </c>
    </row>
    <row r="833" spans="1:17">
      <c r="A833" s="2">
        <v>2781</v>
      </c>
      <c r="B833" s="7">
        <v>0</v>
      </c>
      <c r="C833" s="7">
        <v>0</v>
      </c>
      <c r="D833" s="7">
        <v>0</v>
      </c>
      <c r="E833" s="7">
        <v>0</v>
      </c>
      <c r="F833" s="7">
        <v>0</v>
      </c>
      <c r="G833" s="7">
        <v>0</v>
      </c>
      <c r="H833" s="7">
        <v>0</v>
      </c>
      <c r="I833" s="7">
        <v>0</v>
      </c>
      <c r="J833" s="7">
        <v>0</v>
      </c>
      <c r="K833" s="7">
        <v>0</v>
      </c>
      <c r="L833" s="7">
        <v>0</v>
      </c>
      <c r="M833" s="7">
        <v>0</v>
      </c>
      <c r="N833" s="7">
        <v>0</v>
      </c>
      <c r="O833" s="7">
        <v>0</v>
      </c>
      <c r="P833" s="7">
        <v>0</v>
      </c>
      <c r="Q833" s="7">
        <v>0</v>
      </c>
    </row>
    <row r="834" spans="1:17">
      <c r="A834" s="2">
        <v>2782</v>
      </c>
      <c r="B834" s="7">
        <v>0</v>
      </c>
      <c r="C834" s="7">
        <v>0</v>
      </c>
      <c r="D834" s="7">
        <v>0</v>
      </c>
      <c r="E834" s="7">
        <v>0</v>
      </c>
      <c r="F834" s="7">
        <v>0</v>
      </c>
      <c r="G834" s="7">
        <v>0</v>
      </c>
      <c r="H834" s="7">
        <v>0</v>
      </c>
      <c r="I834" s="7">
        <v>0</v>
      </c>
      <c r="J834" s="7">
        <v>0</v>
      </c>
      <c r="K834" s="7">
        <v>0</v>
      </c>
      <c r="L834" s="7">
        <v>0</v>
      </c>
      <c r="M834" s="7">
        <v>0</v>
      </c>
      <c r="N834" s="7">
        <v>0</v>
      </c>
      <c r="O834" s="7">
        <v>0</v>
      </c>
      <c r="P834" s="7">
        <v>0</v>
      </c>
      <c r="Q834" s="7">
        <v>0</v>
      </c>
    </row>
    <row r="835" spans="1:17">
      <c r="A835" s="2">
        <v>2783</v>
      </c>
      <c r="B835" s="7">
        <v>0</v>
      </c>
      <c r="C835" s="7">
        <v>0</v>
      </c>
      <c r="D835" s="7">
        <v>0</v>
      </c>
      <c r="E835" s="7">
        <v>0</v>
      </c>
      <c r="F835" s="7">
        <v>0</v>
      </c>
      <c r="G835" s="7">
        <v>0</v>
      </c>
      <c r="H835" s="7">
        <v>0</v>
      </c>
      <c r="I835" s="7">
        <v>0</v>
      </c>
      <c r="J835" s="7">
        <v>0</v>
      </c>
      <c r="K835" s="7">
        <v>0</v>
      </c>
      <c r="L835" s="7">
        <v>0</v>
      </c>
      <c r="M835" s="7">
        <v>0</v>
      </c>
      <c r="N835" s="7">
        <v>0</v>
      </c>
      <c r="O835" s="7">
        <v>0</v>
      </c>
      <c r="P835" s="7">
        <v>0</v>
      </c>
      <c r="Q835" s="7">
        <v>0</v>
      </c>
    </row>
    <row r="836" spans="1:17">
      <c r="A836" s="2">
        <v>2784</v>
      </c>
      <c r="B836" s="7">
        <v>0</v>
      </c>
      <c r="C836" s="7">
        <v>0</v>
      </c>
      <c r="D836" s="7">
        <v>0</v>
      </c>
      <c r="E836" s="7">
        <v>0</v>
      </c>
      <c r="F836" s="7">
        <v>0</v>
      </c>
      <c r="G836" s="7">
        <v>0</v>
      </c>
      <c r="H836" s="7">
        <v>0</v>
      </c>
      <c r="I836" s="7">
        <v>0</v>
      </c>
      <c r="J836" s="7">
        <v>0</v>
      </c>
      <c r="K836" s="7">
        <v>0</v>
      </c>
      <c r="L836" s="7">
        <v>0</v>
      </c>
      <c r="M836" s="7">
        <v>0</v>
      </c>
      <c r="N836" s="7">
        <v>0</v>
      </c>
      <c r="O836" s="7">
        <v>0</v>
      </c>
      <c r="P836" s="7">
        <v>0</v>
      </c>
      <c r="Q836" s="7">
        <v>0</v>
      </c>
    </row>
    <row r="837" spans="1:17">
      <c r="A837" s="2">
        <v>2785</v>
      </c>
      <c r="B837" s="7">
        <v>0</v>
      </c>
      <c r="C837" s="7">
        <v>0</v>
      </c>
      <c r="D837" s="7">
        <v>0</v>
      </c>
      <c r="E837" s="7">
        <v>0</v>
      </c>
      <c r="F837" s="7">
        <v>0</v>
      </c>
      <c r="G837" s="7">
        <v>0</v>
      </c>
      <c r="H837" s="7">
        <v>0</v>
      </c>
      <c r="I837" s="7">
        <v>0</v>
      </c>
      <c r="J837" s="7">
        <v>0</v>
      </c>
      <c r="K837" s="7">
        <v>0</v>
      </c>
      <c r="L837" s="7">
        <v>0</v>
      </c>
      <c r="M837" s="7">
        <v>0</v>
      </c>
      <c r="N837" s="7">
        <v>0</v>
      </c>
      <c r="O837" s="7">
        <v>0</v>
      </c>
      <c r="P837" s="7">
        <v>0</v>
      </c>
      <c r="Q837" s="7">
        <v>0</v>
      </c>
    </row>
    <row r="838" spans="1:17">
      <c r="A838" s="2">
        <v>2786</v>
      </c>
      <c r="B838" s="7">
        <v>0</v>
      </c>
      <c r="C838" s="7">
        <v>0</v>
      </c>
      <c r="D838" s="7">
        <v>0</v>
      </c>
      <c r="E838" s="7">
        <v>0</v>
      </c>
      <c r="F838" s="7">
        <v>0</v>
      </c>
      <c r="G838" s="7">
        <v>0</v>
      </c>
      <c r="H838" s="7">
        <v>0</v>
      </c>
      <c r="I838" s="7">
        <v>0</v>
      </c>
      <c r="J838" s="7">
        <v>0</v>
      </c>
      <c r="K838" s="7">
        <v>0</v>
      </c>
      <c r="L838" s="7">
        <v>0</v>
      </c>
      <c r="M838" s="7">
        <v>0</v>
      </c>
      <c r="N838" s="7">
        <v>0</v>
      </c>
      <c r="O838" s="7">
        <v>0</v>
      </c>
      <c r="P838" s="7">
        <v>0</v>
      </c>
      <c r="Q838" s="7">
        <v>0</v>
      </c>
    </row>
    <row r="839" spans="1:17">
      <c r="A839" s="2">
        <v>2787</v>
      </c>
      <c r="B839" s="7">
        <v>0</v>
      </c>
      <c r="C839" s="7">
        <v>0</v>
      </c>
      <c r="D839" s="7">
        <v>0</v>
      </c>
      <c r="E839" s="7">
        <v>0</v>
      </c>
      <c r="F839" s="7">
        <v>0</v>
      </c>
      <c r="G839" s="7">
        <v>0</v>
      </c>
      <c r="H839" s="7">
        <v>0</v>
      </c>
      <c r="I839" s="7">
        <v>0</v>
      </c>
      <c r="J839" s="7">
        <v>0</v>
      </c>
      <c r="K839" s="7">
        <v>0</v>
      </c>
      <c r="L839" s="7">
        <v>0</v>
      </c>
      <c r="M839" s="7">
        <v>0</v>
      </c>
      <c r="N839" s="7">
        <v>0</v>
      </c>
      <c r="O839" s="7">
        <v>0</v>
      </c>
      <c r="P839" s="7">
        <v>0</v>
      </c>
      <c r="Q839" s="7">
        <v>0</v>
      </c>
    </row>
    <row r="840" spans="1:17">
      <c r="A840" s="2">
        <v>2788</v>
      </c>
      <c r="B840" s="7">
        <v>0</v>
      </c>
      <c r="C840" s="7">
        <v>0</v>
      </c>
      <c r="D840" s="7">
        <v>0</v>
      </c>
      <c r="E840" s="7">
        <v>0</v>
      </c>
      <c r="F840" s="7">
        <v>0</v>
      </c>
      <c r="G840" s="7">
        <v>0</v>
      </c>
      <c r="H840" s="7">
        <v>0</v>
      </c>
      <c r="I840" s="7">
        <v>0</v>
      </c>
      <c r="J840" s="7">
        <v>0</v>
      </c>
      <c r="K840" s="7">
        <v>0</v>
      </c>
      <c r="L840" s="7">
        <v>0</v>
      </c>
      <c r="M840" s="7">
        <v>0</v>
      </c>
      <c r="N840" s="7">
        <v>0</v>
      </c>
      <c r="O840" s="7">
        <v>0</v>
      </c>
      <c r="P840" s="7">
        <v>0</v>
      </c>
      <c r="Q840" s="7">
        <v>0</v>
      </c>
    </row>
    <row r="841" spans="1:17">
      <c r="A841" s="2">
        <v>2789</v>
      </c>
      <c r="B841" s="7">
        <v>0</v>
      </c>
      <c r="C841" s="7">
        <v>0</v>
      </c>
      <c r="D841" s="7">
        <v>0</v>
      </c>
      <c r="E841" s="7">
        <v>0</v>
      </c>
      <c r="F841" s="7">
        <v>0</v>
      </c>
      <c r="G841" s="7">
        <v>0</v>
      </c>
      <c r="H841" s="7">
        <v>0</v>
      </c>
      <c r="I841" s="7">
        <v>0</v>
      </c>
      <c r="J841" s="7">
        <v>0</v>
      </c>
      <c r="K841" s="7">
        <v>0</v>
      </c>
      <c r="L841" s="7">
        <v>0</v>
      </c>
      <c r="M841" s="7">
        <v>0</v>
      </c>
      <c r="N841" s="7">
        <v>0</v>
      </c>
      <c r="O841" s="7">
        <v>0</v>
      </c>
      <c r="P841" s="7">
        <v>0</v>
      </c>
      <c r="Q841" s="7">
        <v>0</v>
      </c>
    </row>
    <row r="842" spans="1:17">
      <c r="A842" s="2">
        <v>2790</v>
      </c>
      <c r="B842" s="7">
        <v>0</v>
      </c>
      <c r="C842" s="7">
        <v>0</v>
      </c>
      <c r="D842" s="7">
        <v>0</v>
      </c>
      <c r="E842" s="7">
        <v>0</v>
      </c>
      <c r="F842" s="7">
        <v>0</v>
      </c>
      <c r="G842" s="7">
        <v>0</v>
      </c>
      <c r="H842" s="7">
        <v>0</v>
      </c>
      <c r="I842" s="7">
        <v>0</v>
      </c>
      <c r="J842" s="7">
        <v>0</v>
      </c>
      <c r="K842" s="7">
        <v>0</v>
      </c>
      <c r="L842" s="7">
        <v>0</v>
      </c>
      <c r="M842" s="7">
        <v>0</v>
      </c>
      <c r="N842" s="7">
        <v>0</v>
      </c>
      <c r="O842" s="7">
        <v>0</v>
      </c>
      <c r="P842" s="7">
        <v>0</v>
      </c>
      <c r="Q842" s="7">
        <v>0</v>
      </c>
    </row>
    <row r="843" spans="1:17">
      <c r="A843" s="2">
        <v>2791</v>
      </c>
      <c r="B843" s="7">
        <v>0</v>
      </c>
      <c r="C843" s="7">
        <v>0</v>
      </c>
      <c r="D843" s="7">
        <v>0</v>
      </c>
      <c r="E843" s="7">
        <v>0</v>
      </c>
      <c r="F843" s="7">
        <v>0</v>
      </c>
      <c r="G843" s="7">
        <v>0</v>
      </c>
      <c r="H843" s="7">
        <v>0</v>
      </c>
      <c r="I843" s="7">
        <v>0</v>
      </c>
      <c r="J843" s="7">
        <v>0</v>
      </c>
      <c r="K843" s="7">
        <v>0</v>
      </c>
      <c r="L843" s="7">
        <v>0</v>
      </c>
      <c r="M843" s="7">
        <v>0</v>
      </c>
      <c r="N843" s="7">
        <v>0</v>
      </c>
      <c r="O843" s="7">
        <v>0</v>
      </c>
      <c r="P843" s="7">
        <v>0</v>
      </c>
      <c r="Q843" s="7">
        <v>0</v>
      </c>
    </row>
    <row r="844" spans="1:17">
      <c r="A844" s="2">
        <v>2792</v>
      </c>
      <c r="B844" s="7">
        <v>0</v>
      </c>
      <c r="C844" s="7">
        <v>0</v>
      </c>
      <c r="D844" s="7">
        <v>0</v>
      </c>
      <c r="E844" s="7">
        <v>0</v>
      </c>
      <c r="F844" s="7">
        <v>0</v>
      </c>
      <c r="G844" s="7">
        <v>0</v>
      </c>
      <c r="H844" s="7">
        <v>0</v>
      </c>
      <c r="I844" s="7">
        <v>0</v>
      </c>
      <c r="J844" s="7">
        <v>0</v>
      </c>
      <c r="K844" s="7">
        <v>0</v>
      </c>
      <c r="L844" s="7">
        <v>0</v>
      </c>
      <c r="M844" s="7">
        <v>0</v>
      </c>
      <c r="N844" s="7">
        <v>0</v>
      </c>
      <c r="O844" s="7">
        <v>0</v>
      </c>
      <c r="P844" s="7">
        <v>0</v>
      </c>
      <c r="Q844" s="7">
        <v>0</v>
      </c>
    </row>
    <row r="845" spans="1:17">
      <c r="A845" s="2">
        <v>2793</v>
      </c>
      <c r="B845" s="7">
        <v>0</v>
      </c>
      <c r="C845" s="7">
        <v>0</v>
      </c>
      <c r="D845" s="7">
        <v>0</v>
      </c>
      <c r="E845" s="7">
        <v>0</v>
      </c>
      <c r="F845" s="7">
        <v>0</v>
      </c>
      <c r="G845" s="7">
        <v>0</v>
      </c>
      <c r="H845" s="7">
        <v>0</v>
      </c>
      <c r="I845" s="7">
        <v>0</v>
      </c>
      <c r="J845" s="7">
        <v>0</v>
      </c>
      <c r="K845" s="7">
        <v>0</v>
      </c>
      <c r="L845" s="7">
        <v>0</v>
      </c>
      <c r="M845" s="7">
        <v>0</v>
      </c>
      <c r="N845" s="7">
        <v>0</v>
      </c>
      <c r="O845" s="7">
        <v>0</v>
      </c>
      <c r="P845" s="7">
        <v>0</v>
      </c>
      <c r="Q845" s="7">
        <v>0</v>
      </c>
    </row>
    <row r="846" spans="1:17">
      <c r="A846" s="2">
        <v>2794</v>
      </c>
      <c r="B846" s="7">
        <v>0</v>
      </c>
      <c r="C846" s="7">
        <v>0</v>
      </c>
      <c r="D846" s="7">
        <v>0</v>
      </c>
      <c r="E846" s="7">
        <v>0</v>
      </c>
      <c r="F846" s="7">
        <v>0</v>
      </c>
      <c r="G846" s="7">
        <v>0</v>
      </c>
      <c r="H846" s="7">
        <v>0</v>
      </c>
      <c r="I846" s="7">
        <v>0</v>
      </c>
      <c r="J846" s="7">
        <v>0</v>
      </c>
      <c r="K846" s="7">
        <v>0</v>
      </c>
      <c r="L846" s="7">
        <v>0</v>
      </c>
      <c r="M846" s="7">
        <v>0</v>
      </c>
      <c r="N846" s="7">
        <v>0</v>
      </c>
      <c r="O846" s="7">
        <v>0</v>
      </c>
      <c r="P846" s="7">
        <v>0</v>
      </c>
      <c r="Q846" s="7">
        <v>0</v>
      </c>
    </row>
    <row r="847" spans="1:17">
      <c r="A847" s="2">
        <v>2795</v>
      </c>
      <c r="B847" s="7">
        <v>0</v>
      </c>
      <c r="C847" s="7">
        <v>0</v>
      </c>
      <c r="D847" s="7">
        <v>0</v>
      </c>
      <c r="E847" s="7">
        <v>0</v>
      </c>
      <c r="F847" s="7">
        <v>0</v>
      </c>
      <c r="G847" s="7">
        <v>0</v>
      </c>
      <c r="H847" s="7">
        <v>0</v>
      </c>
      <c r="I847" s="7">
        <v>0</v>
      </c>
      <c r="J847" s="7">
        <v>0</v>
      </c>
      <c r="K847" s="7">
        <v>0</v>
      </c>
      <c r="L847" s="7">
        <v>0</v>
      </c>
      <c r="M847" s="7">
        <v>0</v>
      </c>
      <c r="N847" s="7">
        <v>0</v>
      </c>
      <c r="O847" s="7">
        <v>0</v>
      </c>
      <c r="P847" s="7">
        <v>0</v>
      </c>
      <c r="Q847" s="7">
        <v>0</v>
      </c>
    </row>
    <row r="848" spans="1:17">
      <c r="A848" s="2">
        <v>2796</v>
      </c>
      <c r="B848" s="7">
        <v>0</v>
      </c>
      <c r="C848" s="7">
        <v>0</v>
      </c>
      <c r="D848" s="7">
        <v>0</v>
      </c>
      <c r="E848" s="7">
        <v>0</v>
      </c>
      <c r="F848" s="7">
        <v>0</v>
      </c>
      <c r="G848" s="7">
        <v>0</v>
      </c>
      <c r="H848" s="7">
        <v>0</v>
      </c>
      <c r="I848" s="7">
        <v>0</v>
      </c>
      <c r="J848" s="7">
        <v>0</v>
      </c>
      <c r="K848" s="7">
        <v>0</v>
      </c>
      <c r="L848" s="7">
        <v>0</v>
      </c>
      <c r="M848" s="7">
        <v>0</v>
      </c>
      <c r="N848" s="7">
        <v>0</v>
      </c>
      <c r="O848" s="7">
        <v>0</v>
      </c>
      <c r="P848" s="7">
        <v>0</v>
      </c>
      <c r="Q848" s="7">
        <v>0</v>
      </c>
    </row>
    <row r="849" spans="1:17">
      <c r="A849" s="2">
        <v>2797</v>
      </c>
      <c r="B849" s="7">
        <v>0</v>
      </c>
      <c r="C849" s="7">
        <v>0</v>
      </c>
      <c r="D849" s="7">
        <v>0</v>
      </c>
      <c r="E849" s="7">
        <v>0</v>
      </c>
      <c r="F849" s="7">
        <v>0</v>
      </c>
      <c r="G849" s="7">
        <v>0</v>
      </c>
      <c r="H849" s="7">
        <v>0</v>
      </c>
      <c r="I849" s="7">
        <v>0</v>
      </c>
      <c r="J849" s="7">
        <v>0</v>
      </c>
      <c r="K849" s="7">
        <v>0</v>
      </c>
      <c r="L849" s="7">
        <v>0</v>
      </c>
      <c r="M849" s="7">
        <v>0</v>
      </c>
      <c r="N849" s="7">
        <v>0</v>
      </c>
      <c r="O849" s="7">
        <v>0</v>
      </c>
      <c r="P849" s="7">
        <v>0</v>
      </c>
      <c r="Q849" s="7">
        <v>0</v>
      </c>
    </row>
    <row r="850" spans="1:17">
      <c r="A850" s="2">
        <v>2798</v>
      </c>
      <c r="B850" s="7">
        <v>0</v>
      </c>
      <c r="C850" s="7">
        <v>0</v>
      </c>
      <c r="D850" s="7">
        <v>0</v>
      </c>
      <c r="E850" s="7">
        <v>0</v>
      </c>
      <c r="F850" s="7">
        <v>0</v>
      </c>
      <c r="G850" s="7">
        <v>0</v>
      </c>
      <c r="H850" s="7">
        <v>0</v>
      </c>
      <c r="I850" s="7">
        <v>0</v>
      </c>
      <c r="J850" s="7">
        <v>0</v>
      </c>
      <c r="K850" s="7">
        <v>0</v>
      </c>
      <c r="L850" s="7">
        <v>0</v>
      </c>
      <c r="M850" s="7">
        <v>0</v>
      </c>
      <c r="N850" s="7">
        <v>0</v>
      </c>
      <c r="O850" s="7">
        <v>0</v>
      </c>
      <c r="P850" s="7">
        <v>0</v>
      </c>
      <c r="Q850" s="7">
        <v>0</v>
      </c>
    </row>
    <row r="851" spans="1:17">
      <c r="A851" s="2">
        <v>2799</v>
      </c>
      <c r="B851" s="7">
        <v>0</v>
      </c>
      <c r="C851" s="7">
        <v>0</v>
      </c>
      <c r="D851" s="7">
        <v>0</v>
      </c>
      <c r="E851" s="7">
        <v>0</v>
      </c>
      <c r="F851" s="7">
        <v>0</v>
      </c>
      <c r="G851" s="7">
        <v>0</v>
      </c>
      <c r="H851" s="7">
        <v>0</v>
      </c>
      <c r="I851" s="7">
        <v>0</v>
      </c>
      <c r="J851" s="7">
        <v>0</v>
      </c>
      <c r="K851" s="7">
        <v>0</v>
      </c>
      <c r="L851" s="7">
        <v>0</v>
      </c>
      <c r="M851" s="7">
        <v>0</v>
      </c>
      <c r="N851" s="7">
        <v>0</v>
      </c>
      <c r="O851" s="7">
        <v>0</v>
      </c>
      <c r="P851" s="7">
        <v>0</v>
      </c>
      <c r="Q851" s="7">
        <v>0</v>
      </c>
    </row>
    <row r="852" spans="1:17">
      <c r="A852" s="2">
        <v>2800</v>
      </c>
      <c r="B852" s="7">
        <v>0</v>
      </c>
      <c r="C852" s="7">
        <v>0</v>
      </c>
      <c r="D852" s="7">
        <v>0</v>
      </c>
      <c r="E852" s="7">
        <v>0</v>
      </c>
      <c r="F852" s="7">
        <v>0</v>
      </c>
      <c r="G852" s="7">
        <v>0</v>
      </c>
      <c r="H852" s="7">
        <v>0</v>
      </c>
      <c r="I852" s="7">
        <v>0</v>
      </c>
      <c r="J852" s="7">
        <v>0</v>
      </c>
      <c r="K852" s="7">
        <v>0</v>
      </c>
      <c r="L852" s="7">
        <v>0</v>
      </c>
      <c r="M852" s="7">
        <v>0</v>
      </c>
      <c r="N852" s="7">
        <v>0</v>
      </c>
      <c r="O852" s="7">
        <v>0</v>
      </c>
      <c r="P852" s="7">
        <v>0</v>
      </c>
      <c r="Q852" s="7">
        <v>0</v>
      </c>
    </row>
    <row r="853" spans="1:17">
      <c r="A853" s="2">
        <v>2801</v>
      </c>
      <c r="B853" s="7">
        <v>0</v>
      </c>
      <c r="C853" s="7">
        <v>0</v>
      </c>
      <c r="D853" s="7">
        <v>0</v>
      </c>
      <c r="E853" s="7">
        <v>0</v>
      </c>
      <c r="F853" s="7">
        <v>0</v>
      </c>
      <c r="G853" s="7">
        <v>0</v>
      </c>
      <c r="H853" s="7">
        <v>0</v>
      </c>
      <c r="I853" s="7">
        <v>0</v>
      </c>
      <c r="J853" s="7">
        <v>0</v>
      </c>
      <c r="K853" s="7">
        <v>0</v>
      </c>
      <c r="L853" s="7">
        <v>0</v>
      </c>
      <c r="M853" s="7">
        <v>0</v>
      </c>
      <c r="N853" s="7">
        <v>0</v>
      </c>
      <c r="O853" s="7">
        <v>0</v>
      </c>
      <c r="P853" s="7">
        <v>0</v>
      </c>
      <c r="Q853" s="7">
        <v>0</v>
      </c>
    </row>
    <row r="854" spans="1:17">
      <c r="A854" s="2">
        <v>2802</v>
      </c>
      <c r="B854" s="7">
        <v>0</v>
      </c>
      <c r="C854" s="7">
        <v>0</v>
      </c>
      <c r="D854" s="7">
        <v>0</v>
      </c>
      <c r="E854" s="7">
        <v>0</v>
      </c>
      <c r="F854" s="7">
        <v>0</v>
      </c>
      <c r="G854" s="7">
        <v>0</v>
      </c>
      <c r="H854" s="7">
        <v>0</v>
      </c>
      <c r="I854" s="7">
        <v>0</v>
      </c>
      <c r="J854" s="7">
        <v>0</v>
      </c>
      <c r="K854" s="7">
        <v>0</v>
      </c>
      <c r="L854" s="7">
        <v>0</v>
      </c>
      <c r="M854" s="7">
        <v>0</v>
      </c>
      <c r="N854" s="7">
        <v>0</v>
      </c>
      <c r="O854" s="7">
        <v>0</v>
      </c>
      <c r="P854" s="7">
        <v>0</v>
      </c>
      <c r="Q854" s="7">
        <v>0</v>
      </c>
    </row>
    <row r="855" spans="1:17">
      <c r="A855" s="2">
        <v>2803</v>
      </c>
      <c r="B855" s="7">
        <v>0</v>
      </c>
      <c r="C855" s="7">
        <v>0</v>
      </c>
      <c r="D855" s="7">
        <v>0</v>
      </c>
      <c r="E855" s="7">
        <v>0</v>
      </c>
      <c r="F855" s="7">
        <v>0</v>
      </c>
      <c r="G855" s="7">
        <v>0</v>
      </c>
      <c r="H855" s="7">
        <v>0</v>
      </c>
      <c r="I855" s="7">
        <v>0</v>
      </c>
      <c r="J855" s="7">
        <v>0</v>
      </c>
      <c r="K855" s="7">
        <v>0</v>
      </c>
      <c r="L855" s="7">
        <v>0</v>
      </c>
      <c r="M855" s="7">
        <v>0</v>
      </c>
      <c r="N855" s="7">
        <v>0</v>
      </c>
      <c r="O855" s="7">
        <v>0</v>
      </c>
      <c r="P855" s="7">
        <v>0</v>
      </c>
      <c r="Q855" s="7">
        <v>0</v>
      </c>
    </row>
    <row r="856" spans="1:17">
      <c r="A856" s="2">
        <v>2804</v>
      </c>
      <c r="B856" s="7">
        <v>0</v>
      </c>
      <c r="C856" s="7">
        <v>0</v>
      </c>
      <c r="D856" s="7">
        <v>0</v>
      </c>
      <c r="E856" s="7">
        <v>0</v>
      </c>
      <c r="F856" s="7">
        <v>0</v>
      </c>
      <c r="G856" s="7">
        <v>0</v>
      </c>
      <c r="H856" s="7">
        <v>0</v>
      </c>
      <c r="I856" s="7">
        <v>0</v>
      </c>
      <c r="J856" s="7">
        <v>0</v>
      </c>
      <c r="K856" s="7">
        <v>0</v>
      </c>
      <c r="L856" s="7">
        <v>0</v>
      </c>
      <c r="M856" s="7">
        <v>0</v>
      </c>
      <c r="N856" s="7">
        <v>0</v>
      </c>
      <c r="O856" s="7">
        <v>0</v>
      </c>
      <c r="P856" s="7">
        <v>0</v>
      </c>
      <c r="Q856" s="7">
        <v>0</v>
      </c>
    </row>
    <row r="857" spans="1:17">
      <c r="A857" s="2">
        <v>2805</v>
      </c>
      <c r="B857" s="7">
        <v>0</v>
      </c>
      <c r="C857" s="7">
        <v>0</v>
      </c>
      <c r="D857" s="7">
        <v>0</v>
      </c>
      <c r="E857" s="7">
        <v>0</v>
      </c>
      <c r="F857" s="7">
        <v>0</v>
      </c>
      <c r="G857" s="7">
        <v>0</v>
      </c>
      <c r="H857" s="7">
        <v>0</v>
      </c>
      <c r="I857" s="7">
        <v>0</v>
      </c>
      <c r="J857" s="7">
        <v>0</v>
      </c>
      <c r="K857" s="7">
        <v>0</v>
      </c>
      <c r="L857" s="7">
        <v>0</v>
      </c>
      <c r="M857" s="7">
        <v>0</v>
      </c>
      <c r="N857" s="7">
        <v>0</v>
      </c>
      <c r="O857" s="7">
        <v>0</v>
      </c>
      <c r="P857" s="7">
        <v>0</v>
      </c>
      <c r="Q857" s="7">
        <v>0</v>
      </c>
    </row>
    <row r="858" spans="1:17">
      <c r="A858" s="2">
        <v>2806</v>
      </c>
      <c r="B858" s="7">
        <v>0</v>
      </c>
      <c r="C858" s="7">
        <v>0</v>
      </c>
      <c r="D858" s="7">
        <v>0</v>
      </c>
      <c r="E858" s="7">
        <v>0</v>
      </c>
      <c r="F858" s="7">
        <v>0</v>
      </c>
      <c r="G858" s="7">
        <v>0</v>
      </c>
      <c r="H858" s="7">
        <v>0</v>
      </c>
      <c r="I858" s="7">
        <v>0</v>
      </c>
      <c r="J858" s="7">
        <v>0</v>
      </c>
      <c r="K858" s="7">
        <v>0</v>
      </c>
      <c r="L858" s="7">
        <v>0</v>
      </c>
      <c r="M858" s="7">
        <v>0</v>
      </c>
      <c r="N858" s="7">
        <v>0</v>
      </c>
      <c r="O858" s="7">
        <v>0</v>
      </c>
      <c r="P858" s="7">
        <v>0</v>
      </c>
      <c r="Q858" s="7">
        <v>0</v>
      </c>
    </row>
    <row r="859" spans="1:17">
      <c r="A859" s="2">
        <v>2807</v>
      </c>
      <c r="B859" s="7">
        <v>0</v>
      </c>
      <c r="C859" s="7">
        <v>0</v>
      </c>
      <c r="D859" s="7">
        <v>0</v>
      </c>
      <c r="E859" s="7">
        <v>0</v>
      </c>
      <c r="F859" s="7">
        <v>0</v>
      </c>
      <c r="G859" s="7">
        <v>0</v>
      </c>
      <c r="H859" s="7">
        <v>0</v>
      </c>
      <c r="I859" s="7">
        <v>0</v>
      </c>
      <c r="J859" s="7">
        <v>0</v>
      </c>
      <c r="K859" s="7">
        <v>0</v>
      </c>
      <c r="L859" s="7">
        <v>0</v>
      </c>
      <c r="M859" s="7">
        <v>0</v>
      </c>
      <c r="N859" s="7">
        <v>0</v>
      </c>
      <c r="O859" s="7">
        <v>0</v>
      </c>
      <c r="P859" s="7">
        <v>0</v>
      </c>
      <c r="Q859" s="7">
        <v>0</v>
      </c>
    </row>
    <row r="860" spans="1:17">
      <c r="A860" s="2">
        <v>2808</v>
      </c>
      <c r="B860" s="7">
        <v>0</v>
      </c>
      <c r="C860" s="7">
        <v>0</v>
      </c>
      <c r="D860" s="7">
        <v>0</v>
      </c>
      <c r="E860" s="7">
        <v>0</v>
      </c>
      <c r="F860" s="7">
        <v>0</v>
      </c>
      <c r="G860" s="7">
        <v>0</v>
      </c>
      <c r="H860" s="7">
        <v>0</v>
      </c>
      <c r="I860" s="7">
        <v>0</v>
      </c>
      <c r="J860" s="7">
        <v>0</v>
      </c>
      <c r="K860" s="7">
        <v>0</v>
      </c>
      <c r="L860" s="7">
        <v>0</v>
      </c>
      <c r="M860" s="7">
        <v>0</v>
      </c>
      <c r="N860" s="7">
        <v>0</v>
      </c>
      <c r="O860" s="7">
        <v>0</v>
      </c>
      <c r="P860" s="7">
        <v>0</v>
      </c>
      <c r="Q860" s="7">
        <v>0</v>
      </c>
    </row>
    <row r="861" spans="1:17">
      <c r="A861" s="2">
        <v>2809</v>
      </c>
      <c r="B861" s="7">
        <v>0</v>
      </c>
      <c r="C861" s="7">
        <v>0</v>
      </c>
      <c r="D861" s="7">
        <v>0</v>
      </c>
      <c r="E861" s="7">
        <v>0</v>
      </c>
      <c r="F861" s="7">
        <v>0</v>
      </c>
      <c r="G861" s="7">
        <v>0</v>
      </c>
      <c r="H861" s="7">
        <v>0</v>
      </c>
      <c r="I861" s="7">
        <v>0</v>
      </c>
      <c r="J861" s="7">
        <v>0</v>
      </c>
      <c r="K861" s="7">
        <v>0</v>
      </c>
      <c r="L861" s="7">
        <v>0</v>
      </c>
      <c r="M861" s="7">
        <v>0</v>
      </c>
      <c r="N861" s="7">
        <v>0</v>
      </c>
      <c r="O861" s="7">
        <v>0</v>
      </c>
      <c r="P861" s="7">
        <v>0</v>
      </c>
      <c r="Q861" s="7">
        <v>0</v>
      </c>
    </row>
    <row r="862" spans="1:17">
      <c r="A862" s="2">
        <v>2810</v>
      </c>
      <c r="B862" s="7">
        <v>0</v>
      </c>
      <c r="C862" s="7">
        <v>0</v>
      </c>
      <c r="D862" s="7">
        <v>0</v>
      </c>
      <c r="E862" s="7">
        <v>0</v>
      </c>
      <c r="F862" s="7">
        <v>0</v>
      </c>
      <c r="G862" s="7">
        <v>0</v>
      </c>
      <c r="H862" s="7">
        <v>0</v>
      </c>
      <c r="I862" s="7">
        <v>0</v>
      </c>
      <c r="J862" s="7">
        <v>0</v>
      </c>
      <c r="K862" s="7">
        <v>0</v>
      </c>
      <c r="L862" s="7">
        <v>0</v>
      </c>
      <c r="M862" s="7">
        <v>0</v>
      </c>
      <c r="N862" s="7">
        <v>0</v>
      </c>
      <c r="O862" s="7">
        <v>0</v>
      </c>
      <c r="P862" s="7">
        <v>0</v>
      </c>
      <c r="Q862" s="7">
        <v>0</v>
      </c>
    </row>
    <row r="863" spans="1:17">
      <c r="A863" s="2">
        <v>2811</v>
      </c>
      <c r="B863" s="7">
        <v>0</v>
      </c>
      <c r="C863" s="7">
        <v>0</v>
      </c>
      <c r="D863" s="7">
        <v>0</v>
      </c>
      <c r="E863" s="7">
        <v>0</v>
      </c>
      <c r="F863" s="7">
        <v>0</v>
      </c>
      <c r="G863" s="7">
        <v>0</v>
      </c>
      <c r="H863" s="7">
        <v>0</v>
      </c>
      <c r="I863" s="7">
        <v>0</v>
      </c>
      <c r="J863" s="7">
        <v>0</v>
      </c>
      <c r="K863" s="7">
        <v>0</v>
      </c>
      <c r="L863" s="7">
        <v>0</v>
      </c>
      <c r="M863" s="7">
        <v>0</v>
      </c>
      <c r="N863" s="7">
        <v>0</v>
      </c>
      <c r="O863" s="7">
        <v>0</v>
      </c>
      <c r="P863" s="7">
        <v>0</v>
      </c>
      <c r="Q863" s="7">
        <v>0</v>
      </c>
    </row>
    <row r="864" spans="1:17">
      <c r="A864" s="2">
        <v>2812</v>
      </c>
      <c r="B864" s="7">
        <v>0</v>
      </c>
      <c r="C864" s="7">
        <v>0</v>
      </c>
      <c r="D864" s="7">
        <v>0</v>
      </c>
      <c r="E864" s="7">
        <v>0</v>
      </c>
      <c r="F864" s="7">
        <v>0</v>
      </c>
      <c r="G864" s="7">
        <v>0</v>
      </c>
      <c r="H864" s="7">
        <v>0</v>
      </c>
      <c r="I864" s="7">
        <v>0</v>
      </c>
      <c r="J864" s="7">
        <v>0</v>
      </c>
      <c r="K864" s="7">
        <v>0</v>
      </c>
      <c r="L864" s="7">
        <v>0</v>
      </c>
      <c r="M864" s="7">
        <v>0</v>
      </c>
      <c r="N864" s="7">
        <v>0</v>
      </c>
      <c r="O864" s="7">
        <v>0</v>
      </c>
      <c r="P864" s="7">
        <v>0</v>
      </c>
      <c r="Q864" s="7">
        <v>0</v>
      </c>
    </row>
    <row r="865" spans="1:17">
      <c r="A865" s="2">
        <v>2813</v>
      </c>
      <c r="B865" s="7">
        <v>0</v>
      </c>
      <c r="C865" s="7">
        <v>0</v>
      </c>
      <c r="D865" s="7">
        <v>0</v>
      </c>
      <c r="E865" s="7">
        <v>0</v>
      </c>
      <c r="F865" s="7">
        <v>0</v>
      </c>
      <c r="G865" s="7">
        <v>0</v>
      </c>
      <c r="H865" s="7">
        <v>0</v>
      </c>
      <c r="I865" s="7">
        <v>0</v>
      </c>
      <c r="J865" s="7">
        <v>0</v>
      </c>
      <c r="K865" s="7">
        <v>0</v>
      </c>
      <c r="L865" s="7">
        <v>0</v>
      </c>
      <c r="M865" s="7">
        <v>0</v>
      </c>
      <c r="N865" s="7">
        <v>0</v>
      </c>
      <c r="O865" s="7">
        <v>0</v>
      </c>
      <c r="P865" s="7">
        <v>0</v>
      </c>
      <c r="Q865" s="7">
        <v>0</v>
      </c>
    </row>
    <row r="866" spans="1:17">
      <c r="A866" s="2">
        <v>2814</v>
      </c>
      <c r="B866" s="7">
        <v>0</v>
      </c>
      <c r="C866" s="7">
        <v>0</v>
      </c>
      <c r="D866" s="7">
        <v>0</v>
      </c>
      <c r="E866" s="7">
        <v>0</v>
      </c>
      <c r="F866" s="7">
        <v>0</v>
      </c>
      <c r="G866" s="7">
        <v>0</v>
      </c>
      <c r="H866" s="7">
        <v>0</v>
      </c>
      <c r="I866" s="7">
        <v>0</v>
      </c>
      <c r="J866" s="7">
        <v>0</v>
      </c>
      <c r="K866" s="7">
        <v>0</v>
      </c>
      <c r="L866" s="7">
        <v>0</v>
      </c>
      <c r="M866" s="7">
        <v>0</v>
      </c>
      <c r="N866" s="7">
        <v>0</v>
      </c>
      <c r="O866" s="7">
        <v>0</v>
      </c>
      <c r="P866" s="7">
        <v>0</v>
      </c>
      <c r="Q866" s="7">
        <v>0</v>
      </c>
    </row>
    <row r="867" spans="1:17">
      <c r="A867" s="2">
        <v>2815</v>
      </c>
      <c r="B867" s="7">
        <v>0</v>
      </c>
      <c r="C867" s="7">
        <v>0</v>
      </c>
      <c r="D867" s="7">
        <v>0</v>
      </c>
      <c r="E867" s="7">
        <v>0</v>
      </c>
      <c r="F867" s="7">
        <v>0</v>
      </c>
      <c r="G867" s="7">
        <v>0</v>
      </c>
      <c r="H867" s="7">
        <v>0</v>
      </c>
      <c r="I867" s="7">
        <v>0</v>
      </c>
      <c r="J867" s="7">
        <v>0</v>
      </c>
      <c r="K867" s="7">
        <v>0</v>
      </c>
      <c r="L867" s="7">
        <v>0</v>
      </c>
      <c r="M867" s="7">
        <v>0</v>
      </c>
      <c r="N867" s="7">
        <v>0</v>
      </c>
      <c r="O867" s="7">
        <v>0</v>
      </c>
      <c r="P867" s="7">
        <v>0</v>
      </c>
      <c r="Q867" s="7">
        <v>0</v>
      </c>
    </row>
    <row r="868" spans="1:17">
      <c r="A868" s="2">
        <v>2816</v>
      </c>
      <c r="B868" s="7">
        <v>0</v>
      </c>
      <c r="C868" s="7">
        <v>0</v>
      </c>
      <c r="D868" s="7">
        <v>0</v>
      </c>
      <c r="E868" s="7">
        <v>0</v>
      </c>
      <c r="F868" s="7">
        <v>0</v>
      </c>
      <c r="G868" s="7">
        <v>0</v>
      </c>
      <c r="H868" s="7">
        <v>0</v>
      </c>
      <c r="I868" s="7">
        <v>0</v>
      </c>
      <c r="J868" s="7">
        <v>0</v>
      </c>
      <c r="K868" s="7">
        <v>0</v>
      </c>
      <c r="L868" s="7">
        <v>0</v>
      </c>
      <c r="M868" s="7">
        <v>0</v>
      </c>
      <c r="N868" s="7">
        <v>0</v>
      </c>
      <c r="O868" s="7">
        <v>0</v>
      </c>
      <c r="P868" s="7">
        <v>0</v>
      </c>
      <c r="Q868" s="7">
        <v>0</v>
      </c>
    </row>
    <row r="869" spans="1:17">
      <c r="A869" s="2">
        <v>2817</v>
      </c>
      <c r="B869" s="7">
        <v>0</v>
      </c>
      <c r="C869" s="7">
        <v>0</v>
      </c>
      <c r="D869" s="7">
        <v>0</v>
      </c>
      <c r="E869" s="7">
        <v>0</v>
      </c>
      <c r="F869" s="7">
        <v>0</v>
      </c>
      <c r="G869" s="7">
        <v>0</v>
      </c>
      <c r="H869" s="7">
        <v>0</v>
      </c>
      <c r="I869" s="7">
        <v>0</v>
      </c>
      <c r="J869" s="7">
        <v>0</v>
      </c>
      <c r="K869" s="7">
        <v>0</v>
      </c>
      <c r="L869" s="7">
        <v>0</v>
      </c>
      <c r="M869" s="7">
        <v>0</v>
      </c>
      <c r="N869" s="7">
        <v>0</v>
      </c>
      <c r="O869" s="7">
        <v>0</v>
      </c>
      <c r="P869" s="7">
        <v>0</v>
      </c>
      <c r="Q869" s="7">
        <v>0</v>
      </c>
    </row>
    <row r="870" spans="1:17">
      <c r="A870" s="2">
        <v>2818</v>
      </c>
      <c r="B870" s="7">
        <v>0</v>
      </c>
      <c r="C870" s="7">
        <v>0</v>
      </c>
      <c r="D870" s="7">
        <v>0</v>
      </c>
      <c r="E870" s="7">
        <v>0</v>
      </c>
      <c r="F870" s="7">
        <v>0</v>
      </c>
      <c r="G870" s="7">
        <v>0</v>
      </c>
      <c r="H870" s="7">
        <v>0</v>
      </c>
      <c r="I870" s="7">
        <v>0</v>
      </c>
      <c r="J870" s="7">
        <v>0</v>
      </c>
      <c r="K870" s="7">
        <v>0</v>
      </c>
      <c r="L870" s="7">
        <v>0</v>
      </c>
      <c r="M870" s="7">
        <v>0</v>
      </c>
      <c r="N870" s="7">
        <v>0</v>
      </c>
      <c r="O870" s="7">
        <v>0</v>
      </c>
      <c r="P870" s="7">
        <v>0</v>
      </c>
      <c r="Q870" s="7">
        <v>0</v>
      </c>
    </row>
    <row r="871" spans="1:17">
      <c r="A871" s="2">
        <v>2819</v>
      </c>
      <c r="B871" s="7">
        <v>0</v>
      </c>
      <c r="C871" s="7">
        <v>0</v>
      </c>
      <c r="D871" s="7">
        <v>0</v>
      </c>
      <c r="E871" s="7">
        <v>0</v>
      </c>
      <c r="F871" s="7">
        <v>0</v>
      </c>
      <c r="G871" s="7">
        <v>0</v>
      </c>
      <c r="H871" s="7">
        <v>0</v>
      </c>
      <c r="I871" s="7">
        <v>0</v>
      </c>
      <c r="J871" s="7">
        <v>0</v>
      </c>
      <c r="K871" s="7">
        <v>0</v>
      </c>
      <c r="L871" s="7">
        <v>0</v>
      </c>
      <c r="M871" s="7">
        <v>0</v>
      </c>
      <c r="N871" s="7">
        <v>0</v>
      </c>
      <c r="O871" s="7">
        <v>0</v>
      </c>
      <c r="P871" s="7">
        <v>0</v>
      </c>
      <c r="Q871" s="7">
        <v>0</v>
      </c>
    </row>
    <row r="872" spans="1:17">
      <c r="A872" s="2">
        <v>2820</v>
      </c>
      <c r="B872" s="7">
        <v>0</v>
      </c>
      <c r="C872" s="7">
        <v>0</v>
      </c>
      <c r="D872" s="7">
        <v>0</v>
      </c>
      <c r="E872" s="7">
        <v>0</v>
      </c>
      <c r="F872" s="7">
        <v>0</v>
      </c>
      <c r="G872" s="7">
        <v>0</v>
      </c>
      <c r="H872" s="7">
        <v>0</v>
      </c>
      <c r="I872" s="7">
        <v>0</v>
      </c>
      <c r="J872" s="7">
        <v>0</v>
      </c>
      <c r="K872" s="7">
        <v>0</v>
      </c>
      <c r="L872" s="7">
        <v>0</v>
      </c>
      <c r="M872" s="7">
        <v>0</v>
      </c>
      <c r="N872" s="7">
        <v>0</v>
      </c>
      <c r="O872" s="7">
        <v>0</v>
      </c>
      <c r="P872" s="7">
        <v>0</v>
      </c>
      <c r="Q872" s="7">
        <v>0</v>
      </c>
    </row>
    <row r="873" spans="1:17">
      <c r="A873" s="2">
        <v>2821</v>
      </c>
      <c r="B873" s="7">
        <v>0</v>
      </c>
      <c r="C873" s="7">
        <v>0</v>
      </c>
      <c r="D873" s="7">
        <v>0</v>
      </c>
      <c r="E873" s="7">
        <v>0</v>
      </c>
      <c r="F873" s="7">
        <v>0</v>
      </c>
      <c r="G873" s="7">
        <v>0</v>
      </c>
      <c r="H873" s="7">
        <v>0</v>
      </c>
      <c r="I873" s="7">
        <v>0</v>
      </c>
      <c r="J873" s="7">
        <v>0</v>
      </c>
      <c r="K873" s="7">
        <v>0</v>
      </c>
      <c r="L873" s="7">
        <v>0</v>
      </c>
      <c r="M873" s="7">
        <v>0</v>
      </c>
      <c r="N873" s="7">
        <v>0</v>
      </c>
      <c r="O873" s="7">
        <v>0</v>
      </c>
      <c r="P873" s="7">
        <v>0</v>
      </c>
      <c r="Q873" s="7">
        <v>0</v>
      </c>
    </row>
    <row r="874" spans="1:17">
      <c r="A874" s="2">
        <v>2822</v>
      </c>
      <c r="B874" s="7">
        <v>0</v>
      </c>
      <c r="C874" s="7">
        <v>0</v>
      </c>
      <c r="D874" s="7">
        <v>0</v>
      </c>
      <c r="E874" s="7">
        <v>0</v>
      </c>
      <c r="F874" s="7">
        <v>0</v>
      </c>
      <c r="G874" s="7">
        <v>0</v>
      </c>
      <c r="H874" s="7">
        <v>0</v>
      </c>
      <c r="I874" s="7">
        <v>0</v>
      </c>
      <c r="J874" s="7">
        <v>0</v>
      </c>
      <c r="K874" s="7">
        <v>0</v>
      </c>
      <c r="L874" s="7">
        <v>0</v>
      </c>
      <c r="M874" s="7">
        <v>0</v>
      </c>
      <c r="N874" s="7">
        <v>0</v>
      </c>
      <c r="O874" s="7">
        <v>0</v>
      </c>
      <c r="P874" s="7">
        <v>0</v>
      </c>
      <c r="Q874" s="7">
        <v>0</v>
      </c>
    </row>
    <row r="875" spans="1:17">
      <c r="A875" s="2">
        <v>2823</v>
      </c>
      <c r="B875" s="7">
        <v>0</v>
      </c>
      <c r="C875" s="7">
        <v>0</v>
      </c>
      <c r="D875" s="7">
        <v>0</v>
      </c>
      <c r="E875" s="7">
        <v>0</v>
      </c>
      <c r="F875" s="7">
        <v>0</v>
      </c>
      <c r="G875" s="7">
        <v>0</v>
      </c>
      <c r="H875" s="7">
        <v>0</v>
      </c>
      <c r="I875" s="7">
        <v>0</v>
      </c>
      <c r="J875" s="7">
        <v>0</v>
      </c>
      <c r="K875" s="7">
        <v>0</v>
      </c>
      <c r="L875" s="7">
        <v>0</v>
      </c>
      <c r="M875" s="7">
        <v>0</v>
      </c>
      <c r="N875" s="7">
        <v>0</v>
      </c>
      <c r="O875" s="7">
        <v>0</v>
      </c>
      <c r="P875" s="7">
        <v>0</v>
      </c>
      <c r="Q875" s="7">
        <v>0</v>
      </c>
    </row>
    <row r="876" spans="1:17">
      <c r="A876" s="2">
        <v>2824</v>
      </c>
      <c r="B876" s="7">
        <v>0</v>
      </c>
      <c r="C876" s="7">
        <v>0</v>
      </c>
      <c r="D876" s="7">
        <v>0</v>
      </c>
      <c r="E876" s="7">
        <v>0</v>
      </c>
      <c r="F876" s="7">
        <v>0</v>
      </c>
      <c r="G876" s="7">
        <v>0</v>
      </c>
      <c r="H876" s="7">
        <v>0</v>
      </c>
      <c r="I876" s="7">
        <v>0</v>
      </c>
      <c r="J876" s="7">
        <v>0</v>
      </c>
      <c r="K876" s="7">
        <v>0</v>
      </c>
      <c r="L876" s="7">
        <v>0</v>
      </c>
      <c r="M876" s="7">
        <v>0</v>
      </c>
      <c r="N876" s="7">
        <v>0</v>
      </c>
      <c r="O876" s="7">
        <v>0</v>
      </c>
      <c r="P876" s="7">
        <v>0</v>
      </c>
      <c r="Q876" s="7">
        <v>0</v>
      </c>
    </row>
    <row r="877" spans="1:17">
      <c r="A877" s="2">
        <v>2825</v>
      </c>
      <c r="B877" s="7">
        <v>0</v>
      </c>
      <c r="C877" s="7">
        <v>0</v>
      </c>
      <c r="D877" s="7">
        <v>0</v>
      </c>
      <c r="E877" s="7">
        <v>0</v>
      </c>
      <c r="F877" s="7">
        <v>0</v>
      </c>
      <c r="G877" s="7">
        <v>0</v>
      </c>
      <c r="H877" s="7">
        <v>0</v>
      </c>
      <c r="I877" s="7">
        <v>0</v>
      </c>
      <c r="J877" s="7">
        <v>0</v>
      </c>
      <c r="K877" s="7">
        <v>0</v>
      </c>
      <c r="L877" s="7">
        <v>0</v>
      </c>
      <c r="M877" s="7">
        <v>0</v>
      </c>
      <c r="N877" s="7">
        <v>0</v>
      </c>
      <c r="O877" s="7">
        <v>0</v>
      </c>
      <c r="P877" s="7">
        <v>0</v>
      </c>
      <c r="Q877" s="7">
        <v>0</v>
      </c>
    </row>
    <row r="878" spans="1:17">
      <c r="A878" s="2">
        <v>2826</v>
      </c>
      <c r="B878" s="7">
        <v>0</v>
      </c>
      <c r="C878" s="7">
        <v>0</v>
      </c>
      <c r="D878" s="7">
        <v>0</v>
      </c>
      <c r="E878" s="7">
        <v>0</v>
      </c>
      <c r="F878" s="7">
        <v>0</v>
      </c>
      <c r="G878" s="7">
        <v>0</v>
      </c>
      <c r="H878" s="7">
        <v>0</v>
      </c>
      <c r="I878" s="7">
        <v>0</v>
      </c>
      <c r="J878" s="7">
        <v>0</v>
      </c>
      <c r="K878" s="7">
        <v>0</v>
      </c>
      <c r="L878" s="7">
        <v>0</v>
      </c>
      <c r="M878" s="7">
        <v>0</v>
      </c>
      <c r="N878" s="7">
        <v>0</v>
      </c>
      <c r="O878" s="7">
        <v>0</v>
      </c>
      <c r="P878" s="7">
        <v>0</v>
      </c>
      <c r="Q878" s="7">
        <v>0</v>
      </c>
    </row>
    <row r="879" spans="1:17">
      <c r="A879" s="2">
        <v>2827</v>
      </c>
      <c r="B879" s="7">
        <v>0</v>
      </c>
      <c r="C879" s="7">
        <v>0</v>
      </c>
      <c r="D879" s="7">
        <v>0</v>
      </c>
      <c r="E879" s="7">
        <v>0</v>
      </c>
      <c r="F879" s="7">
        <v>0</v>
      </c>
      <c r="G879" s="7">
        <v>0</v>
      </c>
      <c r="H879" s="7">
        <v>0</v>
      </c>
      <c r="I879" s="7">
        <v>0</v>
      </c>
      <c r="J879" s="7">
        <v>0</v>
      </c>
      <c r="K879" s="7">
        <v>0</v>
      </c>
      <c r="L879" s="7">
        <v>0</v>
      </c>
      <c r="M879" s="7">
        <v>0</v>
      </c>
      <c r="N879" s="7">
        <v>0</v>
      </c>
      <c r="O879" s="7">
        <v>0</v>
      </c>
      <c r="P879" s="7">
        <v>0</v>
      </c>
      <c r="Q879" s="7">
        <v>0</v>
      </c>
    </row>
    <row r="880" spans="1:17">
      <c r="A880" s="2">
        <v>2828</v>
      </c>
      <c r="B880" s="7">
        <v>0</v>
      </c>
      <c r="C880" s="7">
        <v>0</v>
      </c>
      <c r="D880" s="7">
        <v>0</v>
      </c>
      <c r="E880" s="7">
        <v>0</v>
      </c>
      <c r="F880" s="7">
        <v>0</v>
      </c>
      <c r="G880" s="7">
        <v>0</v>
      </c>
      <c r="H880" s="7">
        <v>0</v>
      </c>
      <c r="I880" s="7">
        <v>0</v>
      </c>
      <c r="J880" s="7">
        <v>0</v>
      </c>
      <c r="K880" s="7">
        <v>0</v>
      </c>
      <c r="L880" s="7">
        <v>0</v>
      </c>
      <c r="M880" s="7">
        <v>0</v>
      </c>
      <c r="N880" s="7">
        <v>0</v>
      </c>
      <c r="O880" s="7">
        <v>0</v>
      </c>
      <c r="P880" s="7">
        <v>0</v>
      </c>
      <c r="Q880" s="7">
        <v>0</v>
      </c>
    </row>
    <row r="881" spans="1:17">
      <c r="A881" s="2">
        <v>2829</v>
      </c>
      <c r="B881" s="7">
        <v>0</v>
      </c>
      <c r="C881" s="7">
        <v>0</v>
      </c>
      <c r="D881" s="7">
        <v>0</v>
      </c>
      <c r="E881" s="7">
        <v>0</v>
      </c>
      <c r="F881" s="7">
        <v>0</v>
      </c>
      <c r="G881" s="7">
        <v>0</v>
      </c>
      <c r="H881" s="7">
        <v>0</v>
      </c>
      <c r="I881" s="7">
        <v>0</v>
      </c>
      <c r="J881" s="7">
        <v>0</v>
      </c>
      <c r="K881" s="7">
        <v>0</v>
      </c>
      <c r="L881" s="7">
        <v>0</v>
      </c>
      <c r="M881" s="7">
        <v>0</v>
      </c>
      <c r="N881" s="7">
        <v>0</v>
      </c>
      <c r="O881" s="7">
        <v>0</v>
      </c>
      <c r="P881" s="7">
        <v>0</v>
      </c>
      <c r="Q881" s="7">
        <v>0</v>
      </c>
    </row>
    <row r="882" spans="1:17">
      <c r="A882" s="2">
        <v>2830</v>
      </c>
      <c r="B882" s="7">
        <v>0</v>
      </c>
      <c r="C882" s="7">
        <v>0</v>
      </c>
      <c r="D882" s="7">
        <v>0</v>
      </c>
      <c r="E882" s="7">
        <v>0</v>
      </c>
      <c r="F882" s="7">
        <v>0</v>
      </c>
      <c r="G882" s="7">
        <v>0</v>
      </c>
      <c r="H882" s="7">
        <v>0</v>
      </c>
      <c r="I882" s="7">
        <v>0</v>
      </c>
      <c r="J882" s="7">
        <v>0</v>
      </c>
      <c r="K882" s="7">
        <v>0</v>
      </c>
      <c r="L882" s="7">
        <v>0</v>
      </c>
      <c r="M882" s="7">
        <v>0</v>
      </c>
      <c r="N882" s="7">
        <v>0</v>
      </c>
      <c r="O882" s="7">
        <v>0</v>
      </c>
      <c r="P882" s="7">
        <v>0</v>
      </c>
      <c r="Q882" s="7">
        <v>0</v>
      </c>
    </row>
    <row r="883" spans="1:17">
      <c r="A883" s="2">
        <v>2831</v>
      </c>
      <c r="B883" s="7">
        <v>0</v>
      </c>
      <c r="C883" s="7">
        <v>0</v>
      </c>
      <c r="D883" s="7">
        <v>0</v>
      </c>
      <c r="E883" s="7">
        <v>0</v>
      </c>
      <c r="F883" s="7">
        <v>0</v>
      </c>
      <c r="G883" s="7">
        <v>0</v>
      </c>
      <c r="H883" s="7">
        <v>0</v>
      </c>
      <c r="I883" s="7">
        <v>0</v>
      </c>
      <c r="J883" s="7">
        <v>0</v>
      </c>
      <c r="K883" s="7">
        <v>0</v>
      </c>
      <c r="L883" s="7">
        <v>0</v>
      </c>
      <c r="M883" s="7">
        <v>0</v>
      </c>
      <c r="N883" s="7">
        <v>0</v>
      </c>
      <c r="O883" s="7">
        <v>0</v>
      </c>
      <c r="P883" s="7">
        <v>0</v>
      </c>
      <c r="Q883" s="7">
        <v>0</v>
      </c>
    </row>
    <row r="884" spans="1:17">
      <c r="A884" s="2">
        <v>2832</v>
      </c>
      <c r="B884" s="7">
        <v>0</v>
      </c>
      <c r="C884" s="7">
        <v>0</v>
      </c>
      <c r="D884" s="7">
        <v>0</v>
      </c>
      <c r="E884" s="7">
        <v>0</v>
      </c>
      <c r="F884" s="7">
        <v>0</v>
      </c>
      <c r="G884" s="7">
        <v>0</v>
      </c>
      <c r="H884" s="7">
        <v>0</v>
      </c>
      <c r="I884" s="7">
        <v>0</v>
      </c>
      <c r="J884" s="7">
        <v>0</v>
      </c>
      <c r="K884" s="7">
        <v>0</v>
      </c>
      <c r="L884" s="7">
        <v>0</v>
      </c>
      <c r="M884" s="7">
        <v>0</v>
      </c>
      <c r="N884" s="7">
        <v>0</v>
      </c>
      <c r="O884" s="7">
        <v>0</v>
      </c>
      <c r="P884" s="7">
        <v>0</v>
      </c>
      <c r="Q884" s="7">
        <v>0</v>
      </c>
    </row>
    <row r="885" spans="1:17">
      <c r="A885" s="2">
        <v>2833</v>
      </c>
      <c r="B885" s="7">
        <v>0</v>
      </c>
      <c r="C885" s="7">
        <v>0</v>
      </c>
      <c r="D885" s="7">
        <v>0</v>
      </c>
      <c r="E885" s="7">
        <v>0</v>
      </c>
      <c r="F885" s="7">
        <v>0</v>
      </c>
      <c r="G885" s="7">
        <v>0</v>
      </c>
      <c r="H885" s="7">
        <v>0</v>
      </c>
      <c r="I885" s="7">
        <v>0</v>
      </c>
      <c r="J885" s="7">
        <v>0</v>
      </c>
      <c r="K885" s="7">
        <v>0</v>
      </c>
      <c r="L885" s="7">
        <v>0</v>
      </c>
      <c r="M885" s="7">
        <v>0</v>
      </c>
      <c r="N885" s="7">
        <v>0</v>
      </c>
      <c r="O885" s="7">
        <v>0</v>
      </c>
      <c r="P885" s="7">
        <v>0</v>
      </c>
      <c r="Q885" s="7">
        <v>0</v>
      </c>
    </row>
    <row r="886" spans="1:17">
      <c r="A886" s="2">
        <v>2834</v>
      </c>
      <c r="B886" s="7">
        <v>0</v>
      </c>
      <c r="C886" s="7">
        <v>0</v>
      </c>
      <c r="D886" s="7">
        <v>0</v>
      </c>
      <c r="E886" s="7">
        <v>0</v>
      </c>
      <c r="F886" s="7">
        <v>0</v>
      </c>
      <c r="G886" s="7">
        <v>0</v>
      </c>
      <c r="H886" s="7">
        <v>0</v>
      </c>
      <c r="I886" s="7">
        <v>0</v>
      </c>
      <c r="J886" s="7">
        <v>0</v>
      </c>
      <c r="K886" s="7">
        <v>0</v>
      </c>
      <c r="L886" s="7">
        <v>0</v>
      </c>
      <c r="M886" s="7">
        <v>0</v>
      </c>
      <c r="N886" s="7">
        <v>0</v>
      </c>
      <c r="O886" s="7">
        <v>0</v>
      </c>
      <c r="P886" s="7">
        <v>0</v>
      </c>
      <c r="Q886" s="7">
        <v>0</v>
      </c>
    </row>
    <row r="887" spans="1:17">
      <c r="A887" s="2">
        <v>2835</v>
      </c>
      <c r="B887" s="7">
        <v>0</v>
      </c>
      <c r="C887" s="7">
        <v>0</v>
      </c>
      <c r="D887" s="7">
        <v>0</v>
      </c>
      <c r="E887" s="7">
        <v>0</v>
      </c>
      <c r="F887" s="7">
        <v>0</v>
      </c>
      <c r="G887" s="7">
        <v>0</v>
      </c>
      <c r="H887" s="7">
        <v>0</v>
      </c>
      <c r="I887" s="7">
        <v>0</v>
      </c>
      <c r="J887" s="7">
        <v>0</v>
      </c>
      <c r="K887" s="7">
        <v>0</v>
      </c>
      <c r="L887" s="7">
        <v>0</v>
      </c>
      <c r="M887" s="7">
        <v>0</v>
      </c>
      <c r="N887" s="7">
        <v>0</v>
      </c>
      <c r="O887" s="7">
        <v>0</v>
      </c>
      <c r="P887" s="7">
        <v>0</v>
      </c>
      <c r="Q887" s="7">
        <v>0</v>
      </c>
    </row>
    <row r="888" spans="1:17">
      <c r="A888" s="2">
        <v>2836</v>
      </c>
      <c r="B888" s="7">
        <v>0</v>
      </c>
      <c r="C888" s="7">
        <v>0</v>
      </c>
      <c r="D888" s="7">
        <v>0</v>
      </c>
      <c r="E888" s="7">
        <v>0</v>
      </c>
      <c r="F888" s="7">
        <v>0</v>
      </c>
      <c r="G888" s="7">
        <v>0</v>
      </c>
      <c r="H888" s="7">
        <v>0</v>
      </c>
      <c r="I888" s="7">
        <v>0</v>
      </c>
      <c r="J888" s="7">
        <v>0</v>
      </c>
      <c r="K888" s="7">
        <v>0</v>
      </c>
      <c r="L888" s="7">
        <v>0</v>
      </c>
      <c r="M888" s="7">
        <v>0</v>
      </c>
      <c r="N888" s="7">
        <v>0</v>
      </c>
      <c r="O888" s="7">
        <v>0</v>
      </c>
      <c r="P888" s="7">
        <v>0</v>
      </c>
      <c r="Q888" s="7">
        <v>0</v>
      </c>
    </row>
    <row r="889" spans="1:17">
      <c r="A889" s="2">
        <v>2837</v>
      </c>
      <c r="B889" s="7">
        <v>0</v>
      </c>
      <c r="C889" s="7">
        <v>0</v>
      </c>
      <c r="D889" s="7">
        <v>0</v>
      </c>
      <c r="E889" s="7">
        <v>0</v>
      </c>
      <c r="F889" s="7">
        <v>0</v>
      </c>
      <c r="G889" s="7">
        <v>0</v>
      </c>
      <c r="H889" s="7">
        <v>0</v>
      </c>
      <c r="I889" s="7">
        <v>0</v>
      </c>
      <c r="J889" s="7">
        <v>0</v>
      </c>
      <c r="K889" s="7">
        <v>0</v>
      </c>
      <c r="L889" s="7">
        <v>0</v>
      </c>
      <c r="M889" s="7">
        <v>0</v>
      </c>
      <c r="N889" s="7">
        <v>0</v>
      </c>
      <c r="O889" s="7">
        <v>0</v>
      </c>
      <c r="P889" s="7">
        <v>0</v>
      </c>
      <c r="Q889" s="7">
        <v>0</v>
      </c>
    </row>
    <row r="890" spans="1:17">
      <c r="A890" s="2">
        <v>2838</v>
      </c>
      <c r="B890" s="7">
        <v>0</v>
      </c>
      <c r="C890" s="7">
        <v>0</v>
      </c>
      <c r="D890" s="7">
        <v>0</v>
      </c>
      <c r="E890" s="7">
        <v>0</v>
      </c>
      <c r="F890" s="7">
        <v>0</v>
      </c>
      <c r="G890" s="7">
        <v>0</v>
      </c>
      <c r="H890" s="7">
        <v>0</v>
      </c>
      <c r="I890" s="7">
        <v>0</v>
      </c>
      <c r="J890" s="7">
        <v>0</v>
      </c>
      <c r="K890" s="7">
        <v>0</v>
      </c>
      <c r="L890" s="7">
        <v>0</v>
      </c>
      <c r="M890" s="7">
        <v>0</v>
      </c>
      <c r="N890" s="7">
        <v>0</v>
      </c>
      <c r="O890" s="7">
        <v>0</v>
      </c>
      <c r="P890" s="7">
        <v>0</v>
      </c>
      <c r="Q890" s="7">
        <v>0</v>
      </c>
    </row>
    <row r="891" spans="1:17">
      <c r="A891" s="2">
        <v>2839</v>
      </c>
      <c r="B891" s="7">
        <v>0</v>
      </c>
      <c r="C891" s="7">
        <v>0</v>
      </c>
      <c r="D891" s="7">
        <v>0</v>
      </c>
      <c r="E891" s="7">
        <v>0</v>
      </c>
      <c r="F891" s="7">
        <v>0</v>
      </c>
      <c r="G891" s="7">
        <v>0</v>
      </c>
      <c r="H891" s="7">
        <v>0</v>
      </c>
      <c r="I891" s="7">
        <v>0</v>
      </c>
      <c r="J891" s="7">
        <v>0</v>
      </c>
      <c r="K891" s="7">
        <v>0</v>
      </c>
      <c r="L891" s="7">
        <v>0</v>
      </c>
      <c r="M891" s="7">
        <v>0</v>
      </c>
      <c r="N891" s="7">
        <v>0</v>
      </c>
      <c r="O891" s="7">
        <v>0</v>
      </c>
      <c r="P891" s="7">
        <v>0</v>
      </c>
      <c r="Q891" s="7">
        <v>0</v>
      </c>
    </row>
    <row r="892" spans="1:17">
      <c r="A892" s="2">
        <v>2840</v>
      </c>
      <c r="B892" s="7">
        <v>0</v>
      </c>
      <c r="C892" s="7">
        <v>0</v>
      </c>
      <c r="D892" s="7">
        <v>0</v>
      </c>
      <c r="E892" s="7">
        <v>0</v>
      </c>
      <c r="F892" s="7">
        <v>0</v>
      </c>
      <c r="G892" s="7">
        <v>0</v>
      </c>
      <c r="H892" s="7">
        <v>0</v>
      </c>
      <c r="I892" s="7">
        <v>0</v>
      </c>
      <c r="J892" s="7">
        <v>0</v>
      </c>
      <c r="K892" s="7">
        <v>0</v>
      </c>
      <c r="L892" s="7">
        <v>0</v>
      </c>
      <c r="M892" s="7">
        <v>0</v>
      </c>
      <c r="N892" s="7">
        <v>0</v>
      </c>
      <c r="O892" s="7">
        <v>0</v>
      </c>
      <c r="P892" s="7">
        <v>0</v>
      </c>
      <c r="Q892" s="7">
        <v>0</v>
      </c>
    </row>
    <row r="893" spans="1:17">
      <c r="A893" s="2">
        <v>2841</v>
      </c>
      <c r="B893" s="7">
        <v>0</v>
      </c>
      <c r="C893" s="7">
        <v>0</v>
      </c>
      <c r="D893" s="7">
        <v>0</v>
      </c>
      <c r="E893" s="7">
        <v>0</v>
      </c>
      <c r="F893" s="7">
        <v>0</v>
      </c>
      <c r="G893" s="7">
        <v>0</v>
      </c>
      <c r="H893" s="7">
        <v>0</v>
      </c>
      <c r="I893" s="7">
        <v>0</v>
      </c>
      <c r="J893" s="7">
        <v>0</v>
      </c>
      <c r="K893" s="7">
        <v>0</v>
      </c>
      <c r="L893" s="7">
        <v>0</v>
      </c>
      <c r="M893" s="7">
        <v>0</v>
      </c>
      <c r="N893" s="7">
        <v>0</v>
      </c>
      <c r="O893" s="7">
        <v>0</v>
      </c>
      <c r="P893" s="7">
        <v>0</v>
      </c>
      <c r="Q893" s="7">
        <v>0</v>
      </c>
    </row>
    <row r="894" spans="1:17">
      <c r="A894" s="2">
        <v>2842</v>
      </c>
      <c r="B894" s="7">
        <v>0</v>
      </c>
      <c r="C894" s="7">
        <v>0</v>
      </c>
      <c r="D894" s="7">
        <v>0</v>
      </c>
      <c r="E894" s="7">
        <v>0</v>
      </c>
      <c r="F894" s="7">
        <v>0</v>
      </c>
      <c r="G894" s="7">
        <v>0</v>
      </c>
      <c r="H894" s="7">
        <v>0</v>
      </c>
      <c r="I894" s="7">
        <v>0</v>
      </c>
      <c r="J894" s="7">
        <v>0</v>
      </c>
      <c r="K894" s="7">
        <v>0</v>
      </c>
      <c r="L894" s="7">
        <v>0</v>
      </c>
      <c r="M894" s="7">
        <v>0</v>
      </c>
      <c r="N894" s="7">
        <v>0</v>
      </c>
      <c r="O894" s="7">
        <v>0</v>
      </c>
      <c r="P894" s="7">
        <v>0</v>
      </c>
      <c r="Q894" s="7">
        <v>0</v>
      </c>
    </row>
    <row r="895" spans="1:17">
      <c r="A895" s="2">
        <v>2843</v>
      </c>
      <c r="B895" s="7">
        <v>0</v>
      </c>
      <c r="C895" s="7">
        <v>0</v>
      </c>
      <c r="D895" s="7">
        <v>0</v>
      </c>
      <c r="E895" s="7">
        <v>0</v>
      </c>
      <c r="F895" s="7">
        <v>0</v>
      </c>
      <c r="G895" s="7">
        <v>0</v>
      </c>
      <c r="H895" s="7">
        <v>0</v>
      </c>
      <c r="I895" s="7">
        <v>0</v>
      </c>
      <c r="J895" s="7">
        <v>0</v>
      </c>
      <c r="K895" s="7">
        <v>0</v>
      </c>
      <c r="L895" s="7">
        <v>0</v>
      </c>
      <c r="M895" s="7">
        <v>0</v>
      </c>
      <c r="N895" s="7">
        <v>0</v>
      </c>
      <c r="O895" s="7">
        <v>0</v>
      </c>
      <c r="P895" s="7">
        <v>0</v>
      </c>
      <c r="Q895" s="7">
        <v>0</v>
      </c>
    </row>
    <row r="896" spans="1:17">
      <c r="A896" s="2">
        <v>2844</v>
      </c>
      <c r="B896" s="7">
        <v>0</v>
      </c>
      <c r="C896" s="7">
        <v>0</v>
      </c>
      <c r="D896" s="7">
        <v>0</v>
      </c>
      <c r="E896" s="7">
        <v>0</v>
      </c>
      <c r="F896" s="7">
        <v>0</v>
      </c>
      <c r="G896" s="7">
        <v>0</v>
      </c>
      <c r="H896" s="7">
        <v>0</v>
      </c>
      <c r="I896" s="7">
        <v>0</v>
      </c>
      <c r="J896" s="7">
        <v>0</v>
      </c>
      <c r="K896" s="7">
        <v>0</v>
      </c>
      <c r="L896" s="7">
        <v>0</v>
      </c>
      <c r="M896" s="7">
        <v>0</v>
      </c>
      <c r="N896" s="7">
        <v>0</v>
      </c>
      <c r="O896" s="7">
        <v>0</v>
      </c>
      <c r="P896" s="7">
        <v>0</v>
      </c>
      <c r="Q896" s="7">
        <v>0</v>
      </c>
    </row>
    <row r="897" spans="1:17">
      <c r="A897" s="2">
        <v>2845</v>
      </c>
      <c r="B897" s="7">
        <v>0</v>
      </c>
      <c r="C897" s="7">
        <v>0</v>
      </c>
      <c r="D897" s="7">
        <v>0</v>
      </c>
      <c r="E897" s="7">
        <v>0</v>
      </c>
      <c r="F897" s="7">
        <v>0</v>
      </c>
      <c r="G897" s="7">
        <v>0</v>
      </c>
      <c r="H897" s="7">
        <v>0</v>
      </c>
      <c r="I897" s="7">
        <v>0</v>
      </c>
      <c r="J897" s="7">
        <v>0</v>
      </c>
      <c r="K897" s="7">
        <v>0</v>
      </c>
      <c r="L897" s="7">
        <v>0</v>
      </c>
      <c r="M897" s="7">
        <v>0</v>
      </c>
      <c r="N897" s="7">
        <v>0</v>
      </c>
      <c r="O897" s="7">
        <v>0</v>
      </c>
      <c r="P897" s="7">
        <v>0</v>
      </c>
      <c r="Q897" s="7">
        <v>0</v>
      </c>
    </row>
    <row r="898" spans="1:17">
      <c r="A898" s="2">
        <v>2846</v>
      </c>
      <c r="B898" s="7">
        <v>0</v>
      </c>
      <c r="C898" s="7">
        <v>0</v>
      </c>
      <c r="D898" s="7">
        <v>0</v>
      </c>
      <c r="E898" s="7">
        <v>0</v>
      </c>
      <c r="F898" s="7">
        <v>0</v>
      </c>
      <c r="G898" s="7">
        <v>0</v>
      </c>
      <c r="H898" s="7">
        <v>0</v>
      </c>
      <c r="I898" s="7">
        <v>0</v>
      </c>
      <c r="J898" s="7">
        <v>0</v>
      </c>
      <c r="K898" s="7">
        <v>0</v>
      </c>
      <c r="L898" s="7">
        <v>0</v>
      </c>
      <c r="M898" s="7">
        <v>0</v>
      </c>
      <c r="N898" s="7">
        <v>0</v>
      </c>
      <c r="O898" s="7">
        <v>0</v>
      </c>
      <c r="P898" s="7">
        <v>0</v>
      </c>
      <c r="Q898" s="7">
        <v>0</v>
      </c>
    </row>
    <row r="899" spans="1:17">
      <c r="A899" s="2">
        <v>2847</v>
      </c>
      <c r="B899" s="7">
        <v>0</v>
      </c>
      <c r="C899" s="7">
        <v>0</v>
      </c>
      <c r="D899" s="7">
        <v>0</v>
      </c>
      <c r="E899" s="7">
        <v>0</v>
      </c>
      <c r="F899" s="7">
        <v>0</v>
      </c>
      <c r="G899" s="7">
        <v>0</v>
      </c>
      <c r="H899" s="7">
        <v>0</v>
      </c>
      <c r="I899" s="7">
        <v>0</v>
      </c>
      <c r="J899" s="7">
        <v>0</v>
      </c>
      <c r="K899" s="7">
        <v>0</v>
      </c>
      <c r="L899" s="7">
        <v>0</v>
      </c>
      <c r="M899" s="7">
        <v>0</v>
      </c>
      <c r="N899" s="7">
        <v>0</v>
      </c>
      <c r="O899" s="7">
        <v>0</v>
      </c>
      <c r="P899" s="7">
        <v>0</v>
      </c>
      <c r="Q899" s="7">
        <v>0</v>
      </c>
    </row>
    <row r="900" spans="1:17">
      <c r="A900" s="2">
        <v>2848</v>
      </c>
      <c r="B900" s="7">
        <v>0</v>
      </c>
      <c r="C900" s="7">
        <v>0</v>
      </c>
      <c r="D900" s="7">
        <v>0</v>
      </c>
      <c r="E900" s="7">
        <v>0</v>
      </c>
      <c r="F900" s="7">
        <v>0</v>
      </c>
      <c r="G900" s="7">
        <v>0</v>
      </c>
      <c r="H900" s="7">
        <v>0</v>
      </c>
      <c r="I900" s="7">
        <v>0</v>
      </c>
      <c r="J900" s="7">
        <v>0</v>
      </c>
      <c r="K900" s="7">
        <v>0</v>
      </c>
      <c r="L900" s="7">
        <v>0</v>
      </c>
      <c r="M900" s="7">
        <v>0</v>
      </c>
      <c r="N900" s="7">
        <v>0</v>
      </c>
      <c r="O900" s="7">
        <v>0</v>
      </c>
      <c r="P900" s="7">
        <v>0</v>
      </c>
      <c r="Q900" s="7">
        <v>0</v>
      </c>
    </row>
    <row r="901" spans="1:17">
      <c r="A901" s="2">
        <v>2849</v>
      </c>
      <c r="B901" s="7">
        <v>0</v>
      </c>
      <c r="C901" s="7">
        <v>0</v>
      </c>
      <c r="D901" s="7">
        <v>0</v>
      </c>
      <c r="E901" s="7">
        <v>0</v>
      </c>
      <c r="F901" s="7">
        <v>0</v>
      </c>
      <c r="G901" s="7">
        <v>0</v>
      </c>
      <c r="H901" s="7">
        <v>0</v>
      </c>
      <c r="I901" s="7">
        <v>0</v>
      </c>
      <c r="J901" s="7">
        <v>0</v>
      </c>
      <c r="K901" s="7">
        <v>0</v>
      </c>
      <c r="L901" s="7">
        <v>0</v>
      </c>
      <c r="M901" s="7">
        <v>0</v>
      </c>
      <c r="N901" s="7">
        <v>0</v>
      </c>
      <c r="O901" s="7">
        <v>0</v>
      </c>
      <c r="P901" s="7">
        <v>0</v>
      </c>
      <c r="Q901" s="7">
        <v>0</v>
      </c>
    </row>
    <row r="902" spans="1:17">
      <c r="A902" s="2">
        <v>2850</v>
      </c>
      <c r="B902" s="7">
        <v>0</v>
      </c>
      <c r="C902" s="7">
        <v>0</v>
      </c>
      <c r="D902" s="7">
        <v>0</v>
      </c>
      <c r="E902" s="7">
        <v>0</v>
      </c>
      <c r="F902" s="7">
        <v>0</v>
      </c>
      <c r="G902" s="7">
        <v>0</v>
      </c>
      <c r="H902" s="7">
        <v>0</v>
      </c>
      <c r="I902" s="7">
        <v>0</v>
      </c>
      <c r="J902" s="7">
        <v>0</v>
      </c>
      <c r="K902" s="7">
        <v>0</v>
      </c>
      <c r="L902" s="7">
        <v>0</v>
      </c>
      <c r="M902" s="7">
        <v>0</v>
      </c>
      <c r="N902" s="7">
        <v>0</v>
      </c>
      <c r="O902" s="7">
        <v>0</v>
      </c>
      <c r="P902" s="7">
        <v>0</v>
      </c>
      <c r="Q902" s="7">
        <v>0</v>
      </c>
    </row>
    <row r="903" spans="1:17">
      <c r="A903" s="2">
        <v>2851</v>
      </c>
      <c r="B903" s="7">
        <v>0</v>
      </c>
      <c r="C903" s="7">
        <v>0</v>
      </c>
      <c r="D903" s="7">
        <v>0</v>
      </c>
      <c r="E903" s="7">
        <v>0</v>
      </c>
      <c r="F903" s="7">
        <v>0</v>
      </c>
      <c r="G903" s="7">
        <v>0</v>
      </c>
      <c r="H903" s="7">
        <v>0</v>
      </c>
      <c r="I903" s="7">
        <v>0</v>
      </c>
      <c r="J903" s="7">
        <v>0</v>
      </c>
      <c r="K903" s="7">
        <v>0</v>
      </c>
      <c r="L903" s="7">
        <v>0</v>
      </c>
      <c r="M903" s="7">
        <v>0</v>
      </c>
      <c r="N903" s="7">
        <v>0</v>
      </c>
      <c r="O903" s="7">
        <v>0</v>
      </c>
      <c r="P903" s="7">
        <v>0</v>
      </c>
      <c r="Q903" s="7">
        <v>0</v>
      </c>
    </row>
    <row r="904" spans="1:17">
      <c r="A904" s="2">
        <v>2852</v>
      </c>
      <c r="B904" s="7">
        <v>0</v>
      </c>
      <c r="C904" s="7">
        <v>0</v>
      </c>
      <c r="D904" s="7">
        <v>0</v>
      </c>
      <c r="E904" s="7">
        <v>0</v>
      </c>
      <c r="F904" s="7">
        <v>0</v>
      </c>
      <c r="G904" s="7">
        <v>0</v>
      </c>
      <c r="H904" s="7">
        <v>0</v>
      </c>
      <c r="I904" s="7">
        <v>0</v>
      </c>
      <c r="J904" s="7">
        <v>0</v>
      </c>
      <c r="K904" s="7">
        <v>0</v>
      </c>
      <c r="L904" s="7">
        <v>0</v>
      </c>
      <c r="M904" s="7">
        <v>0</v>
      </c>
      <c r="N904" s="7">
        <v>0</v>
      </c>
      <c r="O904" s="7">
        <v>0</v>
      </c>
      <c r="P904" s="7">
        <v>0</v>
      </c>
      <c r="Q904" s="7">
        <v>0</v>
      </c>
    </row>
    <row r="905" spans="1:17">
      <c r="A905" s="2">
        <v>2853</v>
      </c>
      <c r="B905" s="7">
        <v>0</v>
      </c>
      <c r="C905" s="7">
        <v>0</v>
      </c>
      <c r="D905" s="7">
        <v>0</v>
      </c>
      <c r="E905" s="7">
        <v>0</v>
      </c>
      <c r="F905" s="7">
        <v>0</v>
      </c>
      <c r="G905" s="7">
        <v>0</v>
      </c>
      <c r="H905" s="7">
        <v>0</v>
      </c>
      <c r="I905" s="7">
        <v>0</v>
      </c>
      <c r="J905" s="7">
        <v>0</v>
      </c>
      <c r="K905" s="7">
        <v>0</v>
      </c>
      <c r="L905" s="7">
        <v>0</v>
      </c>
      <c r="M905" s="7">
        <v>0</v>
      </c>
      <c r="N905" s="7">
        <v>0</v>
      </c>
      <c r="O905" s="7">
        <v>0</v>
      </c>
      <c r="P905" s="7">
        <v>0</v>
      </c>
      <c r="Q905" s="7">
        <v>0</v>
      </c>
    </row>
    <row r="906" spans="1:17">
      <c r="A906" s="2">
        <v>2854</v>
      </c>
      <c r="B906" s="7">
        <v>0</v>
      </c>
      <c r="C906" s="7">
        <v>0</v>
      </c>
      <c r="D906" s="7">
        <v>0</v>
      </c>
      <c r="E906" s="7">
        <v>0</v>
      </c>
      <c r="F906" s="7">
        <v>0</v>
      </c>
      <c r="G906" s="7">
        <v>0</v>
      </c>
      <c r="H906" s="7">
        <v>0</v>
      </c>
      <c r="I906" s="7">
        <v>0</v>
      </c>
      <c r="J906" s="7">
        <v>0</v>
      </c>
      <c r="K906" s="7">
        <v>0</v>
      </c>
      <c r="L906" s="7">
        <v>0</v>
      </c>
      <c r="M906" s="7">
        <v>0</v>
      </c>
      <c r="N906" s="7">
        <v>0</v>
      </c>
      <c r="O906" s="7">
        <v>0</v>
      </c>
      <c r="P906" s="7">
        <v>0</v>
      </c>
      <c r="Q906" s="7">
        <v>0</v>
      </c>
    </row>
    <row r="907" spans="1:17">
      <c r="A907" s="2">
        <v>2855</v>
      </c>
      <c r="B907" s="7">
        <v>0</v>
      </c>
      <c r="C907" s="7">
        <v>0</v>
      </c>
      <c r="D907" s="7">
        <v>0</v>
      </c>
      <c r="E907" s="7">
        <v>0</v>
      </c>
      <c r="F907" s="7">
        <v>0</v>
      </c>
      <c r="G907" s="7">
        <v>0</v>
      </c>
      <c r="H907" s="7">
        <v>0</v>
      </c>
      <c r="I907" s="7">
        <v>0</v>
      </c>
      <c r="J907" s="7">
        <v>0</v>
      </c>
      <c r="K907" s="7">
        <v>0</v>
      </c>
      <c r="L907" s="7">
        <v>0</v>
      </c>
      <c r="M907" s="7">
        <v>0</v>
      </c>
      <c r="N907" s="7">
        <v>0</v>
      </c>
      <c r="O907" s="7">
        <v>0</v>
      </c>
      <c r="P907" s="7">
        <v>0</v>
      </c>
      <c r="Q907" s="7">
        <v>0</v>
      </c>
    </row>
    <row r="908" spans="1:17">
      <c r="A908" s="2">
        <v>2856</v>
      </c>
      <c r="B908" s="7">
        <v>0</v>
      </c>
      <c r="C908" s="7">
        <v>0</v>
      </c>
      <c r="D908" s="7">
        <v>0</v>
      </c>
      <c r="E908" s="7">
        <v>0</v>
      </c>
      <c r="F908" s="7">
        <v>0</v>
      </c>
      <c r="G908" s="7">
        <v>0</v>
      </c>
      <c r="H908" s="7">
        <v>0</v>
      </c>
      <c r="I908" s="7">
        <v>0</v>
      </c>
      <c r="J908" s="7">
        <v>0</v>
      </c>
      <c r="K908" s="7">
        <v>0</v>
      </c>
      <c r="L908" s="7">
        <v>0</v>
      </c>
      <c r="M908" s="7">
        <v>0</v>
      </c>
      <c r="N908" s="7">
        <v>0</v>
      </c>
      <c r="O908" s="7">
        <v>0</v>
      </c>
      <c r="P908" s="7">
        <v>0</v>
      </c>
      <c r="Q908" s="7">
        <v>0</v>
      </c>
    </row>
    <row r="909" spans="1:17">
      <c r="A909" s="2">
        <v>2857</v>
      </c>
      <c r="B909" s="7">
        <v>0</v>
      </c>
      <c r="C909" s="7">
        <v>0</v>
      </c>
      <c r="D909" s="7">
        <v>0</v>
      </c>
      <c r="E909" s="7">
        <v>0</v>
      </c>
      <c r="F909" s="7">
        <v>0</v>
      </c>
      <c r="G909" s="7">
        <v>0</v>
      </c>
      <c r="H909" s="7">
        <v>0</v>
      </c>
      <c r="I909" s="7">
        <v>0</v>
      </c>
      <c r="J909" s="7">
        <v>0</v>
      </c>
      <c r="K909" s="7">
        <v>0</v>
      </c>
      <c r="L909" s="7">
        <v>0</v>
      </c>
      <c r="M909" s="7">
        <v>0</v>
      </c>
      <c r="N909" s="7">
        <v>0</v>
      </c>
      <c r="O909" s="7">
        <v>0</v>
      </c>
      <c r="P909" s="7">
        <v>0</v>
      </c>
      <c r="Q909" s="7">
        <v>0</v>
      </c>
    </row>
    <row r="910" spans="1:17">
      <c r="A910" s="2">
        <v>2858</v>
      </c>
      <c r="B910" s="7">
        <v>0</v>
      </c>
      <c r="C910" s="7">
        <v>0</v>
      </c>
      <c r="D910" s="7">
        <v>0</v>
      </c>
      <c r="E910" s="7">
        <v>0</v>
      </c>
      <c r="F910" s="7">
        <v>0</v>
      </c>
      <c r="G910" s="7">
        <v>0</v>
      </c>
      <c r="H910" s="7">
        <v>0</v>
      </c>
      <c r="I910" s="7">
        <v>0</v>
      </c>
      <c r="J910" s="7">
        <v>0</v>
      </c>
      <c r="K910" s="7">
        <v>0</v>
      </c>
      <c r="L910" s="7">
        <v>0</v>
      </c>
      <c r="M910" s="7">
        <v>0</v>
      </c>
      <c r="N910" s="7">
        <v>0</v>
      </c>
      <c r="O910" s="7">
        <v>0</v>
      </c>
      <c r="P910" s="7">
        <v>0</v>
      </c>
      <c r="Q910" s="7">
        <v>0</v>
      </c>
    </row>
    <row r="911" spans="1:17">
      <c r="A911" s="2">
        <v>2859</v>
      </c>
      <c r="B911" s="7">
        <v>0</v>
      </c>
      <c r="C911" s="7">
        <v>0</v>
      </c>
      <c r="D911" s="7">
        <v>0</v>
      </c>
      <c r="E911" s="7">
        <v>0</v>
      </c>
      <c r="F911" s="7">
        <v>0</v>
      </c>
      <c r="G911" s="7">
        <v>0</v>
      </c>
      <c r="H911" s="7">
        <v>0</v>
      </c>
      <c r="I911" s="7">
        <v>0</v>
      </c>
      <c r="J911" s="7">
        <v>0</v>
      </c>
      <c r="K911" s="7">
        <v>0</v>
      </c>
      <c r="L911" s="7">
        <v>0</v>
      </c>
      <c r="M911" s="7">
        <v>0</v>
      </c>
      <c r="N911" s="7">
        <v>0</v>
      </c>
      <c r="O911" s="7">
        <v>0</v>
      </c>
      <c r="P911" s="7">
        <v>0</v>
      </c>
      <c r="Q911" s="7">
        <v>0</v>
      </c>
    </row>
    <row r="912" spans="1:17">
      <c r="A912" s="2">
        <v>2860</v>
      </c>
      <c r="B912" s="7">
        <v>0</v>
      </c>
      <c r="C912" s="7">
        <v>0</v>
      </c>
      <c r="D912" s="7">
        <v>0</v>
      </c>
      <c r="E912" s="7">
        <v>0</v>
      </c>
      <c r="F912" s="7">
        <v>0</v>
      </c>
      <c r="G912" s="7">
        <v>0</v>
      </c>
      <c r="H912" s="7">
        <v>0</v>
      </c>
      <c r="I912" s="7">
        <v>0</v>
      </c>
      <c r="J912" s="7">
        <v>0</v>
      </c>
      <c r="K912" s="7">
        <v>0</v>
      </c>
      <c r="L912" s="7">
        <v>0</v>
      </c>
      <c r="M912" s="7">
        <v>0</v>
      </c>
      <c r="N912" s="7">
        <v>0</v>
      </c>
      <c r="O912" s="7">
        <v>0</v>
      </c>
      <c r="P912" s="7">
        <v>0</v>
      </c>
      <c r="Q912" s="7">
        <v>0</v>
      </c>
    </row>
    <row r="913" spans="1:17">
      <c r="A913" s="2">
        <v>2861</v>
      </c>
      <c r="B913" s="7">
        <v>0</v>
      </c>
      <c r="C913" s="7">
        <v>0</v>
      </c>
      <c r="D913" s="7">
        <v>0</v>
      </c>
      <c r="E913" s="7">
        <v>0</v>
      </c>
      <c r="F913" s="7">
        <v>0</v>
      </c>
      <c r="G913" s="7">
        <v>0</v>
      </c>
      <c r="H913" s="7">
        <v>0</v>
      </c>
      <c r="I913" s="7">
        <v>0</v>
      </c>
      <c r="J913" s="7">
        <v>0</v>
      </c>
      <c r="K913" s="7">
        <v>0</v>
      </c>
      <c r="L913" s="7">
        <v>0</v>
      </c>
      <c r="M913" s="7">
        <v>0</v>
      </c>
      <c r="N913" s="7">
        <v>0</v>
      </c>
      <c r="O913" s="7">
        <v>0</v>
      </c>
      <c r="P913" s="7">
        <v>0</v>
      </c>
      <c r="Q913" s="7">
        <v>0</v>
      </c>
    </row>
    <row r="914" spans="1:17">
      <c r="A914" s="2">
        <v>2862</v>
      </c>
      <c r="B914" s="7">
        <v>0</v>
      </c>
      <c r="C914" s="7">
        <v>0</v>
      </c>
      <c r="D914" s="7">
        <v>0</v>
      </c>
      <c r="E914" s="7">
        <v>0</v>
      </c>
      <c r="F914" s="7">
        <v>0</v>
      </c>
      <c r="G914" s="7">
        <v>0</v>
      </c>
      <c r="H914" s="7">
        <v>0</v>
      </c>
      <c r="I914" s="7">
        <v>0</v>
      </c>
      <c r="J914" s="7">
        <v>0</v>
      </c>
      <c r="K914" s="7">
        <v>0</v>
      </c>
      <c r="L914" s="7">
        <v>0</v>
      </c>
      <c r="M914" s="7">
        <v>0</v>
      </c>
      <c r="N914" s="7">
        <v>0</v>
      </c>
      <c r="O914" s="7">
        <v>0</v>
      </c>
      <c r="P914" s="7">
        <v>0</v>
      </c>
      <c r="Q914" s="7">
        <v>0</v>
      </c>
    </row>
    <row r="915" spans="1:17">
      <c r="A915" s="2">
        <v>2863</v>
      </c>
      <c r="B915" s="7">
        <v>0</v>
      </c>
      <c r="C915" s="7">
        <v>0</v>
      </c>
      <c r="D915" s="7">
        <v>0</v>
      </c>
      <c r="E915" s="7">
        <v>0</v>
      </c>
      <c r="F915" s="7">
        <v>0</v>
      </c>
      <c r="G915" s="7">
        <v>0</v>
      </c>
      <c r="H915" s="7">
        <v>0</v>
      </c>
      <c r="I915" s="7">
        <v>0</v>
      </c>
      <c r="J915" s="7">
        <v>0</v>
      </c>
      <c r="K915" s="7">
        <v>0</v>
      </c>
      <c r="L915" s="7">
        <v>0</v>
      </c>
      <c r="M915" s="7">
        <v>0</v>
      </c>
      <c r="N915" s="7">
        <v>0</v>
      </c>
      <c r="O915" s="7">
        <v>0</v>
      </c>
      <c r="P915" s="7">
        <v>0</v>
      </c>
      <c r="Q915" s="7">
        <v>0</v>
      </c>
    </row>
    <row r="916" spans="1:17">
      <c r="A916" s="2">
        <v>2864</v>
      </c>
      <c r="B916" s="7">
        <v>0</v>
      </c>
      <c r="C916" s="7">
        <v>0</v>
      </c>
      <c r="D916" s="7">
        <v>0</v>
      </c>
      <c r="E916" s="7">
        <v>0</v>
      </c>
      <c r="F916" s="7">
        <v>0</v>
      </c>
      <c r="G916" s="7">
        <v>0</v>
      </c>
      <c r="H916" s="7">
        <v>0</v>
      </c>
      <c r="I916" s="7">
        <v>0</v>
      </c>
      <c r="J916" s="7">
        <v>0</v>
      </c>
      <c r="K916" s="7">
        <v>0</v>
      </c>
      <c r="L916" s="7">
        <v>0</v>
      </c>
      <c r="M916" s="7">
        <v>0</v>
      </c>
      <c r="N916" s="7">
        <v>0</v>
      </c>
      <c r="O916" s="7">
        <v>0</v>
      </c>
      <c r="P916" s="7">
        <v>0</v>
      </c>
      <c r="Q916" s="7">
        <v>0</v>
      </c>
    </row>
    <row r="917" spans="1:17">
      <c r="A917" s="2">
        <v>2865</v>
      </c>
      <c r="B917" s="7">
        <v>0</v>
      </c>
      <c r="C917" s="7">
        <v>0</v>
      </c>
      <c r="D917" s="7">
        <v>0</v>
      </c>
      <c r="E917" s="7">
        <v>0</v>
      </c>
      <c r="F917" s="7">
        <v>0</v>
      </c>
      <c r="G917" s="7">
        <v>0</v>
      </c>
      <c r="H917" s="7">
        <v>0</v>
      </c>
      <c r="I917" s="7">
        <v>0</v>
      </c>
      <c r="J917" s="7">
        <v>0</v>
      </c>
      <c r="K917" s="7">
        <v>0</v>
      </c>
      <c r="L917" s="7">
        <v>0</v>
      </c>
      <c r="M917" s="7">
        <v>0</v>
      </c>
      <c r="N917" s="7">
        <v>0</v>
      </c>
      <c r="O917" s="7">
        <v>0</v>
      </c>
      <c r="P917" s="7">
        <v>0</v>
      </c>
      <c r="Q917" s="7">
        <v>0</v>
      </c>
    </row>
    <row r="918" spans="1:17">
      <c r="A918" s="2">
        <v>2866</v>
      </c>
      <c r="B918" s="7">
        <v>0</v>
      </c>
      <c r="C918" s="7">
        <v>0</v>
      </c>
      <c r="D918" s="7">
        <v>0</v>
      </c>
      <c r="E918" s="7">
        <v>0</v>
      </c>
      <c r="F918" s="7">
        <v>0</v>
      </c>
      <c r="G918" s="7">
        <v>0</v>
      </c>
      <c r="H918" s="7">
        <v>0</v>
      </c>
      <c r="I918" s="7">
        <v>0</v>
      </c>
      <c r="J918" s="7">
        <v>0</v>
      </c>
      <c r="K918" s="7">
        <v>0</v>
      </c>
      <c r="L918" s="7">
        <v>0</v>
      </c>
      <c r="M918" s="7">
        <v>0</v>
      </c>
      <c r="N918" s="7">
        <v>0</v>
      </c>
      <c r="O918" s="7">
        <v>0</v>
      </c>
      <c r="P918" s="7">
        <v>0</v>
      </c>
      <c r="Q918" s="7">
        <v>0</v>
      </c>
    </row>
    <row r="919" spans="1:17">
      <c r="A919" s="2">
        <v>2867</v>
      </c>
      <c r="B919" s="7">
        <v>0</v>
      </c>
      <c r="C919" s="7">
        <v>0</v>
      </c>
      <c r="D919" s="7">
        <v>0</v>
      </c>
      <c r="E919" s="7">
        <v>0</v>
      </c>
      <c r="F919" s="7">
        <v>0</v>
      </c>
      <c r="G919" s="7">
        <v>0</v>
      </c>
      <c r="H919" s="7">
        <v>0</v>
      </c>
      <c r="I919" s="7">
        <v>0</v>
      </c>
      <c r="J919" s="7">
        <v>0</v>
      </c>
      <c r="K919" s="7">
        <v>0</v>
      </c>
      <c r="L919" s="7">
        <v>0</v>
      </c>
      <c r="M919" s="7">
        <v>0</v>
      </c>
      <c r="N919" s="7">
        <v>0</v>
      </c>
      <c r="O919" s="7">
        <v>0</v>
      </c>
      <c r="P919" s="7">
        <v>0</v>
      </c>
      <c r="Q919" s="7">
        <v>0</v>
      </c>
    </row>
    <row r="920" spans="1:17">
      <c r="A920" s="2">
        <v>2868</v>
      </c>
      <c r="B920" s="7">
        <v>0</v>
      </c>
      <c r="C920" s="7">
        <v>0</v>
      </c>
      <c r="D920" s="7">
        <v>0</v>
      </c>
      <c r="E920" s="7">
        <v>0</v>
      </c>
      <c r="F920" s="7">
        <v>0</v>
      </c>
      <c r="G920" s="7">
        <v>0</v>
      </c>
      <c r="H920" s="7">
        <v>0</v>
      </c>
      <c r="I920" s="7">
        <v>0</v>
      </c>
      <c r="J920" s="7">
        <v>0</v>
      </c>
      <c r="K920" s="7">
        <v>0</v>
      </c>
      <c r="L920" s="7">
        <v>0</v>
      </c>
      <c r="M920" s="7">
        <v>0</v>
      </c>
      <c r="N920" s="7">
        <v>0</v>
      </c>
      <c r="O920" s="7">
        <v>0</v>
      </c>
      <c r="P920" s="7">
        <v>0</v>
      </c>
      <c r="Q920" s="7">
        <v>0</v>
      </c>
    </row>
    <row r="921" spans="1:17">
      <c r="A921" s="2">
        <v>2869</v>
      </c>
      <c r="B921" s="7">
        <v>0</v>
      </c>
      <c r="C921" s="7">
        <v>0</v>
      </c>
      <c r="D921" s="7">
        <v>0</v>
      </c>
      <c r="E921" s="7">
        <v>0</v>
      </c>
      <c r="F921" s="7">
        <v>0</v>
      </c>
      <c r="G921" s="7">
        <v>0</v>
      </c>
      <c r="H921" s="7">
        <v>0</v>
      </c>
      <c r="I921" s="7">
        <v>0</v>
      </c>
      <c r="J921" s="7">
        <v>0</v>
      </c>
      <c r="K921" s="7">
        <v>0</v>
      </c>
      <c r="L921" s="7">
        <v>0</v>
      </c>
      <c r="M921" s="7">
        <v>0</v>
      </c>
      <c r="N921" s="7">
        <v>0</v>
      </c>
      <c r="O921" s="7">
        <v>0</v>
      </c>
      <c r="P921" s="7">
        <v>0</v>
      </c>
      <c r="Q921" s="7">
        <v>0</v>
      </c>
    </row>
    <row r="922" spans="1:17">
      <c r="A922" s="2">
        <v>2870</v>
      </c>
      <c r="B922" s="7">
        <v>0</v>
      </c>
      <c r="C922" s="7">
        <v>0</v>
      </c>
      <c r="D922" s="7">
        <v>0</v>
      </c>
      <c r="E922" s="7">
        <v>0</v>
      </c>
      <c r="F922" s="7">
        <v>0</v>
      </c>
      <c r="G922" s="7">
        <v>0</v>
      </c>
      <c r="H922" s="7">
        <v>0</v>
      </c>
      <c r="I922" s="7">
        <v>0</v>
      </c>
      <c r="J922" s="7">
        <v>0</v>
      </c>
      <c r="K922" s="7">
        <v>0</v>
      </c>
      <c r="L922" s="7">
        <v>0</v>
      </c>
      <c r="M922" s="7">
        <v>0</v>
      </c>
      <c r="N922" s="7">
        <v>0</v>
      </c>
      <c r="O922" s="7">
        <v>0</v>
      </c>
      <c r="P922" s="7">
        <v>0</v>
      </c>
      <c r="Q922" s="7">
        <v>0</v>
      </c>
    </row>
    <row r="923" spans="1:17">
      <c r="A923" s="2">
        <v>2871</v>
      </c>
      <c r="B923" s="7">
        <v>0</v>
      </c>
      <c r="C923" s="7">
        <v>0</v>
      </c>
      <c r="D923" s="7">
        <v>0</v>
      </c>
      <c r="E923" s="7">
        <v>0</v>
      </c>
      <c r="F923" s="7">
        <v>0</v>
      </c>
      <c r="G923" s="7">
        <v>0</v>
      </c>
      <c r="H923" s="7">
        <v>0</v>
      </c>
      <c r="I923" s="7">
        <v>0</v>
      </c>
      <c r="J923" s="7">
        <v>0</v>
      </c>
      <c r="K923" s="7">
        <v>0</v>
      </c>
      <c r="L923" s="7">
        <v>0</v>
      </c>
      <c r="M923" s="7">
        <v>0</v>
      </c>
      <c r="N923" s="7">
        <v>0</v>
      </c>
      <c r="O923" s="7">
        <v>0</v>
      </c>
      <c r="P923" s="7">
        <v>0</v>
      </c>
      <c r="Q923" s="7">
        <v>0</v>
      </c>
    </row>
    <row r="924" spans="1:17">
      <c r="A924" s="2">
        <v>2872</v>
      </c>
      <c r="B924" s="7">
        <v>0</v>
      </c>
      <c r="C924" s="7">
        <v>0</v>
      </c>
      <c r="D924" s="7">
        <v>0</v>
      </c>
      <c r="E924" s="7">
        <v>0</v>
      </c>
      <c r="F924" s="7">
        <v>0</v>
      </c>
      <c r="G924" s="7">
        <v>0</v>
      </c>
      <c r="H924" s="7">
        <v>0</v>
      </c>
      <c r="I924" s="7">
        <v>0</v>
      </c>
      <c r="J924" s="7">
        <v>0</v>
      </c>
      <c r="K924" s="7">
        <v>0</v>
      </c>
      <c r="L924" s="7">
        <v>0</v>
      </c>
      <c r="M924" s="7">
        <v>0</v>
      </c>
      <c r="N924" s="7">
        <v>0</v>
      </c>
      <c r="O924" s="7">
        <v>0</v>
      </c>
      <c r="P924" s="7">
        <v>0</v>
      </c>
      <c r="Q924" s="7">
        <v>0</v>
      </c>
    </row>
    <row r="925" spans="1:17">
      <c r="A925" s="2">
        <v>2873</v>
      </c>
      <c r="B925" s="7">
        <v>0</v>
      </c>
      <c r="C925" s="7">
        <v>0</v>
      </c>
      <c r="D925" s="7">
        <v>0</v>
      </c>
      <c r="E925" s="7">
        <v>0</v>
      </c>
      <c r="F925" s="7">
        <v>0</v>
      </c>
      <c r="G925" s="7">
        <v>0</v>
      </c>
      <c r="H925" s="7">
        <v>0</v>
      </c>
      <c r="I925" s="7">
        <v>0</v>
      </c>
      <c r="J925" s="7">
        <v>0</v>
      </c>
      <c r="K925" s="7">
        <v>0</v>
      </c>
      <c r="L925" s="7">
        <v>0</v>
      </c>
      <c r="M925" s="7">
        <v>0</v>
      </c>
      <c r="N925" s="7">
        <v>0</v>
      </c>
      <c r="O925" s="7">
        <v>0</v>
      </c>
      <c r="P925" s="7">
        <v>0</v>
      </c>
      <c r="Q925" s="7">
        <v>0</v>
      </c>
    </row>
    <row r="926" spans="1:17">
      <c r="A926" s="2">
        <v>2874</v>
      </c>
      <c r="B926" s="7">
        <v>0</v>
      </c>
      <c r="C926" s="7">
        <v>0</v>
      </c>
      <c r="D926" s="7">
        <v>0</v>
      </c>
      <c r="E926" s="7">
        <v>0</v>
      </c>
      <c r="F926" s="7">
        <v>0</v>
      </c>
      <c r="G926" s="7">
        <v>0</v>
      </c>
      <c r="H926" s="7">
        <v>0</v>
      </c>
      <c r="I926" s="7">
        <v>0</v>
      </c>
      <c r="J926" s="7">
        <v>0</v>
      </c>
      <c r="K926" s="7">
        <v>0</v>
      </c>
      <c r="L926" s="7">
        <v>0</v>
      </c>
      <c r="M926" s="7">
        <v>0</v>
      </c>
      <c r="N926" s="7">
        <v>0</v>
      </c>
      <c r="O926" s="7">
        <v>0</v>
      </c>
      <c r="P926" s="7">
        <v>0</v>
      </c>
      <c r="Q926" s="7">
        <v>0</v>
      </c>
    </row>
    <row r="927" spans="1:17">
      <c r="A927" s="2">
        <v>2875</v>
      </c>
      <c r="B927" s="7">
        <v>0</v>
      </c>
      <c r="C927" s="7">
        <v>0</v>
      </c>
      <c r="D927" s="7">
        <v>0</v>
      </c>
      <c r="E927" s="7">
        <v>0</v>
      </c>
      <c r="F927" s="7">
        <v>0</v>
      </c>
      <c r="G927" s="7">
        <v>0</v>
      </c>
      <c r="H927" s="7">
        <v>0</v>
      </c>
      <c r="I927" s="7">
        <v>0</v>
      </c>
      <c r="J927" s="7">
        <v>0</v>
      </c>
      <c r="K927" s="7">
        <v>0</v>
      </c>
      <c r="L927" s="7">
        <v>0</v>
      </c>
      <c r="M927" s="7">
        <v>0</v>
      </c>
      <c r="N927" s="7">
        <v>0</v>
      </c>
      <c r="O927" s="7">
        <v>0</v>
      </c>
      <c r="P927" s="7">
        <v>0</v>
      </c>
      <c r="Q927" s="7">
        <v>0</v>
      </c>
    </row>
    <row r="928" spans="1:17">
      <c r="A928" s="2">
        <v>2876</v>
      </c>
      <c r="B928" s="7">
        <v>0</v>
      </c>
      <c r="C928" s="7">
        <v>0</v>
      </c>
      <c r="D928" s="7">
        <v>0</v>
      </c>
      <c r="E928" s="7">
        <v>0</v>
      </c>
      <c r="F928" s="7">
        <v>0</v>
      </c>
      <c r="G928" s="7">
        <v>0</v>
      </c>
      <c r="H928" s="7">
        <v>0</v>
      </c>
      <c r="I928" s="7">
        <v>0</v>
      </c>
      <c r="J928" s="7">
        <v>0</v>
      </c>
      <c r="K928" s="7">
        <v>0</v>
      </c>
      <c r="L928" s="7">
        <v>0</v>
      </c>
      <c r="M928" s="7">
        <v>0</v>
      </c>
      <c r="N928" s="7">
        <v>0</v>
      </c>
      <c r="O928" s="7">
        <v>0</v>
      </c>
      <c r="P928" s="7">
        <v>0</v>
      </c>
      <c r="Q928" s="7">
        <v>0</v>
      </c>
    </row>
    <row r="929" spans="1:17">
      <c r="A929" s="2">
        <v>2877</v>
      </c>
      <c r="B929" s="7">
        <v>0</v>
      </c>
      <c r="C929" s="7">
        <v>0</v>
      </c>
      <c r="D929" s="7">
        <v>0</v>
      </c>
      <c r="E929" s="7">
        <v>0</v>
      </c>
      <c r="F929" s="7">
        <v>0</v>
      </c>
      <c r="G929" s="7">
        <v>0</v>
      </c>
      <c r="H929" s="7">
        <v>0</v>
      </c>
      <c r="I929" s="7">
        <v>0</v>
      </c>
      <c r="J929" s="7">
        <v>0</v>
      </c>
      <c r="K929" s="7">
        <v>0</v>
      </c>
      <c r="L929" s="7">
        <v>0</v>
      </c>
      <c r="M929" s="7">
        <v>0</v>
      </c>
      <c r="N929" s="7">
        <v>0</v>
      </c>
      <c r="O929" s="7">
        <v>0</v>
      </c>
      <c r="P929" s="7">
        <v>0</v>
      </c>
      <c r="Q929" s="7">
        <v>0</v>
      </c>
    </row>
    <row r="930" spans="1:17">
      <c r="A930" s="2">
        <v>2878</v>
      </c>
      <c r="B930" s="7">
        <v>0</v>
      </c>
      <c r="C930" s="7">
        <v>0</v>
      </c>
      <c r="D930" s="7">
        <v>0</v>
      </c>
      <c r="E930" s="7">
        <v>0</v>
      </c>
      <c r="F930" s="7">
        <v>0</v>
      </c>
      <c r="G930" s="7">
        <v>0</v>
      </c>
      <c r="H930" s="7">
        <v>0</v>
      </c>
      <c r="I930" s="7">
        <v>0</v>
      </c>
      <c r="J930" s="7">
        <v>0</v>
      </c>
      <c r="K930" s="7">
        <v>0</v>
      </c>
      <c r="L930" s="7">
        <v>0</v>
      </c>
      <c r="M930" s="7">
        <v>0</v>
      </c>
      <c r="N930" s="7">
        <v>0</v>
      </c>
      <c r="O930" s="7">
        <v>0</v>
      </c>
      <c r="P930" s="7">
        <v>0</v>
      </c>
      <c r="Q930" s="7">
        <v>0</v>
      </c>
    </row>
    <row r="931" spans="1:17">
      <c r="A931" s="2">
        <v>2879</v>
      </c>
      <c r="B931" s="7">
        <v>0</v>
      </c>
      <c r="C931" s="7">
        <v>0</v>
      </c>
      <c r="D931" s="7">
        <v>0</v>
      </c>
      <c r="E931" s="7">
        <v>0</v>
      </c>
      <c r="F931" s="7">
        <v>0</v>
      </c>
      <c r="G931" s="7">
        <v>0</v>
      </c>
      <c r="H931" s="7">
        <v>0</v>
      </c>
      <c r="I931" s="7">
        <v>0</v>
      </c>
      <c r="J931" s="7">
        <v>0</v>
      </c>
      <c r="K931" s="7">
        <v>0</v>
      </c>
      <c r="L931" s="7">
        <v>0</v>
      </c>
      <c r="M931" s="7">
        <v>0</v>
      </c>
      <c r="N931" s="7">
        <v>0</v>
      </c>
      <c r="O931" s="7">
        <v>0</v>
      </c>
      <c r="P931" s="7">
        <v>0</v>
      </c>
      <c r="Q931" s="7">
        <v>0</v>
      </c>
    </row>
    <row r="932" spans="1:17">
      <c r="A932" s="2">
        <v>2880</v>
      </c>
      <c r="B932" s="7">
        <v>0</v>
      </c>
      <c r="C932" s="7">
        <v>0</v>
      </c>
      <c r="D932" s="7">
        <v>0</v>
      </c>
      <c r="E932" s="7">
        <v>0</v>
      </c>
      <c r="F932" s="7">
        <v>0</v>
      </c>
      <c r="G932" s="7">
        <v>0</v>
      </c>
      <c r="H932" s="7">
        <v>0</v>
      </c>
      <c r="I932" s="7">
        <v>0</v>
      </c>
      <c r="J932" s="7">
        <v>0</v>
      </c>
      <c r="K932" s="7">
        <v>0</v>
      </c>
      <c r="L932" s="7">
        <v>0</v>
      </c>
      <c r="M932" s="7">
        <v>0</v>
      </c>
      <c r="N932" s="7">
        <v>0</v>
      </c>
      <c r="O932" s="7">
        <v>0</v>
      </c>
      <c r="P932" s="7">
        <v>0</v>
      </c>
      <c r="Q932" s="7">
        <v>0</v>
      </c>
    </row>
    <row r="933" spans="1:17">
      <c r="A933" s="2">
        <v>2881</v>
      </c>
      <c r="B933" s="7">
        <v>0</v>
      </c>
      <c r="C933" s="7">
        <v>0</v>
      </c>
      <c r="D933" s="7">
        <v>0</v>
      </c>
      <c r="E933" s="7">
        <v>0</v>
      </c>
      <c r="F933" s="7">
        <v>0</v>
      </c>
      <c r="G933" s="7">
        <v>0</v>
      </c>
      <c r="H933" s="7">
        <v>0</v>
      </c>
      <c r="I933" s="7">
        <v>0</v>
      </c>
      <c r="J933" s="7">
        <v>0</v>
      </c>
      <c r="K933" s="7">
        <v>0</v>
      </c>
      <c r="L933" s="7">
        <v>0</v>
      </c>
      <c r="M933" s="7">
        <v>0</v>
      </c>
      <c r="N933" s="7">
        <v>0</v>
      </c>
      <c r="O933" s="7">
        <v>0</v>
      </c>
      <c r="P933" s="7">
        <v>0</v>
      </c>
      <c r="Q933" s="7">
        <v>0</v>
      </c>
    </row>
    <row r="934" spans="1:17">
      <c r="A934" s="2">
        <v>2882</v>
      </c>
      <c r="B934" s="7">
        <v>0</v>
      </c>
      <c r="C934" s="7">
        <v>0</v>
      </c>
      <c r="D934" s="7">
        <v>0</v>
      </c>
      <c r="E934" s="7">
        <v>0</v>
      </c>
      <c r="F934" s="7">
        <v>0</v>
      </c>
      <c r="G934" s="7">
        <v>0</v>
      </c>
      <c r="H934" s="7">
        <v>0</v>
      </c>
      <c r="I934" s="7">
        <v>0</v>
      </c>
      <c r="J934" s="7">
        <v>0</v>
      </c>
      <c r="K934" s="7">
        <v>0</v>
      </c>
      <c r="L934" s="7">
        <v>0</v>
      </c>
      <c r="M934" s="7">
        <v>0</v>
      </c>
      <c r="N934" s="7">
        <v>0</v>
      </c>
      <c r="O934" s="7">
        <v>0</v>
      </c>
      <c r="P934" s="7">
        <v>0</v>
      </c>
      <c r="Q934" s="7">
        <v>0</v>
      </c>
    </row>
    <row r="935" spans="1:17">
      <c r="A935" s="2">
        <v>2883</v>
      </c>
      <c r="B935" s="7">
        <v>0</v>
      </c>
      <c r="C935" s="7">
        <v>0</v>
      </c>
      <c r="D935" s="7">
        <v>0</v>
      </c>
      <c r="E935" s="7">
        <v>0</v>
      </c>
      <c r="F935" s="7">
        <v>0</v>
      </c>
      <c r="G935" s="7">
        <v>0</v>
      </c>
      <c r="H935" s="7">
        <v>0</v>
      </c>
      <c r="I935" s="7">
        <v>0</v>
      </c>
      <c r="J935" s="7">
        <v>0</v>
      </c>
      <c r="K935" s="7">
        <v>0</v>
      </c>
      <c r="L935" s="7">
        <v>0</v>
      </c>
      <c r="M935" s="7">
        <v>0</v>
      </c>
      <c r="N935" s="7">
        <v>0</v>
      </c>
      <c r="O935" s="7">
        <v>0</v>
      </c>
      <c r="P935" s="7">
        <v>0</v>
      </c>
      <c r="Q935" s="7">
        <v>0</v>
      </c>
    </row>
    <row r="936" spans="1:17">
      <c r="A936" s="2">
        <v>2884</v>
      </c>
      <c r="B936" s="7">
        <v>0</v>
      </c>
      <c r="C936" s="7">
        <v>0</v>
      </c>
      <c r="D936" s="7">
        <v>0</v>
      </c>
      <c r="E936" s="7">
        <v>0</v>
      </c>
      <c r="F936" s="7">
        <v>0</v>
      </c>
      <c r="G936" s="7">
        <v>0</v>
      </c>
      <c r="H936" s="7">
        <v>0</v>
      </c>
      <c r="I936" s="7">
        <v>0</v>
      </c>
      <c r="J936" s="7">
        <v>0</v>
      </c>
      <c r="K936" s="7">
        <v>0</v>
      </c>
      <c r="L936" s="7">
        <v>0</v>
      </c>
      <c r="M936" s="7">
        <v>0</v>
      </c>
      <c r="N936" s="7">
        <v>0</v>
      </c>
      <c r="O936" s="7">
        <v>0</v>
      </c>
      <c r="P936" s="7">
        <v>0</v>
      </c>
      <c r="Q936" s="7">
        <v>0</v>
      </c>
    </row>
    <row r="937" spans="1:17">
      <c r="A937" s="2">
        <v>2885</v>
      </c>
      <c r="B937" s="7">
        <v>0</v>
      </c>
      <c r="C937" s="7">
        <v>0</v>
      </c>
      <c r="D937" s="7">
        <v>0</v>
      </c>
      <c r="E937" s="7">
        <v>0</v>
      </c>
      <c r="F937" s="7">
        <v>0</v>
      </c>
      <c r="G937" s="7">
        <v>0</v>
      </c>
      <c r="H937" s="7">
        <v>0</v>
      </c>
      <c r="I937" s="7">
        <v>0</v>
      </c>
      <c r="J937" s="7">
        <v>0</v>
      </c>
      <c r="K937" s="7">
        <v>0</v>
      </c>
      <c r="L937" s="7">
        <v>0</v>
      </c>
      <c r="M937" s="7">
        <v>0</v>
      </c>
      <c r="N937" s="7">
        <v>0</v>
      </c>
      <c r="O937" s="7">
        <v>0</v>
      </c>
      <c r="P937" s="7">
        <v>0</v>
      </c>
      <c r="Q937" s="7">
        <v>0</v>
      </c>
    </row>
    <row r="938" spans="1:17">
      <c r="A938" s="2">
        <v>2886</v>
      </c>
      <c r="B938" s="7">
        <v>0</v>
      </c>
      <c r="C938" s="7">
        <v>0</v>
      </c>
      <c r="D938" s="7">
        <v>0</v>
      </c>
      <c r="E938" s="7">
        <v>0</v>
      </c>
      <c r="F938" s="7">
        <v>0</v>
      </c>
      <c r="G938" s="7">
        <v>0</v>
      </c>
      <c r="H938" s="7">
        <v>0</v>
      </c>
      <c r="I938" s="7">
        <v>0</v>
      </c>
      <c r="J938" s="7">
        <v>0</v>
      </c>
      <c r="K938" s="7">
        <v>0</v>
      </c>
      <c r="L938" s="7">
        <v>0</v>
      </c>
      <c r="M938" s="7">
        <v>0</v>
      </c>
      <c r="N938" s="7">
        <v>0</v>
      </c>
      <c r="O938" s="7">
        <v>0</v>
      </c>
      <c r="P938" s="7">
        <v>0</v>
      </c>
      <c r="Q938" s="7">
        <v>0</v>
      </c>
    </row>
    <row r="939" spans="1:17">
      <c r="A939" s="2">
        <v>2887</v>
      </c>
      <c r="B939" s="7">
        <v>0</v>
      </c>
      <c r="C939" s="7">
        <v>0</v>
      </c>
      <c r="D939" s="7">
        <v>0</v>
      </c>
      <c r="E939" s="7">
        <v>0</v>
      </c>
      <c r="F939" s="7">
        <v>0</v>
      </c>
      <c r="G939" s="7">
        <v>0</v>
      </c>
      <c r="H939" s="7">
        <v>0</v>
      </c>
      <c r="I939" s="7">
        <v>0</v>
      </c>
      <c r="J939" s="7">
        <v>0</v>
      </c>
      <c r="K939" s="7">
        <v>0</v>
      </c>
      <c r="L939" s="7">
        <v>0</v>
      </c>
      <c r="M939" s="7">
        <v>0</v>
      </c>
      <c r="N939" s="7">
        <v>0</v>
      </c>
      <c r="O939" s="7">
        <v>0</v>
      </c>
      <c r="P939" s="7">
        <v>0</v>
      </c>
      <c r="Q939" s="7">
        <v>0</v>
      </c>
    </row>
    <row r="940" spans="1:17">
      <c r="A940" s="2">
        <v>2888</v>
      </c>
      <c r="B940" s="7">
        <v>0</v>
      </c>
      <c r="C940" s="7">
        <v>0</v>
      </c>
      <c r="D940" s="7">
        <v>0</v>
      </c>
      <c r="E940" s="7">
        <v>0</v>
      </c>
      <c r="F940" s="7">
        <v>0</v>
      </c>
      <c r="G940" s="7">
        <v>0</v>
      </c>
      <c r="H940" s="7">
        <v>0</v>
      </c>
      <c r="I940" s="7">
        <v>0</v>
      </c>
      <c r="J940" s="7">
        <v>0</v>
      </c>
      <c r="K940" s="7">
        <v>0</v>
      </c>
      <c r="L940" s="7">
        <v>0</v>
      </c>
      <c r="M940" s="7">
        <v>0</v>
      </c>
      <c r="N940" s="7">
        <v>0</v>
      </c>
      <c r="O940" s="7">
        <v>0</v>
      </c>
      <c r="P940" s="7">
        <v>0</v>
      </c>
      <c r="Q940" s="7">
        <v>0</v>
      </c>
    </row>
    <row r="941" spans="1:17">
      <c r="A941" s="2">
        <v>2889</v>
      </c>
      <c r="B941" s="7">
        <v>0</v>
      </c>
      <c r="C941" s="7">
        <v>0</v>
      </c>
      <c r="D941" s="7">
        <v>0</v>
      </c>
      <c r="E941" s="7">
        <v>0</v>
      </c>
      <c r="F941" s="7">
        <v>0</v>
      </c>
      <c r="G941" s="7">
        <v>0</v>
      </c>
      <c r="H941" s="7">
        <v>0</v>
      </c>
      <c r="I941" s="7">
        <v>0</v>
      </c>
      <c r="J941" s="7">
        <v>0</v>
      </c>
      <c r="K941" s="7">
        <v>0</v>
      </c>
      <c r="L941" s="7">
        <v>0</v>
      </c>
      <c r="M941" s="7">
        <v>0</v>
      </c>
      <c r="N941" s="7">
        <v>0</v>
      </c>
      <c r="O941" s="7">
        <v>0</v>
      </c>
      <c r="P941" s="7">
        <v>0</v>
      </c>
      <c r="Q941" s="7">
        <v>0</v>
      </c>
    </row>
    <row r="942" spans="1:17">
      <c r="A942" s="2">
        <v>2890</v>
      </c>
      <c r="B942" s="7">
        <v>0</v>
      </c>
      <c r="C942" s="7">
        <v>0</v>
      </c>
      <c r="D942" s="7">
        <v>0</v>
      </c>
      <c r="E942" s="7">
        <v>0</v>
      </c>
      <c r="F942" s="7">
        <v>0</v>
      </c>
      <c r="G942" s="7">
        <v>0</v>
      </c>
      <c r="H942" s="7">
        <v>0</v>
      </c>
      <c r="I942" s="7">
        <v>0</v>
      </c>
      <c r="J942" s="7">
        <v>0</v>
      </c>
      <c r="K942" s="7">
        <v>0</v>
      </c>
      <c r="L942" s="7">
        <v>0</v>
      </c>
      <c r="M942" s="7">
        <v>0</v>
      </c>
      <c r="N942" s="7">
        <v>0</v>
      </c>
      <c r="O942" s="7">
        <v>0</v>
      </c>
      <c r="P942" s="7">
        <v>0</v>
      </c>
      <c r="Q942" s="7">
        <v>0</v>
      </c>
    </row>
    <row r="943" spans="1:17">
      <c r="A943" s="2">
        <v>2891</v>
      </c>
      <c r="B943" s="7">
        <v>0</v>
      </c>
      <c r="C943" s="7">
        <v>0</v>
      </c>
      <c r="D943" s="7">
        <v>0</v>
      </c>
      <c r="E943" s="7">
        <v>0</v>
      </c>
      <c r="F943" s="7">
        <v>0</v>
      </c>
      <c r="G943" s="7">
        <v>0</v>
      </c>
      <c r="H943" s="7">
        <v>0</v>
      </c>
      <c r="I943" s="7">
        <v>0</v>
      </c>
      <c r="J943" s="7">
        <v>0</v>
      </c>
      <c r="K943" s="7">
        <v>0</v>
      </c>
      <c r="L943" s="7">
        <v>0</v>
      </c>
      <c r="M943" s="7">
        <v>0</v>
      </c>
      <c r="N943" s="7">
        <v>0</v>
      </c>
      <c r="O943" s="7">
        <v>0</v>
      </c>
      <c r="P943" s="7">
        <v>0</v>
      </c>
      <c r="Q943" s="7">
        <v>0</v>
      </c>
    </row>
    <row r="944" spans="1:17">
      <c r="A944" s="2">
        <v>2892</v>
      </c>
      <c r="B944" s="7">
        <v>0</v>
      </c>
      <c r="C944" s="7">
        <v>0</v>
      </c>
      <c r="D944" s="7">
        <v>0</v>
      </c>
      <c r="E944" s="7">
        <v>0</v>
      </c>
      <c r="F944" s="7">
        <v>0</v>
      </c>
      <c r="G944" s="7">
        <v>0</v>
      </c>
      <c r="H944" s="7">
        <v>0</v>
      </c>
      <c r="I944" s="7">
        <v>0</v>
      </c>
      <c r="J944" s="7">
        <v>0</v>
      </c>
      <c r="K944" s="7">
        <v>0</v>
      </c>
      <c r="L944" s="7">
        <v>0</v>
      </c>
      <c r="M944" s="7">
        <v>0</v>
      </c>
      <c r="N944" s="7">
        <v>0</v>
      </c>
      <c r="O944" s="7">
        <v>0</v>
      </c>
      <c r="P944" s="7">
        <v>0</v>
      </c>
      <c r="Q944" s="7">
        <v>0</v>
      </c>
    </row>
    <row r="945" spans="1:17">
      <c r="A945" s="2">
        <v>2893</v>
      </c>
      <c r="B945" s="7">
        <v>0</v>
      </c>
      <c r="C945" s="7">
        <v>0</v>
      </c>
      <c r="D945" s="7">
        <v>0</v>
      </c>
      <c r="E945" s="7">
        <v>0</v>
      </c>
      <c r="F945" s="7">
        <v>0</v>
      </c>
      <c r="G945" s="7">
        <v>0</v>
      </c>
      <c r="H945" s="7">
        <v>0</v>
      </c>
      <c r="I945" s="7">
        <v>0</v>
      </c>
      <c r="J945" s="7">
        <v>0</v>
      </c>
      <c r="K945" s="7">
        <v>0</v>
      </c>
      <c r="L945" s="7">
        <v>0</v>
      </c>
      <c r="M945" s="7">
        <v>0</v>
      </c>
      <c r="N945" s="7">
        <v>0</v>
      </c>
      <c r="O945" s="7">
        <v>0</v>
      </c>
      <c r="P945" s="7">
        <v>0</v>
      </c>
      <c r="Q945" s="7">
        <v>0</v>
      </c>
    </row>
    <row r="946" spans="1:17">
      <c r="A946" s="2">
        <v>2894</v>
      </c>
      <c r="B946" s="7">
        <v>0</v>
      </c>
      <c r="C946" s="7">
        <v>0</v>
      </c>
      <c r="D946" s="7">
        <v>0</v>
      </c>
      <c r="E946" s="7">
        <v>0</v>
      </c>
      <c r="F946" s="7">
        <v>0</v>
      </c>
      <c r="G946" s="7">
        <v>0</v>
      </c>
      <c r="H946" s="7">
        <v>0</v>
      </c>
      <c r="I946" s="7">
        <v>0</v>
      </c>
      <c r="J946" s="7">
        <v>0</v>
      </c>
      <c r="K946" s="7">
        <v>0</v>
      </c>
      <c r="L946" s="7">
        <v>0</v>
      </c>
      <c r="M946" s="7">
        <v>0</v>
      </c>
      <c r="N946" s="7">
        <v>0</v>
      </c>
      <c r="O946" s="7">
        <v>0</v>
      </c>
      <c r="P946" s="7">
        <v>0</v>
      </c>
      <c r="Q946" s="7">
        <v>0</v>
      </c>
    </row>
    <row r="947" spans="1:17">
      <c r="A947" s="2">
        <v>2895</v>
      </c>
      <c r="B947" s="7">
        <v>0</v>
      </c>
      <c r="C947" s="7">
        <v>0</v>
      </c>
      <c r="D947" s="7">
        <v>0</v>
      </c>
      <c r="E947" s="7">
        <v>0</v>
      </c>
      <c r="F947" s="7">
        <v>0</v>
      </c>
      <c r="G947" s="7">
        <v>0</v>
      </c>
      <c r="H947" s="7">
        <v>0</v>
      </c>
      <c r="I947" s="7">
        <v>0</v>
      </c>
      <c r="J947" s="7">
        <v>0</v>
      </c>
      <c r="K947" s="7">
        <v>0</v>
      </c>
      <c r="L947" s="7">
        <v>0</v>
      </c>
      <c r="M947" s="7">
        <v>0</v>
      </c>
      <c r="N947" s="7">
        <v>0</v>
      </c>
      <c r="O947" s="7">
        <v>0</v>
      </c>
      <c r="P947" s="7">
        <v>0</v>
      </c>
      <c r="Q947" s="7">
        <v>0</v>
      </c>
    </row>
    <row r="948" spans="1:17">
      <c r="A948" s="2">
        <v>2896</v>
      </c>
      <c r="B948" s="7">
        <v>0</v>
      </c>
      <c r="C948" s="7">
        <v>0</v>
      </c>
      <c r="D948" s="7">
        <v>0</v>
      </c>
      <c r="E948" s="7">
        <v>0</v>
      </c>
      <c r="F948" s="7">
        <v>0</v>
      </c>
      <c r="G948" s="7">
        <v>0</v>
      </c>
      <c r="H948" s="7">
        <v>0</v>
      </c>
      <c r="I948" s="7">
        <v>0</v>
      </c>
      <c r="J948" s="7">
        <v>0</v>
      </c>
      <c r="K948" s="7">
        <v>0</v>
      </c>
      <c r="L948" s="7">
        <v>0</v>
      </c>
      <c r="M948" s="7">
        <v>0</v>
      </c>
      <c r="N948" s="7">
        <v>0</v>
      </c>
      <c r="O948" s="7">
        <v>0</v>
      </c>
      <c r="P948" s="7">
        <v>0</v>
      </c>
      <c r="Q948" s="7">
        <v>0</v>
      </c>
    </row>
    <row r="949" spans="1:17">
      <c r="A949" s="2">
        <v>2897</v>
      </c>
      <c r="B949" s="7">
        <v>0</v>
      </c>
      <c r="C949" s="7">
        <v>0</v>
      </c>
      <c r="D949" s="7">
        <v>0</v>
      </c>
      <c r="E949" s="7">
        <v>0</v>
      </c>
      <c r="F949" s="7">
        <v>0</v>
      </c>
      <c r="G949" s="7">
        <v>0</v>
      </c>
      <c r="H949" s="7">
        <v>0</v>
      </c>
      <c r="I949" s="7">
        <v>0</v>
      </c>
      <c r="J949" s="7">
        <v>0</v>
      </c>
      <c r="K949" s="7">
        <v>0</v>
      </c>
      <c r="L949" s="7">
        <v>0</v>
      </c>
      <c r="M949" s="7">
        <v>0</v>
      </c>
      <c r="N949" s="7">
        <v>0</v>
      </c>
      <c r="O949" s="7">
        <v>0</v>
      </c>
      <c r="P949" s="7">
        <v>0</v>
      </c>
      <c r="Q949" s="7">
        <v>0</v>
      </c>
    </row>
    <row r="950" spans="1:17">
      <c r="A950" s="2">
        <v>2898</v>
      </c>
      <c r="B950" s="7">
        <v>0</v>
      </c>
      <c r="C950" s="7">
        <v>0</v>
      </c>
      <c r="D950" s="7">
        <v>0</v>
      </c>
      <c r="E950" s="7">
        <v>0</v>
      </c>
      <c r="F950" s="7">
        <v>0</v>
      </c>
      <c r="G950" s="7">
        <v>0</v>
      </c>
      <c r="H950" s="7">
        <v>0</v>
      </c>
      <c r="I950" s="7">
        <v>0</v>
      </c>
      <c r="J950" s="7">
        <v>0</v>
      </c>
      <c r="K950" s="7">
        <v>0</v>
      </c>
      <c r="L950" s="7">
        <v>0</v>
      </c>
      <c r="M950" s="7">
        <v>0</v>
      </c>
      <c r="N950" s="7">
        <v>0</v>
      </c>
      <c r="O950" s="7">
        <v>0</v>
      </c>
      <c r="P950" s="7">
        <v>0</v>
      </c>
      <c r="Q950" s="7">
        <v>0</v>
      </c>
    </row>
    <row r="951" spans="1:17">
      <c r="A951" s="2">
        <v>2899</v>
      </c>
      <c r="B951" s="7">
        <v>0</v>
      </c>
      <c r="C951" s="7">
        <v>0</v>
      </c>
      <c r="D951" s="7">
        <v>0</v>
      </c>
      <c r="E951" s="7">
        <v>0</v>
      </c>
      <c r="F951" s="7">
        <v>0</v>
      </c>
      <c r="G951" s="7">
        <v>0</v>
      </c>
      <c r="H951" s="7">
        <v>0</v>
      </c>
      <c r="I951" s="7">
        <v>0</v>
      </c>
      <c r="J951" s="7">
        <v>0</v>
      </c>
      <c r="K951" s="7">
        <v>0</v>
      </c>
      <c r="L951" s="7">
        <v>0</v>
      </c>
      <c r="M951" s="7">
        <v>0</v>
      </c>
      <c r="N951" s="7">
        <v>0</v>
      </c>
      <c r="O951" s="7">
        <v>0</v>
      </c>
      <c r="P951" s="7">
        <v>0</v>
      </c>
      <c r="Q951" s="7">
        <v>0</v>
      </c>
    </row>
    <row r="952" spans="1:17">
      <c r="A952" s="2">
        <v>2900</v>
      </c>
      <c r="B952" s="7">
        <v>0</v>
      </c>
      <c r="C952" s="7">
        <v>0</v>
      </c>
      <c r="D952" s="7">
        <v>0</v>
      </c>
      <c r="E952" s="7">
        <v>0</v>
      </c>
      <c r="F952" s="7">
        <v>0</v>
      </c>
      <c r="G952" s="7">
        <v>0</v>
      </c>
      <c r="H952" s="7">
        <v>0</v>
      </c>
      <c r="I952" s="7">
        <v>0</v>
      </c>
      <c r="J952" s="7">
        <v>0</v>
      </c>
      <c r="K952" s="7">
        <v>0</v>
      </c>
      <c r="L952" s="7">
        <v>0</v>
      </c>
      <c r="M952" s="7">
        <v>0</v>
      </c>
      <c r="N952" s="7">
        <v>0</v>
      </c>
      <c r="O952" s="7">
        <v>0</v>
      </c>
      <c r="P952" s="7">
        <v>0</v>
      </c>
      <c r="Q952" s="7">
        <v>0</v>
      </c>
    </row>
    <row r="953" spans="1:17">
      <c r="A953" s="2">
        <v>2901</v>
      </c>
      <c r="B953" s="7">
        <v>0</v>
      </c>
      <c r="C953" s="7">
        <v>0</v>
      </c>
      <c r="D953" s="7">
        <v>0</v>
      </c>
      <c r="E953" s="7">
        <v>0</v>
      </c>
      <c r="F953" s="7">
        <v>0</v>
      </c>
      <c r="G953" s="7">
        <v>0</v>
      </c>
      <c r="H953" s="7">
        <v>0</v>
      </c>
      <c r="I953" s="7">
        <v>0</v>
      </c>
      <c r="J953" s="7">
        <v>0</v>
      </c>
      <c r="K953" s="7">
        <v>0</v>
      </c>
      <c r="L953" s="7">
        <v>0</v>
      </c>
      <c r="M953" s="7">
        <v>0</v>
      </c>
      <c r="N953" s="7">
        <v>0</v>
      </c>
      <c r="O953" s="7">
        <v>0</v>
      </c>
      <c r="P953" s="7">
        <v>0</v>
      </c>
      <c r="Q953" s="7">
        <v>0</v>
      </c>
    </row>
    <row r="954" spans="1:17">
      <c r="A954" s="2">
        <v>2902</v>
      </c>
      <c r="B954" s="7">
        <v>0</v>
      </c>
      <c r="C954" s="7">
        <v>0</v>
      </c>
      <c r="D954" s="7">
        <v>0</v>
      </c>
      <c r="E954" s="7">
        <v>0</v>
      </c>
      <c r="F954" s="7">
        <v>0</v>
      </c>
      <c r="G954" s="7">
        <v>0</v>
      </c>
      <c r="H954" s="7">
        <v>0</v>
      </c>
      <c r="I954" s="7">
        <v>0</v>
      </c>
      <c r="J954" s="7">
        <v>0</v>
      </c>
      <c r="K954" s="7">
        <v>0</v>
      </c>
      <c r="L954" s="7">
        <v>0</v>
      </c>
      <c r="M954" s="7">
        <v>0</v>
      </c>
      <c r="N954" s="7">
        <v>0</v>
      </c>
      <c r="O954" s="7">
        <v>0</v>
      </c>
      <c r="P954" s="7">
        <v>0</v>
      </c>
      <c r="Q954" s="7">
        <v>0</v>
      </c>
    </row>
    <row r="955" spans="1:17">
      <c r="A955" s="2">
        <v>2903</v>
      </c>
      <c r="B955" s="7">
        <v>0</v>
      </c>
      <c r="C955" s="7">
        <v>0</v>
      </c>
      <c r="D955" s="7">
        <v>0</v>
      </c>
      <c r="E955" s="7">
        <v>0</v>
      </c>
      <c r="F955" s="7">
        <v>0</v>
      </c>
      <c r="G955" s="7">
        <v>0</v>
      </c>
      <c r="H955" s="7">
        <v>0</v>
      </c>
      <c r="I955" s="7">
        <v>0</v>
      </c>
      <c r="J955" s="7">
        <v>0</v>
      </c>
      <c r="K955" s="7">
        <v>0</v>
      </c>
      <c r="L955" s="7">
        <v>0</v>
      </c>
      <c r="M955" s="7">
        <v>0</v>
      </c>
      <c r="N955" s="7">
        <v>0</v>
      </c>
      <c r="O955" s="7">
        <v>0</v>
      </c>
      <c r="P955" s="7">
        <v>0</v>
      </c>
      <c r="Q955" s="7">
        <v>0</v>
      </c>
    </row>
    <row r="956" spans="1:17">
      <c r="A956" s="2">
        <v>2904</v>
      </c>
      <c r="B956" s="7">
        <v>0</v>
      </c>
      <c r="C956" s="7">
        <v>0</v>
      </c>
      <c r="D956" s="7">
        <v>0</v>
      </c>
      <c r="E956" s="7">
        <v>0</v>
      </c>
      <c r="F956" s="7">
        <v>0</v>
      </c>
      <c r="G956" s="7">
        <v>0</v>
      </c>
      <c r="H956" s="7">
        <v>0</v>
      </c>
      <c r="I956" s="7">
        <v>0</v>
      </c>
      <c r="J956" s="7">
        <v>0</v>
      </c>
      <c r="K956" s="7">
        <v>0</v>
      </c>
      <c r="L956" s="7">
        <v>0</v>
      </c>
      <c r="M956" s="7">
        <v>0</v>
      </c>
      <c r="N956" s="7">
        <v>0</v>
      </c>
      <c r="O956" s="7">
        <v>0</v>
      </c>
      <c r="P956" s="7">
        <v>0</v>
      </c>
      <c r="Q956" s="7">
        <v>0</v>
      </c>
    </row>
    <row r="957" spans="1:17">
      <c r="A957" s="2">
        <v>2905</v>
      </c>
      <c r="B957" s="7">
        <v>0</v>
      </c>
      <c r="C957" s="7">
        <v>0</v>
      </c>
      <c r="D957" s="7">
        <v>0</v>
      </c>
      <c r="E957" s="7">
        <v>0</v>
      </c>
      <c r="F957" s="7">
        <v>0</v>
      </c>
      <c r="G957" s="7">
        <v>0</v>
      </c>
      <c r="H957" s="7">
        <v>0</v>
      </c>
      <c r="I957" s="7">
        <v>0</v>
      </c>
      <c r="J957" s="7">
        <v>0</v>
      </c>
      <c r="K957" s="7">
        <v>0</v>
      </c>
      <c r="L957" s="7">
        <v>0</v>
      </c>
      <c r="M957" s="7">
        <v>0</v>
      </c>
      <c r="N957" s="7">
        <v>0</v>
      </c>
      <c r="O957" s="7">
        <v>0</v>
      </c>
      <c r="P957" s="7">
        <v>0</v>
      </c>
      <c r="Q957" s="7">
        <v>0</v>
      </c>
    </row>
    <row r="958" spans="1:17">
      <c r="A958" s="2">
        <v>2906</v>
      </c>
      <c r="B958" s="7">
        <v>0</v>
      </c>
      <c r="C958" s="7">
        <v>0</v>
      </c>
      <c r="D958" s="7">
        <v>0</v>
      </c>
      <c r="E958" s="7">
        <v>0</v>
      </c>
      <c r="F958" s="7">
        <v>0</v>
      </c>
      <c r="G958" s="7">
        <v>0</v>
      </c>
      <c r="H958" s="7">
        <v>0</v>
      </c>
      <c r="I958" s="7">
        <v>0</v>
      </c>
      <c r="J958" s="7">
        <v>0</v>
      </c>
      <c r="K958" s="7">
        <v>0</v>
      </c>
      <c r="L958" s="7">
        <v>0</v>
      </c>
      <c r="M958" s="7">
        <v>0</v>
      </c>
      <c r="N958" s="7">
        <v>0</v>
      </c>
      <c r="O958" s="7">
        <v>0</v>
      </c>
      <c r="P958" s="7">
        <v>0</v>
      </c>
      <c r="Q958" s="7">
        <v>0</v>
      </c>
    </row>
    <row r="959" spans="1:17">
      <c r="A959" s="2">
        <v>2907</v>
      </c>
      <c r="B959" s="7">
        <v>0</v>
      </c>
      <c r="C959" s="7">
        <v>0</v>
      </c>
      <c r="D959" s="7">
        <v>0</v>
      </c>
      <c r="E959" s="7">
        <v>0</v>
      </c>
      <c r="F959" s="7">
        <v>0</v>
      </c>
      <c r="G959" s="7">
        <v>0</v>
      </c>
      <c r="H959" s="7">
        <v>0</v>
      </c>
      <c r="I959" s="7">
        <v>0</v>
      </c>
      <c r="J959" s="7">
        <v>0</v>
      </c>
      <c r="K959" s="7">
        <v>0</v>
      </c>
      <c r="L959" s="7">
        <v>0</v>
      </c>
      <c r="M959" s="7">
        <v>0</v>
      </c>
      <c r="N959" s="7">
        <v>0</v>
      </c>
      <c r="O959" s="7">
        <v>0</v>
      </c>
      <c r="P959" s="7">
        <v>0</v>
      </c>
      <c r="Q959" s="7">
        <v>0</v>
      </c>
    </row>
    <row r="960" spans="1:17">
      <c r="A960" s="2">
        <v>2908</v>
      </c>
      <c r="B960" s="7">
        <v>0</v>
      </c>
      <c r="C960" s="7">
        <v>0</v>
      </c>
      <c r="D960" s="7">
        <v>0</v>
      </c>
      <c r="E960" s="7">
        <v>0</v>
      </c>
      <c r="F960" s="7">
        <v>0</v>
      </c>
      <c r="G960" s="7">
        <v>0</v>
      </c>
      <c r="H960" s="7">
        <v>0</v>
      </c>
      <c r="I960" s="7">
        <v>0</v>
      </c>
      <c r="J960" s="7">
        <v>0</v>
      </c>
      <c r="K960" s="7">
        <v>0</v>
      </c>
      <c r="L960" s="7">
        <v>0</v>
      </c>
      <c r="M960" s="7">
        <v>0</v>
      </c>
      <c r="N960" s="7">
        <v>0</v>
      </c>
      <c r="O960" s="7">
        <v>0</v>
      </c>
      <c r="P960" s="7">
        <v>0</v>
      </c>
      <c r="Q960" s="7">
        <v>0</v>
      </c>
    </row>
    <row r="961" spans="1:17">
      <c r="A961" s="2">
        <v>2909</v>
      </c>
      <c r="B961" s="7">
        <v>0</v>
      </c>
      <c r="C961" s="7">
        <v>0</v>
      </c>
      <c r="D961" s="7">
        <v>0</v>
      </c>
      <c r="E961" s="7">
        <v>0</v>
      </c>
      <c r="F961" s="7">
        <v>0</v>
      </c>
      <c r="G961" s="7">
        <v>0</v>
      </c>
      <c r="H961" s="7">
        <v>0</v>
      </c>
      <c r="I961" s="7">
        <v>0</v>
      </c>
      <c r="J961" s="7">
        <v>0</v>
      </c>
      <c r="K961" s="7">
        <v>0</v>
      </c>
      <c r="L961" s="7">
        <v>0</v>
      </c>
      <c r="M961" s="7">
        <v>0</v>
      </c>
      <c r="N961" s="7">
        <v>0</v>
      </c>
      <c r="O961" s="7">
        <v>0</v>
      </c>
      <c r="P961" s="7">
        <v>0</v>
      </c>
      <c r="Q961" s="7">
        <v>0</v>
      </c>
    </row>
    <row r="962" spans="1:17">
      <c r="A962" s="2">
        <v>2910</v>
      </c>
      <c r="B962" s="7">
        <v>0</v>
      </c>
      <c r="C962" s="7">
        <v>0</v>
      </c>
      <c r="D962" s="7">
        <v>0</v>
      </c>
      <c r="E962" s="7">
        <v>0</v>
      </c>
      <c r="F962" s="7">
        <v>0</v>
      </c>
      <c r="G962" s="7">
        <v>0</v>
      </c>
      <c r="H962" s="7">
        <v>0</v>
      </c>
      <c r="I962" s="7">
        <v>0</v>
      </c>
      <c r="J962" s="7">
        <v>0</v>
      </c>
      <c r="K962" s="7">
        <v>0</v>
      </c>
      <c r="L962" s="7">
        <v>0</v>
      </c>
      <c r="M962" s="7">
        <v>0</v>
      </c>
      <c r="N962" s="7">
        <v>0</v>
      </c>
      <c r="O962" s="7">
        <v>0</v>
      </c>
      <c r="P962" s="7">
        <v>0</v>
      </c>
      <c r="Q962" s="7">
        <v>0</v>
      </c>
    </row>
    <row r="963" spans="1:17">
      <c r="A963" s="2">
        <v>2911</v>
      </c>
      <c r="B963" s="7">
        <v>0</v>
      </c>
      <c r="C963" s="7">
        <v>0</v>
      </c>
      <c r="D963" s="7">
        <v>0</v>
      </c>
      <c r="E963" s="7">
        <v>0</v>
      </c>
      <c r="F963" s="7">
        <v>0</v>
      </c>
      <c r="G963" s="7">
        <v>0</v>
      </c>
      <c r="H963" s="7">
        <v>0</v>
      </c>
      <c r="I963" s="7">
        <v>0</v>
      </c>
      <c r="J963" s="7">
        <v>0</v>
      </c>
      <c r="K963" s="7">
        <v>0</v>
      </c>
      <c r="L963" s="7">
        <v>0</v>
      </c>
      <c r="M963" s="7">
        <v>0</v>
      </c>
      <c r="N963" s="7">
        <v>0</v>
      </c>
      <c r="O963" s="7">
        <v>0</v>
      </c>
      <c r="P963" s="7">
        <v>0</v>
      </c>
      <c r="Q963" s="7">
        <v>0</v>
      </c>
    </row>
    <row r="964" spans="1:17">
      <c r="A964" s="2">
        <v>2912</v>
      </c>
      <c r="B964" s="7">
        <v>0</v>
      </c>
      <c r="C964" s="7">
        <v>0</v>
      </c>
      <c r="D964" s="7">
        <v>0</v>
      </c>
      <c r="E964" s="7">
        <v>0</v>
      </c>
      <c r="F964" s="7">
        <v>0</v>
      </c>
      <c r="G964" s="7">
        <v>0</v>
      </c>
      <c r="H964" s="7">
        <v>0</v>
      </c>
      <c r="I964" s="7">
        <v>0</v>
      </c>
      <c r="J964" s="7">
        <v>0</v>
      </c>
      <c r="K964" s="7">
        <v>0</v>
      </c>
      <c r="L964" s="7">
        <v>0</v>
      </c>
      <c r="M964" s="7">
        <v>0</v>
      </c>
      <c r="N964" s="7">
        <v>0</v>
      </c>
      <c r="O964" s="7">
        <v>0</v>
      </c>
      <c r="P964" s="7">
        <v>0</v>
      </c>
      <c r="Q964" s="7">
        <v>0</v>
      </c>
    </row>
    <row r="965" spans="1:17">
      <c r="A965" s="2">
        <v>2913</v>
      </c>
      <c r="B965" s="7">
        <v>0</v>
      </c>
      <c r="C965" s="7">
        <v>0</v>
      </c>
      <c r="D965" s="7">
        <v>0</v>
      </c>
      <c r="E965" s="7">
        <v>0</v>
      </c>
      <c r="F965" s="7">
        <v>0</v>
      </c>
      <c r="G965" s="7">
        <v>0</v>
      </c>
      <c r="H965" s="7">
        <v>0</v>
      </c>
      <c r="I965" s="7">
        <v>0</v>
      </c>
      <c r="J965" s="7">
        <v>0</v>
      </c>
      <c r="K965" s="7">
        <v>0</v>
      </c>
      <c r="L965" s="7">
        <v>0</v>
      </c>
      <c r="M965" s="7">
        <v>0</v>
      </c>
      <c r="N965" s="7">
        <v>0</v>
      </c>
      <c r="O965" s="7">
        <v>0</v>
      </c>
      <c r="P965" s="7">
        <v>0</v>
      </c>
      <c r="Q965" s="7">
        <v>0</v>
      </c>
    </row>
    <row r="966" spans="1:17">
      <c r="A966" s="2">
        <v>2914</v>
      </c>
      <c r="B966" s="7">
        <v>0</v>
      </c>
      <c r="C966" s="7">
        <v>0</v>
      </c>
      <c r="D966" s="7">
        <v>0</v>
      </c>
      <c r="E966" s="7">
        <v>0</v>
      </c>
      <c r="F966" s="7">
        <v>0</v>
      </c>
      <c r="G966" s="7">
        <v>0</v>
      </c>
      <c r="H966" s="7">
        <v>0</v>
      </c>
      <c r="I966" s="7">
        <v>0</v>
      </c>
      <c r="J966" s="7">
        <v>0</v>
      </c>
      <c r="K966" s="7">
        <v>0</v>
      </c>
      <c r="L966" s="7">
        <v>0</v>
      </c>
      <c r="M966" s="7">
        <v>0</v>
      </c>
      <c r="N966" s="7">
        <v>0</v>
      </c>
      <c r="O966" s="7">
        <v>0</v>
      </c>
      <c r="P966" s="7">
        <v>0</v>
      </c>
      <c r="Q966" s="7">
        <v>0</v>
      </c>
    </row>
    <row r="967" spans="1:17">
      <c r="A967" s="2">
        <v>2915</v>
      </c>
      <c r="B967" s="7">
        <v>0</v>
      </c>
      <c r="C967" s="7">
        <v>0</v>
      </c>
      <c r="D967" s="7">
        <v>0</v>
      </c>
      <c r="E967" s="7">
        <v>0</v>
      </c>
      <c r="F967" s="7">
        <v>0</v>
      </c>
      <c r="G967" s="7">
        <v>0</v>
      </c>
      <c r="H967" s="7">
        <v>0</v>
      </c>
      <c r="I967" s="7">
        <v>0</v>
      </c>
      <c r="J967" s="7">
        <v>0</v>
      </c>
      <c r="K967" s="7">
        <v>0</v>
      </c>
      <c r="L967" s="7">
        <v>0</v>
      </c>
      <c r="M967" s="7">
        <v>0</v>
      </c>
      <c r="N967" s="7">
        <v>0</v>
      </c>
      <c r="O967" s="7">
        <v>0</v>
      </c>
      <c r="P967" s="7">
        <v>0</v>
      </c>
      <c r="Q967" s="7">
        <v>0</v>
      </c>
    </row>
    <row r="968" spans="1:17">
      <c r="A968" s="2">
        <v>2916</v>
      </c>
      <c r="B968" s="7">
        <v>0</v>
      </c>
      <c r="C968" s="7">
        <v>0</v>
      </c>
      <c r="D968" s="7">
        <v>0</v>
      </c>
      <c r="E968" s="7">
        <v>0</v>
      </c>
      <c r="F968" s="7">
        <v>0</v>
      </c>
      <c r="G968" s="7">
        <v>0</v>
      </c>
      <c r="H968" s="7">
        <v>0</v>
      </c>
      <c r="I968" s="7">
        <v>0</v>
      </c>
      <c r="J968" s="7">
        <v>0</v>
      </c>
      <c r="K968" s="7">
        <v>0</v>
      </c>
      <c r="L968" s="7">
        <v>0</v>
      </c>
      <c r="M968" s="7">
        <v>0</v>
      </c>
      <c r="N968" s="7">
        <v>0</v>
      </c>
      <c r="O968" s="7">
        <v>0</v>
      </c>
      <c r="P968" s="7">
        <v>0</v>
      </c>
      <c r="Q968" s="7">
        <v>0</v>
      </c>
    </row>
    <row r="969" spans="1:17">
      <c r="A969" s="2">
        <v>2917</v>
      </c>
      <c r="B969" s="7">
        <v>0</v>
      </c>
      <c r="C969" s="7">
        <v>0</v>
      </c>
      <c r="D969" s="7">
        <v>0</v>
      </c>
      <c r="E969" s="7">
        <v>0</v>
      </c>
      <c r="F969" s="7">
        <v>0</v>
      </c>
      <c r="G969" s="7">
        <v>0</v>
      </c>
      <c r="H969" s="7">
        <v>0</v>
      </c>
      <c r="I969" s="7">
        <v>0</v>
      </c>
      <c r="J969" s="7">
        <v>0</v>
      </c>
      <c r="K969" s="7">
        <v>0</v>
      </c>
      <c r="L969" s="7">
        <v>0</v>
      </c>
      <c r="M969" s="7">
        <v>0</v>
      </c>
      <c r="N969" s="7">
        <v>0</v>
      </c>
      <c r="O969" s="7">
        <v>0</v>
      </c>
      <c r="P969" s="7">
        <v>0</v>
      </c>
      <c r="Q969" s="7">
        <v>0</v>
      </c>
    </row>
    <row r="970" spans="1:17">
      <c r="A970" s="2">
        <v>2918</v>
      </c>
      <c r="B970" s="7">
        <v>0</v>
      </c>
      <c r="C970" s="7">
        <v>0</v>
      </c>
      <c r="D970" s="7">
        <v>0</v>
      </c>
      <c r="E970" s="7">
        <v>0</v>
      </c>
      <c r="F970" s="7">
        <v>0</v>
      </c>
      <c r="G970" s="7">
        <v>0</v>
      </c>
      <c r="H970" s="7">
        <v>0</v>
      </c>
      <c r="I970" s="7">
        <v>0</v>
      </c>
      <c r="J970" s="7">
        <v>0</v>
      </c>
      <c r="K970" s="7">
        <v>0</v>
      </c>
      <c r="L970" s="7">
        <v>0</v>
      </c>
      <c r="M970" s="7">
        <v>0</v>
      </c>
      <c r="N970" s="7">
        <v>0</v>
      </c>
      <c r="O970" s="7">
        <v>0</v>
      </c>
      <c r="P970" s="7">
        <v>0</v>
      </c>
      <c r="Q970" s="7">
        <v>0</v>
      </c>
    </row>
    <row r="971" spans="1:17">
      <c r="A971" s="2">
        <v>2919</v>
      </c>
      <c r="B971" s="7">
        <v>0</v>
      </c>
      <c r="C971" s="7">
        <v>0</v>
      </c>
      <c r="D971" s="7">
        <v>0</v>
      </c>
      <c r="E971" s="7">
        <v>0</v>
      </c>
      <c r="F971" s="7">
        <v>0</v>
      </c>
      <c r="G971" s="7">
        <v>0</v>
      </c>
      <c r="H971" s="7">
        <v>0</v>
      </c>
      <c r="I971" s="7">
        <v>0</v>
      </c>
      <c r="J971" s="7">
        <v>0</v>
      </c>
      <c r="K971" s="7">
        <v>0</v>
      </c>
      <c r="L971" s="7">
        <v>0</v>
      </c>
      <c r="M971" s="7">
        <v>0</v>
      </c>
      <c r="N971" s="7">
        <v>0</v>
      </c>
      <c r="O971" s="7">
        <v>0</v>
      </c>
      <c r="P971" s="7">
        <v>0</v>
      </c>
      <c r="Q971" s="7">
        <v>0</v>
      </c>
    </row>
    <row r="972" spans="1:17">
      <c r="A972" s="2">
        <v>2920</v>
      </c>
      <c r="B972" s="7">
        <v>0</v>
      </c>
      <c r="C972" s="7">
        <v>0</v>
      </c>
      <c r="D972" s="7">
        <v>0</v>
      </c>
      <c r="E972" s="7">
        <v>0</v>
      </c>
      <c r="F972" s="7">
        <v>0</v>
      </c>
      <c r="G972" s="7">
        <v>0</v>
      </c>
      <c r="H972" s="7">
        <v>0</v>
      </c>
      <c r="I972" s="7">
        <v>0</v>
      </c>
      <c r="J972" s="7">
        <v>0</v>
      </c>
      <c r="K972" s="7">
        <v>0</v>
      </c>
      <c r="L972" s="7">
        <v>0</v>
      </c>
      <c r="M972" s="7">
        <v>0</v>
      </c>
      <c r="N972" s="7">
        <v>0</v>
      </c>
      <c r="O972" s="7">
        <v>0</v>
      </c>
      <c r="P972" s="7">
        <v>0</v>
      </c>
      <c r="Q972" s="7">
        <v>0</v>
      </c>
    </row>
    <row r="973" spans="1:17">
      <c r="A973" s="2">
        <v>2921</v>
      </c>
      <c r="B973" s="7">
        <v>0</v>
      </c>
      <c r="C973" s="7">
        <v>0</v>
      </c>
      <c r="D973" s="7">
        <v>0</v>
      </c>
      <c r="E973" s="7">
        <v>0</v>
      </c>
      <c r="F973" s="7">
        <v>0</v>
      </c>
      <c r="G973" s="7">
        <v>0</v>
      </c>
      <c r="H973" s="7">
        <v>0</v>
      </c>
      <c r="I973" s="7">
        <v>0</v>
      </c>
      <c r="J973" s="7">
        <v>0</v>
      </c>
      <c r="K973" s="7">
        <v>0</v>
      </c>
      <c r="L973" s="7">
        <v>0</v>
      </c>
      <c r="M973" s="7">
        <v>0</v>
      </c>
      <c r="N973" s="7">
        <v>0</v>
      </c>
      <c r="O973" s="7">
        <v>0</v>
      </c>
      <c r="P973" s="7">
        <v>0</v>
      </c>
      <c r="Q973" s="7">
        <v>0</v>
      </c>
    </row>
    <row r="974" spans="1:17">
      <c r="A974" s="2">
        <v>2922</v>
      </c>
      <c r="B974" s="7">
        <v>0</v>
      </c>
      <c r="C974" s="7">
        <v>0</v>
      </c>
      <c r="D974" s="7">
        <v>0</v>
      </c>
      <c r="E974" s="7">
        <v>0</v>
      </c>
      <c r="F974" s="7">
        <v>0</v>
      </c>
      <c r="G974" s="7">
        <v>0</v>
      </c>
      <c r="H974" s="7">
        <v>0</v>
      </c>
      <c r="I974" s="7">
        <v>0</v>
      </c>
      <c r="J974" s="7">
        <v>0</v>
      </c>
      <c r="K974" s="7">
        <v>0</v>
      </c>
      <c r="L974" s="7">
        <v>0</v>
      </c>
      <c r="M974" s="7">
        <v>0</v>
      </c>
      <c r="N974" s="7">
        <v>0</v>
      </c>
      <c r="O974" s="7">
        <v>0</v>
      </c>
      <c r="P974" s="7">
        <v>0</v>
      </c>
      <c r="Q974" s="7">
        <v>0</v>
      </c>
    </row>
    <row r="975" spans="1:17">
      <c r="A975" s="2">
        <v>2923</v>
      </c>
      <c r="B975" s="7">
        <v>0</v>
      </c>
      <c r="C975" s="7">
        <v>0</v>
      </c>
      <c r="D975" s="7">
        <v>0</v>
      </c>
      <c r="E975" s="7">
        <v>0</v>
      </c>
      <c r="F975" s="7">
        <v>0</v>
      </c>
      <c r="G975" s="7">
        <v>0</v>
      </c>
      <c r="H975" s="7">
        <v>0</v>
      </c>
      <c r="I975" s="7">
        <v>0</v>
      </c>
      <c r="J975" s="7">
        <v>0</v>
      </c>
      <c r="K975" s="7">
        <v>0</v>
      </c>
      <c r="L975" s="7">
        <v>0</v>
      </c>
      <c r="M975" s="7">
        <v>0</v>
      </c>
      <c r="N975" s="7">
        <v>0</v>
      </c>
      <c r="O975" s="7">
        <v>0</v>
      </c>
      <c r="P975" s="7">
        <v>0</v>
      </c>
      <c r="Q975" s="7">
        <v>0</v>
      </c>
    </row>
    <row r="976" spans="1:17">
      <c r="A976" s="2">
        <v>2924</v>
      </c>
      <c r="B976" s="7">
        <v>0</v>
      </c>
      <c r="C976" s="7">
        <v>0</v>
      </c>
      <c r="D976" s="7">
        <v>0</v>
      </c>
      <c r="E976" s="7">
        <v>0</v>
      </c>
      <c r="F976" s="7">
        <v>0</v>
      </c>
      <c r="G976" s="7">
        <v>0</v>
      </c>
      <c r="H976" s="7">
        <v>0</v>
      </c>
      <c r="I976" s="7">
        <v>0</v>
      </c>
      <c r="J976" s="7">
        <v>0</v>
      </c>
      <c r="K976" s="7">
        <v>0</v>
      </c>
      <c r="L976" s="7">
        <v>0</v>
      </c>
      <c r="M976" s="7">
        <v>0</v>
      </c>
      <c r="N976" s="7">
        <v>0</v>
      </c>
      <c r="O976" s="7">
        <v>0</v>
      </c>
      <c r="P976" s="7">
        <v>0</v>
      </c>
      <c r="Q976" s="7">
        <v>0</v>
      </c>
    </row>
    <row r="977" spans="1:17">
      <c r="A977" s="2">
        <v>2925</v>
      </c>
      <c r="B977" s="7">
        <v>0</v>
      </c>
      <c r="C977" s="7">
        <v>0</v>
      </c>
      <c r="D977" s="7">
        <v>0</v>
      </c>
      <c r="E977" s="7">
        <v>0</v>
      </c>
      <c r="F977" s="7">
        <v>0</v>
      </c>
      <c r="G977" s="7">
        <v>0</v>
      </c>
      <c r="H977" s="7">
        <v>0</v>
      </c>
      <c r="I977" s="7">
        <v>0</v>
      </c>
      <c r="J977" s="7">
        <v>0</v>
      </c>
      <c r="K977" s="7">
        <v>0</v>
      </c>
      <c r="L977" s="7">
        <v>0</v>
      </c>
      <c r="M977" s="7">
        <v>0</v>
      </c>
      <c r="N977" s="7">
        <v>0</v>
      </c>
      <c r="O977" s="7">
        <v>0</v>
      </c>
      <c r="P977" s="7">
        <v>0</v>
      </c>
      <c r="Q977" s="7">
        <v>0</v>
      </c>
    </row>
    <row r="978" spans="1:17">
      <c r="A978" s="2">
        <v>2926</v>
      </c>
      <c r="B978" s="7">
        <v>0</v>
      </c>
      <c r="C978" s="7">
        <v>0</v>
      </c>
      <c r="D978" s="7">
        <v>0</v>
      </c>
      <c r="E978" s="7">
        <v>0</v>
      </c>
      <c r="F978" s="7">
        <v>0</v>
      </c>
      <c r="G978" s="7">
        <v>0</v>
      </c>
      <c r="H978" s="7">
        <v>0</v>
      </c>
      <c r="I978" s="7">
        <v>0</v>
      </c>
      <c r="J978" s="7">
        <v>0</v>
      </c>
      <c r="K978" s="7">
        <v>0</v>
      </c>
      <c r="L978" s="7">
        <v>0</v>
      </c>
      <c r="M978" s="7">
        <v>0</v>
      </c>
      <c r="N978" s="7">
        <v>0</v>
      </c>
      <c r="O978" s="7">
        <v>0</v>
      </c>
      <c r="P978" s="7">
        <v>0</v>
      </c>
      <c r="Q978" s="7">
        <v>0</v>
      </c>
    </row>
    <row r="979" spans="1:17">
      <c r="A979" s="2">
        <v>2927</v>
      </c>
      <c r="B979" s="7">
        <v>0</v>
      </c>
      <c r="C979" s="7">
        <v>0</v>
      </c>
      <c r="D979" s="7">
        <v>0</v>
      </c>
      <c r="E979" s="7">
        <v>0</v>
      </c>
      <c r="F979" s="7">
        <v>0</v>
      </c>
      <c r="G979" s="7">
        <v>0</v>
      </c>
      <c r="H979" s="7">
        <v>0</v>
      </c>
      <c r="I979" s="7">
        <v>0</v>
      </c>
      <c r="J979" s="7">
        <v>0</v>
      </c>
      <c r="K979" s="7">
        <v>0</v>
      </c>
      <c r="L979" s="7">
        <v>0</v>
      </c>
      <c r="M979" s="7">
        <v>0</v>
      </c>
      <c r="N979" s="7">
        <v>0</v>
      </c>
      <c r="O979" s="7">
        <v>0</v>
      </c>
      <c r="P979" s="7">
        <v>0</v>
      </c>
      <c r="Q979" s="7">
        <v>0</v>
      </c>
    </row>
    <row r="980" spans="1:17">
      <c r="A980" s="2">
        <v>2928</v>
      </c>
      <c r="B980" s="7">
        <v>0</v>
      </c>
      <c r="C980" s="7">
        <v>0</v>
      </c>
      <c r="D980" s="7">
        <v>0</v>
      </c>
      <c r="E980" s="7">
        <v>0</v>
      </c>
      <c r="F980" s="7">
        <v>0</v>
      </c>
      <c r="G980" s="7">
        <v>0</v>
      </c>
      <c r="H980" s="7">
        <v>0</v>
      </c>
      <c r="I980" s="7">
        <v>0</v>
      </c>
      <c r="J980" s="7">
        <v>0</v>
      </c>
      <c r="K980" s="7">
        <v>0</v>
      </c>
      <c r="L980" s="7">
        <v>0</v>
      </c>
      <c r="M980" s="7">
        <v>0</v>
      </c>
      <c r="N980" s="7">
        <v>0</v>
      </c>
      <c r="O980" s="7">
        <v>0</v>
      </c>
      <c r="P980" s="7">
        <v>0</v>
      </c>
      <c r="Q980" s="7">
        <v>0</v>
      </c>
    </row>
    <row r="981" spans="1:17">
      <c r="A981" s="2">
        <v>2929</v>
      </c>
      <c r="B981" s="7">
        <v>0</v>
      </c>
      <c r="C981" s="7">
        <v>0</v>
      </c>
      <c r="D981" s="7">
        <v>0</v>
      </c>
      <c r="E981" s="7">
        <v>0</v>
      </c>
      <c r="F981" s="7">
        <v>0</v>
      </c>
      <c r="G981" s="7">
        <v>0</v>
      </c>
      <c r="H981" s="7">
        <v>0</v>
      </c>
      <c r="I981" s="7">
        <v>0</v>
      </c>
      <c r="J981" s="7">
        <v>0</v>
      </c>
      <c r="K981" s="7">
        <v>0</v>
      </c>
      <c r="L981" s="7">
        <v>0</v>
      </c>
      <c r="M981" s="7">
        <v>0</v>
      </c>
      <c r="N981" s="7">
        <v>0</v>
      </c>
      <c r="O981" s="7">
        <v>0</v>
      </c>
      <c r="P981" s="7">
        <v>0</v>
      </c>
      <c r="Q981" s="7">
        <v>0</v>
      </c>
    </row>
    <row r="982" spans="1:17">
      <c r="A982" s="2">
        <v>2930</v>
      </c>
      <c r="B982" s="7">
        <v>0</v>
      </c>
      <c r="C982" s="7">
        <v>0</v>
      </c>
      <c r="D982" s="7">
        <v>0</v>
      </c>
      <c r="E982" s="7">
        <v>0</v>
      </c>
      <c r="F982" s="7">
        <v>0</v>
      </c>
      <c r="G982" s="7">
        <v>0</v>
      </c>
      <c r="H982" s="7">
        <v>0</v>
      </c>
      <c r="I982" s="7">
        <v>0</v>
      </c>
      <c r="J982" s="7">
        <v>0</v>
      </c>
      <c r="K982" s="7">
        <v>0</v>
      </c>
      <c r="L982" s="7">
        <v>0</v>
      </c>
      <c r="M982" s="7">
        <v>0</v>
      </c>
      <c r="N982" s="7">
        <v>0</v>
      </c>
      <c r="O982" s="7">
        <v>0</v>
      </c>
      <c r="P982" s="7">
        <v>0</v>
      </c>
      <c r="Q982" s="7">
        <v>0</v>
      </c>
    </row>
    <row r="983" spans="1:17">
      <c r="A983" s="2">
        <v>2931</v>
      </c>
      <c r="B983" s="7">
        <v>0</v>
      </c>
      <c r="C983" s="7">
        <v>0</v>
      </c>
      <c r="D983" s="7">
        <v>0</v>
      </c>
      <c r="E983" s="7">
        <v>0</v>
      </c>
      <c r="F983" s="7">
        <v>0</v>
      </c>
      <c r="G983" s="7">
        <v>0</v>
      </c>
      <c r="H983" s="7">
        <v>0</v>
      </c>
      <c r="I983" s="7">
        <v>0</v>
      </c>
      <c r="J983" s="7">
        <v>0</v>
      </c>
      <c r="K983" s="7">
        <v>0</v>
      </c>
      <c r="L983" s="7">
        <v>0</v>
      </c>
      <c r="M983" s="7">
        <v>0</v>
      </c>
      <c r="N983" s="7">
        <v>0</v>
      </c>
      <c r="O983" s="7">
        <v>0</v>
      </c>
      <c r="P983" s="7">
        <v>0</v>
      </c>
      <c r="Q983" s="7">
        <v>0</v>
      </c>
    </row>
    <row r="984" spans="1:17">
      <c r="A984" s="2">
        <v>2932</v>
      </c>
      <c r="B984" s="7">
        <v>0</v>
      </c>
      <c r="C984" s="7">
        <v>0</v>
      </c>
      <c r="D984" s="7">
        <v>0</v>
      </c>
      <c r="E984" s="7">
        <v>0</v>
      </c>
      <c r="F984" s="7">
        <v>0</v>
      </c>
      <c r="G984" s="7">
        <v>0</v>
      </c>
      <c r="H984" s="7">
        <v>0</v>
      </c>
      <c r="I984" s="7">
        <v>0</v>
      </c>
      <c r="J984" s="7">
        <v>0</v>
      </c>
      <c r="K984" s="7">
        <v>0</v>
      </c>
      <c r="L984" s="7">
        <v>0</v>
      </c>
      <c r="M984" s="7">
        <v>0</v>
      </c>
      <c r="N984" s="7">
        <v>0</v>
      </c>
      <c r="O984" s="7">
        <v>0</v>
      </c>
      <c r="P984" s="7">
        <v>0</v>
      </c>
      <c r="Q984" s="7">
        <v>0</v>
      </c>
    </row>
    <row r="985" spans="1:17">
      <c r="A985" s="2">
        <v>2933</v>
      </c>
      <c r="B985" s="7">
        <v>0</v>
      </c>
      <c r="C985" s="7">
        <v>0</v>
      </c>
      <c r="D985" s="7">
        <v>0</v>
      </c>
      <c r="E985" s="7">
        <v>0</v>
      </c>
      <c r="F985" s="7">
        <v>0</v>
      </c>
      <c r="G985" s="7">
        <v>0</v>
      </c>
      <c r="H985" s="7">
        <v>0</v>
      </c>
      <c r="I985" s="7">
        <v>0</v>
      </c>
      <c r="J985" s="7">
        <v>0</v>
      </c>
      <c r="K985" s="7">
        <v>0</v>
      </c>
      <c r="L985" s="7">
        <v>0</v>
      </c>
      <c r="M985" s="7">
        <v>0</v>
      </c>
      <c r="N985" s="7">
        <v>0</v>
      </c>
      <c r="O985" s="7">
        <v>0</v>
      </c>
      <c r="P985" s="7">
        <v>0</v>
      </c>
      <c r="Q985" s="7">
        <v>0</v>
      </c>
    </row>
    <row r="986" spans="1:17">
      <c r="A986" s="2">
        <v>2934</v>
      </c>
      <c r="B986" s="7">
        <v>0</v>
      </c>
      <c r="C986" s="7">
        <v>0</v>
      </c>
      <c r="D986" s="7">
        <v>0</v>
      </c>
      <c r="E986" s="7">
        <v>0</v>
      </c>
      <c r="F986" s="7">
        <v>0</v>
      </c>
      <c r="G986" s="7">
        <v>0</v>
      </c>
      <c r="H986" s="7">
        <v>0</v>
      </c>
      <c r="I986" s="7">
        <v>0</v>
      </c>
      <c r="J986" s="7">
        <v>0</v>
      </c>
      <c r="K986" s="7">
        <v>0</v>
      </c>
      <c r="L986" s="7">
        <v>0</v>
      </c>
      <c r="M986" s="7">
        <v>0</v>
      </c>
      <c r="N986" s="7">
        <v>0</v>
      </c>
      <c r="O986" s="7">
        <v>0</v>
      </c>
      <c r="P986" s="7">
        <v>0</v>
      </c>
      <c r="Q986" s="7">
        <v>0</v>
      </c>
    </row>
    <row r="987" spans="1:17">
      <c r="A987" s="2">
        <v>2935</v>
      </c>
      <c r="B987" s="7">
        <v>0</v>
      </c>
      <c r="C987" s="7">
        <v>0</v>
      </c>
      <c r="D987" s="7">
        <v>0</v>
      </c>
      <c r="E987" s="7">
        <v>0</v>
      </c>
      <c r="F987" s="7">
        <v>0</v>
      </c>
      <c r="G987" s="7">
        <v>0</v>
      </c>
      <c r="H987" s="7">
        <v>0</v>
      </c>
      <c r="I987" s="7">
        <v>0</v>
      </c>
      <c r="J987" s="7">
        <v>0</v>
      </c>
      <c r="K987" s="7">
        <v>0</v>
      </c>
      <c r="L987" s="7">
        <v>0</v>
      </c>
      <c r="M987" s="7">
        <v>0</v>
      </c>
      <c r="N987" s="7">
        <v>0</v>
      </c>
      <c r="O987" s="7">
        <v>0</v>
      </c>
      <c r="P987" s="7">
        <v>0</v>
      </c>
      <c r="Q987" s="7">
        <v>0</v>
      </c>
    </row>
    <row r="988" spans="1:17">
      <c r="A988" s="2">
        <v>2936</v>
      </c>
      <c r="B988" s="7">
        <v>0</v>
      </c>
      <c r="C988" s="7">
        <v>0</v>
      </c>
      <c r="D988" s="7">
        <v>0</v>
      </c>
      <c r="E988" s="7">
        <v>0</v>
      </c>
      <c r="F988" s="7">
        <v>0</v>
      </c>
      <c r="G988" s="7">
        <v>0</v>
      </c>
      <c r="H988" s="7">
        <v>0</v>
      </c>
      <c r="I988" s="7">
        <v>0</v>
      </c>
      <c r="J988" s="7">
        <v>0</v>
      </c>
      <c r="K988" s="7">
        <v>0</v>
      </c>
      <c r="L988" s="7">
        <v>0</v>
      </c>
      <c r="M988" s="7">
        <v>0</v>
      </c>
      <c r="N988" s="7">
        <v>0</v>
      </c>
      <c r="O988" s="7">
        <v>0</v>
      </c>
      <c r="P988" s="7">
        <v>0</v>
      </c>
      <c r="Q988" s="7">
        <v>0</v>
      </c>
    </row>
    <row r="989" spans="1:17">
      <c r="A989" s="2">
        <v>2937</v>
      </c>
      <c r="B989" s="7">
        <v>0</v>
      </c>
      <c r="C989" s="7">
        <v>0</v>
      </c>
      <c r="D989" s="7">
        <v>0</v>
      </c>
      <c r="E989" s="7">
        <v>0</v>
      </c>
      <c r="F989" s="7">
        <v>0</v>
      </c>
      <c r="G989" s="7">
        <v>0</v>
      </c>
      <c r="H989" s="7">
        <v>0</v>
      </c>
      <c r="I989" s="7">
        <v>0</v>
      </c>
      <c r="J989" s="7">
        <v>0</v>
      </c>
      <c r="K989" s="7">
        <v>0</v>
      </c>
      <c r="L989" s="7">
        <v>0</v>
      </c>
      <c r="M989" s="7">
        <v>0</v>
      </c>
      <c r="N989" s="7">
        <v>0</v>
      </c>
      <c r="O989" s="7">
        <v>0</v>
      </c>
      <c r="P989" s="7">
        <v>0</v>
      </c>
      <c r="Q989" s="7">
        <v>0</v>
      </c>
    </row>
    <row r="990" spans="1:17">
      <c r="A990" s="2">
        <v>2938</v>
      </c>
      <c r="B990" s="7">
        <v>0</v>
      </c>
      <c r="C990" s="7">
        <v>0</v>
      </c>
      <c r="D990" s="7">
        <v>0</v>
      </c>
      <c r="E990" s="7">
        <v>0</v>
      </c>
      <c r="F990" s="7">
        <v>0</v>
      </c>
      <c r="G990" s="7">
        <v>0</v>
      </c>
      <c r="H990" s="7">
        <v>0</v>
      </c>
      <c r="I990" s="7">
        <v>0</v>
      </c>
      <c r="J990" s="7">
        <v>0</v>
      </c>
      <c r="K990" s="7">
        <v>0</v>
      </c>
      <c r="L990" s="7">
        <v>0</v>
      </c>
      <c r="M990" s="7">
        <v>0</v>
      </c>
      <c r="N990" s="7">
        <v>0</v>
      </c>
      <c r="O990" s="7">
        <v>0</v>
      </c>
      <c r="P990" s="7">
        <v>0</v>
      </c>
      <c r="Q990" s="7">
        <v>0</v>
      </c>
    </row>
    <row r="991" spans="1:17">
      <c r="A991" s="2">
        <v>2939</v>
      </c>
      <c r="B991" s="7">
        <v>0</v>
      </c>
      <c r="C991" s="7">
        <v>0</v>
      </c>
      <c r="D991" s="7">
        <v>0</v>
      </c>
      <c r="E991" s="7">
        <v>0</v>
      </c>
      <c r="F991" s="7">
        <v>0</v>
      </c>
      <c r="G991" s="7">
        <v>0</v>
      </c>
      <c r="H991" s="7">
        <v>0</v>
      </c>
      <c r="I991" s="7">
        <v>0</v>
      </c>
      <c r="J991" s="7">
        <v>0</v>
      </c>
      <c r="K991" s="7">
        <v>0</v>
      </c>
      <c r="L991" s="7">
        <v>0</v>
      </c>
      <c r="M991" s="7">
        <v>0</v>
      </c>
      <c r="N991" s="7">
        <v>0</v>
      </c>
      <c r="O991" s="7">
        <v>0</v>
      </c>
      <c r="P991" s="7">
        <v>0</v>
      </c>
      <c r="Q991" s="7">
        <v>0</v>
      </c>
    </row>
    <row r="992" spans="1:17">
      <c r="A992" s="2">
        <v>2940</v>
      </c>
      <c r="B992" s="7">
        <v>0</v>
      </c>
      <c r="C992" s="7">
        <v>0</v>
      </c>
      <c r="D992" s="7">
        <v>0</v>
      </c>
      <c r="E992" s="7">
        <v>0</v>
      </c>
      <c r="F992" s="7">
        <v>0</v>
      </c>
      <c r="G992" s="7">
        <v>0</v>
      </c>
      <c r="H992" s="7">
        <v>0</v>
      </c>
      <c r="I992" s="7">
        <v>0</v>
      </c>
      <c r="J992" s="7">
        <v>0</v>
      </c>
      <c r="K992" s="7">
        <v>0</v>
      </c>
      <c r="L992" s="7">
        <v>0</v>
      </c>
      <c r="M992" s="7">
        <v>0</v>
      </c>
      <c r="N992" s="7">
        <v>0</v>
      </c>
      <c r="O992" s="7">
        <v>0</v>
      </c>
      <c r="P992" s="7">
        <v>0</v>
      </c>
      <c r="Q992" s="7">
        <v>0</v>
      </c>
    </row>
    <row r="993" spans="1:17">
      <c r="A993" s="2">
        <v>2941</v>
      </c>
      <c r="B993" s="7">
        <v>0</v>
      </c>
      <c r="C993" s="7">
        <v>0</v>
      </c>
      <c r="D993" s="7">
        <v>0</v>
      </c>
      <c r="E993" s="7">
        <v>0</v>
      </c>
      <c r="F993" s="7">
        <v>0</v>
      </c>
      <c r="G993" s="7">
        <v>0</v>
      </c>
      <c r="H993" s="7">
        <v>0</v>
      </c>
      <c r="I993" s="7">
        <v>0</v>
      </c>
      <c r="J993" s="7">
        <v>0</v>
      </c>
      <c r="K993" s="7">
        <v>0</v>
      </c>
      <c r="L993" s="7">
        <v>0</v>
      </c>
      <c r="M993" s="7">
        <v>0</v>
      </c>
      <c r="N993" s="7">
        <v>0</v>
      </c>
      <c r="O993" s="7">
        <v>0</v>
      </c>
      <c r="P993" s="7">
        <v>0</v>
      </c>
      <c r="Q993" s="7">
        <v>0</v>
      </c>
    </row>
    <row r="994" spans="1:17">
      <c r="A994" s="2">
        <v>2942</v>
      </c>
      <c r="B994" s="7">
        <v>0</v>
      </c>
      <c r="C994" s="7">
        <v>0</v>
      </c>
      <c r="D994" s="7">
        <v>0</v>
      </c>
      <c r="E994" s="7">
        <v>0</v>
      </c>
      <c r="F994" s="7">
        <v>0</v>
      </c>
      <c r="G994" s="7">
        <v>0</v>
      </c>
      <c r="H994" s="7">
        <v>0</v>
      </c>
      <c r="I994" s="7">
        <v>0</v>
      </c>
      <c r="J994" s="7">
        <v>0</v>
      </c>
      <c r="K994" s="7">
        <v>0</v>
      </c>
      <c r="L994" s="7">
        <v>0</v>
      </c>
      <c r="M994" s="7">
        <v>0</v>
      </c>
      <c r="N994" s="7">
        <v>0</v>
      </c>
      <c r="O994" s="7">
        <v>0</v>
      </c>
      <c r="P994" s="7">
        <v>0</v>
      </c>
      <c r="Q994" s="7">
        <v>0</v>
      </c>
    </row>
    <row r="995" spans="1:17">
      <c r="A995" s="2">
        <v>2943</v>
      </c>
      <c r="B995" s="7">
        <v>0</v>
      </c>
      <c r="C995" s="7">
        <v>0</v>
      </c>
      <c r="D995" s="7">
        <v>0</v>
      </c>
      <c r="E995" s="7">
        <v>0</v>
      </c>
      <c r="F995" s="7">
        <v>0</v>
      </c>
      <c r="G995" s="7">
        <v>0</v>
      </c>
      <c r="H995" s="7">
        <v>0</v>
      </c>
      <c r="I995" s="7">
        <v>0</v>
      </c>
      <c r="J995" s="7">
        <v>0</v>
      </c>
      <c r="K995" s="7">
        <v>0</v>
      </c>
      <c r="L995" s="7">
        <v>0</v>
      </c>
      <c r="M995" s="7">
        <v>0</v>
      </c>
      <c r="N995" s="7">
        <v>0</v>
      </c>
      <c r="O995" s="7">
        <v>0</v>
      </c>
      <c r="P995" s="7">
        <v>0</v>
      </c>
      <c r="Q995" s="7">
        <v>0</v>
      </c>
    </row>
    <row r="996" spans="1:17">
      <c r="A996" s="2">
        <v>2944</v>
      </c>
      <c r="B996" s="7">
        <v>0</v>
      </c>
      <c r="C996" s="7">
        <v>0</v>
      </c>
      <c r="D996" s="7">
        <v>0</v>
      </c>
      <c r="E996" s="7">
        <v>0</v>
      </c>
      <c r="F996" s="7">
        <v>0</v>
      </c>
      <c r="G996" s="7">
        <v>0</v>
      </c>
      <c r="H996" s="7">
        <v>0</v>
      </c>
      <c r="I996" s="7">
        <v>0</v>
      </c>
      <c r="J996" s="7">
        <v>0</v>
      </c>
      <c r="K996" s="7">
        <v>0</v>
      </c>
      <c r="L996" s="7">
        <v>0</v>
      </c>
      <c r="M996" s="7">
        <v>0</v>
      </c>
      <c r="N996" s="7">
        <v>0</v>
      </c>
      <c r="O996" s="7">
        <v>0</v>
      </c>
      <c r="P996" s="7">
        <v>0</v>
      </c>
      <c r="Q996" s="7">
        <v>0</v>
      </c>
    </row>
    <row r="997" spans="1:17">
      <c r="A997" s="2">
        <v>2945</v>
      </c>
      <c r="B997" s="7">
        <v>0</v>
      </c>
      <c r="C997" s="7">
        <v>0</v>
      </c>
      <c r="D997" s="7">
        <v>0</v>
      </c>
      <c r="E997" s="7">
        <v>0</v>
      </c>
      <c r="F997" s="7">
        <v>0</v>
      </c>
      <c r="G997" s="7">
        <v>0</v>
      </c>
      <c r="H997" s="7">
        <v>0</v>
      </c>
      <c r="I997" s="7">
        <v>0</v>
      </c>
      <c r="J997" s="7">
        <v>0</v>
      </c>
      <c r="K997" s="7">
        <v>0</v>
      </c>
      <c r="L997" s="7">
        <v>0</v>
      </c>
      <c r="M997" s="7">
        <v>0</v>
      </c>
      <c r="N997" s="7">
        <v>0</v>
      </c>
      <c r="O997" s="7">
        <v>0</v>
      </c>
      <c r="P997" s="7">
        <v>0</v>
      </c>
      <c r="Q997" s="7">
        <v>0</v>
      </c>
    </row>
    <row r="998" spans="1:17">
      <c r="A998" s="2">
        <v>2946</v>
      </c>
      <c r="B998" s="7">
        <v>0</v>
      </c>
      <c r="C998" s="7">
        <v>0</v>
      </c>
      <c r="D998" s="7">
        <v>0</v>
      </c>
      <c r="E998" s="7">
        <v>0</v>
      </c>
      <c r="F998" s="7">
        <v>0</v>
      </c>
      <c r="G998" s="7">
        <v>0</v>
      </c>
      <c r="H998" s="7">
        <v>0</v>
      </c>
      <c r="I998" s="7">
        <v>0</v>
      </c>
      <c r="J998" s="7">
        <v>0</v>
      </c>
      <c r="K998" s="7">
        <v>0</v>
      </c>
      <c r="L998" s="7">
        <v>0</v>
      </c>
      <c r="M998" s="7">
        <v>0</v>
      </c>
      <c r="N998" s="7">
        <v>0</v>
      </c>
      <c r="O998" s="7">
        <v>0</v>
      </c>
      <c r="P998" s="7">
        <v>0</v>
      </c>
      <c r="Q998" s="7">
        <v>0</v>
      </c>
    </row>
    <row r="999" spans="1:17">
      <c r="A999" s="2">
        <v>2947</v>
      </c>
      <c r="B999" s="7">
        <v>0</v>
      </c>
      <c r="C999" s="7">
        <v>0</v>
      </c>
      <c r="D999" s="7">
        <v>0</v>
      </c>
      <c r="E999" s="7">
        <v>0</v>
      </c>
      <c r="F999" s="7">
        <v>0</v>
      </c>
      <c r="G999" s="7">
        <v>0</v>
      </c>
      <c r="H999" s="7">
        <v>0</v>
      </c>
      <c r="I999" s="7">
        <v>0</v>
      </c>
      <c r="J999" s="7">
        <v>0</v>
      </c>
      <c r="K999" s="7">
        <v>0</v>
      </c>
      <c r="L999" s="7">
        <v>0</v>
      </c>
      <c r="M999" s="7">
        <v>0</v>
      </c>
      <c r="N999" s="7">
        <v>0</v>
      </c>
      <c r="O999" s="7">
        <v>0</v>
      </c>
      <c r="P999" s="7">
        <v>0</v>
      </c>
      <c r="Q999" s="7">
        <v>0</v>
      </c>
    </row>
    <row r="1000" spans="1:17">
      <c r="A1000" s="2">
        <v>2948</v>
      </c>
      <c r="B1000" s="7">
        <v>0</v>
      </c>
      <c r="C1000" s="7">
        <v>0</v>
      </c>
      <c r="D1000" s="7">
        <v>0</v>
      </c>
      <c r="E1000" s="7">
        <v>0</v>
      </c>
      <c r="F1000" s="7">
        <v>0</v>
      </c>
      <c r="G1000" s="7">
        <v>0</v>
      </c>
      <c r="H1000" s="7">
        <v>0</v>
      </c>
      <c r="I1000" s="7">
        <v>0</v>
      </c>
      <c r="J1000" s="7">
        <v>0</v>
      </c>
      <c r="K1000" s="7">
        <v>0</v>
      </c>
      <c r="L1000" s="7">
        <v>0</v>
      </c>
      <c r="M1000" s="7">
        <v>0</v>
      </c>
      <c r="N1000" s="7">
        <v>0</v>
      </c>
      <c r="O1000" s="7">
        <v>0</v>
      </c>
      <c r="P1000" s="7">
        <v>0</v>
      </c>
      <c r="Q1000" s="7">
        <v>0</v>
      </c>
    </row>
    <row r="1001" spans="1:17">
      <c r="A1001" s="2">
        <v>2949</v>
      </c>
      <c r="B1001" s="7">
        <v>0</v>
      </c>
      <c r="C1001" s="7">
        <v>0</v>
      </c>
      <c r="D1001" s="7">
        <v>0</v>
      </c>
      <c r="E1001" s="7">
        <v>0</v>
      </c>
      <c r="F1001" s="7">
        <v>0</v>
      </c>
      <c r="G1001" s="7">
        <v>0</v>
      </c>
      <c r="H1001" s="7">
        <v>0</v>
      </c>
      <c r="I1001" s="7">
        <v>0</v>
      </c>
      <c r="J1001" s="7">
        <v>0</v>
      </c>
      <c r="K1001" s="7">
        <v>0</v>
      </c>
      <c r="L1001" s="7">
        <v>0</v>
      </c>
      <c r="M1001" s="7">
        <v>0</v>
      </c>
      <c r="N1001" s="7">
        <v>0</v>
      </c>
      <c r="O1001" s="7">
        <v>0</v>
      </c>
      <c r="P1001" s="7">
        <v>0</v>
      </c>
      <c r="Q1001" s="7">
        <v>0</v>
      </c>
    </row>
    <row r="1002" spans="1:17">
      <c r="A1002" s="2">
        <v>2950</v>
      </c>
      <c r="B1002" s="7">
        <v>0</v>
      </c>
      <c r="C1002" s="7">
        <v>0</v>
      </c>
      <c r="D1002" s="7">
        <v>0</v>
      </c>
      <c r="E1002" s="7">
        <v>0</v>
      </c>
      <c r="F1002" s="7">
        <v>0</v>
      </c>
      <c r="G1002" s="7">
        <v>0</v>
      </c>
      <c r="H1002" s="7">
        <v>0</v>
      </c>
      <c r="I1002" s="7">
        <v>0</v>
      </c>
      <c r="J1002" s="7">
        <v>0</v>
      </c>
      <c r="K1002" s="7">
        <v>0</v>
      </c>
      <c r="L1002" s="7">
        <v>0</v>
      </c>
      <c r="M1002" s="7">
        <v>0</v>
      </c>
      <c r="N1002" s="7">
        <v>0</v>
      </c>
      <c r="O1002" s="7">
        <v>0</v>
      </c>
      <c r="P1002" s="7">
        <v>0</v>
      </c>
      <c r="Q1002" s="7">
        <v>0</v>
      </c>
    </row>
    <row r="1003" spans="1:17">
      <c r="A1003" s="2">
        <v>2951</v>
      </c>
      <c r="B1003" s="7">
        <v>0</v>
      </c>
      <c r="C1003" s="7">
        <v>0</v>
      </c>
      <c r="D1003" s="7">
        <v>0</v>
      </c>
      <c r="E1003" s="7">
        <v>0</v>
      </c>
      <c r="F1003" s="7">
        <v>0</v>
      </c>
      <c r="G1003" s="7">
        <v>0</v>
      </c>
      <c r="H1003" s="7">
        <v>0</v>
      </c>
      <c r="I1003" s="7">
        <v>0</v>
      </c>
      <c r="J1003" s="7">
        <v>0</v>
      </c>
      <c r="K1003" s="7">
        <v>0</v>
      </c>
      <c r="L1003" s="7">
        <v>0</v>
      </c>
      <c r="M1003" s="7">
        <v>0</v>
      </c>
      <c r="N1003" s="7">
        <v>0</v>
      </c>
      <c r="O1003" s="7">
        <v>0</v>
      </c>
      <c r="P1003" s="7">
        <v>0</v>
      </c>
      <c r="Q1003" s="7">
        <v>0</v>
      </c>
    </row>
    <row r="1004" spans="1:17">
      <c r="A1004" s="2">
        <v>2952</v>
      </c>
      <c r="B1004" s="7">
        <v>0</v>
      </c>
      <c r="C1004" s="7">
        <v>0</v>
      </c>
      <c r="D1004" s="7">
        <v>0</v>
      </c>
      <c r="E1004" s="7">
        <v>0</v>
      </c>
      <c r="F1004" s="7">
        <v>0</v>
      </c>
      <c r="G1004" s="7">
        <v>0</v>
      </c>
      <c r="H1004" s="7">
        <v>0</v>
      </c>
      <c r="I1004" s="7">
        <v>0</v>
      </c>
      <c r="J1004" s="7">
        <v>0</v>
      </c>
      <c r="K1004" s="7">
        <v>0</v>
      </c>
      <c r="L1004" s="7">
        <v>0</v>
      </c>
      <c r="M1004" s="7">
        <v>0</v>
      </c>
      <c r="N1004" s="7">
        <v>0</v>
      </c>
      <c r="O1004" s="7">
        <v>0</v>
      </c>
      <c r="P1004" s="7">
        <v>0</v>
      </c>
      <c r="Q1004" s="7">
        <v>0</v>
      </c>
    </row>
    <row r="1005" spans="1:17">
      <c r="A1005" s="2">
        <v>2953</v>
      </c>
      <c r="B1005" s="7">
        <v>0</v>
      </c>
      <c r="C1005" s="7">
        <v>0</v>
      </c>
      <c r="D1005" s="7">
        <v>0</v>
      </c>
      <c r="E1005" s="7">
        <v>0</v>
      </c>
      <c r="F1005" s="7">
        <v>0</v>
      </c>
      <c r="G1005" s="7">
        <v>0</v>
      </c>
      <c r="H1005" s="7">
        <v>0</v>
      </c>
      <c r="I1005" s="7">
        <v>0</v>
      </c>
      <c r="J1005" s="7">
        <v>0</v>
      </c>
      <c r="K1005" s="7">
        <v>0</v>
      </c>
      <c r="L1005" s="7">
        <v>0</v>
      </c>
      <c r="M1005" s="7">
        <v>0</v>
      </c>
      <c r="N1005" s="7">
        <v>0</v>
      </c>
      <c r="O1005" s="7">
        <v>0</v>
      </c>
      <c r="P1005" s="7">
        <v>0</v>
      </c>
      <c r="Q1005" s="7">
        <v>0</v>
      </c>
    </row>
    <row r="1006" spans="1:17">
      <c r="A1006" s="2">
        <v>2954</v>
      </c>
      <c r="B1006" s="7">
        <v>0</v>
      </c>
      <c r="C1006" s="7">
        <v>0</v>
      </c>
      <c r="D1006" s="7">
        <v>0</v>
      </c>
      <c r="E1006" s="7">
        <v>0</v>
      </c>
      <c r="F1006" s="7">
        <v>0</v>
      </c>
      <c r="G1006" s="7">
        <v>0</v>
      </c>
      <c r="H1006" s="7">
        <v>0</v>
      </c>
      <c r="I1006" s="7">
        <v>0</v>
      </c>
      <c r="J1006" s="7">
        <v>0</v>
      </c>
      <c r="K1006" s="7">
        <v>0</v>
      </c>
      <c r="L1006" s="7">
        <v>0</v>
      </c>
      <c r="M1006" s="7">
        <v>0</v>
      </c>
      <c r="N1006" s="7">
        <v>0</v>
      </c>
      <c r="O1006" s="7">
        <v>0</v>
      </c>
      <c r="P1006" s="7">
        <v>0</v>
      </c>
      <c r="Q1006" s="7">
        <v>0</v>
      </c>
    </row>
    <row r="1007" spans="1:17">
      <c r="A1007" s="2">
        <v>2955</v>
      </c>
      <c r="B1007" s="7">
        <v>0</v>
      </c>
      <c r="C1007" s="7">
        <v>0</v>
      </c>
      <c r="D1007" s="7">
        <v>0</v>
      </c>
      <c r="E1007" s="7">
        <v>0</v>
      </c>
      <c r="F1007" s="7">
        <v>0</v>
      </c>
      <c r="G1007" s="7">
        <v>0</v>
      </c>
      <c r="H1007" s="7">
        <v>0</v>
      </c>
      <c r="I1007" s="7">
        <v>0</v>
      </c>
      <c r="J1007" s="7">
        <v>0</v>
      </c>
      <c r="K1007" s="7">
        <v>0</v>
      </c>
      <c r="L1007" s="7">
        <v>0</v>
      </c>
      <c r="M1007" s="7">
        <v>0</v>
      </c>
      <c r="N1007" s="7">
        <v>0</v>
      </c>
      <c r="O1007" s="7">
        <v>0</v>
      </c>
      <c r="P1007" s="7">
        <v>0</v>
      </c>
      <c r="Q1007" s="7">
        <v>0</v>
      </c>
    </row>
    <row r="1008" spans="1:17">
      <c r="A1008" s="2">
        <v>2956</v>
      </c>
      <c r="B1008" s="7">
        <v>0</v>
      </c>
      <c r="C1008" s="7">
        <v>0</v>
      </c>
      <c r="D1008" s="7">
        <v>0</v>
      </c>
      <c r="E1008" s="7">
        <v>0</v>
      </c>
      <c r="F1008" s="7">
        <v>0</v>
      </c>
      <c r="G1008" s="7">
        <v>0</v>
      </c>
      <c r="H1008" s="7">
        <v>0</v>
      </c>
      <c r="I1008" s="7">
        <v>0</v>
      </c>
      <c r="J1008" s="7">
        <v>0</v>
      </c>
      <c r="K1008" s="7">
        <v>0</v>
      </c>
      <c r="L1008" s="7">
        <v>0</v>
      </c>
      <c r="M1008" s="7">
        <v>0</v>
      </c>
      <c r="N1008" s="7">
        <v>0</v>
      </c>
      <c r="O1008" s="7">
        <v>0</v>
      </c>
      <c r="P1008" s="7">
        <v>0</v>
      </c>
      <c r="Q1008" s="7">
        <v>0</v>
      </c>
    </row>
    <row r="1009" spans="1:17">
      <c r="A1009" s="2">
        <v>2957</v>
      </c>
      <c r="B1009" s="7">
        <v>0</v>
      </c>
      <c r="C1009" s="7">
        <v>0</v>
      </c>
      <c r="D1009" s="7">
        <v>0</v>
      </c>
      <c r="E1009" s="7">
        <v>0</v>
      </c>
      <c r="F1009" s="7">
        <v>0</v>
      </c>
      <c r="G1009" s="7">
        <v>0</v>
      </c>
      <c r="H1009" s="7">
        <v>0</v>
      </c>
      <c r="I1009" s="7">
        <v>0</v>
      </c>
      <c r="J1009" s="7">
        <v>0</v>
      </c>
      <c r="K1009" s="7">
        <v>0</v>
      </c>
      <c r="L1009" s="7">
        <v>0</v>
      </c>
      <c r="M1009" s="7">
        <v>0</v>
      </c>
      <c r="N1009" s="7">
        <v>0</v>
      </c>
      <c r="O1009" s="7">
        <v>0</v>
      </c>
      <c r="P1009" s="7">
        <v>0</v>
      </c>
      <c r="Q1009" s="7">
        <v>0</v>
      </c>
    </row>
    <row r="1010" spans="1:17">
      <c r="A1010" s="2">
        <v>2958</v>
      </c>
      <c r="B1010" s="7">
        <v>0</v>
      </c>
      <c r="C1010" s="7">
        <v>0</v>
      </c>
      <c r="D1010" s="7">
        <v>0</v>
      </c>
      <c r="E1010" s="7">
        <v>0</v>
      </c>
      <c r="F1010" s="7">
        <v>0</v>
      </c>
      <c r="G1010" s="7">
        <v>0</v>
      </c>
      <c r="H1010" s="7">
        <v>0</v>
      </c>
      <c r="I1010" s="7">
        <v>0</v>
      </c>
      <c r="J1010" s="7">
        <v>0</v>
      </c>
      <c r="K1010" s="7">
        <v>0</v>
      </c>
      <c r="L1010" s="7">
        <v>0</v>
      </c>
      <c r="M1010" s="7">
        <v>0</v>
      </c>
      <c r="N1010" s="7">
        <v>0</v>
      </c>
      <c r="O1010" s="7">
        <v>0</v>
      </c>
      <c r="P1010" s="7">
        <v>0</v>
      </c>
      <c r="Q1010" s="7">
        <v>0</v>
      </c>
    </row>
    <row r="1011" spans="1:17">
      <c r="A1011" s="2">
        <v>2959</v>
      </c>
      <c r="B1011" s="7">
        <v>0</v>
      </c>
      <c r="C1011" s="7">
        <v>0</v>
      </c>
      <c r="D1011" s="7">
        <v>0</v>
      </c>
      <c r="E1011" s="7">
        <v>0</v>
      </c>
      <c r="F1011" s="7">
        <v>0</v>
      </c>
      <c r="G1011" s="7">
        <v>0</v>
      </c>
      <c r="H1011" s="7">
        <v>0</v>
      </c>
      <c r="I1011" s="7">
        <v>0</v>
      </c>
      <c r="J1011" s="7">
        <v>0</v>
      </c>
      <c r="K1011" s="7">
        <v>0</v>
      </c>
      <c r="L1011" s="7">
        <v>0</v>
      </c>
      <c r="M1011" s="7">
        <v>0</v>
      </c>
      <c r="N1011" s="7">
        <v>0</v>
      </c>
      <c r="O1011" s="7">
        <v>0</v>
      </c>
      <c r="P1011" s="7">
        <v>0</v>
      </c>
      <c r="Q1011" s="7">
        <v>0</v>
      </c>
    </row>
    <row r="1012" spans="1:17">
      <c r="A1012" s="2">
        <v>2960</v>
      </c>
      <c r="B1012" s="7">
        <v>0</v>
      </c>
      <c r="C1012" s="7">
        <v>0</v>
      </c>
      <c r="D1012" s="7">
        <v>0</v>
      </c>
      <c r="E1012" s="7">
        <v>0</v>
      </c>
      <c r="F1012" s="7">
        <v>0</v>
      </c>
      <c r="G1012" s="7">
        <v>0</v>
      </c>
      <c r="H1012" s="7">
        <v>0</v>
      </c>
      <c r="I1012" s="7">
        <v>0</v>
      </c>
      <c r="J1012" s="7">
        <v>0</v>
      </c>
      <c r="K1012" s="7">
        <v>0</v>
      </c>
      <c r="L1012" s="7">
        <v>0</v>
      </c>
      <c r="M1012" s="7">
        <v>0</v>
      </c>
      <c r="N1012" s="7">
        <v>0</v>
      </c>
      <c r="O1012" s="7">
        <v>0</v>
      </c>
      <c r="P1012" s="7">
        <v>0</v>
      </c>
      <c r="Q1012" s="7">
        <v>0</v>
      </c>
    </row>
    <row r="1013" spans="1:17">
      <c r="A1013" s="2">
        <v>2961</v>
      </c>
      <c r="B1013" s="7">
        <v>0</v>
      </c>
      <c r="C1013" s="7">
        <v>0</v>
      </c>
      <c r="D1013" s="7">
        <v>0</v>
      </c>
      <c r="E1013" s="7">
        <v>0</v>
      </c>
      <c r="F1013" s="7">
        <v>0</v>
      </c>
      <c r="G1013" s="7">
        <v>0</v>
      </c>
      <c r="H1013" s="7">
        <v>0</v>
      </c>
      <c r="I1013" s="7">
        <v>0</v>
      </c>
      <c r="J1013" s="7">
        <v>0</v>
      </c>
      <c r="K1013" s="7">
        <v>0</v>
      </c>
      <c r="L1013" s="7">
        <v>0</v>
      </c>
      <c r="M1013" s="7">
        <v>0</v>
      </c>
      <c r="N1013" s="7">
        <v>0</v>
      </c>
      <c r="O1013" s="7">
        <v>0</v>
      </c>
      <c r="P1013" s="7">
        <v>0</v>
      </c>
      <c r="Q1013" s="7">
        <v>0</v>
      </c>
    </row>
    <row r="1014" spans="1:17">
      <c r="A1014" s="2">
        <v>2962</v>
      </c>
      <c r="B1014" s="7">
        <v>0</v>
      </c>
      <c r="C1014" s="7">
        <v>0</v>
      </c>
      <c r="D1014" s="7">
        <v>0</v>
      </c>
      <c r="E1014" s="7">
        <v>0</v>
      </c>
      <c r="F1014" s="7">
        <v>0</v>
      </c>
      <c r="G1014" s="7">
        <v>0</v>
      </c>
      <c r="H1014" s="7">
        <v>0</v>
      </c>
      <c r="I1014" s="7">
        <v>0</v>
      </c>
      <c r="J1014" s="7">
        <v>0</v>
      </c>
      <c r="K1014" s="7">
        <v>0</v>
      </c>
      <c r="L1014" s="7">
        <v>0</v>
      </c>
      <c r="M1014" s="7">
        <v>0</v>
      </c>
      <c r="N1014" s="7">
        <v>0</v>
      </c>
      <c r="O1014" s="7">
        <v>0</v>
      </c>
      <c r="P1014" s="7">
        <v>0</v>
      </c>
      <c r="Q1014" s="7">
        <v>0</v>
      </c>
    </row>
    <row r="1015" spans="1:17">
      <c r="A1015" s="2">
        <v>2963</v>
      </c>
      <c r="B1015" s="7">
        <v>0</v>
      </c>
      <c r="C1015" s="7">
        <v>0</v>
      </c>
      <c r="D1015" s="7">
        <v>0</v>
      </c>
      <c r="E1015" s="7">
        <v>0</v>
      </c>
      <c r="F1015" s="7">
        <v>0</v>
      </c>
      <c r="G1015" s="7">
        <v>0</v>
      </c>
      <c r="H1015" s="7">
        <v>0</v>
      </c>
      <c r="I1015" s="7">
        <v>0</v>
      </c>
      <c r="J1015" s="7">
        <v>0</v>
      </c>
      <c r="K1015" s="7">
        <v>0</v>
      </c>
      <c r="L1015" s="7">
        <v>0</v>
      </c>
      <c r="M1015" s="7">
        <v>0</v>
      </c>
      <c r="N1015" s="7">
        <v>0</v>
      </c>
      <c r="O1015" s="7">
        <v>0</v>
      </c>
      <c r="P1015" s="7">
        <v>0</v>
      </c>
      <c r="Q1015" s="7">
        <v>0</v>
      </c>
    </row>
    <row r="1016" spans="1:17">
      <c r="A1016" s="2">
        <v>2964</v>
      </c>
      <c r="B1016" s="7">
        <v>0</v>
      </c>
      <c r="C1016" s="7">
        <v>0</v>
      </c>
      <c r="D1016" s="7">
        <v>0</v>
      </c>
      <c r="E1016" s="7">
        <v>0</v>
      </c>
      <c r="F1016" s="7">
        <v>0</v>
      </c>
      <c r="G1016" s="7">
        <v>0</v>
      </c>
      <c r="H1016" s="7">
        <v>0</v>
      </c>
      <c r="I1016" s="7">
        <v>0</v>
      </c>
      <c r="J1016" s="7">
        <v>0</v>
      </c>
      <c r="K1016" s="7">
        <v>0</v>
      </c>
      <c r="L1016" s="7">
        <v>0</v>
      </c>
      <c r="M1016" s="7">
        <v>0</v>
      </c>
      <c r="N1016" s="7">
        <v>0</v>
      </c>
      <c r="O1016" s="7">
        <v>0</v>
      </c>
      <c r="P1016" s="7">
        <v>0</v>
      </c>
      <c r="Q1016" s="7">
        <v>0</v>
      </c>
    </row>
    <row r="1017" spans="1:17">
      <c r="A1017" s="2">
        <v>2965</v>
      </c>
      <c r="B1017" s="7">
        <v>0</v>
      </c>
      <c r="C1017" s="7">
        <v>0</v>
      </c>
      <c r="D1017" s="7">
        <v>0</v>
      </c>
      <c r="E1017" s="7">
        <v>0</v>
      </c>
      <c r="F1017" s="7">
        <v>0</v>
      </c>
      <c r="G1017" s="7">
        <v>0</v>
      </c>
      <c r="H1017" s="7">
        <v>0</v>
      </c>
      <c r="I1017" s="7">
        <v>0</v>
      </c>
      <c r="J1017" s="7">
        <v>0</v>
      </c>
      <c r="K1017" s="7">
        <v>0</v>
      </c>
      <c r="L1017" s="7">
        <v>0</v>
      </c>
      <c r="M1017" s="7">
        <v>0</v>
      </c>
      <c r="N1017" s="7">
        <v>0</v>
      </c>
      <c r="O1017" s="7">
        <v>0</v>
      </c>
      <c r="P1017" s="7">
        <v>0</v>
      </c>
      <c r="Q1017" s="7">
        <v>0</v>
      </c>
    </row>
    <row r="1018" spans="1:17">
      <c r="A1018" s="2">
        <v>2966</v>
      </c>
      <c r="B1018" s="7">
        <v>0</v>
      </c>
      <c r="C1018" s="7">
        <v>0</v>
      </c>
      <c r="D1018" s="7">
        <v>0</v>
      </c>
      <c r="E1018" s="7">
        <v>0</v>
      </c>
      <c r="F1018" s="7">
        <v>0</v>
      </c>
      <c r="G1018" s="7">
        <v>0</v>
      </c>
      <c r="H1018" s="7">
        <v>0</v>
      </c>
      <c r="I1018" s="7">
        <v>0</v>
      </c>
      <c r="J1018" s="7">
        <v>0</v>
      </c>
      <c r="K1018" s="7">
        <v>0</v>
      </c>
      <c r="L1018" s="7">
        <v>0</v>
      </c>
      <c r="M1018" s="7">
        <v>0</v>
      </c>
      <c r="N1018" s="7">
        <v>0</v>
      </c>
      <c r="O1018" s="7">
        <v>0</v>
      </c>
      <c r="P1018" s="7">
        <v>0</v>
      </c>
      <c r="Q1018" s="7">
        <v>0</v>
      </c>
    </row>
    <row r="1019" spans="1:17">
      <c r="A1019" s="2">
        <v>2967</v>
      </c>
      <c r="B1019" s="7">
        <v>0</v>
      </c>
      <c r="C1019" s="7">
        <v>0</v>
      </c>
      <c r="D1019" s="7">
        <v>0</v>
      </c>
      <c r="E1019" s="7">
        <v>0</v>
      </c>
      <c r="F1019" s="7">
        <v>0</v>
      </c>
      <c r="G1019" s="7">
        <v>0</v>
      </c>
      <c r="H1019" s="7">
        <v>0</v>
      </c>
      <c r="I1019" s="7">
        <v>0</v>
      </c>
      <c r="J1019" s="7">
        <v>0</v>
      </c>
      <c r="K1019" s="7">
        <v>0</v>
      </c>
      <c r="L1019" s="7">
        <v>0</v>
      </c>
      <c r="M1019" s="7">
        <v>0</v>
      </c>
      <c r="N1019" s="7">
        <v>0</v>
      </c>
      <c r="O1019" s="7">
        <v>0</v>
      </c>
      <c r="P1019" s="7">
        <v>0</v>
      </c>
      <c r="Q1019" s="7">
        <v>0</v>
      </c>
    </row>
    <row r="1020" spans="1:17">
      <c r="A1020" s="2">
        <v>2968</v>
      </c>
      <c r="B1020" s="7">
        <v>0</v>
      </c>
      <c r="C1020" s="7">
        <v>0</v>
      </c>
      <c r="D1020" s="7">
        <v>0</v>
      </c>
      <c r="E1020" s="7">
        <v>0</v>
      </c>
      <c r="F1020" s="7">
        <v>0</v>
      </c>
      <c r="G1020" s="7">
        <v>0</v>
      </c>
      <c r="H1020" s="7">
        <v>0</v>
      </c>
      <c r="I1020" s="7">
        <v>0</v>
      </c>
      <c r="J1020" s="7">
        <v>0</v>
      </c>
      <c r="K1020" s="7">
        <v>0</v>
      </c>
      <c r="L1020" s="7">
        <v>0</v>
      </c>
      <c r="M1020" s="7">
        <v>0</v>
      </c>
      <c r="N1020" s="7">
        <v>0</v>
      </c>
      <c r="O1020" s="7">
        <v>0</v>
      </c>
      <c r="P1020" s="7">
        <v>0</v>
      </c>
      <c r="Q1020" s="7">
        <v>0</v>
      </c>
    </row>
    <row r="1021" spans="1:17">
      <c r="A1021" s="2">
        <v>2969</v>
      </c>
      <c r="B1021" s="7">
        <v>0</v>
      </c>
      <c r="C1021" s="7">
        <v>0</v>
      </c>
      <c r="D1021" s="7">
        <v>0</v>
      </c>
      <c r="E1021" s="7">
        <v>0</v>
      </c>
      <c r="F1021" s="7">
        <v>0</v>
      </c>
      <c r="G1021" s="7">
        <v>0</v>
      </c>
      <c r="H1021" s="7">
        <v>0</v>
      </c>
      <c r="I1021" s="7">
        <v>0</v>
      </c>
      <c r="J1021" s="7">
        <v>0</v>
      </c>
      <c r="K1021" s="7">
        <v>0</v>
      </c>
      <c r="L1021" s="7">
        <v>0</v>
      </c>
      <c r="M1021" s="7">
        <v>0</v>
      </c>
      <c r="N1021" s="7">
        <v>0</v>
      </c>
      <c r="O1021" s="7">
        <v>0</v>
      </c>
      <c r="P1021" s="7">
        <v>0</v>
      </c>
      <c r="Q1021" s="7">
        <v>0</v>
      </c>
    </row>
    <row r="1022" spans="1:17">
      <c r="A1022" s="2">
        <v>2970</v>
      </c>
      <c r="B1022" s="7">
        <v>0</v>
      </c>
      <c r="C1022" s="7">
        <v>0</v>
      </c>
      <c r="D1022" s="7">
        <v>0</v>
      </c>
      <c r="E1022" s="7">
        <v>0</v>
      </c>
      <c r="F1022" s="7">
        <v>0</v>
      </c>
      <c r="G1022" s="7">
        <v>0</v>
      </c>
      <c r="H1022" s="7">
        <v>0</v>
      </c>
      <c r="I1022" s="7">
        <v>0</v>
      </c>
      <c r="J1022" s="7">
        <v>0</v>
      </c>
      <c r="K1022" s="7">
        <v>0</v>
      </c>
      <c r="L1022" s="7">
        <v>0</v>
      </c>
      <c r="M1022" s="7">
        <v>0</v>
      </c>
      <c r="N1022" s="7">
        <v>0</v>
      </c>
      <c r="O1022" s="7">
        <v>0</v>
      </c>
      <c r="P1022" s="7">
        <v>0</v>
      </c>
      <c r="Q1022" s="7">
        <v>0</v>
      </c>
    </row>
    <row r="1023" spans="1:17">
      <c r="A1023" s="2">
        <v>2971</v>
      </c>
      <c r="B1023" s="7">
        <v>0</v>
      </c>
      <c r="C1023" s="7">
        <v>0</v>
      </c>
      <c r="D1023" s="7">
        <v>0</v>
      </c>
      <c r="E1023" s="7">
        <v>0</v>
      </c>
      <c r="F1023" s="7">
        <v>0</v>
      </c>
      <c r="G1023" s="7">
        <v>0</v>
      </c>
      <c r="H1023" s="7">
        <v>0</v>
      </c>
      <c r="I1023" s="7">
        <v>0</v>
      </c>
      <c r="J1023" s="7">
        <v>0</v>
      </c>
      <c r="K1023" s="7">
        <v>0</v>
      </c>
      <c r="L1023" s="7">
        <v>0</v>
      </c>
      <c r="M1023" s="7">
        <v>0</v>
      </c>
      <c r="N1023" s="7">
        <v>0</v>
      </c>
      <c r="O1023" s="7">
        <v>0</v>
      </c>
      <c r="P1023" s="7">
        <v>0</v>
      </c>
      <c r="Q1023" s="7">
        <v>0</v>
      </c>
    </row>
    <row r="1024" spans="1:17">
      <c r="A1024" s="2">
        <v>2972</v>
      </c>
      <c r="B1024" s="7">
        <v>0</v>
      </c>
      <c r="C1024" s="7">
        <v>0</v>
      </c>
      <c r="D1024" s="7">
        <v>0</v>
      </c>
      <c r="E1024" s="7">
        <v>0</v>
      </c>
      <c r="F1024" s="7">
        <v>0</v>
      </c>
      <c r="G1024" s="7">
        <v>0</v>
      </c>
      <c r="H1024" s="7">
        <v>0</v>
      </c>
      <c r="I1024" s="7">
        <v>0</v>
      </c>
      <c r="J1024" s="7">
        <v>0</v>
      </c>
      <c r="K1024" s="7">
        <v>0</v>
      </c>
      <c r="L1024" s="7">
        <v>0</v>
      </c>
      <c r="M1024" s="7">
        <v>0</v>
      </c>
      <c r="N1024" s="7">
        <v>0</v>
      </c>
      <c r="O1024" s="7">
        <v>0</v>
      </c>
      <c r="P1024" s="7">
        <v>0</v>
      </c>
      <c r="Q1024" s="7">
        <v>0</v>
      </c>
    </row>
    <row r="1025" spans="1:17">
      <c r="A1025" s="2">
        <v>2973</v>
      </c>
      <c r="B1025" s="7">
        <v>0</v>
      </c>
      <c r="C1025" s="7">
        <v>0</v>
      </c>
      <c r="D1025" s="7">
        <v>0</v>
      </c>
      <c r="E1025" s="7">
        <v>0</v>
      </c>
      <c r="F1025" s="7">
        <v>0</v>
      </c>
      <c r="G1025" s="7">
        <v>0</v>
      </c>
      <c r="H1025" s="7">
        <v>0</v>
      </c>
      <c r="I1025" s="7">
        <v>0</v>
      </c>
      <c r="J1025" s="7">
        <v>0</v>
      </c>
      <c r="K1025" s="7">
        <v>0</v>
      </c>
      <c r="L1025" s="7">
        <v>0</v>
      </c>
      <c r="M1025" s="7">
        <v>0</v>
      </c>
      <c r="N1025" s="7">
        <v>0</v>
      </c>
      <c r="O1025" s="7">
        <v>0</v>
      </c>
      <c r="P1025" s="7">
        <v>0</v>
      </c>
      <c r="Q1025" s="7">
        <v>0</v>
      </c>
    </row>
    <row r="1026" spans="1:17">
      <c r="A1026" s="2">
        <v>2974</v>
      </c>
      <c r="B1026" s="7">
        <v>0</v>
      </c>
      <c r="C1026" s="7">
        <v>0</v>
      </c>
      <c r="D1026" s="7">
        <v>0</v>
      </c>
      <c r="E1026" s="7">
        <v>0</v>
      </c>
      <c r="F1026" s="7">
        <v>0</v>
      </c>
      <c r="G1026" s="7">
        <v>0</v>
      </c>
      <c r="H1026" s="7">
        <v>0</v>
      </c>
      <c r="I1026" s="7">
        <v>0</v>
      </c>
      <c r="J1026" s="7">
        <v>0</v>
      </c>
      <c r="K1026" s="7">
        <v>0</v>
      </c>
      <c r="L1026" s="7">
        <v>0</v>
      </c>
      <c r="M1026" s="7">
        <v>0</v>
      </c>
      <c r="N1026" s="7">
        <v>0</v>
      </c>
      <c r="O1026" s="7">
        <v>0</v>
      </c>
      <c r="P1026" s="7">
        <v>0</v>
      </c>
      <c r="Q1026" s="7">
        <v>0</v>
      </c>
    </row>
    <row r="1027" spans="1:17">
      <c r="A1027" s="2">
        <v>2975</v>
      </c>
      <c r="B1027" s="7">
        <v>0</v>
      </c>
      <c r="C1027" s="7">
        <v>0</v>
      </c>
      <c r="D1027" s="7">
        <v>0</v>
      </c>
      <c r="E1027" s="7">
        <v>0</v>
      </c>
      <c r="F1027" s="7">
        <v>0</v>
      </c>
      <c r="G1027" s="7">
        <v>0</v>
      </c>
      <c r="H1027" s="7">
        <v>0</v>
      </c>
      <c r="I1027" s="7">
        <v>0</v>
      </c>
      <c r="J1027" s="7">
        <v>0</v>
      </c>
      <c r="K1027" s="7">
        <v>0</v>
      </c>
      <c r="L1027" s="7">
        <v>0</v>
      </c>
      <c r="M1027" s="7">
        <v>0</v>
      </c>
      <c r="N1027" s="7">
        <v>0</v>
      </c>
      <c r="O1027" s="7">
        <v>0</v>
      </c>
      <c r="P1027" s="7">
        <v>0</v>
      </c>
      <c r="Q1027" s="7">
        <v>0</v>
      </c>
    </row>
    <row r="1028" spans="1:17">
      <c r="A1028" s="2">
        <v>2976</v>
      </c>
      <c r="B1028" s="7">
        <v>0</v>
      </c>
      <c r="C1028" s="7">
        <v>0</v>
      </c>
      <c r="D1028" s="7">
        <v>0</v>
      </c>
      <c r="E1028" s="7">
        <v>0</v>
      </c>
      <c r="F1028" s="7">
        <v>0</v>
      </c>
      <c r="G1028" s="7">
        <v>0</v>
      </c>
      <c r="H1028" s="7">
        <v>0</v>
      </c>
      <c r="I1028" s="7">
        <v>0</v>
      </c>
      <c r="J1028" s="7">
        <v>0</v>
      </c>
      <c r="K1028" s="7">
        <v>0</v>
      </c>
      <c r="L1028" s="7">
        <v>0</v>
      </c>
      <c r="M1028" s="7">
        <v>0</v>
      </c>
      <c r="N1028" s="7">
        <v>0</v>
      </c>
      <c r="O1028" s="7">
        <v>0</v>
      </c>
      <c r="P1028" s="7">
        <v>0</v>
      </c>
      <c r="Q1028" s="7">
        <v>0</v>
      </c>
    </row>
    <row r="1029" spans="1:17">
      <c r="A1029" s="2">
        <v>2977</v>
      </c>
      <c r="B1029" s="7">
        <v>0</v>
      </c>
      <c r="C1029" s="7">
        <v>0</v>
      </c>
      <c r="D1029" s="7">
        <v>0</v>
      </c>
      <c r="E1029" s="7">
        <v>0</v>
      </c>
      <c r="F1029" s="7">
        <v>0</v>
      </c>
      <c r="G1029" s="7">
        <v>0</v>
      </c>
      <c r="H1029" s="7">
        <v>0</v>
      </c>
      <c r="I1029" s="7">
        <v>0</v>
      </c>
      <c r="J1029" s="7">
        <v>0</v>
      </c>
      <c r="K1029" s="7">
        <v>0</v>
      </c>
      <c r="L1029" s="7">
        <v>0</v>
      </c>
      <c r="M1029" s="7">
        <v>0</v>
      </c>
      <c r="N1029" s="7">
        <v>0</v>
      </c>
      <c r="O1029" s="7">
        <v>0</v>
      </c>
      <c r="P1029" s="7">
        <v>0</v>
      </c>
      <c r="Q1029" s="7">
        <v>0</v>
      </c>
    </row>
    <row r="1030" spans="1:17">
      <c r="A1030" s="2">
        <v>2978</v>
      </c>
      <c r="B1030" s="7">
        <v>0</v>
      </c>
      <c r="C1030" s="7">
        <v>0</v>
      </c>
      <c r="D1030" s="7">
        <v>0</v>
      </c>
      <c r="E1030" s="7">
        <v>0</v>
      </c>
      <c r="F1030" s="7">
        <v>0</v>
      </c>
      <c r="G1030" s="7">
        <v>0</v>
      </c>
      <c r="H1030" s="7">
        <v>0</v>
      </c>
      <c r="I1030" s="7">
        <v>0</v>
      </c>
      <c r="J1030" s="7">
        <v>0</v>
      </c>
      <c r="K1030" s="7">
        <v>0</v>
      </c>
      <c r="L1030" s="7">
        <v>0</v>
      </c>
      <c r="M1030" s="7">
        <v>0</v>
      </c>
      <c r="N1030" s="7">
        <v>0</v>
      </c>
      <c r="O1030" s="7">
        <v>0</v>
      </c>
      <c r="P1030" s="7">
        <v>0</v>
      </c>
      <c r="Q1030" s="7">
        <v>0</v>
      </c>
    </row>
    <row r="1031" spans="1:17">
      <c r="A1031" s="2">
        <v>2979</v>
      </c>
      <c r="B1031" s="7">
        <v>0</v>
      </c>
      <c r="C1031" s="7">
        <v>0</v>
      </c>
      <c r="D1031" s="7">
        <v>0</v>
      </c>
      <c r="E1031" s="7">
        <v>0</v>
      </c>
      <c r="F1031" s="7">
        <v>0</v>
      </c>
      <c r="G1031" s="7">
        <v>0</v>
      </c>
      <c r="H1031" s="7">
        <v>0</v>
      </c>
      <c r="I1031" s="7">
        <v>0</v>
      </c>
      <c r="J1031" s="7">
        <v>0</v>
      </c>
      <c r="K1031" s="7">
        <v>0</v>
      </c>
      <c r="L1031" s="7">
        <v>0</v>
      </c>
      <c r="M1031" s="7">
        <v>0</v>
      </c>
      <c r="N1031" s="7">
        <v>0</v>
      </c>
      <c r="O1031" s="7">
        <v>0</v>
      </c>
      <c r="P1031" s="7">
        <v>0</v>
      </c>
      <c r="Q1031" s="7">
        <v>0</v>
      </c>
    </row>
    <row r="1032" spans="1:17">
      <c r="A1032" s="2">
        <v>2980</v>
      </c>
      <c r="B1032" s="7">
        <v>0</v>
      </c>
      <c r="C1032" s="7">
        <v>0</v>
      </c>
      <c r="D1032" s="7">
        <v>0</v>
      </c>
      <c r="E1032" s="7">
        <v>0</v>
      </c>
      <c r="F1032" s="7">
        <v>0</v>
      </c>
      <c r="G1032" s="7">
        <v>0</v>
      </c>
      <c r="H1032" s="7">
        <v>0</v>
      </c>
      <c r="I1032" s="7">
        <v>0</v>
      </c>
      <c r="J1032" s="7">
        <v>0</v>
      </c>
      <c r="K1032" s="7">
        <v>0</v>
      </c>
      <c r="L1032" s="7">
        <v>0</v>
      </c>
      <c r="M1032" s="7">
        <v>0</v>
      </c>
      <c r="N1032" s="7">
        <v>0</v>
      </c>
      <c r="O1032" s="7">
        <v>0</v>
      </c>
      <c r="P1032" s="7">
        <v>0</v>
      </c>
      <c r="Q1032" s="7">
        <v>0</v>
      </c>
    </row>
    <row r="1033" spans="1:17">
      <c r="A1033" s="2">
        <v>2981</v>
      </c>
      <c r="B1033" s="7">
        <v>0</v>
      </c>
      <c r="C1033" s="7">
        <v>0</v>
      </c>
      <c r="D1033" s="7">
        <v>0</v>
      </c>
      <c r="E1033" s="7">
        <v>0</v>
      </c>
      <c r="F1033" s="7">
        <v>0</v>
      </c>
      <c r="G1033" s="7">
        <v>0</v>
      </c>
      <c r="H1033" s="7">
        <v>0</v>
      </c>
      <c r="I1033" s="7">
        <v>0</v>
      </c>
      <c r="J1033" s="7">
        <v>0</v>
      </c>
      <c r="K1033" s="7">
        <v>0</v>
      </c>
      <c r="L1033" s="7">
        <v>0</v>
      </c>
      <c r="M1033" s="7">
        <v>0</v>
      </c>
      <c r="N1033" s="7">
        <v>0</v>
      </c>
      <c r="O1033" s="7">
        <v>0</v>
      </c>
      <c r="P1033" s="7">
        <v>0</v>
      </c>
      <c r="Q1033" s="7">
        <v>0</v>
      </c>
    </row>
    <row r="1034" spans="1:17">
      <c r="A1034" s="2">
        <v>2982</v>
      </c>
      <c r="B1034" s="7">
        <v>0</v>
      </c>
      <c r="C1034" s="7">
        <v>0</v>
      </c>
      <c r="D1034" s="7">
        <v>0</v>
      </c>
      <c r="E1034" s="7">
        <v>0</v>
      </c>
      <c r="F1034" s="7">
        <v>0</v>
      </c>
      <c r="G1034" s="7">
        <v>0</v>
      </c>
      <c r="H1034" s="7">
        <v>0</v>
      </c>
      <c r="I1034" s="7">
        <v>0</v>
      </c>
      <c r="J1034" s="7">
        <v>0</v>
      </c>
      <c r="K1034" s="7">
        <v>0</v>
      </c>
      <c r="L1034" s="7">
        <v>0</v>
      </c>
      <c r="M1034" s="7">
        <v>0</v>
      </c>
      <c r="N1034" s="7">
        <v>0</v>
      </c>
      <c r="O1034" s="7">
        <v>0</v>
      </c>
      <c r="P1034" s="7">
        <v>0</v>
      </c>
      <c r="Q1034" s="7">
        <v>0</v>
      </c>
    </row>
    <row r="1035" spans="1:17">
      <c r="A1035" s="2">
        <v>2983</v>
      </c>
      <c r="B1035" s="7">
        <v>0</v>
      </c>
      <c r="C1035" s="7">
        <v>0</v>
      </c>
      <c r="D1035" s="7">
        <v>0</v>
      </c>
      <c r="E1035" s="7">
        <v>0</v>
      </c>
      <c r="F1035" s="7">
        <v>0</v>
      </c>
      <c r="G1035" s="7">
        <v>0</v>
      </c>
      <c r="H1035" s="7">
        <v>0</v>
      </c>
      <c r="I1035" s="7">
        <v>0</v>
      </c>
      <c r="J1035" s="7">
        <v>0</v>
      </c>
      <c r="K1035" s="7">
        <v>0</v>
      </c>
      <c r="L1035" s="7">
        <v>0</v>
      </c>
      <c r="M1035" s="7">
        <v>0</v>
      </c>
      <c r="N1035" s="7">
        <v>0</v>
      </c>
      <c r="O1035" s="7">
        <v>0</v>
      </c>
      <c r="P1035" s="7">
        <v>0</v>
      </c>
      <c r="Q1035" s="7">
        <v>0</v>
      </c>
    </row>
    <row r="1036" spans="1:17">
      <c r="A1036" s="2">
        <v>2984</v>
      </c>
      <c r="B1036" s="7">
        <v>0</v>
      </c>
      <c r="C1036" s="7">
        <v>0</v>
      </c>
      <c r="D1036" s="7">
        <v>0</v>
      </c>
      <c r="E1036" s="7">
        <v>0</v>
      </c>
      <c r="F1036" s="7">
        <v>0</v>
      </c>
      <c r="G1036" s="7">
        <v>0</v>
      </c>
      <c r="H1036" s="7">
        <v>0</v>
      </c>
      <c r="I1036" s="7">
        <v>0</v>
      </c>
      <c r="J1036" s="7">
        <v>0</v>
      </c>
      <c r="K1036" s="7">
        <v>0</v>
      </c>
      <c r="L1036" s="7">
        <v>0</v>
      </c>
      <c r="M1036" s="7">
        <v>0</v>
      </c>
      <c r="N1036" s="7">
        <v>0</v>
      </c>
      <c r="O1036" s="7">
        <v>0</v>
      </c>
      <c r="P1036" s="7">
        <v>0</v>
      </c>
      <c r="Q1036" s="7">
        <v>0</v>
      </c>
    </row>
    <row r="1037" spans="1:17">
      <c r="A1037" s="2">
        <v>2985</v>
      </c>
      <c r="B1037" s="7">
        <v>0</v>
      </c>
      <c r="C1037" s="7">
        <v>0</v>
      </c>
      <c r="D1037" s="7">
        <v>0</v>
      </c>
      <c r="E1037" s="7">
        <v>0</v>
      </c>
      <c r="F1037" s="7">
        <v>0</v>
      </c>
      <c r="G1037" s="7">
        <v>0</v>
      </c>
      <c r="H1037" s="7">
        <v>0</v>
      </c>
      <c r="I1037" s="7">
        <v>0</v>
      </c>
      <c r="J1037" s="7">
        <v>0</v>
      </c>
      <c r="K1037" s="7">
        <v>0</v>
      </c>
      <c r="L1037" s="7">
        <v>0</v>
      </c>
      <c r="M1037" s="7">
        <v>0</v>
      </c>
      <c r="N1037" s="7">
        <v>0</v>
      </c>
      <c r="O1037" s="7">
        <v>0</v>
      </c>
      <c r="P1037" s="7">
        <v>0</v>
      </c>
      <c r="Q1037" s="7">
        <v>0</v>
      </c>
    </row>
    <row r="1038" spans="1:17">
      <c r="A1038" s="2">
        <v>2986</v>
      </c>
      <c r="B1038" s="7">
        <v>0</v>
      </c>
      <c r="C1038" s="7">
        <v>0</v>
      </c>
      <c r="D1038" s="7">
        <v>0</v>
      </c>
      <c r="E1038" s="7">
        <v>0</v>
      </c>
      <c r="F1038" s="7">
        <v>0</v>
      </c>
      <c r="G1038" s="7">
        <v>0</v>
      </c>
      <c r="H1038" s="7">
        <v>0</v>
      </c>
      <c r="I1038" s="7">
        <v>0</v>
      </c>
      <c r="J1038" s="7">
        <v>0</v>
      </c>
      <c r="K1038" s="7">
        <v>0</v>
      </c>
      <c r="L1038" s="7">
        <v>0</v>
      </c>
      <c r="M1038" s="7">
        <v>0</v>
      </c>
      <c r="N1038" s="7">
        <v>0</v>
      </c>
      <c r="O1038" s="7">
        <v>0</v>
      </c>
      <c r="P1038" s="7">
        <v>0</v>
      </c>
      <c r="Q1038" s="7">
        <v>0</v>
      </c>
    </row>
    <row r="1039" spans="1:17">
      <c r="A1039" s="2">
        <v>2987</v>
      </c>
      <c r="B1039" s="7">
        <v>0</v>
      </c>
      <c r="C1039" s="7">
        <v>0</v>
      </c>
      <c r="D1039" s="7">
        <v>0</v>
      </c>
      <c r="E1039" s="7">
        <v>0</v>
      </c>
      <c r="F1039" s="7">
        <v>0</v>
      </c>
      <c r="G1039" s="7">
        <v>0</v>
      </c>
      <c r="H1039" s="7">
        <v>0</v>
      </c>
      <c r="I1039" s="7">
        <v>0</v>
      </c>
      <c r="J1039" s="7">
        <v>0</v>
      </c>
      <c r="K1039" s="7">
        <v>0</v>
      </c>
      <c r="L1039" s="7">
        <v>0</v>
      </c>
      <c r="M1039" s="7">
        <v>0</v>
      </c>
      <c r="N1039" s="7">
        <v>0</v>
      </c>
      <c r="O1039" s="7">
        <v>0</v>
      </c>
      <c r="P1039" s="7">
        <v>0</v>
      </c>
      <c r="Q1039" s="7">
        <v>0</v>
      </c>
    </row>
    <row r="1040" spans="1:17">
      <c r="A1040" s="2">
        <v>2988</v>
      </c>
      <c r="B1040" s="7">
        <v>0</v>
      </c>
      <c r="C1040" s="7">
        <v>0</v>
      </c>
      <c r="D1040" s="7">
        <v>0</v>
      </c>
      <c r="E1040" s="7">
        <v>0</v>
      </c>
      <c r="F1040" s="7">
        <v>0</v>
      </c>
      <c r="G1040" s="7">
        <v>0</v>
      </c>
      <c r="H1040" s="7">
        <v>0</v>
      </c>
      <c r="I1040" s="7">
        <v>0</v>
      </c>
      <c r="J1040" s="7">
        <v>0</v>
      </c>
      <c r="K1040" s="7">
        <v>0</v>
      </c>
      <c r="L1040" s="7">
        <v>0</v>
      </c>
      <c r="M1040" s="7">
        <v>0</v>
      </c>
      <c r="N1040" s="7">
        <v>0</v>
      </c>
      <c r="O1040" s="7">
        <v>0</v>
      </c>
      <c r="P1040" s="7">
        <v>0</v>
      </c>
      <c r="Q1040" s="7">
        <v>0</v>
      </c>
    </row>
    <row r="1041" spans="1:17">
      <c r="A1041" s="2">
        <v>2989</v>
      </c>
      <c r="B1041" s="7">
        <v>0</v>
      </c>
      <c r="C1041" s="7">
        <v>0</v>
      </c>
      <c r="D1041" s="7">
        <v>0</v>
      </c>
      <c r="E1041" s="7">
        <v>0</v>
      </c>
      <c r="F1041" s="7">
        <v>0</v>
      </c>
      <c r="G1041" s="7">
        <v>0</v>
      </c>
      <c r="H1041" s="7">
        <v>0</v>
      </c>
      <c r="I1041" s="7">
        <v>0</v>
      </c>
      <c r="J1041" s="7">
        <v>0</v>
      </c>
      <c r="K1041" s="7">
        <v>0</v>
      </c>
      <c r="L1041" s="7">
        <v>0</v>
      </c>
      <c r="M1041" s="7">
        <v>0</v>
      </c>
      <c r="N1041" s="7">
        <v>0</v>
      </c>
      <c r="O1041" s="7">
        <v>0</v>
      </c>
      <c r="P1041" s="7">
        <v>0</v>
      </c>
      <c r="Q1041" s="7">
        <v>0</v>
      </c>
    </row>
    <row r="1042" spans="1:17">
      <c r="A1042" s="2">
        <v>2990</v>
      </c>
      <c r="B1042" s="7">
        <v>0</v>
      </c>
      <c r="C1042" s="7">
        <v>0</v>
      </c>
      <c r="D1042" s="7">
        <v>0</v>
      </c>
      <c r="E1042" s="7">
        <v>0</v>
      </c>
      <c r="F1042" s="7">
        <v>0</v>
      </c>
      <c r="G1042" s="7">
        <v>0</v>
      </c>
      <c r="H1042" s="7">
        <v>0</v>
      </c>
      <c r="I1042" s="7">
        <v>0</v>
      </c>
      <c r="J1042" s="7">
        <v>0</v>
      </c>
      <c r="K1042" s="7">
        <v>0</v>
      </c>
      <c r="L1042" s="7">
        <v>0</v>
      </c>
      <c r="M1042" s="7">
        <v>0</v>
      </c>
      <c r="N1042" s="7">
        <v>0</v>
      </c>
      <c r="O1042" s="7">
        <v>0</v>
      </c>
      <c r="P1042" s="7">
        <v>0</v>
      </c>
      <c r="Q1042" s="7">
        <v>0</v>
      </c>
    </row>
    <row r="1043" spans="1:17">
      <c r="A1043" s="2">
        <v>2991</v>
      </c>
      <c r="B1043" s="7">
        <v>0</v>
      </c>
      <c r="C1043" s="7">
        <v>0</v>
      </c>
      <c r="D1043" s="7">
        <v>0</v>
      </c>
      <c r="E1043" s="7">
        <v>0</v>
      </c>
      <c r="F1043" s="7">
        <v>0</v>
      </c>
      <c r="G1043" s="7">
        <v>0</v>
      </c>
      <c r="H1043" s="7">
        <v>0</v>
      </c>
      <c r="I1043" s="7">
        <v>0</v>
      </c>
      <c r="J1043" s="7">
        <v>0</v>
      </c>
      <c r="K1043" s="7">
        <v>0</v>
      </c>
      <c r="L1043" s="7">
        <v>0</v>
      </c>
      <c r="M1043" s="7">
        <v>0</v>
      </c>
      <c r="N1043" s="7">
        <v>0</v>
      </c>
      <c r="O1043" s="7">
        <v>0</v>
      </c>
      <c r="P1043" s="7">
        <v>0</v>
      </c>
      <c r="Q1043" s="7">
        <v>0</v>
      </c>
    </row>
    <row r="1044" spans="1:17">
      <c r="A1044" s="2">
        <v>2992</v>
      </c>
      <c r="B1044" s="7">
        <v>0</v>
      </c>
      <c r="C1044" s="7">
        <v>0</v>
      </c>
      <c r="D1044" s="7">
        <v>0</v>
      </c>
      <c r="E1044" s="7">
        <v>0</v>
      </c>
      <c r="F1044" s="7">
        <v>0</v>
      </c>
      <c r="G1044" s="7">
        <v>0</v>
      </c>
      <c r="H1044" s="7">
        <v>0</v>
      </c>
      <c r="I1044" s="7">
        <v>0</v>
      </c>
      <c r="J1044" s="7">
        <v>0</v>
      </c>
      <c r="K1044" s="7">
        <v>0</v>
      </c>
      <c r="L1044" s="7">
        <v>0</v>
      </c>
      <c r="M1044" s="7">
        <v>0</v>
      </c>
      <c r="N1044" s="7">
        <v>0</v>
      </c>
      <c r="O1044" s="7">
        <v>0</v>
      </c>
      <c r="P1044" s="7">
        <v>0</v>
      </c>
      <c r="Q1044" s="7">
        <v>0</v>
      </c>
    </row>
    <row r="1045" spans="1:17">
      <c r="A1045" s="2">
        <v>2993</v>
      </c>
      <c r="B1045" s="7">
        <v>0</v>
      </c>
      <c r="C1045" s="7">
        <v>0</v>
      </c>
      <c r="D1045" s="7">
        <v>0</v>
      </c>
      <c r="E1045" s="7">
        <v>0</v>
      </c>
      <c r="F1045" s="7">
        <v>0</v>
      </c>
      <c r="G1045" s="7">
        <v>0</v>
      </c>
      <c r="H1045" s="7">
        <v>0</v>
      </c>
      <c r="I1045" s="7">
        <v>0</v>
      </c>
      <c r="J1045" s="7">
        <v>0</v>
      </c>
      <c r="K1045" s="7">
        <v>0</v>
      </c>
      <c r="L1045" s="7">
        <v>0</v>
      </c>
      <c r="M1045" s="7">
        <v>0</v>
      </c>
      <c r="N1045" s="7">
        <v>0</v>
      </c>
      <c r="O1045" s="7">
        <v>0</v>
      </c>
      <c r="P1045" s="7">
        <v>0</v>
      </c>
      <c r="Q1045" s="7">
        <v>0</v>
      </c>
    </row>
    <row r="1046" spans="1:17">
      <c r="A1046" s="2">
        <v>2994</v>
      </c>
      <c r="B1046" s="7">
        <v>0</v>
      </c>
      <c r="C1046" s="7">
        <v>0</v>
      </c>
      <c r="D1046" s="7">
        <v>0</v>
      </c>
      <c r="E1046" s="7">
        <v>0</v>
      </c>
      <c r="F1046" s="7">
        <v>0</v>
      </c>
      <c r="G1046" s="7">
        <v>0</v>
      </c>
      <c r="H1046" s="7">
        <v>0</v>
      </c>
      <c r="I1046" s="7">
        <v>0</v>
      </c>
      <c r="J1046" s="7">
        <v>0</v>
      </c>
      <c r="K1046" s="7">
        <v>0</v>
      </c>
      <c r="L1046" s="7">
        <v>0</v>
      </c>
      <c r="M1046" s="7">
        <v>0</v>
      </c>
      <c r="N1046" s="7">
        <v>0</v>
      </c>
      <c r="O1046" s="7">
        <v>0</v>
      </c>
      <c r="P1046" s="7">
        <v>0</v>
      </c>
      <c r="Q1046" s="7">
        <v>0</v>
      </c>
    </row>
    <row r="1047" spans="1:17">
      <c r="A1047" s="2">
        <v>2995</v>
      </c>
      <c r="B1047" s="7">
        <v>0</v>
      </c>
      <c r="C1047" s="7">
        <v>0</v>
      </c>
      <c r="D1047" s="7">
        <v>0</v>
      </c>
      <c r="E1047" s="7">
        <v>0</v>
      </c>
      <c r="F1047" s="7">
        <v>0</v>
      </c>
      <c r="G1047" s="7">
        <v>0</v>
      </c>
      <c r="H1047" s="7">
        <v>0</v>
      </c>
      <c r="I1047" s="7">
        <v>0</v>
      </c>
      <c r="J1047" s="7">
        <v>0</v>
      </c>
      <c r="K1047" s="7">
        <v>0</v>
      </c>
      <c r="L1047" s="7">
        <v>0</v>
      </c>
      <c r="M1047" s="7">
        <v>0</v>
      </c>
      <c r="N1047" s="7">
        <v>0</v>
      </c>
      <c r="O1047" s="7">
        <v>0</v>
      </c>
      <c r="P1047" s="7">
        <v>0</v>
      </c>
      <c r="Q1047" s="7">
        <v>0</v>
      </c>
    </row>
    <row r="1048" spans="1:17">
      <c r="A1048" s="2">
        <v>2996</v>
      </c>
      <c r="B1048" s="7">
        <v>0</v>
      </c>
      <c r="C1048" s="7">
        <v>0</v>
      </c>
      <c r="D1048" s="7">
        <v>0</v>
      </c>
      <c r="E1048" s="7">
        <v>0</v>
      </c>
      <c r="F1048" s="7">
        <v>0</v>
      </c>
      <c r="G1048" s="7">
        <v>0</v>
      </c>
      <c r="H1048" s="7">
        <v>0</v>
      </c>
      <c r="I1048" s="7">
        <v>0</v>
      </c>
      <c r="J1048" s="7">
        <v>0</v>
      </c>
      <c r="K1048" s="7">
        <v>0</v>
      </c>
      <c r="L1048" s="7">
        <v>0</v>
      </c>
      <c r="M1048" s="7">
        <v>0</v>
      </c>
      <c r="N1048" s="7">
        <v>0</v>
      </c>
      <c r="O1048" s="7">
        <v>0</v>
      </c>
      <c r="P1048" s="7">
        <v>0</v>
      </c>
      <c r="Q1048" s="7">
        <v>0</v>
      </c>
    </row>
    <row r="1049" spans="1:17">
      <c r="A1049" s="2">
        <v>2997</v>
      </c>
      <c r="B1049" s="7">
        <v>0</v>
      </c>
      <c r="C1049" s="7">
        <v>0</v>
      </c>
      <c r="D1049" s="7">
        <v>0</v>
      </c>
      <c r="E1049" s="7">
        <v>0</v>
      </c>
      <c r="F1049" s="7">
        <v>0</v>
      </c>
      <c r="G1049" s="7">
        <v>0</v>
      </c>
      <c r="H1049" s="7">
        <v>0</v>
      </c>
      <c r="I1049" s="7">
        <v>0</v>
      </c>
      <c r="J1049" s="7">
        <v>0</v>
      </c>
      <c r="K1049" s="7">
        <v>0</v>
      </c>
      <c r="L1049" s="7">
        <v>0</v>
      </c>
      <c r="M1049" s="7">
        <v>0</v>
      </c>
      <c r="N1049" s="7">
        <v>0</v>
      </c>
      <c r="O1049" s="7">
        <v>0</v>
      </c>
      <c r="P1049" s="7">
        <v>0</v>
      </c>
      <c r="Q1049" s="7">
        <v>0</v>
      </c>
    </row>
    <row r="1050" spans="1:17">
      <c r="A1050" s="2">
        <v>2998</v>
      </c>
      <c r="B1050" s="7">
        <v>0</v>
      </c>
      <c r="C1050" s="7">
        <v>0</v>
      </c>
      <c r="D1050" s="7">
        <v>0</v>
      </c>
      <c r="E1050" s="7">
        <v>0</v>
      </c>
      <c r="F1050" s="7">
        <v>0</v>
      </c>
      <c r="G1050" s="7">
        <v>0</v>
      </c>
      <c r="H1050" s="7">
        <v>0</v>
      </c>
      <c r="I1050" s="7">
        <v>0</v>
      </c>
      <c r="J1050" s="7">
        <v>0</v>
      </c>
      <c r="K1050" s="7">
        <v>0</v>
      </c>
      <c r="L1050" s="7">
        <v>0</v>
      </c>
      <c r="M1050" s="7">
        <v>0</v>
      </c>
      <c r="N1050" s="7">
        <v>0</v>
      </c>
      <c r="O1050" s="7">
        <v>0</v>
      </c>
      <c r="P1050" s="7">
        <v>0</v>
      </c>
      <c r="Q1050" s="7">
        <v>0</v>
      </c>
    </row>
    <row r="1051" spans="1:17">
      <c r="A1051" s="2">
        <v>2999</v>
      </c>
      <c r="B1051" s="7">
        <v>0</v>
      </c>
      <c r="C1051" s="7">
        <v>0</v>
      </c>
      <c r="D1051" s="7">
        <v>0</v>
      </c>
      <c r="E1051" s="7">
        <v>0</v>
      </c>
      <c r="F1051" s="7">
        <v>0</v>
      </c>
      <c r="G1051" s="7">
        <v>0</v>
      </c>
      <c r="H1051" s="7">
        <v>0</v>
      </c>
      <c r="I1051" s="7">
        <v>0</v>
      </c>
      <c r="J1051" s="7">
        <v>0</v>
      </c>
      <c r="K1051" s="7">
        <v>0</v>
      </c>
      <c r="L1051" s="7">
        <v>0</v>
      </c>
      <c r="M1051" s="7">
        <v>0</v>
      </c>
      <c r="N1051" s="7">
        <v>0</v>
      </c>
      <c r="O1051" s="7">
        <v>0</v>
      </c>
      <c r="P1051" s="7">
        <v>0</v>
      </c>
      <c r="Q1051" s="7">
        <v>0</v>
      </c>
    </row>
    <row r="1052" spans="1:17">
      <c r="A1052" s="2">
        <v>3000</v>
      </c>
      <c r="B1052" s="7">
        <v>0</v>
      </c>
      <c r="C1052" s="7">
        <v>0</v>
      </c>
      <c r="D1052" s="7">
        <v>0</v>
      </c>
      <c r="E1052" s="7">
        <v>0</v>
      </c>
      <c r="F1052" s="7">
        <v>0</v>
      </c>
      <c r="G1052" s="7">
        <v>0</v>
      </c>
      <c r="H1052" s="7">
        <v>0</v>
      </c>
      <c r="I1052" s="7">
        <v>0</v>
      </c>
      <c r="J1052" s="7">
        <v>0</v>
      </c>
      <c r="K1052" s="7">
        <v>0</v>
      </c>
      <c r="L1052" s="7">
        <v>0</v>
      </c>
      <c r="M1052" s="7">
        <v>0</v>
      </c>
      <c r="N1052" s="7">
        <v>0</v>
      </c>
      <c r="O1052" s="7">
        <v>0</v>
      </c>
      <c r="P1052" s="7">
        <v>0</v>
      </c>
      <c r="Q1052" s="7">
        <v>0</v>
      </c>
    </row>
  </sheetData>
  <pageMargins left="0.7" right="0.7" top="0.78740157499999996" bottom="0.78740157499999996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>
  <dimension ref="A1:A17"/>
  <sheetViews>
    <sheetView workbookViewId="0">
      <selection activeCell="A2" sqref="A2:A17"/>
    </sheetView>
  </sheetViews>
  <sheetFormatPr defaultColWidth="11.42578125" defaultRowHeight="12.75"/>
  <sheetData>
    <row r="1" spans="1:1">
      <c r="A1" s="13" t="s">
        <v>143</v>
      </c>
    </row>
    <row r="2" spans="1:1">
      <c r="A2" t="s">
        <v>2</v>
      </c>
    </row>
    <row r="3" spans="1:1">
      <c r="A3" t="s">
        <v>3</v>
      </c>
    </row>
    <row r="4" spans="1:1">
      <c r="A4" t="s">
        <v>6</v>
      </c>
    </row>
    <row r="5" spans="1:1">
      <c r="A5" t="s">
        <v>7</v>
      </c>
    </row>
    <row r="6" spans="1:1">
      <c r="A6" t="s">
        <v>8</v>
      </c>
    </row>
    <row r="7" spans="1:1">
      <c r="A7" t="s">
        <v>9</v>
      </c>
    </row>
    <row r="8" spans="1:1">
      <c r="A8" t="s">
        <v>10</v>
      </c>
    </row>
    <row r="9" spans="1:1">
      <c r="A9" t="s">
        <v>11</v>
      </c>
    </row>
    <row r="10" spans="1:1">
      <c r="A10" t="s">
        <v>12</v>
      </c>
    </row>
    <row r="11" spans="1:1">
      <c r="A11" t="s">
        <v>13</v>
      </c>
    </row>
    <row r="12" spans="1:1">
      <c r="A12" t="s">
        <v>14</v>
      </c>
    </row>
    <row r="13" spans="1:1">
      <c r="A13" t="s">
        <v>15</v>
      </c>
    </row>
    <row r="14" spans="1:1">
      <c r="A14" t="s">
        <v>16</v>
      </c>
    </row>
    <row r="15" spans="1:1">
      <c r="A15" t="s">
        <v>17</v>
      </c>
    </row>
    <row r="16" spans="1:1">
      <c r="A16" t="s">
        <v>18</v>
      </c>
    </row>
    <row r="17" spans="1:1">
      <c r="A17" t="s">
        <v>19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38</vt:i4>
      </vt:variant>
      <vt:variant>
        <vt:lpstr>Named Ranges</vt:lpstr>
      </vt:variant>
      <vt:variant>
        <vt:i4>195</vt:i4>
      </vt:variant>
    </vt:vector>
  </HeadingPairs>
  <TitlesOfParts>
    <vt:vector size="233" baseType="lpstr">
      <vt:lpstr>Impact Sea Level Rise</vt:lpstr>
      <vt:lpstr>Scenario Uncertainty</vt:lpstr>
      <vt:lpstr>Climate Regional</vt:lpstr>
      <vt:lpstr>Impact Diarrhoea</vt:lpstr>
      <vt:lpstr>Impact WaterResources</vt:lpstr>
      <vt:lpstr>Impact BioDiversity</vt:lpstr>
      <vt:lpstr>BioDiversity</vt:lpstr>
      <vt:lpstr>Impact Agriculture</vt:lpstr>
      <vt:lpstr>Impact Cooling</vt:lpstr>
      <vt:lpstr>Impact Heating</vt:lpstr>
      <vt:lpstr>Impact Tropical Storms</vt:lpstr>
      <vt:lpstr>Impact Extratropical Storms</vt:lpstr>
      <vt:lpstr>ypcgrowth</vt:lpstr>
      <vt:lpstr>pgrowth</vt:lpstr>
      <vt:lpstr>ForestEmm</vt:lpstr>
      <vt:lpstr>AEEI</vt:lpstr>
      <vt:lpstr>ACEI</vt:lpstr>
      <vt:lpstr>scentemp</vt:lpstr>
      <vt:lpstr>ch4em</vt:lpstr>
      <vt:lpstr>n2oem</vt:lpstr>
      <vt:lpstr>Migrate</vt:lpstr>
      <vt:lpstr>Geography</vt:lpstr>
      <vt:lpstr>Emissions</vt:lpstr>
      <vt:lpstr>Terrestrial Biosphere</vt:lpstr>
      <vt:lpstr>Climate</vt:lpstr>
      <vt:lpstr>Ocean</vt:lpstr>
      <vt:lpstr>Impact Forests</vt:lpstr>
      <vt:lpstr>Impact Vector Borne Diseases</vt:lpstr>
      <vt:lpstr>Socio Economic</vt:lpstr>
      <vt:lpstr>Global</vt:lpstr>
      <vt:lpstr>Impact Cardio &amp; Respiratory</vt:lpstr>
      <vt:lpstr>Regional</vt:lpstr>
      <vt:lpstr>Vsl &amp; Vmorb</vt:lpstr>
      <vt:lpstr>RoeBaker</vt:lpstr>
      <vt:lpstr>currtax</vt:lpstr>
      <vt:lpstr>currtaxch4</vt:lpstr>
      <vt:lpstr>currtaxn2o</vt:lpstr>
      <vt:lpstr>Dimension</vt:lpstr>
      <vt:lpstr>Fund.aceiadd</vt:lpstr>
      <vt:lpstr>Fund.aeeiadd</vt:lpstr>
      <vt:lpstr>Fund.agcbm</vt:lpstr>
      <vt:lpstr>Fund.agel</vt:lpstr>
      <vt:lpstr>Fund.aglparl</vt:lpstr>
      <vt:lpstr>Fund.aglparq</vt:lpstr>
      <vt:lpstr>Fund.agnl</vt:lpstr>
      <vt:lpstr>Fund.agrbm</vt:lpstr>
      <vt:lpstr>Fund.agrish0</vt:lpstr>
      <vt:lpstr>Fund.agtime</vt:lpstr>
      <vt:lpstr>Fund.area0</vt:lpstr>
      <vt:lpstr>Fund.bioloss</vt:lpstr>
      <vt:lpstr>Fund.biosens</vt:lpstr>
      <vt:lpstr>Fund.bioshare</vt:lpstr>
      <vt:lpstr>Fund.bregstmp</vt:lpstr>
      <vt:lpstr>Fund.bregtmp</vt:lpstr>
      <vt:lpstr>Fund.cardvasc90</vt:lpstr>
      <vt:lpstr>Fund.ccmlbm</vt:lpstr>
      <vt:lpstr>Fund.ccmqbm</vt:lpstr>
      <vt:lpstr>Fund.ccplbm</vt:lpstr>
      <vt:lpstr>Fund.ccpqbm</vt:lpstr>
      <vt:lpstr>Fund.cebm</vt:lpstr>
      <vt:lpstr>Fund.ceel</vt:lpstr>
      <vt:lpstr>Fund.cenl</vt:lpstr>
      <vt:lpstr>Fund.ch4add</vt:lpstr>
      <vt:lpstr>Fund.ch4em</vt:lpstr>
      <vt:lpstr>Fund.ch4ind</vt:lpstr>
      <vt:lpstr>Fund.ch4par1</vt:lpstr>
      <vt:lpstr>Fund.ch4par2</vt:lpstr>
      <vt:lpstr>Fund.ch4pre</vt:lpstr>
      <vt:lpstr>Fund.chmlbm</vt:lpstr>
      <vt:lpstr>Fund.chmqbm</vt:lpstr>
      <vt:lpstr>Fund.chplbm</vt:lpstr>
      <vt:lpstr>Fund.chpqbm</vt:lpstr>
      <vt:lpstr>Fund.co2frac1</vt:lpstr>
      <vt:lpstr>Fund.co2frac2</vt:lpstr>
      <vt:lpstr>Fund.co2frac3</vt:lpstr>
      <vt:lpstr>Fund.co2frac4</vt:lpstr>
      <vt:lpstr>Fund.co2frac5</vt:lpstr>
      <vt:lpstr>Fund.co2pre</vt:lpstr>
      <vt:lpstr>Fund.coastpd</vt:lpstr>
      <vt:lpstr>Fund.consleak</vt:lpstr>
      <vt:lpstr>Fund.currtax</vt:lpstr>
      <vt:lpstr>Fund.currtaxch4</vt:lpstr>
      <vt:lpstr>Fund.currtaxn2o</vt:lpstr>
      <vt:lpstr>Fund.cvlin</vt:lpstr>
      <vt:lpstr>Fund.d2dc</vt:lpstr>
      <vt:lpstr>Fund.d2dd</vt:lpstr>
      <vt:lpstr>Fund.d2dm</vt:lpstr>
      <vt:lpstr>Fund.d2dr</vt:lpstr>
      <vt:lpstr>Fund.d2ds</vt:lpstr>
      <vt:lpstr>Fund.d2lc</vt:lpstr>
      <vt:lpstr>Fund.d2ld</vt:lpstr>
      <vt:lpstr>Fund.d2lm</vt:lpstr>
      <vt:lpstr>Fund.d2lr</vt:lpstr>
      <vt:lpstr>Fund.d2ls</vt:lpstr>
      <vt:lpstr>Fund.DBsTa</vt:lpstr>
      <vt:lpstr>Fund.dfbs</vt:lpstr>
      <vt:lpstr>Fund.dfch</vt:lpstr>
      <vt:lpstr>Fund.dfnl</vt:lpstr>
      <vt:lpstr>Fund.diamort</vt:lpstr>
      <vt:lpstr>Fund.diamortel</vt:lpstr>
      <vt:lpstr>Fund.diamortnl</vt:lpstr>
      <vt:lpstr>Fund.diayld</vt:lpstr>
      <vt:lpstr>Fund.diayldel</vt:lpstr>
      <vt:lpstr>Fund.diayldnl</vt:lpstr>
      <vt:lpstr>Fund.dlbm</vt:lpstr>
      <vt:lpstr>Fund.drylandlossparam</vt:lpstr>
      <vt:lpstr>Fund.dvbm</vt:lpstr>
      <vt:lpstr>Fund.dvydl</vt:lpstr>
      <vt:lpstr>Fund.ecgradd</vt:lpstr>
      <vt:lpstr>Fund.emcst</vt:lpstr>
      <vt:lpstr>Fund.emissint0</vt:lpstr>
      <vt:lpstr>Fund.extratropicalstormsbasedam</vt:lpstr>
      <vt:lpstr>Fund.extratropicalstormsbasedead</vt:lpstr>
      <vt:lpstr>Fund.extratropicalstormsdamel</vt:lpstr>
      <vt:lpstr>Fund.extratropicalstormsdeadel</vt:lpstr>
      <vt:lpstr>Fund.extratropicalstormsnl</vt:lpstr>
      <vt:lpstr>Fund.extratropicalstormspar</vt:lpstr>
      <vt:lpstr>Fund.forbm</vt:lpstr>
      <vt:lpstr>Fund.forco2</vt:lpstr>
      <vt:lpstr>Fund.forel</vt:lpstr>
      <vt:lpstr>Fund.foremadd</vt:lpstr>
      <vt:lpstr>Fund.fornl</vt:lpstr>
      <vt:lpstr>Fund.gdp0</vt:lpstr>
      <vt:lpstr>Fund.gdp90</vt:lpstr>
      <vt:lpstr>Fund.gwpch4</vt:lpstr>
      <vt:lpstr>Fund.gwpn2o</vt:lpstr>
      <vt:lpstr>Fund.hebm</vt:lpstr>
      <vt:lpstr>Fund.heel</vt:lpstr>
      <vt:lpstr>Fund.henl</vt:lpstr>
      <vt:lpstr>Fund.hurrbasedam</vt:lpstr>
      <vt:lpstr>Fund.hurrbasedead</vt:lpstr>
      <vt:lpstr>Fund.hurrdamel</vt:lpstr>
      <vt:lpstr>Fund.hurrdeadel</vt:lpstr>
      <vt:lpstr>Fund.hurrnl</vt:lpstr>
      <vt:lpstr>Fund.hurrpar</vt:lpstr>
      <vt:lpstr>Fund.immcst</vt:lpstr>
      <vt:lpstr>Fund.incdens</vt:lpstr>
      <vt:lpstr>Fund.knowgpar</vt:lpstr>
      <vt:lpstr>Fund.knowpar</vt:lpstr>
      <vt:lpstr>Fund.lifech4</vt:lpstr>
      <vt:lpstr>Fund.lifeco1</vt:lpstr>
      <vt:lpstr>Fund.lifeco2</vt:lpstr>
      <vt:lpstr>Fund.lifeco3</vt:lpstr>
      <vt:lpstr>Fund.lifeco4</vt:lpstr>
      <vt:lpstr>Fund.lifeco5</vt:lpstr>
      <vt:lpstr>Fund.lifen2o</vt:lpstr>
      <vt:lpstr>Fund.lifesea</vt:lpstr>
      <vt:lpstr>Fund.lifesf6</vt:lpstr>
      <vt:lpstr>Fund.LifeTempConst</vt:lpstr>
      <vt:lpstr>Fund.LifeTempLin</vt:lpstr>
      <vt:lpstr>Fund.LifeTempQd</vt:lpstr>
      <vt:lpstr>Fund.malbs</vt:lpstr>
      <vt:lpstr>Fund.malch</vt:lpstr>
      <vt:lpstr>Fund.malnl</vt:lpstr>
      <vt:lpstr>Fund.maxcardvasc</vt:lpstr>
      <vt:lpstr>Fund.MaxCostFall</vt:lpstr>
      <vt:lpstr>Fund.maxlandloss</vt:lpstr>
      <vt:lpstr>Fund.Migrate</vt:lpstr>
      <vt:lpstr>Fund.n2oadd</vt:lpstr>
      <vt:lpstr>Fund.n2oem</vt:lpstr>
      <vt:lpstr>Fund.n2opar1</vt:lpstr>
      <vt:lpstr>Fund.n2opar2</vt:lpstr>
      <vt:lpstr>Fund.n2opre</vt:lpstr>
      <vt:lpstr>Fund.nospecbase</vt:lpstr>
      <vt:lpstr>Fund.pc</vt:lpstr>
      <vt:lpstr>Fund.pgadd</vt:lpstr>
      <vt:lpstr>Fund.plus90</vt:lpstr>
      <vt:lpstr>Fund.plusel</vt:lpstr>
      <vt:lpstr>Fund.pop0</vt:lpstr>
      <vt:lpstr>Fund.pop90</vt:lpstr>
      <vt:lpstr>Fund.Region.s</vt:lpstr>
      <vt:lpstr>Fund.resp90</vt:lpstr>
      <vt:lpstr>Fund.rlbm</vt:lpstr>
      <vt:lpstr>Fund.rlin</vt:lpstr>
      <vt:lpstr>Fund.roebakercsparameter</vt:lpstr>
      <vt:lpstr>Fund.rqbm</vt:lpstr>
      <vt:lpstr>Fund.scenacei</vt:lpstr>
      <vt:lpstr>Fund.scenaeei</vt:lpstr>
      <vt:lpstr>Fund.scenforestemm</vt:lpstr>
      <vt:lpstr>Fund.scenpgrowth</vt:lpstr>
      <vt:lpstr>Fund.scentemp</vt:lpstr>
      <vt:lpstr>Fund.scenypcgrowth</vt:lpstr>
      <vt:lpstr>Fund.seas</vt:lpstr>
      <vt:lpstr>Fund.sf60</vt:lpstr>
      <vt:lpstr>Fund.sf6add</vt:lpstr>
      <vt:lpstr>Fund.sf6gdp</vt:lpstr>
      <vt:lpstr>Fund.sf6pre</vt:lpstr>
      <vt:lpstr>Fund.sf6ypc</vt:lpstr>
      <vt:lpstr>Fund.slrprtp</vt:lpstr>
      <vt:lpstr>Fund.slrwvpopdens0</vt:lpstr>
      <vt:lpstr>Fund.slrwvypc0</vt:lpstr>
      <vt:lpstr>Fund.smbs</vt:lpstr>
      <vt:lpstr>Fund.smch</vt:lpstr>
      <vt:lpstr>Fund.smnl</vt:lpstr>
      <vt:lpstr>Fund.so20</vt:lpstr>
      <vt:lpstr>Fund.so2carb</vt:lpstr>
      <vt:lpstr>Fund.so2dir</vt:lpstr>
      <vt:lpstr>Fund.so2inc</vt:lpstr>
      <vt:lpstr>Fund.so2ind</vt:lpstr>
      <vt:lpstr>Fund.so2pop</vt:lpstr>
      <vt:lpstr>Fund.spbm</vt:lpstr>
      <vt:lpstr>Fund.TaxConstant</vt:lpstr>
      <vt:lpstr>Fund.TaxDepreciation</vt:lpstr>
      <vt:lpstr>Fund.TaxEmInt</vt:lpstr>
      <vt:lpstr>Fund.taxmp</vt:lpstr>
      <vt:lpstr>Fund.TaxThreshold</vt:lpstr>
      <vt:lpstr>Fund.temp90</vt:lpstr>
      <vt:lpstr>Fund.TerrCO2Sens</vt:lpstr>
      <vt:lpstr>Fund.TerrCO2Stock0</vt:lpstr>
      <vt:lpstr>Fund.timeofuncertaintystart</vt:lpstr>
      <vt:lpstr>Fund.urbcorr</vt:lpstr>
      <vt:lpstr>Fund.valbase</vt:lpstr>
      <vt:lpstr>Fund.valinc</vt:lpstr>
      <vt:lpstr>Fund.vbel</vt:lpstr>
      <vt:lpstr>Fund.vmorbbm</vt:lpstr>
      <vt:lpstr>Fund.vmorbel</vt:lpstr>
      <vt:lpstr>Fund.vmorbypc0</vt:lpstr>
      <vt:lpstr>Fund.vslbm</vt:lpstr>
      <vt:lpstr>Fund.vslel</vt:lpstr>
      <vt:lpstr>Fund.vslypc0</vt:lpstr>
      <vt:lpstr>Fund.watechrate</vt:lpstr>
      <vt:lpstr>Fund.wetland90</vt:lpstr>
      <vt:lpstr>Fund.wetmax</vt:lpstr>
      <vt:lpstr>Fund.wlbm</vt:lpstr>
      <vt:lpstr>Fund.wmbm</vt:lpstr>
      <vt:lpstr>Fund.wrbm</vt:lpstr>
      <vt:lpstr>Fund.wrel</vt:lpstr>
      <vt:lpstr>Fund.wrnl</vt:lpstr>
      <vt:lpstr>Fund.wrpl</vt:lpstr>
      <vt:lpstr>Fund.wvbm</vt:lpstr>
      <vt:lpstr>Fund.wvel</vt:lpstr>
      <vt:lpstr>Fund.wvpdl</vt:lpstr>
      <vt:lpstr>Fund.wvsl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Anthoff</dc:creator>
  <cp:lastModifiedBy>Marten, Alex</cp:lastModifiedBy>
  <dcterms:created xsi:type="dcterms:W3CDTF">2004-07-10T13:52:17Z</dcterms:created>
  <dcterms:modified xsi:type="dcterms:W3CDTF">2013-10-23T17:38:50Z</dcterms:modified>
</cp:coreProperties>
</file>